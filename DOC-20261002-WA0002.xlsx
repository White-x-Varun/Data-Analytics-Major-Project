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4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slicers/slicer1.xml" ContentType="application/vnd.ms-excel.slicer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</Type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EF80A66-F40E-4142-B1A5-E864781B9A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Sales" sheetId="2" r:id="rId2"/>
    <sheet name="Customers" sheetId="3" r:id="rId3"/>
    <sheet name="Products" sheetId="4" r:id="rId4"/>
    <sheet name="Marketing" sheetId="5" r:id="rId5"/>
    <sheet name="Profitability" sheetId="6" r:id="rId6"/>
    <sheet name="Customer_List" sheetId="7" r:id="rId7"/>
    <sheet name="Data" sheetId="8" r:id="rId8"/>
  </sheets>
  <definedNames>
    <definedName name="dAge">Data!$K$2:$K$5001</definedName>
    <definedName name="dCamp">Data!$AA$2:$AA$5001</definedName>
    <definedName name="dCat">Data!$P$2:$P$5001</definedName>
    <definedName name="dChan">Data!$Z$2:$Z$5001</definedName>
    <definedName name="dCity">Data!$L$2:$L$5001</definedName>
    <definedName name="dCost">Data!$V$2:$V$5001</definedName>
    <definedName name="dCust">Data!$G$2:$G$5001</definedName>
    <definedName name="dDisc">Data!$T$2:$T$5001</definedName>
    <definedName name="dGen">Data!$I$2:$I$5001</definedName>
    <definedName name="dMkt">Data!$AD$2:$AD$5001</definedName>
    <definedName name="dMon">Data!$AF$2:$AF$5001</definedName>
    <definedName name="dNet">Data!$AE$2:$AE$5001</definedName>
    <definedName name="dPay">Data!$X$2:$X$5001</definedName>
    <definedName name="dProd">Data!$O$2:$O$5001</definedName>
    <definedName name="dProfit">Data!$W$2:$W$5001</definedName>
    <definedName name="dQty">Data!$R$2:$R$5001</definedName>
    <definedName name="dRate">Data!$AB$2:$AB$5001</definedName>
    <definedName name="dSales">Data!$U$2:$U$5001</definedName>
    <definedName name="dShip">Data!$AC$2:$AC$5001</definedName>
    <definedName name="dState">Data!$M$2:$M$5001</definedName>
    <definedName name="dStatus">Data!$Y$2:$Y$5001</definedName>
    <definedName name="dSub">Data!$Q$2:$Q$5001</definedName>
    <definedName name="dVis">Data!$AG$2:$AG$5001</definedName>
    <definedName name="dYear">Data!$C$2:$C$5001</definedName>
    <definedName name="selCat">Dashboard!$I$4</definedName>
    <definedName name="selState">Dashboard!$J$4</definedName>
    <definedName name="selYear">Dashboard!$H$4</definedName>
    <definedName name="Slicer_Category">#N/A</definedName>
    <definedName name="Slicer_State">#N/A</definedName>
    <definedName name="Slicer_Year">#N/A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14="http://schemas.microsoft.com/office/spreadsheetml/2009/9/main" uri="{BBE1A952-AA13-448e-AADC-164F8A28A991}">
      <x14:slicerCaches>
        <x14:slicerCache r:id="rId21"/>
        <x14:slicerCache r:id="rId22"/>
        <x14:slicerCache r:id="rId23"/>
      </x14:slicerCaches>
    </ext>
  </extLst>
</workbook>
</file>

<file path=xl/sharedStrings.xml><?xml version="1.0" encoding="utf-8"?>
<sst xmlns="http://schemas.openxmlformats.org/spreadsheetml/2006/main" count="87678" uniqueCount="7627">
  <si>
    <t>E-COMMERCE BUSINESS INTELLIGENCE SYSTEM</t>
  </si>
  <si>
    <t>Sales · Customer · Product · Marketing · Profitability  |  Jan 2025 – Sep 2026  |  Choose filters below (yellow cells)</t>
  </si>
  <si>
    <t>criteria (do not edit)</t>
  </si>
  <si>
    <t>Year</t>
  </si>
  <si>
    <t>All</t>
  </si>
  <si>
    <t>Category</t>
  </si>
  <si>
    <t>State</t>
  </si>
  <si>
    <t>Total Revenue</t>
  </si>
  <si>
    <t>Orders</t>
  </si>
  <si>
    <t>Avg Order Value</t>
  </si>
  <si>
    <t>Units Sold</t>
  </si>
  <si>
    <t>Return Rate</t>
  </si>
  <si>
    <t>Cancel Rate</t>
  </si>
  <si>
    <t>Gross Profit</t>
  </si>
  <si>
    <t>Gross Margin</t>
  </si>
  <si>
    <t>Net Profit</t>
  </si>
  <si>
    <t>Net Margin</t>
  </si>
  <si>
    <t>Marketing Spend</t>
  </si>
  <si>
    <t>ROAS (Revenue / Mkt Cost)</t>
  </si>
  <si>
    <t>Sales Analytics</t>
  </si>
  <si>
    <t>Filtered by Dashboard selections (Year / Category / State)</t>
  </si>
  <si>
    <t>Monthly Sales Trend</t>
  </si>
  <si>
    <t>Month</t>
  </si>
  <si>
    <t>Revenue</t>
  </si>
  <si>
    <t>Units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</si>
  <si>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</si>
  <si>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</si>
  <si>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</si>
  <si>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</si>
  <si>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</si>
  <si>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</si>
  <si>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</si>
  <si>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</si>
  <si>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</si>
  <si>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</si>
  <si>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</si>
  <si>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</si>
  <si>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</si>
  <si>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</si>
  <si>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</si>
  <si>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</si>
  <si>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</si>
  <si>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</si>
  <si>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</si>
  <si>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</si>
  <si>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</si>
  <si>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Revenue by Category</t>
  </si>
  <si>
    <t>Share</t>
  </si>
  <si>
    <t>Electronics</t>
  </si>
  <si>
    <t>Home &amp; Kitchen</t>
  </si>
  <si>
    <t>Fashion</t>
  </si>
  <si>
    <t>Beauty</t>
  </si>
  <si>
    <t>Sports</t>
  </si>
  <si>
    <t>Accessories</t>
  </si>
  <si>
    <t>Revenue by State</t>
  </si>
  <si>
    <t>Uttar Pradesh</t>
  </si>
  <si>
    <t>Maharashtra</t>
  </si>
  <si>
    <t>Karnataka</t>
  </si>
  <si>
    <t>Tamil Nadu</t>
  </si>
  <si>
    <t>Delhi</t>
  </si>
  <si>
    <t>Rajasthan</t>
  </si>
  <si>
    <t>Telangana</t>
  </si>
  <si>
    <t>Gujarat</t>
  </si>
  <si>
    <t>West Bengal</t>
  </si>
  <si>
    <t>Bihar</t>
  </si>
  <si>
    <t>Order Status</t>
  </si>
  <si>
    <t>Status</t>
  </si>
  <si>
    <t>% of Orders</t>
  </si>
  <si>
    <t>Delivered</t>
  </si>
  <si>
    <t>Returned</t>
  </si>
  <si>
    <t>Pending</t>
  </si>
  <si>
    <t>Cancelled</t>
  </si>
  <si>
    <t>Payment Mode</t>
  </si>
  <si>
    <t>UPI</t>
  </si>
  <si>
    <t>Credit Card</t>
  </si>
  <si>
    <t>Debit Card</t>
  </si>
  <si>
    <t>Cash on Delivery</t>
  </si>
  <si>
    <t>Net Banking</t>
  </si>
  <si>
    <t>Customer Analytics</t>
  </si>
  <si>
    <t>Age Group</t>
  </si>
  <si>
    <t>18-25</t>
  </si>
  <si>
    <t>26-35</t>
  </si>
  <si>
    <t>36-45</t>
  </si>
  <si>
    <t>46-60</t>
  </si>
  <si>
    <t>Gender</t>
  </si>
  <si>
    <t>Male</t>
  </si>
  <si>
    <t>Female</t>
  </si>
  <si>
    <t>Other</t>
  </si>
  <si>
    <t>Top Cities</t>
  </si>
  <si>
    <t>City</t>
  </si>
  <si>
    <t>Kanpur</t>
  </si>
  <si>
    <t>Varanasi</t>
  </si>
  <si>
    <t>New Delhi</t>
  </si>
  <si>
    <t>Lucknow</t>
  </si>
  <si>
    <t>Mysuru</t>
  </si>
  <si>
    <t>Pune</t>
  </si>
  <si>
    <t>Noida</t>
  </si>
  <si>
    <t>Bengaluru</t>
  </si>
  <si>
    <t>Gorakhpur</t>
  </si>
  <si>
    <t>Chennai</t>
  </si>
  <si>
    <t>Nagpur</t>
  </si>
  <si>
    <t>Customer KPIs (all-time)</t>
  </si>
  <si>
    <t>Unique Customers</t>
  </si>
  <si>
    <t>Repeat Customers %</t>
  </si>
  <si>
    <t>Revenue / Customer</t>
  </si>
  <si>
    <t>Orders / Customer</t>
  </si>
  <si>
    <t>Top 10 Customers by Revenue (all-time)</t>
  </si>
  <si>
    <t>Rank</t>
  </si>
  <si>
    <t>Customer</t>
  </si>
  <si>
    <t>Product Analytics</t>
  </si>
  <si>
    <t>Product Performance</t>
  </si>
  <si>
    <t>Product</t>
  </si>
  <si>
    <t>Margin</t>
  </si>
  <si>
    <t>Return %</t>
  </si>
  <si>
    <t>Avg Rating</t>
  </si>
  <si>
    <t>Tablet</t>
  </si>
  <si>
    <t>Mobile Phone</t>
  </si>
  <si>
    <t>Office Chair</t>
  </si>
  <si>
    <t>Smart Watch</t>
  </si>
  <si>
    <t>Coffee Maker</t>
  </si>
  <si>
    <t>Mixer Grinder</t>
  </si>
  <si>
    <t>Running Shoes</t>
  </si>
  <si>
    <t>Wireless Headphones</t>
  </si>
  <si>
    <t>Cricket Bat</t>
  </si>
  <si>
    <t>Perfume</t>
  </si>
  <si>
    <t>Bluetooth Speaker</t>
  </si>
  <si>
    <t>Jeans</t>
  </si>
  <si>
    <t>Skincare Kit</t>
  </si>
  <si>
    <t>Laptop Backpack</t>
  </si>
  <si>
    <t>LED Study Lamp</t>
  </si>
  <si>
    <t>Sunglasses</t>
  </si>
  <si>
    <t>Backpack</t>
  </si>
  <si>
    <t>Yoga Mat</t>
  </si>
  <si>
    <t>Cotton T-Shirt</t>
  </si>
  <si>
    <t>Water Bottle</t>
  </si>
  <si>
    <t>Sub-Category Performance</t>
  </si>
  <si>
    <t>Sub-Category</t>
  </si>
  <si>
    <t>Tablets</t>
  </si>
  <si>
    <t>Mobiles</t>
  </si>
  <si>
    <t>Furniture</t>
  </si>
  <si>
    <t>Kitchen</t>
  </si>
  <si>
    <t>Audio</t>
  </si>
  <si>
    <t>Wearables</t>
  </si>
  <si>
    <t>Bags</t>
  </si>
  <si>
    <t>Footwear</t>
  </si>
  <si>
    <t>Clothing</t>
  </si>
  <si>
    <t>Cricket</t>
  </si>
  <si>
    <t>Fragrance</t>
  </si>
  <si>
    <t>Skincare</t>
  </si>
  <si>
    <t>Lighting</t>
  </si>
  <si>
    <t>Fitness</t>
  </si>
  <si>
    <t>Marketing Analytics</t>
  </si>
  <si>
    <t>Channel Performance</t>
  </si>
  <si>
    <t>Channel</t>
  </si>
  <si>
    <t>Marketing Cost</t>
  </si>
  <si>
    <t>ROAS</t>
  </si>
  <si>
    <t>Net ROI</t>
  </si>
  <si>
    <t>Cost / Order</t>
  </si>
  <si>
    <t>Organic Search</t>
  </si>
  <si>
    <t>Google Ads</t>
  </si>
  <si>
    <t>Instagram</t>
  </si>
  <si>
    <t>Facebook Ads</t>
  </si>
  <si>
    <t>Referral</t>
  </si>
  <si>
    <t>Email</t>
  </si>
  <si>
    <t>Campaign Performance</t>
  </si>
  <si>
    <t>Campaign</t>
  </si>
  <si>
    <t>Regular</t>
  </si>
  <si>
    <t>Festive Sale</t>
  </si>
  <si>
    <t>Summer Sale</t>
  </si>
  <si>
    <t>Weekend Offer</t>
  </si>
  <si>
    <t>New Customer</t>
  </si>
  <si>
    <t>Diwali Deals</t>
  </si>
  <si>
    <t>Profitability Analytics</t>
  </si>
  <si>
    <t>Gross Profit = Sales - Cost.  Net Profit = Gross Profit - Shipping - Marketing cost (all orders).</t>
  </si>
  <si>
    <t>Monthly Profit</t>
  </si>
  <si>
    <t>Category P&amp;L</t>
  </si>
  <si>
    <t>Cost</t>
  </si>
  <si>
    <t>Shipping</t>
  </si>
  <si>
    <t>Marketing</t>
  </si>
  <si>
    <t>Margin by Discount Level</t>
  </si>
  <si>
    <t>Discount</t>
  </si>
  <si>
    <t>Customer_ID</t>
  </si>
  <si>
    <t>Customer_Name</t>
  </si>
  <si>
    <t>Rank_Key</t>
  </si>
  <si>
    <t>All-time customer totals (not filtered by dashboard selections)</t>
  </si>
  <si>
    <t>C0149</t>
  </si>
  <si>
    <t>Customer 149</t>
  </si>
  <si>
    <t>C0161</t>
  </si>
  <si>
    <t>Customer 161</t>
  </si>
  <si>
    <t>C0960</t>
  </si>
  <si>
    <t>Customer 960</t>
  </si>
  <si>
    <t>C0986</t>
  </si>
  <si>
    <t>Customer 986</t>
  </si>
  <si>
    <t>C0097</t>
  </si>
  <si>
    <t>Customer 97</t>
  </si>
  <si>
    <t>C0484</t>
  </si>
  <si>
    <t>Customer 484</t>
  </si>
  <si>
    <t>C0944</t>
  </si>
  <si>
    <t>Customer 944</t>
  </si>
  <si>
    <t>C0011</t>
  </si>
  <si>
    <t>Customer 11</t>
  </si>
  <si>
    <t>C0623</t>
  </si>
  <si>
    <t>Customer 623</t>
  </si>
  <si>
    <t>C0810</t>
  </si>
  <si>
    <t>Customer 810</t>
  </si>
  <si>
    <t>C0132</t>
  </si>
  <si>
    <t>Customer 132</t>
  </si>
  <si>
    <t>C0224</t>
  </si>
  <si>
    <t>Customer 224</t>
  </si>
  <si>
    <t>C0937</t>
  </si>
  <si>
    <t>Customer 937</t>
  </si>
  <si>
    <t>C0999</t>
  </si>
  <si>
    <t>Customer 999</t>
  </si>
  <si>
    <t>C0275</t>
  </si>
  <si>
    <t>Customer 275</t>
  </si>
  <si>
    <t>C1077</t>
  </si>
  <si>
    <t>Customer 1077</t>
  </si>
  <si>
    <t>C0583</t>
  </si>
  <si>
    <t>Customer 583</t>
  </si>
  <si>
    <t>C1200</t>
  </si>
  <si>
    <t>Customer 1200</t>
  </si>
  <si>
    <t>C1113</t>
  </si>
  <si>
    <t>Customer 1113</t>
  </si>
  <si>
    <t>C0830</t>
  </si>
  <si>
    <t>Customer 830</t>
  </si>
  <si>
    <t>C0586</t>
  </si>
  <si>
    <t>Customer 586</t>
  </si>
  <si>
    <t>C0762</t>
  </si>
  <si>
    <t>Customer 762</t>
  </si>
  <si>
    <t>C1117</t>
  </si>
  <si>
    <t>Customer 1117</t>
  </si>
  <si>
    <t>C0165</t>
  </si>
  <si>
    <t>Customer 165</t>
  </si>
  <si>
    <t>C0719</t>
  </si>
  <si>
    <t>Customer 719</t>
  </si>
  <si>
    <t>C0330</t>
  </si>
  <si>
    <t>Customer 330</t>
  </si>
  <si>
    <t>C0587</t>
  </si>
  <si>
    <t>Customer 587</t>
  </si>
  <si>
    <t>C1029</t>
  </si>
  <si>
    <t>Customer 1029</t>
  </si>
  <si>
    <t>C0620</t>
  </si>
  <si>
    <t>Customer 620</t>
  </si>
  <si>
    <t>C0619</t>
  </si>
  <si>
    <t>Customer 619</t>
  </si>
  <si>
    <t>C0704</t>
  </si>
  <si>
    <t>Customer 704</t>
  </si>
  <si>
    <t>C0703</t>
  </si>
  <si>
    <t>Customer 703</t>
  </si>
  <si>
    <t>C0725</t>
  </si>
  <si>
    <t>Customer 725</t>
  </si>
  <si>
    <t>C1041</t>
  </si>
  <si>
    <t>Customer 1041</t>
  </si>
  <si>
    <t>C0186</t>
  </si>
  <si>
    <t>Customer 186</t>
  </si>
  <si>
    <t>C1025</t>
  </si>
  <si>
    <t>Customer 1025</t>
  </si>
  <si>
    <t>C0446</t>
  </si>
  <si>
    <t>Customer 446</t>
  </si>
  <si>
    <t>C0994</t>
  </si>
  <si>
    <t>Customer 994</t>
  </si>
  <si>
    <t>C0441</t>
  </si>
  <si>
    <t>Customer 441</t>
  </si>
  <si>
    <t>C0635</t>
  </si>
  <si>
    <t>Customer 635</t>
  </si>
  <si>
    <t>C1101</t>
  </si>
  <si>
    <t>Customer 1101</t>
  </si>
  <si>
    <t>C0855</t>
  </si>
  <si>
    <t>Customer 855</t>
  </si>
  <si>
    <t>C0288</t>
  </si>
  <si>
    <t>Customer 288</t>
  </si>
  <si>
    <t>C0930</t>
  </si>
  <si>
    <t>Customer 930</t>
  </si>
  <si>
    <t>C1093</t>
  </si>
  <si>
    <t>Customer 1093</t>
  </si>
  <si>
    <t>C0154</t>
  </si>
  <si>
    <t>Customer 154</t>
  </si>
  <si>
    <t>C0504</t>
  </si>
  <si>
    <t>Customer 504</t>
  </si>
  <si>
    <t>C0464</t>
  </si>
  <si>
    <t>Customer 464</t>
  </si>
  <si>
    <t>C1199</t>
  </si>
  <si>
    <t>Customer 1199</t>
  </si>
  <si>
    <t>C0302</t>
  </si>
  <si>
    <t>Customer 302</t>
  </si>
  <si>
    <t>C0396</t>
  </si>
  <si>
    <t>Customer 396</t>
  </si>
  <si>
    <t>C0806</t>
  </si>
  <si>
    <t>Customer 806</t>
  </si>
  <si>
    <t>C0376</t>
  </si>
  <si>
    <t>Customer 376</t>
  </si>
  <si>
    <t>C0172</t>
  </si>
  <si>
    <t>Customer 172</t>
  </si>
  <si>
    <t>C0099</t>
  </si>
  <si>
    <t>Customer 99</t>
  </si>
  <si>
    <t>C0840</t>
  </si>
  <si>
    <t>Customer 840</t>
  </si>
  <si>
    <t>C0834</t>
  </si>
  <si>
    <t>Customer 834</t>
  </si>
  <si>
    <t>C1144</t>
  </si>
  <si>
    <t>Customer 1144</t>
  </si>
  <si>
    <t>C0500</t>
  </si>
  <si>
    <t>Customer 500</t>
  </si>
  <si>
    <t>C1050</t>
  </si>
  <si>
    <t>Customer 1050</t>
  </si>
  <si>
    <t>C0743</t>
  </si>
  <si>
    <t>Customer 743</t>
  </si>
  <si>
    <t>C1051</t>
  </si>
  <si>
    <t>Customer 1051</t>
  </si>
  <si>
    <t>C0013</t>
  </si>
  <si>
    <t>Customer 13</t>
  </si>
  <si>
    <t>C0928</t>
  </si>
  <si>
    <t>Customer 928</t>
  </si>
  <si>
    <t>C0395</t>
  </si>
  <si>
    <t>Customer 395</t>
  </si>
  <si>
    <t>C0865</t>
  </si>
  <si>
    <t>Customer 865</t>
  </si>
  <si>
    <t>C0915</t>
  </si>
  <si>
    <t>Customer 915</t>
  </si>
  <si>
    <t>C0357</t>
  </si>
  <si>
    <t>Customer 357</t>
  </si>
  <si>
    <t>C0217</t>
  </si>
  <si>
    <t>Customer 217</t>
  </si>
  <si>
    <t>C1033</t>
  </si>
  <si>
    <t>Customer 1033</t>
  </si>
  <si>
    <t>C0713</t>
  </si>
  <si>
    <t>Customer 713</t>
  </si>
  <si>
    <t>C0016</t>
  </si>
  <si>
    <t>Customer 16</t>
  </si>
  <si>
    <t>C0245</t>
  </si>
  <si>
    <t>Customer 245</t>
  </si>
  <si>
    <t>C1032</t>
  </si>
  <si>
    <t>Customer 1032</t>
  </si>
  <si>
    <t>C1018</t>
  </si>
  <si>
    <t>Customer 1018</t>
  </si>
  <si>
    <t>C0531</t>
  </si>
  <si>
    <t>Customer 531</t>
  </si>
  <si>
    <t>C0283</t>
  </si>
  <si>
    <t>Customer 283</t>
  </si>
  <si>
    <t>C0185</t>
  </si>
  <si>
    <t>Customer 185</t>
  </si>
  <si>
    <t>C0117</t>
  </si>
  <si>
    <t>Customer 117</t>
  </si>
  <si>
    <t>C0795</t>
  </si>
  <si>
    <t>Customer 795</t>
  </si>
  <si>
    <t>C0959</t>
  </si>
  <si>
    <t>Customer 959</t>
  </si>
  <si>
    <t>C0899</t>
  </si>
  <si>
    <t>Customer 899</t>
  </si>
  <si>
    <t>C0373</t>
  </si>
  <si>
    <t>Customer 373</t>
  </si>
  <si>
    <t>C0847</t>
  </si>
  <si>
    <t>Customer 847</t>
  </si>
  <si>
    <t>C0344</t>
  </si>
  <si>
    <t>Customer 344</t>
  </si>
  <si>
    <t>C0506</t>
  </si>
  <si>
    <t>Customer 506</t>
  </si>
  <si>
    <t>C0664</t>
  </si>
  <si>
    <t>Customer 664</t>
  </si>
  <si>
    <t>C0856</t>
  </si>
  <si>
    <t>Customer 856</t>
  </si>
  <si>
    <t>C0864</t>
  </si>
  <si>
    <t>Customer 864</t>
  </si>
  <si>
    <t>C0112</t>
  </si>
  <si>
    <t>Customer 112</t>
  </si>
  <si>
    <t>C0348</t>
  </si>
  <si>
    <t>Customer 348</t>
  </si>
  <si>
    <t>C0473</t>
  </si>
  <si>
    <t>Customer 473</t>
  </si>
  <si>
    <t>C0697</t>
  </si>
  <si>
    <t>Customer 697</t>
  </si>
  <si>
    <t>C0145</t>
  </si>
  <si>
    <t>Customer 145</t>
  </si>
  <si>
    <t>C0206</t>
  </si>
  <si>
    <t>Customer 206</t>
  </si>
  <si>
    <t>C0420</t>
  </si>
  <si>
    <t>Customer 420</t>
  </si>
  <si>
    <t>C0950</t>
  </si>
  <si>
    <t>Customer 950</t>
  </si>
  <si>
    <t>C0771</t>
  </si>
  <si>
    <t>Customer 771</t>
  </si>
  <si>
    <t>C0385</t>
  </si>
  <si>
    <t>Customer 385</t>
  </si>
  <si>
    <t>C0196</t>
  </si>
  <si>
    <t>Customer 196</t>
  </si>
  <si>
    <t>C1137</t>
  </si>
  <si>
    <t>Customer 1137</t>
  </si>
  <si>
    <t>C0308</t>
  </si>
  <si>
    <t>Customer 308</t>
  </si>
  <si>
    <t>C1016</t>
  </si>
  <si>
    <t>Customer 1016</t>
  </si>
  <si>
    <t>C0786</t>
  </si>
  <si>
    <t>Customer 786</t>
  </si>
  <si>
    <t>C0046</t>
  </si>
  <si>
    <t>Customer 46</t>
  </si>
  <si>
    <t>C0118</t>
  </si>
  <si>
    <t>Customer 118</t>
  </si>
  <si>
    <t>C0242</t>
  </si>
  <si>
    <t>Customer 242</t>
  </si>
  <si>
    <t>C0649</t>
  </si>
  <si>
    <t>Customer 649</t>
  </si>
  <si>
    <t>C0317</t>
  </si>
  <si>
    <t>Customer 317</t>
  </si>
  <si>
    <t>C1169</t>
  </si>
  <si>
    <t>Customer 1169</t>
  </si>
  <si>
    <t>C0293</t>
  </si>
  <si>
    <t>Customer 293</t>
  </si>
  <si>
    <t>C1030</t>
  </si>
  <si>
    <t>Customer 1030</t>
  </si>
  <si>
    <t>C0869</t>
  </si>
  <si>
    <t>Customer 869</t>
  </si>
  <si>
    <t>C0967</t>
  </si>
  <si>
    <t>Customer 967</t>
  </si>
  <si>
    <t>C0008</t>
  </si>
  <si>
    <t>Customer 8</t>
  </si>
  <si>
    <t>C0361</t>
  </si>
  <si>
    <t>Customer 361</t>
  </si>
  <si>
    <t>C0562</t>
  </si>
  <si>
    <t>Customer 562</t>
  </si>
  <si>
    <t>C0559</t>
  </si>
  <si>
    <t>Customer 559</t>
  </si>
  <si>
    <t>C0246</t>
  </si>
  <si>
    <t>Customer 246</t>
  </si>
  <si>
    <t>C1186</t>
  </si>
  <si>
    <t>Customer 1186</t>
  </si>
  <si>
    <t>C0761</t>
  </si>
  <si>
    <t>Customer 761</t>
  </si>
  <si>
    <t>C0091</t>
  </si>
  <si>
    <t>Customer 91</t>
  </si>
  <si>
    <t>C0032</t>
  </si>
  <si>
    <t>Customer 32</t>
  </si>
  <si>
    <t>C1173</t>
  </si>
  <si>
    <t>Customer 1173</t>
  </si>
  <si>
    <t>C0093</t>
  </si>
  <si>
    <t>Customer 93</t>
  </si>
  <si>
    <t>C0169</t>
  </si>
  <si>
    <t>Customer 169</t>
  </si>
  <si>
    <t>C0483</t>
  </si>
  <si>
    <t>Customer 483</t>
  </si>
  <si>
    <t>C1187</t>
  </si>
  <si>
    <t>Customer 1187</t>
  </si>
  <si>
    <t>C1076</t>
  </si>
  <si>
    <t>Customer 1076</t>
  </si>
  <si>
    <t>C0676</t>
  </si>
  <si>
    <t>Customer 676</t>
  </si>
  <si>
    <t>C0544</t>
  </si>
  <si>
    <t>Customer 544</t>
  </si>
  <si>
    <t>C0516</t>
  </si>
  <si>
    <t>Customer 516</t>
  </si>
  <si>
    <t>C1120</t>
  </si>
  <si>
    <t>Customer 1120</t>
  </si>
  <si>
    <t>C0850</t>
  </si>
  <si>
    <t>Customer 850</t>
  </si>
  <si>
    <t>C0159</t>
  </si>
  <si>
    <t>Customer 159</t>
  </si>
  <si>
    <t>C0096</t>
  </si>
  <si>
    <t>Customer 96</t>
  </si>
  <si>
    <t>C0436</t>
  </si>
  <si>
    <t>Customer 436</t>
  </si>
  <si>
    <t>C0851</t>
  </si>
  <si>
    <t>Customer 851</t>
  </si>
  <si>
    <t>C1092</t>
  </si>
  <si>
    <t>Customer 1092</t>
  </si>
  <si>
    <t>C1083</t>
  </si>
  <si>
    <t>Customer 1083</t>
  </si>
  <si>
    <t>C0211</t>
  </si>
  <si>
    <t>Customer 211</t>
  </si>
  <si>
    <t>C0992</t>
  </si>
  <si>
    <t>Customer 992</t>
  </si>
  <si>
    <t>C0222</t>
  </si>
  <si>
    <t>Customer 222</t>
  </si>
  <si>
    <t>C0561</t>
  </si>
  <si>
    <t>Customer 561</t>
  </si>
  <si>
    <t>C1066</t>
  </si>
  <si>
    <t>Customer 1066</t>
  </si>
  <si>
    <t>C0522</t>
  </si>
  <si>
    <t>Customer 522</t>
  </si>
  <si>
    <t>C0592</t>
  </si>
  <si>
    <t>Customer 592</t>
  </si>
  <si>
    <t>C0773</t>
  </si>
  <si>
    <t>Customer 773</t>
  </si>
  <si>
    <t>C0194</t>
  </si>
  <si>
    <t>Customer 194</t>
  </si>
  <si>
    <t>C0379</t>
  </si>
  <si>
    <t>Customer 379</t>
  </si>
  <si>
    <t>C1127</t>
  </si>
  <si>
    <t>Customer 1127</t>
  </si>
  <si>
    <t>C1090</t>
  </si>
  <si>
    <t>Customer 1090</t>
  </si>
  <si>
    <t>C1024</t>
  </si>
  <si>
    <t>Customer 1024</t>
  </si>
  <si>
    <t>C0368</t>
  </si>
  <si>
    <t>Customer 368</t>
  </si>
  <si>
    <t>C0398</t>
  </si>
  <si>
    <t>Customer 398</t>
  </si>
  <si>
    <t>C0916</t>
  </si>
  <si>
    <t>Customer 916</t>
  </si>
  <si>
    <t>C1136</t>
  </si>
  <si>
    <t>Customer 1136</t>
  </si>
  <si>
    <t>C0158</t>
  </si>
  <si>
    <t>Customer 158</t>
  </si>
  <si>
    <t>C0525</t>
  </si>
  <si>
    <t>Customer 525</t>
  </si>
  <si>
    <t>C0023</t>
  </si>
  <si>
    <t>Customer 23</t>
  </si>
  <si>
    <t>C0607</t>
  </si>
  <si>
    <t>Customer 607</t>
  </si>
  <si>
    <t>C0386</t>
  </si>
  <si>
    <t>Customer 386</t>
  </si>
  <si>
    <t>C1166</t>
  </si>
  <si>
    <t>Customer 1166</t>
  </si>
  <si>
    <t>C0475</t>
  </si>
  <si>
    <t>Customer 475</t>
  </si>
  <si>
    <t>C0724</t>
  </si>
  <si>
    <t>Customer 724</t>
  </si>
  <si>
    <t>C0774</t>
  </si>
  <si>
    <t>Customer 774</t>
  </si>
  <si>
    <t>C0984</t>
  </si>
  <si>
    <t>Customer 984</t>
  </si>
  <si>
    <t>C0295</t>
  </si>
  <si>
    <t>Customer 295</t>
  </si>
  <si>
    <t>C0335</t>
  </si>
  <si>
    <t>Customer 335</t>
  </si>
  <si>
    <t>C0732</t>
  </si>
  <si>
    <t>Customer 732</t>
  </si>
  <si>
    <t>C0114</t>
  </si>
  <si>
    <t>Customer 114</t>
  </si>
  <si>
    <t>C1107</t>
  </si>
  <si>
    <t>Customer 1107</t>
  </si>
  <si>
    <t>C0307</t>
  </si>
  <si>
    <t>Customer 307</t>
  </si>
  <si>
    <t>C0306</t>
  </si>
  <si>
    <t>Customer 306</t>
  </si>
  <si>
    <t>C0924</t>
  </si>
  <si>
    <t>Customer 924</t>
  </si>
  <si>
    <t>C0304</t>
  </si>
  <si>
    <t>Customer 304</t>
  </si>
  <si>
    <t>C0601</t>
  </si>
  <si>
    <t>Customer 601</t>
  </si>
  <si>
    <t>C0452</t>
  </si>
  <si>
    <t>Customer 452</t>
  </si>
  <si>
    <t>C0826</t>
  </si>
  <si>
    <t>Customer 826</t>
  </si>
  <si>
    <t>C0949</t>
  </si>
  <si>
    <t>Customer 949</t>
  </si>
  <si>
    <t>C1043</t>
  </si>
  <si>
    <t>Customer 1043</t>
  </si>
  <si>
    <t>C1039</t>
  </si>
  <si>
    <t>Customer 1039</t>
  </si>
  <si>
    <t>C0034</t>
  </si>
  <si>
    <t>Customer 34</t>
  </si>
  <si>
    <t>C0667</t>
  </si>
  <si>
    <t>Customer 667</t>
  </si>
  <si>
    <t>C0655</t>
  </si>
  <si>
    <t>Customer 655</t>
  </si>
  <si>
    <t>C0399</t>
  </si>
  <si>
    <t>Customer 399</t>
  </si>
  <si>
    <t>C1183</t>
  </si>
  <si>
    <t>Customer 1183</t>
  </si>
  <si>
    <t>C1189</t>
  </si>
  <si>
    <t>Customer 1189</t>
  </si>
  <si>
    <t>C0471</t>
  </si>
  <si>
    <t>Customer 471</t>
  </si>
  <si>
    <t>C0026</t>
  </si>
  <si>
    <t>Customer 26</t>
  </si>
  <si>
    <t>C1012</t>
  </si>
  <si>
    <t>Customer 1012</t>
  </si>
  <si>
    <t>C0837</t>
  </si>
  <si>
    <t>Customer 837</t>
  </si>
  <si>
    <t>C1036</t>
  </si>
  <si>
    <t>Customer 1036</t>
  </si>
  <si>
    <t>C1193</t>
  </si>
  <si>
    <t>Customer 1193</t>
  </si>
  <si>
    <t>C0898</t>
  </si>
  <si>
    <t>Customer 898</t>
  </si>
  <si>
    <t>C0754</t>
  </si>
  <si>
    <t>Customer 754</t>
  </si>
  <si>
    <t>C0453</t>
  </si>
  <si>
    <t>Customer 453</t>
  </si>
  <si>
    <t>C0072</t>
  </si>
  <si>
    <t>Customer 72</t>
  </si>
  <si>
    <t>C0465</t>
  </si>
  <si>
    <t>Customer 465</t>
  </si>
  <si>
    <t>C0440</t>
  </si>
  <si>
    <t>Customer 440</t>
  </si>
  <si>
    <t>C1115</t>
  </si>
  <si>
    <t>Customer 1115</t>
  </si>
  <si>
    <t>C0107</t>
  </si>
  <si>
    <t>Customer 107</t>
  </si>
  <si>
    <t>C0935</t>
  </si>
  <si>
    <t>Customer 935</t>
  </si>
  <si>
    <t>C1019</t>
  </si>
  <si>
    <t>Customer 1019</t>
  </si>
  <si>
    <t>C0705</t>
  </si>
  <si>
    <t>Customer 705</t>
  </si>
  <si>
    <t>C0543</t>
  </si>
  <si>
    <t>Customer 543</t>
  </si>
  <si>
    <t>C0973</t>
  </si>
  <si>
    <t>Customer 973</t>
  </si>
  <si>
    <t>C1060</t>
  </si>
  <si>
    <t>Customer 1060</t>
  </si>
  <si>
    <t>C0757</t>
  </si>
  <si>
    <t>Customer 757</t>
  </si>
  <si>
    <t>C0638</t>
  </si>
  <si>
    <t>Customer 638</t>
  </si>
  <si>
    <t>C0247</t>
  </si>
  <si>
    <t>Customer 247</t>
  </si>
  <si>
    <t>C0848</t>
  </si>
  <si>
    <t>Customer 848</t>
  </si>
  <si>
    <t>C0351</t>
  </si>
  <si>
    <t>Customer 351</t>
  </si>
  <si>
    <t>C0113</t>
  </si>
  <si>
    <t>Customer 113</t>
  </si>
  <si>
    <t>C1178</t>
  </si>
  <si>
    <t>Customer 1178</t>
  </si>
  <si>
    <t>C0816</t>
  </si>
  <si>
    <t>Customer 816</t>
  </si>
  <si>
    <t>C0078</t>
  </si>
  <si>
    <t>Customer 78</t>
  </si>
  <si>
    <t>C0599</t>
  </si>
  <si>
    <t>Customer 599</t>
  </si>
  <si>
    <t>C1058</t>
  </si>
  <si>
    <t>Customer 1058</t>
  </si>
  <si>
    <t>C0710</t>
  </si>
  <si>
    <t>Customer 710</t>
  </si>
  <si>
    <t>C0648</t>
  </si>
  <si>
    <t>Customer 648</t>
  </si>
  <si>
    <t>C0581</t>
  </si>
  <si>
    <t>Customer 581</t>
  </si>
  <si>
    <t>C0339</t>
  </si>
  <si>
    <t>Customer 339</t>
  </si>
  <si>
    <t>C0111</t>
  </si>
  <si>
    <t>Customer 111</t>
  </si>
  <si>
    <t>C0290</t>
  </si>
  <si>
    <t>Customer 290</t>
  </si>
  <si>
    <t>C0015</t>
  </si>
  <si>
    <t>Customer 15</t>
  </si>
  <si>
    <t>C0410</t>
  </si>
  <si>
    <t>Customer 410</t>
  </si>
  <si>
    <t>C0095</t>
  </si>
  <si>
    <t>Customer 95</t>
  </si>
  <si>
    <t>C0878</t>
  </si>
  <si>
    <t>Customer 878</t>
  </si>
  <si>
    <t>C0616</t>
  </si>
  <si>
    <t>Customer 616</t>
  </si>
  <si>
    <t>C0092</t>
  </si>
  <si>
    <t>Customer 92</t>
  </si>
  <si>
    <t>C0314</t>
  </si>
  <si>
    <t>Customer 314</t>
  </si>
  <si>
    <t>C0934</t>
  </si>
  <si>
    <t>Customer 934</t>
  </si>
  <si>
    <t>C0202</t>
  </si>
  <si>
    <t>Customer 202</t>
  </si>
  <si>
    <t>C0121</t>
  </si>
  <si>
    <t>Customer 121</t>
  </si>
  <si>
    <t>C0792</t>
  </si>
  <si>
    <t>Customer 792</t>
  </si>
  <si>
    <t>C0614</t>
  </si>
  <si>
    <t>Customer 614</t>
  </si>
  <si>
    <t>C0952</t>
  </si>
  <si>
    <t>Customer 952</t>
  </si>
  <si>
    <t>C0122</t>
  </si>
  <si>
    <t>Customer 122</t>
  </si>
  <si>
    <t>C0300</t>
  </si>
  <si>
    <t>Customer 300</t>
  </si>
  <si>
    <t>C1129</t>
  </si>
  <si>
    <t>Customer 1129</t>
  </si>
  <si>
    <t>C0626</t>
  </si>
  <si>
    <t>Customer 626</t>
  </si>
  <si>
    <t>C0142</t>
  </si>
  <si>
    <t>Customer 142</t>
  </si>
  <si>
    <t>C0370</t>
  </si>
  <si>
    <t>Customer 370</t>
  </si>
  <si>
    <t>C0478</t>
  </si>
  <si>
    <t>Customer 478</t>
  </si>
  <si>
    <t>C1054</t>
  </si>
  <si>
    <t>Customer 1054</t>
  </si>
  <si>
    <t>C1119</t>
  </si>
  <si>
    <t>Customer 1119</t>
  </si>
  <si>
    <t>C0646</t>
  </si>
  <si>
    <t>Customer 646</t>
  </si>
  <si>
    <t>C0474</t>
  </si>
  <si>
    <t>Customer 474</t>
  </si>
  <si>
    <t>C1071</t>
  </si>
  <si>
    <t>Customer 1071</t>
  </si>
  <si>
    <t>C0528</t>
  </si>
  <si>
    <t>Customer 528</t>
  </si>
  <si>
    <t>C0900</t>
  </si>
  <si>
    <t>Customer 900</t>
  </si>
  <si>
    <t>C0140</t>
  </si>
  <si>
    <t>Customer 140</t>
  </si>
  <si>
    <t>C0896</t>
  </si>
  <si>
    <t>Customer 896</t>
  </si>
  <si>
    <t>C0985</t>
  </si>
  <si>
    <t>Customer 985</t>
  </si>
  <si>
    <t>C0838</t>
  </si>
  <si>
    <t>Customer 838</t>
  </si>
  <si>
    <t>C1097</t>
  </si>
  <si>
    <t>Customer 1097</t>
  </si>
  <si>
    <t>C0818</t>
  </si>
  <si>
    <t>Customer 818</t>
  </si>
  <si>
    <t>C1179</t>
  </si>
  <si>
    <t>Customer 1179</t>
  </si>
  <si>
    <t>C0542</t>
  </si>
  <si>
    <t>Customer 542</t>
  </si>
  <si>
    <t>C0726</t>
  </si>
  <si>
    <t>Customer 726</t>
  </si>
  <si>
    <t>C0284</t>
  </si>
  <si>
    <t>Customer 284</t>
  </si>
  <si>
    <t>C0014</t>
  </si>
  <si>
    <t>Customer 14</t>
  </si>
  <si>
    <t>C0426</t>
  </si>
  <si>
    <t>Customer 426</t>
  </si>
  <si>
    <t>C0105</t>
  </si>
  <si>
    <t>Customer 105</t>
  </si>
  <si>
    <t>C1005</t>
  </si>
  <si>
    <t>Customer 1005</t>
  </si>
  <si>
    <t>C0479</t>
  </si>
  <si>
    <t>Customer 479</t>
  </si>
  <si>
    <t>C1026</t>
  </si>
  <si>
    <t>Customer 1026</t>
  </si>
  <si>
    <t>C0969</t>
  </si>
  <si>
    <t>Customer 969</t>
  </si>
  <si>
    <t>C1105</t>
  </si>
  <si>
    <t>Customer 1105</t>
  </si>
  <si>
    <t>C0933</t>
  </si>
  <si>
    <t>Customer 933</t>
  </si>
  <si>
    <t>C0147</t>
  </si>
  <si>
    <t>Customer 147</t>
  </si>
  <si>
    <t>C0059</t>
  </si>
  <si>
    <t>Customer 59</t>
  </si>
  <si>
    <t>C0080</t>
  </si>
  <si>
    <t>Customer 80</t>
  </si>
  <si>
    <t>C0495</t>
  </si>
  <si>
    <t>Customer 495</t>
  </si>
  <si>
    <t>C0123</t>
  </si>
  <si>
    <t>Customer 123</t>
  </si>
  <si>
    <t>C0784</t>
  </si>
  <si>
    <t>Customer 784</t>
  </si>
  <si>
    <t>C0755</t>
  </si>
  <si>
    <t>Customer 755</t>
  </si>
  <si>
    <t>C1037</t>
  </si>
  <si>
    <t>Customer 1037</t>
  </si>
  <si>
    <t>C0085</t>
  </si>
  <si>
    <t>Customer 85</t>
  </si>
  <si>
    <t>C0519</t>
  </si>
  <si>
    <t>Customer 519</t>
  </si>
  <si>
    <t>C0846</t>
  </si>
  <si>
    <t>Customer 846</t>
  </si>
  <si>
    <t>C0256</t>
  </si>
  <si>
    <t>Customer 256</t>
  </si>
  <si>
    <t>C0606</t>
  </si>
  <si>
    <t>Customer 606</t>
  </si>
  <si>
    <t>C0912</t>
  </si>
  <si>
    <t>Customer 912</t>
  </si>
  <si>
    <t>C0880</t>
  </si>
  <si>
    <t>Customer 880</t>
  </si>
  <si>
    <t>C0768</t>
  </si>
  <si>
    <t>Customer 768</t>
  </si>
  <si>
    <t>C0836</t>
  </si>
  <si>
    <t>Customer 836</t>
  </si>
  <si>
    <t>C1133</t>
  </si>
  <si>
    <t>Customer 1133</t>
  </si>
  <si>
    <t>C0584</t>
  </si>
  <si>
    <t>Customer 584</t>
  </si>
  <si>
    <t>C1082</t>
  </si>
  <si>
    <t>Customer 1082</t>
  </si>
  <si>
    <t>C0067</t>
  </si>
  <si>
    <t>Customer 67</t>
  </si>
  <si>
    <t>C0438</t>
  </si>
  <si>
    <t>Customer 438</t>
  </si>
  <si>
    <t>C1194</t>
  </si>
  <si>
    <t>Customer 1194</t>
  </si>
  <si>
    <t>C0235</t>
  </si>
  <si>
    <t>Customer 235</t>
  </si>
  <si>
    <t>C0296</t>
  </si>
  <si>
    <t>Customer 296</t>
  </si>
  <si>
    <t>C0491</t>
  </si>
  <si>
    <t>Customer 491</t>
  </si>
  <si>
    <t>C0180</t>
  </si>
  <si>
    <t>Customer 180</t>
  </si>
  <si>
    <t>C0009</t>
  </si>
  <si>
    <t>Customer 9</t>
  </si>
  <si>
    <t>C0259</t>
  </si>
  <si>
    <t>Customer 259</t>
  </si>
  <si>
    <t>C1110</t>
  </si>
  <si>
    <t>Customer 1110</t>
  </si>
  <si>
    <t>C0814</t>
  </si>
  <si>
    <t>Customer 814</t>
  </si>
  <si>
    <t>C0201</t>
  </si>
  <si>
    <t>Customer 201</t>
  </si>
  <si>
    <t>C0466</t>
  </si>
  <si>
    <t>Customer 466</t>
  </si>
  <si>
    <t>C0872</t>
  </si>
  <si>
    <t>Customer 872</t>
  </si>
  <si>
    <t>C0133</t>
  </si>
  <si>
    <t>Customer 133</t>
  </si>
  <si>
    <t>C0230</t>
  </si>
  <si>
    <t>Customer 230</t>
  </si>
  <si>
    <t>C0060</t>
  </si>
  <si>
    <t>Customer 60</t>
  </si>
  <si>
    <t>C0257</t>
  </si>
  <si>
    <t>Customer 257</t>
  </si>
  <si>
    <t>C0828</t>
  </si>
  <si>
    <t>Customer 828</t>
  </si>
  <si>
    <t>C0593</t>
  </si>
  <si>
    <t>Customer 593</t>
  </si>
  <si>
    <t>C0590</t>
  </si>
  <si>
    <t>Customer 590</t>
  </si>
  <si>
    <t>C0415</t>
  </si>
  <si>
    <t>Customer 415</t>
  </si>
  <si>
    <t>C0618</t>
  </si>
  <si>
    <t>Customer 618</t>
  </si>
  <si>
    <t>C0698</t>
  </si>
  <si>
    <t>Customer 698</t>
  </si>
  <si>
    <t>C0988</t>
  </si>
  <si>
    <t>Customer 988</t>
  </si>
  <si>
    <t>C0621</t>
  </si>
  <si>
    <t>Customer 621</t>
  </si>
  <si>
    <t>C0901</t>
  </si>
  <si>
    <t>Customer 901</t>
  </si>
  <si>
    <t>C0874</t>
  </si>
  <si>
    <t>Customer 874</t>
  </si>
  <si>
    <t>C0421</t>
  </si>
  <si>
    <t>Customer 421</t>
  </si>
  <si>
    <t>C0315</t>
  </si>
  <si>
    <t>Customer 315</t>
  </si>
  <si>
    <t>C0839</t>
  </si>
  <si>
    <t>Customer 839</t>
  </si>
  <si>
    <t>C0468</t>
  </si>
  <si>
    <t>Customer 468</t>
  </si>
  <si>
    <t>C0605</t>
  </si>
  <si>
    <t>Customer 605</t>
  </si>
  <si>
    <t>C0870</t>
  </si>
  <si>
    <t>Customer 870</t>
  </si>
  <si>
    <t>C0803</t>
  </si>
  <si>
    <t>Customer 803</t>
  </si>
  <si>
    <t>C0756</t>
  </si>
  <si>
    <t>Customer 756</t>
  </si>
  <si>
    <t>C0660</t>
  </si>
  <si>
    <t>Customer 660</t>
  </si>
  <si>
    <t>C0239</t>
  </si>
  <si>
    <t>Customer 239</t>
  </si>
  <si>
    <t>C0673</t>
  </si>
  <si>
    <t>Customer 673</t>
  </si>
  <si>
    <t>C0991</t>
  </si>
  <si>
    <t>Customer 991</t>
  </si>
  <si>
    <t>C1160</t>
  </si>
  <si>
    <t>Customer 1160</t>
  </si>
  <si>
    <t>C0231</t>
  </si>
  <si>
    <t>Customer 231</t>
  </si>
  <si>
    <t>C1095</t>
  </si>
  <si>
    <t>Customer 1095</t>
  </si>
  <si>
    <t>C0001</t>
  </si>
  <si>
    <t>Customer 1</t>
  </si>
  <si>
    <t>C0053</t>
  </si>
  <si>
    <t>Customer 53</t>
  </si>
  <si>
    <t>C0546</t>
  </si>
  <si>
    <t>Customer 546</t>
  </si>
  <si>
    <t>C0904</t>
  </si>
  <si>
    <t>Customer 904</t>
  </si>
  <si>
    <t>C0152</t>
  </si>
  <si>
    <t>Customer 152</t>
  </si>
  <si>
    <t>C0311</t>
  </si>
  <si>
    <t>Customer 311</t>
  </si>
  <si>
    <t>C1091</t>
  </si>
  <si>
    <t>Customer 1091</t>
  </si>
  <si>
    <t>C0520</t>
  </si>
  <si>
    <t>Customer 520</t>
  </si>
  <si>
    <t>C0079</t>
  </si>
  <si>
    <t>Customer 79</t>
  </si>
  <si>
    <t>C1152</t>
  </si>
  <si>
    <t>Customer 1152</t>
  </si>
  <si>
    <t>C0978</t>
  </si>
  <si>
    <t>Customer 978</t>
  </si>
  <si>
    <t>C0804</t>
  </si>
  <si>
    <t>Customer 804</t>
  </si>
  <si>
    <t>C0897</t>
  </si>
  <si>
    <t>Customer 897</t>
  </si>
  <si>
    <t>C0989</t>
  </si>
  <si>
    <t>Customer 989</t>
  </si>
  <si>
    <t>C1081</t>
  </si>
  <si>
    <t>Customer 1081</t>
  </si>
  <si>
    <t>C0380</t>
  </si>
  <si>
    <t>Customer 380</t>
  </si>
  <si>
    <t>C0365</t>
  </si>
  <si>
    <t>Customer 365</t>
  </si>
  <si>
    <t>C0181</t>
  </si>
  <si>
    <t>Customer 181</t>
  </si>
  <si>
    <t>C0255</t>
  </si>
  <si>
    <t>Customer 255</t>
  </si>
  <si>
    <t>C0575</t>
  </si>
  <si>
    <t>Customer 575</t>
  </si>
  <si>
    <t>C0269</t>
  </si>
  <si>
    <t>Customer 269</t>
  </si>
  <si>
    <t>C0136</t>
  </si>
  <si>
    <t>Customer 136</t>
  </si>
  <si>
    <t>C0125</t>
  </si>
  <si>
    <t>Customer 125</t>
  </si>
  <si>
    <t>C0044</t>
  </si>
  <si>
    <t>Customer 44</t>
  </si>
  <si>
    <t>C0849</t>
  </si>
  <si>
    <t>Customer 849</t>
  </si>
  <si>
    <t>C1188</t>
  </si>
  <si>
    <t>Customer 1188</t>
  </si>
  <si>
    <t>C0987</t>
  </si>
  <si>
    <t>Customer 987</t>
  </si>
  <si>
    <t>C1038</t>
  </si>
  <si>
    <t>Customer 1038</t>
  </si>
  <si>
    <t>C1094</t>
  </si>
  <si>
    <t>Customer 1094</t>
  </si>
  <si>
    <t>C0780</t>
  </si>
  <si>
    <t>Customer 780</t>
  </si>
  <si>
    <t>C0051</t>
  </si>
  <si>
    <t>Customer 51</t>
  </si>
  <si>
    <t>C0565</t>
  </si>
  <si>
    <t>Customer 565</t>
  </si>
  <si>
    <t>C0150</t>
  </si>
  <si>
    <t>Customer 150</t>
  </si>
  <si>
    <t>C0052</t>
  </si>
  <si>
    <t>Customer 52</t>
  </si>
  <si>
    <t>C0209</t>
  </si>
  <si>
    <t>Customer 209</t>
  </si>
  <si>
    <t>C0074</t>
  </si>
  <si>
    <t>Customer 74</t>
  </si>
  <si>
    <t>C0419</t>
  </si>
  <si>
    <t>Customer 419</t>
  </si>
  <si>
    <t>C0647</t>
  </si>
  <si>
    <t>Customer 647</t>
  </si>
  <si>
    <t>C0271</t>
  </si>
  <si>
    <t>Customer 271</t>
  </si>
  <si>
    <t>C0568</t>
  </si>
  <si>
    <t>Customer 568</t>
  </si>
  <si>
    <t>C0591</t>
  </si>
  <si>
    <t>Customer 591</t>
  </si>
  <si>
    <t>C0948</t>
  </si>
  <si>
    <t>Customer 948</t>
  </si>
  <si>
    <t>C0962</t>
  </si>
  <si>
    <t>Customer 962</t>
  </si>
  <si>
    <t>C0942</t>
  </si>
  <si>
    <t>Customer 942</t>
  </si>
  <si>
    <t>C1014</t>
  </si>
  <si>
    <t>Customer 1014</t>
  </si>
  <si>
    <t>C0753</t>
  </si>
  <si>
    <t>Customer 753</t>
  </si>
  <si>
    <t>C0120</t>
  </si>
  <si>
    <t>Customer 120</t>
  </si>
  <si>
    <t>C0873</t>
  </si>
  <si>
    <t>Customer 873</t>
  </si>
  <si>
    <t>C0508</t>
  </si>
  <si>
    <t>Customer 508</t>
  </si>
  <si>
    <t>C0666</t>
  </si>
  <si>
    <t>Customer 666</t>
  </si>
  <si>
    <t>C1180</t>
  </si>
  <si>
    <t>Customer 1180</t>
  </si>
  <si>
    <t>C0741</t>
  </si>
  <si>
    <t>Customer 741</t>
  </si>
  <si>
    <t>C1139</t>
  </si>
  <si>
    <t>Customer 1139</t>
  </si>
  <si>
    <t>C0982</t>
  </si>
  <si>
    <t>Customer 982</t>
  </si>
  <si>
    <t>C0518</t>
  </si>
  <si>
    <t>Customer 518</t>
  </si>
  <si>
    <t>C0589</t>
  </si>
  <si>
    <t>Customer 589</t>
  </si>
  <si>
    <t>C0343</t>
  </si>
  <si>
    <t>Customer 343</t>
  </si>
  <si>
    <t>C0077</t>
  </si>
  <si>
    <t>Customer 77</t>
  </si>
  <si>
    <t>C0197</t>
  </si>
  <si>
    <t>Customer 197</t>
  </si>
  <si>
    <t>C0029</t>
  </si>
  <si>
    <t>Customer 29</t>
  </si>
  <si>
    <t>C0412</t>
  </si>
  <si>
    <t>Customer 412</t>
  </si>
  <si>
    <t>C0360</t>
  </si>
  <si>
    <t>Customer 360</t>
  </si>
  <si>
    <t>C0775</t>
  </si>
  <si>
    <t>Customer 775</t>
  </si>
  <si>
    <t>C0371</t>
  </si>
  <si>
    <t>Customer 371</t>
  </si>
  <si>
    <t>C0244</t>
  </si>
  <si>
    <t>Customer 244</t>
  </si>
  <si>
    <t>C0580</t>
  </si>
  <si>
    <t>Customer 580</t>
  </si>
  <si>
    <t>C0342</t>
  </si>
  <si>
    <t>Customer 342</t>
  </si>
  <si>
    <t>C1161</t>
  </si>
  <si>
    <t>Customer 1161</t>
  </si>
  <si>
    <t>C0974</t>
  </si>
  <si>
    <t>Customer 974</t>
  </si>
  <si>
    <t>C0319</t>
  </si>
  <si>
    <t>Customer 319</t>
  </si>
  <si>
    <t>C0603</t>
  </si>
  <si>
    <t>Customer 603</t>
  </si>
  <si>
    <t>C0454</t>
  </si>
  <si>
    <t>Customer 454</t>
  </si>
  <si>
    <t>C0927</t>
  </si>
  <si>
    <t>Customer 927</t>
  </si>
  <si>
    <t>C0909</t>
  </si>
  <si>
    <t>Customer 909</t>
  </si>
  <si>
    <t>C0841</t>
  </si>
  <si>
    <t>Customer 841</t>
  </si>
  <si>
    <t>C0297</t>
  </si>
  <si>
    <t>Customer 297</t>
  </si>
  <si>
    <t>C1176</t>
  </si>
  <si>
    <t>Customer 1176</t>
  </si>
  <si>
    <t>C1185</t>
  </si>
  <si>
    <t>Customer 1185</t>
  </si>
  <si>
    <t>C0739</t>
  </si>
  <si>
    <t>Customer 739</t>
  </si>
  <si>
    <t>C1190</t>
  </si>
  <si>
    <t>Customer 1190</t>
  </si>
  <si>
    <t>C0532</t>
  </si>
  <si>
    <t>Customer 532</t>
  </si>
  <si>
    <t>C0264</t>
  </si>
  <si>
    <t>Customer 264</t>
  </si>
  <si>
    <t>C0776</t>
  </si>
  <si>
    <t>Customer 776</t>
  </si>
  <si>
    <t>C0730</t>
  </si>
  <si>
    <t>Customer 730</t>
  </si>
  <si>
    <t>C1121</t>
  </si>
  <si>
    <t>Customer 1121</t>
  </si>
  <si>
    <t>C0431</t>
  </si>
  <si>
    <t>Customer 431</t>
  </si>
  <si>
    <t>C1072</t>
  </si>
  <si>
    <t>Customer 1072</t>
  </si>
  <si>
    <t>C1048</t>
  </si>
  <si>
    <t>Customer 1048</t>
  </si>
  <si>
    <t>C1102</t>
  </si>
  <si>
    <t>Customer 1102</t>
  </si>
  <si>
    <t>C0541</t>
  </si>
  <si>
    <t>Customer 541</t>
  </si>
  <si>
    <t>C1131</t>
  </si>
  <si>
    <t>Customer 1131</t>
  </si>
  <si>
    <t>C0628</t>
  </si>
  <si>
    <t>Customer 628</t>
  </si>
  <si>
    <t>C0715</t>
  </si>
  <si>
    <t>Customer 715</t>
  </si>
  <si>
    <t>C1192</t>
  </si>
  <si>
    <t>Customer 1192</t>
  </si>
  <si>
    <t>C0049</t>
  </si>
  <si>
    <t>Customer 49</t>
  </si>
  <si>
    <t>C0652</t>
  </si>
  <si>
    <t>Customer 652</t>
  </si>
  <si>
    <t>C0722</t>
  </si>
  <si>
    <t>Customer 722</t>
  </si>
  <si>
    <t>C0983</t>
  </si>
  <si>
    <t>Customer 983</t>
  </si>
  <si>
    <t>C0680</t>
  </si>
  <si>
    <t>Customer 680</t>
  </si>
  <si>
    <t>C0086</t>
  </si>
  <si>
    <t>Customer 86</t>
  </si>
  <si>
    <t>C0797</t>
  </si>
  <si>
    <t>Customer 797</t>
  </si>
  <si>
    <t>C0325</t>
  </si>
  <si>
    <t>Customer 325</t>
  </si>
  <si>
    <t>C1028</t>
  </si>
  <si>
    <t>Customer 1028</t>
  </si>
  <si>
    <t>C0651</t>
  </si>
  <si>
    <t>Customer 651</t>
  </si>
  <si>
    <t>C0294</t>
  </si>
  <si>
    <t>Customer 294</t>
  </si>
  <si>
    <t>C0503</t>
  </si>
  <si>
    <t>Customer 503</t>
  </si>
  <si>
    <t>C1165</t>
  </si>
  <si>
    <t>Customer 1165</t>
  </si>
  <si>
    <t>C1175</t>
  </si>
  <si>
    <t>Customer 1175</t>
  </si>
  <si>
    <t>C1034</t>
  </si>
  <si>
    <t>Customer 1034</t>
  </si>
  <si>
    <t>C0890</t>
  </si>
  <si>
    <t>Customer 890</t>
  </si>
  <si>
    <t>C0557</t>
  </si>
  <si>
    <t>Customer 557</t>
  </si>
  <si>
    <t>C0521</t>
  </si>
  <si>
    <t>Customer 521</t>
  </si>
  <si>
    <t>C0056</t>
  </si>
  <si>
    <t>Customer 56</t>
  </si>
  <si>
    <t>C0783</t>
  </si>
  <si>
    <t>Customer 783</t>
  </si>
  <si>
    <t>C0639</t>
  </si>
  <si>
    <t>Customer 639</t>
  </si>
  <si>
    <t>C0383</t>
  </si>
  <si>
    <t>Customer 383</t>
  </si>
  <si>
    <t>C0171</t>
  </si>
  <si>
    <t>Customer 171</t>
  </si>
  <si>
    <t>C0378</t>
  </si>
  <si>
    <t>Customer 378</t>
  </si>
  <si>
    <t>C0010</t>
  </si>
  <si>
    <t>Customer 10</t>
  </si>
  <si>
    <t>C0501</t>
  </si>
  <si>
    <t>Customer 501</t>
  </si>
  <si>
    <t>C0766</t>
  </si>
  <si>
    <t>Customer 766</t>
  </si>
  <si>
    <t>C0842</t>
  </si>
  <si>
    <t>Customer 842</t>
  </si>
  <si>
    <t>C0353</t>
  </si>
  <si>
    <t>Customer 353</t>
  </si>
  <si>
    <t>C0328</t>
  </si>
  <si>
    <t>Customer 328</t>
  </si>
  <si>
    <t>C0925</t>
  </si>
  <si>
    <t>Customer 925</t>
  </si>
  <si>
    <t>C0151</t>
  </si>
  <si>
    <t>Customer 151</t>
  </si>
  <si>
    <t>C1153</t>
  </si>
  <si>
    <t>Customer 1153</t>
  </si>
  <si>
    <t>C0794</t>
  </si>
  <si>
    <t>Customer 794</t>
  </si>
  <si>
    <t>C0943</t>
  </si>
  <si>
    <t>Customer 943</t>
  </si>
  <si>
    <t>C0168</t>
  </si>
  <si>
    <t>Customer 168</t>
  </si>
  <si>
    <t>C0692</t>
  </si>
  <si>
    <t>Customer 692</t>
  </si>
  <si>
    <t>C1067</t>
  </si>
  <si>
    <t>Customer 1067</t>
  </si>
  <si>
    <t>C0109</t>
  </si>
  <si>
    <t>Customer 109</t>
  </si>
  <si>
    <t>C0728</t>
  </si>
  <si>
    <t>Customer 728</t>
  </si>
  <si>
    <t>C0329</t>
  </si>
  <si>
    <t>Customer 329</t>
  </si>
  <si>
    <t>C0811</t>
  </si>
  <si>
    <t>Customer 811</t>
  </si>
  <si>
    <t>C0526</t>
  </si>
  <si>
    <t>Customer 526</t>
  </si>
  <si>
    <t>C0835</t>
  </si>
  <si>
    <t>Customer 835</t>
  </si>
  <si>
    <t>C0879</t>
  </si>
  <si>
    <t>Customer 879</t>
  </si>
  <si>
    <t>C0355</t>
  </si>
  <si>
    <t>Customer 355</t>
  </si>
  <si>
    <t>C0018</t>
  </si>
  <si>
    <t>Customer 18</t>
  </si>
  <si>
    <t>C0030</t>
  </si>
  <si>
    <t>Customer 30</t>
  </si>
  <si>
    <t>C0017</t>
  </si>
  <si>
    <t>Customer 17</t>
  </si>
  <si>
    <t>C0188</t>
  </si>
  <si>
    <t>Customer 188</t>
  </si>
  <si>
    <t>C0027</t>
  </si>
  <si>
    <t>Customer 27</t>
  </si>
  <si>
    <t>C0237</t>
  </si>
  <si>
    <t>Customer 237</t>
  </si>
  <si>
    <t>C1000</t>
  </si>
  <si>
    <t>Customer 1000</t>
  </si>
  <si>
    <t>C0832</t>
  </si>
  <si>
    <t>Customer 832</t>
  </si>
  <si>
    <t>C0573</t>
  </si>
  <si>
    <t>Customer 573</t>
  </si>
  <si>
    <t>C0303</t>
  </si>
  <si>
    <t>Customer 303</t>
  </si>
  <si>
    <t>C0871</t>
  </si>
  <si>
    <t>Customer 871</t>
  </si>
  <si>
    <t>C0824</t>
  </si>
  <si>
    <t>Customer 824</t>
  </si>
  <si>
    <t>C0175</t>
  </si>
  <si>
    <t>Customer 175</t>
  </si>
  <si>
    <t>C1177</t>
  </si>
  <si>
    <t>Customer 1177</t>
  </si>
  <si>
    <t>C1006</t>
  </si>
  <si>
    <t>Customer 1006</t>
  </si>
  <si>
    <t>C0156</t>
  </si>
  <si>
    <t>Customer 156</t>
  </si>
  <si>
    <t>C0902</t>
  </si>
  <si>
    <t>Customer 902</t>
  </si>
  <si>
    <t>C0913</t>
  </si>
  <si>
    <t>Customer 913</t>
  </si>
  <si>
    <t>C0444</t>
  </si>
  <si>
    <t>Customer 444</t>
  </si>
  <si>
    <t>C0745</t>
  </si>
  <si>
    <t>Customer 745</t>
  </si>
  <si>
    <t>C0550</t>
  </si>
  <si>
    <t>Customer 550</t>
  </si>
  <si>
    <t>C0515</t>
  </si>
  <si>
    <t>Customer 515</t>
  </si>
  <si>
    <t>C0659</t>
  </si>
  <si>
    <t>Customer 659</t>
  </si>
  <si>
    <t>C0233</t>
  </si>
  <si>
    <t>Customer 233</t>
  </si>
  <si>
    <t>C1184</t>
  </si>
  <si>
    <t>Customer 1184</t>
  </si>
  <si>
    <t>C0434</t>
  </si>
  <si>
    <t>Customer 434</t>
  </si>
  <si>
    <t>C0497</t>
  </si>
  <si>
    <t>Customer 497</t>
  </si>
  <si>
    <t>C0977</t>
  </si>
  <si>
    <t>Customer 977</t>
  </si>
  <si>
    <t>C0612</t>
  </si>
  <si>
    <t>Customer 612</t>
  </si>
  <si>
    <t>C0390</t>
  </si>
  <si>
    <t>Customer 390</t>
  </si>
  <si>
    <t>C0945</t>
  </si>
  <si>
    <t>Customer 945</t>
  </si>
  <si>
    <t>C1063</t>
  </si>
  <si>
    <t>Customer 1063</t>
  </si>
  <si>
    <t>C0564</t>
  </si>
  <si>
    <t>Customer 564</t>
  </si>
  <si>
    <t>C0677</t>
  </si>
  <si>
    <t>Customer 677</t>
  </si>
  <si>
    <t>C0363</t>
  </si>
  <si>
    <t>Customer 363</t>
  </si>
  <si>
    <t>C0407</t>
  </si>
  <si>
    <t>Customer 407</t>
  </si>
  <si>
    <t>C1191</t>
  </si>
  <si>
    <t>Customer 1191</t>
  </si>
  <si>
    <t>C0926</t>
  </si>
  <si>
    <t>Customer 926</t>
  </si>
  <si>
    <t>C0162</t>
  </si>
  <si>
    <t>Customer 162</t>
  </si>
  <si>
    <t>C0207</t>
  </si>
  <si>
    <t>Customer 207</t>
  </si>
  <si>
    <t>C0917</t>
  </si>
  <si>
    <t>Customer 917</t>
  </si>
  <si>
    <t>C0214</t>
  </si>
  <si>
    <t>Customer 214</t>
  </si>
  <si>
    <t>C0131</t>
  </si>
  <si>
    <t>Customer 131</t>
  </si>
  <si>
    <t>C0997</t>
  </si>
  <si>
    <t>Customer 997</t>
  </si>
  <si>
    <t>C0369</t>
  </si>
  <si>
    <t>Customer 369</t>
  </si>
  <si>
    <t>C0748</t>
  </si>
  <si>
    <t>Customer 748</t>
  </si>
  <si>
    <t>C0694</t>
  </si>
  <si>
    <t>Customer 694</t>
  </si>
  <si>
    <t>C0570</t>
  </si>
  <si>
    <t>Customer 570</t>
  </si>
  <si>
    <t>C0205</t>
  </si>
  <si>
    <t>Customer 205</t>
  </si>
  <si>
    <t>C0038</t>
  </si>
  <si>
    <t>Customer 38</t>
  </si>
  <si>
    <t>C0687</t>
  </si>
  <si>
    <t>Customer 687</t>
  </si>
  <si>
    <t>C0751</t>
  </si>
  <si>
    <t>Customer 751</t>
  </si>
  <si>
    <t>C0884</t>
  </si>
  <si>
    <t>Customer 884</t>
  </si>
  <si>
    <t>C0428</t>
  </si>
  <si>
    <t>Customer 428</t>
  </si>
  <si>
    <t>C0572</t>
  </si>
  <si>
    <t>Customer 572</t>
  </si>
  <si>
    <t>C1197</t>
  </si>
  <si>
    <t>Customer 1197</t>
  </si>
  <si>
    <t>C1045</t>
  </si>
  <si>
    <t>Customer 1045</t>
  </si>
  <si>
    <t>C0187</t>
  </si>
  <si>
    <t>Customer 187</t>
  </si>
  <si>
    <t>C0100</t>
  </si>
  <si>
    <t>Customer 100</t>
  </si>
  <si>
    <t>C0624</t>
  </si>
  <si>
    <t>Customer 624</t>
  </si>
  <si>
    <t>C0634</t>
  </si>
  <si>
    <t>Customer 634</t>
  </si>
  <si>
    <t>C0923</t>
  </si>
  <si>
    <t>Customer 923</t>
  </si>
  <si>
    <t>C1069</t>
  </si>
  <si>
    <t>Customer 1069</t>
  </si>
  <si>
    <t>C0511</t>
  </si>
  <si>
    <t>Customer 511</t>
  </si>
  <si>
    <t>C0336</t>
  </si>
  <si>
    <t>Customer 336</t>
  </si>
  <si>
    <t>C0286</t>
  </si>
  <si>
    <t>Customer 286</t>
  </si>
  <si>
    <t>C0470</t>
  </si>
  <si>
    <t>Customer 470</t>
  </si>
  <si>
    <t>C0263</t>
  </si>
  <si>
    <t>Customer 263</t>
  </si>
  <si>
    <t>C0039</t>
  </si>
  <si>
    <t>Customer 39</t>
  </si>
  <si>
    <t>C0040</t>
  </si>
  <si>
    <t>Customer 40</t>
  </si>
  <si>
    <t>C0643</t>
  </si>
  <si>
    <t>Customer 643</t>
  </si>
  <si>
    <t>C0661</t>
  </si>
  <si>
    <t>Customer 661</t>
  </si>
  <si>
    <t>C0057</t>
  </si>
  <si>
    <t>Customer 57</t>
  </si>
  <si>
    <t>C0678</t>
  </si>
  <si>
    <t>Customer 678</t>
  </si>
  <si>
    <t>C0609</t>
  </si>
  <si>
    <t>Customer 609</t>
  </si>
  <si>
    <t>C1023</t>
  </si>
  <si>
    <t>Customer 1023</t>
  </si>
  <si>
    <t>C0394</t>
  </si>
  <si>
    <t>Customer 394</t>
  </si>
  <si>
    <t>C0234</t>
  </si>
  <si>
    <t>Customer 234</t>
  </si>
  <si>
    <t>C0276</t>
  </si>
  <si>
    <t>Customer 276</t>
  </si>
  <si>
    <t>C0727</t>
  </si>
  <si>
    <t>Customer 727</t>
  </si>
  <si>
    <t>C0815</t>
  </si>
  <si>
    <t>Customer 815</t>
  </si>
  <si>
    <t>C0976</t>
  </si>
  <si>
    <t>Customer 976</t>
  </si>
  <si>
    <t>C1146</t>
  </si>
  <si>
    <t>Customer 1146</t>
  </si>
  <si>
    <t>C1168</t>
  </si>
  <si>
    <t>Customer 1168</t>
  </si>
  <si>
    <t>C1130</t>
  </si>
  <si>
    <t>Customer 1130</t>
  </si>
  <si>
    <t>C0480</t>
  </si>
  <si>
    <t>Customer 480</t>
  </si>
  <si>
    <t>C0801</t>
  </si>
  <si>
    <t>Customer 801</t>
  </si>
  <si>
    <t>C0968</t>
  </si>
  <si>
    <t>Customer 968</t>
  </si>
  <si>
    <t>C0280</t>
  </si>
  <si>
    <t>Customer 280</t>
  </si>
  <si>
    <t>C0176</t>
  </si>
  <si>
    <t>Customer 176</t>
  </si>
  <si>
    <t>C0502</t>
  </si>
  <si>
    <t>Customer 502</t>
  </si>
  <si>
    <t>C0250</t>
  </si>
  <si>
    <t>Customer 250</t>
  </si>
  <si>
    <t>C0375</t>
  </si>
  <si>
    <t>Customer 375</t>
  </si>
  <si>
    <t>C0509</t>
  </si>
  <si>
    <t>Customer 509</t>
  </si>
  <si>
    <t>C1158</t>
  </si>
  <si>
    <t>Customer 1158</t>
  </si>
  <si>
    <t>C0240</t>
  </si>
  <si>
    <t>Customer 240</t>
  </si>
  <si>
    <t>C0802</t>
  </si>
  <si>
    <t>Customer 802</t>
  </si>
  <si>
    <t>C1172</t>
  </si>
  <si>
    <t>Customer 1172</t>
  </si>
  <si>
    <t>C0450</t>
  </si>
  <si>
    <t>Customer 450</t>
  </si>
  <si>
    <t>C0084</t>
  </si>
  <si>
    <t>Customer 84</t>
  </si>
  <si>
    <t>C0155</t>
  </si>
  <si>
    <t>Customer 155</t>
  </si>
  <si>
    <t>C1159</t>
  </si>
  <si>
    <t>Customer 1159</t>
  </si>
  <si>
    <t>C1068</t>
  </si>
  <si>
    <t>Customer 1068</t>
  </si>
  <si>
    <t>C0862</t>
  </si>
  <si>
    <t>Customer 862</t>
  </si>
  <si>
    <t>C0456</t>
  </si>
  <si>
    <t>Customer 456</t>
  </si>
  <si>
    <t>C0889</t>
  </si>
  <si>
    <t>Customer 889</t>
  </si>
  <si>
    <t>C1167</t>
  </si>
  <si>
    <t>Customer 1167</t>
  </si>
  <si>
    <t>C0382</t>
  </si>
  <si>
    <t>Customer 382</t>
  </si>
  <si>
    <t>C0566</t>
  </si>
  <si>
    <t>Customer 566</t>
  </si>
  <si>
    <t>C0674</t>
  </si>
  <si>
    <t>Customer 674</t>
  </si>
  <si>
    <t>C0063</t>
  </si>
  <si>
    <t>Customer 63</t>
  </si>
  <si>
    <t>C1140</t>
  </si>
  <si>
    <t>Customer 1140</t>
  </si>
  <si>
    <t>C0910</t>
  </si>
  <si>
    <t>Customer 910</t>
  </si>
  <si>
    <t>C0183</t>
  </si>
  <si>
    <t>Customer 183</t>
  </si>
  <si>
    <t>C0527</t>
  </si>
  <si>
    <t>Customer 527</t>
  </si>
  <si>
    <t>C0427</t>
  </si>
  <si>
    <t>Customer 427</t>
  </si>
  <si>
    <t>C0397</t>
  </si>
  <si>
    <t>Customer 397</t>
  </si>
  <si>
    <t>C0717</t>
  </si>
  <si>
    <t>Customer 717</t>
  </si>
  <si>
    <t>C0062</t>
  </si>
  <si>
    <t>Customer 62</t>
  </si>
  <si>
    <t>C1055</t>
  </si>
  <si>
    <t>Customer 1055</t>
  </si>
  <si>
    <t>C0530</t>
  </si>
  <si>
    <t>Customer 530</t>
  </si>
  <si>
    <t>C0069</t>
  </si>
  <si>
    <t>Customer 69</t>
  </si>
  <si>
    <t>C0770</t>
  </si>
  <si>
    <t>Customer 770</t>
  </si>
  <si>
    <t>C1151</t>
  </si>
  <si>
    <t>Customer 1151</t>
  </si>
  <si>
    <t>C0270</t>
  </si>
  <si>
    <t>Customer 270</t>
  </si>
  <si>
    <t>C0058</t>
  </si>
  <si>
    <t>Customer 58</t>
  </si>
  <si>
    <t>C0765</t>
  </si>
  <si>
    <t>Customer 765</t>
  </si>
  <si>
    <t>C0338</t>
  </si>
  <si>
    <t>Customer 338</t>
  </si>
  <si>
    <t>C0090</t>
  </si>
  <si>
    <t>Customer 90</t>
  </si>
  <si>
    <t>C0310</t>
  </si>
  <si>
    <t>Customer 310</t>
  </si>
  <si>
    <t>C0042</t>
  </si>
  <si>
    <t>Customer 42</t>
  </si>
  <si>
    <t>C0821</t>
  </si>
  <si>
    <t>Customer 821</t>
  </si>
  <si>
    <t>C0807</t>
  </si>
  <si>
    <t>Customer 807</t>
  </si>
  <si>
    <t>C0617</t>
  </si>
  <si>
    <t>Customer 617</t>
  </si>
  <si>
    <t>C0367</t>
  </si>
  <si>
    <t>Customer 367</t>
  </si>
  <si>
    <t>C0608</t>
  </si>
  <si>
    <t>Customer 608</t>
  </si>
  <si>
    <t>C1084</t>
  </si>
  <si>
    <t>Customer 1084</t>
  </si>
  <si>
    <t>C0733</t>
  </si>
  <si>
    <t>Customer 733</t>
  </si>
  <si>
    <t>C0993</t>
  </si>
  <si>
    <t>Customer 993</t>
  </si>
  <si>
    <t>C0389</t>
  </si>
  <si>
    <t>Customer 389</t>
  </si>
  <si>
    <t>C0406</t>
  </si>
  <si>
    <t>Customer 406</t>
  </si>
  <si>
    <t>C0633</t>
  </si>
  <si>
    <t>Customer 633</t>
  </si>
  <si>
    <t>C1100</t>
  </si>
  <si>
    <t>Customer 1100</t>
  </si>
  <si>
    <t>C1086</t>
  </si>
  <si>
    <t>Customer 1086</t>
  </si>
  <si>
    <t>C0785</t>
  </si>
  <si>
    <t>Customer 785</t>
  </si>
  <si>
    <t>C0035</t>
  </si>
  <si>
    <t>Customer 35</t>
  </si>
  <si>
    <t>C0615</t>
  </si>
  <si>
    <t>Customer 615</t>
  </si>
  <si>
    <t>C0005</t>
  </si>
  <si>
    <t>Customer 5</t>
  </si>
  <si>
    <t>C0708</t>
  </si>
  <si>
    <t>Customer 708</t>
  </si>
  <si>
    <t>C0688</t>
  </si>
  <si>
    <t>Customer 688</t>
  </si>
  <si>
    <t>C0699</t>
  </si>
  <si>
    <t>Customer 699</t>
  </si>
  <si>
    <t>C0321</t>
  </si>
  <si>
    <t>Customer 321</t>
  </si>
  <si>
    <t>C1056</t>
  </si>
  <si>
    <t>Customer 1056</t>
  </si>
  <si>
    <t>C0742</t>
  </si>
  <si>
    <t>Customer 742</t>
  </si>
  <si>
    <t>C0671</t>
  </si>
  <si>
    <t>Customer 671</t>
  </si>
  <si>
    <t>C1142</t>
  </si>
  <si>
    <t>Customer 1142</t>
  </si>
  <si>
    <t>C0232</t>
  </si>
  <si>
    <t>Customer 232</t>
  </si>
  <si>
    <t>C0243</t>
  </si>
  <si>
    <t>Customer 243</t>
  </si>
  <si>
    <t>C0875</t>
  </si>
  <si>
    <t>Customer 875</t>
  </si>
  <si>
    <t>C0002</t>
  </si>
  <si>
    <t>Customer 2</t>
  </si>
  <si>
    <t>C1196</t>
  </si>
  <si>
    <t>Customer 1196</t>
  </si>
  <si>
    <t>C0134</t>
  </si>
  <si>
    <t>Customer 134</t>
  </si>
  <si>
    <t>C0327</t>
  </si>
  <si>
    <t>Customer 327</t>
  </si>
  <si>
    <t>C1156</t>
  </si>
  <si>
    <t>Customer 1156</t>
  </si>
  <si>
    <t>C0498</t>
  </si>
  <si>
    <t>Customer 498</t>
  </si>
  <si>
    <t>C0650</t>
  </si>
  <si>
    <t>Customer 650</t>
  </si>
  <si>
    <t>C0476</t>
  </si>
  <si>
    <t>Customer 476</t>
  </si>
  <si>
    <t>C0236</t>
  </si>
  <si>
    <t>Customer 236</t>
  </si>
  <si>
    <t>C1132</t>
  </si>
  <si>
    <t>Customer 1132</t>
  </si>
  <si>
    <t>C1155</t>
  </si>
  <si>
    <t>Customer 1155</t>
  </si>
  <si>
    <t>C0718</t>
  </si>
  <si>
    <t>Customer 718</t>
  </si>
  <si>
    <t>C0707</t>
  </si>
  <si>
    <t>Customer 707</t>
  </si>
  <si>
    <t>C0657</t>
  </si>
  <si>
    <t>Customer 657</t>
  </si>
  <si>
    <t>C0460</t>
  </si>
  <si>
    <t>Customer 460</t>
  </si>
  <si>
    <t>C1002</t>
  </si>
  <si>
    <t>Customer 1002</t>
  </si>
  <si>
    <t>C0701</t>
  </si>
  <si>
    <t>Customer 701</t>
  </si>
  <si>
    <t>C0249</t>
  </si>
  <si>
    <t>Customer 249</t>
  </si>
  <si>
    <t>C0423</t>
  </si>
  <si>
    <t>Customer 423</t>
  </si>
  <si>
    <t>C0372</t>
  </si>
  <si>
    <t>Customer 372</t>
  </si>
  <si>
    <t>C1134</t>
  </si>
  <si>
    <t>Customer 1134</t>
  </si>
  <si>
    <t>C0595</t>
  </si>
  <si>
    <t>Customer 595</t>
  </si>
  <si>
    <t>C1013</t>
  </si>
  <si>
    <t>Customer 1013</t>
  </si>
  <si>
    <t>C0735</t>
  </si>
  <si>
    <t>Customer 735</t>
  </si>
  <si>
    <t>C0746</t>
  </si>
  <si>
    <t>Customer 746</t>
  </si>
  <si>
    <t>C0065</t>
  </si>
  <si>
    <t>Customer 65</t>
  </si>
  <si>
    <t>C0108</t>
  </si>
  <si>
    <t>Customer 108</t>
  </si>
  <si>
    <t>C0106</t>
  </si>
  <si>
    <t>Customer 106</t>
  </si>
  <si>
    <t>C0920</t>
  </si>
  <si>
    <t>Customer 920</t>
  </si>
  <si>
    <t>C0332</t>
  </si>
  <si>
    <t>Customer 332</t>
  </si>
  <si>
    <t>C0822</t>
  </si>
  <si>
    <t>Customer 822</t>
  </si>
  <si>
    <t>C1047</t>
  </si>
  <si>
    <t>Customer 1047</t>
  </si>
  <si>
    <t>C0068</t>
  </si>
  <si>
    <t>Customer 68</t>
  </si>
  <si>
    <t>C1007</t>
  </si>
  <si>
    <t>Customer 1007</t>
  </si>
  <si>
    <t>C0512</t>
  </si>
  <si>
    <t>Customer 512</t>
  </si>
  <si>
    <t>C0204</t>
  </si>
  <si>
    <t>Customer 204</t>
  </si>
  <si>
    <t>C1143</t>
  </si>
  <si>
    <t>Customer 1143</t>
  </si>
  <si>
    <t>C0278</t>
  </si>
  <si>
    <t>Customer 278</t>
  </si>
  <si>
    <t>C1062</t>
  </si>
  <si>
    <t>Customer 1062</t>
  </si>
  <si>
    <t>C0316</t>
  </si>
  <si>
    <t>Customer 316</t>
  </si>
  <si>
    <t>C0331</t>
  </si>
  <si>
    <t>Customer 331</t>
  </si>
  <si>
    <t>C0799</t>
  </si>
  <si>
    <t>Customer 799</t>
  </si>
  <si>
    <t>C0215</t>
  </si>
  <si>
    <t>Customer 215</t>
  </si>
  <si>
    <t>C0820</t>
  </si>
  <si>
    <t>Customer 820</t>
  </si>
  <si>
    <t>C0604</t>
  </si>
  <si>
    <t>Customer 604</t>
  </si>
  <si>
    <t>C0868</t>
  </si>
  <si>
    <t>Customer 868</t>
  </si>
  <si>
    <t>C0422</t>
  </si>
  <si>
    <t>Customer 422</t>
  </si>
  <si>
    <t>C1075</t>
  </si>
  <si>
    <t>Customer 1075</t>
  </si>
  <si>
    <t>C0334</t>
  </si>
  <si>
    <t>Customer 334</t>
  </si>
  <si>
    <t>C0691</t>
  </si>
  <si>
    <t>Customer 691</t>
  </si>
  <si>
    <t>C0690</t>
  </si>
  <si>
    <t>Customer 690</t>
  </si>
  <si>
    <t>C0819</t>
  </si>
  <si>
    <t>Customer 819</t>
  </si>
  <si>
    <t>C1123</t>
  </si>
  <si>
    <t>Customer 1123</t>
  </si>
  <si>
    <t>C0191</t>
  </si>
  <si>
    <t>Customer 191</t>
  </si>
  <si>
    <t>C0037</t>
  </si>
  <si>
    <t>Customer 37</t>
  </si>
  <si>
    <t>C0610</t>
  </si>
  <si>
    <t>Customer 610</t>
  </si>
  <si>
    <t>C0560</t>
  </si>
  <si>
    <t>Customer 560</t>
  </si>
  <si>
    <t>C1042</t>
  </si>
  <si>
    <t>Customer 1042</t>
  </si>
  <si>
    <t>C0645</t>
  </si>
  <si>
    <t>Customer 645</t>
  </si>
  <si>
    <t>C0192</t>
  </si>
  <si>
    <t>Customer 192</t>
  </si>
  <si>
    <t>C1111</t>
  </si>
  <si>
    <t>Customer 1111</t>
  </si>
  <si>
    <t>C0036</t>
  </si>
  <si>
    <t>Customer 36</t>
  </si>
  <si>
    <t>C0218</t>
  </si>
  <si>
    <t>Customer 218</t>
  </si>
  <si>
    <t>C1020</t>
  </si>
  <si>
    <t>Customer 1020</t>
  </si>
  <si>
    <t>C0066</t>
  </si>
  <si>
    <t>Customer 66</t>
  </si>
  <si>
    <t>C0167</t>
  </si>
  <si>
    <t>Customer 167</t>
  </si>
  <si>
    <t>C0893</t>
  </si>
  <si>
    <t>Customer 893</t>
  </si>
  <si>
    <t>C0955</t>
  </si>
  <si>
    <t>Customer 955</t>
  </si>
  <si>
    <t>C0359</t>
  </si>
  <si>
    <t>Customer 359</t>
  </si>
  <si>
    <t>C0980</t>
  </si>
  <si>
    <t>Customer 980</t>
  </si>
  <si>
    <t>C1170</t>
  </si>
  <si>
    <t>Customer 1170</t>
  </si>
  <si>
    <t>C0031</t>
  </si>
  <si>
    <t>Customer 31</t>
  </si>
  <si>
    <t>C0963</t>
  </si>
  <si>
    <t>Customer 963</t>
  </si>
  <si>
    <t>C0938</t>
  </si>
  <si>
    <t>Customer 938</t>
  </si>
  <si>
    <t>C0858</t>
  </si>
  <si>
    <t>Customer 858</t>
  </si>
  <si>
    <t>C1046</t>
  </si>
  <si>
    <t>Customer 1046</t>
  </si>
  <si>
    <t>C0198</t>
  </si>
  <si>
    <t>Customer 198</t>
  </si>
  <si>
    <t>C0413</t>
  </si>
  <si>
    <t>Customer 413</t>
  </si>
  <si>
    <t>C0845</t>
  </si>
  <si>
    <t>Customer 845</t>
  </si>
  <si>
    <t>C0684</t>
  </si>
  <si>
    <t>Customer 684</t>
  </si>
  <si>
    <t>C1027</t>
  </si>
  <si>
    <t>Customer 1027</t>
  </si>
  <si>
    <t>C0177</t>
  </si>
  <si>
    <t>Customer 177</t>
  </si>
  <si>
    <t>C0178</t>
  </si>
  <si>
    <t>Customer 178</t>
  </si>
  <si>
    <t>C0469</t>
  </si>
  <si>
    <t>Customer 469</t>
  </si>
  <si>
    <t>C0627</t>
  </si>
  <si>
    <t>Customer 627</t>
  </si>
  <si>
    <t>C0813</t>
  </si>
  <si>
    <t>Customer 813</t>
  </si>
  <si>
    <t>C0767</t>
  </si>
  <si>
    <t>Customer 767</t>
  </si>
  <si>
    <t>C0954</t>
  </si>
  <si>
    <t>Customer 954</t>
  </si>
  <si>
    <t>C0492</t>
  </si>
  <si>
    <t>Customer 492</t>
  </si>
  <si>
    <t>C1125</t>
  </si>
  <si>
    <t>Customer 1125</t>
  </si>
  <si>
    <t>C1198</t>
  </si>
  <si>
    <t>Customer 1198</t>
  </si>
  <si>
    <t>C0891</t>
  </si>
  <si>
    <t>Customer 891</t>
  </si>
  <si>
    <t>C0760</t>
  </si>
  <si>
    <t>Customer 760</t>
  </si>
  <si>
    <t>C0663</t>
  </si>
  <si>
    <t>Customer 663</t>
  </si>
  <si>
    <t>C0769</t>
  </si>
  <si>
    <t>Customer 769</t>
  </si>
  <si>
    <t>C0759</t>
  </si>
  <si>
    <t>Customer 759</t>
  </si>
  <si>
    <t>C1114</t>
  </si>
  <si>
    <t>Customer 1114</t>
  </si>
  <si>
    <t>C0554</t>
  </si>
  <si>
    <t>Customer 554</t>
  </si>
  <si>
    <t>C0012</t>
  </si>
  <si>
    <t>Customer 12</t>
  </si>
  <si>
    <t>C0990</t>
  </si>
  <si>
    <t>Customer 990</t>
  </si>
  <si>
    <t>C0082</t>
  </si>
  <si>
    <t>Customer 82</t>
  </si>
  <si>
    <t>C0409</t>
  </si>
  <si>
    <t>Customer 409</t>
  </si>
  <si>
    <t>C0220</t>
  </si>
  <si>
    <t>Customer 220</t>
  </si>
  <si>
    <t>C0021</t>
  </si>
  <si>
    <t>Customer 21</t>
  </si>
  <si>
    <t>C0895</t>
  </si>
  <si>
    <t>Customer 895</t>
  </si>
  <si>
    <t>C0721</t>
  </si>
  <si>
    <t>Customer 721</t>
  </si>
  <si>
    <t>C0462</t>
  </si>
  <si>
    <t>Customer 462</t>
  </si>
  <si>
    <t>C1059</t>
  </si>
  <si>
    <t>Customer 1059</t>
  </si>
  <si>
    <t>C0716</t>
  </si>
  <si>
    <t>Customer 716</t>
  </si>
  <si>
    <t>C1099</t>
  </si>
  <si>
    <t>Customer 1099</t>
  </si>
  <si>
    <t>C1052</t>
  </si>
  <si>
    <t>Customer 1052</t>
  </si>
  <si>
    <t>C0885</t>
  </si>
  <si>
    <t>Customer 885</t>
  </si>
  <si>
    <t>C0535</t>
  </si>
  <si>
    <t>Customer 535</t>
  </si>
  <si>
    <t>C0738</t>
  </si>
  <si>
    <t>Customer 738</t>
  </si>
  <si>
    <t>C0403</t>
  </si>
  <si>
    <t>Customer 403</t>
  </si>
  <si>
    <t>C0482</t>
  </si>
  <si>
    <t>Customer 482</t>
  </si>
  <si>
    <t>C0686</t>
  </si>
  <si>
    <t>Customer 686</t>
  </si>
  <si>
    <t>C0764</t>
  </si>
  <si>
    <t>Customer 764</t>
  </si>
  <si>
    <t>C0148</t>
  </si>
  <si>
    <t>Customer 148</t>
  </si>
  <si>
    <t>C0457</t>
  </si>
  <si>
    <t>Customer 457</t>
  </si>
  <si>
    <t>C0860</t>
  </si>
  <si>
    <t>Customer 860</t>
  </si>
  <si>
    <t>C0540</t>
  </si>
  <si>
    <t>Customer 540</t>
  </si>
  <si>
    <t>C0877</t>
  </si>
  <si>
    <t>Customer 877</t>
  </si>
  <si>
    <t>C0979</t>
  </si>
  <si>
    <t>Customer 979</t>
  </si>
  <si>
    <t>C1162</t>
  </si>
  <si>
    <t>Customer 1162</t>
  </si>
  <si>
    <t>C0998</t>
  </si>
  <si>
    <t>Customer 998</t>
  </si>
  <si>
    <t>C0582</t>
  </si>
  <si>
    <t>Customer 582</t>
  </si>
  <si>
    <t>C0298</t>
  </si>
  <si>
    <t>Customer 298</t>
  </si>
  <si>
    <t>C0486</t>
  </si>
  <si>
    <t>Customer 486</t>
  </si>
  <si>
    <t>C0213</t>
  </si>
  <si>
    <t>Customer 213</t>
  </si>
  <si>
    <t>C0050</t>
  </si>
  <si>
    <t>Customer 50</t>
  </si>
  <si>
    <t>C0265</t>
  </si>
  <si>
    <t>Customer 265</t>
  </si>
  <si>
    <t>C0463</t>
  </si>
  <si>
    <t>Customer 463</t>
  </si>
  <si>
    <t>C1108</t>
  </si>
  <si>
    <t>Customer 1108</t>
  </si>
  <si>
    <t>C0654</t>
  </si>
  <si>
    <t>Customer 654</t>
  </si>
  <si>
    <t>C0401</t>
  </si>
  <si>
    <t>Customer 401</t>
  </si>
  <si>
    <t>C1044</t>
  </si>
  <si>
    <t>Customer 1044</t>
  </si>
  <si>
    <t>C0173</t>
  </si>
  <si>
    <t>Customer 173</t>
  </si>
  <si>
    <t>C0496</t>
  </si>
  <si>
    <t>Customer 496</t>
  </si>
  <si>
    <t>C0129</t>
  </si>
  <si>
    <t>Customer 129</t>
  </si>
  <si>
    <t>C0571</t>
  </si>
  <si>
    <t>Customer 571</t>
  </si>
  <si>
    <t>C0153</t>
  </si>
  <si>
    <t>Customer 153</t>
  </si>
  <si>
    <t>C0844</t>
  </si>
  <si>
    <t>Customer 844</t>
  </si>
  <si>
    <t>C0706</t>
  </si>
  <si>
    <t>Customer 706</t>
  </si>
  <si>
    <t>C0312</t>
  </si>
  <si>
    <t>Customer 312</t>
  </si>
  <si>
    <t>C0825</t>
  </si>
  <si>
    <t>Customer 825</t>
  </si>
  <si>
    <t>C1004</t>
  </si>
  <si>
    <t>Customer 1004</t>
  </si>
  <si>
    <t>C0863</t>
  </si>
  <si>
    <t>Customer 863</t>
  </si>
  <si>
    <t>C0956</t>
  </si>
  <si>
    <t>Customer 956</t>
  </si>
  <si>
    <t>C0144</t>
  </si>
  <si>
    <t>Customer 144</t>
  </si>
  <si>
    <t>C0579</t>
  </si>
  <si>
    <t>Customer 579</t>
  </si>
  <si>
    <t>C0019</t>
  </si>
  <si>
    <t>Customer 19</t>
  </si>
  <si>
    <t>C0939</t>
  </si>
  <si>
    <t>Customer 939</t>
  </si>
  <si>
    <t>C0793</t>
  </si>
  <si>
    <t>Customer 793</t>
  </si>
  <si>
    <t>C0324</t>
  </si>
  <si>
    <t>Customer 324</t>
  </si>
  <si>
    <t>C1053</t>
  </si>
  <si>
    <t>Customer 1053</t>
  </si>
  <si>
    <t>C0886</t>
  </si>
  <si>
    <t>Customer 886</t>
  </si>
  <si>
    <t>C0919</t>
  </si>
  <si>
    <t>Customer 919</t>
  </si>
  <si>
    <t>C1118</t>
  </si>
  <si>
    <t>Customer 1118</t>
  </si>
  <si>
    <t>C1017</t>
  </si>
  <si>
    <t>Customer 1017</t>
  </si>
  <si>
    <t>C0731</t>
  </si>
  <si>
    <t>Customer 731</t>
  </si>
  <si>
    <t>C0861</t>
  </si>
  <si>
    <t>Customer 861</t>
  </si>
  <si>
    <t>C0160</t>
  </si>
  <si>
    <t>Customer 160</t>
  </si>
  <si>
    <t>C0193</t>
  </si>
  <si>
    <t>Customer 193</t>
  </si>
  <si>
    <t>C0729</t>
  </si>
  <si>
    <t>Customer 729</t>
  </si>
  <si>
    <t>C0723</t>
  </si>
  <si>
    <t>Customer 723</t>
  </si>
  <si>
    <t>C0596</t>
  </si>
  <si>
    <t>Customer 596</t>
  </si>
  <si>
    <t>C0490</t>
  </si>
  <si>
    <t>Customer 490</t>
  </si>
  <si>
    <t>C0493</t>
  </si>
  <si>
    <t>Customer 493</t>
  </si>
  <si>
    <t>C0823</t>
  </si>
  <si>
    <t>Customer 823</t>
  </si>
  <si>
    <t>C0640</t>
  </si>
  <si>
    <t>Customer 640</t>
  </si>
  <si>
    <t>C0679</t>
  </si>
  <si>
    <t>Customer 679</t>
  </si>
  <si>
    <t>C0437</t>
  </si>
  <si>
    <t>Customer 437</t>
  </si>
  <si>
    <t>C0656</t>
  </si>
  <si>
    <t>Customer 656</t>
  </si>
  <si>
    <t>C0221</t>
  </si>
  <si>
    <t>Customer 221</t>
  </si>
  <si>
    <t>C0507</t>
  </si>
  <si>
    <t>Customer 507</t>
  </si>
  <si>
    <t>C0182</t>
  </si>
  <si>
    <t>Customer 182</t>
  </si>
  <si>
    <t>C0381</t>
  </si>
  <si>
    <t>Customer 381</t>
  </si>
  <si>
    <t>C0076</t>
  </si>
  <si>
    <t>Customer 76</t>
  </si>
  <si>
    <t>C0260</t>
  </si>
  <si>
    <t>Customer 260</t>
  </si>
  <si>
    <t>C0362</t>
  </si>
  <si>
    <t>Customer 362</t>
  </si>
  <si>
    <t>C0274</t>
  </si>
  <si>
    <t>Customer 274</t>
  </si>
  <si>
    <t>C0505</t>
  </si>
  <si>
    <t>Customer 505</t>
  </si>
  <si>
    <t>C1124</t>
  </si>
  <si>
    <t>Customer 1124</t>
  </si>
  <si>
    <t>C0859</t>
  </si>
  <si>
    <t>Customer 859</t>
  </si>
  <si>
    <t>C0632</t>
  </si>
  <si>
    <t>Customer 632</t>
  </si>
  <si>
    <t>C0146</t>
  </si>
  <si>
    <t>Customer 146</t>
  </si>
  <si>
    <t>C0455</t>
  </si>
  <si>
    <t>Customer 455</t>
  </si>
  <si>
    <t>C0552</t>
  </si>
  <si>
    <t>Customer 552</t>
  </si>
  <si>
    <t>C0597</t>
  </si>
  <si>
    <t>Customer 597</t>
  </si>
  <si>
    <t>C0702</t>
  </si>
  <si>
    <t>Customer 702</t>
  </si>
  <si>
    <t>C0549</t>
  </si>
  <si>
    <t>Customer 549</t>
  </si>
  <si>
    <t>C0940</t>
  </si>
  <si>
    <t>Customer 940</t>
  </si>
  <si>
    <t>C0852</t>
  </si>
  <si>
    <t>Customer 852</t>
  </si>
  <si>
    <t>C0876</t>
  </si>
  <si>
    <t>Customer 876</t>
  </si>
  <si>
    <t>C0071</t>
  </si>
  <si>
    <t>Customer 71</t>
  </si>
  <si>
    <t>C0533</t>
  </si>
  <si>
    <t>Customer 533</t>
  </si>
  <si>
    <t>C0790</t>
  </si>
  <si>
    <t>Customer 790</t>
  </si>
  <si>
    <t>C0025</t>
  </si>
  <si>
    <t>Customer 25</t>
  </si>
  <si>
    <t>C0853</t>
  </si>
  <si>
    <t>Customer 853</t>
  </si>
  <si>
    <t>C0805</t>
  </si>
  <si>
    <t>Customer 805</t>
  </si>
  <si>
    <t>C0736</t>
  </si>
  <si>
    <t>Customer 736</t>
  </si>
  <si>
    <t>C0951</t>
  </si>
  <si>
    <t>Customer 951</t>
  </si>
  <si>
    <t>C0157</t>
  </si>
  <si>
    <t>Customer 157</t>
  </si>
  <si>
    <t>C0028</t>
  </si>
  <si>
    <t>Customer 28</t>
  </si>
  <si>
    <t>C0088</t>
  </si>
  <si>
    <t>Customer 88</t>
  </si>
  <si>
    <t>C0393</t>
  </si>
  <si>
    <t>Customer 393</t>
  </si>
  <si>
    <t>C0305</t>
  </si>
  <si>
    <t>Customer 305</t>
  </si>
  <si>
    <t>C0272</t>
  </si>
  <si>
    <t>Customer 272</t>
  </si>
  <si>
    <t>C0662</t>
  </si>
  <si>
    <t>Customer 662</t>
  </si>
  <si>
    <t>C0139</t>
  </si>
  <si>
    <t>Customer 139</t>
  </si>
  <si>
    <t>C0073</t>
  </si>
  <si>
    <t>Customer 73</t>
  </si>
  <si>
    <t>C0711</t>
  </si>
  <si>
    <t>Customer 711</t>
  </si>
  <si>
    <t>C0285</t>
  </si>
  <si>
    <t>Customer 285</t>
  </si>
  <si>
    <t>C0487</t>
  </si>
  <si>
    <t>Customer 487</t>
  </si>
  <si>
    <t>C0625</t>
  </si>
  <si>
    <t>Customer 625</t>
  </si>
  <si>
    <t>C0289</t>
  </si>
  <si>
    <t>Customer 289</t>
  </si>
  <si>
    <t>C1181</t>
  </si>
  <si>
    <t>Customer 1181</t>
  </si>
  <si>
    <t>C0594</t>
  </si>
  <si>
    <t>Customer 594</t>
  </si>
  <si>
    <t>C0227</t>
  </si>
  <si>
    <t>Customer 227</t>
  </si>
  <si>
    <t>C0537</t>
  </si>
  <si>
    <t>Customer 537</t>
  </si>
  <si>
    <t>C0377</t>
  </si>
  <si>
    <t>Customer 377</t>
  </si>
  <si>
    <t>C0567</t>
  </si>
  <si>
    <t>Customer 567</t>
  </si>
  <si>
    <t>C0514</t>
  </si>
  <si>
    <t>Customer 514</t>
  </si>
  <si>
    <t>C0892</t>
  </si>
  <si>
    <t>Customer 892</t>
  </si>
  <si>
    <t>C0442</t>
  </si>
  <si>
    <t>Customer 442</t>
  </si>
  <si>
    <t>C0563</t>
  </si>
  <si>
    <t>Customer 563</t>
  </si>
  <si>
    <t>C1174</t>
  </si>
  <si>
    <t>Customer 1174</t>
  </si>
  <si>
    <t>C0459</t>
  </si>
  <si>
    <t>Customer 459</t>
  </si>
  <si>
    <t>C0449</t>
  </si>
  <si>
    <t>Customer 449</t>
  </si>
  <si>
    <t>C0887</t>
  </si>
  <si>
    <t>Customer 887</t>
  </si>
  <si>
    <t>C0258</t>
  </si>
  <si>
    <t>Customer 258</t>
  </si>
  <si>
    <t>C0946</t>
  </si>
  <si>
    <t>Customer 946</t>
  </si>
  <si>
    <t>C0347</t>
  </si>
  <si>
    <t>Customer 347</t>
  </si>
  <si>
    <t>C0536</t>
  </si>
  <si>
    <t>Customer 536</t>
  </si>
  <si>
    <t>C0070</t>
  </si>
  <si>
    <t>Customer 70</t>
  </si>
  <si>
    <t>C0210</t>
  </si>
  <si>
    <t>Customer 210</t>
  </si>
  <si>
    <t>C0282</t>
  </si>
  <si>
    <t>Customer 282</t>
  </si>
  <si>
    <t>C0534</t>
  </si>
  <si>
    <t>Customer 534</t>
  </si>
  <si>
    <t>C0366</t>
  </si>
  <si>
    <t>Customer 366</t>
  </si>
  <si>
    <t>C0341</t>
  </si>
  <si>
    <t>Customer 341</t>
  </si>
  <si>
    <t>C0216</t>
  </si>
  <si>
    <t>Customer 216</t>
  </si>
  <si>
    <t>C0443</t>
  </si>
  <si>
    <t>Customer 443</t>
  </si>
  <si>
    <t>C1040</t>
  </si>
  <si>
    <t>Customer 1040</t>
  </si>
  <si>
    <t>C0279</t>
  </si>
  <si>
    <t>Customer 279</t>
  </si>
  <si>
    <t>C0788</t>
  </si>
  <si>
    <t>Customer 788</t>
  </si>
  <si>
    <t>C1070</t>
  </si>
  <si>
    <t>Customer 1070</t>
  </si>
  <si>
    <t>C0683</t>
  </si>
  <si>
    <t>Customer 683</t>
  </si>
  <si>
    <t>C0417</t>
  </si>
  <si>
    <t>Customer 417</t>
  </si>
  <si>
    <t>C0126</t>
  </si>
  <si>
    <t>Customer 126</t>
  </si>
  <si>
    <t>C0200</t>
  </si>
  <si>
    <t>Customer 200</t>
  </si>
  <si>
    <t>C0529</t>
  </si>
  <si>
    <t>Customer 529</t>
  </si>
  <si>
    <t>C1009</t>
  </si>
  <si>
    <t>Customer 1009</t>
  </si>
  <si>
    <t>C0110</t>
  </si>
  <si>
    <t>Customer 110</t>
  </si>
  <si>
    <t>C0740</t>
  </si>
  <si>
    <t>Customer 740</t>
  </si>
  <si>
    <t>C0908</t>
  </si>
  <si>
    <t>Customer 908</t>
  </si>
  <si>
    <t>C0387</t>
  </si>
  <si>
    <t>Customer 387</t>
  </si>
  <si>
    <t>C1171</t>
  </si>
  <si>
    <t>Customer 1171</t>
  </si>
  <si>
    <t>C0547</t>
  </si>
  <si>
    <t>Customer 547</t>
  </si>
  <si>
    <t>C0318</t>
  </si>
  <si>
    <t>Customer 318</t>
  </si>
  <si>
    <t>C0115</t>
  </si>
  <si>
    <t>Customer 115</t>
  </si>
  <si>
    <t>C1011</t>
  </si>
  <si>
    <t>Customer 1011</t>
  </si>
  <si>
    <t>C0268</t>
  </si>
  <si>
    <t>Customer 268</t>
  </si>
  <si>
    <t>C0749</t>
  </si>
  <si>
    <t>Customer 749</t>
  </si>
  <si>
    <t>C0418</t>
  </si>
  <si>
    <t>Customer 418</t>
  </si>
  <si>
    <t>C0931</t>
  </si>
  <si>
    <t>Customer 931</t>
  </si>
  <si>
    <t>C0970</t>
  </si>
  <si>
    <t>Customer 970</t>
  </si>
  <si>
    <t>C0800</t>
  </si>
  <si>
    <t>Customer 800</t>
  </si>
  <si>
    <t>C0975</t>
  </si>
  <si>
    <t>Customer 975</t>
  </si>
  <si>
    <t>C0670</t>
  </si>
  <si>
    <t>Customer 670</t>
  </si>
  <si>
    <t>C0576</t>
  </si>
  <si>
    <t>Customer 576</t>
  </si>
  <si>
    <t>C0758</t>
  </si>
  <si>
    <t>Customer 758</t>
  </si>
  <si>
    <t>C0641</t>
  </si>
  <si>
    <t>Customer 641</t>
  </si>
  <si>
    <t>C0905</t>
  </si>
  <si>
    <t>Customer 905</t>
  </si>
  <si>
    <t>C0414</t>
  </si>
  <si>
    <t>Customer 414</t>
  </si>
  <si>
    <t>C0447</t>
  </si>
  <si>
    <t>Customer 447</t>
  </si>
  <si>
    <t>C1061</t>
  </si>
  <si>
    <t>Customer 1061</t>
  </si>
  <si>
    <t>C0199</t>
  </si>
  <si>
    <t>Customer 199</t>
  </si>
  <si>
    <t>C0309</t>
  </si>
  <si>
    <t>Customer 309</t>
  </si>
  <si>
    <t>C0867</t>
  </si>
  <si>
    <t>Customer 867</t>
  </si>
  <si>
    <t>C0340</t>
  </si>
  <si>
    <t>Customer 340</t>
  </si>
  <si>
    <t>C1154</t>
  </si>
  <si>
    <t>Customer 1154</t>
  </si>
  <si>
    <t>C0424</t>
  </si>
  <si>
    <t>Customer 424</t>
  </si>
  <si>
    <t>C0262</t>
  </si>
  <si>
    <t>Customer 262</t>
  </si>
  <si>
    <t>C0391</t>
  </si>
  <si>
    <t>Customer 391</t>
  </si>
  <si>
    <t>C0429</t>
  </si>
  <si>
    <t>Customer 429</t>
  </si>
  <si>
    <t>C0555</t>
  </si>
  <si>
    <t>Customer 555</t>
  </si>
  <si>
    <t>C0402</t>
  </si>
  <si>
    <t>Customer 402</t>
  </si>
  <si>
    <t>C0241</t>
  </si>
  <si>
    <t>Customer 241</t>
  </si>
  <si>
    <t>C0261</t>
  </si>
  <si>
    <t>Customer 261</t>
  </si>
  <si>
    <t>C0763</t>
  </si>
  <si>
    <t>Customer 763</t>
  </si>
  <si>
    <t>C0024</t>
  </si>
  <si>
    <t>Customer 24</t>
  </si>
  <si>
    <t>C1049</t>
  </si>
  <si>
    <t>Customer 1049</t>
  </si>
  <si>
    <t>C0921</t>
  </si>
  <si>
    <t>Customer 921</t>
  </si>
  <si>
    <t>C0364</t>
  </si>
  <si>
    <t>Customer 364</t>
  </si>
  <si>
    <t>C0287</t>
  </si>
  <si>
    <t>Customer 287</t>
  </si>
  <si>
    <t>C0791</t>
  </si>
  <si>
    <t>Customer 791</t>
  </si>
  <si>
    <t>C0712</t>
  </si>
  <si>
    <t>Customer 712</t>
  </si>
  <si>
    <t>C0116</t>
  </si>
  <si>
    <t>Customer 116</t>
  </si>
  <si>
    <t>C0238</t>
  </si>
  <si>
    <t>Customer 238</t>
  </si>
  <si>
    <t>C0253</t>
  </si>
  <si>
    <t>Customer 253</t>
  </si>
  <si>
    <t>C0644</t>
  </si>
  <si>
    <t>Customer 644</t>
  </si>
  <si>
    <t>C0613</t>
  </si>
  <si>
    <t>Customer 613</t>
  </si>
  <si>
    <t>C0513</t>
  </si>
  <si>
    <t>Customer 513</t>
  </si>
  <si>
    <t>C0744</t>
  </si>
  <si>
    <t>Customer 744</t>
  </si>
  <si>
    <t>C0598</t>
  </si>
  <si>
    <t>Customer 598</t>
  </si>
  <si>
    <t>C0103</t>
  </si>
  <si>
    <t>Customer 103</t>
  </si>
  <si>
    <t>C1057</t>
  </si>
  <si>
    <t>Customer 1057</t>
  </si>
  <si>
    <t>C0219</t>
  </si>
  <si>
    <t>Customer 219</t>
  </si>
  <si>
    <t>C0787</t>
  </si>
  <si>
    <t>Customer 787</t>
  </si>
  <si>
    <t>C1079</t>
  </si>
  <si>
    <t>Customer 1079</t>
  </si>
  <si>
    <t>C0499</t>
  </si>
  <si>
    <t>Customer 499</t>
  </si>
  <si>
    <t>C0857</t>
  </si>
  <si>
    <t>Customer 857</t>
  </si>
  <si>
    <t>C0936</t>
  </si>
  <si>
    <t>Customer 936</t>
  </si>
  <si>
    <t>C0588</t>
  </si>
  <si>
    <t>Customer 588</t>
  </si>
  <si>
    <t>C1109</t>
  </si>
  <si>
    <t>Customer 1109</t>
  </si>
  <si>
    <t>C0777</t>
  </si>
  <si>
    <t>Customer 777</t>
  </si>
  <si>
    <t>C1022</t>
  </si>
  <si>
    <t>Customer 1022</t>
  </si>
  <si>
    <t>C0700</t>
  </si>
  <si>
    <t>Customer 700</t>
  </si>
  <si>
    <t>C1031</t>
  </si>
  <si>
    <t>Customer 1031</t>
  </si>
  <si>
    <t>C0281</t>
  </si>
  <si>
    <t>Customer 281</t>
  </si>
  <si>
    <t>C0301</t>
  </si>
  <si>
    <t>Customer 301</t>
  </si>
  <si>
    <t>C0669</t>
  </si>
  <si>
    <t>Customer 669</t>
  </si>
  <si>
    <t>C0812</t>
  </si>
  <si>
    <t>Customer 812</t>
  </si>
  <si>
    <t>C0400</t>
  </si>
  <si>
    <t>Customer 400</t>
  </si>
  <si>
    <t>C0971</t>
  </si>
  <si>
    <t>Customer 971</t>
  </si>
  <si>
    <t>C0578</t>
  </si>
  <si>
    <t>Customer 578</t>
  </si>
  <si>
    <t>C0104</t>
  </si>
  <si>
    <t>Customer 104</t>
  </si>
  <si>
    <t>C0489</t>
  </si>
  <si>
    <t>Customer 489</t>
  </si>
  <si>
    <t>C0781</t>
  </si>
  <si>
    <t>Customer 781</t>
  </si>
  <si>
    <t>C0494</t>
  </si>
  <si>
    <t>Customer 494</t>
  </si>
  <si>
    <t>C0831</t>
  </si>
  <si>
    <t>Customer 831</t>
  </si>
  <si>
    <t>C1128</t>
  </si>
  <si>
    <t>Customer 1128</t>
  </si>
  <si>
    <t>C0254</t>
  </si>
  <si>
    <t>Customer 254</t>
  </si>
  <si>
    <t>C0408</t>
  </si>
  <si>
    <t>Customer 408</t>
  </si>
  <si>
    <t>C0320</t>
  </si>
  <si>
    <t>Customer 320</t>
  </si>
  <si>
    <t>C1089</t>
  </si>
  <si>
    <t>Customer 1089</t>
  </si>
  <si>
    <t>C0061</t>
  </si>
  <si>
    <t>Customer 61</t>
  </si>
  <si>
    <t>C0356</t>
  </si>
  <si>
    <t>Customer 356</t>
  </si>
  <si>
    <t>C0299</t>
  </si>
  <si>
    <t>Customer 299</t>
  </si>
  <si>
    <t>C0553</t>
  </si>
  <si>
    <t>Customer 553</t>
  </si>
  <si>
    <t>C1003</t>
  </si>
  <si>
    <t>Customer 1003</t>
  </si>
  <si>
    <t>C0047</t>
  </si>
  <si>
    <t>Customer 47</t>
  </si>
  <si>
    <t>C0472</t>
  </si>
  <si>
    <t>Customer 472</t>
  </si>
  <si>
    <t>C0135</t>
  </si>
  <si>
    <t>Customer 135</t>
  </si>
  <si>
    <t>C0932</t>
  </si>
  <si>
    <t>Customer 932</t>
  </si>
  <si>
    <t>C0267</t>
  </si>
  <si>
    <t>Customer 267</t>
  </si>
  <si>
    <t>C0435</t>
  </si>
  <si>
    <t>Customer 435</t>
  </si>
  <si>
    <t>C0995</t>
  </si>
  <si>
    <t>Customer 995</t>
  </si>
  <si>
    <t>C0228</t>
  </si>
  <si>
    <t>Customer 228</t>
  </si>
  <si>
    <t>C0345</t>
  </si>
  <si>
    <t>Customer 345</t>
  </si>
  <si>
    <t>C0333</t>
  </si>
  <si>
    <t>Customer 333</t>
  </si>
  <si>
    <t>C0416</t>
  </si>
  <si>
    <t>Customer 416</t>
  </si>
  <si>
    <t>C0653</t>
  </si>
  <si>
    <t>Customer 653</t>
  </si>
  <si>
    <t>C0411</t>
  </si>
  <si>
    <t>Customer 411</t>
  </si>
  <si>
    <t>C0252</t>
  </si>
  <si>
    <t>Customer 252</t>
  </si>
  <si>
    <t>C1122</t>
  </si>
  <si>
    <t>Customer 1122</t>
  </si>
  <si>
    <t>C0064</t>
  </si>
  <si>
    <t>Customer 64</t>
  </si>
  <si>
    <t>C0907</t>
  </si>
  <si>
    <t>Customer 907</t>
  </si>
  <si>
    <t>C0911</t>
  </si>
  <si>
    <t>Customer 911</t>
  </si>
  <si>
    <t>C1080</t>
  </si>
  <si>
    <t>Customer 1080</t>
  </si>
  <si>
    <t>C0164</t>
  </si>
  <si>
    <t>Customer 164</t>
  </si>
  <si>
    <t>C0947</t>
  </si>
  <si>
    <t>Customer 947</t>
  </si>
  <si>
    <t>C0903</t>
  </si>
  <si>
    <t>Customer 903</t>
  </si>
  <si>
    <t>C0349</t>
  </si>
  <si>
    <t>Customer 349</t>
  </si>
  <si>
    <t>C0827</t>
  </si>
  <si>
    <t>Customer 827</t>
  </si>
  <si>
    <t>C0223</t>
  </si>
  <si>
    <t>Customer 223</t>
  </si>
  <si>
    <t>C0778</t>
  </si>
  <si>
    <t>Customer 778</t>
  </si>
  <si>
    <t>C0041</t>
  </si>
  <si>
    <t>Customer 41</t>
  </si>
  <si>
    <t>C0481</t>
  </si>
  <si>
    <t>Customer 481</t>
  </si>
  <si>
    <t>C0695</t>
  </si>
  <si>
    <t>Customer 695</t>
  </si>
  <si>
    <t>C0558</t>
  </si>
  <si>
    <t>Customer 558</t>
  </si>
  <si>
    <t>C0551</t>
  </si>
  <si>
    <t>Customer 551</t>
  </si>
  <si>
    <t>C0166</t>
  </si>
  <si>
    <t>Customer 166</t>
  </si>
  <si>
    <t>C0273</t>
  </si>
  <si>
    <t>Customer 273</t>
  </si>
  <si>
    <t>C0138</t>
  </si>
  <si>
    <t>Customer 138</t>
  </si>
  <si>
    <t>C0179</t>
  </si>
  <si>
    <t>Customer 179</t>
  </si>
  <si>
    <t>C0143</t>
  </si>
  <si>
    <t>Customer 143</t>
  </si>
  <si>
    <t>C0004</t>
  </si>
  <si>
    <t>Customer 4</t>
  </si>
  <si>
    <t>C0323</t>
  </si>
  <si>
    <t>Customer 323</t>
  </si>
  <si>
    <t>C0346</t>
  </si>
  <si>
    <t>Customer 346</t>
  </si>
  <si>
    <t>C0881</t>
  </si>
  <si>
    <t>Customer 881</t>
  </si>
  <si>
    <t>C0720</t>
  </si>
  <si>
    <t>Customer 720</t>
  </si>
  <si>
    <t>C0405</t>
  </si>
  <si>
    <t>Customer 405</t>
  </si>
  <si>
    <t>C0789</t>
  </si>
  <si>
    <t>Customer 789</t>
  </si>
  <si>
    <t>C0966</t>
  </si>
  <si>
    <t>Customer 966</t>
  </si>
  <si>
    <t>C0374</t>
  </si>
  <si>
    <t>Customer 374</t>
  </si>
  <si>
    <t>C0833</t>
  </si>
  <si>
    <t>Customer 833</t>
  </si>
  <si>
    <t>C0961</t>
  </si>
  <si>
    <t>Customer 961</t>
  </si>
  <si>
    <t>C0006</t>
  </si>
  <si>
    <t>Customer 6</t>
  </si>
  <si>
    <t>C0637</t>
  </si>
  <si>
    <t>Customer 637</t>
  </si>
  <si>
    <t>C1104</t>
  </si>
  <si>
    <t>Customer 1104</t>
  </si>
  <si>
    <t>C0714</t>
  </si>
  <si>
    <t>Customer 714</t>
  </si>
  <si>
    <t>C1064</t>
  </si>
  <si>
    <t>Customer 1064</t>
  </si>
  <si>
    <t>C0675</t>
  </si>
  <si>
    <t>Customer 675</t>
  </si>
  <si>
    <t>C0081</t>
  </si>
  <si>
    <t>Customer 81</t>
  </si>
  <si>
    <t>C1001</t>
  </si>
  <si>
    <t>Customer 1001</t>
  </si>
  <si>
    <t>C1126</t>
  </si>
  <si>
    <t>Customer 1126</t>
  </si>
  <si>
    <t>C0782</t>
  </si>
  <si>
    <t>Customer 782</t>
  </si>
  <si>
    <t>C0226</t>
  </si>
  <si>
    <t>Customer 226</t>
  </si>
  <si>
    <t>C0602</t>
  </si>
  <si>
    <t>Customer 602</t>
  </si>
  <si>
    <t>C0350</t>
  </si>
  <si>
    <t>Customer 350</t>
  </si>
  <si>
    <t>C0574</t>
  </si>
  <si>
    <t>Customer 574</t>
  </si>
  <si>
    <t>C0808</t>
  </si>
  <si>
    <t>Customer 808</t>
  </si>
  <si>
    <t>C0658</t>
  </si>
  <si>
    <t>Customer 658</t>
  </si>
  <si>
    <t>C1103</t>
  </si>
  <si>
    <t>Customer 1103</t>
  </si>
  <si>
    <t>C1112</t>
  </si>
  <si>
    <t>Customer 1112</t>
  </si>
  <si>
    <t>C0696</t>
  </si>
  <si>
    <t>Customer 696</t>
  </si>
  <si>
    <t>C1138</t>
  </si>
  <si>
    <t>Customer 1138</t>
  </si>
  <si>
    <t>C0611</t>
  </si>
  <si>
    <t>Customer 611</t>
  </si>
  <si>
    <t>C0163</t>
  </si>
  <si>
    <t>Customer 163</t>
  </si>
  <si>
    <t>C0958</t>
  </si>
  <si>
    <t>Customer 958</t>
  </si>
  <si>
    <t>C1008</t>
  </si>
  <si>
    <t>Customer 1008</t>
  </si>
  <si>
    <t>C0048</t>
  </si>
  <si>
    <t>Customer 48</t>
  </si>
  <si>
    <t>C0888</t>
  </si>
  <si>
    <t>Customer 888</t>
  </si>
  <si>
    <t>C1021</t>
  </si>
  <si>
    <t>Customer 1021</t>
  </si>
  <si>
    <t>C0556</t>
  </si>
  <si>
    <t>Customer 556</t>
  </si>
  <si>
    <t>C0432</t>
  </si>
  <si>
    <t>Customer 432</t>
  </si>
  <si>
    <t>C0248</t>
  </si>
  <si>
    <t>Customer 248</t>
  </si>
  <si>
    <t>C0922</t>
  </si>
  <si>
    <t>Customer 922</t>
  </si>
  <si>
    <t>C0352</t>
  </si>
  <si>
    <t>Customer 352</t>
  </si>
  <si>
    <t>C1141</t>
  </si>
  <si>
    <t>Customer 1141</t>
  </si>
  <si>
    <t>C0430</t>
  </si>
  <si>
    <t>Customer 430</t>
  </si>
  <si>
    <t>C0843</t>
  </si>
  <si>
    <t>Customer 843</t>
  </si>
  <si>
    <t>C0425</t>
  </si>
  <si>
    <t>Customer 425</t>
  </si>
  <si>
    <t>C0809</t>
  </si>
  <si>
    <t>Customer 809</t>
  </si>
  <si>
    <t>C0184</t>
  </si>
  <si>
    <t>Customer 184</t>
  </si>
  <si>
    <t>C1074</t>
  </si>
  <si>
    <t>Customer 1074</t>
  </si>
  <si>
    <t>C0448</t>
  </si>
  <si>
    <t>Customer 448</t>
  </si>
  <si>
    <t>C0119</t>
  </si>
  <si>
    <t>Customer 119</t>
  </si>
  <si>
    <t>C0510</t>
  </si>
  <si>
    <t>Customer 510</t>
  </si>
  <si>
    <t>C1148</t>
  </si>
  <si>
    <t>Customer 1148</t>
  </si>
  <si>
    <t>C0404</t>
  </si>
  <si>
    <t>Customer 404</t>
  </si>
  <si>
    <t>C0003</t>
  </si>
  <si>
    <t>Customer 3</t>
  </si>
  <si>
    <t>C1195</t>
  </si>
  <si>
    <t>Customer 1195</t>
  </si>
  <si>
    <t>C0914</t>
  </si>
  <si>
    <t>Customer 914</t>
  </si>
  <si>
    <t>C0075</t>
  </si>
  <si>
    <t>Customer 75</t>
  </si>
  <si>
    <t>C1182</t>
  </si>
  <si>
    <t>Customer 1182</t>
  </si>
  <si>
    <t>C1157</t>
  </si>
  <si>
    <t>Customer 1157</t>
  </si>
  <si>
    <t>C1096</t>
  </si>
  <si>
    <t>Customer 1096</t>
  </si>
  <si>
    <t>C0458</t>
  </si>
  <si>
    <t>Customer 458</t>
  </si>
  <si>
    <t>C0798</t>
  </si>
  <si>
    <t>Customer 798</t>
  </si>
  <si>
    <t>C0906</t>
  </si>
  <si>
    <t>Customer 906</t>
  </si>
  <si>
    <t>C0866</t>
  </si>
  <si>
    <t>Customer 866</t>
  </si>
  <si>
    <t>C0212</t>
  </si>
  <si>
    <t>Customer 212</t>
  </si>
  <si>
    <t>C0326</t>
  </si>
  <si>
    <t>Customer 326</t>
  </si>
  <si>
    <t>C0752</t>
  </si>
  <si>
    <t>Customer 752</t>
  </si>
  <si>
    <t>C0665</t>
  </si>
  <si>
    <t>Customer 665</t>
  </si>
  <si>
    <t>C1098</t>
  </si>
  <si>
    <t>Customer 1098</t>
  </si>
  <si>
    <t>C0569</t>
  </si>
  <si>
    <t>Customer 569</t>
  </si>
  <si>
    <t>C0007</t>
  </si>
  <si>
    <t>Customer 7</t>
  </si>
  <si>
    <t>C0439</t>
  </si>
  <si>
    <t>Customer 439</t>
  </si>
  <si>
    <t>C0539</t>
  </si>
  <si>
    <t>Customer 539</t>
  </si>
  <si>
    <t>C0957</t>
  </si>
  <si>
    <t>Customer 957</t>
  </si>
  <si>
    <t>C0750</t>
  </si>
  <si>
    <t>Customer 750</t>
  </si>
  <si>
    <t>C0682</t>
  </si>
  <si>
    <t>Customer 682</t>
  </si>
  <si>
    <t>C1085</t>
  </si>
  <si>
    <t>Customer 1085</t>
  </si>
  <si>
    <t>C0996</t>
  </si>
  <si>
    <t>Customer 996</t>
  </si>
  <si>
    <t>C0055</t>
  </si>
  <si>
    <t>Customer 55</t>
  </si>
  <si>
    <t>C0170</t>
  </si>
  <si>
    <t>Customer 170</t>
  </si>
  <si>
    <t>C0229</t>
  </si>
  <si>
    <t>Customer 229</t>
  </si>
  <si>
    <t>C0445</t>
  </si>
  <si>
    <t>Customer 445</t>
  </si>
  <si>
    <t>C0322</t>
  </si>
  <si>
    <t>Customer 322</t>
  </si>
  <si>
    <t>C1135</t>
  </si>
  <si>
    <t>Customer 1135</t>
  </si>
  <si>
    <t>C0101</t>
  </si>
  <si>
    <t>Customer 101</t>
  </si>
  <si>
    <t>C1015</t>
  </si>
  <si>
    <t>Customer 1015</t>
  </si>
  <si>
    <t>C0941</t>
  </si>
  <si>
    <t>Customer 941</t>
  </si>
  <si>
    <t>C0124</t>
  </si>
  <si>
    <t>Customer 124</t>
  </si>
  <si>
    <t>C0894</t>
  </si>
  <si>
    <t>Customer 894</t>
  </si>
  <si>
    <t>C0141</t>
  </si>
  <si>
    <t>Customer 141</t>
  </si>
  <si>
    <t>C0292</t>
  </si>
  <si>
    <t>Customer 292</t>
  </si>
  <si>
    <t>C0631</t>
  </si>
  <si>
    <t>Customer 631</t>
  </si>
  <si>
    <t>C0045</t>
  </si>
  <si>
    <t>Customer 45</t>
  </si>
  <si>
    <t>C0918</t>
  </si>
  <si>
    <t>Customer 918</t>
  </si>
  <si>
    <t>C0622</t>
  </si>
  <si>
    <t>Customer 622</t>
  </si>
  <si>
    <t>C0693</t>
  </si>
  <si>
    <t>Customer 693</t>
  </si>
  <si>
    <t>C0203</t>
  </si>
  <si>
    <t>Customer 203</t>
  </si>
  <si>
    <t>C0517</t>
  </si>
  <si>
    <t>Customer 517</t>
  </si>
  <si>
    <t>C0277</t>
  </si>
  <si>
    <t>Customer 277</t>
  </si>
  <si>
    <t>C0266</t>
  </si>
  <si>
    <t>Customer 266</t>
  </si>
  <si>
    <t>C0681</t>
  </si>
  <si>
    <t>Customer 681</t>
  </si>
  <si>
    <t>C0488</t>
  </si>
  <si>
    <t>Customer 488</t>
  </si>
  <si>
    <t>C0796</t>
  </si>
  <si>
    <t>Customer 796</t>
  </si>
  <si>
    <t>C0883</t>
  </si>
  <si>
    <t>Customer 883</t>
  </si>
  <si>
    <t>C0087</t>
  </si>
  <si>
    <t>Customer 87</t>
  </si>
  <si>
    <t>C0747</t>
  </si>
  <si>
    <t>Customer 747</t>
  </si>
  <si>
    <t>C0524</t>
  </si>
  <si>
    <t>Customer 524</t>
  </si>
  <si>
    <t>C1150</t>
  </si>
  <si>
    <t>Customer 1150</t>
  </si>
  <si>
    <t>C0636</t>
  </si>
  <si>
    <t>Customer 636</t>
  </si>
  <si>
    <t>C0548</t>
  </si>
  <si>
    <t>Customer 548</t>
  </si>
  <si>
    <t>C1010</t>
  </si>
  <si>
    <t>Customer 1010</t>
  </si>
  <si>
    <t>C0020</t>
  </si>
  <si>
    <t>Customer 20</t>
  </si>
  <si>
    <t>C0461</t>
  </si>
  <si>
    <t>Customer 461</t>
  </si>
  <si>
    <t>C0882</t>
  </si>
  <si>
    <t>Customer 882</t>
  </si>
  <si>
    <t>C0668</t>
  </si>
  <si>
    <t>Customer 668</t>
  </si>
  <si>
    <t>C0451</t>
  </si>
  <si>
    <t>Customer 451</t>
  </si>
  <si>
    <t>C0981</t>
  </si>
  <si>
    <t>Customer 981</t>
  </si>
  <si>
    <t>C1087</t>
  </si>
  <si>
    <t>Customer 1087</t>
  </si>
  <si>
    <t>C0137</t>
  </si>
  <si>
    <t>Customer 137</t>
  </si>
  <si>
    <t>C0854</t>
  </si>
  <si>
    <t>Customer 854</t>
  </si>
  <si>
    <t>C0189</t>
  </si>
  <si>
    <t>Customer 189</t>
  </si>
  <si>
    <t>C0098</t>
  </si>
  <si>
    <t>Customer 98</t>
  </si>
  <si>
    <t>C0485</t>
  </si>
  <si>
    <t>Customer 485</t>
  </si>
  <si>
    <t>C1078</t>
  </si>
  <si>
    <t>Customer 1078</t>
  </si>
  <si>
    <t>C0337</t>
  </si>
  <si>
    <t>Customer 337</t>
  </si>
  <si>
    <t>C0642</t>
  </si>
  <si>
    <t>Customer 642</t>
  </si>
  <si>
    <t>C0208</t>
  </si>
  <si>
    <t>Customer 208</t>
  </si>
  <si>
    <t>C1073</t>
  </si>
  <si>
    <t>Customer 1073</t>
  </si>
  <si>
    <t>C0829</t>
  </si>
  <si>
    <t>Customer 829</t>
  </si>
  <si>
    <t>C0022</t>
  </si>
  <si>
    <t>Customer 22</t>
  </si>
  <si>
    <t>C0817</t>
  </si>
  <si>
    <t>Customer 817</t>
  </si>
  <si>
    <t>C1147</t>
  </si>
  <si>
    <t>Customer 1147</t>
  </si>
  <si>
    <t>C1065</t>
  </si>
  <si>
    <t>Customer 1065</t>
  </si>
  <si>
    <t>C1145</t>
  </si>
  <si>
    <t>Customer 1145</t>
  </si>
  <si>
    <t>C0689</t>
  </si>
  <si>
    <t>Customer 689</t>
  </si>
  <si>
    <t>C1116</t>
  </si>
  <si>
    <t>Customer 1116</t>
  </si>
  <si>
    <t>C0929</t>
  </si>
  <si>
    <t>Customer 929</t>
  </si>
  <si>
    <t>C0972</t>
  </si>
  <si>
    <t>Customer 972</t>
  </si>
  <si>
    <t>C0313</t>
  </si>
  <si>
    <t>Customer 313</t>
  </si>
  <si>
    <t>C0953</t>
  </si>
  <si>
    <t>Customer 953</t>
  </si>
  <si>
    <t>C0585</t>
  </si>
  <si>
    <t>Customer 585</t>
  </si>
  <si>
    <t>C0388</t>
  </si>
  <si>
    <t>Customer 388</t>
  </si>
  <si>
    <t>C0358</t>
  </si>
  <si>
    <t>Customer 358</t>
  </si>
  <si>
    <t>C0102</t>
  </si>
  <si>
    <t>Customer 102</t>
  </si>
  <si>
    <t>C0190</t>
  </si>
  <si>
    <t>Customer 190</t>
  </si>
  <si>
    <t>C0467</t>
  </si>
  <si>
    <t>Customer 467</t>
  </si>
  <si>
    <t>C0734</t>
  </si>
  <si>
    <t>Customer 734</t>
  </si>
  <si>
    <t>C0577</t>
  </si>
  <si>
    <t>Customer 577</t>
  </si>
  <si>
    <t>C0545</t>
  </si>
  <si>
    <t>Customer 545</t>
  </si>
  <si>
    <t>C0083</t>
  </si>
  <si>
    <t>Customer 83</t>
  </si>
  <si>
    <t>C0737</t>
  </si>
  <si>
    <t>Customer 737</t>
  </si>
  <si>
    <t>C0477</t>
  </si>
  <si>
    <t>Customer 477</t>
  </si>
  <si>
    <t>C0709</t>
  </si>
  <si>
    <t>Customer 709</t>
  </si>
  <si>
    <t>C0128</t>
  </si>
  <si>
    <t>Customer 128</t>
  </si>
  <si>
    <t>C1149</t>
  </si>
  <si>
    <t>Customer 1149</t>
  </si>
  <si>
    <t>C0538</t>
  </si>
  <si>
    <t>Customer 538</t>
  </si>
  <si>
    <t>C1106</t>
  </si>
  <si>
    <t>Customer 1106</t>
  </si>
  <si>
    <t>C0523</t>
  </si>
  <si>
    <t>Customer 523</t>
  </si>
  <si>
    <t>C0174</t>
  </si>
  <si>
    <t>Customer 174</t>
  </si>
  <si>
    <t>C0772</t>
  </si>
  <si>
    <t>Customer 772</t>
  </si>
  <si>
    <t>C0965</t>
  </si>
  <si>
    <t>Customer 965</t>
  </si>
  <si>
    <t>C0685</t>
  </si>
  <si>
    <t>Customer 685</t>
  </si>
  <si>
    <t>C0779</t>
  </si>
  <si>
    <t>Customer 779</t>
  </si>
  <si>
    <t>C0354</t>
  </si>
  <si>
    <t>Customer 354</t>
  </si>
  <si>
    <t>C0630</t>
  </si>
  <si>
    <t>Customer 630</t>
  </si>
  <si>
    <t>C0043</t>
  </si>
  <si>
    <t>Customer 43</t>
  </si>
  <si>
    <t>C0054</t>
  </si>
  <si>
    <t>Customer 54</t>
  </si>
  <si>
    <t>C0629</t>
  </si>
  <si>
    <t>Customer 629</t>
  </si>
  <si>
    <t>C0033</t>
  </si>
  <si>
    <t>Customer 33</t>
  </si>
  <si>
    <t>Order_ID</t>
  </si>
  <si>
    <t>Order_Date</t>
  </si>
  <si>
    <t>Month_Name</t>
  </si>
  <si>
    <t>Quarter</t>
  </si>
  <si>
    <t>Age</t>
  </si>
  <si>
    <t>Age_Group</t>
  </si>
  <si>
    <t>Product_ID</t>
  </si>
  <si>
    <t>Product_Name</t>
  </si>
  <si>
    <t>Sub_Category</t>
  </si>
  <si>
    <t>Quantity</t>
  </si>
  <si>
    <t>Unit_Price</t>
  </si>
  <si>
    <t>Sales</t>
  </si>
  <si>
    <t>Profit</t>
  </si>
  <si>
    <t>Payment_Mode</t>
  </si>
  <si>
    <t>Order_Status</t>
  </si>
  <si>
    <t>Marketing_Channel</t>
  </si>
  <si>
    <t>Rating</t>
  </si>
  <si>
    <t>Shipping_Cost</t>
  </si>
  <si>
    <t>Marketing_Cost</t>
  </si>
  <si>
    <t>Net_Profit</t>
  </si>
  <si>
    <t>Year_Month</t>
  </si>
  <si>
    <t>ORD004686</t>
  </si>
  <si>
    <t>Jan</t>
  </si>
  <si>
    <t>Q1</t>
  </si>
  <si>
    <t>Siliguri</t>
  </si>
  <si>
    <t>P016</t>
  </si>
  <si>
    <t>ORD000757</t>
  </si>
  <si>
    <t>Udaipur</t>
  </si>
  <si>
    <t>P014</t>
  </si>
  <si>
    <t>ORD000708</t>
  </si>
  <si>
    <t>Nashik</t>
  </si>
  <si>
    <t>P002</t>
  </si>
  <si>
    <t>ORD002080</t>
  </si>
  <si>
    <t>P008</t>
  </si>
  <si>
    <t>ORD004948</t>
  </si>
  <si>
    <t>P005</t>
  </si>
  <si>
    <t>ORD000988</t>
  </si>
  <si>
    <t>Ahmedabad</t>
  </si>
  <si>
    <t>P011</t>
  </si>
  <si>
    <t>ORD000531</t>
  </si>
  <si>
    <t>Warangal</t>
  </si>
  <si>
    <t>P017</t>
  </si>
  <si>
    <t>ORD004781</t>
  </si>
  <si>
    <t>P012</t>
  </si>
  <si>
    <t>ORD000379</t>
  </si>
  <si>
    <t>P015</t>
  </si>
  <si>
    <t>ORD001696</t>
  </si>
  <si>
    <t>P018</t>
  </si>
  <si>
    <t>ORD003432</t>
  </si>
  <si>
    <t>ORD000936</t>
  </si>
  <si>
    <t>Vadodara</t>
  </si>
  <si>
    <t>ORD004022</t>
  </si>
  <si>
    <t>P013</t>
  </si>
  <si>
    <t>ORD004109</t>
  </si>
  <si>
    <t>P001</t>
  </si>
  <si>
    <t>ORD002021</t>
  </si>
  <si>
    <t>Jaipur</t>
  </si>
  <si>
    <t>P009</t>
  </si>
  <si>
    <t>ORD003950</t>
  </si>
  <si>
    <t>ORD002413</t>
  </si>
  <si>
    <t>ORD002073</t>
  </si>
  <si>
    <t>Muzaffarpur</t>
  </si>
  <si>
    <t>ORD001230</t>
  </si>
  <si>
    <t>Patna</t>
  </si>
  <si>
    <t>ORD001882</t>
  </si>
  <si>
    <t>ORD004730</t>
  </si>
  <si>
    <t>ORD003529</t>
  </si>
  <si>
    <t>Surat</t>
  </si>
  <si>
    <t>ORD000725</t>
  </si>
  <si>
    <t>ORD003583</t>
  </si>
  <si>
    <t>ORD004336</t>
  </si>
  <si>
    <t>ORD001741</t>
  </si>
  <si>
    <t>ORD001425</t>
  </si>
  <si>
    <t>ORD001679</t>
  </si>
  <si>
    <t>Hyderabad</t>
  </si>
  <si>
    <t>ORD003540</t>
  </si>
  <si>
    <t>ORD004736</t>
  </si>
  <si>
    <t>P003</t>
  </si>
  <si>
    <t>ORD001327</t>
  </si>
  <si>
    <t>ORD002012</t>
  </si>
  <si>
    <t>ORD003919</t>
  </si>
  <si>
    <t>P020</t>
  </si>
  <si>
    <t>ORD003101</t>
  </si>
  <si>
    <t>ORD002752</t>
  </si>
  <si>
    <t>ORD004459</t>
  </si>
  <si>
    <t>Mumbai</t>
  </si>
  <si>
    <t>ORD002067</t>
  </si>
  <si>
    <t>ORD002840</t>
  </si>
  <si>
    <t>Gaya</t>
  </si>
  <si>
    <t>ORD004121</t>
  </si>
  <si>
    <t>ORD001514</t>
  </si>
  <si>
    <t>ORD003297</t>
  </si>
  <si>
    <t>ORD002685</t>
  </si>
  <si>
    <t>ORD000175</t>
  </si>
  <si>
    <t>ORD002513</t>
  </si>
  <si>
    <t>P007</t>
  </si>
  <si>
    <t>ORD000665</t>
  </si>
  <si>
    <t>Kolkata</t>
  </si>
  <si>
    <t>P006</t>
  </si>
  <si>
    <t>ORD002697</t>
  </si>
  <si>
    <t>ORD004862</t>
  </si>
  <si>
    <t>ORD000103</t>
  </si>
  <si>
    <t>ORD004372</t>
  </si>
  <si>
    <t>ORD000590</t>
  </si>
  <si>
    <t>P019</t>
  </si>
  <si>
    <t>ORD002781</t>
  </si>
  <si>
    <t>ORD001238</t>
  </si>
  <si>
    <t>ORD002153</t>
  </si>
  <si>
    <t>P010</t>
  </si>
  <si>
    <t>ORD001188</t>
  </si>
  <si>
    <t>ORD004369</t>
  </si>
  <si>
    <t>ORD000368</t>
  </si>
  <si>
    <t>Coimbatore</t>
  </si>
  <si>
    <t>ORD002796</t>
  </si>
  <si>
    <t>ORD003350</t>
  </si>
  <si>
    <t>ORD003666</t>
  </si>
  <si>
    <t>P004</t>
  </si>
  <si>
    <t>ORD004531</t>
  </si>
  <si>
    <t>ORD000937</t>
  </si>
  <si>
    <t>ORD001921</t>
  </si>
  <si>
    <t>ORD000994</t>
  </si>
  <si>
    <t>ORD003943</t>
  </si>
  <si>
    <t>ORD003639</t>
  </si>
  <si>
    <t>ORD000558</t>
  </si>
  <si>
    <t>ORD004355</t>
  </si>
  <si>
    <t>Madurai</t>
  </si>
  <si>
    <t>ORD003083</t>
  </si>
  <si>
    <t>ORD003696</t>
  </si>
  <si>
    <t>ORD003026</t>
  </si>
  <si>
    <t>ORD001367</t>
  </si>
  <si>
    <t>Jodhpur</t>
  </si>
  <si>
    <t>ORD002816</t>
  </si>
  <si>
    <t>ORD003761</t>
  </si>
  <si>
    <t>ORD004344</t>
  </si>
  <si>
    <t>ORD002633</t>
  </si>
  <si>
    <t>ORD001221</t>
  </si>
  <si>
    <t>ORD004945</t>
  </si>
  <si>
    <t>ORD002141</t>
  </si>
  <si>
    <t>Mangaluru</t>
  </si>
  <si>
    <t>ORD003028</t>
  </si>
  <si>
    <t>ORD000386</t>
  </si>
  <si>
    <t>Durgapur</t>
  </si>
  <si>
    <t>ORD000002</t>
  </si>
  <si>
    <t>ORD004288</t>
  </si>
  <si>
    <t>ORD004062</t>
  </si>
  <si>
    <t>ORD004925</t>
  </si>
  <si>
    <t>ORD002813</t>
  </si>
  <si>
    <t>ORD003144</t>
  </si>
  <si>
    <t>ORD001018</t>
  </si>
  <si>
    <t>ORD001331</t>
  </si>
  <si>
    <t>ORD000841</t>
  </si>
  <si>
    <t>ORD003928</t>
  </si>
  <si>
    <t>ORD003863</t>
  </si>
  <si>
    <t>ORD001788</t>
  </si>
  <si>
    <t>ORD003667</t>
  </si>
  <si>
    <t>ORD000625</t>
  </si>
  <si>
    <t>ORD002430</t>
  </si>
  <si>
    <t>ORD001060</t>
  </si>
  <si>
    <t>ORD000438</t>
  </si>
  <si>
    <t>ORD001204</t>
  </si>
  <si>
    <t>ORD003359</t>
  </si>
  <si>
    <t>ORD003722</t>
  </si>
  <si>
    <t>ORD003705</t>
  </si>
  <si>
    <t>ORD001631</t>
  </si>
  <si>
    <t>ORD001987</t>
  </si>
  <si>
    <t>ORD000769</t>
  </si>
  <si>
    <t>ORD000565</t>
  </si>
  <si>
    <t>ORD003763</t>
  </si>
  <si>
    <t>ORD000372</t>
  </si>
  <si>
    <t>ORD000643</t>
  </si>
  <si>
    <t>ORD004495</t>
  </si>
  <si>
    <t>ORD002607</t>
  </si>
  <si>
    <t>ORD002449</t>
  </si>
  <si>
    <t>ORD003587</t>
  </si>
  <si>
    <t>ORD000933</t>
  </si>
  <si>
    <t>ORD001347</t>
  </si>
  <si>
    <t>ORD003052</t>
  </si>
  <si>
    <t>ORD000364</t>
  </si>
  <si>
    <t>ORD001847</t>
  </si>
  <si>
    <t>ORD002047</t>
  </si>
  <si>
    <t>ORD002515</t>
  </si>
  <si>
    <t>ORD001711</t>
  </si>
  <si>
    <t>ORD002385</t>
  </si>
  <si>
    <t>ORD004077</t>
  </si>
  <si>
    <t>ORD003770</t>
  </si>
  <si>
    <t>ORD004425</t>
  </si>
  <si>
    <t>ORD004742</t>
  </si>
  <si>
    <t>ORD002497</t>
  </si>
  <si>
    <t>ORD001609</t>
  </si>
  <si>
    <t>ORD002285</t>
  </si>
  <si>
    <t>ORD000843</t>
  </si>
  <si>
    <t>ORD004654</t>
  </si>
  <si>
    <t>ORD001274</t>
  </si>
  <si>
    <t>ORD001162</t>
  </si>
  <si>
    <t>ORD004594</t>
  </si>
  <si>
    <t>ORD003526</t>
  </si>
  <si>
    <t>ORD001511</t>
  </si>
  <si>
    <t>ORD000280</t>
  </si>
  <si>
    <t>ORD004545</t>
  </si>
  <si>
    <t>ORD001220</t>
  </si>
  <si>
    <t>ORD001172</t>
  </si>
  <si>
    <t>ORD001615</t>
  </si>
  <si>
    <t>ORD004351</t>
  </si>
  <si>
    <t>ORD001576</t>
  </si>
  <si>
    <t>ORD003413</t>
  </si>
  <si>
    <t>ORD004316</t>
  </si>
  <si>
    <t>ORD003617</t>
  </si>
  <si>
    <t>ORD002908</t>
  </si>
  <si>
    <t>ORD000132</t>
  </si>
  <si>
    <t>ORD002419</t>
  </si>
  <si>
    <t>ORD003513</t>
  </si>
  <si>
    <t>ORD001247</t>
  </si>
  <si>
    <t>ORD002605</t>
  </si>
  <si>
    <t>ORD004300</t>
  </si>
  <si>
    <t>ORD000551</t>
  </si>
  <si>
    <t>ORD004960</t>
  </si>
  <si>
    <t>ORD001891</t>
  </si>
  <si>
    <t>ORD000688</t>
  </si>
  <si>
    <t>ORD002518</t>
  </si>
  <si>
    <t>ORD004904</t>
  </si>
  <si>
    <t>ORD002108</t>
  </si>
  <si>
    <t>ORD000783</t>
  </si>
  <si>
    <t>ORD004548</t>
  </si>
  <si>
    <t>ORD003169</t>
  </si>
  <si>
    <t>ORD000036</t>
  </si>
  <si>
    <t>ORD004615</t>
  </si>
  <si>
    <t>ORD002832</t>
  </si>
  <si>
    <t>ORD002735</t>
  </si>
  <si>
    <t>ORD000313</t>
  </si>
  <si>
    <t>ORD003161</t>
  </si>
  <si>
    <t>ORD003662</t>
  </si>
  <si>
    <t>ORD004179</t>
  </si>
  <si>
    <t>ORD002868</t>
  </si>
  <si>
    <t>ORD004148</t>
  </si>
  <si>
    <t>ORD003915</t>
  </si>
  <si>
    <t>ORD003479</t>
  </si>
  <si>
    <t>ORD002973</t>
  </si>
  <si>
    <t>ORD004431</t>
  </si>
  <si>
    <t>ORD002347</t>
  </si>
  <si>
    <t>ORD000737</t>
  </si>
  <si>
    <t>ORD004649</t>
  </si>
  <si>
    <t>ORD002548</t>
  </si>
  <si>
    <t>ORD004569</t>
  </si>
  <si>
    <t>ORD003241</t>
  </si>
  <si>
    <t>ORD002653</t>
  </si>
  <si>
    <t>ORD000540</t>
  </si>
  <si>
    <t>ORD001282</t>
  </si>
  <si>
    <t>ORD004388</t>
  </si>
  <si>
    <t>ORD002551</t>
  </si>
  <si>
    <t>ORD004942</t>
  </si>
  <si>
    <t>ORD000395</t>
  </si>
  <si>
    <t>ORD003996</t>
  </si>
  <si>
    <t>ORD004678</t>
  </si>
  <si>
    <t>ORD000319</t>
  </si>
  <si>
    <t>ORD001569</t>
  </si>
  <si>
    <t>ORD003267</t>
  </si>
  <si>
    <t>ORD004739</t>
  </si>
  <si>
    <t>ORD004930</t>
  </si>
  <si>
    <t>ORD002535</t>
  </si>
  <si>
    <t>ORD001369</t>
  </si>
  <si>
    <t>ORD002265</t>
  </si>
  <si>
    <t>ORD002232</t>
  </si>
  <si>
    <t>ORD001935</t>
  </si>
  <si>
    <t>ORD000128</t>
  </si>
  <si>
    <t>ORD002426</t>
  </si>
  <si>
    <t>ORD000745</t>
  </si>
  <si>
    <t>ORD000958</t>
  </si>
  <si>
    <t>ORD001658</t>
  </si>
  <si>
    <t>ORD002266</t>
  </si>
  <si>
    <t>ORD004539</t>
  </si>
  <si>
    <t>ORD003366</t>
  </si>
  <si>
    <t>ORD000512</t>
  </si>
  <si>
    <t>ORD004171</t>
  </si>
  <si>
    <t>ORD001444</t>
  </si>
  <si>
    <t>ORD002078</t>
  </si>
  <si>
    <t>ORD003768</t>
  </si>
  <si>
    <t>ORD001884</t>
  </si>
  <si>
    <t>ORD002354</t>
  </si>
  <si>
    <t>ORD002340</t>
  </si>
  <si>
    <t>ORD000346</t>
  </si>
  <si>
    <t>ORD004421</t>
  </si>
  <si>
    <t>ORD004908</t>
  </si>
  <si>
    <t>ORD004809</t>
  </si>
  <si>
    <t>ORD003051</t>
  </si>
  <si>
    <t>ORD000104</t>
  </si>
  <si>
    <t>ORD002198</t>
  </si>
  <si>
    <t>ORD002155</t>
  </si>
  <si>
    <t>ORD003821</t>
  </si>
  <si>
    <t>ORD001537</t>
  </si>
  <si>
    <t>ORD002406</t>
  </si>
  <si>
    <t>ORD004233</t>
  </si>
  <si>
    <t>ORD001967</t>
  </si>
  <si>
    <t>ORD004662</t>
  </si>
  <si>
    <t>ORD003518</t>
  </si>
  <si>
    <t>ORD002873</t>
  </si>
  <si>
    <t>ORD003785</t>
  </si>
  <si>
    <t>ORD004341</t>
  </si>
  <si>
    <t>ORD002215</t>
  </si>
  <si>
    <t>ORD000251</t>
  </si>
  <si>
    <t>ORD004944</t>
  </si>
  <si>
    <t>Feb</t>
  </si>
  <si>
    <t>ORD000983</t>
  </si>
  <si>
    <t>ORD002146</t>
  </si>
  <si>
    <t>ORD004064</t>
  </si>
  <si>
    <t>ORD001006</t>
  </si>
  <si>
    <t>ORD002191</t>
  </si>
  <si>
    <t>ORD004638</t>
  </si>
  <si>
    <t>ORD000285</t>
  </si>
  <si>
    <t>ORD003618</t>
  </si>
  <si>
    <t>ORD004376</t>
  </si>
  <si>
    <t>ORD004413</t>
  </si>
  <si>
    <t>ORD002969</t>
  </si>
  <si>
    <t>ORD002319</t>
  </si>
  <si>
    <t>ORD004937</t>
  </si>
  <si>
    <t>ORD000530</t>
  </si>
  <si>
    <t>ORD000435</t>
  </si>
  <si>
    <t>ORD000347</t>
  </si>
  <si>
    <t>ORD003029</t>
  </si>
  <si>
    <t>ORD000701</t>
  </si>
  <si>
    <t>ORD004795</t>
  </si>
  <si>
    <t>ORD002086</t>
  </si>
  <si>
    <t>ORD000034</t>
  </si>
  <si>
    <t>ORD001501</t>
  </si>
  <si>
    <t>ORD000454</t>
  </si>
  <si>
    <t>ORD003320</t>
  </si>
  <si>
    <t>ORD004339</t>
  </si>
  <si>
    <t>ORD002556</t>
  </si>
  <si>
    <t>ORD004777</t>
  </si>
  <si>
    <t>ORD002422</t>
  </si>
  <si>
    <t>ORD004398</t>
  </si>
  <si>
    <t>ORD001667</t>
  </si>
  <si>
    <t>ORD002785</t>
  </si>
  <si>
    <t>ORD003995</t>
  </si>
  <si>
    <t>ORD004422</t>
  </si>
  <si>
    <t>ORD001881</t>
  </si>
  <si>
    <t>ORD000009</t>
  </si>
  <si>
    <t>ORD002113</t>
  </si>
  <si>
    <t>ORD001272</t>
  </si>
  <si>
    <t>ORD004271</t>
  </si>
  <si>
    <t>ORD002961</t>
  </si>
  <si>
    <t>ORD000257</t>
  </si>
  <si>
    <t>ORD002720</t>
  </si>
  <si>
    <t>ORD002065</t>
  </si>
  <si>
    <t>ORD004628</t>
  </si>
  <si>
    <t>ORD001361</t>
  </si>
  <si>
    <t>ORD001795</t>
  </si>
  <si>
    <t>ORD004728</t>
  </si>
  <si>
    <t>ORD004457</t>
  </si>
  <si>
    <t>ORD003660</t>
  </si>
  <si>
    <t>ORD001032</t>
  </si>
  <si>
    <t>ORD002714</t>
  </si>
  <si>
    <t>ORD004208</t>
  </si>
  <si>
    <t>ORD000139</t>
  </si>
  <si>
    <t>ORD001406</t>
  </si>
  <si>
    <t>ORD003257</t>
  </si>
  <si>
    <t>ORD001606</t>
  </si>
  <si>
    <t>ORD004287</t>
  </si>
  <si>
    <t>ORD001316</t>
  </si>
  <si>
    <t>ORD002663</t>
  </si>
  <si>
    <t>ORD001522</t>
  </si>
  <si>
    <t>ORD002002</t>
  </si>
  <si>
    <t>ORD003333</t>
  </si>
  <si>
    <t>ORD000544</t>
  </si>
  <si>
    <t>ORD004975</t>
  </si>
  <si>
    <t>ORD000986</t>
  </si>
  <si>
    <t>ORD003581</t>
  </si>
  <si>
    <t>ORD003218</t>
  </si>
  <si>
    <t>ORD001907</t>
  </si>
  <si>
    <t>ORD003425</t>
  </si>
  <si>
    <t>ORD000069</t>
  </si>
  <si>
    <t>ORD000124</t>
  </si>
  <si>
    <t>ORD003880</t>
  </si>
  <si>
    <t>ORD000957</t>
  </si>
  <si>
    <t>ORD001492</t>
  </si>
  <si>
    <t>ORD000278</t>
  </si>
  <si>
    <t>ORD004222</t>
  </si>
  <si>
    <t>ORD004655</t>
  </si>
  <si>
    <t>ORD002979</t>
  </si>
  <si>
    <t>ORD001505</t>
  </si>
  <si>
    <t>ORD000950</t>
  </si>
  <si>
    <t>ORD000550</t>
  </si>
  <si>
    <t>ORD001721</t>
  </si>
  <si>
    <t>ORD002984</t>
  </si>
  <si>
    <t>ORD002035</t>
  </si>
  <si>
    <t>ORD001894</t>
  </si>
  <si>
    <t>ORD003936</t>
  </si>
  <si>
    <t>ORD003112</t>
  </si>
  <si>
    <t>ORD000162</t>
  </si>
  <si>
    <t>ORD001093</t>
  </si>
  <si>
    <t>ORD002956</t>
  </si>
  <si>
    <t>ORD004035</t>
  </si>
  <si>
    <t>ORD001943</t>
  </si>
  <si>
    <t>ORD002651</t>
  </si>
  <si>
    <t>ORD003925</t>
  </si>
  <si>
    <t>ORD003480</t>
  </si>
  <si>
    <t>ORD004477</t>
  </si>
  <si>
    <t>ORD004138</t>
  </si>
  <si>
    <t>ORD002216</t>
  </si>
  <si>
    <t>ORD003541</t>
  </si>
  <si>
    <t>ORD001653</t>
  </si>
  <si>
    <t>ORD002880</t>
  </si>
  <si>
    <t>ORD004552</t>
  </si>
  <si>
    <t>ORD003294</t>
  </si>
  <si>
    <t>ORD000554</t>
  </si>
  <si>
    <t>ORD004006</t>
  </si>
  <si>
    <t>ORD001830</t>
  </si>
  <si>
    <t>ORD002068</t>
  </si>
  <si>
    <t>ORD003014</t>
  </si>
  <si>
    <t>ORD001538</t>
  </si>
  <si>
    <t>ORD004018</t>
  </si>
  <si>
    <t>ORD001088</t>
  </si>
  <si>
    <t>ORD004964</t>
  </si>
  <si>
    <t>ORD001926</t>
  </si>
  <si>
    <t>ORD003640</t>
  </si>
  <si>
    <t>ORD000739</t>
  </si>
  <si>
    <t>ORD002292</t>
  </si>
  <si>
    <t>ORD000494</t>
  </si>
  <si>
    <t>ORD003674</t>
  </si>
  <si>
    <t>ORD001262</t>
  </si>
  <si>
    <t>ORD003173</t>
  </si>
  <si>
    <t>ORD001910</t>
  </si>
  <si>
    <t>ORD002317</t>
  </si>
  <si>
    <t>ORD001472</t>
  </si>
  <si>
    <t>ORD003866</t>
  </si>
  <si>
    <t>ORD004173</t>
  </si>
  <si>
    <t>ORD001168</t>
  </si>
  <si>
    <t>ORD004793</t>
  </si>
  <si>
    <t>ORD004162</t>
  </si>
  <si>
    <t>ORD002315</t>
  </si>
  <si>
    <t>ORD003767</t>
  </si>
  <si>
    <t>ORD000152</t>
  </si>
  <si>
    <t>ORD000864</t>
  </si>
  <si>
    <t>ORD002891</t>
  </si>
  <si>
    <t>ORD002183</t>
  </si>
  <si>
    <t>ORD000122</t>
  </si>
  <si>
    <t>ORD001746</t>
  </si>
  <si>
    <t>ORD003090</t>
  </si>
  <si>
    <t>ORD001831</t>
  </si>
  <si>
    <t>ORD003668</t>
  </si>
  <si>
    <t>ORD004532</t>
  </si>
  <si>
    <t>ORD002691</t>
  </si>
  <si>
    <t>ORD003780</t>
  </si>
  <si>
    <t>ORD000337</t>
  </si>
  <si>
    <t>ORD002564</t>
  </si>
  <si>
    <t>ORD002821</t>
  </si>
  <si>
    <t>ORD003538</t>
  </si>
  <si>
    <t>ORD003437</t>
  </si>
  <si>
    <t>ORD000918</t>
  </si>
  <si>
    <t>ORD000188</t>
  </si>
  <si>
    <t>ORD003419</t>
  </si>
  <si>
    <t>ORD003782</t>
  </si>
  <si>
    <t>ORD002968</t>
  </si>
  <si>
    <t>ORD000092</t>
  </si>
  <si>
    <t>ORD004839</t>
  </si>
  <si>
    <t>ORD001521</t>
  </si>
  <si>
    <t>ORD003623</t>
  </si>
  <si>
    <t>ORD004227</t>
  </si>
  <si>
    <t>ORD001588</t>
  </si>
  <si>
    <t>ORD004766</t>
  </si>
  <si>
    <t>ORD000406</t>
  </si>
  <si>
    <t>ORD003801</t>
  </si>
  <si>
    <t>ORD004572</t>
  </si>
  <si>
    <t>ORD002825</t>
  </si>
  <si>
    <t>ORD003202</t>
  </si>
  <si>
    <t>ORD003270</t>
  </si>
  <si>
    <t>ORD000839</t>
  </si>
  <si>
    <t>ORD001759</t>
  </si>
  <si>
    <t>ORD004426</t>
  </si>
  <si>
    <t>ORD003109</t>
  </si>
  <si>
    <t>ORD004010</t>
  </si>
  <si>
    <t>ORD002082</t>
  </si>
  <si>
    <t>ORD001004</t>
  </si>
  <si>
    <t>ORD001283</t>
  </si>
  <si>
    <t>ORD001794</t>
  </si>
  <si>
    <t>ORD002484</t>
  </si>
  <si>
    <t>ORD001325</t>
  </si>
  <si>
    <t>ORD003150</t>
  </si>
  <si>
    <t>ORD001633</t>
  </si>
  <si>
    <t>ORD004031</t>
  </si>
  <si>
    <t>ORD001270</t>
  </si>
  <si>
    <t>ORD003649</t>
  </si>
  <si>
    <t>ORD001574</t>
  </si>
  <si>
    <t>ORD003209</t>
  </si>
  <si>
    <t>ORD000514</t>
  </si>
  <si>
    <t>ORD000947</t>
  </si>
  <si>
    <t>ORD002221</t>
  </si>
  <si>
    <t>ORD001541</t>
  </si>
  <si>
    <t>ORD001965</t>
  </si>
  <si>
    <t>ORD003787</t>
  </si>
  <si>
    <t>ORD000098</t>
  </si>
  <si>
    <t>ORD002709</t>
  </si>
  <si>
    <t>ORD002416</t>
  </si>
  <si>
    <t>ORD002004</t>
  </si>
  <si>
    <t>ORD004663</t>
  </si>
  <si>
    <t>ORD002587</t>
  </si>
  <si>
    <t>ORD004451</t>
  </si>
  <si>
    <t>ORD000695</t>
  </si>
  <si>
    <t>ORD000826</t>
  </si>
  <si>
    <t>ORD003590</t>
  </si>
  <si>
    <t>ORD004151</t>
  </si>
  <si>
    <t>ORD004363</t>
  </si>
  <si>
    <t>ORD001461</t>
  </si>
  <si>
    <t>ORD002127</t>
  </si>
  <si>
    <t>ORD003947</t>
  </si>
  <si>
    <t>Mar</t>
  </si>
  <si>
    <t>ORD003990</t>
  </si>
  <si>
    <t>ORD002473</t>
  </si>
  <si>
    <t>ORD004706</t>
  </si>
  <si>
    <t>ORD000010</t>
  </si>
  <si>
    <t>ORD003351</t>
  </si>
  <si>
    <t>ORD004912</t>
  </si>
  <si>
    <t>ORD004869</t>
  </si>
  <si>
    <t>ORD003624</t>
  </si>
  <si>
    <t>ORD004217</t>
  </si>
  <si>
    <t>ORD004059</t>
  </si>
  <si>
    <t>ORD000917</t>
  </si>
  <si>
    <t>ORD004934</t>
  </si>
  <si>
    <t>ORD002202</t>
  </si>
  <si>
    <t>ORD001508</t>
  </si>
  <si>
    <t>ORD003356</t>
  </si>
  <si>
    <t>ORD002171</t>
  </si>
  <si>
    <t>ORD004285</t>
  </si>
  <si>
    <t>ORD002884</t>
  </si>
  <si>
    <t>ORD003592</t>
  </si>
  <si>
    <t>ORD002681</t>
  </si>
  <si>
    <t>ORD004095</t>
  </si>
  <si>
    <t>ORD001435</t>
  </si>
  <si>
    <t>ORD003607</t>
  </si>
  <si>
    <t>ORD002360</t>
  </si>
  <si>
    <t>ORD004726</t>
  </si>
  <si>
    <t>ORD001883</t>
  </si>
  <si>
    <t>ORD000479</t>
  </si>
  <si>
    <t>ORD003987</t>
  </si>
  <si>
    <t>ORD000920</t>
  </si>
  <si>
    <t>ORD002804</t>
  </si>
  <si>
    <t>ORD003222</t>
  </si>
  <si>
    <t>ORD000875</t>
  </si>
  <si>
    <t>ORD003390</t>
  </si>
  <si>
    <t>ORD000477</t>
  </si>
  <si>
    <t>ORD004047</t>
  </si>
  <si>
    <t>ORD003377</t>
  </si>
  <si>
    <t>ORD003959</t>
  </si>
  <si>
    <t>ORD000426</t>
  </si>
  <si>
    <t>ORD003616</t>
  </si>
  <si>
    <t>ORD001810</t>
  </si>
  <si>
    <t>ORD002524</t>
  </si>
  <si>
    <t>ORD001772</t>
  </si>
  <si>
    <t>ORD001895</t>
  </si>
  <si>
    <t>ORD003123</t>
  </si>
  <si>
    <t>ORD002107</t>
  </si>
  <si>
    <t>ORD000262</t>
  </si>
  <si>
    <t>ORD004796</t>
  </si>
  <si>
    <t>ORD004188</t>
  </si>
  <si>
    <t>ORD004252</t>
  </si>
  <si>
    <t>ORD004165</t>
  </si>
  <si>
    <t>ORD000355</t>
  </si>
  <si>
    <t>ORD003797</t>
  </si>
  <si>
    <t>ORD000591</t>
  </si>
  <si>
    <t>ORD002011</t>
  </si>
  <si>
    <t>ORD002630</t>
  </si>
  <si>
    <t>ORD004429</t>
  </si>
  <si>
    <t>ORD002100</t>
  </si>
  <si>
    <t>ORD004169</t>
  </si>
  <si>
    <t>ORD001123</t>
  </si>
  <si>
    <t>ORD001692</t>
  </si>
  <si>
    <t>ORD000862</t>
  </si>
  <si>
    <t>ORD000413</t>
  </si>
  <si>
    <t>ORD004989</t>
  </si>
  <si>
    <t>ORD003456</t>
  </si>
  <si>
    <t>ORD001382</t>
  </si>
  <si>
    <t>ORD002441</t>
  </si>
  <si>
    <t>ORD001179</t>
  </si>
  <si>
    <t>ORD004463</t>
  </si>
  <si>
    <t>ORD002394</t>
  </si>
  <si>
    <t>ORD002616</t>
  </si>
  <si>
    <t>ORD000578</t>
  </si>
  <si>
    <t>ORD002149</t>
  </si>
  <si>
    <t>ORD000800</t>
  </si>
  <si>
    <t>ORD002398</t>
  </si>
  <si>
    <t>ORD004013</t>
  </si>
  <si>
    <t>ORD000965</t>
  </si>
  <si>
    <t>ORD001448</t>
  </si>
  <si>
    <t>ORD001540</t>
  </si>
  <si>
    <t>ORD001823</t>
  </si>
  <si>
    <t>ORD001269</t>
  </si>
  <si>
    <t>ORD004643</t>
  </si>
  <si>
    <t>ORD003976</t>
  </si>
  <si>
    <t>ORD000553</t>
  </si>
  <si>
    <t>ORD001811</t>
  </si>
  <si>
    <t>ORD004595</t>
  </si>
  <si>
    <t>ORD002299</t>
  </si>
  <si>
    <t>ORD004540</t>
  </si>
  <si>
    <t>ORD002227</t>
  </si>
  <si>
    <t>ORD001410</t>
  </si>
  <si>
    <t>ORD004915</t>
  </si>
  <si>
    <t>ORD001111</t>
  </si>
  <si>
    <t>ORD003343</t>
  </si>
  <si>
    <t>ORD000232</t>
  </si>
  <si>
    <t>ORD003211</t>
  </si>
  <si>
    <t>ORD001560</t>
  </si>
  <si>
    <t>ORD001169</t>
  </si>
  <si>
    <t>ORD000853</t>
  </si>
  <si>
    <t>ORD000086</t>
  </si>
  <si>
    <t>ORD004568</t>
  </si>
  <si>
    <t>ORD004112</t>
  </si>
  <si>
    <t>ORD003736</t>
  </si>
  <si>
    <t>ORD002277</t>
  </si>
  <si>
    <t>ORD004311</t>
  </si>
  <si>
    <t>ORD002296</t>
  </si>
  <si>
    <t>ORD003549</t>
  </si>
  <si>
    <t>ORD000004</t>
  </si>
  <si>
    <t>ORD000608</t>
  </si>
  <si>
    <t>ORD002006</t>
  </si>
  <si>
    <t>ORD002496</t>
  </si>
  <si>
    <t>ORD001991</t>
  </si>
  <si>
    <t>ORD002120</t>
  </si>
  <si>
    <t>ORD001059</t>
  </si>
  <si>
    <t>ORD003857</t>
  </si>
  <si>
    <t>ORD000114</t>
  </si>
  <si>
    <t>ORD003934</t>
  </si>
  <si>
    <t>ORD003620</t>
  </si>
  <si>
    <t>ORD003964</t>
  </si>
  <si>
    <t>ORD001001</t>
  </si>
  <si>
    <t>ORD001025</t>
  </si>
  <si>
    <t>ORD004987</t>
  </si>
  <si>
    <t>ORD000606</t>
  </si>
  <si>
    <t>ORD003739</t>
  </si>
  <si>
    <t>ORD002726</t>
  </si>
  <si>
    <t>ORD001732</t>
  </si>
  <si>
    <t>ORD002147</t>
  </si>
  <si>
    <t>ORD004997</t>
  </si>
  <si>
    <t>ORD004058</t>
  </si>
  <si>
    <t>ORD004238</t>
  </si>
  <si>
    <t>ORD003471</t>
  </si>
  <si>
    <t>ORD002058</t>
  </si>
  <si>
    <t>ORD000521</t>
  </si>
  <si>
    <t>ORD003048</t>
  </si>
  <si>
    <t>ORD002603</t>
  </si>
  <si>
    <t>ORD000172</t>
  </si>
  <si>
    <t>ORD000683</t>
  </si>
  <si>
    <t>ORD001405</t>
  </si>
  <si>
    <t>ORD004969</t>
  </si>
  <si>
    <t>ORD002168</t>
  </si>
  <si>
    <t>ORD003865</t>
  </si>
  <si>
    <t>ORD001648</t>
  </si>
  <si>
    <t>ORD003655</t>
  </si>
  <si>
    <t>ORD002388</t>
  </si>
  <si>
    <t>ORD004673</t>
  </si>
  <si>
    <t>ORD001923</t>
  </si>
  <si>
    <t>ORD000447</t>
  </si>
  <si>
    <t>ORD003551</t>
  </si>
  <si>
    <t>ORD003060</t>
  </si>
  <si>
    <t>ORD000130</t>
  </si>
  <si>
    <t>ORD003561</t>
  </si>
  <si>
    <t>ORD003560</t>
  </si>
  <si>
    <t>ORD004517</t>
  </si>
  <si>
    <t>ORD004990</t>
  </si>
  <si>
    <t>ORD004489</t>
  </si>
  <si>
    <t>ORD004533</t>
  </si>
  <si>
    <t>ORD003552</t>
  </si>
  <si>
    <t>ORD004475</t>
  </si>
  <si>
    <t>ORD001153</t>
  </si>
  <si>
    <t>ORD000686</t>
  </si>
  <si>
    <t>ORD001726</t>
  </si>
  <si>
    <t>ORD001535</t>
  </si>
  <si>
    <t>ORD002601</t>
  </si>
  <si>
    <t>ORD000018</t>
  </si>
  <si>
    <t>ORD003124</t>
  </si>
  <si>
    <t>ORD000974</t>
  </si>
  <si>
    <t>ORD002791</t>
  </si>
  <si>
    <t>ORD002314</t>
  </si>
  <si>
    <t>ORD000850</t>
  </si>
  <si>
    <t>ORD001072</t>
  </si>
  <si>
    <t>ORD000581</t>
  </si>
  <si>
    <t>ORD001138</t>
  </si>
  <si>
    <t>ORD002924</t>
  </si>
  <si>
    <t>ORD000760</t>
  </si>
  <si>
    <t>ORD000199</t>
  </si>
  <si>
    <t>ORD000743</t>
  </si>
  <si>
    <t>ORD002479</t>
  </si>
  <si>
    <t>ORD003172</t>
  </si>
  <si>
    <t>ORD003038</t>
  </si>
  <si>
    <t>ORD004131</t>
  </si>
  <si>
    <t>ORD004045</t>
  </si>
  <si>
    <t>ORD002831</t>
  </si>
  <si>
    <t>ORD004232</t>
  </si>
  <si>
    <t>ORD004071</t>
  </si>
  <si>
    <t>ORD001476</t>
  </si>
  <si>
    <t>ORD001565</t>
  </si>
  <si>
    <t>ORD004092</t>
  </si>
  <si>
    <t>ORD004794</t>
  </si>
  <si>
    <t>ORD001620</t>
  </si>
  <si>
    <t>ORD000940</t>
  </si>
  <si>
    <t>ORD004464</t>
  </si>
  <si>
    <t>ORD001222</t>
  </si>
  <si>
    <t>ORD003235</t>
  </si>
  <si>
    <t>ORD001660</t>
  </si>
  <si>
    <t>ORD001057</t>
  </si>
  <si>
    <t>ORD003875</t>
  </si>
  <si>
    <t>ORD003315</t>
  </si>
  <si>
    <t>ORD001844</t>
  </si>
  <si>
    <t>ORD000765</t>
  </si>
  <si>
    <t>ORD000824</t>
  </si>
  <si>
    <t>ORD004284</t>
  </si>
  <si>
    <t>ORD004923</t>
  </si>
  <si>
    <t>ORD002019</t>
  </si>
  <si>
    <t>ORD002164</t>
  </si>
  <si>
    <t>ORD003004</t>
  </si>
  <si>
    <t>ORD003839</t>
  </si>
  <si>
    <t>ORD000881</t>
  </si>
  <si>
    <t>ORD000074</t>
  </si>
  <si>
    <t>ORD003648</t>
  </si>
  <si>
    <t>ORD002267</t>
  </si>
  <si>
    <t>ORD001785</t>
  </si>
  <si>
    <t>ORD002581</t>
  </si>
  <si>
    <t>ORD003217</t>
  </si>
  <si>
    <t>ORD001173</t>
  </si>
  <si>
    <t>ORD001495</t>
  </si>
  <si>
    <t>ORD004516</t>
  </si>
  <si>
    <t>ORD001976</t>
  </si>
  <si>
    <t>ORD003570</t>
  </si>
  <si>
    <t>ORD004324</t>
  </si>
  <si>
    <t>ORD002871</t>
  </si>
  <si>
    <t>ORD003486</t>
  </si>
  <si>
    <t>ORD004307</t>
  </si>
  <si>
    <t>ORD001536</t>
  </si>
  <si>
    <t>ORD000322</t>
  </si>
  <si>
    <t>ORD001925</t>
  </si>
  <si>
    <t>ORD000475</t>
  </si>
  <si>
    <t>ORD002396</t>
  </si>
  <si>
    <t>ORD000474</t>
  </si>
  <si>
    <t>ORD001215</t>
  </si>
  <si>
    <t>ORD002610</t>
  </si>
  <si>
    <t>ORD000120</t>
  </si>
  <si>
    <t>ORD004953</t>
  </si>
  <si>
    <t>ORD004687</t>
  </si>
  <si>
    <t>ORD002945</t>
  </si>
  <si>
    <t>ORD004632</t>
  </si>
  <si>
    <t>ORD003824</t>
  </si>
  <si>
    <t>ORD001256</t>
  </si>
  <si>
    <t>ORD004558</t>
  </si>
  <si>
    <t>ORD002562</t>
  </si>
  <si>
    <t>ORD004612</t>
  </si>
  <si>
    <t>ORD004326</t>
  </si>
  <si>
    <t>ORD001845</t>
  </si>
  <si>
    <t>ORD004283</t>
  </si>
  <si>
    <t>ORD004973</t>
  </si>
  <si>
    <t>ORD002769</t>
  </si>
  <si>
    <t>ORD000213</t>
  </si>
  <si>
    <t>ORD001137</t>
  </si>
  <si>
    <t>ORD000712</t>
  </si>
  <si>
    <t>ORD003559</t>
  </si>
  <si>
    <t>ORD004893</t>
  </si>
  <si>
    <t>ORD001301</t>
  </si>
  <si>
    <t>ORD000490</t>
  </si>
  <si>
    <t>ORD003614</t>
  </si>
  <si>
    <t>ORD001694</t>
  </si>
  <si>
    <t>ORD001345</t>
  </si>
  <si>
    <t>ORD004048</t>
  </si>
  <si>
    <t>ORD004049</t>
  </si>
  <si>
    <t>ORD003231</t>
  </si>
  <si>
    <t>ORD004321</t>
  </si>
  <si>
    <t>ORD004468</t>
  </si>
  <si>
    <t>ORD003701</t>
  </si>
  <si>
    <t>ORD000619</t>
  </si>
  <si>
    <t>ORD003888</t>
  </si>
  <si>
    <t>ORD000267</t>
  </si>
  <si>
    <t>ORD004156</t>
  </si>
  <si>
    <t>ORD000996</t>
  </si>
  <si>
    <t>ORD001454</t>
  </si>
  <si>
    <t>ORD001114</t>
  </si>
  <si>
    <t>ORD000502</t>
  </si>
  <si>
    <t>ORD001950</t>
  </si>
  <si>
    <t>ORD001334</t>
  </si>
  <si>
    <t>ORD004513</t>
  </si>
  <si>
    <t>ORD000275</t>
  </si>
  <si>
    <t>ORD002845</t>
  </si>
  <si>
    <t>ORD002471</t>
  </si>
  <si>
    <t>ORD003277</t>
  </si>
  <si>
    <t>Apr</t>
  </si>
  <si>
    <t>Q2</t>
  </si>
  <si>
    <t>ORD003130</t>
  </si>
  <si>
    <t>ORD001822</t>
  </si>
  <si>
    <t>ORD004860</t>
  </si>
  <si>
    <t>ORD003955</t>
  </si>
  <si>
    <t>ORD002337</t>
  </si>
  <si>
    <t>ORD002182</t>
  </si>
  <si>
    <t>ORD003084</t>
  </si>
  <si>
    <t>ORD001079</t>
  </si>
  <si>
    <t>ORD004743</t>
  </si>
  <si>
    <t>ORD000404</t>
  </si>
  <si>
    <t>ORD002686</t>
  </si>
  <si>
    <t>ORD003805</t>
  </si>
  <si>
    <t>ORD001563</t>
  </si>
  <si>
    <t>ORD001855</t>
  </si>
  <si>
    <t>ORD002836</t>
  </si>
  <si>
    <t>ORD004976</t>
  </si>
  <si>
    <t>ORD001737</t>
  </si>
  <si>
    <t>ORD000779</t>
  </si>
  <si>
    <t>ORD000198</t>
  </si>
  <si>
    <t>ORD001191</t>
  </si>
  <si>
    <t>ORD001982</t>
  </si>
  <si>
    <t>ORD003748</t>
  </si>
  <si>
    <t>ORD002859</t>
  </si>
  <si>
    <t>ORD003023</t>
  </si>
  <si>
    <t>ORD001047</t>
  </si>
  <si>
    <t>ORD000778</t>
  </si>
  <si>
    <t>ORD003542</t>
  </si>
  <si>
    <t>ORD001558</t>
  </si>
  <si>
    <t>ORD004985</t>
  </si>
  <si>
    <t>ORD004455</t>
  </si>
  <si>
    <t>ORD002626</t>
  </si>
  <si>
    <t>ORD004392</t>
  </si>
  <si>
    <t>ORD000736</t>
  </si>
  <si>
    <t>ORD000588</t>
  </si>
  <si>
    <t>ORD004831</t>
  </si>
  <si>
    <t>ORD004872</t>
  </si>
  <si>
    <t>ORD000040</t>
  </si>
  <si>
    <t>ORD002944</t>
  </si>
  <si>
    <t>ORD004783</t>
  </si>
  <si>
    <t>ORD001655</t>
  </si>
  <si>
    <t>ORD003834</t>
  </si>
  <si>
    <t>ORD003493</t>
  </si>
  <si>
    <t>ORD001887</t>
  </si>
  <si>
    <t>ORD000951</t>
  </si>
  <si>
    <t>ORD000959</t>
  </si>
  <si>
    <t>ORD004365</t>
  </si>
  <si>
    <t>ORD001000</t>
  </si>
  <si>
    <t>ORD000818</t>
  </si>
  <si>
    <t>ORD004261</t>
  </si>
  <si>
    <t>ORD004984</t>
  </si>
  <si>
    <t>ORD002185</t>
  </si>
  <si>
    <t>ORD000764</t>
  </si>
  <si>
    <t>ORD000311</t>
  </si>
  <si>
    <t>ORD001395</t>
  </si>
  <si>
    <t>ORD000630</t>
  </si>
  <si>
    <t>ORD003401</t>
  </si>
  <si>
    <t>ORD002348</t>
  </si>
  <si>
    <t>ORD003890</t>
  </si>
  <si>
    <t>ORD002879</t>
  </si>
  <si>
    <t>ORD002128</t>
  </si>
  <si>
    <t>ORD002303</t>
  </si>
  <si>
    <t>ORD002568</t>
  </si>
  <si>
    <t>ORD002244</t>
  </si>
  <si>
    <t>ORD004193</t>
  </si>
  <si>
    <t>ORD002674</t>
  </si>
  <si>
    <t>ORD002152</t>
  </si>
  <si>
    <t>ORD004620</t>
  </si>
  <si>
    <t>ORD001055</t>
  </si>
  <si>
    <t>ORD001027</t>
  </si>
  <si>
    <t>ORD000508</t>
  </si>
  <si>
    <t>ORD001414</t>
  </si>
  <si>
    <t>ORD003800</t>
  </si>
  <si>
    <t>ORD000281</t>
  </si>
  <si>
    <t>ORD002622</t>
  </si>
  <si>
    <t>ORD001430</t>
  </si>
  <si>
    <t>ORD002530</t>
  </si>
  <si>
    <t>ORD004752</t>
  </si>
  <si>
    <t>ORD002123</t>
  </si>
  <si>
    <t>ORD003372</t>
  </si>
  <si>
    <t>ORD002414</t>
  </si>
  <si>
    <t>ORD002173</t>
  </si>
  <si>
    <t>ORD001893</t>
  </si>
  <si>
    <t>ORD000116</t>
  </si>
  <si>
    <t>ORD003632</t>
  </si>
  <si>
    <t>ORD002024</t>
  </si>
  <si>
    <t>ORD002528</t>
  </si>
  <si>
    <t>ORD001656</t>
  </si>
  <si>
    <t>ORD002838</t>
  </si>
  <si>
    <t>ORD000993</t>
  </si>
  <si>
    <t>ORD002928</t>
  </si>
  <si>
    <t>ORD002680</t>
  </si>
  <si>
    <t>ORD002060</t>
  </si>
  <si>
    <t>ORD003754</t>
  </si>
  <si>
    <t>ORD004523</t>
  </si>
  <si>
    <t>ORD002443</t>
  </si>
  <si>
    <t>ORD003519</t>
  </si>
  <si>
    <t>ORD000050</t>
  </si>
  <si>
    <t>ORD002965</t>
  </si>
  <si>
    <t>ORD002307</t>
  </si>
  <si>
    <t>ORD002755</t>
  </si>
  <si>
    <t>ORD003470</t>
  </si>
  <si>
    <t>ORD003370</t>
  </si>
  <si>
    <t>ORD003778</t>
  </si>
  <si>
    <t>ORD000831</t>
  </si>
  <si>
    <t>ORD003289</t>
  </si>
  <si>
    <t>ORD003497</t>
  </si>
  <si>
    <t>ORD003788</t>
  </si>
  <si>
    <t>ORD002736</t>
  </si>
  <si>
    <t>ORD001438</t>
  </si>
  <si>
    <t>ORD001412</t>
  </si>
  <si>
    <t>ORD003382</t>
  </si>
  <si>
    <t>ORD004961</t>
  </si>
  <si>
    <t>ORD002033</t>
  </si>
  <si>
    <t>ORD004816</t>
  </si>
  <si>
    <t>ORD001214</t>
  </si>
  <si>
    <t>ORD003375</t>
  </si>
  <si>
    <t>ORD002222</t>
  </si>
  <si>
    <t>ORD002278</t>
  </si>
  <si>
    <t>ORD003177</t>
  </si>
  <si>
    <t>ORD002145</t>
  </si>
  <si>
    <t>ORD002293</t>
  </si>
  <si>
    <t>ORD000830</t>
  </si>
  <si>
    <t>ORD003431</t>
  </si>
  <si>
    <t>ORD004291</t>
  </si>
  <si>
    <t>ORD003555</t>
  </si>
  <si>
    <t>ORD003273</t>
  </si>
  <si>
    <t>ORD000627</t>
  </si>
  <si>
    <t>ORD001068</t>
  </si>
  <si>
    <t>ORD001778</t>
  </si>
  <si>
    <t>ORD004556</t>
  </si>
  <si>
    <t>ORD003847</t>
  </si>
  <si>
    <t>ORD004667</t>
  </si>
  <si>
    <t>ORD001339</t>
  </si>
  <si>
    <t>ORD000928</t>
  </si>
  <si>
    <t>ORD002985</t>
  </si>
  <si>
    <t>ORD000263</t>
  </si>
  <si>
    <t>ORD001709</t>
  </si>
  <si>
    <t>ORD000500</t>
  </si>
  <si>
    <t>ORD000065</t>
  </si>
  <si>
    <t>ORD003917</t>
  </si>
  <si>
    <t>ORD001590</t>
  </si>
  <si>
    <t>ORD002095</t>
  </si>
  <si>
    <t>ORD002885</t>
  </si>
  <si>
    <t>ORD001651</t>
  </si>
  <si>
    <t>ORD003807</t>
  </si>
  <si>
    <t>ORD002549</t>
  </si>
  <si>
    <t>ORD000904</t>
  </si>
  <si>
    <t>ORD000075</t>
  </si>
  <si>
    <t>ORD004338</t>
  </si>
  <si>
    <t>ORD003385</t>
  </si>
  <si>
    <t>ORD004731</t>
  </si>
  <si>
    <t>ORD003280</t>
  </si>
  <si>
    <t>ORD003539</t>
  </si>
  <si>
    <t>ORD001279</t>
  </si>
  <si>
    <t>ORD003887</t>
  </si>
  <si>
    <t>ORD000432</t>
  </si>
  <si>
    <t>ORD003654</t>
  </si>
  <si>
    <t>ORD001898</t>
  </si>
  <si>
    <t>ORD000100</t>
  </si>
  <si>
    <t>ORD000656</t>
  </si>
  <si>
    <t>ORD000123</t>
  </si>
  <si>
    <t>ORD000408</t>
  </si>
  <si>
    <t>ORD002178</t>
  </si>
  <si>
    <t>ORD000896</t>
  </si>
  <si>
    <t>ORD002695</t>
  </si>
  <si>
    <t>ORD003491</t>
  </si>
  <si>
    <t>ORD001237</t>
  </si>
  <si>
    <t>ORD000504</t>
  </si>
  <si>
    <t>ORD000694</t>
  </si>
  <si>
    <t>ORD004234</t>
  </si>
  <si>
    <t>ORD000105</t>
  </si>
  <si>
    <t>ORD002084</t>
  </si>
  <si>
    <t>ORD001326</t>
  </si>
  <si>
    <t>ORD004073</t>
  </si>
  <si>
    <t>ORD002798</t>
  </si>
  <si>
    <t>ORD004262</t>
  </si>
  <si>
    <t>ORD003129</t>
  </si>
  <si>
    <t>ORD000844</t>
  </si>
  <si>
    <t>ORD002978</t>
  </si>
  <si>
    <t>ORD002971</t>
  </si>
  <si>
    <t>ORD000377</t>
  </si>
  <si>
    <t>ORD002156</t>
  </si>
  <si>
    <t>ORD000910</t>
  </si>
  <si>
    <t>ORD003901</t>
  </si>
  <si>
    <t>ORD002196</t>
  </si>
  <si>
    <t>ORD004929</t>
  </si>
  <si>
    <t>ORD004682</t>
  </si>
  <si>
    <t>ORD001016</t>
  </si>
  <si>
    <t>ORD003442</t>
  </si>
  <si>
    <t>ORD001922</t>
  </si>
  <si>
    <t>ORD002907</t>
  </si>
  <si>
    <t>ORD001486</t>
  </si>
  <si>
    <t>ORD000431</t>
  </si>
  <si>
    <t>ORD004289</t>
  </si>
  <si>
    <t>ORD002712</t>
  </si>
  <si>
    <t>ORD004845</t>
  </si>
  <si>
    <t>ORD003454</t>
  </si>
  <si>
    <t>ORD002404</t>
  </si>
  <si>
    <t>ORD002802</t>
  </si>
  <si>
    <t>ORD002257</t>
  </si>
  <si>
    <t>ORD004084</t>
  </si>
  <si>
    <t>ORD002052</t>
  </si>
  <si>
    <t>ORD000680</t>
  </si>
  <si>
    <t>ORD002661</t>
  </si>
  <si>
    <t>ORD000169</t>
  </si>
  <si>
    <t>ORD002935</t>
  </si>
  <si>
    <t>ORD001804</t>
  </si>
  <si>
    <t>ORD000729</t>
  </si>
  <si>
    <t>ORD002286</t>
  </si>
  <si>
    <t>ORD000596</t>
  </si>
  <si>
    <t>ORD002030</t>
  </si>
  <si>
    <t>ORD001045</t>
  </si>
  <si>
    <t>ORD001030</t>
  </si>
  <si>
    <t>ORD000295</t>
  </si>
  <si>
    <t>ORD001802</t>
  </si>
  <si>
    <t>ORD001516</t>
  </si>
  <si>
    <t>ORD004082</t>
  </si>
  <si>
    <t>ORD002826</t>
  </si>
  <si>
    <t>ORD003103</t>
  </si>
  <si>
    <t>ORD002597</t>
  </si>
  <si>
    <t>ORD003842</t>
  </si>
  <si>
    <t>ORD002669</t>
  </si>
  <si>
    <t>ORD001604</t>
  </si>
  <si>
    <t>ORD002975</t>
  </si>
  <si>
    <t>ORD000424</t>
  </si>
  <si>
    <t>ORD001101</t>
  </si>
  <si>
    <t>ORD000167</t>
  </si>
  <si>
    <t>ORD002887</t>
  </si>
  <si>
    <t>ORD001718</t>
  </si>
  <si>
    <t>ORD001206</t>
  </si>
  <si>
    <t>ORD002721</t>
  </si>
  <si>
    <t>ORD001792</t>
  </si>
  <si>
    <t>ORD001037</t>
  </si>
  <si>
    <t>ORD004251</t>
  </si>
  <si>
    <t>ORD001267</t>
  </si>
  <si>
    <t>ORD004677</t>
  </si>
  <si>
    <t>May</t>
  </si>
  <si>
    <t>ORD002536</t>
  </si>
  <si>
    <t>ORD001217</t>
  </si>
  <si>
    <t>ORD001119</t>
  </si>
  <si>
    <t>ORD004267</t>
  </si>
  <si>
    <t>ORD002803</t>
  </si>
  <si>
    <t>ORD002333</t>
  </si>
  <si>
    <t>ORD000898</t>
  </si>
  <si>
    <t>ORD004209</t>
  </si>
  <si>
    <t>ORD000357</t>
  </si>
  <si>
    <t>ORD004847</t>
  </si>
  <si>
    <t>ORD003659</t>
  </si>
  <si>
    <t>ORD004091</t>
  </si>
  <si>
    <t>ORD001710</t>
  </si>
  <si>
    <t>ORD003868</t>
  </si>
  <si>
    <t>ORD004142</t>
  </si>
  <si>
    <t>ORD002133</t>
  </si>
  <si>
    <t>ORD000714</t>
  </si>
  <si>
    <t>ORD002590</t>
  </si>
  <si>
    <t>ORD003403</t>
  </si>
  <si>
    <t>ORD001939</t>
  </si>
  <si>
    <t>ORD000342</t>
  </si>
  <si>
    <t>ORD001165</t>
  </si>
  <si>
    <t>ORD001900</t>
  </si>
  <si>
    <t>ORD004375</t>
  </si>
  <si>
    <t>ORD000047</t>
  </si>
  <si>
    <t>ORD003882</t>
  </si>
  <si>
    <t>ORD004448</t>
  </si>
  <si>
    <t>ORD003942</t>
  </si>
  <si>
    <t>ORD004544</t>
  </si>
  <si>
    <t>ORD004456</t>
  </si>
  <si>
    <t>ORD004913</t>
  </si>
  <si>
    <t>ORD003305</t>
  </si>
  <si>
    <t>ORD000026</t>
  </si>
  <si>
    <t>ORD000823</t>
  </si>
  <si>
    <t>ORD000939</t>
  </si>
  <si>
    <t>ORD002010</t>
  </si>
  <si>
    <t>ORD003171</t>
  </si>
  <si>
    <t>ORD001912</t>
  </si>
  <si>
    <t>ORD000674</t>
  </si>
  <si>
    <t>ORD000998</t>
  </si>
  <si>
    <t>ORD000888</t>
  </si>
  <si>
    <t>ORD002234</t>
  </si>
  <si>
    <t>ORD003698</t>
  </si>
  <si>
    <t>ORD000535</t>
  </si>
  <si>
    <t>ORD004136</t>
  </si>
  <si>
    <t>ORD000452</t>
  </si>
  <si>
    <t>ORD004807</t>
  </si>
  <si>
    <t>ORD004857</t>
  </si>
  <si>
    <t>ORD000458</t>
  </si>
  <si>
    <t>ORD004768</t>
  </si>
  <si>
    <t>ORD003079</t>
  </si>
  <si>
    <t>ORD002754</t>
  </si>
  <si>
    <t>ORD001564</t>
  </si>
  <si>
    <t>ORD002980</t>
  </si>
  <si>
    <t>ORD003472</t>
  </si>
  <si>
    <t>ORD000788</t>
  </si>
  <si>
    <t>ORD003043</t>
  </si>
  <si>
    <t>ORD003521</t>
  </si>
  <si>
    <t>ORD001861</t>
  </si>
  <si>
    <t>ORD000872</t>
  </si>
  <si>
    <t>ORD001530</t>
  </si>
  <si>
    <t>ORD000029</t>
  </si>
  <si>
    <t>ORD003193</t>
  </si>
  <si>
    <t>ORD004898</t>
  </si>
  <si>
    <t>ORD003013</t>
  </si>
  <si>
    <t>ORD000101</t>
  </si>
  <si>
    <t>ORD001097</t>
  </si>
  <si>
    <t>ORD000944</t>
  </si>
  <si>
    <t>ORD004180</t>
  </si>
  <si>
    <t>ORD002336</t>
  </si>
  <si>
    <t>ORD002007</t>
  </si>
  <si>
    <t>ORD001250</t>
  </si>
  <si>
    <t>ORD000611</t>
  </si>
  <si>
    <t>ORD003428</t>
  </si>
  <si>
    <t>ORD000624</t>
  </si>
  <si>
    <t>ORD001040</t>
  </si>
  <si>
    <t>ORD000966</t>
  </si>
  <si>
    <t>ORD000793</t>
  </si>
  <si>
    <t>ORD002217</t>
  </si>
  <si>
    <t>ORD002856</t>
  </si>
  <si>
    <t>ORD001014</t>
  </si>
  <si>
    <t>ORD003274</t>
  </si>
  <si>
    <t>ORD002410</t>
  </si>
  <si>
    <t>ORD003415</t>
  </si>
  <si>
    <t>ORD002344</t>
  </si>
  <si>
    <t>ORD002580</t>
  </si>
  <si>
    <t>ORD001144</t>
  </si>
  <si>
    <t>ORD003631</t>
  </si>
  <si>
    <t>ORD004491</t>
  </si>
  <si>
    <t>ORD002320</t>
  </si>
  <si>
    <t>ORD000106</t>
  </si>
  <si>
    <t>ORD001083</t>
  </si>
  <si>
    <t>ORD003829</t>
  </si>
  <si>
    <t>ORD001063</t>
  </si>
  <si>
    <t>ORD000794</t>
  </si>
  <si>
    <t>ORD001218</t>
  </si>
  <si>
    <t>ORD000821</t>
  </si>
  <si>
    <t>ORD001459</t>
  </si>
  <si>
    <t>ORD003500</t>
  </si>
  <si>
    <t>ORD003417</t>
  </si>
  <si>
    <t>ORD004266</t>
  </si>
  <si>
    <t>ORD003220</t>
  </si>
  <si>
    <t>ORD002280</t>
  </si>
  <si>
    <t>ORD001701</t>
  </si>
  <si>
    <t>ORD003393</t>
  </si>
  <si>
    <t>ORD003622</t>
  </si>
  <si>
    <t>ORD004838</t>
  </si>
  <si>
    <t>ORD004952</t>
  </si>
  <si>
    <t>ORD002332</t>
  </si>
  <si>
    <t>ORD003646</t>
  </si>
  <si>
    <t>ORD002952</t>
  </si>
  <si>
    <t>ORD001835</t>
  </si>
  <si>
    <t>ORD004144</t>
  </si>
  <si>
    <t>ORD003165</t>
  </si>
  <si>
    <t>ORD002521</t>
  </si>
  <si>
    <t>ORD000672</t>
  </si>
  <si>
    <t>ORD001158</t>
  </si>
  <si>
    <t>ORD001108</t>
  </si>
  <si>
    <t>ORD000517</t>
  </si>
  <si>
    <t>ORD000393</t>
  </si>
  <si>
    <t>ORD000317</t>
  </si>
  <si>
    <t>ORD001249</t>
  </si>
  <si>
    <t>ORD000493</t>
  </si>
  <si>
    <t>ORD003786</t>
  </si>
  <si>
    <t>ORD004723</t>
  </si>
  <si>
    <t>ORD000301</t>
  </si>
  <si>
    <t>ORD001697</t>
  </si>
  <si>
    <t>ORD004950</t>
  </si>
  <si>
    <t>ORD002786</t>
  </si>
  <si>
    <t>ORD000363</t>
  </si>
  <si>
    <t>ORD002898</t>
  </si>
  <si>
    <t>ORD003527</t>
  </si>
  <si>
    <t>ORD004386</t>
  </si>
  <si>
    <t>ORD000131</t>
  </si>
  <si>
    <t>ORD004560</t>
  </si>
  <si>
    <t>ORD000571</t>
  </si>
  <si>
    <t>ORD000409</t>
  </si>
  <si>
    <t>ORD002557</t>
  </si>
  <si>
    <t>ORD002767</t>
  </si>
  <si>
    <t>ORD004435</t>
  </si>
  <si>
    <t>ORD003012</t>
  </si>
  <si>
    <t>ORD003380</t>
  </si>
  <si>
    <t>ORD003260</t>
  </si>
  <si>
    <t>ORD004623</t>
  </si>
  <si>
    <t>ORD001742</t>
  </si>
  <si>
    <t>ORD003502</t>
  </si>
  <si>
    <t>ORD003207</t>
  </si>
  <si>
    <t>ORD002351</t>
  </si>
  <si>
    <t>ORD003085</t>
  </si>
  <si>
    <t>ORD003446</t>
  </si>
  <si>
    <t>ORD001308</t>
  </si>
  <si>
    <t>ORD004778</t>
  </si>
  <si>
    <t>ORD003535</t>
  </si>
  <si>
    <t>ORD004039</t>
  </si>
  <si>
    <t>ORD002592</t>
  </si>
  <si>
    <t>ORD003974</t>
  </si>
  <si>
    <t>ORD001322</t>
  </si>
  <si>
    <t>ORD002137</t>
  </si>
  <si>
    <t>ORD001699</t>
  </si>
  <si>
    <t>ORD001130</t>
  </si>
  <si>
    <t>ORD002866</t>
  </si>
  <si>
    <t>ORD002615</t>
  </si>
  <si>
    <t>ORD003131</t>
  </si>
  <si>
    <t>ORD002207</t>
  </si>
  <si>
    <t>ORD003972</t>
  </si>
  <si>
    <t>ORD001765</t>
  </si>
  <si>
    <t>ORD003188</t>
  </si>
  <si>
    <t>ORD002857</t>
  </si>
  <si>
    <t>ORD000398</t>
  </si>
  <si>
    <t>ORD004622</t>
  </si>
  <si>
    <t>ORD000055</t>
  </si>
  <si>
    <t>ORD004800</t>
  </si>
  <si>
    <t>ORD004221</t>
  </si>
  <si>
    <t>ORD003568</t>
  </si>
  <si>
    <t>ORD002158</t>
  </si>
  <si>
    <t>ORD001181</t>
  </si>
  <si>
    <t>ORD003571</t>
  </si>
  <si>
    <t>ORD000576</t>
  </si>
  <si>
    <t>ORD001365</t>
  </si>
  <si>
    <t>ORD004510</t>
  </si>
  <si>
    <t>ORD000324</t>
  </si>
  <si>
    <t>ORD001103</t>
  </si>
  <si>
    <t>ORD000638</t>
  </si>
  <si>
    <t>ORD000655</t>
  </si>
  <si>
    <t>ORD003719</t>
  </si>
  <si>
    <t>ORD003113</t>
  </si>
  <si>
    <t>ORD002287</t>
  </si>
  <si>
    <t>ORD003482</t>
  </si>
  <si>
    <t>ORD004406</t>
  </si>
  <si>
    <t>ORD004648</t>
  </si>
  <si>
    <t>ORD004700</t>
  </si>
  <si>
    <t>ORD001379</t>
  </si>
  <si>
    <t>ORD004223</t>
  </si>
  <si>
    <t>ORD001500</t>
  </si>
  <si>
    <t>ORD001539</t>
  </si>
  <si>
    <t>ORD003463</t>
  </si>
  <si>
    <t>ORD004023</t>
  </si>
  <si>
    <t>ORD004966</t>
  </si>
  <si>
    <t>ORD002910</t>
  </si>
  <si>
    <t>ORD000527</t>
  </si>
  <si>
    <t>ORD004751</t>
  </si>
  <si>
    <t>ORD001657</t>
  </si>
  <si>
    <t>ORD002469</t>
  </si>
  <si>
    <t>ORD003291</t>
  </si>
  <si>
    <t>ORD004395</t>
  </si>
  <si>
    <t>ORD001632</t>
  </si>
  <si>
    <t>ORD000855</t>
  </si>
  <si>
    <t>ORD003189</t>
  </si>
  <si>
    <t>ORD004721</t>
  </si>
  <si>
    <t>ORD003893</t>
  </si>
  <si>
    <t>ORD004090</t>
  </si>
  <si>
    <t>ORD003443</t>
  </si>
  <si>
    <t>ORD004219</t>
  </si>
  <si>
    <t>ORD004507</t>
  </si>
  <si>
    <t>ORD001875</t>
  </si>
  <si>
    <t>ORD000354</t>
  </si>
  <si>
    <t>ORD001548</t>
  </si>
  <si>
    <t>ORD000434</t>
  </si>
  <si>
    <t>ORD003713</t>
  </si>
  <si>
    <t>ORD002729</t>
  </si>
  <si>
    <t>ORD000042</t>
  </si>
  <si>
    <t>ORD004041</t>
  </si>
  <si>
    <t>ORD000423</t>
  </si>
  <si>
    <t>ORD003685</t>
  </si>
  <si>
    <t>ORD003227</t>
  </si>
  <si>
    <t>ORD004907</t>
  </si>
  <si>
    <t>ORD001109</t>
  </si>
  <si>
    <t>ORD003230</t>
  </si>
  <si>
    <t>ORD001947</t>
  </si>
  <si>
    <t>ORD002375</t>
  </si>
  <si>
    <t>ORD003111</t>
  </si>
  <si>
    <t>ORD003867</t>
  </si>
  <si>
    <t>ORD002611</t>
  </si>
  <si>
    <t>ORD001195</t>
  </si>
  <si>
    <t>ORD000942</t>
  </si>
  <si>
    <t>ORD001458</t>
  </si>
  <si>
    <t>ORD001687</t>
  </si>
  <si>
    <t>ORD002300</t>
  </si>
  <si>
    <t>ORD003290</t>
  </si>
  <si>
    <t>ORD000032</t>
  </si>
  <si>
    <t>ORD001497</t>
  </si>
  <si>
    <t>ORD002614</t>
  </si>
  <si>
    <t>ORD000615</t>
  </si>
  <si>
    <t>ORD004813</t>
  </si>
  <si>
    <t>ORD001348</t>
  </si>
  <si>
    <t>ORD000676</t>
  </si>
  <si>
    <t>Jun</t>
  </si>
  <si>
    <t>ORD002778</t>
  </si>
  <si>
    <t>ORD003732</t>
  </si>
  <si>
    <t>ORD003574</t>
  </si>
  <si>
    <t>ORD003137</t>
  </si>
  <si>
    <t>ORD001050</t>
  </si>
  <si>
    <t>ORD001752</t>
  </si>
  <si>
    <t>ORD002481</t>
  </si>
  <si>
    <t>ORD000532</t>
  </si>
  <si>
    <t>ORD003098</t>
  </si>
  <si>
    <t>ORD001586</t>
  </si>
  <si>
    <t>ORD003469</t>
  </si>
  <si>
    <t>ORD003078</t>
  </si>
  <si>
    <t>ORD004483</t>
  </si>
  <si>
    <t>ORD003452</t>
  </si>
  <si>
    <t>ORD000572</t>
  </si>
  <si>
    <t>ORD001077</t>
  </si>
  <si>
    <t>ORD004328</t>
  </si>
  <si>
    <t>ORD000972</t>
  </si>
  <si>
    <t>ORD001193</t>
  </si>
  <si>
    <t>ORD001078</t>
  </si>
  <si>
    <t>ORD001872</t>
  </si>
  <si>
    <t>ORD004887</t>
  </si>
  <si>
    <t>ORD000407</t>
  </si>
  <si>
    <t>ORD002757</t>
  </si>
  <si>
    <t>ORD001174</t>
  </si>
  <si>
    <t>ORD000289</t>
  </si>
  <si>
    <t>ORD000666</t>
  </si>
  <si>
    <t>ORD003162</t>
  </si>
  <si>
    <t>ORD001949</t>
  </si>
  <si>
    <t>ORD001073</t>
  </si>
  <si>
    <t>ORD004656</t>
  </si>
  <si>
    <t>ORD000244</t>
  </si>
  <si>
    <t>ORD003145</t>
  </si>
  <si>
    <t>ORD001570</t>
  </si>
  <si>
    <t>ORD002639</t>
  </si>
  <si>
    <t>ORD003495</t>
  </si>
  <si>
    <t>ORD003872</t>
  </si>
  <si>
    <t>ORD000024</t>
  </si>
  <si>
    <t>ORD003612</t>
  </si>
  <si>
    <t>ORD002161</t>
  </si>
  <si>
    <t>ORD004487</t>
  </si>
  <si>
    <t>ORD000812</t>
  </si>
  <si>
    <t>ORD001062</t>
  </si>
  <si>
    <t>ORD001106</t>
  </si>
  <si>
    <t>ORD003961</t>
  </si>
  <si>
    <t>ORD004003</t>
  </si>
  <si>
    <t>ORD003794</t>
  </si>
  <si>
    <t>ORD002981</t>
  </si>
  <si>
    <t>ORD003575</t>
  </si>
  <si>
    <t>ORD002393</t>
  </si>
  <si>
    <t>ORD002488</t>
  </si>
  <si>
    <t>ORD004820</t>
  </si>
  <si>
    <t>ORD000482</t>
  </si>
  <si>
    <t>ORD002641</t>
  </si>
  <si>
    <t>ORD000895</t>
  </si>
  <si>
    <t>ORD003656</t>
  </si>
  <si>
    <t>ORD001678</t>
  </si>
  <si>
    <t>ORD001986</t>
  </si>
  <si>
    <t>ORD003476</t>
  </si>
  <si>
    <t>ORD001688</t>
  </si>
  <si>
    <t>ORD004065</t>
  </si>
  <si>
    <t>ORD004403</t>
  </si>
  <si>
    <t>ORD004680</t>
  </si>
  <si>
    <t>ORD002444</t>
  </si>
  <si>
    <t>ORD002966</t>
  </si>
  <si>
    <t>ORD001313</t>
  </si>
  <si>
    <t>ORD004275</t>
  </si>
  <si>
    <t>ORD002070</t>
  </si>
  <si>
    <t>ORD003107</t>
  </si>
  <si>
    <t>ORD000294</t>
  </si>
  <si>
    <t>ORD001117</t>
  </si>
  <si>
    <t>ORD002793</t>
  </si>
  <si>
    <t>ORD000828</t>
  </si>
  <si>
    <t>ORD004911</t>
  </si>
  <si>
    <t>ORD003348</t>
  </si>
  <si>
    <t>ORD002963</t>
  </si>
  <si>
    <t>ORD001805</t>
  </si>
  <si>
    <t>ORD000929</t>
  </si>
  <si>
    <t>ORD001664</t>
  </si>
  <si>
    <t>ORD002225</t>
  </si>
  <si>
    <t>ORD002936</t>
  </si>
  <si>
    <t>ORD004762</t>
  </si>
  <si>
    <t>ORD003252</t>
  </si>
  <si>
    <t>ORD001849</t>
  </si>
  <si>
    <t>ORD003833</t>
  </si>
  <si>
    <t>ORD004754</t>
  </si>
  <si>
    <t>ORD004494</t>
  </si>
  <si>
    <t>ORD001897</t>
  </si>
  <si>
    <t>ORD004514</t>
  </si>
  <si>
    <t>ORD001312</t>
  </si>
  <si>
    <t>ORD003360</t>
  </si>
  <si>
    <t>ORD000191</t>
  </si>
  <si>
    <t>ORD002819</t>
  </si>
  <si>
    <t>ORD004584</t>
  </si>
  <si>
    <t>ORD000041</t>
  </si>
  <si>
    <t>ORD000602</t>
  </si>
  <si>
    <t>ORD004152</t>
  </si>
  <si>
    <t>ORD003954</t>
  </si>
  <si>
    <t>ORD003304</t>
  </si>
  <si>
    <t>ORD000718</t>
  </si>
  <si>
    <t>ORD004537</t>
  </si>
  <si>
    <t>ORD003074</t>
  </si>
  <si>
    <t>ORD003254</t>
  </si>
  <si>
    <t>ORD000804</t>
  </si>
  <si>
    <t>ORD001499</t>
  </si>
  <si>
    <t>ORD003444</t>
  </si>
  <si>
    <t>ORD002586</t>
  </si>
  <si>
    <t>ORD002915</t>
  </si>
  <si>
    <t>ORD004738</t>
  </si>
  <si>
    <t>ORD001824</t>
  </si>
  <si>
    <t>ORD000684</t>
  </si>
  <si>
    <t>ORD004102</t>
  </si>
  <si>
    <t>ORD002362</t>
  </si>
  <si>
    <t>ORD004348</t>
  </si>
  <si>
    <t>ORD001836</t>
  </si>
  <si>
    <t>ORD004684</t>
  </si>
  <si>
    <t>ORD001031</t>
  </si>
  <si>
    <t>ORD002269</t>
  </si>
  <si>
    <t>ORD003956</t>
  </si>
  <si>
    <t>ORD003293</t>
  </si>
  <si>
    <t>ORD001450</t>
  </si>
  <si>
    <t>ORD004308</t>
  </si>
  <si>
    <t>ORD001680</t>
  </si>
  <si>
    <t>ORD003661</t>
  </si>
  <si>
    <t>ORD001756</t>
  </si>
  <si>
    <t>ORD001470</t>
  </si>
  <si>
    <t>ORD003286</t>
  </si>
  <si>
    <t>ORD003809</t>
  </si>
  <si>
    <t>ORD000460</t>
  </si>
  <si>
    <t>ORD000568</t>
  </si>
  <si>
    <t>ORD000522</t>
  </si>
  <si>
    <t>ORD001048</t>
  </si>
  <si>
    <t>ORD001357</t>
  </si>
  <si>
    <t>ORD002270</t>
  </si>
  <si>
    <t>ORD003355</t>
  </si>
  <si>
    <t>ORD004702</t>
  </si>
  <si>
    <t>ORD003907</t>
  </si>
  <si>
    <t>ORD002465</t>
  </si>
  <si>
    <t>ORD004412</t>
  </si>
  <si>
    <t>ORD001209</t>
  </si>
  <si>
    <t>ORD000979</t>
  </si>
  <si>
    <t>ORD000218</t>
  </si>
  <si>
    <t>ORD004588</t>
  </si>
  <si>
    <t>ORD004115</t>
  </si>
  <si>
    <t>ORD003183</t>
  </si>
  <si>
    <t>ORD001453</t>
  </si>
  <si>
    <t>ORD004036</t>
  </si>
  <si>
    <t>ORD000846</t>
  </si>
  <si>
    <t>ORD002606</t>
  </si>
  <si>
    <t>ORD001774</t>
  </si>
  <si>
    <t>ORD000392</t>
  </si>
  <si>
    <t>ORD000923</t>
  </si>
  <si>
    <t>ORD004450</t>
  </si>
  <si>
    <t>ORD004205</t>
  </si>
  <si>
    <t>ORD001546</t>
  </si>
  <si>
    <t>ORD000117</t>
  </si>
  <si>
    <t>ORD004164</t>
  </si>
  <si>
    <t>ORD002148</t>
  </si>
  <si>
    <t>ORD002166</t>
  </si>
  <si>
    <t>ORD000711</t>
  </si>
  <si>
    <t>ORD003728</t>
  </si>
  <si>
    <t>ORD002213</t>
  </si>
  <si>
    <t>ORD000315</t>
  </si>
  <si>
    <t>ORD002455</t>
  </si>
  <si>
    <t>ORD004821</t>
  </si>
  <si>
    <t>ORD000298</t>
  </si>
  <si>
    <t>ORD002715</t>
  </si>
  <si>
    <t>ORD001797</t>
  </si>
  <si>
    <t>ORD002346</t>
  </si>
  <si>
    <t>ORD004335</t>
  </si>
  <si>
    <t>ORD000664</t>
  </si>
  <si>
    <t>ORD004755</t>
  </si>
  <si>
    <t>ORD004424</t>
  </si>
  <si>
    <t>ORD002353</t>
  </si>
  <si>
    <t>ORD001952</t>
  </si>
  <si>
    <t>ORD004590</t>
  </si>
  <si>
    <t>ORD002403</t>
  </si>
  <si>
    <t>ORD004651</t>
  </si>
  <si>
    <t>ORD004959</t>
  </si>
  <si>
    <t>ORD000428</t>
  </si>
  <si>
    <t>ORD000359</t>
  </si>
  <si>
    <t>ORD004685</t>
  </si>
  <si>
    <t>ORD002071</t>
  </si>
  <si>
    <t>ORD003324</t>
  </si>
  <si>
    <t>ORD003174</t>
  </si>
  <si>
    <t>ORD001028</t>
  </si>
  <si>
    <t>ORD004198</t>
  </si>
  <si>
    <t>ORD003628</t>
  </si>
  <si>
    <t>ORD002125</t>
  </si>
  <si>
    <t>ORD003591</t>
  </si>
  <si>
    <t>ORD000506</t>
  </si>
  <si>
    <t>ORD002989</t>
  </si>
  <si>
    <t>ORD003148</t>
  </si>
  <si>
    <t>ORD001087</t>
  </si>
  <si>
    <t>ORD000453</t>
  </si>
  <si>
    <t>ORD001307</t>
  </si>
  <si>
    <t>ORD002814</t>
  </si>
  <si>
    <t>ORD001359</t>
  </si>
  <si>
    <t>ORD001703</t>
  </si>
  <si>
    <t>ORD000234</t>
  </si>
  <si>
    <t>ORD004447</t>
  </si>
  <si>
    <t>ORD004033</t>
  </si>
  <si>
    <t>ORD004126</t>
  </si>
  <si>
    <t>ORD003450</t>
  </si>
  <si>
    <t>ORD002062</t>
  </si>
  <si>
    <t>ORD000913</t>
  </si>
  <si>
    <t>ORD000328</t>
  </si>
  <si>
    <t>ORD000693</t>
  </si>
  <si>
    <t>ORD004575</t>
  </si>
  <si>
    <t>ORD001723</t>
  </si>
  <si>
    <t>ORD000405</t>
  </si>
  <si>
    <t>ORD000617</t>
  </si>
  <si>
    <t>ORD001880</t>
  </si>
  <si>
    <t>ORD001673</t>
  </si>
  <si>
    <t>ORD003466</t>
  </si>
  <si>
    <t>ORD000991</t>
  </si>
  <si>
    <t>ORD002828</t>
  </si>
  <si>
    <t>ORD001280</t>
  </si>
  <si>
    <t>ORD001164</t>
  </si>
  <si>
    <t>ORD001284</t>
  </si>
  <si>
    <t>ORD004956</t>
  </si>
  <si>
    <t>ORD003831</t>
  </si>
  <si>
    <t>ORD001771</t>
  </si>
  <si>
    <t>ORD002098</t>
  </si>
  <si>
    <t>ORD002102</t>
  </si>
  <si>
    <t>ORD000206</t>
  </si>
  <si>
    <t>ORD003001</t>
  </si>
  <si>
    <t>ORD004067</t>
  </si>
  <si>
    <t>ORD002917</t>
  </si>
  <si>
    <t>ORD001856</t>
  </si>
  <si>
    <t>ORD001408</t>
  </si>
  <si>
    <t>ORD001878</t>
  </si>
  <si>
    <t>Jul</t>
  </si>
  <si>
    <t>Q3</t>
  </si>
  <si>
    <t>ORD002939</t>
  </si>
  <si>
    <t>ORD000542</t>
  </si>
  <si>
    <t>ORD002538</t>
  </si>
  <si>
    <t>ORD000851</t>
  </si>
  <si>
    <t>ORD002561</t>
  </si>
  <si>
    <t>ORD001330</t>
  </si>
  <si>
    <t>ORD001421</t>
  </si>
  <si>
    <t>ORD003734</t>
  </si>
  <si>
    <t>ORD004154</t>
  </si>
  <si>
    <t>ORD002749</t>
  </si>
  <si>
    <t>ORD000647</t>
  </si>
  <si>
    <t>ORD001148</t>
  </si>
  <si>
    <t>ORD000621</t>
  </si>
  <si>
    <t>ORD004554</t>
  </si>
  <si>
    <t>ORD001591</t>
  </si>
  <si>
    <t>ORD003192</t>
  </si>
  <si>
    <t>ORD001803</t>
  </si>
  <si>
    <t>ORD004353</t>
  </si>
  <si>
    <t>ORD000690</t>
  </si>
  <si>
    <t>ORD004178</t>
  </si>
  <si>
    <t>ORD000964</t>
  </si>
  <si>
    <t>ORD000321</t>
  </si>
  <si>
    <t>ORD002318</t>
  </si>
  <si>
    <t>ORD003163</t>
  </si>
  <si>
    <t>ORD003861</t>
  </si>
  <si>
    <t>ORD003520</t>
  </si>
  <si>
    <t>ORD004183</t>
  </si>
  <si>
    <t>ORD000304</t>
  </si>
  <si>
    <t>ORD002298</t>
  </si>
  <si>
    <t>ORD001310</t>
  </si>
  <si>
    <t>ORD002485</t>
  </si>
  <si>
    <t>ORD003965</t>
  </si>
  <si>
    <t>ORD000250</t>
  </si>
  <si>
    <t>ORD001011</t>
  </si>
  <si>
    <t>ORD003945</t>
  </si>
  <si>
    <t>ORD003762</t>
  </si>
  <si>
    <t>ORD002552</t>
  </si>
  <si>
    <t>ORD003261</t>
  </si>
  <si>
    <t>ORD001866</t>
  </si>
  <si>
    <t>ORD003378</t>
  </si>
  <si>
    <t>ORD002081</t>
  </si>
  <si>
    <t>ORD004603</t>
  </si>
  <si>
    <t>ORD001350</t>
  </si>
  <si>
    <t>ORD004557</t>
  </si>
  <si>
    <t>ORD000107</t>
  </si>
  <si>
    <t>ORD000118</t>
  </si>
  <si>
    <t>ORD002238</t>
  </si>
  <si>
    <t>ORD001917</t>
  </si>
  <si>
    <t>ORD000226</t>
  </si>
  <si>
    <t>ORD002118</t>
  </si>
  <si>
    <t>ORD004579</t>
  </si>
  <si>
    <t>ORD003895</t>
  </si>
  <si>
    <t>ORD000848</t>
  </si>
  <si>
    <t>ORD000587</t>
  </si>
  <si>
    <t>ORD001096</t>
  </si>
  <si>
    <t>ORD001919</t>
  </si>
  <si>
    <t>ORD004194</t>
  </si>
  <si>
    <t>ORD001858</t>
  </si>
  <si>
    <t>ORD000236</t>
  </si>
  <si>
    <t>ORD001380</t>
  </si>
  <si>
    <t>ORD004106</t>
  </si>
  <si>
    <t>ORD000685</t>
  </si>
  <si>
    <t>ORD000076</t>
  </si>
  <si>
    <t>ORD002687</t>
  </si>
  <si>
    <t>ORD000397</t>
  </si>
  <si>
    <t>ORD004833</t>
  </si>
  <si>
    <t>ORD000698</t>
  </si>
  <si>
    <t>ORD003349</t>
  </si>
  <si>
    <t>ORD004868</t>
  </si>
  <si>
    <t>ORD001003</t>
  </si>
  <si>
    <t>ORD000593</t>
  </si>
  <si>
    <t>ORD002727</t>
  </si>
  <si>
    <t>ORD004668</t>
  </si>
  <si>
    <t>ORD003673</t>
  </si>
  <si>
    <t>ORD000567</t>
  </si>
  <si>
    <t>ORD003756</t>
  </si>
  <si>
    <t>ORD001159</t>
  </si>
  <si>
    <t>ORD000633</t>
  </si>
  <si>
    <t>ORD002359</t>
  </si>
  <si>
    <t>ORD004928</t>
  </si>
  <si>
    <t>ORD003844</t>
  </si>
  <si>
    <t>ORD002837</t>
  </si>
  <si>
    <t>ORD004357</t>
  </si>
  <si>
    <t>ORD003307</t>
  </si>
  <si>
    <t>ORD001182</t>
  </si>
  <si>
    <t>ORD002957</t>
  </si>
  <si>
    <t>ORD001533</t>
  </si>
  <si>
    <t>ORD003178</t>
  </si>
  <si>
    <t>ORD003080</t>
  </si>
  <si>
    <t>ORD000097</t>
  </si>
  <si>
    <t>ORD000861</t>
  </si>
  <si>
    <t>ORD001578</t>
  </si>
  <si>
    <t>ORD001685</t>
  </si>
  <si>
    <t>ORD004876</t>
  </si>
  <si>
    <t>ORD003757</t>
  </si>
  <si>
    <t>ORD001309</t>
  </si>
  <si>
    <t>ORD000019</t>
  </si>
  <si>
    <t>ORD000045</t>
  </si>
  <si>
    <t>ORD004779</t>
  </si>
  <si>
    <t>ORD004497</t>
  </si>
  <si>
    <t>ORD004119</t>
  </si>
  <si>
    <t>ORD002366</t>
  </si>
  <si>
    <t>ORD002812</t>
  </si>
  <si>
    <t>ORD000366</t>
  </si>
  <si>
    <t>ORD003679</t>
  </si>
  <si>
    <t>ORD003050</t>
  </si>
  <si>
    <t>ORD004951</t>
  </si>
  <si>
    <t>ORD000310</t>
  </si>
  <si>
    <t>ORD004880</t>
  </si>
  <si>
    <t>ORD001629</t>
  </si>
  <si>
    <t>ORD001627</t>
  </si>
  <si>
    <t>ORD001712</t>
  </si>
  <si>
    <t>ORD000618</t>
  </si>
  <si>
    <t>ORD002698</t>
  </si>
  <si>
    <t>ORD004430</t>
  </si>
  <si>
    <t>ORD004268</t>
  </si>
  <si>
    <t>ORD004858</t>
  </si>
  <si>
    <t>ORD002801</t>
  </si>
  <si>
    <t>ORD001396</t>
  </si>
  <si>
    <t>ORD001219</t>
  </si>
  <si>
    <t>ORD000335</t>
  </si>
  <si>
    <t>ORD003200</t>
  </si>
  <si>
    <t>ORD000871</t>
  </si>
  <si>
    <t>ORD003979</t>
  </si>
  <si>
    <t>ORD002380</t>
  </si>
  <si>
    <t>ORD001593</t>
  </si>
  <si>
    <t>ORD002237</t>
  </si>
  <si>
    <t>ORD000948</t>
  </si>
  <si>
    <t>ORD002531</t>
  </si>
  <si>
    <t>ORD003604</t>
  </si>
  <si>
    <t>ORD001957</t>
  </si>
  <si>
    <t>ORD002771</t>
  </si>
  <si>
    <t>ORD000610</t>
  </si>
  <si>
    <t>ORD003910</t>
  </si>
  <si>
    <t>ORD001462</t>
  </si>
  <si>
    <t>ORD001116</t>
  </si>
  <si>
    <t>ORD001017</t>
  </si>
  <si>
    <t>ORD003007</t>
  </si>
  <si>
    <t>ORD001413</t>
  </si>
  <si>
    <t>ORD000126</t>
  </si>
  <si>
    <t>ORD001671</t>
  </si>
  <si>
    <t>ORD000699</t>
  </si>
  <si>
    <t>ORD001960</t>
  </si>
  <si>
    <t>ORD004277</t>
  </si>
  <si>
    <t>ORD004900</t>
  </si>
  <si>
    <t>ORD002445</t>
  </si>
  <si>
    <t>ORD001105</t>
  </si>
  <si>
    <t>ORD004479</t>
  </si>
  <si>
    <t>ORD004444</t>
  </si>
  <si>
    <t>ORD001598</t>
  </si>
  <si>
    <t>ORD003328</t>
  </si>
  <si>
    <t>ORD003453</t>
  </si>
  <si>
    <t>ORD000079</t>
  </si>
  <si>
    <t>ORD000006</t>
  </si>
  <si>
    <t>ORD003154</t>
  </si>
  <si>
    <t>ORD003318</t>
  </si>
  <si>
    <t>ORD002504</t>
  </si>
  <si>
    <t>ORD003127</t>
  </si>
  <si>
    <t>ORD004720</t>
  </si>
  <si>
    <t>ORD004302</t>
  </si>
  <si>
    <t>ORD001889</t>
  </si>
  <si>
    <t>ORD003921</t>
  </si>
  <si>
    <t>ORD003152</t>
  </si>
  <si>
    <t>ORD004128</t>
  </si>
  <si>
    <t>ORD003203</t>
  </si>
  <si>
    <t>ORD000261</t>
  </si>
  <si>
    <t>ORD002197</t>
  </si>
  <si>
    <t>ORD002022</t>
  </si>
  <si>
    <t>ORD001626</t>
  </si>
  <si>
    <t>ORD002895</t>
  </si>
  <si>
    <t>ORD003779</t>
  </si>
  <si>
    <t>ORD001684</t>
  </si>
  <si>
    <t>ORD002996</t>
  </si>
  <si>
    <t>ORD000110</t>
  </si>
  <si>
    <t>ORD001346</t>
  </si>
  <si>
    <t>ORD004378</t>
  </si>
  <si>
    <t>ORD004050</t>
  </si>
  <si>
    <t>ORD001071</t>
  </si>
  <si>
    <t>ORD001139</t>
  </si>
  <si>
    <t>ORD003980</t>
  </si>
  <si>
    <t>ORD004746</t>
  </si>
  <si>
    <t>ORD003547</t>
  </si>
  <si>
    <t>ORD004808</t>
  </si>
  <si>
    <t>ORD004116</t>
  </si>
  <si>
    <t>ORD002437</t>
  </si>
  <si>
    <t>ORD002799</t>
  </si>
  <si>
    <t>ORD002665</t>
  </si>
  <si>
    <t>ORD000037</t>
  </si>
  <si>
    <t>ORD000616</t>
  </si>
  <si>
    <t>ORD001507</t>
  </si>
  <si>
    <t>ORD000931</t>
  </si>
  <si>
    <t>ORD000068</t>
  </si>
  <si>
    <t>ORD004749</t>
  </si>
  <si>
    <t>ORD001443</t>
  </si>
  <si>
    <t>ORD003727</t>
  </si>
  <si>
    <t>ORD000903</t>
  </si>
  <si>
    <t>ORD001496</t>
  </si>
  <si>
    <t>ORD000137</t>
  </si>
  <si>
    <t>ORD004473</t>
  </si>
  <si>
    <t>ORD002050</t>
  </si>
  <si>
    <t>ORD003957</t>
  </si>
  <si>
    <t>ORD002911</t>
  </si>
  <si>
    <t>ORD004373</t>
  </si>
  <si>
    <t>ORD004469</t>
  </si>
  <si>
    <t>ORD000382</t>
  </si>
  <si>
    <t>ORD003368</t>
  </si>
  <si>
    <t>ORD004991</t>
  </si>
  <si>
    <t>ORD003940</t>
  </si>
  <si>
    <t>ORD003244</t>
  </si>
  <si>
    <t>ORD004829</t>
  </si>
  <si>
    <t>ORD001945</t>
  </si>
  <si>
    <t>ORD002464</t>
  </si>
  <si>
    <t>ORD000720</t>
  </si>
  <si>
    <t>ORD003669</t>
  </si>
  <si>
    <t>ORD003021</t>
  </si>
  <si>
    <t>ORD000999</t>
  </si>
  <si>
    <t>ORD002029</t>
  </si>
  <si>
    <t>ORD000622</t>
  </si>
  <si>
    <t>ORD000774</t>
  </si>
  <si>
    <t>ORD001639</t>
  </si>
  <si>
    <t>ORD003707</t>
  </si>
  <si>
    <t>ORD000574</t>
  </si>
  <si>
    <t>ORD004481</t>
  </si>
  <si>
    <t>ORD001317</t>
  </si>
  <si>
    <t>ORD003522</t>
  </si>
  <si>
    <t>ORD002942</t>
  </si>
  <si>
    <t>ORD003774</t>
  </si>
  <si>
    <t>ORD003854</t>
  </si>
  <si>
    <t>ORD001911</t>
  </si>
  <si>
    <t>ORD001634</t>
  </si>
  <si>
    <t>ORD002327</t>
  </si>
  <si>
    <t>ORD002713</t>
  </si>
  <si>
    <t>ORD003911</t>
  </si>
  <si>
    <t>ORD002608</t>
  </si>
  <si>
    <t>ORD004843</t>
  </si>
  <si>
    <t>ORD002132</t>
  </si>
  <si>
    <t>ORD002263</t>
  </si>
  <si>
    <t>ORD004630</t>
  </si>
  <si>
    <t>ORD003303</t>
  </si>
  <si>
    <t>ORD001646</t>
  </si>
  <si>
    <t>ORD003869</t>
  </si>
  <si>
    <t>ORD000134</t>
  </si>
  <si>
    <t>ORD000949</t>
  </si>
  <si>
    <t>ORD001602</t>
  </si>
  <si>
    <t>ORD000125</t>
  </si>
  <si>
    <t>ORD000111</t>
  </si>
  <si>
    <t>ORD002976</t>
  </si>
  <si>
    <t>ORD002447</t>
  </si>
  <si>
    <t>ORD004883</t>
  </si>
  <si>
    <t>ORD000887</t>
  </si>
  <si>
    <t>ORD002027</t>
  </si>
  <si>
    <t>ORD001236</t>
  </si>
  <si>
    <t>ORD004206</t>
  </si>
  <si>
    <t>Aug</t>
  </si>
  <si>
    <t>ORD001292</t>
  </si>
  <si>
    <t>ORD002731</t>
  </si>
  <si>
    <t>ORD003544</t>
  </si>
  <si>
    <t>ORD002997</t>
  </si>
  <si>
    <t>ORD004470</t>
  </si>
  <si>
    <t>ORD003226</t>
  </si>
  <si>
    <t>ORD003308</t>
  </si>
  <si>
    <t>ORD002585</t>
  </si>
  <si>
    <t>ORD001216</t>
  </si>
  <si>
    <t>ORD001731</t>
  </si>
  <si>
    <t>ORD004415</t>
  </si>
  <si>
    <t>ORD001484</t>
  </si>
  <si>
    <t>ORD002629</t>
  </si>
  <si>
    <t>ORD004057</t>
  </si>
  <si>
    <t>ORD000473</t>
  </si>
  <si>
    <t>ORD002463</t>
  </si>
  <si>
    <t>ORD002652</t>
  </si>
  <si>
    <t>ORD001825</t>
  </si>
  <si>
    <t>ORD003755</t>
  </si>
  <si>
    <t>ORD000181</t>
  </si>
  <si>
    <t>ORD002392</t>
  </si>
  <si>
    <t>ORD002063</t>
  </si>
  <si>
    <t>ORD003342</t>
  </si>
  <si>
    <t>ORD001021</t>
  </si>
  <si>
    <t>ORD001427</t>
  </si>
  <si>
    <t>ORD000671</t>
  </si>
  <si>
    <t>ORD002361</t>
  </si>
  <si>
    <t>ORD001463</t>
  </si>
  <si>
    <t>ORD003422</t>
  </si>
  <si>
    <t>ORD002446</t>
  </si>
  <si>
    <t>ORD003159</t>
  </si>
  <si>
    <t>ORD001248</t>
  </si>
  <si>
    <t>ORD004153</t>
  </si>
  <si>
    <t>ORD002294</t>
  </si>
  <si>
    <t>ORD000640</t>
  </si>
  <si>
    <t>ORD000820</t>
  </si>
  <si>
    <t>ORD002037</t>
  </si>
  <si>
    <t>ORD001995</t>
  </si>
  <si>
    <t>ORD001695</t>
  </si>
  <si>
    <t>ORD004660</t>
  </si>
  <si>
    <t>ORD003949</t>
  </si>
  <si>
    <t>ORD001953</t>
  </si>
  <si>
    <t>ORD000201</t>
  </si>
  <si>
    <t>ORD000214</t>
  </si>
  <si>
    <t>ORD000644</t>
  </si>
  <si>
    <t>ORD002815</t>
  </si>
  <si>
    <t>ORD004541</t>
  </si>
  <si>
    <t>ORD002508</t>
  </si>
  <si>
    <t>ORD004290</t>
  </si>
  <si>
    <t>ORD001930</t>
  </si>
  <si>
    <t>ORD003812</t>
  </si>
  <si>
    <t>ORD001311</t>
  </si>
  <si>
    <t>ORD004282</t>
  </si>
  <si>
    <t>ORD002822</t>
  </si>
  <si>
    <t>ORD000963</t>
  </si>
  <si>
    <t>ORD001375</t>
  </si>
  <si>
    <t>ORD002788</t>
  </si>
  <si>
    <t>ORD002986</t>
  </si>
  <si>
    <t>ORD001561</t>
  </si>
  <si>
    <t>ORD004061</t>
  </si>
  <si>
    <t>ORD000914</t>
  </si>
  <si>
    <t>ORD001998</t>
  </si>
  <si>
    <t>ORD003032</t>
  </si>
  <si>
    <t>ORD000327</t>
  </si>
  <si>
    <t>ORD002405</t>
  </si>
  <si>
    <t>ORD000147</t>
  </si>
  <si>
    <t>ORD001553</t>
  </si>
  <si>
    <t>ORD001371</t>
  </si>
  <si>
    <t>ORD003731</t>
  </si>
  <si>
    <t>ORD002954</t>
  </si>
  <si>
    <t>ORD004919</t>
  </si>
  <si>
    <t>ORD003933</t>
  </si>
  <si>
    <t>ORD002741</t>
  </si>
  <si>
    <t>ORD001999</t>
  </si>
  <si>
    <t>ORD004859</t>
  </si>
  <si>
    <t>ORD001419</t>
  </si>
  <si>
    <t>ORD004732</t>
  </si>
  <si>
    <t>ORD004885</t>
  </si>
  <si>
    <t>ORD004992</t>
  </si>
  <si>
    <t>ORD000539</t>
  </si>
  <si>
    <t>ORD003813</t>
  </si>
  <si>
    <t>ORD002743</t>
  </si>
  <si>
    <t>ORD002638</t>
  </si>
  <si>
    <t>ORD000265</t>
  </si>
  <si>
    <t>ORD002510</t>
  </si>
  <si>
    <t>ORD000691</t>
  </si>
  <si>
    <t>ORD000756</t>
  </si>
  <si>
    <t>ORD004530</t>
  </si>
  <si>
    <t>ORD003528</t>
  </si>
  <si>
    <t>ORD002862</t>
  </si>
  <si>
    <t>ORD004573</t>
  </si>
  <si>
    <t>ORD001871</t>
  </si>
  <si>
    <t>ORD000326</t>
  </si>
  <si>
    <t>ORD002930</t>
  </si>
  <si>
    <t>ORD000724</t>
  </si>
  <si>
    <t>ORD003580</t>
  </si>
  <si>
    <t>ORD001989</t>
  </si>
  <si>
    <t>ORD000486</t>
  </si>
  <si>
    <t>ORD003840</t>
  </si>
  <si>
    <t>ORD003025</t>
  </si>
  <si>
    <t>ORD002747</t>
  </si>
  <si>
    <t>ORD000525</t>
  </si>
  <si>
    <t>ORD001846</t>
  </si>
  <si>
    <t>ORD003352</t>
  </si>
  <si>
    <t>ORD004659</t>
  </si>
  <si>
    <t>ORD003986</t>
  </si>
  <si>
    <t>ORD001296</t>
  </si>
  <si>
    <t>ORD000997</t>
  </si>
  <si>
    <t>ORD004427</t>
  </si>
  <si>
    <t>ORD002316</t>
  </si>
  <si>
    <t>ORD002627</t>
  </si>
  <si>
    <t>ORD001398</t>
  </si>
  <si>
    <t>ORD001437</t>
  </si>
  <si>
    <t>ORD004295</t>
  </si>
  <si>
    <t>ORD000374</t>
  </si>
  <si>
    <t>ORD002532</t>
  </si>
  <si>
    <t>ORD002937</t>
  </si>
  <si>
    <t>ORD001780</t>
  </si>
  <si>
    <t>ORD002476</t>
  </si>
  <si>
    <t>ORD004210</t>
  </si>
  <si>
    <t>ORD002559</t>
  </si>
  <si>
    <t>ORD001583</t>
  </si>
  <si>
    <t>ORD002990</t>
  </si>
  <si>
    <t>ORD003110</t>
  </si>
  <si>
    <t>ORD002519</t>
  </si>
  <si>
    <t>ORD004625</t>
  </si>
  <si>
    <t>ORD000833</t>
  </si>
  <si>
    <t>ORD003532</t>
  </si>
  <si>
    <t>ORD004935</t>
  </si>
  <si>
    <t>ORD000286</t>
  </si>
  <si>
    <t>ORD004439</t>
  </si>
  <si>
    <t>ORD000845</t>
  </si>
  <si>
    <t>ORD004204</t>
  </si>
  <si>
    <t>ORD001295</t>
  </si>
  <si>
    <t>ORD002648</t>
  </si>
  <si>
    <t>ORD002593</t>
  </si>
  <si>
    <t>ORD003061</t>
  </si>
  <si>
    <t>ORD003773</t>
  </si>
  <si>
    <t>ORD002271</t>
  </si>
  <si>
    <t>ORD003036</t>
  </si>
  <si>
    <t>ORD001039</t>
  </si>
  <si>
    <t>ORD002134</t>
  </si>
  <si>
    <t>ORD003691</t>
  </si>
  <si>
    <t>ORD002938</t>
  </si>
  <si>
    <t>ORD004042</t>
  </si>
  <si>
    <t>ORD000710</t>
  </si>
  <si>
    <t>ORD003608</t>
  </si>
  <si>
    <t>ORD001918</t>
  </si>
  <si>
    <t>ORD001932</t>
  </si>
  <si>
    <t>ORD003197</t>
  </si>
  <si>
    <t>ORD003492</t>
  </si>
  <si>
    <t>ORD002389</t>
  </si>
  <si>
    <t>ORD002842</t>
  </si>
  <si>
    <t>ORD001743</t>
  </si>
  <si>
    <t>ORD002167</t>
  </si>
  <si>
    <t>ORD001524</t>
  </si>
  <si>
    <t>ORD004396</t>
  </si>
  <si>
    <t>ORD002846</t>
  </si>
  <si>
    <t>ORD002364</t>
  </si>
  <si>
    <t>ORD001285</t>
  </si>
  <si>
    <t>ORD002544</t>
  </si>
  <si>
    <t>ORD004712</t>
  </si>
  <si>
    <t>ORD004168</t>
  </si>
  <si>
    <t>ORD000149</t>
  </si>
  <si>
    <t>ORD001290</t>
  </si>
  <si>
    <t>ORD004496</t>
  </si>
  <si>
    <t>ORD000410</t>
  </si>
  <si>
    <t>ORD000657</t>
  </si>
  <si>
    <t>ORD000442</t>
  </si>
  <si>
    <t>ORD001112</t>
  </si>
  <si>
    <t>ORD002309</t>
  </si>
  <si>
    <t>ORD004201</t>
  </si>
  <si>
    <t>ORD004704</t>
  </si>
  <si>
    <t>ORD002811</t>
  </si>
  <si>
    <t>ORD002848</t>
  </si>
  <si>
    <t>ORD003825</t>
  </si>
  <si>
    <t>ORD004710</t>
  </si>
  <si>
    <t>ORD003020</t>
  </si>
  <si>
    <t>ORD002190</t>
  </si>
  <si>
    <t>ORD004905</t>
  </si>
  <si>
    <t>ORD002716</t>
  </si>
  <si>
    <t>ORD004640</t>
  </si>
  <si>
    <t>ORD004709</t>
  </si>
  <si>
    <t>ORD004666</t>
  </si>
  <si>
    <t>ORD004776</t>
  </si>
  <si>
    <t>ORD002782</t>
  </si>
  <si>
    <t>ORD002830</t>
  </si>
  <si>
    <t>ORD002565</t>
  </si>
  <si>
    <t>ORD004150</t>
  </si>
  <si>
    <t>ORD004787</t>
  </si>
  <si>
    <t>ORD001686</t>
  </si>
  <si>
    <t>ORD002759</t>
  </si>
  <si>
    <t>ORD002748</t>
  </si>
  <si>
    <t>ORD002753</t>
  </si>
  <si>
    <t>ORD000471</t>
  </si>
  <si>
    <t>ORD004897</t>
  </si>
  <si>
    <t>ORD000761</t>
  </si>
  <si>
    <t>ORD001934</t>
  </si>
  <si>
    <t>ORD002933</t>
  </si>
  <si>
    <t>ORD002186</t>
  </si>
  <si>
    <t>ORD003530</t>
  </si>
  <si>
    <t>ORD001244</t>
  </si>
  <si>
    <t>ORD003345</t>
  </si>
  <si>
    <t>ORD002670</t>
  </si>
  <si>
    <t>ORD004433</t>
  </si>
  <si>
    <t>ORD001374</t>
  </si>
  <si>
    <t>ORD001809</t>
  </si>
  <si>
    <t>ORD002634</t>
  </si>
  <si>
    <t>ORD000704</t>
  </si>
  <si>
    <t>ORD001579</t>
  </si>
  <si>
    <t>ORD004066</t>
  </si>
  <si>
    <t>ORD002534</t>
  </si>
  <si>
    <t>ORD001587</t>
  </si>
  <si>
    <t>ORD001373</t>
  </si>
  <si>
    <t>ORD001207</t>
  </si>
  <si>
    <t>ORD001157</t>
  </si>
  <si>
    <t>ORD003873</t>
  </si>
  <si>
    <t>ORD002896</t>
  </si>
  <si>
    <t>ORD001566</t>
  </si>
  <si>
    <t>ORD002126</t>
  </si>
  <si>
    <t>ORD003313</t>
  </si>
  <si>
    <t>ORD003296</t>
  </si>
  <si>
    <t>ORD001834</t>
  </si>
  <si>
    <t>ORD003514</t>
  </si>
  <si>
    <t>ORD001468</t>
  </si>
  <si>
    <t>ORD003994</t>
  </si>
  <si>
    <t>ORD002806</t>
  </si>
  <si>
    <t>ORD002874</t>
  </si>
  <si>
    <t>ORD002844</t>
  </si>
  <si>
    <t>ORD004814</t>
  </si>
  <si>
    <t>ORD003896</t>
  </si>
  <si>
    <t>ORD003008</t>
  </si>
  <si>
    <t>ORD003970</t>
  </si>
  <si>
    <t>ORD002702</t>
  </si>
  <si>
    <t>ORD004753</t>
  </si>
  <si>
    <t>ORD004896</t>
  </si>
  <si>
    <t>ORD001768</t>
  </si>
  <si>
    <t>ORD004196</t>
  </si>
  <si>
    <t>ORD000528</t>
  </si>
  <si>
    <t>ORD000876</t>
  </si>
  <si>
    <t>ORD002970</t>
  </si>
  <si>
    <t>ORD001263</t>
  </si>
  <si>
    <t>ORD004127</t>
  </si>
  <si>
    <t>ORD004769</t>
  </si>
  <si>
    <t>ORD004917</t>
  </si>
  <si>
    <t>ORD002623</t>
  </si>
  <si>
    <t>ORD002119</t>
  </si>
  <si>
    <t>ORD002049</t>
  </si>
  <si>
    <t>ORD000115</t>
  </si>
  <si>
    <t>ORD003850</t>
  </si>
  <si>
    <t>Sep</t>
  </si>
  <si>
    <t>ORD002583</t>
  </si>
  <si>
    <t>ORD003923</t>
  </si>
  <si>
    <t>ORD004737</t>
  </si>
  <si>
    <t>ORD000209</t>
  </si>
  <si>
    <t>ORD000499</t>
  </si>
  <si>
    <t>ORD003564</t>
  </si>
  <si>
    <t>ORD004672</t>
  </si>
  <si>
    <t>ORD000070</t>
  </si>
  <si>
    <t>ORD000208</t>
  </si>
  <si>
    <t>ORD000291</t>
  </si>
  <si>
    <t>ORD001494</t>
  </si>
  <si>
    <t>ORD003610</t>
  </si>
  <si>
    <t>ORD003595</t>
  </si>
  <si>
    <t>ORD003176</t>
  </si>
  <si>
    <t>ORD001166</t>
  </si>
  <si>
    <t>ORD002301</t>
  </si>
  <si>
    <t>ORD001254</t>
  </si>
  <si>
    <t>ORD003627</t>
  </si>
  <si>
    <t>ORD000087</t>
  </si>
  <si>
    <t>ORD001074</t>
  </si>
  <si>
    <t>ORD001466</t>
  </si>
  <si>
    <t>ORD000748</t>
  </si>
  <si>
    <t>ORD000579</t>
  </si>
  <si>
    <t>ORD004040</t>
  </si>
  <si>
    <t>ORD004249</t>
  </si>
  <si>
    <t>ORD002390</t>
  </si>
  <si>
    <t>ORD004280</t>
  </si>
  <si>
    <t>ORD001268</t>
  </si>
  <si>
    <t>ORD001963</t>
  </si>
  <si>
    <t>ORD000854</t>
  </si>
  <si>
    <t>ORD002940</t>
  </si>
  <si>
    <t>ORD003164</t>
  </si>
  <si>
    <t>ORD001992</t>
  </si>
  <si>
    <t>ORD004582</t>
  </si>
  <si>
    <t>ORD001969</t>
  </si>
  <si>
    <t>ORD004881</t>
  </si>
  <si>
    <t>ORD000414</t>
  </si>
  <si>
    <t>ORD004888</t>
  </si>
  <si>
    <t>ORD000519</t>
  </si>
  <si>
    <t>ORD003609</t>
  </si>
  <si>
    <t>ORD004694</t>
  </si>
  <si>
    <t>ORD002700</t>
  </si>
  <si>
    <t>ORD001336</t>
  </si>
  <si>
    <t>ORD000341</t>
  </si>
  <si>
    <t>ORD001452</t>
  </si>
  <si>
    <t>ORD002312</t>
  </si>
  <si>
    <t>ORD000077</t>
  </si>
  <si>
    <t>ORD001320</t>
  </si>
  <si>
    <t>ORD000814</t>
  </si>
  <si>
    <t>ORD001642</t>
  </si>
  <si>
    <t>ORD001716</t>
  </si>
  <si>
    <t>ORD001241</t>
  </si>
  <si>
    <t>ORD000733</t>
  </si>
  <si>
    <t>ORD003271</t>
  </si>
  <si>
    <t>ORD002827</t>
  </si>
  <si>
    <t>ORD003862</t>
  </si>
  <si>
    <t>ORD002200</t>
  </si>
  <si>
    <t>ORD000270</t>
  </si>
  <si>
    <t>ORD004634</t>
  </si>
  <si>
    <t>ORD000451</t>
  </si>
  <si>
    <t>ORD003525</t>
  </si>
  <si>
    <t>ORD003175</t>
  </si>
  <si>
    <t>ORD003195</t>
  </si>
  <si>
    <t>ORD003510</t>
  </si>
  <si>
    <t>ORD003792</t>
  </si>
  <si>
    <t>ORD001349</t>
  </si>
  <si>
    <t>ORD002905</t>
  </si>
  <si>
    <t>ORD001141</t>
  </si>
  <si>
    <t>ORD004458</t>
  </si>
  <si>
    <t>ORD004999</t>
  </si>
  <si>
    <t>ORD002251</t>
  </si>
  <si>
    <t>ORD000268</t>
  </si>
  <si>
    <t>ORD004585</t>
  </si>
  <si>
    <t>ORD004828</t>
  </si>
  <si>
    <t>ORD001364</t>
  </si>
  <si>
    <t>ORD001381</t>
  </si>
  <si>
    <t>ORD002420</t>
  </si>
  <si>
    <t>ORD002175</t>
  </si>
  <si>
    <t>ORD001337</t>
  </si>
  <si>
    <t>ORD001672</t>
  </si>
  <si>
    <t>ORD001933</t>
  </si>
  <si>
    <t>ORD001440</t>
  </si>
  <si>
    <t>ORD003599</t>
  </si>
  <si>
    <t>ORD004698</t>
  </si>
  <si>
    <t>ORD000755</t>
  </si>
  <si>
    <t>ORD001389</t>
  </si>
  <si>
    <t>ORD002454</t>
  </si>
  <si>
    <t>ORD004016</t>
  </si>
  <si>
    <t>ORD000271</t>
  </si>
  <si>
    <t>ORD002758</t>
  </si>
  <si>
    <t>ORD003723</t>
  </si>
  <si>
    <t>ORD003992</t>
  </si>
  <si>
    <t>ORD003706</t>
  </si>
  <si>
    <t>ORD004546</t>
  </si>
  <si>
    <t>ORD003894</t>
  </si>
  <si>
    <t>ORD004159</t>
  </si>
  <si>
    <t>ORD001940</t>
  </si>
  <si>
    <t>ORD004314</t>
  </si>
  <si>
    <t>ORD002744</t>
  </si>
  <si>
    <t>ORD001916</t>
  </si>
  <si>
    <t>ORD001343</t>
  </si>
  <si>
    <t>ORD001611</t>
  </si>
  <si>
    <t>ORD004445</t>
  </si>
  <si>
    <t>ORD001293</t>
  </si>
  <si>
    <t>ORD004508</t>
  </si>
  <si>
    <t>ORD001754</t>
  </si>
  <si>
    <t>ORD001799</t>
  </si>
  <si>
    <t>ORD000300</t>
  </si>
  <si>
    <t>ORD004846</t>
  </si>
  <si>
    <t>ORD001942</t>
  </si>
  <si>
    <t>ORD002066</t>
  </si>
  <si>
    <t>ORD002527</t>
  </si>
  <si>
    <t>ORD001333</t>
  </si>
  <si>
    <t>ORD000230</t>
  </si>
  <si>
    <t>ORD002163</t>
  </si>
  <si>
    <t>ORD000171</t>
  </si>
  <si>
    <t>ORD004639</t>
  </si>
  <si>
    <t>ORD000822</t>
  </si>
  <si>
    <t>ORD002617</t>
  </si>
  <si>
    <t>ORD000252</t>
  </si>
  <si>
    <t>ORD004453</t>
  </si>
  <si>
    <t>ORD004174</t>
  </si>
  <si>
    <t>ORD002436</t>
  </si>
  <si>
    <t>ORD002675</t>
  </si>
  <si>
    <t>ORD004488</t>
  </si>
  <si>
    <t>ORD003909</t>
  </si>
  <si>
    <t>ORD001937</t>
  </si>
  <si>
    <t>ORD000580</t>
  </si>
  <si>
    <t>ORD001766</t>
  </si>
  <si>
    <t>ORD004993</t>
  </si>
  <si>
    <t>ORD002646</t>
  </si>
  <si>
    <t>ORD003006</t>
  </si>
  <si>
    <t>ORD004467</t>
  </si>
  <si>
    <t>ORD001559</t>
  </si>
  <si>
    <t>ORD000154</t>
  </si>
  <si>
    <t>ORD004926</t>
  </si>
  <si>
    <t>ORD003582</t>
  </si>
  <si>
    <t>ORD004871</t>
  </si>
  <si>
    <t>ORD001964</t>
  </si>
  <si>
    <t>ORD004725</t>
  </si>
  <si>
    <t>ORD002254</t>
  </si>
  <si>
    <t>ORD004330</t>
  </si>
  <si>
    <t>ORD000807</t>
  </si>
  <si>
    <t>ORD003421</t>
  </si>
  <si>
    <t>ORD004979</t>
  </si>
  <si>
    <t>ORD003973</t>
  </si>
  <si>
    <t>ORD000331</t>
  </si>
  <si>
    <t>ORD004368</t>
  </si>
  <si>
    <t>ORD001070</t>
  </si>
  <si>
    <t>ORD001643</t>
  </si>
  <si>
    <t>ORD004471</t>
  </si>
  <si>
    <t>ORD001100</t>
  </si>
  <si>
    <t>ORD004815</t>
  </si>
  <si>
    <t>ORD001266</t>
  </si>
  <si>
    <t>ORD000380</t>
  </si>
  <si>
    <t>ORD003389</t>
  </si>
  <si>
    <t>ORD001557</t>
  </si>
  <si>
    <t>ORD003789</t>
  </si>
  <si>
    <t>ORD004213</t>
  </si>
  <si>
    <t>ORD002397</t>
  </si>
  <si>
    <t>ORD000597</t>
  </si>
  <si>
    <t>ORD004675</t>
  </si>
  <si>
    <t>ORD000155</t>
  </si>
  <si>
    <t>ORD001196</t>
  </si>
  <si>
    <t>ORD001227</t>
  </si>
  <si>
    <t>ORD002991</t>
  </si>
  <si>
    <t>ORD001790</t>
  </si>
  <si>
    <t>ORD003585</t>
  </si>
  <si>
    <t>ORD004012</t>
  </si>
  <si>
    <t>ORD003694</t>
  </si>
  <si>
    <t>ORD001149</t>
  </si>
  <si>
    <t>ORD000264</t>
  </si>
  <si>
    <t>ORD003182</t>
  </si>
  <si>
    <t>ORD004343</t>
  </si>
  <si>
    <t>ORD000604</t>
  </si>
  <si>
    <t>ORD004411</t>
  </si>
  <si>
    <t>ORD002282</t>
  </si>
  <si>
    <t>ORD004867</t>
  </si>
  <si>
    <t>ORD001739</t>
  </si>
  <si>
    <t>ORD003828</t>
  </si>
  <si>
    <t>ORD000421</t>
  </si>
  <si>
    <t>ORD004601</t>
  </si>
  <si>
    <t>ORD000164</t>
  </si>
  <si>
    <t>ORD004410</t>
  </si>
  <si>
    <t>ORD002169</t>
  </si>
  <si>
    <t>ORD003515</t>
  </si>
  <si>
    <t>ORD000990</t>
  </si>
  <si>
    <t>ORD000648</t>
  </si>
  <si>
    <t>ORD003503</t>
  </si>
  <si>
    <t>ORD000730</t>
  </si>
  <si>
    <t>ORD003108</t>
  </si>
  <si>
    <t>ORD003238</t>
  </si>
  <si>
    <t>ORD003730</t>
  </si>
  <si>
    <t>ORD002869</t>
  </si>
  <si>
    <t>ORD002140</t>
  </si>
  <si>
    <t>ORD003605</t>
  </si>
  <si>
    <t>ORD004705</t>
  </si>
  <si>
    <t>ORD000296</t>
  </si>
  <si>
    <t>ORD001644</t>
  </si>
  <si>
    <t>ORD003652</t>
  </si>
  <si>
    <t>ORD000746</t>
  </si>
  <si>
    <t>ORD002051</t>
  </si>
  <si>
    <t>ORD001971</t>
  </si>
  <si>
    <t>ORD001019</t>
  </si>
  <si>
    <t>ORD001938</t>
  </si>
  <si>
    <t>ORD003198</t>
  </si>
  <si>
    <t>ORD002582</t>
  </si>
  <si>
    <t>ORD003898</t>
  </si>
  <si>
    <t>ORD001189</t>
  </si>
  <si>
    <t>ORD004037</t>
  </si>
  <si>
    <t>ORD000575</t>
  </si>
  <si>
    <t>ORD003626</t>
  </si>
  <si>
    <t>ORD002514</t>
  </si>
  <si>
    <t>ORD002792</t>
  </si>
  <si>
    <t>ORD004886</t>
  </si>
  <si>
    <t>ORD004371</t>
  </si>
  <si>
    <t>ORD001044</t>
  </si>
  <si>
    <t>ORD000899</t>
  </si>
  <si>
    <t>ORD002543</t>
  </si>
  <si>
    <t>ORD000663</t>
  </si>
  <si>
    <t>ORD000195</t>
  </si>
  <si>
    <t>ORD003878</t>
  </si>
  <si>
    <t>ORD001085</t>
  </si>
  <si>
    <t>ORD000790</t>
  </si>
  <si>
    <t>ORD000924</t>
  </si>
  <si>
    <t>ORD002594</t>
  </si>
  <si>
    <t>Oct</t>
  </si>
  <si>
    <t>Q4</t>
  </si>
  <si>
    <t>ORD000560</t>
  </si>
  <si>
    <t>ORD003938</t>
  </si>
  <si>
    <t>ORD003512</t>
  </si>
  <si>
    <t>ORD001052</t>
  </si>
  <si>
    <t>ORD002655</t>
  </si>
  <si>
    <t>ORD000299</t>
  </si>
  <si>
    <t>ORD003464</t>
  </si>
  <si>
    <t>ORD001601</t>
  </si>
  <si>
    <t>ORD000144</t>
  </si>
  <si>
    <t>ORD003558</t>
  </si>
  <si>
    <t>ORD000446</t>
  </si>
  <si>
    <t>ORD002261</t>
  </si>
  <si>
    <t>ORD003121</t>
  </si>
  <si>
    <t>ORD004120</t>
  </si>
  <si>
    <t>ORD001318</t>
  </si>
  <si>
    <t>ORD004315</t>
  </si>
  <si>
    <t>ORD003536</t>
  </si>
  <si>
    <t>ORD002805</t>
  </si>
  <si>
    <t>ORD002258</t>
  </si>
  <si>
    <t>ORD001146</t>
  </si>
  <si>
    <t>ORD003783</t>
  </si>
  <si>
    <t>ORD003449</t>
  </si>
  <si>
    <t>ORD000113</t>
  </si>
  <si>
    <t>ORD002865</t>
  </si>
  <si>
    <t>ORD002075</t>
  </si>
  <si>
    <t>ORD004891</t>
  </si>
  <si>
    <t>ORD001748</t>
  </si>
  <si>
    <t>ORD003376</t>
  </si>
  <si>
    <t>ORD001582</t>
  </si>
  <si>
    <t>ORD004203</t>
  </si>
  <si>
    <t>ORD000906</t>
  </si>
  <si>
    <t>ORD002248</t>
  </si>
  <si>
    <t>ORD000810</t>
  </si>
  <si>
    <t>ORD002780</t>
  </si>
  <si>
    <t>ORD002304</t>
  </si>
  <si>
    <t>ORD000260</t>
  </si>
  <si>
    <t>ORD003815</t>
  </si>
  <si>
    <t>ORD000217</t>
  </si>
  <si>
    <t>ORD003427</t>
  </si>
  <si>
    <t>ORD001161</t>
  </si>
  <si>
    <t>ORD004367</t>
  </si>
  <si>
    <t>ORD002483</t>
  </si>
  <si>
    <t>ORD004889</t>
  </si>
  <si>
    <t>ORD001689</t>
  </si>
  <si>
    <t>ORD000952</t>
  </si>
  <si>
    <t>ORD003714</t>
  </si>
  <si>
    <t>ORD001319</t>
  </si>
  <si>
    <t>ORD004538</t>
  </si>
  <si>
    <t>ORD003663</t>
  </si>
  <si>
    <t>ORD001638</t>
  </si>
  <si>
    <t>ORD004812</t>
  </si>
  <si>
    <t>ORD002649</t>
  </si>
  <si>
    <t>ORD000027</t>
  </si>
  <si>
    <t>ORD003870</t>
  </si>
  <si>
    <t>ORD002667</t>
  </si>
  <si>
    <t>ORD002467</t>
  </si>
  <si>
    <t>ORD002260</t>
  </si>
  <si>
    <t>ORD003346</t>
  </si>
  <si>
    <t>ORD001906</t>
  </si>
  <si>
    <t>ORD003524</t>
  </si>
  <si>
    <t>ORD001426</t>
  </si>
  <si>
    <t>ORD004626</t>
  </si>
  <si>
    <t>ORD002776</t>
  </si>
  <si>
    <t>ORD003708</t>
  </si>
  <si>
    <t>ORD001134</t>
  </si>
  <si>
    <t>ORD002279</t>
  </si>
  <si>
    <t>ORD004207</t>
  </si>
  <si>
    <t>ORD002682</t>
  </si>
  <si>
    <t>ORD003958</t>
  </si>
  <si>
    <t>ORD001344</t>
  </si>
  <si>
    <t>ORD000825</t>
  </si>
  <si>
    <t>ORD001277</t>
  </si>
  <si>
    <t>ORD002377</t>
  </si>
  <si>
    <t>ORD002647</t>
  </si>
  <si>
    <t>ORD000241</t>
  </si>
  <si>
    <t>ORD001610</t>
  </si>
  <si>
    <t>ORD003738</t>
  </si>
  <si>
    <t>ORD000707</t>
  </si>
  <si>
    <t>ORD002522</t>
  </si>
  <si>
    <t>ORD002003</t>
  </si>
  <si>
    <t>ORD000829</t>
  </si>
  <si>
    <t>ORD004758</t>
  </si>
  <si>
    <t>ORD002730</t>
  </si>
  <si>
    <t>ORD001393</t>
  </si>
  <si>
    <t>ORD002861</t>
  </si>
  <si>
    <t>ORD001009</t>
  </si>
  <si>
    <t>ORD000682</t>
  </si>
  <si>
    <t>ORD002114</t>
  </si>
  <si>
    <t>ORD003511</t>
  </si>
  <si>
    <t>ORD003258</t>
  </si>
  <si>
    <t>ORD001628</t>
  </si>
  <si>
    <t>ORD004190</t>
  </si>
  <si>
    <t>ORD000673</t>
  </si>
  <si>
    <t>ORD000020</t>
  </si>
  <si>
    <t>ORD004257</t>
  </si>
  <si>
    <t>ORD003236</t>
  </si>
  <si>
    <t>ORD002226</t>
  </si>
  <si>
    <t>ORD000884</t>
  </si>
  <si>
    <t>ORD002678</t>
  </si>
  <si>
    <t>ORD001128</t>
  </si>
  <si>
    <t>ORD000984</t>
  </si>
  <si>
    <t>ORD003194</t>
  </si>
  <si>
    <t>ORD000071</t>
  </si>
  <si>
    <t>ORD000557</t>
  </si>
  <si>
    <t>ORD003354</t>
  </si>
  <si>
    <t>ORD003912</t>
  </si>
  <si>
    <t>ORD003823</t>
  </si>
  <si>
    <t>ORD001641</t>
  </si>
  <si>
    <t>ORD004607</t>
  </si>
  <si>
    <t>ORD002520</t>
  </si>
  <si>
    <t>ORD003985</t>
  </si>
  <si>
    <t>ORD004476</t>
  </si>
  <si>
    <t>ORD002553</t>
  </si>
  <si>
    <t>ORD000449</t>
  </si>
  <si>
    <t>ORD001291</t>
  </si>
  <si>
    <t>ORD003132</t>
  </si>
  <si>
    <t>ORD002192</t>
  </si>
  <si>
    <t>ORD003720</t>
  </si>
  <si>
    <t>ORD002893</t>
  </si>
  <si>
    <t>ORD002761</t>
  </si>
  <si>
    <t>ORD003596</t>
  </si>
  <si>
    <t>ORD001832</t>
  </si>
  <si>
    <t>ORD004276</t>
  </si>
  <si>
    <t>ORD002650</t>
  </si>
  <si>
    <t>ORD002994</t>
  </si>
  <si>
    <t>ORD002707</t>
  </si>
  <si>
    <t>ORD003223</t>
  </si>
  <si>
    <t>ORD003041</t>
  </si>
  <si>
    <t>ORD003537</t>
  </si>
  <si>
    <t>ORD001903</t>
  </si>
  <si>
    <t>ORD000784</t>
  </si>
  <si>
    <t>ORD000078</t>
  </si>
  <si>
    <t>ORD004181</t>
  </si>
  <si>
    <t>ORD002433</t>
  </si>
  <si>
    <t>ORD000237</t>
  </si>
  <si>
    <t>ORD004509</t>
  </si>
  <si>
    <t>ORD003239</t>
  </si>
  <si>
    <t>ORD001015</t>
  </si>
  <si>
    <t>ORD004981</t>
  </si>
  <si>
    <t>ORD003634</t>
  </si>
  <si>
    <t>ORD002853</t>
  </si>
  <si>
    <t>ORD002101</t>
  </si>
  <si>
    <t>ORD000239</t>
  </si>
  <si>
    <t>ORD004074</t>
  </si>
  <si>
    <t>ORD003186</t>
  </si>
  <si>
    <t>ORD002345</t>
  </si>
  <si>
    <t>ORD003015</t>
  </si>
  <si>
    <t>ORD001187</t>
  </si>
  <si>
    <t>ORD002962</t>
  </si>
  <si>
    <t>ORD004472</t>
  </si>
  <si>
    <t>ORD002684</t>
  </si>
  <si>
    <t>ORD004034</t>
  </si>
  <si>
    <t>ORD004844</t>
  </si>
  <si>
    <t>ORD003416</t>
  </si>
  <si>
    <t>ORD001253</t>
  </si>
  <si>
    <t>ORD004211</t>
  </si>
  <si>
    <t>ORD000900</t>
  </si>
  <si>
    <t>ORD001264</t>
  </si>
  <si>
    <t>ORD000462</t>
  </si>
  <si>
    <t>ORD003776</t>
  </si>
  <si>
    <t>ORD001457</t>
  </si>
  <si>
    <t>ORD000044</t>
  </si>
  <si>
    <t>ORD000351</t>
  </si>
  <si>
    <t>ORD003793</t>
  </si>
  <si>
    <t>ORD003009</t>
  </si>
  <si>
    <t>ORD000847</t>
  </si>
  <si>
    <t>ORD002604</t>
  </si>
  <si>
    <t>ORD003256</t>
  </si>
  <si>
    <t>ORD001762</t>
  </si>
  <si>
    <t>ORD000857</t>
  </si>
  <si>
    <t>ORD003918</t>
  </si>
  <si>
    <t>ORD004547</t>
  </si>
  <si>
    <t>ORD000503</t>
  </si>
  <si>
    <t>ORD001545</t>
  </si>
  <si>
    <t>ORD004707</t>
  </si>
  <si>
    <t>ORD004729</t>
  </si>
  <si>
    <t>ORD002061</t>
  </si>
  <si>
    <t>ORD003062</t>
  </si>
  <si>
    <t>ORD002131</t>
  </si>
  <si>
    <t>ORD000516</t>
  </si>
  <si>
    <t>ORD004852</t>
  </si>
  <si>
    <t>ORD003764</t>
  </si>
  <si>
    <t>ORD003490</t>
  </si>
  <si>
    <t>ORD002343</t>
  </si>
  <si>
    <t>ORD001523</t>
  </si>
  <si>
    <t>ORD002765</t>
  </si>
  <si>
    <t>ORD000869</t>
  </si>
  <si>
    <t>ORD000715</t>
  </si>
  <si>
    <t>ORD000601</t>
  </si>
  <si>
    <t>ORD004703</t>
  </si>
  <si>
    <t>ORD001276</t>
  </si>
  <si>
    <t>ORD003798</t>
  </si>
  <si>
    <t>ORD003292</t>
  </si>
  <si>
    <t>ORD000129</t>
  </si>
  <si>
    <t>ORD002054</t>
  </si>
  <si>
    <t>ORD002358</t>
  </si>
  <si>
    <t>ORD002877</t>
  </si>
  <si>
    <t>ORD004848</t>
  </si>
  <si>
    <t>ORD003448</t>
  </si>
  <si>
    <t>ORD003864</t>
  </si>
  <si>
    <t>ORD003677</t>
  </si>
  <si>
    <t>ORD001513</t>
  </si>
  <si>
    <t>ORD001386</t>
  </si>
  <si>
    <t>ORD004167</t>
  </si>
  <si>
    <t>ORD001843</t>
  </si>
  <si>
    <t>ORD002208</t>
  </si>
  <si>
    <t>ORD001120</t>
  </si>
  <si>
    <t>ORD001857</t>
  </si>
  <si>
    <t>ORD003180</t>
  </si>
  <si>
    <t>ORD002779</t>
  </si>
  <si>
    <t>ORD001966</t>
  </si>
  <si>
    <t>ORD001094</t>
  </si>
  <si>
    <t>ORD002807</t>
  </si>
  <si>
    <t>ORD004631</t>
  </si>
  <si>
    <t>ORD002784</t>
  </si>
  <si>
    <t>ORD002391</t>
  </si>
  <si>
    <t>ORD003005</t>
  </si>
  <si>
    <t>ORD003577</t>
  </si>
  <si>
    <t>ORD004611</t>
  </si>
  <si>
    <t>ORD000491</t>
  </si>
  <si>
    <t>ORD004774</t>
  </si>
  <si>
    <t>ORD002711</t>
  </si>
  <si>
    <t>ORD001142</t>
  </si>
  <si>
    <t>ORD000256</t>
  </si>
  <si>
    <t>ORD002369</t>
  </si>
  <si>
    <t>ORD002676</t>
  </si>
  <si>
    <t>Nov</t>
  </si>
  <si>
    <t>ORD000654</t>
  </si>
  <si>
    <t>ORD002468</t>
  </si>
  <si>
    <t>ORD000174</t>
  </si>
  <si>
    <t>ORD003962</t>
  </si>
  <si>
    <t>ORD003435</t>
  </si>
  <si>
    <t>ORD003699</t>
  </si>
  <si>
    <t>ORD001550</t>
  </si>
  <si>
    <t>ORD000385</t>
  </si>
  <si>
    <t>ORD000786</t>
  </si>
  <si>
    <t>ORD001245</t>
  </si>
  <si>
    <t>ORD004543</t>
  </si>
  <si>
    <t>ORD000224</t>
  </si>
  <si>
    <t>ORD004764</t>
  </si>
  <si>
    <t>ORD004699</t>
  </si>
  <si>
    <t>ORD001415</t>
  </si>
  <si>
    <t>ORD001422</t>
  </si>
  <si>
    <t>ORD004228</t>
  </si>
  <si>
    <t>ORD002092</t>
  </si>
  <si>
    <t>ORD003594</t>
  </si>
  <si>
    <t>ORD004327</t>
  </si>
  <si>
    <t>ORD001226</t>
  </si>
  <si>
    <t>ORD001630</t>
  </si>
  <si>
    <t>ORD001091</t>
  </si>
  <si>
    <t>ORD000609</t>
  </si>
  <si>
    <t>ORD003276</t>
  </si>
  <si>
    <t>ORD004910</t>
  </si>
  <si>
    <t>ORD004642</t>
  </si>
  <si>
    <t>ORD002794</t>
  </si>
  <si>
    <t>ORD001304</t>
  </si>
  <si>
    <t>ORD001433</t>
  </si>
  <si>
    <t>ORD003859</t>
  </si>
  <si>
    <t>ORD002671</t>
  </si>
  <si>
    <t>ORD000436</t>
  </si>
  <si>
    <t>ORD004260</t>
  </si>
  <si>
    <t>ORD001233</t>
  </si>
  <si>
    <t>ORD000465</t>
  </si>
  <si>
    <t>ORD001757</t>
  </si>
  <si>
    <t>ORD003517</t>
  </si>
  <si>
    <t>ORD000061</t>
  </si>
  <si>
    <t>ORD003633</t>
  </si>
  <si>
    <t>ORD002085</t>
  </si>
  <si>
    <t>ORD002774</t>
  </si>
  <si>
    <t>ORD001321</t>
  </si>
  <si>
    <t>ORD000772</t>
  </si>
  <si>
    <t>ORD004823</t>
  </si>
  <si>
    <t>ORD001490</t>
  </si>
  <si>
    <t>ORD002209</t>
  </si>
  <si>
    <t>ORD002474</t>
  </si>
  <si>
    <t>ORD003242</t>
  </si>
  <si>
    <t>ORD001691</t>
  </si>
  <si>
    <t>ORD003018</t>
  </si>
  <si>
    <t>ORD004157</t>
  </si>
  <si>
    <t>ORD001946</t>
  </si>
  <si>
    <t>ORD000700</t>
  </si>
  <si>
    <t>ORD004259</t>
  </si>
  <si>
    <t>ORD001394</t>
  </si>
  <si>
    <t>ORD000186</t>
  </si>
  <si>
    <t>ORD003047</t>
  </si>
  <si>
    <t>ORD000487</t>
  </si>
  <si>
    <t>ORD003826</t>
  </si>
  <si>
    <t>ORD002233</t>
  </si>
  <si>
    <t>ORD002179</t>
  </si>
  <si>
    <t>ORD002657</t>
  </si>
  <si>
    <t>ORD003615</t>
  </si>
  <si>
    <t>ORD001859</t>
  </si>
  <si>
    <t>ORD002953</t>
  </si>
  <si>
    <t>ORD003191</t>
  </si>
  <si>
    <t>ORD001722</t>
  </si>
  <si>
    <t>ORD000030</t>
  </si>
  <si>
    <t>ORD000982</t>
  </si>
  <si>
    <t>ORD002014</t>
  </si>
  <si>
    <t>ORD002064</t>
  </si>
  <si>
    <t>ORD002988</t>
  </si>
  <si>
    <t>ORD001607</t>
  </si>
  <si>
    <t>ORD002541</t>
  </si>
  <si>
    <t>ORD003410</t>
  </si>
  <si>
    <t>ORD000400</t>
  </si>
  <si>
    <t>ORD003179</t>
  </si>
  <si>
    <t>ORD004019</t>
  </si>
  <si>
    <t>ORD004535</t>
  </si>
  <si>
    <t>ORD004676</t>
  </si>
  <si>
    <t>ORD004589</t>
  </si>
  <si>
    <t>ORD000157</t>
  </si>
  <si>
    <t>ORD003808</t>
  </si>
  <si>
    <t>ORD004440</t>
  </si>
  <si>
    <t>ORD000056</t>
  </si>
  <si>
    <t>ORD003402</t>
  </si>
  <si>
    <t>ORD002421</t>
  </si>
  <si>
    <t>ORD003388</t>
  </si>
  <si>
    <t>ORD000734</t>
  </si>
  <si>
    <t>ORD003379</t>
  </si>
  <si>
    <t>ORD003630</t>
  </si>
  <si>
    <t>ORD000835</t>
  </si>
  <si>
    <t>ORD001714</t>
  </si>
  <si>
    <t>ORD002972</t>
  </si>
  <si>
    <t>ORD002941</t>
  </si>
  <si>
    <t>ORD004693</t>
  </si>
  <si>
    <t>ORD000637</t>
  </si>
  <si>
    <t>ORD001042</t>
  </si>
  <si>
    <t>ORD004972</t>
  </si>
  <si>
    <t>ORD004946</t>
  </si>
  <si>
    <t>ORD003139</t>
  </si>
  <si>
    <t>ORD000402</t>
  </si>
  <si>
    <t>ORD003003</t>
  </si>
  <si>
    <t>ORD003697</t>
  </si>
  <si>
    <t>ORD004865</t>
  </si>
  <si>
    <t>ORD004358</t>
  </si>
  <si>
    <t>ORD003404</t>
  </si>
  <si>
    <t>ORD002560</t>
  </si>
  <si>
    <t>ORD003340</t>
  </si>
  <si>
    <t>ORD000212</t>
  </si>
  <si>
    <t>ORD002172</t>
  </si>
  <si>
    <t>ORD004689</t>
  </si>
  <si>
    <t>ORD003643</t>
  </si>
  <si>
    <t>ORD002654</t>
  </si>
  <si>
    <t>ORD001649</t>
  </si>
  <si>
    <t>ORD003166</t>
  </si>
  <si>
    <t>ORD003749</t>
  </si>
  <si>
    <t>ORD000912</t>
  </si>
  <si>
    <t>ORD000012</t>
  </si>
  <si>
    <t>ORD003249</t>
  </si>
  <si>
    <t>ORD001600</t>
  </si>
  <si>
    <t>ORD000001</t>
  </si>
  <si>
    <t>ORD001150</t>
  </si>
  <si>
    <t>ORD004101</t>
  </si>
  <si>
    <t>ORD003201</t>
  </si>
  <si>
    <t>ORD001585</t>
  </si>
  <si>
    <t>ORD000415</t>
  </si>
  <si>
    <t>ORD002999</t>
  </si>
  <si>
    <t>ORD002326</t>
  </si>
  <si>
    <t>ORD003886</t>
  </si>
  <si>
    <t>ORD002371</t>
  </si>
  <si>
    <t>ORD002777</t>
  </si>
  <si>
    <t>ORD002428</t>
  </si>
  <si>
    <t>ORD000642</t>
  </si>
  <si>
    <t>ORD001764</t>
  </si>
  <si>
    <t>ORD003232</t>
  </si>
  <si>
    <t>ORD003750</t>
  </si>
  <si>
    <t>ORD003071</t>
  </si>
  <si>
    <t>ORD002728</t>
  </si>
  <si>
    <t>ORD000158</t>
  </si>
  <si>
    <t>ORD004955</t>
  </si>
  <si>
    <t>ORD001755</t>
  </si>
  <si>
    <t>ORD002091</t>
  </si>
  <si>
    <t>ORD003441</t>
  </si>
  <si>
    <t>ORD004231</t>
  </si>
  <si>
    <t>ORD004390</t>
  </si>
  <si>
    <t>ORD002462</t>
  </si>
  <si>
    <t>ORD001520</t>
  </si>
  <si>
    <t>ORD000799</t>
  </si>
  <si>
    <t>ORD003983</t>
  </si>
  <si>
    <t>ORD000634</t>
  </si>
  <si>
    <t>ORD003922</t>
  </si>
  <si>
    <t>ORD004652</t>
  </si>
  <si>
    <t>ORD001747</t>
  </si>
  <si>
    <t>ORD004986</t>
  </si>
  <si>
    <t>ORD002643</t>
  </si>
  <si>
    <t>ORD003459</t>
  </si>
  <si>
    <t>ORD004319</t>
  </si>
  <si>
    <t>ORD002499</t>
  </si>
  <si>
    <t>ORD001821</t>
  </si>
  <si>
    <t>ORD001727</t>
  </si>
  <si>
    <t>ORD002015</t>
  </si>
  <si>
    <t>ORD000102</t>
  </si>
  <si>
    <t>ORD003068</t>
  </si>
  <si>
    <t>ORD000080</t>
  </si>
  <si>
    <t>ORD003072</t>
  </si>
  <si>
    <t>ORD001713</t>
  </si>
  <si>
    <t>ORD004254</t>
  </si>
  <si>
    <t>ORD000817</t>
  </si>
  <si>
    <t>ORD000927</t>
  </si>
  <si>
    <t>ORD000934</t>
  </si>
  <si>
    <t>ORD003924</t>
  </si>
  <si>
    <t>ORD003024</t>
  </si>
  <si>
    <t>ORD000696</t>
  </si>
  <si>
    <t>ORD000371</t>
  </si>
  <si>
    <t>ORD000150</t>
  </si>
  <si>
    <t>ORD004007</t>
  </si>
  <si>
    <t>ORD002679</t>
  </si>
  <si>
    <t>ORD000692</t>
  </si>
  <si>
    <t>ORD002262</t>
  </si>
  <si>
    <t>ORD003310</t>
  </si>
  <si>
    <t>ORD003742</t>
  </si>
  <si>
    <t>ORD002256</t>
  </si>
  <si>
    <t>ORD003027</t>
  </si>
  <si>
    <t>ORD002329</t>
  </si>
  <si>
    <t>ORD003658</t>
  </si>
  <si>
    <t>ORD000563</t>
  </si>
  <si>
    <t>ORD001608</t>
  </si>
  <si>
    <t>ORD003944</t>
  </si>
  <si>
    <t>ORD001351</t>
  </si>
  <si>
    <t>ORD000586</t>
  </si>
  <si>
    <t>ORD003439</t>
  </si>
  <si>
    <t>ORD003498</t>
  </si>
  <si>
    <t>ORD001356</t>
  </si>
  <si>
    <t>ORD004506</t>
  </si>
  <si>
    <t>ORD003155</t>
  </si>
  <si>
    <t>ORD003884</t>
  </si>
  <si>
    <t>ORD000340</t>
  </si>
  <si>
    <t>ORD001223</t>
  </si>
  <si>
    <t>ORD002466</t>
  </si>
  <si>
    <t>ORD000219</t>
  </si>
  <si>
    <t>ORD002223</t>
  </si>
  <si>
    <t>ORD000677</t>
  </si>
  <si>
    <t>ORD004995</t>
  </si>
  <si>
    <t>ORD002964</t>
  </si>
  <si>
    <t>ORD004079</t>
  </si>
  <si>
    <t>ORD004500</t>
  </si>
  <si>
    <t>ORD002036</t>
  </si>
  <si>
    <t>ORD000518</t>
  </si>
  <si>
    <t>ORD003509</t>
  </si>
  <si>
    <t>ORD002922</t>
  </si>
  <si>
    <t>ORD003802</t>
  </si>
  <si>
    <t>ORD003597</t>
  </si>
  <si>
    <t>ORD005000</t>
  </si>
  <si>
    <t>ORD001736</t>
  </si>
  <si>
    <t>ORD002451</t>
  </si>
  <si>
    <t>ORD000031</t>
  </si>
  <si>
    <t>ORD002434</t>
  </si>
  <si>
    <t>ORD002079</t>
  </si>
  <si>
    <t>ORD001502</t>
  </si>
  <si>
    <t>ORD004767</t>
  </si>
  <si>
    <t>ORD004474</t>
  </si>
  <si>
    <t>ORD003391</t>
  </si>
  <si>
    <t>ORD003088</t>
  </si>
  <si>
    <t>ORD002850</t>
  </si>
  <si>
    <t>ORD002870</t>
  </si>
  <si>
    <t>ORD002342</t>
  </si>
  <si>
    <t>ORD004224</t>
  </si>
  <si>
    <t>ORD000370</t>
  </si>
  <si>
    <t>ORD000365</t>
  </si>
  <si>
    <t>ORD002960</t>
  </si>
  <si>
    <t>ORD001113</t>
  </si>
  <si>
    <t>ORD000192</t>
  </si>
  <si>
    <t>ORD000971</t>
  </si>
  <si>
    <t>ORD001115</t>
  </si>
  <si>
    <t>ORD000762</t>
  </si>
  <si>
    <t>ORD004220</t>
  </si>
  <si>
    <t>ORD000369</t>
  </si>
  <si>
    <t>ORD002368</t>
  </si>
  <si>
    <t>ORD003906</t>
  </si>
  <si>
    <t>ORD003588</t>
  </si>
  <si>
    <t>ORD000742</t>
  </si>
  <si>
    <t>Dec</t>
  </si>
  <si>
    <t>ORD002162</t>
  </si>
  <si>
    <t>ORD001827</t>
  </si>
  <si>
    <t>ORD003784</t>
  </si>
  <si>
    <t>ORD002722</t>
  </si>
  <si>
    <t>ORD001640</t>
  </si>
  <si>
    <t>ORD001110</t>
  </si>
  <si>
    <t>ORD004561</t>
  </si>
  <si>
    <t>ORD004088</t>
  </si>
  <si>
    <t>ORD001445</t>
  </si>
  <si>
    <t>ORD003247</t>
  </si>
  <si>
    <t>ORD002117</t>
  </si>
  <si>
    <t>ORD001796</t>
  </si>
  <si>
    <t>ORD004089</t>
  </si>
  <si>
    <t>ORD002723</t>
  </si>
  <si>
    <t>ORD004988</t>
  </si>
  <si>
    <t>ORD001384</t>
  </si>
  <si>
    <t>ORD004878</t>
  </si>
  <si>
    <t>ORD002894</t>
  </si>
  <si>
    <t>ORD001043</t>
  </si>
  <si>
    <t>ORD003967</t>
  </si>
  <si>
    <t>ORD001140</t>
  </si>
  <si>
    <t>ORD004117</t>
  </si>
  <si>
    <t>ORD000053</t>
  </si>
  <si>
    <t>ORD003306</t>
  </si>
  <si>
    <t>ORD002143</t>
  </si>
  <si>
    <t>ORD003637</t>
  </si>
  <si>
    <t>ORD004391</t>
  </si>
  <si>
    <t>ORD004163</t>
  </si>
  <si>
    <t>ORD002555</t>
  </si>
  <si>
    <t>ORD001899</t>
  </si>
  <si>
    <t>ORD001081</t>
  </si>
  <si>
    <t>ORD001064</t>
  </si>
  <si>
    <t>ORD004596</t>
  </si>
  <si>
    <t>ORD001332</t>
  </si>
  <si>
    <t>ORD002734</t>
  </si>
  <si>
    <t>ORD004526</t>
  </si>
  <si>
    <t>ORD000344</t>
  </si>
  <si>
    <t>ORD003908</t>
  </si>
  <si>
    <t>ORD004765</t>
  </si>
  <si>
    <t>ORD004383</t>
  </si>
  <si>
    <t>ORD001154</t>
  </si>
  <si>
    <t>ORD003902</t>
  </si>
  <si>
    <t>ORD000496</t>
  </si>
  <si>
    <t>ORD003115</t>
  </si>
  <si>
    <t>ORD003283</t>
  </si>
  <si>
    <t>ORD000358</t>
  </si>
  <si>
    <t>ORD000943</t>
  </si>
  <si>
    <t>ORD000780</t>
  </si>
  <si>
    <t>ORD000025</t>
  </si>
  <si>
    <t>ORD004967</t>
  </si>
  <si>
    <t>ORD003089</t>
  </si>
  <si>
    <t>ORD004069</t>
  </si>
  <si>
    <t>ORD001049</t>
  </si>
  <si>
    <t>ORD003149</t>
  </si>
  <si>
    <t>ORD002418</t>
  </si>
  <si>
    <t>ORD004349</t>
  </si>
  <si>
    <t>ORD003932</t>
  </si>
  <si>
    <t>ORD000809</t>
  </si>
  <si>
    <t>ORD004449</t>
  </si>
  <si>
    <t>ORD001979</t>
  </si>
  <si>
    <t>ORD003381</t>
  </si>
  <si>
    <t>ORD000507</t>
  </si>
  <si>
    <t>ORD000464</t>
  </si>
  <si>
    <t>ORD001286</t>
  </si>
  <si>
    <t>ORD003621</t>
  </si>
  <si>
    <t>ORD002408</t>
  </si>
  <si>
    <t>ORD001305</t>
  </si>
  <si>
    <t>ORD000480</t>
  </si>
  <si>
    <t>ORD001034</t>
  </si>
  <si>
    <t>ORD004345</t>
  </si>
  <si>
    <t>ORD001636</t>
  </si>
  <si>
    <t>ORD003037</t>
  </si>
  <si>
    <t>ORD003118</t>
  </si>
  <si>
    <t>ORD000091</t>
  </si>
  <si>
    <t>ORD002505</t>
  </si>
  <si>
    <t>ORD004996</t>
  </si>
  <si>
    <t>ORD000529</t>
  </si>
  <si>
    <t>ORD002645</t>
  </si>
  <si>
    <t>ORD004592</t>
  </si>
  <si>
    <t>ORD000549</t>
  </si>
  <si>
    <t>ORD003474</t>
  </si>
  <si>
    <t>ORD004409</t>
  </si>
  <si>
    <t>ORD000538</t>
  </si>
  <si>
    <t>ORD000387</t>
  </si>
  <si>
    <t>ORD004402</t>
  </si>
  <si>
    <t>ORD003725</t>
  </si>
  <si>
    <t>ORD002854</t>
  </si>
  <si>
    <t>ORD001931</t>
  </si>
  <si>
    <t>ORD003753</t>
  </si>
  <si>
    <t>ORD003724</t>
  </si>
  <si>
    <t>ORD002400</t>
  </si>
  <si>
    <t>ORD000497</t>
  </si>
  <si>
    <t>ORD000498</t>
  </si>
  <si>
    <t>ORD000771</t>
  </si>
  <si>
    <t>ORD000345</t>
  </si>
  <si>
    <t>ORD002789</t>
  </si>
  <si>
    <t>ORD001773</t>
  </si>
  <si>
    <t>ORD000179</t>
  </si>
  <si>
    <t>ORD004653</t>
  </si>
  <si>
    <t>ORD000194</t>
  </si>
  <si>
    <t>ORD000353</t>
  </si>
  <si>
    <t>ORD003651</t>
  </si>
  <si>
    <t>ORD002746</t>
  </si>
  <si>
    <t>ORD003357</t>
  </si>
  <si>
    <t>ORD003883</t>
  </si>
  <si>
    <t>ORD000763</t>
  </si>
  <si>
    <t>ORD001877</t>
  </si>
  <si>
    <t>ORD004788</t>
  </si>
  <si>
    <t>ORD003429</t>
  </si>
  <si>
    <t>ORD001852</t>
  </si>
  <si>
    <t>ORD004323</t>
  </si>
  <si>
    <t>ORD001874</t>
  </si>
  <si>
    <t>ORD003771</t>
  </si>
  <si>
    <t>ORD003830</t>
  </si>
  <si>
    <t>ORD002356</t>
  </si>
  <si>
    <t>ORD001698</t>
  </si>
  <si>
    <t>ORD004791</t>
  </si>
  <si>
    <t>ORD002218</t>
  </si>
  <si>
    <t>ORD000481</t>
  </si>
  <si>
    <t>ORD000754</t>
  </si>
  <si>
    <t>ORD003704</t>
  </si>
  <si>
    <t>ORD003572</t>
  </si>
  <si>
    <t>ORD001275</t>
  </si>
  <si>
    <t>ORD001041</t>
  </si>
  <si>
    <t>ORD003039</t>
  </si>
  <si>
    <t>ORD001390</t>
  </si>
  <si>
    <t>ORD004486</t>
  </si>
  <si>
    <t>ORD001793</t>
  </si>
  <si>
    <t>ORD004664</t>
  </si>
  <si>
    <t>ORD003122</t>
  </si>
  <si>
    <t>ORD003837</t>
  </si>
  <si>
    <t>ORD004968</t>
  </si>
  <si>
    <t>ORD002242</t>
  </si>
  <si>
    <t>ORD003387</t>
  </si>
  <si>
    <t>ORD003451</t>
  </si>
  <si>
    <t>ORD002849</t>
  </si>
  <si>
    <t>ORD002677</t>
  </si>
  <si>
    <t>ORD003702</t>
  </si>
  <si>
    <t>ORD000248</t>
  </si>
  <si>
    <t>ORD001090</t>
  </si>
  <si>
    <t>ORD001769</t>
  </si>
  <si>
    <t>ORD000072</t>
  </si>
  <si>
    <t>ORD000524</t>
  </si>
  <si>
    <t>ORD003740</t>
  </si>
  <si>
    <t>ORD001363</t>
  </si>
  <si>
    <t>ORD003877</t>
  </si>
  <si>
    <t>ORD002382</t>
  </si>
  <si>
    <t>ORD002350</t>
  </si>
  <si>
    <t>ORD002099</t>
  </si>
  <si>
    <t>ORD001160</t>
  </si>
  <si>
    <t>ORD003285</t>
  </si>
  <si>
    <t>ORD003952</t>
  </si>
  <si>
    <t>ORD000038</t>
  </si>
  <si>
    <t>ORD004801</t>
  </si>
  <si>
    <t>ORD003158</t>
  </si>
  <si>
    <t>ORD003684</t>
  </si>
  <si>
    <t>ORD003418</t>
  </si>
  <si>
    <t>ORD002097</t>
  </si>
  <si>
    <t>ORD000775</t>
  </si>
  <si>
    <t>ORD004001</t>
  </si>
  <si>
    <t>ORD001388</t>
  </si>
  <si>
    <t>ORD001177</t>
  </si>
  <si>
    <t>ORD002995</t>
  </si>
  <si>
    <t>ORD002867</t>
  </si>
  <si>
    <t>ORD000283</t>
  </si>
  <si>
    <t>ORD001728</t>
  </si>
  <si>
    <t>ORD001704</t>
  </si>
  <si>
    <t>ORD001848</t>
  </si>
  <si>
    <t>ORD001528</t>
  </si>
  <si>
    <t>ORD001951</t>
  </si>
  <si>
    <t>ORD000202</t>
  </si>
  <si>
    <t>ORD003822</t>
  </si>
  <si>
    <t>ORD003904</t>
  </si>
  <si>
    <t>ORD003045</t>
  </si>
  <si>
    <t>ORD004499</t>
  </si>
  <si>
    <t>ORD000156</t>
  </si>
  <si>
    <t>ORD004759</t>
  </si>
  <si>
    <t>ORD002489</t>
  </si>
  <si>
    <t>ORD003462</t>
  </si>
  <si>
    <t>ORD003070</t>
  </si>
  <si>
    <t>ORD002823</t>
  </si>
  <si>
    <t>ORD003636</t>
  </si>
  <si>
    <t>ORD000752</t>
  </si>
  <si>
    <t>ORD004909</t>
  </si>
  <si>
    <t>ORD000641</t>
  </si>
  <si>
    <t>ORD002150</t>
  </si>
  <si>
    <t>ORD002378</t>
  </si>
  <si>
    <t>ORD002901</t>
  </si>
  <si>
    <t>ORD001360</t>
  </si>
  <si>
    <t>ORD004853</t>
  </si>
  <si>
    <t>ORD003747</t>
  </si>
  <si>
    <t>ORD003069</t>
  </si>
  <si>
    <t>ORD000865</t>
  </si>
  <si>
    <t>ORD003156</t>
  </si>
  <si>
    <t>ORD002658</t>
  </si>
  <si>
    <t>ORD003316</t>
  </si>
  <si>
    <t>ORD002875</t>
  </si>
  <si>
    <t>ORD004111</t>
  </si>
  <si>
    <t>ORD002579</t>
  </si>
  <si>
    <t>ORD000305</t>
  </si>
  <si>
    <t>ORD002694</t>
  </si>
  <si>
    <t>ORD003687</t>
  </si>
  <si>
    <t>ORD004719</t>
  </si>
  <si>
    <t>ORD000109</t>
  </si>
  <si>
    <t>ORD004646</t>
  </si>
  <si>
    <t>ORD001205</t>
  </si>
  <si>
    <t>ORD001647</t>
  </si>
  <si>
    <t>ORD001977</t>
  </si>
  <si>
    <t>ORD004542</t>
  </si>
  <si>
    <t>ORD003686</t>
  </si>
  <si>
    <t>ORD004512</t>
  </si>
  <si>
    <t>ORD003930</t>
  </si>
  <si>
    <t>ORD001512</t>
  </si>
  <si>
    <t>ORD003827</t>
  </si>
  <si>
    <t>ORD001401</t>
  </si>
  <si>
    <t>ORD003836</t>
  </si>
  <si>
    <t>ORD001036</t>
  </si>
  <si>
    <t>ORD004024</t>
  </si>
  <si>
    <t>ORD000176</t>
  </si>
  <si>
    <t>ORD002706</t>
  </si>
  <si>
    <t>ORD001358</t>
  </si>
  <si>
    <t>ORD000594</t>
  </si>
  <si>
    <t>ORD002273</t>
  </si>
  <si>
    <t>ORD004826</t>
  </si>
  <si>
    <t>ORD002699</t>
  </si>
  <si>
    <t>ORD001477</t>
  </si>
  <si>
    <t>ORD001469</t>
  </si>
  <si>
    <t>ORD000185</t>
  </si>
  <si>
    <t>ORD000636</t>
  </si>
  <si>
    <t>ORD000425</t>
  </si>
  <si>
    <t>ORD001777</t>
  </si>
  <si>
    <t>ORD002745</t>
  </si>
  <si>
    <t>ORD000732</t>
  </si>
  <si>
    <t>ORD001046</t>
  </si>
  <si>
    <t>ORD001402</t>
  </si>
  <si>
    <t>ORD000390</t>
  </si>
  <si>
    <t>ORD001451</t>
  </si>
  <si>
    <t>ORD003569</t>
  </si>
  <si>
    <t>ORD004711</t>
  </si>
  <si>
    <t>ORD001592</t>
  </si>
  <si>
    <t>ORD002026</t>
  </si>
  <si>
    <t>ORD004401</t>
  </si>
  <si>
    <t>ORD004734</t>
  </si>
  <si>
    <t>ORD000877</t>
  </si>
  <si>
    <t>ORD002810</t>
  </si>
  <si>
    <t>ORD003400</t>
  </si>
  <si>
    <t>ORD002290</t>
  </si>
  <si>
    <t>ORD003140</t>
  </si>
  <si>
    <t>ORD000384</t>
  </si>
  <si>
    <t>ORD001485</t>
  </si>
  <si>
    <t>ORD001828</t>
  </si>
  <si>
    <t>ORD000146</t>
  </si>
  <si>
    <t>ORD004733</t>
  </si>
  <si>
    <t>ORD000427</t>
  </si>
  <si>
    <t>ORD001594</t>
  </si>
  <si>
    <t>ORD002878</t>
  </si>
  <si>
    <t>ORD002620</t>
  </si>
  <si>
    <t>ORD003300</t>
  </si>
  <si>
    <t>ORD002432</t>
  </si>
  <si>
    <t>ORD001961</t>
  </si>
  <si>
    <t>ORD003268</t>
  </si>
  <si>
    <t>ORD002644</t>
  </si>
  <si>
    <t>ORD000726</t>
  </si>
  <si>
    <t>ORD000066</t>
  </si>
  <si>
    <t>ORD002096</t>
  </si>
  <si>
    <t>ORD002612</t>
  </si>
  <si>
    <t>ORD001567</t>
  </si>
  <si>
    <t>ORD001885</t>
  </si>
  <si>
    <t>ORD003213</t>
  </si>
  <si>
    <t>ORD002330</t>
  </si>
  <si>
    <t>ORD001988</t>
  </si>
  <si>
    <t>ORD001595</t>
  </si>
  <si>
    <t>ORD004454</t>
  </si>
  <si>
    <t>ORD001838</t>
  </si>
  <si>
    <t>ORD001619</t>
  </si>
  <si>
    <t>ORD001167</t>
  </si>
  <si>
    <t>ORD003746</t>
  </si>
  <si>
    <t>ORD002187</t>
  </si>
  <si>
    <t>ORD002795</t>
  </si>
  <si>
    <t>ORD004044</t>
  </si>
  <si>
    <t>ORD000439</t>
  </si>
  <si>
    <t>ORD001837</t>
  </si>
  <si>
    <t>ORD002852</t>
  </si>
  <si>
    <t>ORD003781</t>
  </si>
  <si>
    <t>ORD004093</t>
  </si>
  <si>
    <t>ORD000628</t>
  </si>
  <si>
    <t>ORD001854</t>
  </si>
  <si>
    <t>ORD001258</t>
  </si>
  <si>
    <t>ORD002913</t>
  </si>
  <si>
    <t>ORD003224</t>
  </si>
  <si>
    <t>ORD000603</t>
  </si>
  <si>
    <t>ORD003874</t>
  </si>
  <si>
    <t>ORD001740</t>
  </si>
  <si>
    <t>ORD003275</t>
  </si>
  <si>
    <t>ORD000153</t>
  </si>
  <si>
    <t>ORD001066</t>
  </si>
  <si>
    <t>ORD002768</t>
  </si>
  <si>
    <t>ORD003650</t>
  </si>
  <si>
    <t>ORD001417</t>
  </si>
  <si>
    <t>ORD002409</t>
  </si>
  <si>
    <t>ORD000243</t>
  </si>
  <si>
    <t>ORD004414</t>
  </si>
  <si>
    <t>ORD003135</t>
  </si>
  <si>
    <t>ORD004657</t>
  </si>
  <si>
    <t>ORD001184</t>
  </si>
  <si>
    <t>ORD001260</t>
  </si>
  <si>
    <t>ORD001555</t>
  </si>
  <si>
    <t>ORD000307</t>
  </si>
  <si>
    <t>ORD003494</t>
  </si>
  <si>
    <t>ORD001654</t>
  </si>
  <si>
    <t>ORD002386</t>
  </si>
  <si>
    <t>ORD004108</t>
  </si>
  <si>
    <t>ORD002379</t>
  </si>
  <si>
    <t>ORD000702</t>
  </si>
  <si>
    <t>ORD002742</t>
  </si>
  <si>
    <t>ORD002959</t>
  </si>
  <si>
    <t>ORD003445</t>
  </si>
  <si>
    <t>ORD002992</t>
  </si>
  <si>
    <t>ORD002664</t>
  </si>
  <si>
    <t>ORD001474</t>
  </si>
  <si>
    <t>ORD003929</t>
  </si>
  <si>
    <t>ORD003384</t>
  </si>
  <si>
    <t>ORD002703</t>
  </si>
  <si>
    <t>ORD001143</t>
  </si>
  <si>
    <t>ORD003758</t>
  </si>
  <si>
    <t>ORD002659</t>
  </si>
  <si>
    <t>ORD001705</t>
  </si>
  <si>
    <t>ORD004717</t>
  </si>
  <si>
    <t>ORD003804</t>
  </si>
  <si>
    <t>ORD004342</t>
  </si>
  <si>
    <t>ORD004636</t>
  </si>
  <si>
    <t>ORD003548</t>
  </si>
  <si>
    <t>ORD000223</t>
  </si>
  <si>
    <t>ORD002902</t>
  </si>
  <si>
    <t>ORD003311</t>
  </si>
  <si>
    <t>ORD000562</t>
  </si>
  <si>
    <t>ORD002252</t>
  </si>
  <si>
    <t>ORD004760</t>
  </si>
  <si>
    <t>ORD000166</t>
  </si>
  <si>
    <t>ORD004849</t>
  </si>
  <si>
    <t>ORD004051</t>
  </si>
  <si>
    <t>ORD003237</t>
  </si>
  <si>
    <t>ORD003566</t>
  </si>
  <si>
    <t>ORD002897</t>
  </si>
  <si>
    <t>ORD001271</t>
  </si>
  <si>
    <t>ORD002889</t>
  </si>
  <si>
    <t>ORD001467</t>
  </si>
  <si>
    <t>ORD004691</t>
  </si>
  <si>
    <t>ORD003501</t>
  </si>
  <si>
    <t>ORD003848</t>
  </si>
  <si>
    <t>ORD002224</t>
  </si>
  <si>
    <t>ORD002511</t>
  </si>
  <si>
    <t>ORD004002</t>
  </si>
  <si>
    <t>ORD004076</t>
  </si>
  <si>
    <t>ORD004281</t>
  </si>
  <si>
    <t>ORD000316</t>
  </si>
  <si>
    <t>ORD000679</t>
  </si>
  <si>
    <t>ORD000719</t>
  </si>
  <si>
    <t>ORD000272</t>
  </si>
  <si>
    <t>ORD000639</t>
  </si>
  <si>
    <t>ORD002458</t>
  </si>
  <si>
    <t>ORD001577</t>
  </si>
  <si>
    <t>ORD000879</t>
  </si>
  <si>
    <t>ORD004134</t>
  </si>
  <si>
    <t>ORD004309</t>
  </si>
  <si>
    <t>ORD002110</t>
  </si>
  <si>
    <t>ORD003136</t>
  </si>
  <si>
    <t>ORD003751</t>
  </si>
  <si>
    <t>ORD003977</t>
  </si>
  <si>
    <t>ORD002824</t>
  </si>
  <si>
    <t>ORD003269</t>
  </si>
  <si>
    <t>ORD003721</t>
  </si>
  <si>
    <t>ORD002424</t>
  </si>
  <si>
    <t>ORD000773</t>
  </si>
  <si>
    <t>ORD000016</t>
  </si>
  <si>
    <t>ORD002201</t>
  </si>
  <si>
    <t>ORD003196</t>
  </si>
  <si>
    <t>ORD001580</t>
  </si>
  <si>
    <t>ORD000750</t>
  </si>
  <si>
    <t>ORD003420</t>
  </si>
  <si>
    <t>ORD000343</t>
  </si>
  <si>
    <t>ORD004242</t>
  </si>
  <si>
    <t>ORD004325</t>
  </si>
  <si>
    <t>ORD001928</t>
  </si>
  <si>
    <t>ORD003259</t>
  </si>
  <si>
    <t>ORD000703</t>
  </si>
  <si>
    <t>ORD001190</t>
  </si>
  <si>
    <t>ORD002438</t>
  </si>
  <si>
    <t>ORD003119</t>
  </si>
  <si>
    <t>ORD004294</t>
  </si>
  <si>
    <t>ORD001183</t>
  </si>
  <si>
    <t>ORD004199</t>
  </si>
  <si>
    <t>ORD004387</t>
  </si>
  <si>
    <t>ORD002584</t>
  </si>
  <si>
    <t>ORD001625</t>
  </si>
  <si>
    <t>ORD000573</t>
  </si>
  <si>
    <t>ORD004195</t>
  </si>
  <si>
    <t>ORD002136</t>
  </si>
  <si>
    <t>ORD002417</t>
  </si>
  <si>
    <t>ORD001676</t>
  </si>
  <si>
    <t>ORD002000</t>
  </si>
  <si>
    <t>ORD001929</t>
  </si>
  <si>
    <t>ORD000722</t>
  </si>
  <si>
    <t>ORD003710</t>
  </si>
  <si>
    <t>ORD002142</t>
  </si>
  <si>
    <t>ORD002876</t>
  </si>
  <si>
    <t>ORD002159</t>
  </si>
  <si>
    <t>ORD003849</t>
  </si>
  <si>
    <t>ORD000276</t>
  </si>
  <si>
    <t>ORD000797</t>
  </si>
  <si>
    <t>ORD003167</t>
  </si>
  <si>
    <t>ORD001261</t>
  </si>
  <si>
    <t>ORD000956</t>
  </si>
  <si>
    <t>ORD000221</t>
  </si>
  <si>
    <t>ORD000926</t>
  </si>
  <si>
    <t>ORD004135</t>
  </si>
  <si>
    <t>ORD002139</t>
  </si>
  <si>
    <t>ORD004701</t>
  </si>
  <si>
    <t>ORD001224</t>
  </si>
  <si>
    <t>ORD002890</t>
  </si>
  <si>
    <t>ORD000770</t>
  </si>
  <si>
    <t>ORD001532</t>
  </si>
  <si>
    <t>ORD002808</t>
  </si>
  <si>
    <t>ORD002943</t>
  </si>
  <si>
    <t>ORD003675</t>
  </si>
  <si>
    <t>ORD002395</t>
  </si>
  <si>
    <t>ORD003803</t>
  </si>
  <si>
    <t>ORD002373</t>
  </si>
  <si>
    <t>ORD002211</t>
  </si>
  <si>
    <t>ORD003278</t>
  </si>
  <si>
    <t>ORD004419</t>
  </si>
  <si>
    <t>ORD001669</t>
  </si>
  <si>
    <t>ORD003335</t>
  </si>
  <si>
    <t>ORD001973</t>
  </si>
  <si>
    <t>ORD002982</t>
  </si>
  <si>
    <t>ORD002057</t>
  </si>
  <si>
    <t>ORD002310</t>
  </si>
  <si>
    <t>ORD002733</t>
  </si>
  <si>
    <t>ORD001526</t>
  </si>
  <si>
    <t>ORD004866</t>
  </si>
  <si>
    <t>ORD002947</t>
  </si>
  <si>
    <t>ORD003332</t>
  </si>
  <si>
    <t>ORD004740</t>
  </si>
  <si>
    <t>ORD003221</t>
  </si>
  <si>
    <t>ORD002599</t>
  </si>
  <si>
    <t>ORD001820</t>
  </si>
  <si>
    <t>ORD003963</t>
  </si>
  <si>
    <t>ORD001424</t>
  </si>
  <si>
    <t>ORD000052</t>
  </si>
  <si>
    <t>ORD003233</t>
  </si>
  <si>
    <t>ORD004226</t>
  </si>
  <si>
    <t>ORD004790</t>
  </si>
  <si>
    <t>ORD002571</t>
  </si>
  <si>
    <t>ORD002631</t>
  </si>
  <si>
    <t>ORD003505</t>
  </si>
  <si>
    <t>ORD001783</t>
  </si>
  <si>
    <t>ORD003011</t>
  </si>
  <si>
    <t>ORD002926</t>
  </si>
  <si>
    <t>ORD002839</t>
  </si>
  <si>
    <t>ORD003040</t>
  </si>
  <si>
    <t>ORD001817</t>
  </si>
  <si>
    <t>ORD000349</t>
  </si>
  <si>
    <t>ORD001353</t>
  </si>
  <si>
    <t>ORD002056</t>
  </si>
  <si>
    <t>ORD003991</t>
  </si>
  <si>
    <t>ORD001213</t>
  </si>
  <si>
    <t>ORD004633</t>
  </si>
  <si>
    <t>ORD002230</t>
  </si>
  <si>
    <t>ORD001677</t>
  </si>
  <si>
    <t>ORD000901</t>
  </si>
  <si>
    <t>ORD002486</t>
  </si>
  <si>
    <t>ORD001126</t>
  </si>
  <si>
    <t>ORD002635</t>
  </si>
  <si>
    <t>ORD003735</t>
  </si>
  <si>
    <t>ORD001418</t>
  </si>
  <si>
    <t>ORD003665</t>
  </si>
  <si>
    <t>ORD004748</t>
  </si>
  <si>
    <t>ORD002507</t>
  </si>
  <si>
    <t>ORD003726</t>
  </si>
  <si>
    <t>ORD000048</t>
  </si>
  <si>
    <t>ORD000511</t>
  </si>
  <si>
    <t>ORD000060</t>
  </si>
  <si>
    <t>ORD002482</t>
  </si>
  <si>
    <t>ORD003093</t>
  </si>
  <si>
    <t>ORD003147</t>
  </si>
  <si>
    <t>ORD004690</t>
  </si>
  <si>
    <t>ORD001665</t>
  </si>
  <si>
    <t>ORD001506</t>
  </si>
  <si>
    <t>ORD000897</t>
  </si>
  <si>
    <t>ORD000547</t>
  </si>
  <si>
    <t>ORD003672</t>
  </si>
  <si>
    <t>ORD001299</t>
  </si>
  <si>
    <t>ORD003688</t>
  </si>
  <si>
    <t>ORD002929</t>
  </si>
  <si>
    <t>ORD003323</t>
  </si>
  <si>
    <t>ORD004658</t>
  </si>
  <si>
    <t>ORD003759</t>
  </si>
  <si>
    <t>ORD002570</t>
  </si>
  <si>
    <t>ORD001503</t>
  </si>
  <si>
    <t>ORD004566</t>
  </si>
  <si>
    <t>ORD002325</t>
  </si>
  <si>
    <t>ORD004824</t>
  </si>
  <si>
    <t>ORD002719</t>
  </si>
  <si>
    <t>ORD002708</t>
  </si>
  <si>
    <t>ORD001690</t>
  </si>
  <si>
    <t>ORD001065</t>
  </si>
  <si>
    <t>ORD003234</t>
  </si>
  <si>
    <t>ORD002523</t>
  </si>
  <si>
    <t>ORD002023</t>
  </si>
  <si>
    <t>ORD002800</t>
  </si>
  <si>
    <t>ORD000292</t>
  </si>
  <si>
    <t>ORD003056</t>
  </si>
  <si>
    <t>ORD001531</t>
  </si>
  <si>
    <t>ORD001194</t>
  </si>
  <si>
    <t>ORD003695</t>
  </si>
  <si>
    <t>ORD002376</t>
  </si>
  <si>
    <t>ORD004081</t>
  </si>
  <si>
    <t>ORD002349</t>
  </si>
  <si>
    <t>ORD002636</t>
  </si>
  <si>
    <t>ORD001980</t>
  </si>
  <si>
    <t>ORD002899</t>
  </si>
  <si>
    <t>ORD000015</t>
  </si>
  <si>
    <t>ORD002235</t>
  </si>
  <si>
    <t>ORD000376</t>
  </si>
  <si>
    <t>ORD001095</t>
  </si>
  <si>
    <t>ORD004297</t>
  </si>
  <si>
    <t>ORD002696</t>
  </si>
  <si>
    <t>ORD003885</t>
  </si>
  <si>
    <t>ORD004771</t>
  </si>
  <si>
    <t>ORD001682</t>
  </si>
  <si>
    <t>ORD001385</t>
  </si>
  <si>
    <t>ORD000082</t>
  </si>
  <si>
    <t>ORD003997</t>
  </si>
  <si>
    <t>ORD001328</t>
  </si>
  <si>
    <t>ORD003553</t>
  </si>
  <si>
    <t>ORD004994</t>
  </si>
  <si>
    <t>ORD004842</t>
  </si>
  <si>
    <t>ORD000954</t>
  </si>
  <si>
    <t>ORD000455</t>
  </si>
  <si>
    <t>ORD001251</t>
  </si>
  <si>
    <t>ORD000874</t>
  </si>
  <si>
    <t>ORD003765</t>
  </si>
  <si>
    <t>ORD000140</t>
  </si>
  <si>
    <t>ORD001890</t>
  </si>
  <si>
    <t>ORD003134</t>
  </si>
  <si>
    <t>ORD004861</t>
  </si>
  <si>
    <t>ORD004334</t>
  </si>
  <si>
    <t>ORD001683</t>
  </si>
  <si>
    <t>ORD004245</t>
  </si>
  <si>
    <t>ORD001984</t>
  </si>
  <si>
    <t>ORD000325</t>
  </si>
  <si>
    <t>ORD003841</t>
  </si>
  <si>
    <t>ORD001904</t>
  </si>
  <si>
    <t>ORD002283</t>
  </si>
  <si>
    <t>ORD002602</t>
  </si>
  <si>
    <t>ORD002591</t>
  </si>
  <si>
    <t>ORD004505</t>
  </si>
  <si>
    <t>ORD000889</t>
  </si>
  <si>
    <t>ORD002268</t>
  </si>
  <si>
    <t>ORD000976</t>
  </si>
  <si>
    <t>ORD000246</t>
  </si>
  <si>
    <t>ORD003116</t>
  </si>
  <si>
    <t>ORD004784</t>
  </si>
  <si>
    <t>ORD004020</t>
  </si>
  <si>
    <t>ORD003523</t>
  </si>
  <si>
    <t>ORD001329</t>
  </si>
  <si>
    <t>ORD000196</t>
  </si>
  <si>
    <t>ORD003468</t>
  </si>
  <si>
    <t>ORD001504</t>
  </si>
  <si>
    <t>ORD004063</t>
  </si>
  <si>
    <t>ORD001493</t>
  </si>
  <si>
    <t>ORD000735</t>
  </si>
  <si>
    <t>ORD002946</t>
  </si>
  <si>
    <t>ORD002829</t>
  </si>
  <si>
    <t>ORD001920</t>
  </si>
  <si>
    <t>ORD002573</t>
  </si>
  <si>
    <t>ORD003199</t>
  </si>
  <si>
    <t>ORD002858</t>
  </si>
  <si>
    <t>ORD004485</t>
  </si>
  <si>
    <t>ORD002440</t>
  </si>
  <si>
    <t>ORD001729</t>
  </si>
  <si>
    <t>ORD001362</t>
  </si>
  <si>
    <t>ORD004906</t>
  </si>
  <si>
    <t>ORD000333</t>
  </si>
  <si>
    <t>ORD001813</t>
  </si>
  <si>
    <t>ORD002642</t>
  </si>
  <si>
    <t>ORD004792</t>
  </si>
  <si>
    <t>ORD004304</t>
  </si>
  <si>
    <t>ORD003487</t>
  </si>
  <si>
    <t>ORD003264</t>
  </si>
  <si>
    <t>ORD003266</t>
  </si>
  <si>
    <t>ORD004197</t>
  </si>
  <si>
    <t>ORD004000</t>
  </si>
  <si>
    <t>ORD004192</t>
  </si>
  <si>
    <t>ORD004303</t>
  </si>
  <si>
    <t>ORD003680</t>
  </si>
  <si>
    <t>ORD004133</t>
  </si>
  <si>
    <t>ORD004038</t>
  </si>
  <si>
    <t>ORD004230</t>
  </si>
  <si>
    <t>ORD004587</t>
  </si>
  <si>
    <t>ORD002977</t>
  </si>
  <si>
    <t>ORD001724</t>
  </si>
  <si>
    <t>ORD003516</t>
  </si>
  <si>
    <t>ORD003737</t>
  </si>
  <si>
    <t>ORD000468</t>
  </si>
  <si>
    <t>ORD002621</t>
  </si>
  <si>
    <t>ORD001645</t>
  </si>
  <si>
    <t>ORD002770</t>
  </si>
  <si>
    <t>ORD003485</t>
  </si>
  <si>
    <t>ORD001767</t>
  </si>
  <si>
    <t>ORD001429</t>
  </si>
  <si>
    <t>ORD001509</t>
  </si>
  <si>
    <t>ORD002545</t>
  </si>
  <si>
    <t>ORD004581</t>
  </si>
  <si>
    <t>ORD003681</t>
  </si>
  <si>
    <t>ORD003361</t>
  </si>
  <si>
    <t>ORD000391</t>
  </si>
  <si>
    <t>ORD000035</t>
  </si>
  <si>
    <t>ORD001483</t>
  </si>
  <si>
    <t>ORD004025</t>
  </si>
  <si>
    <t>ORD004482</t>
  </si>
  <si>
    <t>ORD002787</t>
  </si>
  <si>
    <t>ORD001370</t>
  </si>
  <si>
    <t>ORD004331</t>
  </si>
  <si>
    <t>ORD004100</t>
  </si>
  <si>
    <t>ORD003496</t>
  </si>
  <si>
    <t>ORD000303</t>
  </si>
  <si>
    <t>ORD001941</t>
  </si>
  <si>
    <t>ORD000253</t>
  </si>
  <si>
    <t>ORD000161</t>
  </si>
  <si>
    <t>ORD000211</t>
  </si>
  <si>
    <t>ORD003208</t>
  </si>
  <si>
    <t>ORD002289</t>
  </si>
  <si>
    <t>ORD000813</t>
  </si>
  <si>
    <t>ORD001407</t>
  </si>
  <si>
    <t>ORD003248</t>
  </si>
  <si>
    <t>ORD001197</t>
  </si>
  <si>
    <t>ORD001252</t>
  </si>
  <si>
    <t>ORD002881</t>
  </si>
  <si>
    <t>ORD000302</t>
  </si>
  <si>
    <t>ORD003053</t>
  </si>
  <si>
    <t>ORD002401</t>
  </si>
  <si>
    <t>ORD000290</t>
  </si>
  <si>
    <t>ORD004836</t>
  </si>
  <si>
    <t>ORD004229</t>
  </si>
  <si>
    <t>ORD001617</t>
  </si>
  <si>
    <t>ORD001035</t>
  </si>
  <si>
    <t>ORD000003</t>
  </si>
  <si>
    <t>ORD001623</t>
  </si>
  <si>
    <t>ORD002516</t>
  </si>
  <si>
    <t>ORD000375</t>
  </si>
  <si>
    <t>ORD003190</t>
  </si>
  <si>
    <t>ORD001439</t>
  </si>
  <si>
    <t>ORD000891</t>
  </si>
  <si>
    <t>ORD004399</t>
  </si>
  <si>
    <t>ORD002295</t>
  </si>
  <si>
    <t>ORD001981</t>
  </si>
  <si>
    <t>ORD004650</t>
  </si>
  <si>
    <t>ORD003371</t>
  </si>
  <si>
    <t>ORD000806</t>
  </si>
  <si>
    <t>ORD000849</t>
  </si>
  <si>
    <t>ORD003265</t>
  </si>
  <si>
    <t>ORD000318</t>
  </si>
  <si>
    <t>ORD003478</t>
  </si>
  <si>
    <t>ORD002009</t>
  </si>
  <si>
    <t>ORD001581</t>
  </si>
  <si>
    <t>ORD001863</t>
  </si>
  <si>
    <t>ORD004501</t>
  </si>
  <si>
    <t>ORD004099</t>
  </si>
  <si>
    <t>ORD002934</t>
  </si>
  <si>
    <t>ORD004362</t>
  </si>
  <si>
    <t>ORD004113</t>
  </si>
  <si>
    <t>ORD000394</t>
  </si>
  <si>
    <t>ORD000228</t>
  </si>
  <si>
    <t>ORD004480</t>
  </si>
  <si>
    <t>ORD001029</t>
  </si>
  <si>
    <t>ORD000143</t>
  </si>
  <si>
    <t>ORD000441</t>
  </si>
  <si>
    <t>ORD002855</t>
  </si>
  <si>
    <t>ORD002640</t>
  </si>
  <si>
    <t>ORD001515</t>
  </si>
  <si>
    <t>ORD004718</t>
  </si>
  <si>
    <t>ORD004098</t>
  </si>
  <si>
    <t>ORD001661</t>
  </si>
  <si>
    <t>ORD003772</t>
  </si>
  <si>
    <t>ORD000378</t>
  </si>
  <si>
    <t>ORD000420</t>
  </si>
  <si>
    <t>ORD000332</t>
  </si>
  <si>
    <t>ORD004786</t>
  </si>
  <si>
    <t>ORD000533</t>
  </si>
  <si>
    <t>ORD000182</t>
  </si>
  <si>
    <t>ORD001441</t>
  </si>
  <si>
    <t>ORD001033</t>
  </si>
  <si>
    <t>ORD002384</t>
  </si>
  <si>
    <t>ORD001624</t>
  </si>
  <si>
    <t>ORD002174</t>
  </si>
  <si>
    <t>ORD002204</t>
  </si>
  <si>
    <t>ORD003262</t>
  </si>
  <si>
    <t>ORD000880</t>
  </si>
  <si>
    <t>ORD000868</t>
  </si>
  <si>
    <t>ORD004009</t>
  </si>
  <si>
    <t>ORD003982</t>
  </si>
  <si>
    <t>ORD004627</t>
  </si>
  <si>
    <t>ORD003775</t>
  </si>
  <si>
    <t>ORD001985</t>
  </si>
  <si>
    <t>ORD004679</t>
  </si>
  <si>
    <t>ORD002739</t>
  </si>
  <si>
    <t>ORD000417</t>
  </si>
  <si>
    <t>ORD003434</t>
  </si>
  <si>
    <t>ORD000495</t>
  </si>
  <si>
    <t>ORD000721</t>
  </si>
  <si>
    <t>ORD002323</t>
  </si>
  <si>
    <t>ORD004005</t>
  </si>
  <si>
    <t>ORD004008</t>
  </si>
  <si>
    <t>ORD001080</t>
  </si>
  <si>
    <t>ORD002480</t>
  </si>
  <si>
    <t>ORD002151</t>
  </si>
  <si>
    <t>ORD001061</t>
  </si>
  <si>
    <t>ORD003889</t>
  </si>
  <si>
    <t>ORD004244</t>
  </si>
  <si>
    <t>ORD001650</t>
  </si>
  <si>
    <t>ORD001460</t>
  </si>
  <si>
    <t>ORD002566</t>
  </si>
  <si>
    <t>ORD004817</t>
  </si>
  <si>
    <t>ORD000330</t>
  </si>
  <si>
    <t>ORD004576</t>
  </si>
  <si>
    <t>ORD000938</t>
  </si>
  <si>
    <t>ORD004021</t>
  </si>
  <si>
    <t>ORD000620</t>
  </si>
  <si>
    <t>ORD004029</t>
  </si>
  <si>
    <t>ORD004606</t>
  </si>
  <si>
    <t>ORD003168</t>
  </si>
  <si>
    <t>ORD001442</t>
  </si>
  <si>
    <t>ORD002104</t>
  </si>
  <si>
    <t>ORD003718</t>
  </si>
  <si>
    <t>ORD004949</t>
  </si>
  <si>
    <t>ORD003810</t>
  </si>
  <si>
    <t>ORD000492</t>
  </si>
  <si>
    <t>ORD000870</t>
  </si>
  <si>
    <t>ORD000136</t>
  </si>
  <si>
    <t>ORD004555</t>
  </si>
  <si>
    <t>ORD000013</t>
  </si>
  <si>
    <t>ORD004879</t>
  </si>
  <si>
    <t>ORD001298</t>
  </si>
  <si>
    <t>ORD003545</t>
  </si>
  <si>
    <t>ORD001306</t>
  </si>
  <si>
    <t>ORD001589</t>
  </si>
  <si>
    <t>ORD003838</t>
  </si>
  <si>
    <t>ORD004364</t>
  </si>
  <si>
    <t>ORD004735</t>
  </si>
  <si>
    <t>ORD001122</t>
  </si>
  <si>
    <t>ORD002773</t>
  </si>
  <si>
    <t>ORD000099</t>
  </si>
  <si>
    <t>ORD002526</t>
  </si>
  <si>
    <t>ORD004400</t>
  </si>
  <si>
    <t>ORD002370</t>
  </si>
  <si>
    <t>ORD004856</t>
  </si>
  <si>
    <t>ORD000945</t>
  </si>
  <si>
    <t>ORD001948</t>
  </si>
  <si>
    <t>ORD004613</t>
  </si>
  <si>
    <t>ORD004870</t>
  </si>
  <si>
    <t>ORD000180</t>
  </si>
  <si>
    <t>ORD002955</t>
  </si>
  <si>
    <t>ORD001243</t>
  </si>
  <si>
    <t>ORD003245</t>
  </si>
  <si>
    <t>ORD004384</t>
  </si>
  <si>
    <t>ORD000675</t>
  </si>
  <si>
    <t>ORD002851</t>
  </si>
  <si>
    <t>ORD000832</t>
  </si>
  <si>
    <t>ORD004645</t>
  </si>
  <si>
    <t>ORD001779</t>
  </si>
  <si>
    <t>ORD000433</t>
  </si>
  <si>
    <t>ORD004805</t>
  </si>
  <si>
    <t>ORD000811</t>
  </si>
  <si>
    <t>ORD002087</t>
  </si>
  <si>
    <t>ORD000448</t>
  </si>
  <si>
    <t>ORD003499</t>
  </si>
  <si>
    <t>ORD000546</t>
  </si>
  <si>
    <t>ORD000138</t>
  </si>
  <si>
    <t>ORD000472</t>
  </si>
  <si>
    <t>ORD003094</t>
  </si>
  <si>
    <t>ORD002595</t>
  </si>
  <si>
    <t>ORD000905</t>
  </si>
  <si>
    <t>ORD004329</t>
  </si>
  <si>
    <t>ORD002834</t>
  </si>
  <si>
    <t>ORD004890</t>
  </si>
  <si>
    <t>ORD002490</t>
  </si>
  <si>
    <t>ORD000133</t>
  </si>
  <si>
    <t>ORD000842</t>
  </si>
  <si>
    <t>ORD000039</t>
  </si>
  <si>
    <t>ORD004819</t>
  </si>
  <si>
    <t>ORD004417</t>
  </si>
  <si>
    <t>ORD000444</t>
  </si>
  <si>
    <t>ORD003033</t>
  </si>
  <si>
    <t>ORD003337</t>
  </si>
  <si>
    <t>ORD002683</t>
  </si>
  <si>
    <t>ORD000403</t>
  </si>
  <si>
    <t>ORD000119</t>
  </si>
  <si>
    <t>ORD002165</t>
  </si>
  <si>
    <t>ORD001815</t>
  </si>
  <si>
    <t>ORD004610</t>
  </si>
  <si>
    <t>ORD001229</t>
  </si>
  <si>
    <t>ORD000220</t>
  </si>
  <si>
    <t>ORD002546</t>
  </si>
  <si>
    <t>ORD000791</t>
  </si>
  <si>
    <t>ORD003811</t>
  </si>
  <si>
    <t>ORD003562</t>
  </si>
  <si>
    <t>ORD001104</t>
  </si>
  <si>
    <t>ORD001888</t>
  </si>
  <si>
    <t>ORD003358</t>
  </si>
  <si>
    <t>ORD000273</t>
  </si>
  <si>
    <t>ORD001782</t>
  </si>
  <si>
    <t>ORD003948</t>
  </si>
  <si>
    <t>ORD003984</t>
  </si>
  <si>
    <t>ORD001013</t>
  </si>
  <si>
    <t>ORD004963</t>
  </si>
  <si>
    <t>ORD000339</t>
  </si>
  <si>
    <t>ORD002322</t>
  </si>
  <si>
    <t>ORD001178</t>
  </si>
  <si>
    <t>ORD004381</t>
  </si>
  <si>
    <t>ORD003709</t>
  </si>
  <si>
    <t>ORD002987</t>
  </si>
  <si>
    <t>ORD001273</t>
  </si>
  <si>
    <t>ORD000151</t>
  </si>
  <si>
    <t>ORD002750</t>
  </si>
  <si>
    <t>ORD000401</t>
  </si>
  <si>
    <t>ORD002797</t>
  </si>
  <si>
    <t>ORD004637</t>
  </si>
  <si>
    <t>ORD002921</t>
  </si>
  <si>
    <t>ORD001022</t>
  </si>
  <si>
    <t>ORD004028</t>
  </si>
  <si>
    <t>ORD000469</t>
  </si>
  <si>
    <t>ORD001781</t>
  </si>
  <si>
    <t>ORD001529</t>
  </si>
  <si>
    <t>ORD004385</t>
  </si>
  <si>
    <t>ORD000782</t>
  </si>
  <si>
    <t>ORD004810</t>
  </si>
  <si>
    <t>ORD001544</t>
  </si>
  <si>
    <t>ORD002212</t>
  </si>
  <si>
    <t>ORD002509</t>
  </si>
  <si>
    <t>ORD004665</t>
  </si>
  <si>
    <t>ORD004593</t>
  </si>
  <si>
    <t>ORD003457</t>
  </si>
  <si>
    <t>ORD003458</t>
  </si>
  <si>
    <t>ORD003576</t>
  </si>
  <si>
    <t>ORD001259</t>
  </si>
  <si>
    <t>ORD000759</t>
  </si>
  <si>
    <t>ORD000727</t>
  </si>
  <si>
    <t>ORD003367</t>
  </si>
  <si>
    <t>ORD001456</t>
  </si>
  <si>
    <t>ORD002297</t>
  </si>
  <si>
    <t>ORD002493</t>
  </si>
  <si>
    <t>ORD002817</t>
  </si>
  <si>
    <t>ORD001552</t>
  </si>
  <si>
    <t>ORD001024</t>
  </si>
  <si>
    <t>ORD003806</t>
  </si>
  <si>
    <t>ORD001901</t>
  </si>
  <si>
    <t>ORD000731</t>
  </si>
  <si>
    <t>ORD001228</t>
  </si>
  <si>
    <t>ORD001812</t>
  </si>
  <si>
    <t>ORD003030</t>
  </si>
  <si>
    <t>ORD003745</t>
  </si>
  <si>
    <t>ORD001962</t>
  </si>
  <si>
    <t>ORD004305</t>
  </si>
  <si>
    <t>ORD003151</t>
  </si>
  <si>
    <t>ORD000145</t>
  </si>
  <si>
    <t>ORD000801</t>
  </si>
  <si>
    <t>ORD004927</t>
  </si>
  <si>
    <t>ORD004097</t>
  </si>
  <si>
    <t>ORD004504</t>
  </si>
  <si>
    <t>ORD002039</t>
  </si>
  <si>
    <t>ORD003087</t>
  </si>
  <si>
    <t>ORD004216</t>
  </si>
  <si>
    <t>ORD004015</t>
  </si>
  <si>
    <t>ORD004830</t>
  </si>
  <si>
    <t>ORD004549</t>
  </si>
  <si>
    <t>ORD004577</t>
  </si>
  <si>
    <t>ORD002240</t>
  </si>
  <si>
    <t>ORD001706</t>
  </si>
  <si>
    <t>ORD003579</t>
  </si>
  <si>
    <t>ORD001084</t>
  </si>
  <si>
    <t>ORD000314</t>
  </si>
  <si>
    <t>ORD003508</t>
  </si>
  <si>
    <t>ORD000361</t>
  </si>
  <si>
    <t>ORD004215</t>
  </si>
  <si>
    <t>ORD004202</t>
  </si>
  <si>
    <t>ORD002335</t>
  </si>
  <si>
    <t>ORD003031</t>
  </si>
  <si>
    <t>ORD000049</t>
  </si>
  <si>
    <t>ORD001480</t>
  </si>
  <si>
    <t>ORD003288</t>
  </si>
  <si>
    <t>ORD000930</t>
  </si>
  <si>
    <t>ORD004524</t>
  </si>
  <si>
    <t>ORD002472</t>
  </si>
  <si>
    <t>ORD001525</t>
  </si>
  <si>
    <t>ORD000334</t>
  </si>
  <si>
    <t>ORD001868</t>
  </si>
  <si>
    <t>ORD003299</t>
  </si>
  <si>
    <t>ORD003240</t>
  </si>
  <si>
    <t>ORD000033</t>
  </si>
  <si>
    <t>ORD003157</t>
  </si>
  <si>
    <t>ORD004644</t>
  </si>
  <si>
    <t>ORD002228</t>
  </si>
  <si>
    <t>ORD002427</t>
  </si>
  <si>
    <t>ORD003185</t>
  </si>
  <si>
    <t>ORD003077</t>
  </si>
  <si>
    <t>ORD002074</t>
  </si>
  <si>
    <t>ORD002306</t>
  </si>
  <si>
    <t>ORD003042</t>
  </si>
  <si>
    <t>ORD002705</t>
  </si>
  <si>
    <t>ORD001289</t>
  </si>
  <si>
    <t>ORD000269</t>
  </si>
  <si>
    <t>ORD004493</t>
  </si>
  <si>
    <t>ORD002672</t>
  </si>
  <si>
    <t>ORD004264</t>
  </si>
  <si>
    <t>ORD004938</t>
  </si>
  <si>
    <t>ORD004600</t>
  </si>
  <si>
    <t>ORD004559</t>
  </si>
  <si>
    <t>ORD001954</t>
  </si>
  <si>
    <t>ORD003489</t>
  </si>
  <si>
    <t>ORD004914</t>
  </si>
  <si>
    <t>ORD004722</t>
  </si>
  <si>
    <t>ORD000235</t>
  </si>
  <si>
    <t>ORD004370</t>
  </si>
  <si>
    <t>ORD002847</t>
  </si>
  <si>
    <t>ORD003407</t>
  </si>
  <si>
    <t>ORD001136</t>
  </si>
  <si>
    <t>ORD004298</t>
  </si>
  <si>
    <t>ORD002042</t>
  </si>
  <si>
    <t>ORD004070</t>
  </si>
  <si>
    <t>ORD003424</t>
  </si>
  <si>
    <t>ORD001355</t>
  </si>
  <si>
    <t>ORD003975</t>
  </si>
  <si>
    <t>ORD000886</t>
  </si>
  <si>
    <t>ORD002738</t>
  </si>
  <si>
    <t>ORD001124</t>
  </si>
  <si>
    <t>ORD004105</t>
  </si>
  <si>
    <t>ORD002600</t>
  </si>
  <si>
    <t>ORD001240</t>
  </si>
  <si>
    <t>ORD003423</t>
  </si>
  <si>
    <t>ORD002331</t>
  </si>
  <si>
    <t>ORD004104</t>
  </si>
  <si>
    <t>ORD002180</t>
  </si>
  <si>
    <t>ORD003243</t>
  </si>
  <si>
    <t>ORD003998</t>
  </si>
  <si>
    <t>ORD001763</t>
  </si>
  <si>
    <t>ORD001478</t>
  </si>
  <si>
    <t>ORD000955</t>
  </si>
  <si>
    <t>ORD001377</t>
  </si>
  <si>
    <t>ORD002181</t>
  </si>
  <si>
    <t>ORD002157</t>
  </si>
  <si>
    <t>ORD003143</t>
  </si>
  <si>
    <t>ORD004130</t>
  </si>
  <si>
    <t>ORD000051</t>
  </si>
  <si>
    <t>ORD002690</t>
  </si>
  <si>
    <t>ORD002863</t>
  </si>
  <si>
    <t>ORD004855</t>
  </si>
  <si>
    <t>ORD003603</t>
  </si>
  <si>
    <t>ORD001708</t>
  </si>
  <si>
    <t>ORD000485</t>
  </si>
  <si>
    <t>ORD001693</t>
  </si>
  <si>
    <t>ORD004265</t>
  </si>
  <si>
    <t>ORD004825</t>
  </si>
  <si>
    <t>ORD002772</t>
  </si>
  <si>
    <t>ORD002533</t>
  </si>
  <si>
    <t>ORD003799</t>
  </si>
  <si>
    <t>ORD002575</t>
  </si>
  <si>
    <t>ORD003507</t>
  </si>
  <si>
    <t>ORD004811</t>
  </si>
  <si>
    <t>ORD003298</t>
  </si>
  <si>
    <t>ORD003729</t>
  </si>
  <si>
    <t>ORD004141</t>
  </si>
  <si>
    <t>ORD001102</t>
  </si>
  <si>
    <t>ORD001481</t>
  </si>
  <si>
    <t>ORD000836</t>
  </si>
  <si>
    <t>ORD001816</t>
  </si>
  <si>
    <t>ORD002105</t>
  </si>
  <si>
    <t>ORD000709</t>
  </si>
  <si>
    <t>ORD003589</t>
  </si>
  <si>
    <t>ORD004107</t>
  </si>
  <si>
    <t>ORD004775</t>
  </si>
  <si>
    <t>ORD004982</t>
  </si>
  <si>
    <t>ORD001853</t>
  </si>
  <si>
    <t>ORD004452</t>
  </si>
  <si>
    <t>ORD000388</t>
  </si>
  <si>
    <t>ORD003531</t>
  </si>
  <si>
    <t>ORD002492</t>
  </si>
  <si>
    <t>ORD001618</t>
  </si>
  <si>
    <t>ORD004916</t>
  </si>
  <si>
    <t>ORD002103</t>
  </si>
  <si>
    <t>ORD003818</t>
  </si>
  <si>
    <t>ORD002737</t>
  </si>
  <si>
    <t>ORD004884</t>
  </si>
  <si>
    <t>ORD002666</t>
  </si>
  <si>
    <t>ORD000489</t>
  </si>
  <si>
    <t>ORD003091</t>
  </si>
  <si>
    <t>ORD004189</t>
  </si>
  <si>
    <t>ORD004246</t>
  </si>
  <si>
    <t>ORD004619</t>
  </si>
  <si>
    <t>ORD002563</t>
  </si>
  <si>
    <t>ORD000649</t>
  </si>
  <si>
    <t>ORD003225</t>
  </si>
  <si>
    <t>ORD000635</t>
  </si>
  <si>
    <t>ORD000190</t>
  </si>
  <si>
    <t>ORD004708</t>
  </si>
  <si>
    <t>ORD003327</t>
  </si>
  <si>
    <t>ORD000653</t>
  </si>
  <si>
    <t>ORD004310</t>
  </si>
  <si>
    <t>ORD001510</t>
  </si>
  <si>
    <t>ORD004799</t>
  </si>
  <si>
    <t>ORD000411</t>
  </si>
  <si>
    <t>ORD003106</t>
  </si>
  <si>
    <t>ORD001681</t>
  </si>
  <si>
    <t>ORD002439</t>
  </si>
  <si>
    <t>ORD003852</t>
  </si>
  <si>
    <t>ORD004864</t>
  </si>
  <si>
    <t>ORD004563</t>
  </si>
  <si>
    <t>ORD003664</t>
  </si>
  <si>
    <t>ORD001235</t>
  </si>
  <si>
    <t>ORD001491</t>
  </si>
  <si>
    <t>ORD002660</t>
  </si>
  <si>
    <t>ORD004874</t>
  </si>
  <si>
    <t>ORD000859</t>
  </si>
  <si>
    <t>ORD004591</t>
  </si>
  <si>
    <t>ORD003369</t>
  </si>
  <si>
    <t>ORD004255</t>
  </si>
  <si>
    <t>ORD004200</t>
  </si>
  <si>
    <t>ORD002704</t>
  </si>
  <si>
    <t>ORD000902</t>
  </si>
  <si>
    <t>ORD004460</t>
  </si>
  <si>
    <t>ORD002457</t>
  </si>
  <si>
    <t>ORD001869</t>
  </si>
  <si>
    <t>ORD003229</t>
  </si>
  <si>
    <t>ORD002210</t>
  </si>
  <si>
    <t>ORD004802</t>
  </si>
  <si>
    <t>ORD001465</t>
  </si>
  <si>
    <t>ORD003913</t>
  </si>
  <si>
    <t>ORD004237</t>
  </si>
  <si>
    <t>ORD004118</t>
  </si>
  <si>
    <t>ORD004293</t>
  </si>
  <si>
    <t>ORD000838</t>
  </si>
  <si>
    <t>ORD002442</t>
  </si>
  <si>
    <t>ORD001199</t>
  </si>
  <si>
    <t>ORD004337</t>
  </si>
  <si>
    <t>ORD003120</t>
  </si>
  <si>
    <t>ORD004920</t>
  </si>
  <si>
    <t>ORD004072</t>
  </si>
  <si>
    <t>ORD004436</t>
  </si>
  <si>
    <t>ORD004313</t>
  </si>
  <si>
    <t>ORD001761</t>
  </si>
  <si>
    <t>ORD001475</t>
  </si>
  <si>
    <t>ORD004143</t>
  </si>
  <si>
    <t>ORD002477</t>
  </si>
  <si>
    <t>ORD004274</t>
  </si>
  <si>
    <t>ORD001775</t>
  </si>
  <si>
    <t>ORD000866</t>
  </si>
  <si>
    <t>ORD002199</t>
  </si>
  <si>
    <t>ORD004741</t>
  </si>
  <si>
    <t>ORD003092</t>
  </si>
  <si>
    <t>ORD004360</t>
  </si>
  <si>
    <t>ORD002673</t>
  </si>
  <si>
    <t>ORD000108</t>
  </si>
  <si>
    <t>ORD002688</t>
  </si>
  <si>
    <t>ORD003557</t>
  </si>
  <si>
    <t>ORD004053</t>
  </si>
  <si>
    <t>ORD004139</t>
  </si>
  <si>
    <t>ORD000073</t>
  </si>
  <si>
    <t>ORD000121</t>
  </si>
  <si>
    <t>ORD004586</t>
  </si>
  <si>
    <t>ORD004954</t>
  </si>
  <si>
    <t>ORD003146</t>
  </si>
  <si>
    <t>ORD000767</t>
  </si>
  <si>
    <t>ORD002906</t>
  </si>
  <si>
    <t>ORD003467</t>
  </si>
  <si>
    <t>ORD002833</t>
  </si>
  <si>
    <t>ORD000911</t>
  </si>
  <si>
    <t>ORD001239</t>
  </si>
  <si>
    <t>ORD001287</t>
  </si>
  <si>
    <t>ORD000233</t>
  </si>
  <si>
    <t>ORD004832</t>
  </si>
  <si>
    <t>ORD001482</t>
  </si>
  <si>
    <t>ORD004528</t>
  </si>
  <si>
    <t>ORD002032</t>
  </si>
  <si>
    <t>ORD001246</t>
  </si>
  <si>
    <t>ORD001839</t>
  </si>
  <si>
    <t>ORD001543</t>
  </si>
  <si>
    <t>ORD001715</t>
  </si>
  <si>
    <t>ORD004184</t>
  </si>
  <si>
    <t>ORD001840</t>
  </si>
  <si>
    <t>ORD001758</t>
  </si>
  <si>
    <t>ORD003412</t>
  </si>
  <si>
    <t>ORD004240</t>
  </si>
  <si>
    <t>ORD001663</t>
  </si>
  <si>
    <t>ORD002121</t>
  </si>
  <si>
    <t>ORD000564</t>
  </si>
  <si>
    <t>ORD001170</t>
  </si>
  <si>
    <t>ORD000338</t>
  </si>
  <si>
    <t>ORD001082</t>
  </si>
  <si>
    <t>ORD002613</t>
  </si>
  <si>
    <t>ORD002756</t>
  </si>
  <si>
    <t>ORD000046</t>
  </si>
  <si>
    <t>ORD002637</t>
  </si>
  <si>
    <t>ORD002882</t>
  </si>
  <si>
    <t>ORD004446</t>
  </si>
  <si>
    <t>ORD000173</t>
  </si>
  <si>
    <t>ORD003832</t>
  </si>
  <si>
    <t>ORD004515</t>
  </si>
  <si>
    <t>ORD003086</t>
  </si>
  <si>
    <t>ORD004296</t>
  </si>
  <si>
    <t>ORD000412</t>
  </si>
  <si>
    <t>ORD004798</t>
  </si>
  <si>
    <t>ORD004789</t>
  </si>
  <si>
    <t>ORD004647</t>
  </si>
  <si>
    <t>ORD000545</t>
  </si>
  <si>
    <t>ORD004269</t>
  </si>
  <si>
    <t>ORD001397</t>
  </si>
  <si>
    <t>ORD000909</t>
  </si>
  <si>
    <t>ORD003843</t>
  </si>
  <si>
    <t>ORD004877</t>
  </si>
  <si>
    <t>ORD004350</t>
  </si>
  <si>
    <t>ORD003488</t>
  </si>
  <si>
    <t>ORD000681</t>
  </si>
  <si>
    <t>ORD003914</t>
  </si>
  <si>
    <t>ORD000796</t>
  </si>
  <si>
    <t>ORD002059</t>
  </si>
  <si>
    <t>ORD000537</t>
  </si>
  <si>
    <t>ORD001753</t>
  </si>
  <si>
    <t>ORD002055</t>
  </si>
  <si>
    <t>ORD003653</t>
  </si>
  <si>
    <t>ORD003712</t>
  </si>
  <si>
    <t>ORD002598</t>
  </si>
  <si>
    <t>ORD000459</t>
  </si>
  <si>
    <t>ORD004744</t>
  </si>
  <si>
    <t>ORD004834</t>
  </si>
  <si>
    <t>ORD000717</t>
  </si>
  <si>
    <t>ORD001549</t>
  </si>
  <si>
    <t>ORD002239</t>
  </si>
  <si>
    <t>ORD002046</t>
  </si>
  <si>
    <t>ORD001342</t>
  </si>
  <si>
    <t>ORD000599</t>
  </si>
  <si>
    <t>ORD000941</t>
  </si>
  <si>
    <t>ORD004519</t>
  </si>
  <si>
    <t>ORD003104</t>
  </si>
  <si>
    <t>ORD004571</t>
  </si>
  <si>
    <t>ORD000785</t>
  </si>
  <si>
    <t>ORD001750</t>
  </si>
  <si>
    <t>ORD004080</t>
  </si>
  <si>
    <t>ORD002692</t>
  </si>
  <si>
    <t>ORD001568</t>
  </si>
  <si>
    <t>ORD001908</t>
  </si>
  <si>
    <t>ORD004322</t>
  </si>
  <si>
    <t>ORD004503</t>
  </si>
  <si>
    <t>ORD001958</t>
  </si>
  <si>
    <t>ORD001720</t>
  </si>
  <si>
    <t>ORD003641</t>
  </si>
  <si>
    <t>ORD001107</t>
  </si>
  <si>
    <t>ORD000418</t>
  </si>
  <si>
    <t>ORD001376</t>
  </si>
  <si>
    <t>ORD003302</t>
  </si>
  <si>
    <t>ORD000297</t>
  </si>
  <si>
    <t>ORD000614</t>
  </si>
  <si>
    <t>ORD004525</t>
  </si>
  <si>
    <t>ORD004490</t>
  </si>
  <si>
    <t>ORD000805</t>
  </si>
  <si>
    <t>ORD000753</t>
  </si>
  <si>
    <t>ORD002259</t>
  </si>
  <si>
    <t>ORD002494</t>
  </si>
  <si>
    <t>ORD004420</t>
  </si>
  <si>
    <t>ORD002993</t>
  </si>
  <si>
    <t>ORD000258</t>
  </si>
  <si>
    <t>ORD000476</t>
  </si>
  <si>
    <t>ORD002693</t>
  </si>
  <si>
    <t>ORD004017</t>
  </si>
  <si>
    <t>ORD004918</t>
  </si>
  <si>
    <t>ORD004318</t>
  </si>
  <si>
    <t>ORD004317</t>
  </si>
  <si>
    <t>ORD000215</t>
  </si>
  <si>
    <t>ORD000536</t>
  </si>
  <si>
    <t>ORD000555</t>
  </si>
  <si>
    <t>ORD002250</t>
  </si>
  <si>
    <t>ORD004727</t>
  </si>
  <si>
    <t>ORD000381</t>
  </si>
  <si>
    <t>ORD004713</t>
  </si>
  <si>
    <t>ORD000484</t>
  </si>
  <si>
    <t>ORD001913</t>
  </si>
  <si>
    <t>ORD004903</t>
  </si>
  <si>
    <t>ORD003690</t>
  </si>
  <si>
    <t>ORD002038</t>
  </si>
  <si>
    <t>ORD004578</t>
  </si>
  <si>
    <t>ORD000645</t>
  </si>
  <si>
    <t>ORD004186</t>
  </si>
  <si>
    <t>ORD000916</t>
  </si>
  <si>
    <t>ORD004418</t>
  </si>
  <si>
    <t>ORD003876</t>
  </si>
  <si>
    <t>ORD004332</t>
  </si>
  <si>
    <t>ORD004078</t>
  </si>
  <si>
    <t>ORD004256</t>
  </si>
  <si>
    <t>ORD000623</t>
  </si>
  <si>
    <t>ORD001789</t>
  </si>
  <si>
    <t>ORD001860</t>
  </si>
  <si>
    <t>ORD000389</t>
  </si>
  <si>
    <t>ORD004822</t>
  </si>
  <si>
    <t>ORD004922</t>
  </si>
  <si>
    <t>ORD000863</t>
  </si>
  <si>
    <t>ORD004137</t>
  </si>
  <si>
    <t>ORD001010</t>
  </si>
  <si>
    <t>ORD001670</t>
  </si>
  <si>
    <t>ORD002129</t>
  </si>
  <si>
    <t>ORD004397</t>
  </si>
  <si>
    <t>ORD003406</t>
  </si>
  <si>
    <t>ORD000430</t>
  </si>
  <si>
    <t>ORD001927</t>
  </si>
  <si>
    <t>ORD000062</t>
  </si>
  <si>
    <t>ORD003635</t>
  </si>
  <si>
    <t>ORD002034</t>
  </si>
  <si>
    <t>ORD001054</t>
  </si>
  <si>
    <t>ORD001372</t>
  </si>
  <si>
    <t>ORD000592</t>
  </si>
  <si>
    <t>ORD003791</t>
  </si>
  <si>
    <t>ORD003397</t>
  </si>
  <si>
    <t>ORD002355</t>
  </si>
  <si>
    <t>ORD004366</t>
  </si>
  <si>
    <t>ORD000367</t>
  </si>
  <si>
    <t>ORD000222</t>
  </si>
  <si>
    <t>ORD002547</t>
  </si>
  <si>
    <t>ORD002567</t>
  </si>
  <si>
    <t>ORD003741</t>
  </si>
  <si>
    <t>ORD002324</t>
  </si>
  <si>
    <t>ORD004818</t>
  </si>
  <si>
    <t>ORD004225</t>
  </si>
  <si>
    <t>ORD001596</t>
  </si>
  <si>
    <t>ORD003250</t>
  </si>
  <si>
    <t>ORD004502</t>
  </si>
  <si>
    <t>ORD002456</t>
  </si>
  <si>
    <t>ORD002450</t>
  </si>
  <si>
    <t>ORD001968</t>
  </si>
  <si>
    <t>ORD001012</t>
  </si>
  <si>
    <t>ORD000515</t>
  </si>
  <si>
    <t>ORD002076</t>
  </si>
  <si>
    <t>ORD003989</t>
  </si>
  <si>
    <t>ORD000741</t>
  </si>
  <si>
    <t>ORD004882</t>
  </si>
  <si>
    <t>ORD000183</t>
  </si>
  <si>
    <t>ORD001719</t>
  </si>
  <si>
    <t>ORD000543</t>
  </si>
  <si>
    <t>ORD000852</t>
  </si>
  <si>
    <t>ORD003002</t>
  </si>
  <si>
    <t>ORD003533</t>
  </si>
  <si>
    <t>ORD004609</t>
  </si>
  <si>
    <t>ORD000890</t>
  </si>
  <si>
    <t>ORD004931</t>
  </si>
  <si>
    <t>ORD004286</t>
  </si>
  <si>
    <t>ORD002760</t>
  </si>
  <si>
    <t>ORD000660</t>
  </si>
  <si>
    <t>ORD003102</t>
  </si>
  <si>
    <t>ORD000197</t>
  </si>
  <si>
    <t>ORD002949</t>
  </si>
  <si>
    <t>ORD004851</t>
  </si>
  <si>
    <t>ORD000946</t>
  </si>
  <si>
    <t>ORD002311</t>
  </si>
  <si>
    <t>ORD004182</t>
  </si>
  <si>
    <t>ORD004683</t>
  </si>
  <si>
    <t>ORD004902</t>
  </si>
  <si>
    <t>ORD004940</t>
  </si>
  <si>
    <t>ORD001974</t>
  </si>
  <si>
    <t>ORD004218</t>
  </si>
  <si>
    <t>ORD000740</t>
  </si>
  <si>
    <t>ORD002550</t>
  </si>
  <si>
    <t>ORD000766</t>
  </si>
  <si>
    <t>ORD000229</t>
  </si>
  <si>
    <t>ORD000445</t>
  </si>
  <si>
    <t>ORD001924</t>
  </si>
  <si>
    <t>ORD002372</t>
  </si>
  <si>
    <t>ORD004747</t>
  </si>
  <si>
    <t>ORD004756</t>
  </si>
  <si>
    <t>ORD002923</t>
  </si>
  <si>
    <t>ORD000523</t>
  </si>
  <si>
    <t>ORD004618</t>
  </si>
  <si>
    <t>ORD003100</t>
  </si>
  <si>
    <t>ORD004772</t>
  </si>
  <si>
    <t>ORD003897</t>
  </si>
  <si>
    <t>ORD001487</t>
  </si>
  <si>
    <t>ORD000792</t>
  </si>
  <si>
    <t>ORD004899</t>
  </si>
  <si>
    <t>ORD001203</t>
  </si>
  <si>
    <t>ORD000320</t>
  </si>
  <si>
    <t>ORD001717</t>
  </si>
  <si>
    <t>ORD004279</t>
  </si>
  <si>
    <t>ORD002352</t>
  </si>
  <si>
    <t>ORD004534</t>
  </si>
  <si>
    <t>ORD004715</t>
  </si>
  <si>
    <t>ORD004096</t>
  </si>
  <si>
    <t>ORD001603</t>
  </si>
  <si>
    <t>ORD003937</t>
  </si>
  <si>
    <t>ORD002589</t>
  </si>
  <si>
    <t>ORD002914</t>
  </si>
  <si>
    <t>ORD003319</t>
  </si>
  <si>
    <t>ORD001990</t>
  </si>
  <si>
    <t>ORD000008</t>
  </si>
  <si>
    <t>ORD004894</t>
  </si>
  <si>
    <t>ORD003317</t>
  </si>
  <si>
    <t>ORD002367</t>
  </si>
  <si>
    <t>ORD002387</t>
  </si>
  <si>
    <t>ORD000210</t>
  </si>
  <si>
    <t>ORD004170</t>
  </si>
  <si>
    <t>ORD002537</t>
  </si>
  <si>
    <t>ORD002018</t>
  </si>
  <si>
    <t>ORD003339</t>
  </si>
  <si>
    <t>ORD002144</t>
  </si>
  <si>
    <t>ORD004389</t>
  </si>
  <si>
    <t>ORD000860</t>
  </si>
  <si>
    <t>ORD001518</t>
  </si>
  <si>
    <t>ORD000204</t>
  </si>
  <si>
    <t>ORD004977</t>
  </si>
  <si>
    <t>ORD002460</t>
  </si>
  <si>
    <t>ORD001666</t>
  </si>
  <si>
    <t>ORD000534</t>
  </si>
  <si>
    <t>ORD000245</t>
  </si>
  <si>
    <t>ORD003546</t>
  </si>
  <si>
    <t>ORD000607</t>
  </si>
  <si>
    <t>ORD002900</t>
  </si>
  <si>
    <t>ORD002558</t>
  </si>
  <si>
    <t>ORD004932</t>
  </si>
  <si>
    <t>ORD002448</t>
  </si>
  <si>
    <t>ORD000084</t>
  </si>
  <si>
    <t>ORD001599</t>
  </si>
  <si>
    <t>ORD000600</t>
  </si>
  <si>
    <t>ORD001156</t>
  </si>
  <si>
    <t>ORD003097</t>
  </si>
  <si>
    <t>ORD003465</t>
  </si>
  <si>
    <t>ORD001735</t>
  </si>
  <si>
    <t>ORD001914</t>
  </si>
  <si>
    <t>ORD003601</t>
  </si>
  <si>
    <t>ORD003063</t>
  </si>
  <si>
    <t>ORD001434</t>
  </si>
  <si>
    <t>ORD002762</t>
  </si>
  <si>
    <t>ORD004840</t>
  </si>
  <si>
    <t>ORD003835</t>
  </si>
  <si>
    <t>ORD002041</t>
  </si>
  <si>
    <t>ORD001993</t>
  </si>
  <si>
    <t>ORD004461</t>
  </si>
  <si>
    <t>ORD003700</t>
  </si>
  <si>
    <t>ORD002689</t>
  </si>
  <si>
    <t>ORD000081</t>
  </si>
  <si>
    <t>ORD001668</t>
  </si>
  <si>
    <t>ORD001151</t>
  </si>
  <si>
    <t>ORD004306</t>
  </si>
  <si>
    <t>ORD001023</t>
  </si>
  <si>
    <t>ORD002983</t>
  </si>
  <si>
    <t>ORD004273</t>
  </si>
  <si>
    <t>ORD003010</t>
  </si>
  <si>
    <t>ORD002624</t>
  </si>
  <si>
    <t>ORD000819</t>
  </si>
  <si>
    <t>ORD001449</t>
  </si>
  <si>
    <t>ORD000231</t>
  </si>
  <si>
    <t>ORD003392</t>
  </si>
  <si>
    <t>ORD004377</t>
  </si>
  <si>
    <t>ORD000225</t>
  </si>
  <si>
    <t>ORD002429</t>
  </si>
  <si>
    <t>ORD004187</t>
  </si>
  <si>
    <t>ORD001125</t>
  </si>
  <si>
    <t>ORD003216</t>
  </si>
  <si>
    <t>ORD004875</t>
  </si>
  <si>
    <t>ORD004892</t>
  </si>
  <si>
    <t>ORD003099</t>
  </si>
  <si>
    <t>ORD002124</t>
  </si>
  <si>
    <t>ORD002130</t>
  </si>
  <si>
    <t>ORD001851</t>
  </si>
  <si>
    <t>ORD001730</t>
  </si>
  <si>
    <t>ORD002203</t>
  </si>
  <si>
    <t>ORD000981</t>
  </si>
  <si>
    <t>ORD002231</t>
  </si>
  <si>
    <t>ORD004641</t>
  </si>
  <si>
    <t>ORD000227</t>
  </si>
  <si>
    <t>ORD003960</t>
  </si>
  <si>
    <t>ORD002470</t>
  </si>
  <si>
    <t>ORD001212</t>
  </si>
  <si>
    <t>ORD003550</t>
  </si>
  <si>
    <t>ORD004957</t>
  </si>
  <si>
    <t>ORD000566</t>
  </si>
  <si>
    <t>ORD001751</t>
  </si>
  <si>
    <t>ORD004518</t>
  </si>
  <si>
    <t>ORD004617</t>
  </si>
  <si>
    <t>ORD001571</t>
  </si>
  <si>
    <t>ORD004380</t>
  </si>
  <si>
    <t>ORD001354</t>
  </si>
  <si>
    <t>ORD001800</t>
  </si>
  <si>
    <t>ORD000992</t>
  </si>
  <si>
    <t>ORD000416</t>
  </si>
  <si>
    <t>ORD000670</t>
  </si>
  <si>
    <t>ORD000348</t>
  </si>
  <si>
    <t>ORD004379</t>
  </si>
  <si>
    <t>ORD002931</t>
  </si>
  <si>
    <t>ORD002628</t>
  </si>
  <si>
    <t>ORD000706</t>
  </si>
  <si>
    <t>ORD000651</t>
  </si>
  <si>
    <t>ORD001862</t>
  </si>
  <si>
    <t>ORD001738</t>
  </si>
  <si>
    <t>ORD004629</t>
  </si>
  <si>
    <t>ORD000216</t>
  </si>
  <si>
    <t>ORD003117</t>
  </si>
  <si>
    <t>ORD002184</t>
  </si>
  <si>
    <t>ORD000356</t>
  </si>
  <si>
    <t>ORD003409</t>
  </si>
  <si>
    <t>ORD003362</t>
  </si>
  <si>
    <t>ORD002958</t>
  </si>
  <si>
    <t>ORD001231</t>
  </si>
  <si>
    <t>ORD003438</t>
  </si>
  <si>
    <t>ORD000238</t>
  </si>
  <si>
    <t>ORD003625</t>
  </si>
  <si>
    <t>ORD003899</t>
  </si>
  <si>
    <t>ORD004312</t>
  </si>
  <si>
    <t>ORD000595</t>
  </si>
  <si>
    <t>ORD001431</t>
  </si>
  <si>
    <t>ORD000867</t>
  </si>
  <si>
    <t>ORD002618</t>
  </si>
  <si>
    <t>ORD003715</t>
  </si>
  <si>
    <t>ORD001391</t>
  </si>
  <si>
    <t>ORD000569</t>
  </si>
  <si>
    <t>ORD003534</t>
  </si>
  <si>
    <t>ORD002313</t>
  </si>
  <si>
    <t>ORD002710</t>
  </si>
  <si>
    <t>ORD003374</t>
  </si>
  <si>
    <t>ORD003408</t>
  </si>
  <si>
    <t>ORD001423</t>
  </si>
  <si>
    <t>ORD004924</t>
  </si>
  <si>
    <t>ORD004484</t>
  </si>
  <si>
    <t>ORD003683</t>
  </si>
  <si>
    <t>ORD002809</t>
  </si>
  <si>
    <t>ORD001234</t>
  </si>
  <si>
    <t>ORD003790</t>
  </si>
  <si>
    <t>ORD001210</t>
  </si>
  <si>
    <t>ORD000007</t>
  </si>
  <si>
    <t>ORD001652</t>
  </si>
  <si>
    <t>ORD000667</t>
  </si>
  <si>
    <t>ORD001527</t>
  </si>
  <si>
    <t>ORD004132</t>
  </si>
  <si>
    <t>ORD001886</t>
  </si>
  <si>
    <t>ORD002506</t>
  </si>
  <si>
    <t>ORD000178</t>
  </si>
  <si>
    <t>ORD001801</t>
  </si>
  <si>
    <t>ORD000141</t>
  </si>
  <si>
    <t>ORD002407</t>
  </si>
  <si>
    <t>ORD000308</t>
  </si>
  <si>
    <t>ORD002241</t>
  </si>
  <si>
    <t>ORD001180</t>
  </si>
  <si>
    <t>ORD000022</t>
  </si>
  <si>
    <t>ORD002341</t>
  </si>
  <si>
    <t>ORD002517</t>
  </si>
  <si>
    <t>ORD002276</t>
  </si>
  <si>
    <t>ORD001163</t>
  </si>
  <si>
    <t>ORD000287</t>
  </si>
  <si>
    <t>ORD001392</t>
  </si>
  <si>
    <t>ORD003481</t>
  </si>
  <si>
    <t>ORD001314</t>
  </si>
  <si>
    <t>ORD001791</t>
  </si>
  <si>
    <t>ORD001944</t>
  </si>
  <si>
    <t>ORD000584</t>
  </si>
  <si>
    <t>ORD004695</t>
  </si>
  <si>
    <t>ORD001242</t>
  </si>
  <si>
    <t>ORD001202</t>
  </si>
  <si>
    <t>ORD002572</t>
  </si>
  <si>
    <t>ORD004599</t>
  </si>
  <si>
    <t>ORD003046</t>
  </si>
  <si>
    <t>ORD000058</t>
  </si>
  <si>
    <t>ORD003598</t>
  </si>
  <si>
    <t>ORD000021</t>
  </si>
  <si>
    <t>ORD003436</t>
  </si>
  <si>
    <t>ORD004780</t>
  </si>
  <si>
    <t>ORD002461</t>
  </si>
  <si>
    <t>ORD001007</t>
  </si>
  <si>
    <t>ORD004292</t>
  </si>
  <si>
    <t>ORD001498</t>
  </si>
  <si>
    <t>ORD000802</t>
  </si>
  <si>
    <t>ORD004278</t>
  </si>
  <si>
    <t>ORD000247</t>
  </si>
  <si>
    <t>ORD000093</t>
  </si>
  <si>
    <t>ORD004965</t>
  </si>
  <si>
    <t>ORD002909</t>
  </si>
  <si>
    <t>ORD000915</t>
  </si>
  <si>
    <t>ORD000466</t>
  </si>
  <si>
    <t>ORD002274</t>
  </si>
  <si>
    <t>ORD002475</t>
  </si>
  <si>
    <t>ORD003814</t>
  </si>
  <si>
    <t>ORD000541</t>
  </si>
  <si>
    <t>ORD001058</t>
  </si>
  <si>
    <t>ORD001745</t>
  </si>
  <si>
    <t>ORD004320</t>
  </si>
  <si>
    <t>ORD001616</t>
  </si>
  <si>
    <t>ORD004978</t>
  </si>
  <si>
    <t>ORD000254</t>
  </si>
  <si>
    <t>ORD001635</t>
  </si>
  <si>
    <t>ORD001192</t>
  </si>
  <si>
    <t>ORD004605</t>
  </si>
  <si>
    <t>ORD000266</t>
  </si>
  <si>
    <t>ORD000816</t>
  </si>
  <si>
    <t>ORD000043</t>
  </si>
  <si>
    <t>ORD002495</t>
  </si>
  <si>
    <t>ORD004669</t>
  </si>
  <si>
    <t>ORD001324</t>
  </si>
  <si>
    <t>ORD000396</t>
  </si>
  <si>
    <t>ORD001294</t>
  </si>
  <si>
    <t>ORD001659</t>
  </si>
  <si>
    <t>ORD001573</t>
  </si>
  <si>
    <t>ORD003082</t>
  </si>
  <si>
    <t>ORD002498</t>
  </si>
  <si>
    <t>ORD004806</t>
  </si>
  <si>
    <t>ORD003475</t>
  </si>
  <si>
    <t>ORD001075</t>
  </si>
  <si>
    <t>ORD003058</t>
  </si>
  <si>
    <t>ORD000526</t>
  </si>
  <si>
    <t>ORD002912</t>
  </si>
  <si>
    <t>ORD002176</t>
  </si>
  <si>
    <t>ORD003657</t>
  </si>
  <si>
    <t>ORD003314</t>
  </si>
  <si>
    <t>ORD000873</t>
  </si>
  <si>
    <t>ORD000095</t>
  </si>
  <si>
    <t>ORD001814</t>
  </si>
  <si>
    <t>ORD001959</t>
  </si>
  <si>
    <t>ORD004160</t>
  </si>
  <si>
    <t>ORD004161</t>
  </si>
  <si>
    <t>ORD001562</t>
  </si>
  <si>
    <t>ORD004921</t>
  </si>
  <si>
    <t>ORD002415</t>
  </si>
  <si>
    <t>ORD003971</t>
  </si>
  <si>
    <t>ORD004635</t>
  </si>
  <si>
    <t>ORD000501</t>
  </si>
  <si>
    <t>ORD004761</t>
  </si>
  <si>
    <t>ORD001776</t>
  </si>
  <si>
    <t>ORD000885</t>
  </si>
  <si>
    <t>ORD002106</t>
  </si>
  <si>
    <t>ORD002281</t>
  </si>
  <si>
    <t>ORD002093</t>
  </si>
  <si>
    <t>ORD003279</t>
  </si>
  <si>
    <t>ORD001186</t>
  </si>
  <si>
    <t>ORD003743</t>
  </si>
  <si>
    <t>ORD000953</t>
  </si>
  <si>
    <t>ORD003396</t>
  </si>
  <si>
    <t>ORD003034</t>
  </si>
  <si>
    <t>ORD000925</t>
  </si>
  <si>
    <t>ORD002025</t>
  </si>
  <si>
    <t>ORD002044</t>
  </si>
  <si>
    <t>ORD003951</t>
  </si>
  <si>
    <t>ORD004835</t>
  </si>
  <si>
    <t>ORD000878</t>
  </si>
  <si>
    <t>ORD003017</t>
  </si>
  <si>
    <t>ORD002040</t>
  </si>
  <si>
    <t>ORD001749</t>
  </si>
  <si>
    <t>ORD000422</t>
  </si>
  <si>
    <t>ORD003693</t>
  </si>
  <si>
    <t>ORD002005</t>
  </si>
  <si>
    <t>ORD002206</t>
  </si>
  <si>
    <t>ORD001099</t>
  </si>
  <si>
    <t>ORD000513</t>
  </si>
  <si>
    <t>ORD001026</t>
  </si>
  <si>
    <t>ORD002423</t>
  </si>
  <si>
    <t>ORD003019</t>
  </si>
  <si>
    <t>ORD001076</t>
  </si>
  <si>
    <t>ORD004785</t>
  </si>
  <si>
    <t>ORD000919</t>
  </si>
  <si>
    <t>ORD003477</t>
  </si>
  <si>
    <t>ORD001118</t>
  </si>
  <si>
    <t>ORD003853</t>
  </si>
  <si>
    <t>ORD002069</t>
  </si>
  <si>
    <t>ORD000187</t>
  </si>
  <si>
    <t>ORD000678</t>
  </si>
  <si>
    <t>ORD000437</t>
  </si>
  <si>
    <t>ORD003871</t>
  </si>
  <si>
    <t>ORD003065</t>
  </si>
  <si>
    <t>ORD003246</t>
  </si>
  <si>
    <t>ORD002302</t>
  </si>
  <si>
    <t>ORD002275</t>
  </si>
  <si>
    <t>ORD002412</t>
  </si>
  <si>
    <t>ORD002724</t>
  </si>
  <si>
    <t>ORD001479</t>
  </si>
  <si>
    <t>ORD004056</t>
  </si>
  <si>
    <t>ORD003891</t>
  </si>
  <si>
    <t>ORD000467</t>
  </si>
  <si>
    <t>ORD004567</t>
  </si>
  <si>
    <t>ORD000450</t>
  </si>
  <si>
    <t>ORD003563</t>
  </si>
  <si>
    <t>ORD000184</t>
  </si>
  <si>
    <t>ORD003329</t>
  </si>
  <si>
    <t>ORD002383</t>
  </si>
  <si>
    <t>ORD003395</t>
  </si>
  <si>
    <t>ORD002045</t>
  </si>
  <si>
    <t>ORD003253</t>
  </si>
  <si>
    <t>ORD000293</t>
  </si>
  <si>
    <t>ORD004614</t>
  </si>
  <si>
    <t>ORD002478</t>
  </si>
  <si>
    <t>ORD000189</t>
  </si>
  <si>
    <t>ORD002138</t>
  </si>
  <si>
    <t>ORD003373</t>
  </si>
  <si>
    <t>ORD004841</t>
  </si>
  <si>
    <t>ORD002365</t>
  </si>
  <si>
    <t>ORD001997</t>
  </si>
  <si>
    <t>ORD002576</t>
  </si>
  <si>
    <t>ORD004405</t>
  </si>
  <si>
    <t>ORD004214</t>
  </si>
  <si>
    <t>ORD001303</t>
  </si>
  <si>
    <t>ORD004465</t>
  </si>
  <si>
    <t>ORD000259</t>
  </si>
  <si>
    <t>ORD000559</t>
  </si>
  <si>
    <t>ORD000652</t>
  </si>
  <si>
    <t>ORD003411</t>
  </si>
  <si>
    <t>ORD004498</t>
  </si>
  <si>
    <t>ORD000284</t>
  </si>
  <si>
    <t>ORD002195</t>
  </si>
  <si>
    <t>ORD002253</t>
  </si>
  <si>
    <t>ORD003044</t>
  </si>
  <si>
    <t>ORD004901</t>
  </si>
  <si>
    <t>ORD004060</t>
  </si>
  <si>
    <t>ORD001807</t>
  </si>
  <si>
    <t>ORD004129</t>
  </si>
  <si>
    <t>ORD002363</t>
  </si>
  <si>
    <t>ORD004745</t>
  </si>
  <si>
    <t>ORD000894</t>
  </si>
  <si>
    <t>ORD003946</t>
  </si>
  <si>
    <t>ORD002540</t>
  </si>
  <si>
    <t>ORD004863</t>
  </si>
  <si>
    <t>ORD001281</t>
  </si>
  <si>
    <t>ORD004346</t>
  </si>
  <si>
    <t>ORD000827</t>
  </si>
  <si>
    <t>ORD001352</t>
  </si>
  <si>
    <t>ORD003430</t>
  </si>
  <si>
    <t>ORD000242</t>
  </si>
  <si>
    <t>ORD003325</t>
  </si>
  <si>
    <t>ORD002864</t>
  </si>
  <si>
    <t>ORD003386</t>
  </si>
  <si>
    <t>ORD004933</t>
  </si>
  <si>
    <t>ORD001409</t>
  </si>
  <si>
    <t>ORD004354</t>
  </si>
  <si>
    <t>ORD003573</t>
  </si>
  <si>
    <t>ORD004393</t>
  </si>
  <si>
    <t>ORD000758</t>
  </si>
  <si>
    <t>ORD002790</t>
  </si>
  <si>
    <t>ORD000548</t>
  </si>
  <si>
    <t>ORD000977</t>
  </si>
  <si>
    <t>ORD001519</t>
  </si>
  <si>
    <t>ORD001208</t>
  </si>
  <si>
    <t>ORD001323</t>
  </si>
  <si>
    <t>ORD002502</t>
  </si>
  <si>
    <t>ORD003049</t>
  </si>
  <si>
    <t>ORD003383</t>
  </si>
  <si>
    <t>ORD000668</t>
  </si>
  <si>
    <t>ORD000193</t>
  </si>
  <si>
    <t>ORD002083</t>
  </si>
  <si>
    <t>ORD002043</t>
  </si>
  <si>
    <t>ORD004757</t>
  </si>
  <si>
    <t>ORD003330</t>
  </si>
  <si>
    <t>ORD000973</t>
  </si>
  <si>
    <t>ORD000646</t>
  </si>
  <si>
    <t>ORD004674</t>
  </si>
  <si>
    <t>ORD001798</t>
  </si>
  <si>
    <t>ORD004087</t>
  </si>
  <si>
    <t>ORD001674</t>
  </si>
  <si>
    <t>ORD001200</t>
  </si>
  <si>
    <t>ORD003363</t>
  </si>
  <si>
    <t>ORD000960</t>
  </si>
  <si>
    <t>ORD001622</t>
  </si>
  <si>
    <t>ORD003181</t>
  </si>
  <si>
    <t>ORD000669</t>
  </si>
  <si>
    <t>ORD000605</t>
  </si>
  <si>
    <t>ORD003301</t>
  </si>
  <si>
    <t>ORD001978</t>
  </si>
  <si>
    <t>ORD003795</t>
  </si>
  <si>
    <t>ORD004085</t>
  </si>
  <si>
    <t>ORD002886</t>
  </si>
  <si>
    <t>ORD003920</t>
  </si>
  <si>
    <t>ORD000768</t>
  </si>
  <si>
    <t>ORD004404</t>
  </si>
  <si>
    <t>ORD003504</t>
  </si>
  <si>
    <t>ORD003670</t>
  </si>
  <si>
    <t>ORD002916</t>
  </si>
  <si>
    <t>ORD004827</t>
  </si>
  <si>
    <t>ORD004551</t>
  </si>
  <si>
    <t>ORD001867</t>
  </si>
  <si>
    <t>ORD003900</t>
  </si>
  <si>
    <t>ORD000520</t>
  </si>
  <si>
    <t>ORD002452</t>
  </si>
  <si>
    <t>ORD003184</t>
  </si>
  <si>
    <t>ORD002820</t>
  </si>
  <si>
    <t>ORD000255</t>
  </si>
  <si>
    <t>ORD002288</t>
  </si>
  <si>
    <t>ORD001787</t>
  </si>
  <si>
    <t>ORD000556</t>
  </si>
  <si>
    <t>ORD001621</t>
  </si>
  <si>
    <t>ORD000135</t>
  </si>
  <si>
    <t>ORD001892</t>
  </si>
  <si>
    <t>ORD003556</t>
  </si>
  <si>
    <t>ORD001818</t>
  </si>
  <si>
    <t>ORD002763</t>
  </si>
  <si>
    <t>ORD002998</t>
  </si>
  <si>
    <t>ORD004550</t>
  </si>
  <si>
    <t>ORD002264</t>
  </si>
  <si>
    <t>ORD001584</t>
  </si>
  <si>
    <t>ORD004437</t>
  </si>
  <si>
    <t>ORD004974</t>
  </si>
  <si>
    <t>ORD003341</t>
  </si>
  <si>
    <t>ORD000713</t>
  </si>
  <si>
    <t>ORD004873</t>
  </si>
  <si>
    <t>ORD004239</t>
  </si>
  <si>
    <t>ORD001005</t>
  </si>
  <si>
    <t>ORD003455</t>
  </si>
  <si>
    <t>ORD000336</t>
  </si>
  <si>
    <t>ORD002357</t>
  </si>
  <si>
    <t>ORD002001</t>
  </si>
  <si>
    <t>ORD000662</t>
  </si>
  <si>
    <t>ORD003263</t>
  </si>
  <si>
    <t>ORD001605</t>
  </si>
  <si>
    <t>ORD000892</t>
  </si>
  <si>
    <t>ORD001053</t>
  </si>
  <si>
    <t>ORD002625</t>
  </si>
  <si>
    <t>ORD003939</t>
  </si>
  <si>
    <t>ORD004083</t>
  </si>
  <si>
    <t>ORD004696</t>
  </si>
  <si>
    <t>ORD003160</t>
  </si>
  <si>
    <t>ORD004030</t>
  </si>
  <si>
    <t>ORD001554</t>
  </si>
  <si>
    <t>ORD000399</t>
  </si>
  <si>
    <t>ORD001725</t>
  </si>
  <si>
    <t>ORD002656</t>
  </si>
  <si>
    <t>ORD002381</t>
  </si>
  <si>
    <t>ORD001257</t>
  </si>
  <si>
    <t>ORD001255</t>
  </si>
  <si>
    <t>ORD002247</t>
  </si>
  <si>
    <t>ORD000059</t>
  </si>
  <si>
    <t>ORD000063</t>
  </si>
  <si>
    <t>ORD001155</t>
  </si>
  <si>
    <t>ORD001131</t>
  </si>
  <si>
    <t>ORD002189</t>
  </si>
  <si>
    <t>ORD004158</t>
  </si>
  <si>
    <t>ORD003506</t>
  </si>
  <si>
    <t>ORD001056</t>
  </si>
  <si>
    <t>ORD000440</t>
  </si>
  <si>
    <t>ORD000362</t>
  </si>
  <si>
    <t>ORD003287</t>
  </si>
  <si>
    <t>ORD001819</t>
  </si>
  <si>
    <t>ORD003440</t>
  </si>
  <si>
    <t>ORD004068</t>
  </si>
  <si>
    <t>ORD003606</t>
  </si>
  <si>
    <t>ORD001147</t>
  </si>
  <si>
    <t>ORD004428</t>
  </si>
  <si>
    <t>ORD002291</t>
  </si>
  <si>
    <t>ORD002974</t>
  </si>
  <si>
    <t>ORD002246</t>
  </si>
  <si>
    <t>ORD003619</t>
  </si>
  <si>
    <t>ORD000057</t>
  </si>
  <si>
    <t>ORD000096</t>
  </si>
  <si>
    <t>ORD003128</t>
  </si>
  <si>
    <t>ORD004235</t>
  </si>
  <si>
    <t>ORD000470</t>
  </si>
  <si>
    <t>ORD001067</t>
  </si>
  <si>
    <t>ORD001864</t>
  </si>
  <si>
    <t>ORD002112</t>
  </si>
  <si>
    <t>ORD000205</t>
  </si>
  <si>
    <t>ORD000751</t>
  </si>
  <si>
    <t>ORD000249</t>
  </si>
  <si>
    <t>ORD003364</t>
  </si>
  <si>
    <t>ORD004983</t>
  </si>
  <si>
    <t>ORD001471</t>
  </si>
  <si>
    <t>ORD003414</t>
  </si>
  <si>
    <t>ORD002431</t>
  </si>
  <si>
    <t>ORD003142</t>
  </si>
  <si>
    <t>ORD001171</t>
  </si>
  <si>
    <t>ORD003543</t>
  </si>
  <si>
    <t>ORD000723</t>
  </si>
  <si>
    <t>ORD004616</t>
  </si>
  <si>
    <t>ORD001873</t>
  </si>
  <si>
    <t>ORD003916</t>
  </si>
  <si>
    <t>ORD003988</t>
  </si>
  <si>
    <t>ORD002609</t>
  </si>
  <si>
    <t>ORD004443</t>
  </si>
  <si>
    <t>ORD004027</t>
  </si>
  <si>
    <t>ORD004782</t>
  </si>
  <si>
    <t>ORD003593</t>
  </si>
  <si>
    <t>ORD003281</t>
  </si>
  <si>
    <t>ORD002122</t>
  </si>
  <si>
    <t>ORD002783</t>
  </si>
  <si>
    <t>ORD004850</t>
  </si>
  <si>
    <t>ORD001098</t>
  </si>
  <si>
    <t>ORD001455</t>
  </si>
  <si>
    <t>ORD001129</t>
  </si>
  <si>
    <t>ORD001464</t>
  </si>
  <si>
    <t>ORD004146</t>
  </si>
  <si>
    <t>ORD004416</t>
  </si>
  <si>
    <t>ORD003210</t>
  </si>
  <si>
    <t>ORD004032</t>
  </si>
  <si>
    <t>ORD000747</t>
  </si>
  <si>
    <t>ORD002596</t>
  </si>
  <si>
    <t>ORD001733</t>
  </si>
  <si>
    <t>ORD000443</t>
  </si>
  <si>
    <t>ORD001265</t>
  </si>
  <si>
    <t>ORD002305</t>
  </si>
  <si>
    <t>ORD000159</t>
  </si>
  <si>
    <t>ORD003187</t>
  </si>
  <si>
    <t>ORD004243</t>
  </si>
  <si>
    <t>ORD003613</t>
  </si>
  <si>
    <t>ORD004236</t>
  </si>
  <si>
    <t>ORD001865</t>
  </si>
  <si>
    <t>ORD001175</t>
  </si>
  <si>
    <t>ORD001870</t>
  </si>
  <si>
    <t>ORD002016</t>
  </si>
  <si>
    <t>ORD002236</t>
  </si>
  <si>
    <t>ORD003284</t>
  </si>
  <si>
    <t>ORD003255</t>
  </si>
  <si>
    <t>ORD004434</t>
  </si>
  <si>
    <t>ORD004149</t>
  </si>
  <si>
    <t>ORD004671</t>
  </si>
  <si>
    <t>ORD000090</t>
  </si>
  <si>
    <t>ORD000168</t>
  </si>
  <si>
    <t>ORD004122</t>
  </si>
  <si>
    <t>ORD000689</t>
  </si>
  <si>
    <t>ORD004272</t>
  </si>
  <si>
    <t>ORD004527</t>
  </si>
  <si>
    <t>ORD004608</t>
  </si>
  <si>
    <t>ORD000323</t>
  </si>
  <si>
    <t>ORD002229</t>
  </si>
  <si>
    <t>ORD001089</t>
  </si>
  <si>
    <t>ORD000967</t>
  </si>
  <si>
    <t>ORD000962</t>
  </si>
  <si>
    <t>ORD002529</t>
  </si>
  <si>
    <t>ORD002841</t>
  </si>
  <si>
    <t>ORD003968</t>
  </si>
  <si>
    <t>ORD000907</t>
  </si>
  <si>
    <t>ORD001411</t>
  </si>
  <si>
    <t>ORD003981</t>
  </si>
  <si>
    <t>ORD000777</t>
  </si>
  <si>
    <t>ORD003473</t>
  </si>
  <si>
    <t>ORD003344</t>
  </si>
  <si>
    <t>ORD004661</t>
  </si>
  <si>
    <t>ORD003903</t>
  </si>
  <si>
    <t>ORD000017</t>
  </si>
  <si>
    <t>ORD004943</t>
  </si>
  <si>
    <t>ORD004347</t>
  </si>
  <si>
    <t>ORD003816</t>
  </si>
  <si>
    <t>ORD000908</t>
  </si>
  <si>
    <t>ORD004155</t>
  </si>
  <si>
    <t>ORD004604</t>
  </si>
  <si>
    <t>ORD003644</t>
  </si>
  <si>
    <t>ORD002764</t>
  </si>
  <si>
    <t>ORD004004</t>
  </si>
  <si>
    <t>ORD002177</t>
  </si>
  <si>
    <t>ORD002835</t>
  </si>
  <si>
    <t>ORD003567</t>
  </si>
  <si>
    <t>ORD003326</t>
  </si>
  <si>
    <t>ORD001403</t>
  </si>
  <si>
    <t>ORD004094</t>
  </si>
  <si>
    <t>ORD004565</t>
  </si>
  <si>
    <t>ORD003999</t>
  </si>
  <si>
    <t>ORD002048</t>
  </si>
  <si>
    <t>ORD004185</t>
  </si>
  <si>
    <t>ORD000612</t>
  </si>
  <si>
    <t>ORD004026</t>
  </si>
  <si>
    <t>ORD000989</t>
  </si>
  <si>
    <t>ORD004253</t>
  </si>
  <si>
    <t>ORD003881</t>
  </si>
  <si>
    <t>ORD003075</t>
  </si>
  <si>
    <t>ORD004124</t>
  </si>
  <si>
    <t>ORD004054</t>
  </si>
  <si>
    <t>ORD003228</t>
  </si>
  <si>
    <t>ORD001432</t>
  </si>
  <si>
    <t>ORD003064</t>
  </si>
  <si>
    <t>ORD004688</t>
  </si>
  <si>
    <t>ORD001613</t>
  </si>
  <si>
    <t>ORD001008</t>
  </si>
  <si>
    <t>ORD002843</t>
  </si>
  <si>
    <t>ORD001542</t>
  </si>
  <si>
    <t>ORD000883</t>
  </si>
  <si>
    <t>ORD003817</t>
  </si>
  <si>
    <t>ORD002154</t>
  </si>
  <si>
    <t>ORD003966</t>
  </si>
  <si>
    <t>ORD003309</t>
  </si>
  <si>
    <t>ORD001547</t>
  </si>
  <si>
    <t>ORD000716</t>
  </si>
  <si>
    <t>ORD003752</t>
  </si>
  <si>
    <t>ORD001121</t>
  </si>
  <si>
    <t>ORD001612</t>
  </si>
  <si>
    <t>ORD003692</t>
  </si>
  <si>
    <t>ORD002339</t>
  </si>
  <si>
    <t>ORD002903</t>
  </si>
  <si>
    <t>ORD001288</t>
  </si>
  <si>
    <t>ORD001876</t>
  </si>
  <si>
    <t>ORD002214</t>
  </si>
  <si>
    <t>ORD004408</t>
  </si>
  <si>
    <t>ORD000207</t>
  </si>
  <si>
    <t>ORD003993</t>
  </si>
  <si>
    <t>ORD003769</t>
  </si>
  <si>
    <t>ORD001366</t>
  </si>
  <si>
    <t>ORD004011</t>
  </si>
  <si>
    <t>ORD002090</t>
  </si>
  <si>
    <t>ORD002028</t>
  </si>
  <si>
    <t>ORD000148</t>
  </si>
  <si>
    <t>ORD002017</t>
  </si>
  <si>
    <t>ORD004580</t>
  </si>
  <si>
    <t>ORD004962</t>
  </si>
  <si>
    <t>ORD004970</t>
  </si>
  <si>
    <t>ORD000011</t>
  </si>
  <si>
    <t>ORD003565</t>
  </si>
  <si>
    <t>ORD001135</t>
  </si>
  <si>
    <t>ORD003312</t>
  </si>
  <si>
    <t>ORD004624</t>
  </si>
  <si>
    <t>ORD001734</t>
  </si>
  <si>
    <t>ORD004492</t>
  </si>
  <si>
    <t>ORD003638</t>
  </si>
  <si>
    <t>ORD001806</t>
  </si>
  <si>
    <t>ORD002883</t>
  </si>
  <si>
    <t>ORD000975</t>
  </si>
  <si>
    <t>ORD002194</t>
  </si>
  <si>
    <t>ORD001517</t>
  </si>
  <si>
    <t>ORD002053</t>
  </si>
  <si>
    <t>ORD002205</t>
  </si>
  <si>
    <t>ORD003879</t>
  </si>
  <si>
    <t>ORD000309</t>
  </si>
  <si>
    <t>ORD004359</t>
  </si>
  <si>
    <t>ORD003744</t>
  </si>
  <si>
    <t>ORD001915</t>
  </si>
  <si>
    <t>ORD004250</t>
  </si>
  <si>
    <t>ORD001185</t>
  </si>
  <si>
    <t>ORD002188</t>
  </si>
  <si>
    <t>ORD002220</t>
  </si>
  <si>
    <t>ORD001784</t>
  </si>
  <si>
    <t>ORD004462</t>
  </si>
  <si>
    <t>ORD000834</t>
  </si>
  <si>
    <t>ORD003353</t>
  </si>
  <si>
    <t>ORD000858</t>
  </si>
  <si>
    <t>ORD000744</t>
  </si>
  <si>
    <t>ORD000277</t>
  </si>
  <si>
    <t>ORD003777</t>
  </si>
  <si>
    <t>ORD000629</t>
  </si>
  <si>
    <t>ORD002951</t>
  </si>
  <si>
    <t>ORD004340</t>
  </si>
  <si>
    <t>ORD000995</t>
  </si>
  <si>
    <t>ORD003066</t>
  </si>
  <si>
    <t>ORD004670</t>
  </si>
  <si>
    <t>ORD004621</t>
  </si>
  <si>
    <t>ORD003647</t>
  </si>
  <si>
    <t>ORD000980</t>
  </si>
  <si>
    <t>ORD003820</t>
  </si>
  <si>
    <t>ORD001936</t>
  </si>
  <si>
    <t>ORD001302</t>
  </si>
  <si>
    <t>ORD001829</t>
  </si>
  <si>
    <t>ORD003433</t>
  </si>
  <si>
    <t>ORD001662</t>
  </si>
  <si>
    <t>ORD000658</t>
  </si>
  <si>
    <t>ORD003483</t>
  </si>
  <si>
    <t>ORD003851</t>
  </si>
  <si>
    <t>ORD004466</t>
  </si>
  <si>
    <t>ORD002925</t>
  </si>
  <si>
    <t>ORD003282</t>
  </si>
  <si>
    <t>ORD003766</t>
  </si>
  <si>
    <t>ORD001051</t>
  </si>
  <si>
    <t>ORD003426</t>
  </si>
  <si>
    <t>ORD004177</t>
  </si>
  <si>
    <t>ORD001278</t>
  </si>
  <si>
    <t>ORD001416</t>
  </si>
  <si>
    <t>ORD000922</t>
  </si>
  <si>
    <t>ORD001707</t>
  </si>
  <si>
    <t>ORD000089</t>
  </si>
  <si>
    <t>ORD000632</t>
  </si>
  <si>
    <t>ORD003251</t>
  </si>
  <si>
    <t>ORD001808</t>
  </si>
  <si>
    <t>ORD004553</t>
  </si>
  <si>
    <t>ORD003611</t>
  </si>
  <si>
    <t>ORD004939</t>
  </si>
  <si>
    <t>ORD004583</t>
  </si>
  <si>
    <t>ORD001338</t>
  </si>
  <si>
    <t>ORD001446</t>
  </si>
  <si>
    <t>ORD000429</t>
  </si>
  <si>
    <t>ORD004407</t>
  </si>
  <si>
    <t>ORD000005</t>
  </si>
  <si>
    <t>ORD001086</t>
  </si>
  <si>
    <t>ORD001489</t>
  </si>
  <si>
    <t>ORD000483</t>
  </si>
  <si>
    <t>ORD004241</t>
  </si>
  <si>
    <t>ORD000352</t>
  </si>
  <si>
    <t>ORD003054</t>
  </si>
  <si>
    <t>ORD000505</t>
  </si>
  <si>
    <t>ORD003484</t>
  </si>
  <si>
    <t>ORD003321</t>
  </si>
  <si>
    <t>ORD002491</t>
  </si>
  <si>
    <t>ORD001341</t>
  </si>
  <si>
    <t>ORD001770</t>
  </si>
  <si>
    <t>ORD002459</t>
  </si>
  <si>
    <t>ORD003133</t>
  </si>
  <si>
    <t>ORD004854</t>
  </si>
  <si>
    <t>ORD001132</t>
  </si>
  <si>
    <t>ORD001404</t>
  </si>
  <si>
    <t>ORD002717</t>
  </si>
  <si>
    <t>ORD004520</t>
  </si>
  <si>
    <t>ORD003846</t>
  </si>
  <si>
    <t>ORD000932</t>
  </si>
  <si>
    <t>ORD004895</t>
  </si>
  <si>
    <t>ORD003860</t>
  </si>
  <si>
    <t>ORD001841</t>
  </si>
  <si>
    <t>ORD002072</t>
  </si>
  <si>
    <t>ORD004175</t>
  </si>
  <si>
    <t>ORD004804</t>
  </si>
  <si>
    <t>ORD000749</t>
  </si>
  <si>
    <t>ORD003845</t>
  </si>
  <si>
    <t>ORD003926</t>
  </si>
  <si>
    <t>ORD000461</t>
  </si>
  <si>
    <t>ORD004598</t>
  </si>
  <si>
    <t>ORD001975</t>
  </si>
  <si>
    <t>ORD000659</t>
  </si>
  <si>
    <t>ORD004382</t>
  </si>
  <si>
    <t>ORD004356</t>
  </si>
  <si>
    <t>ORD002088</t>
  </si>
  <si>
    <t>ORD002512</t>
  </si>
  <si>
    <t>ORD003394</t>
  </si>
  <si>
    <t>ORD004716</t>
  </si>
  <si>
    <t>ORD003405</t>
  </si>
  <si>
    <t>ORD003055</t>
  </si>
  <si>
    <t>ORD000798</t>
  </si>
  <si>
    <t>ORD000631</t>
  </si>
  <si>
    <t>ORD001340</t>
  </si>
  <si>
    <t>ORD001675</t>
  </si>
  <si>
    <t>ORD003000</t>
  </si>
  <si>
    <t>ORD003212</t>
  </si>
  <si>
    <t>ORD000985</t>
  </si>
  <si>
    <t>ORD002135</t>
  </si>
  <si>
    <t>ORD002089</t>
  </si>
  <si>
    <t>ORD002701</t>
  </si>
  <si>
    <t>ORD003035</t>
  </si>
  <si>
    <t>ORD001420</t>
  </si>
  <si>
    <t>ORD004941</t>
  </si>
  <si>
    <t>ORD000661</t>
  </si>
  <si>
    <t>ORD001909</t>
  </si>
  <si>
    <t>ORD003586</t>
  </si>
  <si>
    <t>ORD002775</t>
  </si>
  <si>
    <t>ORD001145</t>
  </si>
  <si>
    <t>ORD004681</t>
  </si>
  <si>
    <t>ORD002503</t>
  </si>
  <si>
    <t>ORD001297</t>
  </si>
  <si>
    <t>ORD003365</t>
  </si>
  <si>
    <t>ORD004103</t>
  </si>
  <si>
    <t>ORD002243</t>
  </si>
  <si>
    <t>ORD000781</t>
  </si>
  <si>
    <t>ORD000795</t>
  </si>
  <si>
    <t>ORD003334</t>
  </si>
  <si>
    <t>ORD002116</t>
  </si>
  <si>
    <t>ORD000360</t>
  </si>
  <si>
    <t>ORD003096</t>
  </si>
  <si>
    <t>ORD004441</t>
  </si>
  <si>
    <t>ORD002888</t>
  </si>
  <si>
    <t>ORD000279</t>
  </si>
  <si>
    <t>ORD003125</t>
  </si>
  <si>
    <t>ORD001597</t>
  </si>
  <si>
    <t>ORD002569</t>
  </si>
  <si>
    <t>ORD000054</t>
  </si>
  <si>
    <t>ORD002374</t>
  </si>
  <si>
    <t>ORD000274</t>
  </si>
  <si>
    <t>ORD004522</t>
  </si>
  <si>
    <t>ORD004125</t>
  </si>
  <si>
    <t>ORD000969</t>
  </si>
  <si>
    <t>ORD000837</t>
  </si>
  <si>
    <t>ORD002008</t>
  </si>
  <si>
    <t>ORD004247</t>
  </si>
  <si>
    <t>ORD002020</t>
  </si>
  <si>
    <t>ORD003170</t>
  </si>
  <si>
    <t>ORD000561</t>
  </si>
  <si>
    <t>ORD004212</t>
  </si>
  <si>
    <t>ORD004770</t>
  </si>
  <si>
    <t>ORD003215</t>
  </si>
  <si>
    <t>ORD001744</t>
  </si>
  <si>
    <t>ORD000163</t>
  </si>
  <si>
    <t>ORD003760</t>
  </si>
  <si>
    <t>ORD003322</t>
  </si>
  <si>
    <t>ORD003892</t>
  </si>
  <si>
    <t>ORD000085</t>
  </si>
  <si>
    <t>ORD002453</t>
  </si>
  <si>
    <t>ORD004014</t>
  </si>
  <si>
    <t>ORD001826</t>
  </si>
  <si>
    <t>ORD000165</t>
  </si>
  <si>
    <t>ORD001020</t>
  </si>
  <si>
    <t>ORD001315</t>
  </si>
  <si>
    <t>ORD004052</t>
  </si>
  <si>
    <t>ORD004301</t>
  </si>
  <si>
    <t>ORD000776</t>
  </si>
  <si>
    <t>ORD004191</t>
  </si>
  <si>
    <t>ORD003105</t>
  </si>
  <si>
    <t>ORD002308</t>
  </si>
  <si>
    <t>ORD001996</t>
  </si>
  <si>
    <t>ORD003931</t>
  </si>
  <si>
    <t>ORD002588</t>
  </si>
  <si>
    <t>ORD004564</t>
  </si>
  <si>
    <t>ORD000687</t>
  </si>
  <si>
    <t>ORD001387</t>
  </si>
  <si>
    <t>ORD003819</t>
  </si>
  <si>
    <t>ORD002115</t>
  </si>
  <si>
    <t>ORD003460</t>
  </si>
  <si>
    <t>ORD002920</t>
  </si>
  <si>
    <t>ORD001896</t>
  </si>
  <si>
    <t>ORD004521</t>
  </si>
  <si>
    <t>ORD002892</t>
  </si>
  <si>
    <t>ORD001994</t>
  </si>
  <si>
    <t>ORD002525</t>
  </si>
  <si>
    <t>ORD003855</t>
  </si>
  <si>
    <t>ORD002950</t>
  </si>
  <si>
    <t>ORD004773</t>
  </si>
  <si>
    <t>ORD003076</t>
  </si>
  <si>
    <t>ORD003600</t>
  </si>
  <si>
    <t>ORD004947</t>
  </si>
  <si>
    <t>ORD000510</t>
  </si>
  <si>
    <t>ORD002338</t>
  </si>
  <si>
    <t>ORD003206</t>
  </si>
  <si>
    <t>ORD001534</t>
  </si>
  <si>
    <t>ORD003095</t>
  </si>
  <si>
    <t>ORD000583</t>
  </si>
  <si>
    <t>ORD001575</t>
  </si>
  <si>
    <t>ORD002487</t>
  </si>
  <si>
    <t>ORD004837</t>
  </si>
  <si>
    <t>ORD003022</t>
  </si>
  <si>
    <t>ORD001970</t>
  </si>
  <si>
    <t>ORD002662</t>
  </si>
  <si>
    <t>ORD000312</t>
  </si>
  <si>
    <t>ORD004055</t>
  </si>
  <si>
    <t>ORD000419</t>
  </si>
  <si>
    <t>ORD003689</t>
  </si>
  <si>
    <t>ORD002435</t>
  </si>
  <si>
    <t>ORD004432</t>
  </si>
  <si>
    <t>ORD003141</t>
  </si>
  <si>
    <t>ORD003602</t>
  </si>
  <si>
    <t>ORD003717</t>
  </si>
  <si>
    <t>ORD004046</t>
  </si>
  <si>
    <t>ORD002334</t>
  </si>
  <si>
    <t>ORD002402</t>
  </si>
  <si>
    <t>ORD003219</t>
  </si>
  <si>
    <t>ORD001972</t>
  </si>
  <si>
    <t>ORD004936</t>
  </si>
  <si>
    <t>ORD004562</t>
  </si>
  <si>
    <t>ORD000306</t>
  </si>
  <si>
    <t>ORD000083</t>
  </si>
  <si>
    <t>ORD000282</t>
  </si>
  <si>
    <t>ORD004147</t>
  </si>
  <si>
    <t>ORD004529</t>
  </si>
  <si>
    <t>ORD004258</t>
  </si>
  <si>
    <t>ORD000935</t>
  </si>
  <si>
    <t>ORD002927</t>
  </si>
  <si>
    <t>ORD000088</t>
  </si>
  <si>
    <t>ORD001038</t>
  </si>
  <si>
    <t>ORD000815</t>
  </si>
  <si>
    <t>ORD001551</t>
  </si>
  <si>
    <t>ORD002272</t>
  </si>
  <si>
    <t>ORD001955</t>
  </si>
  <si>
    <t>ORD000978</t>
  </si>
  <si>
    <t>ORD004763</t>
  </si>
  <si>
    <t>ORD000968</t>
  </si>
  <si>
    <t>ORD000457</t>
  </si>
  <si>
    <t>ORD002766</t>
  </si>
  <si>
    <t>ORD000064</t>
  </si>
  <si>
    <t>ORD000142</t>
  </si>
  <si>
    <t>ORD004438</t>
  </si>
  <si>
    <t>ORD000893</t>
  </si>
  <si>
    <t>ORD001133</t>
  </si>
  <si>
    <t>ORD001850</t>
  </si>
  <si>
    <t>ORD001428</t>
  </si>
  <si>
    <t>ORD001473</t>
  </si>
  <si>
    <t>ORD002255</t>
  </si>
  <si>
    <t>ORD001637</t>
  </si>
  <si>
    <t>ORD000094</t>
  </si>
  <si>
    <t>ORD000728</t>
  </si>
  <si>
    <t>ORD000882</t>
  </si>
  <si>
    <t>ORD000456</t>
  </si>
  <si>
    <t>ORD001902</t>
  </si>
  <si>
    <t>ORD000598</t>
  </si>
  <si>
    <t>ORD002399</t>
  </si>
  <si>
    <t>ORD000577</t>
  </si>
  <si>
    <t>ORD000808</t>
  </si>
  <si>
    <t>ORD003671</t>
  </si>
  <si>
    <t>ORD002632</t>
  </si>
  <si>
    <t>ORD000921</t>
  </si>
  <si>
    <t>ORD004442</t>
  </si>
  <si>
    <t>ORD001614</t>
  </si>
  <si>
    <t>ORD002919</t>
  </si>
  <si>
    <t>ORD000650</t>
  </si>
  <si>
    <t>ORD002109</t>
  </si>
  <si>
    <t>ORD001152</t>
  </si>
  <si>
    <t>ORD004423</t>
  </si>
  <si>
    <t>ORD000023</t>
  </si>
  <si>
    <t>ORD002574</t>
  </si>
  <si>
    <t>ORD002501</t>
  </si>
  <si>
    <t>ORD003554</t>
  </si>
  <si>
    <t>ORD000373</t>
  </si>
  <si>
    <t>ORD003905</t>
  </si>
  <si>
    <t>ORD001983</t>
  </si>
  <si>
    <t>ORD003059</t>
  </si>
  <si>
    <t>ORD000613</t>
  </si>
  <si>
    <t>ORD001399</t>
  </si>
  <si>
    <t>ORD001786</t>
  </si>
  <si>
    <t>ORD000488</t>
  </si>
  <si>
    <t>ORD001905</t>
  </si>
  <si>
    <t>ORD003941</t>
  </si>
  <si>
    <t>ORD002111</t>
  </si>
  <si>
    <t>ORD003067</t>
  </si>
  <si>
    <t>ORD002328</t>
  </si>
  <si>
    <t>ORD001335</t>
  </si>
  <si>
    <t>ORD000705</t>
  </si>
  <si>
    <t>ORD001383</t>
  </si>
  <si>
    <t>ORD000067</t>
  </si>
  <si>
    <t>ORD002245</t>
  </si>
  <si>
    <t>ORD004123</t>
  </si>
  <si>
    <t>ORD002725</t>
  </si>
  <si>
    <t>ORD000803</t>
  </si>
  <si>
    <t>ORD002918</t>
  </si>
  <si>
    <t>ORD002411</t>
  </si>
  <si>
    <t>ORD003711</t>
  </si>
  <si>
    <t>ORD003214</t>
  </si>
  <si>
    <t>ORD003347</t>
  </si>
  <si>
    <t>ORD000589</t>
  </si>
  <si>
    <t>ORD003682</t>
  </si>
  <si>
    <t>ORD003338</t>
  </si>
  <si>
    <t>ORD004692</t>
  </si>
  <si>
    <t>ORD000987</t>
  </si>
  <si>
    <t>ORD000856</t>
  </si>
  <si>
    <t>ORD002668</t>
  </si>
  <si>
    <t>ORD001700</t>
  </si>
  <si>
    <t>ORD001198</t>
  </si>
  <si>
    <t>ORD000203</t>
  </si>
  <si>
    <t>ORD004110</t>
  </si>
  <si>
    <t>ORD001400</t>
  </si>
  <si>
    <t>ORD002542</t>
  </si>
  <si>
    <t>ORD004140</t>
  </si>
  <si>
    <t>ORD002578</t>
  </si>
  <si>
    <t>ORD002094</t>
  </si>
  <si>
    <t>ORD002740</t>
  </si>
  <si>
    <t>ORD003399</t>
  </si>
  <si>
    <t>ORD004714</t>
  </si>
  <si>
    <t>ORD004145</t>
  </si>
  <si>
    <t>ORD004750</t>
  </si>
  <si>
    <t>ORD002284</t>
  </si>
  <si>
    <t>ORD001176</t>
  </si>
  <si>
    <t>ORD001556</t>
  </si>
  <si>
    <t>ORD001702</t>
  </si>
  <si>
    <t>ORD004176</t>
  </si>
  <si>
    <t>ORD002718</t>
  </si>
  <si>
    <t>ORD001368</t>
  </si>
  <si>
    <t>ORD001127</t>
  </si>
  <si>
    <t>ORD001069</t>
  </si>
  <si>
    <t>ORD001760</t>
  </si>
  <si>
    <t>ORD000585</t>
  </si>
  <si>
    <t>ORD004803</t>
  </si>
  <si>
    <t>ORD000697</t>
  </si>
  <si>
    <t>ORD000570</t>
  </si>
  <si>
    <t>ORD002872</t>
  </si>
  <si>
    <t>ORD000112</t>
  </si>
  <si>
    <t>ORD000961</t>
  </si>
  <si>
    <t>ORD003398</t>
  </si>
  <si>
    <t>ORD003204</t>
  </si>
  <si>
    <t>ORD003676</t>
  </si>
  <si>
    <t>ORD004248</t>
  </si>
  <si>
    <t>ORD001300</t>
  </si>
  <si>
    <t>ORD004478</t>
  </si>
  <si>
    <t>ORD003678</t>
  </si>
  <si>
    <t>ORD002219</t>
  </si>
  <si>
    <t>ORD000200</t>
  </si>
  <si>
    <t>ORD003927</t>
  </si>
  <si>
    <t>ORD000383</t>
  </si>
  <si>
    <t>ORD000028</t>
  </si>
  <si>
    <t>ORD004697</t>
  </si>
  <si>
    <t>ORD004797</t>
  </si>
  <si>
    <t>ORD004394</t>
  </si>
  <si>
    <t>ORD003461</t>
  </si>
  <si>
    <t>ORD003969</t>
  </si>
  <si>
    <t>ORD000582</t>
  </si>
  <si>
    <t>ORD003733</t>
  </si>
  <si>
    <t>ORD003336</t>
  </si>
  <si>
    <t>ORD003642</t>
  </si>
  <si>
    <t>ORD000350</t>
  </si>
  <si>
    <t>ORD002751</t>
  </si>
  <si>
    <t>ORD004570</t>
  </si>
  <si>
    <t>ORD004299</t>
  </si>
  <si>
    <t>ORD004536</t>
  </si>
  <si>
    <t>ORD003578</t>
  </si>
  <si>
    <t>ORD004086</t>
  </si>
  <si>
    <t>ORD003645</t>
  </si>
  <si>
    <t>ORD000789</t>
  </si>
  <si>
    <t>ORD003935</t>
  </si>
  <si>
    <t>ORD003073</t>
  </si>
  <si>
    <t>ORD004166</t>
  </si>
  <si>
    <t>ORD000840</t>
  </si>
  <si>
    <t>ORD001833</t>
  </si>
  <si>
    <t>ORD004980</t>
  </si>
  <si>
    <t>ORD003953</t>
  </si>
  <si>
    <t>ORD002249</t>
  </si>
  <si>
    <t>ORD002577</t>
  </si>
  <si>
    <t>ORD002170</t>
  </si>
  <si>
    <t>ORD002860</t>
  </si>
  <si>
    <t>ORD004724</t>
  </si>
  <si>
    <t>ORD003138</t>
  </si>
  <si>
    <t>ORD004511</t>
  </si>
  <si>
    <t>ORD000478</t>
  </si>
  <si>
    <t>ORD001002</t>
  </si>
  <si>
    <t>ORD000127</t>
  </si>
  <si>
    <t>ORD003081</t>
  </si>
  <si>
    <t>ORD001447</t>
  </si>
  <si>
    <t>ORD003205</t>
  </si>
  <si>
    <t>ORD003629</t>
  </si>
  <si>
    <t>ORD003016</t>
  </si>
  <si>
    <t>ORD002554</t>
  </si>
  <si>
    <t>ORD002031</t>
  </si>
  <si>
    <t>ORD004172</t>
  </si>
  <si>
    <t>ORD004352</t>
  </si>
  <si>
    <t>ORD004597</t>
  </si>
  <si>
    <t>ORD000738</t>
  </si>
  <si>
    <t>ORD003703</t>
  </si>
  <si>
    <t>ORD000509</t>
  </si>
  <si>
    <t>ORD002077</t>
  </si>
  <si>
    <t>ORD003447</t>
  </si>
  <si>
    <t>ORD000160</t>
  </si>
  <si>
    <t>ORD001956</t>
  </si>
  <si>
    <t>ORD000170</t>
  </si>
  <si>
    <t>ORD003716</t>
  </si>
  <si>
    <t>ORD000288</t>
  </si>
  <si>
    <t>ORD003978</t>
  </si>
  <si>
    <t>ORD002818</t>
  </si>
  <si>
    <t>ORD001092</t>
  </si>
  <si>
    <t>ORD001201</t>
  </si>
  <si>
    <t>ORD004602</t>
  </si>
  <si>
    <t>ORD004075</t>
  </si>
  <si>
    <t>ORD000329</t>
  </si>
  <si>
    <t>ORD000970</t>
  </si>
  <si>
    <t>ORD003796</t>
  </si>
  <si>
    <t>ORD001572</t>
  </si>
  <si>
    <t>ORD002160</t>
  </si>
  <si>
    <t>ORD002500</t>
  </si>
  <si>
    <t>ORD002321</t>
  </si>
  <si>
    <t>ORD004574</t>
  </si>
  <si>
    <t>ORD003114</t>
  </si>
  <si>
    <t>ORD002948</t>
  </si>
  <si>
    <t>ORD002619</t>
  </si>
  <si>
    <t>ORD003153</t>
  </si>
  <si>
    <t>ORD001436</t>
  </si>
  <si>
    <t>ORD002425</t>
  </si>
  <si>
    <t>ORD004333</t>
  </si>
  <si>
    <t>ORD000177</t>
  </si>
  <si>
    <t>ORD001211</t>
  </si>
  <si>
    <t>ORD002539</t>
  </si>
  <si>
    <t>ORD000552</t>
  </si>
  <si>
    <t>ORD003272</t>
  </si>
  <si>
    <t>ORD000626</t>
  </si>
  <si>
    <t>ORD000787</t>
  </si>
  <si>
    <t>ORD004270</t>
  </si>
  <si>
    <t>ORD002932</t>
  </si>
  <si>
    <t>ORD001842</t>
  </si>
  <si>
    <t>ORD000240</t>
  </si>
  <si>
    <t>ORD002732</t>
  </si>
  <si>
    <t>ORD001378</t>
  </si>
  <si>
    <t>ORD002904</t>
  </si>
  <si>
    <t>ORD003858</t>
  </si>
  <si>
    <t>ORD002967</t>
  </si>
  <si>
    <t>ORD003057</t>
  </si>
  <si>
    <t>ORD001488</t>
  </si>
  <si>
    <t>ORD000014</t>
  </si>
  <si>
    <t>ORD001232</t>
  </si>
  <si>
    <t>ORD003126</t>
  </si>
  <si>
    <t>ORD004998</t>
  </si>
  <si>
    <t>ORD004374</t>
  </si>
  <si>
    <t>ORD004361</t>
  </si>
  <si>
    <t>ORD003584</t>
  </si>
  <si>
    <t>ORD004043</t>
  </si>
  <si>
    <t>ORD002013</t>
  </si>
  <si>
    <t>ORD001225</t>
  </si>
  <si>
    <t>ORD003856</t>
  </si>
  <si>
    <t>ORD004263</t>
  </si>
  <si>
    <t>ORD004971</t>
  </si>
  <si>
    <t>ORD001879</t>
  </si>
  <si>
    <t>ORD003331</t>
  </si>
  <si>
    <t>ORD004958</t>
  </si>
  <si>
    <t>ORD000463</t>
  </si>
  <si>
    <t>ORD004114</t>
  </si>
  <si>
    <t>ORD003295</t>
  </si>
  <si>
    <t>ORD002193</t>
  </si>
  <si>
    <t>Visible</t>
  </si>
  <si>
    <t>Slicers: click a button to filter every sheet (Ctrl+click = multi-select, funnel-X icon = clear). Works together with the Year / Category / State dropdowns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</si>
</sst>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\₹#,##0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6"/>
      <color rgb="FF1F2A44"/>
      <name val="Arial"/>
    </font>
    <font>
      <i/>
      <sz val="11"/>
      <color rgb="FF6B7686"/>
      <name val="Arial"/>
    </font>
    <font>
      <b/>
      <sz val="12"/>
      <color rgb="FF4F46E5"/>
      <name val="Arial"/>
    </font>
    <font>
      <i/>
      <sz val="11"/>
      <name val="Arial"/>
    </font>
    <font>
      <b/>
      <sz val="20"/>
      <color rgb="FFFFFFFF"/>
      <name val="Arial"/>
    </font>
    <font>
      <b/>
      <sz val="11"/>
      <name val="Arial"/>
    </font>
    <font>
      <b/>
      <sz val="11"/>
      <color rgb="FF0000FF"/>
      <name val="Arial"/>
    </font>
    <font>
      <sz val="8"/>
      <color rgb="FF999999"/>
      <name val="Arial"/>
    </font>
    <font>
      <sz val="9"/>
      <color rgb="FF6B7686"/>
      <name val="Arial"/>
    </font>
    <font>
      <b/>
      <u/>
      <sz val="16"/>
      <color theme="2" tint="-0.89999084444715716"/>
      <name val="Arial"/>
      <family val="2"/>
    </font>
    <font>
      <b/>
      <i/>
      <sz val="11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EF1FA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9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49" fontId="0" fillId="0" borderId="0" xfId="0" applyNumberFormat="1"/>
    <xf numFmtId="0" fontId="5" fillId="0" borderId="0" xfId="0" applyFont="1"/>
    <xf numFmtId="9" fontId="0" fillId="0" borderId="0" xfId="0" applyNumberFormat="1"/>
    <xf numFmtId="164" fontId="0" fillId="0" borderId="0" xfId="0" applyNumberFormat="1"/>
    <xf numFmtId="0" fontId="8" fillId="4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/>
    <xf numFmtId="166" fontId="2" fillId="3" borderId="0" xfId="0" applyNumberFormat="1" applyFont="1" applyFill="1" applyAlignment="1">
      <alignment horizontal="center"/>
    </xf>
    <xf numFmtId="0" fontId="0" fillId="3" borderId="0" xfId="0" applyFill="1"/>
    <xf numFmtId="2" fontId="2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1" Type="http://schemas.microsoft.com/office/2007/relationships/slicerCache" Target="slicerCaches/slicerCache1.xml"/><Relationship Id="rId22" Type="http://schemas.microsoft.com/office/2007/relationships/slicerCache" Target="slicerCaches/slicerCache2.xml"/><Relationship Id="rId23" Type="http://schemas.microsoft.com/office/2007/relationships/slicerCache" Target="slicerCaches/slicerCach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Sales!$C$5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Sales!$A$6:$A$26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Sales!$C$6:$C$26</c:f>
              <c:numCache>
                <c:formatCode>#,##0</c:formatCode>
                <c:ptCount val="21"/>
                <c:pt idx="0">
                  <c:v>1470563.350000001</c:v>
                </c:pt>
                <c:pt idx="1">
                  <c:v>1212539.8500000001</c:v>
                </c:pt>
                <c:pt idx="2">
                  <c:v>1706082.2000000004</c:v>
                </c:pt>
                <c:pt idx="3">
                  <c:v>1389047.0000000002</c:v>
                </c:pt>
                <c:pt idx="4">
                  <c:v>1694242.8500000003</c:v>
                </c:pt>
                <c:pt idx="5">
                  <c:v>1448850.9999999993</c:v>
                </c:pt>
                <c:pt idx="6">
                  <c:v>1639832.1500000013</c:v>
                </c:pt>
                <c:pt idx="7">
                  <c:v>1440786.9000000006</c:v>
                </c:pt>
                <c:pt idx="8">
                  <c:v>1530080.4999999991</c:v>
                </c:pt>
                <c:pt idx="9">
                  <c:v>1550397.800000001</c:v>
                </c:pt>
                <c:pt idx="10">
                  <c:v>1500454.7500000002</c:v>
                </c:pt>
                <c:pt idx="11">
                  <c:v>1350451.95</c:v>
                </c:pt>
                <c:pt idx="12">
                  <c:v>1559447.1</c:v>
                </c:pt>
                <c:pt idx="13">
                  <c:v>1061380.6999999997</c:v>
                </c:pt>
                <c:pt idx="14">
                  <c:v>1496488.0499999998</c:v>
                </c:pt>
                <c:pt idx="15">
                  <c:v>1265460.0000000007</c:v>
                </c:pt>
                <c:pt idx="16">
                  <c:v>1582529.2500000005</c:v>
                </c:pt>
                <c:pt idx="17">
                  <c:v>1495422.8000000014</c:v>
                </c:pt>
                <c:pt idx="18">
                  <c:v>1646083.8000000003</c:v>
                </c:pt>
                <c:pt idx="19">
                  <c:v>1462949.7500000007</c:v>
                </c:pt>
                <c:pt idx="20">
                  <c:v>1371572.9500000004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B7-409E-8C48-73620AF0E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Sales!$C$30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38000"/>
                  </a:schemeClr>
                </a:glow>
                <a:softEdge rad="31750"/>
              </a:effectLst>
            </c:spPr>
            <c:extLst>
              <c:ext xmlns:c16="http://schemas.microsoft.com/office/drawing/2014/chart" uri="{C3380CC4-5D6E-409C-BE32-E72D297353CC}">
                <c16:uniqueId val="{00000000-BCBB-494E-B961-B0BA5E458D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1-BCBB-494E-B961-B0BA5E458D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2-BCBB-494E-B961-B0BA5E458D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BB-494E-B961-B0BA5E458D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softEdge rad="12700"/>
              </a:effectLst>
            </c:spPr>
            <c:extLst>
              <c:ext xmlns:c16="http://schemas.microsoft.com/office/drawing/2014/chart" uri="{C3380CC4-5D6E-409C-BE32-E72D297353CC}">
                <c16:uniqueId val="{00000004-BCBB-494E-B961-B0BA5E458D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Sales!$A$31:$A$36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Sales!$C$31:$C$36</c:f>
              <c:numCache>
                <c:formatCode>#,##0</c:formatCode>
                <c:ptCount val="6"/>
                <c:pt idx="0">
                  <c:v>15609511.350000031</c:v>
                </c:pt>
                <c:pt idx="1">
                  <c:v>7516883.5499999933</c:v>
                </c:pt>
                <c:pt idx="2">
                  <c:v>2995938.4999999981</c:v>
                </c:pt>
                <c:pt idx="3">
                  <c:v>1904279.3000000017</c:v>
                </c:pt>
                <c:pt idx="4">
                  <c:v>1600074.9500000009</c:v>
                </c:pt>
                <c:pt idx="5">
                  <c:v>1247977.0500000014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B-4662-ABAA-111D8D349C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 vs Net Profit by Month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Profitability!$C$5</c:f>
              <c:strCache>
                <c:ptCount val="1"/>
                <c:pt idx="0">
                  <c:v>Gross Profit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Profitability!$A$6:$A$26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Profitability!$C$6:$C$26</c:f>
              <c:numCache>
                <c:formatCode>#,##0</c:formatCode>
                <c:ptCount val="21"/>
                <c:pt idx="0">
                  <c:v>439953.34999999974</c:v>
                </c:pt>
                <c:pt idx="1">
                  <c:v>388969.85000000015</c:v>
                </c:pt>
                <c:pt idx="2">
                  <c:v>541152.19999999972</c:v>
                </c:pt>
                <c:pt idx="3">
                  <c:v>431917</c:v>
                </c:pt>
                <c:pt idx="4">
                  <c:v>508072.85</c:v>
                </c:pt>
                <c:pt idx="5">
                  <c:v>468571.00000000012</c:v>
                </c:pt>
                <c:pt idx="6">
                  <c:v>499652.14999999956</c:v>
                </c:pt>
                <c:pt idx="7">
                  <c:v>462346.89999999985</c:v>
                </c:pt>
                <c:pt idx="8">
                  <c:v>470510.49999999994</c:v>
                </c:pt>
                <c:pt idx="9">
                  <c:v>458177.7999999997</c:v>
                </c:pt>
                <c:pt idx="10">
                  <c:v>466844.74999999977</c:v>
                </c:pt>
                <c:pt idx="11">
                  <c:v>421251.95</c:v>
                </c:pt>
                <c:pt idx="12">
                  <c:v>500307.09999999986</c:v>
                </c:pt>
                <c:pt idx="13">
                  <c:v>344230.69999999995</c:v>
                </c:pt>
                <c:pt idx="14">
                  <c:v>500228.04999999987</c:v>
                </c:pt>
                <c:pt idx="15">
                  <c:v>439059.99999999983</c:v>
                </c:pt>
                <c:pt idx="16">
                  <c:v>473069.24999999988</c:v>
                </c:pt>
                <c:pt idx="17">
                  <c:v>483022.79999999958</c:v>
                </c:pt>
                <c:pt idx="18">
                  <c:v>513963.79999999976</c:v>
                </c:pt>
                <c:pt idx="19">
                  <c:v>453459.74999999977</c:v>
                </c:pt>
                <c:pt idx="20">
                  <c:v>452702.94999999966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BF-4933-8F65-B23C1E2DAC04}"/>
            </c:ext>
          </c:extLst>
        </c:ser>
        <c:ser>
          <c:idx val="1"/>
          <c:order val="1"/>
          <c:tx>
            <c:strRef>
              <c:f>Profitability!$D$5</c:f>
              <c:strCache>
                <c:ptCount val="1"/>
                <c:pt idx="0">
                  <c:v>Net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Profitability!$A$6:$A$26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Profitability!$D$6:$D$26</c:f>
              <c:numCache>
                <c:formatCode>#,##0</c:formatCode>
                <c:ptCount val="21"/>
                <c:pt idx="0">
                  <c:v>316747.36000000022</c:v>
                </c:pt>
                <c:pt idx="1">
                  <c:v>277205.8000000001</c:v>
                </c:pt>
                <c:pt idx="2">
                  <c:v>387621.30000000005</c:v>
                </c:pt>
                <c:pt idx="3">
                  <c:v>310736.30000000034</c:v>
                </c:pt>
                <c:pt idx="4">
                  <c:v>372865.31000000023</c:v>
                </c:pt>
                <c:pt idx="5">
                  <c:v>336582.12</c:v>
                </c:pt>
                <c:pt idx="6">
                  <c:v>356173.46999999986</c:v>
                </c:pt>
                <c:pt idx="7">
                  <c:v>336659.17999999993</c:v>
                </c:pt>
                <c:pt idx="8">
                  <c:v>342729.82999999978</c:v>
                </c:pt>
                <c:pt idx="9">
                  <c:v>335193.02000000008</c:v>
                </c:pt>
                <c:pt idx="10">
                  <c:v>345881.73999999976</c:v>
                </c:pt>
                <c:pt idx="11">
                  <c:v>305972.04999999993</c:v>
                </c:pt>
                <c:pt idx="12">
                  <c:v>361668.42</c:v>
                </c:pt>
                <c:pt idx="13">
                  <c:v>252123.66999999984</c:v>
                </c:pt>
                <c:pt idx="14">
                  <c:v>370526.14999999997</c:v>
                </c:pt>
                <c:pt idx="15">
                  <c:v>330138.12</c:v>
                </c:pt>
                <c:pt idx="16">
                  <c:v>345078.98000000021</c:v>
                </c:pt>
                <c:pt idx="17">
                  <c:v>351151.98999999964</c:v>
                </c:pt>
                <c:pt idx="18">
                  <c:v>374019.11000000004</c:v>
                </c:pt>
                <c:pt idx="19">
                  <c:v>329638.44999999984</c:v>
                </c:pt>
                <c:pt idx="20">
                  <c:v>342112.9599999999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BF-4933-8F65-B23C1E2D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Revenue vs Marketing Cost by Channel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035842293906811E-2"/>
          <c:y val="4.4097222222222225E-2"/>
          <c:w val="0.94992831541218636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Marketing!$C$5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Marketing!$A$6:$A$11</c:f>
              <c:strCache>
                <c:ptCount val="6"/>
                <c:pt idx="0">
                  <c:v>Organic Search</c:v>
                </c:pt>
                <c:pt idx="1">
                  <c:v>Google Ads</c:v>
                </c:pt>
                <c:pt idx="2">
                  <c:v>Instagram</c:v>
                </c:pt>
                <c:pt idx="3">
                  <c:v>Facebook Ads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Marketing!$C$6:$C$11</c:f>
              <c:numCache>
                <c:formatCode>#,##0</c:formatCode>
                <c:ptCount val="6"/>
                <c:pt idx="0">
                  <c:v>6861148.6499999836</c:v>
                </c:pt>
                <c:pt idx="1">
                  <c:v>6119801.6499999939</c:v>
                </c:pt>
                <c:pt idx="2">
                  <c:v>5533680.699999989</c:v>
                </c:pt>
                <c:pt idx="3">
                  <c:v>4925294.299999997</c:v>
                </c:pt>
                <c:pt idx="4">
                  <c:v>4042626.95</c:v>
                </c:pt>
                <c:pt idx="5">
                  <c:v>3392112.45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0-47F6-AF53-6508BCAE7863}"/>
            </c:ext>
          </c:extLst>
        </c:ser>
        <c:ser>
          <c:idx val="1"/>
          <c:order val="1"/>
          <c:tx>
            <c:strRef>
              <c:f>Marketing!$D$5</c:f>
              <c:strCache>
                <c:ptCount val="1"/>
                <c:pt idx="0">
                  <c:v>Marketing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f>Marketing!$A$6:$A$11</c:f>
              <c:strCache>
                <c:ptCount val="6"/>
                <c:pt idx="0">
                  <c:v>Organic Search</c:v>
                </c:pt>
                <c:pt idx="1">
                  <c:v>Google Ads</c:v>
                </c:pt>
                <c:pt idx="2">
                  <c:v>Instagram</c:v>
                </c:pt>
                <c:pt idx="3">
                  <c:v>Facebook Ads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Marketing!$D$6:$D$11</c:f>
              <c:numCache>
                <c:formatCode>#,##0</c:formatCode>
                <c:ptCount val="6"/>
                <c:pt idx="0">
                  <c:v>510692.85999999981</c:v>
                </c:pt>
                <c:pt idx="1">
                  <c:v>454573.16000000027</c:v>
                </c:pt>
                <c:pt idx="2">
                  <c:v>416204.9</c:v>
                </c:pt>
                <c:pt idx="3">
                  <c:v>363149.12000000029</c:v>
                </c:pt>
                <c:pt idx="4">
                  <c:v>308865.28999999998</c:v>
                </c:pt>
                <c:pt idx="5">
                  <c:v>253404.04000000015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0-47F6-AF53-6508BCAE7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Products!$D$5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Products!$A$6:$A$15</c:f>
              <c:strCache>
                <c:ptCount val="10"/>
                <c:pt idx="0">
                  <c:v>Tablet</c:v>
                </c:pt>
                <c:pt idx="1">
                  <c:v>Mobile Phone</c:v>
                </c:pt>
                <c:pt idx="2">
                  <c:v>Office Chair</c:v>
                </c:pt>
                <c:pt idx="3">
                  <c:v>Smart Watch</c:v>
                </c:pt>
                <c:pt idx="4">
                  <c:v>Coffee Maker</c:v>
                </c:pt>
                <c:pt idx="5">
                  <c:v>Mixer Grinder</c:v>
                </c:pt>
                <c:pt idx="6">
                  <c:v>Running Shoes</c:v>
                </c:pt>
                <c:pt idx="7">
                  <c:v>Wireless Headphones</c:v>
                </c:pt>
                <c:pt idx="8">
                  <c:v>Cricket Bat</c:v>
                </c:pt>
                <c:pt idx="9">
                  <c:v>Perfume</c:v>
                </c:pt>
              </c:strCache>
            </c:strRef>
          </c:cat>
          <c:val>
            <c:numRef>
              <c:f>Products!$D$6:$D$15</c:f>
              <c:numCache>
                <c:formatCode>#,##0</c:formatCode>
                <c:ptCount val="10"/>
                <c:pt idx="0">
                  <c:v>5787804.7499999935</c:v>
                </c:pt>
                <c:pt idx="1">
                  <c:v>5785114.2999999989</c:v>
                </c:pt>
                <c:pt idx="2">
                  <c:v>3592936.65</c:v>
                </c:pt>
                <c:pt idx="3">
                  <c:v>1964508.7500000005</c:v>
                </c:pt>
                <c:pt idx="4">
                  <c:v>1659400.7499999995</c:v>
                </c:pt>
                <c:pt idx="5">
                  <c:v>1312031.2500000002</c:v>
                </c:pt>
                <c:pt idx="6">
                  <c:v>1236637.6500000004</c:v>
                </c:pt>
                <c:pt idx="7">
                  <c:v>1200019.8</c:v>
                </c:pt>
                <c:pt idx="8">
                  <c:v>1137045.0000000007</c:v>
                </c:pt>
                <c:pt idx="9">
                  <c:v>1103979.7999999998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5-490B-8D1D-8234B429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ROAS by Channel</a:t>
            </a:r>
          </a:p>
        </c:rich>
      </c:tx>
      <c:layout>
        <c:manualLayout>
          <c:xMode val="edge"/>
          <c:yMode val="edge"/>
          <c:x val="0.16696057347670254"/>
          <c:y val="8.81944444444444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Marketing!$E$5</c:f>
              <c:strCache>
                <c:ptCount val="1"/>
                <c:pt idx="0">
                  <c:v>ROAS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pattFill prst="narHorz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invertIfNegative val="1"/>
            <c:bubble3D val="0"/>
            <c:spPr>
              <a:pattFill prst="narHorz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invertIfNegative val="1"/>
            <c:bubble3D val="0"/>
            <c:spPr>
              <a:pattFill prst="narHorz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invertIfNegative val="1"/>
            <c:bubble3D val="0"/>
            <c:spPr>
              <a:pattFill prst="narHorz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invertIfNegative val="1"/>
            <c:bubble3D val="0"/>
            <c:spPr>
              <a:pattFill prst="narHorz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invertIfNegative val="1"/>
            <c:bubble3D val="0"/>
            <c:spPr>
              <a:pattFill prst="narHorz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noFill/>
              </a:ln>
              <a:effectLst>
                <a:innerShdw blurRad="114300">
                  <a:schemeClr val="accent6"/>
                </a:innerShdw>
              </a:effectLst>
            </c:spPr>
          </c:dPt>
          <c:cat>
            <c:strRef>
              <c:f>Marketing!$A$6:$A$11</c:f>
              <c:strCache>
                <c:ptCount val="6"/>
                <c:pt idx="0">
                  <c:v>Organic Search</c:v>
                </c:pt>
                <c:pt idx="1">
                  <c:v>Google Ads</c:v>
                </c:pt>
                <c:pt idx="2">
                  <c:v>Instagram</c:v>
                </c:pt>
                <c:pt idx="3">
                  <c:v>Facebook Ads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Marketing!$E$6:$E$11</c:f>
              <c:numCache>
                <c:formatCode>0.00</c:formatCode>
                <c:ptCount val="6"/>
                <c:pt idx="0">
                  <c:v>13.434980567380531</c:v>
                </c:pt>
                <c:pt idx="1">
                  <c:v>13.462743048885663</c:v>
                </c:pt>
                <c:pt idx="2">
                  <c:v>13.295568360680013</c:v>
                </c:pt>
                <c:pt idx="3">
                  <c:v>13.562732301265092</c:v>
                </c:pt>
                <c:pt idx="4">
                  <c:v>13.088641167804905</c:v>
                </c:pt>
                <c:pt idx="5">
                  <c:v>13.386181412103761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9-4D4E-9578-82F964A7F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Sales!$C$5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Sales!$A$6:$A$26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Sales!$C$6:$C$26</c:f>
              <c:numCache>
                <c:formatCode>#,##0</c:formatCode>
                <c:ptCount val="21"/>
                <c:pt idx="0">
                  <c:v>1470563.350000001</c:v>
                </c:pt>
                <c:pt idx="1">
                  <c:v>1212539.8500000001</c:v>
                </c:pt>
                <c:pt idx="2">
                  <c:v>1706082.2000000004</c:v>
                </c:pt>
                <c:pt idx="3">
                  <c:v>1389047.0000000002</c:v>
                </c:pt>
                <c:pt idx="4">
                  <c:v>1694242.8500000003</c:v>
                </c:pt>
                <c:pt idx="5">
                  <c:v>1448850.9999999993</c:v>
                </c:pt>
                <c:pt idx="6">
                  <c:v>1639832.1500000013</c:v>
                </c:pt>
                <c:pt idx="7">
                  <c:v>1440786.9000000006</c:v>
                </c:pt>
                <c:pt idx="8">
                  <c:v>1530080.4999999991</c:v>
                </c:pt>
                <c:pt idx="9">
                  <c:v>1550397.800000001</c:v>
                </c:pt>
                <c:pt idx="10">
                  <c:v>1500454.7500000002</c:v>
                </c:pt>
                <c:pt idx="11">
                  <c:v>1350451.95</c:v>
                </c:pt>
                <c:pt idx="12">
                  <c:v>1559447.1</c:v>
                </c:pt>
                <c:pt idx="13">
                  <c:v>1061380.6999999997</c:v>
                </c:pt>
                <c:pt idx="14">
                  <c:v>1496488.0499999998</c:v>
                </c:pt>
                <c:pt idx="15">
                  <c:v>1265460.0000000007</c:v>
                </c:pt>
                <c:pt idx="16">
                  <c:v>1582529.2500000005</c:v>
                </c:pt>
                <c:pt idx="17">
                  <c:v>1495422.8000000014</c:v>
                </c:pt>
                <c:pt idx="18">
                  <c:v>1646083.8000000003</c:v>
                </c:pt>
                <c:pt idx="19">
                  <c:v>1462949.7500000007</c:v>
                </c:pt>
                <c:pt idx="20">
                  <c:v>1371572.9500000004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89-4C90-9D37-0A6F0C707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</c:rich>
      </c:tx>
      <c:layout>
        <c:manualLayout>
          <c:xMode val="edge"/>
          <c:yMode val="edge"/>
          <c:x val="0.56123790849673194"/>
          <c:y val="0.1058333333333333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Sales!$C$30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explosion val="4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0-87B4-495E-AFB9-6CC71506CF89}"/>
              </c:ext>
            </c:extLst>
          </c:dPt>
          <c:dPt>
            <c:idx val="1"/>
            <c:bubble3D val="0"/>
            <c:explosion val="4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7B4-495E-AFB9-6CC71506CF89}"/>
              </c:ext>
            </c:extLst>
          </c:dPt>
          <c:dPt>
            <c:idx val="2"/>
            <c:bubble3D val="0"/>
            <c:explosion val="11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87B4-495E-AFB9-6CC71506CF89}"/>
              </c:ext>
            </c:extLst>
          </c:dPt>
          <c:dPt>
            <c:idx val="3"/>
            <c:bubble3D val="0"/>
            <c:explosion val="16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7B4-495E-AFB9-6CC71506CF89}"/>
              </c:ext>
            </c:extLst>
          </c:dPt>
          <c:dPt>
            <c:idx val="4"/>
            <c:bubble3D val="0"/>
            <c:explosion val="6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87B4-495E-AFB9-6CC71506CF89}"/>
              </c:ext>
            </c:extLst>
          </c:dPt>
          <c:dPt>
            <c:idx val="5"/>
            <c:bubble3D val="0"/>
            <c:explosion val="5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7B4-495E-AFB9-6CC71506CF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Sales!$A$31:$A$36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Sales!$C$31:$C$36</c:f>
              <c:numCache>
                <c:formatCode>#,##0</c:formatCode>
                <c:ptCount val="6"/>
                <c:pt idx="0">
                  <c:v>15609511.350000031</c:v>
                </c:pt>
                <c:pt idx="1">
                  <c:v>7516883.5499999933</c:v>
                </c:pt>
                <c:pt idx="2">
                  <c:v>2995938.4999999981</c:v>
                </c:pt>
                <c:pt idx="3">
                  <c:v>1904279.3000000017</c:v>
                </c:pt>
                <c:pt idx="4">
                  <c:v>1600074.9500000009</c:v>
                </c:pt>
                <c:pt idx="5">
                  <c:v>1247977.0500000014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8-401C-BF26-F1D029548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Sales!$C$48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Sales!$A$49:$A$58</c:f>
              <c:strCache>
                <c:ptCount val="10"/>
                <c:pt idx="0">
                  <c:v>Uttar Pradesh</c:v>
                </c:pt>
                <c:pt idx="1">
                  <c:v>Maharashtra</c:v>
                </c:pt>
                <c:pt idx="2">
                  <c:v>Karnataka</c:v>
                </c:pt>
                <c:pt idx="3">
                  <c:v>Tamil Nadu</c:v>
                </c:pt>
                <c:pt idx="4">
                  <c:v>Delhi</c:v>
                </c:pt>
                <c:pt idx="5">
                  <c:v>Rajasthan</c:v>
                </c:pt>
                <c:pt idx="6">
                  <c:v>Telangana</c:v>
                </c:pt>
                <c:pt idx="7">
                  <c:v>Gujarat</c:v>
                </c:pt>
                <c:pt idx="8">
                  <c:v>West Bengal</c:v>
                </c:pt>
                <c:pt idx="9">
                  <c:v>Bihar</c:v>
                </c:pt>
              </c:strCache>
            </c:strRef>
          </c:cat>
          <c:val>
            <c:numRef>
              <c:f>Sales!$C$49:$C$58</c:f>
              <c:numCache>
                <c:formatCode>#,##0</c:formatCode>
                <c:ptCount val="10"/>
                <c:pt idx="0">
                  <c:v>7224772.3499999912</c:v>
                </c:pt>
                <c:pt idx="1">
                  <c:v>4399844.4999999935</c:v>
                </c:pt>
                <c:pt idx="2">
                  <c:v>3585568.0000000028</c:v>
                </c:pt>
                <c:pt idx="3">
                  <c:v>3277211.200000002</c:v>
                </c:pt>
                <c:pt idx="4">
                  <c:v>2986182.6500000018</c:v>
                </c:pt>
                <c:pt idx="5">
                  <c:v>2241649.600000001</c:v>
                </c:pt>
                <c:pt idx="6">
                  <c:v>2127694.2500000014</c:v>
                </c:pt>
                <c:pt idx="7">
                  <c:v>2047458.0000000007</c:v>
                </c:pt>
                <c:pt idx="8">
                  <c:v>1549076.3500000015</c:v>
                </c:pt>
                <c:pt idx="9">
                  <c:v>1435207.8000000007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0-4549-95C5-D6AD66429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Sales!$B$66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Sales!$A$67:$A$70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Pending</c:v>
                </c:pt>
                <c:pt idx="3">
                  <c:v>Cancelled</c:v>
                </c:pt>
              </c:strCache>
            </c:strRef>
          </c:cat>
          <c:val>
            <c:numRef>
              <c:f>Sales!$B$67:$B$70</c:f>
              <c:numCache>
                <c:formatCode>#,##0</c:formatCode>
                <c:ptCount val="4"/>
                <c:pt idx="0">
                  <c:v>4219</c:v>
                </c:pt>
                <c:pt idx="1">
                  <c:v>350</c:v>
                </c:pt>
                <c:pt idx="2">
                  <c:v>155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C-4B4C-81AA-D09808C12B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Payment Mode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Sales!$C$84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Sales!$A$85:$A$89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 on Delivery</c:v>
                </c:pt>
                <c:pt idx="4">
                  <c:v>Net Banking</c:v>
                </c:pt>
              </c:strCache>
            </c:strRef>
          </c:cat>
          <c:val>
            <c:numRef>
              <c:f>Sales!$C$85:$C$89</c:f>
              <c:numCache>
                <c:formatCode>#,##0</c:formatCode>
                <c:ptCount val="5"/>
                <c:pt idx="0">
                  <c:v>11920830.699999997</c:v>
                </c:pt>
                <c:pt idx="1">
                  <c:v>6976359.1999999909</c:v>
                </c:pt>
                <c:pt idx="2">
                  <c:v>4773941.1999999946</c:v>
                </c:pt>
                <c:pt idx="3">
                  <c:v>4528289.8499999959</c:v>
                </c:pt>
                <c:pt idx="4">
                  <c:v>2675243.7499999991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B-4860-A8AA-F73C5961D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Age Group</a:t>
            </a:r>
          </a:p>
        </c:rich>
      </c:tx>
      <c:layout>
        <c:manualLayout>
          <c:xMode val="edge"/>
          <c:yMode val="edge"/>
          <c:x val="0.3850514705882353"/>
          <c:y val="1.763888888888888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Customers!$C$5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Customers!$A$6:$A$9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Customers!$C$6:$C$9</c:f>
              <c:numCache>
                <c:formatCode>#,##0</c:formatCode>
                <c:ptCount val="4"/>
                <c:pt idx="0">
                  <c:v>5057996.1499999985</c:v>
                </c:pt>
                <c:pt idx="1">
                  <c:v>8149708.1499999827</c:v>
                </c:pt>
                <c:pt idx="2">
                  <c:v>7469763.2499999879</c:v>
                </c:pt>
                <c:pt idx="3">
                  <c:v>10197197.149999997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E-4172-8689-0BFBF5B09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622549019607828E-2"/>
          <c:y val="2.6458333333333334E-2"/>
          <c:w val="0.30760457516339873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Orders by Gender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Customers!$B$23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Customers!$A$24:$A$26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Other</c:v>
                </c:pt>
              </c:strCache>
            </c:strRef>
          </c:cat>
          <c:val>
            <c:numRef>
              <c:f>Customers!$B$24:$B$26</c:f>
              <c:numCache>
                <c:formatCode>#,##0</c:formatCode>
                <c:ptCount val="3"/>
                <c:pt idx="0">
                  <c:v>2544</c:v>
                </c:pt>
                <c:pt idx="1">
                  <c:v>2328</c:v>
                </c:pt>
                <c:pt idx="2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6-49A2-AAEA-520387F3B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/>
              <a:t>Revenue by City</a:t>
            </a:r>
          </a:p>
        </c:rich>
      </c:tx>
      <c:layout>
        <c:manualLayout>
          <c:xMode val="edge"/>
          <c:yMode val="edge"/>
          <c:x val="0.69534035947712414"/>
          <c:y val="2.71317829457364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Customers!$C$41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1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1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2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2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3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3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4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4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dPt>
          <c:cat>
            <c:strRef>
              <c:f>Customers!$A$42:$A$53</c:f>
              <c:strCache>
                <c:ptCount val="12"/>
                <c:pt idx="0">
                  <c:v>Kanpur</c:v>
                </c:pt>
                <c:pt idx="1">
                  <c:v>Varanasi</c:v>
                </c:pt>
                <c:pt idx="2">
                  <c:v>Delhi</c:v>
                </c:pt>
                <c:pt idx="3">
                  <c:v>New Delhi</c:v>
                </c:pt>
                <c:pt idx="4">
                  <c:v>Lucknow</c:v>
                </c:pt>
                <c:pt idx="5">
                  <c:v>Mysuru</c:v>
                </c:pt>
                <c:pt idx="6">
                  <c:v>Pune</c:v>
                </c:pt>
                <c:pt idx="7">
                  <c:v>Noida</c:v>
                </c:pt>
                <c:pt idx="8">
                  <c:v>Bengaluru</c:v>
                </c:pt>
                <c:pt idx="9">
                  <c:v>Gorakhpur</c:v>
                </c:pt>
                <c:pt idx="10">
                  <c:v>Chennai</c:v>
                </c:pt>
                <c:pt idx="11">
                  <c:v>Nagpur</c:v>
                </c:pt>
              </c:strCache>
            </c:strRef>
          </c:cat>
          <c:val>
            <c:numRef>
              <c:f>Customers!$C$42:$C$53</c:f>
              <c:numCache>
                <c:formatCode>#,##0</c:formatCode>
                <c:ptCount val="12"/>
                <c:pt idx="0">
                  <c:v>1676910.4000000006</c:v>
                </c:pt>
                <c:pt idx="1">
                  <c:v>1586589.2500000002</c:v>
                </c:pt>
                <c:pt idx="2">
                  <c:v>1525740.5499999993</c:v>
                </c:pt>
                <c:pt idx="3">
                  <c:v>1460442.0999999999</c:v>
                </c:pt>
                <c:pt idx="4">
                  <c:v>1435830.65</c:v>
                </c:pt>
                <c:pt idx="5">
                  <c:v>1396018.5500000005</c:v>
                </c:pt>
                <c:pt idx="6">
                  <c:v>1350361.9500000014</c:v>
                </c:pt>
                <c:pt idx="7">
                  <c:v>1279791.7500000002</c:v>
                </c:pt>
                <c:pt idx="8">
                  <c:v>1270074.8</c:v>
                </c:pt>
                <c:pt idx="9">
                  <c:v>1245650.3000000007</c:v>
                </c:pt>
                <c:pt idx="10">
                  <c:v>1197165.4000000006</c:v>
                </c:pt>
                <c:pt idx="11">
                  <c:v>1179946.8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B-4EAC-9E1F-13E69344F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Customers!$D$67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Customers!$B$68:$B$77</c:f>
              <c:strCache>
                <c:ptCount val="10"/>
                <c:pt idx="0">
                  <c:v>Customer 149</c:v>
                </c:pt>
                <c:pt idx="1">
                  <c:v>Customer 161</c:v>
                </c:pt>
                <c:pt idx="2">
                  <c:v>Customer 960</c:v>
                </c:pt>
                <c:pt idx="3">
                  <c:v>Customer 986</c:v>
                </c:pt>
                <c:pt idx="4">
                  <c:v>Customer 97</c:v>
                </c:pt>
                <c:pt idx="5">
                  <c:v>Customer 484</c:v>
                </c:pt>
                <c:pt idx="6">
                  <c:v>Customer 944</c:v>
                </c:pt>
                <c:pt idx="7">
                  <c:v>Customer 11</c:v>
                </c:pt>
                <c:pt idx="8">
                  <c:v>Customer 623</c:v>
                </c:pt>
                <c:pt idx="9">
                  <c:v>Customer 810</c:v>
                </c:pt>
              </c:strCache>
            </c:strRef>
          </c:cat>
          <c:val>
            <c:numRef>
              <c:f>Customers!$D$68:$D$77</c:f>
              <c:numCache>
                <c:formatCode>#,##0</c:formatCode>
                <c:ptCount val="10"/>
                <c:pt idx="0">
                  <c:v>151311.20000000001</c:v>
                </c:pt>
                <c:pt idx="1">
                  <c:v>149180.35</c:v>
                </c:pt>
                <c:pt idx="2">
                  <c:v>118298.4</c:v>
                </c:pt>
                <c:pt idx="3">
                  <c:v>116497.40000000001</c:v>
                </c:pt>
                <c:pt idx="4">
                  <c:v>112896.7</c:v>
                </c:pt>
                <c:pt idx="5">
                  <c:v>110155.25</c:v>
                </c:pt>
                <c:pt idx="6">
                  <c:v>103899.3</c:v>
                </c:pt>
                <c:pt idx="7">
                  <c:v>102681.45</c:v>
                </c:pt>
                <c:pt idx="8">
                  <c:v>97972.25</c:v>
                </c:pt>
                <c:pt idx="9">
                  <c:v>97531.35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8-4058-B719-FEE916322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10 Products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Products!$D$5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Products!$A$6:$A$15</c:f>
              <c:strCache>
                <c:ptCount val="10"/>
                <c:pt idx="0">
                  <c:v>Tablet</c:v>
                </c:pt>
                <c:pt idx="1">
                  <c:v>Mobile Phone</c:v>
                </c:pt>
                <c:pt idx="2">
                  <c:v>Office Chair</c:v>
                </c:pt>
                <c:pt idx="3">
                  <c:v>Smart Watch</c:v>
                </c:pt>
                <c:pt idx="4">
                  <c:v>Coffee Maker</c:v>
                </c:pt>
                <c:pt idx="5">
                  <c:v>Mixer Grinder</c:v>
                </c:pt>
                <c:pt idx="6">
                  <c:v>Running Shoes</c:v>
                </c:pt>
                <c:pt idx="7">
                  <c:v>Wireless Headphones</c:v>
                </c:pt>
                <c:pt idx="8">
                  <c:v>Cricket Bat</c:v>
                </c:pt>
                <c:pt idx="9">
                  <c:v>Perfume</c:v>
                </c:pt>
              </c:strCache>
            </c:strRef>
          </c:cat>
          <c:val>
            <c:numRef>
              <c:f>Products!$D$6:$D$15</c:f>
              <c:numCache>
                <c:formatCode>#,##0</c:formatCode>
                <c:ptCount val="10"/>
                <c:pt idx="0">
                  <c:v>5787804.7499999935</c:v>
                </c:pt>
                <c:pt idx="1">
                  <c:v>5785114.2999999989</c:v>
                </c:pt>
                <c:pt idx="2">
                  <c:v>3592936.65</c:v>
                </c:pt>
                <c:pt idx="3">
                  <c:v>1964508.7500000005</c:v>
                </c:pt>
                <c:pt idx="4">
                  <c:v>1659400.7499999995</c:v>
                </c:pt>
                <c:pt idx="5">
                  <c:v>1312031.2500000002</c:v>
                </c:pt>
                <c:pt idx="6">
                  <c:v>1236637.6500000004</c:v>
                </c:pt>
                <c:pt idx="7">
                  <c:v>1200019.8</c:v>
                </c:pt>
                <c:pt idx="8">
                  <c:v>1137045.0000000007</c:v>
                </c:pt>
                <c:pt idx="9">
                  <c:v>1103979.7999999998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7-49B4-B14F-5C2DDBC45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Gross Profit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Products!$E$5</c:f>
              <c:strCache>
                <c:ptCount val="1"/>
                <c:pt idx="0">
                  <c:v>Gross 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Products!$A$6:$A$25</c:f>
              <c:strCache>
                <c:ptCount val="20"/>
                <c:pt idx="0">
                  <c:v>Tablet</c:v>
                </c:pt>
                <c:pt idx="1">
                  <c:v>Mobile Phone</c:v>
                </c:pt>
                <c:pt idx="2">
                  <c:v>Office Chair</c:v>
                </c:pt>
                <c:pt idx="3">
                  <c:v>Smart Watch</c:v>
                </c:pt>
                <c:pt idx="4">
                  <c:v>Coffee Maker</c:v>
                </c:pt>
                <c:pt idx="5">
                  <c:v>Mixer Grinder</c:v>
                </c:pt>
                <c:pt idx="6">
                  <c:v>Running Shoes</c:v>
                </c:pt>
                <c:pt idx="7">
                  <c:v>Wireless Headphones</c:v>
                </c:pt>
                <c:pt idx="8">
                  <c:v>Cricket Bat</c:v>
                </c:pt>
                <c:pt idx="9">
                  <c:v>Perfume</c:v>
                </c:pt>
                <c:pt idx="10">
                  <c:v>Bluetooth Speaker</c:v>
                </c:pt>
                <c:pt idx="11">
                  <c:v>Jeans</c:v>
                </c:pt>
                <c:pt idx="12">
                  <c:v>Skincare Kit</c:v>
                </c:pt>
                <c:pt idx="13">
                  <c:v>Laptop Backpack</c:v>
                </c:pt>
                <c:pt idx="14">
                  <c:v>LED Study Lamp</c:v>
                </c:pt>
                <c:pt idx="15">
                  <c:v>Sunglasses</c:v>
                </c:pt>
                <c:pt idx="16">
                  <c:v>Backpack</c:v>
                </c:pt>
                <c:pt idx="17">
                  <c:v>Yoga Mat</c:v>
                </c:pt>
                <c:pt idx="18">
                  <c:v>Cotton T-Shirt</c:v>
                </c:pt>
                <c:pt idx="19">
                  <c:v>Water Bottle</c:v>
                </c:pt>
              </c:strCache>
            </c:strRef>
          </c:cat>
          <c:val>
            <c:numRef>
              <c:f>Products!$E$6:$E$25</c:f>
              <c:numCache>
                <c:formatCode>#,##0</c:formatCode>
                <c:ptCount val="20"/>
                <c:pt idx="0">
                  <c:v>1377804.7500000012</c:v>
                </c:pt>
                <c:pt idx="1">
                  <c:v>1013914.3000000002</c:v>
                </c:pt>
                <c:pt idx="2">
                  <c:v>1163436.6500000006</c:v>
                </c:pt>
                <c:pt idx="3">
                  <c:v>661308.7500000007</c:v>
                </c:pt>
                <c:pt idx="4">
                  <c:v>554800.75000000012</c:v>
                </c:pt>
                <c:pt idx="5">
                  <c:v>457331.24999999977</c:v>
                </c:pt>
                <c:pt idx="6">
                  <c:v>463137.64999999979</c:v>
                </c:pt>
                <c:pt idx="7">
                  <c:v>434419.79999999987</c:v>
                </c:pt>
                <c:pt idx="8">
                  <c:v>435645</c:v>
                </c:pt>
                <c:pt idx="9">
                  <c:v>470379.79999999981</c:v>
                </c:pt>
                <c:pt idx="10">
                  <c:v>321213.74999999994</c:v>
                </c:pt>
                <c:pt idx="11">
                  <c:v>334122.34999999992</c:v>
                </c:pt>
                <c:pt idx="12">
                  <c:v>365899.49999999988</c:v>
                </c:pt>
                <c:pt idx="13">
                  <c:v>313372.95</c:v>
                </c:pt>
                <c:pt idx="14">
                  <c:v>284987.90000000008</c:v>
                </c:pt>
                <c:pt idx="15">
                  <c:v>275705.64999999991</c:v>
                </c:pt>
                <c:pt idx="16">
                  <c:v>212004.09999999986</c:v>
                </c:pt>
                <c:pt idx="17">
                  <c:v>225309.94999999998</c:v>
                </c:pt>
                <c:pt idx="18">
                  <c:v>183892.85000000003</c:v>
                </c:pt>
                <c:pt idx="19">
                  <c:v>168777.00000000006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C-4338-9EBC-785883C8A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 Profit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33741830065359"/>
          <c:y val="0.1787260416666667"/>
          <c:w val="0.83328300653594767"/>
          <c:h val="0.5547128472222222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Products!$D$33</c:f>
              <c:strCache>
                <c:ptCount val="1"/>
                <c:pt idx="0">
                  <c:v>Gross Profit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Products!$A$34:$A$48</c:f>
              <c:strCache>
                <c:ptCount val="15"/>
                <c:pt idx="0">
                  <c:v>Tablets</c:v>
                </c:pt>
                <c:pt idx="1">
                  <c:v>Mobiles</c:v>
                </c:pt>
                <c:pt idx="2">
                  <c:v>Furniture</c:v>
                </c:pt>
                <c:pt idx="3">
                  <c:v>Kitchen</c:v>
                </c:pt>
                <c:pt idx="4">
                  <c:v>Audio</c:v>
                </c:pt>
                <c:pt idx="5">
                  <c:v>Wearables</c:v>
                </c:pt>
                <c:pt idx="6">
                  <c:v>Bags</c:v>
                </c:pt>
                <c:pt idx="7">
                  <c:v>Footwear</c:v>
                </c:pt>
                <c:pt idx="8">
                  <c:v>Clothing</c:v>
                </c:pt>
                <c:pt idx="9">
                  <c:v>Cricket</c:v>
                </c:pt>
                <c:pt idx="10">
                  <c:v>Fragrance</c:v>
                </c:pt>
                <c:pt idx="11">
                  <c:v>Skincare</c:v>
                </c:pt>
                <c:pt idx="12">
                  <c:v>Lighting</c:v>
                </c:pt>
                <c:pt idx="13">
                  <c:v>Accessories</c:v>
                </c:pt>
                <c:pt idx="14">
                  <c:v>Fitness</c:v>
                </c:pt>
              </c:strCache>
            </c:strRef>
          </c:cat>
          <c:val>
            <c:numRef>
              <c:f>Products!$D$34:$D$48</c:f>
              <c:numCache>
                <c:formatCode>#,##0</c:formatCode>
                <c:ptCount val="15"/>
                <c:pt idx="0">
                  <c:v>1377804.7500000012</c:v>
                </c:pt>
                <c:pt idx="1">
                  <c:v>1013914.3000000002</c:v>
                </c:pt>
                <c:pt idx="2">
                  <c:v>1163436.6500000006</c:v>
                </c:pt>
                <c:pt idx="3">
                  <c:v>1180909</c:v>
                </c:pt>
                <c:pt idx="4">
                  <c:v>755633.54999999993</c:v>
                </c:pt>
                <c:pt idx="5">
                  <c:v>661308.7500000007</c:v>
                </c:pt>
                <c:pt idx="6">
                  <c:v>525377.0499999997</c:v>
                </c:pt>
                <c:pt idx="7">
                  <c:v>463137.64999999979</c:v>
                </c:pt>
                <c:pt idx="8">
                  <c:v>518015.19999999978</c:v>
                </c:pt>
                <c:pt idx="9">
                  <c:v>435645</c:v>
                </c:pt>
                <c:pt idx="10">
                  <c:v>470379.79999999981</c:v>
                </c:pt>
                <c:pt idx="11">
                  <c:v>365899.49999999988</c:v>
                </c:pt>
                <c:pt idx="12">
                  <c:v>284987.90000000008</c:v>
                </c:pt>
                <c:pt idx="13">
                  <c:v>275705.64999999991</c:v>
                </c:pt>
                <c:pt idx="14">
                  <c:v>225309.94999999998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C-4199-B9AF-96E7661D5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b="1" u="sng"/>
              <a:t>Revenue vs Marketing Cost by Channel</a:t>
            </a:r>
          </a:p>
        </c:rich>
      </c:tx>
      <c:layout>
        <c:manualLayout>
          <c:xMode val="edge"/>
          <c:yMode val="edge"/>
          <c:x val="0.19231029411764705"/>
          <c:y val="8.81944444444444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826797385620917E-2"/>
          <c:y val="5.2916666666666667E-2"/>
          <c:w val="0.95434640522875813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Marketing!$C$5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Marketing!$A$6:$A$11</c:f>
              <c:strCache>
                <c:ptCount val="6"/>
                <c:pt idx="0">
                  <c:v>Organic Search</c:v>
                </c:pt>
                <c:pt idx="1">
                  <c:v>Google Ads</c:v>
                </c:pt>
                <c:pt idx="2">
                  <c:v>Instagram</c:v>
                </c:pt>
                <c:pt idx="3">
                  <c:v>Facebook Ads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Marketing!$C$6:$C$11</c:f>
              <c:numCache>
                <c:formatCode>#,##0</c:formatCode>
                <c:ptCount val="6"/>
                <c:pt idx="0">
                  <c:v>6861148.6499999836</c:v>
                </c:pt>
                <c:pt idx="1">
                  <c:v>6119801.6499999939</c:v>
                </c:pt>
                <c:pt idx="2">
                  <c:v>5533680.699999989</c:v>
                </c:pt>
                <c:pt idx="3">
                  <c:v>4925294.299999997</c:v>
                </c:pt>
                <c:pt idx="4">
                  <c:v>4042626.95</c:v>
                </c:pt>
                <c:pt idx="5">
                  <c:v>3392112.45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D-4B76-A3AD-1D327352C5CC}"/>
            </c:ext>
          </c:extLst>
        </c:ser>
        <c:ser>
          <c:idx val="1"/>
          <c:order val="1"/>
          <c:tx>
            <c:strRef>
              <c:f>Marketing!$D$5</c:f>
              <c:strCache>
                <c:ptCount val="1"/>
                <c:pt idx="0">
                  <c:v>Marketing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cat>
            <c:strRef>
              <c:f>Marketing!$A$6:$A$11</c:f>
              <c:strCache>
                <c:ptCount val="6"/>
                <c:pt idx="0">
                  <c:v>Organic Search</c:v>
                </c:pt>
                <c:pt idx="1">
                  <c:v>Google Ads</c:v>
                </c:pt>
                <c:pt idx="2">
                  <c:v>Instagram</c:v>
                </c:pt>
                <c:pt idx="3">
                  <c:v>Facebook Ads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Marketing!$D$6:$D$11</c:f>
              <c:numCache>
                <c:formatCode>#,##0</c:formatCode>
                <c:ptCount val="6"/>
                <c:pt idx="0">
                  <c:v>510692.85999999981</c:v>
                </c:pt>
                <c:pt idx="1">
                  <c:v>454573.16000000027</c:v>
                </c:pt>
                <c:pt idx="2">
                  <c:v>416204.9</c:v>
                </c:pt>
                <c:pt idx="3">
                  <c:v>363149.12000000029</c:v>
                </c:pt>
                <c:pt idx="4">
                  <c:v>308865.28999999998</c:v>
                </c:pt>
                <c:pt idx="5">
                  <c:v>253404.04000000015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D-4B76-A3AD-1D327352C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ROAS by Channel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Marketing!$E$5</c:f>
              <c:strCache>
                <c:ptCount val="1"/>
                <c:pt idx="0">
                  <c:v>ROAS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Marketing!$A$6:$A$11</c:f>
              <c:strCache>
                <c:ptCount val="6"/>
                <c:pt idx="0">
                  <c:v>Organic Search</c:v>
                </c:pt>
                <c:pt idx="1">
                  <c:v>Google Ads</c:v>
                </c:pt>
                <c:pt idx="2">
                  <c:v>Instagram</c:v>
                </c:pt>
                <c:pt idx="3">
                  <c:v>Facebook Ads</c:v>
                </c:pt>
                <c:pt idx="4">
                  <c:v>Referral</c:v>
                </c:pt>
                <c:pt idx="5">
                  <c:v>Email</c:v>
                </c:pt>
              </c:strCache>
            </c:strRef>
          </c:cat>
          <c:val>
            <c:numRef>
              <c:f>Marketing!$E$6:$E$11</c:f>
              <c:numCache>
                <c:formatCode>0.00</c:formatCode>
                <c:ptCount val="6"/>
                <c:pt idx="0">
                  <c:v>13.434980567380531</c:v>
                </c:pt>
                <c:pt idx="1">
                  <c:v>13.462743048885663</c:v>
                </c:pt>
                <c:pt idx="2">
                  <c:v>13.295568360680013</c:v>
                </c:pt>
                <c:pt idx="3">
                  <c:v>13.562732301265092</c:v>
                </c:pt>
                <c:pt idx="4">
                  <c:v>13.088641167804905</c:v>
                </c:pt>
                <c:pt idx="5">
                  <c:v>13.386181412103761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2-41A5-BCF5-F7DA73E4F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Campaign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Marketing!$C$39</c:f>
              <c:strCache>
                <c:ptCount val="1"/>
                <c:pt idx="0">
                  <c:v>Revenue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Marketing!$A$40:$A$45</c:f>
              <c:strCache>
                <c:ptCount val="6"/>
                <c:pt idx="0">
                  <c:v>Regular</c:v>
                </c:pt>
                <c:pt idx="1">
                  <c:v>Festive Sale</c:v>
                </c:pt>
                <c:pt idx="2">
                  <c:v>Summer Sale</c:v>
                </c:pt>
                <c:pt idx="3">
                  <c:v>Weekend Offer</c:v>
                </c:pt>
                <c:pt idx="4">
                  <c:v>New Customer</c:v>
                </c:pt>
                <c:pt idx="5">
                  <c:v>Diwali Deals</c:v>
                </c:pt>
              </c:strCache>
            </c:strRef>
          </c:cat>
          <c:val>
            <c:numRef>
              <c:f>Marketing!$C$40:$C$45</c:f>
              <c:numCache>
                <c:formatCode>#,##0</c:formatCode>
                <c:ptCount val="6"/>
                <c:pt idx="0">
                  <c:v>8279732.2999999784</c:v>
                </c:pt>
                <c:pt idx="1">
                  <c:v>5520691.7499999944</c:v>
                </c:pt>
                <c:pt idx="2">
                  <c:v>4810752.1999999983</c:v>
                </c:pt>
                <c:pt idx="3">
                  <c:v>4311532.2499999935</c:v>
                </c:pt>
                <c:pt idx="4">
                  <c:v>4211752.2999999952</c:v>
                </c:pt>
                <c:pt idx="5">
                  <c:v>3740203.9000000008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5-42C8-BDF3-15DED9F32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Gross vs Net Profit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Profitability!$C$5</c:f>
              <c:strCache>
                <c:ptCount val="1"/>
                <c:pt idx="0">
                  <c:v>Gross Profit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Profitability!$A$6:$A$26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Profitability!$C$6:$C$26</c:f>
              <c:numCache>
                <c:formatCode>#,##0</c:formatCode>
                <c:ptCount val="21"/>
                <c:pt idx="0">
                  <c:v>439953.34999999974</c:v>
                </c:pt>
                <c:pt idx="1">
                  <c:v>388969.85000000015</c:v>
                </c:pt>
                <c:pt idx="2">
                  <c:v>541152.19999999972</c:v>
                </c:pt>
                <c:pt idx="3">
                  <c:v>431917</c:v>
                </c:pt>
                <c:pt idx="4">
                  <c:v>508072.85</c:v>
                </c:pt>
                <c:pt idx="5">
                  <c:v>468571.00000000012</c:v>
                </c:pt>
                <c:pt idx="6">
                  <c:v>499652.14999999956</c:v>
                </c:pt>
                <c:pt idx="7">
                  <c:v>462346.89999999985</c:v>
                </c:pt>
                <c:pt idx="8">
                  <c:v>470510.49999999994</c:v>
                </c:pt>
                <c:pt idx="9">
                  <c:v>458177.7999999997</c:v>
                </c:pt>
                <c:pt idx="10">
                  <c:v>466844.74999999977</c:v>
                </c:pt>
                <c:pt idx="11">
                  <c:v>421251.95</c:v>
                </c:pt>
                <c:pt idx="12">
                  <c:v>500307.09999999986</c:v>
                </c:pt>
                <c:pt idx="13">
                  <c:v>344230.69999999995</c:v>
                </c:pt>
                <c:pt idx="14">
                  <c:v>500228.04999999987</c:v>
                </c:pt>
                <c:pt idx="15">
                  <c:v>439059.99999999983</c:v>
                </c:pt>
                <c:pt idx="16">
                  <c:v>473069.24999999988</c:v>
                </c:pt>
                <c:pt idx="17">
                  <c:v>483022.79999999958</c:v>
                </c:pt>
                <c:pt idx="18">
                  <c:v>513963.79999999976</c:v>
                </c:pt>
                <c:pt idx="19">
                  <c:v>453459.74999999977</c:v>
                </c:pt>
                <c:pt idx="20">
                  <c:v>452702.94999999966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D9-4235-AF8C-0BE987E71E07}"/>
            </c:ext>
          </c:extLst>
        </c:ser>
        <c:ser>
          <c:idx val="1"/>
          <c:order val="1"/>
          <c:tx>
            <c:strRef>
              <c:f>Profitability!$D$5</c:f>
              <c:strCache>
                <c:ptCount val="1"/>
                <c:pt idx="0">
                  <c:v>Net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Profitability!$A$6:$A$26</c:f>
              <c:strCache>
                <c:ptCount val="21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  <c:pt idx="12">
                  <c:v>2026-01</c:v>
                </c:pt>
                <c:pt idx="13">
                  <c:v>2026-02</c:v>
                </c:pt>
                <c:pt idx="14">
                  <c:v>2026-03</c:v>
                </c:pt>
                <c:pt idx="15">
                  <c:v>2026-04</c:v>
                </c:pt>
                <c:pt idx="16">
                  <c:v>2026-05</c:v>
                </c:pt>
                <c:pt idx="17">
                  <c:v>2026-06</c:v>
                </c:pt>
                <c:pt idx="18">
                  <c:v>2026-07</c:v>
                </c:pt>
                <c:pt idx="19">
                  <c:v>2026-08</c:v>
                </c:pt>
                <c:pt idx="20">
                  <c:v>2026-09</c:v>
                </c:pt>
              </c:strCache>
            </c:strRef>
          </c:cat>
          <c:val>
            <c:numRef>
              <c:f>Profitability!$D$6:$D$26</c:f>
              <c:numCache>
                <c:formatCode>#,##0</c:formatCode>
                <c:ptCount val="21"/>
                <c:pt idx="0">
                  <c:v>316747.36000000022</c:v>
                </c:pt>
                <c:pt idx="1">
                  <c:v>277205.8000000001</c:v>
                </c:pt>
                <c:pt idx="2">
                  <c:v>387621.30000000005</c:v>
                </c:pt>
                <c:pt idx="3">
                  <c:v>310736.30000000034</c:v>
                </c:pt>
                <c:pt idx="4">
                  <c:v>372865.31000000023</c:v>
                </c:pt>
                <c:pt idx="5">
                  <c:v>336582.12</c:v>
                </c:pt>
                <c:pt idx="6">
                  <c:v>356173.46999999986</c:v>
                </c:pt>
                <c:pt idx="7">
                  <c:v>336659.17999999993</c:v>
                </c:pt>
                <c:pt idx="8">
                  <c:v>342729.82999999978</c:v>
                </c:pt>
                <c:pt idx="9">
                  <c:v>335193.02000000008</c:v>
                </c:pt>
                <c:pt idx="10">
                  <c:v>345881.73999999976</c:v>
                </c:pt>
                <c:pt idx="11">
                  <c:v>305972.04999999993</c:v>
                </c:pt>
                <c:pt idx="12">
                  <c:v>361668.42</c:v>
                </c:pt>
                <c:pt idx="13">
                  <c:v>252123.66999999984</c:v>
                </c:pt>
                <c:pt idx="14">
                  <c:v>370526.14999999997</c:v>
                </c:pt>
                <c:pt idx="15">
                  <c:v>330138.12</c:v>
                </c:pt>
                <c:pt idx="16">
                  <c:v>345078.98000000021</c:v>
                </c:pt>
                <c:pt idx="17">
                  <c:v>351151.98999999964</c:v>
                </c:pt>
                <c:pt idx="18">
                  <c:v>374019.11000000004</c:v>
                </c:pt>
                <c:pt idx="19">
                  <c:v>329638.44999999984</c:v>
                </c:pt>
                <c:pt idx="20">
                  <c:v>342112.9599999999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D9-4235-AF8C-0BE987E7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 u="sng"/>
              <a:t>Net Profit by Category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Profitability!$G$34</c:f>
              <c:strCache>
                <c:ptCount val="1"/>
                <c:pt idx="0">
                  <c:v>Net Profit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Profitability!$A$35:$A$40</c:f>
              <c:strCache>
                <c:ptCount val="6"/>
                <c:pt idx="0">
                  <c:v>Electronics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Beauty</c:v>
                </c:pt>
                <c:pt idx="4">
                  <c:v>Sports</c:v>
                </c:pt>
                <c:pt idx="5">
                  <c:v>Accessories</c:v>
                </c:pt>
              </c:strCache>
            </c:strRef>
          </c:cat>
          <c:val>
            <c:numRef>
              <c:f>Profitability!$G$35:$G$40</c:f>
              <c:numCache>
                <c:formatCode>#,##0</c:formatCode>
                <c:ptCount val="6"/>
                <c:pt idx="0">
                  <c:v>2569013.3999999953</c:v>
                </c:pt>
                <c:pt idx="1">
                  <c:v>1970203.0100000005</c:v>
                </c:pt>
                <c:pt idx="2">
                  <c:v>969977.47000000183</c:v>
                </c:pt>
                <c:pt idx="3">
                  <c:v>662706.89999999967</c:v>
                </c:pt>
                <c:pt idx="4">
                  <c:v>511285.39000000048</c:v>
                </c:pt>
                <c:pt idx="5">
                  <c:v>397639.15999999968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2-4540-B323-6FB6B1221B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747499999999999"/>
          <c:y val="0.15434027777777778"/>
          <c:w val="0.69259901960784309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Margin by Discount Level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Profitability!$D$52</c:f>
              <c:strCache>
                <c:ptCount val="1"/>
                <c:pt idx="0">
                  <c:v>Margin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gradFill flip="none" rotWithShape="1">
                <a:gsLst>
                  <a:gs pos="0">
                    <a:schemeClr val="accent6"/>
                  </a:gs>
                  <a:gs pos="75000">
                    <a:schemeClr val="accent6">
                      <a:lumMod val="60000"/>
                      <a:lumOff val="40000"/>
                    </a:schemeClr>
                  </a:gs>
                  <a:gs pos="51000">
                    <a:schemeClr val="accent6">
                      <a:alpha val="75000"/>
                    </a:schemeClr>
                  </a:gs>
                  <a:gs pos="100000">
                    <a:schemeClr val="accent6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numRef>
              <c:f>Profitability!$A$53:$A$58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cat>
          <c:val>
            <c:numRef>
              <c:f>Profitability!$D$53:$D$58</c:f>
              <c:numCache>
                <c:formatCode>0.0%</c:formatCode>
                <c:ptCount val="6"/>
                <c:pt idx="0">
                  <c:v>0.37667685947714419</c:v>
                </c:pt>
                <c:pt idx="1">
                  <c:v>0.34784708658676722</c:v>
                </c:pt>
                <c:pt idx="2">
                  <c:v>0.31005661144524133</c:v>
                </c:pt>
                <c:pt idx="3">
                  <c:v>0.26921330083995204</c:v>
                </c:pt>
                <c:pt idx="4">
                  <c:v>0.22060131705760402</c:v>
                </c:pt>
                <c:pt idx="5">
                  <c:v>0.15718253212625785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0-4456-A6A6-4287EDE75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55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365760</xdr:colOff>
      <xdr:row>18</xdr:row>
      <xdr:rowOff>15240</xdr:rowOff>
    </xdr:from>
    <xdr:ext cx="55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55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381000</xdr:colOff>
      <xdr:row>34</xdr:row>
      <xdr:rowOff>167640</xdr:rowOff>
    </xdr:from>
    <xdr:ext cx="5580000" cy="296418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52</xdr:row>
      <xdr:rowOff>0</xdr:rowOff>
    </xdr:from>
    <xdr:ext cx="55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6</xdr:col>
      <xdr:colOff>396240</xdr:colOff>
      <xdr:row>52</xdr:row>
      <xdr:rowOff>15240</xdr:rowOff>
    </xdr:from>
    <xdr:ext cx="558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mc:AlternateContent xmlns:mc="http://schemas.openxmlformats.org/markup-compatibility/2006">
    <mc:Choice xmlns:sle15="http://schemas.microsoft.com/office/drawing/2012/slicer" Requires="sle15">
      <xdr:twoCellAnchor editAs="oneCell">
        <xdr:from>
          <xdr:col>0</xdr:col>
          <xdr:colOff>38100</xdr:colOff>
          <xdr:row>11</xdr:row>
          <xdr:rowOff>0</xdr:rowOff>
        </xdr:from>
        <xdr:to>
          <xdr:col>2</xdr:col>
          <xdr:colOff>-38100</xdr:colOff>
          <xdr:row>17</xdr:row>
          <xdr:rowOff>0</xdr:rowOff>
        </xdr:to>
        <xdr:graphicFrame macro="">
          <xdr:nvGraphicFramePr>
            <xdr:cNvPr id="8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  <xdr:clientData/>
      </xdr:twoCellAnchor>
    </mc:Choice>
    <mc:Fallback>
      <xdr:twoCellAnchor editAs="oneCell">
        <xdr:from>
          <xdr:col>0</xdr:col>
          <xdr:colOff>38100</xdr:colOff>
          <xdr:row>11</xdr:row>
          <xdr:rowOff>0</xdr:rowOff>
        </xdr:from>
        <xdr:to>
          <xdr:col>2</xdr:col>
          <xdr:colOff>0</xdr:colOff>
          <xdr:row>17</xdr:row>
          <xdr:rowOff>0</xdr:rowOff>
        </xdr:to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sle15="http://schemas.microsoft.com/office/drawing/2012/slicer" Requires="sle15">
      <xdr:twoCellAnchor editAs="oneCell">
        <xdr:from>
          <xdr:col>2</xdr:col>
          <xdr:colOff>38100</xdr:colOff>
          <xdr:row>11</xdr:row>
          <xdr:rowOff>0</xdr:rowOff>
        </xdr:from>
        <xdr:to>
          <xdr:col>6</xdr:col>
          <xdr:colOff>-38100</xdr:colOff>
          <xdr:row>17</xdr:row>
          <xdr:rowOff>0</xdr:rowOff>
        </xdr:to>
        <xdr:graphicFrame macro="">
          <xdr:nvGraphicFramePr>
            <xdr:cNvPr id="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  <xdr:clientData/>
      </xdr:twoCellAnchor>
    </mc:Choice>
    <mc:Fallback>
      <xdr:twoCellAnchor editAs="oneCell">
        <xdr:from>
          <xdr:col>2</xdr:col>
          <xdr:colOff>38100</xdr:colOff>
          <xdr:row>11</xdr:row>
          <xdr:rowOff>0</xdr:rowOff>
        </xdr:from>
        <xdr:to>
          <xdr:col>6</xdr:col>
          <xdr:colOff>0</xdr:colOff>
          <xdr:row>17</xdr:row>
          <xdr:rowOff>0</xdr:rowOff>
        </xdr:to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sle15="http://schemas.microsoft.com/office/drawing/2012/slicer" Requires="sle15">
      <xdr:twoCellAnchor editAs="oneCell">
        <xdr:from>
          <xdr:col>6</xdr:col>
          <xdr:colOff>38100</xdr:colOff>
          <xdr:row>11</xdr:row>
          <xdr:rowOff>0</xdr:rowOff>
        </xdr:from>
        <xdr:to>
          <xdr:col>12</xdr:col>
          <xdr:colOff>-38100</xdr:colOff>
          <xdr:row>17</xdr:row>
          <xdr:rowOff>0</xdr:rowOff>
        </xdr:to>
        <xdr:graphicFrame macro="">
          <xdr:nvGraphicFramePr>
            <xdr:cNvPr id="10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  <xdr:clientData/>
      </xdr:twoCellAnchor>
    </mc:Choice>
    <mc:Fallback>
      <xdr:twoCellAnchor editAs="oneCell">
        <xdr:from>
          <xdr:col>6</xdr:col>
          <xdr:colOff>38100</xdr:colOff>
          <xdr:row>11</xdr:row>
          <xdr:rowOff>0</xdr:rowOff>
        </xdr:from>
        <xdr:to>
          <xdr:col>12</xdr:col>
          <xdr:colOff>0</xdr:colOff>
          <xdr:row>17</xdr:row>
          <xdr:rowOff>0</xdr:rowOff>
        </xdr:to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0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61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46</xdr:row>
      <xdr:rowOff>0</xdr:rowOff>
    </xdr:from>
    <xdr:ext cx="61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64</xdr:row>
      <xdr:rowOff>0</xdr:rowOff>
    </xdr:from>
    <xdr:ext cx="61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0</xdr:colOff>
      <xdr:row>82</xdr:row>
      <xdr:rowOff>0</xdr:rowOff>
    </xdr:from>
    <xdr:ext cx="612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61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121920</xdr:colOff>
      <xdr:row>40</xdr:row>
      <xdr:rowOff>152400</xdr:rowOff>
    </xdr:from>
    <xdr:ext cx="6120000" cy="32766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65</xdr:row>
      <xdr:rowOff>0</xdr:rowOff>
    </xdr:from>
    <xdr:ext cx="61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20</xdr:row>
      <xdr:rowOff>0</xdr:rowOff>
    </xdr:from>
    <xdr:ext cx="61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350520</xdr:colOff>
      <xdr:row>42</xdr:row>
      <xdr:rowOff>99060</xdr:rowOff>
    </xdr:from>
    <xdr:ext cx="61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487680</xdr:colOff>
      <xdr:row>1</xdr:row>
      <xdr:rowOff>22860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502920</xdr:colOff>
      <xdr:row>18</xdr:row>
      <xdr:rowOff>0</xdr:rowOff>
    </xdr:from>
    <xdr:ext cx="61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365760</xdr:colOff>
      <xdr:row>48</xdr:row>
      <xdr:rowOff>99060</xdr:rowOff>
    </xdr:from>
    <xdr:ext cx="61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297180</xdr:colOff>
      <xdr:row>5</xdr:row>
      <xdr:rowOff>160020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342900</xdr:colOff>
      <xdr:row>30</xdr:row>
      <xdr:rowOff>160020</xdr:rowOff>
    </xdr:from>
    <xdr:ext cx="61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228600</xdr:colOff>
      <xdr:row>48</xdr:row>
      <xdr:rowOff>152400</xdr:rowOff>
    </xdr:from>
    <xdr:ext cx="61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extLst>
    <x:ext xmlns:x15="http://schemas.microsoft.com/office/spreadsheetml/2010/11/main" uri="{2F2917AC-EB37-4324-AD4E-5DD8C200BD13}">
      <x15:tableSlicerCache tableId="1" column="1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extLst>
    <x:ext xmlns:x15="http://schemas.microsoft.com/office/spreadsheetml/2010/11/main" uri="{2F2917AC-EB37-4324-AD4E-5DD8C200BD13}">
      <x15:tableSlicerCache tableId="1" column="1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columnCount="2" rowHeight="241300"/>
  <slicer name="Category" cache="Slicer_Category" caption="Category" columnCount="3" rowHeight="241300"/>
  <slicer name="State" cache="Slicer_State" caption="State" columnCount="5" rowHeight="241300"/>
</slicers>
</file>

<file path=xl/tables/table1.xml><?xml version="1.0" encoding="utf-8"?>
<table xmlns="http://schemas.openxmlformats.org/spreadsheetml/2006/main" id="1" name="tblData" displayName="tblData" ref="A1:AG5001" totalsRowShown="0">
  <autoFilter ref="A1:AG5001"/>
  <tableColumns count="33">
    <tableColumn id="1" name="Order_ID"/>
    <tableColumn id="2" name="Order_Date"/>
    <tableColumn id="3" name="Year"/>
    <tableColumn id="4" name="Month"/>
    <tableColumn id="5" name="Month_Name"/>
    <tableColumn id="6" name="Quarter"/>
    <tableColumn id="7" name="Customer_ID"/>
    <tableColumn id="8" name="Customer_Name"/>
    <tableColumn id="9" name="Gender"/>
    <tableColumn id="10" name="Age"/>
    <tableColumn id="11" name="Age_Group"/>
    <tableColumn id="12" name="City"/>
    <tableColumn id="13" name="State"/>
    <tableColumn id="14" name="Product_ID"/>
    <tableColumn id="15" name="Product_Name"/>
    <tableColumn id="16" name="Category"/>
    <tableColumn id="17" name="Sub_Category"/>
    <tableColumn id="18" name="Quantity"/>
    <tableColumn id="19" name="Unit_Price"/>
    <tableColumn id="20" name="Discount"/>
    <tableColumn id="21" name="Sales"/>
    <tableColumn id="22" name="Cost"/>
    <tableColumn id="23" name="Profit"/>
    <tableColumn id="24" name="Payment_Mode"/>
    <tableColumn id="25" name="Order_Status"/>
    <tableColumn id="26" name="Marketing_Channel"/>
    <tableColumn id="27" name="Campaign"/>
    <tableColumn id="28" name="Rating"/>
    <tableColumn id="29" name="Shipping_Cost"/>
    <tableColumn id="30" name="Marketing_Cost"/>
    <tableColumn id="31" name="Net_Profit"/>
    <tableColumn id="32" name="Year_Month"/>
    <tableColumn id="33" name="Visibl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A1:L11"/>
  <sheetViews>
    <sheetView showGridLines="0" tabSelected="1" workbookViewId="0">
      <selection activeCell="G29" sqref="G29"/>
    </sheetView>
  </sheetViews>
  <sheetFormatPr defaultRowHeight="14.4" x14ac:dyDescent="0.3"/>
  <cols>
    <col min="1" max="12" width="13" customWidth="1"/>
  </cols>
  <sheetData>
    <row r="1" spans="1:12" ht="37.950000000000003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23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3">
      <c r="H3" s="1" t="s">
        <v>2</v>
      </c>
    </row>
    <row r="4" spans="1:12" x14ac:dyDescent="0.3">
      <c r="A4" s="2" t="s">
        <v>3</v>
      </c>
      <c r="B4" s="14" t="s">
        <v>4</v>
      </c>
      <c r="C4" s="2" t="s">
        <v>5</v>
      </c>
      <c r="D4" s="14" t="s">
        <v>4</v>
      </c>
      <c r="E4" s="2" t="s">
        <v>6</v>
      </c>
      <c r="F4" s="14" t="s">
        <v>4</v>
      </c>
      <c r="H4" s="1" t="str">
        <f>IF(B4="All","&lt;&gt;",VALUE(B4))</f>
        <v>&lt;&gt;</v>
      </c>
      <c r="I4" s="1" t="str">
        <f>IF(D4="All","&lt;&gt;",D4)</f>
        <v>&lt;&gt;</v>
      </c>
      <c r="J4" s="1" t="str">
        <f>IF(F4="All","&lt;&gt;",F4)</f>
        <v>&lt;&gt;</v>
      </c>
    </row>
    <row r="6" spans="1:12" x14ac:dyDescent="0.3">
      <c r="A6" s="20" t="s">
        <v>7</v>
      </c>
      <c r="B6" s="18"/>
      <c r="C6" s="20" t="s">
        <v>8</v>
      </c>
      <c r="D6" s="18"/>
      <c r="E6" s="20" t="s">
        <v>9</v>
      </c>
      <c r="F6" s="18"/>
      <c r="G6" s="20" t="s">
        <v>10</v>
      </c>
      <c r="H6" s="18"/>
      <c r="I6" s="20" t="s">
        <v>11</v>
      </c>
      <c r="J6" s="18"/>
      <c r="K6" s="20" t="s">
        <v>12</v>
      </c>
      <c r="L6" s="18"/>
    </row>
    <row r="7" spans="1:12" ht="25.95" customHeight="1" x14ac:dyDescent="0.4">
      <c r="A7" s="17">
        <f>SUMIFS(dSales,dYear,selYear,dCat,selCat,dState,selState,dVis,1)</f>
        <v>30874664.700000215</v>
      </c>
      <c r="B7" s="18"/>
      <c r="C7" s="22">
        <f>COUNTIFS(dYear,selYear,dCat,selCat,dState,selState,dVis,1)</f>
        <v>5000</v>
      </c>
      <c r="D7" s="18"/>
      <c r="E7" s="17">
        <f>IFERROR(A7/COUNTIFS(dYear,selYear,dCat,selCat,dState,selState,dVis,1,dStatus,"&lt;&gt;Cancelled"),0)</f>
        <v>6535.7037891617729</v>
      </c>
      <c r="F7" s="18"/>
      <c r="G7" s="22">
        <f>SUMIFS(dQty,dYear,selYear,dCat,selCat,dState,selState,dVis,1)</f>
        <v>11042</v>
      </c>
      <c r="H7" s="18"/>
      <c r="I7" s="21">
        <f>IFERROR(COUNTIFS(dYear,selYear,dCat,selCat,dState,selState,dVis,1,dStatus,"Returned")/C7,0)</f>
        <v>7.0000000000000007E-2</v>
      </c>
      <c r="J7" s="18"/>
      <c r="K7" s="21">
        <f>IFERROR(COUNTIFS(dYear,selYear,dCat,selCat,dState,selState,dVis,1,dStatus,"Cancelled")/C7,0)</f>
        <v>5.5199999999999999E-2</v>
      </c>
      <c r="L7" s="18"/>
    </row>
    <row r="9" spans="1:12" x14ac:dyDescent="0.3">
      <c r="A9" s="20" t="s">
        <v>13</v>
      </c>
      <c r="B9" s="18"/>
      <c r="C9" s="20" t="s">
        <v>14</v>
      </c>
      <c r="D9" s="18"/>
      <c r="E9" s="20" t="s">
        <v>15</v>
      </c>
      <c r="F9" s="18"/>
      <c r="G9" s="20" t="s">
        <v>16</v>
      </c>
      <c r="H9" s="18"/>
      <c r="I9" s="20" t="s">
        <v>17</v>
      </c>
      <c r="J9" s="18"/>
      <c r="K9" s="20" t="s">
        <v>18</v>
      </c>
      <c r="L9" s="18"/>
    </row>
    <row r="10" spans="1:12" ht="25.95" customHeight="1" x14ac:dyDescent="0.4">
      <c r="A10" s="17">
        <f>SUMIFS(dProfit,dYear,selYear,dCat,selCat,dState,selState,dVis,1)</f>
        <v>9717464.6999999825</v>
      </c>
      <c r="B10" s="18"/>
      <c r="C10" s="21">
        <f>IFERROR(A10/A7,0)</f>
        <v>0.3147391168267461</v>
      </c>
      <c r="D10" s="18"/>
      <c r="E10" s="17">
        <f>SUMIFS(dNet,dYear,selYear,dCat,selCat,dState,selState,dVis,1)</f>
        <v>7080825.3299999852</v>
      </c>
      <c r="F10" s="18"/>
      <c r="G10" s="21">
        <f>IFERROR(E10/A7,0)</f>
        <v>0.229340962851005</v>
      </c>
      <c r="H10" s="18"/>
      <c r="I10" s="17">
        <f>SUMIFS(dMkt,dYear,selYear,dCat,selCat,dState,selState,dVis,1)</f>
        <v>2306889.3699999982</v>
      </c>
      <c r="J10" s="18"/>
      <c r="K10" s="19">
        <f>IFERROR(A7/I10,0)</f>
        <v>13.383678082490899</v>
      </c>
      <c r="L10" s="18"/>
    </row>
    <row r="11" spans="1:12">
      <c r="A11" s="1" t="s">
        <v>7626</v>
      </c>
    </row>
  </sheetData>
  <mergeCells count="26">
    <mergeCell ref="A2:L2"/>
    <mergeCell ref="G6:H6"/>
    <mergeCell ref="E6:F6"/>
    <mergeCell ref="K6:L6"/>
    <mergeCell ref="K7:L7"/>
    <mergeCell ref="I10:J10"/>
    <mergeCell ref="C6:D6"/>
    <mergeCell ref="I6:J6"/>
    <mergeCell ref="K9:L9"/>
    <mergeCell ref="A6:B6"/>
    <mergeCell ref="A1:L1"/>
    <mergeCell ref="A10:B10"/>
    <mergeCell ref="K10:L10"/>
    <mergeCell ref="A9:B9"/>
    <mergeCell ref="G9:H9"/>
    <mergeCell ref="I9:J9"/>
    <mergeCell ref="C10:D10"/>
    <mergeCell ref="A7:B7"/>
    <mergeCell ref="G7:H7"/>
    <mergeCell ref="E10:F10"/>
    <mergeCell ref="I7:J7"/>
    <mergeCell ref="G10:H10"/>
    <mergeCell ref="C9:D9"/>
    <mergeCell ref="E9:F9"/>
    <mergeCell ref="C7:D7"/>
    <mergeCell ref="E7:F7"/>
  </mergeCells>
  <dataValidations count="3">
    <dataValidation type="list" sqref="B4" xr:uid="{00000000-0002-0000-0000-000000000000}">
      <formula1>"All,2025,2026"</formula1>
    </dataValidation>
    <dataValidation type="list" sqref="D4" xr:uid="{00000000-0002-0000-0000-000001000000}">
      <formula1>"All,Electronics,Home &amp; Kitchen,Fashion,Beauty,Sports,Accessories"</formula1>
    </dataValidation>
    <dataValidation type="list" sqref="F4" xr:uid="{00000000-0002-0000-0000-000002000000}">
      <formula1>"All,Uttar Pradesh,Maharashtra,Karnataka,Tamil Nadu,Delhi,Rajasthan,Telangana,Gujarat,West Bengal,Bihar"</formula1>
    </dataValidation>
  </dataValidation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46E5"/>
  </sheetPr>
  <dimension ref="A1:E89"/>
  <sheetViews>
    <sheetView showGridLines="0" topLeftCell="A4" workbookViewId="0">
      <selection activeCell="D4" sqref="D4"/>
    </sheetView>
  </sheetViews>
  <sheetFormatPr defaultRowHeight="14.4" x14ac:dyDescent="0.3"/>
  <cols>
    <col min="1" max="1" width="18" customWidth="1"/>
    <col min="2" max="2" width="14" customWidth="1"/>
    <col min="3" max="3" width="16" customWidth="1"/>
    <col min="4" max="4" width="12.5546875" bestFit="1" customWidth="1"/>
    <col min="5" max="5" width="17.33203125" bestFit="1" customWidth="1"/>
    <col min="6" max="7" width="14" customWidth="1"/>
  </cols>
  <sheetData>
    <row r="1" spans="1:5" ht="21" x14ac:dyDescent="0.4">
      <c r="A1" s="24" t="s">
        <v>19</v>
      </c>
    </row>
    <row r="2" spans="1:5" x14ac:dyDescent="0.3">
      <c r="A2" s="25" t="s">
        <v>20</v>
      </c>
    </row>
    <row r="4" spans="1:5" ht="15.6" x14ac:dyDescent="0.3">
      <c r="A4" s="26" t="s">
        <v>21</v>
      </c>
    </row>
    <row r="5" spans="1:5" x14ac:dyDescent="0.3">
      <c r="A5" s="6" t="s">
        <v>22</v>
      </c>
      <c r="B5" s="6" t="s">
        <v>8</v>
      </c>
      <c r="C5" s="6" t="s">
        <v>23</v>
      </c>
      <c r="D5" s="6" t="s">
        <v>24</v>
      </c>
      <c r="E5" s="6" t="s">
        <v>9</v>
      </c>
    </row>
    <row r="6" spans="1:5" x14ac:dyDescent="0.3">
      <c r="A6" t="s">
        <v>25</v>
      </c>
      <c r="B6" s="7">
        <f t="shared" ref="B6:B26" si="0">COUNTIFS(dYear,selYear,dCat,selCat,dState,selState,dVis,1,dMon,$A6)</f>
        <v>237</v>
      </c>
      <c r="C6" s="7">
        <f t="shared" ref="C6:C26" si="1">SUMIFS(dSales,dYear,selYear,dCat,selCat,dState,selState,dVis,1,dMon,$A6)</f>
        <v>1470563.350000001</v>
      </c>
      <c r="D6" s="7">
        <f t="shared" ref="D6:D26" si="2">SUMIFS(dQty,dYear,selYear,dCat,selCat,dState,selState,dVis,1,dMon,$A6)</f>
        <v>492</v>
      </c>
      <c r="E6" s="7">
        <f t="shared" ref="E6:E26" si="3">IFERROR(C6/COUNTIFS(dYear,selYear,dCat,selCat,dState,selState,dVis,1,dMon,$A6,dStatus,"&lt;&gt;Cancelled"),0)</f>
        <v>6565.0149553571473</v>
      </c>
    </row>
    <row r="7" spans="1:5" x14ac:dyDescent="0.3">
      <c r="A7" t="s">
        <v>26</v>
      </c>
      <c r="B7" s="7">
        <f t="shared" si="0"/>
        <v>203</v>
      </c>
      <c r="C7" s="7">
        <f t="shared" si="1"/>
        <v>1212539.8500000001</v>
      </c>
      <c r="D7" s="7">
        <f t="shared" si="2"/>
        <v>460</v>
      </c>
      <c r="E7" s="7">
        <f t="shared" si="3"/>
        <v>6449.6800531914896</v>
      </c>
    </row>
    <row r="8" spans="1:5" x14ac:dyDescent="0.3">
      <c r="A8" t="s">
        <v>27</v>
      </c>
      <c r="B8" s="7">
        <f t="shared" si="0"/>
        <v>274</v>
      </c>
      <c r="C8" s="7">
        <f t="shared" si="1"/>
        <v>1706082.2000000004</v>
      </c>
      <c r="D8" s="7">
        <f t="shared" si="2"/>
        <v>609</v>
      </c>
      <c r="E8" s="7">
        <f t="shared" si="3"/>
        <v>6612.7217054263583</v>
      </c>
    </row>
    <row r="9" spans="1:5" x14ac:dyDescent="0.3">
      <c r="A9" t="s">
        <v>28</v>
      </c>
      <c r="B9" s="7">
        <f t="shared" si="0"/>
        <v>236</v>
      </c>
      <c r="C9" s="7">
        <f t="shared" si="1"/>
        <v>1389047.0000000002</v>
      </c>
      <c r="D9" s="7">
        <f t="shared" si="2"/>
        <v>519</v>
      </c>
      <c r="E9" s="7">
        <f t="shared" si="3"/>
        <v>6430.7731481481496</v>
      </c>
    </row>
    <row r="10" spans="1:5" x14ac:dyDescent="0.3">
      <c r="A10" t="s">
        <v>29</v>
      </c>
      <c r="B10" s="7">
        <f t="shared" si="0"/>
        <v>246</v>
      </c>
      <c r="C10" s="7">
        <f t="shared" si="1"/>
        <v>1694242.8500000003</v>
      </c>
      <c r="D10" s="7">
        <f t="shared" si="2"/>
        <v>556</v>
      </c>
      <c r="E10" s="7">
        <f t="shared" si="3"/>
        <v>7240.354059829061</v>
      </c>
    </row>
    <row r="11" spans="1:5" x14ac:dyDescent="0.3">
      <c r="A11" t="s">
        <v>30</v>
      </c>
      <c r="B11" s="7">
        <f t="shared" si="0"/>
        <v>232</v>
      </c>
      <c r="C11" s="7">
        <f t="shared" si="1"/>
        <v>1448850.9999999993</v>
      </c>
      <c r="D11" s="7">
        <f t="shared" si="2"/>
        <v>519</v>
      </c>
      <c r="E11" s="7">
        <f t="shared" si="3"/>
        <v>6555.8868778280512</v>
      </c>
    </row>
    <row r="12" spans="1:5" x14ac:dyDescent="0.3">
      <c r="A12" t="s">
        <v>31</v>
      </c>
      <c r="B12" s="7">
        <f t="shared" si="0"/>
        <v>253</v>
      </c>
      <c r="C12" s="7">
        <f t="shared" si="1"/>
        <v>1639832.1500000013</v>
      </c>
      <c r="D12" s="7">
        <f t="shared" si="2"/>
        <v>559</v>
      </c>
      <c r="E12" s="7">
        <f t="shared" si="3"/>
        <v>6948.4413135593277</v>
      </c>
    </row>
    <row r="13" spans="1:5" x14ac:dyDescent="0.3">
      <c r="A13" t="s">
        <v>32</v>
      </c>
      <c r="B13" s="7">
        <f t="shared" si="0"/>
        <v>250</v>
      </c>
      <c r="C13" s="7">
        <f t="shared" si="1"/>
        <v>1440786.9000000006</v>
      </c>
      <c r="D13" s="7">
        <f t="shared" si="2"/>
        <v>542</v>
      </c>
      <c r="E13" s="7">
        <f t="shared" si="3"/>
        <v>6003.2787500000022</v>
      </c>
    </row>
    <row r="14" spans="1:5" x14ac:dyDescent="0.3">
      <c r="A14" t="s">
        <v>33</v>
      </c>
      <c r="B14" s="7">
        <f t="shared" si="0"/>
        <v>226</v>
      </c>
      <c r="C14" s="7">
        <f t="shared" si="1"/>
        <v>1530080.4999999991</v>
      </c>
      <c r="D14" s="7">
        <f t="shared" si="2"/>
        <v>498</v>
      </c>
      <c r="E14" s="7">
        <f t="shared" si="3"/>
        <v>7051.0622119815625</v>
      </c>
    </row>
    <row r="15" spans="1:5" x14ac:dyDescent="0.3">
      <c r="A15" t="s">
        <v>34</v>
      </c>
      <c r="B15" s="7">
        <f t="shared" si="0"/>
        <v>226</v>
      </c>
      <c r="C15" s="7">
        <f t="shared" si="1"/>
        <v>1550397.800000001</v>
      </c>
      <c r="D15" s="7">
        <f t="shared" si="2"/>
        <v>503</v>
      </c>
      <c r="E15" s="7">
        <f t="shared" si="3"/>
        <v>7047.2627272727314</v>
      </c>
    </row>
    <row r="16" spans="1:5" x14ac:dyDescent="0.3">
      <c r="A16" t="s">
        <v>35</v>
      </c>
      <c r="B16" s="7">
        <f t="shared" si="0"/>
        <v>243</v>
      </c>
      <c r="C16" s="7">
        <f t="shared" si="1"/>
        <v>1500454.7500000002</v>
      </c>
      <c r="D16" s="7">
        <f t="shared" si="2"/>
        <v>548</v>
      </c>
      <c r="E16" s="7">
        <f t="shared" si="3"/>
        <v>6609.9328193832607</v>
      </c>
    </row>
    <row r="17" spans="1:5" x14ac:dyDescent="0.3">
      <c r="A17" t="s">
        <v>36</v>
      </c>
      <c r="B17" s="7">
        <f t="shared" si="0"/>
        <v>217</v>
      </c>
      <c r="C17" s="7">
        <f t="shared" si="1"/>
        <v>1350451.95</v>
      </c>
      <c r="D17" s="7">
        <f t="shared" si="2"/>
        <v>493</v>
      </c>
      <c r="E17" s="7">
        <f t="shared" si="3"/>
        <v>6652.4726600985223</v>
      </c>
    </row>
    <row r="18" spans="1:5" x14ac:dyDescent="0.3">
      <c r="A18" t="s">
        <v>37</v>
      </c>
      <c r="B18" s="7">
        <f t="shared" si="0"/>
        <v>246</v>
      </c>
      <c r="C18" s="7">
        <f t="shared" si="1"/>
        <v>1559447.1</v>
      </c>
      <c r="D18" s="7">
        <f t="shared" si="2"/>
        <v>546</v>
      </c>
      <c r="E18" s="7">
        <f t="shared" si="3"/>
        <v>6839.6802631578948</v>
      </c>
    </row>
    <row r="19" spans="1:5" x14ac:dyDescent="0.3">
      <c r="A19" t="s">
        <v>38</v>
      </c>
      <c r="B19" s="7">
        <f t="shared" si="0"/>
        <v>188</v>
      </c>
      <c r="C19" s="7">
        <f t="shared" si="1"/>
        <v>1061380.6999999997</v>
      </c>
      <c r="D19" s="7">
        <f t="shared" si="2"/>
        <v>444</v>
      </c>
      <c r="E19" s="7">
        <f t="shared" si="3"/>
        <v>5929.5011173184339</v>
      </c>
    </row>
    <row r="20" spans="1:5" x14ac:dyDescent="0.3">
      <c r="A20" t="s">
        <v>39</v>
      </c>
      <c r="B20" s="7">
        <f t="shared" si="0"/>
        <v>263</v>
      </c>
      <c r="C20" s="7">
        <f t="shared" si="1"/>
        <v>1496488.0499999998</v>
      </c>
      <c r="D20" s="7">
        <f t="shared" si="2"/>
        <v>587</v>
      </c>
      <c r="E20" s="7">
        <f t="shared" si="3"/>
        <v>5938.4446428571418</v>
      </c>
    </row>
    <row r="21" spans="1:5" x14ac:dyDescent="0.3">
      <c r="A21" t="s">
        <v>40</v>
      </c>
      <c r="B21" s="7">
        <f t="shared" si="0"/>
        <v>232</v>
      </c>
      <c r="C21" s="7">
        <f t="shared" si="1"/>
        <v>1265460.0000000007</v>
      </c>
      <c r="D21" s="7">
        <f t="shared" si="2"/>
        <v>510</v>
      </c>
      <c r="E21" s="7">
        <f t="shared" si="3"/>
        <v>5649.3750000000027</v>
      </c>
    </row>
    <row r="22" spans="1:5" x14ac:dyDescent="0.3">
      <c r="A22" t="s">
        <v>41</v>
      </c>
      <c r="B22" s="7">
        <f t="shared" si="0"/>
        <v>236</v>
      </c>
      <c r="C22" s="7">
        <f t="shared" si="1"/>
        <v>1582529.2500000005</v>
      </c>
      <c r="D22" s="7">
        <f t="shared" si="2"/>
        <v>523</v>
      </c>
      <c r="E22" s="7">
        <f t="shared" si="3"/>
        <v>7033.463333333335</v>
      </c>
    </row>
    <row r="23" spans="1:5" x14ac:dyDescent="0.3">
      <c r="A23" t="s">
        <v>42</v>
      </c>
      <c r="B23" s="7">
        <f t="shared" si="0"/>
        <v>264</v>
      </c>
      <c r="C23" s="7">
        <f t="shared" si="1"/>
        <v>1495422.8000000014</v>
      </c>
      <c r="D23" s="7">
        <f t="shared" si="2"/>
        <v>566</v>
      </c>
      <c r="E23" s="7">
        <f t="shared" si="3"/>
        <v>6005.7140562249051</v>
      </c>
    </row>
    <row r="24" spans="1:5" x14ac:dyDescent="0.3">
      <c r="A24" t="s">
        <v>43</v>
      </c>
      <c r="B24" s="7">
        <f t="shared" si="0"/>
        <v>248</v>
      </c>
      <c r="C24" s="7">
        <f t="shared" si="1"/>
        <v>1646083.8000000003</v>
      </c>
      <c r="D24" s="7">
        <f t="shared" si="2"/>
        <v>541</v>
      </c>
      <c r="E24" s="7">
        <f t="shared" si="3"/>
        <v>7125.9038961038978</v>
      </c>
    </row>
    <row r="25" spans="1:5" x14ac:dyDescent="0.3">
      <c r="A25" t="s">
        <v>44</v>
      </c>
      <c r="B25" s="7">
        <f t="shared" si="0"/>
        <v>247</v>
      </c>
      <c r="C25" s="7">
        <f t="shared" si="1"/>
        <v>1462949.7500000007</v>
      </c>
      <c r="D25" s="7">
        <f t="shared" si="2"/>
        <v>521</v>
      </c>
      <c r="E25" s="7">
        <f t="shared" si="3"/>
        <v>6251.9220085470115</v>
      </c>
    </row>
    <row r="26" spans="1:5" x14ac:dyDescent="0.3">
      <c r="A26" t="s">
        <v>45</v>
      </c>
      <c r="B26" s="7">
        <f t="shared" si="0"/>
        <v>233</v>
      </c>
      <c r="C26" s="7">
        <f t="shared" si="1"/>
        <v>1371572.9500000004</v>
      </c>
      <c r="D26" s="7">
        <f t="shared" si="2"/>
        <v>506</v>
      </c>
      <c r="E26" s="7">
        <f t="shared" si="3"/>
        <v>6291.6190366972496</v>
      </c>
    </row>
    <row r="29" spans="1:5" ht="15.6" x14ac:dyDescent="0.3">
      <c r="A29" s="5" t="s">
        <v>46</v>
      </c>
    </row>
    <row r="30" spans="1:5" x14ac:dyDescent="0.3">
      <c r="A30" s="6" t="s">
        <v>5</v>
      </c>
      <c r="B30" s="6" t="s">
        <v>8</v>
      </c>
      <c r="C30" s="6" t="s">
        <v>23</v>
      </c>
      <c r="D30" s="6" t="s">
        <v>24</v>
      </c>
      <c r="E30" s="6" t="s">
        <v>47</v>
      </c>
    </row>
    <row r="31" spans="1:5" x14ac:dyDescent="0.3">
      <c r="A31" t="s">
        <v>48</v>
      </c>
      <c r="B31" s="7">
        <f t="shared" ref="B31:B36" si="4">COUNTIFS(dYear,selYear,dCat,selCat,dState,selState,dVis,1,dCat,$A31)</f>
        <v>1190</v>
      </c>
      <c r="C31" s="7">
        <f t="shared" ref="C31:C36" si="5">SUMIFS(dSales,dYear,selYear,dCat,selCat,dState,selState,dVis,1,dCat,$A31)</f>
        <v>15609511.350000031</v>
      </c>
      <c r="D31" s="7">
        <f t="shared" ref="D31:D36" si="6">SUMIFS(dQty,dYear,selYear,dCat,selCat,dState,selState,dVis,1,dCat,$A31)</f>
        <v>2588</v>
      </c>
      <c r="E31" s="8">
        <f t="shared" ref="E31:E36" si="7">IFERROR(C31/SUM(C$31:C$36),0)</f>
        <v>0.50557670833588098</v>
      </c>
    </row>
    <row r="32" spans="1:5" x14ac:dyDescent="0.3">
      <c r="A32" t="s">
        <v>49</v>
      </c>
      <c r="B32" s="7">
        <f t="shared" si="4"/>
        <v>1282</v>
      </c>
      <c r="C32" s="7">
        <f t="shared" si="5"/>
        <v>7516883.5499999933</v>
      </c>
      <c r="D32" s="7">
        <f t="shared" si="6"/>
        <v>2882</v>
      </c>
      <c r="E32" s="8">
        <f t="shared" si="7"/>
        <v>0.24346445938893024</v>
      </c>
    </row>
    <row r="33" spans="1:5" x14ac:dyDescent="0.3">
      <c r="A33" t="s">
        <v>50</v>
      </c>
      <c r="B33" s="7">
        <f t="shared" si="4"/>
        <v>995</v>
      </c>
      <c r="C33" s="7">
        <f t="shared" si="5"/>
        <v>2995938.4999999981</v>
      </c>
      <c r="D33" s="7">
        <f t="shared" si="6"/>
        <v>2159</v>
      </c>
      <c r="E33" s="8">
        <f t="shared" si="7"/>
        <v>9.7035499141792977E-2</v>
      </c>
    </row>
    <row r="34" spans="1:5" x14ac:dyDescent="0.3">
      <c r="A34" t="s">
        <v>51</v>
      </c>
      <c r="B34" s="7">
        <f t="shared" si="4"/>
        <v>501</v>
      </c>
      <c r="C34" s="7">
        <f t="shared" si="5"/>
        <v>1904279.3000000017</v>
      </c>
      <c r="D34" s="7">
        <f t="shared" si="6"/>
        <v>1132</v>
      </c>
      <c r="E34" s="8">
        <f t="shared" si="7"/>
        <v>6.1677732163355294E-2</v>
      </c>
    </row>
    <row r="35" spans="1:5" x14ac:dyDescent="0.3">
      <c r="A35" t="s">
        <v>52</v>
      </c>
      <c r="B35" s="7">
        <f t="shared" si="4"/>
        <v>503</v>
      </c>
      <c r="C35" s="7">
        <f t="shared" si="5"/>
        <v>1600074.9500000009</v>
      </c>
      <c r="D35" s="7">
        <f t="shared" si="6"/>
        <v>1131</v>
      </c>
      <c r="E35" s="8">
        <f t="shared" si="7"/>
        <v>5.1824852692246397E-2</v>
      </c>
    </row>
    <row r="36" spans="1:5" x14ac:dyDescent="0.3">
      <c r="A36" t="s">
        <v>53</v>
      </c>
      <c r="B36" s="7">
        <f t="shared" si="4"/>
        <v>529</v>
      </c>
      <c r="C36" s="7">
        <f t="shared" si="5"/>
        <v>1247977.0500000014</v>
      </c>
      <c r="D36" s="7">
        <f t="shared" si="6"/>
        <v>1150</v>
      </c>
      <c r="E36" s="8">
        <f t="shared" si="7"/>
        <v>4.0420748277794273E-2</v>
      </c>
    </row>
    <row r="47" spans="1:5" ht="15.6" x14ac:dyDescent="0.3">
      <c r="A47" s="5" t="s">
        <v>54</v>
      </c>
    </row>
    <row r="48" spans="1:5" x14ac:dyDescent="0.3">
      <c r="A48" s="6" t="s">
        <v>6</v>
      </c>
      <c r="B48" s="6" t="s">
        <v>8</v>
      </c>
      <c r="C48" s="6" t="s">
        <v>23</v>
      </c>
      <c r="D48" s="6" t="s">
        <v>24</v>
      </c>
    </row>
    <row r="49" spans="1:4" x14ac:dyDescent="0.3">
      <c r="A49" t="s">
        <v>55</v>
      </c>
      <c r="B49" s="7">
        <f t="shared" ref="B49:B58" si="8">COUNTIFS(dYear,selYear,dCat,selCat,dState,selState,dVis,1,dState,$A49)</f>
        <v>1122</v>
      </c>
      <c r="C49" s="7">
        <f t="shared" ref="C49:C58" si="9">SUMIFS(dSales,dYear,selYear,dCat,selCat,dState,selState,dVis,1,dState,$A49)</f>
        <v>7224772.3499999912</v>
      </c>
      <c r="D49" s="7">
        <f t="shared" ref="D49:D58" si="10">SUMIFS(dQty,dYear,selYear,dCat,selCat,dState,selState,dVis,1,dState,$A49)</f>
        <v>2489</v>
      </c>
    </row>
    <row r="50" spans="1:4" x14ac:dyDescent="0.3">
      <c r="A50" t="s">
        <v>56</v>
      </c>
      <c r="B50" s="7">
        <f t="shared" si="8"/>
        <v>722</v>
      </c>
      <c r="C50" s="7">
        <f t="shared" si="9"/>
        <v>4399844.4999999935</v>
      </c>
      <c r="D50" s="7">
        <f t="shared" si="10"/>
        <v>1609</v>
      </c>
    </row>
    <row r="51" spans="1:4" x14ac:dyDescent="0.3">
      <c r="A51" t="s">
        <v>57</v>
      </c>
      <c r="B51" s="7">
        <f t="shared" si="8"/>
        <v>553</v>
      </c>
      <c r="C51" s="7">
        <f t="shared" si="9"/>
        <v>3585568.0000000028</v>
      </c>
      <c r="D51" s="7">
        <f t="shared" si="10"/>
        <v>1245</v>
      </c>
    </row>
    <row r="52" spans="1:4" x14ac:dyDescent="0.3">
      <c r="A52" t="s">
        <v>58</v>
      </c>
      <c r="B52" s="7">
        <f t="shared" si="8"/>
        <v>545</v>
      </c>
      <c r="C52" s="7">
        <f t="shared" si="9"/>
        <v>3277211.200000002</v>
      </c>
      <c r="D52" s="7">
        <f t="shared" si="10"/>
        <v>1211</v>
      </c>
    </row>
    <row r="53" spans="1:4" x14ac:dyDescent="0.3">
      <c r="A53" t="s">
        <v>59</v>
      </c>
      <c r="B53" s="7">
        <f t="shared" si="8"/>
        <v>464</v>
      </c>
      <c r="C53" s="7">
        <f t="shared" si="9"/>
        <v>2986182.6500000018</v>
      </c>
      <c r="D53" s="7">
        <f t="shared" si="10"/>
        <v>1003</v>
      </c>
    </row>
    <row r="54" spans="1:4" x14ac:dyDescent="0.3">
      <c r="A54" t="s">
        <v>60</v>
      </c>
      <c r="B54" s="7">
        <f t="shared" si="8"/>
        <v>370</v>
      </c>
      <c r="C54" s="7">
        <f t="shared" si="9"/>
        <v>2241649.600000001</v>
      </c>
      <c r="D54" s="7">
        <f t="shared" si="10"/>
        <v>836</v>
      </c>
    </row>
    <row r="55" spans="1:4" x14ac:dyDescent="0.3">
      <c r="A55" t="s">
        <v>61</v>
      </c>
      <c r="B55" s="7">
        <f t="shared" si="8"/>
        <v>367</v>
      </c>
      <c r="C55" s="7">
        <f t="shared" si="9"/>
        <v>2127694.2500000014</v>
      </c>
      <c r="D55" s="7">
        <f t="shared" si="10"/>
        <v>825</v>
      </c>
    </row>
    <row r="56" spans="1:4" x14ac:dyDescent="0.3">
      <c r="A56" t="s">
        <v>62</v>
      </c>
      <c r="B56" s="7">
        <f t="shared" si="8"/>
        <v>332</v>
      </c>
      <c r="C56" s="7">
        <f t="shared" si="9"/>
        <v>2047458.0000000007</v>
      </c>
      <c r="D56" s="7">
        <f t="shared" si="10"/>
        <v>730</v>
      </c>
    </row>
    <row r="57" spans="1:4" x14ac:dyDescent="0.3">
      <c r="A57" t="s">
        <v>63</v>
      </c>
      <c r="B57" s="7">
        <f t="shared" si="8"/>
        <v>289</v>
      </c>
      <c r="C57" s="7">
        <f t="shared" si="9"/>
        <v>1549076.3500000015</v>
      </c>
      <c r="D57" s="7">
        <f t="shared" si="10"/>
        <v>588</v>
      </c>
    </row>
    <row r="58" spans="1:4" x14ac:dyDescent="0.3">
      <c r="A58" t="s">
        <v>64</v>
      </c>
      <c r="B58" s="7">
        <f t="shared" si="8"/>
        <v>236</v>
      </c>
      <c r="C58" s="7">
        <f t="shared" si="9"/>
        <v>1435207.8000000007</v>
      </c>
      <c r="D58" s="7">
        <f t="shared" si="10"/>
        <v>506</v>
      </c>
    </row>
    <row r="65" spans="1:4" ht="15.6" x14ac:dyDescent="0.3">
      <c r="A65" s="5" t="s">
        <v>65</v>
      </c>
    </row>
    <row r="66" spans="1:4" x14ac:dyDescent="0.3">
      <c r="A66" s="6" t="s">
        <v>66</v>
      </c>
      <c r="B66" s="6" t="s">
        <v>8</v>
      </c>
      <c r="C66" s="6" t="s">
        <v>23</v>
      </c>
      <c r="D66" s="6" t="s">
        <v>67</v>
      </c>
    </row>
    <row r="67" spans="1:4" x14ac:dyDescent="0.3">
      <c r="A67" t="s">
        <v>68</v>
      </c>
      <c r="B67" s="7">
        <f>COUNTIFS(dYear,selYear,dCat,selCat,dState,selState,dVis,1,dStatus,$A67)</f>
        <v>4219</v>
      </c>
      <c r="C67" s="7">
        <f>SUMIFS(dSales,dYear,selYear,dCat,selCat,dState,selState,dVis,1,dStatus,$A67)</f>
        <v>27593494.350000169</v>
      </c>
      <c r="D67" s="8">
        <f>IFERROR(B67/SUM(B$67:B$70),0)</f>
        <v>0.84379999999999999</v>
      </c>
    </row>
    <row r="68" spans="1:4" x14ac:dyDescent="0.3">
      <c r="A68" t="s">
        <v>69</v>
      </c>
      <c r="B68" s="7">
        <f>COUNTIFS(dYear,selYear,dCat,selCat,dState,selState,dVis,1,dStatus,$A68)</f>
        <v>350</v>
      </c>
      <c r="C68" s="7">
        <f>SUMIFS(dSales,dYear,selYear,dCat,selCat,dState,selState,dVis,1,dStatus,$A68)</f>
        <v>2123245.2500000009</v>
      </c>
      <c r="D68" s="8">
        <f>IFERROR(B68/SUM(B$67:B$70),0)</f>
        <v>7.0000000000000007E-2</v>
      </c>
    </row>
    <row r="69" spans="1:4" x14ac:dyDescent="0.3">
      <c r="A69" t="s">
        <v>70</v>
      </c>
      <c r="B69" s="7">
        <f>COUNTIFS(dYear,selYear,dCat,selCat,dState,selState,dVis,1,dStatus,$A69)</f>
        <v>155</v>
      </c>
      <c r="C69" s="7">
        <f>SUMIFS(dSales,dYear,selYear,dCat,selCat,dState,selState,dVis,1,dStatus,$A69)</f>
        <v>1157925.1000000008</v>
      </c>
      <c r="D69" s="8">
        <f>IFERROR(B69/SUM(B$67:B$70),0)</f>
        <v>3.1E-2</v>
      </c>
    </row>
    <row r="70" spans="1:4" x14ac:dyDescent="0.3">
      <c r="A70" t="s">
        <v>71</v>
      </c>
      <c r="B70" s="7">
        <f>COUNTIFS(dYear,selYear,dCat,selCat,dState,selState,dVis,1,dStatus,$A70)</f>
        <v>276</v>
      </c>
      <c r="C70" s="7">
        <f>SUMIFS(dSales,dYear,selYear,dCat,selCat,dState,selState,dVis,1,dStatus,$A70)</f>
        <v>0</v>
      </c>
      <c r="D70" s="8">
        <f>IFERROR(B70/SUM(B$67:B$70),0)</f>
        <v>5.5199999999999999E-2</v>
      </c>
    </row>
    <row r="83" spans="1:3" ht="15.6" x14ac:dyDescent="0.3">
      <c r="A83" s="5" t="s">
        <v>72</v>
      </c>
    </row>
    <row r="84" spans="1:3" x14ac:dyDescent="0.3">
      <c r="A84" s="6" t="s">
        <v>72</v>
      </c>
      <c r="B84" s="6" t="s">
        <v>8</v>
      </c>
      <c r="C84" s="6" t="s">
        <v>23</v>
      </c>
    </row>
    <row r="85" spans="1:3" x14ac:dyDescent="0.3">
      <c r="A85" t="s">
        <v>73</v>
      </c>
      <c r="B85" s="7">
        <f>COUNTIFS(dYear,selYear,dCat,selCat,dState,selState,dVis,1,dPay,$A85)</f>
        <v>1861</v>
      </c>
      <c r="C85" s="7">
        <f>SUMIFS(dSales,dYear,selYear,dCat,selCat,dState,selState,dVis,1,dPay,$A85)</f>
        <v>11920830.699999997</v>
      </c>
    </row>
    <row r="86" spans="1:3" x14ac:dyDescent="0.3">
      <c r="A86" t="s">
        <v>74</v>
      </c>
      <c r="B86" s="7">
        <f>COUNTIFS(dYear,selYear,dCat,selCat,dState,selState,dVis,1,dPay,$A86)</f>
        <v>1083</v>
      </c>
      <c r="C86" s="7">
        <f>SUMIFS(dSales,dYear,selYear,dCat,selCat,dState,selState,dVis,1,dPay,$A86)</f>
        <v>6976359.1999999909</v>
      </c>
    </row>
    <row r="87" spans="1:3" x14ac:dyDescent="0.3">
      <c r="A87" t="s">
        <v>75</v>
      </c>
      <c r="B87" s="7">
        <f>COUNTIFS(dYear,selYear,dCat,selCat,dState,selState,dVis,1,dPay,$A87)</f>
        <v>803</v>
      </c>
      <c r="C87" s="7">
        <f>SUMIFS(dSales,dYear,selYear,dCat,selCat,dState,selState,dVis,1,dPay,$A87)</f>
        <v>4773941.1999999946</v>
      </c>
    </row>
    <row r="88" spans="1:3" x14ac:dyDescent="0.3">
      <c r="A88" t="s">
        <v>76</v>
      </c>
      <c r="B88" s="7">
        <f>COUNTIFS(dYear,selYear,dCat,selCat,dState,selState,dVis,1,dPay,$A88)</f>
        <v>784</v>
      </c>
      <c r="C88" s="7">
        <f>SUMIFS(dSales,dYear,selYear,dCat,selCat,dState,selState,dVis,1,dPay,$A88)</f>
        <v>4528289.8499999959</v>
      </c>
    </row>
    <row r="89" spans="1:3" x14ac:dyDescent="0.3">
      <c r="A89" t="s">
        <v>77</v>
      </c>
      <c r="B89" s="7">
        <f>COUNTIFS(dYear,selYear,dCat,selCat,dState,selState,dVis,1,dPay,$A89)</f>
        <v>469</v>
      </c>
      <c r="C89" s="7">
        <f>SUMIFS(dSales,dYear,selYear,dCat,selCat,dState,selState,dVis,1,dPay,$A89)</f>
        <v>2675243.7499999991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46E5"/>
  </sheetPr>
  <dimension ref="A1:D77"/>
  <sheetViews>
    <sheetView showGridLines="0" topLeftCell="A49" workbookViewId="0">
      <selection activeCell="G47" sqref="G47"/>
    </sheetView>
  </sheetViews>
  <sheetFormatPr defaultRowHeight="14.4" x14ac:dyDescent="0.3"/>
  <cols>
    <col min="1" max="1" width="18" customWidth="1"/>
    <col min="2" max="2" width="14" customWidth="1"/>
    <col min="3" max="3" width="16" customWidth="1"/>
    <col min="4" max="7" width="14" customWidth="1"/>
  </cols>
  <sheetData>
    <row r="1" spans="1:4" ht="21" x14ac:dyDescent="0.4">
      <c r="A1" s="3" t="s">
        <v>78</v>
      </c>
    </row>
    <row r="2" spans="1:4" x14ac:dyDescent="0.3">
      <c r="A2" s="4" t="s">
        <v>20</v>
      </c>
    </row>
    <row r="4" spans="1:4" ht="15.6" x14ac:dyDescent="0.3">
      <c r="A4" s="5" t="s">
        <v>79</v>
      </c>
    </row>
    <row r="5" spans="1:4" x14ac:dyDescent="0.3">
      <c r="A5" s="6" t="s">
        <v>79</v>
      </c>
      <c r="B5" s="6" t="s">
        <v>8</v>
      </c>
      <c r="C5" s="6" t="s">
        <v>23</v>
      </c>
      <c r="D5" s="6" t="s">
        <v>9</v>
      </c>
    </row>
    <row r="6" spans="1:4" x14ac:dyDescent="0.3">
      <c r="A6" t="s">
        <v>80</v>
      </c>
      <c r="B6" s="7">
        <f>COUNTIFS(dYear,selYear,dCat,selCat,dState,selState,dVis,1,dAge,$A6)</f>
        <v>872</v>
      </c>
      <c r="C6" s="7">
        <f>SUMIFS(dSales,dYear,selYear,dCat,selCat,dState,selState,dVis,1,dAge,$A6)</f>
        <v>5057996.1499999985</v>
      </c>
      <c r="D6" s="7">
        <f>IFERROR(C6/COUNTIFS(dYear,selYear,dCat,selCat,dState,selState,dVis,1,dAge,$A6,dStatus,"&lt;&gt;Cancelled"),0)</f>
        <v>6175.819474969473</v>
      </c>
    </row>
    <row r="7" spans="1:4" x14ac:dyDescent="0.3">
      <c r="A7" t="s">
        <v>81</v>
      </c>
      <c r="B7" s="7">
        <f>COUNTIFS(dYear,selYear,dCat,selCat,dState,selState,dVis,1,dAge,$A7)</f>
        <v>1259</v>
      </c>
      <c r="C7" s="7">
        <f>SUMIFS(dSales,dYear,selYear,dCat,selCat,dState,selState,dVis,1,dAge,$A7)</f>
        <v>8149708.1499999827</v>
      </c>
      <c r="D7" s="7">
        <f>IFERROR(C7/COUNTIFS(dYear,selYear,dCat,selCat,dState,selState,dVis,1,dAge,$A7,dStatus,"&lt;&gt;Cancelled"),0)</f>
        <v>6831.2725481978059</v>
      </c>
    </row>
    <row r="8" spans="1:4" x14ac:dyDescent="0.3">
      <c r="A8" t="s">
        <v>82</v>
      </c>
      <c r="B8" s="7">
        <f>COUNTIFS(dYear,selYear,dCat,selCat,dState,selState,dVis,1,dAge,$A8)</f>
        <v>1200</v>
      </c>
      <c r="C8" s="7">
        <f>SUMIFS(dSales,dYear,selYear,dCat,selCat,dState,selState,dVis,1,dAge,$A8)</f>
        <v>7469763.2499999879</v>
      </c>
      <c r="D8" s="7">
        <f>IFERROR(C8/COUNTIFS(dYear,selYear,dCat,selCat,dState,selState,dVis,1,dAge,$A8,dStatus,"&lt;&gt;Cancelled"),0)</f>
        <v>6663.4819357716215</v>
      </c>
    </row>
    <row r="9" spans="1:4" x14ac:dyDescent="0.3">
      <c r="A9" t="s">
        <v>83</v>
      </c>
      <c r="B9" s="7">
        <f>COUNTIFS(dYear,selYear,dCat,selCat,dState,selState,dVis,1,dAge,$A9)</f>
        <v>1669</v>
      </c>
      <c r="C9" s="7">
        <f>SUMIFS(dSales,dYear,selYear,dCat,selCat,dState,selState,dVis,1,dAge,$A9)</f>
        <v>10197197.149999997</v>
      </c>
      <c r="D9" s="7">
        <f>IFERROR(C9/COUNTIFS(dYear,selYear,dCat,selCat,dState,selState,dVis,1,dAge,$A9,dStatus,"&lt;&gt;Cancelled"),0)</f>
        <v>6409.3005342551833</v>
      </c>
    </row>
    <row r="22" spans="1:3" ht="15.6" x14ac:dyDescent="0.3">
      <c r="A22" s="5" t="s">
        <v>84</v>
      </c>
    </row>
    <row r="23" spans="1:3" x14ac:dyDescent="0.3">
      <c r="A23" s="6" t="s">
        <v>84</v>
      </c>
      <c r="B23" s="6" t="s">
        <v>8</v>
      </c>
      <c r="C23" s="6" t="s">
        <v>23</v>
      </c>
    </row>
    <row r="24" spans="1:3" x14ac:dyDescent="0.3">
      <c r="A24" t="s">
        <v>85</v>
      </c>
      <c r="B24" s="7">
        <f>COUNTIFS(dYear,selYear,dCat,selCat,dState,selState,dVis,1,dGen,$A24)</f>
        <v>2544</v>
      </c>
      <c r="C24" s="7">
        <f>SUMIFS(dSales,dYear,selYear,dCat,selCat,dState,selState,dVis,1,dGen,$A24)</f>
        <v>15638452.750000009</v>
      </c>
    </row>
    <row r="25" spans="1:3" x14ac:dyDescent="0.3">
      <c r="A25" t="s">
        <v>86</v>
      </c>
      <c r="B25" s="7">
        <f>COUNTIFS(dYear,selYear,dCat,selCat,dState,selState,dVis,1,dGen,$A25)</f>
        <v>2328</v>
      </c>
      <c r="C25" s="7">
        <f>SUMIFS(dSales,dYear,selYear,dCat,selCat,dState,selState,dVis,1,dGen,$A25)</f>
        <v>14486127.050000031</v>
      </c>
    </row>
    <row r="26" spans="1:3" x14ac:dyDescent="0.3">
      <c r="A26" t="s">
        <v>87</v>
      </c>
      <c r="B26" s="7">
        <f>COUNTIFS(dYear,selYear,dCat,selCat,dState,selState,dVis,1,dGen,$A26)</f>
        <v>128</v>
      </c>
      <c r="C26" s="7">
        <f>SUMIFS(dSales,dYear,selYear,dCat,selCat,dState,selState,dVis,1,dGen,$A26)</f>
        <v>750084.89999999979</v>
      </c>
    </row>
    <row r="40" spans="1:3" ht="15.6" x14ac:dyDescent="0.3">
      <c r="A40" s="5" t="s">
        <v>88</v>
      </c>
    </row>
    <row r="41" spans="1:3" x14ac:dyDescent="0.3">
      <c r="A41" s="6" t="s">
        <v>89</v>
      </c>
      <c r="B41" s="6" t="s">
        <v>8</v>
      </c>
      <c r="C41" s="6" t="s">
        <v>23</v>
      </c>
    </row>
    <row r="42" spans="1:3" x14ac:dyDescent="0.3">
      <c r="A42" t="s">
        <v>90</v>
      </c>
      <c r="B42" s="7">
        <f t="shared" ref="B42:B53" si="0">COUNTIFS(dYear,selYear,dCat,selCat,dState,selState,dVis,1,dCity,$A42)</f>
        <v>291</v>
      </c>
      <c r="C42" s="7">
        <f t="shared" ref="C42:C53" si="1">SUMIFS(dSales,dYear,selYear,dCat,selCat,dState,selState,dVis,1,dCity,$A42)</f>
        <v>1676910.4000000006</v>
      </c>
    </row>
    <row r="43" spans="1:3" x14ac:dyDescent="0.3">
      <c r="A43" t="s">
        <v>91</v>
      </c>
      <c r="B43" s="7">
        <f t="shared" si="0"/>
        <v>214</v>
      </c>
      <c r="C43" s="7">
        <f t="shared" si="1"/>
        <v>1586589.2500000002</v>
      </c>
    </row>
    <row r="44" spans="1:3" x14ac:dyDescent="0.3">
      <c r="A44" t="s">
        <v>59</v>
      </c>
      <c r="B44" s="7">
        <f t="shared" si="0"/>
        <v>221</v>
      </c>
      <c r="C44" s="7">
        <f t="shared" si="1"/>
        <v>1525740.5499999993</v>
      </c>
    </row>
    <row r="45" spans="1:3" x14ac:dyDescent="0.3">
      <c r="A45" t="s">
        <v>92</v>
      </c>
      <c r="B45" s="7">
        <f t="shared" si="0"/>
        <v>243</v>
      </c>
      <c r="C45" s="7">
        <f t="shared" si="1"/>
        <v>1460442.0999999999</v>
      </c>
    </row>
    <row r="46" spans="1:3" x14ac:dyDescent="0.3">
      <c r="A46" t="s">
        <v>93</v>
      </c>
      <c r="B46" s="7">
        <f t="shared" si="0"/>
        <v>249</v>
      </c>
      <c r="C46" s="7">
        <f t="shared" si="1"/>
        <v>1435830.65</v>
      </c>
    </row>
    <row r="47" spans="1:3" x14ac:dyDescent="0.3">
      <c r="A47" t="s">
        <v>94</v>
      </c>
      <c r="B47" s="7">
        <f t="shared" si="0"/>
        <v>229</v>
      </c>
      <c r="C47" s="7">
        <f t="shared" si="1"/>
        <v>1396018.5500000005</v>
      </c>
    </row>
    <row r="48" spans="1:3" x14ac:dyDescent="0.3">
      <c r="A48" t="s">
        <v>95</v>
      </c>
      <c r="B48" s="7">
        <f t="shared" si="0"/>
        <v>205</v>
      </c>
      <c r="C48" s="7">
        <f t="shared" si="1"/>
        <v>1350361.9500000014</v>
      </c>
    </row>
    <row r="49" spans="1:3" x14ac:dyDescent="0.3">
      <c r="A49" t="s">
        <v>96</v>
      </c>
      <c r="B49" s="7">
        <f t="shared" si="0"/>
        <v>187</v>
      </c>
      <c r="C49" s="7">
        <f t="shared" si="1"/>
        <v>1279791.7500000002</v>
      </c>
    </row>
    <row r="50" spans="1:3" x14ac:dyDescent="0.3">
      <c r="A50" t="s">
        <v>97</v>
      </c>
      <c r="B50" s="7">
        <f t="shared" si="0"/>
        <v>189</v>
      </c>
      <c r="C50" s="7">
        <f t="shared" si="1"/>
        <v>1270074.8</v>
      </c>
    </row>
    <row r="51" spans="1:3" x14ac:dyDescent="0.3">
      <c r="A51" t="s">
        <v>98</v>
      </c>
      <c r="B51" s="7">
        <f t="shared" si="0"/>
        <v>181</v>
      </c>
      <c r="C51" s="7">
        <f t="shared" si="1"/>
        <v>1245650.3000000007</v>
      </c>
    </row>
    <row r="52" spans="1:3" x14ac:dyDescent="0.3">
      <c r="A52" t="s">
        <v>99</v>
      </c>
      <c r="B52" s="7">
        <f t="shared" si="0"/>
        <v>209</v>
      </c>
      <c r="C52" s="7">
        <f t="shared" si="1"/>
        <v>1197165.4000000006</v>
      </c>
    </row>
    <row r="53" spans="1:3" x14ac:dyDescent="0.3">
      <c r="A53" t="s">
        <v>100</v>
      </c>
      <c r="B53" s="7">
        <f t="shared" si="0"/>
        <v>200</v>
      </c>
      <c r="C53" s="7">
        <f t="shared" si="1"/>
        <v>1179946.8</v>
      </c>
    </row>
    <row r="58" spans="1:3" ht="15.6" x14ac:dyDescent="0.3">
      <c r="A58" s="5" t="s">
        <v>101</v>
      </c>
    </row>
    <row r="59" spans="1:3" x14ac:dyDescent="0.3">
      <c r="A59" t="s">
        <v>102</v>
      </c>
      <c r="B59" s="7">
        <f>COUNTA(Customer_List!A2:A1183)</f>
        <v>1182</v>
      </c>
    </row>
    <row r="60" spans="1:3" x14ac:dyDescent="0.3">
      <c r="A60" t="s">
        <v>103</v>
      </c>
      <c r="B60" s="8">
        <f>COUNTIF(Customer_List!C2:C1183,"&gt;1")/COUNTA(Customer_List!A2:A1183)</f>
        <v>0.92724196277495774</v>
      </c>
    </row>
    <row r="61" spans="1:3" x14ac:dyDescent="0.3">
      <c r="A61" t="s">
        <v>104</v>
      </c>
      <c r="B61" s="7">
        <f>SUM(Customer_List!D2:D1183)/COUNTA(Customer_List!A2:A1183)</f>
        <v>26120.697715736042</v>
      </c>
    </row>
    <row r="62" spans="1:3" x14ac:dyDescent="0.3">
      <c r="A62" t="s">
        <v>105</v>
      </c>
      <c r="B62" s="9">
        <f>SUM(Customer_List!C2:C1183)/COUNTA(Customer_List!A2:A1183)</f>
        <v>4.230118443316413</v>
      </c>
    </row>
    <row r="66" spans="1:4" ht="15.6" x14ac:dyDescent="0.3">
      <c r="A66" s="5" t="s">
        <v>106</v>
      </c>
    </row>
    <row r="67" spans="1:4" x14ac:dyDescent="0.3">
      <c r="A67" s="6" t="s">
        <v>107</v>
      </c>
      <c r="B67" s="6" t="s">
        <v>108</v>
      </c>
      <c r="C67" s="6" t="s">
        <v>8</v>
      </c>
      <c r="D67" s="6" t="s">
        <v>23</v>
      </c>
    </row>
    <row r="68" spans="1:4" x14ac:dyDescent="0.3">
      <c r="A68">
        <v>1</v>
      </c>
      <c r="B68" t="str">
        <f>INDEX(Customer_List!$B$2:$B$1183,MATCH(LARGE(Customer_List!$E$2:$E$1183,$A68),Customer_List!$E$2:$E$1183,0))</f>
        <v>Customer 149</v>
      </c>
      <c r="C68">
        <f>INDEX(Customer_List!$C$2:$C$1183,MATCH(LARGE(Customer_List!$E$2:$E$1183,$A68),Customer_List!$E$2:$E$1183,0))</f>
        <v>10</v>
      </c>
      <c r="D68" s="7">
        <f>INDEX(Customer_List!$D$2:$D$1183,MATCH(LARGE(Customer_List!$E$2:$E$1183,$A68),Customer_List!$E$2:$E$1183,0))</f>
        <v>151311.20000000001</v>
      </c>
    </row>
    <row r="69" spans="1:4" x14ac:dyDescent="0.3">
      <c r="A69">
        <v>2</v>
      </c>
      <c r="B69" t="str">
        <f>INDEX(Customer_List!$B$2:$B$1183,MATCH(LARGE(Customer_List!$E$2:$E$1183,$A69),Customer_List!$E$2:$E$1183,0))</f>
        <v>Customer 161</v>
      </c>
      <c r="C69">
        <f>INDEX(Customer_List!$C$2:$C$1183,MATCH(LARGE(Customer_List!$E$2:$E$1183,$A69),Customer_List!$E$2:$E$1183,0))</f>
        <v>7</v>
      </c>
      <c r="D69" s="7">
        <f>INDEX(Customer_List!$D$2:$D$1183,MATCH(LARGE(Customer_List!$E$2:$E$1183,$A69),Customer_List!$E$2:$E$1183,0))</f>
        <v>149180.35</v>
      </c>
    </row>
    <row r="70" spans="1:4" x14ac:dyDescent="0.3">
      <c r="A70">
        <v>3</v>
      </c>
      <c r="B70" t="str">
        <f>INDEX(Customer_List!$B$2:$B$1183,MATCH(LARGE(Customer_List!$E$2:$E$1183,$A70),Customer_List!$E$2:$E$1183,0))</f>
        <v>Customer 960</v>
      </c>
      <c r="C70">
        <f>INDEX(Customer_List!$C$2:$C$1183,MATCH(LARGE(Customer_List!$E$2:$E$1183,$A70),Customer_List!$E$2:$E$1183,0))</f>
        <v>7</v>
      </c>
      <c r="D70" s="7">
        <f>INDEX(Customer_List!$D$2:$D$1183,MATCH(LARGE(Customer_List!$E$2:$E$1183,$A70),Customer_List!$E$2:$E$1183,0))</f>
        <v>118298.4</v>
      </c>
    </row>
    <row r="71" spans="1:4" x14ac:dyDescent="0.3">
      <c r="A71">
        <v>4</v>
      </c>
      <c r="B71" t="str">
        <f>INDEX(Customer_List!$B$2:$B$1183,MATCH(LARGE(Customer_List!$E$2:$E$1183,$A71),Customer_List!$E$2:$E$1183,0))</f>
        <v>Customer 986</v>
      </c>
      <c r="C71">
        <f>INDEX(Customer_List!$C$2:$C$1183,MATCH(LARGE(Customer_List!$E$2:$E$1183,$A71),Customer_List!$E$2:$E$1183,0))</f>
        <v>5</v>
      </c>
      <c r="D71" s="7">
        <f>INDEX(Customer_List!$D$2:$D$1183,MATCH(LARGE(Customer_List!$E$2:$E$1183,$A71),Customer_List!$E$2:$E$1183,0))</f>
        <v>116497.40000000001</v>
      </c>
    </row>
    <row r="72" spans="1:4" x14ac:dyDescent="0.3">
      <c r="A72">
        <v>5</v>
      </c>
      <c r="B72" t="str">
        <f>INDEX(Customer_List!$B$2:$B$1183,MATCH(LARGE(Customer_List!$E$2:$E$1183,$A72),Customer_List!$E$2:$E$1183,0))</f>
        <v>Customer 97</v>
      </c>
      <c r="C72">
        <f>INDEX(Customer_List!$C$2:$C$1183,MATCH(LARGE(Customer_List!$E$2:$E$1183,$A72),Customer_List!$E$2:$E$1183,0))</f>
        <v>6</v>
      </c>
      <c r="D72" s="7">
        <f>INDEX(Customer_List!$D$2:$D$1183,MATCH(LARGE(Customer_List!$E$2:$E$1183,$A72),Customer_List!$E$2:$E$1183,0))</f>
        <v>112896.7</v>
      </c>
    </row>
    <row r="73" spans="1:4" x14ac:dyDescent="0.3">
      <c r="A73">
        <v>6</v>
      </c>
      <c r="B73" t="str">
        <f>INDEX(Customer_List!$B$2:$B$1183,MATCH(LARGE(Customer_List!$E$2:$E$1183,$A73),Customer_List!$E$2:$E$1183,0))</f>
        <v>Customer 484</v>
      </c>
      <c r="C73">
        <f>INDEX(Customer_List!$C$2:$C$1183,MATCH(LARGE(Customer_List!$E$2:$E$1183,$A73),Customer_List!$E$2:$E$1183,0))</f>
        <v>10</v>
      </c>
      <c r="D73" s="7">
        <f>INDEX(Customer_List!$D$2:$D$1183,MATCH(LARGE(Customer_List!$E$2:$E$1183,$A73),Customer_List!$E$2:$E$1183,0))</f>
        <v>110155.25</v>
      </c>
    </row>
    <row r="74" spans="1:4" x14ac:dyDescent="0.3">
      <c r="A74">
        <v>7</v>
      </c>
      <c r="B74" t="str">
        <f>INDEX(Customer_List!$B$2:$B$1183,MATCH(LARGE(Customer_List!$E$2:$E$1183,$A74),Customer_List!$E$2:$E$1183,0))</f>
        <v>Customer 944</v>
      </c>
      <c r="C74">
        <f>INDEX(Customer_List!$C$2:$C$1183,MATCH(LARGE(Customer_List!$E$2:$E$1183,$A74),Customer_List!$E$2:$E$1183,0))</f>
        <v>7</v>
      </c>
      <c r="D74" s="7">
        <f>INDEX(Customer_List!$D$2:$D$1183,MATCH(LARGE(Customer_List!$E$2:$E$1183,$A74),Customer_List!$E$2:$E$1183,0))</f>
        <v>103899.3</v>
      </c>
    </row>
    <row r="75" spans="1:4" x14ac:dyDescent="0.3">
      <c r="A75">
        <v>8</v>
      </c>
      <c r="B75" t="str">
        <f>INDEX(Customer_List!$B$2:$B$1183,MATCH(LARGE(Customer_List!$E$2:$E$1183,$A75),Customer_List!$E$2:$E$1183,0))</f>
        <v>Customer 11</v>
      </c>
      <c r="C75">
        <f>INDEX(Customer_List!$C$2:$C$1183,MATCH(LARGE(Customer_List!$E$2:$E$1183,$A75),Customer_List!$E$2:$E$1183,0))</f>
        <v>4</v>
      </c>
      <c r="D75" s="7">
        <f>INDEX(Customer_List!$D$2:$D$1183,MATCH(LARGE(Customer_List!$E$2:$E$1183,$A75),Customer_List!$E$2:$E$1183,0))</f>
        <v>102681.45</v>
      </c>
    </row>
    <row r="76" spans="1:4" x14ac:dyDescent="0.3">
      <c r="A76">
        <v>9</v>
      </c>
      <c r="B76" t="str">
        <f>INDEX(Customer_List!$B$2:$B$1183,MATCH(LARGE(Customer_List!$E$2:$E$1183,$A76),Customer_List!$E$2:$E$1183,0))</f>
        <v>Customer 623</v>
      </c>
      <c r="C76">
        <f>INDEX(Customer_List!$C$2:$C$1183,MATCH(LARGE(Customer_List!$E$2:$E$1183,$A76),Customer_List!$E$2:$E$1183,0))</f>
        <v>7</v>
      </c>
      <c r="D76" s="7">
        <f>INDEX(Customer_List!$D$2:$D$1183,MATCH(LARGE(Customer_List!$E$2:$E$1183,$A76),Customer_List!$E$2:$E$1183,0))</f>
        <v>97972.25</v>
      </c>
    </row>
    <row r="77" spans="1:4" x14ac:dyDescent="0.3">
      <c r="A77">
        <v>10</v>
      </c>
      <c r="B77" t="str">
        <f>INDEX(Customer_List!$B$2:$B$1183,MATCH(LARGE(Customer_List!$E$2:$E$1183,$A77),Customer_List!$E$2:$E$1183,0))</f>
        <v>Customer 810</v>
      </c>
      <c r="C77">
        <f>INDEX(Customer_List!$C$2:$C$1183,MATCH(LARGE(Customer_List!$E$2:$E$1183,$A77),Customer_List!$E$2:$E$1183,0))</f>
        <v>5</v>
      </c>
      <c r="D77" s="7">
        <f>INDEX(Customer_List!$D$2:$D$1183,MATCH(LARGE(Customer_List!$E$2:$E$1183,$A77),Customer_List!$E$2:$E$1183,0))</f>
        <v>97531.35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46E5"/>
  </sheetPr>
  <dimension ref="A1:H48"/>
  <sheetViews>
    <sheetView showGridLines="0" workbookViewId="0">
      <selection activeCell="J2" sqref="J2"/>
    </sheetView>
  </sheetViews>
  <sheetFormatPr defaultRowHeight="14.4" x14ac:dyDescent="0.3"/>
  <cols>
    <col min="1" max="1" width="20" customWidth="1"/>
    <col min="2" max="2" width="16" customWidth="1"/>
    <col min="3" max="3" width="12" customWidth="1"/>
    <col min="4" max="5" width="14" customWidth="1"/>
    <col min="6" max="8" width="12" customWidth="1"/>
  </cols>
  <sheetData>
    <row r="1" spans="1:8" ht="21" x14ac:dyDescent="0.4">
      <c r="A1" s="3" t="s">
        <v>109</v>
      </c>
    </row>
    <row r="2" spans="1:8" x14ac:dyDescent="0.3">
      <c r="A2" s="4" t="s">
        <v>20</v>
      </c>
    </row>
    <row r="4" spans="1:8" ht="15.6" x14ac:dyDescent="0.3">
      <c r="A4" s="5" t="s">
        <v>110</v>
      </c>
    </row>
    <row r="5" spans="1:8" x14ac:dyDescent="0.3">
      <c r="A5" s="6" t="s">
        <v>111</v>
      </c>
      <c r="B5" s="6" t="s">
        <v>5</v>
      </c>
      <c r="C5" s="6" t="s">
        <v>24</v>
      </c>
      <c r="D5" s="6" t="s">
        <v>23</v>
      </c>
      <c r="E5" s="6" t="s">
        <v>13</v>
      </c>
      <c r="F5" s="6" t="s">
        <v>112</v>
      </c>
      <c r="G5" s="6" t="s">
        <v>113</v>
      </c>
      <c r="H5" s="6" t="s">
        <v>114</v>
      </c>
    </row>
    <row r="6" spans="1:8" x14ac:dyDescent="0.3">
      <c r="A6" t="s">
        <v>115</v>
      </c>
      <c r="B6" s="10" t="str">
        <f>INDEX(Data!$P$2:$P$5001,MATCH($A6,dProd,0))</f>
        <v>Electronics</v>
      </c>
      <c r="C6" s="7">
        <f t="shared" ref="C6:C25" si="0">SUMIFS(dQty,dYear,selYear,dCat,selCat,dState,selState,dVis,1,dProd,$A6)</f>
        <v>511</v>
      </c>
      <c r="D6" s="7">
        <f t="shared" ref="D6:D25" si="1">SUMIFS(dSales,dYear,selYear,dCat,selCat,dState,selState,dVis,1,dProd,$A6)</f>
        <v>5787804.7499999935</v>
      </c>
      <c r="E6" s="7">
        <f t="shared" ref="E6:E25" si="2">SUMIFS(dProfit,dYear,selYear,dCat,selCat,dState,selState,dVis,1,dProd,$A6)</f>
        <v>1377804.7500000012</v>
      </c>
      <c r="F6" s="8">
        <f t="shared" ref="F6:F25" si="3">IFERROR(E6/D6,0)</f>
        <v>0.23805308048790047</v>
      </c>
      <c r="G6" s="8">
        <f t="shared" ref="G6:G25" si="4">IFERROR(COUNTIFS(dYear,selYear,dCat,selCat,dState,selState,dVis,1,dProd,$A6,dStatus,"Returned")/COUNTIFS(dYear,selYear,dCat,selCat,dState,selState,dVis,1,dProd,$A6),0)</f>
        <v>5.2631578947368418E-2</v>
      </c>
      <c r="H6" s="9">
        <f t="shared" ref="H6:H25" si="5">IFERROR(AVERAGEIFS(dRate,dYear,selYear,dCat,selCat,dState,selState,dVis,1,dProd,$A6),0)</f>
        <v>4.0789473684210513</v>
      </c>
    </row>
    <row r="7" spans="1:8" x14ac:dyDescent="0.3">
      <c r="A7" t="s">
        <v>116</v>
      </c>
      <c r="B7" s="10" t="str">
        <f>INDEX(Data!$P$2:$P$5001,MATCH($A7,dProd,0))</f>
        <v>Electronics</v>
      </c>
      <c r="C7" s="7">
        <f t="shared" si="0"/>
        <v>443</v>
      </c>
      <c r="D7" s="7">
        <f t="shared" si="1"/>
        <v>5785114.2999999989</v>
      </c>
      <c r="E7" s="7">
        <f t="shared" si="2"/>
        <v>1013914.3000000002</v>
      </c>
      <c r="F7" s="8">
        <f t="shared" si="3"/>
        <v>0.1752626218638412</v>
      </c>
      <c r="G7" s="8">
        <f t="shared" si="4"/>
        <v>5.9360730593607303E-2</v>
      </c>
      <c r="H7" s="9">
        <f t="shared" si="5"/>
        <v>4.1077625570776242</v>
      </c>
    </row>
    <row r="8" spans="1:8" x14ac:dyDescent="0.3">
      <c r="A8" t="s">
        <v>117</v>
      </c>
      <c r="B8" s="10" t="str">
        <f>INDEX(Data!$P$2:$P$5001,MATCH($A8,dProd,0))</f>
        <v>Home &amp; Kitchen</v>
      </c>
      <c r="C8" s="7">
        <f t="shared" si="0"/>
        <v>602</v>
      </c>
      <c r="D8" s="7">
        <f t="shared" si="1"/>
        <v>3592936.65</v>
      </c>
      <c r="E8" s="7">
        <f t="shared" si="2"/>
        <v>1163436.6500000006</v>
      </c>
      <c r="F8" s="8">
        <f t="shared" si="3"/>
        <v>0.32381218021197244</v>
      </c>
      <c r="G8" s="8">
        <f t="shared" si="4"/>
        <v>9.3023255813953487E-2</v>
      </c>
      <c r="H8" s="9">
        <f t="shared" si="5"/>
        <v>4.0565891472868216</v>
      </c>
    </row>
    <row r="9" spans="1:8" x14ac:dyDescent="0.3">
      <c r="A9" t="s">
        <v>118</v>
      </c>
      <c r="B9" s="10" t="str">
        <f>INDEX(Data!$P$2:$P$5001,MATCH($A9,dProd,0))</f>
        <v>Electronics</v>
      </c>
      <c r="C9" s="7">
        <f t="shared" si="0"/>
        <v>583</v>
      </c>
      <c r="D9" s="7">
        <f t="shared" si="1"/>
        <v>1964508.7500000005</v>
      </c>
      <c r="E9" s="7">
        <f t="shared" si="2"/>
        <v>661308.7500000007</v>
      </c>
      <c r="F9" s="8">
        <f t="shared" si="3"/>
        <v>0.33662805014230684</v>
      </c>
      <c r="G9" s="8">
        <f t="shared" si="4"/>
        <v>5.7251908396946563E-2</v>
      </c>
      <c r="H9" s="9">
        <f t="shared" si="5"/>
        <v>4.0625954198473249</v>
      </c>
    </row>
    <row r="10" spans="1:8" x14ac:dyDescent="0.3">
      <c r="A10" t="s">
        <v>119</v>
      </c>
      <c r="B10" s="10" t="str">
        <f>INDEX(Data!$P$2:$P$5001,MATCH($A10,dProd,0))</f>
        <v>Home &amp; Kitchen</v>
      </c>
      <c r="C10" s="7">
        <f t="shared" si="0"/>
        <v>557</v>
      </c>
      <c r="D10" s="7">
        <f t="shared" si="1"/>
        <v>1659400.7499999995</v>
      </c>
      <c r="E10" s="7">
        <f t="shared" si="2"/>
        <v>554800.75000000012</v>
      </c>
      <c r="F10" s="8">
        <f t="shared" si="3"/>
        <v>0.33433801328582036</v>
      </c>
      <c r="G10" s="8">
        <f t="shared" si="4"/>
        <v>7.5396825396825393E-2</v>
      </c>
      <c r="H10" s="9">
        <f t="shared" si="5"/>
        <v>4.0972222222222259</v>
      </c>
    </row>
    <row r="11" spans="1:8" x14ac:dyDescent="0.3">
      <c r="A11" t="s">
        <v>120</v>
      </c>
      <c r="B11" s="10" t="str">
        <f>INDEX(Data!$P$2:$P$5001,MATCH($A11,dProd,0))</f>
        <v>Home &amp; Kitchen</v>
      </c>
      <c r="C11" s="7">
        <f t="shared" si="0"/>
        <v>550</v>
      </c>
      <c r="D11" s="7">
        <f t="shared" si="1"/>
        <v>1312031.2500000002</v>
      </c>
      <c r="E11" s="7">
        <f t="shared" si="2"/>
        <v>457331.24999999977</v>
      </c>
      <c r="F11" s="8">
        <f t="shared" si="3"/>
        <v>0.34856734548052853</v>
      </c>
      <c r="G11" s="8">
        <f t="shared" si="4"/>
        <v>6.6147859922178989E-2</v>
      </c>
      <c r="H11" s="9">
        <f t="shared" si="5"/>
        <v>4.1163424124513597</v>
      </c>
    </row>
    <row r="12" spans="1:8" x14ac:dyDescent="0.3">
      <c r="A12" t="s">
        <v>121</v>
      </c>
      <c r="B12" s="10" t="str">
        <f>INDEX(Data!$P$2:$P$5001,MATCH($A12,dProd,0))</f>
        <v>Fashion</v>
      </c>
      <c r="C12" s="7">
        <f t="shared" si="0"/>
        <v>495</v>
      </c>
      <c r="D12" s="7">
        <f t="shared" si="1"/>
        <v>1236637.6500000004</v>
      </c>
      <c r="E12" s="7">
        <f t="shared" si="2"/>
        <v>463137.64999999979</v>
      </c>
      <c r="F12" s="8">
        <f t="shared" si="3"/>
        <v>0.37451362571728236</v>
      </c>
      <c r="G12" s="8">
        <f t="shared" si="4"/>
        <v>8.050847457627118E-2</v>
      </c>
      <c r="H12" s="9">
        <f t="shared" si="5"/>
        <v>4.0690677966101685</v>
      </c>
    </row>
    <row r="13" spans="1:8" x14ac:dyDescent="0.3">
      <c r="A13" t="s">
        <v>122</v>
      </c>
      <c r="B13" s="10" t="str">
        <f>INDEX(Data!$P$2:$P$5001,MATCH($A13,dProd,0))</f>
        <v>Electronics</v>
      </c>
      <c r="C13" s="7">
        <f t="shared" si="0"/>
        <v>547</v>
      </c>
      <c r="D13" s="7">
        <f t="shared" si="1"/>
        <v>1200019.8</v>
      </c>
      <c r="E13" s="7">
        <f t="shared" si="2"/>
        <v>434419.79999999987</v>
      </c>
      <c r="F13" s="8">
        <f t="shared" si="3"/>
        <v>0.36201052682630724</v>
      </c>
      <c r="G13" s="8">
        <f t="shared" si="4"/>
        <v>7.6612903225806453E-2</v>
      </c>
      <c r="H13" s="9">
        <f t="shared" si="5"/>
        <v>4.0294354838709694</v>
      </c>
    </row>
    <row r="14" spans="1:8" x14ac:dyDescent="0.3">
      <c r="A14" t="s">
        <v>123</v>
      </c>
      <c r="B14" s="10" t="str">
        <f>INDEX(Data!$P$2:$P$5001,MATCH($A14,dProd,0))</f>
        <v>Sports</v>
      </c>
      <c r="C14" s="7">
        <f t="shared" si="0"/>
        <v>536</v>
      </c>
      <c r="D14" s="7">
        <f t="shared" si="1"/>
        <v>1137045.0000000007</v>
      </c>
      <c r="E14" s="7">
        <f t="shared" si="2"/>
        <v>435645</v>
      </c>
      <c r="F14" s="8">
        <f t="shared" si="3"/>
        <v>0.38313787053282827</v>
      </c>
      <c r="G14" s="8">
        <f t="shared" si="4"/>
        <v>7.7253218884120178E-2</v>
      </c>
      <c r="H14" s="9">
        <f t="shared" si="5"/>
        <v>3.9776824034334752</v>
      </c>
    </row>
    <row r="15" spans="1:8" x14ac:dyDescent="0.3">
      <c r="A15" t="s">
        <v>124</v>
      </c>
      <c r="B15" s="10" t="str">
        <f>INDEX(Data!$P$2:$P$5001,MATCH($A15,dProd,0))</f>
        <v>Beauty</v>
      </c>
      <c r="C15" s="7">
        <f t="shared" si="0"/>
        <v>551</v>
      </c>
      <c r="D15" s="7">
        <f t="shared" si="1"/>
        <v>1103979.7999999998</v>
      </c>
      <c r="E15" s="7">
        <f t="shared" si="2"/>
        <v>470379.79999999981</v>
      </c>
      <c r="F15" s="8">
        <f t="shared" si="3"/>
        <v>0.42607645538441907</v>
      </c>
      <c r="G15" s="8">
        <f t="shared" si="4"/>
        <v>8.8353413654618476E-2</v>
      </c>
      <c r="H15" s="9">
        <f t="shared" si="5"/>
        <v>4.1068273092369463</v>
      </c>
    </row>
    <row r="16" spans="1:8" x14ac:dyDescent="0.3">
      <c r="A16" t="s">
        <v>125</v>
      </c>
      <c r="B16" s="10" t="str">
        <f>INDEX(Data!$P$2:$P$5001,MATCH($A16,dProd,0))</f>
        <v>Electronics</v>
      </c>
      <c r="C16" s="7">
        <f t="shared" si="0"/>
        <v>504</v>
      </c>
      <c r="D16" s="7">
        <f t="shared" si="1"/>
        <v>872063.75000000012</v>
      </c>
      <c r="E16" s="7">
        <f t="shared" si="2"/>
        <v>321213.74999999994</v>
      </c>
      <c r="F16" s="8">
        <f t="shared" si="3"/>
        <v>0.36833746386087013</v>
      </c>
      <c r="G16" s="8">
        <f t="shared" si="4"/>
        <v>6.8669527896995708E-2</v>
      </c>
      <c r="H16" s="9">
        <f t="shared" si="5"/>
        <v>4.112017167381973</v>
      </c>
    </row>
    <row r="17" spans="1:8" x14ac:dyDescent="0.3">
      <c r="A17" t="s">
        <v>126</v>
      </c>
      <c r="B17" s="10" t="str">
        <f>INDEX(Data!$P$2:$P$5001,MATCH($A17,dProd,0))</f>
        <v>Fashion</v>
      </c>
      <c r="C17" s="7">
        <f t="shared" si="0"/>
        <v>534</v>
      </c>
      <c r="D17" s="7">
        <f t="shared" si="1"/>
        <v>805322.35000000056</v>
      </c>
      <c r="E17" s="7">
        <f t="shared" si="2"/>
        <v>334122.34999999992</v>
      </c>
      <c r="F17" s="8">
        <f t="shared" si="3"/>
        <v>0.41489268241468735</v>
      </c>
      <c r="G17" s="8">
        <f t="shared" si="4"/>
        <v>6.5502183406113537E-2</v>
      </c>
      <c r="H17" s="9">
        <f t="shared" si="5"/>
        <v>4.0462882096069865</v>
      </c>
    </row>
    <row r="18" spans="1:8" x14ac:dyDescent="0.3">
      <c r="A18" t="s">
        <v>127</v>
      </c>
      <c r="B18" s="10" t="str">
        <f>INDEX(Data!$P$2:$P$5001,MATCH($A18,dProd,0))</f>
        <v>Beauty</v>
      </c>
      <c r="C18" s="7">
        <f t="shared" si="0"/>
        <v>581</v>
      </c>
      <c r="D18" s="7">
        <f t="shared" si="1"/>
        <v>800299.49999999953</v>
      </c>
      <c r="E18" s="7">
        <f t="shared" si="2"/>
        <v>365899.49999999988</v>
      </c>
      <c r="F18" s="8">
        <f t="shared" si="3"/>
        <v>0.45720320954842542</v>
      </c>
      <c r="G18" s="8">
        <f t="shared" si="4"/>
        <v>7.5396825396825393E-2</v>
      </c>
      <c r="H18" s="9">
        <f t="shared" si="5"/>
        <v>4.0769841269841258</v>
      </c>
    </row>
    <row r="19" spans="1:8" x14ac:dyDescent="0.3">
      <c r="A19" t="s">
        <v>128</v>
      </c>
      <c r="B19" s="10" t="str">
        <f>INDEX(Data!$P$2:$P$5001,MATCH($A19,dProd,0))</f>
        <v>Accessories</v>
      </c>
      <c r="C19" s="7">
        <f t="shared" si="0"/>
        <v>573</v>
      </c>
      <c r="D19" s="7">
        <f t="shared" si="1"/>
        <v>752572.94999999949</v>
      </c>
      <c r="E19" s="7">
        <f t="shared" si="2"/>
        <v>313372.95</v>
      </c>
      <c r="F19" s="8">
        <f t="shared" si="3"/>
        <v>0.41640209098666148</v>
      </c>
      <c r="G19" s="8">
        <f t="shared" si="4"/>
        <v>5.859375E-2</v>
      </c>
      <c r="H19" s="9">
        <f t="shared" si="5"/>
        <v>4.0398437499999975</v>
      </c>
    </row>
    <row r="20" spans="1:8" x14ac:dyDescent="0.3">
      <c r="A20" t="s">
        <v>129</v>
      </c>
      <c r="B20" s="10" t="str">
        <f>INDEX(Data!$P$2:$P$5001,MATCH($A20,dProd,0))</f>
        <v>Home &amp; Kitchen</v>
      </c>
      <c r="C20" s="7">
        <f t="shared" si="0"/>
        <v>570</v>
      </c>
      <c r="D20" s="7">
        <f t="shared" si="1"/>
        <v>639237.9</v>
      </c>
      <c r="E20" s="7">
        <f t="shared" si="2"/>
        <v>284987.90000000008</v>
      </c>
      <c r="F20" s="8">
        <f t="shared" si="3"/>
        <v>0.4458244731734462</v>
      </c>
      <c r="G20" s="8">
        <f t="shared" si="4"/>
        <v>7.1999999999999995E-2</v>
      </c>
      <c r="H20" s="9">
        <f t="shared" si="5"/>
        <v>4.0715999999999992</v>
      </c>
    </row>
    <row r="21" spans="1:8" x14ac:dyDescent="0.3">
      <c r="A21" t="s">
        <v>130</v>
      </c>
      <c r="B21" s="10" t="str">
        <f>INDEX(Data!$P$2:$P$5001,MATCH($A21,dProd,0))</f>
        <v>Fashion</v>
      </c>
      <c r="C21" s="7">
        <f t="shared" si="0"/>
        <v>559</v>
      </c>
      <c r="D21" s="7">
        <f t="shared" si="1"/>
        <v>556755.64999999967</v>
      </c>
      <c r="E21" s="7">
        <f t="shared" si="2"/>
        <v>275705.64999999991</v>
      </c>
      <c r="F21" s="8">
        <f t="shared" si="3"/>
        <v>0.49520045283779351</v>
      </c>
      <c r="G21" s="8">
        <f t="shared" si="4"/>
        <v>8.3333333333333329E-2</v>
      </c>
      <c r="H21" s="9">
        <f t="shared" si="5"/>
        <v>4.0992753623188394</v>
      </c>
    </row>
    <row r="22" spans="1:8" x14ac:dyDescent="0.3">
      <c r="A22" t="s">
        <v>131</v>
      </c>
      <c r="B22" s="10" t="str">
        <f>INDEX(Data!$P$2:$P$5001,MATCH($A22,dProd,0))</f>
        <v>Accessories</v>
      </c>
      <c r="C22" s="7">
        <f t="shared" si="0"/>
        <v>577</v>
      </c>
      <c r="D22" s="7">
        <f t="shared" si="1"/>
        <v>495404.09999999992</v>
      </c>
      <c r="E22" s="7">
        <f t="shared" si="2"/>
        <v>212004.09999999986</v>
      </c>
      <c r="F22" s="8">
        <f t="shared" si="3"/>
        <v>0.42794175502382781</v>
      </c>
      <c r="G22" s="8">
        <f t="shared" si="4"/>
        <v>7.3260073260073263E-2</v>
      </c>
      <c r="H22" s="9">
        <f t="shared" si="5"/>
        <v>4.0794871794871792</v>
      </c>
    </row>
    <row r="23" spans="1:8" x14ac:dyDescent="0.3">
      <c r="A23" t="s">
        <v>132</v>
      </c>
      <c r="B23" s="10" t="str">
        <f>INDEX(Data!$P$2:$P$5001,MATCH($A23,dProd,0))</f>
        <v>Sports</v>
      </c>
      <c r="C23" s="7">
        <f t="shared" si="0"/>
        <v>595</v>
      </c>
      <c r="D23" s="7">
        <f t="shared" si="1"/>
        <v>463029.94999999966</v>
      </c>
      <c r="E23" s="7">
        <f t="shared" si="2"/>
        <v>225309.94999999998</v>
      </c>
      <c r="F23" s="8">
        <f t="shared" si="3"/>
        <v>0.48659908500519272</v>
      </c>
      <c r="G23" s="8">
        <f t="shared" si="4"/>
        <v>4.8148148148148148E-2</v>
      </c>
      <c r="H23" s="9">
        <f t="shared" si="5"/>
        <v>4.1192592592592581</v>
      </c>
    </row>
    <row r="24" spans="1:8" x14ac:dyDescent="0.3">
      <c r="A24" t="s">
        <v>133</v>
      </c>
      <c r="B24" s="10" t="str">
        <f>INDEX(Data!$P$2:$P$5001,MATCH($A24,dProd,0))</f>
        <v>Fashion</v>
      </c>
      <c r="C24" s="7">
        <f t="shared" si="0"/>
        <v>571</v>
      </c>
      <c r="D24" s="7">
        <f t="shared" si="1"/>
        <v>397222.84999999974</v>
      </c>
      <c r="E24" s="7">
        <f t="shared" si="2"/>
        <v>183892.85000000003</v>
      </c>
      <c r="F24" s="8">
        <f t="shared" si="3"/>
        <v>0.46294630331563291</v>
      </c>
      <c r="G24" s="8">
        <f t="shared" si="4"/>
        <v>7.0866141732283464E-2</v>
      </c>
      <c r="H24" s="9">
        <f t="shared" si="5"/>
        <v>4.0881889763779524</v>
      </c>
    </row>
    <row r="25" spans="1:8" x14ac:dyDescent="0.3">
      <c r="A25" t="s">
        <v>134</v>
      </c>
      <c r="B25" s="10" t="str">
        <f>INDEX(Data!$P$2:$P$5001,MATCH($A25,dProd,0))</f>
        <v>Home &amp; Kitchen</v>
      </c>
      <c r="C25" s="7">
        <f t="shared" si="0"/>
        <v>603</v>
      </c>
      <c r="D25" s="7">
        <f t="shared" si="1"/>
        <v>313277.00000000006</v>
      </c>
      <c r="E25" s="7">
        <f t="shared" si="2"/>
        <v>168777.00000000006</v>
      </c>
      <c r="F25" s="8">
        <f t="shared" si="3"/>
        <v>0.53874685980777404</v>
      </c>
      <c r="G25" s="8">
        <f t="shared" si="4"/>
        <v>5.6603773584905662E-2</v>
      </c>
      <c r="H25" s="9">
        <f t="shared" si="5"/>
        <v>4.1022641509433972</v>
      </c>
    </row>
    <row r="32" spans="1:8" ht="15.6" x14ac:dyDescent="0.3">
      <c r="A32" s="5" t="s">
        <v>135</v>
      </c>
    </row>
    <row r="33" spans="1:5" x14ac:dyDescent="0.3">
      <c r="A33" s="6" t="s">
        <v>136</v>
      </c>
      <c r="B33" s="6" t="s">
        <v>24</v>
      </c>
      <c r="C33" s="6" t="s">
        <v>23</v>
      </c>
      <c r="D33" s="6" t="s">
        <v>13</v>
      </c>
      <c r="E33" s="6" t="s">
        <v>112</v>
      </c>
    </row>
    <row r="34" spans="1:5" x14ac:dyDescent="0.3">
      <c r="A34" t="s">
        <v>137</v>
      </c>
      <c r="B34" s="7">
        <f t="shared" ref="B34:B48" si="6">SUMIFS(dQty,dYear,selYear,dCat,selCat,dState,selState,dVis,1,dSub,$A34)</f>
        <v>511</v>
      </c>
      <c r="C34" s="7">
        <f t="shared" ref="C34:C48" si="7">SUMIFS(dSales,dYear,selYear,dCat,selCat,dState,selState,dVis,1,dSub,$A34)</f>
        <v>5787804.7499999935</v>
      </c>
      <c r="D34" s="7">
        <f t="shared" ref="D34:D48" si="8">SUMIFS(dProfit,dYear,selYear,dCat,selCat,dState,selState,dVis,1,dSub,$A34)</f>
        <v>1377804.7500000012</v>
      </c>
      <c r="E34" s="8">
        <f t="shared" ref="E34:E48" si="9">IFERROR(D34/C34,0)</f>
        <v>0.23805308048790047</v>
      </c>
    </row>
    <row r="35" spans="1:5" x14ac:dyDescent="0.3">
      <c r="A35" t="s">
        <v>138</v>
      </c>
      <c r="B35" s="7">
        <f t="shared" si="6"/>
        <v>443</v>
      </c>
      <c r="C35" s="7">
        <f t="shared" si="7"/>
        <v>5785114.2999999989</v>
      </c>
      <c r="D35" s="7">
        <f t="shared" si="8"/>
        <v>1013914.3000000002</v>
      </c>
      <c r="E35" s="8">
        <f t="shared" si="9"/>
        <v>0.1752626218638412</v>
      </c>
    </row>
    <row r="36" spans="1:5" x14ac:dyDescent="0.3">
      <c r="A36" t="s">
        <v>139</v>
      </c>
      <c r="B36" s="7">
        <f t="shared" si="6"/>
        <v>602</v>
      </c>
      <c r="C36" s="7">
        <f t="shared" si="7"/>
        <v>3592936.65</v>
      </c>
      <c r="D36" s="7">
        <f t="shared" si="8"/>
        <v>1163436.6500000006</v>
      </c>
      <c r="E36" s="8">
        <f t="shared" si="9"/>
        <v>0.32381218021197244</v>
      </c>
    </row>
    <row r="37" spans="1:5" x14ac:dyDescent="0.3">
      <c r="A37" t="s">
        <v>140</v>
      </c>
      <c r="B37" s="7">
        <f t="shared" si="6"/>
        <v>1710</v>
      </c>
      <c r="C37" s="7">
        <f t="shared" si="7"/>
        <v>3284708.9999999991</v>
      </c>
      <c r="D37" s="7">
        <f t="shared" si="8"/>
        <v>1180909</v>
      </c>
      <c r="E37" s="8">
        <f t="shared" si="9"/>
        <v>0.35951708355291151</v>
      </c>
    </row>
    <row r="38" spans="1:5" x14ac:dyDescent="0.3">
      <c r="A38" t="s">
        <v>141</v>
      </c>
      <c r="B38" s="7">
        <f t="shared" si="6"/>
        <v>1051</v>
      </c>
      <c r="C38" s="7">
        <f t="shared" si="7"/>
        <v>2072083.5500000012</v>
      </c>
      <c r="D38" s="7">
        <f t="shared" si="8"/>
        <v>755633.54999999993</v>
      </c>
      <c r="E38" s="8">
        <f t="shared" si="9"/>
        <v>0.36467330190425934</v>
      </c>
    </row>
    <row r="39" spans="1:5" x14ac:dyDescent="0.3">
      <c r="A39" t="s">
        <v>142</v>
      </c>
      <c r="B39" s="7">
        <f t="shared" si="6"/>
        <v>583</v>
      </c>
      <c r="C39" s="7">
        <f t="shared" si="7"/>
        <v>1964508.7500000005</v>
      </c>
      <c r="D39" s="7">
        <f t="shared" si="8"/>
        <v>661308.7500000007</v>
      </c>
      <c r="E39" s="8">
        <f t="shared" si="9"/>
        <v>0.33662805014230684</v>
      </c>
    </row>
    <row r="40" spans="1:5" x14ac:dyDescent="0.3">
      <c r="A40" t="s">
        <v>143</v>
      </c>
      <c r="B40" s="7">
        <f t="shared" si="6"/>
        <v>1150</v>
      </c>
      <c r="C40" s="7">
        <f t="shared" si="7"/>
        <v>1247977.0500000014</v>
      </c>
      <c r="D40" s="7">
        <f t="shared" si="8"/>
        <v>525377.0499999997</v>
      </c>
      <c r="E40" s="8">
        <f t="shared" si="9"/>
        <v>0.42098294195393987</v>
      </c>
    </row>
    <row r="41" spans="1:5" x14ac:dyDescent="0.3">
      <c r="A41" t="s">
        <v>144</v>
      </c>
      <c r="B41" s="7">
        <f t="shared" si="6"/>
        <v>495</v>
      </c>
      <c r="C41" s="7">
        <f t="shared" si="7"/>
        <v>1236637.6500000004</v>
      </c>
      <c r="D41" s="7">
        <f t="shared" si="8"/>
        <v>463137.64999999979</v>
      </c>
      <c r="E41" s="8">
        <f t="shared" si="9"/>
        <v>0.37451362571728236</v>
      </c>
    </row>
    <row r="42" spans="1:5" x14ac:dyDescent="0.3">
      <c r="A42" t="s">
        <v>145</v>
      </c>
      <c r="B42" s="7">
        <f t="shared" si="6"/>
        <v>1105</v>
      </c>
      <c r="C42" s="7">
        <f t="shared" si="7"/>
        <v>1202545.2000000002</v>
      </c>
      <c r="D42" s="7">
        <f t="shared" si="8"/>
        <v>518015.19999999978</v>
      </c>
      <c r="E42" s="8">
        <f t="shared" si="9"/>
        <v>0.4307656793274795</v>
      </c>
    </row>
    <row r="43" spans="1:5" x14ac:dyDescent="0.3">
      <c r="A43" t="s">
        <v>146</v>
      </c>
      <c r="B43" s="7">
        <f t="shared" si="6"/>
        <v>536</v>
      </c>
      <c r="C43" s="7">
        <f t="shared" si="7"/>
        <v>1137045.0000000007</v>
      </c>
      <c r="D43" s="7">
        <f t="shared" si="8"/>
        <v>435645</v>
      </c>
      <c r="E43" s="8">
        <f t="shared" si="9"/>
        <v>0.38313787053282827</v>
      </c>
    </row>
    <row r="44" spans="1:5" x14ac:dyDescent="0.3">
      <c r="A44" t="s">
        <v>147</v>
      </c>
      <c r="B44" s="7">
        <f t="shared" si="6"/>
        <v>551</v>
      </c>
      <c r="C44" s="7">
        <f t="shared" si="7"/>
        <v>1103979.7999999998</v>
      </c>
      <c r="D44" s="7">
        <f t="shared" si="8"/>
        <v>470379.79999999981</v>
      </c>
      <c r="E44" s="8">
        <f t="shared" si="9"/>
        <v>0.42607645538441907</v>
      </c>
    </row>
    <row r="45" spans="1:5" x14ac:dyDescent="0.3">
      <c r="A45" t="s">
        <v>148</v>
      </c>
      <c r="B45" s="7">
        <f t="shared" si="6"/>
        <v>581</v>
      </c>
      <c r="C45" s="7">
        <f t="shared" si="7"/>
        <v>800299.49999999953</v>
      </c>
      <c r="D45" s="7">
        <f t="shared" si="8"/>
        <v>365899.49999999988</v>
      </c>
      <c r="E45" s="8">
        <f t="shared" si="9"/>
        <v>0.45720320954842542</v>
      </c>
    </row>
    <row r="46" spans="1:5" x14ac:dyDescent="0.3">
      <c r="A46" t="s">
        <v>149</v>
      </c>
      <c r="B46" s="7">
        <f t="shared" si="6"/>
        <v>570</v>
      </c>
      <c r="C46" s="7">
        <f t="shared" si="7"/>
        <v>639237.9</v>
      </c>
      <c r="D46" s="7">
        <f t="shared" si="8"/>
        <v>284987.90000000008</v>
      </c>
      <c r="E46" s="8">
        <f t="shared" si="9"/>
        <v>0.4458244731734462</v>
      </c>
    </row>
    <row r="47" spans="1:5" x14ac:dyDescent="0.3">
      <c r="A47" t="s">
        <v>53</v>
      </c>
      <c r="B47" s="7">
        <f t="shared" si="6"/>
        <v>559</v>
      </c>
      <c r="C47" s="7">
        <f t="shared" si="7"/>
        <v>556755.64999999967</v>
      </c>
      <c r="D47" s="7">
        <f t="shared" si="8"/>
        <v>275705.64999999991</v>
      </c>
      <c r="E47" s="8">
        <f t="shared" si="9"/>
        <v>0.49520045283779351</v>
      </c>
    </row>
    <row r="48" spans="1:5" x14ac:dyDescent="0.3">
      <c r="A48" t="s">
        <v>150</v>
      </c>
      <c r="B48" s="7">
        <f t="shared" si="6"/>
        <v>595</v>
      </c>
      <c r="C48" s="7">
        <f t="shared" si="7"/>
        <v>463029.94999999966</v>
      </c>
      <c r="D48" s="7">
        <f t="shared" si="8"/>
        <v>225309.94999999998</v>
      </c>
      <c r="E48" s="8">
        <f t="shared" si="9"/>
        <v>0.48659908500519272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46E5"/>
  </sheetPr>
  <dimension ref="A1:H45"/>
  <sheetViews>
    <sheetView showGridLines="0" topLeftCell="A31" workbookViewId="0">
      <selection activeCell="P48" sqref="P48"/>
    </sheetView>
  </sheetViews>
  <sheetFormatPr defaultRowHeight="14.4" x14ac:dyDescent="0.3"/>
  <cols>
    <col min="1" max="1" width="18" customWidth="1"/>
    <col min="2" max="2" width="12" customWidth="1"/>
    <col min="3" max="4" width="14" customWidth="1"/>
    <col min="5" max="5" width="10" customWidth="1"/>
    <col min="6" max="6" width="14" customWidth="1"/>
    <col min="7" max="8" width="12" customWidth="1"/>
  </cols>
  <sheetData>
    <row r="1" spans="1:8" ht="21" x14ac:dyDescent="0.4">
      <c r="A1" s="3" t="s">
        <v>151</v>
      </c>
    </row>
    <row r="2" spans="1:8" x14ac:dyDescent="0.3">
      <c r="A2" s="4" t="s">
        <v>20</v>
      </c>
    </row>
    <row r="4" spans="1:8" ht="15.6" x14ac:dyDescent="0.3">
      <c r="A4" s="5" t="s">
        <v>152</v>
      </c>
    </row>
    <row r="5" spans="1:8" x14ac:dyDescent="0.3">
      <c r="A5" s="6" t="s">
        <v>153</v>
      </c>
      <c r="B5" s="6" t="s">
        <v>8</v>
      </c>
      <c r="C5" s="6" t="s">
        <v>23</v>
      </c>
      <c r="D5" s="6" t="s">
        <v>154</v>
      </c>
      <c r="E5" s="6" t="s">
        <v>155</v>
      </c>
      <c r="F5" s="6" t="s">
        <v>15</v>
      </c>
      <c r="G5" s="6" t="s">
        <v>156</v>
      </c>
      <c r="H5" s="6" t="s">
        <v>157</v>
      </c>
    </row>
    <row r="6" spans="1:8" x14ac:dyDescent="0.3">
      <c r="A6" t="s">
        <v>158</v>
      </c>
      <c r="B6" s="7">
        <f t="shared" ref="B6:B11" si="0">COUNTIFS(dYear,selYear,dCat,selCat,dState,selState,dVis,1,dChan,$A6)</f>
        <v>1163</v>
      </c>
      <c r="C6" s="7">
        <f t="shared" ref="C6:C11" si="1">SUMIFS(dSales,dYear,selYear,dCat,selCat,dState,selState,dVis,1,dChan,$A6)</f>
        <v>6861148.6499999836</v>
      </c>
      <c r="D6" s="7">
        <f t="shared" ref="D6:D11" si="2">SUMIFS(dMkt,dYear,selYear,dCat,selCat,dState,selState,dVis,1,dChan,$A6)</f>
        <v>510692.85999999981</v>
      </c>
      <c r="E6" s="9">
        <f t="shared" ref="E6:E11" si="3">IFERROR(C6/D6,0)</f>
        <v>13.434980567380531</v>
      </c>
      <c r="F6" s="7">
        <f t="shared" ref="F6:F11" si="4">SUMIFS(dNet,dYear,selYear,dCat,selCat,dState,selState,dVis,1,dChan,$A6)</f>
        <v>1558185.790000001</v>
      </c>
      <c r="G6" s="8">
        <f t="shared" ref="G6:G11" si="5">IFERROR(F6/D6,0)</f>
        <v>3.0511211572450838</v>
      </c>
      <c r="H6" s="7">
        <f t="shared" ref="H6:H11" si="6">IFERROR(D6/B6,0)</f>
        <v>439.11681857265677</v>
      </c>
    </row>
    <row r="7" spans="1:8" x14ac:dyDescent="0.3">
      <c r="A7" t="s">
        <v>159</v>
      </c>
      <c r="B7" s="7">
        <f t="shared" si="0"/>
        <v>989</v>
      </c>
      <c r="C7" s="7">
        <f t="shared" si="1"/>
        <v>6119801.6499999939</v>
      </c>
      <c r="D7" s="7">
        <f t="shared" si="2"/>
        <v>454573.16000000027</v>
      </c>
      <c r="E7" s="9">
        <f t="shared" si="3"/>
        <v>13.462743048885663</v>
      </c>
      <c r="F7" s="7">
        <f t="shared" si="4"/>
        <v>1402118.4900000012</v>
      </c>
      <c r="G7" s="8">
        <f t="shared" si="5"/>
        <v>3.0844726732216223</v>
      </c>
      <c r="H7" s="7">
        <f t="shared" si="6"/>
        <v>459.62907987866561</v>
      </c>
    </row>
    <row r="8" spans="1:8" x14ac:dyDescent="0.3">
      <c r="A8" t="s">
        <v>160</v>
      </c>
      <c r="B8" s="7">
        <f t="shared" si="0"/>
        <v>846</v>
      </c>
      <c r="C8" s="7">
        <f t="shared" si="1"/>
        <v>5533680.699999989</v>
      </c>
      <c r="D8" s="7">
        <f t="shared" si="2"/>
        <v>416204.9</v>
      </c>
      <c r="E8" s="9">
        <f t="shared" si="3"/>
        <v>13.295568360680013</v>
      </c>
      <c r="F8" s="7">
        <f t="shared" si="4"/>
        <v>1265325.8000000014</v>
      </c>
      <c r="G8" s="8">
        <f t="shared" si="5"/>
        <v>3.0401511370961787</v>
      </c>
      <c r="H8" s="7">
        <f t="shared" si="6"/>
        <v>491.96796690307332</v>
      </c>
    </row>
    <row r="9" spans="1:8" x14ac:dyDescent="0.3">
      <c r="A9" t="s">
        <v>161</v>
      </c>
      <c r="B9" s="7">
        <f t="shared" si="0"/>
        <v>818</v>
      </c>
      <c r="C9" s="7">
        <f t="shared" si="1"/>
        <v>4925294.299999997</v>
      </c>
      <c r="D9" s="7">
        <f t="shared" si="2"/>
        <v>363149.12000000029</v>
      </c>
      <c r="E9" s="9">
        <f t="shared" si="3"/>
        <v>13.562732301265092</v>
      </c>
      <c r="F9" s="7">
        <f t="shared" si="4"/>
        <v>1166805.1800000006</v>
      </c>
      <c r="G9" s="8">
        <f t="shared" si="5"/>
        <v>3.2130194340000044</v>
      </c>
      <c r="H9" s="7">
        <f t="shared" si="6"/>
        <v>443.94757946210302</v>
      </c>
    </row>
    <row r="10" spans="1:8" x14ac:dyDescent="0.3">
      <c r="A10" t="s">
        <v>162</v>
      </c>
      <c r="B10" s="7">
        <f t="shared" si="0"/>
        <v>628</v>
      </c>
      <c r="C10" s="7">
        <f t="shared" si="1"/>
        <v>4042626.95</v>
      </c>
      <c r="D10" s="7">
        <f t="shared" si="2"/>
        <v>308865.28999999998</v>
      </c>
      <c r="E10" s="9">
        <f t="shared" si="3"/>
        <v>13.088641167804905</v>
      </c>
      <c r="F10" s="7">
        <f t="shared" si="4"/>
        <v>908781.6600000012</v>
      </c>
      <c r="G10" s="8">
        <f t="shared" si="5"/>
        <v>2.9423236906937689</v>
      </c>
      <c r="H10" s="7">
        <f t="shared" si="6"/>
        <v>491.8237101910828</v>
      </c>
    </row>
    <row r="11" spans="1:8" x14ac:dyDescent="0.3">
      <c r="A11" t="s">
        <v>163</v>
      </c>
      <c r="B11" s="7">
        <f t="shared" si="0"/>
        <v>556</v>
      </c>
      <c r="C11" s="7">
        <f t="shared" si="1"/>
        <v>3392112.45</v>
      </c>
      <c r="D11" s="7">
        <f t="shared" si="2"/>
        <v>253404.04000000015</v>
      </c>
      <c r="E11" s="9">
        <f t="shared" si="3"/>
        <v>13.386181412103761</v>
      </c>
      <c r="F11" s="7">
        <f t="shared" si="4"/>
        <v>779608.40999999922</v>
      </c>
      <c r="G11" s="8">
        <f t="shared" si="5"/>
        <v>3.076542939094415</v>
      </c>
      <c r="H11" s="7">
        <f t="shared" si="6"/>
        <v>455.76266187050385</v>
      </c>
    </row>
    <row r="38" spans="1:8" ht="15.6" x14ac:dyDescent="0.3">
      <c r="A38" s="5" t="s">
        <v>164</v>
      </c>
    </row>
    <row r="39" spans="1:8" x14ac:dyDescent="0.3">
      <c r="A39" s="6" t="s">
        <v>165</v>
      </c>
      <c r="B39" s="6" t="s">
        <v>8</v>
      </c>
      <c r="C39" s="6" t="s">
        <v>23</v>
      </c>
      <c r="D39" s="6" t="s">
        <v>154</v>
      </c>
      <c r="E39" s="6" t="s">
        <v>155</v>
      </c>
      <c r="F39" s="6" t="s">
        <v>15</v>
      </c>
      <c r="G39" s="6" t="s">
        <v>156</v>
      </c>
      <c r="H39" s="6" t="s">
        <v>157</v>
      </c>
    </row>
    <row r="40" spans="1:8" x14ac:dyDescent="0.3">
      <c r="A40" t="s">
        <v>166</v>
      </c>
      <c r="B40" s="7">
        <f t="shared" ref="B40:B45" si="7">COUNTIFS(dYear,selYear,dCat,selCat,dState,selState,dVis,1,dCamp,$A40)</f>
        <v>1407</v>
      </c>
      <c r="C40" s="7">
        <f t="shared" ref="C40:C45" si="8">SUMIFS(dSales,dYear,selYear,dCat,selCat,dState,selState,dVis,1,dCamp,$A40)</f>
        <v>8279732.2999999784</v>
      </c>
      <c r="D40" s="7">
        <f t="shared" ref="D40:D45" si="9">SUMIFS(dMkt,dYear,selYear,dCat,selCat,dState,selState,dVis,1,dCamp,$A40)</f>
        <v>627738.9700000016</v>
      </c>
      <c r="E40" s="9">
        <f t="shared" ref="E40:E45" si="10">IFERROR(C40/D40,0)</f>
        <v>13.189769467394955</v>
      </c>
      <c r="F40" s="7">
        <f t="shared" ref="F40:F45" si="11">SUMIFS(dNet,dYear,selYear,dCat,selCat,dState,selState,dVis,1,dCamp,$A40)</f>
        <v>1910593.3300000003</v>
      </c>
      <c r="G40" s="8">
        <f t="shared" ref="G40:G45" si="12">IFERROR(F40/D40,0)</f>
        <v>3.043611152578269</v>
      </c>
      <c r="H40" s="7">
        <f t="shared" ref="H40:H45" si="13">IFERROR(D40/B40,0)</f>
        <v>446.15420753376094</v>
      </c>
    </row>
    <row r="41" spans="1:8" x14ac:dyDescent="0.3">
      <c r="A41" t="s">
        <v>167</v>
      </c>
      <c r="B41" s="7">
        <f t="shared" si="7"/>
        <v>897</v>
      </c>
      <c r="C41" s="7">
        <f t="shared" si="8"/>
        <v>5520691.7499999944</v>
      </c>
      <c r="D41" s="7">
        <f t="shared" si="9"/>
        <v>405670.60000000044</v>
      </c>
      <c r="E41" s="9">
        <f t="shared" si="10"/>
        <v>13.608804162786232</v>
      </c>
      <c r="F41" s="7">
        <f t="shared" si="11"/>
        <v>1295241.150000002</v>
      </c>
      <c r="G41" s="8">
        <f t="shared" si="12"/>
        <v>3.1928395846285151</v>
      </c>
      <c r="H41" s="7">
        <f t="shared" si="13"/>
        <v>452.25261984392466</v>
      </c>
    </row>
    <row r="42" spans="1:8" x14ac:dyDescent="0.3">
      <c r="A42" t="s">
        <v>168</v>
      </c>
      <c r="B42" s="7">
        <f t="shared" si="7"/>
        <v>728</v>
      </c>
      <c r="C42" s="7">
        <f t="shared" si="8"/>
        <v>4810752.1999999983</v>
      </c>
      <c r="D42" s="7">
        <f t="shared" si="9"/>
        <v>350758.93999999959</v>
      </c>
      <c r="E42" s="9">
        <f t="shared" si="10"/>
        <v>13.715266102697209</v>
      </c>
      <c r="F42" s="7">
        <f t="shared" si="11"/>
        <v>1080293.2600000005</v>
      </c>
      <c r="G42" s="8">
        <f t="shared" si="12"/>
        <v>3.0798737731389019</v>
      </c>
      <c r="H42" s="7">
        <f t="shared" si="13"/>
        <v>481.81173076923022</v>
      </c>
    </row>
    <row r="43" spans="1:8" x14ac:dyDescent="0.3">
      <c r="A43" t="s">
        <v>169</v>
      </c>
      <c r="B43" s="7">
        <f t="shared" si="7"/>
        <v>714</v>
      </c>
      <c r="C43" s="7">
        <f t="shared" si="8"/>
        <v>4311532.2499999935</v>
      </c>
      <c r="D43" s="7">
        <f t="shared" si="9"/>
        <v>324499.35000000003</v>
      </c>
      <c r="E43" s="9">
        <f t="shared" si="10"/>
        <v>13.28672075922492</v>
      </c>
      <c r="F43" s="7">
        <f t="shared" si="11"/>
        <v>998462.89999999979</v>
      </c>
      <c r="G43" s="8">
        <f t="shared" si="12"/>
        <v>3.0769334360762191</v>
      </c>
      <c r="H43" s="7">
        <f t="shared" si="13"/>
        <v>454.48088235294125</v>
      </c>
    </row>
    <row r="44" spans="1:8" x14ac:dyDescent="0.3">
      <c r="A44" t="s">
        <v>170</v>
      </c>
      <c r="B44" s="7">
        <f t="shared" si="7"/>
        <v>672</v>
      </c>
      <c r="C44" s="7">
        <f t="shared" si="8"/>
        <v>4211752.2999999952</v>
      </c>
      <c r="D44" s="7">
        <f t="shared" si="9"/>
        <v>310303.13000000006</v>
      </c>
      <c r="E44" s="9">
        <f t="shared" si="10"/>
        <v>13.573025512182214</v>
      </c>
      <c r="F44" s="7">
        <f t="shared" si="11"/>
        <v>946089.16999999969</v>
      </c>
      <c r="G44" s="8">
        <f t="shared" si="12"/>
        <v>3.0489191971734204</v>
      </c>
      <c r="H44" s="7">
        <f t="shared" si="13"/>
        <v>461.76061011904773</v>
      </c>
    </row>
    <row r="45" spans="1:8" x14ac:dyDescent="0.3">
      <c r="A45" t="s">
        <v>171</v>
      </c>
      <c r="B45" s="7">
        <f t="shared" si="7"/>
        <v>582</v>
      </c>
      <c r="C45" s="7">
        <f t="shared" si="8"/>
        <v>3740203.9000000008</v>
      </c>
      <c r="D45" s="7">
        <f t="shared" si="9"/>
        <v>287918.38000000024</v>
      </c>
      <c r="E45" s="9">
        <f t="shared" si="10"/>
        <v>12.990500641188651</v>
      </c>
      <c r="F45" s="7">
        <f t="shared" si="11"/>
        <v>850145.52000000107</v>
      </c>
      <c r="G45" s="8">
        <f t="shared" si="12"/>
        <v>2.9527309788280984</v>
      </c>
      <c r="H45" s="7">
        <f t="shared" si="13"/>
        <v>494.70512027491452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46E5"/>
  </sheetPr>
  <dimension ref="A1:H58"/>
  <sheetViews>
    <sheetView showGridLines="0" topLeftCell="B25" workbookViewId="0">
      <selection activeCell="H58" sqref="H58"/>
    </sheetView>
  </sheetViews>
  <sheetFormatPr defaultRowHeight="14.4" x14ac:dyDescent="0.3"/>
  <cols>
    <col min="1" max="1" width="18" customWidth="1"/>
    <col min="2" max="7" width="14" customWidth="1"/>
    <col min="8" max="8" width="12" customWidth="1"/>
  </cols>
  <sheetData>
    <row r="1" spans="1:6" ht="21" x14ac:dyDescent="0.4">
      <c r="A1" s="3" t="s">
        <v>172</v>
      </c>
    </row>
    <row r="2" spans="1:6" x14ac:dyDescent="0.3">
      <c r="A2" s="4" t="s">
        <v>20</v>
      </c>
    </row>
    <row r="3" spans="1:6" x14ac:dyDescent="0.3">
      <c r="A3" s="11" t="s">
        <v>173</v>
      </c>
    </row>
    <row r="4" spans="1:6" ht="15.6" x14ac:dyDescent="0.3">
      <c r="A4" s="5" t="s">
        <v>174</v>
      </c>
    </row>
    <row r="5" spans="1:6" x14ac:dyDescent="0.3">
      <c r="A5" s="6" t="s">
        <v>22</v>
      </c>
      <c r="B5" s="6" t="s">
        <v>23</v>
      </c>
      <c r="C5" s="6" t="s">
        <v>13</v>
      </c>
      <c r="D5" s="6" t="s">
        <v>15</v>
      </c>
      <c r="E5" s="6" t="s">
        <v>14</v>
      </c>
      <c r="F5" s="6" t="s">
        <v>16</v>
      </c>
    </row>
    <row r="6" spans="1:6" x14ac:dyDescent="0.3">
      <c r="A6" t="s">
        <v>25</v>
      </c>
      <c r="B6" s="7">
        <f t="shared" ref="B6:B26" si="0">SUMIFS(dSales,dYear,selYear,dCat,selCat,dState,selState,dVis,1,dMon,$A6)</f>
        <v>1470563.350000001</v>
      </c>
      <c r="C6" s="7">
        <f t="shared" ref="C6:C26" si="1">SUMIFS(dProfit,dYear,selYear,dCat,selCat,dState,selState,dVis,1,dMon,$A6)</f>
        <v>439953.34999999974</v>
      </c>
      <c r="D6" s="7">
        <f t="shared" ref="D6:D26" si="2">SUMIFS(dNet,dYear,selYear,dCat,selCat,dState,selState,dVis,1,dMon,$A6)</f>
        <v>316747.36000000022</v>
      </c>
      <c r="E6" s="8">
        <f t="shared" ref="E6:E26" si="3">IFERROR(C6/B6,0)</f>
        <v>0.29917334061126943</v>
      </c>
      <c r="F6" s="8">
        <f t="shared" ref="F6:F26" si="4">IFERROR(D6/B6,0)</f>
        <v>0.21539184966087996</v>
      </c>
    </row>
    <row r="7" spans="1:6" x14ac:dyDescent="0.3">
      <c r="A7" t="s">
        <v>26</v>
      </c>
      <c r="B7" s="7">
        <f t="shared" si="0"/>
        <v>1212539.8500000001</v>
      </c>
      <c r="C7" s="7">
        <f t="shared" si="1"/>
        <v>388969.85000000015</v>
      </c>
      <c r="D7" s="7">
        <f t="shared" si="2"/>
        <v>277205.8000000001</v>
      </c>
      <c r="E7" s="8">
        <f t="shared" si="3"/>
        <v>0.32078933323304809</v>
      </c>
      <c r="F7" s="8">
        <f t="shared" si="4"/>
        <v>0.22861582652314485</v>
      </c>
    </row>
    <row r="8" spans="1:6" x14ac:dyDescent="0.3">
      <c r="A8" t="s">
        <v>27</v>
      </c>
      <c r="B8" s="7">
        <f t="shared" si="0"/>
        <v>1706082.2000000004</v>
      </c>
      <c r="C8" s="7">
        <f t="shared" si="1"/>
        <v>541152.19999999972</v>
      </c>
      <c r="D8" s="7">
        <f t="shared" si="2"/>
        <v>387621.30000000005</v>
      </c>
      <c r="E8" s="8">
        <f t="shared" si="3"/>
        <v>0.31718999236965228</v>
      </c>
      <c r="F8" s="8">
        <f t="shared" si="4"/>
        <v>0.22719966247816192</v>
      </c>
    </row>
    <row r="9" spans="1:6" x14ac:dyDescent="0.3">
      <c r="A9" t="s">
        <v>28</v>
      </c>
      <c r="B9" s="7">
        <f t="shared" si="0"/>
        <v>1389047.0000000002</v>
      </c>
      <c r="C9" s="7">
        <f t="shared" si="1"/>
        <v>431917</v>
      </c>
      <c r="D9" s="7">
        <f t="shared" si="2"/>
        <v>310736.30000000034</v>
      </c>
      <c r="E9" s="8">
        <f t="shared" si="3"/>
        <v>0.31094484203918221</v>
      </c>
      <c r="F9" s="8">
        <f t="shared" si="4"/>
        <v>0.22370466946042883</v>
      </c>
    </row>
    <row r="10" spans="1:6" x14ac:dyDescent="0.3">
      <c r="A10" t="s">
        <v>29</v>
      </c>
      <c r="B10" s="7">
        <f t="shared" si="0"/>
        <v>1694242.8500000003</v>
      </c>
      <c r="C10" s="7">
        <f t="shared" si="1"/>
        <v>508072.85</v>
      </c>
      <c r="D10" s="7">
        <f t="shared" si="2"/>
        <v>372865.31000000023</v>
      </c>
      <c r="E10" s="8">
        <f t="shared" si="3"/>
        <v>0.29988195021746727</v>
      </c>
      <c r="F10" s="8">
        <f t="shared" si="4"/>
        <v>0.22007784185130258</v>
      </c>
    </row>
    <row r="11" spans="1:6" x14ac:dyDescent="0.3">
      <c r="A11" t="s">
        <v>30</v>
      </c>
      <c r="B11" s="7">
        <f t="shared" si="0"/>
        <v>1448850.9999999993</v>
      </c>
      <c r="C11" s="7">
        <f t="shared" si="1"/>
        <v>468571.00000000012</v>
      </c>
      <c r="D11" s="7">
        <f t="shared" si="2"/>
        <v>336582.12</v>
      </c>
      <c r="E11" s="8">
        <f t="shared" si="3"/>
        <v>0.32340868729772787</v>
      </c>
      <c r="F11" s="8">
        <f t="shared" si="4"/>
        <v>0.23230968539898178</v>
      </c>
    </row>
    <row r="12" spans="1:6" x14ac:dyDescent="0.3">
      <c r="A12" t="s">
        <v>31</v>
      </c>
      <c r="B12" s="7">
        <f t="shared" si="0"/>
        <v>1639832.1500000013</v>
      </c>
      <c r="C12" s="7">
        <f t="shared" si="1"/>
        <v>499652.14999999956</v>
      </c>
      <c r="D12" s="7">
        <f t="shared" si="2"/>
        <v>356173.46999999986</v>
      </c>
      <c r="E12" s="8">
        <f t="shared" si="3"/>
        <v>0.30469713013005578</v>
      </c>
      <c r="F12" s="8">
        <f t="shared" si="4"/>
        <v>0.21720117513246681</v>
      </c>
    </row>
    <row r="13" spans="1:6" x14ac:dyDescent="0.3">
      <c r="A13" t="s">
        <v>32</v>
      </c>
      <c r="B13" s="7">
        <f t="shared" si="0"/>
        <v>1440786.9000000006</v>
      </c>
      <c r="C13" s="7">
        <f t="shared" si="1"/>
        <v>462346.89999999985</v>
      </c>
      <c r="D13" s="7">
        <f t="shared" si="2"/>
        <v>336659.17999999993</v>
      </c>
      <c r="E13" s="8">
        <f t="shared" si="3"/>
        <v>0.32089887824493663</v>
      </c>
      <c r="F13" s="8">
        <f t="shared" si="4"/>
        <v>0.23366340990468459</v>
      </c>
    </row>
    <row r="14" spans="1:6" x14ac:dyDescent="0.3">
      <c r="A14" t="s">
        <v>33</v>
      </c>
      <c r="B14" s="7">
        <f t="shared" si="0"/>
        <v>1530080.4999999991</v>
      </c>
      <c r="C14" s="7">
        <f t="shared" si="1"/>
        <v>470510.49999999994</v>
      </c>
      <c r="D14" s="7">
        <f t="shared" si="2"/>
        <v>342729.82999999978</v>
      </c>
      <c r="E14" s="8">
        <f t="shared" si="3"/>
        <v>0.30750702332328284</v>
      </c>
      <c r="F14" s="8">
        <f t="shared" si="4"/>
        <v>0.22399463949772577</v>
      </c>
    </row>
    <row r="15" spans="1:6" x14ac:dyDescent="0.3">
      <c r="A15" t="s">
        <v>34</v>
      </c>
      <c r="B15" s="7">
        <f t="shared" si="0"/>
        <v>1550397.800000001</v>
      </c>
      <c r="C15" s="7">
        <f t="shared" si="1"/>
        <v>458177.7999999997</v>
      </c>
      <c r="D15" s="7">
        <f t="shared" si="2"/>
        <v>335193.02000000008</v>
      </c>
      <c r="E15" s="8">
        <f t="shared" si="3"/>
        <v>0.2955227361648729</v>
      </c>
      <c r="F15" s="8">
        <f t="shared" si="4"/>
        <v>0.21619807510046768</v>
      </c>
    </row>
    <row r="16" spans="1:6" x14ac:dyDescent="0.3">
      <c r="A16" t="s">
        <v>35</v>
      </c>
      <c r="B16" s="7">
        <f t="shared" si="0"/>
        <v>1500454.7500000002</v>
      </c>
      <c r="C16" s="7">
        <f t="shared" si="1"/>
        <v>466844.74999999977</v>
      </c>
      <c r="D16" s="7">
        <f t="shared" si="2"/>
        <v>345881.73999999976</v>
      </c>
      <c r="E16" s="8">
        <f t="shared" si="3"/>
        <v>0.31113550741866736</v>
      </c>
      <c r="F16" s="8">
        <f t="shared" si="4"/>
        <v>0.23051794131079242</v>
      </c>
    </row>
    <row r="17" spans="1:6" x14ac:dyDescent="0.3">
      <c r="A17" t="s">
        <v>36</v>
      </c>
      <c r="B17" s="7">
        <f t="shared" si="0"/>
        <v>1350451.95</v>
      </c>
      <c r="C17" s="7">
        <f t="shared" si="1"/>
        <v>421251.95</v>
      </c>
      <c r="D17" s="7">
        <f t="shared" si="2"/>
        <v>305972.04999999993</v>
      </c>
      <c r="E17" s="8">
        <f t="shared" si="3"/>
        <v>0.31193405289244097</v>
      </c>
      <c r="F17" s="8">
        <f t="shared" si="4"/>
        <v>0.22657011232424815</v>
      </c>
    </row>
    <row r="18" spans="1:6" x14ac:dyDescent="0.3">
      <c r="A18" t="s">
        <v>37</v>
      </c>
      <c r="B18" s="7">
        <f t="shared" si="0"/>
        <v>1559447.1</v>
      </c>
      <c r="C18" s="7">
        <f t="shared" si="1"/>
        <v>500307.09999999986</v>
      </c>
      <c r="D18" s="7">
        <f t="shared" si="2"/>
        <v>361668.42</v>
      </c>
      <c r="E18" s="8">
        <f t="shared" si="3"/>
        <v>0.32082338669904215</v>
      </c>
      <c r="F18" s="8">
        <f t="shared" si="4"/>
        <v>0.23192092889845378</v>
      </c>
    </row>
    <row r="19" spans="1:6" x14ac:dyDescent="0.3">
      <c r="A19" t="s">
        <v>38</v>
      </c>
      <c r="B19" s="7">
        <f t="shared" si="0"/>
        <v>1061380.6999999997</v>
      </c>
      <c r="C19" s="7">
        <f t="shared" si="1"/>
        <v>344230.69999999995</v>
      </c>
      <c r="D19" s="7">
        <f t="shared" si="2"/>
        <v>252123.66999999984</v>
      </c>
      <c r="E19" s="8">
        <f t="shared" si="3"/>
        <v>0.32432349674343997</v>
      </c>
      <c r="F19" s="8">
        <f t="shared" si="4"/>
        <v>0.23754310776519669</v>
      </c>
    </row>
    <row r="20" spans="1:6" x14ac:dyDescent="0.3">
      <c r="A20" t="s">
        <v>39</v>
      </c>
      <c r="B20" s="7">
        <f t="shared" si="0"/>
        <v>1496488.0499999998</v>
      </c>
      <c r="C20" s="7">
        <f t="shared" si="1"/>
        <v>500228.04999999987</v>
      </c>
      <c r="D20" s="7">
        <f t="shared" si="2"/>
        <v>370526.14999999997</v>
      </c>
      <c r="E20" s="8">
        <f t="shared" si="3"/>
        <v>0.33426798830769144</v>
      </c>
      <c r="F20" s="8">
        <f t="shared" si="4"/>
        <v>0.24759713249965479</v>
      </c>
    </row>
    <row r="21" spans="1:6" x14ac:dyDescent="0.3">
      <c r="A21" t="s">
        <v>40</v>
      </c>
      <c r="B21" s="7">
        <f t="shared" si="0"/>
        <v>1265460.0000000007</v>
      </c>
      <c r="C21" s="7">
        <f t="shared" si="1"/>
        <v>439059.99999999983</v>
      </c>
      <c r="D21" s="7">
        <f t="shared" si="2"/>
        <v>330138.12</v>
      </c>
      <c r="E21" s="8">
        <f t="shared" si="3"/>
        <v>0.34695683782972164</v>
      </c>
      <c r="F21" s="8">
        <f t="shared" si="4"/>
        <v>0.26088388412118896</v>
      </c>
    </row>
    <row r="22" spans="1:6" x14ac:dyDescent="0.3">
      <c r="A22" t="s">
        <v>41</v>
      </c>
      <c r="B22" s="7">
        <f t="shared" si="0"/>
        <v>1582529.2500000005</v>
      </c>
      <c r="C22" s="7">
        <f t="shared" si="1"/>
        <v>473069.24999999988</v>
      </c>
      <c r="D22" s="7">
        <f t="shared" si="2"/>
        <v>345078.98000000021</v>
      </c>
      <c r="E22" s="8">
        <f t="shared" si="3"/>
        <v>0.29893238940133315</v>
      </c>
      <c r="F22" s="8">
        <f t="shared" si="4"/>
        <v>0.21805535663874781</v>
      </c>
    </row>
    <row r="23" spans="1:6" x14ac:dyDescent="0.3">
      <c r="A23" t="s">
        <v>42</v>
      </c>
      <c r="B23" s="7">
        <f t="shared" si="0"/>
        <v>1495422.8000000014</v>
      </c>
      <c r="C23" s="7">
        <f t="shared" si="1"/>
        <v>483022.79999999958</v>
      </c>
      <c r="D23" s="7">
        <f t="shared" si="2"/>
        <v>351151.98999999964</v>
      </c>
      <c r="E23" s="8">
        <f t="shared" si="3"/>
        <v>0.32300082625462118</v>
      </c>
      <c r="F23" s="8">
        <f t="shared" si="4"/>
        <v>0.23481786555614861</v>
      </c>
    </row>
    <row r="24" spans="1:6" x14ac:dyDescent="0.3">
      <c r="A24" t="s">
        <v>43</v>
      </c>
      <c r="B24" s="7">
        <f t="shared" si="0"/>
        <v>1646083.8000000003</v>
      </c>
      <c r="C24" s="7">
        <f t="shared" si="1"/>
        <v>513963.79999999976</v>
      </c>
      <c r="D24" s="7">
        <f t="shared" si="2"/>
        <v>374019.11000000004</v>
      </c>
      <c r="E24" s="8">
        <f t="shared" si="3"/>
        <v>0.31223428600658099</v>
      </c>
      <c r="F24" s="8">
        <f t="shared" si="4"/>
        <v>0.22721753898556074</v>
      </c>
    </row>
    <row r="25" spans="1:6" x14ac:dyDescent="0.3">
      <c r="A25" t="s">
        <v>44</v>
      </c>
      <c r="B25" s="7">
        <f t="shared" si="0"/>
        <v>1462949.7500000007</v>
      </c>
      <c r="C25" s="7">
        <f t="shared" si="1"/>
        <v>453459.74999999977</v>
      </c>
      <c r="D25" s="7">
        <f t="shared" si="2"/>
        <v>329638.44999999984</v>
      </c>
      <c r="E25" s="8">
        <f t="shared" si="3"/>
        <v>0.30996262858652496</v>
      </c>
      <c r="F25" s="8">
        <f t="shared" si="4"/>
        <v>0.2253245198613279</v>
      </c>
    </row>
    <row r="26" spans="1:6" x14ac:dyDescent="0.3">
      <c r="A26" t="s">
        <v>45</v>
      </c>
      <c r="B26" s="7">
        <f t="shared" si="0"/>
        <v>1371572.9500000004</v>
      </c>
      <c r="C26" s="7">
        <f t="shared" si="1"/>
        <v>452702.94999999966</v>
      </c>
      <c r="D26" s="7">
        <f t="shared" si="2"/>
        <v>342112.9599999999</v>
      </c>
      <c r="E26" s="8">
        <f t="shared" si="3"/>
        <v>0.33006115350991688</v>
      </c>
      <c r="F26" s="8">
        <f t="shared" si="4"/>
        <v>0.24943110754699543</v>
      </c>
    </row>
    <row r="33" spans="1:8" ht="15.6" x14ac:dyDescent="0.3">
      <c r="A33" s="5" t="s">
        <v>175</v>
      </c>
    </row>
    <row r="34" spans="1:8" x14ac:dyDescent="0.3">
      <c r="A34" s="6" t="s">
        <v>5</v>
      </c>
      <c r="B34" s="6" t="s">
        <v>23</v>
      </c>
      <c r="C34" s="6" t="s">
        <v>176</v>
      </c>
      <c r="D34" s="6" t="s">
        <v>13</v>
      </c>
      <c r="E34" s="6" t="s">
        <v>177</v>
      </c>
      <c r="F34" s="6" t="s">
        <v>178</v>
      </c>
      <c r="G34" s="6" t="s">
        <v>15</v>
      </c>
      <c r="H34" s="6" t="s">
        <v>16</v>
      </c>
    </row>
    <row r="35" spans="1:8" x14ac:dyDescent="0.3">
      <c r="A35" t="s">
        <v>48</v>
      </c>
      <c r="B35" s="7">
        <f t="shared" ref="B35:B40" si="5">SUMIFS(dSales,dYear,selYear,dCat,selCat,dState,selState,dVis,1,dCat,$A35)</f>
        <v>15609511.350000031</v>
      </c>
      <c r="C35" s="7">
        <f t="shared" ref="C35:C40" si="6">SUMIFS(dCost,dYear,selYear,dCat,selCat,dState,selState,dVis,1,dCat,$A35)</f>
        <v>11800850</v>
      </c>
      <c r="D35" s="7">
        <f t="shared" ref="D35:D40" si="7">SUMIFS(dProfit,dYear,selYear,dCat,selCat,dState,selState,dVis,1,dCat,$A35)</f>
        <v>3808661.3499999945</v>
      </c>
      <c r="E35" s="7">
        <f t="shared" ref="E35:E40" si="8">SUMIFS(dShip,dYear,selYear,dCat,selCat,dState,selState,dVis,1,dCat,$A35)</f>
        <v>78970</v>
      </c>
      <c r="F35" s="7">
        <f t="shared" ref="F35:F40" si="9">SUMIFS(dMkt,dYear,selYear,dCat,selCat,dState,selState,dVis,1,dCat,$A35)</f>
        <v>1160677.9499999993</v>
      </c>
      <c r="G35" s="7">
        <f t="shared" ref="G35:G40" si="10">D35-E35-F35</f>
        <v>2569013.3999999953</v>
      </c>
      <c r="H35" s="8">
        <f t="shared" ref="H35:H40" si="11">IFERROR(G35/B35,0)</f>
        <v>0.16458000141048554</v>
      </c>
    </row>
    <row r="36" spans="1:8" x14ac:dyDescent="0.3">
      <c r="A36" t="s">
        <v>49</v>
      </c>
      <c r="B36" s="7">
        <f t="shared" si="5"/>
        <v>7516883.5499999933</v>
      </c>
      <c r="C36" s="7">
        <f t="shared" si="6"/>
        <v>4887550</v>
      </c>
      <c r="D36" s="7">
        <f t="shared" si="7"/>
        <v>2629333.5500000012</v>
      </c>
      <c r="E36" s="7">
        <f t="shared" si="8"/>
        <v>85090</v>
      </c>
      <c r="F36" s="7">
        <f t="shared" si="9"/>
        <v>574040.54000000074</v>
      </c>
      <c r="G36" s="7">
        <f t="shared" si="10"/>
        <v>1970203.0100000005</v>
      </c>
      <c r="H36" s="8">
        <f t="shared" si="11"/>
        <v>0.26210370253773618</v>
      </c>
    </row>
    <row r="37" spans="1:8" x14ac:dyDescent="0.3">
      <c r="A37" t="s">
        <v>50</v>
      </c>
      <c r="B37" s="7">
        <f t="shared" si="5"/>
        <v>2995938.4999999981</v>
      </c>
      <c r="C37" s="7">
        <f t="shared" si="6"/>
        <v>1739080</v>
      </c>
      <c r="D37" s="7">
        <f t="shared" si="7"/>
        <v>1256858.5000000019</v>
      </c>
      <c r="E37" s="7">
        <f t="shared" si="8"/>
        <v>65570</v>
      </c>
      <c r="F37" s="7">
        <f t="shared" si="9"/>
        <v>221311.03000000006</v>
      </c>
      <c r="G37" s="7">
        <f t="shared" si="10"/>
        <v>969977.47000000183</v>
      </c>
      <c r="H37" s="8">
        <f t="shared" si="11"/>
        <v>0.32376414602636283</v>
      </c>
    </row>
    <row r="38" spans="1:8" x14ac:dyDescent="0.3">
      <c r="A38" t="s">
        <v>51</v>
      </c>
      <c r="B38" s="7">
        <f t="shared" si="5"/>
        <v>1904279.3000000017</v>
      </c>
      <c r="C38" s="7">
        <f t="shared" si="6"/>
        <v>1068000</v>
      </c>
      <c r="D38" s="7">
        <f t="shared" si="7"/>
        <v>836279.29999999958</v>
      </c>
      <c r="E38" s="7">
        <f t="shared" si="8"/>
        <v>32920</v>
      </c>
      <c r="F38" s="7">
        <f t="shared" si="9"/>
        <v>140652.39999999997</v>
      </c>
      <c r="G38" s="7">
        <f t="shared" si="10"/>
        <v>662706.89999999967</v>
      </c>
      <c r="H38" s="8">
        <f t="shared" si="11"/>
        <v>0.34800929674549269</v>
      </c>
    </row>
    <row r="39" spans="1:8" x14ac:dyDescent="0.3">
      <c r="A39" t="s">
        <v>52</v>
      </c>
      <c r="B39" s="7">
        <f t="shared" si="5"/>
        <v>1600074.9500000009</v>
      </c>
      <c r="C39" s="7">
        <f t="shared" si="6"/>
        <v>939120</v>
      </c>
      <c r="D39" s="7">
        <f t="shared" si="7"/>
        <v>660954.95000000042</v>
      </c>
      <c r="E39" s="7">
        <f t="shared" si="8"/>
        <v>32910</v>
      </c>
      <c r="F39" s="7">
        <f t="shared" si="9"/>
        <v>116759.55999999995</v>
      </c>
      <c r="G39" s="7">
        <f t="shared" si="10"/>
        <v>511285.39000000048</v>
      </c>
      <c r="H39" s="8">
        <f t="shared" si="11"/>
        <v>0.31953840037305764</v>
      </c>
    </row>
    <row r="40" spans="1:8" x14ac:dyDescent="0.3">
      <c r="A40" t="s">
        <v>53</v>
      </c>
      <c r="B40" s="7">
        <f t="shared" si="5"/>
        <v>1247977.0500000014</v>
      </c>
      <c r="C40" s="7">
        <f t="shared" si="6"/>
        <v>722600</v>
      </c>
      <c r="D40" s="7">
        <f t="shared" si="7"/>
        <v>525377.0499999997</v>
      </c>
      <c r="E40" s="7">
        <f t="shared" si="8"/>
        <v>34290</v>
      </c>
      <c r="F40" s="7">
        <f t="shared" si="9"/>
        <v>93447.890000000043</v>
      </c>
      <c r="G40" s="7">
        <f t="shared" si="10"/>
        <v>397639.15999999968</v>
      </c>
      <c r="H40" s="8">
        <f t="shared" si="11"/>
        <v>0.31862698116123145</v>
      </c>
    </row>
    <row r="51" spans="1:4" ht="15.6" x14ac:dyDescent="0.3">
      <c r="A51" s="5" t="s">
        <v>179</v>
      </c>
    </row>
    <row r="52" spans="1:4" x14ac:dyDescent="0.3">
      <c r="A52" s="6" t="s">
        <v>180</v>
      </c>
      <c r="B52" s="6" t="s">
        <v>23</v>
      </c>
      <c r="C52" s="6" t="s">
        <v>13</v>
      </c>
      <c r="D52" s="6" t="s">
        <v>112</v>
      </c>
    </row>
    <row r="53" spans="1:4" x14ac:dyDescent="0.3">
      <c r="A53" s="12">
        <v>0</v>
      </c>
      <c r="B53" s="7">
        <f t="shared" ref="B53:B58" si="12">SUMIFS(dSales,dYear,selYear,dCat,selCat,dState,selState,dVis,1,dDisc,$A53)</f>
        <v>6706361</v>
      </c>
      <c r="C53" s="7">
        <f t="shared" ref="C53:C58" si="13">SUMIFS(dProfit,dYear,selYear,dCat,selCat,dState,selState,dVis,1,dDisc,$A53)</f>
        <v>2526131</v>
      </c>
      <c r="D53" s="8">
        <f t="shared" ref="D53:D58" si="14">IFERROR(C53/B53,0)</f>
        <v>0.37667685947714419</v>
      </c>
    </row>
    <row r="54" spans="1:4" x14ac:dyDescent="0.3">
      <c r="A54" s="12">
        <v>0.05</v>
      </c>
      <c r="B54" s="7">
        <f t="shared" si="12"/>
        <v>8086063.6999999397</v>
      </c>
      <c r="C54" s="7">
        <f t="shared" si="13"/>
        <v>2812713.6999999941</v>
      </c>
      <c r="D54" s="8">
        <f t="shared" si="14"/>
        <v>0.34784708658676722</v>
      </c>
    </row>
    <row r="55" spans="1:4" x14ac:dyDescent="0.3">
      <c r="A55" s="12">
        <v>0.1</v>
      </c>
      <c r="B55" s="7">
        <f t="shared" si="12"/>
        <v>7158181.4999999823</v>
      </c>
      <c r="C55" s="7">
        <f t="shared" si="13"/>
        <v>2219441.5000000093</v>
      </c>
      <c r="D55" s="8">
        <f t="shared" si="14"/>
        <v>0.31005661144524133</v>
      </c>
    </row>
    <row r="56" spans="1:4" x14ac:dyDescent="0.3">
      <c r="A56" s="12">
        <v>0.15</v>
      </c>
      <c r="B56" s="7">
        <f t="shared" si="12"/>
        <v>5470980.7999999961</v>
      </c>
      <c r="C56" s="7">
        <f t="shared" si="13"/>
        <v>1472860.8000000005</v>
      </c>
      <c r="D56" s="8">
        <f t="shared" si="14"/>
        <v>0.26921330083995204</v>
      </c>
    </row>
    <row r="57" spans="1:4" x14ac:dyDescent="0.3">
      <c r="A57" s="12">
        <v>0.2</v>
      </c>
      <c r="B57" s="7">
        <f t="shared" si="12"/>
        <v>2263591.1999999955</v>
      </c>
      <c r="C57" s="7">
        <f t="shared" si="13"/>
        <v>499351.20000000135</v>
      </c>
      <c r="D57" s="8">
        <f t="shared" si="14"/>
        <v>0.22060131705760402</v>
      </c>
    </row>
    <row r="58" spans="1:4" x14ac:dyDescent="0.3">
      <c r="A58" s="12">
        <v>0.25</v>
      </c>
      <c r="B58" s="7">
        <f t="shared" si="12"/>
        <v>1189486.5</v>
      </c>
      <c r="C58" s="7">
        <f t="shared" si="13"/>
        <v>186966.5</v>
      </c>
      <c r="D58" s="8">
        <f t="shared" si="14"/>
        <v>0.15718253212625785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9999"/>
  </sheetPr>
  <dimension ref="A1:G1183"/>
  <sheetViews>
    <sheetView topLeftCell="A918" workbookViewId="0"/>
  </sheetViews>
  <sheetFormatPr defaultRowHeight="14.4" x14ac:dyDescent="0.3"/>
  <cols>
    <col min="1" max="1" width="14" customWidth="1"/>
    <col min="2" max="2" width="18" customWidth="1"/>
    <col min="3" max="3" width="10" customWidth="1"/>
    <col min="4" max="5" width="14" customWidth="1"/>
  </cols>
  <sheetData>
    <row r="1" spans="1:7" x14ac:dyDescent="0.3">
      <c r="A1" s="6" t="s">
        <v>181</v>
      </c>
      <c r="B1" s="6" t="s">
        <v>182</v>
      </c>
      <c r="C1" s="6" t="s">
        <v>8</v>
      </c>
      <c r="D1" s="6" t="s">
        <v>23</v>
      </c>
      <c r="E1" s="6" t="s">
        <v>183</v>
      </c>
      <c r="G1" s="11" t="s">
        <v>184</v>
      </c>
    </row>
    <row r="2" spans="1:7" x14ac:dyDescent="0.3">
      <c r="A2" t="s">
        <v>185</v>
      </c>
      <c r="B2" t="s">
        <v>186</v>
      </c>
      <c r="C2">
        <f t="shared" ref="C2:C65" si="0">COUNTIF(dCust,A2)</f>
        <v>10</v>
      </c>
      <c r="D2" s="7">
        <f t="shared" ref="D2:D65" si="1">SUMIFS(dSales,dCust,A2)</f>
        <v>151311.20000000001</v>
      </c>
      <c r="E2">
        <f t="shared" ref="E2:E65" si="2">D2+ROW()/1000000</f>
        <v>151311.200002</v>
      </c>
    </row>
    <row r="3" spans="1:7" x14ac:dyDescent="0.3">
      <c r="A3" t="s">
        <v>187</v>
      </c>
      <c r="B3" t="s">
        <v>188</v>
      </c>
      <c r="C3">
        <f t="shared" si="0"/>
        <v>7</v>
      </c>
      <c r="D3" s="7">
        <f t="shared" si="1"/>
        <v>149180.35</v>
      </c>
      <c r="E3">
        <f t="shared" si="2"/>
        <v>149180.350003</v>
      </c>
    </row>
    <row r="4" spans="1:7" x14ac:dyDescent="0.3">
      <c r="A4" t="s">
        <v>189</v>
      </c>
      <c r="B4" t="s">
        <v>190</v>
      </c>
      <c r="C4">
        <f t="shared" si="0"/>
        <v>7</v>
      </c>
      <c r="D4" s="7">
        <f t="shared" si="1"/>
        <v>118298.4</v>
      </c>
      <c r="E4">
        <f t="shared" si="2"/>
        <v>118298.400004</v>
      </c>
    </row>
    <row r="5" spans="1:7" x14ac:dyDescent="0.3">
      <c r="A5" t="s">
        <v>191</v>
      </c>
      <c r="B5" t="s">
        <v>192</v>
      </c>
      <c r="C5">
        <f t="shared" si="0"/>
        <v>5</v>
      </c>
      <c r="D5" s="7">
        <f t="shared" si="1"/>
        <v>116497.40000000001</v>
      </c>
      <c r="E5">
        <f t="shared" si="2"/>
        <v>116497.400005</v>
      </c>
    </row>
    <row r="6" spans="1:7" x14ac:dyDescent="0.3">
      <c r="A6" t="s">
        <v>193</v>
      </c>
      <c r="B6" t="s">
        <v>194</v>
      </c>
      <c r="C6">
        <f t="shared" si="0"/>
        <v>6</v>
      </c>
      <c r="D6" s="7">
        <f t="shared" si="1"/>
        <v>112896.7</v>
      </c>
      <c r="E6">
        <f t="shared" si="2"/>
        <v>112896.700006</v>
      </c>
    </row>
    <row r="7" spans="1:7" x14ac:dyDescent="0.3">
      <c r="A7" t="s">
        <v>195</v>
      </c>
      <c r="B7" t="s">
        <v>196</v>
      </c>
      <c r="C7">
        <f t="shared" si="0"/>
        <v>10</v>
      </c>
      <c r="D7" s="7">
        <f t="shared" si="1"/>
        <v>110155.25</v>
      </c>
      <c r="E7">
        <f t="shared" si="2"/>
        <v>110155.250007</v>
      </c>
    </row>
    <row r="8" spans="1:7" x14ac:dyDescent="0.3">
      <c r="A8" t="s">
        <v>197</v>
      </c>
      <c r="B8" t="s">
        <v>198</v>
      </c>
      <c r="C8">
        <f t="shared" si="0"/>
        <v>7</v>
      </c>
      <c r="D8" s="7">
        <f t="shared" si="1"/>
        <v>103899.3</v>
      </c>
      <c r="E8">
        <f t="shared" si="2"/>
        <v>103899.30000800001</v>
      </c>
    </row>
    <row r="9" spans="1:7" x14ac:dyDescent="0.3">
      <c r="A9" t="s">
        <v>199</v>
      </c>
      <c r="B9" t="s">
        <v>200</v>
      </c>
      <c r="C9">
        <f t="shared" si="0"/>
        <v>4</v>
      </c>
      <c r="D9" s="7">
        <f t="shared" si="1"/>
        <v>102681.45</v>
      </c>
      <c r="E9">
        <f t="shared" si="2"/>
        <v>102681.45000899999</v>
      </c>
    </row>
    <row r="10" spans="1:7" x14ac:dyDescent="0.3">
      <c r="A10" t="s">
        <v>201</v>
      </c>
      <c r="B10" t="s">
        <v>202</v>
      </c>
      <c r="C10">
        <f t="shared" si="0"/>
        <v>7</v>
      </c>
      <c r="D10" s="7">
        <f t="shared" si="1"/>
        <v>97972.25</v>
      </c>
      <c r="E10">
        <f t="shared" si="2"/>
        <v>97972.250010000003</v>
      </c>
    </row>
    <row r="11" spans="1:7" x14ac:dyDescent="0.3">
      <c r="A11" t="s">
        <v>203</v>
      </c>
      <c r="B11" t="s">
        <v>204</v>
      </c>
      <c r="C11">
        <f t="shared" si="0"/>
        <v>5</v>
      </c>
      <c r="D11" s="7">
        <f t="shared" si="1"/>
        <v>97531.35</v>
      </c>
      <c r="E11">
        <f t="shared" si="2"/>
        <v>97531.350011000002</v>
      </c>
    </row>
    <row r="12" spans="1:7" x14ac:dyDescent="0.3">
      <c r="A12" t="s">
        <v>205</v>
      </c>
      <c r="B12" t="s">
        <v>206</v>
      </c>
      <c r="C12">
        <f t="shared" si="0"/>
        <v>7</v>
      </c>
      <c r="D12" s="7">
        <f t="shared" si="1"/>
        <v>97303.9</v>
      </c>
      <c r="E12">
        <f t="shared" si="2"/>
        <v>97303.900011999998</v>
      </c>
    </row>
    <row r="13" spans="1:7" x14ac:dyDescent="0.3">
      <c r="A13" t="s">
        <v>207</v>
      </c>
      <c r="B13" t="s">
        <v>208</v>
      </c>
      <c r="C13">
        <f t="shared" si="0"/>
        <v>3</v>
      </c>
      <c r="D13" s="7">
        <f t="shared" si="1"/>
        <v>94902.9</v>
      </c>
      <c r="E13">
        <f t="shared" si="2"/>
        <v>94902.900012999991</v>
      </c>
    </row>
    <row r="14" spans="1:7" x14ac:dyDescent="0.3">
      <c r="A14" t="s">
        <v>209</v>
      </c>
      <c r="B14" t="s">
        <v>210</v>
      </c>
      <c r="C14">
        <f t="shared" si="0"/>
        <v>4</v>
      </c>
      <c r="D14" s="7">
        <f t="shared" si="1"/>
        <v>94666.55</v>
      </c>
      <c r="E14">
        <f t="shared" si="2"/>
        <v>94666.550014000008</v>
      </c>
    </row>
    <row r="15" spans="1:7" x14ac:dyDescent="0.3">
      <c r="A15" t="s">
        <v>211</v>
      </c>
      <c r="B15" t="s">
        <v>212</v>
      </c>
      <c r="C15">
        <f t="shared" si="0"/>
        <v>8</v>
      </c>
      <c r="D15" s="7">
        <f t="shared" si="1"/>
        <v>94585.599999999991</v>
      </c>
      <c r="E15">
        <f t="shared" si="2"/>
        <v>94585.600014999989</v>
      </c>
    </row>
    <row r="16" spans="1:7" x14ac:dyDescent="0.3">
      <c r="A16" t="s">
        <v>213</v>
      </c>
      <c r="B16" t="s">
        <v>214</v>
      </c>
      <c r="C16">
        <f t="shared" si="0"/>
        <v>5</v>
      </c>
      <c r="D16" s="7">
        <f t="shared" si="1"/>
        <v>92486.400000000009</v>
      </c>
      <c r="E16">
        <f t="shared" si="2"/>
        <v>92486.400016000014</v>
      </c>
    </row>
    <row r="17" spans="1:5" x14ac:dyDescent="0.3">
      <c r="A17" t="s">
        <v>215</v>
      </c>
      <c r="B17" t="s">
        <v>216</v>
      </c>
      <c r="C17">
        <f t="shared" si="0"/>
        <v>4</v>
      </c>
      <c r="D17" s="7">
        <f t="shared" si="1"/>
        <v>92147.599999999991</v>
      </c>
      <c r="E17">
        <f t="shared" si="2"/>
        <v>92147.60001699999</v>
      </c>
    </row>
    <row r="18" spans="1:5" x14ac:dyDescent="0.3">
      <c r="A18" t="s">
        <v>217</v>
      </c>
      <c r="B18" t="s">
        <v>218</v>
      </c>
      <c r="C18">
        <f t="shared" si="0"/>
        <v>5</v>
      </c>
      <c r="D18" s="7">
        <f t="shared" si="1"/>
        <v>91146.25</v>
      </c>
      <c r="E18">
        <f t="shared" si="2"/>
        <v>91146.250018000006</v>
      </c>
    </row>
    <row r="19" spans="1:5" x14ac:dyDescent="0.3">
      <c r="A19" t="s">
        <v>219</v>
      </c>
      <c r="B19" t="s">
        <v>220</v>
      </c>
      <c r="C19">
        <f t="shared" si="0"/>
        <v>5</v>
      </c>
      <c r="D19" s="7">
        <f t="shared" si="1"/>
        <v>90036.400000000009</v>
      </c>
      <c r="E19">
        <f t="shared" si="2"/>
        <v>90036.400019000008</v>
      </c>
    </row>
    <row r="20" spans="1:5" x14ac:dyDescent="0.3">
      <c r="A20" t="s">
        <v>221</v>
      </c>
      <c r="B20" t="s">
        <v>222</v>
      </c>
      <c r="C20">
        <f t="shared" si="0"/>
        <v>5</v>
      </c>
      <c r="D20" s="7">
        <f t="shared" si="1"/>
        <v>89631.7</v>
      </c>
      <c r="E20">
        <f t="shared" si="2"/>
        <v>89631.700020000004</v>
      </c>
    </row>
    <row r="21" spans="1:5" x14ac:dyDescent="0.3">
      <c r="A21" t="s">
        <v>223</v>
      </c>
      <c r="B21" t="s">
        <v>224</v>
      </c>
      <c r="C21">
        <f t="shared" si="0"/>
        <v>7</v>
      </c>
      <c r="D21" s="7">
        <f t="shared" si="1"/>
        <v>89468.049999999988</v>
      </c>
      <c r="E21">
        <f t="shared" si="2"/>
        <v>89468.050020999988</v>
      </c>
    </row>
    <row r="22" spans="1:5" x14ac:dyDescent="0.3">
      <c r="A22" t="s">
        <v>225</v>
      </c>
      <c r="B22" t="s">
        <v>226</v>
      </c>
      <c r="C22">
        <f t="shared" si="0"/>
        <v>6</v>
      </c>
      <c r="D22" s="7">
        <f t="shared" si="1"/>
        <v>89229.15</v>
      </c>
      <c r="E22">
        <f t="shared" si="2"/>
        <v>89229.150021999987</v>
      </c>
    </row>
    <row r="23" spans="1:5" x14ac:dyDescent="0.3">
      <c r="A23" t="s">
        <v>227</v>
      </c>
      <c r="B23" t="s">
        <v>228</v>
      </c>
      <c r="C23">
        <f t="shared" si="0"/>
        <v>11</v>
      </c>
      <c r="D23" s="7">
        <f t="shared" si="1"/>
        <v>88418.650000000009</v>
      </c>
      <c r="E23">
        <f t="shared" si="2"/>
        <v>88418.650023000009</v>
      </c>
    </row>
    <row r="24" spans="1:5" x14ac:dyDescent="0.3">
      <c r="A24" t="s">
        <v>229</v>
      </c>
      <c r="B24" t="s">
        <v>230</v>
      </c>
      <c r="C24">
        <f t="shared" si="0"/>
        <v>6</v>
      </c>
      <c r="D24" s="7">
        <f t="shared" si="1"/>
        <v>88240.85</v>
      </c>
      <c r="E24">
        <f t="shared" si="2"/>
        <v>88240.850023999999</v>
      </c>
    </row>
    <row r="25" spans="1:5" x14ac:dyDescent="0.3">
      <c r="A25" t="s">
        <v>231</v>
      </c>
      <c r="B25" t="s">
        <v>232</v>
      </c>
      <c r="C25">
        <f t="shared" si="0"/>
        <v>5</v>
      </c>
      <c r="D25" s="7">
        <f t="shared" si="1"/>
        <v>87986.65</v>
      </c>
      <c r="E25">
        <f t="shared" si="2"/>
        <v>87986.650024999995</v>
      </c>
    </row>
    <row r="26" spans="1:5" x14ac:dyDescent="0.3">
      <c r="A26" t="s">
        <v>233</v>
      </c>
      <c r="B26" t="s">
        <v>234</v>
      </c>
      <c r="C26">
        <f t="shared" si="0"/>
        <v>6</v>
      </c>
      <c r="D26" s="7">
        <f t="shared" si="1"/>
        <v>87943.6</v>
      </c>
      <c r="E26">
        <f t="shared" si="2"/>
        <v>87943.600026</v>
      </c>
    </row>
    <row r="27" spans="1:5" x14ac:dyDescent="0.3">
      <c r="A27" t="s">
        <v>235</v>
      </c>
      <c r="B27" t="s">
        <v>236</v>
      </c>
      <c r="C27">
        <f t="shared" si="0"/>
        <v>7</v>
      </c>
      <c r="D27" s="7">
        <f t="shared" si="1"/>
        <v>87353.3</v>
      </c>
      <c r="E27">
        <f t="shared" si="2"/>
        <v>87353.300027000005</v>
      </c>
    </row>
    <row r="28" spans="1:5" x14ac:dyDescent="0.3">
      <c r="A28" t="s">
        <v>237</v>
      </c>
      <c r="B28" t="s">
        <v>238</v>
      </c>
      <c r="C28">
        <f t="shared" si="0"/>
        <v>4</v>
      </c>
      <c r="D28" s="7">
        <f t="shared" si="1"/>
        <v>86573</v>
      </c>
      <c r="E28">
        <f t="shared" si="2"/>
        <v>86573.000027999995</v>
      </c>
    </row>
    <row r="29" spans="1:5" x14ac:dyDescent="0.3">
      <c r="A29" t="s">
        <v>239</v>
      </c>
      <c r="B29" t="s">
        <v>240</v>
      </c>
      <c r="C29">
        <f t="shared" si="0"/>
        <v>6</v>
      </c>
      <c r="D29" s="7">
        <f t="shared" si="1"/>
        <v>85935.6</v>
      </c>
      <c r="E29">
        <f t="shared" si="2"/>
        <v>85935.600029000008</v>
      </c>
    </row>
    <row r="30" spans="1:5" x14ac:dyDescent="0.3">
      <c r="A30" t="s">
        <v>241</v>
      </c>
      <c r="B30" t="s">
        <v>242</v>
      </c>
      <c r="C30">
        <f t="shared" si="0"/>
        <v>9</v>
      </c>
      <c r="D30" s="7">
        <f t="shared" si="1"/>
        <v>85284.950000000012</v>
      </c>
      <c r="E30">
        <f t="shared" si="2"/>
        <v>85284.950030000007</v>
      </c>
    </row>
    <row r="31" spans="1:5" x14ac:dyDescent="0.3">
      <c r="A31" t="s">
        <v>243</v>
      </c>
      <c r="B31" t="s">
        <v>244</v>
      </c>
      <c r="C31">
        <f t="shared" si="0"/>
        <v>6</v>
      </c>
      <c r="D31" s="7">
        <f t="shared" si="1"/>
        <v>84992.95</v>
      </c>
      <c r="E31">
        <f t="shared" si="2"/>
        <v>84992.950031</v>
      </c>
    </row>
    <row r="32" spans="1:5" x14ac:dyDescent="0.3">
      <c r="A32" t="s">
        <v>245</v>
      </c>
      <c r="B32" t="s">
        <v>246</v>
      </c>
      <c r="C32">
        <f t="shared" si="0"/>
        <v>8</v>
      </c>
      <c r="D32" s="7">
        <f t="shared" si="1"/>
        <v>83340.3</v>
      </c>
      <c r="E32">
        <f t="shared" si="2"/>
        <v>83340.300031999999</v>
      </c>
    </row>
    <row r="33" spans="1:5" x14ac:dyDescent="0.3">
      <c r="A33" t="s">
        <v>247</v>
      </c>
      <c r="B33" t="s">
        <v>248</v>
      </c>
      <c r="C33">
        <f t="shared" si="0"/>
        <v>7</v>
      </c>
      <c r="D33" s="7">
        <f t="shared" si="1"/>
        <v>83278.55</v>
      </c>
      <c r="E33">
        <f t="shared" si="2"/>
        <v>83278.550033000007</v>
      </c>
    </row>
    <row r="34" spans="1:5" x14ac:dyDescent="0.3">
      <c r="A34" t="s">
        <v>249</v>
      </c>
      <c r="B34" t="s">
        <v>250</v>
      </c>
      <c r="C34">
        <f t="shared" si="0"/>
        <v>4</v>
      </c>
      <c r="D34" s="7">
        <f t="shared" si="1"/>
        <v>83149.25</v>
      </c>
      <c r="E34">
        <f t="shared" si="2"/>
        <v>83149.250033999997</v>
      </c>
    </row>
    <row r="35" spans="1:5" x14ac:dyDescent="0.3">
      <c r="A35" t="s">
        <v>251</v>
      </c>
      <c r="B35" t="s">
        <v>252</v>
      </c>
      <c r="C35">
        <f t="shared" si="0"/>
        <v>4</v>
      </c>
      <c r="D35" s="7">
        <f t="shared" si="1"/>
        <v>83092.2</v>
      </c>
      <c r="E35">
        <f t="shared" si="2"/>
        <v>83092.200035000002</v>
      </c>
    </row>
    <row r="36" spans="1:5" x14ac:dyDescent="0.3">
      <c r="A36" t="s">
        <v>253</v>
      </c>
      <c r="B36" t="s">
        <v>254</v>
      </c>
      <c r="C36">
        <f t="shared" si="0"/>
        <v>7</v>
      </c>
      <c r="D36" s="7">
        <f t="shared" si="1"/>
        <v>82581.25</v>
      </c>
      <c r="E36">
        <f t="shared" si="2"/>
        <v>82581.250035999998</v>
      </c>
    </row>
    <row r="37" spans="1:5" x14ac:dyDescent="0.3">
      <c r="A37" t="s">
        <v>255</v>
      </c>
      <c r="B37" t="s">
        <v>256</v>
      </c>
      <c r="C37">
        <f t="shared" si="0"/>
        <v>5</v>
      </c>
      <c r="D37" s="7">
        <f t="shared" si="1"/>
        <v>82569.099999999991</v>
      </c>
      <c r="E37">
        <f t="shared" si="2"/>
        <v>82569.100036999997</v>
      </c>
    </row>
    <row r="38" spans="1:5" x14ac:dyDescent="0.3">
      <c r="A38" t="s">
        <v>257</v>
      </c>
      <c r="B38" t="s">
        <v>258</v>
      </c>
      <c r="C38">
        <f t="shared" si="0"/>
        <v>6</v>
      </c>
      <c r="D38" s="7">
        <f t="shared" si="1"/>
        <v>81585.75</v>
      </c>
      <c r="E38">
        <f t="shared" si="2"/>
        <v>81585.750037999998</v>
      </c>
    </row>
    <row r="39" spans="1:5" x14ac:dyDescent="0.3">
      <c r="A39" t="s">
        <v>259</v>
      </c>
      <c r="B39" t="s">
        <v>260</v>
      </c>
      <c r="C39">
        <f t="shared" si="0"/>
        <v>7</v>
      </c>
      <c r="D39" s="7">
        <f t="shared" si="1"/>
        <v>81532.400000000009</v>
      </c>
      <c r="E39">
        <f t="shared" si="2"/>
        <v>81532.400039000015</v>
      </c>
    </row>
    <row r="40" spans="1:5" x14ac:dyDescent="0.3">
      <c r="A40" t="s">
        <v>261</v>
      </c>
      <c r="B40" t="s">
        <v>262</v>
      </c>
      <c r="C40">
        <f t="shared" si="0"/>
        <v>6</v>
      </c>
      <c r="D40" s="7">
        <f t="shared" si="1"/>
        <v>78447.5</v>
      </c>
      <c r="E40">
        <f t="shared" si="2"/>
        <v>78447.500039999999</v>
      </c>
    </row>
    <row r="41" spans="1:5" x14ac:dyDescent="0.3">
      <c r="A41" t="s">
        <v>263</v>
      </c>
      <c r="B41" t="s">
        <v>264</v>
      </c>
      <c r="C41">
        <f t="shared" si="0"/>
        <v>4</v>
      </c>
      <c r="D41" s="7">
        <f t="shared" si="1"/>
        <v>77789.399999999994</v>
      </c>
      <c r="E41">
        <f t="shared" si="2"/>
        <v>77789.400041000001</v>
      </c>
    </row>
    <row r="42" spans="1:5" x14ac:dyDescent="0.3">
      <c r="A42" t="s">
        <v>265</v>
      </c>
      <c r="B42" t="s">
        <v>266</v>
      </c>
      <c r="C42">
        <f t="shared" si="0"/>
        <v>8</v>
      </c>
      <c r="D42" s="7">
        <f t="shared" si="1"/>
        <v>77117.699999999983</v>
      </c>
      <c r="E42">
        <f t="shared" si="2"/>
        <v>77117.700041999982</v>
      </c>
    </row>
    <row r="43" spans="1:5" x14ac:dyDescent="0.3">
      <c r="A43" t="s">
        <v>267</v>
      </c>
      <c r="B43" t="s">
        <v>268</v>
      </c>
      <c r="C43">
        <f t="shared" si="0"/>
        <v>9</v>
      </c>
      <c r="D43" s="7">
        <f t="shared" si="1"/>
        <v>76748.900000000009</v>
      </c>
      <c r="E43">
        <f t="shared" si="2"/>
        <v>76748.900043000001</v>
      </c>
    </row>
    <row r="44" spans="1:5" x14ac:dyDescent="0.3">
      <c r="A44" t="s">
        <v>269</v>
      </c>
      <c r="B44" t="s">
        <v>270</v>
      </c>
      <c r="C44">
        <f t="shared" si="0"/>
        <v>7</v>
      </c>
      <c r="D44" s="7">
        <f t="shared" si="1"/>
        <v>76433.350000000006</v>
      </c>
      <c r="E44">
        <f t="shared" si="2"/>
        <v>76433.350044000006</v>
      </c>
    </row>
    <row r="45" spans="1:5" x14ac:dyDescent="0.3">
      <c r="A45" t="s">
        <v>271</v>
      </c>
      <c r="B45" t="s">
        <v>272</v>
      </c>
      <c r="C45">
        <f t="shared" si="0"/>
        <v>6</v>
      </c>
      <c r="D45" s="7">
        <f t="shared" si="1"/>
        <v>76121.2</v>
      </c>
      <c r="E45">
        <f t="shared" si="2"/>
        <v>76121.20004499999</v>
      </c>
    </row>
    <row r="46" spans="1:5" x14ac:dyDescent="0.3">
      <c r="A46" t="s">
        <v>273</v>
      </c>
      <c r="B46" t="s">
        <v>274</v>
      </c>
      <c r="C46">
        <f t="shared" si="0"/>
        <v>6</v>
      </c>
      <c r="D46" s="7">
        <f t="shared" si="1"/>
        <v>76097</v>
      </c>
      <c r="E46">
        <f t="shared" si="2"/>
        <v>76097.000046000001</v>
      </c>
    </row>
    <row r="47" spans="1:5" x14ac:dyDescent="0.3">
      <c r="A47" t="s">
        <v>275</v>
      </c>
      <c r="B47" t="s">
        <v>276</v>
      </c>
      <c r="C47">
        <f t="shared" si="0"/>
        <v>4</v>
      </c>
      <c r="D47" s="7">
        <f t="shared" si="1"/>
        <v>75514.599999999991</v>
      </c>
      <c r="E47">
        <f t="shared" si="2"/>
        <v>75514.600046999985</v>
      </c>
    </row>
    <row r="48" spans="1:5" x14ac:dyDescent="0.3">
      <c r="A48" t="s">
        <v>277</v>
      </c>
      <c r="B48" t="s">
        <v>278</v>
      </c>
      <c r="C48">
        <f t="shared" si="0"/>
        <v>5</v>
      </c>
      <c r="D48" s="7">
        <f t="shared" si="1"/>
        <v>74803.95</v>
      </c>
      <c r="E48">
        <f t="shared" si="2"/>
        <v>74803.950047999999</v>
      </c>
    </row>
    <row r="49" spans="1:5" x14ac:dyDescent="0.3">
      <c r="A49" t="s">
        <v>279</v>
      </c>
      <c r="B49" t="s">
        <v>280</v>
      </c>
      <c r="C49">
        <f t="shared" si="0"/>
        <v>6</v>
      </c>
      <c r="D49" s="7">
        <f t="shared" si="1"/>
        <v>74637.649999999994</v>
      </c>
      <c r="E49">
        <f t="shared" si="2"/>
        <v>74637.650048999989</v>
      </c>
    </row>
    <row r="50" spans="1:5" x14ac:dyDescent="0.3">
      <c r="A50" t="s">
        <v>281</v>
      </c>
      <c r="B50" t="s">
        <v>282</v>
      </c>
      <c r="C50">
        <f t="shared" si="0"/>
        <v>6</v>
      </c>
      <c r="D50" s="7">
        <f t="shared" si="1"/>
        <v>74155.600000000006</v>
      </c>
      <c r="E50">
        <f t="shared" si="2"/>
        <v>74155.600050000008</v>
      </c>
    </row>
    <row r="51" spans="1:5" x14ac:dyDescent="0.3">
      <c r="A51" t="s">
        <v>283</v>
      </c>
      <c r="B51" t="s">
        <v>284</v>
      </c>
      <c r="C51">
        <f t="shared" si="0"/>
        <v>6</v>
      </c>
      <c r="D51" s="7">
        <f t="shared" si="1"/>
        <v>73791.350000000006</v>
      </c>
      <c r="E51">
        <f t="shared" si="2"/>
        <v>73791.350051000001</v>
      </c>
    </row>
    <row r="52" spans="1:5" x14ac:dyDescent="0.3">
      <c r="A52" t="s">
        <v>285</v>
      </c>
      <c r="B52" t="s">
        <v>286</v>
      </c>
      <c r="C52">
        <f t="shared" si="0"/>
        <v>6</v>
      </c>
      <c r="D52" s="7">
        <f t="shared" si="1"/>
        <v>73607.649999999994</v>
      </c>
      <c r="E52">
        <f t="shared" si="2"/>
        <v>73607.650051999997</v>
      </c>
    </row>
    <row r="53" spans="1:5" x14ac:dyDescent="0.3">
      <c r="A53" t="s">
        <v>287</v>
      </c>
      <c r="B53" t="s">
        <v>288</v>
      </c>
      <c r="C53">
        <f t="shared" si="0"/>
        <v>7</v>
      </c>
      <c r="D53" s="7">
        <f t="shared" si="1"/>
        <v>73374.100000000006</v>
      </c>
      <c r="E53">
        <f t="shared" si="2"/>
        <v>73374.100053000002</v>
      </c>
    </row>
    <row r="54" spans="1:5" x14ac:dyDescent="0.3">
      <c r="A54" t="s">
        <v>289</v>
      </c>
      <c r="B54" t="s">
        <v>290</v>
      </c>
      <c r="C54">
        <f t="shared" si="0"/>
        <v>6</v>
      </c>
      <c r="D54" s="7">
        <f t="shared" si="1"/>
        <v>72768.25</v>
      </c>
      <c r="E54">
        <f t="shared" si="2"/>
        <v>72768.250054000004</v>
      </c>
    </row>
    <row r="55" spans="1:5" x14ac:dyDescent="0.3">
      <c r="A55" t="s">
        <v>291</v>
      </c>
      <c r="B55" t="s">
        <v>292</v>
      </c>
      <c r="C55">
        <f t="shared" si="0"/>
        <v>7</v>
      </c>
      <c r="D55" s="7">
        <f t="shared" si="1"/>
        <v>72547.25</v>
      </c>
      <c r="E55">
        <f t="shared" si="2"/>
        <v>72547.250054999997</v>
      </c>
    </row>
    <row r="56" spans="1:5" x14ac:dyDescent="0.3">
      <c r="A56" t="s">
        <v>293</v>
      </c>
      <c r="B56" t="s">
        <v>294</v>
      </c>
      <c r="C56">
        <f t="shared" si="0"/>
        <v>5</v>
      </c>
      <c r="D56" s="7">
        <f t="shared" si="1"/>
        <v>72490.7</v>
      </c>
      <c r="E56">
        <f t="shared" si="2"/>
        <v>72490.700056000001</v>
      </c>
    </row>
    <row r="57" spans="1:5" x14ac:dyDescent="0.3">
      <c r="A57" t="s">
        <v>295</v>
      </c>
      <c r="B57" t="s">
        <v>296</v>
      </c>
      <c r="C57">
        <f t="shared" si="0"/>
        <v>5</v>
      </c>
      <c r="D57" s="7">
        <f t="shared" si="1"/>
        <v>71586.850000000006</v>
      </c>
      <c r="E57">
        <f t="shared" si="2"/>
        <v>71586.850057000003</v>
      </c>
    </row>
    <row r="58" spans="1:5" x14ac:dyDescent="0.3">
      <c r="A58" t="s">
        <v>297</v>
      </c>
      <c r="B58" t="s">
        <v>298</v>
      </c>
      <c r="C58">
        <f t="shared" si="0"/>
        <v>6</v>
      </c>
      <c r="D58" s="7">
        <f t="shared" si="1"/>
        <v>71419.5</v>
      </c>
      <c r="E58">
        <f t="shared" si="2"/>
        <v>71419.500058000005</v>
      </c>
    </row>
    <row r="59" spans="1:5" x14ac:dyDescent="0.3">
      <c r="A59" t="s">
        <v>299</v>
      </c>
      <c r="B59" t="s">
        <v>300</v>
      </c>
      <c r="C59">
        <f t="shared" si="0"/>
        <v>9</v>
      </c>
      <c r="D59" s="7">
        <f t="shared" si="1"/>
        <v>71004.45</v>
      </c>
      <c r="E59">
        <f t="shared" si="2"/>
        <v>71004.450058999995</v>
      </c>
    </row>
    <row r="60" spans="1:5" x14ac:dyDescent="0.3">
      <c r="A60" t="s">
        <v>301</v>
      </c>
      <c r="B60" t="s">
        <v>302</v>
      </c>
      <c r="C60">
        <f t="shared" si="0"/>
        <v>4</v>
      </c>
      <c r="D60" s="7">
        <f t="shared" si="1"/>
        <v>70665.600000000006</v>
      </c>
      <c r="E60">
        <f t="shared" si="2"/>
        <v>70665.600060000012</v>
      </c>
    </row>
    <row r="61" spans="1:5" x14ac:dyDescent="0.3">
      <c r="A61" t="s">
        <v>303</v>
      </c>
      <c r="B61" t="s">
        <v>304</v>
      </c>
      <c r="C61">
        <f t="shared" si="0"/>
        <v>5</v>
      </c>
      <c r="D61" s="7">
        <f t="shared" si="1"/>
        <v>70587.199999999997</v>
      </c>
      <c r="E61">
        <f t="shared" si="2"/>
        <v>70587.200060999996</v>
      </c>
    </row>
    <row r="62" spans="1:5" x14ac:dyDescent="0.3">
      <c r="A62" t="s">
        <v>305</v>
      </c>
      <c r="B62" t="s">
        <v>306</v>
      </c>
      <c r="C62">
        <f t="shared" si="0"/>
        <v>3</v>
      </c>
      <c r="D62" s="7">
        <f t="shared" si="1"/>
        <v>69825.8</v>
      </c>
      <c r="E62">
        <f t="shared" si="2"/>
        <v>69825.800062000009</v>
      </c>
    </row>
    <row r="63" spans="1:5" x14ac:dyDescent="0.3">
      <c r="A63" t="s">
        <v>307</v>
      </c>
      <c r="B63" t="s">
        <v>308</v>
      </c>
      <c r="C63">
        <f t="shared" si="0"/>
        <v>6</v>
      </c>
      <c r="D63" s="7">
        <f t="shared" si="1"/>
        <v>69526.350000000006</v>
      </c>
      <c r="E63">
        <f t="shared" si="2"/>
        <v>69526.350063000005</v>
      </c>
    </row>
    <row r="64" spans="1:5" x14ac:dyDescent="0.3">
      <c r="A64" t="s">
        <v>309</v>
      </c>
      <c r="B64" t="s">
        <v>310</v>
      </c>
      <c r="C64">
        <f t="shared" si="0"/>
        <v>9</v>
      </c>
      <c r="D64" s="7">
        <f t="shared" si="1"/>
        <v>69453.849999999991</v>
      </c>
      <c r="E64">
        <f t="shared" si="2"/>
        <v>69453.850063999998</v>
      </c>
    </row>
    <row r="65" spans="1:5" x14ac:dyDescent="0.3">
      <c r="A65" t="s">
        <v>311</v>
      </c>
      <c r="B65" t="s">
        <v>312</v>
      </c>
      <c r="C65">
        <f t="shared" si="0"/>
        <v>3</v>
      </c>
      <c r="D65" s="7">
        <f t="shared" si="1"/>
        <v>68682.5</v>
      </c>
      <c r="E65">
        <f t="shared" si="2"/>
        <v>68682.500065</v>
      </c>
    </row>
    <row r="66" spans="1:5" x14ac:dyDescent="0.3">
      <c r="A66" t="s">
        <v>313</v>
      </c>
      <c r="B66" t="s">
        <v>314</v>
      </c>
      <c r="C66">
        <f t="shared" ref="C66:C129" si="3">COUNTIF(dCust,A66)</f>
        <v>6</v>
      </c>
      <c r="D66" s="7">
        <f t="shared" ref="D66:D129" si="4">SUMIFS(dSales,dCust,A66)</f>
        <v>68562.450000000012</v>
      </c>
      <c r="E66">
        <f t="shared" ref="E66:E129" si="5">D66+ROW()/1000000</f>
        <v>68562.450066000005</v>
      </c>
    </row>
    <row r="67" spans="1:5" x14ac:dyDescent="0.3">
      <c r="A67" t="s">
        <v>315</v>
      </c>
      <c r="B67" t="s">
        <v>316</v>
      </c>
      <c r="C67">
        <f t="shared" si="3"/>
        <v>9</v>
      </c>
      <c r="D67" s="7">
        <f t="shared" si="4"/>
        <v>68531.5</v>
      </c>
      <c r="E67">
        <f t="shared" si="5"/>
        <v>68531.500067000001</v>
      </c>
    </row>
    <row r="68" spans="1:5" x14ac:dyDescent="0.3">
      <c r="A68" t="s">
        <v>317</v>
      </c>
      <c r="B68" t="s">
        <v>318</v>
      </c>
      <c r="C68">
        <f t="shared" si="3"/>
        <v>8</v>
      </c>
      <c r="D68" s="7">
        <f t="shared" si="4"/>
        <v>68133.25</v>
      </c>
      <c r="E68">
        <f t="shared" si="5"/>
        <v>68133.250067999994</v>
      </c>
    </row>
    <row r="69" spans="1:5" x14ac:dyDescent="0.3">
      <c r="A69" t="s">
        <v>319</v>
      </c>
      <c r="B69" t="s">
        <v>320</v>
      </c>
      <c r="C69">
        <f t="shared" si="3"/>
        <v>6</v>
      </c>
      <c r="D69" s="7">
        <f t="shared" si="4"/>
        <v>67897.75</v>
      </c>
      <c r="E69">
        <f t="shared" si="5"/>
        <v>67897.750069000002</v>
      </c>
    </row>
    <row r="70" spans="1:5" x14ac:dyDescent="0.3">
      <c r="A70" t="s">
        <v>321</v>
      </c>
      <c r="B70" t="s">
        <v>322</v>
      </c>
      <c r="C70">
        <f t="shared" si="3"/>
        <v>10</v>
      </c>
      <c r="D70" s="7">
        <f t="shared" si="4"/>
        <v>67753.649999999994</v>
      </c>
      <c r="E70">
        <f t="shared" si="5"/>
        <v>67753.650069999989</v>
      </c>
    </row>
    <row r="71" spans="1:5" x14ac:dyDescent="0.3">
      <c r="A71" t="s">
        <v>323</v>
      </c>
      <c r="B71" t="s">
        <v>324</v>
      </c>
      <c r="C71">
        <f t="shared" si="3"/>
        <v>5</v>
      </c>
      <c r="D71" s="7">
        <f t="shared" si="4"/>
        <v>66946.900000000009</v>
      </c>
      <c r="E71">
        <f t="shared" si="5"/>
        <v>66946.900071000011</v>
      </c>
    </row>
    <row r="72" spans="1:5" x14ac:dyDescent="0.3">
      <c r="A72" t="s">
        <v>325</v>
      </c>
      <c r="B72" t="s">
        <v>326</v>
      </c>
      <c r="C72">
        <f t="shared" si="3"/>
        <v>3</v>
      </c>
      <c r="D72" s="7">
        <f t="shared" si="4"/>
        <v>66872.349999999991</v>
      </c>
      <c r="E72">
        <f t="shared" si="5"/>
        <v>66872.350071999987</v>
      </c>
    </row>
    <row r="73" spans="1:5" x14ac:dyDescent="0.3">
      <c r="A73" t="s">
        <v>327</v>
      </c>
      <c r="B73" t="s">
        <v>328</v>
      </c>
      <c r="C73">
        <f t="shared" si="3"/>
        <v>12</v>
      </c>
      <c r="D73" s="7">
        <f t="shared" si="4"/>
        <v>66196.95</v>
      </c>
      <c r="E73">
        <f t="shared" si="5"/>
        <v>66196.950073</v>
      </c>
    </row>
    <row r="74" spans="1:5" x14ac:dyDescent="0.3">
      <c r="A74" t="s">
        <v>329</v>
      </c>
      <c r="B74" t="s">
        <v>330</v>
      </c>
      <c r="C74">
        <f t="shared" si="3"/>
        <v>9</v>
      </c>
      <c r="D74" s="7">
        <f t="shared" si="4"/>
        <v>64926.05</v>
      </c>
      <c r="E74">
        <f t="shared" si="5"/>
        <v>64926.050074000006</v>
      </c>
    </row>
    <row r="75" spans="1:5" x14ac:dyDescent="0.3">
      <c r="A75" t="s">
        <v>331</v>
      </c>
      <c r="B75" t="s">
        <v>332</v>
      </c>
      <c r="C75">
        <f t="shared" si="3"/>
        <v>7</v>
      </c>
      <c r="D75" s="7">
        <f t="shared" si="4"/>
        <v>64864.15</v>
      </c>
      <c r="E75">
        <f t="shared" si="5"/>
        <v>64864.150075000005</v>
      </c>
    </row>
    <row r="76" spans="1:5" x14ac:dyDescent="0.3">
      <c r="A76" t="s">
        <v>333</v>
      </c>
      <c r="B76" t="s">
        <v>334</v>
      </c>
      <c r="C76">
        <f t="shared" si="3"/>
        <v>8</v>
      </c>
      <c r="D76" s="7">
        <f t="shared" si="4"/>
        <v>64765.450000000004</v>
      </c>
      <c r="E76">
        <f t="shared" si="5"/>
        <v>64765.450076000001</v>
      </c>
    </row>
    <row r="77" spans="1:5" x14ac:dyDescent="0.3">
      <c r="A77" t="s">
        <v>335</v>
      </c>
      <c r="B77" t="s">
        <v>336</v>
      </c>
      <c r="C77">
        <f t="shared" si="3"/>
        <v>8</v>
      </c>
      <c r="D77" s="7">
        <f t="shared" si="4"/>
        <v>64303.100000000006</v>
      </c>
      <c r="E77">
        <f t="shared" si="5"/>
        <v>64303.100077000003</v>
      </c>
    </row>
    <row r="78" spans="1:5" x14ac:dyDescent="0.3">
      <c r="A78" t="s">
        <v>337</v>
      </c>
      <c r="B78" t="s">
        <v>338</v>
      </c>
      <c r="C78">
        <f t="shared" si="3"/>
        <v>5</v>
      </c>
      <c r="D78" s="7">
        <f t="shared" si="4"/>
        <v>64108.05</v>
      </c>
      <c r="E78">
        <f t="shared" si="5"/>
        <v>64108.050078</v>
      </c>
    </row>
    <row r="79" spans="1:5" x14ac:dyDescent="0.3">
      <c r="A79" t="s">
        <v>339</v>
      </c>
      <c r="B79" t="s">
        <v>340</v>
      </c>
      <c r="C79">
        <f t="shared" si="3"/>
        <v>6</v>
      </c>
      <c r="D79" s="7">
        <f t="shared" si="4"/>
        <v>63947.35</v>
      </c>
      <c r="E79">
        <f t="shared" si="5"/>
        <v>63947.350078999996</v>
      </c>
    </row>
    <row r="80" spans="1:5" x14ac:dyDescent="0.3">
      <c r="A80" t="s">
        <v>341</v>
      </c>
      <c r="B80" t="s">
        <v>342</v>
      </c>
      <c r="C80">
        <f t="shared" si="3"/>
        <v>7</v>
      </c>
      <c r="D80" s="7">
        <f t="shared" si="4"/>
        <v>63846.099999999991</v>
      </c>
      <c r="E80">
        <f t="shared" si="5"/>
        <v>63846.100079999989</v>
      </c>
    </row>
    <row r="81" spans="1:5" x14ac:dyDescent="0.3">
      <c r="A81" t="s">
        <v>343</v>
      </c>
      <c r="B81" t="s">
        <v>344</v>
      </c>
      <c r="C81">
        <f t="shared" si="3"/>
        <v>3</v>
      </c>
      <c r="D81" s="7">
        <f t="shared" si="4"/>
        <v>63713.15</v>
      </c>
      <c r="E81">
        <f t="shared" si="5"/>
        <v>63713.150081</v>
      </c>
    </row>
    <row r="82" spans="1:5" x14ac:dyDescent="0.3">
      <c r="A82" t="s">
        <v>345</v>
      </c>
      <c r="B82" t="s">
        <v>346</v>
      </c>
      <c r="C82">
        <f t="shared" si="3"/>
        <v>8</v>
      </c>
      <c r="D82" s="7">
        <f t="shared" si="4"/>
        <v>63591.650000000009</v>
      </c>
      <c r="E82">
        <f t="shared" si="5"/>
        <v>63591.650082000007</v>
      </c>
    </row>
    <row r="83" spans="1:5" x14ac:dyDescent="0.3">
      <c r="A83" t="s">
        <v>347</v>
      </c>
      <c r="B83" t="s">
        <v>348</v>
      </c>
      <c r="C83">
        <f t="shared" si="3"/>
        <v>5</v>
      </c>
      <c r="D83" s="7">
        <f t="shared" si="4"/>
        <v>63517.25</v>
      </c>
      <c r="E83">
        <f t="shared" si="5"/>
        <v>63517.250082999999</v>
      </c>
    </row>
    <row r="84" spans="1:5" x14ac:dyDescent="0.3">
      <c r="A84" t="s">
        <v>349</v>
      </c>
      <c r="B84" t="s">
        <v>350</v>
      </c>
      <c r="C84">
        <f t="shared" si="3"/>
        <v>5</v>
      </c>
      <c r="D84" s="7">
        <f t="shared" si="4"/>
        <v>63494.600000000006</v>
      </c>
      <c r="E84">
        <f t="shared" si="5"/>
        <v>63494.600084000005</v>
      </c>
    </row>
    <row r="85" spans="1:5" x14ac:dyDescent="0.3">
      <c r="A85" t="s">
        <v>351</v>
      </c>
      <c r="B85" t="s">
        <v>352</v>
      </c>
      <c r="C85">
        <f t="shared" si="3"/>
        <v>8</v>
      </c>
      <c r="D85" s="7">
        <f t="shared" si="4"/>
        <v>63042.5</v>
      </c>
      <c r="E85">
        <f t="shared" si="5"/>
        <v>63042.500085</v>
      </c>
    </row>
    <row r="86" spans="1:5" x14ac:dyDescent="0.3">
      <c r="A86" t="s">
        <v>353</v>
      </c>
      <c r="B86" t="s">
        <v>354</v>
      </c>
      <c r="C86">
        <f t="shared" si="3"/>
        <v>5</v>
      </c>
      <c r="D86" s="7">
        <f t="shared" si="4"/>
        <v>62675.149999999994</v>
      </c>
      <c r="E86">
        <f t="shared" si="5"/>
        <v>62675.150085999994</v>
      </c>
    </row>
    <row r="87" spans="1:5" x14ac:dyDescent="0.3">
      <c r="A87" t="s">
        <v>355</v>
      </c>
      <c r="B87" t="s">
        <v>356</v>
      </c>
      <c r="C87">
        <f t="shared" si="3"/>
        <v>4</v>
      </c>
      <c r="D87" s="7">
        <f t="shared" si="4"/>
        <v>62421.799999999996</v>
      </c>
      <c r="E87">
        <f t="shared" si="5"/>
        <v>62421.800086999996</v>
      </c>
    </row>
    <row r="88" spans="1:5" x14ac:dyDescent="0.3">
      <c r="A88" t="s">
        <v>357</v>
      </c>
      <c r="B88" t="s">
        <v>358</v>
      </c>
      <c r="C88">
        <f t="shared" si="3"/>
        <v>8</v>
      </c>
      <c r="D88" s="7">
        <f t="shared" si="4"/>
        <v>62205.600000000006</v>
      </c>
      <c r="E88">
        <f t="shared" si="5"/>
        <v>62205.600088000007</v>
      </c>
    </row>
    <row r="89" spans="1:5" x14ac:dyDescent="0.3">
      <c r="A89" t="s">
        <v>359</v>
      </c>
      <c r="B89" t="s">
        <v>360</v>
      </c>
      <c r="C89">
        <f t="shared" si="3"/>
        <v>7</v>
      </c>
      <c r="D89" s="7">
        <f t="shared" si="4"/>
        <v>62060.05</v>
      </c>
      <c r="E89">
        <f t="shared" si="5"/>
        <v>62060.050089000004</v>
      </c>
    </row>
    <row r="90" spans="1:5" x14ac:dyDescent="0.3">
      <c r="A90" t="s">
        <v>361</v>
      </c>
      <c r="B90" t="s">
        <v>362</v>
      </c>
      <c r="C90">
        <f t="shared" si="3"/>
        <v>10</v>
      </c>
      <c r="D90" s="7">
        <f t="shared" si="4"/>
        <v>62042.850000000006</v>
      </c>
      <c r="E90">
        <f t="shared" si="5"/>
        <v>62042.850090000007</v>
      </c>
    </row>
    <row r="91" spans="1:5" x14ac:dyDescent="0.3">
      <c r="A91" t="s">
        <v>363</v>
      </c>
      <c r="B91" t="s">
        <v>364</v>
      </c>
      <c r="C91">
        <f t="shared" si="3"/>
        <v>8</v>
      </c>
      <c r="D91" s="7">
        <f t="shared" si="4"/>
        <v>61616.000000000007</v>
      </c>
      <c r="E91">
        <f t="shared" si="5"/>
        <v>61616.000091000009</v>
      </c>
    </row>
    <row r="92" spans="1:5" x14ac:dyDescent="0.3">
      <c r="A92" t="s">
        <v>365</v>
      </c>
      <c r="B92" t="s">
        <v>366</v>
      </c>
      <c r="C92">
        <f t="shared" si="3"/>
        <v>10</v>
      </c>
      <c r="D92" s="7">
        <f t="shared" si="4"/>
        <v>61445.000000000007</v>
      </c>
      <c r="E92">
        <f t="shared" si="5"/>
        <v>61445.000092000009</v>
      </c>
    </row>
    <row r="93" spans="1:5" x14ac:dyDescent="0.3">
      <c r="A93" t="s">
        <v>367</v>
      </c>
      <c r="B93" t="s">
        <v>368</v>
      </c>
      <c r="C93">
        <f t="shared" si="3"/>
        <v>4</v>
      </c>
      <c r="D93" s="7">
        <f t="shared" si="4"/>
        <v>61364.850000000006</v>
      </c>
      <c r="E93">
        <f t="shared" si="5"/>
        <v>61364.850093000008</v>
      </c>
    </row>
    <row r="94" spans="1:5" x14ac:dyDescent="0.3">
      <c r="A94" t="s">
        <v>369</v>
      </c>
      <c r="B94" t="s">
        <v>370</v>
      </c>
      <c r="C94">
        <f t="shared" si="3"/>
        <v>5</v>
      </c>
      <c r="D94" s="7">
        <f t="shared" si="4"/>
        <v>61128.700000000004</v>
      </c>
      <c r="E94">
        <f t="shared" si="5"/>
        <v>61128.700094000007</v>
      </c>
    </row>
    <row r="95" spans="1:5" x14ac:dyDescent="0.3">
      <c r="A95" t="s">
        <v>371</v>
      </c>
      <c r="B95" t="s">
        <v>372</v>
      </c>
      <c r="C95">
        <f t="shared" si="3"/>
        <v>2</v>
      </c>
      <c r="D95" s="7">
        <f t="shared" si="4"/>
        <v>60505.15</v>
      </c>
      <c r="E95">
        <f t="shared" si="5"/>
        <v>60505.150095000005</v>
      </c>
    </row>
    <row r="96" spans="1:5" x14ac:dyDescent="0.3">
      <c r="A96" t="s">
        <v>373</v>
      </c>
      <c r="B96" t="s">
        <v>374</v>
      </c>
      <c r="C96">
        <f t="shared" si="3"/>
        <v>3</v>
      </c>
      <c r="D96" s="7">
        <f t="shared" si="4"/>
        <v>60191.4</v>
      </c>
      <c r="E96">
        <f t="shared" si="5"/>
        <v>60191.400096000005</v>
      </c>
    </row>
    <row r="97" spans="1:5" x14ac:dyDescent="0.3">
      <c r="A97" t="s">
        <v>375</v>
      </c>
      <c r="B97" t="s">
        <v>376</v>
      </c>
      <c r="C97">
        <f t="shared" si="3"/>
        <v>5</v>
      </c>
      <c r="D97" s="7">
        <f t="shared" si="4"/>
        <v>59657.849999999991</v>
      </c>
      <c r="E97">
        <f t="shared" si="5"/>
        <v>59657.850096999988</v>
      </c>
    </row>
    <row r="98" spans="1:5" x14ac:dyDescent="0.3">
      <c r="A98" t="s">
        <v>377</v>
      </c>
      <c r="B98" t="s">
        <v>378</v>
      </c>
      <c r="C98">
        <f t="shared" si="3"/>
        <v>6</v>
      </c>
      <c r="D98" s="7">
        <f t="shared" si="4"/>
        <v>59553.399999999994</v>
      </c>
      <c r="E98">
        <f t="shared" si="5"/>
        <v>59553.400097999991</v>
      </c>
    </row>
    <row r="99" spans="1:5" x14ac:dyDescent="0.3">
      <c r="A99" t="s">
        <v>379</v>
      </c>
      <c r="B99" t="s">
        <v>380</v>
      </c>
      <c r="C99">
        <f t="shared" si="3"/>
        <v>7</v>
      </c>
      <c r="D99" s="7">
        <f t="shared" si="4"/>
        <v>59548.65</v>
      </c>
      <c r="E99">
        <f t="shared" si="5"/>
        <v>59548.650098999999</v>
      </c>
    </row>
    <row r="100" spans="1:5" x14ac:dyDescent="0.3">
      <c r="A100" t="s">
        <v>381</v>
      </c>
      <c r="B100" t="s">
        <v>382</v>
      </c>
      <c r="C100">
        <f t="shared" si="3"/>
        <v>3</v>
      </c>
      <c r="D100" s="7">
        <f t="shared" si="4"/>
        <v>59494.1</v>
      </c>
      <c r="E100">
        <f t="shared" si="5"/>
        <v>59494.100099999996</v>
      </c>
    </row>
    <row r="101" spans="1:5" x14ac:dyDescent="0.3">
      <c r="A101" t="s">
        <v>383</v>
      </c>
      <c r="B101" t="s">
        <v>384</v>
      </c>
      <c r="C101">
        <f t="shared" si="3"/>
        <v>8</v>
      </c>
      <c r="D101" s="7">
        <f t="shared" si="4"/>
        <v>59448.200000000012</v>
      </c>
      <c r="E101">
        <f t="shared" si="5"/>
        <v>59448.200101000009</v>
      </c>
    </row>
    <row r="102" spans="1:5" x14ac:dyDescent="0.3">
      <c r="A102" t="s">
        <v>385</v>
      </c>
      <c r="B102" t="s">
        <v>386</v>
      </c>
      <c r="C102">
        <f t="shared" si="3"/>
        <v>4</v>
      </c>
      <c r="D102" s="7">
        <f t="shared" si="4"/>
        <v>59370.6</v>
      </c>
      <c r="E102">
        <f t="shared" si="5"/>
        <v>59370.600101999997</v>
      </c>
    </row>
    <row r="103" spans="1:5" x14ac:dyDescent="0.3">
      <c r="A103" t="s">
        <v>387</v>
      </c>
      <c r="B103" t="s">
        <v>388</v>
      </c>
      <c r="C103">
        <f t="shared" si="3"/>
        <v>9</v>
      </c>
      <c r="D103" s="7">
        <f t="shared" si="4"/>
        <v>59277.599999999999</v>
      </c>
      <c r="E103">
        <f t="shared" si="5"/>
        <v>59277.600102999997</v>
      </c>
    </row>
    <row r="104" spans="1:5" x14ac:dyDescent="0.3">
      <c r="A104" t="s">
        <v>389</v>
      </c>
      <c r="B104" t="s">
        <v>390</v>
      </c>
      <c r="C104">
        <f t="shared" si="3"/>
        <v>2</v>
      </c>
      <c r="D104" s="7">
        <f t="shared" si="4"/>
        <v>59245.25</v>
      </c>
      <c r="E104">
        <f t="shared" si="5"/>
        <v>59245.250103999999</v>
      </c>
    </row>
    <row r="105" spans="1:5" x14ac:dyDescent="0.3">
      <c r="A105" t="s">
        <v>391</v>
      </c>
      <c r="B105" t="s">
        <v>392</v>
      </c>
      <c r="C105">
        <f t="shared" si="3"/>
        <v>7</v>
      </c>
      <c r="D105" s="7">
        <f t="shared" si="4"/>
        <v>58807.5</v>
      </c>
      <c r="E105">
        <f t="shared" si="5"/>
        <v>58807.500104999999</v>
      </c>
    </row>
    <row r="106" spans="1:5" x14ac:dyDescent="0.3">
      <c r="A106" t="s">
        <v>393</v>
      </c>
      <c r="B106" t="s">
        <v>394</v>
      </c>
      <c r="C106">
        <f t="shared" si="3"/>
        <v>10</v>
      </c>
      <c r="D106" s="7">
        <f t="shared" si="4"/>
        <v>58767.650000000009</v>
      </c>
      <c r="E106">
        <f t="shared" si="5"/>
        <v>58767.650106000008</v>
      </c>
    </row>
    <row r="107" spans="1:5" x14ac:dyDescent="0.3">
      <c r="A107" t="s">
        <v>395</v>
      </c>
      <c r="B107" t="s">
        <v>396</v>
      </c>
      <c r="C107">
        <f t="shared" si="3"/>
        <v>4</v>
      </c>
      <c r="D107" s="7">
        <f t="shared" si="4"/>
        <v>58403.5</v>
      </c>
      <c r="E107">
        <f t="shared" si="5"/>
        <v>58403.500107</v>
      </c>
    </row>
    <row r="108" spans="1:5" x14ac:dyDescent="0.3">
      <c r="A108" t="s">
        <v>397</v>
      </c>
      <c r="B108" t="s">
        <v>398</v>
      </c>
      <c r="C108">
        <f t="shared" si="3"/>
        <v>4</v>
      </c>
      <c r="D108" s="7">
        <f t="shared" si="4"/>
        <v>58399.799999999996</v>
      </c>
      <c r="E108">
        <f t="shared" si="5"/>
        <v>58399.800107999996</v>
      </c>
    </row>
    <row r="109" spans="1:5" x14ac:dyDescent="0.3">
      <c r="A109" t="s">
        <v>399</v>
      </c>
      <c r="B109" t="s">
        <v>400</v>
      </c>
      <c r="C109">
        <f t="shared" si="3"/>
        <v>9</v>
      </c>
      <c r="D109" s="7">
        <f t="shared" si="4"/>
        <v>58244.25</v>
      </c>
      <c r="E109">
        <f t="shared" si="5"/>
        <v>58244.250109000001</v>
      </c>
    </row>
    <row r="110" spans="1:5" x14ac:dyDescent="0.3">
      <c r="A110" t="s">
        <v>401</v>
      </c>
      <c r="B110" t="s">
        <v>402</v>
      </c>
      <c r="C110">
        <f t="shared" si="3"/>
        <v>5</v>
      </c>
      <c r="D110" s="7">
        <f t="shared" si="4"/>
        <v>58157.3</v>
      </c>
      <c r="E110">
        <f t="shared" si="5"/>
        <v>58157.300110000004</v>
      </c>
    </row>
    <row r="111" spans="1:5" x14ac:dyDescent="0.3">
      <c r="A111" t="s">
        <v>403</v>
      </c>
      <c r="B111" t="s">
        <v>404</v>
      </c>
      <c r="C111">
        <f t="shared" si="3"/>
        <v>6</v>
      </c>
      <c r="D111" s="7">
        <f t="shared" si="4"/>
        <v>58041.299999999996</v>
      </c>
      <c r="E111">
        <f t="shared" si="5"/>
        <v>58041.300110999997</v>
      </c>
    </row>
    <row r="112" spans="1:5" x14ac:dyDescent="0.3">
      <c r="A112" t="s">
        <v>405</v>
      </c>
      <c r="B112" t="s">
        <v>406</v>
      </c>
      <c r="C112">
        <f t="shared" si="3"/>
        <v>8</v>
      </c>
      <c r="D112" s="7">
        <f t="shared" si="4"/>
        <v>57987.9</v>
      </c>
      <c r="E112">
        <f t="shared" si="5"/>
        <v>57987.900112000003</v>
      </c>
    </row>
    <row r="113" spans="1:5" x14ac:dyDescent="0.3">
      <c r="A113" t="s">
        <v>407</v>
      </c>
      <c r="B113" t="s">
        <v>408</v>
      </c>
      <c r="C113">
        <f t="shared" si="3"/>
        <v>4</v>
      </c>
      <c r="D113" s="7">
        <f t="shared" si="4"/>
        <v>57843.05</v>
      </c>
      <c r="E113">
        <f t="shared" si="5"/>
        <v>57843.050113000005</v>
      </c>
    </row>
    <row r="114" spans="1:5" x14ac:dyDescent="0.3">
      <c r="A114" t="s">
        <v>409</v>
      </c>
      <c r="B114" t="s">
        <v>410</v>
      </c>
      <c r="C114">
        <f t="shared" si="3"/>
        <v>7</v>
      </c>
      <c r="D114" s="7">
        <f t="shared" si="4"/>
        <v>57761.65</v>
      </c>
      <c r="E114">
        <f t="shared" si="5"/>
        <v>57761.650114000004</v>
      </c>
    </row>
    <row r="115" spans="1:5" x14ac:dyDescent="0.3">
      <c r="A115" t="s">
        <v>411</v>
      </c>
      <c r="B115" t="s">
        <v>412</v>
      </c>
      <c r="C115">
        <f t="shared" si="3"/>
        <v>5</v>
      </c>
      <c r="D115" s="7">
        <f t="shared" si="4"/>
        <v>57615.85</v>
      </c>
      <c r="E115">
        <f t="shared" si="5"/>
        <v>57615.850115000001</v>
      </c>
    </row>
    <row r="116" spans="1:5" x14ac:dyDescent="0.3">
      <c r="A116" t="s">
        <v>413</v>
      </c>
      <c r="B116" t="s">
        <v>414</v>
      </c>
      <c r="C116">
        <f t="shared" si="3"/>
        <v>6</v>
      </c>
      <c r="D116" s="7">
        <f t="shared" si="4"/>
        <v>57528</v>
      </c>
      <c r="E116">
        <f t="shared" si="5"/>
        <v>57528.000116000003</v>
      </c>
    </row>
    <row r="117" spans="1:5" x14ac:dyDescent="0.3">
      <c r="A117" t="s">
        <v>415</v>
      </c>
      <c r="B117" t="s">
        <v>416</v>
      </c>
      <c r="C117">
        <f t="shared" si="3"/>
        <v>2</v>
      </c>
      <c r="D117" s="7">
        <f t="shared" si="4"/>
        <v>57314.85</v>
      </c>
      <c r="E117">
        <f t="shared" si="5"/>
        <v>57314.850117000002</v>
      </c>
    </row>
    <row r="118" spans="1:5" x14ac:dyDescent="0.3">
      <c r="A118" t="s">
        <v>417</v>
      </c>
      <c r="B118" t="s">
        <v>418</v>
      </c>
      <c r="C118">
        <f t="shared" si="3"/>
        <v>6</v>
      </c>
      <c r="D118" s="7">
        <f t="shared" si="4"/>
        <v>57085.9</v>
      </c>
      <c r="E118">
        <f t="shared" si="5"/>
        <v>57085.900118000005</v>
      </c>
    </row>
    <row r="119" spans="1:5" x14ac:dyDescent="0.3">
      <c r="A119" t="s">
        <v>419</v>
      </c>
      <c r="B119" t="s">
        <v>420</v>
      </c>
      <c r="C119">
        <f t="shared" si="3"/>
        <v>7</v>
      </c>
      <c r="D119" s="7">
        <f t="shared" si="4"/>
        <v>57055.649999999994</v>
      </c>
      <c r="E119">
        <f t="shared" si="5"/>
        <v>57055.650118999991</v>
      </c>
    </row>
    <row r="120" spans="1:5" x14ac:dyDescent="0.3">
      <c r="A120" t="s">
        <v>421</v>
      </c>
      <c r="B120" t="s">
        <v>422</v>
      </c>
      <c r="C120">
        <f t="shared" si="3"/>
        <v>9</v>
      </c>
      <c r="D120" s="7">
        <f t="shared" si="4"/>
        <v>57009.05</v>
      </c>
      <c r="E120">
        <f t="shared" si="5"/>
        <v>57009.05012</v>
      </c>
    </row>
    <row r="121" spans="1:5" x14ac:dyDescent="0.3">
      <c r="A121" t="s">
        <v>423</v>
      </c>
      <c r="B121" t="s">
        <v>424</v>
      </c>
      <c r="C121">
        <f t="shared" si="3"/>
        <v>4</v>
      </c>
      <c r="D121" s="7">
        <f t="shared" si="4"/>
        <v>56715.65</v>
      </c>
      <c r="E121">
        <f t="shared" si="5"/>
        <v>56715.650120999999</v>
      </c>
    </row>
    <row r="122" spans="1:5" x14ac:dyDescent="0.3">
      <c r="A122" t="s">
        <v>425</v>
      </c>
      <c r="B122" t="s">
        <v>426</v>
      </c>
      <c r="C122">
        <f t="shared" si="3"/>
        <v>6</v>
      </c>
      <c r="D122" s="7">
        <f t="shared" si="4"/>
        <v>56360.350000000006</v>
      </c>
      <c r="E122">
        <f t="shared" si="5"/>
        <v>56360.350122000003</v>
      </c>
    </row>
    <row r="123" spans="1:5" x14ac:dyDescent="0.3">
      <c r="A123" t="s">
        <v>427</v>
      </c>
      <c r="B123" t="s">
        <v>428</v>
      </c>
      <c r="C123">
        <f t="shared" si="3"/>
        <v>3</v>
      </c>
      <c r="D123" s="7">
        <f t="shared" si="4"/>
        <v>56193.599999999999</v>
      </c>
      <c r="E123">
        <f t="shared" si="5"/>
        <v>56193.600122999997</v>
      </c>
    </row>
    <row r="124" spans="1:5" x14ac:dyDescent="0.3">
      <c r="A124" t="s">
        <v>429</v>
      </c>
      <c r="B124" t="s">
        <v>430</v>
      </c>
      <c r="C124">
        <f t="shared" si="3"/>
        <v>8</v>
      </c>
      <c r="D124" s="7">
        <f t="shared" si="4"/>
        <v>56028</v>
      </c>
      <c r="E124">
        <f t="shared" si="5"/>
        <v>56028.000123999998</v>
      </c>
    </row>
    <row r="125" spans="1:5" x14ac:dyDescent="0.3">
      <c r="A125" t="s">
        <v>431</v>
      </c>
      <c r="B125" t="s">
        <v>432</v>
      </c>
      <c r="C125">
        <f t="shared" si="3"/>
        <v>8</v>
      </c>
      <c r="D125" s="7">
        <f t="shared" si="4"/>
        <v>55652.749999999993</v>
      </c>
      <c r="E125">
        <f t="shared" si="5"/>
        <v>55652.750124999991</v>
      </c>
    </row>
    <row r="126" spans="1:5" x14ac:dyDescent="0.3">
      <c r="A126" t="s">
        <v>433</v>
      </c>
      <c r="B126" t="s">
        <v>434</v>
      </c>
      <c r="C126">
        <f t="shared" si="3"/>
        <v>5</v>
      </c>
      <c r="D126" s="7">
        <f t="shared" si="4"/>
        <v>55549.5</v>
      </c>
      <c r="E126">
        <f t="shared" si="5"/>
        <v>55549.500125999999</v>
      </c>
    </row>
    <row r="127" spans="1:5" x14ac:dyDescent="0.3">
      <c r="A127" t="s">
        <v>435</v>
      </c>
      <c r="B127" t="s">
        <v>436</v>
      </c>
      <c r="C127">
        <f t="shared" si="3"/>
        <v>6</v>
      </c>
      <c r="D127" s="7">
        <f t="shared" si="4"/>
        <v>55513.000000000007</v>
      </c>
      <c r="E127">
        <f t="shared" si="5"/>
        <v>55513.000127000007</v>
      </c>
    </row>
    <row r="128" spans="1:5" x14ac:dyDescent="0.3">
      <c r="A128" t="s">
        <v>437</v>
      </c>
      <c r="B128" t="s">
        <v>438</v>
      </c>
      <c r="C128">
        <f t="shared" si="3"/>
        <v>5</v>
      </c>
      <c r="D128" s="7">
        <f t="shared" si="4"/>
        <v>55296.75</v>
      </c>
      <c r="E128">
        <f t="shared" si="5"/>
        <v>55296.750128</v>
      </c>
    </row>
    <row r="129" spans="1:5" x14ac:dyDescent="0.3">
      <c r="A129" t="s">
        <v>439</v>
      </c>
      <c r="B129" t="s">
        <v>440</v>
      </c>
      <c r="C129">
        <f t="shared" si="3"/>
        <v>2</v>
      </c>
      <c r="D129" s="7">
        <f t="shared" si="4"/>
        <v>54993</v>
      </c>
      <c r="E129">
        <f t="shared" si="5"/>
        <v>54993.000129</v>
      </c>
    </row>
    <row r="130" spans="1:5" x14ac:dyDescent="0.3">
      <c r="A130" t="s">
        <v>441</v>
      </c>
      <c r="B130" t="s">
        <v>442</v>
      </c>
      <c r="C130">
        <f t="shared" ref="C130:C193" si="6">COUNTIF(dCust,A130)</f>
        <v>6</v>
      </c>
      <c r="D130" s="7">
        <f t="shared" ref="D130:D193" si="7">SUMIFS(dSales,dCust,A130)</f>
        <v>54945.850000000006</v>
      </c>
      <c r="E130">
        <f t="shared" ref="E130:E193" si="8">D130+ROW()/1000000</f>
        <v>54945.850130000006</v>
      </c>
    </row>
    <row r="131" spans="1:5" x14ac:dyDescent="0.3">
      <c r="A131" t="s">
        <v>443</v>
      </c>
      <c r="B131" t="s">
        <v>444</v>
      </c>
      <c r="C131">
        <f t="shared" si="6"/>
        <v>4</v>
      </c>
      <c r="D131" s="7">
        <f t="shared" si="7"/>
        <v>54696.700000000004</v>
      </c>
      <c r="E131">
        <f t="shared" si="8"/>
        <v>54696.700131000005</v>
      </c>
    </row>
    <row r="132" spans="1:5" x14ac:dyDescent="0.3">
      <c r="A132" t="s">
        <v>445</v>
      </c>
      <c r="B132" t="s">
        <v>446</v>
      </c>
      <c r="C132">
        <f t="shared" si="6"/>
        <v>3</v>
      </c>
      <c r="D132" s="7">
        <f t="shared" si="7"/>
        <v>54632.25</v>
      </c>
      <c r="E132">
        <f t="shared" si="8"/>
        <v>54632.250132000001</v>
      </c>
    </row>
    <row r="133" spans="1:5" x14ac:dyDescent="0.3">
      <c r="A133" t="s">
        <v>447</v>
      </c>
      <c r="B133" t="s">
        <v>448</v>
      </c>
      <c r="C133">
        <f t="shared" si="6"/>
        <v>7</v>
      </c>
      <c r="D133" s="7">
        <f t="shared" si="7"/>
        <v>54225.549999999996</v>
      </c>
      <c r="E133">
        <f t="shared" si="8"/>
        <v>54225.550132999997</v>
      </c>
    </row>
    <row r="134" spans="1:5" x14ac:dyDescent="0.3">
      <c r="A134" t="s">
        <v>449</v>
      </c>
      <c r="B134" t="s">
        <v>450</v>
      </c>
      <c r="C134">
        <f t="shared" si="6"/>
        <v>2</v>
      </c>
      <c r="D134" s="7">
        <f t="shared" si="7"/>
        <v>53515.05</v>
      </c>
      <c r="E134">
        <f t="shared" si="8"/>
        <v>53515.050134000005</v>
      </c>
    </row>
    <row r="135" spans="1:5" x14ac:dyDescent="0.3">
      <c r="A135" t="s">
        <v>451</v>
      </c>
      <c r="B135" t="s">
        <v>452</v>
      </c>
      <c r="C135">
        <f t="shared" si="6"/>
        <v>7</v>
      </c>
      <c r="D135" s="7">
        <f t="shared" si="7"/>
        <v>53460.2</v>
      </c>
      <c r="E135">
        <f t="shared" si="8"/>
        <v>53460.200134999999</v>
      </c>
    </row>
    <row r="136" spans="1:5" x14ac:dyDescent="0.3">
      <c r="A136" t="s">
        <v>453</v>
      </c>
      <c r="B136" t="s">
        <v>454</v>
      </c>
      <c r="C136">
        <f t="shared" si="6"/>
        <v>4</v>
      </c>
      <c r="D136" s="7">
        <f t="shared" si="7"/>
        <v>53342.700000000004</v>
      </c>
      <c r="E136">
        <f t="shared" si="8"/>
        <v>53342.700136000007</v>
      </c>
    </row>
    <row r="137" spans="1:5" x14ac:dyDescent="0.3">
      <c r="A137" t="s">
        <v>455</v>
      </c>
      <c r="B137" t="s">
        <v>456</v>
      </c>
      <c r="C137">
        <f t="shared" si="6"/>
        <v>5</v>
      </c>
      <c r="D137" s="7">
        <f t="shared" si="7"/>
        <v>53236.800000000003</v>
      </c>
      <c r="E137">
        <f t="shared" si="8"/>
        <v>53236.800137000006</v>
      </c>
    </row>
    <row r="138" spans="1:5" x14ac:dyDescent="0.3">
      <c r="A138" t="s">
        <v>457</v>
      </c>
      <c r="B138" t="s">
        <v>458</v>
      </c>
      <c r="C138">
        <f t="shared" si="6"/>
        <v>2</v>
      </c>
      <c r="D138" s="7">
        <f t="shared" si="7"/>
        <v>52995.799999999996</v>
      </c>
      <c r="E138">
        <f t="shared" si="8"/>
        <v>52995.800137999999</v>
      </c>
    </row>
    <row r="139" spans="1:5" x14ac:dyDescent="0.3">
      <c r="A139" t="s">
        <v>459</v>
      </c>
      <c r="B139" t="s">
        <v>460</v>
      </c>
      <c r="C139">
        <f t="shared" si="6"/>
        <v>7</v>
      </c>
      <c r="D139" s="7">
        <f t="shared" si="7"/>
        <v>52476.299999999996</v>
      </c>
      <c r="E139">
        <f t="shared" si="8"/>
        <v>52476.300138999999</v>
      </c>
    </row>
    <row r="140" spans="1:5" x14ac:dyDescent="0.3">
      <c r="A140" t="s">
        <v>461</v>
      </c>
      <c r="B140" t="s">
        <v>462</v>
      </c>
      <c r="C140">
        <f t="shared" si="6"/>
        <v>6</v>
      </c>
      <c r="D140" s="7">
        <f t="shared" si="7"/>
        <v>52440.899999999994</v>
      </c>
      <c r="E140">
        <f t="shared" si="8"/>
        <v>52440.900139999991</v>
      </c>
    </row>
    <row r="141" spans="1:5" x14ac:dyDescent="0.3">
      <c r="A141" t="s">
        <v>463</v>
      </c>
      <c r="B141" t="s">
        <v>464</v>
      </c>
      <c r="C141">
        <f t="shared" si="6"/>
        <v>5</v>
      </c>
      <c r="D141" s="7">
        <f t="shared" si="7"/>
        <v>52150.100000000006</v>
      </c>
      <c r="E141">
        <f t="shared" si="8"/>
        <v>52150.100141000003</v>
      </c>
    </row>
    <row r="142" spans="1:5" x14ac:dyDescent="0.3">
      <c r="A142" t="s">
        <v>465</v>
      </c>
      <c r="B142" t="s">
        <v>466</v>
      </c>
      <c r="C142">
        <f t="shared" si="6"/>
        <v>4</v>
      </c>
      <c r="D142" s="7">
        <f t="shared" si="7"/>
        <v>51810.2</v>
      </c>
      <c r="E142">
        <f t="shared" si="8"/>
        <v>51810.200141999994</v>
      </c>
    </row>
    <row r="143" spans="1:5" x14ac:dyDescent="0.3">
      <c r="A143" t="s">
        <v>467</v>
      </c>
      <c r="B143" t="s">
        <v>468</v>
      </c>
      <c r="C143">
        <f t="shared" si="6"/>
        <v>7</v>
      </c>
      <c r="D143" s="7">
        <f t="shared" si="7"/>
        <v>51806.049999999996</v>
      </c>
      <c r="E143">
        <f t="shared" si="8"/>
        <v>51806.050142999993</v>
      </c>
    </row>
    <row r="144" spans="1:5" x14ac:dyDescent="0.3">
      <c r="A144" t="s">
        <v>469</v>
      </c>
      <c r="B144" t="s">
        <v>470</v>
      </c>
      <c r="C144">
        <f t="shared" si="6"/>
        <v>5</v>
      </c>
      <c r="D144" s="7">
        <f t="shared" si="7"/>
        <v>51470.850000000006</v>
      </c>
      <c r="E144">
        <f t="shared" si="8"/>
        <v>51470.850144000004</v>
      </c>
    </row>
    <row r="145" spans="1:5" x14ac:dyDescent="0.3">
      <c r="A145" t="s">
        <v>471</v>
      </c>
      <c r="B145" t="s">
        <v>472</v>
      </c>
      <c r="C145">
        <f t="shared" si="6"/>
        <v>7</v>
      </c>
      <c r="D145" s="7">
        <f t="shared" si="7"/>
        <v>50930.3</v>
      </c>
      <c r="E145">
        <f t="shared" si="8"/>
        <v>50930.300145000001</v>
      </c>
    </row>
    <row r="146" spans="1:5" x14ac:dyDescent="0.3">
      <c r="A146" t="s">
        <v>473</v>
      </c>
      <c r="B146" t="s">
        <v>474</v>
      </c>
      <c r="C146">
        <f t="shared" si="6"/>
        <v>4</v>
      </c>
      <c r="D146" s="7">
        <f t="shared" si="7"/>
        <v>50857.049999999996</v>
      </c>
      <c r="E146">
        <f t="shared" si="8"/>
        <v>50857.050145999994</v>
      </c>
    </row>
    <row r="147" spans="1:5" x14ac:dyDescent="0.3">
      <c r="A147" t="s">
        <v>475</v>
      </c>
      <c r="B147" t="s">
        <v>476</v>
      </c>
      <c r="C147">
        <f t="shared" si="6"/>
        <v>10</v>
      </c>
      <c r="D147" s="7">
        <f t="shared" si="7"/>
        <v>50604.35</v>
      </c>
      <c r="E147">
        <f t="shared" si="8"/>
        <v>50604.350146999997</v>
      </c>
    </row>
    <row r="148" spans="1:5" x14ac:dyDescent="0.3">
      <c r="A148" t="s">
        <v>477</v>
      </c>
      <c r="B148" t="s">
        <v>478</v>
      </c>
      <c r="C148">
        <f t="shared" si="6"/>
        <v>8</v>
      </c>
      <c r="D148" s="7">
        <f t="shared" si="7"/>
        <v>50576.05</v>
      </c>
      <c r="E148">
        <f t="shared" si="8"/>
        <v>50576.050148000002</v>
      </c>
    </row>
    <row r="149" spans="1:5" x14ac:dyDescent="0.3">
      <c r="A149" t="s">
        <v>479</v>
      </c>
      <c r="B149" t="s">
        <v>480</v>
      </c>
      <c r="C149">
        <f t="shared" si="6"/>
        <v>3</v>
      </c>
      <c r="D149" s="7">
        <f t="shared" si="7"/>
        <v>50533.2</v>
      </c>
      <c r="E149">
        <f t="shared" si="8"/>
        <v>50533.200148999997</v>
      </c>
    </row>
    <row r="150" spans="1:5" x14ac:dyDescent="0.3">
      <c r="A150" t="s">
        <v>481</v>
      </c>
      <c r="B150" t="s">
        <v>482</v>
      </c>
      <c r="C150">
        <f t="shared" si="6"/>
        <v>6</v>
      </c>
      <c r="D150" s="7">
        <f t="shared" si="7"/>
        <v>50438.2</v>
      </c>
      <c r="E150">
        <f t="shared" si="8"/>
        <v>50438.200149999997</v>
      </c>
    </row>
    <row r="151" spans="1:5" x14ac:dyDescent="0.3">
      <c r="A151" t="s">
        <v>483</v>
      </c>
      <c r="B151" t="s">
        <v>484</v>
      </c>
      <c r="C151">
        <f t="shared" si="6"/>
        <v>6</v>
      </c>
      <c r="D151" s="7">
        <f t="shared" si="7"/>
        <v>50359.65</v>
      </c>
      <c r="E151">
        <f t="shared" si="8"/>
        <v>50359.650151000002</v>
      </c>
    </row>
    <row r="152" spans="1:5" x14ac:dyDescent="0.3">
      <c r="A152" t="s">
        <v>485</v>
      </c>
      <c r="B152" t="s">
        <v>486</v>
      </c>
      <c r="C152">
        <f t="shared" si="6"/>
        <v>9</v>
      </c>
      <c r="D152" s="7">
        <f t="shared" si="7"/>
        <v>50058.95</v>
      </c>
      <c r="E152">
        <f t="shared" si="8"/>
        <v>50058.950151999998</v>
      </c>
    </row>
    <row r="153" spans="1:5" x14ac:dyDescent="0.3">
      <c r="A153" t="s">
        <v>487</v>
      </c>
      <c r="B153" t="s">
        <v>488</v>
      </c>
      <c r="C153">
        <f t="shared" si="6"/>
        <v>7</v>
      </c>
      <c r="D153" s="7">
        <f t="shared" si="7"/>
        <v>49925.15</v>
      </c>
      <c r="E153">
        <f t="shared" si="8"/>
        <v>49925.150153000002</v>
      </c>
    </row>
    <row r="154" spans="1:5" x14ac:dyDescent="0.3">
      <c r="A154" t="s">
        <v>489</v>
      </c>
      <c r="B154" t="s">
        <v>490</v>
      </c>
      <c r="C154">
        <f t="shared" si="6"/>
        <v>5</v>
      </c>
      <c r="D154" s="7">
        <f t="shared" si="7"/>
        <v>49442.700000000004</v>
      </c>
      <c r="E154">
        <f t="shared" si="8"/>
        <v>49442.700154000006</v>
      </c>
    </row>
    <row r="155" spans="1:5" x14ac:dyDescent="0.3">
      <c r="A155" t="s">
        <v>491</v>
      </c>
      <c r="B155" t="s">
        <v>492</v>
      </c>
      <c r="C155">
        <f t="shared" si="6"/>
        <v>9</v>
      </c>
      <c r="D155" s="7">
        <f t="shared" si="7"/>
        <v>49442.65</v>
      </c>
      <c r="E155">
        <f t="shared" si="8"/>
        <v>49442.650155000003</v>
      </c>
    </row>
    <row r="156" spans="1:5" x14ac:dyDescent="0.3">
      <c r="A156" t="s">
        <v>493</v>
      </c>
      <c r="B156" t="s">
        <v>494</v>
      </c>
      <c r="C156">
        <f t="shared" si="6"/>
        <v>4</v>
      </c>
      <c r="D156" s="7">
        <f t="shared" si="7"/>
        <v>49215.35</v>
      </c>
      <c r="E156">
        <f t="shared" si="8"/>
        <v>49215.350156</v>
      </c>
    </row>
    <row r="157" spans="1:5" x14ac:dyDescent="0.3">
      <c r="A157" t="s">
        <v>495</v>
      </c>
      <c r="B157" t="s">
        <v>496</v>
      </c>
      <c r="C157">
        <f t="shared" si="6"/>
        <v>8</v>
      </c>
      <c r="D157" s="7">
        <f t="shared" si="7"/>
        <v>49128.05</v>
      </c>
      <c r="E157">
        <f t="shared" si="8"/>
        <v>49128.050157000005</v>
      </c>
    </row>
    <row r="158" spans="1:5" x14ac:dyDescent="0.3">
      <c r="A158" t="s">
        <v>497</v>
      </c>
      <c r="B158" t="s">
        <v>498</v>
      </c>
      <c r="C158">
        <f t="shared" si="6"/>
        <v>5</v>
      </c>
      <c r="D158" s="7">
        <f t="shared" si="7"/>
        <v>48960.85</v>
      </c>
      <c r="E158">
        <f t="shared" si="8"/>
        <v>48960.850158000001</v>
      </c>
    </row>
    <row r="159" spans="1:5" x14ac:dyDescent="0.3">
      <c r="A159" t="s">
        <v>499</v>
      </c>
      <c r="B159" t="s">
        <v>500</v>
      </c>
      <c r="C159">
        <f t="shared" si="6"/>
        <v>6</v>
      </c>
      <c r="D159" s="7">
        <f t="shared" si="7"/>
        <v>48836.249999999993</v>
      </c>
      <c r="E159">
        <f t="shared" si="8"/>
        <v>48836.250158999996</v>
      </c>
    </row>
    <row r="160" spans="1:5" x14ac:dyDescent="0.3">
      <c r="A160" t="s">
        <v>501</v>
      </c>
      <c r="B160" t="s">
        <v>502</v>
      </c>
      <c r="C160">
        <f t="shared" si="6"/>
        <v>7</v>
      </c>
      <c r="D160" s="7">
        <f t="shared" si="7"/>
        <v>48661.749999999993</v>
      </c>
      <c r="E160">
        <f t="shared" si="8"/>
        <v>48661.750159999996</v>
      </c>
    </row>
    <row r="161" spans="1:5" x14ac:dyDescent="0.3">
      <c r="A161" t="s">
        <v>503</v>
      </c>
      <c r="B161" t="s">
        <v>504</v>
      </c>
      <c r="C161">
        <f t="shared" si="6"/>
        <v>5</v>
      </c>
      <c r="D161" s="7">
        <f t="shared" si="7"/>
        <v>48659.45</v>
      </c>
      <c r="E161">
        <f t="shared" si="8"/>
        <v>48659.450161000001</v>
      </c>
    </row>
    <row r="162" spans="1:5" x14ac:dyDescent="0.3">
      <c r="A162" t="s">
        <v>505</v>
      </c>
      <c r="B162" t="s">
        <v>506</v>
      </c>
      <c r="C162">
        <f t="shared" si="6"/>
        <v>5</v>
      </c>
      <c r="D162" s="7">
        <f t="shared" si="7"/>
        <v>48551.8</v>
      </c>
      <c r="E162">
        <f t="shared" si="8"/>
        <v>48551.800162</v>
      </c>
    </row>
    <row r="163" spans="1:5" x14ac:dyDescent="0.3">
      <c r="A163" t="s">
        <v>507</v>
      </c>
      <c r="B163" t="s">
        <v>508</v>
      </c>
      <c r="C163">
        <f t="shared" si="6"/>
        <v>4</v>
      </c>
      <c r="D163" s="7">
        <f t="shared" si="7"/>
        <v>48431.700000000004</v>
      </c>
      <c r="E163">
        <f t="shared" si="8"/>
        <v>48431.700163000001</v>
      </c>
    </row>
    <row r="164" spans="1:5" x14ac:dyDescent="0.3">
      <c r="A164" t="s">
        <v>509</v>
      </c>
      <c r="B164" t="s">
        <v>510</v>
      </c>
      <c r="C164">
        <f t="shared" si="6"/>
        <v>6</v>
      </c>
      <c r="D164" s="7">
        <f t="shared" si="7"/>
        <v>48292.950000000004</v>
      </c>
      <c r="E164">
        <f t="shared" si="8"/>
        <v>48292.950164000002</v>
      </c>
    </row>
    <row r="165" spans="1:5" x14ac:dyDescent="0.3">
      <c r="A165" t="s">
        <v>511</v>
      </c>
      <c r="B165" t="s">
        <v>512</v>
      </c>
      <c r="C165">
        <f t="shared" si="6"/>
        <v>9</v>
      </c>
      <c r="D165" s="7">
        <f t="shared" si="7"/>
        <v>47990.400000000001</v>
      </c>
      <c r="E165">
        <f t="shared" si="8"/>
        <v>47990.400164999999</v>
      </c>
    </row>
    <row r="166" spans="1:5" x14ac:dyDescent="0.3">
      <c r="A166" t="s">
        <v>513</v>
      </c>
      <c r="B166" t="s">
        <v>514</v>
      </c>
      <c r="C166">
        <f t="shared" si="6"/>
        <v>5</v>
      </c>
      <c r="D166" s="7">
        <f t="shared" si="7"/>
        <v>47909.4</v>
      </c>
      <c r="E166">
        <f t="shared" si="8"/>
        <v>47909.400165999999</v>
      </c>
    </row>
    <row r="167" spans="1:5" x14ac:dyDescent="0.3">
      <c r="A167" t="s">
        <v>515</v>
      </c>
      <c r="B167" t="s">
        <v>516</v>
      </c>
      <c r="C167">
        <f t="shared" si="6"/>
        <v>5</v>
      </c>
      <c r="D167" s="7">
        <f t="shared" si="7"/>
        <v>47786.85</v>
      </c>
      <c r="E167">
        <f t="shared" si="8"/>
        <v>47786.850166999997</v>
      </c>
    </row>
    <row r="168" spans="1:5" x14ac:dyDescent="0.3">
      <c r="A168" t="s">
        <v>517</v>
      </c>
      <c r="B168" t="s">
        <v>518</v>
      </c>
      <c r="C168">
        <f t="shared" si="6"/>
        <v>7</v>
      </c>
      <c r="D168" s="7">
        <f t="shared" si="7"/>
        <v>47635</v>
      </c>
      <c r="E168">
        <f t="shared" si="8"/>
        <v>47635.000167999999</v>
      </c>
    </row>
    <row r="169" spans="1:5" x14ac:dyDescent="0.3">
      <c r="A169" t="s">
        <v>519</v>
      </c>
      <c r="B169" t="s">
        <v>520</v>
      </c>
      <c r="C169">
        <f t="shared" si="6"/>
        <v>4</v>
      </c>
      <c r="D169" s="7">
        <f t="shared" si="7"/>
        <v>47554.65</v>
      </c>
      <c r="E169">
        <f t="shared" si="8"/>
        <v>47554.650169</v>
      </c>
    </row>
    <row r="170" spans="1:5" x14ac:dyDescent="0.3">
      <c r="A170" t="s">
        <v>521</v>
      </c>
      <c r="B170" t="s">
        <v>522</v>
      </c>
      <c r="C170">
        <f t="shared" si="6"/>
        <v>5</v>
      </c>
      <c r="D170" s="7">
        <f t="shared" si="7"/>
        <v>47305.1</v>
      </c>
      <c r="E170">
        <f t="shared" si="8"/>
        <v>47305.100169999998</v>
      </c>
    </row>
    <row r="171" spans="1:5" x14ac:dyDescent="0.3">
      <c r="A171" t="s">
        <v>523</v>
      </c>
      <c r="B171" t="s">
        <v>524</v>
      </c>
      <c r="C171">
        <f t="shared" si="6"/>
        <v>5</v>
      </c>
      <c r="D171" s="7">
        <f t="shared" si="7"/>
        <v>47233.45</v>
      </c>
      <c r="E171">
        <f t="shared" si="8"/>
        <v>47233.450170999997</v>
      </c>
    </row>
    <row r="172" spans="1:5" x14ac:dyDescent="0.3">
      <c r="A172" t="s">
        <v>525</v>
      </c>
      <c r="B172" t="s">
        <v>526</v>
      </c>
      <c r="C172">
        <f t="shared" si="6"/>
        <v>4</v>
      </c>
      <c r="D172" s="7">
        <f t="shared" si="7"/>
        <v>47160.85</v>
      </c>
      <c r="E172">
        <f t="shared" si="8"/>
        <v>47160.850171999999</v>
      </c>
    </row>
    <row r="173" spans="1:5" x14ac:dyDescent="0.3">
      <c r="A173" t="s">
        <v>527</v>
      </c>
      <c r="B173" t="s">
        <v>528</v>
      </c>
      <c r="C173">
        <f t="shared" si="6"/>
        <v>7</v>
      </c>
      <c r="D173" s="7">
        <f t="shared" si="7"/>
        <v>47142.549999999996</v>
      </c>
      <c r="E173">
        <f t="shared" si="8"/>
        <v>47142.550172999996</v>
      </c>
    </row>
    <row r="174" spans="1:5" x14ac:dyDescent="0.3">
      <c r="A174" t="s">
        <v>529</v>
      </c>
      <c r="B174" t="s">
        <v>530</v>
      </c>
      <c r="C174">
        <f t="shared" si="6"/>
        <v>9</v>
      </c>
      <c r="D174" s="7">
        <f t="shared" si="7"/>
        <v>46801.799999999996</v>
      </c>
      <c r="E174">
        <f t="shared" si="8"/>
        <v>46801.800173999996</v>
      </c>
    </row>
    <row r="175" spans="1:5" x14ac:dyDescent="0.3">
      <c r="A175" t="s">
        <v>531</v>
      </c>
      <c r="B175" t="s">
        <v>532</v>
      </c>
      <c r="C175">
        <f t="shared" si="6"/>
        <v>1</v>
      </c>
      <c r="D175" s="7">
        <f t="shared" si="7"/>
        <v>46796.4</v>
      </c>
      <c r="E175">
        <f t="shared" si="8"/>
        <v>46796.400175000002</v>
      </c>
    </row>
    <row r="176" spans="1:5" x14ac:dyDescent="0.3">
      <c r="A176" t="s">
        <v>533</v>
      </c>
      <c r="B176" t="s">
        <v>534</v>
      </c>
      <c r="C176">
        <f t="shared" si="6"/>
        <v>4</v>
      </c>
      <c r="D176" s="7">
        <f t="shared" si="7"/>
        <v>46492.850000000006</v>
      </c>
      <c r="E176">
        <f t="shared" si="8"/>
        <v>46492.850176000007</v>
      </c>
    </row>
    <row r="177" spans="1:5" x14ac:dyDescent="0.3">
      <c r="A177" t="s">
        <v>535</v>
      </c>
      <c r="B177" t="s">
        <v>536</v>
      </c>
      <c r="C177">
        <f t="shared" si="6"/>
        <v>9</v>
      </c>
      <c r="D177" s="7">
        <f t="shared" si="7"/>
        <v>46486.8</v>
      </c>
      <c r="E177">
        <f t="shared" si="8"/>
        <v>46486.800177000005</v>
      </c>
    </row>
    <row r="178" spans="1:5" x14ac:dyDescent="0.3">
      <c r="A178" t="s">
        <v>537</v>
      </c>
      <c r="B178" t="s">
        <v>538</v>
      </c>
      <c r="C178">
        <f t="shared" si="6"/>
        <v>7</v>
      </c>
      <c r="D178" s="7">
        <f t="shared" si="7"/>
        <v>46462.049999999996</v>
      </c>
      <c r="E178">
        <f t="shared" si="8"/>
        <v>46462.050177999998</v>
      </c>
    </row>
    <row r="179" spans="1:5" x14ac:dyDescent="0.3">
      <c r="A179" t="s">
        <v>539</v>
      </c>
      <c r="B179" t="s">
        <v>540</v>
      </c>
      <c r="C179">
        <f t="shared" si="6"/>
        <v>3</v>
      </c>
      <c r="D179" s="7">
        <f t="shared" si="7"/>
        <v>46433.3</v>
      </c>
      <c r="E179">
        <f t="shared" si="8"/>
        <v>46433.300179000005</v>
      </c>
    </row>
    <row r="180" spans="1:5" x14ac:dyDescent="0.3">
      <c r="A180" t="s">
        <v>541</v>
      </c>
      <c r="B180" t="s">
        <v>542</v>
      </c>
      <c r="C180">
        <f t="shared" si="6"/>
        <v>3</v>
      </c>
      <c r="D180" s="7">
        <f t="shared" si="7"/>
        <v>46242.450000000004</v>
      </c>
      <c r="E180">
        <f t="shared" si="8"/>
        <v>46242.450180000007</v>
      </c>
    </row>
    <row r="181" spans="1:5" x14ac:dyDescent="0.3">
      <c r="A181" t="s">
        <v>543</v>
      </c>
      <c r="B181" t="s">
        <v>544</v>
      </c>
      <c r="C181">
        <f t="shared" si="6"/>
        <v>8</v>
      </c>
      <c r="D181" s="7">
        <f t="shared" si="7"/>
        <v>46207.9</v>
      </c>
      <c r="E181">
        <f t="shared" si="8"/>
        <v>46207.900181000005</v>
      </c>
    </row>
    <row r="182" spans="1:5" x14ac:dyDescent="0.3">
      <c r="A182" t="s">
        <v>545</v>
      </c>
      <c r="B182" t="s">
        <v>546</v>
      </c>
      <c r="C182">
        <f t="shared" si="6"/>
        <v>6</v>
      </c>
      <c r="D182" s="7">
        <f t="shared" si="7"/>
        <v>46122.950000000004</v>
      </c>
      <c r="E182">
        <f t="shared" si="8"/>
        <v>46122.950182000008</v>
      </c>
    </row>
    <row r="183" spans="1:5" x14ac:dyDescent="0.3">
      <c r="A183" t="s">
        <v>547</v>
      </c>
      <c r="B183" t="s">
        <v>548</v>
      </c>
      <c r="C183">
        <f t="shared" si="6"/>
        <v>6</v>
      </c>
      <c r="D183" s="7">
        <f t="shared" si="7"/>
        <v>46076.799999999996</v>
      </c>
      <c r="E183">
        <f t="shared" si="8"/>
        <v>46076.800182999992</v>
      </c>
    </row>
    <row r="184" spans="1:5" x14ac:dyDescent="0.3">
      <c r="A184" t="s">
        <v>549</v>
      </c>
      <c r="B184" t="s">
        <v>550</v>
      </c>
      <c r="C184">
        <f t="shared" si="6"/>
        <v>4</v>
      </c>
      <c r="D184" s="7">
        <f t="shared" si="7"/>
        <v>45996.950000000004</v>
      </c>
      <c r="E184">
        <f t="shared" si="8"/>
        <v>45996.950184000001</v>
      </c>
    </row>
    <row r="185" spans="1:5" x14ac:dyDescent="0.3">
      <c r="A185" t="s">
        <v>551</v>
      </c>
      <c r="B185" t="s">
        <v>552</v>
      </c>
      <c r="C185">
        <f t="shared" si="6"/>
        <v>4</v>
      </c>
      <c r="D185" s="7">
        <f t="shared" si="7"/>
        <v>45950.5</v>
      </c>
      <c r="E185">
        <f t="shared" si="8"/>
        <v>45950.500184999997</v>
      </c>
    </row>
    <row r="186" spans="1:5" x14ac:dyDescent="0.3">
      <c r="A186" t="s">
        <v>553</v>
      </c>
      <c r="B186" t="s">
        <v>554</v>
      </c>
      <c r="C186">
        <f t="shared" si="6"/>
        <v>6</v>
      </c>
      <c r="D186" s="7">
        <f t="shared" si="7"/>
        <v>45783.100000000006</v>
      </c>
      <c r="E186">
        <f t="shared" si="8"/>
        <v>45783.100186000003</v>
      </c>
    </row>
    <row r="187" spans="1:5" x14ac:dyDescent="0.3">
      <c r="A187" t="s">
        <v>555</v>
      </c>
      <c r="B187" t="s">
        <v>556</v>
      </c>
      <c r="C187">
        <f t="shared" si="6"/>
        <v>8</v>
      </c>
      <c r="D187" s="7">
        <f t="shared" si="7"/>
        <v>45777.5</v>
      </c>
      <c r="E187">
        <f t="shared" si="8"/>
        <v>45777.500186999998</v>
      </c>
    </row>
    <row r="188" spans="1:5" x14ac:dyDescent="0.3">
      <c r="A188" t="s">
        <v>557</v>
      </c>
      <c r="B188" t="s">
        <v>558</v>
      </c>
      <c r="C188">
        <f t="shared" si="6"/>
        <v>4</v>
      </c>
      <c r="D188" s="7">
        <f t="shared" si="7"/>
        <v>45741.149999999994</v>
      </c>
      <c r="E188">
        <f t="shared" si="8"/>
        <v>45741.150187999992</v>
      </c>
    </row>
    <row r="189" spans="1:5" x14ac:dyDescent="0.3">
      <c r="A189" t="s">
        <v>559</v>
      </c>
      <c r="B189" t="s">
        <v>560</v>
      </c>
      <c r="C189">
        <f t="shared" si="6"/>
        <v>5</v>
      </c>
      <c r="D189" s="7">
        <f t="shared" si="7"/>
        <v>45716.700000000004</v>
      </c>
      <c r="E189">
        <f t="shared" si="8"/>
        <v>45716.700189000003</v>
      </c>
    </row>
    <row r="190" spans="1:5" x14ac:dyDescent="0.3">
      <c r="A190" t="s">
        <v>561</v>
      </c>
      <c r="B190" t="s">
        <v>562</v>
      </c>
      <c r="C190">
        <f t="shared" si="6"/>
        <v>3</v>
      </c>
      <c r="D190" s="7">
        <f t="shared" si="7"/>
        <v>45533.25</v>
      </c>
      <c r="E190">
        <f t="shared" si="8"/>
        <v>45533.250189999999</v>
      </c>
    </row>
    <row r="191" spans="1:5" x14ac:dyDescent="0.3">
      <c r="A191" t="s">
        <v>563</v>
      </c>
      <c r="B191" t="s">
        <v>564</v>
      </c>
      <c r="C191">
        <f t="shared" si="6"/>
        <v>5</v>
      </c>
      <c r="D191" s="7">
        <f t="shared" si="7"/>
        <v>45340.95</v>
      </c>
      <c r="E191">
        <f t="shared" si="8"/>
        <v>45340.950190999996</v>
      </c>
    </row>
    <row r="192" spans="1:5" x14ac:dyDescent="0.3">
      <c r="A192" t="s">
        <v>565</v>
      </c>
      <c r="B192" t="s">
        <v>566</v>
      </c>
      <c r="C192">
        <f t="shared" si="6"/>
        <v>3</v>
      </c>
      <c r="D192" s="7">
        <f t="shared" si="7"/>
        <v>45102.75</v>
      </c>
      <c r="E192">
        <f t="shared" si="8"/>
        <v>45102.750192</v>
      </c>
    </row>
    <row r="193" spans="1:5" x14ac:dyDescent="0.3">
      <c r="A193" t="s">
        <v>567</v>
      </c>
      <c r="B193" t="s">
        <v>568</v>
      </c>
      <c r="C193">
        <f t="shared" si="6"/>
        <v>5</v>
      </c>
      <c r="D193" s="7">
        <f t="shared" si="7"/>
        <v>45045.7</v>
      </c>
      <c r="E193">
        <f t="shared" si="8"/>
        <v>45045.700192999997</v>
      </c>
    </row>
    <row r="194" spans="1:5" x14ac:dyDescent="0.3">
      <c r="A194" t="s">
        <v>569</v>
      </c>
      <c r="B194" t="s">
        <v>570</v>
      </c>
      <c r="C194">
        <f t="shared" ref="C194:C257" si="9">COUNTIF(dCust,A194)</f>
        <v>5</v>
      </c>
      <c r="D194" s="7">
        <f t="shared" ref="D194:D257" si="10">SUMIFS(dSales,dCust,A194)</f>
        <v>44899.5</v>
      </c>
      <c r="E194">
        <f t="shared" ref="E194:E257" si="11">D194+ROW()/1000000</f>
        <v>44899.500194</v>
      </c>
    </row>
    <row r="195" spans="1:5" x14ac:dyDescent="0.3">
      <c r="A195" t="s">
        <v>571</v>
      </c>
      <c r="B195" t="s">
        <v>572</v>
      </c>
      <c r="C195">
        <f t="shared" si="9"/>
        <v>5</v>
      </c>
      <c r="D195" s="7">
        <f t="shared" si="10"/>
        <v>44850.35</v>
      </c>
      <c r="E195">
        <f t="shared" si="11"/>
        <v>44850.350194999999</v>
      </c>
    </row>
    <row r="196" spans="1:5" x14ac:dyDescent="0.3">
      <c r="A196" t="s">
        <v>573</v>
      </c>
      <c r="B196" t="s">
        <v>574</v>
      </c>
      <c r="C196">
        <f t="shared" si="9"/>
        <v>7</v>
      </c>
      <c r="D196" s="7">
        <f t="shared" si="10"/>
        <v>44836.55</v>
      </c>
      <c r="E196">
        <f t="shared" si="11"/>
        <v>44836.550196000004</v>
      </c>
    </row>
    <row r="197" spans="1:5" x14ac:dyDescent="0.3">
      <c r="A197" t="s">
        <v>575</v>
      </c>
      <c r="B197" t="s">
        <v>576</v>
      </c>
      <c r="C197">
        <f t="shared" si="9"/>
        <v>8</v>
      </c>
      <c r="D197" s="7">
        <f t="shared" si="10"/>
        <v>44749.150000000009</v>
      </c>
      <c r="E197">
        <f t="shared" si="11"/>
        <v>44749.15019700001</v>
      </c>
    </row>
    <row r="198" spans="1:5" x14ac:dyDescent="0.3">
      <c r="A198" t="s">
        <v>577</v>
      </c>
      <c r="B198" t="s">
        <v>578</v>
      </c>
      <c r="C198">
        <f t="shared" si="9"/>
        <v>7</v>
      </c>
      <c r="D198" s="7">
        <f t="shared" si="10"/>
        <v>44614.2</v>
      </c>
      <c r="E198">
        <f t="shared" si="11"/>
        <v>44614.200197999999</v>
      </c>
    </row>
    <row r="199" spans="1:5" x14ac:dyDescent="0.3">
      <c r="A199" t="s">
        <v>579</v>
      </c>
      <c r="B199" t="s">
        <v>580</v>
      </c>
      <c r="C199">
        <f t="shared" si="9"/>
        <v>7</v>
      </c>
      <c r="D199" s="7">
        <f t="shared" si="10"/>
        <v>44563.700000000004</v>
      </c>
      <c r="E199">
        <f t="shared" si="11"/>
        <v>44563.700199000006</v>
      </c>
    </row>
    <row r="200" spans="1:5" x14ac:dyDescent="0.3">
      <c r="A200" t="s">
        <v>581</v>
      </c>
      <c r="B200" t="s">
        <v>582</v>
      </c>
      <c r="C200">
        <f t="shared" si="9"/>
        <v>7</v>
      </c>
      <c r="D200" s="7">
        <f t="shared" si="10"/>
        <v>44309.65</v>
      </c>
      <c r="E200">
        <f t="shared" si="11"/>
        <v>44309.650200000004</v>
      </c>
    </row>
    <row r="201" spans="1:5" x14ac:dyDescent="0.3">
      <c r="A201" t="s">
        <v>583</v>
      </c>
      <c r="B201" t="s">
        <v>584</v>
      </c>
      <c r="C201">
        <f t="shared" si="9"/>
        <v>6</v>
      </c>
      <c r="D201" s="7">
        <f t="shared" si="10"/>
        <v>44297.850000000006</v>
      </c>
      <c r="E201">
        <f t="shared" si="11"/>
        <v>44297.850201000008</v>
      </c>
    </row>
    <row r="202" spans="1:5" x14ac:dyDescent="0.3">
      <c r="A202" t="s">
        <v>585</v>
      </c>
      <c r="B202" t="s">
        <v>586</v>
      </c>
      <c r="C202">
        <f t="shared" si="9"/>
        <v>4</v>
      </c>
      <c r="D202" s="7">
        <f t="shared" si="10"/>
        <v>44283.8</v>
      </c>
      <c r="E202">
        <f t="shared" si="11"/>
        <v>44283.800202000006</v>
      </c>
    </row>
    <row r="203" spans="1:5" x14ac:dyDescent="0.3">
      <c r="A203" t="s">
        <v>587</v>
      </c>
      <c r="B203" t="s">
        <v>588</v>
      </c>
      <c r="C203">
        <f t="shared" si="9"/>
        <v>4</v>
      </c>
      <c r="D203" s="7">
        <f t="shared" si="10"/>
        <v>44251.549999999996</v>
      </c>
      <c r="E203">
        <f t="shared" si="11"/>
        <v>44251.550202999999</v>
      </c>
    </row>
    <row r="204" spans="1:5" x14ac:dyDescent="0.3">
      <c r="A204" t="s">
        <v>589</v>
      </c>
      <c r="B204" t="s">
        <v>590</v>
      </c>
      <c r="C204">
        <f t="shared" si="9"/>
        <v>4</v>
      </c>
      <c r="D204" s="7">
        <f t="shared" si="10"/>
        <v>44240.6</v>
      </c>
      <c r="E204">
        <f t="shared" si="11"/>
        <v>44240.600204000002</v>
      </c>
    </row>
    <row r="205" spans="1:5" x14ac:dyDescent="0.3">
      <c r="A205" t="s">
        <v>591</v>
      </c>
      <c r="B205" t="s">
        <v>592</v>
      </c>
      <c r="C205">
        <f t="shared" si="9"/>
        <v>6</v>
      </c>
      <c r="D205" s="7">
        <f t="shared" si="10"/>
        <v>44227.950000000004</v>
      </c>
      <c r="E205">
        <f t="shared" si="11"/>
        <v>44227.950205000001</v>
      </c>
    </row>
    <row r="206" spans="1:5" x14ac:dyDescent="0.3">
      <c r="A206" t="s">
        <v>593</v>
      </c>
      <c r="B206" t="s">
        <v>594</v>
      </c>
      <c r="C206">
        <f t="shared" si="9"/>
        <v>6</v>
      </c>
      <c r="D206" s="7">
        <f t="shared" si="10"/>
        <v>44103.65</v>
      </c>
      <c r="E206">
        <f t="shared" si="11"/>
        <v>44103.650205999998</v>
      </c>
    </row>
    <row r="207" spans="1:5" x14ac:dyDescent="0.3">
      <c r="A207" t="s">
        <v>595</v>
      </c>
      <c r="B207" t="s">
        <v>596</v>
      </c>
      <c r="C207">
        <f t="shared" si="9"/>
        <v>4</v>
      </c>
      <c r="D207" s="7">
        <f t="shared" si="10"/>
        <v>43926.600000000006</v>
      </c>
      <c r="E207">
        <f t="shared" si="11"/>
        <v>43926.600207000003</v>
      </c>
    </row>
    <row r="208" spans="1:5" x14ac:dyDescent="0.3">
      <c r="A208" t="s">
        <v>597</v>
      </c>
      <c r="B208" t="s">
        <v>598</v>
      </c>
      <c r="C208">
        <f t="shared" si="9"/>
        <v>3</v>
      </c>
      <c r="D208" s="7">
        <f t="shared" si="10"/>
        <v>43829.4</v>
      </c>
      <c r="E208">
        <f t="shared" si="11"/>
        <v>43829.400207999999</v>
      </c>
    </row>
    <row r="209" spans="1:5" x14ac:dyDescent="0.3">
      <c r="A209" t="s">
        <v>599</v>
      </c>
      <c r="B209" t="s">
        <v>600</v>
      </c>
      <c r="C209">
        <f t="shared" si="9"/>
        <v>9</v>
      </c>
      <c r="D209" s="7">
        <f t="shared" si="10"/>
        <v>43673.5</v>
      </c>
      <c r="E209">
        <f t="shared" si="11"/>
        <v>43673.500208999998</v>
      </c>
    </row>
    <row r="210" spans="1:5" x14ac:dyDescent="0.3">
      <c r="A210" t="s">
        <v>601</v>
      </c>
      <c r="B210" t="s">
        <v>602</v>
      </c>
      <c r="C210">
        <f t="shared" si="9"/>
        <v>7</v>
      </c>
      <c r="D210" s="7">
        <f t="shared" si="10"/>
        <v>43585.8</v>
      </c>
      <c r="E210">
        <f t="shared" si="11"/>
        <v>43585.800210000001</v>
      </c>
    </row>
    <row r="211" spans="1:5" x14ac:dyDescent="0.3">
      <c r="A211" t="s">
        <v>603</v>
      </c>
      <c r="B211" t="s">
        <v>604</v>
      </c>
      <c r="C211">
        <f t="shared" si="9"/>
        <v>6</v>
      </c>
      <c r="D211" s="7">
        <f t="shared" si="10"/>
        <v>43516.6</v>
      </c>
      <c r="E211">
        <f t="shared" si="11"/>
        <v>43516.600210999997</v>
      </c>
    </row>
    <row r="212" spans="1:5" x14ac:dyDescent="0.3">
      <c r="A212" t="s">
        <v>605</v>
      </c>
      <c r="B212" t="s">
        <v>606</v>
      </c>
      <c r="C212">
        <f t="shared" si="9"/>
        <v>3</v>
      </c>
      <c r="D212" s="7">
        <f t="shared" si="10"/>
        <v>43496.75</v>
      </c>
      <c r="E212">
        <f t="shared" si="11"/>
        <v>43496.750211999999</v>
      </c>
    </row>
    <row r="213" spans="1:5" x14ac:dyDescent="0.3">
      <c r="A213" t="s">
        <v>607</v>
      </c>
      <c r="B213" t="s">
        <v>608</v>
      </c>
      <c r="C213">
        <f t="shared" si="9"/>
        <v>5</v>
      </c>
      <c r="D213" s="7">
        <f t="shared" si="10"/>
        <v>43396.600000000006</v>
      </c>
      <c r="E213">
        <f t="shared" si="11"/>
        <v>43396.600213000005</v>
      </c>
    </row>
    <row r="214" spans="1:5" x14ac:dyDescent="0.3">
      <c r="A214" t="s">
        <v>609</v>
      </c>
      <c r="B214" t="s">
        <v>610</v>
      </c>
      <c r="C214">
        <f t="shared" si="9"/>
        <v>6</v>
      </c>
      <c r="D214" s="7">
        <f t="shared" si="10"/>
        <v>43381.1</v>
      </c>
      <c r="E214">
        <f t="shared" si="11"/>
        <v>43381.100213999998</v>
      </c>
    </row>
    <row r="215" spans="1:5" x14ac:dyDescent="0.3">
      <c r="A215" t="s">
        <v>611</v>
      </c>
      <c r="B215" t="s">
        <v>612</v>
      </c>
      <c r="C215">
        <f t="shared" si="9"/>
        <v>7</v>
      </c>
      <c r="D215" s="7">
        <f t="shared" si="10"/>
        <v>43273.2</v>
      </c>
      <c r="E215">
        <f t="shared" si="11"/>
        <v>43273.200214999997</v>
      </c>
    </row>
    <row r="216" spans="1:5" x14ac:dyDescent="0.3">
      <c r="A216" t="s">
        <v>613</v>
      </c>
      <c r="B216" t="s">
        <v>614</v>
      </c>
      <c r="C216">
        <f t="shared" si="9"/>
        <v>5</v>
      </c>
      <c r="D216" s="7">
        <f t="shared" si="10"/>
        <v>43259.65</v>
      </c>
      <c r="E216">
        <f t="shared" si="11"/>
        <v>43259.650216000002</v>
      </c>
    </row>
    <row r="217" spans="1:5" x14ac:dyDescent="0.3">
      <c r="A217" t="s">
        <v>615</v>
      </c>
      <c r="B217" t="s">
        <v>616</v>
      </c>
      <c r="C217">
        <f t="shared" si="9"/>
        <v>6</v>
      </c>
      <c r="D217" s="7">
        <f t="shared" si="10"/>
        <v>43208.850000000006</v>
      </c>
      <c r="E217">
        <f t="shared" si="11"/>
        <v>43208.850217000007</v>
      </c>
    </row>
    <row r="218" spans="1:5" x14ac:dyDescent="0.3">
      <c r="A218" t="s">
        <v>617</v>
      </c>
      <c r="B218" t="s">
        <v>618</v>
      </c>
      <c r="C218">
        <f t="shared" si="9"/>
        <v>7</v>
      </c>
      <c r="D218" s="7">
        <f t="shared" si="10"/>
        <v>43199.25</v>
      </c>
      <c r="E218">
        <f t="shared" si="11"/>
        <v>43199.250218000001</v>
      </c>
    </row>
    <row r="219" spans="1:5" x14ac:dyDescent="0.3">
      <c r="A219" t="s">
        <v>619</v>
      </c>
      <c r="B219" t="s">
        <v>620</v>
      </c>
      <c r="C219">
        <f t="shared" si="9"/>
        <v>7</v>
      </c>
      <c r="D219" s="7">
        <f t="shared" si="10"/>
        <v>43137.899999999994</v>
      </c>
      <c r="E219">
        <f t="shared" si="11"/>
        <v>43137.900218999996</v>
      </c>
    </row>
    <row r="220" spans="1:5" x14ac:dyDescent="0.3">
      <c r="A220" t="s">
        <v>621</v>
      </c>
      <c r="B220" t="s">
        <v>622</v>
      </c>
      <c r="C220">
        <f t="shared" si="9"/>
        <v>7</v>
      </c>
      <c r="D220" s="7">
        <f t="shared" si="10"/>
        <v>42782.9</v>
      </c>
      <c r="E220">
        <f t="shared" si="11"/>
        <v>42782.900220000003</v>
      </c>
    </row>
    <row r="221" spans="1:5" x14ac:dyDescent="0.3">
      <c r="A221" t="s">
        <v>623</v>
      </c>
      <c r="B221" t="s">
        <v>624</v>
      </c>
      <c r="C221">
        <f t="shared" si="9"/>
        <v>3</v>
      </c>
      <c r="D221" s="7">
        <f t="shared" si="10"/>
        <v>42768.9</v>
      </c>
      <c r="E221">
        <f t="shared" si="11"/>
        <v>42768.900221000004</v>
      </c>
    </row>
    <row r="222" spans="1:5" x14ac:dyDescent="0.3">
      <c r="A222" t="s">
        <v>625</v>
      </c>
      <c r="B222" t="s">
        <v>626</v>
      </c>
      <c r="C222">
        <f t="shared" si="9"/>
        <v>1</v>
      </c>
      <c r="D222" s="7">
        <f t="shared" si="10"/>
        <v>42747.15</v>
      </c>
      <c r="E222">
        <f t="shared" si="11"/>
        <v>42747.150222000004</v>
      </c>
    </row>
    <row r="223" spans="1:5" x14ac:dyDescent="0.3">
      <c r="A223" t="s">
        <v>627</v>
      </c>
      <c r="B223" t="s">
        <v>628</v>
      </c>
      <c r="C223">
        <f t="shared" si="9"/>
        <v>7</v>
      </c>
      <c r="D223" s="7">
        <f t="shared" si="10"/>
        <v>42693.950000000004</v>
      </c>
      <c r="E223">
        <f t="shared" si="11"/>
        <v>42693.950223000007</v>
      </c>
    </row>
    <row r="224" spans="1:5" x14ac:dyDescent="0.3">
      <c r="A224" t="s">
        <v>629</v>
      </c>
      <c r="B224" t="s">
        <v>630</v>
      </c>
      <c r="C224">
        <f t="shared" si="9"/>
        <v>5</v>
      </c>
      <c r="D224" s="7">
        <f t="shared" si="10"/>
        <v>42689</v>
      </c>
      <c r="E224">
        <f t="shared" si="11"/>
        <v>42689.000224000003</v>
      </c>
    </row>
    <row r="225" spans="1:5" x14ac:dyDescent="0.3">
      <c r="A225" t="s">
        <v>631</v>
      </c>
      <c r="B225" t="s">
        <v>632</v>
      </c>
      <c r="C225">
        <f t="shared" si="9"/>
        <v>6</v>
      </c>
      <c r="D225" s="7">
        <f t="shared" si="10"/>
        <v>42688.800000000003</v>
      </c>
      <c r="E225">
        <f t="shared" si="11"/>
        <v>42688.800225000006</v>
      </c>
    </row>
    <row r="226" spans="1:5" x14ac:dyDescent="0.3">
      <c r="A226" t="s">
        <v>633</v>
      </c>
      <c r="B226" t="s">
        <v>634</v>
      </c>
      <c r="C226">
        <f t="shared" si="9"/>
        <v>7</v>
      </c>
      <c r="D226" s="7">
        <f t="shared" si="10"/>
        <v>42511.199999999997</v>
      </c>
      <c r="E226">
        <f t="shared" si="11"/>
        <v>42511.200225999994</v>
      </c>
    </row>
    <row r="227" spans="1:5" x14ac:dyDescent="0.3">
      <c r="A227" t="s">
        <v>635</v>
      </c>
      <c r="B227" t="s">
        <v>636</v>
      </c>
      <c r="C227">
        <f t="shared" si="9"/>
        <v>6</v>
      </c>
      <c r="D227" s="7">
        <f t="shared" si="10"/>
        <v>42400.1</v>
      </c>
      <c r="E227">
        <f t="shared" si="11"/>
        <v>42400.100226999995</v>
      </c>
    </row>
    <row r="228" spans="1:5" x14ac:dyDescent="0.3">
      <c r="A228" t="s">
        <v>637</v>
      </c>
      <c r="B228" t="s">
        <v>638</v>
      </c>
      <c r="C228">
        <f t="shared" si="9"/>
        <v>5</v>
      </c>
      <c r="D228" s="7">
        <f t="shared" si="10"/>
        <v>42248.75</v>
      </c>
      <c r="E228">
        <f t="shared" si="11"/>
        <v>42248.750227999997</v>
      </c>
    </row>
    <row r="229" spans="1:5" x14ac:dyDescent="0.3">
      <c r="A229" t="s">
        <v>639</v>
      </c>
      <c r="B229" t="s">
        <v>640</v>
      </c>
      <c r="C229">
        <f t="shared" si="9"/>
        <v>9</v>
      </c>
      <c r="D229" s="7">
        <f t="shared" si="10"/>
        <v>42222.15</v>
      </c>
      <c r="E229">
        <f t="shared" si="11"/>
        <v>42222.150228999999</v>
      </c>
    </row>
    <row r="230" spans="1:5" x14ac:dyDescent="0.3">
      <c r="A230" t="s">
        <v>641</v>
      </c>
      <c r="B230" t="s">
        <v>642</v>
      </c>
      <c r="C230">
        <f t="shared" si="9"/>
        <v>4</v>
      </c>
      <c r="D230" s="7">
        <f t="shared" si="10"/>
        <v>42172.5</v>
      </c>
      <c r="E230">
        <f t="shared" si="11"/>
        <v>42172.500229999998</v>
      </c>
    </row>
    <row r="231" spans="1:5" x14ac:dyDescent="0.3">
      <c r="A231" t="s">
        <v>643</v>
      </c>
      <c r="B231" t="s">
        <v>644</v>
      </c>
      <c r="C231">
        <f t="shared" si="9"/>
        <v>3</v>
      </c>
      <c r="D231" s="7">
        <f t="shared" si="10"/>
        <v>42114.600000000006</v>
      </c>
      <c r="E231">
        <f t="shared" si="11"/>
        <v>42114.600231000004</v>
      </c>
    </row>
    <row r="232" spans="1:5" x14ac:dyDescent="0.3">
      <c r="A232" t="s">
        <v>645</v>
      </c>
      <c r="B232" t="s">
        <v>646</v>
      </c>
      <c r="C232">
        <f t="shared" si="9"/>
        <v>6</v>
      </c>
      <c r="D232" s="7">
        <f t="shared" si="10"/>
        <v>42042.650000000009</v>
      </c>
      <c r="E232">
        <f t="shared" si="11"/>
        <v>42042.650232000007</v>
      </c>
    </row>
    <row r="233" spans="1:5" x14ac:dyDescent="0.3">
      <c r="A233" t="s">
        <v>647</v>
      </c>
      <c r="B233" t="s">
        <v>648</v>
      </c>
      <c r="C233">
        <f t="shared" si="9"/>
        <v>4</v>
      </c>
      <c r="D233" s="7">
        <f t="shared" si="10"/>
        <v>41990.400000000001</v>
      </c>
      <c r="E233">
        <f t="shared" si="11"/>
        <v>41990.400233</v>
      </c>
    </row>
    <row r="234" spans="1:5" x14ac:dyDescent="0.3">
      <c r="A234" t="s">
        <v>649</v>
      </c>
      <c r="B234" t="s">
        <v>650</v>
      </c>
      <c r="C234">
        <f t="shared" si="9"/>
        <v>3</v>
      </c>
      <c r="D234" s="7">
        <f t="shared" si="10"/>
        <v>41911.9</v>
      </c>
      <c r="E234">
        <f t="shared" si="11"/>
        <v>41911.900234000001</v>
      </c>
    </row>
    <row r="235" spans="1:5" x14ac:dyDescent="0.3">
      <c r="A235" t="s">
        <v>651</v>
      </c>
      <c r="B235" t="s">
        <v>652</v>
      </c>
      <c r="C235">
        <f t="shared" si="9"/>
        <v>6</v>
      </c>
      <c r="D235" s="7">
        <f t="shared" si="10"/>
        <v>41675.549999999996</v>
      </c>
      <c r="E235">
        <f t="shared" si="11"/>
        <v>41675.550234999995</v>
      </c>
    </row>
    <row r="236" spans="1:5" x14ac:dyDescent="0.3">
      <c r="A236" t="s">
        <v>653</v>
      </c>
      <c r="B236" t="s">
        <v>654</v>
      </c>
      <c r="C236">
        <f t="shared" si="9"/>
        <v>5</v>
      </c>
      <c r="D236" s="7">
        <f t="shared" si="10"/>
        <v>41569.649999999994</v>
      </c>
      <c r="E236">
        <f t="shared" si="11"/>
        <v>41569.650235999994</v>
      </c>
    </row>
    <row r="237" spans="1:5" x14ac:dyDescent="0.3">
      <c r="A237" t="s">
        <v>655</v>
      </c>
      <c r="B237" t="s">
        <v>656</v>
      </c>
      <c r="C237">
        <f t="shared" si="9"/>
        <v>7</v>
      </c>
      <c r="D237" s="7">
        <f t="shared" si="10"/>
        <v>41526.25</v>
      </c>
      <c r="E237">
        <f t="shared" si="11"/>
        <v>41526.250237</v>
      </c>
    </row>
    <row r="238" spans="1:5" x14ac:dyDescent="0.3">
      <c r="A238" t="s">
        <v>657</v>
      </c>
      <c r="B238" t="s">
        <v>658</v>
      </c>
      <c r="C238">
        <f t="shared" si="9"/>
        <v>6</v>
      </c>
      <c r="D238" s="7">
        <f t="shared" si="10"/>
        <v>41514.55000000001</v>
      </c>
      <c r="E238">
        <f t="shared" si="11"/>
        <v>41514.550238000011</v>
      </c>
    </row>
    <row r="239" spans="1:5" x14ac:dyDescent="0.3">
      <c r="A239" t="s">
        <v>659</v>
      </c>
      <c r="B239" t="s">
        <v>660</v>
      </c>
      <c r="C239">
        <f t="shared" si="9"/>
        <v>4</v>
      </c>
      <c r="D239" s="7">
        <f t="shared" si="10"/>
        <v>41394.199999999997</v>
      </c>
      <c r="E239">
        <f t="shared" si="11"/>
        <v>41394.200238999998</v>
      </c>
    </row>
    <row r="240" spans="1:5" x14ac:dyDescent="0.3">
      <c r="A240" t="s">
        <v>661</v>
      </c>
      <c r="B240" t="s">
        <v>662</v>
      </c>
      <c r="C240">
        <f t="shared" si="9"/>
        <v>6</v>
      </c>
      <c r="D240" s="7">
        <f t="shared" si="10"/>
        <v>41341</v>
      </c>
      <c r="E240">
        <f t="shared" si="11"/>
        <v>41341.000240000001</v>
      </c>
    </row>
    <row r="241" spans="1:5" x14ac:dyDescent="0.3">
      <c r="A241" t="s">
        <v>663</v>
      </c>
      <c r="B241" t="s">
        <v>664</v>
      </c>
      <c r="C241">
        <f t="shared" si="9"/>
        <v>7</v>
      </c>
      <c r="D241" s="7">
        <f t="shared" si="10"/>
        <v>41075.449999999997</v>
      </c>
      <c r="E241">
        <f t="shared" si="11"/>
        <v>41075.450240999999</v>
      </c>
    </row>
    <row r="242" spans="1:5" x14ac:dyDescent="0.3">
      <c r="A242" t="s">
        <v>665</v>
      </c>
      <c r="B242" t="s">
        <v>666</v>
      </c>
      <c r="C242">
        <f t="shared" si="9"/>
        <v>5</v>
      </c>
      <c r="D242" s="7">
        <f t="shared" si="10"/>
        <v>40940.949999999997</v>
      </c>
      <c r="E242">
        <f t="shared" si="11"/>
        <v>40940.950241999999</v>
      </c>
    </row>
    <row r="243" spans="1:5" x14ac:dyDescent="0.3">
      <c r="A243" t="s">
        <v>667</v>
      </c>
      <c r="B243" t="s">
        <v>668</v>
      </c>
      <c r="C243">
        <f t="shared" si="9"/>
        <v>7</v>
      </c>
      <c r="D243" s="7">
        <f t="shared" si="10"/>
        <v>40919.85</v>
      </c>
      <c r="E243">
        <f t="shared" si="11"/>
        <v>40919.850243000001</v>
      </c>
    </row>
    <row r="244" spans="1:5" x14ac:dyDescent="0.3">
      <c r="A244" t="s">
        <v>669</v>
      </c>
      <c r="B244" t="s">
        <v>670</v>
      </c>
      <c r="C244">
        <f t="shared" si="9"/>
        <v>3</v>
      </c>
      <c r="D244" s="7">
        <f t="shared" si="10"/>
        <v>40491.599999999999</v>
      </c>
      <c r="E244">
        <f t="shared" si="11"/>
        <v>40491.600244000001</v>
      </c>
    </row>
    <row r="245" spans="1:5" x14ac:dyDescent="0.3">
      <c r="A245" t="s">
        <v>671</v>
      </c>
      <c r="B245" t="s">
        <v>672</v>
      </c>
      <c r="C245">
        <f t="shared" si="9"/>
        <v>6</v>
      </c>
      <c r="D245" s="7">
        <f t="shared" si="10"/>
        <v>40220.15</v>
      </c>
      <c r="E245">
        <f t="shared" si="11"/>
        <v>40220.150245000004</v>
      </c>
    </row>
    <row r="246" spans="1:5" x14ac:dyDescent="0.3">
      <c r="A246" t="s">
        <v>673</v>
      </c>
      <c r="B246" t="s">
        <v>674</v>
      </c>
      <c r="C246">
        <f t="shared" si="9"/>
        <v>6</v>
      </c>
      <c r="D246" s="7">
        <f t="shared" si="10"/>
        <v>40189.4</v>
      </c>
      <c r="E246">
        <f t="shared" si="11"/>
        <v>40189.400246000005</v>
      </c>
    </row>
    <row r="247" spans="1:5" x14ac:dyDescent="0.3">
      <c r="A247" t="s">
        <v>675</v>
      </c>
      <c r="B247" t="s">
        <v>676</v>
      </c>
      <c r="C247">
        <f t="shared" si="9"/>
        <v>8</v>
      </c>
      <c r="D247" s="7">
        <f t="shared" si="10"/>
        <v>40160.050000000003</v>
      </c>
      <c r="E247">
        <f t="shared" si="11"/>
        <v>40160.050247000006</v>
      </c>
    </row>
    <row r="248" spans="1:5" x14ac:dyDescent="0.3">
      <c r="A248" t="s">
        <v>677</v>
      </c>
      <c r="B248" t="s">
        <v>678</v>
      </c>
      <c r="C248">
        <f t="shared" si="9"/>
        <v>4</v>
      </c>
      <c r="D248" s="7">
        <f t="shared" si="10"/>
        <v>40150.399999999994</v>
      </c>
      <c r="E248">
        <f t="shared" si="11"/>
        <v>40150.400247999991</v>
      </c>
    </row>
    <row r="249" spans="1:5" x14ac:dyDescent="0.3">
      <c r="A249" t="s">
        <v>679</v>
      </c>
      <c r="B249" t="s">
        <v>680</v>
      </c>
      <c r="C249">
        <f t="shared" si="9"/>
        <v>6</v>
      </c>
      <c r="D249" s="7">
        <f t="shared" si="10"/>
        <v>40129.199999999997</v>
      </c>
      <c r="E249">
        <f t="shared" si="11"/>
        <v>40129.200248999994</v>
      </c>
    </row>
    <row r="250" spans="1:5" x14ac:dyDescent="0.3">
      <c r="A250" t="s">
        <v>681</v>
      </c>
      <c r="B250" t="s">
        <v>682</v>
      </c>
      <c r="C250">
        <f t="shared" si="9"/>
        <v>7</v>
      </c>
      <c r="D250" s="7">
        <f t="shared" si="10"/>
        <v>40093.15</v>
      </c>
      <c r="E250">
        <f t="shared" si="11"/>
        <v>40093.150249999999</v>
      </c>
    </row>
    <row r="251" spans="1:5" x14ac:dyDescent="0.3">
      <c r="A251" t="s">
        <v>683</v>
      </c>
      <c r="B251" t="s">
        <v>684</v>
      </c>
      <c r="C251">
        <f t="shared" si="9"/>
        <v>8</v>
      </c>
      <c r="D251" s="7">
        <f t="shared" si="10"/>
        <v>39935.799999999996</v>
      </c>
      <c r="E251">
        <f t="shared" si="11"/>
        <v>39935.800250999993</v>
      </c>
    </row>
    <row r="252" spans="1:5" x14ac:dyDescent="0.3">
      <c r="A252" t="s">
        <v>685</v>
      </c>
      <c r="B252" t="s">
        <v>686</v>
      </c>
      <c r="C252">
        <f t="shared" si="9"/>
        <v>7</v>
      </c>
      <c r="D252" s="7">
        <f t="shared" si="10"/>
        <v>39724</v>
      </c>
      <c r="E252">
        <f t="shared" si="11"/>
        <v>39724.000251999998</v>
      </c>
    </row>
    <row r="253" spans="1:5" x14ac:dyDescent="0.3">
      <c r="A253" t="s">
        <v>687</v>
      </c>
      <c r="B253" t="s">
        <v>688</v>
      </c>
      <c r="C253">
        <f t="shared" si="9"/>
        <v>4</v>
      </c>
      <c r="D253" s="7">
        <f t="shared" si="10"/>
        <v>39588.550000000003</v>
      </c>
      <c r="E253">
        <f t="shared" si="11"/>
        <v>39588.550253000001</v>
      </c>
    </row>
    <row r="254" spans="1:5" x14ac:dyDescent="0.3">
      <c r="A254" t="s">
        <v>689</v>
      </c>
      <c r="B254" t="s">
        <v>690</v>
      </c>
      <c r="C254">
        <f t="shared" si="9"/>
        <v>3</v>
      </c>
      <c r="D254" s="7">
        <f t="shared" si="10"/>
        <v>39546.399999999994</v>
      </c>
      <c r="E254">
        <f t="shared" si="11"/>
        <v>39546.400253999993</v>
      </c>
    </row>
    <row r="255" spans="1:5" x14ac:dyDescent="0.3">
      <c r="A255" t="s">
        <v>691</v>
      </c>
      <c r="B255" t="s">
        <v>692</v>
      </c>
      <c r="C255">
        <f t="shared" si="9"/>
        <v>5</v>
      </c>
      <c r="D255" s="7">
        <f t="shared" si="10"/>
        <v>39287.15</v>
      </c>
      <c r="E255">
        <f t="shared" si="11"/>
        <v>39287.150255</v>
      </c>
    </row>
    <row r="256" spans="1:5" x14ac:dyDescent="0.3">
      <c r="A256" t="s">
        <v>693</v>
      </c>
      <c r="B256" t="s">
        <v>694</v>
      </c>
      <c r="C256">
        <f t="shared" si="9"/>
        <v>5</v>
      </c>
      <c r="D256" s="7">
        <f t="shared" si="10"/>
        <v>39237.050000000003</v>
      </c>
      <c r="E256">
        <f t="shared" si="11"/>
        <v>39237.050256000002</v>
      </c>
    </row>
    <row r="257" spans="1:5" x14ac:dyDescent="0.3">
      <c r="A257" t="s">
        <v>695</v>
      </c>
      <c r="B257" t="s">
        <v>696</v>
      </c>
      <c r="C257">
        <f t="shared" si="9"/>
        <v>5</v>
      </c>
      <c r="D257" s="7">
        <f t="shared" si="10"/>
        <v>39236</v>
      </c>
      <c r="E257">
        <f t="shared" si="11"/>
        <v>39236.000257</v>
      </c>
    </row>
    <row r="258" spans="1:5" x14ac:dyDescent="0.3">
      <c r="A258" t="s">
        <v>697</v>
      </c>
      <c r="B258" t="s">
        <v>698</v>
      </c>
      <c r="C258">
        <f t="shared" ref="C258:C321" si="12">COUNTIF(dCust,A258)</f>
        <v>6</v>
      </c>
      <c r="D258" s="7">
        <f t="shared" ref="D258:D321" si="13">SUMIFS(dSales,dCust,A258)</f>
        <v>39230</v>
      </c>
      <c r="E258">
        <f t="shared" ref="E258:E321" si="14">D258+ROW()/1000000</f>
        <v>39230.000258</v>
      </c>
    </row>
    <row r="259" spans="1:5" x14ac:dyDescent="0.3">
      <c r="A259" t="s">
        <v>699</v>
      </c>
      <c r="B259" t="s">
        <v>700</v>
      </c>
      <c r="C259">
        <f t="shared" si="12"/>
        <v>6</v>
      </c>
      <c r="D259" s="7">
        <f t="shared" si="13"/>
        <v>39116</v>
      </c>
      <c r="E259">
        <f t="shared" si="14"/>
        <v>39116.000259</v>
      </c>
    </row>
    <row r="260" spans="1:5" x14ac:dyDescent="0.3">
      <c r="A260" t="s">
        <v>701</v>
      </c>
      <c r="B260" t="s">
        <v>702</v>
      </c>
      <c r="C260">
        <f t="shared" si="12"/>
        <v>6</v>
      </c>
      <c r="D260" s="7">
        <f t="shared" si="13"/>
        <v>39111.050000000003</v>
      </c>
      <c r="E260">
        <f t="shared" si="14"/>
        <v>39111.050260000004</v>
      </c>
    </row>
    <row r="261" spans="1:5" x14ac:dyDescent="0.3">
      <c r="A261" t="s">
        <v>703</v>
      </c>
      <c r="B261" t="s">
        <v>704</v>
      </c>
      <c r="C261">
        <f t="shared" si="12"/>
        <v>4</v>
      </c>
      <c r="D261" s="7">
        <f t="shared" si="13"/>
        <v>38913.300000000003</v>
      </c>
      <c r="E261">
        <f t="shared" si="14"/>
        <v>38913.300261000004</v>
      </c>
    </row>
    <row r="262" spans="1:5" x14ac:dyDescent="0.3">
      <c r="A262" t="s">
        <v>705</v>
      </c>
      <c r="B262" t="s">
        <v>706</v>
      </c>
      <c r="C262">
        <f t="shared" si="12"/>
        <v>6</v>
      </c>
      <c r="D262" s="7">
        <f t="shared" si="13"/>
        <v>38837.5</v>
      </c>
      <c r="E262">
        <f t="shared" si="14"/>
        <v>38837.500262000001</v>
      </c>
    </row>
    <row r="263" spans="1:5" x14ac:dyDescent="0.3">
      <c r="A263" t="s">
        <v>707</v>
      </c>
      <c r="B263" t="s">
        <v>708</v>
      </c>
      <c r="C263">
        <f t="shared" si="12"/>
        <v>4</v>
      </c>
      <c r="D263" s="7">
        <f t="shared" si="13"/>
        <v>38836.35</v>
      </c>
      <c r="E263">
        <f t="shared" si="14"/>
        <v>38836.350263</v>
      </c>
    </row>
    <row r="264" spans="1:5" x14ac:dyDescent="0.3">
      <c r="A264" t="s">
        <v>709</v>
      </c>
      <c r="B264" t="s">
        <v>710</v>
      </c>
      <c r="C264">
        <f t="shared" si="12"/>
        <v>5</v>
      </c>
      <c r="D264" s="7">
        <f t="shared" si="13"/>
        <v>38781.700000000004</v>
      </c>
      <c r="E264">
        <f t="shared" si="14"/>
        <v>38781.700264000006</v>
      </c>
    </row>
    <row r="265" spans="1:5" x14ac:dyDescent="0.3">
      <c r="A265" t="s">
        <v>711</v>
      </c>
      <c r="B265" t="s">
        <v>712</v>
      </c>
      <c r="C265">
        <f t="shared" si="12"/>
        <v>7</v>
      </c>
      <c r="D265" s="7">
        <f t="shared" si="13"/>
        <v>38616.35</v>
      </c>
      <c r="E265">
        <f t="shared" si="14"/>
        <v>38616.350265000001</v>
      </c>
    </row>
    <row r="266" spans="1:5" x14ac:dyDescent="0.3">
      <c r="A266" t="s">
        <v>713</v>
      </c>
      <c r="B266" t="s">
        <v>714</v>
      </c>
      <c r="C266">
        <f t="shared" si="12"/>
        <v>6</v>
      </c>
      <c r="D266" s="7">
        <f t="shared" si="13"/>
        <v>38605.949999999997</v>
      </c>
      <c r="E266">
        <f t="shared" si="14"/>
        <v>38605.950266</v>
      </c>
    </row>
    <row r="267" spans="1:5" x14ac:dyDescent="0.3">
      <c r="A267" t="s">
        <v>715</v>
      </c>
      <c r="B267" t="s">
        <v>716</v>
      </c>
      <c r="C267">
        <f t="shared" si="12"/>
        <v>4</v>
      </c>
      <c r="D267" s="7">
        <f t="shared" si="13"/>
        <v>38601.300000000003</v>
      </c>
      <c r="E267">
        <f t="shared" si="14"/>
        <v>38601.300267000006</v>
      </c>
    </row>
    <row r="268" spans="1:5" x14ac:dyDescent="0.3">
      <c r="A268" t="s">
        <v>717</v>
      </c>
      <c r="B268" t="s">
        <v>718</v>
      </c>
      <c r="C268">
        <f t="shared" si="12"/>
        <v>3</v>
      </c>
      <c r="D268" s="7">
        <f t="shared" si="13"/>
        <v>38595.300000000003</v>
      </c>
      <c r="E268">
        <f t="shared" si="14"/>
        <v>38595.300268000006</v>
      </c>
    </row>
    <row r="269" spans="1:5" x14ac:dyDescent="0.3">
      <c r="A269" t="s">
        <v>719</v>
      </c>
      <c r="B269" t="s">
        <v>720</v>
      </c>
      <c r="C269">
        <f t="shared" si="12"/>
        <v>2</v>
      </c>
      <c r="D269" s="7">
        <f t="shared" si="13"/>
        <v>38576.300000000003</v>
      </c>
      <c r="E269">
        <f t="shared" si="14"/>
        <v>38576.300268999999</v>
      </c>
    </row>
    <row r="270" spans="1:5" x14ac:dyDescent="0.3">
      <c r="A270" t="s">
        <v>721</v>
      </c>
      <c r="B270" t="s">
        <v>722</v>
      </c>
      <c r="C270">
        <f t="shared" si="12"/>
        <v>8</v>
      </c>
      <c r="D270" s="7">
        <f t="shared" si="13"/>
        <v>38541.350000000006</v>
      </c>
      <c r="E270">
        <f t="shared" si="14"/>
        <v>38541.350270000003</v>
      </c>
    </row>
    <row r="271" spans="1:5" x14ac:dyDescent="0.3">
      <c r="A271" t="s">
        <v>723</v>
      </c>
      <c r="B271" t="s">
        <v>724</v>
      </c>
      <c r="C271">
        <f t="shared" si="12"/>
        <v>9</v>
      </c>
      <c r="D271" s="7">
        <f t="shared" si="13"/>
        <v>38488.85</v>
      </c>
      <c r="E271">
        <f t="shared" si="14"/>
        <v>38488.850270999996</v>
      </c>
    </row>
    <row r="272" spans="1:5" x14ac:dyDescent="0.3">
      <c r="A272" t="s">
        <v>725</v>
      </c>
      <c r="B272" t="s">
        <v>726</v>
      </c>
      <c r="C272">
        <f t="shared" si="12"/>
        <v>5</v>
      </c>
      <c r="D272" s="7">
        <f t="shared" si="13"/>
        <v>38432.400000000001</v>
      </c>
      <c r="E272">
        <f t="shared" si="14"/>
        <v>38432.400271999999</v>
      </c>
    </row>
    <row r="273" spans="1:5" x14ac:dyDescent="0.3">
      <c r="A273" t="s">
        <v>727</v>
      </c>
      <c r="B273" t="s">
        <v>728</v>
      </c>
      <c r="C273">
        <f t="shared" si="12"/>
        <v>6</v>
      </c>
      <c r="D273" s="7">
        <f t="shared" si="13"/>
        <v>38286.05000000001</v>
      </c>
      <c r="E273">
        <f t="shared" si="14"/>
        <v>38286.050273000008</v>
      </c>
    </row>
    <row r="274" spans="1:5" x14ac:dyDescent="0.3">
      <c r="A274" t="s">
        <v>729</v>
      </c>
      <c r="B274" t="s">
        <v>730</v>
      </c>
      <c r="C274">
        <f t="shared" si="12"/>
        <v>7</v>
      </c>
      <c r="D274" s="7">
        <f t="shared" si="13"/>
        <v>38275.35</v>
      </c>
      <c r="E274">
        <f t="shared" si="14"/>
        <v>38275.350273999997</v>
      </c>
    </row>
    <row r="275" spans="1:5" x14ac:dyDescent="0.3">
      <c r="A275" t="s">
        <v>731</v>
      </c>
      <c r="B275" t="s">
        <v>732</v>
      </c>
      <c r="C275">
        <f t="shared" si="12"/>
        <v>3</v>
      </c>
      <c r="D275" s="7">
        <f t="shared" si="13"/>
        <v>38223.15</v>
      </c>
      <c r="E275">
        <f t="shared" si="14"/>
        <v>38223.150275</v>
      </c>
    </row>
    <row r="276" spans="1:5" x14ac:dyDescent="0.3">
      <c r="A276" t="s">
        <v>733</v>
      </c>
      <c r="B276" t="s">
        <v>734</v>
      </c>
      <c r="C276">
        <f t="shared" si="12"/>
        <v>5</v>
      </c>
      <c r="D276" s="7">
        <f t="shared" si="13"/>
        <v>38195.699999999997</v>
      </c>
      <c r="E276">
        <f t="shared" si="14"/>
        <v>38195.700275999996</v>
      </c>
    </row>
    <row r="277" spans="1:5" x14ac:dyDescent="0.3">
      <c r="A277" t="s">
        <v>735</v>
      </c>
      <c r="B277" t="s">
        <v>736</v>
      </c>
      <c r="C277">
        <f t="shared" si="12"/>
        <v>3</v>
      </c>
      <c r="D277" s="7">
        <f t="shared" si="13"/>
        <v>38110.75</v>
      </c>
      <c r="E277">
        <f t="shared" si="14"/>
        <v>38110.750276999999</v>
      </c>
    </row>
    <row r="278" spans="1:5" x14ac:dyDescent="0.3">
      <c r="A278" t="s">
        <v>737</v>
      </c>
      <c r="B278" t="s">
        <v>738</v>
      </c>
      <c r="C278">
        <f t="shared" si="12"/>
        <v>5</v>
      </c>
      <c r="D278" s="7">
        <f t="shared" si="13"/>
        <v>38089.800000000003</v>
      </c>
      <c r="E278">
        <f t="shared" si="14"/>
        <v>38089.800278000002</v>
      </c>
    </row>
    <row r="279" spans="1:5" x14ac:dyDescent="0.3">
      <c r="A279" t="s">
        <v>739</v>
      </c>
      <c r="B279" t="s">
        <v>740</v>
      </c>
      <c r="C279">
        <f t="shared" si="12"/>
        <v>7</v>
      </c>
      <c r="D279" s="7">
        <f t="shared" si="13"/>
        <v>38064.35</v>
      </c>
      <c r="E279">
        <f t="shared" si="14"/>
        <v>38064.350278999998</v>
      </c>
    </row>
    <row r="280" spans="1:5" x14ac:dyDescent="0.3">
      <c r="A280" t="s">
        <v>741</v>
      </c>
      <c r="B280" t="s">
        <v>742</v>
      </c>
      <c r="C280">
        <f t="shared" si="12"/>
        <v>8</v>
      </c>
      <c r="D280" s="7">
        <f t="shared" si="13"/>
        <v>38060.85</v>
      </c>
      <c r="E280">
        <f t="shared" si="14"/>
        <v>38060.850279999999</v>
      </c>
    </row>
    <row r="281" spans="1:5" x14ac:dyDescent="0.3">
      <c r="A281" t="s">
        <v>743</v>
      </c>
      <c r="B281" t="s">
        <v>744</v>
      </c>
      <c r="C281">
        <f t="shared" si="12"/>
        <v>4</v>
      </c>
      <c r="D281" s="7">
        <f t="shared" si="13"/>
        <v>37995.300000000003</v>
      </c>
      <c r="E281">
        <f t="shared" si="14"/>
        <v>37995.300281000003</v>
      </c>
    </row>
    <row r="282" spans="1:5" x14ac:dyDescent="0.3">
      <c r="A282" t="s">
        <v>745</v>
      </c>
      <c r="B282" t="s">
        <v>746</v>
      </c>
      <c r="C282">
        <f t="shared" si="12"/>
        <v>5</v>
      </c>
      <c r="D282" s="7">
        <f t="shared" si="13"/>
        <v>37951.15</v>
      </c>
      <c r="E282">
        <f t="shared" si="14"/>
        <v>37951.150282000002</v>
      </c>
    </row>
    <row r="283" spans="1:5" x14ac:dyDescent="0.3">
      <c r="A283" t="s">
        <v>747</v>
      </c>
      <c r="B283" t="s">
        <v>748</v>
      </c>
      <c r="C283">
        <f t="shared" si="12"/>
        <v>6</v>
      </c>
      <c r="D283" s="7">
        <f t="shared" si="13"/>
        <v>37824.75</v>
      </c>
      <c r="E283">
        <f t="shared" si="14"/>
        <v>37824.750283000001</v>
      </c>
    </row>
    <row r="284" spans="1:5" x14ac:dyDescent="0.3">
      <c r="A284" t="s">
        <v>749</v>
      </c>
      <c r="B284" t="s">
        <v>750</v>
      </c>
      <c r="C284">
        <f t="shared" si="12"/>
        <v>5</v>
      </c>
      <c r="D284" s="7">
        <f t="shared" si="13"/>
        <v>37810.849999999991</v>
      </c>
      <c r="E284">
        <f t="shared" si="14"/>
        <v>37810.850283999993</v>
      </c>
    </row>
    <row r="285" spans="1:5" x14ac:dyDescent="0.3">
      <c r="A285" t="s">
        <v>751</v>
      </c>
      <c r="B285" t="s">
        <v>752</v>
      </c>
      <c r="C285">
        <f t="shared" si="12"/>
        <v>5</v>
      </c>
      <c r="D285" s="7">
        <f t="shared" si="13"/>
        <v>37802.9</v>
      </c>
      <c r="E285">
        <f t="shared" si="14"/>
        <v>37802.900285000003</v>
      </c>
    </row>
    <row r="286" spans="1:5" x14ac:dyDescent="0.3">
      <c r="A286" t="s">
        <v>753</v>
      </c>
      <c r="B286" t="s">
        <v>754</v>
      </c>
      <c r="C286">
        <f t="shared" si="12"/>
        <v>3</v>
      </c>
      <c r="D286" s="7">
        <f t="shared" si="13"/>
        <v>37705.550000000003</v>
      </c>
      <c r="E286">
        <f t="shared" si="14"/>
        <v>37705.550286000005</v>
      </c>
    </row>
    <row r="287" spans="1:5" x14ac:dyDescent="0.3">
      <c r="A287" t="s">
        <v>755</v>
      </c>
      <c r="B287" t="s">
        <v>756</v>
      </c>
      <c r="C287">
        <f t="shared" si="12"/>
        <v>2</v>
      </c>
      <c r="D287" s="7">
        <f t="shared" si="13"/>
        <v>37495</v>
      </c>
      <c r="E287">
        <f t="shared" si="14"/>
        <v>37495.000287000003</v>
      </c>
    </row>
    <row r="288" spans="1:5" x14ac:dyDescent="0.3">
      <c r="A288" t="s">
        <v>757</v>
      </c>
      <c r="B288" t="s">
        <v>758</v>
      </c>
      <c r="C288">
        <f t="shared" si="12"/>
        <v>5</v>
      </c>
      <c r="D288" s="7">
        <f t="shared" si="13"/>
        <v>37357.449999999997</v>
      </c>
      <c r="E288">
        <f t="shared" si="14"/>
        <v>37357.450288</v>
      </c>
    </row>
    <row r="289" spans="1:5" x14ac:dyDescent="0.3">
      <c r="A289" t="s">
        <v>759</v>
      </c>
      <c r="B289" t="s">
        <v>760</v>
      </c>
      <c r="C289">
        <f t="shared" si="12"/>
        <v>5</v>
      </c>
      <c r="D289" s="7">
        <f t="shared" si="13"/>
        <v>37350.850000000006</v>
      </c>
      <c r="E289">
        <f t="shared" si="14"/>
        <v>37350.850289000009</v>
      </c>
    </row>
    <row r="290" spans="1:5" x14ac:dyDescent="0.3">
      <c r="A290" t="s">
        <v>761</v>
      </c>
      <c r="B290" t="s">
        <v>762</v>
      </c>
      <c r="C290">
        <f t="shared" si="12"/>
        <v>5</v>
      </c>
      <c r="D290" s="7">
        <f t="shared" si="13"/>
        <v>36790.25</v>
      </c>
      <c r="E290">
        <f t="shared" si="14"/>
        <v>36790.250290000004</v>
      </c>
    </row>
    <row r="291" spans="1:5" x14ac:dyDescent="0.3">
      <c r="A291" t="s">
        <v>763</v>
      </c>
      <c r="B291" t="s">
        <v>764</v>
      </c>
      <c r="C291">
        <f t="shared" si="12"/>
        <v>7</v>
      </c>
      <c r="D291" s="7">
        <f t="shared" si="13"/>
        <v>36750.949999999997</v>
      </c>
      <c r="E291">
        <f t="shared" si="14"/>
        <v>36750.950290999994</v>
      </c>
    </row>
    <row r="292" spans="1:5" x14ac:dyDescent="0.3">
      <c r="A292" t="s">
        <v>765</v>
      </c>
      <c r="B292" t="s">
        <v>766</v>
      </c>
      <c r="C292">
        <f t="shared" si="12"/>
        <v>3</v>
      </c>
      <c r="D292" s="7">
        <f t="shared" si="13"/>
        <v>36743.5</v>
      </c>
      <c r="E292">
        <f t="shared" si="14"/>
        <v>36743.500291999997</v>
      </c>
    </row>
    <row r="293" spans="1:5" x14ac:dyDescent="0.3">
      <c r="A293" t="s">
        <v>767</v>
      </c>
      <c r="B293" t="s">
        <v>768</v>
      </c>
      <c r="C293">
        <f t="shared" si="12"/>
        <v>5</v>
      </c>
      <c r="D293" s="7">
        <f t="shared" si="13"/>
        <v>36632.6</v>
      </c>
      <c r="E293">
        <f t="shared" si="14"/>
        <v>36632.600292999996</v>
      </c>
    </row>
    <row r="294" spans="1:5" x14ac:dyDescent="0.3">
      <c r="A294" t="s">
        <v>769</v>
      </c>
      <c r="B294" t="s">
        <v>770</v>
      </c>
      <c r="C294">
        <f t="shared" si="12"/>
        <v>4</v>
      </c>
      <c r="D294" s="7">
        <f t="shared" si="13"/>
        <v>36574.35</v>
      </c>
      <c r="E294">
        <f t="shared" si="14"/>
        <v>36574.350293999996</v>
      </c>
    </row>
    <row r="295" spans="1:5" x14ac:dyDescent="0.3">
      <c r="A295" t="s">
        <v>771</v>
      </c>
      <c r="B295" t="s">
        <v>772</v>
      </c>
      <c r="C295">
        <f t="shared" si="12"/>
        <v>4</v>
      </c>
      <c r="D295" s="7">
        <f t="shared" si="13"/>
        <v>36339.699999999997</v>
      </c>
      <c r="E295">
        <f t="shared" si="14"/>
        <v>36339.700294999995</v>
      </c>
    </row>
    <row r="296" spans="1:5" x14ac:dyDescent="0.3">
      <c r="A296" t="s">
        <v>773</v>
      </c>
      <c r="B296" t="s">
        <v>774</v>
      </c>
      <c r="C296">
        <f t="shared" si="12"/>
        <v>3</v>
      </c>
      <c r="D296" s="7">
        <f t="shared" si="13"/>
        <v>36244.5</v>
      </c>
      <c r="E296">
        <f t="shared" si="14"/>
        <v>36244.500295999998</v>
      </c>
    </row>
    <row r="297" spans="1:5" x14ac:dyDescent="0.3">
      <c r="A297" t="s">
        <v>775</v>
      </c>
      <c r="B297" t="s">
        <v>776</v>
      </c>
      <c r="C297">
        <f t="shared" si="12"/>
        <v>5</v>
      </c>
      <c r="D297" s="7">
        <f t="shared" si="13"/>
        <v>36232.75</v>
      </c>
      <c r="E297">
        <f t="shared" si="14"/>
        <v>36232.750296999999</v>
      </c>
    </row>
    <row r="298" spans="1:5" x14ac:dyDescent="0.3">
      <c r="A298" t="s">
        <v>777</v>
      </c>
      <c r="B298" t="s">
        <v>778</v>
      </c>
      <c r="C298">
        <f t="shared" si="12"/>
        <v>4</v>
      </c>
      <c r="D298" s="7">
        <f t="shared" si="13"/>
        <v>36213.949999999997</v>
      </c>
      <c r="E298">
        <f t="shared" si="14"/>
        <v>36213.950297999996</v>
      </c>
    </row>
    <row r="299" spans="1:5" x14ac:dyDescent="0.3">
      <c r="A299" t="s">
        <v>779</v>
      </c>
      <c r="B299" t="s">
        <v>780</v>
      </c>
      <c r="C299">
        <f t="shared" si="12"/>
        <v>5</v>
      </c>
      <c r="D299" s="7">
        <f t="shared" si="13"/>
        <v>36178.200000000004</v>
      </c>
      <c r="E299">
        <f t="shared" si="14"/>
        <v>36178.200299000004</v>
      </c>
    </row>
    <row r="300" spans="1:5" x14ac:dyDescent="0.3">
      <c r="A300" t="s">
        <v>781</v>
      </c>
      <c r="B300" t="s">
        <v>782</v>
      </c>
      <c r="C300">
        <f t="shared" si="12"/>
        <v>5</v>
      </c>
      <c r="D300" s="7">
        <f t="shared" si="13"/>
        <v>36141</v>
      </c>
      <c r="E300">
        <f t="shared" si="14"/>
        <v>36141.0003</v>
      </c>
    </row>
    <row r="301" spans="1:5" x14ac:dyDescent="0.3">
      <c r="A301" t="s">
        <v>783</v>
      </c>
      <c r="B301" t="s">
        <v>784</v>
      </c>
      <c r="C301">
        <f t="shared" si="12"/>
        <v>5</v>
      </c>
      <c r="D301" s="7">
        <f t="shared" si="13"/>
        <v>36063.199999999997</v>
      </c>
      <c r="E301">
        <f t="shared" si="14"/>
        <v>36063.200300999997</v>
      </c>
    </row>
    <row r="302" spans="1:5" x14ac:dyDescent="0.3">
      <c r="A302" t="s">
        <v>785</v>
      </c>
      <c r="B302" t="s">
        <v>786</v>
      </c>
      <c r="C302">
        <f t="shared" si="12"/>
        <v>5</v>
      </c>
      <c r="D302" s="7">
        <f t="shared" si="13"/>
        <v>36004.700000000004</v>
      </c>
      <c r="E302">
        <f t="shared" si="14"/>
        <v>36004.700302000005</v>
      </c>
    </row>
    <row r="303" spans="1:5" x14ac:dyDescent="0.3">
      <c r="A303" t="s">
        <v>787</v>
      </c>
      <c r="B303" t="s">
        <v>788</v>
      </c>
      <c r="C303">
        <f t="shared" si="12"/>
        <v>6</v>
      </c>
      <c r="D303" s="7">
        <f t="shared" si="13"/>
        <v>35951.699999999997</v>
      </c>
      <c r="E303">
        <f t="shared" si="14"/>
        <v>35951.700302999998</v>
      </c>
    </row>
    <row r="304" spans="1:5" x14ac:dyDescent="0.3">
      <c r="A304" t="s">
        <v>789</v>
      </c>
      <c r="B304" t="s">
        <v>790</v>
      </c>
      <c r="C304">
        <f t="shared" si="12"/>
        <v>4</v>
      </c>
      <c r="D304" s="7">
        <f t="shared" si="13"/>
        <v>35888.5</v>
      </c>
      <c r="E304">
        <f t="shared" si="14"/>
        <v>35888.500304000001</v>
      </c>
    </row>
    <row r="305" spans="1:5" x14ac:dyDescent="0.3">
      <c r="A305" t="s">
        <v>791</v>
      </c>
      <c r="B305" t="s">
        <v>792</v>
      </c>
      <c r="C305">
        <f t="shared" si="12"/>
        <v>8</v>
      </c>
      <c r="D305" s="7">
        <f t="shared" si="13"/>
        <v>35827</v>
      </c>
      <c r="E305">
        <f t="shared" si="14"/>
        <v>35827.000305000001</v>
      </c>
    </row>
    <row r="306" spans="1:5" x14ac:dyDescent="0.3">
      <c r="A306" t="s">
        <v>793</v>
      </c>
      <c r="B306" t="s">
        <v>794</v>
      </c>
      <c r="C306">
        <f t="shared" si="12"/>
        <v>5</v>
      </c>
      <c r="D306" s="7">
        <f t="shared" si="13"/>
        <v>35764.5</v>
      </c>
      <c r="E306">
        <f t="shared" si="14"/>
        <v>35764.500306000002</v>
      </c>
    </row>
    <row r="307" spans="1:5" x14ac:dyDescent="0.3">
      <c r="A307" t="s">
        <v>795</v>
      </c>
      <c r="B307" t="s">
        <v>796</v>
      </c>
      <c r="C307">
        <f t="shared" si="12"/>
        <v>9</v>
      </c>
      <c r="D307" s="7">
        <f t="shared" si="13"/>
        <v>35755.65</v>
      </c>
      <c r="E307">
        <f t="shared" si="14"/>
        <v>35755.650307000004</v>
      </c>
    </row>
    <row r="308" spans="1:5" x14ac:dyDescent="0.3">
      <c r="A308" t="s">
        <v>797</v>
      </c>
      <c r="B308" t="s">
        <v>798</v>
      </c>
      <c r="C308">
        <f t="shared" si="12"/>
        <v>2</v>
      </c>
      <c r="D308" s="7">
        <f t="shared" si="13"/>
        <v>35714.1</v>
      </c>
      <c r="E308">
        <f t="shared" si="14"/>
        <v>35714.100308000001</v>
      </c>
    </row>
    <row r="309" spans="1:5" x14ac:dyDescent="0.3">
      <c r="A309" t="s">
        <v>799</v>
      </c>
      <c r="B309" t="s">
        <v>800</v>
      </c>
      <c r="C309">
        <f t="shared" si="12"/>
        <v>2</v>
      </c>
      <c r="D309" s="7">
        <f t="shared" si="13"/>
        <v>35576.5</v>
      </c>
      <c r="E309">
        <f t="shared" si="14"/>
        <v>35576.500309000003</v>
      </c>
    </row>
    <row r="310" spans="1:5" x14ac:dyDescent="0.3">
      <c r="A310" t="s">
        <v>801</v>
      </c>
      <c r="B310" t="s">
        <v>802</v>
      </c>
      <c r="C310">
        <f t="shared" si="12"/>
        <v>6</v>
      </c>
      <c r="D310" s="7">
        <f t="shared" si="13"/>
        <v>35532.35</v>
      </c>
      <c r="E310">
        <f t="shared" si="14"/>
        <v>35532.350310000002</v>
      </c>
    </row>
    <row r="311" spans="1:5" x14ac:dyDescent="0.3">
      <c r="A311" t="s">
        <v>803</v>
      </c>
      <c r="B311" t="s">
        <v>804</v>
      </c>
      <c r="C311">
        <f t="shared" si="12"/>
        <v>8</v>
      </c>
      <c r="D311" s="7">
        <f t="shared" si="13"/>
        <v>35415.9</v>
      </c>
      <c r="E311">
        <f t="shared" si="14"/>
        <v>35415.900311000005</v>
      </c>
    </row>
    <row r="312" spans="1:5" x14ac:dyDescent="0.3">
      <c r="A312" t="s">
        <v>805</v>
      </c>
      <c r="B312" t="s">
        <v>806</v>
      </c>
      <c r="C312">
        <f t="shared" si="12"/>
        <v>4</v>
      </c>
      <c r="D312" s="7">
        <f t="shared" si="13"/>
        <v>35387.65</v>
      </c>
      <c r="E312">
        <f t="shared" si="14"/>
        <v>35387.650311999998</v>
      </c>
    </row>
    <row r="313" spans="1:5" x14ac:dyDescent="0.3">
      <c r="A313" t="s">
        <v>807</v>
      </c>
      <c r="B313" t="s">
        <v>808</v>
      </c>
      <c r="C313">
        <f t="shared" si="12"/>
        <v>6</v>
      </c>
      <c r="D313" s="7">
        <f t="shared" si="13"/>
        <v>35318.550000000003</v>
      </c>
      <c r="E313">
        <f t="shared" si="14"/>
        <v>35318.550313</v>
      </c>
    </row>
    <row r="314" spans="1:5" x14ac:dyDescent="0.3">
      <c r="A314" t="s">
        <v>809</v>
      </c>
      <c r="B314" t="s">
        <v>810</v>
      </c>
      <c r="C314">
        <f t="shared" si="12"/>
        <v>3</v>
      </c>
      <c r="D314" s="7">
        <f t="shared" si="13"/>
        <v>35236.75</v>
      </c>
      <c r="E314">
        <f t="shared" si="14"/>
        <v>35236.750313999997</v>
      </c>
    </row>
    <row r="315" spans="1:5" x14ac:dyDescent="0.3">
      <c r="A315" t="s">
        <v>811</v>
      </c>
      <c r="B315" t="s">
        <v>812</v>
      </c>
      <c r="C315">
        <f t="shared" si="12"/>
        <v>7</v>
      </c>
      <c r="D315" s="7">
        <f t="shared" si="13"/>
        <v>35125.800000000003</v>
      </c>
      <c r="E315">
        <f t="shared" si="14"/>
        <v>35125.800315</v>
      </c>
    </row>
    <row r="316" spans="1:5" x14ac:dyDescent="0.3">
      <c r="A316" t="s">
        <v>813</v>
      </c>
      <c r="B316" t="s">
        <v>814</v>
      </c>
      <c r="C316">
        <f t="shared" si="12"/>
        <v>6</v>
      </c>
      <c r="D316" s="7">
        <f t="shared" si="13"/>
        <v>35086.65</v>
      </c>
      <c r="E316">
        <f t="shared" si="14"/>
        <v>35086.650315999999</v>
      </c>
    </row>
    <row r="317" spans="1:5" x14ac:dyDescent="0.3">
      <c r="A317" t="s">
        <v>815</v>
      </c>
      <c r="B317" t="s">
        <v>816</v>
      </c>
      <c r="C317">
        <f t="shared" si="12"/>
        <v>6</v>
      </c>
      <c r="D317" s="7">
        <f t="shared" si="13"/>
        <v>34968.550000000003</v>
      </c>
      <c r="E317">
        <f t="shared" si="14"/>
        <v>34968.550317000001</v>
      </c>
    </row>
    <row r="318" spans="1:5" x14ac:dyDescent="0.3">
      <c r="A318" t="s">
        <v>817</v>
      </c>
      <c r="B318" t="s">
        <v>818</v>
      </c>
      <c r="C318">
        <f t="shared" si="12"/>
        <v>6</v>
      </c>
      <c r="D318" s="7">
        <f t="shared" si="13"/>
        <v>34942.149999999994</v>
      </c>
      <c r="E318">
        <f t="shared" si="14"/>
        <v>34942.150317999993</v>
      </c>
    </row>
    <row r="319" spans="1:5" x14ac:dyDescent="0.3">
      <c r="A319" t="s">
        <v>819</v>
      </c>
      <c r="B319" t="s">
        <v>820</v>
      </c>
      <c r="C319">
        <f t="shared" si="12"/>
        <v>3</v>
      </c>
      <c r="D319" s="7">
        <f t="shared" si="13"/>
        <v>34921.800000000003</v>
      </c>
      <c r="E319">
        <f t="shared" si="14"/>
        <v>34921.800319000002</v>
      </c>
    </row>
    <row r="320" spans="1:5" x14ac:dyDescent="0.3">
      <c r="A320" t="s">
        <v>821</v>
      </c>
      <c r="B320" t="s">
        <v>822</v>
      </c>
      <c r="C320">
        <f t="shared" si="12"/>
        <v>6</v>
      </c>
      <c r="D320" s="7">
        <f t="shared" si="13"/>
        <v>34867.550000000003</v>
      </c>
      <c r="E320">
        <f t="shared" si="14"/>
        <v>34867.550320000002</v>
      </c>
    </row>
    <row r="321" spans="1:5" x14ac:dyDescent="0.3">
      <c r="A321" t="s">
        <v>823</v>
      </c>
      <c r="B321" t="s">
        <v>824</v>
      </c>
      <c r="C321">
        <f t="shared" si="12"/>
        <v>4</v>
      </c>
      <c r="D321" s="7">
        <f t="shared" si="13"/>
        <v>34738.600000000006</v>
      </c>
      <c r="E321">
        <f t="shared" si="14"/>
        <v>34738.600321000005</v>
      </c>
    </row>
    <row r="322" spans="1:5" x14ac:dyDescent="0.3">
      <c r="A322" t="s">
        <v>825</v>
      </c>
      <c r="B322" t="s">
        <v>826</v>
      </c>
      <c r="C322">
        <f t="shared" ref="C322:C385" si="15">COUNTIF(dCust,A322)</f>
        <v>2</v>
      </c>
      <c r="D322" s="7">
        <f t="shared" ref="D322:D385" si="16">SUMIFS(dSales,dCust,A322)</f>
        <v>34495.949999999997</v>
      </c>
      <c r="E322">
        <f t="shared" ref="E322:E385" si="17">D322+ROW()/1000000</f>
        <v>34495.950321999997</v>
      </c>
    </row>
    <row r="323" spans="1:5" x14ac:dyDescent="0.3">
      <c r="A323" t="s">
        <v>827</v>
      </c>
      <c r="B323" t="s">
        <v>828</v>
      </c>
      <c r="C323">
        <f t="shared" si="15"/>
        <v>5</v>
      </c>
      <c r="D323" s="7">
        <f t="shared" si="16"/>
        <v>34471.950000000004</v>
      </c>
      <c r="E323">
        <f t="shared" si="17"/>
        <v>34471.950323000005</v>
      </c>
    </row>
    <row r="324" spans="1:5" x14ac:dyDescent="0.3">
      <c r="A324" t="s">
        <v>829</v>
      </c>
      <c r="B324" t="s">
        <v>830</v>
      </c>
      <c r="C324">
        <f t="shared" si="15"/>
        <v>3</v>
      </c>
      <c r="D324" s="7">
        <f t="shared" si="16"/>
        <v>34372.5</v>
      </c>
      <c r="E324">
        <f t="shared" si="17"/>
        <v>34372.500324000001</v>
      </c>
    </row>
    <row r="325" spans="1:5" x14ac:dyDescent="0.3">
      <c r="A325" t="s">
        <v>831</v>
      </c>
      <c r="B325" t="s">
        <v>832</v>
      </c>
      <c r="C325">
        <f t="shared" si="15"/>
        <v>4</v>
      </c>
      <c r="D325" s="7">
        <f t="shared" si="16"/>
        <v>34368.199999999997</v>
      </c>
      <c r="E325">
        <f t="shared" si="17"/>
        <v>34368.200324999998</v>
      </c>
    </row>
    <row r="326" spans="1:5" x14ac:dyDescent="0.3">
      <c r="A326" t="s">
        <v>833</v>
      </c>
      <c r="B326" t="s">
        <v>834</v>
      </c>
      <c r="C326">
        <f t="shared" si="15"/>
        <v>7</v>
      </c>
      <c r="D326" s="7">
        <f t="shared" si="16"/>
        <v>34348.1</v>
      </c>
      <c r="E326">
        <f t="shared" si="17"/>
        <v>34348.100326</v>
      </c>
    </row>
    <row r="327" spans="1:5" x14ac:dyDescent="0.3">
      <c r="A327" t="s">
        <v>835</v>
      </c>
      <c r="B327" t="s">
        <v>836</v>
      </c>
      <c r="C327">
        <f t="shared" si="15"/>
        <v>4</v>
      </c>
      <c r="D327" s="7">
        <f t="shared" si="16"/>
        <v>34143.050000000003</v>
      </c>
      <c r="E327">
        <f t="shared" si="17"/>
        <v>34143.050327000004</v>
      </c>
    </row>
    <row r="328" spans="1:5" x14ac:dyDescent="0.3">
      <c r="A328" t="s">
        <v>837</v>
      </c>
      <c r="B328" t="s">
        <v>838</v>
      </c>
      <c r="C328">
        <f t="shared" si="15"/>
        <v>4</v>
      </c>
      <c r="D328" s="7">
        <f t="shared" si="16"/>
        <v>34111.199999999997</v>
      </c>
      <c r="E328">
        <f t="shared" si="17"/>
        <v>34111.200327999999</v>
      </c>
    </row>
    <row r="329" spans="1:5" x14ac:dyDescent="0.3">
      <c r="A329" t="s">
        <v>839</v>
      </c>
      <c r="B329" t="s">
        <v>840</v>
      </c>
      <c r="C329">
        <f t="shared" si="15"/>
        <v>3</v>
      </c>
      <c r="D329" s="7">
        <f t="shared" si="16"/>
        <v>34094.399999999994</v>
      </c>
      <c r="E329">
        <f t="shared" si="17"/>
        <v>34094.400328999996</v>
      </c>
    </row>
    <row r="330" spans="1:5" x14ac:dyDescent="0.3">
      <c r="A330" t="s">
        <v>841</v>
      </c>
      <c r="B330" t="s">
        <v>842</v>
      </c>
      <c r="C330">
        <f t="shared" si="15"/>
        <v>5</v>
      </c>
      <c r="D330" s="7">
        <f t="shared" si="16"/>
        <v>33928.199999999997</v>
      </c>
      <c r="E330">
        <f t="shared" si="17"/>
        <v>33928.20033</v>
      </c>
    </row>
    <row r="331" spans="1:5" x14ac:dyDescent="0.3">
      <c r="A331" t="s">
        <v>843</v>
      </c>
      <c r="B331" t="s">
        <v>844</v>
      </c>
      <c r="C331">
        <f t="shared" si="15"/>
        <v>4</v>
      </c>
      <c r="D331" s="7">
        <f t="shared" si="16"/>
        <v>33870.9</v>
      </c>
      <c r="E331">
        <f t="shared" si="17"/>
        <v>33870.900331000004</v>
      </c>
    </row>
    <row r="332" spans="1:5" x14ac:dyDescent="0.3">
      <c r="A332" t="s">
        <v>845</v>
      </c>
      <c r="B332" t="s">
        <v>846</v>
      </c>
      <c r="C332">
        <f t="shared" si="15"/>
        <v>5</v>
      </c>
      <c r="D332" s="7">
        <f t="shared" si="16"/>
        <v>33781.75</v>
      </c>
      <c r="E332">
        <f t="shared" si="17"/>
        <v>33781.750332000003</v>
      </c>
    </row>
    <row r="333" spans="1:5" x14ac:dyDescent="0.3">
      <c r="A333" t="s">
        <v>847</v>
      </c>
      <c r="B333" t="s">
        <v>848</v>
      </c>
      <c r="C333">
        <f t="shared" si="15"/>
        <v>2</v>
      </c>
      <c r="D333" s="7">
        <f t="shared" si="16"/>
        <v>33536.299999999996</v>
      </c>
      <c r="E333">
        <f t="shared" si="17"/>
        <v>33536.300332999999</v>
      </c>
    </row>
    <row r="334" spans="1:5" x14ac:dyDescent="0.3">
      <c r="A334" t="s">
        <v>849</v>
      </c>
      <c r="B334" t="s">
        <v>850</v>
      </c>
      <c r="C334">
        <f t="shared" si="15"/>
        <v>6</v>
      </c>
      <c r="D334" s="7">
        <f t="shared" si="16"/>
        <v>33338.250000000007</v>
      </c>
      <c r="E334">
        <f t="shared" si="17"/>
        <v>33338.250334000004</v>
      </c>
    </row>
    <row r="335" spans="1:5" x14ac:dyDescent="0.3">
      <c r="A335" t="s">
        <v>851</v>
      </c>
      <c r="B335" t="s">
        <v>852</v>
      </c>
      <c r="C335">
        <f t="shared" si="15"/>
        <v>6</v>
      </c>
      <c r="D335" s="7">
        <f t="shared" si="16"/>
        <v>33293.449999999997</v>
      </c>
      <c r="E335">
        <f t="shared" si="17"/>
        <v>33293.450334999994</v>
      </c>
    </row>
    <row r="336" spans="1:5" x14ac:dyDescent="0.3">
      <c r="A336" t="s">
        <v>853</v>
      </c>
      <c r="B336" t="s">
        <v>854</v>
      </c>
      <c r="C336">
        <f t="shared" si="15"/>
        <v>3</v>
      </c>
      <c r="D336" s="7">
        <f t="shared" si="16"/>
        <v>33291.199999999997</v>
      </c>
      <c r="E336">
        <f t="shared" si="17"/>
        <v>33291.200335999994</v>
      </c>
    </row>
    <row r="337" spans="1:5" x14ac:dyDescent="0.3">
      <c r="A337" t="s">
        <v>855</v>
      </c>
      <c r="B337" t="s">
        <v>856</v>
      </c>
      <c r="C337">
        <f t="shared" si="15"/>
        <v>4</v>
      </c>
      <c r="D337" s="7">
        <f t="shared" si="16"/>
        <v>33263.5</v>
      </c>
      <c r="E337">
        <f t="shared" si="17"/>
        <v>33263.500336999998</v>
      </c>
    </row>
    <row r="338" spans="1:5" x14ac:dyDescent="0.3">
      <c r="A338" t="s">
        <v>857</v>
      </c>
      <c r="B338" t="s">
        <v>858</v>
      </c>
      <c r="C338">
        <f t="shared" si="15"/>
        <v>7</v>
      </c>
      <c r="D338" s="7">
        <f t="shared" si="16"/>
        <v>33067.85</v>
      </c>
      <c r="E338">
        <f t="shared" si="17"/>
        <v>33067.850337999997</v>
      </c>
    </row>
    <row r="339" spans="1:5" x14ac:dyDescent="0.3">
      <c r="A339" t="s">
        <v>859</v>
      </c>
      <c r="B339" t="s">
        <v>860</v>
      </c>
      <c r="C339">
        <f t="shared" si="15"/>
        <v>7</v>
      </c>
      <c r="D339" s="7">
        <f t="shared" si="16"/>
        <v>32964.35</v>
      </c>
      <c r="E339">
        <f t="shared" si="17"/>
        <v>32964.350338999997</v>
      </c>
    </row>
    <row r="340" spans="1:5" x14ac:dyDescent="0.3">
      <c r="A340" t="s">
        <v>861</v>
      </c>
      <c r="B340" t="s">
        <v>862</v>
      </c>
      <c r="C340">
        <f t="shared" si="15"/>
        <v>3</v>
      </c>
      <c r="D340" s="7">
        <f t="shared" si="16"/>
        <v>32919.550000000003</v>
      </c>
      <c r="E340">
        <f t="shared" si="17"/>
        <v>32919.550340000002</v>
      </c>
    </row>
    <row r="341" spans="1:5" x14ac:dyDescent="0.3">
      <c r="A341" t="s">
        <v>863</v>
      </c>
      <c r="B341" t="s">
        <v>864</v>
      </c>
      <c r="C341">
        <f t="shared" si="15"/>
        <v>4</v>
      </c>
      <c r="D341" s="7">
        <f t="shared" si="16"/>
        <v>32883.899999999994</v>
      </c>
      <c r="E341">
        <f t="shared" si="17"/>
        <v>32883.900340999993</v>
      </c>
    </row>
    <row r="342" spans="1:5" x14ac:dyDescent="0.3">
      <c r="A342" t="s">
        <v>865</v>
      </c>
      <c r="B342" t="s">
        <v>866</v>
      </c>
      <c r="C342">
        <f t="shared" si="15"/>
        <v>3</v>
      </c>
      <c r="D342" s="7">
        <f t="shared" si="16"/>
        <v>32637.45</v>
      </c>
      <c r="E342">
        <f t="shared" si="17"/>
        <v>32637.450342</v>
      </c>
    </row>
    <row r="343" spans="1:5" x14ac:dyDescent="0.3">
      <c r="A343" t="s">
        <v>867</v>
      </c>
      <c r="B343" t="s">
        <v>868</v>
      </c>
      <c r="C343">
        <f t="shared" si="15"/>
        <v>7</v>
      </c>
      <c r="D343" s="7">
        <f t="shared" si="16"/>
        <v>32461.100000000002</v>
      </c>
      <c r="E343">
        <f t="shared" si="17"/>
        <v>32461.100343000002</v>
      </c>
    </row>
    <row r="344" spans="1:5" x14ac:dyDescent="0.3">
      <c r="A344" t="s">
        <v>869</v>
      </c>
      <c r="B344" t="s">
        <v>870</v>
      </c>
      <c r="C344">
        <f t="shared" si="15"/>
        <v>7</v>
      </c>
      <c r="D344" s="7">
        <f t="shared" si="16"/>
        <v>32454.300000000003</v>
      </c>
      <c r="E344">
        <f t="shared" si="17"/>
        <v>32454.300344000003</v>
      </c>
    </row>
    <row r="345" spans="1:5" x14ac:dyDescent="0.3">
      <c r="A345" t="s">
        <v>871</v>
      </c>
      <c r="B345" t="s">
        <v>872</v>
      </c>
      <c r="C345">
        <f t="shared" si="15"/>
        <v>8</v>
      </c>
      <c r="D345" s="7">
        <f t="shared" si="16"/>
        <v>32401.599999999999</v>
      </c>
      <c r="E345">
        <f t="shared" si="17"/>
        <v>32401.600344999999</v>
      </c>
    </row>
    <row r="346" spans="1:5" x14ac:dyDescent="0.3">
      <c r="A346" t="s">
        <v>873</v>
      </c>
      <c r="B346" t="s">
        <v>874</v>
      </c>
      <c r="C346">
        <f t="shared" si="15"/>
        <v>3</v>
      </c>
      <c r="D346" s="7">
        <f t="shared" si="16"/>
        <v>32304.25</v>
      </c>
      <c r="E346">
        <f t="shared" si="17"/>
        <v>32304.250346000001</v>
      </c>
    </row>
    <row r="347" spans="1:5" x14ac:dyDescent="0.3">
      <c r="A347" t="s">
        <v>875</v>
      </c>
      <c r="B347" t="s">
        <v>876</v>
      </c>
      <c r="C347">
        <f t="shared" si="15"/>
        <v>4</v>
      </c>
      <c r="D347" s="7">
        <f t="shared" si="16"/>
        <v>32296.799999999999</v>
      </c>
      <c r="E347">
        <f t="shared" si="17"/>
        <v>32296.800347</v>
      </c>
    </row>
    <row r="348" spans="1:5" x14ac:dyDescent="0.3">
      <c r="A348" t="s">
        <v>877</v>
      </c>
      <c r="B348" t="s">
        <v>878</v>
      </c>
      <c r="C348">
        <f t="shared" si="15"/>
        <v>6</v>
      </c>
      <c r="D348" s="7">
        <f t="shared" si="16"/>
        <v>32290.15</v>
      </c>
      <c r="E348">
        <f t="shared" si="17"/>
        <v>32290.150348000003</v>
      </c>
    </row>
    <row r="349" spans="1:5" x14ac:dyDescent="0.3">
      <c r="A349" t="s">
        <v>879</v>
      </c>
      <c r="B349" t="s">
        <v>880</v>
      </c>
      <c r="C349">
        <f t="shared" si="15"/>
        <v>4</v>
      </c>
      <c r="D349" s="7">
        <f t="shared" si="16"/>
        <v>32241.399999999998</v>
      </c>
      <c r="E349">
        <f t="shared" si="17"/>
        <v>32241.400349</v>
      </c>
    </row>
    <row r="350" spans="1:5" x14ac:dyDescent="0.3">
      <c r="A350" t="s">
        <v>881</v>
      </c>
      <c r="B350" t="s">
        <v>882</v>
      </c>
      <c r="C350">
        <f t="shared" si="15"/>
        <v>5</v>
      </c>
      <c r="D350" s="7">
        <f t="shared" si="16"/>
        <v>32178.449999999997</v>
      </c>
      <c r="E350">
        <f t="shared" si="17"/>
        <v>32178.450349999996</v>
      </c>
    </row>
    <row r="351" spans="1:5" x14ac:dyDescent="0.3">
      <c r="A351" t="s">
        <v>883</v>
      </c>
      <c r="B351" t="s">
        <v>884</v>
      </c>
      <c r="C351">
        <f t="shared" si="15"/>
        <v>3</v>
      </c>
      <c r="D351" s="7">
        <f t="shared" si="16"/>
        <v>32106.35</v>
      </c>
      <c r="E351">
        <f t="shared" si="17"/>
        <v>32106.350350999997</v>
      </c>
    </row>
    <row r="352" spans="1:5" x14ac:dyDescent="0.3">
      <c r="A352" t="s">
        <v>885</v>
      </c>
      <c r="B352" t="s">
        <v>886</v>
      </c>
      <c r="C352">
        <f t="shared" si="15"/>
        <v>5</v>
      </c>
      <c r="D352" s="7">
        <f t="shared" si="16"/>
        <v>32057.65</v>
      </c>
      <c r="E352">
        <f t="shared" si="17"/>
        <v>32057.650352000001</v>
      </c>
    </row>
    <row r="353" spans="1:5" x14ac:dyDescent="0.3">
      <c r="A353" t="s">
        <v>887</v>
      </c>
      <c r="B353" t="s">
        <v>888</v>
      </c>
      <c r="C353">
        <f t="shared" si="15"/>
        <v>7</v>
      </c>
      <c r="D353" s="7">
        <f t="shared" si="16"/>
        <v>32033.200000000001</v>
      </c>
      <c r="E353">
        <f t="shared" si="17"/>
        <v>32033.200353</v>
      </c>
    </row>
    <row r="354" spans="1:5" x14ac:dyDescent="0.3">
      <c r="A354" t="s">
        <v>889</v>
      </c>
      <c r="B354" t="s">
        <v>890</v>
      </c>
      <c r="C354">
        <f t="shared" si="15"/>
        <v>4</v>
      </c>
      <c r="D354" s="7">
        <f t="shared" si="16"/>
        <v>32013.999999999996</v>
      </c>
      <c r="E354">
        <f t="shared" si="17"/>
        <v>32014.000353999996</v>
      </c>
    </row>
    <row r="355" spans="1:5" x14ac:dyDescent="0.3">
      <c r="A355" t="s">
        <v>891</v>
      </c>
      <c r="B355" t="s">
        <v>892</v>
      </c>
      <c r="C355">
        <f t="shared" si="15"/>
        <v>6</v>
      </c>
      <c r="D355" s="7">
        <f t="shared" si="16"/>
        <v>31990.649999999998</v>
      </c>
      <c r="E355">
        <f t="shared" si="17"/>
        <v>31990.650354999998</v>
      </c>
    </row>
    <row r="356" spans="1:5" x14ac:dyDescent="0.3">
      <c r="A356" t="s">
        <v>893</v>
      </c>
      <c r="B356" t="s">
        <v>894</v>
      </c>
      <c r="C356">
        <f t="shared" si="15"/>
        <v>7</v>
      </c>
      <c r="D356" s="7">
        <f t="shared" si="16"/>
        <v>31918.899999999998</v>
      </c>
      <c r="E356">
        <f t="shared" si="17"/>
        <v>31918.900355999998</v>
      </c>
    </row>
    <row r="357" spans="1:5" x14ac:dyDescent="0.3">
      <c r="A357" t="s">
        <v>895</v>
      </c>
      <c r="B357" t="s">
        <v>896</v>
      </c>
      <c r="C357">
        <f t="shared" si="15"/>
        <v>5</v>
      </c>
      <c r="D357" s="7">
        <f t="shared" si="16"/>
        <v>31401.699999999997</v>
      </c>
      <c r="E357">
        <f t="shared" si="17"/>
        <v>31401.700356999998</v>
      </c>
    </row>
    <row r="358" spans="1:5" x14ac:dyDescent="0.3">
      <c r="A358" t="s">
        <v>897</v>
      </c>
      <c r="B358" t="s">
        <v>898</v>
      </c>
      <c r="C358">
        <f t="shared" si="15"/>
        <v>4</v>
      </c>
      <c r="D358" s="7">
        <f t="shared" si="16"/>
        <v>31386.449999999997</v>
      </c>
      <c r="E358">
        <f t="shared" si="17"/>
        <v>31386.450357999998</v>
      </c>
    </row>
    <row r="359" spans="1:5" x14ac:dyDescent="0.3">
      <c r="A359" t="s">
        <v>899</v>
      </c>
      <c r="B359" t="s">
        <v>900</v>
      </c>
      <c r="C359">
        <f t="shared" si="15"/>
        <v>5</v>
      </c>
      <c r="D359" s="7">
        <f t="shared" si="16"/>
        <v>31360.05</v>
      </c>
      <c r="E359">
        <f t="shared" si="17"/>
        <v>31360.050359000001</v>
      </c>
    </row>
    <row r="360" spans="1:5" x14ac:dyDescent="0.3">
      <c r="A360" t="s">
        <v>901</v>
      </c>
      <c r="B360" t="s">
        <v>902</v>
      </c>
      <c r="C360">
        <f t="shared" si="15"/>
        <v>8</v>
      </c>
      <c r="D360" s="7">
        <f t="shared" si="16"/>
        <v>31200.400000000001</v>
      </c>
      <c r="E360">
        <f t="shared" si="17"/>
        <v>31200.40036</v>
      </c>
    </row>
    <row r="361" spans="1:5" x14ac:dyDescent="0.3">
      <c r="A361" t="s">
        <v>903</v>
      </c>
      <c r="B361" t="s">
        <v>904</v>
      </c>
      <c r="C361">
        <f t="shared" si="15"/>
        <v>5</v>
      </c>
      <c r="D361" s="7">
        <f t="shared" si="16"/>
        <v>31189.4</v>
      </c>
      <c r="E361">
        <f t="shared" si="17"/>
        <v>31189.400361</v>
      </c>
    </row>
    <row r="362" spans="1:5" x14ac:dyDescent="0.3">
      <c r="A362" t="s">
        <v>905</v>
      </c>
      <c r="B362" t="s">
        <v>906</v>
      </c>
      <c r="C362">
        <f t="shared" si="15"/>
        <v>7</v>
      </c>
      <c r="D362" s="7">
        <f t="shared" si="16"/>
        <v>31121.1</v>
      </c>
      <c r="E362">
        <f t="shared" si="17"/>
        <v>31121.100361999997</v>
      </c>
    </row>
    <row r="363" spans="1:5" x14ac:dyDescent="0.3">
      <c r="A363" t="s">
        <v>907</v>
      </c>
      <c r="B363" t="s">
        <v>908</v>
      </c>
      <c r="C363">
        <f t="shared" si="15"/>
        <v>6</v>
      </c>
      <c r="D363" s="7">
        <f t="shared" si="16"/>
        <v>31083.649999999998</v>
      </c>
      <c r="E363">
        <f t="shared" si="17"/>
        <v>31083.650362999997</v>
      </c>
    </row>
    <row r="364" spans="1:5" x14ac:dyDescent="0.3">
      <c r="A364" t="s">
        <v>909</v>
      </c>
      <c r="B364" t="s">
        <v>910</v>
      </c>
      <c r="C364">
        <f t="shared" si="15"/>
        <v>4</v>
      </c>
      <c r="D364" s="7">
        <f t="shared" si="16"/>
        <v>31041.45</v>
      </c>
      <c r="E364">
        <f t="shared" si="17"/>
        <v>31041.450364</v>
      </c>
    </row>
    <row r="365" spans="1:5" x14ac:dyDescent="0.3">
      <c r="A365" t="s">
        <v>911</v>
      </c>
      <c r="B365" t="s">
        <v>912</v>
      </c>
      <c r="C365">
        <f t="shared" si="15"/>
        <v>6</v>
      </c>
      <c r="D365" s="7">
        <f t="shared" si="16"/>
        <v>31006.450000000004</v>
      </c>
      <c r="E365">
        <f t="shared" si="17"/>
        <v>31006.450365000004</v>
      </c>
    </row>
    <row r="366" spans="1:5" x14ac:dyDescent="0.3">
      <c r="A366" t="s">
        <v>913</v>
      </c>
      <c r="B366" t="s">
        <v>914</v>
      </c>
      <c r="C366">
        <f t="shared" si="15"/>
        <v>5</v>
      </c>
      <c r="D366" s="7">
        <f t="shared" si="16"/>
        <v>30992.449999999997</v>
      </c>
      <c r="E366">
        <f t="shared" si="17"/>
        <v>30992.450365999997</v>
      </c>
    </row>
    <row r="367" spans="1:5" x14ac:dyDescent="0.3">
      <c r="A367" t="s">
        <v>915</v>
      </c>
      <c r="B367" t="s">
        <v>916</v>
      </c>
      <c r="C367">
        <f t="shared" si="15"/>
        <v>7</v>
      </c>
      <c r="D367" s="7">
        <f t="shared" si="16"/>
        <v>30715.5</v>
      </c>
      <c r="E367">
        <f t="shared" si="17"/>
        <v>30715.500367000001</v>
      </c>
    </row>
    <row r="368" spans="1:5" x14ac:dyDescent="0.3">
      <c r="A368" t="s">
        <v>917</v>
      </c>
      <c r="B368" t="s">
        <v>918</v>
      </c>
      <c r="C368">
        <f t="shared" si="15"/>
        <v>4</v>
      </c>
      <c r="D368" s="7">
        <f t="shared" si="16"/>
        <v>30493</v>
      </c>
      <c r="E368">
        <f t="shared" si="17"/>
        <v>30493.000368000001</v>
      </c>
    </row>
    <row r="369" spans="1:5" x14ac:dyDescent="0.3">
      <c r="A369" t="s">
        <v>919</v>
      </c>
      <c r="B369" t="s">
        <v>920</v>
      </c>
      <c r="C369">
        <f t="shared" si="15"/>
        <v>6</v>
      </c>
      <c r="D369" s="7">
        <f t="shared" si="16"/>
        <v>30428.15</v>
      </c>
      <c r="E369">
        <f t="shared" si="17"/>
        <v>30428.150369000003</v>
      </c>
    </row>
    <row r="370" spans="1:5" x14ac:dyDescent="0.3">
      <c r="A370" t="s">
        <v>921</v>
      </c>
      <c r="B370" t="s">
        <v>922</v>
      </c>
      <c r="C370">
        <f t="shared" si="15"/>
        <v>6</v>
      </c>
      <c r="D370" s="7">
        <f t="shared" si="16"/>
        <v>30397.050000000003</v>
      </c>
      <c r="E370">
        <f t="shared" si="17"/>
        <v>30397.050370000004</v>
      </c>
    </row>
    <row r="371" spans="1:5" x14ac:dyDescent="0.3">
      <c r="A371" t="s">
        <v>923</v>
      </c>
      <c r="B371" t="s">
        <v>924</v>
      </c>
      <c r="C371">
        <f t="shared" si="15"/>
        <v>5</v>
      </c>
      <c r="D371" s="7">
        <f t="shared" si="16"/>
        <v>30363.4</v>
      </c>
      <c r="E371">
        <f t="shared" si="17"/>
        <v>30363.400371</v>
      </c>
    </row>
    <row r="372" spans="1:5" x14ac:dyDescent="0.3">
      <c r="A372" t="s">
        <v>925</v>
      </c>
      <c r="B372" t="s">
        <v>926</v>
      </c>
      <c r="C372">
        <f t="shared" si="15"/>
        <v>6</v>
      </c>
      <c r="D372" s="7">
        <f t="shared" si="16"/>
        <v>30353.599999999999</v>
      </c>
      <c r="E372">
        <f t="shared" si="17"/>
        <v>30353.600371999997</v>
      </c>
    </row>
    <row r="373" spans="1:5" x14ac:dyDescent="0.3">
      <c r="A373" t="s">
        <v>927</v>
      </c>
      <c r="B373" t="s">
        <v>928</v>
      </c>
      <c r="C373">
        <f t="shared" si="15"/>
        <v>3</v>
      </c>
      <c r="D373" s="7">
        <f t="shared" si="16"/>
        <v>30323.9</v>
      </c>
      <c r="E373">
        <f t="shared" si="17"/>
        <v>30323.900373</v>
      </c>
    </row>
    <row r="374" spans="1:5" x14ac:dyDescent="0.3">
      <c r="A374" t="s">
        <v>929</v>
      </c>
      <c r="B374" t="s">
        <v>930</v>
      </c>
      <c r="C374">
        <f t="shared" si="15"/>
        <v>7</v>
      </c>
      <c r="D374" s="7">
        <f t="shared" si="16"/>
        <v>30251.7</v>
      </c>
      <c r="E374">
        <f t="shared" si="17"/>
        <v>30251.700374</v>
      </c>
    </row>
    <row r="375" spans="1:5" x14ac:dyDescent="0.3">
      <c r="A375" t="s">
        <v>931</v>
      </c>
      <c r="B375" t="s">
        <v>932</v>
      </c>
      <c r="C375">
        <f t="shared" si="15"/>
        <v>8</v>
      </c>
      <c r="D375" s="7">
        <f t="shared" si="16"/>
        <v>30239.75</v>
      </c>
      <c r="E375">
        <f t="shared" si="17"/>
        <v>30239.750375</v>
      </c>
    </row>
    <row r="376" spans="1:5" x14ac:dyDescent="0.3">
      <c r="A376" t="s">
        <v>933</v>
      </c>
      <c r="B376" t="s">
        <v>934</v>
      </c>
      <c r="C376">
        <f t="shared" si="15"/>
        <v>5</v>
      </c>
      <c r="D376" s="7">
        <f t="shared" si="16"/>
        <v>30229.95</v>
      </c>
      <c r="E376">
        <f t="shared" si="17"/>
        <v>30229.950376000001</v>
      </c>
    </row>
    <row r="377" spans="1:5" x14ac:dyDescent="0.3">
      <c r="A377" t="s">
        <v>935</v>
      </c>
      <c r="B377" t="s">
        <v>936</v>
      </c>
      <c r="C377">
        <f t="shared" si="15"/>
        <v>7</v>
      </c>
      <c r="D377" s="7">
        <f t="shared" si="16"/>
        <v>30163</v>
      </c>
      <c r="E377">
        <f t="shared" si="17"/>
        <v>30163.000377</v>
      </c>
    </row>
    <row r="378" spans="1:5" x14ac:dyDescent="0.3">
      <c r="A378" t="s">
        <v>937</v>
      </c>
      <c r="B378" t="s">
        <v>938</v>
      </c>
      <c r="C378">
        <f t="shared" si="15"/>
        <v>4</v>
      </c>
      <c r="D378" s="7">
        <f t="shared" si="16"/>
        <v>30128.150000000005</v>
      </c>
      <c r="E378">
        <f t="shared" si="17"/>
        <v>30128.150378000006</v>
      </c>
    </row>
    <row r="379" spans="1:5" x14ac:dyDescent="0.3">
      <c r="A379" t="s">
        <v>939</v>
      </c>
      <c r="B379" t="s">
        <v>940</v>
      </c>
      <c r="C379">
        <f t="shared" si="15"/>
        <v>7</v>
      </c>
      <c r="D379" s="7">
        <f t="shared" si="16"/>
        <v>29996.5</v>
      </c>
      <c r="E379">
        <f t="shared" si="17"/>
        <v>29996.500379000001</v>
      </c>
    </row>
    <row r="380" spans="1:5" x14ac:dyDescent="0.3">
      <c r="A380" t="s">
        <v>941</v>
      </c>
      <c r="B380" t="s">
        <v>942</v>
      </c>
      <c r="C380">
        <f t="shared" si="15"/>
        <v>3</v>
      </c>
      <c r="D380" s="7">
        <f t="shared" si="16"/>
        <v>29944.5</v>
      </c>
      <c r="E380">
        <f t="shared" si="17"/>
        <v>29944.500380000001</v>
      </c>
    </row>
    <row r="381" spans="1:5" x14ac:dyDescent="0.3">
      <c r="A381" t="s">
        <v>943</v>
      </c>
      <c r="B381" t="s">
        <v>944</v>
      </c>
      <c r="C381">
        <f t="shared" si="15"/>
        <v>4</v>
      </c>
      <c r="D381" s="7">
        <f t="shared" si="16"/>
        <v>29866.65</v>
      </c>
      <c r="E381">
        <f t="shared" si="17"/>
        <v>29866.650381000003</v>
      </c>
    </row>
    <row r="382" spans="1:5" x14ac:dyDescent="0.3">
      <c r="A382" t="s">
        <v>945</v>
      </c>
      <c r="B382" t="s">
        <v>946</v>
      </c>
      <c r="C382">
        <f t="shared" si="15"/>
        <v>4</v>
      </c>
      <c r="D382" s="7">
        <f t="shared" si="16"/>
        <v>29815.05</v>
      </c>
      <c r="E382">
        <f t="shared" si="17"/>
        <v>29815.050381999998</v>
      </c>
    </row>
    <row r="383" spans="1:5" x14ac:dyDescent="0.3">
      <c r="A383" t="s">
        <v>947</v>
      </c>
      <c r="B383" t="s">
        <v>948</v>
      </c>
      <c r="C383">
        <f t="shared" si="15"/>
        <v>3</v>
      </c>
      <c r="D383" s="7">
        <f t="shared" si="16"/>
        <v>29793.300000000003</v>
      </c>
      <c r="E383">
        <f t="shared" si="17"/>
        <v>29793.300383000002</v>
      </c>
    </row>
    <row r="384" spans="1:5" x14ac:dyDescent="0.3">
      <c r="A384" t="s">
        <v>949</v>
      </c>
      <c r="B384" t="s">
        <v>950</v>
      </c>
      <c r="C384">
        <f t="shared" si="15"/>
        <v>6</v>
      </c>
      <c r="D384" s="7">
        <f t="shared" si="16"/>
        <v>29756.200000000004</v>
      </c>
      <c r="E384">
        <f t="shared" si="17"/>
        <v>29756.200384000003</v>
      </c>
    </row>
    <row r="385" spans="1:5" x14ac:dyDescent="0.3">
      <c r="A385" t="s">
        <v>951</v>
      </c>
      <c r="B385" t="s">
        <v>952</v>
      </c>
      <c r="C385">
        <f t="shared" si="15"/>
        <v>3</v>
      </c>
      <c r="D385" s="7">
        <f t="shared" si="16"/>
        <v>29723.8</v>
      </c>
      <c r="E385">
        <f t="shared" si="17"/>
        <v>29723.800384999999</v>
      </c>
    </row>
    <row r="386" spans="1:5" x14ac:dyDescent="0.3">
      <c r="A386" t="s">
        <v>953</v>
      </c>
      <c r="B386" t="s">
        <v>954</v>
      </c>
      <c r="C386">
        <f t="shared" ref="C386:C449" si="18">COUNTIF(dCust,A386)</f>
        <v>7</v>
      </c>
      <c r="D386" s="7">
        <f t="shared" ref="D386:D449" si="19">SUMIFS(dSales,dCust,A386)</f>
        <v>29605.100000000002</v>
      </c>
      <c r="E386">
        <f t="shared" ref="E386:E449" si="20">D386+ROW()/1000000</f>
        <v>29605.100386000002</v>
      </c>
    </row>
    <row r="387" spans="1:5" x14ac:dyDescent="0.3">
      <c r="A387" t="s">
        <v>955</v>
      </c>
      <c r="B387" t="s">
        <v>956</v>
      </c>
      <c r="C387">
        <f t="shared" si="18"/>
        <v>4</v>
      </c>
      <c r="D387" s="7">
        <f t="shared" si="19"/>
        <v>29509.899999999998</v>
      </c>
      <c r="E387">
        <f t="shared" si="20"/>
        <v>29509.900386999998</v>
      </c>
    </row>
    <row r="388" spans="1:5" x14ac:dyDescent="0.3">
      <c r="A388" t="s">
        <v>957</v>
      </c>
      <c r="B388" t="s">
        <v>958</v>
      </c>
      <c r="C388">
        <f t="shared" si="18"/>
        <v>8</v>
      </c>
      <c r="D388" s="7">
        <f t="shared" si="19"/>
        <v>29503.75</v>
      </c>
      <c r="E388">
        <f t="shared" si="20"/>
        <v>29503.750388</v>
      </c>
    </row>
    <row r="389" spans="1:5" x14ac:dyDescent="0.3">
      <c r="A389" t="s">
        <v>959</v>
      </c>
      <c r="B389" t="s">
        <v>960</v>
      </c>
      <c r="C389">
        <f t="shared" si="18"/>
        <v>7</v>
      </c>
      <c r="D389" s="7">
        <f t="shared" si="19"/>
        <v>29469.449999999997</v>
      </c>
      <c r="E389">
        <f t="shared" si="20"/>
        <v>29469.450388999998</v>
      </c>
    </row>
    <row r="390" spans="1:5" x14ac:dyDescent="0.3">
      <c r="A390" t="s">
        <v>961</v>
      </c>
      <c r="B390" t="s">
        <v>962</v>
      </c>
      <c r="C390">
        <f t="shared" si="18"/>
        <v>6</v>
      </c>
      <c r="D390" s="7">
        <f t="shared" si="19"/>
        <v>29403.3</v>
      </c>
      <c r="E390">
        <f t="shared" si="20"/>
        <v>29403.30039</v>
      </c>
    </row>
    <row r="391" spans="1:5" x14ac:dyDescent="0.3">
      <c r="A391" t="s">
        <v>963</v>
      </c>
      <c r="B391" t="s">
        <v>964</v>
      </c>
      <c r="C391">
        <f t="shared" si="18"/>
        <v>4</v>
      </c>
      <c r="D391" s="7">
        <f t="shared" si="19"/>
        <v>29287.3</v>
      </c>
      <c r="E391">
        <f t="shared" si="20"/>
        <v>29287.300391000001</v>
      </c>
    </row>
    <row r="392" spans="1:5" x14ac:dyDescent="0.3">
      <c r="A392" t="s">
        <v>965</v>
      </c>
      <c r="B392" t="s">
        <v>966</v>
      </c>
      <c r="C392">
        <f t="shared" si="18"/>
        <v>5</v>
      </c>
      <c r="D392" s="7">
        <f t="shared" si="19"/>
        <v>29267.8</v>
      </c>
      <c r="E392">
        <f t="shared" si="20"/>
        <v>29267.800392000001</v>
      </c>
    </row>
    <row r="393" spans="1:5" x14ac:dyDescent="0.3">
      <c r="A393" t="s">
        <v>967</v>
      </c>
      <c r="B393" t="s">
        <v>968</v>
      </c>
      <c r="C393">
        <f t="shared" si="18"/>
        <v>3</v>
      </c>
      <c r="D393" s="7">
        <f t="shared" si="19"/>
        <v>29230.75</v>
      </c>
      <c r="E393">
        <f t="shared" si="20"/>
        <v>29230.750392999998</v>
      </c>
    </row>
    <row r="394" spans="1:5" x14ac:dyDescent="0.3">
      <c r="A394" t="s">
        <v>969</v>
      </c>
      <c r="B394" t="s">
        <v>970</v>
      </c>
      <c r="C394">
        <f t="shared" si="18"/>
        <v>3</v>
      </c>
      <c r="D394" s="7">
        <f t="shared" si="19"/>
        <v>29191.599999999999</v>
      </c>
      <c r="E394">
        <f t="shared" si="20"/>
        <v>29191.600393999997</v>
      </c>
    </row>
    <row r="395" spans="1:5" x14ac:dyDescent="0.3">
      <c r="A395" t="s">
        <v>971</v>
      </c>
      <c r="B395" t="s">
        <v>972</v>
      </c>
      <c r="C395">
        <f t="shared" si="18"/>
        <v>3</v>
      </c>
      <c r="D395" s="7">
        <f t="shared" si="19"/>
        <v>29142.05</v>
      </c>
      <c r="E395">
        <f t="shared" si="20"/>
        <v>29142.050394999998</v>
      </c>
    </row>
    <row r="396" spans="1:5" x14ac:dyDescent="0.3">
      <c r="A396" t="s">
        <v>973</v>
      </c>
      <c r="B396" t="s">
        <v>974</v>
      </c>
      <c r="C396">
        <f t="shared" si="18"/>
        <v>6</v>
      </c>
      <c r="D396" s="7">
        <f t="shared" si="19"/>
        <v>29133.299999999996</v>
      </c>
      <c r="E396">
        <f t="shared" si="20"/>
        <v>29133.300395999995</v>
      </c>
    </row>
    <row r="397" spans="1:5" x14ac:dyDescent="0.3">
      <c r="A397" t="s">
        <v>975</v>
      </c>
      <c r="B397" t="s">
        <v>976</v>
      </c>
      <c r="C397">
        <f t="shared" si="18"/>
        <v>7</v>
      </c>
      <c r="D397" s="7">
        <f t="shared" si="19"/>
        <v>29130.85</v>
      </c>
      <c r="E397">
        <f t="shared" si="20"/>
        <v>29130.850396999998</v>
      </c>
    </row>
    <row r="398" spans="1:5" x14ac:dyDescent="0.3">
      <c r="A398" t="s">
        <v>977</v>
      </c>
      <c r="B398" t="s">
        <v>978</v>
      </c>
      <c r="C398">
        <f t="shared" si="18"/>
        <v>8</v>
      </c>
      <c r="D398" s="7">
        <f t="shared" si="19"/>
        <v>29080.9</v>
      </c>
      <c r="E398">
        <f t="shared" si="20"/>
        <v>29080.900398000002</v>
      </c>
    </row>
    <row r="399" spans="1:5" x14ac:dyDescent="0.3">
      <c r="A399" t="s">
        <v>979</v>
      </c>
      <c r="B399" t="s">
        <v>980</v>
      </c>
      <c r="C399">
        <f t="shared" si="18"/>
        <v>5</v>
      </c>
      <c r="D399" s="7">
        <f t="shared" si="19"/>
        <v>29037.15</v>
      </c>
      <c r="E399">
        <f t="shared" si="20"/>
        <v>29037.150399000002</v>
      </c>
    </row>
    <row r="400" spans="1:5" x14ac:dyDescent="0.3">
      <c r="A400" t="s">
        <v>981</v>
      </c>
      <c r="B400" t="s">
        <v>982</v>
      </c>
      <c r="C400">
        <f t="shared" si="18"/>
        <v>7</v>
      </c>
      <c r="D400" s="7">
        <f t="shared" si="19"/>
        <v>28962.300000000003</v>
      </c>
      <c r="E400">
        <f t="shared" si="20"/>
        <v>28962.300400000004</v>
      </c>
    </row>
    <row r="401" spans="1:5" x14ac:dyDescent="0.3">
      <c r="A401" t="s">
        <v>983</v>
      </c>
      <c r="B401" t="s">
        <v>984</v>
      </c>
      <c r="C401">
        <f t="shared" si="18"/>
        <v>5</v>
      </c>
      <c r="D401" s="7">
        <f t="shared" si="19"/>
        <v>28932.25</v>
      </c>
      <c r="E401">
        <f t="shared" si="20"/>
        <v>28932.250401000001</v>
      </c>
    </row>
    <row r="402" spans="1:5" x14ac:dyDescent="0.3">
      <c r="A402" t="s">
        <v>985</v>
      </c>
      <c r="B402" t="s">
        <v>986</v>
      </c>
      <c r="C402">
        <f t="shared" si="18"/>
        <v>6</v>
      </c>
      <c r="D402" s="7">
        <f t="shared" si="19"/>
        <v>28893.949999999997</v>
      </c>
      <c r="E402">
        <f t="shared" si="20"/>
        <v>28893.950401999999</v>
      </c>
    </row>
    <row r="403" spans="1:5" x14ac:dyDescent="0.3">
      <c r="A403" t="s">
        <v>987</v>
      </c>
      <c r="B403" t="s">
        <v>988</v>
      </c>
      <c r="C403">
        <f t="shared" si="18"/>
        <v>3</v>
      </c>
      <c r="D403" s="7">
        <f t="shared" si="19"/>
        <v>28809.899999999998</v>
      </c>
      <c r="E403">
        <f t="shared" si="20"/>
        <v>28809.900402999996</v>
      </c>
    </row>
    <row r="404" spans="1:5" x14ac:dyDescent="0.3">
      <c r="A404" t="s">
        <v>989</v>
      </c>
      <c r="B404" t="s">
        <v>990</v>
      </c>
      <c r="C404">
        <f t="shared" si="18"/>
        <v>5</v>
      </c>
      <c r="D404" s="7">
        <f t="shared" si="19"/>
        <v>28641.3</v>
      </c>
      <c r="E404">
        <f t="shared" si="20"/>
        <v>28641.300403999998</v>
      </c>
    </row>
    <row r="405" spans="1:5" x14ac:dyDescent="0.3">
      <c r="A405" t="s">
        <v>991</v>
      </c>
      <c r="B405" t="s">
        <v>992</v>
      </c>
      <c r="C405">
        <f t="shared" si="18"/>
        <v>6</v>
      </c>
      <c r="D405" s="7">
        <f t="shared" si="19"/>
        <v>28542.35</v>
      </c>
      <c r="E405">
        <f t="shared" si="20"/>
        <v>28542.350404999997</v>
      </c>
    </row>
    <row r="406" spans="1:5" x14ac:dyDescent="0.3">
      <c r="A406" t="s">
        <v>993</v>
      </c>
      <c r="B406" t="s">
        <v>994</v>
      </c>
      <c r="C406">
        <f t="shared" si="18"/>
        <v>4</v>
      </c>
      <c r="D406" s="7">
        <f t="shared" si="19"/>
        <v>28508.05</v>
      </c>
      <c r="E406">
        <f t="shared" si="20"/>
        <v>28508.050405999998</v>
      </c>
    </row>
    <row r="407" spans="1:5" x14ac:dyDescent="0.3">
      <c r="A407" t="s">
        <v>995</v>
      </c>
      <c r="B407" t="s">
        <v>996</v>
      </c>
      <c r="C407">
        <f t="shared" si="18"/>
        <v>4</v>
      </c>
      <c r="D407" s="7">
        <f t="shared" si="19"/>
        <v>28505.85</v>
      </c>
      <c r="E407">
        <f t="shared" si="20"/>
        <v>28505.850406999998</v>
      </c>
    </row>
    <row r="408" spans="1:5" x14ac:dyDescent="0.3">
      <c r="A408" t="s">
        <v>997</v>
      </c>
      <c r="B408" t="s">
        <v>998</v>
      </c>
      <c r="C408">
        <f t="shared" si="18"/>
        <v>4</v>
      </c>
      <c r="D408" s="7">
        <f t="shared" si="19"/>
        <v>28491.45</v>
      </c>
      <c r="E408">
        <f t="shared" si="20"/>
        <v>28491.450408000001</v>
      </c>
    </row>
    <row r="409" spans="1:5" x14ac:dyDescent="0.3">
      <c r="A409" t="s">
        <v>999</v>
      </c>
      <c r="B409" t="s">
        <v>1000</v>
      </c>
      <c r="C409">
        <f t="shared" si="18"/>
        <v>5</v>
      </c>
      <c r="D409" s="7">
        <f t="shared" si="19"/>
        <v>28487.699999999997</v>
      </c>
      <c r="E409">
        <f t="shared" si="20"/>
        <v>28487.700408999997</v>
      </c>
    </row>
    <row r="410" spans="1:5" x14ac:dyDescent="0.3">
      <c r="A410" t="s">
        <v>1001</v>
      </c>
      <c r="B410" t="s">
        <v>1002</v>
      </c>
      <c r="C410">
        <f t="shared" si="18"/>
        <v>3</v>
      </c>
      <c r="D410" s="7">
        <f t="shared" si="19"/>
        <v>28435.5</v>
      </c>
      <c r="E410">
        <f t="shared" si="20"/>
        <v>28435.500410000001</v>
      </c>
    </row>
    <row r="411" spans="1:5" x14ac:dyDescent="0.3">
      <c r="A411" t="s">
        <v>1003</v>
      </c>
      <c r="B411" t="s">
        <v>1004</v>
      </c>
      <c r="C411">
        <f t="shared" si="18"/>
        <v>3</v>
      </c>
      <c r="D411" s="7">
        <f t="shared" si="19"/>
        <v>28344.399999999998</v>
      </c>
      <c r="E411">
        <f t="shared" si="20"/>
        <v>28344.400410999999</v>
      </c>
    </row>
    <row r="412" spans="1:5" x14ac:dyDescent="0.3">
      <c r="A412" t="s">
        <v>1005</v>
      </c>
      <c r="B412" t="s">
        <v>1006</v>
      </c>
      <c r="C412">
        <f t="shared" si="18"/>
        <v>6</v>
      </c>
      <c r="D412" s="7">
        <f t="shared" si="19"/>
        <v>28339.35</v>
      </c>
      <c r="E412">
        <f t="shared" si="20"/>
        <v>28339.350412</v>
      </c>
    </row>
    <row r="413" spans="1:5" x14ac:dyDescent="0.3">
      <c r="A413" t="s">
        <v>1007</v>
      </c>
      <c r="B413" t="s">
        <v>1008</v>
      </c>
      <c r="C413">
        <f t="shared" si="18"/>
        <v>7</v>
      </c>
      <c r="D413" s="7">
        <f t="shared" si="19"/>
        <v>28254.15</v>
      </c>
      <c r="E413">
        <f t="shared" si="20"/>
        <v>28254.150413000003</v>
      </c>
    </row>
    <row r="414" spans="1:5" x14ac:dyDescent="0.3">
      <c r="A414" t="s">
        <v>1009</v>
      </c>
      <c r="B414" t="s">
        <v>1010</v>
      </c>
      <c r="C414">
        <f t="shared" si="18"/>
        <v>5</v>
      </c>
      <c r="D414" s="7">
        <f t="shared" si="19"/>
        <v>28238.45</v>
      </c>
      <c r="E414">
        <f t="shared" si="20"/>
        <v>28238.450413999999</v>
      </c>
    </row>
    <row r="415" spans="1:5" x14ac:dyDescent="0.3">
      <c r="A415" t="s">
        <v>1011</v>
      </c>
      <c r="B415" t="s">
        <v>1012</v>
      </c>
      <c r="C415">
        <f t="shared" si="18"/>
        <v>7</v>
      </c>
      <c r="D415" s="7">
        <f t="shared" si="19"/>
        <v>28214.400000000001</v>
      </c>
      <c r="E415">
        <f t="shared" si="20"/>
        <v>28214.400415</v>
      </c>
    </row>
    <row r="416" spans="1:5" x14ac:dyDescent="0.3">
      <c r="A416" t="s">
        <v>1013</v>
      </c>
      <c r="B416" t="s">
        <v>1014</v>
      </c>
      <c r="C416">
        <f t="shared" si="18"/>
        <v>2</v>
      </c>
      <c r="D416" s="7">
        <f t="shared" si="19"/>
        <v>28197.1</v>
      </c>
      <c r="E416">
        <f t="shared" si="20"/>
        <v>28197.100415999997</v>
      </c>
    </row>
    <row r="417" spans="1:5" x14ac:dyDescent="0.3">
      <c r="A417" t="s">
        <v>1015</v>
      </c>
      <c r="B417" t="s">
        <v>1016</v>
      </c>
      <c r="C417">
        <f t="shared" si="18"/>
        <v>6</v>
      </c>
      <c r="D417" s="7">
        <f t="shared" si="19"/>
        <v>28170.150000000005</v>
      </c>
      <c r="E417">
        <f t="shared" si="20"/>
        <v>28170.150417000004</v>
      </c>
    </row>
    <row r="418" spans="1:5" x14ac:dyDescent="0.3">
      <c r="A418" t="s">
        <v>1017</v>
      </c>
      <c r="B418" t="s">
        <v>1018</v>
      </c>
      <c r="C418">
        <f t="shared" si="18"/>
        <v>7</v>
      </c>
      <c r="D418" s="7">
        <f t="shared" si="19"/>
        <v>28154.249999999996</v>
      </c>
      <c r="E418">
        <f t="shared" si="20"/>
        <v>28154.250417999996</v>
      </c>
    </row>
    <row r="419" spans="1:5" x14ac:dyDescent="0.3">
      <c r="A419" t="s">
        <v>1019</v>
      </c>
      <c r="B419" t="s">
        <v>1020</v>
      </c>
      <c r="C419">
        <f t="shared" si="18"/>
        <v>5</v>
      </c>
      <c r="D419" s="7">
        <f t="shared" si="19"/>
        <v>28127.75</v>
      </c>
      <c r="E419">
        <f t="shared" si="20"/>
        <v>28127.750419</v>
      </c>
    </row>
    <row r="420" spans="1:5" x14ac:dyDescent="0.3">
      <c r="A420" t="s">
        <v>1021</v>
      </c>
      <c r="B420" t="s">
        <v>1022</v>
      </c>
      <c r="C420">
        <f t="shared" si="18"/>
        <v>2</v>
      </c>
      <c r="D420" s="7">
        <f t="shared" si="19"/>
        <v>28124.5</v>
      </c>
      <c r="E420">
        <f t="shared" si="20"/>
        <v>28124.50042</v>
      </c>
    </row>
    <row r="421" spans="1:5" x14ac:dyDescent="0.3">
      <c r="A421" t="s">
        <v>1023</v>
      </c>
      <c r="B421" t="s">
        <v>1024</v>
      </c>
      <c r="C421">
        <f t="shared" si="18"/>
        <v>5</v>
      </c>
      <c r="D421" s="7">
        <f t="shared" si="19"/>
        <v>28004.25</v>
      </c>
      <c r="E421">
        <f t="shared" si="20"/>
        <v>28004.250421000001</v>
      </c>
    </row>
    <row r="422" spans="1:5" x14ac:dyDescent="0.3">
      <c r="A422" t="s">
        <v>1025</v>
      </c>
      <c r="B422" t="s">
        <v>1026</v>
      </c>
      <c r="C422">
        <f t="shared" si="18"/>
        <v>5</v>
      </c>
      <c r="D422" s="7">
        <f t="shared" si="19"/>
        <v>27995.95</v>
      </c>
      <c r="E422">
        <f t="shared" si="20"/>
        <v>27995.950422000002</v>
      </c>
    </row>
    <row r="423" spans="1:5" x14ac:dyDescent="0.3">
      <c r="A423" t="s">
        <v>1027</v>
      </c>
      <c r="B423" t="s">
        <v>1028</v>
      </c>
      <c r="C423">
        <f t="shared" si="18"/>
        <v>4</v>
      </c>
      <c r="D423" s="7">
        <f t="shared" si="19"/>
        <v>27895.3</v>
      </c>
      <c r="E423">
        <f t="shared" si="20"/>
        <v>27895.300423000001</v>
      </c>
    </row>
    <row r="424" spans="1:5" x14ac:dyDescent="0.3">
      <c r="A424" t="s">
        <v>1029</v>
      </c>
      <c r="B424" t="s">
        <v>1030</v>
      </c>
      <c r="C424">
        <f t="shared" si="18"/>
        <v>6</v>
      </c>
      <c r="D424" s="7">
        <f t="shared" si="19"/>
        <v>27885.049999999996</v>
      </c>
      <c r="E424">
        <f t="shared" si="20"/>
        <v>27885.050423999997</v>
      </c>
    </row>
    <row r="425" spans="1:5" x14ac:dyDescent="0.3">
      <c r="A425" t="s">
        <v>1031</v>
      </c>
      <c r="B425" t="s">
        <v>1032</v>
      </c>
      <c r="C425">
        <f t="shared" si="18"/>
        <v>4</v>
      </c>
      <c r="D425" s="7">
        <f t="shared" si="19"/>
        <v>27870.400000000001</v>
      </c>
      <c r="E425">
        <f t="shared" si="20"/>
        <v>27870.400425</v>
      </c>
    </row>
    <row r="426" spans="1:5" x14ac:dyDescent="0.3">
      <c r="A426" t="s">
        <v>1033</v>
      </c>
      <c r="B426" t="s">
        <v>1034</v>
      </c>
      <c r="C426">
        <f t="shared" si="18"/>
        <v>6</v>
      </c>
      <c r="D426" s="7">
        <f t="shared" si="19"/>
        <v>27749.600000000006</v>
      </c>
      <c r="E426">
        <f t="shared" si="20"/>
        <v>27749.600426000005</v>
      </c>
    </row>
    <row r="427" spans="1:5" x14ac:dyDescent="0.3">
      <c r="A427" t="s">
        <v>1035</v>
      </c>
      <c r="B427" t="s">
        <v>1036</v>
      </c>
      <c r="C427">
        <f t="shared" si="18"/>
        <v>4</v>
      </c>
      <c r="D427" s="7">
        <f t="shared" si="19"/>
        <v>27708.3</v>
      </c>
      <c r="E427">
        <f t="shared" si="20"/>
        <v>27708.300426999998</v>
      </c>
    </row>
    <row r="428" spans="1:5" x14ac:dyDescent="0.3">
      <c r="A428" t="s">
        <v>1037</v>
      </c>
      <c r="B428" t="s">
        <v>1038</v>
      </c>
      <c r="C428">
        <f t="shared" si="18"/>
        <v>3</v>
      </c>
      <c r="D428" s="7">
        <f t="shared" si="19"/>
        <v>27615.45</v>
      </c>
      <c r="E428">
        <f t="shared" si="20"/>
        <v>27615.450428</v>
      </c>
    </row>
    <row r="429" spans="1:5" x14ac:dyDescent="0.3">
      <c r="A429" t="s">
        <v>1039</v>
      </c>
      <c r="B429" t="s">
        <v>1040</v>
      </c>
      <c r="C429">
        <f t="shared" si="18"/>
        <v>6</v>
      </c>
      <c r="D429" s="7">
        <f t="shared" si="19"/>
        <v>27599.35</v>
      </c>
      <c r="E429">
        <f t="shared" si="20"/>
        <v>27599.350428999998</v>
      </c>
    </row>
    <row r="430" spans="1:5" x14ac:dyDescent="0.3">
      <c r="A430" t="s">
        <v>1041</v>
      </c>
      <c r="B430" t="s">
        <v>1042</v>
      </c>
      <c r="C430">
        <f t="shared" si="18"/>
        <v>3</v>
      </c>
      <c r="D430" s="7">
        <f t="shared" si="19"/>
        <v>27592.799999999999</v>
      </c>
      <c r="E430">
        <f t="shared" si="20"/>
        <v>27592.800429999999</v>
      </c>
    </row>
    <row r="431" spans="1:5" x14ac:dyDescent="0.3">
      <c r="A431" t="s">
        <v>1043</v>
      </c>
      <c r="B431" t="s">
        <v>1044</v>
      </c>
      <c r="C431">
        <f t="shared" si="18"/>
        <v>4</v>
      </c>
      <c r="D431" s="7">
        <f t="shared" si="19"/>
        <v>27591.7</v>
      </c>
      <c r="E431">
        <f t="shared" si="20"/>
        <v>27591.700431000001</v>
      </c>
    </row>
    <row r="432" spans="1:5" x14ac:dyDescent="0.3">
      <c r="A432" t="s">
        <v>1045</v>
      </c>
      <c r="B432" t="s">
        <v>1046</v>
      </c>
      <c r="C432">
        <f t="shared" si="18"/>
        <v>6</v>
      </c>
      <c r="D432" s="7">
        <f t="shared" si="19"/>
        <v>27507.799999999996</v>
      </c>
      <c r="E432">
        <f t="shared" si="20"/>
        <v>27507.800431999996</v>
      </c>
    </row>
    <row r="433" spans="1:5" x14ac:dyDescent="0.3">
      <c r="A433" t="s">
        <v>1047</v>
      </c>
      <c r="B433" t="s">
        <v>1048</v>
      </c>
      <c r="C433">
        <f t="shared" si="18"/>
        <v>5</v>
      </c>
      <c r="D433" s="7">
        <f t="shared" si="19"/>
        <v>27481.4</v>
      </c>
      <c r="E433">
        <f t="shared" si="20"/>
        <v>27481.400433000003</v>
      </c>
    </row>
    <row r="434" spans="1:5" x14ac:dyDescent="0.3">
      <c r="A434" t="s">
        <v>1049</v>
      </c>
      <c r="B434" t="s">
        <v>1050</v>
      </c>
      <c r="C434">
        <f t="shared" si="18"/>
        <v>7</v>
      </c>
      <c r="D434" s="7">
        <f t="shared" si="19"/>
        <v>27391.75</v>
      </c>
      <c r="E434">
        <f t="shared" si="20"/>
        <v>27391.750434000001</v>
      </c>
    </row>
    <row r="435" spans="1:5" x14ac:dyDescent="0.3">
      <c r="A435" t="s">
        <v>1051</v>
      </c>
      <c r="B435" t="s">
        <v>1052</v>
      </c>
      <c r="C435">
        <f t="shared" si="18"/>
        <v>6</v>
      </c>
      <c r="D435" s="7">
        <f t="shared" si="19"/>
        <v>27331.3</v>
      </c>
      <c r="E435">
        <f t="shared" si="20"/>
        <v>27331.300435000001</v>
      </c>
    </row>
    <row r="436" spans="1:5" x14ac:dyDescent="0.3">
      <c r="A436" t="s">
        <v>1053</v>
      </c>
      <c r="B436" t="s">
        <v>1054</v>
      </c>
      <c r="C436">
        <f t="shared" si="18"/>
        <v>4</v>
      </c>
      <c r="D436" s="7">
        <f t="shared" si="19"/>
        <v>27320.449999999997</v>
      </c>
      <c r="E436">
        <f t="shared" si="20"/>
        <v>27320.450435999996</v>
      </c>
    </row>
    <row r="437" spans="1:5" x14ac:dyDescent="0.3">
      <c r="A437" t="s">
        <v>1055</v>
      </c>
      <c r="B437" t="s">
        <v>1056</v>
      </c>
      <c r="C437">
        <f t="shared" si="18"/>
        <v>5</v>
      </c>
      <c r="D437" s="7">
        <f t="shared" si="19"/>
        <v>27269.650000000005</v>
      </c>
      <c r="E437">
        <f t="shared" si="20"/>
        <v>27269.650437000004</v>
      </c>
    </row>
    <row r="438" spans="1:5" x14ac:dyDescent="0.3">
      <c r="A438" t="s">
        <v>1057</v>
      </c>
      <c r="B438" t="s">
        <v>1058</v>
      </c>
      <c r="C438">
        <f t="shared" si="18"/>
        <v>2</v>
      </c>
      <c r="D438" s="7">
        <f t="shared" si="19"/>
        <v>27197.45</v>
      </c>
      <c r="E438">
        <f t="shared" si="20"/>
        <v>27197.450438</v>
      </c>
    </row>
    <row r="439" spans="1:5" x14ac:dyDescent="0.3">
      <c r="A439" t="s">
        <v>1059</v>
      </c>
      <c r="B439" t="s">
        <v>1060</v>
      </c>
      <c r="C439">
        <f t="shared" si="18"/>
        <v>4</v>
      </c>
      <c r="D439" s="7">
        <f t="shared" si="19"/>
        <v>27168.400000000001</v>
      </c>
      <c r="E439">
        <f t="shared" si="20"/>
        <v>27168.400439000001</v>
      </c>
    </row>
    <row r="440" spans="1:5" x14ac:dyDescent="0.3">
      <c r="A440" t="s">
        <v>1061</v>
      </c>
      <c r="B440" t="s">
        <v>1062</v>
      </c>
      <c r="C440">
        <f t="shared" si="18"/>
        <v>6</v>
      </c>
      <c r="D440" s="7">
        <f t="shared" si="19"/>
        <v>27127.149999999998</v>
      </c>
      <c r="E440">
        <f t="shared" si="20"/>
        <v>27127.150439999998</v>
      </c>
    </row>
    <row r="441" spans="1:5" x14ac:dyDescent="0.3">
      <c r="A441" t="s">
        <v>1063</v>
      </c>
      <c r="B441" t="s">
        <v>1064</v>
      </c>
      <c r="C441">
        <f t="shared" si="18"/>
        <v>4</v>
      </c>
      <c r="D441" s="7">
        <f t="shared" si="19"/>
        <v>27116.25</v>
      </c>
      <c r="E441">
        <f t="shared" si="20"/>
        <v>27116.250441</v>
      </c>
    </row>
    <row r="442" spans="1:5" x14ac:dyDescent="0.3">
      <c r="A442" t="s">
        <v>1065</v>
      </c>
      <c r="B442" t="s">
        <v>1066</v>
      </c>
      <c r="C442">
        <f t="shared" si="18"/>
        <v>5</v>
      </c>
      <c r="D442" s="7">
        <f t="shared" si="19"/>
        <v>26966.2</v>
      </c>
      <c r="E442">
        <f t="shared" si="20"/>
        <v>26966.200442000001</v>
      </c>
    </row>
    <row r="443" spans="1:5" x14ac:dyDescent="0.3">
      <c r="A443" t="s">
        <v>1067</v>
      </c>
      <c r="B443" t="s">
        <v>1068</v>
      </c>
      <c r="C443">
        <f t="shared" si="18"/>
        <v>2</v>
      </c>
      <c r="D443" s="7">
        <f t="shared" si="19"/>
        <v>26947.35</v>
      </c>
      <c r="E443">
        <f t="shared" si="20"/>
        <v>26947.350442999999</v>
      </c>
    </row>
    <row r="444" spans="1:5" x14ac:dyDescent="0.3">
      <c r="A444" t="s">
        <v>1069</v>
      </c>
      <c r="B444" t="s">
        <v>1070</v>
      </c>
      <c r="C444">
        <f t="shared" si="18"/>
        <v>5</v>
      </c>
      <c r="D444" s="7">
        <f t="shared" si="19"/>
        <v>26920.100000000002</v>
      </c>
      <c r="E444">
        <f t="shared" si="20"/>
        <v>26920.100444000003</v>
      </c>
    </row>
    <row r="445" spans="1:5" x14ac:dyDescent="0.3">
      <c r="A445" t="s">
        <v>1071</v>
      </c>
      <c r="B445" t="s">
        <v>1072</v>
      </c>
      <c r="C445">
        <f t="shared" si="18"/>
        <v>4</v>
      </c>
      <c r="D445" s="7">
        <f t="shared" si="19"/>
        <v>26892.1</v>
      </c>
      <c r="E445">
        <f t="shared" si="20"/>
        <v>26892.100445</v>
      </c>
    </row>
    <row r="446" spans="1:5" x14ac:dyDescent="0.3">
      <c r="A446" t="s">
        <v>1073</v>
      </c>
      <c r="B446" t="s">
        <v>1074</v>
      </c>
      <c r="C446">
        <f t="shared" si="18"/>
        <v>6</v>
      </c>
      <c r="D446" s="7">
        <f t="shared" si="19"/>
        <v>26886.700000000004</v>
      </c>
      <c r="E446">
        <f t="shared" si="20"/>
        <v>26886.700446000003</v>
      </c>
    </row>
    <row r="447" spans="1:5" x14ac:dyDescent="0.3">
      <c r="A447" t="s">
        <v>1075</v>
      </c>
      <c r="B447" t="s">
        <v>1076</v>
      </c>
      <c r="C447">
        <f t="shared" si="18"/>
        <v>4</v>
      </c>
      <c r="D447" s="7">
        <f t="shared" si="19"/>
        <v>26703.600000000002</v>
      </c>
      <c r="E447">
        <f t="shared" si="20"/>
        <v>26703.600447000001</v>
      </c>
    </row>
    <row r="448" spans="1:5" x14ac:dyDescent="0.3">
      <c r="A448" t="s">
        <v>1077</v>
      </c>
      <c r="B448" t="s">
        <v>1078</v>
      </c>
      <c r="C448">
        <f t="shared" si="18"/>
        <v>3</v>
      </c>
      <c r="D448" s="7">
        <f t="shared" si="19"/>
        <v>26645.05</v>
      </c>
      <c r="E448">
        <f t="shared" si="20"/>
        <v>26645.050447999998</v>
      </c>
    </row>
    <row r="449" spans="1:5" x14ac:dyDescent="0.3">
      <c r="A449" t="s">
        <v>1079</v>
      </c>
      <c r="B449" t="s">
        <v>1080</v>
      </c>
      <c r="C449">
        <f t="shared" si="18"/>
        <v>6</v>
      </c>
      <c r="D449" s="7">
        <f t="shared" si="19"/>
        <v>26568</v>
      </c>
      <c r="E449">
        <f t="shared" si="20"/>
        <v>26568.000448999999</v>
      </c>
    </row>
    <row r="450" spans="1:5" x14ac:dyDescent="0.3">
      <c r="A450" t="s">
        <v>1081</v>
      </c>
      <c r="B450" t="s">
        <v>1082</v>
      </c>
      <c r="C450">
        <f t="shared" ref="C450:C513" si="21">COUNTIF(dCust,A450)</f>
        <v>4</v>
      </c>
      <c r="D450" s="7">
        <f t="shared" ref="D450:D513" si="22">SUMIFS(dSales,dCust,A450)</f>
        <v>26542.799999999999</v>
      </c>
      <c r="E450">
        <f t="shared" ref="E450:E513" si="23">D450+ROW()/1000000</f>
        <v>26542.800449999999</v>
      </c>
    </row>
    <row r="451" spans="1:5" x14ac:dyDescent="0.3">
      <c r="A451" t="s">
        <v>1083</v>
      </c>
      <c r="B451" t="s">
        <v>1084</v>
      </c>
      <c r="C451">
        <f t="shared" si="21"/>
        <v>4</v>
      </c>
      <c r="D451" s="7">
        <f t="shared" si="22"/>
        <v>26503.95</v>
      </c>
      <c r="E451">
        <f t="shared" si="23"/>
        <v>26503.950451000001</v>
      </c>
    </row>
    <row r="452" spans="1:5" x14ac:dyDescent="0.3">
      <c r="A452" t="s">
        <v>1085</v>
      </c>
      <c r="B452" t="s">
        <v>1086</v>
      </c>
      <c r="C452">
        <f t="shared" si="21"/>
        <v>4</v>
      </c>
      <c r="D452" s="7">
        <f t="shared" si="22"/>
        <v>26490</v>
      </c>
      <c r="E452">
        <f t="shared" si="23"/>
        <v>26490.000452</v>
      </c>
    </row>
    <row r="453" spans="1:5" x14ac:dyDescent="0.3">
      <c r="A453" t="s">
        <v>1087</v>
      </c>
      <c r="B453" t="s">
        <v>1088</v>
      </c>
      <c r="C453">
        <f t="shared" si="21"/>
        <v>6</v>
      </c>
      <c r="D453" s="7">
        <f t="shared" si="22"/>
        <v>26388.899999999998</v>
      </c>
      <c r="E453">
        <f t="shared" si="23"/>
        <v>26388.900452999998</v>
      </c>
    </row>
    <row r="454" spans="1:5" x14ac:dyDescent="0.3">
      <c r="A454" t="s">
        <v>1089</v>
      </c>
      <c r="B454" t="s">
        <v>1090</v>
      </c>
      <c r="C454">
        <f t="shared" si="21"/>
        <v>5</v>
      </c>
      <c r="D454" s="7">
        <f t="shared" si="22"/>
        <v>26335.8</v>
      </c>
      <c r="E454">
        <f t="shared" si="23"/>
        <v>26335.800454</v>
      </c>
    </row>
    <row r="455" spans="1:5" x14ac:dyDescent="0.3">
      <c r="A455" t="s">
        <v>1091</v>
      </c>
      <c r="B455" t="s">
        <v>1092</v>
      </c>
      <c r="C455">
        <f t="shared" si="21"/>
        <v>4</v>
      </c>
      <c r="D455" s="7">
        <f t="shared" si="22"/>
        <v>26333.5</v>
      </c>
      <c r="E455">
        <f t="shared" si="23"/>
        <v>26333.500455000001</v>
      </c>
    </row>
    <row r="456" spans="1:5" x14ac:dyDescent="0.3">
      <c r="A456" t="s">
        <v>1093</v>
      </c>
      <c r="B456" t="s">
        <v>1094</v>
      </c>
      <c r="C456">
        <f t="shared" si="21"/>
        <v>4</v>
      </c>
      <c r="D456" s="7">
        <f t="shared" si="22"/>
        <v>26291.8</v>
      </c>
      <c r="E456">
        <f t="shared" si="23"/>
        <v>26291.800456000001</v>
      </c>
    </row>
    <row r="457" spans="1:5" x14ac:dyDescent="0.3">
      <c r="A457" t="s">
        <v>1095</v>
      </c>
      <c r="B457" t="s">
        <v>1096</v>
      </c>
      <c r="C457">
        <f t="shared" si="21"/>
        <v>3</v>
      </c>
      <c r="D457" s="7">
        <f t="shared" si="22"/>
        <v>26245.25</v>
      </c>
      <c r="E457">
        <f t="shared" si="23"/>
        <v>26245.250456999998</v>
      </c>
    </row>
    <row r="458" spans="1:5" x14ac:dyDescent="0.3">
      <c r="A458" t="s">
        <v>1097</v>
      </c>
      <c r="B458" t="s">
        <v>1098</v>
      </c>
      <c r="C458">
        <f t="shared" si="21"/>
        <v>4</v>
      </c>
      <c r="D458" s="7">
        <f t="shared" si="22"/>
        <v>26227.3</v>
      </c>
      <c r="E458">
        <f t="shared" si="23"/>
        <v>26227.300457999998</v>
      </c>
    </row>
    <row r="459" spans="1:5" x14ac:dyDescent="0.3">
      <c r="A459" t="s">
        <v>1099</v>
      </c>
      <c r="B459" t="s">
        <v>1100</v>
      </c>
      <c r="C459">
        <f t="shared" si="21"/>
        <v>3</v>
      </c>
      <c r="D459" s="7">
        <f t="shared" si="22"/>
        <v>26155.7</v>
      </c>
      <c r="E459">
        <f t="shared" si="23"/>
        <v>26155.700459</v>
      </c>
    </row>
    <row r="460" spans="1:5" x14ac:dyDescent="0.3">
      <c r="A460" t="s">
        <v>1101</v>
      </c>
      <c r="B460" t="s">
        <v>1102</v>
      </c>
      <c r="C460">
        <f t="shared" si="21"/>
        <v>7</v>
      </c>
      <c r="D460" s="7">
        <f t="shared" si="22"/>
        <v>26147.149999999998</v>
      </c>
      <c r="E460">
        <f t="shared" si="23"/>
        <v>26147.150459999997</v>
      </c>
    </row>
    <row r="461" spans="1:5" x14ac:dyDescent="0.3">
      <c r="A461" t="s">
        <v>1103</v>
      </c>
      <c r="B461" t="s">
        <v>1104</v>
      </c>
      <c r="C461">
        <f t="shared" si="21"/>
        <v>3</v>
      </c>
      <c r="D461" s="7">
        <f t="shared" si="22"/>
        <v>26136.3</v>
      </c>
      <c r="E461">
        <f t="shared" si="23"/>
        <v>26136.300460999999</v>
      </c>
    </row>
    <row r="462" spans="1:5" x14ac:dyDescent="0.3">
      <c r="A462" t="s">
        <v>1105</v>
      </c>
      <c r="B462" t="s">
        <v>1106</v>
      </c>
      <c r="C462">
        <f t="shared" si="21"/>
        <v>4</v>
      </c>
      <c r="D462" s="7">
        <f t="shared" si="22"/>
        <v>26134.25</v>
      </c>
      <c r="E462">
        <f t="shared" si="23"/>
        <v>26134.250462</v>
      </c>
    </row>
    <row r="463" spans="1:5" x14ac:dyDescent="0.3">
      <c r="A463" t="s">
        <v>1107</v>
      </c>
      <c r="B463" t="s">
        <v>1108</v>
      </c>
      <c r="C463">
        <f t="shared" si="21"/>
        <v>11</v>
      </c>
      <c r="D463" s="7">
        <f t="shared" si="22"/>
        <v>26099.5</v>
      </c>
      <c r="E463">
        <f t="shared" si="23"/>
        <v>26099.500463</v>
      </c>
    </row>
    <row r="464" spans="1:5" x14ac:dyDescent="0.3">
      <c r="A464" t="s">
        <v>1109</v>
      </c>
      <c r="B464" t="s">
        <v>1110</v>
      </c>
      <c r="C464">
        <f t="shared" si="21"/>
        <v>4</v>
      </c>
      <c r="D464" s="7">
        <f t="shared" si="22"/>
        <v>26050.95</v>
      </c>
      <c r="E464">
        <f t="shared" si="23"/>
        <v>26050.950464000001</v>
      </c>
    </row>
    <row r="465" spans="1:5" x14ac:dyDescent="0.3">
      <c r="A465" t="s">
        <v>1111</v>
      </c>
      <c r="B465" t="s">
        <v>1112</v>
      </c>
      <c r="C465">
        <f t="shared" si="21"/>
        <v>5</v>
      </c>
      <c r="D465" s="7">
        <f t="shared" si="22"/>
        <v>25940.85</v>
      </c>
      <c r="E465">
        <f t="shared" si="23"/>
        <v>25940.850465</v>
      </c>
    </row>
    <row r="466" spans="1:5" x14ac:dyDescent="0.3">
      <c r="A466" t="s">
        <v>1113</v>
      </c>
      <c r="B466" t="s">
        <v>1114</v>
      </c>
      <c r="C466">
        <f t="shared" si="21"/>
        <v>5</v>
      </c>
      <c r="D466" s="7">
        <f t="shared" si="22"/>
        <v>25747.700000000004</v>
      </c>
      <c r="E466">
        <f t="shared" si="23"/>
        <v>25747.700466000006</v>
      </c>
    </row>
    <row r="467" spans="1:5" x14ac:dyDescent="0.3">
      <c r="A467" t="s">
        <v>1115</v>
      </c>
      <c r="B467" t="s">
        <v>1116</v>
      </c>
      <c r="C467">
        <f t="shared" si="21"/>
        <v>6</v>
      </c>
      <c r="D467" s="7">
        <f t="shared" si="22"/>
        <v>25625.199999999997</v>
      </c>
      <c r="E467">
        <f t="shared" si="23"/>
        <v>25625.200466999999</v>
      </c>
    </row>
    <row r="468" spans="1:5" x14ac:dyDescent="0.3">
      <c r="A468" t="s">
        <v>1117</v>
      </c>
      <c r="B468" t="s">
        <v>1118</v>
      </c>
      <c r="C468">
        <f t="shared" si="21"/>
        <v>2</v>
      </c>
      <c r="D468" s="7">
        <f t="shared" si="22"/>
        <v>25597.199999999997</v>
      </c>
      <c r="E468">
        <f t="shared" si="23"/>
        <v>25597.200467999995</v>
      </c>
    </row>
    <row r="469" spans="1:5" x14ac:dyDescent="0.3">
      <c r="A469" t="s">
        <v>1119</v>
      </c>
      <c r="B469" t="s">
        <v>1120</v>
      </c>
      <c r="C469">
        <f t="shared" si="21"/>
        <v>5</v>
      </c>
      <c r="D469" s="7">
        <f t="shared" si="22"/>
        <v>25565.25</v>
      </c>
      <c r="E469">
        <f t="shared" si="23"/>
        <v>25565.250468999999</v>
      </c>
    </row>
    <row r="470" spans="1:5" x14ac:dyDescent="0.3">
      <c r="A470" t="s">
        <v>1121</v>
      </c>
      <c r="B470" t="s">
        <v>1122</v>
      </c>
      <c r="C470">
        <f t="shared" si="21"/>
        <v>7</v>
      </c>
      <c r="D470" s="7">
        <f t="shared" si="22"/>
        <v>25564.65</v>
      </c>
      <c r="E470">
        <f t="shared" si="23"/>
        <v>25564.65047</v>
      </c>
    </row>
    <row r="471" spans="1:5" x14ac:dyDescent="0.3">
      <c r="A471" t="s">
        <v>1123</v>
      </c>
      <c r="B471" t="s">
        <v>1124</v>
      </c>
      <c r="C471">
        <f t="shared" si="21"/>
        <v>2</v>
      </c>
      <c r="D471" s="7">
        <f t="shared" si="22"/>
        <v>25552.149999999998</v>
      </c>
      <c r="E471">
        <f t="shared" si="23"/>
        <v>25552.150470999997</v>
      </c>
    </row>
    <row r="472" spans="1:5" x14ac:dyDescent="0.3">
      <c r="A472" t="s">
        <v>1125</v>
      </c>
      <c r="B472" t="s">
        <v>1126</v>
      </c>
      <c r="C472">
        <f t="shared" si="21"/>
        <v>2</v>
      </c>
      <c r="D472" s="7">
        <f t="shared" si="22"/>
        <v>25547.25</v>
      </c>
      <c r="E472">
        <f t="shared" si="23"/>
        <v>25547.250472</v>
      </c>
    </row>
    <row r="473" spans="1:5" x14ac:dyDescent="0.3">
      <c r="A473" t="s">
        <v>1127</v>
      </c>
      <c r="B473" t="s">
        <v>1128</v>
      </c>
      <c r="C473">
        <f t="shared" si="21"/>
        <v>4</v>
      </c>
      <c r="D473" s="7">
        <f t="shared" si="22"/>
        <v>25541.25</v>
      </c>
      <c r="E473">
        <f t="shared" si="23"/>
        <v>25541.250473</v>
      </c>
    </row>
    <row r="474" spans="1:5" x14ac:dyDescent="0.3">
      <c r="A474" t="s">
        <v>1129</v>
      </c>
      <c r="B474" t="s">
        <v>1130</v>
      </c>
      <c r="C474">
        <f t="shared" si="21"/>
        <v>3</v>
      </c>
      <c r="D474" s="7">
        <f t="shared" si="22"/>
        <v>25444.35</v>
      </c>
      <c r="E474">
        <f t="shared" si="23"/>
        <v>25444.350473999999</v>
      </c>
    </row>
    <row r="475" spans="1:5" x14ac:dyDescent="0.3">
      <c r="A475" t="s">
        <v>1131</v>
      </c>
      <c r="B475" t="s">
        <v>1132</v>
      </c>
      <c r="C475">
        <f t="shared" si="21"/>
        <v>4</v>
      </c>
      <c r="D475" s="7">
        <f t="shared" si="22"/>
        <v>25211.75</v>
      </c>
      <c r="E475">
        <f t="shared" si="23"/>
        <v>25211.750475000001</v>
      </c>
    </row>
    <row r="476" spans="1:5" x14ac:dyDescent="0.3">
      <c r="A476" t="s">
        <v>1133</v>
      </c>
      <c r="B476" t="s">
        <v>1134</v>
      </c>
      <c r="C476">
        <f t="shared" si="21"/>
        <v>2</v>
      </c>
      <c r="D476" s="7">
        <f t="shared" si="22"/>
        <v>25095.3</v>
      </c>
      <c r="E476">
        <f t="shared" si="23"/>
        <v>25095.300476</v>
      </c>
    </row>
    <row r="477" spans="1:5" x14ac:dyDescent="0.3">
      <c r="A477" t="s">
        <v>1135</v>
      </c>
      <c r="B477" t="s">
        <v>1136</v>
      </c>
      <c r="C477">
        <f t="shared" si="21"/>
        <v>3</v>
      </c>
      <c r="D477" s="7">
        <f t="shared" si="22"/>
        <v>25005.35</v>
      </c>
      <c r="E477">
        <f t="shared" si="23"/>
        <v>25005.350477</v>
      </c>
    </row>
    <row r="478" spans="1:5" x14ac:dyDescent="0.3">
      <c r="A478" t="s">
        <v>1137</v>
      </c>
      <c r="B478" t="s">
        <v>1138</v>
      </c>
      <c r="C478">
        <f t="shared" si="21"/>
        <v>4</v>
      </c>
      <c r="D478" s="7">
        <f t="shared" si="22"/>
        <v>24972.15</v>
      </c>
      <c r="E478">
        <f t="shared" si="23"/>
        <v>24972.150478000003</v>
      </c>
    </row>
    <row r="479" spans="1:5" x14ac:dyDescent="0.3">
      <c r="A479" t="s">
        <v>1139</v>
      </c>
      <c r="B479" t="s">
        <v>1140</v>
      </c>
      <c r="C479">
        <f t="shared" si="21"/>
        <v>2</v>
      </c>
      <c r="D479" s="7">
        <f t="shared" si="22"/>
        <v>24893.4</v>
      </c>
      <c r="E479">
        <f t="shared" si="23"/>
        <v>24893.400479</v>
      </c>
    </row>
    <row r="480" spans="1:5" x14ac:dyDescent="0.3">
      <c r="A480" t="s">
        <v>1141</v>
      </c>
      <c r="B480" t="s">
        <v>1142</v>
      </c>
      <c r="C480">
        <f t="shared" si="21"/>
        <v>7</v>
      </c>
      <c r="D480" s="7">
        <f t="shared" si="22"/>
        <v>24747.45</v>
      </c>
      <c r="E480">
        <f t="shared" si="23"/>
        <v>24747.45048</v>
      </c>
    </row>
    <row r="481" spans="1:5" x14ac:dyDescent="0.3">
      <c r="A481" t="s">
        <v>1143</v>
      </c>
      <c r="B481" t="s">
        <v>1144</v>
      </c>
      <c r="C481">
        <f t="shared" si="21"/>
        <v>1</v>
      </c>
      <c r="D481" s="7">
        <f t="shared" si="22"/>
        <v>24698.1</v>
      </c>
      <c r="E481">
        <f t="shared" si="23"/>
        <v>24698.100480999998</v>
      </c>
    </row>
    <row r="482" spans="1:5" x14ac:dyDescent="0.3">
      <c r="A482" t="s">
        <v>1145</v>
      </c>
      <c r="B482" t="s">
        <v>1146</v>
      </c>
      <c r="C482">
        <f t="shared" si="21"/>
        <v>5</v>
      </c>
      <c r="D482" s="7">
        <f t="shared" si="22"/>
        <v>24689.65</v>
      </c>
      <c r="E482">
        <f t="shared" si="23"/>
        <v>24689.650482000001</v>
      </c>
    </row>
    <row r="483" spans="1:5" x14ac:dyDescent="0.3">
      <c r="A483" t="s">
        <v>1147</v>
      </c>
      <c r="B483" t="s">
        <v>1148</v>
      </c>
      <c r="C483">
        <f t="shared" si="21"/>
        <v>6</v>
      </c>
      <c r="D483" s="7">
        <f t="shared" si="22"/>
        <v>24657.850000000002</v>
      </c>
      <c r="E483">
        <f t="shared" si="23"/>
        <v>24657.850483000002</v>
      </c>
    </row>
    <row r="484" spans="1:5" x14ac:dyDescent="0.3">
      <c r="A484" t="s">
        <v>1149</v>
      </c>
      <c r="B484" t="s">
        <v>1150</v>
      </c>
      <c r="C484">
        <f t="shared" si="21"/>
        <v>2</v>
      </c>
      <c r="D484" s="7">
        <f t="shared" si="22"/>
        <v>24656.7</v>
      </c>
      <c r="E484">
        <f t="shared" si="23"/>
        <v>24656.700484000001</v>
      </c>
    </row>
    <row r="485" spans="1:5" x14ac:dyDescent="0.3">
      <c r="A485" t="s">
        <v>1151</v>
      </c>
      <c r="B485" t="s">
        <v>1152</v>
      </c>
      <c r="C485">
        <f t="shared" si="21"/>
        <v>6</v>
      </c>
      <c r="D485" s="7">
        <f t="shared" si="22"/>
        <v>24597.3</v>
      </c>
      <c r="E485">
        <f t="shared" si="23"/>
        <v>24597.300485</v>
      </c>
    </row>
    <row r="486" spans="1:5" x14ac:dyDescent="0.3">
      <c r="A486" t="s">
        <v>1153</v>
      </c>
      <c r="B486" t="s">
        <v>1154</v>
      </c>
      <c r="C486">
        <f t="shared" si="21"/>
        <v>5</v>
      </c>
      <c r="D486" s="7">
        <f t="shared" si="22"/>
        <v>24587.55</v>
      </c>
      <c r="E486">
        <f t="shared" si="23"/>
        <v>24587.550486</v>
      </c>
    </row>
    <row r="487" spans="1:5" x14ac:dyDescent="0.3">
      <c r="A487" t="s">
        <v>1155</v>
      </c>
      <c r="B487" t="s">
        <v>1156</v>
      </c>
      <c r="C487">
        <f t="shared" si="21"/>
        <v>8</v>
      </c>
      <c r="D487" s="7">
        <f t="shared" si="22"/>
        <v>24578.35</v>
      </c>
      <c r="E487">
        <f t="shared" si="23"/>
        <v>24578.350487</v>
      </c>
    </row>
    <row r="488" spans="1:5" x14ac:dyDescent="0.3">
      <c r="A488" t="s">
        <v>1157</v>
      </c>
      <c r="B488" t="s">
        <v>1158</v>
      </c>
      <c r="C488">
        <f t="shared" si="21"/>
        <v>8</v>
      </c>
      <c r="D488" s="7">
        <f t="shared" si="22"/>
        <v>24513.399999999998</v>
      </c>
      <c r="E488">
        <f t="shared" si="23"/>
        <v>24513.400487999999</v>
      </c>
    </row>
    <row r="489" spans="1:5" x14ac:dyDescent="0.3">
      <c r="A489" t="s">
        <v>1159</v>
      </c>
      <c r="B489" t="s">
        <v>1160</v>
      </c>
      <c r="C489">
        <f t="shared" si="21"/>
        <v>3</v>
      </c>
      <c r="D489" s="7">
        <f t="shared" si="22"/>
        <v>24497.25</v>
      </c>
      <c r="E489">
        <f t="shared" si="23"/>
        <v>24497.250488999998</v>
      </c>
    </row>
    <row r="490" spans="1:5" x14ac:dyDescent="0.3">
      <c r="A490" t="s">
        <v>1161</v>
      </c>
      <c r="B490" t="s">
        <v>1162</v>
      </c>
      <c r="C490">
        <f t="shared" si="21"/>
        <v>5</v>
      </c>
      <c r="D490" s="7">
        <f t="shared" si="22"/>
        <v>24482.95</v>
      </c>
      <c r="E490">
        <f t="shared" si="23"/>
        <v>24482.950489999999</v>
      </c>
    </row>
    <row r="491" spans="1:5" x14ac:dyDescent="0.3">
      <c r="A491" t="s">
        <v>1163</v>
      </c>
      <c r="B491" t="s">
        <v>1164</v>
      </c>
      <c r="C491">
        <f t="shared" si="21"/>
        <v>6</v>
      </c>
      <c r="D491" s="7">
        <f t="shared" si="22"/>
        <v>24465.3</v>
      </c>
      <c r="E491">
        <f t="shared" si="23"/>
        <v>24465.300490999998</v>
      </c>
    </row>
    <row r="492" spans="1:5" x14ac:dyDescent="0.3">
      <c r="A492" t="s">
        <v>1165</v>
      </c>
      <c r="B492" t="s">
        <v>1166</v>
      </c>
      <c r="C492">
        <f t="shared" si="21"/>
        <v>3</v>
      </c>
      <c r="D492" s="7">
        <f t="shared" si="22"/>
        <v>24446.5</v>
      </c>
      <c r="E492">
        <f t="shared" si="23"/>
        <v>24446.500491999999</v>
      </c>
    </row>
    <row r="493" spans="1:5" x14ac:dyDescent="0.3">
      <c r="A493" t="s">
        <v>1167</v>
      </c>
      <c r="B493" t="s">
        <v>1168</v>
      </c>
      <c r="C493">
        <f t="shared" si="21"/>
        <v>5</v>
      </c>
      <c r="D493" s="7">
        <f t="shared" si="22"/>
        <v>24397.25</v>
      </c>
      <c r="E493">
        <f t="shared" si="23"/>
        <v>24397.250493</v>
      </c>
    </row>
    <row r="494" spans="1:5" x14ac:dyDescent="0.3">
      <c r="A494" t="s">
        <v>1169</v>
      </c>
      <c r="B494" t="s">
        <v>1170</v>
      </c>
      <c r="C494">
        <f t="shared" si="21"/>
        <v>7</v>
      </c>
      <c r="D494" s="7">
        <f t="shared" si="22"/>
        <v>24365.9</v>
      </c>
      <c r="E494">
        <f t="shared" si="23"/>
        <v>24365.900494000001</v>
      </c>
    </row>
    <row r="495" spans="1:5" x14ac:dyDescent="0.3">
      <c r="A495" t="s">
        <v>1171</v>
      </c>
      <c r="B495" t="s">
        <v>1172</v>
      </c>
      <c r="C495">
        <f t="shared" si="21"/>
        <v>3</v>
      </c>
      <c r="D495" s="7">
        <f t="shared" si="22"/>
        <v>24291.5</v>
      </c>
      <c r="E495">
        <f t="shared" si="23"/>
        <v>24291.500495</v>
      </c>
    </row>
    <row r="496" spans="1:5" x14ac:dyDescent="0.3">
      <c r="A496" t="s">
        <v>1173</v>
      </c>
      <c r="B496" t="s">
        <v>1174</v>
      </c>
      <c r="C496">
        <f t="shared" si="21"/>
        <v>4</v>
      </c>
      <c r="D496" s="7">
        <f t="shared" si="22"/>
        <v>24170.6</v>
      </c>
      <c r="E496">
        <f t="shared" si="23"/>
        <v>24170.600495999999</v>
      </c>
    </row>
    <row r="497" spans="1:5" x14ac:dyDescent="0.3">
      <c r="A497" t="s">
        <v>1175</v>
      </c>
      <c r="B497" t="s">
        <v>1176</v>
      </c>
      <c r="C497">
        <f t="shared" si="21"/>
        <v>4</v>
      </c>
      <c r="D497" s="7">
        <f t="shared" si="22"/>
        <v>24113.7</v>
      </c>
      <c r="E497">
        <f t="shared" si="23"/>
        <v>24113.700497000002</v>
      </c>
    </row>
    <row r="498" spans="1:5" x14ac:dyDescent="0.3">
      <c r="A498" t="s">
        <v>1177</v>
      </c>
      <c r="B498" t="s">
        <v>1178</v>
      </c>
      <c r="C498">
        <f t="shared" si="21"/>
        <v>3</v>
      </c>
      <c r="D498" s="7">
        <f t="shared" si="22"/>
        <v>24091.65</v>
      </c>
      <c r="E498">
        <f t="shared" si="23"/>
        <v>24091.650498000003</v>
      </c>
    </row>
    <row r="499" spans="1:5" x14ac:dyDescent="0.3">
      <c r="A499" t="s">
        <v>1179</v>
      </c>
      <c r="B499" t="s">
        <v>1180</v>
      </c>
      <c r="C499">
        <f t="shared" si="21"/>
        <v>5</v>
      </c>
      <c r="D499" s="7">
        <f t="shared" si="22"/>
        <v>24068.65</v>
      </c>
      <c r="E499">
        <f t="shared" si="23"/>
        <v>24068.650499000003</v>
      </c>
    </row>
    <row r="500" spans="1:5" x14ac:dyDescent="0.3">
      <c r="A500" t="s">
        <v>1181</v>
      </c>
      <c r="B500" t="s">
        <v>1182</v>
      </c>
      <c r="C500">
        <f t="shared" si="21"/>
        <v>5</v>
      </c>
      <c r="D500" s="7">
        <f t="shared" si="22"/>
        <v>24027.999999999996</v>
      </c>
      <c r="E500">
        <f t="shared" si="23"/>
        <v>24028.000499999995</v>
      </c>
    </row>
    <row r="501" spans="1:5" x14ac:dyDescent="0.3">
      <c r="A501" t="s">
        <v>1183</v>
      </c>
      <c r="B501" t="s">
        <v>1184</v>
      </c>
      <c r="C501">
        <f t="shared" si="21"/>
        <v>4</v>
      </c>
      <c r="D501" s="7">
        <f t="shared" si="22"/>
        <v>23923.449999999997</v>
      </c>
      <c r="E501">
        <f t="shared" si="23"/>
        <v>23923.450500999996</v>
      </c>
    </row>
    <row r="502" spans="1:5" x14ac:dyDescent="0.3">
      <c r="A502" t="s">
        <v>1185</v>
      </c>
      <c r="B502" t="s">
        <v>1186</v>
      </c>
      <c r="C502">
        <f t="shared" si="21"/>
        <v>3</v>
      </c>
      <c r="D502" s="7">
        <f t="shared" si="22"/>
        <v>23916.25</v>
      </c>
      <c r="E502">
        <f t="shared" si="23"/>
        <v>23916.250501999999</v>
      </c>
    </row>
    <row r="503" spans="1:5" x14ac:dyDescent="0.3">
      <c r="A503" t="s">
        <v>1187</v>
      </c>
      <c r="B503" t="s">
        <v>1188</v>
      </c>
      <c r="C503">
        <f t="shared" si="21"/>
        <v>4</v>
      </c>
      <c r="D503" s="7">
        <f t="shared" si="22"/>
        <v>23857.95</v>
      </c>
      <c r="E503">
        <f t="shared" si="23"/>
        <v>23857.950503</v>
      </c>
    </row>
    <row r="504" spans="1:5" x14ac:dyDescent="0.3">
      <c r="A504" t="s">
        <v>1189</v>
      </c>
      <c r="B504" t="s">
        <v>1190</v>
      </c>
      <c r="C504">
        <f t="shared" si="21"/>
        <v>5</v>
      </c>
      <c r="D504" s="7">
        <f t="shared" si="22"/>
        <v>23847.55</v>
      </c>
      <c r="E504">
        <f t="shared" si="23"/>
        <v>23847.550503999999</v>
      </c>
    </row>
    <row r="505" spans="1:5" x14ac:dyDescent="0.3">
      <c r="A505" t="s">
        <v>1191</v>
      </c>
      <c r="B505" t="s">
        <v>1192</v>
      </c>
      <c r="C505">
        <f t="shared" si="21"/>
        <v>5</v>
      </c>
      <c r="D505" s="7">
        <f t="shared" si="22"/>
        <v>23838.199999999997</v>
      </c>
      <c r="E505">
        <f t="shared" si="23"/>
        <v>23838.200504999997</v>
      </c>
    </row>
    <row r="506" spans="1:5" x14ac:dyDescent="0.3">
      <c r="A506" t="s">
        <v>1193</v>
      </c>
      <c r="B506" t="s">
        <v>1194</v>
      </c>
      <c r="C506">
        <f t="shared" si="21"/>
        <v>4</v>
      </c>
      <c r="D506" s="7">
        <f t="shared" si="22"/>
        <v>23827.05</v>
      </c>
      <c r="E506">
        <f t="shared" si="23"/>
        <v>23827.050506</v>
      </c>
    </row>
    <row r="507" spans="1:5" x14ac:dyDescent="0.3">
      <c r="A507" t="s">
        <v>1195</v>
      </c>
      <c r="B507" t="s">
        <v>1196</v>
      </c>
      <c r="C507">
        <f t="shared" si="21"/>
        <v>7</v>
      </c>
      <c r="D507" s="7">
        <f t="shared" si="22"/>
        <v>23819.8</v>
      </c>
      <c r="E507">
        <f t="shared" si="23"/>
        <v>23819.800507</v>
      </c>
    </row>
    <row r="508" spans="1:5" x14ac:dyDescent="0.3">
      <c r="A508" t="s">
        <v>1197</v>
      </c>
      <c r="B508" t="s">
        <v>1198</v>
      </c>
      <c r="C508">
        <f t="shared" si="21"/>
        <v>5</v>
      </c>
      <c r="D508" s="7">
        <f t="shared" si="22"/>
        <v>23782.949999999997</v>
      </c>
      <c r="E508">
        <f t="shared" si="23"/>
        <v>23782.950507999998</v>
      </c>
    </row>
    <row r="509" spans="1:5" x14ac:dyDescent="0.3">
      <c r="A509" t="s">
        <v>1199</v>
      </c>
      <c r="B509" t="s">
        <v>1200</v>
      </c>
      <c r="C509">
        <f t="shared" si="21"/>
        <v>5</v>
      </c>
      <c r="D509" s="7">
        <f t="shared" si="22"/>
        <v>23750.600000000002</v>
      </c>
      <c r="E509">
        <f t="shared" si="23"/>
        <v>23750.600509000004</v>
      </c>
    </row>
    <row r="510" spans="1:5" x14ac:dyDescent="0.3">
      <c r="A510" t="s">
        <v>1201</v>
      </c>
      <c r="B510" t="s">
        <v>1202</v>
      </c>
      <c r="C510">
        <f t="shared" si="21"/>
        <v>5</v>
      </c>
      <c r="D510" s="7">
        <f t="shared" si="22"/>
        <v>23742.95</v>
      </c>
      <c r="E510">
        <f t="shared" si="23"/>
        <v>23742.950510000002</v>
      </c>
    </row>
    <row r="511" spans="1:5" x14ac:dyDescent="0.3">
      <c r="A511" t="s">
        <v>1203</v>
      </c>
      <c r="B511" t="s">
        <v>1204</v>
      </c>
      <c r="C511">
        <f t="shared" si="21"/>
        <v>3</v>
      </c>
      <c r="D511" s="7">
        <f t="shared" si="22"/>
        <v>23709.399999999998</v>
      </c>
      <c r="E511">
        <f t="shared" si="23"/>
        <v>23709.400510999996</v>
      </c>
    </row>
    <row r="512" spans="1:5" x14ac:dyDescent="0.3">
      <c r="A512" t="s">
        <v>1205</v>
      </c>
      <c r="B512" t="s">
        <v>1206</v>
      </c>
      <c r="C512">
        <f t="shared" si="21"/>
        <v>6</v>
      </c>
      <c r="D512" s="7">
        <f t="shared" si="22"/>
        <v>23642.55</v>
      </c>
      <c r="E512">
        <f t="shared" si="23"/>
        <v>23642.550511999998</v>
      </c>
    </row>
    <row r="513" spans="1:5" x14ac:dyDescent="0.3">
      <c r="A513" t="s">
        <v>1207</v>
      </c>
      <c r="B513" t="s">
        <v>1208</v>
      </c>
      <c r="C513">
        <f t="shared" si="21"/>
        <v>5</v>
      </c>
      <c r="D513" s="7">
        <f t="shared" si="22"/>
        <v>23534.95</v>
      </c>
      <c r="E513">
        <f t="shared" si="23"/>
        <v>23534.950513</v>
      </c>
    </row>
    <row r="514" spans="1:5" x14ac:dyDescent="0.3">
      <c r="A514" t="s">
        <v>1209</v>
      </c>
      <c r="B514" t="s">
        <v>1210</v>
      </c>
      <c r="C514">
        <f t="shared" ref="C514:C577" si="24">COUNTIF(dCust,A514)</f>
        <v>8</v>
      </c>
      <c r="D514" s="7">
        <f t="shared" ref="D514:D577" si="25">SUMIFS(dSales,dCust,A514)</f>
        <v>23529.649999999998</v>
      </c>
      <c r="E514">
        <f t="shared" ref="E514:E577" si="26">D514+ROW()/1000000</f>
        <v>23529.650513999997</v>
      </c>
    </row>
    <row r="515" spans="1:5" x14ac:dyDescent="0.3">
      <c r="A515" t="s">
        <v>1211</v>
      </c>
      <c r="B515" t="s">
        <v>1212</v>
      </c>
      <c r="C515">
        <f t="shared" si="24"/>
        <v>5</v>
      </c>
      <c r="D515" s="7">
        <f t="shared" si="25"/>
        <v>23515.4</v>
      </c>
      <c r="E515">
        <f t="shared" si="26"/>
        <v>23515.400515000001</v>
      </c>
    </row>
    <row r="516" spans="1:5" x14ac:dyDescent="0.3">
      <c r="A516" t="s">
        <v>1213</v>
      </c>
      <c r="B516" t="s">
        <v>1214</v>
      </c>
      <c r="C516">
        <f t="shared" si="24"/>
        <v>5</v>
      </c>
      <c r="D516" s="7">
        <f t="shared" si="25"/>
        <v>23491.5</v>
      </c>
      <c r="E516">
        <f t="shared" si="26"/>
        <v>23491.500516</v>
      </c>
    </row>
    <row r="517" spans="1:5" x14ac:dyDescent="0.3">
      <c r="A517" t="s">
        <v>1215</v>
      </c>
      <c r="B517" t="s">
        <v>1216</v>
      </c>
      <c r="C517">
        <f t="shared" si="24"/>
        <v>2</v>
      </c>
      <c r="D517" s="7">
        <f t="shared" si="25"/>
        <v>23398.2</v>
      </c>
      <c r="E517">
        <f t="shared" si="26"/>
        <v>23398.200517000001</v>
      </c>
    </row>
    <row r="518" spans="1:5" x14ac:dyDescent="0.3">
      <c r="A518" t="s">
        <v>1217</v>
      </c>
      <c r="B518" t="s">
        <v>1218</v>
      </c>
      <c r="C518">
        <f t="shared" si="24"/>
        <v>6</v>
      </c>
      <c r="D518" s="7">
        <f t="shared" si="25"/>
        <v>23352.899999999998</v>
      </c>
      <c r="E518">
        <f t="shared" si="26"/>
        <v>23352.900517999999</v>
      </c>
    </row>
    <row r="519" spans="1:5" x14ac:dyDescent="0.3">
      <c r="A519" t="s">
        <v>1219</v>
      </c>
      <c r="B519" t="s">
        <v>1220</v>
      </c>
      <c r="C519">
        <f t="shared" si="24"/>
        <v>5</v>
      </c>
      <c r="D519" s="7">
        <f t="shared" si="25"/>
        <v>23352.75</v>
      </c>
      <c r="E519">
        <f t="shared" si="26"/>
        <v>23352.750519000001</v>
      </c>
    </row>
    <row r="520" spans="1:5" x14ac:dyDescent="0.3">
      <c r="A520" t="s">
        <v>1221</v>
      </c>
      <c r="B520" t="s">
        <v>1222</v>
      </c>
      <c r="C520">
        <f t="shared" si="24"/>
        <v>4</v>
      </c>
      <c r="D520" s="7">
        <f t="shared" si="25"/>
        <v>23260.400000000001</v>
      </c>
      <c r="E520">
        <f t="shared" si="26"/>
        <v>23260.400520000003</v>
      </c>
    </row>
    <row r="521" spans="1:5" x14ac:dyDescent="0.3">
      <c r="A521" t="s">
        <v>1223</v>
      </c>
      <c r="B521" t="s">
        <v>1224</v>
      </c>
      <c r="C521">
        <f t="shared" si="24"/>
        <v>4</v>
      </c>
      <c r="D521" s="7">
        <f t="shared" si="25"/>
        <v>23241.05</v>
      </c>
      <c r="E521">
        <f t="shared" si="26"/>
        <v>23241.050521000001</v>
      </c>
    </row>
    <row r="522" spans="1:5" x14ac:dyDescent="0.3">
      <c r="A522" t="s">
        <v>1225</v>
      </c>
      <c r="B522" t="s">
        <v>1226</v>
      </c>
      <c r="C522">
        <f t="shared" si="24"/>
        <v>4</v>
      </c>
      <c r="D522" s="7">
        <f t="shared" si="25"/>
        <v>23202.95</v>
      </c>
      <c r="E522">
        <f t="shared" si="26"/>
        <v>23202.950521999999</v>
      </c>
    </row>
    <row r="523" spans="1:5" x14ac:dyDescent="0.3">
      <c r="A523" t="s">
        <v>1227</v>
      </c>
      <c r="B523" t="s">
        <v>1228</v>
      </c>
      <c r="C523">
        <f t="shared" si="24"/>
        <v>6</v>
      </c>
      <c r="D523" s="7">
        <f t="shared" si="25"/>
        <v>23141.899999999998</v>
      </c>
      <c r="E523">
        <f t="shared" si="26"/>
        <v>23141.900522999997</v>
      </c>
    </row>
    <row r="524" spans="1:5" x14ac:dyDescent="0.3">
      <c r="A524" t="s">
        <v>1229</v>
      </c>
      <c r="B524" t="s">
        <v>1230</v>
      </c>
      <c r="C524">
        <f t="shared" si="24"/>
        <v>3</v>
      </c>
      <c r="D524" s="7">
        <f t="shared" si="25"/>
        <v>23071.599999999999</v>
      </c>
      <c r="E524">
        <f t="shared" si="26"/>
        <v>23071.600523999998</v>
      </c>
    </row>
    <row r="525" spans="1:5" x14ac:dyDescent="0.3">
      <c r="A525" t="s">
        <v>1231</v>
      </c>
      <c r="B525" t="s">
        <v>1232</v>
      </c>
      <c r="C525">
        <f t="shared" si="24"/>
        <v>4</v>
      </c>
      <c r="D525" s="7">
        <f t="shared" si="25"/>
        <v>23065.75</v>
      </c>
      <c r="E525">
        <f t="shared" si="26"/>
        <v>23065.750524999999</v>
      </c>
    </row>
    <row r="526" spans="1:5" x14ac:dyDescent="0.3">
      <c r="A526" t="s">
        <v>1233</v>
      </c>
      <c r="B526" t="s">
        <v>1234</v>
      </c>
      <c r="C526">
        <f t="shared" si="24"/>
        <v>4</v>
      </c>
      <c r="D526" s="7">
        <f t="shared" si="25"/>
        <v>23060.699999999997</v>
      </c>
      <c r="E526">
        <f t="shared" si="26"/>
        <v>23060.700525999997</v>
      </c>
    </row>
    <row r="527" spans="1:5" x14ac:dyDescent="0.3">
      <c r="A527" t="s">
        <v>1235</v>
      </c>
      <c r="B527" t="s">
        <v>1236</v>
      </c>
      <c r="C527">
        <f t="shared" si="24"/>
        <v>4</v>
      </c>
      <c r="D527" s="7">
        <f t="shared" si="25"/>
        <v>22974.85</v>
      </c>
      <c r="E527">
        <f t="shared" si="26"/>
        <v>22974.850526999999</v>
      </c>
    </row>
    <row r="528" spans="1:5" x14ac:dyDescent="0.3">
      <c r="A528" t="s">
        <v>1237</v>
      </c>
      <c r="B528" t="s">
        <v>1238</v>
      </c>
      <c r="C528">
        <f t="shared" si="24"/>
        <v>5</v>
      </c>
      <c r="D528" s="7">
        <f t="shared" si="25"/>
        <v>22962.949999999997</v>
      </c>
      <c r="E528">
        <f t="shared" si="26"/>
        <v>22962.950527999998</v>
      </c>
    </row>
    <row r="529" spans="1:5" x14ac:dyDescent="0.3">
      <c r="A529" t="s">
        <v>1239</v>
      </c>
      <c r="B529" t="s">
        <v>1240</v>
      </c>
      <c r="C529">
        <f t="shared" si="24"/>
        <v>7</v>
      </c>
      <c r="D529" s="7">
        <f t="shared" si="25"/>
        <v>22923.85</v>
      </c>
      <c r="E529">
        <f t="shared" si="26"/>
        <v>22923.850528999999</v>
      </c>
    </row>
    <row r="530" spans="1:5" x14ac:dyDescent="0.3">
      <c r="A530" t="s">
        <v>1241</v>
      </c>
      <c r="B530" t="s">
        <v>1242</v>
      </c>
      <c r="C530">
        <f t="shared" si="24"/>
        <v>2</v>
      </c>
      <c r="D530" s="7">
        <f t="shared" si="25"/>
        <v>22885.65</v>
      </c>
      <c r="E530">
        <f t="shared" si="26"/>
        <v>22885.650530000003</v>
      </c>
    </row>
    <row r="531" spans="1:5" x14ac:dyDescent="0.3">
      <c r="A531" t="s">
        <v>1243</v>
      </c>
      <c r="B531" t="s">
        <v>1244</v>
      </c>
      <c r="C531">
        <f t="shared" si="24"/>
        <v>5</v>
      </c>
      <c r="D531" s="7">
        <f t="shared" si="25"/>
        <v>22764.6</v>
      </c>
      <c r="E531">
        <f t="shared" si="26"/>
        <v>22764.600531</v>
      </c>
    </row>
    <row r="532" spans="1:5" x14ac:dyDescent="0.3">
      <c r="A532" t="s">
        <v>1245</v>
      </c>
      <c r="B532" t="s">
        <v>1246</v>
      </c>
      <c r="C532">
        <f t="shared" si="24"/>
        <v>5</v>
      </c>
      <c r="D532" s="7">
        <f t="shared" si="25"/>
        <v>22702.550000000003</v>
      </c>
      <c r="E532">
        <f t="shared" si="26"/>
        <v>22702.550532000001</v>
      </c>
    </row>
    <row r="533" spans="1:5" x14ac:dyDescent="0.3">
      <c r="A533" t="s">
        <v>1247</v>
      </c>
      <c r="B533" t="s">
        <v>1248</v>
      </c>
      <c r="C533">
        <f t="shared" si="24"/>
        <v>5</v>
      </c>
      <c r="D533" s="7">
        <f t="shared" si="25"/>
        <v>22678.55</v>
      </c>
      <c r="E533">
        <f t="shared" si="26"/>
        <v>22678.550532999998</v>
      </c>
    </row>
    <row r="534" spans="1:5" x14ac:dyDescent="0.3">
      <c r="A534" t="s">
        <v>1249</v>
      </c>
      <c r="B534" t="s">
        <v>1250</v>
      </c>
      <c r="C534">
        <f t="shared" si="24"/>
        <v>3</v>
      </c>
      <c r="D534" s="7">
        <f t="shared" si="25"/>
        <v>22631.45</v>
      </c>
      <c r="E534">
        <f t="shared" si="26"/>
        <v>22631.450534</v>
      </c>
    </row>
    <row r="535" spans="1:5" x14ac:dyDescent="0.3">
      <c r="A535" t="s">
        <v>1251</v>
      </c>
      <c r="B535" t="s">
        <v>1252</v>
      </c>
      <c r="C535">
        <f t="shared" si="24"/>
        <v>3</v>
      </c>
      <c r="D535" s="7">
        <f t="shared" si="25"/>
        <v>22549.75</v>
      </c>
      <c r="E535">
        <f t="shared" si="26"/>
        <v>22549.750534999999</v>
      </c>
    </row>
    <row r="536" spans="1:5" x14ac:dyDescent="0.3">
      <c r="A536" t="s">
        <v>1253</v>
      </c>
      <c r="B536" t="s">
        <v>1254</v>
      </c>
      <c r="C536">
        <f t="shared" si="24"/>
        <v>5</v>
      </c>
      <c r="D536" s="7">
        <f t="shared" si="25"/>
        <v>22546.95</v>
      </c>
      <c r="E536">
        <f t="shared" si="26"/>
        <v>22546.950536</v>
      </c>
    </row>
    <row r="537" spans="1:5" x14ac:dyDescent="0.3">
      <c r="A537" t="s">
        <v>1255</v>
      </c>
      <c r="B537" t="s">
        <v>1256</v>
      </c>
      <c r="C537">
        <f t="shared" si="24"/>
        <v>7</v>
      </c>
      <c r="D537" s="7">
        <f t="shared" si="25"/>
        <v>22513.35</v>
      </c>
      <c r="E537">
        <f t="shared" si="26"/>
        <v>22513.350536999998</v>
      </c>
    </row>
    <row r="538" spans="1:5" x14ac:dyDescent="0.3">
      <c r="A538" t="s">
        <v>1257</v>
      </c>
      <c r="B538" t="s">
        <v>1258</v>
      </c>
      <c r="C538">
        <f t="shared" si="24"/>
        <v>6</v>
      </c>
      <c r="D538" s="7">
        <f t="shared" si="25"/>
        <v>22508.55</v>
      </c>
      <c r="E538">
        <f t="shared" si="26"/>
        <v>22508.550538</v>
      </c>
    </row>
    <row r="539" spans="1:5" x14ac:dyDescent="0.3">
      <c r="A539" t="s">
        <v>1259</v>
      </c>
      <c r="B539" t="s">
        <v>1260</v>
      </c>
      <c r="C539">
        <f t="shared" si="24"/>
        <v>9</v>
      </c>
      <c r="D539" s="7">
        <f t="shared" si="25"/>
        <v>22496.05</v>
      </c>
      <c r="E539">
        <f t="shared" si="26"/>
        <v>22496.050539</v>
      </c>
    </row>
    <row r="540" spans="1:5" x14ac:dyDescent="0.3">
      <c r="A540" t="s">
        <v>1261</v>
      </c>
      <c r="B540" t="s">
        <v>1262</v>
      </c>
      <c r="C540">
        <f t="shared" si="24"/>
        <v>4</v>
      </c>
      <c r="D540" s="7">
        <f t="shared" si="25"/>
        <v>22490.100000000002</v>
      </c>
      <c r="E540">
        <f t="shared" si="26"/>
        <v>22490.100540000003</v>
      </c>
    </row>
    <row r="541" spans="1:5" x14ac:dyDescent="0.3">
      <c r="A541" t="s">
        <v>1263</v>
      </c>
      <c r="B541" t="s">
        <v>1264</v>
      </c>
      <c r="C541">
        <f t="shared" si="24"/>
        <v>4</v>
      </c>
      <c r="D541" s="7">
        <f t="shared" si="25"/>
        <v>22433.75</v>
      </c>
      <c r="E541">
        <f t="shared" si="26"/>
        <v>22433.750541000001</v>
      </c>
    </row>
    <row r="542" spans="1:5" x14ac:dyDescent="0.3">
      <c r="A542" t="s">
        <v>1265</v>
      </c>
      <c r="B542" t="s">
        <v>1266</v>
      </c>
      <c r="C542">
        <f t="shared" si="24"/>
        <v>5</v>
      </c>
      <c r="D542" s="7">
        <f t="shared" si="25"/>
        <v>22428.400000000001</v>
      </c>
      <c r="E542">
        <f t="shared" si="26"/>
        <v>22428.400542000003</v>
      </c>
    </row>
    <row r="543" spans="1:5" x14ac:dyDescent="0.3">
      <c r="A543" t="s">
        <v>1267</v>
      </c>
      <c r="B543" t="s">
        <v>1268</v>
      </c>
      <c r="C543">
        <f t="shared" si="24"/>
        <v>6</v>
      </c>
      <c r="D543" s="7">
        <f t="shared" si="25"/>
        <v>22408.75</v>
      </c>
      <c r="E543">
        <f t="shared" si="26"/>
        <v>22408.750542999998</v>
      </c>
    </row>
    <row r="544" spans="1:5" x14ac:dyDescent="0.3">
      <c r="A544" t="s">
        <v>1269</v>
      </c>
      <c r="B544" t="s">
        <v>1270</v>
      </c>
      <c r="C544">
        <f t="shared" si="24"/>
        <v>6</v>
      </c>
      <c r="D544" s="7">
        <f t="shared" si="25"/>
        <v>22381.200000000001</v>
      </c>
      <c r="E544">
        <f t="shared" si="26"/>
        <v>22381.200543999999</v>
      </c>
    </row>
    <row r="545" spans="1:5" x14ac:dyDescent="0.3">
      <c r="A545" t="s">
        <v>1271</v>
      </c>
      <c r="B545" t="s">
        <v>1272</v>
      </c>
      <c r="C545">
        <f t="shared" si="24"/>
        <v>5</v>
      </c>
      <c r="D545" s="7">
        <f t="shared" si="25"/>
        <v>22378.7</v>
      </c>
      <c r="E545">
        <f t="shared" si="26"/>
        <v>22378.700545</v>
      </c>
    </row>
    <row r="546" spans="1:5" x14ac:dyDescent="0.3">
      <c r="A546" t="s">
        <v>1273</v>
      </c>
      <c r="B546" t="s">
        <v>1274</v>
      </c>
      <c r="C546">
        <f t="shared" si="24"/>
        <v>2</v>
      </c>
      <c r="D546" s="7">
        <f t="shared" si="25"/>
        <v>22345.05</v>
      </c>
      <c r="E546">
        <f t="shared" si="26"/>
        <v>22345.050545999999</v>
      </c>
    </row>
    <row r="547" spans="1:5" x14ac:dyDescent="0.3">
      <c r="A547" t="s">
        <v>1275</v>
      </c>
      <c r="B547" t="s">
        <v>1276</v>
      </c>
      <c r="C547">
        <f t="shared" si="24"/>
        <v>5</v>
      </c>
      <c r="D547" s="7">
        <f t="shared" si="25"/>
        <v>22321.05</v>
      </c>
      <c r="E547">
        <f t="shared" si="26"/>
        <v>22321.050546999999</v>
      </c>
    </row>
    <row r="548" spans="1:5" x14ac:dyDescent="0.3">
      <c r="A548" t="s">
        <v>1277</v>
      </c>
      <c r="B548" t="s">
        <v>1278</v>
      </c>
      <c r="C548">
        <f t="shared" si="24"/>
        <v>4</v>
      </c>
      <c r="D548" s="7">
        <f t="shared" si="25"/>
        <v>22265.35</v>
      </c>
      <c r="E548">
        <f t="shared" si="26"/>
        <v>22265.350547999999</v>
      </c>
    </row>
    <row r="549" spans="1:5" x14ac:dyDescent="0.3">
      <c r="A549" t="s">
        <v>1279</v>
      </c>
      <c r="B549" t="s">
        <v>1280</v>
      </c>
      <c r="C549">
        <f t="shared" si="24"/>
        <v>4</v>
      </c>
      <c r="D549" s="7">
        <f t="shared" si="25"/>
        <v>22256.5</v>
      </c>
      <c r="E549">
        <f t="shared" si="26"/>
        <v>22256.500549</v>
      </c>
    </row>
    <row r="550" spans="1:5" x14ac:dyDescent="0.3">
      <c r="A550" t="s">
        <v>1281</v>
      </c>
      <c r="B550" t="s">
        <v>1282</v>
      </c>
      <c r="C550">
        <f t="shared" si="24"/>
        <v>3</v>
      </c>
      <c r="D550" s="7">
        <f t="shared" si="25"/>
        <v>22236.85</v>
      </c>
      <c r="E550">
        <f t="shared" si="26"/>
        <v>22236.850549999999</v>
      </c>
    </row>
    <row r="551" spans="1:5" x14ac:dyDescent="0.3">
      <c r="A551" t="s">
        <v>1283</v>
      </c>
      <c r="B551" t="s">
        <v>1284</v>
      </c>
      <c r="C551">
        <f t="shared" si="24"/>
        <v>2</v>
      </c>
      <c r="D551" s="7">
        <f t="shared" si="25"/>
        <v>22231.05</v>
      </c>
      <c r="E551">
        <f t="shared" si="26"/>
        <v>22231.050551</v>
      </c>
    </row>
    <row r="552" spans="1:5" x14ac:dyDescent="0.3">
      <c r="A552" t="s">
        <v>1285</v>
      </c>
      <c r="B552" t="s">
        <v>1286</v>
      </c>
      <c r="C552">
        <f t="shared" si="24"/>
        <v>3</v>
      </c>
      <c r="D552" s="7">
        <f t="shared" si="25"/>
        <v>22164.75</v>
      </c>
      <c r="E552">
        <f t="shared" si="26"/>
        <v>22164.750552000001</v>
      </c>
    </row>
    <row r="553" spans="1:5" x14ac:dyDescent="0.3">
      <c r="A553" t="s">
        <v>1287</v>
      </c>
      <c r="B553" t="s">
        <v>1288</v>
      </c>
      <c r="C553">
        <f t="shared" si="24"/>
        <v>6</v>
      </c>
      <c r="D553" s="7">
        <f t="shared" si="25"/>
        <v>22134.3</v>
      </c>
      <c r="E553">
        <f t="shared" si="26"/>
        <v>22134.300553000001</v>
      </c>
    </row>
    <row r="554" spans="1:5" x14ac:dyDescent="0.3">
      <c r="A554" t="s">
        <v>1289</v>
      </c>
      <c r="B554" t="s">
        <v>1290</v>
      </c>
      <c r="C554">
        <f t="shared" si="24"/>
        <v>4</v>
      </c>
      <c r="D554" s="7">
        <f t="shared" si="25"/>
        <v>22111.5</v>
      </c>
      <c r="E554">
        <f t="shared" si="26"/>
        <v>22111.500553999998</v>
      </c>
    </row>
    <row r="555" spans="1:5" x14ac:dyDescent="0.3">
      <c r="A555" t="s">
        <v>1291</v>
      </c>
      <c r="B555" t="s">
        <v>1292</v>
      </c>
      <c r="C555">
        <f t="shared" si="24"/>
        <v>6</v>
      </c>
      <c r="D555" s="7">
        <f t="shared" si="25"/>
        <v>22075.45</v>
      </c>
      <c r="E555">
        <f t="shared" si="26"/>
        <v>22075.450554999999</v>
      </c>
    </row>
    <row r="556" spans="1:5" x14ac:dyDescent="0.3">
      <c r="A556" t="s">
        <v>1293</v>
      </c>
      <c r="B556" t="s">
        <v>1294</v>
      </c>
      <c r="C556">
        <f t="shared" si="24"/>
        <v>4</v>
      </c>
      <c r="D556" s="7">
        <f t="shared" si="25"/>
        <v>22074.400000000001</v>
      </c>
      <c r="E556">
        <f t="shared" si="26"/>
        <v>22074.400556000001</v>
      </c>
    </row>
    <row r="557" spans="1:5" x14ac:dyDescent="0.3">
      <c r="A557" t="s">
        <v>1295</v>
      </c>
      <c r="B557" t="s">
        <v>1296</v>
      </c>
      <c r="C557">
        <f t="shared" si="24"/>
        <v>4</v>
      </c>
      <c r="D557" s="7">
        <f t="shared" si="25"/>
        <v>21990.3</v>
      </c>
      <c r="E557">
        <f t="shared" si="26"/>
        <v>21990.300556999999</v>
      </c>
    </row>
    <row r="558" spans="1:5" x14ac:dyDescent="0.3">
      <c r="A558" t="s">
        <v>1297</v>
      </c>
      <c r="B558" t="s">
        <v>1298</v>
      </c>
      <c r="C558">
        <f t="shared" si="24"/>
        <v>4</v>
      </c>
      <c r="D558" s="7">
        <f t="shared" si="25"/>
        <v>21981.800000000003</v>
      </c>
      <c r="E558">
        <f t="shared" si="26"/>
        <v>21981.800558000003</v>
      </c>
    </row>
    <row r="559" spans="1:5" x14ac:dyDescent="0.3">
      <c r="A559" t="s">
        <v>1299</v>
      </c>
      <c r="B559" t="s">
        <v>1300</v>
      </c>
      <c r="C559">
        <f t="shared" si="24"/>
        <v>3</v>
      </c>
      <c r="D559" s="7">
        <f t="shared" si="25"/>
        <v>21913.3</v>
      </c>
      <c r="E559">
        <f t="shared" si="26"/>
        <v>21913.300558999999</v>
      </c>
    </row>
    <row r="560" spans="1:5" x14ac:dyDescent="0.3">
      <c r="A560" t="s">
        <v>1301</v>
      </c>
      <c r="B560" t="s">
        <v>1302</v>
      </c>
      <c r="C560">
        <f t="shared" si="24"/>
        <v>6</v>
      </c>
      <c r="D560" s="7">
        <f t="shared" si="25"/>
        <v>21910.65</v>
      </c>
      <c r="E560">
        <f t="shared" si="26"/>
        <v>21910.650560000002</v>
      </c>
    </row>
    <row r="561" spans="1:5" x14ac:dyDescent="0.3">
      <c r="A561" t="s">
        <v>1303</v>
      </c>
      <c r="B561" t="s">
        <v>1304</v>
      </c>
      <c r="C561">
        <f t="shared" si="24"/>
        <v>5</v>
      </c>
      <c r="D561" s="7">
        <f t="shared" si="25"/>
        <v>21895.5</v>
      </c>
      <c r="E561">
        <f t="shared" si="26"/>
        <v>21895.500561000001</v>
      </c>
    </row>
    <row r="562" spans="1:5" x14ac:dyDescent="0.3">
      <c r="A562" t="s">
        <v>1305</v>
      </c>
      <c r="B562" t="s">
        <v>1306</v>
      </c>
      <c r="C562">
        <f t="shared" si="24"/>
        <v>6</v>
      </c>
      <c r="D562" s="7">
        <f t="shared" si="25"/>
        <v>21836.550000000003</v>
      </c>
      <c r="E562">
        <f t="shared" si="26"/>
        <v>21836.550562000004</v>
      </c>
    </row>
    <row r="563" spans="1:5" x14ac:dyDescent="0.3">
      <c r="A563" t="s">
        <v>1307</v>
      </c>
      <c r="B563" t="s">
        <v>1308</v>
      </c>
      <c r="C563">
        <f t="shared" si="24"/>
        <v>5</v>
      </c>
      <c r="D563" s="7">
        <f t="shared" si="25"/>
        <v>21816.9</v>
      </c>
      <c r="E563">
        <f t="shared" si="26"/>
        <v>21816.900563000003</v>
      </c>
    </row>
    <row r="564" spans="1:5" x14ac:dyDescent="0.3">
      <c r="A564" t="s">
        <v>1309</v>
      </c>
      <c r="B564" t="s">
        <v>1310</v>
      </c>
      <c r="C564">
        <f t="shared" si="24"/>
        <v>4</v>
      </c>
      <c r="D564" s="7">
        <f t="shared" si="25"/>
        <v>21770.649999999998</v>
      </c>
      <c r="E564">
        <f t="shared" si="26"/>
        <v>21770.650564</v>
      </c>
    </row>
    <row r="565" spans="1:5" x14ac:dyDescent="0.3">
      <c r="A565" t="s">
        <v>1311</v>
      </c>
      <c r="B565" t="s">
        <v>1312</v>
      </c>
      <c r="C565">
        <f t="shared" si="24"/>
        <v>4</v>
      </c>
      <c r="D565" s="7">
        <f t="shared" si="25"/>
        <v>21769.5</v>
      </c>
      <c r="E565">
        <f t="shared" si="26"/>
        <v>21769.500564999998</v>
      </c>
    </row>
    <row r="566" spans="1:5" x14ac:dyDescent="0.3">
      <c r="A566" t="s">
        <v>1313</v>
      </c>
      <c r="B566" t="s">
        <v>1314</v>
      </c>
      <c r="C566">
        <f t="shared" si="24"/>
        <v>4</v>
      </c>
      <c r="D566" s="7">
        <f t="shared" si="25"/>
        <v>21755.25</v>
      </c>
      <c r="E566">
        <f t="shared" si="26"/>
        <v>21755.250565999999</v>
      </c>
    </row>
    <row r="567" spans="1:5" x14ac:dyDescent="0.3">
      <c r="A567" t="s">
        <v>1315</v>
      </c>
      <c r="B567" t="s">
        <v>1316</v>
      </c>
      <c r="C567">
        <f t="shared" si="24"/>
        <v>4</v>
      </c>
      <c r="D567" s="7">
        <f t="shared" si="25"/>
        <v>21738.05</v>
      </c>
      <c r="E567">
        <f t="shared" si="26"/>
        <v>21738.050566999998</v>
      </c>
    </row>
    <row r="568" spans="1:5" x14ac:dyDescent="0.3">
      <c r="A568" t="s">
        <v>1317</v>
      </c>
      <c r="B568" t="s">
        <v>1318</v>
      </c>
      <c r="C568">
        <f t="shared" si="24"/>
        <v>5</v>
      </c>
      <c r="D568" s="7">
        <f t="shared" si="25"/>
        <v>21718</v>
      </c>
      <c r="E568">
        <f t="shared" si="26"/>
        <v>21718.000567999999</v>
      </c>
    </row>
    <row r="569" spans="1:5" x14ac:dyDescent="0.3">
      <c r="A569" t="s">
        <v>1319</v>
      </c>
      <c r="B569" t="s">
        <v>1320</v>
      </c>
      <c r="C569">
        <f t="shared" si="24"/>
        <v>7</v>
      </c>
      <c r="D569" s="7">
        <f t="shared" si="25"/>
        <v>21654.85</v>
      </c>
      <c r="E569">
        <f t="shared" si="26"/>
        <v>21654.850568999998</v>
      </c>
    </row>
    <row r="570" spans="1:5" x14ac:dyDescent="0.3">
      <c r="A570" t="s">
        <v>1321</v>
      </c>
      <c r="B570" t="s">
        <v>1322</v>
      </c>
      <c r="C570">
        <f t="shared" si="24"/>
        <v>5</v>
      </c>
      <c r="D570" s="7">
        <f t="shared" si="25"/>
        <v>21586.65</v>
      </c>
      <c r="E570">
        <f t="shared" si="26"/>
        <v>21586.650570000002</v>
      </c>
    </row>
    <row r="571" spans="1:5" x14ac:dyDescent="0.3">
      <c r="A571" t="s">
        <v>1323</v>
      </c>
      <c r="B571" t="s">
        <v>1324</v>
      </c>
      <c r="C571">
        <f t="shared" si="24"/>
        <v>4</v>
      </c>
      <c r="D571" s="7">
        <f t="shared" si="25"/>
        <v>21529.5</v>
      </c>
      <c r="E571">
        <f t="shared" si="26"/>
        <v>21529.500571</v>
      </c>
    </row>
    <row r="572" spans="1:5" x14ac:dyDescent="0.3">
      <c r="A572" t="s">
        <v>1325</v>
      </c>
      <c r="B572" t="s">
        <v>1326</v>
      </c>
      <c r="C572">
        <f t="shared" si="24"/>
        <v>5</v>
      </c>
      <c r="D572" s="7">
        <f t="shared" si="25"/>
        <v>21481.449999999997</v>
      </c>
      <c r="E572">
        <f t="shared" si="26"/>
        <v>21481.450571999998</v>
      </c>
    </row>
    <row r="573" spans="1:5" x14ac:dyDescent="0.3">
      <c r="A573" t="s">
        <v>1327</v>
      </c>
      <c r="B573" t="s">
        <v>1328</v>
      </c>
      <c r="C573">
        <f t="shared" si="24"/>
        <v>4</v>
      </c>
      <c r="D573" s="7">
        <f t="shared" si="25"/>
        <v>21401.45</v>
      </c>
      <c r="E573">
        <f t="shared" si="26"/>
        <v>21401.450573000002</v>
      </c>
    </row>
    <row r="574" spans="1:5" x14ac:dyDescent="0.3">
      <c r="A574" t="s">
        <v>1329</v>
      </c>
      <c r="B574" t="s">
        <v>1330</v>
      </c>
      <c r="C574">
        <f t="shared" si="24"/>
        <v>4</v>
      </c>
      <c r="D574" s="7">
        <f t="shared" si="25"/>
        <v>21365.5</v>
      </c>
      <c r="E574">
        <f t="shared" si="26"/>
        <v>21365.500574000002</v>
      </c>
    </row>
    <row r="575" spans="1:5" x14ac:dyDescent="0.3">
      <c r="A575" t="s">
        <v>1331</v>
      </c>
      <c r="B575" t="s">
        <v>1332</v>
      </c>
      <c r="C575">
        <f t="shared" si="24"/>
        <v>6</v>
      </c>
      <c r="D575" s="7">
        <f t="shared" si="25"/>
        <v>21342.7</v>
      </c>
      <c r="E575">
        <f t="shared" si="26"/>
        <v>21342.700574999999</v>
      </c>
    </row>
    <row r="576" spans="1:5" x14ac:dyDescent="0.3">
      <c r="A576" t="s">
        <v>1333</v>
      </c>
      <c r="B576" t="s">
        <v>1334</v>
      </c>
      <c r="C576">
        <f t="shared" si="24"/>
        <v>4</v>
      </c>
      <c r="D576" s="7">
        <f t="shared" si="25"/>
        <v>21268.7</v>
      </c>
      <c r="E576">
        <f t="shared" si="26"/>
        <v>21268.700575999999</v>
      </c>
    </row>
    <row r="577" spans="1:5" x14ac:dyDescent="0.3">
      <c r="A577" t="s">
        <v>1335</v>
      </c>
      <c r="B577" t="s">
        <v>1336</v>
      </c>
      <c r="C577">
        <f t="shared" si="24"/>
        <v>4</v>
      </c>
      <c r="D577" s="7">
        <f t="shared" si="25"/>
        <v>21250.400000000001</v>
      </c>
      <c r="E577">
        <f t="shared" si="26"/>
        <v>21250.400577</v>
      </c>
    </row>
    <row r="578" spans="1:5" x14ac:dyDescent="0.3">
      <c r="A578" t="s">
        <v>1337</v>
      </c>
      <c r="B578" t="s">
        <v>1338</v>
      </c>
      <c r="C578">
        <f t="shared" ref="C578:C641" si="27">COUNTIF(dCust,A578)</f>
        <v>5</v>
      </c>
      <c r="D578" s="7">
        <f t="shared" ref="D578:D641" si="28">SUMIFS(dSales,dCust,A578)</f>
        <v>21160.1</v>
      </c>
      <c r="E578">
        <f t="shared" ref="E578:E641" si="29">D578+ROW()/1000000</f>
        <v>21160.100577999998</v>
      </c>
    </row>
    <row r="579" spans="1:5" x14ac:dyDescent="0.3">
      <c r="A579" t="s">
        <v>1339</v>
      </c>
      <c r="B579" t="s">
        <v>1340</v>
      </c>
      <c r="C579">
        <f t="shared" si="27"/>
        <v>2</v>
      </c>
      <c r="D579" s="7">
        <f t="shared" si="28"/>
        <v>21142.65</v>
      </c>
      <c r="E579">
        <f t="shared" si="29"/>
        <v>21142.650579000001</v>
      </c>
    </row>
    <row r="580" spans="1:5" x14ac:dyDescent="0.3">
      <c r="A580" t="s">
        <v>1341</v>
      </c>
      <c r="B580" t="s">
        <v>1342</v>
      </c>
      <c r="C580">
        <f t="shared" si="27"/>
        <v>3</v>
      </c>
      <c r="D580" s="7">
        <f t="shared" si="28"/>
        <v>21132.25</v>
      </c>
      <c r="E580">
        <f t="shared" si="29"/>
        <v>21132.25058</v>
      </c>
    </row>
    <row r="581" spans="1:5" x14ac:dyDescent="0.3">
      <c r="A581" t="s">
        <v>1343</v>
      </c>
      <c r="B581" t="s">
        <v>1344</v>
      </c>
      <c r="C581">
        <f t="shared" si="27"/>
        <v>4</v>
      </c>
      <c r="D581" s="7">
        <f t="shared" si="28"/>
        <v>21117.5</v>
      </c>
      <c r="E581">
        <f t="shared" si="29"/>
        <v>21117.500581</v>
      </c>
    </row>
    <row r="582" spans="1:5" x14ac:dyDescent="0.3">
      <c r="A582" t="s">
        <v>1345</v>
      </c>
      <c r="B582" t="s">
        <v>1346</v>
      </c>
      <c r="C582">
        <f t="shared" si="27"/>
        <v>4</v>
      </c>
      <c r="D582" s="7">
        <f t="shared" si="28"/>
        <v>21078.850000000002</v>
      </c>
      <c r="E582">
        <f t="shared" si="29"/>
        <v>21078.850582000003</v>
      </c>
    </row>
    <row r="583" spans="1:5" x14ac:dyDescent="0.3">
      <c r="A583" t="s">
        <v>1347</v>
      </c>
      <c r="B583" t="s">
        <v>1348</v>
      </c>
      <c r="C583">
        <f t="shared" si="27"/>
        <v>7</v>
      </c>
      <c r="D583" s="7">
        <f t="shared" si="28"/>
        <v>21065.25</v>
      </c>
      <c r="E583">
        <f t="shared" si="29"/>
        <v>21065.250583000001</v>
      </c>
    </row>
    <row r="584" spans="1:5" x14ac:dyDescent="0.3">
      <c r="A584" t="s">
        <v>1349</v>
      </c>
      <c r="B584" t="s">
        <v>1350</v>
      </c>
      <c r="C584">
        <f t="shared" si="27"/>
        <v>6</v>
      </c>
      <c r="D584" s="7">
        <f t="shared" si="28"/>
        <v>21016.95</v>
      </c>
      <c r="E584">
        <f t="shared" si="29"/>
        <v>21016.950584000002</v>
      </c>
    </row>
    <row r="585" spans="1:5" x14ac:dyDescent="0.3">
      <c r="A585" t="s">
        <v>1351</v>
      </c>
      <c r="B585" t="s">
        <v>1352</v>
      </c>
      <c r="C585">
        <f t="shared" si="27"/>
        <v>4</v>
      </c>
      <c r="D585" s="7">
        <f t="shared" si="28"/>
        <v>21015.600000000002</v>
      </c>
      <c r="E585">
        <f t="shared" si="29"/>
        <v>21015.600585000004</v>
      </c>
    </row>
    <row r="586" spans="1:5" x14ac:dyDescent="0.3">
      <c r="A586" t="s">
        <v>1353</v>
      </c>
      <c r="B586" t="s">
        <v>1354</v>
      </c>
      <c r="C586">
        <f t="shared" si="27"/>
        <v>5</v>
      </c>
      <c r="D586" s="7">
        <f t="shared" si="28"/>
        <v>20943</v>
      </c>
      <c r="E586">
        <f t="shared" si="29"/>
        <v>20943.000585999998</v>
      </c>
    </row>
    <row r="587" spans="1:5" x14ac:dyDescent="0.3">
      <c r="A587" t="s">
        <v>1355</v>
      </c>
      <c r="B587" t="s">
        <v>1356</v>
      </c>
      <c r="C587">
        <f t="shared" si="27"/>
        <v>5</v>
      </c>
      <c r="D587" s="7">
        <f t="shared" si="28"/>
        <v>20929</v>
      </c>
      <c r="E587">
        <f t="shared" si="29"/>
        <v>20929.000586999999</v>
      </c>
    </row>
    <row r="588" spans="1:5" x14ac:dyDescent="0.3">
      <c r="A588" t="s">
        <v>1357</v>
      </c>
      <c r="B588" t="s">
        <v>1358</v>
      </c>
      <c r="C588">
        <f t="shared" si="27"/>
        <v>6</v>
      </c>
      <c r="D588" s="7">
        <f t="shared" si="28"/>
        <v>20702.349999999995</v>
      </c>
      <c r="E588">
        <f t="shared" si="29"/>
        <v>20702.350587999994</v>
      </c>
    </row>
    <row r="589" spans="1:5" x14ac:dyDescent="0.3">
      <c r="A589" t="s">
        <v>1359</v>
      </c>
      <c r="B589" t="s">
        <v>1360</v>
      </c>
      <c r="C589">
        <f t="shared" si="27"/>
        <v>2</v>
      </c>
      <c r="D589" s="7">
        <f t="shared" si="28"/>
        <v>20696.5</v>
      </c>
      <c r="E589">
        <f t="shared" si="29"/>
        <v>20696.500588999999</v>
      </c>
    </row>
    <row r="590" spans="1:5" x14ac:dyDescent="0.3">
      <c r="A590" t="s">
        <v>1361</v>
      </c>
      <c r="B590" t="s">
        <v>1362</v>
      </c>
      <c r="C590">
        <f t="shared" si="27"/>
        <v>5</v>
      </c>
      <c r="D590" s="7">
        <f t="shared" si="28"/>
        <v>20521.75</v>
      </c>
      <c r="E590">
        <f t="shared" si="29"/>
        <v>20521.75059</v>
      </c>
    </row>
    <row r="591" spans="1:5" x14ac:dyDescent="0.3">
      <c r="A591" t="s">
        <v>1363</v>
      </c>
      <c r="B591" t="s">
        <v>1364</v>
      </c>
      <c r="C591">
        <f t="shared" si="27"/>
        <v>4</v>
      </c>
      <c r="D591" s="7">
        <f t="shared" si="28"/>
        <v>20487.649999999998</v>
      </c>
      <c r="E591">
        <f t="shared" si="29"/>
        <v>20487.650590999998</v>
      </c>
    </row>
    <row r="592" spans="1:5" x14ac:dyDescent="0.3">
      <c r="A592" t="s">
        <v>1365</v>
      </c>
      <c r="B592" t="s">
        <v>1366</v>
      </c>
      <c r="C592">
        <f t="shared" si="27"/>
        <v>5</v>
      </c>
      <c r="D592" s="7">
        <f t="shared" si="28"/>
        <v>20337.099999999999</v>
      </c>
      <c r="E592">
        <f t="shared" si="29"/>
        <v>20337.100591999999</v>
      </c>
    </row>
    <row r="593" spans="1:5" x14ac:dyDescent="0.3">
      <c r="A593" t="s">
        <v>1367</v>
      </c>
      <c r="B593" t="s">
        <v>1368</v>
      </c>
      <c r="C593">
        <f t="shared" si="27"/>
        <v>7</v>
      </c>
      <c r="D593" s="7">
        <f t="shared" si="28"/>
        <v>20305.649999999998</v>
      </c>
      <c r="E593">
        <f t="shared" si="29"/>
        <v>20305.650592999998</v>
      </c>
    </row>
    <row r="594" spans="1:5" x14ac:dyDescent="0.3">
      <c r="A594" t="s">
        <v>1369</v>
      </c>
      <c r="B594" t="s">
        <v>1370</v>
      </c>
      <c r="C594">
        <f t="shared" si="27"/>
        <v>5</v>
      </c>
      <c r="D594" s="7">
        <f t="shared" si="28"/>
        <v>20291.850000000002</v>
      </c>
      <c r="E594">
        <f t="shared" si="29"/>
        <v>20291.850594000003</v>
      </c>
    </row>
    <row r="595" spans="1:5" x14ac:dyDescent="0.3">
      <c r="A595" t="s">
        <v>1371</v>
      </c>
      <c r="B595" t="s">
        <v>1372</v>
      </c>
      <c r="C595">
        <f t="shared" si="27"/>
        <v>3</v>
      </c>
      <c r="D595" s="7">
        <f t="shared" si="28"/>
        <v>20241.95</v>
      </c>
      <c r="E595">
        <f t="shared" si="29"/>
        <v>20241.950595000002</v>
      </c>
    </row>
    <row r="596" spans="1:5" x14ac:dyDescent="0.3">
      <c r="A596" t="s">
        <v>1373</v>
      </c>
      <c r="B596" t="s">
        <v>1374</v>
      </c>
      <c r="C596">
        <f t="shared" si="27"/>
        <v>6</v>
      </c>
      <c r="D596" s="7">
        <f t="shared" si="28"/>
        <v>20233.449999999997</v>
      </c>
      <c r="E596">
        <f t="shared" si="29"/>
        <v>20233.450595999999</v>
      </c>
    </row>
    <row r="597" spans="1:5" x14ac:dyDescent="0.3">
      <c r="A597" t="s">
        <v>1375</v>
      </c>
      <c r="B597" t="s">
        <v>1376</v>
      </c>
      <c r="C597">
        <f t="shared" si="27"/>
        <v>6</v>
      </c>
      <c r="D597" s="7">
        <f t="shared" si="28"/>
        <v>20217.199999999997</v>
      </c>
      <c r="E597">
        <f t="shared" si="29"/>
        <v>20217.200596999995</v>
      </c>
    </row>
    <row r="598" spans="1:5" x14ac:dyDescent="0.3">
      <c r="A598" t="s">
        <v>1377</v>
      </c>
      <c r="B598" t="s">
        <v>1378</v>
      </c>
      <c r="C598">
        <f t="shared" si="27"/>
        <v>5</v>
      </c>
      <c r="D598" s="7">
        <f t="shared" si="28"/>
        <v>20205.550000000003</v>
      </c>
      <c r="E598">
        <f t="shared" si="29"/>
        <v>20205.550598000002</v>
      </c>
    </row>
    <row r="599" spans="1:5" x14ac:dyDescent="0.3">
      <c r="A599" t="s">
        <v>1379</v>
      </c>
      <c r="B599" t="s">
        <v>1380</v>
      </c>
      <c r="C599">
        <f t="shared" si="27"/>
        <v>4</v>
      </c>
      <c r="D599" s="7">
        <f t="shared" si="28"/>
        <v>20159.5</v>
      </c>
      <c r="E599">
        <f t="shared" si="29"/>
        <v>20159.500598999999</v>
      </c>
    </row>
    <row r="600" spans="1:5" x14ac:dyDescent="0.3">
      <c r="A600" t="s">
        <v>1381</v>
      </c>
      <c r="B600" t="s">
        <v>1382</v>
      </c>
      <c r="C600">
        <f t="shared" si="27"/>
        <v>6</v>
      </c>
      <c r="D600" s="7">
        <f t="shared" si="28"/>
        <v>20125.75</v>
      </c>
      <c r="E600">
        <f t="shared" si="29"/>
        <v>20125.750599999999</v>
      </c>
    </row>
    <row r="601" spans="1:5" x14ac:dyDescent="0.3">
      <c r="A601" t="s">
        <v>1383</v>
      </c>
      <c r="B601" t="s">
        <v>1384</v>
      </c>
      <c r="C601">
        <f t="shared" si="27"/>
        <v>4</v>
      </c>
      <c r="D601" s="7">
        <f t="shared" si="28"/>
        <v>20090.45</v>
      </c>
      <c r="E601">
        <f t="shared" si="29"/>
        <v>20090.450601</v>
      </c>
    </row>
    <row r="602" spans="1:5" x14ac:dyDescent="0.3">
      <c r="A602" t="s">
        <v>1385</v>
      </c>
      <c r="B602" t="s">
        <v>1386</v>
      </c>
      <c r="C602">
        <f t="shared" si="27"/>
        <v>5</v>
      </c>
      <c r="D602" s="7">
        <f t="shared" si="28"/>
        <v>20065.150000000001</v>
      </c>
      <c r="E602">
        <f t="shared" si="29"/>
        <v>20065.150602000002</v>
      </c>
    </row>
    <row r="603" spans="1:5" x14ac:dyDescent="0.3">
      <c r="A603" t="s">
        <v>1387</v>
      </c>
      <c r="B603" t="s">
        <v>1388</v>
      </c>
      <c r="C603">
        <f t="shared" si="27"/>
        <v>2</v>
      </c>
      <c r="D603" s="7">
        <f t="shared" si="28"/>
        <v>19976.399999999998</v>
      </c>
      <c r="E603">
        <f t="shared" si="29"/>
        <v>19976.400602999998</v>
      </c>
    </row>
    <row r="604" spans="1:5" x14ac:dyDescent="0.3">
      <c r="A604" t="s">
        <v>1389</v>
      </c>
      <c r="B604" t="s">
        <v>1390</v>
      </c>
      <c r="C604">
        <f t="shared" si="27"/>
        <v>5</v>
      </c>
      <c r="D604" s="7">
        <f t="shared" si="28"/>
        <v>19894.8</v>
      </c>
      <c r="E604">
        <f t="shared" si="29"/>
        <v>19894.800604</v>
      </c>
    </row>
    <row r="605" spans="1:5" x14ac:dyDescent="0.3">
      <c r="A605" t="s">
        <v>1391</v>
      </c>
      <c r="B605" t="s">
        <v>1392</v>
      </c>
      <c r="C605">
        <f t="shared" si="27"/>
        <v>5</v>
      </c>
      <c r="D605" s="7">
        <f t="shared" si="28"/>
        <v>19862.05</v>
      </c>
      <c r="E605">
        <f t="shared" si="29"/>
        <v>19862.050605</v>
      </c>
    </row>
    <row r="606" spans="1:5" x14ac:dyDescent="0.3">
      <c r="A606" t="s">
        <v>1393</v>
      </c>
      <c r="B606" t="s">
        <v>1394</v>
      </c>
      <c r="C606">
        <f t="shared" si="27"/>
        <v>5</v>
      </c>
      <c r="D606" s="7">
        <f t="shared" si="28"/>
        <v>19851.849999999999</v>
      </c>
      <c r="E606">
        <f t="shared" si="29"/>
        <v>19851.850606</v>
      </c>
    </row>
    <row r="607" spans="1:5" x14ac:dyDescent="0.3">
      <c r="A607" t="s">
        <v>1395</v>
      </c>
      <c r="B607" t="s">
        <v>1396</v>
      </c>
      <c r="C607">
        <f t="shared" si="27"/>
        <v>5</v>
      </c>
      <c r="D607" s="7">
        <f t="shared" si="28"/>
        <v>19790.7</v>
      </c>
      <c r="E607">
        <f t="shared" si="29"/>
        <v>19790.700607000002</v>
      </c>
    </row>
    <row r="608" spans="1:5" x14ac:dyDescent="0.3">
      <c r="A608" t="s">
        <v>1397</v>
      </c>
      <c r="B608" t="s">
        <v>1398</v>
      </c>
      <c r="C608">
        <f t="shared" si="27"/>
        <v>6</v>
      </c>
      <c r="D608" s="7">
        <f t="shared" si="28"/>
        <v>19789.7</v>
      </c>
      <c r="E608">
        <f t="shared" si="29"/>
        <v>19789.700607999999</v>
      </c>
    </row>
    <row r="609" spans="1:5" x14ac:dyDescent="0.3">
      <c r="A609" t="s">
        <v>1399</v>
      </c>
      <c r="B609" t="s">
        <v>1400</v>
      </c>
      <c r="C609">
        <f t="shared" si="27"/>
        <v>4</v>
      </c>
      <c r="D609" s="7">
        <f t="shared" si="28"/>
        <v>19659.3</v>
      </c>
      <c r="E609">
        <f t="shared" si="29"/>
        <v>19659.300608999998</v>
      </c>
    </row>
    <row r="610" spans="1:5" x14ac:dyDescent="0.3">
      <c r="A610" t="s">
        <v>1401</v>
      </c>
      <c r="B610" t="s">
        <v>1402</v>
      </c>
      <c r="C610">
        <f t="shared" si="27"/>
        <v>3</v>
      </c>
      <c r="D610" s="7">
        <f t="shared" si="28"/>
        <v>19632.45</v>
      </c>
      <c r="E610">
        <f t="shared" si="29"/>
        <v>19632.45061</v>
      </c>
    </row>
    <row r="611" spans="1:5" x14ac:dyDescent="0.3">
      <c r="A611" t="s">
        <v>1403</v>
      </c>
      <c r="B611" t="s">
        <v>1404</v>
      </c>
      <c r="C611">
        <f t="shared" si="27"/>
        <v>4</v>
      </c>
      <c r="D611" s="7">
        <f t="shared" si="28"/>
        <v>19631.5</v>
      </c>
      <c r="E611">
        <f t="shared" si="29"/>
        <v>19631.500610999999</v>
      </c>
    </row>
    <row r="612" spans="1:5" x14ac:dyDescent="0.3">
      <c r="A612" t="s">
        <v>1405</v>
      </c>
      <c r="B612" t="s">
        <v>1406</v>
      </c>
      <c r="C612">
        <f t="shared" si="27"/>
        <v>6</v>
      </c>
      <c r="D612" s="7">
        <f t="shared" si="28"/>
        <v>19543.100000000002</v>
      </c>
      <c r="E612">
        <f t="shared" si="29"/>
        <v>19543.100612000002</v>
      </c>
    </row>
    <row r="613" spans="1:5" x14ac:dyDescent="0.3">
      <c r="A613" t="s">
        <v>1407</v>
      </c>
      <c r="B613" t="s">
        <v>1408</v>
      </c>
      <c r="C613">
        <f t="shared" si="27"/>
        <v>4</v>
      </c>
      <c r="D613" s="7">
        <f t="shared" si="28"/>
        <v>19507.45</v>
      </c>
      <c r="E613">
        <f t="shared" si="29"/>
        <v>19507.450613000001</v>
      </c>
    </row>
    <row r="614" spans="1:5" x14ac:dyDescent="0.3">
      <c r="A614" t="s">
        <v>1409</v>
      </c>
      <c r="B614" t="s">
        <v>1410</v>
      </c>
      <c r="C614">
        <f t="shared" si="27"/>
        <v>7</v>
      </c>
      <c r="D614" s="7">
        <f t="shared" si="28"/>
        <v>19463.000000000004</v>
      </c>
      <c r="E614">
        <f t="shared" si="29"/>
        <v>19463.000614000004</v>
      </c>
    </row>
    <row r="615" spans="1:5" x14ac:dyDescent="0.3">
      <c r="A615" t="s">
        <v>1411</v>
      </c>
      <c r="B615" t="s">
        <v>1412</v>
      </c>
      <c r="C615">
        <f t="shared" si="27"/>
        <v>4</v>
      </c>
      <c r="D615" s="7">
        <f t="shared" si="28"/>
        <v>19428.599999999999</v>
      </c>
      <c r="E615">
        <f t="shared" si="29"/>
        <v>19428.600614999999</v>
      </c>
    </row>
    <row r="616" spans="1:5" x14ac:dyDescent="0.3">
      <c r="A616" t="s">
        <v>1413</v>
      </c>
      <c r="B616" t="s">
        <v>1414</v>
      </c>
      <c r="C616">
        <f t="shared" si="27"/>
        <v>3</v>
      </c>
      <c r="D616" s="7">
        <f t="shared" si="28"/>
        <v>19313.599999999999</v>
      </c>
      <c r="E616">
        <f t="shared" si="29"/>
        <v>19313.600616</v>
      </c>
    </row>
    <row r="617" spans="1:5" x14ac:dyDescent="0.3">
      <c r="A617" t="s">
        <v>1415</v>
      </c>
      <c r="B617" t="s">
        <v>1416</v>
      </c>
      <c r="C617">
        <f t="shared" si="27"/>
        <v>4</v>
      </c>
      <c r="D617" s="7">
        <f t="shared" si="28"/>
        <v>19305.3</v>
      </c>
      <c r="E617">
        <f t="shared" si="29"/>
        <v>19305.300617000001</v>
      </c>
    </row>
    <row r="618" spans="1:5" x14ac:dyDescent="0.3">
      <c r="A618" t="s">
        <v>1417</v>
      </c>
      <c r="B618" t="s">
        <v>1418</v>
      </c>
      <c r="C618">
        <f t="shared" si="27"/>
        <v>2</v>
      </c>
      <c r="D618" s="7">
        <f t="shared" si="28"/>
        <v>19295.099999999999</v>
      </c>
      <c r="E618">
        <f t="shared" si="29"/>
        <v>19295.100617999997</v>
      </c>
    </row>
    <row r="619" spans="1:5" x14ac:dyDescent="0.3">
      <c r="A619" t="s">
        <v>1419</v>
      </c>
      <c r="B619" t="s">
        <v>1420</v>
      </c>
      <c r="C619">
        <f t="shared" si="27"/>
        <v>5</v>
      </c>
      <c r="D619" s="7">
        <f t="shared" si="28"/>
        <v>19270.05</v>
      </c>
      <c r="E619">
        <f t="shared" si="29"/>
        <v>19270.050618999998</v>
      </c>
    </row>
    <row r="620" spans="1:5" x14ac:dyDescent="0.3">
      <c r="A620" t="s">
        <v>1421</v>
      </c>
      <c r="B620" t="s">
        <v>1422</v>
      </c>
      <c r="C620">
        <f t="shared" si="27"/>
        <v>6</v>
      </c>
      <c r="D620" s="7">
        <f t="shared" si="28"/>
        <v>19216.7</v>
      </c>
      <c r="E620">
        <f t="shared" si="29"/>
        <v>19216.70062</v>
      </c>
    </row>
    <row r="621" spans="1:5" x14ac:dyDescent="0.3">
      <c r="A621" t="s">
        <v>1423</v>
      </c>
      <c r="B621" t="s">
        <v>1424</v>
      </c>
      <c r="C621">
        <f t="shared" si="27"/>
        <v>4</v>
      </c>
      <c r="D621" s="7">
        <f t="shared" si="28"/>
        <v>19208</v>
      </c>
      <c r="E621">
        <f t="shared" si="29"/>
        <v>19208.000620999999</v>
      </c>
    </row>
    <row r="622" spans="1:5" x14ac:dyDescent="0.3">
      <c r="A622" t="s">
        <v>1425</v>
      </c>
      <c r="B622" t="s">
        <v>1426</v>
      </c>
      <c r="C622">
        <f t="shared" si="27"/>
        <v>5</v>
      </c>
      <c r="D622" s="7">
        <f t="shared" si="28"/>
        <v>19101.400000000001</v>
      </c>
      <c r="E622">
        <f t="shared" si="29"/>
        <v>19101.400622000001</v>
      </c>
    </row>
    <row r="623" spans="1:5" x14ac:dyDescent="0.3">
      <c r="A623" t="s">
        <v>1427</v>
      </c>
      <c r="B623" t="s">
        <v>1428</v>
      </c>
      <c r="C623">
        <f t="shared" si="27"/>
        <v>3</v>
      </c>
      <c r="D623" s="7">
        <f t="shared" si="28"/>
        <v>19090.5</v>
      </c>
      <c r="E623">
        <f t="shared" si="29"/>
        <v>19090.500623</v>
      </c>
    </row>
    <row r="624" spans="1:5" x14ac:dyDescent="0.3">
      <c r="A624" t="s">
        <v>1429</v>
      </c>
      <c r="B624" t="s">
        <v>1430</v>
      </c>
      <c r="C624">
        <f t="shared" si="27"/>
        <v>3</v>
      </c>
      <c r="D624" s="7">
        <f t="shared" si="28"/>
        <v>19056.349999999999</v>
      </c>
      <c r="E624">
        <f t="shared" si="29"/>
        <v>19056.350623999999</v>
      </c>
    </row>
    <row r="625" spans="1:5" x14ac:dyDescent="0.3">
      <c r="A625" t="s">
        <v>1431</v>
      </c>
      <c r="B625" t="s">
        <v>1432</v>
      </c>
      <c r="C625">
        <f t="shared" si="27"/>
        <v>4</v>
      </c>
      <c r="D625" s="7">
        <f t="shared" si="28"/>
        <v>18988.899999999998</v>
      </c>
      <c r="E625">
        <f t="shared" si="29"/>
        <v>18988.900624999998</v>
      </c>
    </row>
    <row r="626" spans="1:5" x14ac:dyDescent="0.3">
      <c r="A626" t="s">
        <v>1433</v>
      </c>
      <c r="B626" t="s">
        <v>1434</v>
      </c>
      <c r="C626">
        <f t="shared" si="27"/>
        <v>4</v>
      </c>
      <c r="D626" s="7">
        <f t="shared" si="28"/>
        <v>18985.95</v>
      </c>
      <c r="E626">
        <f t="shared" si="29"/>
        <v>18985.950626000002</v>
      </c>
    </row>
    <row r="627" spans="1:5" x14ac:dyDescent="0.3">
      <c r="A627" t="s">
        <v>1435</v>
      </c>
      <c r="B627" t="s">
        <v>1436</v>
      </c>
      <c r="C627">
        <f t="shared" si="27"/>
        <v>4</v>
      </c>
      <c r="D627" s="7">
        <f t="shared" si="28"/>
        <v>18940.349999999999</v>
      </c>
      <c r="E627">
        <f t="shared" si="29"/>
        <v>18940.350627</v>
      </c>
    </row>
    <row r="628" spans="1:5" x14ac:dyDescent="0.3">
      <c r="A628" t="s">
        <v>1437</v>
      </c>
      <c r="B628" t="s">
        <v>1438</v>
      </c>
      <c r="C628">
        <f t="shared" si="27"/>
        <v>3</v>
      </c>
      <c r="D628" s="7">
        <f t="shared" si="28"/>
        <v>18933.8</v>
      </c>
      <c r="E628">
        <f t="shared" si="29"/>
        <v>18933.800628000001</v>
      </c>
    </row>
    <row r="629" spans="1:5" x14ac:dyDescent="0.3">
      <c r="A629" t="s">
        <v>1439</v>
      </c>
      <c r="B629" t="s">
        <v>1440</v>
      </c>
      <c r="C629">
        <f t="shared" si="27"/>
        <v>1</v>
      </c>
      <c r="D629" s="7">
        <f t="shared" si="28"/>
        <v>18897.3</v>
      </c>
      <c r="E629">
        <f t="shared" si="29"/>
        <v>18897.300628999998</v>
      </c>
    </row>
    <row r="630" spans="1:5" x14ac:dyDescent="0.3">
      <c r="A630" t="s">
        <v>1441</v>
      </c>
      <c r="B630" t="s">
        <v>1442</v>
      </c>
      <c r="C630">
        <f t="shared" si="27"/>
        <v>3</v>
      </c>
      <c r="D630" s="7">
        <f t="shared" si="28"/>
        <v>18844.099999999999</v>
      </c>
      <c r="E630">
        <f t="shared" si="29"/>
        <v>18844.100629999997</v>
      </c>
    </row>
    <row r="631" spans="1:5" x14ac:dyDescent="0.3">
      <c r="A631" t="s">
        <v>1443</v>
      </c>
      <c r="B631" t="s">
        <v>1444</v>
      </c>
      <c r="C631">
        <f t="shared" si="27"/>
        <v>3</v>
      </c>
      <c r="D631" s="7">
        <f t="shared" si="28"/>
        <v>18766.650000000001</v>
      </c>
      <c r="E631">
        <f t="shared" si="29"/>
        <v>18766.650631</v>
      </c>
    </row>
    <row r="632" spans="1:5" x14ac:dyDescent="0.3">
      <c r="A632" t="s">
        <v>1445</v>
      </c>
      <c r="B632" t="s">
        <v>1446</v>
      </c>
      <c r="C632">
        <f t="shared" si="27"/>
        <v>3</v>
      </c>
      <c r="D632" s="7">
        <f t="shared" si="28"/>
        <v>18744.099999999999</v>
      </c>
      <c r="E632">
        <f t="shared" si="29"/>
        <v>18744.100631999998</v>
      </c>
    </row>
    <row r="633" spans="1:5" x14ac:dyDescent="0.3">
      <c r="A633" t="s">
        <v>1447</v>
      </c>
      <c r="B633" t="s">
        <v>1448</v>
      </c>
      <c r="C633">
        <f t="shared" si="27"/>
        <v>3</v>
      </c>
      <c r="D633" s="7">
        <f t="shared" si="28"/>
        <v>18738.900000000001</v>
      </c>
      <c r="E633">
        <f t="shared" si="29"/>
        <v>18738.900633000001</v>
      </c>
    </row>
    <row r="634" spans="1:5" x14ac:dyDescent="0.3">
      <c r="A634" t="s">
        <v>1449</v>
      </c>
      <c r="B634" t="s">
        <v>1450</v>
      </c>
      <c r="C634">
        <f t="shared" si="27"/>
        <v>8</v>
      </c>
      <c r="D634" s="7">
        <f t="shared" si="28"/>
        <v>18690.099999999999</v>
      </c>
      <c r="E634">
        <f t="shared" si="29"/>
        <v>18690.100633999999</v>
      </c>
    </row>
    <row r="635" spans="1:5" x14ac:dyDescent="0.3">
      <c r="A635" t="s">
        <v>1451</v>
      </c>
      <c r="B635" t="s">
        <v>1452</v>
      </c>
      <c r="C635">
        <f t="shared" si="27"/>
        <v>2</v>
      </c>
      <c r="D635" s="7">
        <f t="shared" si="28"/>
        <v>18514.8</v>
      </c>
      <c r="E635">
        <f t="shared" si="29"/>
        <v>18514.800635</v>
      </c>
    </row>
    <row r="636" spans="1:5" x14ac:dyDescent="0.3">
      <c r="A636" t="s">
        <v>1453</v>
      </c>
      <c r="B636" t="s">
        <v>1454</v>
      </c>
      <c r="C636">
        <f t="shared" si="27"/>
        <v>6</v>
      </c>
      <c r="D636" s="7">
        <f t="shared" si="28"/>
        <v>18499.349999999999</v>
      </c>
      <c r="E636">
        <f t="shared" si="29"/>
        <v>18499.350635999999</v>
      </c>
    </row>
    <row r="637" spans="1:5" x14ac:dyDescent="0.3">
      <c r="A637" t="s">
        <v>1455</v>
      </c>
      <c r="B637" t="s">
        <v>1456</v>
      </c>
      <c r="C637">
        <f t="shared" si="27"/>
        <v>5</v>
      </c>
      <c r="D637" s="7">
        <f t="shared" si="28"/>
        <v>18491.5</v>
      </c>
      <c r="E637">
        <f t="shared" si="29"/>
        <v>18491.500637000001</v>
      </c>
    </row>
    <row r="638" spans="1:5" x14ac:dyDescent="0.3">
      <c r="A638" t="s">
        <v>1457</v>
      </c>
      <c r="B638" t="s">
        <v>1458</v>
      </c>
      <c r="C638">
        <f t="shared" si="27"/>
        <v>3</v>
      </c>
      <c r="D638" s="7">
        <f t="shared" si="28"/>
        <v>18384</v>
      </c>
      <c r="E638">
        <f t="shared" si="29"/>
        <v>18384.000638000001</v>
      </c>
    </row>
    <row r="639" spans="1:5" x14ac:dyDescent="0.3">
      <c r="A639" t="s">
        <v>1459</v>
      </c>
      <c r="B639" t="s">
        <v>1460</v>
      </c>
      <c r="C639">
        <f t="shared" si="27"/>
        <v>5</v>
      </c>
      <c r="D639" s="7">
        <f t="shared" si="28"/>
        <v>18265.25</v>
      </c>
      <c r="E639">
        <f t="shared" si="29"/>
        <v>18265.250639000002</v>
      </c>
    </row>
    <row r="640" spans="1:5" x14ac:dyDescent="0.3">
      <c r="A640" t="s">
        <v>1461</v>
      </c>
      <c r="B640" t="s">
        <v>1462</v>
      </c>
      <c r="C640">
        <f t="shared" si="27"/>
        <v>4</v>
      </c>
      <c r="D640" s="7">
        <f t="shared" si="28"/>
        <v>18250.3</v>
      </c>
      <c r="E640">
        <f t="shared" si="29"/>
        <v>18250.300639999998</v>
      </c>
    </row>
    <row r="641" spans="1:5" x14ac:dyDescent="0.3">
      <c r="A641" t="s">
        <v>1463</v>
      </c>
      <c r="B641" t="s">
        <v>1464</v>
      </c>
      <c r="C641">
        <f t="shared" si="27"/>
        <v>4</v>
      </c>
      <c r="D641" s="7">
        <f t="shared" si="28"/>
        <v>18189.5</v>
      </c>
      <c r="E641">
        <f t="shared" si="29"/>
        <v>18189.500640999999</v>
      </c>
    </row>
    <row r="642" spans="1:5" x14ac:dyDescent="0.3">
      <c r="A642" t="s">
        <v>1465</v>
      </c>
      <c r="B642" t="s">
        <v>1466</v>
      </c>
      <c r="C642">
        <f t="shared" ref="C642:C705" si="30">COUNTIF(dCust,A642)</f>
        <v>5</v>
      </c>
      <c r="D642" s="7">
        <f t="shared" ref="D642:D705" si="31">SUMIFS(dSales,dCust,A642)</f>
        <v>18175.849999999999</v>
      </c>
      <c r="E642">
        <f t="shared" ref="E642:E705" si="32">D642+ROW()/1000000</f>
        <v>18175.850641999998</v>
      </c>
    </row>
    <row r="643" spans="1:5" x14ac:dyDescent="0.3">
      <c r="A643" t="s">
        <v>1467</v>
      </c>
      <c r="B643" t="s">
        <v>1468</v>
      </c>
      <c r="C643">
        <f t="shared" si="30"/>
        <v>4</v>
      </c>
      <c r="D643" s="7">
        <f t="shared" si="31"/>
        <v>18131.349999999999</v>
      </c>
      <c r="E643">
        <f t="shared" si="32"/>
        <v>18131.350642999998</v>
      </c>
    </row>
    <row r="644" spans="1:5" x14ac:dyDescent="0.3">
      <c r="A644" t="s">
        <v>1469</v>
      </c>
      <c r="B644" t="s">
        <v>1470</v>
      </c>
      <c r="C644">
        <f t="shared" si="30"/>
        <v>5</v>
      </c>
      <c r="D644" s="7">
        <f t="shared" si="31"/>
        <v>18089.05</v>
      </c>
      <c r="E644">
        <f t="shared" si="32"/>
        <v>18089.050643999999</v>
      </c>
    </row>
    <row r="645" spans="1:5" x14ac:dyDescent="0.3">
      <c r="A645" t="s">
        <v>1471</v>
      </c>
      <c r="B645" t="s">
        <v>1472</v>
      </c>
      <c r="C645">
        <f t="shared" si="30"/>
        <v>2</v>
      </c>
      <c r="D645" s="7">
        <f t="shared" si="31"/>
        <v>18071.400000000001</v>
      </c>
      <c r="E645">
        <f t="shared" si="32"/>
        <v>18071.400645000002</v>
      </c>
    </row>
    <row r="646" spans="1:5" x14ac:dyDescent="0.3">
      <c r="A646" t="s">
        <v>1473</v>
      </c>
      <c r="B646" t="s">
        <v>1474</v>
      </c>
      <c r="C646">
        <f t="shared" si="30"/>
        <v>5</v>
      </c>
      <c r="D646" s="7">
        <f t="shared" si="31"/>
        <v>18037.55</v>
      </c>
      <c r="E646">
        <f t="shared" si="32"/>
        <v>18037.550646</v>
      </c>
    </row>
    <row r="647" spans="1:5" x14ac:dyDescent="0.3">
      <c r="A647" t="s">
        <v>1475</v>
      </c>
      <c r="B647" t="s">
        <v>1476</v>
      </c>
      <c r="C647">
        <f t="shared" si="30"/>
        <v>4</v>
      </c>
      <c r="D647" s="7">
        <f t="shared" si="31"/>
        <v>18022.95</v>
      </c>
      <c r="E647">
        <f t="shared" si="32"/>
        <v>18022.950647000001</v>
      </c>
    </row>
    <row r="648" spans="1:5" x14ac:dyDescent="0.3">
      <c r="A648" t="s">
        <v>1477</v>
      </c>
      <c r="B648" t="s">
        <v>1478</v>
      </c>
      <c r="C648">
        <f t="shared" si="30"/>
        <v>1</v>
      </c>
      <c r="D648" s="7">
        <f t="shared" si="31"/>
        <v>17995.5</v>
      </c>
      <c r="E648">
        <f t="shared" si="32"/>
        <v>17995.500648000001</v>
      </c>
    </row>
    <row r="649" spans="1:5" x14ac:dyDescent="0.3">
      <c r="A649" t="s">
        <v>1479</v>
      </c>
      <c r="B649" t="s">
        <v>1480</v>
      </c>
      <c r="C649">
        <f t="shared" si="30"/>
        <v>4</v>
      </c>
      <c r="D649" s="7">
        <f t="shared" si="31"/>
        <v>17952.350000000002</v>
      </c>
      <c r="E649">
        <f t="shared" si="32"/>
        <v>17952.350649000004</v>
      </c>
    </row>
    <row r="650" spans="1:5" x14ac:dyDescent="0.3">
      <c r="A650" t="s">
        <v>1481</v>
      </c>
      <c r="B650" t="s">
        <v>1482</v>
      </c>
      <c r="C650">
        <f t="shared" si="30"/>
        <v>3</v>
      </c>
      <c r="D650" s="7">
        <f t="shared" si="31"/>
        <v>17946.75</v>
      </c>
      <c r="E650">
        <f t="shared" si="32"/>
        <v>17946.750650000002</v>
      </c>
    </row>
    <row r="651" spans="1:5" x14ac:dyDescent="0.3">
      <c r="A651" t="s">
        <v>1483</v>
      </c>
      <c r="B651" t="s">
        <v>1484</v>
      </c>
      <c r="C651">
        <f t="shared" si="30"/>
        <v>2</v>
      </c>
      <c r="D651" s="7">
        <f t="shared" si="31"/>
        <v>17913.599999999999</v>
      </c>
      <c r="E651">
        <f t="shared" si="32"/>
        <v>17913.600650999997</v>
      </c>
    </row>
    <row r="652" spans="1:5" x14ac:dyDescent="0.3">
      <c r="A652" t="s">
        <v>1485</v>
      </c>
      <c r="B652" t="s">
        <v>1486</v>
      </c>
      <c r="C652">
        <f t="shared" si="30"/>
        <v>5</v>
      </c>
      <c r="D652" s="7">
        <f t="shared" si="31"/>
        <v>17838.099999999999</v>
      </c>
      <c r="E652">
        <f t="shared" si="32"/>
        <v>17838.100651999997</v>
      </c>
    </row>
    <row r="653" spans="1:5" x14ac:dyDescent="0.3">
      <c r="A653" t="s">
        <v>1487</v>
      </c>
      <c r="B653" t="s">
        <v>1488</v>
      </c>
      <c r="C653">
        <f t="shared" si="30"/>
        <v>7</v>
      </c>
      <c r="D653" s="7">
        <f t="shared" si="31"/>
        <v>17818.400000000001</v>
      </c>
      <c r="E653">
        <f t="shared" si="32"/>
        <v>17818.400653000001</v>
      </c>
    </row>
    <row r="654" spans="1:5" x14ac:dyDescent="0.3">
      <c r="A654" t="s">
        <v>1489</v>
      </c>
      <c r="B654" t="s">
        <v>1490</v>
      </c>
      <c r="C654">
        <f t="shared" si="30"/>
        <v>6</v>
      </c>
      <c r="D654" s="7">
        <f t="shared" si="31"/>
        <v>17728.5</v>
      </c>
      <c r="E654">
        <f t="shared" si="32"/>
        <v>17728.500653999999</v>
      </c>
    </row>
    <row r="655" spans="1:5" x14ac:dyDescent="0.3">
      <c r="A655" t="s">
        <v>1491</v>
      </c>
      <c r="B655" t="s">
        <v>1492</v>
      </c>
      <c r="C655">
        <f t="shared" si="30"/>
        <v>5</v>
      </c>
      <c r="D655" s="7">
        <f t="shared" si="31"/>
        <v>17679.349999999999</v>
      </c>
      <c r="E655">
        <f t="shared" si="32"/>
        <v>17679.350654999998</v>
      </c>
    </row>
    <row r="656" spans="1:5" x14ac:dyDescent="0.3">
      <c r="A656" t="s">
        <v>1493</v>
      </c>
      <c r="B656" t="s">
        <v>1494</v>
      </c>
      <c r="C656">
        <f t="shared" si="30"/>
        <v>4</v>
      </c>
      <c r="D656" s="7">
        <f t="shared" si="31"/>
        <v>17629.400000000001</v>
      </c>
      <c r="E656">
        <f t="shared" si="32"/>
        <v>17629.400656000002</v>
      </c>
    </row>
    <row r="657" spans="1:5" x14ac:dyDescent="0.3">
      <c r="A657" t="s">
        <v>1495</v>
      </c>
      <c r="B657" t="s">
        <v>1496</v>
      </c>
      <c r="C657">
        <f t="shared" si="30"/>
        <v>3</v>
      </c>
      <c r="D657" s="7">
        <f t="shared" si="31"/>
        <v>17628</v>
      </c>
      <c r="E657">
        <f t="shared" si="32"/>
        <v>17628.000657000001</v>
      </c>
    </row>
    <row r="658" spans="1:5" x14ac:dyDescent="0.3">
      <c r="A658" t="s">
        <v>1497</v>
      </c>
      <c r="B658" t="s">
        <v>1498</v>
      </c>
      <c r="C658">
        <f t="shared" si="30"/>
        <v>2</v>
      </c>
      <c r="D658" s="7">
        <f t="shared" si="31"/>
        <v>17594.400000000001</v>
      </c>
      <c r="E658">
        <f t="shared" si="32"/>
        <v>17594.400658000002</v>
      </c>
    </row>
    <row r="659" spans="1:5" x14ac:dyDescent="0.3">
      <c r="A659" t="s">
        <v>1499</v>
      </c>
      <c r="B659" t="s">
        <v>1500</v>
      </c>
      <c r="C659">
        <f t="shared" si="30"/>
        <v>3</v>
      </c>
      <c r="D659" s="7">
        <f t="shared" si="31"/>
        <v>17569.3</v>
      </c>
      <c r="E659">
        <f t="shared" si="32"/>
        <v>17569.300659</v>
      </c>
    </row>
    <row r="660" spans="1:5" x14ac:dyDescent="0.3">
      <c r="A660" t="s">
        <v>1501</v>
      </c>
      <c r="B660" t="s">
        <v>1502</v>
      </c>
      <c r="C660">
        <f t="shared" si="30"/>
        <v>5</v>
      </c>
      <c r="D660" s="7">
        <f t="shared" si="31"/>
        <v>17502.099999999999</v>
      </c>
      <c r="E660">
        <f t="shared" si="32"/>
        <v>17502.10066</v>
      </c>
    </row>
    <row r="661" spans="1:5" x14ac:dyDescent="0.3">
      <c r="A661" t="s">
        <v>1503</v>
      </c>
      <c r="B661" t="s">
        <v>1504</v>
      </c>
      <c r="C661">
        <f t="shared" si="30"/>
        <v>4</v>
      </c>
      <c r="D661" s="7">
        <f t="shared" si="31"/>
        <v>17488.2</v>
      </c>
      <c r="E661">
        <f t="shared" si="32"/>
        <v>17488.200660999999</v>
      </c>
    </row>
    <row r="662" spans="1:5" x14ac:dyDescent="0.3">
      <c r="A662" t="s">
        <v>1505</v>
      </c>
      <c r="B662" t="s">
        <v>1506</v>
      </c>
      <c r="C662">
        <f t="shared" si="30"/>
        <v>5</v>
      </c>
      <c r="D662" s="7">
        <f t="shared" si="31"/>
        <v>17471.05</v>
      </c>
      <c r="E662">
        <f t="shared" si="32"/>
        <v>17471.050661999998</v>
      </c>
    </row>
    <row r="663" spans="1:5" x14ac:dyDescent="0.3">
      <c r="A663" t="s">
        <v>1507</v>
      </c>
      <c r="B663" t="s">
        <v>1508</v>
      </c>
      <c r="C663">
        <f t="shared" si="30"/>
        <v>5</v>
      </c>
      <c r="D663" s="7">
        <f t="shared" si="31"/>
        <v>17341.3</v>
      </c>
      <c r="E663">
        <f t="shared" si="32"/>
        <v>17341.300662999998</v>
      </c>
    </row>
    <row r="664" spans="1:5" x14ac:dyDescent="0.3">
      <c r="A664" t="s">
        <v>1509</v>
      </c>
      <c r="B664" t="s">
        <v>1510</v>
      </c>
      <c r="C664">
        <f t="shared" si="30"/>
        <v>5</v>
      </c>
      <c r="D664" s="7">
        <f t="shared" si="31"/>
        <v>17289.349999999999</v>
      </c>
      <c r="E664">
        <f t="shared" si="32"/>
        <v>17289.350663999998</v>
      </c>
    </row>
    <row r="665" spans="1:5" x14ac:dyDescent="0.3">
      <c r="A665" t="s">
        <v>1511</v>
      </c>
      <c r="B665" t="s">
        <v>1512</v>
      </c>
      <c r="C665">
        <f t="shared" si="30"/>
        <v>3</v>
      </c>
      <c r="D665" s="7">
        <f t="shared" si="31"/>
        <v>17194.8</v>
      </c>
      <c r="E665">
        <f t="shared" si="32"/>
        <v>17194.800664999999</v>
      </c>
    </row>
    <row r="666" spans="1:5" x14ac:dyDescent="0.3">
      <c r="A666" t="s">
        <v>1513</v>
      </c>
      <c r="B666" t="s">
        <v>1514</v>
      </c>
      <c r="C666">
        <f t="shared" si="30"/>
        <v>5</v>
      </c>
      <c r="D666" s="7">
        <f t="shared" si="31"/>
        <v>17165.949999999997</v>
      </c>
      <c r="E666">
        <f t="shared" si="32"/>
        <v>17165.950665999997</v>
      </c>
    </row>
    <row r="667" spans="1:5" x14ac:dyDescent="0.3">
      <c r="A667" t="s">
        <v>1515</v>
      </c>
      <c r="B667" t="s">
        <v>1516</v>
      </c>
      <c r="C667">
        <f t="shared" si="30"/>
        <v>6</v>
      </c>
      <c r="D667" s="7">
        <f t="shared" si="31"/>
        <v>17154.2</v>
      </c>
      <c r="E667">
        <f t="shared" si="32"/>
        <v>17154.200667000001</v>
      </c>
    </row>
    <row r="668" spans="1:5" x14ac:dyDescent="0.3">
      <c r="A668" t="s">
        <v>1517</v>
      </c>
      <c r="B668" t="s">
        <v>1518</v>
      </c>
      <c r="C668">
        <f t="shared" si="30"/>
        <v>2</v>
      </c>
      <c r="D668" s="7">
        <f t="shared" si="31"/>
        <v>17129.400000000001</v>
      </c>
      <c r="E668">
        <f t="shared" si="32"/>
        <v>17129.400668000002</v>
      </c>
    </row>
    <row r="669" spans="1:5" x14ac:dyDescent="0.3">
      <c r="A669" t="s">
        <v>1519</v>
      </c>
      <c r="B669" t="s">
        <v>1520</v>
      </c>
      <c r="C669">
        <f t="shared" si="30"/>
        <v>6</v>
      </c>
      <c r="D669" s="7">
        <f t="shared" si="31"/>
        <v>17128.75</v>
      </c>
      <c r="E669">
        <f t="shared" si="32"/>
        <v>17128.750669000001</v>
      </c>
    </row>
    <row r="670" spans="1:5" x14ac:dyDescent="0.3">
      <c r="A670" t="s">
        <v>1521</v>
      </c>
      <c r="B670" t="s">
        <v>1522</v>
      </c>
      <c r="C670">
        <f t="shared" si="30"/>
        <v>4</v>
      </c>
      <c r="D670" s="7">
        <f t="shared" si="31"/>
        <v>17091.8</v>
      </c>
      <c r="E670">
        <f t="shared" si="32"/>
        <v>17091.800670000001</v>
      </c>
    </row>
    <row r="671" spans="1:5" x14ac:dyDescent="0.3">
      <c r="A671" t="s">
        <v>1523</v>
      </c>
      <c r="B671" t="s">
        <v>1524</v>
      </c>
      <c r="C671">
        <f t="shared" si="30"/>
        <v>6</v>
      </c>
      <c r="D671" s="7">
        <f t="shared" si="31"/>
        <v>17038.900000000001</v>
      </c>
      <c r="E671">
        <f t="shared" si="32"/>
        <v>17038.900671000003</v>
      </c>
    </row>
    <row r="672" spans="1:5" x14ac:dyDescent="0.3">
      <c r="A672" t="s">
        <v>1525</v>
      </c>
      <c r="B672" t="s">
        <v>1526</v>
      </c>
      <c r="C672">
        <f t="shared" si="30"/>
        <v>4</v>
      </c>
      <c r="D672" s="7">
        <f t="shared" si="31"/>
        <v>17003.45</v>
      </c>
      <c r="E672">
        <f t="shared" si="32"/>
        <v>17003.450671999999</v>
      </c>
    </row>
    <row r="673" spans="1:5" x14ac:dyDescent="0.3">
      <c r="A673" t="s">
        <v>1527</v>
      </c>
      <c r="B673" t="s">
        <v>1528</v>
      </c>
      <c r="C673">
        <f t="shared" si="30"/>
        <v>5</v>
      </c>
      <c r="D673" s="7">
        <f t="shared" si="31"/>
        <v>16980.55</v>
      </c>
      <c r="E673">
        <f t="shared" si="32"/>
        <v>16980.550672999998</v>
      </c>
    </row>
    <row r="674" spans="1:5" x14ac:dyDescent="0.3">
      <c r="A674" t="s">
        <v>1529</v>
      </c>
      <c r="B674" t="s">
        <v>1530</v>
      </c>
      <c r="C674">
        <f t="shared" si="30"/>
        <v>4</v>
      </c>
      <c r="D674" s="7">
        <f t="shared" si="31"/>
        <v>16969.650000000001</v>
      </c>
      <c r="E674">
        <f t="shared" si="32"/>
        <v>16969.650674</v>
      </c>
    </row>
    <row r="675" spans="1:5" x14ac:dyDescent="0.3">
      <c r="A675" t="s">
        <v>1531</v>
      </c>
      <c r="B675" t="s">
        <v>1532</v>
      </c>
      <c r="C675">
        <f t="shared" si="30"/>
        <v>6</v>
      </c>
      <c r="D675" s="7">
        <f t="shared" si="31"/>
        <v>16954.3</v>
      </c>
      <c r="E675">
        <f t="shared" si="32"/>
        <v>16954.300674999999</v>
      </c>
    </row>
    <row r="676" spans="1:5" x14ac:dyDescent="0.3">
      <c r="A676" t="s">
        <v>1533</v>
      </c>
      <c r="B676" t="s">
        <v>1534</v>
      </c>
      <c r="C676">
        <f t="shared" si="30"/>
        <v>6</v>
      </c>
      <c r="D676" s="7">
        <f t="shared" si="31"/>
        <v>16906.45</v>
      </c>
      <c r="E676">
        <f t="shared" si="32"/>
        <v>16906.450676</v>
      </c>
    </row>
    <row r="677" spans="1:5" x14ac:dyDescent="0.3">
      <c r="A677" t="s">
        <v>1535</v>
      </c>
      <c r="B677" t="s">
        <v>1536</v>
      </c>
      <c r="C677">
        <f t="shared" si="30"/>
        <v>5</v>
      </c>
      <c r="D677" s="7">
        <f t="shared" si="31"/>
        <v>16820.8</v>
      </c>
      <c r="E677">
        <f t="shared" si="32"/>
        <v>16820.800676999999</v>
      </c>
    </row>
    <row r="678" spans="1:5" x14ac:dyDescent="0.3">
      <c r="A678" t="s">
        <v>1537</v>
      </c>
      <c r="B678" t="s">
        <v>1538</v>
      </c>
      <c r="C678">
        <f t="shared" si="30"/>
        <v>4</v>
      </c>
      <c r="D678" s="7">
        <f t="shared" si="31"/>
        <v>16771.55</v>
      </c>
      <c r="E678">
        <f t="shared" si="32"/>
        <v>16771.550678</v>
      </c>
    </row>
    <row r="679" spans="1:5" x14ac:dyDescent="0.3">
      <c r="A679" t="s">
        <v>1539</v>
      </c>
      <c r="B679" t="s">
        <v>1540</v>
      </c>
      <c r="C679">
        <f t="shared" si="30"/>
        <v>2</v>
      </c>
      <c r="D679" s="7">
        <f t="shared" si="31"/>
        <v>16766.900000000001</v>
      </c>
      <c r="E679">
        <f t="shared" si="32"/>
        <v>16766.900679000002</v>
      </c>
    </row>
    <row r="680" spans="1:5" x14ac:dyDescent="0.3">
      <c r="A680" t="s">
        <v>1541</v>
      </c>
      <c r="B680" t="s">
        <v>1542</v>
      </c>
      <c r="C680">
        <f t="shared" si="30"/>
        <v>6</v>
      </c>
      <c r="D680" s="7">
        <f t="shared" si="31"/>
        <v>16742.25</v>
      </c>
      <c r="E680">
        <f t="shared" si="32"/>
        <v>16742.250680000001</v>
      </c>
    </row>
    <row r="681" spans="1:5" x14ac:dyDescent="0.3">
      <c r="A681" t="s">
        <v>1543</v>
      </c>
      <c r="B681" t="s">
        <v>1544</v>
      </c>
      <c r="C681">
        <f t="shared" si="30"/>
        <v>2</v>
      </c>
      <c r="D681" s="7">
        <f t="shared" si="31"/>
        <v>16694.400000000001</v>
      </c>
      <c r="E681">
        <f t="shared" si="32"/>
        <v>16694.400681000003</v>
      </c>
    </row>
    <row r="682" spans="1:5" x14ac:dyDescent="0.3">
      <c r="A682" t="s">
        <v>1545</v>
      </c>
      <c r="B682" t="s">
        <v>1546</v>
      </c>
      <c r="C682">
        <f t="shared" si="30"/>
        <v>4</v>
      </c>
      <c r="D682" s="7">
        <f t="shared" si="31"/>
        <v>16676.25</v>
      </c>
      <c r="E682">
        <f t="shared" si="32"/>
        <v>16676.250682000002</v>
      </c>
    </row>
    <row r="683" spans="1:5" x14ac:dyDescent="0.3">
      <c r="A683" t="s">
        <v>1547</v>
      </c>
      <c r="B683" t="s">
        <v>1548</v>
      </c>
      <c r="C683">
        <f t="shared" si="30"/>
        <v>6</v>
      </c>
      <c r="D683" s="7">
        <f t="shared" si="31"/>
        <v>16605.599999999999</v>
      </c>
      <c r="E683">
        <f t="shared" si="32"/>
        <v>16605.600682999997</v>
      </c>
    </row>
    <row r="684" spans="1:5" x14ac:dyDescent="0.3">
      <c r="A684" t="s">
        <v>1549</v>
      </c>
      <c r="B684" t="s">
        <v>1550</v>
      </c>
      <c r="C684">
        <f t="shared" si="30"/>
        <v>5</v>
      </c>
      <c r="D684" s="7">
        <f t="shared" si="31"/>
        <v>16590</v>
      </c>
      <c r="E684">
        <f t="shared" si="32"/>
        <v>16590.000683999999</v>
      </c>
    </row>
    <row r="685" spans="1:5" x14ac:dyDescent="0.3">
      <c r="A685" t="s">
        <v>1551</v>
      </c>
      <c r="B685" t="s">
        <v>1552</v>
      </c>
      <c r="C685">
        <f t="shared" si="30"/>
        <v>7</v>
      </c>
      <c r="D685" s="7">
        <f t="shared" si="31"/>
        <v>16579.900000000001</v>
      </c>
      <c r="E685">
        <f t="shared" si="32"/>
        <v>16579.900685000001</v>
      </c>
    </row>
    <row r="686" spans="1:5" x14ac:dyDescent="0.3">
      <c r="A686" t="s">
        <v>1553</v>
      </c>
      <c r="B686" t="s">
        <v>1554</v>
      </c>
      <c r="C686">
        <f t="shared" si="30"/>
        <v>6</v>
      </c>
      <c r="D686" s="7">
        <f t="shared" si="31"/>
        <v>16571.7</v>
      </c>
      <c r="E686">
        <f t="shared" si="32"/>
        <v>16571.700686</v>
      </c>
    </row>
    <row r="687" spans="1:5" x14ac:dyDescent="0.3">
      <c r="A687" t="s">
        <v>1555</v>
      </c>
      <c r="B687" t="s">
        <v>1556</v>
      </c>
      <c r="C687">
        <f t="shared" si="30"/>
        <v>4</v>
      </c>
      <c r="D687" s="7">
        <f t="shared" si="31"/>
        <v>16547.550000000003</v>
      </c>
      <c r="E687">
        <f t="shared" si="32"/>
        <v>16547.550687000003</v>
      </c>
    </row>
    <row r="688" spans="1:5" x14ac:dyDescent="0.3">
      <c r="A688" t="s">
        <v>1557</v>
      </c>
      <c r="B688" t="s">
        <v>1558</v>
      </c>
      <c r="C688">
        <f t="shared" si="30"/>
        <v>5</v>
      </c>
      <c r="D688" s="7">
        <f t="shared" si="31"/>
        <v>16493.650000000001</v>
      </c>
      <c r="E688">
        <f t="shared" si="32"/>
        <v>16493.650688000002</v>
      </c>
    </row>
    <row r="689" spans="1:5" x14ac:dyDescent="0.3">
      <c r="A689" t="s">
        <v>1559</v>
      </c>
      <c r="B689" t="s">
        <v>1560</v>
      </c>
      <c r="C689">
        <f t="shared" si="30"/>
        <v>5</v>
      </c>
      <c r="D689" s="7">
        <f t="shared" si="31"/>
        <v>16460.95</v>
      </c>
      <c r="E689">
        <f t="shared" si="32"/>
        <v>16460.950689000001</v>
      </c>
    </row>
    <row r="690" spans="1:5" x14ac:dyDescent="0.3">
      <c r="A690" t="s">
        <v>1561</v>
      </c>
      <c r="B690" t="s">
        <v>1562</v>
      </c>
      <c r="C690">
        <f t="shared" si="30"/>
        <v>5</v>
      </c>
      <c r="D690" s="7">
        <f t="shared" si="31"/>
        <v>16409.5</v>
      </c>
      <c r="E690">
        <f t="shared" si="32"/>
        <v>16409.500690000001</v>
      </c>
    </row>
    <row r="691" spans="1:5" x14ac:dyDescent="0.3">
      <c r="A691" t="s">
        <v>1563</v>
      </c>
      <c r="B691" t="s">
        <v>1564</v>
      </c>
      <c r="C691">
        <f t="shared" si="30"/>
        <v>2</v>
      </c>
      <c r="D691" s="7">
        <f t="shared" si="31"/>
        <v>16394.55</v>
      </c>
      <c r="E691">
        <f t="shared" si="32"/>
        <v>16394.550691</v>
      </c>
    </row>
    <row r="692" spans="1:5" x14ac:dyDescent="0.3">
      <c r="A692" t="s">
        <v>1565</v>
      </c>
      <c r="B692" t="s">
        <v>1566</v>
      </c>
      <c r="C692">
        <f t="shared" si="30"/>
        <v>4</v>
      </c>
      <c r="D692" s="7">
        <f t="shared" si="31"/>
        <v>16390.349999999999</v>
      </c>
      <c r="E692">
        <f t="shared" si="32"/>
        <v>16390.350692</v>
      </c>
    </row>
    <row r="693" spans="1:5" x14ac:dyDescent="0.3">
      <c r="A693" t="s">
        <v>1567</v>
      </c>
      <c r="B693" t="s">
        <v>1568</v>
      </c>
      <c r="C693">
        <f t="shared" si="30"/>
        <v>4</v>
      </c>
      <c r="D693" s="7">
        <f t="shared" si="31"/>
        <v>16387.150000000001</v>
      </c>
      <c r="E693">
        <f t="shared" si="32"/>
        <v>16387.150693000003</v>
      </c>
    </row>
    <row r="694" spans="1:5" x14ac:dyDescent="0.3">
      <c r="A694" t="s">
        <v>1569</v>
      </c>
      <c r="B694" t="s">
        <v>1570</v>
      </c>
      <c r="C694">
        <f t="shared" si="30"/>
        <v>5</v>
      </c>
      <c r="D694" s="7">
        <f t="shared" si="31"/>
        <v>16379.900000000001</v>
      </c>
      <c r="E694">
        <f t="shared" si="32"/>
        <v>16379.900694000002</v>
      </c>
    </row>
    <row r="695" spans="1:5" x14ac:dyDescent="0.3">
      <c r="A695" t="s">
        <v>1571</v>
      </c>
      <c r="B695" t="s">
        <v>1572</v>
      </c>
      <c r="C695">
        <f t="shared" si="30"/>
        <v>8</v>
      </c>
      <c r="D695" s="7">
        <f t="shared" si="31"/>
        <v>16370.25</v>
      </c>
      <c r="E695">
        <f t="shared" si="32"/>
        <v>16370.250695000001</v>
      </c>
    </row>
    <row r="696" spans="1:5" x14ac:dyDescent="0.3">
      <c r="A696" t="s">
        <v>1573</v>
      </c>
      <c r="B696" t="s">
        <v>1574</v>
      </c>
      <c r="C696">
        <f t="shared" si="30"/>
        <v>3</v>
      </c>
      <c r="D696" s="7">
        <f t="shared" si="31"/>
        <v>16348.1</v>
      </c>
      <c r="E696">
        <f t="shared" si="32"/>
        <v>16348.100696</v>
      </c>
    </row>
    <row r="697" spans="1:5" x14ac:dyDescent="0.3">
      <c r="A697" t="s">
        <v>1575</v>
      </c>
      <c r="B697" t="s">
        <v>1576</v>
      </c>
      <c r="C697">
        <f t="shared" si="30"/>
        <v>3</v>
      </c>
      <c r="D697" s="7">
        <f t="shared" si="31"/>
        <v>16326.3</v>
      </c>
      <c r="E697">
        <f t="shared" si="32"/>
        <v>16326.300696999999</v>
      </c>
    </row>
    <row r="698" spans="1:5" x14ac:dyDescent="0.3">
      <c r="A698" t="s">
        <v>1577</v>
      </c>
      <c r="B698" t="s">
        <v>1578</v>
      </c>
      <c r="C698">
        <f t="shared" si="30"/>
        <v>3</v>
      </c>
      <c r="D698" s="7">
        <f t="shared" si="31"/>
        <v>16317.55</v>
      </c>
      <c r="E698">
        <f t="shared" si="32"/>
        <v>16317.550697999999</v>
      </c>
    </row>
    <row r="699" spans="1:5" x14ac:dyDescent="0.3">
      <c r="A699" t="s">
        <v>1579</v>
      </c>
      <c r="B699" t="s">
        <v>1580</v>
      </c>
      <c r="C699">
        <f t="shared" si="30"/>
        <v>4</v>
      </c>
      <c r="D699" s="7">
        <f t="shared" si="31"/>
        <v>16272.95</v>
      </c>
      <c r="E699">
        <f t="shared" si="32"/>
        <v>16272.950699000001</v>
      </c>
    </row>
    <row r="700" spans="1:5" x14ac:dyDescent="0.3">
      <c r="A700" t="s">
        <v>1581</v>
      </c>
      <c r="B700" t="s">
        <v>1582</v>
      </c>
      <c r="C700">
        <f t="shared" si="30"/>
        <v>3</v>
      </c>
      <c r="D700" s="7">
        <f t="shared" si="31"/>
        <v>16272.75</v>
      </c>
      <c r="E700">
        <f t="shared" si="32"/>
        <v>16272.750700000001</v>
      </c>
    </row>
    <row r="701" spans="1:5" x14ac:dyDescent="0.3">
      <c r="A701" t="s">
        <v>1583</v>
      </c>
      <c r="B701" t="s">
        <v>1584</v>
      </c>
      <c r="C701">
        <f t="shared" si="30"/>
        <v>5</v>
      </c>
      <c r="D701" s="7">
        <f t="shared" si="31"/>
        <v>16227.7</v>
      </c>
      <c r="E701">
        <f t="shared" si="32"/>
        <v>16227.700701000002</v>
      </c>
    </row>
    <row r="702" spans="1:5" x14ac:dyDescent="0.3">
      <c r="A702" t="s">
        <v>1585</v>
      </c>
      <c r="B702" t="s">
        <v>1586</v>
      </c>
      <c r="C702">
        <f t="shared" si="30"/>
        <v>7</v>
      </c>
      <c r="D702" s="7">
        <f t="shared" si="31"/>
        <v>16216.3</v>
      </c>
      <c r="E702">
        <f t="shared" si="32"/>
        <v>16216.300701999999</v>
      </c>
    </row>
    <row r="703" spans="1:5" x14ac:dyDescent="0.3">
      <c r="A703" t="s">
        <v>1587</v>
      </c>
      <c r="B703" t="s">
        <v>1588</v>
      </c>
      <c r="C703">
        <f t="shared" si="30"/>
        <v>3</v>
      </c>
      <c r="D703" s="7">
        <f t="shared" si="31"/>
        <v>16206.300000000001</v>
      </c>
      <c r="E703">
        <f t="shared" si="32"/>
        <v>16206.300703000001</v>
      </c>
    </row>
    <row r="704" spans="1:5" x14ac:dyDescent="0.3">
      <c r="A704" t="s">
        <v>1589</v>
      </c>
      <c r="B704" t="s">
        <v>1590</v>
      </c>
      <c r="C704">
        <f t="shared" si="30"/>
        <v>3</v>
      </c>
      <c r="D704" s="7">
        <f t="shared" si="31"/>
        <v>16192</v>
      </c>
      <c r="E704">
        <f t="shared" si="32"/>
        <v>16192.000704</v>
      </c>
    </row>
    <row r="705" spans="1:5" x14ac:dyDescent="0.3">
      <c r="A705" t="s">
        <v>1591</v>
      </c>
      <c r="B705" t="s">
        <v>1592</v>
      </c>
      <c r="C705">
        <f t="shared" si="30"/>
        <v>6</v>
      </c>
      <c r="D705" s="7">
        <f t="shared" si="31"/>
        <v>16182.3</v>
      </c>
      <c r="E705">
        <f t="shared" si="32"/>
        <v>16182.300705</v>
      </c>
    </row>
    <row r="706" spans="1:5" x14ac:dyDescent="0.3">
      <c r="A706" t="s">
        <v>1593</v>
      </c>
      <c r="B706" t="s">
        <v>1594</v>
      </c>
      <c r="C706">
        <f t="shared" ref="C706:C769" si="33">COUNTIF(dCust,A706)</f>
        <v>6</v>
      </c>
      <c r="D706" s="7">
        <f t="shared" ref="D706:D769" si="34">SUMIFS(dSales,dCust,A706)</f>
        <v>16138.95</v>
      </c>
      <c r="E706">
        <f t="shared" ref="E706:E769" si="35">D706+ROW()/1000000</f>
        <v>16138.950706000001</v>
      </c>
    </row>
    <row r="707" spans="1:5" x14ac:dyDescent="0.3">
      <c r="A707" t="s">
        <v>1595</v>
      </c>
      <c r="B707" t="s">
        <v>1596</v>
      </c>
      <c r="C707">
        <f t="shared" si="33"/>
        <v>8</v>
      </c>
      <c r="D707" s="7">
        <f t="shared" si="34"/>
        <v>16121.050000000001</v>
      </c>
      <c r="E707">
        <f t="shared" si="35"/>
        <v>16121.050707</v>
      </c>
    </row>
    <row r="708" spans="1:5" x14ac:dyDescent="0.3">
      <c r="A708" t="s">
        <v>1597</v>
      </c>
      <c r="B708" t="s">
        <v>1598</v>
      </c>
      <c r="C708">
        <f t="shared" si="33"/>
        <v>3</v>
      </c>
      <c r="D708" s="7">
        <f t="shared" si="34"/>
        <v>16104.5</v>
      </c>
      <c r="E708">
        <f t="shared" si="35"/>
        <v>16104.500708</v>
      </c>
    </row>
    <row r="709" spans="1:5" x14ac:dyDescent="0.3">
      <c r="A709" t="s">
        <v>1599</v>
      </c>
      <c r="B709" t="s">
        <v>1600</v>
      </c>
      <c r="C709">
        <f t="shared" si="33"/>
        <v>4</v>
      </c>
      <c r="D709" s="7">
        <f t="shared" si="34"/>
        <v>16093.050000000001</v>
      </c>
      <c r="E709">
        <f t="shared" si="35"/>
        <v>16093.050709000001</v>
      </c>
    </row>
    <row r="710" spans="1:5" x14ac:dyDescent="0.3">
      <c r="A710" t="s">
        <v>1601</v>
      </c>
      <c r="B710" t="s">
        <v>1602</v>
      </c>
      <c r="C710">
        <f t="shared" si="33"/>
        <v>4</v>
      </c>
      <c r="D710" s="7">
        <f t="shared" si="34"/>
        <v>16058.249999999998</v>
      </c>
      <c r="E710">
        <f t="shared" si="35"/>
        <v>16058.250709999998</v>
      </c>
    </row>
    <row r="711" spans="1:5" x14ac:dyDescent="0.3">
      <c r="A711" t="s">
        <v>1603</v>
      </c>
      <c r="B711" t="s">
        <v>1604</v>
      </c>
      <c r="C711">
        <f t="shared" si="33"/>
        <v>5</v>
      </c>
      <c r="D711" s="7">
        <f t="shared" si="34"/>
        <v>16043.55</v>
      </c>
      <c r="E711">
        <f t="shared" si="35"/>
        <v>16043.550711</v>
      </c>
    </row>
    <row r="712" spans="1:5" x14ac:dyDescent="0.3">
      <c r="A712" t="s">
        <v>1605</v>
      </c>
      <c r="B712" t="s">
        <v>1606</v>
      </c>
      <c r="C712">
        <f t="shared" si="33"/>
        <v>4</v>
      </c>
      <c r="D712" s="7">
        <f t="shared" si="34"/>
        <v>16034.45</v>
      </c>
      <c r="E712">
        <f t="shared" si="35"/>
        <v>16034.450712</v>
      </c>
    </row>
    <row r="713" spans="1:5" x14ac:dyDescent="0.3">
      <c r="A713" t="s">
        <v>1607</v>
      </c>
      <c r="B713" t="s">
        <v>1608</v>
      </c>
      <c r="C713">
        <f t="shared" si="33"/>
        <v>3</v>
      </c>
      <c r="D713" s="7">
        <f t="shared" si="34"/>
        <v>15998.1</v>
      </c>
      <c r="E713">
        <f t="shared" si="35"/>
        <v>15998.100713</v>
      </c>
    </row>
    <row r="714" spans="1:5" x14ac:dyDescent="0.3">
      <c r="A714" t="s">
        <v>1609</v>
      </c>
      <c r="B714" t="s">
        <v>1610</v>
      </c>
      <c r="C714">
        <f t="shared" si="33"/>
        <v>7</v>
      </c>
      <c r="D714" s="7">
        <f t="shared" si="34"/>
        <v>15988.2</v>
      </c>
      <c r="E714">
        <f t="shared" si="35"/>
        <v>15988.200714000001</v>
      </c>
    </row>
    <row r="715" spans="1:5" x14ac:dyDescent="0.3">
      <c r="A715" t="s">
        <v>1611</v>
      </c>
      <c r="B715" t="s">
        <v>1612</v>
      </c>
      <c r="C715">
        <f t="shared" si="33"/>
        <v>4</v>
      </c>
      <c r="D715" s="7">
        <f t="shared" si="34"/>
        <v>15956.4</v>
      </c>
      <c r="E715">
        <f t="shared" si="35"/>
        <v>15956.400715</v>
      </c>
    </row>
    <row r="716" spans="1:5" x14ac:dyDescent="0.3">
      <c r="A716" t="s">
        <v>1613</v>
      </c>
      <c r="B716" t="s">
        <v>1614</v>
      </c>
      <c r="C716">
        <f t="shared" si="33"/>
        <v>5</v>
      </c>
      <c r="D716" s="7">
        <f t="shared" si="34"/>
        <v>15926.650000000001</v>
      </c>
      <c r="E716">
        <f t="shared" si="35"/>
        <v>15926.650716000002</v>
      </c>
    </row>
    <row r="717" spans="1:5" x14ac:dyDescent="0.3">
      <c r="A717" t="s">
        <v>1615</v>
      </c>
      <c r="B717" t="s">
        <v>1616</v>
      </c>
      <c r="C717">
        <f t="shared" si="33"/>
        <v>5</v>
      </c>
      <c r="D717" s="7">
        <f t="shared" si="34"/>
        <v>15912.4</v>
      </c>
      <c r="E717">
        <f t="shared" si="35"/>
        <v>15912.400717</v>
      </c>
    </row>
    <row r="718" spans="1:5" x14ac:dyDescent="0.3">
      <c r="A718" t="s">
        <v>1617</v>
      </c>
      <c r="B718" t="s">
        <v>1618</v>
      </c>
      <c r="C718">
        <f t="shared" si="33"/>
        <v>2</v>
      </c>
      <c r="D718" s="7">
        <f t="shared" si="34"/>
        <v>15813.75</v>
      </c>
      <c r="E718">
        <f t="shared" si="35"/>
        <v>15813.750717999999</v>
      </c>
    </row>
    <row r="719" spans="1:5" x14ac:dyDescent="0.3">
      <c r="A719" t="s">
        <v>1619</v>
      </c>
      <c r="B719" t="s">
        <v>1620</v>
      </c>
      <c r="C719">
        <f t="shared" si="33"/>
        <v>8</v>
      </c>
      <c r="D719" s="7">
        <f t="shared" si="34"/>
        <v>15800.350000000002</v>
      </c>
      <c r="E719">
        <f t="shared" si="35"/>
        <v>15800.350719000002</v>
      </c>
    </row>
    <row r="720" spans="1:5" x14ac:dyDescent="0.3">
      <c r="A720" t="s">
        <v>1621</v>
      </c>
      <c r="B720" t="s">
        <v>1622</v>
      </c>
      <c r="C720">
        <f t="shared" si="33"/>
        <v>5</v>
      </c>
      <c r="D720" s="7">
        <f t="shared" si="34"/>
        <v>15751.2</v>
      </c>
      <c r="E720">
        <f t="shared" si="35"/>
        <v>15751.200720000001</v>
      </c>
    </row>
    <row r="721" spans="1:5" x14ac:dyDescent="0.3">
      <c r="A721" t="s">
        <v>1623</v>
      </c>
      <c r="B721" t="s">
        <v>1624</v>
      </c>
      <c r="C721">
        <f t="shared" si="33"/>
        <v>2</v>
      </c>
      <c r="D721" s="7">
        <f t="shared" si="34"/>
        <v>15748.15</v>
      </c>
      <c r="E721">
        <f t="shared" si="35"/>
        <v>15748.150721</v>
      </c>
    </row>
    <row r="722" spans="1:5" x14ac:dyDescent="0.3">
      <c r="A722" t="s">
        <v>1625</v>
      </c>
      <c r="B722" t="s">
        <v>1626</v>
      </c>
      <c r="C722">
        <f t="shared" si="33"/>
        <v>4</v>
      </c>
      <c r="D722" s="7">
        <f t="shared" si="34"/>
        <v>15672.900000000001</v>
      </c>
      <c r="E722">
        <f t="shared" si="35"/>
        <v>15672.900722000002</v>
      </c>
    </row>
    <row r="723" spans="1:5" x14ac:dyDescent="0.3">
      <c r="A723" t="s">
        <v>1627</v>
      </c>
      <c r="B723" t="s">
        <v>1628</v>
      </c>
      <c r="C723">
        <f t="shared" si="33"/>
        <v>5</v>
      </c>
      <c r="D723" s="7">
        <f t="shared" si="34"/>
        <v>15593.7</v>
      </c>
      <c r="E723">
        <f t="shared" si="35"/>
        <v>15593.700723</v>
      </c>
    </row>
    <row r="724" spans="1:5" x14ac:dyDescent="0.3">
      <c r="A724" t="s">
        <v>1629</v>
      </c>
      <c r="B724" t="s">
        <v>1630</v>
      </c>
      <c r="C724">
        <f t="shared" si="33"/>
        <v>3</v>
      </c>
      <c r="D724" s="7">
        <f t="shared" si="34"/>
        <v>15484.5</v>
      </c>
      <c r="E724">
        <f t="shared" si="35"/>
        <v>15484.500724</v>
      </c>
    </row>
    <row r="725" spans="1:5" x14ac:dyDescent="0.3">
      <c r="A725" t="s">
        <v>1631</v>
      </c>
      <c r="B725" t="s">
        <v>1632</v>
      </c>
      <c r="C725">
        <f t="shared" si="33"/>
        <v>4</v>
      </c>
      <c r="D725" s="7">
        <f t="shared" si="34"/>
        <v>15449.2</v>
      </c>
      <c r="E725">
        <f t="shared" si="35"/>
        <v>15449.200725000001</v>
      </c>
    </row>
    <row r="726" spans="1:5" x14ac:dyDescent="0.3">
      <c r="A726" t="s">
        <v>1633</v>
      </c>
      <c r="B726" t="s">
        <v>1634</v>
      </c>
      <c r="C726">
        <f t="shared" si="33"/>
        <v>4</v>
      </c>
      <c r="D726" s="7">
        <f t="shared" si="34"/>
        <v>15339.6</v>
      </c>
      <c r="E726">
        <f t="shared" si="35"/>
        <v>15339.600726000001</v>
      </c>
    </row>
    <row r="727" spans="1:5" x14ac:dyDescent="0.3">
      <c r="A727" t="s">
        <v>1635</v>
      </c>
      <c r="B727" t="s">
        <v>1636</v>
      </c>
      <c r="C727">
        <f t="shared" si="33"/>
        <v>4</v>
      </c>
      <c r="D727" s="7">
        <f t="shared" si="34"/>
        <v>15320.550000000001</v>
      </c>
      <c r="E727">
        <f t="shared" si="35"/>
        <v>15320.550727000002</v>
      </c>
    </row>
    <row r="728" spans="1:5" x14ac:dyDescent="0.3">
      <c r="A728" t="s">
        <v>1637</v>
      </c>
      <c r="B728" t="s">
        <v>1638</v>
      </c>
      <c r="C728">
        <f t="shared" si="33"/>
        <v>3</v>
      </c>
      <c r="D728" s="7">
        <f t="shared" si="34"/>
        <v>15287.35</v>
      </c>
      <c r="E728">
        <f t="shared" si="35"/>
        <v>15287.350728000001</v>
      </c>
    </row>
    <row r="729" spans="1:5" x14ac:dyDescent="0.3">
      <c r="A729" t="s">
        <v>1639</v>
      </c>
      <c r="B729" t="s">
        <v>1640</v>
      </c>
      <c r="C729">
        <f t="shared" si="33"/>
        <v>2</v>
      </c>
      <c r="D729" s="7">
        <f t="shared" si="34"/>
        <v>15220.5</v>
      </c>
      <c r="E729">
        <f t="shared" si="35"/>
        <v>15220.500728999999</v>
      </c>
    </row>
    <row r="730" spans="1:5" x14ac:dyDescent="0.3">
      <c r="A730" t="s">
        <v>1641</v>
      </c>
      <c r="B730" t="s">
        <v>1642</v>
      </c>
      <c r="C730">
        <f t="shared" si="33"/>
        <v>4</v>
      </c>
      <c r="D730" s="7">
        <f t="shared" si="34"/>
        <v>15193.349999999999</v>
      </c>
      <c r="E730">
        <f t="shared" si="35"/>
        <v>15193.350729999998</v>
      </c>
    </row>
    <row r="731" spans="1:5" x14ac:dyDescent="0.3">
      <c r="A731" t="s">
        <v>1643</v>
      </c>
      <c r="B731" t="s">
        <v>1644</v>
      </c>
      <c r="C731">
        <f t="shared" si="33"/>
        <v>4</v>
      </c>
      <c r="D731" s="7">
        <f t="shared" si="34"/>
        <v>15154.5</v>
      </c>
      <c r="E731">
        <f t="shared" si="35"/>
        <v>15154.500731</v>
      </c>
    </row>
    <row r="732" spans="1:5" x14ac:dyDescent="0.3">
      <c r="A732" t="s">
        <v>1645</v>
      </c>
      <c r="B732" t="s">
        <v>1646</v>
      </c>
      <c r="C732">
        <f t="shared" si="33"/>
        <v>5</v>
      </c>
      <c r="D732" s="7">
        <f t="shared" si="34"/>
        <v>15121.150000000001</v>
      </c>
      <c r="E732">
        <f t="shared" si="35"/>
        <v>15121.150732000002</v>
      </c>
    </row>
    <row r="733" spans="1:5" x14ac:dyDescent="0.3">
      <c r="A733" t="s">
        <v>1647</v>
      </c>
      <c r="B733" t="s">
        <v>1648</v>
      </c>
      <c r="C733">
        <f t="shared" si="33"/>
        <v>5</v>
      </c>
      <c r="D733" s="7">
        <f t="shared" si="34"/>
        <v>15092.7</v>
      </c>
      <c r="E733">
        <f t="shared" si="35"/>
        <v>15092.700733000001</v>
      </c>
    </row>
    <row r="734" spans="1:5" x14ac:dyDescent="0.3">
      <c r="A734" t="s">
        <v>1649</v>
      </c>
      <c r="B734" t="s">
        <v>1650</v>
      </c>
      <c r="C734">
        <f t="shared" si="33"/>
        <v>4</v>
      </c>
      <c r="D734" s="7">
        <f t="shared" si="34"/>
        <v>15042.3</v>
      </c>
      <c r="E734">
        <f t="shared" si="35"/>
        <v>15042.300733999999</v>
      </c>
    </row>
    <row r="735" spans="1:5" x14ac:dyDescent="0.3">
      <c r="A735" t="s">
        <v>1651</v>
      </c>
      <c r="B735" t="s">
        <v>1652</v>
      </c>
      <c r="C735">
        <f t="shared" si="33"/>
        <v>5</v>
      </c>
      <c r="D735" s="7">
        <f t="shared" si="34"/>
        <v>15041.2</v>
      </c>
      <c r="E735">
        <f t="shared" si="35"/>
        <v>15041.200735</v>
      </c>
    </row>
    <row r="736" spans="1:5" x14ac:dyDescent="0.3">
      <c r="A736" t="s">
        <v>1653</v>
      </c>
      <c r="B736" t="s">
        <v>1654</v>
      </c>
      <c r="C736">
        <f t="shared" si="33"/>
        <v>4</v>
      </c>
      <c r="D736" s="7">
        <f t="shared" si="34"/>
        <v>15012.949999999999</v>
      </c>
      <c r="E736">
        <f t="shared" si="35"/>
        <v>15012.950735999999</v>
      </c>
    </row>
    <row r="737" spans="1:5" x14ac:dyDescent="0.3">
      <c r="A737" t="s">
        <v>1655</v>
      </c>
      <c r="B737" t="s">
        <v>1656</v>
      </c>
      <c r="C737">
        <f t="shared" si="33"/>
        <v>3</v>
      </c>
      <c r="D737" s="7">
        <f t="shared" si="34"/>
        <v>15004.300000000001</v>
      </c>
      <c r="E737">
        <f t="shared" si="35"/>
        <v>15004.300737000001</v>
      </c>
    </row>
    <row r="738" spans="1:5" x14ac:dyDescent="0.3">
      <c r="A738" t="s">
        <v>1657</v>
      </c>
      <c r="B738" t="s">
        <v>1658</v>
      </c>
      <c r="C738">
        <f t="shared" si="33"/>
        <v>5</v>
      </c>
      <c r="D738" s="7">
        <f t="shared" si="34"/>
        <v>14933.949999999999</v>
      </c>
      <c r="E738">
        <f t="shared" si="35"/>
        <v>14933.950738</v>
      </c>
    </row>
    <row r="739" spans="1:5" x14ac:dyDescent="0.3">
      <c r="A739" t="s">
        <v>1659</v>
      </c>
      <c r="B739" t="s">
        <v>1660</v>
      </c>
      <c r="C739">
        <f t="shared" si="33"/>
        <v>4</v>
      </c>
      <c r="D739" s="7">
        <f t="shared" si="34"/>
        <v>14906.45</v>
      </c>
      <c r="E739">
        <f t="shared" si="35"/>
        <v>14906.450739</v>
      </c>
    </row>
    <row r="740" spans="1:5" x14ac:dyDescent="0.3">
      <c r="A740" t="s">
        <v>1661</v>
      </c>
      <c r="B740" t="s">
        <v>1662</v>
      </c>
      <c r="C740">
        <f t="shared" si="33"/>
        <v>5</v>
      </c>
      <c r="D740" s="7">
        <f t="shared" si="34"/>
        <v>14904.95</v>
      </c>
      <c r="E740">
        <f t="shared" si="35"/>
        <v>14904.95074</v>
      </c>
    </row>
    <row r="741" spans="1:5" x14ac:dyDescent="0.3">
      <c r="A741" t="s">
        <v>1663</v>
      </c>
      <c r="B741" t="s">
        <v>1664</v>
      </c>
      <c r="C741">
        <f t="shared" si="33"/>
        <v>5</v>
      </c>
      <c r="D741" s="7">
        <f t="shared" si="34"/>
        <v>14874.750000000002</v>
      </c>
      <c r="E741">
        <f t="shared" si="35"/>
        <v>14874.750741000002</v>
      </c>
    </row>
    <row r="742" spans="1:5" x14ac:dyDescent="0.3">
      <c r="A742" t="s">
        <v>1665</v>
      </c>
      <c r="B742" t="s">
        <v>1666</v>
      </c>
      <c r="C742">
        <f t="shared" si="33"/>
        <v>3</v>
      </c>
      <c r="D742" s="7">
        <f t="shared" si="34"/>
        <v>14859.849999999999</v>
      </c>
      <c r="E742">
        <f t="shared" si="35"/>
        <v>14859.850741999999</v>
      </c>
    </row>
    <row r="743" spans="1:5" x14ac:dyDescent="0.3">
      <c r="A743" t="s">
        <v>1667</v>
      </c>
      <c r="B743" t="s">
        <v>1668</v>
      </c>
      <c r="C743">
        <f t="shared" si="33"/>
        <v>2</v>
      </c>
      <c r="D743" s="7">
        <f t="shared" si="34"/>
        <v>14847.300000000001</v>
      </c>
      <c r="E743">
        <f t="shared" si="35"/>
        <v>14847.300743000002</v>
      </c>
    </row>
    <row r="744" spans="1:5" x14ac:dyDescent="0.3">
      <c r="A744" t="s">
        <v>1669</v>
      </c>
      <c r="B744" t="s">
        <v>1670</v>
      </c>
      <c r="C744">
        <f t="shared" si="33"/>
        <v>2</v>
      </c>
      <c r="D744" s="7">
        <f t="shared" si="34"/>
        <v>14795.45</v>
      </c>
      <c r="E744">
        <f t="shared" si="35"/>
        <v>14795.450744000002</v>
      </c>
    </row>
    <row r="745" spans="1:5" x14ac:dyDescent="0.3">
      <c r="A745" t="s">
        <v>1671</v>
      </c>
      <c r="B745" t="s">
        <v>1672</v>
      </c>
      <c r="C745">
        <f t="shared" si="33"/>
        <v>6</v>
      </c>
      <c r="D745" s="7">
        <f t="shared" si="34"/>
        <v>14762.649999999998</v>
      </c>
      <c r="E745">
        <f t="shared" si="35"/>
        <v>14762.650744999997</v>
      </c>
    </row>
    <row r="746" spans="1:5" x14ac:dyDescent="0.3">
      <c r="A746" t="s">
        <v>1673</v>
      </c>
      <c r="B746" t="s">
        <v>1674</v>
      </c>
      <c r="C746">
        <f t="shared" si="33"/>
        <v>2</v>
      </c>
      <c r="D746" s="7">
        <f t="shared" si="34"/>
        <v>14622.4</v>
      </c>
      <c r="E746">
        <f t="shared" si="35"/>
        <v>14622.400745999999</v>
      </c>
    </row>
    <row r="747" spans="1:5" x14ac:dyDescent="0.3">
      <c r="A747" t="s">
        <v>1675</v>
      </c>
      <c r="B747" t="s">
        <v>1676</v>
      </c>
      <c r="C747">
        <f t="shared" si="33"/>
        <v>4</v>
      </c>
      <c r="D747" s="7">
        <f t="shared" si="34"/>
        <v>14613.2</v>
      </c>
      <c r="E747">
        <f t="shared" si="35"/>
        <v>14613.200747000001</v>
      </c>
    </row>
    <row r="748" spans="1:5" x14ac:dyDescent="0.3">
      <c r="A748" t="s">
        <v>1677</v>
      </c>
      <c r="B748" t="s">
        <v>1678</v>
      </c>
      <c r="C748">
        <f t="shared" si="33"/>
        <v>3</v>
      </c>
      <c r="D748" s="7">
        <f t="shared" si="34"/>
        <v>14595</v>
      </c>
      <c r="E748">
        <f t="shared" si="35"/>
        <v>14595.000748</v>
      </c>
    </row>
    <row r="749" spans="1:5" x14ac:dyDescent="0.3">
      <c r="A749" t="s">
        <v>1679</v>
      </c>
      <c r="B749" t="s">
        <v>1680</v>
      </c>
      <c r="C749">
        <f t="shared" si="33"/>
        <v>4</v>
      </c>
      <c r="D749" s="7">
        <f t="shared" si="34"/>
        <v>14562.8</v>
      </c>
      <c r="E749">
        <f t="shared" si="35"/>
        <v>14562.800749</v>
      </c>
    </row>
    <row r="750" spans="1:5" x14ac:dyDescent="0.3">
      <c r="A750" t="s">
        <v>1681</v>
      </c>
      <c r="B750" t="s">
        <v>1682</v>
      </c>
      <c r="C750">
        <f t="shared" si="33"/>
        <v>3</v>
      </c>
      <c r="D750" s="7">
        <f t="shared" si="34"/>
        <v>14496.3</v>
      </c>
      <c r="E750">
        <f t="shared" si="35"/>
        <v>14496.300749999999</v>
      </c>
    </row>
    <row r="751" spans="1:5" x14ac:dyDescent="0.3">
      <c r="A751" t="s">
        <v>1683</v>
      </c>
      <c r="B751" t="s">
        <v>1684</v>
      </c>
      <c r="C751">
        <f t="shared" si="33"/>
        <v>6</v>
      </c>
      <c r="D751" s="7">
        <f t="shared" si="34"/>
        <v>14491.4</v>
      </c>
      <c r="E751">
        <f t="shared" si="35"/>
        <v>14491.400750999999</v>
      </c>
    </row>
    <row r="752" spans="1:5" x14ac:dyDescent="0.3">
      <c r="A752" t="s">
        <v>1685</v>
      </c>
      <c r="B752" t="s">
        <v>1686</v>
      </c>
      <c r="C752">
        <f t="shared" si="33"/>
        <v>7</v>
      </c>
      <c r="D752" s="7">
        <f t="shared" si="34"/>
        <v>14402.85</v>
      </c>
      <c r="E752">
        <f t="shared" si="35"/>
        <v>14402.850752</v>
      </c>
    </row>
    <row r="753" spans="1:5" x14ac:dyDescent="0.3">
      <c r="A753" t="s">
        <v>1687</v>
      </c>
      <c r="B753" t="s">
        <v>1688</v>
      </c>
      <c r="C753">
        <f t="shared" si="33"/>
        <v>4</v>
      </c>
      <c r="D753" s="7">
        <f t="shared" si="34"/>
        <v>14360.1</v>
      </c>
      <c r="E753">
        <f t="shared" si="35"/>
        <v>14360.100753000001</v>
      </c>
    </row>
    <row r="754" spans="1:5" x14ac:dyDescent="0.3">
      <c r="A754" t="s">
        <v>1689</v>
      </c>
      <c r="B754" t="s">
        <v>1690</v>
      </c>
      <c r="C754">
        <f t="shared" si="33"/>
        <v>3</v>
      </c>
      <c r="D754" s="7">
        <f t="shared" si="34"/>
        <v>14276.7</v>
      </c>
      <c r="E754">
        <f t="shared" si="35"/>
        <v>14276.700754000001</v>
      </c>
    </row>
    <row r="755" spans="1:5" x14ac:dyDescent="0.3">
      <c r="A755" t="s">
        <v>1691</v>
      </c>
      <c r="B755" t="s">
        <v>1692</v>
      </c>
      <c r="C755">
        <f t="shared" si="33"/>
        <v>3</v>
      </c>
      <c r="D755" s="7">
        <f t="shared" si="34"/>
        <v>14267.35</v>
      </c>
      <c r="E755">
        <f t="shared" si="35"/>
        <v>14267.350754999999</v>
      </c>
    </row>
    <row r="756" spans="1:5" x14ac:dyDescent="0.3">
      <c r="A756" t="s">
        <v>1693</v>
      </c>
      <c r="B756" t="s">
        <v>1694</v>
      </c>
      <c r="C756">
        <f t="shared" si="33"/>
        <v>4</v>
      </c>
      <c r="D756" s="7">
        <f t="shared" si="34"/>
        <v>14251.400000000001</v>
      </c>
      <c r="E756">
        <f t="shared" si="35"/>
        <v>14251.400756000001</v>
      </c>
    </row>
    <row r="757" spans="1:5" x14ac:dyDescent="0.3">
      <c r="A757" t="s">
        <v>1695</v>
      </c>
      <c r="B757" t="s">
        <v>1696</v>
      </c>
      <c r="C757">
        <f t="shared" si="33"/>
        <v>3</v>
      </c>
      <c r="D757" s="7">
        <f t="shared" si="34"/>
        <v>14146.35</v>
      </c>
      <c r="E757">
        <f t="shared" si="35"/>
        <v>14146.350757</v>
      </c>
    </row>
    <row r="758" spans="1:5" x14ac:dyDescent="0.3">
      <c r="A758" t="s">
        <v>1697</v>
      </c>
      <c r="B758" t="s">
        <v>1698</v>
      </c>
      <c r="C758">
        <f t="shared" si="33"/>
        <v>4</v>
      </c>
      <c r="D758" s="7">
        <f t="shared" si="34"/>
        <v>14145.5</v>
      </c>
      <c r="E758">
        <f t="shared" si="35"/>
        <v>14145.500758</v>
      </c>
    </row>
    <row r="759" spans="1:5" x14ac:dyDescent="0.3">
      <c r="A759" t="s">
        <v>1699</v>
      </c>
      <c r="B759" t="s">
        <v>1700</v>
      </c>
      <c r="C759">
        <f t="shared" si="33"/>
        <v>5</v>
      </c>
      <c r="D759" s="7">
        <f t="shared" si="34"/>
        <v>13880.750000000002</v>
      </c>
      <c r="E759">
        <f t="shared" si="35"/>
        <v>13880.750759000002</v>
      </c>
    </row>
    <row r="760" spans="1:5" x14ac:dyDescent="0.3">
      <c r="A760" t="s">
        <v>1701</v>
      </c>
      <c r="B760" t="s">
        <v>1702</v>
      </c>
      <c r="C760">
        <f t="shared" si="33"/>
        <v>6</v>
      </c>
      <c r="D760" s="7">
        <f t="shared" si="34"/>
        <v>13870.400000000001</v>
      </c>
      <c r="E760">
        <f t="shared" si="35"/>
        <v>13870.400760000002</v>
      </c>
    </row>
    <row r="761" spans="1:5" x14ac:dyDescent="0.3">
      <c r="A761" t="s">
        <v>1703</v>
      </c>
      <c r="B761" t="s">
        <v>1704</v>
      </c>
      <c r="C761">
        <f t="shared" si="33"/>
        <v>4</v>
      </c>
      <c r="D761" s="7">
        <f t="shared" si="34"/>
        <v>13863.1</v>
      </c>
      <c r="E761">
        <f t="shared" si="35"/>
        <v>13863.100761</v>
      </c>
    </row>
    <row r="762" spans="1:5" x14ac:dyDescent="0.3">
      <c r="A762" t="s">
        <v>1705</v>
      </c>
      <c r="B762" t="s">
        <v>1706</v>
      </c>
      <c r="C762">
        <f t="shared" si="33"/>
        <v>4</v>
      </c>
      <c r="D762" s="7">
        <f t="shared" si="34"/>
        <v>13843.650000000001</v>
      </c>
      <c r="E762">
        <f t="shared" si="35"/>
        <v>13843.650762000001</v>
      </c>
    </row>
    <row r="763" spans="1:5" x14ac:dyDescent="0.3">
      <c r="A763" t="s">
        <v>1707</v>
      </c>
      <c r="B763" t="s">
        <v>1708</v>
      </c>
      <c r="C763">
        <f t="shared" si="33"/>
        <v>4</v>
      </c>
      <c r="D763" s="7">
        <f t="shared" si="34"/>
        <v>13811.5</v>
      </c>
      <c r="E763">
        <f t="shared" si="35"/>
        <v>13811.500763</v>
      </c>
    </row>
    <row r="764" spans="1:5" x14ac:dyDescent="0.3">
      <c r="A764" t="s">
        <v>1709</v>
      </c>
      <c r="B764" t="s">
        <v>1710</v>
      </c>
      <c r="C764">
        <f t="shared" si="33"/>
        <v>5</v>
      </c>
      <c r="D764" s="7">
        <f t="shared" si="34"/>
        <v>13721.9</v>
      </c>
      <c r="E764">
        <f t="shared" si="35"/>
        <v>13721.900764</v>
      </c>
    </row>
    <row r="765" spans="1:5" x14ac:dyDescent="0.3">
      <c r="A765" t="s">
        <v>1711</v>
      </c>
      <c r="B765" t="s">
        <v>1712</v>
      </c>
      <c r="C765">
        <f t="shared" si="33"/>
        <v>5</v>
      </c>
      <c r="D765" s="7">
        <f t="shared" si="34"/>
        <v>13596.7</v>
      </c>
      <c r="E765">
        <f t="shared" si="35"/>
        <v>13596.700765000001</v>
      </c>
    </row>
    <row r="766" spans="1:5" x14ac:dyDescent="0.3">
      <c r="A766" t="s">
        <v>1713</v>
      </c>
      <c r="B766" t="s">
        <v>1714</v>
      </c>
      <c r="C766">
        <f t="shared" si="33"/>
        <v>4</v>
      </c>
      <c r="D766" s="7">
        <f t="shared" si="34"/>
        <v>13593.1</v>
      </c>
      <c r="E766">
        <f t="shared" si="35"/>
        <v>13593.100766</v>
      </c>
    </row>
    <row r="767" spans="1:5" x14ac:dyDescent="0.3">
      <c r="A767" t="s">
        <v>1715</v>
      </c>
      <c r="B767" t="s">
        <v>1716</v>
      </c>
      <c r="C767">
        <f t="shared" si="33"/>
        <v>4</v>
      </c>
      <c r="D767" s="7">
        <f t="shared" si="34"/>
        <v>13533</v>
      </c>
      <c r="E767">
        <f t="shared" si="35"/>
        <v>13533.000767</v>
      </c>
    </row>
    <row r="768" spans="1:5" x14ac:dyDescent="0.3">
      <c r="A768" t="s">
        <v>1717</v>
      </c>
      <c r="B768" t="s">
        <v>1718</v>
      </c>
      <c r="C768">
        <f t="shared" si="33"/>
        <v>4</v>
      </c>
      <c r="D768" s="7">
        <f t="shared" si="34"/>
        <v>13508.25</v>
      </c>
      <c r="E768">
        <f t="shared" si="35"/>
        <v>13508.250768</v>
      </c>
    </row>
    <row r="769" spans="1:5" x14ac:dyDescent="0.3">
      <c r="A769" t="s">
        <v>1719</v>
      </c>
      <c r="B769" t="s">
        <v>1720</v>
      </c>
      <c r="C769">
        <f t="shared" si="33"/>
        <v>3</v>
      </c>
      <c r="D769" s="7">
        <f t="shared" si="34"/>
        <v>13494.599999999999</v>
      </c>
      <c r="E769">
        <f t="shared" si="35"/>
        <v>13494.600768999999</v>
      </c>
    </row>
    <row r="770" spans="1:5" x14ac:dyDescent="0.3">
      <c r="A770" t="s">
        <v>1721</v>
      </c>
      <c r="B770" t="s">
        <v>1722</v>
      </c>
      <c r="C770">
        <f t="shared" ref="C770:C833" si="36">COUNTIF(dCust,A770)</f>
        <v>4</v>
      </c>
      <c r="D770" s="7">
        <f t="shared" ref="D770:D833" si="37">SUMIFS(dSales,dCust,A770)</f>
        <v>13448.9</v>
      </c>
      <c r="E770">
        <f t="shared" ref="E770:E833" si="38">D770+ROW()/1000000</f>
        <v>13448.90077</v>
      </c>
    </row>
    <row r="771" spans="1:5" x14ac:dyDescent="0.3">
      <c r="A771" t="s">
        <v>1723</v>
      </c>
      <c r="B771" t="s">
        <v>1724</v>
      </c>
      <c r="C771">
        <f t="shared" si="36"/>
        <v>4</v>
      </c>
      <c r="D771" s="7">
        <f t="shared" si="37"/>
        <v>13441.349999999999</v>
      </c>
      <c r="E771">
        <f t="shared" si="38"/>
        <v>13441.350770999999</v>
      </c>
    </row>
    <row r="772" spans="1:5" x14ac:dyDescent="0.3">
      <c r="A772" t="s">
        <v>1725</v>
      </c>
      <c r="B772" t="s">
        <v>1726</v>
      </c>
      <c r="C772">
        <f t="shared" si="36"/>
        <v>3</v>
      </c>
      <c r="D772" s="7">
        <f t="shared" si="37"/>
        <v>13383.6</v>
      </c>
      <c r="E772">
        <f t="shared" si="38"/>
        <v>13383.600772</v>
      </c>
    </row>
    <row r="773" spans="1:5" x14ac:dyDescent="0.3">
      <c r="A773" t="s">
        <v>1727</v>
      </c>
      <c r="B773" t="s">
        <v>1728</v>
      </c>
      <c r="C773">
        <f t="shared" si="36"/>
        <v>2</v>
      </c>
      <c r="D773" s="7">
        <f t="shared" si="37"/>
        <v>13333.8</v>
      </c>
      <c r="E773">
        <f t="shared" si="38"/>
        <v>13333.800772999999</v>
      </c>
    </row>
    <row r="774" spans="1:5" x14ac:dyDescent="0.3">
      <c r="A774" t="s">
        <v>1729</v>
      </c>
      <c r="B774" t="s">
        <v>1730</v>
      </c>
      <c r="C774">
        <f t="shared" si="36"/>
        <v>3</v>
      </c>
      <c r="D774" s="7">
        <f t="shared" si="37"/>
        <v>13332.9</v>
      </c>
      <c r="E774">
        <f t="shared" si="38"/>
        <v>13332.900774</v>
      </c>
    </row>
    <row r="775" spans="1:5" x14ac:dyDescent="0.3">
      <c r="A775" t="s">
        <v>1731</v>
      </c>
      <c r="B775" t="s">
        <v>1732</v>
      </c>
      <c r="C775">
        <f t="shared" si="36"/>
        <v>4</v>
      </c>
      <c r="D775" s="7">
        <f t="shared" si="37"/>
        <v>13312.4</v>
      </c>
      <c r="E775">
        <f t="shared" si="38"/>
        <v>13312.400775</v>
      </c>
    </row>
    <row r="776" spans="1:5" x14ac:dyDescent="0.3">
      <c r="A776" t="s">
        <v>1733</v>
      </c>
      <c r="B776" t="s">
        <v>1734</v>
      </c>
      <c r="C776">
        <f t="shared" si="36"/>
        <v>2</v>
      </c>
      <c r="D776" s="7">
        <f t="shared" si="37"/>
        <v>13298.1</v>
      </c>
      <c r="E776">
        <f t="shared" si="38"/>
        <v>13298.100776000001</v>
      </c>
    </row>
    <row r="777" spans="1:5" x14ac:dyDescent="0.3">
      <c r="A777" t="s">
        <v>1735</v>
      </c>
      <c r="B777" t="s">
        <v>1736</v>
      </c>
      <c r="C777">
        <f t="shared" si="36"/>
        <v>6</v>
      </c>
      <c r="D777" s="7">
        <f t="shared" si="37"/>
        <v>13279.2</v>
      </c>
      <c r="E777">
        <f t="shared" si="38"/>
        <v>13279.200777</v>
      </c>
    </row>
    <row r="778" spans="1:5" x14ac:dyDescent="0.3">
      <c r="A778" t="s">
        <v>1737</v>
      </c>
      <c r="B778" t="s">
        <v>1738</v>
      </c>
      <c r="C778">
        <f t="shared" si="36"/>
        <v>4</v>
      </c>
      <c r="D778" s="7">
        <f t="shared" si="37"/>
        <v>13278.45</v>
      </c>
      <c r="E778">
        <f t="shared" si="38"/>
        <v>13278.450778</v>
      </c>
    </row>
    <row r="779" spans="1:5" x14ac:dyDescent="0.3">
      <c r="A779" t="s">
        <v>1739</v>
      </c>
      <c r="B779" t="s">
        <v>1740</v>
      </c>
      <c r="C779">
        <f t="shared" si="36"/>
        <v>3</v>
      </c>
      <c r="D779" s="7">
        <f t="shared" si="37"/>
        <v>13229.05</v>
      </c>
      <c r="E779">
        <f t="shared" si="38"/>
        <v>13229.050778999999</v>
      </c>
    </row>
    <row r="780" spans="1:5" x14ac:dyDescent="0.3">
      <c r="A780" t="s">
        <v>1741</v>
      </c>
      <c r="B780" t="s">
        <v>1742</v>
      </c>
      <c r="C780">
        <f t="shared" si="36"/>
        <v>5</v>
      </c>
      <c r="D780" s="7">
        <f t="shared" si="37"/>
        <v>13153.5</v>
      </c>
      <c r="E780">
        <f t="shared" si="38"/>
        <v>13153.50078</v>
      </c>
    </row>
    <row r="781" spans="1:5" x14ac:dyDescent="0.3">
      <c r="A781" t="s">
        <v>1743</v>
      </c>
      <c r="B781" t="s">
        <v>1744</v>
      </c>
      <c r="C781">
        <f t="shared" si="36"/>
        <v>4</v>
      </c>
      <c r="D781" s="7">
        <f t="shared" si="37"/>
        <v>13138.95</v>
      </c>
      <c r="E781">
        <f t="shared" si="38"/>
        <v>13138.950781000001</v>
      </c>
    </row>
    <row r="782" spans="1:5" x14ac:dyDescent="0.3">
      <c r="A782" t="s">
        <v>1745</v>
      </c>
      <c r="B782" t="s">
        <v>1746</v>
      </c>
      <c r="C782">
        <f t="shared" si="36"/>
        <v>3</v>
      </c>
      <c r="D782" s="7">
        <f t="shared" si="37"/>
        <v>13058.25</v>
      </c>
      <c r="E782">
        <f t="shared" si="38"/>
        <v>13058.250781999999</v>
      </c>
    </row>
    <row r="783" spans="1:5" x14ac:dyDescent="0.3">
      <c r="A783" t="s">
        <v>1747</v>
      </c>
      <c r="B783" t="s">
        <v>1748</v>
      </c>
      <c r="C783">
        <f t="shared" si="36"/>
        <v>4</v>
      </c>
      <c r="D783" s="7">
        <f t="shared" si="37"/>
        <v>12972.65</v>
      </c>
      <c r="E783">
        <f t="shared" si="38"/>
        <v>12972.650782999999</v>
      </c>
    </row>
    <row r="784" spans="1:5" x14ac:dyDescent="0.3">
      <c r="A784" t="s">
        <v>1749</v>
      </c>
      <c r="B784" t="s">
        <v>1750</v>
      </c>
      <c r="C784">
        <f t="shared" si="36"/>
        <v>3</v>
      </c>
      <c r="D784" s="7">
        <f t="shared" si="37"/>
        <v>12967.05</v>
      </c>
      <c r="E784">
        <f t="shared" si="38"/>
        <v>12967.050783999999</v>
      </c>
    </row>
    <row r="785" spans="1:5" x14ac:dyDescent="0.3">
      <c r="A785" t="s">
        <v>1751</v>
      </c>
      <c r="B785" t="s">
        <v>1752</v>
      </c>
      <c r="C785">
        <f t="shared" si="36"/>
        <v>5</v>
      </c>
      <c r="D785" s="7">
        <f t="shared" si="37"/>
        <v>12957.3</v>
      </c>
      <c r="E785">
        <f t="shared" si="38"/>
        <v>12957.300784999999</v>
      </c>
    </row>
    <row r="786" spans="1:5" x14ac:dyDescent="0.3">
      <c r="A786" t="s">
        <v>1753</v>
      </c>
      <c r="B786" t="s">
        <v>1754</v>
      </c>
      <c r="C786">
        <f t="shared" si="36"/>
        <v>3</v>
      </c>
      <c r="D786" s="7">
        <f t="shared" si="37"/>
        <v>12955.6</v>
      </c>
      <c r="E786">
        <f t="shared" si="38"/>
        <v>12955.600786000001</v>
      </c>
    </row>
    <row r="787" spans="1:5" x14ac:dyDescent="0.3">
      <c r="A787" t="s">
        <v>1755</v>
      </c>
      <c r="B787" t="s">
        <v>1756</v>
      </c>
      <c r="C787">
        <f t="shared" si="36"/>
        <v>6</v>
      </c>
      <c r="D787" s="7">
        <f t="shared" si="37"/>
        <v>12952.6</v>
      </c>
      <c r="E787">
        <f t="shared" si="38"/>
        <v>12952.600787000001</v>
      </c>
    </row>
    <row r="788" spans="1:5" x14ac:dyDescent="0.3">
      <c r="A788" t="s">
        <v>1757</v>
      </c>
      <c r="B788" t="s">
        <v>1758</v>
      </c>
      <c r="C788">
        <f t="shared" si="36"/>
        <v>4</v>
      </c>
      <c r="D788" s="7">
        <f t="shared" si="37"/>
        <v>12946.3</v>
      </c>
      <c r="E788">
        <f t="shared" si="38"/>
        <v>12946.300787999999</v>
      </c>
    </row>
    <row r="789" spans="1:5" x14ac:dyDescent="0.3">
      <c r="A789" t="s">
        <v>1759</v>
      </c>
      <c r="B789" t="s">
        <v>1760</v>
      </c>
      <c r="C789">
        <f t="shared" si="36"/>
        <v>3</v>
      </c>
      <c r="D789" s="7">
        <f t="shared" si="37"/>
        <v>12922.85</v>
      </c>
      <c r="E789">
        <f t="shared" si="38"/>
        <v>12922.850789</v>
      </c>
    </row>
    <row r="790" spans="1:5" x14ac:dyDescent="0.3">
      <c r="A790" t="s">
        <v>1761</v>
      </c>
      <c r="B790" t="s">
        <v>1762</v>
      </c>
      <c r="C790">
        <f t="shared" si="36"/>
        <v>4</v>
      </c>
      <c r="D790" s="7">
        <f t="shared" si="37"/>
        <v>12899.4</v>
      </c>
      <c r="E790">
        <f t="shared" si="38"/>
        <v>12899.40079</v>
      </c>
    </row>
    <row r="791" spans="1:5" x14ac:dyDescent="0.3">
      <c r="A791" t="s">
        <v>1763</v>
      </c>
      <c r="B791" t="s">
        <v>1764</v>
      </c>
      <c r="C791">
        <f t="shared" si="36"/>
        <v>4</v>
      </c>
      <c r="D791" s="7">
        <f t="shared" si="37"/>
        <v>12890.5</v>
      </c>
      <c r="E791">
        <f t="shared" si="38"/>
        <v>12890.500791</v>
      </c>
    </row>
    <row r="792" spans="1:5" x14ac:dyDescent="0.3">
      <c r="A792" t="s">
        <v>1765</v>
      </c>
      <c r="B792" t="s">
        <v>1766</v>
      </c>
      <c r="C792">
        <f t="shared" si="36"/>
        <v>4</v>
      </c>
      <c r="D792" s="7">
        <f t="shared" si="37"/>
        <v>12857.050000000001</v>
      </c>
      <c r="E792">
        <f t="shared" si="38"/>
        <v>12857.050792000002</v>
      </c>
    </row>
    <row r="793" spans="1:5" x14ac:dyDescent="0.3">
      <c r="A793" t="s">
        <v>1767</v>
      </c>
      <c r="B793" t="s">
        <v>1768</v>
      </c>
      <c r="C793">
        <f t="shared" si="36"/>
        <v>4</v>
      </c>
      <c r="D793" s="7">
        <f t="shared" si="37"/>
        <v>12845.55</v>
      </c>
      <c r="E793">
        <f t="shared" si="38"/>
        <v>12845.550792999999</v>
      </c>
    </row>
    <row r="794" spans="1:5" x14ac:dyDescent="0.3">
      <c r="A794" t="s">
        <v>1769</v>
      </c>
      <c r="B794" t="s">
        <v>1770</v>
      </c>
      <c r="C794">
        <f t="shared" si="36"/>
        <v>4</v>
      </c>
      <c r="D794" s="7">
        <f t="shared" si="37"/>
        <v>12799.7</v>
      </c>
      <c r="E794">
        <f t="shared" si="38"/>
        <v>12799.700794</v>
      </c>
    </row>
    <row r="795" spans="1:5" x14ac:dyDescent="0.3">
      <c r="A795" t="s">
        <v>1771</v>
      </c>
      <c r="B795" t="s">
        <v>1772</v>
      </c>
      <c r="C795">
        <f t="shared" si="36"/>
        <v>7</v>
      </c>
      <c r="D795" s="7">
        <f t="shared" si="37"/>
        <v>12787.099999999999</v>
      </c>
      <c r="E795">
        <f t="shared" si="38"/>
        <v>12787.100794999998</v>
      </c>
    </row>
    <row r="796" spans="1:5" x14ac:dyDescent="0.3">
      <c r="A796" t="s">
        <v>1773</v>
      </c>
      <c r="B796" t="s">
        <v>1774</v>
      </c>
      <c r="C796">
        <f t="shared" si="36"/>
        <v>3</v>
      </c>
      <c r="D796" s="7">
        <f t="shared" si="37"/>
        <v>12757.25</v>
      </c>
      <c r="E796">
        <f t="shared" si="38"/>
        <v>12757.250796</v>
      </c>
    </row>
    <row r="797" spans="1:5" x14ac:dyDescent="0.3">
      <c r="A797" t="s">
        <v>1775</v>
      </c>
      <c r="B797" t="s">
        <v>1776</v>
      </c>
      <c r="C797">
        <f t="shared" si="36"/>
        <v>3</v>
      </c>
      <c r="D797" s="7">
        <f t="shared" si="37"/>
        <v>12753.75</v>
      </c>
      <c r="E797">
        <f t="shared" si="38"/>
        <v>12753.750797000001</v>
      </c>
    </row>
    <row r="798" spans="1:5" x14ac:dyDescent="0.3">
      <c r="A798" t="s">
        <v>1777</v>
      </c>
      <c r="B798" t="s">
        <v>1778</v>
      </c>
      <c r="C798">
        <f t="shared" si="36"/>
        <v>5</v>
      </c>
      <c r="D798" s="7">
        <f t="shared" si="37"/>
        <v>12725.400000000001</v>
      </c>
      <c r="E798">
        <f t="shared" si="38"/>
        <v>12725.400798000001</v>
      </c>
    </row>
    <row r="799" spans="1:5" x14ac:dyDescent="0.3">
      <c r="A799" t="s">
        <v>1779</v>
      </c>
      <c r="B799" t="s">
        <v>1780</v>
      </c>
      <c r="C799">
        <f t="shared" si="36"/>
        <v>2</v>
      </c>
      <c r="D799" s="7">
        <f t="shared" si="37"/>
        <v>12717.449999999999</v>
      </c>
      <c r="E799">
        <f t="shared" si="38"/>
        <v>12717.450798999998</v>
      </c>
    </row>
    <row r="800" spans="1:5" x14ac:dyDescent="0.3">
      <c r="A800" t="s">
        <v>1781</v>
      </c>
      <c r="B800" t="s">
        <v>1782</v>
      </c>
      <c r="C800">
        <f t="shared" si="36"/>
        <v>6</v>
      </c>
      <c r="D800" s="7">
        <f t="shared" si="37"/>
        <v>12712.9</v>
      </c>
      <c r="E800">
        <f t="shared" si="38"/>
        <v>12712.900799999999</v>
      </c>
    </row>
    <row r="801" spans="1:5" x14ac:dyDescent="0.3">
      <c r="A801" t="s">
        <v>1783</v>
      </c>
      <c r="B801" t="s">
        <v>1784</v>
      </c>
      <c r="C801">
        <f t="shared" si="36"/>
        <v>4</v>
      </c>
      <c r="D801" s="7">
        <f t="shared" si="37"/>
        <v>12672.849999999999</v>
      </c>
      <c r="E801">
        <f t="shared" si="38"/>
        <v>12672.850800999999</v>
      </c>
    </row>
    <row r="802" spans="1:5" x14ac:dyDescent="0.3">
      <c r="A802" t="s">
        <v>1785</v>
      </c>
      <c r="B802" t="s">
        <v>1786</v>
      </c>
      <c r="C802">
        <f t="shared" si="36"/>
        <v>3</v>
      </c>
      <c r="D802" s="7">
        <f t="shared" si="37"/>
        <v>12659.05</v>
      </c>
      <c r="E802">
        <f t="shared" si="38"/>
        <v>12659.050802</v>
      </c>
    </row>
    <row r="803" spans="1:5" x14ac:dyDescent="0.3">
      <c r="A803" t="s">
        <v>1787</v>
      </c>
      <c r="B803" t="s">
        <v>1788</v>
      </c>
      <c r="C803">
        <f t="shared" si="36"/>
        <v>6</v>
      </c>
      <c r="D803" s="7">
        <f t="shared" si="37"/>
        <v>12632.5</v>
      </c>
      <c r="E803">
        <f t="shared" si="38"/>
        <v>12632.500803000001</v>
      </c>
    </row>
    <row r="804" spans="1:5" x14ac:dyDescent="0.3">
      <c r="A804" t="s">
        <v>1789</v>
      </c>
      <c r="B804" t="s">
        <v>1790</v>
      </c>
      <c r="C804">
        <f t="shared" si="36"/>
        <v>4</v>
      </c>
      <c r="D804" s="7">
        <f t="shared" si="37"/>
        <v>12603.85</v>
      </c>
      <c r="E804">
        <f t="shared" si="38"/>
        <v>12603.850804</v>
      </c>
    </row>
    <row r="805" spans="1:5" x14ac:dyDescent="0.3">
      <c r="A805" t="s">
        <v>1791</v>
      </c>
      <c r="B805" t="s">
        <v>1792</v>
      </c>
      <c r="C805">
        <f t="shared" si="36"/>
        <v>5</v>
      </c>
      <c r="D805" s="7">
        <f t="shared" si="37"/>
        <v>12593.7</v>
      </c>
      <c r="E805">
        <f t="shared" si="38"/>
        <v>12593.700805</v>
      </c>
    </row>
    <row r="806" spans="1:5" x14ac:dyDescent="0.3">
      <c r="A806" t="s">
        <v>1793</v>
      </c>
      <c r="B806" t="s">
        <v>1794</v>
      </c>
      <c r="C806">
        <f t="shared" si="36"/>
        <v>4</v>
      </c>
      <c r="D806" s="7">
        <f t="shared" si="37"/>
        <v>12494</v>
      </c>
      <c r="E806">
        <f t="shared" si="38"/>
        <v>12494.000806</v>
      </c>
    </row>
    <row r="807" spans="1:5" x14ac:dyDescent="0.3">
      <c r="A807" t="s">
        <v>1795</v>
      </c>
      <c r="B807" t="s">
        <v>1796</v>
      </c>
      <c r="C807">
        <f t="shared" si="36"/>
        <v>3</v>
      </c>
      <c r="D807" s="7">
        <f t="shared" si="37"/>
        <v>12424.849999999999</v>
      </c>
      <c r="E807">
        <f t="shared" si="38"/>
        <v>12424.850806999999</v>
      </c>
    </row>
    <row r="808" spans="1:5" x14ac:dyDescent="0.3">
      <c r="A808" t="s">
        <v>1797</v>
      </c>
      <c r="B808" t="s">
        <v>1798</v>
      </c>
      <c r="C808">
        <f t="shared" si="36"/>
        <v>2</v>
      </c>
      <c r="D808" s="7">
        <f t="shared" si="37"/>
        <v>12349.05</v>
      </c>
      <c r="E808">
        <f t="shared" si="38"/>
        <v>12349.050808</v>
      </c>
    </row>
    <row r="809" spans="1:5" x14ac:dyDescent="0.3">
      <c r="A809" t="s">
        <v>1799</v>
      </c>
      <c r="B809" t="s">
        <v>1800</v>
      </c>
      <c r="C809">
        <f t="shared" si="36"/>
        <v>6</v>
      </c>
      <c r="D809" s="7">
        <f t="shared" si="37"/>
        <v>12343.95</v>
      </c>
      <c r="E809">
        <f t="shared" si="38"/>
        <v>12343.950809</v>
      </c>
    </row>
    <row r="810" spans="1:5" x14ac:dyDescent="0.3">
      <c r="A810" t="s">
        <v>1801</v>
      </c>
      <c r="B810" t="s">
        <v>1802</v>
      </c>
      <c r="C810">
        <f t="shared" si="36"/>
        <v>3</v>
      </c>
      <c r="D810" s="7">
        <f t="shared" si="37"/>
        <v>12339.95</v>
      </c>
      <c r="E810">
        <f t="shared" si="38"/>
        <v>12339.95081</v>
      </c>
    </row>
    <row r="811" spans="1:5" x14ac:dyDescent="0.3">
      <c r="A811" t="s">
        <v>1803</v>
      </c>
      <c r="B811" t="s">
        <v>1804</v>
      </c>
      <c r="C811">
        <f t="shared" si="36"/>
        <v>2</v>
      </c>
      <c r="D811" s="7">
        <f t="shared" si="37"/>
        <v>12247.349999999999</v>
      </c>
      <c r="E811">
        <f t="shared" si="38"/>
        <v>12247.350810999998</v>
      </c>
    </row>
    <row r="812" spans="1:5" x14ac:dyDescent="0.3">
      <c r="A812" t="s">
        <v>1805</v>
      </c>
      <c r="B812" t="s">
        <v>1806</v>
      </c>
      <c r="C812">
        <f t="shared" si="36"/>
        <v>4</v>
      </c>
      <c r="D812" s="7">
        <f t="shared" si="37"/>
        <v>12223.05</v>
      </c>
      <c r="E812">
        <f t="shared" si="38"/>
        <v>12223.050811999999</v>
      </c>
    </row>
    <row r="813" spans="1:5" x14ac:dyDescent="0.3">
      <c r="A813" t="s">
        <v>1807</v>
      </c>
      <c r="B813" t="s">
        <v>1808</v>
      </c>
      <c r="C813">
        <f t="shared" si="36"/>
        <v>3</v>
      </c>
      <c r="D813" s="7">
        <f t="shared" si="37"/>
        <v>12202.3</v>
      </c>
      <c r="E813">
        <f t="shared" si="38"/>
        <v>12202.300813</v>
      </c>
    </row>
    <row r="814" spans="1:5" x14ac:dyDescent="0.3">
      <c r="A814" t="s">
        <v>1809</v>
      </c>
      <c r="B814" t="s">
        <v>1810</v>
      </c>
      <c r="C814">
        <f t="shared" si="36"/>
        <v>5</v>
      </c>
      <c r="D814" s="7">
        <f t="shared" si="37"/>
        <v>12195.349999999999</v>
      </c>
      <c r="E814">
        <f t="shared" si="38"/>
        <v>12195.350813999999</v>
      </c>
    </row>
    <row r="815" spans="1:5" x14ac:dyDescent="0.3">
      <c r="A815" t="s">
        <v>1811</v>
      </c>
      <c r="B815" t="s">
        <v>1812</v>
      </c>
      <c r="C815">
        <f t="shared" si="36"/>
        <v>2</v>
      </c>
      <c r="D815" s="7">
        <f t="shared" si="37"/>
        <v>12194.55</v>
      </c>
      <c r="E815">
        <f t="shared" si="38"/>
        <v>12194.550814999999</v>
      </c>
    </row>
    <row r="816" spans="1:5" x14ac:dyDescent="0.3">
      <c r="A816" t="s">
        <v>1813</v>
      </c>
      <c r="B816" t="s">
        <v>1814</v>
      </c>
      <c r="C816">
        <f t="shared" si="36"/>
        <v>2</v>
      </c>
      <c r="D816" s="7">
        <f t="shared" si="37"/>
        <v>12145.5</v>
      </c>
      <c r="E816">
        <f t="shared" si="38"/>
        <v>12145.500816</v>
      </c>
    </row>
    <row r="817" spans="1:5" x14ac:dyDescent="0.3">
      <c r="A817" t="s">
        <v>1815</v>
      </c>
      <c r="B817" t="s">
        <v>1816</v>
      </c>
      <c r="C817">
        <f t="shared" si="36"/>
        <v>2</v>
      </c>
      <c r="D817" s="7">
        <f t="shared" si="37"/>
        <v>12015.300000000001</v>
      </c>
      <c r="E817">
        <f t="shared" si="38"/>
        <v>12015.300817000001</v>
      </c>
    </row>
    <row r="818" spans="1:5" x14ac:dyDescent="0.3">
      <c r="A818" t="s">
        <v>1817</v>
      </c>
      <c r="B818" t="s">
        <v>1818</v>
      </c>
      <c r="C818">
        <f t="shared" si="36"/>
        <v>1</v>
      </c>
      <c r="D818" s="7">
        <f t="shared" si="37"/>
        <v>11999.2</v>
      </c>
      <c r="E818">
        <f t="shared" si="38"/>
        <v>11999.200818000001</v>
      </c>
    </row>
    <row r="819" spans="1:5" x14ac:dyDescent="0.3">
      <c r="A819" t="s">
        <v>1819</v>
      </c>
      <c r="B819" t="s">
        <v>1820</v>
      </c>
      <c r="C819">
        <f t="shared" si="36"/>
        <v>3</v>
      </c>
      <c r="D819" s="7">
        <f t="shared" si="37"/>
        <v>11972.599999999999</v>
      </c>
      <c r="E819">
        <f t="shared" si="38"/>
        <v>11972.600818999999</v>
      </c>
    </row>
    <row r="820" spans="1:5" x14ac:dyDescent="0.3">
      <c r="A820" t="s">
        <v>1821</v>
      </c>
      <c r="B820" t="s">
        <v>1822</v>
      </c>
      <c r="C820">
        <f t="shared" si="36"/>
        <v>5</v>
      </c>
      <c r="D820" s="7">
        <f t="shared" si="37"/>
        <v>11877.4</v>
      </c>
      <c r="E820">
        <f t="shared" si="38"/>
        <v>11877.400819999999</v>
      </c>
    </row>
    <row r="821" spans="1:5" x14ac:dyDescent="0.3">
      <c r="A821" t="s">
        <v>1823</v>
      </c>
      <c r="B821" t="s">
        <v>1824</v>
      </c>
      <c r="C821">
        <f t="shared" si="36"/>
        <v>2</v>
      </c>
      <c r="D821" s="7">
        <f t="shared" si="37"/>
        <v>11793.75</v>
      </c>
      <c r="E821">
        <f t="shared" si="38"/>
        <v>11793.750821</v>
      </c>
    </row>
    <row r="822" spans="1:5" x14ac:dyDescent="0.3">
      <c r="A822" t="s">
        <v>1825</v>
      </c>
      <c r="B822" t="s">
        <v>1826</v>
      </c>
      <c r="C822">
        <f t="shared" si="36"/>
        <v>5</v>
      </c>
      <c r="D822" s="7">
        <f t="shared" si="37"/>
        <v>11785.150000000001</v>
      </c>
      <c r="E822">
        <f t="shared" si="38"/>
        <v>11785.150822000001</v>
      </c>
    </row>
    <row r="823" spans="1:5" x14ac:dyDescent="0.3">
      <c r="A823" t="s">
        <v>1827</v>
      </c>
      <c r="B823" t="s">
        <v>1828</v>
      </c>
      <c r="C823">
        <f t="shared" si="36"/>
        <v>4</v>
      </c>
      <c r="D823" s="7">
        <f t="shared" si="37"/>
        <v>11678.65</v>
      </c>
      <c r="E823">
        <f t="shared" si="38"/>
        <v>11678.650823</v>
      </c>
    </row>
    <row r="824" spans="1:5" x14ac:dyDescent="0.3">
      <c r="A824" t="s">
        <v>1829</v>
      </c>
      <c r="B824" t="s">
        <v>1830</v>
      </c>
      <c r="C824">
        <f t="shared" si="36"/>
        <v>4</v>
      </c>
      <c r="D824" s="7">
        <f t="shared" si="37"/>
        <v>11638.8</v>
      </c>
      <c r="E824">
        <f t="shared" si="38"/>
        <v>11638.800824</v>
      </c>
    </row>
    <row r="825" spans="1:5" x14ac:dyDescent="0.3">
      <c r="A825" t="s">
        <v>1831</v>
      </c>
      <c r="B825" t="s">
        <v>1832</v>
      </c>
      <c r="C825">
        <f t="shared" si="36"/>
        <v>4</v>
      </c>
      <c r="D825" s="7">
        <f t="shared" si="37"/>
        <v>11596</v>
      </c>
      <c r="E825">
        <f t="shared" si="38"/>
        <v>11596.000824999999</v>
      </c>
    </row>
    <row r="826" spans="1:5" x14ac:dyDescent="0.3">
      <c r="A826" t="s">
        <v>1833</v>
      </c>
      <c r="B826" t="s">
        <v>1834</v>
      </c>
      <c r="C826">
        <f t="shared" si="36"/>
        <v>4</v>
      </c>
      <c r="D826" s="7">
        <f t="shared" si="37"/>
        <v>11560.800000000001</v>
      </c>
      <c r="E826">
        <f t="shared" si="38"/>
        <v>11560.800826000001</v>
      </c>
    </row>
    <row r="827" spans="1:5" x14ac:dyDescent="0.3">
      <c r="A827" t="s">
        <v>1835</v>
      </c>
      <c r="B827" t="s">
        <v>1836</v>
      </c>
      <c r="C827">
        <f t="shared" si="36"/>
        <v>2</v>
      </c>
      <c r="D827" s="7">
        <f t="shared" si="37"/>
        <v>11554.900000000001</v>
      </c>
      <c r="E827">
        <f t="shared" si="38"/>
        <v>11554.900827000001</v>
      </c>
    </row>
    <row r="828" spans="1:5" x14ac:dyDescent="0.3">
      <c r="A828" t="s">
        <v>1837</v>
      </c>
      <c r="B828" t="s">
        <v>1838</v>
      </c>
      <c r="C828">
        <f t="shared" si="36"/>
        <v>4</v>
      </c>
      <c r="D828" s="7">
        <f t="shared" si="37"/>
        <v>11533</v>
      </c>
      <c r="E828">
        <f t="shared" si="38"/>
        <v>11533.000828</v>
      </c>
    </row>
    <row r="829" spans="1:5" x14ac:dyDescent="0.3">
      <c r="A829" t="s">
        <v>1839</v>
      </c>
      <c r="B829" t="s">
        <v>1840</v>
      </c>
      <c r="C829">
        <f t="shared" si="36"/>
        <v>6</v>
      </c>
      <c r="D829" s="7">
        <f t="shared" si="37"/>
        <v>11453.35</v>
      </c>
      <c r="E829">
        <f t="shared" si="38"/>
        <v>11453.350829000001</v>
      </c>
    </row>
    <row r="830" spans="1:5" x14ac:dyDescent="0.3">
      <c r="A830" t="s">
        <v>1841</v>
      </c>
      <c r="B830" t="s">
        <v>1842</v>
      </c>
      <c r="C830">
        <f t="shared" si="36"/>
        <v>4</v>
      </c>
      <c r="D830" s="7">
        <f t="shared" si="37"/>
        <v>11442.599999999999</v>
      </c>
      <c r="E830">
        <f t="shared" si="38"/>
        <v>11442.600829999999</v>
      </c>
    </row>
    <row r="831" spans="1:5" x14ac:dyDescent="0.3">
      <c r="A831" t="s">
        <v>1843</v>
      </c>
      <c r="B831" t="s">
        <v>1844</v>
      </c>
      <c r="C831">
        <f t="shared" si="36"/>
        <v>4</v>
      </c>
      <c r="D831" s="7">
        <f t="shared" si="37"/>
        <v>11395.2</v>
      </c>
      <c r="E831">
        <f t="shared" si="38"/>
        <v>11395.200831</v>
      </c>
    </row>
    <row r="832" spans="1:5" x14ac:dyDescent="0.3">
      <c r="A832" t="s">
        <v>1845</v>
      </c>
      <c r="B832" t="s">
        <v>1846</v>
      </c>
      <c r="C832">
        <f t="shared" si="36"/>
        <v>5</v>
      </c>
      <c r="D832" s="7">
        <f t="shared" si="37"/>
        <v>11373.8</v>
      </c>
      <c r="E832">
        <f t="shared" si="38"/>
        <v>11373.800831999999</v>
      </c>
    </row>
    <row r="833" spans="1:5" x14ac:dyDescent="0.3">
      <c r="A833" t="s">
        <v>1847</v>
      </c>
      <c r="B833" t="s">
        <v>1848</v>
      </c>
      <c r="C833">
        <f t="shared" si="36"/>
        <v>5</v>
      </c>
      <c r="D833" s="7">
        <f t="shared" si="37"/>
        <v>11358.550000000001</v>
      </c>
      <c r="E833">
        <f t="shared" si="38"/>
        <v>11358.550833000001</v>
      </c>
    </row>
    <row r="834" spans="1:5" x14ac:dyDescent="0.3">
      <c r="A834" t="s">
        <v>1849</v>
      </c>
      <c r="B834" t="s">
        <v>1850</v>
      </c>
      <c r="C834">
        <f t="shared" ref="C834:C897" si="39">COUNTIF(dCust,A834)</f>
        <v>3</v>
      </c>
      <c r="D834" s="7">
        <f t="shared" ref="D834:D897" si="40">SUMIFS(dSales,dCust,A834)</f>
        <v>11345.5</v>
      </c>
      <c r="E834">
        <f t="shared" ref="E834:E897" si="41">D834+ROW()/1000000</f>
        <v>11345.500834</v>
      </c>
    </row>
    <row r="835" spans="1:5" x14ac:dyDescent="0.3">
      <c r="A835" t="s">
        <v>1851</v>
      </c>
      <c r="B835" t="s">
        <v>1852</v>
      </c>
      <c r="C835">
        <f t="shared" si="39"/>
        <v>4</v>
      </c>
      <c r="D835" s="7">
        <f t="shared" si="40"/>
        <v>11314.75</v>
      </c>
      <c r="E835">
        <f t="shared" si="41"/>
        <v>11314.750835000001</v>
      </c>
    </row>
    <row r="836" spans="1:5" x14ac:dyDescent="0.3">
      <c r="A836" t="s">
        <v>1853</v>
      </c>
      <c r="B836" t="s">
        <v>1854</v>
      </c>
      <c r="C836">
        <f t="shared" si="39"/>
        <v>1</v>
      </c>
      <c r="D836" s="7">
        <f t="shared" si="40"/>
        <v>11245.5</v>
      </c>
      <c r="E836">
        <f t="shared" si="41"/>
        <v>11245.500835999999</v>
      </c>
    </row>
    <row r="837" spans="1:5" x14ac:dyDescent="0.3">
      <c r="A837" t="s">
        <v>1855</v>
      </c>
      <c r="B837" t="s">
        <v>1856</v>
      </c>
      <c r="C837">
        <f t="shared" si="39"/>
        <v>2</v>
      </c>
      <c r="D837" s="7">
        <f t="shared" si="40"/>
        <v>11216.6</v>
      </c>
      <c r="E837">
        <f t="shared" si="41"/>
        <v>11216.600837</v>
      </c>
    </row>
    <row r="838" spans="1:5" x14ac:dyDescent="0.3">
      <c r="A838" t="s">
        <v>1857</v>
      </c>
      <c r="B838" t="s">
        <v>1858</v>
      </c>
      <c r="C838">
        <f t="shared" si="39"/>
        <v>3</v>
      </c>
      <c r="D838" s="7">
        <f t="shared" si="40"/>
        <v>11170.35</v>
      </c>
      <c r="E838">
        <f t="shared" si="41"/>
        <v>11170.350838</v>
      </c>
    </row>
    <row r="839" spans="1:5" x14ac:dyDescent="0.3">
      <c r="A839" t="s">
        <v>1859</v>
      </c>
      <c r="B839" t="s">
        <v>1860</v>
      </c>
      <c r="C839">
        <f t="shared" si="39"/>
        <v>3</v>
      </c>
      <c r="D839" s="7">
        <f t="shared" si="40"/>
        <v>11153.849999999999</v>
      </c>
      <c r="E839">
        <f t="shared" si="41"/>
        <v>11153.850838999999</v>
      </c>
    </row>
    <row r="840" spans="1:5" x14ac:dyDescent="0.3">
      <c r="A840" t="s">
        <v>1861</v>
      </c>
      <c r="B840" t="s">
        <v>1862</v>
      </c>
      <c r="C840">
        <f t="shared" si="39"/>
        <v>3</v>
      </c>
      <c r="D840" s="7">
        <f t="shared" si="40"/>
        <v>11124.900000000001</v>
      </c>
      <c r="E840">
        <f t="shared" si="41"/>
        <v>11124.900840000002</v>
      </c>
    </row>
    <row r="841" spans="1:5" x14ac:dyDescent="0.3">
      <c r="A841" t="s">
        <v>1863</v>
      </c>
      <c r="B841" t="s">
        <v>1864</v>
      </c>
      <c r="C841">
        <f t="shared" si="39"/>
        <v>5</v>
      </c>
      <c r="D841" s="7">
        <f t="shared" si="40"/>
        <v>11102.6</v>
      </c>
      <c r="E841">
        <f t="shared" si="41"/>
        <v>11102.600840999999</v>
      </c>
    </row>
    <row r="842" spans="1:5" x14ac:dyDescent="0.3">
      <c r="A842" t="s">
        <v>1865</v>
      </c>
      <c r="B842" t="s">
        <v>1866</v>
      </c>
      <c r="C842">
        <f t="shared" si="39"/>
        <v>3</v>
      </c>
      <c r="D842" s="7">
        <f t="shared" si="40"/>
        <v>11080.2</v>
      </c>
      <c r="E842">
        <f t="shared" si="41"/>
        <v>11080.200842</v>
      </c>
    </row>
    <row r="843" spans="1:5" x14ac:dyDescent="0.3">
      <c r="A843" t="s">
        <v>1867</v>
      </c>
      <c r="B843" t="s">
        <v>1868</v>
      </c>
      <c r="C843">
        <f t="shared" si="39"/>
        <v>4</v>
      </c>
      <c r="D843" s="7">
        <f t="shared" si="40"/>
        <v>11075.1</v>
      </c>
      <c r="E843">
        <f t="shared" si="41"/>
        <v>11075.100843</v>
      </c>
    </row>
    <row r="844" spans="1:5" x14ac:dyDescent="0.3">
      <c r="A844" t="s">
        <v>1869</v>
      </c>
      <c r="B844" t="s">
        <v>1870</v>
      </c>
      <c r="C844">
        <f t="shared" si="39"/>
        <v>4</v>
      </c>
      <c r="D844" s="7">
        <f t="shared" si="40"/>
        <v>11065.9</v>
      </c>
      <c r="E844">
        <f t="shared" si="41"/>
        <v>11065.900844</v>
      </c>
    </row>
    <row r="845" spans="1:5" x14ac:dyDescent="0.3">
      <c r="A845" t="s">
        <v>1871</v>
      </c>
      <c r="B845" t="s">
        <v>1872</v>
      </c>
      <c r="C845">
        <f t="shared" si="39"/>
        <v>4</v>
      </c>
      <c r="D845" s="7">
        <f t="shared" si="40"/>
        <v>11065.5</v>
      </c>
      <c r="E845">
        <f t="shared" si="41"/>
        <v>11065.500845</v>
      </c>
    </row>
    <row r="846" spans="1:5" x14ac:dyDescent="0.3">
      <c r="A846" t="s">
        <v>1873</v>
      </c>
      <c r="B846" t="s">
        <v>1874</v>
      </c>
      <c r="C846">
        <f t="shared" si="39"/>
        <v>1</v>
      </c>
      <c r="D846" s="7">
        <f t="shared" si="40"/>
        <v>11049.15</v>
      </c>
      <c r="E846">
        <f t="shared" si="41"/>
        <v>11049.150846</v>
      </c>
    </row>
    <row r="847" spans="1:5" x14ac:dyDescent="0.3">
      <c r="A847" t="s">
        <v>1875</v>
      </c>
      <c r="B847" t="s">
        <v>1876</v>
      </c>
      <c r="C847">
        <f t="shared" si="39"/>
        <v>4</v>
      </c>
      <c r="D847" s="7">
        <f t="shared" si="40"/>
        <v>11034.5</v>
      </c>
      <c r="E847">
        <f t="shared" si="41"/>
        <v>11034.500846999999</v>
      </c>
    </row>
    <row r="848" spans="1:5" x14ac:dyDescent="0.3">
      <c r="A848" t="s">
        <v>1877</v>
      </c>
      <c r="B848" t="s">
        <v>1878</v>
      </c>
      <c r="C848">
        <f t="shared" si="39"/>
        <v>4</v>
      </c>
      <c r="D848" s="7">
        <f t="shared" si="40"/>
        <v>11033.15</v>
      </c>
      <c r="E848">
        <f t="shared" si="41"/>
        <v>11033.150847999999</v>
      </c>
    </row>
    <row r="849" spans="1:5" x14ac:dyDescent="0.3">
      <c r="A849" t="s">
        <v>1879</v>
      </c>
      <c r="B849" t="s">
        <v>1880</v>
      </c>
      <c r="C849">
        <f t="shared" si="39"/>
        <v>3</v>
      </c>
      <c r="D849" s="7">
        <f t="shared" si="40"/>
        <v>10984.8</v>
      </c>
      <c r="E849">
        <f t="shared" si="41"/>
        <v>10984.800848999999</v>
      </c>
    </row>
    <row r="850" spans="1:5" x14ac:dyDescent="0.3">
      <c r="A850" t="s">
        <v>1881</v>
      </c>
      <c r="B850" t="s">
        <v>1882</v>
      </c>
      <c r="C850">
        <f t="shared" si="39"/>
        <v>4</v>
      </c>
      <c r="D850" s="7">
        <f t="shared" si="40"/>
        <v>10953.2</v>
      </c>
      <c r="E850">
        <f t="shared" si="41"/>
        <v>10953.200850000001</v>
      </c>
    </row>
    <row r="851" spans="1:5" x14ac:dyDescent="0.3">
      <c r="A851" t="s">
        <v>1883</v>
      </c>
      <c r="B851" t="s">
        <v>1884</v>
      </c>
      <c r="C851">
        <f t="shared" si="39"/>
        <v>3</v>
      </c>
      <c r="D851" s="7">
        <f t="shared" si="40"/>
        <v>10924.599999999999</v>
      </c>
      <c r="E851">
        <f t="shared" si="41"/>
        <v>10924.600850999999</v>
      </c>
    </row>
    <row r="852" spans="1:5" x14ac:dyDescent="0.3">
      <c r="A852" t="s">
        <v>1885</v>
      </c>
      <c r="B852" t="s">
        <v>1886</v>
      </c>
      <c r="C852">
        <f t="shared" si="39"/>
        <v>3</v>
      </c>
      <c r="D852" s="7">
        <f t="shared" si="40"/>
        <v>10903.3</v>
      </c>
      <c r="E852">
        <f t="shared" si="41"/>
        <v>10903.300851999998</v>
      </c>
    </row>
    <row r="853" spans="1:5" x14ac:dyDescent="0.3">
      <c r="A853" t="s">
        <v>1887</v>
      </c>
      <c r="B853" t="s">
        <v>1888</v>
      </c>
      <c r="C853">
        <f t="shared" si="39"/>
        <v>2</v>
      </c>
      <c r="D853" s="7">
        <f t="shared" si="40"/>
        <v>10896.6</v>
      </c>
      <c r="E853">
        <f t="shared" si="41"/>
        <v>10896.600853</v>
      </c>
    </row>
    <row r="854" spans="1:5" x14ac:dyDescent="0.3">
      <c r="A854" t="s">
        <v>1889</v>
      </c>
      <c r="B854" t="s">
        <v>1890</v>
      </c>
      <c r="C854">
        <f t="shared" si="39"/>
        <v>4</v>
      </c>
      <c r="D854" s="7">
        <f t="shared" si="40"/>
        <v>10877.9</v>
      </c>
      <c r="E854">
        <f t="shared" si="41"/>
        <v>10877.900854</v>
      </c>
    </row>
    <row r="855" spans="1:5" x14ac:dyDescent="0.3">
      <c r="A855" t="s">
        <v>1891</v>
      </c>
      <c r="B855" t="s">
        <v>1892</v>
      </c>
      <c r="C855">
        <f t="shared" si="39"/>
        <v>5</v>
      </c>
      <c r="D855" s="7">
        <f t="shared" si="40"/>
        <v>10865.7</v>
      </c>
      <c r="E855">
        <f t="shared" si="41"/>
        <v>10865.700855000001</v>
      </c>
    </row>
    <row r="856" spans="1:5" x14ac:dyDescent="0.3">
      <c r="A856" t="s">
        <v>1893</v>
      </c>
      <c r="B856" t="s">
        <v>1894</v>
      </c>
      <c r="C856">
        <f t="shared" si="39"/>
        <v>3</v>
      </c>
      <c r="D856" s="7">
        <f t="shared" si="40"/>
        <v>10840.1</v>
      </c>
      <c r="E856">
        <f t="shared" si="41"/>
        <v>10840.100856000001</v>
      </c>
    </row>
    <row r="857" spans="1:5" x14ac:dyDescent="0.3">
      <c r="A857" t="s">
        <v>1895</v>
      </c>
      <c r="B857" t="s">
        <v>1896</v>
      </c>
      <c r="C857">
        <f t="shared" si="39"/>
        <v>4</v>
      </c>
      <c r="D857" s="7">
        <f t="shared" si="40"/>
        <v>10831.55</v>
      </c>
      <c r="E857">
        <f t="shared" si="41"/>
        <v>10831.550857</v>
      </c>
    </row>
    <row r="858" spans="1:5" x14ac:dyDescent="0.3">
      <c r="A858" t="s">
        <v>1897</v>
      </c>
      <c r="B858" t="s">
        <v>1898</v>
      </c>
      <c r="C858">
        <f t="shared" si="39"/>
        <v>3</v>
      </c>
      <c r="D858" s="7">
        <f t="shared" si="40"/>
        <v>10749.95</v>
      </c>
      <c r="E858">
        <f t="shared" si="41"/>
        <v>10749.950858</v>
      </c>
    </row>
    <row r="859" spans="1:5" x14ac:dyDescent="0.3">
      <c r="A859" t="s">
        <v>1899</v>
      </c>
      <c r="B859" t="s">
        <v>1900</v>
      </c>
      <c r="C859">
        <f t="shared" si="39"/>
        <v>5</v>
      </c>
      <c r="D859" s="7">
        <f t="shared" si="40"/>
        <v>10739.65</v>
      </c>
      <c r="E859">
        <f t="shared" si="41"/>
        <v>10739.650858999999</v>
      </c>
    </row>
    <row r="860" spans="1:5" x14ac:dyDescent="0.3">
      <c r="A860" t="s">
        <v>1901</v>
      </c>
      <c r="B860" t="s">
        <v>1902</v>
      </c>
      <c r="C860">
        <f t="shared" si="39"/>
        <v>3</v>
      </c>
      <c r="D860" s="7">
        <f t="shared" si="40"/>
        <v>10731.55</v>
      </c>
      <c r="E860">
        <f t="shared" si="41"/>
        <v>10731.550859999999</v>
      </c>
    </row>
    <row r="861" spans="1:5" x14ac:dyDescent="0.3">
      <c r="A861" t="s">
        <v>1903</v>
      </c>
      <c r="B861" t="s">
        <v>1904</v>
      </c>
      <c r="C861">
        <f t="shared" si="39"/>
        <v>4</v>
      </c>
      <c r="D861" s="7">
        <f t="shared" si="40"/>
        <v>10713.35</v>
      </c>
      <c r="E861">
        <f t="shared" si="41"/>
        <v>10713.350861000001</v>
      </c>
    </row>
    <row r="862" spans="1:5" x14ac:dyDescent="0.3">
      <c r="A862" t="s">
        <v>1905</v>
      </c>
      <c r="B862" t="s">
        <v>1906</v>
      </c>
      <c r="C862">
        <f t="shared" si="39"/>
        <v>3</v>
      </c>
      <c r="D862" s="7">
        <f t="shared" si="40"/>
        <v>10636.35</v>
      </c>
      <c r="E862">
        <f t="shared" si="41"/>
        <v>10636.350862000001</v>
      </c>
    </row>
    <row r="863" spans="1:5" x14ac:dyDescent="0.3">
      <c r="A863" t="s">
        <v>1907</v>
      </c>
      <c r="B863" t="s">
        <v>1908</v>
      </c>
      <c r="C863">
        <f t="shared" si="39"/>
        <v>3</v>
      </c>
      <c r="D863" s="7">
        <f t="shared" si="40"/>
        <v>10635.5</v>
      </c>
      <c r="E863">
        <f t="shared" si="41"/>
        <v>10635.500862999999</v>
      </c>
    </row>
    <row r="864" spans="1:5" x14ac:dyDescent="0.3">
      <c r="A864" t="s">
        <v>1909</v>
      </c>
      <c r="B864" t="s">
        <v>1910</v>
      </c>
      <c r="C864">
        <f t="shared" si="39"/>
        <v>3</v>
      </c>
      <c r="D864" s="7">
        <f t="shared" si="40"/>
        <v>10614.9</v>
      </c>
      <c r="E864">
        <f t="shared" si="41"/>
        <v>10614.900863999999</v>
      </c>
    </row>
    <row r="865" spans="1:5" x14ac:dyDescent="0.3">
      <c r="A865" t="s">
        <v>1911</v>
      </c>
      <c r="B865" t="s">
        <v>1912</v>
      </c>
      <c r="C865">
        <f t="shared" si="39"/>
        <v>2</v>
      </c>
      <c r="D865" s="7">
        <f t="shared" si="40"/>
        <v>10613.9</v>
      </c>
      <c r="E865">
        <f t="shared" si="41"/>
        <v>10613.900865</v>
      </c>
    </row>
    <row r="866" spans="1:5" x14ac:dyDescent="0.3">
      <c r="A866" t="s">
        <v>1913</v>
      </c>
      <c r="B866" t="s">
        <v>1914</v>
      </c>
      <c r="C866">
        <f t="shared" si="39"/>
        <v>4</v>
      </c>
      <c r="D866" s="7">
        <f t="shared" si="40"/>
        <v>10613.75</v>
      </c>
      <c r="E866">
        <f t="shared" si="41"/>
        <v>10613.750866</v>
      </c>
    </row>
    <row r="867" spans="1:5" x14ac:dyDescent="0.3">
      <c r="A867" t="s">
        <v>1915</v>
      </c>
      <c r="B867" t="s">
        <v>1916</v>
      </c>
      <c r="C867">
        <f t="shared" si="39"/>
        <v>4</v>
      </c>
      <c r="D867" s="7">
        <f t="shared" si="40"/>
        <v>10594.25</v>
      </c>
      <c r="E867">
        <f t="shared" si="41"/>
        <v>10594.250867000001</v>
      </c>
    </row>
    <row r="868" spans="1:5" x14ac:dyDescent="0.3">
      <c r="A868" t="s">
        <v>1917</v>
      </c>
      <c r="B868" t="s">
        <v>1918</v>
      </c>
      <c r="C868">
        <f t="shared" si="39"/>
        <v>4</v>
      </c>
      <c r="D868" s="7">
        <f t="shared" si="40"/>
        <v>10584.35</v>
      </c>
      <c r="E868">
        <f t="shared" si="41"/>
        <v>10584.350868</v>
      </c>
    </row>
    <row r="869" spans="1:5" x14ac:dyDescent="0.3">
      <c r="A869" t="s">
        <v>1919</v>
      </c>
      <c r="B869" t="s">
        <v>1920</v>
      </c>
      <c r="C869">
        <f t="shared" si="39"/>
        <v>4</v>
      </c>
      <c r="D869" s="7">
        <f t="shared" si="40"/>
        <v>10573.2</v>
      </c>
      <c r="E869">
        <f t="shared" si="41"/>
        <v>10573.200869</v>
      </c>
    </row>
    <row r="870" spans="1:5" x14ac:dyDescent="0.3">
      <c r="A870" t="s">
        <v>1921</v>
      </c>
      <c r="B870" t="s">
        <v>1922</v>
      </c>
      <c r="C870">
        <f t="shared" si="39"/>
        <v>2</v>
      </c>
      <c r="D870" s="7">
        <f t="shared" si="40"/>
        <v>10567.35</v>
      </c>
      <c r="E870">
        <f t="shared" si="41"/>
        <v>10567.35087</v>
      </c>
    </row>
    <row r="871" spans="1:5" x14ac:dyDescent="0.3">
      <c r="A871" t="s">
        <v>1923</v>
      </c>
      <c r="B871" t="s">
        <v>1924</v>
      </c>
      <c r="C871">
        <f t="shared" si="39"/>
        <v>4</v>
      </c>
      <c r="D871" s="7">
        <f t="shared" si="40"/>
        <v>10520</v>
      </c>
      <c r="E871">
        <f t="shared" si="41"/>
        <v>10520.000871</v>
      </c>
    </row>
    <row r="872" spans="1:5" x14ac:dyDescent="0.3">
      <c r="A872" t="s">
        <v>1925</v>
      </c>
      <c r="B872" t="s">
        <v>1926</v>
      </c>
      <c r="C872">
        <f t="shared" si="39"/>
        <v>5</v>
      </c>
      <c r="D872" s="7">
        <f t="shared" si="40"/>
        <v>10461.450000000001</v>
      </c>
      <c r="E872">
        <f t="shared" si="41"/>
        <v>10461.450872000001</v>
      </c>
    </row>
    <row r="873" spans="1:5" x14ac:dyDescent="0.3">
      <c r="A873" t="s">
        <v>1927</v>
      </c>
      <c r="B873" t="s">
        <v>1928</v>
      </c>
      <c r="C873">
        <f t="shared" si="39"/>
        <v>4</v>
      </c>
      <c r="D873" s="7">
        <f t="shared" si="40"/>
        <v>10438.65</v>
      </c>
      <c r="E873">
        <f t="shared" si="41"/>
        <v>10438.650873000001</v>
      </c>
    </row>
    <row r="874" spans="1:5" x14ac:dyDescent="0.3">
      <c r="A874" t="s">
        <v>1929</v>
      </c>
      <c r="B874" t="s">
        <v>1930</v>
      </c>
      <c r="C874">
        <f t="shared" si="39"/>
        <v>4</v>
      </c>
      <c r="D874" s="7">
        <f t="shared" si="40"/>
        <v>10332.700000000001</v>
      </c>
      <c r="E874">
        <f t="shared" si="41"/>
        <v>10332.700874</v>
      </c>
    </row>
    <row r="875" spans="1:5" x14ac:dyDescent="0.3">
      <c r="A875" t="s">
        <v>1931</v>
      </c>
      <c r="B875" t="s">
        <v>1932</v>
      </c>
      <c r="C875">
        <f t="shared" si="39"/>
        <v>4</v>
      </c>
      <c r="D875" s="7">
        <f t="shared" si="40"/>
        <v>10311.1</v>
      </c>
      <c r="E875">
        <f t="shared" si="41"/>
        <v>10311.100875</v>
      </c>
    </row>
    <row r="876" spans="1:5" x14ac:dyDescent="0.3">
      <c r="A876" t="s">
        <v>1933</v>
      </c>
      <c r="B876" t="s">
        <v>1934</v>
      </c>
      <c r="C876">
        <f t="shared" si="39"/>
        <v>5</v>
      </c>
      <c r="D876" s="7">
        <f t="shared" si="40"/>
        <v>10304.949999999999</v>
      </c>
      <c r="E876">
        <f t="shared" si="41"/>
        <v>10304.950875999999</v>
      </c>
    </row>
    <row r="877" spans="1:5" x14ac:dyDescent="0.3">
      <c r="A877" t="s">
        <v>1935</v>
      </c>
      <c r="B877" t="s">
        <v>1936</v>
      </c>
      <c r="C877">
        <f t="shared" si="39"/>
        <v>5</v>
      </c>
      <c r="D877" s="7">
        <f t="shared" si="40"/>
        <v>10283.5</v>
      </c>
      <c r="E877">
        <f t="shared" si="41"/>
        <v>10283.500877</v>
      </c>
    </row>
    <row r="878" spans="1:5" x14ac:dyDescent="0.3">
      <c r="A878" t="s">
        <v>1937</v>
      </c>
      <c r="B878" t="s">
        <v>1938</v>
      </c>
      <c r="C878">
        <f t="shared" si="39"/>
        <v>3</v>
      </c>
      <c r="D878" s="7">
        <f t="shared" si="40"/>
        <v>10255.4</v>
      </c>
      <c r="E878">
        <f t="shared" si="41"/>
        <v>10255.400878</v>
      </c>
    </row>
    <row r="879" spans="1:5" x14ac:dyDescent="0.3">
      <c r="A879" t="s">
        <v>1939</v>
      </c>
      <c r="B879" t="s">
        <v>1940</v>
      </c>
      <c r="C879">
        <f t="shared" si="39"/>
        <v>5</v>
      </c>
      <c r="D879" s="7">
        <f t="shared" si="40"/>
        <v>10226.650000000001</v>
      </c>
      <c r="E879">
        <f t="shared" si="41"/>
        <v>10226.650879000001</v>
      </c>
    </row>
    <row r="880" spans="1:5" x14ac:dyDescent="0.3">
      <c r="A880" t="s">
        <v>1941</v>
      </c>
      <c r="B880" t="s">
        <v>1942</v>
      </c>
      <c r="C880">
        <f t="shared" si="39"/>
        <v>4</v>
      </c>
      <c r="D880" s="7">
        <f t="shared" si="40"/>
        <v>10195.299999999999</v>
      </c>
      <c r="E880">
        <f t="shared" si="41"/>
        <v>10195.300879999999</v>
      </c>
    </row>
    <row r="881" spans="1:5" x14ac:dyDescent="0.3">
      <c r="A881" t="s">
        <v>1943</v>
      </c>
      <c r="B881" t="s">
        <v>1944</v>
      </c>
      <c r="C881">
        <f t="shared" si="39"/>
        <v>2</v>
      </c>
      <c r="D881" s="7">
        <f t="shared" si="40"/>
        <v>10194.9</v>
      </c>
      <c r="E881">
        <f t="shared" si="41"/>
        <v>10194.900881</v>
      </c>
    </row>
    <row r="882" spans="1:5" x14ac:dyDescent="0.3">
      <c r="A882" t="s">
        <v>1945</v>
      </c>
      <c r="B882" t="s">
        <v>1946</v>
      </c>
      <c r="C882">
        <f t="shared" si="39"/>
        <v>4</v>
      </c>
      <c r="D882" s="7">
        <f t="shared" si="40"/>
        <v>10191.6</v>
      </c>
      <c r="E882">
        <f t="shared" si="41"/>
        <v>10191.600882000001</v>
      </c>
    </row>
    <row r="883" spans="1:5" x14ac:dyDescent="0.3">
      <c r="A883" t="s">
        <v>1947</v>
      </c>
      <c r="B883" t="s">
        <v>1948</v>
      </c>
      <c r="C883">
        <f t="shared" si="39"/>
        <v>3</v>
      </c>
      <c r="D883" s="7">
        <f t="shared" si="40"/>
        <v>10175.450000000001</v>
      </c>
      <c r="E883">
        <f t="shared" si="41"/>
        <v>10175.450883000001</v>
      </c>
    </row>
    <row r="884" spans="1:5" x14ac:dyDescent="0.3">
      <c r="A884" t="s">
        <v>1949</v>
      </c>
      <c r="B884" t="s">
        <v>1950</v>
      </c>
      <c r="C884">
        <f t="shared" si="39"/>
        <v>2</v>
      </c>
      <c r="D884" s="7">
        <f t="shared" si="40"/>
        <v>10148.049999999999</v>
      </c>
      <c r="E884">
        <f t="shared" si="41"/>
        <v>10148.050883999998</v>
      </c>
    </row>
    <row r="885" spans="1:5" x14ac:dyDescent="0.3">
      <c r="A885" t="s">
        <v>1951</v>
      </c>
      <c r="B885" t="s">
        <v>1952</v>
      </c>
      <c r="C885">
        <f t="shared" si="39"/>
        <v>2</v>
      </c>
      <c r="D885" s="7">
        <f t="shared" si="40"/>
        <v>10064.299999999999</v>
      </c>
      <c r="E885">
        <f t="shared" si="41"/>
        <v>10064.300884999999</v>
      </c>
    </row>
    <row r="886" spans="1:5" x14ac:dyDescent="0.3">
      <c r="A886" t="s">
        <v>1953</v>
      </c>
      <c r="B886" t="s">
        <v>1954</v>
      </c>
      <c r="C886">
        <f t="shared" si="39"/>
        <v>3</v>
      </c>
      <c r="D886" s="7">
        <f t="shared" si="40"/>
        <v>10055.65</v>
      </c>
      <c r="E886">
        <f t="shared" si="41"/>
        <v>10055.650885999999</v>
      </c>
    </row>
    <row r="887" spans="1:5" x14ac:dyDescent="0.3">
      <c r="A887" t="s">
        <v>1955</v>
      </c>
      <c r="B887" t="s">
        <v>1956</v>
      </c>
      <c r="C887">
        <f t="shared" si="39"/>
        <v>3</v>
      </c>
      <c r="D887" s="7">
        <f t="shared" si="40"/>
        <v>10053.900000000001</v>
      </c>
      <c r="E887">
        <f t="shared" si="41"/>
        <v>10053.900887000002</v>
      </c>
    </row>
    <row r="888" spans="1:5" x14ac:dyDescent="0.3">
      <c r="A888" t="s">
        <v>1957</v>
      </c>
      <c r="B888" t="s">
        <v>1958</v>
      </c>
      <c r="C888">
        <f t="shared" si="39"/>
        <v>2</v>
      </c>
      <c r="D888" s="7">
        <f t="shared" si="40"/>
        <v>10051.450000000001</v>
      </c>
      <c r="E888">
        <f t="shared" si="41"/>
        <v>10051.450888000001</v>
      </c>
    </row>
    <row r="889" spans="1:5" x14ac:dyDescent="0.3">
      <c r="A889" t="s">
        <v>1959</v>
      </c>
      <c r="B889" t="s">
        <v>1960</v>
      </c>
      <c r="C889">
        <f t="shared" si="39"/>
        <v>4</v>
      </c>
      <c r="D889" s="7">
        <f t="shared" si="40"/>
        <v>10029.5</v>
      </c>
      <c r="E889">
        <f t="shared" si="41"/>
        <v>10029.500889000001</v>
      </c>
    </row>
    <row r="890" spans="1:5" x14ac:dyDescent="0.3">
      <c r="A890" t="s">
        <v>1961</v>
      </c>
      <c r="B890" t="s">
        <v>1962</v>
      </c>
      <c r="C890">
        <f t="shared" si="39"/>
        <v>2</v>
      </c>
      <c r="D890" s="7">
        <f t="shared" si="40"/>
        <v>9997.5</v>
      </c>
      <c r="E890">
        <f t="shared" si="41"/>
        <v>9997.5008899999993</v>
      </c>
    </row>
    <row r="891" spans="1:5" x14ac:dyDescent="0.3">
      <c r="A891" t="s">
        <v>1963</v>
      </c>
      <c r="B891" t="s">
        <v>1964</v>
      </c>
      <c r="C891">
        <f t="shared" si="39"/>
        <v>5</v>
      </c>
      <c r="D891" s="7">
        <f t="shared" si="40"/>
        <v>9945.3499999999985</v>
      </c>
      <c r="E891">
        <f t="shared" si="41"/>
        <v>9945.3508909999982</v>
      </c>
    </row>
    <row r="892" spans="1:5" x14ac:dyDescent="0.3">
      <c r="A892" t="s">
        <v>1965</v>
      </c>
      <c r="B892" t="s">
        <v>1966</v>
      </c>
      <c r="C892">
        <f t="shared" si="39"/>
        <v>3</v>
      </c>
      <c r="D892" s="7">
        <f t="shared" si="40"/>
        <v>9913.65</v>
      </c>
      <c r="E892">
        <f t="shared" si="41"/>
        <v>9913.6508919999997</v>
      </c>
    </row>
    <row r="893" spans="1:5" x14ac:dyDescent="0.3">
      <c r="A893" t="s">
        <v>1967</v>
      </c>
      <c r="B893" t="s">
        <v>1968</v>
      </c>
      <c r="C893">
        <f t="shared" si="39"/>
        <v>5</v>
      </c>
      <c r="D893" s="7">
        <f t="shared" si="40"/>
        <v>9827.3499999999985</v>
      </c>
      <c r="E893">
        <f t="shared" si="41"/>
        <v>9827.3508929999989</v>
      </c>
    </row>
    <row r="894" spans="1:5" x14ac:dyDescent="0.3">
      <c r="A894" t="s">
        <v>1969</v>
      </c>
      <c r="B894" t="s">
        <v>1970</v>
      </c>
      <c r="C894">
        <f t="shared" si="39"/>
        <v>4</v>
      </c>
      <c r="D894" s="7">
        <f t="shared" si="40"/>
        <v>9820.5499999999993</v>
      </c>
      <c r="E894">
        <f t="shared" si="41"/>
        <v>9820.550894</v>
      </c>
    </row>
    <row r="895" spans="1:5" x14ac:dyDescent="0.3">
      <c r="A895" t="s">
        <v>1971</v>
      </c>
      <c r="B895" t="s">
        <v>1972</v>
      </c>
      <c r="C895">
        <f t="shared" si="39"/>
        <v>4</v>
      </c>
      <c r="D895" s="7">
        <f t="shared" si="40"/>
        <v>9812.4500000000007</v>
      </c>
      <c r="E895">
        <f t="shared" si="41"/>
        <v>9812.4508949999999</v>
      </c>
    </row>
    <row r="896" spans="1:5" x14ac:dyDescent="0.3">
      <c r="A896" t="s">
        <v>1973</v>
      </c>
      <c r="B896" t="s">
        <v>1974</v>
      </c>
      <c r="C896">
        <f t="shared" si="39"/>
        <v>4</v>
      </c>
      <c r="D896" s="7">
        <f t="shared" si="40"/>
        <v>9805.4500000000007</v>
      </c>
      <c r="E896">
        <f t="shared" si="41"/>
        <v>9805.4508960000003</v>
      </c>
    </row>
    <row r="897" spans="1:5" x14ac:dyDescent="0.3">
      <c r="A897" t="s">
        <v>1975</v>
      </c>
      <c r="B897" t="s">
        <v>1976</v>
      </c>
      <c r="C897">
        <f t="shared" si="39"/>
        <v>3</v>
      </c>
      <c r="D897" s="7">
        <f t="shared" si="40"/>
        <v>9790.5</v>
      </c>
      <c r="E897">
        <f t="shared" si="41"/>
        <v>9790.5008969999999</v>
      </c>
    </row>
    <row r="898" spans="1:5" x14ac:dyDescent="0.3">
      <c r="A898" t="s">
        <v>1977</v>
      </c>
      <c r="B898" t="s">
        <v>1978</v>
      </c>
      <c r="C898">
        <f t="shared" ref="C898:C961" si="42">COUNTIF(dCust,A898)</f>
        <v>3</v>
      </c>
      <c r="D898" s="7">
        <f t="shared" ref="D898:D961" si="43">SUMIFS(dSales,dCust,A898)</f>
        <v>9772.1</v>
      </c>
      <c r="E898">
        <f t="shared" ref="E898:E961" si="44">D898+ROW()/1000000</f>
        <v>9772.1008980000006</v>
      </c>
    </row>
    <row r="899" spans="1:5" x14ac:dyDescent="0.3">
      <c r="A899" t="s">
        <v>1979</v>
      </c>
      <c r="B899" t="s">
        <v>1980</v>
      </c>
      <c r="C899">
        <f t="shared" si="42"/>
        <v>3</v>
      </c>
      <c r="D899" s="7">
        <f t="shared" si="43"/>
        <v>9754</v>
      </c>
      <c r="E899">
        <f t="shared" si="44"/>
        <v>9754.0008990000006</v>
      </c>
    </row>
    <row r="900" spans="1:5" x14ac:dyDescent="0.3">
      <c r="A900" t="s">
        <v>1981</v>
      </c>
      <c r="B900" t="s">
        <v>1982</v>
      </c>
      <c r="C900">
        <f t="shared" si="42"/>
        <v>4</v>
      </c>
      <c r="D900" s="7">
        <f t="shared" si="43"/>
        <v>9743.5499999999993</v>
      </c>
      <c r="E900">
        <f t="shared" si="44"/>
        <v>9743.5508999999984</v>
      </c>
    </row>
    <row r="901" spans="1:5" x14ac:dyDescent="0.3">
      <c r="A901" t="s">
        <v>1983</v>
      </c>
      <c r="B901" t="s">
        <v>1984</v>
      </c>
      <c r="C901">
        <f t="shared" si="42"/>
        <v>4</v>
      </c>
      <c r="D901" s="7">
        <f t="shared" si="43"/>
        <v>9714.6</v>
      </c>
      <c r="E901">
        <f t="shared" si="44"/>
        <v>9714.6009009999998</v>
      </c>
    </row>
    <row r="902" spans="1:5" x14ac:dyDescent="0.3">
      <c r="A902" t="s">
        <v>1985</v>
      </c>
      <c r="B902" t="s">
        <v>1986</v>
      </c>
      <c r="C902">
        <f t="shared" si="42"/>
        <v>3</v>
      </c>
      <c r="D902" s="7">
        <f t="shared" si="43"/>
        <v>9674.5499999999993</v>
      </c>
      <c r="E902">
        <f t="shared" si="44"/>
        <v>9674.550901999999</v>
      </c>
    </row>
    <row r="903" spans="1:5" x14ac:dyDescent="0.3">
      <c r="A903" t="s">
        <v>1987</v>
      </c>
      <c r="B903" t="s">
        <v>1988</v>
      </c>
      <c r="C903">
        <f t="shared" si="42"/>
        <v>4</v>
      </c>
      <c r="D903" s="7">
        <f t="shared" si="43"/>
        <v>9661.2000000000007</v>
      </c>
      <c r="E903">
        <f t="shared" si="44"/>
        <v>9661.2009030000008</v>
      </c>
    </row>
    <row r="904" spans="1:5" x14ac:dyDescent="0.3">
      <c r="A904" t="s">
        <v>1989</v>
      </c>
      <c r="B904" t="s">
        <v>1990</v>
      </c>
      <c r="C904">
        <f t="shared" si="42"/>
        <v>5</v>
      </c>
      <c r="D904" s="7">
        <f t="shared" si="43"/>
        <v>9626.25</v>
      </c>
      <c r="E904">
        <f t="shared" si="44"/>
        <v>9626.2509040000004</v>
      </c>
    </row>
    <row r="905" spans="1:5" x14ac:dyDescent="0.3">
      <c r="A905" t="s">
        <v>1991</v>
      </c>
      <c r="B905" t="s">
        <v>1992</v>
      </c>
      <c r="C905">
        <f t="shared" si="42"/>
        <v>2</v>
      </c>
      <c r="D905" s="7">
        <f t="shared" si="43"/>
        <v>9597</v>
      </c>
      <c r="E905">
        <f t="shared" si="44"/>
        <v>9597.0009050000008</v>
      </c>
    </row>
    <row r="906" spans="1:5" x14ac:dyDescent="0.3">
      <c r="A906" t="s">
        <v>1993</v>
      </c>
      <c r="B906" t="s">
        <v>1994</v>
      </c>
      <c r="C906">
        <f t="shared" si="42"/>
        <v>4</v>
      </c>
      <c r="D906" s="7">
        <f t="shared" si="43"/>
        <v>9585.0999999999985</v>
      </c>
      <c r="E906">
        <f t="shared" si="44"/>
        <v>9585.1009059999978</v>
      </c>
    </row>
    <row r="907" spans="1:5" x14ac:dyDescent="0.3">
      <c r="A907" t="s">
        <v>1995</v>
      </c>
      <c r="B907" t="s">
        <v>1996</v>
      </c>
      <c r="C907">
        <f t="shared" si="42"/>
        <v>4</v>
      </c>
      <c r="D907" s="7">
        <f t="shared" si="43"/>
        <v>9541.4499999999989</v>
      </c>
      <c r="E907">
        <f t="shared" si="44"/>
        <v>9541.4509069999986</v>
      </c>
    </row>
    <row r="908" spans="1:5" x14ac:dyDescent="0.3">
      <c r="A908" t="s">
        <v>1997</v>
      </c>
      <c r="B908" t="s">
        <v>1998</v>
      </c>
      <c r="C908">
        <f t="shared" si="42"/>
        <v>3</v>
      </c>
      <c r="D908" s="7">
        <f t="shared" si="43"/>
        <v>9525.15</v>
      </c>
      <c r="E908">
        <f t="shared" si="44"/>
        <v>9525.1509079999996</v>
      </c>
    </row>
    <row r="909" spans="1:5" x14ac:dyDescent="0.3">
      <c r="A909" t="s">
        <v>1999</v>
      </c>
      <c r="B909" t="s">
        <v>2000</v>
      </c>
      <c r="C909">
        <f t="shared" si="42"/>
        <v>4</v>
      </c>
      <c r="D909" s="7">
        <f t="shared" si="43"/>
        <v>9506.25</v>
      </c>
      <c r="E909">
        <f t="shared" si="44"/>
        <v>9506.2509090000003</v>
      </c>
    </row>
    <row r="910" spans="1:5" x14ac:dyDescent="0.3">
      <c r="A910" t="s">
        <v>2001</v>
      </c>
      <c r="B910" t="s">
        <v>2002</v>
      </c>
      <c r="C910">
        <f t="shared" si="42"/>
        <v>3</v>
      </c>
      <c r="D910" s="7">
        <f t="shared" si="43"/>
        <v>9469.6500000000015</v>
      </c>
      <c r="E910">
        <f t="shared" si="44"/>
        <v>9469.6509100000021</v>
      </c>
    </row>
    <row r="911" spans="1:5" x14ac:dyDescent="0.3">
      <c r="A911" t="s">
        <v>2003</v>
      </c>
      <c r="B911" t="s">
        <v>2004</v>
      </c>
      <c r="C911">
        <f t="shared" si="42"/>
        <v>3</v>
      </c>
      <c r="D911" s="7">
        <f t="shared" si="43"/>
        <v>9445.5</v>
      </c>
      <c r="E911">
        <f t="shared" si="44"/>
        <v>9445.5009109999992</v>
      </c>
    </row>
    <row r="912" spans="1:5" x14ac:dyDescent="0.3">
      <c r="A912" t="s">
        <v>2005</v>
      </c>
      <c r="B912" t="s">
        <v>2006</v>
      </c>
      <c r="C912">
        <f t="shared" si="42"/>
        <v>3</v>
      </c>
      <c r="D912" s="7">
        <f t="shared" si="43"/>
        <v>9444.7000000000007</v>
      </c>
      <c r="E912">
        <f t="shared" si="44"/>
        <v>9444.7009120000002</v>
      </c>
    </row>
    <row r="913" spans="1:5" x14ac:dyDescent="0.3">
      <c r="A913" t="s">
        <v>2007</v>
      </c>
      <c r="B913" t="s">
        <v>2008</v>
      </c>
      <c r="C913">
        <f t="shared" si="42"/>
        <v>3</v>
      </c>
      <c r="D913" s="7">
        <f t="shared" si="43"/>
        <v>9404.6</v>
      </c>
      <c r="E913">
        <f t="shared" si="44"/>
        <v>9404.6009130000002</v>
      </c>
    </row>
    <row r="914" spans="1:5" x14ac:dyDescent="0.3">
      <c r="A914" t="s">
        <v>2009</v>
      </c>
      <c r="B914" t="s">
        <v>2010</v>
      </c>
      <c r="C914">
        <f t="shared" si="42"/>
        <v>4</v>
      </c>
      <c r="D914" s="7">
        <f t="shared" si="43"/>
        <v>9323.6999999999989</v>
      </c>
      <c r="E914">
        <f t="shared" si="44"/>
        <v>9323.7009139999991</v>
      </c>
    </row>
    <row r="915" spans="1:5" x14ac:dyDescent="0.3">
      <c r="A915" t="s">
        <v>2011</v>
      </c>
      <c r="B915" t="s">
        <v>2012</v>
      </c>
      <c r="C915">
        <f t="shared" si="42"/>
        <v>3</v>
      </c>
      <c r="D915" s="7">
        <f t="shared" si="43"/>
        <v>9289.75</v>
      </c>
      <c r="E915">
        <f t="shared" si="44"/>
        <v>9289.7509150000005</v>
      </c>
    </row>
    <row r="916" spans="1:5" x14ac:dyDescent="0.3">
      <c r="A916" t="s">
        <v>2013</v>
      </c>
      <c r="B916" t="s">
        <v>2014</v>
      </c>
      <c r="C916">
        <f t="shared" si="42"/>
        <v>6</v>
      </c>
      <c r="D916" s="7">
        <f t="shared" si="43"/>
        <v>9289.5</v>
      </c>
      <c r="E916">
        <f t="shared" si="44"/>
        <v>9289.5009160000009</v>
      </c>
    </row>
    <row r="917" spans="1:5" x14ac:dyDescent="0.3">
      <c r="A917" t="s">
        <v>2015</v>
      </c>
      <c r="B917" t="s">
        <v>2016</v>
      </c>
      <c r="C917">
        <f t="shared" si="42"/>
        <v>2</v>
      </c>
      <c r="D917" s="7">
        <f t="shared" si="43"/>
        <v>9234.6999999999989</v>
      </c>
      <c r="E917">
        <f t="shared" si="44"/>
        <v>9234.7009169999983</v>
      </c>
    </row>
    <row r="918" spans="1:5" x14ac:dyDescent="0.3">
      <c r="A918" t="s">
        <v>2017</v>
      </c>
      <c r="B918" t="s">
        <v>2018</v>
      </c>
      <c r="C918">
        <f t="shared" si="42"/>
        <v>3</v>
      </c>
      <c r="D918" s="7">
        <f t="shared" si="43"/>
        <v>9212.4500000000007</v>
      </c>
      <c r="E918">
        <f t="shared" si="44"/>
        <v>9212.4509180000005</v>
      </c>
    </row>
    <row r="919" spans="1:5" x14ac:dyDescent="0.3">
      <c r="A919" t="s">
        <v>2019</v>
      </c>
      <c r="B919" t="s">
        <v>2020</v>
      </c>
      <c r="C919">
        <f t="shared" si="42"/>
        <v>3</v>
      </c>
      <c r="D919" s="7">
        <f t="shared" si="43"/>
        <v>9211.2000000000007</v>
      </c>
      <c r="E919">
        <f t="shared" si="44"/>
        <v>9211.2009190000008</v>
      </c>
    </row>
    <row r="920" spans="1:5" x14ac:dyDescent="0.3">
      <c r="A920" t="s">
        <v>2021</v>
      </c>
      <c r="B920" t="s">
        <v>2022</v>
      </c>
      <c r="C920">
        <f t="shared" si="42"/>
        <v>3</v>
      </c>
      <c r="D920" s="7">
        <f t="shared" si="43"/>
        <v>9185.2999999999993</v>
      </c>
      <c r="E920">
        <f t="shared" si="44"/>
        <v>9185.3009199999997</v>
      </c>
    </row>
    <row r="921" spans="1:5" x14ac:dyDescent="0.3">
      <c r="A921" t="s">
        <v>2023</v>
      </c>
      <c r="B921" t="s">
        <v>2024</v>
      </c>
      <c r="C921">
        <f t="shared" si="42"/>
        <v>4</v>
      </c>
      <c r="D921" s="7">
        <f t="shared" si="43"/>
        <v>9154.2999999999993</v>
      </c>
      <c r="E921">
        <f t="shared" si="44"/>
        <v>9154.300921</v>
      </c>
    </row>
    <row r="922" spans="1:5" x14ac:dyDescent="0.3">
      <c r="A922" t="s">
        <v>2025</v>
      </c>
      <c r="B922" t="s">
        <v>2026</v>
      </c>
      <c r="C922">
        <f t="shared" si="42"/>
        <v>2</v>
      </c>
      <c r="D922" s="7">
        <f t="shared" si="43"/>
        <v>9147.25</v>
      </c>
      <c r="E922">
        <f t="shared" si="44"/>
        <v>9147.2509219999993</v>
      </c>
    </row>
    <row r="923" spans="1:5" x14ac:dyDescent="0.3">
      <c r="A923" t="s">
        <v>2027</v>
      </c>
      <c r="B923" t="s">
        <v>2028</v>
      </c>
      <c r="C923">
        <f t="shared" si="42"/>
        <v>4</v>
      </c>
      <c r="D923" s="7">
        <f t="shared" si="43"/>
        <v>9135.65</v>
      </c>
      <c r="E923">
        <f t="shared" si="44"/>
        <v>9135.6509229999992</v>
      </c>
    </row>
    <row r="924" spans="1:5" x14ac:dyDescent="0.3">
      <c r="A924" t="s">
        <v>2029</v>
      </c>
      <c r="B924" t="s">
        <v>2030</v>
      </c>
      <c r="C924">
        <f t="shared" si="42"/>
        <v>2</v>
      </c>
      <c r="D924" s="7">
        <f t="shared" si="43"/>
        <v>9117.15</v>
      </c>
      <c r="E924">
        <f t="shared" si="44"/>
        <v>9117.1509239999996</v>
      </c>
    </row>
    <row r="925" spans="1:5" x14ac:dyDescent="0.3">
      <c r="A925" t="s">
        <v>2031</v>
      </c>
      <c r="B925" t="s">
        <v>2032</v>
      </c>
      <c r="C925">
        <f t="shared" si="42"/>
        <v>4</v>
      </c>
      <c r="D925" s="7">
        <f t="shared" si="43"/>
        <v>9095.8000000000011</v>
      </c>
      <c r="E925">
        <f t="shared" si="44"/>
        <v>9095.8009250000014</v>
      </c>
    </row>
    <row r="926" spans="1:5" x14ac:dyDescent="0.3">
      <c r="A926" t="s">
        <v>2033</v>
      </c>
      <c r="B926" t="s">
        <v>2034</v>
      </c>
      <c r="C926">
        <f t="shared" si="42"/>
        <v>4</v>
      </c>
      <c r="D926" s="7">
        <f t="shared" si="43"/>
        <v>9093.0499999999993</v>
      </c>
      <c r="E926">
        <f t="shared" si="44"/>
        <v>9093.0509259999999</v>
      </c>
    </row>
    <row r="927" spans="1:5" x14ac:dyDescent="0.3">
      <c r="A927" t="s">
        <v>2035</v>
      </c>
      <c r="B927" t="s">
        <v>2036</v>
      </c>
      <c r="C927">
        <f t="shared" si="42"/>
        <v>3</v>
      </c>
      <c r="D927" s="7">
        <f t="shared" si="43"/>
        <v>9055.4499999999989</v>
      </c>
      <c r="E927">
        <f t="shared" si="44"/>
        <v>9055.450926999998</v>
      </c>
    </row>
    <row r="928" spans="1:5" x14ac:dyDescent="0.3">
      <c r="A928" t="s">
        <v>2037</v>
      </c>
      <c r="B928" t="s">
        <v>2038</v>
      </c>
      <c r="C928">
        <f t="shared" si="42"/>
        <v>2</v>
      </c>
      <c r="D928" s="7">
        <f t="shared" si="43"/>
        <v>9051.15</v>
      </c>
      <c r="E928">
        <f t="shared" si="44"/>
        <v>9051.1509279999991</v>
      </c>
    </row>
    <row r="929" spans="1:5" x14ac:dyDescent="0.3">
      <c r="A929" t="s">
        <v>2039</v>
      </c>
      <c r="B929" t="s">
        <v>2040</v>
      </c>
      <c r="C929">
        <f t="shared" si="42"/>
        <v>2</v>
      </c>
      <c r="D929" s="7">
        <f t="shared" si="43"/>
        <v>8996.4</v>
      </c>
      <c r="E929">
        <f t="shared" si="44"/>
        <v>8996.4009289999995</v>
      </c>
    </row>
    <row r="930" spans="1:5" x14ac:dyDescent="0.3">
      <c r="A930" t="s">
        <v>2041</v>
      </c>
      <c r="B930" t="s">
        <v>2042</v>
      </c>
      <c r="C930">
        <f t="shared" si="42"/>
        <v>1</v>
      </c>
      <c r="D930" s="7">
        <f t="shared" si="43"/>
        <v>8995.5</v>
      </c>
      <c r="E930">
        <f t="shared" si="44"/>
        <v>8995.5009300000002</v>
      </c>
    </row>
    <row r="931" spans="1:5" x14ac:dyDescent="0.3">
      <c r="A931" t="s">
        <v>2043</v>
      </c>
      <c r="B931" t="s">
        <v>2044</v>
      </c>
      <c r="C931">
        <f t="shared" si="42"/>
        <v>3</v>
      </c>
      <c r="D931" s="7">
        <f t="shared" si="43"/>
        <v>8970.5</v>
      </c>
      <c r="E931">
        <f t="shared" si="44"/>
        <v>8970.5009310000005</v>
      </c>
    </row>
    <row r="932" spans="1:5" x14ac:dyDescent="0.3">
      <c r="A932" t="s">
        <v>2045</v>
      </c>
      <c r="B932" t="s">
        <v>2046</v>
      </c>
      <c r="C932">
        <f t="shared" si="42"/>
        <v>4</v>
      </c>
      <c r="D932" s="7">
        <f t="shared" si="43"/>
        <v>8970.4</v>
      </c>
      <c r="E932">
        <f t="shared" si="44"/>
        <v>8970.4009320000005</v>
      </c>
    </row>
    <row r="933" spans="1:5" x14ac:dyDescent="0.3">
      <c r="A933" t="s">
        <v>2047</v>
      </c>
      <c r="B933" t="s">
        <v>2048</v>
      </c>
      <c r="C933">
        <f t="shared" si="42"/>
        <v>4</v>
      </c>
      <c r="D933" s="7">
        <f t="shared" si="43"/>
        <v>8939.7000000000007</v>
      </c>
      <c r="E933">
        <f t="shared" si="44"/>
        <v>8939.7009330000001</v>
      </c>
    </row>
    <row r="934" spans="1:5" x14ac:dyDescent="0.3">
      <c r="A934" t="s">
        <v>2049</v>
      </c>
      <c r="B934" t="s">
        <v>2050</v>
      </c>
      <c r="C934">
        <f t="shared" si="42"/>
        <v>3</v>
      </c>
      <c r="D934" s="7">
        <f t="shared" si="43"/>
        <v>8897.1</v>
      </c>
      <c r="E934">
        <f t="shared" si="44"/>
        <v>8897.1009340000001</v>
      </c>
    </row>
    <row r="935" spans="1:5" x14ac:dyDescent="0.3">
      <c r="A935" t="s">
        <v>2051</v>
      </c>
      <c r="B935" t="s">
        <v>2052</v>
      </c>
      <c r="C935">
        <f t="shared" si="42"/>
        <v>6</v>
      </c>
      <c r="D935" s="7">
        <f t="shared" si="43"/>
        <v>8896.15</v>
      </c>
      <c r="E935">
        <f t="shared" si="44"/>
        <v>8896.1509349999997</v>
      </c>
    </row>
    <row r="936" spans="1:5" x14ac:dyDescent="0.3">
      <c r="A936" t="s">
        <v>2053</v>
      </c>
      <c r="B936" t="s">
        <v>2054</v>
      </c>
      <c r="C936">
        <f t="shared" si="42"/>
        <v>4</v>
      </c>
      <c r="D936" s="7">
        <f t="shared" si="43"/>
        <v>8894.1</v>
      </c>
      <c r="E936">
        <f t="shared" si="44"/>
        <v>8894.1009360000007</v>
      </c>
    </row>
    <row r="937" spans="1:5" x14ac:dyDescent="0.3">
      <c r="A937" t="s">
        <v>2055</v>
      </c>
      <c r="B937" t="s">
        <v>2056</v>
      </c>
      <c r="C937">
        <f t="shared" si="42"/>
        <v>2</v>
      </c>
      <c r="D937" s="7">
        <f t="shared" si="43"/>
        <v>8875.65</v>
      </c>
      <c r="E937">
        <f t="shared" si="44"/>
        <v>8875.6509370000003</v>
      </c>
    </row>
    <row r="938" spans="1:5" x14ac:dyDescent="0.3">
      <c r="A938" t="s">
        <v>2057</v>
      </c>
      <c r="B938" t="s">
        <v>2058</v>
      </c>
      <c r="C938">
        <f t="shared" si="42"/>
        <v>2</v>
      </c>
      <c r="D938" s="7">
        <f t="shared" si="43"/>
        <v>8796</v>
      </c>
      <c r="E938">
        <f t="shared" si="44"/>
        <v>8796.0009379999992</v>
      </c>
    </row>
    <row r="939" spans="1:5" x14ac:dyDescent="0.3">
      <c r="A939" t="s">
        <v>2059</v>
      </c>
      <c r="B939" t="s">
        <v>2060</v>
      </c>
      <c r="C939">
        <f t="shared" si="42"/>
        <v>4</v>
      </c>
      <c r="D939" s="7">
        <f t="shared" si="43"/>
        <v>8742</v>
      </c>
      <c r="E939">
        <f t="shared" si="44"/>
        <v>8742.0009389999996</v>
      </c>
    </row>
    <row r="940" spans="1:5" x14ac:dyDescent="0.3">
      <c r="A940" t="s">
        <v>2061</v>
      </c>
      <c r="B940" t="s">
        <v>2062</v>
      </c>
      <c r="C940">
        <f t="shared" si="42"/>
        <v>4</v>
      </c>
      <c r="D940" s="7">
        <f t="shared" si="43"/>
        <v>8724.6</v>
      </c>
      <c r="E940">
        <f t="shared" si="44"/>
        <v>8724.6009400000003</v>
      </c>
    </row>
    <row r="941" spans="1:5" x14ac:dyDescent="0.3">
      <c r="A941" t="s">
        <v>2063</v>
      </c>
      <c r="B941" t="s">
        <v>2064</v>
      </c>
      <c r="C941">
        <f t="shared" si="42"/>
        <v>2</v>
      </c>
      <c r="D941" s="7">
        <f t="shared" si="43"/>
        <v>8712.5499999999993</v>
      </c>
      <c r="E941">
        <f t="shared" si="44"/>
        <v>8712.5509409999995</v>
      </c>
    </row>
    <row r="942" spans="1:5" x14ac:dyDescent="0.3">
      <c r="A942" t="s">
        <v>2065</v>
      </c>
      <c r="B942" t="s">
        <v>2066</v>
      </c>
      <c r="C942">
        <f t="shared" si="42"/>
        <v>2</v>
      </c>
      <c r="D942" s="7">
        <f t="shared" si="43"/>
        <v>8695.4500000000007</v>
      </c>
      <c r="E942">
        <f t="shared" si="44"/>
        <v>8695.4509420000013</v>
      </c>
    </row>
    <row r="943" spans="1:5" x14ac:dyDescent="0.3">
      <c r="A943" t="s">
        <v>2067</v>
      </c>
      <c r="B943" t="s">
        <v>2068</v>
      </c>
      <c r="C943">
        <f t="shared" si="42"/>
        <v>3</v>
      </c>
      <c r="D943" s="7">
        <f t="shared" si="43"/>
        <v>8679.5499999999993</v>
      </c>
      <c r="E943">
        <f t="shared" si="44"/>
        <v>8679.5509429999984</v>
      </c>
    </row>
    <row r="944" spans="1:5" x14ac:dyDescent="0.3">
      <c r="A944" t="s">
        <v>2069</v>
      </c>
      <c r="B944" t="s">
        <v>2070</v>
      </c>
      <c r="C944">
        <f t="shared" si="42"/>
        <v>5</v>
      </c>
      <c r="D944" s="7">
        <f t="shared" si="43"/>
        <v>8640.35</v>
      </c>
      <c r="E944">
        <f t="shared" si="44"/>
        <v>8640.3509439999998</v>
      </c>
    </row>
    <row r="945" spans="1:5" x14ac:dyDescent="0.3">
      <c r="A945" t="s">
        <v>2071</v>
      </c>
      <c r="B945" t="s">
        <v>2072</v>
      </c>
      <c r="C945">
        <f t="shared" si="42"/>
        <v>5</v>
      </c>
      <c r="D945" s="7">
        <f t="shared" si="43"/>
        <v>8633.75</v>
      </c>
      <c r="E945">
        <f t="shared" si="44"/>
        <v>8633.7509449999998</v>
      </c>
    </row>
    <row r="946" spans="1:5" x14ac:dyDescent="0.3">
      <c r="A946" t="s">
        <v>2073</v>
      </c>
      <c r="B946" t="s">
        <v>2074</v>
      </c>
      <c r="C946">
        <f t="shared" si="42"/>
        <v>3</v>
      </c>
      <c r="D946" s="7">
        <f t="shared" si="43"/>
        <v>8576.2000000000007</v>
      </c>
      <c r="E946">
        <f t="shared" si="44"/>
        <v>8576.2009460000008</v>
      </c>
    </row>
    <row r="947" spans="1:5" x14ac:dyDescent="0.3">
      <c r="A947" t="s">
        <v>2075</v>
      </c>
      <c r="B947" t="s">
        <v>2076</v>
      </c>
      <c r="C947">
        <f t="shared" si="42"/>
        <v>2</v>
      </c>
      <c r="D947" s="7">
        <f t="shared" si="43"/>
        <v>8557.15</v>
      </c>
      <c r="E947">
        <f t="shared" si="44"/>
        <v>8557.1509470000001</v>
      </c>
    </row>
    <row r="948" spans="1:5" x14ac:dyDescent="0.3">
      <c r="A948" t="s">
        <v>2077</v>
      </c>
      <c r="B948" t="s">
        <v>2078</v>
      </c>
      <c r="C948">
        <f t="shared" si="42"/>
        <v>2</v>
      </c>
      <c r="D948" s="7">
        <f t="shared" si="43"/>
        <v>8546.1999999999989</v>
      </c>
      <c r="E948">
        <f t="shared" si="44"/>
        <v>8546.2009479999997</v>
      </c>
    </row>
    <row r="949" spans="1:5" x14ac:dyDescent="0.3">
      <c r="A949" t="s">
        <v>2079</v>
      </c>
      <c r="B949" t="s">
        <v>2080</v>
      </c>
      <c r="C949">
        <f t="shared" si="42"/>
        <v>3</v>
      </c>
      <c r="D949" s="7">
        <f t="shared" si="43"/>
        <v>8536.3000000000011</v>
      </c>
      <c r="E949">
        <f t="shared" si="44"/>
        <v>8536.3009490000004</v>
      </c>
    </row>
    <row r="950" spans="1:5" x14ac:dyDescent="0.3">
      <c r="A950" t="s">
        <v>2081</v>
      </c>
      <c r="B950" t="s">
        <v>2082</v>
      </c>
      <c r="C950">
        <f t="shared" si="42"/>
        <v>2</v>
      </c>
      <c r="D950" s="7">
        <f t="shared" si="43"/>
        <v>8526.4500000000007</v>
      </c>
      <c r="E950">
        <f t="shared" si="44"/>
        <v>8526.4509500000004</v>
      </c>
    </row>
    <row r="951" spans="1:5" x14ac:dyDescent="0.3">
      <c r="A951" t="s">
        <v>2083</v>
      </c>
      <c r="B951" t="s">
        <v>2084</v>
      </c>
      <c r="C951">
        <f t="shared" si="42"/>
        <v>4</v>
      </c>
      <c r="D951" s="7">
        <f t="shared" si="43"/>
        <v>8510.4000000000015</v>
      </c>
      <c r="E951">
        <f t="shared" si="44"/>
        <v>8510.4009510000014</v>
      </c>
    </row>
    <row r="952" spans="1:5" x14ac:dyDescent="0.3">
      <c r="A952" t="s">
        <v>2085</v>
      </c>
      <c r="B952" t="s">
        <v>2086</v>
      </c>
      <c r="C952">
        <f t="shared" si="42"/>
        <v>4</v>
      </c>
      <c r="D952" s="7">
        <f t="shared" si="43"/>
        <v>8488.9500000000007</v>
      </c>
      <c r="E952">
        <f t="shared" si="44"/>
        <v>8488.9509520000011</v>
      </c>
    </row>
    <row r="953" spans="1:5" x14ac:dyDescent="0.3">
      <c r="A953" t="s">
        <v>2087</v>
      </c>
      <c r="B953" t="s">
        <v>2088</v>
      </c>
      <c r="C953">
        <f t="shared" si="42"/>
        <v>1</v>
      </c>
      <c r="D953" s="7">
        <f t="shared" si="43"/>
        <v>8397.6</v>
      </c>
      <c r="E953">
        <f t="shared" si="44"/>
        <v>8397.600953000001</v>
      </c>
    </row>
    <row r="954" spans="1:5" x14ac:dyDescent="0.3">
      <c r="A954" t="s">
        <v>2089</v>
      </c>
      <c r="B954" t="s">
        <v>2090</v>
      </c>
      <c r="C954">
        <f t="shared" si="42"/>
        <v>1</v>
      </c>
      <c r="D954" s="7">
        <f t="shared" si="43"/>
        <v>8397</v>
      </c>
      <c r="E954">
        <f t="shared" si="44"/>
        <v>8397.0009539999992</v>
      </c>
    </row>
    <row r="955" spans="1:5" x14ac:dyDescent="0.3">
      <c r="A955" t="s">
        <v>2091</v>
      </c>
      <c r="B955" t="s">
        <v>2092</v>
      </c>
      <c r="C955">
        <f t="shared" si="42"/>
        <v>1</v>
      </c>
      <c r="D955" s="7">
        <f t="shared" si="43"/>
        <v>8397</v>
      </c>
      <c r="E955">
        <f t="shared" si="44"/>
        <v>8397.0009549999995</v>
      </c>
    </row>
    <row r="956" spans="1:5" x14ac:dyDescent="0.3">
      <c r="A956" t="s">
        <v>2093</v>
      </c>
      <c r="B956" t="s">
        <v>2094</v>
      </c>
      <c r="C956">
        <f t="shared" si="42"/>
        <v>4</v>
      </c>
      <c r="D956" s="7">
        <f t="shared" si="43"/>
        <v>8395.4</v>
      </c>
      <c r="E956">
        <f t="shared" si="44"/>
        <v>8395.4009559999995</v>
      </c>
    </row>
    <row r="957" spans="1:5" x14ac:dyDescent="0.3">
      <c r="A957" t="s">
        <v>2095</v>
      </c>
      <c r="B957" t="s">
        <v>2096</v>
      </c>
      <c r="C957">
        <f t="shared" si="42"/>
        <v>4</v>
      </c>
      <c r="D957" s="7">
        <f t="shared" si="43"/>
        <v>8373.4</v>
      </c>
      <c r="E957">
        <f t="shared" si="44"/>
        <v>8373.4009569999998</v>
      </c>
    </row>
    <row r="958" spans="1:5" x14ac:dyDescent="0.3">
      <c r="A958" t="s">
        <v>2097</v>
      </c>
      <c r="B958" t="s">
        <v>2098</v>
      </c>
      <c r="C958">
        <f t="shared" si="42"/>
        <v>3</v>
      </c>
      <c r="D958" s="7">
        <f t="shared" si="43"/>
        <v>8299.65</v>
      </c>
      <c r="E958">
        <f t="shared" si="44"/>
        <v>8299.6509580000002</v>
      </c>
    </row>
    <row r="959" spans="1:5" x14ac:dyDescent="0.3">
      <c r="A959" t="s">
        <v>2099</v>
      </c>
      <c r="B959" t="s">
        <v>2100</v>
      </c>
      <c r="C959">
        <f t="shared" si="42"/>
        <v>4</v>
      </c>
      <c r="D959" s="7">
        <f t="shared" si="43"/>
        <v>8294.7000000000007</v>
      </c>
      <c r="E959">
        <f t="shared" si="44"/>
        <v>8294.7009590000016</v>
      </c>
    </row>
    <row r="960" spans="1:5" x14ac:dyDescent="0.3">
      <c r="A960" t="s">
        <v>2101</v>
      </c>
      <c r="B960" t="s">
        <v>2102</v>
      </c>
      <c r="C960">
        <f t="shared" si="42"/>
        <v>2</v>
      </c>
      <c r="D960" s="7">
        <f t="shared" si="43"/>
        <v>8246.5499999999993</v>
      </c>
      <c r="E960">
        <f t="shared" si="44"/>
        <v>8246.5509599999987</v>
      </c>
    </row>
    <row r="961" spans="1:5" x14ac:dyDescent="0.3">
      <c r="A961" t="s">
        <v>2103</v>
      </c>
      <c r="B961" t="s">
        <v>2104</v>
      </c>
      <c r="C961">
        <f t="shared" si="42"/>
        <v>2</v>
      </c>
      <c r="D961" s="7">
        <f t="shared" si="43"/>
        <v>8222.35</v>
      </c>
      <c r="E961">
        <f t="shared" si="44"/>
        <v>8222.3509610000001</v>
      </c>
    </row>
    <row r="962" spans="1:5" x14ac:dyDescent="0.3">
      <c r="A962" t="s">
        <v>2105</v>
      </c>
      <c r="B962" t="s">
        <v>2106</v>
      </c>
      <c r="C962">
        <f t="shared" ref="C962:C1025" si="45">COUNTIF(dCust,A962)</f>
        <v>5</v>
      </c>
      <c r="D962" s="7">
        <f t="shared" ref="D962:D1025" si="46">SUMIFS(dSales,dCust,A962)</f>
        <v>8203.9499999999989</v>
      </c>
      <c r="E962">
        <f t="shared" ref="E962:E1025" si="47">D962+ROW()/1000000</f>
        <v>8203.950961999999</v>
      </c>
    </row>
    <row r="963" spans="1:5" x14ac:dyDescent="0.3">
      <c r="A963" t="s">
        <v>2107</v>
      </c>
      <c r="B963" t="s">
        <v>2108</v>
      </c>
      <c r="C963">
        <f t="shared" si="45"/>
        <v>4</v>
      </c>
      <c r="D963" s="7">
        <f t="shared" si="46"/>
        <v>8189.4999999999991</v>
      </c>
      <c r="E963">
        <f t="shared" si="47"/>
        <v>8189.5009629999995</v>
      </c>
    </row>
    <row r="964" spans="1:5" x14ac:dyDescent="0.3">
      <c r="A964" t="s">
        <v>2109</v>
      </c>
      <c r="B964" t="s">
        <v>2110</v>
      </c>
      <c r="C964">
        <f t="shared" si="45"/>
        <v>3</v>
      </c>
      <c r="D964" s="7">
        <f t="shared" si="46"/>
        <v>8155.35</v>
      </c>
      <c r="E964">
        <f t="shared" si="47"/>
        <v>8155.3509640000002</v>
      </c>
    </row>
    <row r="965" spans="1:5" x14ac:dyDescent="0.3">
      <c r="A965" t="s">
        <v>2111</v>
      </c>
      <c r="B965" t="s">
        <v>2112</v>
      </c>
      <c r="C965">
        <f t="shared" si="45"/>
        <v>3</v>
      </c>
      <c r="D965" s="7">
        <f t="shared" si="46"/>
        <v>8141.35</v>
      </c>
      <c r="E965">
        <f t="shared" si="47"/>
        <v>8141.3509650000005</v>
      </c>
    </row>
    <row r="966" spans="1:5" x14ac:dyDescent="0.3">
      <c r="A966" t="s">
        <v>2113</v>
      </c>
      <c r="B966" t="s">
        <v>2114</v>
      </c>
      <c r="C966">
        <f t="shared" si="45"/>
        <v>2</v>
      </c>
      <c r="D966" s="7">
        <f t="shared" si="46"/>
        <v>8081.3499999999995</v>
      </c>
      <c r="E966">
        <f t="shared" si="47"/>
        <v>8081.3509659999991</v>
      </c>
    </row>
    <row r="967" spans="1:5" x14ac:dyDescent="0.3">
      <c r="A967" t="s">
        <v>2115</v>
      </c>
      <c r="B967" t="s">
        <v>2116</v>
      </c>
      <c r="C967">
        <f t="shared" si="45"/>
        <v>4</v>
      </c>
      <c r="D967" s="7">
        <f t="shared" si="46"/>
        <v>8073.35</v>
      </c>
      <c r="E967">
        <f t="shared" si="47"/>
        <v>8073.3509670000003</v>
      </c>
    </row>
    <row r="968" spans="1:5" x14ac:dyDescent="0.3">
      <c r="A968" t="s">
        <v>2117</v>
      </c>
      <c r="B968" t="s">
        <v>2118</v>
      </c>
      <c r="C968">
        <f t="shared" si="45"/>
        <v>3</v>
      </c>
      <c r="D968" s="7">
        <f t="shared" si="46"/>
        <v>8024.35</v>
      </c>
      <c r="E968">
        <f t="shared" si="47"/>
        <v>8024.3509680000006</v>
      </c>
    </row>
    <row r="969" spans="1:5" x14ac:dyDescent="0.3">
      <c r="A969" t="s">
        <v>2119</v>
      </c>
      <c r="B969" t="s">
        <v>2120</v>
      </c>
      <c r="C969">
        <f t="shared" si="45"/>
        <v>3</v>
      </c>
      <c r="D969" s="7">
        <f t="shared" si="46"/>
        <v>8023.75</v>
      </c>
      <c r="E969">
        <f t="shared" si="47"/>
        <v>8023.7509689999997</v>
      </c>
    </row>
    <row r="970" spans="1:5" x14ac:dyDescent="0.3">
      <c r="A970" t="s">
        <v>2121</v>
      </c>
      <c r="B970" t="s">
        <v>2122</v>
      </c>
      <c r="C970">
        <f t="shared" si="45"/>
        <v>5</v>
      </c>
      <c r="D970" s="7">
        <f t="shared" si="46"/>
        <v>8011.3</v>
      </c>
      <c r="E970">
        <f t="shared" si="47"/>
        <v>8011.3009700000002</v>
      </c>
    </row>
    <row r="971" spans="1:5" x14ac:dyDescent="0.3">
      <c r="A971" t="s">
        <v>2123</v>
      </c>
      <c r="B971" t="s">
        <v>2124</v>
      </c>
      <c r="C971">
        <f t="shared" si="45"/>
        <v>5</v>
      </c>
      <c r="D971" s="7">
        <f t="shared" si="46"/>
        <v>7999.4</v>
      </c>
      <c r="E971">
        <f t="shared" si="47"/>
        <v>7999.400971</v>
      </c>
    </row>
    <row r="972" spans="1:5" x14ac:dyDescent="0.3">
      <c r="A972" t="s">
        <v>2125</v>
      </c>
      <c r="B972" t="s">
        <v>2126</v>
      </c>
      <c r="C972">
        <f t="shared" si="45"/>
        <v>2</v>
      </c>
      <c r="D972" s="7">
        <f t="shared" si="46"/>
        <v>7998.25</v>
      </c>
      <c r="E972">
        <f t="shared" si="47"/>
        <v>7998.2509719999998</v>
      </c>
    </row>
    <row r="973" spans="1:5" x14ac:dyDescent="0.3">
      <c r="A973" t="s">
        <v>2127</v>
      </c>
      <c r="B973" t="s">
        <v>2128</v>
      </c>
      <c r="C973">
        <f t="shared" si="45"/>
        <v>2</v>
      </c>
      <c r="D973" s="7">
        <f t="shared" si="46"/>
        <v>7997.3</v>
      </c>
      <c r="E973">
        <f t="shared" si="47"/>
        <v>7997.3009730000003</v>
      </c>
    </row>
    <row r="974" spans="1:5" x14ac:dyDescent="0.3">
      <c r="A974" t="s">
        <v>2129</v>
      </c>
      <c r="B974" t="s">
        <v>2130</v>
      </c>
      <c r="C974">
        <f t="shared" si="45"/>
        <v>2</v>
      </c>
      <c r="D974" s="7">
        <f t="shared" si="46"/>
        <v>7965.7000000000007</v>
      </c>
      <c r="E974">
        <f t="shared" si="47"/>
        <v>7965.7009740000003</v>
      </c>
    </row>
    <row r="975" spans="1:5" x14ac:dyDescent="0.3">
      <c r="A975" t="s">
        <v>2131</v>
      </c>
      <c r="B975" t="s">
        <v>2132</v>
      </c>
      <c r="C975">
        <f t="shared" si="45"/>
        <v>4</v>
      </c>
      <c r="D975" s="7">
        <f t="shared" si="46"/>
        <v>7896.2</v>
      </c>
      <c r="E975">
        <f t="shared" si="47"/>
        <v>7896.2009749999997</v>
      </c>
    </row>
    <row r="976" spans="1:5" x14ac:dyDescent="0.3">
      <c r="A976" t="s">
        <v>2133</v>
      </c>
      <c r="B976" t="s">
        <v>2134</v>
      </c>
      <c r="C976">
        <f t="shared" si="45"/>
        <v>2</v>
      </c>
      <c r="D976" s="7">
        <f t="shared" si="46"/>
        <v>7786.2000000000007</v>
      </c>
      <c r="E976">
        <f t="shared" si="47"/>
        <v>7786.200976000001</v>
      </c>
    </row>
    <row r="977" spans="1:5" x14ac:dyDescent="0.3">
      <c r="A977" t="s">
        <v>2135</v>
      </c>
      <c r="B977" t="s">
        <v>2136</v>
      </c>
      <c r="C977">
        <f t="shared" si="45"/>
        <v>4</v>
      </c>
      <c r="D977" s="7">
        <f t="shared" si="46"/>
        <v>7756.3</v>
      </c>
      <c r="E977">
        <f t="shared" si="47"/>
        <v>7756.3009769999999</v>
      </c>
    </row>
    <row r="978" spans="1:5" x14ac:dyDescent="0.3">
      <c r="A978" t="s">
        <v>2137</v>
      </c>
      <c r="B978" t="s">
        <v>2138</v>
      </c>
      <c r="C978">
        <f t="shared" si="45"/>
        <v>2</v>
      </c>
      <c r="D978" s="7">
        <f t="shared" si="46"/>
        <v>7716.75</v>
      </c>
      <c r="E978">
        <f t="shared" si="47"/>
        <v>7716.750978</v>
      </c>
    </row>
    <row r="979" spans="1:5" x14ac:dyDescent="0.3">
      <c r="A979" t="s">
        <v>2139</v>
      </c>
      <c r="B979" t="s">
        <v>2140</v>
      </c>
      <c r="C979">
        <f t="shared" si="45"/>
        <v>3</v>
      </c>
      <c r="D979" s="7">
        <f t="shared" si="46"/>
        <v>7705.05</v>
      </c>
      <c r="E979">
        <f t="shared" si="47"/>
        <v>7705.0509790000006</v>
      </c>
    </row>
    <row r="980" spans="1:5" x14ac:dyDescent="0.3">
      <c r="A980" t="s">
        <v>2141</v>
      </c>
      <c r="B980" t="s">
        <v>2142</v>
      </c>
      <c r="C980">
        <f t="shared" si="45"/>
        <v>3</v>
      </c>
      <c r="D980" s="7">
        <f t="shared" si="46"/>
        <v>7689.7499999999991</v>
      </c>
      <c r="E980">
        <f t="shared" si="47"/>
        <v>7689.7509799999989</v>
      </c>
    </row>
    <row r="981" spans="1:5" x14ac:dyDescent="0.3">
      <c r="A981" t="s">
        <v>2143</v>
      </c>
      <c r="B981" t="s">
        <v>2144</v>
      </c>
      <c r="C981">
        <f t="shared" si="45"/>
        <v>2</v>
      </c>
      <c r="D981" s="7">
        <f t="shared" si="46"/>
        <v>7644.0499999999993</v>
      </c>
      <c r="E981">
        <f t="shared" si="47"/>
        <v>7644.0509809999994</v>
      </c>
    </row>
    <row r="982" spans="1:5" x14ac:dyDescent="0.3">
      <c r="A982" t="s">
        <v>2145</v>
      </c>
      <c r="B982" t="s">
        <v>2146</v>
      </c>
      <c r="C982">
        <f t="shared" si="45"/>
        <v>3</v>
      </c>
      <c r="D982" s="7">
        <f t="shared" si="46"/>
        <v>7636.35</v>
      </c>
      <c r="E982">
        <f t="shared" si="47"/>
        <v>7636.3509819999999</v>
      </c>
    </row>
    <row r="983" spans="1:5" x14ac:dyDescent="0.3">
      <c r="A983" t="s">
        <v>2147</v>
      </c>
      <c r="B983" t="s">
        <v>2148</v>
      </c>
      <c r="C983">
        <f t="shared" si="45"/>
        <v>3</v>
      </c>
      <c r="D983" s="7">
        <f t="shared" si="46"/>
        <v>7613.5</v>
      </c>
      <c r="E983">
        <f t="shared" si="47"/>
        <v>7613.5009829999999</v>
      </c>
    </row>
    <row r="984" spans="1:5" x14ac:dyDescent="0.3">
      <c r="A984" t="s">
        <v>2149</v>
      </c>
      <c r="B984" t="s">
        <v>2150</v>
      </c>
      <c r="C984">
        <f t="shared" si="45"/>
        <v>2</v>
      </c>
      <c r="D984" s="7">
        <f t="shared" si="46"/>
        <v>7601.3499999999995</v>
      </c>
      <c r="E984">
        <f t="shared" si="47"/>
        <v>7601.3509839999997</v>
      </c>
    </row>
    <row r="985" spans="1:5" x14ac:dyDescent="0.3">
      <c r="A985" t="s">
        <v>2151</v>
      </c>
      <c r="B985" t="s">
        <v>2152</v>
      </c>
      <c r="C985">
        <f t="shared" si="45"/>
        <v>1</v>
      </c>
      <c r="D985" s="7">
        <f t="shared" si="46"/>
        <v>7598.1</v>
      </c>
      <c r="E985">
        <f t="shared" si="47"/>
        <v>7598.100985</v>
      </c>
    </row>
    <row r="986" spans="1:5" x14ac:dyDescent="0.3">
      <c r="A986" t="s">
        <v>2153</v>
      </c>
      <c r="B986" t="s">
        <v>2154</v>
      </c>
      <c r="C986">
        <f t="shared" si="45"/>
        <v>4</v>
      </c>
      <c r="D986" s="7">
        <f t="shared" si="46"/>
        <v>7509.7999999999993</v>
      </c>
      <c r="E986">
        <f t="shared" si="47"/>
        <v>7509.8009859999993</v>
      </c>
    </row>
    <row r="987" spans="1:5" x14ac:dyDescent="0.3">
      <c r="A987" t="s">
        <v>2155</v>
      </c>
      <c r="B987" t="s">
        <v>2156</v>
      </c>
      <c r="C987">
        <f t="shared" si="45"/>
        <v>3</v>
      </c>
      <c r="D987" s="7">
        <f t="shared" si="46"/>
        <v>7504.15</v>
      </c>
      <c r="E987">
        <f t="shared" si="47"/>
        <v>7504.150987</v>
      </c>
    </row>
    <row r="988" spans="1:5" x14ac:dyDescent="0.3">
      <c r="A988" t="s">
        <v>2157</v>
      </c>
      <c r="B988" t="s">
        <v>2158</v>
      </c>
      <c r="C988">
        <f t="shared" si="45"/>
        <v>3</v>
      </c>
      <c r="D988" s="7">
        <f t="shared" si="46"/>
        <v>7500.25</v>
      </c>
      <c r="E988">
        <f t="shared" si="47"/>
        <v>7500.2509879999998</v>
      </c>
    </row>
    <row r="989" spans="1:5" x14ac:dyDescent="0.3">
      <c r="A989" t="s">
        <v>2159</v>
      </c>
      <c r="B989" t="s">
        <v>2160</v>
      </c>
      <c r="C989">
        <f t="shared" si="45"/>
        <v>2</v>
      </c>
      <c r="D989" s="7">
        <f t="shared" si="46"/>
        <v>7465.5</v>
      </c>
      <c r="E989">
        <f t="shared" si="47"/>
        <v>7465.5009890000001</v>
      </c>
    </row>
    <row r="990" spans="1:5" x14ac:dyDescent="0.3">
      <c r="A990" t="s">
        <v>2161</v>
      </c>
      <c r="B990" t="s">
        <v>2162</v>
      </c>
      <c r="C990">
        <f t="shared" si="45"/>
        <v>2</v>
      </c>
      <c r="D990" s="7">
        <f t="shared" si="46"/>
        <v>7434.7</v>
      </c>
      <c r="E990">
        <f t="shared" si="47"/>
        <v>7434.7009899999994</v>
      </c>
    </row>
    <row r="991" spans="1:5" x14ac:dyDescent="0.3">
      <c r="A991" t="s">
        <v>2163</v>
      </c>
      <c r="B991" t="s">
        <v>2164</v>
      </c>
      <c r="C991">
        <f t="shared" si="45"/>
        <v>2</v>
      </c>
      <c r="D991" s="7">
        <f t="shared" si="46"/>
        <v>7434.6</v>
      </c>
      <c r="E991">
        <f t="shared" si="47"/>
        <v>7434.6009910000002</v>
      </c>
    </row>
    <row r="992" spans="1:5" x14ac:dyDescent="0.3">
      <c r="A992" t="s">
        <v>2165</v>
      </c>
      <c r="B992" t="s">
        <v>2166</v>
      </c>
      <c r="C992">
        <f t="shared" si="45"/>
        <v>2</v>
      </c>
      <c r="D992" s="7">
        <f t="shared" si="46"/>
        <v>7386.7000000000007</v>
      </c>
      <c r="E992">
        <f t="shared" si="47"/>
        <v>7386.700992000001</v>
      </c>
    </row>
    <row r="993" spans="1:5" x14ac:dyDescent="0.3">
      <c r="A993" t="s">
        <v>2167</v>
      </c>
      <c r="B993" t="s">
        <v>2168</v>
      </c>
      <c r="C993">
        <f t="shared" si="45"/>
        <v>4</v>
      </c>
      <c r="D993" s="7">
        <f t="shared" si="46"/>
        <v>7336.55</v>
      </c>
      <c r="E993">
        <f t="shared" si="47"/>
        <v>7336.5509929999998</v>
      </c>
    </row>
    <row r="994" spans="1:5" x14ac:dyDescent="0.3">
      <c r="A994" t="s">
        <v>2169</v>
      </c>
      <c r="B994" t="s">
        <v>2170</v>
      </c>
      <c r="C994">
        <f t="shared" si="45"/>
        <v>4</v>
      </c>
      <c r="D994" s="7">
        <f t="shared" si="46"/>
        <v>7324.4</v>
      </c>
      <c r="E994">
        <f t="shared" si="47"/>
        <v>7324.4009939999996</v>
      </c>
    </row>
    <row r="995" spans="1:5" x14ac:dyDescent="0.3">
      <c r="A995" t="s">
        <v>2171</v>
      </c>
      <c r="B995" t="s">
        <v>2172</v>
      </c>
      <c r="C995">
        <f t="shared" si="45"/>
        <v>3</v>
      </c>
      <c r="D995" s="7">
        <f t="shared" si="46"/>
        <v>7247.3</v>
      </c>
      <c r="E995">
        <f t="shared" si="47"/>
        <v>7247.3009950000005</v>
      </c>
    </row>
    <row r="996" spans="1:5" x14ac:dyDescent="0.3">
      <c r="A996" t="s">
        <v>2173</v>
      </c>
      <c r="B996" t="s">
        <v>2174</v>
      </c>
      <c r="C996">
        <f t="shared" si="45"/>
        <v>1</v>
      </c>
      <c r="D996" s="7">
        <f t="shared" si="46"/>
        <v>7198.2</v>
      </c>
      <c r="E996">
        <f t="shared" si="47"/>
        <v>7198.2009959999996</v>
      </c>
    </row>
    <row r="997" spans="1:5" x14ac:dyDescent="0.3">
      <c r="A997" t="s">
        <v>2175</v>
      </c>
      <c r="B997" t="s">
        <v>2176</v>
      </c>
      <c r="C997">
        <f t="shared" si="45"/>
        <v>2</v>
      </c>
      <c r="D997" s="7">
        <f t="shared" si="46"/>
        <v>7196</v>
      </c>
      <c r="E997">
        <f t="shared" si="47"/>
        <v>7196.0009970000001</v>
      </c>
    </row>
    <row r="998" spans="1:5" x14ac:dyDescent="0.3">
      <c r="A998" t="s">
        <v>2177</v>
      </c>
      <c r="B998" t="s">
        <v>2178</v>
      </c>
      <c r="C998">
        <f t="shared" si="45"/>
        <v>3</v>
      </c>
      <c r="D998" s="7">
        <f t="shared" si="46"/>
        <v>7146.6</v>
      </c>
      <c r="E998">
        <f t="shared" si="47"/>
        <v>7146.6009980000008</v>
      </c>
    </row>
    <row r="999" spans="1:5" x14ac:dyDescent="0.3">
      <c r="A999" t="s">
        <v>2179</v>
      </c>
      <c r="B999" t="s">
        <v>2180</v>
      </c>
      <c r="C999">
        <f t="shared" si="45"/>
        <v>3</v>
      </c>
      <c r="D999" s="7">
        <f t="shared" si="46"/>
        <v>7142.25</v>
      </c>
      <c r="E999">
        <f t="shared" si="47"/>
        <v>7142.2509989999999</v>
      </c>
    </row>
    <row r="1000" spans="1:5" x14ac:dyDescent="0.3">
      <c r="A1000" t="s">
        <v>2181</v>
      </c>
      <c r="B1000" t="s">
        <v>2182</v>
      </c>
      <c r="C1000">
        <f t="shared" si="45"/>
        <v>2</v>
      </c>
      <c r="D1000" s="7">
        <f t="shared" si="46"/>
        <v>7123.1</v>
      </c>
      <c r="E1000">
        <f t="shared" si="47"/>
        <v>7123.1010000000006</v>
      </c>
    </row>
    <row r="1001" spans="1:5" x14ac:dyDescent="0.3">
      <c r="A1001" t="s">
        <v>2183</v>
      </c>
      <c r="B1001" t="s">
        <v>2184</v>
      </c>
      <c r="C1001">
        <f t="shared" si="45"/>
        <v>3</v>
      </c>
      <c r="D1001" s="7">
        <f t="shared" si="46"/>
        <v>7049.1</v>
      </c>
      <c r="E1001">
        <f t="shared" si="47"/>
        <v>7049.101001</v>
      </c>
    </row>
    <row r="1002" spans="1:5" x14ac:dyDescent="0.3">
      <c r="A1002" t="s">
        <v>2185</v>
      </c>
      <c r="B1002" t="s">
        <v>2186</v>
      </c>
      <c r="C1002">
        <f t="shared" si="45"/>
        <v>2</v>
      </c>
      <c r="D1002" s="7">
        <f t="shared" si="46"/>
        <v>7047.5</v>
      </c>
      <c r="E1002">
        <f t="shared" si="47"/>
        <v>7047.501002</v>
      </c>
    </row>
    <row r="1003" spans="1:5" x14ac:dyDescent="0.3">
      <c r="A1003" t="s">
        <v>2187</v>
      </c>
      <c r="B1003" t="s">
        <v>2188</v>
      </c>
      <c r="C1003">
        <f t="shared" si="45"/>
        <v>3</v>
      </c>
      <c r="D1003" s="7">
        <f t="shared" si="46"/>
        <v>7035.05</v>
      </c>
      <c r="E1003">
        <f t="shared" si="47"/>
        <v>7035.0510030000005</v>
      </c>
    </row>
    <row r="1004" spans="1:5" x14ac:dyDescent="0.3">
      <c r="A1004" t="s">
        <v>2189</v>
      </c>
      <c r="B1004" t="s">
        <v>2190</v>
      </c>
      <c r="C1004">
        <f t="shared" si="45"/>
        <v>3</v>
      </c>
      <c r="D1004" s="7">
        <f t="shared" si="46"/>
        <v>7015.75</v>
      </c>
      <c r="E1004">
        <f t="shared" si="47"/>
        <v>7015.7510039999997</v>
      </c>
    </row>
    <row r="1005" spans="1:5" x14ac:dyDescent="0.3">
      <c r="A1005" t="s">
        <v>2191</v>
      </c>
      <c r="B1005" t="s">
        <v>2192</v>
      </c>
      <c r="C1005">
        <f t="shared" si="45"/>
        <v>3</v>
      </c>
      <c r="D1005" s="7">
        <f t="shared" si="46"/>
        <v>6995.2</v>
      </c>
      <c r="E1005">
        <f t="shared" si="47"/>
        <v>6995.2010049999999</v>
      </c>
    </row>
    <row r="1006" spans="1:5" x14ac:dyDescent="0.3">
      <c r="A1006" t="s">
        <v>2193</v>
      </c>
      <c r="B1006" t="s">
        <v>2194</v>
      </c>
      <c r="C1006">
        <f t="shared" si="45"/>
        <v>3</v>
      </c>
      <c r="D1006" s="7">
        <f t="shared" si="46"/>
        <v>6945.4000000000005</v>
      </c>
      <c r="E1006">
        <f t="shared" si="47"/>
        <v>6945.401006000001</v>
      </c>
    </row>
    <row r="1007" spans="1:5" x14ac:dyDescent="0.3">
      <c r="A1007" t="s">
        <v>2195</v>
      </c>
      <c r="B1007" t="s">
        <v>2196</v>
      </c>
      <c r="C1007">
        <f t="shared" si="45"/>
        <v>2</v>
      </c>
      <c r="D1007" s="7">
        <f t="shared" si="46"/>
        <v>6935.4</v>
      </c>
      <c r="E1007">
        <f t="shared" si="47"/>
        <v>6935.4010069999995</v>
      </c>
    </row>
    <row r="1008" spans="1:5" x14ac:dyDescent="0.3">
      <c r="A1008" t="s">
        <v>2197</v>
      </c>
      <c r="B1008" t="s">
        <v>2198</v>
      </c>
      <c r="C1008">
        <f t="shared" si="45"/>
        <v>2</v>
      </c>
      <c r="D1008" s="7">
        <f t="shared" si="46"/>
        <v>6897.4</v>
      </c>
      <c r="E1008">
        <f t="shared" si="47"/>
        <v>6897.4010079999998</v>
      </c>
    </row>
    <row r="1009" spans="1:5" x14ac:dyDescent="0.3">
      <c r="A1009" t="s">
        <v>2199</v>
      </c>
      <c r="B1009" t="s">
        <v>2200</v>
      </c>
      <c r="C1009">
        <f t="shared" si="45"/>
        <v>4</v>
      </c>
      <c r="D1009" s="7">
        <f t="shared" si="46"/>
        <v>6883.45</v>
      </c>
      <c r="E1009">
        <f t="shared" si="47"/>
        <v>6883.4510089999994</v>
      </c>
    </row>
    <row r="1010" spans="1:5" x14ac:dyDescent="0.3">
      <c r="A1010" t="s">
        <v>2201</v>
      </c>
      <c r="B1010" t="s">
        <v>2202</v>
      </c>
      <c r="C1010">
        <f t="shared" si="45"/>
        <v>3</v>
      </c>
      <c r="D1010" s="7">
        <f t="shared" si="46"/>
        <v>6875.3499999999995</v>
      </c>
      <c r="E1010">
        <f t="shared" si="47"/>
        <v>6875.3510099999994</v>
      </c>
    </row>
    <row r="1011" spans="1:5" x14ac:dyDescent="0.3">
      <c r="A1011" t="s">
        <v>2203</v>
      </c>
      <c r="B1011" t="s">
        <v>2204</v>
      </c>
      <c r="C1011">
        <f t="shared" si="45"/>
        <v>4</v>
      </c>
      <c r="D1011" s="7">
        <f t="shared" si="46"/>
        <v>6875.15</v>
      </c>
      <c r="E1011">
        <f t="shared" si="47"/>
        <v>6875.1510109999999</v>
      </c>
    </row>
    <row r="1012" spans="1:5" x14ac:dyDescent="0.3">
      <c r="A1012" t="s">
        <v>2205</v>
      </c>
      <c r="B1012" t="s">
        <v>2206</v>
      </c>
      <c r="C1012">
        <f t="shared" si="45"/>
        <v>2</v>
      </c>
      <c r="D1012" s="7">
        <f t="shared" si="46"/>
        <v>6813.6</v>
      </c>
      <c r="E1012">
        <f t="shared" si="47"/>
        <v>6813.6010120000001</v>
      </c>
    </row>
    <row r="1013" spans="1:5" x14ac:dyDescent="0.3">
      <c r="A1013" t="s">
        <v>2207</v>
      </c>
      <c r="B1013" t="s">
        <v>2208</v>
      </c>
      <c r="C1013">
        <f t="shared" si="45"/>
        <v>2</v>
      </c>
      <c r="D1013" s="7">
        <f t="shared" si="46"/>
        <v>6797.4</v>
      </c>
      <c r="E1013">
        <f t="shared" si="47"/>
        <v>6797.4010129999997</v>
      </c>
    </row>
    <row r="1014" spans="1:5" x14ac:dyDescent="0.3">
      <c r="A1014" t="s">
        <v>2209</v>
      </c>
      <c r="B1014" t="s">
        <v>2210</v>
      </c>
      <c r="C1014">
        <f t="shared" si="45"/>
        <v>1</v>
      </c>
      <c r="D1014" s="7">
        <f t="shared" si="46"/>
        <v>6747.3</v>
      </c>
      <c r="E1014">
        <f t="shared" si="47"/>
        <v>6747.3010140000006</v>
      </c>
    </row>
    <row r="1015" spans="1:5" x14ac:dyDescent="0.3">
      <c r="A1015" t="s">
        <v>2211</v>
      </c>
      <c r="B1015" t="s">
        <v>2212</v>
      </c>
      <c r="C1015">
        <f t="shared" si="45"/>
        <v>2</v>
      </c>
      <c r="D1015" s="7">
        <f t="shared" si="46"/>
        <v>6747.2999999999993</v>
      </c>
      <c r="E1015">
        <f t="shared" si="47"/>
        <v>6747.3010149999991</v>
      </c>
    </row>
    <row r="1016" spans="1:5" x14ac:dyDescent="0.3">
      <c r="A1016" t="s">
        <v>2213</v>
      </c>
      <c r="B1016" t="s">
        <v>2214</v>
      </c>
      <c r="C1016">
        <f t="shared" si="45"/>
        <v>4</v>
      </c>
      <c r="D1016" s="7">
        <f t="shared" si="46"/>
        <v>6736.75</v>
      </c>
      <c r="E1016">
        <f t="shared" si="47"/>
        <v>6736.7510160000002</v>
      </c>
    </row>
    <row r="1017" spans="1:5" x14ac:dyDescent="0.3">
      <c r="A1017" t="s">
        <v>2215</v>
      </c>
      <c r="B1017" t="s">
        <v>2216</v>
      </c>
      <c r="C1017">
        <f t="shared" si="45"/>
        <v>1</v>
      </c>
      <c r="D1017" s="7">
        <f t="shared" si="46"/>
        <v>6717.6</v>
      </c>
      <c r="E1017">
        <f t="shared" si="47"/>
        <v>6717.601017</v>
      </c>
    </row>
    <row r="1018" spans="1:5" x14ac:dyDescent="0.3">
      <c r="A1018" t="s">
        <v>2217</v>
      </c>
      <c r="B1018" t="s">
        <v>2218</v>
      </c>
      <c r="C1018">
        <f t="shared" si="45"/>
        <v>4</v>
      </c>
      <c r="D1018" s="7">
        <f t="shared" si="46"/>
        <v>6689.7999999999993</v>
      </c>
      <c r="E1018">
        <f t="shared" si="47"/>
        <v>6689.8010179999992</v>
      </c>
    </row>
    <row r="1019" spans="1:5" x14ac:dyDescent="0.3">
      <c r="A1019" t="s">
        <v>2219</v>
      </c>
      <c r="B1019" t="s">
        <v>2220</v>
      </c>
      <c r="C1019">
        <f t="shared" si="45"/>
        <v>2</v>
      </c>
      <c r="D1019" s="7">
        <f t="shared" si="46"/>
        <v>6657.35</v>
      </c>
      <c r="E1019">
        <f t="shared" si="47"/>
        <v>6657.3510190000006</v>
      </c>
    </row>
    <row r="1020" spans="1:5" x14ac:dyDescent="0.3">
      <c r="A1020" t="s">
        <v>2221</v>
      </c>
      <c r="B1020" t="s">
        <v>2222</v>
      </c>
      <c r="C1020">
        <f t="shared" si="45"/>
        <v>4</v>
      </c>
      <c r="D1020" s="7">
        <f t="shared" si="46"/>
        <v>6594.4</v>
      </c>
      <c r="E1020">
        <f t="shared" si="47"/>
        <v>6594.4010199999993</v>
      </c>
    </row>
    <row r="1021" spans="1:5" x14ac:dyDescent="0.3">
      <c r="A1021" t="s">
        <v>2223</v>
      </c>
      <c r="B1021" t="s">
        <v>2224</v>
      </c>
      <c r="C1021">
        <f t="shared" si="45"/>
        <v>4</v>
      </c>
      <c r="D1021" s="7">
        <f t="shared" si="46"/>
        <v>6569.95</v>
      </c>
      <c r="E1021">
        <f t="shared" si="47"/>
        <v>6569.9510209999999</v>
      </c>
    </row>
    <row r="1022" spans="1:5" x14ac:dyDescent="0.3">
      <c r="A1022" t="s">
        <v>2225</v>
      </c>
      <c r="B1022" t="s">
        <v>2226</v>
      </c>
      <c r="C1022">
        <f t="shared" si="45"/>
        <v>3</v>
      </c>
      <c r="D1022" s="7">
        <f t="shared" si="46"/>
        <v>6537.2</v>
      </c>
      <c r="E1022">
        <f t="shared" si="47"/>
        <v>6537.2010220000002</v>
      </c>
    </row>
    <row r="1023" spans="1:5" x14ac:dyDescent="0.3">
      <c r="A1023" t="s">
        <v>2227</v>
      </c>
      <c r="B1023" t="s">
        <v>2228</v>
      </c>
      <c r="C1023">
        <f t="shared" si="45"/>
        <v>3</v>
      </c>
      <c r="D1023" s="7">
        <f t="shared" si="46"/>
        <v>6521.85</v>
      </c>
      <c r="E1023">
        <f t="shared" si="47"/>
        <v>6521.8510230000002</v>
      </c>
    </row>
    <row r="1024" spans="1:5" x14ac:dyDescent="0.3">
      <c r="A1024" t="s">
        <v>2229</v>
      </c>
      <c r="B1024" t="s">
        <v>2230</v>
      </c>
      <c r="C1024">
        <f t="shared" si="45"/>
        <v>3</v>
      </c>
      <c r="D1024" s="7">
        <f t="shared" si="46"/>
        <v>6496.3</v>
      </c>
      <c r="E1024">
        <f t="shared" si="47"/>
        <v>6496.3010240000003</v>
      </c>
    </row>
    <row r="1025" spans="1:5" x14ac:dyDescent="0.3">
      <c r="A1025" t="s">
        <v>2231</v>
      </c>
      <c r="B1025" t="s">
        <v>2232</v>
      </c>
      <c r="C1025">
        <f t="shared" si="45"/>
        <v>1</v>
      </c>
      <c r="D1025" s="7">
        <f t="shared" si="46"/>
        <v>6299.1</v>
      </c>
      <c r="E1025">
        <f t="shared" si="47"/>
        <v>6299.1010249999999</v>
      </c>
    </row>
    <row r="1026" spans="1:5" x14ac:dyDescent="0.3">
      <c r="A1026" t="s">
        <v>2233</v>
      </c>
      <c r="B1026" t="s">
        <v>2234</v>
      </c>
      <c r="C1026">
        <f t="shared" ref="C1026:C1089" si="48">COUNTIF(dCust,A1026)</f>
        <v>3</v>
      </c>
      <c r="D1026" s="7">
        <f t="shared" ref="D1026:D1089" si="49">SUMIFS(dSales,dCust,A1026)</f>
        <v>6278.65</v>
      </c>
      <c r="E1026">
        <f t="shared" ref="E1026:E1089" si="50">D1026+ROW()/1000000</f>
        <v>6278.6510259999995</v>
      </c>
    </row>
    <row r="1027" spans="1:5" x14ac:dyDescent="0.3">
      <c r="A1027" t="s">
        <v>2235</v>
      </c>
      <c r="B1027" t="s">
        <v>2236</v>
      </c>
      <c r="C1027">
        <f t="shared" si="48"/>
        <v>2</v>
      </c>
      <c r="D1027" s="7">
        <f t="shared" si="49"/>
        <v>6276.4</v>
      </c>
      <c r="E1027">
        <f t="shared" si="50"/>
        <v>6276.4010269999999</v>
      </c>
    </row>
    <row r="1028" spans="1:5" x14ac:dyDescent="0.3">
      <c r="A1028" t="s">
        <v>2237</v>
      </c>
      <c r="B1028" t="s">
        <v>2238</v>
      </c>
      <c r="C1028">
        <f t="shared" si="48"/>
        <v>3</v>
      </c>
      <c r="D1028" s="7">
        <f t="shared" si="49"/>
        <v>6227.25</v>
      </c>
      <c r="E1028">
        <f t="shared" si="50"/>
        <v>6227.2510279999997</v>
      </c>
    </row>
    <row r="1029" spans="1:5" x14ac:dyDescent="0.3">
      <c r="A1029" t="s">
        <v>2239</v>
      </c>
      <c r="B1029" t="s">
        <v>2240</v>
      </c>
      <c r="C1029">
        <f t="shared" si="48"/>
        <v>2</v>
      </c>
      <c r="D1029" s="7">
        <f t="shared" si="49"/>
        <v>6213.6</v>
      </c>
      <c r="E1029">
        <f t="shared" si="50"/>
        <v>6213.6010290000004</v>
      </c>
    </row>
    <row r="1030" spans="1:5" x14ac:dyDescent="0.3">
      <c r="A1030" t="s">
        <v>2241</v>
      </c>
      <c r="B1030" t="s">
        <v>2242</v>
      </c>
      <c r="C1030">
        <f t="shared" si="48"/>
        <v>3</v>
      </c>
      <c r="D1030" s="7">
        <f t="shared" si="49"/>
        <v>6178.75</v>
      </c>
      <c r="E1030">
        <f t="shared" si="50"/>
        <v>6178.7510300000004</v>
      </c>
    </row>
    <row r="1031" spans="1:5" x14ac:dyDescent="0.3">
      <c r="A1031" t="s">
        <v>2243</v>
      </c>
      <c r="B1031" t="s">
        <v>2244</v>
      </c>
      <c r="C1031">
        <f t="shared" si="48"/>
        <v>4</v>
      </c>
      <c r="D1031" s="7">
        <f t="shared" si="49"/>
        <v>6164.5</v>
      </c>
      <c r="E1031">
        <f t="shared" si="50"/>
        <v>6164.5010309999998</v>
      </c>
    </row>
    <row r="1032" spans="1:5" x14ac:dyDescent="0.3">
      <c r="A1032" t="s">
        <v>2245</v>
      </c>
      <c r="B1032" t="s">
        <v>2246</v>
      </c>
      <c r="C1032">
        <f t="shared" si="48"/>
        <v>3</v>
      </c>
      <c r="D1032" s="7">
        <f t="shared" si="49"/>
        <v>6119.5</v>
      </c>
      <c r="E1032">
        <f t="shared" si="50"/>
        <v>6119.5010320000001</v>
      </c>
    </row>
    <row r="1033" spans="1:5" x14ac:dyDescent="0.3">
      <c r="A1033" t="s">
        <v>2247</v>
      </c>
      <c r="B1033" t="s">
        <v>2248</v>
      </c>
      <c r="C1033">
        <f t="shared" si="48"/>
        <v>3</v>
      </c>
      <c r="D1033" s="7">
        <f t="shared" si="49"/>
        <v>6115.75</v>
      </c>
      <c r="E1033">
        <f t="shared" si="50"/>
        <v>6115.7510329999996</v>
      </c>
    </row>
    <row r="1034" spans="1:5" x14ac:dyDescent="0.3">
      <c r="A1034" t="s">
        <v>2249</v>
      </c>
      <c r="B1034" t="s">
        <v>2250</v>
      </c>
      <c r="C1034">
        <f t="shared" si="48"/>
        <v>2</v>
      </c>
      <c r="D1034" s="7">
        <f t="shared" si="49"/>
        <v>6115.5</v>
      </c>
      <c r="E1034">
        <f t="shared" si="50"/>
        <v>6115.5010339999999</v>
      </c>
    </row>
    <row r="1035" spans="1:5" x14ac:dyDescent="0.3">
      <c r="A1035" t="s">
        <v>2251</v>
      </c>
      <c r="B1035" t="s">
        <v>2252</v>
      </c>
      <c r="C1035">
        <f t="shared" si="48"/>
        <v>2</v>
      </c>
      <c r="D1035" s="7">
        <f t="shared" si="49"/>
        <v>6005.1</v>
      </c>
      <c r="E1035">
        <f t="shared" si="50"/>
        <v>6005.1010350000006</v>
      </c>
    </row>
    <row r="1036" spans="1:5" x14ac:dyDescent="0.3">
      <c r="A1036" t="s">
        <v>2253</v>
      </c>
      <c r="B1036" t="s">
        <v>2254</v>
      </c>
      <c r="C1036">
        <f t="shared" si="48"/>
        <v>4</v>
      </c>
      <c r="D1036" s="7">
        <f t="shared" si="49"/>
        <v>5986.2</v>
      </c>
      <c r="E1036">
        <f t="shared" si="50"/>
        <v>5986.2010359999995</v>
      </c>
    </row>
    <row r="1037" spans="1:5" x14ac:dyDescent="0.3">
      <c r="A1037" t="s">
        <v>2255</v>
      </c>
      <c r="B1037" t="s">
        <v>2256</v>
      </c>
      <c r="C1037">
        <f t="shared" si="48"/>
        <v>3</v>
      </c>
      <c r="D1037" s="7">
        <f t="shared" si="49"/>
        <v>5954.5</v>
      </c>
      <c r="E1037">
        <f t="shared" si="50"/>
        <v>5954.501037</v>
      </c>
    </row>
    <row r="1038" spans="1:5" x14ac:dyDescent="0.3">
      <c r="A1038" t="s">
        <v>2257</v>
      </c>
      <c r="B1038" t="s">
        <v>2258</v>
      </c>
      <c r="C1038">
        <f t="shared" si="48"/>
        <v>1</v>
      </c>
      <c r="D1038" s="7">
        <f t="shared" si="49"/>
        <v>5948.3</v>
      </c>
      <c r="E1038">
        <f t="shared" si="50"/>
        <v>5948.3010380000005</v>
      </c>
    </row>
    <row r="1039" spans="1:5" x14ac:dyDescent="0.3">
      <c r="A1039" t="s">
        <v>2259</v>
      </c>
      <c r="B1039" t="s">
        <v>2260</v>
      </c>
      <c r="C1039">
        <f t="shared" si="48"/>
        <v>2</v>
      </c>
      <c r="D1039" s="7">
        <f t="shared" si="49"/>
        <v>5936.4</v>
      </c>
      <c r="E1039">
        <f t="shared" si="50"/>
        <v>5936.4010389999994</v>
      </c>
    </row>
    <row r="1040" spans="1:5" x14ac:dyDescent="0.3">
      <c r="A1040" t="s">
        <v>2261</v>
      </c>
      <c r="B1040" t="s">
        <v>2262</v>
      </c>
      <c r="C1040">
        <f t="shared" si="48"/>
        <v>3</v>
      </c>
      <c r="D1040" s="7">
        <f t="shared" si="49"/>
        <v>5900.7</v>
      </c>
      <c r="E1040">
        <f t="shared" si="50"/>
        <v>5900.7010399999999</v>
      </c>
    </row>
    <row r="1041" spans="1:5" x14ac:dyDescent="0.3">
      <c r="A1041" t="s">
        <v>2263</v>
      </c>
      <c r="B1041" t="s">
        <v>2264</v>
      </c>
      <c r="C1041">
        <f t="shared" si="48"/>
        <v>2</v>
      </c>
      <c r="D1041" s="7">
        <f t="shared" si="49"/>
        <v>5844.15</v>
      </c>
      <c r="E1041">
        <f t="shared" si="50"/>
        <v>5844.1510410000001</v>
      </c>
    </row>
    <row r="1042" spans="1:5" x14ac:dyDescent="0.3">
      <c r="A1042" t="s">
        <v>2265</v>
      </c>
      <c r="B1042" t="s">
        <v>2266</v>
      </c>
      <c r="C1042">
        <f t="shared" si="48"/>
        <v>2</v>
      </c>
      <c r="D1042" s="7">
        <f t="shared" si="49"/>
        <v>5836.5</v>
      </c>
      <c r="E1042">
        <f t="shared" si="50"/>
        <v>5836.5010419999999</v>
      </c>
    </row>
    <row r="1043" spans="1:5" x14ac:dyDescent="0.3">
      <c r="A1043" t="s">
        <v>2267</v>
      </c>
      <c r="B1043" t="s">
        <v>2268</v>
      </c>
      <c r="C1043">
        <f t="shared" si="48"/>
        <v>2</v>
      </c>
      <c r="D1043" s="7">
        <f t="shared" si="49"/>
        <v>5769.8</v>
      </c>
      <c r="E1043">
        <f t="shared" si="50"/>
        <v>5769.8010430000004</v>
      </c>
    </row>
    <row r="1044" spans="1:5" x14ac:dyDescent="0.3">
      <c r="A1044" t="s">
        <v>2269</v>
      </c>
      <c r="B1044" t="s">
        <v>2270</v>
      </c>
      <c r="C1044">
        <f t="shared" si="48"/>
        <v>1</v>
      </c>
      <c r="D1044" s="7">
        <f t="shared" si="49"/>
        <v>5698.1</v>
      </c>
      <c r="E1044">
        <f t="shared" si="50"/>
        <v>5698.101044</v>
      </c>
    </row>
    <row r="1045" spans="1:5" x14ac:dyDescent="0.3">
      <c r="A1045" t="s">
        <v>2271</v>
      </c>
      <c r="B1045" t="s">
        <v>2272</v>
      </c>
      <c r="C1045">
        <f t="shared" si="48"/>
        <v>1</v>
      </c>
      <c r="D1045" s="7">
        <f t="shared" si="49"/>
        <v>5697.15</v>
      </c>
      <c r="E1045">
        <f t="shared" si="50"/>
        <v>5697.1510449999996</v>
      </c>
    </row>
    <row r="1046" spans="1:5" x14ac:dyDescent="0.3">
      <c r="A1046" t="s">
        <v>2273</v>
      </c>
      <c r="B1046" t="s">
        <v>2274</v>
      </c>
      <c r="C1046">
        <f t="shared" si="48"/>
        <v>2</v>
      </c>
      <c r="D1046" s="7">
        <f t="shared" si="49"/>
        <v>5672.35</v>
      </c>
      <c r="E1046">
        <f t="shared" si="50"/>
        <v>5672.3510460000007</v>
      </c>
    </row>
    <row r="1047" spans="1:5" x14ac:dyDescent="0.3">
      <c r="A1047" t="s">
        <v>2275</v>
      </c>
      <c r="B1047" t="s">
        <v>2276</v>
      </c>
      <c r="C1047">
        <f t="shared" si="48"/>
        <v>3</v>
      </c>
      <c r="D1047" s="7">
        <f t="shared" si="49"/>
        <v>5656.55</v>
      </c>
      <c r="E1047">
        <f t="shared" si="50"/>
        <v>5656.5510469999999</v>
      </c>
    </row>
    <row r="1048" spans="1:5" x14ac:dyDescent="0.3">
      <c r="A1048" t="s">
        <v>2277</v>
      </c>
      <c r="B1048" t="s">
        <v>2278</v>
      </c>
      <c r="C1048">
        <f t="shared" si="48"/>
        <v>2</v>
      </c>
      <c r="D1048" s="7">
        <f t="shared" si="49"/>
        <v>5647.4</v>
      </c>
      <c r="E1048">
        <f t="shared" si="50"/>
        <v>5647.4010479999997</v>
      </c>
    </row>
    <row r="1049" spans="1:5" x14ac:dyDescent="0.3">
      <c r="A1049" t="s">
        <v>2279</v>
      </c>
      <c r="B1049" t="s">
        <v>2280</v>
      </c>
      <c r="C1049">
        <f t="shared" si="48"/>
        <v>1</v>
      </c>
      <c r="D1049" s="7">
        <f t="shared" si="49"/>
        <v>5598.4</v>
      </c>
      <c r="E1049">
        <f t="shared" si="50"/>
        <v>5598.4010490000001</v>
      </c>
    </row>
    <row r="1050" spans="1:5" x14ac:dyDescent="0.3">
      <c r="A1050" t="s">
        <v>2281</v>
      </c>
      <c r="B1050" t="s">
        <v>2282</v>
      </c>
      <c r="C1050">
        <f t="shared" si="48"/>
        <v>2</v>
      </c>
      <c r="D1050" s="7">
        <f t="shared" si="49"/>
        <v>5596.2</v>
      </c>
      <c r="E1050">
        <f t="shared" si="50"/>
        <v>5596.2010499999997</v>
      </c>
    </row>
    <row r="1051" spans="1:5" x14ac:dyDescent="0.3">
      <c r="A1051" t="s">
        <v>2283</v>
      </c>
      <c r="B1051" t="s">
        <v>2284</v>
      </c>
      <c r="C1051">
        <f t="shared" si="48"/>
        <v>2</v>
      </c>
      <c r="D1051" s="7">
        <f t="shared" si="49"/>
        <v>5583.2000000000007</v>
      </c>
      <c r="E1051">
        <f t="shared" si="50"/>
        <v>5583.2010510000009</v>
      </c>
    </row>
    <row r="1052" spans="1:5" x14ac:dyDescent="0.3">
      <c r="A1052" t="s">
        <v>2285</v>
      </c>
      <c r="B1052" t="s">
        <v>2286</v>
      </c>
      <c r="C1052">
        <f t="shared" si="48"/>
        <v>4</v>
      </c>
      <c r="D1052" s="7">
        <f t="shared" si="49"/>
        <v>5421.75</v>
      </c>
      <c r="E1052">
        <f t="shared" si="50"/>
        <v>5421.7510519999996</v>
      </c>
    </row>
    <row r="1053" spans="1:5" x14ac:dyDescent="0.3">
      <c r="A1053" t="s">
        <v>2287</v>
      </c>
      <c r="B1053" t="s">
        <v>2288</v>
      </c>
      <c r="C1053">
        <f t="shared" si="48"/>
        <v>3</v>
      </c>
      <c r="D1053" s="7">
        <f t="shared" si="49"/>
        <v>5415.2999999999993</v>
      </c>
      <c r="E1053">
        <f t="shared" si="50"/>
        <v>5415.3010529999992</v>
      </c>
    </row>
    <row r="1054" spans="1:5" x14ac:dyDescent="0.3">
      <c r="A1054" t="s">
        <v>2289</v>
      </c>
      <c r="B1054" t="s">
        <v>2290</v>
      </c>
      <c r="C1054">
        <f t="shared" si="48"/>
        <v>2</v>
      </c>
      <c r="D1054" s="7">
        <f t="shared" si="49"/>
        <v>5355.8</v>
      </c>
      <c r="E1054">
        <f t="shared" si="50"/>
        <v>5355.8010540000005</v>
      </c>
    </row>
    <row r="1055" spans="1:5" x14ac:dyDescent="0.3">
      <c r="A1055" t="s">
        <v>2291</v>
      </c>
      <c r="B1055" t="s">
        <v>2292</v>
      </c>
      <c r="C1055">
        <f t="shared" si="48"/>
        <v>2</v>
      </c>
      <c r="D1055" s="7">
        <f t="shared" si="49"/>
        <v>5298.25</v>
      </c>
      <c r="E1055">
        <f t="shared" si="50"/>
        <v>5298.2510549999997</v>
      </c>
    </row>
    <row r="1056" spans="1:5" x14ac:dyDescent="0.3">
      <c r="A1056" t="s">
        <v>2293</v>
      </c>
      <c r="B1056" t="s">
        <v>2294</v>
      </c>
      <c r="C1056">
        <f t="shared" si="48"/>
        <v>4</v>
      </c>
      <c r="D1056" s="7">
        <f t="shared" si="49"/>
        <v>5256.65</v>
      </c>
      <c r="E1056">
        <f t="shared" si="50"/>
        <v>5256.6510559999997</v>
      </c>
    </row>
    <row r="1057" spans="1:5" x14ac:dyDescent="0.3">
      <c r="A1057" t="s">
        <v>2295</v>
      </c>
      <c r="B1057" t="s">
        <v>2296</v>
      </c>
      <c r="C1057">
        <f t="shared" si="48"/>
        <v>4</v>
      </c>
      <c r="D1057" s="7">
        <f t="shared" si="49"/>
        <v>5215.5</v>
      </c>
      <c r="E1057">
        <f t="shared" si="50"/>
        <v>5215.5010570000004</v>
      </c>
    </row>
    <row r="1058" spans="1:5" x14ac:dyDescent="0.3">
      <c r="A1058" t="s">
        <v>2297</v>
      </c>
      <c r="B1058" t="s">
        <v>2298</v>
      </c>
      <c r="C1058">
        <f t="shared" si="48"/>
        <v>3</v>
      </c>
      <c r="D1058" s="7">
        <f t="shared" si="49"/>
        <v>5147.3</v>
      </c>
      <c r="E1058">
        <f t="shared" si="50"/>
        <v>5147.301058</v>
      </c>
    </row>
    <row r="1059" spans="1:5" x14ac:dyDescent="0.3">
      <c r="A1059" t="s">
        <v>2299</v>
      </c>
      <c r="B1059" t="s">
        <v>2300</v>
      </c>
      <c r="C1059">
        <f t="shared" si="48"/>
        <v>1</v>
      </c>
      <c r="D1059" s="7">
        <f t="shared" si="49"/>
        <v>5096.6000000000004</v>
      </c>
      <c r="E1059">
        <f t="shared" si="50"/>
        <v>5096.6010590000005</v>
      </c>
    </row>
    <row r="1060" spans="1:5" x14ac:dyDescent="0.3">
      <c r="A1060" t="s">
        <v>2301</v>
      </c>
      <c r="B1060" t="s">
        <v>2302</v>
      </c>
      <c r="C1060">
        <f t="shared" si="48"/>
        <v>1</v>
      </c>
      <c r="D1060" s="7">
        <f t="shared" si="49"/>
        <v>4998</v>
      </c>
      <c r="E1060">
        <f t="shared" si="50"/>
        <v>4998.0010599999996</v>
      </c>
    </row>
    <row r="1061" spans="1:5" x14ac:dyDescent="0.3">
      <c r="A1061" t="s">
        <v>2303</v>
      </c>
      <c r="B1061" t="s">
        <v>2304</v>
      </c>
      <c r="C1061">
        <f t="shared" si="48"/>
        <v>2</v>
      </c>
      <c r="D1061" s="7">
        <f t="shared" si="49"/>
        <v>4956.3999999999996</v>
      </c>
      <c r="E1061">
        <f t="shared" si="50"/>
        <v>4956.4010609999996</v>
      </c>
    </row>
    <row r="1062" spans="1:5" x14ac:dyDescent="0.3">
      <c r="A1062" t="s">
        <v>2305</v>
      </c>
      <c r="B1062" t="s">
        <v>2306</v>
      </c>
      <c r="C1062">
        <f t="shared" si="48"/>
        <v>3</v>
      </c>
      <c r="D1062" s="7">
        <f t="shared" si="49"/>
        <v>4896.45</v>
      </c>
      <c r="E1062">
        <f t="shared" si="50"/>
        <v>4896.4510620000001</v>
      </c>
    </row>
    <row r="1063" spans="1:5" x14ac:dyDescent="0.3">
      <c r="A1063" t="s">
        <v>2307</v>
      </c>
      <c r="B1063" t="s">
        <v>2308</v>
      </c>
      <c r="C1063">
        <f t="shared" si="48"/>
        <v>3</v>
      </c>
      <c r="D1063" s="7">
        <f t="shared" si="49"/>
        <v>4822.25</v>
      </c>
      <c r="E1063">
        <f t="shared" si="50"/>
        <v>4822.2510629999997</v>
      </c>
    </row>
    <row r="1064" spans="1:5" x14ac:dyDescent="0.3">
      <c r="A1064" t="s">
        <v>2309</v>
      </c>
      <c r="B1064" t="s">
        <v>2310</v>
      </c>
      <c r="C1064">
        <f t="shared" si="48"/>
        <v>1</v>
      </c>
      <c r="D1064" s="7">
        <f t="shared" si="49"/>
        <v>4796</v>
      </c>
      <c r="E1064">
        <f t="shared" si="50"/>
        <v>4796.001064</v>
      </c>
    </row>
    <row r="1065" spans="1:5" x14ac:dyDescent="0.3">
      <c r="A1065" t="s">
        <v>2311</v>
      </c>
      <c r="B1065" t="s">
        <v>2312</v>
      </c>
      <c r="C1065">
        <f t="shared" si="48"/>
        <v>1</v>
      </c>
      <c r="D1065" s="7">
        <f t="shared" si="49"/>
        <v>4745.25</v>
      </c>
      <c r="E1065">
        <f t="shared" si="50"/>
        <v>4745.2510650000004</v>
      </c>
    </row>
    <row r="1066" spans="1:5" x14ac:dyDescent="0.3">
      <c r="A1066" t="s">
        <v>2313</v>
      </c>
      <c r="B1066" t="s">
        <v>2314</v>
      </c>
      <c r="C1066">
        <f t="shared" si="48"/>
        <v>2</v>
      </c>
      <c r="D1066" s="7">
        <f t="shared" si="49"/>
        <v>4737.3999999999996</v>
      </c>
      <c r="E1066">
        <f t="shared" si="50"/>
        <v>4737.4010659999994</v>
      </c>
    </row>
    <row r="1067" spans="1:5" x14ac:dyDescent="0.3">
      <c r="A1067" t="s">
        <v>2315</v>
      </c>
      <c r="B1067" t="s">
        <v>2316</v>
      </c>
      <c r="C1067">
        <f t="shared" si="48"/>
        <v>2</v>
      </c>
      <c r="D1067" s="7">
        <f t="shared" si="49"/>
        <v>4523.3500000000004</v>
      </c>
      <c r="E1067">
        <f t="shared" si="50"/>
        <v>4523.3510670000005</v>
      </c>
    </row>
    <row r="1068" spans="1:5" x14ac:dyDescent="0.3">
      <c r="A1068" t="s">
        <v>2317</v>
      </c>
      <c r="B1068" t="s">
        <v>2318</v>
      </c>
      <c r="C1068">
        <f t="shared" si="48"/>
        <v>4</v>
      </c>
      <c r="D1068" s="7">
        <f t="shared" si="49"/>
        <v>4474.2</v>
      </c>
      <c r="E1068">
        <f t="shared" si="50"/>
        <v>4474.2010679999994</v>
      </c>
    </row>
    <row r="1069" spans="1:5" x14ac:dyDescent="0.3">
      <c r="A1069" t="s">
        <v>2319</v>
      </c>
      <c r="B1069" t="s">
        <v>2320</v>
      </c>
      <c r="C1069">
        <f t="shared" si="48"/>
        <v>1</v>
      </c>
      <c r="D1069" s="7">
        <f t="shared" si="49"/>
        <v>4416.6000000000004</v>
      </c>
      <c r="E1069">
        <f t="shared" si="50"/>
        <v>4416.6010690000003</v>
      </c>
    </row>
    <row r="1070" spans="1:5" x14ac:dyDescent="0.3">
      <c r="A1070" t="s">
        <v>2321</v>
      </c>
      <c r="B1070" t="s">
        <v>2322</v>
      </c>
      <c r="C1070">
        <f t="shared" si="48"/>
        <v>2</v>
      </c>
      <c r="D1070" s="7">
        <f t="shared" si="49"/>
        <v>4408.1499999999996</v>
      </c>
      <c r="E1070">
        <f t="shared" si="50"/>
        <v>4408.1510699999999</v>
      </c>
    </row>
    <row r="1071" spans="1:5" x14ac:dyDescent="0.3">
      <c r="A1071" t="s">
        <v>2323</v>
      </c>
      <c r="B1071" t="s">
        <v>2324</v>
      </c>
      <c r="C1071">
        <f t="shared" si="48"/>
        <v>3</v>
      </c>
      <c r="D1071" s="7">
        <f t="shared" si="49"/>
        <v>4347.3999999999996</v>
      </c>
      <c r="E1071">
        <f t="shared" si="50"/>
        <v>4347.4010709999993</v>
      </c>
    </row>
    <row r="1072" spans="1:5" x14ac:dyDescent="0.3">
      <c r="A1072" t="s">
        <v>2325</v>
      </c>
      <c r="B1072" t="s">
        <v>2326</v>
      </c>
      <c r="C1072">
        <f t="shared" si="48"/>
        <v>1</v>
      </c>
      <c r="D1072" s="7">
        <f t="shared" si="49"/>
        <v>4317.6000000000004</v>
      </c>
      <c r="E1072">
        <f t="shared" si="50"/>
        <v>4317.6010720000004</v>
      </c>
    </row>
    <row r="1073" spans="1:5" x14ac:dyDescent="0.3">
      <c r="A1073" t="s">
        <v>2327</v>
      </c>
      <c r="B1073" t="s">
        <v>2328</v>
      </c>
      <c r="C1073">
        <f t="shared" si="48"/>
        <v>1</v>
      </c>
      <c r="D1073" s="7">
        <f t="shared" si="49"/>
        <v>4317.3</v>
      </c>
      <c r="E1073">
        <f t="shared" si="50"/>
        <v>4317.3010730000005</v>
      </c>
    </row>
    <row r="1074" spans="1:5" x14ac:dyDescent="0.3">
      <c r="A1074" t="s">
        <v>2329</v>
      </c>
      <c r="B1074" t="s">
        <v>2330</v>
      </c>
      <c r="C1074">
        <f t="shared" si="48"/>
        <v>1</v>
      </c>
      <c r="D1074" s="7">
        <f t="shared" si="49"/>
        <v>4316.3999999999996</v>
      </c>
      <c r="E1074">
        <f t="shared" si="50"/>
        <v>4316.4010739999994</v>
      </c>
    </row>
    <row r="1075" spans="1:5" x14ac:dyDescent="0.3">
      <c r="A1075" t="s">
        <v>2331</v>
      </c>
      <c r="B1075" t="s">
        <v>2332</v>
      </c>
      <c r="C1075">
        <f t="shared" si="48"/>
        <v>4</v>
      </c>
      <c r="D1075" s="7">
        <f t="shared" si="49"/>
        <v>4270.25</v>
      </c>
      <c r="E1075">
        <f t="shared" si="50"/>
        <v>4270.2510750000001</v>
      </c>
    </row>
    <row r="1076" spans="1:5" x14ac:dyDescent="0.3">
      <c r="A1076" t="s">
        <v>2333</v>
      </c>
      <c r="B1076" t="s">
        <v>2334</v>
      </c>
      <c r="C1076">
        <f t="shared" si="48"/>
        <v>3</v>
      </c>
      <c r="D1076" s="7">
        <f t="shared" si="49"/>
        <v>4216.1000000000004</v>
      </c>
      <c r="E1076">
        <f t="shared" si="50"/>
        <v>4216.1010759999999</v>
      </c>
    </row>
    <row r="1077" spans="1:5" x14ac:dyDescent="0.3">
      <c r="A1077" t="s">
        <v>2335</v>
      </c>
      <c r="B1077" t="s">
        <v>2336</v>
      </c>
      <c r="C1077">
        <f t="shared" si="48"/>
        <v>3</v>
      </c>
      <c r="D1077" s="7">
        <f t="shared" si="49"/>
        <v>4214.25</v>
      </c>
      <c r="E1077">
        <f t="shared" si="50"/>
        <v>4214.2510769999999</v>
      </c>
    </row>
    <row r="1078" spans="1:5" x14ac:dyDescent="0.3">
      <c r="A1078" t="s">
        <v>2337</v>
      </c>
      <c r="B1078" t="s">
        <v>2338</v>
      </c>
      <c r="C1078">
        <f t="shared" si="48"/>
        <v>3</v>
      </c>
      <c r="D1078" s="7">
        <f t="shared" si="49"/>
        <v>4196.5</v>
      </c>
      <c r="E1078">
        <f t="shared" si="50"/>
        <v>4196.5010780000002</v>
      </c>
    </row>
    <row r="1079" spans="1:5" x14ac:dyDescent="0.3">
      <c r="A1079" t="s">
        <v>2339</v>
      </c>
      <c r="B1079" t="s">
        <v>2340</v>
      </c>
      <c r="C1079">
        <f t="shared" si="48"/>
        <v>2</v>
      </c>
      <c r="D1079" s="7">
        <f t="shared" si="49"/>
        <v>4147.3</v>
      </c>
      <c r="E1079">
        <f t="shared" si="50"/>
        <v>4147.3010789999998</v>
      </c>
    </row>
    <row r="1080" spans="1:5" x14ac:dyDescent="0.3">
      <c r="A1080" t="s">
        <v>2341</v>
      </c>
      <c r="B1080" t="s">
        <v>2342</v>
      </c>
      <c r="C1080">
        <f t="shared" si="48"/>
        <v>2</v>
      </c>
      <c r="D1080" s="7">
        <f t="shared" si="49"/>
        <v>4138.2</v>
      </c>
      <c r="E1080">
        <f t="shared" si="50"/>
        <v>4138.2010799999998</v>
      </c>
    </row>
    <row r="1081" spans="1:5" x14ac:dyDescent="0.3">
      <c r="A1081" t="s">
        <v>2343</v>
      </c>
      <c r="B1081" t="s">
        <v>2344</v>
      </c>
      <c r="C1081">
        <f t="shared" si="48"/>
        <v>2</v>
      </c>
      <c r="D1081" s="7">
        <f t="shared" si="49"/>
        <v>4091.5499999999997</v>
      </c>
      <c r="E1081">
        <f t="shared" si="50"/>
        <v>4091.5510809999996</v>
      </c>
    </row>
    <row r="1082" spans="1:5" x14ac:dyDescent="0.3">
      <c r="A1082" t="s">
        <v>2345</v>
      </c>
      <c r="B1082" t="s">
        <v>2346</v>
      </c>
      <c r="C1082">
        <f t="shared" si="48"/>
        <v>1</v>
      </c>
      <c r="D1082" s="7">
        <f t="shared" si="49"/>
        <v>4077.45</v>
      </c>
      <c r="E1082">
        <f t="shared" si="50"/>
        <v>4077.451082</v>
      </c>
    </row>
    <row r="1083" spans="1:5" x14ac:dyDescent="0.3">
      <c r="A1083" t="s">
        <v>2347</v>
      </c>
      <c r="B1083" t="s">
        <v>2348</v>
      </c>
      <c r="C1083">
        <f t="shared" si="48"/>
        <v>5</v>
      </c>
      <c r="D1083" s="7">
        <f t="shared" si="49"/>
        <v>4016.3999999999996</v>
      </c>
      <c r="E1083">
        <f t="shared" si="50"/>
        <v>4016.4010829999997</v>
      </c>
    </row>
    <row r="1084" spans="1:5" x14ac:dyDescent="0.3">
      <c r="A1084" t="s">
        <v>2349</v>
      </c>
      <c r="B1084" t="s">
        <v>2350</v>
      </c>
      <c r="C1084">
        <f t="shared" si="48"/>
        <v>2</v>
      </c>
      <c r="D1084" s="7">
        <f t="shared" si="49"/>
        <v>3998.3999999999996</v>
      </c>
      <c r="E1084">
        <f t="shared" si="50"/>
        <v>3998.4010839999996</v>
      </c>
    </row>
    <row r="1085" spans="1:5" x14ac:dyDescent="0.3">
      <c r="A1085" t="s">
        <v>2351</v>
      </c>
      <c r="B1085" t="s">
        <v>2352</v>
      </c>
      <c r="C1085">
        <f t="shared" si="48"/>
        <v>3</v>
      </c>
      <c r="D1085" s="7">
        <f t="shared" si="49"/>
        <v>3971.45</v>
      </c>
      <c r="E1085">
        <f t="shared" si="50"/>
        <v>3971.4510849999997</v>
      </c>
    </row>
    <row r="1086" spans="1:5" x14ac:dyDescent="0.3">
      <c r="A1086" t="s">
        <v>2353</v>
      </c>
      <c r="B1086" t="s">
        <v>2354</v>
      </c>
      <c r="C1086">
        <f t="shared" si="48"/>
        <v>3</v>
      </c>
      <c r="D1086" s="7">
        <f t="shared" si="49"/>
        <v>3937.2</v>
      </c>
      <c r="E1086">
        <f t="shared" si="50"/>
        <v>3937.201086</v>
      </c>
    </row>
    <row r="1087" spans="1:5" x14ac:dyDescent="0.3">
      <c r="A1087" t="s">
        <v>2355</v>
      </c>
      <c r="B1087" t="s">
        <v>2356</v>
      </c>
      <c r="C1087">
        <f t="shared" si="48"/>
        <v>2</v>
      </c>
      <c r="D1087" s="7">
        <f t="shared" si="49"/>
        <v>3917.2</v>
      </c>
      <c r="E1087">
        <f t="shared" si="50"/>
        <v>3917.2010869999999</v>
      </c>
    </row>
    <row r="1088" spans="1:5" x14ac:dyDescent="0.3">
      <c r="A1088" t="s">
        <v>2357</v>
      </c>
      <c r="B1088" t="s">
        <v>2358</v>
      </c>
      <c r="C1088">
        <f t="shared" si="48"/>
        <v>2</v>
      </c>
      <c r="D1088" s="7">
        <f t="shared" si="49"/>
        <v>3908.3</v>
      </c>
      <c r="E1088">
        <f t="shared" si="50"/>
        <v>3908.3010880000002</v>
      </c>
    </row>
    <row r="1089" spans="1:5" x14ac:dyDescent="0.3">
      <c r="A1089" t="s">
        <v>2359</v>
      </c>
      <c r="B1089" t="s">
        <v>2360</v>
      </c>
      <c r="C1089">
        <f t="shared" si="48"/>
        <v>1</v>
      </c>
      <c r="D1089" s="7">
        <f t="shared" si="49"/>
        <v>3897</v>
      </c>
      <c r="E1089">
        <f t="shared" si="50"/>
        <v>3897.0010889999999</v>
      </c>
    </row>
    <row r="1090" spans="1:5" x14ac:dyDescent="0.3">
      <c r="A1090" t="s">
        <v>2361</v>
      </c>
      <c r="B1090" t="s">
        <v>2362</v>
      </c>
      <c r="C1090">
        <f t="shared" ref="C1090:C1153" si="51">COUNTIF(dCust,A1090)</f>
        <v>2</v>
      </c>
      <c r="D1090" s="7">
        <f t="shared" ref="D1090:D1153" si="52">SUMIFS(dSales,dCust,A1090)</f>
        <v>3896.3</v>
      </c>
      <c r="E1090">
        <f t="shared" ref="E1090:E1153" si="53">D1090+ROW()/1000000</f>
        <v>3896.3010900000004</v>
      </c>
    </row>
    <row r="1091" spans="1:5" x14ac:dyDescent="0.3">
      <c r="A1091" t="s">
        <v>2363</v>
      </c>
      <c r="B1091" t="s">
        <v>2364</v>
      </c>
      <c r="C1091">
        <f t="shared" si="51"/>
        <v>3</v>
      </c>
      <c r="D1091" s="7">
        <f t="shared" si="52"/>
        <v>3695.85</v>
      </c>
      <c r="E1091">
        <f t="shared" si="53"/>
        <v>3695.851091</v>
      </c>
    </row>
    <row r="1092" spans="1:5" x14ac:dyDescent="0.3">
      <c r="A1092" t="s">
        <v>2365</v>
      </c>
      <c r="B1092" t="s">
        <v>2366</v>
      </c>
      <c r="C1092">
        <f t="shared" si="51"/>
        <v>1</v>
      </c>
      <c r="D1092" s="7">
        <f t="shared" si="52"/>
        <v>3678.4</v>
      </c>
      <c r="E1092">
        <f t="shared" si="53"/>
        <v>3678.4010920000001</v>
      </c>
    </row>
    <row r="1093" spans="1:5" x14ac:dyDescent="0.3">
      <c r="A1093" t="s">
        <v>2367</v>
      </c>
      <c r="B1093" t="s">
        <v>2368</v>
      </c>
      <c r="C1093">
        <f t="shared" si="51"/>
        <v>3</v>
      </c>
      <c r="D1093" s="7">
        <f t="shared" si="52"/>
        <v>3673.05</v>
      </c>
      <c r="E1093">
        <f t="shared" si="53"/>
        <v>3673.051093</v>
      </c>
    </row>
    <row r="1094" spans="1:5" x14ac:dyDescent="0.3">
      <c r="A1094" t="s">
        <v>2369</v>
      </c>
      <c r="B1094" t="s">
        <v>2370</v>
      </c>
      <c r="C1094">
        <f t="shared" si="51"/>
        <v>1</v>
      </c>
      <c r="D1094" s="7">
        <f t="shared" si="52"/>
        <v>3597.6</v>
      </c>
      <c r="E1094">
        <f t="shared" si="53"/>
        <v>3597.6010940000001</v>
      </c>
    </row>
    <row r="1095" spans="1:5" x14ac:dyDescent="0.3">
      <c r="A1095" t="s">
        <v>2371</v>
      </c>
      <c r="B1095" t="s">
        <v>2372</v>
      </c>
      <c r="C1095">
        <f t="shared" si="51"/>
        <v>2</v>
      </c>
      <c r="D1095" s="7">
        <f t="shared" si="52"/>
        <v>3597.35</v>
      </c>
      <c r="E1095">
        <f t="shared" si="53"/>
        <v>3597.351095</v>
      </c>
    </row>
    <row r="1096" spans="1:5" x14ac:dyDescent="0.3">
      <c r="A1096" t="s">
        <v>2373</v>
      </c>
      <c r="B1096" t="s">
        <v>2374</v>
      </c>
      <c r="C1096">
        <f t="shared" si="51"/>
        <v>2</v>
      </c>
      <c r="D1096" s="7">
        <f t="shared" si="52"/>
        <v>3563.15</v>
      </c>
      <c r="E1096">
        <f t="shared" si="53"/>
        <v>3563.1510960000001</v>
      </c>
    </row>
    <row r="1097" spans="1:5" x14ac:dyDescent="0.3">
      <c r="A1097" t="s">
        <v>2375</v>
      </c>
      <c r="B1097" t="s">
        <v>2376</v>
      </c>
      <c r="C1097">
        <f t="shared" si="51"/>
        <v>2</v>
      </c>
      <c r="D1097" s="7">
        <f t="shared" si="52"/>
        <v>3508.4</v>
      </c>
      <c r="E1097">
        <f t="shared" si="53"/>
        <v>3508.4010969999999</v>
      </c>
    </row>
    <row r="1098" spans="1:5" x14ac:dyDescent="0.3">
      <c r="A1098" t="s">
        <v>2377</v>
      </c>
      <c r="B1098" t="s">
        <v>2378</v>
      </c>
      <c r="C1098">
        <f t="shared" si="51"/>
        <v>3</v>
      </c>
      <c r="D1098" s="7">
        <f t="shared" si="52"/>
        <v>3507.3</v>
      </c>
      <c r="E1098">
        <f t="shared" si="53"/>
        <v>3507.3010980000004</v>
      </c>
    </row>
    <row r="1099" spans="1:5" x14ac:dyDescent="0.3">
      <c r="A1099" t="s">
        <v>2379</v>
      </c>
      <c r="B1099" t="s">
        <v>2380</v>
      </c>
      <c r="C1099">
        <f t="shared" si="51"/>
        <v>2</v>
      </c>
      <c r="D1099" s="7">
        <f t="shared" si="52"/>
        <v>3507.05</v>
      </c>
      <c r="E1099">
        <f t="shared" si="53"/>
        <v>3507.0510990000002</v>
      </c>
    </row>
    <row r="1100" spans="1:5" x14ac:dyDescent="0.3">
      <c r="A1100" t="s">
        <v>2381</v>
      </c>
      <c r="B1100" t="s">
        <v>2382</v>
      </c>
      <c r="C1100">
        <f t="shared" si="51"/>
        <v>1</v>
      </c>
      <c r="D1100" s="7">
        <f t="shared" si="52"/>
        <v>3499</v>
      </c>
      <c r="E1100">
        <f t="shared" si="53"/>
        <v>3499.0011</v>
      </c>
    </row>
    <row r="1101" spans="1:5" x14ac:dyDescent="0.3">
      <c r="A1101" t="s">
        <v>2383</v>
      </c>
      <c r="B1101" t="s">
        <v>2384</v>
      </c>
      <c r="C1101">
        <f t="shared" si="51"/>
        <v>2</v>
      </c>
      <c r="D1101" s="7">
        <f t="shared" si="52"/>
        <v>3468.15</v>
      </c>
      <c r="E1101">
        <f t="shared" si="53"/>
        <v>3468.1511009999999</v>
      </c>
    </row>
    <row r="1102" spans="1:5" x14ac:dyDescent="0.3">
      <c r="A1102" t="s">
        <v>2385</v>
      </c>
      <c r="B1102" t="s">
        <v>2386</v>
      </c>
      <c r="C1102">
        <f t="shared" si="51"/>
        <v>1</v>
      </c>
      <c r="D1102" s="7">
        <f t="shared" si="52"/>
        <v>3448.5</v>
      </c>
      <c r="E1102">
        <f t="shared" si="53"/>
        <v>3448.5011020000002</v>
      </c>
    </row>
    <row r="1103" spans="1:5" x14ac:dyDescent="0.3">
      <c r="A1103" t="s">
        <v>2387</v>
      </c>
      <c r="B1103" t="s">
        <v>2388</v>
      </c>
      <c r="C1103">
        <f t="shared" si="51"/>
        <v>2</v>
      </c>
      <c r="D1103" s="7">
        <f t="shared" si="52"/>
        <v>3444.25</v>
      </c>
      <c r="E1103">
        <f t="shared" si="53"/>
        <v>3444.2511030000001</v>
      </c>
    </row>
    <row r="1104" spans="1:5" x14ac:dyDescent="0.3">
      <c r="A1104" t="s">
        <v>2389</v>
      </c>
      <c r="B1104" t="s">
        <v>2390</v>
      </c>
      <c r="C1104">
        <f t="shared" si="51"/>
        <v>2</v>
      </c>
      <c r="D1104" s="7">
        <f t="shared" si="52"/>
        <v>3403.2</v>
      </c>
      <c r="E1104">
        <f t="shared" si="53"/>
        <v>3403.2011039999998</v>
      </c>
    </row>
    <row r="1105" spans="1:5" x14ac:dyDescent="0.3">
      <c r="A1105" t="s">
        <v>2391</v>
      </c>
      <c r="B1105" t="s">
        <v>2392</v>
      </c>
      <c r="C1105">
        <f t="shared" si="51"/>
        <v>1</v>
      </c>
      <c r="D1105" s="7">
        <f t="shared" si="52"/>
        <v>3399.15</v>
      </c>
      <c r="E1105">
        <f t="shared" si="53"/>
        <v>3399.1511049999999</v>
      </c>
    </row>
    <row r="1106" spans="1:5" x14ac:dyDescent="0.3">
      <c r="A1106" t="s">
        <v>2393</v>
      </c>
      <c r="B1106" t="s">
        <v>2394</v>
      </c>
      <c r="C1106">
        <f t="shared" si="51"/>
        <v>1</v>
      </c>
      <c r="D1106" s="7">
        <f t="shared" si="52"/>
        <v>3399.15</v>
      </c>
      <c r="E1106">
        <f t="shared" si="53"/>
        <v>3399.1511060000003</v>
      </c>
    </row>
    <row r="1107" spans="1:5" x14ac:dyDescent="0.3">
      <c r="A1107" t="s">
        <v>2395</v>
      </c>
      <c r="B1107" t="s">
        <v>2396</v>
      </c>
      <c r="C1107">
        <f t="shared" si="51"/>
        <v>2</v>
      </c>
      <c r="D1107" s="7">
        <f t="shared" si="52"/>
        <v>3398</v>
      </c>
      <c r="E1107">
        <f t="shared" si="53"/>
        <v>3398.001107</v>
      </c>
    </row>
    <row r="1108" spans="1:5" x14ac:dyDescent="0.3">
      <c r="A1108" t="s">
        <v>2397</v>
      </c>
      <c r="B1108" t="s">
        <v>2398</v>
      </c>
      <c r="C1108">
        <f t="shared" si="51"/>
        <v>1</v>
      </c>
      <c r="D1108" s="7">
        <f t="shared" si="52"/>
        <v>3371.25</v>
      </c>
      <c r="E1108">
        <f t="shared" si="53"/>
        <v>3371.2511079999999</v>
      </c>
    </row>
    <row r="1109" spans="1:5" x14ac:dyDescent="0.3">
      <c r="A1109" t="s">
        <v>2399</v>
      </c>
      <c r="B1109" t="s">
        <v>2400</v>
      </c>
      <c r="C1109">
        <f t="shared" si="51"/>
        <v>2</v>
      </c>
      <c r="D1109" s="7">
        <f t="shared" si="52"/>
        <v>3196.8</v>
      </c>
      <c r="E1109">
        <f t="shared" si="53"/>
        <v>3196.801109</v>
      </c>
    </row>
    <row r="1110" spans="1:5" x14ac:dyDescent="0.3">
      <c r="A1110" t="s">
        <v>2401</v>
      </c>
      <c r="B1110" t="s">
        <v>2402</v>
      </c>
      <c r="C1110">
        <f t="shared" si="51"/>
        <v>1</v>
      </c>
      <c r="D1110" s="7">
        <f t="shared" si="52"/>
        <v>3196</v>
      </c>
      <c r="E1110">
        <f t="shared" si="53"/>
        <v>3196.0011100000002</v>
      </c>
    </row>
    <row r="1111" spans="1:5" x14ac:dyDescent="0.3">
      <c r="A1111" t="s">
        <v>2403</v>
      </c>
      <c r="B1111" t="s">
        <v>2404</v>
      </c>
      <c r="C1111">
        <f t="shared" si="51"/>
        <v>1</v>
      </c>
      <c r="D1111" s="7">
        <f t="shared" si="52"/>
        <v>3149.1</v>
      </c>
      <c r="E1111">
        <f t="shared" si="53"/>
        <v>3149.1011109999999</v>
      </c>
    </row>
    <row r="1112" spans="1:5" x14ac:dyDescent="0.3">
      <c r="A1112" t="s">
        <v>2405</v>
      </c>
      <c r="B1112" t="s">
        <v>2406</v>
      </c>
      <c r="C1112">
        <f t="shared" si="51"/>
        <v>3</v>
      </c>
      <c r="D1112" s="7">
        <f t="shared" si="52"/>
        <v>3138.2000000000003</v>
      </c>
      <c r="E1112">
        <f t="shared" si="53"/>
        <v>3138.2011120000002</v>
      </c>
    </row>
    <row r="1113" spans="1:5" x14ac:dyDescent="0.3">
      <c r="A1113" t="s">
        <v>2407</v>
      </c>
      <c r="B1113" t="s">
        <v>2408</v>
      </c>
      <c r="C1113">
        <f t="shared" si="51"/>
        <v>2</v>
      </c>
      <c r="D1113" s="7">
        <f t="shared" si="52"/>
        <v>3123.2</v>
      </c>
      <c r="E1113">
        <f t="shared" si="53"/>
        <v>3123.2011129999996</v>
      </c>
    </row>
    <row r="1114" spans="1:5" x14ac:dyDescent="0.3">
      <c r="A1114" t="s">
        <v>2409</v>
      </c>
      <c r="B1114" t="s">
        <v>2410</v>
      </c>
      <c r="C1114">
        <f t="shared" si="51"/>
        <v>2</v>
      </c>
      <c r="D1114" s="7">
        <f t="shared" si="52"/>
        <v>3117.1</v>
      </c>
      <c r="E1114">
        <f t="shared" si="53"/>
        <v>3117.1011140000001</v>
      </c>
    </row>
    <row r="1115" spans="1:5" x14ac:dyDescent="0.3">
      <c r="A1115" t="s">
        <v>2411</v>
      </c>
      <c r="B1115" t="s">
        <v>2412</v>
      </c>
      <c r="C1115">
        <f t="shared" si="51"/>
        <v>1</v>
      </c>
      <c r="D1115" s="7">
        <f t="shared" si="52"/>
        <v>3058.3</v>
      </c>
      <c r="E1115">
        <f t="shared" si="53"/>
        <v>3058.3011150000002</v>
      </c>
    </row>
    <row r="1116" spans="1:5" x14ac:dyDescent="0.3">
      <c r="A1116" t="s">
        <v>2413</v>
      </c>
      <c r="B1116" t="s">
        <v>2414</v>
      </c>
      <c r="C1116">
        <f t="shared" si="51"/>
        <v>1</v>
      </c>
      <c r="D1116" s="7">
        <f t="shared" si="52"/>
        <v>3056.6</v>
      </c>
      <c r="E1116">
        <f t="shared" si="53"/>
        <v>3056.6011159999998</v>
      </c>
    </row>
    <row r="1117" spans="1:5" x14ac:dyDescent="0.3">
      <c r="A1117" t="s">
        <v>2415</v>
      </c>
      <c r="B1117" t="s">
        <v>2416</v>
      </c>
      <c r="C1117">
        <f t="shared" si="51"/>
        <v>1</v>
      </c>
      <c r="D1117" s="7">
        <f t="shared" si="52"/>
        <v>2997</v>
      </c>
      <c r="E1117">
        <f t="shared" si="53"/>
        <v>2997.0011169999998</v>
      </c>
    </row>
    <row r="1118" spans="1:5" x14ac:dyDescent="0.3">
      <c r="A1118" t="s">
        <v>2417</v>
      </c>
      <c r="B1118" t="s">
        <v>2418</v>
      </c>
      <c r="C1118">
        <f t="shared" si="51"/>
        <v>1</v>
      </c>
      <c r="D1118" s="7">
        <f t="shared" si="52"/>
        <v>2996.25</v>
      </c>
      <c r="E1118">
        <f t="shared" si="53"/>
        <v>2996.2511180000001</v>
      </c>
    </row>
    <row r="1119" spans="1:5" x14ac:dyDescent="0.3">
      <c r="A1119" t="s">
        <v>2419</v>
      </c>
      <c r="B1119" t="s">
        <v>2420</v>
      </c>
      <c r="C1119">
        <f t="shared" si="51"/>
        <v>2</v>
      </c>
      <c r="D1119" s="7">
        <f t="shared" si="52"/>
        <v>2923.15</v>
      </c>
      <c r="E1119">
        <f t="shared" si="53"/>
        <v>2923.1511190000001</v>
      </c>
    </row>
    <row r="1120" spans="1:5" x14ac:dyDescent="0.3">
      <c r="A1120" t="s">
        <v>2421</v>
      </c>
      <c r="B1120" t="s">
        <v>2422</v>
      </c>
      <c r="C1120">
        <f t="shared" si="51"/>
        <v>4</v>
      </c>
      <c r="D1120" s="7">
        <f t="shared" si="52"/>
        <v>2896.45</v>
      </c>
      <c r="E1120">
        <f t="shared" si="53"/>
        <v>2896.4511199999997</v>
      </c>
    </row>
    <row r="1121" spans="1:5" x14ac:dyDescent="0.3">
      <c r="A1121" t="s">
        <v>2423</v>
      </c>
      <c r="B1121" t="s">
        <v>2424</v>
      </c>
      <c r="C1121">
        <f t="shared" si="51"/>
        <v>1</v>
      </c>
      <c r="D1121" s="7">
        <f t="shared" si="52"/>
        <v>2878.2</v>
      </c>
      <c r="E1121">
        <f t="shared" si="53"/>
        <v>2878.2011209999996</v>
      </c>
    </row>
    <row r="1122" spans="1:5" x14ac:dyDescent="0.3">
      <c r="A1122" t="s">
        <v>2425</v>
      </c>
      <c r="B1122" t="s">
        <v>2426</v>
      </c>
      <c r="C1122">
        <f t="shared" si="51"/>
        <v>1</v>
      </c>
      <c r="D1122" s="7">
        <f t="shared" si="52"/>
        <v>2849.05</v>
      </c>
      <c r="E1122">
        <f t="shared" si="53"/>
        <v>2849.0511220000003</v>
      </c>
    </row>
    <row r="1123" spans="1:5" x14ac:dyDescent="0.3">
      <c r="A1123" t="s">
        <v>2427</v>
      </c>
      <c r="B1123" t="s">
        <v>2428</v>
      </c>
      <c r="C1123">
        <f t="shared" si="51"/>
        <v>1</v>
      </c>
      <c r="D1123" s="7">
        <f t="shared" si="52"/>
        <v>2799</v>
      </c>
      <c r="E1123">
        <f t="shared" si="53"/>
        <v>2799.001123</v>
      </c>
    </row>
    <row r="1124" spans="1:5" x14ac:dyDescent="0.3">
      <c r="A1124" t="s">
        <v>2429</v>
      </c>
      <c r="B1124" t="s">
        <v>2430</v>
      </c>
      <c r="C1124">
        <f t="shared" si="51"/>
        <v>3</v>
      </c>
      <c r="D1124" s="7">
        <f t="shared" si="52"/>
        <v>2616.3000000000002</v>
      </c>
      <c r="E1124">
        <f t="shared" si="53"/>
        <v>2616.3011240000001</v>
      </c>
    </row>
    <row r="1125" spans="1:5" x14ac:dyDescent="0.3">
      <c r="A1125" t="s">
        <v>2431</v>
      </c>
      <c r="B1125" t="s">
        <v>2432</v>
      </c>
      <c r="C1125">
        <f t="shared" si="51"/>
        <v>1</v>
      </c>
      <c r="D1125" s="7">
        <f t="shared" si="52"/>
        <v>2598</v>
      </c>
      <c r="E1125">
        <f t="shared" si="53"/>
        <v>2598.0011249999998</v>
      </c>
    </row>
    <row r="1126" spans="1:5" x14ac:dyDescent="0.3">
      <c r="A1126" t="s">
        <v>2433</v>
      </c>
      <c r="B1126" t="s">
        <v>2434</v>
      </c>
      <c r="C1126">
        <f t="shared" si="51"/>
        <v>2</v>
      </c>
      <c r="D1126" s="7">
        <f t="shared" si="52"/>
        <v>2519.1</v>
      </c>
      <c r="E1126">
        <f t="shared" si="53"/>
        <v>2519.101126</v>
      </c>
    </row>
    <row r="1127" spans="1:5" x14ac:dyDescent="0.3">
      <c r="A1127" t="s">
        <v>2435</v>
      </c>
      <c r="B1127" t="s">
        <v>2436</v>
      </c>
      <c r="C1127">
        <f t="shared" si="51"/>
        <v>1</v>
      </c>
      <c r="D1127" s="7">
        <f t="shared" si="52"/>
        <v>2499</v>
      </c>
      <c r="E1127">
        <f t="shared" si="53"/>
        <v>2499.001127</v>
      </c>
    </row>
    <row r="1128" spans="1:5" x14ac:dyDescent="0.3">
      <c r="A1128" t="s">
        <v>2437</v>
      </c>
      <c r="B1128" t="s">
        <v>2438</v>
      </c>
      <c r="C1128">
        <f t="shared" si="51"/>
        <v>2</v>
      </c>
      <c r="D1128" s="7">
        <f t="shared" si="52"/>
        <v>2453.0500000000002</v>
      </c>
      <c r="E1128">
        <f t="shared" si="53"/>
        <v>2453.0511280000001</v>
      </c>
    </row>
    <row r="1129" spans="1:5" x14ac:dyDescent="0.3">
      <c r="A1129" t="s">
        <v>2439</v>
      </c>
      <c r="B1129" t="s">
        <v>2440</v>
      </c>
      <c r="C1129">
        <f t="shared" si="51"/>
        <v>3</v>
      </c>
      <c r="D1129" s="7">
        <f t="shared" si="52"/>
        <v>2398</v>
      </c>
      <c r="E1129">
        <f t="shared" si="53"/>
        <v>2398.0011290000002</v>
      </c>
    </row>
    <row r="1130" spans="1:5" x14ac:dyDescent="0.3">
      <c r="A1130" t="s">
        <v>2441</v>
      </c>
      <c r="B1130" t="s">
        <v>2442</v>
      </c>
      <c r="C1130">
        <f t="shared" si="51"/>
        <v>1</v>
      </c>
      <c r="D1130" s="7">
        <f t="shared" si="52"/>
        <v>2374.0500000000002</v>
      </c>
      <c r="E1130">
        <f t="shared" si="53"/>
        <v>2374.0511300000003</v>
      </c>
    </row>
    <row r="1131" spans="1:5" x14ac:dyDescent="0.3">
      <c r="A1131" t="s">
        <v>2443</v>
      </c>
      <c r="B1131" t="s">
        <v>2444</v>
      </c>
      <c r="C1131">
        <f t="shared" si="51"/>
        <v>1</v>
      </c>
      <c r="D1131" s="7">
        <f t="shared" si="52"/>
        <v>2299</v>
      </c>
      <c r="E1131">
        <f t="shared" si="53"/>
        <v>2299.001131</v>
      </c>
    </row>
    <row r="1132" spans="1:5" x14ac:dyDescent="0.3">
      <c r="A1132" t="s">
        <v>2445</v>
      </c>
      <c r="B1132" t="s">
        <v>2446</v>
      </c>
      <c r="C1132">
        <f t="shared" si="51"/>
        <v>1</v>
      </c>
      <c r="D1132" s="7">
        <f t="shared" si="52"/>
        <v>2277.15</v>
      </c>
      <c r="E1132">
        <f t="shared" si="53"/>
        <v>2277.151132</v>
      </c>
    </row>
    <row r="1133" spans="1:5" x14ac:dyDescent="0.3">
      <c r="A1133" t="s">
        <v>2447</v>
      </c>
      <c r="B1133" t="s">
        <v>2448</v>
      </c>
      <c r="C1133">
        <f t="shared" si="51"/>
        <v>1</v>
      </c>
      <c r="D1133" s="7">
        <f t="shared" si="52"/>
        <v>2249.1</v>
      </c>
      <c r="E1133">
        <f t="shared" si="53"/>
        <v>2249.1011330000001</v>
      </c>
    </row>
    <row r="1134" spans="1:5" x14ac:dyDescent="0.3">
      <c r="A1134" t="s">
        <v>2449</v>
      </c>
      <c r="B1134" t="s">
        <v>2450</v>
      </c>
      <c r="C1134">
        <f t="shared" si="51"/>
        <v>2</v>
      </c>
      <c r="D1134" s="7">
        <f t="shared" si="52"/>
        <v>2249.1</v>
      </c>
      <c r="E1134">
        <f t="shared" si="53"/>
        <v>2249.101134</v>
      </c>
    </row>
    <row r="1135" spans="1:5" x14ac:dyDescent="0.3">
      <c r="A1135" t="s">
        <v>2451</v>
      </c>
      <c r="B1135" t="s">
        <v>2452</v>
      </c>
      <c r="C1135">
        <f t="shared" si="51"/>
        <v>2</v>
      </c>
      <c r="D1135" s="7">
        <f t="shared" si="52"/>
        <v>2197.25</v>
      </c>
      <c r="E1135">
        <f t="shared" si="53"/>
        <v>2197.251135</v>
      </c>
    </row>
    <row r="1136" spans="1:5" x14ac:dyDescent="0.3">
      <c r="A1136" t="s">
        <v>2453</v>
      </c>
      <c r="B1136" t="s">
        <v>2454</v>
      </c>
      <c r="C1136">
        <f t="shared" si="51"/>
        <v>1</v>
      </c>
      <c r="D1136" s="7">
        <f t="shared" si="52"/>
        <v>2157.3000000000002</v>
      </c>
      <c r="E1136">
        <f t="shared" si="53"/>
        <v>2157.301136</v>
      </c>
    </row>
    <row r="1137" spans="1:5" x14ac:dyDescent="0.3">
      <c r="A1137" t="s">
        <v>2455</v>
      </c>
      <c r="B1137" t="s">
        <v>2456</v>
      </c>
      <c r="C1137">
        <f t="shared" si="51"/>
        <v>1</v>
      </c>
      <c r="D1137" s="7">
        <f t="shared" si="52"/>
        <v>2156.4</v>
      </c>
      <c r="E1137">
        <f t="shared" si="53"/>
        <v>2156.4011370000003</v>
      </c>
    </row>
    <row r="1138" spans="1:5" x14ac:dyDescent="0.3">
      <c r="A1138" t="s">
        <v>2457</v>
      </c>
      <c r="B1138" t="s">
        <v>2458</v>
      </c>
      <c r="C1138">
        <f t="shared" si="51"/>
        <v>2</v>
      </c>
      <c r="D1138" s="7">
        <f t="shared" si="52"/>
        <v>2156.4</v>
      </c>
      <c r="E1138">
        <f t="shared" si="53"/>
        <v>2156.4011380000002</v>
      </c>
    </row>
    <row r="1139" spans="1:5" x14ac:dyDescent="0.3">
      <c r="A1139" t="s">
        <v>2459</v>
      </c>
      <c r="B1139" t="s">
        <v>2460</v>
      </c>
      <c r="C1139">
        <f t="shared" si="51"/>
        <v>1</v>
      </c>
      <c r="D1139" s="7">
        <f t="shared" si="52"/>
        <v>2099.25</v>
      </c>
      <c r="E1139">
        <f t="shared" si="53"/>
        <v>2099.251139</v>
      </c>
    </row>
    <row r="1140" spans="1:5" x14ac:dyDescent="0.3">
      <c r="A1140" t="s">
        <v>2461</v>
      </c>
      <c r="B1140" t="s">
        <v>2462</v>
      </c>
      <c r="C1140">
        <f t="shared" si="51"/>
        <v>1</v>
      </c>
      <c r="D1140" s="7">
        <f t="shared" si="52"/>
        <v>2069.1</v>
      </c>
      <c r="E1140">
        <f t="shared" si="53"/>
        <v>2069.1011399999998</v>
      </c>
    </row>
    <row r="1141" spans="1:5" x14ac:dyDescent="0.3">
      <c r="A1141" t="s">
        <v>2463</v>
      </c>
      <c r="B1141" t="s">
        <v>2464</v>
      </c>
      <c r="C1141">
        <f t="shared" si="51"/>
        <v>2</v>
      </c>
      <c r="D1141" s="7">
        <f t="shared" si="52"/>
        <v>2036.6</v>
      </c>
      <c r="E1141">
        <f t="shared" si="53"/>
        <v>2036.6011409999999</v>
      </c>
    </row>
    <row r="1142" spans="1:5" x14ac:dyDescent="0.3">
      <c r="A1142" t="s">
        <v>2465</v>
      </c>
      <c r="B1142" t="s">
        <v>2466</v>
      </c>
      <c r="C1142">
        <f t="shared" si="51"/>
        <v>1</v>
      </c>
      <c r="D1142" s="7">
        <f t="shared" si="52"/>
        <v>2022.75</v>
      </c>
      <c r="E1142">
        <f t="shared" si="53"/>
        <v>2022.7511420000001</v>
      </c>
    </row>
    <row r="1143" spans="1:5" x14ac:dyDescent="0.3">
      <c r="A1143" t="s">
        <v>2467</v>
      </c>
      <c r="B1143" t="s">
        <v>2468</v>
      </c>
      <c r="C1143">
        <f t="shared" si="51"/>
        <v>1</v>
      </c>
      <c r="D1143" s="7">
        <f t="shared" si="52"/>
        <v>1999</v>
      </c>
      <c r="E1143">
        <f t="shared" si="53"/>
        <v>1999.001143</v>
      </c>
    </row>
    <row r="1144" spans="1:5" x14ac:dyDescent="0.3">
      <c r="A1144" t="s">
        <v>2469</v>
      </c>
      <c r="B1144" t="s">
        <v>2470</v>
      </c>
      <c r="C1144">
        <f t="shared" si="51"/>
        <v>1</v>
      </c>
      <c r="D1144" s="7">
        <f t="shared" si="52"/>
        <v>1999</v>
      </c>
      <c r="E1144">
        <f t="shared" si="53"/>
        <v>1999.0011440000001</v>
      </c>
    </row>
    <row r="1145" spans="1:5" x14ac:dyDescent="0.3">
      <c r="A1145" t="s">
        <v>2471</v>
      </c>
      <c r="B1145" t="s">
        <v>2472</v>
      </c>
      <c r="C1145">
        <f t="shared" si="51"/>
        <v>1</v>
      </c>
      <c r="D1145" s="7">
        <f t="shared" si="52"/>
        <v>1954.15</v>
      </c>
      <c r="E1145">
        <f t="shared" si="53"/>
        <v>1954.151145</v>
      </c>
    </row>
    <row r="1146" spans="1:5" x14ac:dyDescent="0.3">
      <c r="A1146" t="s">
        <v>2473</v>
      </c>
      <c r="B1146" t="s">
        <v>2474</v>
      </c>
      <c r="C1146">
        <f t="shared" si="51"/>
        <v>1</v>
      </c>
      <c r="D1146" s="7">
        <f t="shared" si="52"/>
        <v>1954.15</v>
      </c>
      <c r="E1146">
        <f t="shared" si="53"/>
        <v>1954.1511460000002</v>
      </c>
    </row>
    <row r="1147" spans="1:5" x14ac:dyDescent="0.3">
      <c r="A1147" t="s">
        <v>2475</v>
      </c>
      <c r="B1147" t="s">
        <v>2476</v>
      </c>
      <c r="C1147">
        <f t="shared" si="51"/>
        <v>1</v>
      </c>
      <c r="D1147" s="7">
        <f t="shared" si="52"/>
        <v>1898.1</v>
      </c>
      <c r="E1147">
        <f t="shared" si="53"/>
        <v>1898.1011469999999</v>
      </c>
    </row>
    <row r="1148" spans="1:5" x14ac:dyDescent="0.3">
      <c r="A1148" t="s">
        <v>2477</v>
      </c>
      <c r="B1148" t="s">
        <v>2478</v>
      </c>
      <c r="C1148">
        <f t="shared" si="51"/>
        <v>3</v>
      </c>
      <c r="D1148" s="7">
        <f t="shared" si="52"/>
        <v>1848.3000000000002</v>
      </c>
      <c r="E1148">
        <f t="shared" si="53"/>
        <v>1848.3011480000002</v>
      </c>
    </row>
    <row r="1149" spans="1:5" x14ac:dyDescent="0.3">
      <c r="A1149" t="s">
        <v>2479</v>
      </c>
      <c r="B1149" t="s">
        <v>2480</v>
      </c>
      <c r="C1149">
        <f t="shared" si="51"/>
        <v>3</v>
      </c>
      <c r="D1149" s="7">
        <f t="shared" si="52"/>
        <v>1848.15</v>
      </c>
      <c r="E1149">
        <f t="shared" si="53"/>
        <v>1848.151149</v>
      </c>
    </row>
    <row r="1150" spans="1:5" x14ac:dyDescent="0.3">
      <c r="A1150" t="s">
        <v>2481</v>
      </c>
      <c r="B1150" t="s">
        <v>2482</v>
      </c>
      <c r="C1150">
        <f t="shared" si="51"/>
        <v>1</v>
      </c>
      <c r="D1150" s="7">
        <f t="shared" si="52"/>
        <v>1799.1</v>
      </c>
      <c r="E1150">
        <f t="shared" si="53"/>
        <v>1799.10115</v>
      </c>
    </row>
    <row r="1151" spans="1:5" x14ac:dyDescent="0.3">
      <c r="A1151" t="s">
        <v>2483</v>
      </c>
      <c r="B1151" t="s">
        <v>2484</v>
      </c>
      <c r="C1151">
        <f t="shared" si="51"/>
        <v>2</v>
      </c>
      <c r="D1151" s="7">
        <f t="shared" si="52"/>
        <v>1799.1</v>
      </c>
      <c r="E1151">
        <f t="shared" si="53"/>
        <v>1799.1011509999998</v>
      </c>
    </row>
    <row r="1152" spans="1:5" x14ac:dyDescent="0.3">
      <c r="A1152" t="s">
        <v>2485</v>
      </c>
      <c r="B1152" t="s">
        <v>2486</v>
      </c>
      <c r="C1152">
        <f t="shared" si="51"/>
        <v>2</v>
      </c>
      <c r="D1152" s="7">
        <f t="shared" si="52"/>
        <v>1708.1</v>
      </c>
      <c r="E1152">
        <f t="shared" si="53"/>
        <v>1708.101152</v>
      </c>
    </row>
    <row r="1153" spans="1:5" x14ac:dyDescent="0.3">
      <c r="A1153" t="s">
        <v>2487</v>
      </c>
      <c r="B1153" t="s">
        <v>2488</v>
      </c>
      <c r="C1153">
        <f t="shared" si="51"/>
        <v>1</v>
      </c>
      <c r="D1153" s="7">
        <f t="shared" si="52"/>
        <v>1619.1</v>
      </c>
      <c r="E1153">
        <f t="shared" si="53"/>
        <v>1619.1011529999998</v>
      </c>
    </row>
    <row r="1154" spans="1:5" x14ac:dyDescent="0.3">
      <c r="A1154" t="s">
        <v>2489</v>
      </c>
      <c r="B1154" t="s">
        <v>2490</v>
      </c>
      <c r="C1154">
        <f t="shared" ref="C1154:C1183" si="54">COUNTIF(dCust,A1154)</f>
        <v>3</v>
      </c>
      <c r="D1154" s="7">
        <f t="shared" ref="D1154:D1183" si="55">SUMIFS(dSales,dCust,A1154)</f>
        <v>1617.3000000000002</v>
      </c>
      <c r="E1154">
        <f t="shared" ref="E1154:E1183" si="56">D1154+ROW()/1000000</f>
        <v>1617.3011540000002</v>
      </c>
    </row>
    <row r="1155" spans="1:5" x14ac:dyDescent="0.3">
      <c r="A1155" t="s">
        <v>2491</v>
      </c>
      <c r="B1155" t="s">
        <v>2492</v>
      </c>
      <c r="C1155">
        <f t="shared" si="54"/>
        <v>1</v>
      </c>
      <c r="D1155" s="7">
        <f t="shared" si="55"/>
        <v>1617.3</v>
      </c>
      <c r="E1155">
        <f t="shared" si="56"/>
        <v>1617.3011549999999</v>
      </c>
    </row>
    <row r="1156" spans="1:5" x14ac:dyDescent="0.3">
      <c r="A1156" t="s">
        <v>2493</v>
      </c>
      <c r="B1156" t="s">
        <v>2494</v>
      </c>
      <c r="C1156">
        <f t="shared" si="54"/>
        <v>2</v>
      </c>
      <c r="D1156" s="7">
        <f t="shared" si="55"/>
        <v>1599</v>
      </c>
      <c r="E1156">
        <f t="shared" si="56"/>
        <v>1599.001156</v>
      </c>
    </row>
    <row r="1157" spans="1:5" x14ac:dyDescent="0.3">
      <c r="A1157" t="s">
        <v>2495</v>
      </c>
      <c r="B1157" t="s">
        <v>2496</v>
      </c>
      <c r="C1157">
        <f t="shared" si="54"/>
        <v>1</v>
      </c>
      <c r="D1157" s="7">
        <f t="shared" si="55"/>
        <v>1598</v>
      </c>
      <c r="E1157">
        <f t="shared" si="56"/>
        <v>1598.0011569999999</v>
      </c>
    </row>
    <row r="1158" spans="1:5" x14ac:dyDescent="0.3">
      <c r="A1158" t="s">
        <v>2497</v>
      </c>
      <c r="B1158" t="s">
        <v>2498</v>
      </c>
      <c r="C1158">
        <f t="shared" si="54"/>
        <v>1</v>
      </c>
      <c r="D1158" s="7">
        <f t="shared" si="55"/>
        <v>1528.3</v>
      </c>
      <c r="E1158">
        <f t="shared" si="56"/>
        <v>1528.301158</v>
      </c>
    </row>
    <row r="1159" spans="1:5" x14ac:dyDescent="0.3">
      <c r="A1159" t="s">
        <v>2499</v>
      </c>
      <c r="B1159" t="s">
        <v>2500</v>
      </c>
      <c r="C1159">
        <f t="shared" si="54"/>
        <v>2</v>
      </c>
      <c r="D1159" s="7">
        <f t="shared" si="55"/>
        <v>1528.3</v>
      </c>
      <c r="E1159">
        <f t="shared" si="56"/>
        <v>1528.3011589999999</v>
      </c>
    </row>
    <row r="1160" spans="1:5" x14ac:dyDescent="0.3">
      <c r="A1160" t="s">
        <v>2501</v>
      </c>
      <c r="B1160" t="s">
        <v>2502</v>
      </c>
      <c r="C1160">
        <f t="shared" si="54"/>
        <v>2</v>
      </c>
      <c r="D1160" s="7">
        <f t="shared" si="55"/>
        <v>1519.05</v>
      </c>
      <c r="E1160">
        <f t="shared" si="56"/>
        <v>1519.05116</v>
      </c>
    </row>
    <row r="1161" spans="1:5" x14ac:dyDescent="0.3">
      <c r="A1161" t="s">
        <v>2503</v>
      </c>
      <c r="B1161" t="s">
        <v>2504</v>
      </c>
      <c r="C1161">
        <f t="shared" si="54"/>
        <v>2</v>
      </c>
      <c r="D1161" s="7">
        <f t="shared" si="55"/>
        <v>1519.05</v>
      </c>
      <c r="E1161">
        <f t="shared" si="56"/>
        <v>1519.0511609999999</v>
      </c>
    </row>
    <row r="1162" spans="1:5" x14ac:dyDescent="0.3">
      <c r="A1162" t="s">
        <v>2505</v>
      </c>
      <c r="B1162" t="s">
        <v>2506</v>
      </c>
      <c r="C1162">
        <f t="shared" si="54"/>
        <v>1</v>
      </c>
      <c r="D1162" s="7">
        <f t="shared" si="55"/>
        <v>1519.05</v>
      </c>
      <c r="E1162">
        <f t="shared" si="56"/>
        <v>1519.051162</v>
      </c>
    </row>
    <row r="1163" spans="1:5" x14ac:dyDescent="0.3">
      <c r="A1163" t="s">
        <v>2507</v>
      </c>
      <c r="B1163" t="s">
        <v>2508</v>
      </c>
      <c r="C1163">
        <f t="shared" si="54"/>
        <v>1</v>
      </c>
      <c r="D1163" s="7">
        <f t="shared" si="55"/>
        <v>1518.1</v>
      </c>
      <c r="E1163">
        <f t="shared" si="56"/>
        <v>1518.1011629999998</v>
      </c>
    </row>
    <row r="1164" spans="1:5" x14ac:dyDescent="0.3">
      <c r="A1164" t="s">
        <v>2509</v>
      </c>
      <c r="B1164" t="s">
        <v>2510</v>
      </c>
      <c r="C1164">
        <f t="shared" si="54"/>
        <v>1</v>
      </c>
      <c r="D1164" s="7">
        <f t="shared" si="55"/>
        <v>1499</v>
      </c>
      <c r="E1164">
        <f t="shared" si="56"/>
        <v>1499.001164</v>
      </c>
    </row>
    <row r="1165" spans="1:5" x14ac:dyDescent="0.3">
      <c r="A1165" t="s">
        <v>2511</v>
      </c>
      <c r="B1165" t="s">
        <v>2512</v>
      </c>
      <c r="C1165">
        <f t="shared" si="54"/>
        <v>1</v>
      </c>
      <c r="D1165" s="7">
        <f t="shared" si="55"/>
        <v>1439.1</v>
      </c>
      <c r="E1165">
        <f t="shared" si="56"/>
        <v>1439.1011649999998</v>
      </c>
    </row>
    <row r="1166" spans="1:5" x14ac:dyDescent="0.3">
      <c r="A1166" t="s">
        <v>2513</v>
      </c>
      <c r="B1166" t="s">
        <v>2514</v>
      </c>
      <c r="C1166">
        <f t="shared" si="54"/>
        <v>1</v>
      </c>
      <c r="D1166" s="7">
        <f t="shared" si="55"/>
        <v>1438.2</v>
      </c>
      <c r="E1166">
        <f t="shared" si="56"/>
        <v>1438.2011660000001</v>
      </c>
    </row>
    <row r="1167" spans="1:5" x14ac:dyDescent="0.3">
      <c r="A1167" t="s">
        <v>2515</v>
      </c>
      <c r="B1167" t="s">
        <v>2516</v>
      </c>
      <c r="C1167">
        <f t="shared" si="54"/>
        <v>1</v>
      </c>
      <c r="D1167" s="7">
        <f t="shared" si="55"/>
        <v>1437.6</v>
      </c>
      <c r="E1167">
        <f t="shared" si="56"/>
        <v>1437.6011669999998</v>
      </c>
    </row>
    <row r="1168" spans="1:5" x14ac:dyDescent="0.3">
      <c r="A1168" t="s">
        <v>2517</v>
      </c>
      <c r="B1168" t="s">
        <v>2518</v>
      </c>
      <c r="C1168">
        <f t="shared" si="54"/>
        <v>1</v>
      </c>
      <c r="D1168" s="7">
        <f t="shared" si="55"/>
        <v>1199</v>
      </c>
      <c r="E1168">
        <f t="shared" si="56"/>
        <v>1199.001168</v>
      </c>
    </row>
    <row r="1169" spans="1:5" x14ac:dyDescent="0.3">
      <c r="A1169" t="s">
        <v>2519</v>
      </c>
      <c r="B1169" t="s">
        <v>2520</v>
      </c>
      <c r="C1169">
        <f t="shared" si="54"/>
        <v>3</v>
      </c>
      <c r="D1169" s="7">
        <f t="shared" si="55"/>
        <v>1124.25</v>
      </c>
      <c r="E1169">
        <f t="shared" si="56"/>
        <v>1124.2511689999999</v>
      </c>
    </row>
    <row r="1170" spans="1:5" x14ac:dyDescent="0.3">
      <c r="A1170" t="s">
        <v>2521</v>
      </c>
      <c r="B1170" t="s">
        <v>2522</v>
      </c>
      <c r="C1170">
        <f t="shared" si="54"/>
        <v>1</v>
      </c>
      <c r="D1170" s="7">
        <f t="shared" si="55"/>
        <v>1104.1500000000001</v>
      </c>
      <c r="E1170">
        <f t="shared" si="56"/>
        <v>1104.1511700000001</v>
      </c>
    </row>
    <row r="1171" spans="1:5" x14ac:dyDescent="0.3">
      <c r="A1171" t="s">
        <v>2523</v>
      </c>
      <c r="B1171" t="s">
        <v>2524</v>
      </c>
      <c r="C1171">
        <f t="shared" si="54"/>
        <v>1</v>
      </c>
      <c r="D1171" s="7">
        <f t="shared" si="55"/>
        <v>1104.1500000000001</v>
      </c>
      <c r="E1171">
        <f t="shared" si="56"/>
        <v>1104.1511710000002</v>
      </c>
    </row>
    <row r="1172" spans="1:5" x14ac:dyDescent="0.3">
      <c r="A1172" t="s">
        <v>2525</v>
      </c>
      <c r="B1172" t="s">
        <v>2526</v>
      </c>
      <c r="C1172">
        <f t="shared" si="54"/>
        <v>1</v>
      </c>
      <c r="D1172" s="7">
        <f t="shared" si="55"/>
        <v>1078.2</v>
      </c>
      <c r="E1172">
        <f t="shared" si="56"/>
        <v>1078.201172</v>
      </c>
    </row>
    <row r="1173" spans="1:5" x14ac:dyDescent="0.3">
      <c r="A1173" t="s">
        <v>2527</v>
      </c>
      <c r="B1173" t="s">
        <v>2528</v>
      </c>
      <c r="C1173">
        <f t="shared" si="54"/>
        <v>1</v>
      </c>
      <c r="D1173" s="7">
        <f t="shared" si="55"/>
        <v>958.4</v>
      </c>
      <c r="E1173">
        <f t="shared" si="56"/>
        <v>958.40117299999997</v>
      </c>
    </row>
    <row r="1174" spans="1:5" x14ac:dyDescent="0.3">
      <c r="A1174" t="s">
        <v>2529</v>
      </c>
      <c r="B1174" t="s">
        <v>2530</v>
      </c>
      <c r="C1174">
        <f t="shared" si="54"/>
        <v>1</v>
      </c>
      <c r="D1174" s="7">
        <f t="shared" si="55"/>
        <v>949.05</v>
      </c>
      <c r="E1174">
        <f t="shared" si="56"/>
        <v>949.05117399999995</v>
      </c>
    </row>
    <row r="1175" spans="1:5" x14ac:dyDescent="0.3">
      <c r="A1175" t="s">
        <v>2531</v>
      </c>
      <c r="B1175" t="s">
        <v>2532</v>
      </c>
      <c r="C1175">
        <f t="shared" si="54"/>
        <v>1</v>
      </c>
      <c r="D1175" s="7">
        <f t="shared" si="55"/>
        <v>899</v>
      </c>
      <c r="E1175">
        <f t="shared" si="56"/>
        <v>899.00117499999999</v>
      </c>
    </row>
    <row r="1176" spans="1:5" x14ac:dyDescent="0.3">
      <c r="A1176" t="s">
        <v>2533</v>
      </c>
      <c r="B1176" t="s">
        <v>2534</v>
      </c>
      <c r="C1176">
        <f t="shared" si="54"/>
        <v>1</v>
      </c>
      <c r="D1176" s="7">
        <f t="shared" si="55"/>
        <v>674.25</v>
      </c>
      <c r="E1176">
        <f t="shared" si="56"/>
        <v>674.25117599999999</v>
      </c>
    </row>
    <row r="1177" spans="1:5" x14ac:dyDescent="0.3">
      <c r="A1177" t="s">
        <v>2535</v>
      </c>
      <c r="B1177" t="s">
        <v>2536</v>
      </c>
      <c r="C1177">
        <f t="shared" si="54"/>
        <v>1</v>
      </c>
      <c r="D1177" s="7">
        <f t="shared" si="55"/>
        <v>639.20000000000005</v>
      </c>
      <c r="E1177">
        <f t="shared" si="56"/>
        <v>639.20117700000003</v>
      </c>
    </row>
    <row r="1178" spans="1:5" x14ac:dyDescent="0.3">
      <c r="A1178" t="s">
        <v>2537</v>
      </c>
      <c r="B1178" t="s">
        <v>2538</v>
      </c>
      <c r="C1178">
        <f t="shared" si="54"/>
        <v>2</v>
      </c>
      <c r="D1178" s="7">
        <f t="shared" si="55"/>
        <v>599</v>
      </c>
      <c r="E1178">
        <f t="shared" si="56"/>
        <v>599.00117799999998</v>
      </c>
    </row>
    <row r="1179" spans="1:5" x14ac:dyDescent="0.3">
      <c r="A1179" t="s">
        <v>2539</v>
      </c>
      <c r="B1179" t="s">
        <v>2540</v>
      </c>
      <c r="C1179">
        <f t="shared" si="54"/>
        <v>1</v>
      </c>
      <c r="D1179" s="7">
        <f t="shared" si="55"/>
        <v>569.04999999999995</v>
      </c>
      <c r="E1179">
        <f t="shared" si="56"/>
        <v>569.05117899999993</v>
      </c>
    </row>
    <row r="1180" spans="1:5" x14ac:dyDescent="0.3">
      <c r="A1180" t="s">
        <v>2541</v>
      </c>
      <c r="B1180" t="s">
        <v>2542</v>
      </c>
      <c r="C1180">
        <f t="shared" si="54"/>
        <v>2</v>
      </c>
      <c r="D1180" s="7">
        <f t="shared" si="55"/>
        <v>539.1</v>
      </c>
      <c r="E1180">
        <f t="shared" si="56"/>
        <v>539.10118</v>
      </c>
    </row>
    <row r="1181" spans="1:5" x14ac:dyDescent="0.3">
      <c r="A1181" t="s">
        <v>2543</v>
      </c>
      <c r="B1181" t="s">
        <v>2544</v>
      </c>
      <c r="C1181">
        <f t="shared" si="54"/>
        <v>1</v>
      </c>
      <c r="D1181" s="7">
        <f t="shared" si="55"/>
        <v>0</v>
      </c>
      <c r="E1181">
        <f t="shared" si="56"/>
        <v>1.181E-3</v>
      </c>
    </row>
    <row r="1182" spans="1:5" x14ac:dyDescent="0.3">
      <c r="A1182" t="s">
        <v>2545</v>
      </c>
      <c r="B1182" t="s">
        <v>2546</v>
      </c>
      <c r="C1182">
        <f t="shared" si="54"/>
        <v>2</v>
      </c>
      <c r="D1182" s="7">
        <f t="shared" si="55"/>
        <v>0</v>
      </c>
      <c r="E1182">
        <f t="shared" si="56"/>
        <v>1.1820000000000001E-3</v>
      </c>
    </row>
    <row r="1183" spans="1:5" x14ac:dyDescent="0.3">
      <c r="A1183" t="s">
        <v>2547</v>
      </c>
      <c r="B1183" t="s">
        <v>2548</v>
      </c>
      <c r="C1183">
        <f t="shared" si="54"/>
        <v>1</v>
      </c>
      <c r="D1183" s="7">
        <f t="shared" si="55"/>
        <v>0</v>
      </c>
      <c r="E1183">
        <f t="shared" si="56"/>
        <v>1.183E-3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9999"/>
  </sheetPr>
  <dimension ref="A1:AG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3" width="15" customWidth="1"/>
  </cols>
  <sheetData>
    <row r="1" spans="1:33" x14ac:dyDescent="0.3">
      <c r="A1" s="6" t="s">
        <v>2549</v>
      </c>
      <c r="B1" s="6" t="s">
        <v>2550</v>
      </c>
      <c r="C1" s="6" t="s">
        <v>3</v>
      </c>
      <c r="D1" s="6" t="s">
        <v>22</v>
      </c>
      <c r="E1" s="6" t="s">
        <v>2551</v>
      </c>
      <c r="F1" s="6" t="s">
        <v>2552</v>
      </c>
      <c r="G1" s="6" t="s">
        <v>181</v>
      </c>
      <c r="H1" s="6" t="s">
        <v>182</v>
      </c>
      <c r="I1" s="6" t="s">
        <v>84</v>
      </c>
      <c r="J1" s="6" t="s">
        <v>2553</v>
      </c>
      <c r="K1" s="6" t="s">
        <v>2554</v>
      </c>
      <c r="L1" s="6" t="s">
        <v>89</v>
      </c>
      <c r="M1" s="6" t="s">
        <v>6</v>
      </c>
      <c r="N1" s="6" t="s">
        <v>2555</v>
      </c>
      <c r="O1" s="6" t="s">
        <v>2556</v>
      </c>
      <c r="P1" s="6" t="s">
        <v>5</v>
      </c>
      <c r="Q1" s="6" t="s">
        <v>2557</v>
      </c>
      <c r="R1" s="6" t="s">
        <v>2558</v>
      </c>
      <c r="S1" s="6" t="s">
        <v>2559</v>
      </c>
      <c r="T1" s="6" t="s">
        <v>180</v>
      </c>
      <c r="U1" s="6" t="s">
        <v>2560</v>
      </c>
      <c r="V1" s="6" t="s">
        <v>176</v>
      </c>
      <c r="W1" s="6" t="s">
        <v>2561</v>
      </c>
      <c r="X1" s="6" t="s">
        <v>2562</v>
      </c>
      <c r="Y1" s="6" t="s">
        <v>2563</v>
      </c>
      <c r="Z1" s="6" t="s">
        <v>2564</v>
      </c>
      <c r="AA1" s="6" t="s">
        <v>165</v>
      </c>
      <c r="AB1" s="6" t="s">
        <v>2565</v>
      </c>
      <c r="AC1" s="6" t="s">
        <v>2566</v>
      </c>
      <c r="AD1" s="6" t="s">
        <v>2567</v>
      </c>
      <c r="AE1" s="6" t="s">
        <v>2568</v>
      </c>
      <c r="AF1" s="6" t="s">
        <v>2569</v>
      </c>
      <c r="AG1" s="6" t="s">
        <v>7625</v>
      </c>
    </row>
    <row r="2" spans="1:33" x14ac:dyDescent="0.3">
      <c r="A2" t="s">
        <v>2570</v>
      </c>
      <c r="B2" s="13">
        <v>45658</v>
      </c>
      <c r="C2">
        <v>2025</v>
      </c>
      <c r="D2">
        <v>1</v>
      </c>
      <c r="E2" t="s">
        <v>2571</v>
      </c>
      <c r="F2" t="s">
        <v>2572</v>
      </c>
      <c r="G2" t="s">
        <v>1425</v>
      </c>
      <c r="H2" t="s">
        <v>1426</v>
      </c>
      <c r="I2" t="s">
        <v>86</v>
      </c>
      <c r="J2">
        <v>19</v>
      </c>
      <c r="K2" t="s">
        <v>80</v>
      </c>
      <c r="L2" t="s">
        <v>2573</v>
      </c>
      <c r="M2" t="s">
        <v>63</v>
      </c>
      <c r="N2" t="s">
        <v>2574</v>
      </c>
      <c r="O2" t="s">
        <v>130</v>
      </c>
      <c r="P2" t="s">
        <v>50</v>
      </c>
      <c r="Q2" t="s">
        <v>53</v>
      </c>
      <c r="R2">
        <v>5</v>
      </c>
      <c r="S2">
        <v>1199</v>
      </c>
      <c r="T2">
        <v>0</v>
      </c>
      <c r="U2">
        <v>0</v>
      </c>
      <c r="V2">
        <v>0</v>
      </c>
      <c r="W2">
        <v>0</v>
      </c>
      <c r="X2" t="s">
        <v>73</v>
      </c>
      <c r="Y2" t="s">
        <v>71</v>
      </c>
      <c r="Z2" t="s">
        <v>158</v>
      </c>
      <c r="AA2" t="s">
        <v>167</v>
      </c>
      <c r="AB2">
        <v>4.3</v>
      </c>
      <c r="AC2">
        <v>60</v>
      </c>
      <c r="AD2">
        <v>171.44</v>
      </c>
      <c r="AE2">
        <f t="shared" ref="AE2:AE65" si="0">W2-AC2-AD2</f>
        <v>-231.44</v>
      </c>
      <c r="AF2" t="str">
        <f t="shared" ref="AF2:AF65" si="1">C2&amp;"-"&amp;TEXT(D2,"00")</f>
        <v>2025-01</v>
      </c>
      <c r="AG2">
        <f>SUBTOTAL(103,A2)</f>
        <v>1</v>
      </c>
    </row>
    <row r="3" spans="1:33" x14ac:dyDescent="0.3">
      <c r="A3" t="s">
        <v>2575</v>
      </c>
      <c r="B3" s="13">
        <v>45658</v>
      </c>
      <c r="C3">
        <v>2025</v>
      </c>
      <c r="D3">
        <v>1</v>
      </c>
      <c r="E3" t="s">
        <v>2571</v>
      </c>
      <c r="F3" t="s">
        <v>2572</v>
      </c>
      <c r="G3" t="s">
        <v>1951</v>
      </c>
      <c r="H3" t="s">
        <v>1952</v>
      </c>
      <c r="I3" t="s">
        <v>86</v>
      </c>
      <c r="J3">
        <v>26</v>
      </c>
      <c r="K3" t="s">
        <v>81</v>
      </c>
      <c r="L3" t="s">
        <v>2576</v>
      </c>
      <c r="M3" t="s">
        <v>60</v>
      </c>
      <c r="N3" t="s">
        <v>2577</v>
      </c>
      <c r="O3" t="s">
        <v>129</v>
      </c>
      <c r="P3" t="s">
        <v>49</v>
      </c>
      <c r="Q3" t="s">
        <v>149</v>
      </c>
      <c r="R3">
        <v>2</v>
      </c>
      <c r="S3">
        <v>1299</v>
      </c>
      <c r="T3">
        <v>0.05</v>
      </c>
      <c r="U3">
        <v>2468.1</v>
      </c>
      <c r="V3">
        <v>1300</v>
      </c>
      <c r="W3">
        <v>1168.0999999999999</v>
      </c>
      <c r="X3" t="s">
        <v>77</v>
      </c>
      <c r="Y3" t="s">
        <v>68</v>
      </c>
      <c r="Z3" t="s">
        <v>161</v>
      </c>
      <c r="AA3" t="s">
        <v>167</v>
      </c>
      <c r="AB3">
        <v>4</v>
      </c>
      <c r="AC3">
        <v>60</v>
      </c>
      <c r="AD3">
        <v>152.94999999999999</v>
      </c>
      <c r="AE3">
        <f t="shared" si="0"/>
        <v>955.14999999999986</v>
      </c>
      <c r="AF3" t="str">
        <f t="shared" si="1"/>
        <v>2025-01</v>
      </c>
      <c r="AG3">
        <f>SUBTOTAL(103,A3)</f>
        <v>1</v>
      </c>
    </row>
    <row r="4" spans="1:33" x14ac:dyDescent="0.3">
      <c r="A4" t="s">
        <v>2578</v>
      </c>
      <c r="B4" s="13">
        <v>45658</v>
      </c>
      <c r="C4">
        <v>2025</v>
      </c>
      <c r="D4">
        <v>1</v>
      </c>
      <c r="E4" t="s">
        <v>2571</v>
      </c>
      <c r="F4" t="s">
        <v>2572</v>
      </c>
      <c r="G4" t="s">
        <v>1961</v>
      </c>
      <c r="H4" t="s">
        <v>1962</v>
      </c>
      <c r="I4" t="s">
        <v>85</v>
      </c>
      <c r="J4">
        <v>20</v>
      </c>
      <c r="K4" t="s">
        <v>80</v>
      </c>
      <c r="L4" t="s">
        <v>2579</v>
      </c>
      <c r="M4" t="s">
        <v>56</v>
      </c>
      <c r="N4" t="s">
        <v>2580</v>
      </c>
      <c r="O4" t="s">
        <v>118</v>
      </c>
      <c r="P4" t="s">
        <v>48</v>
      </c>
      <c r="Q4" t="s">
        <v>142</v>
      </c>
      <c r="R4">
        <v>1</v>
      </c>
      <c r="S4">
        <v>3999</v>
      </c>
      <c r="T4">
        <v>0.2</v>
      </c>
      <c r="U4">
        <v>3199.2</v>
      </c>
      <c r="V4">
        <v>2400</v>
      </c>
      <c r="W4">
        <v>799.2</v>
      </c>
      <c r="X4" t="s">
        <v>74</v>
      </c>
      <c r="Y4" t="s">
        <v>68</v>
      </c>
      <c r="Z4" t="s">
        <v>159</v>
      </c>
      <c r="AA4" t="s">
        <v>167</v>
      </c>
      <c r="AB4">
        <v>4</v>
      </c>
      <c r="AC4">
        <v>50</v>
      </c>
      <c r="AD4">
        <v>120.39</v>
      </c>
      <c r="AE4">
        <f t="shared" si="0"/>
        <v>628.81000000000006</v>
      </c>
      <c r="AF4" t="str">
        <f t="shared" si="1"/>
        <v>2025-01</v>
      </c>
      <c r="AG4">
        <f>SUBTOTAL(103,A4)</f>
        <v>1</v>
      </c>
    </row>
    <row r="5" spans="1:33" x14ac:dyDescent="0.3">
      <c r="A5" t="s">
        <v>2581</v>
      </c>
      <c r="B5" s="13">
        <v>45658</v>
      </c>
      <c r="C5">
        <v>2025</v>
      </c>
      <c r="D5">
        <v>1</v>
      </c>
      <c r="E5" t="s">
        <v>2571</v>
      </c>
      <c r="F5" t="s">
        <v>2572</v>
      </c>
      <c r="G5" t="s">
        <v>1373</v>
      </c>
      <c r="H5" t="s">
        <v>1374</v>
      </c>
      <c r="I5" t="s">
        <v>86</v>
      </c>
      <c r="J5">
        <v>33</v>
      </c>
      <c r="K5" t="s">
        <v>81</v>
      </c>
      <c r="L5" t="s">
        <v>2573</v>
      </c>
      <c r="M5" t="s">
        <v>63</v>
      </c>
      <c r="N5" t="s">
        <v>2582</v>
      </c>
      <c r="O5" t="s">
        <v>119</v>
      </c>
      <c r="P5" t="s">
        <v>49</v>
      </c>
      <c r="Q5" t="s">
        <v>140</v>
      </c>
      <c r="R5">
        <v>1</v>
      </c>
      <c r="S5">
        <v>3499</v>
      </c>
      <c r="T5">
        <v>0.15</v>
      </c>
      <c r="U5">
        <v>2974.15</v>
      </c>
      <c r="V5">
        <v>2100</v>
      </c>
      <c r="W5">
        <v>874.15</v>
      </c>
      <c r="X5" t="s">
        <v>73</v>
      </c>
      <c r="Y5" t="s">
        <v>68</v>
      </c>
      <c r="Z5" t="s">
        <v>160</v>
      </c>
      <c r="AA5" t="s">
        <v>167</v>
      </c>
      <c r="AB5">
        <v>3.9</v>
      </c>
      <c r="AC5">
        <v>80</v>
      </c>
      <c r="AD5">
        <v>282.07</v>
      </c>
      <c r="AE5">
        <f t="shared" si="0"/>
        <v>512.07999999999993</v>
      </c>
      <c r="AF5" t="str">
        <f t="shared" si="1"/>
        <v>2025-01</v>
      </c>
      <c r="AG5">
        <f>SUBTOTAL(103,A5)</f>
        <v>1</v>
      </c>
    </row>
    <row r="6" spans="1:33" x14ac:dyDescent="0.3">
      <c r="A6" t="s">
        <v>2583</v>
      </c>
      <c r="B6" s="13">
        <v>45658</v>
      </c>
      <c r="C6">
        <v>2025</v>
      </c>
      <c r="D6">
        <v>1</v>
      </c>
      <c r="E6" t="s">
        <v>2571</v>
      </c>
      <c r="F6" t="s">
        <v>2572</v>
      </c>
      <c r="G6" t="s">
        <v>2315</v>
      </c>
      <c r="H6" t="s">
        <v>2316</v>
      </c>
      <c r="I6" t="s">
        <v>86</v>
      </c>
      <c r="J6">
        <v>55</v>
      </c>
      <c r="K6" t="s">
        <v>83</v>
      </c>
      <c r="L6" t="s">
        <v>2573</v>
      </c>
      <c r="M6" t="s">
        <v>63</v>
      </c>
      <c r="N6" t="s">
        <v>2584</v>
      </c>
      <c r="O6" t="s">
        <v>121</v>
      </c>
      <c r="P6" t="s">
        <v>50</v>
      </c>
      <c r="Q6" t="s">
        <v>144</v>
      </c>
      <c r="R6">
        <v>1</v>
      </c>
      <c r="S6">
        <v>2999</v>
      </c>
      <c r="T6">
        <v>0.2</v>
      </c>
      <c r="U6">
        <v>2399.1999999999998</v>
      </c>
      <c r="V6">
        <v>1700</v>
      </c>
      <c r="W6">
        <v>699.2</v>
      </c>
      <c r="X6" t="s">
        <v>76</v>
      </c>
      <c r="Y6" t="s">
        <v>68</v>
      </c>
      <c r="Z6" t="s">
        <v>158</v>
      </c>
      <c r="AA6" t="s">
        <v>171</v>
      </c>
      <c r="AB6">
        <v>3.3</v>
      </c>
      <c r="AC6">
        <v>80</v>
      </c>
      <c r="AD6">
        <v>246.37</v>
      </c>
      <c r="AE6">
        <f t="shared" si="0"/>
        <v>372.83000000000004</v>
      </c>
      <c r="AF6" t="str">
        <f t="shared" si="1"/>
        <v>2025-01</v>
      </c>
      <c r="AG6">
        <f>SUBTOTAL(103,A6)</f>
        <v>1</v>
      </c>
    </row>
    <row r="7" spans="1:33" x14ac:dyDescent="0.3">
      <c r="A7" t="s">
        <v>2585</v>
      </c>
      <c r="B7" s="13">
        <v>45658</v>
      </c>
      <c r="C7">
        <v>2025</v>
      </c>
      <c r="D7">
        <v>1</v>
      </c>
      <c r="E7" t="s">
        <v>2571</v>
      </c>
      <c r="F7" t="s">
        <v>2572</v>
      </c>
      <c r="G7" t="s">
        <v>693</v>
      </c>
      <c r="H7" t="s">
        <v>694</v>
      </c>
      <c r="I7" t="s">
        <v>86</v>
      </c>
      <c r="J7">
        <v>36</v>
      </c>
      <c r="K7" t="s">
        <v>82</v>
      </c>
      <c r="L7" t="s">
        <v>2586</v>
      </c>
      <c r="M7" t="s">
        <v>62</v>
      </c>
      <c r="N7" t="s">
        <v>2587</v>
      </c>
      <c r="O7" t="s">
        <v>116</v>
      </c>
      <c r="P7" t="s">
        <v>48</v>
      </c>
      <c r="Q7" t="s">
        <v>138</v>
      </c>
      <c r="R7">
        <v>2</v>
      </c>
      <c r="S7">
        <v>14999</v>
      </c>
      <c r="T7">
        <v>0.15</v>
      </c>
      <c r="U7">
        <v>25498.3</v>
      </c>
      <c r="V7">
        <v>22400</v>
      </c>
      <c r="W7">
        <v>3098.3</v>
      </c>
      <c r="X7" t="s">
        <v>75</v>
      </c>
      <c r="Y7" t="s">
        <v>68</v>
      </c>
      <c r="Z7" t="s">
        <v>160</v>
      </c>
      <c r="AA7" t="s">
        <v>170</v>
      </c>
      <c r="AB7">
        <v>4</v>
      </c>
      <c r="AC7">
        <v>80</v>
      </c>
      <c r="AD7">
        <v>690.19</v>
      </c>
      <c r="AE7">
        <f t="shared" si="0"/>
        <v>2328.11</v>
      </c>
      <c r="AF7" t="str">
        <f t="shared" si="1"/>
        <v>2025-01</v>
      </c>
      <c r="AG7">
        <f>SUBTOTAL(103,A7)</f>
        <v>1</v>
      </c>
    </row>
    <row r="8" spans="1:33" x14ac:dyDescent="0.3">
      <c r="A8" t="s">
        <v>2588</v>
      </c>
      <c r="B8" s="13">
        <v>45658</v>
      </c>
      <c r="C8">
        <v>2025</v>
      </c>
      <c r="D8">
        <v>1</v>
      </c>
      <c r="E8" t="s">
        <v>2571</v>
      </c>
      <c r="F8" t="s">
        <v>2572</v>
      </c>
      <c r="G8" t="s">
        <v>1707</v>
      </c>
      <c r="H8" t="s">
        <v>1708</v>
      </c>
      <c r="I8" t="s">
        <v>86</v>
      </c>
      <c r="J8">
        <v>39</v>
      </c>
      <c r="K8" t="s">
        <v>82</v>
      </c>
      <c r="L8" t="s">
        <v>2589</v>
      </c>
      <c r="M8" t="s">
        <v>61</v>
      </c>
      <c r="N8" t="s">
        <v>2590</v>
      </c>
      <c r="O8" t="s">
        <v>127</v>
      </c>
      <c r="P8" t="s">
        <v>51</v>
      </c>
      <c r="Q8" t="s">
        <v>148</v>
      </c>
      <c r="R8">
        <v>4</v>
      </c>
      <c r="S8">
        <v>1599</v>
      </c>
      <c r="T8">
        <v>0.05</v>
      </c>
      <c r="U8">
        <v>6076.2</v>
      </c>
      <c r="V8">
        <v>3200</v>
      </c>
      <c r="W8">
        <v>2876.2</v>
      </c>
      <c r="X8" t="s">
        <v>74</v>
      </c>
      <c r="Y8" t="s">
        <v>68</v>
      </c>
      <c r="Z8" t="s">
        <v>160</v>
      </c>
      <c r="AA8" t="s">
        <v>167</v>
      </c>
      <c r="AB8">
        <v>3.9</v>
      </c>
      <c r="AC8">
        <v>100</v>
      </c>
      <c r="AD8">
        <v>336.95</v>
      </c>
      <c r="AE8">
        <f t="shared" si="0"/>
        <v>2439.25</v>
      </c>
      <c r="AF8" t="str">
        <f t="shared" si="1"/>
        <v>2025-01</v>
      </c>
      <c r="AG8">
        <f>SUBTOTAL(103,A8)</f>
        <v>1</v>
      </c>
    </row>
    <row r="9" spans="1:33" x14ac:dyDescent="0.3">
      <c r="A9" t="s">
        <v>2591</v>
      </c>
      <c r="B9" s="13">
        <v>45658</v>
      </c>
      <c r="C9">
        <v>2025</v>
      </c>
      <c r="D9">
        <v>1</v>
      </c>
      <c r="E9" t="s">
        <v>2571</v>
      </c>
      <c r="F9" t="s">
        <v>2572</v>
      </c>
      <c r="G9" t="s">
        <v>595</v>
      </c>
      <c r="H9" t="s">
        <v>596</v>
      </c>
      <c r="I9" t="s">
        <v>85</v>
      </c>
      <c r="J9">
        <v>57</v>
      </c>
      <c r="K9" t="s">
        <v>83</v>
      </c>
      <c r="L9" t="s">
        <v>59</v>
      </c>
      <c r="M9" t="s">
        <v>59</v>
      </c>
      <c r="N9" t="s">
        <v>2592</v>
      </c>
      <c r="O9" t="s">
        <v>115</v>
      </c>
      <c r="P9" t="s">
        <v>48</v>
      </c>
      <c r="Q9" t="s">
        <v>137</v>
      </c>
      <c r="R9">
        <v>3</v>
      </c>
      <c r="S9">
        <v>12999</v>
      </c>
      <c r="T9">
        <v>0.1</v>
      </c>
      <c r="U9">
        <v>35097.300000000003</v>
      </c>
      <c r="V9">
        <v>27000</v>
      </c>
      <c r="W9">
        <v>8097.3</v>
      </c>
      <c r="X9" t="s">
        <v>73</v>
      </c>
      <c r="Y9" t="s">
        <v>68</v>
      </c>
      <c r="Z9" t="s">
        <v>160</v>
      </c>
      <c r="AA9" t="s">
        <v>169</v>
      </c>
      <c r="AB9">
        <v>3.5</v>
      </c>
      <c r="AC9">
        <v>50</v>
      </c>
      <c r="AD9">
        <v>2195.1799999999998</v>
      </c>
      <c r="AE9">
        <f t="shared" si="0"/>
        <v>5852.1200000000008</v>
      </c>
      <c r="AF9" t="str">
        <f t="shared" si="1"/>
        <v>2025-01</v>
      </c>
      <c r="AG9">
        <f>SUBTOTAL(103,A9)</f>
        <v>1</v>
      </c>
    </row>
    <row r="10" spans="1:33" x14ac:dyDescent="0.3">
      <c r="A10" t="s">
        <v>2593</v>
      </c>
      <c r="B10" s="13">
        <v>45658</v>
      </c>
      <c r="C10">
        <v>2025</v>
      </c>
      <c r="D10">
        <v>1</v>
      </c>
      <c r="E10" t="s">
        <v>2571</v>
      </c>
      <c r="F10" t="s">
        <v>2572</v>
      </c>
      <c r="G10" t="s">
        <v>1449</v>
      </c>
      <c r="H10" t="s">
        <v>1450</v>
      </c>
      <c r="I10" t="s">
        <v>87</v>
      </c>
      <c r="J10">
        <v>52</v>
      </c>
      <c r="K10" t="s">
        <v>83</v>
      </c>
      <c r="L10" t="s">
        <v>93</v>
      </c>
      <c r="M10" t="s">
        <v>55</v>
      </c>
      <c r="N10" t="s">
        <v>2594</v>
      </c>
      <c r="O10" t="s">
        <v>131</v>
      </c>
      <c r="P10" t="s">
        <v>53</v>
      </c>
      <c r="Q10" t="s">
        <v>143</v>
      </c>
      <c r="R10">
        <v>1</v>
      </c>
      <c r="S10">
        <v>999</v>
      </c>
      <c r="T10">
        <v>0.15</v>
      </c>
      <c r="U10">
        <v>849.15</v>
      </c>
      <c r="V10">
        <v>520</v>
      </c>
      <c r="W10">
        <v>329.15</v>
      </c>
      <c r="X10" t="s">
        <v>75</v>
      </c>
      <c r="Y10" t="s">
        <v>68</v>
      </c>
      <c r="Z10" t="s">
        <v>158</v>
      </c>
      <c r="AA10" t="s">
        <v>167</v>
      </c>
      <c r="AB10">
        <v>4.3</v>
      </c>
      <c r="AC10">
        <v>50</v>
      </c>
      <c r="AD10">
        <v>20</v>
      </c>
      <c r="AE10">
        <f t="shared" si="0"/>
        <v>259.14999999999998</v>
      </c>
      <c r="AF10" t="str">
        <f t="shared" si="1"/>
        <v>2025-01</v>
      </c>
      <c r="AG10">
        <f>SUBTOTAL(103,A10)</f>
        <v>1</v>
      </c>
    </row>
    <row r="11" spans="1:33" x14ac:dyDescent="0.3">
      <c r="A11" t="s">
        <v>2595</v>
      </c>
      <c r="B11" s="13">
        <v>45658</v>
      </c>
      <c r="C11">
        <v>2025</v>
      </c>
      <c r="D11">
        <v>1</v>
      </c>
      <c r="E11" t="s">
        <v>2571</v>
      </c>
      <c r="F11" t="s">
        <v>2572</v>
      </c>
      <c r="G11" t="s">
        <v>1787</v>
      </c>
      <c r="H11" t="s">
        <v>1788</v>
      </c>
      <c r="I11" t="s">
        <v>85</v>
      </c>
      <c r="J11">
        <v>55</v>
      </c>
      <c r="K11" t="s">
        <v>83</v>
      </c>
      <c r="L11" t="s">
        <v>59</v>
      </c>
      <c r="M11" t="s">
        <v>59</v>
      </c>
      <c r="N11" t="s">
        <v>2596</v>
      </c>
      <c r="O11" t="s">
        <v>124</v>
      </c>
      <c r="P11" t="s">
        <v>51</v>
      </c>
      <c r="Q11" t="s">
        <v>147</v>
      </c>
      <c r="R11">
        <v>1</v>
      </c>
      <c r="S11">
        <v>2299</v>
      </c>
      <c r="T11">
        <v>0.05</v>
      </c>
      <c r="U11">
        <v>2184.0500000000002</v>
      </c>
      <c r="V11">
        <v>1200</v>
      </c>
      <c r="W11">
        <v>984.05</v>
      </c>
      <c r="X11" t="s">
        <v>76</v>
      </c>
      <c r="Y11" t="s">
        <v>68</v>
      </c>
      <c r="Z11" t="s">
        <v>158</v>
      </c>
      <c r="AA11" t="s">
        <v>166</v>
      </c>
      <c r="AB11">
        <v>2.9</v>
      </c>
      <c r="AC11">
        <v>80</v>
      </c>
      <c r="AD11">
        <v>246.22</v>
      </c>
      <c r="AE11">
        <f t="shared" si="0"/>
        <v>657.82999999999993</v>
      </c>
      <c r="AF11" t="str">
        <f t="shared" si="1"/>
        <v>2025-01</v>
      </c>
      <c r="AG11">
        <f>SUBTOTAL(103,A11)</f>
        <v>1</v>
      </c>
    </row>
    <row r="12" spans="1:33" x14ac:dyDescent="0.3">
      <c r="A12" t="s">
        <v>2597</v>
      </c>
      <c r="B12" s="13">
        <v>45658</v>
      </c>
      <c r="C12">
        <v>2025</v>
      </c>
      <c r="D12">
        <v>1</v>
      </c>
      <c r="E12" t="s">
        <v>2571</v>
      </c>
      <c r="F12" t="s">
        <v>2572</v>
      </c>
      <c r="G12" t="s">
        <v>1461</v>
      </c>
      <c r="H12" t="s">
        <v>1462</v>
      </c>
      <c r="I12" t="s">
        <v>86</v>
      </c>
      <c r="J12">
        <v>40</v>
      </c>
      <c r="K12" t="s">
        <v>82</v>
      </c>
      <c r="L12" t="s">
        <v>91</v>
      </c>
      <c r="M12" t="s">
        <v>55</v>
      </c>
      <c r="N12" t="s">
        <v>2584</v>
      </c>
      <c r="O12" t="s">
        <v>121</v>
      </c>
      <c r="P12" t="s">
        <v>50</v>
      </c>
      <c r="Q12" t="s">
        <v>144</v>
      </c>
      <c r="R12">
        <v>2</v>
      </c>
      <c r="S12">
        <v>2999</v>
      </c>
      <c r="T12">
        <v>0.05</v>
      </c>
      <c r="U12">
        <v>5698.1</v>
      </c>
      <c r="V12">
        <v>3400</v>
      </c>
      <c r="W12">
        <v>2298.1</v>
      </c>
      <c r="X12" t="s">
        <v>74</v>
      </c>
      <c r="Y12" t="s">
        <v>68</v>
      </c>
      <c r="Z12" t="s">
        <v>160</v>
      </c>
      <c r="AA12" t="s">
        <v>167</v>
      </c>
      <c r="AB12">
        <v>4.7</v>
      </c>
      <c r="AC12">
        <v>40</v>
      </c>
      <c r="AD12">
        <v>539.58000000000004</v>
      </c>
      <c r="AE12">
        <f t="shared" si="0"/>
        <v>1718.52</v>
      </c>
      <c r="AF12" t="str">
        <f t="shared" si="1"/>
        <v>2025-01</v>
      </c>
      <c r="AG12">
        <f>SUBTOTAL(103,A12)</f>
        <v>1</v>
      </c>
    </row>
    <row r="13" spans="1:33" x14ac:dyDescent="0.3">
      <c r="A13" t="s">
        <v>2598</v>
      </c>
      <c r="B13" s="13">
        <v>45659</v>
      </c>
      <c r="C13">
        <v>2025</v>
      </c>
      <c r="D13">
        <v>1</v>
      </c>
      <c r="E13" t="s">
        <v>2571</v>
      </c>
      <c r="F13" t="s">
        <v>2572</v>
      </c>
      <c r="G13" t="s">
        <v>1305</v>
      </c>
      <c r="H13" t="s">
        <v>1306</v>
      </c>
      <c r="I13" t="s">
        <v>86</v>
      </c>
      <c r="J13">
        <v>57</v>
      </c>
      <c r="K13" t="s">
        <v>83</v>
      </c>
      <c r="L13" t="s">
        <v>2599</v>
      </c>
      <c r="M13" t="s">
        <v>62</v>
      </c>
      <c r="N13" t="s">
        <v>2580</v>
      </c>
      <c r="O13" t="s">
        <v>118</v>
      </c>
      <c r="P13" t="s">
        <v>48</v>
      </c>
      <c r="Q13" t="s">
        <v>142</v>
      </c>
      <c r="R13">
        <v>2</v>
      </c>
      <c r="S13">
        <v>3999</v>
      </c>
      <c r="T13">
        <v>0.2</v>
      </c>
      <c r="U13">
        <v>6398.4</v>
      </c>
      <c r="V13">
        <v>4800</v>
      </c>
      <c r="W13">
        <v>1598.4</v>
      </c>
      <c r="X13" t="s">
        <v>74</v>
      </c>
      <c r="Y13" t="s">
        <v>68</v>
      </c>
      <c r="Z13" t="s">
        <v>163</v>
      </c>
      <c r="AA13" t="s">
        <v>167</v>
      </c>
      <c r="AB13">
        <v>4.5</v>
      </c>
      <c r="AC13">
        <v>100</v>
      </c>
      <c r="AD13">
        <v>589.02</v>
      </c>
      <c r="AE13">
        <f t="shared" si="0"/>
        <v>909.38000000000011</v>
      </c>
      <c r="AF13" t="str">
        <f t="shared" si="1"/>
        <v>2025-01</v>
      </c>
      <c r="AG13">
        <f>SUBTOTAL(103,A13)</f>
        <v>1</v>
      </c>
    </row>
    <row r="14" spans="1:33" x14ac:dyDescent="0.3">
      <c r="A14" t="s">
        <v>2600</v>
      </c>
      <c r="B14" s="13">
        <v>45659</v>
      </c>
      <c r="C14">
        <v>2025</v>
      </c>
      <c r="D14">
        <v>1</v>
      </c>
      <c r="E14" t="s">
        <v>2571</v>
      </c>
      <c r="F14" t="s">
        <v>2572</v>
      </c>
      <c r="G14" t="s">
        <v>579</v>
      </c>
      <c r="H14" t="s">
        <v>580</v>
      </c>
      <c r="I14" t="s">
        <v>85</v>
      </c>
      <c r="J14">
        <v>31</v>
      </c>
      <c r="K14" t="s">
        <v>81</v>
      </c>
      <c r="L14" t="s">
        <v>90</v>
      </c>
      <c r="M14" t="s">
        <v>55</v>
      </c>
      <c r="N14" t="s">
        <v>2601</v>
      </c>
      <c r="O14" t="s">
        <v>117</v>
      </c>
      <c r="P14" t="s">
        <v>49</v>
      </c>
      <c r="Q14" t="s">
        <v>139</v>
      </c>
      <c r="R14">
        <v>2</v>
      </c>
      <c r="S14">
        <v>6999</v>
      </c>
      <c r="T14">
        <v>0.1</v>
      </c>
      <c r="U14">
        <v>12598.2</v>
      </c>
      <c r="V14">
        <v>8600</v>
      </c>
      <c r="W14">
        <v>3998.2</v>
      </c>
      <c r="X14" t="s">
        <v>74</v>
      </c>
      <c r="Y14" t="s">
        <v>68</v>
      </c>
      <c r="Z14" t="s">
        <v>159</v>
      </c>
      <c r="AA14" t="s">
        <v>170</v>
      </c>
      <c r="AB14">
        <v>4.0999999999999996</v>
      </c>
      <c r="AC14">
        <v>80</v>
      </c>
      <c r="AD14">
        <v>1347.91</v>
      </c>
      <c r="AE14">
        <f t="shared" si="0"/>
        <v>2570.29</v>
      </c>
      <c r="AF14" t="str">
        <f t="shared" si="1"/>
        <v>2025-01</v>
      </c>
      <c r="AG14">
        <f>SUBTOTAL(103,A14)</f>
        <v>1</v>
      </c>
    </row>
    <row r="15" spans="1:33" x14ac:dyDescent="0.3">
      <c r="A15" t="s">
        <v>2602</v>
      </c>
      <c r="B15" s="13">
        <v>45659</v>
      </c>
      <c r="C15">
        <v>2025</v>
      </c>
      <c r="D15">
        <v>1</v>
      </c>
      <c r="E15" t="s">
        <v>2571</v>
      </c>
      <c r="F15" t="s">
        <v>2572</v>
      </c>
      <c r="G15" t="s">
        <v>269</v>
      </c>
      <c r="H15" t="s">
        <v>270</v>
      </c>
      <c r="I15" t="s">
        <v>85</v>
      </c>
      <c r="J15">
        <v>35</v>
      </c>
      <c r="K15" t="s">
        <v>81</v>
      </c>
      <c r="L15" t="s">
        <v>97</v>
      </c>
      <c r="M15" t="s">
        <v>57</v>
      </c>
      <c r="N15" t="s">
        <v>2603</v>
      </c>
      <c r="O15" t="s">
        <v>122</v>
      </c>
      <c r="P15" t="s">
        <v>48</v>
      </c>
      <c r="Q15" t="s">
        <v>141</v>
      </c>
      <c r="R15">
        <v>3</v>
      </c>
      <c r="S15">
        <v>2499</v>
      </c>
      <c r="T15">
        <v>0.1</v>
      </c>
      <c r="U15">
        <v>6747.3</v>
      </c>
      <c r="V15">
        <v>4350</v>
      </c>
      <c r="W15">
        <v>2397.3000000000002</v>
      </c>
      <c r="X15" t="s">
        <v>74</v>
      </c>
      <c r="Y15" t="s">
        <v>68</v>
      </c>
      <c r="Z15" t="s">
        <v>158</v>
      </c>
      <c r="AA15" t="s">
        <v>167</v>
      </c>
      <c r="AB15">
        <v>3.6</v>
      </c>
      <c r="AC15">
        <v>80</v>
      </c>
      <c r="AD15">
        <v>250.13</v>
      </c>
      <c r="AE15">
        <f t="shared" si="0"/>
        <v>2067.17</v>
      </c>
      <c r="AF15" t="str">
        <f t="shared" si="1"/>
        <v>2025-01</v>
      </c>
      <c r="AG15">
        <f>SUBTOTAL(103,A15)</f>
        <v>1</v>
      </c>
    </row>
    <row r="16" spans="1:33" x14ac:dyDescent="0.3">
      <c r="A16" t="s">
        <v>2604</v>
      </c>
      <c r="B16" s="13">
        <v>45659</v>
      </c>
      <c r="C16">
        <v>2025</v>
      </c>
      <c r="D16">
        <v>1</v>
      </c>
      <c r="E16" t="s">
        <v>2571</v>
      </c>
      <c r="F16" t="s">
        <v>2572</v>
      </c>
      <c r="G16" t="s">
        <v>1867</v>
      </c>
      <c r="H16" t="s">
        <v>1868</v>
      </c>
      <c r="I16" t="s">
        <v>86</v>
      </c>
      <c r="J16">
        <v>54</v>
      </c>
      <c r="K16" t="s">
        <v>83</v>
      </c>
      <c r="L16" t="s">
        <v>2605</v>
      </c>
      <c r="M16" t="s">
        <v>60</v>
      </c>
      <c r="N16" t="s">
        <v>2606</v>
      </c>
      <c r="O16" t="s">
        <v>120</v>
      </c>
      <c r="P16" t="s">
        <v>49</v>
      </c>
      <c r="Q16" t="s">
        <v>140</v>
      </c>
      <c r="R16">
        <v>3</v>
      </c>
      <c r="S16">
        <v>2799</v>
      </c>
      <c r="T16">
        <v>0</v>
      </c>
      <c r="U16">
        <v>8397</v>
      </c>
      <c r="V16">
        <v>4950</v>
      </c>
      <c r="W16">
        <v>3447</v>
      </c>
      <c r="X16" t="s">
        <v>73</v>
      </c>
      <c r="Y16" t="s">
        <v>68</v>
      </c>
      <c r="Z16" t="s">
        <v>162</v>
      </c>
      <c r="AA16" t="s">
        <v>170</v>
      </c>
      <c r="AB16">
        <v>5</v>
      </c>
      <c r="AC16">
        <v>80</v>
      </c>
      <c r="AD16">
        <v>613.35</v>
      </c>
      <c r="AE16">
        <f t="shared" si="0"/>
        <v>2753.65</v>
      </c>
      <c r="AF16" t="str">
        <f t="shared" si="1"/>
        <v>2025-01</v>
      </c>
      <c r="AG16">
        <f>SUBTOTAL(103,A16)</f>
        <v>1</v>
      </c>
    </row>
    <row r="17" spans="1:33" x14ac:dyDescent="0.3">
      <c r="A17" t="s">
        <v>2607</v>
      </c>
      <c r="B17" s="13">
        <v>45659</v>
      </c>
      <c r="C17">
        <v>2025</v>
      </c>
      <c r="D17">
        <v>1</v>
      </c>
      <c r="E17" t="s">
        <v>2571</v>
      </c>
      <c r="F17" t="s">
        <v>2572</v>
      </c>
      <c r="G17" t="s">
        <v>187</v>
      </c>
      <c r="H17" t="s">
        <v>188</v>
      </c>
      <c r="I17" t="s">
        <v>85</v>
      </c>
      <c r="J17">
        <v>30</v>
      </c>
      <c r="K17" t="s">
        <v>81</v>
      </c>
      <c r="L17" t="s">
        <v>95</v>
      </c>
      <c r="M17" t="s">
        <v>56</v>
      </c>
      <c r="N17" t="s">
        <v>2587</v>
      </c>
      <c r="O17" t="s">
        <v>116</v>
      </c>
      <c r="P17" t="s">
        <v>48</v>
      </c>
      <c r="Q17" t="s">
        <v>138</v>
      </c>
      <c r="R17">
        <v>5</v>
      </c>
      <c r="S17">
        <v>14999</v>
      </c>
      <c r="T17">
        <v>0</v>
      </c>
      <c r="U17">
        <v>74995</v>
      </c>
      <c r="V17">
        <v>56000</v>
      </c>
      <c r="W17">
        <v>18995</v>
      </c>
      <c r="X17" t="s">
        <v>73</v>
      </c>
      <c r="Y17" t="s">
        <v>68</v>
      </c>
      <c r="Z17" t="s">
        <v>162</v>
      </c>
      <c r="AA17" t="s">
        <v>166</v>
      </c>
      <c r="AB17">
        <v>4.8</v>
      </c>
      <c r="AC17">
        <v>50</v>
      </c>
      <c r="AD17">
        <v>8912.4</v>
      </c>
      <c r="AE17">
        <f t="shared" si="0"/>
        <v>10032.6</v>
      </c>
      <c r="AF17" t="str">
        <f t="shared" si="1"/>
        <v>2025-01</v>
      </c>
      <c r="AG17">
        <f>SUBTOTAL(103,A17)</f>
        <v>1</v>
      </c>
    </row>
    <row r="18" spans="1:33" x14ac:dyDescent="0.3">
      <c r="A18" t="s">
        <v>2608</v>
      </c>
      <c r="B18" s="13">
        <v>45659</v>
      </c>
      <c r="C18">
        <v>2025</v>
      </c>
      <c r="D18">
        <v>1</v>
      </c>
      <c r="E18" t="s">
        <v>2571</v>
      </c>
      <c r="F18" t="s">
        <v>2572</v>
      </c>
      <c r="G18" t="s">
        <v>1429</v>
      </c>
      <c r="H18" t="s">
        <v>1430</v>
      </c>
      <c r="I18" t="s">
        <v>86</v>
      </c>
      <c r="J18">
        <v>45</v>
      </c>
      <c r="K18" t="s">
        <v>82</v>
      </c>
      <c r="L18" t="s">
        <v>2605</v>
      </c>
      <c r="M18" t="s">
        <v>60</v>
      </c>
      <c r="N18" t="s">
        <v>2587</v>
      </c>
      <c r="O18" t="s">
        <v>116</v>
      </c>
      <c r="P18" t="s">
        <v>48</v>
      </c>
      <c r="Q18" t="s">
        <v>138</v>
      </c>
      <c r="R18">
        <v>1</v>
      </c>
      <c r="S18">
        <v>14999</v>
      </c>
      <c r="T18">
        <v>0.05</v>
      </c>
      <c r="U18">
        <v>14249.05</v>
      </c>
      <c r="V18">
        <v>11200</v>
      </c>
      <c r="W18">
        <v>3049.05</v>
      </c>
      <c r="X18" t="s">
        <v>73</v>
      </c>
      <c r="Y18" t="s">
        <v>68</v>
      </c>
      <c r="Z18" t="s">
        <v>158</v>
      </c>
      <c r="AA18" t="s">
        <v>167</v>
      </c>
      <c r="AB18">
        <v>3.3</v>
      </c>
      <c r="AC18">
        <v>50</v>
      </c>
      <c r="AD18">
        <v>1102.07</v>
      </c>
      <c r="AE18">
        <f t="shared" si="0"/>
        <v>1896.9800000000002</v>
      </c>
      <c r="AF18" t="str">
        <f t="shared" si="1"/>
        <v>2025-01</v>
      </c>
      <c r="AG18">
        <f>SUBTOTAL(103,A18)</f>
        <v>1</v>
      </c>
    </row>
    <row r="19" spans="1:33" x14ac:dyDescent="0.3">
      <c r="A19" t="s">
        <v>2609</v>
      </c>
      <c r="B19" s="13">
        <v>45659</v>
      </c>
      <c r="C19">
        <v>2025</v>
      </c>
      <c r="D19">
        <v>1</v>
      </c>
      <c r="E19" t="s">
        <v>2571</v>
      </c>
      <c r="F19" t="s">
        <v>2572</v>
      </c>
      <c r="G19" t="s">
        <v>2107</v>
      </c>
      <c r="H19" t="s">
        <v>2108</v>
      </c>
      <c r="I19" t="s">
        <v>86</v>
      </c>
      <c r="J19">
        <v>28</v>
      </c>
      <c r="K19" t="s">
        <v>81</v>
      </c>
      <c r="L19" t="s">
        <v>2610</v>
      </c>
      <c r="M19" t="s">
        <v>64</v>
      </c>
      <c r="N19" t="s">
        <v>2590</v>
      </c>
      <c r="O19" t="s">
        <v>127</v>
      </c>
      <c r="P19" t="s">
        <v>51</v>
      </c>
      <c r="Q19" t="s">
        <v>148</v>
      </c>
      <c r="R19">
        <v>1</v>
      </c>
      <c r="S19">
        <v>1599</v>
      </c>
      <c r="T19">
        <v>0.15</v>
      </c>
      <c r="U19">
        <v>1359.15</v>
      </c>
      <c r="V19">
        <v>800</v>
      </c>
      <c r="W19">
        <v>559.15</v>
      </c>
      <c r="X19" t="s">
        <v>73</v>
      </c>
      <c r="Y19" t="s">
        <v>68</v>
      </c>
      <c r="Z19" t="s">
        <v>160</v>
      </c>
      <c r="AA19" t="s">
        <v>167</v>
      </c>
      <c r="AB19">
        <v>4.8</v>
      </c>
      <c r="AC19">
        <v>60</v>
      </c>
      <c r="AD19">
        <v>36.159999999999997</v>
      </c>
      <c r="AE19">
        <f t="shared" si="0"/>
        <v>462.99</v>
      </c>
      <c r="AF19" t="str">
        <f t="shared" si="1"/>
        <v>2025-01</v>
      </c>
      <c r="AG19">
        <f>SUBTOTAL(103,A19)</f>
        <v>1</v>
      </c>
    </row>
    <row r="20" spans="1:33" x14ac:dyDescent="0.3">
      <c r="A20" t="s">
        <v>2611</v>
      </c>
      <c r="B20" s="13">
        <v>45659</v>
      </c>
      <c r="C20">
        <v>2025</v>
      </c>
      <c r="D20">
        <v>1</v>
      </c>
      <c r="E20" t="s">
        <v>2571</v>
      </c>
      <c r="F20" t="s">
        <v>2572</v>
      </c>
      <c r="G20" t="s">
        <v>973</v>
      </c>
      <c r="H20" t="s">
        <v>974</v>
      </c>
      <c r="I20" t="s">
        <v>85</v>
      </c>
      <c r="J20">
        <v>39</v>
      </c>
      <c r="K20" t="s">
        <v>82</v>
      </c>
      <c r="L20" t="s">
        <v>2612</v>
      </c>
      <c r="M20" t="s">
        <v>64</v>
      </c>
      <c r="N20" t="s">
        <v>2603</v>
      </c>
      <c r="O20" t="s">
        <v>122</v>
      </c>
      <c r="P20" t="s">
        <v>48</v>
      </c>
      <c r="Q20" t="s">
        <v>141</v>
      </c>
      <c r="R20">
        <v>1</v>
      </c>
      <c r="S20">
        <v>2499</v>
      </c>
      <c r="T20">
        <v>0.1</v>
      </c>
      <c r="U20">
        <v>2249.1</v>
      </c>
      <c r="V20">
        <v>1450</v>
      </c>
      <c r="W20">
        <v>799.1</v>
      </c>
      <c r="X20" t="s">
        <v>75</v>
      </c>
      <c r="Y20" t="s">
        <v>68</v>
      </c>
      <c r="Z20" t="s">
        <v>162</v>
      </c>
      <c r="AA20" t="s">
        <v>167</v>
      </c>
      <c r="AB20">
        <v>4.3</v>
      </c>
      <c r="AC20">
        <v>80</v>
      </c>
      <c r="AD20">
        <v>220.85</v>
      </c>
      <c r="AE20">
        <f t="shared" si="0"/>
        <v>498.25</v>
      </c>
      <c r="AF20" t="str">
        <f t="shared" si="1"/>
        <v>2025-01</v>
      </c>
      <c r="AG20">
        <f>SUBTOTAL(103,A20)</f>
        <v>1</v>
      </c>
    </row>
    <row r="21" spans="1:33" x14ac:dyDescent="0.3">
      <c r="A21" t="s">
        <v>2613</v>
      </c>
      <c r="B21" s="13">
        <v>45660</v>
      </c>
      <c r="C21">
        <v>2025</v>
      </c>
      <c r="D21">
        <v>1</v>
      </c>
      <c r="E21" t="s">
        <v>2571</v>
      </c>
      <c r="F21" t="s">
        <v>2572</v>
      </c>
      <c r="G21" t="s">
        <v>1947</v>
      </c>
      <c r="H21" t="s">
        <v>1948</v>
      </c>
      <c r="I21" t="s">
        <v>85</v>
      </c>
      <c r="J21">
        <v>43</v>
      </c>
      <c r="K21" t="s">
        <v>82</v>
      </c>
      <c r="L21" t="s">
        <v>59</v>
      </c>
      <c r="M21" t="s">
        <v>59</v>
      </c>
      <c r="N21" t="s">
        <v>2584</v>
      </c>
      <c r="O21" t="s">
        <v>121</v>
      </c>
      <c r="P21" t="s">
        <v>50</v>
      </c>
      <c r="Q21" t="s">
        <v>144</v>
      </c>
      <c r="R21">
        <v>2</v>
      </c>
      <c r="S21">
        <v>2999</v>
      </c>
      <c r="T21">
        <v>0.05</v>
      </c>
      <c r="U21">
        <v>5698.1</v>
      </c>
      <c r="V21">
        <v>3400</v>
      </c>
      <c r="W21">
        <v>2298.1</v>
      </c>
      <c r="X21" t="s">
        <v>73</v>
      </c>
      <c r="Y21" t="s">
        <v>68</v>
      </c>
      <c r="Z21" t="s">
        <v>158</v>
      </c>
      <c r="AA21" t="s">
        <v>166</v>
      </c>
      <c r="AB21">
        <v>3.8</v>
      </c>
      <c r="AC21">
        <v>40</v>
      </c>
      <c r="AD21">
        <v>551.36</v>
      </c>
      <c r="AE21">
        <f t="shared" si="0"/>
        <v>1706.7399999999998</v>
      </c>
      <c r="AF21" t="str">
        <f t="shared" si="1"/>
        <v>2025-01</v>
      </c>
      <c r="AG21">
        <f>SUBTOTAL(103,A21)</f>
        <v>1</v>
      </c>
    </row>
    <row r="22" spans="1:33" x14ac:dyDescent="0.3">
      <c r="A22" t="s">
        <v>2614</v>
      </c>
      <c r="B22" s="13">
        <v>45660</v>
      </c>
      <c r="C22">
        <v>2025</v>
      </c>
      <c r="D22">
        <v>1</v>
      </c>
      <c r="E22" t="s">
        <v>2571</v>
      </c>
      <c r="F22" t="s">
        <v>2572</v>
      </c>
      <c r="G22" t="s">
        <v>2177</v>
      </c>
      <c r="H22" t="s">
        <v>2178</v>
      </c>
      <c r="I22" t="s">
        <v>86</v>
      </c>
      <c r="J22">
        <v>43</v>
      </c>
      <c r="K22" t="s">
        <v>82</v>
      </c>
      <c r="L22" t="s">
        <v>93</v>
      </c>
      <c r="M22" t="s">
        <v>55</v>
      </c>
      <c r="N22" t="s">
        <v>2603</v>
      </c>
      <c r="O22" t="s">
        <v>122</v>
      </c>
      <c r="P22" t="s">
        <v>48</v>
      </c>
      <c r="Q22" t="s">
        <v>141</v>
      </c>
      <c r="R22">
        <v>1</v>
      </c>
      <c r="S22">
        <v>2499</v>
      </c>
      <c r="T22">
        <v>0.2</v>
      </c>
      <c r="U22">
        <v>1999.2</v>
      </c>
      <c r="V22">
        <v>1450</v>
      </c>
      <c r="W22">
        <v>549.20000000000005</v>
      </c>
      <c r="X22" t="s">
        <v>75</v>
      </c>
      <c r="Y22" t="s">
        <v>68</v>
      </c>
      <c r="Z22" t="s">
        <v>159</v>
      </c>
      <c r="AA22" t="s">
        <v>170</v>
      </c>
      <c r="AB22">
        <v>5</v>
      </c>
      <c r="AC22">
        <v>120</v>
      </c>
      <c r="AD22">
        <v>179.31</v>
      </c>
      <c r="AE22">
        <f t="shared" si="0"/>
        <v>249.89000000000004</v>
      </c>
      <c r="AF22" t="str">
        <f t="shared" si="1"/>
        <v>2025-01</v>
      </c>
      <c r="AG22">
        <f>SUBTOTAL(103,A22)</f>
        <v>1</v>
      </c>
    </row>
    <row r="23" spans="1:33" x14ac:dyDescent="0.3">
      <c r="A23" t="s">
        <v>2615</v>
      </c>
      <c r="B23" s="13">
        <v>45660</v>
      </c>
      <c r="C23">
        <v>2025</v>
      </c>
      <c r="D23">
        <v>1</v>
      </c>
      <c r="E23" t="s">
        <v>2571</v>
      </c>
      <c r="F23" t="s">
        <v>2572</v>
      </c>
      <c r="G23" t="s">
        <v>1865</v>
      </c>
      <c r="H23" t="s">
        <v>1866</v>
      </c>
      <c r="I23" t="s">
        <v>87</v>
      </c>
      <c r="J23">
        <v>48</v>
      </c>
      <c r="K23" t="s">
        <v>83</v>
      </c>
      <c r="L23" t="s">
        <v>2616</v>
      </c>
      <c r="M23" t="s">
        <v>62</v>
      </c>
      <c r="N23" t="s">
        <v>2603</v>
      </c>
      <c r="O23" t="s">
        <v>122</v>
      </c>
      <c r="P23" t="s">
        <v>48</v>
      </c>
      <c r="Q23" t="s">
        <v>141</v>
      </c>
      <c r="R23">
        <v>3</v>
      </c>
      <c r="S23">
        <v>2499</v>
      </c>
      <c r="T23">
        <v>0.05</v>
      </c>
      <c r="U23">
        <v>7122.15</v>
      </c>
      <c r="V23">
        <v>4350</v>
      </c>
      <c r="W23">
        <v>2772.15</v>
      </c>
      <c r="X23" t="s">
        <v>73</v>
      </c>
      <c r="Y23" t="s">
        <v>68</v>
      </c>
      <c r="Z23" t="s">
        <v>160</v>
      </c>
      <c r="AA23" t="s">
        <v>167</v>
      </c>
      <c r="AB23">
        <v>4.4000000000000004</v>
      </c>
      <c r="AC23">
        <v>50</v>
      </c>
      <c r="AD23">
        <v>570.84</v>
      </c>
      <c r="AE23">
        <f t="shared" si="0"/>
        <v>2151.31</v>
      </c>
      <c r="AF23" t="str">
        <f t="shared" si="1"/>
        <v>2025-01</v>
      </c>
      <c r="AG23">
        <f>SUBTOTAL(103,A23)</f>
        <v>1</v>
      </c>
    </row>
    <row r="24" spans="1:33" x14ac:dyDescent="0.3">
      <c r="A24" t="s">
        <v>2617</v>
      </c>
      <c r="B24" s="13">
        <v>45660</v>
      </c>
      <c r="C24">
        <v>2025</v>
      </c>
      <c r="D24">
        <v>1</v>
      </c>
      <c r="E24" t="s">
        <v>2571</v>
      </c>
      <c r="F24" t="s">
        <v>2572</v>
      </c>
      <c r="G24" t="s">
        <v>559</v>
      </c>
      <c r="H24" t="s">
        <v>560</v>
      </c>
      <c r="I24" t="s">
        <v>86</v>
      </c>
      <c r="J24">
        <v>54</v>
      </c>
      <c r="K24" t="s">
        <v>83</v>
      </c>
      <c r="L24" t="s">
        <v>95</v>
      </c>
      <c r="M24" t="s">
        <v>56</v>
      </c>
      <c r="N24" t="s">
        <v>2601</v>
      </c>
      <c r="O24" t="s">
        <v>117</v>
      </c>
      <c r="P24" t="s">
        <v>49</v>
      </c>
      <c r="Q24" t="s">
        <v>139</v>
      </c>
      <c r="R24">
        <v>5</v>
      </c>
      <c r="S24">
        <v>6999</v>
      </c>
      <c r="T24">
        <v>0.05</v>
      </c>
      <c r="U24">
        <v>33245.25</v>
      </c>
      <c r="V24">
        <v>21500</v>
      </c>
      <c r="W24">
        <v>11745.25</v>
      </c>
      <c r="X24" t="s">
        <v>73</v>
      </c>
      <c r="Y24" t="s">
        <v>68</v>
      </c>
      <c r="Z24" t="s">
        <v>159</v>
      </c>
      <c r="AA24" t="s">
        <v>167</v>
      </c>
      <c r="AB24">
        <v>4.5999999999999996</v>
      </c>
      <c r="AC24">
        <v>40</v>
      </c>
      <c r="AD24">
        <v>2979.82</v>
      </c>
      <c r="AE24">
        <f t="shared" si="0"/>
        <v>8725.43</v>
      </c>
      <c r="AF24" t="str">
        <f t="shared" si="1"/>
        <v>2025-01</v>
      </c>
      <c r="AG24">
        <f>SUBTOTAL(103,A24)</f>
        <v>1</v>
      </c>
    </row>
    <row r="25" spans="1:33" x14ac:dyDescent="0.3">
      <c r="A25" t="s">
        <v>2618</v>
      </c>
      <c r="B25" s="13">
        <v>45660</v>
      </c>
      <c r="C25">
        <v>2025</v>
      </c>
      <c r="D25">
        <v>1</v>
      </c>
      <c r="E25" t="s">
        <v>2571</v>
      </c>
      <c r="F25" t="s">
        <v>2572</v>
      </c>
      <c r="G25" t="s">
        <v>241</v>
      </c>
      <c r="H25" t="s">
        <v>242</v>
      </c>
      <c r="I25" t="s">
        <v>85</v>
      </c>
      <c r="J25">
        <v>30</v>
      </c>
      <c r="K25" t="s">
        <v>81</v>
      </c>
      <c r="L25" t="s">
        <v>2599</v>
      </c>
      <c r="M25" t="s">
        <v>62</v>
      </c>
      <c r="N25" t="s">
        <v>2601</v>
      </c>
      <c r="O25" t="s">
        <v>117</v>
      </c>
      <c r="P25" t="s">
        <v>49</v>
      </c>
      <c r="Q25" t="s">
        <v>139</v>
      </c>
      <c r="R25">
        <v>2</v>
      </c>
      <c r="S25">
        <v>6999</v>
      </c>
      <c r="T25">
        <v>0.15</v>
      </c>
      <c r="U25">
        <v>11898.3</v>
      </c>
      <c r="V25">
        <v>8600</v>
      </c>
      <c r="W25">
        <v>3298.3</v>
      </c>
      <c r="X25" t="s">
        <v>75</v>
      </c>
      <c r="Y25" t="s">
        <v>68</v>
      </c>
      <c r="Z25" t="s">
        <v>162</v>
      </c>
      <c r="AA25" t="s">
        <v>166</v>
      </c>
      <c r="AB25">
        <v>5</v>
      </c>
      <c r="AC25">
        <v>40</v>
      </c>
      <c r="AD25">
        <v>519.75</v>
      </c>
      <c r="AE25">
        <f t="shared" si="0"/>
        <v>2738.55</v>
      </c>
      <c r="AF25" t="str">
        <f t="shared" si="1"/>
        <v>2025-01</v>
      </c>
      <c r="AG25">
        <f>SUBTOTAL(103,A25)</f>
        <v>1</v>
      </c>
    </row>
    <row r="26" spans="1:33" x14ac:dyDescent="0.3">
      <c r="A26" t="s">
        <v>2619</v>
      </c>
      <c r="B26" s="13">
        <v>45661</v>
      </c>
      <c r="C26">
        <v>2025</v>
      </c>
      <c r="D26">
        <v>1</v>
      </c>
      <c r="E26" t="s">
        <v>2571</v>
      </c>
      <c r="F26" t="s">
        <v>2572</v>
      </c>
      <c r="G26" t="s">
        <v>1279</v>
      </c>
      <c r="H26" t="s">
        <v>1280</v>
      </c>
      <c r="I26" t="s">
        <v>85</v>
      </c>
      <c r="J26">
        <v>52</v>
      </c>
      <c r="K26" t="s">
        <v>83</v>
      </c>
      <c r="L26" t="s">
        <v>100</v>
      </c>
      <c r="M26" t="s">
        <v>56</v>
      </c>
      <c r="N26" t="s">
        <v>2577</v>
      </c>
      <c r="O26" t="s">
        <v>129</v>
      </c>
      <c r="P26" t="s">
        <v>49</v>
      </c>
      <c r="Q26" t="s">
        <v>149</v>
      </c>
      <c r="R26">
        <v>5</v>
      </c>
      <c r="S26">
        <v>1299</v>
      </c>
      <c r="T26">
        <v>0.25</v>
      </c>
      <c r="U26">
        <v>4871.25</v>
      </c>
      <c r="V26">
        <v>3250</v>
      </c>
      <c r="W26">
        <v>1621.25</v>
      </c>
      <c r="X26" t="s">
        <v>76</v>
      </c>
      <c r="Y26" t="s">
        <v>69</v>
      </c>
      <c r="Z26" t="s">
        <v>162</v>
      </c>
      <c r="AA26" t="s">
        <v>169</v>
      </c>
      <c r="AB26">
        <v>4</v>
      </c>
      <c r="AC26">
        <v>60</v>
      </c>
      <c r="AD26">
        <v>496.29</v>
      </c>
      <c r="AE26">
        <f t="shared" si="0"/>
        <v>1064.96</v>
      </c>
      <c r="AF26" t="str">
        <f t="shared" si="1"/>
        <v>2025-01</v>
      </c>
      <c r="AG26">
        <f>SUBTOTAL(103,A26)</f>
        <v>1</v>
      </c>
    </row>
    <row r="27" spans="1:33" x14ac:dyDescent="0.3">
      <c r="A27" t="s">
        <v>2620</v>
      </c>
      <c r="B27" s="13">
        <v>45661</v>
      </c>
      <c r="C27">
        <v>2025</v>
      </c>
      <c r="D27">
        <v>1</v>
      </c>
      <c r="E27" t="s">
        <v>2571</v>
      </c>
      <c r="F27" t="s">
        <v>2572</v>
      </c>
      <c r="G27" t="s">
        <v>1501</v>
      </c>
      <c r="H27" t="s">
        <v>1502</v>
      </c>
      <c r="I27" t="s">
        <v>85</v>
      </c>
      <c r="J27">
        <v>39</v>
      </c>
      <c r="K27" t="s">
        <v>82</v>
      </c>
      <c r="L27" t="s">
        <v>92</v>
      </c>
      <c r="M27" t="s">
        <v>59</v>
      </c>
      <c r="N27" t="s">
        <v>2574</v>
      </c>
      <c r="O27" t="s">
        <v>130</v>
      </c>
      <c r="P27" t="s">
        <v>50</v>
      </c>
      <c r="Q27" t="s">
        <v>53</v>
      </c>
      <c r="R27">
        <v>1</v>
      </c>
      <c r="S27">
        <v>1199</v>
      </c>
      <c r="T27">
        <v>0.1</v>
      </c>
      <c r="U27">
        <v>0</v>
      </c>
      <c r="V27">
        <v>0</v>
      </c>
      <c r="W27">
        <v>0</v>
      </c>
      <c r="X27" t="s">
        <v>76</v>
      </c>
      <c r="Y27" t="s">
        <v>71</v>
      </c>
      <c r="Z27" t="s">
        <v>158</v>
      </c>
      <c r="AA27" t="s">
        <v>166</v>
      </c>
      <c r="AB27">
        <v>3.8</v>
      </c>
      <c r="AC27">
        <v>80</v>
      </c>
      <c r="AD27">
        <v>38.25</v>
      </c>
      <c r="AE27">
        <f t="shared" si="0"/>
        <v>-118.25</v>
      </c>
      <c r="AF27" t="str">
        <f t="shared" si="1"/>
        <v>2025-01</v>
      </c>
      <c r="AG27">
        <f>SUBTOTAL(103,A27)</f>
        <v>1</v>
      </c>
    </row>
    <row r="28" spans="1:33" x14ac:dyDescent="0.3">
      <c r="A28" t="s">
        <v>2621</v>
      </c>
      <c r="B28" s="13">
        <v>45661</v>
      </c>
      <c r="C28">
        <v>2025</v>
      </c>
      <c r="D28">
        <v>1</v>
      </c>
      <c r="E28" t="s">
        <v>2571</v>
      </c>
      <c r="F28" t="s">
        <v>2572</v>
      </c>
      <c r="G28" t="s">
        <v>791</v>
      </c>
      <c r="H28" t="s">
        <v>792</v>
      </c>
      <c r="I28" t="s">
        <v>86</v>
      </c>
      <c r="J28">
        <v>28</v>
      </c>
      <c r="K28" t="s">
        <v>81</v>
      </c>
      <c r="L28" t="s">
        <v>2579</v>
      </c>
      <c r="M28" t="s">
        <v>56</v>
      </c>
      <c r="N28" t="s">
        <v>2580</v>
      </c>
      <c r="O28" t="s">
        <v>118</v>
      </c>
      <c r="P28" t="s">
        <v>48</v>
      </c>
      <c r="Q28" t="s">
        <v>142</v>
      </c>
      <c r="R28">
        <v>2</v>
      </c>
      <c r="S28">
        <v>3999</v>
      </c>
      <c r="T28">
        <v>0.1</v>
      </c>
      <c r="U28">
        <v>7198.2</v>
      </c>
      <c r="V28">
        <v>4800</v>
      </c>
      <c r="W28">
        <v>2398.1999999999998</v>
      </c>
      <c r="X28" t="s">
        <v>75</v>
      </c>
      <c r="Y28" t="s">
        <v>68</v>
      </c>
      <c r="Z28" t="s">
        <v>160</v>
      </c>
      <c r="AA28" t="s">
        <v>167</v>
      </c>
      <c r="AB28">
        <v>4.0999999999999996</v>
      </c>
      <c r="AC28">
        <v>80</v>
      </c>
      <c r="AD28">
        <v>253.2</v>
      </c>
      <c r="AE28">
        <f t="shared" si="0"/>
        <v>2065</v>
      </c>
      <c r="AF28" t="str">
        <f t="shared" si="1"/>
        <v>2025-01</v>
      </c>
      <c r="AG28">
        <f>SUBTOTAL(103,A28)</f>
        <v>1</v>
      </c>
    </row>
    <row r="29" spans="1:33" x14ac:dyDescent="0.3">
      <c r="A29" t="s">
        <v>2622</v>
      </c>
      <c r="B29" s="13">
        <v>45661</v>
      </c>
      <c r="C29">
        <v>2025</v>
      </c>
      <c r="D29">
        <v>1</v>
      </c>
      <c r="E29" t="s">
        <v>2571</v>
      </c>
      <c r="F29" t="s">
        <v>2572</v>
      </c>
      <c r="G29" t="s">
        <v>1761</v>
      </c>
      <c r="H29" t="s">
        <v>1762</v>
      </c>
      <c r="I29" t="s">
        <v>85</v>
      </c>
      <c r="J29">
        <v>40</v>
      </c>
      <c r="K29" t="s">
        <v>82</v>
      </c>
      <c r="L29" t="s">
        <v>2623</v>
      </c>
      <c r="M29" t="s">
        <v>61</v>
      </c>
      <c r="N29" t="s">
        <v>2603</v>
      </c>
      <c r="O29" t="s">
        <v>122</v>
      </c>
      <c r="P29" t="s">
        <v>48</v>
      </c>
      <c r="Q29" t="s">
        <v>141</v>
      </c>
      <c r="R29">
        <v>2</v>
      </c>
      <c r="S29">
        <v>2499</v>
      </c>
      <c r="T29">
        <v>0.05</v>
      </c>
      <c r="U29">
        <v>4748.1000000000004</v>
      </c>
      <c r="V29">
        <v>2900</v>
      </c>
      <c r="W29">
        <v>1848.1</v>
      </c>
      <c r="X29" t="s">
        <v>76</v>
      </c>
      <c r="Y29" t="s">
        <v>68</v>
      </c>
      <c r="Z29" t="s">
        <v>161</v>
      </c>
      <c r="AA29" t="s">
        <v>166</v>
      </c>
      <c r="AB29">
        <v>4.4000000000000004</v>
      </c>
      <c r="AC29">
        <v>60</v>
      </c>
      <c r="AD29">
        <v>459.04</v>
      </c>
      <c r="AE29">
        <f t="shared" si="0"/>
        <v>1329.06</v>
      </c>
      <c r="AF29" t="str">
        <f t="shared" si="1"/>
        <v>2025-01</v>
      </c>
      <c r="AG29">
        <f>SUBTOTAL(103,A29)</f>
        <v>1</v>
      </c>
    </row>
    <row r="30" spans="1:33" x14ac:dyDescent="0.3">
      <c r="A30" t="s">
        <v>2624</v>
      </c>
      <c r="B30" s="13">
        <v>45661</v>
      </c>
      <c r="C30">
        <v>2025</v>
      </c>
      <c r="D30">
        <v>1</v>
      </c>
      <c r="E30" t="s">
        <v>2571</v>
      </c>
      <c r="F30" t="s">
        <v>2572</v>
      </c>
      <c r="G30" t="s">
        <v>667</v>
      </c>
      <c r="H30" t="s">
        <v>668</v>
      </c>
      <c r="I30" t="s">
        <v>85</v>
      </c>
      <c r="J30">
        <v>60</v>
      </c>
      <c r="K30" t="s">
        <v>83</v>
      </c>
      <c r="L30" t="s">
        <v>95</v>
      </c>
      <c r="M30" t="s">
        <v>56</v>
      </c>
      <c r="N30" t="s">
        <v>2587</v>
      </c>
      <c r="O30" t="s">
        <v>116</v>
      </c>
      <c r="P30" t="s">
        <v>48</v>
      </c>
      <c r="Q30" t="s">
        <v>138</v>
      </c>
      <c r="R30">
        <v>1</v>
      </c>
      <c r="S30">
        <v>14999</v>
      </c>
      <c r="T30">
        <v>0.05</v>
      </c>
      <c r="U30">
        <v>14249.05</v>
      </c>
      <c r="V30">
        <v>11200</v>
      </c>
      <c r="W30">
        <v>3049.05</v>
      </c>
      <c r="X30" t="s">
        <v>74</v>
      </c>
      <c r="Y30" t="s">
        <v>68</v>
      </c>
      <c r="Z30" t="s">
        <v>159</v>
      </c>
      <c r="AA30" t="s">
        <v>171</v>
      </c>
      <c r="AB30">
        <v>4.5</v>
      </c>
      <c r="AC30">
        <v>50</v>
      </c>
      <c r="AD30">
        <v>1669.15</v>
      </c>
      <c r="AE30">
        <f t="shared" si="0"/>
        <v>1329.9</v>
      </c>
      <c r="AF30" t="str">
        <f t="shared" si="1"/>
        <v>2025-01</v>
      </c>
      <c r="AG30">
        <f>SUBTOTAL(103,A30)</f>
        <v>1</v>
      </c>
    </row>
    <row r="31" spans="1:33" x14ac:dyDescent="0.3">
      <c r="A31" t="s">
        <v>2625</v>
      </c>
      <c r="B31" s="13">
        <v>45661</v>
      </c>
      <c r="C31">
        <v>2025</v>
      </c>
      <c r="D31">
        <v>1</v>
      </c>
      <c r="E31" t="s">
        <v>2571</v>
      </c>
      <c r="F31" t="s">
        <v>2572</v>
      </c>
      <c r="G31" t="s">
        <v>795</v>
      </c>
      <c r="H31" t="s">
        <v>796</v>
      </c>
      <c r="I31" t="s">
        <v>85</v>
      </c>
      <c r="J31">
        <v>33</v>
      </c>
      <c r="K31" t="s">
        <v>81</v>
      </c>
      <c r="L31" t="s">
        <v>93</v>
      </c>
      <c r="M31" t="s">
        <v>55</v>
      </c>
      <c r="N31" t="s">
        <v>2626</v>
      </c>
      <c r="O31" t="s">
        <v>125</v>
      </c>
      <c r="P31" t="s">
        <v>48</v>
      </c>
      <c r="Q31" t="s">
        <v>141</v>
      </c>
      <c r="R31">
        <v>1</v>
      </c>
      <c r="S31">
        <v>1999</v>
      </c>
      <c r="T31">
        <v>0.05</v>
      </c>
      <c r="U31">
        <v>1899.05</v>
      </c>
      <c r="V31">
        <v>1150</v>
      </c>
      <c r="W31">
        <v>749.05</v>
      </c>
      <c r="X31" t="s">
        <v>73</v>
      </c>
      <c r="Y31" t="s">
        <v>69</v>
      </c>
      <c r="Z31" t="s">
        <v>158</v>
      </c>
      <c r="AA31" t="s">
        <v>167</v>
      </c>
      <c r="AB31">
        <v>4.7</v>
      </c>
      <c r="AC31">
        <v>80</v>
      </c>
      <c r="AD31">
        <v>193.57</v>
      </c>
      <c r="AE31">
        <f t="shared" si="0"/>
        <v>475.47999999999996</v>
      </c>
      <c r="AF31" t="str">
        <f t="shared" si="1"/>
        <v>2025-01</v>
      </c>
      <c r="AG31">
        <f>SUBTOTAL(103,A31)</f>
        <v>1</v>
      </c>
    </row>
    <row r="32" spans="1:33" x14ac:dyDescent="0.3">
      <c r="A32" t="s">
        <v>2627</v>
      </c>
      <c r="B32" s="13">
        <v>45662</v>
      </c>
      <c r="C32">
        <v>2025</v>
      </c>
      <c r="D32">
        <v>1</v>
      </c>
      <c r="E32" t="s">
        <v>2571</v>
      </c>
      <c r="F32" t="s">
        <v>2572</v>
      </c>
      <c r="G32" t="s">
        <v>691</v>
      </c>
      <c r="H32" t="s">
        <v>692</v>
      </c>
      <c r="I32" t="s">
        <v>86</v>
      </c>
      <c r="J32">
        <v>32</v>
      </c>
      <c r="K32" t="s">
        <v>81</v>
      </c>
      <c r="L32" t="s">
        <v>59</v>
      </c>
      <c r="M32" t="s">
        <v>59</v>
      </c>
      <c r="N32" t="s">
        <v>2590</v>
      </c>
      <c r="O32" t="s">
        <v>127</v>
      </c>
      <c r="P32" t="s">
        <v>51</v>
      </c>
      <c r="Q32" t="s">
        <v>148</v>
      </c>
      <c r="R32">
        <v>4</v>
      </c>
      <c r="S32">
        <v>1599</v>
      </c>
      <c r="T32">
        <v>0.15</v>
      </c>
      <c r="U32">
        <v>5436.6</v>
      </c>
      <c r="V32">
        <v>3200</v>
      </c>
      <c r="W32">
        <v>2236.6</v>
      </c>
      <c r="X32" t="s">
        <v>73</v>
      </c>
      <c r="Y32" t="s">
        <v>68</v>
      </c>
      <c r="Z32" t="s">
        <v>158</v>
      </c>
      <c r="AA32" t="s">
        <v>166</v>
      </c>
      <c r="AB32">
        <v>5</v>
      </c>
      <c r="AC32">
        <v>80</v>
      </c>
      <c r="AD32">
        <v>586.36</v>
      </c>
      <c r="AE32">
        <f t="shared" si="0"/>
        <v>1570.2399999999998</v>
      </c>
      <c r="AF32" t="str">
        <f t="shared" si="1"/>
        <v>2025-01</v>
      </c>
      <c r="AG32">
        <f>SUBTOTAL(103,A32)</f>
        <v>1</v>
      </c>
    </row>
    <row r="33" spans="1:33" x14ac:dyDescent="0.3">
      <c r="A33" t="s">
        <v>2628</v>
      </c>
      <c r="B33" s="13">
        <v>45663</v>
      </c>
      <c r="C33">
        <v>2025</v>
      </c>
      <c r="D33">
        <v>1</v>
      </c>
      <c r="E33" t="s">
        <v>2571</v>
      </c>
      <c r="F33" t="s">
        <v>2572</v>
      </c>
      <c r="G33" t="s">
        <v>1535</v>
      </c>
      <c r="H33" t="s">
        <v>1536</v>
      </c>
      <c r="I33" t="s">
        <v>85</v>
      </c>
      <c r="J33">
        <v>59</v>
      </c>
      <c r="K33" t="s">
        <v>83</v>
      </c>
      <c r="L33" t="s">
        <v>2599</v>
      </c>
      <c r="M33" t="s">
        <v>62</v>
      </c>
      <c r="N33" t="s">
        <v>2596</v>
      </c>
      <c r="O33" t="s">
        <v>124</v>
      </c>
      <c r="P33" t="s">
        <v>51</v>
      </c>
      <c r="Q33" t="s">
        <v>147</v>
      </c>
      <c r="R33">
        <v>1</v>
      </c>
      <c r="S33">
        <v>2299</v>
      </c>
      <c r="T33">
        <v>0.1</v>
      </c>
      <c r="U33">
        <v>0</v>
      </c>
      <c r="V33">
        <v>0</v>
      </c>
      <c r="W33">
        <v>0</v>
      </c>
      <c r="X33" t="s">
        <v>73</v>
      </c>
      <c r="Y33" t="s">
        <v>71</v>
      </c>
      <c r="Z33" t="s">
        <v>158</v>
      </c>
      <c r="AA33" t="s">
        <v>168</v>
      </c>
      <c r="AB33">
        <v>3.7</v>
      </c>
      <c r="AC33">
        <v>50</v>
      </c>
      <c r="AD33">
        <v>207.72</v>
      </c>
      <c r="AE33">
        <f t="shared" si="0"/>
        <v>-257.72000000000003</v>
      </c>
      <c r="AF33" t="str">
        <f t="shared" si="1"/>
        <v>2025-01</v>
      </c>
      <c r="AG33">
        <f>SUBTOTAL(103,A33)</f>
        <v>1</v>
      </c>
    </row>
    <row r="34" spans="1:33" x14ac:dyDescent="0.3">
      <c r="A34" t="s">
        <v>2629</v>
      </c>
      <c r="B34" s="13">
        <v>45663</v>
      </c>
      <c r="C34">
        <v>2025</v>
      </c>
      <c r="D34">
        <v>1</v>
      </c>
      <c r="E34" t="s">
        <v>2571</v>
      </c>
      <c r="F34" t="s">
        <v>2572</v>
      </c>
      <c r="G34" t="s">
        <v>351</v>
      </c>
      <c r="H34" t="s">
        <v>352</v>
      </c>
      <c r="I34" t="s">
        <v>86</v>
      </c>
      <c r="J34">
        <v>25</v>
      </c>
      <c r="K34" t="s">
        <v>80</v>
      </c>
      <c r="L34" t="s">
        <v>91</v>
      </c>
      <c r="M34" t="s">
        <v>55</v>
      </c>
      <c r="N34" t="s">
        <v>2630</v>
      </c>
      <c r="O34" t="s">
        <v>123</v>
      </c>
      <c r="P34" t="s">
        <v>52</v>
      </c>
      <c r="Q34" t="s">
        <v>146</v>
      </c>
      <c r="R34">
        <v>4</v>
      </c>
      <c r="S34">
        <v>2499</v>
      </c>
      <c r="T34">
        <v>0.1</v>
      </c>
      <c r="U34">
        <v>8996.4</v>
      </c>
      <c r="V34">
        <v>5600</v>
      </c>
      <c r="W34">
        <v>3396.4</v>
      </c>
      <c r="X34" t="s">
        <v>73</v>
      </c>
      <c r="Y34" t="s">
        <v>68</v>
      </c>
      <c r="Z34" t="s">
        <v>158</v>
      </c>
      <c r="AA34" t="s">
        <v>171</v>
      </c>
      <c r="AB34">
        <v>4.4000000000000004</v>
      </c>
      <c r="AC34">
        <v>60</v>
      </c>
      <c r="AD34">
        <v>956.68</v>
      </c>
      <c r="AE34">
        <f t="shared" si="0"/>
        <v>2379.7200000000003</v>
      </c>
      <c r="AF34" t="str">
        <f t="shared" si="1"/>
        <v>2025-01</v>
      </c>
      <c r="AG34">
        <f>SUBTOTAL(103,A34)</f>
        <v>1</v>
      </c>
    </row>
    <row r="35" spans="1:33" x14ac:dyDescent="0.3">
      <c r="A35" t="s">
        <v>2631</v>
      </c>
      <c r="B35" s="13">
        <v>45663</v>
      </c>
      <c r="C35">
        <v>2025</v>
      </c>
      <c r="D35">
        <v>1</v>
      </c>
      <c r="E35" t="s">
        <v>2571</v>
      </c>
      <c r="F35" t="s">
        <v>2572</v>
      </c>
      <c r="G35" t="s">
        <v>275</v>
      </c>
      <c r="H35" t="s">
        <v>276</v>
      </c>
      <c r="I35" t="s">
        <v>86</v>
      </c>
      <c r="J35">
        <v>29</v>
      </c>
      <c r="K35" t="s">
        <v>81</v>
      </c>
      <c r="L35" t="s">
        <v>97</v>
      </c>
      <c r="M35" t="s">
        <v>57</v>
      </c>
      <c r="N35" t="s">
        <v>2587</v>
      </c>
      <c r="O35" t="s">
        <v>116</v>
      </c>
      <c r="P35" t="s">
        <v>48</v>
      </c>
      <c r="Q35" t="s">
        <v>138</v>
      </c>
      <c r="R35">
        <v>4</v>
      </c>
      <c r="S35">
        <v>14999</v>
      </c>
      <c r="T35">
        <v>0.05</v>
      </c>
      <c r="U35">
        <v>56996.2</v>
      </c>
      <c r="V35">
        <v>44800</v>
      </c>
      <c r="W35">
        <v>12196.2</v>
      </c>
      <c r="X35" t="s">
        <v>75</v>
      </c>
      <c r="Y35" t="s">
        <v>68</v>
      </c>
      <c r="Z35" t="s">
        <v>158</v>
      </c>
      <c r="AA35" t="s">
        <v>171</v>
      </c>
      <c r="AB35">
        <v>4.4000000000000004</v>
      </c>
      <c r="AC35">
        <v>40</v>
      </c>
      <c r="AD35">
        <v>4705.2299999999996</v>
      </c>
      <c r="AE35">
        <f t="shared" si="0"/>
        <v>7450.9700000000012</v>
      </c>
      <c r="AF35" t="str">
        <f t="shared" si="1"/>
        <v>2025-01</v>
      </c>
      <c r="AG35">
        <f>SUBTOTAL(103,A35)</f>
        <v>1</v>
      </c>
    </row>
    <row r="36" spans="1:33" x14ac:dyDescent="0.3">
      <c r="A36" t="s">
        <v>2632</v>
      </c>
      <c r="B36" s="13">
        <v>45663</v>
      </c>
      <c r="C36">
        <v>2025</v>
      </c>
      <c r="D36">
        <v>1</v>
      </c>
      <c r="E36" t="s">
        <v>2571</v>
      </c>
      <c r="F36" t="s">
        <v>2572</v>
      </c>
      <c r="G36" t="s">
        <v>1117</v>
      </c>
      <c r="H36" t="s">
        <v>1118</v>
      </c>
      <c r="I36" t="s">
        <v>86</v>
      </c>
      <c r="J36">
        <v>24</v>
      </c>
      <c r="K36" t="s">
        <v>80</v>
      </c>
      <c r="L36" t="s">
        <v>92</v>
      </c>
      <c r="M36" t="s">
        <v>59</v>
      </c>
      <c r="N36" t="s">
        <v>2594</v>
      </c>
      <c r="O36" t="s">
        <v>131</v>
      </c>
      <c r="P36" t="s">
        <v>53</v>
      </c>
      <c r="Q36" t="s">
        <v>143</v>
      </c>
      <c r="R36">
        <v>1</v>
      </c>
      <c r="S36">
        <v>999</v>
      </c>
      <c r="T36">
        <v>0.1</v>
      </c>
      <c r="U36">
        <v>899.1</v>
      </c>
      <c r="V36">
        <v>520</v>
      </c>
      <c r="W36">
        <v>379.1</v>
      </c>
      <c r="X36" t="s">
        <v>74</v>
      </c>
      <c r="Y36" t="s">
        <v>68</v>
      </c>
      <c r="Z36" t="s">
        <v>162</v>
      </c>
      <c r="AA36" t="s">
        <v>168</v>
      </c>
      <c r="AB36">
        <v>4.5999999999999996</v>
      </c>
      <c r="AC36">
        <v>50</v>
      </c>
      <c r="AD36">
        <v>39.979999999999997</v>
      </c>
      <c r="AE36">
        <f t="shared" si="0"/>
        <v>289.12</v>
      </c>
      <c r="AF36" t="str">
        <f t="shared" si="1"/>
        <v>2025-01</v>
      </c>
      <c r="AG36">
        <f>SUBTOTAL(103,A36)</f>
        <v>1</v>
      </c>
    </row>
    <row r="37" spans="1:33" x14ac:dyDescent="0.3">
      <c r="A37" t="s">
        <v>2633</v>
      </c>
      <c r="B37" s="13">
        <v>45664</v>
      </c>
      <c r="C37">
        <v>2025</v>
      </c>
      <c r="D37">
        <v>1</v>
      </c>
      <c r="E37" t="s">
        <v>2571</v>
      </c>
      <c r="F37" t="s">
        <v>2572</v>
      </c>
      <c r="G37" t="s">
        <v>747</v>
      </c>
      <c r="H37" t="s">
        <v>748</v>
      </c>
      <c r="I37" t="s">
        <v>86</v>
      </c>
      <c r="J37">
        <v>31</v>
      </c>
      <c r="K37" t="s">
        <v>81</v>
      </c>
      <c r="L37" t="s">
        <v>2634</v>
      </c>
      <c r="M37" t="s">
        <v>56</v>
      </c>
      <c r="N37" t="s">
        <v>2626</v>
      </c>
      <c r="O37" t="s">
        <v>125</v>
      </c>
      <c r="P37" t="s">
        <v>48</v>
      </c>
      <c r="Q37" t="s">
        <v>141</v>
      </c>
      <c r="R37">
        <v>3</v>
      </c>
      <c r="S37">
        <v>1999</v>
      </c>
      <c r="T37">
        <v>0.25</v>
      </c>
      <c r="U37">
        <v>4497.75</v>
      </c>
      <c r="V37">
        <v>3450</v>
      </c>
      <c r="W37">
        <v>1047.75</v>
      </c>
      <c r="X37" t="s">
        <v>76</v>
      </c>
      <c r="Y37" t="s">
        <v>68</v>
      </c>
      <c r="Z37" t="s">
        <v>158</v>
      </c>
      <c r="AA37" t="s">
        <v>170</v>
      </c>
      <c r="AB37">
        <v>3.8</v>
      </c>
      <c r="AC37">
        <v>50</v>
      </c>
      <c r="AD37">
        <v>135.75</v>
      </c>
      <c r="AE37">
        <f t="shared" si="0"/>
        <v>862</v>
      </c>
      <c r="AF37" t="str">
        <f t="shared" si="1"/>
        <v>2025-01</v>
      </c>
      <c r="AG37">
        <f>SUBTOTAL(103,A37)</f>
        <v>1</v>
      </c>
    </row>
    <row r="38" spans="1:33" x14ac:dyDescent="0.3">
      <c r="A38" t="s">
        <v>2635</v>
      </c>
      <c r="B38" s="13">
        <v>45664</v>
      </c>
      <c r="C38">
        <v>2025</v>
      </c>
      <c r="D38">
        <v>1</v>
      </c>
      <c r="E38" t="s">
        <v>2571</v>
      </c>
      <c r="F38" t="s">
        <v>2572</v>
      </c>
      <c r="G38" t="s">
        <v>2243</v>
      </c>
      <c r="H38" t="s">
        <v>2244</v>
      </c>
      <c r="I38" t="s">
        <v>85</v>
      </c>
      <c r="J38">
        <v>51</v>
      </c>
      <c r="K38" t="s">
        <v>83</v>
      </c>
      <c r="L38" t="s">
        <v>93</v>
      </c>
      <c r="M38" t="s">
        <v>55</v>
      </c>
      <c r="N38" t="s">
        <v>2603</v>
      </c>
      <c r="O38" t="s">
        <v>122</v>
      </c>
      <c r="P38" t="s">
        <v>48</v>
      </c>
      <c r="Q38" t="s">
        <v>141</v>
      </c>
      <c r="R38">
        <v>1</v>
      </c>
      <c r="S38">
        <v>2499</v>
      </c>
      <c r="T38">
        <v>0</v>
      </c>
      <c r="U38">
        <v>2499</v>
      </c>
      <c r="V38">
        <v>1450</v>
      </c>
      <c r="W38">
        <v>1049</v>
      </c>
      <c r="X38" t="s">
        <v>76</v>
      </c>
      <c r="Y38" t="s">
        <v>68</v>
      </c>
      <c r="Z38" t="s">
        <v>159</v>
      </c>
      <c r="AA38" t="s">
        <v>166</v>
      </c>
      <c r="AB38">
        <v>4.5</v>
      </c>
      <c r="AC38">
        <v>60</v>
      </c>
      <c r="AD38">
        <v>247.2</v>
      </c>
      <c r="AE38">
        <f t="shared" si="0"/>
        <v>741.8</v>
      </c>
      <c r="AF38" t="str">
        <f t="shared" si="1"/>
        <v>2025-01</v>
      </c>
      <c r="AG38">
        <f>SUBTOTAL(103,A38)</f>
        <v>1</v>
      </c>
    </row>
    <row r="39" spans="1:33" x14ac:dyDescent="0.3">
      <c r="A39" t="s">
        <v>2636</v>
      </c>
      <c r="B39" s="13">
        <v>45664</v>
      </c>
      <c r="C39">
        <v>2025</v>
      </c>
      <c r="D39">
        <v>1</v>
      </c>
      <c r="E39" t="s">
        <v>2571</v>
      </c>
      <c r="F39" t="s">
        <v>2572</v>
      </c>
      <c r="G39" t="s">
        <v>1647</v>
      </c>
      <c r="H39" t="s">
        <v>1648</v>
      </c>
      <c r="I39" t="s">
        <v>86</v>
      </c>
      <c r="J39">
        <v>21</v>
      </c>
      <c r="K39" t="s">
        <v>80</v>
      </c>
      <c r="L39" t="s">
        <v>2637</v>
      </c>
      <c r="M39" t="s">
        <v>64</v>
      </c>
      <c r="N39" t="s">
        <v>2594</v>
      </c>
      <c r="O39" t="s">
        <v>131</v>
      </c>
      <c r="P39" t="s">
        <v>53</v>
      </c>
      <c r="Q39" t="s">
        <v>143</v>
      </c>
      <c r="R39">
        <v>1</v>
      </c>
      <c r="S39">
        <v>999</v>
      </c>
      <c r="T39">
        <v>0.1</v>
      </c>
      <c r="U39">
        <v>899.1</v>
      </c>
      <c r="V39">
        <v>520</v>
      </c>
      <c r="W39">
        <v>379.1</v>
      </c>
      <c r="X39" t="s">
        <v>73</v>
      </c>
      <c r="Y39" t="s">
        <v>69</v>
      </c>
      <c r="Z39" t="s">
        <v>158</v>
      </c>
      <c r="AA39" t="s">
        <v>168</v>
      </c>
      <c r="AB39">
        <v>4.0999999999999996</v>
      </c>
      <c r="AC39">
        <v>40</v>
      </c>
      <c r="AD39">
        <v>65.069999999999993</v>
      </c>
      <c r="AE39">
        <f t="shared" si="0"/>
        <v>274.03000000000003</v>
      </c>
      <c r="AF39" t="str">
        <f t="shared" si="1"/>
        <v>2025-01</v>
      </c>
      <c r="AG39">
        <f>SUBTOTAL(103,A39)</f>
        <v>1</v>
      </c>
    </row>
    <row r="40" spans="1:33" x14ac:dyDescent="0.3">
      <c r="A40" t="s">
        <v>2638</v>
      </c>
      <c r="B40" s="13">
        <v>45664</v>
      </c>
      <c r="C40">
        <v>2025</v>
      </c>
      <c r="D40">
        <v>1</v>
      </c>
      <c r="E40" t="s">
        <v>2571</v>
      </c>
      <c r="F40" t="s">
        <v>2572</v>
      </c>
      <c r="G40" t="s">
        <v>287</v>
      </c>
      <c r="H40" t="s">
        <v>288</v>
      </c>
      <c r="I40" t="s">
        <v>86</v>
      </c>
      <c r="J40">
        <v>56</v>
      </c>
      <c r="K40" t="s">
        <v>83</v>
      </c>
      <c r="L40" t="s">
        <v>2616</v>
      </c>
      <c r="M40" t="s">
        <v>62</v>
      </c>
      <c r="N40" t="s">
        <v>2592</v>
      </c>
      <c r="O40" t="s">
        <v>115</v>
      </c>
      <c r="P40" t="s">
        <v>48</v>
      </c>
      <c r="Q40" t="s">
        <v>137</v>
      </c>
      <c r="R40">
        <v>1</v>
      </c>
      <c r="S40">
        <v>12999</v>
      </c>
      <c r="T40">
        <v>0.1</v>
      </c>
      <c r="U40">
        <v>11699.1</v>
      </c>
      <c r="V40">
        <v>9000</v>
      </c>
      <c r="W40">
        <v>2699.1</v>
      </c>
      <c r="X40" t="s">
        <v>73</v>
      </c>
      <c r="Y40" t="s">
        <v>68</v>
      </c>
      <c r="Z40" t="s">
        <v>160</v>
      </c>
      <c r="AA40" t="s">
        <v>170</v>
      </c>
      <c r="AB40">
        <v>4.4000000000000004</v>
      </c>
      <c r="AC40">
        <v>50</v>
      </c>
      <c r="AD40">
        <v>732.24</v>
      </c>
      <c r="AE40">
        <f t="shared" si="0"/>
        <v>1916.86</v>
      </c>
      <c r="AF40" t="str">
        <f t="shared" si="1"/>
        <v>2025-01</v>
      </c>
      <c r="AG40">
        <f>SUBTOTAL(103,A40)</f>
        <v>1</v>
      </c>
    </row>
    <row r="41" spans="1:33" x14ac:dyDescent="0.3">
      <c r="A41" t="s">
        <v>2639</v>
      </c>
      <c r="B41" s="13">
        <v>45664</v>
      </c>
      <c r="C41">
        <v>2025</v>
      </c>
      <c r="D41">
        <v>1</v>
      </c>
      <c r="E41" t="s">
        <v>2571</v>
      </c>
      <c r="F41" t="s">
        <v>2572</v>
      </c>
      <c r="G41" t="s">
        <v>287</v>
      </c>
      <c r="H41" t="s">
        <v>288</v>
      </c>
      <c r="I41" t="s">
        <v>86</v>
      </c>
      <c r="J41">
        <v>56</v>
      </c>
      <c r="K41" t="s">
        <v>83</v>
      </c>
      <c r="L41" t="s">
        <v>2616</v>
      </c>
      <c r="M41" t="s">
        <v>62</v>
      </c>
      <c r="N41" t="s">
        <v>2601</v>
      </c>
      <c r="O41" t="s">
        <v>117</v>
      </c>
      <c r="P41" t="s">
        <v>49</v>
      </c>
      <c r="Q41" t="s">
        <v>139</v>
      </c>
      <c r="R41">
        <v>2</v>
      </c>
      <c r="S41">
        <v>6999</v>
      </c>
      <c r="T41">
        <v>0.15</v>
      </c>
      <c r="U41">
        <v>11898.3</v>
      </c>
      <c r="V41">
        <v>8600</v>
      </c>
      <c r="W41">
        <v>3298.3</v>
      </c>
      <c r="X41" t="s">
        <v>75</v>
      </c>
      <c r="Y41" t="s">
        <v>68</v>
      </c>
      <c r="Z41" t="s">
        <v>161</v>
      </c>
      <c r="AA41" t="s">
        <v>167</v>
      </c>
      <c r="AB41">
        <v>3.6</v>
      </c>
      <c r="AC41">
        <v>100</v>
      </c>
      <c r="AD41">
        <v>1215.26</v>
      </c>
      <c r="AE41">
        <f t="shared" si="0"/>
        <v>1983.0400000000002</v>
      </c>
      <c r="AF41" t="str">
        <f t="shared" si="1"/>
        <v>2025-01</v>
      </c>
      <c r="AG41">
        <f>SUBTOTAL(103,A41)</f>
        <v>1</v>
      </c>
    </row>
    <row r="42" spans="1:33" x14ac:dyDescent="0.3">
      <c r="A42" t="s">
        <v>2640</v>
      </c>
      <c r="B42" s="13">
        <v>45664</v>
      </c>
      <c r="C42">
        <v>2025</v>
      </c>
      <c r="D42">
        <v>1</v>
      </c>
      <c r="E42" t="s">
        <v>2571</v>
      </c>
      <c r="F42" t="s">
        <v>2572</v>
      </c>
      <c r="G42" t="s">
        <v>1929</v>
      </c>
      <c r="H42" t="s">
        <v>1930</v>
      </c>
      <c r="I42" t="s">
        <v>85</v>
      </c>
      <c r="J42">
        <v>38</v>
      </c>
      <c r="K42" t="s">
        <v>82</v>
      </c>
      <c r="L42" t="s">
        <v>100</v>
      </c>
      <c r="M42" t="s">
        <v>56</v>
      </c>
      <c r="N42" t="s">
        <v>2594</v>
      </c>
      <c r="O42" t="s">
        <v>131</v>
      </c>
      <c r="P42" t="s">
        <v>53</v>
      </c>
      <c r="Q42" t="s">
        <v>143</v>
      </c>
      <c r="R42">
        <v>2</v>
      </c>
      <c r="S42">
        <v>999</v>
      </c>
      <c r="T42">
        <v>0.2</v>
      </c>
      <c r="U42">
        <v>1598.4</v>
      </c>
      <c r="V42">
        <v>1040</v>
      </c>
      <c r="W42">
        <v>558.4</v>
      </c>
      <c r="X42" t="s">
        <v>76</v>
      </c>
      <c r="Y42" t="s">
        <v>68</v>
      </c>
      <c r="Z42" t="s">
        <v>159</v>
      </c>
      <c r="AA42" t="s">
        <v>168</v>
      </c>
      <c r="AB42">
        <v>5</v>
      </c>
      <c r="AC42">
        <v>50</v>
      </c>
      <c r="AD42">
        <v>153.34</v>
      </c>
      <c r="AE42">
        <f t="shared" si="0"/>
        <v>355.05999999999995</v>
      </c>
      <c r="AF42" t="str">
        <f t="shared" si="1"/>
        <v>2025-01</v>
      </c>
      <c r="AG42">
        <f>SUBTOTAL(103,A42)</f>
        <v>1</v>
      </c>
    </row>
    <row r="43" spans="1:33" x14ac:dyDescent="0.3">
      <c r="A43" t="s">
        <v>2641</v>
      </c>
      <c r="B43" s="13">
        <v>45664</v>
      </c>
      <c r="C43">
        <v>2025</v>
      </c>
      <c r="D43">
        <v>1</v>
      </c>
      <c r="E43" t="s">
        <v>2571</v>
      </c>
      <c r="F43" t="s">
        <v>2572</v>
      </c>
      <c r="G43" t="s">
        <v>225</v>
      </c>
      <c r="H43" t="s">
        <v>226</v>
      </c>
      <c r="I43" t="s">
        <v>86</v>
      </c>
      <c r="J43">
        <v>38</v>
      </c>
      <c r="K43" t="s">
        <v>82</v>
      </c>
      <c r="L43" t="s">
        <v>59</v>
      </c>
      <c r="M43" t="s">
        <v>59</v>
      </c>
      <c r="N43" t="s">
        <v>2592</v>
      </c>
      <c r="O43" t="s">
        <v>115</v>
      </c>
      <c r="P43" t="s">
        <v>48</v>
      </c>
      <c r="Q43" t="s">
        <v>137</v>
      </c>
      <c r="R43">
        <v>5</v>
      </c>
      <c r="S43">
        <v>12999</v>
      </c>
      <c r="T43">
        <v>0</v>
      </c>
      <c r="U43">
        <v>64995</v>
      </c>
      <c r="V43">
        <v>45000</v>
      </c>
      <c r="W43">
        <v>19995</v>
      </c>
      <c r="X43" t="s">
        <v>73</v>
      </c>
      <c r="Y43" t="s">
        <v>68</v>
      </c>
      <c r="Z43" t="s">
        <v>161</v>
      </c>
      <c r="AA43" t="s">
        <v>168</v>
      </c>
      <c r="AB43">
        <v>4.5</v>
      </c>
      <c r="AC43">
        <v>100</v>
      </c>
      <c r="AD43">
        <v>1940.98</v>
      </c>
      <c r="AE43">
        <f t="shared" si="0"/>
        <v>17954.02</v>
      </c>
      <c r="AF43" t="str">
        <f t="shared" si="1"/>
        <v>2025-01</v>
      </c>
      <c r="AG43">
        <f>SUBTOTAL(103,A43)</f>
        <v>1</v>
      </c>
    </row>
    <row r="44" spans="1:33" x14ac:dyDescent="0.3">
      <c r="A44" t="s">
        <v>2642</v>
      </c>
      <c r="B44" s="13">
        <v>45664</v>
      </c>
      <c r="C44">
        <v>2025</v>
      </c>
      <c r="D44">
        <v>1</v>
      </c>
      <c r="E44" t="s">
        <v>2571</v>
      </c>
      <c r="F44" t="s">
        <v>2572</v>
      </c>
      <c r="G44" t="s">
        <v>347</v>
      </c>
      <c r="H44" t="s">
        <v>348</v>
      </c>
      <c r="I44" t="s">
        <v>86</v>
      </c>
      <c r="J44">
        <v>33</v>
      </c>
      <c r="K44" t="s">
        <v>81</v>
      </c>
      <c r="L44" t="s">
        <v>96</v>
      </c>
      <c r="M44" t="s">
        <v>55</v>
      </c>
      <c r="N44" t="s">
        <v>2630</v>
      </c>
      <c r="O44" t="s">
        <v>123</v>
      </c>
      <c r="P44" t="s">
        <v>52</v>
      </c>
      <c r="Q44" t="s">
        <v>146</v>
      </c>
      <c r="R44">
        <v>2</v>
      </c>
      <c r="S44">
        <v>2499</v>
      </c>
      <c r="T44">
        <v>0.1</v>
      </c>
      <c r="U44">
        <v>4498.2</v>
      </c>
      <c r="V44">
        <v>2800</v>
      </c>
      <c r="W44">
        <v>1698.2</v>
      </c>
      <c r="X44" t="s">
        <v>73</v>
      </c>
      <c r="Y44" t="s">
        <v>68</v>
      </c>
      <c r="Z44" t="s">
        <v>158</v>
      </c>
      <c r="AA44" t="s">
        <v>171</v>
      </c>
      <c r="AB44">
        <v>4.8</v>
      </c>
      <c r="AC44">
        <v>50</v>
      </c>
      <c r="AD44">
        <v>100.95</v>
      </c>
      <c r="AE44">
        <f t="shared" si="0"/>
        <v>1547.25</v>
      </c>
      <c r="AF44" t="str">
        <f t="shared" si="1"/>
        <v>2025-01</v>
      </c>
      <c r="AG44">
        <f>SUBTOTAL(103,A44)</f>
        <v>1</v>
      </c>
    </row>
    <row r="45" spans="1:33" x14ac:dyDescent="0.3">
      <c r="A45" t="s">
        <v>2643</v>
      </c>
      <c r="B45" s="13">
        <v>45664</v>
      </c>
      <c r="C45">
        <v>2025</v>
      </c>
      <c r="D45">
        <v>1</v>
      </c>
      <c r="E45" t="s">
        <v>2571</v>
      </c>
      <c r="F45" t="s">
        <v>2572</v>
      </c>
      <c r="G45" t="s">
        <v>1101</v>
      </c>
      <c r="H45" t="s">
        <v>1102</v>
      </c>
      <c r="I45" t="s">
        <v>85</v>
      </c>
      <c r="J45">
        <v>55</v>
      </c>
      <c r="K45" t="s">
        <v>83</v>
      </c>
      <c r="L45" t="s">
        <v>2579</v>
      </c>
      <c r="M45" t="s">
        <v>56</v>
      </c>
      <c r="N45" t="s">
        <v>2644</v>
      </c>
      <c r="O45" t="s">
        <v>126</v>
      </c>
      <c r="P45" t="s">
        <v>50</v>
      </c>
      <c r="Q45" t="s">
        <v>145</v>
      </c>
      <c r="R45">
        <v>2</v>
      </c>
      <c r="S45">
        <v>1799</v>
      </c>
      <c r="T45">
        <v>0.1</v>
      </c>
      <c r="U45">
        <v>3238.2</v>
      </c>
      <c r="V45">
        <v>1900</v>
      </c>
      <c r="W45">
        <v>1338.2</v>
      </c>
      <c r="X45" t="s">
        <v>74</v>
      </c>
      <c r="Y45" t="s">
        <v>68</v>
      </c>
      <c r="Z45" t="s">
        <v>163</v>
      </c>
      <c r="AA45" t="s">
        <v>166</v>
      </c>
      <c r="AB45">
        <v>4.5999999999999996</v>
      </c>
      <c r="AC45">
        <v>60</v>
      </c>
      <c r="AD45">
        <v>332.87</v>
      </c>
      <c r="AE45">
        <f t="shared" si="0"/>
        <v>945.33</v>
      </c>
      <c r="AF45" t="str">
        <f t="shared" si="1"/>
        <v>2025-01</v>
      </c>
      <c r="AG45">
        <f>SUBTOTAL(103,A45)</f>
        <v>1</v>
      </c>
    </row>
    <row r="46" spans="1:33" x14ac:dyDescent="0.3">
      <c r="A46" t="s">
        <v>2645</v>
      </c>
      <c r="B46" s="13">
        <v>45664</v>
      </c>
      <c r="C46">
        <v>2025</v>
      </c>
      <c r="D46">
        <v>1</v>
      </c>
      <c r="E46" t="s">
        <v>2571</v>
      </c>
      <c r="F46" t="s">
        <v>2572</v>
      </c>
      <c r="G46" t="s">
        <v>2051</v>
      </c>
      <c r="H46" t="s">
        <v>2052</v>
      </c>
      <c r="I46" t="s">
        <v>86</v>
      </c>
      <c r="J46">
        <v>24</v>
      </c>
      <c r="K46" t="s">
        <v>80</v>
      </c>
      <c r="L46" t="s">
        <v>2646</v>
      </c>
      <c r="M46" t="s">
        <v>63</v>
      </c>
      <c r="N46" t="s">
        <v>2647</v>
      </c>
      <c r="O46" t="s">
        <v>133</v>
      </c>
      <c r="P46" t="s">
        <v>50</v>
      </c>
      <c r="Q46" t="s">
        <v>145</v>
      </c>
      <c r="R46">
        <v>3</v>
      </c>
      <c r="S46">
        <v>799</v>
      </c>
      <c r="T46">
        <v>0.15</v>
      </c>
      <c r="U46">
        <v>2037.45</v>
      </c>
      <c r="V46">
        <v>1170</v>
      </c>
      <c r="W46">
        <v>867.45</v>
      </c>
      <c r="X46" t="s">
        <v>75</v>
      </c>
      <c r="Y46" t="s">
        <v>68</v>
      </c>
      <c r="Z46" t="s">
        <v>160</v>
      </c>
      <c r="AA46" t="s">
        <v>167</v>
      </c>
      <c r="AB46">
        <v>4.8</v>
      </c>
      <c r="AC46">
        <v>40</v>
      </c>
      <c r="AD46">
        <v>218.75</v>
      </c>
      <c r="AE46">
        <f t="shared" si="0"/>
        <v>608.70000000000005</v>
      </c>
      <c r="AF46" t="str">
        <f t="shared" si="1"/>
        <v>2025-01</v>
      </c>
      <c r="AG46">
        <f>SUBTOTAL(103,A46)</f>
        <v>1</v>
      </c>
    </row>
    <row r="47" spans="1:33" x14ac:dyDescent="0.3">
      <c r="A47" t="s">
        <v>2648</v>
      </c>
      <c r="B47" s="13">
        <v>45664</v>
      </c>
      <c r="C47">
        <v>2025</v>
      </c>
      <c r="D47">
        <v>1</v>
      </c>
      <c r="E47" t="s">
        <v>2571</v>
      </c>
      <c r="F47" t="s">
        <v>2572</v>
      </c>
      <c r="G47" t="s">
        <v>271</v>
      </c>
      <c r="H47" t="s">
        <v>272</v>
      </c>
      <c r="I47" t="s">
        <v>86</v>
      </c>
      <c r="J47">
        <v>51</v>
      </c>
      <c r="K47" t="s">
        <v>83</v>
      </c>
      <c r="L47" t="s">
        <v>92</v>
      </c>
      <c r="M47" t="s">
        <v>59</v>
      </c>
      <c r="N47" t="s">
        <v>2577</v>
      </c>
      <c r="O47" t="s">
        <v>129</v>
      </c>
      <c r="P47" t="s">
        <v>49</v>
      </c>
      <c r="Q47" t="s">
        <v>149</v>
      </c>
      <c r="R47">
        <v>5</v>
      </c>
      <c r="S47">
        <v>1299</v>
      </c>
      <c r="T47">
        <v>0.05</v>
      </c>
      <c r="U47">
        <v>6170.25</v>
      </c>
      <c r="V47">
        <v>3250</v>
      </c>
      <c r="W47">
        <v>2920.25</v>
      </c>
      <c r="X47" t="s">
        <v>74</v>
      </c>
      <c r="Y47" t="s">
        <v>68</v>
      </c>
      <c r="Z47" t="s">
        <v>158</v>
      </c>
      <c r="AA47" t="s">
        <v>166</v>
      </c>
      <c r="AB47">
        <v>4.5</v>
      </c>
      <c r="AC47">
        <v>100</v>
      </c>
      <c r="AD47">
        <v>629.24</v>
      </c>
      <c r="AE47">
        <f t="shared" si="0"/>
        <v>2191.0100000000002</v>
      </c>
      <c r="AF47" t="str">
        <f t="shared" si="1"/>
        <v>2025-01</v>
      </c>
      <c r="AG47">
        <f>SUBTOTAL(103,A47)</f>
        <v>1</v>
      </c>
    </row>
    <row r="48" spans="1:33" x14ac:dyDescent="0.3">
      <c r="A48" t="s">
        <v>2649</v>
      </c>
      <c r="B48" s="13">
        <v>45665</v>
      </c>
      <c r="C48">
        <v>2025</v>
      </c>
      <c r="D48">
        <v>1</v>
      </c>
      <c r="E48" t="s">
        <v>2571</v>
      </c>
      <c r="F48" t="s">
        <v>2572</v>
      </c>
      <c r="G48" t="s">
        <v>815</v>
      </c>
      <c r="H48" t="s">
        <v>816</v>
      </c>
      <c r="I48" t="s">
        <v>85</v>
      </c>
      <c r="J48">
        <v>47</v>
      </c>
      <c r="K48" t="s">
        <v>83</v>
      </c>
      <c r="L48" t="s">
        <v>95</v>
      </c>
      <c r="M48" t="s">
        <v>56</v>
      </c>
      <c r="N48" t="s">
        <v>2596</v>
      </c>
      <c r="O48" t="s">
        <v>124</v>
      </c>
      <c r="P48" t="s">
        <v>51</v>
      </c>
      <c r="Q48" t="s">
        <v>147</v>
      </c>
      <c r="R48">
        <v>2</v>
      </c>
      <c r="S48">
        <v>2299</v>
      </c>
      <c r="T48">
        <v>0.15</v>
      </c>
      <c r="U48">
        <v>3908.3</v>
      </c>
      <c r="V48">
        <v>2400</v>
      </c>
      <c r="W48">
        <v>1508.3</v>
      </c>
      <c r="X48" t="s">
        <v>75</v>
      </c>
      <c r="Y48" t="s">
        <v>68</v>
      </c>
      <c r="Z48" t="s">
        <v>158</v>
      </c>
      <c r="AA48" t="s">
        <v>171</v>
      </c>
      <c r="AB48">
        <v>4.5</v>
      </c>
      <c r="AC48">
        <v>60</v>
      </c>
      <c r="AD48">
        <v>375.29</v>
      </c>
      <c r="AE48">
        <f t="shared" si="0"/>
        <v>1073.01</v>
      </c>
      <c r="AF48" t="str">
        <f t="shared" si="1"/>
        <v>2025-01</v>
      </c>
      <c r="AG48">
        <f>SUBTOTAL(103,A48)</f>
        <v>1</v>
      </c>
    </row>
    <row r="49" spans="1:33" x14ac:dyDescent="0.3">
      <c r="A49" t="s">
        <v>2650</v>
      </c>
      <c r="B49" s="13">
        <v>45665</v>
      </c>
      <c r="C49">
        <v>2025</v>
      </c>
      <c r="D49">
        <v>1</v>
      </c>
      <c r="E49" t="s">
        <v>2571</v>
      </c>
      <c r="F49" t="s">
        <v>2572</v>
      </c>
      <c r="G49" t="s">
        <v>1155</v>
      </c>
      <c r="H49" t="s">
        <v>1156</v>
      </c>
      <c r="I49" t="s">
        <v>85</v>
      </c>
      <c r="J49">
        <v>18</v>
      </c>
      <c r="K49" t="s">
        <v>80</v>
      </c>
      <c r="L49" t="s">
        <v>2579</v>
      </c>
      <c r="M49" t="s">
        <v>56</v>
      </c>
      <c r="N49" t="s">
        <v>2580</v>
      </c>
      <c r="O49" t="s">
        <v>118</v>
      </c>
      <c r="P49" t="s">
        <v>48</v>
      </c>
      <c r="Q49" t="s">
        <v>142</v>
      </c>
      <c r="R49">
        <v>1</v>
      </c>
      <c r="S49">
        <v>3999</v>
      </c>
      <c r="T49">
        <v>0.2</v>
      </c>
      <c r="U49">
        <v>3199.2</v>
      </c>
      <c r="V49">
        <v>2400</v>
      </c>
      <c r="W49">
        <v>799.2</v>
      </c>
      <c r="X49" t="s">
        <v>75</v>
      </c>
      <c r="Y49" t="s">
        <v>68</v>
      </c>
      <c r="Z49" t="s">
        <v>161</v>
      </c>
      <c r="AA49" t="s">
        <v>166</v>
      </c>
      <c r="AB49">
        <v>4.5</v>
      </c>
      <c r="AC49">
        <v>60</v>
      </c>
      <c r="AD49">
        <v>78.069999999999993</v>
      </c>
      <c r="AE49">
        <f t="shared" si="0"/>
        <v>661.13000000000011</v>
      </c>
      <c r="AF49" t="str">
        <f t="shared" si="1"/>
        <v>2025-01</v>
      </c>
      <c r="AG49">
        <f>SUBTOTAL(103,A49)</f>
        <v>1</v>
      </c>
    </row>
    <row r="50" spans="1:33" x14ac:dyDescent="0.3">
      <c r="A50" t="s">
        <v>2651</v>
      </c>
      <c r="B50" s="13">
        <v>45665</v>
      </c>
      <c r="C50">
        <v>2025</v>
      </c>
      <c r="D50">
        <v>1</v>
      </c>
      <c r="E50" t="s">
        <v>2571</v>
      </c>
      <c r="F50" t="s">
        <v>2572</v>
      </c>
      <c r="G50" t="s">
        <v>673</v>
      </c>
      <c r="H50" t="s">
        <v>674</v>
      </c>
      <c r="I50" t="s">
        <v>86</v>
      </c>
      <c r="J50">
        <v>43</v>
      </c>
      <c r="K50" t="s">
        <v>82</v>
      </c>
      <c r="L50" t="s">
        <v>97</v>
      </c>
      <c r="M50" t="s">
        <v>57</v>
      </c>
      <c r="N50" t="s">
        <v>2601</v>
      </c>
      <c r="O50" t="s">
        <v>117</v>
      </c>
      <c r="P50" t="s">
        <v>49</v>
      </c>
      <c r="Q50" t="s">
        <v>139</v>
      </c>
      <c r="R50">
        <v>1</v>
      </c>
      <c r="S50">
        <v>6999</v>
      </c>
      <c r="T50">
        <v>0.05</v>
      </c>
      <c r="U50">
        <v>6649.05</v>
      </c>
      <c r="V50">
        <v>4300</v>
      </c>
      <c r="W50">
        <v>2349.0500000000002</v>
      </c>
      <c r="X50" t="s">
        <v>73</v>
      </c>
      <c r="Y50" t="s">
        <v>68</v>
      </c>
      <c r="Z50" t="s">
        <v>158</v>
      </c>
      <c r="AA50" t="s">
        <v>170</v>
      </c>
      <c r="AB50">
        <v>4.5999999999999996</v>
      </c>
      <c r="AC50">
        <v>50</v>
      </c>
      <c r="AD50">
        <v>240.64</v>
      </c>
      <c r="AE50">
        <f t="shared" si="0"/>
        <v>2058.4100000000003</v>
      </c>
      <c r="AF50" t="str">
        <f t="shared" si="1"/>
        <v>2025-01</v>
      </c>
      <c r="AG50">
        <f>SUBTOTAL(103,A50)</f>
        <v>1</v>
      </c>
    </row>
    <row r="51" spans="1:33" x14ac:dyDescent="0.3">
      <c r="A51" t="s">
        <v>2652</v>
      </c>
      <c r="B51" s="13">
        <v>45665</v>
      </c>
      <c r="C51">
        <v>2025</v>
      </c>
      <c r="D51">
        <v>1</v>
      </c>
      <c r="E51" t="s">
        <v>2571</v>
      </c>
      <c r="F51" t="s">
        <v>2572</v>
      </c>
      <c r="G51" t="s">
        <v>1621</v>
      </c>
      <c r="H51" t="s">
        <v>1622</v>
      </c>
      <c r="I51" t="s">
        <v>85</v>
      </c>
      <c r="J51">
        <v>56</v>
      </c>
      <c r="K51" t="s">
        <v>83</v>
      </c>
      <c r="L51" t="s">
        <v>93</v>
      </c>
      <c r="M51" t="s">
        <v>55</v>
      </c>
      <c r="N51" t="s">
        <v>2653</v>
      </c>
      <c r="O51" t="s">
        <v>132</v>
      </c>
      <c r="P51" t="s">
        <v>52</v>
      </c>
      <c r="Q51" t="s">
        <v>150</v>
      </c>
      <c r="R51">
        <v>3</v>
      </c>
      <c r="S51">
        <v>899</v>
      </c>
      <c r="T51">
        <v>0</v>
      </c>
      <c r="U51">
        <v>2697</v>
      </c>
      <c r="V51">
        <v>1260</v>
      </c>
      <c r="W51">
        <v>1437</v>
      </c>
      <c r="X51" t="s">
        <v>76</v>
      </c>
      <c r="Y51" t="s">
        <v>68</v>
      </c>
      <c r="Z51" t="s">
        <v>159</v>
      </c>
      <c r="AA51" t="s">
        <v>170</v>
      </c>
      <c r="AB51">
        <v>2.7</v>
      </c>
      <c r="AC51">
        <v>50</v>
      </c>
      <c r="AD51">
        <v>310.63</v>
      </c>
      <c r="AE51">
        <f t="shared" si="0"/>
        <v>1076.3699999999999</v>
      </c>
      <c r="AF51" t="str">
        <f t="shared" si="1"/>
        <v>2025-01</v>
      </c>
      <c r="AG51">
        <f>SUBTOTAL(103,A51)</f>
        <v>1</v>
      </c>
    </row>
    <row r="52" spans="1:33" x14ac:dyDescent="0.3">
      <c r="A52" t="s">
        <v>2654</v>
      </c>
      <c r="B52" s="13">
        <v>45665</v>
      </c>
      <c r="C52">
        <v>2025</v>
      </c>
      <c r="D52">
        <v>1</v>
      </c>
      <c r="E52" t="s">
        <v>2571</v>
      </c>
      <c r="F52" t="s">
        <v>2572</v>
      </c>
      <c r="G52" t="s">
        <v>2069</v>
      </c>
      <c r="H52" t="s">
        <v>2070</v>
      </c>
      <c r="I52" t="s">
        <v>86</v>
      </c>
      <c r="J52">
        <v>20</v>
      </c>
      <c r="K52" t="s">
        <v>80</v>
      </c>
      <c r="L52" t="s">
        <v>99</v>
      </c>
      <c r="M52" t="s">
        <v>58</v>
      </c>
      <c r="N52" t="s">
        <v>2603</v>
      </c>
      <c r="O52" t="s">
        <v>122</v>
      </c>
      <c r="P52" t="s">
        <v>48</v>
      </c>
      <c r="Q52" t="s">
        <v>141</v>
      </c>
      <c r="R52">
        <v>1</v>
      </c>
      <c r="S52">
        <v>2499</v>
      </c>
      <c r="T52">
        <v>0.15</v>
      </c>
      <c r="U52">
        <v>2124.15</v>
      </c>
      <c r="V52">
        <v>1450</v>
      </c>
      <c r="W52">
        <v>674.15</v>
      </c>
      <c r="X52" t="s">
        <v>76</v>
      </c>
      <c r="Y52" t="s">
        <v>68</v>
      </c>
      <c r="Z52" t="s">
        <v>161</v>
      </c>
      <c r="AA52" t="s">
        <v>167</v>
      </c>
      <c r="AB52">
        <v>3.6</v>
      </c>
      <c r="AC52">
        <v>50</v>
      </c>
      <c r="AD52">
        <v>175.58</v>
      </c>
      <c r="AE52">
        <f t="shared" si="0"/>
        <v>448.56999999999994</v>
      </c>
      <c r="AF52" t="str">
        <f t="shared" si="1"/>
        <v>2025-01</v>
      </c>
      <c r="AG52">
        <f>SUBTOTAL(103,A52)</f>
        <v>1</v>
      </c>
    </row>
    <row r="53" spans="1:33" x14ac:dyDescent="0.3">
      <c r="A53" t="s">
        <v>2655</v>
      </c>
      <c r="B53" s="13">
        <v>45665</v>
      </c>
      <c r="C53">
        <v>2025</v>
      </c>
      <c r="D53">
        <v>1</v>
      </c>
      <c r="E53" t="s">
        <v>2571</v>
      </c>
      <c r="F53" t="s">
        <v>2572</v>
      </c>
      <c r="G53" t="s">
        <v>627</v>
      </c>
      <c r="H53" t="s">
        <v>628</v>
      </c>
      <c r="I53" t="s">
        <v>86</v>
      </c>
      <c r="J53">
        <v>46</v>
      </c>
      <c r="K53" t="s">
        <v>83</v>
      </c>
      <c r="L53" t="s">
        <v>94</v>
      </c>
      <c r="M53" t="s">
        <v>57</v>
      </c>
      <c r="N53" t="s">
        <v>2596</v>
      </c>
      <c r="O53" t="s">
        <v>124</v>
      </c>
      <c r="P53" t="s">
        <v>51</v>
      </c>
      <c r="Q53" t="s">
        <v>147</v>
      </c>
      <c r="R53">
        <v>4</v>
      </c>
      <c r="S53">
        <v>2299</v>
      </c>
      <c r="T53">
        <v>0.15</v>
      </c>
      <c r="U53">
        <v>7816.6</v>
      </c>
      <c r="V53">
        <v>4800</v>
      </c>
      <c r="W53">
        <v>3016.6</v>
      </c>
      <c r="X53" t="s">
        <v>76</v>
      </c>
      <c r="Y53" t="s">
        <v>69</v>
      </c>
      <c r="Z53" t="s">
        <v>160</v>
      </c>
      <c r="AA53" t="s">
        <v>168</v>
      </c>
      <c r="AB53">
        <v>4.8</v>
      </c>
      <c r="AC53">
        <v>60</v>
      </c>
      <c r="AD53">
        <v>724.85</v>
      </c>
      <c r="AE53">
        <f t="shared" si="0"/>
        <v>2231.75</v>
      </c>
      <c r="AF53" t="str">
        <f t="shared" si="1"/>
        <v>2025-01</v>
      </c>
      <c r="AG53">
        <f>SUBTOTAL(103,A53)</f>
        <v>1</v>
      </c>
    </row>
    <row r="54" spans="1:33" x14ac:dyDescent="0.3">
      <c r="A54" t="s">
        <v>2656</v>
      </c>
      <c r="B54" s="13">
        <v>45666</v>
      </c>
      <c r="C54">
        <v>2025</v>
      </c>
      <c r="D54">
        <v>1</v>
      </c>
      <c r="E54" t="s">
        <v>2571</v>
      </c>
      <c r="F54" t="s">
        <v>2572</v>
      </c>
      <c r="G54" t="s">
        <v>2537</v>
      </c>
      <c r="H54" t="s">
        <v>2538</v>
      </c>
      <c r="I54" t="s">
        <v>86</v>
      </c>
      <c r="J54">
        <v>37</v>
      </c>
      <c r="K54" t="s">
        <v>82</v>
      </c>
      <c r="L54" t="s">
        <v>90</v>
      </c>
      <c r="M54" t="s">
        <v>55</v>
      </c>
      <c r="N54" t="s">
        <v>2657</v>
      </c>
      <c r="O54" t="s">
        <v>134</v>
      </c>
      <c r="P54" t="s">
        <v>49</v>
      </c>
      <c r="Q54" t="s">
        <v>140</v>
      </c>
      <c r="R54">
        <v>1</v>
      </c>
      <c r="S54">
        <v>599</v>
      </c>
      <c r="T54">
        <v>0</v>
      </c>
      <c r="U54">
        <v>599</v>
      </c>
      <c r="V54">
        <v>250</v>
      </c>
      <c r="W54">
        <v>349</v>
      </c>
      <c r="X54" t="s">
        <v>74</v>
      </c>
      <c r="Y54" t="s">
        <v>68</v>
      </c>
      <c r="Z54" t="s">
        <v>162</v>
      </c>
      <c r="AA54" t="s">
        <v>171</v>
      </c>
      <c r="AB54">
        <v>4.0999999999999996</v>
      </c>
      <c r="AC54">
        <v>40</v>
      </c>
      <c r="AD54">
        <v>51.92</v>
      </c>
      <c r="AE54">
        <f t="shared" si="0"/>
        <v>257.08</v>
      </c>
      <c r="AF54" t="str">
        <f t="shared" si="1"/>
        <v>2025-01</v>
      </c>
      <c r="AG54">
        <f>SUBTOTAL(103,A54)</f>
        <v>1</v>
      </c>
    </row>
    <row r="55" spans="1:33" x14ac:dyDescent="0.3">
      <c r="A55" t="s">
        <v>2658</v>
      </c>
      <c r="B55" s="13">
        <v>45666</v>
      </c>
      <c r="C55">
        <v>2025</v>
      </c>
      <c r="D55">
        <v>1</v>
      </c>
      <c r="E55" t="s">
        <v>2571</v>
      </c>
      <c r="F55" t="s">
        <v>2572</v>
      </c>
      <c r="G55" t="s">
        <v>945</v>
      </c>
      <c r="H55" t="s">
        <v>946</v>
      </c>
      <c r="I55" t="s">
        <v>85</v>
      </c>
      <c r="J55">
        <v>20</v>
      </c>
      <c r="K55" t="s">
        <v>80</v>
      </c>
      <c r="L55" t="s">
        <v>97</v>
      </c>
      <c r="M55" t="s">
        <v>57</v>
      </c>
      <c r="N55" t="s">
        <v>2587</v>
      </c>
      <c r="O55" t="s">
        <v>116</v>
      </c>
      <c r="P55" t="s">
        <v>48</v>
      </c>
      <c r="Q55" t="s">
        <v>138</v>
      </c>
      <c r="R55">
        <v>2</v>
      </c>
      <c r="S55">
        <v>14999</v>
      </c>
      <c r="T55">
        <v>0.15</v>
      </c>
      <c r="U55">
        <v>25498.3</v>
      </c>
      <c r="V55">
        <v>22400</v>
      </c>
      <c r="W55">
        <v>3098.3</v>
      </c>
      <c r="X55" t="s">
        <v>74</v>
      </c>
      <c r="Y55" t="s">
        <v>68</v>
      </c>
      <c r="Z55" t="s">
        <v>162</v>
      </c>
      <c r="AA55" t="s">
        <v>170</v>
      </c>
      <c r="AB55">
        <v>3.2</v>
      </c>
      <c r="AC55">
        <v>50</v>
      </c>
      <c r="AD55">
        <v>1526.89</v>
      </c>
      <c r="AE55">
        <f t="shared" si="0"/>
        <v>1521.41</v>
      </c>
      <c r="AF55" t="str">
        <f t="shared" si="1"/>
        <v>2025-01</v>
      </c>
      <c r="AG55">
        <f>SUBTOTAL(103,A55)</f>
        <v>1</v>
      </c>
    </row>
    <row r="56" spans="1:33" x14ac:dyDescent="0.3">
      <c r="A56" t="s">
        <v>2659</v>
      </c>
      <c r="B56" s="13">
        <v>45666</v>
      </c>
      <c r="C56">
        <v>2025</v>
      </c>
      <c r="D56">
        <v>1</v>
      </c>
      <c r="E56" t="s">
        <v>2571</v>
      </c>
      <c r="F56" t="s">
        <v>2572</v>
      </c>
      <c r="G56" t="s">
        <v>1717</v>
      </c>
      <c r="H56" t="s">
        <v>1718</v>
      </c>
      <c r="I56" t="s">
        <v>85</v>
      </c>
      <c r="J56">
        <v>21</v>
      </c>
      <c r="K56" t="s">
        <v>80</v>
      </c>
      <c r="L56" t="s">
        <v>2576</v>
      </c>
      <c r="M56" t="s">
        <v>60</v>
      </c>
      <c r="N56" t="s">
        <v>2657</v>
      </c>
      <c r="O56" t="s">
        <v>134</v>
      </c>
      <c r="P56" t="s">
        <v>49</v>
      </c>
      <c r="Q56" t="s">
        <v>140</v>
      </c>
      <c r="R56">
        <v>2</v>
      </c>
      <c r="S56">
        <v>599</v>
      </c>
      <c r="T56">
        <v>0.1</v>
      </c>
      <c r="U56">
        <v>1078.2</v>
      </c>
      <c r="V56">
        <v>500</v>
      </c>
      <c r="W56">
        <v>578.20000000000005</v>
      </c>
      <c r="X56" t="s">
        <v>73</v>
      </c>
      <c r="Y56" t="s">
        <v>68</v>
      </c>
      <c r="Z56" t="s">
        <v>158</v>
      </c>
      <c r="AA56" t="s">
        <v>167</v>
      </c>
      <c r="AB56">
        <v>5</v>
      </c>
      <c r="AC56">
        <v>40</v>
      </c>
      <c r="AD56">
        <v>91.61</v>
      </c>
      <c r="AE56">
        <f t="shared" si="0"/>
        <v>446.59000000000003</v>
      </c>
      <c r="AF56" t="str">
        <f t="shared" si="1"/>
        <v>2025-01</v>
      </c>
      <c r="AG56">
        <f>SUBTOTAL(103,A56)</f>
        <v>1</v>
      </c>
    </row>
    <row r="57" spans="1:33" x14ac:dyDescent="0.3">
      <c r="A57" t="s">
        <v>2660</v>
      </c>
      <c r="B57" s="13">
        <v>45666</v>
      </c>
      <c r="C57">
        <v>2025</v>
      </c>
      <c r="D57">
        <v>1</v>
      </c>
      <c r="E57" t="s">
        <v>2571</v>
      </c>
      <c r="F57" t="s">
        <v>2572</v>
      </c>
      <c r="G57" t="s">
        <v>1627</v>
      </c>
      <c r="H57" t="s">
        <v>1628</v>
      </c>
      <c r="I57" t="s">
        <v>86</v>
      </c>
      <c r="J57">
        <v>22</v>
      </c>
      <c r="K57" t="s">
        <v>80</v>
      </c>
      <c r="L57" t="s">
        <v>2661</v>
      </c>
      <c r="M57" t="s">
        <v>58</v>
      </c>
      <c r="N57" t="s">
        <v>2647</v>
      </c>
      <c r="O57" t="s">
        <v>133</v>
      </c>
      <c r="P57" t="s">
        <v>50</v>
      </c>
      <c r="Q57" t="s">
        <v>145</v>
      </c>
      <c r="R57">
        <v>1</v>
      </c>
      <c r="S57">
        <v>799</v>
      </c>
      <c r="T57">
        <v>0.25</v>
      </c>
      <c r="U57">
        <v>599.25</v>
      </c>
      <c r="V57">
        <v>390</v>
      </c>
      <c r="W57">
        <v>209.25</v>
      </c>
      <c r="X57" t="s">
        <v>75</v>
      </c>
      <c r="Y57" t="s">
        <v>68</v>
      </c>
      <c r="Z57" t="s">
        <v>162</v>
      </c>
      <c r="AA57" t="s">
        <v>167</v>
      </c>
      <c r="AB57">
        <v>4.2</v>
      </c>
      <c r="AC57">
        <v>80</v>
      </c>
      <c r="AD57">
        <v>60.18</v>
      </c>
      <c r="AE57">
        <f t="shared" si="0"/>
        <v>69.069999999999993</v>
      </c>
      <c r="AF57" t="str">
        <f t="shared" si="1"/>
        <v>2025-01</v>
      </c>
      <c r="AG57">
        <f>SUBTOTAL(103,A57)</f>
        <v>1</v>
      </c>
    </row>
    <row r="58" spans="1:33" x14ac:dyDescent="0.3">
      <c r="A58" t="s">
        <v>2662</v>
      </c>
      <c r="B58" s="13">
        <v>45666</v>
      </c>
      <c r="C58">
        <v>2025</v>
      </c>
      <c r="D58">
        <v>1</v>
      </c>
      <c r="E58" t="s">
        <v>2571</v>
      </c>
      <c r="F58" t="s">
        <v>2572</v>
      </c>
      <c r="G58" t="s">
        <v>951</v>
      </c>
      <c r="H58" t="s">
        <v>952</v>
      </c>
      <c r="I58" t="s">
        <v>85</v>
      </c>
      <c r="J58">
        <v>49</v>
      </c>
      <c r="K58" t="s">
        <v>83</v>
      </c>
      <c r="L58" t="s">
        <v>90</v>
      </c>
      <c r="M58" t="s">
        <v>55</v>
      </c>
      <c r="N58" t="s">
        <v>2587</v>
      </c>
      <c r="O58" t="s">
        <v>116</v>
      </c>
      <c r="P58" t="s">
        <v>48</v>
      </c>
      <c r="Q58" t="s">
        <v>138</v>
      </c>
      <c r="R58">
        <v>2</v>
      </c>
      <c r="S58">
        <v>14999</v>
      </c>
      <c r="T58">
        <v>0.15</v>
      </c>
      <c r="U58">
        <v>25498.3</v>
      </c>
      <c r="V58">
        <v>22400</v>
      </c>
      <c r="W58">
        <v>3098.3</v>
      </c>
      <c r="X58" t="s">
        <v>73</v>
      </c>
      <c r="Y58" t="s">
        <v>68</v>
      </c>
      <c r="Z58" t="s">
        <v>160</v>
      </c>
      <c r="AA58" t="s">
        <v>166</v>
      </c>
      <c r="AB58">
        <v>3.3</v>
      </c>
      <c r="AC58">
        <v>40</v>
      </c>
      <c r="AD58">
        <v>621.44000000000005</v>
      </c>
      <c r="AE58">
        <f t="shared" si="0"/>
        <v>2436.86</v>
      </c>
      <c r="AF58" t="str">
        <f t="shared" si="1"/>
        <v>2025-01</v>
      </c>
      <c r="AG58">
        <f>SUBTOTAL(103,A58)</f>
        <v>1</v>
      </c>
    </row>
    <row r="59" spans="1:33" x14ac:dyDescent="0.3">
      <c r="A59" t="s">
        <v>2663</v>
      </c>
      <c r="B59" s="13">
        <v>45666</v>
      </c>
      <c r="C59">
        <v>2025</v>
      </c>
      <c r="D59">
        <v>1</v>
      </c>
      <c r="E59" t="s">
        <v>2571</v>
      </c>
      <c r="F59" t="s">
        <v>2572</v>
      </c>
      <c r="G59" t="s">
        <v>273</v>
      </c>
      <c r="H59" t="s">
        <v>274</v>
      </c>
      <c r="I59" t="s">
        <v>86</v>
      </c>
      <c r="J59">
        <v>36</v>
      </c>
      <c r="K59" t="s">
        <v>82</v>
      </c>
      <c r="L59" t="s">
        <v>99</v>
      </c>
      <c r="M59" t="s">
        <v>58</v>
      </c>
      <c r="N59" t="s">
        <v>2647</v>
      </c>
      <c r="O59" t="s">
        <v>133</v>
      </c>
      <c r="P59" t="s">
        <v>50</v>
      </c>
      <c r="Q59" t="s">
        <v>145</v>
      </c>
      <c r="R59">
        <v>2</v>
      </c>
      <c r="S59">
        <v>799</v>
      </c>
      <c r="T59">
        <v>0.15</v>
      </c>
      <c r="U59">
        <v>1358.3</v>
      </c>
      <c r="V59">
        <v>780</v>
      </c>
      <c r="W59">
        <v>578.29999999999995</v>
      </c>
      <c r="X59" t="s">
        <v>73</v>
      </c>
      <c r="Y59" t="s">
        <v>68</v>
      </c>
      <c r="Z59" t="s">
        <v>160</v>
      </c>
      <c r="AA59" t="s">
        <v>168</v>
      </c>
      <c r="AB59">
        <v>4.0999999999999996</v>
      </c>
      <c r="AC59">
        <v>80</v>
      </c>
      <c r="AD59">
        <v>71.05</v>
      </c>
      <c r="AE59">
        <f t="shared" si="0"/>
        <v>427.24999999999994</v>
      </c>
      <c r="AF59" t="str">
        <f t="shared" si="1"/>
        <v>2025-01</v>
      </c>
      <c r="AG59">
        <f>SUBTOTAL(103,A59)</f>
        <v>1</v>
      </c>
    </row>
    <row r="60" spans="1:33" x14ac:dyDescent="0.3">
      <c r="A60" t="s">
        <v>2664</v>
      </c>
      <c r="B60" s="13">
        <v>45666</v>
      </c>
      <c r="C60">
        <v>2025</v>
      </c>
      <c r="D60">
        <v>1</v>
      </c>
      <c r="E60" t="s">
        <v>2571</v>
      </c>
      <c r="F60" t="s">
        <v>2572</v>
      </c>
      <c r="G60" t="s">
        <v>675</v>
      </c>
      <c r="H60" t="s">
        <v>676</v>
      </c>
      <c r="I60" t="s">
        <v>85</v>
      </c>
      <c r="J60">
        <v>33</v>
      </c>
      <c r="K60" t="s">
        <v>81</v>
      </c>
      <c r="L60" t="s">
        <v>2605</v>
      </c>
      <c r="M60" t="s">
        <v>60</v>
      </c>
      <c r="N60" t="s">
        <v>2665</v>
      </c>
      <c r="O60" t="s">
        <v>128</v>
      </c>
      <c r="P60" t="s">
        <v>53</v>
      </c>
      <c r="Q60" t="s">
        <v>143</v>
      </c>
      <c r="R60">
        <v>4</v>
      </c>
      <c r="S60">
        <v>1499</v>
      </c>
      <c r="T60">
        <v>0.1</v>
      </c>
      <c r="U60">
        <v>5396.4</v>
      </c>
      <c r="V60">
        <v>3200</v>
      </c>
      <c r="W60">
        <v>2196.4</v>
      </c>
      <c r="X60" t="s">
        <v>75</v>
      </c>
      <c r="Y60" t="s">
        <v>68</v>
      </c>
      <c r="Z60" t="s">
        <v>163</v>
      </c>
      <c r="AA60" t="s">
        <v>167</v>
      </c>
      <c r="AB60">
        <v>4.9000000000000004</v>
      </c>
      <c r="AC60">
        <v>40</v>
      </c>
      <c r="AD60">
        <v>544.59</v>
      </c>
      <c r="AE60">
        <f t="shared" si="0"/>
        <v>1611.81</v>
      </c>
      <c r="AF60" t="str">
        <f t="shared" si="1"/>
        <v>2025-01</v>
      </c>
      <c r="AG60">
        <f>SUBTOTAL(103,A60)</f>
        <v>1</v>
      </c>
    </row>
    <row r="61" spans="1:33" x14ac:dyDescent="0.3">
      <c r="A61" t="s">
        <v>2666</v>
      </c>
      <c r="B61" s="13">
        <v>45666</v>
      </c>
      <c r="C61">
        <v>2025</v>
      </c>
      <c r="D61">
        <v>1</v>
      </c>
      <c r="E61" t="s">
        <v>2571</v>
      </c>
      <c r="F61" t="s">
        <v>2572</v>
      </c>
      <c r="G61" t="s">
        <v>189</v>
      </c>
      <c r="H61" t="s">
        <v>190</v>
      </c>
      <c r="I61" t="s">
        <v>85</v>
      </c>
      <c r="J61">
        <v>58</v>
      </c>
      <c r="K61" t="s">
        <v>83</v>
      </c>
      <c r="L61" t="s">
        <v>2616</v>
      </c>
      <c r="M61" t="s">
        <v>62</v>
      </c>
      <c r="N61" t="s">
        <v>2601</v>
      </c>
      <c r="O61" t="s">
        <v>117</v>
      </c>
      <c r="P61" t="s">
        <v>49</v>
      </c>
      <c r="Q61" t="s">
        <v>139</v>
      </c>
      <c r="R61">
        <v>4</v>
      </c>
      <c r="S61">
        <v>6999</v>
      </c>
      <c r="T61">
        <v>0.05</v>
      </c>
      <c r="U61">
        <v>26596.2</v>
      </c>
      <c r="V61">
        <v>17200</v>
      </c>
      <c r="W61">
        <v>9396.2000000000007</v>
      </c>
      <c r="X61" t="s">
        <v>74</v>
      </c>
      <c r="Y61" t="s">
        <v>68</v>
      </c>
      <c r="Z61" t="s">
        <v>158</v>
      </c>
      <c r="AA61" t="s">
        <v>167</v>
      </c>
      <c r="AB61">
        <v>3.1</v>
      </c>
      <c r="AC61">
        <v>80</v>
      </c>
      <c r="AD61">
        <v>2327.62</v>
      </c>
      <c r="AE61">
        <f t="shared" si="0"/>
        <v>6988.5800000000008</v>
      </c>
      <c r="AF61" t="str">
        <f t="shared" si="1"/>
        <v>2025-01</v>
      </c>
      <c r="AG61">
        <f>SUBTOTAL(103,A61)</f>
        <v>1</v>
      </c>
    </row>
    <row r="62" spans="1:33" x14ac:dyDescent="0.3">
      <c r="A62" t="s">
        <v>2667</v>
      </c>
      <c r="B62" s="13">
        <v>45667</v>
      </c>
      <c r="C62">
        <v>2025</v>
      </c>
      <c r="D62">
        <v>1</v>
      </c>
      <c r="E62" t="s">
        <v>2571</v>
      </c>
      <c r="F62" t="s">
        <v>2572</v>
      </c>
      <c r="G62" t="s">
        <v>193</v>
      </c>
      <c r="H62" t="s">
        <v>194</v>
      </c>
      <c r="I62" t="s">
        <v>86</v>
      </c>
      <c r="J62">
        <v>46</v>
      </c>
      <c r="K62" t="s">
        <v>83</v>
      </c>
      <c r="L62" t="s">
        <v>94</v>
      </c>
      <c r="M62" t="s">
        <v>57</v>
      </c>
      <c r="N62" t="s">
        <v>2657</v>
      </c>
      <c r="O62" t="s">
        <v>134</v>
      </c>
      <c r="P62" t="s">
        <v>49</v>
      </c>
      <c r="Q62" t="s">
        <v>140</v>
      </c>
      <c r="R62">
        <v>1</v>
      </c>
      <c r="S62">
        <v>599</v>
      </c>
      <c r="T62">
        <v>0.1</v>
      </c>
      <c r="U62">
        <v>539.1</v>
      </c>
      <c r="V62">
        <v>250</v>
      </c>
      <c r="W62">
        <v>289.10000000000002</v>
      </c>
      <c r="X62" t="s">
        <v>73</v>
      </c>
      <c r="Y62" t="s">
        <v>68</v>
      </c>
      <c r="Z62" t="s">
        <v>160</v>
      </c>
      <c r="AA62" t="s">
        <v>168</v>
      </c>
      <c r="AB62">
        <v>3.9</v>
      </c>
      <c r="AC62">
        <v>100</v>
      </c>
      <c r="AD62">
        <v>46.31</v>
      </c>
      <c r="AE62">
        <f t="shared" si="0"/>
        <v>142.79000000000002</v>
      </c>
      <c r="AF62" t="str">
        <f t="shared" si="1"/>
        <v>2025-01</v>
      </c>
      <c r="AG62">
        <f>SUBTOTAL(103,A62)</f>
        <v>1</v>
      </c>
    </row>
    <row r="63" spans="1:33" x14ac:dyDescent="0.3">
      <c r="A63" t="s">
        <v>2668</v>
      </c>
      <c r="B63" s="13">
        <v>45667</v>
      </c>
      <c r="C63">
        <v>2025</v>
      </c>
      <c r="D63">
        <v>1</v>
      </c>
      <c r="E63" t="s">
        <v>2571</v>
      </c>
      <c r="F63" t="s">
        <v>2572</v>
      </c>
      <c r="G63" t="s">
        <v>2317</v>
      </c>
      <c r="H63" t="s">
        <v>2318</v>
      </c>
      <c r="I63" t="s">
        <v>86</v>
      </c>
      <c r="J63">
        <v>22</v>
      </c>
      <c r="K63" t="s">
        <v>80</v>
      </c>
      <c r="L63" t="s">
        <v>2586</v>
      </c>
      <c r="M63" t="s">
        <v>62</v>
      </c>
      <c r="N63" t="s">
        <v>2653</v>
      </c>
      <c r="O63" t="s">
        <v>132</v>
      </c>
      <c r="P63" t="s">
        <v>52</v>
      </c>
      <c r="Q63" t="s">
        <v>150</v>
      </c>
      <c r="R63">
        <v>1</v>
      </c>
      <c r="S63">
        <v>899</v>
      </c>
      <c r="T63">
        <v>0</v>
      </c>
      <c r="U63">
        <v>899</v>
      </c>
      <c r="V63">
        <v>420</v>
      </c>
      <c r="W63">
        <v>479</v>
      </c>
      <c r="X63" t="s">
        <v>73</v>
      </c>
      <c r="Y63" t="s">
        <v>68</v>
      </c>
      <c r="Z63" t="s">
        <v>161</v>
      </c>
      <c r="AA63" t="s">
        <v>168</v>
      </c>
      <c r="AB63">
        <v>3.9</v>
      </c>
      <c r="AC63">
        <v>60</v>
      </c>
      <c r="AD63">
        <v>68.7</v>
      </c>
      <c r="AE63">
        <f t="shared" si="0"/>
        <v>350.3</v>
      </c>
      <c r="AF63" t="str">
        <f t="shared" si="1"/>
        <v>2025-01</v>
      </c>
      <c r="AG63">
        <f>SUBTOTAL(103,A63)</f>
        <v>1</v>
      </c>
    </row>
    <row r="64" spans="1:33" x14ac:dyDescent="0.3">
      <c r="A64" t="s">
        <v>2669</v>
      </c>
      <c r="B64" s="13">
        <v>45667</v>
      </c>
      <c r="C64">
        <v>2025</v>
      </c>
      <c r="D64">
        <v>1</v>
      </c>
      <c r="E64" t="s">
        <v>2571</v>
      </c>
      <c r="F64" t="s">
        <v>2572</v>
      </c>
      <c r="G64" t="s">
        <v>1061</v>
      </c>
      <c r="H64" t="s">
        <v>1062</v>
      </c>
      <c r="I64" t="s">
        <v>85</v>
      </c>
      <c r="J64">
        <v>44</v>
      </c>
      <c r="K64" t="s">
        <v>82</v>
      </c>
      <c r="L64" t="s">
        <v>100</v>
      </c>
      <c r="M64" t="s">
        <v>56</v>
      </c>
      <c r="N64" t="s">
        <v>2574</v>
      </c>
      <c r="O64" t="s">
        <v>130</v>
      </c>
      <c r="P64" t="s">
        <v>50</v>
      </c>
      <c r="Q64" t="s">
        <v>53</v>
      </c>
      <c r="R64">
        <v>1</v>
      </c>
      <c r="S64">
        <v>1199</v>
      </c>
      <c r="T64">
        <v>0.15</v>
      </c>
      <c r="U64">
        <v>1019.15</v>
      </c>
      <c r="V64">
        <v>550</v>
      </c>
      <c r="W64">
        <v>469.15</v>
      </c>
      <c r="X64" t="s">
        <v>73</v>
      </c>
      <c r="Y64" t="s">
        <v>69</v>
      </c>
      <c r="Z64" t="s">
        <v>162</v>
      </c>
      <c r="AA64" t="s">
        <v>168</v>
      </c>
      <c r="AB64">
        <v>3.6</v>
      </c>
      <c r="AC64">
        <v>80</v>
      </c>
      <c r="AD64">
        <v>119.63</v>
      </c>
      <c r="AE64">
        <f t="shared" si="0"/>
        <v>269.52</v>
      </c>
      <c r="AF64" t="str">
        <f t="shared" si="1"/>
        <v>2025-01</v>
      </c>
      <c r="AG64">
        <f>SUBTOTAL(103,A64)</f>
        <v>1</v>
      </c>
    </row>
    <row r="65" spans="1:33" x14ac:dyDescent="0.3">
      <c r="A65" t="s">
        <v>2670</v>
      </c>
      <c r="B65" s="13">
        <v>45667</v>
      </c>
      <c r="C65">
        <v>2025</v>
      </c>
      <c r="D65">
        <v>1</v>
      </c>
      <c r="E65" t="s">
        <v>2571</v>
      </c>
      <c r="F65" t="s">
        <v>2572</v>
      </c>
      <c r="G65" t="s">
        <v>1885</v>
      </c>
      <c r="H65" t="s">
        <v>1886</v>
      </c>
      <c r="I65" t="s">
        <v>86</v>
      </c>
      <c r="J65">
        <v>49</v>
      </c>
      <c r="K65" t="s">
        <v>83</v>
      </c>
      <c r="L65" t="s">
        <v>2610</v>
      </c>
      <c r="M65" t="s">
        <v>64</v>
      </c>
      <c r="N65" t="s">
        <v>2590</v>
      </c>
      <c r="O65" t="s">
        <v>127</v>
      </c>
      <c r="P65" t="s">
        <v>51</v>
      </c>
      <c r="Q65" t="s">
        <v>148</v>
      </c>
      <c r="R65">
        <v>1</v>
      </c>
      <c r="S65">
        <v>1599</v>
      </c>
      <c r="T65">
        <v>0</v>
      </c>
      <c r="U65">
        <v>1599</v>
      </c>
      <c r="V65">
        <v>800</v>
      </c>
      <c r="W65">
        <v>799</v>
      </c>
      <c r="X65" t="s">
        <v>73</v>
      </c>
      <c r="Y65" t="s">
        <v>68</v>
      </c>
      <c r="Z65" t="s">
        <v>158</v>
      </c>
      <c r="AA65" t="s">
        <v>166</v>
      </c>
      <c r="AB65">
        <v>3.6</v>
      </c>
      <c r="AC65">
        <v>60</v>
      </c>
      <c r="AD65">
        <v>160.19</v>
      </c>
      <c r="AE65">
        <f t="shared" si="0"/>
        <v>578.80999999999995</v>
      </c>
      <c r="AF65" t="str">
        <f t="shared" si="1"/>
        <v>2025-01</v>
      </c>
      <c r="AG65">
        <f>SUBTOTAL(103,A65)</f>
        <v>1</v>
      </c>
    </row>
    <row r="66" spans="1:33" x14ac:dyDescent="0.3">
      <c r="A66" t="s">
        <v>2671</v>
      </c>
      <c r="B66" s="13">
        <v>45667</v>
      </c>
      <c r="C66">
        <v>2025</v>
      </c>
      <c r="D66">
        <v>1</v>
      </c>
      <c r="E66" t="s">
        <v>2571</v>
      </c>
      <c r="F66" t="s">
        <v>2572</v>
      </c>
      <c r="G66" t="s">
        <v>437</v>
      </c>
      <c r="H66" t="s">
        <v>438</v>
      </c>
      <c r="I66" t="s">
        <v>86</v>
      </c>
      <c r="J66">
        <v>55</v>
      </c>
      <c r="K66" t="s">
        <v>83</v>
      </c>
      <c r="L66" t="s">
        <v>94</v>
      </c>
      <c r="M66" t="s">
        <v>57</v>
      </c>
      <c r="N66" t="s">
        <v>2587</v>
      </c>
      <c r="O66" t="s">
        <v>116</v>
      </c>
      <c r="P66" t="s">
        <v>48</v>
      </c>
      <c r="Q66" t="s">
        <v>138</v>
      </c>
      <c r="R66">
        <v>1</v>
      </c>
      <c r="S66">
        <v>14999</v>
      </c>
      <c r="T66">
        <v>0.05</v>
      </c>
      <c r="U66">
        <v>14249.05</v>
      </c>
      <c r="V66">
        <v>11200</v>
      </c>
      <c r="W66">
        <v>3049.05</v>
      </c>
      <c r="X66" t="s">
        <v>73</v>
      </c>
      <c r="Y66" t="s">
        <v>68</v>
      </c>
      <c r="Z66" t="s">
        <v>159</v>
      </c>
      <c r="AA66" t="s">
        <v>166</v>
      </c>
      <c r="AB66">
        <v>3.4</v>
      </c>
      <c r="AC66">
        <v>50</v>
      </c>
      <c r="AD66">
        <v>580.79999999999995</v>
      </c>
      <c r="AE66">
        <f t="shared" ref="AE66:AE129" si="2">W66-AC66-AD66</f>
        <v>2418.25</v>
      </c>
      <c r="AF66" t="str">
        <f t="shared" ref="AF66:AF129" si="3">C66&amp;"-"&amp;TEXT(D66,"00")</f>
        <v>2025-01</v>
      </c>
      <c r="AG66">
        <f>SUBTOTAL(103,A66)</f>
        <v>1</v>
      </c>
    </row>
    <row r="67" spans="1:33" x14ac:dyDescent="0.3">
      <c r="A67" t="s">
        <v>2672</v>
      </c>
      <c r="B67" s="13">
        <v>45667</v>
      </c>
      <c r="C67">
        <v>2025</v>
      </c>
      <c r="D67">
        <v>1</v>
      </c>
      <c r="E67" t="s">
        <v>2571</v>
      </c>
      <c r="F67" t="s">
        <v>2572</v>
      </c>
      <c r="G67" t="s">
        <v>1115</v>
      </c>
      <c r="H67" t="s">
        <v>1116</v>
      </c>
      <c r="I67" t="s">
        <v>85</v>
      </c>
      <c r="J67">
        <v>54</v>
      </c>
      <c r="K67" t="s">
        <v>83</v>
      </c>
      <c r="L67" t="s">
        <v>92</v>
      </c>
      <c r="M67" t="s">
        <v>59</v>
      </c>
      <c r="N67" t="s">
        <v>2596</v>
      </c>
      <c r="O67" t="s">
        <v>124</v>
      </c>
      <c r="P67" t="s">
        <v>51</v>
      </c>
      <c r="Q67" t="s">
        <v>147</v>
      </c>
      <c r="R67">
        <v>1</v>
      </c>
      <c r="S67">
        <v>2299</v>
      </c>
      <c r="T67">
        <v>0</v>
      </c>
      <c r="U67">
        <v>2299</v>
      </c>
      <c r="V67">
        <v>1200</v>
      </c>
      <c r="W67">
        <v>1099</v>
      </c>
      <c r="X67" t="s">
        <v>74</v>
      </c>
      <c r="Y67" t="s">
        <v>68</v>
      </c>
      <c r="Z67" t="s">
        <v>158</v>
      </c>
      <c r="AA67" t="s">
        <v>171</v>
      </c>
      <c r="AB67">
        <v>3.7</v>
      </c>
      <c r="AC67">
        <v>60</v>
      </c>
      <c r="AD67">
        <v>180.02</v>
      </c>
      <c r="AE67">
        <f t="shared" si="2"/>
        <v>858.98</v>
      </c>
      <c r="AF67" t="str">
        <f t="shared" si="3"/>
        <v>2025-01</v>
      </c>
      <c r="AG67">
        <f>SUBTOTAL(103,A67)</f>
        <v>1</v>
      </c>
    </row>
    <row r="68" spans="1:33" x14ac:dyDescent="0.3">
      <c r="A68" t="s">
        <v>2673</v>
      </c>
      <c r="B68" s="13">
        <v>45667</v>
      </c>
      <c r="C68">
        <v>2025</v>
      </c>
      <c r="D68">
        <v>1</v>
      </c>
      <c r="E68" t="s">
        <v>2571</v>
      </c>
      <c r="F68" t="s">
        <v>2572</v>
      </c>
      <c r="G68" t="s">
        <v>1095</v>
      </c>
      <c r="H68" t="s">
        <v>1096</v>
      </c>
      <c r="I68" t="s">
        <v>86</v>
      </c>
      <c r="J68">
        <v>34</v>
      </c>
      <c r="K68" t="s">
        <v>81</v>
      </c>
      <c r="L68" t="s">
        <v>2674</v>
      </c>
      <c r="M68" t="s">
        <v>58</v>
      </c>
      <c r="N68" t="s">
        <v>2584</v>
      </c>
      <c r="O68" t="s">
        <v>121</v>
      </c>
      <c r="P68" t="s">
        <v>50</v>
      </c>
      <c r="Q68" t="s">
        <v>144</v>
      </c>
      <c r="R68">
        <v>1</v>
      </c>
      <c r="S68">
        <v>2999</v>
      </c>
      <c r="T68">
        <v>0.2</v>
      </c>
      <c r="U68">
        <v>2399.1999999999998</v>
      </c>
      <c r="V68">
        <v>1700</v>
      </c>
      <c r="W68">
        <v>699.2</v>
      </c>
      <c r="X68" t="s">
        <v>73</v>
      </c>
      <c r="Y68" t="s">
        <v>68</v>
      </c>
      <c r="Z68" t="s">
        <v>159</v>
      </c>
      <c r="AA68" t="s">
        <v>166</v>
      </c>
      <c r="AB68">
        <v>4.7</v>
      </c>
      <c r="AC68">
        <v>80</v>
      </c>
      <c r="AD68">
        <v>72.040000000000006</v>
      </c>
      <c r="AE68">
        <f t="shared" si="2"/>
        <v>547.16000000000008</v>
      </c>
      <c r="AF68" t="str">
        <f t="shared" si="3"/>
        <v>2025-01</v>
      </c>
      <c r="AG68">
        <f>SUBTOTAL(103,A68)</f>
        <v>1</v>
      </c>
    </row>
    <row r="69" spans="1:33" x14ac:dyDescent="0.3">
      <c r="A69" t="s">
        <v>2675</v>
      </c>
      <c r="B69" s="13">
        <v>45667</v>
      </c>
      <c r="C69">
        <v>2025</v>
      </c>
      <c r="D69">
        <v>1</v>
      </c>
      <c r="E69" t="s">
        <v>2571</v>
      </c>
      <c r="F69" t="s">
        <v>2572</v>
      </c>
      <c r="G69" t="s">
        <v>651</v>
      </c>
      <c r="H69" t="s">
        <v>652</v>
      </c>
      <c r="I69" t="s">
        <v>86</v>
      </c>
      <c r="J69">
        <v>23</v>
      </c>
      <c r="K69" t="s">
        <v>80</v>
      </c>
      <c r="L69" t="s">
        <v>90</v>
      </c>
      <c r="M69" t="s">
        <v>55</v>
      </c>
      <c r="N69" t="s">
        <v>2580</v>
      </c>
      <c r="O69" t="s">
        <v>118</v>
      </c>
      <c r="P69" t="s">
        <v>48</v>
      </c>
      <c r="Q69" t="s">
        <v>142</v>
      </c>
      <c r="R69">
        <v>1</v>
      </c>
      <c r="S69">
        <v>3999</v>
      </c>
      <c r="T69">
        <v>0.05</v>
      </c>
      <c r="U69">
        <v>3799.05</v>
      </c>
      <c r="V69">
        <v>2400</v>
      </c>
      <c r="W69">
        <v>1399.05</v>
      </c>
      <c r="X69" t="s">
        <v>74</v>
      </c>
      <c r="Y69" t="s">
        <v>69</v>
      </c>
      <c r="Z69" t="s">
        <v>160</v>
      </c>
      <c r="AA69" t="s">
        <v>167</v>
      </c>
      <c r="AB69">
        <v>3.2</v>
      </c>
      <c r="AC69">
        <v>60</v>
      </c>
      <c r="AD69">
        <v>274.25</v>
      </c>
      <c r="AE69">
        <f t="shared" si="2"/>
        <v>1064.8</v>
      </c>
      <c r="AF69" t="str">
        <f t="shared" si="3"/>
        <v>2025-01</v>
      </c>
      <c r="AG69">
        <f>SUBTOTAL(103,A69)</f>
        <v>1</v>
      </c>
    </row>
    <row r="70" spans="1:33" x14ac:dyDescent="0.3">
      <c r="A70" t="s">
        <v>2676</v>
      </c>
      <c r="B70" s="13">
        <v>45668</v>
      </c>
      <c r="C70">
        <v>2025</v>
      </c>
      <c r="D70">
        <v>1</v>
      </c>
      <c r="E70" t="s">
        <v>2571</v>
      </c>
      <c r="F70" t="s">
        <v>2572</v>
      </c>
      <c r="G70" t="s">
        <v>2267</v>
      </c>
      <c r="H70" t="s">
        <v>2268</v>
      </c>
      <c r="I70" t="s">
        <v>86</v>
      </c>
      <c r="J70">
        <v>48</v>
      </c>
      <c r="K70" t="s">
        <v>83</v>
      </c>
      <c r="L70" t="s">
        <v>94</v>
      </c>
      <c r="M70" t="s">
        <v>57</v>
      </c>
      <c r="N70" t="s">
        <v>2647</v>
      </c>
      <c r="O70" t="s">
        <v>133</v>
      </c>
      <c r="P70" t="s">
        <v>50</v>
      </c>
      <c r="Q70" t="s">
        <v>145</v>
      </c>
      <c r="R70">
        <v>5</v>
      </c>
      <c r="S70">
        <v>799</v>
      </c>
      <c r="T70">
        <v>0.15</v>
      </c>
      <c r="U70">
        <v>3395.75</v>
      </c>
      <c r="V70">
        <v>1950</v>
      </c>
      <c r="W70">
        <v>1445.75</v>
      </c>
      <c r="X70" t="s">
        <v>74</v>
      </c>
      <c r="Y70" t="s">
        <v>68</v>
      </c>
      <c r="Z70" t="s">
        <v>158</v>
      </c>
      <c r="AA70" t="s">
        <v>167</v>
      </c>
      <c r="AB70">
        <v>4.8</v>
      </c>
      <c r="AC70">
        <v>100</v>
      </c>
      <c r="AD70">
        <v>184.97</v>
      </c>
      <c r="AE70">
        <f t="shared" si="2"/>
        <v>1160.78</v>
      </c>
      <c r="AF70" t="str">
        <f t="shared" si="3"/>
        <v>2025-01</v>
      </c>
      <c r="AG70">
        <f>SUBTOTAL(103,A70)</f>
        <v>1</v>
      </c>
    </row>
    <row r="71" spans="1:33" x14ac:dyDescent="0.3">
      <c r="A71" t="s">
        <v>2677</v>
      </c>
      <c r="B71" s="13">
        <v>45668</v>
      </c>
      <c r="C71">
        <v>2025</v>
      </c>
      <c r="D71">
        <v>1</v>
      </c>
      <c r="E71" t="s">
        <v>2571</v>
      </c>
      <c r="F71" t="s">
        <v>2572</v>
      </c>
      <c r="G71" t="s">
        <v>447</v>
      </c>
      <c r="H71" t="s">
        <v>448</v>
      </c>
      <c r="I71" t="s">
        <v>85</v>
      </c>
      <c r="J71">
        <v>32</v>
      </c>
      <c r="K71" t="s">
        <v>81</v>
      </c>
      <c r="L71" t="s">
        <v>90</v>
      </c>
      <c r="M71" t="s">
        <v>55</v>
      </c>
      <c r="N71" t="s">
        <v>2657</v>
      </c>
      <c r="O71" t="s">
        <v>134</v>
      </c>
      <c r="P71" t="s">
        <v>49</v>
      </c>
      <c r="Q71" t="s">
        <v>140</v>
      </c>
      <c r="R71">
        <v>1</v>
      </c>
      <c r="S71">
        <v>599</v>
      </c>
      <c r="T71">
        <v>0.1</v>
      </c>
      <c r="U71">
        <v>539.1</v>
      </c>
      <c r="V71">
        <v>250</v>
      </c>
      <c r="W71">
        <v>289.10000000000002</v>
      </c>
      <c r="X71" t="s">
        <v>73</v>
      </c>
      <c r="Y71" t="s">
        <v>68</v>
      </c>
      <c r="Z71" t="s">
        <v>160</v>
      </c>
      <c r="AA71" t="s">
        <v>168</v>
      </c>
      <c r="AB71">
        <v>3.3</v>
      </c>
      <c r="AC71">
        <v>80</v>
      </c>
      <c r="AD71">
        <v>30.46</v>
      </c>
      <c r="AE71">
        <f t="shared" si="2"/>
        <v>178.64000000000001</v>
      </c>
      <c r="AF71" t="str">
        <f t="shared" si="3"/>
        <v>2025-01</v>
      </c>
      <c r="AG71">
        <f>SUBTOTAL(103,A71)</f>
        <v>1</v>
      </c>
    </row>
    <row r="72" spans="1:33" x14ac:dyDescent="0.3">
      <c r="A72" t="s">
        <v>2678</v>
      </c>
      <c r="B72" s="13">
        <v>45668</v>
      </c>
      <c r="C72">
        <v>2025</v>
      </c>
      <c r="D72">
        <v>1</v>
      </c>
      <c r="E72" t="s">
        <v>2571</v>
      </c>
      <c r="F72" t="s">
        <v>2572</v>
      </c>
      <c r="G72" t="s">
        <v>2407</v>
      </c>
      <c r="H72" t="s">
        <v>2408</v>
      </c>
      <c r="I72" t="s">
        <v>85</v>
      </c>
      <c r="J72">
        <v>52</v>
      </c>
      <c r="K72" t="s">
        <v>83</v>
      </c>
      <c r="L72" t="s">
        <v>2679</v>
      </c>
      <c r="M72" t="s">
        <v>60</v>
      </c>
      <c r="N72" t="s">
        <v>2665</v>
      </c>
      <c r="O72" t="s">
        <v>128</v>
      </c>
      <c r="P72" t="s">
        <v>53</v>
      </c>
      <c r="Q72" t="s">
        <v>143</v>
      </c>
      <c r="R72">
        <v>1</v>
      </c>
      <c r="S72">
        <v>1499</v>
      </c>
      <c r="T72">
        <v>0.05</v>
      </c>
      <c r="U72">
        <v>1424.05</v>
      </c>
      <c r="V72">
        <v>800</v>
      </c>
      <c r="W72">
        <v>624.04999999999995</v>
      </c>
      <c r="X72" t="s">
        <v>76</v>
      </c>
      <c r="Y72" t="s">
        <v>68</v>
      </c>
      <c r="Z72" t="s">
        <v>162</v>
      </c>
      <c r="AA72" t="s">
        <v>167</v>
      </c>
      <c r="AB72">
        <v>3.4</v>
      </c>
      <c r="AC72">
        <v>60</v>
      </c>
      <c r="AD72">
        <v>35</v>
      </c>
      <c r="AE72">
        <f t="shared" si="2"/>
        <v>529.04999999999995</v>
      </c>
      <c r="AF72" t="str">
        <f t="shared" si="3"/>
        <v>2025-01</v>
      </c>
      <c r="AG72">
        <f>SUBTOTAL(103,A72)</f>
        <v>1</v>
      </c>
    </row>
    <row r="73" spans="1:33" x14ac:dyDescent="0.3">
      <c r="A73" t="s">
        <v>2680</v>
      </c>
      <c r="B73" s="13">
        <v>45668</v>
      </c>
      <c r="C73">
        <v>2025</v>
      </c>
      <c r="D73">
        <v>1</v>
      </c>
      <c r="E73" t="s">
        <v>2571</v>
      </c>
      <c r="F73" t="s">
        <v>2572</v>
      </c>
      <c r="G73" t="s">
        <v>1161</v>
      </c>
      <c r="H73" t="s">
        <v>1162</v>
      </c>
      <c r="I73" t="s">
        <v>86</v>
      </c>
      <c r="J73">
        <v>38</v>
      </c>
      <c r="K73" t="s">
        <v>82</v>
      </c>
      <c r="L73" t="s">
        <v>2661</v>
      </c>
      <c r="M73" t="s">
        <v>58</v>
      </c>
      <c r="N73" t="s">
        <v>2590</v>
      </c>
      <c r="O73" t="s">
        <v>127</v>
      </c>
      <c r="P73" t="s">
        <v>51</v>
      </c>
      <c r="Q73" t="s">
        <v>148</v>
      </c>
      <c r="R73">
        <v>1</v>
      </c>
      <c r="S73">
        <v>1599</v>
      </c>
      <c r="T73">
        <v>0.15</v>
      </c>
      <c r="U73">
        <v>1359.15</v>
      </c>
      <c r="V73">
        <v>800</v>
      </c>
      <c r="W73">
        <v>559.15</v>
      </c>
      <c r="X73" t="s">
        <v>76</v>
      </c>
      <c r="Y73" t="s">
        <v>68</v>
      </c>
      <c r="Z73" t="s">
        <v>160</v>
      </c>
      <c r="AA73" t="s">
        <v>171</v>
      </c>
      <c r="AB73">
        <v>4.0999999999999996</v>
      </c>
      <c r="AC73">
        <v>60</v>
      </c>
      <c r="AD73">
        <v>108.69</v>
      </c>
      <c r="AE73">
        <f t="shared" si="2"/>
        <v>390.46</v>
      </c>
      <c r="AF73" t="str">
        <f t="shared" si="3"/>
        <v>2025-01</v>
      </c>
      <c r="AG73">
        <f>SUBTOTAL(103,A73)</f>
        <v>1</v>
      </c>
    </row>
    <row r="74" spans="1:33" x14ac:dyDescent="0.3">
      <c r="A74" t="s">
        <v>2681</v>
      </c>
      <c r="B74" s="13">
        <v>45668</v>
      </c>
      <c r="C74">
        <v>2025</v>
      </c>
      <c r="D74">
        <v>1</v>
      </c>
      <c r="E74" t="s">
        <v>2571</v>
      </c>
      <c r="F74" t="s">
        <v>2572</v>
      </c>
      <c r="G74" t="s">
        <v>1133</v>
      </c>
      <c r="H74" t="s">
        <v>1134</v>
      </c>
      <c r="I74" t="s">
        <v>85</v>
      </c>
      <c r="J74">
        <v>59</v>
      </c>
      <c r="K74" t="s">
        <v>83</v>
      </c>
      <c r="L74" t="s">
        <v>97</v>
      </c>
      <c r="M74" t="s">
        <v>57</v>
      </c>
      <c r="N74" t="s">
        <v>2594</v>
      </c>
      <c r="O74" t="s">
        <v>131</v>
      </c>
      <c r="P74" t="s">
        <v>53</v>
      </c>
      <c r="Q74" t="s">
        <v>143</v>
      </c>
      <c r="R74">
        <v>3</v>
      </c>
      <c r="S74">
        <v>999</v>
      </c>
      <c r="T74">
        <v>0</v>
      </c>
      <c r="U74">
        <v>2997</v>
      </c>
      <c r="V74">
        <v>1560</v>
      </c>
      <c r="W74">
        <v>1437</v>
      </c>
      <c r="X74" t="s">
        <v>74</v>
      </c>
      <c r="Y74" t="s">
        <v>68</v>
      </c>
      <c r="Z74" t="s">
        <v>162</v>
      </c>
      <c r="AA74" t="s">
        <v>169</v>
      </c>
      <c r="AB74">
        <v>2.5</v>
      </c>
      <c r="AC74">
        <v>80</v>
      </c>
      <c r="AD74">
        <v>88.85</v>
      </c>
      <c r="AE74">
        <f t="shared" si="2"/>
        <v>1268.1500000000001</v>
      </c>
      <c r="AF74" t="str">
        <f t="shared" si="3"/>
        <v>2025-01</v>
      </c>
      <c r="AG74">
        <f>SUBTOTAL(103,A74)</f>
        <v>1</v>
      </c>
    </row>
    <row r="75" spans="1:33" x14ac:dyDescent="0.3">
      <c r="A75" t="s">
        <v>2682</v>
      </c>
      <c r="B75" s="13">
        <v>45668</v>
      </c>
      <c r="C75">
        <v>2025</v>
      </c>
      <c r="D75">
        <v>1</v>
      </c>
      <c r="E75" t="s">
        <v>2571</v>
      </c>
      <c r="F75" t="s">
        <v>2572</v>
      </c>
      <c r="G75" t="s">
        <v>1389</v>
      </c>
      <c r="H75" t="s">
        <v>1390</v>
      </c>
      <c r="I75" t="s">
        <v>85</v>
      </c>
      <c r="J75">
        <v>50</v>
      </c>
      <c r="K75" t="s">
        <v>83</v>
      </c>
      <c r="L75" t="s">
        <v>97</v>
      </c>
      <c r="M75" t="s">
        <v>57</v>
      </c>
      <c r="N75" t="s">
        <v>2644</v>
      </c>
      <c r="O75" t="s">
        <v>126</v>
      </c>
      <c r="P75" t="s">
        <v>50</v>
      </c>
      <c r="Q75" t="s">
        <v>145</v>
      </c>
      <c r="R75">
        <v>2</v>
      </c>
      <c r="S75">
        <v>1799</v>
      </c>
      <c r="T75">
        <v>0.15</v>
      </c>
      <c r="U75">
        <v>0</v>
      </c>
      <c r="V75">
        <v>0</v>
      </c>
      <c r="W75">
        <v>0</v>
      </c>
      <c r="X75" t="s">
        <v>74</v>
      </c>
      <c r="Y75" t="s">
        <v>71</v>
      </c>
      <c r="Z75" t="s">
        <v>161</v>
      </c>
      <c r="AA75" t="s">
        <v>166</v>
      </c>
      <c r="AB75">
        <v>3.8</v>
      </c>
      <c r="AC75">
        <v>80</v>
      </c>
      <c r="AD75">
        <v>238.54</v>
      </c>
      <c r="AE75">
        <f t="shared" si="2"/>
        <v>-318.53999999999996</v>
      </c>
      <c r="AF75" t="str">
        <f t="shared" si="3"/>
        <v>2025-01</v>
      </c>
      <c r="AG75">
        <f>SUBTOTAL(103,A75)</f>
        <v>1</v>
      </c>
    </row>
    <row r="76" spans="1:33" x14ac:dyDescent="0.3">
      <c r="A76" t="s">
        <v>2683</v>
      </c>
      <c r="B76" s="13">
        <v>45669</v>
      </c>
      <c r="C76">
        <v>2025</v>
      </c>
      <c r="D76">
        <v>1</v>
      </c>
      <c r="E76" t="s">
        <v>2571</v>
      </c>
      <c r="F76" t="s">
        <v>2572</v>
      </c>
      <c r="G76" t="s">
        <v>755</v>
      </c>
      <c r="H76" t="s">
        <v>756</v>
      </c>
      <c r="I76" t="s">
        <v>86</v>
      </c>
      <c r="J76">
        <v>53</v>
      </c>
      <c r="K76" t="s">
        <v>83</v>
      </c>
      <c r="L76" t="s">
        <v>59</v>
      </c>
      <c r="M76" t="s">
        <v>59</v>
      </c>
      <c r="N76" t="s">
        <v>2587</v>
      </c>
      <c r="O76" t="s">
        <v>116</v>
      </c>
      <c r="P76" t="s">
        <v>48</v>
      </c>
      <c r="Q76" t="s">
        <v>138</v>
      </c>
      <c r="R76">
        <v>2</v>
      </c>
      <c r="S76">
        <v>14999</v>
      </c>
      <c r="T76">
        <v>0</v>
      </c>
      <c r="U76">
        <v>29998</v>
      </c>
      <c r="V76">
        <v>22400</v>
      </c>
      <c r="W76">
        <v>7598</v>
      </c>
      <c r="X76" t="s">
        <v>74</v>
      </c>
      <c r="Y76" t="s">
        <v>68</v>
      </c>
      <c r="Z76" t="s">
        <v>162</v>
      </c>
      <c r="AA76" t="s">
        <v>170</v>
      </c>
      <c r="AB76">
        <v>3.9</v>
      </c>
      <c r="AC76">
        <v>60</v>
      </c>
      <c r="AD76">
        <v>2786.92</v>
      </c>
      <c r="AE76">
        <f t="shared" si="2"/>
        <v>4751.08</v>
      </c>
      <c r="AF76" t="str">
        <f t="shared" si="3"/>
        <v>2025-01</v>
      </c>
      <c r="AG76">
        <f>SUBTOTAL(103,A76)</f>
        <v>1</v>
      </c>
    </row>
    <row r="77" spans="1:33" x14ac:dyDescent="0.3">
      <c r="A77" t="s">
        <v>2684</v>
      </c>
      <c r="B77" s="13">
        <v>45669</v>
      </c>
      <c r="C77">
        <v>2025</v>
      </c>
      <c r="D77">
        <v>1</v>
      </c>
      <c r="E77" t="s">
        <v>2571</v>
      </c>
      <c r="F77" t="s">
        <v>2572</v>
      </c>
      <c r="G77" t="s">
        <v>1661</v>
      </c>
      <c r="H77" t="s">
        <v>1662</v>
      </c>
      <c r="I77" t="s">
        <v>86</v>
      </c>
      <c r="J77">
        <v>26</v>
      </c>
      <c r="K77" t="s">
        <v>81</v>
      </c>
      <c r="L77" t="s">
        <v>2623</v>
      </c>
      <c r="M77" t="s">
        <v>61</v>
      </c>
      <c r="N77" t="s">
        <v>2590</v>
      </c>
      <c r="O77" t="s">
        <v>127</v>
      </c>
      <c r="P77" t="s">
        <v>51</v>
      </c>
      <c r="Q77" t="s">
        <v>148</v>
      </c>
      <c r="R77">
        <v>3</v>
      </c>
      <c r="S77">
        <v>1599</v>
      </c>
      <c r="T77">
        <v>0.15</v>
      </c>
      <c r="U77">
        <v>4077.45</v>
      </c>
      <c r="V77">
        <v>2400</v>
      </c>
      <c r="W77">
        <v>1677.45</v>
      </c>
      <c r="X77" t="s">
        <v>75</v>
      </c>
      <c r="Y77" t="s">
        <v>68</v>
      </c>
      <c r="Z77" t="s">
        <v>160</v>
      </c>
      <c r="AA77" t="s">
        <v>166</v>
      </c>
      <c r="AB77">
        <v>4.5</v>
      </c>
      <c r="AC77">
        <v>40</v>
      </c>
      <c r="AD77">
        <v>356.8</v>
      </c>
      <c r="AE77">
        <f t="shared" si="2"/>
        <v>1280.6500000000001</v>
      </c>
      <c r="AF77" t="str">
        <f t="shared" si="3"/>
        <v>2025-01</v>
      </c>
      <c r="AG77">
        <f>SUBTOTAL(103,A77)</f>
        <v>1</v>
      </c>
    </row>
    <row r="78" spans="1:33" x14ac:dyDescent="0.3">
      <c r="A78" t="s">
        <v>2685</v>
      </c>
      <c r="B78" s="13">
        <v>45669</v>
      </c>
      <c r="C78">
        <v>2025</v>
      </c>
      <c r="D78">
        <v>1</v>
      </c>
      <c r="E78" t="s">
        <v>2571</v>
      </c>
      <c r="F78" t="s">
        <v>2572</v>
      </c>
      <c r="G78" t="s">
        <v>1019</v>
      </c>
      <c r="H78" t="s">
        <v>1020</v>
      </c>
      <c r="I78" t="s">
        <v>86</v>
      </c>
      <c r="J78">
        <v>41</v>
      </c>
      <c r="K78" t="s">
        <v>82</v>
      </c>
      <c r="L78" t="s">
        <v>90</v>
      </c>
      <c r="M78" t="s">
        <v>55</v>
      </c>
      <c r="N78" t="s">
        <v>2626</v>
      </c>
      <c r="O78" t="s">
        <v>125</v>
      </c>
      <c r="P78" t="s">
        <v>48</v>
      </c>
      <c r="Q78" t="s">
        <v>141</v>
      </c>
      <c r="R78">
        <v>1</v>
      </c>
      <c r="S78">
        <v>1999</v>
      </c>
      <c r="T78">
        <v>0.05</v>
      </c>
      <c r="U78">
        <v>1899.05</v>
      </c>
      <c r="V78">
        <v>1150</v>
      </c>
      <c r="W78">
        <v>749.05</v>
      </c>
      <c r="X78" t="s">
        <v>74</v>
      </c>
      <c r="Y78" t="s">
        <v>68</v>
      </c>
      <c r="Z78" t="s">
        <v>162</v>
      </c>
      <c r="AA78" t="s">
        <v>166</v>
      </c>
      <c r="AB78">
        <v>3.1</v>
      </c>
      <c r="AC78">
        <v>100</v>
      </c>
      <c r="AD78">
        <v>68.3</v>
      </c>
      <c r="AE78">
        <f t="shared" si="2"/>
        <v>580.75</v>
      </c>
      <c r="AF78" t="str">
        <f t="shared" si="3"/>
        <v>2025-01</v>
      </c>
      <c r="AG78">
        <f>SUBTOTAL(103,A78)</f>
        <v>1</v>
      </c>
    </row>
    <row r="79" spans="1:33" x14ac:dyDescent="0.3">
      <c r="A79" t="s">
        <v>2686</v>
      </c>
      <c r="B79" s="13">
        <v>45669</v>
      </c>
      <c r="C79">
        <v>2025</v>
      </c>
      <c r="D79">
        <v>1</v>
      </c>
      <c r="E79" t="s">
        <v>2571</v>
      </c>
      <c r="F79" t="s">
        <v>2572</v>
      </c>
      <c r="G79" t="s">
        <v>1927</v>
      </c>
      <c r="H79" t="s">
        <v>1928</v>
      </c>
      <c r="I79" t="s">
        <v>85</v>
      </c>
      <c r="J79">
        <v>36</v>
      </c>
      <c r="K79" t="s">
        <v>82</v>
      </c>
      <c r="L79" t="s">
        <v>2687</v>
      </c>
      <c r="M79" t="s">
        <v>57</v>
      </c>
      <c r="N79" t="s">
        <v>2596</v>
      </c>
      <c r="O79" t="s">
        <v>124</v>
      </c>
      <c r="P79" t="s">
        <v>51</v>
      </c>
      <c r="Q79" t="s">
        <v>147</v>
      </c>
      <c r="R79">
        <v>3</v>
      </c>
      <c r="S79">
        <v>2299</v>
      </c>
      <c r="T79">
        <v>0.05</v>
      </c>
      <c r="U79">
        <v>6552.15</v>
      </c>
      <c r="V79">
        <v>3600</v>
      </c>
      <c r="W79">
        <v>2952.15</v>
      </c>
      <c r="X79" t="s">
        <v>76</v>
      </c>
      <c r="Y79" t="s">
        <v>68</v>
      </c>
      <c r="Z79" t="s">
        <v>162</v>
      </c>
      <c r="AA79" t="s">
        <v>170</v>
      </c>
      <c r="AB79">
        <v>4.9000000000000004</v>
      </c>
      <c r="AC79">
        <v>60</v>
      </c>
      <c r="AD79">
        <v>588.62</v>
      </c>
      <c r="AE79">
        <f t="shared" si="2"/>
        <v>2303.5300000000002</v>
      </c>
      <c r="AF79" t="str">
        <f t="shared" si="3"/>
        <v>2025-01</v>
      </c>
      <c r="AG79">
        <f>SUBTOTAL(103,A79)</f>
        <v>1</v>
      </c>
    </row>
    <row r="80" spans="1:33" x14ac:dyDescent="0.3">
      <c r="A80" t="s">
        <v>2688</v>
      </c>
      <c r="B80" s="13">
        <v>45669</v>
      </c>
      <c r="C80">
        <v>2025</v>
      </c>
      <c r="D80">
        <v>1</v>
      </c>
      <c r="E80" t="s">
        <v>2571</v>
      </c>
      <c r="F80" t="s">
        <v>2572</v>
      </c>
      <c r="G80" t="s">
        <v>1573</v>
      </c>
      <c r="H80" t="s">
        <v>1574</v>
      </c>
      <c r="I80" t="s">
        <v>85</v>
      </c>
      <c r="J80">
        <v>52</v>
      </c>
      <c r="K80" t="s">
        <v>83</v>
      </c>
      <c r="L80" t="s">
        <v>2605</v>
      </c>
      <c r="M80" t="s">
        <v>60</v>
      </c>
      <c r="N80" t="s">
        <v>2587</v>
      </c>
      <c r="O80" t="s">
        <v>116</v>
      </c>
      <c r="P80" t="s">
        <v>48</v>
      </c>
      <c r="Q80" t="s">
        <v>138</v>
      </c>
      <c r="R80">
        <v>1</v>
      </c>
      <c r="S80">
        <v>14999</v>
      </c>
      <c r="T80">
        <v>0</v>
      </c>
      <c r="U80">
        <v>14999</v>
      </c>
      <c r="V80">
        <v>11200</v>
      </c>
      <c r="W80">
        <v>3799</v>
      </c>
      <c r="X80" t="s">
        <v>74</v>
      </c>
      <c r="Y80" t="s">
        <v>68</v>
      </c>
      <c r="Z80" t="s">
        <v>162</v>
      </c>
      <c r="AA80" t="s">
        <v>170</v>
      </c>
      <c r="AB80">
        <v>3.5</v>
      </c>
      <c r="AC80">
        <v>50</v>
      </c>
      <c r="AD80">
        <v>863.03</v>
      </c>
      <c r="AE80">
        <f t="shared" si="2"/>
        <v>2885.9700000000003</v>
      </c>
      <c r="AF80" t="str">
        <f t="shared" si="3"/>
        <v>2025-01</v>
      </c>
      <c r="AG80">
        <f>SUBTOTAL(103,A80)</f>
        <v>1</v>
      </c>
    </row>
    <row r="81" spans="1:33" x14ac:dyDescent="0.3">
      <c r="A81" t="s">
        <v>2689</v>
      </c>
      <c r="B81" s="13">
        <v>45669</v>
      </c>
      <c r="C81">
        <v>2025</v>
      </c>
      <c r="D81">
        <v>1</v>
      </c>
      <c r="E81" t="s">
        <v>2571</v>
      </c>
      <c r="F81" t="s">
        <v>2572</v>
      </c>
      <c r="G81" t="s">
        <v>1049</v>
      </c>
      <c r="H81" t="s">
        <v>1050</v>
      </c>
      <c r="I81" t="s">
        <v>86</v>
      </c>
      <c r="J81">
        <v>41</v>
      </c>
      <c r="K81" t="s">
        <v>82</v>
      </c>
      <c r="L81" t="s">
        <v>2690</v>
      </c>
      <c r="M81" t="s">
        <v>63</v>
      </c>
      <c r="N81" t="s">
        <v>2606</v>
      </c>
      <c r="O81" t="s">
        <v>120</v>
      </c>
      <c r="P81" t="s">
        <v>49</v>
      </c>
      <c r="Q81" t="s">
        <v>140</v>
      </c>
      <c r="R81">
        <v>1</v>
      </c>
      <c r="S81">
        <v>2799</v>
      </c>
      <c r="T81">
        <v>0.2</v>
      </c>
      <c r="U81">
        <v>2239.1999999999998</v>
      </c>
      <c r="V81">
        <v>1650</v>
      </c>
      <c r="W81">
        <v>589.20000000000005</v>
      </c>
      <c r="X81" t="s">
        <v>74</v>
      </c>
      <c r="Y81" t="s">
        <v>68</v>
      </c>
      <c r="Z81" t="s">
        <v>160</v>
      </c>
      <c r="AA81" t="s">
        <v>171</v>
      </c>
      <c r="AB81">
        <v>4.5999999999999996</v>
      </c>
      <c r="AC81">
        <v>80</v>
      </c>
      <c r="AD81">
        <v>198.53</v>
      </c>
      <c r="AE81">
        <f t="shared" si="2"/>
        <v>310.67000000000007</v>
      </c>
      <c r="AF81" t="str">
        <f t="shared" si="3"/>
        <v>2025-01</v>
      </c>
      <c r="AG81">
        <f>SUBTOTAL(103,A81)</f>
        <v>1</v>
      </c>
    </row>
    <row r="82" spans="1:33" x14ac:dyDescent="0.3">
      <c r="A82" t="s">
        <v>2691</v>
      </c>
      <c r="B82" s="13">
        <v>45669</v>
      </c>
      <c r="C82">
        <v>2025</v>
      </c>
      <c r="D82">
        <v>1</v>
      </c>
      <c r="E82" t="s">
        <v>2571</v>
      </c>
      <c r="F82" t="s">
        <v>2572</v>
      </c>
      <c r="G82" t="s">
        <v>759</v>
      </c>
      <c r="H82" t="s">
        <v>760</v>
      </c>
      <c r="I82" t="s">
        <v>86</v>
      </c>
      <c r="J82">
        <v>34</v>
      </c>
      <c r="K82" t="s">
        <v>81</v>
      </c>
      <c r="L82" t="s">
        <v>100</v>
      </c>
      <c r="M82" t="s">
        <v>56</v>
      </c>
      <c r="N82" t="s">
        <v>2584</v>
      </c>
      <c r="O82" t="s">
        <v>121</v>
      </c>
      <c r="P82" t="s">
        <v>50</v>
      </c>
      <c r="Q82" t="s">
        <v>144</v>
      </c>
      <c r="R82">
        <v>1</v>
      </c>
      <c r="S82">
        <v>2999</v>
      </c>
      <c r="T82">
        <v>0.05</v>
      </c>
      <c r="U82">
        <v>2849.05</v>
      </c>
      <c r="V82">
        <v>1700</v>
      </c>
      <c r="W82">
        <v>1149.05</v>
      </c>
      <c r="X82" t="s">
        <v>77</v>
      </c>
      <c r="Y82" t="s">
        <v>68</v>
      </c>
      <c r="Z82" t="s">
        <v>161</v>
      </c>
      <c r="AA82" t="s">
        <v>167</v>
      </c>
      <c r="AB82">
        <v>3.7</v>
      </c>
      <c r="AC82">
        <v>80</v>
      </c>
      <c r="AD82">
        <v>194.12</v>
      </c>
      <c r="AE82">
        <f t="shared" si="2"/>
        <v>874.93</v>
      </c>
      <c r="AF82" t="str">
        <f t="shared" si="3"/>
        <v>2025-01</v>
      </c>
      <c r="AG82">
        <f>SUBTOTAL(103,A82)</f>
        <v>1</v>
      </c>
    </row>
    <row r="83" spans="1:33" x14ac:dyDescent="0.3">
      <c r="A83" t="s">
        <v>2692</v>
      </c>
      <c r="B83" s="13">
        <v>45669</v>
      </c>
      <c r="C83">
        <v>2025</v>
      </c>
      <c r="D83">
        <v>1</v>
      </c>
      <c r="E83" t="s">
        <v>2571</v>
      </c>
      <c r="F83" t="s">
        <v>2572</v>
      </c>
      <c r="G83" t="s">
        <v>1513</v>
      </c>
      <c r="H83" t="s">
        <v>1514</v>
      </c>
      <c r="I83" t="s">
        <v>85</v>
      </c>
      <c r="J83">
        <v>53</v>
      </c>
      <c r="K83" t="s">
        <v>83</v>
      </c>
      <c r="L83" t="s">
        <v>59</v>
      </c>
      <c r="M83" t="s">
        <v>59</v>
      </c>
      <c r="N83" t="s">
        <v>2577</v>
      </c>
      <c r="O83" t="s">
        <v>129</v>
      </c>
      <c r="P83" t="s">
        <v>49</v>
      </c>
      <c r="Q83" t="s">
        <v>149</v>
      </c>
      <c r="R83">
        <v>3</v>
      </c>
      <c r="S83">
        <v>1299</v>
      </c>
      <c r="T83">
        <v>0.1</v>
      </c>
      <c r="U83">
        <v>3507.3</v>
      </c>
      <c r="V83">
        <v>1950</v>
      </c>
      <c r="W83">
        <v>1557.3</v>
      </c>
      <c r="X83" t="s">
        <v>76</v>
      </c>
      <c r="Y83" t="s">
        <v>69</v>
      </c>
      <c r="Z83" t="s">
        <v>163</v>
      </c>
      <c r="AA83" t="s">
        <v>169</v>
      </c>
      <c r="AB83">
        <v>3.7</v>
      </c>
      <c r="AC83">
        <v>40</v>
      </c>
      <c r="AD83">
        <v>117.79</v>
      </c>
      <c r="AE83">
        <f t="shared" si="2"/>
        <v>1399.51</v>
      </c>
      <c r="AF83" t="str">
        <f t="shared" si="3"/>
        <v>2025-01</v>
      </c>
      <c r="AG83">
        <f>SUBTOTAL(103,A83)</f>
        <v>1</v>
      </c>
    </row>
    <row r="84" spans="1:33" x14ac:dyDescent="0.3">
      <c r="A84" t="s">
        <v>2693</v>
      </c>
      <c r="B84" s="13">
        <v>45669</v>
      </c>
      <c r="C84">
        <v>2025</v>
      </c>
      <c r="D84">
        <v>1</v>
      </c>
      <c r="E84" t="s">
        <v>2571</v>
      </c>
      <c r="F84" t="s">
        <v>2572</v>
      </c>
      <c r="G84" t="s">
        <v>917</v>
      </c>
      <c r="H84" t="s">
        <v>918</v>
      </c>
      <c r="I84" t="s">
        <v>85</v>
      </c>
      <c r="J84">
        <v>49</v>
      </c>
      <c r="K84" t="s">
        <v>83</v>
      </c>
      <c r="L84" t="s">
        <v>92</v>
      </c>
      <c r="M84" t="s">
        <v>59</v>
      </c>
      <c r="N84" t="s">
        <v>2653</v>
      </c>
      <c r="O84" t="s">
        <v>132</v>
      </c>
      <c r="P84" t="s">
        <v>52</v>
      </c>
      <c r="Q84" t="s">
        <v>150</v>
      </c>
      <c r="R84">
        <v>2</v>
      </c>
      <c r="S84">
        <v>899</v>
      </c>
      <c r="T84">
        <v>0.15</v>
      </c>
      <c r="U84">
        <v>1528.3</v>
      </c>
      <c r="V84">
        <v>840</v>
      </c>
      <c r="W84">
        <v>688.3</v>
      </c>
      <c r="X84" t="s">
        <v>74</v>
      </c>
      <c r="Y84" t="s">
        <v>68</v>
      </c>
      <c r="Z84" t="s">
        <v>161</v>
      </c>
      <c r="AA84" t="s">
        <v>166</v>
      </c>
      <c r="AB84">
        <v>3.6</v>
      </c>
      <c r="AC84">
        <v>60</v>
      </c>
      <c r="AD84">
        <v>144.93</v>
      </c>
      <c r="AE84">
        <f t="shared" si="2"/>
        <v>483.36999999999995</v>
      </c>
      <c r="AF84" t="str">
        <f t="shared" si="3"/>
        <v>2025-01</v>
      </c>
      <c r="AG84">
        <f>SUBTOTAL(103,A84)</f>
        <v>1</v>
      </c>
    </row>
    <row r="85" spans="1:33" x14ac:dyDescent="0.3">
      <c r="A85" t="s">
        <v>2694</v>
      </c>
      <c r="B85" s="13">
        <v>45669</v>
      </c>
      <c r="C85">
        <v>2025</v>
      </c>
      <c r="D85">
        <v>1</v>
      </c>
      <c r="E85" t="s">
        <v>2571</v>
      </c>
      <c r="F85" t="s">
        <v>2572</v>
      </c>
      <c r="G85" t="s">
        <v>1047</v>
      </c>
      <c r="H85" t="s">
        <v>1048</v>
      </c>
      <c r="I85" t="s">
        <v>85</v>
      </c>
      <c r="J85">
        <v>40</v>
      </c>
      <c r="K85" t="s">
        <v>82</v>
      </c>
      <c r="L85" t="s">
        <v>96</v>
      </c>
      <c r="M85" t="s">
        <v>55</v>
      </c>
      <c r="N85" t="s">
        <v>2594</v>
      </c>
      <c r="O85" t="s">
        <v>131</v>
      </c>
      <c r="P85" t="s">
        <v>53</v>
      </c>
      <c r="Q85" t="s">
        <v>143</v>
      </c>
      <c r="R85">
        <v>1</v>
      </c>
      <c r="S85">
        <v>999</v>
      </c>
      <c r="T85">
        <v>0.05</v>
      </c>
      <c r="U85">
        <v>949.05</v>
      </c>
      <c r="V85">
        <v>520</v>
      </c>
      <c r="W85">
        <v>429.05</v>
      </c>
      <c r="X85" t="s">
        <v>73</v>
      </c>
      <c r="Y85" t="s">
        <v>68</v>
      </c>
      <c r="Z85" t="s">
        <v>159</v>
      </c>
      <c r="AA85" t="s">
        <v>170</v>
      </c>
      <c r="AB85">
        <v>3.6</v>
      </c>
      <c r="AC85">
        <v>50</v>
      </c>
      <c r="AD85">
        <v>40.67</v>
      </c>
      <c r="AE85">
        <f t="shared" si="2"/>
        <v>338.38</v>
      </c>
      <c r="AF85" t="str">
        <f t="shared" si="3"/>
        <v>2025-01</v>
      </c>
      <c r="AG85">
        <f>SUBTOTAL(103,A85)</f>
        <v>1</v>
      </c>
    </row>
    <row r="86" spans="1:33" x14ac:dyDescent="0.3">
      <c r="A86" t="s">
        <v>2695</v>
      </c>
      <c r="B86" s="13">
        <v>45669</v>
      </c>
      <c r="C86">
        <v>2025</v>
      </c>
      <c r="D86">
        <v>1</v>
      </c>
      <c r="E86" t="s">
        <v>2571</v>
      </c>
      <c r="F86" t="s">
        <v>2572</v>
      </c>
      <c r="G86" t="s">
        <v>1405</v>
      </c>
      <c r="H86" t="s">
        <v>1406</v>
      </c>
      <c r="I86" t="s">
        <v>85</v>
      </c>
      <c r="J86">
        <v>51</v>
      </c>
      <c r="K86" t="s">
        <v>83</v>
      </c>
      <c r="L86" t="s">
        <v>2646</v>
      </c>
      <c r="M86" t="s">
        <v>63</v>
      </c>
      <c r="N86" t="s">
        <v>2582</v>
      </c>
      <c r="O86" t="s">
        <v>119</v>
      </c>
      <c r="P86" t="s">
        <v>49</v>
      </c>
      <c r="Q86" t="s">
        <v>140</v>
      </c>
      <c r="R86">
        <v>1</v>
      </c>
      <c r="S86">
        <v>3499</v>
      </c>
      <c r="T86">
        <v>0.15</v>
      </c>
      <c r="U86">
        <v>2974.15</v>
      </c>
      <c r="V86">
        <v>2100</v>
      </c>
      <c r="W86">
        <v>874.15</v>
      </c>
      <c r="X86" t="s">
        <v>73</v>
      </c>
      <c r="Y86" t="s">
        <v>68</v>
      </c>
      <c r="Z86" t="s">
        <v>163</v>
      </c>
      <c r="AA86" t="s">
        <v>166</v>
      </c>
      <c r="AB86">
        <v>3.2</v>
      </c>
      <c r="AC86">
        <v>60</v>
      </c>
      <c r="AD86">
        <v>98.64</v>
      </c>
      <c r="AE86">
        <f t="shared" si="2"/>
        <v>715.51</v>
      </c>
      <c r="AF86" t="str">
        <f t="shared" si="3"/>
        <v>2025-01</v>
      </c>
      <c r="AG86">
        <f>SUBTOTAL(103,A86)</f>
        <v>1</v>
      </c>
    </row>
    <row r="87" spans="1:33" x14ac:dyDescent="0.3">
      <c r="A87" t="s">
        <v>2696</v>
      </c>
      <c r="B87" s="13">
        <v>45669</v>
      </c>
      <c r="C87">
        <v>2025</v>
      </c>
      <c r="D87">
        <v>1</v>
      </c>
      <c r="E87" t="s">
        <v>2571</v>
      </c>
      <c r="F87" t="s">
        <v>2572</v>
      </c>
      <c r="G87" t="s">
        <v>481</v>
      </c>
      <c r="H87" t="s">
        <v>482</v>
      </c>
      <c r="I87" t="s">
        <v>85</v>
      </c>
      <c r="J87">
        <v>52</v>
      </c>
      <c r="K87" t="s">
        <v>83</v>
      </c>
      <c r="L87" t="s">
        <v>99</v>
      </c>
      <c r="M87" t="s">
        <v>58</v>
      </c>
      <c r="N87" t="s">
        <v>2592</v>
      </c>
      <c r="O87" t="s">
        <v>115</v>
      </c>
      <c r="P87" t="s">
        <v>48</v>
      </c>
      <c r="Q87" t="s">
        <v>137</v>
      </c>
      <c r="R87">
        <v>3</v>
      </c>
      <c r="S87">
        <v>12999</v>
      </c>
      <c r="T87">
        <v>0.05</v>
      </c>
      <c r="U87">
        <v>37047.15</v>
      </c>
      <c r="V87">
        <v>27000</v>
      </c>
      <c r="W87">
        <v>10047.15</v>
      </c>
      <c r="X87" t="s">
        <v>73</v>
      </c>
      <c r="Y87" t="s">
        <v>68</v>
      </c>
      <c r="Z87" t="s">
        <v>160</v>
      </c>
      <c r="AA87" t="s">
        <v>167</v>
      </c>
      <c r="AB87">
        <v>4.9000000000000004</v>
      </c>
      <c r="AC87">
        <v>80</v>
      </c>
      <c r="AD87">
        <v>2178.9299999999998</v>
      </c>
      <c r="AE87">
        <f t="shared" si="2"/>
        <v>7788.2199999999993</v>
      </c>
      <c r="AF87" t="str">
        <f t="shared" si="3"/>
        <v>2025-01</v>
      </c>
      <c r="AG87">
        <f>SUBTOTAL(103,A87)</f>
        <v>1</v>
      </c>
    </row>
    <row r="88" spans="1:33" x14ac:dyDescent="0.3">
      <c r="A88" t="s">
        <v>2697</v>
      </c>
      <c r="B88" s="13">
        <v>45670</v>
      </c>
      <c r="C88">
        <v>2025</v>
      </c>
      <c r="D88">
        <v>1</v>
      </c>
      <c r="E88" t="s">
        <v>2571</v>
      </c>
      <c r="F88" t="s">
        <v>2572</v>
      </c>
      <c r="G88" t="s">
        <v>405</v>
      </c>
      <c r="H88" t="s">
        <v>406</v>
      </c>
      <c r="I88" t="s">
        <v>86</v>
      </c>
      <c r="J88">
        <v>55</v>
      </c>
      <c r="K88" t="s">
        <v>83</v>
      </c>
      <c r="L88" t="s">
        <v>2646</v>
      </c>
      <c r="M88" t="s">
        <v>63</v>
      </c>
      <c r="N88" t="s">
        <v>2657</v>
      </c>
      <c r="O88" t="s">
        <v>134</v>
      </c>
      <c r="P88" t="s">
        <v>49</v>
      </c>
      <c r="Q88" t="s">
        <v>140</v>
      </c>
      <c r="R88">
        <v>2</v>
      </c>
      <c r="S88">
        <v>599</v>
      </c>
      <c r="T88">
        <v>0.05</v>
      </c>
      <c r="U88">
        <v>1138.0999999999999</v>
      </c>
      <c r="V88">
        <v>500</v>
      </c>
      <c r="W88">
        <v>638.1</v>
      </c>
      <c r="X88" t="s">
        <v>76</v>
      </c>
      <c r="Y88" t="s">
        <v>68</v>
      </c>
      <c r="Z88" t="s">
        <v>158</v>
      </c>
      <c r="AA88" t="s">
        <v>170</v>
      </c>
      <c r="AB88">
        <v>3.8</v>
      </c>
      <c r="AC88">
        <v>60</v>
      </c>
      <c r="AD88">
        <v>117.44</v>
      </c>
      <c r="AE88">
        <f t="shared" si="2"/>
        <v>460.66</v>
      </c>
      <c r="AF88" t="str">
        <f t="shared" si="3"/>
        <v>2025-01</v>
      </c>
      <c r="AG88">
        <f>SUBTOTAL(103,A88)</f>
        <v>1</v>
      </c>
    </row>
    <row r="89" spans="1:33" x14ac:dyDescent="0.3">
      <c r="A89" t="s">
        <v>2698</v>
      </c>
      <c r="B89" s="13">
        <v>45670</v>
      </c>
      <c r="C89">
        <v>2025</v>
      </c>
      <c r="D89">
        <v>1</v>
      </c>
      <c r="E89" t="s">
        <v>2571</v>
      </c>
      <c r="F89" t="s">
        <v>2572</v>
      </c>
      <c r="G89" t="s">
        <v>1701</v>
      </c>
      <c r="H89" t="s">
        <v>1702</v>
      </c>
      <c r="I89" t="s">
        <v>85</v>
      </c>
      <c r="J89">
        <v>42</v>
      </c>
      <c r="K89" t="s">
        <v>82</v>
      </c>
      <c r="L89" t="s">
        <v>96</v>
      </c>
      <c r="M89" t="s">
        <v>55</v>
      </c>
      <c r="N89" t="s">
        <v>2574</v>
      </c>
      <c r="O89" t="s">
        <v>130</v>
      </c>
      <c r="P89" t="s">
        <v>50</v>
      </c>
      <c r="Q89" t="s">
        <v>53</v>
      </c>
      <c r="R89">
        <v>2</v>
      </c>
      <c r="S89">
        <v>1199</v>
      </c>
      <c r="T89">
        <v>0.15</v>
      </c>
      <c r="U89">
        <v>2038.3</v>
      </c>
      <c r="V89">
        <v>1100</v>
      </c>
      <c r="W89">
        <v>938.3</v>
      </c>
      <c r="X89" t="s">
        <v>73</v>
      </c>
      <c r="Y89" t="s">
        <v>68</v>
      </c>
      <c r="Z89" t="s">
        <v>158</v>
      </c>
      <c r="AA89" t="s">
        <v>167</v>
      </c>
      <c r="AB89">
        <v>3.9</v>
      </c>
      <c r="AC89">
        <v>50</v>
      </c>
      <c r="AD89">
        <v>80.44</v>
      </c>
      <c r="AE89">
        <f t="shared" si="2"/>
        <v>807.8599999999999</v>
      </c>
      <c r="AF89" t="str">
        <f t="shared" si="3"/>
        <v>2025-01</v>
      </c>
      <c r="AG89">
        <f>SUBTOTAL(103,A89)</f>
        <v>1</v>
      </c>
    </row>
    <row r="90" spans="1:33" x14ac:dyDescent="0.3">
      <c r="A90" t="s">
        <v>2699</v>
      </c>
      <c r="B90" s="13">
        <v>45670</v>
      </c>
      <c r="C90">
        <v>2025</v>
      </c>
      <c r="D90">
        <v>1</v>
      </c>
      <c r="E90" t="s">
        <v>2571</v>
      </c>
      <c r="F90" t="s">
        <v>2572</v>
      </c>
      <c r="G90" t="s">
        <v>207</v>
      </c>
      <c r="H90" t="s">
        <v>208</v>
      </c>
      <c r="I90" t="s">
        <v>85</v>
      </c>
      <c r="J90">
        <v>19</v>
      </c>
      <c r="K90" t="s">
        <v>80</v>
      </c>
      <c r="L90" t="s">
        <v>100</v>
      </c>
      <c r="M90" t="s">
        <v>56</v>
      </c>
      <c r="N90" t="s">
        <v>2606</v>
      </c>
      <c r="O90" t="s">
        <v>120</v>
      </c>
      <c r="P90" t="s">
        <v>49</v>
      </c>
      <c r="Q90" t="s">
        <v>140</v>
      </c>
      <c r="R90">
        <v>1</v>
      </c>
      <c r="S90">
        <v>2799</v>
      </c>
      <c r="T90">
        <v>0.05</v>
      </c>
      <c r="U90">
        <v>2659.05</v>
      </c>
      <c r="V90">
        <v>1650</v>
      </c>
      <c r="W90">
        <v>1009.05</v>
      </c>
      <c r="X90" t="s">
        <v>73</v>
      </c>
      <c r="Y90" t="s">
        <v>68</v>
      </c>
      <c r="Z90" t="s">
        <v>158</v>
      </c>
      <c r="AA90" t="s">
        <v>169</v>
      </c>
      <c r="AB90">
        <v>3.9</v>
      </c>
      <c r="AC90">
        <v>120</v>
      </c>
      <c r="AD90">
        <v>255.13</v>
      </c>
      <c r="AE90">
        <f t="shared" si="2"/>
        <v>633.91999999999996</v>
      </c>
      <c r="AF90" t="str">
        <f t="shared" si="3"/>
        <v>2025-01</v>
      </c>
      <c r="AG90">
        <f>SUBTOTAL(103,A90)</f>
        <v>1</v>
      </c>
    </row>
    <row r="91" spans="1:33" x14ac:dyDescent="0.3">
      <c r="A91" t="s">
        <v>2700</v>
      </c>
      <c r="B91" s="13">
        <v>45670</v>
      </c>
      <c r="C91">
        <v>2025</v>
      </c>
      <c r="D91">
        <v>1</v>
      </c>
      <c r="E91" t="s">
        <v>2571</v>
      </c>
      <c r="F91" t="s">
        <v>2572</v>
      </c>
      <c r="G91" t="s">
        <v>741</v>
      </c>
      <c r="H91" t="s">
        <v>742</v>
      </c>
      <c r="I91" t="s">
        <v>85</v>
      </c>
      <c r="J91">
        <v>30</v>
      </c>
      <c r="K91" t="s">
        <v>81</v>
      </c>
      <c r="L91" t="s">
        <v>2579</v>
      </c>
      <c r="M91" t="s">
        <v>56</v>
      </c>
      <c r="N91" t="s">
        <v>2653</v>
      </c>
      <c r="O91" t="s">
        <v>132</v>
      </c>
      <c r="P91" t="s">
        <v>52</v>
      </c>
      <c r="Q91" t="s">
        <v>150</v>
      </c>
      <c r="R91">
        <v>3</v>
      </c>
      <c r="S91">
        <v>899</v>
      </c>
      <c r="T91">
        <v>0.05</v>
      </c>
      <c r="U91">
        <v>2562.15</v>
      </c>
      <c r="V91">
        <v>1260</v>
      </c>
      <c r="W91">
        <v>1302.1500000000001</v>
      </c>
      <c r="X91" t="s">
        <v>73</v>
      </c>
      <c r="Y91" t="s">
        <v>68</v>
      </c>
      <c r="Z91" t="s">
        <v>163</v>
      </c>
      <c r="AA91" t="s">
        <v>166</v>
      </c>
      <c r="AB91">
        <v>3.1</v>
      </c>
      <c r="AC91">
        <v>100</v>
      </c>
      <c r="AD91">
        <v>119.48</v>
      </c>
      <c r="AE91">
        <f t="shared" si="2"/>
        <v>1082.67</v>
      </c>
      <c r="AF91" t="str">
        <f t="shared" si="3"/>
        <v>2025-01</v>
      </c>
      <c r="AG91">
        <f>SUBTOTAL(103,A91)</f>
        <v>1</v>
      </c>
    </row>
    <row r="92" spans="1:33" x14ac:dyDescent="0.3">
      <c r="A92" t="s">
        <v>2701</v>
      </c>
      <c r="B92" s="13">
        <v>45670</v>
      </c>
      <c r="C92">
        <v>2025</v>
      </c>
      <c r="D92">
        <v>1</v>
      </c>
      <c r="E92" t="s">
        <v>2571</v>
      </c>
      <c r="F92" t="s">
        <v>2572</v>
      </c>
      <c r="G92" t="s">
        <v>387</v>
      </c>
      <c r="H92" t="s">
        <v>388</v>
      </c>
      <c r="I92" t="s">
        <v>86</v>
      </c>
      <c r="J92">
        <v>30</v>
      </c>
      <c r="K92" t="s">
        <v>81</v>
      </c>
      <c r="L92" t="s">
        <v>2579</v>
      </c>
      <c r="M92" t="s">
        <v>56</v>
      </c>
      <c r="N92" t="s">
        <v>2626</v>
      </c>
      <c r="O92" t="s">
        <v>125</v>
      </c>
      <c r="P92" t="s">
        <v>48</v>
      </c>
      <c r="Q92" t="s">
        <v>141</v>
      </c>
      <c r="R92">
        <v>1</v>
      </c>
      <c r="S92">
        <v>1999</v>
      </c>
      <c r="T92">
        <v>0.05</v>
      </c>
      <c r="U92">
        <v>1899.05</v>
      </c>
      <c r="V92">
        <v>1150</v>
      </c>
      <c r="W92">
        <v>749.05</v>
      </c>
      <c r="X92" t="s">
        <v>75</v>
      </c>
      <c r="Y92" t="s">
        <v>69</v>
      </c>
      <c r="Z92" t="s">
        <v>159</v>
      </c>
      <c r="AA92" t="s">
        <v>166</v>
      </c>
      <c r="AB92">
        <v>3.9</v>
      </c>
      <c r="AC92">
        <v>50</v>
      </c>
      <c r="AD92">
        <v>189.79</v>
      </c>
      <c r="AE92">
        <f t="shared" si="2"/>
        <v>509.26</v>
      </c>
      <c r="AF92" t="str">
        <f t="shared" si="3"/>
        <v>2025-01</v>
      </c>
      <c r="AG92">
        <f>SUBTOTAL(103,A92)</f>
        <v>1</v>
      </c>
    </row>
    <row r="93" spans="1:33" x14ac:dyDescent="0.3">
      <c r="A93" t="s">
        <v>2702</v>
      </c>
      <c r="B93" s="13">
        <v>45670</v>
      </c>
      <c r="C93">
        <v>2025</v>
      </c>
      <c r="D93">
        <v>1</v>
      </c>
      <c r="E93" t="s">
        <v>2571</v>
      </c>
      <c r="F93" t="s">
        <v>2572</v>
      </c>
      <c r="G93" t="s">
        <v>1257</v>
      </c>
      <c r="H93" t="s">
        <v>1258</v>
      </c>
      <c r="I93" t="s">
        <v>85</v>
      </c>
      <c r="J93">
        <v>46</v>
      </c>
      <c r="K93" t="s">
        <v>83</v>
      </c>
      <c r="L93" t="s">
        <v>100</v>
      </c>
      <c r="M93" t="s">
        <v>56</v>
      </c>
      <c r="N93" t="s">
        <v>2665</v>
      </c>
      <c r="O93" t="s">
        <v>128</v>
      </c>
      <c r="P93" t="s">
        <v>53</v>
      </c>
      <c r="Q93" t="s">
        <v>143</v>
      </c>
      <c r="R93">
        <v>2</v>
      </c>
      <c r="S93">
        <v>1499</v>
      </c>
      <c r="T93">
        <v>0.1</v>
      </c>
      <c r="U93">
        <v>2698.2</v>
      </c>
      <c r="V93">
        <v>1600</v>
      </c>
      <c r="W93">
        <v>1098.2</v>
      </c>
      <c r="X93" t="s">
        <v>73</v>
      </c>
      <c r="Y93" t="s">
        <v>68</v>
      </c>
      <c r="Z93" t="s">
        <v>161</v>
      </c>
      <c r="AA93" t="s">
        <v>169</v>
      </c>
      <c r="AB93">
        <v>4.8</v>
      </c>
      <c r="AC93">
        <v>40</v>
      </c>
      <c r="AD93">
        <v>173.86</v>
      </c>
      <c r="AE93">
        <f t="shared" si="2"/>
        <v>884.34</v>
      </c>
      <c r="AF93" t="str">
        <f t="shared" si="3"/>
        <v>2025-01</v>
      </c>
      <c r="AG93">
        <f>SUBTOTAL(103,A93)</f>
        <v>1</v>
      </c>
    </row>
    <row r="94" spans="1:33" x14ac:dyDescent="0.3">
      <c r="A94" t="s">
        <v>2703</v>
      </c>
      <c r="B94" s="13">
        <v>45670</v>
      </c>
      <c r="C94">
        <v>2025</v>
      </c>
      <c r="D94">
        <v>1</v>
      </c>
      <c r="E94" t="s">
        <v>2571</v>
      </c>
      <c r="F94" t="s">
        <v>2572</v>
      </c>
      <c r="G94" t="s">
        <v>1619</v>
      </c>
      <c r="H94" t="s">
        <v>1620</v>
      </c>
      <c r="I94" t="s">
        <v>86</v>
      </c>
      <c r="J94">
        <v>38</v>
      </c>
      <c r="K94" t="s">
        <v>82</v>
      </c>
      <c r="L94" t="s">
        <v>2687</v>
      </c>
      <c r="M94" t="s">
        <v>57</v>
      </c>
      <c r="N94" t="s">
        <v>2574</v>
      </c>
      <c r="O94" t="s">
        <v>130</v>
      </c>
      <c r="P94" t="s">
        <v>50</v>
      </c>
      <c r="Q94" t="s">
        <v>53</v>
      </c>
      <c r="R94">
        <v>1</v>
      </c>
      <c r="S94">
        <v>1199</v>
      </c>
      <c r="T94">
        <v>0.2</v>
      </c>
      <c r="U94">
        <v>959.2</v>
      </c>
      <c r="V94">
        <v>550</v>
      </c>
      <c r="W94">
        <v>409.2</v>
      </c>
      <c r="X94" t="s">
        <v>73</v>
      </c>
      <c r="Y94" t="s">
        <v>68</v>
      </c>
      <c r="Z94" t="s">
        <v>158</v>
      </c>
      <c r="AA94" t="s">
        <v>169</v>
      </c>
      <c r="AB94">
        <v>2.5</v>
      </c>
      <c r="AC94">
        <v>50</v>
      </c>
      <c r="AD94">
        <v>95.96</v>
      </c>
      <c r="AE94">
        <f t="shared" si="2"/>
        <v>263.24</v>
      </c>
      <c r="AF94" t="str">
        <f t="shared" si="3"/>
        <v>2025-01</v>
      </c>
      <c r="AG94">
        <f>SUBTOTAL(103,A94)</f>
        <v>1</v>
      </c>
    </row>
    <row r="95" spans="1:33" x14ac:dyDescent="0.3">
      <c r="A95" t="s">
        <v>2704</v>
      </c>
      <c r="B95" s="13">
        <v>45670</v>
      </c>
      <c r="C95">
        <v>2025</v>
      </c>
      <c r="D95">
        <v>1</v>
      </c>
      <c r="E95" t="s">
        <v>2571</v>
      </c>
      <c r="F95" t="s">
        <v>2572</v>
      </c>
      <c r="G95" t="s">
        <v>455</v>
      </c>
      <c r="H95" t="s">
        <v>456</v>
      </c>
      <c r="I95" t="s">
        <v>86</v>
      </c>
      <c r="J95">
        <v>18</v>
      </c>
      <c r="K95" t="s">
        <v>80</v>
      </c>
      <c r="L95" t="s">
        <v>97</v>
      </c>
      <c r="M95" t="s">
        <v>57</v>
      </c>
      <c r="N95" t="s">
        <v>2626</v>
      </c>
      <c r="O95" t="s">
        <v>125</v>
      </c>
      <c r="P95" t="s">
        <v>48</v>
      </c>
      <c r="Q95" t="s">
        <v>141</v>
      </c>
      <c r="R95">
        <v>1</v>
      </c>
      <c r="S95">
        <v>1999</v>
      </c>
      <c r="T95">
        <v>0.1</v>
      </c>
      <c r="U95">
        <v>1799.1</v>
      </c>
      <c r="V95">
        <v>1150</v>
      </c>
      <c r="W95">
        <v>649.1</v>
      </c>
      <c r="X95" t="s">
        <v>77</v>
      </c>
      <c r="Y95" t="s">
        <v>68</v>
      </c>
      <c r="Z95" t="s">
        <v>163</v>
      </c>
      <c r="AA95" t="s">
        <v>171</v>
      </c>
      <c r="AB95">
        <v>4.2</v>
      </c>
      <c r="AC95">
        <v>100</v>
      </c>
      <c r="AD95">
        <v>36.26</v>
      </c>
      <c r="AE95">
        <f t="shared" si="2"/>
        <v>512.84</v>
      </c>
      <c r="AF95" t="str">
        <f t="shared" si="3"/>
        <v>2025-01</v>
      </c>
      <c r="AG95">
        <f>SUBTOTAL(103,A95)</f>
        <v>1</v>
      </c>
    </row>
    <row r="96" spans="1:33" x14ac:dyDescent="0.3">
      <c r="A96" t="s">
        <v>2705</v>
      </c>
      <c r="B96" s="13">
        <v>45670</v>
      </c>
      <c r="C96">
        <v>2025</v>
      </c>
      <c r="D96">
        <v>1</v>
      </c>
      <c r="E96" t="s">
        <v>2571</v>
      </c>
      <c r="F96" t="s">
        <v>2572</v>
      </c>
      <c r="G96" t="s">
        <v>441</v>
      </c>
      <c r="H96" t="s">
        <v>442</v>
      </c>
      <c r="I96" t="s">
        <v>85</v>
      </c>
      <c r="J96">
        <v>49</v>
      </c>
      <c r="K96" t="s">
        <v>83</v>
      </c>
      <c r="L96" t="s">
        <v>100</v>
      </c>
      <c r="M96" t="s">
        <v>56</v>
      </c>
      <c r="N96" t="s">
        <v>2592</v>
      </c>
      <c r="O96" t="s">
        <v>115</v>
      </c>
      <c r="P96" t="s">
        <v>48</v>
      </c>
      <c r="Q96" t="s">
        <v>137</v>
      </c>
      <c r="R96">
        <v>3</v>
      </c>
      <c r="S96">
        <v>12999</v>
      </c>
      <c r="T96">
        <v>0.15</v>
      </c>
      <c r="U96">
        <v>33147.449999999997</v>
      </c>
      <c r="V96">
        <v>27000</v>
      </c>
      <c r="W96">
        <v>6147.45</v>
      </c>
      <c r="X96" t="s">
        <v>73</v>
      </c>
      <c r="Y96" t="s">
        <v>68</v>
      </c>
      <c r="Z96" t="s">
        <v>160</v>
      </c>
      <c r="AA96" t="s">
        <v>167</v>
      </c>
      <c r="AB96">
        <v>4.9000000000000004</v>
      </c>
      <c r="AC96">
        <v>50</v>
      </c>
      <c r="AD96">
        <v>943.62</v>
      </c>
      <c r="AE96">
        <f t="shared" si="2"/>
        <v>5153.83</v>
      </c>
      <c r="AF96" t="str">
        <f t="shared" si="3"/>
        <v>2025-01</v>
      </c>
      <c r="AG96">
        <f>SUBTOTAL(103,A96)</f>
        <v>1</v>
      </c>
    </row>
    <row r="97" spans="1:33" x14ac:dyDescent="0.3">
      <c r="A97" t="s">
        <v>2706</v>
      </c>
      <c r="B97" s="13">
        <v>45671</v>
      </c>
      <c r="C97">
        <v>2025</v>
      </c>
      <c r="D97">
        <v>1</v>
      </c>
      <c r="E97" t="s">
        <v>2571</v>
      </c>
      <c r="F97" t="s">
        <v>2572</v>
      </c>
      <c r="G97" t="s">
        <v>267</v>
      </c>
      <c r="H97" t="s">
        <v>268</v>
      </c>
      <c r="I97" t="s">
        <v>86</v>
      </c>
      <c r="J97">
        <v>39</v>
      </c>
      <c r="K97" t="s">
        <v>82</v>
      </c>
      <c r="L97" t="s">
        <v>92</v>
      </c>
      <c r="M97" t="s">
        <v>59</v>
      </c>
      <c r="N97" t="s">
        <v>2630</v>
      </c>
      <c r="O97" t="s">
        <v>123</v>
      </c>
      <c r="P97" t="s">
        <v>52</v>
      </c>
      <c r="Q97" t="s">
        <v>146</v>
      </c>
      <c r="R97">
        <v>2</v>
      </c>
      <c r="S97">
        <v>2499</v>
      </c>
      <c r="T97">
        <v>0.15</v>
      </c>
      <c r="U97">
        <v>4248.3</v>
      </c>
      <c r="V97">
        <v>2800</v>
      </c>
      <c r="W97">
        <v>1448.3</v>
      </c>
      <c r="X97" t="s">
        <v>74</v>
      </c>
      <c r="Y97" t="s">
        <v>68</v>
      </c>
      <c r="Z97" t="s">
        <v>158</v>
      </c>
      <c r="AA97" t="s">
        <v>167</v>
      </c>
      <c r="AB97">
        <v>5</v>
      </c>
      <c r="AC97">
        <v>50</v>
      </c>
      <c r="AD97">
        <v>162.38999999999999</v>
      </c>
      <c r="AE97">
        <f t="shared" si="2"/>
        <v>1235.9099999999999</v>
      </c>
      <c r="AF97" t="str">
        <f t="shared" si="3"/>
        <v>2025-01</v>
      </c>
      <c r="AG97">
        <f>SUBTOTAL(103,A97)</f>
        <v>1</v>
      </c>
    </row>
    <row r="98" spans="1:33" x14ac:dyDescent="0.3">
      <c r="A98" t="s">
        <v>2707</v>
      </c>
      <c r="B98" s="13">
        <v>45671</v>
      </c>
      <c r="C98">
        <v>2025</v>
      </c>
      <c r="D98">
        <v>1</v>
      </c>
      <c r="E98" t="s">
        <v>2571</v>
      </c>
      <c r="F98" t="s">
        <v>2572</v>
      </c>
      <c r="G98" t="s">
        <v>1409</v>
      </c>
      <c r="H98" t="s">
        <v>1410</v>
      </c>
      <c r="I98" t="s">
        <v>85</v>
      </c>
      <c r="J98">
        <v>27</v>
      </c>
      <c r="K98" t="s">
        <v>81</v>
      </c>
      <c r="L98" t="s">
        <v>92</v>
      </c>
      <c r="M98" t="s">
        <v>59</v>
      </c>
      <c r="N98" t="s">
        <v>2584</v>
      </c>
      <c r="O98" t="s">
        <v>121</v>
      </c>
      <c r="P98" t="s">
        <v>50</v>
      </c>
      <c r="Q98" t="s">
        <v>144</v>
      </c>
      <c r="R98">
        <v>2</v>
      </c>
      <c r="S98">
        <v>2999</v>
      </c>
      <c r="T98">
        <v>0</v>
      </c>
      <c r="U98">
        <v>5998</v>
      </c>
      <c r="V98">
        <v>3400</v>
      </c>
      <c r="W98">
        <v>2598</v>
      </c>
      <c r="X98" t="s">
        <v>73</v>
      </c>
      <c r="Y98" t="s">
        <v>68</v>
      </c>
      <c r="Z98" t="s">
        <v>158</v>
      </c>
      <c r="AA98" t="s">
        <v>171</v>
      </c>
      <c r="AB98">
        <v>4.3</v>
      </c>
      <c r="AC98">
        <v>60</v>
      </c>
      <c r="AD98">
        <v>651.94000000000005</v>
      </c>
      <c r="AE98">
        <f t="shared" si="2"/>
        <v>1886.06</v>
      </c>
      <c r="AF98" t="str">
        <f t="shared" si="3"/>
        <v>2025-01</v>
      </c>
      <c r="AG98">
        <f>SUBTOTAL(103,A98)</f>
        <v>1</v>
      </c>
    </row>
    <row r="99" spans="1:33" x14ac:dyDescent="0.3">
      <c r="A99" t="s">
        <v>2708</v>
      </c>
      <c r="B99" s="13">
        <v>45671</v>
      </c>
      <c r="C99">
        <v>2025</v>
      </c>
      <c r="D99">
        <v>1</v>
      </c>
      <c r="E99" t="s">
        <v>2571</v>
      </c>
      <c r="F99" t="s">
        <v>2572</v>
      </c>
      <c r="G99" t="s">
        <v>1595</v>
      </c>
      <c r="H99" t="s">
        <v>1596</v>
      </c>
      <c r="I99" t="s">
        <v>85</v>
      </c>
      <c r="J99">
        <v>49</v>
      </c>
      <c r="K99" t="s">
        <v>83</v>
      </c>
      <c r="L99" t="s">
        <v>92</v>
      </c>
      <c r="M99" t="s">
        <v>59</v>
      </c>
      <c r="N99" t="s">
        <v>2606</v>
      </c>
      <c r="O99" t="s">
        <v>120</v>
      </c>
      <c r="P99" t="s">
        <v>49</v>
      </c>
      <c r="Q99" t="s">
        <v>140</v>
      </c>
      <c r="R99">
        <v>3</v>
      </c>
      <c r="S99">
        <v>2799</v>
      </c>
      <c r="T99">
        <v>0.2</v>
      </c>
      <c r="U99">
        <v>6717.6</v>
      </c>
      <c r="V99">
        <v>4950</v>
      </c>
      <c r="W99">
        <v>1767.6</v>
      </c>
      <c r="X99" t="s">
        <v>75</v>
      </c>
      <c r="Y99" t="s">
        <v>68</v>
      </c>
      <c r="Z99" t="s">
        <v>159</v>
      </c>
      <c r="AA99" t="s">
        <v>166</v>
      </c>
      <c r="AB99">
        <v>3.6</v>
      </c>
      <c r="AC99">
        <v>100</v>
      </c>
      <c r="AD99">
        <v>522.92999999999995</v>
      </c>
      <c r="AE99">
        <f t="shared" si="2"/>
        <v>1144.67</v>
      </c>
      <c r="AF99" t="str">
        <f t="shared" si="3"/>
        <v>2025-01</v>
      </c>
      <c r="AG99">
        <f>SUBTOTAL(103,A99)</f>
        <v>1</v>
      </c>
    </row>
    <row r="100" spans="1:33" x14ac:dyDescent="0.3">
      <c r="A100" t="s">
        <v>2709</v>
      </c>
      <c r="B100" s="13">
        <v>45671</v>
      </c>
      <c r="C100">
        <v>2025</v>
      </c>
      <c r="D100">
        <v>1</v>
      </c>
      <c r="E100" t="s">
        <v>2571</v>
      </c>
      <c r="F100" t="s">
        <v>2572</v>
      </c>
      <c r="G100" t="s">
        <v>527</v>
      </c>
      <c r="H100" t="s">
        <v>528</v>
      </c>
      <c r="I100" t="s">
        <v>86</v>
      </c>
      <c r="J100">
        <v>39</v>
      </c>
      <c r="K100" t="s">
        <v>82</v>
      </c>
      <c r="L100" t="s">
        <v>100</v>
      </c>
      <c r="M100" t="s">
        <v>56</v>
      </c>
      <c r="N100" t="s">
        <v>2665</v>
      </c>
      <c r="O100" t="s">
        <v>128</v>
      </c>
      <c r="P100" t="s">
        <v>53</v>
      </c>
      <c r="Q100" t="s">
        <v>143</v>
      </c>
      <c r="R100">
        <v>2</v>
      </c>
      <c r="S100">
        <v>1499</v>
      </c>
      <c r="T100">
        <v>0.15</v>
      </c>
      <c r="U100">
        <v>2548.3000000000002</v>
      </c>
      <c r="V100">
        <v>1600</v>
      </c>
      <c r="W100">
        <v>948.3</v>
      </c>
      <c r="X100" t="s">
        <v>75</v>
      </c>
      <c r="Y100" t="s">
        <v>68</v>
      </c>
      <c r="Z100" t="s">
        <v>158</v>
      </c>
      <c r="AA100" t="s">
        <v>166</v>
      </c>
      <c r="AB100">
        <v>3.6</v>
      </c>
      <c r="AC100">
        <v>40</v>
      </c>
      <c r="AD100">
        <v>274.69</v>
      </c>
      <c r="AE100">
        <f t="shared" si="2"/>
        <v>633.6099999999999</v>
      </c>
      <c r="AF100" t="str">
        <f t="shared" si="3"/>
        <v>2025-01</v>
      </c>
      <c r="AG100">
        <f>SUBTOTAL(103,A100)</f>
        <v>1</v>
      </c>
    </row>
    <row r="101" spans="1:33" x14ac:dyDescent="0.3">
      <c r="A101" t="s">
        <v>2710</v>
      </c>
      <c r="B101" s="13">
        <v>45671</v>
      </c>
      <c r="C101">
        <v>2025</v>
      </c>
      <c r="D101">
        <v>1</v>
      </c>
      <c r="E101" t="s">
        <v>2571</v>
      </c>
      <c r="F101" t="s">
        <v>2572</v>
      </c>
      <c r="G101" t="s">
        <v>573</v>
      </c>
      <c r="H101" t="s">
        <v>574</v>
      </c>
      <c r="I101" t="s">
        <v>85</v>
      </c>
      <c r="J101">
        <v>57</v>
      </c>
      <c r="K101" t="s">
        <v>83</v>
      </c>
      <c r="L101" t="s">
        <v>2623</v>
      </c>
      <c r="M101" t="s">
        <v>61</v>
      </c>
      <c r="N101" t="s">
        <v>2644</v>
      </c>
      <c r="O101" t="s">
        <v>126</v>
      </c>
      <c r="P101" t="s">
        <v>50</v>
      </c>
      <c r="Q101" t="s">
        <v>145</v>
      </c>
      <c r="R101">
        <v>3</v>
      </c>
      <c r="S101">
        <v>1799</v>
      </c>
      <c r="T101">
        <v>0.15</v>
      </c>
      <c r="U101">
        <v>4587.45</v>
      </c>
      <c r="V101">
        <v>2850</v>
      </c>
      <c r="W101">
        <v>1737.45</v>
      </c>
      <c r="X101" t="s">
        <v>73</v>
      </c>
      <c r="Y101" t="s">
        <v>68</v>
      </c>
      <c r="Z101" t="s">
        <v>162</v>
      </c>
      <c r="AA101" t="s">
        <v>166</v>
      </c>
      <c r="AB101">
        <v>3.5</v>
      </c>
      <c r="AC101">
        <v>80</v>
      </c>
      <c r="AD101">
        <v>481.89</v>
      </c>
      <c r="AE101">
        <f t="shared" si="2"/>
        <v>1175.56</v>
      </c>
      <c r="AF101" t="str">
        <f t="shared" si="3"/>
        <v>2025-01</v>
      </c>
      <c r="AG101">
        <f>SUBTOTAL(103,A101)</f>
        <v>1</v>
      </c>
    </row>
    <row r="102" spans="1:33" x14ac:dyDescent="0.3">
      <c r="A102" t="s">
        <v>2711</v>
      </c>
      <c r="B102" s="13">
        <v>45671</v>
      </c>
      <c r="C102">
        <v>2025</v>
      </c>
      <c r="D102">
        <v>1</v>
      </c>
      <c r="E102" t="s">
        <v>2571</v>
      </c>
      <c r="F102" t="s">
        <v>2572</v>
      </c>
      <c r="G102" t="s">
        <v>1711</v>
      </c>
      <c r="H102" t="s">
        <v>1712</v>
      </c>
      <c r="I102" t="s">
        <v>86</v>
      </c>
      <c r="J102">
        <v>26</v>
      </c>
      <c r="K102" t="s">
        <v>81</v>
      </c>
      <c r="L102" t="s">
        <v>96</v>
      </c>
      <c r="M102" t="s">
        <v>55</v>
      </c>
      <c r="N102" t="s">
        <v>2606</v>
      </c>
      <c r="O102" t="s">
        <v>120</v>
      </c>
      <c r="P102" t="s">
        <v>49</v>
      </c>
      <c r="Q102" t="s">
        <v>140</v>
      </c>
      <c r="R102">
        <v>1</v>
      </c>
      <c r="S102">
        <v>2799</v>
      </c>
      <c r="T102">
        <v>0</v>
      </c>
      <c r="U102">
        <v>2799</v>
      </c>
      <c r="V102">
        <v>1650</v>
      </c>
      <c r="W102">
        <v>1149</v>
      </c>
      <c r="X102" t="s">
        <v>73</v>
      </c>
      <c r="Y102" t="s">
        <v>68</v>
      </c>
      <c r="Z102" t="s">
        <v>158</v>
      </c>
      <c r="AA102" t="s">
        <v>167</v>
      </c>
      <c r="AB102">
        <v>4.3</v>
      </c>
      <c r="AC102">
        <v>60</v>
      </c>
      <c r="AD102">
        <v>77.650000000000006</v>
      </c>
      <c r="AE102">
        <f t="shared" si="2"/>
        <v>1011.35</v>
      </c>
      <c r="AF102" t="str">
        <f t="shared" si="3"/>
        <v>2025-01</v>
      </c>
      <c r="AG102">
        <f>SUBTOTAL(103,A102)</f>
        <v>1</v>
      </c>
    </row>
    <row r="103" spans="1:33" x14ac:dyDescent="0.3">
      <c r="A103" t="s">
        <v>2712</v>
      </c>
      <c r="B103" s="13">
        <v>45671</v>
      </c>
      <c r="C103">
        <v>2025</v>
      </c>
      <c r="D103">
        <v>1</v>
      </c>
      <c r="E103" t="s">
        <v>2571</v>
      </c>
      <c r="F103" t="s">
        <v>2572</v>
      </c>
      <c r="G103" t="s">
        <v>1075</v>
      </c>
      <c r="H103" t="s">
        <v>1076</v>
      </c>
      <c r="I103" t="s">
        <v>85</v>
      </c>
      <c r="J103">
        <v>49</v>
      </c>
      <c r="K103" t="s">
        <v>83</v>
      </c>
      <c r="L103" t="s">
        <v>99</v>
      </c>
      <c r="M103" t="s">
        <v>58</v>
      </c>
      <c r="N103" t="s">
        <v>2587</v>
      </c>
      <c r="O103" t="s">
        <v>116</v>
      </c>
      <c r="P103" t="s">
        <v>48</v>
      </c>
      <c r="Q103" t="s">
        <v>138</v>
      </c>
      <c r="R103">
        <v>1</v>
      </c>
      <c r="S103">
        <v>14999</v>
      </c>
      <c r="T103">
        <v>0.1</v>
      </c>
      <c r="U103">
        <v>13499.1</v>
      </c>
      <c r="V103">
        <v>11200</v>
      </c>
      <c r="W103">
        <v>2299.1</v>
      </c>
      <c r="X103" t="s">
        <v>76</v>
      </c>
      <c r="Y103" t="s">
        <v>68</v>
      </c>
      <c r="Z103" t="s">
        <v>161</v>
      </c>
      <c r="AA103" t="s">
        <v>169</v>
      </c>
      <c r="AB103">
        <v>4.2</v>
      </c>
      <c r="AC103">
        <v>60</v>
      </c>
      <c r="AD103">
        <v>1246.01</v>
      </c>
      <c r="AE103">
        <f t="shared" si="2"/>
        <v>993.08999999999992</v>
      </c>
      <c r="AF103" t="str">
        <f t="shared" si="3"/>
        <v>2025-01</v>
      </c>
      <c r="AG103">
        <f>SUBTOTAL(103,A103)</f>
        <v>1</v>
      </c>
    </row>
    <row r="104" spans="1:33" x14ac:dyDescent="0.3">
      <c r="A104" t="s">
        <v>2713</v>
      </c>
      <c r="B104" s="13">
        <v>45671</v>
      </c>
      <c r="C104">
        <v>2025</v>
      </c>
      <c r="D104">
        <v>1</v>
      </c>
      <c r="E104" t="s">
        <v>2571</v>
      </c>
      <c r="F104" t="s">
        <v>2572</v>
      </c>
      <c r="G104" t="s">
        <v>399</v>
      </c>
      <c r="H104" t="s">
        <v>400</v>
      </c>
      <c r="I104" t="s">
        <v>86</v>
      </c>
      <c r="J104">
        <v>29</v>
      </c>
      <c r="K104" t="s">
        <v>81</v>
      </c>
      <c r="L104" t="s">
        <v>2679</v>
      </c>
      <c r="M104" t="s">
        <v>60</v>
      </c>
      <c r="N104" t="s">
        <v>2594</v>
      </c>
      <c r="O104" t="s">
        <v>131</v>
      </c>
      <c r="P104" t="s">
        <v>53</v>
      </c>
      <c r="Q104" t="s">
        <v>143</v>
      </c>
      <c r="R104">
        <v>4</v>
      </c>
      <c r="S104">
        <v>999</v>
      </c>
      <c r="T104">
        <v>0.15</v>
      </c>
      <c r="U104">
        <v>3396.6</v>
      </c>
      <c r="V104">
        <v>2080</v>
      </c>
      <c r="W104">
        <v>1316.6</v>
      </c>
      <c r="X104" t="s">
        <v>74</v>
      </c>
      <c r="Y104" t="s">
        <v>68</v>
      </c>
      <c r="Z104" t="s">
        <v>159</v>
      </c>
      <c r="AA104" t="s">
        <v>169</v>
      </c>
      <c r="AB104">
        <v>4.2</v>
      </c>
      <c r="AC104">
        <v>50</v>
      </c>
      <c r="AD104">
        <v>316.64999999999998</v>
      </c>
      <c r="AE104">
        <f t="shared" si="2"/>
        <v>949.94999999999993</v>
      </c>
      <c r="AF104" t="str">
        <f t="shared" si="3"/>
        <v>2025-01</v>
      </c>
      <c r="AG104">
        <f>SUBTOTAL(103,A104)</f>
        <v>1</v>
      </c>
    </row>
    <row r="105" spans="1:33" x14ac:dyDescent="0.3">
      <c r="A105" t="s">
        <v>2714</v>
      </c>
      <c r="B105" s="13">
        <v>45671</v>
      </c>
      <c r="C105">
        <v>2025</v>
      </c>
      <c r="D105">
        <v>1</v>
      </c>
      <c r="E105" t="s">
        <v>2571</v>
      </c>
      <c r="F105" t="s">
        <v>2572</v>
      </c>
      <c r="G105" t="s">
        <v>201</v>
      </c>
      <c r="H105" t="s">
        <v>202</v>
      </c>
      <c r="I105" t="s">
        <v>86</v>
      </c>
      <c r="J105">
        <v>47</v>
      </c>
      <c r="K105" t="s">
        <v>83</v>
      </c>
      <c r="L105" t="s">
        <v>100</v>
      </c>
      <c r="M105" t="s">
        <v>56</v>
      </c>
      <c r="N105" t="s">
        <v>2590</v>
      </c>
      <c r="O105" t="s">
        <v>127</v>
      </c>
      <c r="P105" t="s">
        <v>51</v>
      </c>
      <c r="Q105" t="s">
        <v>148</v>
      </c>
      <c r="R105">
        <v>3</v>
      </c>
      <c r="S105">
        <v>1599</v>
      </c>
      <c r="T105">
        <v>0</v>
      </c>
      <c r="U105">
        <v>4797</v>
      </c>
      <c r="V105">
        <v>2400</v>
      </c>
      <c r="W105">
        <v>2397</v>
      </c>
      <c r="X105" t="s">
        <v>77</v>
      </c>
      <c r="Y105" t="s">
        <v>68</v>
      </c>
      <c r="Z105" t="s">
        <v>161</v>
      </c>
      <c r="AA105" t="s">
        <v>169</v>
      </c>
      <c r="AB105">
        <v>4.5999999999999996</v>
      </c>
      <c r="AC105">
        <v>50</v>
      </c>
      <c r="AD105">
        <v>210.71</v>
      </c>
      <c r="AE105">
        <f t="shared" si="2"/>
        <v>2136.29</v>
      </c>
      <c r="AF105" t="str">
        <f t="shared" si="3"/>
        <v>2025-01</v>
      </c>
      <c r="AG105">
        <f>SUBTOTAL(103,A105)</f>
        <v>1</v>
      </c>
    </row>
    <row r="106" spans="1:33" x14ac:dyDescent="0.3">
      <c r="A106" t="s">
        <v>2715</v>
      </c>
      <c r="B106" s="13">
        <v>45672</v>
      </c>
      <c r="C106">
        <v>2025</v>
      </c>
      <c r="D106">
        <v>1</v>
      </c>
      <c r="E106" t="s">
        <v>2571</v>
      </c>
      <c r="F106" t="s">
        <v>2572</v>
      </c>
      <c r="G106" t="s">
        <v>1261</v>
      </c>
      <c r="H106" t="s">
        <v>1262</v>
      </c>
      <c r="I106" t="s">
        <v>86</v>
      </c>
      <c r="J106">
        <v>60</v>
      </c>
      <c r="K106" t="s">
        <v>83</v>
      </c>
      <c r="L106" t="s">
        <v>96</v>
      </c>
      <c r="M106" t="s">
        <v>55</v>
      </c>
      <c r="N106" t="s">
        <v>2577</v>
      </c>
      <c r="O106" t="s">
        <v>129</v>
      </c>
      <c r="P106" t="s">
        <v>49</v>
      </c>
      <c r="Q106" t="s">
        <v>149</v>
      </c>
      <c r="R106">
        <v>4</v>
      </c>
      <c r="S106">
        <v>1299</v>
      </c>
      <c r="T106">
        <v>0.2</v>
      </c>
      <c r="U106">
        <v>4156.8</v>
      </c>
      <c r="V106">
        <v>2600</v>
      </c>
      <c r="W106">
        <v>1556.8</v>
      </c>
      <c r="X106" t="s">
        <v>77</v>
      </c>
      <c r="Y106" t="s">
        <v>68</v>
      </c>
      <c r="Z106" t="s">
        <v>159</v>
      </c>
      <c r="AA106" t="s">
        <v>166</v>
      </c>
      <c r="AB106">
        <v>4.4000000000000004</v>
      </c>
      <c r="AC106">
        <v>40</v>
      </c>
      <c r="AD106">
        <v>263.11</v>
      </c>
      <c r="AE106">
        <f t="shared" si="2"/>
        <v>1253.69</v>
      </c>
      <c r="AF106" t="str">
        <f t="shared" si="3"/>
        <v>2025-01</v>
      </c>
      <c r="AG106">
        <f>SUBTOTAL(103,A106)</f>
        <v>1</v>
      </c>
    </row>
    <row r="107" spans="1:33" x14ac:dyDescent="0.3">
      <c r="A107" t="s">
        <v>2716</v>
      </c>
      <c r="B107" s="13">
        <v>45672</v>
      </c>
      <c r="C107">
        <v>2025</v>
      </c>
      <c r="D107">
        <v>1</v>
      </c>
      <c r="E107" t="s">
        <v>2571</v>
      </c>
      <c r="F107" t="s">
        <v>2572</v>
      </c>
      <c r="G107" t="s">
        <v>2185</v>
      </c>
      <c r="H107" t="s">
        <v>2186</v>
      </c>
      <c r="I107" t="s">
        <v>86</v>
      </c>
      <c r="J107">
        <v>21</v>
      </c>
      <c r="K107" t="s">
        <v>80</v>
      </c>
      <c r="L107" t="s">
        <v>2586</v>
      </c>
      <c r="M107" t="s">
        <v>62</v>
      </c>
      <c r="N107" t="s">
        <v>2603</v>
      </c>
      <c r="O107" t="s">
        <v>122</v>
      </c>
      <c r="P107" t="s">
        <v>48</v>
      </c>
      <c r="Q107" t="s">
        <v>141</v>
      </c>
      <c r="R107">
        <v>2</v>
      </c>
      <c r="S107">
        <v>2499</v>
      </c>
      <c r="T107">
        <v>0.15</v>
      </c>
      <c r="U107">
        <v>4248.3</v>
      </c>
      <c r="V107">
        <v>2900</v>
      </c>
      <c r="W107">
        <v>1348.3</v>
      </c>
      <c r="X107" t="s">
        <v>75</v>
      </c>
      <c r="Y107" t="s">
        <v>68</v>
      </c>
      <c r="Z107" t="s">
        <v>159</v>
      </c>
      <c r="AA107" t="s">
        <v>171</v>
      </c>
      <c r="AB107">
        <v>4.8</v>
      </c>
      <c r="AC107">
        <v>40</v>
      </c>
      <c r="AD107">
        <v>408.91</v>
      </c>
      <c r="AE107">
        <f t="shared" si="2"/>
        <v>899.38999999999987</v>
      </c>
      <c r="AF107" t="str">
        <f t="shared" si="3"/>
        <v>2025-01</v>
      </c>
      <c r="AG107">
        <f>SUBTOTAL(103,A107)</f>
        <v>1</v>
      </c>
    </row>
    <row r="108" spans="1:33" x14ac:dyDescent="0.3">
      <c r="A108" t="s">
        <v>2717</v>
      </c>
      <c r="B108" s="13">
        <v>45672</v>
      </c>
      <c r="C108">
        <v>2025</v>
      </c>
      <c r="D108">
        <v>1</v>
      </c>
      <c r="E108" t="s">
        <v>2571</v>
      </c>
      <c r="F108" t="s">
        <v>2572</v>
      </c>
      <c r="G108" t="s">
        <v>1967</v>
      </c>
      <c r="H108" t="s">
        <v>1968</v>
      </c>
      <c r="I108" t="s">
        <v>85</v>
      </c>
      <c r="J108">
        <v>23</v>
      </c>
      <c r="K108" t="s">
        <v>80</v>
      </c>
      <c r="L108" t="s">
        <v>93</v>
      </c>
      <c r="M108" t="s">
        <v>55</v>
      </c>
      <c r="N108" t="s">
        <v>2657</v>
      </c>
      <c r="O108" t="s">
        <v>134</v>
      </c>
      <c r="P108" t="s">
        <v>49</v>
      </c>
      <c r="Q108" t="s">
        <v>140</v>
      </c>
      <c r="R108">
        <v>2</v>
      </c>
      <c r="S108">
        <v>599</v>
      </c>
      <c r="T108">
        <v>0.05</v>
      </c>
      <c r="U108">
        <v>1138.0999999999999</v>
      </c>
      <c r="V108">
        <v>500</v>
      </c>
      <c r="W108">
        <v>638.1</v>
      </c>
      <c r="X108" t="s">
        <v>74</v>
      </c>
      <c r="Y108" t="s">
        <v>68</v>
      </c>
      <c r="Z108" t="s">
        <v>161</v>
      </c>
      <c r="AA108" t="s">
        <v>169</v>
      </c>
      <c r="AB108">
        <v>5</v>
      </c>
      <c r="AC108">
        <v>80</v>
      </c>
      <c r="AD108">
        <v>60.81</v>
      </c>
      <c r="AE108">
        <f t="shared" si="2"/>
        <v>497.29</v>
      </c>
      <c r="AF108" t="str">
        <f t="shared" si="3"/>
        <v>2025-01</v>
      </c>
      <c r="AG108">
        <f>SUBTOTAL(103,A108)</f>
        <v>1</v>
      </c>
    </row>
    <row r="109" spans="1:33" x14ac:dyDescent="0.3">
      <c r="A109" t="s">
        <v>2718</v>
      </c>
      <c r="B109" s="13">
        <v>45672</v>
      </c>
      <c r="C109">
        <v>2025</v>
      </c>
      <c r="D109">
        <v>1</v>
      </c>
      <c r="E109" t="s">
        <v>2571</v>
      </c>
      <c r="F109" t="s">
        <v>2572</v>
      </c>
      <c r="G109" t="s">
        <v>511</v>
      </c>
      <c r="H109" t="s">
        <v>512</v>
      </c>
      <c r="I109" t="s">
        <v>86</v>
      </c>
      <c r="J109">
        <v>49</v>
      </c>
      <c r="K109" t="s">
        <v>83</v>
      </c>
      <c r="L109" t="s">
        <v>94</v>
      </c>
      <c r="M109" t="s">
        <v>57</v>
      </c>
      <c r="N109" t="s">
        <v>2590</v>
      </c>
      <c r="O109" t="s">
        <v>127</v>
      </c>
      <c r="P109" t="s">
        <v>51</v>
      </c>
      <c r="Q109" t="s">
        <v>148</v>
      </c>
      <c r="R109">
        <v>2</v>
      </c>
      <c r="S109">
        <v>1599</v>
      </c>
      <c r="T109">
        <v>0.1</v>
      </c>
      <c r="U109">
        <v>2878.2</v>
      </c>
      <c r="V109">
        <v>1600</v>
      </c>
      <c r="W109">
        <v>1278.2</v>
      </c>
      <c r="X109" t="s">
        <v>73</v>
      </c>
      <c r="Y109" t="s">
        <v>68</v>
      </c>
      <c r="Z109" t="s">
        <v>163</v>
      </c>
      <c r="AA109" t="s">
        <v>168</v>
      </c>
      <c r="AB109">
        <v>3.8</v>
      </c>
      <c r="AC109">
        <v>60</v>
      </c>
      <c r="AD109">
        <v>298.7</v>
      </c>
      <c r="AE109">
        <f t="shared" si="2"/>
        <v>919.5</v>
      </c>
      <c r="AF109" t="str">
        <f t="shared" si="3"/>
        <v>2025-01</v>
      </c>
      <c r="AG109">
        <f>SUBTOTAL(103,A109)</f>
        <v>1</v>
      </c>
    </row>
    <row r="110" spans="1:33" x14ac:dyDescent="0.3">
      <c r="A110" t="s">
        <v>2719</v>
      </c>
      <c r="B110" s="13">
        <v>45672</v>
      </c>
      <c r="C110">
        <v>2025</v>
      </c>
      <c r="D110">
        <v>1</v>
      </c>
      <c r="E110" t="s">
        <v>2571</v>
      </c>
      <c r="F110" t="s">
        <v>2572</v>
      </c>
      <c r="G110" t="s">
        <v>1515</v>
      </c>
      <c r="H110" t="s">
        <v>1516</v>
      </c>
      <c r="I110" t="s">
        <v>85</v>
      </c>
      <c r="J110">
        <v>34</v>
      </c>
      <c r="K110" t="s">
        <v>81</v>
      </c>
      <c r="L110" t="s">
        <v>2576</v>
      </c>
      <c r="M110" t="s">
        <v>60</v>
      </c>
      <c r="N110" t="s">
        <v>2657</v>
      </c>
      <c r="O110" t="s">
        <v>134</v>
      </c>
      <c r="P110" t="s">
        <v>49</v>
      </c>
      <c r="Q110" t="s">
        <v>140</v>
      </c>
      <c r="R110">
        <v>2</v>
      </c>
      <c r="S110">
        <v>599</v>
      </c>
      <c r="T110">
        <v>0</v>
      </c>
      <c r="U110">
        <v>1198</v>
      </c>
      <c r="V110">
        <v>500</v>
      </c>
      <c r="W110">
        <v>698</v>
      </c>
      <c r="X110" t="s">
        <v>74</v>
      </c>
      <c r="Y110" t="s">
        <v>68</v>
      </c>
      <c r="Z110" t="s">
        <v>162</v>
      </c>
      <c r="AA110" t="s">
        <v>166</v>
      </c>
      <c r="AB110">
        <v>3.6</v>
      </c>
      <c r="AC110">
        <v>100</v>
      </c>
      <c r="AD110">
        <v>42.76</v>
      </c>
      <c r="AE110">
        <f t="shared" si="2"/>
        <v>555.24</v>
      </c>
      <c r="AF110" t="str">
        <f t="shared" si="3"/>
        <v>2025-01</v>
      </c>
      <c r="AG110">
        <f>SUBTOTAL(103,A110)</f>
        <v>1</v>
      </c>
    </row>
    <row r="111" spans="1:33" x14ac:dyDescent="0.3">
      <c r="A111" t="s">
        <v>2720</v>
      </c>
      <c r="B111" s="13">
        <v>45672</v>
      </c>
      <c r="C111">
        <v>2025</v>
      </c>
      <c r="D111">
        <v>1</v>
      </c>
      <c r="E111" t="s">
        <v>2571</v>
      </c>
      <c r="F111" t="s">
        <v>2572</v>
      </c>
      <c r="G111" t="s">
        <v>2157</v>
      </c>
      <c r="H111" t="s">
        <v>2158</v>
      </c>
      <c r="I111" t="s">
        <v>86</v>
      </c>
      <c r="J111">
        <v>25</v>
      </c>
      <c r="K111" t="s">
        <v>80</v>
      </c>
      <c r="L111" t="s">
        <v>99</v>
      </c>
      <c r="M111" t="s">
        <v>58</v>
      </c>
      <c r="N111" t="s">
        <v>2596</v>
      </c>
      <c r="O111" t="s">
        <v>124</v>
      </c>
      <c r="P111" t="s">
        <v>51</v>
      </c>
      <c r="Q111" t="s">
        <v>147</v>
      </c>
      <c r="R111">
        <v>1</v>
      </c>
      <c r="S111">
        <v>2299</v>
      </c>
      <c r="T111">
        <v>0.05</v>
      </c>
      <c r="U111">
        <v>2184.0500000000002</v>
      </c>
      <c r="V111">
        <v>1200</v>
      </c>
      <c r="W111">
        <v>984.05</v>
      </c>
      <c r="X111" t="s">
        <v>74</v>
      </c>
      <c r="Y111" t="s">
        <v>68</v>
      </c>
      <c r="Z111" t="s">
        <v>161</v>
      </c>
      <c r="AA111" t="s">
        <v>168</v>
      </c>
      <c r="AB111">
        <v>3.4</v>
      </c>
      <c r="AC111">
        <v>50</v>
      </c>
      <c r="AD111">
        <v>231.48</v>
      </c>
      <c r="AE111">
        <f t="shared" si="2"/>
        <v>702.56999999999994</v>
      </c>
      <c r="AF111" t="str">
        <f t="shared" si="3"/>
        <v>2025-01</v>
      </c>
      <c r="AG111">
        <f>SUBTOTAL(103,A111)</f>
        <v>1</v>
      </c>
    </row>
    <row r="112" spans="1:33" x14ac:dyDescent="0.3">
      <c r="A112" t="s">
        <v>2721</v>
      </c>
      <c r="B112" s="13">
        <v>45673</v>
      </c>
      <c r="C112">
        <v>2025</v>
      </c>
      <c r="D112">
        <v>1</v>
      </c>
      <c r="E112" t="s">
        <v>2571</v>
      </c>
      <c r="F112" t="s">
        <v>2572</v>
      </c>
      <c r="G112" t="s">
        <v>2223</v>
      </c>
      <c r="H112" t="s">
        <v>2224</v>
      </c>
      <c r="I112" t="s">
        <v>86</v>
      </c>
      <c r="J112">
        <v>36</v>
      </c>
      <c r="K112" t="s">
        <v>82</v>
      </c>
      <c r="L112" t="s">
        <v>2616</v>
      </c>
      <c r="M112" t="s">
        <v>62</v>
      </c>
      <c r="N112" t="s">
        <v>2657</v>
      </c>
      <c r="O112" t="s">
        <v>134</v>
      </c>
      <c r="P112" t="s">
        <v>49</v>
      </c>
      <c r="Q112" t="s">
        <v>140</v>
      </c>
      <c r="R112">
        <v>2</v>
      </c>
      <c r="S112">
        <v>599</v>
      </c>
      <c r="T112">
        <v>0.15</v>
      </c>
      <c r="U112">
        <v>1018.3</v>
      </c>
      <c r="V112">
        <v>500</v>
      </c>
      <c r="W112">
        <v>518.29999999999995</v>
      </c>
      <c r="X112" t="s">
        <v>73</v>
      </c>
      <c r="Y112" t="s">
        <v>68</v>
      </c>
      <c r="Z112" t="s">
        <v>162</v>
      </c>
      <c r="AA112" t="s">
        <v>166</v>
      </c>
      <c r="AB112">
        <v>4.4000000000000004</v>
      </c>
      <c r="AC112">
        <v>40</v>
      </c>
      <c r="AD112">
        <v>107.54</v>
      </c>
      <c r="AE112">
        <f t="shared" si="2"/>
        <v>370.75999999999993</v>
      </c>
      <c r="AF112" t="str">
        <f t="shared" si="3"/>
        <v>2025-01</v>
      </c>
      <c r="AG112">
        <f>SUBTOTAL(103,A112)</f>
        <v>1</v>
      </c>
    </row>
    <row r="113" spans="1:33" x14ac:dyDescent="0.3">
      <c r="A113" t="s">
        <v>2722</v>
      </c>
      <c r="B113" s="13">
        <v>45673</v>
      </c>
      <c r="C113">
        <v>2025</v>
      </c>
      <c r="D113">
        <v>1</v>
      </c>
      <c r="E113" t="s">
        <v>2571</v>
      </c>
      <c r="F113" t="s">
        <v>2572</v>
      </c>
      <c r="G113" t="s">
        <v>815</v>
      </c>
      <c r="H113" t="s">
        <v>816</v>
      </c>
      <c r="I113" t="s">
        <v>85</v>
      </c>
      <c r="J113">
        <v>47</v>
      </c>
      <c r="K113" t="s">
        <v>83</v>
      </c>
      <c r="L113" t="s">
        <v>95</v>
      </c>
      <c r="M113" t="s">
        <v>56</v>
      </c>
      <c r="N113" t="s">
        <v>2603</v>
      </c>
      <c r="O113" t="s">
        <v>122</v>
      </c>
      <c r="P113" t="s">
        <v>48</v>
      </c>
      <c r="Q113" t="s">
        <v>141</v>
      </c>
      <c r="R113">
        <v>1</v>
      </c>
      <c r="S113">
        <v>2499</v>
      </c>
      <c r="T113">
        <v>0</v>
      </c>
      <c r="U113">
        <v>2499</v>
      </c>
      <c r="V113">
        <v>1450</v>
      </c>
      <c r="W113">
        <v>1049</v>
      </c>
      <c r="X113" t="s">
        <v>73</v>
      </c>
      <c r="Y113" t="s">
        <v>68</v>
      </c>
      <c r="Z113" t="s">
        <v>159</v>
      </c>
      <c r="AA113" t="s">
        <v>167</v>
      </c>
      <c r="AB113">
        <v>3.3</v>
      </c>
      <c r="AC113">
        <v>40</v>
      </c>
      <c r="AD113">
        <v>155.80000000000001</v>
      </c>
      <c r="AE113">
        <f t="shared" si="2"/>
        <v>853.2</v>
      </c>
      <c r="AF113" t="str">
        <f t="shared" si="3"/>
        <v>2025-01</v>
      </c>
      <c r="AG113">
        <f>SUBTOTAL(103,A113)</f>
        <v>1</v>
      </c>
    </row>
    <row r="114" spans="1:33" x14ac:dyDescent="0.3">
      <c r="A114" t="s">
        <v>2723</v>
      </c>
      <c r="B114" s="13">
        <v>45673</v>
      </c>
      <c r="C114">
        <v>2025</v>
      </c>
      <c r="D114">
        <v>1</v>
      </c>
      <c r="E114" t="s">
        <v>2571</v>
      </c>
      <c r="F114" t="s">
        <v>2572</v>
      </c>
      <c r="G114" t="s">
        <v>1547</v>
      </c>
      <c r="H114" t="s">
        <v>1548</v>
      </c>
      <c r="I114" t="s">
        <v>86</v>
      </c>
      <c r="J114">
        <v>46</v>
      </c>
      <c r="K114" t="s">
        <v>83</v>
      </c>
      <c r="L114" t="s">
        <v>90</v>
      </c>
      <c r="M114" t="s">
        <v>55</v>
      </c>
      <c r="N114" t="s">
        <v>2590</v>
      </c>
      <c r="O114" t="s">
        <v>127</v>
      </c>
      <c r="P114" t="s">
        <v>51</v>
      </c>
      <c r="Q114" t="s">
        <v>148</v>
      </c>
      <c r="R114">
        <v>1</v>
      </c>
      <c r="S114">
        <v>1599</v>
      </c>
      <c r="T114">
        <v>0.05</v>
      </c>
      <c r="U114">
        <v>1519.05</v>
      </c>
      <c r="V114">
        <v>800</v>
      </c>
      <c r="W114">
        <v>719.05</v>
      </c>
      <c r="X114" t="s">
        <v>73</v>
      </c>
      <c r="Y114" t="s">
        <v>68</v>
      </c>
      <c r="Z114" t="s">
        <v>159</v>
      </c>
      <c r="AA114" t="s">
        <v>169</v>
      </c>
      <c r="AB114">
        <v>5</v>
      </c>
      <c r="AC114">
        <v>100</v>
      </c>
      <c r="AD114">
        <v>109.27</v>
      </c>
      <c r="AE114">
        <f t="shared" si="2"/>
        <v>509.78</v>
      </c>
      <c r="AF114" t="str">
        <f t="shared" si="3"/>
        <v>2025-01</v>
      </c>
      <c r="AG114">
        <f>SUBTOTAL(103,A114)</f>
        <v>1</v>
      </c>
    </row>
    <row r="115" spans="1:33" x14ac:dyDescent="0.3">
      <c r="A115" t="s">
        <v>2724</v>
      </c>
      <c r="B115" s="13">
        <v>45673</v>
      </c>
      <c r="C115">
        <v>2025</v>
      </c>
      <c r="D115">
        <v>1</v>
      </c>
      <c r="E115" t="s">
        <v>2571</v>
      </c>
      <c r="F115" t="s">
        <v>2572</v>
      </c>
      <c r="G115" t="s">
        <v>1177</v>
      </c>
      <c r="H115" t="s">
        <v>1178</v>
      </c>
      <c r="I115" t="s">
        <v>86</v>
      </c>
      <c r="J115">
        <v>59</v>
      </c>
      <c r="K115" t="s">
        <v>83</v>
      </c>
      <c r="L115" t="s">
        <v>2661</v>
      </c>
      <c r="M115" t="s">
        <v>58</v>
      </c>
      <c r="N115" t="s">
        <v>2574</v>
      </c>
      <c r="O115" t="s">
        <v>130</v>
      </c>
      <c r="P115" t="s">
        <v>50</v>
      </c>
      <c r="Q115" t="s">
        <v>53</v>
      </c>
      <c r="R115">
        <v>5</v>
      </c>
      <c r="S115">
        <v>1199</v>
      </c>
      <c r="T115">
        <v>0.1</v>
      </c>
      <c r="U115">
        <v>5395.5</v>
      </c>
      <c r="V115">
        <v>2750</v>
      </c>
      <c r="W115">
        <v>2645.5</v>
      </c>
      <c r="X115" t="s">
        <v>73</v>
      </c>
      <c r="Y115" t="s">
        <v>68</v>
      </c>
      <c r="Z115" t="s">
        <v>161</v>
      </c>
      <c r="AA115" t="s">
        <v>168</v>
      </c>
      <c r="AB115">
        <v>3</v>
      </c>
      <c r="AC115">
        <v>50</v>
      </c>
      <c r="AD115">
        <v>215.08</v>
      </c>
      <c r="AE115">
        <f t="shared" si="2"/>
        <v>2380.42</v>
      </c>
      <c r="AF115" t="str">
        <f t="shared" si="3"/>
        <v>2025-01</v>
      </c>
      <c r="AG115">
        <f>SUBTOTAL(103,A115)</f>
        <v>1</v>
      </c>
    </row>
    <row r="116" spans="1:33" x14ac:dyDescent="0.3">
      <c r="A116" t="s">
        <v>2725</v>
      </c>
      <c r="B116" s="13">
        <v>45673</v>
      </c>
      <c r="C116">
        <v>2025</v>
      </c>
      <c r="D116">
        <v>1</v>
      </c>
      <c r="E116" t="s">
        <v>2571</v>
      </c>
      <c r="F116" t="s">
        <v>2572</v>
      </c>
      <c r="G116" t="s">
        <v>1069</v>
      </c>
      <c r="H116" t="s">
        <v>1070</v>
      </c>
      <c r="I116" t="s">
        <v>87</v>
      </c>
      <c r="J116">
        <v>24</v>
      </c>
      <c r="K116" t="s">
        <v>80</v>
      </c>
      <c r="L116" t="s">
        <v>98</v>
      </c>
      <c r="M116" t="s">
        <v>55</v>
      </c>
      <c r="N116" t="s">
        <v>2630</v>
      </c>
      <c r="O116" t="s">
        <v>123</v>
      </c>
      <c r="P116" t="s">
        <v>52</v>
      </c>
      <c r="Q116" t="s">
        <v>146</v>
      </c>
      <c r="R116">
        <v>4</v>
      </c>
      <c r="S116">
        <v>2499</v>
      </c>
      <c r="T116">
        <v>0.1</v>
      </c>
      <c r="U116">
        <v>8996.4</v>
      </c>
      <c r="V116">
        <v>5600</v>
      </c>
      <c r="W116">
        <v>3396.4</v>
      </c>
      <c r="X116" t="s">
        <v>73</v>
      </c>
      <c r="Y116" t="s">
        <v>68</v>
      </c>
      <c r="Z116" t="s">
        <v>158</v>
      </c>
      <c r="AA116" t="s">
        <v>168</v>
      </c>
      <c r="AB116">
        <v>3.8</v>
      </c>
      <c r="AC116">
        <v>60</v>
      </c>
      <c r="AD116">
        <v>333.96</v>
      </c>
      <c r="AE116">
        <f t="shared" si="2"/>
        <v>3002.44</v>
      </c>
      <c r="AF116" t="str">
        <f t="shared" si="3"/>
        <v>2025-01</v>
      </c>
      <c r="AG116">
        <f>SUBTOTAL(103,A116)</f>
        <v>1</v>
      </c>
    </row>
    <row r="117" spans="1:33" x14ac:dyDescent="0.3">
      <c r="A117" t="s">
        <v>2726</v>
      </c>
      <c r="B117" s="13">
        <v>45673</v>
      </c>
      <c r="C117">
        <v>2025</v>
      </c>
      <c r="D117">
        <v>1</v>
      </c>
      <c r="E117" t="s">
        <v>2571</v>
      </c>
      <c r="F117" t="s">
        <v>2572</v>
      </c>
      <c r="G117" t="s">
        <v>2095</v>
      </c>
      <c r="H117" t="s">
        <v>2096</v>
      </c>
      <c r="I117" t="s">
        <v>85</v>
      </c>
      <c r="J117">
        <v>38</v>
      </c>
      <c r="K117" t="s">
        <v>82</v>
      </c>
      <c r="L117" t="s">
        <v>91</v>
      </c>
      <c r="M117" t="s">
        <v>55</v>
      </c>
      <c r="N117" t="s">
        <v>2596</v>
      </c>
      <c r="O117" t="s">
        <v>124</v>
      </c>
      <c r="P117" t="s">
        <v>51</v>
      </c>
      <c r="Q117" t="s">
        <v>147</v>
      </c>
      <c r="R117">
        <v>2</v>
      </c>
      <c r="S117">
        <v>2299</v>
      </c>
      <c r="T117">
        <v>0.15</v>
      </c>
      <c r="U117">
        <v>3908.3</v>
      </c>
      <c r="V117">
        <v>2400</v>
      </c>
      <c r="W117">
        <v>1508.3</v>
      </c>
      <c r="X117" t="s">
        <v>76</v>
      </c>
      <c r="Y117" t="s">
        <v>68</v>
      </c>
      <c r="Z117" t="s">
        <v>159</v>
      </c>
      <c r="AA117" t="s">
        <v>168</v>
      </c>
      <c r="AB117">
        <v>4.5</v>
      </c>
      <c r="AC117">
        <v>80</v>
      </c>
      <c r="AD117">
        <v>235.22</v>
      </c>
      <c r="AE117">
        <f t="shared" si="2"/>
        <v>1193.08</v>
      </c>
      <c r="AF117" t="str">
        <f t="shared" si="3"/>
        <v>2025-01</v>
      </c>
      <c r="AG117">
        <f>SUBTOTAL(103,A117)</f>
        <v>1</v>
      </c>
    </row>
    <row r="118" spans="1:33" x14ac:dyDescent="0.3">
      <c r="A118" t="s">
        <v>2727</v>
      </c>
      <c r="B118" s="13">
        <v>45673</v>
      </c>
      <c r="C118">
        <v>2025</v>
      </c>
      <c r="D118">
        <v>1</v>
      </c>
      <c r="E118" t="s">
        <v>2571</v>
      </c>
      <c r="F118" t="s">
        <v>2572</v>
      </c>
      <c r="G118" t="s">
        <v>599</v>
      </c>
      <c r="H118" t="s">
        <v>600</v>
      </c>
      <c r="I118" t="s">
        <v>86</v>
      </c>
      <c r="J118">
        <v>20</v>
      </c>
      <c r="K118" t="s">
        <v>80</v>
      </c>
      <c r="L118" t="s">
        <v>2674</v>
      </c>
      <c r="M118" t="s">
        <v>58</v>
      </c>
      <c r="N118" t="s">
        <v>2630</v>
      </c>
      <c r="O118" t="s">
        <v>123</v>
      </c>
      <c r="P118" t="s">
        <v>52</v>
      </c>
      <c r="Q118" t="s">
        <v>146</v>
      </c>
      <c r="R118">
        <v>2</v>
      </c>
      <c r="S118">
        <v>2499</v>
      </c>
      <c r="T118">
        <v>0</v>
      </c>
      <c r="U118">
        <v>4998</v>
      </c>
      <c r="V118">
        <v>2800</v>
      </c>
      <c r="W118">
        <v>2198</v>
      </c>
      <c r="X118" t="s">
        <v>76</v>
      </c>
      <c r="Y118" t="s">
        <v>68</v>
      </c>
      <c r="Z118" t="s">
        <v>158</v>
      </c>
      <c r="AA118" t="s">
        <v>171</v>
      </c>
      <c r="AB118">
        <v>2.7</v>
      </c>
      <c r="AC118">
        <v>60</v>
      </c>
      <c r="AD118">
        <v>379.42</v>
      </c>
      <c r="AE118">
        <f t="shared" si="2"/>
        <v>1758.58</v>
      </c>
      <c r="AF118" t="str">
        <f t="shared" si="3"/>
        <v>2025-01</v>
      </c>
      <c r="AG118">
        <f>SUBTOTAL(103,A118)</f>
        <v>1</v>
      </c>
    </row>
    <row r="119" spans="1:33" x14ac:dyDescent="0.3">
      <c r="A119" t="s">
        <v>2728</v>
      </c>
      <c r="B119" s="13">
        <v>45673</v>
      </c>
      <c r="C119">
        <v>2025</v>
      </c>
      <c r="D119">
        <v>1</v>
      </c>
      <c r="E119" t="s">
        <v>2571</v>
      </c>
      <c r="F119" t="s">
        <v>2572</v>
      </c>
      <c r="G119" t="s">
        <v>369</v>
      </c>
      <c r="H119" t="s">
        <v>370</v>
      </c>
      <c r="I119" t="s">
        <v>86</v>
      </c>
      <c r="J119">
        <v>43</v>
      </c>
      <c r="K119" t="s">
        <v>82</v>
      </c>
      <c r="L119" t="s">
        <v>59</v>
      </c>
      <c r="M119" t="s">
        <v>59</v>
      </c>
      <c r="N119" t="s">
        <v>2584</v>
      </c>
      <c r="O119" t="s">
        <v>121</v>
      </c>
      <c r="P119" t="s">
        <v>50</v>
      </c>
      <c r="Q119" t="s">
        <v>144</v>
      </c>
      <c r="R119">
        <v>4</v>
      </c>
      <c r="S119">
        <v>2999</v>
      </c>
      <c r="T119">
        <v>0.2</v>
      </c>
      <c r="U119">
        <v>9596.7999999999993</v>
      </c>
      <c r="V119">
        <v>6800</v>
      </c>
      <c r="W119">
        <v>2796.8</v>
      </c>
      <c r="X119" t="s">
        <v>77</v>
      </c>
      <c r="Y119" t="s">
        <v>68</v>
      </c>
      <c r="Z119" t="s">
        <v>160</v>
      </c>
      <c r="AA119" t="s">
        <v>170</v>
      </c>
      <c r="AB119">
        <v>3.3</v>
      </c>
      <c r="AC119">
        <v>80</v>
      </c>
      <c r="AD119">
        <v>216.31</v>
      </c>
      <c r="AE119">
        <f t="shared" si="2"/>
        <v>2500.4900000000002</v>
      </c>
      <c r="AF119" t="str">
        <f t="shared" si="3"/>
        <v>2025-01</v>
      </c>
      <c r="AG119">
        <f>SUBTOTAL(103,A119)</f>
        <v>1</v>
      </c>
    </row>
    <row r="120" spans="1:33" x14ac:dyDescent="0.3">
      <c r="A120" t="s">
        <v>2729</v>
      </c>
      <c r="B120" s="13">
        <v>45673</v>
      </c>
      <c r="C120">
        <v>2025</v>
      </c>
      <c r="D120">
        <v>1</v>
      </c>
      <c r="E120" t="s">
        <v>2571</v>
      </c>
      <c r="F120" t="s">
        <v>2572</v>
      </c>
      <c r="G120" t="s">
        <v>587</v>
      </c>
      <c r="H120" t="s">
        <v>588</v>
      </c>
      <c r="I120" t="s">
        <v>86</v>
      </c>
      <c r="J120">
        <v>43</v>
      </c>
      <c r="K120" t="s">
        <v>82</v>
      </c>
      <c r="L120" t="s">
        <v>95</v>
      </c>
      <c r="M120" t="s">
        <v>56</v>
      </c>
      <c r="N120" t="s">
        <v>2601</v>
      </c>
      <c r="O120" t="s">
        <v>117</v>
      </c>
      <c r="P120" t="s">
        <v>49</v>
      </c>
      <c r="Q120" t="s">
        <v>139</v>
      </c>
      <c r="R120">
        <v>1</v>
      </c>
      <c r="S120">
        <v>6999</v>
      </c>
      <c r="T120">
        <v>0</v>
      </c>
      <c r="U120">
        <v>6999</v>
      </c>
      <c r="V120">
        <v>4300</v>
      </c>
      <c r="W120">
        <v>2699</v>
      </c>
      <c r="X120" t="s">
        <v>75</v>
      </c>
      <c r="Y120" t="s">
        <v>68</v>
      </c>
      <c r="Z120" t="s">
        <v>158</v>
      </c>
      <c r="AA120" t="s">
        <v>166</v>
      </c>
      <c r="AB120">
        <v>3.9</v>
      </c>
      <c r="AC120">
        <v>60</v>
      </c>
      <c r="AD120">
        <v>801.6</v>
      </c>
      <c r="AE120">
        <f t="shared" si="2"/>
        <v>1837.4</v>
      </c>
      <c r="AF120" t="str">
        <f t="shared" si="3"/>
        <v>2025-01</v>
      </c>
      <c r="AG120">
        <f>SUBTOTAL(103,A120)</f>
        <v>1</v>
      </c>
    </row>
    <row r="121" spans="1:33" x14ac:dyDescent="0.3">
      <c r="A121" t="s">
        <v>2730</v>
      </c>
      <c r="B121" s="13">
        <v>45674</v>
      </c>
      <c r="C121">
        <v>2025</v>
      </c>
      <c r="D121">
        <v>1</v>
      </c>
      <c r="E121" t="s">
        <v>2571</v>
      </c>
      <c r="F121" t="s">
        <v>2572</v>
      </c>
      <c r="G121" t="s">
        <v>1317</v>
      </c>
      <c r="H121" t="s">
        <v>1318</v>
      </c>
      <c r="I121" t="s">
        <v>86</v>
      </c>
      <c r="J121">
        <v>18</v>
      </c>
      <c r="K121" t="s">
        <v>80</v>
      </c>
      <c r="L121" t="s">
        <v>96</v>
      </c>
      <c r="M121" t="s">
        <v>55</v>
      </c>
      <c r="N121" t="s">
        <v>2582</v>
      </c>
      <c r="O121" t="s">
        <v>119</v>
      </c>
      <c r="P121" t="s">
        <v>49</v>
      </c>
      <c r="Q121" t="s">
        <v>140</v>
      </c>
      <c r="R121">
        <v>2</v>
      </c>
      <c r="S121">
        <v>3499</v>
      </c>
      <c r="T121">
        <v>0.25</v>
      </c>
      <c r="U121">
        <v>0</v>
      </c>
      <c r="V121">
        <v>0</v>
      </c>
      <c r="W121">
        <v>0</v>
      </c>
      <c r="X121" t="s">
        <v>73</v>
      </c>
      <c r="Y121" t="s">
        <v>71</v>
      </c>
      <c r="Z121" t="s">
        <v>161</v>
      </c>
      <c r="AA121" t="s">
        <v>170</v>
      </c>
      <c r="AB121">
        <v>3.6</v>
      </c>
      <c r="AC121">
        <v>40</v>
      </c>
      <c r="AD121">
        <v>173.18</v>
      </c>
      <c r="AE121">
        <f t="shared" si="2"/>
        <v>-213.18</v>
      </c>
      <c r="AF121" t="str">
        <f t="shared" si="3"/>
        <v>2025-01</v>
      </c>
      <c r="AG121">
        <f>SUBTOTAL(103,A121)</f>
        <v>1</v>
      </c>
    </row>
    <row r="122" spans="1:33" x14ac:dyDescent="0.3">
      <c r="A122" t="s">
        <v>2731</v>
      </c>
      <c r="B122" s="13">
        <v>45674</v>
      </c>
      <c r="C122">
        <v>2025</v>
      </c>
      <c r="D122">
        <v>1</v>
      </c>
      <c r="E122" t="s">
        <v>2571</v>
      </c>
      <c r="F122" t="s">
        <v>2572</v>
      </c>
      <c r="G122" t="s">
        <v>1155</v>
      </c>
      <c r="H122" t="s">
        <v>1156</v>
      </c>
      <c r="I122" t="s">
        <v>85</v>
      </c>
      <c r="J122">
        <v>18</v>
      </c>
      <c r="K122" t="s">
        <v>80</v>
      </c>
      <c r="L122" t="s">
        <v>2579</v>
      </c>
      <c r="M122" t="s">
        <v>56</v>
      </c>
      <c r="N122" t="s">
        <v>2653</v>
      </c>
      <c r="O122" t="s">
        <v>132</v>
      </c>
      <c r="P122" t="s">
        <v>52</v>
      </c>
      <c r="Q122" t="s">
        <v>150</v>
      </c>
      <c r="R122">
        <v>4</v>
      </c>
      <c r="S122">
        <v>899</v>
      </c>
      <c r="T122">
        <v>0.1</v>
      </c>
      <c r="U122">
        <v>3236.4</v>
      </c>
      <c r="V122">
        <v>1680</v>
      </c>
      <c r="W122">
        <v>1556.4</v>
      </c>
      <c r="X122" t="s">
        <v>73</v>
      </c>
      <c r="Y122" t="s">
        <v>69</v>
      </c>
      <c r="Z122" t="s">
        <v>160</v>
      </c>
      <c r="AA122" t="s">
        <v>167</v>
      </c>
      <c r="AB122">
        <v>3.6</v>
      </c>
      <c r="AC122">
        <v>40</v>
      </c>
      <c r="AD122">
        <v>110.09</v>
      </c>
      <c r="AE122">
        <f t="shared" si="2"/>
        <v>1406.3100000000002</v>
      </c>
      <c r="AF122" t="str">
        <f t="shared" si="3"/>
        <v>2025-01</v>
      </c>
      <c r="AG122">
        <f>SUBTOTAL(103,A122)</f>
        <v>1</v>
      </c>
    </row>
    <row r="123" spans="1:33" x14ac:dyDescent="0.3">
      <c r="A123" t="s">
        <v>2732</v>
      </c>
      <c r="B123" s="13">
        <v>45674</v>
      </c>
      <c r="C123">
        <v>2025</v>
      </c>
      <c r="D123">
        <v>1</v>
      </c>
      <c r="E123" t="s">
        <v>2571</v>
      </c>
      <c r="F123" t="s">
        <v>2572</v>
      </c>
      <c r="G123" t="s">
        <v>1209</v>
      </c>
      <c r="H123" t="s">
        <v>1210</v>
      </c>
      <c r="I123" t="s">
        <v>85</v>
      </c>
      <c r="J123">
        <v>32</v>
      </c>
      <c r="K123" t="s">
        <v>81</v>
      </c>
      <c r="L123" t="s">
        <v>99</v>
      </c>
      <c r="M123" t="s">
        <v>58</v>
      </c>
      <c r="N123" t="s">
        <v>2590</v>
      </c>
      <c r="O123" t="s">
        <v>127</v>
      </c>
      <c r="P123" t="s">
        <v>51</v>
      </c>
      <c r="Q123" t="s">
        <v>148</v>
      </c>
      <c r="R123">
        <v>2</v>
      </c>
      <c r="S123">
        <v>1599</v>
      </c>
      <c r="T123">
        <v>0.15</v>
      </c>
      <c r="U123">
        <v>2718.3</v>
      </c>
      <c r="V123">
        <v>1600</v>
      </c>
      <c r="W123">
        <v>1118.3</v>
      </c>
      <c r="X123" t="s">
        <v>76</v>
      </c>
      <c r="Y123" t="s">
        <v>68</v>
      </c>
      <c r="Z123" t="s">
        <v>160</v>
      </c>
      <c r="AA123" t="s">
        <v>168</v>
      </c>
      <c r="AB123">
        <v>4.3</v>
      </c>
      <c r="AC123">
        <v>50</v>
      </c>
      <c r="AD123">
        <v>323.26</v>
      </c>
      <c r="AE123">
        <f t="shared" si="2"/>
        <v>745.04</v>
      </c>
      <c r="AF123" t="str">
        <f t="shared" si="3"/>
        <v>2025-01</v>
      </c>
      <c r="AG123">
        <f>SUBTOTAL(103,A123)</f>
        <v>1</v>
      </c>
    </row>
    <row r="124" spans="1:33" x14ac:dyDescent="0.3">
      <c r="A124" t="s">
        <v>2733</v>
      </c>
      <c r="B124" s="13">
        <v>45674</v>
      </c>
      <c r="C124">
        <v>2025</v>
      </c>
      <c r="D124">
        <v>1</v>
      </c>
      <c r="E124" t="s">
        <v>2571</v>
      </c>
      <c r="F124" t="s">
        <v>2572</v>
      </c>
      <c r="G124" t="s">
        <v>1995</v>
      </c>
      <c r="H124" t="s">
        <v>1996</v>
      </c>
      <c r="I124" t="s">
        <v>86</v>
      </c>
      <c r="J124">
        <v>18</v>
      </c>
      <c r="K124" t="s">
        <v>80</v>
      </c>
      <c r="L124" t="s">
        <v>91</v>
      </c>
      <c r="M124" t="s">
        <v>55</v>
      </c>
      <c r="N124" t="s">
        <v>2665</v>
      </c>
      <c r="O124" t="s">
        <v>128</v>
      </c>
      <c r="P124" t="s">
        <v>53</v>
      </c>
      <c r="Q124" t="s">
        <v>143</v>
      </c>
      <c r="R124">
        <v>2</v>
      </c>
      <c r="S124">
        <v>1499</v>
      </c>
      <c r="T124">
        <v>0</v>
      </c>
      <c r="U124">
        <v>2998</v>
      </c>
      <c r="V124">
        <v>1600</v>
      </c>
      <c r="W124">
        <v>1398</v>
      </c>
      <c r="X124" t="s">
        <v>74</v>
      </c>
      <c r="Y124" t="s">
        <v>68</v>
      </c>
      <c r="Z124" t="s">
        <v>162</v>
      </c>
      <c r="AA124" t="s">
        <v>171</v>
      </c>
      <c r="AB124">
        <v>4.2</v>
      </c>
      <c r="AC124">
        <v>100</v>
      </c>
      <c r="AD124">
        <v>294.93</v>
      </c>
      <c r="AE124">
        <f t="shared" si="2"/>
        <v>1003.0699999999999</v>
      </c>
      <c r="AF124" t="str">
        <f t="shared" si="3"/>
        <v>2025-01</v>
      </c>
      <c r="AG124">
        <f>SUBTOTAL(103,A124)</f>
        <v>1</v>
      </c>
    </row>
    <row r="125" spans="1:33" x14ac:dyDescent="0.3">
      <c r="A125" t="s">
        <v>2734</v>
      </c>
      <c r="B125" s="13">
        <v>45674</v>
      </c>
      <c r="C125">
        <v>2025</v>
      </c>
      <c r="D125">
        <v>1</v>
      </c>
      <c r="E125" t="s">
        <v>2571</v>
      </c>
      <c r="F125" t="s">
        <v>2572</v>
      </c>
      <c r="G125" t="s">
        <v>2109</v>
      </c>
      <c r="H125" t="s">
        <v>2110</v>
      </c>
      <c r="I125" t="s">
        <v>86</v>
      </c>
      <c r="J125">
        <v>38</v>
      </c>
      <c r="K125" t="s">
        <v>82</v>
      </c>
      <c r="L125" t="s">
        <v>2616</v>
      </c>
      <c r="M125" t="s">
        <v>62</v>
      </c>
      <c r="N125" t="s">
        <v>2590</v>
      </c>
      <c r="O125" t="s">
        <v>127</v>
      </c>
      <c r="P125" t="s">
        <v>51</v>
      </c>
      <c r="Q125" t="s">
        <v>148</v>
      </c>
      <c r="R125">
        <v>2</v>
      </c>
      <c r="S125">
        <v>1599</v>
      </c>
      <c r="T125">
        <v>0.1</v>
      </c>
      <c r="U125">
        <v>2878.2</v>
      </c>
      <c r="V125">
        <v>1600</v>
      </c>
      <c r="W125">
        <v>1278.2</v>
      </c>
      <c r="X125" t="s">
        <v>73</v>
      </c>
      <c r="Y125" t="s">
        <v>68</v>
      </c>
      <c r="Z125" t="s">
        <v>158</v>
      </c>
      <c r="AA125" t="s">
        <v>166</v>
      </c>
      <c r="AB125">
        <v>3.9</v>
      </c>
      <c r="AC125">
        <v>60</v>
      </c>
      <c r="AD125">
        <v>137.26</v>
      </c>
      <c r="AE125">
        <f t="shared" si="2"/>
        <v>1080.94</v>
      </c>
      <c r="AF125" t="str">
        <f t="shared" si="3"/>
        <v>2025-01</v>
      </c>
      <c r="AG125">
        <f>SUBTOTAL(103,A125)</f>
        <v>1</v>
      </c>
    </row>
    <row r="126" spans="1:33" x14ac:dyDescent="0.3">
      <c r="A126" t="s">
        <v>2735</v>
      </c>
      <c r="B126" s="13">
        <v>45674</v>
      </c>
      <c r="C126">
        <v>2025</v>
      </c>
      <c r="D126">
        <v>1</v>
      </c>
      <c r="E126" t="s">
        <v>2571</v>
      </c>
      <c r="F126" t="s">
        <v>2572</v>
      </c>
      <c r="G126" t="s">
        <v>963</v>
      </c>
      <c r="H126" t="s">
        <v>964</v>
      </c>
      <c r="I126" t="s">
        <v>85</v>
      </c>
      <c r="J126">
        <v>39</v>
      </c>
      <c r="K126" t="s">
        <v>82</v>
      </c>
      <c r="L126" t="s">
        <v>98</v>
      </c>
      <c r="M126" t="s">
        <v>55</v>
      </c>
      <c r="N126" t="s">
        <v>2580</v>
      </c>
      <c r="O126" t="s">
        <v>118</v>
      </c>
      <c r="P126" t="s">
        <v>48</v>
      </c>
      <c r="Q126" t="s">
        <v>142</v>
      </c>
      <c r="R126">
        <v>3</v>
      </c>
      <c r="S126">
        <v>3999</v>
      </c>
      <c r="T126">
        <v>0.1</v>
      </c>
      <c r="U126">
        <v>10797.3</v>
      </c>
      <c r="V126">
        <v>7200</v>
      </c>
      <c r="W126">
        <v>3597.3</v>
      </c>
      <c r="X126" t="s">
        <v>73</v>
      </c>
      <c r="Y126" t="s">
        <v>68</v>
      </c>
      <c r="Z126" t="s">
        <v>158</v>
      </c>
      <c r="AA126" t="s">
        <v>166</v>
      </c>
      <c r="AB126">
        <v>5</v>
      </c>
      <c r="AC126">
        <v>80</v>
      </c>
      <c r="AD126">
        <v>1088.73</v>
      </c>
      <c r="AE126">
        <f t="shared" si="2"/>
        <v>2428.5700000000002</v>
      </c>
      <c r="AF126" t="str">
        <f t="shared" si="3"/>
        <v>2025-01</v>
      </c>
      <c r="AG126">
        <f>SUBTOTAL(103,A126)</f>
        <v>1</v>
      </c>
    </row>
    <row r="127" spans="1:33" x14ac:dyDescent="0.3">
      <c r="A127" t="s">
        <v>2736</v>
      </c>
      <c r="B127" s="13">
        <v>45674</v>
      </c>
      <c r="C127">
        <v>2025</v>
      </c>
      <c r="D127">
        <v>1</v>
      </c>
      <c r="E127" t="s">
        <v>2571</v>
      </c>
      <c r="F127" t="s">
        <v>2572</v>
      </c>
      <c r="G127" t="s">
        <v>1469</v>
      </c>
      <c r="H127" t="s">
        <v>1470</v>
      </c>
      <c r="I127" t="s">
        <v>86</v>
      </c>
      <c r="J127">
        <v>41</v>
      </c>
      <c r="K127" t="s">
        <v>82</v>
      </c>
      <c r="L127" t="s">
        <v>2687</v>
      </c>
      <c r="M127" t="s">
        <v>57</v>
      </c>
      <c r="N127" t="s">
        <v>2584</v>
      </c>
      <c r="O127" t="s">
        <v>121</v>
      </c>
      <c r="P127" t="s">
        <v>50</v>
      </c>
      <c r="Q127" t="s">
        <v>144</v>
      </c>
      <c r="R127">
        <v>2</v>
      </c>
      <c r="S127">
        <v>2999</v>
      </c>
      <c r="T127">
        <v>0</v>
      </c>
      <c r="U127">
        <v>5998</v>
      </c>
      <c r="V127">
        <v>3400</v>
      </c>
      <c r="W127">
        <v>2598</v>
      </c>
      <c r="X127" t="s">
        <v>76</v>
      </c>
      <c r="Y127" t="s">
        <v>68</v>
      </c>
      <c r="Z127" t="s">
        <v>158</v>
      </c>
      <c r="AA127" t="s">
        <v>171</v>
      </c>
      <c r="AB127">
        <v>4.7</v>
      </c>
      <c r="AC127">
        <v>100</v>
      </c>
      <c r="AD127">
        <v>497.97</v>
      </c>
      <c r="AE127">
        <f t="shared" si="2"/>
        <v>2000.03</v>
      </c>
      <c r="AF127" t="str">
        <f t="shared" si="3"/>
        <v>2025-01</v>
      </c>
      <c r="AG127">
        <f>SUBTOTAL(103,A127)</f>
        <v>1</v>
      </c>
    </row>
    <row r="128" spans="1:33" x14ac:dyDescent="0.3">
      <c r="A128" t="s">
        <v>2737</v>
      </c>
      <c r="B128" s="13">
        <v>45674</v>
      </c>
      <c r="C128">
        <v>2025</v>
      </c>
      <c r="D128">
        <v>1</v>
      </c>
      <c r="E128" t="s">
        <v>2571</v>
      </c>
      <c r="F128" t="s">
        <v>2572</v>
      </c>
      <c r="G128" t="s">
        <v>275</v>
      </c>
      <c r="H128" t="s">
        <v>276</v>
      </c>
      <c r="I128" t="s">
        <v>86</v>
      </c>
      <c r="J128">
        <v>29</v>
      </c>
      <c r="K128" t="s">
        <v>81</v>
      </c>
      <c r="L128" t="s">
        <v>97</v>
      </c>
      <c r="M128" t="s">
        <v>57</v>
      </c>
      <c r="N128" t="s">
        <v>2596</v>
      </c>
      <c r="O128" t="s">
        <v>124</v>
      </c>
      <c r="P128" t="s">
        <v>51</v>
      </c>
      <c r="Q128" t="s">
        <v>147</v>
      </c>
      <c r="R128">
        <v>1</v>
      </c>
      <c r="S128">
        <v>2299</v>
      </c>
      <c r="T128">
        <v>0.25</v>
      </c>
      <c r="U128">
        <v>1724.25</v>
      </c>
      <c r="V128">
        <v>1200</v>
      </c>
      <c r="W128">
        <v>524.25</v>
      </c>
      <c r="X128" t="s">
        <v>74</v>
      </c>
      <c r="Y128" t="s">
        <v>68</v>
      </c>
      <c r="Z128" t="s">
        <v>160</v>
      </c>
      <c r="AA128" t="s">
        <v>168</v>
      </c>
      <c r="AB128">
        <v>4.3</v>
      </c>
      <c r="AC128">
        <v>60</v>
      </c>
      <c r="AD128">
        <v>156.03</v>
      </c>
      <c r="AE128">
        <f t="shared" si="2"/>
        <v>308.22000000000003</v>
      </c>
      <c r="AF128" t="str">
        <f t="shared" si="3"/>
        <v>2025-01</v>
      </c>
      <c r="AG128">
        <f>SUBTOTAL(103,A128)</f>
        <v>1</v>
      </c>
    </row>
    <row r="129" spans="1:33" x14ac:dyDescent="0.3">
      <c r="A129" t="s">
        <v>2738</v>
      </c>
      <c r="B129" s="13">
        <v>45675</v>
      </c>
      <c r="C129">
        <v>2025</v>
      </c>
      <c r="D129">
        <v>1</v>
      </c>
      <c r="E129" t="s">
        <v>2571</v>
      </c>
      <c r="F129" t="s">
        <v>2572</v>
      </c>
      <c r="G129" t="s">
        <v>2451</v>
      </c>
      <c r="H129" t="s">
        <v>2452</v>
      </c>
      <c r="I129" t="s">
        <v>85</v>
      </c>
      <c r="J129">
        <v>26</v>
      </c>
      <c r="K129" t="s">
        <v>81</v>
      </c>
      <c r="L129" t="s">
        <v>94</v>
      </c>
      <c r="M129" t="s">
        <v>57</v>
      </c>
      <c r="N129" t="s">
        <v>2647</v>
      </c>
      <c r="O129" t="s">
        <v>133</v>
      </c>
      <c r="P129" t="s">
        <v>50</v>
      </c>
      <c r="Q129" t="s">
        <v>145</v>
      </c>
      <c r="R129">
        <v>1</v>
      </c>
      <c r="S129">
        <v>799</v>
      </c>
      <c r="T129">
        <v>0.15</v>
      </c>
      <c r="U129">
        <v>679.15</v>
      </c>
      <c r="V129">
        <v>390</v>
      </c>
      <c r="W129">
        <v>289.14999999999998</v>
      </c>
      <c r="X129" t="s">
        <v>73</v>
      </c>
      <c r="Y129" t="s">
        <v>68</v>
      </c>
      <c r="Z129" t="s">
        <v>158</v>
      </c>
      <c r="AA129" t="s">
        <v>168</v>
      </c>
      <c r="AB129">
        <v>3.6</v>
      </c>
      <c r="AC129">
        <v>50</v>
      </c>
      <c r="AD129">
        <v>37.119999999999997</v>
      </c>
      <c r="AE129">
        <f t="shared" si="2"/>
        <v>202.02999999999997</v>
      </c>
      <c r="AF129" t="str">
        <f t="shared" si="3"/>
        <v>2025-01</v>
      </c>
      <c r="AG129">
        <f>SUBTOTAL(103,A129)</f>
        <v>1</v>
      </c>
    </row>
    <row r="130" spans="1:33" x14ac:dyDescent="0.3">
      <c r="A130" t="s">
        <v>2739</v>
      </c>
      <c r="B130" s="13">
        <v>45675</v>
      </c>
      <c r="C130">
        <v>2025</v>
      </c>
      <c r="D130">
        <v>1</v>
      </c>
      <c r="E130" t="s">
        <v>2571</v>
      </c>
      <c r="F130" t="s">
        <v>2572</v>
      </c>
      <c r="G130" t="s">
        <v>2433</v>
      </c>
      <c r="H130" t="s">
        <v>2434</v>
      </c>
      <c r="I130" t="s">
        <v>85</v>
      </c>
      <c r="J130">
        <v>42</v>
      </c>
      <c r="K130" t="s">
        <v>82</v>
      </c>
      <c r="L130" t="s">
        <v>92</v>
      </c>
      <c r="M130" t="s">
        <v>59</v>
      </c>
      <c r="N130" t="s">
        <v>2582</v>
      </c>
      <c r="O130" t="s">
        <v>119</v>
      </c>
      <c r="P130" t="s">
        <v>49</v>
      </c>
      <c r="Q130" t="s">
        <v>140</v>
      </c>
      <c r="R130">
        <v>4</v>
      </c>
      <c r="S130">
        <v>3499</v>
      </c>
      <c r="T130">
        <v>0.15</v>
      </c>
      <c r="U130">
        <v>0</v>
      </c>
      <c r="V130">
        <v>0</v>
      </c>
      <c r="W130">
        <v>0</v>
      </c>
      <c r="X130" t="s">
        <v>73</v>
      </c>
      <c r="Y130" t="s">
        <v>71</v>
      </c>
      <c r="Z130" t="s">
        <v>158</v>
      </c>
      <c r="AA130" t="s">
        <v>166</v>
      </c>
      <c r="AB130">
        <v>5</v>
      </c>
      <c r="AC130">
        <v>60</v>
      </c>
      <c r="AD130">
        <v>1368.3</v>
      </c>
      <c r="AE130">
        <f t="shared" ref="AE130:AE193" si="4">W130-AC130-AD130</f>
        <v>-1428.3</v>
      </c>
      <c r="AF130" t="str">
        <f t="shared" ref="AF130:AF193" si="5">C130&amp;"-"&amp;TEXT(D130,"00")</f>
        <v>2025-01</v>
      </c>
      <c r="AG130">
        <f>SUBTOTAL(103,A130)</f>
        <v>1</v>
      </c>
    </row>
    <row r="131" spans="1:33" x14ac:dyDescent="0.3">
      <c r="A131" t="s">
        <v>2740</v>
      </c>
      <c r="B131" s="13">
        <v>45675</v>
      </c>
      <c r="C131">
        <v>2025</v>
      </c>
      <c r="D131">
        <v>1</v>
      </c>
      <c r="E131" t="s">
        <v>2571</v>
      </c>
      <c r="F131" t="s">
        <v>2572</v>
      </c>
      <c r="G131" t="s">
        <v>2183</v>
      </c>
      <c r="H131" t="s">
        <v>2184</v>
      </c>
      <c r="I131" t="s">
        <v>85</v>
      </c>
      <c r="J131">
        <v>57</v>
      </c>
      <c r="K131" t="s">
        <v>83</v>
      </c>
      <c r="L131" t="s">
        <v>93</v>
      </c>
      <c r="M131" t="s">
        <v>55</v>
      </c>
      <c r="N131" t="s">
        <v>2653</v>
      </c>
      <c r="O131" t="s">
        <v>132</v>
      </c>
      <c r="P131" t="s">
        <v>52</v>
      </c>
      <c r="Q131" t="s">
        <v>150</v>
      </c>
      <c r="R131">
        <v>1</v>
      </c>
      <c r="S131">
        <v>899</v>
      </c>
      <c r="T131">
        <v>0.05</v>
      </c>
      <c r="U131">
        <v>854.05</v>
      </c>
      <c r="V131">
        <v>420</v>
      </c>
      <c r="W131">
        <v>434.05</v>
      </c>
      <c r="X131" t="s">
        <v>73</v>
      </c>
      <c r="Y131" t="s">
        <v>68</v>
      </c>
      <c r="Z131" t="s">
        <v>162</v>
      </c>
      <c r="AA131" t="s">
        <v>170</v>
      </c>
      <c r="AB131">
        <v>3.4</v>
      </c>
      <c r="AC131">
        <v>80</v>
      </c>
      <c r="AD131">
        <v>20</v>
      </c>
      <c r="AE131">
        <f t="shared" si="4"/>
        <v>334.05</v>
      </c>
      <c r="AF131" t="str">
        <f t="shared" si="5"/>
        <v>2025-01</v>
      </c>
      <c r="AG131">
        <f>SUBTOTAL(103,A131)</f>
        <v>1</v>
      </c>
    </row>
    <row r="132" spans="1:33" x14ac:dyDescent="0.3">
      <c r="A132" t="s">
        <v>2741</v>
      </c>
      <c r="B132" s="13">
        <v>45675</v>
      </c>
      <c r="C132">
        <v>2025</v>
      </c>
      <c r="D132">
        <v>1</v>
      </c>
      <c r="E132" t="s">
        <v>2571</v>
      </c>
      <c r="F132" t="s">
        <v>2572</v>
      </c>
      <c r="G132" t="s">
        <v>885</v>
      </c>
      <c r="H132" t="s">
        <v>886</v>
      </c>
      <c r="I132" t="s">
        <v>86</v>
      </c>
      <c r="J132">
        <v>28</v>
      </c>
      <c r="K132" t="s">
        <v>81</v>
      </c>
      <c r="L132" t="s">
        <v>2623</v>
      </c>
      <c r="M132" t="s">
        <v>61</v>
      </c>
      <c r="N132" t="s">
        <v>2665</v>
      </c>
      <c r="O132" t="s">
        <v>128</v>
      </c>
      <c r="P132" t="s">
        <v>53</v>
      </c>
      <c r="Q132" t="s">
        <v>143</v>
      </c>
      <c r="R132">
        <v>2</v>
      </c>
      <c r="S132">
        <v>1499</v>
      </c>
      <c r="T132">
        <v>0</v>
      </c>
      <c r="U132">
        <v>2998</v>
      </c>
      <c r="V132">
        <v>1600</v>
      </c>
      <c r="W132">
        <v>1398</v>
      </c>
      <c r="X132" t="s">
        <v>73</v>
      </c>
      <c r="Y132" t="s">
        <v>68</v>
      </c>
      <c r="Z132" t="s">
        <v>161</v>
      </c>
      <c r="AA132" t="s">
        <v>166</v>
      </c>
      <c r="AB132">
        <v>3.1</v>
      </c>
      <c r="AC132">
        <v>40</v>
      </c>
      <c r="AD132">
        <v>153.05000000000001</v>
      </c>
      <c r="AE132">
        <f t="shared" si="4"/>
        <v>1204.95</v>
      </c>
      <c r="AF132" t="str">
        <f t="shared" si="5"/>
        <v>2025-01</v>
      </c>
      <c r="AG132">
        <f>SUBTOTAL(103,A132)</f>
        <v>1</v>
      </c>
    </row>
    <row r="133" spans="1:33" x14ac:dyDescent="0.3">
      <c r="A133" t="s">
        <v>2742</v>
      </c>
      <c r="B133" s="13">
        <v>45675</v>
      </c>
      <c r="C133">
        <v>2025</v>
      </c>
      <c r="D133">
        <v>1</v>
      </c>
      <c r="E133" t="s">
        <v>2571</v>
      </c>
      <c r="F133" t="s">
        <v>2572</v>
      </c>
      <c r="G133" t="s">
        <v>633</v>
      </c>
      <c r="H133" t="s">
        <v>634</v>
      </c>
      <c r="I133" t="s">
        <v>85</v>
      </c>
      <c r="J133">
        <v>25</v>
      </c>
      <c r="K133" t="s">
        <v>80</v>
      </c>
      <c r="L133" t="s">
        <v>2661</v>
      </c>
      <c r="M133" t="s">
        <v>58</v>
      </c>
      <c r="N133" t="s">
        <v>2606</v>
      </c>
      <c r="O133" t="s">
        <v>120</v>
      </c>
      <c r="P133" t="s">
        <v>49</v>
      </c>
      <c r="Q133" t="s">
        <v>140</v>
      </c>
      <c r="R133">
        <v>1</v>
      </c>
      <c r="S133">
        <v>2799</v>
      </c>
      <c r="T133">
        <v>0.1</v>
      </c>
      <c r="U133">
        <v>2519.1</v>
      </c>
      <c r="V133">
        <v>1650</v>
      </c>
      <c r="W133">
        <v>869.1</v>
      </c>
      <c r="X133" t="s">
        <v>74</v>
      </c>
      <c r="Y133" t="s">
        <v>68</v>
      </c>
      <c r="Z133" t="s">
        <v>162</v>
      </c>
      <c r="AA133" t="s">
        <v>167</v>
      </c>
      <c r="AB133">
        <v>4.5</v>
      </c>
      <c r="AC133">
        <v>80</v>
      </c>
      <c r="AD133">
        <v>146.9</v>
      </c>
      <c r="AE133">
        <f t="shared" si="4"/>
        <v>642.20000000000005</v>
      </c>
      <c r="AF133" t="str">
        <f t="shared" si="5"/>
        <v>2025-01</v>
      </c>
      <c r="AG133">
        <f>SUBTOTAL(103,A133)</f>
        <v>1</v>
      </c>
    </row>
    <row r="134" spans="1:33" x14ac:dyDescent="0.3">
      <c r="A134" t="s">
        <v>2743</v>
      </c>
      <c r="B134" s="13">
        <v>45675</v>
      </c>
      <c r="C134">
        <v>2025</v>
      </c>
      <c r="D134">
        <v>1</v>
      </c>
      <c r="E134" t="s">
        <v>2571</v>
      </c>
      <c r="F134" t="s">
        <v>2572</v>
      </c>
      <c r="G134" t="s">
        <v>379</v>
      </c>
      <c r="H134" t="s">
        <v>380</v>
      </c>
      <c r="I134" t="s">
        <v>86</v>
      </c>
      <c r="J134">
        <v>42</v>
      </c>
      <c r="K134" t="s">
        <v>82</v>
      </c>
      <c r="L134" t="s">
        <v>91</v>
      </c>
      <c r="M134" t="s">
        <v>55</v>
      </c>
      <c r="N134" t="s">
        <v>2587</v>
      </c>
      <c r="O134" t="s">
        <v>116</v>
      </c>
      <c r="P134" t="s">
        <v>48</v>
      </c>
      <c r="Q134" t="s">
        <v>138</v>
      </c>
      <c r="R134">
        <v>3</v>
      </c>
      <c r="S134">
        <v>14999</v>
      </c>
      <c r="T134">
        <v>0.1</v>
      </c>
      <c r="U134">
        <v>40497.300000000003</v>
      </c>
      <c r="V134">
        <v>33600</v>
      </c>
      <c r="W134">
        <v>6897.3</v>
      </c>
      <c r="X134" t="s">
        <v>73</v>
      </c>
      <c r="Y134" t="s">
        <v>68</v>
      </c>
      <c r="Z134" t="s">
        <v>158</v>
      </c>
      <c r="AA134" t="s">
        <v>166</v>
      </c>
      <c r="AB134">
        <v>3.2</v>
      </c>
      <c r="AC134">
        <v>60</v>
      </c>
      <c r="AD134">
        <v>2878.53</v>
      </c>
      <c r="AE134">
        <f t="shared" si="4"/>
        <v>3958.77</v>
      </c>
      <c r="AF134" t="str">
        <f t="shared" si="5"/>
        <v>2025-01</v>
      </c>
      <c r="AG134">
        <f>SUBTOTAL(103,A134)</f>
        <v>1</v>
      </c>
    </row>
    <row r="135" spans="1:33" x14ac:dyDescent="0.3">
      <c r="A135" t="s">
        <v>2744</v>
      </c>
      <c r="B135" s="13">
        <v>45676</v>
      </c>
      <c r="C135">
        <v>2025</v>
      </c>
      <c r="D135">
        <v>1</v>
      </c>
      <c r="E135" t="s">
        <v>2571</v>
      </c>
      <c r="F135" t="s">
        <v>2572</v>
      </c>
      <c r="G135" t="s">
        <v>1029</v>
      </c>
      <c r="H135" t="s">
        <v>1030</v>
      </c>
      <c r="I135" t="s">
        <v>85</v>
      </c>
      <c r="J135">
        <v>22</v>
      </c>
      <c r="K135" t="s">
        <v>80</v>
      </c>
      <c r="L135" t="s">
        <v>2637</v>
      </c>
      <c r="M135" t="s">
        <v>64</v>
      </c>
      <c r="N135" t="s">
        <v>2644</v>
      </c>
      <c r="O135" t="s">
        <v>126</v>
      </c>
      <c r="P135" t="s">
        <v>50</v>
      </c>
      <c r="Q135" t="s">
        <v>145</v>
      </c>
      <c r="R135">
        <v>2</v>
      </c>
      <c r="S135">
        <v>1799</v>
      </c>
      <c r="T135">
        <v>0</v>
      </c>
      <c r="U135">
        <v>3598</v>
      </c>
      <c r="V135">
        <v>1900</v>
      </c>
      <c r="W135">
        <v>1698</v>
      </c>
      <c r="X135" t="s">
        <v>75</v>
      </c>
      <c r="Y135" t="s">
        <v>68</v>
      </c>
      <c r="Z135" t="s">
        <v>162</v>
      </c>
      <c r="AA135" t="s">
        <v>170</v>
      </c>
      <c r="AB135">
        <v>3.9</v>
      </c>
      <c r="AC135">
        <v>40</v>
      </c>
      <c r="AD135">
        <v>213.25</v>
      </c>
      <c r="AE135">
        <f t="shared" si="4"/>
        <v>1444.75</v>
      </c>
      <c r="AF135" t="str">
        <f t="shared" si="5"/>
        <v>2025-01</v>
      </c>
      <c r="AG135">
        <f>SUBTOTAL(103,A135)</f>
        <v>1</v>
      </c>
    </row>
    <row r="136" spans="1:33" x14ac:dyDescent="0.3">
      <c r="A136" t="s">
        <v>2745</v>
      </c>
      <c r="B136" s="13">
        <v>45676</v>
      </c>
      <c r="C136">
        <v>2025</v>
      </c>
      <c r="D136">
        <v>1</v>
      </c>
      <c r="E136" t="s">
        <v>2571</v>
      </c>
      <c r="F136" t="s">
        <v>2572</v>
      </c>
      <c r="G136" t="s">
        <v>1255</v>
      </c>
      <c r="H136" t="s">
        <v>1256</v>
      </c>
      <c r="I136" t="s">
        <v>85</v>
      </c>
      <c r="J136">
        <v>47</v>
      </c>
      <c r="K136" t="s">
        <v>83</v>
      </c>
      <c r="L136" t="s">
        <v>2623</v>
      </c>
      <c r="M136" t="s">
        <v>61</v>
      </c>
      <c r="N136" t="s">
        <v>2626</v>
      </c>
      <c r="O136" t="s">
        <v>125</v>
      </c>
      <c r="P136" t="s">
        <v>48</v>
      </c>
      <c r="Q136" t="s">
        <v>141</v>
      </c>
      <c r="R136">
        <v>2</v>
      </c>
      <c r="S136">
        <v>1999</v>
      </c>
      <c r="T136">
        <v>0.05</v>
      </c>
      <c r="U136">
        <v>3798.1</v>
      </c>
      <c r="V136">
        <v>2300</v>
      </c>
      <c r="W136">
        <v>1498.1</v>
      </c>
      <c r="X136" t="s">
        <v>73</v>
      </c>
      <c r="Y136" t="s">
        <v>68</v>
      </c>
      <c r="Z136" t="s">
        <v>161</v>
      </c>
      <c r="AA136" t="s">
        <v>167</v>
      </c>
      <c r="AB136">
        <v>4.7</v>
      </c>
      <c r="AC136">
        <v>120</v>
      </c>
      <c r="AD136">
        <v>306.20999999999998</v>
      </c>
      <c r="AE136">
        <f t="shared" si="4"/>
        <v>1071.8899999999999</v>
      </c>
      <c r="AF136" t="str">
        <f t="shared" si="5"/>
        <v>2025-01</v>
      </c>
      <c r="AG136">
        <f>SUBTOTAL(103,A136)</f>
        <v>1</v>
      </c>
    </row>
    <row r="137" spans="1:33" x14ac:dyDescent="0.3">
      <c r="A137" t="s">
        <v>2746</v>
      </c>
      <c r="B137" s="13">
        <v>45676</v>
      </c>
      <c r="C137">
        <v>2025</v>
      </c>
      <c r="D137">
        <v>1</v>
      </c>
      <c r="E137" t="s">
        <v>2571</v>
      </c>
      <c r="F137" t="s">
        <v>2572</v>
      </c>
      <c r="G137" t="s">
        <v>491</v>
      </c>
      <c r="H137" t="s">
        <v>492</v>
      </c>
      <c r="I137" t="s">
        <v>86</v>
      </c>
      <c r="J137">
        <v>40</v>
      </c>
      <c r="K137" t="s">
        <v>82</v>
      </c>
      <c r="L137" t="s">
        <v>2589</v>
      </c>
      <c r="M137" t="s">
        <v>61</v>
      </c>
      <c r="N137" t="s">
        <v>2606</v>
      </c>
      <c r="O137" t="s">
        <v>120</v>
      </c>
      <c r="P137" t="s">
        <v>49</v>
      </c>
      <c r="Q137" t="s">
        <v>140</v>
      </c>
      <c r="R137">
        <v>1</v>
      </c>
      <c r="S137">
        <v>2799</v>
      </c>
      <c r="T137">
        <v>0</v>
      </c>
      <c r="U137">
        <v>2799</v>
      </c>
      <c r="V137">
        <v>1650</v>
      </c>
      <c r="W137">
        <v>1149</v>
      </c>
      <c r="X137" t="s">
        <v>76</v>
      </c>
      <c r="Y137" t="s">
        <v>68</v>
      </c>
      <c r="Z137" t="s">
        <v>161</v>
      </c>
      <c r="AA137" t="s">
        <v>170</v>
      </c>
      <c r="AB137">
        <v>3.2</v>
      </c>
      <c r="AC137">
        <v>50</v>
      </c>
      <c r="AD137">
        <v>215.02</v>
      </c>
      <c r="AE137">
        <f t="shared" si="4"/>
        <v>883.98</v>
      </c>
      <c r="AF137" t="str">
        <f t="shared" si="5"/>
        <v>2025-01</v>
      </c>
      <c r="AG137">
        <f>SUBTOTAL(103,A137)</f>
        <v>1</v>
      </c>
    </row>
    <row r="138" spans="1:33" x14ac:dyDescent="0.3">
      <c r="A138" t="s">
        <v>2747</v>
      </c>
      <c r="B138" s="13">
        <v>45676</v>
      </c>
      <c r="C138">
        <v>2025</v>
      </c>
      <c r="D138">
        <v>1</v>
      </c>
      <c r="E138" t="s">
        <v>2571</v>
      </c>
      <c r="F138" t="s">
        <v>2572</v>
      </c>
      <c r="G138" t="s">
        <v>1893</v>
      </c>
      <c r="H138" t="s">
        <v>1894</v>
      </c>
      <c r="I138" t="s">
        <v>86</v>
      </c>
      <c r="J138">
        <v>21</v>
      </c>
      <c r="K138" t="s">
        <v>80</v>
      </c>
      <c r="L138" t="s">
        <v>2690</v>
      </c>
      <c r="M138" t="s">
        <v>63</v>
      </c>
      <c r="N138" t="s">
        <v>2590</v>
      </c>
      <c r="O138" t="s">
        <v>127</v>
      </c>
      <c r="P138" t="s">
        <v>51</v>
      </c>
      <c r="Q138" t="s">
        <v>148</v>
      </c>
      <c r="R138">
        <v>1</v>
      </c>
      <c r="S138">
        <v>1599</v>
      </c>
      <c r="T138">
        <v>0.05</v>
      </c>
      <c r="U138">
        <v>1519.05</v>
      </c>
      <c r="V138">
        <v>800</v>
      </c>
      <c r="W138">
        <v>719.05</v>
      </c>
      <c r="X138" t="s">
        <v>73</v>
      </c>
      <c r="Y138" t="s">
        <v>68</v>
      </c>
      <c r="Z138" t="s">
        <v>162</v>
      </c>
      <c r="AA138" t="s">
        <v>166</v>
      </c>
      <c r="AB138">
        <v>4.5999999999999996</v>
      </c>
      <c r="AC138">
        <v>60</v>
      </c>
      <c r="AD138">
        <v>99.19</v>
      </c>
      <c r="AE138">
        <f t="shared" si="4"/>
        <v>559.8599999999999</v>
      </c>
      <c r="AF138" t="str">
        <f t="shared" si="5"/>
        <v>2025-01</v>
      </c>
      <c r="AG138">
        <f>SUBTOTAL(103,A138)</f>
        <v>1</v>
      </c>
    </row>
    <row r="139" spans="1:33" x14ac:dyDescent="0.3">
      <c r="A139" t="s">
        <v>2748</v>
      </c>
      <c r="B139" s="13">
        <v>45676</v>
      </c>
      <c r="C139">
        <v>2025</v>
      </c>
      <c r="D139">
        <v>1</v>
      </c>
      <c r="E139" t="s">
        <v>2571</v>
      </c>
      <c r="F139" t="s">
        <v>2572</v>
      </c>
      <c r="G139" t="s">
        <v>1635</v>
      </c>
      <c r="H139" t="s">
        <v>1636</v>
      </c>
      <c r="I139" t="s">
        <v>86</v>
      </c>
      <c r="J139">
        <v>47</v>
      </c>
      <c r="K139" t="s">
        <v>83</v>
      </c>
      <c r="L139" t="s">
        <v>2679</v>
      </c>
      <c r="M139" t="s">
        <v>60</v>
      </c>
      <c r="N139" t="s">
        <v>2592</v>
      </c>
      <c r="O139" t="s">
        <v>115</v>
      </c>
      <c r="P139" t="s">
        <v>48</v>
      </c>
      <c r="Q139" t="s">
        <v>137</v>
      </c>
      <c r="R139">
        <v>1</v>
      </c>
      <c r="S139">
        <v>12999</v>
      </c>
      <c r="T139">
        <v>0.2</v>
      </c>
      <c r="U139">
        <v>10399.200000000001</v>
      </c>
      <c r="V139">
        <v>9000</v>
      </c>
      <c r="W139">
        <v>1399.2</v>
      </c>
      <c r="X139" t="s">
        <v>74</v>
      </c>
      <c r="Y139" t="s">
        <v>68</v>
      </c>
      <c r="Z139" t="s">
        <v>160</v>
      </c>
      <c r="AA139" t="s">
        <v>166</v>
      </c>
      <c r="AB139">
        <v>4.9000000000000004</v>
      </c>
      <c r="AC139">
        <v>40</v>
      </c>
      <c r="AD139">
        <v>1120.78</v>
      </c>
      <c r="AE139">
        <f t="shared" si="4"/>
        <v>238.42000000000007</v>
      </c>
      <c r="AF139" t="str">
        <f t="shared" si="5"/>
        <v>2025-01</v>
      </c>
      <c r="AG139">
        <f>SUBTOTAL(103,A139)</f>
        <v>1</v>
      </c>
    </row>
    <row r="140" spans="1:33" x14ac:dyDescent="0.3">
      <c r="A140" t="s">
        <v>2749</v>
      </c>
      <c r="B140" s="13">
        <v>45676</v>
      </c>
      <c r="C140">
        <v>2025</v>
      </c>
      <c r="D140">
        <v>1</v>
      </c>
      <c r="E140" t="s">
        <v>2571</v>
      </c>
      <c r="F140" t="s">
        <v>2572</v>
      </c>
      <c r="G140" t="s">
        <v>395</v>
      </c>
      <c r="H140" t="s">
        <v>396</v>
      </c>
      <c r="I140" t="s">
        <v>85</v>
      </c>
      <c r="J140">
        <v>60</v>
      </c>
      <c r="K140" t="s">
        <v>83</v>
      </c>
      <c r="L140" t="s">
        <v>98</v>
      </c>
      <c r="M140" t="s">
        <v>55</v>
      </c>
      <c r="N140" t="s">
        <v>2653</v>
      </c>
      <c r="O140" t="s">
        <v>132</v>
      </c>
      <c r="P140" t="s">
        <v>52</v>
      </c>
      <c r="Q140" t="s">
        <v>150</v>
      </c>
      <c r="R140">
        <v>4</v>
      </c>
      <c r="S140">
        <v>899</v>
      </c>
      <c r="T140">
        <v>0.1</v>
      </c>
      <c r="U140">
        <v>0</v>
      </c>
      <c r="V140">
        <v>0</v>
      </c>
      <c r="W140">
        <v>0</v>
      </c>
      <c r="X140" t="s">
        <v>74</v>
      </c>
      <c r="Y140" t="s">
        <v>71</v>
      </c>
      <c r="Z140" t="s">
        <v>163</v>
      </c>
      <c r="AA140" t="s">
        <v>169</v>
      </c>
      <c r="AB140">
        <v>4.5999999999999996</v>
      </c>
      <c r="AC140">
        <v>50</v>
      </c>
      <c r="AD140">
        <v>190.18</v>
      </c>
      <c r="AE140">
        <f t="shared" si="4"/>
        <v>-240.18</v>
      </c>
      <c r="AF140" t="str">
        <f t="shared" si="5"/>
        <v>2025-01</v>
      </c>
      <c r="AG140">
        <f>SUBTOTAL(103,A140)</f>
        <v>1</v>
      </c>
    </row>
    <row r="141" spans="1:33" x14ac:dyDescent="0.3">
      <c r="A141" t="s">
        <v>2750</v>
      </c>
      <c r="B141" s="13">
        <v>45676</v>
      </c>
      <c r="C141">
        <v>2025</v>
      </c>
      <c r="D141">
        <v>1</v>
      </c>
      <c r="E141" t="s">
        <v>2571</v>
      </c>
      <c r="F141" t="s">
        <v>2572</v>
      </c>
      <c r="G141" t="s">
        <v>1905</v>
      </c>
      <c r="H141" t="s">
        <v>1906</v>
      </c>
      <c r="I141" t="s">
        <v>86</v>
      </c>
      <c r="J141">
        <v>33</v>
      </c>
      <c r="K141" t="s">
        <v>81</v>
      </c>
      <c r="L141" t="s">
        <v>59</v>
      </c>
      <c r="M141" t="s">
        <v>59</v>
      </c>
      <c r="N141" t="s">
        <v>2590</v>
      </c>
      <c r="O141" t="s">
        <v>127</v>
      </c>
      <c r="P141" t="s">
        <v>51</v>
      </c>
      <c r="Q141" t="s">
        <v>148</v>
      </c>
      <c r="R141">
        <v>1</v>
      </c>
      <c r="S141">
        <v>1599</v>
      </c>
      <c r="T141">
        <v>0.1</v>
      </c>
      <c r="U141">
        <v>1439.1</v>
      </c>
      <c r="V141">
        <v>800</v>
      </c>
      <c r="W141">
        <v>639.1</v>
      </c>
      <c r="X141" t="s">
        <v>73</v>
      </c>
      <c r="Y141" t="s">
        <v>68</v>
      </c>
      <c r="Z141" t="s">
        <v>163</v>
      </c>
      <c r="AA141" t="s">
        <v>168</v>
      </c>
      <c r="AB141">
        <v>4.4000000000000004</v>
      </c>
      <c r="AC141">
        <v>100</v>
      </c>
      <c r="AD141">
        <v>58.53</v>
      </c>
      <c r="AE141">
        <f t="shared" si="4"/>
        <v>480.57000000000005</v>
      </c>
      <c r="AF141" t="str">
        <f t="shared" si="5"/>
        <v>2025-01</v>
      </c>
      <c r="AG141">
        <f>SUBTOTAL(103,A141)</f>
        <v>1</v>
      </c>
    </row>
    <row r="142" spans="1:33" x14ac:dyDescent="0.3">
      <c r="A142" t="s">
        <v>2751</v>
      </c>
      <c r="B142" s="13">
        <v>45676</v>
      </c>
      <c r="C142">
        <v>2025</v>
      </c>
      <c r="D142">
        <v>1</v>
      </c>
      <c r="E142" t="s">
        <v>2571</v>
      </c>
      <c r="F142" t="s">
        <v>2572</v>
      </c>
      <c r="G142" t="s">
        <v>2085</v>
      </c>
      <c r="H142" t="s">
        <v>2086</v>
      </c>
      <c r="I142" t="s">
        <v>85</v>
      </c>
      <c r="J142">
        <v>60</v>
      </c>
      <c r="K142" t="s">
        <v>83</v>
      </c>
      <c r="L142" t="s">
        <v>92</v>
      </c>
      <c r="M142" t="s">
        <v>59</v>
      </c>
      <c r="N142" t="s">
        <v>2630</v>
      </c>
      <c r="O142" t="s">
        <v>123</v>
      </c>
      <c r="P142" t="s">
        <v>52</v>
      </c>
      <c r="Q142" t="s">
        <v>146</v>
      </c>
      <c r="R142">
        <v>1</v>
      </c>
      <c r="S142">
        <v>2499</v>
      </c>
      <c r="T142">
        <v>0.05</v>
      </c>
      <c r="U142">
        <v>2374.0500000000002</v>
      </c>
      <c r="V142">
        <v>1400</v>
      </c>
      <c r="W142">
        <v>974.05</v>
      </c>
      <c r="X142" t="s">
        <v>73</v>
      </c>
      <c r="Y142" t="s">
        <v>68</v>
      </c>
      <c r="Z142" t="s">
        <v>159</v>
      </c>
      <c r="AA142" t="s">
        <v>167</v>
      </c>
      <c r="AB142">
        <v>3.8</v>
      </c>
      <c r="AC142">
        <v>80</v>
      </c>
      <c r="AD142">
        <v>90.76</v>
      </c>
      <c r="AE142">
        <f t="shared" si="4"/>
        <v>803.29</v>
      </c>
      <c r="AF142" t="str">
        <f t="shared" si="5"/>
        <v>2025-01</v>
      </c>
      <c r="AG142">
        <f>SUBTOTAL(103,A142)</f>
        <v>1</v>
      </c>
    </row>
    <row r="143" spans="1:33" x14ac:dyDescent="0.3">
      <c r="A143" t="s">
        <v>2752</v>
      </c>
      <c r="B143" s="13">
        <v>45676</v>
      </c>
      <c r="C143">
        <v>2025</v>
      </c>
      <c r="D143">
        <v>1</v>
      </c>
      <c r="E143" t="s">
        <v>2571</v>
      </c>
      <c r="F143" t="s">
        <v>2572</v>
      </c>
      <c r="G143" t="s">
        <v>1659</v>
      </c>
      <c r="H143" t="s">
        <v>1660</v>
      </c>
      <c r="I143" t="s">
        <v>85</v>
      </c>
      <c r="J143">
        <v>54</v>
      </c>
      <c r="K143" t="s">
        <v>83</v>
      </c>
      <c r="L143" t="s">
        <v>99</v>
      </c>
      <c r="M143" t="s">
        <v>58</v>
      </c>
      <c r="N143" t="s">
        <v>2665</v>
      </c>
      <c r="O143" t="s">
        <v>128</v>
      </c>
      <c r="P143" t="s">
        <v>53</v>
      </c>
      <c r="Q143" t="s">
        <v>143</v>
      </c>
      <c r="R143">
        <v>2</v>
      </c>
      <c r="S143">
        <v>1499</v>
      </c>
      <c r="T143">
        <v>0.05</v>
      </c>
      <c r="U143">
        <v>2848.1</v>
      </c>
      <c r="V143">
        <v>1600</v>
      </c>
      <c r="W143">
        <v>1248.0999999999999</v>
      </c>
      <c r="X143" t="s">
        <v>73</v>
      </c>
      <c r="Y143" t="s">
        <v>68</v>
      </c>
      <c r="Z143" t="s">
        <v>158</v>
      </c>
      <c r="AA143" t="s">
        <v>171</v>
      </c>
      <c r="AB143">
        <v>4.0999999999999996</v>
      </c>
      <c r="AC143">
        <v>60</v>
      </c>
      <c r="AD143">
        <v>64.17</v>
      </c>
      <c r="AE143">
        <f t="shared" si="4"/>
        <v>1123.9299999999998</v>
      </c>
      <c r="AF143" t="str">
        <f t="shared" si="5"/>
        <v>2025-01</v>
      </c>
      <c r="AG143">
        <f>SUBTOTAL(103,A143)</f>
        <v>1</v>
      </c>
    </row>
    <row r="144" spans="1:33" x14ac:dyDescent="0.3">
      <c r="A144" t="s">
        <v>2753</v>
      </c>
      <c r="B144" s="13">
        <v>45677</v>
      </c>
      <c r="C144">
        <v>2025</v>
      </c>
      <c r="D144">
        <v>1</v>
      </c>
      <c r="E144" t="s">
        <v>2571</v>
      </c>
      <c r="F144" t="s">
        <v>2572</v>
      </c>
      <c r="G144" t="s">
        <v>1199</v>
      </c>
      <c r="H144" t="s">
        <v>1200</v>
      </c>
      <c r="I144" t="s">
        <v>85</v>
      </c>
      <c r="J144">
        <v>58</v>
      </c>
      <c r="K144" t="s">
        <v>83</v>
      </c>
      <c r="L144" t="s">
        <v>93</v>
      </c>
      <c r="M144" t="s">
        <v>55</v>
      </c>
      <c r="N144" t="s">
        <v>2644</v>
      </c>
      <c r="O144" t="s">
        <v>126</v>
      </c>
      <c r="P144" t="s">
        <v>50</v>
      </c>
      <c r="Q144" t="s">
        <v>145</v>
      </c>
      <c r="R144">
        <v>4</v>
      </c>
      <c r="S144">
        <v>1799</v>
      </c>
      <c r="T144">
        <v>0.15</v>
      </c>
      <c r="U144">
        <v>6116.6</v>
      </c>
      <c r="V144">
        <v>3800</v>
      </c>
      <c r="W144">
        <v>2316.6</v>
      </c>
      <c r="X144" t="s">
        <v>74</v>
      </c>
      <c r="Y144" t="s">
        <v>68</v>
      </c>
      <c r="Z144" t="s">
        <v>163</v>
      </c>
      <c r="AA144" t="s">
        <v>171</v>
      </c>
      <c r="AB144">
        <v>4</v>
      </c>
      <c r="AC144">
        <v>50</v>
      </c>
      <c r="AD144">
        <v>310.33</v>
      </c>
      <c r="AE144">
        <f t="shared" si="4"/>
        <v>1956.27</v>
      </c>
      <c r="AF144" t="str">
        <f t="shared" si="5"/>
        <v>2025-01</v>
      </c>
      <c r="AG144">
        <f>SUBTOTAL(103,A144)</f>
        <v>1</v>
      </c>
    </row>
    <row r="145" spans="1:33" x14ac:dyDescent="0.3">
      <c r="A145" t="s">
        <v>2754</v>
      </c>
      <c r="B145" s="13">
        <v>45677</v>
      </c>
      <c r="C145">
        <v>2025</v>
      </c>
      <c r="D145">
        <v>1</v>
      </c>
      <c r="E145" t="s">
        <v>2571</v>
      </c>
      <c r="F145" t="s">
        <v>2572</v>
      </c>
      <c r="G145" t="s">
        <v>229</v>
      </c>
      <c r="H145" t="s">
        <v>230</v>
      </c>
      <c r="I145" t="s">
        <v>86</v>
      </c>
      <c r="J145">
        <v>21</v>
      </c>
      <c r="K145" t="s">
        <v>80</v>
      </c>
      <c r="L145" t="s">
        <v>98</v>
      </c>
      <c r="M145" t="s">
        <v>55</v>
      </c>
      <c r="N145" t="s">
        <v>2587</v>
      </c>
      <c r="O145" t="s">
        <v>116</v>
      </c>
      <c r="P145" t="s">
        <v>48</v>
      </c>
      <c r="Q145" t="s">
        <v>138</v>
      </c>
      <c r="R145">
        <v>1</v>
      </c>
      <c r="S145">
        <v>14999</v>
      </c>
      <c r="T145">
        <v>0.15</v>
      </c>
      <c r="U145">
        <v>12749.15</v>
      </c>
      <c r="V145">
        <v>11200</v>
      </c>
      <c r="W145">
        <v>1549.15</v>
      </c>
      <c r="X145" t="s">
        <v>76</v>
      </c>
      <c r="Y145" t="s">
        <v>68</v>
      </c>
      <c r="Z145" t="s">
        <v>160</v>
      </c>
      <c r="AA145" t="s">
        <v>169</v>
      </c>
      <c r="AB145">
        <v>3.9</v>
      </c>
      <c r="AC145">
        <v>60</v>
      </c>
      <c r="AD145">
        <v>1407.37</v>
      </c>
      <c r="AE145">
        <f t="shared" si="4"/>
        <v>81.7800000000002</v>
      </c>
      <c r="AF145" t="str">
        <f t="shared" si="5"/>
        <v>2025-01</v>
      </c>
      <c r="AG145">
        <f>SUBTOTAL(103,A145)</f>
        <v>1</v>
      </c>
    </row>
    <row r="146" spans="1:33" x14ac:dyDescent="0.3">
      <c r="A146" t="s">
        <v>2755</v>
      </c>
      <c r="B146" s="13">
        <v>45677</v>
      </c>
      <c r="C146">
        <v>2025</v>
      </c>
      <c r="D146">
        <v>1</v>
      </c>
      <c r="E146" t="s">
        <v>2571</v>
      </c>
      <c r="F146" t="s">
        <v>2572</v>
      </c>
      <c r="G146" t="s">
        <v>2077</v>
      </c>
      <c r="H146" t="s">
        <v>2078</v>
      </c>
      <c r="I146" t="s">
        <v>85</v>
      </c>
      <c r="J146">
        <v>21</v>
      </c>
      <c r="K146" t="s">
        <v>80</v>
      </c>
      <c r="L146" t="s">
        <v>92</v>
      </c>
      <c r="M146" t="s">
        <v>59</v>
      </c>
      <c r="N146" t="s">
        <v>2657</v>
      </c>
      <c r="O146" t="s">
        <v>134</v>
      </c>
      <c r="P146" t="s">
        <v>49</v>
      </c>
      <c r="Q146" t="s">
        <v>140</v>
      </c>
      <c r="R146">
        <v>1</v>
      </c>
      <c r="S146">
        <v>599</v>
      </c>
      <c r="T146">
        <v>0.05</v>
      </c>
      <c r="U146">
        <v>569.04999999999995</v>
      </c>
      <c r="V146">
        <v>250</v>
      </c>
      <c r="W146">
        <v>319.05</v>
      </c>
      <c r="X146" t="s">
        <v>75</v>
      </c>
      <c r="Y146" t="s">
        <v>69</v>
      </c>
      <c r="Z146" t="s">
        <v>163</v>
      </c>
      <c r="AA146" t="s">
        <v>170</v>
      </c>
      <c r="AB146">
        <v>3.2</v>
      </c>
      <c r="AC146">
        <v>60</v>
      </c>
      <c r="AD146">
        <v>66.900000000000006</v>
      </c>
      <c r="AE146">
        <f t="shared" si="4"/>
        <v>192.15</v>
      </c>
      <c r="AF146" t="str">
        <f t="shared" si="5"/>
        <v>2025-01</v>
      </c>
      <c r="AG146">
        <f>SUBTOTAL(103,A146)</f>
        <v>1</v>
      </c>
    </row>
    <row r="147" spans="1:33" x14ac:dyDescent="0.3">
      <c r="A147" t="s">
        <v>2756</v>
      </c>
      <c r="B147" s="13">
        <v>45677</v>
      </c>
      <c r="C147">
        <v>2025</v>
      </c>
      <c r="D147">
        <v>1</v>
      </c>
      <c r="E147" t="s">
        <v>2571</v>
      </c>
      <c r="F147" t="s">
        <v>2572</v>
      </c>
      <c r="G147" t="s">
        <v>405</v>
      </c>
      <c r="H147" t="s">
        <v>406</v>
      </c>
      <c r="I147" t="s">
        <v>86</v>
      </c>
      <c r="J147">
        <v>55</v>
      </c>
      <c r="K147" t="s">
        <v>83</v>
      </c>
      <c r="L147" t="s">
        <v>2646</v>
      </c>
      <c r="M147" t="s">
        <v>63</v>
      </c>
      <c r="N147" t="s">
        <v>2644</v>
      </c>
      <c r="O147" t="s">
        <v>126</v>
      </c>
      <c r="P147" t="s">
        <v>50</v>
      </c>
      <c r="Q147" t="s">
        <v>145</v>
      </c>
      <c r="R147">
        <v>1</v>
      </c>
      <c r="S147">
        <v>1799</v>
      </c>
      <c r="T147">
        <v>0</v>
      </c>
      <c r="U147">
        <v>1799</v>
      </c>
      <c r="V147">
        <v>950</v>
      </c>
      <c r="W147">
        <v>849</v>
      </c>
      <c r="X147" t="s">
        <v>73</v>
      </c>
      <c r="Y147" t="s">
        <v>68</v>
      </c>
      <c r="Z147" t="s">
        <v>160</v>
      </c>
      <c r="AA147" t="s">
        <v>167</v>
      </c>
      <c r="AB147">
        <v>4.9000000000000004</v>
      </c>
      <c r="AC147">
        <v>80</v>
      </c>
      <c r="AD147">
        <v>144.96</v>
      </c>
      <c r="AE147">
        <f t="shared" si="4"/>
        <v>624.04</v>
      </c>
      <c r="AF147" t="str">
        <f t="shared" si="5"/>
        <v>2025-01</v>
      </c>
      <c r="AG147">
        <f>SUBTOTAL(103,A147)</f>
        <v>1</v>
      </c>
    </row>
    <row r="148" spans="1:33" x14ac:dyDescent="0.3">
      <c r="A148" t="s">
        <v>2757</v>
      </c>
      <c r="B148" s="13">
        <v>45677</v>
      </c>
      <c r="C148">
        <v>2025</v>
      </c>
      <c r="D148">
        <v>1</v>
      </c>
      <c r="E148" t="s">
        <v>2571</v>
      </c>
      <c r="F148" t="s">
        <v>2572</v>
      </c>
      <c r="G148" t="s">
        <v>569</v>
      </c>
      <c r="H148" t="s">
        <v>570</v>
      </c>
      <c r="I148" t="s">
        <v>85</v>
      </c>
      <c r="J148">
        <v>29</v>
      </c>
      <c r="K148" t="s">
        <v>81</v>
      </c>
      <c r="L148" t="s">
        <v>2616</v>
      </c>
      <c r="M148" t="s">
        <v>62</v>
      </c>
      <c r="N148" t="s">
        <v>2584</v>
      </c>
      <c r="O148" t="s">
        <v>121</v>
      </c>
      <c r="P148" t="s">
        <v>50</v>
      </c>
      <c r="Q148" t="s">
        <v>144</v>
      </c>
      <c r="R148">
        <v>1</v>
      </c>
      <c r="S148">
        <v>2999</v>
      </c>
      <c r="T148">
        <v>0.2</v>
      </c>
      <c r="U148">
        <v>2399.1999999999998</v>
      </c>
      <c r="V148">
        <v>1700</v>
      </c>
      <c r="W148">
        <v>699.2</v>
      </c>
      <c r="X148" t="s">
        <v>73</v>
      </c>
      <c r="Y148" t="s">
        <v>68</v>
      </c>
      <c r="Z148" t="s">
        <v>161</v>
      </c>
      <c r="AA148" t="s">
        <v>170</v>
      </c>
      <c r="AB148">
        <v>4.5</v>
      </c>
      <c r="AC148">
        <v>80</v>
      </c>
      <c r="AD148">
        <v>109.53</v>
      </c>
      <c r="AE148">
        <f t="shared" si="4"/>
        <v>509.67000000000007</v>
      </c>
      <c r="AF148" t="str">
        <f t="shared" si="5"/>
        <v>2025-01</v>
      </c>
      <c r="AG148">
        <f>SUBTOTAL(103,A148)</f>
        <v>1</v>
      </c>
    </row>
    <row r="149" spans="1:33" x14ac:dyDescent="0.3">
      <c r="A149" t="s">
        <v>2758</v>
      </c>
      <c r="B149" s="13">
        <v>45677</v>
      </c>
      <c r="C149">
        <v>2025</v>
      </c>
      <c r="D149">
        <v>1</v>
      </c>
      <c r="E149" t="s">
        <v>2571</v>
      </c>
      <c r="F149" t="s">
        <v>2572</v>
      </c>
      <c r="G149" t="s">
        <v>579</v>
      </c>
      <c r="H149" t="s">
        <v>580</v>
      </c>
      <c r="I149" t="s">
        <v>85</v>
      </c>
      <c r="J149">
        <v>31</v>
      </c>
      <c r="K149" t="s">
        <v>81</v>
      </c>
      <c r="L149" t="s">
        <v>90</v>
      </c>
      <c r="M149" t="s">
        <v>55</v>
      </c>
      <c r="N149" t="s">
        <v>2601</v>
      </c>
      <c r="O149" t="s">
        <v>117</v>
      </c>
      <c r="P149" t="s">
        <v>49</v>
      </c>
      <c r="Q149" t="s">
        <v>139</v>
      </c>
      <c r="R149">
        <v>3</v>
      </c>
      <c r="S149">
        <v>6999</v>
      </c>
      <c r="T149">
        <v>0.05</v>
      </c>
      <c r="U149">
        <v>19947.150000000001</v>
      </c>
      <c r="V149">
        <v>12900</v>
      </c>
      <c r="W149">
        <v>7047.15</v>
      </c>
      <c r="X149" t="s">
        <v>75</v>
      </c>
      <c r="Y149" t="s">
        <v>68</v>
      </c>
      <c r="Z149" t="s">
        <v>163</v>
      </c>
      <c r="AA149" t="s">
        <v>166</v>
      </c>
      <c r="AB149">
        <v>3.4</v>
      </c>
      <c r="AC149">
        <v>50</v>
      </c>
      <c r="AD149">
        <v>1750.68</v>
      </c>
      <c r="AE149">
        <f t="shared" si="4"/>
        <v>5246.4699999999993</v>
      </c>
      <c r="AF149" t="str">
        <f t="shared" si="5"/>
        <v>2025-01</v>
      </c>
      <c r="AG149">
        <f>SUBTOTAL(103,A149)</f>
        <v>1</v>
      </c>
    </row>
    <row r="150" spans="1:33" x14ac:dyDescent="0.3">
      <c r="A150" t="s">
        <v>2759</v>
      </c>
      <c r="B150" s="13">
        <v>45677</v>
      </c>
      <c r="C150">
        <v>2025</v>
      </c>
      <c r="D150">
        <v>1</v>
      </c>
      <c r="E150" t="s">
        <v>2571</v>
      </c>
      <c r="F150" t="s">
        <v>2572</v>
      </c>
      <c r="G150" t="s">
        <v>2217</v>
      </c>
      <c r="H150" t="s">
        <v>2218</v>
      </c>
      <c r="I150" t="s">
        <v>86</v>
      </c>
      <c r="J150">
        <v>19</v>
      </c>
      <c r="K150" t="s">
        <v>80</v>
      </c>
      <c r="L150" t="s">
        <v>2579</v>
      </c>
      <c r="M150" t="s">
        <v>56</v>
      </c>
      <c r="N150" t="s">
        <v>2574</v>
      </c>
      <c r="O150" t="s">
        <v>130</v>
      </c>
      <c r="P150" t="s">
        <v>50</v>
      </c>
      <c r="Q150" t="s">
        <v>53</v>
      </c>
      <c r="R150">
        <v>2</v>
      </c>
      <c r="S150">
        <v>1199</v>
      </c>
      <c r="T150">
        <v>0.15</v>
      </c>
      <c r="U150">
        <v>2038.3</v>
      </c>
      <c r="V150">
        <v>1100</v>
      </c>
      <c r="W150">
        <v>938.3</v>
      </c>
      <c r="X150" t="s">
        <v>73</v>
      </c>
      <c r="Y150" t="s">
        <v>68</v>
      </c>
      <c r="Z150" t="s">
        <v>162</v>
      </c>
      <c r="AA150" t="s">
        <v>166</v>
      </c>
      <c r="AB150">
        <v>3.6</v>
      </c>
      <c r="AC150">
        <v>80</v>
      </c>
      <c r="AD150">
        <v>121.07</v>
      </c>
      <c r="AE150">
        <f t="shared" si="4"/>
        <v>737.23</v>
      </c>
      <c r="AF150" t="str">
        <f t="shared" si="5"/>
        <v>2025-01</v>
      </c>
      <c r="AG150">
        <f>SUBTOTAL(103,A150)</f>
        <v>1</v>
      </c>
    </row>
    <row r="151" spans="1:33" x14ac:dyDescent="0.3">
      <c r="A151" t="s">
        <v>2760</v>
      </c>
      <c r="B151" s="13">
        <v>45677</v>
      </c>
      <c r="C151">
        <v>2025</v>
      </c>
      <c r="D151">
        <v>1</v>
      </c>
      <c r="E151" t="s">
        <v>2571</v>
      </c>
      <c r="F151" t="s">
        <v>2572</v>
      </c>
      <c r="G151" t="s">
        <v>1377</v>
      </c>
      <c r="H151" t="s">
        <v>1378</v>
      </c>
      <c r="I151" t="s">
        <v>86</v>
      </c>
      <c r="J151">
        <v>32</v>
      </c>
      <c r="K151" t="s">
        <v>81</v>
      </c>
      <c r="L151" t="s">
        <v>2646</v>
      </c>
      <c r="M151" t="s">
        <v>63</v>
      </c>
      <c r="N151" t="s">
        <v>2665</v>
      </c>
      <c r="O151" t="s">
        <v>128</v>
      </c>
      <c r="P151" t="s">
        <v>53</v>
      </c>
      <c r="Q151" t="s">
        <v>143</v>
      </c>
      <c r="R151">
        <v>3</v>
      </c>
      <c r="S151">
        <v>1499</v>
      </c>
      <c r="T151">
        <v>0</v>
      </c>
      <c r="U151">
        <v>4497</v>
      </c>
      <c r="V151">
        <v>2400</v>
      </c>
      <c r="W151">
        <v>2097</v>
      </c>
      <c r="X151" t="s">
        <v>75</v>
      </c>
      <c r="Y151" t="s">
        <v>68</v>
      </c>
      <c r="Z151" t="s">
        <v>158</v>
      </c>
      <c r="AA151" t="s">
        <v>170</v>
      </c>
      <c r="AB151">
        <v>4.8</v>
      </c>
      <c r="AC151">
        <v>40</v>
      </c>
      <c r="AD151">
        <v>283.23</v>
      </c>
      <c r="AE151">
        <f t="shared" si="4"/>
        <v>1773.77</v>
      </c>
      <c r="AF151" t="str">
        <f t="shared" si="5"/>
        <v>2025-01</v>
      </c>
      <c r="AG151">
        <f>SUBTOTAL(103,A151)</f>
        <v>1</v>
      </c>
    </row>
    <row r="152" spans="1:33" x14ac:dyDescent="0.3">
      <c r="A152" t="s">
        <v>2761</v>
      </c>
      <c r="B152" s="13">
        <v>45678</v>
      </c>
      <c r="C152">
        <v>2025</v>
      </c>
      <c r="D152">
        <v>1</v>
      </c>
      <c r="E152" t="s">
        <v>2571</v>
      </c>
      <c r="F152" t="s">
        <v>2572</v>
      </c>
      <c r="G152" t="s">
        <v>803</v>
      </c>
      <c r="H152" t="s">
        <v>804</v>
      </c>
      <c r="I152" t="s">
        <v>86</v>
      </c>
      <c r="J152">
        <v>38</v>
      </c>
      <c r="K152" t="s">
        <v>82</v>
      </c>
      <c r="L152" t="s">
        <v>100</v>
      </c>
      <c r="M152" t="s">
        <v>56</v>
      </c>
      <c r="N152" t="s">
        <v>2606</v>
      </c>
      <c r="O152" t="s">
        <v>120</v>
      </c>
      <c r="P152" t="s">
        <v>49</v>
      </c>
      <c r="Q152" t="s">
        <v>140</v>
      </c>
      <c r="R152">
        <v>3</v>
      </c>
      <c r="S152">
        <v>2799</v>
      </c>
      <c r="T152">
        <v>0.2</v>
      </c>
      <c r="U152">
        <v>6717.6</v>
      </c>
      <c r="V152">
        <v>4950</v>
      </c>
      <c r="W152">
        <v>1767.6</v>
      </c>
      <c r="X152" t="s">
        <v>76</v>
      </c>
      <c r="Y152" t="s">
        <v>68</v>
      </c>
      <c r="Z152" t="s">
        <v>159</v>
      </c>
      <c r="AA152" t="s">
        <v>169</v>
      </c>
      <c r="AB152">
        <v>3.9</v>
      </c>
      <c r="AC152">
        <v>50</v>
      </c>
      <c r="AD152">
        <v>754.6</v>
      </c>
      <c r="AE152">
        <f t="shared" si="4"/>
        <v>962.99999999999989</v>
      </c>
      <c r="AF152" t="str">
        <f t="shared" si="5"/>
        <v>2025-01</v>
      </c>
      <c r="AG152">
        <f>SUBTOTAL(103,A152)</f>
        <v>1</v>
      </c>
    </row>
    <row r="153" spans="1:33" x14ac:dyDescent="0.3">
      <c r="A153" t="s">
        <v>2762</v>
      </c>
      <c r="B153" s="13">
        <v>45678</v>
      </c>
      <c r="C153">
        <v>2025</v>
      </c>
      <c r="D153">
        <v>1</v>
      </c>
      <c r="E153" t="s">
        <v>2571</v>
      </c>
      <c r="F153" t="s">
        <v>2572</v>
      </c>
      <c r="G153" t="s">
        <v>1839</v>
      </c>
      <c r="H153" t="s">
        <v>1840</v>
      </c>
      <c r="I153" t="s">
        <v>85</v>
      </c>
      <c r="J153">
        <v>34</v>
      </c>
      <c r="K153" t="s">
        <v>81</v>
      </c>
      <c r="L153" t="s">
        <v>90</v>
      </c>
      <c r="M153" t="s">
        <v>55</v>
      </c>
      <c r="N153" t="s">
        <v>2626</v>
      </c>
      <c r="O153" t="s">
        <v>125</v>
      </c>
      <c r="P153" t="s">
        <v>48</v>
      </c>
      <c r="Q153" t="s">
        <v>141</v>
      </c>
      <c r="R153">
        <v>1</v>
      </c>
      <c r="S153">
        <v>1999</v>
      </c>
      <c r="T153">
        <v>0</v>
      </c>
      <c r="U153">
        <v>1999</v>
      </c>
      <c r="V153">
        <v>1150</v>
      </c>
      <c r="W153">
        <v>849</v>
      </c>
      <c r="X153" t="s">
        <v>73</v>
      </c>
      <c r="Y153" t="s">
        <v>68</v>
      </c>
      <c r="Z153" t="s">
        <v>160</v>
      </c>
      <c r="AA153" t="s">
        <v>169</v>
      </c>
      <c r="AB153">
        <v>4.5</v>
      </c>
      <c r="AC153">
        <v>40</v>
      </c>
      <c r="AD153">
        <v>115.52</v>
      </c>
      <c r="AE153">
        <f t="shared" si="4"/>
        <v>693.48</v>
      </c>
      <c r="AF153" t="str">
        <f t="shared" si="5"/>
        <v>2025-01</v>
      </c>
      <c r="AG153">
        <f>SUBTOTAL(103,A153)</f>
        <v>1</v>
      </c>
    </row>
    <row r="154" spans="1:33" x14ac:dyDescent="0.3">
      <c r="A154" t="s">
        <v>2763</v>
      </c>
      <c r="B154" s="13">
        <v>45678</v>
      </c>
      <c r="C154">
        <v>2025</v>
      </c>
      <c r="D154">
        <v>1</v>
      </c>
      <c r="E154" t="s">
        <v>2571</v>
      </c>
      <c r="F154" t="s">
        <v>2572</v>
      </c>
      <c r="G154" t="s">
        <v>1399</v>
      </c>
      <c r="H154" t="s">
        <v>1400</v>
      </c>
      <c r="I154" t="s">
        <v>85</v>
      </c>
      <c r="J154">
        <v>34</v>
      </c>
      <c r="K154" t="s">
        <v>81</v>
      </c>
      <c r="L154" t="s">
        <v>93</v>
      </c>
      <c r="M154" t="s">
        <v>55</v>
      </c>
      <c r="N154" t="s">
        <v>2587</v>
      </c>
      <c r="O154" t="s">
        <v>116</v>
      </c>
      <c r="P154" t="s">
        <v>48</v>
      </c>
      <c r="Q154" t="s">
        <v>138</v>
      </c>
      <c r="R154">
        <v>1</v>
      </c>
      <c r="S154">
        <v>14999</v>
      </c>
      <c r="T154">
        <v>0.05</v>
      </c>
      <c r="U154">
        <v>14249.05</v>
      </c>
      <c r="V154">
        <v>11200</v>
      </c>
      <c r="W154">
        <v>3049.05</v>
      </c>
      <c r="X154" t="s">
        <v>76</v>
      </c>
      <c r="Y154" t="s">
        <v>68</v>
      </c>
      <c r="Z154" t="s">
        <v>158</v>
      </c>
      <c r="AA154" t="s">
        <v>169</v>
      </c>
      <c r="AB154">
        <v>3.7</v>
      </c>
      <c r="AC154">
        <v>120</v>
      </c>
      <c r="AD154">
        <v>317.26</v>
      </c>
      <c r="AE154">
        <f t="shared" si="4"/>
        <v>2611.79</v>
      </c>
      <c r="AF154" t="str">
        <f t="shared" si="5"/>
        <v>2025-01</v>
      </c>
      <c r="AG154">
        <f>SUBTOTAL(103,A154)</f>
        <v>1</v>
      </c>
    </row>
    <row r="155" spans="1:33" x14ac:dyDescent="0.3">
      <c r="A155" t="s">
        <v>2764</v>
      </c>
      <c r="B155" s="13">
        <v>45678</v>
      </c>
      <c r="C155">
        <v>2025</v>
      </c>
      <c r="D155">
        <v>1</v>
      </c>
      <c r="E155" t="s">
        <v>2571</v>
      </c>
      <c r="F155" t="s">
        <v>2572</v>
      </c>
      <c r="G155" t="s">
        <v>539</v>
      </c>
      <c r="H155" t="s">
        <v>540</v>
      </c>
      <c r="I155" t="s">
        <v>85</v>
      </c>
      <c r="J155">
        <v>55</v>
      </c>
      <c r="K155" t="s">
        <v>83</v>
      </c>
      <c r="L155" t="s">
        <v>2687</v>
      </c>
      <c r="M155" t="s">
        <v>57</v>
      </c>
      <c r="N155" t="s">
        <v>2606</v>
      </c>
      <c r="O155" t="s">
        <v>120</v>
      </c>
      <c r="P155" t="s">
        <v>49</v>
      </c>
      <c r="Q155" t="s">
        <v>140</v>
      </c>
      <c r="R155">
        <v>3</v>
      </c>
      <c r="S155">
        <v>2799</v>
      </c>
      <c r="T155">
        <v>0.1</v>
      </c>
      <c r="U155">
        <v>7557.3</v>
      </c>
      <c r="V155">
        <v>4950</v>
      </c>
      <c r="W155">
        <v>2607.3000000000002</v>
      </c>
      <c r="X155" t="s">
        <v>73</v>
      </c>
      <c r="Y155" t="s">
        <v>68</v>
      </c>
      <c r="Z155" t="s">
        <v>162</v>
      </c>
      <c r="AA155" t="s">
        <v>168</v>
      </c>
      <c r="AB155">
        <v>3.2</v>
      </c>
      <c r="AC155">
        <v>50</v>
      </c>
      <c r="AD155">
        <v>802.17</v>
      </c>
      <c r="AE155">
        <f t="shared" si="4"/>
        <v>1755.13</v>
      </c>
      <c r="AF155" t="str">
        <f t="shared" si="5"/>
        <v>2025-01</v>
      </c>
      <c r="AG155">
        <f>SUBTOTAL(103,A155)</f>
        <v>1</v>
      </c>
    </row>
    <row r="156" spans="1:33" x14ac:dyDescent="0.3">
      <c r="A156" t="s">
        <v>2765</v>
      </c>
      <c r="B156" s="13">
        <v>45678</v>
      </c>
      <c r="C156">
        <v>2025</v>
      </c>
      <c r="D156">
        <v>1</v>
      </c>
      <c r="E156" t="s">
        <v>2571</v>
      </c>
      <c r="F156" t="s">
        <v>2572</v>
      </c>
      <c r="G156" t="s">
        <v>1089</v>
      </c>
      <c r="H156" t="s">
        <v>1090</v>
      </c>
      <c r="I156" t="s">
        <v>85</v>
      </c>
      <c r="J156">
        <v>36</v>
      </c>
      <c r="K156" t="s">
        <v>82</v>
      </c>
      <c r="L156" t="s">
        <v>2616</v>
      </c>
      <c r="M156" t="s">
        <v>62</v>
      </c>
      <c r="N156" t="s">
        <v>2601</v>
      </c>
      <c r="O156" t="s">
        <v>117</v>
      </c>
      <c r="P156" t="s">
        <v>49</v>
      </c>
      <c r="Q156" t="s">
        <v>139</v>
      </c>
      <c r="R156">
        <v>1</v>
      </c>
      <c r="S156">
        <v>6999</v>
      </c>
      <c r="T156">
        <v>0.25</v>
      </c>
      <c r="U156">
        <v>5249.25</v>
      </c>
      <c r="V156">
        <v>4300</v>
      </c>
      <c r="W156">
        <v>949.25</v>
      </c>
      <c r="X156" t="s">
        <v>76</v>
      </c>
      <c r="Y156" t="s">
        <v>68</v>
      </c>
      <c r="Z156" t="s">
        <v>161</v>
      </c>
      <c r="AA156" t="s">
        <v>169</v>
      </c>
      <c r="AB156">
        <v>4</v>
      </c>
      <c r="AC156">
        <v>40</v>
      </c>
      <c r="AD156">
        <v>356.15</v>
      </c>
      <c r="AE156">
        <f t="shared" si="4"/>
        <v>553.1</v>
      </c>
      <c r="AF156" t="str">
        <f t="shared" si="5"/>
        <v>2025-01</v>
      </c>
      <c r="AG156">
        <f>SUBTOTAL(103,A156)</f>
        <v>1</v>
      </c>
    </row>
    <row r="157" spans="1:33" x14ac:dyDescent="0.3">
      <c r="A157" t="s">
        <v>2766</v>
      </c>
      <c r="B157" s="13">
        <v>45678</v>
      </c>
      <c r="C157">
        <v>2025</v>
      </c>
      <c r="D157">
        <v>1</v>
      </c>
      <c r="E157" t="s">
        <v>2571</v>
      </c>
      <c r="F157" t="s">
        <v>2572</v>
      </c>
      <c r="G157" t="s">
        <v>953</v>
      </c>
      <c r="H157" t="s">
        <v>954</v>
      </c>
      <c r="I157" t="s">
        <v>86</v>
      </c>
      <c r="J157">
        <v>42</v>
      </c>
      <c r="K157" t="s">
        <v>82</v>
      </c>
      <c r="L157" t="s">
        <v>2687</v>
      </c>
      <c r="M157" t="s">
        <v>57</v>
      </c>
      <c r="N157" t="s">
        <v>2644</v>
      </c>
      <c r="O157" t="s">
        <v>126</v>
      </c>
      <c r="P157" t="s">
        <v>50</v>
      </c>
      <c r="Q157" t="s">
        <v>145</v>
      </c>
      <c r="R157">
        <v>3</v>
      </c>
      <c r="S157">
        <v>1799</v>
      </c>
      <c r="T157">
        <v>0.15</v>
      </c>
      <c r="U157">
        <v>4587.45</v>
      </c>
      <c r="V157">
        <v>2850</v>
      </c>
      <c r="W157">
        <v>1737.45</v>
      </c>
      <c r="X157" t="s">
        <v>77</v>
      </c>
      <c r="Y157" t="s">
        <v>69</v>
      </c>
      <c r="Z157" t="s">
        <v>161</v>
      </c>
      <c r="AA157" t="s">
        <v>168</v>
      </c>
      <c r="AB157">
        <v>5</v>
      </c>
      <c r="AC157">
        <v>120</v>
      </c>
      <c r="AD157">
        <v>402.28</v>
      </c>
      <c r="AE157">
        <f t="shared" si="4"/>
        <v>1215.17</v>
      </c>
      <c r="AF157" t="str">
        <f t="shared" si="5"/>
        <v>2025-01</v>
      </c>
      <c r="AG157">
        <f>SUBTOTAL(103,A157)</f>
        <v>1</v>
      </c>
    </row>
    <row r="158" spans="1:33" x14ac:dyDescent="0.3">
      <c r="A158" t="s">
        <v>2767</v>
      </c>
      <c r="B158" s="13">
        <v>45678</v>
      </c>
      <c r="C158">
        <v>2025</v>
      </c>
      <c r="D158">
        <v>1</v>
      </c>
      <c r="E158" t="s">
        <v>2571</v>
      </c>
      <c r="F158" t="s">
        <v>2572</v>
      </c>
      <c r="G158" t="s">
        <v>1713</v>
      </c>
      <c r="H158" t="s">
        <v>1714</v>
      </c>
      <c r="I158" t="s">
        <v>87</v>
      </c>
      <c r="J158">
        <v>54</v>
      </c>
      <c r="K158" t="s">
        <v>83</v>
      </c>
      <c r="L158" t="s">
        <v>2690</v>
      </c>
      <c r="M158" t="s">
        <v>63</v>
      </c>
      <c r="N158" t="s">
        <v>2582</v>
      </c>
      <c r="O158" t="s">
        <v>119</v>
      </c>
      <c r="P158" t="s">
        <v>49</v>
      </c>
      <c r="Q158" t="s">
        <v>140</v>
      </c>
      <c r="R158">
        <v>1</v>
      </c>
      <c r="S158">
        <v>3499</v>
      </c>
      <c r="T158">
        <v>0</v>
      </c>
      <c r="U158">
        <v>3499</v>
      </c>
      <c r="V158">
        <v>2100</v>
      </c>
      <c r="W158">
        <v>1399</v>
      </c>
      <c r="X158" t="s">
        <v>76</v>
      </c>
      <c r="Y158" t="s">
        <v>68</v>
      </c>
      <c r="Z158" t="s">
        <v>160</v>
      </c>
      <c r="AA158" t="s">
        <v>167</v>
      </c>
      <c r="AB158">
        <v>3.5</v>
      </c>
      <c r="AC158">
        <v>60</v>
      </c>
      <c r="AD158">
        <v>161.19999999999999</v>
      </c>
      <c r="AE158">
        <f t="shared" si="4"/>
        <v>1177.8</v>
      </c>
      <c r="AF158" t="str">
        <f t="shared" si="5"/>
        <v>2025-01</v>
      </c>
      <c r="AG158">
        <f>SUBTOTAL(103,A158)</f>
        <v>1</v>
      </c>
    </row>
    <row r="159" spans="1:33" x14ac:dyDescent="0.3">
      <c r="A159" t="s">
        <v>2768</v>
      </c>
      <c r="B159" s="13">
        <v>45678</v>
      </c>
      <c r="C159">
        <v>2025</v>
      </c>
      <c r="D159">
        <v>1</v>
      </c>
      <c r="E159" t="s">
        <v>2571</v>
      </c>
      <c r="F159" t="s">
        <v>2572</v>
      </c>
      <c r="G159" t="s">
        <v>295</v>
      </c>
      <c r="H159" t="s">
        <v>296</v>
      </c>
      <c r="I159" t="s">
        <v>85</v>
      </c>
      <c r="J159">
        <v>34</v>
      </c>
      <c r="K159" t="s">
        <v>81</v>
      </c>
      <c r="L159" t="s">
        <v>2674</v>
      </c>
      <c r="M159" t="s">
        <v>58</v>
      </c>
      <c r="N159" t="s">
        <v>2587</v>
      </c>
      <c r="O159" t="s">
        <v>116</v>
      </c>
      <c r="P159" t="s">
        <v>48</v>
      </c>
      <c r="Q159" t="s">
        <v>138</v>
      </c>
      <c r="R159">
        <v>4</v>
      </c>
      <c r="S159">
        <v>14999</v>
      </c>
      <c r="T159">
        <v>0.1</v>
      </c>
      <c r="U159">
        <v>53996.4</v>
      </c>
      <c r="V159">
        <v>44800</v>
      </c>
      <c r="W159">
        <v>9196.4</v>
      </c>
      <c r="X159" t="s">
        <v>75</v>
      </c>
      <c r="Y159" t="s">
        <v>68</v>
      </c>
      <c r="Z159" t="s">
        <v>160</v>
      </c>
      <c r="AA159" t="s">
        <v>167</v>
      </c>
      <c r="AB159">
        <v>4.5999999999999996</v>
      </c>
      <c r="AC159">
        <v>60</v>
      </c>
      <c r="AD159">
        <v>3463.19</v>
      </c>
      <c r="AE159">
        <f t="shared" si="4"/>
        <v>5673.2099999999991</v>
      </c>
      <c r="AF159" t="str">
        <f t="shared" si="5"/>
        <v>2025-01</v>
      </c>
      <c r="AG159">
        <f>SUBTOTAL(103,A159)</f>
        <v>1</v>
      </c>
    </row>
    <row r="160" spans="1:33" x14ac:dyDescent="0.3">
      <c r="A160" t="s">
        <v>2769</v>
      </c>
      <c r="B160" s="13">
        <v>45678</v>
      </c>
      <c r="C160">
        <v>2025</v>
      </c>
      <c r="D160">
        <v>1</v>
      </c>
      <c r="E160" t="s">
        <v>2571</v>
      </c>
      <c r="F160" t="s">
        <v>2572</v>
      </c>
      <c r="G160" t="s">
        <v>391</v>
      </c>
      <c r="H160" t="s">
        <v>392</v>
      </c>
      <c r="I160" t="s">
        <v>85</v>
      </c>
      <c r="J160">
        <v>40</v>
      </c>
      <c r="K160" t="s">
        <v>82</v>
      </c>
      <c r="L160" t="s">
        <v>2589</v>
      </c>
      <c r="M160" t="s">
        <v>61</v>
      </c>
      <c r="N160" t="s">
        <v>2601</v>
      </c>
      <c r="O160" t="s">
        <v>117</v>
      </c>
      <c r="P160" t="s">
        <v>49</v>
      </c>
      <c r="Q160" t="s">
        <v>139</v>
      </c>
      <c r="R160">
        <v>1</v>
      </c>
      <c r="S160">
        <v>6999</v>
      </c>
      <c r="T160">
        <v>0</v>
      </c>
      <c r="U160">
        <v>6999</v>
      </c>
      <c r="V160">
        <v>4300</v>
      </c>
      <c r="W160">
        <v>2699</v>
      </c>
      <c r="X160" t="s">
        <v>74</v>
      </c>
      <c r="Y160" t="s">
        <v>69</v>
      </c>
      <c r="Z160" t="s">
        <v>161</v>
      </c>
      <c r="AA160" t="s">
        <v>170</v>
      </c>
      <c r="AB160">
        <v>4.8</v>
      </c>
      <c r="AC160">
        <v>100</v>
      </c>
      <c r="AD160">
        <v>789.89</v>
      </c>
      <c r="AE160">
        <f t="shared" si="4"/>
        <v>1809.1100000000001</v>
      </c>
      <c r="AF160" t="str">
        <f t="shared" si="5"/>
        <v>2025-01</v>
      </c>
      <c r="AG160">
        <f>SUBTOTAL(103,A160)</f>
        <v>1</v>
      </c>
    </row>
    <row r="161" spans="1:33" x14ac:dyDescent="0.3">
      <c r="A161" t="s">
        <v>2770</v>
      </c>
      <c r="B161" s="13">
        <v>45679</v>
      </c>
      <c r="C161">
        <v>2025</v>
      </c>
      <c r="D161">
        <v>1</v>
      </c>
      <c r="E161" t="s">
        <v>2571</v>
      </c>
      <c r="F161" t="s">
        <v>2572</v>
      </c>
      <c r="G161" t="s">
        <v>281</v>
      </c>
      <c r="H161" t="s">
        <v>282</v>
      </c>
      <c r="I161" t="s">
        <v>85</v>
      </c>
      <c r="J161">
        <v>43</v>
      </c>
      <c r="K161" t="s">
        <v>82</v>
      </c>
      <c r="L161" t="s">
        <v>2616</v>
      </c>
      <c r="M161" t="s">
        <v>62</v>
      </c>
      <c r="N161" t="s">
        <v>2582</v>
      </c>
      <c r="O161" t="s">
        <v>119</v>
      </c>
      <c r="P161" t="s">
        <v>49</v>
      </c>
      <c r="Q161" t="s">
        <v>140</v>
      </c>
      <c r="R161">
        <v>4</v>
      </c>
      <c r="S161">
        <v>3499</v>
      </c>
      <c r="T161">
        <v>0.15</v>
      </c>
      <c r="U161">
        <v>11896.6</v>
      </c>
      <c r="V161">
        <v>8400</v>
      </c>
      <c r="W161">
        <v>3496.6</v>
      </c>
      <c r="X161" t="s">
        <v>73</v>
      </c>
      <c r="Y161" t="s">
        <v>68</v>
      </c>
      <c r="Z161" t="s">
        <v>163</v>
      </c>
      <c r="AA161" t="s">
        <v>171</v>
      </c>
      <c r="AB161">
        <v>4.0999999999999996</v>
      </c>
      <c r="AC161">
        <v>50</v>
      </c>
      <c r="AD161">
        <v>455.41</v>
      </c>
      <c r="AE161">
        <f t="shared" si="4"/>
        <v>2991.19</v>
      </c>
      <c r="AF161" t="str">
        <f t="shared" si="5"/>
        <v>2025-01</v>
      </c>
      <c r="AG161">
        <f>SUBTOTAL(103,A161)</f>
        <v>1</v>
      </c>
    </row>
    <row r="162" spans="1:33" x14ac:dyDescent="0.3">
      <c r="A162" t="s">
        <v>2771</v>
      </c>
      <c r="B162" s="13">
        <v>45679</v>
      </c>
      <c r="C162">
        <v>2025</v>
      </c>
      <c r="D162">
        <v>1</v>
      </c>
      <c r="E162" t="s">
        <v>2571</v>
      </c>
      <c r="F162" t="s">
        <v>2572</v>
      </c>
      <c r="G162" t="s">
        <v>963</v>
      </c>
      <c r="H162" t="s">
        <v>964</v>
      </c>
      <c r="I162" t="s">
        <v>85</v>
      </c>
      <c r="J162">
        <v>39</v>
      </c>
      <c r="K162" t="s">
        <v>82</v>
      </c>
      <c r="L162" t="s">
        <v>98</v>
      </c>
      <c r="M162" t="s">
        <v>55</v>
      </c>
      <c r="N162" t="s">
        <v>2647</v>
      </c>
      <c r="O162" t="s">
        <v>133</v>
      </c>
      <c r="P162" t="s">
        <v>50</v>
      </c>
      <c r="Q162" t="s">
        <v>145</v>
      </c>
      <c r="R162">
        <v>3</v>
      </c>
      <c r="S162">
        <v>799</v>
      </c>
      <c r="T162">
        <v>0</v>
      </c>
      <c r="U162">
        <v>2397</v>
      </c>
      <c r="V162">
        <v>1170</v>
      </c>
      <c r="W162">
        <v>1227</v>
      </c>
      <c r="X162" t="s">
        <v>73</v>
      </c>
      <c r="Y162" t="s">
        <v>68</v>
      </c>
      <c r="Z162" t="s">
        <v>162</v>
      </c>
      <c r="AA162" t="s">
        <v>166</v>
      </c>
      <c r="AB162">
        <v>4.0999999999999996</v>
      </c>
      <c r="AC162">
        <v>100</v>
      </c>
      <c r="AD162">
        <v>57.37</v>
      </c>
      <c r="AE162">
        <f t="shared" si="4"/>
        <v>1069.6300000000001</v>
      </c>
      <c r="AF162" t="str">
        <f t="shared" si="5"/>
        <v>2025-01</v>
      </c>
      <c r="AG162">
        <f>SUBTOTAL(103,A162)</f>
        <v>1</v>
      </c>
    </row>
    <row r="163" spans="1:33" x14ac:dyDescent="0.3">
      <c r="A163" t="s">
        <v>2772</v>
      </c>
      <c r="B163" s="13">
        <v>45679</v>
      </c>
      <c r="C163">
        <v>2025</v>
      </c>
      <c r="D163">
        <v>1</v>
      </c>
      <c r="E163" t="s">
        <v>2571</v>
      </c>
      <c r="F163" t="s">
        <v>2572</v>
      </c>
      <c r="G163" t="s">
        <v>2131</v>
      </c>
      <c r="H163" t="s">
        <v>2132</v>
      </c>
      <c r="I163" t="s">
        <v>85</v>
      </c>
      <c r="J163">
        <v>21</v>
      </c>
      <c r="K163" t="s">
        <v>80</v>
      </c>
      <c r="L163" t="s">
        <v>2687</v>
      </c>
      <c r="M163" t="s">
        <v>57</v>
      </c>
      <c r="N163" t="s">
        <v>2665</v>
      </c>
      <c r="O163" t="s">
        <v>128</v>
      </c>
      <c r="P163" t="s">
        <v>53</v>
      </c>
      <c r="Q163" t="s">
        <v>143</v>
      </c>
      <c r="R163">
        <v>2</v>
      </c>
      <c r="S163">
        <v>1499</v>
      </c>
      <c r="T163">
        <v>0.05</v>
      </c>
      <c r="U163">
        <v>0</v>
      </c>
      <c r="V163">
        <v>0</v>
      </c>
      <c r="W163">
        <v>0</v>
      </c>
      <c r="X163" t="s">
        <v>74</v>
      </c>
      <c r="Y163" t="s">
        <v>71</v>
      </c>
      <c r="Z163" t="s">
        <v>163</v>
      </c>
      <c r="AA163" t="s">
        <v>170</v>
      </c>
      <c r="AB163">
        <v>5</v>
      </c>
      <c r="AC163">
        <v>40</v>
      </c>
      <c r="AD163">
        <v>166.66</v>
      </c>
      <c r="AE163">
        <f t="shared" si="4"/>
        <v>-206.66</v>
      </c>
      <c r="AF163" t="str">
        <f t="shared" si="5"/>
        <v>2025-01</v>
      </c>
      <c r="AG163">
        <f>SUBTOTAL(103,A163)</f>
        <v>1</v>
      </c>
    </row>
    <row r="164" spans="1:33" x14ac:dyDescent="0.3">
      <c r="A164" t="s">
        <v>2773</v>
      </c>
      <c r="B164" s="13">
        <v>45679</v>
      </c>
      <c r="C164">
        <v>2025</v>
      </c>
      <c r="D164">
        <v>1</v>
      </c>
      <c r="E164" t="s">
        <v>2571</v>
      </c>
      <c r="F164" t="s">
        <v>2572</v>
      </c>
      <c r="G164" t="s">
        <v>2363</v>
      </c>
      <c r="H164" t="s">
        <v>2364</v>
      </c>
      <c r="I164" t="s">
        <v>86</v>
      </c>
      <c r="J164">
        <v>30</v>
      </c>
      <c r="K164" t="s">
        <v>81</v>
      </c>
      <c r="L164" t="s">
        <v>2589</v>
      </c>
      <c r="M164" t="s">
        <v>61</v>
      </c>
      <c r="N164" t="s">
        <v>2594</v>
      </c>
      <c r="O164" t="s">
        <v>131</v>
      </c>
      <c r="P164" t="s">
        <v>53</v>
      </c>
      <c r="Q164" t="s">
        <v>143</v>
      </c>
      <c r="R164">
        <v>2</v>
      </c>
      <c r="S164">
        <v>999</v>
      </c>
      <c r="T164">
        <v>0.2</v>
      </c>
      <c r="U164">
        <v>1598.4</v>
      </c>
      <c r="V164">
        <v>1040</v>
      </c>
      <c r="W164">
        <v>558.4</v>
      </c>
      <c r="X164" t="s">
        <v>75</v>
      </c>
      <c r="Y164" t="s">
        <v>68</v>
      </c>
      <c r="Z164" t="s">
        <v>160</v>
      </c>
      <c r="AA164" t="s">
        <v>170</v>
      </c>
      <c r="AB164">
        <v>4.4000000000000004</v>
      </c>
      <c r="AC164">
        <v>60</v>
      </c>
      <c r="AD164">
        <v>161.05000000000001</v>
      </c>
      <c r="AE164">
        <f t="shared" si="4"/>
        <v>337.34999999999997</v>
      </c>
      <c r="AF164" t="str">
        <f t="shared" si="5"/>
        <v>2025-01</v>
      </c>
      <c r="AG164">
        <f>SUBTOTAL(103,A164)</f>
        <v>1</v>
      </c>
    </row>
    <row r="165" spans="1:33" x14ac:dyDescent="0.3">
      <c r="A165" t="s">
        <v>2774</v>
      </c>
      <c r="B165" s="13">
        <v>45679</v>
      </c>
      <c r="C165">
        <v>2025</v>
      </c>
      <c r="D165">
        <v>1</v>
      </c>
      <c r="E165" t="s">
        <v>2571</v>
      </c>
      <c r="F165" t="s">
        <v>2572</v>
      </c>
      <c r="G165" t="s">
        <v>925</v>
      </c>
      <c r="H165" t="s">
        <v>926</v>
      </c>
      <c r="I165" t="s">
        <v>85</v>
      </c>
      <c r="J165">
        <v>34</v>
      </c>
      <c r="K165" t="s">
        <v>81</v>
      </c>
      <c r="L165" t="s">
        <v>2616</v>
      </c>
      <c r="M165" t="s">
        <v>62</v>
      </c>
      <c r="N165" t="s">
        <v>2653</v>
      </c>
      <c r="O165" t="s">
        <v>132</v>
      </c>
      <c r="P165" t="s">
        <v>52</v>
      </c>
      <c r="Q165" t="s">
        <v>150</v>
      </c>
      <c r="R165">
        <v>1</v>
      </c>
      <c r="S165">
        <v>899</v>
      </c>
      <c r="T165">
        <v>0.1</v>
      </c>
      <c r="U165">
        <v>809.1</v>
      </c>
      <c r="V165">
        <v>420</v>
      </c>
      <c r="W165">
        <v>389.1</v>
      </c>
      <c r="X165" t="s">
        <v>73</v>
      </c>
      <c r="Y165" t="s">
        <v>68</v>
      </c>
      <c r="Z165" t="s">
        <v>163</v>
      </c>
      <c r="AA165" t="s">
        <v>167</v>
      </c>
      <c r="AB165">
        <v>4.5</v>
      </c>
      <c r="AC165">
        <v>50</v>
      </c>
      <c r="AD165">
        <v>20</v>
      </c>
      <c r="AE165">
        <f t="shared" si="4"/>
        <v>319.10000000000002</v>
      </c>
      <c r="AF165" t="str">
        <f t="shared" si="5"/>
        <v>2025-01</v>
      </c>
      <c r="AG165">
        <f>SUBTOTAL(103,A165)</f>
        <v>1</v>
      </c>
    </row>
    <row r="166" spans="1:33" x14ac:dyDescent="0.3">
      <c r="A166" t="s">
        <v>2775</v>
      </c>
      <c r="B166" s="13">
        <v>45679</v>
      </c>
      <c r="C166">
        <v>2025</v>
      </c>
      <c r="D166">
        <v>1</v>
      </c>
      <c r="E166" t="s">
        <v>2571</v>
      </c>
      <c r="F166" t="s">
        <v>2572</v>
      </c>
      <c r="G166" t="s">
        <v>1671</v>
      </c>
      <c r="H166" t="s">
        <v>1672</v>
      </c>
      <c r="I166" t="s">
        <v>85</v>
      </c>
      <c r="J166">
        <v>47</v>
      </c>
      <c r="K166" t="s">
        <v>83</v>
      </c>
      <c r="L166" t="s">
        <v>94</v>
      </c>
      <c r="M166" t="s">
        <v>57</v>
      </c>
      <c r="N166" t="s">
        <v>2657</v>
      </c>
      <c r="O166" t="s">
        <v>134</v>
      </c>
      <c r="P166" t="s">
        <v>49</v>
      </c>
      <c r="Q166" t="s">
        <v>140</v>
      </c>
      <c r="R166">
        <v>2</v>
      </c>
      <c r="S166">
        <v>599</v>
      </c>
      <c r="T166">
        <v>0.15</v>
      </c>
      <c r="U166">
        <v>1018.3</v>
      </c>
      <c r="V166">
        <v>500</v>
      </c>
      <c r="W166">
        <v>518.29999999999995</v>
      </c>
      <c r="X166" t="s">
        <v>75</v>
      </c>
      <c r="Y166" t="s">
        <v>69</v>
      </c>
      <c r="Z166" t="s">
        <v>162</v>
      </c>
      <c r="AA166" t="s">
        <v>168</v>
      </c>
      <c r="AB166">
        <v>3.9</v>
      </c>
      <c r="AC166">
        <v>50</v>
      </c>
      <c r="AD166">
        <v>70.459999999999994</v>
      </c>
      <c r="AE166">
        <f t="shared" si="4"/>
        <v>397.84</v>
      </c>
      <c r="AF166" t="str">
        <f t="shared" si="5"/>
        <v>2025-01</v>
      </c>
      <c r="AG166">
        <f>SUBTOTAL(103,A166)</f>
        <v>1</v>
      </c>
    </row>
    <row r="167" spans="1:33" x14ac:dyDescent="0.3">
      <c r="A167" t="s">
        <v>2776</v>
      </c>
      <c r="B167" s="13">
        <v>45679</v>
      </c>
      <c r="C167">
        <v>2025</v>
      </c>
      <c r="D167">
        <v>1</v>
      </c>
      <c r="E167" t="s">
        <v>2571</v>
      </c>
      <c r="F167" t="s">
        <v>2572</v>
      </c>
      <c r="G167" t="s">
        <v>423</v>
      </c>
      <c r="H167" t="s">
        <v>424</v>
      </c>
      <c r="I167" t="s">
        <v>85</v>
      </c>
      <c r="J167">
        <v>30</v>
      </c>
      <c r="K167" t="s">
        <v>81</v>
      </c>
      <c r="L167" t="s">
        <v>2623</v>
      </c>
      <c r="M167" t="s">
        <v>61</v>
      </c>
      <c r="N167" t="s">
        <v>2657</v>
      </c>
      <c r="O167" t="s">
        <v>134</v>
      </c>
      <c r="P167" t="s">
        <v>49</v>
      </c>
      <c r="Q167" t="s">
        <v>140</v>
      </c>
      <c r="R167">
        <v>4</v>
      </c>
      <c r="S167">
        <v>599</v>
      </c>
      <c r="T167">
        <v>0.15</v>
      </c>
      <c r="U167">
        <v>2036.6</v>
      </c>
      <c r="V167">
        <v>1000</v>
      </c>
      <c r="W167">
        <v>1036.5999999999999</v>
      </c>
      <c r="X167" t="s">
        <v>74</v>
      </c>
      <c r="Y167" t="s">
        <v>68</v>
      </c>
      <c r="Z167" t="s">
        <v>158</v>
      </c>
      <c r="AA167" t="s">
        <v>168</v>
      </c>
      <c r="AB167">
        <v>2.6</v>
      </c>
      <c r="AC167">
        <v>50</v>
      </c>
      <c r="AD167">
        <v>190.81</v>
      </c>
      <c r="AE167">
        <f t="shared" si="4"/>
        <v>795.79</v>
      </c>
      <c r="AF167" t="str">
        <f t="shared" si="5"/>
        <v>2025-01</v>
      </c>
      <c r="AG167">
        <f>SUBTOTAL(103,A167)</f>
        <v>1</v>
      </c>
    </row>
    <row r="168" spans="1:33" x14ac:dyDescent="0.3">
      <c r="A168" t="s">
        <v>2777</v>
      </c>
      <c r="B168" s="13">
        <v>45679</v>
      </c>
      <c r="C168">
        <v>2025</v>
      </c>
      <c r="D168">
        <v>1</v>
      </c>
      <c r="E168" t="s">
        <v>2571</v>
      </c>
      <c r="F168" t="s">
        <v>2572</v>
      </c>
      <c r="G168" t="s">
        <v>901</v>
      </c>
      <c r="H168" t="s">
        <v>902</v>
      </c>
      <c r="I168" t="s">
        <v>86</v>
      </c>
      <c r="J168">
        <v>44</v>
      </c>
      <c r="K168" t="s">
        <v>82</v>
      </c>
      <c r="L168" t="s">
        <v>2687</v>
      </c>
      <c r="M168" t="s">
        <v>57</v>
      </c>
      <c r="N168" t="s">
        <v>2647</v>
      </c>
      <c r="O168" t="s">
        <v>133</v>
      </c>
      <c r="P168" t="s">
        <v>50</v>
      </c>
      <c r="Q168" t="s">
        <v>145</v>
      </c>
      <c r="R168">
        <v>3</v>
      </c>
      <c r="S168">
        <v>799</v>
      </c>
      <c r="T168">
        <v>0.1</v>
      </c>
      <c r="U168">
        <v>2157.3000000000002</v>
      </c>
      <c r="V168">
        <v>1170</v>
      </c>
      <c r="W168">
        <v>987.3</v>
      </c>
      <c r="X168" t="s">
        <v>75</v>
      </c>
      <c r="Y168" t="s">
        <v>68</v>
      </c>
      <c r="Z168" t="s">
        <v>162</v>
      </c>
      <c r="AA168" t="s">
        <v>168</v>
      </c>
      <c r="AB168">
        <v>4.3</v>
      </c>
      <c r="AC168">
        <v>50</v>
      </c>
      <c r="AD168">
        <v>50.96</v>
      </c>
      <c r="AE168">
        <f t="shared" si="4"/>
        <v>886.33999999999992</v>
      </c>
      <c r="AF168" t="str">
        <f t="shared" si="5"/>
        <v>2025-01</v>
      </c>
      <c r="AG168">
        <f>SUBTOTAL(103,A168)</f>
        <v>1</v>
      </c>
    </row>
    <row r="169" spans="1:33" x14ac:dyDescent="0.3">
      <c r="A169" t="s">
        <v>2778</v>
      </c>
      <c r="B169" s="13">
        <v>45680</v>
      </c>
      <c r="C169">
        <v>2025</v>
      </c>
      <c r="D169">
        <v>1</v>
      </c>
      <c r="E169" t="s">
        <v>2571</v>
      </c>
      <c r="F169" t="s">
        <v>2572</v>
      </c>
      <c r="G169" t="s">
        <v>661</v>
      </c>
      <c r="H169" t="s">
        <v>662</v>
      </c>
      <c r="I169" t="s">
        <v>85</v>
      </c>
      <c r="J169">
        <v>46</v>
      </c>
      <c r="K169" t="s">
        <v>83</v>
      </c>
      <c r="L169" t="s">
        <v>2589</v>
      </c>
      <c r="M169" t="s">
        <v>61</v>
      </c>
      <c r="N169" t="s">
        <v>2665</v>
      </c>
      <c r="O169" t="s">
        <v>128</v>
      </c>
      <c r="P169" t="s">
        <v>53</v>
      </c>
      <c r="Q169" t="s">
        <v>143</v>
      </c>
      <c r="R169">
        <v>1</v>
      </c>
      <c r="S169">
        <v>1499</v>
      </c>
      <c r="T169">
        <v>0.15</v>
      </c>
      <c r="U169">
        <v>1274.1500000000001</v>
      </c>
      <c r="V169">
        <v>800</v>
      </c>
      <c r="W169">
        <v>474.15</v>
      </c>
      <c r="X169" t="s">
        <v>76</v>
      </c>
      <c r="Y169" t="s">
        <v>68</v>
      </c>
      <c r="Z169" t="s">
        <v>161</v>
      </c>
      <c r="AA169" t="s">
        <v>166</v>
      </c>
      <c r="AB169">
        <v>3.8</v>
      </c>
      <c r="AC169">
        <v>80</v>
      </c>
      <c r="AD169">
        <v>120.54</v>
      </c>
      <c r="AE169">
        <f t="shared" si="4"/>
        <v>273.60999999999996</v>
      </c>
      <c r="AF169" t="str">
        <f t="shared" si="5"/>
        <v>2025-01</v>
      </c>
      <c r="AG169">
        <f>SUBTOTAL(103,A169)</f>
        <v>1</v>
      </c>
    </row>
    <row r="170" spans="1:33" x14ac:dyDescent="0.3">
      <c r="A170" t="s">
        <v>2779</v>
      </c>
      <c r="B170" s="13">
        <v>45680</v>
      </c>
      <c r="C170">
        <v>2025</v>
      </c>
      <c r="D170">
        <v>1</v>
      </c>
      <c r="E170" t="s">
        <v>2571</v>
      </c>
      <c r="F170" t="s">
        <v>2572</v>
      </c>
      <c r="G170" t="s">
        <v>1801</v>
      </c>
      <c r="H170" t="s">
        <v>1802</v>
      </c>
      <c r="I170" t="s">
        <v>85</v>
      </c>
      <c r="J170">
        <v>39</v>
      </c>
      <c r="K170" t="s">
        <v>82</v>
      </c>
      <c r="L170" t="s">
        <v>2623</v>
      </c>
      <c r="M170" t="s">
        <v>61</v>
      </c>
      <c r="N170" t="s">
        <v>2584</v>
      </c>
      <c r="O170" t="s">
        <v>121</v>
      </c>
      <c r="P170" t="s">
        <v>50</v>
      </c>
      <c r="Q170" t="s">
        <v>144</v>
      </c>
      <c r="R170">
        <v>1</v>
      </c>
      <c r="S170">
        <v>2999</v>
      </c>
      <c r="T170">
        <v>0.2</v>
      </c>
      <c r="U170">
        <v>2399.1999999999998</v>
      </c>
      <c r="V170">
        <v>1700</v>
      </c>
      <c r="W170">
        <v>699.2</v>
      </c>
      <c r="X170" t="s">
        <v>73</v>
      </c>
      <c r="Y170" t="s">
        <v>68</v>
      </c>
      <c r="Z170" t="s">
        <v>159</v>
      </c>
      <c r="AA170" t="s">
        <v>170</v>
      </c>
      <c r="AB170">
        <v>4.5</v>
      </c>
      <c r="AC170">
        <v>50</v>
      </c>
      <c r="AD170">
        <v>84.86</v>
      </c>
      <c r="AE170">
        <f t="shared" si="4"/>
        <v>564.34</v>
      </c>
      <c r="AF170" t="str">
        <f t="shared" si="5"/>
        <v>2025-01</v>
      </c>
      <c r="AG170">
        <f>SUBTOTAL(103,A170)</f>
        <v>1</v>
      </c>
    </row>
    <row r="171" spans="1:33" x14ac:dyDescent="0.3">
      <c r="A171" t="s">
        <v>2780</v>
      </c>
      <c r="B171" s="13">
        <v>45680</v>
      </c>
      <c r="C171">
        <v>2025</v>
      </c>
      <c r="D171">
        <v>1</v>
      </c>
      <c r="E171" t="s">
        <v>2571</v>
      </c>
      <c r="F171" t="s">
        <v>2572</v>
      </c>
      <c r="G171" t="s">
        <v>1843</v>
      </c>
      <c r="H171" t="s">
        <v>1844</v>
      </c>
      <c r="I171" t="s">
        <v>87</v>
      </c>
      <c r="J171">
        <v>55</v>
      </c>
      <c r="K171" t="s">
        <v>83</v>
      </c>
      <c r="L171" t="s">
        <v>2610</v>
      </c>
      <c r="M171" t="s">
        <v>64</v>
      </c>
      <c r="N171" t="s">
        <v>2580</v>
      </c>
      <c r="O171" t="s">
        <v>118</v>
      </c>
      <c r="P171" t="s">
        <v>48</v>
      </c>
      <c r="Q171" t="s">
        <v>142</v>
      </c>
      <c r="R171">
        <v>2</v>
      </c>
      <c r="S171">
        <v>3999</v>
      </c>
      <c r="T171">
        <v>0.1</v>
      </c>
      <c r="U171">
        <v>7198.2</v>
      </c>
      <c r="V171">
        <v>4800</v>
      </c>
      <c r="W171">
        <v>2398.1999999999998</v>
      </c>
      <c r="X171" t="s">
        <v>74</v>
      </c>
      <c r="Y171" t="s">
        <v>68</v>
      </c>
      <c r="Z171" t="s">
        <v>163</v>
      </c>
      <c r="AA171" t="s">
        <v>170</v>
      </c>
      <c r="AB171">
        <v>3.8</v>
      </c>
      <c r="AC171">
        <v>60</v>
      </c>
      <c r="AD171">
        <v>321.58999999999997</v>
      </c>
      <c r="AE171">
        <f t="shared" si="4"/>
        <v>2016.61</v>
      </c>
      <c r="AF171" t="str">
        <f t="shared" si="5"/>
        <v>2025-01</v>
      </c>
      <c r="AG171">
        <f>SUBTOTAL(103,A171)</f>
        <v>1</v>
      </c>
    </row>
    <row r="172" spans="1:33" x14ac:dyDescent="0.3">
      <c r="A172" t="s">
        <v>2781</v>
      </c>
      <c r="B172" s="13">
        <v>45680</v>
      </c>
      <c r="C172">
        <v>2025</v>
      </c>
      <c r="D172">
        <v>1</v>
      </c>
      <c r="E172" t="s">
        <v>2571</v>
      </c>
      <c r="F172" t="s">
        <v>2572</v>
      </c>
      <c r="G172" t="s">
        <v>511</v>
      </c>
      <c r="H172" t="s">
        <v>512</v>
      </c>
      <c r="I172" t="s">
        <v>86</v>
      </c>
      <c r="J172">
        <v>49</v>
      </c>
      <c r="K172" t="s">
        <v>83</v>
      </c>
      <c r="L172" t="s">
        <v>94</v>
      </c>
      <c r="M172" t="s">
        <v>57</v>
      </c>
      <c r="N172" t="s">
        <v>2580</v>
      </c>
      <c r="O172" t="s">
        <v>118</v>
      </c>
      <c r="P172" t="s">
        <v>48</v>
      </c>
      <c r="Q172" t="s">
        <v>142</v>
      </c>
      <c r="R172">
        <v>1</v>
      </c>
      <c r="S172">
        <v>3999</v>
      </c>
      <c r="T172">
        <v>0.15</v>
      </c>
      <c r="U172">
        <v>0</v>
      </c>
      <c r="V172">
        <v>0</v>
      </c>
      <c r="W172">
        <v>0</v>
      </c>
      <c r="X172" t="s">
        <v>75</v>
      </c>
      <c r="Y172" t="s">
        <v>71</v>
      </c>
      <c r="Z172" t="s">
        <v>163</v>
      </c>
      <c r="AA172" t="s">
        <v>171</v>
      </c>
      <c r="AB172">
        <v>4.3</v>
      </c>
      <c r="AC172">
        <v>40</v>
      </c>
      <c r="AD172">
        <v>156.88</v>
      </c>
      <c r="AE172">
        <f t="shared" si="4"/>
        <v>-196.88</v>
      </c>
      <c r="AF172" t="str">
        <f t="shared" si="5"/>
        <v>2025-01</v>
      </c>
      <c r="AG172">
        <f>SUBTOTAL(103,A172)</f>
        <v>1</v>
      </c>
    </row>
    <row r="173" spans="1:33" x14ac:dyDescent="0.3">
      <c r="A173" t="s">
        <v>2782</v>
      </c>
      <c r="B173" s="13">
        <v>45680</v>
      </c>
      <c r="C173">
        <v>2025</v>
      </c>
      <c r="D173">
        <v>1</v>
      </c>
      <c r="E173" t="s">
        <v>2571</v>
      </c>
      <c r="F173" t="s">
        <v>2572</v>
      </c>
      <c r="G173" t="s">
        <v>349</v>
      </c>
      <c r="H173" t="s">
        <v>350</v>
      </c>
      <c r="I173" t="s">
        <v>85</v>
      </c>
      <c r="J173">
        <v>39</v>
      </c>
      <c r="K173" t="s">
        <v>82</v>
      </c>
      <c r="L173" t="s">
        <v>91</v>
      </c>
      <c r="M173" t="s">
        <v>55</v>
      </c>
      <c r="N173" t="s">
        <v>2657</v>
      </c>
      <c r="O173" t="s">
        <v>134</v>
      </c>
      <c r="P173" t="s">
        <v>49</v>
      </c>
      <c r="Q173" t="s">
        <v>140</v>
      </c>
      <c r="R173">
        <v>1</v>
      </c>
      <c r="S173">
        <v>599</v>
      </c>
      <c r="T173">
        <v>0.15</v>
      </c>
      <c r="U173">
        <v>509.15</v>
      </c>
      <c r="V173">
        <v>250</v>
      </c>
      <c r="W173">
        <v>259.14999999999998</v>
      </c>
      <c r="X173" t="s">
        <v>73</v>
      </c>
      <c r="Y173" t="s">
        <v>68</v>
      </c>
      <c r="Z173" t="s">
        <v>158</v>
      </c>
      <c r="AA173" t="s">
        <v>171</v>
      </c>
      <c r="AB173">
        <v>4.0999999999999996</v>
      </c>
      <c r="AC173">
        <v>50</v>
      </c>
      <c r="AD173">
        <v>31.34</v>
      </c>
      <c r="AE173">
        <f t="shared" si="4"/>
        <v>177.80999999999997</v>
      </c>
      <c r="AF173" t="str">
        <f t="shared" si="5"/>
        <v>2025-01</v>
      </c>
      <c r="AG173">
        <f>SUBTOTAL(103,A173)</f>
        <v>1</v>
      </c>
    </row>
    <row r="174" spans="1:33" x14ac:dyDescent="0.3">
      <c r="A174" t="s">
        <v>2783</v>
      </c>
      <c r="B174" s="13">
        <v>45680</v>
      </c>
      <c r="C174">
        <v>2025</v>
      </c>
      <c r="D174">
        <v>1</v>
      </c>
      <c r="E174" t="s">
        <v>2571</v>
      </c>
      <c r="F174" t="s">
        <v>2572</v>
      </c>
      <c r="G174" t="s">
        <v>679</v>
      </c>
      <c r="H174" t="s">
        <v>680</v>
      </c>
      <c r="I174" t="s">
        <v>86</v>
      </c>
      <c r="J174">
        <v>26</v>
      </c>
      <c r="K174" t="s">
        <v>81</v>
      </c>
      <c r="L174" t="s">
        <v>2623</v>
      </c>
      <c r="M174" t="s">
        <v>61</v>
      </c>
      <c r="N174" t="s">
        <v>2626</v>
      </c>
      <c r="O174" t="s">
        <v>125</v>
      </c>
      <c r="P174" t="s">
        <v>48</v>
      </c>
      <c r="Q174" t="s">
        <v>141</v>
      </c>
      <c r="R174">
        <v>3</v>
      </c>
      <c r="S174">
        <v>1999</v>
      </c>
      <c r="T174">
        <v>0.05</v>
      </c>
      <c r="U174">
        <v>5697.15</v>
      </c>
      <c r="V174">
        <v>3450</v>
      </c>
      <c r="W174">
        <v>2247.15</v>
      </c>
      <c r="X174" t="s">
        <v>73</v>
      </c>
      <c r="Y174" t="s">
        <v>68</v>
      </c>
      <c r="Z174" t="s">
        <v>158</v>
      </c>
      <c r="AA174" t="s">
        <v>169</v>
      </c>
      <c r="AB174">
        <v>3.3</v>
      </c>
      <c r="AC174">
        <v>50</v>
      </c>
      <c r="AD174">
        <v>433.01</v>
      </c>
      <c r="AE174">
        <f t="shared" si="4"/>
        <v>1764.14</v>
      </c>
      <c r="AF174" t="str">
        <f t="shared" si="5"/>
        <v>2025-01</v>
      </c>
      <c r="AG174">
        <f>SUBTOTAL(103,A174)</f>
        <v>1</v>
      </c>
    </row>
    <row r="175" spans="1:33" x14ac:dyDescent="0.3">
      <c r="A175" t="s">
        <v>2784</v>
      </c>
      <c r="B175" s="13">
        <v>45680</v>
      </c>
      <c r="C175">
        <v>2025</v>
      </c>
      <c r="D175">
        <v>1</v>
      </c>
      <c r="E175" t="s">
        <v>2571</v>
      </c>
      <c r="F175" t="s">
        <v>2572</v>
      </c>
      <c r="G175" t="s">
        <v>1963</v>
      </c>
      <c r="H175" t="s">
        <v>1964</v>
      </c>
      <c r="I175" t="s">
        <v>87</v>
      </c>
      <c r="J175">
        <v>37</v>
      </c>
      <c r="K175" t="s">
        <v>82</v>
      </c>
      <c r="L175" t="s">
        <v>59</v>
      </c>
      <c r="M175" t="s">
        <v>59</v>
      </c>
      <c r="N175" t="s">
        <v>2647</v>
      </c>
      <c r="O175" t="s">
        <v>133</v>
      </c>
      <c r="P175" t="s">
        <v>50</v>
      </c>
      <c r="Q175" t="s">
        <v>145</v>
      </c>
      <c r="R175">
        <v>1</v>
      </c>
      <c r="S175">
        <v>799</v>
      </c>
      <c r="T175">
        <v>0</v>
      </c>
      <c r="U175">
        <v>0</v>
      </c>
      <c r="V175">
        <v>0</v>
      </c>
      <c r="W175">
        <v>0</v>
      </c>
      <c r="X175" t="s">
        <v>77</v>
      </c>
      <c r="Y175" t="s">
        <v>71</v>
      </c>
      <c r="Z175" t="s">
        <v>158</v>
      </c>
      <c r="AA175" t="s">
        <v>171</v>
      </c>
      <c r="AB175">
        <v>3.4</v>
      </c>
      <c r="AC175">
        <v>50</v>
      </c>
      <c r="AD175">
        <v>25.4</v>
      </c>
      <c r="AE175">
        <f t="shared" si="4"/>
        <v>-75.400000000000006</v>
      </c>
      <c r="AF175" t="str">
        <f t="shared" si="5"/>
        <v>2025-01</v>
      </c>
      <c r="AG175">
        <f>SUBTOTAL(103,A175)</f>
        <v>1</v>
      </c>
    </row>
    <row r="176" spans="1:33" x14ac:dyDescent="0.3">
      <c r="A176" t="s">
        <v>2785</v>
      </c>
      <c r="B176" s="13">
        <v>45680</v>
      </c>
      <c r="C176">
        <v>2025</v>
      </c>
      <c r="D176">
        <v>1</v>
      </c>
      <c r="E176" t="s">
        <v>2571</v>
      </c>
      <c r="F176" t="s">
        <v>2572</v>
      </c>
      <c r="G176" t="s">
        <v>1235</v>
      </c>
      <c r="H176" t="s">
        <v>1236</v>
      </c>
      <c r="I176" t="s">
        <v>85</v>
      </c>
      <c r="J176">
        <v>48</v>
      </c>
      <c r="K176" t="s">
        <v>83</v>
      </c>
      <c r="L176" t="s">
        <v>91</v>
      </c>
      <c r="M176" t="s">
        <v>55</v>
      </c>
      <c r="N176" t="s">
        <v>2594</v>
      </c>
      <c r="O176" t="s">
        <v>131</v>
      </c>
      <c r="P176" t="s">
        <v>53</v>
      </c>
      <c r="Q176" t="s">
        <v>143</v>
      </c>
      <c r="R176">
        <v>1</v>
      </c>
      <c r="S176">
        <v>999</v>
      </c>
      <c r="T176">
        <v>0.05</v>
      </c>
      <c r="U176">
        <v>949.05</v>
      </c>
      <c r="V176">
        <v>520</v>
      </c>
      <c r="W176">
        <v>429.05</v>
      </c>
      <c r="X176" t="s">
        <v>75</v>
      </c>
      <c r="Y176" t="s">
        <v>68</v>
      </c>
      <c r="Z176" t="s">
        <v>158</v>
      </c>
      <c r="AA176" t="s">
        <v>167</v>
      </c>
      <c r="AB176">
        <v>3.2</v>
      </c>
      <c r="AC176">
        <v>80</v>
      </c>
      <c r="AD176">
        <v>47.12</v>
      </c>
      <c r="AE176">
        <f t="shared" si="4"/>
        <v>301.93</v>
      </c>
      <c r="AF176" t="str">
        <f t="shared" si="5"/>
        <v>2025-01</v>
      </c>
      <c r="AG176">
        <f>SUBTOTAL(103,A176)</f>
        <v>1</v>
      </c>
    </row>
    <row r="177" spans="1:33" x14ac:dyDescent="0.3">
      <c r="A177" t="s">
        <v>2786</v>
      </c>
      <c r="B177" s="13">
        <v>45680</v>
      </c>
      <c r="C177">
        <v>2025</v>
      </c>
      <c r="D177">
        <v>1</v>
      </c>
      <c r="E177" t="s">
        <v>2571</v>
      </c>
      <c r="F177" t="s">
        <v>2572</v>
      </c>
      <c r="G177" t="s">
        <v>2325</v>
      </c>
      <c r="H177" t="s">
        <v>2326</v>
      </c>
      <c r="I177" t="s">
        <v>85</v>
      </c>
      <c r="J177">
        <v>27</v>
      </c>
      <c r="K177" t="s">
        <v>81</v>
      </c>
      <c r="L177" t="s">
        <v>100</v>
      </c>
      <c r="M177" t="s">
        <v>56</v>
      </c>
      <c r="N177" t="s">
        <v>2644</v>
      </c>
      <c r="O177" t="s">
        <v>126</v>
      </c>
      <c r="P177" t="s">
        <v>50</v>
      </c>
      <c r="Q177" t="s">
        <v>145</v>
      </c>
      <c r="R177">
        <v>3</v>
      </c>
      <c r="S177">
        <v>1799</v>
      </c>
      <c r="T177">
        <v>0.2</v>
      </c>
      <c r="U177">
        <v>4317.6000000000004</v>
      </c>
      <c r="V177">
        <v>2850</v>
      </c>
      <c r="W177">
        <v>1467.6</v>
      </c>
      <c r="X177" t="s">
        <v>76</v>
      </c>
      <c r="Y177" t="s">
        <v>68</v>
      </c>
      <c r="Z177" t="s">
        <v>162</v>
      </c>
      <c r="AA177" t="s">
        <v>167</v>
      </c>
      <c r="AB177">
        <v>4.2</v>
      </c>
      <c r="AC177">
        <v>50</v>
      </c>
      <c r="AD177">
        <v>364.52</v>
      </c>
      <c r="AE177">
        <f t="shared" si="4"/>
        <v>1053.08</v>
      </c>
      <c r="AF177" t="str">
        <f t="shared" si="5"/>
        <v>2025-01</v>
      </c>
      <c r="AG177">
        <f>SUBTOTAL(103,A177)</f>
        <v>1</v>
      </c>
    </row>
    <row r="178" spans="1:33" x14ac:dyDescent="0.3">
      <c r="A178" t="s">
        <v>2787</v>
      </c>
      <c r="B178" s="13">
        <v>45681</v>
      </c>
      <c r="C178">
        <v>2025</v>
      </c>
      <c r="D178">
        <v>1</v>
      </c>
      <c r="E178" t="s">
        <v>2571</v>
      </c>
      <c r="F178" t="s">
        <v>2572</v>
      </c>
      <c r="G178" t="s">
        <v>2313</v>
      </c>
      <c r="H178" t="s">
        <v>2314</v>
      </c>
      <c r="I178" t="s">
        <v>85</v>
      </c>
      <c r="J178">
        <v>48</v>
      </c>
      <c r="K178" t="s">
        <v>83</v>
      </c>
      <c r="L178" t="s">
        <v>2674</v>
      </c>
      <c r="M178" t="s">
        <v>58</v>
      </c>
      <c r="N178" t="s">
        <v>2574</v>
      </c>
      <c r="O178" t="s">
        <v>130</v>
      </c>
      <c r="P178" t="s">
        <v>50</v>
      </c>
      <c r="Q178" t="s">
        <v>53</v>
      </c>
      <c r="R178">
        <v>2</v>
      </c>
      <c r="S178">
        <v>1199</v>
      </c>
      <c r="T178">
        <v>0.15</v>
      </c>
      <c r="U178">
        <v>2038.3</v>
      </c>
      <c r="V178">
        <v>1100</v>
      </c>
      <c r="W178">
        <v>938.3</v>
      </c>
      <c r="X178" t="s">
        <v>77</v>
      </c>
      <c r="Y178" t="s">
        <v>69</v>
      </c>
      <c r="Z178" t="s">
        <v>158</v>
      </c>
      <c r="AA178" t="s">
        <v>168</v>
      </c>
      <c r="AB178">
        <v>3.9</v>
      </c>
      <c r="AC178">
        <v>80</v>
      </c>
      <c r="AD178">
        <v>61.43</v>
      </c>
      <c r="AE178">
        <f t="shared" si="4"/>
        <v>796.87</v>
      </c>
      <c r="AF178" t="str">
        <f t="shared" si="5"/>
        <v>2025-01</v>
      </c>
      <c r="AG178">
        <f>SUBTOTAL(103,A178)</f>
        <v>1</v>
      </c>
    </row>
    <row r="179" spans="1:33" x14ac:dyDescent="0.3">
      <c r="A179" t="s">
        <v>2788</v>
      </c>
      <c r="B179" s="13">
        <v>45681</v>
      </c>
      <c r="C179">
        <v>2025</v>
      </c>
      <c r="D179">
        <v>1</v>
      </c>
      <c r="E179" t="s">
        <v>2571</v>
      </c>
      <c r="F179" t="s">
        <v>2572</v>
      </c>
      <c r="G179" t="s">
        <v>317</v>
      </c>
      <c r="H179" t="s">
        <v>318</v>
      </c>
      <c r="I179" t="s">
        <v>85</v>
      </c>
      <c r="J179">
        <v>56</v>
      </c>
      <c r="K179" t="s">
        <v>83</v>
      </c>
      <c r="L179" t="s">
        <v>97</v>
      </c>
      <c r="M179" t="s">
        <v>57</v>
      </c>
      <c r="N179" t="s">
        <v>2657</v>
      </c>
      <c r="O179" t="s">
        <v>134</v>
      </c>
      <c r="P179" t="s">
        <v>49</v>
      </c>
      <c r="Q179" t="s">
        <v>140</v>
      </c>
      <c r="R179">
        <v>2</v>
      </c>
      <c r="S179">
        <v>599</v>
      </c>
      <c r="T179">
        <v>0.05</v>
      </c>
      <c r="U179">
        <v>1138.0999999999999</v>
      </c>
      <c r="V179">
        <v>500</v>
      </c>
      <c r="W179">
        <v>638.1</v>
      </c>
      <c r="X179" t="s">
        <v>73</v>
      </c>
      <c r="Y179" t="s">
        <v>68</v>
      </c>
      <c r="Z179" t="s">
        <v>162</v>
      </c>
      <c r="AA179" t="s">
        <v>167</v>
      </c>
      <c r="AB179">
        <v>4.4000000000000004</v>
      </c>
      <c r="AC179">
        <v>60</v>
      </c>
      <c r="AD179">
        <v>36.82</v>
      </c>
      <c r="AE179">
        <f t="shared" si="4"/>
        <v>541.28</v>
      </c>
      <c r="AF179" t="str">
        <f t="shared" si="5"/>
        <v>2025-01</v>
      </c>
      <c r="AG179">
        <f>SUBTOTAL(103,A179)</f>
        <v>1</v>
      </c>
    </row>
    <row r="180" spans="1:33" x14ac:dyDescent="0.3">
      <c r="A180" t="s">
        <v>2789</v>
      </c>
      <c r="B180" s="13">
        <v>45681</v>
      </c>
      <c r="C180">
        <v>2025</v>
      </c>
      <c r="D180">
        <v>1</v>
      </c>
      <c r="E180" t="s">
        <v>2571</v>
      </c>
      <c r="F180" t="s">
        <v>2572</v>
      </c>
      <c r="G180" t="s">
        <v>969</v>
      </c>
      <c r="H180" t="s">
        <v>970</v>
      </c>
      <c r="I180" t="s">
        <v>85</v>
      </c>
      <c r="J180">
        <v>46</v>
      </c>
      <c r="K180" t="s">
        <v>83</v>
      </c>
      <c r="L180" t="s">
        <v>2599</v>
      </c>
      <c r="M180" t="s">
        <v>62</v>
      </c>
      <c r="N180" t="s">
        <v>2580</v>
      </c>
      <c r="O180" t="s">
        <v>118</v>
      </c>
      <c r="P180" t="s">
        <v>48</v>
      </c>
      <c r="Q180" t="s">
        <v>142</v>
      </c>
      <c r="R180">
        <v>4</v>
      </c>
      <c r="S180">
        <v>3999</v>
      </c>
      <c r="T180">
        <v>0.15</v>
      </c>
      <c r="U180">
        <v>13596.6</v>
      </c>
      <c r="V180">
        <v>9600</v>
      </c>
      <c r="W180">
        <v>3996.6</v>
      </c>
      <c r="X180" t="s">
        <v>73</v>
      </c>
      <c r="Y180" t="s">
        <v>68</v>
      </c>
      <c r="Z180" t="s">
        <v>158</v>
      </c>
      <c r="AA180" t="s">
        <v>167</v>
      </c>
      <c r="AB180">
        <v>5</v>
      </c>
      <c r="AC180">
        <v>60</v>
      </c>
      <c r="AD180">
        <v>1137.97</v>
      </c>
      <c r="AE180">
        <f t="shared" si="4"/>
        <v>2798.63</v>
      </c>
      <c r="AF180" t="str">
        <f t="shared" si="5"/>
        <v>2025-01</v>
      </c>
      <c r="AG180">
        <f>SUBTOTAL(103,A180)</f>
        <v>1</v>
      </c>
    </row>
    <row r="181" spans="1:33" x14ac:dyDescent="0.3">
      <c r="A181" t="s">
        <v>2790</v>
      </c>
      <c r="B181" s="13">
        <v>45681</v>
      </c>
      <c r="C181">
        <v>2025</v>
      </c>
      <c r="D181">
        <v>1</v>
      </c>
      <c r="E181" t="s">
        <v>2571</v>
      </c>
      <c r="F181" t="s">
        <v>2572</v>
      </c>
      <c r="G181" t="s">
        <v>1107</v>
      </c>
      <c r="H181" t="s">
        <v>1108</v>
      </c>
      <c r="I181" t="s">
        <v>85</v>
      </c>
      <c r="J181">
        <v>54</v>
      </c>
      <c r="K181" t="s">
        <v>83</v>
      </c>
      <c r="L181" t="s">
        <v>2661</v>
      </c>
      <c r="M181" t="s">
        <v>58</v>
      </c>
      <c r="N181" t="s">
        <v>2657</v>
      </c>
      <c r="O181" t="s">
        <v>134</v>
      </c>
      <c r="P181" t="s">
        <v>49</v>
      </c>
      <c r="Q181" t="s">
        <v>140</v>
      </c>
      <c r="R181">
        <v>1</v>
      </c>
      <c r="S181">
        <v>599</v>
      </c>
      <c r="T181">
        <v>0.05</v>
      </c>
      <c r="U181">
        <v>569.04999999999995</v>
      </c>
      <c r="V181">
        <v>250</v>
      </c>
      <c r="W181">
        <v>319.05</v>
      </c>
      <c r="X181" t="s">
        <v>75</v>
      </c>
      <c r="Y181" t="s">
        <v>68</v>
      </c>
      <c r="Z181" t="s">
        <v>163</v>
      </c>
      <c r="AA181" t="s">
        <v>166</v>
      </c>
      <c r="AB181">
        <v>3.3</v>
      </c>
      <c r="AC181">
        <v>60</v>
      </c>
      <c r="AD181">
        <v>20</v>
      </c>
      <c r="AE181">
        <f t="shared" si="4"/>
        <v>239.05</v>
      </c>
      <c r="AF181" t="str">
        <f t="shared" si="5"/>
        <v>2025-01</v>
      </c>
      <c r="AG181">
        <f>SUBTOTAL(103,A181)</f>
        <v>1</v>
      </c>
    </row>
    <row r="182" spans="1:33" x14ac:dyDescent="0.3">
      <c r="A182" t="s">
        <v>2791</v>
      </c>
      <c r="B182" s="13">
        <v>45681</v>
      </c>
      <c r="C182">
        <v>2025</v>
      </c>
      <c r="D182">
        <v>1</v>
      </c>
      <c r="E182" t="s">
        <v>2571</v>
      </c>
      <c r="F182" t="s">
        <v>2572</v>
      </c>
      <c r="G182" t="s">
        <v>1745</v>
      </c>
      <c r="H182" t="s">
        <v>1746</v>
      </c>
      <c r="I182" t="s">
        <v>87</v>
      </c>
      <c r="J182">
        <v>23</v>
      </c>
      <c r="K182" t="s">
        <v>80</v>
      </c>
      <c r="L182" t="s">
        <v>97</v>
      </c>
      <c r="M182" t="s">
        <v>57</v>
      </c>
      <c r="N182" t="s">
        <v>2584</v>
      </c>
      <c r="O182" t="s">
        <v>121</v>
      </c>
      <c r="P182" t="s">
        <v>50</v>
      </c>
      <c r="Q182" t="s">
        <v>144</v>
      </c>
      <c r="R182">
        <v>2</v>
      </c>
      <c r="S182">
        <v>2999</v>
      </c>
      <c r="T182">
        <v>0</v>
      </c>
      <c r="U182">
        <v>0</v>
      </c>
      <c r="V182">
        <v>0</v>
      </c>
      <c r="W182">
        <v>0</v>
      </c>
      <c r="X182" t="s">
        <v>75</v>
      </c>
      <c r="Y182" t="s">
        <v>71</v>
      </c>
      <c r="Z182" t="s">
        <v>160</v>
      </c>
      <c r="AA182" t="s">
        <v>170</v>
      </c>
      <c r="AB182">
        <v>5</v>
      </c>
      <c r="AC182">
        <v>80</v>
      </c>
      <c r="AD182">
        <v>477.92</v>
      </c>
      <c r="AE182">
        <f t="shared" si="4"/>
        <v>-557.92000000000007</v>
      </c>
      <c r="AF182" t="str">
        <f t="shared" si="5"/>
        <v>2025-01</v>
      </c>
      <c r="AG182">
        <f>SUBTOTAL(103,A182)</f>
        <v>1</v>
      </c>
    </row>
    <row r="183" spans="1:33" x14ac:dyDescent="0.3">
      <c r="A183" t="s">
        <v>2792</v>
      </c>
      <c r="B183" s="13">
        <v>45681</v>
      </c>
      <c r="C183">
        <v>2025</v>
      </c>
      <c r="D183">
        <v>1</v>
      </c>
      <c r="E183" t="s">
        <v>2571</v>
      </c>
      <c r="F183" t="s">
        <v>2572</v>
      </c>
      <c r="G183" t="s">
        <v>197</v>
      </c>
      <c r="H183" t="s">
        <v>198</v>
      </c>
      <c r="I183" t="s">
        <v>86</v>
      </c>
      <c r="J183">
        <v>57</v>
      </c>
      <c r="K183" t="s">
        <v>83</v>
      </c>
      <c r="L183" t="s">
        <v>2690</v>
      </c>
      <c r="M183" t="s">
        <v>63</v>
      </c>
      <c r="N183" t="s">
        <v>2630</v>
      </c>
      <c r="O183" t="s">
        <v>123</v>
      </c>
      <c r="P183" t="s">
        <v>52</v>
      </c>
      <c r="Q183" t="s">
        <v>146</v>
      </c>
      <c r="R183">
        <v>1</v>
      </c>
      <c r="S183">
        <v>2499</v>
      </c>
      <c r="T183">
        <v>0</v>
      </c>
      <c r="U183">
        <v>2499</v>
      </c>
      <c r="V183">
        <v>1400</v>
      </c>
      <c r="W183">
        <v>1099</v>
      </c>
      <c r="X183" t="s">
        <v>73</v>
      </c>
      <c r="Y183" t="s">
        <v>68</v>
      </c>
      <c r="Z183" t="s">
        <v>159</v>
      </c>
      <c r="AA183" t="s">
        <v>169</v>
      </c>
      <c r="AB183">
        <v>3.9</v>
      </c>
      <c r="AC183">
        <v>40</v>
      </c>
      <c r="AD183">
        <v>89.69</v>
      </c>
      <c r="AE183">
        <f t="shared" si="4"/>
        <v>969.31</v>
      </c>
      <c r="AF183" t="str">
        <f t="shared" si="5"/>
        <v>2025-01</v>
      </c>
      <c r="AG183">
        <f>SUBTOTAL(103,A183)</f>
        <v>1</v>
      </c>
    </row>
    <row r="184" spans="1:33" x14ac:dyDescent="0.3">
      <c r="A184" t="s">
        <v>2793</v>
      </c>
      <c r="B184" s="13">
        <v>45681</v>
      </c>
      <c r="C184">
        <v>2025</v>
      </c>
      <c r="D184">
        <v>1</v>
      </c>
      <c r="E184" t="s">
        <v>2571</v>
      </c>
      <c r="F184" t="s">
        <v>2572</v>
      </c>
      <c r="G184" t="s">
        <v>261</v>
      </c>
      <c r="H184" t="s">
        <v>262</v>
      </c>
      <c r="I184" t="s">
        <v>85</v>
      </c>
      <c r="J184">
        <v>29</v>
      </c>
      <c r="K184" t="s">
        <v>81</v>
      </c>
      <c r="L184" t="s">
        <v>98</v>
      </c>
      <c r="M184" t="s">
        <v>55</v>
      </c>
      <c r="N184" t="s">
        <v>2574</v>
      </c>
      <c r="O184" t="s">
        <v>130</v>
      </c>
      <c r="P184" t="s">
        <v>50</v>
      </c>
      <c r="Q184" t="s">
        <v>53</v>
      </c>
      <c r="R184">
        <v>4</v>
      </c>
      <c r="S184">
        <v>1199</v>
      </c>
      <c r="T184">
        <v>0.15</v>
      </c>
      <c r="U184">
        <v>4076.6</v>
      </c>
      <c r="V184">
        <v>2200</v>
      </c>
      <c r="W184">
        <v>1876.6</v>
      </c>
      <c r="X184" t="s">
        <v>74</v>
      </c>
      <c r="Y184" t="s">
        <v>68</v>
      </c>
      <c r="Z184" t="s">
        <v>163</v>
      </c>
      <c r="AA184" t="s">
        <v>170</v>
      </c>
      <c r="AB184">
        <v>4.7</v>
      </c>
      <c r="AC184">
        <v>100</v>
      </c>
      <c r="AD184">
        <v>129.88999999999999</v>
      </c>
      <c r="AE184">
        <f t="shared" si="4"/>
        <v>1646.71</v>
      </c>
      <c r="AF184" t="str">
        <f t="shared" si="5"/>
        <v>2025-01</v>
      </c>
      <c r="AG184">
        <f>SUBTOTAL(103,A184)</f>
        <v>1</v>
      </c>
    </row>
    <row r="185" spans="1:33" x14ac:dyDescent="0.3">
      <c r="A185" t="s">
        <v>2794</v>
      </c>
      <c r="B185" s="13">
        <v>45682</v>
      </c>
      <c r="C185">
        <v>2025</v>
      </c>
      <c r="D185">
        <v>1</v>
      </c>
      <c r="E185" t="s">
        <v>2571</v>
      </c>
      <c r="F185" t="s">
        <v>2572</v>
      </c>
      <c r="G185" t="s">
        <v>1345</v>
      </c>
      <c r="H185" t="s">
        <v>1346</v>
      </c>
      <c r="I185" t="s">
        <v>85</v>
      </c>
      <c r="J185">
        <v>28</v>
      </c>
      <c r="K185" t="s">
        <v>81</v>
      </c>
      <c r="L185" t="s">
        <v>2646</v>
      </c>
      <c r="M185" t="s">
        <v>63</v>
      </c>
      <c r="N185" t="s">
        <v>2590</v>
      </c>
      <c r="O185" t="s">
        <v>127</v>
      </c>
      <c r="P185" t="s">
        <v>51</v>
      </c>
      <c r="Q185" t="s">
        <v>148</v>
      </c>
      <c r="R185">
        <v>2</v>
      </c>
      <c r="S185">
        <v>1599</v>
      </c>
      <c r="T185">
        <v>0.15</v>
      </c>
      <c r="U185">
        <v>2718.3</v>
      </c>
      <c r="V185">
        <v>1600</v>
      </c>
      <c r="W185">
        <v>1118.3</v>
      </c>
      <c r="X185" t="s">
        <v>76</v>
      </c>
      <c r="Y185" t="s">
        <v>69</v>
      </c>
      <c r="Z185" t="s">
        <v>161</v>
      </c>
      <c r="AA185" t="s">
        <v>168</v>
      </c>
      <c r="AB185">
        <v>4.9000000000000004</v>
      </c>
      <c r="AC185">
        <v>80</v>
      </c>
      <c r="AD185">
        <v>276.70999999999998</v>
      </c>
      <c r="AE185">
        <f t="shared" si="4"/>
        <v>761.58999999999992</v>
      </c>
      <c r="AF185" t="str">
        <f t="shared" si="5"/>
        <v>2025-01</v>
      </c>
      <c r="AG185">
        <f>SUBTOTAL(103,A185)</f>
        <v>1</v>
      </c>
    </row>
    <row r="186" spans="1:33" x14ac:dyDescent="0.3">
      <c r="A186" t="s">
        <v>2795</v>
      </c>
      <c r="B186" s="13">
        <v>45682</v>
      </c>
      <c r="C186">
        <v>2025</v>
      </c>
      <c r="D186">
        <v>1</v>
      </c>
      <c r="E186" t="s">
        <v>2571</v>
      </c>
      <c r="F186" t="s">
        <v>2572</v>
      </c>
      <c r="G186" t="s">
        <v>2317</v>
      </c>
      <c r="H186" t="s">
        <v>2318</v>
      </c>
      <c r="I186" t="s">
        <v>86</v>
      </c>
      <c r="J186">
        <v>22</v>
      </c>
      <c r="K186" t="s">
        <v>80</v>
      </c>
      <c r="L186" t="s">
        <v>2586</v>
      </c>
      <c r="M186" t="s">
        <v>62</v>
      </c>
      <c r="N186" t="s">
        <v>2657</v>
      </c>
      <c r="O186" t="s">
        <v>134</v>
      </c>
      <c r="P186" t="s">
        <v>49</v>
      </c>
      <c r="Q186" t="s">
        <v>140</v>
      </c>
      <c r="R186">
        <v>4</v>
      </c>
      <c r="S186">
        <v>599</v>
      </c>
      <c r="T186">
        <v>0.25</v>
      </c>
      <c r="U186">
        <v>1797</v>
      </c>
      <c r="V186">
        <v>1000</v>
      </c>
      <c r="W186">
        <v>797</v>
      </c>
      <c r="X186" t="s">
        <v>73</v>
      </c>
      <c r="Y186" t="s">
        <v>68</v>
      </c>
      <c r="Z186" t="s">
        <v>163</v>
      </c>
      <c r="AA186" t="s">
        <v>170</v>
      </c>
      <c r="AB186">
        <v>5</v>
      </c>
      <c r="AC186">
        <v>50</v>
      </c>
      <c r="AD186">
        <v>193.21</v>
      </c>
      <c r="AE186">
        <f t="shared" si="4"/>
        <v>553.79</v>
      </c>
      <c r="AF186" t="str">
        <f t="shared" si="5"/>
        <v>2025-01</v>
      </c>
      <c r="AG186">
        <f>SUBTOTAL(103,A186)</f>
        <v>1</v>
      </c>
    </row>
    <row r="187" spans="1:33" x14ac:dyDescent="0.3">
      <c r="A187" t="s">
        <v>2796</v>
      </c>
      <c r="B187" s="13">
        <v>45682</v>
      </c>
      <c r="C187">
        <v>2025</v>
      </c>
      <c r="D187">
        <v>1</v>
      </c>
      <c r="E187" t="s">
        <v>2571</v>
      </c>
      <c r="F187" t="s">
        <v>2572</v>
      </c>
      <c r="G187" t="s">
        <v>321</v>
      </c>
      <c r="H187" t="s">
        <v>322</v>
      </c>
      <c r="I187" t="s">
        <v>85</v>
      </c>
      <c r="J187">
        <v>59</v>
      </c>
      <c r="K187" t="s">
        <v>83</v>
      </c>
      <c r="L187" t="s">
        <v>95</v>
      </c>
      <c r="M187" t="s">
        <v>56</v>
      </c>
      <c r="N187" t="s">
        <v>2657</v>
      </c>
      <c r="O187" t="s">
        <v>134</v>
      </c>
      <c r="P187" t="s">
        <v>49</v>
      </c>
      <c r="Q187" t="s">
        <v>140</v>
      </c>
      <c r="R187">
        <v>4</v>
      </c>
      <c r="S187">
        <v>599</v>
      </c>
      <c r="T187">
        <v>0.05</v>
      </c>
      <c r="U187">
        <v>2276.1999999999998</v>
      </c>
      <c r="V187">
        <v>1000</v>
      </c>
      <c r="W187">
        <v>1276.2</v>
      </c>
      <c r="X187" t="s">
        <v>76</v>
      </c>
      <c r="Y187" t="s">
        <v>68</v>
      </c>
      <c r="Z187" t="s">
        <v>160</v>
      </c>
      <c r="AA187" t="s">
        <v>168</v>
      </c>
      <c r="AB187">
        <v>4</v>
      </c>
      <c r="AC187">
        <v>60</v>
      </c>
      <c r="AD187">
        <v>155.41</v>
      </c>
      <c r="AE187">
        <f t="shared" si="4"/>
        <v>1060.79</v>
      </c>
      <c r="AF187" t="str">
        <f t="shared" si="5"/>
        <v>2025-01</v>
      </c>
      <c r="AG187">
        <f>SUBTOTAL(103,A187)</f>
        <v>1</v>
      </c>
    </row>
    <row r="188" spans="1:33" x14ac:dyDescent="0.3">
      <c r="A188" t="s">
        <v>2797</v>
      </c>
      <c r="B188" s="13">
        <v>45682</v>
      </c>
      <c r="C188">
        <v>2025</v>
      </c>
      <c r="D188">
        <v>1</v>
      </c>
      <c r="E188" t="s">
        <v>2571</v>
      </c>
      <c r="F188" t="s">
        <v>2572</v>
      </c>
      <c r="G188" t="s">
        <v>1313</v>
      </c>
      <c r="H188" t="s">
        <v>1314</v>
      </c>
      <c r="I188" t="s">
        <v>85</v>
      </c>
      <c r="J188">
        <v>48</v>
      </c>
      <c r="K188" t="s">
        <v>83</v>
      </c>
      <c r="L188" t="s">
        <v>2687</v>
      </c>
      <c r="M188" t="s">
        <v>57</v>
      </c>
      <c r="N188" t="s">
        <v>2577</v>
      </c>
      <c r="O188" t="s">
        <v>129</v>
      </c>
      <c r="P188" t="s">
        <v>49</v>
      </c>
      <c r="Q188" t="s">
        <v>149</v>
      </c>
      <c r="R188">
        <v>3</v>
      </c>
      <c r="S188">
        <v>1299</v>
      </c>
      <c r="T188">
        <v>0.15</v>
      </c>
      <c r="U188">
        <v>3312.45</v>
      </c>
      <c r="V188">
        <v>1950</v>
      </c>
      <c r="W188">
        <v>1362.45</v>
      </c>
      <c r="X188" t="s">
        <v>73</v>
      </c>
      <c r="Y188" t="s">
        <v>68</v>
      </c>
      <c r="Z188" t="s">
        <v>162</v>
      </c>
      <c r="AA188" t="s">
        <v>166</v>
      </c>
      <c r="AB188">
        <v>3.3</v>
      </c>
      <c r="AC188">
        <v>60</v>
      </c>
      <c r="AD188">
        <v>246.64</v>
      </c>
      <c r="AE188">
        <f t="shared" si="4"/>
        <v>1055.81</v>
      </c>
      <c r="AF188" t="str">
        <f t="shared" si="5"/>
        <v>2025-01</v>
      </c>
      <c r="AG188">
        <f>SUBTOTAL(103,A188)</f>
        <v>1</v>
      </c>
    </row>
    <row r="189" spans="1:33" x14ac:dyDescent="0.3">
      <c r="A189" t="s">
        <v>2798</v>
      </c>
      <c r="B189" s="13">
        <v>45682</v>
      </c>
      <c r="C189">
        <v>2025</v>
      </c>
      <c r="D189">
        <v>1</v>
      </c>
      <c r="E189" t="s">
        <v>2571</v>
      </c>
      <c r="F189" t="s">
        <v>2572</v>
      </c>
      <c r="G189" t="s">
        <v>719</v>
      </c>
      <c r="H189" t="s">
        <v>720</v>
      </c>
      <c r="I189" t="s">
        <v>86</v>
      </c>
      <c r="J189">
        <v>21</v>
      </c>
      <c r="K189" t="s">
        <v>80</v>
      </c>
      <c r="L189" t="s">
        <v>94</v>
      </c>
      <c r="M189" t="s">
        <v>57</v>
      </c>
      <c r="N189" t="s">
        <v>2644</v>
      </c>
      <c r="O189" t="s">
        <v>126</v>
      </c>
      <c r="P189" t="s">
        <v>50</v>
      </c>
      <c r="Q189" t="s">
        <v>145</v>
      </c>
      <c r="R189">
        <v>1</v>
      </c>
      <c r="S189">
        <v>1799</v>
      </c>
      <c r="T189">
        <v>0.15</v>
      </c>
      <c r="U189">
        <v>1529.15</v>
      </c>
      <c r="V189">
        <v>950</v>
      </c>
      <c r="W189">
        <v>579.15</v>
      </c>
      <c r="X189" t="s">
        <v>74</v>
      </c>
      <c r="Y189" t="s">
        <v>68</v>
      </c>
      <c r="Z189" t="s">
        <v>161</v>
      </c>
      <c r="AA189" t="s">
        <v>169</v>
      </c>
      <c r="AB189">
        <v>4.7</v>
      </c>
      <c r="AC189">
        <v>80</v>
      </c>
      <c r="AD189">
        <v>119.15</v>
      </c>
      <c r="AE189">
        <f t="shared" si="4"/>
        <v>380</v>
      </c>
      <c r="AF189" t="str">
        <f t="shared" si="5"/>
        <v>2025-01</v>
      </c>
      <c r="AG189">
        <f>SUBTOTAL(103,A189)</f>
        <v>1</v>
      </c>
    </row>
    <row r="190" spans="1:33" x14ac:dyDescent="0.3">
      <c r="A190" t="s">
        <v>2799</v>
      </c>
      <c r="B190" s="13">
        <v>45682</v>
      </c>
      <c r="C190">
        <v>2025</v>
      </c>
      <c r="D190">
        <v>1</v>
      </c>
      <c r="E190" t="s">
        <v>2571</v>
      </c>
      <c r="F190" t="s">
        <v>2572</v>
      </c>
      <c r="G190" t="s">
        <v>413</v>
      </c>
      <c r="H190" t="s">
        <v>414</v>
      </c>
      <c r="I190" t="s">
        <v>85</v>
      </c>
      <c r="J190">
        <v>20</v>
      </c>
      <c r="K190" t="s">
        <v>80</v>
      </c>
      <c r="L190" t="s">
        <v>2573</v>
      </c>
      <c r="M190" t="s">
        <v>63</v>
      </c>
      <c r="N190" t="s">
        <v>2580</v>
      </c>
      <c r="O190" t="s">
        <v>118</v>
      </c>
      <c r="P190" t="s">
        <v>48</v>
      </c>
      <c r="Q190" t="s">
        <v>142</v>
      </c>
      <c r="R190">
        <v>2</v>
      </c>
      <c r="S190">
        <v>3999</v>
      </c>
      <c r="T190">
        <v>0.1</v>
      </c>
      <c r="U190">
        <v>7198.2</v>
      </c>
      <c r="V190">
        <v>4800</v>
      </c>
      <c r="W190">
        <v>2398.1999999999998</v>
      </c>
      <c r="X190" t="s">
        <v>74</v>
      </c>
      <c r="Y190" t="s">
        <v>68</v>
      </c>
      <c r="Z190" t="s">
        <v>158</v>
      </c>
      <c r="AA190" t="s">
        <v>168</v>
      </c>
      <c r="AB190">
        <v>4.5999999999999996</v>
      </c>
      <c r="AC190">
        <v>40</v>
      </c>
      <c r="AD190">
        <v>353.32</v>
      </c>
      <c r="AE190">
        <f t="shared" si="4"/>
        <v>2004.8799999999999</v>
      </c>
      <c r="AF190" t="str">
        <f t="shared" si="5"/>
        <v>2025-01</v>
      </c>
      <c r="AG190">
        <f>SUBTOTAL(103,A190)</f>
        <v>1</v>
      </c>
    </row>
    <row r="191" spans="1:33" x14ac:dyDescent="0.3">
      <c r="A191" t="s">
        <v>2800</v>
      </c>
      <c r="B191" s="13">
        <v>45682</v>
      </c>
      <c r="C191">
        <v>2025</v>
      </c>
      <c r="D191">
        <v>1</v>
      </c>
      <c r="E191" t="s">
        <v>2571</v>
      </c>
      <c r="F191" t="s">
        <v>2572</v>
      </c>
      <c r="G191" t="s">
        <v>575</v>
      </c>
      <c r="H191" t="s">
        <v>576</v>
      </c>
      <c r="I191" t="s">
        <v>86</v>
      </c>
      <c r="J191">
        <v>40</v>
      </c>
      <c r="K191" t="s">
        <v>82</v>
      </c>
      <c r="L191" t="s">
        <v>100</v>
      </c>
      <c r="M191" t="s">
        <v>56</v>
      </c>
      <c r="N191" t="s">
        <v>2603</v>
      </c>
      <c r="O191" t="s">
        <v>122</v>
      </c>
      <c r="P191" t="s">
        <v>48</v>
      </c>
      <c r="Q191" t="s">
        <v>141</v>
      </c>
      <c r="R191">
        <v>2</v>
      </c>
      <c r="S191">
        <v>2499</v>
      </c>
      <c r="T191">
        <v>0.1</v>
      </c>
      <c r="U191">
        <v>4498.2</v>
      </c>
      <c r="V191">
        <v>2900</v>
      </c>
      <c r="W191">
        <v>1598.2</v>
      </c>
      <c r="X191" t="s">
        <v>74</v>
      </c>
      <c r="Y191" t="s">
        <v>68</v>
      </c>
      <c r="Z191" t="s">
        <v>158</v>
      </c>
      <c r="AA191" t="s">
        <v>168</v>
      </c>
      <c r="AB191">
        <v>3.6</v>
      </c>
      <c r="AC191">
        <v>60</v>
      </c>
      <c r="AD191">
        <v>472.5</v>
      </c>
      <c r="AE191">
        <f t="shared" si="4"/>
        <v>1065.7</v>
      </c>
      <c r="AF191" t="str">
        <f t="shared" si="5"/>
        <v>2025-01</v>
      </c>
      <c r="AG191">
        <f>SUBTOTAL(103,A191)</f>
        <v>1</v>
      </c>
    </row>
    <row r="192" spans="1:33" x14ac:dyDescent="0.3">
      <c r="A192" t="s">
        <v>2801</v>
      </c>
      <c r="B192" s="13">
        <v>45682</v>
      </c>
      <c r="C192">
        <v>2025</v>
      </c>
      <c r="D192">
        <v>1</v>
      </c>
      <c r="E192" t="s">
        <v>2571</v>
      </c>
      <c r="F192" t="s">
        <v>2572</v>
      </c>
      <c r="G192" t="s">
        <v>2473</v>
      </c>
      <c r="H192" t="s">
        <v>2474</v>
      </c>
      <c r="I192" t="s">
        <v>85</v>
      </c>
      <c r="J192">
        <v>29</v>
      </c>
      <c r="K192" t="s">
        <v>81</v>
      </c>
      <c r="L192" t="s">
        <v>2605</v>
      </c>
      <c r="M192" t="s">
        <v>60</v>
      </c>
      <c r="N192" t="s">
        <v>2596</v>
      </c>
      <c r="O192" t="s">
        <v>124</v>
      </c>
      <c r="P192" t="s">
        <v>51</v>
      </c>
      <c r="Q192" t="s">
        <v>147</v>
      </c>
      <c r="R192">
        <v>1</v>
      </c>
      <c r="S192">
        <v>2299</v>
      </c>
      <c r="T192">
        <v>0.15</v>
      </c>
      <c r="U192">
        <v>1954.15</v>
      </c>
      <c r="V192">
        <v>1200</v>
      </c>
      <c r="W192">
        <v>754.15</v>
      </c>
      <c r="X192" t="s">
        <v>74</v>
      </c>
      <c r="Y192" t="s">
        <v>68</v>
      </c>
      <c r="Z192" t="s">
        <v>160</v>
      </c>
      <c r="AA192" t="s">
        <v>168</v>
      </c>
      <c r="AB192">
        <v>4.7</v>
      </c>
      <c r="AC192">
        <v>50</v>
      </c>
      <c r="AD192">
        <v>206.29</v>
      </c>
      <c r="AE192">
        <f t="shared" si="4"/>
        <v>497.86</v>
      </c>
      <c r="AF192" t="str">
        <f t="shared" si="5"/>
        <v>2025-01</v>
      </c>
      <c r="AG192">
        <f>SUBTOTAL(103,A192)</f>
        <v>1</v>
      </c>
    </row>
    <row r="193" spans="1:33" x14ac:dyDescent="0.3">
      <c r="A193" t="s">
        <v>2802</v>
      </c>
      <c r="B193" s="13">
        <v>45682</v>
      </c>
      <c r="C193">
        <v>2025</v>
      </c>
      <c r="D193">
        <v>1</v>
      </c>
      <c r="E193" t="s">
        <v>2571</v>
      </c>
      <c r="F193" t="s">
        <v>2572</v>
      </c>
      <c r="G193" t="s">
        <v>2333</v>
      </c>
      <c r="H193" t="s">
        <v>2334</v>
      </c>
      <c r="I193" t="s">
        <v>86</v>
      </c>
      <c r="J193">
        <v>26</v>
      </c>
      <c r="K193" t="s">
        <v>81</v>
      </c>
      <c r="L193" t="s">
        <v>94</v>
      </c>
      <c r="M193" t="s">
        <v>57</v>
      </c>
      <c r="N193" t="s">
        <v>2647</v>
      </c>
      <c r="O193" t="s">
        <v>133</v>
      </c>
      <c r="P193" t="s">
        <v>50</v>
      </c>
      <c r="Q193" t="s">
        <v>145</v>
      </c>
      <c r="R193">
        <v>2</v>
      </c>
      <c r="S193">
        <v>799</v>
      </c>
      <c r="T193">
        <v>0.05</v>
      </c>
      <c r="U193">
        <v>1518.1</v>
      </c>
      <c r="V193">
        <v>780</v>
      </c>
      <c r="W193">
        <v>738.1</v>
      </c>
      <c r="X193" t="s">
        <v>76</v>
      </c>
      <c r="Y193" t="s">
        <v>68</v>
      </c>
      <c r="Z193" t="s">
        <v>162</v>
      </c>
      <c r="AA193" t="s">
        <v>166</v>
      </c>
      <c r="AB193">
        <v>4.4000000000000004</v>
      </c>
      <c r="AC193">
        <v>50</v>
      </c>
      <c r="AD193">
        <v>106</v>
      </c>
      <c r="AE193">
        <f t="shared" si="4"/>
        <v>582.1</v>
      </c>
      <c r="AF193" t="str">
        <f t="shared" si="5"/>
        <v>2025-01</v>
      </c>
      <c r="AG193">
        <f>SUBTOTAL(103,A193)</f>
        <v>1</v>
      </c>
    </row>
    <row r="194" spans="1:33" x14ac:dyDescent="0.3">
      <c r="A194" t="s">
        <v>2803</v>
      </c>
      <c r="B194" s="13">
        <v>45682</v>
      </c>
      <c r="C194">
        <v>2025</v>
      </c>
      <c r="D194">
        <v>1</v>
      </c>
      <c r="E194" t="s">
        <v>2571</v>
      </c>
      <c r="F194" t="s">
        <v>2572</v>
      </c>
      <c r="G194" t="s">
        <v>1611</v>
      </c>
      <c r="H194" t="s">
        <v>1612</v>
      </c>
      <c r="I194" t="s">
        <v>85</v>
      </c>
      <c r="J194">
        <v>56</v>
      </c>
      <c r="K194" t="s">
        <v>83</v>
      </c>
      <c r="L194" t="s">
        <v>2646</v>
      </c>
      <c r="M194" t="s">
        <v>63</v>
      </c>
      <c r="N194" t="s">
        <v>2606</v>
      </c>
      <c r="O194" t="s">
        <v>120</v>
      </c>
      <c r="P194" t="s">
        <v>49</v>
      </c>
      <c r="Q194" t="s">
        <v>140</v>
      </c>
      <c r="R194">
        <v>1</v>
      </c>
      <c r="S194">
        <v>2799</v>
      </c>
      <c r="T194">
        <v>0.1</v>
      </c>
      <c r="U194">
        <v>2519.1</v>
      </c>
      <c r="V194">
        <v>1650</v>
      </c>
      <c r="W194">
        <v>869.1</v>
      </c>
      <c r="X194" t="s">
        <v>73</v>
      </c>
      <c r="Y194" t="s">
        <v>68</v>
      </c>
      <c r="Z194" t="s">
        <v>159</v>
      </c>
      <c r="AA194" t="s">
        <v>166</v>
      </c>
      <c r="AB194">
        <v>3.8</v>
      </c>
      <c r="AC194">
        <v>60</v>
      </c>
      <c r="AD194">
        <v>203.88</v>
      </c>
      <c r="AE194">
        <f t="shared" ref="AE194:AE257" si="6">W194-AC194-AD194</f>
        <v>605.22</v>
      </c>
      <c r="AF194" t="str">
        <f t="shared" ref="AF194:AF257" si="7">C194&amp;"-"&amp;TEXT(D194,"00")</f>
        <v>2025-01</v>
      </c>
      <c r="AG194">
        <f>SUBTOTAL(103,A194)</f>
        <v>1</v>
      </c>
    </row>
    <row r="195" spans="1:33" x14ac:dyDescent="0.3">
      <c r="A195" t="s">
        <v>2804</v>
      </c>
      <c r="B195" s="13">
        <v>45683</v>
      </c>
      <c r="C195">
        <v>2025</v>
      </c>
      <c r="D195">
        <v>1</v>
      </c>
      <c r="E195" t="s">
        <v>2571</v>
      </c>
      <c r="F195" t="s">
        <v>2572</v>
      </c>
      <c r="G195" t="s">
        <v>509</v>
      </c>
      <c r="H195" t="s">
        <v>510</v>
      </c>
      <c r="I195" t="s">
        <v>87</v>
      </c>
      <c r="J195">
        <v>60</v>
      </c>
      <c r="K195" t="s">
        <v>83</v>
      </c>
      <c r="L195" t="s">
        <v>2576</v>
      </c>
      <c r="M195" t="s">
        <v>60</v>
      </c>
      <c r="N195" t="s">
        <v>2582</v>
      </c>
      <c r="O195" t="s">
        <v>119</v>
      </c>
      <c r="P195" t="s">
        <v>49</v>
      </c>
      <c r="Q195" t="s">
        <v>140</v>
      </c>
      <c r="R195">
        <v>2</v>
      </c>
      <c r="S195">
        <v>3499</v>
      </c>
      <c r="T195">
        <v>0.05</v>
      </c>
      <c r="U195">
        <v>6648.1</v>
      </c>
      <c r="V195">
        <v>4200</v>
      </c>
      <c r="W195">
        <v>2448.1</v>
      </c>
      <c r="X195" t="s">
        <v>76</v>
      </c>
      <c r="Y195" t="s">
        <v>68</v>
      </c>
      <c r="Z195" t="s">
        <v>160</v>
      </c>
      <c r="AA195" t="s">
        <v>168</v>
      </c>
      <c r="AB195">
        <v>4</v>
      </c>
      <c r="AC195">
        <v>80</v>
      </c>
      <c r="AD195">
        <v>345.45</v>
      </c>
      <c r="AE195">
        <f t="shared" si="6"/>
        <v>2022.6499999999999</v>
      </c>
      <c r="AF195" t="str">
        <f t="shared" si="7"/>
        <v>2025-01</v>
      </c>
      <c r="AG195">
        <f>SUBTOTAL(103,A195)</f>
        <v>1</v>
      </c>
    </row>
    <row r="196" spans="1:33" x14ac:dyDescent="0.3">
      <c r="A196" t="s">
        <v>2805</v>
      </c>
      <c r="B196" s="13">
        <v>45683</v>
      </c>
      <c r="C196">
        <v>2025</v>
      </c>
      <c r="D196">
        <v>1</v>
      </c>
      <c r="E196" t="s">
        <v>2571</v>
      </c>
      <c r="F196" t="s">
        <v>2572</v>
      </c>
      <c r="G196" t="s">
        <v>1399</v>
      </c>
      <c r="H196" t="s">
        <v>1400</v>
      </c>
      <c r="I196" t="s">
        <v>85</v>
      </c>
      <c r="J196">
        <v>34</v>
      </c>
      <c r="K196" t="s">
        <v>81</v>
      </c>
      <c r="L196" t="s">
        <v>93</v>
      </c>
      <c r="M196" t="s">
        <v>55</v>
      </c>
      <c r="N196" t="s">
        <v>2647</v>
      </c>
      <c r="O196" t="s">
        <v>133</v>
      </c>
      <c r="P196" t="s">
        <v>50</v>
      </c>
      <c r="Q196" t="s">
        <v>145</v>
      </c>
      <c r="R196">
        <v>3</v>
      </c>
      <c r="S196">
        <v>799</v>
      </c>
      <c r="T196">
        <v>0.05</v>
      </c>
      <c r="U196">
        <v>2277.15</v>
      </c>
      <c r="V196">
        <v>1170</v>
      </c>
      <c r="W196">
        <v>1107.1500000000001</v>
      </c>
      <c r="X196" t="s">
        <v>73</v>
      </c>
      <c r="Y196" t="s">
        <v>68</v>
      </c>
      <c r="Z196" t="s">
        <v>158</v>
      </c>
      <c r="AA196" t="s">
        <v>169</v>
      </c>
      <c r="AB196">
        <v>4.2</v>
      </c>
      <c r="AC196">
        <v>120</v>
      </c>
      <c r="AD196">
        <v>175.17</v>
      </c>
      <c r="AE196">
        <f t="shared" si="6"/>
        <v>811.98000000000013</v>
      </c>
      <c r="AF196" t="str">
        <f t="shared" si="7"/>
        <v>2025-01</v>
      </c>
      <c r="AG196">
        <f>SUBTOTAL(103,A196)</f>
        <v>1</v>
      </c>
    </row>
    <row r="197" spans="1:33" x14ac:dyDescent="0.3">
      <c r="A197" t="s">
        <v>2806</v>
      </c>
      <c r="B197" s="13">
        <v>45683</v>
      </c>
      <c r="C197">
        <v>2025</v>
      </c>
      <c r="D197">
        <v>1</v>
      </c>
      <c r="E197" t="s">
        <v>2571</v>
      </c>
      <c r="F197" t="s">
        <v>2572</v>
      </c>
      <c r="G197" t="s">
        <v>319</v>
      </c>
      <c r="H197" t="s">
        <v>320</v>
      </c>
      <c r="I197" t="s">
        <v>85</v>
      </c>
      <c r="J197">
        <v>31</v>
      </c>
      <c r="K197" t="s">
        <v>81</v>
      </c>
      <c r="L197" t="s">
        <v>96</v>
      </c>
      <c r="M197" t="s">
        <v>55</v>
      </c>
      <c r="N197" t="s">
        <v>2665</v>
      </c>
      <c r="O197" t="s">
        <v>128</v>
      </c>
      <c r="P197" t="s">
        <v>53</v>
      </c>
      <c r="Q197" t="s">
        <v>143</v>
      </c>
      <c r="R197">
        <v>2</v>
      </c>
      <c r="S197">
        <v>1499</v>
      </c>
      <c r="T197">
        <v>0.15</v>
      </c>
      <c r="U197">
        <v>2548.3000000000002</v>
      </c>
      <c r="V197">
        <v>1600</v>
      </c>
      <c r="W197">
        <v>948.3</v>
      </c>
      <c r="X197" t="s">
        <v>76</v>
      </c>
      <c r="Y197" t="s">
        <v>68</v>
      </c>
      <c r="Z197" t="s">
        <v>162</v>
      </c>
      <c r="AA197" t="s">
        <v>170</v>
      </c>
      <c r="AB197">
        <v>3.8</v>
      </c>
      <c r="AC197">
        <v>40</v>
      </c>
      <c r="AD197">
        <v>135.09</v>
      </c>
      <c r="AE197">
        <f t="shared" si="6"/>
        <v>773.20999999999992</v>
      </c>
      <c r="AF197" t="str">
        <f t="shared" si="7"/>
        <v>2025-01</v>
      </c>
      <c r="AG197">
        <f>SUBTOTAL(103,A197)</f>
        <v>1</v>
      </c>
    </row>
    <row r="198" spans="1:33" x14ac:dyDescent="0.3">
      <c r="A198" t="s">
        <v>2807</v>
      </c>
      <c r="B198" s="13">
        <v>45683</v>
      </c>
      <c r="C198">
        <v>2025</v>
      </c>
      <c r="D198">
        <v>1</v>
      </c>
      <c r="E198" t="s">
        <v>2571</v>
      </c>
      <c r="F198" t="s">
        <v>2572</v>
      </c>
      <c r="G198" t="s">
        <v>1059</v>
      </c>
      <c r="H198" t="s">
        <v>1060</v>
      </c>
      <c r="I198" t="s">
        <v>85</v>
      </c>
      <c r="J198">
        <v>31</v>
      </c>
      <c r="K198" t="s">
        <v>81</v>
      </c>
      <c r="L198" t="s">
        <v>98</v>
      </c>
      <c r="M198" t="s">
        <v>55</v>
      </c>
      <c r="N198" t="s">
        <v>2644</v>
      </c>
      <c r="O198" t="s">
        <v>126</v>
      </c>
      <c r="P198" t="s">
        <v>50</v>
      </c>
      <c r="Q198" t="s">
        <v>145</v>
      </c>
      <c r="R198">
        <v>4</v>
      </c>
      <c r="S198">
        <v>1799</v>
      </c>
      <c r="T198">
        <v>0.15</v>
      </c>
      <c r="U198">
        <v>6116.6</v>
      </c>
      <c r="V198">
        <v>3800</v>
      </c>
      <c r="W198">
        <v>2316.6</v>
      </c>
      <c r="X198" t="s">
        <v>74</v>
      </c>
      <c r="Y198" t="s">
        <v>68</v>
      </c>
      <c r="Z198" t="s">
        <v>163</v>
      </c>
      <c r="AA198" t="s">
        <v>166</v>
      </c>
      <c r="AB198">
        <v>4.8</v>
      </c>
      <c r="AC198">
        <v>80</v>
      </c>
      <c r="AD198">
        <v>259.20999999999998</v>
      </c>
      <c r="AE198">
        <f t="shared" si="6"/>
        <v>1977.3899999999999</v>
      </c>
      <c r="AF198" t="str">
        <f t="shared" si="7"/>
        <v>2025-01</v>
      </c>
      <c r="AG198">
        <f>SUBTOTAL(103,A198)</f>
        <v>1</v>
      </c>
    </row>
    <row r="199" spans="1:33" x14ac:dyDescent="0.3">
      <c r="A199" t="s">
        <v>2808</v>
      </c>
      <c r="B199" s="13">
        <v>45683</v>
      </c>
      <c r="C199">
        <v>2025</v>
      </c>
      <c r="D199">
        <v>1</v>
      </c>
      <c r="E199" t="s">
        <v>2571</v>
      </c>
      <c r="F199" t="s">
        <v>2572</v>
      </c>
      <c r="G199" t="s">
        <v>309</v>
      </c>
      <c r="H199" t="s">
        <v>310</v>
      </c>
      <c r="I199" t="s">
        <v>86</v>
      </c>
      <c r="J199">
        <v>22</v>
      </c>
      <c r="K199" t="s">
        <v>80</v>
      </c>
      <c r="L199" t="s">
        <v>2573</v>
      </c>
      <c r="M199" t="s">
        <v>63</v>
      </c>
      <c r="N199" t="s">
        <v>2592</v>
      </c>
      <c r="O199" t="s">
        <v>115</v>
      </c>
      <c r="P199" t="s">
        <v>48</v>
      </c>
      <c r="Q199" t="s">
        <v>137</v>
      </c>
      <c r="R199">
        <v>2</v>
      </c>
      <c r="S199">
        <v>12999</v>
      </c>
      <c r="T199">
        <v>0.15</v>
      </c>
      <c r="U199">
        <v>22098.3</v>
      </c>
      <c r="V199">
        <v>18000</v>
      </c>
      <c r="W199">
        <v>4098.3</v>
      </c>
      <c r="X199" t="s">
        <v>74</v>
      </c>
      <c r="Y199" t="s">
        <v>68</v>
      </c>
      <c r="Z199" t="s">
        <v>158</v>
      </c>
      <c r="AA199" t="s">
        <v>168</v>
      </c>
      <c r="AB199">
        <v>4.0999999999999996</v>
      </c>
      <c r="AC199">
        <v>80</v>
      </c>
      <c r="AD199">
        <v>1870.04</v>
      </c>
      <c r="AE199">
        <f t="shared" si="6"/>
        <v>2148.2600000000002</v>
      </c>
      <c r="AF199" t="str">
        <f t="shared" si="7"/>
        <v>2025-01</v>
      </c>
      <c r="AG199">
        <f>SUBTOTAL(103,A199)</f>
        <v>1</v>
      </c>
    </row>
    <row r="200" spans="1:33" x14ac:dyDescent="0.3">
      <c r="A200" t="s">
        <v>2809</v>
      </c>
      <c r="B200" s="13">
        <v>45683</v>
      </c>
      <c r="C200">
        <v>2025</v>
      </c>
      <c r="D200">
        <v>1</v>
      </c>
      <c r="E200" t="s">
        <v>2571</v>
      </c>
      <c r="F200" t="s">
        <v>2572</v>
      </c>
      <c r="G200" t="s">
        <v>905</v>
      </c>
      <c r="H200" t="s">
        <v>906</v>
      </c>
      <c r="I200" t="s">
        <v>85</v>
      </c>
      <c r="J200">
        <v>40</v>
      </c>
      <c r="K200" t="s">
        <v>82</v>
      </c>
      <c r="L200" t="s">
        <v>2616</v>
      </c>
      <c r="M200" t="s">
        <v>62</v>
      </c>
      <c r="N200" t="s">
        <v>2601</v>
      </c>
      <c r="O200" t="s">
        <v>117</v>
      </c>
      <c r="P200" t="s">
        <v>49</v>
      </c>
      <c r="Q200" t="s">
        <v>139</v>
      </c>
      <c r="R200">
        <v>1</v>
      </c>
      <c r="S200">
        <v>6999</v>
      </c>
      <c r="T200">
        <v>0.05</v>
      </c>
      <c r="U200">
        <v>6649.05</v>
      </c>
      <c r="V200">
        <v>4300</v>
      </c>
      <c r="W200">
        <v>2349.0500000000002</v>
      </c>
      <c r="X200" t="s">
        <v>76</v>
      </c>
      <c r="Y200" t="s">
        <v>68</v>
      </c>
      <c r="Z200" t="s">
        <v>161</v>
      </c>
      <c r="AA200" t="s">
        <v>170</v>
      </c>
      <c r="AB200">
        <v>3.8</v>
      </c>
      <c r="AC200">
        <v>40</v>
      </c>
      <c r="AD200">
        <v>598</v>
      </c>
      <c r="AE200">
        <f t="shared" si="6"/>
        <v>1711.0500000000002</v>
      </c>
      <c r="AF200" t="str">
        <f t="shared" si="7"/>
        <v>2025-01</v>
      </c>
      <c r="AG200">
        <f>SUBTOTAL(103,A200)</f>
        <v>1</v>
      </c>
    </row>
    <row r="201" spans="1:33" x14ac:dyDescent="0.3">
      <c r="A201" t="s">
        <v>2810</v>
      </c>
      <c r="B201" s="13">
        <v>45683</v>
      </c>
      <c r="C201">
        <v>2025</v>
      </c>
      <c r="D201">
        <v>1</v>
      </c>
      <c r="E201" t="s">
        <v>2571</v>
      </c>
      <c r="F201" t="s">
        <v>2572</v>
      </c>
      <c r="G201" t="s">
        <v>2221</v>
      </c>
      <c r="H201" t="s">
        <v>2222</v>
      </c>
      <c r="I201" t="s">
        <v>85</v>
      </c>
      <c r="J201">
        <v>52</v>
      </c>
      <c r="K201" t="s">
        <v>83</v>
      </c>
      <c r="L201" t="s">
        <v>2579</v>
      </c>
      <c r="M201" t="s">
        <v>56</v>
      </c>
      <c r="N201" t="s">
        <v>2594</v>
      </c>
      <c r="O201" t="s">
        <v>131</v>
      </c>
      <c r="P201" t="s">
        <v>53</v>
      </c>
      <c r="Q201" t="s">
        <v>143</v>
      </c>
      <c r="R201">
        <v>1</v>
      </c>
      <c r="S201">
        <v>999</v>
      </c>
      <c r="T201">
        <v>0.1</v>
      </c>
      <c r="U201">
        <v>899.1</v>
      </c>
      <c r="V201">
        <v>520</v>
      </c>
      <c r="W201">
        <v>379.1</v>
      </c>
      <c r="X201" t="s">
        <v>76</v>
      </c>
      <c r="Y201" t="s">
        <v>68</v>
      </c>
      <c r="Z201" t="s">
        <v>161</v>
      </c>
      <c r="AA201" t="s">
        <v>166</v>
      </c>
      <c r="AB201">
        <v>4.2</v>
      </c>
      <c r="AC201">
        <v>60</v>
      </c>
      <c r="AD201">
        <v>89.75</v>
      </c>
      <c r="AE201">
        <f t="shared" si="6"/>
        <v>229.35000000000002</v>
      </c>
      <c r="AF201" t="str">
        <f t="shared" si="7"/>
        <v>2025-01</v>
      </c>
      <c r="AG201">
        <f>SUBTOTAL(103,A201)</f>
        <v>1</v>
      </c>
    </row>
    <row r="202" spans="1:33" x14ac:dyDescent="0.3">
      <c r="A202" t="s">
        <v>2811</v>
      </c>
      <c r="B202" s="13">
        <v>45683</v>
      </c>
      <c r="C202">
        <v>2025</v>
      </c>
      <c r="D202">
        <v>1</v>
      </c>
      <c r="E202" t="s">
        <v>2571</v>
      </c>
      <c r="F202" t="s">
        <v>2572</v>
      </c>
      <c r="G202" t="s">
        <v>1083</v>
      </c>
      <c r="H202" t="s">
        <v>1084</v>
      </c>
      <c r="I202" t="s">
        <v>86</v>
      </c>
      <c r="J202">
        <v>39</v>
      </c>
      <c r="K202" t="s">
        <v>82</v>
      </c>
      <c r="L202" t="s">
        <v>99</v>
      </c>
      <c r="M202" t="s">
        <v>58</v>
      </c>
      <c r="N202" t="s">
        <v>2577</v>
      </c>
      <c r="O202" t="s">
        <v>129</v>
      </c>
      <c r="P202" t="s">
        <v>49</v>
      </c>
      <c r="Q202" t="s">
        <v>149</v>
      </c>
      <c r="R202">
        <v>1</v>
      </c>
      <c r="S202">
        <v>1299</v>
      </c>
      <c r="T202">
        <v>0.15</v>
      </c>
      <c r="U202">
        <v>1104.1500000000001</v>
      </c>
      <c r="V202">
        <v>650</v>
      </c>
      <c r="W202">
        <v>454.15</v>
      </c>
      <c r="X202" t="s">
        <v>74</v>
      </c>
      <c r="Y202" t="s">
        <v>68</v>
      </c>
      <c r="Z202" t="s">
        <v>159</v>
      </c>
      <c r="AA202" t="s">
        <v>167</v>
      </c>
      <c r="AB202">
        <v>3.4</v>
      </c>
      <c r="AC202">
        <v>40</v>
      </c>
      <c r="AD202">
        <v>86.28</v>
      </c>
      <c r="AE202">
        <f t="shared" si="6"/>
        <v>327.87</v>
      </c>
      <c r="AF202" t="str">
        <f t="shared" si="7"/>
        <v>2025-01</v>
      </c>
      <c r="AG202">
        <f>SUBTOTAL(103,A202)</f>
        <v>1</v>
      </c>
    </row>
    <row r="203" spans="1:33" x14ac:dyDescent="0.3">
      <c r="A203" t="s">
        <v>2812</v>
      </c>
      <c r="B203" s="13">
        <v>45683</v>
      </c>
      <c r="C203">
        <v>2025</v>
      </c>
      <c r="D203">
        <v>1</v>
      </c>
      <c r="E203" t="s">
        <v>2571</v>
      </c>
      <c r="F203" t="s">
        <v>2572</v>
      </c>
      <c r="G203" t="s">
        <v>513</v>
      </c>
      <c r="H203" t="s">
        <v>514</v>
      </c>
      <c r="I203" t="s">
        <v>85</v>
      </c>
      <c r="J203">
        <v>48</v>
      </c>
      <c r="K203" t="s">
        <v>83</v>
      </c>
      <c r="L203" t="s">
        <v>2616</v>
      </c>
      <c r="M203" t="s">
        <v>62</v>
      </c>
      <c r="N203" t="s">
        <v>2601</v>
      </c>
      <c r="O203" t="s">
        <v>117</v>
      </c>
      <c r="P203" t="s">
        <v>49</v>
      </c>
      <c r="Q203" t="s">
        <v>139</v>
      </c>
      <c r="R203">
        <v>2</v>
      </c>
      <c r="S203">
        <v>6999</v>
      </c>
      <c r="T203">
        <v>0.2</v>
      </c>
      <c r="U203">
        <v>11198.4</v>
      </c>
      <c r="V203">
        <v>8600</v>
      </c>
      <c r="W203">
        <v>2598.4</v>
      </c>
      <c r="X203" t="s">
        <v>76</v>
      </c>
      <c r="Y203" t="s">
        <v>68</v>
      </c>
      <c r="Z203" t="s">
        <v>159</v>
      </c>
      <c r="AA203" t="s">
        <v>166</v>
      </c>
      <c r="AB203">
        <v>2.1</v>
      </c>
      <c r="AC203">
        <v>50</v>
      </c>
      <c r="AD203">
        <v>1063.6400000000001</v>
      </c>
      <c r="AE203">
        <f t="shared" si="6"/>
        <v>1484.76</v>
      </c>
      <c r="AF203" t="str">
        <f t="shared" si="7"/>
        <v>2025-01</v>
      </c>
      <c r="AG203">
        <f>SUBTOTAL(103,A203)</f>
        <v>1</v>
      </c>
    </row>
    <row r="204" spans="1:33" x14ac:dyDescent="0.3">
      <c r="A204" t="s">
        <v>2813</v>
      </c>
      <c r="B204" s="13">
        <v>45683</v>
      </c>
      <c r="C204">
        <v>2025</v>
      </c>
      <c r="D204">
        <v>1</v>
      </c>
      <c r="E204" t="s">
        <v>2571</v>
      </c>
      <c r="F204" t="s">
        <v>2572</v>
      </c>
      <c r="G204" t="s">
        <v>789</v>
      </c>
      <c r="H204" t="s">
        <v>790</v>
      </c>
      <c r="I204" t="s">
        <v>85</v>
      </c>
      <c r="J204">
        <v>45</v>
      </c>
      <c r="K204" t="s">
        <v>82</v>
      </c>
      <c r="L204" t="s">
        <v>2661</v>
      </c>
      <c r="M204" t="s">
        <v>58</v>
      </c>
      <c r="N204" t="s">
        <v>2590</v>
      </c>
      <c r="O204" t="s">
        <v>127</v>
      </c>
      <c r="P204" t="s">
        <v>51</v>
      </c>
      <c r="Q204" t="s">
        <v>148</v>
      </c>
      <c r="R204">
        <v>1</v>
      </c>
      <c r="S204">
        <v>1599</v>
      </c>
      <c r="T204">
        <v>0.15</v>
      </c>
      <c r="U204">
        <v>1359.15</v>
      </c>
      <c r="V204">
        <v>800</v>
      </c>
      <c r="W204">
        <v>559.15</v>
      </c>
      <c r="X204" t="s">
        <v>74</v>
      </c>
      <c r="Y204" t="s">
        <v>68</v>
      </c>
      <c r="Z204" t="s">
        <v>160</v>
      </c>
      <c r="AA204" t="s">
        <v>170</v>
      </c>
      <c r="AB204">
        <v>4.2</v>
      </c>
      <c r="AC204">
        <v>60</v>
      </c>
      <c r="AD204">
        <v>48.87</v>
      </c>
      <c r="AE204">
        <f t="shared" si="6"/>
        <v>450.28</v>
      </c>
      <c r="AF204" t="str">
        <f t="shared" si="7"/>
        <v>2025-01</v>
      </c>
      <c r="AG204">
        <f>SUBTOTAL(103,A204)</f>
        <v>1</v>
      </c>
    </row>
    <row r="205" spans="1:33" x14ac:dyDescent="0.3">
      <c r="A205" t="s">
        <v>2814</v>
      </c>
      <c r="B205" s="13">
        <v>45684</v>
      </c>
      <c r="C205">
        <v>2025</v>
      </c>
      <c r="D205">
        <v>1</v>
      </c>
      <c r="E205" t="s">
        <v>2571</v>
      </c>
      <c r="F205" t="s">
        <v>2572</v>
      </c>
      <c r="G205" t="s">
        <v>573</v>
      </c>
      <c r="H205" t="s">
        <v>574</v>
      </c>
      <c r="I205" t="s">
        <v>85</v>
      </c>
      <c r="J205">
        <v>57</v>
      </c>
      <c r="K205" t="s">
        <v>83</v>
      </c>
      <c r="L205" t="s">
        <v>2623</v>
      </c>
      <c r="M205" t="s">
        <v>61</v>
      </c>
      <c r="N205" t="s">
        <v>2592</v>
      </c>
      <c r="O205" t="s">
        <v>115</v>
      </c>
      <c r="P205" t="s">
        <v>48</v>
      </c>
      <c r="Q205" t="s">
        <v>137</v>
      </c>
      <c r="R205">
        <v>1</v>
      </c>
      <c r="S205">
        <v>12999</v>
      </c>
      <c r="T205">
        <v>0.05</v>
      </c>
      <c r="U205">
        <v>12349.05</v>
      </c>
      <c r="V205">
        <v>9000</v>
      </c>
      <c r="W205">
        <v>3349.05</v>
      </c>
      <c r="X205" t="s">
        <v>77</v>
      </c>
      <c r="Y205" t="s">
        <v>68</v>
      </c>
      <c r="Z205" t="s">
        <v>160</v>
      </c>
      <c r="AA205" t="s">
        <v>166</v>
      </c>
      <c r="AB205">
        <v>3.5</v>
      </c>
      <c r="AC205">
        <v>100</v>
      </c>
      <c r="AD205">
        <v>793.2</v>
      </c>
      <c r="AE205">
        <f t="shared" si="6"/>
        <v>2455.8500000000004</v>
      </c>
      <c r="AF205" t="str">
        <f t="shared" si="7"/>
        <v>2025-01</v>
      </c>
      <c r="AG205">
        <f>SUBTOTAL(103,A205)</f>
        <v>1</v>
      </c>
    </row>
    <row r="206" spans="1:33" x14ac:dyDescent="0.3">
      <c r="A206" t="s">
        <v>2815</v>
      </c>
      <c r="B206" s="13">
        <v>45684</v>
      </c>
      <c r="C206">
        <v>2025</v>
      </c>
      <c r="D206">
        <v>1</v>
      </c>
      <c r="E206" t="s">
        <v>2571</v>
      </c>
      <c r="F206" t="s">
        <v>2572</v>
      </c>
      <c r="G206" t="s">
        <v>2079</v>
      </c>
      <c r="H206" t="s">
        <v>2080</v>
      </c>
      <c r="I206" t="s">
        <v>86</v>
      </c>
      <c r="J206">
        <v>56</v>
      </c>
      <c r="K206" t="s">
        <v>83</v>
      </c>
      <c r="L206" t="s">
        <v>93</v>
      </c>
      <c r="M206" t="s">
        <v>55</v>
      </c>
      <c r="N206" t="s">
        <v>2647</v>
      </c>
      <c r="O206" t="s">
        <v>133</v>
      </c>
      <c r="P206" t="s">
        <v>50</v>
      </c>
      <c r="Q206" t="s">
        <v>145</v>
      </c>
      <c r="R206">
        <v>2</v>
      </c>
      <c r="S206">
        <v>799</v>
      </c>
      <c r="T206">
        <v>0</v>
      </c>
      <c r="U206">
        <v>1598</v>
      </c>
      <c r="V206">
        <v>780</v>
      </c>
      <c r="W206">
        <v>818</v>
      </c>
      <c r="X206" t="s">
        <v>74</v>
      </c>
      <c r="Y206" t="s">
        <v>69</v>
      </c>
      <c r="Z206" t="s">
        <v>163</v>
      </c>
      <c r="AA206" t="s">
        <v>166</v>
      </c>
      <c r="AB206">
        <v>4.7</v>
      </c>
      <c r="AC206">
        <v>50</v>
      </c>
      <c r="AD206">
        <v>95.44</v>
      </c>
      <c r="AE206">
        <f t="shared" si="6"/>
        <v>672.56</v>
      </c>
      <c r="AF206" t="str">
        <f t="shared" si="7"/>
        <v>2025-01</v>
      </c>
      <c r="AG206">
        <f>SUBTOTAL(103,A206)</f>
        <v>1</v>
      </c>
    </row>
    <row r="207" spans="1:33" x14ac:dyDescent="0.3">
      <c r="A207" t="s">
        <v>2816</v>
      </c>
      <c r="B207" s="13">
        <v>45684</v>
      </c>
      <c r="C207">
        <v>2025</v>
      </c>
      <c r="D207">
        <v>1</v>
      </c>
      <c r="E207" t="s">
        <v>2571</v>
      </c>
      <c r="F207" t="s">
        <v>2572</v>
      </c>
      <c r="G207" t="s">
        <v>1397</v>
      </c>
      <c r="H207" t="s">
        <v>1398</v>
      </c>
      <c r="I207" t="s">
        <v>85</v>
      </c>
      <c r="J207">
        <v>43</v>
      </c>
      <c r="K207" t="s">
        <v>82</v>
      </c>
      <c r="L207" t="s">
        <v>2623</v>
      </c>
      <c r="M207" t="s">
        <v>61</v>
      </c>
      <c r="N207" t="s">
        <v>2584</v>
      </c>
      <c r="O207" t="s">
        <v>121</v>
      </c>
      <c r="P207" t="s">
        <v>50</v>
      </c>
      <c r="Q207" t="s">
        <v>144</v>
      </c>
      <c r="R207">
        <v>1</v>
      </c>
      <c r="S207">
        <v>2999</v>
      </c>
      <c r="T207">
        <v>0.25</v>
      </c>
      <c r="U207">
        <v>2249.25</v>
      </c>
      <c r="V207">
        <v>1700</v>
      </c>
      <c r="W207">
        <v>549.25</v>
      </c>
      <c r="X207" t="s">
        <v>75</v>
      </c>
      <c r="Y207" t="s">
        <v>68</v>
      </c>
      <c r="Z207" t="s">
        <v>162</v>
      </c>
      <c r="AA207" t="s">
        <v>166</v>
      </c>
      <c r="AB207">
        <v>4.3</v>
      </c>
      <c r="AC207">
        <v>80</v>
      </c>
      <c r="AD207">
        <v>246.49</v>
      </c>
      <c r="AE207">
        <f t="shared" si="6"/>
        <v>222.76</v>
      </c>
      <c r="AF207" t="str">
        <f t="shared" si="7"/>
        <v>2025-01</v>
      </c>
      <c r="AG207">
        <f>SUBTOTAL(103,A207)</f>
        <v>1</v>
      </c>
    </row>
    <row r="208" spans="1:33" x14ac:dyDescent="0.3">
      <c r="A208" t="s">
        <v>2817</v>
      </c>
      <c r="B208" s="13">
        <v>45684</v>
      </c>
      <c r="C208">
        <v>2025</v>
      </c>
      <c r="D208">
        <v>1</v>
      </c>
      <c r="E208" t="s">
        <v>2571</v>
      </c>
      <c r="F208" t="s">
        <v>2572</v>
      </c>
      <c r="G208" t="s">
        <v>413</v>
      </c>
      <c r="H208" t="s">
        <v>414</v>
      </c>
      <c r="I208" t="s">
        <v>85</v>
      </c>
      <c r="J208">
        <v>20</v>
      </c>
      <c r="K208" t="s">
        <v>80</v>
      </c>
      <c r="L208" t="s">
        <v>2573</v>
      </c>
      <c r="M208" t="s">
        <v>63</v>
      </c>
      <c r="N208" t="s">
        <v>2594</v>
      </c>
      <c r="O208" t="s">
        <v>131</v>
      </c>
      <c r="P208" t="s">
        <v>53</v>
      </c>
      <c r="Q208" t="s">
        <v>143</v>
      </c>
      <c r="R208">
        <v>2</v>
      </c>
      <c r="S208">
        <v>999</v>
      </c>
      <c r="T208">
        <v>0.2</v>
      </c>
      <c r="U208">
        <v>1598.4</v>
      </c>
      <c r="V208">
        <v>1040</v>
      </c>
      <c r="W208">
        <v>558.4</v>
      </c>
      <c r="X208" t="s">
        <v>76</v>
      </c>
      <c r="Y208" t="s">
        <v>68</v>
      </c>
      <c r="Z208" t="s">
        <v>159</v>
      </c>
      <c r="AA208" t="s">
        <v>169</v>
      </c>
      <c r="AB208">
        <v>3.1</v>
      </c>
      <c r="AC208">
        <v>80</v>
      </c>
      <c r="AD208">
        <v>99.62</v>
      </c>
      <c r="AE208">
        <f t="shared" si="6"/>
        <v>378.78</v>
      </c>
      <c r="AF208" t="str">
        <f t="shared" si="7"/>
        <v>2025-01</v>
      </c>
      <c r="AG208">
        <f>SUBTOTAL(103,A208)</f>
        <v>1</v>
      </c>
    </row>
    <row r="209" spans="1:33" x14ac:dyDescent="0.3">
      <c r="A209" t="s">
        <v>2818</v>
      </c>
      <c r="B209" s="13">
        <v>45684</v>
      </c>
      <c r="C209">
        <v>2025</v>
      </c>
      <c r="D209">
        <v>1</v>
      </c>
      <c r="E209" t="s">
        <v>2571</v>
      </c>
      <c r="F209" t="s">
        <v>2572</v>
      </c>
      <c r="G209" t="s">
        <v>953</v>
      </c>
      <c r="H209" t="s">
        <v>954</v>
      </c>
      <c r="I209" t="s">
        <v>86</v>
      </c>
      <c r="J209">
        <v>42</v>
      </c>
      <c r="K209" t="s">
        <v>82</v>
      </c>
      <c r="L209" t="s">
        <v>2687</v>
      </c>
      <c r="M209" t="s">
        <v>57</v>
      </c>
      <c r="N209" t="s">
        <v>2647</v>
      </c>
      <c r="O209" t="s">
        <v>133</v>
      </c>
      <c r="P209" t="s">
        <v>50</v>
      </c>
      <c r="Q209" t="s">
        <v>145</v>
      </c>
      <c r="R209">
        <v>1</v>
      </c>
      <c r="S209">
        <v>799</v>
      </c>
      <c r="T209">
        <v>0.2</v>
      </c>
      <c r="U209">
        <v>639.20000000000005</v>
      </c>
      <c r="V209">
        <v>390</v>
      </c>
      <c r="W209">
        <v>249.2</v>
      </c>
      <c r="X209" t="s">
        <v>73</v>
      </c>
      <c r="Y209" t="s">
        <v>68</v>
      </c>
      <c r="Z209" t="s">
        <v>162</v>
      </c>
      <c r="AA209" t="s">
        <v>168</v>
      </c>
      <c r="AB209">
        <v>4.9000000000000004</v>
      </c>
      <c r="AC209">
        <v>60</v>
      </c>
      <c r="AD209">
        <v>54.87</v>
      </c>
      <c r="AE209">
        <f t="shared" si="6"/>
        <v>134.32999999999998</v>
      </c>
      <c r="AF209" t="str">
        <f t="shared" si="7"/>
        <v>2025-01</v>
      </c>
      <c r="AG209">
        <f>SUBTOTAL(103,A209)</f>
        <v>1</v>
      </c>
    </row>
    <row r="210" spans="1:33" x14ac:dyDescent="0.3">
      <c r="A210" t="s">
        <v>2819</v>
      </c>
      <c r="B210" s="13">
        <v>45685</v>
      </c>
      <c r="C210">
        <v>2025</v>
      </c>
      <c r="D210">
        <v>1</v>
      </c>
      <c r="E210" t="s">
        <v>2571</v>
      </c>
      <c r="F210" t="s">
        <v>2572</v>
      </c>
      <c r="G210" t="s">
        <v>521</v>
      </c>
      <c r="H210" t="s">
        <v>522</v>
      </c>
      <c r="I210" t="s">
        <v>85</v>
      </c>
      <c r="J210">
        <v>36</v>
      </c>
      <c r="K210" t="s">
        <v>82</v>
      </c>
      <c r="L210" t="s">
        <v>96</v>
      </c>
      <c r="M210" t="s">
        <v>55</v>
      </c>
      <c r="N210" t="s">
        <v>2603</v>
      </c>
      <c r="O210" t="s">
        <v>122</v>
      </c>
      <c r="P210" t="s">
        <v>48</v>
      </c>
      <c r="Q210" t="s">
        <v>141</v>
      </c>
      <c r="R210">
        <v>2</v>
      </c>
      <c r="S210">
        <v>2499</v>
      </c>
      <c r="T210">
        <v>0.25</v>
      </c>
      <c r="U210">
        <v>3748.5</v>
      </c>
      <c r="V210">
        <v>2900</v>
      </c>
      <c r="W210">
        <v>848.5</v>
      </c>
      <c r="X210" t="s">
        <v>74</v>
      </c>
      <c r="Y210" t="s">
        <v>68</v>
      </c>
      <c r="Z210" t="s">
        <v>160</v>
      </c>
      <c r="AA210" t="s">
        <v>171</v>
      </c>
      <c r="AB210">
        <v>4.0999999999999996</v>
      </c>
      <c r="AC210">
        <v>40</v>
      </c>
      <c r="AD210">
        <v>124.95</v>
      </c>
      <c r="AE210">
        <f t="shared" si="6"/>
        <v>683.55</v>
      </c>
      <c r="AF210" t="str">
        <f t="shared" si="7"/>
        <v>2025-01</v>
      </c>
      <c r="AG210">
        <f>SUBTOTAL(103,A210)</f>
        <v>1</v>
      </c>
    </row>
    <row r="211" spans="1:33" x14ac:dyDescent="0.3">
      <c r="A211" t="s">
        <v>2820</v>
      </c>
      <c r="B211" s="13">
        <v>45685</v>
      </c>
      <c r="C211">
        <v>2025</v>
      </c>
      <c r="D211">
        <v>1</v>
      </c>
      <c r="E211" t="s">
        <v>2571</v>
      </c>
      <c r="F211" t="s">
        <v>2572</v>
      </c>
      <c r="G211" t="s">
        <v>1843</v>
      </c>
      <c r="H211" t="s">
        <v>1844</v>
      </c>
      <c r="I211" t="s">
        <v>87</v>
      </c>
      <c r="J211">
        <v>55</v>
      </c>
      <c r="K211" t="s">
        <v>83</v>
      </c>
      <c r="L211" t="s">
        <v>2610</v>
      </c>
      <c r="M211" t="s">
        <v>64</v>
      </c>
      <c r="N211" t="s">
        <v>2594</v>
      </c>
      <c r="O211" t="s">
        <v>131</v>
      </c>
      <c r="P211" t="s">
        <v>53</v>
      </c>
      <c r="Q211" t="s">
        <v>143</v>
      </c>
      <c r="R211">
        <v>2</v>
      </c>
      <c r="S211">
        <v>999</v>
      </c>
      <c r="T211">
        <v>0.05</v>
      </c>
      <c r="U211">
        <v>0</v>
      </c>
      <c r="V211">
        <v>0</v>
      </c>
      <c r="W211">
        <v>0</v>
      </c>
      <c r="X211" t="s">
        <v>76</v>
      </c>
      <c r="Y211" t="s">
        <v>71</v>
      </c>
      <c r="Z211" t="s">
        <v>161</v>
      </c>
      <c r="AA211" t="s">
        <v>168</v>
      </c>
      <c r="AB211">
        <v>2.8</v>
      </c>
      <c r="AC211">
        <v>50</v>
      </c>
      <c r="AD211">
        <v>191.41</v>
      </c>
      <c r="AE211">
        <f t="shared" si="6"/>
        <v>-241.41</v>
      </c>
      <c r="AF211" t="str">
        <f t="shared" si="7"/>
        <v>2025-01</v>
      </c>
      <c r="AG211">
        <f>SUBTOTAL(103,A211)</f>
        <v>1</v>
      </c>
    </row>
    <row r="212" spans="1:33" x14ac:dyDescent="0.3">
      <c r="A212" t="s">
        <v>2821</v>
      </c>
      <c r="B212" s="13">
        <v>45685</v>
      </c>
      <c r="C212">
        <v>2025</v>
      </c>
      <c r="D212">
        <v>1</v>
      </c>
      <c r="E212" t="s">
        <v>2571</v>
      </c>
      <c r="F212" t="s">
        <v>2572</v>
      </c>
      <c r="G212" t="s">
        <v>2337</v>
      </c>
      <c r="H212" t="s">
        <v>2338</v>
      </c>
      <c r="I212" t="s">
        <v>85</v>
      </c>
      <c r="J212">
        <v>21</v>
      </c>
      <c r="K212" t="s">
        <v>80</v>
      </c>
      <c r="L212" t="s">
        <v>97</v>
      </c>
      <c r="M212" t="s">
        <v>57</v>
      </c>
      <c r="N212" t="s">
        <v>2574</v>
      </c>
      <c r="O212" t="s">
        <v>130</v>
      </c>
      <c r="P212" t="s">
        <v>50</v>
      </c>
      <c r="Q212" t="s">
        <v>53</v>
      </c>
      <c r="R212">
        <v>2</v>
      </c>
      <c r="S212">
        <v>1199</v>
      </c>
      <c r="T212">
        <v>0.2</v>
      </c>
      <c r="U212">
        <v>1918.4</v>
      </c>
      <c r="V212">
        <v>1100</v>
      </c>
      <c r="W212">
        <v>818.4</v>
      </c>
      <c r="X212" t="s">
        <v>74</v>
      </c>
      <c r="Y212" t="s">
        <v>68</v>
      </c>
      <c r="Z212" t="s">
        <v>163</v>
      </c>
      <c r="AA212" t="s">
        <v>170</v>
      </c>
      <c r="AB212">
        <v>3.3</v>
      </c>
      <c r="AC212">
        <v>50</v>
      </c>
      <c r="AD212">
        <v>72.650000000000006</v>
      </c>
      <c r="AE212">
        <f t="shared" si="6"/>
        <v>695.75</v>
      </c>
      <c r="AF212" t="str">
        <f t="shared" si="7"/>
        <v>2025-01</v>
      </c>
      <c r="AG212">
        <f>SUBTOTAL(103,A212)</f>
        <v>1</v>
      </c>
    </row>
    <row r="213" spans="1:33" x14ac:dyDescent="0.3">
      <c r="A213" t="s">
        <v>2822</v>
      </c>
      <c r="B213" s="13">
        <v>45685</v>
      </c>
      <c r="C213">
        <v>2025</v>
      </c>
      <c r="D213">
        <v>1</v>
      </c>
      <c r="E213" t="s">
        <v>2571</v>
      </c>
      <c r="F213" t="s">
        <v>2572</v>
      </c>
      <c r="G213" t="s">
        <v>455</v>
      </c>
      <c r="H213" t="s">
        <v>456</v>
      </c>
      <c r="I213" t="s">
        <v>86</v>
      </c>
      <c r="J213">
        <v>18</v>
      </c>
      <c r="K213" t="s">
        <v>80</v>
      </c>
      <c r="L213" t="s">
        <v>97</v>
      </c>
      <c r="M213" t="s">
        <v>57</v>
      </c>
      <c r="N213" t="s">
        <v>2601</v>
      </c>
      <c r="O213" t="s">
        <v>117</v>
      </c>
      <c r="P213" t="s">
        <v>49</v>
      </c>
      <c r="Q213" t="s">
        <v>139</v>
      </c>
      <c r="R213">
        <v>1</v>
      </c>
      <c r="S213">
        <v>6999</v>
      </c>
      <c r="T213">
        <v>0.15</v>
      </c>
      <c r="U213">
        <v>5949.15</v>
      </c>
      <c r="V213">
        <v>4300</v>
      </c>
      <c r="W213">
        <v>1649.15</v>
      </c>
      <c r="X213" t="s">
        <v>73</v>
      </c>
      <c r="Y213" t="s">
        <v>68</v>
      </c>
      <c r="Z213" t="s">
        <v>158</v>
      </c>
      <c r="AA213" t="s">
        <v>169</v>
      </c>
      <c r="AB213">
        <v>3.2</v>
      </c>
      <c r="AC213">
        <v>80</v>
      </c>
      <c r="AD213">
        <v>632.21</v>
      </c>
      <c r="AE213">
        <f t="shared" si="6"/>
        <v>936.94</v>
      </c>
      <c r="AF213" t="str">
        <f t="shared" si="7"/>
        <v>2025-01</v>
      </c>
      <c r="AG213">
        <f>SUBTOTAL(103,A213)</f>
        <v>1</v>
      </c>
    </row>
    <row r="214" spans="1:33" x14ac:dyDescent="0.3">
      <c r="A214" t="s">
        <v>2823</v>
      </c>
      <c r="B214" s="13">
        <v>45685</v>
      </c>
      <c r="C214">
        <v>2025</v>
      </c>
      <c r="D214">
        <v>1</v>
      </c>
      <c r="E214" t="s">
        <v>2571</v>
      </c>
      <c r="F214" t="s">
        <v>2572</v>
      </c>
      <c r="G214" t="s">
        <v>1691</v>
      </c>
      <c r="H214" t="s">
        <v>1692</v>
      </c>
      <c r="I214" t="s">
        <v>85</v>
      </c>
      <c r="J214">
        <v>22</v>
      </c>
      <c r="K214" t="s">
        <v>80</v>
      </c>
      <c r="L214" t="s">
        <v>91</v>
      </c>
      <c r="M214" t="s">
        <v>55</v>
      </c>
      <c r="N214" t="s">
        <v>2630</v>
      </c>
      <c r="O214" t="s">
        <v>123</v>
      </c>
      <c r="P214" t="s">
        <v>52</v>
      </c>
      <c r="Q214" t="s">
        <v>146</v>
      </c>
      <c r="R214">
        <v>1</v>
      </c>
      <c r="S214">
        <v>2499</v>
      </c>
      <c r="T214">
        <v>0.05</v>
      </c>
      <c r="U214">
        <v>2374.0500000000002</v>
      </c>
      <c r="V214">
        <v>1400</v>
      </c>
      <c r="W214">
        <v>974.05</v>
      </c>
      <c r="X214" t="s">
        <v>76</v>
      </c>
      <c r="Y214" t="s">
        <v>69</v>
      </c>
      <c r="Z214" t="s">
        <v>160</v>
      </c>
      <c r="AA214" t="s">
        <v>170</v>
      </c>
      <c r="AB214">
        <v>4.2</v>
      </c>
      <c r="AC214">
        <v>50</v>
      </c>
      <c r="AD214">
        <v>121.14</v>
      </c>
      <c r="AE214">
        <f t="shared" si="6"/>
        <v>802.91</v>
      </c>
      <c r="AF214" t="str">
        <f t="shared" si="7"/>
        <v>2025-01</v>
      </c>
      <c r="AG214">
        <f>SUBTOTAL(103,A214)</f>
        <v>1</v>
      </c>
    </row>
    <row r="215" spans="1:33" x14ac:dyDescent="0.3">
      <c r="A215" t="s">
        <v>2824</v>
      </c>
      <c r="B215" s="13">
        <v>45685</v>
      </c>
      <c r="C215">
        <v>2025</v>
      </c>
      <c r="D215">
        <v>1</v>
      </c>
      <c r="E215" t="s">
        <v>2571</v>
      </c>
      <c r="F215" t="s">
        <v>2572</v>
      </c>
      <c r="G215" t="s">
        <v>1669</v>
      </c>
      <c r="H215" t="s">
        <v>1670</v>
      </c>
      <c r="I215" t="s">
        <v>86</v>
      </c>
      <c r="J215">
        <v>49</v>
      </c>
      <c r="K215" t="s">
        <v>83</v>
      </c>
      <c r="L215" t="s">
        <v>2605</v>
      </c>
      <c r="M215" t="s">
        <v>60</v>
      </c>
      <c r="N215" t="s">
        <v>2626</v>
      </c>
      <c r="O215" t="s">
        <v>125</v>
      </c>
      <c r="P215" t="s">
        <v>48</v>
      </c>
      <c r="Q215" t="s">
        <v>141</v>
      </c>
      <c r="R215">
        <v>2</v>
      </c>
      <c r="S215">
        <v>1999</v>
      </c>
      <c r="T215">
        <v>0.15</v>
      </c>
      <c r="U215">
        <v>3398.3</v>
      </c>
      <c r="V215">
        <v>2300</v>
      </c>
      <c r="W215">
        <v>1098.3</v>
      </c>
      <c r="X215" t="s">
        <v>76</v>
      </c>
      <c r="Y215" t="s">
        <v>68</v>
      </c>
      <c r="Z215" t="s">
        <v>161</v>
      </c>
      <c r="AA215" t="s">
        <v>166</v>
      </c>
      <c r="AB215">
        <v>3.8</v>
      </c>
      <c r="AC215">
        <v>40</v>
      </c>
      <c r="AD215">
        <v>177.74</v>
      </c>
      <c r="AE215">
        <f t="shared" si="6"/>
        <v>880.56</v>
      </c>
      <c r="AF215" t="str">
        <f t="shared" si="7"/>
        <v>2025-01</v>
      </c>
      <c r="AG215">
        <f>SUBTOTAL(103,A215)</f>
        <v>1</v>
      </c>
    </row>
    <row r="216" spans="1:33" x14ac:dyDescent="0.3">
      <c r="A216" t="s">
        <v>2825</v>
      </c>
      <c r="B216" s="13">
        <v>45686</v>
      </c>
      <c r="C216">
        <v>2025</v>
      </c>
      <c r="D216">
        <v>1</v>
      </c>
      <c r="E216" t="s">
        <v>2571</v>
      </c>
      <c r="F216" t="s">
        <v>2572</v>
      </c>
      <c r="G216" t="s">
        <v>441</v>
      </c>
      <c r="H216" t="s">
        <v>442</v>
      </c>
      <c r="I216" t="s">
        <v>85</v>
      </c>
      <c r="J216">
        <v>49</v>
      </c>
      <c r="K216" t="s">
        <v>83</v>
      </c>
      <c r="L216" t="s">
        <v>100</v>
      </c>
      <c r="M216" t="s">
        <v>56</v>
      </c>
      <c r="N216" t="s">
        <v>2626</v>
      </c>
      <c r="O216" t="s">
        <v>125</v>
      </c>
      <c r="P216" t="s">
        <v>48</v>
      </c>
      <c r="Q216" t="s">
        <v>141</v>
      </c>
      <c r="R216">
        <v>2</v>
      </c>
      <c r="S216">
        <v>1999</v>
      </c>
      <c r="T216">
        <v>0.2</v>
      </c>
      <c r="U216">
        <v>3198.4</v>
      </c>
      <c r="V216">
        <v>2300</v>
      </c>
      <c r="W216">
        <v>898.4</v>
      </c>
      <c r="X216" t="s">
        <v>74</v>
      </c>
      <c r="Y216" t="s">
        <v>68</v>
      </c>
      <c r="Z216" t="s">
        <v>159</v>
      </c>
      <c r="AA216" t="s">
        <v>166</v>
      </c>
      <c r="AB216">
        <v>4.0999999999999996</v>
      </c>
      <c r="AC216">
        <v>40</v>
      </c>
      <c r="AD216">
        <v>127.15</v>
      </c>
      <c r="AE216">
        <f t="shared" si="6"/>
        <v>731.25</v>
      </c>
      <c r="AF216" t="str">
        <f t="shared" si="7"/>
        <v>2025-01</v>
      </c>
      <c r="AG216">
        <f>SUBTOTAL(103,A216)</f>
        <v>1</v>
      </c>
    </row>
    <row r="217" spans="1:33" x14ac:dyDescent="0.3">
      <c r="A217" t="s">
        <v>2826</v>
      </c>
      <c r="B217" s="13">
        <v>45686</v>
      </c>
      <c r="C217">
        <v>2025</v>
      </c>
      <c r="D217">
        <v>1</v>
      </c>
      <c r="E217" t="s">
        <v>2571</v>
      </c>
      <c r="F217" t="s">
        <v>2572</v>
      </c>
      <c r="G217" t="s">
        <v>1421</v>
      </c>
      <c r="H217" t="s">
        <v>1422</v>
      </c>
      <c r="I217" t="s">
        <v>86</v>
      </c>
      <c r="J217">
        <v>57</v>
      </c>
      <c r="K217" t="s">
        <v>83</v>
      </c>
      <c r="L217" t="s">
        <v>91</v>
      </c>
      <c r="M217" t="s">
        <v>55</v>
      </c>
      <c r="N217" t="s">
        <v>2601</v>
      </c>
      <c r="O217" t="s">
        <v>117</v>
      </c>
      <c r="P217" t="s">
        <v>49</v>
      </c>
      <c r="Q217" t="s">
        <v>139</v>
      </c>
      <c r="R217">
        <v>1</v>
      </c>
      <c r="S217">
        <v>6999</v>
      </c>
      <c r="T217">
        <v>0.1</v>
      </c>
      <c r="U217">
        <v>6299.1</v>
      </c>
      <c r="V217">
        <v>4300</v>
      </c>
      <c r="W217">
        <v>1999.1</v>
      </c>
      <c r="X217" t="s">
        <v>73</v>
      </c>
      <c r="Y217" t="s">
        <v>69</v>
      </c>
      <c r="Z217" t="s">
        <v>160</v>
      </c>
      <c r="AA217" t="s">
        <v>166</v>
      </c>
      <c r="AB217">
        <v>3.7</v>
      </c>
      <c r="AC217">
        <v>60</v>
      </c>
      <c r="AD217">
        <v>351.42</v>
      </c>
      <c r="AE217">
        <f t="shared" si="6"/>
        <v>1587.6799999999998</v>
      </c>
      <c r="AF217" t="str">
        <f t="shared" si="7"/>
        <v>2025-01</v>
      </c>
      <c r="AG217">
        <f>SUBTOTAL(103,A217)</f>
        <v>1</v>
      </c>
    </row>
    <row r="218" spans="1:33" x14ac:dyDescent="0.3">
      <c r="A218" t="s">
        <v>2827</v>
      </c>
      <c r="B218" s="13">
        <v>45686</v>
      </c>
      <c r="C218">
        <v>2025</v>
      </c>
      <c r="D218">
        <v>1</v>
      </c>
      <c r="E218" t="s">
        <v>2571</v>
      </c>
      <c r="F218" t="s">
        <v>2572</v>
      </c>
      <c r="G218" t="s">
        <v>989</v>
      </c>
      <c r="H218" t="s">
        <v>990</v>
      </c>
      <c r="I218" t="s">
        <v>86</v>
      </c>
      <c r="J218">
        <v>20</v>
      </c>
      <c r="K218" t="s">
        <v>80</v>
      </c>
      <c r="L218" t="s">
        <v>59</v>
      </c>
      <c r="M218" t="s">
        <v>59</v>
      </c>
      <c r="N218" t="s">
        <v>2601</v>
      </c>
      <c r="O218" t="s">
        <v>117</v>
      </c>
      <c r="P218" t="s">
        <v>49</v>
      </c>
      <c r="Q218" t="s">
        <v>139</v>
      </c>
      <c r="R218">
        <v>1</v>
      </c>
      <c r="S218">
        <v>6999</v>
      </c>
      <c r="T218">
        <v>0</v>
      </c>
      <c r="U218">
        <v>6999</v>
      </c>
      <c r="V218">
        <v>4300</v>
      </c>
      <c r="W218">
        <v>2699</v>
      </c>
      <c r="X218" t="s">
        <v>73</v>
      </c>
      <c r="Y218" t="s">
        <v>69</v>
      </c>
      <c r="Z218" t="s">
        <v>160</v>
      </c>
      <c r="AA218" t="s">
        <v>167</v>
      </c>
      <c r="AB218">
        <v>3.3</v>
      </c>
      <c r="AC218">
        <v>60</v>
      </c>
      <c r="AD218">
        <v>658.33</v>
      </c>
      <c r="AE218">
        <f t="shared" si="6"/>
        <v>1980.67</v>
      </c>
      <c r="AF218" t="str">
        <f t="shared" si="7"/>
        <v>2025-01</v>
      </c>
      <c r="AG218">
        <f>SUBTOTAL(103,A218)</f>
        <v>1</v>
      </c>
    </row>
    <row r="219" spans="1:33" x14ac:dyDescent="0.3">
      <c r="A219" t="s">
        <v>2828</v>
      </c>
      <c r="B219" s="13">
        <v>45686</v>
      </c>
      <c r="C219">
        <v>2025</v>
      </c>
      <c r="D219">
        <v>1</v>
      </c>
      <c r="E219" t="s">
        <v>2571</v>
      </c>
      <c r="F219" t="s">
        <v>2572</v>
      </c>
      <c r="G219" t="s">
        <v>1165</v>
      </c>
      <c r="H219" t="s">
        <v>1166</v>
      </c>
      <c r="I219" t="s">
        <v>86</v>
      </c>
      <c r="J219">
        <v>21</v>
      </c>
      <c r="K219" t="s">
        <v>80</v>
      </c>
      <c r="L219" t="s">
        <v>93</v>
      </c>
      <c r="M219" t="s">
        <v>55</v>
      </c>
      <c r="N219" t="s">
        <v>2580</v>
      </c>
      <c r="O219" t="s">
        <v>118</v>
      </c>
      <c r="P219" t="s">
        <v>48</v>
      </c>
      <c r="Q219" t="s">
        <v>142</v>
      </c>
      <c r="R219">
        <v>2</v>
      </c>
      <c r="S219">
        <v>3999</v>
      </c>
      <c r="T219">
        <v>0.1</v>
      </c>
      <c r="U219">
        <v>7198.2</v>
      </c>
      <c r="V219">
        <v>4800</v>
      </c>
      <c r="W219">
        <v>2398.1999999999998</v>
      </c>
      <c r="X219" t="s">
        <v>73</v>
      </c>
      <c r="Y219" t="s">
        <v>68</v>
      </c>
      <c r="Z219" t="s">
        <v>160</v>
      </c>
      <c r="AA219" t="s">
        <v>167</v>
      </c>
      <c r="AB219">
        <v>4.5999999999999996</v>
      </c>
      <c r="AC219">
        <v>60</v>
      </c>
      <c r="AD219">
        <v>390.12</v>
      </c>
      <c r="AE219">
        <f t="shared" si="6"/>
        <v>1948.08</v>
      </c>
      <c r="AF219" t="str">
        <f t="shared" si="7"/>
        <v>2025-01</v>
      </c>
      <c r="AG219">
        <f>SUBTOTAL(103,A219)</f>
        <v>1</v>
      </c>
    </row>
    <row r="220" spans="1:33" x14ac:dyDescent="0.3">
      <c r="A220" t="s">
        <v>2829</v>
      </c>
      <c r="B220" s="13">
        <v>45686</v>
      </c>
      <c r="C220">
        <v>2025</v>
      </c>
      <c r="D220">
        <v>1</v>
      </c>
      <c r="E220" t="s">
        <v>2571</v>
      </c>
      <c r="F220" t="s">
        <v>2572</v>
      </c>
      <c r="G220" t="s">
        <v>1217</v>
      </c>
      <c r="H220" t="s">
        <v>1218</v>
      </c>
      <c r="I220" t="s">
        <v>85</v>
      </c>
      <c r="J220">
        <v>46</v>
      </c>
      <c r="K220" t="s">
        <v>83</v>
      </c>
      <c r="L220" t="s">
        <v>95</v>
      </c>
      <c r="M220" t="s">
        <v>56</v>
      </c>
      <c r="N220" t="s">
        <v>2644</v>
      </c>
      <c r="O220" t="s">
        <v>126</v>
      </c>
      <c r="P220" t="s">
        <v>50</v>
      </c>
      <c r="Q220" t="s">
        <v>145</v>
      </c>
      <c r="R220">
        <v>1</v>
      </c>
      <c r="S220">
        <v>1799</v>
      </c>
      <c r="T220">
        <v>0.1</v>
      </c>
      <c r="U220">
        <v>1619.1</v>
      </c>
      <c r="V220">
        <v>950</v>
      </c>
      <c r="W220">
        <v>669.1</v>
      </c>
      <c r="X220" t="s">
        <v>75</v>
      </c>
      <c r="Y220" t="s">
        <v>68</v>
      </c>
      <c r="Z220" t="s">
        <v>159</v>
      </c>
      <c r="AA220" t="s">
        <v>166</v>
      </c>
      <c r="AB220">
        <v>5</v>
      </c>
      <c r="AC220">
        <v>60</v>
      </c>
      <c r="AD220">
        <v>119.71</v>
      </c>
      <c r="AE220">
        <f t="shared" si="6"/>
        <v>489.39000000000004</v>
      </c>
      <c r="AF220" t="str">
        <f t="shared" si="7"/>
        <v>2025-01</v>
      </c>
      <c r="AG220">
        <f>SUBTOTAL(103,A220)</f>
        <v>1</v>
      </c>
    </row>
    <row r="221" spans="1:33" x14ac:dyDescent="0.3">
      <c r="A221" t="s">
        <v>2830</v>
      </c>
      <c r="B221" s="13">
        <v>45686</v>
      </c>
      <c r="C221">
        <v>2025</v>
      </c>
      <c r="D221">
        <v>1</v>
      </c>
      <c r="E221" t="s">
        <v>2571</v>
      </c>
      <c r="F221" t="s">
        <v>2572</v>
      </c>
      <c r="G221" t="s">
        <v>1753</v>
      </c>
      <c r="H221" t="s">
        <v>1754</v>
      </c>
      <c r="I221" t="s">
        <v>85</v>
      </c>
      <c r="J221">
        <v>40</v>
      </c>
      <c r="K221" t="s">
        <v>82</v>
      </c>
      <c r="L221" t="s">
        <v>2634</v>
      </c>
      <c r="M221" t="s">
        <v>56</v>
      </c>
      <c r="N221" t="s">
        <v>2582</v>
      </c>
      <c r="O221" t="s">
        <v>119</v>
      </c>
      <c r="P221" t="s">
        <v>49</v>
      </c>
      <c r="Q221" t="s">
        <v>140</v>
      </c>
      <c r="R221">
        <v>2</v>
      </c>
      <c r="S221">
        <v>3499</v>
      </c>
      <c r="T221">
        <v>0.1</v>
      </c>
      <c r="U221">
        <v>6298.2</v>
      </c>
      <c r="V221">
        <v>4200</v>
      </c>
      <c r="W221">
        <v>2098.1999999999998</v>
      </c>
      <c r="X221" t="s">
        <v>73</v>
      </c>
      <c r="Y221" t="s">
        <v>68</v>
      </c>
      <c r="Z221" t="s">
        <v>158</v>
      </c>
      <c r="AA221" t="s">
        <v>166</v>
      </c>
      <c r="AB221">
        <v>4.3</v>
      </c>
      <c r="AC221">
        <v>80</v>
      </c>
      <c r="AD221">
        <v>199.12</v>
      </c>
      <c r="AE221">
        <f t="shared" si="6"/>
        <v>1819.08</v>
      </c>
      <c r="AF221" t="str">
        <f t="shared" si="7"/>
        <v>2025-01</v>
      </c>
      <c r="AG221">
        <f>SUBTOTAL(103,A221)</f>
        <v>1</v>
      </c>
    </row>
    <row r="222" spans="1:33" x14ac:dyDescent="0.3">
      <c r="A222" t="s">
        <v>2831</v>
      </c>
      <c r="B222" s="13">
        <v>45686</v>
      </c>
      <c r="C222">
        <v>2025</v>
      </c>
      <c r="D222">
        <v>1</v>
      </c>
      <c r="E222" t="s">
        <v>2571</v>
      </c>
      <c r="F222" t="s">
        <v>2572</v>
      </c>
      <c r="G222" t="s">
        <v>2179</v>
      </c>
      <c r="H222" t="s">
        <v>2180</v>
      </c>
      <c r="I222" t="s">
        <v>86</v>
      </c>
      <c r="J222">
        <v>22</v>
      </c>
      <c r="K222" t="s">
        <v>80</v>
      </c>
      <c r="L222" t="s">
        <v>100</v>
      </c>
      <c r="M222" t="s">
        <v>56</v>
      </c>
      <c r="N222" t="s">
        <v>2603</v>
      </c>
      <c r="O222" t="s">
        <v>122</v>
      </c>
      <c r="P222" t="s">
        <v>48</v>
      </c>
      <c r="Q222" t="s">
        <v>141</v>
      </c>
      <c r="R222">
        <v>1</v>
      </c>
      <c r="S222">
        <v>2499</v>
      </c>
      <c r="T222">
        <v>0</v>
      </c>
      <c r="U222">
        <v>2499</v>
      </c>
      <c r="V222">
        <v>1450</v>
      </c>
      <c r="W222">
        <v>1049</v>
      </c>
      <c r="X222" t="s">
        <v>73</v>
      </c>
      <c r="Y222" t="s">
        <v>68</v>
      </c>
      <c r="Z222" t="s">
        <v>159</v>
      </c>
      <c r="AA222" t="s">
        <v>168</v>
      </c>
      <c r="AB222">
        <v>3.4</v>
      </c>
      <c r="AC222">
        <v>100</v>
      </c>
      <c r="AD222">
        <v>163.07</v>
      </c>
      <c r="AE222">
        <f t="shared" si="6"/>
        <v>785.93000000000006</v>
      </c>
      <c r="AF222" t="str">
        <f t="shared" si="7"/>
        <v>2025-01</v>
      </c>
      <c r="AG222">
        <f>SUBTOTAL(103,A222)</f>
        <v>1</v>
      </c>
    </row>
    <row r="223" spans="1:33" x14ac:dyDescent="0.3">
      <c r="A223" t="s">
        <v>2832</v>
      </c>
      <c r="B223" s="13">
        <v>45686</v>
      </c>
      <c r="C223">
        <v>2025</v>
      </c>
      <c r="D223">
        <v>1</v>
      </c>
      <c r="E223" t="s">
        <v>2571</v>
      </c>
      <c r="F223" t="s">
        <v>2572</v>
      </c>
      <c r="G223" t="s">
        <v>2347</v>
      </c>
      <c r="H223" t="s">
        <v>2348</v>
      </c>
      <c r="I223" t="s">
        <v>85</v>
      </c>
      <c r="J223">
        <v>26</v>
      </c>
      <c r="K223" t="s">
        <v>81</v>
      </c>
      <c r="L223" t="s">
        <v>90</v>
      </c>
      <c r="M223" t="s">
        <v>55</v>
      </c>
      <c r="N223" t="s">
        <v>2574</v>
      </c>
      <c r="O223" t="s">
        <v>130</v>
      </c>
      <c r="P223" t="s">
        <v>50</v>
      </c>
      <c r="Q223" t="s">
        <v>53</v>
      </c>
      <c r="R223">
        <v>2</v>
      </c>
      <c r="S223">
        <v>1199</v>
      </c>
      <c r="T223">
        <v>0.15</v>
      </c>
      <c r="U223">
        <v>2038.3</v>
      </c>
      <c r="V223">
        <v>1100</v>
      </c>
      <c r="W223">
        <v>938.3</v>
      </c>
      <c r="X223" t="s">
        <v>73</v>
      </c>
      <c r="Y223" t="s">
        <v>69</v>
      </c>
      <c r="Z223" t="s">
        <v>158</v>
      </c>
      <c r="AA223" t="s">
        <v>167</v>
      </c>
      <c r="AB223">
        <v>4.5</v>
      </c>
      <c r="AC223">
        <v>80</v>
      </c>
      <c r="AD223">
        <v>156</v>
      </c>
      <c r="AE223">
        <f t="shared" si="6"/>
        <v>702.3</v>
      </c>
      <c r="AF223" t="str">
        <f t="shared" si="7"/>
        <v>2025-01</v>
      </c>
      <c r="AG223">
        <f>SUBTOTAL(103,A223)</f>
        <v>1</v>
      </c>
    </row>
    <row r="224" spans="1:33" x14ac:dyDescent="0.3">
      <c r="A224" t="s">
        <v>2833</v>
      </c>
      <c r="B224" s="13">
        <v>45686</v>
      </c>
      <c r="C224">
        <v>2025</v>
      </c>
      <c r="D224">
        <v>1</v>
      </c>
      <c r="E224" t="s">
        <v>2571</v>
      </c>
      <c r="F224" t="s">
        <v>2572</v>
      </c>
      <c r="G224" t="s">
        <v>1821</v>
      </c>
      <c r="H224" t="s">
        <v>1822</v>
      </c>
      <c r="I224" t="s">
        <v>85</v>
      </c>
      <c r="J224">
        <v>36</v>
      </c>
      <c r="K224" t="s">
        <v>82</v>
      </c>
      <c r="L224" t="s">
        <v>2623</v>
      </c>
      <c r="M224" t="s">
        <v>61</v>
      </c>
      <c r="N224" t="s">
        <v>2626</v>
      </c>
      <c r="O224" t="s">
        <v>125</v>
      </c>
      <c r="P224" t="s">
        <v>48</v>
      </c>
      <c r="Q224" t="s">
        <v>141</v>
      </c>
      <c r="R224">
        <v>3</v>
      </c>
      <c r="S224">
        <v>1999</v>
      </c>
      <c r="T224">
        <v>0.05</v>
      </c>
      <c r="U224">
        <v>5697.15</v>
      </c>
      <c r="V224">
        <v>3450</v>
      </c>
      <c r="W224">
        <v>2247.15</v>
      </c>
      <c r="X224" t="s">
        <v>73</v>
      </c>
      <c r="Y224" t="s">
        <v>68</v>
      </c>
      <c r="Z224" t="s">
        <v>162</v>
      </c>
      <c r="AA224" t="s">
        <v>167</v>
      </c>
      <c r="AB224">
        <v>4.2</v>
      </c>
      <c r="AC224">
        <v>60</v>
      </c>
      <c r="AD224">
        <v>290.75</v>
      </c>
      <c r="AE224">
        <f t="shared" si="6"/>
        <v>1896.4</v>
      </c>
      <c r="AF224" t="str">
        <f t="shared" si="7"/>
        <v>2025-01</v>
      </c>
      <c r="AG224">
        <f>SUBTOTAL(103,A224)</f>
        <v>1</v>
      </c>
    </row>
    <row r="225" spans="1:33" x14ac:dyDescent="0.3">
      <c r="A225" t="s">
        <v>2834</v>
      </c>
      <c r="B225" s="13">
        <v>45686</v>
      </c>
      <c r="C225">
        <v>2025</v>
      </c>
      <c r="D225">
        <v>1</v>
      </c>
      <c r="E225" t="s">
        <v>2571</v>
      </c>
      <c r="F225" t="s">
        <v>2572</v>
      </c>
      <c r="G225" t="s">
        <v>937</v>
      </c>
      <c r="H225" t="s">
        <v>938</v>
      </c>
      <c r="I225" t="s">
        <v>86</v>
      </c>
      <c r="J225">
        <v>22</v>
      </c>
      <c r="K225" t="s">
        <v>80</v>
      </c>
      <c r="L225" t="s">
        <v>99</v>
      </c>
      <c r="M225" t="s">
        <v>58</v>
      </c>
      <c r="N225" t="s">
        <v>2606</v>
      </c>
      <c r="O225" t="s">
        <v>120</v>
      </c>
      <c r="P225" t="s">
        <v>49</v>
      </c>
      <c r="Q225" t="s">
        <v>140</v>
      </c>
      <c r="R225">
        <v>4</v>
      </c>
      <c r="S225">
        <v>2799</v>
      </c>
      <c r="T225">
        <v>0.15</v>
      </c>
      <c r="U225">
        <v>9516.6</v>
      </c>
      <c r="V225">
        <v>6600</v>
      </c>
      <c r="W225">
        <v>2916.6</v>
      </c>
      <c r="X225" t="s">
        <v>76</v>
      </c>
      <c r="Y225" t="s">
        <v>68</v>
      </c>
      <c r="Z225" t="s">
        <v>160</v>
      </c>
      <c r="AA225" t="s">
        <v>168</v>
      </c>
      <c r="AB225">
        <v>4.2</v>
      </c>
      <c r="AC225">
        <v>50</v>
      </c>
      <c r="AD225">
        <v>332.79</v>
      </c>
      <c r="AE225">
        <f t="shared" si="6"/>
        <v>2533.81</v>
      </c>
      <c r="AF225" t="str">
        <f t="shared" si="7"/>
        <v>2025-01</v>
      </c>
      <c r="AG225">
        <f>SUBTOTAL(103,A225)</f>
        <v>1</v>
      </c>
    </row>
    <row r="226" spans="1:33" x14ac:dyDescent="0.3">
      <c r="A226" t="s">
        <v>2835</v>
      </c>
      <c r="B226" s="13">
        <v>45686</v>
      </c>
      <c r="C226">
        <v>2025</v>
      </c>
      <c r="D226">
        <v>1</v>
      </c>
      <c r="E226" t="s">
        <v>2571</v>
      </c>
      <c r="F226" t="s">
        <v>2572</v>
      </c>
      <c r="G226" t="s">
        <v>255</v>
      </c>
      <c r="H226" t="s">
        <v>256</v>
      </c>
      <c r="I226" t="s">
        <v>86</v>
      </c>
      <c r="J226">
        <v>30</v>
      </c>
      <c r="K226" t="s">
        <v>81</v>
      </c>
      <c r="L226" t="s">
        <v>2623</v>
      </c>
      <c r="M226" t="s">
        <v>61</v>
      </c>
      <c r="N226" t="s">
        <v>2647</v>
      </c>
      <c r="O226" t="s">
        <v>133</v>
      </c>
      <c r="P226" t="s">
        <v>50</v>
      </c>
      <c r="Q226" t="s">
        <v>145</v>
      </c>
      <c r="R226">
        <v>3</v>
      </c>
      <c r="S226">
        <v>799</v>
      </c>
      <c r="T226">
        <v>0.2</v>
      </c>
      <c r="U226">
        <v>1917.6</v>
      </c>
      <c r="V226">
        <v>1170</v>
      </c>
      <c r="W226">
        <v>747.6</v>
      </c>
      <c r="X226" t="s">
        <v>74</v>
      </c>
      <c r="Y226" t="s">
        <v>68</v>
      </c>
      <c r="Z226" t="s">
        <v>159</v>
      </c>
      <c r="AA226" t="s">
        <v>168</v>
      </c>
      <c r="AB226">
        <v>4.4000000000000004</v>
      </c>
      <c r="AC226">
        <v>80</v>
      </c>
      <c r="AD226">
        <v>90.57</v>
      </c>
      <c r="AE226">
        <f t="shared" si="6"/>
        <v>577.03</v>
      </c>
      <c r="AF226" t="str">
        <f t="shared" si="7"/>
        <v>2025-01</v>
      </c>
      <c r="AG226">
        <f>SUBTOTAL(103,A226)</f>
        <v>1</v>
      </c>
    </row>
    <row r="227" spans="1:33" x14ac:dyDescent="0.3">
      <c r="A227" t="s">
        <v>2836</v>
      </c>
      <c r="B227" s="13">
        <v>45687</v>
      </c>
      <c r="C227">
        <v>2025</v>
      </c>
      <c r="D227">
        <v>1</v>
      </c>
      <c r="E227" t="s">
        <v>2571</v>
      </c>
      <c r="F227" t="s">
        <v>2572</v>
      </c>
      <c r="G227" t="s">
        <v>317</v>
      </c>
      <c r="H227" t="s">
        <v>318</v>
      </c>
      <c r="I227" t="s">
        <v>85</v>
      </c>
      <c r="J227">
        <v>56</v>
      </c>
      <c r="K227" t="s">
        <v>83</v>
      </c>
      <c r="L227" t="s">
        <v>97</v>
      </c>
      <c r="M227" t="s">
        <v>57</v>
      </c>
      <c r="N227" t="s">
        <v>2596</v>
      </c>
      <c r="O227" t="s">
        <v>124</v>
      </c>
      <c r="P227" t="s">
        <v>51</v>
      </c>
      <c r="Q227" t="s">
        <v>147</v>
      </c>
      <c r="R227">
        <v>1</v>
      </c>
      <c r="S227">
        <v>2299</v>
      </c>
      <c r="T227">
        <v>0.05</v>
      </c>
      <c r="U227">
        <v>2184.0500000000002</v>
      </c>
      <c r="V227">
        <v>1200</v>
      </c>
      <c r="W227">
        <v>984.05</v>
      </c>
      <c r="X227" t="s">
        <v>74</v>
      </c>
      <c r="Y227" t="s">
        <v>68</v>
      </c>
      <c r="Z227" t="s">
        <v>158</v>
      </c>
      <c r="AA227" t="s">
        <v>168</v>
      </c>
      <c r="AB227">
        <v>4.0999999999999996</v>
      </c>
      <c r="AC227">
        <v>80</v>
      </c>
      <c r="AD227">
        <v>122.67</v>
      </c>
      <c r="AE227">
        <f t="shared" si="6"/>
        <v>781.38</v>
      </c>
      <c r="AF227" t="str">
        <f t="shared" si="7"/>
        <v>2025-01</v>
      </c>
      <c r="AG227">
        <f>SUBTOTAL(103,A227)</f>
        <v>1</v>
      </c>
    </row>
    <row r="228" spans="1:33" x14ac:dyDescent="0.3">
      <c r="A228" t="s">
        <v>2837</v>
      </c>
      <c r="B228" s="13">
        <v>45687</v>
      </c>
      <c r="C228">
        <v>2025</v>
      </c>
      <c r="D228">
        <v>1</v>
      </c>
      <c r="E228" t="s">
        <v>2571</v>
      </c>
      <c r="F228" t="s">
        <v>2572</v>
      </c>
      <c r="G228" t="s">
        <v>1063</v>
      </c>
      <c r="H228" t="s">
        <v>1064</v>
      </c>
      <c r="I228" t="s">
        <v>85</v>
      </c>
      <c r="J228">
        <v>59</v>
      </c>
      <c r="K228" t="s">
        <v>83</v>
      </c>
      <c r="L228" t="s">
        <v>2634</v>
      </c>
      <c r="M228" t="s">
        <v>56</v>
      </c>
      <c r="N228" t="s">
        <v>2606</v>
      </c>
      <c r="O228" t="s">
        <v>120</v>
      </c>
      <c r="P228" t="s">
        <v>49</v>
      </c>
      <c r="Q228" t="s">
        <v>140</v>
      </c>
      <c r="R228">
        <v>5</v>
      </c>
      <c r="S228">
        <v>2799</v>
      </c>
      <c r="T228">
        <v>0.1</v>
      </c>
      <c r="U228">
        <v>0</v>
      </c>
      <c r="V228">
        <v>0</v>
      </c>
      <c r="W228">
        <v>0</v>
      </c>
      <c r="X228" t="s">
        <v>73</v>
      </c>
      <c r="Y228" t="s">
        <v>71</v>
      </c>
      <c r="Z228" t="s">
        <v>158</v>
      </c>
      <c r="AA228" t="s">
        <v>169</v>
      </c>
      <c r="AB228">
        <v>4.9000000000000004</v>
      </c>
      <c r="AC228">
        <v>80</v>
      </c>
      <c r="AD228">
        <v>262.45999999999998</v>
      </c>
      <c r="AE228">
        <f t="shared" si="6"/>
        <v>-342.46</v>
      </c>
      <c r="AF228" t="str">
        <f t="shared" si="7"/>
        <v>2025-01</v>
      </c>
      <c r="AG228">
        <f>SUBTOTAL(103,A228)</f>
        <v>1</v>
      </c>
    </row>
    <row r="229" spans="1:33" x14ac:dyDescent="0.3">
      <c r="A229" t="s">
        <v>2838</v>
      </c>
      <c r="B229" s="13">
        <v>45688</v>
      </c>
      <c r="C229">
        <v>2025</v>
      </c>
      <c r="D229">
        <v>1</v>
      </c>
      <c r="E229" t="s">
        <v>2571</v>
      </c>
      <c r="F229" t="s">
        <v>2572</v>
      </c>
      <c r="G229" t="s">
        <v>1773</v>
      </c>
      <c r="H229" t="s">
        <v>1774</v>
      </c>
      <c r="I229" t="s">
        <v>86</v>
      </c>
      <c r="J229">
        <v>43</v>
      </c>
      <c r="K229" t="s">
        <v>82</v>
      </c>
      <c r="L229" t="s">
        <v>2605</v>
      </c>
      <c r="M229" t="s">
        <v>60</v>
      </c>
      <c r="N229" t="s">
        <v>2592</v>
      </c>
      <c r="O229" t="s">
        <v>115</v>
      </c>
      <c r="P229" t="s">
        <v>48</v>
      </c>
      <c r="Q229" t="s">
        <v>137</v>
      </c>
      <c r="R229">
        <v>1</v>
      </c>
      <c r="S229">
        <v>12999</v>
      </c>
      <c r="T229">
        <v>0.15</v>
      </c>
      <c r="U229">
        <v>11049.15</v>
      </c>
      <c r="V229">
        <v>9000</v>
      </c>
      <c r="W229">
        <v>2049.15</v>
      </c>
      <c r="X229" t="s">
        <v>77</v>
      </c>
      <c r="Y229" t="s">
        <v>69</v>
      </c>
      <c r="Z229" t="s">
        <v>163</v>
      </c>
      <c r="AA229" t="s">
        <v>171</v>
      </c>
      <c r="AB229">
        <v>3.9</v>
      </c>
      <c r="AC229">
        <v>60</v>
      </c>
      <c r="AD229">
        <v>689.91</v>
      </c>
      <c r="AE229">
        <f t="shared" si="6"/>
        <v>1299.2400000000002</v>
      </c>
      <c r="AF229" t="str">
        <f t="shared" si="7"/>
        <v>2025-01</v>
      </c>
      <c r="AG229">
        <f>SUBTOTAL(103,A229)</f>
        <v>1</v>
      </c>
    </row>
    <row r="230" spans="1:33" x14ac:dyDescent="0.3">
      <c r="A230" t="s">
        <v>2839</v>
      </c>
      <c r="B230" s="13">
        <v>45688</v>
      </c>
      <c r="C230">
        <v>2025</v>
      </c>
      <c r="D230">
        <v>1</v>
      </c>
      <c r="E230" t="s">
        <v>2571</v>
      </c>
      <c r="F230" t="s">
        <v>2572</v>
      </c>
      <c r="G230" t="s">
        <v>791</v>
      </c>
      <c r="H230" t="s">
        <v>792</v>
      </c>
      <c r="I230" t="s">
        <v>86</v>
      </c>
      <c r="J230">
        <v>28</v>
      </c>
      <c r="K230" t="s">
        <v>81</v>
      </c>
      <c r="L230" t="s">
        <v>2579</v>
      </c>
      <c r="M230" t="s">
        <v>56</v>
      </c>
      <c r="N230" t="s">
        <v>2657</v>
      </c>
      <c r="O230" t="s">
        <v>134</v>
      </c>
      <c r="P230" t="s">
        <v>49</v>
      </c>
      <c r="Q230" t="s">
        <v>140</v>
      </c>
      <c r="R230">
        <v>3</v>
      </c>
      <c r="S230">
        <v>599</v>
      </c>
      <c r="T230">
        <v>0.05</v>
      </c>
      <c r="U230">
        <v>1707.15</v>
      </c>
      <c r="V230">
        <v>750</v>
      </c>
      <c r="W230">
        <v>957.15</v>
      </c>
      <c r="X230" t="s">
        <v>75</v>
      </c>
      <c r="Y230" t="s">
        <v>69</v>
      </c>
      <c r="Z230" t="s">
        <v>160</v>
      </c>
      <c r="AA230" t="s">
        <v>168</v>
      </c>
      <c r="AB230">
        <v>4.0999999999999996</v>
      </c>
      <c r="AC230">
        <v>40</v>
      </c>
      <c r="AD230">
        <v>204.13</v>
      </c>
      <c r="AE230">
        <f t="shared" si="6"/>
        <v>713.02</v>
      </c>
      <c r="AF230" t="str">
        <f t="shared" si="7"/>
        <v>2025-01</v>
      </c>
      <c r="AG230">
        <f>SUBTOTAL(103,A230)</f>
        <v>1</v>
      </c>
    </row>
    <row r="231" spans="1:33" x14ac:dyDescent="0.3">
      <c r="A231" t="s">
        <v>2840</v>
      </c>
      <c r="B231" s="13">
        <v>45688</v>
      </c>
      <c r="C231">
        <v>2025</v>
      </c>
      <c r="D231">
        <v>1</v>
      </c>
      <c r="E231" t="s">
        <v>2571</v>
      </c>
      <c r="F231" t="s">
        <v>2572</v>
      </c>
      <c r="G231" t="s">
        <v>1821</v>
      </c>
      <c r="H231" t="s">
        <v>1822</v>
      </c>
      <c r="I231" t="s">
        <v>85</v>
      </c>
      <c r="J231">
        <v>36</v>
      </c>
      <c r="K231" t="s">
        <v>82</v>
      </c>
      <c r="L231" t="s">
        <v>2623</v>
      </c>
      <c r="M231" t="s">
        <v>61</v>
      </c>
      <c r="N231" t="s">
        <v>2596</v>
      </c>
      <c r="O231" t="s">
        <v>124</v>
      </c>
      <c r="P231" t="s">
        <v>51</v>
      </c>
      <c r="Q231" t="s">
        <v>147</v>
      </c>
      <c r="R231">
        <v>1</v>
      </c>
      <c r="S231">
        <v>2299</v>
      </c>
      <c r="T231">
        <v>0.1</v>
      </c>
      <c r="U231">
        <v>2069.1</v>
      </c>
      <c r="V231">
        <v>1200</v>
      </c>
      <c r="W231">
        <v>869.1</v>
      </c>
      <c r="X231" t="s">
        <v>74</v>
      </c>
      <c r="Y231" t="s">
        <v>68</v>
      </c>
      <c r="Z231" t="s">
        <v>159</v>
      </c>
      <c r="AA231" t="s">
        <v>166</v>
      </c>
      <c r="AB231">
        <v>4.7</v>
      </c>
      <c r="AC231">
        <v>50</v>
      </c>
      <c r="AD231">
        <v>220.01</v>
      </c>
      <c r="AE231">
        <f t="shared" si="6"/>
        <v>599.09</v>
      </c>
      <c r="AF231" t="str">
        <f t="shared" si="7"/>
        <v>2025-01</v>
      </c>
      <c r="AG231">
        <f>SUBTOTAL(103,A231)</f>
        <v>1</v>
      </c>
    </row>
    <row r="232" spans="1:33" x14ac:dyDescent="0.3">
      <c r="A232" t="s">
        <v>2841</v>
      </c>
      <c r="B232" s="13">
        <v>45688</v>
      </c>
      <c r="C232">
        <v>2025</v>
      </c>
      <c r="D232">
        <v>1</v>
      </c>
      <c r="E232" t="s">
        <v>2571</v>
      </c>
      <c r="F232" t="s">
        <v>2572</v>
      </c>
      <c r="G232" t="s">
        <v>1979</v>
      </c>
      <c r="H232" t="s">
        <v>1980</v>
      </c>
      <c r="I232" t="s">
        <v>85</v>
      </c>
      <c r="J232">
        <v>47</v>
      </c>
      <c r="K232" t="s">
        <v>83</v>
      </c>
      <c r="L232" t="s">
        <v>95</v>
      </c>
      <c r="M232" t="s">
        <v>56</v>
      </c>
      <c r="N232" t="s">
        <v>2647</v>
      </c>
      <c r="O232" t="s">
        <v>133</v>
      </c>
      <c r="P232" t="s">
        <v>50</v>
      </c>
      <c r="Q232" t="s">
        <v>145</v>
      </c>
      <c r="R232">
        <v>4</v>
      </c>
      <c r="S232">
        <v>799</v>
      </c>
      <c r="T232">
        <v>0.2</v>
      </c>
      <c r="U232">
        <v>2556.8000000000002</v>
      </c>
      <c r="V232">
        <v>1560</v>
      </c>
      <c r="W232">
        <v>996.8</v>
      </c>
      <c r="X232" t="s">
        <v>74</v>
      </c>
      <c r="Y232" t="s">
        <v>68</v>
      </c>
      <c r="Z232" t="s">
        <v>160</v>
      </c>
      <c r="AA232" t="s">
        <v>170</v>
      </c>
      <c r="AB232">
        <v>4.5999999999999996</v>
      </c>
      <c r="AC232">
        <v>120</v>
      </c>
      <c r="AD232">
        <v>275.14999999999998</v>
      </c>
      <c r="AE232">
        <f t="shared" si="6"/>
        <v>601.65</v>
      </c>
      <c r="AF232" t="str">
        <f t="shared" si="7"/>
        <v>2025-01</v>
      </c>
      <c r="AG232">
        <f>SUBTOTAL(103,A232)</f>
        <v>1</v>
      </c>
    </row>
    <row r="233" spans="1:33" x14ac:dyDescent="0.3">
      <c r="A233" t="s">
        <v>2842</v>
      </c>
      <c r="B233" s="13">
        <v>45688</v>
      </c>
      <c r="C233">
        <v>2025</v>
      </c>
      <c r="D233">
        <v>1</v>
      </c>
      <c r="E233" t="s">
        <v>2571</v>
      </c>
      <c r="F233" t="s">
        <v>2572</v>
      </c>
      <c r="G233" t="s">
        <v>1089</v>
      </c>
      <c r="H233" t="s">
        <v>1090</v>
      </c>
      <c r="I233" t="s">
        <v>85</v>
      </c>
      <c r="J233">
        <v>36</v>
      </c>
      <c r="K233" t="s">
        <v>82</v>
      </c>
      <c r="L233" t="s">
        <v>2616</v>
      </c>
      <c r="M233" t="s">
        <v>62</v>
      </c>
      <c r="N233" t="s">
        <v>2601</v>
      </c>
      <c r="O233" t="s">
        <v>117</v>
      </c>
      <c r="P233" t="s">
        <v>49</v>
      </c>
      <c r="Q233" t="s">
        <v>139</v>
      </c>
      <c r="R233">
        <v>1</v>
      </c>
      <c r="S233">
        <v>6999</v>
      </c>
      <c r="T233">
        <v>0.05</v>
      </c>
      <c r="U233">
        <v>6649.05</v>
      </c>
      <c r="V233">
        <v>4300</v>
      </c>
      <c r="W233">
        <v>2349.0500000000002</v>
      </c>
      <c r="X233" t="s">
        <v>73</v>
      </c>
      <c r="Y233" t="s">
        <v>68</v>
      </c>
      <c r="Z233" t="s">
        <v>163</v>
      </c>
      <c r="AA233" t="s">
        <v>170</v>
      </c>
      <c r="AB233">
        <v>4.2</v>
      </c>
      <c r="AC233">
        <v>50</v>
      </c>
      <c r="AD233">
        <v>655.12</v>
      </c>
      <c r="AE233">
        <f t="shared" si="6"/>
        <v>1643.9300000000003</v>
      </c>
      <c r="AF233" t="str">
        <f t="shared" si="7"/>
        <v>2025-01</v>
      </c>
      <c r="AG233">
        <f>SUBTOTAL(103,A233)</f>
        <v>1</v>
      </c>
    </row>
    <row r="234" spans="1:33" x14ac:dyDescent="0.3">
      <c r="A234" t="s">
        <v>2843</v>
      </c>
      <c r="B234" s="13">
        <v>45688</v>
      </c>
      <c r="C234">
        <v>2025</v>
      </c>
      <c r="D234">
        <v>1</v>
      </c>
      <c r="E234" t="s">
        <v>2571</v>
      </c>
      <c r="F234" t="s">
        <v>2572</v>
      </c>
      <c r="G234" t="s">
        <v>1691</v>
      </c>
      <c r="H234" t="s">
        <v>1692</v>
      </c>
      <c r="I234" t="s">
        <v>85</v>
      </c>
      <c r="J234">
        <v>22</v>
      </c>
      <c r="K234" t="s">
        <v>80</v>
      </c>
      <c r="L234" t="s">
        <v>91</v>
      </c>
      <c r="M234" t="s">
        <v>55</v>
      </c>
      <c r="N234" t="s">
        <v>2594</v>
      </c>
      <c r="O234" t="s">
        <v>131</v>
      </c>
      <c r="P234" t="s">
        <v>53</v>
      </c>
      <c r="Q234" t="s">
        <v>143</v>
      </c>
      <c r="R234">
        <v>3</v>
      </c>
      <c r="S234">
        <v>999</v>
      </c>
      <c r="T234">
        <v>0.1</v>
      </c>
      <c r="U234">
        <v>2697.3</v>
      </c>
      <c r="V234">
        <v>1560</v>
      </c>
      <c r="W234">
        <v>1137.3</v>
      </c>
      <c r="X234" t="s">
        <v>73</v>
      </c>
      <c r="Y234" t="s">
        <v>68</v>
      </c>
      <c r="Z234" t="s">
        <v>163</v>
      </c>
      <c r="AA234" t="s">
        <v>166</v>
      </c>
      <c r="AB234">
        <v>3.1</v>
      </c>
      <c r="AC234">
        <v>50</v>
      </c>
      <c r="AD234">
        <v>305.58999999999997</v>
      </c>
      <c r="AE234">
        <f t="shared" si="6"/>
        <v>781.71</v>
      </c>
      <c r="AF234" t="str">
        <f t="shared" si="7"/>
        <v>2025-01</v>
      </c>
      <c r="AG234">
        <f>SUBTOTAL(103,A234)</f>
        <v>1</v>
      </c>
    </row>
    <row r="235" spans="1:33" x14ac:dyDescent="0.3">
      <c r="A235" t="s">
        <v>2844</v>
      </c>
      <c r="B235" s="13">
        <v>45688</v>
      </c>
      <c r="C235">
        <v>2025</v>
      </c>
      <c r="D235">
        <v>1</v>
      </c>
      <c r="E235" t="s">
        <v>2571</v>
      </c>
      <c r="F235" t="s">
        <v>2572</v>
      </c>
      <c r="G235" t="s">
        <v>201</v>
      </c>
      <c r="H235" t="s">
        <v>202</v>
      </c>
      <c r="I235" t="s">
        <v>86</v>
      </c>
      <c r="J235">
        <v>47</v>
      </c>
      <c r="K235" t="s">
        <v>83</v>
      </c>
      <c r="L235" t="s">
        <v>100</v>
      </c>
      <c r="M235" t="s">
        <v>56</v>
      </c>
      <c r="N235" t="s">
        <v>2582</v>
      </c>
      <c r="O235" t="s">
        <v>119</v>
      </c>
      <c r="P235" t="s">
        <v>49</v>
      </c>
      <c r="Q235" t="s">
        <v>140</v>
      </c>
      <c r="R235">
        <v>4</v>
      </c>
      <c r="S235">
        <v>3499</v>
      </c>
      <c r="T235">
        <v>0.1</v>
      </c>
      <c r="U235">
        <v>12596.4</v>
      </c>
      <c r="V235">
        <v>8400</v>
      </c>
      <c r="W235">
        <v>4196.3999999999996</v>
      </c>
      <c r="X235" t="s">
        <v>74</v>
      </c>
      <c r="Y235" t="s">
        <v>70</v>
      </c>
      <c r="Z235" t="s">
        <v>162</v>
      </c>
      <c r="AA235" t="s">
        <v>169</v>
      </c>
      <c r="AB235">
        <v>2.9</v>
      </c>
      <c r="AC235">
        <v>80</v>
      </c>
      <c r="AD235">
        <v>1034.57</v>
      </c>
      <c r="AE235">
        <f t="shared" si="6"/>
        <v>3081.83</v>
      </c>
      <c r="AF235" t="str">
        <f t="shared" si="7"/>
        <v>2025-01</v>
      </c>
      <c r="AG235">
        <f>SUBTOTAL(103,A235)</f>
        <v>1</v>
      </c>
    </row>
    <row r="236" spans="1:33" x14ac:dyDescent="0.3">
      <c r="A236" t="s">
        <v>2845</v>
      </c>
      <c r="B236" s="13">
        <v>45688</v>
      </c>
      <c r="C236">
        <v>2025</v>
      </c>
      <c r="D236">
        <v>1</v>
      </c>
      <c r="E236" t="s">
        <v>2571</v>
      </c>
      <c r="F236" t="s">
        <v>2572</v>
      </c>
      <c r="G236" t="s">
        <v>1829</v>
      </c>
      <c r="H236" t="s">
        <v>1830</v>
      </c>
      <c r="I236" t="s">
        <v>85</v>
      </c>
      <c r="J236">
        <v>50</v>
      </c>
      <c r="K236" t="s">
        <v>83</v>
      </c>
      <c r="L236" t="s">
        <v>2674</v>
      </c>
      <c r="M236" t="s">
        <v>58</v>
      </c>
      <c r="N236" t="s">
        <v>2665</v>
      </c>
      <c r="O236" t="s">
        <v>128</v>
      </c>
      <c r="P236" t="s">
        <v>53</v>
      </c>
      <c r="Q236" t="s">
        <v>143</v>
      </c>
      <c r="R236">
        <v>4</v>
      </c>
      <c r="S236">
        <v>1499</v>
      </c>
      <c r="T236">
        <v>0.1</v>
      </c>
      <c r="U236">
        <v>5396.4</v>
      </c>
      <c r="V236">
        <v>3200</v>
      </c>
      <c r="W236">
        <v>2196.4</v>
      </c>
      <c r="X236" t="s">
        <v>73</v>
      </c>
      <c r="Y236" t="s">
        <v>68</v>
      </c>
      <c r="Z236" t="s">
        <v>160</v>
      </c>
      <c r="AA236" t="s">
        <v>171</v>
      </c>
      <c r="AB236">
        <v>4.2</v>
      </c>
      <c r="AC236">
        <v>80</v>
      </c>
      <c r="AD236">
        <v>147.97</v>
      </c>
      <c r="AE236">
        <f t="shared" si="6"/>
        <v>1968.43</v>
      </c>
      <c r="AF236" t="str">
        <f t="shared" si="7"/>
        <v>2025-01</v>
      </c>
      <c r="AG236">
        <f>SUBTOTAL(103,A236)</f>
        <v>1</v>
      </c>
    </row>
    <row r="237" spans="1:33" x14ac:dyDescent="0.3">
      <c r="A237" t="s">
        <v>2846</v>
      </c>
      <c r="B237" s="13">
        <v>45688</v>
      </c>
      <c r="C237">
        <v>2025</v>
      </c>
      <c r="D237">
        <v>1</v>
      </c>
      <c r="E237" t="s">
        <v>2571</v>
      </c>
      <c r="F237" t="s">
        <v>2572</v>
      </c>
      <c r="G237" t="s">
        <v>655</v>
      </c>
      <c r="H237" t="s">
        <v>656</v>
      </c>
      <c r="I237" t="s">
        <v>85</v>
      </c>
      <c r="J237">
        <v>28</v>
      </c>
      <c r="K237" t="s">
        <v>81</v>
      </c>
      <c r="L237" t="s">
        <v>99</v>
      </c>
      <c r="M237" t="s">
        <v>58</v>
      </c>
      <c r="N237" t="s">
        <v>2590</v>
      </c>
      <c r="O237" t="s">
        <v>127</v>
      </c>
      <c r="P237" t="s">
        <v>51</v>
      </c>
      <c r="Q237" t="s">
        <v>148</v>
      </c>
      <c r="R237">
        <v>2</v>
      </c>
      <c r="S237">
        <v>1599</v>
      </c>
      <c r="T237">
        <v>0.05</v>
      </c>
      <c r="U237">
        <v>3038.1</v>
      </c>
      <c r="V237">
        <v>1600</v>
      </c>
      <c r="W237">
        <v>1438.1</v>
      </c>
      <c r="X237" t="s">
        <v>73</v>
      </c>
      <c r="Y237" t="s">
        <v>69</v>
      </c>
      <c r="Z237" t="s">
        <v>159</v>
      </c>
      <c r="AA237" t="s">
        <v>166</v>
      </c>
      <c r="AB237">
        <v>3.9</v>
      </c>
      <c r="AC237">
        <v>120</v>
      </c>
      <c r="AD237">
        <v>362.65</v>
      </c>
      <c r="AE237">
        <f t="shared" si="6"/>
        <v>955.44999999999993</v>
      </c>
      <c r="AF237" t="str">
        <f t="shared" si="7"/>
        <v>2025-01</v>
      </c>
      <c r="AG237">
        <f>SUBTOTAL(103,A237)</f>
        <v>1</v>
      </c>
    </row>
    <row r="238" spans="1:33" x14ac:dyDescent="0.3">
      <c r="A238" t="s">
        <v>2847</v>
      </c>
      <c r="B238" s="13">
        <v>45688</v>
      </c>
      <c r="C238">
        <v>2025</v>
      </c>
      <c r="D238">
        <v>1</v>
      </c>
      <c r="E238" t="s">
        <v>2571</v>
      </c>
      <c r="F238" t="s">
        <v>2572</v>
      </c>
      <c r="G238" t="s">
        <v>579</v>
      </c>
      <c r="H238" t="s">
        <v>580</v>
      </c>
      <c r="I238" t="s">
        <v>85</v>
      </c>
      <c r="J238">
        <v>31</v>
      </c>
      <c r="K238" t="s">
        <v>81</v>
      </c>
      <c r="L238" t="s">
        <v>90</v>
      </c>
      <c r="M238" t="s">
        <v>55</v>
      </c>
      <c r="N238" t="s">
        <v>2603</v>
      </c>
      <c r="O238" t="s">
        <v>122</v>
      </c>
      <c r="P238" t="s">
        <v>48</v>
      </c>
      <c r="Q238" t="s">
        <v>141</v>
      </c>
      <c r="R238">
        <v>1</v>
      </c>
      <c r="S238">
        <v>2499</v>
      </c>
      <c r="T238">
        <v>0.05</v>
      </c>
      <c r="U238">
        <v>2374.0500000000002</v>
      </c>
      <c r="V238">
        <v>1450</v>
      </c>
      <c r="W238">
        <v>924.05</v>
      </c>
      <c r="X238" t="s">
        <v>73</v>
      </c>
      <c r="Y238" t="s">
        <v>68</v>
      </c>
      <c r="Z238" t="s">
        <v>158</v>
      </c>
      <c r="AA238" t="s">
        <v>168</v>
      </c>
      <c r="AB238">
        <v>5</v>
      </c>
      <c r="AC238">
        <v>60</v>
      </c>
      <c r="AD238">
        <v>276.60000000000002</v>
      </c>
      <c r="AE238">
        <f t="shared" si="6"/>
        <v>587.44999999999993</v>
      </c>
      <c r="AF238" t="str">
        <f t="shared" si="7"/>
        <v>2025-01</v>
      </c>
      <c r="AG238">
        <f>SUBTOTAL(103,A238)</f>
        <v>1</v>
      </c>
    </row>
    <row r="239" spans="1:33" x14ac:dyDescent="0.3">
      <c r="A239" t="s">
        <v>2848</v>
      </c>
      <c r="B239" s="13">
        <v>45689</v>
      </c>
      <c r="C239">
        <v>2025</v>
      </c>
      <c r="D239">
        <v>2</v>
      </c>
      <c r="E239" t="s">
        <v>2849</v>
      </c>
      <c r="F239" t="s">
        <v>2572</v>
      </c>
      <c r="G239" t="s">
        <v>859</v>
      </c>
      <c r="H239" t="s">
        <v>860</v>
      </c>
      <c r="I239" t="s">
        <v>86</v>
      </c>
      <c r="J239">
        <v>45</v>
      </c>
      <c r="K239" t="s">
        <v>82</v>
      </c>
      <c r="L239" t="s">
        <v>99</v>
      </c>
      <c r="M239" t="s">
        <v>58</v>
      </c>
      <c r="N239" t="s">
        <v>2592</v>
      </c>
      <c r="O239" t="s">
        <v>115</v>
      </c>
      <c r="P239" t="s">
        <v>48</v>
      </c>
      <c r="Q239" t="s">
        <v>137</v>
      </c>
      <c r="R239">
        <v>1</v>
      </c>
      <c r="S239">
        <v>12999</v>
      </c>
      <c r="T239">
        <v>0</v>
      </c>
      <c r="U239">
        <v>12999</v>
      </c>
      <c r="V239">
        <v>9000</v>
      </c>
      <c r="W239">
        <v>3999</v>
      </c>
      <c r="X239" t="s">
        <v>76</v>
      </c>
      <c r="Y239" t="s">
        <v>68</v>
      </c>
      <c r="Z239" t="s">
        <v>160</v>
      </c>
      <c r="AA239" t="s">
        <v>168</v>
      </c>
      <c r="AB239">
        <v>4.9000000000000004</v>
      </c>
      <c r="AC239">
        <v>100</v>
      </c>
      <c r="AD239">
        <v>1107.33</v>
      </c>
      <c r="AE239">
        <f t="shared" si="6"/>
        <v>2791.67</v>
      </c>
      <c r="AF239" t="str">
        <f t="shared" si="7"/>
        <v>2025-02</v>
      </c>
      <c r="AG239">
        <f>SUBTOTAL(103,A239)</f>
        <v>1</v>
      </c>
    </row>
    <row r="240" spans="1:33" x14ac:dyDescent="0.3">
      <c r="A240" t="s">
        <v>2850</v>
      </c>
      <c r="B240" s="13">
        <v>45689</v>
      </c>
      <c r="C240">
        <v>2025</v>
      </c>
      <c r="D240">
        <v>2</v>
      </c>
      <c r="E240" t="s">
        <v>2849</v>
      </c>
      <c r="F240" t="s">
        <v>2572</v>
      </c>
      <c r="G240" t="s">
        <v>1011</v>
      </c>
      <c r="H240" t="s">
        <v>1012</v>
      </c>
      <c r="I240" t="s">
        <v>85</v>
      </c>
      <c r="J240">
        <v>33</v>
      </c>
      <c r="K240" t="s">
        <v>81</v>
      </c>
      <c r="L240" t="s">
        <v>2586</v>
      </c>
      <c r="M240" t="s">
        <v>62</v>
      </c>
      <c r="N240" t="s">
        <v>2644</v>
      </c>
      <c r="O240" t="s">
        <v>126</v>
      </c>
      <c r="P240" t="s">
        <v>50</v>
      </c>
      <c r="Q240" t="s">
        <v>145</v>
      </c>
      <c r="R240">
        <v>3</v>
      </c>
      <c r="S240">
        <v>1799</v>
      </c>
      <c r="T240">
        <v>0.05</v>
      </c>
      <c r="U240">
        <v>5127.1499999999996</v>
      </c>
      <c r="V240">
        <v>2850</v>
      </c>
      <c r="W240">
        <v>2277.15</v>
      </c>
      <c r="X240" t="s">
        <v>73</v>
      </c>
      <c r="Y240" t="s">
        <v>68</v>
      </c>
      <c r="Z240" t="s">
        <v>159</v>
      </c>
      <c r="AA240" t="s">
        <v>166</v>
      </c>
      <c r="AB240">
        <v>4.8</v>
      </c>
      <c r="AC240">
        <v>60</v>
      </c>
      <c r="AD240">
        <v>233.58</v>
      </c>
      <c r="AE240">
        <f t="shared" si="6"/>
        <v>1983.5700000000002</v>
      </c>
      <c r="AF240" t="str">
        <f t="shared" si="7"/>
        <v>2025-02</v>
      </c>
      <c r="AG240">
        <f>SUBTOTAL(103,A240)</f>
        <v>1</v>
      </c>
    </row>
    <row r="241" spans="1:33" x14ac:dyDescent="0.3">
      <c r="A241" t="s">
        <v>2851</v>
      </c>
      <c r="B241" s="13">
        <v>45689</v>
      </c>
      <c r="C241">
        <v>2025</v>
      </c>
      <c r="D241">
        <v>2</v>
      </c>
      <c r="E241" t="s">
        <v>2849</v>
      </c>
      <c r="F241" t="s">
        <v>2572</v>
      </c>
      <c r="G241" t="s">
        <v>1229</v>
      </c>
      <c r="H241" t="s">
        <v>1230</v>
      </c>
      <c r="I241" t="s">
        <v>85</v>
      </c>
      <c r="J241">
        <v>33</v>
      </c>
      <c r="K241" t="s">
        <v>81</v>
      </c>
      <c r="L241" t="s">
        <v>99</v>
      </c>
      <c r="M241" t="s">
        <v>58</v>
      </c>
      <c r="N241" t="s">
        <v>2577</v>
      </c>
      <c r="O241" t="s">
        <v>129</v>
      </c>
      <c r="P241" t="s">
        <v>49</v>
      </c>
      <c r="Q241" t="s">
        <v>149</v>
      </c>
      <c r="R241">
        <v>3</v>
      </c>
      <c r="S241">
        <v>1299</v>
      </c>
      <c r="T241">
        <v>0.1</v>
      </c>
      <c r="U241">
        <v>3507.3</v>
      </c>
      <c r="V241">
        <v>1950</v>
      </c>
      <c r="W241">
        <v>1557.3</v>
      </c>
      <c r="X241" t="s">
        <v>73</v>
      </c>
      <c r="Y241" t="s">
        <v>69</v>
      </c>
      <c r="Z241" t="s">
        <v>160</v>
      </c>
      <c r="AA241" t="s">
        <v>170</v>
      </c>
      <c r="AB241">
        <v>3.9</v>
      </c>
      <c r="AC241">
        <v>60</v>
      </c>
      <c r="AD241">
        <v>137.47999999999999</v>
      </c>
      <c r="AE241">
        <f t="shared" si="6"/>
        <v>1359.82</v>
      </c>
      <c r="AF241" t="str">
        <f t="shared" si="7"/>
        <v>2025-02</v>
      </c>
      <c r="AG241">
        <f>SUBTOTAL(103,A241)</f>
        <v>1</v>
      </c>
    </row>
    <row r="242" spans="1:33" x14ac:dyDescent="0.3">
      <c r="A242" t="s">
        <v>2852</v>
      </c>
      <c r="B242" s="13">
        <v>45689</v>
      </c>
      <c r="C242">
        <v>2025</v>
      </c>
      <c r="D242">
        <v>2</v>
      </c>
      <c r="E242" t="s">
        <v>2849</v>
      </c>
      <c r="F242" t="s">
        <v>2572</v>
      </c>
      <c r="G242" t="s">
        <v>1355</v>
      </c>
      <c r="H242" t="s">
        <v>1356</v>
      </c>
      <c r="I242" t="s">
        <v>86</v>
      </c>
      <c r="J242">
        <v>41</v>
      </c>
      <c r="K242" t="s">
        <v>82</v>
      </c>
      <c r="L242" t="s">
        <v>2661</v>
      </c>
      <c r="M242" t="s">
        <v>58</v>
      </c>
      <c r="N242" t="s">
        <v>2574</v>
      </c>
      <c r="O242" t="s">
        <v>130</v>
      </c>
      <c r="P242" t="s">
        <v>50</v>
      </c>
      <c r="Q242" t="s">
        <v>53</v>
      </c>
      <c r="R242">
        <v>2</v>
      </c>
      <c r="S242">
        <v>1199</v>
      </c>
      <c r="T242">
        <v>0.25</v>
      </c>
      <c r="U242">
        <v>1798.5</v>
      </c>
      <c r="V242">
        <v>1100</v>
      </c>
      <c r="W242">
        <v>698.5</v>
      </c>
      <c r="X242" t="s">
        <v>76</v>
      </c>
      <c r="Y242" t="s">
        <v>68</v>
      </c>
      <c r="Z242" t="s">
        <v>163</v>
      </c>
      <c r="AA242" t="s">
        <v>167</v>
      </c>
      <c r="AB242">
        <v>4.9000000000000004</v>
      </c>
      <c r="AC242">
        <v>60</v>
      </c>
      <c r="AD242">
        <v>89.89</v>
      </c>
      <c r="AE242">
        <f t="shared" si="6"/>
        <v>548.61</v>
      </c>
      <c r="AF242" t="str">
        <f t="shared" si="7"/>
        <v>2025-02</v>
      </c>
      <c r="AG242">
        <f>SUBTOTAL(103,A242)</f>
        <v>1</v>
      </c>
    </row>
    <row r="243" spans="1:33" x14ac:dyDescent="0.3">
      <c r="A243" t="s">
        <v>2853</v>
      </c>
      <c r="B243" s="13">
        <v>45689</v>
      </c>
      <c r="C243">
        <v>2025</v>
      </c>
      <c r="D243">
        <v>2</v>
      </c>
      <c r="E243" t="s">
        <v>2849</v>
      </c>
      <c r="F243" t="s">
        <v>2572</v>
      </c>
      <c r="G243" t="s">
        <v>2237</v>
      </c>
      <c r="H243" t="s">
        <v>2238</v>
      </c>
      <c r="I243" t="s">
        <v>86</v>
      </c>
      <c r="J243">
        <v>30</v>
      </c>
      <c r="K243" t="s">
        <v>81</v>
      </c>
      <c r="L243" t="s">
        <v>100</v>
      </c>
      <c r="M243" t="s">
        <v>56</v>
      </c>
      <c r="N243" t="s">
        <v>2590</v>
      </c>
      <c r="O243" t="s">
        <v>127</v>
      </c>
      <c r="P243" t="s">
        <v>51</v>
      </c>
      <c r="Q243" t="s">
        <v>148</v>
      </c>
      <c r="R243">
        <v>1</v>
      </c>
      <c r="S243">
        <v>1599</v>
      </c>
      <c r="T243">
        <v>0</v>
      </c>
      <c r="U243">
        <v>1599</v>
      </c>
      <c r="V243">
        <v>800</v>
      </c>
      <c r="W243">
        <v>799</v>
      </c>
      <c r="X243" t="s">
        <v>73</v>
      </c>
      <c r="Y243" t="s">
        <v>68</v>
      </c>
      <c r="Z243" t="s">
        <v>163</v>
      </c>
      <c r="AA243" t="s">
        <v>168</v>
      </c>
      <c r="AB243">
        <v>4.5</v>
      </c>
      <c r="AC243">
        <v>100</v>
      </c>
      <c r="AD243">
        <v>76.319999999999993</v>
      </c>
      <c r="AE243">
        <f t="shared" si="6"/>
        <v>622.68000000000006</v>
      </c>
      <c r="AF243" t="str">
        <f t="shared" si="7"/>
        <v>2025-02</v>
      </c>
      <c r="AG243">
        <f>SUBTOTAL(103,A243)</f>
        <v>1</v>
      </c>
    </row>
    <row r="244" spans="1:33" x14ac:dyDescent="0.3">
      <c r="A244" t="s">
        <v>2854</v>
      </c>
      <c r="B244" s="13">
        <v>45689</v>
      </c>
      <c r="C244">
        <v>2025</v>
      </c>
      <c r="D244">
        <v>2</v>
      </c>
      <c r="E244" t="s">
        <v>2849</v>
      </c>
      <c r="F244" t="s">
        <v>2572</v>
      </c>
      <c r="G244" t="s">
        <v>2373</v>
      </c>
      <c r="H244" t="s">
        <v>2374</v>
      </c>
      <c r="I244" t="s">
        <v>85</v>
      </c>
      <c r="J244">
        <v>46</v>
      </c>
      <c r="K244" t="s">
        <v>83</v>
      </c>
      <c r="L244" t="s">
        <v>2679</v>
      </c>
      <c r="M244" t="s">
        <v>60</v>
      </c>
      <c r="N244" t="s">
        <v>2606</v>
      </c>
      <c r="O244" t="s">
        <v>120</v>
      </c>
      <c r="P244" t="s">
        <v>49</v>
      </c>
      <c r="Q244" t="s">
        <v>140</v>
      </c>
      <c r="R244">
        <v>1</v>
      </c>
      <c r="S244">
        <v>2799</v>
      </c>
      <c r="T244">
        <v>0</v>
      </c>
      <c r="U244">
        <v>2799</v>
      </c>
      <c r="V244">
        <v>1650</v>
      </c>
      <c r="W244">
        <v>1149</v>
      </c>
      <c r="X244" t="s">
        <v>73</v>
      </c>
      <c r="Y244" t="s">
        <v>68</v>
      </c>
      <c r="Z244" t="s">
        <v>158</v>
      </c>
      <c r="AA244" t="s">
        <v>171</v>
      </c>
      <c r="AB244">
        <v>5</v>
      </c>
      <c r="AC244">
        <v>50</v>
      </c>
      <c r="AD244">
        <v>156.25</v>
      </c>
      <c r="AE244">
        <f t="shared" si="6"/>
        <v>942.75</v>
      </c>
      <c r="AF244" t="str">
        <f t="shared" si="7"/>
        <v>2025-02</v>
      </c>
      <c r="AG244">
        <f>SUBTOTAL(103,A244)</f>
        <v>1</v>
      </c>
    </row>
    <row r="245" spans="1:33" x14ac:dyDescent="0.3">
      <c r="A245" t="s">
        <v>2855</v>
      </c>
      <c r="B245" s="13">
        <v>45690</v>
      </c>
      <c r="C245">
        <v>2025</v>
      </c>
      <c r="D245">
        <v>2</v>
      </c>
      <c r="E245" t="s">
        <v>2849</v>
      </c>
      <c r="F245" t="s">
        <v>2572</v>
      </c>
      <c r="G245" t="s">
        <v>1319</v>
      </c>
      <c r="H245" t="s">
        <v>1320</v>
      </c>
      <c r="I245" t="s">
        <v>85</v>
      </c>
      <c r="J245">
        <v>42</v>
      </c>
      <c r="K245" t="s">
        <v>82</v>
      </c>
      <c r="L245" t="s">
        <v>2623</v>
      </c>
      <c r="M245" t="s">
        <v>61</v>
      </c>
      <c r="N245" t="s">
        <v>2596</v>
      </c>
      <c r="O245" t="s">
        <v>124</v>
      </c>
      <c r="P245" t="s">
        <v>51</v>
      </c>
      <c r="Q245" t="s">
        <v>147</v>
      </c>
      <c r="R245">
        <v>1</v>
      </c>
      <c r="S245">
        <v>2299</v>
      </c>
      <c r="T245">
        <v>0.2</v>
      </c>
      <c r="U245">
        <v>0</v>
      </c>
      <c r="V245">
        <v>0</v>
      </c>
      <c r="W245">
        <v>0</v>
      </c>
      <c r="X245" t="s">
        <v>75</v>
      </c>
      <c r="Y245" t="s">
        <v>71</v>
      </c>
      <c r="Z245" t="s">
        <v>159</v>
      </c>
      <c r="AA245" t="s">
        <v>167</v>
      </c>
      <c r="AB245">
        <v>5</v>
      </c>
      <c r="AC245">
        <v>50</v>
      </c>
      <c r="AD245">
        <v>79.23</v>
      </c>
      <c r="AE245">
        <f t="shared" si="6"/>
        <v>-129.23000000000002</v>
      </c>
      <c r="AF245" t="str">
        <f t="shared" si="7"/>
        <v>2025-02</v>
      </c>
      <c r="AG245">
        <f>SUBTOTAL(103,A245)</f>
        <v>1</v>
      </c>
    </row>
    <row r="246" spans="1:33" x14ac:dyDescent="0.3">
      <c r="A246" t="s">
        <v>2856</v>
      </c>
      <c r="B246" s="13">
        <v>45690</v>
      </c>
      <c r="C246">
        <v>2025</v>
      </c>
      <c r="D246">
        <v>2</v>
      </c>
      <c r="E246" t="s">
        <v>2849</v>
      </c>
      <c r="F246" t="s">
        <v>2572</v>
      </c>
      <c r="G246" t="s">
        <v>1979</v>
      </c>
      <c r="H246" t="s">
        <v>1980</v>
      </c>
      <c r="I246" t="s">
        <v>85</v>
      </c>
      <c r="J246">
        <v>47</v>
      </c>
      <c r="K246" t="s">
        <v>83</v>
      </c>
      <c r="L246" t="s">
        <v>95</v>
      </c>
      <c r="M246" t="s">
        <v>56</v>
      </c>
      <c r="N246" t="s">
        <v>2665</v>
      </c>
      <c r="O246" t="s">
        <v>128</v>
      </c>
      <c r="P246" t="s">
        <v>53</v>
      </c>
      <c r="Q246" t="s">
        <v>143</v>
      </c>
      <c r="R246">
        <v>1</v>
      </c>
      <c r="S246">
        <v>1499</v>
      </c>
      <c r="T246">
        <v>0.2</v>
      </c>
      <c r="U246">
        <v>1199.2</v>
      </c>
      <c r="V246">
        <v>800</v>
      </c>
      <c r="W246">
        <v>399.2</v>
      </c>
      <c r="X246" t="s">
        <v>74</v>
      </c>
      <c r="Y246" t="s">
        <v>68</v>
      </c>
      <c r="Z246" t="s">
        <v>161</v>
      </c>
      <c r="AA246" t="s">
        <v>169</v>
      </c>
      <c r="AB246">
        <v>3.7</v>
      </c>
      <c r="AC246">
        <v>120</v>
      </c>
      <c r="AD246">
        <v>115.02</v>
      </c>
      <c r="AE246">
        <f t="shared" si="6"/>
        <v>164.18</v>
      </c>
      <c r="AF246" t="str">
        <f t="shared" si="7"/>
        <v>2025-02</v>
      </c>
      <c r="AG246">
        <f>SUBTOTAL(103,A246)</f>
        <v>1</v>
      </c>
    </row>
    <row r="247" spans="1:33" x14ac:dyDescent="0.3">
      <c r="A247" t="s">
        <v>2857</v>
      </c>
      <c r="B247" s="13">
        <v>45690</v>
      </c>
      <c r="C247">
        <v>2025</v>
      </c>
      <c r="D247">
        <v>2</v>
      </c>
      <c r="E247" t="s">
        <v>2849</v>
      </c>
      <c r="F247" t="s">
        <v>2572</v>
      </c>
      <c r="G247" t="s">
        <v>1347</v>
      </c>
      <c r="H247" t="s">
        <v>1348</v>
      </c>
      <c r="I247" t="s">
        <v>85</v>
      </c>
      <c r="J247">
        <v>39</v>
      </c>
      <c r="K247" t="s">
        <v>82</v>
      </c>
      <c r="L247" t="s">
        <v>2616</v>
      </c>
      <c r="M247" t="s">
        <v>62</v>
      </c>
      <c r="N247" t="s">
        <v>2574</v>
      </c>
      <c r="O247" t="s">
        <v>130</v>
      </c>
      <c r="P247" t="s">
        <v>50</v>
      </c>
      <c r="Q247" t="s">
        <v>53</v>
      </c>
      <c r="R247">
        <v>2</v>
      </c>
      <c r="S247">
        <v>1199</v>
      </c>
      <c r="T247">
        <v>0.05</v>
      </c>
      <c r="U247">
        <v>2278.1</v>
      </c>
      <c r="V247">
        <v>1100</v>
      </c>
      <c r="W247">
        <v>1178.0999999999999</v>
      </c>
      <c r="X247" t="s">
        <v>74</v>
      </c>
      <c r="Y247" t="s">
        <v>68</v>
      </c>
      <c r="Z247" t="s">
        <v>158</v>
      </c>
      <c r="AA247" t="s">
        <v>167</v>
      </c>
      <c r="AB247">
        <v>3.7</v>
      </c>
      <c r="AC247">
        <v>40</v>
      </c>
      <c r="AD247">
        <v>162.44999999999999</v>
      </c>
      <c r="AE247">
        <f t="shared" si="6"/>
        <v>975.64999999999986</v>
      </c>
      <c r="AF247" t="str">
        <f t="shared" si="7"/>
        <v>2025-02</v>
      </c>
      <c r="AG247">
        <f>SUBTOTAL(103,A247)</f>
        <v>1</v>
      </c>
    </row>
    <row r="248" spans="1:33" x14ac:dyDescent="0.3">
      <c r="A248" t="s">
        <v>2858</v>
      </c>
      <c r="B248" s="13">
        <v>45690</v>
      </c>
      <c r="C248">
        <v>2025</v>
      </c>
      <c r="D248">
        <v>2</v>
      </c>
      <c r="E248" t="s">
        <v>2849</v>
      </c>
      <c r="F248" t="s">
        <v>2572</v>
      </c>
      <c r="G248" t="s">
        <v>491</v>
      </c>
      <c r="H248" t="s">
        <v>492</v>
      </c>
      <c r="I248" t="s">
        <v>86</v>
      </c>
      <c r="J248">
        <v>40</v>
      </c>
      <c r="K248" t="s">
        <v>82</v>
      </c>
      <c r="L248" t="s">
        <v>2589</v>
      </c>
      <c r="M248" t="s">
        <v>61</v>
      </c>
      <c r="N248" t="s">
        <v>2580</v>
      </c>
      <c r="O248" t="s">
        <v>118</v>
      </c>
      <c r="P248" t="s">
        <v>48</v>
      </c>
      <c r="Q248" t="s">
        <v>142</v>
      </c>
      <c r="R248">
        <v>4</v>
      </c>
      <c r="S248">
        <v>3999</v>
      </c>
      <c r="T248">
        <v>0.15</v>
      </c>
      <c r="U248">
        <v>13596.6</v>
      </c>
      <c r="V248">
        <v>9600</v>
      </c>
      <c r="W248">
        <v>3996.6</v>
      </c>
      <c r="X248" t="s">
        <v>77</v>
      </c>
      <c r="Y248" t="s">
        <v>68</v>
      </c>
      <c r="Z248" t="s">
        <v>159</v>
      </c>
      <c r="AA248" t="s">
        <v>167</v>
      </c>
      <c r="AB248">
        <v>4.5</v>
      </c>
      <c r="AC248">
        <v>60</v>
      </c>
      <c r="AD248">
        <v>1143.8800000000001</v>
      </c>
      <c r="AE248">
        <f t="shared" si="6"/>
        <v>2792.72</v>
      </c>
      <c r="AF248" t="str">
        <f t="shared" si="7"/>
        <v>2025-02</v>
      </c>
      <c r="AG248">
        <f>SUBTOTAL(103,A248)</f>
        <v>1</v>
      </c>
    </row>
    <row r="249" spans="1:33" x14ac:dyDescent="0.3">
      <c r="A249" t="s">
        <v>2859</v>
      </c>
      <c r="B249" s="13">
        <v>45690</v>
      </c>
      <c r="C249">
        <v>2025</v>
      </c>
      <c r="D249">
        <v>2</v>
      </c>
      <c r="E249" t="s">
        <v>2849</v>
      </c>
      <c r="F249" t="s">
        <v>2572</v>
      </c>
      <c r="G249" t="s">
        <v>187</v>
      </c>
      <c r="H249" t="s">
        <v>188</v>
      </c>
      <c r="I249" t="s">
        <v>85</v>
      </c>
      <c r="J249">
        <v>30</v>
      </c>
      <c r="K249" t="s">
        <v>81</v>
      </c>
      <c r="L249" t="s">
        <v>95</v>
      </c>
      <c r="M249" t="s">
        <v>56</v>
      </c>
      <c r="N249" t="s">
        <v>2630</v>
      </c>
      <c r="O249" t="s">
        <v>123</v>
      </c>
      <c r="P249" t="s">
        <v>52</v>
      </c>
      <c r="Q249" t="s">
        <v>146</v>
      </c>
      <c r="R249">
        <v>2</v>
      </c>
      <c r="S249">
        <v>2499</v>
      </c>
      <c r="T249">
        <v>0.05</v>
      </c>
      <c r="U249">
        <v>4748.1000000000004</v>
      </c>
      <c r="V249">
        <v>2800</v>
      </c>
      <c r="W249">
        <v>1948.1</v>
      </c>
      <c r="X249" t="s">
        <v>73</v>
      </c>
      <c r="Y249" t="s">
        <v>68</v>
      </c>
      <c r="Z249" t="s">
        <v>158</v>
      </c>
      <c r="AA249" t="s">
        <v>166</v>
      </c>
      <c r="AB249">
        <v>3.6</v>
      </c>
      <c r="AC249">
        <v>40</v>
      </c>
      <c r="AD249">
        <v>218.42</v>
      </c>
      <c r="AE249">
        <f t="shared" si="6"/>
        <v>1689.6799999999998</v>
      </c>
      <c r="AF249" t="str">
        <f t="shared" si="7"/>
        <v>2025-02</v>
      </c>
      <c r="AG249">
        <f>SUBTOTAL(103,A249)</f>
        <v>1</v>
      </c>
    </row>
    <row r="250" spans="1:33" x14ac:dyDescent="0.3">
      <c r="A250" t="s">
        <v>2860</v>
      </c>
      <c r="B250" s="13">
        <v>45691</v>
      </c>
      <c r="C250">
        <v>2025</v>
      </c>
      <c r="D250">
        <v>2</v>
      </c>
      <c r="E250" t="s">
        <v>2849</v>
      </c>
      <c r="F250" t="s">
        <v>2572</v>
      </c>
      <c r="G250" t="s">
        <v>1177</v>
      </c>
      <c r="H250" t="s">
        <v>1178</v>
      </c>
      <c r="I250" t="s">
        <v>86</v>
      </c>
      <c r="J250">
        <v>59</v>
      </c>
      <c r="K250" t="s">
        <v>83</v>
      </c>
      <c r="L250" t="s">
        <v>2661</v>
      </c>
      <c r="M250" t="s">
        <v>58</v>
      </c>
      <c r="N250" t="s">
        <v>2592</v>
      </c>
      <c r="O250" t="s">
        <v>115</v>
      </c>
      <c r="P250" t="s">
        <v>48</v>
      </c>
      <c r="Q250" t="s">
        <v>137</v>
      </c>
      <c r="R250">
        <v>1</v>
      </c>
      <c r="S250">
        <v>12999</v>
      </c>
      <c r="T250">
        <v>0</v>
      </c>
      <c r="U250">
        <v>12999</v>
      </c>
      <c r="V250">
        <v>9000</v>
      </c>
      <c r="W250">
        <v>3999</v>
      </c>
      <c r="X250" t="s">
        <v>75</v>
      </c>
      <c r="Y250" t="s">
        <v>69</v>
      </c>
      <c r="Z250" t="s">
        <v>159</v>
      </c>
      <c r="AA250" t="s">
        <v>170</v>
      </c>
      <c r="AB250">
        <v>3.9</v>
      </c>
      <c r="AC250">
        <v>60</v>
      </c>
      <c r="AD250">
        <v>1013.76</v>
      </c>
      <c r="AE250">
        <f t="shared" si="6"/>
        <v>2925.24</v>
      </c>
      <c r="AF250" t="str">
        <f t="shared" si="7"/>
        <v>2025-02</v>
      </c>
      <c r="AG250">
        <f>SUBTOTAL(103,A250)</f>
        <v>1</v>
      </c>
    </row>
    <row r="251" spans="1:33" x14ac:dyDescent="0.3">
      <c r="A251" t="s">
        <v>2861</v>
      </c>
      <c r="B251" s="13">
        <v>45691</v>
      </c>
      <c r="C251">
        <v>2025</v>
      </c>
      <c r="D251">
        <v>2</v>
      </c>
      <c r="E251" t="s">
        <v>2849</v>
      </c>
      <c r="F251" t="s">
        <v>2572</v>
      </c>
      <c r="G251" t="s">
        <v>559</v>
      </c>
      <c r="H251" t="s">
        <v>560</v>
      </c>
      <c r="I251" t="s">
        <v>86</v>
      </c>
      <c r="J251">
        <v>54</v>
      </c>
      <c r="K251" t="s">
        <v>83</v>
      </c>
      <c r="L251" t="s">
        <v>95</v>
      </c>
      <c r="M251" t="s">
        <v>56</v>
      </c>
      <c r="N251" t="s">
        <v>2647</v>
      </c>
      <c r="O251" t="s">
        <v>133</v>
      </c>
      <c r="P251" t="s">
        <v>50</v>
      </c>
      <c r="Q251" t="s">
        <v>145</v>
      </c>
      <c r="R251">
        <v>1</v>
      </c>
      <c r="S251">
        <v>799</v>
      </c>
      <c r="T251">
        <v>0.15</v>
      </c>
      <c r="U251">
        <v>679.15</v>
      </c>
      <c r="V251">
        <v>390</v>
      </c>
      <c r="W251">
        <v>289.14999999999998</v>
      </c>
      <c r="X251" t="s">
        <v>75</v>
      </c>
      <c r="Y251" t="s">
        <v>68</v>
      </c>
      <c r="Z251" t="s">
        <v>158</v>
      </c>
      <c r="AA251" t="s">
        <v>166</v>
      </c>
      <c r="AB251">
        <v>4.3</v>
      </c>
      <c r="AC251">
        <v>40</v>
      </c>
      <c r="AD251">
        <v>36.729999999999997</v>
      </c>
      <c r="AE251">
        <f t="shared" si="6"/>
        <v>212.42</v>
      </c>
      <c r="AF251" t="str">
        <f t="shared" si="7"/>
        <v>2025-02</v>
      </c>
      <c r="AG251">
        <f>SUBTOTAL(103,A251)</f>
        <v>1</v>
      </c>
    </row>
    <row r="252" spans="1:33" x14ac:dyDescent="0.3">
      <c r="A252" t="s">
        <v>2862</v>
      </c>
      <c r="B252" s="13">
        <v>45692</v>
      </c>
      <c r="C252">
        <v>2025</v>
      </c>
      <c r="D252">
        <v>2</v>
      </c>
      <c r="E252" t="s">
        <v>2849</v>
      </c>
      <c r="F252" t="s">
        <v>2572</v>
      </c>
      <c r="G252" t="s">
        <v>881</v>
      </c>
      <c r="H252" t="s">
        <v>882</v>
      </c>
      <c r="I252" t="s">
        <v>86</v>
      </c>
      <c r="J252">
        <v>47</v>
      </c>
      <c r="K252" t="s">
        <v>83</v>
      </c>
      <c r="L252" t="s">
        <v>2679</v>
      </c>
      <c r="M252" t="s">
        <v>60</v>
      </c>
      <c r="N252" t="s">
        <v>2580</v>
      </c>
      <c r="O252" t="s">
        <v>118</v>
      </c>
      <c r="P252" t="s">
        <v>48</v>
      </c>
      <c r="Q252" t="s">
        <v>142</v>
      </c>
      <c r="R252">
        <v>2</v>
      </c>
      <c r="S252">
        <v>3999</v>
      </c>
      <c r="T252">
        <v>0.05</v>
      </c>
      <c r="U252">
        <v>7598.1</v>
      </c>
      <c r="V252">
        <v>4800</v>
      </c>
      <c r="W252">
        <v>2798.1</v>
      </c>
      <c r="X252" t="s">
        <v>77</v>
      </c>
      <c r="Y252" t="s">
        <v>68</v>
      </c>
      <c r="Z252" t="s">
        <v>158</v>
      </c>
      <c r="AA252" t="s">
        <v>170</v>
      </c>
      <c r="AB252">
        <v>3.9</v>
      </c>
      <c r="AC252">
        <v>120</v>
      </c>
      <c r="AD252">
        <v>616.33000000000004</v>
      </c>
      <c r="AE252">
        <f t="shared" si="6"/>
        <v>2061.77</v>
      </c>
      <c r="AF252" t="str">
        <f t="shared" si="7"/>
        <v>2025-02</v>
      </c>
      <c r="AG252">
        <f>SUBTOTAL(103,A252)</f>
        <v>1</v>
      </c>
    </row>
    <row r="253" spans="1:33" x14ac:dyDescent="0.3">
      <c r="A253" t="s">
        <v>2863</v>
      </c>
      <c r="B253" s="13">
        <v>45692</v>
      </c>
      <c r="C253">
        <v>2025</v>
      </c>
      <c r="D253">
        <v>2</v>
      </c>
      <c r="E253" t="s">
        <v>2849</v>
      </c>
      <c r="F253" t="s">
        <v>2572</v>
      </c>
      <c r="G253" t="s">
        <v>2515</v>
      </c>
      <c r="H253" t="s">
        <v>2516</v>
      </c>
      <c r="I253" t="s">
        <v>85</v>
      </c>
      <c r="J253">
        <v>18</v>
      </c>
      <c r="K253" t="s">
        <v>80</v>
      </c>
      <c r="L253" t="s">
        <v>59</v>
      </c>
      <c r="M253" t="s">
        <v>59</v>
      </c>
      <c r="N253" t="s">
        <v>2657</v>
      </c>
      <c r="O253" t="s">
        <v>134</v>
      </c>
      <c r="P253" t="s">
        <v>49</v>
      </c>
      <c r="Q253" t="s">
        <v>140</v>
      </c>
      <c r="R253">
        <v>3</v>
      </c>
      <c r="S253">
        <v>599</v>
      </c>
      <c r="T253">
        <v>0.2</v>
      </c>
      <c r="U253">
        <v>1437.6</v>
      </c>
      <c r="V253">
        <v>750</v>
      </c>
      <c r="W253">
        <v>687.6</v>
      </c>
      <c r="X253" t="s">
        <v>76</v>
      </c>
      <c r="Y253" t="s">
        <v>68</v>
      </c>
      <c r="Z253" t="s">
        <v>159</v>
      </c>
      <c r="AA253" t="s">
        <v>167</v>
      </c>
      <c r="AB253">
        <v>3.8</v>
      </c>
      <c r="AC253">
        <v>40</v>
      </c>
      <c r="AD253">
        <v>31.58</v>
      </c>
      <c r="AE253">
        <f t="shared" si="6"/>
        <v>616.02</v>
      </c>
      <c r="AF253" t="str">
        <f t="shared" si="7"/>
        <v>2025-02</v>
      </c>
      <c r="AG253">
        <f>SUBTOTAL(103,A253)</f>
        <v>1</v>
      </c>
    </row>
    <row r="254" spans="1:33" x14ac:dyDescent="0.3">
      <c r="A254" t="s">
        <v>2864</v>
      </c>
      <c r="B254" s="13">
        <v>45692</v>
      </c>
      <c r="C254">
        <v>2025</v>
      </c>
      <c r="D254">
        <v>2</v>
      </c>
      <c r="E254" t="s">
        <v>2849</v>
      </c>
      <c r="F254" t="s">
        <v>2572</v>
      </c>
      <c r="G254" t="s">
        <v>607</v>
      </c>
      <c r="H254" t="s">
        <v>608</v>
      </c>
      <c r="I254" t="s">
        <v>85</v>
      </c>
      <c r="J254">
        <v>32</v>
      </c>
      <c r="K254" t="s">
        <v>81</v>
      </c>
      <c r="L254" t="s">
        <v>2637</v>
      </c>
      <c r="M254" t="s">
        <v>64</v>
      </c>
      <c r="N254" t="s">
        <v>2665</v>
      </c>
      <c r="O254" t="s">
        <v>128</v>
      </c>
      <c r="P254" t="s">
        <v>53</v>
      </c>
      <c r="Q254" t="s">
        <v>143</v>
      </c>
      <c r="R254">
        <v>1</v>
      </c>
      <c r="S254">
        <v>1499</v>
      </c>
      <c r="T254">
        <v>0.15</v>
      </c>
      <c r="U254">
        <v>1274.1500000000001</v>
      </c>
      <c r="V254">
        <v>800</v>
      </c>
      <c r="W254">
        <v>474.15</v>
      </c>
      <c r="X254" t="s">
        <v>73</v>
      </c>
      <c r="Y254" t="s">
        <v>69</v>
      </c>
      <c r="Z254" t="s">
        <v>162</v>
      </c>
      <c r="AA254" t="s">
        <v>169</v>
      </c>
      <c r="AB254">
        <v>4.2</v>
      </c>
      <c r="AC254">
        <v>80</v>
      </c>
      <c r="AD254">
        <v>86.82</v>
      </c>
      <c r="AE254">
        <f t="shared" si="6"/>
        <v>307.33</v>
      </c>
      <c r="AF254" t="str">
        <f t="shared" si="7"/>
        <v>2025-02</v>
      </c>
      <c r="AG254">
        <f>SUBTOTAL(103,A254)</f>
        <v>1</v>
      </c>
    </row>
    <row r="255" spans="1:33" x14ac:dyDescent="0.3">
      <c r="A255" t="s">
        <v>2865</v>
      </c>
      <c r="B255" s="13">
        <v>45692</v>
      </c>
      <c r="C255">
        <v>2025</v>
      </c>
      <c r="D255">
        <v>2</v>
      </c>
      <c r="E255" t="s">
        <v>2849</v>
      </c>
      <c r="F255" t="s">
        <v>2572</v>
      </c>
      <c r="G255" t="s">
        <v>1309</v>
      </c>
      <c r="H255" t="s">
        <v>1310</v>
      </c>
      <c r="I255" t="s">
        <v>85</v>
      </c>
      <c r="J255">
        <v>23</v>
      </c>
      <c r="K255" t="s">
        <v>80</v>
      </c>
      <c r="L255" t="s">
        <v>2679</v>
      </c>
      <c r="M255" t="s">
        <v>60</v>
      </c>
      <c r="N255" t="s">
        <v>2665</v>
      </c>
      <c r="O255" t="s">
        <v>128</v>
      </c>
      <c r="P255" t="s">
        <v>53</v>
      </c>
      <c r="Q255" t="s">
        <v>143</v>
      </c>
      <c r="R255">
        <v>1</v>
      </c>
      <c r="S255">
        <v>1499</v>
      </c>
      <c r="T255">
        <v>0</v>
      </c>
      <c r="U255">
        <v>1499</v>
      </c>
      <c r="V255">
        <v>800</v>
      </c>
      <c r="W255">
        <v>699</v>
      </c>
      <c r="X255" t="s">
        <v>77</v>
      </c>
      <c r="Y255" t="s">
        <v>68</v>
      </c>
      <c r="Z255" t="s">
        <v>159</v>
      </c>
      <c r="AA255" t="s">
        <v>168</v>
      </c>
      <c r="AB255">
        <v>4</v>
      </c>
      <c r="AC255">
        <v>60</v>
      </c>
      <c r="AD255">
        <v>119.32</v>
      </c>
      <c r="AE255">
        <f t="shared" si="6"/>
        <v>519.68000000000006</v>
      </c>
      <c r="AF255" t="str">
        <f t="shared" si="7"/>
        <v>2025-02</v>
      </c>
      <c r="AG255">
        <f>SUBTOTAL(103,A255)</f>
        <v>1</v>
      </c>
    </row>
    <row r="256" spans="1:33" x14ac:dyDescent="0.3">
      <c r="A256" t="s">
        <v>2866</v>
      </c>
      <c r="B256" s="13">
        <v>45692</v>
      </c>
      <c r="C256">
        <v>2025</v>
      </c>
      <c r="D256">
        <v>2</v>
      </c>
      <c r="E256" t="s">
        <v>2849</v>
      </c>
      <c r="F256" t="s">
        <v>2572</v>
      </c>
      <c r="G256" t="s">
        <v>251</v>
      </c>
      <c r="H256" t="s">
        <v>252</v>
      </c>
      <c r="I256" t="s">
        <v>85</v>
      </c>
      <c r="J256">
        <v>53</v>
      </c>
      <c r="K256" t="s">
        <v>83</v>
      </c>
      <c r="L256" t="s">
        <v>94</v>
      </c>
      <c r="M256" t="s">
        <v>57</v>
      </c>
      <c r="N256" t="s">
        <v>2584</v>
      </c>
      <c r="O256" t="s">
        <v>121</v>
      </c>
      <c r="P256" t="s">
        <v>50</v>
      </c>
      <c r="Q256" t="s">
        <v>144</v>
      </c>
      <c r="R256">
        <v>5</v>
      </c>
      <c r="S256">
        <v>2999</v>
      </c>
      <c r="T256">
        <v>0.05</v>
      </c>
      <c r="U256">
        <v>0</v>
      </c>
      <c r="V256">
        <v>0</v>
      </c>
      <c r="W256">
        <v>0</v>
      </c>
      <c r="X256" t="s">
        <v>74</v>
      </c>
      <c r="Y256" t="s">
        <v>71</v>
      </c>
      <c r="Z256" t="s">
        <v>163</v>
      </c>
      <c r="AA256" t="s">
        <v>167</v>
      </c>
      <c r="AB256">
        <v>4.3</v>
      </c>
      <c r="AC256">
        <v>60</v>
      </c>
      <c r="AD256">
        <v>549.92999999999995</v>
      </c>
      <c r="AE256">
        <f t="shared" si="6"/>
        <v>-609.92999999999995</v>
      </c>
      <c r="AF256" t="str">
        <f t="shared" si="7"/>
        <v>2025-02</v>
      </c>
      <c r="AG256">
        <f>SUBTOTAL(103,A256)</f>
        <v>1</v>
      </c>
    </row>
    <row r="257" spans="1:33" x14ac:dyDescent="0.3">
      <c r="A257" t="s">
        <v>2867</v>
      </c>
      <c r="B257" s="13">
        <v>45692</v>
      </c>
      <c r="C257">
        <v>2025</v>
      </c>
      <c r="D257">
        <v>2</v>
      </c>
      <c r="E257" t="s">
        <v>2849</v>
      </c>
      <c r="F257" t="s">
        <v>2572</v>
      </c>
      <c r="G257" t="s">
        <v>959</v>
      </c>
      <c r="H257" t="s">
        <v>960</v>
      </c>
      <c r="I257" t="s">
        <v>86</v>
      </c>
      <c r="J257">
        <v>26</v>
      </c>
      <c r="K257" t="s">
        <v>81</v>
      </c>
      <c r="L257" t="s">
        <v>2679</v>
      </c>
      <c r="M257" t="s">
        <v>60</v>
      </c>
      <c r="N257" t="s">
        <v>2580</v>
      </c>
      <c r="O257" t="s">
        <v>118</v>
      </c>
      <c r="P257" t="s">
        <v>48</v>
      </c>
      <c r="Q257" t="s">
        <v>142</v>
      </c>
      <c r="R257">
        <v>5</v>
      </c>
      <c r="S257">
        <v>3999</v>
      </c>
      <c r="T257">
        <v>0.1</v>
      </c>
      <c r="U257">
        <v>17995.5</v>
      </c>
      <c r="V257">
        <v>12000</v>
      </c>
      <c r="W257">
        <v>5995.5</v>
      </c>
      <c r="X257" t="s">
        <v>73</v>
      </c>
      <c r="Y257" t="s">
        <v>68</v>
      </c>
      <c r="Z257" t="s">
        <v>162</v>
      </c>
      <c r="AA257" t="s">
        <v>169</v>
      </c>
      <c r="AB257">
        <v>3</v>
      </c>
      <c r="AC257">
        <v>40</v>
      </c>
      <c r="AD257">
        <v>1831.44</v>
      </c>
      <c r="AE257">
        <f t="shared" si="6"/>
        <v>4124.0599999999995</v>
      </c>
      <c r="AF257" t="str">
        <f t="shared" si="7"/>
        <v>2025-02</v>
      </c>
      <c r="AG257">
        <f>SUBTOTAL(103,A257)</f>
        <v>1</v>
      </c>
    </row>
    <row r="258" spans="1:33" x14ac:dyDescent="0.3">
      <c r="A258" t="s">
        <v>2868</v>
      </c>
      <c r="B258" s="13">
        <v>45693</v>
      </c>
      <c r="C258">
        <v>2025</v>
      </c>
      <c r="D258">
        <v>2</v>
      </c>
      <c r="E258" t="s">
        <v>2849</v>
      </c>
      <c r="F258" t="s">
        <v>2572</v>
      </c>
      <c r="G258" t="s">
        <v>1831</v>
      </c>
      <c r="H258" t="s">
        <v>1832</v>
      </c>
      <c r="I258" t="s">
        <v>86</v>
      </c>
      <c r="J258">
        <v>34</v>
      </c>
      <c r="K258" t="s">
        <v>81</v>
      </c>
      <c r="L258" t="s">
        <v>91</v>
      </c>
      <c r="M258" t="s">
        <v>55</v>
      </c>
      <c r="N258" t="s">
        <v>2606</v>
      </c>
      <c r="O258" t="s">
        <v>120</v>
      </c>
      <c r="P258" t="s">
        <v>49</v>
      </c>
      <c r="Q258" t="s">
        <v>140</v>
      </c>
      <c r="R258">
        <v>1</v>
      </c>
      <c r="S258">
        <v>2799</v>
      </c>
      <c r="T258">
        <v>0</v>
      </c>
      <c r="U258">
        <v>2799</v>
      </c>
      <c r="V258">
        <v>1650</v>
      </c>
      <c r="W258">
        <v>1149</v>
      </c>
      <c r="X258" t="s">
        <v>75</v>
      </c>
      <c r="Y258" t="s">
        <v>68</v>
      </c>
      <c r="Z258" t="s">
        <v>158</v>
      </c>
      <c r="AA258" t="s">
        <v>166</v>
      </c>
      <c r="AB258">
        <v>3.9</v>
      </c>
      <c r="AC258">
        <v>100</v>
      </c>
      <c r="AD258">
        <v>281.69</v>
      </c>
      <c r="AE258">
        <f t="shared" ref="AE258:AE321" si="8">W258-AC258-AD258</f>
        <v>767.31</v>
      </c>
      <c r="AF258" t="str">
        <f t="shared" ref="AF258:AF321" si="9">C258&amp;"-"&amp;TEXT(D258,"00")</f>
        <v>2025-02</v>
      </c>
      <c r="AG258">
        <f>SUBTOTAL(103,A258)</f>
        <v>1</v>
      </c>
    </row>
    <row r="259" spans="1:33" x14ac:dyDescent="0.3">
      <c r="A259" t="s">
        <v>2869</v>
      </c>
      <c r="B259" s="13">
        <v>45693</v>
      </c>
      <c r="C259">
        <v>2025</v>
      </c>
      <c r="D259">
        <v>2</v>
      </c>
      <c r="E259" t="s">
        <v>2849</v>
      </c>
      <c r="F259" t="s">
        <v>2572</v>
      </c>
      <c r="G259" t="s">
        <v>523</v>
      </c>
      <c r="H259" t="s">
        <v>524</v>
      </c>
      <c r="I259" t="s">
        <v>85</v>
      </c>
      <c r="J259">
        <v>26</v>
      </c>
      <c r="K259" t="s">
        <v>81</v>
      </c>
      <c r="L259" t="s">
        <v>2679</v>
      </c>
      <c r="M259" t="s">
        <v>60</v>
      </c>
      <c r="N259" t="s">
        <v>2582</v>
      </c>
      <c r="O259" t="s">
        <v>119</v>
      </c>
      <c r="P259" t="s">
        <v>49</v>
      </c>
      <c r="Q259" t="s">
        <v>140</v>
      </c>
      <c r="R259">
        <v>3</v>
      </c>
      <c r="S259">
        <v>3499</v>
      </c>
      <c r="T259">
        <v>0.05</v>
      </c>
      <c r="U259">
        <v>9972.15</v>
      </c>
      <c r="V259">
        <v>6300</v>
      </c>
      <c r="W259">
        <v>3672.15</v>
      </c>
      <c r="X259" t="s">
        <v>75</v>
      </c>
      <c r="Y259" t="s">
        <v>68</v>
      </c>
      <c r="Z259" t="s">
        <v>162</v>
      </c>
      <c r="AA259" t="s">
        <v>167</v>
      </c>
      <c r="AB259">
        <v>2.7</v>
      </c>
      <c r="AC259">
        <v>100</v>
      </c>
      <c r="AD259">
        <v>746.01</v>
      </c>
      <c r="AE259">
        <f t="shared" si="8"/>
        <v>2826.1400000000003</v>
      </c>
      <c r="AF259" t="str">
        <f t="shared" si="9"/>
        <v>2025-02</v>
      </c>
      <c r="AG259">
        <f>SUBTOTAL(103,A259)</f>
        <v>1</v>
      </c>
    </row>
    <row r="260" spans="1:33" x14ac:dyDescent="0.3">
      <c r="A260" t="s">
        <v>2870</v>
      </c>
      <c r="B260" s="13">
        <v>45693</v>
      </c>
      <c r="C260">
        <v>2025</v>
      </c>
      <c r="D260">
        <v>2</v>
      </c>
      <c r="E260" t="s">
        <v>2849</v>
      </c>
      <c r="F260" t="s">
        <v>2572</v>
      </c>
      <c r="G260" t="s">
        <v>1019</v>
      </c>
      <c r="H260" t="s">
        <v>1020</v>
      </c>
      <c r="I260" t="s">
        <v>86</v>
      </c>
      <c r="J260">
        <v>41</v>
      </c>
      <c r="K260" t="s">
        <v>82</v>
      </c>
      <c r="L260" t="s">
        <v>90</v>
      </c>
      <c r="M260" t="s">
        <v>55</v>
      </c>
      <c r="N260" t="s">
        <v>2630</v>
      </c>
      <c r="O260" t="s">
        <v>123</v>
      </c>
      <c r="P260" t="s">
        <v>52</v>
      </c>
      <c r="Q260" t="s">
        <v>146</v>
      </c>
      <c r="R260">
        <v>1</v>
      </c>
      <c r="S260">
        <v>2499</v>
      </c>
      <c r="T260">
        <v>0.05</v>
      </c>
      <c r="U260">
        <v>2374.0500000000002</v>
      </c>
      <c r="V260">
        <v>1400</v>
      </c>
      <c r="W260">
        <v>974.05</v>
      </c>
      <c r="X260" t="s">
        <v>73</v>
      </c>
      <c r="Y260" t="s">
        <v>68</v>
      </c>
      <c r="Z260" t="s">
        <v>163</v>
      </c>
      <c r="AA260" t="s">
        <v>167</v>
      </c>
      <c r="AB260">
        <v>4.5999999999999996</v>
      </c>
      <c r="AC260">
        <v>60</v>
      </c>
      <c r="AD260">
        <v>256.58999999999997</v>
      </c>
      <c r="AE260">
        <f t="shared" si="8"/>
        <v>657.46</v>
      </c>
      <c r="AF260" t="str">
        <f t="shared" si="9"/>
        <v>2025-02</v>
      </c>
      <c r="AG260">
        <f>SUBTOTAL(103,A260)</f>
        <v>1</v>
      </c>
    </row>
    <row r="261" spans="1:33" x14ac:dyDescent="0.3">
      <c r="A261" t="s">
        <v>2871</v>
      </c>
      <c r="B261" s="13">
        <v>45694</v>
      </c>
      <c r="C261">
        <v>2025</v>
      </c>
      <c r="D261">
        <v>2</v>
      </c>
      <c r="E261" t="s">
        <v>2849</v>
      </c>
      <c r="F261" t="s">
        <v>2572</v>
      </c>
      <c r="G261" t="s">
        <v>643</v>
      </c>
      <c r="H261" t="s">
        <v>644</v>
      </c>
      <c r="I261" t="s">
        <v>85</v>
      </c>
      <c r="J261">
        <v>35</v>
      </c>
      <c r="K261" t="s">
        <v>81</v>
      </c>
      <c r="L261" t="s">
        <v>2623</v>
      </c>
      <c r="M261" t="s">
        <v>61</v>
      </c>
      <c r="N261" t="s">
        <v>2582</v>
      </c>
      <c r="O261" t="s">
        <v>119</v>
      </c>
      <c r="P261" t="s">
        <v>49</v>
      </c>
      <c r="Q261" t="s">
        <v>140</v>
      </c>
      <c r="R261">
        <v>2</v>
      </c>
      <c r="S261">
        <v>3499</v>
      </c>
      <c r="T261">
        <v>0.1</v>
      </c>
      <c r="U261">
        <v>6298.2</v>
      </c>
      <c r="V261">
        <v>4200</v>
      </c>
      <c r="W261">
        <v>2098.1999999999998</v>
      </c>
      <c r="X261" t="s">
        <v>74</v>
      </c>
      <c r="Y261" t="s">
        <v>68</v>
      </c>
      <c r="Z261" t="s">
        <v>163</v>
      </c>
      <c r="AA261" t="s">
        <v>168</v>
      </c>
      <c r="AB261">
        <v>3.7</v>
      </c>
      <c r="AC261">
        <v>40</v>
      </c>
      <c r="AD261">
        <v>538.99</v>
      </c>
      <c r="AE261">
        <f t="shared" si="8"/>
        <v>1519.2099999999998</v>
      </c>
      <c r="AF261" t="str">
        <f t="shared" si="9"/>
        <v>2025-02</v>
      </c>
      <c r="AG261">
        <f>SUBTOTAL(103,A261)</f>
        <v>1</v>
      </c>
    </row>
    <row r="262" spans="1:33" x14ac:dyDescent="0.3">
      <c r="A262" t="s">
        <v>2872</v>
      </c>
      <c r="B262" s="13">
        <v>45694</v>
      </c>
      <c r="C262">
        <v>2025</v>
      </c>
      <c r="D262">
        <v>2</v>
      </c>
      <c r="E262" t="s">
        <v>2849</v>
      </c>
      <c r="F262" t="s">
        <v>2572</v>
      </c>
      <c r="G262" t="s">
        <v>2033</v>
      </c>
      <c r="H262" t="s">
        <v>2034</v>
      </c>
      <c r="I262" t="s">
        <v>85</v>
      </c>
      <c r="J262">
        <v>49</v>
      </c>
      <c r="K262" t="s">
        <v>83</v>
      </c>
      <c r="L262" t="s">
        <v>100</v>
      </c>
      <c r="M262" t="s">
        <v>56</v>
      </c>
      <c r="N262" t="s">
        <v>2596</v>
      </c>
      <c r="O262" t="s">
        <v>124</v>
      </c>
      <c r="P262" t="s">
        <v>51</v>
      </c>
      <c r="Q262" t="s">
        <v>147</v>
      </c>
      <c r="R262">
        <v>2</v>
      </c>
      <c r="S262">
        <v>2299</v>
      </c>
      <c r="T262">
        <v>0.15</v>
      </c>
      <c r="U262">
        <v>3908.3</v>
      </c>
      <c r="V262">
        <v>2400</v>
      </c>
      <c r="W262">
        <v>1508.3</v>
      </c>
      <c r="X262" t="s">
        <v>74</v>
      </c>
      <c r="Y262" t="s">
        <v>68</v>
      </c>
      <c r="Z262" t="s">
        <v>159</v>
      </c>
      <c r="AA262" t="s">
        <v>167</v>
      </c>
      <c r="AB262">
        <v>4.7</v>
      </c>
      <c r="AC262">
        <v>50</v>
      </c>
      <c r="AD262">
        <v>410.51</v>
      </c>
      <c r="AE262">
        <f t="shared" si="8"/>
        <v>1047.79</v>
      </c>
      <c r="AF262" t="str">
        <f t="shared" si="9"/>
        <v>2025-02</v>
      </c>
      <c r="AG262">
        <f>SUBTOTAL(103,A262)</f>
        <v>1</v>
      </c>
    </row>
    <row r="263" spans="1:33" x14ac:dyDescent="0.3">
      <c r="A263" t="s">
        <v>2873</v>
      </c>
      <c r="B263" s="13">
        <v>45694</v>
      </c>
      <c r="C263">
        <v>2025</v>
      </c>
      <c r="D263">
        <v>2</v>
      </c>
      <c r="E263" t="s">
        <v>2849</v>
      </c>
      <c r="F263" t="s">
        <v>2572</v>
      </c>
      <c r="G263" t="s">
        <v>673</v>
      </c>
      <c r="H263" t="s">
        <v>674</v>
      </c>
      <c r="I263" t="s">
        <v>86</v>
      </c>
      <c r="J263">
        <v>43</v>
      </c>
      <c r="K263" t="s">
        <v>82</v>
      </c>
      <c r="L263" t="s">
        <v>97</v>
      </c>
      <c r="M263" t="s">
        <v>57</v>
      </c>
      <c r="N263" t="s">
        <v>2584</v>
      </c>
      <c r="O263" t="s">
        <v>121</v>
      </c>
      <c r="P263" t="s">
        <v>50</v>
      </c>
      <c r="Q263" t="s">
        <v>144</v>
      </c>
      <c r="R263">
        <v>1</v>
      </c>
      <c r="S263">
        <v>2999</v>
      </c>
      <c r="T263">
        <v>0.25</v>
      </c>
      <c r="U263">
        <v>2249.25</v>
      </c>
      <c r="V263">
        <v>1700</v>
      </c>
      <c r="W263">
        <v>549.25</v>
      </c>
      <c r="X263" t="s">
        <v>74</v>
      </c>
      <c r="Y263" t="s">
        <v>68</v>
      </c>
      <c r="Z263" t="s">
        <v>158</v>
      </c>
      <c r="AA263" t="s">
        <v>166</v>
      </c>
      <c r="AB263">
        <v>5</v>
      </c>
      <c r="AC263">
        <v>60</v>
      </c>
      <c r="AD263">
        <v>237.31</v>
      </c>
      <c r="AE263">
        <f t="shared" si="8"/>
        <v>251.94</v>
      </c>
      <c r="AF263" t="str">
        <f t="shared" si="9"/>
        <v>2025-02</v>
      </c>
      <c r="AG263">
        <f>SUBTOTAL(103,A263)</f>
        <v>1</v>
      </c>
    </row>
    <row r="264" spans="1:33" x14ac:dyDescent="0.3">
      <c r="A264" t="s">
        <v>2874</v>
      </c>
      <c r="B264" s="13">
        <v>45694</v>
      </c>
      <c r="C264">
        <v>2025</v>
      </c>
      <c r="D264">
        <v>2</v>
      </c>
      <c r="E264" t="s">
        <v>2849</v>
      </c>
      <c r="F264" t="s">
        <v>2572</v>
      </c>
      <c r="G264" t="s">
        <v>1571</v>
      </c>
      <c r="H264" t="s">
        <v>1572</v>
      </c>
      <c r="I264" t="s">
        <v>86</v>
      </c>
      <c r="J264">
        <v>30</v>
      </c>
      <c r="K264" t="s">
        <v>81</v>
      </c>
      <c r="L264" t="s">
        <v>2605</v>
      </c>
      <c r="M264" t="s">
        <v>60</v>
      </c>
      <c r="N264" t="s">
        <v>2584</v>
      </c>
      <c r="O264" t="s">
        <v>121</v>
      </c>
      <c r="P264" t="s">
        <v>50</v>
      </c>
      <c r="Q264" t="s">
        <v>144</v>
      </c>
      <c r="R264">
        <v>1</v>
      </c>
      <c r="S264">
        <v>2999</v>
      </c>
      <c r="T264">
        <v>0.1</v>
      </c>
      <c r="U264">
        <v>2699.1</v>
      </c>
      <c r="V264">
        <v>1700</v>
      </c>
      <c r="W264">
        <v>999.1</v>
      </c>
      <c r="X264" t="s">
        <v>77</v>
      </c>
      <c r="Y264" t="s">
        <v>68</v>
      </c>
      <c r="Z264" t="s">
        <v>159</v>
      </c>
      <c r="AA264" t="s">
        <v>166</v>
      </c>
      <c r="AB264">
        <v>4.2</v>
      </c>
      <c r="AC264">
        <v>80</v>
      </c>
      <c r="AD264">
        <v>316.98</v>
      </c>
      <c r="AE264">
        <f t="shared" si="8"/>
        <v>602.12</v>
      </c>
      <c r="AF264" t="str">
        <f t="shared" si="9"/>
        <v>2025-02</v>
      </c>
      <c r="AG264">
        <f>SUBTOTAL(103,A264)</f>
        <v>1</v>
      </c>
    </row>
    <row r="265" spans="1:33" x14ac:dyDescent="0.3">
      <c r="A265" t="s">
        <v>2875</v>
      </c>
      <c r="B265" s="13">
        <v>45694</v>
      </c>
      <c r="C265">
        <v>2025</v>
      </c>
      <c r="D265">
        <v>2</v>
      </c>
      <c r="E265" t="s">
        <v>2849</v>
      </c>
      <c r="F265" t="s">
        <v>2572</v>
      </c>
      <c r="G265" t="s">
        <v>563</v>
      </c>
      <c r="H265" t="s">
        <v>564</v>
      </c>
      <c r="I265" t="s">
        <v>85</v>
      </c>
      <c r="J265">
        <v>22</v>
      </c>
      <c r="K265" t="s">
        <v>80</v>
      </c>
      <c r="L265" t="s">
        <v>2576</v>
      </c>
      <c r="M265" t="s">
        <v>60</v>
      </c>
      <c r="N265" t="s">
        <v>2592</v>
      </c>
      <c r="O265" t="s">
        <v>115</v>
      </c>
      <c r="P265" t="s">
        <v>48</v>
      </c>
      <c r="Q265" t="s">
        <v>137</v>
      </c>
      <c r="R265">
        <v>3</v>
      </c>
      <c r="S265">
        <v>12999</v>
      </c>
      <c r="T265">
        <v>0.25</v>
      </c>
      <c r="U265">
        <v>29247.75</v>
      </c>
      <c r="V265">
        <v>27000</v>
      </c>
      <c r="W265">
        <v>2247.75</v>
      </c>
      <c r="X265" t="s">
        <v>74</v>
      </c>
      <c r="Y265" t="s">
        <v>68</v>
      </c>
      <c r="Z265" t="s">
        <v>161</v>
      </c>
      <c r="AA265" t="s">
        <v>169</v>
      </c>
      <c r="AB265">
        <v>4.3</v>
      </c>
      <c r="AC265">
        <v>80</v>
      </c>
      <c r="AD265">
        <v>3354.02</v>
      </c>
      <c r="AE265">
        <f t="shared" si="8"/>
        <v>-1186.27</v>
      </c>
      <c r="AF265" t="str">
        <f t="shared" si="9"/>
        <v>2025-02</v>
      </c>
      <c r="AG265">
        <f>SUBTOTAL(103,A265)</f>
        <v>1</v>
      </c>
    </row>
    <row r="266" spans="1:33" x14ac:dyDescent="0.3">
      <c r="A266" t="s">
        <v>2876</v>
      </c>
      <c r="B266" s="13">
        <v>45695</v>
      </c>
      <c r="C266">
        <v>2025</v>
      </c>
      <c r="D266">
        <v>2</v>
      </c>
      <c r="E266" t="s">
        <v>2849</v>
      </c>
      <c r="F266" t="s">
        <v>2572</v>
      </c>
      <c r="G266" t="s">
        <v>399</v>
      </c>
      <c r="H266" t="s">
        <v>400</v>
      </c>
      <c r="I266" t="s">
        <v>86</v>
      </c>
      <c r="J266">
        <v>29</v>
      </c>
      <c r="K266" t="s">
        <v>81</v>
      </c>
      <c r="L266" t="s">
        <v>2679</v>
      </c>
      <c r="M266" t="s">
        <v>60</v>
      </c>
      <c r="N266" t="s">
        <v>2574</v>
      </c>
      <c r="O266" t="s">
        <v>130</v>
      </c>
      <c r="P266" t="s">
        <v>50</v>
      </c>
      <c r="Q266" t="s">
        <v>53</v>
      </c>
      <c r="R266">
        <v>1</v>
      </c>
      <c r="S266">
        <v>1199</v>
      </c>
      <c r="T266">
        <v>0.05</v>
      </c>
      <c r="U266">
        <v>1139.05</v>
      </c>
      <c r="V266">
        <v>550</v>
      </c>
      <c r="W266">
        <v>589.04999999999995</v>
      </c>
      <c r="X266" t="s">
        <v>74</v>
      </c>
      <c r="Y266" t="s">
        <v>68</v>
      </c>
      <c r="Z266" t="s">
        <v>159</v>
      </c>
      <c r="AA266" t="s">
        <v>169</v>
      </c>
      <c r="AB266">
        <v>3.1</v>
      </c>
      <c r="AC266">
        <v>60</v>
      </c>
      <c r="AD266">
        <v>112.32</v>
      </c>
      <c r="AE266">
        <f t="shared" si="8"/>
        <v>416.72999999999996</v>
      </c>
      <c r="AF266" t="str">
        <f t="shared" si="9"/>
        <v>2025-02</v>
      </c>
      <c r="AG266">
        <f>SUBTOTAL(103,A266)</f>
        <v>1</v>
      </c>
    </row>
    <row r="267" spans="1:33" x14ac:dyDescent="0.3">
      <c r="A267" t="s">
        <v>2877</v>
      </c>
      <c r="B267" s="13">
        <v>45695</v>
      </c>
      <c r="C267">
        <v>2025</v>
      </c>
      <c r="D267">
        <v>2</v>
      </c>
      <c r="E267" t="s">
        <v>2849</v>
      </c>
      <c r="F267" t="s">
        <v>2572</v>
      </c>
      <c r="G267" t="s">
        <v>1685</v>
      </c>
      <c r="H267" t="s">
        <v>1686</v>
      </c>
      <c r="I267" t="s">
        <v>86</v>
      </c>
      <c r="J267">
        <v>37</v>
      </c>
      <c r="K267" t="s">
        <v>82</v>
      </c>
      <c r="L267" t="s">
        <v>2586</v>
      </c>
      <c r="M267" t="s">
        <v>62</v>
      </c>
      <c r="N267" t="s">
        <v>2580</v>
      </c>
      <c r="O267" t="s">
        <v>118</v>
      </c>
      <c r="P267" t="s">
        <v>48</v>
      </c>
      <c r="Q267" t="s">
        <v>142</v>
      </c>
      <c r="R267">
        <v>1</v>
      </c>
      <c r="S267">
        <v>3999</v>
      </c>
      <c r="T267">
        <v>0</v>
      </c>
      <c r="U267">
        <v>3999</v>
      </c>
      <c r="V267">
        <v>2400</v>
      </c>
      <c r="W267">
        <v>1599</v>
      </c>
      <c r="X267" t="s">
        <v>73</v>
      </c>
      <c r="Y267" t="s">
        <v>70</v>
      </c>
      <c r="Z267" t="s">
        <v>159</v>
      </c>
      <c r="AA267" t="s">
        <v>166</v>
      </c>
      <c r="AB267">
        <v>4</v>
      </c>
      <c r="AC267">
        <v>50</v>
      </c>
      <c r="AD267">
        <v>206.11</v>
      </c>
      <c r="AE267">
        <f t="shared" si="8"/>
        <v>1342.8899999999999</v>
      </c>
      <c r="AF267" t="str">
        <f t="shared" si="9"/>
        <v>2025-02</v>
      </c>
      <c r="AG267">
        <f>SUBTOTAL(103,A267)</f>
        <v>1</v>
      </c>
    </row>
    <row r="268" spans="1:33" x14ac:dyDescent="0.3">
      <c r="A268" t="s">
        <v>2878</v>
      </c>
      <c r="B268" s="13">
        <v>45695</v>
      </c>
      <c r="C268">
        <v>2025</v>
      </c>
      <c r="D268">
        <v>2</v>
      </c>
      <c r="E268" t="s">
        <v>2849</v>
      </c>
      <c r="F268" t="s">
        <v>2572</v>
      </c>
      <c r="G268" t="s">
        <v>1687</v>
      </c>
      <c r="H268" t="s">
        <v>1688</v>
      </c>
      <c r="I268" t="s">
        <v>85</v>
      </c>
      <c r="J268">
        <v>35</v>
      </c>
      <c r="K268" t="s">
        <v>81</v>
      </c>
      <c r="L268" t="s">
        <v>94</v>
      </c>
      <c r="M268" t="s">
        <v>57</v>
      </c>
      <c r="N268" t="s">
        <v>2647</v>
      </c>
      <c r="O268" t="s">
        <v>133</v>
      </c>
      <c r="P268" t="s">
        <v>50</v>
      </c>
      <c r="Q268" t="s">
        <v>145</v>
      </c>
      <c r="R268">
        <v>2</v>
      </c>
      <c r="S268">
        <v>799</v>
      </c>
      <c r="T268">
        <v>0.2</v>
      </c>
      <c r="U268">
        <v>1278.4000000000001</v>
      </c>
      <c r="V268">
        <v>780</v>
      </c>
      <c r="W268">
        <v>498.4</v>
      </c>
      <c r="X268" t="s">
        <v>75</v>
      </c>
      <c r="Y268" t="s">
        <v>68</v>
      </c>
      <c r="Z268" t="s">
        <v>159</v>
      </c>
      <c r="AA268" t="s">
        <v>166</v>
      </c>
      <c r="AB268">
        <v>4.2</v>
      </c>
      <c r="AC268">
        <v>60</v>
      </c>
      <c r="AD268">
        <v>97.33</v>
      </c>
      <c r="AE268">
        <f t="shared" si="8"/>
        <v>341.07</v>
      </c>
      <c r="AF268" t="str">
        <f t="shared" si="9"/>
        <v>2025-02</v>
      </c>
      <c r="AG268">
        <f>SUBTOTAL(103,A268)</f>
        <v>1</v>
      </c>
    </row>
    <row r="269" spans="1:33" x14ac:dyDescent="0.3">
      <c r="A269" t="s">
        <v>2879</v>
      </c>
      <c r="B269" s="13">
        <v>45695</v>
      </c>
      <c r="C269">
        <v>2025</v>
      </c>
      <c r="D269">
        <v>2</v>
      </c>
      <c r="E269" t="s">
        <v>2849</v>
      </c>
      <c r="F269" t="s">
        <v>2572</v>
      </c>
      <c r="G269" t="s">
        <v>231</v>
      </c>
      <c r="H269" t="s">
        <v>232</v>
      </c>
      <c r="I269" t="s">
        <v>85</v>
      </c>
      <c r="J269">
        <v>59</v>
      </c>
      <c r="K269" t="s">
        <v>83</v>
      </c>
      <c r="L269" t="s">
        <v>93</v>
      </c>
      <c r="M269" t="s">
        <v>55</v>
      </c>
      <c r="N269" t="s">
        <v>2577</v>
      </c>
      <c r="O269" t="s">
        <v>129</v>
      </c>
      <c r="P269" t="s">
        <v>49</v>
      </c>
      <c r="Q269" t="s">
        <v>149</v>
      </c>
      <c r="R269">
        <v>5</v>
      </c>
      <c r="S269">
        <v>1299</v>
      </c>
      <c r="T269">
        <v>0.05</v>
      </c>
      <c r="U269">
        <v>6170.25</v>
      </c>
      <c r="V269">
        <v>3250</v>
      </c>
      <c r="W269">
        <v>2920.25</v>
      </c>
      <c r="X269" t="s">
        <v>73</v>
      </c>
      <c r="Y269" t="s">
        <v>68</v>
      </c>
      <c r="Z269" t="s">
        <v>162</v>
      </c>
      <c r="AA269" t="s">
        <v>169</v>
      </c>
      <c r="AB269">
        <v>4.4000000000000004</v>
      </c>
      <c r="AC269">
        <v>60</v>
      </c>
      <c r="AD269">
        <v>338.22</v>
      </c>
      <c r="AE269">
        <f t="shared" si="8"/>
        <v>2522.0299999999997</v>
      </c>
      <c r="AF269" t="str">
        <f t="shared" si="9"/>
        <v>2025-02</v>
      </c>
      <c r="AG269">
        <f>SUBTOTAL(103,A269)</f>
        <v>1</v>
      </c>
    </row>
    <row r="270" spans="1:33" x14ac:dyDescent="0.3">
      <c r="A270" t="s">
        <v>2880</v>
      </c>
      <c r="B270" s="13">
        <v>45695</v>
      </c>
      <c r="C270">
        <v>2025</v>
      </c>
      <c r="D270">
        <v>2</v>
      </c>
      <c r="E270" t="s">
        <v>2849</v>
      </c>
      <c r="F270" t="s">
        <v>2572</v>
      </c>
      <c r="G270" t="s">
        <v>727</v>
      </c>
      <c r="H270" t="s">
        <v>728</v>
      </c>
      <c r="I270" t="s">
        <v>86</v>
      </c>
      <c r="J270">
        <v>57</v>
      </c>
      <c r="K270" t="s">
        <v>83</v>
      </c>
      <c r="L270" t="s">
        <v>2661</v>
      </c>
      <c r="M270" t="s">
        <v>58</v>
      </c>
      <c r="N270" t="s">
        <v>2630</v>
      </c>
      <c r="O270" t="s">
        <v>123</v>
      </c>
      <c r="P270" t="s">
        <v>52</v>
      </c>
      <c r="Q270" t="s">
        <v>146</v>
      </c>
      <c r="R270">
        <v>2</v>
      </c>
      <c r="S270">
        <v>2499</v>
      </c>
      <c r="T270">
        <v>0.1</v>
      </c>
      <c r="U270">
        <v>4498.2</v>
      </c>
      <c r="V270">
        <v>2800</v>
      </c>
      <c r="W270">
        <v>1698.2</v>
      </c>
      <c r="X270" t="s">
        <v>75</v>
      </c>
      <c r="Y270" t="s">
        <v>68</v>
      </c>
      <c r="Z270" t="s">
        <v>159</v>
      </c>
      <c r="AA270" t="s">
        <v>168</v>
      </c>
      <c r="AB270">
        <v>4.5</v>
      </c>
      <c r="AC270">
        <v>60</v>
      </c>
      <c r="AD270">
        <v>174.31</v>
      </c>
      <c r="AE270">
        <f t="shared" si="8"/>
        <v>1463.89</v>
      </c>
      <c r="AF270" t="str">
        <f t="shared" si="9"/>
        <v>2025-02</v>
      </c>
      <c r="AG270">
        <f>SUBTOTAL(103,A270)</f>
        <v>1</v>
      </c>
    </row>
    <row r="271" spans="1:33" x14ac:dyDescent="0.3">
      <c r="A271" t="s">
        <v>2881</v>
      </c>
      <c r="B271" s="13">
        <v>45695</v>
      </c>
      <c r="C271">
        <v>2025</v>
      </c>
      <c r="D271">
        <v>2</v>
      </c>
      <c r="E271" t="s">
        <v>2849</v>
      </c>
      <c r="F271" t="s">
        <v>2572</v>
      </c>
      <c r="G271" t="s">
        <v>1993</v>
      </c>
      <c r="H271" t="s">
        <v>1994</v>
      </c>
      <c r="I271" t="s">
        <v>85</v>
      </c>
      <c r="J271">
        <v>42</v>
      </c>
      <c r="K271" t="s">
        <v>82</v>
      </c>
      <c r="L271" t="s">
        <v>94</v>
      </c>
      <c r="M271" t="s">
        <v>57</v>
      </c>
      <c r="N271" t="s">
        <v>2594</v>
      </c>
      <c r="O271" t="s">
        <v>131</v>
      </c>
      <c r="P271" t="s">
        <v>53</v>
      </c>
      <c r="Q271" t="s">
        <v>143</v>
      </c>
      <c r="R271">
        <v>1</v>
      </c>
      <c r="S271">
        <v>999</v>
      </c>
      <c r="T271">
        <v>0</v>
      </c>
      <c r="U271">
        <v>999</v>
      </c>
      <c r="V271">
        <v>520</v>
      </c>
      <c r="W271">
        <v>479</v>
      </c>
      <c r="X271" t="s">
        <v>73</v>
      </c>
      <c r="Y271" t="s">
        <v>68</v>
      </c>
      <c r="Z271" t="s">
        <v>160</v>
      </c>
      <c r="AA271" t="s">
        <v>169</v>
      </c>
      <c r="AB271">
        <v>5</v>
      </c>
      <c r="AC271">
        <v>100</v>
      </c>
      <c r="AD271">
        <v>119.7</v>
      </c>
      <c r="AE271">
        <f t="shared" si="8"/>
        <v>259.3</v>
      </c>
      <c r="AF271" t="str">
        <f t="shared" si="9"/>
        <v>2025-02</v>
      </c>
      <c r="AG271">
        <f>SUBTOTAL(103,A271)</f>
        <v>1</v>
      </c>
    </row>
    <row r="272" spans="1:33" x14ac:dyDescent="0.3">
      <c r="A272" t="s">
        <v>2882</v>
      </c>
      <c r="B272" s="13">
        <v>45696</v>
      </c>
      <c r="C272">
        <v>2025</v>
      </c>
      <c r="D272">
        <v>2</v>
      </c>
      <c r="E272" t="s">
        <v>2849</v>
      </c>
      <c r="F272" t="s">
        <v>2572</v>
      </c>
      <c r="G272" t="s">
        <v>447</v>
      </c>
      <c r="H272" t="s">
        <v>448</v>
      </c>
      <c r="I272" t="s">
        <v>85</v>
      </c>
      <c r="J272">
        <v>32</v>
      </c>
      <c r="K272" t="s">
        <v>81</v>
      </c>
      <c r="L272" t="s">
        <v>90</v>
      </c>
      <c r="M272" t="s">
        <v>55</v>
      </c>
      <c r="N272" t="s">
        <v>2603</v>
      </c>
      <c r="O272" t="s">
        <v>122</v>
      </c>
      <c r="P272" t="s">
        <v>48</v>
      </c>
      <c r="Q272" t="s">
        <v>141</v>
      </c>
      <c r="R272">
        <v>2</v>
      </c>
      <c r="S272">
        <v>2499</v>
      </c>
      <c r="T272">
        <v>0.1</v>
      </c>
      <c r="U272">
        <v>4498.2</v>
      </c>
      <c r="V272">
        <v>2900</v>
      </c>
      <c r="W272">
        <v>1598.2</v>
      </c>
      <c r="X272" t="s">
        <v>75</v>
      </c>
      <c r="Y272" t="s">
        <v>68</v>
      </c>
      <c r="Z272" t="s">
        <v>162</v>
      </c>
      <c r="AA272" t="s">
        <v>167</v>
      </c>
      <c r="AB272">
        <v>4.3</v>
      </c>
      <c r="AC272">
        <v>60</v>
      </c>
      <c r="AD272">
        <v>447.37</v>
      </c>
      <c r="AE272">
        <f t="shared" si="8"/>
        <v>1090.83</v>
      </c>
      <c r="AF272" t="str">
        <f t="shared" si="9"/>
        <v>2025-02</v>
      </c>
      <c r="AG272">
        <f>SUBTOTAL(103,A272)</f>
        <v>1</v>
      </c>
    </row>
    <row r="273" spans="1:33" x14ac:dyDescent="0.3">
      <c r="A273" t="s">
        <v>2883</v>
      </c>
      <c r="B273" s="13">
        <v>45696</v>
      </c>
      <c r="C273">
        <v>2025</v>
      </c>
      <c r="D273">
        <v>2</v>
      </c>
      <c r="E273" t="s">
        <v>2849</v>
      </c>
      <c r="F273" t="s">
        <v>2572</v>
      </c>
      <c r="G273" t="s">
        <v>733</v>
      </c>
      <c r="H273" t="s">
        <v>734</v>
      </c>
      <c r="I273" t="s">
        <v>85</v>
      </c>
      <c r="J273">
        <v>57</v>
      </c>
      <c r="K273" t="s">
        <v>83</v>
      </c>
      <c r="L273" t="s">
        <v>2687</v>
      </c>
      <c r="M273" t="s">
        <v>57</v>
      </c>
      <c r="N273" t="s">
        <v>2596</v>
      </c>
      <c r="O273" t="s">
        <v>124</v>
      </c>
      <c r="P273" t="s">
        <v>51</v>
      </c>
      <c r="Q273" t="s">
        <v>147</v>
      </c>
      <c r="R273">
        <v>4</v>
      </c>
      <c r="S273">
        <v>2299</v>
      </c>
      <c r="T273">
        <v>0.1</v>
      </c>
      <c r="U273">
        <v>8276.4</v>
      </c>
      <c r="V273">
        <v>4800</v>
      </c>
      <c r="W273">
        <v>3476.4</v>
      </c>
      <c r="X273" t="s">
        <v>73</v>
      </c>
      <c r="Y273" t="s">
        <v>68</v>
      </c>
      <c r="Z273" t="s">
        <v>163</v>
      </c>
      <c r="AA273" t="s">
        <v>166</v>
      </c>
      <c r="AB273">
        <v>4.2</v>
      </c>
      <c r="AC273">
        <v>50</v>
      </c>
      <c r="AD273">
        <v>574.72</v>
      </c>
      <c r="AE273">
        <f t="shared" si="8"/>
        <v>2851.6800000000003</v>
      </c>
      <c r="AF273" t="str">
        <f t="shared" si="9"/>
        <v>2025-02</v>
      </c>
      <c r="AG273">
        <f>SUBTOTAL(103,A273)</f>
        <v>1</v>
      </c>
    </row>
    <row r="274" spans="1:33" x14ac:dyDescent="0.3">
      <c r="A274" t="s">
        <v>2884</v>
      </c>
      <c r="B274" s="13">
        <v>45696</v>
      </c>
      <c r="C274">
        <v>2025</v>
      </c>
      <c r="D274">
        <v>2</v>
      </c>
      <c r="E274" t="s">
        <v>2849</v>
      </c>
      <c r="F274" t="s">
        <v>2572</v>
      </c>
      <c r="G274" t="s">
        <v>1599</v>
      </c>
      <c r="H274" t="s">
        <v>1600</v>
      </c>
      <c r="I274" t="s">
        <v>85</v>
      </c>
      <c r="J274">
        <v>51</v>
      </c>
      <c r="K274" t="s">
        <v>83</v>
      </c>
      <c r="L274" t="s">
        <v>2687</v>
      </c>
      <c r="M274" t="s">
        <v>57</v>
      </c>
      <c r="N274" t="s">
        <v>2653</v>
      </c>
      <c r="O274" t="s">
        <v>132</v>
      </c>
      <c r="P274" t="s">
        <v>52</v>
      </c>
      <c r="Q274" t="s">
        <v>150</v>
      </c>
      <c r="R274">
        <v>2</v>
      </c>
      <c r="S274">
        <v>899</v>
      </c>
      <c r="T274">
        <v>0.1</v>
      </c>
      <c r="U274">
        <v>1618.2</v>
      </c>
      <c r="V274">
        <v>840</v>
      </c>
      <c r="W274">
        <v>778.2</v>
      </c>
      <c r="X274" t="s">
        <v>74</v>
      </c>
      <c r="Y274" t="s">
        <v>68</v>
      </c>
      <c r="Z274" t="s">
        <v>158</v>
      </c>
      <c r="AA274" t="s">
        <v>168</v>
      </c>
      <c r="AB274">
        <v>3.1</v>
      </c>
      <c r="AC274">
        <v>60</v>
      </c>
      <c r="AD274">
        <v>189.91</v>
      </c>
      <c r="AE274">
        <f t="shared" si="8"/>
        <v>528.29000000000008</v>
      </c>
      <c r="AF274" t="str">
        <f t="shared" si="9"/>
        <v>2025-02</v>
      </c>
      <c r="AG274">
        <f>SUBTOTAL(103,A274)</f>
        <v>1</v>
      </c>
    </row>
    <row r="275" spans="1:33" x14ac:dyDescent="0.3">
      <c r="A275" t="s">
        <v>2885</v>
      </c>
      <c r="B275" s="13">
        <v>45696</v>
      </c>
      <c r="C275">
        <v>2025</v>
      </c>
      <c r="D275">
        <v>2</v>
      </c>
      <c r="E275" t="s">
        <v>2849</v>
      </c>
      <c r="F275" t="s">
        <v>2572</v>
      </c>
      <c r="G275" t="s">
        <v>737</v>
      </c>
      <c r="H275" t="s">
        <v>738</v>
      </c>
      <c r="I275" t="s">
        <v>86</v>
      </c>
      <c r="J275">
        <v>39</v>
      </c>
      <c r="K275" t="s">
        <v>82</v>
      </c>
      <c r="L275" t="s">
        <v>2579</v>
      </c>
      <c r="M275" t="s">
        <v>56</v>
      </c>
      <c r="N275" t="s">
        <v>2584</v>
      </c>
      <c r="O275" t="s">
        <v>121</v>
      </c>
      <c r="P275" t="s">
        <v>50</v>
      </c>
      <c r="Q275" t="s">
        <v>144</v>
      </c>
      <c r="R275">
        <v>3</v>
      </c>
      <c r="S275">
        <v>2999</v>
      </c>
      <c r="T275">
        <v>0.15</v>
      </c>
      <c r="U275">
        <v>0</v>
      </c>
      <c r="V275">
        <v>0</v>
      </c>
      <c r="W275">
        <v>0</v>
      </c>
      <c r="X275" t="s">
        <v>73</v>
      </c>
      <c r="Y275" t="s">
        <v>71</v>
      </c>
      <c r="Z275" t="s">
        <v>158</v>
      </c>
      <c r="AA275" t="s">
        <v>166</v>
      </c>
      <c r="AB275">
        <v>4.3</v>
      </c>
      <c r="AC275">
        <v>50</v>
      </c>
      <c r="AD275">
        <v>355.66</v>
      </c>
      <c r="AE275">
        <f t="shared" si="8"/>
        <v>-405.66</v>
      </c>
      <c r="AF275" t="str">
        <f t="shared" si="9"/>
        <v>2025-02</v>
      </c>
      <c r="AG275">
        <f>SUBTOTAL(103,A275)</f>
        <v>1</v>
      </c>
    </row>
    <row r="276" spans="1:33" x14ac:dyDescent="0.3">
      <c r="A276" t="s">
        <v>2886</v>
      </c>
      <c r="B276" s="13">
        <v>45696</v>
      </c>
      <c r="C276">
        <v>2025</v>
      </c>
      <c r="D276">
        <v>2</v>
      </c>
      <c r="E276" t="s">
        <v>2849</v>
      </c>
      <c r="F276" t="s">
        <v>2572</v>
      </c>
      <c r="G276" t="s">
        <v>1033</v>
      </c>
      <c r="H276" t="s">
        <v>1034</v>
      </c>
      <c r="I276" t="s">
        <v>86</v>
      </c>
      <c r="J276">
        <v>19</v>
      </c>
      <c r="K276" t="s">
        <v>80</v>
      </c>
      <c r="L276" t="s">
        <v>2586</v>
      </c>
      <c r="M276" t="s">
        <v>62</v>
      </c>
      <c r="N276" t="s">
        <v>2584</v>
      </c>
      <c r="O276" t="s">
        <v>121</v>
      </c>
      <c r="P276" t="s">
        <v>50</v>
      </c>
      <c r="Q276" t="s">
        <v>144</v>
      </c>
      <c r="R276">
        <v>2</v>
      </c>
      <c r="S276">
        <v>2999</v>
      </c>
      <c r="T276">
        <v>0.05</v>
      </c>
      <c r="U276">
        <v>5698.1</v>
      </c>
      <c r="V276">
        <v>3400</v>
      </c>
      <c r="W276">
        <v>2298.1</v>
      </c>
      <c r="X276" t="s">
        <v>76</v>
      </c>
      <c r="Y276" t="s">
        <v>68</v>
      </c>
      <c r="Z276" t="s">
        <v>160</v>
      </c>
      <c r="AA276" t="s">
        <v>169</v>
      </c>
      <c r="AB276">
        <v>5</v>
      </c>
      <c r="AC276">
        <v>50</v>
      </c>
      <c r="AD276">
        <v>555.97</v>
      </c>
      <c r="AE276">
        <f t="shared" si="8"/>
        <v>1692.1299999999999</v>
      </c>
      <c r="AF276" t="str">
        <f t="shared" si="9"/>
        <v>2025-02</v>
      </c>
      <c r="AG276">
        <f>SUBTOTAL(103,A276)</f>
        <v>1</v>
      </c>
    </row>
    <row r="277" spans="1:33" x14ac:dyDescent="0.3">
      <c r="A277" t="s">
        <v>2887</v>
      </c>
      <c r="B277" s="13">
        <v>45696</v>
      </c>
      <c r="C277">
        <v>2025</v>
      </c>
      <c r="D277">
        <v>2</v>
      </c>
      <c r="E277" t="s">
        <v>2849</v>
      </c>
      <c r="F277" t="s">
        <v>2572</v>
      </c>
      <c r="G277" t="s">
        <v>1813</v>
      </c>
      <c r="H277" t="s">
        <v>1814</v>
      </c>
      <c r="I277" t="s">
        <v>86</v>
      </c>
      <c r="J277">
        <v>23</v>
      </c>
      <c r="K277" t="s">
        <v>80</v>
      </c>
      <c r="L277" t="s">
        <v>2623</v>
      </c>
      <c r="M277" t="s">
        <v>61</v>
      </c>
      <c r="N277" t="s">
        <v>2630</v>
      </c>
      <c r="O277" t="s">
        <v>123</v>
      </c>
      <c r="P277" t="s">
        <v>52</v>
      </c>
      <c r="Q277" t="s">
        <v>146</v>
      </c>
      <c r="R277">
        <v>4</v>
      </c>
      <c r="S277">
        <v>2499</v>
      </c>
      <c r="T277">
        <v>0.1</v>
      </c>
      <c r="U277">
        <v>8996.4</v>
      </c>
      <c r="V277">
        <v>5600</v>
      </c>
      <c r="W277">
        <v>3396.4</v>
      </c>
      <c r="X277" t="s">
        <v>77</v>
      </c>
      <c r="Y277" t="s">
        <v>68</v>
      </c>
      <c r="Z277" t="s">
        <v>162</v>
      </c>
      <c r="AA277" t="s">
        <v>170</v>
      </c>
      <c r="AB277">
        <v>5</v>
      </c>
      <c r="AC277">
        <v>80</v>
      </c>
      <c r="AD277">
        <v>260.54000000000002</v>
      </c>
      <c r="AE277">
        <f t="shared" si="8"/>
        <v>3055.86</v>
      </c>
      <c r="AF277" t="str">
        <f t="shared" si="9"/>
        <v>2025-02</v>
      </c>
      <c r="AG277">
        <f>SUBTOTAL(103,A277)</f>
        <v>1</v>
      </c>
    </row>
    <row r="278" spans="1:33" x14ac:dyDescent="0.3">
      <c r="A278" t="s">
        <v>2888</v>
      </c>
      <c r="B278" s="13">
        <v>45696</v>
      </c>
      <c r="C278">
        <v>2025</v>
      </c>
      <c r="D278">
        <v>2</v>
      </c>
      <c r="E278" t="s">
        <v>2849</v>
      </c>
      <c r="F278" t="s">
        <v>2572</v>
      </c>
      <c r="G278" t="s">
        <v>699</v>
      </c>
      <c r="H278" t="s">
        <v>700</v>
      </c>
      <c r="I278" t="s">
        <v>85</v>
      </c>
      <c r="J278">
        <v>42</v>
      </c>
      <c r="K278" t="s">
        <v>82</v>
      </c>
      <c r="L278" t="s">
        <v>2634</v>
      </c>
      <c r="M278" t="s">
        <v>56</v>
      </c>
      <c r="N278" t="s">
        <v>2596</v>
      </c>
      <c r="O278" t="s">
        <v>124</v>
      </c>
      <c r="P278" t="s">
        <v>51</v>
      </c>
      <c r="Q278" t="s">
        <v>147</v>
      </c>
      <c r="R278">
        <v>1</v>
      </c>
      <c r="S278">
        <v>2299</v>
      </c>
      <c r="T278">
        <v>0.25</v>
      </c>
      <c r="U278">
        <v>1724.25</v>
      </c>
      <c r="V278">
        <v>1200</v>
      </c>
      <c r="W278">
        <v>524.25</v>
      </c>
      <c r="X278" t="s">
        <v>73</v>
      </c>
      <c r="Y278" t="s">
        <v>68</v>
      </c>
      <c r="Z278" t="s">
        <v>162</v>
      </c>
      <c r="AA278" t="s">
        <v>170</v>
      </c>
      <c r="AB278">
        <v>2</v>
      </c>
      <c r="AC278">
        <v>60</v>
      </c>
      <c r="AD278">
        <v>165.66</v>
      </c>
      <c r="AE278">
        <f t="shared" si="8"/>
        <v>298.59000000000003</v>
      </c>
      <c r="AF278" t="str">
        <f t="shared" si="9"/>
        <v>2025-02</v>
      </c>
      <c r="AG278">
        <f>SUBTOTAL(103,A278)</f>
        <v>1</v>
      </c>
    </row>
    <row r="279" spans="1:33" x14ac:dyDescent="0.3">
      <c r="A279" t="s">
        <v>2889</v>
      </c>
      <c r="B279" s="13">
        <v>45696</v>
      </c>
      <c r="C279">
        <v>2025</v>
      </c>
      <c r="D279">
        <v>2</v>
      </c>
      <c r="E279" t="s">
        <v>2849</v>
      </c>
      <c r="F279" t="s">
        <v>2572</v>
      </c>
      <c r="G279" t="s">
        <v>1271</v>
      </c>
      <c r="H279" t="s">
        <v>1272</v>
      </c>
      <c r="I279" t="s">
        <v>86</v>
      </c>
      <c r="J279">
        <v>22</v>
      </c>
      <c r="K279" t="s">
        <v>80</v>
      </c>
      <c r="L279" t="s">
        <v>2579</v>
      </c>
      <c r="M279" t="s">
        <v>56</v>
      </c>
      <c r="N279" t="s">
        <v>2630</v>
      </c>
      <c r="O279" t="s">
        <v>123</v>
      </c>
      <c r="P279" t="s">
        <v>52</v>
      </c>
      <c r="Q279" t="s">
        <v>146</v>
      </c>
      <c r="R279">
        <v>1</v>
      </c>
      <c r="S279">
        <v>2499</v>
      </c>
      <c r="T279">
        <v>0.05</v>
      </c>
      <c r="U279">
        <v>2374.0500000000002</v>
      </c>
      <c r="V279">
        <v>1400</v>
      </c>
      <c r="W279">
        <v>974.05</v>
      </c>
      <c r="X279" t="s">
        <v>76</v>
      </c>
      <c r="Y279" t="s">
        <v>68</v>
      </c>
      <c r="Z279" t="s">
        <v>159</v>
      </c>
      <c r="AA279" t="s">
        <v>166</v>
      </c>
      <c r="AB279">
        <v>4.7</v>
      </c>
      <c r="AC279">
        <v>50</v>
      </c>
      <c r="AD279">
        <v>229.6</v>
      </c>
      <c r="AE279">
        <f t="shared" si="8"/>
        <v>694.44999999999993</v>
      </c>
      <c r="AF279" t="str">
        <f t="shared" si="9"/>
        <v>2025-02</v>
      </c>
      <c r="AG279">
        <f>SUBTOTAL(103,A279)</f>
        <v>1</v>
      </c>
    </row>
    <row r="280" spans="1:33" x14ac:dyDescent="0.3">
      <c r="A280" t="s">
        <v>2890</v>
      </c>
      <c r="B280" s="13">
        <v>45696</v>
      </c>
      <c r="C280">
        <v>2025</v>
      </c>
      <c r="D280">
        <v>2</v>
      </c>
      <c r="E280" t="s">
        <v>2849</v>
      </c>
      <c r="F280" t="s">
        <v>2572</v>
      </c>
      <c r="G280" t="s">
        <v>1191</v>
      </c>
      <c r="H280" t="s">
        <v>1192</v>
      </c>
      <c r="I280" t="s">
        <v>86</v>
      </c>
      <c r="J280">
        <v>32</v>
      </c>
      <c r="K280" t="s">
        <v>81</v>
      </c>
      <c r="L280" t="s">
        <v>2576</v>
      </c>
      <c r="M280" t="s">
        <v>60</v>
      </c>
      <c r="N280" t="s">
        <v>2647</v>
      </c>
      <c r="O280" t="s">
        <v>133</v>
      </c>
      <c r="P280" t="s">
        <v>50</v>
      </c>
      <c r="Q280" t="s">
        <v>145</v>
      </c>
      <c r="R280">
        <v>5</v>
      </c>
      <c r="S280">
        <v>799</v>
      </c>
      <c r="T280">
        <v>0</v>
      </c>
      <c r="U280">
        <v>3995</v>
      </c>
      <c r="V280">
        <v>1950</v>
      </c>
      <c r="W280">
        <v>2045</v>
      </c>
      <c r="X280" t="s">
        <v>74</v>
      </c>
      <c r="Y280" t="s">
        <v>68</v>
      </c>
      <c r="Z280" t="s">
        <v>160</v>
      </c>
      <c r="AA280" t="s">
        <v>167</v>
      </c>
      <c r="AB280">
        <v>4.2</v>
      </c>
      <c r="AC280">
        <v>40</v>
      </c>
      <c r="AD280">
        <v>213.64</v>
      </c>
      <c r="AE280">
        <f t="shared" si="8"/>
        <v>1791.3600000000001</v>
      </c>
      <c r="AF280" t="str">
        <f t="shared" si="9"/>
        <v>2025-02</v>
      </c>
      <c r="AG280">
        <f>SUBTOTAL(103,A280)</f>
        <v>1</v>
      </c>
    </row>
    <row r="281" spans="1:33" x14ac:dyDescent="0.3">
      <c r="A281" t="s">
        <v>2891</v>
      </c>
      <c r="B281" s="13">
        <v>45696</v>
      </c>
      <c r="C281">
        <v>2025</v>
      </c>
      <c r="D281">
        <v>2</v>
      </c>
      <c r="E281" t="s">
        <v>2849</v>
      </c>
      <c r="F281" t="s">
        <v>2572</v>
      </c>
      <c r="G281" t="s">
        <v>2483</v>
      </c>
      <c r="H281" t="s">
        <v>2484</v>
      </c>
      <c r="I281" t="s">
        <v>86</v>
      </c>
      <c r="J281">
        <v>56</v>
      </c>
      <c r="K281" t="s">
        <v>83</v>
      </c>
      <c r="L281" t="s">
        <v>99</v>
      </c>
      <c r="M281" t="s">
        <v>58</v>
      </c>
      <c r="N281" t="s">
        <v>2584</v>
      </c>
      <c r="O281" t="s">
        <v>121</v>
      </c>
      <c r="P281" t="s">
        <v>50</v>
      </c>
      <c r="Q281" t="s">
        <v>144</v>
      </c>
      <c r="R281">
        <v>2</v>
      </c>
      <c r="S281">
        <v>2999</v>
      </c>
      <c r="T281">
        <v>0</v>
      </c>
      <c r="U281">
        <v>0</v>
      </c>
      <c r="V281">
        <v>0</v>
      </c>
      <c r="W281">
        <v>0</v>
      </c>
      <c r="X281" t="s">
        <v>74</v>
      </c>
      <c r="Y281" t="s">
        <v>71</v>
      </c>
      <c r="Z281" t="s">
        <v>162</v>
      </c>
      <c r="AA281" t="s">
        <v>167</v>
      </c>
      <c r="AB281">
        <v>4</v>
      </c>
      <c r="AC281">
        <v>50</v>
      </c>
      <c r="AD281">
        <v>482.24</v>
      </c>
      <c r="AE281">
        <f t="shared" si="8"/>
        <v>-532.24</v>
      </c>
      <c r="AF281" t="str">
        <f t="shared" si="9"/>
        <v>2025-02</v>
      </c>
      <c r="AG281">
        <f>SUBTOTAL(103,A281)</f>
        <v>1</v>
      </c>
    </row>
    <row r="282" spans="1:33" x14ac:dyDescent="0.3">
      <c r="A282" t="s">
        <v>2892</v>
      </c>
      <c r="B282" s="13">
        <v>45697</v>
      </c>
      <c r="C282">
        <v>2025</v>
      </c>
      <c r="D282">
        <v>2</v>
      </c>
      <c r="E282" t="s">
        <v>2849</v>
      </c>
      <c r="F282" t="s">
        <v>2572</v>
      </c>
      <c r="G282" t="s">
        <v>1637</v>
      </c>
      <c r="H282" t="s">
        <v>1638</v>
      </c>
      <c r="I282" t="s">
        <v>86</v>
      </c>
      <c r="J282">
        <v>48</v>
      </c>
      <c r="K282" t="s">
        <v>83</v>
      </c>
      <c r="L282" t="s">
        <v>2661</v>
      </c>
      <c r="M282" t="s">
        <v>58</v>
      </c>
      <c r="N282" t="s">
        <v>2577</v>
      </c>
      <c r="O282" t="s">
        <v>129</v>
      </c>
      <c r="P282" t="s">
        <v>49</v>
      </c>
      <c r="Q282" t="s">
        <v>149</v>
      </c>
      <c r="R282">
        <v>1</v>
      </c>
      <c r="S282">
        <v>1299</v>
      </c>
      <c r="T282">
        <v>0.2</v>
      </c>
      <c r="U282">
        <v>1039.2</v>
      </c>
      <c r="V282">
        <v>650</v>
      </c>
      <c r="W282">
        <v>389.2</v>
      </c>
      <c r="X282" t="s">
        <v>76</v>
      </c>
      <c r="Y282" t="s">
        <v>68</v>
      </c>
      <c r="Z282" t="s">
        <v>158</v>
      </c>
      <c r="AA282" t="s">
        <v>168</v>
      </c>
      <c r="AB282">
        <v>4.5</v>
      </c>
      <c r="AC282">
        <v>50</v>
      </c>
      <c r="AD282">
        <v>121.6</v>
      </c>
      <c r="AE282">
        <f t="shared" si="8"/>
        <v>217.6</v>
      </c>
      <c r="AF282" t="str">
        <f t="shared" si="9"/>
        <v>2025-02</v>
      </c>
      <c r="AG282">
        <f>SUBTOTAL(103,A282)</f>
        <v>1</v>
      </c>
    </row>
    <row r="283" spans="1:33" x14ac:dyDescent="0.3">
      <c r="A283" t="s">
        <v>2893</v>
      </c>
      <c r="B283" s="13">
        <v>45697</v>
      </c>
      <c r="C283">
        <v>2025</v>
      </c>
      <c r="D283">
        <v>2</v>
      </c>
      <c r="E283" t="s">
        <v>2849</v>
      </c>
      <c r="F283" t="s">
        <v>2572</v>
      </c>
      <c r="G283" t="s">
        <v>243</v>
      </c>
      <c r="H283" t="s">
        <v>244</v>
      </c>
      <c r="I283" t="s">
        <v>85</v>
      </c>
      <c r="J283">
        <v>56</v>
      </c>
      <c r="K283" t="s">
        <v>83</v>
      </c>
      <c r="L283" t="s">
        <v>2576</v>
      </c>
      <c r="M283" t="s">
        <v>60</v>
      </c>
      <c r="N283" t="s">
        <v>2577</v>
      </c>
      <c r="O283" t="s">
        <v>129</v>
      </c>
      <c r="P283" t="s">
        <v>49</v>
      </c>
      <c r="Q283" t="s">
        <v>149</v>
      </c>
      <c r="R283">
        <v>4</v>
      </c>
      <c r="S283">
        <v>1299</v>
      </c>
      <c r="T283">
        <v>0.05</v>
      </c>
      <c r="U283">
        <v>4936.2</v>
      </c>
      <c r="V283">
        <v>2600</v>
      </c>
      <c r="W283">
        <v>2336.1999999999998</v>
      </c>
      <c r="X283" t="s">
        <v>75</v>
      </c>
      <c r="Y283" t="s">
        <v>68</v>
      </c>
      <c r="Z283" t="s">
        <v>163</v>
      </c>
      <c r="AA283" t="s">
        <v>168</v>
      </c>
      <c r="AB283">
        <v>3.6</v>
      </c>
      <c r="AC283">
        <v>100</v>
      </c>
      <c r="AD283">
        <v>198.93</v>
      </c>
      <c r="AE283">
        <f t="shared" si="8"/>
        <v>2037.2699999999998</v>
      </c>
      <c r="AF283" t="str">
        <f t="shared" si="9"/>
        <v>2025-02</v>
      </c>
      <c r="AG283">
        <f>SUBTOTAL(103,A283)</f>
        <v>1</v>
      </c>
    </row>
    <row r="284" spans="1:33" x14ac:dyDescent="0.3">
      <c r="A284" t="s">
        <v>2894</v>
      </c>
      <c r="B284" s="13">
        <v>45697</v>
      </c>
      <c r="C284">
        <v>2025</v>
      </c>
      <c r="D284">
        <v>2</v>
      </c>
      <c r="E284" t="s">
        <v>2849</v>
      </c>
      <c r="F284" t="s">
        <v>2572</v>
      </c>
      <c r="G284" t="s">
        <v>1543</v>
      </c>
      <c r="H284" t="s">
        <v>1544</v>
      </c>
      <c r="I284" t="s">
        <v>85</v>
      </c>
      <c r="J284">
        <v>60</v>
      </c>
      <c r="K284" t="s">
        <v>83</v>
      </c>
      <c r="L284" t="s">
        <v>2605</v>
      </c>
      <c r="M284" t="s">
        <v>60</v>
      </c>
      <c r="N284" t="s">
        <v>2603</v>
      </c>
      <c r="O284" t="s">
        <v>122</v>
      </c>
      <c r="P284" t="s">
        <v>48</v>
      </c>
      <c r="Q284" t="s">
        <v>141</v>
      </c>
      <c r="R284">
        <v>4</v>
      </c>
      <c r="S284">
        <v>2499</v>
      </c>
      <c r="T284">
        <v>0.05</v>
      </c>
      <c r="U284">
        <v>9496.2000000000007</v>
      </c>
      <c r="V284">
        <v>5800</v>
      </c>
      <c r="W284">
        <v>3696.2</v>
      </c>
      <c r="X284" t="s">
        <v>75</v>
      </c>
      <c r="Y284" t="s">
        <v>68</v>
      </c>
      <c r="Z284" t="s">
        <v>160</v>
      </c>
      <c r="AA284" t="s">
        <v>166</v>
      </c>
      <c r="AB284">
        <v>4.9000000000000004</v>
      </c>
      <c r="AC284">
        <v>100</v>
      </c>
      <c r="AD284">
        <v>298.57</v>
      </c>
      <c r="AE284">
        <f t="shared" si="8"/>
        <v>3297.6299999999997</v>
      </c>
      <c r="AF284" t="str">
        <f t="shared" si="9"/>
        <v>2025-02</v>
      </c>
      <c r="AG284">
        <f>SUBTOTAL(103,A284)</f>
        <v>1</v>
      </c>
    </row>
    <row r="285" spans="1:33" x14ac:dyDescent="0.3">
      <c r="A285" t="s">
        <v>2895</v>
      </c>
      <c r="B285" s="13">
        <v>45698</v>
      </c>
      <c r="C285">
        <v>2025</v>
      </c>
      <c r="D285">
        <v>2</v>
      </c>
      <c r="E285" t="s">
        <v>2849</v>
      </c>
      <c r="F285" t="s">
        <v>2572</v>
      </c>
      <c r="G285" t="s">
        <v>475</v>
      </c>
      <c r="H285" t="s">
        <v>476</v>
      </c>
      <c r="I285" t="s">
        <v>86</v>
      </c>
      <c r="J285">
        <v>26</v>
      </c>
      <c r="K285" t="s">
        <v>81</v>
      </c>
      <c r="L285" t="s">
        <v>100</v>
      </c>
      <c r="M285" t="s">
        <v>56</v>
      </c>
      <c r="N285" t="s">
        <v>2644</v>
      </c>
      <c r="O285" t="s">
        <v>126</v>
      </c>
      <c r="P285" t="s">
        <v>50</v>
      </c>
      <c r="Q285" t="s">
        <v>145</v>
      </c>
      <c r="R285">
        <v>4</v>
      </c>
      <c r="S285">
        <v>1799</v>
      </c>
      <c r="T285">
        <v>0.05</v>
      </c>
      <c r="U285">
        <v>6836.2</v>
      </c>
      <c r="V285">
        <v>3800</v>
      </c>
      <c r="W285">
        <v>3036.2</v>
      </c>
      <c r="X285" t="s">
        <v>73</v>
      </c>
      <c r="Y285" t="s">
        <v>68</v>
      </c>
      <c r="Z285" t="s">
        <v>160</v>
      </c>
      <c r="AA285" t="s">
        <v>171</v>
      </c>
      <c r="AB285">
        <v>4</v>
      </c>
      <c r="AC285">
        <v>80</v>
      </c>
      <c r="AD285">
        <v>730.25</v>
      </c>
      <c r="AE285">
        <f t="shared" si="8"/>
        <v>2225.9499999999998</v>
      </c>
      <c r="AF285" t="str">
        <f t="shared" si="9"/>
        <v>2025-02</v>
      </c>
      <c r="AG285">
        <f>SUBTOTAL(103,A285)</f>
        <v>1</v>
      </c>
    </row>
    <row r="286" spans="1:33" x14ac:dyDescent="0.3">
      <c r="A286" t="s">
        <v>2896</v>
      </c>
      <c r="B286" s="13">
        <v>45698</v>
      </c>
      <c r="C286">
        <v>2025</v>
      </c>
      <c r="D286">
        <v>2</v>
      </c>
      <c r="E286" t="s">
        <v>2849</v>
      </c>
      <c r="F286" t="s">
        <v>2572</v>
      </c>
      <c r="G286" t="s">
        <v>1259</v>
      </c>
      <c r="H286" t="s">
        <v>1260</v>
      </c>
      <c r="I286" t="s">
        <v>86</v>
      </c>
      <c r="J286">
        <v>29</v>
      </c>
      <c r="K286" t="s">
        <v>81</v>
      </c>
      <c r="L286" t="s">
        <v>99</v>
      </c>
      <c r="M286" t="s">
        <v>58</v>
      </c>
      <c r="N286" t="s">
        <v>2665</v>
      </c>
      <c r="O286" t="s">
        <v>128</v>
      </c>
      <c r="P286" t="s">
        <v>53</v>
      </c>
      <c r="Q286" t="s">
        <v>143</v>
      </c>
      <c r="R286">
        <v>1</v>
      </c>
      <c r="S286">
        <v>1499</v>
      </c>
      <c r="T286">
        <v>0.05</v>
      </c>
      <c r="U286">
        <v>1424.05</v>
      </c>
      <c r="V286">
        <v>800</v>
      </c>
      <c r="W286">
        <v>624.04999999999995</v>
      </c>
      <c r="X286" t="s">
        <v>73</v>
      </c>
      <c r="Y286" t="s">
        <v>68</v>
      </c>
      <c r="Z286" t="s">
        <v>161</v>
      </c>
      <c r="AA286" t="s">
        <v>167</v>
      </c>
      <c r="AB286">
        <v>3.9</v>
      </c>
      <c r="AC286">
        <v>50</v>
      </c>
      <c r="AD286">
        <v>158.38999999999999</v>
      </c>
      <c r="AE286">
        <f t="shared" si="8"/>
        <v>415.65999999999997</v>
      </c>
      <c r="AF286" t="str">
        <f t="shared" si="9"/>
        <v>2025-02</v>
      </c>
      <c r="AG286">
        <f>SUBTOTAL(103,A286)</f>
        <v>1</v>
      </c>
    </row>
    <row r="287" spans="1:33" x14ac:dyDescent="0.3">
      <c r="A287" t="s">
        <v>2897</v>
      </c>
      <c r="B287" s="13">
        <v>45698</v>
      </c>
      <c r="C287">
        <v>2025</v>
      </c>
      <c r="D287">
        <v>2</v>
      </c>
      <c r="E287" t="s">
        <v>2849</v>
      </c>
      <c r="F287" t="s">
        <v>2572</v>
      </c>
      <c r="G287" t="s">
        <v>321</v>
      </c>
      <c r="H287" t="s">
        <v>322</v>
      </c>
      <c r="I287" t="s">
        <v>85</v>
      </c>
      <c r="J287">
        <v>59</v>
      </c>
      <c r="K287" t="s">
        <v>83</v>
      </c>
      <c r="L287" t="s">
        <v>95</v>
      </c>
      <c r="M287" t="s">
        <v>56</v>
      </c>
      <c r="N287" t="s">
        <v>2606</v>
      </c>
      <c r="O287" t="s">
        <v>120</v>
      </c>
      <c r="P287" t="s">
        <v>49</v>
      </c>
      <c r="Q287" t="s">
        <v>140</v>
      </c>
      <c r="R287">
        <v>1</v>
      </c>
      <c r="S287">
        <v>2799</v>
      </c>
      <c r="T287">
        <v>0.1</v>
      </c>
      <c r="U287">
        <v>2519.1</v>
      </c>
      <c r="V287">
        <v>1650</v>
      </c>
      <c r="W287">
        <v>869.1</v>
      </c>
      <c r="X287" t="s">
        <v>77</v>
      </c>
      <c r="Y287" t="s">
        <v>68</v>
      </c>
      <c r="Z287" t="s">
        <v>158</v>
      </c>
      <c r="AA287" t="s">
        <v>166</v>
      </c>
      <c r="AB287">
        <v>4.2</v>
      </c>
      <c r="AC287">
        <v>80</v>
      </c>
      <c r="AD287">
        <v>160.75</v>
      </c>
      <c r="AE287">
        <f t="shared" si="8"/>
        <v>628.35</v>
      </c>
      <c r="AF287" t="str">
        <f t="shared" si="9"/>
        <v>2025-02</v>
      </c>
      <c r="AG287">
        <f>SUBTOTAL(103,A287)</f>
        <v>1</v>
      </c>
    </row>
    <row r="288" spans="1:33" x14ac:dyDescent="0.3">
      <c r="A288" t="s">
        <v>2898</v>
      </c>
      <c r="B288" s="13">
        <v>45698</v>
      </c>
      <c r="C288">
        <v>2025</v>
      </c>
      <c r="D288">
        <v>2</v>
      </c>
      <c r="E288" t="s">
        <v>2849</v>
      </c>
      <c r="F288" t="s">
        <v>2572</v>
      </c>
      <c r="G288" t="s">
        <v>611</v>
      </c>
      <c r="H288" t="s">
        <v>612</v>
      </c>
      <c r="I288" t="s">
        <v>85</v>
      </c>
      <c r="J288">
        <v>20</v>
      </c>
      <c r="K288" t="s">
        <v>80</v>
      </c>
      <c r="L288" t="s">
        <v>2623</v>
      </c>
      <c r="M288" t="s">
        <v>61</v>
      </c>
      <c r="N288" t="s">
        <v>2665</v>
      </c>
      <c r="O288" t="s">
        <v>128</v>
      </c>
      <c r="P288" t="s">
        <v>53</v>
      </c>
      <c r="Q288" t="s">
        <v>143</v>
      </c>
      <c r="R288">
        <v>3</v>
      </c>
      <c r="S288">
        <v>1499</v>
      </c>
      <c r="T288">
        <v>0.15</v>
      </c>
      <c r="U288">
        <v>3822.45</v>
      </c>
      <c r="V288">
        <v>2400</v>
      </c>
      <c r="W288">
        <v>1422.45</v>
      </c>
      <c r="X288" t="s">
        <v>73</v>
      </c>
      <c r="Y288" t="s">
        <v>68</v>
      </c>
      <c r="Z288" t="s">
        <v>159</v>
      </c>
      <c r="AA288" t="s">
        <v>168</v>
      </c>
      <c r="AB288">
        <v>5</v>
      </c>
      <c r="AC288">
        <v>80</v>
      </c>
      <c r="AD288">
        <v>103.76</v>
      </c>
      <c r="AE288">
        <f t="shared" si="8"/>
        <v>1238.69</v>
      </c>
      <c r="AF288" t="str">
        <f t="shared" si="9"/>
        <v>2025-02</v>
      </c>
      <c r="AG288">
        <f>SUBTOTAL(103,A288)</f>
        <v>1</v>
      </c>
    </row>
    <row r="289" spans="1:33" x14ac:dyDescent="0.3">
      <c r="A289" t="s">
        <v>2899</v>
      </c>
      <c r="B289" s="13">
        <v>45698</v>
      </c>
      <c r="C289">
        <v>2025</v>
      </c>
      <c r="D289">
        <v>2</v>
      </c>
      <c r="E289" t="s">
        <v>2849</v>
      </c>
      <c r="F289" t="s">
        <v>2572</v>
      </c>
      <c r="G289" t="s">
        <v>573</v>
      </c>
      <c r="H289" t="s">
        <v>574</v>
      </c>
      <c r="I289" t="s">
        <v>85</v>
      </c>
      <c r="J289">
        <v>57</v>
      </c>
      <c r="K289" t="s">
        <v>83</v>
      </c>
      <c r="L289" t="s">
        <v>2623</v>
      </c>
      <c r="M289" t="s">
        <v>61</v>
      </c>
      <c r="N289" t="s">
        <v>2580</v>
      </c>
      <c r="O289" t="s">
        <v>118</v>
      </c>
      <c r="P289" t="s">
        <v>48</v>
      </c>
      <c r="Q289" t="s">
        <v>142</v>
      </c>
      <c r="R289">
        <v>3</v>
      </c>
      <c r="S289">
        <v>3999</v>
      </c>
      <c r="T289">
        <v>0.15</v>
      </c>
      <c r="U289">
        <v>10197.450000000001</v>
      </c>
      <c r="V289">
        <v>7200</v>
      </c>
      <c r="W289">
        <v>2997.45</v>
      </c>
      <c r="X289" t="s">
        <v>73</v>
      </c>
      <c r="Y289" t="s">
        <v>68</v>
      </c>
      <c r="Z289" t="s">
        <v>158</v>
      </c>
      <c r="AA289" t="s">
        <v>170</v>
      </c>
      <c r="AB289">
        <v>4</v>
      </c>
      <c r="AC289">
        <v>60</v>
      </c>
      <c r="AD289">
        <v>805.25</v>
      </c>
      <c r="AE289">
        <f t="shared" si="8"/>
        <v>2132.1999999999998</v>
      </c>
      <c r="AF289" t="str">
        <f t="shared" si="9"/>
        <v>2025-02</v>
      </c>
      <c r="AG289">
        <f>SUBTOTAL(103,A289)</f>
        <v>1</v>
      </c>
    </row>
    <row r="290" spans="1:33" x14ac:dyDescent="0.3">
      <c r="A290" t="s">
        <v>2900</v>
      </c>
      <c r="B290" s="13">
        <v>45698</v>
      </c>
      <c r="C290">
        <v>2025</v>
      </c>
      <c r="D290">
        <v>2</v>
      </c>
      <c r="E290" t="s">
        <v>2849</v>
      </c>
      <c r="F290" t="s">
        <v>2572</v>
      </c>
      <c r="G290" t="s">
        <v>2163</v>
      </c>
      <c r="H290" t="s">
        <v>2164</v>
      </c>
      <c r="I290" t="s">
        <v>86</v>
      </c>
      <c r="J290">
        <v>52</v>
      </c>
      <c r="K290" t="s">
        <v>83</v>
      </c>
      <c r="L290" t="s">
        <v>2610</v>
      </c>
      <c r="M290" t="s">
        <v>64</v>
      </c>
      <c r="N290" t="s">
        <v>2590</v>
      </c>
      <c r="O290" t="s">
        <v>127</v>
      </c>
      <c r="P290" t="s">
        <v>51</v>
      </c>
      <c r="Q290" t="s">
        <v>148</v>
      </c>
      <c r="R290">
        <v>4</v>
      </c>
      <c r="S290">
        <v>1599</v>
      </c>
      <c r="T290">
        <v>0.15</v>
      </c>
      <c r="U290">
        <v>5436.6</v>
      </c>
      <c r="V290">
        <v>3200</v>
      </c>
      <c r="W290">
        <v>2236.6</v>
      </c>
      <c r="X290" t="s">
        <v>74</v>
      </c>
      <c r="Y290" t="s">
        <v>68</v>
      </c>
      <c r="Z290" t="s">
        <v>159</v>
      </c>
      <c r="AA290" t="s">
        <v>170</v>
      </c>
      <c r="AB290">
        <v>5</v>
      </c>
      <c r="AC290">
        <v>60</v>
      </c>
      <c r="AD290">
        <v>623.28</v>
      </c>
      <c r="AE290">
        <f t="shared" si="8"/>
        <v>1553.32</v>
      </c>
      <c r="AF290" t="str">
        <f t="shared" si="9"/>
        <v>2025-02</v>
      </c>
      <c r="AG290">
        <f>SUBTOTAL(103,A290)</f>
        <v>1</v>
      </c>
    </row>
    <row r="291" spans="1:33" x14ac:dyDescent="0.3">
      <c r="A291" t="s">
        <v>2901</v>
      </c>
      <c r="B291" s="13">
        <v>45699</v>
      </c>
      <c r="C291">
        <v>2025</v>
      </c>
      <c r="D291">
        <v>2</v>
      </c>
      <c r="E291" t="s">
        <v>2849</v>
      </c>
      <c r="F291" t="s">
        <v>2572</v>
      </c>
      <c r="G291" t="s">
        <v>1975</v>
      </c>
      <c r="H291" t="s">
        <v>1976</v>
      </c>
      <c r="I291" t="s">
        <v>86</v>
      </c>
      <c r="J291">
        <v>50</v>
      </c>
      <c r="K291" t="s">
        <v>83</v>
      </c>
      <c r="L291" t="s">
        <v>2616</v>
      </c>
      <c r="M291" t="s">
        <v>62</v>
      </c>
      <c r="N291" t="s">
        <v>2603</v>
      </c>
      <c r="O291" t="s">
        <v>122</v>
      </c>
      <c r="P291" t="s">
        <v>48</v>
      </c>
      <c r="Q291" t="s">
        <v>141</v>
      </c>
      <c r="R291">
        <v>3</v>
      </c>
      <c r="S291">
        <v>2499</v>
      </c>
      <c r="T291">
        <v>0.05</v>
      </c>
      <c r="U291">
        <v>7122.15</v>
      </c>
      <c r="V291">
        <v>4350</v>
      </c>
      <c r="W291">
        <v>2772.15</v>
      </c>
      <c r="X291" t="s">
        <v>76</v>
      </c>
      <c r="Y291" t="s">
        <v>69</v>
      </c>
      <c r="Z291" t="s">
        <v>158</v>
      </c>
      <c r="AA291" t="s">
        <v>168</v>
      </c>
      <c r="AB291">
        <v>4.3</v>
      </c>
      <c r="AC291">
        <v>80</v>
      </c>
      <c r="AD291">
        <v>494.16</v>
      </c>
      <c r="AE291">
        <f t="shared" si="8"/>
        <v>2197.9900000000002</v>
      </c>
      <c r="AF291" t="str">
        <f t="shared" si="9"/>
        <v>2025-02</v>
      </c>
      <c r="AG291">
        <f>SUBTOTAL(103,A291)</f>
        <v>1</v>
      </c>
    </row>
    <row r="292" spans="1:33" x14ac:dyDescent="0.3">
      <c r="A292" t="s">
        <v>2902</v>
      </c>
      <c r="B292" s="13">
        <v>45699</v>
      </c>
      <c r="C292">
        <v>2025</v>
      </c>
      <c r="D292">
        <v>2</v>
      </c>
      <c r="E292" t="s">
        <v>2849</v>
      </c>
      <c r="F292" t="s">
        <v>2572</v>
      </c>
      <c r="G292" t="s">
        <v>409</v>
      </c>
      <c r="H292" t="s">
        <v>410</v>
      </c>
      <c r="I292" t="s">
        <v>85</v>
      </c>
      <c r="J292">
        <v>31</v>
      </c>
      <c r="K292" t="s">
        <v>81</v>
      </c>
      <c r="L292" t="s">
        <v>2573</v>
      </c>
      <c r="M292" t="s">
        <v>63</v>
      </c>
      <c r="N292" t="s">
        <v>2653</v>
      </c>
      <c r="O292" t="s">
        <v>132</v>
      </c>
      <c r="P292" t="s">
        <v>52</v>
      </c>
      <c r="Q292" t="s">
        <v>150</v>
      </c>
      <c r="R292">
        <v>4</v>
      </c>
      <c r="S292">
        <v>899</v>
      </c>
      <c r="T292">
        <v>0.05</v>
      </c>
      <c r="U292">
        <v>3416.2</v>
      </c>
      <c r="V292">
        <v>1680</v>
      </c>
      <c r="W292">
        <v>1736.2</v>
      </c>
      <c r="X292" t="s">
        <v>77</v>
      </c>
      <c r="Y292" t="s">
        <v>68</v>
      </c>
      <c r="Z292" t="s">
        <v>159</v>
      </c>
      <c r="AA292" t="s">
        <v>171</v>
      </c>
      <c r="AB292">
        <v>3.7</v>
      </c>
      <c r="AC292">
        <v>50</v>
      </c>
      <c r="AD292">
        <v>408.38</v>
      </c>
      <c r="AE292">
        <f t="shared" si="8"/>
        <v>1277.8200000000002</v>
      </c>
      <c r="AF292" t="str">
        <f t="shared" si="9"/>
        <v>2025-02</v>
      </c>
      <c r="AG292">
        <f>SUBTOTAL(103,A292)</f>
        <v>1</v>
      </c>
    </row>
    <row r="293" spans="1:33" x14ac:dyDescent="0.3">
      <c r="A293" t="s">
        <v>2903</v>
      </c>
      <c r="B293" s="13">
        <v>45699</v>
      </c>
      <c r="C293">
        <v>2025</v>
      </c>
      <c r="D293">
        <v>2</v>
      </c>
      <c r="E293" t="s">
        <v>2849</v>
      </c>
      <c r="F293" t="s">
        <v>2572</v>
      </c>
      <c r="G293" t="s">
        <v>267</v>
      </c>
      <c r="H293" t="s">
        <v>268</v>
      </c>
      <c r="I293" t="s">
        <v>86</v>
      </c>
      <c r="J293">
        <v>39</v>
      </c>
      <c r="K293" t="s">
        <v>82</v>
      </c>
      <c r="L293" t="s">
        <v>92</v>
      </c>
      <c r="M293" t="s">
        <v>59</v>
      </c>
      <c r="N293" t="s">
        <v>2594</v>
      </c>
      <c r="O293" t="s">
        <v>131</v>
      </c>
      <c r="P293" t="s">
        <v>53</v>
      </c>
      <c r="Q293" t="s">
        <v>143</v>
      </c>
      <c r="R293">
        <v>1</v>
      </c>
      <c r="S293">
        <v>999</v>
      </c>
      <c r="T293">
        <v>0.05</v>
      </c>
      <c r="U293">
        <v>949.05</v>
      </c>
      <c r="V293">
        <v>520</v>
      </c>
      <c r="W293">
        <v>429.05</v>
      </c>
      <c r="X293" t="s">
        <v>73</v>
      </c>
      <c r="Y293" t="s">
        <v>68</v>
      </c>
      <c r="Z293" t="s">
        <v>160</v>
      </c>
      <c r="AA293" t="s">
        <v>166</v>
      </c>
      <c r="AB293">
        <v>4.5999999999999996</v>
      </c>
      <c r="AC293">
        <v>80</v>
      </c>
      <c r="AD293">
        <v>28.79</v>
      </c>
      <c r="AE293">
        <f t="shared" si="8"/>
        <v>320.26</v>
      </c>
      <c r="AF293" t="str">
        <f t="shared" si="9"/>
        <v>2025-02</v>
      </c>
      <c r="AG293">
        <f>SUBTOTAL(103,A293)</f>
        <v>1</v>
      </c>
    </row>
    <row r="294" spans="1:33" x14ac:dyDescent="0.3">
      <c r="A294" t="s">
        <v>2904</v>
      </c>
      <c r="B294" s="13">
        <v>45699</v>
      </c>
      <c r="C294">
        <v>2025</v>
      </c>
      <c r="D294">
        <v>2</v>
      </c>
      <c r="E294" t="s">
        <v>2849</v>
      </c>
      <c r="F294" t="s">
        <v>2572</v>
      </c>
      <c r="G294" t="s">
        <v>309</v>
      </c>
      <c r="H294" t="s">
        <v>310</v>
      </c>
      <c r="I294" t="s">
        <v>86</v>
      </c>
      <c r="J294">
        <v>22</v>
      </c>
      <c r="K294" t="s">
        <v>80</v>
      </c>
      <c r="L294" t="s">
        <v>2573</v>
      </c>
      <c r="M294" t="s">
        <v>63</v>
      </c>
      <c r="N294" t="s">
        <v>2596</v>
      </c>
      <c r="O294" t="s">
        <v>124</v>
      </c>
      <c r="P294" t="s">
        <v>51</v>
      </c>
      <c r="Q294" t="s">
        <v>147</v>
      </c>
      <c r="R294">
        <v>1</v>
      </c>
      <c r="S294">
        <v>2299</v>
      </c>
      <c r="T294">
        <v>0</v>
      </c>
      <c r="U294">
        <v>2299</v>
      </c>
      <c r="V294">
        <v>1200</v>
      </c>
      <c r="W294">
        <v>1099</v>
      </c>
      <c r="X294" t="s">
        <v>77</v>
      </c>
      <c r="Y294" t="s">
        <v>68</v>
      </c>
      <c r="Z294" t="s">
        <v>160</v>
      </c>
      <c r="AA294" t="s">
        <v>171</v>
      </c>
      <c r="AB294">
        <v>4.5999999999999996</v>
      </c>
      <c r="AC294">
        <v>50</v>
      </c>
      <c r="AD294">
        <v>271.04000000000002</v>
      </c>
      <c r="AE294">
        <f t="shared" si="8"/>
        <v>777.96</v>
      </c>
      <c r="AF294" t="str">
        <f t="shared" si="9"/>
        <v>2025-02</v>
      </c>
      <c r="AG294">
        <f>SUBTOTAL(103,A294)</f>
        <v>1</v>
      </c>
    </row>
    <row r="295" spans="1:33" x14ac:dyDescent="0.3">
      <c r="A295" t="s">
        <v>2905</v>
      </c>
      <c r="B295" s="13">
        <v>45699</v>
      </c>
      <c r="C295">
        <v>2025</v>
      </c>
      <c r="D295">
        <v>2</v>
      </c>
      <c r="E295" t="s">
        <v>2849</v>
      </c>
      <c r="F295" t="s">
        <v>2572</v>
      </c>
      <c r="G295" t="s">
        <v>705</v>
      </c>
      <c r="H295" t="s">
        <v>706</v>
      </c>
      <c r="I295" t="s">
        <v>85</v>
      </c>
      <c r="J295">
        <v>31</v>
      </c>
      <c r="K295" t="s">
        <v>81</v>
      </c>
      <c r="L295" t="s">
        <v>2573</v>
      </c>
      <c r="M295" t="s">
        <v>63</v>
      </c>
      <c r="N295" t="s">
        <v>2644</v>
      </c>
      <c r="O295" t="s">
        <v>126</v>
      </c>
      <c r="P295" t="s">
        <v>50</v>
      </c>
      <c r="Q295" t="s">
        <v>145</v>
      </c>
      <c r="R295">
        <v>2</v>
      </c>
      <c r="S295">
        <v>1799</v>
      </c>
      <c r="T295">
        <v>0</v>
      </c>
      <c r="U295">
        <v>3598</v>
      </c>
      <c r="V295">
        <v>1900</v>
      </c>
      <c r="W295">
        <v>1698</v>
      </c>
      <c r="X295" t="s">
        <v>76</v>
      </c>
      <c r="Y295" t="s">
        <v>68</v>
      </c>
      <c r="Z295" t="s">
        <v>162</v>
      </c>
      <c r="AA295" t="s">
        <v>168</v>
      </c>
      <c r="AB295">
        <v>4.4000000000000004</v>
      </c>
      <c r="AC295">
        <v>50</v>
      </c>
      <c r="AD295">
        <v>346.28</v>
      </c>
      <c r="AE295">
        <f t="shared" si="8"/>
        <v>1301.72</v>
      </c>
      <c r="AF295" t="str">
        <f t="shared" si="9"/>
        <v>2025-02</v>
      </c>
      <c r="AG295">
        <f>SUBTOTAL(103,A295)</f>
        <v>1</v>
      </c>
    </row>
    <row r="296" spans="1:33" x14ac:dyDescent="0.3">
      <c r="A296" t="s">
        <v>2906</v>
      </c>
      <c r="B296" s="13">
        <v>45699</v>
      </c>
      <c r="C296">
        <v>2025</v>
      </c>
      <c r="D296">
        <v>2</v>
      </c>
      <c r="E296" t="s">
        <v>2849</v>
      </c>
      <c r="F296" t="s">
        <v>2572</v>
      </c>
      <c r="G296" t="s">
        <v>1473</v>
      </c>
      <c r="H296" t="s">
        <v>1474</v>
      </c>
      <c r="I296" t="s">
        <v>85</v>
      </c>
      <c r="J296">
        <v>21</v>
      </c>
      <c r="K296" t="s">
        <v>80</v>
      </c>
      <c r="L296" t="s">
        <v>2610</v>
      </c>
      <c r="M296" t="s">
        <v>64</v>
      </c>
      <c r="N296" t="s">
        <v>2630</v>
      </c>
      <c r="O296" t="s">
        <v>123</v>
      </c>
      <c r="P296" t="s">
        <v>52</v>
      </c>
      <c r="Q296" t="s">
        <v>146</v>
      </c>
      <c r="R296">
        <v>2</v>
      </c>
      <c r="S296">
        <v>2499</v>
      </c>
      <c r="T296">
        <v>0.1</v>
      </c>
      <c r="U296">
        <v>4498.2</v>
      </c>
      <c r="V296">
        <v>2800</v>
      </c>
      <c r="W296">
        <v>1698.2</v>
      </c>
      <c r="X296" t="s">
        <v>75</v>
      </c>
      <c r="Y296" t="s">
        <v>68</v>
      </c>
      <c r="Z296" t="s">
        <v>160</v>
      </c>
      <c r="AA296" t="s">
        <v>169</v>
      </c>
      <c r="AB296">
        <v>4.5999999999999996</v>
      </c>
      <c r="AC296">
        <v>80</v>
      </c>
      <c r="AD296">
        <v>409.99</v>
      </c>
      <c r="AE296">
        <f t="shared" si="8"/>
        <v>1208.21</v>
      </c>
      <c r="AF296" t="str">
        <f t="shared" si="9"/>
        <v>2025-02</v>
      </c>
      <c r="AG296">
        <f>SUBTOTAL(103,A296)</f>
        <v>1</v>
      </c>
    </row>
    <row r="297" spans="1:33" x14ac:dyDescent="0.3">
      <c r="A297" t="s">
        <v>2907</v>
      </c>
      <c r="B297" s="13">
        <v>45699</v>
      </c>
      <c r="C297">
        <v>2025</v>
      </c>
      <c r="D297">
        <v>2</v>
      </c>
      <c r="E297" t="s">
        <v>2849</v>
      </c>
      <c r="F297" t="s">
        <v>2572</v>
      </c>
      <c r="G297" t="s">
        <v>1123</v>
      </c>
      <c r="H297" t="s">
        <v>1124</v>
      </c>
      <c r="I297" t="s">
        <v>87</v>
      </c>
      <c r="J297">
        <v>47</v>
      </c>
      <c r="K297" t="s">
        <v>83</v>
      </c>
      <c r="L297" t="s">
        <v>2637</v>
      </c>
      <c r="M297" t="s">
        <v>64</v>
      </c>
      <c r="N297" t="s">
        <v>2653</v>
      </c>
      <c r="O297" t="s">
        <v>132</v>
      </c>
      <c r="P297" t="s">
        <v>52</v>
      </c>
      <c r="Q297" t="s">
        <v>150</v>
      </c>
      <c r="R297">
        <v>1</v>
      </c>
      <c r="S297">
        <v>899</v>
      </c>
      <c r="T297">
        <v>0.05</v>
      </c>
      <c r="U297">
        <v>854.05</v>
      </c>
      <c r="V297">
        <v>420</v>
      </c>
      <c r="W297">
        <v>434.05</v>
      </c>
      <c r="X297" t="s">
        <v>76</v>
      </c>
      <c r="Y297" t="s">
        <v>68</v>
      </c>
      <c r="Z297" t="s">
        <v>160</v>
      </c>
      <c r="AA297" t="s">
        <v>171</v>
      </c>
      <c r="AB297">
        <v>4.4000000000000004</v>
      </c>
      <c r="AC297">
        <v>50</v>
      </c>
      <c r="AD297">
        <v>21.98</v>
      </c>
      <c r="AE297">
        <f t="shared" si="8"/>
        <v>362.07</v>
      </c>
      <c r="AF297" t="str">
        <f t="shared" si="9"/>
        <v>2025-02</v>
      </c>
      <c r="AG297">
        <f>SUBTOTAL(103,A297)</f>
        <v>1</v>
      </c>
    </row>
    <row r="298" spans="1:33" x14ac:dyDescent="0.3">
      <c r="A298" t="s">
        <v>2908</v>
      </c>
      <c r="B298" s="13">
        <v>45699</v>
      </c>
      <c r="C298">
        <v>2025</v>
      </c>
      <c r="D298">
        <v>2</v>
      </c>
      <c r="E298" t="s">
        <v>2849</v>
      </c>
      <c r="F298" t="s">
        <v>2572</v>
      </c>
      <c r="G298" t="s">
        <v>1505</v>
      </c>
      <c r="H298" t="s">
        <v>1506</v>
      </c>
      <c r="I298" t="s">
        <v>86</v>
      </c>
      <c r="J298">
        <v>41</v>
      </c>
      <c r="K298" t="s">
        <v>82</v>
      </c>
      <c r="L298" t="s">
        <v>59</v>
      </c>
      <c r="M298" t="s">
        <v>59</v>
      </c>
      <c r="N298" t="s">
        <v>2590</v>
      </c>
      <c r="O298" t="s">
        <v>127</v>
      </c>
      <c r="P298" t="s">
        <v>51</v>
      </c>
      <c r="Q298" t="s">
        <v>148</v>
      </c>
      <c r="R298">
        <v>1</v>
      </c>
      <c r="S298">
        <v>1599</v>
      </c>
      <c r="T298">
        <v>0.1</v>
      </c>
      <c r="U298">
        <v>1439.1</v>
      </c>
      <c r="V298">
        <v>800</v>
      </c>
      <c r="W298">
        <v>639.1</v>
      </c>
      <c r="X298" t="s">
        <v>77</v>
      </c>
      <c r="Y298" t="s">
        <v>68</v>
      </c>
      <c r="Z298" t="s">
        <v>159</v>
      </c>
      <c r="AA298" t="s">
        <v>166</v>
      </c>
      <c r="AB298">
        <v>4.2</v>
      </c>
      <c r="AC298">
        <v>60</v>
      </c>
      <c r="AD298">
        <v>86.73</v>
      </c>
      <c r="AE298">
        <f t="shared" si="8"/>
        <v>492.37</v>
      </c>
      <c r="AF298" t="str">
        <f t="shared" si="9"/>
        <v>2025-02</v>
      </c>
      <c r="AG298">
        <f>SUBTOTAL(103,A298)</f>
        <v>1</v>
      </c>
    </row>
    <row r="299" spans="1:33" x14ac:dyDescent="0.3">
      <c r="A299" t="s">
        <v>2909</v>
      </c>
      <c r="B299" s="13">
        <v>45699</v>
      </c>
      <c r="C299">
        <v>2025</v>
      </c>
      <c r="D299">
        <v>2</v>
      </c>
      <c r="E299" t="s">
        <v>2849</v>
      </c>
      <c r="F299" t="s">
        <v>2572</v>
      </c>
      <c r="G299" t="s">
        <v>2381</v>
      </c>
      <c r="H299" t="s">
        <v>2382</v>
      </c>
      <c r="I299" t="s">
        <v>85</v>
      </c>
      <c r="J299">
        <v>28</v>
      </c>
      <c r="K299" t="s">
        <v>81</v>
      </c>
      <c r="L299" t="s">
        <v>2586</v>
      </c>
      <c r="M299" t="s">
        <v>62</v>
      </c>
      <c r="N299" t="s">
        <v>2582</v>
      </c>
      <c r="O299" t="s">
        <v>119</v>
      </c>
      <c r="P299" t="s">
        <v>49</v>
      </c>
      <c r="Q299" t="s">
        <v>140</v>
      </c>
      <c r="R299">
        <v>1</v>
      </c>
      <c r="S299">
        <v>3499</v>
      </c>
      <c r="T299">
        <v>0</v>
      </c>
      <c r="U299">
        <v>3499</v>
      </c>
      <c r="V299">
        <v>2100</v>
      </c>
      <c r="W299">
        <v>1399</v>
      </c>
      <c r="X299" t="s">
        <v>73</v>
      </c>
      <c r="Y299" t="s">
        <v>68</v>
      </c>
      <c r="Z299" t="s">
        <v>161</v>
      </c>
      <c r="AA299" t="s">
        <v>167</v>
      </c>
      <c r="AB299">
        <v>5</v>
      </c>
      <c r="AC299">
        <v>60</v>
      </c>
      <c r="AD299">
        <v>138.62</v>
      </c>
      <c r="AE299">
        <f t="shared" si="8"/>
        <v>1200.3800000000001</v>
      </c>
      <c r="AF299" t="str">
        <f t="shared" si="9"/>
        <v>2025-02</v>
      </c>
      <c r="AG299">
        <f>SUBTOTAL(103,A299)</f>
        <v>1</v>
      </c>
    </row>
    <row r="300" spans="1:33" x14ac:dyDescent="0.3">
      <c r="A300" t="s">
        <v>2910</v>
      </c>
      <c r="B300" s="13">
        <v>45699</v>
      </c>
      <c r="C300">
        <v>2025</v>
      </c>
      <c r="D300">
        <v>2</v>
      </c>
      <c r="E300" t="s">
        <v>2849</v>
      </c>
      <c r="F300" t="s">
        <v>2572</v>
      </c>
      <c r="G300" t="s">
        <v>1297</v>
      </c>
      <c r="H300" t="s">
        <v>1298</v>
      </c>
      <c r="I300" t="s">
        <v>85</v>
      </c>
      <c r="J300">
        <v>43</v>
      </c>
      <c r="K300" t="s">
        <v>82</v>
      </c>
      <c r="L300" t="s">
        <v>2690</v>
      </c>
      <c r="M300" t="s">
        <v>63</v>
      </c>
      <c r="N300" t="s">
        <v>2603</v>
      </c>
      <c r="O300" t="s">
        <v>122</v>
      </c>
      <c r="P300" t="s">
        <v>48</v>
      </c>
      <c r="Q300" t="s">
        <v>141</v>
      </c>
      <c r="R300">
        <v>5</v>
      </c>
      <c r="S300">
        <v>2499</v>
      </c>
      <c r="T300">
        <v>0.1</v>
      </c>
      <c r="U300">
        <v>11245.5</v>
      </c>
      <c r="V300">
        <v>7250</v>
      </c>
      <c r="W300">
        <v>3995.5</v>
      </c>
      <c r="X300" t="s">
        <v>75</v>
      </c>
      <c r="Y300" t="s">
        <v>69</v>
      </c>
      <c r="Z300" t="s">
        <v>158</v>
      </c>
      <c r="AA300" t="s">
        <v>167</v>
      </c>
      <c r="AB300">
        <v>5</v>
      </c>
      <c r="AC300">
        <v>80</v>
      </c>
      <c r="AD300">
        <v>1245.55</v>
      </c>
      <c r="AE300">
        <f t="shared" si="8"/>
        <v>2669.95</v>
      </c>
      <c r="AF300" t="str">
        <f t="shared" si="9"/>
        <v>2025-02</v>
      </c>
      <c r="AG300">
        <f>SUBTOTAL(103,A300)</f>
        <v>1</v>
      </c>
    </row>
    <row r="301" spans="1:33" x14ac:dyDescent="0.3">
      <c r="A301" t="s">
        <v>2911</v>
      </c>
      <c r="B301" s="13">
        <v>45699</v>
      </c>
      <c r="C301">
        <v>2025</v>
      </c>
      <c r="D301">
        <v>2</v>
      </c>
      <c r="E301" t="s">
        <v>2849</v>
      </c>
      <c r="F301" t="s">
        <v>2572</v>
      </c>
      <c r="G301" t="s">
        <v>907</v>
      </c>
      <c r="H301" t="s">
        <v>908</v>
      </c>
      <c r="I301" t="s">
        <v>85</v>
      </c>
      <c r="J301">
        <v>60</v>
      </c>
      <c r="K301" t="s">
        <v>83</v>
      </c>
      <c r="L301" t="s">
        <v>2586</v>
      </c>
      <c r="M301" t="s">
        <v>62</v>
      </c>
      <c r="N301" t="s">
        <v>2592</v>
      </c>
      <c r="O301" t="s">
        <v>115</v>
      </c>
      <c r="P301" t="s">
        <v>48</v>
      </c>
      <c r="Q301" t="s">
        <v>137</v>
      </c>
      <c r="R301">
        <v>2</v>
      </c>
      <c r="S301">
        <v>12999</v>
      </c>
      <c r="T301">
        <v>0.1</v>
      </c>
      <c r="U301">
        <v>23398.2</v>
      </c>
      <c r="V301">
        <v>18000</v>
      </c>
      <c r="W301">
        <v>5398.2</v>
      </c>
      <c r="X301" t="s">
        <v>75</v>
      </c>
      <c r="Y301" t="s">
        <v>68</v>
      </c>
      <c r="Z301" t="s">
        <v>162</v>
      </c>
      <c r="AA301" t="s">
        <v>170</v>
      </c>
      <c r="AB301">
        <v>4.3</v>
      </c>
      <c r="AC301">
        <v>80</v>
      </c>
      <c r="AD301">
        <v>2707.2</v>
      </c>
      <c r="AE301">
        <f t="shared" si="8"/>
        <v>2611</v>
      </c>
      <c r="AF301" t="str">
        <f t="shared" si="9"/>
        <v>2025-02</v>
      </c>
      <c r="AG301">
        <f>SUBTOTAL(103,A301)</f>
        <v>1</v>
      </c>
    </row>
    <row r="302" spans="1:33" x14ac:dyDescent="0.3">
      <c r="A302" t="s">
        <v>2912</v>
      </c>
      <c r="B302" s="13">
        <v>45699</v>
      </c>
      <c r="C302">
        <v>2025</v>
      </c>
      <c r="D302">
        <v>2</v>
      </c>
      <c r="E302" t="s">
        <v>2849</v>
      </c>
      <c r="F302" t="s">
        <v>2572</v>
      </c>
      <c r="G302" t="s">
        <v>1539</v>
      </c>
      <c r="H302" t="s">
        <v>1540</v>
      </c>
      <c r="I302" t="s">
        <v>85</v>
      </c>
      <c r="J302">
        <v>44</v>
      </c>
      <c r="K302" t="s">
        <v>82</v>
      </c>
      <c r="L302" t="s">
        <v>91</v>
      </c>
      <c r="M302" t="s">
        <v>55</v>
      </c>
      <c r="N302" t="s">
        <v>2574</v>
      </c>
      <c r="O302" t="s">
        <v>130</v>
      </c>
      <c r="P302" t="s">
        <v>50</v>
      </c>
      <c r="Q302" t="s">
        <v>53</v>
      </c>
      <c r="R302">
        <v>1</v>
      </c>
      <c r="S302">
        <v>1199</v>
      </c>
      <c r="T302">
        <v>0.15</v>
      </c>
      <c r="U302">
        <v>1019.15</v>
      </c>
      <c r="V302">
        <v>550</v>
      </c>
      <c r="W302">
        <v>469.15</v>
      </c>
      <c r="X302" t="s">
        <v>76</v>
      </c>
      <c r="Y302" t="s">
        <v>68</v>
      </c>
      <c r="Z302" t="s">
        <v>163</v>
      </c>
      <c r="AA302" t="s">
        <v>167</v>
      </c>
      <c r="AB302">
        <v>2.9</v>
      </c>
      <c r="AC302">
        <v>40</v>
      </c>
      <c r="AD302">
        <v>37.53</v>
      </c>
      <c r="AE302">
        <f t="shared" si="8"/>
        <v>391.62</v>
      </c>
      <c r="AF302" t="str">
        <f t="shared" si="9"/>
        <v>2025-02</v>
      </c>
      <c r="AG302">
        <f>SUBTOTAL(103,A302)</f>
        <v>1</v>
      </c>
    </row>
    <row r="303" spans="1:33" x14ac:dyDescent="0.3">
      <c r="A303" t="s">
        <v>2913</v>
      </c>
      <c r="B303" s="13">
        <v>45700</v>
      </c>
      <c r="C303">
        <v>2025</v>
      </c>
      <c r="D303">
        <v>2</v>
      </c>
      <c r="E303" t="s">
        <v>2849</v>
      </c>
      <c r="F303" t="s">
        <v>2572</v>
      </c>
      <c r="G303" t="s">
        <v>1571</v>
      </c>
      <c r="H303" t="s">
        <v>1572</v>
      </c>
      <c r="I303" t="s">
        <v>86</v>
      </c>
      <c r="J303">
        <v>30</v>
      </c>
      <c r="K303" t="s">
        <v>81</v>
      </c>
      <c r="L303" t="s">
        <v>2605</v>
      </c>
      <c r="M303" t="s">
        <v>60</v>
      </c>
      <c r="N303" t="s">
        <v>2653</v>
      </c>
      <c r="O303" t="s">
        <v>132</v>
      </c>
      <c r="P303" t="s">
        <v>52</v>
      </c>
      <c r="Q303" t="s">
        <v>150</v>
      </c>
      <c r="R303">
        <v>1</v>
      </c>
      <c r="S303">
        <v>899</v>
      </c>
      <c r="T303">
        <v>0.1</v>
      </c>
      <c r="U303">
        <v>809.1</v>
      </c>
      <c r="V303">
        <v>420</v>
      </c>
      <c r="W303">
        <v>389.1</v>
      </c>
      <c r="X303" t="s">
        <v>73</v>
      </c>
      <c r="Y303" t="s">
        <v>68</v>
      </c>
      <c r="Z303" t="s">
        <v>158</v>
      </c>
      <c r="AA303" t="s">
        <v>166</v>
      </c>
      <c r="AB303">
        <v>4</v>
      </c>
      <c r="AC303">
        <v>60</v>
      </c>
      <c r="AD303">
        <v>28.87</v>
      </c>
      <c r="AE303">
        <f t="shared" si="8"/>
        <v>300.23</v>
      </c>
      <c r="AF303" t="str">
        <f t="shared" si="9"/>
        <v>2025-02</v>
      </c>
      <c r="AG303">
        <f>SUBTOTAL(103,A303)</f>
        <v>1</v>
      </c>
    </row>
    <row r="304" spans="1:33" x14ac:dyDescent="0.3">
      <c r="A304" t="s">
        <v>2914</v>
      </c>
      <c r="B304" s="13">
        <v>45700</v>
      </c>
      <c r="C304">
        <v>2025</v>
      </c>
      <c r="D304">
        <v>2</v>
      </c>
      <c r="E304" t="s">
        <v>2849</v>
      </c>
      <c r="F304" t="s">
        <v>2572</v>
      </c>
      <c r="G304" t="s">
        <v>2071</v>
      </c>
      <c r="H304" t="s">
        <v>2072</v>
      </c>
      <c r="I304" t="s">
        <v>85</v>
      </c>
      <c r="J304">
        <v>22</v>
      </c>
      <c r="K304" t="s">
        <v>80</v>
      </c>
      <c r="L304" t="s">
        <v>59</v>
      </c>
      <c r="M304" t="s">
        <v>59</v>
      </c>
      <c r="N304" t="s">
        <v>2574</v>
      </c>
      <c r="O304" t="s">
        <v>130</v>
      </c>
      <c r="P304" t="s">
        <v>50</v>
      </c>
      <c r="Q304" t="s">
        <v>53</v>
      </c>
      <c r="R304">
        <v>1</v>
      </c>
      <c r="S304">
        <v>1199</v>
      </c>
      <c r="T304">
        <v>0.05</v>
      </c>
      <c r="U304">
        <v>1139.05</v>
      </c>
      <c r="V304">
        <v>550</v>
      </c>
      <c r="W304">
        <v>589.04999999999995</v>
      </c>
      <c r="X304" t="s">
        <v>73</v>
      </c>
      <c r="Y304" t="s">
        <v>68</v>
      </c>
      <c r="Z304" t="s">
        <v>158</v>
      </c>
      <c r="AA304" t="s">
        <v>169</v>
      </c>
      <c r="AB304">
        <v>4.2</v>
      </c>
      <c r="AC304">
        <v>100</v>
      </c>
      <c r="AD304">
        <v>27.53</v>
      </c>
      <c r="AE304">
        <f t="shared" si="8"/>
        <v>461.52</v>
      </c>
      <c r="AF304" t="str">
        <f t="shared" si="9"/>
        <v>2025-02</v>
      </c>
      <c r="AG304">
        <f>SUBTOTAL(103,A304)</f>
        <v>1</v>
      </c>
    </row>
    <row r="305" spans="1:33" x14ac:dyDescent="0.3">
      <c r="A305" t="s">
        <v>2915</v>
      </c>
      <c r="B305" s="13">
        <v>45700</v>
      </c>
      <c r="C305">
        <v>2025</v>
      </c>
      <c r="D305">
        <v>2</v>
      </c>
      <c r="E305" t="s">
        <v>2849</v>
      </c>
      <c r="F305" t="s">
        <v>2572</v>
      </c>
      <c r="G305" t="s">
        <v>527</v>
      </c>
      <c r="H305" t="s">
        <v>528</v>
      </c>
      <c r="I305" t="s">
        <v>86</v>
      </c>
      <c r="J305">
        <v>39</v>
      </c>
      <c r="K305" t="s">
        <v>82</v>
      </c>
      <c r="L305" t="s">
        <v>100</v>
      </c>
      <c r="M305" t="s">
        <v>56</v>
      </c>
      <c r="N305" t="s">
        <v>2601</v>
      </c>
      <c r="O305" t="s">
        <v>117</v>
      </c>
      <c r="P305" t="s">
        <v>49</v>
      </c>
      <c r="Q305" t="s">
        <v>139</v>
      </c>
      <c r="R305">
        <v>3</v>
      </c>
      <c r="S305">
        <v>6999</v>
      </c>
      <c r="T305">
        <v>0.1</v>
      </c>
      <c r="U305">
        <v>18897.3</v>
      </c>
      <c r="V305">
        <v>12900</v>
      </c>
      <c r="W305">
        <v>5997.3</v>
      </c>
      <c r="X305" t="s">
        <v>77</v>
      </c>
      <c r="Y305" t="s">
        <v>68</v>
      </c>
      <c r="Z305" t="s">
        <v>158</v>
      </c>
      <c r="AA305" t="s">
        <v>166</v>
      </c>
      <c r="AB305">
        <v>4.2</v>
      </c>
      <c r="AC305">
        <v>60</v>
      </c>
      <c r="AD305">
        <v>1620.21</v>
      </c>
      <c r="AE305">
        <f t="shared" si="8"/>
        <v>4317.09</v>
      </c>
      <c r="AF305" t="str">
        <f t="shared" si="9"/>
        <v>2025-02</v>
      </c>
      <c r="AG305">
        <f>SUBTOTAL(103,A305)</f>
        <v>1</v>
      </c>
    </row>
    <row r="306" spans="1:33" x14ac:dyDescent="0.3">
      <c r="A306" t="s">
        <v>2916</v>
      </c>
      <c r="B306" s="13">
        <v>45700</v>
      </c>
      <c r="C306">
        <v>2025</v>
      </c>
      <c r="D306">
        <v>2</v>
      </c>
      <c r="E306" t="s">
        <v>2849</v>
      </c>
      <c r="F306" t="s">
        <v>2572</v>
      </c>
      <c r="G306" t="s">
        <v>313</v>
      </c>
      <c r="H306" t="s">
        <v>314</v>
      </c>
      <c r="I306" t="s">
        <v>86</v>
      </c>
      <c r="J306">
        <v>55</v>
      </c>
      <c r="K306" t="s">
        <v>83</v>
      </c>
      <c r="L306" t="s">
        <v>95</v>
      </c>
      <c r="M306" t="s">
        <v>56</v>
      </c>
      <c r="N306" t="s">
        <v>2657</v>
      </c>
      <c r="O306" t="s">
        <v>134</v>
      </c>
      <c r="P306" t="s">
        <v>49</v>
      </c>
      <c r="Q306" t="s">
        <v>140</v>
      </c>
      <c r="R306">
        <v>2</v>
      </c>
      <c r="S306">
        <v>599</v>
      </c>
      <c r="T306">
        <v>0.1</v>
      </c>
      <c r="U306">
        <v>0</v>
      </c>
      <c r="V306">
        <v>0</v>
      </c>
      <c r="W306">
        <v>0</v>
      </c>
      <c r="X306" t="s">
        <v>77</v>
      </c>
      <c r="Y306" t="s">
        <v>71</v>
      </c>
      <c r="Z306" t="s">
        <v>161</v>
      </c>
      <c r="AA306" t="s">
        <v>167</v>
      </c>
      <c r="AB306">
        <v>5</v>
      </c>
      <c r="AC306">
        <v>50</v>
      </c>
      <c r="AD306">
        <v>127.48</v>
      </c>
      <c r="AE306">
        <f t="shared" si="8"/>
        <v>-177.48000000000002</v>
      </c>
      <c r="AF306" t="str">
        <f t="shared" si="9"/>
        <v>2025-02</v>
      </c>
      <c r="AG306">
        <f>SUBTOTAL(103,A306)</f>
        <v>1</v>
      </c>
    </row>
    <row r="307" spans="1:33" x14ac:dyDescent="0.3">
      <c r="A307" t="s">
        <v>2917</v>
      </c>
      <c r="B307" s="13">
        <v>45700</v>
      </c>
      <c r="C307">
        <v>2025</v>
      </c>
      <c r="D307">
        <v>2</v>
      </c>
      <c r="E307" t="s">
        <v>2849</v>
      </c>
      <c r="F307" t="s">
        <v>2572</v>
      </c>
      <c r="G307" t="s">
        <v>609</v>
      </c>
      <c r="H307" t="s">
        <v>610</v>
      </c>
      <c r="I307" t="s">
        <v>86</v>
      </c>
      <c r="J307">
        <v>29</v>
      </c>
      <c r="K307" t="s">
        <v>81</v>
      </c>
      <c r="L307" t="s">
        <v>97</v>
      </c>
      <c r="M307" t="s">
        <v>57</v>
      </c>
      <c r="N307" t="s">
        <v>2647</v>
      </c>
      <c r="O307" t="s">
        <v>133</v>
      </c>
      <c r="P307" t="s">
        <v>50</v>
      </c>
      <c r="Q307" t="s">
        <v>145</v>
      </c>
      <c r="R307">
        <v>2</v>
      </c>
      <c r="S307">
        <v>799</v>
      </c>
      <c r="T307">
        <v>0.1</v>
      </c>
      <c r="U307">
        <v>1438.2</v>
      </c>
      <c r="V307">
        <v>780</v>
      </c>
      <c r="W307">
        <v>658.2</v>
      </c>
      <c r="X307" t="s">
        <v>73</v>
      </c>
      <c r="Y307" t="s">
        <v>68</v>
      </c>
      <c r="Z307" t="s">
        <v>163</v>
      </c>
      <c r="AA307" t="s">
        <v>169</v>
      </c>
      <c r="AB307">
        <v>4.2</v>
      </c>
      <c r="AC307">
        <v>60</v>
      </c>
      <c r="AD307">
        <v>142.44999999999999</v>
      </c>
      <c r="AE307">
        <f t="shared" si="8"/>
        <v>455.75000000000006</v>
      </c>
      <c r="AF307" t="str">
        <f t="shared" si="9"/>
        <v>2025-02</v>
      </c>
      <c r="AG307">
        <f>SUBTOTAL(103,A307)</f>
        <v>1</v>
      </c>
    </row>
    <row r="308" spans="1:33" x14ac:dyDescent="0.3">
      <c r="A308" t="s">
        <v>2918</v>
      </c>
      <c r="B308" s="13">
        <v>45700</v>
      </c>
      <c r="C308">
        <v>2025</v>
      </c>
      <c r="D308">
        <v>2</v>
      </c>
      <c r="E308" t="s">
        <v>2849</v>
      </c>
      <c r="F308" t="s">
        <v>2572</v>
      </c>
      <c r="G308" t="s">
        <v>1555</v>
      </c>
      <c r="H308" t="s">
        <v>1556</v>
      </c>
      <c r="I308" t="s">
        <v>86</v>
      </c>
      <c r="J308">
        <v>38</v>
      </c>
      <c r="K308" t="s">
        <v>82</v>
      </c>
      <c r="L308" t="s">
        <v>2646</v>
      </c>
      <c r="M308" t="s">
        <v>63</v>
      </c>
      <c r="N308" t="s">
        <v>2594</v>
      </c>
      <c r="O308" t="s">
        <v>131</v>
      </c>
      <c r="P308" t="s">
        <v>53</v>
      </c>
      <c r="Q308" t="s">
        <v>143</v>
      </c>
      <c r="R308">
        <v>1</v>
      </c>
      <c r="S308">
        <v>999</v>
      </c>
      <c r="T308">
        <v>0.2</v>
      </c>
      <c r="U308">
        <v>799.2</v>
      </c>
      <c r="V308">
        <v>520</v>
      </c>
      <c r="W308">
        <v>279.2</v>
      </c>
      <c r="X308" t="s">
        <v>73</v>
      </c>
      <c r="Y308" t="s">
        <v>68</v>
      </c>
      <c r="Z308" t="s">
        <v>158</v>
      </c>
      <c r="AA308" t="s">
        <v>171</v>
      </c>
      <c r="AB308">
        <v>4.3</v>
      </c>
      <c r="AC308">
        <v>50</v>
      </c>
      <c r="AD308">
        <v>43.81</v>
      </c>
      <c r="AE308">
        <f t="shared" si="8"/>
        <v>185.39</v>
      </c>
      <c r="AF308" t="str">
        <f t="shared" si="9"/>
        <v>2025-02</v>
      </c>
      <c r="AG308">
        <f>SUBTOTAL(103,A308)</f>
        <v>1</v>
      </c>
    </row>
    <row r="309" spans="1:33" x14ac:dyDescent="0.3">
      <c r="A309" t="s">
        <v>2919</v>
      </c>
      <c r="B309" s="13">
        <v>45700</v>
      </c>
      <c r="C309">
        <v>2025</v>
      </c>
      <c r="D309">
        <v>2</v>
      </c>
      <c r="E309" t="s">
        <v>2849</v>
      </c>
      <c r="F309" t="s">
        <v>2572</v>
      </c>
      <c r="G309" t="s">
        <v>991</v>
      </c>
      <c r="H309" t="s">
        <v>992</v>
      </c>
      <c r="I309" t="s">
        <v>85</v>
      </c>
      <c r="J309">
        <v>41</v>
      </c>
      <c r="K309" t="s">
        <v>82</v>
      </c>
      <c r="L309" t="s">
        <v>90</v>
      </c>
      <c r="M309" t="s">
        <v>55</v>
      </c>
      <c r="N309" t="s">
        <v>2574</v>
      </c>
      <c r="O309" t="s">
        <v>130</v>
      </c>
      <c r="P309" t="s">
        <v>50</v>
      </c>
      <c r="Q309" t="s">
        <v>53</v>
      </c>
      <c r="R309">
        <v>2</v>
      </c>
      <c r="S309">
        <v>1199</v>
      </c>
      <c r="T309">
        <v>0.25</v>
      </c>
      <c r="U309">
        <v>1798.5</v>
      </c>
      <c r="V309">
        <v>1100</v>
      </c>
      <c r="W309">
        <v>698.5</v>
      </c>
      <c r="X309" t="s">
        <v>73</v>
      </c>
      <c r="Y309" t="s">
        <v>68</v>
      </c>
      <c r="Z309" t="s">
        <v>158</v>
      </c>
      <c r="AA309" t="s">
        <v>170</v>
      </c>
      <c r="AB309">
        <v>4.5</v>
      </c>
      <c r="AC309">
        <v>40</v>
      </c>
      <c r="AD309">
        <v>91.77</v>
      </c>
      <c r="AE309">
        <f t="shared" si="8"/>
        <v>566.73</v>
      </c>
      <c r="AF309" t="str">
        <f t="shared" si="9"/>
        <v>2025-02</v>
      </c>
      <c r="AG309">
        <f>SUBTOTAL(103,A309)</f>
        <v>1</v>
      </c>
    </row>
    <row r="310" spans="1:33" x14ac:dyDescent="0.3">
      <c r="A310" t="s">
        <v>2920</v>
      </c>
      <c r="B310" s="13">
        <v>45701</v>
      </c>
      <c r="C310">
        <v>2025</v>
      </c>
      <c r="D310">
        <v>2</v>
      </c>
      <c r="E310" t="s">
        <v>2849</v>
      </c>
      <c r="F310" t="s">
        <v>2572</v>
      </c>
      <c r="G310" t="s">
        <v>621</v>
      </c>
      <c r="H310" t="s">
        <v>622</v>
      </c>
      <c r="I310" t="s">
        <v>85</v>
      </c>
      <c r="J310">
        <v>54</v>
      </c>
      <c r="K310" t="s">
        <v>83</v>
      </c>
      <c r="L310" t="s">
        <v>100</v>
      </c>
      <c r="M310" t="s">
        <v>56</v>
      </c>
      <c r="N310" t="s">
        <v>2582</v>
      </c>
      <c r="O310" t="s">
        <v>119</v>
      </c>
      <c r="P310" t="s">
        <v>49</v>
      </c>
      <c r="Q310" t="s">
        <v>140</v>
      </c>
      <c r="R310">
        <v>4</v>
      </c>
      <c r="S310">
        <v>3499</v>
      </c>
      <c r="T310">
        <v>0.05</v>
      </c>
      <c r="U310">
        <v>13296.2</v>
      </c>
      <c r="V310">
        <v>8400</v>
      </c>
      <c r="W310">
        <v>4896.2</v>
      </c>
      <c r="X310" t="s">
        <v>73</v>
      </c>
      <c r="Y310" t="s">
        <v>68</v>
      </c>
      <c r="Z310" t="s">
        <v>161</v>
      </c>
      <c r="AA310" t="s">
        <v>171</v>
      </c>
      <c r="AB310">
        <v>4.9000000000000004</v>
      </c>
      <c r="AC310">
        <v>80</v>
      </c>
      <c r="AD310">
        <v>734.6</v>
      </c>
      <c r="AE310">
        <f t="shared" si="8"/>
        <v>4081.6</v>
      </c>
      <c r="AF310" t="str">
        <f t="shared" si="9"/>
        <v>2025-02</v>
      </c>
      <c r="AG310">
        <f>SUBTOTAL(103,A310)</f>
        <v>1</v>
      </c>
    </row>
    <row r="311" spans="1:33" x14ac:dyDescent="0.3">
      <c r="A311" t="s">
        <v>2921</v>
      </c>
      <c r="B311" s="13">
        <v>45701</v>
      </c>
      <c r="C311">
        <v>2025</v>
      </c>
      <c r="D311">
        <v>2</v>
      </c>
      <c r="E311" t="s">
        <v>2849</v>
      </c>
      <c r="F311" t="s">
        <v>2572</v>
      </c>
      <c r="G311" t="s">
        <v>1657</v>
      </c>
      <c r="H311" t="s">
        <v>1658</v>
      </c>
      <c r="I311" t="s">
        <v>85</v>
      </c>
      <c r="J311">
        <v>38</v>
      </c>
      <c r="K311" t="s">
        <v>82</v>
      </c>
      <c r="L311" t="s">
        <v>2674</v>
      </c>
      <c r="M311" t="s">
        <v>58</v>
      </c>
      <c r="N311" t="s">
        <v>2626</v>
      </c>
      <c r="O311" t="s">
        <v>125</v>
      </c>
      <c r="P311" t="s">
        <v>48</v>
      </c>
      <c r="Q311" t="s">
        <v>141</v>
      </c>
      <c r="R311">
        <v>2</v>
      </c>
      <c r="S311">
        <v>1999</v>
      </c>
      <c r="T311">
        <v>0.1</v>
      </c>
      <c r="U311">
        <v>3598.2</v>
      </c>
      <c r="V311">
        <v>2300</v>
      </c>
      <c r="W311">
        <v>1298.2</v>
      </c>
      <c r="X311" t="s">
        <v>74</v>
      </c>
      <c r="Y311" t="s">
        <v>68</v>
      </c>
      <c r="Z311" t="s">
        <v>158</v>
      </c>
      <c r="AA311" t="s">
        <v>168</v>
      </c>
      <c r="AB311">
        <v>3.3</v>
      </c>
      <c r="AC311">
        <v>100</v>
      </c>
      <c r="AD311">
        <v>400.71</v>
      </c>
      <c r="AE311">
        <f t="shared" si="8"/>
        <v>797.49</v>
      </c>
      <c r="AF311" t="str">
        <f t="shared" si="9"/>
        <v>2025-02</v>
      </c>
      <c r="AG311">
        <f>SUBTOTAL(103,A311)</f>
        <v>1</v>
      </c>
    </row>
    <row r="312" spans="1:33" x14ac:dyDescent="0.3">
      <c r="A312" t="s">
        <v>2922</v>
      </c>
      <c r="B312" s="13">
        <v>45701</v>
      </c>
      <c r="C312">
        <v>2025</v>
      </c>
      <c r="D312">
        <v>2</v>
      </c>
      <c r="E312" t="s">
        <v>2849</v>
      </c>
      <c r="F312" t="s">
        <v>2572</v>
      </c>
      <c r="G312" t="s">
        <v>1189</v>
      </c>
      <c r="H312" t="s">
        <v>1190</v>
      </c>
      <c r="I312" t="s">
        <v>85</v>
      </c>
      <c r="J312">
        <v>45</v>
      </c>
      <c r="K312" t="s">
        <v>82</v>
      </c>
      <c r="L312" t="s">
        <v>2679</v>
      </c>
      <c r="M312" t="s">
        <v>60</v>
      </c>
      <c r="N312" t="s">
        <v>2630</v>
      </c>
      <c r="O312" t="s">
        <v>123</v>
      </c>
      <c r="P312" t="s">
        <v>52</v>
      </c>
      <c r="Q312" t="s">
        <v>146</v>
      </c>
      <c r="R312">
        <v>4</v>
      </c>
      <c r="S312">
        <v>2499</v>
      </c>
      <c r="T312">
        <v>0.1</v>
      </c>
      <c r="U312">
        <v>8996.4</v>
      </c>
      <c r="V312">
        <v>5600</v>
      </c>
      <c r="W312">
        <v>3396.4</v>
      </c>
      <c r="X312" t="s">
        <v>77</v>
      </c>
      <c r="Y312" t="s">
        <v>69</v>
      </c>
      <c r="Z312" t="s">
        <v>158</v>
      </c>
      <c r="AA312" t="s">
        <v>166</v>
      </c>
      <c r="AB312">
        <v>3.8</v>
      </c>
      <c r="AC312">
        <v>100</v>
      </c>
      <c r="AD312">
        <v>522.37</v>
      </c>
      <c r="AE312">
        <f t="shared" si="8"/>
        <v>2774.03</v>
      </c>
      <c r="AF312" t="str">
        <f t="shared" si="9"/>
        <v>2025-02</v>
      </c>
      <c r="AG312">
        <f>SUBTOTAL(103,A312)</f>
        <v>1</v>
      </c>
    </row>
    <row r="313" spans="1:33" x14ac:dyDescent="0.3">
      <c r="A313" t="s">
        <v>2923</v>
      </c>
      <c r="B313" s="13">
        <v>45701</v>
      </c>
      <c r="C313">
        <v>2025</v>
      </c>
      <c r="D313">
        <v>2</v>
      </c>
      <c r="E313" t="s">
        <v>2849</v>
      </c>
      <c r="F313" t="s">
        <v>2572</v>
      </c>
      <c r="G313" t="s">
        <v>1947</v>
      </c>
      <c r="H313" t="s">
        <v>1948</v>
      </c>
      <c r="I313" t="s">
        <v>85</v>
      </c>
      <c r="J313">
        <v>43</v>
      </c>
      <c r="K313" t="s">
        <v>82</v>
      </c>
      <c r="L313" t="s">
        <v>59</v>
      </c>
      <c r="M313" t="s">
        <v>59</v>
      </c>
      <c r="N313" t="s">
        <v>2657</v>
      </c>
      <c r="O313" t="s">
        <v>134</v>
      </c>
      <c r="P313" t="s">
        <v>49</v>
      </c>
      <c r="Q313" t="s">
        <v>140</v>
      </c>
      <c r="R313">
        <v>2</v>
      </c>
      <c r="S313">
        <v>599</v>
      </c>
      <c r="T313">
        <v>0.1</v>
      </c>
      <c r="U313">
        <v>1078.2</v>
      </c>
      <c r="V313">
        <v>500</v>
      </c>
      <c r="W313">
        <v>578.20000000000005</v>
      </c>
      <c r="X313" t="s">
        <v>73</v>
      </c>
      <c r="Y313" t="s">
        <v>68</v>
      </c>
      <c r="Z313" t="s">
        <v>158</v>
      </c>
      <c r="AA313" t="s">
        <v>171</v>
      </c>
      <c r="AB313">
        <v>3.3</v>
      </c>
      <c r="AC313">
        <v>60</v>
      </c>
      <c r="AD313">
        <v>36</v>
      </c>
      <c r="AE313">
        <f t="shared" si="8"/>
        <v>482.20000000000005</v>
      </c>
      <c r="AF313" t="str">
        <f t="shared" si="9"/>
        <v>2025-02</v>
      </c>
      <c r="AG313">
        <f>SUBTOTAL(103,A313)</f>
        <v>1</v>
      </c>
    </row>
    <row r="314" spans="1:33" x14ac:dyDescent="0.3">
      <c r="A314" t="s">
        <v>2924</v>
      </c>
      <c r="B314" s="13">
        <v>45701</v>
      </c>
      <c r="C314">
        <v>2025</v>
      </c>
      <c r="D314">
        <v>2</v>
      </c>
      <c r="E314" t="s">
        <v>2849</v>
      </c>
      <c r="F314" t="s">
        <v>2572</v>
      </c>
      <c r="G314" t="s">
        <v>1495</v>
      </c>
      <c r="H314" t="s">
        <v>1496</v>
      </c>
      <c r="I314" t="s">
        <v>86</v>
      </c>
      <c r="J314">
        <v>59</v>
      </c>
      <c r="K314" t="s">
        <v>83</v>
      </c>
      <c r="L314" t="s">
        <v>2589</v>
      </c>
      <c r="M314" t="s">
        <v>61</v>
      </c>
      <c r="N314" t="s">
        <v>2630</v>
      </c>
      <c r="O314" t="s">
        <v>123</v>
      </c>
      <c r="P314" t="s">
        <v>52</v>
      </c>
      <c r="Q314" t="s">
        <v>146</v>
      </c>
      <c r="R314">
        <v>2</v>
      </c>
      <c r="S314">
        <v>2499</v>
      </c>
      <c r="T314">
        <v>0.1</v>
      </c>
      <c r="U314">
        <v>4498.2</v>
      </c>
      <c r="V314">
        <v>2800</v>
      </c>
      <c r="W314">
        <v>1698.2</v>
      </c>
      <c r="X314" t="s">
        <v>73</v>
      </c>
      <c r="Y314" t="s">
        <v>68</v>
      </c>
      <c r="Z314" t="s">
        <v>158</v>
      </c>
      <c r="AA314" t="s">
        <v>167</v>
      </c>
      <c r="AB314">
        <v>4</v>
      </c>
      <c r="AC314">
        <v>60</v>
      </c>
      <c r="AD314">
        <v>430.86</v>
      </c>
      <c r="AE314">
        <f t="shared" si="8"/>
        <v>1207.3400000000001</v>
      </c>
      <c r="AF314" t="str">
        <f t="shared" si="9"/>
        <v>2025-02</v>
      </c>
      <c r="AG314">
        <f>SUBTOTAL(103,A314)</f>
        <v>1</v>
      </c>
    </row>
    <row r="315" spans="1:33" x14ac:dyDescent="0.3">
      <c r="A315" t="s">
        <v>2925</v>
      </c>
      <c r="B315" s="13">
        <v>45701</v>
      </c>
      <c r="C315">
        <v>2025</v>
      </c>
      <c r="D315">
        <v>2</v>
      </c>
      <c r="E315" t="s">
        <v>2849</v>
      </c>
      <c r="F315" t="s">
        <v>2572</v>
      </c>
      <c r="G315" t="s">
        <v>361</v>
      </c>
      <c r="H315" t="s">
        <v>362</v>
      </c>
      <c r="I315" t="s">
        <v>86</v>
      </c>
      <c r="J315">
        <v>23</v>
      </c>
      <c r="K315" t="s">
        <v>80</v>
      </c>
      <c r="L315" t="s">
        <v>95</v>
      </c>
      <c r="M315" t="s">
        <v>56</v>
      </c>
      <c r="N315" t="s">
        <v>2592</v>
      </c>
      <c r="O315" t="s">
        <v>115</v>
      </c>
      <c r="P315" t="s">
        <v>48</v>
      </c>
      <c r="Q315" t="s">
        <v>137</v>
      </c>
      <c r="R315">
        <v>3</v>
      </c>
      <c r="S315">
        <v>12999</v>
      </c>
      <c r="T315">
        <v>0.1</v>
      </c>
      <c r="U315">
        <v>35097.300000000003</v>
      </c>
      <c r="V315">
        <v>27000</v>
      </c>
      <c r="W315">
        <v>8097.3</v>
      </c>
      <c r="X315" t="s">
        <v>74</v>
      </c>
      <c r="Y315" t="s">
        <v>69</v>
      </c>
      <c r="Z315" t="s">
        <v>158</v>
      </c>
      <c r="AA315" t="s">
        <v>167</v>
      </c>
      <c r="AB315">
        <v>4.5</v>
      </c>
      <c r="AC315">
        <v>80</v>
      </c>
      <c r="AD315">
        <v>1029.8499999999999</v>
      </c>
      <c r="AE315">
        <f t="shared" si="8"/>
        <v>6987.4500000000007</v>
      </c>
      <c r="AF315" t="str">
        <f t="shared" si="9"/>
        <v>2025-02</v>
      </c>
      <c r="AG315">
        <f>SUBTOTAL(103,A315)</f>
        <v>1</v>
      </c>
    </row>
    <row r="316" spans="1:33" x14ac:dyDescent="0.3">
      <c r="A316" t="s">
        <v>2926</v>
      </c>
      <c r="B316" s="13">
        <v>45701</v>
      </c>
      <c r="C316">
        <v>2025</v>
      </c>
      <c r="D316">
        <v>2</v>
      </c>
      <c r="E316" t="s">
        <v>2849</v>
      </c>
      <c r="F316" t="s">
        <v>2572</v>
      </c>
      <c r="G316" t="s">
        <v>1537</v>
      </c>
      <c r="H316" t="s">
        <v>1538</v>
      </c>
      <c r="I316" t="s">
        <v>85</v>
      </c>
      <c r="J316">
        <v>18</v>
      </c>
      <c r="K316" t="s">
        <v>80</v>
      </c>
      <c r="L316" t="s">
        <v>2579</v>
      </c>
      <c r="M316" t="s">
        <v>56</v>
      </c>
      <c r="N316" t="s">
        <v>2582</v>
      </c>
      <c r="O316" t="s">
        <v>119</v>
      </c>
      <c r="P316" t="s">
        <v>49</v>
      </c>
      <c r="Q316" t="s">
        <v>140</v>
      </c>
      <c r="R316">
        <v>3</v>
      </c>
      <c r="S316">
        <v>3499</v>
      </c>
      <c r="T316">
        <v>0</v>
      </c>
      <c r="U316">
        <v>10497</v>
      </c>
      <c r="V316">
        <v>6300</v>
      </c>
      <c r="W316">
        <v>4197</v>
      </c>
      <c r="X316" t="s">
        <v>73</v>
      </c>
      <c r="Y316" t="s">
        <v>68</v>
      </c>
      <c r="Z316" t="s">
        <v>160</v>
      </c>
      <c r="AA316" t="s">
        <v>167</v>
      </c>
      <c r="AB316">
        <v>3.9</v>
      </c>
      <c r="AC316">
        <v>100</v>
      </c>
      <c r="AD316">
        <v>257.95</v>
      </c>
      <c r="AE316">
        <f t="shared" si="8"/>
        <v>3839.05</v>
      </c>
      <c r="AF316" t="str">
        <f t="shared" si="9"/>
        <v>2025-02</v>
      </c>
      <c r="AG316">
        <f>SUBTOTAL(103,A316)</f>
        <v>1</v>
      </c>
    </row>
    <row r="317" spans="1:33" x14ac:dyDescent="0.3">
      <c r="A317" t="s">
        <v>2927</v>
      </c>
      <c r="B317" s="13">
        <v>45702</v>
      </c>
      <c r="C317">
        <v>2025</v>
      </c>
      <c r="D317">
        <v>2</v>
      </c>
      <c r="E317" t="s">
        <v>2849</v>
      </c>
      <c r="F317" t="s">
        <v>2572</v>
      </c>
      <c r="G317" t="s">
        <v>1747</v>
      </c>
      <c r="H317" t="s">
        <v>1748</v>
      </c>
      <c r="I317" t="s">
        <v>85</v>
      </c>
      <c r="J317">
        <v>49</v>
      </c>
      <c r="K317" t="s">
        <v>83</v>
      </c>
      <c r="L317" t="s">
        <v>95</v>
      </c>
      <c r="M317" t="s">
        <v>56</v>
      </c>
      <c r="N317" t="s">
        <v>2653</v>
      </c>
      <c r="O317" t="s">
        <v>132</v>
      </c>
      <c r="P317" t="s">
        <v>52</v>
      </c>
      <c r="Q317" t="s">
        <v>150</v>
      </c>
      <c r="R317">
        <v>4</v>
      </c>
      <c r="S317">
        <v>899</v>
      </c>
      <c r="T317">
        <v>0</v>
      </c>
      <c r="U317">
        <v>3596</v>
      </c>
      <c r="V317">
        <v>1680</v>
      </c>
      <c r="W317">
        <v>1916</v>
      </c>
      <c r="X317" t="s">
        <v>77</v>
      </c>
      <c r="Y317" t="s">
        <v>68</v>
      </c>
      <c r="Z317" t="s">
        <v>158</v>
      </c>
      <c r="AA317" t="s">
        <v>171</v>
      </c>
      <c r="AB317">
        <v>4.7</v>
      </c>
      <c r="AC317">
        <v>60</v>
      </c>
      <c r="AD317">
        <v>294.68</v>
      </c>
      <c r="AE317">
        <f t="shared" si="8"/>
        <v>1561.32</v>
      </c>
      <c r="AF317" t="str">
        <f t="shared" si="9"/>
        <v>2025-02</v>
      </c>
      <c r="AG317">
        <f>SUBTOTAL(103,A317)</f>
        <v>1</v>
      </c>
    </row>
    <row r="318" spans="1:33" x14ac:dyDescent="0.3">
      <c r="A318" t="s">
        <v>2928</v>
      </c>
      <c r="B318" s="13">
        <v>45702</v>
      </c>
      <c r="C318">
        <v>2025</v>
      </c>
      <c r="D318">
        <v>2</v>
      </c>
      <c r="E318" t="s">
        <v>2849</v>
      </c>
      <c r="F318" t="s">
        <v>2572</v>
      </c>
      <c r="G318" t="s">
        <v>445</v>
      </c>
      <c r="H318" t="s">
        <v>446</v>
      </c>
      <c r="I318" t="s">
        <v>86</v>
      </c>
      <c r="J318">
        <v>30</v>
      </c>
      <c r="K318" t="s">
        <v>81</v>
      </c>
      <c r="L318" t="s">
        <v>2616</v>
      </c>
      <c r="M318" t="s">
        <v>62</v>
      </c>
      <c r="N318" t="s">
        <v>2647</v>
      </c>
      <c r="O318" t="s">
        <v>133</v>
      </c>
      <c r="P318" t="s">
        <v>50</v>
      </c>
      <c r="Q318" t="s">
        <v>145</v>
      </c>
      <c r="R318">
        <v>3</v>
      </c>
      <c r="S318">
        <v>799</v>
      </c>
      <c r="T318">
        <v>0.15</v>
      </c>
      <c r="U318">
        <v>2037.45</v>
      </c>
      <c r="V318">
        <v>1170</v>
      </c>
      <c r="W318">
        <v>867.45</v>
      </c>
      <c r="X318" t="s">
        <v>75</v>
      </c>
      <c r="Y318" t="s">
        <v>68</v>
      </c>
      <c r="Z318" t="s">
        <v>163</v>
      </c>
      <c r="AA318" t="s">
        <v>170</v>
      </c>
      <c r="AB318">
        <v>5</v>
      </c>
      <c r="AC318">
        <v>50</v>
      </c>
      <c r="AD318">
        <v>93.82</v>
      </c>
      <c r="AE318">
        <f t="shared" si="8"/>
        <v>723.63000000000011</v>
      </c>
      <c r="AF318" t="str">
        <f t="shared" si="9"/>
        <v>2025-02</v>
      </c>
      <c r="AG318">
        <f>SUBTOTAL(103,A318)</f>
        <v>1</v>
      </c>
    </row>
    <row r="319" spans="1:33" x14ac:dyDescent="0.3">
      <c r="A319" t="s">
        <v>2929</v>
      </c>
      <c r="B319" s="13">
        <v>45702</v>
      </c>
      <c r="C319">
        <v>2025</v>
      </c>
      <c r="D319">
        <v>2</v>
      </c>
      <c r="E319" t="s">
        <v>2849</v>
      </c>
      <c r="F319" t="s">
        <v>2572</v>
      </c>
      <c r="G319" t="s">
        <v>433</v>
      </c>
      <c r="H319" t="s">
        <v>434</v>
      </c>
      <c r="I319" t="s">
        <v>86</v>
      </c>
      <c r="J319">
        <v>27</v>
      </c>
      <c r="K319" t="s">
        <v>81</v>
      </c>
      <c r="L319" t="s">
        <v>2679</v>
      </c>
      <c r="M319" t="s">
        <v>60</v>
      </c>
      <c r="N319" t="s">
        <v>2626</v>
      </c>
      <c r="O319" t="s">
        <v>125</v>
      </c>
      <c r="P319" t="s">
        <v>48</v>
      </c>
      <c r="Q319" t="s">
        <v>141</v>
      </c>
      <c r="R319">
        <v>4</v>
      </c>
      <c r="S319">
        <v>1999</v>
      </c>
      <c r="T319">
        <v>0</v>
      </c>
      <c r="U319">
        <v>7996</v>
      </c>
      <c r="V319">
        <v>4600</v>
      </c>
      <c r="W319">
        <v>3396</v>
      </c>
      <c r="X319" t="s">
        <v>73</v>
      </c>
      <c r="Y319" t="s">
        <v>68</v>
      </c>
      <c r="Z319" t="s">
        <v>158</v>
      </c>
      <c r="AA319" t="s">
        <v>166</v>
      </c>
      <c r="AB319">
        <v>4.3</v>
      </c>
      <c r="AC319">
        <v>80</v>
      </c>
      <c r="AD319">
        <v>311.92</v>
      </c>
      <c r="AE319">
        <f t="shared" si="8"/>
        <v>3004.08</v>
      </c>
      <c r="AF319" t="str">
        <f t="shared" si="9"/>
        <v>2025-02</v>
      </c>
      <c r="AG319">
        <f>SUBTOTAL(103,A319)</f>
        <v>1</v>
      </c>
    </row>
    <row r="320" spans="1:33" x14ac:dyDescent="0.3">
      <c r="A320" t="s">
        <v>2930</v>
      </c>
      <c r="B320" s="13">
        <v>45702</v>
      </c>
      <c r="C320">
        <v>2025</v>
      </c>
      <c r="D320">
        <v>2</v>
      </c>
      <c r="E320" t="s">
        <v>2849</v>
      </c>
      <c r="F320" t="s">
        <v>2572</v>
      </c>
      <c r="G320" t="s">
        <v>1591</v>
      </c>
      <c r="H320" t="s">
        <v>1592</v>
      </c>
      <c r="I320" t="s">
        <v>85</v>
      </c>
      <c r="J320">
        <v>20</v>
      </c>
      <c r="K320" t="s">
        <v>80</v>
      </c>
      <c r="L320" t="s">
        <v>92</v>
      </c>
      <c r="M320" t="s">
        <v>59</v>
      </c>
      <c r="N320" t="s">
        <v>2657</v>
      </c>
      <c r="O320" t="s">
        <v>134</v>
      </c>
      <c r="P320" t="s">
        <v>49</v>
      </c>
      <c r="Q320" t="s">
        <v>140</v>
      </c>
      <c r="R320">
        <v>5</v>
      </c>
      <c r="S320">
        <v>599</v>
      </c>
      <c r="T320">
        <v>0.15</v>
      </c>
      <c r="U320">
        <v>2545.75</v>
      </c>
      <c r="V320">
        <v>1250</v>
      </c>
      <c r="W320">
        <v>1295.75</v>
      </c>
      <c r="X320" t="s">
        <v>73</v>
      </c>
      <c r="Y320" t="s">
        <v>68</v>
      </c>
      <c r="Z320" t="s">
        <v>162</v>
      </c>
      <c r="AA320" t="s">
        <v>171</v>
      </c>
      <c r="AB320">
        <v>3.8</v>
      </c>
      <c r="AC320">
        <v>80</v>
      </c>
      <c r="AD320">
        <v>82.13</v>
      </c>
      <c r="AE320">
        <f t="shared" si="8"/>
        <v>1133.6199999999999</v>
      </c>
      <c r="AF320" t="str">
        <f t="shared" si="9"/>
        <v>2025-02</v>
      </c>
      <c r="AG320">
        <f>SUBTOTAL(103,A320)</f>
        <v>1</v>
      </c>
    </row>
    <row r="321" spans="1:33" x14ac:dyDescent="0.3">
      <c r="A321" t="s">
        <v>2931</v>
      </c>
      <c r="B321" s="13">
        <v>45702</v>
      </c>
      <c r="C321">
        <v>2025</v>
      </c>
      <c r="D321">
        <v>2</v>
      </c>
      <c r="E321" t="s">
        <v>2849</v>
      </c>
      <c r="F321" t="s">
        <v>2572</v>
      </c>
      <c r="G321" t="s">
        <v>1161</v>
      </c>
      <c r="H321" t="s">
        <v>1162</v>
      </c>
      <c r="I321" t="s">
        <v>86</v>
      </c>
      <c r="J321">
        <v>38</v>
      </c>
      <c r="K321" t="s">
        <v>82</v>
      </c>
      <c r="L321" t="s">
        <v>2661</v>
      </c>
      <c r="M321" t="s">
        <v>58</v>
      </c>
      <c r="N321" t="s">
        <v>2574</v>
      </c>
      <c r="O321" t="s">
        <v>130</v>
      </c>
      <c r="P321" t="s">
        <v>50</v>
      </c>
      <c r="Q321" t="s">
        <v>53</v>
      </c>
      <c r="R321">
        <v>1</v>
      </c>
      <c r="S321">
        <v>1199</v>
      </c>
      <c r="T321">
        <v>0.2</v>
      </c>
      <c r="U321">
        <v>959.2</v>
      </c>
      <c r="V321">
        <v>550</v>
      </c>
      <c r="W321">
        <v>409.2</v>
      </c>
      <c r="X321" t="s">
        <v>76</v>
      </c>
      <c r="Y321" t="s">
        <v>68</v>
      </c>
      <c r="Z321" t="s">
        <v>161</v>
      </c>
      <c r="AA321" t="s">
        <v>166</v>
      </c>
      <c r="AB321">
        <v>4.0999999999999996</v>
      </c>
      <c r="AC321">
        <v>50</v>
      </c>
      <c r="AD321">
        <v>26.73</v>
      </c>
      <c r="AE321">
        <f t="shared" si="8"/>
        <v>332.46999999999997</v>
      </c>
      <c r="AF321" t="str">
        <f t="shared" si="9"/>
        <v>2025-02</v>
      </c>
      <c r="AG321">
        <f>SUBTOTAL(103,A321)</f>
        <v>1</v>
      </c>
    </row>
    <row r="322" spans="1:33" x14ac:dyDescent="0.3">
      <c r="A322" t="s">
        <v>2932</v>
      </c>
      <c r="B322" s="13">
        <v>45703</v>
      </c>
      <c r="C322">
        <v>2025</v>
      </c>
      <c r="D322">
        <v>2</v>
      </c>
      <c r="E322" t="s">
        <v>2849</v>
      </c>
      <c r="F322" t="s">
        <v>2572</v>
      </c>
      <c r="G322" t="s">
        <v>2099</v>
      </c>
      <c r="H322" t="s">
        <v>2100</v>
      </c>
      <c r="I322" t="s">
        <v>85</v>
      </c>
      <c r="J322">
        <v>30</v>
      </c>
      <c r="K322" t="s">
        <v>81</v>
      </c>
      <c r="L322" t="s">
        <v>2605</v>
      </c>
      <c r="M322" t="s">
        <v>60</v>
      </c>
      <c r="N322" t="s">
        <v>2590</v>
      </c>
      <c r="O322" t="s">
        <v>127</v>
      </c>
      <c r="P322" t="s">
        <v>51</v>
      </c>
      <c r="Q322" t="s">
        <v>148</v>
      </c>
      <c r="R322">
        <v>2</v>
      </c>
      <c r="S322">
        <v>1599</v>
      </c>
      <c r="T322">
        <v>0.2</v>
      </c>
      <c r="U322">
        <v>2558.4</v>
      </c>
      <c r="V322">
        <v>1600</v>
      </c>
      <c r="W322">
        <v>958.4</v>
      </c>
      <c r="X322" t="s">
        <v>74</v>
      </c>
      <c r="Y322" t="s">
        <v>68</v>
      </c>
      <c r="Z322" t="s">
        <v>163</v>
      </c>
      <c r="AA322" t="s">
        <v>170</v>
      </c>
      <c r="AB322">
        <v>5</v>
      </c>
      <c r="AC322">
        <v>50</v>
      </c>
      <c r="AD322">
        <v>163.82</v>
      </c>
      <c r="AE322">
        <f t="shared" ref="AE322:AE385" si="10">W322-AC322-AD322</f>
        <v>744.57999999999993</v>
      </c>
      <c r="AF322" t="str">
        <f t="shared" ref="AF322:AF385" si="11">C322&amp;"-"&amp;TEXT(D322,"00")</f>
        <v>2025-02</v>
      </c>
      <c r="AG322">
        <f>SUBTOTAL(103,A322)</f>
        <v>1</v>
      </c>
    </row>
    <row r="323" spans="1:33" x14ac:dyDescent="0.3">
      <c r="A323" t="s">
        <v>2933</v>
      </c>
      <c r="B323" s="13">
        <v>45703</v>
      </c>
      <c r="C323">
        <v>2025</v>
      </c>
      <c r="D323">
        <v>2</v>
      </c>
      <c r="E323" t="s">
        <v>2849</v>
      </c>
      <c r="F323" t="s">
        <v>2572</v>
      </c>
      <c r="G323" t="s">
        <v>399</v>
      </c>
      <c r="H323" t="s">
        <v>400</v>
      </c>
      <c r="I323" t="s">
        <v>86</v>
      </c>
      <c r="J323">
        <v>29</v>
      </c>
      <c r="K323" t="s">
        <v>81</v>
      </c>
      <c r="L323" t="s">
        <v>2679</v>
      </c>
      <c r="M323" t="s">
        <v>60</v>
      </c>
      <c r="N323" t="s">
        <v>2626</v>
      </c>
      <c r="O323" t="s">
        <v>125</v>
      </c>
      <c r="P323" t="s">
        <v>48</v>
      </c>
      <c r="Q323" t="s">
        <v>141</v>
      </c>
      <c r="R323">
        <v>5</v>
      </c>
      <c r="S323">
        <v>1999</v>
      </c>
      <c r="T323">
        <v>0</v>
      </c>
      <c r="U323">
        <v>9995</v>
      </c>
      <c r="V323">
        <v>5750</v>
      </c>
      <c r="W323">
        <v>4245</v>
      </c>
      <c r="X323" t="s">
        <v>77</v>
      </c>
      <c r="Y323" t="s">
        <v>68</v>
      </c>
      <c r="Z323" t="s">
        <v>162</v>
      </c>
      <c r="AA323" t="s">
        <v>166</v>
      </c>
      <c r="AB323">
        <v>3.6</v>
      </c>
      <c r="AC323">
        <v>60</v>
      </c>
      <c r="AD323">
        <v>781.75</v>
      </c>
      <c r="AE323">
        <f t="shared" si="10"/>
        <v>3403.25</v>
      </c>
      <c r="AF323" t="str">
        <f t="shared" si="11"/>
        <v>2025-02</v>
      </c>
      <c r="AG323">
        <f>SUBTOTAL(103,A323)</f>
        <v>1</v>
      </c>
    </row>
    <row r="324" spans="1:33" x14ac:dyDescent="0.3">
      <c r="A324" t="s">
        <v>2934</v>
      </c>
      <c r="B324" s="13">
        <v>45703</v>
      </c>
      <c r="C324">
        <v>2025</v>
      </c>
      <c r="D324">
        <v>2</v>
      </c>
      <c r="E324" t="s">
        <v>2849</v>
      </c>
      <c r="F324" t="s">
        <v>2572</v>
      </c>
      <c r="G324" t="s">
        <v>1531</v>
      </c>
      <c r="H324" t="s">
        <v>1532</v>
      </c>
      <c r="I324" t="s">
        <v>85</v>
      </c>
      <c r="J324">
        <v>36</v>
      </c>
      <c r="K324" t="s">
        <v>82</v>
      </c>
      <c r="L324" t="s">
        <v>2579</v>
      </c>
      <c r="M324" t="s">
        <v>56</v>
      </c>
      <c r="N324" t="s">
        <v>2590</v>
      </c>
      <c r="O324" t="s">
        <v>127</v>
      </c>
      <c r="P324" t="s">
        <v>51</v>
      </c>
      <c r="Q324" t="s">
        <v>148</v>
      </c>
      <c r="R324">
        <v>2</v>
      </c>
      <c r="S324">
        <v>1599</v>
      </c>
      <c r="T324">
        <v>0.15</v>
      </c>
      <c r="U324">
        <v>2718.3</v>
      </c>
      <c r="V324">
        <v>1600</v>
      </c>
      <c r="W324">
        <v>1118.3</v>
      </c>
      <c r="X324" t="s">
        <v>73</v>
      </c>
      <c r="Y324" t="s">
        <v>68</v>
      </c>
      <c r="Z324" t="s">
        <v>160</v>
      </c>
      <c r="AA324" t="s">
        <v>171</v>
      </c>
      <c r="AB324">
        <v>3.1</v>
      </c>
      <c r="AC324">
        <v>40</v>
      </c>
      <c r="AD324">
        <v>110.25</v>
      </c>
      <c r="AE324">
        <f t="shared" si="10"/>
        <v>968.05</v>
      </c>
      <c r="AF324" t="str">
        <f t="shared" si="11"/>
        <v>2025-02</v>
      </c>
      <c r="AG324">
        <f>SUBTOTAL(103,A324)</f>
        <v>1</v>
      </c>
    </row>
    <row r="325" spans="1:33" x14ac:dyDescent="0.3">
      <c r="A325" t="s">
        <v>2935</v>
      </c>
      <c r="B325" s="13">
        <v>45703</v>
      </c>
      <c r="C325">
        <v>2025</v>
      </c>
      <c r="D325">
        <v>2</v>
      </c>
      <c r="E325" t="s">
        <v>2849</v>
      </c>
      <c r="F325" t="s">
        <v>2572</v>
      </c>
      <c r="G325" t="s">
        <v>711</v>
      </c>
      <c r="H325" t="s">
        <v>712</v>
      </c>
      <c r="I325" t="s">
        <v>85</v>
      </c>
      <c r="J325">
        <v>40</v>
      </c>
      <c r="K325" t="s">
        <v>82</v>
      </c>
      <c r="L325" t="s">
        <v>97</v>
      </c>
      <c r="M325" t="s">
        <v>57</v>
      </c>
      <c r="N325" t="s">
        <v>2606</v>
      </c>
      <c r="O325" t="s">
        <v>120</v>
      </c>
      <c r="P325" t="s">
        <v>49</v>
      </c>
      <c r="Q325" t="s">
        <v>140</v>
      </c>
      <c r="R325">
        <v>1</v>
      </c>
      <c r="S325">
        <v>2799</v>
      </c>
      <c r="T325">
        <v>0.05</v>
      </c>
      <c r="U325">
        <v>2659.05</v>
      </c>
      <c r="V325">
        <v>1650</v>
      </c>
      <c r="W325">
        <v>1009.05</v>
      </c>
      <c r="X325" t="s">
        <v>73</v>
      </c>
      <c r="Y325" t="s">
        <v>68</v>
      </c>
      <c r="Z325" t="s">
        <v>162</v>
      </c>
      <c r="AA325" t="s">
        <v>171</v>
      </c>
      <c r="AB325">
        <v>3.7</v>
      </c>
      <c r="AC325">
        <v>100</v>
      </c>
      <c r="AD325">
        <v>145.94</v>
      </c>
      <c r="AE325">
        <f t="shared" si="10"/>
        <v>763.1099999999999</v>
      </c>
      <c r="AF325" t="str">
        <f t="shared" si="11"/>
        <v>2025-02</v>
      </c>
      <c r="AG325">
        <f>SUBTOTAL(103,A325)</f>
        <v>1</v>
      </c>
    </row>
    <row r="326" spans="1:33" x14ac:dyDescent="0.3">
      <c r="A326" t="s">
        <v>2936</v>
      </c>
      <c r="B326" s="13">
        <v>45703</v>
      </c>
      <c r="C326">
        <v>2025</v>
      </c>
      <c r="D326">
        <v>2</v>
      </c>
      <c r="E326" t="s">
        <v>2849</v>
      </c>
      <c r="F326" t="s">
        <v>2572</v>
      </c>
      <c r="G326" t="s">
        <v>1093</v>
      </c>
      <c r="H326" t="s">
        <v>1094</v>
      </c>
      <c r="I326" t="s">
        <v>86</v>
      </c>
      <c r="J326">
        <v>38</v>
      </c>
      <c r="K326" t="s">
        <v>82</v>
      </c>
      <c r="L326" t="s">
        <v>94</v>
      </c>
      <c r="M326" t="s">
        <v>57</v>
      </c>
      <c r="N326" t="s">
        <v>2630</v>
      </c>
      <c r="O326" t="s">
        <v>123</v>
      </c>
      <c r="P326" t="s">
        <v>52</v>
      </c>
      <c r="Q326" t="s">
        <v>146</v>
      </c>
      <c r="R326">
        <v>2</v>
      </c>
      <c r="S326">
        <v>2499</v>
      </c>
      <c r="T326">
        <v>0.1</v>
      </c>
      <c r="U326">
        <v>4498.2</v>
      </c>
      <c r="V326">
        <v>2800</v>
      </c>
      <c r="W326">
        <v>1698.2</v>
      </c>
      <c r="X326" t="s">
        <v>73</v>
      </c>
      <c r="Y326" t="s">
        <v>68</v>
      </c>
      <c r="Z326" t="s">
        <v>160</v>
      </c>
      <c r="AA326" t="s">
        <v>166</v>
      </c>
      <c r="AB326">
        <v>4.3</v>
      </c>
      <c r="AC326">
        <v>120</v>
      </c>
      <c r="AD326">
        <v>433.65</v>
      </c>
      <c r="AE326">
        <f t="shared" si="10"/>
        <v>1144.5500000000002</v>
      </c>
      <c r="AF326" t="str">
        <f t="shared" si="11"/>
        <v>2025-02</v>
      </c>
      <c r="AG326">
        <f>SUBTOTAL(103,A326)</f>
        <v>1</v>
      </c>
    </row>
    <row r="327" spans="1:33" x14ac:dyDescent="0.3">
      <c r="A327" t="s">
        <v>2937</v>
      </c>
      <c r="B327" s="13">
        <v>45703</v>
      </c>
      <c r="C327">
        <v>2025</v>
      </c>
      <c r="D327">
        <v>2</v>
      </c>
      <c r="E327" t="s">
        <v>2849</v>
      </c>
      <c r="F327" t="s">
        <v>2572</v>
      </c>
      <c r="G327" t="s">
        <v>1571</v>
      </c>
      <c r="H327" t="s">
        <v>1572</v>
      </c>
      <c r="I327" t="s">
        <v>86</v>
      </c>
      <c r="J327">
        <v>30</v>
      </c>
      <c r="K327" t="s">
        <v>81</v>
      </c>
      <c r="L327" t="s">
        <v>2605</v>
      </c>
      <c r="M327" t="s">
        <v>60</v>
      </c>
      <c r="N327" t="s">
        <v>2577</v>
      </c>
      <c r="O327" t="s">
        <v>129</v>
      </c>
      <c r="P327" t="s">
        <v>49</v>
      </c>
      <c r="Q327" t="s">
        <v>149</v>
      </c>
      <c r="R327">
        <v>1</v>
      </c>
      <c r="S327">
        <v>1299</v>
      </c>
      <c r="T327">
        <v>0.15</v>
      </c>
      <c r="U327">
        <v>1104.1500000000001</v>
      </c>
      <c r="V327">
        <v>650</v>
      </c>
      <c r="W327">
        <v>454.15</v>
      </c>
      <c r="X327" t="s">
        <v>77</v>
      </c>
      <c r="Y327" t="s">
        <v>68</v>
      </c>
      <c r="Z327" t="s">
        <v>161</v>
      </c>
      <c r="AA327" t="s">
        <v>170</v>
      </c>
      <c r="AB327">
        <v>5</v>
      </c>
      <c r="AC327">
        <v>80</v>
      </c>
      <c r="AD327">
        <v>104.92</v>
      </c>
      <c r="AE327">
        <f t="shared" si="10"/>
        <v>269.22999999999996</v>
      </c>
      <c r="AF327" t="str">
        <f t="shared" si="11"/>
        <v>2025-02</v>
      </c>
      <c r="AG327">
        <f>SUBTOTAL(103,A327)</f>
        <v>1</v>
      </c>
    </row>
    <row r="328" spans="1:33" x14ac:dyDescent="0.3">
      <c r="A328" t="s">
        <v>2938</v>
      </c>
      <c r="B328" s="13">
        <v>45703</v>
      </c>
      <c r="C328">
        <v>2025</v>
      </c>
      <c r="D328">
        <v>2</v>
      </c>
      <c r="E328" t="s">
        <v>2849</v>
      </c>
      <c r="F328" t="s">
        <v>2572</v>
      </c>
      <c r="G328" t="s">
        <v>713</v>
      </c>
      <c r="H328" t="s">
        <v>714</v>
      </c>
      <c r="I328" t="s">
        <v>86</v>
      </c>
      <c r="J328">
        <v>56</v>
      </c>
      <c r="K328" t="s">
        <v>83</v>
      </c>
      <c r="L328" t="s">
        <v>2589</v>
      </c>
      <c r="M328" t="s">
        <v>61</v>
      </c>
      <c r="N328" t="s">
        <v>2584</v>
      </c>
      <c r="O328" t="s">
        <v>121</v>
      </c>
      <c r="P328" t="s">
        <v>50</v>
      </c>
      <c r="Q328" t="s">
        <v>144</v>
      </c>
      <c r="R328">
        <v>5</v>
      </c>
      <c r="S328">
        <v>2999</v>
      </c>
      <c r="T328">
        <v>0.15</v>
      </c>
      <c r="U328">
        <v>12745.75</v>
      </c>
      <c r="V328">
        <v>8500</v>
      </c>
      <c r="W328">
        <v>4245.75</v>
      </c>
      <c r="X328" t="s">
        <v>74</v>
      </c>
      <c r="Y328" t="s">
        <v>68</v>
      </c>
      <c r="Z328" t="s">
        <v>161</v>
      </c>
      <c r="AA328" t="s">
        <v>166</v>
      </c>
      <c r="AB328">
        <v>5</v>
      </c>
      <c r="AC328">
        <v>60</v>
      </c>
      <c r="AD328">
        <v>637.80999999999995</v>
      </c>
      <c r="AE328">
        <f t="shared" si="10"/>
        <v>3547.94</v>
      </c>
      <c r="AF328" t="str">
        <f t="shared" si="11"/>
        <v>2025-02</v>
      </c>
      <c r="AG328">
        <f>SUBTOTAL(103,A328)</f>
        <v>1</v>
      </c>
    </row>
    <row r="329" spans="1:33" x14ac:dyDescent="0.3">
      <c r="A329" t="s">
        <v>2939</v>
      </c>
      <c r="B329" s="13">
        <v>45703</v>
      </c>
      <c r="C329">
        <v>2025</v>
      </c>
      <c r="D329">
        <v>2</v>
      </c>
      <c r="E329" t="s">
        <v>2849</v>
      </c>
      <c r="F329" t="s">
        <v>2572</v>
      </c>
      <c r="G329" t="s">
        <v>1627</v>
      </c>
      <c r="H329" t="s">
        <v>1628</v>
      </c>
      <c r="I329" t="s">
        <v>86</v>
      </c>
      <c r="J329">
        <v>22</v>
      </c>
      <c r="K329" t="s">
        <v>80</v>
      </c>
      <c r="L329" t="s">
        <v>2661</v>
      </c>
      <c r="M329" t="s">
        <v>58</v>
      </c>
      <c r="N329" t="s">
        <v>2584</v>
      </c>
      <c r="O329" t="s">
        <v>121</v>
      </c>
      <c r="P329" t="s">
        <v>50</v>
      </c>
      <c r="Q329" t="s">
        <v>144</v>
      </c>
      <c r="R329">
        <v>2</v>
      </c>
      <c r="S329">
        <v>2999</v>
      </c>
      <c r="T329">
        <v>0.15</v>
      </c>
      <c r="U329">
        <v>5098.3</v>
      </c>
      <c r="V329">
        <v>3400</v>
      </c>
      <c r="W329">
        <v>1698.3</v>
      </c>
      <c r="X329" t="s">
        <v>77</v>
      </c>
      <c r="Y329" t="s">
        <v>68</v>
      </c>
      <c r="Z329" t="s">
        <v>163</v>
      </c>
      <c r="AA329" t="s">
        <v>170</v>
      </c>
      <c r="AB329">
        <v>2.9</v>
      </c>
      <c r="AC329">
        <v>80</v>
      </c>
      <c r="AD329">
        <v>276.12</v>
      </c>
      <c r="AE329">
        <f t="shared" si="10"/>
        <v>1342.1799999999998</v>
      </c>
      <c r="AF329" t="str">
        <f t="shared" si="11"/>
        <v>2025-02</v>
      </c>
      <c r="AG329">
        <f>SUBTOTAL(103,A329)</f>
        <v>1</v>
      </c>
    </row>
    <row r="330" spans="1:33" x14ac:dyDescent="0.3">
      <c r="A330" t="s">
        <v>2940</v>
      </c>
      <c r="B330" s="13">
        <v>45704</v>
      </c>
      <c r="C330">
        <v>2025</v>
      </c>
      <c r="D330">
        <v>2</v>
      </c>
      <c r="E330" t="s">
        <v>2849</v>
      </c>
      <c r="F330" t="s">
        <v>2572</v>
      </c>
      <c r="G330" t="s">
        <v>2331</v>
      </c>
      <c r="H330" t="s">
        <v>2332</v>
      </c>
      <c r="I330" t="s">
        <v>85</v>
      </c>
      <c r="J330">
        <v>37</v>
      </c>
      <c r="K330" t="s">
        <v>82</v>
      </c>
      <c r="L330" t="s">
        <v>97</v>
      </c>
      <c r="M330" t="s">
        <v>57</v>
      </c>
      <c r="N330" t="s">
        <v>2574</v>
      </c>
      <c r="O330" t="s">
        <v>130</v>
      </c>
      <c r="P330" t="s">
        <v>50</v>
      </c>
      <c r="Q330" t="s">
        <v>53</v>
      </c>
      <c r="R330">
        <v>2</v>
      </c>
      <c r="S330">
        <v>1199</v>
      </c>
      <c r="T330">
        <v>0.05</v>
      </c>
      <c r="U330">
        <v>0</v>
      </c>
      <c r="V330">
        <v>0</v>
      </c>
      <c r="W330">
        <v>0</v>
      </c>
      <c r="X330" t="s">
        <v>75</v>
      </c>
      <c r="Y330" t="s">
        <v>71</v>
      </c>
      <c r="Z330" t="s">
        <v>161</v>
      </c>
      <c r="AA330" t="s">
        <v>170</v>
      </c>
      <c r="AB330">
        <v>4.3</v>
      </c>
      <c r="AC330">
        <v>40</v>
      </c>
      <c r="AD330">
        <v>210.5</v>
      </c>
      <c r="AE330">
        <f t="shared" si="10"/>
        <v>-250.5</v>
      </c>
      <c r="AF330" t="str">
        <f t="shared" si="11"/>
        <v>2025-02</v>
      </c>
      <c r="AG330">
        <f>SUBTOTAL(103,A330)</f>
        <v>1</v>
      </c>
    </row>
    <row r="331" spans="1:33" x14ac:dyDescent="0.3">
      <c r="A331" t="s">
        <v>2941</v>
      </c>
      <c r="B331" s="13">
        <v>45704</v>
      </c>
      <c r="C331">
        <v>2025</v>
      </c>
      <c r="D331">
        <v>2</v>
      </c>
      <c r="E331" t="s">
        <v>2849</v>
      </c>
      <c r="F331" t="s">
        <v>2572</v>
      </c>
      <c r="G331" t="s">
        <v>617</v>
      </c>
      <c r="H331" t="s">
        <v>618</v>
      </c>
      <c r="I331" t="s">
        <v>85</v>
      </c>
      <c r="J331">
        <v>45</v>
      </c>
      <c r="K331" t="s">
        <v>82</v>
      </c>
      <c r="L331" t="s">
        <v>90</v>
      </c>
      <c r="M331" t="s">
        <v>55</v>
      </c>
      <c r="N331" t="s">
        <v>2574</v>
      </c>
      <c r="O331" t="s">
        <v>130</v>
      </c>
      <c r="P331" t="s">
        <v>50</v>
      </c>
      <c r="Q331" t="s">
        <v>53</v>
      </c>
      <c r="R331">
        <v>1</v>
      </c>
      <c r="S331">
        <v>1199</v>
      </c>
      <c r="T331">
        <v>0.1</v>
      </c>
      <c r="U331">
        <v>1079.0999999999999</v>
      </c>
      <c r="V331">
        <v>550</v>
      </c>
      <c r="W331">
        <v>529.1</v>
      </c>
      <c r="X331" t="s">
        <v>73</v>
      </c>
      <c r="Y331" t="s">
        <v>68</v>
      </c>
      <c r="Z331" t="s">
        <v>161</v>
      </c>
      <c r="AA331" t="s">
        <v>166</v>
      </c>
      <c r="AB331">
        <v>3.3</v>
      </c>
      <c r="AC331">
        <v>60</v>
      </c>
      <c r="AD331">
        <v>41.27</v>
      </c>
      <c r="AE331">
        <f t="shared" si="10"/>
        <v>427.83000000000004</v>
      </c>
      <c r="AF331" t="str">
        <f t="shared" si="11"/>
        <v>2025-02</v>
      </c>
      <c r="AG331">
        <f>SUBTOTAL(103,A331)</f>
        <v>1</v>
      </c>
    </row>
    <row r="332" spans="1:33" x14ac:dyDescent="0.3">
      <c r="A332" t="s">
        <v>2942</v>
      </c>
      <c r="B332" s="13">
        <v>45704</v>
      </c>
      <c r="C332">
        <v>2025</v>
      </c>
      <c r="D332">
        <v>2</v>
      </c>
      <c r="E332" t="s">
        <v>2849</v>
      </c>
      <c r="F332" t="s">
        <v>2572</v>
      </c>
      <c r="G332" t="s">
        <v>1187</v>
      </c>
      <c r="H332" t="s">
        <v>1188</v>
      </c>
      <c r="I332" t="s">
        <v>86</v>
      </c>
      <c r="J332">
        <v>40</v>
      </c>
      <c r="K332" t="s">
        <v>82</v>
      </c>
      <c r="L332" t="s">
        <v>99</v>
      </c>
      <c r="M332" t="s">
        <v>58</v>
      </c>
      <c r="N332" t="s">
        <v>2601</v>
      </c>
      <c r="O332" t="s">
        <v>117</v>
      </c>
      <c r="P332" t="s">
        <v>49</v>
      </c>
      <c r="Q332" t="s">
        <v>139</v>
      </c>
      <c r="R332">
        <v>2</v>
      </c>
      <c r="S332">
        <v>6999</v>
      </c>
      <c r="T332">
        <v>0.25</v>
      </c>
      <c r="U332">
        <v>10498.5</v>
      </c>
      <c r="V332">
        <v>8600</v>
      </c>
      <c r="W332">
        <v>1898.5</v>
      </c>
      <c r="X332" t="s">
        <v>73</v>
      </c>
      <c r="Y332" t="s">
        <v>68</v>
      </c>
      <c r="Z332" t="s">
        <v>159</v>
      </c>
      <c r="AA332" t="s">
        <v>166</v>
      </c>
      <c r="AB332">
        <v>3.3</v>
      </c>
      <c r="AC332">
        <v>40</v>
      </c>
      <c r="AD332">
        <v>866.82</v>
      </c>
      <c r="AE332">
        <f t="shared" si="10"/>
        <v>991.68</v>
      </c>
      <c r="AF332" t="str">
        <f t="shared" si="11"/>
        <v>2025-02</v>
      </c>
      <c r="AG332">
        <f>SUBTOTAL(103,A332)</f>
        <v>1</v>
      </c>
    </row>
    <row r="333" spans="1:33" x14ac:dyDescent="0.3">
      <c r="A333" t="s">
        <v>2943</v>
      </c>
      <c r="B333" s="13">
        <v>45704</v>
      </c>
      <c r="C333">
        <v>2025</v>
      </c>
      <c r="D333">
        <v>2</v>
      </c>
      <c r="E333" t="s">
        <v>2849</v>
      </c>
      <c r="F333" t="s">
        <v>2572</v>
      </c>
      <c r="G333" t="s">
        <v>973</v>
      </c>
      <c r="H333" t="s">
        <v>974</v>
      </c>
      <c r="I333" t="s">
        <v>85</v>
      </c>
      <c r="J333">
        <v>39</v>
      </c>
      <c r="K333" t="s">
        <v>82</v>
      </c>
      <c r="L333" t="s">
        <v>2612</v>
      </c>
      <c r="M333" t="s">
        <v>64</v>
      </c>
      <c r="N333" t="s">
        <v>2606</v>
      </c>
      <c r="O333" t="s">
        <v>120</v>
      </c>
      <c r="P333" t="s">
        <v>49</v>
      </c>
      <c r="Q333" t="s">
        <v>140</v>
      </c>
      <c r="R333">
        <v>1</v>
      </c>
      <c r="S333">
        <v>2799</v>
      </c>
      <c r="T333">
        <v>0.05</v>
      </c>
      <c r="U333">
        <v>2659.05</v>
      </c>
      <c r="V333">
        <v>1650</v>
      </c>
      <c r="W333">
        <v>1009.05</v>
      </c>
      <c r="X333" t="s">
        <v>77</v>
      </c>
      <c r="Y333" t="s">
        <v>68</v>
      </c>
      <c r="Z333" t="s">
        <v>158</v>
      </c>
      <c r="AA333" t="s">
        <v>170</v>
      </c>
      <c r="AB333">
        <v>4.8</v>
      </c>
      <c r="AC333">
        <v>40</v>
      </c>
      <c r="AD333">
        <v>84.41</v>
      </c>
      <c r="AE333">
        <f t="shared" si="10"/>
        <v>884.64</v>
      </c>
      <c r="AF333" t="str">
        <f t="shared" si="11"/>
        <v>2025-02</v>
      </c>
      <c r="AG333">
        <f>SUBTOTAL(103,A333)</f>
        <v>1</v>
      </c>
    </row>
    <row r="334" spans="1:33" x14ac:dyDescent="0.3">
      <c r="A334" t="s">
        <v>2944</v>
      </c>
      <c r="B334" s="13">
        <v>45704</v>
      </c>
      <c r="C334">
        <v>2025</v>
      </c>
      <c r="D334">
        <v>2</v>
      </c>
      <c r="E334" t="s">
        <v>2849</v>
      </c>
      <c r="F334" t="s">
        <v>2572</v>
      </c>
      <c r="G334" t="s">
        <v>1091</v>
      </c>
      <c r="H334" t="s">
        <v>1092</v>
      </c>
      <c r="I334" t="s">
        <v>86</v>
      </c>
      <c r="J334">
        <v>48</v>
      </c>
      <c r="K334" t="s">
        <v>83</v>
      </c>
      <c r="L334" t="s">
        <v>2599</v>
      </c>
      <c r="M334" t="s">
        <v>62</v>
      </c>
      <c r="N334" t="s">
        <v>2592</v>
      </c>
      <c r="O334" t="s">
        <v>115</v>
      </c>
      <c r="P334" t="s">
        <v>48</v>
      </c>
      <c r="Q334" t="s">
        <v>137</v>
      </c>
      <c r="R334">
        <v>1</v>
      </c>
      <c r="S334">
        <v>12999</v>
      </c>
      <c r="T334">
        <v>0</v>
      </c>
      <c r="U334">
        <v>12999</v>
      </c>
      <c r="V334">
        <v>9000</v>
      </c>
      <c r="W334">
        <v>3999</v>
      </c>
      <c r="X334" t="s">
        <v>73</v>
      </c>
      <c r="Y334" t="s">
        <v>68</v>
      </c>
      <c r="Z334" t="s">
        <v>159</v>
      </c>
      <c r="AA334" t="s">
        <v>167</v>
      </c>
      <c r="AB334">
        <v>4.5</v>
      </c>
      <c r="AC334">
        <v>50</v>
      </c>
      <c r="AD334">
        <v>1545.14</v>
      </c>
      <c r="AE334">
        <f t="shared" si="10"/>
        <v>2403.8599999999997</v>
      </c>
      <c r="AF334" t="str">
        <f t="shared" si="11"/>
        <v>2025-02</v>
      </c>
      <c r="AG334">
        <f>SUBTOTAL(103,A334)</f>
        <v>1</v>
      </c>
    </row>
    <row r="335" spans="1:33" x14ac:dyDescent="0.3">
      <c r="A335" t="s">
        <v>2945</v>
      </c>
      <c r="B335" s="13">
        <v>45704</v>
      </c>
      <c r="C335">
        <v>2025</v>
      </c>
      <c r="D335">
        <v>2</v>
      </c>
      <c r="E335" t="s">
        <v>2849</v>
      </c>
      <c r="F335" t="s">
        <v>2572</v>
      </c>
      <c r="G335" t="s">
        <v>629</v>
      </c>
      <c r="H335" t="s">
        <v>630</v>
      </c>
      <c r="I335" t="s">
        <v>86</v>
      </c>
      <c r="J335">
        <v>60</v>
      </c>
      <c r="K335" t="s">
        <v>83</v>
      </c>
      <c r="L335" t="s">
        <v>97</v>
      </c>
      <c r="M335" t="s">
        <v>57</v>
      </c>
      <c r="N335" t="s">
        <v>2603</v>
      </c>
      <c r="O335" t="s">
        <v>122</v>
      </c>
      <c r="P335" t="s">
        <v>48</v>
      </c>
      <c r="Q335" t="s">
        <v>141</v>
      </c>
      <c r="R335">
        <v>3</v>
      </c>
      <c r="S335">
        <v>2499</v>
      </c>
      <c r="T335">
        <v>0</v>
      </c>
      <c r="U335">
        <v>7497</v>
      </c>
      <c r="V335">
        <v>4350</v>
      </c>
      <c r="W335">
        <v>3147</v>
      </c>
      <c r="X335" t="s">
        <v>73</v>
      </c>
      <c r="Y335" t="s">
        <v>68</v>
      </c>
      <c r="Z335" t="s">
        <v>159</v>
      </c>
      <c r="AA335" t="s">
        <v>167</v>
      </c>
      <c r="AB335">
        <v>2.9</v>
      </c>
      <c r="AC335">
        <v>50</v>
      </c>
      <c r="AD335">
        <v>338.62</v>
      </c>
      <c r="AE335">
        <f t="shared" si="10"/>
        <v>2758.38</v>
      </c>
      <c r="AF335" t="str">
        <f t="shared" si="11"/>
        <v>2025-02</v>
      </c>
      <c r="AG335">
        <f>SUBTOTAL(103,A335)</f>
        <v>1</v>
      </c>
    </row>
    <row r="336" spans="1:33" x14ac:dyDescent="0.3">
      <c r="A336" t="s">
        <v>2946</v>
      </c>
      <c r="B336" s="13">
        <v>45704</v>
      </c>
      <c r="C336">
        <v>2025</v>
      </c>
      <c r="D336">
        <v>2</v>
      </c>
      <c r="E336" t="s">
        <v>2849</v>
      </c>
      <c r="F336" t="s">
        <v>2572</v>
      </c>
      <c r="G336" t="s">
        <v>1837</v>
      </c>
      <c r="H336" t="s">
        <v>1838</v>
      </c>
      <c r="I336" t="s">
        <v>86</v>
      </c>
      <c r="J336">
        <v>52</v>
      </c>
      <c r="K336" t="s">
        <v>83</v>
      </c>
      <c r="L336" t="s">
        <v>2586</v>
      </c>
      <c r="M336" t="s">
        <v>62</v>
      </c>
      <c r="N336" t="s">
        <v>2596</v>
      </c>
      <c r="O336" t="s">
        <v>124</v>
      </c>
      <c r="P336" t="s">
        <v>51</v>
      </c>
      <c r="Q336" t="s">
        <v>147</v>
      </c>
      <c r="R336">
        <v>2</v>
      </c>
      <c r="S336">
        <v>2299</v>
      </c>
      <c r="T336">
        <v>0.1</v>
      </c>
      <c r="U336">
        <v>4138.2</v>
      </c>
      <c r="V336">
        <v>2400</v>
      </c>
      <c r="W336">
        <v>1738.2</v>
      </c>
      <c r="X336" t="s">
        <v>73</v>
      </c>
      <c r="Y336" t="s">
        <v>69</v>
      </c>
      <c r="Z336" t="s">
        <v>162</v>
      </c>
      <c r="AA336" t="s">
        <v>168</v>
      </c>
      <c r="AB336">
        <v>4.8</v>
      </c>
      <c r="AC336">
        <v>40</v>
      </c>
      <c r="AD336">
        <v>456.08</v>
      </c>
      <c r="AE336">
        <f t="shared" si="10"/>
        <v>1242.1200000000001</v>
      </c>
      <c r="AF336" t="str">
        <f t="shared" si="11"/>
        <v>2025-02</v>
      </c>
      <c r="AG336">
        <f>SUBTOTAL(103,A336)</f>
        <v>1</v>
      </c>
    </row>
    <row r="337" spans="1:33" x14ac:dyDescent="0.3">
      <c r="A337" t="s">
        <v>2947</v>
      </c>
      <c r="B337" s="13">
        <v>45704</v>
      </c>
      <c r="C337">
        <v>2025</v>
      </c>
      <c r="D337">
        <v>2</v>
      </c>
      <c r="E337" t="s">
        <v>2849</v>
      </c>
      <c r="F337" t="s">
        <v>2572</v>
      </c>
      <c r="G337" t="s">
        <v>1211</v>
      </c>
      <c r="H337" t="s">
        <v>1212</v>
      </c>
      <c r="I337" t="s">
        <v>86</v>
      </c>
      <c r="J337">
        <v>48</v>
      </c>
      <c r="K337" t="s">
        <v>83</v>
      </c>
      <c r="L337" t="s">
        <v>98</v>
      </c>
      <c r="M337" t="s">
        <v>55</v>
      </c>
      <c r="N337" t="s">
        <v>2665</v>
      </c>
      <c r="O337" t="s">
        <v>128</v>
      </c>
      <c r="P337" t="s">
        <v>53</v>
      </c>
      <c r="Q337" t="s">
        <v>143</v>
      </c>
      <c r="R337">
        <v>2</v>
      </c>
      <c r="S337">
        <v>1499</v>
      </c>
      <c r="T337">
        <v>0.05</v>
      </c>
      <c r="U337">
        <v>2848.1</v>
      </c>
      <c r="V337">
        <v>1600</v>
      </c>
      <c r="W337">
        <v>1248.0999999999999</v>
      </c>
      <c r="X337" t="s">
        <v>73</v>
      </c>
      <c r="Y337" t="s">
        <v>68</v>
      </c>
      <c r="Z337" t="s">
        <v>160</v>
      </c>
      <c r="AA337" t="s">
        <v>170</v>
      </c>
      <c r="AB337">
        <v>3.2</v>
      </c>
      <c r="AC337">
        <v>80</v>
      </c>
      <c r="AD337">
        <v>295.24</v>
      </c>
      <c r="AE337">
        <f t="shared" si="10"/>
        <v>872.8599999999999</v>
      </c>
      <c r="AF337" t="str">
        <f t="shared" si="11"/>
        <v>2025-02</v>
      </c>
      <c r="AG337">
        <f>SUBTOTAL(103,A337)</f>
        <v>1</v>
      </c>
    </row>
    <row r="338" spans="1:33" x14ac:dyDescent="0.3">
      <c r="A338" t="s">
        <v>2948</v>
      </c>
      <c r="B338" s="13">
        <v>45704</v>
      </c>
      <c r="C338">
        <v>2025</v>
      </c>
      <c r="D338">
        <v>2</v>
      </c>
      <c r="E338" t="s">
        <v>2849</v>
      </c>
      <c r="F338" t="s">
        <v>2572</v>
      </c>
      <c r="G338" t="s">
        <v>1259</v>
      </c>
      <c r="H338" t="s">
        <v>1260</v>
      </c>
      <c r="I338" t="s">
        <v>86</v>
      </c>
      <c r="J338">
        <v>29</v>
      </c>
      <c r="K338" t="s">
        <v>81</v>
      </c>
      <c r="L338" t="s">
        <v>99</v>
      </c>
      <c r="M338" t="s">
        <v>58</v>
      </c>
      <c r="N338" t="s">
        <v>2574</v>
      </c>
      <c r="O338" t="s">
        <v>130</v>
      </c>
      <c r="P338" t="s">
        <v>50</v>
      </c>
      <c r="Q338" t="s">
        <v>53</v>
      </c>
      <c r="R338">
        <v>2</v>
      </c>
      <c r="S338">
        <v>1199</v>
      </c>
      <c r="T338">
        <v>0.1</v>
      </c>
      <c r="U338">
        <v>2158.1999999999998</v>
      </c>
      <c r="V338">
        <v>1100</v>
      </c>
      <c r="W338">
        <v>1058.2</v>
      </c>
      <c r="X338" t="s">
        <v>73</v>
      </c>
      <c r="Y338" t="s">
        <v>68</v>
      </c>
      <c r="Z338" t="s">
        <v>158</v>
      </c>
      <c r="AA338" t="s">
        <v>166</v>
      </c>
      <c r="AB338">
        <v>3.7</v>
      </c>
      <c r="AC338">
        <v>120</v>
      </c>
      <c r="AD338">
        <v>218.33</v>
      </c>
      <c r="AE338">
        <f t="shared" si="10"/>
        <v>719.87</v>
      </c>
      <c r="AF338" t="str">
        <f t="shared" si="11"/>
        <v>2025-02</v>
      </c>
      <c r="AG338">
        <f>SUBTOTAL(103,A338)</f>
        <v>1</v>
      </c>
    </row>
    <row r="339" spans="1:33" x14ac:dyDescent="0.3">
      <c r="A339" t="s">
        <v>2949</v>
      </c>
      <c r="B339" s="13">
        <v>45704</v>
      </c>
      <c r="C339">
        <v>2025</v>
      </c>
      <c r="D339">
        <v>2</v>
      </c>
      <c r="E339" t="s">
        <v>2849</v>
      </c>
      <c r="F339" t="s">
        <v>2572</v>
      </c>
      <c r="G339" t="s">
        <v>2021</v>
      </c>
      <c r="H339" t="s">
        <v>2022</v>
      </c>
      <c r="I339" t="s">
        <v>85</v>
      </c>
      <c r="J339">
        <v>52</v>
      </c>
      <c r="K339" t="s">
        <v>83</v>
      </c>
      <c r="L339" t="s">
        <v>100</v>
      </c>
      <c r="M339" t="s">
        <v>56</v>
      </c>
      <c r="N339" t="s">
        <v>2630</v>
      </c>
      <c r="O339" t="s">
        <v>123</v>
      </c>
      <c r="P339" t="s">
        <v>52</v>
      </c>
      <c r="Q339" t="s">
        <v>146</v>
      </c>
      <c r="R339">
        <v>2</v>
      </c>
      <c r="S339">
        <v>2499</v>
      </c>
      <c r="T339">
        <v>0.05</v>
      </c>
      <c r="U339">
        <v>4748.1000000000004</v>
      </c>
      <c r="V339">
        <v>2800</v>
      </c>
      <c r="W339">
        <v>1948.1</v>
      </c>
      <c r="X339" t="s">
        <v>73</v>
      </c>
      <c r="Y339" t="s">
        <v>69</v>
      </c>
      <c r="Z339" t="s">
        <v>162</v>
      </c>
      <c r="AA339" t="s">
        <v>166</v>
      </c>
      <c r="AB339">
        <v>3</v>
      </c>
      <c r="AC339">
        <v>120</v>
      </c>
      <c r="AD339">
        <v>239.72</v>
      </c>
      <c r="AE339">
        <f t="shared" si="10"/>
        <v>1588.3799999999999</v>
      </c>
      <c r="AF339" t="str">
        <f t="shared" si="11"/>
        <v>2025-02</v>
      </c>
      <c r="AG339">
        <f>SUBTOTAL(103,A339)</f>
        <v>1</v>
      </c>
    </row>
    <row r="340" spans="1:33" x14ac:dyDescent="0.3">
      <c r="A340" t="s">
        <v>2950</v>
      </c>
      <c r="B340" s="13">
        <v>45705</v>
      </c>
      <c r="C340">
        <v>2025</v>
      </c>
      <c r="D340">
        <v>2</v>
      </c>
      <c r="E340" t="s">
        <v>2849</v>
      </c>
      <c r="F340" t="s">
        <v>2572</v>
      </c>
      <c r="G340" t="s">
        <v>255</v>
      </c>
      <c r="H340" t="s">
        <v>256</v>
      </c>
      <c r="I340" t="s">
        <v>86</v>
      </c>
      <c r="J340">
        <v>30</v>
      </c>
      <c r="K340" t="s">
        <v>81</v>
      </c>
      <c r="L340" t="s">
        <v>2623</v>
      </c>
      <c r="M340" t="s">
        <v>61</v>
      </c>
      <c r="N340" t="s">
        <v>2606</v>
      </c>
      <c r="O340" t="s">
        <v>120</v>
      </c>
      <c r="P340" t="s">
        <v>49</v>
      </c>
      <c r="Q340" t="s">
        <v>140</v>
      </c>
      <c r="R340">
        <v>3</v>
      </c>
      <c r="S340">
        <v>2799</v>
      </c>
      <c r="T340">
        <v>0.1</v>
      </c>
      <c r="U340">
        <v>7557.3</v>
      </c>
      <c r="V340">
        <v>4950</v>
      </c>
      <c r="W340">
        <v>2607.3000000000002</v>
      </c>
      <c r="X340" t="s">
        <v>76</v>
      </c>
      <c r="Y340" t="s">
        <v>68</v>
      </c>
      <c r="Z340" t="s">
        <v>162</v>
      </c>
      <c r="AA340" t="s">
        <v>166</v>
      </c>
      <c r="AB340">
        <v>3.8</v>
      </c>
      <c r="AC340">
        <v>80</v>
      </c>
      <c r="AD340">
        <v>809.03</v>
      </c>
      <c r="AE340">
        <f t="shared" si="10"/>
        <v>1718.2700000000002</v>
      </c>
      <c r="AF340" t="str">
        <f t="shared" si="11"/>
        <v>2025-02</v>
      </c>
      <c r="AG340">
        <f>SUBTOTAL(103,A340)</f>
        <v>1</v>
      </c>
    </row>
    <row r="341" spans="1:33" x14ac:dyDescent="0.3">
      <c r="A341" t="s">
        <v>2951</v>
      </c>
      <c r="B341" s="13">
        <v>45705</v>
      </c>
      <c r="C341">
        <v>2025</v>
      </c>
      <c r="D341">
        <v>2</v>
      </c>
      <c r="E341" t="s">
        <v>2849</v>
      </c>
      <c r="F341" t="s">
        <v>2572</v>
      </c>
      <c r="G341" t="s">
        <v>1301</v>
      </c>
      <c r="H341" t="s">
        <v>1302</v>
      </c>
      <c r="I341" t="s">
        <v>85</v>
      </c>
      <c r="J341">
        <v>19</v>
      </c>
      <c r="K341" t="s">
        <v>80</v>
      </c>
      <c r="L341" t="s">
        <v>92</v>
      </c>
      <c r="M341" t="s">
        <v>59</v>
      </c>
      <c r="N341" t="s">
        <v>2665</v>
      </c>
      <c r="O341" t="s">
        <v>128</v>
      </c>
      <c r="P341" t="s">
        <v>53</v>
      </c>
      <c r="Q341" t="s">
        <v>143</v>
      </c>
      <c r="R341">
        <v>2</v>
      </c>
      <c r="S341">
        <v>1499</v>
      </c>
      <c r="T341">
        <v>0</v>
      </c>
      <c r="U341">
        <v>2998</v>
      </c>
      <c r="V341">
        <v>1600</v>
      </c>
      <c r="W341">
        <v>1398</v>
      </c>
      <c r="X341" t="s">
        <v>74</v>
      </c>
      <c r="Y341" t="s">
        <v>68</v>
      </c>
      <c r="Z341" t="s">
        <v>161</v>
      </c>
      <c r="AA341" t="s">
        <v>166</v>
      </c>
      <c r="AB341">
        <v>3.2</v>
      </c>
      <c r="AC341">
        <v>60</v>
      </c>
      <c r="AD341">
        <v>259.16000000000003</v>
      </c>
      <c r="AE341">
        <f t="shared" si="10"/>
        <v>1078.8399999999999</v>
      </c>
      <c r="AF341" t="str">
        <f t="shared" si="11"/>
        <v>2025-02</v>
      </c>
      <c r="AG341">
        <f>SUBTOTAL(103,A341)</f>
        <v>1</v>
      </c>
    </row>
    <row r="342" spans="1:33" x14ac:dyDescent="0.3">
      <c r="A342" t="s">
        <v>2952</v>
      </c>
      <c r="B342" s="13">
        <v>45705</v>
      </c>
      <c r="C342">
        <v>2025</v>
      </c>
      <c r="D342">
        <v>2</v>
      </c>
      <c r="E342" t="s">
        <v>2849</v>
      </c>
      <c r="F342" t="s">
        <v>2572</v>
      </c>
      <c r="G342" t="s">
        <v>991</v>
      </c>
      <c r="H342" t="s">
        <v>992</v>
      </c>
      <c r="I342" t="s">
        <v>85</v>
      </c>
      <c r="J342">
        <v>41</v>
      </c>
      <c r="K342" t="s">
        <v>82</v>
      </c>
      <c r="L342" t="s">
        <v>90</v>
      </c>
      <c r="M342" t="s">
        <v>55</v>
      </c>
      <c r="N342" t="s">
        <v>2594</v>
      </c>
      <c r="O342" t="s">
        <v>131</v>
      </c>
      <c r="P342" t="s">
        <v>53</v>
      </c>
      <c r="Q342" t="s">
        <v>143</v>
      </c>
      <c r="R342">
        <v>1</v>
      </c>
      <c r="S342">
        <v>999</v>
      </c>
      <c r="T342">
        <v>0.1</v>
      </c>
      <c r="U342">
        <v>899.1</v>
      </c>
      <c r="V342">
        <v>520</v>
      </c>
      <c r="W342">
        <v>379.1</v>
      </c>
      <c r="X342" t="s">
        <v>74</v>
      </c>
      <c r="Y342" t="s">
        <v>68</v>
      </c>
      <c r="Z342" t="s">
        <v>158</v>
      </c>
      <c r="AA342" t="s">
        <v>167</v>
      </c>
      <c r="AB342">
        <v>4.3</v>
      </c>
      <c r="AC342">
        <v>50</v>
      </c>
      <c r="AD342">
        <v>95.16</v>
      </c>
      <c r="AE342">
        <f t="shared" si="10"/>
        <v>233.94000000000003</v>
      </c>
      <c r="AF342" t="str">
        <f t="shared" si="11"/>
        <v>2025-02</v>
      </c>
      <c r="AG342">
        <f>SUBTOTAL(103,A342)</f>
        <v>1</v>
      </c>
    </row>
    <row r="343" spans="1:33" x14ac:dyDescent="0.3">
      <c r="A343" t="s">
        <v>2953</v>
      </c>
      <c r="B343" s="13">
        <v>45705</v>
      </c>
      <c r="C343">
        <v>2025</v>
      </c>
      <c r="D343">
        <v>2</v>
      </c>
      <c r="E343" t="s">
        <v>2849</v>
      </c>
      <c r="F343" t="s">
        <v>2572</v>
      </c>
      <c r="G343" t="s">
        <v>1183</v>
      </c>
      <c r="H343" t="s">
        <v>1184</v>
      </c>
      <c r="I343" t="s">
        <v>86</v>
      </c>
      <c r="J343">
        <v>48</v>
      </c>
      <c r="K343" t="s">
        <v>83</v>
      </c>
      <c r="L343" t="s">
        <v>90</v>
      </c>
      <c r="M343" t="s">
        <v>55</v>
      </c>
      <c r="N343" t="s">
        <v>2584</v>
      </c>
      <c r="O343" t="s">
        <v>121</v>
      </c>
      <c r="P343" t="s">
        <v>50</v>
      </c>
      <c r="Q343" t="s">
        <v>144</v>
      </c>
      <c r="R343">
        <v>3</v>
      </c>
      <c r="S343">
        <v>2999</v>
      </c>
      <c r="T343">
        <v>0.1</v>
      </c>
      <c r="U343">
        <v>8097.3</v>
      </c>
      <c r="V343">
        <v>5100</v>
      </c>
      <c r="W343">
        <v>2997.3</v>
      </c>
      <c r="X343" t="s">
        <v>73</v>
      </c>
      <c r="Y343" t="s">
        <v>68</v>
      </c>
      <c r="Z343" t="s">
        <v>161</v>
      </c>
      <c r="AA343" t="s">
        <v>168</v>
      </c>
      <c r="AB343">
        <v>3.6</v>
      </c>
      <c r="AC343">
        <v>50</v>
      </c>
      <c r="AD343">
        <v>675.11</v>
      </c>
      <c r="AE343">
        <f t="shared" si="10"/>
        <v>2272.19</v>
      </c>
      <c r="AF343" t="str">
        <f t="shared" si="11"/>
        <v>2025-02</v>
      </c>
      <c r="AG343">
        <f>SUBTOTAL(103,A343)</f>
        <v>1</v>
      </c>
    </row>
    <row r="344" spans="1:33" x14ac:dyDescent="0.3">
      <c r="A344" t="s">
        <v>2954</v>
      </c>
      <c r="B344" s="13">
        <v>45706</v>
      </c>
      <c r="C344">
        <v>2025</v>
      </c>
      <c r="D344">
        <v>2</v>
      </c>
      <c r="E344" t="s">
        <v>2849</v>
      </c>
      <c r="F344" t="s">
        <v>2572</v>
      </c>
      <c r="G344" t="s">
        <v>977</v>
      </c>
      <c r="H344" t="s">
        <v>978</v>
      </c>
      <c r="I344" t="s">
        <v>85</v>
      </c>
      <c r="J344">
        <v>23</v>
      </c>
      <c r="K344" t="s">
        <v>80</v>
      </c>
      <c r="L344" t="s">
        <v>2679</v>
      </c>
      <c r="M344" t="s">
        <v>60</v>
      </c>
      <c r="N344" t="s">
        <v>2665</v>
      </c>
      <c r="O344" t="s">
        <v>128</v>
      </c>
      <c r="P344" t="s">
        <v>53</v>
      </c>
      <c r="Q344" t="s">
        <v>143</v>
      </c>
      <c r="R344">
        <v>1</v>
      </c>
      <c r="S344">
        <v>1499</v>
      </c>
      <c r="T344">
        <v>0.1</v>
      </c>
      <c r="U344">
        <v>1349.1</v>
      </c>
      <c r="V344">
        <v>800</v>
      </c>
      <c r="W344">
        <v>549.1</v>
      </c>
      <c r="X344" t="s">
        <v>76</v>
      </c>
      <c r="Y344" t="s">
        <v>68</v>
      </c>
      <c r="Z344" t="s">
        <v>158</v>
      </c>
      <c r="AA344" t="s">
        <v>166</v>
      </c>
      <c r="AB344">
        <v>4.5999999999999996</v>
      </c>
      <c r="AC344">
        <v>50</v>
      </c>
      <c r="AD344">
        <v>111.9</v>
      </c>
      <c r="AE344">
        <f t="shared" si="10"/>
        <v>387.20000000000005</v>
      </c>
      <c r="AF344" t="str">
        <f t="shared" si="11"/>
        <v>2025-02</v>
      </c>
      <c r="AG344">
        <f>SUBTOTAL(103,A344)</f>
        <v>1</v>
      </c>
    </row>
    <row r="345" spans="1:33" x14ac:dyDescent="0.3">
      <c r="A345" t="s">
        <v>2955</v>
      </c>
      <c r="B345" s="13">
        <v>45706</v>
      </c>
      <c r="C345">
        <v>2025</v>
      </c>
      <c r="D345">
        <v>2</v>
      </c>
      <c r="E345" t="s">
        <v>2849</v>
      </c>
      <c r="F345" t="s">
        <v>2572</v>
      </c>
      <c r="G345" t="s">
        <v>515</v>
      </c>
      <c r="H345" t="s">
        <v>516</v>
      </c>
      <c r="I345" t="s">
        <v>85</v>
      </c>
      <c r="J345">
        <v>22</v>
      </c>
      <c r="K345" t="s">
        <v>80</v>
      </c>
      <c r="L345" t="s">
        <v>2634</v>
      </c>
      <c r="M345" t="s">
        <v>56</v>
      </c>
      <c r="N345" t="s">
        <v>2603</v>
      </c>
      <c r="O345" t="s">
        <v>122</v>
      </c>
      <c r="P345" t="s">
        <v>48</v>
      </c>
      <c r="Q345" t="s">
        <v>141</v>
      </c>
      <c r="R345">
        <v>4</v>
      </c>
      <c r="S345">
        <v>2499</v>
      </c>
      <c r="T345">
        <v>0.15</v>
      </c>
      <c r="U345">
        <v>8496.6</v>
      </c>
      <c r="V345">
        <v>5800</v>
      </c>
      <c r="W345">
        <v>2696.6</v>
      </c>
      <c r="X345" t="s">
        <v>73</v>
      </c>
      <c r="Y345" t="s">
        <v>68</v>
      </c>
      <c r="Z345" t="s">
        <v>162</v>
      </c>
      <c r="AA345" t="s">
        <v>167</v>
      </c>
      <c r="AB345">
        <v>3.7</v>
      </c>
      <c r="AC345">
        <v>50</v>
      </c>
      <c r="AD345">
        <v>462.48</v>
      </c>
      <c r="AE345">
        <f t="shared" si="10"/>
        <v>2184.12</v>
      </c>
      <c r="AF345" t="str">
        <f t="shared" si="11"/>
        <v>2025-02</v>
      </c>
      <c r="AG345">
        <f>SUBTOTAL(103,A345)</f>
        <v>1</v>
      </c>
    </row>
    <row r="346" spans="1:33" x14ac:dyDescent="0.3">
      <c r="A346" t="s">
        <v>2956</v>
      </c>
      <c r="B346" s="13">
        <v>45706</v>
      </c>
      <c r="C346">
        <v>2025</v>
      </c>
      <c r="D346">
        <v>2</v>
      </c>
      <c r="E346" t="s">
        <v>2849</v>
      </c>
      <c r="F346" t="s">
        <v>2572</v>
      </c>
      <c r="G346" t="s">
        <v>1017</v>
      </c>
      <c r="H346" t="s">
        <v>1018</v>
      </c>
      <c r="I346" t="s">
        <v>87</v>
      </c>
      <c r="J346">
        <v>60</v>
      </c>
      <c r="K346" t="s">
        <v>83</v>
      </c>
      <c r="L346" t="s">
        <v>93</v>
      </c>
      <c r="M346" t="s">
        <v>55</v>
      </c>
      <c r="N346" t="s">
        <v>2596</v>
      </c>
      <c r="O346" t="s">
        <v>124</v>
      </c>
      <c r="P346" t="s">
        <v>51</v>
      </c>
      <c r="Q346" t="s">
        <v>147</v>
      </c>
      <c r="R346">
        <v>1</v>
      </c>
      <c r="S346">
        <v>2299</v>
      </c>
      <c r="T346">
        <v>0.2</v>
      </c>
      <c r="U346">
        <v>1839.2</v>
      </c>
      <c r="V346">
        <v>1200</v>
      </c>
      <c r="W346">
        <v>639.20000000000005</v>
      </c>
      <c r="X346" t="s">
        <v>74</v>
      </c>
      <c r="Y346" t="s">
        <v>68</v>
      </c>
      <c r="Z346" t="s">
        <v>162</v>
      </c>
      <c r="AA346" t="s">
        <v>166</v>
      </c>
      <c r="AB346">
        <v>3.6</v>
      </c>
      <c r="AC346">
        <v>100</v>
      </c>
      <c r="AD346">
        <v>129.44</v>
      </c>
      <c r="AE346">
        <f t="shared" si="10"/>
        <v>409.76000000000005</v>
      </c>
      <c r="AF346" t="str">
        <f t="shared" si="11"/>
        <v>2025-02</v>
      </c>
      <c r="AG346">
        <f>SUBTOTAL(103,A346)</f>
        <v>1</v>
      </c>
    </row>
    <row r="347" spans="1:33" x14ac:dyDescent="0.3">
      <c r="A347" t="s">
        <v>2957</v>
      </c>
      <c r="B347" s="13">
        <v>45706</v>
      </c>
      <c r="C347">
        <v>2025</v>
      </c>
      <c r="D347">
        <v>2</v>
      </c>
      <c r="E347" t="s">
        <v>2849</v>
      </c>
      <c r="F347" t="s">
        <v>2572</v>
      </c>
      <c r="G347" t="s">
        <v>191</v>
      </c>
      <c r="H347" t="s">
        <v>192</v>
      </c>
      <c r="I347" t="s">
        <v>85</v>
      </c>
      <c r="J347">
        <v>22</v>
      </c>
      <c r="K347" t="s">
        <v>80</v>
      </c>
      <c r="L347" t="s">
        <v>2687</v>
      </c>
      <c r="M347" t="s">
        <v>57</v>
      </c>
      <c r="N347" t="s">
        <v>2626</v>
      </c>
      <c r="O347" t="s">
        <v>125</v>
      </c>
      <c r="P347" t="s">
        <v>48</v>
      </c>
      <c r="Q347" t="s">
        <v>141</v>
      </c>
      <c r="R347">
        <v>2</v>
      </c>
      <c r="S347">
        <v>1999</v>
      </c>
      <c r="T347">
        <v>0.2</v>
      </c>
      <c r="U347">
        <v>3198.4</v>
      </c>
      <c r="V347">
        <v>2300</v>
      </c>
      <c r="W347">
        <v>898.4</v>
      </c>
      <c r="X347" t="s">
        <v>76</v>
      </c>
      <c r="Y347" t="s">
        <v>68</v>
      </c>
      <c r="Z347" t="s">
        <v>163</v>
      </c>
      <c r="AA347" t="s">
        <v>168</v>
      </c>
      <c r="AB347">
        <v>4.0999999999999996</v>
      </c>
      <c r="AC347">
        <v>50</v>
      </c>
      <c r="AD347">
        <v>64.45</v>
      </c>
      <c r="AE347">
        <f t="shared" si="10"/>
        <v>783.94999999999993</v>
      </c>
      <c r="AF347" t="str">
        <f t="shared" si="11"/>
        <v>2025-02</v>
      </c>
      <c r="AG347">
        <f>SUBTOTAL(103,A347)</f>
        <v>1</v>
      </c>
    </row>
    <row r="348" spans="1:33" x14ac:dyDescent="0.3">
      <c r="A348" t="s">
        <v>2958</v>
      </c>
      <c r="B348" s="13">
        <v>45706</v>
      </c>
      <c r="C348">
        <v>2025</v>
      </c>
      <c r="D348">
        <v>2</v>
      </c>
      <c r="E348" t="s">
        <v>2849</v>
      </c>
      <c r="F348" t="s">
        <v>2572</v>
      </c>
      <c r="G348" t="s">
        <v>1559</v>
      </c>
      <c r="H348" t="s">
        <v>1560</v>
      </c>
      <c r="I348" t="s">
        <v>85</v>
      </c>
      <c r="J348">
        <v>56</v>
      </c>
      <c r="K348" t="s">
        <v>83</v>
      </c>
      <c r="L348" t="s">
        <v>100</v>
      </c>
      <c r="M348" t="s">
        <v>56</v>
      </c>
      <c r="N348" t="s">
        <v>2582</v>
      </c>
      <c r="O348" t="s">
        <v>119</v>
      </c>
      <c r="P348" t="s">
        <v>49</v>
      </c>
      <c r="Q348" t="s">
        <v>140</v>
      </c>
      <c r="R348">
        <v>2</v>
      </c>
      <c r="S348">
        <v>3499</v>
      </c>
      <c r="T348">
        <v>0.15</v>
      </c>
      <c r="U348">
        <v>5948.3</v>
      </c>
      <c r="V348">
        <v>4200</v>
      </c>
      <c r="W348">
        <v>1748.3</v>
      </c>
      <c r="X348" t="s">
        <v>76</v>
      </c>
      <c r="Y348" t="s">
        <v>68</v>
      </c>
      <c r="Z348" t="s">
        <v>163</v>
      </c>
      <c r="AA348" t="s">
        <v>167</v>
      </c>
      <c r="AB348">
        <v>4.8</v>
      </c>
      <c r="AC348">
        <v>80</v>
      </c>
      <c r="AD348">
        <v>310.27999999999997</v>
      </c>
      <c r="AE348">
        <f t="shared" si="10"/>
        <v>1358.02</v>
      </c>
      <c r="AF348" t="str">
        <f t="shared" si="11"/>
        <v>2025-02</v>
      </c>
      <c r="AG348">
        <f>SUBTOTAL(103,A348)</f>
        <v>1</v>
      </c>
    </row>
    <row r="349" spans="1:33" x14ac:dyDescent="0.3">
      <c r="A349" t="s">
        <v>2959</v>
      </c>
      <c r="B349" s="13">
        <v>45706</v>
      </c>
      <c r="C349">
        <v>2025</v>
      </c>
      <c r="D349">
        <v>2</v>
      </c>
      <c r="E349" t="s">
        <v>2849</v>
      </c>
      <c r="F349" t="s">
        <v>2572</v>
      </c>
      <c r="G349" t="s">
        <v>2253</v>
      </c>
      <c r="H349" t="s">
        <v>2254</v>
      </c>
      <c r="I349" t="s">
        <v>85</v>
      </c>
      <c r="J349">
        <v>38</v>
      </c>
      <c r="K349" t="s">
        <v>82</v>
      </c>
      <c r="L349" t="s">
        <v>99</v>
      </c>
      <c r="M349" t="s">
        <v>58</v>
      </c>
      <c r="N349" t="s">
        <v>2630</v>
      </c>
      <c r="O349" t="s">
        <v>123</v>
      </c>
      <c r="P349" t="s">
        <v>52</v>
      </c>
      <c r="Q349" t="s">
        <v>146</v>
      </c>
      <c r="R349">
        <v>1</v>
      </c>
      <c r="S349">
        <v>2499</v>
      </c>
      <c r="T349">
        <v>0</v>
      </c>
      <c r="U349">
        <v>2499</v>
      </c>
      <c r="V349">
        <v>1400</v>
      </c>
      <c r="W349">
        <v>1099</v>
      </c>
      <c r="X349" t="s">
        <v>73</v>
      </c>
      <c r="Y349" t="s">
        <v>68</v>
      </c>
      <c r="Z349" t="s">
        <v>162</v>
      </c>
      <c r="AA349" t="s">
        <v>169</v>
      </c>
      <c r="AB349">
        <v>4.2</v>
      </c>
      <c r="AC349">
        <v>50</v>
      </c>
      <c r="AD349">
        <v>167.54</v>
      </c>
      <c r="AE349">
        <f t="shared" si="10"/>
        <v>881.46</v>
      </c>
      <c r="AF349" t="str">
        <f t="shared" si="11"/>
        <v>2025-02</v>
      </c>
      <c r="AG349">
        <f>SUBTOTAL(103,A349)</f>
        <v>1</v>
      </c>
    </row>
    <row r="350" spans="1:33" x14ac:dyDescent="0.3">
      <c r="A350" t="s">
        <v>2960</v>
      </c>
      <c r="B350" s="13">
        <v>45706</v>
      </c>
      <c r="C350">
        <v>2025</v>
      </c>
      <c r="D350">
        <v>2</v>
      </c>
      <c r="E350" t="s">
        <v>2849</v>
      </c>
      <c r="F350" t="s">
        <v>2572</v>
      </c>
      <c r="G350" t="s">
        <v>1237</v>
      </c>
      <c r="H350" t="s">
        <v>1238</v>
      </c>
      <c r="I350" t="s">
        <v>86</v>
      </c>
      <c r="J350">
        <v>41</v>
      </c>
      <c r="K350" t="s">
        <v>82</v>
      </c>
      <c r="L350" t="s">
        <v>96</v>
      </c>
      <c r="M350" t="s">
        <v>55</v>
      </c>
      <c r="N350" t="s">
        <v>2587</v>
      </c>
      <c r="O350" t="s">
        <v>116</v>
      </c>
      <c r="P350" t="s">
        <v>48</v>
      </c>
      <c r="Q350" t="s">
        <v>138</v>
      </c>
      <c r="R350">
        <v>1</v>
      </c>
      <c r="S350">
        <v>14999</v>
      </c>
      <c r="T350">
        <v>0.05</v>
      </c>
      <c r="U350">
        <v>14249.05</v>
      </c>
      <c r="V350">
        <v>11200</v>
      </c>
      <c r="W350">
        <v>3049.05</v>
      </c>
      <c r="X350" t="s">
        <v>73</v>
      </c>
      <c r="Y350" t="s">
        <v>68</v>
      </c>
      <c r="Z350" t="s">
        <v>160</v>
      </c>
      <c r="AA350" t="s">
        <v>171</v>
      </c>
      <c r="AB350">
        <v>3.4</v>
      </c>
      <c r="AC350">
        <v>100</v>
      </c>
      <c r="AD350">
        <v>721.67</v>
      </c>
      <c r="AE350">
        <f t="shared" si="10"/>
        <v>2227.38</v>
      </c>
      <c r="AF350" t="str">
        <f t="shared" si="11"/>
        <v>2025-02</v>
      </c>
      <c r="AG350">
        <f>SUBTOTAL(103,A350)</f>
        <v>1</v>
      </c>
    </row>
    <row r="351" spans="1:33" x14ac:dyDescent="0.3">
      <c r="A351" t="s">
        <v>2961</v>
      </c>
      <c r="B351" s="13">
        <v>45706</v>
      </c>
      <c r="C351">
        <v>2025</v>
      </c>
      <c r="D351">
        <v>2</v>
      </c>
      <c r="E351" t="s">
        <v>2849</v>
      </c>
      <c r="F351" t="s">
        <v>2572</v>
      </c>
      <c r="G351" t="s">
        <v>889</v>
      </c>
      <c r="H351" t="s">
        <v>890</v>
      </c>
      <c r="I351" t="s">
        <v>86</v>
      </c>
      <c r="J351">
        <v>27</v>
      </c>
      <c r="K351" t="s">
        <v>81</v>
      </c>
      <c r="L351" t="s">
        <v>98</v>
      </c>
      <c r="M351" t="s">
        <v>55</v>
      </c>
      <c r="N351" t="s">
        <v>2596</v>
      </c>
      <c r="O351" t="s">
        <v>124</v>
      </c>
      <c r="P351" t="s">
        <v>51</v>
      </c>
      <c r="Q351" t="s">
        <v>147</v>
      </c>
      <c r="R351">
        <v>1</v>
      </c>
      <c r="S351">
        <v>2299</v>
      </c>
      <c r="T351">
        <v>0.2</v>
      </c>
      <c r="U351">
        <v>1839.2</v>
      </c>
      <c r="V351">
        <v>1200</v>
      </c>
      <c r="W351">
        <v>639.20000000000005</v>
      </c>
      <c r="X351" t="s">
        <v>74</v>
      </c>
      <c r="Y351" t="s">
        <v>68</v>
      </c>
      <c r="Z351" t="s">
        <v>160</v>
      </c>
      <c r="AA351" t="s">
        <v>166</v>
      </c>
      <c r="AB351">
        <v>3</v>
      </c>
      <c r="AC351">
        <v>60</v>
      </c>
      <c r="AD351">
        <v>103.15</v>
      </c>
      <c r="AE351">
        <f t="shared" si="10"/>
        <v>476.05000000000007</v>
      </c>
      <c r="AF351" t="str">
        <f t="shared" si="11"/>
        <v>2025-02</v>
      </c>
      <c r="AG351">
        <f>SUBTOTAL(103,A351)</f>
        <v>1</v>
      </c>
    </row>
    <row r="352" spans="1:33" x14ac:dyDescent="0.3">
      <c r="A352" t="s">
        <v>2962</v>
      </c>
      <c r="B352" s="13">
        <v>45706</v>
      </c>
      <c r="C352">
        <v>2025</v>
      </c>
      <c r="D352">
        <v>2</v>
      </c>
      <c r="E352" t="s">
        <v>2849</v>
      </c>
      <c r="F352" t="s">
        <v>2572</v>
      </c>
      <c r="G352" t="s">
        <v>865</v>
      </c>
      <c r="H352" t="s">
        <v>866</v>
      </c>
      <c r="I352" t="s">
        <v>85</v>
      </c>
      <c r="J352">
        <v>26</v>
      </c>
      <c r="K352" t="s">
        <v>81</v>
      </c>
      <c r="L352" t="s">
        <v>2623</v>
      </c>
      <c r="M352" t="s">
        <v>61</v>
      </c>
      <c r="N352" t="s">
        <v>2603</v>
      </c>
      <c r="O352" t="s">
        <v>122</v>
      </c>
      <c r="P352" t="s">
        <v>48</v>
      </c>
      <c r="Q352" t="s">
        <v>141</v>
      </c>
      <c r="R352">
        <v>5</v>
      </c>
      <c r="S352">
        <v>2499</v>
      </c>
      <c r="T352">
        <v>0</v>
      </c>
      <c r="U352">
        <v>12495</v>
      </c>
      <c r="V352">
        <v>7250</v>
      </c>
      <c r="W352">
        <v>5245</v>
      </c>
      <c r="X352" t="s">
        <v>74</v>
      </c>
      <c r="Y352" t="s">
        <v>68</v>
      </c>
      <c r="Z352" t="s">
        <v>161</v>
      </c>
      <c r="AA352" t="s">
        <v>166</v>
      </c>
      <c r="AB352">
        <v>3.9</v>
      </c>
      <c r="AC352">
        <v>60</v>
      </c>
      <c r="AD352">
        <v>537.98</v>
      </c>
      <c r="AE352">
        <f t="shared" si="10"/>
        <v>4647.0200000000004</v>
      </c>
      <c r="AF352" t="str">
        <f t="shared" si="11"/>
        <v>2025-02</v>
      </c>
      <c r="AG352">
        <f>SUBTOTAL(103,A352)</f>
        <v>1</v>
      </c>
    </row>
    <row r="353" spans="1:33" x14ac:dyDescent="0.3">
      <c r="A353" t="s">
        <v>2963</v>
      </c>
      <c r="B353" s="13">
        <v>45707</v>
      </c>
      <c r="C353">
        <v>2025</v>
      </c>
      <c r="D353">
        <v>2</v>
      </c>
      <c r="E353" t="s">
        <v>2849</v>
      </c>
      <c r="F353" t="s">
        <v>2572</v>
      </c>
      <c r="G353" t="s">
        <v>211</v>
      </c>
      <c r="H353" t="s">
        <v>212</v>
      </c>
      <c r="I353" t="s">
        <v>85</v>
      </c>
      <c r="J353">
        <v>31</v>
      </c>
      <c r="K353" t="s">
        <v>81</v>
      </c>
      <c r="L353" t="s">
        <v>2610</v>
      </c>
      <c r="M353" t="s">
        <v>64</v>
      </c>
      <c r="N353" t="s">
        <v>2582</v>
      </c>
      <c r="O353" t="s">
        <v>119</v>
      </c>
      <c r="P353" t="s">
        <v>49</v>
      </c>
      <c r="Q353" t="s">
        <v>140</v>
      </c>
      <c r="R353">
        <v>2</v>
      </c>
      <c r="S353">
        <v>3499</v>
      </c>
      <c r="T353">
        <v>0.15</v>
      </c>
      <c r="U353">
        <v>5948.3</v>
      </c>
      <c r="V353">
        <v>4200</v>
      </c>
      <c r="W353">
        <v>1748.3</v>
      </c>
      <c r="X353" t="s">
        <v>75</v>
      </c>
      <c r="Y353" t="s">
        <v>68</v>
      </c>
      <c r="Z353" t="s">
        <v>158</v>
      </c>
      <c r="AA353" t="s">
        <v>167</v>
      </c>
      <c r="AB353">
        <v>3.6</v>
      </c>
      <c r="AC353">
        <v>60</v>
      </c>
      <c r="AD353">
        <v>187.07</v>
      </c>
      <c r="AE353">
        <f t="shared" si="10"/>
        <v>1501.23</v>
      </c>
      <c r="AF353" t="str">
        <f t="shared" si="11"/>
        <v>2025-02</v>
      </c>
      <c r="AG353">
        <f>SUBTOTAL(103,A353)</f>
        <v>1</v>
      </c>
    </row>
    <row r="354" spans="1:33" x14ac:dyDescent="0.3">
      <c r="A354" t="s">
        <v>2964</v>
      </c>
      <c r="B354" s="13">
        <v>45707</v>
      </c>
      <c r="C354">
        <v>2025</v>
      </c>
      <c r="D354">
        <v>2</v>
      </c>
      <c r="E354" t="s">
        <v>2849</v>
      </c>
      <c r="F354" t="s">
        <v>2572</v>
      </c>
      <c r="G354" t="s">
        <v>283</v>
      </c>
      <c r="H354" t="s">
        <v>284</v>
      </c>
      <c r="I354" t="s">
        <v>85</v>
      </c>
      <c r="J354">
        <v>20</v>
      </c>
      <c r="K354" t="s">
        <v>80</v>
      </c>
      <c r="L354" t="s">
        <v>2687</v>
      </c>
      <c r="M354" t="s">
        <v>57</v>
      </c>
      <c r="N354" t="s">
        <v>2590</v>
      </c>
      <c r="O354" t="s">
        <v>127</v>
      </c>
      <c r="P354" t="s">
        <v>51</v>
      </c>
      <c r="Q354" t="s">
        <v>148</v>
      </c>
      <c r="R354">
        <v>3</v>
      </c>
      <c r="S354">
        <v>1599</v>
      </c>
      <c r="T354">
        <v>0.15</v>
      </c>
      <c r="U354">
        <v>4077.45</v>
      </c>
      <c r="V354">
        <v>2400</v>
      </c>
      <c r="W354">
        <v>1677.45</v>
      </c>
      <c r="X354" t="s">
        <v>73</v>
      </c>
      <c r="Y354" t="s">
        <v>68</v>
      </c>
      <c r="Z354" t="s">
        <v>159</v>
      </c>
      <c r="AA354" t="s">
        <v>166</v>
      </c>
      <c r="AB354">
        <v>4.3</v>
      </c>
      <c r="AC354">
        <v>60</v>
      </c>
      <c r="AD354">
        <v>399.56</v>
      </c>
      <c r="AE354">
        <f t="shared" si="10"/>
        <v>1217.8900000000001</v>
      </c>
      <c r="AF354" t="str">
        <f t="shared" si="11"/>
        <v>2025-02</v>
      </c>
      <c r="AG354">
        <f>SUBTOTAL(103,A354)</f>
        <v>1</v>
      </c>
    </row>
    <row r="355" spans="1:33" x14ac:dyDescent="0.3">
      <c r="A355" t="s">
        <v>2965</v>
      </c>
      <c r="B355" s="13">
        <v>45707</v>
      </c>
      <c r="C355">
        <v>2025</v>
      </c>
      <c r="D355">
        <v>2</v>
      </c>
      <c r="E355" t="s">
        <v>2849</v>
      </c>
      <c r="F355" t="s">
        <v>2572</v>
      </c>
      <c r="G355" t="s">
        <v>1195</v>
      </c>
      <c r="H355" t="s">
        <v>1196</v>
      </c>
      <c r="I355" t="s">
        <v>85</v>
      </c>
      <c r="J355">
        <v>36</v>
      </c>
      <c r="K355" t="s">
        <v>82</v>
      </c>
      <c r="L355" t="s">
        <v>2679</v>
      </c>
      <c r="M355" t="s">
        <v>60</v>
      </c>
      <c r="N355" t="s">
        <v>2665</v>
      </c>
      <c r="O355" t="s">
        <v>128</v>
      </c>
      <c r="P355" t="s">
        <v>53</v>
      </c>
      <c r="Q355" t="s">
        <v>143</v>
      </c>
      <c r="R355">
        <v>1</v>
      </c>
      <c r="S355">
        <v>1499</v>
      </c>
      <c r="T355">
        <v>0</v>
      </c>
      <c r="U355">
        <v>1499</v>
      </c>
      <c r="V355">
        <v>800</v>
      </c>
      <c r="W355">
        <v>699</v>
      </c>
      <c r="X355" t="s">
        <v>73</v>
      </c>
      <c r="Y355" t="s">
        <v>68</v>
      </c>
      <c r="Z355" t="s">
        <v>162</v>
      </c>
      <c r="AA355" t="s">
        <v>170</v>
      </c>
      <c r="AB355">
        <v>4.4000000000000004</v>
      </c>
      <c r="AC355">
        <v>40</v>
      </c>
      <c r="AD355">
        <v>139.41</v>
      </c>
      <c r="AE355">
        <f t="shared" si="10"/>
        <v>519.59</v>
      </c>
      <c r="AF355" t="str">
        <f t="shared" si="11"/>
        <v>2025-02</v>
      </c>
      <c r="AG355">
        <f>SUBTOTAL(103,A355)</f>
        <v>1</v>
      </c>
    </row>
    <row r="356" spans="1:33" x14ac:dyDescent="0.3">
      <c r="A356" t="s">
        <v>2966</v>
      </c>
      <c r="B356" s="13">
        <v>45708</v>
      </c>
      <c r="C356">
        <v>2025</v>
      </c>
      <c r="D356">
        <v>2</v>
      </c>
      <c r="E356" t="s">
        <v>2849</v>
      </c>
      <c r="F356" t="s">
        <v>2572</v>
      </c>
      <c r="G356" t="s">
        <v>351</v>
      </c>
      <c r="H356" t="s">
        <v>352</v>
      </c>
      <c r="I356" t="s">
        <v>86</v>
      </c>
      <c r="J356">
        <v>25</v>
      </c>
      <c r="K356" t="s">
        <v>80</v>
      </c>
      <c r="L356" t="s">
        <v>91</v>
      </c>
      <c r="M356" t="s">
        <v>55</v>
      </c>
      <c r="N356" t="s">
        <v>2574</v>
      </c>
      <c r="O356" t="s">
        <v>130</v>
      </c>
      <c r="P356" t="s">
        <v>50</v>
      </c>
      <c r="Q356" t="s">
        <v>53</v>
      </c>
      <c r="R356">
        <v>2</v>
      </c>
      <c r="S356">
        <v>1199</v>
      </c>
      <c r="T356">
        <v>0.05</v>
      </c>
      <c r="U356">
        <v>2278.1</v>
      </c>
      <c r="V356">
        <v>1100</v>
      </c>
      <c r="W356">
        <v>1178.0999999999999</v>
      </c>
      <c r="X356" t="s">
        <v>73</v>
      </c>
      <c r="Y356" t="s">
        <v>68</v>
      </c>
      <c r="Z356" t="s">
        <v>158</v>
      </c>
      <c r="AA356" t="s">
        <v>166</v>
      </c>
      <c r="AB356">
        <v>4.4000000000000004</v>
      </c>
      <c r="AC356">
        <v>60</v>
      </c>
      <c r="AD356">
        <v>155.13</v>
      </c>
      <c r="AE356">
        <f t="shared" si="10"/>
        <v>962.96999999999991</v>
      </c>
      <c r="AF356" t="str">
        <f t="shared" si="11"/>
        <v>2025-02</v>
      </c>
      <c r="AG356">
        <f>SUBTOTAL(103,A356)</f>
        <v>1</v>
      </c>
    </row>
    <row r="357" spans="1:33" x14ac:dyDescent="0.3">
      <c r="A357" t="s">
        <v>2967</v>
      </c>
      <c r="B357" s="13">
        <v>45708</v>
      </c>
      <c r="C357">
        <v>2025</v>
      </c>
      <c r="D357">
        <v>2</v>
      </c>
      <c r="E357" t="s">
        <v>2849</v>
      </c>
      <c r="F357" t="s">
        <v>2572</v>
      </c>
      <c r="G357" t="s">
        <v>423</v>
      </c>
      <c r="H357" t="s">
        <v>424</v>
      </c>
      <c r="I357" t="s">
        <v>85</v>
      </c>
      <c r="J357">
        <v>30</v>
      </c>
      <c r="K357" t="s">
        <v>81</v>
      </c>
      <c r="L357" t="s">
        <v>2623</v>
      </c>
      <c r="M357" t="s">
        <v>61</v>
      </c>
      <c r="N357" t="s">
        <v>2603</v>
      </c>
      <c r="O357" t="s">
        <v>122</v>
      </c>
      <c r="P357" t="s">
        <v>48</v>
      </c>
      <c r="Q357" t="s">
        <v>141</v>
      </c>
      <c r="R357">
        <v>2</v>
      </c>
      <c r="S357">
        <v>2499</v>
      </c>
      <c r="T357">
        <v>0.1</v>
      </c>
      <c r="U357">
        <v>4498.2</v>
      </c>
      <c r="V357">
        <v>2900</v>
      </c>
      <c r="W357">
        <v>1598.2</v>
      </c>
      <c r="X357" t="s">
        <v>73</v>
      </c>
      <c r="Y357" t="s">
        <v>68</v>
      </c>
      <c r="Z357" t="s">
        <v>159</v>
      </c>
      <c r="AA357" t="s">
        <v>171</v>
      </c>
      <c r="AB357">
        <v>4.9000000000000004</v>
      </c>
      <c r="AC357">
        <v>80</v>
      </c>
      <c r="AD357">
        <v>214.97</v>
      </c>
      <c r="AE357">
        <f t="shared" si="10"/>
        <v>1303.23</v>
      </c>
      <c r="AF357" t="str">
        <f t="shared" si="11"/>
        <v>2025-02</v>
      </c>
      <c r="AG357">
        <f>SUBTOTAL(103,A357)</f>
        <v>1</v>
      </c>
    </row>
    <row r="358" spans="1:33" x14ac:dyDescent="0.3">
      <c r="A358" t="s">
        <v>2968</v>
      </c>
      <c r="B358" s="13">
        <v>45708</v>
      </c>
      <c r="C358">
        <v>2025</v>
      </c>
      <c r="D358">
        <v>2</v>
      </c>
      <c r="E358" t="s">
        <v>2849</v>
      </c>
      <c r="F358" t="s">
        <v>2572</v>
      </c>
      <c r="G358" t="s">
        <v>1175</v>
      </c>
      <c r="H358" t="s">
        <v>1176</v>
      </c>
      <c r="I358" t="s">
        <v>86</v>
      </c>
      <c r="J358">
        <v>59</v>
      </c>
      <c r="K358" t="s">
        <v>83</v>
      </c>
      <c r="L358" t="s">
        <v>91</v>
      </c>
      <c r="M358" t="s">
        <v>55</v>
      </c>
      <c r="N358" t="s">
        <v>2630</v>
      </c>
      <c r="O358" t="s">
        <v>123</v>
      </c>
      <c r="P358" t="s">
        <v>52</v>
      </c>
      <c r="Q358" t="s">
        <v>146</v>
      </c>
      <c r="R358">
        <v>5</v>
      </c>
      <c r="S358">
        <v>2499</v>
      </c>
      <c r="T358">
        <v>0.1</v>
      </c>
      <c r="U358">
        <v>0</v>
      </c>
      <c r="V358">
        <v>0</v>
      </c>
      <c r="W358">
        <v>0</v>
      </c>
      <c r="X358" t="s">
        <v>74</v>
      </c>
      <c r="Y358" t="s">
        <v>71</v>
      </c>
      <c r="Z358" t="s">
        <v>161</v>
      </c>
      <c r="AA358" t="s">
        <v>166</v>
      </c>
      <c r="AB358">
        <v>4.0999999999999996</v>
      </c>
      <c r="AC358">
        <v>40</v>
      </c>
      <c r="AD358">
        <v>741.51</v>
      </c>
      <c r="AE358">
        <f t="shared" si="10"/>
        <v>-781.51</v>
      </c>
      <c r="AF358" t="str">
        <f t="shared" si="11"/>
        <v>2025-02</v>
      </c>
      <c r="AG358">
        <f>SUBTOTAL(103,A358)</f>
        <v>1</v>
      </c>
    </row>
    <row r="359" spans="1:33" x14ac:dyDescent="0.3">
      <c r="A359" t="s">
        <v>2969</v>
      </c>
      <c r="B359" s="13">
        <v>45708</v>
      </c>
      <c r="C359">
        <v>2025</v>
      </c>
      <c r="D359">
        <v>2</v>
      </c>
      <c r="E359" t="s">
        <v>2849</v>
      </c>
      <c r="F359" t="s">
        <v>2572</v>
      </c>
      <c r="G359" t="s">
        <v>1877</v>
      </c>
      <c r="H359" t="s">
        <v>1878</v>
      </c>
      <c r="I359" t="s">
        <v>86</v>
      </c>
      <c r="J359">
        <v>57</v>
      </c>
      <c r="K359" t="s">
        <v>83</v>
      </c>
      <c r="L359" t="s">
        <v>2661</v>
      </c>
      <c r="M359" t="s">
        <v>58</v>
      </c>
      <c r="N359" t="s">
        <v>2584</v>
      </c>
      <c r="O359" t="s">
        <v>121</v>
      </c>
      <c r="P359" t="s">
        <v>50</v>
      </c>
      <c r="Q359" t="s">
        <v>144</v>
      </c>
      <c r="R359">
        <v>1</v>
      </c>
      <c r="S359">
        <v>2999</v>
      </c>
      <c r="T359">
        <v>0.1</v>
      </c>
      <c r="U359">
        <v>2699.1</v>
      </c>
      <c r="V359">
        <v>1700</v>
      </c>
      <c r="W359">
        <v>999.1</v>
      </c>
      <c r="X359" t="s">
        <v>73</v>
      </c>
      <c r="Y359" t="s">
        <v>68</v>
      </c>
      <c r="Z359" t="s">
        <v>159</v>
      </c>
      <c r="AA359" t="s">
        <v>166</v>
      </c>
      <c r="AB359">
        <v>4.7</v>
      </c>
      <c r="AC359">
        <v>120</v>
      </c>
      <c r="AD359">
        <v>287.02</v>
      </c>
      <c r="AE359">
        <f t="shared" si="10"/>
        <v>592.08000000000004</v>
      </c>
      <c r="AF359" t="str">
        <f t="shared" si="11"/>
        <v>2025-02</v>
      </c>
      <c r="AG359">
        <f>SUBTOTAL(103,A359)</f>
        <v>1</v>
      </c>
    </row>
    <row r="360" spans="1:33" x14ac:dyDescent="0.3">
      <c r="A360" t="s">
        <v>2970</v>
      </c>
      <c r="B360" s="13">
        <v>45708</v>
      </c>
      <c r="C360">
        <v>2025</v>
      </c>
      <c r="D360">
        <v>2</v>
      </c>
      <c r="E360" t="s">
        <v>2849</v>
      </c>
      <c r="F360" t="s">
        <v>2572</v>
      </c>
      <c r="G360" t="s">
        <v>1293</v>
      </c>
      <c r="H360" t="s">
        <v>1294</v>
      </c>
      <c r="I360" t="s">
        <v>85</v>
      </c>
      <c r="J360">
        <v>38</v>
      </c>
      <c r="K360" t="s">
        <v>82</v>
      </c>
      <c r="L360" t="s">
        <v>2690</v>
      </c>
      <c r="M360" t="s">
        <v>63</v>
      </c>
      <c r="N360" t="s">
        <v>2592</v>
      </c>
      <c r="O360" t="s">
        <v>115</v>
      </c>
      <c r="P360" t="s">
        <v>48</v>
      </c>
      <c r="Q360" t="s">
        <v>137</v>
      </c>
      <c r="R360">
        <v>1</v>
      </c>
      <c r="S360">
        <v>12999</v>
      </c>
      <c r="T360">
        <v>0.05</v>
      </c>
      <c r="U360">
        <v>12349.05</v>
      </c>
      <c r="V360">
        <v>9000</v>
      </c>
      <c r="W360">
        <v>3349.05</v>
      </c>
      <c r="X360" t="s">
        <v>75</v>
      </c>
      <c r="Y360" t="s">
        <v>68</v>
      </c>
      <c r="Z360" t="s">
        <v>162</v>
      </c>
      <c r="AA360" t="s">
        <v>169</v>
      </c>
      <c r="AB360">
        <v>4.0999999999999996</v>
      </c>
      <c r="AC360">
        <v>80</v>
      </c>
      <c r="AD360">
        <v>1414.09</v>
      </c>
      <c r="AE360">
        <f t="shared" si="10"/>
        <v>1854.9600000000003</v>
      </c>
      <c r="AF360" t="str">
        <f t="shared" si="11"/>
        <v>2025-02</v>
      </c>
      <c r="AG360">
        <f>SUBTOTAL(103,A360)</f>
        <v>1</v>
      </c>
    </row>
    <row r="361" spans="1:33" x14ac:dyDescent="0.3">
      <c r="A361" t="s">
        <v>2971</v>
      </c>
      <c r="B361" s="13">
        <v>45708</v>
      </c>
      <c r="C361">
        <v>2025</v>
      </c>
      <c r="D361">
        <v>2</v>
      </c>
      <c r="E361" t="s">
        <v>2849</v>
      </c>
      <c r="F361" t="s">
        <v>2572</v>
      </c>
      <c r="G361" t="s">
        <v>363</v>
      </c>
      <c r="H361" t="s">
        <v>364</v>
      </c>
      <c r="I361" t="s">
        <v>85</v>
      </c>
      <c r="J361">
        <v>43</v>
      </c>
      <c r="K361" t="s">
        <v>82</v>
      </c>
      <c r="L361" t="s">
        <v>93</v>
      </c>
      <c r="M361" t="s">
        <v>55</v>
      </c>
      <c r="N361" t="s">
        <v>2577</v>
      </c>
      <c r="O361" t="s">
        <v>129</v>
      </c>
      <c r="P361" t="s">
        <v>49</v>
      </c>
      <c r="Q361" t="s">
        <v>149</v>
      </c>
      <c r="R361">
        <v>2</v>
      </c>
      <c r="S361">
        <v>1299</v>
      </c>
      <c r="T361">
        <v>0.1</v>
      </c>
      <c r="U361">
        <v>2338.1999999999998</v>
      </c>
      <c r="V361">
        <v>1300</v>
      </c>
      <c r="W361">
        <v>1038.2</v>
      </c>
      <c r="X361" t="s">
        <v>77</v>
      </c>
      <c r="Y361" t="s">
        <v>69</v>
      </c>
      <c r="Z361" t="s">
        <v>158</v>
      </c>
      <c r="AA361" t="s">
        <v>167</v>
      </c>
      <c r="AB361">
        <v>4.8</v>
      </c>
      <c r="AC361">
        <v>80</v>
      </c>
      <c r="AD361">
        <v>118.55</v>
      </c>
      <c r="AE361">
        <f t="shared" si="10"/>
        <v>839.65000000000009</v>
      </c>
      <c r="AF361" t="str">
        <f t="shared" si="11"/>
        <v>2025-02</v>
      </c>
      <c r="AG361">
        <f>SUBTOTAL(103,A361)</f>
        <v>1</v>
      </c>
    </row>
    <row r="362" spans="1:33" x14ac:dyDescent="0.3">
      <c r="A362" t="s">
        <v>2972</v>
      </c>
      <c r="B362" s="13">
        <v>45708</v>
      </c>
      <c r="C362">
        <v>2025</v>
      </c>
      <c r="D362">
        <v>2</v>
      </c>
      <c r="E362" t="s">
        <v>2849</v>
      </c>
      <c r="F362" t="s">
        <v>2572</v>
      </c>
      <c r="G362" t="s">
        <v>2393</v>
      </c>
      <c r="H362" t="s">
        <v>2394</v>
      </c>
      <c r="I362" t="s">
        <v>85</v>
      </c>
      <c r="J362">
        <v>57</v>
      </c>
      <c r="K362" t="s">
        <v>83</v>
      </c>
      <c r="L362" t="s">
        <v>2586</v>
      </c>
      <c r="M362" t="s">
        <v>62</v>
      </c>
      <c r="N362" t="s">
        <v>2580</v>
      </c>
      <c r="O362" t="s">
        <v>118</v>
      </c>
      <c r="P362" t="s">
        <v>48</v>
      </c>
      <c r="Q362" t="s">
        <v>142</v>
      </c>
      <c r="R362">
        <v>1</v>
      </c>
      <c r="S362">
        <v>3999</v>
      </c>
      <c r="T362">
        <v>0.15</v>
      </c>
      <c r="U362">
        <v>3399.15</v>
      </c>
      <c r="V362">
        <v>2400</v>
      </c>
      <c r="W362">
        <v>999.15</v>
      </c>
      <c r="X362" t="s">
        <v>73</v>
      </c>
      <c r="Y362" t="s">
        <v>68</v>
      </c>
      <c r="Z362" t="s">
        <v>162</v>
      </c>
      <c r="AA362" t="s">
        <v>171</v>
      </c>
      <c r="AB362">
        <v>4.2</v>
      </c>
      <c r="AC362">
        <v>60</v>
      </c>
      <c r="AD362">
        <v>303.32</v>
      </c>
      <c r="AE362">
        <f t="shared" si="10"/>
        <v>635.82999999999993</v>
      </c>
      <c r="AF362" t="str">
        <f t="shared" si="11"/>
        <v>2025-02</v>
      </c>
      <c r="AG362">
        <f>SUBTOTAL(103,A362)</f>
        <v>1</v>
      </c>
    </row>
    <row r="363" spans="1:33" x14ac:dyDescent="0.3">
      <c r="A363" t="s">
        <v>2973</v>
      </c>
      <c r="B363" s="13">
        <v>45708</v>
      </c>
      <c r="C363">
        <v>2025</v>
      </c>
      <c r="D363">
        <v>2</v>
      </c>
      <c r="E363" t="s">
        <v>2849</v>
      </c>
      <c r="F363" t="s">
        <v>2572</v>
      </c>
      <c r="G363" t="s">
        <v>537</v>
      </c>
      <c r="H363" t="s">
        <v>538</v>
      </c>
      <c r="I363" t="s">
        <v>86</v>
      </c>
      <c r="J363">
        <v>34</v>
      </c>
      <c r="K363" t="s">
        <v>81</v>
      </c>
      <c r="L363" t="s">
        <v>96</v>
      </c>
      <c r="M363" t="s">
        <v>55</v>
      </c>
      <c r="N363" t="s">
        <v>2626</v>
      </c>
      <c r="O363" t="s">
        <v>125</v>
      </c>
      <c r="P363" t="s">
        <v>48</v>
      </c>
      <c r="Q363" t="s">
        <v>141</v>
      </c>
      <c r="R363">
        <v>1</v>
      </c>
      <c r="S363">
        <v>1999</v>
      </c>
      <c r="T363">
        <v>0.05</v>
      </c>
      <c r="U363">
        <v>1899.05</v>
      </c>
      <c r="V363">
        <v>1150</v>
      </c>
      <c r="W363">
        <v>749.05</v>
      </c>
      <c r="X363" t="s">
        <v>76</v>
      </c>
      <c r="Y363" t="s">
        <v>68</v>
      </c>
      <c r="Z363" t="s">
        <v>158</v>
      </c>
      <c r="AA363" t="s">
        <v>171</v>
      </c>
      <c r="AB363">
        <v>4</v>
      </c>
      <c r="AC363">
        <v>50</v>
      </c>
      <c r="AD363">
        <v>138.13999999999999</v>
      </c>
      <c r="AE363">
        <f t="shared" si="10"/>
        <v>560.91</v>
      </c>
      <c r="AF363" t="str">
        <f t="shared" si="11"/>
        <v>2025-02</v>
      </c>
      <c r="AG363">
        <f>SUBTOTAL(103,A363)</f>
        <v>1</v>
      </c>
    </row>
    <row r="364" spans="1:33" x14ac:dyDescent="0.3">
      <c r="A364" t="s">
        <v>2974</v>
      </c>
      <c r="B364" s="13">
        <v>45708</v>
      </c>
      <c r="C364">
        <v>2025</v>
      </c>
      <c r="D364">
        <v>2</v>
      </c>
      <c r="E364" t="s">
        <v>2849</v>
      </c>
      <c r="F364" t="s">
        <v>2572</v>
      </c>
      <c r="G364" t="s">
        <v>541</v>
      </c>
      <c r="H364" t="s">
        <v>542</v>
      </c>
      <c r="I364" t="s">
        <v>85</v>
      </c>
      <c r="J364">
        <v>59</v>
      </c>
      <c r="K364" t="s">
        <v>83</v>
      </c>
      <c r="L364" t="s">
        <v>2589</v>
      </c>
      <c r="M364" t="s">
        <v>61</v>
      </c>
      <c r="N364" t="s">
        <v>2592</v>
      </c>
      <c r="O364" t="s">
        <v>115</v>
      </c>
      <c r="P364" t="s">
        <v>48</v>
      </c>
      <c r="Q364" t="s">
        <v>137</v>
      </c>
      <c r="R364">
        <v>3</v>
      </c>
      <c r="S364">
        <v>12999</v>
      </c>
      <c r="T364">
        <v>0.05</v>
      </c>
      <c r="U364">
        <v>37047.15</v>
      </c>
      <c r="V364">
        <v>27000</v>
      </c>
      <c r="W364">
        <v>10047.15</v>
      </c>
      <c r="X364" t="s">
        <v>77</v>
      </c>
      <c r="Y364" t="s">
        <v>68</v>
      </c>
      <c r="Z364" t="s">
        <v>158</v>
      </c>
      <c r="AA364" t="s">
        <v>169</v>
      </c>
      <c r="AB364">
        <v>4.2</v>
      </c>
      <c r="AC364">
        <v>60</v>
      </c>
      <c r="AD364">
        <v>1377.07</v>
      </c>
      <c r="AE364">
        <f t="shared" si="10"/>
        <v>8610.08</v>
      </c>
      <c r="AF364" t="str">
        <f t="shared" si="11"/>
        <v>2025-02</v>
      </c>
      <c r="AG364">
        <f>SUBTOTAL(103,A364)</f>
        <v>1</v>
      </c>
    </row>
    <row r="365" spans="1:33" x14ac:dyDescent="0.3">
      <c r="A365" t="s">
        <v>2975</v>
      </c>
      <c r="B365" s="13">
        <v>45708</v>
      </c>
      <c r="C365">
        <v>2025</v>
      </c>
      <c r="D365">
        <v>2</v>
      </c>
      <c r="E365" t="s">
        <v>2849</v>
      </c>
      <c r="F365" t="s">
        <v>2572</v>
      </c>
      <c r="G365" t="s">
        <v>261</v>
      </c>
      <c r="H365" t="s">
        <v>262</v>
      </c>
      <c r="I365" t="s">
        <v>85</v>
      </c>
      <c r="J365">
        <v>29</v>
      </c>
      <c r="K365" t="s">
        <v>81</v>
      </c>
      <c r="L365" t="s">
        <v>98</v>
      </c>
      <c r="M365" t="s">
        <v>55</v>
      </c>
      <c r="N365" t="s">
        <v>2657</v>
      </c>
      <c r="O365" t="s">
        <v>134</v>
      </c>
      <c r="P365" t="s">
        <v>49</v>
      </c>
      <c r="Q365" t="s">
        <v>140</v>
      </c>
      <c r="R365">
        <v>1</v>
      </c>
      <c r="S365">
        <v>599</v>
      </c>
      <c r="T365">
        <v>0.05</v>
      </c>
      <c r="U365">
        <v>569.04999999999995</v>
      </c>
      <c r="V365">
        <v>250</v>
      </c>
      <c r="W365">
        <v>319.05</v>
      </c>
      <c r="X365" t="s">
        <v>76</v>
      </c>
      <c r="Y365" t="s">
        <v>70</v>
      </c>
      <c r="Z365" t="s">
        <v>158</v>
      </c>
      <c r="AA365" t="s">
        <v>168</v>
      </c>
      <c r="AB365">
        <v>5</v>
      </c>
      <c r="AC365">
        <v>80</v>
      </c>
      <c r="AD365">
        <v>24.02</v>
      </c>
      <c r="AE365">
        <f t="shared" si="10"/>
        <v>215.03</v>
      </c>
      <c r="AF365" t="str">
        <f t="shared" si="11"/>
        <v>2025-02</v>
      </c>
      <c r="AG365">
        <f>SUBTOTAL(103,A365)</f>
        <v>1</v>
      </c>
    </row>
    <row r="366" spans="1:33" x14ac:dyDescent="0.3">
      <c r="A366" t="s">
        <v>2976</v>
      </c>
      <c r="B366" s="13">
        <v>45709</v>
      </c>
      <c r="C366">
        <v>2025</v>
      </c>
      <c r="D366">
        <v>2</v>
      </c>
      <c r="E366" t="s">
        <v>2849</v>
      </c>
      <c r="F366" t="s">
        <v>2572</v>
      </c>
      <c r="G366" t="s">
        <v>1229</v>
      </c>
      <c r="H366" t="s">
        <v>1230</v>
      </c>
      <c r="I366" t="s">
        <v>85</v>
      </c>
      <c r="J366">
        <v>33</v>
      </c>
      <c r="K366" t="s">
        <v>81</v>
      </c>
      <c r="L366" t="s">
        <v>99</v>
      </c>
      <c r="M366" t="s">
        <v>58</v>
      </c>
      <c r="N366" t="s">
        <v>2580</v>
      </c>
      <c r="O366" t="s">
        <v>118</v>
      </c>
      <c r="P366" t="s">
        <v>48</v>
      </c>
      <c r="Q366" t="s">
        <v>142</v>
      </c>
      <c r="R366">
        <v>5</v>
      </c>
      <c r="S366">
        <v>3999</v>
      </c>
      <c r="T366">
        <v>0.05</v>
      </c>
      <c r="U366">
        <v>18995.25</v>
      </c>
      <c r="V366">
        <v>12000</v>
      </c>
      <c r="W366">
        <v>6995.25</v>
      </c>
      <c r="X366" t="s">
        <v>74</v>
      </c>
      <c r="Y366" t="s">
        <v>68</v>
      </c>
      <c r="Z366" t="s">
        <v>158</v>
      </c>
      <c r="AA366" t="s">
        <v>168</v>
      </c>
      <c r="AB366">
        <v>4.8</v>
      </c>
      <c r="AC366">
        <v>50</v>
      </c>
      <c r="AD366">
        <v>1820.04</v>
      </c>
      <c r="AE366">
        <f t="shared" si="10"/>
        <v>5125.21</v>
      </c>
      <c r="AF366" t="str">
        <f t="shared" si="11"/>
        <v>2025-02</v>
      </c>
      <c r="AG366">
        <f>SUBTOTAL(103,A366)</f>
        <v>1</v>
      </c>
    </row>
    <row r="367" spans="1:33" x14ac:dyDescent="0.3">
      <c r="A367" t="s">
        <v>2977</v>
      </c>
      <c r="B367" s="13">
        <v>45709</v>
      </c>
      <c r="C367">
        <v>2025</v>
      </c>
      <c r="D367">
        <v>2</v>
      </c>
      <c r="E367" t="s">
        <v>2849</v>
      </c>
      <c r="F367" t="s">
        <v>2572</v>
      </c>
      <c r="G367" t="s">
        <v>2103</v>
      </c>
      <c r="H367" t="s">
        <v>2104</v>
      </c>
      <c r="I367" t="s">
        <v>85</v>
      </c>
      <c r="J367">
        <v>20</v>
      </c>
      <c r="K367" t="s">
        <v>80</v>
      </c>
      <c r="L367" t="s">
        <v>2623</v>
      </c>
      <c r="M367" t="s">
        <v>61</v>
      </c>
      <c r="N367" t="s">
        <v>2665</v>
      </c>
      <c r="O367" t="s">
        <v>128</v>
      </c>
      <c r="P367" t="s">
        <v>53</v>
      </c>
      <c r="Q367" t="s">
        <v>143</v>
      </c>
      <c r="R367">
        <v>1</v>
      </c>
      <c r="S367">
        <v>1499</v>
      </c>
      <c r="T367">
        <v>0.05</v>
      </c>
      <c r="U367">
        <v>1424.05</v>
      </c>
      <c r="V367">
        <v>800</v>
      </c>
      <c r="W367">
        <v>624.04999999999995</v>
      </c>
      <c r="X367" t="s">
        <v>73</v>
      </c>
      <c r="Y367" t="s">
        <v>68</v>
      </c>
      <c r="Z367" t="s">
        <v>160</v>
      </c>
      <c r="AA367" t="s">
        <v>168</v>
      </c>
      <c r="AB367">
        <v>4</v>
      </c>
      <c r="AC367">
        <v>60</v>
      </c>
      <c r="AD367">
        <v>138.31</v>
      </c>
      <c r="AE367">
        <f t="shared" si="10"/>
        <v>425.73999999999995</v>
      </c>
      <c r="AF367" t="str">
        <f t="shared" si="11"/>
        <v>2025-02</v>
      </c>
      <c r="AG367">
        <f>SUBTOTAL(103,A367)</f>
        <v>1</v>
      </c>
    </row>
    <row r="368" spans="1:33" x14ac:dyDescent="0.3">
      <c r="A368" t="s">
        <v>2978</v>
      </c>
      <c r="B368" s="13">
        <v>45709</v>
      </c>
      <c r="C368">
        <v>2025</v>
      </c>
      <c r="D368">
        <v>2</v>
      </c>
      <c r="E368" t="s">
        <v>2849</v>
      </c>
      <c r="F368" t="s">
        <v>2572</v>
      </c>
      <c r="G368" t="s">
        <v>1647</v>
      </c>
      <c r="H368" t="s">
        <v>1648</v>
      </c>
      <c r="I368" t="s">
        <v>86</v>
      </c>
      <c r="J368">
        <v>21</v>
      </c>
      <c r="K368" t="s">
        <v>80</v>
      </c>
      <c r="L368" t="s">
        <v>2637</v>
      </c>
      <c r="M368" t="s">
        <v>64</v>
      </c>
      <c r="N368" t="s">
        <v>2596</v>
      </c>
      <c r="O368" t="s">
        <v>124</v>
      </c>
      <c r="P368" t="s">
        <v>51</v>
      </c>
      <c r="Q368" t="s">
        <v>147</v>
      </c>
      <c r="R368">
        <v>4</v>
      </c>
      <c r="S368">
        <v>2299</v>
      </c>
      <c r="T368">
        <v>0.1</v>
      </c>
      <c r="U368">
        <v>8276.4</v>
      </c>
      <c r="V368">
        <v>4800</v>
      </c>
      <c r="W368">
        <v>3476.4</v>
      </c>
      <c r="X368" t="s">
        <v>73</v>
      </c>
      <c r="Y368" t="s">
        <v>68</v>
      </c>
      <c r="Z368" t="s">
        <v>159</v>
      </c>
      <c r="AA368" t="s">
        <v>169</v>
      </c>
      <c r="AB368">
        <v>4.0999999999999996</v>
      </c>
      <c r="AC368">
        <v>60</v>
      </c>
      <c r="AD368">
        <v>461.99</v>
      </c>
      <c r="AE368">
        <f t="shared" si="10"/>
        <v>2954.41</v>
      </c>
      <c r="AF368" t="str">
        <f t="shared" si="11"/>
        <v>2025-02</v>
      </c>
      <c r="AG368">
        <f>SUBTOTAL(103,A368)</f>
        <v>1</v>
      </c>
    </row>
    <row r="369" spans="1:33" x14ac:dyDescent="0.3">
      <c r="A369" t="s">
        <v>2979</v>
      </c>
      <c r="B369" s="13">
        <v>45709</v>
      </c>
      <c r="C369">
        <v>2025</v>
      </c>
      <c r="D369">
        <v>2</v>
      </c>
      <c r="E369" t="s">
        <v>2849</v>
      </c>
      <c r="F369" t="s">
        <v>2572</v>
      </c>
      <c r="G369" t="s">
        <v>2031</v>
      </c>
      <c r="H369" t="s">
        <v>2032</v>
      </c>
      <c r="I369" t="s">
        <v>85</v>
      </c>
      <c r="J369">
        <v>42</v>
      </c>
      <c r="K369" t="s">
        <v>82</v>
      </c>
      <c r="L369" t="s">
        <v>59</v>
      </c>
      <c r="M369" t="s">
        <v>59</v>
      </c>
      <c r="N369" t="s">
        <v>2606</v>
      </c>
      <c r="O369" t="s">
        <v>120</v>
      </c>
      <c r="P369" t="s">
        <v>49</v>
      </c>
      <c r="Q369" t="s">
        <v>140</v>
      </c>
      <c r="R369">
        <v>1</v>
      </c>
      <c r="S369">
        <v>2799</v>
      </c>
      <c r="T369">
        <v>0.05</v>
      </c>
      <c r="U369">
        <v>2659.05</v>
      </c>
      <c r="V369">
        <v>1650</v>
      </c>
      <c r="W369">
        <v>1009.05</v>
      </c>
      <c r="X369" t="s">
        <v>77</v>
      </c>
      <c r="Y369" t="s">
        <v>68</v>
      </c>
      <c r="Z369" t="s">
        <v>160</v>
      </c>
      <c r="AA369" t="s">
        <v>167</v>
      </c>
      <c r="AB369">
        <v>4.3</v>
      </c>
      <c r="AC369">
        <v>100</v>
      </c>
      <c r="AD369">
        <v>182.1</v>
      </c>
      <c r="AE369">
        <f t="shared" si="10"/>
        <v>726.94999999999993</v>
      </c>
      <c r="AF369" t="str">
        <f t="shared" si="11"/>
        <v>2025-02</v>
      </c>
      <c r="AG369">
        <f>SUBTOTAL(103,A369)</f>
        <v>1</v>
      </c>
    </row>
    <row r="370" spans="1:33" x14ac:dyDescent="0.3">
      <c r="A370" t="s">
        <v>2980</v>
      </c>
      <c r="B370" s="13">
        <v>45709</v>
      </c>
      <c r="C370">
        <v>2025</v>
      </c>
      <c r="D370">
        <v>2</v>
      </c>
      <c r="E370" t="s">
        <v>2849</v>
      </c>
      <c r="F370" t="s">
        <v>2572</v>
      </c>
      <c r="G370" t="s">
        <v>1883</v>
      </c>
      <c r="H370" t="s">
        <v>1884</v>
      </c>
      <c r="I370" t="s">
        <v>85</v>
      </c>
      <c r="J370">
        <v>19</v>
      </c>
      <c r="K370" t="s">
        <v>80</v>
      </c>
      <c r="L370" t="s">
        <v>92</v>
      </c>
      <c r="M370" t="s">
        <v>59</v>
      </c>
      <c r="N370" t="s">
        <v>2626</v>
      </c>
      <c r="O370" t="s">
        <v>125</v>
      </c>
      <c r="P370" t="s">
        <v>48</v>
      </c>
      <c r="Q370" t="s">
        <v>141</v>
      </c>
      <c r="R370">
        <v>1</v>
      </c>
      <c r="S370">
        <v>1999</v>
      </c>
      <c r="T370">
        <v>0.05</v>
      </c>
      <c r="U370">
        <v>1899.05</v>
      </c>
      <c r="V370">
        <v>1150</v>
      </c>
      <c r="W370">
        <v>749.05</v>
      </c>
      <c r="X370" t="s">
        <v>74</v>
      </c>
      <c r="Y370" t="s">
        <v>68</v>
      </c>
      <c r="Z370" t="s">
        <v>161</v>
      </c>
      <c r="AA370" t="s">
        <v>170</v>
      </c>
      <c r="AB370">
        <v>3.7</v>
      </c>
      <c r="AC370">
        <v>120</v>
      </c>
      <c r="AD370">
        <v>116.71</v>
      </c>
      <c r="AE370">
        <f t="shared" si="10"/>
        <v>512.33999999999992</v>
      </c>
      <c r="AF370" t="str">
        <f t="shared" si="11"/>
        <v>2025-02</v>
      </c>
      <c r="AG370">
        <f>SUBTOTAL(103,A370)</f>
        <v>1</v>
      </c>
    </row>
    <row r="371" spans="1:33" x14ac:dyDescent="0.3">
      <c r="A371" t="s">
        <v>2981</v>
      </c>
      <c r="B371" s="13">
        <v>45709</v>
      </c>
      <c r="C371">
        <v>2025</v>
      </c>
      <c r="D371">
        <v>2</v>
      </c>
      <c r="E371" t="s">
        <v>2849</v>
      </c>
      <c r="F371" t="s">
        <v>2572</v>
      </c>
      <c r="G371" t="s">
        <v>1561</v>
      </c>
      <c r="H371" t="s">
        <v>1562</v>
      </c>
      <c r="I371" t="s">
        <v>86</v>
      </c>
      <c r="J371">
        <v>56</v>
      </c>
      <c r="K371" t="s">
        <v>83</v>
      </c>
      <c r="L371" t="s">
        <v>2599</v>
      </c>
      <c r="M371" t="s">
        <v>62</v>
      </c>
      <c r="N371" t="s">
        <v>2644</v>
      </c>
      <c r="O371" t="s">
        <v>126</v>
      </c>
      <c r="P371" t="s">
        <v>50</v>
      </c>
      <c r="Q371" t="s">
        <v>145</v>
      </c>
      <c r="R371">
        <v>3</v>
      </c>
      <c r="S371">
        <v>1799</v>
      </c>
      <c r="T371">
        <v>0.05</v>
      </c>
      <c r="U371">
        <v>5127.1499999999996</v>
      </c>
      <c r="V371">
        <v>2850</v>
      </c>
      <c r="W371">
        <v>2277.15</v>
      </c>
      <c r="X371" t="s">
        <v>75</v>
      </c>
      <c r="Y371" t="s">
        <v>68</v>
      </c>
      <c r="Z371" t="s">
        <v>163</v>
      </c>
      <c r="AA371" t="s">
        <v>171</v>
      </c>
      <c r="AB371">
        <v>5</v>
      </c>
      <c r="AC371">
        <v>60</v>
      </c>
      <c r="AD371">
        <v>287.56</v>
      </c>
      <c r="AE371">
        <f t="shared" si="10"/>
        <v>1929.5900000000001</v>
      </c>
      <c r="AF371" t="str">
        <f t="shared" si="11"/>
        <v>2025-02</v>
      </c>
      <c r="AG371">
        <f>SUBTOTAL(103,A371)</f>
        <v>1</v>
      </c>
    </row>
    <row r="372" spans="1:33" x14ac:dyDescent="0.3">
      <c r="A372" t="s">
        <v>2982</v>
      </c>
      <c r="B372" s="13">
        <v>45709</v>
      </c>
      <c r="C372">
        <v>2025</v>
      </c>
      <c r="D372">
        <v>2</v>
      </c>
      <c r="E372" t="s">
        <v>2849</v>
      </c>
      <c r="F372" t="s">
        <v>2572</v>
      </c>
      <c r="G372" t="s">
        <v>1767</v>
      </c>
      <c r="H372" t="s">
        <v>1768</v>
      </c>
      <c r="I372" t="s">
        <v>86</v>
      </c>
      <c r="J372">
        <v>36</v>
      </c>
      <c r="K372" t="s">
        <v>82</v>
      </c>
      <c r="L372" t="s">
        <v>2573</v>
      </c>
      <c r="M372" t="s">
        <v>63</v>
      </c>
      <c r="N372" t="s">
        <v>2647</v>
      </c>
      <c r="O372" t="s">
        <v>133</v>
      </c>
      <c r="P372" t="s">
        <v>50</v>
      </c>
      <c r="Q372" t="s">
        <v>145</v>
      </c>
      <c r="R372">
        <v>1</v>
      </c>
      <c r="S372">
        <v>799</v>
      </c>
      <c r="T372">
        <v>0</v>
      </c>
      <c r="U372">
        <v>799</v>
      </c>
      <c r="V372">
        <v>390</v>
      </c>
      <c r="W372">
        <v>409</v>
      </c>
      <c r="X372" t="s">
        <v>74</v>
      </c>
      <c r="Y372" t="s">
        <v>68</v>
      </c>
      <c r="Z372" t="s">
        <v>160</v>
      </c>
      <c r="AA372" t="s">
        <v>167</v>
      </c>
      <c r="AB372">
        <v>2.2999999999999998</v>
      </c>
      <c r="AC372">
        <v>80</v>
      </c>
      <c r="AD372">
        <v>89.62</v>
      </c>
      <c r="AE372">
        <f t="shared" si="10"/>
        <v>239.38</v>
      </c>
      <c r="AF372" t="str">
        <f t="shared" si="11"/>
        <v>2025-02</v>
      </c>
      <c r="AG372">
        <f>SUBTOTAL(103,A372)</f>
        <v>1</v>
      </c>
    </row>
    <row r="373" spans="1:33" x14ac:dyDescent="0.3">
      <c r="A373" t="s">
        <v>2983</v>
      </c>
      <c r="B373" s="13">
        <v>45709</v>
      </c>
      <c r="C373">
        <v>2025</v>
      </c>
      <c r="D373">
        <v>2</v>
      </c>
      <c r="E373" t="s">
        <v>2849</v>
      </c>
      <c r="F373" t="s">
        <v>2572</v>
      </c>
      <c r="G373" t="s">
        <v>651</v>
      </c>
      <c r="H373" t="s">
        <v>652</v>
      </c>
      <c r="I373" t="s">
        <v>86</v>
      </c>
      <c r="J373">
        <v>23</v>
      </c>
      <c r="K373" t="s">
        <v>80</v>
      </c>
      <c r="L373" t="s">
        <v>90</v>
      </c>
      <c r="M373" t="s">
        <v>55</v>
      </c>
      <c r="N373" t="s">
        <v>2584</v>
      </c>
      <c r="O373" t="s">
        <v>121</v>
      </c>
      <c r="P373" t="s">
        <v>50</v>
      </c>
      <c r="Q373" t="s">
        <v>144</v>
      </c>
      <c r="R373">
        <v>2</v>
      </c>
      <c r="S373">
        <v>2999</v>
      </c>
      <c r="T373">
        <v>0.1</v>
      </c>
      <c r="U373">
        <v>5398.2</v>
      </c>
      <c r="V373">
        <v>3400</v>
      </c>
      <c r="W373">
        <v>1998.2</v>
      </c>
      <c r="X373" t="s">
        <v>73</v>
      </c>
      <c r="Y373" t="s">
        <v>68</v>
      </c>
      <c r="Z373" t="s">
        <v>161</v>
      </c>
      <c r="AA373" t="s">
        <v>167</v>
      </c>
      <c r="AB373">
        <v>5</v>
      </c>
      <c r="AC373">
        <v>80</v>
      </c>
      <c r="AD373">
        <v>434.28</v>
      </c>
      <c r="AE373">
        <f t="shared" si="10"/>
        <v>1483.92</v>
      </c>
      <c r="AF373" t="str">
        <f t="shared" si="11"/>
        <v>2025-02</v>
      </c>
      <c r="AG373">
        <f>SUBTOTAL(103,A373)</f>
        <v>1</v>
      </c>
    </row>
    <row r="374" spans="1:33" x14ac:dyDescent="0.3">
      <c r="A374" t="s">
        <v>2984</v>
      </c>
      <c r="B374" s="13">
        <v>45709</v>
      </c>
      <c r="C374">
        <v>2025</v>
      </c>
      <c r="D374">
        <v>2</v>
      </c>
      <c r="E374" t="s">
        <v>2849</v>
      </c>
      <c r="F374" t="s">
        <v>2572</v>
      </c>
      <c r="G374" t="s">
        <v>1009</v>
      </c>
      <c r="H374" t="s">
        <v>1010</v>
      </c>
      <c r="I374" t="s">
        <v>86</v>
      </c>
      <c r="J374">
        <v>41</v>
      </c>
      <c r="K374" t="s">
        <v>82</v>
      </c>
      <c r="L374" t="s">
        <v>100</v>
      </c>
      <c r="M374" t="s">
        <v>56</v>
      </c>
      <c r="N374" t="s">
        <v>2603</v>
      </c>
      <c r="O374" t="s">
        <v>122</v>
      </c>
      <c r="P374" t="s">
        <v>48</v>
      </c>
      <c r="Q374" t="s">
        <v>141</v>
      </c>
      <c r="R374">
        <v>2</v>
      </c>
      <c r="S374">
        <v>2499</v>
      </c>
      <c r="T374">
        <v>0.1</v>
      </c>
      <c r="U374">
        <v>4498.2</v>
      </c>
      <c r="V374">
        <v>2900</v>
      </c>
      <c r="W374">
        <v>1598.2</v>
      </c>
      <c r="X374" t="s">
        <v>74</v>
      </c>
      <c r="Y374" t="s">
        <v>68</v>
      </c>
      <c r="Z374" t="s">
        <v>159</v>
      </c>
      <c r="AA374" t="s">
        <v>166</v>
      </c>
      <c r="AB374">
        <v>4</v>
      </c>
      <c r="AC374">
        <v>120</v>
      </c>
      <c r="AD374">
        <v>244.46</v>
      </c>
      <c r="AE374">
        <f t="shared" si="10"/>
        <v>1233.74</v>
      </c>
      <c r="AF374" t="str">
        <f t="shared" si="11"/>
        <v>2025-02</v>
      </c>
      <c r="AG374">
        <f>SUBTOTAL(103,A374)</f>
        <v>1</v>
      </c>
    </row>
    <row r="375" spans="1:33" x14ac:dyDescent="0.3">
      <c r="A375" t="s">
        <v>2985</v>
      </c>
      <c r="B375" s="13">
        <v>45709</v>
      </c>
      <c r="C375">
        <v>2025</v>
      </c>
      <c r="D375">
        <v>2</v>
      </c>
      <c r="E375" t="s">
        <v>2849</v>
      </c>
      <c r="F375" t="s">
        <v>2572</v>
      </c>
      <c r="G375" t="s">
        <v>1795</v>
      </c>
      <c r="H375" t="s">
        <v>1796</v>
      </c>
      <c r="I375" t="s">
        <v>86</v>
      </c>
      <c r="J375">
        <v>48</v>
      </c>
      <c r="K375" t="s">
        <v>83</v>
      </c>
      <c r="L375" t="s">
        <v>96</v>
      </c>
      <c r="M375" t="s">
        <v>55</v>
      </c>
      <c r="N375" t="s">
        <v>2644</v>
      </c>
      <c r="O375" t="s">
        <v>126</v>
      </c>
      <c r="P375" t="s">
        <v>50</v>
      </c>
      <c r="Q375" t="s">
        <v>145</v>
      </c>
      <c r="R375">
        <v>3</v>
      </c>
      <c r="S375">
        <v>1799</v>
      </c>
      <c r="T375">
        <v>0.15</v>
      </c>
      <c r="U375">
        <v>4587.45</v>
      </c>
      <c r="V375">
        <v>2850</v>
      </c>
      <c r="W375">
        <v>1737.45</v>
      </c>
      <c r="X375" t="s">
        <v>76</v>
      </c>
      <c r="Y375" t="s">
        <v>68</v>
      </c>
      <c r="Z375" t="s">
        <v>163</v>
      </c>
      <c r="AA375" t="s">
        <v>171</v>
      </c>
      <c r="AB375">
        <v>5</v>
      </c>
      <c r="AC375">
        <v>50</v>
      </c>
      <c r="AD375">
        <v>116.73</v>
      </c>
      <c r="AE375">
        <f t="shared" si="10"/>
        <v>1570.72</v>
      </c>
      <c r="AF375" t="str">
        <f t="shared" si="11"/>
        <v>2025-02</v>
      </c>
      <c r="AG375">
        <f>SUBTOTAL(103,A375)</f>
        <v>1</v>
      </c>
    </row>
    <row r="376" spans="1:33" x14ac:dyDescent="0.3">
      <c r="A376" t="s">
        <v>2986</v>
      </c>
      <c r="B376" s="13">
        <v>45709</v>
      </c>
      <c r="C376">
        <v>2025</v>
      </c>
      <c r="D376">
        <v>2</v>
      </c>
      <c r="E376" t="s">
        <v>2849</v>
      </c>
      <c r="F376" t="s">
        <v>2572</v>
      </c>
      <c r="G376" t="s">
        <v>1799</v>
      </c>
      <c r="H376" t="s">
        <v>1800</v>
      </c>
      <c r="I376" t="s">
        <v>85</v>
      </c>
      <c r="J376">
        <v>25</v>
      </c>
      <c r="K376" t="s">
        <v>80</v>
      </c>
      <c r="L376" t="s">
        <v>99</v>
      </c>
      <c r="M376" t="s">
        <v>58</v>
      </c>
      <c r="N376" t="s">
        <v>2653</v>
      </c>
      <c r="O376" t="s">
        <v>132</v>
      </c>
      <c r="P376" t="s">
        <v>52</v>
      </c>
      <c r="Q376" t="s">
        <v>150</v>
      </c>
      <c r="R376">
        <v>2</v>
      </c>
      <c r="S376">
        <v>899</v>
      </c>
      <c r="T376">
        <v>0.1</v>
      </c>
      <c r="U376">
        <v>1618.2</v>
      </c>
      <c r="V376">
        <v>840</v>
      </c>
      <c r="W376">
        <v>778.2</v>
      </c>
      <c r="X376" t="s">
        <v>77</v>
      </c>
      <c r="Y376" t="s">
        <v>68</v>
      </c>
      <c r="Z376" t="s">
        <v>161</v>
      </c>
      <c r="AA376" t="s">
        <v>168</v>
      </c>
      <c r="AB376">
        <v>2.8</v>
      </c>
      <c r="AC376">
        <v>40</v>
      </c>
      <c r="AD376">
        <v>191.95</v>
      </c>
      <c r="AE376">
        <f t="shared" si="10"/>
        <v>546.25</v>
      </c>
      <c r="AF376" t="str">
        <f t="shared" si="11"/>
        <v>2025-02</v>
      </c>
      <c r="AG376">
        <f>SUBTOTAL(103,A376)</f>
        <v>1</v>
      </c>
    </row>
    <row r="377" spans="1:33" x14ac:dyDescent="0.3">
      <c r="A377" t="s">
        <v>2987</v>
      </c>
      <c r="B377" s="13">
        <v>45709</v>
      </c>
      <c r="C377">
        <v>2025</v>
      </c>
      <c r="D377">
        <v>2</v>
      </c>
      <c r="E377" t="s">
        <v>2849</v>
      </c>
      <c r="F377" t="s">
        <v>2572</v>
      </c>
      <c r="G377" t="s">
        <v>867</v>
      </c>
      <c r="H377" t="s">
        <v>868</v>
      </c>
      <c r="I377" t="s">
        <v>86</v>
      </c>
      <c r="J377">
        <v>34</v>
      </c>
      <c r="K377" t="s">
        <v>81</v>
      </c>
      <c r="L377" t="s">
        <v>98</v>
      </c>
      <c r="M377" t="s">
        <v>55</v>
      </c>
      <c r="N377" t="s">
        <v>2580</v>
      </c>
      <c r="O377" t="s">
        <v>118</v>
      </c>
      <c r="P377" t="s">
        <v>48</v>
      </c>
      <c r="Q377" t="s">
        <v>142</v>
      </c>
      <c r="R377">
        <v>1</v>
      </c>
      <c r="S377">
        <v>3999</v>
      </c>
      <c r="T377">
        <v>0.1</v>
      </c>
      <c r="U377">
        <v>3599.1</v>
      </c>
      <c r="V377">
        <v>2400</v>
      </c>
      <c r="W377">
        <v>1199.0999999999999</v>
      </c>
      <c r="X377" t="s">
        <v>74</v>
      </c>
      <c r="Y377" t="s">
        <v>68</v>
      </c>
      <c r="Z377" t="s">
        <v>159</v>
      </c>
      <c r="AA377" t="s">
        <v>171</v>
      </c>
      <c r="AB377">
        <v>3.2</v>
      </c>
      <c r="AC377">
        <v>60</v>
      </c>
      <c r="AD377">
        <v>359</v>
      </c>
      <c r="AE377">
        <f t="shared" si="10"/>
        <v>780.09999999999991</v>
      </c>
      <c r="AF377" t="str">
        <f t="shared" si="11"/>
        <v>2025-02</v>
      </c>
      <c r="AG377">
        <f>SUBTOTAL(103,A377)</f>
        <v>1</v>
      </c>
    </row>
    <row r="378" spans="1:33" x14ac:dyDescent="0.3">
      <c r="A378" t="s">
        <v>2988</v>
      </c>
      <c r="B378" s="13">
        <v>45710</v>
      </c>
      <c r="C378">
        <v>2025</v>
      </c>
      <c r="D378">
        <v>2</v>
      </c>
      <c r="E378" t="s">
        <v>2849</v>
      </c>
      <c r="F378" t="s">
        <v>2572</v>
      </c>
      <c r="G378" t="s">
        <v>501</v>
      </c>
      <c r="H378" t="s">
        <v>502</v>
      </c>
      <c r="I378" t="s">
        <v>86</v>
      </c>
      <c r="J378">
        <v>43</v>
      </c>
      <c r="K378" t="s">
        <v>82</v>
      </c>
      <c r="L378" t="s">
        <v>2573</v>
      </c>
      <c r="M378" t="s">
        <v>63</v>
      </c>
      <c r="N378" t="s">
        <v>2592</v>
      </c>
      <c r="O378" t="s">
        <v>115</v>
      </c>
      <c r="P378" t="s">
        <v>48</v>
      </c>
      <c r="Q378" t="s">
        <v>137</v>
      </c>
      <c r="R378">
        <v>2</v>
      </c>
      <c r="S378">
        <v>12999</v>
      </c>
      <c r="T378">
        <v>0.05</v>
      </c>
      <c r="U378">
        <v>24698.1</v>
      </c>
      <c r="V378">
        <v>18000</v>
      </c>
      <c r="W378">
        <v>6698.1</v>
      </c>
      <c r="X378" t="s">
        <v>73</v>
      </c>
      <c r="Y378" t="s">
        <v>68</v>
      </c>
      <c r="Z378" t="s">
        <v>162</v>
      </c>
      <c r="AA378" t="s">
        <v>169</v>
      </c>
      <c r="AB378">
        <v>3.3</v>
      </c>
      <c r="AC378">
        <v>60</v>
      </c>
      <c r="AD378">
        <v>1884.63</v>
      </c>
      <c r="AE378">
        <f t="shared" si="10"/>
        <v>4753.47</v>
      </c>
      <c r="AF378" t="str">
        <f t="shared" si="11"/>
        <v>2025-02</v>
      </c>
      <c r="AG378">
        <f>SUBTOTAL(103,A378)</f>
        <v>1</v>
      </c>
    </row>
    <row r="379" spans="1:33" x14ac:dyDescent="0.3">
      <c r="A379" t="s">
        <v>2989</v>
      </c>
      <c r="B379" s="13">
        <v>45710</v>
      </c>
      <c r="C379">
        <v>2025</v>
      </c>
      <c r="D379">
        <v>2</v>
      </c>
      <c r="E379" t="s">
        <v>2849</v>
      </c>
      <c r="F379" t="s">
        <v>2572</v>
      </c>
      <c r="G379" t="s">
        <v>389</v>
      </c>
      <c r="H379" t="s">
        <v>390</v>
      </c>
      <c r="I379" t="s">
        <v>85</v>
      </c>
      <c r="J379">
        <v>33</v>
      </c>
      <c r="K379" t="s">
        <v>81</v>
      </c>
      <c r="L379" t="s">
        <v>2623</v>
      </c>
      <c r="M379" t="s">
        <v>61</v>
      </c>
      <c r="N379" t="s">
        <v>2587</v>
      </c>
      <c r="O379" t="s">
        <v>116</v>
      </c>
      <c r="P379" t="s">
        <v>48</v>
      </c>
      <c r="Q379" t="s">
        <v>138</v>
      </c>
      <c r="R379">
        <v>5</v>
      </c>
      <c r="S379">
        <v>14999</v>
      </c>
      <c r="T379">
        <v>0.25</v>
      </c>
      <c r="U379">
        <v>56246.25</v>
      </c>
      <c r="V379">
        <v>56000</v>
      </c>
      <c r="W379">
        <v>246.25</v>
      </c>
      <c r="X379" t="s">
        <v>76</v>
      </c>
      <c r="Y379" t="s">
        <v>68</v>
      </c>
      <c r="Z379" t="s">
        <v>162</v>
      </c>
      <c r="AA379" t="s">
        <v>168</v>
      </c>
      <c r="AB379">
        <v>2.6</v>
      </c>
      <c r="AC379">
        <v>40</v>
      </c>
      <c r="AD379">
        <v>2916.99</v>
      </c>
      <c r="AE379">
        <f t="shared" si="10"/>
        <v>-2710.74</v>
      </c>
      <c r="AF379" t="str">
        <f t="shared" si="11"/>
        <v>2025-02</v>
      </c>
      <c r="AG379">
        <f>SUBTOTAL(103,A379)</f>
        <v>1</v>
      </c>
    </row>
    <row r="380" spans="1:33" x14ac:dyDescent="0.3">
      <c r="A380" t="s">
        <v>2990</v>
      </c>
      <c r="B380" s="13">
        <v>45710</v>
      </c>
      <c r="C380">
        <v>2025</v>
      </c>
      <c r="D380">
        <v>2</v>
      </c>
      <c r="E380" t="s">
        <v>2849</v>
      </c>
      <c r="F380" t="s">
        <v>2572</v>
      </c>
      <c r="G380" t="s">
        <v>1341</v>
      </c>
      <c r="H380" t="s">
        <v>1342</v>
      </c>
      <c r="I380" t="s">
        <v>85</v>
      </c>
      <c r="J380">
        <v>32</v>
      </c>
      <c r="K380" t="s">
        <v>81</v>
      </c>
      <c r="L380" t="s">
        <v>97</v>
      </c>
      <c r="M380" t="s">
        <v>57</v>
      </c>
      <c r="N380" t="s">
        <v>2582</v>
      </c>
      <c r="O380" t="s">
        <v>119</v>
      </c>
      <c r="P380" t="s">
        <v>49</v>
      </c>
      <c r="Q380" t="s">
        <v>140</v>
      </c>
      <c r="R380">
        <v>5</v>
      </c>
      <c r="S380">
        <v>3499</v>
      </c>
      <c r="T380">
        <v>0.2</v>
      </c>
      <c r="U380">
        <v>13996</v>
      </c>
      <c r="V380">
        <v>10500</v>
      </c>
      <c r="W380">
        <v>3496</v>
      </c>
      <c r="X380" t="s">
        <v>73</v>
      </c>
      <c r="Y380" t="s">
        <v>68</v>
      </c>
      <c r="Z380" t="s">
        <v>159</v>
      </c>
      <c r="AA380" t="s">
        <v>170</v>
      </c>
      <c r="AB380">
        <v>4.9000000000000004</v>
      </c>
      <c r="AC380">
        <v>120</v>
      </c>
      <c r="AD380">
        <v>1600</v>
      </c>
      <c r="AE380">
        <f t="shared" si="10"/>
        <v>1776</v>
      </c>
      <c r="AF380" t="str">
        <f t="shared" si="11"/>
        <v>2025-02</v>
      </c>
      <c r="AG380">
        <f>SUBTOTAL(103,A380)</f>
        <v>1</v>
      </c>
    </row>
    <row r="381" spans="1:33" x14ac:dyDescent="0.3">
      <c r="A381" t="s">
        <v>2991</v>
      </c>
      <c r="B381" s="13">
        <v>45710</v>
      </c>
      <c r="C381">
        <v>2025</v>
      </c>
      <c r="D381">
        <v>2</v>
      </c>
      <c r="E381" t="s">
        <v>2849</v>
      </c>
      <c r="F381" t="s">
        <v>2572</v>
      </c>
      <c r="G381" t="s">
        <v>2503</v>
      </c>
      <c r="H381" t="s">
        <v>2504</v>
      </c>
      <c r="I381" t="s">
        <v>85</v>
      </c>
      <c r="J381">
        <v>37</v>
      </c>
      <c r="K381" t="s">
        <v>82</v>
      </c>
      <c r="L381" t="s">
        <v>97</v>
      </c>
      <c r="M381" t="s">
        <v>57</v>
      </c>
      <c r="N381" t="s">
        <v>2590</v>
      </c>
      <c r="O381" t="s">
        <v>127</v>
      </c>
      <c r="P381" t="s">
        <v>51</v>
      </c>
      <c r="Q381" t="s">
        <v>148</v>
      </c>
      <c r="R381">
        <v>1</v>
      </c>
      <c r="S381">
        <v>1599</v>
      </c>
      <c r="T381">
        <v>0.05</v>
      </c>
      <c r="U381">
        <v>1519.05</v>
      </c>
      <c r="V381">
        <v>800</v>
      </c>
      <c r="W381">
        <v>719.05</v>
      </c>
      <c r="X381" t="s">
        <v>73</v>
      </c>
      <c r="Y381" t="s">
        <v>68</v>
      </c>
      <c r="Z381" t="s">
        <v>160</v>
      </c>
      <c r="AA381" t="s">
        <v>169</v>
      </c>
      <c r="AB381">
        <v>3.8</v>
      </c>
      <c r="AC381">
        <v>80</v>
      </c>
      <c r="AD381">
        <v>172.79</v>
      </c>
      <c r="AE381">
        <f t="shared" si="10"/>
        <v>466.26</v>
      </c>
      <c r="AF381" t="str">
        <f t="shared" si="11"/>
        <v>2025-02</v>
      </c>
      <c r="AG381">
        <f>SUBTOTAL(103,A381)</f>
        <v>1</v>
      </c>
    </row>
    <row r="382" spans="1:33" x14ac:dyDescent="0.3">
      <c r="A382" t="s">
        <v>2992</v>
      </c>
      <c r="B382" s="13">
        <v>45710</v>
      </c>
      <c r="C382">
        <v>2025</v>
      </c>
      <c r="D382">
        <v>2</v>
      </c>
      <c r="E382" t="s">
        <v>2849</v>
      </c>
      <c r="F382" t="s">
        <v>2572</v>
      </c>
      <c r="G382" t="s">
        <v>1391</v>
      </c>
      <c r="H382" t="s">
        <v>1392</v>
      </c>
      <c r="I382" t="s">
        <v>85</v>
      </c>
      <c r="J382">
        <v>28</v>
      </c>
      <c r="K382" t="s">
        <v>81</v>
      </c>
      <c r="L382" t="s">
        <v>92</v>
      </c>
      <c r="M382" t="s">
        <v>59</v>
      </c>
      <c r="N382" t="s">
        <v>2644</v>
      </c>
      <c r="O382" t="s">
        <v>126</v>
      </c>
      <c r="P382" t="s">
        <v>50</v>
      </c>
      <c r="Q382" t="s">
        <v>145</v>
      </c>
      <c r="R382">
        <v>4</v>
      </c>
      <c r="S382">
        <v>1799</v>
      </c>
      <c r="T382">
        <v>0</v>
      </c>
      <c r="U382">
        <v>7196</v>
      </c>
      <c r="V382">
        <v>3800</v>
      </c>
      <c r="W382">
        <v>3396</v>
      </c>
      <c r="X382" t="s">
        <v>73</v>
      </c>
      <c r="Y382" t="s">
        <v>68</v>
      </c>
      <c r="Z382" t="s">
        <v>159</v>
      </c>
      <c r="AA382" t="s">
        <v>167</v>
      </c>
      <c r="AB382">
        <v>3.7</v>
      </c>
      <c r="AC382">
        <v>80</v>
      </c>
      <c r="AD382">
        <v>178.33</v>
      </c>
      <c r="AE382">
        <f t="shared" si="10"/>
        <v>3137.67</v>
      </c>
      <c r="AF382" t="str">
        <f t="shared" si="11"/>
        <v>2025-02</v>
      </c>
      <c r="AG382">
        <f>SUBTOTAL(103,A382)</f>
        <v>1</v>
      </c>
    </row>
    <row r="383" spans="1:33" x14ac:dyDescent="0.3">
      <c r="A383" t="s">
        <v>2993</v>
      </c>
      <c r="B383" s="13">
        <v>45710</v>
      </c>
      <c r="C383">
        <v>2025</v>
      </c>
      <c r="D383">
        <v>2</v>
      </c>
      <c r="E383" t="s">
        <v>2849</v>
      </c>
      <c r="F383" t="s">
        <v>2572</v>
      </c>
      <c r="G383" t="s">
        <v>863</v>
      </c>
      <c r="H383" t="s">
        <v>864</v>
      </c>
      <c r="I383" t="s">
        <v>86</v>
      </c>
      <c r="J383">
        <v>38</v>
      </c>
      <c r="K383" t="s">
        <v>82</v>
      </c>
      <c r="L383" t="s">
        <v>2634</v>
      </c>
      <c r="M383" t="s">
        <v>56</v>
      </c>
      <c r="N383" t="s">
        <v>2592</v>
      </c>
      <c r="O383" t="s">
        <v>115</v>
      </c>
      <c r="P383" t="s">
        <v>48</v>
      </c>
      <c r="Q383" t="s">
        <v>137</v>
      </c>
      <c r="R383">
        <v>2</v>
      </c>
      <c r="S383">
        <v>12999</v>
      </c>
      <c r="T383">
        <v>0.05</v>
      </c>
      <c r="U383">
        <v>24698.1</v>
      </c>
      <c r="V383">
        <v>18000</v>
      </c>
      <c r="W383">
        <v>6698.1</v>
      </c>
      <c r="X383" t="s">
        <v>76</v>
      </c>
      <c r="Y383" t="s">
        <v>68</v>
      </c>
      <c r="Z383" t="s">
        <v>161</v>
      </c>
      <c r="AA383" t="s">
        <v>166</v>
      </c>
      <c r="AB383">
        <v>4</v>
      </c>
      <c r="AC383">
        <v>50</v>
      </c>
      <c r="AD383">
        <v>1085.31</v>
      </c>
      <c r="AE383">
        <f t="shared" si="10"/>
        <v>5562.7900000000009</v>
      </c>
      <c r="AF383" t="str">
        <f t="shared" si="11"/>
        <v>2025-02</v>
      </c>
      <c r="AG383">
        <f>SUBTOTAL(103,A383)</f>
        <v>1</v>
      </c>
    </row>
    <row r="384" spans="1:33" x14ac:dyDescent="0.3">
      <c r="A384" t="s">
        <v>2994</v>
      </c>
      <c r="B384" s="13">
        <v>45710</v>
      </c>
      <c r="C384">
        <v>2025</v>
      </c>
      <c r="D384">
        <v>2</v>
      </c>
      <c r="E384" t="s">
        <v>2849</v>
      </c>
      <c r="F384" t="s">
        <v>2572</v>
      </c>
      <c r="G384" t="s">
        <v>291</v>
      </c>
      <c r="H384" t="s">
        <v>292</v>
      </c>
      <c r="I384" t="s">
        <v>87</v>
      </c>
      <c r="J384">
        <v>21</v>
      </c>
      <c r="K384" t="s">
        <v>80</v>
      </c>
      <c r="L384" t="s">
        <v>98</v>
      </c>
      <c r="M384" t="s">
        <v>55</v>
      </c>
      <c r="N384" t="s">
        <v>2596</v>
      </c>
      <c r="O384" t="s">
        <v>124</v>
      </c>
      <c r="P384" t="s">
        <v>51</v>
      </c>
      <c r="Q384" t="s">
        <v>147</v>
      </c>
      <c r="R384">
        <v>4</v>
      </c>
      <c r="S384">
        <v>2299</v>
      </c>
      <c r="T384">
        <v>0.1</v>
      </c>
      <c r="U384">
        <v>8276.4</v>
      </c>
      <c r="V384">
        <v>4800</v>
      </c>
      <c r="W384">
        <v>3476.4</v>
      </c>
      <c r="X384" t="s">
        <v>75</v>
      </c>
      <c r="Y384" t="s">
        <v>68</v>
      </c>
      <c r="Z384" t="s">
        <v>162</v>
      </c>
      <c r="AA384" t="s">
        <v>171</v>
      </c>
      <c r="AB384">
        <v>3.6</v>
      </c>
      <c r="AC384">
        <v>60</v>
      </c>
      <c r="AD384">
        <v>728.55</v>
      </c>
      <c r="AE384">
        <f t="shared" si="10"/>
        <v>2687.8500000000004</v>
      </c>
      <c r="AF384" t="str">
        <f t="shared" si="11"/>
        <v>2025-02</v>
      </c>
      <c r="AG384">
        <f>SUBTOTAL(103,A384)</f>
        <v>1</v>
      </c>
    </row>
    <row r="385" spans="1:33" x14ac:dyDescent="0.3">
      <c r="A385" t="s">
        <v>2995</v>
      </c>
      <c r="B385" s="13">
        <v>45710</v>
      </c>
      <c r="C385">
        <v>2025</v>
      </c>
      <c r="D385">
        <v>2</v>
      </c>
      <c r="E385" t="s">
        <v>2849</v>
      </c>
      <c r="F385" t="s">
        <v>2572</v>
      </c>
      <c r="G385" t="s">
        <v>833</v>
      </c>
      <c r="H385" t="s">
        <v>834</v>
      </c>
      <c r="I385" t="s">
        <v>85</v>
      </c>
      <c r="J385">
        <v>30</v>
      </c>
      <c r="K385" t="s">
        <v>81</v>
      </c>
      <c r="L385" t="s">
        <v>2623</v>
      </c>
      <c r="M385" t="s">
        <v>61</v>
      </c>
      <c r="N385" t="s">
        <v>2657</v>
      </c>
      <c r="O385" t="s">
        <v>134</v>
      </c>
      <c r="P385" t="s">
        <v>49</v>
      </c>
      <c r="Q385" t="s">
        <v>140</v>
      </c>
      <c r="R385">
        <v>2</v>
      </c>
      <c r="S385">
        <v>599</v>
      </c>
      <c r="T385">
        <v>0.1</v>
      </c>
      <c r="U385">
        <v>1078.2</v>
      </c>
      <c r="V385">
        <v>500</v>
      </c>
      <c r="W385">
        <v>578.20000000000005</v>
      </c>
      <c r="X385" t="s">
        <v>77</v>
      </c>
      <c r="Y385" t="s">
        <v>68</v>
      </c>
      <c r="Z385" t="s">
        <v>162</v>
      </c>
      <c r="AA385" t="s">
        <v>166</v>
      </c>
      <c r="AB385">
        <v>3.2</v>
      </c>
      <c r="AC385">
        <v>50</v>
      </c>
      <c r="AD385">
        <v>111.26</v>
      </c>
      <c r="AE385">
        <f t="shared" si="10"/>
        <v>416.94000000000005</v>
      </c>
      <c r="AF385" t="str">
        <f t="shared" si="11"/>
        <v>2025-02</v>
      </c>
      <c r="AG385">
        <f>SUBTOTAL(103,A385)</f>
        <v>1</v>
      </c>
    </row>
    <row r="386" spans="1:33" x14ac:dyDescent="0.3">
      <c r="A386" t="s">
        <v>2996</v>
      </c>
      <c r="B386" s="13">
        <v>45711</v>
      </c>
      <c r="C386">
        <v>2025</v>
      </c>
      <c r="D386">
        <v>2</v>
      </c>
      <c r="E386" t="s">
        <v>2849</v>
      </c>
      <c r="F386" t="s">
        <v>2572</v>
      </c>
      <c r="G386" t="s">
        <v>1829</v>
      </c>
      <c r="H386" t="s">
        <v>1830</v>
      </c>
      <c r="I386" t="s">
        <v>85</v>
      </c>
      <c r="J386">
        <v>50</v>
      </c>
      <c r="K386" t="s">
        <v>83</v>
      </c>
      <c r="L386" t="s">
        <v>2674</v>
      </c>
      <c r="M386" t="s">
        <v>58</v>
      </c>
      <c r="N386" t="s">
        <v>2584</v>
      </c>
      <c r="O386" t="s">
        <v>121</v>
      </c>
      <c r="P386" t="s">
        <v>50</v>
      </c>
      <c r="Q386" t="s">
        <v>144</v>
      </c>
      <c r="R386">
        <v>1</v>
      </c>
      <c r="S386">
        <v>2999</v>
      </c>
      <c r="T386">
        <v>0.15</v>
      </c>
      <c r="U386">
        <v>2549.15</v>
      </c>
      <c r="V386">
        <v>1700</v>
      </c>
      <c r="W386">
        <v>849.15</v>
      </c>
      <c r="X386" t="s">
        <v>74</v>
      </c>
      <c r="Y386" t="s">
        <v>68</v>
      </c>
      <c r="Z386" t="s">
        <v>158</v>
      </c>
      <c r="AA386" t="s">
        <v>167</v>
      </c>
      <c r="AB386">
        <v>3.7</v>
      </c>
      <c r="AC386">
        <v>60</v>
      </c>
      <c r="AD386">
        <v>201.59</v>
      </c>
      <c r="AE386">
        <f t="shared" ref="AE386:AE449" si="12">W386-AC386-AD386</f>
        <v>587.55999999999995</v>
      </c>
      <c r="AF386" t="str">
        <f t="shared" ref="AF386:AF449" si="13">C386&amp;"-"&amp;TEXT(D386,"00")</f>
        <v>2025-02</v>
      </c>
      <c r="AG386">
        <f>SUBTOTAL(103,A386)</f>
        <v>1</v>
      </c>
    </row>
    <row r="387" spans="1:33" x14ac:dyDescent="0.3">
      <c r="A387" t="s">
        <v>2997</v>
      </c>
      <c r="B387" s="13">
        <v>45711</v>
      </c>
      <c r="C387">
        <v>2025</v>
      </c>
      <c r="D387">
        <v>2</v>
      </c>
      <c r="E387" t="s">
        <v>2849</v>
      </c>
      <c r="F387" t="s">
        <v>2572</v>
      </c>
      <c r="G387" t="s">
        <v>603</v>
      </c>
      <c r="H387" t="s">
        <v>604</v>
      </c>
      <c r="I387" t="s">
        <v>86</v>
      </c>
      <c r="J387">
        <v>47</v>
      </c>
      <c r="K387" t="s">
        <v>83</v>
      </c>
      <c r="L387" t="s">
        <v>92</v>
      </c>
      <c r="M387" t="s">
        <v>59</v>
      </c>
      <c r="N387" t="s">
        <v>2577</v>
      </c>
      <c r="O387" t="s">
        <v>129</v>
      </c>
      <c r="P387" t="s">
        <v>49</v>
      </c>
      <c r="Q387" t="s">
        <v>149</v>
      </c>
      <c r="R387">
        <v>2</v>
      </c>
      <c r="S387">
        <v>1299</v>
      </c>
      <c r="T387">
        <v>0.15</v>
      </c>
      <c r="U387">
        <v>2208.3000000000002</v>
      </c>
      <c r="V387">
        <v>1300</v>
      </c>
      <c r="W387">
        <v>908.3</v>
      </c>
      <c r="X387" t="s">
        <v>74</v>
      </c>
      <c r="Y387" t="s">
        <v>68</v>
      </c>
      <c r="Z387" t="s">
        <v>161</v>
      </c>
      <c r="AA387" t="s">
        <v>166</v>
      </c>
      <c r="AB387">
        <v>4</v>
      </c>
      <c r="AC387">
        <v>40</v>
      </c>
      <c r="AD387">
        <v>164.37</v>
      </c>
      <c r="AE387">
        <f t="shared" si="12"/>
        <v>703.93</v>
      </c>
      <c r="AF387" t="str">
        <f t="shared" si="13"/>
        <v>2025-02</v>
      </c>
      <c r="AG387">
        <f>SUBTOTAL(103,A387)</f>
        <v>1</v>
      </c>
    </row>
    <row r="388" spans="1:33" x14ac:dyDescent="0.3">
      <c r="A388" t="s">
        <v>2998</v>
      </c>
      <c r="B388" s="13">
        <v>45711</v>
      </c>
      <c r="C388">
        <v>2025</v>
      </c>
      <c r="D388">
        <v>2</v>
      </c>
      <c r="E388" t="s">
        <v>2849</v>
      </c>
      <c r="F388" t="s">
        <v>2572</v>
      </c>
      <c r="G388" t="s">
        <v>2291</v>
      </c>
      <c r="H388" t="s">
        <v>2292</v>
      </c>
      <c r="I388" t="s">
        <v>85</v>
      </c>
      <c r="J388">
        <v>21</v>
      </c>
      <c r="K388" t="s">
        <v>80</v>
      </c>
      <c r="L388" t="s">
        <v>2646</v>
      </c>
      <c r="M388" t="s">
        <v>63</v>
      </c>
      <c r="N388" t="s">
        <v>2626</v>
      </c>
      <c r="O388" t="s">
        <v>125</v>
      </c>
      <c r="P388" t="s">
        <v>48</v>
      </c>
      <c r="Q388" t="s">
        <v>141</v>
      </c>
      <c r="R388">
        <v>1</v>
      </c>
      <c r="S388">
        <v>1999</v>
      </c>
      <c r="T388">
        <v>0.15</v>
      </c>
      <c r="U388">
        <v>1699.15</v>
      </c>
      <c r="V388">
        <v>1150</v>
      </c>
      <c r="W388">
        <v>549.15</v>
      </c>
      <c r="X388" t="s">
        <v>74</v>
      </c>
      <c r="Y388" t="s">
        <v>68</v>
      </c>
      <c r="Z388" t="s">
        <v>158</v>
      </c>
      <c r="AA388" t="s">
        <v>166</v>
      </c>
      <c r="AB388">
        <v>4.5</v>
      </c>
      <c r="AC388">
        <v>50</v>
      </c>
      <c r="AD388">
        <v>139.33000000000001</v>
      </c>
      <c r="AE388">
        <f t="shared" si="12"/>
        <v>359.81999999999994</v>
      </c>
      <c r="AF388" t="str">
        <f t="shared" si="13"/>
        <v>2025-02</v>
      </c>
      <c r="AG388">
        <f>SUBTOTAL(103,A388)</f>
        <v>1</v>
      </c>
    </row>
    <row r="389" spans="1:33" x14ac:dyDescent="0.3">
      <c r="A389" t="s">
        <v>2999</v>
      </c>
      <c r="B389" s="13">
        <v>45711</v>
      </c>
      <c r="C389">
        <v>2025</v>
      </c>
      <c r="D389">
        <v>2</v>
      </c>
      <c r="E389" t="s">
        <v>2849</v>
      </c>
      <c r="F389" t="s">
        <v>2572</v>
      </c>
      <c r="G389" t="s">
        <v>869</v>
      </c>
      <c r="H389" t="s">
        <v>870</v>
      </c>
      <c r="I389" t="s">
        <v>86</v>
      </c>
      <c r="J389">
        <v>28</v>
      </c>
      <c r="K389" t="s">
        <v>81</v>
      </c>
      <c r="L389" t="s">
        <v>95</v>
      </c>
      <c r="M389" t="s">
        <v>56</v>
      </c>
      <c r="N389" t="s">
        <v>2584</v>
      </c>
      <c r="O389" t="s">
        <v>121</v>
      </c>
      <c r="P389" t="s">
        <v>50</v>
      </c>
      <c r="Q389" t="s">
        <v>144</v>
      </c>
      <c r="R389">
        <v>2</v>
      </c>
      <c r="S389">
        <v>2999</v>
      </c>
      <c r="T389">
        <v>0.2</v>
      </c>
      <c r="U389">
        <v>4798.3999999999996</v>
      </c>
      <c r="V389">
        <v>3400</v>
      </c>
      <c r="W389">
        <v>1398.4</v>
      </c>
      <c r="X389" t="s">
        <v>73</v>
      </c>
      <c r="Y389" t="s">
        <v>68</v>
      </c>
      <c r="Z389" t="s">
        <v>159</v>
      </c>
      <c r="AA389" t="s">
        <v>171</v>
      </c>
      <c r="AB389">
        <v>4.3</v>
      </c>
      <c r="AC389">
        <v>60</v>
      </c>
      <c r="AD389">
        <v>113.59</v>
      </c>
      <c r="AE389">
        <f t="shared" si="12"/>
        <v>1224.8100000000002</v>
      </c>
      <c r="AF389" t="str">
        <f t="shared" si="13"/>
        <v>2025-02</v>
      </c>
      <c r="AG389">
        <f>SUBTOTAL(103,A389)</f>
        <v>1</v>
      </c>
    </row>
    <row r="390" spans="1:33" x14ac:dyDescent="0.3">
      <c r="A390" t="s">
        <v>3000</v>
      </c>
      <c r="B390" s="13">
        <v>45711</v>
      </c>
      <c r="C390">
        <v>2025</v>
      </c>
      <c r="D390">
        <v>2</v>
      </c>
      <c r="E390" t="s">
        <v>2849</v>
      </c>
      <c r="F390" t="s">
        <v>2572</v>
      </c>
      <c r="G390" t="s">
        <v>1735</v>
      </c>
      <c r="H390" t="s">
        <v>1736</v>
      </c>
      <c r="I390" t="s">
        <v>86</v>
      </c>
      <c r="J390">
        <v>23</v>
      </c>
      <c r="K390" t="s">
        <v>80</v>
      </c>
      <c r="L390" t="s">
        <v>2637</v>
      </c>
      <c r="M390" t="s">
        <v>64</v>
      </c>
      <c r="N390" t="s">
        <v>2665</v>
      </c>
      <c r="O390" t="s">
        <v>128</v>
      </c>
      <c r="P390" t="s">
        <v>53</v>
      </c>
      <c r="Q390" t="s">
        <v>143</v>
      </c>
      <c r="R390">
        <v>2</v>
      </c>
      <c r="S390">
        <v>1499</v>
      </c>
      <c r="T390">
        <v>0</v>
      </c>
      <c r="U390">
        <v>2998</v>
      </c>
      <c r="V390">
        <v>1600</v>
      </c>
      <c r="W390">
        <v>1398</v>
      </c>
      <c r="X390" t="s">
        <v>75</v>
      </c>
      <c r="Y390" t="s">
        <v>68</v>
      </c>
      <c r="Z390" t="s">
        <v>159</v>
      </c>
      <c r="AA390" t="s">
        <v>170</v>
      </c>
      <c r="AB390">
        <v>3.7</v>
      </c>
      <c r="AC390">
        <v>80</v>
      </c>
      <c r="AD390">
        <v>331.45</v>
      </c>
      <c r="AE390">
        <f t="shared" si="12"/>
        <v>986.55</v>
      </c>
      <c r="AF390" t="str">
        <f t="shared" si="13"/>
        <v>2025-02</v>
      </c>
      <c r="AG390">
        <f>SUBTOTAL(103,A390)</f>
        <v>1</v>
      </c>
    </row>
    <row r="391" spans="1:33" x14ac:dyDescent="0.3">
      <c r="A391" t="s">
        <v>3001</v>
      </c>
      <c r="B391" s="13">
        <v>45711</v>
      </c>
      <c r="C391">
        <v>2025</v>
      </c>
      <c r="D391">
        <v>2</v>
      </c>
      <c r="E391" t="s">
        <v>2849</v>
      </c>
      <c r="F391" t="s">
        <v>2572</v>
      </c>
      <c r="G391" t="s">
        <v>2489</v>
      </c>
      <c r="H391" t="s">
        <v>2490</v>
      </c>
      <c r="I391" t="s">
        <v>85</v>
      </c>
      <c r="J391">
        <v>28</v>
      </c>
      <c r="K391" t="s">
        <v>81</v>
      </c>
      <c r="L391" t="s">
        <v>90</v>
      </c>
      <c r="M391" t="s">
        <v>55</v>
      </c>
      <c r="N391" t="s">
        <v>2594</v>
      </c>
      <c r="O391" t="s">
        <v>131</v>
      </c>
      <c r="P391" t="s">
        <v>53</v>
      </c>
      <c r="Q391" t="s">
        <v>143</v>
      </c>
      <c r="R391">
        <v>1</v>
      </c>
      <c r="S391">
        <v>999</v>
      </c>
      <c r="T391">
        <v>0.05</v>
      </c>
      <c r="U391">
        <v>0</v>
      </c>
      <c r="V391">
        <v>0</v>
      </c>
      <c r="W391">
        <v>0</v>
      </c>
      <c r="X391" t="s">
        <v>73</v>
      </c>
      <c r="Y391" t="s">
        <v>71</v>
      </c>
      <c r="Z391" t="s">
        <v>163</v>
      </c>
      <c r="AA391" t="s">
        <v>166</v>
      </c>
      <c r="AB391">
        <v>3.7</v>
      </c>
      <c r="AC391">
        <v>80</v>
      </c>
      <c r="AD391">
        <v>95.87</v>
      </c>
      <c r="AE391">
        <f t="shared" si="12"/>
        <v>-175.87</v>
      </c>
      <c r="AF391" t="str">
        <f t="shared" si="13"/>
        <v>2025-02</v>
      </c>
      <c r="AG391">
        <f>SUBTOTAL(103,A391)</f>
        <v>1</v>
      </c>
    </row>
    <row r="392" spans="1:33" x14ac:dyDescent="0.3">
      <c r="A392" t="s">
        <v>3002</v>
      </c>
      <c r="B392" s="13">
        <v>45712</v>
      </c>
      <c r="C392">
        <v>2025</v>
      </c>
      <c r="D392">
        <v>2</v>
      </c>
      <c r="E392" t="s">
        <v>2849</v>
      </c>
      <c r="F392" t="s">
        <v>2572</v>
      </c>
      <c r="G392" t="s">
        <v>2353</v>
      </c>
      <c r="H392" t="s">
        <v>2354</v>
      </c>
      <c r="I392" t="s">
        <v>85</v>
      </c>
      <c r="J392">
        <v>37</v>
      </c>
      <c r="K392" t="s">
        <v>82</v>
      </c>
      <c r="L392" t="s">
        <v>2586</v>
      </c>
      <c r="M392" t="s">
        <v>62</v>
      </c>
      <c r="N392" t="s">
        <v>2590</v>
      </c>
      <c r="O392" t="s">
        <v>127</v>
      </c>
      <c r="P392" t="s">
        <v>51</v>
      </c>
      <c r="Q392" t="s">
        <v>148</v>
      </c>
      <c r="R392">
        <v>1</v>
      </c>
      <c r="S392">
        <v>1599</v>
      </c>
      <c r="T392">
        <v>0</v>
      </c>
      <c r="U392">
        <v>1599</v>
      </c>
      <c r="V392">
        <v>800</v>
      </c>
      <c r="W392">
        <v>799</v>
      </c>
      <c r="X392" t="s">
        <v>75</v>
      </c>
      <c r="Y392" t="s">
        <v>69</v>
      </c>
      <c r="Z392" t="s">
        <v>162</v>
      </c>
      <c r="AA392" t="s">
        <v>166</v>
      </c>
      <c r="AB392">
        <v>5</v>
      </c>
      <c r="AC392">
        <v>80</v>
      </c>
      <c r="AD392">
        <v>154.91999999999999</v>
      </c>
      <c r="AE392">
        <f t="shared" si="12"/>
        <v>564.08000000000004</v>
      </c>
      <c r="AF392" t="str">
        <f t="shared" si="13"/>
        <v>2025-02</v>
      </c>
      <c r="AG392">
        <f>SUBTOTAL(103,A392)</f>
        <v>1</v>
      </c>
    </row>
    <row r="393" spans="1:33" x14ac:dyDescent="0.3">
      <c r="A393" t="s">
        <v>3003</v>
      </c>
      <c r="B393" s="13">
        <v>45712</v>
      </c>
      <c r="C393">
        <v>2025</v>
      </c>
      <c r="D393">
        <v>2</v>
      </c>
      <c r="E393" t="s">
        <v>2849</v>
      </c>
      <c r="F393" t="s">
        <v>2572</v>
      </c>
      <c r="G393" t="s">
        <v>915</v>
      </c>
      <c r="H393" t="s">
        <v>916</v>
      </c>
      <c r="I393" t="s">
        <v>85</v>
      </c>
      <c r="J393">
        <v>20</v>
      </c>
      <c r="K393" t="s">
        <v>80</v>
      </c>
      <c r="L393" t="s">
        <v>2634</v>
      </c>
      <c r="M393" t="s">
        <v>56</v>
      </c>
      <c r="N393" t="s">
        <v>2582</v>
      </c>
      <c r="O393" t="s">
        <v>119</v>
      </c>
      <c r="P393" t="s">
        <v>49</v>
      </c>
      <c r="Q393" t="s">
        <v>140</v>
      </c>
      <c r="R393">
        <v>1</v>
      </c>
      <c r="S393">
        <v>3499</v>
      </c>
      <c r="T393">
        <v>0.05</v>
      </c>
      <c r="U393">
        <v>3324.05</v>
      </c>
      <c r="V393">
        <v>2100</v>
      </c>
      <c r="W393">
        <v>1224.05</v>
      </c>
      <c r="X393" t="s">
        <v>77</v>
      </c>
      <c r="Y393" t="s">
        <v>68</v>
      </c>
      <c r="Z393" t="s">
        <v>163</v>
      </c>
      <c r="AA393" t="s">
        <v>166</v>
      </c>
      <c r="AB393">
        <v>3.6</v>
      </c>
      <c r="AC393">
        <v>60</v>
      </c>
      <c r="AD393">
        <v>195.57</v>
      </c>
      <c r="AE393">
        <f t="shared" si="12"/>
        <v>968.48</v>
      </c>
      <c r="AF393" t="str">
        <f t="shared" si="13"/>
        <v>2025-02</v>
      </c>
      <c r="AG393">
        <f>SUBTOTAL(103,A393)</f>
        <v>1</v>
      </c>
    </row>
    <row r="394" spans="1:33" x14ac:dyDescent="0.3">
      <c r="A394" t="s">
        <v>3004</v>
      </c>
      <c r="B394" s="13">
        <v>45712</v>
      </c>
      <c r="C394">
        <v>2025</v>
      </c>
      <c r="D394">
        <v>2</v>
      </c>
      <c r="E394" t="s">
        <v>2849</v>
      </c>
      <c r="F394" t="s">
        <v>2572</v>
      </c>
      <c r="G394" t="s">
        <v>2045</v>
      </c>
      <c r="H394" t="s">
        <v>2046</v>
      </c>
      <c r="I394" t="s">
        <v>86</v>
      </c>
      <c r="J394">
        <v>57</v>
      </c>
      <c r="K394" t="s">
        <v>83</v>
      </c>
      <c r="L394" t="s">
        <v>2661</v>
      </c>
      <c r="M394" t="s">
        <v>58</v>
      </c>
      <c r="N394" t="s">
        <v>2647</v>
      </c>
      <c r="O394" t="s">
        <v>133</v>
      </c>
      <c r="P394" t="s">
        <v>50</v>
      </c>
      <c r="Q394" t="s">
        <v>145</v>
      </c>
      <c r="R394">
        <v>1</v>
      </c>
      <c r="S394">
        <v>799</v>
      </c>
      <c r="T394">
        <v>0.15</v>
      </c>
      <c r="U394">
        <v>679.15</v>
      </c>
      <c r="V394">
        <v>390</v>
      </c>
      <c r="W394">
        <v>289.14999999999998</v>
      </c>
      <c r="X394" t="s">
        <v>76</v>
      </c>
      <c r="Y394" t="s">
        <v>68</v>
      </c>
      <c r="Z394" t="s">
        <v>160</v>
      </c>
      <c r="AA394" t="s">
        <v>171</v>
      </c>
      <c r="AB394">
        <v>4</v>
      </c>
      <c r="AC394">
        <v>40</v>
      </c>
      <c r="AD394">
        <v>45.72</v>
      </c>
      <c r="AE394">
        <f t="shared" si="12"/>
        <v>203.42999999999998</v>
      </c>
      <c r="AF394" t="str">
        <f t="shared" si="13"/>
        <v>2025-02</v>
      </c>
      <c r="AG394">
        <f>SUBTOTAL(103,A394)</f>
        <v>1</v>
      </c>
    </row>
    <row r="395" spans="1:33" x14ac:dyDescent="0.3">
      <c r="A395" t="s">
        <v>3005</v>
      </c>
      <c r="B395" s="13">
        <v>45712</v>
      </c>
      <c r="C395">
        <v>2025</v>
      </c>
      <c r="D395">
        <v>2</v>
      </c>
      <c r="E395" t="s">
        <v>2849</v>
      </c>
      <c r="F395" t="s">
        <v>2572</v>
      </c>
      <c r="G395" t="s">
        <v>1209</v>
      </c>
      <c r="H395" t="s">
        <v>1210</v>
      </c>
      <c r="I395" t="s">
        <v>85</v>
      </c>
      <c r="J395">
        <v>32</v>
      </c>
      <c r="K395" t="s">
        <v>81</v>
      </c>
      <c r="L395" t="s">
        <v>99</v>
      </c>
      <c r="M395" t="s">
        <v>58</v>
      </c>
      <c r="N395" t="s">
        <v>2582</v>
      </c>
      <c r="O395" t="s">
        <v>119</v>
      </c>
      <c r="P395" t="s">
        <v>49</v>
      </c>
      <c r="Q395" t="s">
        <v>140</v>
      </c>
      <c r="R395">
        <v>2</v>
      </c>
      <c r="S395">
        <v>3499</v>
      </c>
      <c r="T395">
        <v>0.1</v>
      </c>
      <c r="U395">
        <v>0</v>
      </c>
      <c r="V395">
        <v>0</v>
      </c>
      <c r="W395">
        <v>0</v>
      </c>
      <c r="X395" t="s">
        <v>75</v>
      </c>
      <c r="Y395" t="s">
        <v>71</v>
      </c>
      <c r="Z395" t="s">
        <v>158</v>
      </c>
      <c r="AA395" t="s">
        <v>166</v>
      </c>
      <c r="AB395">
        <v>4.9000000000000004</v>
      </c>
      <c r="AC395">
        <v>50</v>
      </c>
      <c r="AD395">
        <v>456.3</v>
      </c>
      <c r="AE395">
        <f t="shared" si="12"/>
        <v>-506.3</v>
      </c>
      <c r="AF395" t="str">
        <f t="shared" si="13"/>
        <v>2025-02</v>
      </c>
      <c r="AG395">
        <f>SUBTOTAL(103,A395)</f>
        <v>1</v>
      </c>
    </row>
    <row r="396" spans="1:33" x14ac:dyDescent="0.3">
      <c r="A396" t="s">
        <v>3006</v>
      </c>
      <c r="B396" s="13">
        <v>45712</v>
      </c>
      <c r="C396">
        <v>2025</v>
      </c>
      <c r="D396">
        <v>2</v>
      </c>
      <c r="E396" t="s">
        <v>2849</v>
      </c>
      <c r="F396" t="s">
        <v>2572</v>
      </c>
      <c r="G396" t="s">
        <v>881</v>
      </c>
      <c r="H396" t="s">
        <v>882</v>
      </c>
      <c r="I396" t="s">
        <v>86</v>
      </c>
      <c r="J396">
        <v>47</v>
      </c>
      <c r="K396" t="s">
        <v>83</v>
      </c>
      <c r="L396" t="s">
        <v>2679</v>
      </c>
      <c r="M396" t="s">
        <v>60</v>
      </c>
      <c r="N396" t="s">
        <v>2644</v>
      </c>
      <c r="O396" t="s">
        <v>126</v>
      </c>
      <c r="P396" t="s">
        <v>50</v>
      </c>
      <c r="Q396" t="s">
        <v>145</v>
      </c>
      <c r="R396">
        <v>4</v>
      </c>
      <c r="S396">
        <v>1799</v>
      </c>
      <c r="T396">
        <v>0.05</v>
      </c>
      <c r="U396">
        <v>6836.2</v>
      </c>
      <c r="V396">
        <v>3800</v>
      </c>
      <c r="W396">
        <v>3036.2</v>
      </c>
      <c r="X396" t="s">
        <v>77</v>
      </c>
      <c r="Y396" t="s">
        <v>69</v>
      </c>
      <c r="Z396" t="s">
        <v>158</v>
      </c>
      <c r="AA396" t="s">
        <v>170</v>
      </c>
      <c r="AB396">
        <v>4.5</v>
      </c>
      <c r="AC396">
        <v>40</v>
      </c>
      <c r="AD396">
        <v>388.91</v>
      </c>
      <c r="AE396">
        <f t="shared" si="12"/>
        <v>2607.29</v>
      </c>
      <c r="AF396" t="str">
        <f t="shared" si="13"/>
        <v>2025-02</v>
      </c>
      <c r="AG396">
        <f>SUBTOTAL(103,A396)</f>
        <v>1</v>
      </c>
    </row>
    <row r="397" spans="1:33" x14ac:dyDescent="0.3">
      <c r="A397" t="s">
        <v>3007</v>
      </c>
      <c r="B397" s="13">
        <v>45712</v>
      </c>
      <c r="C397">
        <v>2025</v>
      </c>
      <c r="D397">
        <v>2</v>
      </c>
      <c r="E397" t="s">
        <v>2849</v>
      </c>
      <c r="F397" t="s">
        <v>2572</v>
      </c>
      <c r="G397" t="s">
        <v>231</v>
      </c>
      <c r="H397" t="s">
        <v>232</v>
      </c>
      <c r="I397" t="s">
        <v>85</v>
      </c>
      <c r="J397">
        <v>59</v>
      </c>
      <c r="K397" t="s">
        <v>83</v>
      </c>
      <c r="L397" t="s">
        <v>93</v>
      </c>
      <c r="M397" t="s">
        <v>55</v>
      </c>
      <c r="N397" t="s">
        <v>2587</v>
      </c>
      <c r="O397" t="s">
        <v>116</v>
      </c>
      <c r="P397" t="s">
        <v>48</v>
      </c>
      <c r="Q397" t="s">
        <v>138</v>
      </c>
      <c r="R397">
        <v>1</v>
      </c>
      <c r="S397">
        <v>14999</v>
      </c>
      <c r="T397">
        <v>0</v>
      </c>
      <c r="U397">
        <v>14999</v>
      </c>
      <c r="V397">
        <v>11200</v>
      </c>
      <c r="W397">
        <v>3799</v>
      </c>
      <c r="X397" t="s">
        <v>73</v>
      </c>
      <c r="Y397" t="s">
        <v>68</v>
      </c>
      <c r="Z397" t="s">
        <v>158</v>
      </c>
      <c r="AA397" t="s">
        <v>169</v>
      </c>
      <c r="AB397">
        <v>3.9</v>
      </c>
      <c r="AC397">
        <v>60</v>
      </c>
      <c r="AD397">
        <v>1645.85</v>
      </c>
      <c r="AE397">
        <f t="shared" si="12"/>
        <v>2093.15</v>
      </c>
      <c r="AF397" t="str">
        <f t="shared" si="13"/>
        <v>2025-02</v>
      </c>
      <c r="AG397">
        <f>SUBTOTAL(103,A397)</f>
        <v>1</v>
      </c>
    </row>
    <row r="398" spans="1:33" x14ac:dyDescent="0.3">
      <c r="A398" t="s">
        <v>3008</v>
      </c>
      <c r="B398" s="13">
        <v>45713</v>
      </c>
      <c r="C398">
        <v>2025</v>
      </c>
      <c r="D398">
        <v>2</v>
      </c>
      <c r="E398" t="s">
        <v>2849</v>
      </c>
      <c r="F398" t="s">
        <v>2572</v>
      </c>
      <c r="G398" t="s">
        <v>1287</v>
      </c>
      <c r="H398" t="s">
        <v>1288</v>
      </c>
      <c r="I398" t="s">
        <v>86</v>
      </c>
      <c r="J398">
        <v>19</v>
      </c>
      <c r="K398" t="s">
        <v>80</v>
      </c>
      <c r="L398" t="s">
        <v>94</v>
      </c>
      <c r="M398" t="s">
        <v>57</v>
      </c>
      <c r="N398" t="s">
        <v>2647</v>
      </c>
      <c r="O398" t="s">
        <v>133</v>
      </c>
      <c r="P398" t="s">
        <v>50</v>
      </c>
      <c r="Q398" t="s">
        <v>145</v>
      </c>
      <c r="R398">
        <v>2</v>
      </c>
      <c r="S398">
        <v>799</v>
      </c>
      <c r="T398">
        <v>0</v>
      </c>
      <c r="U398">
        <v>1598</v>
      </c>
      <c r="V398">
        <v>780</v>
      </c>
      <c r="W398">
        <v>818</v>
      </c>
      <c r="X398" t="s">
        <v>74</v>
      </c>
      <c r="Y398" t="s">
        <v>68</v>
      </c>
      <c r="Z398" t="s">
        <v>158</v>
      </c>
      <c r="AA398" t="s">
        <v>169</v>
      </c>
      <c r="AB398">
        <v>4.5</v>
      </c>
      <c r="AC398">
        <v>50</v>
      </c>
      <c r="AD398">
        <v>33.58</v>
      </c>
      <c r="AE398">
        <f t="shared" si="12"/>
        <v>734.42</v>
      </c>
      <c r="AF398" t="str">
        <f t="shared" si="13"/>
        <v>2025-02</v>
      </c>
      <c r="AG398">
        <f>SUBTOTAL(103,A398)</f>
        <v>1</v>
      </c>
    </row>
    <row r="399" spans="1:33" x14ac:dyDescent="0.3">
      <c r="A399" t="s">
        <v>3009</v>
      </c>
      <c r="B399" s="13">
        <v>45713</v>
      </c>
      <c r="C399">
        <v>2025</v>
      </c>
      <c r="D399">
        <v>2</v>
      </c>
      <c r="E399" t="s">
        <v>2849</v>
      </c>
      <c r="F399" t="s">
        <v>2572</v>
      </c>
      <c r="G399" t="s">
        <v>275</v>
      </c>
      <c r="H399" t="s">
        <v>276</v>
      </c>
      <c r="I399" t="s">
        <v>86</v>
      </c>
      <c r="J399">
        <v>29</v>
      </c>
      <c r="K399" t="s">
        <v>81</v>
      </c>
      <c r="L399" t="s">
        <v>97</v>
      </c>
      <c r="M399" t="s">
        <v>57</v>
      </c>
      <c r="N399" t="s">
        <v>2644</v>
      </c>
      <c r="O399" t="s">
        <v>126</v>
      </c>
      <c r="P399" t="s">
        <v>50</v>
      </c>
      <c r="Q399" t="s">
        <v>145</v>
      </c>
      <c r="R399">
        <v>3</v>
      </c>
      <c r="S399">
        <v>1799</v>
      </c>
      <c r="T399">
        <v>0</v>
      </c>
      <c r="U399">
        <v>5397</v>
      </c>
      <c r="V399">
        <v>2850</v>
      </c>
      <c r="W399">
        <v>2547</v>
      </c>
      <c r="X399" t="s">
        <v>74</v>
      </c>
      <c r="Y399" t="s">
        <v>69</v>
      </c>
      <c r="Z399" t="s">
        <v>158</v>
      </c>
      <c r="AA399" t="s">
        <v>166</v>
      </c>
      <c r="AB399">
        <v>4.2</v>
      </c>
      <c r="AC399">
        <v>100</v>
      </c>
      <c r="AD399">
        <v>195.62</v>
      </c>
      <c r="AE399">
        <f t="shared" si="12"/>
        <v>2251.38</v>
      </c>
      <c r="AF399" t="str">
        <f t="shared" si="13"/>
        <v>2025-02</v>
      </c>
      <c r="AG399">
        <f>SUBTOTAL(103,A399)</f>
        <v>1</v>
      </c>
    </row>
    <row r="400" spans="1:33" x14ac:dyDescent="0.3">
      <c r="A400" t="s">
        <v>3010</v>
      </c>
      <c r="B400" s="13">
        <v>45713</v>
      </c>
      <c r="C400">
        <v>2025</v>
      </c>
      <c r="D400">
        <v>2</v>
      </c>
      <c r="E400" t="s">
        <v>2849</v>
      </c>
      <c r="F400" t="s">
        <v>2572</v>
      </c>
      <c r="G400" t="s">
        <v>453</v>
      </c>
      <c r="H400" t="s">
        <v>454</v>
      </c>
      <c r="I400" t="s">
        <v>85</v>
      </c>
      <c r="J400">
        <v>35</v>
      </c>
      <c r="K400" t="s">
        <v>81</v>
      </c>
      <c r="L400" t="s">
        <v>59</v>
      </c>
      <c r="M400" t="s">
        <v>59</v>
      </c>
      <c r="N400" t="s">
        <v>2587</v>
      </c>
      <c r="O400" t="s">
        <v>116</v>
      </c>
      <c r="P400" t="s">
        <v>48</v>
      </c>
      <c r="Q400" t="s">
        <v>138</v>
      </c>
      <c r="R400">
        <v>3</v>
      </c>
      <c r="S400">
        <v>14999</v>
      </c>
      <c r="T400">
        <v>0.05</v>
      </c>
      <c r="U400">
        <v>42747.15</v>
      </c>
      <c r="V400">
        <v>33600</v>
      </c>
      <c r="W400">
        <v>9147.15</v>
      </c>
      <c r="X400" t="s">
        <v>74</v>
      </c>
      <c r="Y400" t="s">
        <v>68</v>
      </c>
      <c r="Z400" t="s">
        <v>163</v>
      </c>
      <c r="AA400" t="s">
        <v>171</v>
      </c>
      <c r="AB400">
        <v>5</v>
      </c>
      <c r="AC400">
        <v>100</v>
      </c>
      <c r="AD400">
        <v>4454.13</v>
      </c>
      <c r="AE400">
        <f t="shared" si="12"/>
        <v>4593.0199999999995</v>
      </c>
      <c r="AF400" t="str">
        <f t="shared" si="13"/>
        <v>2025-02</v>
      </c>
      <c r="AG400">
        <f>SUBTOTAL(103,A400)</f>
        <v>1</v>
      </c>
    </row>
    <row r="401" spans="1:33" x14ac:dyDescent="0.3">
      <c r="A401" t="s">
        <v>3011</v>
      </c>
      <c r="B401" s="13">
        <v>45713</v>
      </c>
      <c r="C401">
        <v>2025</v>
      </c>
      <c r="D401">
        <v>2</v>
      </c>
      <c r="E401" t="s">
        <v>2849</v>
      </c>
      <c r="F401" t="s">
        <v>2572</v>
      </c>
      <c r="G401" t="s">
        <v>1205</v>
      </c>
      <c r="H401" t="s">
        <v>1206</v>
      </c>
      <c r="I401" t="s">
        <v>86</v>
      </c>
      <c r="J401">
        <v>39</v>
      </c>
      <c r="K401" t="s">
        <v>82</v>
      </c>
      <c r="L401" t="s">
        <v>93</v>
      </c>
      <c r="M401" t="s">
        <v>55</v>
      </c>
      <c r="N401" t="s">
        <v>2577</v>
      </c>
      <c r="O401" t="s">
        <v>129</v>
      </c>
      <c r="P401" t="s">
        <v>49</v>
      </c>
      <c r="Q401" t="s">
        <v>149</v>
      </c>
      <c r="R401">
        <v>2</v>
      </c>
      <c r="S401">
        <v>1299</v>
      </c>
      <c r="T401">
        <v>0</v>
      </c>
      <c r="U401">
        <v>0</v>
      </c>
      <c r="V401">
        <v>0</v>
      </c>
      <c r="W401">
        <v>0</v>
      </c>
      <c r="X401" t="s">
        <v>73</v>
      </c>
      <c r="Y401" t="s">
        <v>71</v>
      </c>
      <c r="Z401" t="s">
        <v>159</v>
      </c>
      <c r="AA401" t="s">
        <v>168</v>
      </c>
      <c r="AB401">
        <v>4.7</v>
      </c>
      <c r="AC401">
        <v>80</v>
      </c>
      <c r="AD401">
        <v>275.37</v>
      </c>
      <c r="AE401">
        <f t="shared" si="12"/>
        <v>-355.37</v>
      </c>
      <c r="AF401" t="str">
        <f t="shared" si="13"/>
        <v>2025-02</v>
      </c>
      <c r="AG401">
        <f>SUBTOTAL(103,A401)</f>
        <v>1</v>
      </c>
    </row>
    <row r="402" spans="1:33" x14ac:dyDescent="0.3">
      <c r="A402" t="s">
        <v>3012</v>
      </c>
      <c r="B402" s="13">
        <v>45713</v>
      </c>
      <c r="C402">
        <v>2025</v>
      </c>
      <c r="D402">
        <v>2</v>
      </c>
      <c r="E402" t="s">
        <v>2849</v>
      </c>
      <c r="F402" t="s">
        <v>2572</v>
      </c>
      <c r="G402" t="s">
        <v>1521</v>
      </c>
      <c r="H402" t="s">
        <v>1522</v>
      </c>
      <c r="I402" t="s">
        <v>85</v>
      </c>
      <c r="J402">
        <v>34</v>
      </c>
      <c r="K402" t="s">
        <v>81</v>
      </c>
      <c r="L402" t="s">
        <v>2589</v>
      </c>
      <c r="M402" t="s">
        <v>61</v>
      </c>
      <c r="N402" t="s">
        <v>2665</v>
      </c>
      <c r="O402" t="s">
        <v>128</v>
      </c>
      <c r="P402" t="s">
        <v>53</v>
      </c>
      <c r="Q402" t="s">
        <v>143</v>
      </c>
      <c r="R402">
        <v>5</v>
      </c>
      <c r="S402">
        <v>1499</v>
      </c>
      <c r="T402">
        <v>0.1</v>
      </c>
      <c r="U402">
        <v>6745.5</v>
      </c>
      <c r="V402">
        <v>4000</v>
      </c>
      <c r="W402">
        <v>2745.5</v>
      </c>
      <c r="X402" t="s">
        <v>73</v>
      </c>
      <c r="Y402" t="s">
        <v>68</v>
      </c>
      <c r="Z402" t="s">
        <v>160</v>
      </c>
      <c r="AA402" t="s">
        <v>166</v>
      </c>
      <c r="AB402">
        <v>3.3</v>
      </c>
      <c r="AC402">
        <v>80</v>
      </c>
      <c r="AD402">
        <v>538.54</v>
      </c>
      <c r="AE402">
        <f t="shared" si="12"/>
        <v>2126.96</v>
      </c>
      <c r="AF402" t="str">
        <f t="shared" si="13"/>
        <v>2025-02</v>
      </c>
      <c r="AG402">
        <f>SUBTOTAL(103,A402)</f>
        <v>1</v>
      </c>
    </row>
    <row r="403" spans="1:33" x14ac:dyDescent="0.3">
      <c r="A403" t="s">
        <v>3013</v>
      </c>
      <c r="B403" s="13">
        <v>45713</v>
      </c>
      <c r="C403">
        <v>2025</v>
      </c>
      <c r="D403">
        <v>2</v>
      </c>
      <c r="E403" t="s">
        <v>2849</v>
      </c>
      <c r="F403" t="s">
        <v>2572</v>
      </c>
      <c r="G403" t="s">
        <v>2523</v>
      </c>
      <c r="H403" t="s">
        <v>2524</v>
      </c>
      <c r="I403" t="s">
        <v>85</v>
      </c>
      <c r="J403">
        <v>54</v>
      </c>
      <c r="K403" t="s">
        <v>83</v>
      </c>
      <c r="L403" t="s">
        <v>98</v>
      </c>
      <c r="M403" t="s">
        <v>55</v>
      </c>
      <c r="N403" t="s">
        <v>2577</v>
      </c>
      <c r="O403" t="s">
        <v>129</v>
      </c>
      <c r="P403" t="s">
        <v>49</v>
      </c>
      <c r="Q403" t="s">
        <v>149</v>
      </c>
      <c r="R403">
        <v>1</v>
      </c>
      <c r="S403">
        <v>1299</v>
      </c>
      <c r="T403">
        <v>0.15</v>
      </c>
      <c r="U403">
        <v>1104.1500000000001</v>
      </c>
      <c r="V403">
        <v>650</v>
      </c>
      <c r="W403">
        <v>454.15</v>
      </c>
      <c r="X403" t="s">
        <v>77</v>
      </c>
      <c r="Y403" t="s">
        <v>68</v>
      </c>
      <c r="Z403" t="s">
        <v>158</v>
      </c>
      <c r="AA403" t="s">
        <v>167</v>
      </c>
      <c r="AB403">
        <v>4.8</v>
      </c>
      <c r="AC403">
        <v>80</v>
      </c>
      <c r="AD403">
        <v>93.24</v>
      </c>
      <c r="AE403">
        <f t="shared" si="12"/>
        <v>280.90999999999997</v>
      </c>
      <c r="AF403" t="str">
        <f t="shared" si="13"/>
        <v>2025-02</v>
      </c>
      <c r="AG403">
        <f>SUBTOTAL(103,A403)</f>
        <v>1</v>
      </c>
    </row>
    <row r="404" spans="1:33" x14ac:dyDescent="0.3">
      <c r="A404" t="s">
        <v>3014</v>
      </c>
      <c r="B404" s="13">
        <v>45713</v>
      </c>
      <c r="C404">
        <v>2025</v>
      </c>
      <c r="D404">
        <v>2</v>
      </c>
      <c r="E404" t="s">
        <v>2849</v>
      </c>
      <c r="F404" t="s">
        <v>2572</v>
      </c>
      <c r="G404" t="s">
        <v>833</v>
      </c>
      <c r="H404" t="s">
        <v>834</v>
      </c>
      <c r="I404" t="s">
        <v>85</v>
      </c>
      <c r="J404">
        <v>30</v>
      </c>
      <c r="K404" t="s">
        <v>81</v>
      </c>
      <c r="L404" t="s">
        <v>2623</v>
      </c>
      <c r="M404" t="s">
        <v>61</v>
      </c>
      <c r="N404" t="s">
        <v>2601</v>
      </c>
      <c r="O404" t="s">
        <v>117</v>
      </c>
      <c r="P404" t="s">
        <v>49</v>
      </c>
      <c r="Q404" t="s">
        <v>139</v>
      </c>
      <c r="R404">
        <v>2</v>
      </c>
      <c r="S404">
        <v>6999</v>
      </c>
      <c r="T404">
        <v>0.05</v>
      </c>
      <c r="U404">
        <v>13298.1</v>
      </c>
      <c r="V404">
        <v>8600</v>
      </c>
      <c r="W404">
        <v>4698.1000000000004</v>
      </c>
      <c r="X404" t="s">
        <v>75</v>
      </c>
      <c r="Y404" t="s">
        <v>68</v>
      </c>
      <c r="Z404" t="s">
        <v>161</v>
      </c>
      <c r="AA404" t="s">
        <v>168</v>
      </c>
      <c r="AB404">
        <v>4</v>
      </c>
      <c r="AC404">
        <v>80</v>
      </c>
      <c r="AD404">
        <v>1133.96</v>
      </c>
      <c r="AE404">
        <f t="shared" si="12"/>
        <v>3484.1400000000003</v>
      </c>
      <c r="AF404" t="str">
        <f t="shared" si="13"/>
        <v>2025-02</v>
      </c>
      <c r="AG404">
        <f>SUBTOTAL(103,A404)</f>
        <v>1</v>
      </c>
    </row>
    <row r="405" spans="1:33" x14ac:dyDescent="0.3">
      <c r="A405" t="s">
        <v>3015</v>
      </c>
      <c r="B405" s="13">
        <v>45713</v>
      </c>
      <c r="C405">
        <v>2025</v>
      </c>
      <c r="D405">
        <v>2</v>
      </c>
      <c r="E405" t="s">
        <v>2849</v>
      </c>
      <c r="F405" t="s">
        <v>2572</v>
      </c>
      <c r="G405" t="s">
        <v>923</v>
      </c>
      <c r="H405" t="s">
        <v>924</v>
      </c>
      <c r="I405" t="s">
        <v>86</v>
      </c>
      <c r="J405">
        <v>53</v>
      </c>
      <c r="K405" t="s">
        <v>83</v>
      </c>
      <c r="L405" t="s">
        <v>2605</v>
      </c>
      <c r="M405" t="s">
        <v>60</v>
      </c>
      <c r="N405" t="s">
        <v>2580</v>
      </c>
      <c r="O405" t="s">
        <v>118</v>
      </c>
      <c r="P405" t="s">
        <v>48</v>
      </c>
      <c r="Q405" t="s">
        <v>142</v>
      </c>
      <c r="R405">
        <v>3</v>
      </c>
      <c r="S405">
        <v>3999</v>
      </c>
      <c r="T405">
        <v>0.05</v>
      </c>
      <c r="U405">
        <v>11397.15</v>
      </c>
      <c r="V405">
        <v>7200</v>
      </c>
      <c r="W405">
        <v>4197.1499999999996</v>
      </c>
      <c r="X405" t="s">
        <v>77</v>
      </c>
      <c r="Y405" t="s">
        <v>69</v>
      </c>
      <c r="Z405" t="s">
        <v>161</v>
      </c>
      <c r="AA405" t="s">
        <v>171</v>
      </c>
      <c r="AB405">
        <v>4.8</v>
      </c>
      <c r="AC405">
        <v>80</v>
      </c>
      <c r="AD405">
        <v>243.77</v>
      </c>
      <c r="AE405">
        <f t="shared" si="12"/>
        <v>3873.3799999999997</v>
      </c>
      <c r="AF405" t="str">
        <f t="shared" si="13"/>
        <v>2025-02</v>
      </c>
      <c r="AG405">
        <f>SUBTOTAL(103,A405)</f>
        <v>1</v>
      </c>
    </row>
    <row r="406" spans="1:33" x14ac:dyDescent="0.3">
      <c r="A406" t="s">
        <v>3016</v>
      </c>
      <c r="B406" s="13">
        <v>45713</v>
      </c>
      <c r="C406">
        <v>2025</v>
      </c>
      <c r="D406">
        <v>2</v>
      </c>
      <c r="E406" t="s">
        <v>2849</v>
      </c>
      <c r="F406" t="s">
        <v>2572</v>
      </c>
      <c r="G406" t="s">
        <v>2079</v>
      </c>
      <c r="H406" t="s">
        <v>2080</v>
      </c>
      <c r="I406" t="s">
        <v>86</v>
      </c>
      <c r="J406">
        <v>56</v>
      </c>
      <c r="K406" t="s">
        <v>83</v>
      </c>
      <c r="L406" t="s">
        <v>93</v>
      </c>
      <c r="M406" t="s">
        <v>55</v>
      </c>
      <c r="N406" t="s">
        <v>2601</v>
      </c>
      <c r="O406" t="s">
        <v>117</v>
      </c>
      <c r="P406" t="s">
        <v>49</v>
      </c>
      <c r="Q406" t="s">
        <v>139</v>
      </c>
      <c r="R406">
        <v>1</v>
      </c>
      <c r="S406">
        <v>6999</v>
      </c>
      <c r="T406">
        <v>0.1</v>
      </c>
      <c r="U406">
        <v>6299.1</v>
      </c>
      <c r="V406">
        <v>4300</v>
      </c>
      <c r="W406">
        <v>1999.1</v>
      </c>
      <c r="X406" t="s">
        <v>73</v>
      </c>
      <c r="Y406" t="s">
        <v>68</v>
      </c>
      <c r="Z406" t="s">
        <v>160</v>
      </c>
      <c r="AA406" t="s">
        <v>169</v>
      </c>
      <c r="AB406">
        <v>3.8</v>
      </c>
      <c r="AC406">
        <v>40</v>
      </c>
      <c r="AD406">
        <v>562.99</v>
      </c>
      <c r="AE406">
        <f t="shared" si="12"/>
        <v>1396.11</v>
      </c>
      <c r="AF406" t="str">
        <f t="shared" si="13"/>
        <v>2025-02</v>
      </c>
      <c r="AG406">
        <f>SUBTOTAL(103,A406)</f>
        <v>1</v>
      </c>
    </row>
    <row r="407" spans="1:33" x14ac:dyDescent="0.3">
      <c r="A407" t="s">
        <v>3017</v>
      </c>
      <c r="B407" s="13">
        <v>45713</v>
      </c>
      <c r="C407">
        <v>2025</v>
      </c>
      <c r="D407">
        <v>2</v>
      </c>
      <c r="E407" t="s">
        <v>2849</v>
      </c>
      <c r="F407" t="s">
        <v>2572</v>
      </c>
      <c r="G407" t="s">
        <v>515</v>
      </c>
      <c r="H407" t="s">
        <v>516</v>
      </c>
      <c r="I407" t="s">
        <v>85</v>
      </c>
      <c r="J407">
        <v>22</v>
      </c>
      <c r="K407" t="s">
        <v>80</v>
      </c>
      <c r="L407" t="s">
        <v>2634</v>
      </c>
      <c r="M407" t="s">
        <v>56</v>
      </c>
      <c r="N407" t="s">
        <v>2584</v>
      </c>
      <c r="O407" t="s">
        <v>121</v>
      </c>
      <c r="P407" t="s">
        <v>50</v>
      </c>
      <c r="Q407" t="s">
        <v>144</v>
      </c>
      <c r="R407">
        <v>3</v>
      </c>
      <c r="S407">
        <v>2999</v>
      </c>
      <c r="T407">
        <v>0.15</v>
      </c>
      <c r="U407">
        <v>7647.45</v>
      </c>
      <c r="V407">
        <v>5100</v>
      </c>
      <c r="W407">
        <v>2547.4499999999998</v>
      </c>
      <c r="X407" t="s">
        <v>73</v>
      </c>
      <c r="Y407" t="s">
        <v>68</v>
      </c>
      <c r="Z407" t="s">
        <v>163</v>
      </c>
      <c r="AA407" t="s">
        <v>169</v>
      </c>
      <c r="AB407">
        <v>4.0999999999999996</v>
      </c>
      <c r="AC407">
        <v>50</v>
      </c>
      <c r="AD407">
        <v>663.54</v>
      </c>
      <c r="AE407">
        <f t="shared" si="12"/>
        <v>1833.9099999999999</v>
      </c>
      <c r="AF407" t="str">
        <f t="shared" si="13"/>
        <v>2025-02</v>
      </c>
      <c r="AG407">
        <f>SUBTOTAL(103,A407)</f>
        <v>1</v>
      </c>
    </row>
    <row r="408" spans="1:33" x14ac:dyDescent="0.3">
      <c r="A408" t="s">
        <v>3018</v>
      </c>
      <c r="B408" s="13">
        <v>45713</v>
      </c>
      <c r="C408">
        <v>2025</v>
      </c>
      <c r="D408">
        <v>2</v>
      </c>
      <c r="E408" t="s">
        <v>2849</v>
      </c>
      <c r="F408" t="s">
        <v>2572</v>
      </c>
      <c r="G408" t="s">
        <v>485</v>
      </c>
      <c r="H408" t="s">
        <v>486</v>
      </c>
      <c r="I408" t="s">
        <v>86</v>
      </c>
      <c r="J408">
        <v>49</v>
      </c>
      <c r="K408" t="s">
        <v>83</v>
      </c>
      <c r="L408" t="s">
        <v>90</v>
      </c>
      <c r="M408" t="s">
        <v>55</v>
      </c>
      <c r="N408" t="s">
        <v>2577</v>
      </c>
      <c r="O408" t="s">
        <v>129</v>
      </c>
      <c r="P408" t="s">
        <v>49</v>
      </c>
      <c r="Q408" t="s">
        <v>149</v>
      </c>
      <c r="R408">
        <v>1</v>
      </c>
      <c r="S408">
        <v>1299</v>
      </c>
      <c r="T408">
        <v>0.15</v>
      </c>
      <c r="U408">
        <v>1104.1500000000001</v>
      </c>
      <c r="V408">
        <v>650</v>
      </c>
      <c r="W408">
        <v>454.15</v>
      </c>
      <c r="X408" t="s">
        <v>74</v>
      </c>
      <c r="Y408" t="s">
        <v>68</v>
      </c>
      <c r="Z408" t="s">
        <v>159</v>
      </c>
      <c r="AA408" t="s">
        <v>170</v>
      </c>
      <c r="AB408">
        <v>3.4</v>
      </c>
      <c r="AC408">
        <v>60</v>
      </c>
      <c r="AD408">
        <v>123.14</v>
      </c>
      <c r="AE408">
        <f t="shared" si="12"/>
        <v>271.01</v>
      </c>
      <c r="AF408" t="str">
        <f t="shared" si="13"/>
        <v>2025-02</v>
      </c>
      <c r="AG408">
        <f>SUBTOTAL(103,A408)</f>
        <v>1</v>
      </c>
    </row>
    <row r="409" spans="1:33" x14ac:dyDescent="0.3">
      <c r="A409" t="s">
        <v>3019</v>
      </c>
      <c r="B409" s="13">
        <v>45713</v>
      </c>
      <c r="C409">
        <v>2025</v>
      </c>
      <c r="D409">
        <v>2</v>
      </c>
      <c r="E409" t="s">
        <v>2849</v>
      </c>
      <c r="F409" t="s">
        <v>2572</v>
      </c>
      <c r="G409" t="s">
        <v>649</v>
      </c>
      <c r="H409" t="s">
        <v>650</v>
      </c>
      <c r="I409" t="s">
        <v>86</v>
      </c>
      <c r="J409">
        <v>47</v>
      </c>
      <c r="K409" t="s">
        <v>83</v>
      </c>
      <c r="L409" t="s">
        <v>2687</v>
      </c>
      <c r="M409" t="s">
        <v>57</v>
      </c>
      <c r="N409" t="s">
        <v>2596</v>
      </c>
      <c r="O409" t="s">
        <v>124</v>
      </c>
      <c r="P409" t="s">
        <v>51</v>
      </c>
      <c r="Q409" t="s">
        <v>147</v>
      </c>
      <c r="R409">
        <v>4</v>
      </c>
      <c r="S409">
        <v>2299</v>
      </c>
      <c r="T409">
        <v>0.15</v>
      </c>
      <c r="U409">
        <v>7816.6</v>
      </c>
      <c r="V409">
        <v>4800</v>
      </c>
      <c r="W409">
        <v>3016.6</v>
      </c>
      <c r="X409" t="s">
        <v>73</v>
      </c>
      <c r="Y409" t="s">
        <v>68</v>
      </c>
      <c r="Z409" t="s">
        <v>163</v>
      </c>
      <c r="AA409" t="s">
        <v>168</v>
      </c>
      <c r="AB409">
        <v>4.3</v>
      </c>
      <c r="AC409">
        <v>80</v>
      </c>
      <c r="AD409">
        <v>348.8</v>
      </c>
      <c r="AE409">
        <f t="shared" si="12"/>
        <v>2587.7999999999997</v>
      </c>
      <c r="AF409" t="str">
        <f t="shared" si="13"/>
        <v>2025-02</v>
      </c>
      <c r="AG409">
        <f>SUBTOTAL(103,A409)</f>
        <v>1</v>
      </c>
    </row>
    <row r="410" spans="1:33" x14ac:dyDescent="0.3">
      <c r="A410" t="s">
        <v>3020</v>
      </c>
      <c r="B410" s="13">
        <v>45713</v>
      </c>
      <c r="C410">
        <v>2025</v>
      </c>
      <c r="D410">
        <v>2</v>
      </c>
      <c r="E410" t="s">
        <v>2849</v>
      </c>
      <c r="F410" t="s">
        <v>2572</v>
      </c>
      <c r="G410" t="s">
        <v>1601</v>
      </c>
      <c r="H410" t="s">
        <v>1602</v>
      </c>
      <c r="I410" t="s">
        <v>86</v>
      </c>
      <c r="J410">
        <v>33</v>
      </c>
      <c r="K410" t="s">
        <v>81</v>
      </c>
      <c r="L410" t="s">
        <v>2674</v>
      </c>
      <c r="M410" t="s">
        <v>58</v>
      </c>
      <c r="N410" t="s">
        <v>2580</v>
      </c>
      <c r="O410" t="s">
        <v>118</v>
      </c>
      <c r="P410" t="s">
        <v>48</v>
      </c>
      <c r="Q410" t="s">
        <v>142</v>
      </c>
      <c r="R410">
        <v>3</v>
      </c>
      <c r="S410">
        <v>3999</v>
      </c>
      <c r="T410">
        <v>0.1</v>
      </c>
      <c r="U410">
        <v>10797.3</v>
      </c>
      <c r="V410">
        <v>7200</v>
      </c>
      <c r="W410">
        <v>3597.3</v>
      </c>
      <c r="X410" t="s">
        <v>75</v>
      </c>
      <c r="Y410" t="s">
        <v>68</v>
      </c>
      <c r="Z410" t="s">
        <v>158</v>
      </c>
      <c r="AA410" t="s">
        <v>167</v>
      </c>
      <c r="AB410">
        <v>3.8</v>
      </c>
      <c r="AC410">
        <v>60</v>
      </c>
      <c r="AD410">
        <v>886.75</v>
      </c>
      <c r="AE410">
        <f t="shared" si="12"/>
        <v>2650.55</v>
      </c>
      <c r="AF410" t="str">
        <f t="shared" si="13"/>
        <v>2025-02</v>
      </c>
      <c r="AG410">
        <f>SUBTOTAL(103,A410)</f>
        <v>1</v>
      </c>
    </row>
    <row r="411" spans="1:33" x14ac:dyDescent="0.3">
      <c r="A411" t="s">
        <v>3021</v>
      </c>
      <c r="B411" s="13">
        <v>45714</v>
      </c>
      <c r="C411">
        <v>2025</v>
      </c>
      <c r="D411">
        <v>2</v>
      </c>
      <c r="E411" t="s">
        <v>2849</v>
      </c>
      <c r="F411" t="s">
        <v>2572</v>
      </c>
      <c r="G411" t="s">
        <v>2169</v>
      </c>
      <c r="H411" t="s">
        <v>2170</v>
      </c>
      <c r="I411" t="s">
        <v>86</v>
      </c>
      <c r="J411">
        <v>32</v>
      </c>
      <c r="K411" t="s">
        <v>81</v>
      </c>
      <c r="L411" t="s">
        <v>99</v>
      </c>
      <c r="M411" t="s">
        <v>58</v>
      </c>
      <c r="N411" t="s">
        <v>2582</v>
      </c>
      <c r="O411" t="s">
        <v>119</v>
      </c>
      <c r="P411" t="s">
        <v>49</v>
      </c>
      <c r="Q411" t="s">
        <v>140</v>
      </c>
      <c r="R411">
        <v>1</v>
      </c>
      <c r="S411">
        <v>3499</v>
      </c>
      <c r="T411">
        <v>0.05</v>
      </c>
      <c r="U411">
        <v>0</v>
      </c>
      <c r="V411">
        <v>0</v>
      </c>
      <c r="W411">
        <v>0</v>
      </c>
      <c r="X411" t="s">
        <v>75</v>
      </c>
      <c r="Y411" t="s">
        <v>71</v>
      </c>
      <c r="Z411" t="s">
        <v>161</v>
      </c>
      <c r="AA411" t="s">
        <v>167</v>
      </c>
      <c r="AB411">
        <v>4</v>
      </c>
      <c r="AC411">
        <v>60</v>
      </c>
      <c r="AD411">
        <v>319.58</v>
      </c>
      <c r="AE411">
        <f t="shared" si="12"/>
        <v>-379.58</v>
      </c>
      <c r="AF411" t="str">
        <f t="shared" si="13"/>
        <v>2025-02</v>
      </c>
      <c r="AG411">
        <f>SUBTOTAL(103,A411)</f>
        <v>1</v>
      </c>
    </row>
    <row r="412" spans="1:33" x14ac:dyDescent="0.3">
      <c r="A412" t="s">
        <v>3022</v>
      </c>
      <c r="B412" s="13">
        <v>45714</v>
      </c>
      <c r="C412">
        <v>2025</v>
      </c>
      <c r="D412">
        <v>2</v>
      </c>
      <c r="E412" t="s">
        <v>2849</v>
      </c>
      <c r="F412" t="s">
        <v>2572</v>
      </c>
      <c r="G412" t="s">
        <v>1419</v>
      </c>
      <c r="H412" t="s">
        <v>1420</v>
      </c>
      <c r="I412" t="s">
        <v>85</v>
      </c>
      <c r="J412">
        <v>60</v>
      </c>
      <c r="K412" t="s">
        <v>83</v>
      </c>
      <c r="L412" t="s">
        <v>97</v>
      </c>
      <c r="M412" t="s">
        <v>57</v>
      </c>
      <c r="N412" t="s">
        <v>2665</v>
      </c>
      <c r="O412" t="s">
        <v>128</v>
      </c>
      <c r="P412" t="s">
        <v>53</v>
      </c>
      <c r="Q412" t="s">
        <v>143</v>
      </c>
      <c r="R412">
        <v>2</v>
      </c>
      <c r="S412">
        <v>1499</v>
      </c>
      <c r="T412">
        <v>0</v>
      </c>
      <c r="U412">
        <v>2998</v>
      </c>
      <c r="V412">
        <v>1600</v>
      </c>
      <c r="W412">
        <v>1398</v>
      </c>
      <c r="X412" t="s">
        <v>73</v>
      </c>
      <c r="Y412" t="s">
        <v>68</v>
      </c>
      <c r="Z412" t="s">
        <v>162</v>
      </c>
      <c r="AA412" t="s">
        <v>166</v>
      </c>
      <c r="AB412">
        <v>4.7</v>
      </c>
      <c r="AC412">
        <v>50</v>
      </c>
      <c r="AD412">
        <v>282.06</v>
      </c>
      <c r="AE412">
        <f t="shared" si="12"/>
        <v>1065.94</v>
      </c>
      <c r="AF412" t="str">
        <f t="shared" si="13"/>
        <v>2025-02</v>
      </c>
      <c r="AG412">
        <f>SUBTOTAL(103,A412)</f>
        <v>1</v>
      </c>
    </row>
    <row r="413" spans="1:33" x14ac:dyDescent="0.3">
      <c r="A413" t="s">
        <v>3023</v>
      </c>
      <c r="B413" s="13">
        <v>45714</v>
      </c>
      <c r="C413">
        <v>2025</v>
      </c>
      <c r="D413">
        <v>2</v>
      </c>
      <c r="E413" t="s">
        <v>2849</v>
      </c>
      <c r="F413" t="s">
        <v>2572</v>
      </c>
      <c r="G413" t="s">
        <v>287</v>
      </c>
      <c r="H413" t="s">
        <v>288</v>
      </c>
      <c r="I413" t="s">
        <v>86</v>
      </c>
      <c r="J413">
        <v>56</v>
      </c>
      <c r="K413" t="s">
        <v>83</v>
      </c>
      <c r="L413" t="s">
        <v>2616</v>
      </c>
      <c r="M413" t="s">
        <v>62</v>
      </c>
      <c r="N413" t="s">
        <v>2647</v>
      </c>
      <c r="O413" t="s">
        <v>133</v>
      </c>
      <c r="P413" t="s">
        <v>50</v>
      </c>
      <c r="Q413" t="s">
        <v>145</v>
      </c>
      <c r="R413">
        <v>3</v>
      </c>
      <c r="S413">
        <v>799</v>
      </c>
      <c r="T413">
        <v>0.15</v>
      </c>
      <c r="U413">
        <v>2037.45</v>
      </c>
      <c r="V413">
        <v>1170</v>
      </c>
      <c r="W413">
        <v>867.45</v>
      </c>
      <c r="X413" t="s">
        <v>73</v>
      </c>
      <c r="Y413" t="s">
        <v>68</v>
      </c>
      <c r="Z413" t="s">
        <v>160</v>
      </c>
      <c r="AA413" t="s">
        <v>167</v>
      </c>
      <c r="AB413">
        <v>3.8</v>
      </c>
      <c r="AC413">
        <v>80</v>
      </c>
      <c r="AD413">
        <v>223.13</v>
      </c>
      <c r="AE413">
        <f t="shared" si="12"/>
        <v>564.32000000000005</v>
      </c>
      <c r="AF413" t="str">
        <f t="shared" si="13"/>
        <v>2025-02</v>
      </c>
      <c r="AG413">
        <f>SUBTOTAL(103,A413)</f>
        <v>1</v>
      </c>
    </row>
    <row r="414" spans="1:33" x14ac:dyDescent="0.3">
      <c r="A414" t="s">
        <v>3024</v>
      </c>
      <c r="B414" s="13">
        <v>45714</v>
      </c>
      <c r="C414">
        <v>2025</v>
      </c>
      <c r="D414">
        <v>2</v>
      </c>
      <c r="E414" t="s">
        <v>2849</v>
      </c>
      <c r="F414" t="s">
        <v>2572</v>
      </c>
      <c r="G414" t="s">
        <v>2107</v>
      </c>
      <c r="H414" t="s">
        <v>2108</v>
      </c>
      <c r="I414" t="s">
        <v>86</v>
      </c>
      <c r="J414">
        <v>28</v>
      </c>
      <c r="K414" t="s">
        <v>81</v>
      </c>
      <c r="L414" t="s">
        <v>2610</v>
      </c>
      <c r="M414" t="s">
        <v>64</v>
      </c>
      <c r="N414" t="s">
        <v>2577</v>
      </c>
      <c r="O414" t="s">
        <v>129</v>
      </c>
      <c r="P414" t="s">
        <v>49</v>
      </c>
      <c r="Q414" t="s">
        <v>149</v>
      </c>
      <c r="R414">
        <v>1</v>
      </c>
      <c r="S414">
        <v>1299</v>
      </c>
      <c r="T414">
        <v>0.05</v>
      </c>
      <c r="U414">
        <v>1234.05</v>
      </c>
      <c r="V414">
        <v>650</v>
      </c>
      <c r="W414">
        <v>584.04999999999995</v>
      </c>
      <c r="X414" t="s">
        <v>73</v>
      </c>
      <c r="Y414" t="s">
        <v>68</v>
      </c>
      <c r="Z414" t="s">
        <v>160</v>
      </c>
      <c r="AA414" t="s">
        <v>170</v>
      </c>
      <c r="AB414">
        <v>4.2</v>
      </c>
      <c r="AC414">
        <v>80</v>
      </c>
      <c r="AD414">
        <v>133.43</v>
      </c>
      <c r="AE414">
        <f t="shared" si="12"/>
        <v>370.61999999999995</v>
      </c>
      <c r="AF414" t="str">
        <f t="shared" si="13"/>
        <v>2025-02</v>
      </c>
      <c r="AG414">
        <f>SUBTOTAL(103,A414)</f>
        <v>1</v>
      </c>
    </row>
    <row r="415" spans="1:33" x14ac:dyDescent="0.3">
      <c r="A415" t="s">
        <v>3025</v>
      </c>
      <c r="B415" s="13">
        <v>45714</v>
      </c>
      <c r="C415">
        <v>2025</v>
      </c>
      <c r="D415">
        <v>2</v>
      </c>
      <c r="E415" t="s">
        <v>2849</v>
      </c>
      <c r="F415" t="s">
        <v>2572</v>
      </c>
      <c r="G415" t="s">
        <v>1037</v>
      </c>
      <c r="H415" t="s">
        <v>1038</v>
      </c>
      <c r="I415" t="s">
        <v>86</v>
      </c>
      <c r="J415">
        <v>25</v>
      </c>
      <c r="K415" t="s">
        <v>80</v>
      </c>
      <c r="L415" t="s">
        <v>2634</v>
      </c>
      <c r="M415" t="s">
        <v>56</v>
      </c>
      <c r="N415" t="s">
        <v>2592</v>
      </c>
      <c r="O415" t="s">
        <v>115</v>
      </c>
      <c r="P415" t="s">
        <v>48</v>
      </c>
      <c r="Q415" t="s">
        <v>137</v>
      </c>
      <c r="R415">
        <v>2</v>
      </c>
      <c r="S415">
        <v>12999</v>
      </c>
      <c r="T415">
        <v>0.1</v>
      </c>
      <c r="U415">
        <v>23398.2</v>
      </c>
      <c r="V415">
        <v>18000</v>
      </c>
      <c r="W415">
        <v>5398.2</v>
      </c>
      <c r="X415" t="s">
        <v>73</v>
      </c>
      <c r="Y415" t="s">
        <v>68</v>
      </c>
      <c r="Z415" t="s">
        <v>158</v>
      </c>
      <c r="AA415" t="s">
        <v>167</v>
      </c>
      <c r="AB415">
        <v>4.4000000000000004</v>
      </c>
      <c r="AC415">
        <v>100</v>
      </c>
      <c r="AD415">
        <v>1585.63</v>
      </c>
      <c r="AE415">
        <f t="shared" si="12"/>
        <v>3712.5699999999997</v>
      </c>
      <c r="AF415" t="str">
        <f t="shared" si="13"/>
        <v>2025-02</v>
      </c>
      <c r="AG415">
        <f>SUBTOTAL(103,A415)</f>
        <v>1</v>
      </c>
    </row>
    <row r="416" spans="1:33" x14ac:dyDescent="0.3">
      <c r="A416" t="s">
        <v>3026</v>
      </c>
      <c r="B416" s="13">
        <v>45714</v>
      </c>
      <c r="C416">
        <v>2025</v>
      </c>
      <c r="D416">
        <v>2</v>
      </c>
      <c r="E416" t="s">
        <v>2849</v>
      </c>
      <c r="F416" t="s">
        <v>2572</v>
      </c>
      <c r="G416" t="s">
        <v>1619</v>
      </c>
      <c r="H416" t="s">
        <v>1620</v>
      </c>
      <c r="I416" t="s">
        <v>86</v>
      </c>
      <c r="J416">
        <v>38</v>
      </c>
      <c r="K416" t="s">
        <v>82</v>
      </c>
      <c r="L416" t="s">
        <v>2687</v>
      </c>
      <c r="M416" t="s">
        <v>57</v>
      </c>
      <c r="N416" t="s">
        <v>2647</v>
      </c>
      <c r="O416" t="s">
        <v>133</v>
      </c>
      <c r="P416" t="s">
        <v>50</v>
      </c>
      <c r="Q416" t="s">
        <v>145</v>
      </c>
      <c r="R416">
        <v>2</v>
      </c>
      <c r="S416">
        <v>799</v>
      </c>
      <c r="T416">
        <v>0.05</v>
      </c>
      <c r="U416">
        <v>1518.1</v>
      </c>
      <c r="V416">
        <v>780</v>
      </c>
      <c r="W416">
        <v>738.1</v>
      </c>
      <c r="X416" t="s">
        <v>74</v>
      </c>
      <c r="Y416" t="s">
        <v>68</v>
      </c>
      <c r="Z416" t="s">
        <v>159</v>
      </c>
      <c r="AA416" t="s">
        <v>166</v>
      </c>
      <c r="AB416">
        <v>5</v>
      </c>
      <c r="AC416">
        <v>80</v>
      </c>
      <c r="AD416">
        <v>146.75</v>
      </c>
      <c r="AE416">
        <f t="shared" si="12"/>
        <v>511.35</v>
      </c>
      <c r="AF416" t="str">
        <f t="shared" si="13"/>
        <v>2025-02</v>
      </c>
      <c r="AG416">
        <f>SUBTOTAL(103,A416)</f>
        <v>1</v>
      </c>
    </row>
    <row r="417" spans="1:33" x14ac:dyDescent="0.3">
      <c r="A417" t="s">
        <v>3027</v>
      </c>
      <c r="B417" s="13">
        <v>45714</v>
      </c>
      <c r="C417">
        <v>2025</v>
      </c>
      <c r="D417">
        <v>2</v>
      </c>
      <c r="E417" t="s">
        <v>2849</v>
      </c>
      <c r="F417" t="s">
        <v>2572</v>
      </c>
      <c r="G417" t="s">
        <v>1773</v>
      </c>
      <c r="H417" t="s">
        <v>1774</v>
      </c>
      <c r="I417" t="s">
        <v>86</v>
      </c>
      <c r="J417">
        <v>43</v>
      </c>
      <c r="K417" t="s">
        <v>82</v>
      </c>
      <c r="L417" t="s">
        <v>2605</v>
      </c>
      <c r="M417" t="s">
        <v>60</v>
      </c>
      <c r="N417" t="s">
        <v>2657</v>
      </c>
      <c r="O417" t="s">
        <v>134</v>
      </c>
      <c r="P417" t="s">
        <v>49</v>
      </c>
      <c r="Q417" t="s">
        <v>140</v>
      </c>
      <c r="R417">
        <v>4</v>
      </c>
      <c r="S417">
        <v>599</v>
      </c>
      <c r="T417">
        <v>0.1</v>
      </c>
      <c r="U417">
        <v>0</v>
      </c>
      <c r="V417">
        <v>0</v>
      </c>
      <c r="W417">
        <v>0</v>
      </c>
      <c r="X417" t="s">
        <v>76</v>
      </c>
      <c r="Y417" t="s">
        <v>71</v>
      </c>
      <c r="Z417" t="s">
        <v>159</v>
      </c>
      <c r="AA417" t="s">
        <v>167</v>
      </c>
      <c r="AB417">
        <v>4.9000000000000004</v>
      </c>
      <c r="AC417">
        <v>100</v>
      </c>
      <c r="AD417">
        <v>191.46</v>
      </c>
      <c r="AE417">
        <f t="shared" si="12"/>
        <v>-291.46000000000004</v>
      </c>
      <c r="AF417" t="str">
        <f t="shared" si="13"/>
        <v>2025-02</v>
      </c>
      <c r="AG417">
        <f>SUBTOTAL(103,A417)</f>
        <v>1</v>
      </c>
    </row>
    <row r="418" spans="1:33" x14ac:dyDescent="0.3">
      <c r="A418" t="s">
        <v>3028</v>
      </c>
      <c r="B418" s="13">
        <v>45714</v>
      </c>
      <c r="C418">
        <v>2025</v>
      </c>
      <c r="D418">
        <v>2</v>
      </c>
      <c r="E418" t="s">
        <v>2849</v>
      </c>
      <c r="F418" t="s">
        <v>2572</v>
      </c>
      <c r="G418" t="s">
        <v>473</v>
      </c>
      <c r="H418" t="s">
        <v>474</v>
      </c>
      <c r="I418" t="s">
        <v>85</v>
      </c>
      <c r="J418">
        <v>38</v>
      </c>
      <c r="K418" t="s">
        <v>82</v>
      </c>
      <c r="L418" t="s">
        <v>2599</v>
      </c>
      <c r="M418" t="s">
        <v>62</v>
      </c>
      <c r="N418" t="s">
        <v>2601</v>
      </c>
      <c r="O418" t="s">
        <v>117</v>
      </c>
      <c r="P418" t="s">
        <v>49</v>
      </c>
      <c r="Q418" t="s">
        <v>139</v>
      </c>
      <c r="R418">
        <v>5</v>
      </c>
      <c r="S418">
        <v>6999</v>
      </c>
      <c r="T418">
        <v>0</v>
      </c>
      <c r="U418">
        <v>34995</v>
      </c>
      <c r="V418">
        <v>21500</v>
      </c>
      <c r="W418">
        <v>13495</v>
      </c>
      <c r="X418" t="s">
        <v>77</v>
      </c>
      <c r="Y418" t="s">
        <v>69</v>
      </c>
      <c r="Z418" t="s">
        <v>158</v>
      </c>
      <c r="AA418" t="s">
        <v>168</v>
      </c>
      <c r="AB418">
        <v>3.3</v>
      </c>
      <c r="AC418">
        <v>60</v>
      </c>
      <c r="AD418">
        <v>3785.6</v>
      </c>
      <c r="AE418">
        <f t="shared" si="12"/>
        <v>9649.4</v>
      </c>
      <c r="AF418" t="str">
        <f t="shared" si="13"/>
        <v>2025-02</v>
      </c>
      <c r="AG418">
        <f>SUBTOTAL(103,A418)</f>
        <v>1</v>
      </c>
    </row>
    <row r="419" spans="1:33" x14ac:dyDescent="0.3">
      <c r="A419" t="s">
        <v>3029</v>
      </c>
      <c r="B419" s="13">
        <v>45714</v>
      </c>
      <c r="C419">
        <v>2025</v>
      </c>
      <c r="D419">
        <v>2</v>
      </c>
      <c r="E419" t="s">
        <v>2849</v>
      </c>
      <c r="F419" t="s">
        <v>2572</v>
      </c>
      <c r="G419" t="s">
        <v>1115</v>
      </c>
      <c r="H419" t="s">
        <v>1116</v>
      </c>
      <c r="I419" t="s">
        <v>85</v>
      </c>
      <c r="J419">
        <v>54</v>
      </c>
      <c r="K419" t="s">
        <v>83</v>
      </c>
      <c r="L419" t="s">
        <v>92</v>
      </c>
      <c r="M419" t="s">
        <v>59</v>
      </c>
      <c r="N419" t="s">
        <v>2594</v>
      </c>
      <c r="O419" t="s">
        <v>131</v>
      </c>
      <c r="P419" t="s">
        <v>53</v>
      </c>
      <c r="Q419" t="s">
        <v>143</v>
      </c>
      <c r="R419">
        <v>3</v>
      </c>
      <c r="S419">
        <v>999</v>
      </c>
      <c r="T419">
        <v>0.1</v>
      </c>
      <c r="U419">
        <v>2697.3</v>
      </c>
      <c r="V419">
        <v>1560</v>
      </c>
      <c r="W419">
        <v>1137.3</v>
      </c>
      <c r="X419" t="s">
        <v>73</v>
      </c>
      <c r="Y419" t="s">
        <v>68</v>
      </c>
      <c r="Z419" t="s">
        <v>163</v>
      </c>
      <c r="AA419" t="s">
        <v>168</v>
      </c>
      <c r="AB419">
        <v>3.6</v>
      </c>
      <c r="AC419">
        <v>50</v>
      </c>
      <c r="AD419">
        <v>273.85000000000002</v>
      </c>
      <c r="AE419">
        <f t="shared" si="12"/>
        <v>813.44999999999993</v>
      </c>
      <c r="AF419" t="str">
        <f t="shared" si="13"/>
        <v>2025-02</v>
      </c>
      <c r="AG419">
        <f>SUBTOTAL(103,A419)</f>
        <v>1</v>
      </c>
    </row>
    <row r="420" spans="1:33" x14ac:dyDescent="0.3">
      <c r="A420" t="s">
        <v>3030</v>
      </c>
      <c r="B420" s="13">
        <v>45714</v>
      </c>
      <c r="C420">
        <v>2025</v>
      </c>
      <c r="D420">
        <v>2</v>
      </c>
      <c r="E420" t="s">
        <v>2849</v>
      </c>
      <c r="F420" t="s">
        <v>2572</v>
      </c>
      <c r="G420" t="s">
        <v>2327</v>
      </c>
      <c r="H420" t="s">
        <v>2328</v>
      </c>
      <c r="I420" t="s">
        <v>85</v>
      </c>
      <c r="J420">
        <v>24</v>
      </c>
      <c r="K420" t="s">
        <v>80</v>
      </c>
      <c r="L420" t="s">
        <v>90</v>
      </c>
      <c r="M420" t="s">
        <v>55</v>
      </c>
      <c r="N420" t="s">
        <v>2590</v>
      </c>
      <c r="O420" t="s">
        <v>127</v>
      </c>
      <c r="P420" t="s">
        <v>51</v>
      </c>
      <c r="Q420" t="s">
        <v>148</v>
      </c>
      <c r="R420">
        <v>3</v>
      </c>
      <c r="S420">
        <v>1599</v>
      </c>
      <c r="T420">
        <v>0.1</v>
      </c>
      <c r="U420">
        <v>4317.3</v>
      </c>
      <c r="V420">
        <v>2400</v>
      </c>
      <c r="W420">
        <v>1917.3</v>
      </c>
      <c r="X420" t="s">
        <v>74</v>
      </c>
      <c r="Y420" t="s">
        <v>68</v>
      </c>
      <c r="Z420" t="s">
        <v>158</v>
      </c>
      <c r="AA420" t="s">
        <v>166</v>
      </c>
      <c r="AB420">
        <v>4.2</v>
      </c>
      <c r="AC420">
        <v>80</v>
      </c>
      <c r="AD420">
        <v>87.55</v>
      </c>
      <c r="AE420">
        <f t="shared" si="12"/>
        <v>1749.75</v>
      </c>
      <c r="AF420" t="str">
        <f t="shared" si="13"/>
        <v>2025-02</v>
      </c>
      <c r="AG420">
        <f>SUBTOTAL(103,A420)</f>
        <v>1</v>
      </c>
    </row>
    <row r="421" spans="1:33" x14ac:dyDescent="0.3">
      <c r="A421" t="s">
        <v>3031</v>
      </c>
      <c r="B421" s="13">
        <v>45714</v>
      </c>
      <c r="C421">
        <v>2025</v>
      </c>
      <c r="D421">
        <v>2</v>
      </c>
      <c r="E421" t="s">
        <v>2849</v>
      </c>
      <c r="F421" t="s">
        <v>2572</v>
      </c>
      <c r="G421" t="s">
        <v>2021</v>
      </c>
      <c r="H421" t="s">
        <v>2022</v>
      </c>
      <c r="I421" t="s">
        <v>85</v>
      </c>
      <c r="J421">
        <v>52</v>
      </c>
      <c r="K421" t="s">
        <v>83</v>
      </c>
      <c r="L421" t="s">
        <v>100</v>
      </c>
      <c r="M421" t="s">
        <v>56</v>
      </c>
      <c r="N421" t="s">
        <v>2574</v>
      </c>
      <c r="O421" t="s">
        <v>130</v>
      </c>
      <c r="P421" t="s">
        <v>50</v>
      </c>
      <c r="Q421" t="s">
        <v>53</v>
      </c>
      <c r="R421">
        <v>1</v>
      </c>
      <c r="S421">
        <v>1199</v>
      </c>
      <c r="T421">
        <v>0</v>
      </c>
      <c r="U421">
        <v>1199</v>
      </c>
      <c r="V421">
        <v>550</v>
      </c>
      <c r="W421">
        <v>649</v>
      </c>
      <c r="X421" t="s">
        <v>73</v>
      </c>
      <c r="Y421" t="s">
        <v>68</v>
      </c>
      <c r="Z421" t="s">
        <v>159</v>
      </c>
      <c r="AA421" t="s">
        <v>166</v>
      </c>
      <c r="AB421">
        <v>3.4</v>
      </c>
      <c r="AC421">
        <v>50</v>
      </c>
      <c r="AD421">
        <v>85.18</v>
      </c>
      <c r="AE421">
        <f t="shared" si="12"/>
        <v>513.81999999999994</v>
      </c>
      <c r="AF421" t="str">
        <f t="shared" si="13"/>
        <v>2025-02</v>
      </c>
      <c r="AG421">
        <f>SUBTOTAL(103,A421)</f>
        <v>1</v>
      </c>
    </row>
    <row r="422" spans="1:33" x14ac:dyDescent="0.3">
      <c r="A422" t="s">
        <v>3032</v>
      </c>
      <c r="B422" s="13">
        <v>45715</v>
      </c>
      <c r="C422">
        <v>2025</v>
      </c>
      <c r="D422">
        <v>2</v>
      </c>
      <c r="E422" t="s">
        <v>2849</v>
      </c>
      <c r="F422" t="s">
        <v>2572</v>
      </c>
      <c r="G422" t="s">
        <v>2035</v>
      </c>
      <c r="H422" t="s">
        <v>2036</v>
      </c>
      <c r="I422" t="s">
        <v>85</v>
      </c>
      <c r="J422">
        <v>46</v>
      </c>
      <c r="K422" t="s">
        <v>83</v>
      </c>
      <c r="L422" t="s">
        <v>2690</v>
      </c>
      <c r="M422" t="s">
        <v>63</v>
      </c>
      <c r="N422" t="s">
        <v>2577</v>
      </c>
      <c r="O422" t="s">
        <v>129</v>
      </c>
      <c r="P422" t="s">
        <v>49</v>
      </c>
      <c r="Q422" t="s">
        <v>149</v>
      </c>
      <c r="R422">
        <v>1</v>
      </c>
      <c r="S422">
        <v>1299</v>
      </c>
      <c r="T422">
        <v>0.1</v>
      </c>
      <c r="U422">
        <v>1169.0999999999999</v>
      </c>
      <c r="V422">
        <v>650</v>
      </c>
      <c r="W422">
        <v>519.1</v>
      </c>
      <c r="X422" t="s">
        <v>74</v>
      </c>
      <c r="Y422" t="s">
        <v>68</v>
      </c>
      <c r="Z422" t="s">
        <v>159</v>
      </c>
      <c r="AA422" t="s">
        <v>167</v>
      </c>
      <c r="AB422">
        <v>4.2</v>
      </c>
      <c r="AC422">
        <v>60</v>
      </c>
      <c r="AD422">
        <v>70.650000000000006</v>
      </c>
      <c r="AE422">
        <f t="shared" si="12"/>
        <v>388.45000000000005</v>
      </c>
      <c r="AF422" t="str">
        <f t="shared" si="13"/>
        <v>2025-02</v>
      </c>
      <c r="AG422">
        <f>SUBTOTAL(103,A422)</f>
        <v>1</v>
      </c>
    </row>
    <row r="423" spans="1:33" x14ac:dyDescent="0.3">
      <c r="A423" t="s">
        <v>3033</v>
      </c>
      <c r="B423" s="13">
        <v>45715</v>
      </c>
      <c r="C423">
        <v>2025</v>
      </c>
      <c r="D423">
        <v>2</v>
      </c>
      <c r="E423" t="s">
        <v>2849</v>
      </c>
      <c r="F423" t="s">
        <v>2572</v>
      </c>
      <c r="G423" t="s">
        <v>1979</v>
      </c>
      <c r="H423" t="s">
        <v>1980</v>
      </c>
      <c r="I423" t="s">
        <v>85</v>
      </c>
      <c r="J423">
        <v>47</v>
      </c>
      <c r="K423" t="s">
        <v>83</v>
      </c>
      <c r="L423" t="s">
        <v>95</v>
      </c>
      <c r="M423" t="s">
        <v>56</v>
      </c>
      <c r="N423" t="s">
        <v>2584</v>
      </c>
      <c r="O423" t="s">
        <v>121</v>
      </c>
      <c r="P423" t="s">
        <v>50</v>
      </c>
      <c r="Q423" t="s">
        <v>144</v>
      </c>
      <c r="R423">
        <v>2</v>
      </c>
      <c r="S423">
        <v>2999</v>
      </c>
      <c r="T423">
        <v>0</v>
      </c>
      <c r="U423">
        <v>5998</v>
      </c>
      <c r="V423">
        <v>3400</v>
      </c>
      <c r="W423">
        <v>2598</v>
      </c>
      <c r="X423" t="s">
        <v>75</v>
      </c>
      <c r="Y423" t="s">
        <v>68</v>
      </c>
      <c r="Z423" t="s">
        <v>163</v>
      </c>
      <c r="AA423" t="s">
        <v>169</v>
      </c>
      <c r="AB423">
        <v>4.5</v>
      </c>
      <c r="AC423">
        <v>60</v>
      </c>
      <c r="AD423">
        <v>661.74</v>
      </c>
      <c r="AE423">
        <f t="shared" si="12"/>
        <v>1876.26</v>
      </c>
      <c r="AF423" t="str">
        <f t="shared" si="13"/>
        <v>2025-02</v>
      </c>
      <c r="AG423">
        <f>SUBTOTAL(103,A423)</f>
        <v>1</v>
      </c>
    </row>
    <row r="424" spans="1:33" x14ac:dyDescent="0.3">
      <c r="A424" t="s">
        <v>3034</v>
      </c>
      <c r="B424" s="13">
        <v>45715</v>
      </c>
      <c r="C424">
        <v>2025</v>
      </c>
      <c r="D424">
        <v>2</v>
      </c>
      <c r="E424" t="s">
        <v>2849</v>
      </c>
      <c r="F424" t="s">
        <v>2572</v>
      </c>
      <c r="G424" t="s">
        <v>727</v>
      </c>
      <c r="H424" t="s">
        <v>728</v>
      </c>
      <c r="I424" t="s">
        <v>86</v>
      </c>
      <c r="J424">
        <v>57</v>
      </c>
      <c r="K424" t="s">
        <v>83</v>
      </c>
      <c r="L424" t="s">
        <v>2661</v>
      </c>
      <c r="M424" t="s">
        <v>58</v>
      </c>
      <c r="N424" t="s">
        <v>2587</v>
      </c>
      <c r="O424" t="s">
        <v>116</v>
      </c>
      <c r="P424" t="s">
        <v>48</v>
      </c>
      <c r="Q424" t="s">
        <v>138</v>
      </c>
      <c r="R424">
        <v>2</v>
      </c>
      <c r="S424">
        <v>14999</v>
      </c>
      <c r="T424">
        <v>0.2</v>
      </c>
      <c r="U424">
        <v>23998.400000000001</v>
      </c>
      <c r="V424">
        <v>22400</v>
      </c>
      <c r="W424">
        <v>1598.4</v>
      </c>
      <c r="X424" t="s">
        <v>73</v>
      </c>
      <c r="Y424" t="s">
        <v>68</v>
      </c>
      <c r="Z424" t="s">
        <v>162</v>
      </c>
      <c r="AA424" t="s">
        <v>169</v>
      </c>
      <c r="AB424">
        <v>4.3</v>
      </c>
      <c r="AC424">
        <v>50</v>
      </c>
      <c r="AD424">
        <v>2299.12</v>
      </c>
      <c r="AE424">
        <f t="shared" si="12"/>
        <v>-750.7199999999998</v>
      </c>
      <c r="AF424" t="str">
        <f t="shared" si="13"/>
        <v>2025-02</v>
      </c>
      <c r="AG424">
        <f>SUBTOTAL(103,A424)</f>
        <v>1</v>
      </c>
    </row>
    <row r="425" spans="1:33" x14ac:dyDescent="0.3">
      <c r="A425" t="s">
        <v>3035</v>
      </c>
      <c r="B425" s="13">
        <v>45715</v>
      </c>
      <c r="C425">
        <v>2025</v>
      </c>
      <c r="D425">
        <v>2</v>
      </c>
      <c r="E425" t="s">
        <v>2849</v>
      </c>
      <c r="F425" t="s">
        <v>2572</v>
      </c>
      <c r="G425" t="s">
        <v>767</v>
      </c>
      <c r="H425" t="s">
        <v>768</v>
      </c>
      <c r="I425" t="s">
        <v>85</v>
      </c>
      <c r="J425">
        <v>47</v>
      </c>
      <c r="K425" t="s">
        <v>83</v>
      </c>
      <c r="L425" t="s">
        <v>91</v>
      </c>
      <c r="M425" t="s">
        <v>55</v>
      </c>
      <c r="N425" t="s">
        <v>2665</v>
      </c>
      <c r="O425" t="s">
        <v>128</v>
      </c>
      <c r="P425" t="s">
        <v>53</v>
      </c>
      <c r="Q425" t="s">
        <v>143</v>
      </c>
      <c r="R425">
        <v>2</v>
      </c>
      <c r="S425">
        <v>1499</v>
      </c>
      <c r="T425">
        <v>0</v>
      </c>
      <c r="U425">
        <v>2998</v>
      </c>
      <c r="V425">
        <v>1600</v>
      </c>
      <c r="W425">
        <v>1398</v>
      </c>
      <c r="X425" t="s">
        <v>77</v>
      </c>
      <c r="Y425" t="s">
        <v>68</v>
      </c>
      <c r="Z425" t="s">
        <v>158</v>
      </c>
      <c r="AA425" t="s">
        <v>171</v>
      </c>
      <c r="AB425">
        <v>3.7</v>
      </c>
      <c r="AC425">
        <v>60</v>
      </c>
      <c r="AD425">
        <v>232.1</v>
      </c>
      <c r="AE425">
        <f t="shared" si="12"/>
        <v>1105.9000000000001</v>
      </c>
      <c r="AF425" t="str">
        <f t="shared" si="13"/>
        <v>2025-02</v>
      </c>
      <c r="AG425">
        <f>SUBTOTAL(103,A425)</f>
        <v>1</v>
      </c>
    </row>
    <row r="426" spans="1:33" x14ac:dyDescent="0.3">
      <c r="A426" t="s">
        <v>3036</v>
      </c>
      <c r="B426" s="13">
        <v>45715</v>
      </c>
      <c r="C426">
        <v>2025</v>
      </c>
      <c r="D426">
        <v>2</v>
      </c>
      <c r="E426" t="s">
        <v>2849</v>
      </c>
      <c r="F426" t="s">
        <v>2572</v>
      </c>
      <c r="G426" t="s">
        <v>2545</v>
      </c>
      <c r="H426" t="s">
        <v>2546</v>
      </c>
      <c r="I426" t="s">
        <v>86</v>
      </c>
      <c r="J426">
        <v>38</v>
      </c>
      <c r="K426" t="s">
        <v>82</v>
      </c>
      <c r="L426" t="s">
        <v>90</v>
      </c>
      <c r="M426" t="s">
        <v>55</v>
      </c>
      <c r="N426" t="s">
        <v>2584</v>
      </c>
      <c r="O426" t="s">
        <v>121</v>
      </c>
      <c r="P426" t="s">
        <v>50</v>
      </c>
      <c r="Q426" t="s">
        <v>144</v>
      </c>
      <c r="R426">
        <v>1</v>
      </c>
      <c r="S426">
        <v>2999</v>
      </c>
      <c r="T426">
        <v>0.1</v>
      </c>
      <c r="U426">
        <v>0</v>
      </c>
      <c r="V426">
        <v>0</v>
      </c>
      <c r="W426">
        <v>0</v>
      </c>
      <c r="X426" t="s">
        <v>76</v>
      </c>
      <c r="Y426" t="s">
        <v>71</v>
      </c>
      <c r="Z426" t="s">
        <v>158</v>
      </c>
      <c r="AA426" t="s">
        <v>167</v>
      </c>
      <c r="AB426">
        <v>3.6</v>
      </c>
      <c r="AC426">
        <v>50</v>
      </c>
      <c r="AD426">
        <v>105.01</v>
      </c>
      <c r="AE426">
        <f t="shared" si="12"/>
        <v>-155.01</v>
      </c>
      <c r="AF426" t="str">
        <f t="shared" si="13"/>
        <v>2025-02</v>
      </c>
      <c r="AG426">
        <f>SUBTOTAL(103,A426)</f>
        <v>1</v>
      </c>
    </row>
    <row r="427" spans="1:33" x14ac:dyDescent="0.3">
      <c r="A427" t="s">
        <v>3037</v>
      </c>
      <c r="B427" s="13">
        <v>45715</v>
      </c>
      <c r="C427">
        <v>2025</v>
      </c>
      <c r="D427">
        <v>2</v>
      </c>
      <c r="E427" t="s">
        <v>2849</v>
      </c>
      <c r="F427" t="s">
        <v>2572</v>
      </c>
      <c r="G427" t="s">
        <v>1287</v>
      </c>
      <c r="H427" t="s">
        <v>1288</v>
      </c>
      <c r="I427" t="s">
        <v>86</v>
      </c>
      <c r="J427">
        <v>19</v>
      </c>
      <c r="K427" t="s">
        <v>80</v>
      </c>
      <c r="L427" t="s">
        <v>94</v>
      </c>
      <c r="M427" t="s">
        <v>57</v>
      </c>
      <c r="N427" t="s">
        <v>2596</v>
      </c>
      <c r="O427" t="s">
        <v>124</v>
      </c>
      <c r="P427" t="s">
        <v>51</v>
      </c>
      <c r="Q427" t="s">
        <v>147</v>
      </c>
      <c r="R427">
        <v>4</v>
      </c>
      <c r="S427">
        <v>2299</v>
      </c>
      <c r="T427">
        <v>0.05</v>
      </c>
      <c r="U427">
        <v>8736.2000000000007</v>
      </c>
      <c r="V427">
        <v>4800</v>
      </c>
      <c r="W427">
        <v>3936.2</v>
      </c>
      <c r="X427" t="s">
        <v>73</v>
      </c>
      <c r="Y427" t="s">
        <v>69</v>
      </c>
      <c r="Z427" t="s">
        <v>160</v>
      </c>
      <c r="AA427" t="s">
        <v>166</v>
      </c>
      <c r="AB427">
        <v>4</v>
      </c>
      <c r="AC427">
        <v>50</v>
      </c>
      <c r="AD427">
        <v>917.4</v>
      </c>
      <c r="AE427">
        <f t="shared" si="12"/>
        <v>2968.7999999999997</v>
      </c>
      <c r="AF427" t="str">
        <f t="shared" si="13"/>
        <v>2025-02</v>
      </c>
      <c r="AG427">
        <f>SUBTOTAL(103,A427)</f>
        <v>1</v>
      </c>
    </row>
    <row r="428" spans="1:33" x14ac:dyDescent="0.3">
      <c r="A428" t="s">
        <v>3038</v>
      </c>
      <c r="B428" s="13">
        <v>45715</v>
      </c>
      <c r="C428">
        <v>2025</v>
      </c>
      <c r="D428">
        <v>2</v>
      </c>
      <c r="E428" t="s">
        <v>2849</v>
      </c>
      <c r="F428" t="s">
        <v>2572</v>
      </c>
      <c r="G428" t="s">
        <v>2137</v>
      </c>
      <c r="H428" t="s">
        <v>2138</v>
      </c>
      <c r="I428" t="s">
        <v>86</v>
      </c>
      <c r="J428">
        <v>45</v>
      </c>
      <c r="K428" t="s">
        <v>82</v>
      </c>
      <c r="L428" t="s">
        <v>2610</v>
      </c>
      <c r="M428" t="s">
        <v>64</v>
      </c>
      <c r="N428" t="s">
        <v>2580</v>
      </c>
      <c r="O428" t="s">
        <v>118</v>
      </c>
      <c r="P428" t="s">
        <v>48</v>
      </c>
      <c r="Q428" t="s">
        <v>142</v>
      </c>
      <c r="R428">
        <v>1</v>
      </c>
      <c r="S428">
        <v>3999</v>
      </c>
      <c r="T428">
        <v>0.15</v>
      </c>
      <c r="U428">
        <v>3399.15</v>
      </c>
      <c r="V428">
        <v>2400</v>
      </c>
      <c r="W428">
        <v>999.15</v>
      </c>
      <c r="X428" t="s">
        <v>73</v>
      </c>
      <c r="Y428" t="s">
        <v>69</v>
      </c>
      <c r="Z428" t="s">
        <v>163</v>
      </c>
      <c r="AA428" t="s">
        <v>170</v>
      </c>
      <c r="AB428">
        <v>4.4000000000000004</v>
      </c>
      <c r="AC428">
        <v>50</v>
      </c>
      <c r="AD428">
        <v>150.32</v>
      </c>
      <c r="AE428">
        <f t="shared" si="12"/>
        <v>798.82999999999993</v>
      </c>
      <c r="AF428" t="str">
        <f t="shared" si="13"/>
        <v>2025-02</v>
      </c>
      <c r="AG428">
        <f>SUBTOTAL(103,A428)</f>
        <v>1</v>
      </c>
    </row>
    <row r="429" spans="1:33" x14ac:dyDescent="0.3">
      <c r="A429" t="s">
        <v>3039</v>
      </c>
      <c r="B429" s="13">
        <v>45715</v>
      </c>
      <c r="C429">
        <v>2025</v>
      </c>
      <c r="D429">
        <v>2</v>
      </c>
      <c r="E429" t="s">
        <v>2849</v>
      </c>
      <c r="F429" t="s">
        <v>2572</v>
      </c>
      <c r="G429" t="s">
        <v>981</v>
      </c>
      <c r="H429" t="s">
        <v>982</v>
      </c>
      <c r="I429" t="s">
        <v>86</v>
      </c>
      <c r="J429">
        <v>47</v>
      </c>
      <c r="K429" t="s">
        <v>83</v>
      </c>
      <c r="L429" t="s">
        <v>95</v>
      </c>
      <c r="M429" t="s">
        <v>56</v>
      </c>
      <c r="N429" t="s">
        <v>2594</v>
      </c>
      <c r="O429" t="s">
        <v>131</v>
      </c>
      <c r="P429" t="s">
        <v>53</v>
      </c>
      <c r="Q429" t="s">
        <v>143</v>
      </c>
      <c r="R429">
        <v>3</v>
      </c>
      <c r="S429">
        <v>999</v>
      </c>
      <c r="T429">
        <v>0.1</v>
      </c>
      <c r="U429">
        <v>2697.3</v>
      </c>
      <c r="V429">
        <v>1560</v>
      </c>
      <c r="W429">
        <v>1137.3</v>
      </c>
      <c r="X429" t="s">
        <v>73</v>
      </c>
      <c r="Y429" t="s">
        <v>69</v>
      </c>
      <c r="Z429" t="s">
        <v>158</v>
      </c>
      <c r="AA429" t="s">
        <v>167</v>
      </c>
      <c r="AB429">
        <v>4.8</v>
      </c>
      <c r="AC429">
        <v>40</v>
      </c>
      <c r="AD429">
        <v>75.930000000000007</v>
      </c>
      <c r="AE429">
        <f t="shared" si="12"/>
        <v>1021.3699999999999</v>
      </c>
      <c r="AF429" t="str">
        <f t="shared" si="13"/>
        <v>2025-02</v>
      </c>
      <c r="AG429">
        <f>SUBTOTAL(103,A429)</f>
        <v>1</v>
      </c>
    </row>
    <row r="430" spans="1:33" x14ac:dyDescent="0.3">
      <c r="A430" t="s">
        <v>3040</v>
      </c>
      <c r="B430" s="13">
        <v>45715</v>
      </c>
      <c r="C430">
        <v>2025</v>
      </c>
      <c r="D430">
        <v>2</v>
      </c>
      <c r="E430" t="s">
        <v>2849</v>
      </c>
      <c r="F430" t="s">
        <v>2572</v>
      </c>
      <c r="G430" t="s">
        <v>287</v>
      </c>
      <c r="H430" t="s">
        <v>288</v>
      </c>
      <c r="I430" t="s">
        <v>86</v>
      </c>
      <c r="J430">
        <v>56</v>
      </c>
      <c r="K430" t="s">
        <v>83</v>
      </c>
      <c r="L430" t="s">
        <v>2616</v>
      </c>
      <c r="M430" t="s">
        <v>62</v>
      </c>
      <c r="N430" t="s">
        <v>2665</v>
      </c>
      <c r="O430" t="s">
        <v>128</v>
      </c>
      <c r="P430" t="s">
        <v>53</v>
      </c>
      <c r="Q430" t="s">
        <v>143</v>
      </c>
      <c r="R430">
        <v>5</v>
      </c>
      <c r="S430">
        <v>1499</v>
      </c>
      <c r="T430">
        <v>0</v>
      </c>
      <c r="U430">
        <v>7495</v>
      </c>
      <c r="V430">
        <v>4000</v>
      </c>
      <c r="W430">
        <v>3495</v>
      </c>
      <c r="X430" t="s">
        <v>74</v>
      </c>
      <c r="Y430" t="s">
        <v>68</v>
      </c>
      <c r="Z430" t="s">
        <v>162</v>
      </c>
      <c r="AA430" t="s">
        <v>166</v>
      </c>
      <c r="AB430">
        <v>3.8</v>
      </c>
      <c r="AC430">
        <v>60</v>
      </c>
      <c r="AD430">
        <v>593.54</v>
      </c>
      <c r="AE430">
        <f t="shared" si="12"/>
        <v>2841.46</v>
      </c>
      <c r="AF430" t="str">
        <f t="shared" si="13"/>
        <v>2025-02</v>
      </c>
      <c r="AG430">
        <f>SUBTOTAL(103,A430)</f>
        <v>1</v>
      </c>
    </row>
    <row r="431" spans="1:33" x14ac:dyDescent="0.3">
      <c r="A431" t="s">
        <v>3041</v>
      </c>
      <c r="B431" s="13">
        <v>45715</v>
      </c>
      <c r="C431">
        <v>2025</v>
      </c>
      <c r="D431">
        <v>2</v>
      </c>
      <c r="E431" t="s">
        <v>2849</v>
      </c>
      <c r="F431" t="s">
        <v>2572</v>
      </c>
      <c r="G431" t="s">
        <v>1065</v>
      </c>
      <c r="H431" t="s">
        <v>1066</v>
      </c>
      <c r="I431" t="s">
        <v>85</v>
      </c>
      <c r="J431">
        <v>57</v>
      </c>
      <c r="K431" t="s">
        <v>83</v>
      </c>
      <c r="L431" t="s">
        <v>96</v>
      </c>
      <c r="M431" t="s">
        <v>55</v>
      </c>
      <c r="N431" t="s">
        <v>2626</v>
      </c>
      <c r="O431" t="s">
        <v>125</v>
      </c>
      <c r="P431" t="s">
        <v>48</v>
      </c>
      <c r="Q431" t="s">
        <v>141</v>
      </c>
      <c r="R431">
        <v>3</v>
      </c>
      <c r="S431">
        <v>1999</v>
      </c>
      <c r="T431">
        <v>0.1</v>
      </c>
      <c r="U431">
        <v>0</v>
      </c>
      <c r="V431">
        <v>0</v>
      </c>
      <c r="W431">
        <v>0</v>
      </c>
      <c r="X431" t="s">
        <v>73</v>
      </c>
      <c r="Y431" t="s">
        <v>71</v>
      </c>
      <c r="Z431" t="s">
        <v>162</v>
      </c>
      <c r="AA431" t="s">
        <v>171</v>
      </c>
      <c r="AB431">
        <v>3.7</v>
      </c>
      <c r="AC431">
        <v>50</v>
      </c>
      <c r="AD431">
        <v>111.9</v>
      </c>
      <c r="AE431">
        <f t="shared" si="12"/>
        <v>-161.9</v>
      </c>
      <c r="AF431" t="str">
        <f t="shared" si="13"/>
        <v>2025-02</v>
      </c>
      <c r="AG431">
        <f>SUBTOTAL(103,A431)</f>
        <v>1</v>
      </c>
    </row>
    <row r="432" spans="1:33" x14ac:dyDescent="0.3">
      <c r="A432" t="s">
        <v>3042</v>
      </c>
      <c r="B432" s="13">
        <v>45716</v>
      </c>
      <c r="C432">
        <v>2025</v>
      </c>
      <c r="D432">
        <v>2</v>
      </c>
      <c r="E432" t="s">
        <v>2849</v>
      </c>
      <c r="F432" t="s">
        <v>2572</v>
      </c>
      <c r="G432" t="s">
        <v>2255</v>
      </c>
      <c r="H432" t="s">
        <v>2256</v>
      </c>
      <c r="I432" t="s">
        <v>86</v>
      </c>
      <c r="J432">
        <v>31</v>
      </c>
      <c r="K432" t="s">
        <v>81</v>
      </c>
      <c r="L432" t="s">
        <v>2661</v>
      </c>
      <c r="M432" t="s">
        <v>58</v>
      </c>
      <c r="N432" t="s">
        <v>2587</v>
      </c>
      <c r="O432" t="s">
        <v>116</v>
      </c>
      <c r="P432" t="s">
        <v>48</v>
      </c>
      <c r="Q432" t="s">
        <v>138</v>
      </c>
      <c r="R432">
        <v>3</v>
      </c>
      <c r="S432">
        <v>14999</v>
      </c>
      <c r="T432">
        <v>0.2</v>
      </c>
      <c r="U432">
        <v>0</v>
      </c>
      <c r="V432">
        <v>0</v>
      </c>
      <c r="W432">
        <v>0</v>
      </c>
      <c r="X432" t="s">
        <v>74</v>
      </c>
      <c r="Y432" t="s">
        <v>71</v>
      </c>
      <c r="Z432" t="s">
        <v>162</v>
      </c>
      <c r="AA432" t="s">
        <v>166</v>
      </c>
      <c r="AB432">
        <v>4.5999999999999996</v>
      </c>
      <c r="AC432">
        <v>100</v>
      </c>
      <c r="AD432">
        <v>4032.63</v>
      </c>
      <c r="AE432">
        <f t="shared" si="12"/>
        <v>-4132.63</v>
      </c>
      <c r="AF432" t="str">
        <f t="shared" si="13"/>
        <v>2025-02</v>
      </c>
      <c r="AG432">
        <f>SUBTOTAL(103,A432)</f>
        <v>1</v>
      </c>
    </row>
    <row r="433" spans="1:33" x14ac:dyDescent="0.3">
      <c r="A433" t="s">
        <v>3043</v>
      </c>
      <c r="B433" s="13">
        <v>45716</v>
      </c>
      <c r="C433">
        <v>2025</v>
      </c>
      <c r="D433">
        <v>2</v>
      </c>
      <c r="E433" t="s">
        <v>2849</v>
      </c>
      <c r="F433" t="s">
        <v>2572</v>
      </c>
      <c r="G433" t="s">
        <v>583</v>
      </c>
      <c r="H433" t="s">
        <v>584</v>
      </c>
      <c r="I433" t="s">
        <v>86</v>
      </c>
      <c r="J433">
        <v>56</v>
      </c>
      <c r="K433" t="s">
        <v>83</v>
      </c>
      <c r="L433" t="s">
        <v>93</v>
      </c>
      <c r="M433" t="s">
        <v>55</v>
      </c>
      <c r="N433" t="s">
        <v>2644</v>
      </c>
      <c r="O433" t="s">
        <v>126</v>
      </c>
      <c r="P433" t="s">
        <v>50</v>
      </c>
      <c r="Q433" t="s">
        <v>145</v>
      </c>
      <c r="R433">
        <v>2</v>
      </c>
      <c r="S433">
        <v>1799</v>
      </c>
      <c r="T433">
        <v>0.2</v>
      </c>
      <c r="U433">
        <v>2878.4</v>
      </c>
      <c r="V433">
        <v>1900</v>
      </c>
      <c r="W433">
        <v>978.4</v>
      </c>
      <c r="X433" t="s">
        <v>73</v>
      </c>
      <c r="Y433" t="s">
        <v>68</v>
      </c>
      <c r="Z433" t="s">
        <v>161</v>
      </c>
      <c r="AA433" t="s">
        <v>171</v>
      </c>
      <c r="AB433">
        <v>5</v>
      </c>
      <c r="AC433">
        <v>60</v>
      </c>
      <c r="AD433">
        <v>212.96</v>
      </c>
      <c r="AE433">
        <f t="shared" si="12"/>
        <v>705.43999999999994</v>
      </c>
      <c r="AF433" t="str">
        <f t="shared" si="13"/>
        <v>2025-02</v>
      </c>
      <c r="AG433">
        <f>SUBTOTAL(103,A433)</f>
        <v>1</v>
      </c>
    </row>
    <row r="434" spans="1:33" x14ac:dyDescent="0.3">
      <c r="A434" t="s">
        <v>3044</v>
      </c>
      <c r="B434" s="13">
        <v>45716</v>
      </c>
      <c r="C434">
        <v>2025</v>
      </c>
      <c r="D434">
        <v>2</v>
      </c>
      <c r="E434" t="s">
        <v>2849</v>
      </c>
      <c r="F434" t="s">
        <v>2572</v>
      </c>
      <c r="G434" t="s">
        <v>2419</v>
      </c>
      <c r="H434" t="s">
        <v>2420</v>
      </c>
      <c r="I434" t="s">
        <v>86</v>
      </c>
      <c r="J434">
        <v>60</v>
      </c>
      <c r="K434" t="s">
        <v>83</v>
      </c>
      <c r="L434" t="s">
        <v>2586</v>
      </c>
      <c r="M434" t="s">
        <v>62</v>
      </c>
      <c r="N434" t="s">
        <v>2603</v>
      </c>
      <c r="O434" t="s">
        <v>122</v>
      </c>
      <c r="P434" t="s">
        <v>48</v>
      </c>
      <c r="Q434" t="s">
        <v>141</v>
      </c>
      <c r="R434">
        <v>1</v>
      </c>
      <c r="S434">
        <v>2499</v>
      </c>
      <c r="T434">
        <v>0.15</v>
      </c>
      <c r="U434">
        <v>2124.15</v>
      </c>
      <c r="V434">
        <v>1450</v>
      </c>
      <c r="W434">
        <v>674.15</v>
      </c>
      <c r="X434" t="s">
        <v>76</v>
      </c>
      <c r="Y434" t="s">
        <v>68</v>
      </c>
      <c r="Z434" t="s">
        <v>161</v>
      </c>
      <c r="AA434" t="s">
        <v>171</v>
      </c>
      <c r="AB434">
        <v>4</v>
      </c>
      <c r="AC434">
        <v>100</v>
      </c>
      <c r="AD434">
        <v>102.7</v>
      </c>
      <c r="AE434">
        <f t="shared" si="12"/>
        <v>471.45</v>
      </c>
      <c r="AF434" t="str">
        <f t="shared" si="13"/>
        <v>2025-02</v>
      </c>
      <c r="AG434">
        <f>SUBTOTAL(103,A434)</f>
        <v>1</v>
      </c>
    </row>
    <row r="435" spans="1:33" x14ac:dyDescent="0.3">
      <c r="A435" t="s">
        <v>3045</v>
      </c>
      <c r="B435" s="13">
        <v>45716</v>
      </c>
      <c r="C435">
        <v>2025</v>
      </c>
      <c r="D435">
        <v>2</v>
      </c>
      <c r="E435" t="s">
        <v>2849</v>
      </c>
      <c r="F435" t="s">
        <v>2572</v>
      </c>
      <c r="G435" t="s">
        <v>197</v>
      </c>
      <c r="H435" t="s">
        <v>198</v>
      </c>
      <c r="I435" t="s">
        <v>86</v>
      </c>
      <c r="J435">
        <v>57</v>
      </c>
      <c r="K435" t="s">
        <v>83</v>
      </c>
      <c r="L435" t="s">
        <v>2690</v>
      </c>
      <c r="M435" t="s">
        <v>63</v>
      </c>
      <c r="N435" t="s">
        <v>2601</v>
      </c>
      <c r="O435" t="s">
        <v>117</v>
      </c>
      <c r="P435" t="s">
        <v>49</v>
      </c>
      <c r="Q435" t="s">
        <v>139</v>
      </c>
      <c r="R435">
        <v>4</v>
      </c>
      <c r="S435">
        <v>6999</v>
      </c>
      <c r="T435">
        <v>0.05</v>
      </c>
      <c r="U435">
        <v>26596.2</v>
      </c>
      <c r="V435">
        <v>17200</v>
      </c>
      <c r="W435">
        <v>9396.2000000000007</v>
      </c>
      <c r="X435" t="s">
        <v>73</v>
      </c>
      <c r="Y435" t="s">
        <v>68</v>
      </c>
      <c r="Z435" t="s">
        <v>159</v>
      </c>
      <c r="AA435" t="s">
        <v>170</v>
      </c>
      <c r="AB435">
        <v>5</v>
      </c>
      <c r="AC435">
        <v>50</v>
      </c>
      <c r="AD435">
        <v>2690.88</v>
      </c>
      <c r="AE435">
        <f t="shared" si="12"/>
        <v>6655.3200000000006</v>
      </c>
      <c r="AF435" t="str">
        <f t="shared" si="13"/>
        <v>2025-02</v>
      </c>
      <c r="AG435">
        <f>SUBTOTAL(103,A435)</f>
        <v>1</v>
      </c>
    </row>
    <row r="436" spans="1:33" x14ac:dyDescent="0.3">
      <c r="A436" t="s">
        <v>3046</v>
      </c>
      <c r="B436" s="13">
        <v>45716</v>
      </c>
      <c r="C436">
        <v>2025</v>
      </c>
      <c r="D436">
        <v>2</v>
      </c>
      <c r="E436" t="s">
        <v>2849</v>
      </c>
      <c r="F436" t="s">
        <v>2572</v>
      </c>
      <c r="G436" t="s">
        <v>2047</v>
      </c>
      <c r="H436" t="s">
        <v>2048</v>
      </c>
      <c r="I436" t="s">
        <v>85</v>
      </c>
      <c r="J436">
        <v>18</v>
      </c>
      <c r="K436" t="s">
        <v>80</v>
      </c>
      <c r="L436" t="s">
        <v>2690</v>
      </c>
      <c r="M436" t="s">
        <v>63</v>
      </c>
      <c r="N436" t="s">
        <v>2594</v>
      </c>
      <c r="O436" t="s">
        <v>131</v>
      </c>
      <c r="P436" t="s">
        <v>53</v>
      </c>
      <c r="Q436" t="s">
        <v>143</v>
      </c>
      <c r="R436">
        <v>1</v>
      </c>
      <c r="S436">
        <v>999</v>
      </c>
      <c r="T436">
        <v>0.15</v>
      </c>
      <c r="U436">
        <v>849.15</v>
      </c>
      <c r="V436">
        <v>520</v>
      </c>
      <c r="W436">
        <v>329.15</v>
      </c>
      <c r="X436" t="s">
        <v>74</v>
      </c>
      <c r="Y436" t="s">
        <v>68</v>
      </c>
      <c r="Z436" t="s">
        <v>160</v>
      </c>
      <c r="AA436" t="s">
        <v>166</v>
      </c>
      <c r="AB436">
        <v>4.2</v>
      </c>
      <c r="AC436">
        <v>80</v>
      </c>
      <c r="AD436">
        <v>34.5</v>
      </c>
      <c r="AE436">
        <f t="shared" si="12"/>
        <v>214.64999999999998</v>
      </c>
      <c r="AF436" t="str">
        <f t="shared" si="13"/>
        <v>2025-02</v>
      </c>
      <c r="AG436">
        <f>SUBTOTAL(103,A436)</f>
        <v>1</v>
      </c>
    </row>
    <row r="437" spans="1:33" x14ac:dyDescent="0.3">
      <c r="A437" t="s">
        <v>3047</v>
      </c>
      <c r="B437" s="13">
        <v>45716</v>
      </c>
      <c r="C437">
        <v>2025</v>
      </c>
      <c r="D437">
        <v>2</v>
      </c>
      <c r="E437" t="s">
        <v>2849</v>
      </c>
      <c r="F437" t="s">
        <v>2572</v>
      </c>
      <c r="G437" t="s">
        <v>1551</v>
      </c>
      <c r="H437" t="s">
        <v>1552</v>
      </c>
      <c r="I437" t="s">
        <v>86</v>
      </c>
      <c r="J437">
        <v>55</v>
      </c>
      <c r="K437" t="s">
        <v>83</v>
      </c>
      <c r="L437" t="s">
        <v>93</v>
      </c>
      <c r="M437" t="s">
        <v>55</v>
      </c>
      <c r="N437" t="s">
        <v>2577</v>
      </c>
      <c r="O437" t="s">
        <v>129</v>
      </c>
      <c r="P437" t="s">
        <v>49</v>
      </c>
      <c r="Q437" t="s">
        <v>149</v>
      </c>
      <c r="R437">
        <v>3</v>
      </c>
      <c r="S437">
        <v>1299</v>
      </c>
      <c r="T437">
        <v>0.2</v>
      </c>
      <c r="U437">
        <v>3117.6</v>
      </c>
      <c r="V437">
        <v>1950</v>
      </c>
      <c r="W437">
        <v>1167.5999999999999</v>
      </c>
      <c r="X437" t="s">
        <v>73</v>
      </c>
      <c r="Y437" t="s">
        <v>68</v>
      </c>
      <c r="Z437" t="s">
        <v>160</v>
      </c>
      <c r="AA437" t="s">
        <v>170</v>
      </c>
      <c r="AB437">
        <v>4.5</v>
      </c>
      <c r="AC437">
        <v>50</v>
      </c>
      <c r="AD437">
        <v>151.02000000000001</v>
      </c>
      <c r="AE437">
        <f t="shared" si="12"/>
        <v>966.57999999999993</v>
      </c>
      <c r="AF437" t="str">
        <f t="shared" si="13"/>
        <v>2025-02</v>
      </c>
      <c r="AG437">
        <f>SUBTOTAL(103,A437)</f>
        <v>1</v>
      </c>
    </row>
    <row r="438" spans="1:33" x14ac:dyDescent="0.3">
      <c r="A438" t="s">
        <v>3048</v>
      </c>
      <c r="B438" s="13">
        <v>45716</v>
      </c>
      <c r="C438">
        <v>2025</v>
      </c>
      <c r="D438">
        <v>2</v>
      </c>
      <c r="E438" t="s">
        <v>2849</v>
      </c>
      <c r="F438" t="s">
        <v>2572</v>
      </c>
      <c r="G438" t="s">
        <v>1467</v>
      </c>
      <c r="H438" t="s">
        <v>1468</v>
      </c>
      <c r="I438" t="s">
        <v>86</v>
      </c>
      <c r="J438">
        <v>43</v>
      </c>
      <c r="K438" t="s">
        <v>82</v>
      </c>
      <c r="L438" t="s">
        <v>2599</v>
      </c>
      <c r="M438" t="s">
        <v>62</v>
      </c>
      <c r="N438" t="s">
        <v>2653</v>
      </c>
      <c r="O438" t="s">
        <v>132</v>
      </c>
      <c r="P438" t="s">
        <v>52</v>
      </c>
      <c r="Q438" t="s">
        <v>150</v>
      </c>
      <c r="R438">
        <v>4</v>
      </c>
      <c r="S438">
        <v>899</v>
      </c>
      <c r="T438">
        <v>0.05</v>
      </c>
      <c r="U438">
        <v>3416.2</v>
      </c>
      <c r="V438">
        <v>1680</v>
      </c>
      <c r="W438">
        <v>1736.2</v>
      </c>
      <c r="X438" t="s">
        <v>73</v>
      </c>
      <c r="Y438" t="s">
        <v>68</v>
      </c>
      <c r="Z438" t="s">
        <v>160</v>
      </c>
      <c r="AA438" t="s">
        <v>168</v>
      </c>
      <c r="AB438">
        <v>4.2</v>
      </c>
      <c r="AC438">
        <v>50</v>
      </c>
      <c r="AD438">
        <v>256.3</v>
      </c>
      <c r="AE438">
        <f t="shared" si="12"/>
        <v>1429.9</v>
      </c>
      <c r="AF438" t="str">
        <f t="shared" si="13"/>
        <v>2025-02</v>
      </c>
      <c r="AG438">
        <f>SUBTOTAL(103,A438)</f>
        <v>1</v>
      </c>
    </row>
    <row r="439" spans="1:33" x14ac:dyDescent="0.3">
      <c r="A439" t="s">
        <v>3049</v>
      </c>
      <c r="B439" s="13">
        <v>45716</v>
      </c>
      <c r="C439">
        <v>2025</v>
      </c>
      <c r="D439">
        <v>2</v>
      </c>
      <c r="E439" t="s">
        <v>2849</v>
      </c>
      <c r="F439" t="s">
        <v>2572</v>
      </c>
      <c r="G439" t="s">
        <v>923</v>
      </c>
      <c r="H439" t="s">
        <v>924</v>
      </c>
      <c r="I439" t="s">
        <v>86</v>
      </c>
      <c r="J439">
        <v>53</v>
      </c>
      <c r="K439" t="s">
        <v>83</v>
      </c>
      <c r="L439" t="s">
        <v>2605</v>
      </c>
      <c r="M439" t="s">
        <v>60</v>
      </c>
      <c r="N439" t="s">
        <v>2577</v>
      </c>
      <c r="O439" t="s">
        <v>129</v>
      </c>
      <c r="P439" t="s">
        <v>49</v>
      </c>
      <c r="Q439" t="s">
        <v>149</v>
      </c>
      <c r="R439">
        <v>2</v>
      </c>
      <c r="S439">
        <v>1299</v>
      </c>
      <c r="T439">
        <v>0.05</v>
      </c>
      <c r="U439">
        <v>2468.1</v>
      </c>
      <c r="V439">
        <v>1300</v>
      </c>
      <c r="W439">
        <v>1168.0999999999999</v>
      </c>
      <c r="X439" t="s">
        <v>74</v>
      </c>
      <c r="Y439" t="s">
        <v>68</v>
      </c>
      <c r="Z439" t="s">
        <v>159</v>
      </c>
      <c r="AA439" t="s">
        <v>168</v>
      </c>
      <c r="AB439">
        <v>3.9</v>
      </c>
      <c r="AC439">
        <v>80</v>
      </c>
      <c r="AD439">
        <v>212.37</v>
      </c>
      <c r="AE439">
        <f t="shared" si="12"/>
        <v>875.7299999999999</v>
      </c>
      <c r="AF439" t="str">
        <f t="shared" si="13"/>
        <v>2025-02</v>
      </c>
      <c r="AG439">
        <f>SUBTOTAL(103,A439)</f>
        <v>1</v>
      </c>
    </row>
    <row r="440" spans="1:33" x14ac:dyDescent="0.3">
      <c r="A440" t="s">
        <v>3050</v>
      </c>
      <c r="B440" s="13">
        <v>45716</v>
      </c>
      <c r="C440">
        <v>2025</v>
      </c>
      <c r="D440">
        <v>2</v>
      </c>
      <c r="E440" t="s">
        <v>2849</v>
      </c>
      <c r="F440" t="s">
        <v>2572</v>
      </c>
      <c r="G440" t="s">
        <v>1537</v>
      </c>
      <c r="H440" t="s">
        <v>1538</v>
      </c>
      <c r="I440" t="s">
        <v>85</v>
      </c>
      <c r="J440">
        <v>18</v>
      </c>
      <c r="K440" t="s">
        <v>80</v>
      </c>
      <c r="L440" t="s">
        <v>2579</v>
      </c>
      <c r="M440" t="s">
        <v>56</v>
      </c>
      <c r="N440" t="s">
        <v>2653</v>
      </c>
      <c r="O440" t="s">
        <v>132</v>
      </c>
      <c r="P440" t="s">
        <v>52</v>
      </c>
      <c r="Q440" t="s">
        <v>150</v>
      </c>
      <c r="R440">
        <v>3</v>
      </c>
      <c r="S440">
        <v>899</v>
      </c>
      <c r="T440">
        <v>0</v>
      </c>
      <c r="U440">
        <v>2697</v>
      </c>
      <c r="V440">
        <v>1260</v>
      </c>
      <c r="W440">
        <v>1437</v>
      </c>
      <c r="X440" t="s">
        <v>76</v>
      </c>
      <c r="Y440" t="s">
        <v>68</v>
      </c>
      <c r="Z440" t="s">
        <v>158</v>
      </c>
      <c r="AA440" t="s">
        <v>166</v>
      </c>
      <c r="AB440">
        <v>2.9</v>
      </c>
      <c r="AC440">
        <v>100</v>
      </c>
      <c r="AD440">
        <v>184.01</v>
      </c>
      <c r="AE440">
        <f t="shared" si="12"/>
        <v>1152.99</v>
      </c>
      <c r="AF440" t="str">
        <f t="shared" si="13"/>
        <v>2025-02</v>
      </c>
      <c r="AG440">
        <f>SUBTOTAL(103,A440)</f>
        <v>1</v>
      </c>
    </row>
    <row r="441" spans="1:33" x14ac:dyDescent="0.3">
      <c r="A441" t="s">
        <v>3051</v>
      </c>
      <c r="B441" s="13">
        <v>45716</v>
      </c>
      <c r="C441">
        <v>2025</v>
      </c>
      <c r="D441">
        <v>2</v>
      </c>
      <c r="E441" t="s">
        <v>2849</v>
      </c>
      <c r="F441" t="s">
        <v>2572</v>
      </c>
      <c r="G441" t="s">
        <v>227</v>
      </c>
      <c r="H441" t="s">
        <v>228</v>
      </c>
      <c r="I441" t="s">
        <v>87</v>
      </c>
      <c r="J441">
        <v>38</v>
      </c>
      <c r="K441" t="s">
        <v>82</v>
      </c>
      <c r="L441" t="s">
        <v>2634</v>
      </c>
      <c r="M441" t="s">
        <v>56</v>
      </c>
      <c r="N441" t="s">
        <v>2606</v>
      </c>
      <c r="O441" t="s">
        <v>120</v>
      </c>
      <c r="P441" t="s">
        <v>49</v>
      </c>
      <c r="Q441" t="s">
        <v>140</v>
      </c>
      <c r="R441">
        <v>3</v>
      </c>
      <c r="S441">
        <v>2799</v>
      </c>
      <c r="T441">
        <v>0.15</v>
      </c>
      <c r="U441">
        <v>7137.45</v>
      </c>
      <c r="V441">
        <v>4950</v>
      </c>
      <c r="W441">
        <v>2187.4499999999998</v>
      </c>
      <c r="X441" t="s">
        <v>77</v>
      </c>
      <c r="Y441" t="s">
        <v>68</v>
      </c>
      <c r="Z441" t="s">
        <v>160</v>
      </c>
      <c r="AA441" t="s">
        <v>169</v>
      </c>
      <c r="AB441">
        <v>4.5999999999999996</v>
      </c>
      <c r="AC441">
        <v>50</v>
      </c>
      <c r="AD441">
        <v>347.71</v>
      </c>
      <c r="AE441">
        <f t="shared" si="12"/>
        <v>1789.7399999999998</v>
      </c>
      <c r="AF441" t="str">
        <f t="shared" si="13"/>
        <v>2025-02</v>
      </c>
      <c r="AG441">
        <f>SUBTOTAL(103,A441)</f>
        <v>1</v>
      </c>
    </row>
    <row r="442" spans="1:33" x14ac:dyDescent="0.3">
      <c r="A442" t="s">
        <v>3052</v>
      </c>
      <c r="B442" s="13">
        <v>45717</v>
      </c>
      <c r="C442">
        <v>2025</v>
      </c>
      <c r="D442">
        <v>3</v>
      </c>
      <c r="E442" t="s">
        <v>3053</v>
      </c>
      <c r="F442" t="s">
        <v>2572</v>
      </c>
      <c r="G442" t="s">
        <v>1699</v>
      </c>
      <c r="H442" t="s">
        <v>1700</v>
      </c>
      <c r="I442" t="s">
        <v>86</v>
      </c>
      <c r="J442">
        <v>36</v>
      </c>
      <c r="K442" t="s">
        <v>82</v>
      </c>
      <c r="L442" t="s">
        <v>93</v>
      </c>
      <c r="M442" t="s">
        <v>55</v>
      </c>
      <c r="N442" t="s">
        <v>2594</v>
      </c>
      <c r="O442" t="s">
        <v>131</v>
      </c>
      <c r="P442" t="s">
        <v>53</v>
      </c>
      <c r="Q442" t="s">
        <v>143</v>
      </c>
      <c r="R442">
        <v>4</v>
      </c>
      <c r="S442">
        <v>999</v>
      </c>
      <c r="T442">
        <v>0</v>
      </c>
      <c r="U442">
        <v>3996</v>
      </c>
      <c r="V442">
        <v>2080</v>
      </c>
      <c r="W442">
        <v>1916</v>
      </c>
      <c r="X442" t="s">
        <v>73</v>
      </c>
      <c r="Y442" t="s">
        <v>68</v>
      </c>
      <c r="Z442" t="s">
        <v>159</v>
      </c>
      <c r="AA442" t="s">
        <v>170</v>
      </c>
      <c r="AB442">
        <v>3.2</v>
      </c>
      <c r="AC442">
        <v>50</v>
      </c>
      <c r="AD442">
        <v>279.32</v>
      </c>
      <c r="AE442">
        <f t="shared" si="12"/>
        <v>1586.68</v>
      </c>
      <c r="AF442" t="str">
        <f t="shared" si="13"/>
        <v>2025-03</v>
      </c>
      <c r="AG442">
        <f>SUBTOTAL(103,A442)</f>
        <v>1</v>
      </c>
    </row>
    <row r="443" spans="1:33" x14ac:dyDescent="0.3">
      <c r="A443" t="s">
        <v>3054</v>
      </c>
      <c r="B443" s="13">
        <v>45717</v>
      </c>
      <c r="C443">
        <v>2025</v>
      </c>
      <c r="D443">
        <v>3</v>
      </c>
      <c r="E443" t="s">
        <v>3053</v>
      </c>
      <c r="F443" t="s">
        <v>2572</v>
      </c>
      <c r="G443" t="s">
        <v>1609</v>
      </c>
      <c r="H443" t="s">
        <v>1610</v>
      </c>
      <c r="I443" t="s">
        <v>86</v>
      </c>
      <c r="J443">
        <v>36</v>
      </c>
      <c r="K443" t="s">
        <v>82</v>
      </c>
      <c r="L443" t="s">
        <v>2674</v>
      </c>
      <c r="M443" t="s">
        <v>58</v>
      </c>
      <c r="N443" t="s">
        <v>2582</v>
      </c>
      <c r="O443" t="s">
        <v>119</v>
      </c>
      <c r="P443" t="s">
        <v>49</v>
      </c>
      <c r="Q443" t="s">
        <v>140</v>
      </c>
      <c r="R443">
        <v>1</v>
      </c>
      <c r="S443">
        <v>3499</v>
      </c>
      <c r="T443">
        <v>0.15</v>
      </c>
      <c r="U443">
        <v>2974.15</v>
      </c>
      <c r="V443">
        <v>2100</v>
      </c>
      <c r="W443">
        <v>874.15</v>
      </c>
      <c r="X443" t="s">
        <v>74</v>
      </c>
      <c r="Y443" t="s">
        <v>68</v>
      </c>
      <c r="Z443" t="s">
        <v>163</v>
      </c>
      <c r="AA443" t="s">
        <v>170</v>
      </c>
      <c r="AB443">
        <v>3.8</v>
      </c>
      <c r="AC443">
        <v>80</v>
      </c>
      <c r="AD443">
        <v>246.99</v>
      </c>
      <c r="AE443">
        <f t="shared" si="12"/>
        <v>547.16</v>
      </c>
      <c r="AF443" t="str">
        <f t="shared" si="13"/>
        <v>2025-03</v>
      </c>
      <c r="AG443">
        <f>SUBTOTAL(103,A443)</f>
        <v>1</v>
      </c>
    </row>
    <row r="444" spans="1:33" x14ac:dyDescent="0.3">
      <c r="A444" t="s">
        <v>3055</v>
      </c>
      <c r="B444" s="13">
        <v>45717</v>
      </c>
      <c r="C444">
        <v>2025</v>
      </c>
      <c r="D444">
        <v>3</v>
      </c>
      <c r="E444" t="s">
        <v>3053</v>
      </c>
      <c r="F444" t="s">
        <v>2572</v>
      </c>
      <c r="G444" t="s">
        <v>763</v>
      </c>
      <c r="H444" t="s">
        <v>764</v>
      </c>
      <c r="I444" t="s">
        <v>85</v>
      </c>
      <c r="J444">
        <v>58</v>
      </c>
      <c r="K444" t="s">
        <v>83</v>
      </c>
      <c r="L444" t="s">
        <v>2634</v>
      </c>
      <c r="M444" t="s">
        <v>56</v>
      </c>
      <c r="N444" t="s">
        <v>2590</v>
      </c>
      <c r="O444" t="s">
        <v>127</v>
      </c>
      <c r="P444" t="s">
        <v>51</v>
      </c>
      <c r="Q444" t="s">
        <v>148</v>
      </c>
      <c r="R444">
        <v>2</v>
      </c>
      <c r="S444">
        <v>1599</v>
      </c>
      <c r="T444">
        <v>0.05</v>
      </c>
      <c r="U444">
        <v>3038.1</v>
      </c>
      <c r="V444">
        <v>1600</v>
      </c>
      <c r="W444">
        <v>1438.1</v>
      </c>
      <c r="X444" t="s">
        <v>73</v>
      </c>
      <c r="Y444" t="s">
        <v>68</v>
      </c>
      <c r="Z444" t="s">
        <v>158</v>
      </c>
      <c r="AA444" t="s">
        <v>171</v>
      </c>
      <c r="AB444">
        <v>3.4</v>
      </c>
      <c r="AC444">
        <v>40</v>
      </c>
      <c r="AD444">
        <v>175.74</v>
      </c>
      <c r="AE444">
        <f t="shared" si="12"/>
        <v>1222.3599999999999</v>
      </c>
      <c r="AF444" t="str">
        <f t="shared" si="13"/>
        <v>2025-03</v>
      </c>
      <c r="AG444">
        <f>SUBTOTAL(103,A444)</f>
        <v>1</v>
      </c>
    </row>
    <row r="445" spans="1:33" x14ac:dyDescent="0.3">
      <c r="A445" t="s">
        <v>3056</v>
      </c>
      <c r="B445" s="13">
        <v>45717</v>
      </c>
      <c r="C445">
        <v>2025</v>
      </c>
      <c r="D445">
        <v>3</v>
      </c>
      <c r="E445" t="s">
        <v>3053</v>
      </c>
      <c r="F445" t="s">
        <v>2572</v>
      </c>
      <c r="G445" t="s">
        <v>1567</v>
      </c>
      <c r="H445" t="s">
        <v>1568</v>
      </c>
      <c r="I445" t="s">
        <v>85</v>
      </c>
      <c r="J445">
        <v>33</v>
      </c>
      <c r="K445" t="s">
        <v>81</v>
      </c>
      <c r="L445" t="s">
        <v>90</v>
      </c>
      <c r="M445" t="s">
        <v>55</v>
      </c>
      <c r="N445" t="s">
        <v>2630</v>
      </c>
      <c r="O445" t="s">
        <v>123</v>
      </c>
      <c r="P445" t="s">
        <v>52</v>
      </c>
      <c r="Q445" t="s">
        <v>146</v>
      </c>
      <c r="R445">
        <v>3</v>
      </c>
      <c r="S445">
        <v>2499</v>
      </c>
      <c r="T445">
        <v>0.15</v>
      </c>
      <c r="U445">
        <v>6372.45</v>
      </c>
      <c r="V445">
        <v>4200</v>
      </c>
      <c r="W445">
        <v>2172.4499999999998</v>
      </c>
      <c r="X445" t="s">
        <v>73</v>
      </c>
      <c r="Y445" t="s">
        <v>70</v>
      </c>
      <c r="Z445" t="s">
        <v>158</v>
      </c>
      <c r="AA445" t="s">
        <v>167</v>
      </c>
      <c r="AB445">
        <v>3.6</v>
      </c>
      <c r="AC445">
        <v>40</v>
      </c>
      <c r="AD445">
        <v>636.82000000000005</v>
      </c>
      <c r="AE445">
        <f t="shared" si="12"/>
        <v>1495.6299999999997</v>
      </c>
      <c r="AF445" t="str">
        <f t="shared" si="13"/>
        <v>2025-03</v>
      </c>
      <c r="AG445">
        <f>SUBTOTAL(103,A445)</f>
        <v>1</v>
      </c>
    </row>
    <row r="446" spans="1:33" x14ac:dyDescent="0.3">
      <c r="A446" t="s">
        <v>3057</v>
      </c>
      <c r="B446" s="13">
        <v>45717</v>
      </c>
      <c r="C446">
        <v>2025</v>
      </c>
      <c r="D446">
        <v>3</v>
      </c>
      <c r="E446" t="s">
        <v>3053</v>
      </c>
      <c r="F446" t="s">
        <v>2572</v>
      </c>
      <c r="G446" t="s">
        <v>699</v>
      </c>
      <c r="H446" t="s">
        <v>700</v>
      </c>
      <c r="I446" t="s">
        <v>85</v>
      </c>
      <c r="J446">
        <v>42</v>
      </c>
      <c r="K446" t="s">
        <v>82</v>
      </c>
      <c r="L446" t="s">
        <v>2634</v>
      </c>
      <c r="M446" t="s">
        <v>56</v>
      </c>
      <c r="N446" t="s">
        <v>2594</v>
      </c>
      <c r="O446" t="s">
        <v>131</v>
      </c>
      <c r="P446" t="s">
        <v>53</v>
      </c>
      <c r="Q446" t="s">
        <v>143</v>
      </c>
      <c r="R446">
        <v>4</v>
      </c>
      <c r="S446">
        <v>999</v>
      </c>
      <c r="T446">
        <v>0.25</v>
      </c>
      <c r="U446">
        <v>2997</v>
      </c>
      <c r="V446">
        <v>2080</v>
      </c>
      <c r="W446">
        <v>917</v>
      </c>
      <c r="X446" t="s">
        <v>74</v>
      </c>
      <c r="Y446" t="s">
        <v>68</v>
      </c>
      <c r="Z446" t="s">
        <v>159</v>
      </c>
      <c r="AA446" t="s">
        <v>168</v>
      </c>
      <c r="AB446">
        <v>5</v>
      </c>
      <c r="AC446">
        <v>40</v>
      </c>
      <c r="AD446">
        <v>133.07</v>
      </c>
      <c r="AE446">
        <f t="shared" si="12"/>
        <v>743.93000000000006</v>
      </c>
      <c r="AF446" t="str">
        <f t="shared" si="13"/>
        <v>2025-03</v>
      </c>
      <c r="AG446">
        <f>SUBTOTAL(103,A446)</f>
        <v>1</v>
      </c>
    </row>
    <row r="447" spans="1:33" x14ac:dyDescent="0.3">
      <c r="A447" t="s">
        <v>3058</v>
      </c>
      <c r="B447" s="13">
        <v>45717</v>
      </c>
      <c r="C447">
        <v>2025</v>
      </c>
      <c r="D447">
        <v>3</v>
      </c>
      <c r="E447" t="s">
        <v>3053</v>
      </c>
      <c r="F447" t="s">
        <v>2572</v>
      </c>
      <c r="G447" t="s">
        <v>695</v>
      </c>
      <c r="H447" t="s">
        <v>696</v>
      </c>
      <c r="I447" t="s">
        <v>85</v>
      </c>
      <c r="J447">
        <v>43</v>
      </c>
      <c r="K447" t="s">
        <v>82</v>
      </c>
      <c r="L447" t="s">
        <v>100</v>
      </c>
      <c r="M447" t="s">
        <v>56</v>
      </c>
      <c r="N447" t="s">
        <v>2665</v>
      </c>
      <c r="O447" t="s">
        <v>128</v>
      </c>
      <c r="P447" t="s">
        <v>53</v>
      </c>
      <c r="Q447" t="s">
        <v>143</v>
      </c>
      <c r="R447">
        <v>3</v>
      </c>
      <c r="S447">
        <v>1499</v>
      </c>
      <c r="T447">
        <v>0.1</v>
      </c>
      <c r="U447">
        <v>4047.3</v>
      </c>
      <c r="V447">
        <v>2400</v>
      </c>
      <c r="W447">
        <v>1647.3</v>
      </c>
      <c r="X447" t="s">
        <v>77</v>
      </c>
      <c r="Y447" t="s">
        <v>68</v>
      </c>
      <c r="Z447" t="s">
        <v>161</v>
      </c>
      <c r="AA447" t="s">
        <v>168</v>
      </c>
      <c r="AB447">
        <v>4.7</v>
      </c>
      <c r="AC447">
        <v>80</v>
      </c>
      <c r="AD447">
        <v>427.83</v>
      </c>
      <c r="AE447">
        <f t="shared" si="12"/>
        <v>1139.47</v>
      </c>
      <c r="AF447" t="str">
        <f t="shared" si="13"/>
        <v>2025-03</v>
      </c>
      <c r="AG447">
        <f>SUBTOTAL(103,A447)</f>
        <v>1</v>
      </c>
    </row>
    <row r="448" spans="1:33" x14ac:dyDescent="0.3">
      <c r="A448" t="s">
        <v>3059</v>
      </c>
      <c r="B448" s="13">
        <v>45718</v>
      </c>
      <c r="C448">
        <v>2025</v>
      </c>
      <c r="D448">
        <v>3</v>
      </c>
      <c r="E448" t="s">
        <v>3053</v>
      </c>
      <c r="F448" t="s">
        <v>2572</v>
      </c>
      <c r="G448" t="s">
        <v>1157</v>
      </c>
      <c r="H448" t="s">
        <v>1158</v>
      </c>
      <c r="I448" t="s">
        <v>85</v>
      </c>
      <c r="J448">
        <v>60</v>
      </c>
      <c r="K448" t="s">
        <v>83</v>
      </c>
      <c r="L448" t="s">
        <v>2674</v>
      </c>
      <c r="M448" t="s">
        <v>58</v>
      </c>
      <c r="N448" t="s">
        <v>2584</v>
      </c>
      <c r="O448" t="s">
        <v>121</v>
      </c>
      <c r="P448" t="s">
        <v>50</v>
      </c>
      <c r="Q448" t="s">
        <v>144</v>
      </c>
      <c r="R448">
        <v>1</v>
      </c>
      <c r="S448">
        <v>2999</v>
      </c>
      <c r="T448">
        <v>0.15</v>
      </c>
      <c r="U448">
        <v>2549.15</v>
      </c>
      <c r="V448">
        <v>1700</v>
      </c>
      <c r="W448">
        <v>849.15</v>
      </c>
      <c r="X448" t="s">
        <v>74</v>
      </c>
      <c r="Y448" t="s">
        <v>68</v>
      </c>
      <c r="Z448" t="s">
        <v>160</v>
      </c>
      <c r="AA448" t="s">
        <v>167</v>
      </c>
      <c r="AB448">
        <v>4.2</v>
      </c>
      <c r="AC448">
        <v>50</v>
      </c>
      <c r="AD448">
        <v>83.79</v>
      </c>
      <c r="AE448">
        <f t="shared" si="12"/>
        <v>715.36</v>
      </c>
      <c r="AF448" t="str">
        <f t="shared" si="13"/>
        <v>2025-03</v>
      </c>
      <c r="AG448">
        <f>SUBTOTAL(103,A448)</f>
        <v>1</v>
      </c>
    </row>
    <row r="449" spans="1:33" x14ac:dyDescent="0.3">
      <c r="A449" t="s">
        <v>3060</v>
      </c>
      <c r="B449" s="13">
        <v>45718</v>
      </c>
      <c r="C449">
        <v>2025</v>
      </c>
      <c r="D449">
        <v>3</v>
      </c>
      <c r="E449" t="s">
        <v>3053</v>
      </c>
      <c r="F449" t="s">
        <v>2572</v>
      </c>
      <c r="G449" t="s">
        <v>1253</v>
      </c>
      <c r="H449" t="s">
        <v>1254</v>
      </c>
      <c r="I449" t="s">
        <v>86</v>
      </c>
      <c r="J449">
        <v>26</v>
      </c>
      <c r="K449" t="s">
        <v>81</v>
      </c>
      <c r="L449" t="s">
        <v>97</v>
      </c>
      <c r="M449" t="s">
        <v>57</v>
      </c>
      <c r="N449" t="s">
        <v>2594</v>
      </c>
      <c r="O449" t="s">
        <v>131</v>
      </c>
      <c r="P449" t="s">
        <v>53</v>
      </c>
      <c r="Q449" t="s">
        <v>143</v>
      </c>
      <c r="R449">
        <v>2</v>
      </c>
      <c r="S449">
        <v>999</v>
      </c>
      <c r="T449">
        <v>0</v>
      </c>
      <c r="U449">
        <v>1998</v>
      </c>
      <c r="V449">
        <v>1040</v>
      </c>
      <c r="W449">
        <v>958</v>
      </c>
      <c r="X449" t="s">
        <v>76</v>
      </c>
      <c r="Y449" t="s">
        <v>68</v>
      </c>
      <c r="Z449" t="s">
        <v>158</v>
      </c>
      <c r="AA449" t="s">
        <v>167</v>
      </c>
      <c r="AB449">
        <v>4.5999999999999996</v>
      </c>
      <c r="AC449">
        <v>60</v>
      </c>
      <c r="AD449">
        <v>144.24</v>
      </c>
      <c r="AE449">
        <f t="shared" si="12"/>
        <v>753.76</v>
      </c>
      <c r="AF449" t="str">
        <f t="shared" si="13"/>
        <v>2025-03</v>
      </c>
      <c r="AG449">
        <f>SUBTOTAL(103,A449)</f>
        <v>1</v>
      </c>
    </row>
    <row r="450" spans="1:33" x14ac:dyDescent="0.3">
      <c r="A450" t="s">
        <v>3061</v>
      </c>
      <c r="B450" s="13">
        <v>45718</v>
      </c>
      <c r="C450">
        <v>2025</v>
      </c>
      <c r="D450">
        <v>3</v>
      </c>
      <c r="E450" t="s">
        <v>3053</v>
      </c>
      <c r="F450" t="s">
        <v>2572</v>
      </c>
      <c r="G450" t="s">
        <v>2071</v>
      </c>
      <c r="H450" t="s">
        <v>2072</v>
      </c>
      <c r="I450" t="s">
        <v>85</v>
      </c>
      <c r="J450">
        <v>22</v>
      </c>
      <c r="K450" t="s">
        <v>80</v>
      </c>
      <c r="L450" t="s">
        <v>59</v>
      </c>
      <c r="M450" t="s">
        <v>59</v>
      </c>
      <c r="N450" t="s">
        <v>2657</v>
      </c>
      <c r="O450" t="s">
        <v>134</v>
      </c>
      <c r="P450" t="s">
        <v>49</v>
      </c>
      <c r="Q450" t="s">
        <v>140</v>
      </c>
      <c r="R450">
        <v>2</v>
      </c>
      <c r="S450">
        <v>599</v>
      </c>
      <c r="T450">
        <v>0.1</v>
      </c>
      <c r="U450">
        <v>1078.2</v>
      </c>
      <c r="V450">
        <v>500</v>
      </c>
      <c r="W450">
        <v>578.20000000000005</v>
      </c>
      <c r="X450" t="s">
        <v>73</v>
      </c>
      <c r="Y450" t="s">
        <v>68</v>
      </c>
      <c r="Z450" t="s">
        <v>163</v>
      </c>
      <c r="AA450" t="s">
        <v>166</v>
      </c>
      <c r="AB450">
        <v>4.2</v>
      </c>
      <c r="AC450">
        <v>50</v>
      </c>
      <c r="AD450">
        <v>119.72</v>
      </c>
      <c r="AE450">
        <f t="shared" ref="AE450:AE513" si="14">W450-AC450-AD450</f>
        <v>408.48</v>
      </c>
      <c r="AF450" t="str">
        <f t="shared" ref="AF450:AF513" si="15">C450&amp;"-"&amp;TEXT(D450,"00")</f>
        <v>2025-03</v>
      </c>
      <c r="AG450">
        <f>SUBTOTAL(103,A450)</f>
        <v>1</v>
      </c>
    </row>
    <row r="451" spans="1:33" x14ac:dyDescent="0.3">
      <c r="A451" t="s">
        <v>3062</v>
      </c>
      <c r="B451" s="13">
        <v>45718</v>
      </c>
      <c r="C451">
        <v>2025</v>
      </c>
      <c r="D451">
        <v>3</v>
      </c>
      <c r="E451" t="s">
        <v>3053</v>
      </c>
      <c r="F451" t="s">
        <v>2572</v>
      </c>
      <c r="G451" t="s">
        <v>1895</v>
      </c>
      <c r="H451" t="s">
        <v>1896</v>
      </c>
      <c r="I451" t="s">
        <v>86</v>
      </c>
      <c r="J451">
        <v>33</v>
      </c>
      <c r="K451" t="s">
        <v>81</v>
      </c>
      <c r="L451" t="s">
        <v>2579</v>
      </c>
      <c r="M451" t="s">
        <v>56</v>
      </c>
      <c r="N451" t="s">
        <v>2577</v>
      </c>
      <c r="O451" t="s">
        <v>129</v>
      </c>
      <c r="P451" t="s">
        <v>49</v>
      </c>
      <c r="Q451" t="s">
        <v>149</v>
      </c>
      <c r="R451">
        <v>2</v>
      </c>
      <c r="S451">
        <v>1299</v>
      </c>
      <c r="T451">
        <v>0</v>
      </c>
      <c r="U451">
        <v>2598</v>
      </c>
      <c r="V451">
        <v>1300</v>
      </c>
      <c r="W451">
        <v>1298</v>
      </c>
      <c r="X451" t="s">
        <v>77</v>
      </c>
      <c r="Y451" t="s">
        <v>68</v>
      </c>
      <c r="Z451" t="s">
        <v>158</v>
      </c>
      <c r="AA451" t="s">
        <v>166</v>
      </c>
      <c r="AB451">
        <v>3.6</v>
      </c>
      <c r="AC451">
        <v>40</v>
      </c>
      <c r="AD451">
        <v>137.72</v>
      </c>
      <c r="AE451">
        <f t="shared" si="14"/>
        <v>1120.28</v>
      </c>
      <c r="AF451" t="str">
        <f t="shared" si="15"/>
        <v>2025-03</v>
      </c>
      <c r="AG451">
        <f>SUBTOTAL(103,A451)</f>
        <v>1</v>
      </c>
    </row>
    <row r="452" spans="1:33" x14ac:dyDescent="0.3">
      <c r="A452" t="s">
        <v>3063</v>
      </c>
      <c r="B452" s="13">
        <v>45718</v>
      </c>
      <c r="C452">
        <v>2025</v>
      </c>
      <c r="D452">
        <v>3</v>
      </c>
      <c r="E452" t="s">
        <v>3053</v>
      </c>
      <c r="F452" t="s">
        <v>2572</v>
      </c>
      <c r="G452" t="s">
        <v>2391</v>
      </c>
      <c r="H452" t="s">
        <v>2392</v>
      </c>
      <c r="I452" t="s">
        <v>85</v>
      </c>
      <c r="J452">
        <v>50</v>
      </c>
      <c r="K452" t="s">
        <v>83</v>
      </c>
      <c r="L452" t="s">
        <v>91</v>
      </c>
      <c r="M452" t="s">
        <v>55</v>
      </c>
      <c r="N452" t="s">
        <v>2580</v>
      </c>
      <c r="O452" t="s">
        <v>118</v>
      </c>
      <c r="P452" t="s">
        <v>48</v>
      </c>
      <c r="Q452" t="s">
        <v>142</v>
      </c>
      <c r="R452">
        <v>1</v>
      </c>
      <c r="S452">
        <v>3999</v>
      </c>
      <c r="T452">
        <v>0.15</v>
      </c>
      <c r="U452">
        <v>3399.15</v>
      </c>
      <c r="V452">
        <v>2400</v>
      </c>
      <c r="W452">
        <v>999.15</v>
      </c>
      <c r="X452" t="s">
        <v>73</v>
      </c>
      <c r="Y452" t="s">
        <v>68</v>
      </c>
      <c r="Z452" t="s">
        <v>161</v>
      </c>
      <c r="AA452" t="s">
        <v>167</v>
      </c>
      <c r="AB452">
        <v>4.8</v>
      </c>
      <c r="AC452">
        <v>100</v>
      </c>
      <c r="AD452">
        <v>290.82</v>
      </c>
      <c r="AE452">
        <f t="shared" si="14"/>
        <v>608.32999999999993</v>
      </c>
      <c r="AF452" t="str">
        <f t="shared" si="15"/>
        <v>2025-03</v>
      </c>
      <c r="AG452">
        <f>SUBTOTAL(103,A452)</f>
        <v>1</v>
      </c>
    </row>
    <row r="453" spans="1:33" x14ac:dyDescent="0.3">
      <c r="A453" t="s">
        <v>3064</v>
      </c>
      <c r="B453" s="13">
        <v>45718</v>
      </c>
      <c r="C453">
        <v>2025</v>
      </c>
      <c r="D453">
        <v>3</v>
      </c>
      <c r="E453" t="s">
        <v>3053</v>
      </c>
      <c r="F453" t="s">
        <v>2572</v>
      </c>
      <c r="G453" t="s">
        <v>1125</v>
      </c>
      <c r="H453" t="s">
        <v>1126</v>
      </c>
      <c r="I453" t="s">
        <v>86</v>
      </c>
      <c r="J453">
        <v>44</v>
      </c>
      <c r="K453" t="s">
        <v>82</v>
      </c>
      <c r="L453" t="s">
        <v>94</v>
      </c>
      <c r="M453" t="s">
        <v>57</v>
      </c>
      <c r="N453" t="s">
        <v>2592</v>
      </c>
      <c r="O453" t="s">
        <v>115</v>
      </c>
      <c r="P453" t="s">
        <v>48</v>
      </c>
      <c r="Q453" t="s">
        <v>137</v>
      </c>
      <c r="R453">
        <v>2</v>
      </c>
      <c r="S453">
        <v>12999</v>
      </c>
      <c r="T453">
        <v>0.05</v>
      </c>
      <c r="U453">
        <v>24698.1</v>
      </c>
      <c r="V453">
        <v>18000</v>
      </c>
      <c r="W453">
        <v>6698.1</v>
      </c>
      <c r="X453" t="s">
        <v>74</v>
      </c>
      <c r="Y453" t="s">
        <v>68</v>
      </c>
      <c r="Z453" t="s">
        <v>160</v>
      </c>
      <c r="AA453" t="s">
        <v>168</v>
      </c>
      <c r="AB453">
        <v>4.5</v>
      </c>
      <c r="AC453">
        <v>50</v>
      </c>
      <c r="AD453">
        <v>2748.13</v>
      </c>
      <c r="AE453">
        <f t="shared" si="14"/>
        <v>3899.9700000000003</v>
      </c>
      <c r="AF453" t="str">
        <f t="shared" si="15"/>
        <v>2025-03</v>
      </c>
      <c r="AG453">
        <f>SUBTOTAL(103,A453)</f>
        <v>1</v>
      </c>
    </row>
    <row r="454" spans="1:33" x14ac:dyDescent="0.3">
      <c r="A454" t="s">
        <v>3065</v>
      </c>
      <c r="B454" s="13">
        <v>45719</v>
      </c>
      <c r="C454">
        <v>2025</v>
      </c>
      <c r="D454">
        <v>3</v>
      </c>
      <c r="E454" t="s">
        <v>3053</v>
      </c>
      <c r="F454" t="s">
        <v>2572</v>
      </c>
      <c r="G454" t="s">
        <v>1871</v>
      </c>
      <c r="H454" t="s">
        <v>1872</v>
      </c>
      <c r="I454" t="s">
        <v>86</v>
      </c>
      <c r="J454">
        <v>36</v>
      </c>
      <c r="K454" t="s">
        <v>82</v>
      </c>
      <c r="L454" t="s">
        <v>2579</v>
      </c>
      <c r="M454" t="s">
        <v>56</v>
      </c>
      <c r="N454" t="s">
        <v>2574</v>
      </c>
      <c r="O454" t="s">
        <v>130</v>
      </c>
      <c r="P454" t="s">
        <v>50</v>
      </c>
      <c r="Q454" t="s">
        <v>53</v>
      </c>
      <c r="R454">
        <v>1</v>
      </c>
      <c r="S454">
        <v>1199</v>
      </c>
      <c r="T454">
        <v>0</v>
      </c>
      <c r="U454">
        <v>1199</v>
      </c>
      <c r="V454">
        <v>550</v>
      </c>
      <c r="W454">
        <v>649</v>
      </c>
      <c r="X454" t="s">
        <v>73</v>
      </c>
      <c r="Y454" t="s">
        <v>68</v>
      </c>
      <c r="Z454" t="s">
        <v>158</v>
      </c>
      <c r="AA454" t="s">
        <v>168</v>
      </c>
      <c r="AB454">
        <v>4.2</v>
      </c>
      <c r="AC454">
        <v>50</v>
      </c>
      <c r="AD454">
        <v>108.68</v>
      </c>
      <c r="AE454">
        <f t="shared" si="14"/>
        <v>490.32</v>
      </c>
      <c r="AF454" t="str">
        <f t="shared" si="15"/>
        <v>2025-03</v>
      </c>
      <c r="AG454">
        <f>SUBTOTAL(103,A454)</f>
        <v>1</v>
      </c>
    </row>
    <row r="455" spans="1:33" x14ac:dyDescent="0.3">
      <c r="A455" t="s">
        <v>3066</v>
      </c>
      <c r="B455" s="13">
        <v>45719</v>
      </c>
      <c r="C455">
        <v>2025</v>
      </c>
      <c r="D455">
        <v>3</v>
      </c>
      <c r="E455" t="s">
        <v>3053</v>
      </c>
      <c r="F455" t="s">
        <v>2572</v>
      </c>
      <c r="G455" t="s">
        <v>2323</v>
      </c>
      <c r="H455" t="s">
        <v>2324</v>
      </c>
      <c r="I455" t="s">
        <v>86</v>
      </c>
      <c r="J455">
        <v>51</v>
      </c>
      <c r="K455" t="s">
        <v>83</v>
      </c>
      <c r="L455" t="s">
        <v>2586</v>
      </c>
      <c r="M455" t="s">
        <v>62</v>
      </c>
      <c r="N455" t="s">
        <v>2665</v>
      </c>
      <c r="O455" t="s">
        <v>128</v>
      </c>
      <c r="P455" t="s">
        <v>53</v>
      </c>
      <c r="Q455" t="s">
        <v>143</v>
      </c>
      <c r="R455">
        <v>1</v>
      </c>
      <c r="S455">
        <v>1499</v>
      </c>
      <c r="T455">
        <v>0.05</v>
      </c>
      <c r="U455">
        <v>1424.05</v>
      </c>
      <c r="V455">
        <v>800</v>
      </c>
      <c r="W455">
        <v>624.04999999999995</v>
      </c>
      <c r="X455" t="s">
        <v>73</v>
      </c>
      <c r="Y455" t="s">
        <v>68</v>
      </c>
      <c r="Z455" t="s">
        <v>159</v>
      </c>
      <c r="AA455" t="s">
        <v>168</v>
      </c>
      <c r="AB455">
        <v>3.7</v>
      </c>
      <c r="AC455">
        <v>60</v>
      </c>
      <c r="AD455">
        <v>116.01</v>
      </c>
      <c r="AE455">
        <f t="shared" si="14"/>
        <v>448.03999999999996</v>
      </c>
      <c r="AF455" t="str">
        <f t="shared" si="15"/>
        <v>2025-03</v>
      </c>
      <c r="AG455">
        <f>SUBTOTAL(103,A455)</f>
        <v>1</v>
      </c>
    </row>
    <row r="456" spans="1:33" x14ac:dyDescent="0.3">
      <c r="A456" t="s">
        <v>3067</v>
      </c>
      <c r="B456" s="13">
        <v>45719</v>
      </c>
      <c r="C456">
        <v>2025</v>
      </c>
      <c r="D456">
        <v>3</v>
      </c>
      <c r="E456" t="s">
        <v>3053</v>
      </c>
      <c r="F456" t="s">
        <v>2572</v>
      </c>
      <c r="G456" t="s">
        <v>1017</v>
      </c>
      <c r="H456" t="s">
        <v>1018</v>
      </c>
      <c r="I456" t="s">
        <v>87</v>
      </c>
      <c r="J456">
        <v>60</v>
      </c>
      <c r="K456" t="s">
        <v>83</v>
      </c>
      <c r="L456" t="s">
        <v>93</v>
      </c>
      <c r="M456" t="s">
        <v>55</v>
      </c>
      <c r="N456" t="s">
        <v>2601</v>
      </c>
      <c r="O456" t="s">
        <v>117</v>
      </c>
      <c r="P456" t="s">
        <v>49</v>
      </c>
      <c r="Q456" t="s">
        <v>139</v>
      </c>
      <c r="R456">
        <v>3</v>
      </c>
      <c r="S456">
        <v>6999</v>
      </c>
      <c r="T456">
        <v>0.1</v>
      </c>
      <c r="U456">
        <v>18897.3</v>
      </c>
      <c r="V456">
        <v>12900</v>
      </c>
      <c r="W456">
        <v>5997.3</v>
      </c>
      <c r="X456" t="s">
        <v>74</v>
      </c>
      <c r="Y456" t="s">
        <v>69</v>
      </c>
      <c r="Z456" t="s">
        <v>159</v>
      </c>
      <c r="AA456" t="s">
        <v>167</v>
      </c>
      <c r="AB456">
        <v>3.7</v>
      </c>
      <c r="AC456">
        <v>60</v>
      </c>
      <c r="AD456">
        <v>1235.05</v>
      </c>
      <c r="AE456">
        <f t="shared" si="14"/>
        <v>4702.25</v>
      </c>
      <c r="AF456" t="str">
        <f t="shared" si="15"/>
        <v>2025-03</v>
      </c>
      <c r="AG456">
        <f>SUBTOTAL(103,A456)</f>
        <v>1</v>
      </c>
    </row>
    <row r="457" spans="1:33" x14ac:dyDescent="0.3">
      <c r="A457" t="s">
        <v>3068</v>
      </c>
      <c r="B457" s="13">
        <v>45719</v>
      </c>
      <c r="C457">
        <v>2025</v>
      </c>
      <c r="D457">
        <v>3</v>
      </c>
      <c r="E457" t="s">
        <v>3053</v>
      </c>
      <c r="F457" t="s">
        <v>2572</v>
      </c>
      <c r="G457" t="s">
        <v>977</v>
      </c>
      <c r="H457" t="s">
        <v>978</v>
      </c>
      <c r="I457" t="s">
        <v>85</v>
      </c>
      <c r="J457">
        <v>23</v>
      </c>
      <c r="K457" t="s">
        <v>80</v>
      </c>
      <c r="L457" t="s">
        <v>2679</v>
      </c>
      <c r="M457" t="s">
        <v>60</v>
      </c>
      <c r="N457" t="s">
        <v>2665</v>
      </c>
      <c r="O457" t="s">
        <v>128</v>
      </c>
      <c r="P457" t="s">
        <v>53</v>
      </c>
      <c r="Q457" t="s">
        <v>143</v>
      </c>
      <c r="R457">
        <v>2</v>
      </c>
      <c r="S457">
        <v>1499</v>
      </c>
      <c r="T457">
        <v>0</v>
      </c>
      <c r="U457">
        <v>2998</v>
      </c>
      <c r="V457">
        <v>1600</v>
      </c>
      <c r="W457">
        <v>1398</v>
      </c>
      <c r="X457" t="s">
        <v>75</v>
      </c>
      <c r="Y457" t="s">
        <v>68</v>
      </c>
      <c r="Z457" t="s">
        <v>159</v>
      </c>
      <c r="AA457" t="s">
        <v>166</v>
      </c>
      <c r="AB457">
        <v>5</v>
      </c>
      <c r="AC457">
        <v>80</v>
      </c>
      <c r="AD457">
        <v>70.52</v>
      </c>
      <c r="AE457">
        <f t="shared" si="14"/>
        <v>1247.48</v>
      </c>
      <c r="AF457" t="str">
        <f t="shared" si="15"/>
        <v>2025-03</v>
      </c>
      <c r="AG457">
        <f>SUBTOTAL(103,A457)</f>
        <v>1</v>
      </c>
    </row>
    <row r="458" spans="1:33" x14ac:dyDescent="0.3">
      <c r="A458" t="s">
        <v>3069</v>
      </c>
      <c r="B458" s="13">
        <v>45719</v>
      </c>
      <c r="C458">
        <v>2025</v>
      </c>
      <c r="D458">
        <v>3</v>
      </c>
      <c r="E458" t="s">
        <v>3053</v>
      </c>
      <c r="F458" t="s">
        <v>2572</v>
      </c>
      <c r="G458" t="s">
        <v>807</v>
      </c>
      <c r="H458" t="s">
        <v>808</v>
      </c>
      <c r="I458" t="s">
        <v>85</v>
      </c>
      <c r="J458">
        <v>21</v>
      </c>
      <c r="K458" t="s">
        <v>80</v>
      </c>
      <c r="L458" t="s">
        <v>90</v>
      </c>
      <c r="M458" t="s">
        <v>55</v>
      </c>
      <c r="N458" t="s">
        <v>2601</v>
      </c>
      <c r="O458" t="s">
        <v>117</v>
      </c>
      <c r="P458" t="s">
        <v>49</v>
      </c>
      <c r="Q458" t="s">
        <v>139</v>
      </c>
      <c r="R458">
        <v>2</v>
      </c>
      <c r="S458">
        <v>6999</v>
      </c>
      <c r="T458">
        <v>0.25</v>
      </c>
      <c r="U458">
        <v>10498.5</v>
      </c>
      <c r="V458">
        <v>8600</v>
      </c>
      <c r="W458">
        <v>1898.5</v>
      </c>
      <c r="X458" t="s">
        <v>73</v>
      </c>
      <c r="Y458" t="s">
        <v>68</v>
      </c>
      <c r="Z458" t="s">
        <v>159</v>
      </c>
      <c r="AA458" t="s">
        <v>166</v>
      </c>
      <c r="AB458">
        <v>3.8</v>
      </c>
      <c r="AC458">
        <v>60</v>
      </c>
      <c r="AD458">
        <v>240.79</v>
      </c>
      <c r="AE458">
        <f t="shared" si="14"/>
        <v>1597.71</v>
      </c>
      <c r="AF458" t="str">
        <f t="shared" si="15"/>
        <v>2025-03</v>
      </c>
      <c r="AG458">
        <f>SUBTOTAL(103,A458)</f>
        <v>1</v>
      </c>
    </row>
    <row r="459" spans="1:33" x14ac:dyDescent="0.3">
      <c r="A459" t="s">
        <v>3070</v>
      </c>
      <c r="B459" s="13">
        <v>45719</v>
      </c>
      <c r="C459">
        <v>2025</v>
      </c>
      <c r="D459">
        <v>3</v>
      </c>
      <c r="E459" t="s">
        <v>3053</v>
      </c>
      <c r="F459" t="s">
        <v>2572</v>
      </c>
      <c r="G459" t="s">
        <v>219</v>
      </c>
      <c r="H459" t="s">
        <v>220</v>
      </c>
      <c r="I459" t="s">
        <v>86</v>
      </c>
      <c r="J459">
        <v>42</v>
      </c>
      <c r="K459" t="s">
        <v>82</v>
      </c>
      <c r="L459" t="s">
        <v>91</v>
      </c>
      <c r="M459" t="s">
        <v>55</v>
      </c>
      <c r="N459" t="s">
        <v>2665</v>
      </c>
      <c r="O459" t="s">
        <v>128</v>
      </c>
      <c r="P459" t="s">
        <v>53</v>
      </c>
      <c r="Q459" t="s">
        <v>143</v>
      </c>
      <c r="R459">
        <v>4</v>
      </c>
      <c r="S459">
        <v>1499</v>
      </c>
      <c r="T459">
        <v>0.05</v>
      </c>
      <c r="U459">
        <v>5696.2</v>
      </c>
      <c r="V459">
        <v>3200</v>
      </c>
      <c r="W459">
        <v>2496.1999999999998</v>
      </c>
      <c r="X459" t="s">
        <v>73</v>
      </c>
      <c r="Y459" t="s">
        <v>68</v>
      </c>
      <c r="Z459" t="s">
        <v>159</v>
      </c>
      <c r="AA459" t="s">
        <v>166</v>
      </c>
      <c r="AB459">
        <v>4.9000000000000004</v>
      </c>
      <c r="AC459">
        <v>50</v>
      </c>
      <c r="AD459">
        <v>466.64</v>
      </c>
      <c r="AE459">
        <f t="shared" si="14"/>
        <v>1979.56</v>
      </c>
      <c r="AF459" t="str">
        <f t="shared" si="15"/>
        <v>2025-03</v>
      </c>
      <c r="AG459">
        <f>SUBTOTAL(103,A459)</f>
        <v>1</v>
      </c>
    </row>
    <row r="460" spans="1:33" x14ac:dyDescent="0.3">
      <c r="A460" t="s">
        <v>3071</v>
      </c>
      <c r="B460" s="13">
        <v>45719</v>
      </c>
      <c r="C460">
        <v>2025</v>
      </c>
      <c r="D460">
        <v>3</v>
      </c>
      <c r="E460" t="s">
        <v>3053</v>
      </c>
      <c r="F460" t="s">
        <v>2572</v>
      </c>
      <c r="G460" t="s">
        <v>247</v>
      </c>
      <c r="H460" t="s">
        <v>248</v>
      </c>
      <c r="I460" t="s">
        <v>85</v>
      </c>
      <c r="J460">
        <v>58</v>
      </c>
      <c r="K460" t="s">
        <v>83</v>
      </c>
      <c r="L460" t="s">
        <v>95</v>
      </c>
      <c r="M460" t="s">
        <v>56</v>
      </c>
      <c r="N460" t="s">
        <v>2587</v>
      </c>
      <c r="O460" t="s">
        <v>116</v>
      </c>
      <c r="P460" t="s">
        <v>48</v>
      </c>
      <c r="Q460" t="s">
        <v>138</v>
      </c>
      <c r="R460">
        <v>1</v>
      </c>
      <c r="S460">
        <v>14999</v>
      </c>
      <c r="T460">
        <v>0.1</v>
      </c>
      <c r="U460">
        <v>13499.1</v>
      </c>
      <c r="V460">
        <v>11200</v>
      </c>
      <c r="W460">
        <v>2299.1</v>
      </c>
      <c r="X460" t="s">
        <v>75</v>
      </c>
      <c r="Y460" t="s">
        <v>68</v>
      </c>
      <c r="Z460" t="s">
        <v>162</v>
      </c>
      <c r="AA460" t="s">
        <v>166</v>
      </c>
      <c r="AB460">
        <v>5</v>
      </c>
      <c r="AC460">
        <v>50</v>
      </c>
      <c r="AD460">
        <v>1148.8900000000001</v>
      </c>
      <c r="AE460">
        <f t="shared" si="14"/>
        <v>1100.2099999999998</v>
      </c>
      <c r="AF460" t="str">
        <f t="shared" si="15"/>
        <v>2025-03</v>
      </c>
      <c r="AG460">
        <f>SUBTOTAL(103,A460)</f>
        <v>1</v>
      </c>
    </row>
    <row r="461" spans="1:33" x14ac:dyDescent="0.3">
      <c r="A461" t="s">
        <v>3072</v>
      </c>
      <c r="B461" s="13">
        <v>45720</v>
      </c>
      <c r="C461">
        <v>2025</v>
      </c>
      <c r="D461">
        <v>3</v>
      </c>
      <c r="E461" t="s">
        <v>3053</v>
      </c>
      <c r="F461" t="s">
        <v>2572</v>
      </c>
      <c r="G461" t="s">
        <v>1233</v>
      </c>
      <c r="H461" t="s">
        <v>1234</v>
      </c>
      <c r="I461" t="s">
        <v>85</v>
      </c>
      <c r="J461">
        <v>34</v>
      </c>
      <c r="K461" t="s">
        <v>81</v>
      </c>
      <c r="L461" t="s">
        <v>99</v>
      </c>
      <c r="M461" t="s">
        <v>58</v>
      </c>
      <c r="N461" t="s">
        <v>2584</v>
      </c>
      <c r="O461" t="s">
        <v>121</v>
      </c>
      <c r="P461" t="s">
        <v>50</v>
      </c>
      <c r="Q461" t="s">
        <v>144</v>
      </c>
      <c r="R461">
        <v>3</v>
      </c>
      <c r="S461">
        <v>2999</v>
      </c>
      <c r="T461">
        <v>0.05</v>
      </c>
      <c r="U461">
        <v>8547.15</v>
      </c>
      <c r="V461">
        <v>5100</v>
      </c>
      <c r="W461">
        <v>3447.15</v>
      </c>
      <c r="X461" t="s">
        <v>77</v>
      </c>
      <c r="Y461" t="s">
        <v>68</v>
      </c>
      <c r="Z461" t="s">
        <v>158</v>
      </c>
      <c r="AA461" t="s">
        <v>167</v>
      </c>
      <c r="AB461">
        <v>3.6</v>
      </c>
      <c r="AC461">
        <v>40</v>
      </c>
      <c r="AD461">
        <v>753.49</v>
      </c>
      <c r="AE461">
        <f t="shared" si="14"/>
        <v>2653.66</v>
      </c>
      <c r="AF461" t="str">
        <f t="shared" si="15"/>
        <v>2025-03</v>
      </c>
      <c r="AG461">
        <f>SUBTOTAL(103,A461)</f>
        <v>1</v>
      </c>
    </row>
    <row r="462" spans="1:33" x14ac:dyDescent="0.3">
      <c r="A462" t="s">
        <v>3073</v>
      </c>
      <c r="B462" s="13">
        <v>45720</v>
      </c>
      <c r="C462">
        <v>2025</v>
      </c>
      <c r="D462">
        <v>3</v>
      </c>
      <c r="E462" t="s">
        <v>3053</v>
      </c>
      <c r="F462" t="s">
        <v>2572</v>
      </c>
      <c r="G462" t="s">
        <v>1427</v>
      </c>
      <c r="H462" t="s">
        <v>1428</v>
      </c>
      <c r="I462" t="s">
        <v>86</v>
      </c>
      <c r="J462">
        <v>45</v>
      </c>
      <c r="K462" t="s">
        <v>82</v>
      </c>
      <c r="L462" t="s">
        <v>93</v>
      </c>
      <c r="M462" t="s">
        <v>55</v>
      </c>
      <c r="N462" t="s">
        <v>2584</v>
      </c>
      <c r="O462" t="s">
        <v>121</v>
      </c>
      <c r="P462" t="s">
        <v>50</v>
      </c>
      <c r="Q462" t="s">
        <v>144</v>
      </c>
      <c r="R462">
        <v>2</v>
      </c>
      <c r="S462">
        <v>2999</v>
      </c>
      <c r="T462">
        <v>0.15</v>
      </c>
      <c r="U462">
        <v>5098.3</v>
      </c>
      <c r="V462">
        <v>3400</v>
      </c>
      <c r="W462">
        <v>1698.3</v>
      </c>
      <c r="X462" t="s">
        <v>76</v>
      </c>
      <c r="Y462" t="s">
        <v>69</v>
      </c>
      <c r="Z462" t="s">
        <v>162</v>
      </c>
      <c r="AA462" t="s">
        <v>167</v>
      </c>
      <c r="AB462">
        <v>4.7</v>
      </c>
      <c r="AC462">
        <v>80</v>
      </c>
      <c r="AD462">
        <v>185.84</v>
      </c>
      <c r="AE462">
        <f t="shared" si="14"/>
        <v>1432.46</v>
      </c>
      <c r="AF462" t="str">
        <f t="shared" si="15"/>
        <v>2025-03</v>
      </c>
      <c r="AG462">
        <f>SUBTOTAL(103,A462)</f>
        <v>1</v>
      </c>
    </row>
    <row r="463" spans="1:33" x14ac:dyDescent="0.3">
      <c r="A463" t="s">
        <v>3074</v>
      </c>
      <c r="B463" s="13">
        <v>45720</v>
      </c>
      <c r="C463">
        <v>2025</v>
      </c>
      <c r="D463">
        <v>3</v>
      </c>
      <c r="E463" t="s">
        <v>3053</v>
      </c>
      <c r="F463" t="s">
        <v>2572</v>
      </c>
      <c r="G463" t="s">
        <v>345</v>
      </c>
      <c r="H463" t="s">
        <v>346</v>
      </c>
      <c r="I463" t="s">
        <v>85</v>
      </c>
      <c r="J463">
        <v>34</v>
      </c>
      <c r="K463" t="s">
        <v>81</v>
      </c>
      <c r="L463" t="s">
        <v>96</v>
      </c>
      <c r="M463" t="s">
        <v>55</v>
      </c>
      <c r="N463" t="s">
        <v>2601</v>
      </c>
      <c r="O463" t="s">
        <v>117</v>
      </c>
      <c r="P463" t="s">
        <v>49</v>
      </c>
      <c r="Q463" t="s">
        <v>139</v>
      </c>
      <c r="R463">
        <v>1</v>
      </c>
      <c r="S463">
        <v>6999</v>
      </c>
      <c r="T463">
        <v>0.2</v>
      </c>
      <c r="U463">
        <v>5599.2</v>
      </c>
      <c r="V463">
        <v>4300</v>
      </c>
      <c r="W463">
        <v>1299.2</v>
      </c>
      <c r="X463" t="s">
        <v>75</v>
      </c>
      <c r="Y463" t="s">
        <v>68</v>
      </c>
      <c r="Z463" t="s">
        <v>163</v>
      </c>
      <c r="AA463" t="s">
        <v>170</v>
      </c>
      <c r="AB463">
        <v>4.8</v>
      </c>
      <c r="AC463">
        <v>60</v>
      </c>
      <c r="AD463">
        <v>477.44</v>
      </c>
      <c r="AE463">
        <f t="shared" si="14"/>
        <v>761.76</v>
      </c>
      <c r="AF463" t="str">
        <f t="shared" si="15"/>
        <v>2025-03</v>
      </c>
      <c r="AG463">
        <f>SUBTOTAL(103,A463)</f>
        <v>1</v>
      </c>
    </row>
    <row r="464" spans="1:33" x14ac:dyDescent="0.3">
      <c r="A464" t="s">
        <v>3075</v>
      </c>
      <c r="B464" s="13">
        <v>45720</v>
      </c>
      <c r="C464">
        <v>2025</v>
      </c>
      <c r="D464">
        <v>3</v>
      </c>
      <c r="E464" t="s">
        <v>3053</v>
      </c>
      <c r="F464" t="s">
        <v>2572</v>
      </c>
      <c r="G464" t="s">
        <v>2483</v>
      </c>
      <c r="H464" t="s">
        <v>2484</v>
      </c>
      <c r="I464" t="s">
        <v>86</v>
      </c>
      <c r="J464">
        <v>56</v>
      </c>
      <c r="K464" t="s">
        <v>83</v>
      </c>
      <c r="L464" t="s">
        <v>99</v>
      </c>
      <c r="M464" t="s">
        <v>58</v>
      </c>
      <c r="N464" t="s">
        <v>2626</v>
      </c>
      <c r="O464" t="s">
        <v>125</v>
      </c>
      <c r="P464" t="s">
        <v>48</v>
      </c>
      <c r="Q464" t="s">
        <v>141</v>
      </c>
      <c r="R464">
        <v>1</v>
      </c>
      <c r="S464">
        <v>1999</v>
      </c>
      <c r="T464">
        <v>0.1</v>
      </c>
      <c r="U464">
        <v>1799.1</v>
      </c>
      <c r="V464">
        <v>1150</v>
      </c>
      <c r="W464">
        <v>649.1</v>
      </c>
      <c r="X464" t="s">
        <v>73</v>
      </c>
      <c r="Y464" t="s">
        <v>68</v>
      </c>
      <c r="Z464" t="s">
        <v>161</v>
      </c>
      <c r="AA464" t="s">
        <v>168</v>
      </c>
      <c r="AB464">
        <v>3.9</v>
      </c>
      <c r="AC464">
        <v>80</v>
      </c>
      <c r="AD464">
        <v>58.63</v>
      </c>
      <c r="AE464">
        <f t="shared" si="14"/>
        <v>510.47</v>
      </c>
      <c r="AF464" t="str">
        <f t="shared" si="15"/>
        <v>2025-03</v>
      </c>
      <c r="AG464">
        <f>SUBTOTAL(103,A464)</f>
        <v>1</v>
      </c>
    </row>
    <row r="465" spans="1:33" x14ac:dyDescent="0.3">
      <c r="A465" t="s">
        <v>3076</v>
      </c>
      <c r="B465" s="13">
        <v>45721</v>
      </c>
      <c r="C465">
        <v>2025</v>
      </c>
      <c r="D465">
        <v>3</v>
      </c>
      <c r="E465" t="s">
        <v>3053</v>
      </c>
      <c r="F465" t="s">
        <v>2572</v>
      </c>
      <c r="G465" t="s">
        <v>543</v>
      </c>
      <c r="H465" t="s">
        <v>544</v>
      </c>
      <c r="I465" t="s">
        <v>86</v>
      </c>
      <c r="J465">
        <v>37</v>
      </c>
      <c r="K465" t="s">
        <v>82</v>
      </c>
      <c r="L465" t="s">
        <v>2690</v>
      </c>
      <c r="M465" t="s">
        <v>63</v>
      </c>
      <c r="N465" t="s">
        <v>2594</v>
      </c>
      <c r="O465" t="s">
        <v>131</v>
      </c>
      <c r="P465" t="s">
        <v>53</v>
      </c>
      <c r="Q465" t="s">
        <v>143</v>
      </c>
      <c r="R465">
        <v>1</v>
      </c>
      <c r="S465">
        <v>999</v>
      </c>
      <c r="T465">
        <v>0.1</v>
      </c>
      <c r="U465">
        <v>899.1</v>
      </c>
      <c r="V465">
        <v>520</v>
      </c>
      <c r="W465">
        <v>379.1</v>
      </c>
      <c r="X465" t="s">
        <v>75</v>
      </c>
      <c r="Y465" t="s">
        <v>68</v>
      </c>
      <c r="Z465" t="s">
        <v>162</v>
      </c>
      <c r="AA465" t="s">
        <v>170</v>
      </c>
      <c r="AB465">
        <v>4.2</v>
      </c>
      <c r="AC465">
        <v>80</v>
      </c>
      <c r="AD465">
        <v>87.39</v>
      </c>
      <c r="AE465">
        <f t="shared" si="14"/>
        <v>211.71000000000004</v>
      </c>
      <c r="AF465" t="str">
        <f t="shared" si="15"/>
        <v>2025-03</v>
      </c>
      <c r="AG465">
        <f>SUBTOTAL(103,A465)</f>
        <v>1</v>
      </c>
    </row>
    <row r="466" spans="1:33" x14ac:dyDescent="0.3">
      <c r="A466" t="s">
        <v>3077</v>
      </c>
      <c r="B466" s="13">
        <v>45721</v>
      </c>
      <c r="C466">
        <v>2025</v>
      </c>
      <c r="D466">
        <v>3</v>
      </c>
      <c r="E466" t="s">
        <v>3053</v>
      </c>
      <c r="F466" t="s">
        <v>2572</v>
      </c>
      <c r="G466" t="s">
        <v>1675</v>
      </c>
      <c r="H466" t="s">
        <v>1676</v>
      </c>
      <c r="I466" t="s">
        <v>85</v>
      </c>
      <c r="J466">
        <v>24</v>
      </c>
      <c r="K466" t="s">
        <v>80</v>
      </c>
      <c r="L466" t="s">
        <v>2576</v>
      </c>
      <c r="M466" t="s">
        <v>60</v>
      </c>
      <c r="N466" t="s">
        <v>2577</v>
      </c>
      <c r="O466" t="s">
        <v>129</v>
      </c>
      <c r="P466" t="s">
        <v>49</v>
      </c>
      <c r="Q466" t="s">
        <v>149</v>
      </c>
      <c r="R466">
        <v>1</v>
      </c>
      <c r="S466">
        <v>1299</v>
      </c>
      <c r="T466">
        <v>0</v>
      </c>
      <c r="U466">
        <v>1299</v>
      </c>
      <c r="V466">
        <v>650</v>
      </c>
      <c r="W466">
        <v>649</v>
      </c>
      <c r="X466" t="s">
        <v>75</v>
      </c>
      <c r="Y466" t="s">
        <v>68</v>
      </c>
      <c r="Z466" t="s">
        <v>159</v>
      </c>
      <c r="AA466" t="s">
        <v>169</v>
      </c>
      <c r="AB466">
        <v>3.7</v>
      </c>
      <c r="AC466">
        <v>60</v>
      </c>
      <c r="AD466">
        <v>112.82</v>
      </c>
      <c r="AE466">
        <f t="shared" si="14"/>
        <v>476.18</v>
      </c>
      <c r="AF466" t="str">
        <f t="shared" si="15"/>
        <v>2025-03</v>
      </c>
      <c r="AG466">
        <f>SUBTOTAL(103,A466)</f>
        <v>1</v>
      </c>
    </row>
    <row r="467" spans="1:33" x14ac:dyDescent="0.3">
      <c r="A467" t="s">
        <v>3078</v>
      </c>
      <c r="B467" s="13">
        <v>45721</v>
      </c>
      <c r="C467">
        <v>2025</v>
      </c>
      <c r="D467">
        <v>3</v>
      </c>
      <c r="E467" t="s">
        <v>3053</v>
      </c>
      <c r="F467" t="s">
        <v>2572</v>
      </c>
      <c r="G467" t="s">
        <v>873</v>
      </c>
      <c r="H467" t="s">
        <v>874</v>
      </c>
      <c r="I467" t="s">
        <v>85</v>
      </c>
      <c r="J467">
        <v>31</v>
      </c>
      <c r="K467" t="s">
        <v>81</v>
      </c>
      <c r="L467" t="s">
        <v>93</v>
      </c>
      <c r="M467" t="s">
        <v>55</v>
      </c>
      <c r="N467" t="s">
        <v>2587</v>
      </c>
      <c r="O467" t="s">
        <v>116</v>
      </c>
      <c r="P467" t="s">
        <v>48</v>
      </c>
      <c r="Q467" t="s">
        <v>138</v>
      </c>
      <c r="R467">
        <v>2</v>
      </c>
      <c r="S467">
        <v>14999</v>
      </c>
      <c r="T467">
        <v>0.1</v>
      </c>
      <c r="U467">
        <v>26998.2</v>
      </c>
      <c r="V467">
        <v>22400</v>
      </c>
      <c r="W467">
        <v>4598.2</v>
      </c>
      <c r="X467" t="s">
        <v>74</v>
      </c>
      <c r="Y467" t="s">
        <v>68</v>
      </c>
      <c r="Z467" t="s">
        <v>163</v>
      </c>
      <c r="AA467" t="s">
        <v>166</v>
      </c>
      <c r="AB467">
        <v>4.5999999999999996</v>
      </c>
      <c r="AC467">
        <v>40</v>
      </c>
      <c r="AD467">
        <v>1775.97</v>
      </c>
      <c r="AE467">
        <f t="shared" si="14"/>
        <v>2782.2299999999996</v>
      </c>
      <c r="AF467" t="str">
        <f t="shared" si="15"/>
        <v>2025-03</v>
      </c>
      <c r="AG467">
        <f>SUBTOTAL(103,A467)</f>
        <v>1</v>
      </c>
    </row>
    <row r="468" spans="1:33" x14ac:dyDescent="0.3">
      <c r="A468" t="s">
        <v>3079</v>
      </c>
      <c r="B468" s="13">
        <v>45721</v>
      </c>
      <c r="C468">
        <v>2025</v>
      </c>
      <c r="D468">
        <v>3</v>
      </c>
      <c r="E468" t="s">
        <v>3053</v>
      </c>
      <c r="F468" t="s">
        <v>2572</v>
      </c>
      <c r="G468" t="s">
        <v>1035</v>
      </c>
      <c r="H468" t="s">
        <v>1036</v>
      </c>
      <c r="I468" t="s">
        <v>86</v>
      </c>
      <c r="J468">
        <v>47</v>
      </c>
      <c r="K468" t="s">
        <v>83</v>
      </c>
      <c r="L468" t="s">
        <v>2586</v>
      </c>
      <c r="M468" t="s">
        <v>62</v>
      </c>
      <c r="N468" t="s">
        <v>2582</v>
      </c>
      <c r="O468" t="s">
        <v>119</v>
      </c>
      <c r="P468" t="s">
        <v>49</v>
      </c>
      <c r="Q468" t="s">
        <v>140</v>
      </c>
      <c r="R468">
        <v>5</v>
      </c>
      <c r="S468">
        <v>3499</v>
      </c>
      <c r="T468">
        <v>0</v>
      </c>
      <c r="U468">
        <v>17495</v>
      </c>
      <c r="V468">
        <v>10500</v>
      </c>
      <c r="W468">
        <v>6995</v>
      </c>
      <c r="X468" t="s">
        <v>73</v>
      </c>
      <c r="Y468" t="s">
        <v>68</v>
      </c>
      <c r="Z468" t="s">
        <v>160</v>
      </c>
      <c r="AA468" t="s">
        <v>171</v>
      </c>
      <c r="AB468">
        <v>3.8</v>
      </c>
      <c r="AC468">
        <v>40</v>
      </c>
      <c r="AD468">
        <v>1663.29</v>
      </c>
      <c r="AE468">
        <f t="shared" si="14"/>
        <v>5291.71</v>
      </c>
      <c r="AF468" t="str">
        <f t="shared" si="15"/>
        <v>2025-03</v>
      </c>
      <c r="AG468">
        <f>SUBTOTAL(103,A468)</f>
        <v>1</v>
      </c>
    </row>
    <row r="469" spans="1:33" x14ac:dyDescent="0.3">
      <c r="A469" t="s">
        <v>3080</v>
      </c>
      <c r="B469" s="13">
        <v>45721</v>
      </c>
      <c r="C469">
        <v>2025</v>
      </c>
      <c r="D469">
        <v>3</v>
      </c>
      <c r="E469" t="s">
        <v>3053</v>
      </c>
      <c r="F469" t="s">
        <v>2572</v>
      </c>
      <c r="G469" t="s">
        <v>677</v>
      </c>
      <c r="H469" t="s">
        <v>678</v>
      </c>
      <c r="I469" t="s">
        <v>86</v>
      </c>
      <c r="J469">
        <v>59</v>
      </c>
      <c r="K469" t="s">
        <v>83</v>
      </c>
      <c r="L469" t="s">
        <v>92</v>
      </c>
      <c r="M469" t="s">
        <v>59</v>
      </c>
      <c r="N469" t="s">
        <v>2587</v>
      </c>
      <c r="O469" t="s">
        <v>116</v>
      </c>
      <c r="P469" t="s">
        <v>48</v>
      </c>
      <c r="Q469" t="s">
        <v>138</v>
      </c>
      <c r="R469">
        <v>2</v>
      </c>
      <c r="S469">
        <v>14999</v>
      </c>
      <c r="T469">
        <v>0</v>
      </c>
      <c r="U469">
        <v>29998</v>
      </c>
      <c r="V469">
        <v>22400</v>
      </c>
      <c r="W469">
        <v>7598</v>
      </c>
      <c r="X469" t="s">
        <v>76</v>
      </c>
      <c r="Y469" t="s">
        <v>68</v>
      </c>
      <c r="Z469" t="s">
        <v>159</v>
      </c>
      <c r="AA469" t="s">
        <v>170</v>
      </c>
      <c r="AB469">
        <v>3.6</v>
      </c>
      <c r="AC469">
        <v>60</v>
      </c>
      <c r="AD469">
        <v>1320.1</v>
      </c>
      <c r="AE469">
        <f t="shared" si="14"/>
        <v>6217.9</v>
      </c>
      <c r="AF469" t="str">
        <f t="shared" si="15"/>
        <v>2025-03</v>
      </c>
      <c r="AG469">
        <f>SUBTOTAL(103,A469)</f>
        <v>1</v>
      </c>
    </row>
    <row r="470" spans="1:33" x14ac:dyDescent="0.3">
      <c r="A470" t="s">
        <v>3081</v>
      </c>
      <c r="B470" s="13">
        <v>45721</v>
      </c>
      <c r="C470">
        <v>2025</v>
      </c>
      <c r="D470">
        <v>3</v>
      </c>
      <c r="E470" t="s">
        <v>3053</v>
      </c>
      <c r="F470" t="s">
        <v>2572</v>
      </c>
      <c r="G470" t="s">
        <v>1363</v>
      </c>
      <c r="H470" t="s">
        <v>1364</v>
      </c>
      <c r="I470" t="s">
        <v>85</v>
      </c>
      <c r="J470">
        <v>41</v>
      </c>
      <c r="K470" t="s">
        <v>82</v>
      </c>
      <c r="L470" t="s">
        <v>2634</v>
      </c>
      <c r="M470" t="s">
        <v>56</v>
      </c>
      <c r="N470" t="s">
        <v>2606</v>
      </c>
      <c r="O470" t="s">
        <v>120</v>
      </c>
      <c r="P470" t="s">
        <v>49</v>
      </c>
      <c r="Q470" t="s">
        <v>140</v>
      </c>
      <c r="R470">
        <v>3</v>
      </c>
      <c r="S470">
        <v>2799</v>
      </c>
      <c r="T470">
        <v>0.1</v>
      </c>
      <c r="U470">
        <v>7557.3</v>
      </c>
      <c r="V470">
        <v>4950</v>
      </c>
      <c r="W470">
        <v>2607.3000000000002</v>
      </c>
      <c r="X470" t="s">
        <v>76</v>
      </c>
      <c r="Y470" t="s">
        <v>69</v>
      </c>
      <c r="Z470" t="s">
        <v>162</v>
      </c>
      <c r="AA470" t="s">
        <v>168</v>
      </c>
      <c r="AB470">
        <v>4.8</v>
      </c>
      <c r="AC470">
        <v>40</v>
      </c>
      <c r="AD470">
        <v>775.15</v>
      </c>
      <c r="AE470">
        <f t="shared" si="14"/>
        <v>1792.15</v>
      </c>
      <c r="AF470" t="str">
        <f t="shared" si="15"/>
        <v>2025-03</v>
      </c>
      <c r="AG470">
        <f>SUBTOTAL(103,A470)</f>
        <v>1</v>
      </c>
    </row>
    <row r="471" spans="1:33" x14ac:dyDescent="0.3">
      <c r="A471" t="s">
        <v>3082</v>
      </c>
      <c r="B471" s="13">
        <v>45722</v>
      </c>
      <c r="C471">
        <v>2025</v>
      </c>
      <c r="D471">
        <v>3</v>
      </c>
      <c r="E471" t="s">
        <v>3053</v>
      </c>
      <c r="F471" t="s">
        <v>2572</v>
      </c>
      <c r="G471" t="s">
        <v>2317</v>
      </c>
      <c r="H471" t="s">
        <v>2318</v>
      </c>
      <c r="I471" t="s">
        <v>86</v>
      </c>
      <c r="J471">
        <v>22</v>
      </c>
      <c r="K471" t="s">
        <v>80</v>
      </c>
      <c r="L471" t="s">
        <v>2586</v>
      </c>
      <c r="M471" t="s">
        <v>62</v>
      </c>
      <c r="N471" t="s">
        <v>2647</v>
      </c>
      <c r="O471" t="s">
        <v>133</v>
      </c>
      <c r="P471" t="s">
        <v>50</v>
      </c>
      <c r="Q471" t="s">
        <v>145</v>
      </c>
      <c r="R471">
        <v>1</v>
      </c>
      <c r="S471">
        <v>799</v>
      </c>
      <c r="T471">
        <v>0.05</v>
      </c>
      <c r="U471">
        <v>759.05</v>
      </c>
      <c r="V471">
        <v>390</v>
      </c>
      <c r="W471">
        <v>369.05</v>
      </c>
      <c r="X471" t="s">
        <v>75</v>
      </c>
      <c r="Y471" t="s">
        <v>68</v>
      </c>
      <c r="Z471" t="s">
        <v>158</v>
      </c>
      <c r="AA471" t="s">
        <v>170</v>
      </c>
      <c r="AB471">
        <v>4</v>
      </c>
      <c r="AC471">
        <v>100</v>
      </c>
      <c r="AD471">
        <v>32.68</v>
      </c>
      <c r="AE471">
        <f t="shared" si="14"/>
        <v>236.37</v>
      </c>
      <c r="AF471" t="str">
        <f t="shared" si="15"/>
        <v>2025-03</v>
      </c>
      <c r="AG471">
        <f>SUBTOTAL(103,A471)</f>
        <v>1</v>
      </c>
    </row>
    <row r="472" spans="1:33" x14ac:dyDescent="0.3">
      <c r="A472" t="s">
        <v>3083</v>
      </c>
      <c r="B472" s="13">
        <v>45722</v>
      </c>
      <c r="C472">
        <v>2025</v>
      </c>
      <c r="D472">
        <v>3</v>
      </c>
      <c r="E472" t="s">
        <v>3053</v>
      </c>
      <c r="F472" t="s">
        <v>2572</v>
      </c>
      <c r="G472" t="s">
        <v>749</v>
      </c>
      <c r="H472" t="s">
        <v>750</v>
      </c>
      <c r="I472" t="s">
        <v>85</v>
      </c>
      <c r="J472">
        <v>56</v>
      </c>
      <c r="K472" t="s">
        <v>83</v>
      </c>
      <c r="L472" t="s">
        <v>97</v>
      </c>
      <c r="M472" t="s">
        <v>57</v>
      </c>
      <c r="N472" t="s">
        <v>2601</v>
      </c>
      <c r="O472" t="s">
        <v>117</v>
      </c>
      <c r="P472" t="s">
        <v>49</v>
      </c>
      <c r="Q472" t="s">
        <v>139</v>
      </c>
      <c r="R472">
        <v>1</v>
      </c>
      <c r="S472">
        <v>6999</v>
      </c>
      <c r="T472">
        <v>0.15</v>
      </c>
      <c r="U472">
        <v>5949.15</v>
      </c>
      <c r="V472">
        <v>4300</v>
      </c>
      <c r="W472">
        <v>1649.15</v>
      </c>
      <c r="X472" t="s">
        <v>73</v>
      </c>
      <c r="Y472" t="s">
        <v>68</v>
      </c>
      <c r="Z472" t="s">
        <v>159</v>
      </c>
      <c r="AA472" t="s">
        <v>166</v>
      </c>
      <c r="AB472">
        <v>4.3</v>
      </c>
      <c r="AC472">
        <v>40</v>
      </c>
      <c r="AD472">
        <v>401.17</v>
      </c>
      <c r="AE472">
        <f t="shared" si="14"/>
        <v>1207.98</v>
      </c>
      <c r="AF472" t="str">
        <f t="shared" si="15"/>
        <v>2025-03</v>
      </c>
      <c r="AG472">
        <f>SUBTOTAL(103,A472)</f>
        <v>1</v>
      </c>
    </row>
    <row r="473" spans="1:33" x14ac:dyDescent="0.3">
      <c r="A473" t="s">
        <v>3084</v>
      </c>
      <c r="B473" s="13">
        <v>45722</v>
      </c>
      <c r="C473">
        <v>2025</v>
      </c>
      <c r="D473">
        <v>3</v>
      </c>
      <c r="E473" t="s">
        <v>3053</v>
      </c>
      <c r="F473" t="s">
        <v>2572</v>
      </c>
      <c r="G473" t="s">
        <v>1357</v>
      </c>
      <c r="H473" t="s">
        <v>1358</v>
      </c>
      <c r="I473" t="s">
        <v>85</v>
      </c>
      <c r="J473">
        <v>41</v>
      </c>
      <c r="K473" t="s">
        <v>82</v>
      </c>
      <c r="L473" t="s">
        <v>2634</v>
      </c>
      <c r="M473" t="s">
        <v>56</v>
      </c>
      <c r="N473" t="s">
        <v>2647</v>
      </c>
      <c r="O473" t="s">
        <v>133</v>
      </c>
      <c r="P473" t="s">
        <v>50</v>
      </c>
      <c r="Q473" t="s">
        <v>145</v>
      </c>
      <c r="R473">
        <v>1</v>
      </c>
      <c r="S473">
        <v>799</v>
      </c>
      <c r="T473">
        <v>0.05</v>
      </c>
      <c r="U473">
        <v>759.05</v>
      </c>
      <c r="V473">
        <v>390</v>
      </c>
      <c r="W473">
        <v>369.05</v>
      </c>
      <c r="X473" t="s">
        <v>73</v>
      </c>
      <c r="Y473" t="s">
        <v>68</v>
      </c>
      <c r="Z473" t="s">
        <v>160</v>
      </c>
      <c r="AA473" t="s">
        <v>170</v>
      </c>
      <c r="AB473">
        <v>3.2</v>
      </c>
      <c r="AC473">
        <v>80</v>
      </c>
      <c r="AD473">
        <v>48.37</v>
      </c>
      <c r="AE473">
        <f t="shared" si="14"/>
        <v>240.68</v>
      </c>
      <c r="AF473" t="str">
        <f t="shared" si="15"/>
        <v>2025-03</v>
      </c>
      <c r="AG473">
        <f>SUBTOTAL(103,A473)</f>
        <v>1</v>
      </c>
    </row>
    <row r="474" spans="1:33" x14ac:dyDescent="0.3">
      <c r="A474" t="s">
        <v>3085</v>
      </c>
      <c r="B474" s="13">
        <v>45722</v>
      </c>
      <c r="C474">
        <v>2025</v>
      </c>
      <c r="D474">
        <v>3</v>
      </c>
      <c r="E474" t="s">
        <v>3053</v>
      </c>
      <c r="F474" t="s">
        <v>2572</v>
      </c>
      <c r="G474" t="s">
        <v>287</v>
      </c>
      <c r="H474" t="s">
        <v>288</v>
      </c>
      <c r="I474" t="s">
        <v>86</v>
      </c>
      <c r="J474">
        <v>56</v>
      </c>
      <c r="K474" t="s">
        <v>83</v>
      </c>
      <c r="L474" t="s">
        <v>2616</v>
      </c>
      <c r="M474" t="s">
        <v>62</v>
      </c>
      <c r="N474" t="s">
        <v>2582</v>
      </c>
      <c r="O474" t="s">
        <v>119</v>
      </c>
      <c r="P474" t="s">
        <v>49</v>
      </c>
      <c r="Q474" t="s">
        <v>140</v>
      </c>
      <c r="R474">
        <v>4</v>
      </c>
      <c r="S474">
        <v>3499</v>
      </c>
      <c r="T474">
        <v>0</v>
      </c>
      <c r="U474">
        <v>13996</v>
      </c>
      <c r="V474">
        <v>8400</v>
      </c>
      <c r="W474">
        <v>5596</v>
      </c>
      <c r="X474" t="s">
        <v>75</v>
      </c>
      <c r="Y474" t="s">
        <v>68</v>
      </c>
      <c r="Z474" t="s">
        <v>163</v>
      </c>
      <c r="AA474" t="s">
        <v>166</v>
      </c>
      <c r="AB474">
        <v>3.9</v>
      </c>
      <c r="AC474">
        <v>50</v>
      </c>
      <c r="AD474">
        <v>1643.42</v>
      </c>
      <c r="AE474">
        <f t="shared" si="14"/>
        <v>3902.58</v>
      </c>
      <c r="AF474" t="str">
        <f t="shared" si="15"/>
        <v>2025-03</v>
      </c>
      <c r="AG474">
        <f>SUBTOTAL(103,A474)</f>
        <v>1</v>
      </c>
    </row>
    <row r="475" spans="1:33" x14ac:dyDescent="0.3">
      <c r="A475" t="s">
        <v>3086</v>
      </c>
      <c r="B475" s="13">
        <v>45722</v>
      </c>
      <c r="C475">
        <v>2025</v>
      </c>
      <c r="D475">
        <v>3</v>
      </c>
      <c r="E475" t="s">
        <v>3053</v>
      </c>
      <c r="F475" t="s">
        <v>2572</v>
      </c>
      <c r="G475" t="s">
        <v>1777</v>
      </c>
      <c r="H475" t="s">
        <v>1778</v>
      </c>
      <c r="I475" t="s">
        <v>86</v>
      </c>
      <c r="J475">
        <v>34</v>
      </c>
      <c r="K475" t="s">
        <v>81</v>
      </c>
      <c r="L475" t="s">
        <v>2589</v>
      </c>
      <c r="M475" t="s">
        <v>61</v>
      </c>
      <c r="N475" t="s">
        <v>2574</v>
      </c>
      <c r="O475" t="s">
        <v>130</v>
      </c>
      <c r="P475" t="s">
        <v>50</v>
      </c>
      <c r="Q475" t="s">
        <v>53</v>
      </c>
      <c r="R475">
        <v>1</v>
      </c>
      <c r="S475">
        <v>1199</v>
      </c>
      <c r="T475">
        <v>0.1</v>
      </c>
      <c r="U475">
        <v>1079.0999999999999</v>
      </c>
      <c r="V475">
        <v>550</v>
      </c>
      <c r="W475">
        <v>529.1</v>
      </c>
      <c r="X475" t="s">
        <v>73</v>
      </c>
      <c r="Y475" t="s">
        <v>68</v>
      </c>
      <c r="Z475" t="s">
        <v>161</v>
      </c>
      <c r="AA475" t="s">
        <v>168</v>
      </c>
      <c r="AB475">
        <v>4.5999999999999996</v>
      </c>
      <c r="AC475">
        <v>50</v>
      </c>
      <c r="AD475">
        <v>94.87</v>
      </c>
      <c r="AE475">
        <f t="shared" si="14"/>
        <v>384.23</v>
      </c>
      <c r="AF475" t="str">
        <f t="shared" si="15"/>
        <v>2025-03</v>
      </c>
      <c r="AG475">
        <f>SUBTOTAL(103,A475)</f>
        <v>1</v>
      </c>
    </row>
    <row r="476" spans="1:33" x14ac:dyDescent="0.3">
      <c r="A476" t="s">
        <v>3087</v>
      </c>
      <c r="B476" s="13">
        <v>45722</v>
      </c>
      <c r="C476">
        <v>2025</v>
      </c>
      <c r="D476">
        <v>3</v>
      </c>
      <c r="E476" t="s">
        <v>3053</v>
      </c>
      <c r="F476" t="s">
        <v>2572</v>
      </c>
      <c r="G476" t="s">
        <v>783</v>
      </c>
      <c r="H476" t="s">
        <v>784</v>
      </c>
      <c r="I476" t="s">
        <v>86</v>
      </c>
      <c r="J476">
        <v>21</v>
      </c>
      <c r="K476" t="s">
        <v>80</v>
      </c>
      <c r="L476" t="s">
        <v>2674</v>
      </c>
      <c r="M476" t="s">
        <v>58</v>
      </c>
      <c r="N476" t="s">
        <v>2603</v>
      </c>
      <c r="O476" t="s">
        <v>122</v>
      </c>
      <c r="P476" t="s">
        <v>48</v>
      </c>
      <c r="Q476" t="s">
        <v>141</v>
      </c>
      <c r="R476">
        <v>4</v>
      </c>
      <c r="S476">
        <v>2499</v>
      </c>
      <c r="T476">
        <v>0.1</v>
      </c>
      <c r="U476">
        <v>8996.4</v>
      </c>
      <c r="V476">
        <v>5800</v>
      </c>
      <c r="W476">
        <v>3196.4</v>
      </c>
      <c r="X476" t="s">
        <v>76</v>
      </c>
      <c r="Y476" t="s">
        <v>68</v>
      </c>
      <c r="Z476" t="s">
        <v>159</v>
      </c>
      <c r="AA476" t="s">
        <v>166</v>
      </c>
      <c r="AB476">
        <v>3.9</v>
      </c>
      <c r="AC476">
        <v>100</v>
      </c>
      <c r="AD476">
        <v>440.26</v>
      </c>
      <c r="AE476">
        <f t="shared" si="14"/>
        <v>2656.1400000000003</v>
      </c>
      <c r="AF476" t="str">
        <f t="shared" si="15"/>
        <v>2025-03</v>
      </c>
      <c r="AG476">
        <f>SUBTOTAL(103,A476)</f>
        <v>1</v>
      </c>
    </row>
    <row r="477" spans="1:33" x14ac:dyDescent="0.3">
      <c r="A477" t="s">
        <v>3088</v>
      </c>
      <c r="B477" s="13">
        <v>45722</v>
      </c>
      <c r="C477">
        <v>2025</v>
      </c>
      <c r="D477">
        <v>3</v>
      </c>
      <c r="E477" t="s">
        <v>3053</v>
      </c>
      <c r="F477" t="s">
        <v>2572</v>
      </c>
      <c r="G477" t="s">
        <v>2223</v>
      </c>
      <c r="H477" t="s">
        <v>2224</v>
      </c>
      <c r="I477" t="s">
        <v>86</v>
      </c>
      <c r="J477">
        <v>36</v>
      </c>
      <c r="K477" t="s">
        <v>82</v>
      </c>
      <c r="L477" t="s">
        <v>2616</v>
      </c>
      <c r="M477" t="s">
        <v>62</v>
      </c>
      <c r="N477" t="s">
        <v>2577</v>
      </c>
      <c r="O477" t="s">
        <v>129</v>
      </c>
      <c r="P477" t="s">
        <v>49</v>
      </c>
      <c r="Q477" t="s">
        <v>149</v>
      </c>
      <c r="R477">
        <v>3</v>
      </c>
      <c r="S477">
        <v>1299</v>
      </c>
      <c r="T477">
        <v>0.15</v>
      </c>
      <c r="U477">
        <v>3312.45</v>
      </c>
      <c r="V477">
        <v>1950</v>
      </c>
      <c r="W477">
        <v>1362.45</v>
      </c>
      <c r="X477" t="s">
        <v>73</v>
      </c>
      <c r="Y477" t="s">
        <v>68</v>
      </c>
      <c r="Z477" t="s">
        <v>158</v>
      </c>
      <c r="AA477" t="s">
        <v>170</v>
      </c>
      <c r="AB477">
        <v>3.8</v>
      </c>
      <c r="AC477">
        <v>40</v>
      </c>
      <c r="AD477">
        <v>347.19</v>
      </c>
      <c r="AE477">
        <f t="shared" si="14"/>
        <v>975.26</v>
      </c>
      <c r="AF477" t="str">
        <f t="shared" si="15"/>
        <v>2025-03</v>
      </c>
      <c r="AG477">
        <f>SUBTOTAL(103,A477)</f>
        <v>1</v>
      </c>
    </row>
    <row r="478" spans="1:33" x14ac:dyDescent="0.3">
      <c r="A478" t="s">
        <v>3089</v>
      </c>
      <c r="B478" s="13">
        <v>45722</v>
      </c>
      <c r="C478">
        <v>2025</v>
      </c>
      <c r="D478">
        <v>3</v>
      </c>
      <c r="E478" t="s">
        <v>3053</v>
      </c>
      <c r="F478" t="s">
        <v>2572</v>
      </c>
      <c r="G478" t="s">
        <v>1879</v>
      </c>
      <c r="H478" t="s">
        <v>1880</v>
      </c>
      <c r="I478" t="s">
        <v>85</v>
      </c>
      <c r="J478">
        <v>19</v>
      </c>
      <c r="K478" t="s">
        <v>80</v>
      </c>
      <c r="L478" t="s">
        <v>90</v>
      </c>
      <c r="M478" t="s">
        <v>55</v>
      </c>
      <c r="N478" t="s">
        <v>2603</v>
      </c>
      <c r="O478" t="s">
        <v>122</v>
      </c>
      <c r="P478" t="s">
        <v>48</v>
      </c>
      <c r="Q478" t="s">
        <v>141</v>
      </c>
      <c r="R478">
        <v>2</v>
      </c>
      <c r="S478">
        <v>2499</v>
      </c>
      <c r="T478">
        <v>0.15</v>
      </c>
      <c r="U478">
        <v>4248.3</v>
      </c>
      <c r="V478">
        <v>2900</v>
      </c>
      <c r="W478">
        <v>1348.3</v>
      </c>
      <c r="X478" t="s">
        <v>75</v>
      </c>
      <c r="Y478" t="s">
        <v>68</v>
      </c>
      <c r="Z478" t="s">
        <v>160</v>
      </c>
      <c r="AA478" t="s">
        <v>167</v>
      </c>
      <c r="AB478">
        <v>5</v>
      </c>
      <c r="AC478">
        <v>40</v>
      </c>
      <c r="AD478">
        <v>383.24</v>
      </c>
      <c r="AE478">
        <f t="shared" si="14"/>
        <v>925.06</v>
      </c>
      <c r="AF478" t="str">
        <f t="shared" si="15"/>
        <v>2025-03</v>
      </c>
      <c r="AG478">
        <f>SUBTOTAL(103,A478)</f>
        <v>1</v>
      </c>
    </row>
    <row r="479" spans="1:33" x14ac:dyDescent="0.3">
      <c r="A479" t="s">
        <v>3090</v>
      </c>
      <c r="B479" s="13">
        <v>45722</v>
      </c>
      <c r="C479">
        <v>2025</v>
      </c>
      <c r="D479">
        <v>3</v>
      </c>
      <c r="E479" t="s">
        <v>3053</v>
      </c>
      <c r="F479" t="s">
        <v>2572</v>
      </c>
      <c r="G479" t="s">
        <v>1437</v>
      </c>
      <c r="H479" t="s">
        <v>1438</v>
      </c>
      <c r="I479" t="s">
        <v>86</v>
      </c>
      <c r="J479">
        <v>27</v>
      </c>
      <c r="K479" t="s">
        <v>81</v>
      </c>
      <c r="L479" t="s">
        <v>2634</v>
      </c>
      <c r="M479" t="s">
        <v>56</v>
      </c>
      <c r="N479" t="s">
        <v>2665</v>
      </c>
      <c r="O479" t="s">
        <v>128</v>
      </c>
      <c r="P479" t="s">
        <v>53</v>
      </c>
      <c r="Q479" t="s">
        <v>143</v>
      </c>
      <c r="R479">
        <v>4</v>
      </c>
      <c r="S479">
        <v>1499</v>
      </c>
      <c r="T479">
        <v>0.15</v>
      </c>
      <c r="U479">
        <v>5096.6000000000004</v>
      </c>
      <c r="V479">
        <v>3200</v>
      </c>
      <c r="W479">
        <v>1896.6</v>
      </c>
      <c r="X479" t="s">
        <v>73</v>
      </c>
      <c r="Y479" t="s">
        <v>68</v>
      </c>
      <c r="Z479" t="s">
        <v>159</v>
      </c>
      <c r="AA479" t="s">
        <v>168</v>
      </c>
      <c r="AB479">
        <v>4.9000000000000004</v>
      </c>
      <c r="AC479">
        <v>80</v>
      </c>
      <c r="AD479">
        <v>332.38</v>
      </c>
      <c r="AE479">
        <f t="shared" si="14"/>
        <v>1484.2199999999998</v>
      </c>
      <c r="AF479" t="str">
        <f t="shared" si="15"/>
        <v>2025-03</v>
      </c>
      <c r="AG479">
        <f>SUBTOTAL(103,A479)</f>
        <v>1</v>
      </c>
    </row>
    <row r="480" spans="1:33" x14ac:dyDescent="0.3">
      <c r="A480" t="s">
        <v>3091</v>
      </c>
      <c r="B480" s="13">
        <v>45723</v>
      </c>
      <c r="C480">
        <v>2025</v>
      </c>
      <c r="D480">
        <v>3</v>
      </c>
      <c r="E480" t="s">
        <v>3053</v>
      </c>
      <c r="F480" t="s">
        <v>2572</v>
      </c>
      <c r="G480" t="s">
        <v>1535</v>
      </c>
      <c r="H480" t="s">
        <v>1536</v>
      </c>
      <c r="I480" t="s">
        <v>85</v>
      </c>
      <c r="J480">
        <v>59</v>
      </c>
      <c r="K480" t="s">
        <v>83</v>
      </c>
      <c r="L480" t="s">
        <v>2599</v>
      </c>
      <c r="M480" t="s">
        <v>62</v>
      </c>
      <c r="N480" t="s">
        <v>2584</v>
      </c>
      <c r="O480" t="s">
        <v>121</v>
      </c>
      <c r="P480" t="s">
        <v>50</v>
      </c>
      <c r="Q480" t="s">
        <v>144</v>
      </c>
      <c r="R480">
        <v>1</v>
      </c>
      <c r="S480">
        <v>2999</v>
      </c>
      <c r="T480">
        <v>0.05</v>
      </c>
      <c r="U480">
        <v>2849.05</v>
      </c>
      <c r="V480">
        <v>1700</v>
      </c>
      <c r="W480">
        <v>1149.05</v>
      </c>
      <c r="X480" t="s">
        <v>74</v>
      </c>
      <c r="Y480" t="s">
        <v>68</v>
      </c>
      <c r="Z480" t="s">
        <v>160</v>
      </c>
      <c r="AA480" t="s">
        <v>169</v>
      </c>
      <c r="AB480">
        <v>4.7</v>
      </c>
      <c r="AC480">
        <v>80</v>
      </c>
      <c r="AD480">
        <v>277.3</v>
      </c>
      <c r="AE480">
        <f t="shared" si="14"/>
        <v>791.75</v>
      </c>
      <c r="AF480" t="str">
        <f t="shared" si="15"/>
        <v>2025-03</v>
      </c>
      <c r="AG480">
        <f>SUBTOTAL(103,A480)</f>
        <v>1</v>
      </c>
    </row>
    <row r="481" spans="1:33" x14ac:dyDescent="0.3">
      <c r="A481" t="s">
        <v>3092</v>
      </c>
      <c r="B481" s="13">
        <v>45723</v>
      </c>
      <c r="C481">
        <v>2025</v>
      </c>
      <c r="D481">
        <v>3</v>
      </c>
      <c r="E481" t="s">
        <v>3053</v>
      </c>
      <c r="F481" t="s">
        <v>2572</v>
      </c>
      <c r="G481" t="s">
        <v>431</v>
      </c>
      <c r="H481" t="s">
        <v>432</v>
      </c>
      <c r="I481" t="s">
        <v>86</v>
      </c>
      <c r="J481">
        <v>19</v>
      </c>
      <c r="K481" t="s">
        <v>80</v>
      </c>
      <c r="L481" t="s">
        <v>99</v>
      </c>
      <c r="M481" t="s">
        <v>58</v>
      </c>
      <c r="N481" t="s">
        <v>2584</v>
      </c>
      <c r="O481" t="s">
        <v>121</v>
      </c>
      <c r="P481" t="s">
        <v>50</v>
      </c>
      <c r="Q481" t="s">
        <v>144</v>
      </c>
      <c r="R481">
        <v>2</v>
      </c>
      <c r="S481">
        <v>2999</v>
      </c>
      <c r="T481">
        <v>0.1</v>
      </c>
      <c r="U481">
        <v>5398.2</v>
      </c>
      <c r="V481">
        <v>3400</v>
      </c>
      <c r="W481">
        <v>1998.2</v>
      </c>
      <c r="X481" t="s">
        <v>73</v>
      </c>
      <c r="Y481" t="s">
        <v>68</v>
      </c>
      <c r="Z481" t="s">
        <v>162</v>
      </c>
      <c r="AA481" t="s">
        <v>167</v>
      </c>
      <c r="AB481">
        <v>4.3</v>
      </c>
      <c r="AC481">
        <v>80</v>
      </c>
      <c r="AD481">
        <v>179.21</v>
      </c>
      <c r="AE481">
        <f t="shared" si="14"/>
        <v>1738.99</v>
      </c>
      <c r="AF481" t="str">
        <f t="shared" si="15"/>
        <v>2025-03</v>
      </c>
      <c r="AG481">
        <f>SUBTOTAL(103,A481)</f>
        <v>1</v>
      </c>
    </row>
    <row r="482" spans="1:33" x14ac:dyDescent="0.3">
      <c r="A482" t="s">
        <v>3093</v>
      </c>
      <c r="B482" s="13">
        <v>45723</v>
      </c>
      <c r="C482">
        <v>2025</v>
      </c>
      <c r="D482">
        <v>3</v>
      </c>
      <c r="E482" t="s">
        <v>3053</v>
      </c>
      <c r="F482" t="s">
        <v>2572</v>
      </c>
      <c r="G482" t="s">
        <v>1145</v>
      </c>
      <c r="H482" t="s">
        <v>1146</v>
      </c>
      <c r="I482" t="s">
        <v>85</v>
      </c>
      <c r="J482">
        <v>52</v>
      </c>
      <c r="K482" t="s">
        <v>83</v>
      </c>
      <c r="L482" t="s">
        <v>2634</v>
      </c>
      <c r="M482" t="s">
        <v>56</v>
      </c>
      <c r="N482" t="s">
        <v>2644</v>
      </c>
      <c r="O482" t="s">
        <v>126</v>
      </c>
      <c r="P482" t="s">
        <v>50</v>
      </c>
      <c r="Q482" t="s">
        <v>145</v>
      </c>
      <c r="R482">
        <v>5</v>
      </c>
      <c r="S482">
        <v>1799</v>
      </c>
      <c r="T482">
        <v>0</v>
      </c>
      <c r="U482">
        <v>8995</v>
      </c>
      <c r="V482">
        <v>4750</v>
      </c>
      <c r="W482">
        <v>4245</v>
      </c>
      <c r="X482" t="s">
        <v>73</v>
      </c>
      <c r="Y482" t="s">
        <v>68</v>
      </c>
      <c r="Z482" t="s">
        <v>163</v>
      </c>
      <c r="AA482" t="s">
        <v>168</v>
      </c>
      <c r="AB482">
        <v>4.4000000000000004</v>
      </c>
      <c r="AC482">
        <v>80</v>
      </c>
      <c r="AD482">
        <v>554.42999999999995</v>
      </c>
      <c r="AE482">
        <f t="shared" si="14"/>
        <v>3610.57</v>
      </c>
      <c r="AF482" t="str">
        <f t="shared" si="15"/>
        <v>2025-03</v>
      </c>
      <c r="AG482">
        <f>SUBTOTAL(103,A482)</f>
        <v>1</v>
      </c>
    </row>
    <row r="483" spans="1:33" x14ac:dyDescent="0.3">
      <c r="A483" t="s">
        <v>3094</v>
      </c>
      <c r="B483" s="13">
        <v>45723</v>
      </c>
      <c r="C483">
        <v>2025</v>
      </c>
      <c r="D483">
        <v>3</v>
      </c>
      <c r="E483" t="s">
        <v>3053</v>
      </c>
      <c r="F483" t="s">
        <v>2572</v>
      </c>
      <c r="G483" t="s">
        <v>507</v>
      </c>
      <c r="H483" t="s">
        <v>508</v>
      </c>
      <c r="I483" t="s">
        <v>86</v>
      </c>
      <c r="J483">
        <v>31</v>
      </c>
      <c r="K483" t="s">
        <v>81</v>
      </c>
      <c r="L483" t="s">
        <v>2576</v>
      </c>
      <c r="M483" t="s">
        <v>60</v>
      </c>
      <c r="N483" t="s">
        <v>2592</v>
      </c>
      <c r="O483" t="s">
        <v>115</v>
      </c>
      <c r="P483" t="s">
        <v>48</v>
      </c>
      <c r="Q483" t="s">
        <v>137</v>
      </c>
      <c r="R483">
        <v>2</v>
      </c>
      <c r="S483">
        <v>12999</v>
      </c>
      <c r="T483">
        <v>0</v>
      </c>
      <c r="U483">
        <v>25998</v>
      </c>
      <c r="V483">
        <v>18000</v>
      </c>
      <c r="W483">
        <v>7998</v>
      </c>
      <c r="X483" t="s">
        <v>73</v>
      </c>
      <c r="Y483" t="s">
        <v>68</v>
      </c>
      <c r="Z483" t="s">
        <v>161</v>
      </c>
      <c r="AA483" t="s">
        <v>169</v>
      </c>
      <c r="AB483">
        <v>5</v>
      </c>
      <c r="AC483">
        <v>60</v>
      </c>
      <c r="AD483">
        <v>1299.03</v>
      </c>
      <c r="AE483">
        <f t="shared" si="14"/>
        <v>6638.97</v>
      </c>
      <c r="AF483" t="str">
        <f t="shared" si="15"/>
        <v>2025-03</v>
      </c>
      <c r="AG483">
        <f>SUBTOTAL(103,A483)</f>
        <v>1</v>
      </c>
    </row>
    <row r="484" spans="1:33" x14ac:dyDescent="0.3">
      <c r="A484" t="s">
        <v>3095</v>
      </c>
      <c r="B484" s="13">
        <v>45723</v>
      </c>
      <c r="C484">
        <v>2025</v>
      </c>
      <c r="D484">
        <v>3</v>
      </c>
      <c r="E484" t="s">
        <v>3053</v>
      </c>
      <c r="F484" t="s">
        <v>2572</v>
      </c>
      <c r="G484" t="s">
        <v>243</v>
      </c>
      <c r="H484" t="s">
        <v>244</v>
      </c>
      <c r="I484" t="s">
        <v>85</v>
      </c>
      <c r="J484">
        <v>56</v>
      </c>
      <c r="K484" t="s">
        <v>83</v>
      </c>
      <c r="L484" t="s">
        <v>2576</v>
      </c>
      <c r="M484" t="s">
        <v>60</v>
      </c>
      <c r="N484" t="s">
        <v>2582</v>
      </c>
      <c r="O484" t="s">
        <v>119</v>
      </c>
      <c r="P484" t="s">
        <v>49</v>
      </c>
      <c r="Q484" t="s">
        <v>140</v>
      </c>
      <c r="R484">
        <v>3</v>
      </c>
      <c r="S484">
        <v>3499</v>
      </c>
      <c r="T484">
        <v>0.05</v>
      </c>
      <c r="U484">
        <v>9972.15</v>
      </c>
      <c r="V484">
        <v>6300</v>
      </c>
      <c r="W484">
        <v>3672.15</v>
      </c>
      <c r="X484" t="s">
        <v>73</v>
      </c>
      <c r="Y484" t="s">
        <v>68</v>
      </c>
      <c r="Z484" t="s">
        <v>161</v>
      </c>
      <c r="AA484" t="s">
        <v>166</v>
      </c>
      <c r="AB484">
        <v>4.5999999999999996</v>
      </c>
      <c r="AC484">
        <v>80</v>
      </c>
      <c r="AD484">
        <v>202.39</v>
      </c>
      <c r="AE484">
        <f t="shared" si="14"/>
        <v>3389.76</v>
      </c>
      <c r="AF484" t="str">
        <f t="shared" si="15"/>
        <v>2025-03</v>
      </c>
      <c r="AG484">
        <f>SUBTOTAL(103,A484)</f>
        <v>1</v>
      </c>
    </row>
    <row r="485" spans="1:33" x14ac:dyDescent="0.3">
      <c r="A485" t="s">
        <v>3096</v>
      </c>
      <c r="B485" s="13">
        <v>45723</v>
      </c>
      <c r="C485">
        <v>2025</v>
      </c>
      <c r="D485">
        <v>3</v>
      </c>
      <c r="E485" t="s">
        <v>3053</v>
      </c>
      <c r="F485" t="s">
        <v>2572</v>
      </c>
      <c r="G485" t="s">
        <v>1167</v>
      </c>
      <c r="H485" t="s">
        <v>1168</v>
      </c>
      <c r="I485" t="s">
        <v>85</v>
      </c>
      <c r="J485">
        <v>48</v>
      </c>
      <c r="K485" t="s">
        <v>83</v>
      </c>
      <c r="L485" t="s">
        <v>2661</v>
      </c>
      <c r="M485" t="s">
        <v>58</v>
      </c>
      <c r="N485" t="s">
        <v>2606</v>
      </c>
      <c r="O485" t="s">
        <v>120</v>
      </c>
      <c r="P485" t="s">
        <v>49</v>
      </c>
      <c r="Q485" t="s">
        <v>140</v>
      </c>
      <c r="R485">
        <v>3</v>
      </c>
      <c r="S485">
        <v>2799</v>
      </c>
      <c r="T485">
        <v>0.05</v>
      </c>
      <c r="U485">
        <v>7977.15</v>
      </c>
      <c r="V485">
        <v>4950</v>
      </c>
      <c r="W485">
        <v>3027.15</v>
      </c>
      <c r="X485" t="s">
        <v>74</v>
      </c>
      <c r="Y485" t="s">
        <v>68</v>
      </c>
      <c r="Z485" t="s">
        <v>158</v>
      </c>
      <c r="AA485" t="s">
        <v>170</v>
      </c>
      <c r="AB485">
        <v>4.4000000000000004</v>
      </c>
      <c r="AC485">
        <v>100</v>
      </c>
      <c r="AD485">
        <v>338.16</v>
      </c>
      <c r="AE485">
        <f t="shared" si="14"/>
        <v>2588.9900000000002</v>
      </c>
      <c r="AF485" t="str">
        <f t="shared" si="15"/>
        <v>2025-03</v>
      </c>
      <c r="AG485">
        <f>SUBTOTAL(103,A485)</f>
        <v>1</v>
      </c>
    </row>
    <row r="486" spans="1:33" x14ac:dyDescent="0.3">
      <c r="A486" t="s">
        <v>3097</v>
      </c>
      <c r="B486" s="13">
        <v>45723</v>
      </c>
      <c r="C486">
        <v>2025</v>
      </c>
      <c r="D486">
        <v>3</v>
      </c>
      <c r="E486" t="s">
        <v>3053</v>
      </c>
      <c r="F486" t="s">
        <v>2572</v>
      </c>
      <c r="G486" t="s">
        <v>1331</v>
      </c>
      <c r="H486" t="s">
        <v>1332</v>
      </c>
      <c r="I486" t="s">
        <v>85</v>
      </c>
      <c r="J486">
        <v>45</v>
      </c>
      <c r="K486" t="s">
        <v>82</v>
      </c>
      <c r="L486" t="s">
        <v>93</v>
      </c>
      <c r="M486" t="s">
        <v>55</v>
      </c>
      <c r="N486" t="s">
        <v>2596</v>
      </c>
      <c r="O486" t="s">
        <v>124</v>
      </c>
      <c r="P486" t="s">
        <v>51</v>
      </c>
      <c r="Q486" t="s">
        <v>147</v>
      </c>
      <c r="R486">
        <v>1</v>
      </c>
      <c r="S486">
        <v>2299</v>
      </c>
      <c r="T486">
        <v>0.1</v>
      </c>
      <c r="U486">
        <v>2069.1</v>
      </c>
      <c r="V486">
        <v>1200</v>
      </c>
      <c r="W486">
        <v>869.1</v>
      </c>
      <c r="X486" t="s">
        <v>73</v>
      </c>
      <c r="Y486" t="s">
        <v>68</v>
      </c>
      <c r="Z486" t="s">
        <v>160</v>
      </c>
      <c r="AA486" t="s">
        <v>166</v>
      </c>
      <c r="AB486">
        <v>4.8</v>
      </c>
      <c r="AC486">
        <v>50</v>
      </c>
      <c r="AD486">
        <v>180</v>
      </c>
      <c r="AE486">
        <f t="shared" si="14"/>
        <v>639.1</v>
      </c>
      <c r="AF486" t="str">
        <f t="shared" si="15"/>
        <v>2025-03</v>
      </c>
      <c r="AG486">
        <f>SUBTOTAL(103,A486)</f>
        <v>1</v>
      </c>
    </row>
    <row r="487" spans="1:33" x14ac:dyDescent="0.3">
      <c r="A487" t="s">
        <v>3098</v>
      </c>
      <c r="B487" s="13">
        <v>45723</v>
      </c>
      <c r="C487">
        <v>2025</v>
      </c>
      <c r="D487">
        <v>3</v>
      </c>
      <c r="E487" t="s">
        <v>3053</v>
      </c>
      <c r="F487" t="s">
        <v>2572</v>
      </c>
      <c r="G487" t="s">
        <v>1547</v>
      </c>
      <c r="H487" t="s">
        <v>1548</v>
      </c>
      <c r="I487" t="s">
        <v>86</v>
      </c>
      <c r="J487">
        <v>46</v>
      </c>
      <c r="K487" t="s">
        <v>83</v>
      </c>
      <c r="L487" t="s">
        <v>90</v>
      </c>
      <c r="M487" t="s">
        <v>55</v>
      </c>
      <c r="N487" t="s">
        <v>2647</v>
      </c>
      <c r="O487" t="s">
        <v>133</v>
      </c>
      <c r="P487" t="s">
        <v>50</v>
      </c>
      <c r="Q487" t="s">
        <v>145</v>
      </c>
      <c r="R487">
        <v>1</v>
      </c>
      <c r="S487">
        <v>799</v>
      </c>
      <c r="T487">
        <v>0.05</v>
      </c>
      <c r="U487">
        <v>759.05</v>
      </c>
      <c r="V487">
        <v>390</v>
      </c>
      <c r="W487">
        <v>369.05</v>
      </c>
      <c r="X487" t="s">
        <v>74</v>
      </c>
      <c r="Y487" t="s">
        <v>68</v>
      </c>
      <c r="Z487" t="s">
        <v>160</v>
      </c>
      <c r="AA487" t="s">
        <v>171</v>
      </c>
      <c r="AB487">
        <v>3.6</v>
      </c>
      <c r="AC487">
        <v>80</v>
      </c>
      <c r="AD487">
        <v>87.48</v>
      </c>
      <c r="AE487">
        <f t="shared" si="14"/>
        <v>201.57</v>
      </c>
      <c r="AF487" t="str">
        <f t="shared" si="15"/>
        <v>2025-03</v>
      </c>
      <c r="AG487">
        <f>SUBTOTAL(103,A487)</f>
        <v>1</v>
      </c>
    </row>
    <row r="488" spans="1:33" x14ac:dyDescent="0.3">
      <c r="A488" t="s">
        <v>3099</v>
      </c>
      <c r="B488" s="13">
        <v>45723</v>
      </c>
      <c r="C488">
        <v>2025</v>
      </c>
      <c r="D488">
        <v>3</v>
      </c>
      <c r="E488" t="s">
        <v>3053</v>
      </c>
      <c r="F488" t="s">
        <v>2572</v>
      </c>
      <c r="G488" t="s">
        <v>1483</v>
      </c>
      <c r="H488" t="s">
        <v>1484</v>
      </c>
      <c r="I488" t="s">
        <v>85</v>
      </c>
      <c r="J488">
        <v>49</v>
      </c>
      <c r="K488" t="s">
        <v>83</v>
      </c>
      <c r="L488" t="s">
        <v>94</v>
      </c>
      <c r="M488" t="s">
        <v>57</v>
      </c>
      <c r="N488" t="s">
        <v>2606</v>
      </c>
      <c r="O488" t="s">
        <v>120</v>
      </c>
      <c r="P488" t="s">
        <v>49</v>
      </c>
      <c r="Q488" t="s">
        <v>140</v>
      </c>
      <c r="R488">
        <v>3</v>
      </c>
      <c r="S488">
        <v>2799</v>
      </c>
      <c r="T488">
        <v>0</v>
      </c>
      <c r="U488">
        <v>8397</v>
      </c>
      <c r="V488">
        <v>4950</v>
      </c>
      <c r="W488">
        <v>3447</v>
      </c>
      <c r="X488" t="s">
        <v>75</v>
      </c>
      <c r="Y488" t="s">
        <v>68</v>
      </c>
      <c r="Z488" t="s">
        <v>159</v>
      </c>
      <c r="AA488" t="s">
        <v>166</v>
      </c>
      <c r="AB488">
        <v>4.4000000000000004</v>
      </c>
      <c r="AC488">
        <v>80</v>
      </c>
      <c r="AD488">
        <v>264.98</v>
      </c>
      <c r="AE488">
        <f t="shared" si="14"/>
        <v>3102.02</v>
      </c>
      <c r="AF488" t="str">
        <f t="shared" si="15"/>
        <v>2025-03</v>
      </c>
      <c r="AG488">
        <f>SUBTOTAL(103,A488)</f>
        <v>1</v>
      </c>
    </row>
    <row r="489" spans="1:33" x14ac:dyDescent="0.3">
      <c r="A489" t="s">
        <v>3100</v>
      </c>
      <c r="B489" s="13">
        <v>45724</v>
      </c>
      <c r="C489">
        <v>2025</v>
      </c>
      <c r="D489">
        <v>3</v>
      </c>
      <c r="E489" t="s">
        <v>3053</v>
      </c>
      <c r="F489" t="s">
        <v>2572</v>
      </c>
      <c r="G489" t="s">
        <v>933</v>
      </c>
      <c r="H489" t="s">
        <v>934</v>
      </c>
      <c r="I489" t="s">
        <v>85</v>
      </c>
      <c r="J489">
        <v>30</v>
      </c>
      <c r="K489" t="s">
        <v>81</v>
      </c>
      <c r="L489" t="s">
        <v>96</v>
      </c>
      <c r="M489" t="s">
        <v>55</v>
      </c>
      <c r="N489" t="s">
        <v>2657</v>
      </c>
      <c r="O489" t="s">
        <v>134</v>
      </c>
      <c r="P489" t="s">
        <v>49</v>
      </c>
      <c r="Q489" t="s">
        <v>140</v>
      </c>
      <c r="R489">
        <v>1</v>
      </c>
      <c r="S489">
        <v>599</v>
      </c>
      <c r="T489">
        <v>0.1</v>
      </c>
      <c r="U489">
        <v>539.1</v>
      </c>
      <c r="V489">
        <v>250</v>
      </c>
      <c r="W489">
        <v>289.10000000000002</v>
      </c>
      <c r="X489" t="s">
        <v>74</v>
      </c>
      <c r="Y489" t="s">
        <v>68</v>
      </c>
      <c r="Z489" t="s">
        <v>159</v>
      </c>
      <c r="AA489" t="s">
        <v>171</v>
      </c>
      <c r="AB489">
        <v>4.5</v>
      </c>
      <c r="AC489">
        <v>100</v>
      </c>
      <c r="AD489">
        <v>36.61</v>
      </c>
      <c r="AE489">
        <f t="shared" si="14"/>
        <v>152.49</v>
      </c>
      <c r="AF489" t="str">
        <f t="shared" si="15"/>
        <v>2025-03</v>
      </c>
      <c r="AG489">
        <f>SUBTOTAL(103,A489)</f>
        <v>1</v>
      </c>
    </row>
    <row r="490" spans="1:33" x14ac:dyDescent="0.3">
      <c r="A490" t="s">
        <v>3101</v>
      </c>
      <c r="B490" s="13">
        <v>45724</v>
      </c>
      <c r="C490">
        <v>2025</v>
      </c>
      <c r="D490">
        <v>3</v>
      </c>
      <c r="E490" t="s">
        <v>3053</v>
      </c>
      <c r="F490" t="s">
        <v>2572</v>
      </c>
      <c r="G490" t="s">
        <v>1833</v>
      </c>
      <c r="H490" t="s">
        <v>1834</v>
      </c>
      <c r="I490" t="s">
        <v>85</v>
      </c>
      <c r="J490">
        <v>30</v>
      </c>
      <c r="K490" t="s">
        <v>81</v>
      </c>
      <c r="L490" t="s">
        <v>94</v>
      </c>
      <c r="M490" t="s">
        <v>57</v>
      </c>
      <c r="N490" t="s">
        <v>2653</v>
      </c>
      <c r="O490" t="s">
        <v>132</v>
      </c>
      <c r="P490" t="s">
        <v>52</v>
      </c>
      <c r="Q490" t="s">
        <v>150</v>
      </c>
      <c r="R490">
        <v>2</v>
      </c>
      <c r="S490">
        <v>899</v>
      </c>
      <c r="T490">
        <v>0.1</v>
      </c>
      <c r="U490">
        <v>1618.2</v>
      </c>
      <c r="V490">
        <v>840</v>
      </c>
      <c r="W490">
        <v>778.2</v>
      </c>
      <c r="X490" t="s">
        <v>75</v>
      </c>
      <c r="Y490" t="s">
        <v>68</v>
      </c>
      <c r="Z490" t="s">
        <v>159</v>
      </c>
      <c r="AA490" t="s">
        <v>169</v>
      </c>
      <c r="AB490">
        <v>4.5999999999999996</v>
      </c>
      <c r="AC490">
        <v>50</v>
      </c>
      <c r="AD490">
        <v>81.28</v>
      </c>
      <c r="AE490">
        <f t="shared" si="14"/>
        <v>646.92000000000007</v>
      </c>
      <c r="AF490" t="str">
        <f t="shared" si="15"/>
        <v>2025-03</v>
      </c>
      <c r="AG490">
        <f>SUBTOTAL(103,A490)</f>
        <v>1</v>
      </c>
    </row>
    <row r="491" spans="1:33" x14ac:dyDescent="0.3">
      <c r="A491" t="s">
        <v>3102</v>
      </c>
      <c r="B491" s="13">
        <v>45724</v>
      </c>
      <c r="C491">
        <v>2025</v>
      </c>
      <c r="D491">
        <v>3</v>
      </c>
      <c r="E491" t="s">
        <v>3053</v>
      </c>
      <c r="F491" t="s">
        <v>2572</v>
      </c>
      <c r="G491" t="s">
        <v>2493</v>
      </c>
      <c r="H491" t="s">
        <v>2494</v>
      </c>
      <c r="I491" t="s">
        <v>86</v>
      </c>
      <c r="J491">
        <v>50</v>
      </c>
      <c r="K491" t="s">
        <v>83</v>
      </c>
      <c r="L491" t="s">
        <v>93</v>
      </c>
      <c r="M491" t="s">
        <v>55</v>
      </c>
      <c r="N491" t="s">
        <v>2590</v>
      </c>
      <c r="O491" t="s">
        <v>127</v>
      </c>
      <c r="P491" t="s">
        <v>51</v>
      </c>
      <c r="Q491" t="s">
        <v>148</v>
      </c>
      <c r="R491">
        <v>1</v>
      </c>
      <c r="S491">
        <v>1599</v>
      </c>
      <c r="T491">
        <v>0</v>
      </c>
      <c r="U491">
        <v>1599</v>
      </c>
      <c r="V491">
        <v>800</v>
      </c>
      <c r="W491">
        <v>799</v>
      </c>
      <c r="X491" t="s">
        <v>75</v>
      </c>
      <c r="Y491" t="s">
        <v>68</v>
      </c>
      <c r="Z491" t="s">
        <v>160</v>
      </c>
      <c r="AA491" t="s">
        <v>168</v>
      </c>
      <c r="AB491">
        <v>4.7</v>
      </c>
      <c r="AC491">
        <v>80</v>
      </c>
      <c r="AD491">
        <v>155.4</v>
      </c>
      <c r="AE491">
        <f t="shared" si="14"/>
        <v>563.6</v>
      </c>
      <c r="AF491" t="str">
        <f t="shared" si="15"/>
        <v>2025-03</v>
      </c>
      <c r="AG491">
        <f>SUBTOTAL(103,A491)</f>
        <v>1</v>
      </c>
    </row>
    <row r="492" spans="1:33" x14ac:dyDescent="0.3">
      <c r="A492" t="s">
        <v>3103</v>
      </c>
      <c r="B492" s="13">
        <v>45724</v>
      </c>
      <c r="C492">
        <v>2025</v>
      </c>
      <c r="D492">
        <v>3</v>
      </c>
      <c r="E492" t="s">
        <v>3053</v>
      </c>
      <c r="F492" t="s">
        <v>2572</v>
      </c>
      <c r="G492" t="s">
        <v>801</v>
      </c>
      <c r="H492" t="s">
        <v>802</v>
      </c>
      <c r="I492" t="s">
        <v>85</v>
      </c>
      <c r="J492">
        <v>32</v>
      </c>
      <c r="K492" t="s">
        <v>81</v>
      </c>
      <c r="L492" t="s">
        <v>2589</v>
      </c>
      <c r="M492" t="s">
        <v>61</v>
      </c>
      <c r="N492" t="s">
        <v>2574</v>
      </c>
      <c r="O492" t="s">
        <v>130</v>
      </c>
      <c r="P492" t="s">
        <v>50</v>
      </c>
      <c r="Q492" t="s">
        <v>53</v>
      </c>
      <c r="R492">
        <v>5</v>
      </c>
      <c r="S492">
        <v>1199</v>
      </c>
      <c r="T492">
        <v>0.05</v>
      </c>
      <c r="U492">
        <v>5695.25</v>
      </c>
      <c r="V492">
        <v>2750</v>
      </c>
      <c r="W492">
        <v>2945.25</v>
      </c>
      <c r="X492" t="s">
        <v>73</v>
      </c>
      <c r="Y492" t="s">
        <v>68</v>
      </c>
      <c r="Z492" t="s">
        <v>158</v>
      </c>
      <c r="AA492" t="s">
        <v>170</v>
      </c>
      <c r="AB492">
        <v>3.6</v>
      </c>
      <c r="AC492">
        <v>100</v>
      </c>
      <c r="AD492">
        <v>518.02</v>
      </c>
      <c r="AE492">
        <f t="shared" si="14"/>
        <v>2327.23</v>
      </c>
      <c r="AF492" t="str">
        <f t="shared" si="15"/>
        <v>2025-03</v>
      </c>
      <c r="AG492">
        <f>SUBTOTAL(103,A492)</f>
        <v>1</v>
      </c>
    </row>
    <row r="493" spans="1:33" x14ac:dyDescent="0.3">
      <c r="A493" t="s">
        <v>3104</v>
      </c>
      <c r="B493" s="13">
        <v>45724</v>
      </c>
      <c r="C493">
        <v>2025</v>
      </c>
      <c r="D493">
        <v>3</v>
      </c>
      <c r="E493" t="s">
        <v>3053</v>
      </c>
      <c r="F493" t="s">
        <v>2572</v>
      </c>
      <c r="G493" t="s">
        <v>1507</v>
      </c>
      <c r="H493" t="s">
        <v>1508</v>
      </c>
      <c r="I493" t="s">
        <v>86</v>
      </c>
      <c r="J493">
        <v>59</v>
      </c>
      <c r="K493" t="s">
        <v>83</v>
      </c>
      <c r="L493" t="s">
        <v>98</v>
      </c>
      <c r="M493" t="s">
        <v>55</v>
      </c>
      <c r="N493" t="s">
        <v>2574</v>
      </c>
      <c r="O493" t="s">
        <v>130</v>
      </c>
      <c r="P493" t="s">
        <v>50</v>
      </c>
      <c r="Q493" t="s">
        <v>53</v>
      </c>
      <c r="R493">
        <v>3</v>
      </c>
      <c r="S493">
        <v>1199</v>
      </c>
      <c r="T493">
        <v>0</v>
      </c>
      <c r="U493">
        <v>3597</v>
      </c>
      <c r="V493">
        <v>1650</v>
      </c>
      <c r="W493">
        <v>1947</v>
      </c>
      <c r="X493" t="s">
        <v>76</v>
      </c>
      <c r="Y493" t="s">
        <v>68</v>
      </c>
      <c r="Z493" t="s">
        <v>161</v>
      </c>
      <c r="AA493" t="s">
        <v>167</v>
      </c>
      <c r="AB493">
        <v>5</v>
      </c>
      <c r="AC493">
        <v>60</v>
      </c>
      <c r="AD493">
        <v>377.13</v>
      </c>
      <c r="AE493">
        <f t="shared" si="14"/>
        <v>1509.87</v>
      </c>
      <c r="AF493" t="str">
        <f t="shared" si="15"/>
        <v>2025-03</v>
      </c>
      <c r="AG493">
        <f>SUBTOTAL(103,A493)</f>
        <v>1</v>
      </c>
    </row>
    <row r="494" spans="1:33" x14ac:dyDescent="0.3">
      <c r="A494" t="s">
        <v>3105</v>
      </c>
      <c r="B494" s="13">
        <v>45724</v>
      </c>
      <c r="C494">
        <v>2025</v>
      </c>
      <c r="D494">
        <v>3</v>
      </c>
      <c r="E494" t="s">
        <v>3053</v>
      </c>
      <c r="F494" t="s">
        <v>2572</v>
      </c>
      <c r="G494" t="s">
        <v>417</v>
      </c>
      <c r="H494" t="s">
        <v>418</v>
      </c>
      <c r="I494" t="s">
        <v>85</v>
      </c>
      <c r="J494">
        <v>47</v>
      </c>
      <c r="K494" t="s">
        <v>83</v>
      </c>
      <c r="L494" t="s">
        <v>59</v>
      </c>
      <c r="M494" t="s">
        <v>59</v>
      </c>
      <c r="N494" t="s">
        <v>2580</v>
      </c>
      <c r="O494" t="s">
        <v>118</v>
      </c>
      <c r="P494" t="s">
        <v>48</v>
      </c>
      <c r="Q494" t="s">
        <v>142</v>
      </c>
      <c r="R494">
        <v>4</v>
      </c>
      <c r="S494">
        <v>3999</v>
      </c>
      <c r="T494">
        <v>0.05</v>
      </c>
      <c r="U494">
        <v>15196.2</v>
      </c>
      <c r="V494">
        <v>9600</v>
      </c>
      <c r="W494">
        <v>5596.2</v>
      </c>
      <c r="X494" t="s">
        <v>73</v>
      </c>
      <c r="Y494" t="s">
        <v>68</v>
      </c>
      <c r="Z494" t="s">
        <v>160</v>
      </c>
      <c r="AA494" t="s">
        <v>171</v>
      </c>
      <c r="AB494">
        <v>4.9000000000000004</v>
      </c>
      <c r="AC494">
        <v>80</v>
      </c>
      <c r="AD494">
        <v>875.36</v>
      </c>
      <c r="AE494">
        <f t="shared" si="14"/>
        <v>4640.84</v>
      </c>
      <c r="AF494" t="str">
        <f t="shared" si="15"/>
        <v>2025-03</v>
      </c>
      <c r="AG494">
        <f>SUBTOTAL(103,A494)</f>
        <v>1</v>
      </c>
    </row>
    <row r="495" spans="1:33" x14ac:dyDescent="0.3">
      <c r="A495" t="s">
        <v>3106</v>
      </c>
      <c r="B495" s="13">
        <v>45724</v>
      </c>
      <c r="C495">
        <v>2025</v>
      </c>
      <c r="D495">
        <v>3</v>
      </c>
      <c r="E495" t="s">
        <v>3053</v>
      </c>
      <c r="F495" t="s">
        <v>2572</v>
      </c>
      <c r="G495" t="s">
        <v>1531</v>
      </c>
      <c r="H495" t="s">
        <v>1532</v>
      </c>
      <c r="I495" t="s">
        <v>85</v>
      </c>
      <c r="J495">
        <v>36</v>
      </c>
      <c r="K495" t="s">
        <v>82</v>
      </c>
      <c r="L495" t="s">
        <v>2579</v>
      </c>
      <c r="M495" t="s">
        <v>56</v>
      </c>
      <c r="N495" t="s">
        <v>2590</v>
      </c>
      <c r="O495" t="s">
        <v>127</v>
      </c>
      <c r="P495" t="s">
        <v>51</v>
      </c>
      <c r="Q495" t="s">
        <v>148</v>
      </c>
      <c r="R495">
        <v>2</v>
      </c>
      <c r="S495">
        <v>1599</v>
      </c>
      <c r="T495">
        <v>0.05</v>
      </c>
      <c r="U495">
        <v>3038.1</v>
      </c>
      <c r="V495">
        <v>1600</v>
      </c>
      <c r="W495">
        <v>1438.1</v>
      </c>
      <c r="X495" t="s">
        <v>74</v>
      </c>
      <c r="Y495" t="s">
        <v>68</v>
      </c>
      <c r="Z495" t="s">
        <v>159</v>
      </c>
      <c r="AA495" t="s">
        <v>170</v>
      </c>
      <c r="AB495">
        <v>4.5</v>
      </c>
      <c r="AC495">
        <v>80</v>
      </c>
      <c r="AD495">
        <v>191.32</v>
      </c>
      <c r="AE495">
        <f t="shared" si="14"/>
        <v>1166.78</v>
      </c>
      <c r="AF495" t="str">
        <f t="shared" si="15"/>
        <v>2025-03</v>
      </c>
      <c r="AG495">
        <f>SUBTOTAL(103,A495)</f>
        <v>1</v>
      </c>
    </row>
    <row r="496" spans="1:33" x14ac:dyDescent="0.3">
      <c r="A496" t="s">
        <v>3107</v>
      </c>
      <c r="B496" s="13">
        <v>45724</v>
      </c>
      <c r="C496">
        <v>2025</v>
      </c>
      <c r="D496">
        <v>3</v>
      </c>
      <c r="E496" t="s">
        <v>3053</v>
      </c>
      <c r="F496" t="s">
        <v>2572</v>
      </c>
      <c r="G496" t="s">
        <v>231</v>
      </c>
      <c r="H496" t="s">
        <v>232</v>
      </c>
      <c r="I496" t="s">
        <v>85</v>
      </c>
      <c r="J496">
        <v>59</v>
      </c>
      <c r="K496" t="s">
        <v>83</v>
      </c>
      <c r="L496" t="s">
        <v>93</v>
      </c>
      <c r="M496" t="s">
        <v>55</v>
      </c>
      <c r="N496" t="s">
        <v>2626</v>
      </c>
      <c r="O496" t="s">
        <v>125</v>
      </c>
      <c r="P496" t="s">
        <v>48</v>
      </c>
      <c r="Q496" t="s">
        <v>141</v>
      </c>
      <c r="R496">
        <v>3</v>
      </c>
      <c r="S496">
        <v>1999</v>
      </c>
      <c r="T496">
        <v>0.05</v>
      </c>
      <c r="U496">
        <v>5697.15</v>
      </c>
      <c r="V496">
        <v>3450</v>
      </c>
      <c r="W496">
        <v>2247.15</v>
      </c>
      <c r="X496" t="s">
        <v>74</v>
      </c>
      <c r="Y496" t="s">
        <v>68</v>
      </c>
      <c r="Z496" t="s">
        <v>158</v>
      </c>
      <c r="AA496" t="s">
        <v>167</v>
      </c>
      <c r="AB496">
        <v>4.2</v>
      </c>
      <c r="AC496">
        <v>60</v>
      </c>
      <c r="AD496">
        <v>196.26</v>
      </c>
      <c r="AE496">
        <f t="shared" si="14"/>
        <v>1990.89</v>
      </c>
      <c r="AF496" t="str">
        <f t="shared" si="15"/>
        <v>2025-03</v>
      </c>
      <c r="AG496">
        <f>SUBTOTAL(103,A496)</f>
        <v>1</v>
      </c>
    </row>
    <row r="497" spans="1:33" x14ac:dyDescent="0.3">
      <c r="A497" t="s">
        <v>3108</v>
      </c>
      <c r="B497" s="13">
        <v>45724</v>
      </c>
      <c r="C497">
        <v>2025</v>
      </c>
      <c r="D497">
        <v>3</v>
      </c>
      <c r="E497" t="s">
        <v>3053</v>
      </c>
      <c r="F497" t="s">
        <v>2572</v>
      </c>
      <c r="G497" t="s">
        <v>1381</v>
      </c>
      <c r="H497" t="s">
        <v>1382</v>
      </c>
      <c r="I497" t="s">
        <v>85</v>
      </c>
      <c r="J497">
        <v>25</v>
      </c>
      <c r="K497" t="s">
        <v>80</v>
      </c>
      <c r="L497" t="s">
        <v>92</v>
      </c>
      <c r="M497" t="s">
        <v>59</v>
      </c>
      <c r="N497" t="s">
        <v>2630</v>
      </c>
      <c r="O497" t="s">
        <v>123</v>
      </c>
      <c r="P497" t="s">
        <v>52</v>
      </c>
      <c r="Q497" t="s">
        <v>146</v>
      </c>
      <c r="R497">
        <v>1</v>
      </c>
      <c r="S497">
        <v>2499</v>
      </c>
      <c r="T497">
        <v>0.1</v>
      </c>
      <c r="U497">
        <v>2249.1</v>
      </c>
      <c r="V497">
        <v>1400</v>
      </c>
      <c r="W497">
        <v>849.1</v>
      </c>
      <c r="X497" t="s">
        <v>73</v>
      </c>
      <c r="Y497" t="s">
        <v>68</v>
      </c>
      <c r="Z497" t="s">
        <v>158</v>
      </c>
      <c r="AA497" t="s">
        <v>170</v>
      </c>
      <c r="AB497">
        <v>3.3</v>
      </c>
      <c r="AC497">
        <v>60</v>
      </c>
      <c r="AD497">
        <v>152.51</v>
      </c>
      <c r="AE497">
        <f t="shared" si="14"/>
        <v>636.59</v>
      </c>
      <c r="AF497" t="str">
        <f t="shared" si="15"/>
        <v>2025-03</v>
      </c>
      <c r="AG497">
        <f>SUBTOTAL(103,A497)</f>
        <v>1</v>
      </c>
    </row>
    <row r="498" spans="1:33" x14ac:dyDescent="0.3">
      <c r="A498" t="s">
        <v>3109</v>
      </c>
      <c r="B498" s="13">
        <v>45724</v>
      </c>
      <c r="C498">
        <v>2025</v>
      </c>
      <c r="D498">
        <v>3</v>
      </c>
      <c r="E498" t="s">
        <v>3053</v>
      </c>
      <c r="F498" t="s">
        <v>2572</v>
      </c>
      <c r="G498" t="s">
        <v>1219</v>
      </c>
      <c r="H498" t="s">
        <v>1220</v>
      </c>
      <c r="I498" t="s">
        <v>86</v>
      </c>
      <c r="J498">
        <v>58</v>
      </c>
      <c r="K498" t="s">
        <v>83</v>
      </c>
      <c r="L498" t="s">
        <v>2589</v>
      </c>
      <c r="M498" t="s">
        <v>61</v>
      </c>
      <c r="N498" t="s">
        <v>2603</v>
      </c>
      <c r="O498" t="s">
        <v>122</v>
      </c>
      <c r="P498" t="s">
        <v>48</v>
      </c>
      <c r="Q498" t="s">
        <v>141</v>
      </c>
      <c r="R498">
        <v>1</v>
      </c>
      <c r="S498">
        <v>2499</v>
      </c>
      <c r="T498">
        <v>0.05</v>
      </c>
      <c r="U498">
        <v>2374.0500000000002</v>
      </c>
      <c r="V498">
        <v>1450</v>
      </c>
      <c r="W498">
        <v>924.05</v>
      </c>
      <c r="X498" t="s">
        <v>74</v>
      </c>
      <c r="Y498" t="s">
        <v>69</v>
      </c>
      <c r="Z498" t="s">
        <v>161</v>
      </c>
      <c r="AA498" t="s">
        <v>167</v>
      </c>
      <c r="AB498">
        <v>3.1</v>
      </c>
      <c r="AC498">
        <v>100</v>
      </c>
      <c r="AD498">
        <v>203.54</v>
      </c>
      <c r="AE498">
        <f t="shared" si="14"/>
        <v>620.51</v>
      </c>
      <c r="AF498" t="str">
        <f t="shared" si="15"/>
        <v>2025-03</v>
      </c>
      <c r="AG498">
        <f>SUBTOTAL(103,A498)</f>
        <v>1</v>
      </c>
    </row>
    <row r="499" spans="1:33" x14ac:dyDescent="0.3">
      <c r="A499" t="s">
        <v>3110</v>
      </c>
      <c r="B499" s="13">
        <v>45725</v>
      </c>
      <c r="C499">
        <v>2025</v>
      </c>
      <c r="D499">
        <v>3</v>
      </c>
      <c r="E499" t="s">
        <v>3053</v>
      </c>
      <c r="F499" t="s">
        <v>2572</v>
      </c>
      <c r="G499" t="s">
        <v>1371</v>
      </c>
      <c r="H499" t="s">
        <v>1372</v>
      </c>
      <c r="I499" t="s">
        <v>87</v>
      </c>
      <c r="J499">
        <v>31</v>
      </c>
      <c r="K499" t="s">
        <v>81</v>
      </c>
      <c r="L499" t="s">
        <v>2612</v>
      </c>
      <c r="M499" t="s">
        <v>64</v>
      </c>
      <c r="N499" t="s">
        <v>2630</v>
      </c>
      <c r="O499" t="s">
        <v>123</v>
      </c>
      <c r="P499" t="s">
        <v>52</v>
      </c>
      <c r="Q499" t="s">
        <v>146</v>
      </c>
      <c r="R499">
        <v>3</v>
      </c>
      <c r="S499">
        <v>2499</v>
      </c>
      <c r="T499">
        <v>0.2</v>
      </c>
      <c r="U499">
        <v>5997.6</v>
      </c>
      <c r="V499">
        <v>4200</v>
      </c>
      <c r="W499">
        <v>1797.6</v>
      </c>
      <c r="X499" t="s">
        <v>75</v>
      </c>
      <c r="Y499" t="s">
        <v>68</v>
      </c>
      <c r="Z499" t="s">
        <v>162</v>
      </c>
      <c r="AA499" t="s">
        <v>167</v>
      </c>
      <c r="AB499">
        <v>4.5999999999999996</v>
      </c>
      <c r="AC499">
        <v>100</v>
      </c>
      <c r="AD499">
        <v>366.33</v>
      </c>
      <c r="AE499">
        <f t="shared" si="14"/>
        <v>1331.27</v>
      </c>
      <c r="AF499" t="str">
        <f t="shared" si="15"/>
        <v>2025-03</v>
      </c>
      <c r="AG499">
        <f>SUBTOTAL(103,A499)</f>
        <v>1</v>
      </c>
    </row>
    <row r="500" spans="1:33" x14ac:dyDescent="0.3">
      <c r="A500" t="s">
        <v>3111</v>
      </c>
      <c r="B500" s="13">
        <v>45725</v>
      </c>
      <c r="C500">
        <v>2025</v>
      </c>
      <c r="D500">
        <v>3</v>
      </c>
      <c r="E500" t="s">
        <v>3053</v>
      </c>
      <c r="F500" t="s">
        <v>2572</v>
      </c>
      <c r="G500" t="s">
        <v>421</v>
      </c>
      <c r="H500" t="s">
        <v>422</v>
      </c>
      <c r="I500" t="s">
        <v>86</v>
      </c>
      <c r="J500">
        <v>47</v>
      </c>
      <c r="K500" t="s">
        <v>83</v>
      </c>
      <c r="L500" t="s">
        <v>2589</v>
      </c>
      <c r="M500" t="s">
        <v>61</v>
      </c>
      <c r="N500" t="s">
        <v>2647</v>
      </c>
      <c r="O500" t="s">
        <v>133</v>
      </c>
      <c r="P500" t="s">
        <v>50</v>
      </c>
      <c r="Q500" t="s">
        <v>145</v>
      </c>
      <c r="R500">
        <v>3</v>
      </c>
      <c r="S500">
        <v>799</v>
      </c>
      <c r="T500">
        <v>0.1</v>
      </c>
      <c r="U500">
        <v>2157.3000000000002</v>
      </c>
      <c r="V500">
        <v>1170</v>
      </c>
      <c r="W500">
        <v>987.3</v>
      </c>
      <c r="X500" t="s">
        <v>73</v>
      </c>
      <c r="Y500" t="s">
        <v>68</v>
      </c>
      <c r="Z500" t="s">
        <v>158</v>
      </c>
      <c r="AA500" t="s">
        <v>167</v>
      </c>
      <c r="AB500">
        <v>4.5</v>
      </c>
      <c r="AC500">
        <v>80</v>
      </c>
      <c r="AD500">
        <v>214.59</v>
      </c>
      <c r="AE500">
        <f t="shared" si="14"/>
        <v>692.70999999999992</v>
      </c>
      <c r="AF500" t="str">
        <f t="shared" si="15"/>
        <v>2025-03</v>
      </c>
      <c r="AG500">
        <f>SUBTOTAL(103,A500)</f>
        <v>1</v>
      </c>
    </row>
    <row r="501" spans="1:33" x14ac:dyDescent="0.3">
      <c r="A501" t="s">
        <v>3112</v>
      </c>
      <c r="B501" s="13">
        <v>45725</v>
      </c>
      <c r="C501">
        <v>2025</v>
      </c>
      <c r="D501">
        <v>3</v>
      </c>
      <c r="E501" t="s">
        <v>3053</v>
      </c>
      <c r="F501" t="s">
        <v>2572</v>
      </c>
      <c r="G501" t="s">
        <v>1713</v>
      </c>
      <c r="H501" t="s">
        <v>1714</v>
      </c>
      <c r="I501" t="s">
        <v>87</v>
      </c>
      <c r="J501">
        <v>54</v>
      </c>
      <c r="K501" t="s">
        <v>83</v>
      </c>
      <c r="L501" t="s">
        <v>2690</v>
      </c>
      <c r="M501" t="s">
        <v>63</v>
      </c>
      <c r="N501" t="s">
        <v>2665</v>
      </c>
      <c r="O501" t="s">
        <v>128</v>
      </c>
      <c r="P501" t="s">
        <v>53</v>
      </c>
      <c r="Q501" t="s">
        <v>143</v>
      </c>
      <c r="R501">
        <v>3</v>
      </c>
      <c r="S501">
        <v>1499</v>
      </c>
      <c r="T501">
        <v>0</v>
      </c>
      <c r="U501">
        <v>4497</v>
      </c>
      <c r="V501">
        <v>2400</v>
      </c>
      <c r="W501">
        <v>2097</v>
      </c>
      <c r="X501" t="s">
        <v>76</v>
      </c>
      <c r="Y501" t="s">
        <v>68</v>
      </c>
      <c r="Z501" t="s">
        <v>161</v>
      </c>
      <c r="AA501" t="s">
        <v>167</v>
      </c>
      <c r="AB501">
        <v>3.1</v>
      </c>
      <c r="AC501">
        <v>60</v>
      </c>
      <c r="AD501">
        <v>345.16</v>
      </c>
      <c r="AE501">
        <f t="shared" si="14"/>
        <v>1691.84</v>
      </c>
      <c r="AF501" t="str">
        <f t="shared" si="15"/>
        <v>2025-03</v>
      </c>
      <c r="AG501">
        <f>SUBTOTAL(103,A501)</f>
        <v>1</v>
      </c>
    </row>
    <row r="502" spans="1:33" x14ac:dyDescent="0.3">
      <c r="A502" t="s">
        <v>3113</v>
      </c>
      <c r="B502" s="13">
        <v>45725</v>
      </c>
      <c r="C502">
        <v>2025</v>
      </c>
      <c r="D502">
        <v>3</v>
      </c>
      <c r="E502" t="s">
        <v>3053</v>
      </c>
      <c r="F502" t="s">
        <v>2572</v>
      </c>
      <c r="G502" t="s">
        <v>1741</v>
      </c>
      <c r="H502" t="s">
        <v>1742</v>
      </c>
      <c r="I502" t="s">
        <v>85</v>
      </c>
      <c r="J502">
        <v>18</v>
      </c>
      <c r="K502" t="s">
        <v>80</v>
      </c>
      <c r="L502" t="s">
        <v>97</v>
      </c>
      <c r="M502" t="s">
        <v>57</v>
      </c>
      <c r="N502" t="s">
        <v>2653</v>
      </c>
      <c r="O502" t="s">
        <v>132</v>
      </c>
      <c r="P502" t="s">
        <v>52</v>
      </c>
      <c r="Q502" t="s">
        <v>150</v>
      </c>
      <c r="R502">
        <v>3</v>
      </c>
      <c r="S502">
        <v>899</v>
      </c>
      <c r="T502">
        <v>0.15</v>
      </c>
      <c r="U502">
        <v>2292.4499999999998</v>
      </c>
      <c r="V502">
        <v>1260</v>
      </c>
      <c r="W502">
        <v>1032.45</v>
      </c>
      <c r="X502" t="s">
        <v>76</v>
      </c>
      <c r="Y502" t="s">
        <v>70</v>
      </c>
      <c r="Z502" t="s">
        <v>163</v>
      </c>
      <c r="AA502" t="s">
        <v>169</v>
      </c>
      <c r="AB502">
        <v>5</v>
      </c>
      <c r="AC502">
        <v>50</v>
      </c>
      <c r="AD502">
        <v>228.08</v>
      </c>
      <c r="AE502">
        <f t="shared" si="14"/>
        <v>754.37</v>
      </c>
      <c r="AF502" t="str">
        <f t="shared" si="15"/>
        <v>2025-03</v>
      </c>
      <c r="AG502">
        <f>SUBTOTAL(103,A502)</f>
        <v>1</v>
      </c>
    </row>
    <row r="503" spans="1:33" x14ac:dyDescent="0.3">
      <c r="A503" t="s">
        <v>3114</v>
      </c>
      <c r="B503" s="13">
        <v>45725</v>
      </c>
      <c r="C503">
        <v>2025</v>
      </c>
      <c r="D503">
        <v>3</v>
      </c>
      <c r="E503" t="s">
        <v>3053</v>
      </c>
      <c r="F503" t="s">
        <v>2572</v>
      </c>
      <c r="G503" t="s">
        <v>1029</v>
      </c>
      <c r="H503" t="s">
        <v>1030</v>
      </c>
      <c r="I503" t="s">
        <v>85</v>
      </c>
      <c r="J503">
        <v>22</v>
      </c>
      <c r="K503" t="s">
        <v>80</v>
      </c>
      <c r="L503" t="s">
        <v>2637</v>
      </c>
      <c r="M503" t="s">
        <v>64</v>
      </c>
      <c r="N503" t="s">
        <v>2603</v>
      </c>
      <c r="O503" t="s">
        <v>122</v>
      </c>
      <c r="P503" t="s">
        <v>48</v>
      </c>
      <c r="Q503" t="s">
        <v>141</v>
      </c>
      <c r="R503">
        <v>1</v>
      </c>
      <c r="S503">
        <v>2499</v>
      </c>
      <c r="T503">
        <v>0.15</v>
      </c>
      <c r="U503">
        <v>2124.15</v>
      </c>
      <c r="V503">
        <v>1450</v>
      </c>
      <c r="W503">
        <v>674.15</v>
      </c>
      <c r="X503" t="s">
        <v>75</v>
      </c>
      <c r="Y503" t="s">
        <v>68</v>
      </c>
      <c r="Z503" t="s">
        <v>159</v>
      </c>
      <c r="AA503" t="s">
        <v>170</v>
      </c>
      <c r="AB503">
        <v>3.2</v>
      </c>
      <c r="AC503">
        <v>50</v>
      </c>
      <c r="AD503">
        <v>130.49</v>
      </c>
      <c r="AE503">
        <f t="shared" si="14"/>
        <v>493.65999999999997</v>
      </c>
      <c r="AF503" t="str">
        <f t="shared" si="15"/>
        <v>2025-03</v>
      </c>
      <c r="AG503">
        <f>SUBTOTAL(103,A503)</f>
        <v>1</v>
      </c>
    </row>
    <row r="504" spans="1:33" x14ac:dyDescent="0.3">
      <c r="A504" t="s">
        <v>3115</v>
      </c>
      <c r="B504" s="13">
        <v>45725</v>
      </c>
      <c r="C504">
        <v>2025</v>
      </c>
      <c r="D504">
        <v>3</v>
      </c>
      <c r="E504" t="s">
        <v>3053</v>
      </c>
      <c r="F504" t="s">
        <v>2572</v>
      </c>
      <c r="G504" t="s">
        <v>1909</v>
      </c>
      <c r="H504" t="s">
        <v>1910</v>
      </c>
      <c r="I504" t="s">
        <v>85</v>
      </c>
      <c r="J504">
        <v>24</v>
      </c>
      <c r="K504" t="s">
        <v>80</v>
      </c>
      <c r="L504" t="s">
        <v>2634</v>
      </c>
      <c r="M504" t="s">
        <v>56</v>
      </c>
      <c r="N504" t="s">
        <v>2582</v>
      </c>
      <c r="O504" t="s">
        <v>119</v>
      </c>
      <c r="P504" t="s">
        <v>49</v>
      </c>
      <c r="Q504" t="s">
        <v>140</v>
      </c>
      <c r="R504">
        <v>2</v>
      </c>
      <c r="S504">
        <v>3499</v>
      </c>
      <c r="T504">
        <v>0.1</v>
      </c>
      <c r="U504">
        <v>6298.2</v>
      </c>
      <c r="V504">
        <v>4200</v>
      </c>
      <c r="W504">
        <v>2098.1999999999998</v>
      </c>
      <c r="X504" t="s">
        <v>74</v>
      </c>
      <c r="Y504" t="s">
        <v>68</v>
      </c>
      <c r="Z504" t="s">
        <v>162</v>
      </c>
      <c r="AA504" t="s">
        <v>166</v>
      </c>
      <c r="AB504">
        <v>4.4000000000000004</v>
      </c>
      <c r="AC504">
        <v>50</v>
      </c>
      <c r="AD504">
        <v>541.37</v>
      </c>
      <c r="AE504">
        <f t="shared" si="14"/>
        <v>1506.83</v>
      </c>
      <c r="AF504" t="str">
        <f t="shared" si="15"/>
        <v>2025-03</v>
      </c>
      <c r="AG504">
        <f>SUBTOTAL(103,A504)</f>
        <v>1</v>
      </c>
    </row>
    <row r="505" spans="1:33" x14ac:dyDescent="0.3">
      <c r="A505" t="s">
        <v>3116</v>
      </c>
      <c r="B505" s="13">
        <v>45725</v>
      </c>
      <c r="C505">
        <v>2025</v>
      </c>
      <c r="D505">
        <v>3</v>
      </c>
      <c r="E505" t="s">
        <v>3053</v>
      </c>
      <c r="F505" t="s">
        <v>2572</v>
      </c>
      <c r="G505" t="s">
        <v>1083</v>
      </c>
      <c r="H505" t="s">
        <v>1084</v>
      </c>
      <c r="I505" t="s">
        <v>86</v>
      </c>
      <c r="J505">
        <v>39</v>
      </c>
      <c r="K505" t="s">
        <v>82</v>
      </c>
      <c r="L505" t="s">
        <v>99</v>
      </c>
      <c r="M505" t="s">
        <v>58</v>
      </c>
      <c r="N505" t="s">
        <v>2630</v>
      </c>
      <c r="O505" t="s">
        <v>123</v>
      </c>
      <c r="P505" t="s">
        <v>52</v>
      </c>
      <c r="Q505" t="s">
        <v>146</v>
      </c>
      <c r="R505">
        <v>3</v>
      </c>
      <c r="S505">
        <v>2499</v>
      </c>
      <c r="T505">
        <v>0</v>
      </c>
      <c r="U505">
        <v>7497</v>
      </c>
      <c r="V505">
        <v>4200</v>
      </c>
      <c r="W505">
        <v>3297</v>
      </c>
      <c r="X505" t="s">
        <v>75</v>
      </c>
      <c r="Y505" t="s">
        <v>68</v>
      </c>
      <c r="Z505" t="s">
        <v>160</v>
      </c>
      <c r="AA505" t="s">
        <v>170</v>
      </c>
      <c r="AB505">
        <v>4.7</v>
      </c>
      <c r="AC505">
        <v>80</v>
      </c>
      <c r="AD505">
        <v>666.07</v>
      </c>
      <c r="AE505">
        <f t="shared" si="14"/>
        <v>2550.9299999999998</v>
      </c>
      <c r="AF505" t="str">
        <f t="shared" si="15"/>
        <v>2025-03</v>
      </c>
      <c r="AG505">
        <f>SUBTOTAL(103,A505)</f>
        <v>1</v>
      </c>
    </row>
    <row r="506" spans="1:33" x14ac:dyDescent="0.3">
      <c r="A506" t="s">
        <v>3117</v>
      </c>
      <c r="B506" s="13">
        <v>45725</v>
      </c>
      <c r="C506">
        <v>2025</v>
      </c>
      <c r="D506">
        <v>3</v>
      </c>
      <c r="E506" t="s">
        <v>3053</v>
      </c>
      <c r="F506" t="s">
        <v>2572</v>
      </c>
      <c r="G506" t="s">
        <v>533</v>
      </c>
      <c r="H506" t="s">
        <v>534</v>
      </c>
      <c r="I506" t="s">
        <v>85</v>
      </c>
      <c r="J506">
        <v>27</v>
      </c>
      <c r="K506" t="s">
        <v>81</v>
      </c>
      <c r="L506" t="s">
        <v>2605</v>
      </c>
      <c r="M506" t="s">
        <v>60</v>
      </c>
      <c r="N506" t="s">
        <v>2582</v>
      </c>
      <c r="O506" t="s">
        <v>119</v>
      </c>
      <c r="P506" t="s">
        <v>49</v>
      </c>
      <c r="Q506" t="s">
        <v>140</v>
      </c>
      <c r="R506">
        <v>2</v>
      </c>
      <c r="S506">
        <v>3499</v>
      </c>
      <c r="T506">
        <v>0.1</v>
      </c>
      <c r="U506">
        <v>6298.2</v>
      </c>
      <c r="V506">
        <v>4200</v>
      </c>
      <c r="W506">
        <v>2098.1999999999998</v>
      </c>
      <c r="X506" t="s">
        <v>73</v>
      </c>
      <c r="Y506" t="s">
        <v>68</v>
      </c>
      <c r="Z506" t="s">
        <v>160</v>
      </c>
      <c r="AA506" t="s">
        <v>166</v>
      </c>
      <c r="AB506">
        <v>3.4</v>
      </c>
      <c r="AC506">
        <v>50</v>
      </c>
      <c r="AD506">
        <v>570.32000000000005</v>
      </c>
      <c r="AE506">
        <f t="shared" si="14"/>
        <v>1477.8799999999997</v>
      </c>
      <c r="AF506" t="str">
        <f t="shared" si="15"/>
        <v>2025-03</v>
      </c>
      <c r="AG506">
        <f>SUBTOTAL(103,A506)</f>
        <v>1</v>
      </c>
    </row>
    <row r="507" spans="1:33" x14ac:dyDescent="0.3">
      <c r="A507" t="s">
        <v>3118</v>
      </c>
      <c r="B507" s="13">
        <v>45725</v>
      </c>
      <c r="C507">
        <v>2025</v>
      </c>
      <c r="D507">
        <v>3</v>
      </c>
      <c r="E507" t="s">
        <v>3053</v>
      </c>
      <c r="F507" t="s">
        <v>2572</v>
      </c>
      <c r="G507" t="s">
        <v>631</v>
      </c>
      <c r="H507" t="s">
        <v>632</v>
      </c>
      <c r="I507" t="s">
        <v>85</v>
      </c>
      <c r="J507">
        <v>22</v>
      </c>
      <c r="K507" t="s">
        <v>80</v>
      </c>
      <c r="L507" t="s">
        <v>92</v>
      </c>
      <c r="M507" t="s">
        <v>59</v>
      </c>
      <c r="N507" t="s">
        <v>2580</v>
      </c>
      <c r="O507" t="s">
        <v>118</v>
      </c>
      <c r="P507" t="s">
        <v>48</v>
      </c>
      <c r="Q507" t="s">
        <v>142</v>
      </c>
      <c r="R507">
        <v>3</v>
      </c>
      <c r="S507">
        <v>3999</v>
      </c>
      <c r="T507">
        <v>0.15</v>
      </c>
      <c r="U507">
        <v>10197.450000000001</v>
      </c>
      <c r="V507">
        <v>7200</v>
      </c>
      <c r="W507">
        <v>2997.45</v>
      </c>
      <c r="X507" t="s">
        <v>76</v>
      </c>
      <c r="Y507" t="s">
        <v>68</v>
      </c>
      <c r="Z507" t="s">
        <v>161</v>
      </c>
      <c r="AA507" t="s">
        <v>167</v>
      </c>
      <c r="AB507">
        <v>4.8</v>
      </c>
      <c r="AC507">
        <v>40</v>
      </c>
      <c r="AD507">
        <v>676.11</v>
      </c>
      <c r="AE507">
        <f t="shared" si="14"/>
        <v>2281.3399999999997</v>
      </c>
      <c r="AF507" t="str">
        <f t="shared" si="15"/>
        <v>2025-03</v>
      </c>
      <c r="AG507">
        <f>SUBTOTAL(103,A507)</f>
        <v>1</v>
      </c>
    </row>
    <row r="508" spans="1:33" x14ac:dyDescent="0.3">
      <c r="A508" t="s">
        <v>3119</v>
      </c>
      <c r="B508" s="13">
        <v>45726</v>
      </c>
      <c r="C508">
        <v>2025</v>
      </c>
      <c r="D508">
        <v>3</v>
      </c>
      <c r="E508" t="s">
        <v>3053</v>
      </c>
      <c r="F508" t="s">
        <v>2572</v>
      </c>
      <c r="G508" t="s">
        <v>1551</v>
      </c>
      <c r="H508" t="s">
        <v>1552</v>
      </c>
      <c r="I508" t="s">
        <v>86</v>
      </c>
      <c r="J508">
        <v>55</v>
      </c>
      <c r="K508" t="s">
        <v>83</v>
      </c>
      <c r="L508" t="s">
        <v>93</v>
      </c>
      <c r="M508" t="s">
        <v>55</v>
      </c>
      <c r="N508" t="s">
        <v>2594</v>
      </c>
      <c r="O508" t="s">
        <v>131</v>
      </c>
      <c r="P508" t="s">
        <v>53</v>
      </c>
      <c r="Q508" t="s">
        <v>143</v>
      </c>
      <c r="R508">
        <v>1</v>
      </c>
      <c r="S508">
        <v>999</v>
      </c>
      <c r="T508">
        <v>0.15</v>
      </c>
      <c r="U508">
        <v>849.15</v>
      </c>
      <c r="V508">
        <v>520</v>
      </c>
      <c r="W508">
        <v>329.15</v>
      </c>
      <c r="X508" t="s">
        <v>73</v>
      </c>
      <c r="Y508" t="s">
        <v>68</v>
      </c>
      <c r="Z508" t="s">
        <v>158</v>
      </c>
      <c r="AA508" t="s">
        <v>166</v>
      </c>
      <c r="AB508">
        <v>4.9000000000000004</v>
      </c>
      <c r="AC508">
        <v>60</v>
      </c>
      <c r="AD508">
        <v>38.43</v>
      </c>
      <c r="AE508">
        <f t="shared" si="14"/>
        <v>230.71999999999997</v>
      </c>
      <c r="AF508" t="str">
        <f t="shared" si="15"/>
        <v>2025-03</v>
      </c>
      <c r="AG508">
        <f>SUBTOTAL(103,A508)</f>
        <v>1</v>
      </c>
    </row>
    <row r="509" spans="1:33" x14ac:dyDescent="0.3">
      <c r="A509" t="s">
        <v>3120</v>
      </c>
      <c r="B509" s="13">
        <v>45726</v>
      </c>
      <c r="C509">
        <v>2025</v>
      </c>
      <c r="D509">
        <v>3</v>
      </c>
      <c r="E509" t="s">
        <v>3053</v>
      </c>
      <c r="F509" t="s">
        <v>2572</v>
      </c>
      <c r="G509" t="s">
        <v>1511</v>
      </c>
      <c r="H509" t="s">
        <v>1512</v>
      </c>
      <c r="I509" t="s">
        <v>85</v>
      </c>
      <c r="J509">
        <v>57</v>
      </c>
      <c r="K509" t="s">
        <v>83</v>
      </c>
      <c r="L509" t="s">
        <v>98</v>
      </c>
      <c r="M509" t="s">
        <v>55</v>
      </c>
      <c r="N509" t="s">
        <v>2580</v>
      </c>
      <c r="O509" t="s">
        <v>118</v>
      </c>
      <c r="P509" t="s">
        <v>48</v>
      </c>
      <c r="Q509" t="s">
        <v>142</v>
      </c>
      <c r="R509">
        <v>2</v>
      </c>
      <c r="S509">
        <v>3999</v>
      </c>
      <c r="T509">
        <v>0.1</v>
      </c>
      <c r="U509">
        <v>7198.2</v>
      </c>
      <c r="V509">
        <v>4800</v>
      </c>
      <c r="W509">
        <v>2398.1999999999998</v>
      </c>
      <c r="X509" t="s">
        <v>75</v>
      </c>
      <c r="Y509" t="s">
        <v>68</v>
      </c>
      <c r="Z509" t="s">
        <v>161</v>
      </c>
      <c r="AA509" t="s">
        <v>166</v>
      </c>
      <c r="AB509">
        <v>4.0999999999999996</v>
      </c>
      <c r="AC509">
        <v>100</v>
      </c>
      <c r="AD509">
        <v>473.87</v>
      </c>
      <c r="AE509">
        <f t="shared" si="14"/>
        <v>1824.33</v>
      </c>
      <c r="AF509" t="str">
        <f t="shared" si="15"/>
        <v>2025-03</v>
      </c>
      <c r="AG509">
        <f>SUBTOTAL(103,A509)</f>
        <v>1</v>
      </c>
    </row>
    <row r="510" spans="1:33" x14ac:dyDescent="0.3">
      <c r="A510" t="s">
        <v>3121</v>
      </c>
      <c r="B510" s="13">
        <v>45726</v>
      </c>
      <c r="C510">
        <v>2025</v>
      </c>
      <c r="D510">
        <v>3</v>
      </c>
      <c r="E510" t="s">
        <v>3053</v>
      </c>
      <c r="F510" t="s">
        <v>2572</v>
      </c>
      <c r="G510" t="s">
        <v>1423</v>
      </c>
      <c r="H510" t="s">
        <v>1424</v>
      </c>
      <c r="I510" t="s">
        <v>86</v>
      </c>
      <c r="J510">
        <v>23</v>
      </c>
      <c r="K510" t="s">
        <v>80</v>
      </c>
      <c r="L510" t="s">
        <v>2612</v>
      </c>
      <c r="M510" t="s">
        <v>64</v>
      </c>
      <c r="N510" t="s">
        <v>2665</v>
      </c>
      <c r="O510" t="s">
        <v>128</v>
      </c>
      <c r="P510" t="s">
        <v>53</v>
      </c>
      <c r="Q510" t="s">
        <v>143</v>
      </c>
      <c r="R510">
        <v>1</v>
      </c>
      <c r="S510">
        <v>1499</v>
      </c>
      <c r="T510">
        <v>0.15</v>
      </c>
      <c r="U510">
        <v>1274.1500000000001</v>
      </c>
      <c r="V510">
        <v>800</v>
      </c>
      <c r="W510">
        <v>474.15</v>
      </c>
      <c r="X510" t="s">
        <v>73</v>
      </c>
      <c r="Y510" t="s">
        <v>68</v>
      </c>
      <c r="Z510" t="s">
        <v>159</v>
      </c>
      <c r="AA510" t="s">
        <v>167</v>
      </c>
      <c r="AB510">
        <v>4.7</v>
      </c>
      <c r="AC510">
        <v>120</v>
      </c>
      <c r="AD510">
        <v>135.13999999999999</v>
      </c>
      <c r="AE510">
        <f t="shared" si="14"/>
        <v>219.01</v>
      </c>
      <c r="AF510" t="str">
        <f t="shared" si="15"/>
        <v>2025-03</v>
      </c>
      <c r="AG510">
        <f>SUBTOTAL(103,A510)</f>
        <v>1</v>
      </c>
    </row>
    <row r="511" spans="1:33" x14ac:dyDescent="0.3">
      <c r="A511" t="s">
        <v>3122</v>
      </c>
      <c r="B511" s="13">
        <v>45726</v>
      </c>
      <c r="C511">
        <v>2025</v>
      </c>
      <c r="D511">
        <v>3</v>
      </c>
      <c r="E511" t="s">
        <v>3053</v>
      </c>
      <c r="F511" t="s">
        <v>2572</v>
      </c>
      <c r="G511" t="s">
        <v>1743</v>
      </c>
      <c r="H511" t="s">
        <v>1744</v>
      </c>
      <c r="I511" t="s">
        <v>86</v>
      </c>
      <c r="J511">
        <v>28</v>
      </c>
      <c r="K511" t="s">
        <v>81</v>
      </c>
      <c r="L511" t="s">
        <v>2616</v>
      </c>
      <c r="M511" t="s">
        <v>62</v>
      </c>
      <c r="N511" t="s">
        <v>2596</v>
      </c>
      <c r="O511" t="s">
        <v>124</v>
      </c>
      <c r="P511" t="s">
        <v>51</v>
      </c>
      <c r="Q511" t="s">
        <v>147</v>
      </c>
      <c r="R511">
        <v>1</v>
      </c>
      <c r="S511">
        <v>2299</v>
      </c>
      <c r="T511">
        <v>0.1</v>
      </c>
      <c r="U511">
        <v>2069.1</v>
      </c>
      <c r="V511">
        <v>1200</v>
      </c>
      <c r="W511">
        <v>869.1</v>
      </c>
      <c r="X511" t="s">
        <v>76</v>
      </c>
      <c r="Y511" t="s">
        <v>68</v>
      </c>
      <c r="Z511" t="s">
        <v>158</v>
      </c>
      <c r="AA511" t="s">
        <v>167</v>
      </c>
      <c r="AB511">
        <v>4.8</v>
      </c>
      <c r="AC511">
        <v>80</v>
      </c>
      <c r="AD511">
        <v>225.04</v>
      </c>
      <c r="AE511">
        <f t="shared" si="14"/>
        <v>564.06000000000006</v>
      </c>
      <c r="AF511" t="str">
        <f t="shared" si="15"/>
        <v>2025-03</v>
      </c>
      <c r="AG511">
        <f>SUBTOTAL(103,A511)</f>
        <v>1</v>
      </c>
    </row>
    <row r="512" spans="1:33" x14ac:dyDescent="0.3">
      <c r="A512" t="s">
        <v>3123</v>
      </c>
      <c r="B512" s="13">
        <v>45726</v>
      </c>
      <c r="C512">
        <v>2025</v>
      </c>
      <c r="D512">
        <v>3</v>
      </c>
      <c r="E512" t="s">
        <v>3053</v>
      </c>
      <c r="F512" t="s">
        <v>2572</v>
      </c>
      <c r="G512" t="s">
        <v>1321</v>
      </c>
      <c r="H512" t="s">
        <v>1322</v>
      </c>
      <c r="I512" t="s">
        <v>86</v>
      </c>
      <c r="J512">
        <v>19</v>
      </c>
      <c r="K512" t="s">
        <v>80</v>
      </c>
      <c r="L512" t="s">
        <v>2589</v>
      </c>
      <c r="M512" t="s">
        <v>61</v>
      </c>
      <c r="N512" t="s">
        <v>2657</v>
      </c>
      <c r="O512" t="s">
        <v>134</v>
      </c>
      <c r="P512" t="s">
        <v>49</v>
      </c>
      <c r="Q512" t="s">
        <v>140</v>
      </c>
      <c r="R512">
        <v>3</v>
      </c>
      <c r="S512">
        <v>599</v>
      </c>
      <c r="T512">
        <v>0.2</v>
      </c>
      <c r="U512">
        <v>1437.6</v>
      </c>
      <c r="V512">
        <v>750</v>
      </c>
      <c r="W512">
        <v>687.6</v>
      </c>
      <c r="X512" t="s">
        <v>74</v>
      </c>
      <c r="Y512" t="s">
        <v>68</v>
      </c>
      <c r="Z512" t="s">
        <v>159</v>
      </c>
      <c r="AA512" t="s">
        <v>168</v>
      </c>
      <c r="AB512">
        <v>4.8</v>
      </c>
      <c r="AC512">
        <v>40</v>
      </c>
      <c r="AD512">
        <v>75.48</v>
      </c>
      <c r="AE512">
        <f t="shared" si="14"/>
        <v>572.12</v>
      </c>
      <c r="AF512" t="str">
        <f t="shared" si="15"/>
        <v>2025-03</v>
      </c>
      <c r="AG512">
        <f>SUBTOTAL(103,A512)</f>
        <v>1</v>
      </c>
    </row>
    <row r="513" spans="1:33" x14ac:dyDescent="0.3">
      <c r="A513" t="s">
        <v>3124</v>
      </c>
      <c r="B513" s="13">
        <v>45726</v>
      </c>
      <c r="C513">
        <v>2025</v>
      </c>
      <c r="D513">
        <v>3</v>
      </c>
      <c r="E513" t="s">
        <v>3053</v>
      </c>
      <c r="F513" t="s">
        <v>2572</v>
      </c>
      <c r="G513" t="s">
        <v>1189</v>
      </c>
      <c r="H513" t="s">
        <v>1190</v>
      </c>
      <c r="I513" t="s">
        <v>85</v>
      </c>
      <c r="J513">
        <v>45</v>
      </c>
      <c r="K513" t="s">
        <v>82</v>
      </c>
      <c r="L513" t="s">
        <v>2679</v>
      </c>
      <c r="M513" t="s">
        <v>60</v>
      </c>
      <c r="N513" t="s">
        <v>2574</v>
      </c>
      <c r="O513" t="s">
        <v>130</v>
      </c>
      <c r="P513" t="s">
        <v>50</v>
      </c>
      <c r="Q513" t="s">
        <v>53</v>
      </c>
      <c r="R513">
        <v>2</v>
      </c>
      <c r="S513">
        <v>1199</v>
      </c>
      <c r="T513">
        <v>0.2</v>
      </c>
      <c r="U513">
        <v>1918.4</v>
      </c>
      <c r="V513">
        <v>1100</v>
      </c>
      <c r="W513">
        <v>818.4</v>
      </c>
      <c r="X513" t="s">
        <v>77</v>
      </c>
      <c r="Y513" t="s">
        <v>68</v>
      </c>
      <c r="Z513" t="s">
        <v>158</v>
      </c>
      <c r="AA513" t="s">
        <v>166</v>
      </c>
      <c r="AB513">
        <v>3.9</v>
      </c>
      <c r="AC513">
        <v>40</v>
      </c>
      <c r="AD513">
        <v>69.22</v>
      </c>
      <c r="AE513">
        <f t="shared" si="14"/>
        <v>709.18</v>
      </c>
      <c r="AF513" t="str">
        <f t="shared" si="15"/>
        <v>2025-03</v>
      </c>
      <c r="AG513">
        <f>SUBTOTAL(103,A513)</f>
        <v>1</v>
      </c>
    </row>
    <row r="514" spans="1:33" x14ac:dyDescent="0.3">
      <c r="A514" t="s">
        <v>3125</v>
      </c>
      <c r="B514" s="13">
        <v>45726</v>
      </c>
      <c r="C514">
        <v>2025</v>
      </c>
      <c r="D514">
        <v>3</v>
      </c>
      <c r="E514" t="s">
        <v>3053</v>
      </c>
      <c r="F514" t="s">
        <v>2572</v>
      </c>
      <c r="G514" t="s">
        <v>261</v>
      </c>
      <c r="H514" t="s">
        <v>262</v>
      </c>
      <c r="I514" t="s">
        <v>85</v>
      </c>
      <c r="J514">
        <v>29</v>
      </c>
      <c r="K514" t="s">
        <v>81</v>
      </c>
      <c r="L514" t="s">
        <v>98</v>
      </c>
      <c r="M514" t="s">
        <v>55</v>
      </c>
      <c r="N514" t="s">
        <v>2647</v>
      </c>
      <c r="O514" t="s">
        <v>133</v>
      </c>
      <c r="P514" t="s">
        <v>50</v>
      </c>
      <c r="Q514" t="s">
        <v>145</v>
      </c>
      <c r="R514">
        <v>2</v>
      </c>
      <c r="S514">
        <v>799</v>
      </c>
      <c r="T514">
        <v>0.15</v>
      </c>
      <c r="U514">
        <v>1358.3</v>
      </c>
      <c r="V514">
        <v>780</v>
      </c>
      <c r="W514">
        <v>578.29999999999995</v>
      </c>
      <c r="X514" t="s">
        <v>73</v>
      </c>
      <c r="Y514" t="s">
        <v>68</v>
      </c>
      <c r="Z514" t="s">
        <v>163</v>
      </c>
      <c r="AA514" t="s">
        <v>171</v>
      </c>
      <c r="AB514">
        <v>2.5</v>
      </c>
      <c r="AC514">
        <v>80</v>
      </c>
      <c r="AD514">
        <v>161.49</v>
      </c>
      <c r="AE514">
        <f t="shared" ref="AE514:AE577" si="16">W514-AC514-AD514</f>
        <v>336.80999999999995</v>
      </c>
      <c r="AF514" t="str">
        <f t="shared" ref="AF514:AF577" si="17">C514&amp;"-"&amp;TEXT(D514,"00")</f>
        <v>2025-03</v>
      </c>
      <c r="AG514">
        <f>SUBTOTAL(103,A514)</f>
        <v>1</v>
      </c>
    </row>
    <row r="515" spans="1:33" x14ac:dyDescent="0.3">
      <c r="A515" t="s">
        <v>3126</v>
      </c>
      <c r="B515" s="13">
        <v>45726</v>
      </c>
      <c r="C515">
        <v>2025</v>
      </c>
      <c r="D515">
        <v>3</v>
      </c>
      <c r="E515" t="s">
        <v>3053</v>
      </c>
      <c r="F515" t="s">
        <v>2572</v>
      </c>
      <c r="G515" t="s">
        <v>557</v>
      </c>
      <c r="H515" t="s">
        <v>558</v>
      </c>
      <c r="I515" t="s">
        <v>86</v>
      </c>
      <c r="J515">
        <v>59</v>
      </c>
      <c r="K515" t="s">
        <v>83</v>
      </c>
      <c r="L515" t="s">
        <v>2661</v>
      </c>
      <c r="M515" t="s">
        <v>58</v>
      </c>
      <c r="N515" t="s">
        <v>2665</v>
      </c>
      <c r="O515" t="s">
        <v>128</v>
      </c>
      <c r="P515" t="s">
        <v>53</v>
      </c>
      <c r="Q515" t="s">
        <v>143</v>
      </c>
      <c r="R515">
        <v>1</v>
      </c>
      <c r="S515">
        <v>1499</v>
      </c>
      <c r="T515">
        <v>0</v>
      </c>
      <c r="U515">
        <v>1499</v>
      </c>
      <c r="V515">
        <v>800</v>
      </c>
      <c r="W515">
        <v>699</v>
      </c>
      <c r="X515" t="s">
        <v>73</v>
      </c>
      <c r="Y515" t="s">
        <v>68</v>
      </c>
      <c r="Z515" t="s">
        <v>158</v>
      </c>
      <c r="AA515" t="s">
        <v>167</v>
      </c>
      <c r="AB515">
        <v>3.6</v>
      </c>
      <c r="AC515">
        <v>50</v>
      </c>
      <c r="AD515">
        <v>164.76</v>
      </c>
      <c r="AE515">
        <f t="shared" si="16"/>
        <v>484.24</v>
      </c>
      <c r="AF515" t="str">
        <f t="shared" si="17"/>
        <v>2025-03</v>
      </c>
      <c r="AG515">
        <f>SUBTOTAL(103,A515)</f>
        <v>1</v>
      </c>
    </row>
    <row r="516" spans="1:33" x14ac:dyDescent="0.3">
      <c r="A516" t="s">
        <v>3127</v>
      </c>
      <c r="B516" s="13">
        <v>45726</v>
      </c>
      <c r="C516">
        <v>2025</v>
      </c>
      <c r="D516">
        <v>3</v>
      </c>
      <c r="E516" t="s">
        <v>3053</v>
      </c>
      <c r="F516" t="s">
        <v>2572</v>
      </c>
      <c r="G516" t="s">
        <v>359</v>
      </c>
      <c r="H516" t="s">
        <v>360</v>
      </c>
      <c r="I516" t="s">
        <v>85</v>
      </c>
      <c r="J516">
        <v>40</v>
      </c>
      <c r="K516" t="s">
        <v>82</v>
      </c>
      <c r="L516" t="s">
        <v>91</v>
      </c>
      <c r="M516" t="s">
        <v>55</v>
      </c>
      <c r="N516" t="s">
        <v>2601</v>
      </c>
      <c r="O516" t="s">
        <v>117</v>
      </c>
      <c r="P516" t="s">
        <v>49</v>
      </c>
      <c r="Q516" t="s">
        <v>139</v>
      </c>
      <c r="R516">
        <v>4</v>
      </c>
      <c r="S516">
        <v>6999</v>
      </c>
      <c r="T516">
        <v>0.15</v>
      </c>
      <c r="U516">
        <v>23796.6</v>
      </c>
      <c r="V516">
        <v>17200</v>
      </c>
      <c r="W516">
        <v>6596.6</v>
      </c>
      <c r="X516" t="s">
        <v>73</v>
      </c>
      <c r="Y516" t="s">
        <v>70</v>
      </c>
      <c r="Z516" t="s">
        <v>159</v>
      </c>
      <c r="AA516" t="s">
        <v>168</v>
      </c>
      <c r="AB516">
        <v>5</v>
      </c>
      <c r="AC516">
        <v>60</v>
      </c>
      <c r="AD516">
        <v>1090.6099999999999</v>
      </c>
      <c r="AE516">
        <f t="shared" si="16"/>
        <v>5445.9900000000007</v>
      </c>
      <c r="AF516" t="str">
        <f t="shared" si="17"/>
        <v>2025-03</v>
      </c>
      <c r="AG516">
        <f>SUBTOTAL(103,A516)</f>
        <v>1</v>
      </c>
    </row>
    <row r="517" spans="1:33" x14ac:dyDescent="0.3">
      <c r="A517" t="s">
        <v>3128</v>
      </c>
      <c r="B517" s="13">
        <v>45726</v>
      </c>
      <c r="C517">
        <v>2025</v>
      </c>
      <c r="D517">
        <v>3</v>
      </c>
      <c r="E517" t="s">
        <v>3053</v>
      </c>
      <c r="F517" t="s">
        <v>2572</v>
      </c>
      <c r="G517" t="s">
        <v>981</v>
      </c>
      <c r="H517" t="s">
        <v>982</v>
      </c>
      <c r="I517" t="s">
        <v>86</v>
      </c>
      <c r="J517">
        <v>47</v>
      </c>
      <c r="K517" t="s">
        <v>83</v>
      </c>
      <c r="L517" t="s">
        <v>95</v>
      </c>
      <c r="M517" t="s">
        <v>56</v>
      </c>
      <c r="N517" t="s">
        <v>2665</v>
      </c>
      <c r="O517" t="s">
        <v>128</v>
      </c>
      <c r="P517" t="s">
        <v>53</v>
      </c>
      <c r="Q517" t="s">
        <v>143</v>
      </c>
      <c r="R517">
        <v>1</v>
      </c>
      <c r="S517">
        <v>1499</v>
      </c>
      <c r="T517">
        <v>0</v>
      </c>
      <c r="U517">
        <v>1499</v>
      </c>
      <c r="V517">
        <v>800</v>
      </c>
      <c r="W517">
        <v>699</v>
      </c>
      <c r="X517" t="s">
        <v>74</v>
      </c>
      <c r="Y517" t="s">
        <v>68</v>
      </c>
      <c r="Z517" t="s">
        <v>163</v>
      </c>
      <c r="AA517" t="s">
        <v>166</v>
      </c>
      <c r="AB517">
        <v>5</v>
      </c>
      <c r="AC517">
        <v>80</v>
      </c>
      <c r="AD517">
        <v>162.56</v>
      </c>
      <c r="AE517">
        <f t="shared" si="16"/>
        <v>456.44</v>
      </c>
      <c r="AF517" t="str">
        <f t="shared" si="17"/>
        <v>2025-03</v>
      </c>
      <c r="AG517">
        <f>SUBTOTAL(103,A517)</f>
        <v>1</v>
      </c>
    </row>
    <row r="518" spans="1:33" x14ac:dyDescent="0.3">
      <c r="A518" t="s">
        <v>3129</v>
      </c>
      <c r="B518" s="13">
        <v>45726</v>
      </c>
      <c r="C518">
        <v>2025</v>
      </c>
      <c r="D518">
        <v>3</v>
      </c>
      <c r="E518" t="s">
        <v>3053</v>
      </c>
      <c r="F518" t="s">
        <v>2572</v>
      </c>
      <c r="G518" t="s">
        <v>1701</v>
      </c>
      <c r="H518" t="s">
        <v>1702</v>
      </c>
      <c r="I518" t="s">
        <v>85</v>
      </c>
      <c r="J518">
        <v>42</v>
      </c>
      <c r="K518" t="s">
        <v>82</v>
      </c>
      <c r="L518" t="s">
        <v>96</v>
      </c>
      <c r="M518" t="s">
        <v>55</v>
      </c>
      <c r="N518" t="s">
        <v>2647</v>
      </c>
      <c r="O518" t="s">
        <v>133</v>
      </c>
      <c r="P518" t="s">
        <v>50</v>
      </c>
      <c r="Q518" t="s">
        <v>145</v>
      </c>
      <c r="R518">
        <v>2</v>
      </c>
      <c r="S518">
        <v>799</v>
      </c>
      <c r="T518">
        <v>0.05</v>
      </c>
      <c r="U518">
        <v>1518.1</v>
      </c>
      <c r="V518">
        <v>780</v>
      </c>
      <c r="W518">
        <v>738.1</v>
      </c>
      <c r="X518" t="s">
        <v>77</v>
      </c>
      <c r="Y518" t="s">
        <v>68</v>
      </c>
      <c r="Z518" t="s">
        <v>161</v>
      </c>
      <c r="AA518" t="s">
        <v>166</v>
      </c>
      <c r="AB518">
        <v>3.9</v>
      </c>
      <c r="AC518">
        <v>50</v>
      </c>
      <c r="AD518">
        <v>146.61000000000001</v>
      </c>
      <c r="AE518">
        <f t="shared" si="16"/>
        <v>541.49</v>
      </c>
      <c r="AF518" t="str">
        <f t="shared" si="17"/>
        <v>2025-03</v>
      </c>
      <c r="AG518">
        <f>SUBTOTAL(103,A518)</f>
        <v>1</v>
      </c>
    </row>
    <row r="519" spans="1:33" x14ac:dyDescent="0.3">
      <c r="A519" t="s">
        <v>3130</v>
      </c>
      <c r="B519" s="13">
        <v>45726</v>
      </c>
      <c r="C519">
        <v>2025</v>
      </c>
      <c r="D519">
        <v>3</v>
      </c>
      <c r="E519" t="s">
        <v>3053</v>
      </c>
      <c r="F519" t="s">
        <v>2572</v>
      </c>
      <c r="G519" t="s">
        <v>1267</v>
      </c>
      <c r="H519" t="s">
        <v>1268</v>
      </c>
      <c r="I519" t="s">
        <v>85</v>
      </c>
      <c r="J519">
        <v>41</v>
      </c>
      <c r="K519" t="s">
        <v>82</v>
      </c>
      <c r="L519" t="s">
        <v>90</v>
      </c>
      <c r="M519" t="s">
        <v>55</v>
      </c>
      <c r="N519" t="s">
        <v>2577</v>
      </c>
      <c r="O519" t="s">
        <v>129</v>
      </c>
      <c r="P519" t="s">
        <v>49</v>
      </c>
      <c r="Q519" t="s">
        <v>149</v>
      </c>
      <c r="R519">
        <v>3</v>
      </c>
      <c r="S519">
        <v>1299</v>
      </c>
      <c r="T519">
        <v>0.1</v>
      </c>
      <c r="U519">
        <v>3507.3</v>
      </c>
      <c r="V519">
        <v>1950</v>
      </c>
      <c r="W519">
        <v>1557.3</v>
      </c>
      <c r="X519" t="s">
        <v>74</v>
      </c>
      <c r="Y519" t="s">
        <v>68</v>
      </c>
      <c r="Z519" t="s">
        <v>160</v>
      </c>
      <c r="AA519" t="s">
        <v>167</v>
      </c>
      <c r="AB519">
        <v>3.5</v>
      </c>
      <c r="AC519">
        <v>80</v>
      </c>
      <c r="AD519">
        <v>79.78</v>
      </c>
      <c r="AE519">
        <f t="shared" si="16"/>
        <v>1397.52</v>
      </c>
      <c r="AF519" t="str">
        <f t="shared" si="17"/>
        <v>2025-03</v>
      </c>
      <c r="AG519">
        <f>SUBTOTAL(103,A519)</f>
        <v>1</v>
      </c>
    </row>
    <row r="520" spans="1:33" x14ac:dyDescent="0.3">
      <c r="A520" t="s">
        <v>3131</v>
      </c>
      <c r="B520" s="13">
        <v>45726</v>
      </c>
      <c r="C520">
        <v>2025</v>
      </c>
      <c r="D520">
        <v>3</v>
      </c>
      <c r="E520" t="s">
        <v>3053</v>
      </c>
      <c r="F520" t="s">
        <v>2572</v>
      </c>
      <c r="G520" t="s">
        <v>565</v>
      </c>
      <c r="H520" t="s">
        <v>566</v>
      </c>
      <c r="I520" t="s">
        <v>86</v>
      </c>
      <c r="J520">
        <v>29</v>
      </c>
      <c r="K520" t="s">
        <v>81</v>
      </c>
      <c r="L520" t="s">
        <v>2610</v>
      </c>
      <c r="M520" t="s">
        <v>64</v>
      </c>
      <c r="N520" t="s">
        <v>2594</v>
      </c>
      <c r="O520" t="s">
        <v>131</v>
      </c>
      <c r="P520" t="s">
        <v>53</v>
      </c>
      <c r="Q520" t="s">
        <v>143</v>
      </c>
      <c r="R520">
        <v>2</v>
      </c>
      <c r="S520">
        <v>999</v>
      </c>
      <c r="T520">
        <v>0</v>
      </c>
      <c r="U520">
        <v>1998</v>
      </c>
      <c r="V520">
        <v>1040</v>
      </c>
      <c r="W520">
        <v>958</v>
      </c>
      <c r="X520" t="s">
        <v>76</v>
      </c>
      <c r="Y520" t="s">
        <v>68</v>
      </c>
      <c r="Z520" t="s">
        <v>162</v>
      </c>
      <c r="AA520" t="s">
        <v>167</v>
      </c>
      <c r="AB520">
        <v>4.3</v>
      </c>
      <c r="AC520">
        <v>100</v>
      </c>
      <c r="AD520">
        <v>161.43</v>
      </c>
      <c r="AE520">
        <f t="shared" si="16"/>
        <v>696.56999999999994</v>
      </c>
      <c r="AF520" t="str">
        <f t="shared" si="17"/>
        <v>2025-03</v>
      </c>
      <c r="AG520">
        <f>SUBTOTAL(103,A520)</f>
        <v>1</v>
      </c>
    </row>
    <row r="521" spans="1:33" x14ac:dyDescent="0.3">
      <c r="A521" t="s">
        <v>3132</v>
      </c>
      <c r="B521" s="13">
        <v>45727</v>
      </c>
      <c r="C521">
        <v>2025</v>
      </c>
      <c r="D521">
        <v>3</v>
      </c>
      <c r="E521" t="s">
        <v>3053</v>
      </c>
      <c r="F521" t="s">
        <v>2572</v>
      </c>
      <c r="G521" t="s">
        <v>651</v>
      </c>
      <c r="H521" t="s">
        <v>652</v>
      </c>
      <c r="I521" t="s">
        <v>86</v>
      </c>
      <c r="J521">
        <v>23</v>
      </c>
      <c r="K521" t="s">
        <v>80</v>
      </c>
      <c r="L521" t="s">
        <v>90</v>
      </c>
      <c r="M521" t="s">
        <v>55</v>
      </c>
      <c r="N521" t="s">
        <v>2606</v>
      </c>
      <c r="O521" t="s">
        <v>120</v>
      </c>
      <c r="P521" t="s">
        <v>49</v>
      </c>
      <c r="Q521" t="s">
        <v>140</v>
      </c>
      <c r="R521">
        <v>3</v>
      </c>
      <c r="S521">
        <v>2799</v>
      </c>
      <c r="T521">
        <v>0.1</v>
      </c>
      <c r="U521">
        <v>7557.3</v>
      </c>
      <c r="V521">
        <v>4950</v>
      </c>
      <c r="W521">
        <v>2607.3000000000002</v>
      </c>
      <c r="X521" t="s">
        <v>73</v>
      </c>
      <c r="Y521" t="s">
        <v>68</v>
      </c>
      <c r="Z521" t="s">
        <v>158</v>
      </c>
      <c r="AA521" t="s">
        <v>166</v>
      </c>
      <c r="AB521">
        <v>3.7</v>
      </c>
      <c r="AC521">
        <v>60</v>
      </c>
      <c r="AD521">
        <v>314.22000000000003</v>
      </c>
      <c r="AE521">
        <f t="shared" si="16"/>
        <v>2233.08</v>
      </c>
      <c r="AF521" t="str">
        <f t="shared" si="17"/>
        <v>2025-03</v>
      </c>
      <c r="AG521">
        <f>SUBTOTAL(103,A521)</f>
        <v>1</v>
      </c>
    </row>
    <row r="522" spans="1:33" x14ac:dyDescent="0.3">
      <c r="A522" t="s">
        <v>3133</v>
      </c>
      <c r="B522" s="13">
        <v>45727</v>
      </c>
      <c r="C522">
        <v>2025</v>
      </c>
      <c r="D522">
        <v>3</v>
      </c>
      <c r="E522" t="s">
        <v>3053</v>
      </c>
      <c r="F522" t="s">
        <v>2572</v>
      </c>
      <c r="G522" t="s">
        <v>433</v>
      </c>
      <c r="H522" t="s">
        <v>434</v>
      </c>
      <c r="I522" t="s">
        <v>86</v>
      </c>
      <c r="J522">
        <v>27</v>
      </c>
      <c r="K522" t="s">
        <v>81</v>
      </c>
      <c r="L522" t="s">
        <v>2679</v>
      </c>
      <c r="M522" t="s">
        <v>60</v>
      </c>
      <c r="N522" t="s">
        <v>2594</v>
      </c>
      <c r="O522" t="s">
        <v>131</v>
      </c>
      <c r="P522" t="s">
        <v>53</v>
      </c>
      <c r="Q522" t="s">
        <v>143</v>
      </c>
      <c r="R522">
        <v>3</v>
      </c>
      <c r="S522">
        <v>999</v>
      </c>
      <c r="T522">
        <v>0.1</v>
      </c>
      <c r="U522">
        <v>0</v>
      </c>
      <c r="V522">
        <v>0</v>
      </c>
      <c r="W522">
        <v>0</v>
      </c>
      <c r="X522" t="s">
        <v>73</v>
      </c>
      <c r="Y522" t="s">
        <v>71</v>
      </c>
      <c r="Z522" t="s">
        <v>160</v>
      </c>
      <c r="AA522" t="s">
        <v>170</v>
      </c>
      <c r="AB522">
        <v>4</v>
      </c>
      <c r="AC522">
        <v>40</v>
      </c>
      <c r="AD522">
        <v>182.28</v>
      </c>
      <c r="AE522">
        <f t="shared" si="16"/>
        <v>-222.28</v>
      </c>
      <c r="AF522" t="str">
        <f t="shared" si="17"/>
        <v>2025-03</v>
      </c>
      <c r="AG522">
        <f>SUBTOTAL(103,A522)</f>
        <v>1</v>
      </c>
    </row>
    <row r="523" spans="1:33" x14ac:dyDescent="0.3">
      <c r="A523" t="s">
        <v>3134</v>
      </c>
      <c r="B523" s="13">
        <v>45727</v>
      </c>
      <c r="C523">
        <v>2025</v>
      </c>
      <c r="D523">
        <v>3</v>
      </c>
      <c r="E523" t="s">
        <v>3053</v>
      </c>
      <c r="F523" t="s">
        <v>2572</v>
      </c>
      <c r="G523" t="s">
        <v>2331</v>
      </c>
      <c r="H523" t="s">
        <v>2332</v>
      </c>
      <c r="I523" t="s">
        <v>85</v>
      </c>
      <c r="J523">
        <v>37</v>
      </c>
      <c r="K523" t="s">
        <v>82</v>
      </c>
      <c r="L523" t="s">
        <v>97</v>
      </c>
      <c r="M523" t="s">
        <v>57</v>
      </c>
      <c r="N523" t="s">
        <v>2657</v>
      </c>
      <c r="O523" t="s">
        <v>134</v>
      </c>
      <c r="P523" t="s">
        <v>49</v>
      </c>
      <c r="Q523" t="s">
        <v>140</v>
      </c>
      <c r="R523">
        <v>2</v>
      </c>
      <c r="S523">
        <v>599</v>
      </c>
      <c r="T523">
        <v>0.05</v>
      </c>
      <c r="U523">
        <v>1138.0999999999999</v>
      </c>
      <c r="V523">
        <v>500</v>
      </c>
      <c r="W523">
        <v>638.1</v>
      </c>
      <c r="X523" t="s">
        <v>73</v>
      </c>
      <c r="Y523" t="s">
        <v>68</v>
      </c>
      <c r="Z523" t="s">
        <v>159</v>
      </c>
      <c r="AA523" t="s">
        <v>168</v>
      </c>
      <c r="AB523">
        <v>4.7</v>
      </c>
      <c r="AC523">
        <v>60</v>
      </c>
      <c r="AD523">
        <v>43.87</v>
      </c>
      <c r="AE523">
        <f t="shared" si="16"/>
        <v>534.23</v>
      </c>
      <c r="AF523" t="str">
        <f t="shared" si="17"/>
        <v>2025-03</v>
      </c>
      <c r="AG523">
        <f>SUBTOTAL(103,A523)</f>
        <v>1</v>
      </c>
    </row>
    <row r="524" spans="1:33" x14ac:dyDescent="0.3">
      <c r="A524" t="s">
        <v>3135</v>
      </c>
      <c r="B524" s="13">
        <v>45727</v>
      </c>
      <c r="C524">
        <v>2025</v>
      </c>
      <c r="D524">
        <v>3</v>
      </c>
      <c r="E524" t="s">
        <v>3053</v>
      </c>
      <c r="F524" t="s">
        <v>2572</v>
      </c>
      <c r="G524" t="s">
        <v>611</v>
      </c>
      <c r="H524" t="s">
        <v>612</v>
      </c>
      <c r="I524" t="s">
        <v>85</v>
      </c>
      <c r="J524">
        <v>20</v>
      </c>
      <c r="K524" t="s">
        <v>80</v>
      </c>
      <c r="L524" t="s">
        <v>2623</v>
      </c>
      <c r="M524" t="s">
        <v>61</v>
      </c>
      <c r="N524" t="s">
        <v>2644</v>
      </c>
      <c r="O524" t="s">
        <v>126</v>
      </c>
      <c r="P524" t="s">
        <v>50</v>
      </c>
      <c r="Q524" t="s">
        <v>145</v>
      </c>
      <c r="R524">
        <v>3</v>
      </c>
      <c r="S524">
        <v>1799</v>
      </c>
      <c r="T524">
        <v>0.1</v>
      </c>
      <c r="U524">
        <v>4857.3</v>
      </c>
      <c r="V524">
        <v>2850</v>
      </c>
      <c r="W524">
        <v>2007.3</v>
      </c>
      <c r="X524" t="s">
        <v>75</v>
      </c>
      <c r="Y524" t="s">
        <v>68</v>
      </c>
      <c r="Z524" t="s">
        <v>159</v>
      </c>
      <c r="AA524" t="s">
        <v>168</v>
      </c>
      <c r="AB524">
        <v>3.6</v>
      </c>
      <c r="AC524">
        <v>120</v>
      </c>
      <c r="AD524">
        <v>127.12</v>
      </c>
      <c r="AE524">
        <f t="shared" si="16"/>
        <v>1760.1799999999998</v>
      </c>
      <c r="AF524" t="str">
        <f t="shared" si="17"/>
        <v>2025-03</v>
      </c>
      <c r="AG524">
        <f>SUBTOTAL(103,A524)</f>
        <v>1</v>
      </c>
    </row>
    <row r="525" spans="1:33" x14ac:dyDescent="0.3">
      <c r="A525" t="s">
        <v>3136</v>
      </c>
      <c r="B525" s="13">
        <v>45727</v>
      </c>
      <c r="C525">
        <v>2025</v>
      </c>
      <c r="D525">
        <v>3</v>
      </c>
      <c r="E525" t="s">
        <v>3053</v>
      </c>
      <c r="F525" t="s">
        <v>2572</v>
      </c>
      <c r="G525" t="s">
        <v>919</v>
      </c>
      <c r="H525" t="s">
        <v>920</v>
      </c>
      <c r="I525" t="s">
        <v>86</v>
      </c>
      <c r="J525">
        <v>54</v>
      </c>
      <c r="K525" t="s">
        <v>83</v>
      </c>
      <c r="L525" t="s">
        <v>2576</v>
      </c>
      <c r="M525" t="s">
        <v>60</v>
      </c>
      <c r="N525" t="s">
        <v>2647</v>
      </c>
      <c r="O525" t="s">
        <v>133</v>
      </c>
      <c r="P525" t="s">
        <v>50</v>
      </c>
      <c r="Q525" t="s">
        <v>145</v>
      </c>
      <c r="R525">
        <v>2</v>
      </c>
      <c r="S525">
        <v>799</v>
      </c>
      <c r="T525">
        <v>0.2</v>
      </c>
      <c r="U525">
        <v>1278.4000000000001</v>
      </c>
      <c r="V525">
        <v>780</v>
      </c>
      <c r="W525">
        <v>498.4</v>
      </c>
      <c r="X525" t="s">
        <v>73</v>
      </c>
      <c r="Y525" t="s">
        <v>68</v>
      </c>
      <c r="Z525" t="s">
        <v>163</v>
      </c>
      <c r="AA525" t="s">
        <v>167</v>
      </c>
      <c r="AB525">
        <v>5</v>
      </c>
      <c r="AC525">
        <v>100</v>
      </c>
      <c r="AD525">
        <v>43.74</v>
      </c>
      <c r="AE525">
        <f t="shared" si="16"/>
        <v>354.65999999999997</v>
      </c>
      <c r="AF525" t="str">
        <f t="shared" si="17"/>
        <v>2025-03</v>
      </c>
      <c r="AG525">
        <f>SUBTOTAL(103,A525)</f>
        <v>1</v>
      </c>
    </row>
    <row r="526" spans="1:33" x14ac:dyDescent="0.3">
      <c r="A526" t="s">
        <v>3137</v>
      </c>
      <c r="B526" s="13">
        <v>45727</v>
      </c>
      <c r="C526">
        <v>2025</v>
      </c>
      <c r="D526">
        <v>3</v>
      </c>
      <c r="E526" t="s">
        <v>3053</v>
      </c>
      <c r="F526" t="s">
        <v>2572</v>
      </c>
      <c r="G526" t="s">
        <v>2165</v>
      </c>
      <c r="H526" t="s">
        <v>2166</v>
      </c>
      <c r="I526" t="s">
        <v>85</v>
      </c>
      <c r="J526">
        <v>47</v>
      </c>
      <c r="K526" t="s">
        <v>83</v>
      </c>
      <c r="L526" t="s">
        <v>2634</v>
      </c>
      <c r="M526" t="s">
        <v>56</v>
      </c>
      <c r="N526" t="s">
        <v>2653</v>
      </c>
      <c r="O526" t="s">
        <v>132</v>
      </c>
      <c r="P526" t="s">
        <v>52</v>
      </c>
      <c r="Q526" t="s">
        <v>150</v>
      </c>
      <c r="R526">
        <v>2</v>
      </c>
      <c r="S526">
        <v>899</v>
      </c>
      <c r="T526">
        <v>0.2</v>
      </c>
      <c r="U526">
        <v>1438.4</v>
      </c>
      <c r="V526">
        <v>840</v>
      </c>
      <c r="W526">
        <v>598.4</v>
      </c>
      <c r="X526" t="s">
        <v>76</v>
      </c>
      <c r="Y526" t="s">
        <v>68</v>
      </c>
      <c r="Z526" t="s">
        <v>159</v>
      </c>
      <c r="AA526" t="s">
        <v>171</v>
      </c>
      <c r="AB526">
        <v>4.3</v>
      </c>
      <c r="AC526">
        <v>50</v>
      </c>
      <c r="AD526">
        <v>54.16</v>
      </c>
      <c r="AE526">
        <f t="shared" si="16"/>
        <v>494.24</v>
      </c>
      <c r="AF526" t="str">
        <f t="shared" si="17"/>
        <v>2025-03</v>
      </c>
      <c r="AG526">
        <f>SUBTOTAL(103,A526)</f>
        <v>1</v>
      </c>
    </row>
    <row r="527" spans="1:33" x14ac:dyDescent="0.3">
      <c r="A527" t="s">
        <v>3138</v>
      </c>
      <c r="B527" s="13">
        <v>45727</v>
      </c>
      <c r="C527">
        <v>2025</v>
      </c>
      <c r="D527">
        <v>3</v>
      </c>
      <c r="E527" t="s">
        <v>3053</v>
      </c>
      <c r="F527" t="s">
        <v>2572</v>
      </c>
      <c r="G527" t="s">
        <v>1485</v>
      </c>
      <c r="H527" t="s">
        <v>1486</v>
      </c>
      <c r="I527" t="s">
        <v>85</v>
      </c>
      <c r="J527">
        <v>38</v>
      </c>
      <c r="K527" t="s">
        <v>82</v>
      </c>
      <c r="L527" t="s">
        <v>2610</v>
      </c>
      <c r="M527" t="s">
        <v>64</v>
      </c>
      <c r="N527" t="s">
        <v>2626</v>
      </c>
      <c r="O527" t="s">
        <v>125</v>
      </c>
      <c r="P527" t="s">
        <v>48</v>
      </c>
      <c r="Q527" t="s">
        <v>141</v>
      </c>
      <c r="R527">
        <v>1</v>
      </c>
      <c r="S527">
        <v>1999</v>
      </c>
      <c r="T527">
        <v>0.1</v>
      </c>
      <c r="U527">
        <v>1799.1</v>
      </c>
      <c r="V527">
        <v>1150</v>
      </c>
      <c r="W527">
        <v>649.1</v>
      </c>
      <c r="X527" t="s">
        <v>77</v>
      </c>
      <c r="Y527" t="s">
        <v>68</v>
      </c>
      <c r="Z527" t="s">
        <v>159</v>
      </c>
      <c r="AA527" t="s">
        <v>168</v>
      </c>
      <c r="AB527">
        <v>3.6</v>
      </c>
      <c r="AC527">
        <v>60</v>
      </c>
      <c r="AD527">
        <v>124.62</v>
      </c>
      <c r="AE527">
        <f t="shared" si="16"/>
        <v>464.48</v>
      </c>
      <c r="AF527" t="str">
        <f t="shared" si="17"/>
        <v>2025-03</v>
      </c>
      <c r="AG527">
        <f>SUBTOTAL(103,A527)</f>
        <v>1</v>
      </c>
    </row>
    <row r="528" spans="1:33" x14ac:dyDescent="0.3">
      <c r="A528" t="s">
        <v>3139</v>
      </c>
      <c r="B528" s="13">
        <v>45727</v>
      </c>
      <c r="C528">
        <v>2025</v>
      </c>
      <c r="D528">
        <v>3</v>
      </c>
      <c r="E528" t="s">
        <v>3053</v>
      </c>
      <c r="F528" t="s">
        <v>2572</v>
      </c>
      <c r="G528" t="s">
        <v>829</v>
      </c>
      <c r="H528" t="s">
        <v>830</v>
      </c>
      <c r="I528" t="s">
        <v>85</v>
      </c>
      <c r="J528">
        <v>46</v>
      </c>
      <c r="K528" t="s">
        <v>83</v>
      </c>
      <c r="L528" t="s">
        <v>2573</v>
      </c>
      <c r="M528" t="s">
        <v>63</v>
      </c>
      <c r="N528" t="s">
        <v>2590</v>
      </c>
      <c r="O528" t="s">
        <v>127</v>
      </c>
      <c r="P528" t="s">
        <v>51</v>
      </c>
      <c r="Q528" t="s">
        <v>148</v>
      </c>
      <c r="R528">
        <v>2</v>
      </c>
      <c r="S528">
        <v>1599</v>
      </c>
      <c r="T528">
        <v>0</v>
      </c>
      <c r="U528">
        <v>3198</v>
      </c>
      <c r="V528">
        <v>1600</v>
      </c>
      <c r="W528">
        <v>1598</v>
      </c>
      <c r="X528" t="s">
        <v>77</v>
      </c>
      <c r="Y528" t="s">
        <v>68</v>
      </c>
      <c r="Z528" t="s">
        <v>161</v>
      </c>
      <c r="AA528" t="s">
        <v>169</v>
      </c>
      <c r="AB528">
        <v>3.9</v>
      </c>
      <c r="AC528">
        <v>80</v>
      </c>
      <c r="AD528">
        <v>334.9</v>
      </c>
      <c r="AE528">
        <f t="shared" si="16"/>
        <v>1183.0999999999999</v>
      </c>
      <c r="AF528" t="str">
        <f t="shared" si="17"/>
        <v>2025-03</v>
      </c>
      <c r="AG528">
        <f>SUBTOTAL(103,A528)</f>
        <v>1</v>
      </c>
    </row>
    <row r="529" spans="1:33" x14ac:dyDescent="0.3">
      <c r="A529" t="s">
        <v>3140</v>
      </c>
      <c r="B529" s="13">
        <v>45727</v>
      </c>
      <c r="C529">
        <v>2025</v>
      </c>
      <c r="D529">
        <v>3</v>
      </c>
      <c r="E529" t="s">
        <v>3053</v>
      </c>
      <c r="F529" t="s">
        <v>2572</v>
      </c>
      <c r="G529" t="s">
        <v>1837</v>
      </c>
      <c r="H529" t="s">
        <v>1838</v>
      </c>
      <c r="I529" t="s">
        <v>86</v>
      </c>
      <c r="J529">
        <v>52</v>
      </c>
      <c r="K529" t="s">
        <v>83</v>
      </c>
      <c r="L529" t="s">
        <v>2586</v>
      </c>
      <c r="M529" t="s">
        <v>62</v>
      </c>
      <c r="N529" t="s">
        <v>2590</v>
      </c>
      <c r="O529" t="s">
        <v>127</v>
      </c>
      <c r="P529" t="s">
        <v>51</v>
      </c>
      <c r="Q529" t="s">
        <v>148</v>
      </c>
      <c r="R529">
        <v>3</v>
      </c>
      <c r="S529">
        <v>1599</v>
      </c>
      <c r="T529">
        <v>0.1</v>
      </c>
      <c r="U529">
        <v>4317.3</v>
      </c>
      <c r="V529">
        <v>2400</v>
      </c>
      <c r="W529">
        <v>1917.3</v>
      </c>
      <c r="X529" t="s">
        <v>76</v>
      </c>
      <c r="Y529" t="s">
        <v>68</v>
      </c>
      <c r="Z529" t="s">
        <v>159</v>
      </c>
      <c r="AA529" t="s">
        <v>170</v>
      </c>
      <c r="AB529">
        <v>3.4</v>
      </c>
      <c r="AC529">
        <v>80</v>
      </c>
      <c r="AD529">
        <v>338.17</v>
      </c>
      <c r="AE529">
        <f t="shared" si="16"/>
        <v>1499.1299999999999</v>
      </c>
      <c r="AF529" t="str">
        <f t="shared" si="17"/>
        <v>2025-03</v>
      </c>
      <c r="AG529">
        <f>SUBTOTAL(103,A529)</f>
        <v>1</v>
      </c>
    </row>
    <row r="530" spans="1:33" x14ac:dyDescent="0.3">
      <c r="A530" t="s">
        <v>3141</v>
      </c>
      <c r="B530" s="13">
        <v>45728</v>
      </c>
      <c r="C530">
        <v>2025</v>
      </c>
      <c r="D530">
        <v>3</v>
      </c>
      <c r="E530" t="s">
        <v>3053</v>
      </c>
      <c r="F530" t="s">
        <v>2572</v>
      </c>
      <c r="G530" t="s">
        <v>653</v>
      </c>
      <c r="H530" t="s">
        <v>654</v>
      </c>
      <c r="I530" t="s">
        <v>85</v>
      </c>
      <c r="J530">
        <v>32</v>
      </c>
      <c r="K530" t="s">
        <v>81</v>
      </c>
      <c r="L530" t="s">
        <v>2605</v>
      </c>
      <c r="M530" t="s">
        <v>60</v>
      </c>
      <c r="N530" t="s">
        <v>2665</v>
      </c>
      <c r="O530" t="s">
        <v>128</v>
      </c>
      <c r="P530" t="s">
        <v>53</v>
      </c>
      <c r="Q530" t="s">
        <v>143</v>
      </c>
      <c r="R530">
        <v>1</v>
      </c>
      <c r="S530">
        <v>1499</v>
      </c>
      <c r="T530">
        <v>0.05</v>
      </c>
      <c r="U530">
        <v>1424.05</v>
      </c>
      <c r="V530">
        <v>800</v>
      </c>
      <c r="W530">
        <v>624.04999999999995</v>
      </c>
      <c r="X530" t="s">
        <v>77</v>
      </c>
      <c r="Y530" t="s">
        <v>68</v>
      </c>
      <c r="Z530" t="s">
        <v>162</v>
      </c>
      <c r="AA530" t="s">
        <v>166</v>
      </c>
      <c r="AB530">
        <v>4.4000000000000004</v>
      </c>
      <c r="AC530">
        <v>50</v>
      </c>
      <c r="AD530">
        <v>124.4</v>
      </c>
      <c r="AE530">
        <f t="shared" si="16"/>
        <v>449.65</v>
      </c>
      <c r="AF530" t="str">
        <f t="shared" si="17"/>
        <v>2025-03</v>
      </c>
      <c r="AG530">
        <f>SUBTOTAL(103,A530)</f>
        <v>1</v>
      </c>
    </row>
    <row r="531" spans="1:33" x14ac:dyDescent="0.3">
      <c r="A531" t="s">
        <v>3142</v>
      </c>
      <c r="B531" s="13">
        <v>45728</v>
      </c>
      <c r="C531">
        <v>2025</v>
      </c>
      <c r="D531">
        <v>3</v>
      </c>
      <c r="E531" t="s">
        <v>3053</v>
      </c>
      <c r="F531" t="s">
        <v>2572</v>
      </c>
      <c r="G531" t="s">
        <v>195</v>
      </c>
      <c r="H531" t="s">
        <v>196</v>
      </c>
      <c r="I531" t="s">
        <v>87</v>
      </c>
      <c r="J531">
        <v>41</v>
      </c>
      <c r="K531" t="s">
        <v>82</v>
      </c>
      <c r="L531" t="s">
        <v>99</v>
      </c>
      <c r="M531" t="s">
        <v>58</v>
      </c>
      <c r="N531" t="s">
        <v>2592</v>
      </c>
      <c r="O531" t="s">
        <v>115</v>
      </c>
      <c r="P531" t="s">
        <v>48</v>
      </c>
      <c r="Q531" t="s">
        <v>137</v>
      </c>
      <c r="R531">
        <v>5</v>
      </c>
      <c r="S531">
        <v>12999</v>
      </c>
      <c r="T531">
        <v>0.1</v>
      </c>
      <c r="U531">
        <v>58495.5</v>
      </c>
      <c r="V531">
        <v>45000</v>
      </c>
      <c r="W531">
        <v>13495.5</v>
      </c>
      <c r="X531" t="s">
        <v>75</v>
      </c>
      <c r="Y531" t="s">
        <v>68</v>
      </c>
      <c r="Z531" t="s">
        <v>159</v>
      </c>
      <c r="AA531" t="s">
        <v>170</v>
      </c>
      <c r="AB531">
        <v>4.5</v>
      </c>
      <c r="AC531">
        <v>50</v>
      </c>
      <c r="AD531">
        <v>4533.6400000000003</v>
      </c>
      <c r="AE531">
        <f t="shared" si="16"/>
        <v>8911.86</v>
      </c>
      <c r="AF531" t="str">
        <f t="shared" si="17"/>
        <v>2025-03</v>
      </c>
      <c r="AG531">
        <f>SUBTOTAL(103,A531)</f>
        <v>1</v>
      </c>
    </row>
    <row r="532" spans="1:33" x14ac:dyDescent="0.3">
      <c r="A532" t="s">
        <v>3143</v>
      </c>
      <c r="B532" s="13">
        <v>45728</v>
      </c>
      <c r="C532">
        <v>2025</v>
      </c>
      <c r="D532">
        <v>3</v>
      </c>
      <c r="E532" t="s">
        <v>3053</v>
      </c>
      <c r="F532" t="s">
        <v>2572</v>
      </c>
      <c r="G532" t="s">
        <v>853</v>
      </c>
      <c r="H532" t="s">
        <v>854</v>
      </c>
      <c r="I532" t="s">
        <v>86</v>
      </c>
      <c r="J532">
        <v>38</v>
      </c>
      <c r="K532" t="s">
        <v>82</v>
      </c>
      <c r="L532" t="s">
        <v>2634</v>
      </c>
      <c r="M532" t="s">
        <v>56</v>
      </c>
      <c r="N532" t="s">
        <v>2582</v>
      </c>
      <c r="O532" t="s">
        <v>119</v>
      </c>
      <c r="P532" t="s">
        <v>49</v>
      </c>
      <c r="Q532" t="s">
        <v>140</v>
      </c>
      <c r="R532">
        <v>2</v>
      </c>
      <c r="S532">
        <v>3499</v>
      </c>
      <c r="T532">
        <v>0.1</v>
      </c>
      <c r="U532">
        <v>6298.2</v>
      </c>
      <c r="V532">
        <v>4200</v>
      </c>
      <c r="W532">
        <v>2098.1999999999998</v>
      </c>
      <c r="X532" t="s">
        <v>74</v>
      </c>
      <c r="Y532" t="s">
        <v>68</v>
      </c>
      <c r="Z532" t="s">
        <v>163</v>
      </c>
      <c r="AA532" t="s">
        <v>166</v>
      </c>
      <c r="AB532">
        <v>3.8</v>
      </c>
      <c r="AC532">
        <v>50</v>
      </c>
      <c r="AD532">
        <v>240.76</v>
      </c>
      <c r="AE532">
        <f t="shared" si="16"/>
        <v>1807.4399999999998</v>
      </c>
      <c r="AF532" t="str">
        <f t="shared" si="17"/>
        <v>2025-03</v>
      </c>
      <c r="AG532">
        <f>SUBTOTAL(103,A532)</f>
        <v>1</v>
      </c>
    </row>
    <row r="533" spans="1:33" x14ac:dyDescent="0.3">
      <c r="A533" t="s">
        <v>3144</v>
      </c>
      <c r="B533" s="13">
        <v>45728</v>
      </c>
      <c r="C533">
        <v>2025</v>
      </c>
      <c r="D533">
        <v>3</v>
      </c>
      <c r="E533" t="s">
        <v>3053</v>
      </c>
      <c r="F533" t="s">
        <v>2572</v>
      </c>
      <c r="G533" t="s">
        <v>1301</v>
      </c>
      <c r="H533" t="s">
        <v>1302</v>
      </c>
      <c r="I533" t="s">
        <v>85</v>
      </c>
      <c r="J533">
        <v>19</v>
      </c>
      <c r="K533" t="s">
        <v>80</v>
      </c>
      <c r="L533" t="s">
        <v>92</v>
      </c>
      <c r="M533" t="s">
        <v>59</v>
      </c>
      <c r="N533" t="s">
        <v>2657</v>
      </c>
      <c r="O533" t="s">
        <v>134</v>
      </c>
      <c r="P533" t="s">
        <v>49</v>
      </c>
      <c r="Q533" t="s">
        <v>140</v>
      </c>
      <c r="R533">
        <v>1</v>
      </c>
      <c r="S533">
        <v>599</v>
      </c>
      <c r="T533">
        <v>0.05</v>
      </c>
      <c r="U533">
        <v>569.04999999999995</v>
      </c>
      <c r="V533">
        <v>250</v>
      </c>
      <c r="W533">
        <v>319.05</v>
      </c>
      <c r="X533" t="s">
        <v>75</v>
      </c>
      <c r="Y533" t="s">
        <v>68</v>
      </c>
      <c r="Z533" t="s">
        <v>163</v>
      </c>
      <c r="AA533" t="s">
        <v>166</v>
      </c>
      <c r="AB533">
        <v>5</v>
      </c>
      <c r="AC533">
        <v>40</v>
      </c>
      <c r="AD533">
        <v>49.99</v>
      </c>
      <c r="AE533">
        <f t="shared" si="16"/>
        <v>229.06</v>
      </c>
      <c r="AF533" t="str">
        <f t="shared" si="17"/>
        <v>2025-03</v>
      </c>
      <c r="AG533">
        <f>SUBTOTAL(103,A533)</f>
        <v>1</v>
      </c>
    </row>
    <row r="534" spans="1:33" x14ac:dyDescent="0.3">
      <c r="A534" t="s">
        <v>3145</v>
      </c>
      <c r="B534" s="13">
        <v>45728</v>
      </c>
      <c r="C534">
        <v>2025</v>
      </c>
      <c r="D534">
        <v>3</v>
      </c>
      <c r="E534" t="s">
        <v>3053</v>
      </c>
      <c r="F534" t="s">
        <v>2572</v>
      </c>
      <c r="G534" t="s">
        <v>1147</v>
      </c>
      <c r="H534" t="s">
        <v>1148</v>
      </c>
      <c r="I534" t="s">
        <v>85</v>
      </c>
      <c r="J534">
        <v>55</v>
      </c>
      <c r="K534" t="s">
        <v>83</v>
      </c>
      <c r="L534" t="s">
        <v>97</v>
      </c>
      <c r="M534" t="s">
        <v>57</v>
      </c>
      <c r="N534" t="s">
        <v>2626</v>
      </c>
      <c r="O534" t="s">
        <v>125</v>
      </c>
      <c r="P534" t="s">
        <v>48</v>
      </c>
      <c r="Q534" t="s">
        <v>141</v>
      </c>
      <c r="R534">
        <v>1</v>
      </c>
      <c r="S534">
        <v>1999</v>
      </c>
      <c r="T534">
        <v>0.2</v>
      </c>
      <c r="U534">
        <v>1599.2</v>
      </c>
      <c r="V534">
        <v>1150</v>
      </c>
      <c r="W534">
        <v>449.2</v>
      </c>
      <c r="X534" t="s">
        <v>76</v>
      </c>
      <c r="Y534" t="s">
        <v>68</v>
      </c>
      <c r="Z534" t="s">
        <v>158</v>
      </c>
      <c r="AA534" t="s">
        <v>166</v>
      </c>
      <c r="AB534">
        <v>4.4000000000000004</v>
      </c>
      <c r="AC534">
        <v>60</v>
      </c>
      <c r="AD534">
        <v>84.65</v>
      </c>
      <c r="AE534">
        <f t="shared" si="16"/>
        <v>304.54999999999995</v>
      </c>
      <c r="AF534" t="str">
        <f t="shared" si="17"/>
        <v>2025-03</v>
      </c>
      <c r="AG534">
        <f>SUBTOTAL(103,A534)</f>
        <v>1</v>
      </c>
    </row>
    <row r="535" spans="1:33" x14ac:dyDescent="0.3">
      <c r="A535" t="s">
        <v>3146</v>
      </c>
      <c r="B535" s="13">
        <v>45728</v>
      </c>
      <c r="C535">
        <v>2025</v>
      </c>
      <c r="D535">
        <v>3</v>
      </c>
      <c r="E535" t="s">
        <v>3053</v>
      </c>
      <c r="F535" t="s">
        <v>2572</v>
      </c>
      <c r="G535" t="s">
        <v>2485</v>
      </c>
      <c r="H535" t="s">
        <v>2486</v>
      </c>
      <c r="I535" t="s">
        <v>85</v>
      </c>
      <c r="J535">
        <v>30</v>
      </c>
      <c r="K535" t="s">
        <v>81</v>
      </c>
      <c r="L535" t="s">
        <v>2623</v>
      </c>
      <c r="M535" t="s">
        <v>61</v>
      </c>
      <c r="N535" t="s">
        <v>2665</v>
      </c>
      <c r="O535" t="s">
        <v>128</v>
      </c>
      <c r="P535" t="s">
        <v>53</v>
      </c>
      <c r="Q535" t="s">
        <v>143</v>
      </c>
      <c r="R535">
        <v>2</v>
      </c>
      <c r="S535">
        <v>1499</v>
      </c>
      <c r="T535">
        <v>0</v>
      </c>
      <c r="U535">
        <v>0</v>
      </c>
      <c r="V535">
        <v>0</v>
      </c>
      <c r="W535">
        <v>0</v>
      </c>
      <c r="X535" t="s">
        <v>75</v>
      </c>
      <c r="Y535" t="s">
        <v>71</v>
      </c>
      <c r="Z535" t="s">
        <v>162</v>
      </c>
      <c r="AA535" t="s">
        <v>166</v>
      </c>
      <c r="AB535">
        <v>4.3</v>
      </c>
      <c r="AC535">
        <v>100</v>
      </c>
      <c r="AD535">
        <v>61.22</v>
      </c>
      <c r="AE535">
        <f t="shared" si="16"/>
        <v>-161.22</v>
      </c>
      <c r="AF535" t="str">
        <f t="shared" si="17"/>
        <v>2025-03</v>
      </c>
      <c r="AG535">
        <f>SUBTOTAL(103,A535)</f>
        <v>1</v>
      </c>
    </row>
    <row r="536" spans="1:33" x14ac:dyDescent="0.3">
      <c r="A536" t="s">
        <v>3147</v>
      </c>
      <c r="B536" s="13">
        <v>45728</v>
      </c>
      <c r="C536">
        <v>2025</v>
      </c>
      <c r="D536">
        <v>3</v>
      </c>
      <c r="E536" t="s">
        <v>3053</v>
      </c>
      <c r="F536" t="s">
        <v>2572</v>
      </c>
      <c r="G536" t="s">
        <v>2233</v>
      </c>
      <c r="H536" t="s">
        <v>2234</v>
      </c>
      <c r="I536" t="s">
        <v>85</v>
      </c>
      <c r="J536">
        <v>40</v>
      </c>
      <c r="K536" t="s">
        <v>82</v>
      </c>
      <c r="L536" t="s">
        <v>2623</v>
      </c>
      <c r="M536" t="s">
        <v>61</v>
      </c>
      <c r="N536" t="s">
        <v>2574</v>
      </c>
      <c r="O536" t="s">
        <v>130</v>
      </c>
      <c r="P536" t="s">
        <v>50</v>
      </c>
      <c r="Q536" t="s">
        <v>53</v>
      </c>
      <c r="R536">
        <v>3</v>
      </c>
      <c r="S536">
        <v>1199</v>
      </c>
      <c r="T536">
        <v>0.05</v>
      </c>
      <c r="U536">
        <v>3417.15</v>
      </c>
      <c r="V536">
        <v>1650</v>
      </c>
      <c r="W536">
        <v>1767.15</v>
      </c>
      <c r="X536" t="s">
        <v>75</v>
      </c>
      <c r="Y536" t="s">
        <v>68</v>
      </c>
      <c r="Z536" t="s">
        <v>160</v>
      </c>
      <c r="AA536" t="s">
        <v>170</v>
      </c>
      <c r="AB536">
        <v>3.8</v>
      </c>
      <c r="AC536">
        <v>50</v>
      </c>
      <c r="AD536">
        <v>392.97</v>
      </c>
      <c r="AE536">
        <f t="shared" si="16"/>
        <v>1324.18</v>
      </c>
      <c r="AF536" t="str">
        <f t="shared" si="17"/>
        <v>2025-03</v>
      </c>
      <c r="AG536">
        <f>SUBTOTAL(103,A536)</f>
        <v>1</v>
      </c>
    </row>
    <row r="537" spans="1:33" x14ac:dyDescent="0.3">
      <c r="A537" t="s">
        <v>3148</v>
      </c>
      <c r="B537" s="13">
        <v>45728</v>
      </c>
      <c r="C537">
        <v>2025</v>
      </c>
      <c r="D537">
        <v>3</v>
      </c>
      <c r="E537" t="s">
        <v>3053</v>
      </c>
      <c r="F537" t="s">
        <v>2572</v>
      </c>
      <c r="G537" t="s">
        <v>997</v>
      </c>
      <c r="H537" t="s">
        <v>998</v>
      </c>
      <c r="I537" t="s">
        <v>86</v>
      </c>
      <c r="J537">
        <v>22</v>
      </c>
      <c r="K537" t="s">
        <v>80</v>
      </c>
      <c r="L537" t="s">
        <v>92</v>
      </c>
      <c r="M537" t="s">
        <v>59</v>
      </c>
      <c r="N537" t="s">
        <v>2580</v>
      </c>
      <c r="O537" t="s">
        <v>118</v>
      </c>
      <c r="P537" t="s">
        <v>48</v>
      </c>
      <c r="Q537" t="s">
        <v>142</v>
      </c>
      <c r="R537">
        <v>2</v>
      </c>
      <c r="S537">
        <v>3999</v>
      </c>
      <c r="T537">
        <v>0.05</v>
      </c>
      <c r="U537">
        <v>7598.1</v>
      </c>
      <c r="V537">
        <v>4800</v>
      </c>
      <c r="W537">
        <v>2798.1</v>
      </c>
      <c r="X537" t="s">
        <v>75</v>
      </c>
      <c r="Y537" t="s">
        <v>68</v>
      </c>
      <c r="Z537" t="s">
        <v>163</v>
      </c>
      <c r="AA537" t="s">
        <v>168</v>
      </c>
      <c r="AB537">
        <v>5</v>
      </c>
      <c r="AC537">
        <v>80</v>
      </c>
      <c r="AD537">
        <v>735.35</v>
      </c>
      <c r="AE537">
        <f t="shared" si="16"/>
        <v>1982.75</v>
      </c>
      <c r="AF537" t="str">
        <f t="shared" si="17"/>
        <v>2025-03</v>
      </c>
      <c r="AG537">
        <f>SUBTOTAL(103,A537)</f>
        <v>1</v>
      </c>
    </row>
    <row r="538" spans="1:33" x14ac:dyDescent="0.3">
      <c r="A538" t="s">
        <v>3149</v>
      </c>
      <c r="B538" s="13">
        <v>45728</v>
      </c>
      <c r="C538">
        <v>2025</v>
      </c>
      <c r="D538">
        <v>3</v>
      </c>
      <c r="E538" t="s">
        <v>3053</v>
      </c>
      <c r="F538" t="s">
        <v>2572</v>
      </c>
      <c r="G538" t="s">
        <v>715</v>
      </c>
      <c r="H538" t="s">
        <v>716</v>
      </c>
      <c r="I538" t="s">
        <v>85</v>
      </c>
      <c r="J538">
        <v>28</v>
      </c>
      <c r="K538" t="s">
        <v>81</v>
      </c>
      <c r="L538" t="s">
        <v>2605</v>
      </c>
      <c r="M538" t="s">
        <v>60</v>
      </c>
      <c r="N538" t="s">
        <v>2582</v>
      </c>
      <c r="O538" t="s">
        <v>119</v>
      </c>
      <c r="P538" t="s">
        <v>49</v>
      </c>
      <c r="Q538" t="s">
        <v>140</v>
      </c>
      <c r="R538">
        <v>1</v>
      </c>
      <c r="S538">
        <v>3499</v>
      </c>
      <c r="T538">
        <v>0</v>
      </c>
      <c r="U538">
        <v>3499</v>
      </c>
      <c r="V538">
        <v>2100</v>
      </c>
      <c r="W538">
        <v>1399</v>
      </c>
      <c r="X538" t="s">
        <v>77</v>
      </c>
      <c r="Y538" t="s">
        <v>68</v>
      </c>
      <c r="Z538" t="s">
        <v>159</v>
      </c>
      <c r="AA538" t="s">
        <v>169</v>
      </c>
      <c r="AB538">
        <v>4.8</v>
      </c>
      <c r="AC538">
        <v>80</v>
      </c>
      <c r="AD538">
        <v>396.01</v>
      </c>
      <c r="AE538">
        <f t="shared" si="16"/>
        <v>922.99</v>
      </c>
      <c r="AF538" t="str">
        <f t="shared" si="17"/>
        <v>2025-03</v>
      </c>
      <c r="AG538">
        <f>SUBTOTAL(103,A538)</f>
        <v>1</v>
      </c>
    </row>
    <row r="539" spans="1:33" x14ac:dyDescent="0.3">
      <c r="A539" t="s">
        <v>3150</v>
      </c>
      <c r="B539" s="13">
        <v>45728</v>
      </c>
      <c r="C539">
        <v>2025</v>
      </c>
      <c r="D539">
        <v>3</v>
      </c>
      <c r="E539" t="s">
        <v>3053</v>
      </c>
      <c r="F539" t="s">
        <v>2572</v>
      </c>
      <c r="G539" t="s">
        <v>1723</v>
      </c>
      <c r="H539" t="s">
        <v>1724</v>
      </c>
      <c r="I539" t="s">
        <v>85</v>
      </c>
      <c r="J539">
        <v>22</v>
      </c>
      <c r="K539" t="s">
        <v>80</v>
      </c>
      <c r="L539" t="s">
        <v>2674</v>
      </c>
      <c r="M539" t="s">
        <v>58</v>
      </c>
      <c r="N539" t="s">
        <v>2657</v>
      </c>
      <c r="O539" t="s">
        <v>134</v>
      </c>
      <c r="P539" t="s">
        <v>49</v>
      </c>
      <c r="Q539" t="s">
        <v>140</v>
      </c>
      <c r="R539">
        <v>1</v>
      </c>
      <c r="S539">
        <v>599</v>
      </c>
      <c r="T539">
        <v>0.15</v>
      </c>
      <c r="U539">
        <v>509.15</v>
      </c>
      <c r="V539">
        <v>250</v>
      </c>
      <c r="W539">
        <v>259.14999999999998</v>
      </c>
      <c r="X539" t="s">
        <v>76</v>
      </c>
      <c r="Y539" t="s">
        <v>68</v>
      </c>
      <c r="Z539" t="s">
        <v>158</v>
      </c>
      <c r="AA539" t="s">
        <v>167</v>
      </c>
      <c r="AB539">
        <v>5</v>
      </c>
      <c r="AC539">
        <v>50</v>
      </c>
      <c r="AD539">
        <v>33.86</v>
      </c>
      <c r="AE539">
        <f t="shared" si="16"/>
        <v>175.28999999999996</v>
      </c>
      <c r="AF539" t="str">
        <f t="shared" si="17"/>
        <v>2025-03</v>
      </c>
      <c r="AG539">
        <f>SUBTOTAL(103,A539)</f>
        <v>1</v>
      </c>
    </row>
    <row r="540" spans="1:33" x14ac:dyDescent="0.3">
      <c r="A540" t="s">
        <v>3151</v>
      </c>
      <c r="B540" s="13">
        <v>45729</v>
      </c>
      <c r="C540">
        <v>2025</v>
      </c>
      <c r="D540">
        <v>3</v>
      </c>
      <c r="E540" t="s">
        <v>3053</v>
      </c>
      <c r="F540" t="s">
        <v>2572</v>
      </c>
      <c r="G540" t="s">
        <v>983</v>
      </c>
      <c r="H540" t="s">
        <v>984</v>
      </c>
      <c r="I540" t="s">
        <v>86</v>
      </c>
      <c r="J540">
        <v>48</v>
      </c>
      <c r="K540" t="s">
        <v>83</v>
      </c>
      <c r="L540" t="s">
        <v>92</v>
      </c>
      <c r="M540" t="s">
        <v>59</v>
      </c>
      <c r="N540" t="s">
        <v>2653</v>
      </c>
      <c r="O540" t="s">
        <v>132</v>
      </c>
      <c r="P540" t="s">
        <v>52</v>
      </c>
      <c r="Q540" t="s">
        <v>150</v>
      </c>
      <c r="R540">
        <v>4</v>
      </c>
      <c r="S540">
        <v>899</v>
      </c>
      <c r="T540">
        <v>0.2</v>
      </c>
      <c r="U540">
        <v>2876.8</v>
      </c>
      <c r="V540">
        <v>1680</v>
      </c>
      <c r="W540">
        <v>1196.8</v>
      </c>
      <c r="X540" t="s">
        <v>75</v>
      </c>
      <c r="Y540" t="s">
        <v>68</v>
      </c>
      <c r="Z540" t="s">
        <v>163</v>
      </c>
      <c r="AA540" t="s">
        <v>166</v>
      </c>
      <c r="AB540">
        <v>3.7</v>
      </c>
      <c r="AC540">
        <v>40</v>
      </c>
      <c r="AD540">
        <v>89.76</v>
      </c>
      <c r="AE540">
        <f t="shared" si="16"/>
        <v>1067.04</v>
      </c>
      <c r="AF540" t="str">
        <f t="shared" si="17"/>
        <v>2025-03</v>
      </c>
      <c r="AG540">
        <f>SUBTOTAL(103,A540)</f>
        <v>1</v>
      </c>
    </row>
    <row r="541" spans="1:33" x14ac:dyDescent="0.3">
      <c r="A541" t="s">
        <v>3152</v>
      </c>
      <c r="B541" s="13">
        <v>45729</v>
      </c>
      <c r="C541">
        <v>2025</v>
      </c>
      <c r="D541">
        <v>3</v>
      </c>
      <c r="E541" t="s">
        <v>3053</v>
      </c>
      <c r="F541" t="s">
        <v>2572</v>
      </c>
      <c r="G541" t="s">
        <v>1303</v>
      </c>
      <c r="H541" t="s">
        <v>1304</v>
      </c>
      <c r="I541" t="s">
        <v>86</v>
      </c>
      <c r="J541">
        <v>21</v>
      </c>
      <c r="K541" t="s">
        <v>80</v>
      </c>
      <c r="L541" t="s">
        <v>94</v>
      </c>
      <c r="M541" t="s">
        <v>57</v>
      </c>
      <c r="N541" t="s">
        <v>2577</v>
      </c>
      <c r="O541" t="s">
        <v>129</v>
      </c>
      <c r="P541" t="s">
        <v>49</v>
      </c>
      <c r="Q541" t="s">
        <v>149</v>
      </c>
      <c r="R541">
        <v>1</v>
      </c>
      <c r="S541">
        <v>1299</v>
      </c>
      <c r="T541">
        <v>0.15</v>
      </c>
      <c r="U541">
        <v>1104.1500000000001</v>
      </c>
      <c r="V541">
        <v>650</v>
      </c>
      <c r="W541">
        <v>454.15</v>
      </c>
      <c r="X541" t="s">
        <v>76</v>
      </c>
      <c r="Y541" t="s">
        <v>68</v>
      </c>
      <c r="Z541" t="s">
        <v>158</v>
      </c>
      <c r="AA541" t="s">
        <v>168</v>
      </c>
      <c r="AB541">
        <v>4.3</v>
      </c>
      <c r="AC541">
        <v>100</v>
      </c>
      <c r="AD541">
        <v>109.18</v>
      </c>
      <c r="AE541">
        <f t="shared" si="16"/>
        <v>244.96999999999997</v>
      </c>
      <c r="AF541" t="str">
        <f t="shared" si="17"/>
        <v>2025-03</v>
      </c>
      <c r="AG541">
        <f>SUBTOTAL(103,A541)</f>
        <v>1</v>
      </c>
    </row>
    <row r="542" spans="1:33" x14ac:dyDescent="0.3">
      <c r="A542" t="s">
        <v>3153</v>
      </c>
      <c r="B542" s="13">
        <v>45729</v>
      </c>
      <c r="C542">
        <v>2025</v>
      </c>
      <c r="D542">
        <v>3</v>
      </c>
      <c r="E542" t="s">
        <v>3053</v>
      </c>
      <c r="F542" t="s">
        <v>2572</v>
      </c>
      <c r="G542" t="s">
        <v>685</v>
      </c>
      <c r="H542" t="s">
        <v>686</v>
      </c>
      <c r="I542" t="s">
        <v>85</v>
      </c>
      <c r="J542">
        <v>35</v>
      </c>
      <c r="K542" t="s">
        <v>81</v>
      </c>
      <c r="L542" t="s">
        <v>92</v>
      </c>
      <c r="M542" t="s">
        <v>59</v>
      </c>
      <c r="N542" t="s">
        <v>2606</v>
      </c>
      <c r="O542" t="s">
        <v>120</v>
      </c>
      <c r="P542" t="s">
        <v>49</v>
      </c>
      <c r="Q542" t="s">
        <v>140</v>
      </c>
      <c r="R542">
        <v>3</v>
      </c>
      <c r="S542">
        <v>2799</v>
      </c>
      <c r="T542">
        <v>0.1</v>
      </c>
      <c r="U542">
        <v>7557.3</v>
      </c>
      <c r="V542">
        <v>4950</v>
      </c>
      <c r="W542">
        <v>2607.3000000000002</v>
      </c>
      <c r="X542" t="s">
        <v>74</v>
      </c>
      <c r="Y542" t="s">
        <v>69</v>
      </c>
      <c r="Z542" t="s">
        <v>158</v>
      </c>
      <c r="AA542" t="s">
        <v>168</v>
      </c>
      <c r="AB542">
        <v>3.8</v>
      </c>
      <c r="AC542">
        <v>60</v>
      </c>
      <c r="AD542">
        <v>711.91</v>
      </c>
      <c r="AE542">
        <f t="shared" si="16"/>
        <v>1835.3900000000003</v>
      </c>
      <c r="AF542" t="str">
        <f t="shared" si="17"/>
        <v>2025-03</v>
      </c>
      <c r="AG542">
        <f>SUBTOTAL(103,A542)</f>
        <v>1</v>
      </c>
    </row>
    <row r="543" spans="1:33" x14ac:dyDescent="0.3">
      <c r="A543" t="s">
        <v>3154</v>
      </c>
      <c r="B543" s="13">
        <v>45729</v>
      </c>
      <c r="C543">
        <v>2025</v>
      </c>
      <c r="D543">
        <v>3</v>
      </c>
      <c r="E543" t="s">
        <v>3053</v>
      </c>
      <c r="F543" t="s">
        <v>2572</v>
      </c>
      <c r="G543" t="s">
        <v>611</v>
      </c>
      <c r="H543" t="s">
        <v>612</v>
      </c>
      <c r="I543" t="s">
        <v>85</v>
      </c>
      <c r="J543">
        <v>20</v>
      </c>
      <c r="K543" t="s">
        <v>80</v>
      </c>
      <c r="L543" t="s">
        <v>2623</v>
      </c>
      <c r="M543" t="s">
        <v>61</v>
      </c>
      <c r="N543" t="s">
        <v>2647</v>
      </c>
      <c r="O543" t="s">
        <v>133</v>
      </c>
      <c r="P543" t="s">
        <v>50</v>
      </c>
      <c r="Q543" t="s">
        <v>145</v>
      </c>
      <c r="R543">
        <v>1</v>
      </c>
      <c r="S543">
        <v>799</v>
      </c>
      <c r="T543">
        <v>0.25</v>
      </c>
      <c r="U543">
        <v>599.25</v>
      </c>
      <c r="V543">
        <v>390</v>
      </c>
      <c r="W543">
        <v>209.25</v>
      </c>
      <c r="X543" t="s">
        <v>74</v>
      </c>
      <c r="Y543" t="s">
        <v>68</v>
      </c>
      <c r="Z543" t="s">
        <v>159</v>
      </c>
      <c r="AA543" t="s">
        <v>167</v>
      </c>
      <c r="AB543">
        <v>3.4</v>
      </c>
      <c r="AC543">
        <v>50</v>
      </c>
      <c r="AD543">
        <v>37.96</v>
      </c>
      <c r="AE543">
        <f t="shared" si="16"/>
        <v>121.28999999999999</v>
      </c>
      <c r="AF543" t="str">
        <f t="shared" si="17"/>
        <v>2025-03</v>
      </c>
      <c r="AG543">
        <f>SUBTOTAL(103,A543)</f>
        <v>1</v>
      </c>
    </row>
    <row r="544" spans="1:33" x14ac:dyDescent="0.3">
      <c r="A544" t="s">
        <v>3155</v>
      </c>
      <c r="B544" s="13">
        <v>45729</v>
      </c>
      <c r="C544">
        <v>2025</v>
      </c>
      <c r="D544">
        <v>3</v>
      </c>
      <c r="E544" t="s">
        <v>3053</v>
      </c>
      <c r="F544" t="s">
        <v>2572</v>
      </c>
      <c r="G544" t="s">
        <v>1147</v>
      </c>
      <c r="H544" t="s">
        <v>1148</v>
      </c>
      <c r="I544" t="s">
        <v>85</v>
      </c>
      <c r="J544">
        <v>55</v>
      </c>
      <c r="K544" t="s">
        <v>83</v>
      </c>
      <c r="L544" t="s">
        <v>97</v>
      </c>
      <c r="M544" t="s">
        <v>57</v>
      </c>
      <c r="N544" t="s">
        <v>2587</v>
      </c>
      <c r="O544" t="s">
        <v>116</v>
      </c>
      <c r="P544" t="s">
        <v>48</v>
      </c>
      <c r="Q544" t="s">
        <v>138</v>
      </c>
      <c r="R544">
        <v>1</v>
      </c>
      <c r="S544">
        <v>14999</v>
      </c>
      <c r="T544">
        <v>0.1</v>
      </c>
      <c r="U544">
        <v>13499.1</v>
      </c>
      <c r="V544">
        <v>11200</v>
      </c>
      <c r="W544">
        <v>2299.1</v>
      </c>
      <c r="X544" t="s">
        <v>77</v>
      </c>
      <c r="Y544" t="s">
        <v>68</v>
      </c>
      <c r="Z544" t="s">
        <v>160</v>
      </c>
      <c r="AA544" t="s">
        <v>168</v>
      </c>
      <c r="AB544">
        <v>3.7</v>
      </c>
      <c r="AC544">
        <v>40</v>
      </c>
      <c r="AD544">
        <v>1402.38</v>
      </c>
      <c r="AE544">
        <f t="shared" si="16"/>
        <v>856.7199999999998</v>
      </c>
      <c r="AF544" t="str">
        <f t="shared" si="17"/>
        <v>2025-03</v>
      </c>
      <c r="AG544">
        <f>SUBTOTAL(103,A544)</f>
        <v>1</v>
      </c>
    </row>
    <row r="545" spans="1:33" x14ac:dyDescent="0.3">
      <c r="A545" t="s">
        <v>3156</v>
      </c>
      <c r="B545" s="13">
        <v>45729</v>
      </c>
      <c r="C545">
        <v>2025</v>
      </c>
      <c r="D545">
        <v>3</v>
      </c>
      <c r="E545" t="s">
        <v>3053</v>
      </c>
      <c r="F545" t="s">
        <v>2572</v>
      </c>
      <c r="G545" t="s">
        <v>1583</v>
      </c>
      <c r="H545" t="s">
        <v>1584</v>
      </c>
      <c r="I545" t="s">
        <v>86</v>
      </c>
      <c r="J545">
        <v>23</v>
      </c>
      <c r="K545" t="s">
        <v>80</v>
      </c>
      <c r="L545" t="s">
        <v>2646</v>
      </c>
      <c r="M545" t="s">
        <v>63</v>
      </c>
      <c r="N545" t="s">
        <v>2630</v>
      </c>
      <c r="O545" t="s">
        <v>123</v>
      </c>
      <c r="P545" t="s">
        <v>52</v>
      </c>
      <c r="Q545" t="s">
        <v>146</v>
      </c>
      <c r="R545">
        <v>2</v>
      </c>
      <c r="S545">
        <v>2499</v>
      </c>
      <c r="T545">
        <v>0.1</v>
      </c>
      <c r="U545">
        <v>4498.2</v>
      </c>
      <c r="V545">
        <v>2800</v>
      </c>
      <c r="W545">
        <v>1698.2</v>
      </c>
      <c r="X545" t="s">
        <v>74</v>
      </c>
      <c r="Y545" t="s">
        <v>68</v>
      </c>
      <c r="Z545" t="s">
        <v>158</v>
      </c>
      <c r="AA545" t="s">
        <v>168</v>
      </c>
      <c r="AB545">
        <v>3.6</v>
      </c>
      <c r="AC545">
        <v>100</v>
      </c>
      <c r="AD545">
        <v>341.1</v>
      </c>
      <c r="AE545">
        <f t="shared" si="16"/>
        <v>1257.0999999999999</v>
      </c>
      <c r="AF545" t="str">
        <f t="shared" si="17"/>
        <v>2025-03</v>
      </c>
      <c r="AG545">
        <f>SUBTOTAL(103,A545)</f>
        <v>1</v>
      </c>
    </row>
    <row r="546" spans="1:33" x14ac:dyDescent="0.3">
      <c r="A546" t="s">
        <v>3157</v>
      </c>
      <c r="B546" s="13">
        <v>45729</v>
      </c>
      <c r="C546">
        <v>2025</v>
      </c>
      <c r="D546">
        <v>3</v>
      </c>
      <c r="E546" t="s">
        <v>3053</v>
      </c>
      <c r="F546" t="s">
        <v>2572</v>
      </c>
      <c r="G546" t="s">
        <v>529</v>
      </c>
      <c r="H546" t="s">
        <v>530</v>
      </c>
      <c r="I546" t="s">
        <v>85</v>
      </c>
      <c r="J546">
        <v>33</v>
      </c>
      <c r="K546" t="s">
        <v>81</v>
      </c>
      <c r="L546" t="s">
        <v>94</v>
      </c>
      <c r="M546" t="s">
        <v>57</v>
      </c>
      <c r="N546" t="s">
        <v>2653</v>
      </c>
      <c r="O546" t="s">
        <v>132</v>
      </c>
      <c r="P546" t="s">
        <v>52</v>
      </c>
      <c r="Q546" t="s">
        <v>150</v>
      </c>
      <c r="R546">
        <v>3</v>
      </c>
      <c r="S546">
        <v>899</v>
      </c>
      <c r="T546">
        <v>0.2</v>
      </c>
      <c r="U546">
        <v>2157.6</v>
      </c>
      <c r="V546">
        <v>1260</v>
      </c>
      <c r="W546">
        <v>897.6</v>
      </c>
      <c r="X546" t="s">
        <v>75</v>
      </c>
      <c r="Y546" t="s">
        <v>68</v>
      </c>
      <c r="Z546" t="s">
        <v>161</v>
      </c>
      <c r="AA546" t="s">
        <v>166</v>
      </c>
      <c r="AB546">
        <v>4.0999999999999996</v>
      </c>
      <c r="AC546">
        <v>60</v>
      </c>
      <c r="AD546">
        <v>251.55</v>
      </c>
      <c r="AE546">
        <f t="shared" si="16"/>
        <v>586.04999999999995</v>
      </c>
      <c r="AF546" t="str">
        <f t="shared" si="17"/>
        <v>2025-03</v>
      </c>
      <c r="AG546">
        <f>SUBTOTAL(103,A546)</f>
        <v>1</v>
      </c>
    </row>
    <row r="547" spans="1:33" x14ac:dyDescent="0.3">
      <c r="A547" t="s">
        <v>3158</v>
      </c>
      <c r="B547" s="13">
        <v>45730</v>
      </c>
      <c r="C547">
        <v>2025</v>
      </c>
      <c r="D547">
        <v>3</v>
      </c>
      <c r="E547" t="s">
        <v>3053</v>
      </c>
      <c r="F547" t="s">
        <v>2572</v>
      </c>
      <c r="G547" t="s">
        <v>267</v>
      </c>
      <c r="H547" t="s">
        <v>268</v>
      </c>
      <c r="I547" t="s">
        <v>86</v>
      </c>
      <c r="J547">
        <v>39</v>
      </c>
      <c r="K547" t="s">
        <v>82</v>
      </c>
      <c r="L547" t="s">
        <v>92</v>
      </c>
      <c r="M547" t="s">
        <v>59</v>
      </c>
      <c r="N547" t="s">
        <v>2630</v>
      </c>
      <c r="O547" t="s">
        <v>123</v>
      </c>
      <c r="P547" t="s">
        <v>52</v>
      </c>
      <c r="Q547" t="s">
        <v>146</v>
      </c>
      <c r="R547">
        <v>2</v>
      </c>
      <c r="S547">
        <v>2499</v>
      </c>
      <c r="T547">
        <v>0.15</v>
      </c>
      <c r="U547">
        <v>4248.3</v>
      </c>
      <c r="V547">
        <v>2800</v>
      </c>
      <c r="W547">
        <v>1448.3</v>
      </c>
      <c r="X547" t="s">
        <v>75</v>
      </c>
      <c r="Y547" t="s">
        <v>68</v>
      </c>
      <c r="Z547" t="s">
        <v>161</v>
      </c>
      <c r="AA547" t="s">
        <v>170</v>
      </c>
      <c r="AB547">
        <v>4.3</v>
      </c>
      <c r="AC547">
        <v>120</v>
      </c>
      <c r="AD547">
        <v>206.27</v>
      </c>
      <c r="AE547">
        <f t="shared" si="16"/>
        <v>1122.03</v>
      </c>
      <c r="AF547" t="str">
        <f t="shared" si="17"/>
        <v>2025-03</v>
      </c>
      <c r="AG547">
        <f>SUBTOTAL(103,A547)</f>
        <v>1</v>
      </c>
    </row>
    <row r="548" spans="1:33" x14ac:dyDescent="0.3">
      <c r="A548" t="s">
        <v>3159</v>
      </c>
      <c r="B548" s="13">
        <v>45730</v>
      </c>
      <c r="C548">
        <v>2025</v>
      </c>
      <c r="D548">
        <v>3</v>
      </c>
      <c r="E548" t="s">
        <v>3053</v>
      </c>
      <c r="F548" t="s">
        <v>2572</v>
      </c>
      <c r="G548" t="s">
        <v>957</v>
      </c>
      <c r="H548" t="s">
        <v>958</v>
      </c>
      <c r="I548" t="s">
        <v>86</v>
      </c>
      <c r="J548">
        <v>60</v>
      </c>
      <c r="K548" t="s">
        <v>83</v>
      </c>
      <c r="L548" t="s">
        <v>2687</v>
      </c>
      <c r="M548" t="s">
        <v>57</v>
      </c>
      <c r="N548" t="s">
        <v>2587</v>
      </c>
      <c r="O548" t="s">
        <v>116</v>
      </c>
      <c r="P548" t="s">
        <v>48</v>
      </c>
      <c r="Q548" t="s">
        <v>138</v>
      </c>
      <c r="R548">
        <v>3</v>
      </c>
      <c r="S548">
        <v>14999</v>
      </c>
      <c r="T548">
        <v>0</v>
      </c>
      <c r="U548">
        <v>0</v>
      </c>
      <c r="V548">
        <v>0</v>
      </c>
      <c r="W548">
        <v>0</v>
      </c>
      <c r="X548" t="s">
        <v>75</v>
      </c>
      <c r="Y548" t="s">
        <v>71</v>
      </c>
      <c r="Z548" t="s">
        <v>163</v>
      </c>
      <c r="AA548" t="s">
        <v>170</v>
      </c>
      <c r="AB548">
        <v>4.2</v>
      </c>
      <c r="AC548">
        <v>50</v>
      </c>
      <c r="AD548">
        <v>4935.3500000000004</v>
      </c>
      <c r="AE548">
        <f t="shared" si="16"/>
        <v>-4985.3500000000004</v>
      </c>
      <c r="AF548" t="str">
        <f t="shared" si="17"/>
        <v>2025-03</v>
      </c>
      <c r="AG548">
        <f>SUBTOTAL(103,A548)</f>
        <v>1</v>
      </c>
    </row>
    <row r="549" spans="1:33" x14ac:dyDescent="0.3">
      <c r="A549" t="s">
        <v>3160</v>
      </c>
      <c r="B549" s="13">
        <v>45730</v>
      </c>
      <c r="C549">
        <v>2025</v>
      </c>
      <c r="D549">
        <v>3</v>
      </c>
      <c r="E549" t="s">
        <v>3053</v>
      </c>
      <c r="F549" t="s">
        <v>2572</v>
      </c>
      <c r="G549" t="s">
        <v>647</v>
      </c>
      <c r="H549" t="s">
        <v>648</v>
      </c>
      <c r="I549" t="s">
        <v>85</v>
      </c>
      <c r="J549">
        <v>52</v>
      </c>
      <c r="K549" t="s">
        <v>83</v>
      </c>
      <c r="L549" t="s">
        <v>2610</v>
      </c>
      <c r="M549" t="s">
        <v>64</v>
      </c>
      <c r="N549" t="s">
        <v>2577</v>
      </c>
      <c r="O549" t="s">
        <v>129</v>
      </c>
      <c r="P549" t="s">
        <v>49</v>
      </c>
      <c r="Q549" t="s">
        <v>149</v>
      </c>
      <c r="R549">
        <v>1</v>
      </c>
      <c r="S549">
        <v>1299</v>
      </c>
      <c r="T549">
        <v>0</v>
      </c>
      <c r="U549">
        <v>1299</v>
      </c>
      <c r="V549">
        <v>650</v>
      </c>
      <c r="W549">
        <v>649</v>
      </c>
      <c r="X549" t="s">
        <v>73</v>
      </c>
      <c r="Y549" t="s">
        <v>68</v>
      </c>
      <c r="Z549" t="s">
        <v>161</v>
      </c>
      <c r="AA549" t="s">
        <v>167</v>
      </c>
      <c r="AB549">
        <v>2.9</v>
      </c>
      <c r="AC549">
        <v>60</v>
      </c>
      <c r="AD549">
        <v>145.66</v>
      </c>
      <c r="AE549">
        <f t="shared" si="16"/>
        <v>443.34000000000003</v>
      </c>
      <c r="AF549" t="str">
        <f t="shared" si="17"/>
        <v>2025-03</v>
      </c>
      <c r="AG549">
        <f>SUBTOTAL(103,A549)</f>
        <v>1</v>
      </c>
    </row>
    <row r="550" spans="1:33" x14ac:dyDescent="0.3">
      <c r="A550" t="s">
        <v>3161</v>
      </c>
      <c r="B550" s="13">
        <v>45730</v>
      </c>
      <c r="C550">
        <v>2025</v>
      </c>
      <c r="D550">
        <v>3</v>
      </c>
      <c r="E550" t="s">
        <v>3053</v>
      </c>
      <c r="F550" t="s">
        <v>2572</v>
      </c>
      <c r="G550" t="s">
        <v>881</v>
      </c>
      <c r="H550" t="s">
        <v>882</v>
      </c>
      <c r="I550" t="s">
        <v>86</v>
      </c>
      <c r="J550">
        <v>47</v>
      </c>
      <c r="K550" t="s">
        <v>83</v>
      </c>
      <c r="L550" t="s">
        <v>2679</v>
      </c>
      <c r="M550" t="s">
        <v>60</v>
      </c>
      <c r="N550" t="s">
        <v>2582</v>
      </c>
      <c r="O550" t="s">
        <v>119</v>
      </c>
      <c r="P550" t="s">
        <v>49</v>
      </c>
      <c r="Q550" t="s">
        <v>140</v>
      </c>
      <c r="R550">
        <v>4</v>
      </c>
      <c r="S550">
        <v>3499</v>
      </c>
      <c r="T550">
        <v>0</v>
      </c>
      <c r="U550">
        <v>13996</v>
      </c>
      <c r="V550">
        <v>8400</v>
      </c>
      <c r="W550">
        <v>5596</v>
      </c>
      <c r="X550" t="s">
        <v>76</v>
      </c>
      <c r="Y550" t="s">
        <v>70</v>
      </c>
      <c r="Z550" t="s">
        <v>160</v>
      </c>
      <c r="AA550" t="s">
        <v>166</v>
      </c>
      <c r="AB550">
        <v>4.3</v>
      </c>
      <c r="AC550">
        <v>60</v>
      </c>
      <c r="AD550">
        <v>680.37</v>
      </c>
      <c r="AE550">
        <f t="shared" si="16"/>
        <v>4855.63</v>
      </c>
      <c r="AF550" t="str">
        <f t="shared" si="17"/>
        <v>2025-03</v>
      </c>
      <c r="AG550">
        <f>SUBTOTAL(103,A550)</f>
        <v>1</v>
      </c>
    </row>
    <row r="551" spans="1:33" x14ac:dyDescent="0.3">
      <c r="A551" t="s">
        <v>3162</v>
      </c>
      <c r="B551" s="13">
        <v>45730</v>
      </c>
      <c r="C551">
        <v>2025</v>
      </c>
      <c r="D551">
        <v>3</v>
      </c>
      <c r="E551" t="s">
        <v>3053</v>
      </c>
      <c r="F551" t="s">
        <v>2572</v>
      </c>
      <c r="G551" t="s">
        <v>1915</v>
      </c>
      <c r="H551" t="s">
        <v>1916</v>
      </c>
      <c r="I551" t="s">
        <v>86</v>
      </c>
      <c r="J551">
        <v>26</v>
      </c>
      <c r="K551" t="s">
        <v>81</v>
      </c>
      <c r="L551" t="s">
        <v>90</v>
      </c>
      <c r="M551" t="s">
        <v>55</v>
      </c>
      <c r="N551" t="s">
        <v>2644</v>
      </c>
      <c r="O551" t="s">
        <v>126</v>
      </c>
      <c r="P551" t="s">
        <v>50</v>
      </c>
      <c r="Q551" t="s">
        <v>145</v>
      </c>
      <c r="R551">
        <v>1</v>
      </c>
      <c r="S551">
        <v>1799</v>
      </c>
      <c r="T551">
        <v>0</v>
      </c>
      <c r="U551">
        <v>1799</v>
      </c>
      <c r="V551">
        <v>950</v>
      </c>
      <c r="W551">
        <v>849</v>
      </c>
      <c r="X551" t="s">
        <v>75</v>
      </c>
      <c r="Y551" t="s">
        <v>68</v>
      </c>
      <c r="Z551" t="s">
        <v>159</v>
      </c>
      <c r="AA551" t="s">
        <v>170</v>
      </c>
      <c r="AB551">
        <v>3.4</v>
      </c>
      <c r="AC551">
        <v>60</v>
      </c>
      <c r="AD551">
        <v>57.62</v>
      </c>
      <c r="AE551">
        <f t="shared" si="16"/>
        <v>731.38</v>
      </c>
      <c r="AF551" t="str">
        <f t="shared" si="17"/>
        <v>2025-03</v>
      </c>
      <c r="AG551">
        <f>SUBTOTAL(103,A551)</f>
        <v>1</v>
      </c>
    </row>
    <row r="552" spans="1:33" x14ac:dyDescent="0.3">
      <c r="A552" t="s">
        <v>3163</v>
      </c>
      <c r="B552" s="13">
        <v>45730</v>
      </c>
      <c r="C552">
        <v>2025</v>
      </c>
      <c r="D552">
        <v>3</v>
      </c>
      <c r="E552" t="s">
        <v>3053</v>
      </c>
      <c r="F552" t="s">
        <v>2572</v>
      </c>
      <c r="G552" t="s">
        <v>853</v>
      </c>
      <c r="H552" t="s">
        <v>854</v>
      </c>
      <c r="I552" t="s">
        <v>86</v>
      </c>
      <c r="J552">
        <v>38</v>
      </c>
      <c r="K552" t="s">
        <v>82</v>
      </c>
      <c r="L552" t="s">
        <v>2634</v>
      </c>
      <c r="M552" t="s">
        <v>56</v>
      </c>
      <c r="N552" t="s">
        <v>2601</v>
      </c>
      <c r="O552" t="s">
        <v>117</v>
      </c>
      <c r="P552" t="s">
        <v>49</v>
      </c>
      <c r="Q552" t="s">
        <v>139</v>
      </c>
      <c r="R552">
        <v>3</v>
      </c>
      <c r="S552">
        <v>6999</v>
      </c>
      <c r="T552">
        <v>0</v>
      </c>
      <c r="U552">
        <v>20997</v>
      </c>
      <c r="V552">
        <v>12900</v>
      </c>
      <c r="W552">
        <v>8097</v>
      </c>
      <c r="X552" t="s">
        <v>73</v>
      </c>
      <c r="Y552" t="s">
        <v>68</v>
      </c>
      <c r="Z552" t="s">
        <v>159</v>
      </c>
      <c r="AA552" t="s">
        <v>170</v>
      </c>
      <c r="AB552">
        <v>3.2</v>
      </c>
      <c r="AC552">
        <v>80</v>
      </c>
      <c r="AD552">
        <v>2162.52</v>
      </c>
      <c r="AE552">
        <f t="shared" si="16"/>
        <v>5854.48</v>
      </c>
      <c r="AF552" t="str">
        <f t="shared" si="17"/>
        <v>2025-03</v>
      </c>
      <c r="AG552">
        <f>SUBTOTAL(103,A552)</f>
        <v>1</v>
      </c>
    </row>
    <row r="553" spans="1:33" x14ac:dyDescent="0.3">
      <c r="A553" t="s">
        <v>3164</v>
      </c>
      <c r="B553" s="13">
        <v>45730</v>
      </c>
      <c r="C553">
        <v>2025</v>
      </c>
      <c r="D553">
        <v>3</v>
      </c>
      <c r="E553" t="s">
        <v>3053</v>
      </c>
      <c r="F553" t="s">
        <v>2572</v>
      </c>
      <c r="G553" t="s">
        <v>281</v>
      </c>
      <c r="H553" t="s">
        <v>282</v>
      </c>
      <c r="I553" t="s">
        <v>85</v>
      </c>
      <c r="J553">
        <v>43</v>
      </c>
      <c r="K553" t="s">
        <v>82</v>
      </c>
      <c r="L553" t="s">
        <v>2616</v>
      </c>
      <c r="M553" t="s">
        <v>62</v>
      </c>
      <c r="N553" t="s">
        <v>2577</v>
      </c>
      <c r="O553" t="s">
        <v>129</v>
      </c>
      <c r="P553" t="s">
        <v>49</v>
      </c>
      <c r="Q553" t="s">
        <v>149</v>
      </c>
      <c r="R553">
        <v>2</v>
      </c>
      <c r="S553">
        <v>1299</v>
      </c>
      <c r="T553">
        <v>0.05</v>
      </c>
      <c r="U553">
        <v>2468.1</v>
      </c>
      <c r="V553">
        <v>1300</v>
      </c>
      <c r="W553">
        <v>1168.0999999999999</v>
      </c>
      <c r="X553" t="s">
        <v>73</v>
      </c>
      <c r="Y553" t="s">
        <v>68</v>
      </c>
      <c r="Z553" t="s">
        <v>163</v>
      </c>
      <c r="AA553" t="s">
        <v>166</v>
      </c>
      <c r="AB553">
        <v>4.3</v>
      </c>
      <c r="AC553">
        <v>50</v>
      </c>
      <c r="AD553">
        <v>176.31</v>
      </c>
      <c r="AE553">
        <f t="shared" si="16"/>
        <v>941.79</v>
      </c>
      <c r="AF553" t="str">
        <f t="shared" si="17"/>
        <v>2025-03</v>
      </c>
      <c r="AG553">
        <f>SUBTOTAL(103,A553)</f>
        <v>1</v>
      </c>
    </row>
    <row r="554" spans="1:33" x14ac:dyDescent="0.3">
      <c r="A554" t="s">
        <v>3165</v>
      </c>
      <c r="B554" s="13">
        <v>45730</v>
      </c>
      <c r="C554">
        <v>2025</v>
      </c>
      <c r="D554">
        <v>3</v>
      </c>
      <c r="E554" t="s">
        <v>3053</v>
      </c>
      <c r="F554" t="s">
        <v>2572</v>
      </c>
      <c r="G554" t="s">
        <v>1459</v>
      </c>
      <c r="H554" t="s">
        <v>1460</v>
      </c>
      <c r="I554" t="s">
        <v>85</v>
      </c>
      <c r="J554">
        <v>59</v>
      </c>
      <c r="K554" t="s">
        <v>83</v>
      </c>
      <c r="L554" t="s">
        <v>2605</v>
      </c>
      <c r="M554" t="s">
        <v>60</v>
      </c>
      <c r="N554" t="s">
        <v>2596</v>
      </c>
      <c r="O554" t="s">
        <v>124</v>
      </c>
      <c r="P554" t="s">
        <v>51</v>
      </c>
      <c r="Q554" t="s">
        <v>147</v>
      </c>
      <c r="R554">
        <v>2</v>
      </c>
      <c r="S554">
        <v>2299</v>
      </c>
      <c r="T554">
        <v>0.1</v>
      </c>
      <c r="U554">
        <v>4138.2</v>
      </c>
      <c r="V554">
        <v>2400</v>
      </c>
      <c r="W554">
        <v>1738.2</v>
      </c>
      <c r="X554" t="s">
        <v>76</v>
      </c>
      <c r="Y554" t="s">
        <v>68</v>
      </c>
      <c r="Z554" t="s">
        <v>161</v>
      </c>
      <c r="AA554" t="s">
        <v>171</v>
      </c>
      <c r="AB554">
        <v>4.4000000000000004</v>
      </c>
      <c r="AC554">
        <v>50</v>
      </c>
      <c r="AD554">
        <v>306.99</v>
      </c>
      <c r="AE554">
        <f t="shared" si="16"/>
        <v>1381.21</v>
      </c>
      <c r="AF554" t="str">
        <f t="shared" si="17"/>
        <v>2025-03</v>
      </c>
      <c r="AG554">
        <f>SUBTOTAL(103,A554)</f>
        <v>1</v>
      </c>
    </row>
    <row r="555" spans="1:33" x14ac:dyDescent="0.3">
      <c r="A555" t="s">
        <v>3166</v>
      </c>
      <c r="B555" s="13">
        <v>45730</v>
      </c>
      <c r="C555">
        <v>2025</v>
      </c>
      <c r="D555">
        <v>3</v>
      </c>
      <c r="E555" t="s">
        <v>3053</v>
      </c>
      <c r="F555" t="s">
        <v>2572</v>
      </c>
      <c r="G555" t="s">
        <v>655</v>
      </c>
      <c r="H555" t="s">
        <v>656</v>
      </c>
      <c r="I555" t="s">
        <v>85</v>
      </c>
      <c r="J555">
        <v>28</v>
      </c>
      <c r="K555" t="s">
        <v>81</v>
      </c>
      <c r="L555" t="s">
        <v>99</v>
      </c>
      <c r="M555" t="s">
        <v>58</v>
      </c>
      <c r="N555" t="s">
        <v>2647</v>
      </c>
      <c r="O555" t="s">
        <v>133</v>
      </c>
      <c r="P555" t="s">
        <v>50</v>
      </c>
      <c r="Q555" t="s">
        <v>145</v>
      </c>
      <c r="R555">
        <v>2</v>
      </c>
      <c r="S555">
        <v>799</v>
      </c>
      <c r="T555">
        <v>0.1</v>
      </c>
      <c r="U555">
        <v>1438.2</v>
      </c>
      <c r="V555">
        <v>780</v>
      </c>
      <c r="W555">
        <v>658.2</v>
      </c>
      <c r="X555" t="s">
        <v>73</v>
      </c>
      <c r="Y555" t="s">
        <v>70</v>
      </c>
      <c r="Z555" t="s">
        <v>158</v>
      </c>
      <c r="AA555" t="s">
        <v>170</v>
      </c>
      <c r="AB555">
        <v>2.9</v>
      </c>
      <c r="AC555">
        <v>80</v>
      </c>
      <c r="AD555">
        <v>110.49</v>
      </c>
      <c r="AE555">
        <f t="shared" si="16"/>
        <v>467.71000000000004</v>
      </c>
      <c r="AF555" t="str">
        <f t="shared" si="17"/>
        <v>2025-03</v>
      </c>
      <c r="AG555">
        <f>SUBTOTAL(103,A555)</f>
        <v>1</v>
      </c>
    </row>
    <row r="556" spans="1:33" x14ac:dyDescent="0.3">
      <c r="A556" t="s">
        <v>3167</v>
      </c>
      <c r="B556" s="13">
        <v>45730</v>
      </c>
      <c r="C556">
        <v>2025</v>
      </c>
      <c r="D556">
        <v>3</v>
      </c>
      <c r="E556" t="s">
        <v>3053</v>
      </c>
      <c r="F556" t="s">
        <v>2572</v>
      </c>
      <c r="G556" t="s">
        <v>1119</v>
      </c>
      <c r="H556" t="s">
        <v>1120</v>
      </c>
      <c r="I556" t="s">
        <v>85</v>
      </c>
      <c r="J556">
        <v>51</v>
      </c>
      <c r="K556" t="s">
        <v>83</v>
      </c>
      <c r="L556" t="s">
        <v>2679</v>
      </c>
      <c r="M556" t="s">
        <v>60</v>
      </c>
      <c r="N556" t="s">
        <v>2577</v>
      </c>
      <c r="O556" t="s">
        <v>129</v>
      </c>
      <c r="P556" t="s">
        <v>49</v>
      </c>
      <c r="Q556" t="s">
        <v>149</v>
      </c>
      <c r="R556">
        <v>2</v>
      </c>
      <c r="S556">
        <v>1299</v>
      </c>
      <c r="T556">
        <v>0.15</v>
      </c>
      <c r="U556">
        <v>2208.3000000000002</v>
      </c>
      <c r="V556">
        <v>1300</v>
      </c>
      <c r="W556">
        <v>908.3</v>
      </c>
      <c r="X556" t="s">
        <v>73</v>
      </c>
      <c r="Y556" t="s">
        <v>68</v>
      </c>
      <c r="Z556" t="s">
        <v>158</v>
      </c>
      <c r="AA556" t="s">
        <v>168</v>
      </c>
      <c r="AB556">
        <v>3.8</v>
      </c>
      <c r="AC556">
        <v>50</v>
      </c>
      <c r="AD556">
        <v>220.66</v>
      </c>
      <c r="AE556">
        <f t="shared" si="16"/>
        <v>637.64</v>
      </c>
      <c r="AF556" t="str">
        <f t="shared" si="17"/>
        <v>2025-03</v>
      </c>
      <c r="AG556">
        <f>SUBTOTAL(103,A556)</f>
        <v>1</v>
      </c>
    </row>
    <row r="557" spans="1:33" x14ac:dyDescent="0.3">
      <c r="A557" t="s">
        <v>3168</v>
      </c>
      <c r="B557" s="13">
        <v>45730</v>
      </c>
      <c r="C557">
        <v>2025</v>
      </c>
      <c r="D557">
        <v>3</v>
      </c>
      <c r="E557" t="s">
        <v>3053</v>
      </c>
      <c r="F557" t="s">
        <v>2572</v>
      </c>
      <c r="G557" t="s">
        <v>635</v>
      </c>
      <c r="H557" t="s">
        <v>636</v>
      </c>
      <c r="I557" t="s">
        <v>86</v>
      </c>
      <c r="J557">
        <v>21</v>
      </c>
      <c r="K557" t="s">
        <v>80</v>
      </c>
      <c r="L557" t="s">
        <v>90</v>
      </c>
      <c r="M557" t="s">
        <v>55</v>
      </c>
      <c r="N557" t="s">
        <v>2596</v>
      </c>
      <c r="O557" t="s">
        <v>124</v>
      </c>
      <c r="P557" t="s">
        <v>51</v>
      </c>
      <c r="Q557" t="s">
        <v>147</v>
      </c>
      <c r="R557">
        <v>3</v>
      </c>
      <c r="S557">
        <v>2299</v>
      </c>
      <c r="T557">
        <v>0</v>
      </c>
      <c r="U557">
        <v>6897</v>
      </c>
      <c r="V557">
        <v>3600</v>
      </c>
      <c r="W557">
        <v>3297</v>
      </c>
      <c r="X557" t="s">
        <v>73</v>
      </c>
      <c r="Y557" t="s">
        <v>68</v>
      </c>
      <c r="Z557" t="s">
        <v>159</v>
      </c>
      <c r="AA557" t="s">
        <v>170</v>
      </c>
      <c r="AB557">
        <v>3.5</v>
      </c>
      <c r="AC557">
        <v>50</v>
      </c>
      <c r="AD557">
        <v>202.74</v>
      </c>
      <c r="AE557">
        <f t="shared" si="16"/>
        <v>3044.26</v>
      </c>
      <c r="AF557" t="str">
        <f t="shared" si="17"/>
        <v>2025-03</v>
      </c>
      <c r="AG557">
        <f>SUBTOTAL(103,A557)</f>
        <v>1</v>
      </c>
    </row>
    <row r="558" spans="1:33" x14ac:dyDescent="0.3">
      <c r="A558" t="s">
        <v>3169</v>
      </c>
      <c r="B558" s="13">
        <v>45730</v>
      </c>
      <c r="C558">
        <v>2025</v>
      </c>
      <c r="D558">
        <v>3</v>
      </c>
      <c r="E558" t="s">
        <v>3053</v>
      </c>
      <c r="F558" t="s">
        <v>2572</v>
      </c>
      <c r="G558" t="s">
        <v>2251</v>
      </c>
      <c r="H558" t="s">
        <v>2252</v>
      </c>
      <c r="I558" t="s">
        <v>86</v>
      </c>
      <c r="J558">
        <v>41</v>
      </c>
      <c r="K558" t="s">
        <v>82</v>
      </c>
      <c r="L558" t="s">
        <v>92</v>
      </c>
      <c r="M558" t="s">
        <v>59</v>
      </c>
      <c r="N558" t="s">
        <v>2577</v>
      </c>
      <c r="O558" t="s">
        <v>129</v>
      </c>
      <c r="P558" t="s">
        <v>49</v>
      </c>
      <c r="Q558" t="s">
        <v>149</v>
      </c>
      <c r="R558">
        <v>4</v>
      </c>
      <c r="S558">
        <v>1299</v>
      </c>
      <c r="T558">
        <v>0</v>
      </c>
      <c r="U558">
        <v>5196</v>
      </c>
      <c r="V558">
        <v>2600</v>
      </c>
      <c r="W558">
        <v>2596</v>
      </c>
      <c r="X558" t="s">
        <v>73</v>
      </c>
      <c r="Y558" t="s">
        <v>68</v>
      </c>
      <c r="Z558" t="s">
        <v>161</v>
      </c>
      <c r="AA558" t="s">
        <v>171</v>
      </c>
      <c r="AB558">
        <v>4.2</v>
      </c>
      <c r="AC558">
        <v>40</v>
      </c>
      <c r="AD558">
        <v>137.03</v>
      </c>
      <c r="AE558">
        <f t="shared" si="16"/>
        <v>2418.9699999999998</v>
      </c>
      <c r="AF558" t="str">
        <f t="shared" si="17"/>
        <v>2025-03</v>
      </c>
      <c r="AG558">
        <f>SUBTOTAL(103,A558)</f>
        <v>1</v>
      </c>
    </row>
    <row r="559" spans="1:33" x14ac:dyDescent="0.3">
      <c r="A559" t="s">
        <v>3170</v>
      </c>
      <c r="B559" s="13">
        <v>45731</v>
      </c>
      <c r="C559">
        <v>2025</v>
      </c>
      <c r="D559">
        <v>3</v>
      </c>
      <c r="E559" t="s">
        <v>3053</v>
      </c>
      <c r="F559" t="s">
        <v>2572</v>
      </c>
      <c r="G559" t="s">
        <v>1939</v>
      </c>
      <c r="H559" t="s">
        <v>1940</v>
      </c>
      <c r="I559" t="s">
        <v>85</v>
      </c>
      <c r="J559">
        <v>22</v>
      </c>
      <c r="K559" t="s">
        <v>80</v>
      </c>
      <c r="L559" t="s">
        <v>2599</v>
      </c>
      <c r="M559" t="s">
        <v>62</v>
      </c>
      <c r="N559" t="s">
        <v>2594</v>
      </c>
      <c r="O559" t="s">
        <v>131</v>
      </c>
      <c r="P559" t="s">
        <v>53</v>
      </c>
      <c r="Q559" t="s">
        <v>143</v>
      </c>
      <c r="R559">
        <v>2</v>
      </c>
      <c r="S559">
        <v>999</v>
      </c>
      <c r="T559">
        <v>0</v>
      </c>
      <c r="U559">
        <v>1998</v>
      </c>
      <c r="V559">
        <v>1040</v>
      </c>
      <c r="W559">
        <v>958</v>
      </c>
      <c r="X559" t="s">
        <v>73</v>
      </c>
      <c r="Y559" t="s">
        <v>68</v>
      </c>
      <c r="Z559" t="s">
        <v>158</v>
      </c>
      <c r="AA559" t="s">
        <v>167</v>
      </c>
      <c r="AB559">
        <v>3.2</v>
      </c>
      <c r="AC559">
        <v>80</v>
      </c>
      <c r="AD559">
        <v>231.54</v>
      </c>
      <c r="AE559">
        <f t="shared" si="16"/>
        <v>646.46</v>
      </c>
      <c r="AF559" t="str">
        <f t="shared" si="17"/>
        <v>2025-03</v>
      </c>
      <c r="AG559">
        <f>SUBTOTAL(103,A559)</f>
        <v>1</v>
      </c>
    </row>
    <row r="560" spans="1:33" x14ac:dyDescent="0.3">
      <c r="A560" t="s">
        <v>3171</v>
      </c>
      <c r="B560" s="13">
        <v>45731</v>
      </c>
      <c r="C560">
        <v>2025</v>
      </c>
      <c r="D560">
        <v>3</v>
      </c>
      <c r="E560" t="s">
        <v>3053</v>
      </c>
      <c r="F560" t="s">
        <v>2572</v>
      </c>
      <c r="G560" t="s">
        <v>1715</v>
      </c>
      <c r="H560" t="s">
        <v>1716</v>
      </c>
      <c r="I560" t="s">
        <v>85</v>
      </c>
      <c r="J560">
        <v>57</v>
      </c>
      <c r="K560" t="s">
        <v>83</v>
      </c>
      <c r="L560" t="s">
        <v>2616</v>
      </c>
      <c r="M560" t="s">
        <v>62</v>
      </c>
      <c r="N560" t="s">
        <v>2606</v>
      </c>
      <c r="O560" t="s">
        <v>120</v>
      </c>
      <c r="P560" t="s">
        <v>49</v>
      </c>
      <c r="Q560" t="s">
        <v>140</v>
      </c>
      <c r="R560">
        <v>2</v>
      </c>
      <c r="S560">
        <v>2799</v>
      </c>
      <c r="T560">
        <v>0.1</v>
      </c>
      <c r="U560">
        <v>5038.2</v>
      </c>
      <c r="V560">
        <v>3300</v>
      </c>
      <c r="W560">
        <v>1738.2</v>
      </c>
      <c r="X560" t="s">
        <v>75</v>
      </c>
      <c r="Y560" t="s">
        <v>68</v>
      </c>
      <c r="Z560" t="s">
        <v>163</v>
      </c>
      <c r="AA560" t="s">
        <v>168</v>
      </c>
      <c r="AB560">
        <v>5</v>
      </c>
      <c r="AC560">
        <v>40</v>
      </c>
      <c r="AD560">
        <v>457.95</v>
      </c>
      <c r="AE560">
        <f t="shared" si="16"/>
        <v>1240.25</v>
      </c>
      <c r="AF560" t="str">
        <f t="shared" si="17"/>
        <v>2025-03</v>
      </c>
      <c r="AG560">
        <f>SUBTOTAL(103,A560)</f>
        <v>1</v>
      </c>
    </row>
    <row r="561" spans="1:33" x14ac:dyDescent="0.3">
      <c r="A561" t="s">
        <v>3172</v>
      </c>
      <c r="B561" s="13">
        <v>45731</v>
      </c>
      <c r="C561">
        <v>2025</v>
      </c>
      <c r="D561">
        <v>3</v>
      </c>
      <c r="E561" t="s">
        <v>3053</v>
      </c>
      <c r="F561" t="s">
        <v>2572</v>
      </c>
      <c r="G561" t="s">
        <v>267</v>
      </c>
      <c r="H561" t="s">
        <v>268</v>
      </c>
      <c r="I561" t="s">
        <v>86</v>
      </c>
      <c r="J561">
        <v>39</v>
      </c>
      <c r="K561" t="s">
        <v>82</v>
      </c>
      <c r="L561" t="s">
        <v>92</v>
      </c>
      <c r="M561" t="s">
        <v>59</v>
      </c>
      <c r="N561" t="s">
        <v>2580</v>
      </c>
      <c r="O561" t="s">
        <v>118</v>
      </c>
      <c r="P561" t="s">
        <v>48</v>
      </c>
      <c r="Q561" t="s">
        <v>142</v>
      </c>
      <c r="R561">
        <v>1</v>
      </c>
      <c r="S561">
        <v>3999</v>
      </c>
      <c r="T561">
        <v>0</v>
      </c>
      <c r="U561">
        <v>0</v>
      </c>
      <c r="V561">
        <v>0</v>
      </c>
      <c r="W561">
        <v>0</v>
      </c>
      <c r="X561" t="s">
        <v>77</v>
      </c>
      <c r="Y561" t="s">
        <v>71</v>
      </c>
      <c r="Z561" t="s">
        <v>158</v>
      </c>
      <c r="AA561" t="s">
        <v>170</v>
      </c>
      <c r="AB561">
        <v>5</v>
      </c>
      <c r="AC561">
        <v>60</v>
      </c>
      <c r="AD561">
        <v>180.97</v>
      </c>
      <c r="AE561">
        <f t="shared" si="16"/>
        <v>-240.97</v>
      </c>
      <c r="AF561" t="str">
        <f t="shared" si="17"/>
        <v>2025-03</v>
      </c>
      <c r="AG561">
        <f>SUBTOTAL(103,A561)</f>
        <v>1</v>
      </c>
    </row>
    <row r="562" spans="1:33" x14ac:dyDescent="0.3">
      <c r="A562" t="s">
        <v>3173</v>
      </c>
      <c r="B562" s="13">
        <v>45731</v>
      </c>
      <c r="C562">
        <v>2025</v>
      </c>
      <c r="D562">
        <v>3</v>
      </c>
      <c r="E562" t="s">
        <v>3053</v>
      </c>
      <c r="F562" t="s">
        <v>2572</v>
      </c>
      <c r="G562" t="s">
        <v>841</v>
      </c>
      <c r="H562" t="s">
        <v>842</v>
      </c>
      <c r="I562" t="s">
        <v>86</v>
      </c>
      <c r="J562">
        <v>49</v>
      </c>
      <c r="K562" t="s">
        <v>83</v>
      </c>
      <c r="L562" t="s">
        <v>2661</v>
      </c>
      <c r="M562" t="s">
        <v>58</v>
      </c>
      <c r="N562" t="s">
        <v>2601</v>
      </c>
      <c r="O562" t="s">
        <v>117</v>
      </c>
      <c r="P562" t="s">
        <v>49</v>
      </c>
      <c r="Q562" t="s">
        <v>139</v>
      </c>
      <c r="R562">
        <v>2</v>
      </c>
      <c r="S562">
        <v>6999</v>
      </c>
      <c r="T562">
        <v>0.15</v>
      </c>
      <c r="U562">
        <v>11898.3</v>
      </c>
      <c r="V562">
        <v>8600</v>
      </c>
      <c r="W562">
        <v>3298.3</v>
      </c>
      <c r="X562" t="s">
        <v>75</v>
      </c>
      <c r="Y562" t="s">
        <v>68</v>
      </c>
      <c r="Z562" t="s">
        <v>162</v>
      </c>
      <c r="AA562" t="s">
        <v>166</v>
      </c>
      <c r="AB562">
        <v>4.0999999999999996</v>
      </c>
      <c r="AC562">
        <v>60</v>
      </c>
      <c r="AD562">
        <v>1253.08</v>
      </c>
      <c r="AE562">
        <f t="shared" si="16"/>
        <v>1985.2200000000003</v>
      </c>
      <c r="AF562" t="str">
        <f t="shared" si="17"/>
        <v>2025-03</v>
      </c>
      <c r="AG562">
        <f>SUBTOTAL(103,A562)</f>
        <v>1</v>
      </c>
    </row>
    <row r="563" spans="1:33" x14ac:dyDescent="0.3">
      <c r="A563" t="s">
        <v>3174</v>
      </c>
      <c r="B563" s="13">
        <v>45731</v>
      </c>
      <c r="C563">
        <v>2025</v>
      </c>
      <c r="D563">
        <v>3</v>
      </c>
      <c r="E563" t="s">
        <v>3053</v>
      </c>
      <c r="F563" t="s">
        <v>2572</v>
      </c>
      <c r="G563" t="s">
        <v>1395</v>
      </c>
      <c r="H563" t="s">
        <v>1396</v>
      </c>
      <c r="I563" t="s">
        <v>85</v>
      </c>
      <c r="J563">
        <v>39</v>
      </c>
      <c r="K563" t="s">
        <v>82</v>
      </c>
      <c r="L563" t="s">
        <v>2679</v>
      </c>
      <c r="M563" t="s">
        <v>60</v>
      </c>
      <c r="N563" t="s">
        <v>2584</v>
      </c>
      <c r="O563" t="s">
        <v>121</v>
      </c>
      <c r="P563" t="s">
        <v>50</v>
      </c>
      <c r="Q563" t="s">
        <v>144</v>
      </c>
      <c r="R563">
        <v>2</v>
      </c>
      <c r="S563">
        <v>2999</v>
      </c>
      <c r="T563">
        <v>0.05</v>
      </c>
      <c r="U563">
        <v>5698.1</v>
      </c>
      <c r="V563">
        <v>3400</v>
      </c>
      <c r="W563">
        <v>2298.1</v>
      </c>
      <c r="X563" t="s">
        <v>74</v>
      </c>
      <c r="Y563" t="s">
        <v>68</v>
      </c>
      <c r="Z563" t="s">
        <v>158</v>
      </c>
      <c r="AA563" t="s">
        <v>166</v>
      </c>
      <c r="AB563">
        <v>3.3</v>
      </c>
      <c r="AC563">
        <v>80</v>
      </c>
      <c r="AD563">
        <v>673.73</v>
      </c>
      <c r="AE563">
        <f t="shared" si="16"/>
        <v>1544.37</v>
      </c>
      <c r="AF563" t="str">
        <f t="shared" si="17"/>
        <v>2025-03</v>
      </c>
      <c r="AG563">
        <f>SUBTOTAL(103,A563)</f>
        <v>1</v>
      </c>
    </row>
    <row r="564" spans="1:33" x14ac:dyDescent="0.3">
      <c r="A564" t="s">
        <v>3175</v>
      </c>
      <c r="B564" s="13">
        <v>45731</v>
      </c>
      <c r="C564">
        <v>2025</v>
      </c>
      <c r="D564">
        <v>3</v>
      </c>
      <c r="E564" t="s">
        <v>3053</v>
      </c>
      <c r="F564" t="s">
        <v>2572</v>
      </c>
      <c r="G564" t="s">
        <v>215</v>
      </c>
      <c r="H564" t="s">
        <v>216</v>
      </c>
      <c r="I564" t="s">
        <v>85</v>
      </c>
      <c r="J564">
        <v>33</v>
      </c>
      <c r="K564" t="s">
        <v>81</v>
      </c>
      <c r="L564" t="s">
        <v>2634</v>
      </c>
      <c r="M564" t="s">
        <v>56</v>
      </c>
      <c r="N564" t="s">
        <v>2657</v>
      </c>
      <c r="O564" t="s">
        <v>134</v>
      </c>
      <c r="P564" t="s">
        <v>49</v>
      </c>
      <c r="Q564" t="s">
        <v>140</v>
      </c>
      <c r="R564">
        <v>2</v>
      </c>
      <c r="S564">
        <v>599</v>
      </c>
      <c r="T564">
        <v>0.1</v>
      </c>
      <c r="U564">
        <v>1078.2</v>
      </c>
      <c r="V564">
        <v>500</v>
      </c>
      <c r="W564">
        <v>578.20000000000005</v>
      </c>
      <c r="X564" t="s">
        <v>74</v>
      </c>
      <c r="Y564" t="s">
        <v>68</v>
      </c>
      <c r="Z564" t="s">
        <v>159</v>
      </c>
      <c r="AA564" t="s">
        <v>167</v>
      </c>
      <c r="AB564">
        <v>4.3</v>
      </c>
      <c r="AC564">
        <v>40</v>
      </c>
      <c r="AD564">
        <v>99.21</v>
      </c>
      <c r="AE564">
        <f t="shared" si="16"/>
        <v>438.99000000000007</v>
      </c>
      <c r="AF564" t="str">
        <f t="shared" si="17"/>
        <v>2025-03</v>
      </c>
      <c r="AG564">
        <f>SUBTOTAL(103,A564)</f>
        <v>1</v>
      </c>
    </row>
    <row r="565" spans="1:33" x14ac:dyDescent="0.3">
      <c r="A565" t="s">
        <v>3176</v>
      </c>
      <c r="B565" s="13">
        <v>45731</v>
      </c>
      <c r="C565">
        <v>2025</v>
      </c>
      <c r="D565">
        <v>3</v>
      </c>
      <c r="E565" t="s">
        <v>3053</v>
      </c>
      <c r="F565" t="s">
        <v>2572</v>
      </c>
      <c r="G565" t="s">
        <v>1115</v>
      </c>
      <c r="H565" t="s">
        <v>1116</v>
      </c>
      <c r="I565" t="s">
        <v>85</v>
      </c>
      <c r="J565">
        <v>54</v>
      </c>
      <c r="K565" t="s">
        <v>83</v>
      </c>
      <c r="L565" t="s">
        <v>92</v>
      </c>
      <c r="M565" t="s">
        <v>59</v>
      </c>
      <c r="N565" t="s">
        <v>2601</v>
      </c>
      <c r="O565" t="s">
        <v>117</v>
      </c>
      <c r="P565" t="s">
        <v>49</v>
      </c>
      <c r="Q565" t="s">
        <v>139</v>
      </c>
      <c r="R565">
        <v>2</v>
      </c>
      <c r="S565">
        <v>6999</v>
      </c>
      <c r="T565">
        <v>0.15</v>
      </c>
      <c r="U565">
        <v>11898.3</v>
      </c>
      <c r="V565">
        <v>8600</v>
      </c>
      <c r="W565">
        <v>3298.3</v>
      </c>
      <c r="X565" t="s">
        <v>73</v>
      </c>
      <c r="Y565" t="s">
        <v>68</v>
      </c>
      <c r="Z565" t="s">
        <v>158</v>
      </c>
      <c r="AA565" t="s">
        <v>167</v>
      </c>
      <c r="AB565">
        <v>4.0999999999999996</v>
      </c>
      <c r="AC565">
        <v>100</v>
      </c>
      <c r="AD565">
        <v>1065.67</v>
      </c>
      <c r="AE565">
        <f t="shared" si="16"/>
        <v>2132.63</v>
      </c>
      <c r="AF565" t="str">
        <f t="shared" si="17"/>
        <v>2025-03</v>
      </c>
      <c r="AG565">
        <f>SUBTOTAL(103,A565)</f>
        <v>1</v>
      </c>
    </row>
    <row r="566" spans="1:33" x14ac:dyDescent="0.3">
      <c r="A566" t="s">
        <v>3177</v>
      </c>
      <c r="B566" s="13">
        <v>45731</v>
      </c>
      <c r="C566">
        <v>2025</v>
      </c>
      <c r="D566">
        <v>3</v>
      </c>
      <c r="E566" t="s">
        <v>3053</v>
      </c>
      <c r="F566" t="s">
        <v>2572</v>
      </c>
      <c r="G566" t="s">
        <v>453</v>
      </c>
      <c r="H566" t="s">
        <v>454</v>
      </c>
      <c r="I566" t="s">
        <v>85</v>
      </c>
      <c r="J566">
        <v>35</v>
      </c>
      <c r="K566" t="s">
        <v>81</v>
      </c>
      <c r="L566" t="s">
        <v>59</v>
      </c>
      <c r="M566" t="s">
        <v>59</v>
      </c>
      <c r="N566" t="s">
        <v>2590</v>
      </c>
      <c r="O566" t="s">
        <v>127</v>
      </c>
      <c r="P566" t="s">
        <v>51</v>
      </c>
      <c r="Q566" t="s">
        <v>148</v>
      </c>
      <c r="R566">
        <v>2</v>
      </c>
      <c r="S566">
        <v>1599</v>
      </c>
      <c r="T566">
        <v>0</v>
      </c>
      <c r="U566">
        <v>3198</v>
      </c>
      <c r="V566">
        <v>1600</v>
      </c>
      <c r="W566">
        <v>1598</v>
      </c>
      <c r="X566" t="s">
        <v>73</v>
      </c>
      <c r="Y566" t="s">
        <v>68</v>
      </c>
      <c r="Z566" t="s">
        <v>158</v>
      </c>
      <c r="AA566" t="s">
        <v>171</v>
      </c>
      <c r="AB566">
        <v>3.6</v>
      </c>
      <c r="AC566">
        <v>100</v>
      </c>
      <c r="AD566">
        <v>197.43</v>
      </c>
      <c r="AE566">
        <f t="shared" si="16"/>
        <v>1300.57</v>
      </c>
      <c r="AF566" t="str">
        <f t="shared" si="17"/>
        <v>2025-03</v>
      </c>
      <c r="AG566">
        <f>SUBTOTAL(103,A566)</f>
        <v>1</v>
      </c>
    </row>
    <row r="567" spans="1:33" x14ac:dyDescent="0.3">
      <c r="A567" t="s">
        <v>3178</v>
      </c>
      <c r="B567" s="13">
        <v>45731</v>
      </c>
      <c r="C567">
        <v>2025</v>
      </c>
      <c r="D567">
        <v>3</v>
      </c>
      <c r="E567" t="s">
        <v>3053</v>
      </c>
      <c r="F567" t="s">
        <v>2572</v>
      </c>
      <c r="G567" t="s">
        <v>385</v>
      </c>
      <c r="H567" t="s">
        <v>386</v>
      </c>
      <c r="I567" t="s">
        <v>85</v>
      </c>
      <c r="J567">
        <v>56</v>
      </c>
      <c r="K567" t="s">
        <v>83</v>
      </c>
      <c r="L567" t="s">
        <v>2646</v>
      </c>
      <c r="M567" t="s">
        <v>63</v>
      </c>
      <c r="N567" t="s">
        <v>2587</v>
      </c>
      <c r="O567" t="s">
        <v>116</v>
      </c>
      <c r="P567" t="s">
        <v>48</v>
      </c>
      <c r="Q567" t="s">
        <v>138</v>
      </c>
      <c r="R567">
        <v>4</v>
      </c>
      <c r="S567">
        <v>14999</v>
      </c>
      <c r="T567">
        <v>0.15</v>
      </c>
      <c r="U567">
        <v>50996.6</v>
      </c>
      <c r="V567">
        <v>44800</v>
      </c>
      <c r="W567">
        <v>6196.6</v>
      </c>
      <c r="X567" t="s">
        <v>74</v>
      </c>
      <c r="Y567" t="s">
        <v>68</v>
      </c>
      <c r="Z567" t="s">
        <v>162</v>
      </c>
      <c r="AA567" t="s">
        <v>167</v>
      </c>
      <c r="AB567">
        <v>3.7</v>
      </c>
      <c r="AC567">
        <v>40</v>
      </c>
      <c r="AD567">
        <v>5132.3599999999997</v>
      </c>
      <c r="AE567">
        <f t="shared" si="16"/>
        <v>1024.2400000000007</v>
      </c>
      <c r="AF567" t="str">
        <f t="shared" si="17"/>
        <v>2025-03</v>
      </c>
      <c r="AG567">
        <f>SUBTOTAL(103,A567)</f>
        <v>1</v>
      </c>
    </row>
    <row r="568" spans="1:33" x14ac:dyDescent="0.3">
      <c r="A568" t="s">
        <v>3179</v>
      </c>
      <c r="B568" s="13">
        <v>45731</v>
      </c>
      <c r="C568">
        <v>2025</v>
      </c>
      <c r="D568">
        <v>3</v>
      </c>
      <c r="E568" t="s">
        <v>3053</v>
      </c>
      <c r="F568" t="s">
        <v>2572</v>
      </c>
      <c r="G568" t="s">
        <v>575</v>
      </c>
      <c r="H568" t="s">
        <v>576</v>
      </c>
      <c r="I568" t="s">
        <v>86</v>
      </c>
      <c r="J568">
        <v>40</v>
      </c>
      <c r="K568" t="s">
        <v>82</v>
      </c>
      <c r="L568" t="s">
        <v>100</v>
      </c>
      <c r="M568" t="s">
        <v>56</v>
      </c>
      <c r="N568" t="s">
        <v>2592</v>
      </c>
      <c r="O568" t="s">
        <v>115</v>
      </c>
      <c r="P568" t="s">
        <v>48</v>
      </c>
      <c r="Q568" t="s">
        <v>137</v>
      </c>
      <c r="R568">
        <v>2</v>
      </c>
      <c r="S568">
        <v>12999</v>
      </c>
      <c r="T568">
        <v>0.1</v>
      </c>
      <c r="U568">
        <v>23398.2</v>
      </c>
      <c r="V568">
        <v>18000</v>
      </c>
      <c r="W568">
        <v>5398.2</v>
      </c>
      <c r="X568" t="s">
        <v>73</v>
      </c>
      <c r="Y568" t="s">
        <v>68</v>
      </c>
      <c r="Z568" t="s">
        <v>163</v>
      </c>
      <c r="AA568" t="s">
        <v>170</v>
      </c>
      <c r="AB568">
        <v>4.0999999999999996</v>
      </c>
      <c r="AC568">
        <v>40</v>
      </c>
      <c r="AD568">
        <v>1327.53</v>
      </c>
      <c r="AE568">
        <f t="shared" si="16"/>
        <v>4030.67</v>
      </c>
      <c r="AF568" t="str">
        <f t="shared" si="17"/>
        <v>2025-03</v>
      </c>
      <c r="AG568">
        <f>SUBTOTAL(103,A568)</f>
        <v>1</v>
      </c>
    </row>
    <row r="569" spans="1:33" x14ac:dyDescent="0.3">
      <c r="A569" t="s">
        <v>3180</v>
      </c>
      <c r="B569" s="13">
        <v>45731</v>
      </c>
      <c r="C569">
        <v>2025</v>
      </c>
      <c r="D569">
        <v>3</v>
      </c>
      <c r="E569" t="s">
        <v>3053</v>
      </c>
      <c r="F569" t="s">
        <v>2572</v>
      </c>
      <c r="G569" t="s">
        <v>1319</v>
      </c>
      <c r="H569" t="s">
        <v>1320</v>
      </c>
      <c r="I569" t="s">
        <v>85</v>
      </c>
      <c r="J569">
        <v>42</v>
      </c>
      <c r="K569" t="s">
        <v>82</v>
      </c>
      <c r="L569" t="s">
        <v>2623</v>
      </c>
      <c r="M569" t="s">
        <v>61</v>
      </c>
      <c r="N569" t="s">
        <v>2574</v>
      </c>
      <c r="O569" t="s">
        <v>130</v>
      </c>
      <c r="P569" t="s">
        <v>50</v>
      </c>
      <c r="Q569" t="s">
        <v>53</v>
      </c>
      <c r="R569">
        <v>3</v>
      </c>
      <c r="S569">
        <v>1199</v>
      </c>
      <c r="T569">
        <v>0.1</v>
      </c>
      <c r="U569">
        <v>3237.3</v>
      </c>
      <c r="V569">
        <v>1650</v>
      </c>
      <c r="W569">
        <v>1587.3</v>
      </c>
      <c r="X569" t="s">
        <v>74</v>
      </c>
      <c r="Y569" t="s">
        <v>68</v>
      </c>
      <c r="Z569" t="s">
        <v>161</v>
      </c>
      <c r="AA569" t="s">
        <v>166</v>
      </c>
      <c r="AB569">
        <v>3.6</v>
      </c>
      <c r="AC569">
        <v>50</v>
      </c>
      <c r="AD569">
        <v>301.83999999999997</v>
      </c>
      <c r="AE569">
        <f t="shared" si="16"/>
        <v>1235.46</v>
      </c>
      <c r="AF569" t="str">
        <f t="shared" si="17"/>
        <v>2025-03</v>
      </c>
      <c r="AG569">
        <f>SUBTOTAL(103,A569)</f>
        <v>1</v>
      </c>
    </row>
    <row r="570" spans="1:33" x14ac:dyDescent="0.3">
      <c r="A570" t="s">
        <v>3181</v>
      </c>
      <c r="B570" s="13">
        <v>45731</v>
      </c>
      <c r="C570">
        <v>2025</v>
      </c>
      <c r="D570">
        <v>3</v>
      </c>
      <c r="E570" t="s">
        <v>3053</v>
      </c>
      <c r="F570" t="s">
        <v>2572</v>
      </c>
      <c r="G570" t="s">
        <v>345</v>
      </c>
      <c r="H570" t="s">
        <v>346</v>
      </c>
      <c r="I570" t="s">
        <v>85</v>
      </c>
      <c r="J570">
        <v>34</v>
      </c>
      <c r="K570" t="s">
        <v>81</v>
      </c>
      <c r="L570" t="s">
        <v>96</v>
      </c>
      <c r="M570" t="s">
        <v>55</v>
      </c>
      <c r="N570" t="s">
        <v>2596</v>
      </c>
      <c r="O570" t="s">
        <v>124</v>
      </c>
      <c r="P570" t="s">
        <v>51</v>
      </c>
      <c r="Q570" t="s">
        <v>147</v>
      </c>
      <c r="R570">
        <v>2</v>
      </c>
      <c r="S570">
        <v>2299</v>
      </c>
      <c r="T570">
        <v>0</v>
      </c>
      <c r="U570">
        <v>4598</v>
      </c>
      <c r="V570">
        <v>2400</v>
      </c>
      <c r="W570">
        <v>2198</v>
      </c>
      <c r="X570" t="s">
        <v>74</v>
      </c>
      <c r="Y570" t="s">
        <v>68</v>
      </c>
      <c r="Z570" t="s">
        <v>159</v>
      </c>
      <c r="AA570" t="s">
        <v>166</v>
      </c>
      <c r="AB570">
        <v>3.9</v>
      </c>
      <c r="AC570">
        <v>60</v>
      </c>
      <c r="AD570">
        <v>292.57</v>
      </c>
      <c r="AE570">
        <f t="shared" si="16"/>
        <v>1845.43</v>
      </c>
      <c r="AF570" t="str">
        <f t="shared" si="17"/>
        <v>2025-03</v>
      </c>
      <c r="AG570">
        <f>SUBTOTAL(103,A570)</f>
        <v>1</v>
      </c>
    </row>
    <row r="571" spans="1:33" x14ac:dyDescent="0.3">
      <c r="A571" t="s">
        <v>3182</v>
      </c>
      <c r="B571" s="13">
        <v>45732</v>
      </c>
      <c r="C571">
        <v>2025</v>
      </c>
      <c r="D571">
        <v>3</v>
      </c>
      <c r="E571" t="s">
        <v>3053</v>
      </c>
      <c r="F571" t="s">
        <v>2572</v>
      </c>
      <c r="G571" t="s">
        <v>753</v>
      </c>
      <c r="H571" t="s">
        <v>754</v>
      </c>
      <c r="I571" t="s">
        <v>85</v>
      </c>
      <c r="J571">
        <v>60</v>
      </c>
      <c r="K571" t="s">
        <v>83</v>
      </c>
      <c r="L571" t="s">
        <v>59</v>
      </c>
      <c r="M571" t="s">
        <v>59</v>
      </c>
      <c r="N571" t="s">
        <v>2574</v>
      </c>
      <c r="O571" t="s">
        <v>130</v>
      </c>
      <c r="P571" t="s">
        <v>50</v>
      </c>
      <c r="Q571" t="s">
        <v>53</v>
      </c>
      <c r="R571">
        <v>1</v>
      </c>
      <c r="S571">
        <v>1199</v>
      </c>
      <c r="T571">
        <v>0.1</v>
      </c>
      <c r="U571">
        <v>1079.0999999999999</v>
      </c>
      <c r="V571">
        <v>550</v>
      </c>
      <c r="W571">
        <v>529.1</v>
      </c>
      <c r="X571" t="s">
        <v>75</v>
      </c>
      <c r="Y571" t="s">
        <v>68</v>
      </c>
      <c r="Z571" t="s">
        <v>161</v>
      </c>
      <c r="AA571" t="s">
        <v>168</v>
      </c>
      <c r="AB571">
        <v>4.0999999999999996</v>
      </c>
      <c r="AC571">
        <v>100</v>
      </c>
      <c r="AD571">
        <v>66.83</v>
      </c>
      <c r="AE571">
        <f t="shared" si="16"/>
        <v>362.27000000000004</v>
      </c>
      <c r="AF571" t="str">
        <f t="shared" si="17"/>
        <v>2025-03</v>
      </c>
      <c r="AG571">
        <f>SUBTOTAL(103,A571)</f>
        <v>1</v>
      </c>
    </row>
    <row r="572" spans="1:33" x14ac:dyDescent="0.3">
      <c r="A572" t="s">
        <v>3183</v>
      </c>
      <c r="B572" s="13">
        <v>45732</v>
      </c>
      <c r="C572">
        <v>2025</v>
      </c>
      <c r="D572">
        <v>3</v>
      </c>
      <c r="E572" t="s">
        <v>3053</v>
      </c>
      <c r="F572" t="s">
        <v>2572</v>
      </c>
      <c r="G572" t="s">
        <v>185</v>
      </c>
      <c r="H572" t="s">
        <v>186</v>
      </c>
      <c r="I572" t="s">
        <v>86</v>
      </c>
      <c r="J572">
        <v>19</v>
      </c>
      <c r="K572" t="s">
        <v>80</v>
      </c>
      <c r="L572" t="s">
        <v>96</v>
      </c>
      <c r="M572" t="s">
        <v>55</v>
      </c>
      <c r="N572" t="s">
        <v>2601</v>
      </c>
      <c r="O572" t="s">
        <v>117</v>
      </c>
      <c r="P572" t="s">
        <v>49</v>
      </c>
      <c r="Q572" t="s">
        <v>139</v>
      </c>
      <c r="R572">
        <v>3</v>
      </c>
      <c r="S572">
        <v>6999</v>
      </c>
      <c r="T572">
        <v>0.15</v>
      </c>
      <c r="U572">
        <v>17847.45</v>
      </c>
      <c r="V572">
        <v>12900</v>
      </c>
      <c r="W572">
        <v>4947.45</v>
      </c>
      <c r="X572" t="s">
        <v>75</v>
      </c>
      <c r="Y572" t="s">
        <v>68</v>
      </c>
      <c r="Z572" t="s">
        <v>161</v>
      </c>
      <c r="AA572" t="s">
        <v>168</v>
      </c>
      <c r="AB572">
        <v>4.5999999999999996</v>
      </c>
      <c r="AC572">
        <v>100</v>
      </c>
      <c r="AD572">
        <v>1282.99</v>
      </c>
      <c r="AE572">
        <f t="shared" si="16"/>
        <v>3564.46</v>
      </c>
      <c r="AF572" t="str">
        <f t="shared" si="17"/>
        <v>2025-03</v>
      </c>
      <c r="AG572">
        <f>SUBTOTAL(103,A572)</f>
        <v>1</v>
      </c>
    </row>
    <row r="573" spans="1:33" x14ac:dyDescent="0.3">
      <c r="A573" t="s">
        <v>3184</v>
      </c>
      <c r="B573" s="13">
        <v>45732</v>
      </c>
      <c r="C573">
        <v>2025</v>
      </c>
      <c r="D573">
        <v>3</v>
      </c>
      <c r="E573" t="s">
        <v>3053</v>
      </c>
      <c r="F573" t="s">
        <v>2572</v>
      </c>
      <c r="G573" t="s">
        <v>1023</v>
      </c>
      <c r="H573" t="s">
        <v>1024</v>
      </c>
      <c r="I573" t="s">
        <v>86</v>
      </c>
      <c r="J573">
        <v>54</v>
      </c>
      <c r="K573" t="s">
        <v>83</v>
      </c>
      <c r="L573" t="s">
        <v>98</v>
      </c>
      <c r="M573" t="s">
        <v>55</v>
      </c>
      <c r="N573" t="s">
        <v>2653</v>
      </c>
      <c r="O573" t="s">
        <v>132</v>
      </c>
      <c r="P573" t="s">
        <v>52</v>
      </c>
      <c r="Q573" t="s">
        <v>150</v>
      </c>
      <c r="R573">
        <v>2</v>
      </c>
      <c r="S573">
        <v>899</v>
      </c>
      <c r="T573">
        <v>0.05</v>
      </c>
      <c r="U573">
        <v>1708.1</v>
      </c>
      <c r="V573">
        <v>840</v>
      </c>
      <c r="W573">
        <v>868.1</v>
      </c>
      <c r="X573" t="s">
        <v>74</v>
      </c>
      <c r="Y573" t="s">
        <v>69</v>
      </c>
      <c r="Z573" t="s">
        <v>162</v>
      </c>
      <c r="AA573" t="s">
        <v>169</v>
      </c>
      <c r="AB573">
        <v>3.9</v>
      </c>
      <c r="AC573">
        <v>50</v>
      </c>
      <c r="AD573">
        <v>108.19</v>
      </c>
      <c r="AE573">
        <f t="shared" si="16"/>
        <v>709.91000000000008</v>
      </c>
      <c r="AF573" t="str">
        <f t="shared" si="17"/>
        <v>2025-03</v>
      </c>
      <c r="AG573">
        <f>SUBTOTAL(103,A573)</f>
        <v>1</v>
      </c>
    </row>
    <row r="574" spans="1:33" x14ac:dyDescent="0.3">
      <c r="A574" t="s">
        <v>3185</v>
      </c>
      <c r="B574" s="13">
        <v>45732</v>
      </c>
      <c r="C574">
        <v>2025</v>
      </c>
      <c r="D574">
        <v>3</v>
      </c>
      <c r="E574" t="s">
        <v>3053</v>
      </c>
      <c r="F574" t="s">
        <v>2572</v>
      </c>
      <c r="G574" t="s">
        <v>747</v>
      </c>
      <c r="H574" t="s">
        <v>748</v>
      </c>
      <c r="I574" t="s">
        <v>86</v>
      </c>
      <c r="J574">
        <v>31</v>
      </c>
      <c r="K574" t="s">
        <v>81</v>
      </c>
      <c r="L574" t="s">
        <v>2634</v>
      </c>
      <c r="M574" t="s">
        <v>56</v>
      </c>
      <c r="N574" t="s">
        <v>2644</v>
      </c>
      <c r="O574" t="s">
        <v>126</v>
      </c>
      <c r="P574" t="s">
        <v>50</v>
      </c>
      <c r="Q574" t="s">
        <v>145</v>
      </c>
      <c r="R574">
        <v>2</v>
      </c>
      <c r="S574">
        <v>1799</v>
      </c>
      <c r="T574">
        <v>0.1</v>
      </c>
      <c r="U574">
        <v>3238.2</v>
      </c>
      <c r="V574">
        <v>1900</v>
      </c>
      <c r="W574">
        <v>1338.2</v>
      </c>
      <c r="X574" t="s">
        <v>77</v>
      </c>
      <c r="Y574" t="s">
        <v>68</v>
      </c>
      <c r="Z574" t="s">
        <v>163</v>
      </c>
      <c r="AA574" t="s">
        <v>170</v>
      </c>
      <c r="AB574">
        <v>4.5</v>
      </c>
      <c r="AC574">
        <v>80</v>
      </c>
      <c r="AD574">
        <v>106.62</v>
      </c>
      <c r="AE574">
        <f t="shared" si="16"/>
        <v>1151.58</v>
      </c>
      <c r="AF574" t="str">
        <f t="shared" si="17"/>
        <v>2025-03</v>
      </c>
      <c r="AG574">
        <f>SUBTOTAL(103,A574)</f>
        <v>1</v>
      </c>
    </row>
    <row r="575" spans="1:33" x14ac:dyDescent="0.3">
      <c r="A575" t="s">
        <v>3186</v>
      </c>
      <c r="B575" s="13">
        <v>45732</v>
      </c>
      <c r="C575">
        <v>2025</v>
      </c>
      <c r="D575">
        <v>3</v>
      </c>
      <c r="E575" t="s">
        <v>3053</v>
      </c>
      <c r="F575" t="s">
        <v>2572</v>
      </c>
      <c r="G575" t="s">
        <v>1591</v>
      </c>
      <c r="H575" t="s">
        <v>1592</v>
      </c>
      <c r="I575" t="s">
        <v>85</v>
      </c>
      <c r="J575">
        <v>20</v>
      </c>
      <c r="K575" t="s">
        <v>80</v>
      </c>
      <c r="L575" t="s">
        <v>92</v>
      </c>
      <c r="M575" t="s">
        <v>59</v>
      </c>
      <c r="N575" t="s">
        <v>2582</v>
      </c>
      <c r="O575" t="s">
        <v>119</v>
      </c>
      <c r="P575" t="s">
        <v>49</v>
      </c>
      <c r="Q575" t="s">
        <v>140</v>
      </c>
      <c r="R575">
        <v>1</v>
      </c>
      <c r="S575">
        <v>3499</v>
      </c>
      <c r="T575">
        <v>0.1</v>
      </c>
      <c r="U575">
        <v>3149.1</v>
      </c>
      <c r="V575">
        <v>2100</v>
      </c>
      <c r="W575">
        <v>1049.0999999999999</v>
      </c>
      <c r="X575" t="s">
        <v>73</v>
      </c>
      <c r="Y575" t="s">
        <v>68</v>
      </c>
      <c r="Z575" t="s">
        <v>161</v>
      </c>
      <c r="AA575" t="s">
        <v>170</v>
      </c>
      <c r="AB575">
        <v>3.6</v>
      </c>
      <c r="AC575">
        <v>60</v>
      </c>
      <c r="AD575">
        <v>277.36</v>
      </c>
      <c r="AE575">
        <f t="shared" si="16"/>
        <v>711.7399999999999</v>
      </c>
      <c r="AF575" t="str">
        <f t="shared" si="17"/>
        <v>2025-03</v>
      </c>
      <c r="AG575">
        <f>SUBTOTAL(103,A575)</f>
        <v>1</v>
      </c>
    </row>
    <row r="576" spans="1:33" x14ac:dyDescent="0.3">
      <c r="A576" t="s">
        <v>3187</v>
      </c>
      <c r="B576" s="13">
        <v>45732</v>
      </c>
      <c r="C576">
        <v>2025</v>
      </c>
      <c r="D576">
        <v>3</v>
      </c>
      <c r="E576" t="s">
        <v>3053</v>
      </c>
      <c r="F576" t="s">
        <v>2572</v>
      </c>
      <c r="G576" t="s">
        <v>999</v>
      </c>
      <c r="H576" t="s">
        <v>1000</v>
      </c>
      <c r="I576" t="s">
        <v>86</v>
      </c>
      <c r="J576">
        <v>25</v>
      </c>
      <c r="K576" t="s">
        <v>80</v>
      </c>
      <c r="L576" t="s">
        <v>59</v>
      </c>
      <c r="M576" t="s">
        <v>59</v>
      </c>
      <c r="N576" t="s">
        <v>2582</v>
      </c>
      <c r="O576" t="s">
        <v>119</v>
      </c>
      <c r="P576" t="s">
        <v>49</v>
      </c>
      <c r="Q576" t="s">
        <v>140</v>
      </c>
      <c r="R576">
        <v>4</v>
      </c>
      <c r="S576">
        <v>3499</v>
      </c>
      <c r="T576">
        <v>0.1</v>
      </c>
      <c r="U576">
        <v>12596.4</v>
      </c>
      <c r="V576">
        <v>8400</v>
      </c>
      <c r="W576">
        <v>4196.3999999999996</v>
      </c>
      <c r="X576" t="s">
        <v>76</v>
      </c>
      <c r="Y576" t="s">
        <v>68</v>
      </c>
      <c r="Z576" t="s">
        <v>158</v>
      </c>
      <c r="AA576" t="s">
        <v>166</v>
      </c>
      <c r="AB576">
        <v>4.4000000000000004</v>
      </c>
      <c r="AC576">
        <v>80</v>
      </c>
      <c r="AD576">
        <v>1305.71</v>
      </c>
      <c r="AE576">
        <f t="shared" si="16"/>
        <v>2810.6899999999996</v>
      </c>
      <c r="AF576" t="str">
        <f t="shared" si="17"/>
        <v>2025-03</v>
      </c>
      <c r="AG576">
        <f>SUBTOTAL(103,A576)</f>
        <v>1</v>
      </c>
    </row>
    <row r="577" spans="1:33" x14ac:dyDescent="0.3">
      <c r="A577" t="s">
        <v>3188</v>
      </c>
      <c r="B577" s="13">
        <v>45732</v>
      </c>
      <c r="C577">
        <v>2025</v>
      </c>
      <c r="D577">
        <v>3</v>
      </c>
      <c r="E577" t="s">
        <v>3053</v>
      </c>
      <c r="F577" t="s">
        <v>2572</v>
      </c>
      <c r="G577" t="s">
        <v>563</v>
      </c>
      <c r="H577" t="s">
        <v>564</v>
      </c>
      <c r="I577" t="s">
        <v>85</v>
      </c>
      <c r="J577">
        <v>22</v>
      </c>
      <c r="K577" t="s">
        <v>80</v>
      </c>
      <c r="L577" t="s">
        <v>2576</v>
      </c>
      <c r="M577" t="s">
        <v>60</v>
      </c>
      <c r="N577" t="s">
        <v>2630</v>
      </c>
      <c r="O577" t="s">
        <v>123</v>
      </c>
      <c r="P577" t="s">
        <v>52</v>
      </c>
      <c r="Q577" t="s">
        <v>146</v>
      </c>
      <c r="R577">
        <v>2</v>
      </c>
      <c r="S577">
        <v>2499</v>
      </c>
      <c r="T577">
        <v>0</v>
      </c>
      <c r="U577">
        <v>4998</v>
      </c>
      <c r="V577">
        <v>2800</v>
      </c>
      <c r="W577">
        <v>2198</v>
      </c>
      <c r="X577" t="s">
        <v>73</v>
      </c>
      <c r="Y577" t="s">
        <v>68</v>
      </c>
      <c r="Z577" t="s">
        <v>158</v>
      </c>
      <c r="AA577" t="s">
        <v>170</v>
      </c>
      <c r="AB577">
        <v>4.4000000000000004</v>
      </c>
      <c r="AC577">
        <v>60</v>
      </c>
      <c r="AD577">
        <v>226.53</v>
      </c>
      <c r="AE577">
        <f t="shared" si="16"/>
        <v>1911.47</v>
      </c>
      <c r="AF577" t="str">
        <f t="shared" si="17"/>
        <v>2025-03</v>
      </c>
      <c r="AG577">
        <f>SUBTOTAL(103,A577)</f>
        <v>1</v>
      </c>
    </row>
    <row r="578" spans="1:33" x14ac:dyDescent="0.3">
      <c r="A578" t="s">
        <v>3189</v>
      </c>
      <c r="B578" s="13">
        <v>45732</v>
      </c>
      <c r="C578">
        <v>2025</v>
      </c>
      <c r="D578">
        <v>3</v>
      </c>
      <c r="E578" t="s">
        <v>3053</v>
      </c>
      <c r="F578" t="s">
        <v>2572</v>
      </c>
      <c r="G578" t="s">
        <v>747</v>
      </c>
      <c r="H578" t="s">
        <v>748</v>
      </c>
      <c r="I578" t="s">
        <v>86</v>
      </c>
      <c r="J578">
        <v>31</v>
      </c>
      <c r="K578" t="s">
        <v>81</v>
      </c>
      <c r="L578" t="s">
        <v>2634</v>
      </c>
      <c r="M578" t="s">
        <v>56</v>
      </c>
      <c r="N578" t="s">
        <v>2665</v>
      </c>
      <c r="O578" t="s">
        <v>128</v>
      </c>
      <c r="P578" t="s">
        <v>53</v>
      </c>
      <c r="Q578" t="s">
        <v>143</v>
      </c>
      <c r="R578">
        <v>4</v>
      </c>
      <c r="S578">
        <v>1499</v>
      </c>
      <c r="T578">
        <v>0.15</v>
      </c>
      <c r="U578">
        <v>5096.6000000000004</v>
      </c>
      <c r="V578">
        <v>3200</v>
      </c>
      <c r="W578">
        <v>1896.6</v>
      </c>
      <c r="X578" t="s">
        <v>73</v>
      </c>
      <c r="Y578" t="s">
        <v>68</v>
      </c>
      <c r="Z578" t="s">
        <v>161</v>
      </c>
      <c r="AA578" t="s">
        <v>166</v>
      </c>
      <c r="AB578">
        <v>4.9000000000000004</v>
      </c>
      <c r="AC578">
        <v>80</v>
      </c>
      <c r="AD578">
        <v>220.79</v>
      </c>
      <c r="AE578">
        <f t="shared" ref="AE578:AE641" si="18">W578-AC578-AD578</f>
        <v>1595.81</v>
      </c>
      <c r="AF578" t="str">
        <f t="shared" ref="AF578:AF641" si="19">C578&amp;"-"&amp;TEXT(D578,"00")</f>
        <v>2025-03</v>
      </c>
      <c r="AG578">
        <f>SUBTOTAL(103,A578)</f>
        <v>1</v>
      </c>
    </row>
    <row r="579" spans="1:33" x14ac:dyDescent="0.3">
      <c r="A579" t="s">
        <v>3190</v>
      </c>
      <c r="B579" s="13">
        <v>45732</v>
      </c>
      <c r="C579">
        <v>2025</v>
      </c>
      <c r="D579">
        <v>3</v>
      </c>
      <c r="E579" t="s">
        <v>3053</v>
      </c>
      <c r="F579" t="s">
        <v>2572</v>
      </c>
      <c r="G579" t="s">
        <v>1195</v>
      </c>
      <c r="H579" t="s">
        <v>1196</v>
      </c>
      <c r="I579" t="s">
        <v>85</v>
      </c>
      <c r="J579">
        <v>36</v>
      </c>
      <c r="K579" t="s">
        <v>82</v>
      </c>
      <c r="L579" t="s">
        <v>2679</v>
      </c>
      <c r="M579" t="s">
        <v>60</v>
      </c>
      <c r="N579" t="s">
        <v>2603</v>
      </c>
      <c r="O579" t="s">
        <v>122</v>
      </c>
      <c r="P579" t="s">
        <v>48</v>
      </c>
      <c r="Q579" t="s">
        <v>141</v>
      </c>
      <c r="R579">
        <v>3</v>
      </c>
      <c r="S579">
        <v>2499</v>
      </c>
      <c r="T579">
        <v>0.15</v>
      </c>
      <c r="U579">
        <v>6372.45</v>
      </c>
      <c r="V579">
        <v>4350</v>
      </c>
      <c r="W579">
        <v>2022.45</v>
      </c>
      <c r="X579" t="s">
        <v>75</v>
      </c>
      <c r="Y579" t="s">
        <v>68</v>
      </c>
      <c r="Z579" t="s">
        <v>160</v>
      </c>
      <c r="AA579" t="s">
        <v>166</v>
      </c>
      <c r="AB579">
        <v>3.7</v>
      </c>
      <c r="AC579">
        <v>100</v>
      </c>
      <c r="AD579">
        <v>325.56</v>
      </c>
      <c r="AE579">
        <f t="shared" si="18"/>
        <v>1596.89</v>
      </c>
      <c r="AF579" t="str">
        <f t="shared" si="19"/>
        <v>2025-03</v>
      </c>
      <c r="AG579">
        <f>SUBTOTAL(103,A579)</f>
        <v>1</v>
      </c>
    </row>
    <row r="580" spans="1:33" x14ac:dyDescent="0.3">
      <c r="A580" t="s">
        <v>3191</v>
      </c>
      <c r="B580" s="13">
        <v>45732</v>
      </c>
      <c r="C580">
        <v>2025</v>
      </c>
      <c r="D580">
        <v>3</v>
      </c>
      <c r="E580" t="s">
        <v>3053</v>
      </c>
      <c r="F580" t="s">
        <v>2572</v>
      </c>
      <c r="G580" t="s">
        <v>1195</v>
      </c>
      <c r="H580" t="s">
        <v>1196</v>
      </c>
      <c r="I580" t="s">
        <v>85</v>
      </c>
      <c r="J580">
        <v>36</v>
      </c>
      <c r="K580" t="s">
        <v>82</v>
      </c>
      <c r="L580" t="s">
        <v>2679</v>
      </c>
      <c r="M580" t="s">
        <v>60</v>
      </c>
      <c r="N580" t="s">
        <v>2590</v>
      </c>
      <c r="O580" t="s">
        <v>127</v>
      </c>
      <c r="P580" t="s">
        <v>51</v>
      </c>
      <c r="Q580" t="s">
        <v>148</v>
      </c>
      <c r="R580">
        <v>3</v>
      </c>
      <c r="S580">
        <v>1599</v>
      </c>
      <c r="T580">
        <v>0.1</v>
      </c>
      <c r="U580">
        <v>4317.3</v>
      </c>
      <c r="V580">
        <v>2400</v>
      </c>
      <c r="W580">
        <v>1917.3</v>
      </c>
      <c r="X580" t="s">
        <v>77</v>
      </c>
      <c r="Y580" t="s">
        <v>68</v>
      </c>
      <c r="Z580" t="s">
        <v>160</v>
      </c>
      <c r="AA580" t="s">
        <v>170</v>
      </c>
      <c r="AB580">
        <v>3.1</v>
      </c>
      <c r="AC580">
        <v>120</v>
      </c>
      <c r="AD580">
        <v>404.08</v>
      </c>
      <c r="AE580">
        <f t="shared" si="18"/>
        <v>1393.22</v>
      </c>
      <c r="AF580" t="str">
        <f t="shared" si="19"/>
        <v>2025-03</v>
      </c>
      <c r="AG580">
        <f>SUBTOTAL(103,A580)</f>
        <v>1</v>
      </c>
    </row>
    <row r="581" spans="1:33" x14ac:dyDescent="0.3">
      <c r="A581" t="s">
        <v>3192</v>
      </c>
      <c r="B581" s="13">
        <v>45733</v>
      </c>
      <c r="C581">
        <v>2025</v>
      </c>
      <c r="D581">
        <v>3</v>
      </c>
      <c r="E581" t="s">
        <v>3053</v>
      </c>
      <c r="F581" t="s">
        <v>2572</v>
      </c>
      <c r="G581" t="s">
        <v>1053</v>
      </c>
      <c r="H581" t="s">
        <v>1054</v>
      </c>
      <c r="I581" t="s">
        <v>86</v>
      </c>
      <c r="J581">
        <v>22</v>
      </c>
      <c r="K581" t="s">
        <v>80</v>
      </c>
      <c r="L581" t="s">
        <v>2589</v>
      </c>
      <c r="M581" t="s">
        <v>61</v>
      </c>
      <c r="N581" t="s">
        <v>2630</v>
      </c>
      <c r="O581" t="s">
        <v>123</v>
      </c>
      <c r="P581" t="s">
        <v>52</v>
      </c>
      <c r="Q581" t="s">
        <v>146</v>
      </c>
      <c r="R581">
        <v>4</v>
      </c>
      <c r="S581">
        <v>2499</v>
      </c>
      <c r="T581">
        <v>0.1</v>
      </c>
      <c r="U581">
        <v>8996.4</v>
      </c>
      <c r="V581">
        <v>5600</v>
      </c>
      <c r="W581">
        <v>3396.4</v>
      </c>
      <c r="X581" t="s">
        <v>73</v>
      </c>
      <c r="Y581" t="s">
        <v>68</v>
      </c>
      <c r="Z581" t="s">
        <v>161</v>
      </c>
      <c r="AA581" t="s">
        <v>167</v>
      </c>
      <c r="AB581">
        <v>3.5</v>
      </c>
      <c r="AC581">
        <v>50</v>
      </c>
      <c r="AD581">
        <v>764.27</v>
      </c>
      <c r="AE581">
        <f t="shared" si="18"/>
        <v>2582.13</v>
      </c>
      <c r="AF581" t="str">
        <f t="shared" si="19"/>
        <v>2025-03</v>
      </c>
      <c r="AG581">
        <f>SUBTOTAL(103,A581)</f>
        <v>1</v>
      </c>
    </row>
    <row r="582" spans="1:33" x14ac:dyDescent="0.3">
      <c r="A582" t="s">
        <v>3193</v>
      </c>
      <c r="B582" s="13">
        <v>45733</v>
      </c>
      <c r="C582">
        <v>2025</v>
      </c>
      <c r="D582">
        <v>3</v>
      </c>
      <c r="E582" t="s">
        <v>3053</v>
      </c>
      <c r="F582" t="s">
        <v>2572</v>
      </c>
      <c r="G582" t="s">
        <v>1121</v>
      </c>
      <c r="H582" t="s">
        <v>1122</v>
      </c>
      <c r="I582" t="s">
        <v>85</v>
      </c>
      <c r="J582">
        <v>38</v>
      </c>
      <c r="K582" t="s">
        <v>82</v>
      </c>
      <c r="L582" t="s">
        <v>100</v>
      </c>
      <c r="M582" t="s">
        <v>56</v>
      </c>
      <c r="N582" t="s">
        <v>2582</v>
      </c>
      <c r="O582" t="s">
        <v>119</v>
      </c>
      <c r="P582" t="s">
        <v>49</v>
      </c>
      <c r="Q582" t="s">
        <v>140</v>
      </c>
      <c r="R582">
        <v>1</v>
      </c>
      <c r="S582">
        <v>3499</v>
      </c>
      <c r="T582">
        <v>0.05</v>
      </c>
      <c r="U582">
        <v>3324.05</v>
      </c>
      <c r="V582">
        <v>2100</v>
      </c>
      <c r="W582">
        <v>1224.05</v>
      </c>
      <c r="X582" t="s">
        <v>73</v>
      </c>
      <c r="Y582" t="s">
        <v>69</v>
      </c>
      <c r="Z582" t="s">
        <v>158</v>
      </c>
      <c r="AA582" t="s">
        <v>171</v>
      </c>
      <c r="AB582">
        <v>5</v>
      </c>
      <c r="AC582">
        <v>60</v>
      </c>
      <c r="AD582">
        <v>376.08</v>
      </c>
      <c r="AE582">
        <f t="shared" si="18"/>
        <v>787.97</v>
      </c>
      <c r="AF582" t="str">
        <f t="shared" si="19"/>
        <v>2025-03</v>
      </c>
      <c r="AG582">
        <f>SUBTOTAL(103,A582)</f>
        <v>1</v>
      </c>
    </row>
    <row r="583" spans="1:33" x14ac:dyDescent="0.3">
      <c r="A583" t="s">
        <v>3194</v>
      </c>
      <c r="B583" s="13">
        <v>45733</v>
      </c>
      <c r="C583">
        <v>2025</v>
      </c>
      <c r="D583">
        <v>3</v>
      </c>
      <c r="E583" t="s">
        <v>3053</v>
      </c>
      <c r="F583" t="s">
        <v>2572</v>
      </c>
      <c r="G583" t="s">
        <v>329</v>
      </c>
      <c r="H583" t="s">
        <v>330</v>
      </c>
      <c r="I583" t="s">
        <v>86</v>
      </c>
      <c r="J583">
        <v>18</v>
      </c>
      <c r="K583" t="s">
        <v>80</v>
      </c>
      <c r="L583" t="s">
        <v>90</v>
      </c>
      <c r="M583" t="s">
        <v>55</v>
      </c>
      <c r="N583" t="s">
        <v>2594</v>
      </c>
      <c r="O583" t="s">
        <v>131</v>
      </c>
      <c r="P583" t="s">
        <v>53</v>
      </c>
      <c r="Q583" t="s">
        <v>143</v>
      </c>
      <c r="R583">
        <v>2</v>
      </c>
      <c r="S583">
        <v>999</v>
      </c>
      <c r="T583">
        <v>0.05</v>
      </c>
      <c r="U583">
        <v>1898.1</v>
      </c>
      <c r="V583">
        <v>1040</v>
      </c>
      <c r="W583">
        <v>858.1</v>
      </c>
      <c r="X583" t="s">
        <v>75</v>
      </c>
      <c r="Y583" t="s">
        <v>68</v>
      </c>
      <c r="Z583" t="s">
        <v>162</v>
      </c>
      <c r="AA583" t="s">
        <v>168</v>
      </c>
      <c r="AB583">
        <v>4.7</v>
      </c>
      <c r="AC583">
        <v>50</v>
      </c>
      <c r="AD583">
        <v>66.19</v>
      </c>
      <c r="AE583">
        <f t="shared" si="18"/>
        <v>741.91000000000008</v>
      </c>
      <c r="AF583" t="str">
        <f t="shared" si="19"/>
        <v>2025-03</v>
      </c>
      <c r="AG583">
        <f>SUBTOTAL(103,A583)</f>
        <v>1</v>
      </c>
    </row>
    <row r="584" spans="1:33" x14ac:dyDescent="0.3">
      <c r="A584" t="s">
        <v>3195</v>
      </c>
      <c r="B584" s="13">
        <v>45733</v>
      </c>
      <c r="C584">
        <v>2025</v>
      </c>
      <c r="D584">
        <v>3</v>
      </c>
      <c r="E584" t="s">
        <v>3053</v>
      </c>
      <c r="F584" t="s">
        <v>2572</v>
      </c>
      <c r="G584" t="s">
        <v>501</v>
      </c>
      <c r="H584" t="s">
        <v>502</v>
      </c>
      <c r="I584" t="s">
        <v>86</v>
      </c>
      <c r="J584">
        <v>43</v>
      </c>
      <c r="K584" t="s">
        <v>82</v>
      </c>
      <c r="L584" t="s">
        <v>2573</v>
      </c>
      <c r="M584" t="s">
        <v>63</v>
      </c>
      <c r="N584" t="s">
        <v>2603</v>
      </c>
      <c r="O584" t="s">
        <v>122</v>
      </c>
      <c r="P584" t="s">
        <v>48</v>
      </c>
      <c r="Q584" t="s">
        <v>141</v>
      </c>
      <c r="R584">
        <v>2</v>
      </c>
      <c r="S584">
        <v>2499</v>
      </c>
      <c r="T584">
        <v>0.05</v>
      </c>
      <c r="U584">
        <v>4748.1000000000004</v>
      </c>
      <c r="V584">
        <v>2900</v>
      </c>
      <c r="W584">
        <v>1848.1</v>
      </c>
      <c r="X584" t="s">
        <v>77</v>
      </c>
      <c r="Y584" t="s">
        <v>68</v>
      </c>
      <c r="Z584" t="s">
        <v>158</v>
      </c>
      <c r="AA584" t="s">
        <v>166</v>
      </c>
      <c r="AB584">
        <v>3.2</v>
      </c>
      <c r="AC584">
        <v>60</v>
      </c>
      <c r="AD584">
        <v>556.28</v>
      </c>
      <c r="AE584">
        <f t="shared" si="18"/>
        <v>1231.82</v>
      </c>
      <c r="AF584" t="str">
        <f t="shared" si="19"/>
        <v>2025-03</v>
      </c>
      <c r="AG584">
        <f>SUBTOTAL(103,A584)</f>
        <v>1</v>
      </c>
    </row>
    <row r="585" spans="1:33" x14ac:dyDescent="0.3">
      <c r="A585" t="s">
        <v>3196</v>
      </c>
      <c r="B585" s="13">
        <v>45733</v>
      </c>
      <c r="C585">
        <v>2025</v>
      </c>
      <c r="D585">
        <v>3</v>
      </c>
      <c r="E585" t="s">
        <v>3053</v>
      </c>
      <c r="F585" t="s">
        <v>2572</v>
      </c>
      <c r="G585" t="s">
        <v>1551</v>
      </c>
      <c r="H585" t="s">
        <v>1552</v>
      </c>
      <c r="I585" t="s">
        <v>86</v>
      </c>
      <c r="J585">
        <v>55</v>
      </c>
      <c r="K585" t="s">
        <v>83</v>
      </c>
      <c r="L585" t="s">
        <v>93</v>
      </c>
      <c r="M585" t="s">
        <v>55</v>
      </c>
      <c r="N585" t="s">
        <v>2574</v>
      </c>
      <c r="O585" t="s">
        <v>130</v>
      </c>
      <c r="P585" t="s">
        <v>50</v>
      </c>
      <c r="Q585" t="s">
        <v>53</v>
      </c>
      <c r="R585">
        <v>1</v>
      </c>
      <c r="S585">
        <v>1199</v>
      </c>
      <c r="T585">
        <v>0.15</v>
      </c>
      <c r="U585">
        <v>0</v>
      </c>
      <c r="V585">
        <v>0</v>
      </c>
      <c r="W585">
        <v>0</v>
      </c>
      <c r="X585" t="s">
        <v>75</v>
      </c>
      <c r="Y585" t="s">
        <v>71</v>
      </c>
      <c r="Z585" t="s">
        <v>161</v>
      </c>
      <c r="AA585" t="s">
        <v>170</v>
      </c>
      <c r="AB585">
        <v>4.7</v>
      </c>
      <c r="AC585">
        <v>50</v>
      </c>
      <c r="AD585">
        <v>85.97</v>
      </c>
      <c r="AE585">
        <f t="shared" si="18"/>
        <v>-135.97</v>
      </c>
      <c r="AF585" t="str">
        <f t="shared" si="19"/>
        <v>2025-03</v>
      </c>
      <c r="AG585">
        <f>SUBTOTAL(103,A585)</f>
        <v>1</v>
      </c>
    </row>
    <row r="586" spans="1:33" x14ac:dyDescent="0.3">
      <c r="A586" t="s">
        <v>3197</v>
      </c>
      <c r="B586" s="13">
        <v>45733</v>
      </c>
      <c r="C586">
        <v>2025</v>
      </c>
      <c r="D586">
        <v>3</v>
      </c>
      <c r="E586" t="s">
        <v>3053</v>
      </c>
      <c r="F586" t="s">
        <v>2572</v>
      </c>
      <c r="G586" t="s">
        <v>213</v>
      </c>
      <c r="H586" t="s">
        <v>214</v>
      </c>
      <c r="I586" t="s">
        <v>85</v>
      </c>
      <c r="J586">
        <v>38</v>
      </c>
      <c r="K586" t="s">
        <v>82</v>
      </c>
      <c r="L586" t="s">
        <v>97</v>
      </c>
      <c r="M586" t="s">
        <v>57</v>
      </c>
      <c r="N586" t="s">
        <v>2587</v>
      </c>
      <c r="O586" t="s">
        <v>116</v>
      </c>
      <c r="P586" t="s">
        <v>48</v>
      </c>
      <c r="Q586" t="s">
        <v>138</v>
      </c>
      <c r="R586">
        <v>5</v>
      </c>
      <c r="S586">
        <v>14999</v>
      </c>
      <c r="T586">
        <v>0.05</v>
      </c>
      <c r="U586">
        <v>71245.25</v>
      </c>
      <c r="V586">
        <v>56000</v>
      </c>
      <c r="W586">
        <v>15245.25</v>
      </c>
      <c r="X586" t="s">
        <v>73</v>
      </c>
      <c r="Y586" t="s">
        <v>68</v>
      </c>
      <c r="Z586" t="s">
        <v>161</v>
      </c>
      <c r="AA586" t="s">
        <v>171</v>
      </c>
      <c r="AB586">
        <v>4.2</v>
      </c>
      <c r="AC586">
        <v>40</v>
      </c>
      <c r="AD586">
        <v>7841.12</v>
      </c>
      <c r="AE586">
        <f t="shared" si="18"/>
        <v>7364.13</v>
      </c>
      <c r="AF586" t="str">
        <f t="shared" si="19"/>
        <v>2025-03</v>
      </c>
      <c r="AG586">
        <f>SUBTOTAL(103,A586)</f>
        <v>1</v>
      </c>
    </row>
    <row r="587" spans="1:33" x14ac:dyDescent="0.3">
      <c r="A587" t="s">
        <v>3198</v>
      </c>
      <c r="B587" s="13">
        <v>45733</v>
      </c>
      <c r="C587">
        <v>2025</v>
      </c>
      <c r="D587">
        <v>3</v>
      </c>
      <c r="E587" t="s">
        <v>3053</v>
      </c>
      <c r="F587" t="s">
        <v>2572</v>
      </c>
      <c r="G587" t="s">
        <v>211</v>
      </c>
      <c r="H587" t="s">
        <v>212</v>
      </c>
      <c r="I587" t="s">
        <v>85</v>
      </c>
      <c r="J587">
        <v>31</v>
      </c>
      <c r="K587" t="s">
        <v>81</v>
      </c>
      <c r="L587" t="s">
        <v>2610</v>
      </c>
      <c r="M587" t="s">
        <v>64</v>
      </c>
      <c r="N587" t="s">
        <v>2587</v>
      </c>
      <c r="O587" t="s">
        <v>116</v>
      </c>
      <c r="P587" t="s">
        <v>48</v>
      </c>
      <c r="Q587" t="s">
        <v>138</v>
      </c>
      <c r="R587">
        <v>2</v>
      </c>
      <c r="S587">
        <v>14999</v>
      </c>
      <c r="T587">
        <v>0.05</v>
      </c>
      <c r="U587">
        <v>28498.1</v>
      </c>
      <c r="V587">
        <v>22400</v>
      </c>
      <c r="W587">
        <v>6098.1</v>
      </c>
      <c r="X587" t="s">
        <v>73</v>
      </c>
      <c r="Y587" t="s">
        <v>68</v>
      </c>
      <c r="Z587" t="s">
        <v>158</v>
      </c>
      <c r="AA587" t="s">
        <v>171</v>
      </c>
      <c r="AB587">
        <v>5</v>
      </c>
      <c r="AC587">
        <v>40</v>
      </c>
      <c r="AD587">
        <v>2248.6</v>
      </c>
      <c r="AE587">
        <f t="shared" si="18"/>
        <v>3809.5000000000005</v>
      </c>
      <c r="AF587" t="str">
        <f t="shared" si="19"/>
        <v>2025-03</v>
      </c>
      <c r="AG587">
        <f>SUBTOTAL(103,A587)</f>
        <v>1</v>
      </c>
    </row>
    <row r="588" spans="1:33" x14ac:dyDescent="0.3">
      <c r="A588" t="s">
        <v>3199</v>
      </c>
      <c r="B588" s="13">
        <v>45733</v>
      </c>
      <c r="C588">
        <v>2025</v>
      </c>
      <c r="D588">
        <v>3</v>
      </c>
      <c r="E588" t="s">
        <v>3053</v>
      </c>
      <c r="F588" t="s">
        <v>2572</v>
      </c>
      <c r="G588" t="s">
        <v>1491</v>
      </c>
      <c r="H588" t="s">
        <v>1492</v>
      </c>
      <c r="I588" t="s">
        <v>85</v>
      </c>
      <c r="J588">
        <v>49</v>
      </c>
      <c r="K588" t="s">
        <v>83</v>
      </c>
      <c r="L588" t="s">
        <v>92</v>
      </c>
      <c r="M588" t="s">
        <v>59</v>
      </c>
      <c r="N588" t="s">
        <v>2590</v>
      </c>
      <c r="O588" t="s">
        <v>127</v>
      </c>
      <c r="P588" t="s">
        <v>51</v>
      </c>
      <c r="Q588" t="s">
        <v>148</v>
      </c>
      <c r="R588">
        <v>1</v>
      </c>
      <c r="S588">
        <v>1599</v>
      </c>
      <c r="T588">
        <v>0.05</v>
      </c>
      <c r="U588">
        <v>0</v>
      </c>
      <c r="V588">
        <v>0</v>
      </c>
      <c r="W588">
        <v>0</v>
      </c>
      <c r="X588" t="s">
        <v>73</v>
      </c>
      <c r="Y588" t="s">
        <v>71</v>
      </c>
      <c r="Z588" t="s">
        <v>159</v>
      </c>
      <c r="AA588" t="s">
        <v>167</v>
      </c>
      <c r="AB588">
        <v>3.6</v>
      </c>
      <c r="AC588">
        <v>40</v>
      </c>
      <c r="AD588">
        <v>128.36000000000001</v>
      </c>
      <c r="AE588">
        <f t="shared" si="18"/>
        <v>-168.36</v>
      </c>
      <c r="AF588" t="str">
        <f t="shared" si="19"/>
        <v>2025-03</v>
      </c>
      <c r="AG588">
        <f>SUBTOTAL(103,A588)</f>
        <v>1</v>
      </c>
    </row>
    <row r="589" spans="1:33" x14ac:dyDescent="0.3">
      <c r="A589" t="s">
        <v>3200</v>
      </c>
      <c r="B589" s="13">
        <v>45734</v>
      </c>
      <c r="C589">
        <v>2025</v>
      </c>
      <c r="D589">
        <v>3</v>
      </c>
      <c r="E589" t="s">
        <v>3053</v>
      </c>
      <c r="F589" t="s">
        <v>2572</v>
      </c>
      <c r="G589" t="s">
        <v>217</v>
      </c>
      <c r="H589" t="s">
        <v>218</v>
      </c>
      <c r="I589" t="s">
        <v>85</v>
      </c>
      <c r="J589">
        <v>42</v>
      </c>
      <c r="K589" t="s">
        <v>82</v>
      </c>
      <c r="L589" t="s">
        <v>94</v>
      </c>
      <c r="M589" t="s">
        <v>57</v>
      </c>
      <c r="N589" t="s">
        <v>2592</v>
      </c>
      <c r="O589" t="s">
        <v>115</v>
      </c>
      <c r="P589" t="s">
        <v>48</v>
      </c>
      <c r="Q589" t="s">
        <v>137</v>
      </c>
      <c r="R589">
        <v>4</v>
      </c>
      <c r="S589">
        <v>12999</v>
      </c>
      <c r="T589">
        <v>0</v>
      </c>
      <c r="U589">
        <v>51996</v>
      </c>
      <c r="V589">
        <v>36000</v>
      </c>
      <c r="W589">
        <v>15996</v>
      </c>
      <c r="X589" t="s">
        <v>76</v>
      </c>
      <c r="Y589" t="s">
        <v>68</v>
      </c>
      <c r="Z589" t="s">
        <v>163</v>
      </c>
      <c r="AA589" t="s">
        <v>170</v>
      </c>
      <c r="AB589">
        <v>4.5</v>
      </c>
      <c r="AC589">
        <v>50</v>
      </c>
      <c r="AD589">
        <v>3004.36</v>
      </c>
      <c r="AE589">
        <f t="shared" si="18"/>
        <v>12941.64</v>
      </c>
      <c r="AF589" t="str">
        <f t="shared" si="19"/>
        <v>2025-03</v>
      </c>
      <c r="AG589">
        <f>SUBTOTAL(103,A589)</f>
        <v>1</v>
      </c>
    </row>
    <row r="590" spans="1:33" x14ac:dyDescent="0.3">
      <c r="A590" t="s">
        <v>3201</v>
      </c>
      <c r="B590" s="13">
        <v>45734</v>
      </c>
      <c r="C590">
        <v>2025</v>
      </c>
      <c r="D590">
        <v>3</v>
      </c>
      <c r="E590" t="s">
        <v>3053</v>
      </c>
      <c r="F590" t="s">
        <v>2572</v>
      </c>
      <c r="G590" t="s">
        <v>2233</v>
      </c>
      <c r="H590" t="s">
        <v>2234</v>
      </c>
      <c r="I590" t="s">
        <v>85</v>
      </c>
      <c r="J590">
        <v>40</v>
      </c>
      <c r="K590" t="s">
        <v>82</v>
      </c>
      <c r="L590" t="s">
        <v>2623</v>
      </c>
      <c r="M590" t="s">
        <v>61</v>
      </c>
      <c r="N590" t="s">
        <v>2657</v>
      </c>
      <c r="O590" t="s">
        <v>134</v>
      </c>
      <c r="P590" t="s">
        <v>49</v>
      </c>
      <c r="Q590" t="s">
        <v>140</v>
      </c>
      <c r="R590">
        <v>1</v>
      </c>
      <c r="S590">
        <v>599</v>
      </c>
      <c r="T590">
        <v>0.05</v>
      </c>
      <c r="U590">
        <v>569.04999999999995</v>
      </c>
      <c r="V590">
        <v>250</v>
      </c>
      <c r="W590">
        <v>319.05</v>
      </c>
      <c r="X590" t="s">
        <v>73</v>
      </c>
      <c r="Y590" t="s">
        <v>68</v>
      </c>
      <c r="Z590" t="s">
        <v>158</v>
      </c>
      <c r="AA590" t="s">
        <v>170</v>
      </c>
      <c r="AB590">
        <v>4.7</v>
      </c>
      <c r="AC590">
        <v>60</v>
      </c>
      <c r="AD590">
        <v>31.5</v>
      </c>
      <c r="AE590">
        <f t="shared" si="18"/>
        <v>227.55</v>
      </c>
      <c r="AF590" t="str">
        <f t="shared" si="19"/>
        <v>2025-03</v>
      </c>
      <c r="AG590">
        <f>SUBTOTAL(103,A590)</f>
        <v>1</v>
      </c>
    </row>
    <row r="591" spans="1:33" x14ac:dyDescent="0.3">
      <c r="A591" t="s">
        <v>3202</v>
      </c>
      <c r="B591" s="13">
        <v>45734</v>
      </c>
      <c r="C591">
        <v>2025</v>
      </c>
      <c r="D591">
        <v>3</v>
      </c>
      <c r="E591" t="s">
        <v>3053</v>
      </c>
      <c r="F591" t="s">
        <v>2572</v>
      </c>
      <c r="G591" t="s">
        <v>929</v>
      </c>
      <c r="H591" t="s">
        <v>930</v>
      </c>
      <c r="I591" t="s">
        <v>85</v>
      </c>
      <c r="J591">
        <v>18</v>
      </c>
      <c r="K591" t="s">
        <v>80</v>
      </c>
      <c r="L591" t="s">
        <v>2605</v>
      </c>
      <c r="M591" t="s">
        <v>60</v>
      </c>
      <c r="N591" t="s">
        <v>2606</v>
      </c>
      <c r="O591" t="s">
        <v>120</v>
      </c>
      <c r="P591" t="s">
        <v>49</v>
      </c>
      <c r="Q591" t="s">
        <v>140</v>
      </c>
      <c r="R591">
        <v>2</v>
      </c>
      <c r="S591">
        <v>2799</v>
      </c>
      <c r="T591">
        <v>0.15</v>
      </c>
      <c r="U591">
        <v>4758.3</v>
      </c>
      <c r="V591">
        <v>3300</v>
      </c>
      <c r="W591">
        <v>1458.3</v>
      </c>
      <c r="X591" t="s">
        <v>75</v>
      </c>
      <c r="Y591" t="s">
        <v>68</v>
      </c>
      <c r="Z591" t="s">
        <v>162</v>
      </c>
      <c r="AA591" t="s">
        <v>170</v>
      </c>
      <c r="AB591">
        <v>3.7</v>
      </c>
      <c r="AC591">
        <v>80</v>
      </c>
      <c r="AD591">
        <v>159.99</v>
      </c>
      <c r="AE591">
        <f t="shared" si="18"/>
        <v>1218.31</v>
      </c>
      <c r="AF591" t="str">
        <f t="shared" si="19"/>
        <v>2025-03</v>
      </c>
      <c r="AG591">
        <f>SUBTOTAL(103,A591)</f>
        <v>1</v>
      </c>
    </row>
    <row r="592" spans="1:33" x14ac:dyDescent="0.3">
      <c r="A592" t="s">
        <v>3203</v>
      </c>
      <c r="B592" s="13">
        <v>45734</v>
      </c>
      <c r="C592">
        <v>2025</v>
      </c>
      <c r="D592">
        <v>3</v>
      </c>
      <c r="E592" t="s">
        <v>3053</v>
      </c>
      <c r="F592" t="s">
        <v>2572</v>
      </c>
      <c r="G592" t="s">
        <v>1901</v>
      </c>
      <c r="H592" t="s">
        <v>1902</v>
      </c>
      <c r="I592" t="s">
        <v>86</v>
      </c>
      <c r="J592">
        <v>34</v>
      </c>
      <c r="K592" t="s">
        <v>81</v>
      </c>
      <c r="L592" t="s">
        <v>2612</v>
      </c>
      <c r="M592" t="s">
        <v>64</v>
      </c>
      <c r="N592" t="s">
        <v>2594</v>
      </c>
      <c r="O592" t="s">
        <v>131</v>
      </c>
      <c r="P592" t="s">
        <v>53</v>
      </c>
      <c r="Q592" t="s">
        <v>143</v>
      </c>
      <c r="R592">
        <v>2</v>
      </c>
      <c r="S592">
        <v>999</v>
      </c>
      <c r="T592">
        <v>0.05</v>
      </c>
      <c r="U592">
        <v>1898.1</v>
      </c>
      <c r="V592">
        <v>1040</v>
      </c>
      <c r="W592">
        <v>858.1</v>
      </c>
      <c r="X592" t="s">
        <v>74</v>
      </c>
      <c r="Y592" t="s">
        <v>68</v>
      </c>
      <c r="Z592" t="s">
        <v>158</v>
      </c>
      <c r="AA592" t="s">
        <v>166</v>
      </c>
      <c r="AB592">
        <v>4</v>
      </c>
      <c r="AC592">
        <v>60</v>
      </c>
      <c r="AD592">
        <v>196.61</v>
      </c>
      <c r="AE592">
        <f t="shared" si="18"/>
        <v>601.49</v>
      </c>
      <c r="AF592" t="str">
        <f t="shared" si="19"/>
        <v>2025-03</v>
      </c>
      <c r="AG592">
        <f>SUBTOTAL(103,A592)</f>
        <v>1</v>
      </c>
    </row>
    <row r="593" spans="1:33" x14ac:dyDescent="0.3">
      <c r="A593" t="s">
        <v>3204</v>
      </c>
      <c r="B593" s="13">
        <v>45734</v>
      </c>
      <c r="C593">
        <v>2025</v>
      </c>
      <c r="D593">
        <v>3</v>
      </c>
      <c r="E593" t="s">
        <v>3053</v>
      </c>
      <c r="F593" t="s">
        <v>2572</v>
      </c>
      <c r="G593" t="s">
        <v>579</v>
      </c>
      <c r="H593" t="s">
        <v>580</v>
      </c>
      <c r="I593" t="s">
        <v>85</v>
      </c>
      <c r="J593">
        <v>31</v>
      </c>
      <c r="K593" t="s">
        <v>81</v>
      </c>
      <c r="L593" t="s">
        <v>90</v>
      </c>
      <c r="M593" t="s">
        <v>55</v>
      </c>
      <c r="N593" t="s">
        <v>2580</v>
      </c>
      <c r="O593" t="s">
        <v>118</v>
      </c>
      <c r="P593" t="s">
        <v>48</v>
      </c>
      <c r="Q593" t="s">
        <v>142</v>
      </c>
      <c r="R593">
        <v>1</v>
      </c>
      <c r="S593">
        <v>3999</v>
      </c>
      <c r="T593">
        <v>0.15</v>
      </c>
      <c r="U593">
        <v>3399.15</v>
      </c>
      <c r="V593">
        <v>2400</v>
      </c>
      <c r="W593">
        <v>999.15</v>
      </c>
      <c r="X593" t="s">
        <v>73</v>
      </c>
      <c r="Y593" t="s">
        <v>68</v>
      </c>
      <c r="Z593" t="s">
        <v>160</v>
      </c>
      <c r="AA593" t="s">
        <v>171</v>
      </c>
      <c r="AB593">
        <v>3.6</v>
      </c>
      <c r="AC593">
        <v>50</v>
      </c>
      <c r="AD593">
        <v>138.97999999999999</v>
      </c>
      <c r="AE593">
        <f t="shared" si="18"/>
        <v>810.17</v>
      </c>
      <c r="AF593" t="str">
        <f t="shared" si="19"/>
        <v>2025-03</v>
      </c>
      <c r="AG593">
        <f>SUBTOTAL(103,A593)</f>
        <v>1</v>
      </c>
    </row>
    <row r="594" spans="1:33" x14ac:dyDescent="0.3">
      <c r="A594" t="s">
        <v>3205</v>
      </c>
      <c r="B594" s="13">
        <v>45734</v>
      </c>
      <c r="C594">
        <v>2025</v>
      </c>
      <c r="D594">
        <v>3</v>
      </c>
      <c r="E594" t="s">
        <v>3053</v>
      </c>
      <c r="F594" t="s">
        <v>2572</v>
      </c>
      <c r="G594" t="s">
        <v>2247</v>
      </c>
      <c r="H594" t="s">
        <v>2248</v>
      </c>
      <c r="I594" t="s">
        <v>86</v>
      </c>
      <c r="J594">
        <v>45</v>
      </c>
      <c r="K594" t="s">
        <v>82</v>
      </c>
      <c r="L594" t="s">
        <v>97</v>
      </c>
      <c r="M594" t="s">
        <v>57</v>
      </c>
      <c r="N594" t="s">
        <v>2657</v>
      </c>
      <c r="O594" t="s">
        <v>134</v>
      </c>
      <c r="P594" t="s">
        <v>49</v>
      </c>
      <c r="Q594" t="s">
        <v>140</v>
      </c>
      <c r="R594">
        <v>1</v>
      </c>
      <c r="S594">
        <v>599</v>
      </c>
      <c r="T594">
        <v>0.1</v>
      </c>
      <c r="U594">
        <v>539.1</v>
      </c>
      <c r="V594">
        <v>250</v>
      </c>
      <c r="W594">
        <v>289.10000000000002</v>
      </c>
      <c r="X594" t="s">
        <v>75</v>
      </c>
      <c r="Y594" t="s">
        <v>68</v>
      </c>
      <c r="Z594" t="s">
        <v>159</v>
      </c>
      <c r="AA594" t="s">
        <v>171</v>
      </c>
      <c r="AB594">
        <v>2.6</v>
      </c>
      <c r="AC594">
        <v>50</v>
      </c>
      <c r="AD594">
        <v>62.39</v>
      </c>
      <c r="AE594">
        <f t="shared" si="18"/>
        <v>176.71000000000004</v>
      </c>
      <c r="AF594" t="str">
        <f t="shared" si="19"/>
        <v>2025-03</v>
      </c>
      <c r="AG594">
        <f>SUBTOTAL(103,A594)</f>
        <v>1</v>
      </c>
    </row>
    <row r="595" spans="1:33" x14ac:dyDescent="0.3">
      <c r="A595" t="s">
        <v>3206</v>
      </c>
      <c r="B595" s="13">
        <v>45734</v>
      </c>
      <c r="C595">
        <v>2025</v>
      </c>
      <c r="D595">
        <v>3</v>
      </c>
      <c r="E595" t="s">
        <v>3053</v>
      </c>
      <c r="F595" t="s">
        <v>2572</v>
      </c>
      <c r="G595" t="s">
        <v>487</v>
      </c>
      <c r="H595" t="s">
        <v>488</v>
      </c>
      <c r="I595" t="s">
        <v>86</v>
      </c>
      <c r="J595">
        <v>53</v>
      </c>
      <c r="K595" t="s">
        <v>83</v>
      </c>
      <c r="L595" t="s">
        <v>59</v>
      </c>
      <c r="M595" t="s">
        <v>59</v>
      </c>
      <c r="N595" t="s">
        <v>2653</v>
      </c>
      <c r="O595" t="s">
        <v>132</v>
      </c>
      <c r="P595" t="s">
        <v>52</v>
      </c>
      <c r="Q595" t="s">
        <v>150</v>
      </c>
      <c r="R595">
        <v>4</v>
      </c>
      <c r="S595">
        <v>899</v>
      </c>
      <c r="T595">
        <v>0.15</v>
      </c>
      <c r="U595">
        <v>3056.6</v>
      </c>
      <c r="V595">
        <v>1680</v>
      </c>
      <c r="W595">
        <v>1376.6</v>
      </c>
      <c r="X595" t="s">
        <v>73</v>
      </c>
      <c r="Y595" t="s">
        <v>68</v>
      </c>
      <c r="Z595" t="s">
        <v>159</v>
      </c>
      <c r="AA595" t="s">
        <v>167</v>
      </c>
      <c r="AB595">
        <v>4.5999999999999996</v>
      </c>
      <c r="AC595">
        <v>50</v>
      </c>
      <c r="AD595">
        <v>271.38</v>
      </c>
      <c r="AE595">
        <f t="shared" si="18"/>
        <v>1055.2199999999998</v>
      </c>
      <c r="AF595" t="str">
        <f t="shared" si="19"/>
        <v>2025-03</v>
      </c>
      <c r="AG595">
        <f>SUBTOTAL(103,A595)</f>
        <v>1</v>
      </c>
    </row>
    <row r="596" spans="1:33" x14ac:dyDescent="0.3">
      <c r="A596" t="s">
        <v>3207</v>
      </c>
      <c r="B596" s="13">
        <v>45734</v>
      </c>
      <c r="C596">
        <v>2025</v>
      </c>
      <c r="D596">
        <v>3</v>
      </c>
      <c r="E596" t="s">
        <v>3053</v>
      </c>
      <c r="F596" t="s">
        <v>2572</v>
      </c>
      <c r="G596" t="s">
        <v>2539</v>
      </c>
      <c r="H596" t="s">
        <v>2540</v>
      </c>
      <c r="I596" t="s">
        <v>85</v>
      </c>
      <c r="J596">
        <v>34</v>
      </c>
      <c r="K596" t="s">
        <v>81</v>
      </c>
      <c r="L596" t="s">
        <v>59</v>
      </c>
      <c r="M596" t="s">
        <v>59</v>
      </c>
      <c r="N596" t="s">
        <v>2657</v>
      </c>
      <c r="O596" t="s">
        <v>134</v>
      </c>
      <c r="P596" t="s">
        <v>49</v>
      </c>
      <c r="Q596" t="s">
        <v>140</v>
      </c>
      <c r="R596">
        <v>1</v>
      </c>
      <c r="S596">
        <v>599</v>
      </c>
      <c r="T596">
        <v>0.05</v>
      </c>
      <c r="U596">
        <v>569.04999999999995</v>
      </c>
      <c r="V596">
        <v>250</v>
      </c>
      <c r="W596">
        <v>319.05</v>
      </c>
      <c r="X596" t="s">
        <v>73</v>
      </c>
      <c r="Y596" t="s">
        <v>68</v>
      </c>
      <c r="Z596" t="s">
        <v>160</v>
      </c>
      <c r="AA596" t="s">
        <v>166</v>
      </c>
      <c r="AB596">
        <v>3.4</v>
      </c>
      <c r="AC596">
        <v>80</v>
      </c>
      <c r="AD596">
        <v>67.19</v>
      </c>
      <c r="AE596">
        <f t="shared" si="18"/>
        <v>171.86</v>
      </c>
      <c r="AF596" t="str">
        <f t="shared" si="19"/>
        <v>2025-03</v>
      </c>
      <c r="AG596">
        <f>SUBTOTAL(103,A596)</f>
        <v>1</v>
      </c>
    </row>
    <row r="597" spans="1:33" x14ac:dyDescent="0.3">
      <c r="A597" t="s">
        <v>3208</v>
      </c>
      <c r="B597" s="13">
        <v>45734</v>
      </c>
      <c r="C597">
        <v>2025</v>
      </c>
      <c r="D597">
        <v>3</v>
      </c>
      <c r="E597" t="s">
        <v>3053</v>
      </c>
      <c r="F597" t="s">
        <v>2572</v>
      </c>
      <c r="G597" t="s">
        <v>1609</v>
      </c>
      <c r="H597" t="s">
        <v>1610</v>
      </c>
      <c r="I597" t="s">
        <v>86</v>
      </c>
      <c r="J597">
        <v>36</v>
      </c>
      <c r="K597" t="s">
        <v>82</v>
      </c>
      <c r="L597" t="s">
        <v>2674</v>
      </c>
      <c r="M597" t="s">
        <v>58</v>
      </c>
      <c r="N597" t="s">
        <v>2577</v>
      </c>
      <c r="O597" t="s">
        <v>129</v>
      </c>
      <c r="P597" t="s">
        <v>49</v>
      </c>
      <c r="Q597" t="s">
        <v>149</v>
      </c>
      <c r="R597">
        <v>1</v>
      </c>
      <c r="S597">
        <v>1299</v>
      </c>
      <c r="T597">
        <v>0.15</v>
      </c>
      <c r="U597">
        <v>0</v>
      </c>
      <c r="V597">
        <v>0</v>
      </c>
      <c r="W597">
        <v>0</v>
      </c>
      <c r="X597" t="s">
        <v>75</v>
      </c>
      <c r="Y597" t="s">
        <v>71</v>
      </c>
      <c r="Z597" t="s">
        <v>159</v>
      </c>
      <c r="AA597" t="s">
        <v>169</v>
      </c>
      <c r="AB597">
        <v>3.3</v>
      </c>
      <c r="AC597">
        <v>60</v>
      </c>
      <c r="AD597">
        <v>73.77</v>
      </c>
      <c r="AE597">
        <f t="shared" si="18"/>
        <v>-133.76999999999998</v>
      </c>
      <c r="AF597" t="str">
        <f t="shared" si="19"/>
        <v>2025-03</v>
      </c>
      <c r="AG597">
        <f>SUBTOTAL(103,A597)</f>
        <v>1</v>
      </c>
    </row>
    <row r="598" spans="1:33" x14ac:dyDescent="0.3">
      <c r="A598" t="s">
        <v>3209</v>
      </c>
      <c r="B598" s="13">
        <v>45734</v>
      </c>
      <c r="C598">
        <v>2025</v>
      </c>
      <c r="D598">
        <v>3</v>
      </c>
      <c r="E598" t="s">
        <v>3053</v>
      </c>
      <c r="F598" t="s">
        <v>2572</v>
      </c>
      <c r="G598" t="s">
        <v>2189</v>
      </c>
      <c r="H598" t="s">
        <v>2190</v>
      </c>
      <c r="I598" t="s">
        <v>86</v>
      </c>
      <c r="J598">
        <v>48</v>
      </c>
      <c r="K598" t="s">
        <v>83</v>
      </c>
      <c r="L598" t="s">
        <v>99</v>
      </c>
      <c r="M598" t="s">
        <v>58</v>
      </c>
      <c r="N598" t="s">
        <v>2626</v>
      </c>
      <c r="O598" t="s">
        <v>125</v>
      </c>
      <c r="P598" t="s">
        <v>48</v>
      </c>
      <c r="Q598" t="s">
        <v>141</v>
      </c>
      <c r="R598">
        <v>2</v>
      </c>
      <c r="S598">
        <v>1999</v>
      </c>
      <c r="T598">
        <v>0.1</v>
      </c>
      <c r="U598">
        <v>3598.2</v>
      </c>
      <c r="V598">
        <v>2300</v>
      </c>
      <c r="W598">
        <v>1298.2</v>
      </c>
      <c r="X598" t="s">
        <v>73</v>
      </c>
      <c r="Y598" t="s">
        <v>68</v>
      </c>
      <c r="Z598" t="s">
        <v>158</v>
      </c>
      <c r="AA598" t="s">
        <v>170</v>
      </c>
      <c r="AB598">
        <v>3.3</v>
      </c>
      <c r="AC598">
        <v>100</v>
      </c>
      <c r="AD598">
        <v>270.02999999999997</v>
      </c>
      <c r="AE598">
        <f t="shared" si="18"/>
        <v>928.17000000000007</v>
      </c>
      <c r="AF598" t="str">
        <f t="shared" si="19"/>
        <v>2025-03</v>
      </c>
      <c r="AG598">
        <f>SUBTOTAL(103,A598)</f>
        <v>1</v>
      </c>
    </row>
    <row r="599" spans="1:33" x14ac:dyDescent="0.3">
      <c r="A599" t="s">
        <v>3210</v>
      </c>
      <c r="B599" s="13">
        <v>45735</v>
      </c>
      <c r="C599">
        <v>2025</v>
      </c>
      <c r="D599">
        <v>3</v>
      </c>
      <c r="E599" t="s">
        <v>3053</v>
      </c>
      <c r="F599" t="s">
        <v>2572</v>
      </c>
      <c r="G599" t="s">
        <v>241</v>
      </c>
      <c r="H599" t="s">
        <v>242</v>
      </c>
      <c r="I599" t="s">
        <v>85</v>
      </c>
      <c r="J599">
        <v>30</v>
      </c>
      <c r="K599" t="s">
        <v>81</v>
      </c>
      <c r="L599" t="s">
        <v>2599</v>
      </c>
      <c r="M599" t="s">
        <v>62</v>
      </c>
      <c r="N599" t="s">
        <v>2601</v>
      </c>
      <c r="O599" t="s">
        <v>117</v>
      </c>
      <c r="P599" t="s">
        <v>49</v>
      </c>
      <c r="Q599" t="s">
        <v>139</v>
      </c>
      <c r="R599">
        <v>1</v>
      </c>
      <c r="S599">
        <v>6999</v>
      </c>
      <c r="T599">
        <v>0.05</v>
      </c>
      <c r="U599">
        <v>6649.05</v>
      </c>
      <c r="V599">
        <v>4300</v>
      </c>
      <c r="W599">
        <v>2349.0500000000002</v>
      </c>
      <c r="X599" t="s">
        <v>74</v>
      </c>
      <c r="Y599" t="s">
        <v>68</v>
      </c>
      <c r="Z599" t="s">
        <v>160</v>
      </c>
      <c r="AA599" t="s">
        <v>168</v>
      </c>
      <c r="AB599">
        <v>4.4000000000000004</v>
      </c>
      <c r="AC599">
        <v>80</v>
      </c>
      <c r="AD599">
        <v>165.37</v>
      </c>
      <c r="AE599">
        <f t="shared" si="18"/>
        <v>2103.6800000000003</v>
      </c>
      <c r="AF599" t="str">
        <f t="shared" si="19"/>
        <v>2025-03</v>
      </c>
      <c r="AG599">
        <f>SUBTOTAL(103,A599)</f>
        <v>1</v>
      </c>
    </row>
    <row r="600" spans="1:33" x14ac:dyDescent="0.3">
      <c r="A600" t="s">
        <v>3211</v>
      </c>
      <c r="B600" s="13">
        <v>45735</v>
      </c>
      <c r="C600">
        <v>2025</v>
      </c>
      <c r="D600">
        <v>3</v>
      </c>
      <c r="E600" t="s">
        <v>3053</v>
      </c>
      <c r="F600" t="s">
        <v>2572</v>
      </c>
      <c r="G600" t="s">
        <v>1335</v>
      </c>
      <c r="H600" t="s">
        <v>1336</v>
      </c>
      <c r="I600" t="s">
        <v>85</v>
      </c>
      <c r="J600">
        <v>59</v>
      </c>
      <c r="K600" t="s">
        <v>83</v>
      </c>
      <c r="L600" t="s">
        <v>2690</v>
      </c>
      <c r="M600" t="s">
        <v>63</v>
      </c>
      <c r="N600" t="s">
        <v>2626</v>
      </c>
      <c r="O600" t="s">
        <v>125</v>
      </c>
      <c r="P600" t="s">
        <v>48</v>
      </c>
      <c r="Q600" t="s">
        <v>141</v>
      </c>
      <c r="R600">
        <v>3</v>
      </c>
      <c r="S600">
        <v>1999</v>
      </c>
      <c r="T600">
        <v>0.25</v>
      </c>
      <c r="U600">
        <v>4497.75</v>
      </c>
      <c r="V600">
        <v>3450</v>
      </c>
      <c r="W600">
        <v>1047.75</v>
      </c>
      <c r="X600" t="s">
        <v>75</v>
      </c>
      <c r="Y600" t="s">
        <v>68</v>
      </c>
      <c r="Z600" t="s">
        <v>158</v>
      </c>
      <c r="AA600" t="s">
        <v>166</v>
      </c>
      <c r="AB600">
        <v>3.3</v>
      </c>
      <c r="AC600">
        <v>80</v>
      </c>
      <c r="AD600">
        <v>471.79</v>
      </c>
      <c r="AE600">
        <f t="shared" si="18"/>
        <v>495.96</v>
      </c>
      <c r="AF600" t="str">
        <f t="shared" si="19"/>
        <v>2025-03</v>
      </c>
      <c r="AG600">
        <f>SUBTOTAL(103,A600)</f>
        <v>1</v>
      </c>
    </row>
    <row r="601" spans="1:33" x14ac:dyDescent="0.3">
      <c r="A601" t="s">
        <v>3212</v>
      </c>
      <c r="B601" s="13">
        <v>45735</v>
      </c>
      <c r="C601">
        <v>2025</v>
      </c>
      <c r="D601">
        <v>3</v>
      </c>
      <c r="E601" t="s">
        <v>3053</v>
      </c>
      <c r="F601" t="s">
        <v>2572</v>
      </c>
      <c r="G601" t="s">
        <v>711</v>
      </c>
      <c r="H601" t="s">
        <v>712</v>
      </c>
      <c r="I601" t="s">
        <v>85</v>
      </c>
      <c r="J601">
        <v>40</v>
      </c>
      <c r="K601" t="s">
        <v>82</v>
      </c>
      <c r="L601" t="s">
        <v>97</v>
      </c>
      <c r="M601" t="s">
        <v>57</v>
      </c>
      <c r="N601" t="s">
        <v>2596</v>
      </c>
      <c r="O601" t="s">
        <v>124</v>
      </c>
      <c r="P601" t="s">
        <v>51</v>
      </c>
      <c r="Q601" t="s">
        <v>147</v>
      </c>
      <c r="R601">
        <v>4</v>
      </c>
      <c r="S601">
        <v>2299</v>
      </c>
      <c r="T601">
        <v>0</v>
      </c>
      <c r="U601">
        <v>0</v>
      </c>
      <c r="V601">
        <v>0</v>
      </c>
      <c r="W601">
        <v>0</v>
      </c>
      <c r="X601" t="s">
        <v>74</v>
      </c>
      <c r="Y601" t="s">
        <v>71</v>
      </c>
      <c r="Z601" t="s">
        <v>163</v>
      </c>
      <c r="AA601" t="s">
        <v>169</v>
      </c>
      <c r="AB601">
        <v>4.5</v>
      </c>
      <c r="AC601">
        <v>60</v>
      </c>
      <c r="AD601">
        <v>387.66</v>
      </c>
      <c r="AE601">
        <f t="shared" si="18"/>
        <v>-447.66</v>
      </c>
      <c r="AF601" t="str">
        <f t="shared" si="19"/>
        <v>2025-03</v>
      </c>
      <c r="AG601">
        <f>SUBTOTAL(103,A601)</f>
        <v>1</v>
      </c>
    </row>
    <row r="602" spans="1:33" x14ac:dyDescent="0.3">
      <c r="A602" t="s">
        <v>3213</v>
      </c>
      <c r="B602" s="13">
        <v>45735</v>
      </c>
      <c r="C602">
        <v>2025</v>
      </c>
      <c r="D602">
        <v>3</v>
      </c>
      <c r="E602" t="s">
        <v>3053</v>
      </c>
      <c r="F602" t="s">
        <v>2572</v>
      </c>
      <c r="G602" t="s">
        <v>1971</v>
      </c>
      <c r="H602" t="s">
        <v>1972</v>
      </c>
      <c r="I602" t="s">
        <v>85</v>
      </c>
      <c r="J602">
        <v>56</v>
      </c>
      <c r="K602" t="s">
        <v>83</v>
      </c>
      <c r="L602" t="s">
        <v>99</v>
      </c>
      <c r="M602" t="s">
        <v>58</v>
      </c>
      <c r="N602" t="s">
        <v>2594</v>
      </c>
      <c r="O602" t="s">
        <v>131</v>
      </c>
      <c r="P602" t="s">
        <v>53</v>
      </c>
      <c r="Q602" t="s">
        <v>143</v>
      </c>
      <c r="R602">
        <v>1</v>
      </c>
      <c r="S602">
        <v>999</v>
      </c>
      <c r="T602">
        <v>0.05</v>
      </c>
      <c r="U602">
        <v>949.05</v>
      </c>
      <c r="V602">
        <v>520</v>
      </c>
      <c r="W602">
        <v>429.05</v>
      </c>
      <c r="X602" t="s">
        <v>76</v>
      </c>
      <c r="Y602" t="s">
        <v>68</v>
      </c>
      <c r="Z602" t="s">
        <v>160</v>
      </c>
      <c r="AA602" t="s">
        <v>171</v>
      </c>
      <c r="AB602">
        <v>3.7</v>
      </c>
      <c r="AC602">
        <v>120</v>
      </c>
      <c r="AD602">
        <v>43.89</v>
      </c>
      <c r="AE602">
        <f t="shared" si="18"/>
        <v>265.16000000000003</v>
      </c>
      <c r="AF602" t="str">
        <f t="shared" si="19"/>
        <v>2025-03</v>
      </c>
      <c r="AG602">
        <f>SUBTOTAL(103,A602)</f>
        <v>1</v>
      </c>
    </row>
    <row r="603" spans="1:33" x14ac:dyDescent="0.3">
      <c r="A603" t="s">
        <v>3214</v>
      </c>
      <c r="B603" s="13">
        <v>45735</v>
      </c>
      <c r="C603">
        <v>2025</v>
      </c>
      <c r="D603">
        <v>3</v>
      </c>
      <c r="E603" t="s">
        <v>3053</v>
      </c>
      <c r="F603" t="s">
        <v>2572</v>
      </c>
      <c r="G603" t="s">
        <v>1777</v>
      </c>
      <c r="H603" t="s">
        <v>1778</v>
      </c>
      <c r="I603" t="s">
        <v>86</v>
      </c>
      <c r="J603">
        <v>34</v>
      </c>
      <c r="K603" t="s">
        <v>81</v>
      </c>
      <c r="L603" t="s">
        <v>2589</v>
      </c>
      <c r="M603" t="s">
        <v>61</v>
      </c>
      <c r="N603" t="s">
        <v>2577</v>
      </c>
      <c r="O603" t="s">
        <v>129</v>
      </c>
      <c r="P603" t="s">
        <v>49</v>
      </c>
      <c r="Q603" t="s">
        <v>149</v>
      </c>
      <c r="R603">
        <v>1</v>
      </c>
      <c r="S603">
        <v>1299</v>
      </c>
      <c r="T603">
        <v>0.15</v>
      </c>
      <c r="U603">
        <v>1104.1500000000001</v>
      </c>
      <c r="V603">
        <v>650</v>
      </c>
      <c r="W603">
        <v>454.15</v>
      </c>
      <c r="X603" t="s">
        <v>74</v>
      </c>
      <c r="Y603" t="s">
        <v>68</v>
      </c>
      <c r="Z603" t="s">
        <v>162</v>
      </c>
      <c r="AA603" t="s">
        <v>169</v>
      </c>
      <c r="AB603">
        <v>3.9</v>
      </c>
      <c r="AC603">
        <v>60</v>
      </c>
      <c r="AD603">
        <v>76.17</v>
      </c>
      <c r="AE603">
        <f t="shared" si="18"/>
        <v>317.97999999999996</v>
      </c>
      <c r="AF603" t="str">
        <f t="shared" si="19"/>
        <v>2025-03</v>
      </c>
      <c r="AG603">
        <f>SUBTOTAL(103,A603)</f>
        <v>1</v>
      </c>
    </row>
    <row r="604" spans="1:33" x14ac:dyDescent="0.3">
      <c r="A604" t="s">
        <v>3215</v>
      </c>
      <c r="B604" s="13">
        <v>45735</v>
      </c>
      <c r="C604">
        <v>2025</v>
      </c>
      <c r="D604">
        <v>3</v>
      </c>
      <c r="E604" t="s">
        <v>3053</v>
      </c>
      <c r="F604" t="s">
        <v>2572</v>
      </c>
      <c r="G604" t="s">
        <v>759</v>
      </c>
      <c r="H604" t="s">
        <v>760</v>
      </c>
      <c r="I604" t="s">
        <v>86</v>
      </c>
      <c r="J604">
        <v>34</v>
      </c>
      <c r="K604" t="s">
        <v>81</v>
      </c>
      <c r="L604" t="s">
        <v>100</v>
      </c>
      <c r="M604" t="s">
        <v>56</v>
      </c>
      <c r="N604" t="s">
        <v>2587</v>
      </c>
      <c r="O604" t="s">
        <v>116</v>
      </c>
      <c r="P604" t="s">
        <v>48</v>
      </c>
      <c r="Q604" t="s">
        <v>138</v>
      </c>
      <c r="R604">
        <v>2</v>
      </c>
      <c r="S604">
        <v>14999</v>
      </c>
      <c r="T604">
        <v>0.2</v>
      </c>
      <c r="U604">
        <v>23998.400000000001</v>
      </c>
      <c r="V604">
        <v>22400</v>
      </c>
      <c r="W604">
        <v>1598.4</v>
      </c>
      <c r="X604" t="s">
        <v>75</v>
      </c>
      <c r="Y604" t="s">
        <v>68</v>
      </c>
      <c r="Z604" t="s">
        <v>163</v>
      </c>
      <c r="AA604" t="s">
        <v>166</v>
      </c>
      <c r="AB604">
        <v>4.5</v>
      </c>
      <c r="AC604">
        <v>60</v>
      </c>
      <c r="AD604">
        <v>2826.16</v>
      </c>
      <c r="AE604">
        <f t="shared" si="18"/>
        <v>-1287.7599999999998</v>
      </c>
      <c r="AF604" t="str">
        <f t="shared" si="19"/>
        <v>2025-03</v>
      </c>
      <c r="AG604">
        <f>SUBTOTAL(103,A604)</f>
        <v>1</v>
      </c>
    </row>
    <row r="605" spans="1:33" x14ac:dyDescent="0.3">
      <c r="A605" t="s">
        <v>3216</v>
      </c>
      <c r="B605" s="13">
        <v>45736</v>
      </c>
      <c r="C605">
        <v>2025</v>
      </c>
      <c r="D605">
        <v>3</v>
      </c>
      <c r="E605" t="s">
        <v>3053</v>
      </c>
      <c r="F605" t="s">
        <v>2572</v>
      </c>
      <c r="G605" t="s">
        <v>729</v>
      </c>
      <c r="H605" t="s">
        <v>730</v>
      </c>
      <c r="I605" t="s">
        <v>85</v>
      </c>
      <c r="J605">
        <v>38</v>
      </c>
      <c r="K605" t="s">
        <v>82</v>
      </c>
      <c r="L605" t="s">
        <v>90</v>
      </c>
      <c r="M605" t="s">
        <v>55</v>
      </c>
      <c r="N605" t="s">
        <v>2590</v>
      </c>
      <c r="O605" t="s">
        <v>127</v>
      </c>
      <c r="P605" t="s">
        <v>51</v>
      </c>
      <c r="Q605" t="s">
        <v>148</v>
      </c>
      <c r="R605">
        <v>2</v>
      </c>
      <c r="S605">
        <v>1599</v>
      </c>
      <c r="T605">
        <v>0.15</v>
      </c>
      <c r="U605">
        <v>2718.3</v>
      </c>
      <c r="V605">
        <v>1600</v>
      </c>
      <c r="W605">
        <v>1118.3</v>
      </c>
      <c r="X605" t="s">
        <v>73</v>
      </c>
      <c r="Y605" t="s">
        <v>68</v>
      </c>
      <c r="Z605" t="s">
        <v>161</v>
      </c>
      <c r="AA605" t="s">
        <v>169</v>
      </c>
      <c r="AB605">
        <v>3.5</v>
      </c>
      <c r="AC605">
        <v>80</v>
      </c>
      <c r="AD605">
        <v>114.31</v>
      </c>
      <c r="AE605">
        <f t="shared" si="18"/>
        <v>923.99</v>
      </c>
      <c r="AF605" t="str">
        <f t="shared" si="19"/>
        <v>2025-03</v>
      </c>
      <c r="AG605">
        <f>SUBTOTAL(103,A605)</f>
        <v>1</v>
      </c>
    </row>
    <row r="606" spans="1:33" x14ac:dyDescent="0.3">
      <c r="A606" t="s">
        <v>3217</v>
      </c>
      <c r="B606" s="13">
        <v>45736</v>
      </c>
      <c r="C606">
        <v>2025</v>
      </c>
      <c r="D606">
        <v>3</v>
      </c>
      <c r="E606" t="s">
        <v>3053</v>
      </c>
      <c r="F606" t="s">
        <v>2572</v>
      </c>
      <c r="G606" t="s">
        <v>1779</v>
      </c>
      <c r="H606" t="s">
        <v>1780</v>
      </c>
      <c r="I606" t="s">
        <v>85</v>
      </c>
      <c r="J606">
        <v>20</v>
      </c>
      <c r="K606" t="s">
        <v>80</v>
      </c>
      <c r="L606" t="s">
        <v>92</v>
      </c>
      <c r="M606" t="s">
        <v>59</v>
      </c>
      <c r="N606" t="s">
        <v>2590</v>
      </c>
      <c r="O606" t="s">
        <v>127</v>
      </c>
      <c r="P606" t="s">
        <v>51</v>
      </c>
      <c r="Q606" t="s">
        <v>148</v>
      </c>
      <c r="R606">
        <v>1</v>
      </c>
      <c r="S606">
        <v>1599</v>
      </c>
      <c r="T606">
        <v>0.05</v>
      </c>
      <c r="U606">
        <v>1519.05</v>
      </c>
      <c r="V606">
        <v>800</v>
      </c>
      <c r="W606">
        <v>719.05</v>
      </c>
      <c r="X606" t="s">
        <v>75</v>
      </c>
      <c r="Y606" t="s">
        <v>68</v>
      </c>
      <c r="Z606" t="s">
        <v>163</v>
      </c>
      <c r="AA606" t="s">
        <v>166</v>
      </c>
      <c r="AB606">
        <v>3.7</v>
      </c>
      <c r="AC606">
        <v>60</v>
      </c>
      <c r="AD606">
        <v>52.8</v>
      </c>
      <c r="AE606">
        <f t="shared" si="18"/>
        <v>606.25</v>
      </c>
      <c r="AF606" t="str">
        <f t="shared" si="19"/>
        <v>2025-03</v>
      </c>
      <c r="AG606">
        <f>SUBTOTAL(103,A606)</f>
        <v>1</v>
      </c>
    </row>
    <row r="607" spans="1:33" x14ac:dyDescent="0.3">
      <c r="A607" t="s">
        <v>3218</v>
      </c>
      <c r="B607" s="13">
        <v>45736</v>
      </c>
      <c r="C607">
        <v>2025</v>
      </c>
      <c r="D607">
        <v>3</v>
      </c>
      <c r="E607" t="s">
        <v>3053</v>
      </c>
      <c r="F607" t="s">
        <v>2572</v>
      </c>
      <c r="G607" t="s">
        <v>859</v>
      </c>
      <c r="H607" t="s">
        <v>860</v>
      </c>
      <c r="I607" t="s">
        <v>86</v>
      </c>
      <c r="J607">
        <v>45</v>
      </c>
      <c r="K607" t="s">
        <v>82</v>
      </c>
      <c r="L607" t="s">
        <v>99</v>
      </c>
      <c r="M607" t="s">
        <v>58</v>
      </c>
      <c r="N607" t="s">
        <v>2644</v>
      </c>
      <c r="O607" t="s">
        <v>126</v>
      </c>
      <c r="P607" t="s">
        <v>50</v>
      </c>
      <c r="Q607" t="s">
        <v>145</v>
      </c>
      <c r="R607">
        <v>2</v>
      </c>
      <c r="S607">
        <v>1799</v>
      </c>
      <c r="T607">
        <v>0.2</v>
      </c>
      <c r="U607">
        <v>2878.4</v>
      </c>
      <c r="V607">
        <v>1900</v>
      </c>
      <c r="W607">
        <v>978.4</v>
      </c>
      <c r="X607" t="s">
        <v>73</v>
      </c>
      <c r="Y607" t="s">
        <v>68</v>
      </c>
      <c r="Z607" t="s">
        <v>158</v>
      </c>
      <c r="AA607" t="s">
        <v>167</v>
      </c>
      <c r="AB607">
        <v>3.9</v>
      </c>
      <c r="AC607">
        <v>50</v>
      </c>
      <c r="AD607">
        <v>282.92</v>
      </c>
      <c r="AE607">
        <f t="shared" si="18"/>
        <v>645.48</v>
      </c>
      <c r="AF607" t="str">
        <f t="shared" si="19"/>
        <v>2025-03</v>
      </c>
      <c r="AG607">
        <f>SUBTOTAL(103,A607)</f>
        <v>1</v>
      </c>
    </row>
    <row r="608" spans="1:33" x14ac:dyDescent="0.3">
      <c r="A608" t="s">
        <v>3219</v>
      </c>
      <c r="B608" s="13">
        <v>45736</v>
      </c>
      <c r="C608">
        <v>2025</v>
      </c>
      <c r="D608">
        <v>3</v>
      </c>
      <c r="E608" t="s">
        <v>3053</v>
      </c>
      <c r="F608" t="s">
        <v>2572</v>
      </c>
      <c r="G608" t="s">
        <v>1723</v>
      </c>
      <c r="H608" t="s">
        <v>1724</v>
      </c>
      <c r="I608" t="s">
        <v>85</v>
      </c>
      <c r="J608">
        <v>22</v>
      </c>
      <c r="K608" t="s">
        <v>80</v>
      </c>
      <c r="L608" t="s">
        <v>2674</v>
      </c>
      <c r="M608" t="s">
        <v>58</v>
      </c>
      <c r="N608" t="s">
        <v>2644</v>
      </c>
      <c r="O608" t="s">
        <v>126</v>
      </c>
      <c r="P608" t="s">
        <v>50</v>
      </c>
      <c r="Q608" t="s">
        <v>145</v>
      </c>
      <c r="R608">
        <v>4</v>
      </c>
      <c r="S608">
        <v>1799</v>
      </c>
      <c r="T608">
        <v>0.05</v>
      </c>
      <c r="U608">
        <v>6836.2</v>
      </c>
      <c r="V608">
        <v>3800</v>
      </c>
      <c r="W608">
        <v>3036.2</v>
      </c>
      <c r="X608" t="s">
        <v>73</v>
      </c>
      <c r="Y608" t="s">
        <v>68</v>
      </c>
      <c r="Z608" t="s">
        <v>161</v>
      </c>
      <c r="AA608" t="s">
        <v>171</v>
      </c>
      <c r="AB608">
        <v>3.3</v>
      </c>
      <c r="AC608">
        <v>80</v>
      </c>
      <c r="AD608">
        <v>677.18</v>
      </c>
      <c r="AE608">
        <f t="shared" si="18"/>
        <v>2279.02</v>
      </c>
      <c r="AF608" t="str">
        <f t="shared" si="19"/>
        <v>2025-03</v>
      </c>
      <c r="AG608">
        <f>SUBTOTAL(103,A608)</f>
        <v>1</v>
      </c>
    </row>
    <row r="609" spans="1:33" x14ac:dyDescent="0.3">
      <c r="A609" t="s">
        <v>3220</v>
      </c>
      <c r="B609" s="13">
        <v>45736</v>
      </c>
      <c r="C609">
        <v>2025</v>
      </c>
      <c r="D609">
        <v>3</v>
      </c>
      <c r="E609" t="s">
        <v>3053</v>
      </c>
      <c r="F609" t="s">
        <v>2572</v>
      </c>
      <c r="G609" t="s">
        <v>2223</v>
      </c>
      <c r="H609" t="s">
        <v>2224</v>
      </c>
      <c r="I609" t="s">
        <v>86</v>
      </c>
      <c r="J609">
        <v>36</v>
      </c>
      <c r="K609" t="s">
        <v>82</v>
      </c>
      <c r="L609" t="s">
        <v>2616</v>
      </c>
      <c r="M609" t="s">
        <v>62</v>
      </c>
      <c r="N609" t="s">
        <v>2630</v>
      </c>
      <c r="O609" t="s">
        <v>123</v>
      </c>
      <c r="P609" t="s">
        <v>52</v>
      </c>
      <c r="Q609" t="s">
        <v>146</v>
      </c>
      <c r="R609">
        <v>2</v>
      </c>
      <c r="S609">
        <v>2499</v>
      </c>
      <c r="T609">
        <v>0.1</v>
      </c>
      <c r="U609">
        <v>0</v>
      </c>
      <c r="V609">
        <v>0</v>
      </c>
      <c r="W609">
        <v>0</v>
      </c>
      <c r="X609" t="s">
        <v>76</v>
      </c>
      <c r="Y609" t="s">
        <v>71</v>
      </c>
      <c r="Z609" t="s">
        <v>160</v>
      </c>
      <c r="AA609" t="s">
        <v>167</v>
      </c>
      <c r="AB609">
        <v>5</v>
      </c>
      <c r="AC609">
        <v>80</v>
      </c>
      <c r="AD609">
        <v>498.79</v>
      </c>
      <c r="AE609">
        <f t="shared" si="18"/>
        <v>-578.79</v>
      </c>
      <c r="AF609" t="str">
        <f t="shared" si="19"/>
        <v>2025-03</v>
      </c>
      <c r="AG609">
        <f>SUBTOTAL(103,A609)</f>
        <v>1</v>
      </c>
    </row>
    <row r="610" spans="1:33" x14ac:dyDescent="0.3">
      <c r="A610" t="s">
        <v>3221</v>
      </c>
      <c r="B610" s="13">
        <v>45736</v>
      </c>
      <c r="C610">
        <v>2025</v>
      </c>
      <c r="D610">
        <v>3</v>
      </c>
      <c r="E610" t="s">
        <v>3053</v>
      </c>
      <c r="F610" t="s">
        <v>2572</v>
      </c>
      <c r="G610" t="s">
        <v>2477</v>
      </c>
      <c r="H610" t="s">
        <v>2478</v>
      </c>
      <c r="I610" t="s">
        <v>86</v>
      </c>
      <c r="J610">
        <v>24</v>
      </c>
      <c r="K610" t="s">
        <v>80</v>
      </c>
      <c r="L610" t="s">
        <v>92</v>
      </c>
      <c r="M610" t="s">
        <v>59</v>
      </c>
      <c r="N610" t="s">
        <v>2653</v>
      </c>
      <c r="O610" t="s">
        <v>132</v>
      </c>
      <c r="P610" t="s">
        <v>52</v>
      </c>
      <c r="Q610" t="s">
        <v>150</v>
      </c>
      <c r="R610">
        <v>1</v>
      </c>
      <c r="S610">
        <v>899</v>
      </c>
      <c r="T610">
        <v>0.1</v>
      </c>
      <c r="U610">
        <v>809.1</v>
      </c>
      <c r="V610">
        <v>420</v>
      </c>
      <c r="W610">
        <v>389.1</v>
      </c>
      <c r="X610" t="s">
        <v>73</v>
      </c>
      <c r="Y610" t="s">
        <v>68</v>
      </c>
      <c r="Z610" t="s">
        <v>161</v>
      </c>
      <c r="AA610" t="s">
        <v>169</v>
      </c>
      <c r="AB610">
        <v>4.0999999999999996</v>
      </c>
      <c r="AC610">
        <v>80</v>
      </c>
      <c r="AD610">
        <v>51.34</v>
      </c>
      <c r="AE610">
        <f t="shared" si="18"/>
        <v>257.76</v>
      </c>
      <c r="AF610" t="str">
        <f t="shared" si="19"/>
        <v>2025-03</v>
      </c>
      <c r="AG610">
        <f>SUBTOTAL(103,A610)</f>
        <v>1</v>
      </c>
    </row>
    <row r="611" spans="1:33" x14ac:dyDescent="0.3">
      <c r="A611" t="s">
        <v>3222</v>
      </c>
      <c r="B611" s="13">
        <v>45736</v>
      </c>
      <c r="C611">
        <v>2025</v>
      </c>
      <c r="D611">
        <v>3</v>
      </c>
      <c r="E611" t="s">
        <v>3053</v>
      </c>
      <c r="F611" t="s">
        <v>2572</v>
      </c>
      <c r="G611" t="s">
        <v>1353</v>
      </c>
      <c r="H611" t="s">
        <v>1354</v>
      </c>
      <c r="I611" t="s">
        <v>86</v>
      </c>
      <c r="J611">
        <v>35</v>
      </c>
      <c r="K611" t="s">
        <v>81</v>
      </c>
      <c r="L611" t="s">
        <v>2573</v>
      </c>
      <c r="M611" t="s">
        <v>63</v>
      </c>
      <c r="N611" t="s">
        <v>2580</v>
      </c>
      <c r="O611" t="s">
        <v>118</v>
      </c>
      <c r="P611" t="s">
        <v>48</v>
      </c>
      <c r="Q611" t="s">
        <v>142</v>
      </c>
      <c r="R611">
        <v>2</v>
      </c>
      <c r="S611">
        <v>3999</v>
      </c>
      <c r="T611">
        <v>0.1</v>
      </c>
      <c r="U611">
        <v>7198.2</v>
      </c>
      <c r="V611">
        <v>4800</v>
      </c>
      <c r="W611">
        <v>2398.1999999999998</v>
      </c>
      <c r="X611" t="s">
        <v>74</v>
      </c>
      <c r="Y611" t="s">
        <v>69</v>
      </c>
      <c r="Z611" t="s">
        <v>162</v>
      </c>
      <c r="AA611" t="s">
        <v>168</v>
      </c>
      <c r="AB611">
        <v>3.1</v>
      </c>
      <c r="AC611">
        <v>50</v>
      </c>
      <c r="AD611">
        <v>419.11</v>
      </c>
      <c r="AE611">
        <f t="shared" si="18"/>
        <v>1929.0899999999997</v>
      </c>
      <c r="AF611" t="str">
        <f t="shared" si="19"/>
        <v>2025-03</v>
      </c>
      <c r="AG611">
        <f>SUBTOTAL(103,A611)</f>
        <v>1</v>
      </c>
    </row>
    <row r="612" spans="1:33" x14ac:dyDescent="0.3">
      <c r="A612" t="s">
        <v>3223</v>
      </c>
      <c r="B612" s="13">
        <v>45736</v>
      </c>
      <c r="C612">
        <v>2025</v>
      </c>
      <c r="D612">
        <v>3</v>
      </c>
      <c r="E612" t="s">
        <v>3053</v>
      </c>
      <c r="F612" t="s">
        <v>2572</v>
      </c>
      <c r="G612" t="s">
        <v>2241</v>
      </c>
      <c r="H612" t="s">
        <v>2242</v>
      </c>
      <c r="I612" t="s">
        <v>85</v>
      </c>
      <c r="J612">
        <v>56</v>
      </c>
      <c r="K612" t="s">
        <v>83</v>
      </c>
      <c r="L612" t="s">
        <v>2573</v>
      </c>
      <c r="M612" t="s">
        <v>63</v>
      </c>
      <c r="N612" t="s">
        <v>2647</v>
      </c>
      <c r="O612" t="s">
        <v>133</v>
      </c>
      <c r="P612" t="s">
        <v>50</v>
      </c>
      <c r="Q612" t="s">
        <v>145</v>
      </c>
      <c r="R612">
        <v>2</v>
      </c>
      <c r="S612">
        <v>799</v>
      </c>
      <c r="T612">
        <v>0.2</v>
      </c>
      <c r="U612">
        <v>1278.4000000000001</v>
      </c>
      <c r="V612">
        <v>780</v>
      </c>
      <c r="W612">
        <v>498.4</v>
      </c>
      <c r="X612" t="s">
        <v>75</v>
      </c>
      <c r="Y612" t="s">
        <v>68</v>
      </c>
      <c r="Z612" t="s">
        <v>159</v>
      </c>
      <c r="AA612" t="s">
        <v>170</v>
      </c>
      <c r="AB612">
        <v>4.4000000000000004</v>
      </c>
      <c r="AC612">
        <v>40</v>
      </c>
      <c r="AD612">
        <v>90.2</v>
      </c>
      <c r="AE612">
        <f t="shared" si="18"/>
        <v>368.2</v>
      </c>
      <c r="AF612" t="str">
        <f t="shared" si="19"/>
        <v>2025-03</v>
      </c>
      <c r="AG612">
        <f>SUBTOTAL(103,A612)</f>
        <v>1</v>
      </c>
    </row>
    <row r="613" spans="1:33" x14ac:dyDescent="0.3">
      <c r="A613" t="s">
        <v>3224</v>
      </c>
      <c r="B613" s="13">
        <v>45736</v>
      </c>
      <c r="C613">
        <v>2025</v>
      </c>
      <c r="D613">
        <v>3</v>
      </c>
      <c r="E613" t="s">
        <v>3053</v>
      </c>
      <c r="F613" t="s">
        <v>2572</v>
      </c>
      <c r="G613" t="s">
        <v>1461</v>
      </c>
      <c r="H613" t="s">
        <v>1462</v>
      </c>
      <c r="I613" t="s">
        <v>86</v>
      </c>
      <c r="J613">
        <v>40</v>
      </c>
      <c r="K613" t="s">
        <v>82</v>
      </c>
      <c r="L613" t="s">
        <v>91</v>
      </c>
      <c r="M613" t="s">
        <v>55</v>
      </c>
      <c r="N613" t="s">
        <v>2626</v>
      </c>
      <c r="O613" t="s">
        <v>125</v>
      </c>
      <c r="P613" t="s">
        <v>48</v>
      </c>
      <c r="Q613" t="s">
        <v>141</v>
      </c>
      <c r="R613">
        <v>4</v>
      </c>
      <c r="S613">
        <v>1999</v>
      </c>
      <c r="T613">
        <v>0</v>
      </c>
      <c r="U613">
        <v>7996</v>
      </c>
      <c r="V613">
        <v>4600</v>
      </c>
      <c r="W613">
        <v>3396</v>
      </c>
      <c r="X613" t="s">
        <v>77</v>
      </c>
      <c r="Y613" t="s">
        <v>68</v>
      </c>
      <c r="Z613" t="s">
        <v>162</v>
      </c>
      <c r="AA613" t="s">
        <v>168</v>
      </c>
      <c r="AB613">
        <v>3.4</v>
      </c>
      <c r="AC613">
        <v>60</v>
      </c>
      <c r="AD613">
        <v>909.77</v>
      </c>
      <c r="AE613">
        <f t="shared" si="18"/>
        <v>2426.23</v>
      </c>
      <c r="AF613" t="str">
        <f t="shared" si="19"/>
        <v>2025-03</v>
      </c>
      <c r="AG613">
        <f>SUBTOTAL(103,A613)</f>
        <v>1</v>
      </c>
    </row>
    <row r="614" spans="1:33" x14ac:dyDescent="0.3">
      <c r="A614" t="s">
        <v>3225</v>
      </c>
      <c r="B614" s="13">
        <v>45736</v>
      </c>
      <c r="C614">
        <v>2025</v>
      </c>
      <c r="D614">
        <v>3</v>
      </c>
      <c r="E614" t="s">
        <v>3053</v>
      </c>
      <c r="F614" t="s">
        <v>2572</v>
      </c>
      <c r="G614" t="s">
        <v>1001</v>
      </c>
      <c r="H614" t="s">
        <v>1002</v>
      </c>
      <c r="I614" t="s">
        <v>86</v>
      </c>
      <c r="J614">
        <v>55</v>
      </c>
      <c r="K614" t="s">
        <v>83</v>
      </c>
      <c r="L614" t="s">
        <v>91</v>
      </c>
      <c r="M614" t="s">
        <v>55</v>
      </c>
      <c r="N614" t="s">
        <v>2587</v>
      </c>
      <c r="O614" t="s">
        <v>116</v>
      </c>
      <c r="P614" t="s">
        <v>48</v>
      </c>
      <c r="Q614" t="s">
        <v>138</v>
      </c>
      <c r="R614">
        <v>1</v>
      </c>
      <c r="S614">
        <v>14999</v>
      </c>
      <c r="T614">
        <v>0.1</v>
      </c>
      <c r="U614">
        <v>13499.1</v>
      </c>
      <c r="V614">
        <v>11200</v>
      </c>
      <c r="W614">
        <v>2299.1</v>
      </c>
      <c r="X614" t="s">
        <v>76</v>
      </c>
      <c r="Y614" t="s">
        <v>68</v>
      </c>
      <c r="Z614" t="s">
        <v>161</v>
      </c>
      <c r="AA614" t="s">
        <v>166</v>
      </c>
      <c r="AB614">
        <v>3</v>
      </c>
      <c r="AC614">
        <v>60</v>
      </c>
      <c r="AD614">
        <v>365.77</v>
      </c>
      <c r="AE614">
        <f t="shared" si="18"/>
        <v>1873.33</v>
      </c>
      <c r="AF614" t="str">
        <f t="shared" si="19"/>
        <v>2025-03</v>
      </c>
      <c r="AG614">
        <f>SUBTOTAL(103,A614)</f>
        <v>1</v>
      </c>
    </row>
    <row r="615" spans="1:33" x14ac:dyDescent="0.3">
      <c r="A615" t="s">
        <v>3226</v>
      </c>
      <c r="B615" s="13">
        <v>45736</v>
      </c>
      <c r="C615">
        <v>2025</v>
      </c>
      <c r="D615">
        <v>3</v>
      </c>
      <c r="E615" t="s">
        <v>3053</v>
      </c>
      <c r="F615" t="s">
        <v>2572</v>
      </c>
      <c r="G615" t="s">
        <v>1761</v>
      </c>
      <c r="H615" t="s">
        <v>1762</v>
      </c>
      <c r="I615" t="s">
        <v>85</v>
      </c>
      <c r="J615">
        <v>40</v>
      </c>
      <c r="K615" t="s">
        <v>82</v>
      </c>
      <c r="L615" t="s">
        <v>2623</v>
      </c>
      <c r="M615" t="s">
        <v>61</v>
      </c>
      <c r="N615" t="s">
        <v>2653</v>
      </c>
      <c r="O615" t="s">
        <v>132</v>
      </c>
      <c r="P615" t="s">
        <v>52</v>
      </c>
      <c r="Q615" t="s">
        <v>150</v>
      </c>
      <c r="R615">
        <v>1</v>
      </c>
      <c r="S615">
        <v>899</v>
      </c>
      <c r="T615">
        <v>0.05</v>
      </c>
      <c r="U615">
        <v>854.05</v>
      </c>
      <c r="V615">
        <v>420</v>
      </c>
      <c r="W615">
        <v>434.05</v>
      </c>
      <c r="X615" t="s">
        <v>75</v>
      </c>
      <c r="Y615" t="s">
        <v>68</v>
      </c>
      <c r="Z615" t="s">
        <v>163</v>
      </c>
      <c r="AA615" t="s">
        <v>166</v>
      </c>
      <c r="AB615">
        <v>5</v>
      </c>
      <c r="AC615">
        <v>100</v>
      </c>
      <c r="AD615">
        <v>39.56</v>
      </c>
      <c r="AE615">
        <f t="shared" si="18"/>
        <v>294.49</v>
      </c>
      <c r="AF615" t="str">
        <f t="shared" si="19"/>
        <v>2025-03</v>
      </c>
      <c r="AG615">
        <f>SUBTOTAL(103,A615)</f>
        <v>1</v>
      </c>
    </row>
    <row r="616" spans="1:33" x14ac:dyDescent="0.3">
      <c r="A616" t="s">
        <v>3227</v>
      </c>
      <c r="B616" s="13">
        <v>45736</v>
      </c>
      <c r="C616">
        <v>2025</v>
      </c>
      <c r="D616">
        <v>3</v>
      </c>
      <c r="E616" t="s">
        <v>3053</v>
      </c>
      <c r="F616" t="s">
        <v>2572</v>
      </c>
      <c r="G616" t="s">
        <v>901</v>
      </c>
      <c r="H616" t="s">
        <v>902</v>
      </c>
      <c r="I616" t="s">
        <v>86</v>
      </c>
      <c r="J616">
        <v>44</v>
      </c>
      <c r="K616" t="s">
        <v>82</v>
      </c>
      <c r="L616" t="s">
        <v>2687</v>
      </c>
      <c r="M616" t="s">
        <v>57</v>
      </c>
      <c r="N616" t="s">
        <v>2665</v>
      </c>
      <c r="O616" t="s">
        <v>128</v>
      </c>
      <c r="P616" t="s">
        <v>53</v>
      </c>
      <c r="Q616" t="s">
        <v>143</v>
      </c>
      <c r="R616">
        <v>1</v>
      </c>
      <c r="S616">
        <v>1499</v>
      </c>
      <c r="T616">
        <v>0.05</v>
      </c>
      <c r="U616">
        <v>1424.05</v>
      </c>
      <c r="V616">
        <v>800</v>
      </c>
      <c r="W616">
        <v>624.04999999999995</v>
      </c>
      <c r="X616" t="s">
        <v>73</v>
      </c>
      <c r="Y616" t="s">
        <v>68</v>
      </c>
      <c r="Z616" t="s">
        <v>158</v>
      </c>
      <c r="AA616" t="s">
        <v>168</v>
      </c>
      <c r="AB616">
        <v>4.7</v>
      </c>
      <c r="AC616">
        <v>80</v>
      </c>
      <c r="AD616">
        <v>68.55</v>
      </c>
      <c r="AE616">
        <f t="shared" si="18"/>
        <v>475.49999999999994</v>
      </c>
      <c r="AF616" t="str">
        <f t="shared" si="19"/>
        <v>2025-03</v>
      </c>
      <c r="AG616">
        <f>SUBTOTAL(103,A616)</f>
        <v>1</v>
      </c>
    </row>
    <row r="617" spans="1:33" x14ac:dyDescent="0.3">
      <c r="A617" t="s">
        <v>3228</v>
      </c>
      <c r="B617" s="13">
        <v>45736</v>
      </c>
      <c r="C617">
        <v>2025</v>
      </c>
      <c r="D617">
        <v>3</v>
      </c>
      <c r="E617" t="s">
        <v>3053</v>
      </c>
      <c r="F617" t="s">
        <v>2572</v>
      </c>
      <c r="G617" t="s">
        <v>579</v>
      </c>
      <c r="H617" t="s">
        <v>580</v>
      </c>
      <c r="I617" t="s">
        <v>85</v>
      </c>
      <c r="J617">
        <v>31</v>
      </c>
      <c r="K617" t="s">
        <v>81</v>
      </c>
      <c r="L617" t="s">
        <v>90</v>
      </c>
      <c r="M617" t="s">
        <v>55</v>
      </c>
      <c r="N617" t="s">
        <v>2626</v>
      </c>
      <c r="O617" t="s">
        <v>125</v>
      </c>
      <c r="P617" t="s">
        <v>48</v>
      </c>
      <c r="Q617" t="s">
        <v>141</v>
      </c>
      <c r="R617">
        <v>1</v>
      </c>
      <c r="S617">
        <v>1999</v>
      </c>
      <c r="T617">
        <v>0.05</v>
      </c>
      <c r="U617">
        <v>1899.05</v>
      </c>
      <c r="V617">
        <v>1150</v>
      </c>
      <c r="W617">
        <v>749.05</v>
      </c>
      <c r="X617" t="s">
        <v>75</v>
      </c>
      <c r="Y617" t="s">
        <v>68</v>
      </c>
      <c r="Z617" t="s">
        <v>162</v>
      </c>
      <c r="AA617" t="s">
        <v>169</v>
      </c>
      <c r="AB617">
        <v>4</v>
      </c>
      <c r="AC617">
        <v>40</v>
      </c>
      <c r="AD617">
        <v>114.16</v>
      </c>
      <c r="AE617">
        <f t="shared" si="18"/>
        <v>594.89</v>
      </c>
      <c r="AF617" t="str">
        <f t="shared" si="19"/>
        <v>2025-03</v>
      </c>
      <c r="AG617">
        <f>SUBTOTAL(103,A617)</f>
        <v>1</v>
      </c>
    </row>
    <row r="618" spans="1:33" x14ac:dyDescent="0.3">
      <c r="A618" t="s">
        <v>3229</v>
      </c>
      <c r="B618" s="13">
        <v>45736</v>
      </c>
      <c r="C618">
        <v>2025</v>
      </c>
      <c r="D618">
        <v>3</v>
      </c>
      <c r="E618" t="s">
        <v>3053</v>
      </c>
      <c r="F618" t="s">
        <v>2572</v>
      </c>
      <c r="G618" t="s">
        <v>555</v>
      </c>
      <c r="H618" t="s">
        <v>556</v>
      </c>
      <c r="I618" t="s">
        <v>85</v>
      </c>
      <c r="J618">
        <v>47</v>
      </c>
      <c r="K618" t="s">
        <v>83</v>
      </c>
      <c r="L618" t="s">
        <v>2576</v>
      </c>
      <c r="M618" t="s">
        <v>60</v>
      </c>
      <c r="N618" t="s">
        <v>2577</v>
      </c>
      <c r="O618" t="s">
        <v>129</v>
      </c>
      <c r="P618" t="s">
        <v>49</v>
      </c>
      <c r="Q618" t="s">
        <v>149</v>
      </c>
      <c r="R618">
        <v>3</v>
      </c>
      <c r="S618">
        <v>1299</v>
      </c>
      <c r="T618">
        <v>0</v>
      </c>
      <c r="U618">
        <v>3897</v>
      </c>
      <c r="V618">
        <v>1950</v>
      </c>
      <c r="W618">
        <v>1947</v>
      </c>
      <c r="X618" t="s">
        <v>75</v>
      </c>
      <c r="Y618" t="s">
        <v>68</v>
      </c>
      <c r="Z618" t="s">
        <v>161</v>
      </c>
      <c r="AA618" t="s">
        <v>169</v>
      </c>
      <c r="AB618">
        <v>4.3</v>
      </c>
      <c r="AC618">
        <v>120</v>
      </c>
      <c r="AD618">
        <v>422.63</v>
      </c>
      <c r="AE618">
        <f t="shared" si="18"/>
        <v>1404.37</v>
      </c>
      <c r="AF618" t="str">
        <f t="shared" si="19"/>
        <v>2025-03</v>
      </c>
      <c r="AG618">
        <f>SUBTOTAL(103,A618)</f>
        <v>1</v>
      </c>
    </row>
    <row r="619" spans="1:33" x14ac:dyDescent="0.3">
      <c r="A619" t="s">
        <v>3230</v>
      </c>
      <c r="B619" s="13">
        <v>45737</v>
      </c>
      <c r="C619">
        <v>2025</v>
      </c>
      <c r="D619">
        <v>3</v>
      </c>
      <c r="E619" t="s">
        <v>3053</v>
      </c>
      <c r="F619" t="s">
        <v>2572</v>
      </c>
      <c r="G619" t="s">
        <v>1023</v>
      </c>
      <c r="H619" t="s">
        <v>1024</v>
      </c>
      <c r="I619" t="s">
        <v>86</v>
      </c>
      <c r="J619">
        <v>54</v>
      </c>
      <c r="K619" t="s">
        <v>83</v>
      </c>
      <c r="L619" t="s">
        <v>98</v>
      </c>
      <c r="M619" t="s">
        <v>55</v>
      </c>
      <c r="N619" t="s">
        <v>2574</v>
      </c>
      <c r="O619" t="s">
        <v>130</v>
      </c>
      <c r="P619" t="s">
        <v>50</v>
      </c>
      <c r="Q619" t="s">
        <v>53</v>
      </c>
      <c r="R619">
        <v>2</v>
      </c>
      <c r="S619">
        <v>1199</v>
      </c>
      <c r="T619">
        <v>0.05</v>
      </c>
      <c r="U619">
        <v>2278.1</v>
      </c>
      <c r="V619">
        <v>1100</v>
      </c>
      <c r="W619">
        <v>1178.0999999999999</v>
      </c>
      <c r="X619" t="s">
        <v>73</v>
      </c>
      <c r="Y619" t="s">
        <v>68</v>
      </c>
      <c r="Z619" t="s">
        <v>162</v>
      </c>
      <c r="AA619" t="s">
        <v>166</v>
      </c>
      <c r="AB619">
        <v>3.9</v>
      </c>
      <c r="AC619">
        <v>50</v>
      </c>
      <c r="AD619">
        <v>141.87</v>
      </c>
      <c r="AE619">
        <f t="shared" si="18"/>
        <v>986.2299999999999</v>
      </c>
      <c r="AF619" t="str">
        <f t="shared" si="19"/>
        <v>2025-03</v>
      </c>
      <c r="AG619">
        <f>SUBTOTAL(103,A619)</f>
        <v>1</v>
      </c>
    </row>
    <row r="620" spans="1:33" x14ac:dyDescent="0.3">
      <c r="A620" t="s">
        <v>3231</v>
      </c>
      <c r="B620" s="13">
        <v>45737</v>
      </c>
      <c r="C620">
        <v>2025</v>
      </c>
      <c r="D620">
        <v>3</v>
      </c>
      <c r="E620" t="s">
        <v>3053</v>
      </c>
      <c r="F620" t="s">
        <v>2572</v>
      </c>
      <c r="G620" t="s">
        <v>485</v>
      </c>
      <c r="H620" t="s">
        <v>486</v>
      </c>
      <c r="I620" t="s">
        <v>86</v>
      </c>
      <c r="J620">
        <v>49</v>
      </c>
      <c r="K620" t="s">
        <v>83</v>
      </c>
      <c r="L620" t="s">
        <v>90</v>
      </c>
      <c r="M620" t="s">
        <v>55</v>
      </c>
      <c r="N620" t="s">
        <v>2577</v>
      </c>
      <c r="O620" t="s">
        <v>129</v>
      </c>
      <c r="P620" t="s">
        <v>49</v>
      </c>
      <c r="Q620" t="s">
        <v>149</v>
      </c>
      <c r="R620">
        <v>3</v>
      </c>
      <c r="S620">
        <v>1299</v>
      </c>
      <c r="T620">
        <v>0.15</v>
      </c>
      <c r="U620">
        <v>3312.45</v>
      </c>
      <c r="V620">
        <v>1950</v>
      </c>
      <c r="W620">
        <v>1362.45</v>
      </c>
      <c r="X620" t="s">
        <v>76</v>
      </c>
      <c r="Y620" t="s">
        <v>68</v>
      </c>
      <c r="Z620" t="s">
        <v>158</v>
      </c>
      <c r="AA620" t="s">
        <v>168</v>
      </c>
      <c r="AB620">
        <v>4.3</v>
      </c>
      <c r="AC620">
        <v>50</v>
      </c>
      <c r="AD620">
        <v>270.98</v>
      </c>
      <c r="AE620">
        <f t="shared" si="18"/>
        <v>1041.47</v>
      </c>
      <c r="AF620" t="str">
        <f t="shared" si="19"/>
        <v>2025-03</v>
      </c>
      <c r="AG620">
        <f>SUBTOTAL(103,A620)</f>
        <v>1</v>
      </c>
    </row>
    <row r="621" spans="1:33" x14ac:dyDescent="0.3">
      <c r="A621" t="s">
        <v>3232</v>
      </c>
      <c r="B621" s="13">
        <v>45737</v>
      </c>
      <c r="C621">
        <v>2025</v>
      </c>
      <c r="D621">
        <v>3</v>
      </c>
      <c r="E621" t="s">
        <v>3053</v>
      </c>
      <c r="F621" t="s">
        <v>2572</v>
      </c>
      <c r="G621" t="s">
        <v>1915</v>
      </c>
      <c r="H621" t="s">
        <v>1916</v>
      </c>
      <c r="I621" t="s">
        <v>86</v>
      </c>
      <c r="J621">
        <v>26</v>
      </c>
      <c r="K621" t="s">
        <v>81</v>
      </c>
      <c r="L621" t="s">
        <v>90</v>
      </c>
      <c r="M621" t="s">
        <v>55</v>
      </c>
      <c r="N621" t="s">
        <v>2580</v>
      </c>
      <c r="O621" t="s">
        <v>118</v>
      </c>
      <c r="P621" t="s">
        <v>48</v>
      </c>
      <c r="Q621" t="s">
        <v>142</v>
      </c>
      <c r="R621">
        <v>1</v>
      </c>
      <c r="S621">
        <v>3999</v>
      </c>
      <c r="T621">
        <v>0.25</v>
      </c>
      <c r="U621">
        <v>2999.25</v>
      </c>
      <c r="V621">
        <v>2400</v>
      </c>
      <c r="W621">
        <v>599.25</v>
      </c>
      <c r="X621" t="s">
        <v>76</v>
      </c>
      <c r="Y621" t="s">
        <v>68</v>
      </c>
      <c r="Z621" t="s">
        <v>159</v>
      </c>
      <c r="AA621" t="s">
        <v>167</v>
      </c>
      <c r="AB621">
        <v>3.2</v>
      </c>
      <c r="AC621">
        <v>80</v>
      </c>
      <c r="AD621">
        <v>265.62</v>
      </c>
      <c r="AE621">
        <f t="shared" si="18"/>
        <v>253.63</v>
      </c>
      <c r="AF621" t="str">
        <f t="shared" si="19"/>
        <v>2025-03</v>
      </c>
      <c r="AG621">
        <f>SUBTOTAL(103,A621)</f>
        <v>1</v>
      </c>
    </row>
    <row r="622" spans="1:33" x14ac:dyDescent="0.3">
      <c r="A622" t="s">
        <v>3233</v>
      </c>
      <c r="B622" s="13">
        <v>45737</v>
      </c>
      <c r="C622">
        <v>2025</v>
      </c>
      <c r="D622">
        <v>3</v>
      </c>
      <c r="E622" t="s">
        <v>3053</v>
      </c>
      <c r="F622" t="s">
        <v>2572</v>
      </c>
      <c r="G622" t="s">
        <v>1107</v>
      </c>
      <c r="H622" t="s">
        <v>1108</v>
      </c>
      <c r="I622" t="s">
        <v>85</v>
      </c>
      <c r="J622">
        <v>54</v>
      </c>
      <c r="K622" t="s">
        <v>83</v>
      </c>
      <c r="L622" t="s">
        <v>2661</v>
      </c>
      <c r="M622" t="s">
        <v>58</v>
      </c>
      <c r="N622" t="s">
        <v>2574</v>
      </c>
      <c r="O622" t="s">
        <v>130</v>
      </c>
      <c r="P622" t="s">
        <v>50</v>
      </c>
      <c r="Q622" t="s">
        <v>53</v>
      </c>
      <c r="R622">
        <v>3</v>
      </c>
      <c r="S622">
        <v>1199</v>
      </c>
      <c r="T622">
        <v>0</v>
      </c>
      <c r="U622">
        <v>3597</v>
      </c>
      <c r="V622">
        <v>1650</v>
      </c>
      <c r="W622">
        <v>1947</v>
      </c>
      <c r="X622" t="s">
        <v>76</v>
      </c>
      <c r="Y622" t="s">
        <v>69</v>
      </c>
      <c r="Z622" t="s">
        <v>158</v>
      </c>
      <c r="AA622" t="s">
        <v>168</v>
      </c>
      <c r="AB622">
        <v>3.9</v>
      </c>
      <c r="AC622">
        <v>80</v>
      </c>
      <c r="AD622">
        <v>81.3</v>
      </c>
      <c r="AE622">
        <f t="shared" si="18"/>
        <v>1785.7</v>
      </c>
      <c r="AF622" t="str">
        <f t="shared" si="19"/>
        <v>2025-03</v>
      </c>
      <c r="AG622">
        <f>SUBTOTAL(103,A622)</f>
        <v>1</v>
      </c>
    </row>
    <row r="623" spans="1:33" x14ac:dyDescent="0.3">
      <c r="A623" t="s">
        <v>3234</v>
      </c>
      <c r="B623" s="13">
        <v>45737</v>
      </c>
      <c r="C623">
        <v>2025</v>
      </c>
      <c r="D623">
        <v>3</v>
      </c>
      <c r="E623" t="s">
        <v>3053</v>
      </c>
      <c r="F623" t="s">
        <v>2572</v>
      </c>
      <c r="G623" t="s">
        <v>1809</v>
      </c>
      <c r="H623" t="s">
        <v>1810</v>
      </c>
      <c r="I623" t="s">
        <v>85</v>
      </c>
      <c r="J623">
        <v>49</v>
      </c>
      <c r="K623" t="s">
        <v>83</v>
      </c>
      <c r="L623" t="s">
        <v>93</v>
      </c>
      <c r="M623" t="s">
        <v>55</v>
      </c>
      <c r="N623" t="s">
        <v>2582</v>
      </c>
      <c r="O623" t="s">
        <v>119</v>
      </c>
      <c r="P623" t="s">
        <v>49</v>
      </c>
      <c r="Q623" t="s">
        <v>140</v>
      </c>
      <c r="R623">
        <v>2</v>
      </c>
      <c r="S623">
        <v>3499</v>
      </c>
      <c r="T623">
        <v>0</v>
      </c>
      <c r="U623">
        <v>6998</v>
      </c>
      <c r="V623">
        <v>4200</v>
      </c>
      <c r="W623">
        <v>2798</v>
      </c>
      <c r="X623" t="s">
        <v>74</v>
      </c>
      <c r="Y623" t="s">
        <v>68</v>
      </c>
      <c r="Z623" t="s">
        <v>163</v>
      </c>
      <c r="AA623" t="s">
        <v>166</v>
      </c>
      <c r="AB623">
        <v>4.5999999999999996</v>
      </c>
      <c r="AC623">
        <v>100</v>
      </c>
      <c r="AD623">
        <v>230.62</v>
      </c>
      <c r="AE623">
        <f t="shared" si="18"/>
        <v>2467.38</v>
      </c>
      <c r="AF623" t="str">
        <f t="shared" si="19"/>
        <v>2025-03</v>
      </c>
      <c r="AG623">
        <f>SUBTOTAL(103,A623)</f>
        <v>1</v>
      </c>
    </row>
    <row r="624" spans="1:33" x14ac:dyDescent="0.3">
      <c r="A624" t="s">
        <v>3235</v>
      </c>
      <c r="B624" s="13">
        <v>45737</v>
      </c>
      <c r="C624">
        <v>2025</v>
      </c>
      <c r="D624">
        <v>3</v>
      </c>
      <c r="E624" t="s">
        <v>3053</v>
      </c>
      <c r="F624" t="s">
        <v>2572</v>
      </c>
      <c r="G624" t="s">
        <v>327</v>
      </c>
      <c r="H624" t="s">
        <v>328</v>
      </c>
      <c r="I624" t="s">
        <v>86</v>
      </c>
      <c r="J624">
        <v>29</v>
      </c>
      <c r="K624" t="s">
        <v>81</v>
      </c>
      <c r="L624" t="s">
        <v>93</v>
      </c>
      <c r="M624" t="s">
        <v>55</v>
      </c>
      <c r="N624" t="s">
        <v>2644</v>
      </c>
      <c r="O624" t="s">
        <v>126</v>
      </c>
      <c r="P624" t="s">
        <v>50</v>
      </c>
      <c r="Q624" t="s">
        <v>145</v>
      </c>
      <c r="R624">
        <v>4</v>
      </c>
      <c r="S624">
        <v>1799</v>
      </c>
      <c r="T624">
        <v>0.05</v>
      </c>
      <c r="U624">
        <v>6836.2</v>
      </c>
      <c r="V624">
        <v>3800</v>
      </c>
      <c r="W624">
        <v>3036.2</v>
      </c>
      <c r="X624" t="s">
        <v>74</v>
      </c>
      <c r="Y624" t="s">
        <v>68</v>
      </c>
      <c r="Z624" t="s">
        <v>158</v>
      </c>
      <c r="AA624" t="s">
        <v>169</v>
      </c>
      <c r="AB624">
        <v>4.8</v>
      </c>
      <c r="AC624">
        <v>60</v>
      </c>
      <c r="AD624">
        <v>621.48</v>
      </c>
      <c r="AE624">
        <f t="shared" si="18"/>
        <v>2354.7199999999998</v>
      </c>
      <c r="AF624" t="str">
        <f t="shared" si="19"/>
        <v>2025-03</v>
      </c>
      <c r="AG624">
        <f>SUBTOTAL(103,A624)</f>
        <v>1</v>
      </c>
    </row>
    <row r="625" spans="1:33" x14ac:dyDescent="0.3">
      <c r="A625" t="s">
        <v>3236</v>
      </c>
      <c r="B625" s="13">
        <v>45737</v>
      </c>
      <c r="C625">
        <v>2025</v>
      </c>
      <c r="D625">
        <v>3</v>
      </c>
      <c r="E625" t="s">
        <v>3053</v>
      </c>
      <c r="F625" t="s">
        <v>2572</v>
      </c>
      <c r="G625" t="s">
        <v>2293</v>
      </c>
      <c r="H625" t="s">
        <v>2294</v>
      </c>
      <c r="I625" t="s">
        <v>85</v>
      </c>
      <c r="J625">
        <v>18</v>
      </c>
      <c r="K625" t="s">
        <v>80</v>
      </c>
      <c r="L625" t="s">
        <v>2573</v>
      </c>
      <c r="M625" t="s">
        <v>63</v>
      </c>
      <c r="N625" t="s">
        <v>2577</v>
      </c>
      <c r="O625" t="s">
        <v>129</v>
      </c>
      <c r="P625" t="s">
        <v>49</v>
      </c>
      <c r="Q625" t="s">
        <v>149</v>
      </c>
      <c r="R625">
        <v>1</v>
      </c>
      <c r="S625">
        <v>1299</v>
      </c>
      <c r="T625">
        <v>0</v>
      </c>
      <c r="U625">
        <v>0</v>
      </c>
      <c r="V625">
        <v>0</v>
      </c>
      <c r="W625">
        <v>0</v>
      </c>
      <c r="X625" t="s">
        <v>75</v>
      </c>
      <c r="Y625" t="s">
        <v>71</v>
      </c>
      <c r="Z625" t="s">
        <v>161</v>
      </c>
      <c r="AA625" t="s">
        <v>166</v>
      </c>
      <c r="AB625">
        <v>4.3</v>
      </c>
      <c r="AC625">
        <v>50</v>
      </c>
      <c r="AD625">
        <v>96.3</v>
      </c>
      <c r="AE625">
        <f t="shared" si="18"/>
        <v>-146.30000000000001</v>
      </c>
      <c r="AF625" t="str">
        <f t="shared" si="19"/>
        <v>2025-03</v>
      </c>
      <c r="AG625">
        <f>SUBTOTAL(103,A625)</f>
        <v>1</v>
      </c>
    </row>
    <row r="626" spans="1:33" x14ac:dyDescent="0.3">
      <c r="A626" t="s">
        <v>3237</v>
      </c>
      <c r="B626" s="13">
        <v>45737</v>
      </c>
      <c r="C626">
        <v>2025</v>
      </c>
      <c r="D626">
        <v>3</v>
      </c>
      <c r="E626" t="s">
        <v>3053</v>
      </c>
      <c r="F626" t="s">
        <v>2572</v>
      </c>
      <c r="G626" t="s">
        <v>1391</v>
      </c>
      <c r="H626" t="s">
        <v>1392</v>
      </c>
      <c r="I626" t="s">
        <v>85</v>
      </c>
      <c r="J626">
        <v>28</v>
      </c>
      <c r="K626" t="s">
        <v>81</v>
      </c>
      <c r="L626" t="s">
        <v>92</v>
      </c>
      <c r="M626" t="s">
        <v>59</v>
      </c>
      <c r="N626" t="s">
        <v>2657</v>
      </c>
      <c r="O626" t="s">
        <v>134</v>
      </c>
      <c r="P626" t="s">
        <v>49</v>
      </c>
      <c r="Q626" t="s">
        <v>140</v>
      </c>
      <c r="R626">
        <v>4</v>
      </c>
      <c r="S626">
        <v>599</v>
      </c>
      <c r="T626">
        <v>0.1</v>
      </c>
      <c r="U626">
        <v>2156.4</v>
      </c>
      <c r="V626">
        <v>1000</v>
      </c>
      <c r="W626">
        <v>1156.4000000000001</v>
      </c>
      <c r="X626" t="s">
        <v>76</v>
      </c>
      <c r="Y626" t="s">
        <v>68</v>
      </c>
      <c r="Z626" t="s">
        <v>158</v>
      </c>
      <c r="AA626" t="s">
        <v>170</v>
      </c>
      <c r="AB626">
        <v>3.6</v>
      </c>
      <c r="AC626">
        <v>100</v>
      </c>
      <c r="AD626">
        <v>72.48</v>
      </c>
      <c r="AE626">
        <f t="shared" si="18"/>
        <v>983.92000000000007</v>
      </c>
      <c r="AF626" t="str">
        <f t="shared" si="19"/>
        <v>2025-03</v>
      </c>
      <c r="AG626">
        <f>SUBTOTAL(103,A626)</f>
        <v>1</v>
      </c>
    </row>
    <row r="627" spans="1:33" x14ac:dyDescent="0.3">
      <c r="A627" t="s">
        <v>3238</v>
      </c>
      <c r="B627" s="13">
        <v>45738</v>
      </c>
      <c r="C627">
        <v>2025</v>
      </c>
      <c r="D627">
        <v>3</v>
      </c>
      <c r="E627" t="s">
        <v>3053</v>
      </c>
      <c r="F627" t="s">
        <v>2572</v>
      </c>
      <c r="G627" t="s">
        <v>1051</v>
      </c>
      <c r="H627" t="s">
        <v>1052</v>
      </c>
      <c r="I627" t="s">
        <v>85</v>
      </c>
      <c r="J627">
        <v>25</v>
      </c>
      <c r="K627" t="s">
        <v>80</v>
      </c>
      <c r="L627" t="s">
        <v>2579</v>
      </c>
      <c r="M627" t="s">
        <v>56</v>
      </c>
      <c r="N627" t="s">
        <v>2630</v>
      </c>
      <c r="O627" t="s">
        <v>123</v>
      </c>
      <c r="P627" t="s">
        <v>52</v>
      </c>
      <c r="Q627" t="s">
        <v>146</v>
      </c>
      <c r="R627">
        <v>3</v>
      </c>
      <c r="S627">
        <v>2499</v>
      </c>
      <c r="T627">
        <v>0.1</v>
      </c>
      <c r="U627">
        <v>6747.3</v>
      </c>
      <c r="V627">
        <v>4200</v>
      </c>
      <c r="W627">
        <v>2547.3000000000002</v>
      </c>
      <c r="X627" t="s">
        <v>73</v>
      </c>
      <c r="Y627" t="s">
        <v>68</v>
      </c>
      <c r="Z627" t="s">
        <v>158</v>
      </c>
      <c r="AA627" t="s">
        <v>170</v>
      </c>
      <c r="AB627">
        <v>4.0999999999999996</v>
      </c>
      <c r="AC627">
        <v>60</v>
      </c>
      <c r="AD627">
        <v>177.09</v>
      </c>
      <c r="AE627">
        <f t="shared" si="18"/>
        <v>2310.21</v>
      </c>
      <c r="AF627" t="str">
        <f t="shared" si="19"/>
        <v>2025-03</v>
      </c>
      <c r="AG627">
        <f>SUBTOTAL(103,A627)</f>
        <v>1</v>
      </c>
    </row>
    <row r="628" spans="1:33" x14ac:dyDescent="0.3">
      <c r="A628" t="s">
        <v>3239</v>
      </c>
      <c r="B628" s="13">
        <v>45738</v>
      </c>
      <c r="C628">
        <v>2025</v>
      </c>
      <c r="D628">
        <v>3</v>
      </c>
      <c r="E628" t="s">
        <v>3053</v>
      </c>
      <c r="F628" t="s">
        <v>2572</v>
      </c>
      <c r="G628" t="s">
        <v>1527</v>
      </c>
      <c r="H628" t="s">
        <v>1528</v>
      </c>
      <c r="I628" t="s">
        <v>87</v>
      </c>
      <c r="J628">
        <v>53</v>
      </c>
      <c r="K628" t="s">
        <v>83</v>
      </c>
      <c r="L628" t="s">
        <v>2612</v>
      </c>
      <c r="M628" t="s">
        <v>64</v>
      </c>
      <c r="N628" t="s">
        <v>2594</v>
      </c>
      <c r="O628" t="s">
        <v>131</v>
      </c>
      <c r="P628" t="s">
        <v>53</v>
      </c>
      <c r="Q628" t="s">
        <v>143</v>
      </c>
      <c r="R628">
        <v>2</v>
      </c>
      <c r="S628">
        <v>999</v>
      </c>
      <c r="T628">
        <v>0.1</v>
      </c>
      <c r="U628">
        <v>1798.2</v>
      </c>
      <c r="V628">
        <v>1040</v>
      </c>
      <c r="W628">
        <v>758.2</v>
      </c>
      <c r="X628" t="s">
        <v>76</v>
      </c>
      <c r="Y628" t="s">
        <v>68</v>
      </c>
      <c r="Z628" t="s">
        <v>159</v>
      </c>
      <c r="AA628" t="s">
        <v>166</v>
      </c>
      <c r="AB628">
        <v>3.7</v>
      </c>
      <c r="AC628">
        <v>120</v>
      </c>
      <c r="AD628">
        <v>212.18</v>
      </c>
      <c r="AE628">
        <f t="shared" si="18"/>
        <v>426.02000000000004</v>
      </c>
      <c r="AF628" t="str">
        <f t="shared" si="19"/>
        <v>2025-03</v>
      </c>
      <c r="AG628">
        <f>SUBTOTAL(103,A628)</f>
        <v>1</v>
      </c>
    </row>
    <row r="629" spans="1:33" x14ac:dyDescent="0.3">
      <c r="A629" t="s">
        <v>3240</v>
      </c>
      <c r="B629" s="13">
        <v>45738</v>
      </c>
      <c r="C629">
        <v>2025</v>
      </c>
      <c r="D629">
        <v>3</v>
      </c>
      <c r="E629" t="s">
        <v>3053</v>
      </c>
      <c r="F629" t="s">
        <v>2572</v>
      </c>
      <c r="G629" t="s">
        <v>1405</v>
      </c>
      <c r="H629" t="s">
        <v>1406</v>
      </c>
      <c r="I629" t="s">
        <v>85</v>
      </c>
      <c r="J629">
        <v>51</v>
      </c>
      <c r="K629" t="s">
        <v>83</v>
      </c>
      <c r="L629" t="s">
        <v>2646</v>
      </c>
      <c r="M629" t="s">
        <v>63</v>
      </c>
      <c r="N629" t="s">
        <v>2580</v>
      </c>
      <c r="O629" t="s">
        <v>118</v>
      </c>
      <c r="P629" t="s">
        <v>48</v>
      </c>
      <c r="Q629" t="s">
        <v>142</v>
      </c>
      <c r="R629">
        <v>3</v>
      </c>
      <c r="S629">
        <v>3999</v>
      </c>
      <c r="T629">
        <v>0.15</v>
      </c>
      <c r="U629">
        <v>10197.450000000001</v>
      </c>
      <c r="V629">
        <v>7200</v>
      </c>
      <c r="W629">
        <v>2997.45</v>
      </c>
      <c r="X629" t="s">
        <v>76</v>
      </c>
      <c r="Y629" t="s">
        <v>68</v>
      </c>
      <c r="Z629" t="s">
        <v>159</v>
      </c>
      <c r="AA629" t="s">
        <v>166</v>
      </c>
      <c r="AB629">
        <v>4.8</v>
      </c>
      <c r="AC629">
        <v>80</v>
      </c>
      <c r="AD629">
        <v>329.01</v>
      </c>
      <c r="AE629">
        <f t="shared" si="18"/>
        <v>2588.4399999999996</v>
      </c>
      <c r="AF629" t="str">
        <f t="shared" si="19"/>
        <v>2025-03</v>
      </c>
      <c r="AG629">
        <f>SUBTOTAL(103,A629)</f>
        <v>1</v>
      </c>
    </row>
    <row r="630" spans="1:33" x14ac:dyDescent="0.3">
      <c r="A630" t="s">
        <v>3241</v>
      </c>
      <c r="B630" s="13">
        <v>45738</v>
      </c>
      <c r="C630">
        <v>2025</v>
      </c>
      <c r="D630">
        <v>3</v>
      </c>
      <c r="E630" t="s">
        <v>3053</v>
      </c>
      <c r="F630" t="s">
        <v>2572</v>
      </c>
      <c r="G630" t="s">
        <v>289</v>
      </c>
      <c r="H630" t="s">
        <v>290</v>
      </c>
      <c r="I630" t="s">
        <v>86</v>
      </c>
      <c r="J630">
        <v>24</v>
      </c>
      <c r="K630" t="s">
        <v>80</v>
      </c>
      <c r="L630" t="s">
        <v>2579</v>
      </c>
      <c r="M630" t="s">
        <v>56</v>
      </c>
      <c r="N630" t="s">
        <v>2587</v>
      </c>
      <c r="O630" t="s">
        <v>116</v>
      </c>
      <c r="P630" t="s">
        <v>48</v>
      </c>
      <c r="Q630" t="s">
        <v>138</v>
      </c>
      <c r="R630">
        <v>1</v>
      </c>
      <c r="S630">
        <v>14999</v>
      </c>
      <c r="T630">
        <v>0.15</v>
      </c>
      <c r="U630">
        <v>12749.15</v>
      </c>
      <c r="V630">
        <v>11200</v>
      </c>
      <c r="W630">
        <v>1549.15</v>
      </c>
      <c r="X630" t="s">
        <v>73</v>
      </c>
      <c r="Y630" t="s">
        <v>68</v>
      </c>
      <c r="Z630" t="s">
        <v>158</v>
      </c>
      <c r="AA630" t="s">
        <v>168</v>
      </c>
      <c r="AB630">
        <v>4.7</v>
      </c>
      <c r="AC630">
        <v>40</v>
      </c>
      <c r="AD630">
        <v>404.46</v>
      </c>
      <c r="AE630">
        <f t="shared" si="18"/>
        <v>1104.69</v>
      </c>
      <c r="AF630" t="str">
        <f t="shared" si="19"/>
        <v>2025-03</v>
      </c>
      <c r="AG630">
        <f>SUBTOTAL(103,A630)</f>
        <v>1</v>
      </c>
    </row>
    <row r="631" spans="1:33" x14ac:dyDescent="0.3">
      <c r="A631" t="s">
        <v>3242</v>
      </c>
      <c r="B631" s="13">
        <v>45738</v>
      </c>
      <c r="C631">
        <v>2025</v>
      </c>
      <c r="D631">
        <v>3</v>
      </c>
      <c r="E631" t="s">
        <v>3053</v>
      </c>
      <c r="F631" t="s">
        <v>2572</v>
      </c>
      <c r="G631" t="s">
        <v>321</v>
      </c>
      <c r="H631" t="s">
        <v>322</v>
      </c>
      <c r="I631" t="s">
        <v>85</v>
      </c>
      <c r="J631">
        <v>59</v>
      </c>
      <c r="K631" t="s">
        <v>83</v>
      </c>
      <c r="L631" t="s">
        <v>95</v>
      </c>
      <c r="M631" t="s">
        <v>56</v>
      </c>
      <c r="N631" t="s">
        <v>2603</v>
      </c>
      <c r="O631" t="s">
        <v>122</v>
      </c>
      <c r="P631" t="s">
        <v>48</v>
      </c>
      <c r="Q631" t="s">
        <v>141</v>
      </c>
      <c r="R631">
        <v>1</v>
      </c>
      <c r="S631">
        <v>2499</v>
      </c>
      <c r="T631">
        <v>0</v>
      </c>
      <c r="U631">
        <v>2499</v>
      </c>
      <c r="V631">
        <v>1450</v>
      </c>
      <c r="W631">
        <v>1049</v>
      </c>
      <c r="X631" t="s">
        <v>73</v>
      </c>
      <c r="Y631" t="s">
        <v>68</v>
      </c>
      <c r="Z631" t="s">
        <v>158</v>
      </c>
      <c r="AA631" t="s">
        <v>166</v>
      </c>
      <c r="AB631">
        <v>3.9</v>
      </c>
      <c r="AC631">
        <v>60</v>
      </c>
      <c r="AD631">
        <v>209.24</v>
      </c>
      <c r="AE631">
        <f t="shared" si="18"/>
        <v>779.76</v>
      </c>
      <c r="AF631" t="str">
        <f t="shared" si="19"/>
        <v>2025-03</v>
      </c>
      <c r="AG631">
        <f>SUBTOTAL(103,A631)</f>
        <v>1</v>
      </c>
    </row>
    <row r="632" spans="1:33" x14ac:dyDescent="0.3">
      <c r="A632" t="s">
        <v>3243</v>
      </c>
      <c r="B632" s="13">
        <v>45738</v>
      </c>
      <c r="C632">
        <v>2025</v>
      </c>
      <c r="D632">
        <v>3</v>
      </c>
      <c r="E632" t="s">
        <v>3053</v>
      </c>
      <c r="F632" t="s">
        <v>2572</v>
      </c>
      <c r="G632" t="s">
        <v>251</v>
      </c>
      <c r="H632" t="s">
        <v>252</v>
      </c>
      <c r="I632" t="s">
        <v>85</v>
      </c>
      <c r="J632">
        <v>53</v>
      </c>
      <c r="K632" t="s">
        <v>83</v>
      </c>
      <c r="L632" t="s">
        <v>94</v>
      </c>
      <c r="M632" t="s">
        <v>57</v>
      </c>
      <c r="N632" t="s">
        <v>2601</v>
      </c>
      <c r="O632" t="s">
        <v>117</v>
      </c>
      <c r="P632" t="s">
        <v>49</v>
      </c>
      <c r="Q632" t="s">
        <v>139</v>
      </c>
      <c r="R632">
        <v>5</v>
      </c>
      <c r="S632">
        <v>6999</v>
      </c>
      <c r="T632">
        <v>0.2</v>
      </c>
      <c r="U632">
        <v>27996</v>
      </c>
      <c r="V632">
        <v>21500</v>
      </c>
      <c r="W632">
        <v>6496</v>
      </c>
      <c r="X632" t="s">
        <v>74</v>
      </c>
      <c r="Y632" t="s">
        <v>69</v>
      </c>
      <c r="Z632" t="s">
        <v>161</v>
      </c>
      <c r="AA632" t="s">
        <v>167</v>
      </c>
      <c r="AB632">
        <v>4.4000000000000004</v>
      </c>
      <c r="AC632">
        <v>60</v>
      </c>
      <c r="AD632">
        <v>2477.66</v>
      </c>
      <c r="AE632">
        <f t="shared" si="18"/>
        <v>3958.34</v>
      </c>
      <c r="AF632" t="str">
        <f t="shared" si="19"/>
        <v>2025-03</v>
      </c>
      <c r="AG632">
        <f>SUBTOTAL(103,A632)</f>
        <v>1</v>
      </c>
    </row>
    <row r="633" spans="1:33" x14ac:dyDescent="0.3">
      <c r="A633" t="s">
        <v>3244</v>
      </c>
      <c r="B633" s="13">
        <v>45739</v>
      </c>
      <c r="C633">
        <v>2025</v>
      </c>
      <c r="D633">
        <v>3</v>
      </c>
      <c r="E633" t="s">
        <v>3053</v>
      </c>
      <c r="F633" t="s">
        <v>2572</v>
      </c>
      <c r="G633" t="s">
        <v>257</v>
      </c>
      <c r="H633" t="s">
        <v>258</v>
      </c>
      <c r="I633" t="s">
        <v>85</v>
      </c>
      <c r="J633">
        <v>36</v>
      </c>
      <c r="K633" t="s">
        <v>82</v>
      </c>
      <c r="L633" t="s">
        <v>2589</v>
      </c>
      <c r="M633" t="s">
        <v>61</v>
      </c>
      <c r="N633" t="s">
        <v>2584</v>
      </c>
      <c r="O633" t="s">
        <v>121</v>
      </c>
      <c r="P633" t="s">
        <v>50</v>
      </c>
      <c r="Q633" t="s">
        <v>144</v>
      </c>
      <c r="R633">
        <v>4</v>
      </c>
      <c r="S633">
        <v>2999</v>
      </c>
      <c r="T633">
        <v>0.2</v>
      </c>
      <c r="U633">
        <v>9596.7999999999993</v>
      </c>
      <c r="V633">
        <v>6800</v>
      </c>
      <c r="W633">
        <v>2796.8</v>
      </c>
      <c r="X633" t="s">
        <v>75</v>
      </c>
      <c r="Y633" t="s">
        <v>68</v>
      </c>
      <c r="Z633" t="s">
        <v>160</v>
      </c>
      <c r="AA633" t="s">
        <v>166</v>
      </c>
      <c r="AB633">
        <v>4.3</v>
      </c>
      <c r="AC633">
        <v>40</v>
      </c>
      <c r="AD633">
        <v>1109.17</v>
      </c>
      <c r="AE633">
        <f t="shared" si="18"/>
        <v>1647.63</v>
      </c>
      <c r="AF633" t="str">
        <f t="shared" si="19"/>
        <v>2025-03</v>
      </c>
      <c r="AG633">
        <f>SUBTOTAL(103,A633)</f>
        <v>1</v>
      </c>
    </row>
    <row r="634" spans="1:33" x14ac:dyDescent="0.3">
      <c r="A634" t="s">
        <v>3245</v>
      </c>
      <c r="B634" s="13">
        <v>45739</v>
      </c>
      <c r="C634">
        <v>2025</v>
      </c>
      <c r="D634">
        <v>3</v>
      </c>
      <c r="E634" t="s">
        <v>3053</v>
      </c>
      <c r="F634" t="s">
        <v>2572</v>
      </c>
      <c r="G634" t="s">
        <v>1443</v>
      </c>
      <c r="H634" t="s">
        <v>1444</v>
      </c>
      <c r="I634" t="s">
        <v>86</v>
      </c>
      <c r="J634">
        <v>28</v>
      </c>
      <c r="K634" t="s">
        <v>81</v>
      </c>
      <c r="L634" t="s">
        <v>95</v>
      </c>
      <c r="M634" t="s">
        <v>56</v>
      </c>
      <c r="N634" t="s">
        <v>2577</v>
      </c>
      <c r="O634" t="s">
        <v>129</v>
      </c>
      <c r="P634" t="s">
        <v>49</v>
      </c>
      <c r="Q634" t="s">
        <v>149</v>
      </c>
      <c r="R634">
        <v>5</v>
      </c>
      <c r="S634">
        <v>1299</v>
      </c>
      <c r="T634">
        <v>0.05</v>
      </c>
      <c r="U634">
        <v>6170.25</v>
      </c>
      <c r="V634">
        <v>3250</v>
      </c>
      <c r="W634">
        <v>2920.25</v>
      </c>
      <c r="X634" t="s">
        <v>73</v>
      </c>
      <c r="Y634" t="s">
        <v>68</v>
      </c>
      <c r="Z634" t="s">
        <v>160</v>
      </c>
      <c r="AA634" t="s">
        <v>169</v>
      </c>
      <c r="AB634">
        <v>4.3</v>
      </c>
      <c r="AC634">
        <v>100</v>
      </c>
      <c r="AD634">
        <v>675.48</v>
      </c>
      <c r="AE634">
        <f t="shared" si="18"/>
        <v>2144.77</v>
      </c>
      <c r="AF634" t="str">
        <f t="shared" si="19"/>
        <v>2025-03</v>
      </c>
      <c r="AG634">
        <f>SUBTOTAL(103,A634)</f>
        <v>1</v>
      </c>
    </row>
    <row r="635" spans="1:33" x14ac:dyDescent="0.3">
      <c r="A635" t="s">
        <v>3246</v>
      </c>
      <c r="B635" s="13">
        <v>45739</v>
      </c>
      <c r="C635">
        <v>2025</v>
      </c>
      <c r="D635">
        <v>3</v>
      </c>
      <c r="E635" t="s">
        <v>3053</v>
      </c>
      <c r="F635" t="s">
        <v>2572</v>
      </c>
      <c r="G635" t="s">
        <v>1981</v>
      </c>
      <c r="H635" t="s">
        <v>1982</v>
      </c>
      <c r="I635" t="s">
        <v>86</v>
      </c>
      <c r="J635">
        <v>60</v>
      </c>
      <c r="K635" t="s">
        <v>83</v>
      </c>
      <c r="L635" t="s">
        <v>91</v>
      </c>
      <c r="M635" t="s">
        <v>55</v>
      </c>
      <c r="N635" t="s">
        <v>2594</v>
      </c>
      <c r="O635" t="s">
        <v>131</v>
      </c>
      <c r="P635" t="s">
        <v>53</v>
      </c>
      <c r="Q635" t="s">
        <v>143</v>
      </c>
      <c r="R635">
        <v>2</v>
      </c>
      <c r="S635">
        <v>999</v>
      </c>
      <c r="T635">
        <v>0.1</v>
      </c>
      <c r="U635">
        <v>1798.2</v>
      </c>
      <c r="V635">
        <v>1040</v>
      </c>
      <c r="W635">
        <v>758.2</v>
      </c>
      <c r="X635" t="s">
        <v>75</v>
      </c>
      <c r="Y635" t="s">
        <v>69</v>
      </c>
      <c r="Z635" t="s">
        <v>161</v>
      </c>
      <c r="AA635" t="s">
        <v>167</v>
      </c>
      <c r="AB635">
        <v>3.9</v>
      </c>
      <c r="AC635">
        <v>50</v>
      </c>
      <c r="AD635">
        <v>180.41</v>
      </c>
      <c r="AE635">
        <f t="shared" si="18"/>
        <v>527.79000000000008</v>
      </c>
      <c r="AF635" t="str">
        <f t="shared" si="19"/>
        <v>2025-03</v>
      </c>
      <c r="AG635">
        <f>SUBTOTAL(103,A635)</f>
        <v>1</v>
      </c>
    </row>
    <row r="636" spans="1:33" x14ac:dyDescent="0.3">
      <c r="A636" t="s">
        <v>3247</v>
      </c>
      <c r="B636" s="13">
        <v>45739</v>
      </c>
      <c r="C636">
        <v>2025</v>
      </c>
      <c r="D636">
        <v>3</v>
      </c>
      <c r="E636" t="s">
        <v>3053</v>
      </c>
      <c r="F636" t="s">
        <v>2572</v>
      </c>
      <c r="G636" t="s">
        <v>991</v>
      </c>
      <c r="H636" t="s">
        <v>992</v>
      </c>
      <c r="I636" t="s">
        <v>85</v>
      </c>
      <c r="J636">
        <v>41</v>
      </c>
      <c r="K636" t="s">
        <v>82</v>
      </c>
      <c r="L636" t="s">
        <v>90</v>
      </c>
      <c r="M636" t="s">
        <v>55</v>
      </c>
      <c r="N636" t="s">
        <v>2606</v>
      </c>
      <c r="O636" t="s">
        <v>120</v>
      </c>
      <c r="P636" t="s">
        <v>49</v>
      </c>
      <c r="Q636" t="s">
        <v>140</v>
      </c>
      <c r="R636">
        <v>4</v>
      </c>
      <c r="S636">
        <v>2799</v>
      </c>
      <c r="T636">
        <v>0.1</v>
      </c>
      <c r="U636">
        <v>10076.4</v>
      </c>
      <c r="V636">
        <v>6600</v>
      </c>
      <c r="W636">
        <v>3476.4</v>
      </c>
      <c r="X636" t="s">
        <v>73</v>
      </c>
      <c r="Y636" t="s">
        <v>68</v>
      </c>
      <c r="Z636" t="s">
        <v>163</v>
      </c>
      <c r="AA636" t="s">
        <v>168</v>
      </c>
      <c r="AB636">
        <v>4.2</v>
      </c>
      <c r="AC636">
        <v>50</v>
      </c>
      <c r="AD636">
        <v>784.75</v>
      </c>
      <c r="AE636">
        <f t="shared" si="18"/>
        <v>2641.65</v>
      </c>
      <c r="AF636" t="str">
        <f t="shared" si="19"/>
        <v>2025-03</v>
      </c>
      <c r="AG636">
        <f>SUBTOTAL(103,A636)</f>
        <v>1</v>
      </c>
    </row>
    <row r="637" spans="1:33" x14ac:dyDescent="0.3">
      <c r="A637" t="s">
        <v>3248</v>
      </c>
      <c r="B637" s="13">
        <v>45739</v>
      </c>
      <c r="C637">
        <v>2025</v>
      </c>
      <c r="D637">
        <v>3</v>
      </c>
      <c r="E637" t="s">
        <v>3053</v>
      </c>
      <c r="F637" t="s">
        <v>2572</v>
      </c>
      <c r="G637" t="s">
        <v>271</v>
      </c>
      <c r="H637" t="s">
        <v>272</v>
      </c>
      <c r="I637" t="s">
        <v>86</v>
      </c>
      <c r="J637">
        <v>51</v>
      </c>
      <c r="K637" t="s">
        <v>83</v>
      </c>
      <c r="L637" t="s">
        <v>92</v>
      </c>
      <c r="M637" t="s">
        <v>59</v>
      </c>
      <c r="N637" t="s">
        <v>2594</v>
      </c>
      <c r="O637" t="s">
        <v>131</v>
      </c>
      <c r="P637" t="s">
        <v>53</v>
      </c>
      <c r="Q637" t="s">
        <v>143</v>
      </c>
      <c r="R637">
        <v>3</v>
      </c>
      <c r="S637">
        <v>999</v>
      </c>
      <c r="T637">
        <v>0</v>
      </c>
      <c r="U637">
        <v>2997</v>
      </c>
      <c r="V637">
        <v>1560</v>
      </c>
      <c r="W637">
        <v>1437</v>
      </c>
      <c r="X637" t="s">
        <v>73</v>
      </c>
      <c r="Y637" t="s">
        <v>68</v>
      </c>
      <c r="Z637" t="s">
        <v>162</v>
      </c>
      <c r="AA637" t="s">
        <v>169</v>
      </c>
      <c r="AB637">
        <v>3.7</v>
      </c>
      <c r="AC637">
        <v>50</v>
      </c>
      <c r="AD637">
        <v>359.28</v>
      </c>
      <c r="AE637">
        <f t="shared" si="18"/>
        <v>1027.72</v>
      </c>
      <c r="AF637" t="str">
        <f t="shared" si="19"/>
        <v>2025-03</v>
      </c>
      <c r="AG637">
        <f>SUBTOTAL(103,A637)</f>
        <v>1</v>
      </c>
    </row>
    <row r="638" spans="1:33" x14ac:dyDescent="0.3">
      <c r="A638" t="s">
        <v>3249</v>
      </c>
      <c r="B638" s="13">
        <v>45739</v>
      </c>
      <c r="C638">
        <v>2025</v>
      </c>
      <c r="D638">
        <v>3</v>
      </c>
      <c r="E638" t="s">
        <v>3053</v>
      </c>
      <c r="F638" t="s">
        <v>2572</v>
      </c>
      <c r="G638" t="s">
        <v>1245</v>
      </c>
      <c r="H638" t="s">
        <v>1246</v>
      </c>
      <c r="I638" t="s">
        <v>86</v>
      </c>
      <c r="J638">
        <v>43</v>
      </c>
      <c r="K638" t="s">
        <v>82</v>
      </c>
      <c r="L638" t="s">
        <v>2589</v>
      </c>
      <c r="M638" t="s">
        <v>61</v>
      </c>
      <c r="N638" t="s">
        <v>2647</v>
      </c>
      <c r="O638" t="s">
        <v>133</v>
      </c>
      <c r="P638" t="s">
        <v>50</v>
      </c>
      <c r="Q638" t="s">
        <v>145</v>
      </c>
      <c r="R638">
        <v>1</v>
      </c>
      <c r="S638">
        <v>799</v>
      </c>
      <c r="T638">
        <v>0.05</v>
      </c>
      <c r="U638">
        <v>759.05</v>
      </c>
      <c r="V638">
        <v>390</v>
      </c>
      <c r="W638">
        <v>369.05</v>
      </c>
      <c r="X638" t="s">
        <v>74</v>
      </c>
      <c r="Y638" t="s">
        <v>68</v>
      </c>
      <c r="Z638" t="s">
        <v>160</v>
      </c>
      <c r="AA638" t="s">
        <v>166</v>
      </c>
      <c r="AB638">
        <v>4.5</v>
      </c>
      <c r="AC638">
        <v>60</v>
      </c>
      <c r="AD638">
        <v>37.340000000000003</v>
      </c>
      <c r="AE638">
        <f t="shared" si="18"/>
        <v>271.71000000000004</v>
      </c>
      <c r="AF638" t="str">
        <f t="shared" si="19"/>
        <v>2025-03</v>
      </c>
      <c r="AG638">
        <f>SUBTOTAL(103,A638)</f>
        <v>1</v>
      </c>
    </row>
    <row r="639" spans="1:33" x14ac:dyDescent="0.3">
      <c r="A639" t="s">
        <v>3250</v>
      </c>
      <c r="B639" s="13">
        <v>45739</v>
      </c>
      <c r="C639">
        <v>2025</v>
      </c>
      <c r="D639">
        <v>3</v>
      </c>
      <c r="E639" t="s">
        <v>3053</v>
      </c>
      <c r="F639" t="s">
        <v>2572</v>
      </c>
      <c r="G639" t="s">
        <v>2541</v>
      </c>
      <c r="H639" t="s">
        <v>2542</v>
      </c>
      <c r="I639" t="s">
        <v>85</v>
      </c>
      <c r="J639">
        <v>34</v>
      </c>
      <c r="K639" t="s">
        <v>81</v>
      </c>
      <c r="L639" t="s">
        <v>91</v>
      </c>
      <c r="M639" t="s">
        <v>55</v>
      </c>
      <c r="N639" t="s">
        <v>2657</v>
      </c>
      <c r="O639" t="s">
        <v>134</v>
      </c>
      <c r="P639" t="s">
        <v>49</v>
      </c>
      <c r="Q639" t="s">
        <v>140</v>
      </c>
      <c r="R639">
        <v>1</v>
      </c>
      <c r="S639">
        <v>599</v>
      </c>
      <c r="T639">
        <v>0.1</v>
      </c>
      <c r="U639">
        <v>539.1</v>
      </c>
      <c r="V639">
        <v>250</v>
      </c>
      <c r="W639">
        <v>289.10000000000002</v>
      </c>
      <c r="X639" t="s">
        <v>73</v>
      </c>
      <c r="Y639" t="s">
        <v>68</v>
      </c>
      <c r="Z639" t="s">
        <v>160</v>
      </c>
      <c r="AA639" t="s">
        <v>166</v>
      </c>
      <c r="AB639">
        <v>3.9</v>
      </c>
      <c r="AC639">
        <v>60</v>
      </c>
      <c r="AD639">
        <v>44.63</v>
      </c>
      <c r="AE639">
        <f t="shared" si="18"/>
        <v>184.47000000000003</v>
      </c>
      <c r="AF639" t="str">
        <f t="shared" si="19"/>
        <v>2025-03</v>
      </c>
      <c r="AG639">
        <f>SUBTOTAL(103,A639)</f>
        <v>1</v>
      </c>
    </row>
    <row r="640" spans="1:33" x14ac:dyDescent="0.3">
      <c r="A640" t="s">
        <v>3251</v>
      </c>
      <c r="B640" s="13">
        <v>45739</v>
      </c>
      <c r="C640">
        <v>2025</v>
      </c>
      <c r="D640">
        <v>3</v>
      </c>
      <c r="E640" t="s">
        <v>3053</v>
      </c>
      <c r="F640" t="s">
        <v>2572</v>
      </c>
      <c r="G640" t="s">
        <v>821</v>
      </c>
      <c r="H640" t="s">
        <v>822</v>
      </c>
      <c r="I640" t="s">
        <v>86</v>
      </c>
      <c r="J640">
        <v>60</v>
      </c>
      <c r="K640" t="s">
        <v>83</v>
      </c>
      <c r="L640" t="s">
        <v>100</v>
      </c>
      <c r="M640" t="s">
        <v>56</v>
      </c>
      <c r="N640" t="s">
        <v>2592</v>
      </c>
      <c r="O640" t="s">
        <v>115</v>
      </c>
      <c r="P640" t="s">
        <v>48</v>
      </c>
      <c r="Q640" t="s">
        <v>137</v>
      </c>
      <c r="R640">
        <v>1</v>
      </c>
      <c r="S640">
        <v>12999</v>
      </c>
      <c r="T640">
        <v>0.2</v>
      </c>
      <c r="U640">
        <v>10399.200000000001</v>
      </c>
      <c r="V640">
        <v>9000</v>
      </c>
      <c r="W640">
        <v>1399.2</v>
      </c>
      <c r="X640" t="s">
        <v>74</v>
      </c>
      <c r="Y640" t="s">
        <v>68</v>
      </c>
      <c r="Z640" t="s">
        <v>160</v>
      </c>
      <c r="AA640" t="s">
        <v>166</v>
      </c>
      <c r="AB640">
        <v>2.7</v>
      </c>
      <c r="AC640">
        <v>80</v>
      </c>
      <c r="AD640">
        <v>359.51</v>
      </c>
      <c r="AE640">
        <f t="shared" si="18"/>
        <v>959.69</v>
      </c>
      <c r="AF640" t="str">
        <f t="shared" si="19"/>
        <v>2025-03</v>
      </c>
      <c r="AG640">
        <f>SUBTOTAL(103,A640)</f>
        <v>1</v>
      </c>
    </row>
    <row r="641" spans="1:33" x14ac:dyDescent="0.3">
      <c r="A641" t="s">
        <v>3252</v>
      </c>
      <c r="B641" s="13">
        <v>45739</v>
      </c>
      <c r="C641">
        <v>2025</v>
      </c>
      <c r="D641">
        <v>3</v>
      </c>
      <c r="E641" t="s">
        <v>3053</v>
      </c>
      <c r="F641" t="s">
        <v>2572</v>
      </c>
      <c r="G641" t="s">
        <v>1237</v>
      </c>
      <c r="H641" t="s">
        <v>1238</v>
      </c>
      <c r="I641" t="s">
        <v>86</v>
      </c>
      <c r="J641">
        <v>41</v>
      </c>
      <c r="K641" t="s">
        <v>82</v>
      </c>
      <c r="L641" t="s">
        <v>96</v>
      </c>
      <c r="M641" t="s">
        <v>55</v>
      </c>
      <c r="N641" t="s">
        <v>2626</v>
      </c>
      <c r="O641" t="s">
        <v>125</v>
      </c>
      <c r="P641" t="s">
        <v>48</v>
      </c>
      <c r="Q641" t="s">
        <v>141</v>
      </c>
      <c r="R641">
        <v>1</v>
      </c>
      <c r="S641">
        <v>1999</v>
      </c>
      <c r="T641">
        <v>0.2</v>
      </c>
      <c r="U641">
        <v>1599.2</v>
      </c>
      <c r="V641">
        <v>1150</v>
      </c>
      <c r="W641">
        <v>449.2</v>
      </c>
      <c r="X641" t="s">
        <v>73</v>
      </c>
      <c r="Y641" t="s">
        <v>68</v>
      </c>
      <c r="Z641" t="s">
        <v>162</v>
      </c>
      <c r="AA641" t="s">
        <v>171</v>
      </c>
      <c r="AB641">
        <v>4</v>
      </c>
      <c r="AC641">
        <v>80</v>
      </c>
      <c r="AD641">
        <v>115.68</v>
      </c>
      <c r="AE641">
        <f t="shared" si="18"/>
        <v>253.51999999999998</v>
      </c>
      <c r="AF641" t="str">
        <f t="shared" si="19"/>
        <v>2025-03</v>
      </c>
      <c r="AG641">
        <f>SUBTOTAL(103,A641)</f>
        <v>1</v>
      </c>
    </row>
    <row r="642" spans="1:33" x14ac:dyDescent="0.3">
      <c r="A642" t="s">
        <v>3253</v>
      </c>
      <c r="B642" s="13">
        <v>45739</v>
      </c>
      <c r="C642">
        <v>2025</v>
      </c>
      <c r="D642">
        <v>3</v>
      </c>
      <c r="E642" t="s">
        <v>3053</v>
      </c>
      <c r="F642" t="s">
        <v>2572</v>
      </c>
      <c r="G642" t="s">
        <v>2033</v>
      </c>
      <c r="H642" t="s">
        <v>2034</v>
      </c>
      <c r="I642" t="s">
        <v>85</v>
      </c>
      <c r="J642">
        <v>49</v>
      </c>
      <c r="K642" t="s">
        <v>83</v>
      </c>
      <c r="L642" t="s">
        <v>100</v>
      </c>
      <c r="M642" t="s">
        <v>56</v>
      </c>
      <c r="N642" t="s">
        <v>2647</v>
      </c>
      <c r="O642" t="s">
        <v>133</v>
      </c>
      <c r="P642" t="s">
        <v>50</v>
      </c>
      <c r="Q642" t="s">
        <v>145</v>
      </c>
      <c r="R642">
        <v>3</v>
      </c>
      <c r="S642">
        <v>799</v>
      </c>
      <c r="T642">
        <v>0.15</v>
      </c>
      <c r="U642">
        <v>2037.45</v>
      </c>
      <c r="V642">
        <v>1170</v>
      </c>
      <c r="W642">
        <v>867.45</v>
      </c>
      <c r="X642" t="s">
        <v>76</v>
      </c>
      <c r="Y642" t="s">
        <v>68</v>
      </c>
      <c r="Z642" t="s">
        <v>159</v>
      </c>
      <c r="AA642" t="s">
        <v>168</v>
      </c>
      <c r="AB642">
        <v>4.2</v>
      </c>
      <c r="AC642">
        <v>120</v>
      </c>
      <c r="AD642">
        <v>178.35</v>
      </c>
      <c r="AE642">
        <f t="shared" ref="AE642:AE705" si="20">W642-AC642-AD642</f>
        <v>569.1</v>
      </c>
      <c r="AF642" t="str">
        <f t="shared" ref="AF642:AF705" si="21">C642&amp;"-"&amp;TEXT(D642,"00")</f>
        <v>2025-03</v>
      </c>
      <c r="AG642">
        <f>SUBTOTAL(103,A642)</f>
        <v>1</v>
      </c>
    </row>
    <row r="643" spans="1:33" x14ac:dyDescent="0.3">
      <c r="A643" t="s">
        <v>3254</v>
      </c>
      <c r="B643" s="13">
        <v>45739</v>
      </c>
      <c r="C643">
        <v>2025</v>
      </c>
      <c r="D643">
        <v>3</v>
      </c>
      <c r="E643" t="s">
        <v>3053</v>
      </c>
      <c r="F643" t="s">
        <v>2572</v>
      </c>
      <c r="G643" t="s">
        <v>2387</v>
      </c>
      <c r="H643" t="s">
        <v>2388</v>
      </c>
      <c r="I643" t="s">
        <v>85</v>
      </c>
      <c r="J643">
        <v>31</v>
      </c>
      <c r="K643" t="s">
        <v>81</v>
      </c>
      <c r="L643" t="s">
        <v>2579</v>
      </c>
      <c r="M643" t="s">
        <v>56</v>
      </c>
      <c r="N643" t="s">
        <v>2657</v>
      </c>
      <c r="O643" t="s">
        <v>134</v>
      </c>
      <c r="P643" t="s">
        <v>49</v>
      </c>
      <c r="Q643" t="s">
        <v>140</v>
      </c>
      <c r="R643">
        <v>4</v>
      </c>
      <c r="S643">
        <v>599</v>
      </c>
      <c r="T643">
        <v>0.2</v>
      </c>
      <c r="U643">
        <v>1916.8</v>
      </c>
      <c r="V643">
        <v>1000</v>
      </c>
      <c r="W643">
        <v>916.8</v>
      </c>
      <c r="X643" t="s">
        <v>73</v>
      </c>
      <c r="Y643" t="s">
        <v>68</v>
      </c>
      <c r="Z643" t="s">
        <v>158</v>
      </c>
      <c r="AA643" t="s">
        <v>166</v>
      </c>
      <c r="AB643">
        <v>4.0999999999999996</v>
      </c>
      <c r="AC643">
        <v>40</v>
      </c>
      <c r="AD643">
        <v>139.76</v>
      </c>
      <c r="AE643">
        <f t="shared" si="20"/>
        <v>737.04</v>
      </c>
      <c r="AF643" t="str">
        <f t="shared" si="21"/>
        <v>2025-03</v>
      </c>
      <c r="AG643">
        <f>SUBTOTAL(103,A643)</f>
        <v>1</v>
      </c>
    </row>
    <row r="644" spans="1:33" x14ac:dyDescent="0.3">
      <c r="A644" t="s">
        <v>3255</v>
      </c>
      <c r="B644" s="13">
        <v>45739</v>
      </c>
      <c r="C644">
        <v>2025</v>
      </c>
      <c r="D644">
        <v>3</v>
      </c>
      <c r="E644" t="s">
        <v>3053</v>
      </c>
      <c r="F644" t="s">
        <v>2572</v>
      </c>
      <c r="G644" t="s">
        <v>675</v>
      </c>
      <c r="H644" t="s">
        <v>676</v>
      </c>
      <c r="I644" t="s">
        <v>85</v>
      </c>
      <c r="J644">
        <v>33</v>
      </c>
      <c r="K644" t="s">
        <v>81</v>
      </c>
      <c r="L644" t="s">
        <v>2605</v>
      </c>
      <c r="M644" t="s">
        <v>60</v>
      </c>
      <c r="N644" t="s">
        <v>2665</v>
      </c>
      <c r="O644" t="s">
        <v>128</v>
      </c>
      <c r="P644" t="s">
        <v>53</v>
      </c>
      <c r="Q644" t="s">
        <v>143</v>
      </c>
      <c r="R644">
        <v>4</v>
      </c>
      <c r="S644">
        <v>1499</v>
      </c>
      <c r="T644">
        <v>0.1</v>
      </c>
      <c r="U644">
        <v>5396.4</v>
      </c>
      <c r="V644">
        <v>3200</v>
      </c>
      <c r="W644">
        <v>2196.4</v>
      </c>
      <c r="X644" t="s">
        <v>76</v>
      </c>
      <c r="Y644" t="s">
        <v>68</v>
      </c>
      <c r="Z644" t="s">
        <v>159</v>
      </c>
      <c r="AA644" t="s">
        <v>171</v>
      </c>
      <c r="AB644">
        <v>4.2</v>
      </c>
      <c r="AC644">
        <v>50</v>
      </c>
      <c r="AD644">
        <v>163.59</v>
      </c>
      <c r="AE644">
        <f t="shared" si="20"/>
        <v>1982.8100000000002</v>
      </c>
      <c r="AF644" t="str">
        <f t="shared" si="21"/>
        <v>2025-03</v>
      </c>
      <c r="AG644">
        <f>SUBTOTAL(103,A644)</f>
        <v>1</v>
      </c>
    </row>
    <row r="645" spans="1:33" x14ac:dyDescent="0.3">
      <c r="A645" t="s">
        <v>3256</v>
      </c>
      <c r="B645" s="13">
        <v>45740</v>
      </c>
      <c r="C645">
        <v>2025</v>
      </c>
      <c r="D645">
        <v>3</v>
      </c>
      <c r="E645" t="s">
        <v>3053</v>
      </c>
      <c r="F645" t="s">
        <v>2572</v>
      </c>
      <c r="G645" t="s">
        <v>663</v>
      </c>
      <c r="H645" t="s">
        <v>664</v>
      </c>
      <c r="I645" t="s">
        <v>86</v>
      </c>
      <c r="J645">
        <v>49</v>
      </c>
      <c r="K645" t="s">
        <v>83</v>
      </c>
      <c r="L645" t="s">
        <v>98</v>
      </c>
      <c r="M645" t="s">
        <v>55</v>
      </c>
      <c r="N645" t="s">
        <v>2606</v>
      </c>
      <c r="O645" t="s">
        <v>120</v>
      </c>
      <c r="P645" t="s">
        <v>49</v>
      </c>
      <c r="Q645" t="s">
        <v>140</v>
      </c>
      <c r="R645">
        <v>1</v>
      </c>
      <c r="S645">
        <v>2799</v>
      </c>
      <c r="T645">
        <v>0.05</v>
      </c>
      <c r="U645">
        <v>2659.05</v>
      </c>
      <c r="V645">
        <v>1650</v>
      </c>
      <c r="W645">
        <v>1009.05</v>
      </c>
      <c r="X645" t="s">
        <v>74</v>
      </c>
      <c r="Y645" t="s">
        <v>68</v>
      </c>
      <c r="Z645" t="s">
        <v>162</v>
      </c>
      <c r="AA645" t="s">
        <v>171</v>
      </c>
      <c r="AB645">
        <v>4.0999999999999996</v>
      </c>
      <c r="AC645">
        <v>40</v>
      </c>
      <c r="AD645">
        <v>311.5</v>
      </c>
      <c r="AE645">
        <f t="shared" si="20"/>
        <v>657.55</v>
      </c>
      <c r="AF645" t="str">
        <f t="shared" si="21"/>
        <v>2025-03</v>
      </c>
      <c r="AG645">
        <f>SUBTOTAL(103,A645)</f>
        <v>1</v>
      </c>
    </row>
    <row r="646" spans="1:33" x14ac:dyDescent="0.3">
      <c r="A646" t="s">
        <v>3257</v>
      </c>
      <c r="B646" s="13">
        <v>45740</v>
      </c>
      <c r="C646">
        <v>2025</v>
      </c>
      <c r="D646">
        <v>3</v>
      </c>
      <c r="E646" t="s">
        <v>3053</v>
      </c>
      <c r="F646" t="s">
        <v>2572</v>
      </c>
      <c r="G646" t="s">
        <v>299</v>
      </c>
      <c r="H646" t="s">
        <v>300</v>
      </c>
      <c r="I646" t="s">
        <v>85</v>
      </c>
      <c r="J646">
        <v>21</v>
      </c>
      <c r="K646" t="s">
        <v>80</v>
      </c>
      <c r="L646" t="s">
        <v>2687</v>
      </c>
      <c r="M646" t="s">
        <v>57</v>
      </c>
      <c r="N646" t="s">
        <v>2590</v>
      </c>
      <c r="O646" t="s">
        <v>127</v>
      </c>
      <c r="P646" t="s">
        <v>51</v>
      </c>
      <c r="Q646" t="s">
        <v>148</v>
      </c>
      <c r="R646">
        <v>4</v>
      </c>
      <c r="S646">
        <v>1599</v>
      </c>
      <c r="T646">
        <v>0.25</v>
      </c>
      <c r="U646">
        <v>4797</v>
      </c>
      <c r="V646">
        <v>3200</v>
      </c>
      <c r="W646">
        <v>1597</v>
      </c>
      <c r="X646" t="s">
        <v>74</v>
      </c>
      <c r="Y646" t="s">
        <v>68</v>
      </c>
      <c r="Z646" t="s">
        <v>162</v>
      </c>
      <c r="AA646" t="s">
        <v>168</v>
      </c>
      <c r="AB646">
        <v>4.3</v>
      </c>
      <c r="AC646">
        <v>40</v>
      </c>
      <c r="AD646">
        <v>235.29</v>
      </c>
      <c r="AE646">
        <f t="shared" si="20"/>
        <v>1321.71</v>
      </c>
      <c r="AF646" t="str">
        <f t="shared" si="21"/>
        <v>2025-03</v>
      </c>
      <c r="AG646">
        <f>SUBTOTAL(103,A646)</f>
        <v>1</v>
      </c>
    </row>
    <row r="647" spans="1:33" x14ac:dyDescent="0.3">
      <c r="A647" t="s">
        <v>3258</v>
      </c>
      <c r="B647" s="13">
        <v>45740</v>
      </c>
      <c r="C647">
        <v>2025</v>
      </c>
      <c r="D647">
        <v>3</v>
      </c>
      <c r="E647" t="s">
        <v>3053</v>
      </c>
      <c r="F647" t="s">
        <v>2572</v>
      </c>
      <c r="G647" t="s">
        <v>691</v>
      </c>
      <c r="H647" t="s">
        <v>692</v>
      </c>
      <c r="I647" t="s">
        <v>86</v>
      </c>
      <c r="J647">
        <v>32</v>
      </c>
      <c r="K647" t="s">
        <v>81</v>
      </c>
      <c r="L647" t="s">
        <v>59</v>
      </c>
      <c r="M647" t="s">
        <v>59</v>
      </c>
      <c r="N647" t="s">
        <v>2594</v>
      </c>
      <c r="O647" t="s">
        <v>131</v>
      </c>
      <c r="P647" t="s">
        <v>53</v>
      </c>
      <c r="Q647" t="s">
        <v>143</v>
      </c>
      <c r="R647">
        <v>3</v>
      </c>
      <c r="S647">
        <v>999</v>
      </c>
      <c r="T647">
        <v>0.15</v>
      </c>
      <c r="U647">
        <v>2547.4499999999998</v>
      </c>
      <c r="V647">
        <v>1560</v>
      </c>
      <c r="W647">
        <v>987.45</v>
      </c>
      <c r="X647" t="s">
        <v>73</v>
      </c>
      <c r="Y647" t="s">
        <v>68</v>
      </c>
      <c r="Z647" t="s">
        <v>158</v>
      </c>
      <c r="AA647" t="s">
        <v>169</v>
      </c>
      <c r="AB647">
        <v>4.2</v>
      </c>
      <c r="AC647">
        <v>50</v>
      </c>
      <c r="AD647">
        <v>162.11000000000001</v>
      </c>
      <c r="AE647">
        <f t="shared" si="20"/>
        <v>775.34</v>
      </c>
      <c r="AF647" t="str">
        <f t="shared" si="21"/>
        <v>2025-03</v>
      </c>
      <c r="AG647">
        <f>SUBTOTAL(103,A647)</f>
        <v>1</v>
      </c>
    </row>
    <row r="648" spans="1:33" x14ac:dyDescent="0.3">
      <c r="A648" t="s">
        <v>3259</v>
      </c>
      <c r="B648" s="13">
        <v>45740</v>
      </c>
      <c r="C648">
        <v>2025</v>
      </c>
      <c r="D648">
        <v>3</v>
      </c>
      <c r="E648" t="s">
        <v>3053</v>
      </c>
      <c r="F648" t="s">
        <v>2572</v>
      </c>
      <c r="G648" t="s">
        <v>463</v>
      </c>
      <c r="H648" t="s">
        <v>464</v>
      </c>
      <c r="I648" t="s">
        <v>86</v>
      </c>
      <c r="J648">
        <v>40</v>
      </c>
      <c r="K648" t="s">
        <v>82</v>
      </c>
      <c r="L648" t="s">
        <v>100</v>
      </c>
      <c r="M648" t="s">
        <v>56</v>
      </c>
      <c r="N648" t="s">
        <v>2584</v>
      </c>
      <c r="O648" t="s">
        <v>121</v>
      </c>
      <c r="P648" t="s">
        <v>50</v>
      </c>
      <c r="Q648" t="s">
        <v>144</v>
      </c>
      <c r="R648">
        <v>3</v>
      </c>
      <c r="S648">
        <v>2999</v>
      </c>
      <c r="T648">
        <v>0.1</v>
      </c>
      <c r="U648">
        <v>8097.3</v>
      </c>
      <c r="V648">
        <v>5100</v>
      </c>
      <c r="W648">
        <v>2997.3</v>
      </c>
      <c r="X648" t="s">
        <v>73</v>
      </c>
      <c r="Y648" t="s">
        <v>69</v>
      </c>
      <c r="Z648" t="s">
        <v>162</v>
      </c>
      <c r="AA648" t="s">
        <v>169</v>
      </c>
      <c r="AB648">
        <v>4</v>
      </c>
      <c r="AC648">
        <v>50</v>
      </c>
      <c r="AD648">
        <v>887.94</v>
      </c>
      <c r="AE648">
        <f t="shared" si="20"/>
        <v>2059.36</v>
      </c>
      <c r="AF648" t="str">
        <f t="shared" si="21"/>
        <v>2025-03</v>
      </c>
      <c r="AG648">
        <f>SUBTOTAL(103,A648)</f>
        <v>1</v>
      </c>
    </row>
    <row r="649" spans="1:33" x14ac:dyDescent="0.3">
      <c r="A649" t="s">
        <v>3260</v>
      </c>
      <c r="B649" s="13">
        <v>45740</v>
      </c>
      <c r="C649">
        <v>2025</v>
      </c>
      <c r="D649">
        <v>3</v>
      </c>
      <c r="E649" t="s">
        <v>3053</v>
      </c>
      <c r="F649" t="s">
        <v>2572</v>
      </c>
      <c r="G649" t="s">
        <v>1231</v>
      </c>
      <c r="H649" t="s">
        <v>1232</v>
      </c>
      <c r="I649" t="s">
        <v>86</v>
      </c>
      <c r="J649">
        <v>39</v>
      </c>
      <c r="K649" t="s">
        <v>82</v>
      </c>
      <c r="L649" t="s">
        <v>91</v>
      </c>
      <c r="M649" t="s">
        <v>55</v>
      </c>
      <c r="N649" t="s">
        <v>2657</v>
      </c>
      <c r="O649" t="s">
        <v>134</v>
      </c>
      <c r="P649" t="s">
        <v>49</v>
      </c>
      <c r="Q649" t="s">
        <v>140</v>
      </c>
      <c r="R649">
        <v>2</v>
      </c>
      <c r="S649">
        <v>599</v>
      </c>
      <c r="T649">
        <v>0.2</v>
      </c>
      <c r="U649">
        <v>958.4</v>
      </c>
      <c r="V649">
        <v>500</v>
      </c>
      <c r="W649">
        <v>458.4</v>
      </c>
      <c r="X649" t="s">
        <v>74</v>
      </c>
      <c r="Y649" t="s">
        <v>68</v>
      </c>
      <c r="Z649" t="s">
        <v>158</v>
      </c>
      <c r="AA649" t="s">
        <v>167</v>
      </c>
      <c r="AB649">
        <v>4.9000000000000004</v>
      </c>
      <c r="AC649">
        <v>60</v>
      </c>
      <c r="AD649">
        <v>35.01</v>
      </c>
      <c r="AE649">
        <f t="shared" si="20"/>
        <v>363.39</v>
      </c>
      <c r="AF649" t="str">
        <f t="shared" si="21"/>
        <v>2025-03</v>
      </c>
      <c r="AG649">
        <f>SUBTOTAL(103,A649)</f>
        <v>1</v>
      </c>
    </row>
    <row r="650" spans="1:33" x14ac:dyDescent="0.3">
      <c r="A650" t="s">
        <v>3261</v>
      </c>
      <c r="B650" s="13">
        <v>45740</v>
      </c>
      <c r="C650">
        <v>2025</v>
      </c>
      <c r="D650">
        <v>3</v>
      </c>
      <c r="E650" t="s">
        <v>3053</v>
      </c>
      <c r="F650" t="s">
        <v>2572</v>
      </c>
      <c r="G650" t="s">
        <v>1099</v>
      </c>
      <c r="H650" t="s">
        <v>1100</v>
      </c>
      <c r="I650" t="s">
        <v>85</v>
      </c>
      <c r="J650">
        <v>22</v>
      </c>
      <c r="K650" t="s">
        <v>80</v>
      </c>
      <c r="L650" t="s">
        <v>2674</v>
      </c>
      <c r="M650" t="s">
        <v>58</v>
      </c>
      <c r="N650" t="s">
        <v>2590</v>
      </c>
      <c r="O650" t="s">
        <v>127</v>
      </c>
      <c r="P650" t="s">
        <v>51</v>
      </c>
      <c r="Q650" t="s">
        <v>148</v>
      </c>
      <c r="R650">
        <v>2</v>
      </c>
      <c r="S650">
        <v>1599</v>
      </c>
      <c r="T650">
        <v>0.05</v>
      </c>
      <c r="U650">
        <v>0</v>
      </c>
      <c r="V650">
        <v>0</v>
      </c>
      <c r="W650">
        <v>0</v>
      </c>
      <c r="X650" t="s">
        <v>73</v>
      </c>
      <c r="Y650" t="s">
        <v>71</v>
      </c>
      <c r="Z650" t="s">
        <v>160</v>
      </c>
      <c r="AA650" t="s">
        <v>168</v>
      </c>
      <c r="AB650">
        <v>3.5</v>
      </c>
      <c r="AC650">
        <v>120</v>
      </c>
      <c r="AD650">
        <v>156.44999999999999</v>
      </c>
      <c r="AE650">
        <f t="shared" si="20"/>
        <v>-276.45</v>
      </c>
      <c r="AF650" t="str">
        <f t="shared" si="21"/>
        <v>2025-03</v>
      </c>
      <c r="AG650">
        <f>SUBTOTAL(103,A650)</f>
        <v>1</v>
      </c>
    </row>
    <row r="651" spans="1:33" x14ac:dyDescent="0.3">
      <c r="A651" t="s">
        <v>3262</v>
      </c>
      <c r="B651" s="13">
        <v>45741</v>
      </c>
      <c r="C651">
        <v>2025</v>
      </c>
      <c r="D651">
        <v>3</v>
      </c>
      <c r="E651" t="s">
        <v>3053</v>
      </c>
      <c r="F651" t="s">
        <v>2572</v>
      </c>
      <c r="G651" t="s">
        <v>1793</v>
      </c>
      <c r="H651" t="s">
        <v>1794</v>
      </c>
      <c r="I651" t="s">
        <v>86</v>
      </c>
      <c r="J651">
        <v>28</v>
      </c>
      <c r="K651" t="s">
        <v>81</v>
      </c>
      <c r="L651" t="s">
        <v>2612</v>
      </c>
      <c r="M651" t="s">
        <v>64</v>
      </c>
      <c r="N651" t="s">
        <v>2594</v>
      </c>
      <c r="O651" t="s">
        <v>131</v>
      </c>
      <c r="P651" t="s">
        <v>53</v>
      </c>
      <c r="Q651" t="s">
        <v>143</v>
      </c>
      <c r="R651">
        <v>1</v>
      </c>
      <c r="S651">
        <v>999</v>
      </c>
      <c r="T651">
        <v>0</v>
      </c>
      <c r="U651">
        <v>999</v>
      </c>
      <c r="V651">
        <v>520</v>
      </c>
      <c r="W651">
        <v>479</v>
      </c>
      <c r="X651" t="s">
        <v>74</v>
      </c>
      <c r="Y651" t="s">
        <v>68</v>
      </c>
      <c r="Z651" t="s">
        <v>161</v>
      </c>
      <c r="AA651" t="s">
        <v>166</v>
      </c>
      <c r="AB651">
        <v>3.5</v>
      </c>
      <c r="AC651">
        <v>80</v>
      </c>
      <c r="AD651">
        <v>103.51</v>
      </c>
      <c r="AE651">
        <f t="shared" si="20"/>
        <v>295.49</v>
      </c>
      <c r="AF651" t="str">
        <f t="shared" si="21"/>
        <v>2025-03</v>
      </c>
      <c r="AG651">
        <f>SUBTOTAL(103,A651)</f>
        <v>1</v>
      </c>
    </row>
    <row r="652" spans="1:33" x14ac:dyDescent="0.3">
      <c r="A652" t="s">
        <v>3263</v>
      </c>
      <c r="B652" s="13">
        <v>45741</v>
      </c>
      <c r="C652">
        <v>2025</v>
      </c>
      <c r="D652">
        <v>3</v>
      </c>
      <c r="E652" t="s">
        <v>3053</v>
      </c>
      <c r="F652" t="s">
        <v>2572</v>
      </c>
      <c r="G652" t="s">
        <v>609</v>
      </c>
      <c r="H652" t="s">
        <v>610</v>
      </c>
      <c r="I652" t="s">
        <v>86</v>
      </c>
      <c r="J652">
        <v>29</v>
      </c>
      <c r="K652" t="s">
        <v>81</v>
      </c>
      <c r="L652" t="s">
        <v>97</v>
      </c>
      <c r="M652" t="s">
        <v>57</v>
      </c>
      <c r="N652" t="s">
        <v>2665</v>
      </c>
      <c r="O652" t="s">
        <v>128</v>
      </c>
      <c r="P652" t="s">
        <v>53</v>
      </c>
      <c r="Q652" t="s">
        <v>143</v>
      </c>
      <c r="R652">
        <v>4</v>
      </c>
      <c r="S652">
        <v>1499</v>
      </c>
      <c r="T652">
        <v>0.05</v>
      </c>
      <c r="U652">
        <v>5696.2</v>
      </c>
      <c r="V652">
        <v>3200</v>
      </c>
      <c r="W652">
        <v>2496.1999999999998</v>
      </c>
      <c r="X652" t="s">
        <v>77</v>
      </c>
      <c r="Y652" t="s">
        <v>68</v>
      </c>
      <c r="Z652" t="s">
        <v>160</v>
      </c>
      <c r="AA652" t="s">
        <v>166</v>
      </c>
      <c r="AB652">
        <v>4.5</v>
      </c>
      <c r="AC652">
        <v>50</v>
      </c>
      <c r="AD652">
        <v>140.51</v>
      </c>
      <c r="AE652">
        <f t="shared" si="20"/>
        <v>2305.6899999999996</v>
      </c>
      <c r="AF652" t="str">
        <f t="shared" si="21"/>
        <v>2025-03</v>
      </c>
      <c r="AG652">
        <f>SUBTOTAL(103,A652)</f>
        <v>1</v>
      </c>
    </row>
    <row r="653" spans="1:33" x14ac:dyDescent="0.3">
      <c r="A653" t="s">
        <v>3264</v>
      </c>
      <c r="B653" s="13">
        <v>45741</v>
      </c>
      <c r="C653">
        <v>2025</v>
      </c>
      <c r="D653">
        <v>3</v>
      </c>
      <c r="E653" t="s">
        <v>3053</v>
      </c>
      <c r="F653" t="s">
        <v>2572</v>
      </c>
      <c r="G653" t="s">
        <v>347</v>
      </c>
      <c r="H653" t="s">
        <v>348</v>
      </c>
      <c r="I653" t="s">
        <v>86</v>
      </c>
      <c r="J653">
        <v>33</v>
      </c>
      <c r="K653" t="s">
        <v>81</v>
      </c>
      <c r="L653" t="s">
        <v>96</v>
      </c>
      <c r="M653" t="s">
        <v>55</v>
      </c>
      <c r="N653" t="s">
        <v>2644</v>
      </c>
      <c r="O653" t="s">
        <v>126</v>
      </c>
      <c r="P653" t="s">
        <v>50</v>
      </c>
      <c r="Q653" t="s">
        <v>145</v>
      </c>
      <c r="R653">
        <v>3</v>
      </c>
      <c r="S653">
        <v>1799</v>
      </c>
      <c r="T653">
        <v>0.15</v>
      </c>
      <c r="U653">
        <v>4587.45</v>
      </c>
      <c r="V653">
        <v>2850</v>
      </c>
      <c r="W653">
        <v>1737.45</v>
      </c>
      <c r="X653" t="s">
        <v>74</v>
      </c>
      <c r="Y653" t="s">
        <v>68</v>
      </c>
      <c r="Z653" t="s">
        <v>160</v>
      </c>
      <c r="AA653" t="s">
        <v>170</v>
      </c>
      <c r="AB653">
        <v>4</v>
      </c>
      <c r="AC653">
        <v>50</v>
      </c>
      <c r="AD653">
        <v>549.30999999999995</v>
      </c>
      <c r="AE653">
        <f t="shared" si="20"/>
        <v>1138.1400000000001</v>
      </c>
      <c r="AF653" t="str">
        <f t="shared" si="21"/>
        <v>2025-03</v>
      </c>
      <c r="AG653">
        <f>SUBTOTAL(103,A653)</f>
        <v>1</v>
      </c>
    </row>
    <row r="654" spans="1:33" x14ac:dyDescent="0.3">
      <c r="A654" t="s">
        <v>3265</v>
      </c>
      <c r="B654" s="13">
        <v>45741</v>
      </c>
      <c r="C654">
        <v>2025</v>
      </c>
      <c r="D654">
        <v>3</v>
      </c>
      <c r="E654" t="s">
        <v>3053</v>
      </c>
      <c r="F654" t="s">
        <v>2572</v>
      </c>
      <c r="G654" t="s">
        <v>239</v>
      </c>
      <c r="H654" t="s">
        <v>240</v>
      </c>
      <c r="I654" t="s">
        <v>85</v>
      </c>
      <c r="J654">
        <v>43</v>
      </c>
      <c r="K654" t="s">
        <v>82</v>
      </c>
      <c r="L654" t="s">
        <v>2579</v>
      </c>
      <c r="M654" t="s">
        <v>56</v>
      </c>
      <c r="N654" t="s">
        <v>2580</v>
      </c>
      <c r="O654" t="s">
        <v>118</v>
      </c>
      <c r="P654" t="s">
        <v>48</v>
      </c>
      <c r="Q654" t="s">
        <v>142</v>
      </c>
      <c r="R654">
        <v>3</v>
      </c>
      <c r="S654">
        <v>3999</v>
      </c>
      <c r="T654">
        <v>0.1</v>
      </c>
      <c r="U654">
        <v>10797.3</v>
      </c>
      <c r="V654">
        <v>7200</v>
      </c>
      <c r="W654">
        <v>3597.3</v>
      </c>
      <c r="X654" t="s">
        <v>73</v>
      </c>
      <c r="Y654" t="s">
        <v>68</v>
      </c>
      <c r="Z654" t="s">
        <v>160</v>
      </c>
      <c r="AA654" t="s">
        <v>168</v>
      </c>
      <c r="AB654">
        <v>3.6</v>
      </c>
      <c r="AC654">
        <v>50</v>
      </c>
      <c r="AD654">
        <v>328.56</v>
      </c>
      <c r="AE654">
        <f t="shared" si="20"/>
        <v>3218.7400000000002</v>
      </c>
      <c r="AF654" t="str">
        <f t="shared" si="21"/>
        <v>2025-03</v>
      </c>
      <c r="AG654">
        <f>SUBTOTAL(103,A654)</f>
        <v>1</v>
      </c>
    </row>
    <row r="655" spans="1:33" x14ac:dyDescent="0.3">
      <c r="A655" t="s">
        <v>3266</v>
      </c>
      <c r="B655" s="13">
        <v>45741</v>
      </c>
      <c r="C655">
        <v>2025</v>
      </c>
      <c r="D655">
        <v>3</v>
      </c>
      <c r="E655" t="s">
        <v>3053</v>
      </c>
      <c r="F655" t="s">
        <v>2572</v>
      </c>
      <c r="G655" t="s">
        <v>1277</v>
      </c>
      <c r="H655" t="s">
        <v>1278</v>
      </c>
      <c r="I655" t="s">
        <v>85</v>
      </c>
      <c r="J655">
        <v>34</v>
      </c>
      <c r="K655" t="s">
        <v>81</v>
      </c>
      <c r="L655" t="s">
        <v>90</v>
      </c>
      <c r="M655" t="s">
        <v>55</v>
      </c>
      <c r="N655" t="s">
        <v>2626</v>
      </c>
      <c r="O655" t="s">
        <v>125</v>
      </c>
      <c r="P655" t="s">
        <v>48</v>
      </c>
      <c r="Q655" t="s">
        <v>141</v>
      </c>
      <c r="R655">
        <v>2</v>
      </c>
      <c r="S655">
        <v>1999</v>
      </c>
      <c r="T655">
        <v>0</v>
      </c>
      <c r="U655">
        <v>3998</v>
      </c>
      <c r="V655">
        <v>2300</v>
      </c>
      <c r="W655">
        <v>1698</v>
      </c>
      <c r="X655" t="s">
        <v>76</v>
      </c>
      <c r="Y655" t="s">
        <v>68</v>
      </c>
      <c r="Z655" t="s">
        <v>158</v>
      </c>
      <c r="AA655" t="s">
        <v>171</v>
      </c>
      <c r="AB655">
        <v>4.0999999999999996</v>
      </c>
      <c r="AC655">
        <v>50</v>
      </c>
      <c r="AD655">
        <v>264.75</v>
      </c>
      <c r="AE655">
        <f t="shared" si="20"/>
        <v>1383.25</v>
      </c>
      <c r="AF655" t="str">
        <f t="shared" si="21"/>
        <v>2025-03</v>
      </c>
      <c r="AG655">
        <f>SUBTOTAL(103,A655)</f>
        <v>1</v>
      </c>
    </row>
    <row r="656" spans="1:33" x14ac:dyDescent="0.3">
      <c r="A656" t="s">
        <v>3267</v>
      </c>
      <c r="B656" s="13">
        <v>45741</v>
      </c>
      <c r="C656">
        <v>2025</v>
      </c>
      <c r="D656">
        <v>3</v>
      </c>
      <c r="E656" t="s">
        <v>3053</v>
      </c>
      <c r="F656" t="s">
        <v>2572</v>
      </c>
      <c r="G656" t="s">
        <v>1689</v>
      </c>
      <c r="H656" t="s">
        <v>1690</v>
      </c>
      <c r="I656" t="s">
        <v>85</v>
      </c>
      <c r="J656">
        <v>54</v>
      </c>
      <c r="K656" t="s">
        <v>83</v>
      </c>
      <c r="L656" t="s">
        <v>93</v>
      </c>
      <c r="M656" t="s">
        <v>55</v>
      </c>
      <c r="N656" t="s">
        <v>2594</v>
      </c>
      <c r="O656" t="s">
        <v>131</v>
      </c>
      <c r="P656" t="s">
        <v>53</v>
      </c>
      <c r="Q656" t="s">
        <v>143</v>
      </c>
      <c r="R656">
        <v>2</v>
      </c>
      <c r="S656">
        <v>999</v>
      </c>
      <c r="T656">
        <v>0.25</v>
      </c>
      <c r="U656">
        <v>1498.5</v>
      </c>
      <c r="V656">
        <v>1040</v>
      </c>
      <c r="W656">
        <v>458.5</v>
      </c>
      <c r="X656" t="s">
        <v>76</v>
      </c>
      <c r="Y656" t="s">
        <v>68</v>
      </c>
      <c r="Z656" t="s">
        <v>160</v>
      </c>
      <c r="AA656" t="s">
        <v>167</v>
      </c>
      <c r="AB656">
        <v>4.4000000000000004</v>
      </c>
      <c r="AC656">
        <v>50</v>
      </c>
      <c r="AD656">
        <v>94.28</v>
      </c>
      <c r="AE656">
        <f t="shared" si="20"/>
        <v>314.22000000000003</v>
      </c>
      <c r="AF656" t="str">
        <f t="shared" si="21"/>
        <v>2025-03</v>
      </c>
      <c r="AG656">
        <f>SUBTOTAL(103,A656)</f>
        <v>1</v>
      </c>
    </row>
    <row r="657" spans="1:33" x14ac:dyDescent="0.3">
      <c r="A657" t="s">
        <v>3268</v>
      </c>
      <c r="B657" s="13">
        <v>45741</v>
      </c>
      <c r="C657">
        <v>2025</v>
      </c>
      <c r="D657">
        <v>3</v>
      </c>
      <c r="E657" t="s">
        <v>3053</v>
      </c>
      <c r="F657" t="s">
        <v>2572</v>
      </c>
      <c r="G657" t="s">
        <v>541</v>
      </c>
      <c r="H657" t="s">
        <v>542</v>
      </c>
      <c r="I657" t="s">
        <v>85</v>
      </c>
      <c r="J657">
        <v>59</v>
      </c>
      <c r="K657" t="s">
        <v>83</v>
      </c>
      <c r="L657" t="s">
        <v>2589</v>
      </c>
      <c r="M657" t="s">
        <v>61</v>
      </c>
      <c r="N657" t="s">
        <v>2603</v>
      </c>
      <c r="O657" t="s">
        <v>122</v>
      </c>
      <c r="P657" t="s">
        <v>48</v>
      </c>
      <c r="Q657" t="s">
        <v>141</v>
      </c>
      <c r="R657">
        <v>3</v>
      </c>
      <c r="S657">
        <v>2499</v>
      </c>
      <c r="T657">
        <v>0</v>
      </c>
      <c r="U657">
        <v>7497</v>
      </c>
      <c r="V657">
        <v>4350</v>
      </c>
      <c r="W657">
        <v>3147</v>
      </c>
      <c r="X657" t="s">
        <v>73</v>
      </c>
      <c r="Y657" t="s">
        <v>68</v>
      </c>
      <c r="Z657" t="s">
        <v>163</v>
      </c>
      <c r="AA657" t="s">
        <v>171</v>
      </c>
      <c r="AB657">
        <v>4.0999999999999996</v>
      </c>
      <c r="AC657">
        <v>60</v>
      </c>
      <c r="AD657">
        <v>859.24</v>
      </c>
      <c r="AE657">
        <f t="shared" si="20"/>
        <v>2227.7600000000002</v>
      </c>
      <c r="AF657" t="str">
        <f t="shared" si="21"/>
        <v>2025-03</v>
      </c>
      <c r="AG657">
        <f>SUBTOTAL(103,A657)</f>
        <v>1</v>
      </c>
    </row>
    <row r="658" spans="1:33" x14ac:dyDescent="0.3">
      <c r="A658" t="s">
        <v>3269</v>
      </c>
      <c r="B658" s="13">
        <v>45741</v>
      </c>
      <c r="C658">
        <v>2025</v>
      </c>
      <c r="D658">
        <v>3</v>
      </c>
      <c r="E658" t="s">
        <v>3053</v>
      </c>
      <c r="F658" t="s">
        <v>2572</v>
      </c>
      <c r="G658" t="s">
        <v>841</v>
      </c>
      <c r="H658" t="s">
        <v>842</v>
      </c>
      <c r="I658" t="s">
        <v>86</v>
      </c>
      <c r="J658">
        <v>49</v>
      </c>
      <c r="K658" t="s">
        <v>83</v>
      </c>
      <c r="L658" t="s">
        <v>2661</v>
      </c>
      <c r="M658" t="s">
        <v>58</v>
      </c>
      <c r="N658" t="s">
        <v>2630</v>
      </c>
      <c r="O658" t="s">
        <v>123</v>
      </c>
      <c r="P658" t="s">
        <v>52</v>
      </c>
      <c r="Q658" t="s">
        <v>146</v>
      </c>
      <c r="R658">
        <v>4</v>
      </c>
      <c r="S658">
        <v>2499</v>
      </c>
      <c r="T658">
        <v>0.05</v>
      </c>
      <c r="U658">
        <v>9496.2000000000007</v>
      </c>
      <c r="V658">
        <v>5600</v>
      </c>
      <c r="W658">
        <v>3896.2</v>
      </c>
      <c r="X658" t="s">
        <v>75</v>
      </c>
      <c r="Y658" t="s">
        <v>68</v>
      </c>
      <c r="Z658" t="s">
        <v>160</v>
      </c>
      <c r="AA658" t="s">
        <v>167</v>
      </c>
      <c r="AB658">
        <v>4.9000000000000004</v>
      </c>
      <c r="AC658">
        <v>60</v>
      </c>
      <c r="AD658">
        <v>694.32</v>
      </c>
      <c r="AE658">
        <f t="shared" si="20"/>
        <v>3141.8799999999997</v>
      </c>
      <c r="AF658" t="str">
        <f t="shared" si="21"/>
        <v>2025-03</v>
      </c>
      <c r="AG658">
        <f>SUBTOTAL(103,A658)</f>
        <v>1</v>
      </c>
    </row>
    <row r="659" spans="1:33" x14ac:dyDescent="0.3">
      <c r="A659" t="s">
        <v>3270</v>
      </c>
      <c r="B659" s="13">
        <v>45741</v>
      </c>
      <c r="C659">
        <v>2025</v>
      </c>
      <c r="D659">
        <v>3</v>
      </c>
      <c r="E659" t="s">
        <v>3053</v>
      </c>
      <c r="F659" t="s">
        <v>2572</v>
      </c>
      <c r="G659" t="s">
        <v>483</v>
      </c>
      <c r="H659" t="s">
        <v>484</v>
      </c>
      <c r="I659" t="s">
        <v>85</v>
      </c>
      <c r="J659">
        <v>32</v>
      </c>
      <c r="K659" t="s">
        <v>81</v>
      </c>
      <c r="L659" t="s">
        <v>2605</v>
      </c>
      <c r="M659" t="s">
        <v>60</v>
      </c>
      <c r="N659" t="s">
        <v>2594</v>
      </c>
      <c r="O659" t="s">
        <v>131</v>
      </c>
      <c r="P659" t="s">
        <v>53</v>
      </c>
      <c r="Q659" t="s">
        <v>143</v>
      </c>
      <c r="R659">
        <v>2</v>
      </c>
      <c r="S659">
        <v>999</v>
      </c>
      <c r="T659">
        <v>0</v>
      </c>
      <c r="U659">
        <v>1998</v>
      </c>
      <c r="V659">
        <v>1040</v>
      </c>
      <c r="W659">
        <v>958</v>
      </c>
      <c r="X659" t="s">
        <v>76</v>
      </c>
      <c r="Y659" t="s">
        <v>68</v>
      </c>
      <c r="Z659" t="s">
        <v>162</v>
      </c>
      <c r="AA659" t="s">
        <v>166</v>
      </c>
      <c r="AB659">
        <v>3.7</v>
      </c>
      <c r="AC659">
        <v>60</v>
      </c>
      <c r="AD659">
        <v>134.44999999999999</v>
      </c>
      <c r="AE659">
        <f t="shared" si="20"/>
        <v>763.55</v>
      </c>
      <c r="AF659" t="str">
        <f t="shared" si="21"/>
        <v>2025-03</v>
      </c>
      <c r="AG659">
        <f>SUBTOTAL(103,A659)</f>
        <v>1</v>
      </c>
    </row>
    <row r="660" spans="1:33" x14ac:dyDescent="0.3">
      <c r="A660" t="s">
        <v>3271</v>
      </c>
      <c r="B660" s="13">
        <v>45742</v>
      </c>
      <c r="C660">
        <v>2025</v>
      </c>
      <c r="D660">
        <v>3</v>
      </c>
      <c r="E660" t="s">
        <v>3053</v>
      </c>
      <c r="F660" t="s">
        <v>2572</v>
      </c>
      <c r="G660" t="s">
        <v>1325</v>
      </c>
      <c r="H660" t="s">
        <v>1326</v>
      </c>
      <c r="I660" t="s">
        <v>86</v>
      </c>
      <c r="J660">
        <v>47</v>
      </c>
      <c r="K660" t="s">
        <v>83</v>
      </c>
      <c r="L660" t="s">
        <v>98</v>
      </c>
      <c r="M660" t="s">
        <v>55</v>
      </c>
      <c r="N660" t="s">
        <v>2665</v>
      </c>
      <c r="O660" t="s">
        <v>128</v>
      </c>
      <c r="P660" t="s">
        <v>53</v>
      </c>
      <c r="Q660" t="s">
        <v>143</v>
      </c>
      <c r="R660">
        <v>5</v>
      </c>
      <c r="S660">
        <v>1499</v>
      </c>
      <c r="T660">
        <v>0.05</v>
      </c>
      <c r="U660">
        <v>7120.25</v>
      </c>
      <c r="V660">
        <v>4000</v>
      </c>
      <c r="W660">
        <v>3120.25</v>
      </c>
      <c r="X660" t="s">
        <v>74</v>
      </c>
      <c r="Y660" t="s">
        <v>68</v>
      </c>
      <c r="Z660" t="s">
        <v>162</v>
      </c>
      <c r="AA660" t="s">
        <v>166</v>
      </c>
      <c r="AB660">
        <v>4.4000000000000004</v>
      </c>
      <c r="AC660">
        <v>100</v>
      </c>
      <c r="AD660">
        <v>700.24</v>
      </c>
      <c r="AE660">
        <f t="shared" si="20"/>
        <v>2320.0100000000002</v>
      </c>
      <c r="AF660" t="str">
        <f t="shared" si="21"/>
        <v>2025-03</v>
      </c>
      <c r="AG660">
        <f>SUBTOTAL(103,A660)</f>
        <v>1</v>
      </c>
    </row>
    <row r="661" spans="1:33" x14ac:dyDescent="0.3">
      <c r="A661" t="s">
        <v>3272</v>
      </c>
      <c r="B661" s="13">
        <v>45742</v>
      </c>
      <c r="C661">
        <v>2025</v>
      </c>
      <c r="D661">
        <v>3</v>
      </c>
      <c r="E661" t="s">
        <v>3053</v>
      </c>
      <c r="F661" t="s">
        <v>2572</v>
      </c>
      <c r="G661" t="s">
        <v>663</v>
      </c>
      <c r="H661" t="s">
        <v>664</v>
      </c>
      <c r="I661" t="s">
        <v>86</v>
      </c>
      <c r="J661">
        <v>49</v>
      </c>
      <c r="K661" t="s">
        <v>83</v>
      </c>
      <c r="L661" t="s">
        <v>98</v>
      </c>
      <c r="M661" t="s">
        <v>55</v>
      </c>
      <c r="N661" t="s">
        <v>2606</v>
      </c>
      <c r="O661" t="s">
        <v>120</v>
      </c>
      <c r="P661" t="s">
        <v>49</v>
      </c>
      <c r="Q661" t="s">
        <v>140</v>
      </c>
      <c r="R661">
        <v>3</v>
      </c>
      <c r="S661">
        <v>2799</v>
      </c>
      <c r="T661">
        <v>0.1</v>
      </c>
      <c r="U661">
        <v>7557.3</v>
      </c>
      <c r="V661">
        <v>4950</v>
      </c>
      <c r="W661">
        <v>2607.3000000000002</v>
      </c>
      <c r="X661" t="s">
        <v>73</v>
      </c>
      <c r="Y661" t="s">
        <v>68</v>
      </c>
      <c r="Z661" t="s">
        <v>158</v>
      </c>
      <c r="AA661" t="s">
        <v>166</v>
      </c>
      <c r="AB661">
        <v>4.7</v>
      </c>
      <c r="AC661">
        <v>100</v>
      </c>
      <c r="AD661">
        <v>899.57</v>
      </c>
      <c r="AE661">
        <f t="shared" si="20"/>
        <v>1607.73</v>
      </c>
      <c r="AF661" t="str">
        <f t="shared" si="21"/>
        <v>2025-03</v>
      </c>
      <c r="AG661">
        <f>SUBTOTAL(103,A661)</f>
        <v>1</v>
      </c>
    </row>
    <row r="662" spans="1:33" x14ac:dyDescent="0.3">
      <c r="A662" t="s">
        <v>3273</v>
      </c>
      <c r="B662" s="13">
        <v>45742</v>
      </c>
      <c r="C662">
        <v>2025</v>
      </c>
      <c r="D662">
        <v>3</v>
      </c>
      <c r="E662" t="s">
        <v>3053</v>
      </c>
      <c r="F662" t="s">
        <v>2572</v>
      </c>
      <c r="G662" t="s">
        <v>315</v>
      </c>
      <c r="H662" t="s">
        <v>316</v>
      </c>
      <c r="I662" t="s">
        <v>85</v>
      </c>
      <c r="J662">
        <v>35</v>
      </c>
      <c r="K662" t="s">
        <v>81</v>
      </c>
      <c r="L662" t="s">
        <v>95</v>
      </c>
      <c r="M662" t="s">
        <v>56</v>
      </c>
      <c r="N662" t="s">
        <v>2580</v>
      </c>
      <c r="O662" t="s">
        <v>118</v>
      </c>
      <c r="P662" t="s">
        <v>48</v>
      </c>
      <c r="Q662" t="s">
        <v>142</v>
      </c>
      <c r="R662">
        <v>1</v>
      </c>
      <c r="S662">
        <v>3999</v>
      </c>
      <c r="T662">
        <v>0.1</v>
      </c>
      <c r="U662">
        <v>3599.1</v>
      </c>
      <c r="V662">
        <v>2400</v>
      </c>
      <c r="W662">
        <v>1199.0999999999999</v>
      </c>
      <c r="X662" t="s">
        <v>76</v>
      </c>
      <c r="Y662" t="s">
        <v>68</v>
      </c>
      <c r="Z662" t="s">
        <v>160</v>
      </c>
      <c r="AA662" t="s">
        <v>167</v>
      </c>
      <c r="AB662">
        <v>4.5</v>
      </c>
      <c r="AC662">
        <v>50</v>
      </c>
      <c r="AD662">
        <v>393.31</v>
      </c>
      <c r="AE662">
        <f t="shared" si="20"/>
        <v>755.79</v>
      </c>
      <c r="AF662" t="str">
        <f t="shared" si="21"/>
        <v>2025-03</v>
      </c>
      <c r="AG662">
        <f>SUBTOTAL(103,A662)</f>
        <v>1</v>
      </c>
    </row>
    <row r="663" spans="1:33" x14ac:dyDescent="0.3">
      <c r="A663" t="s">
        <v>3274</v>
      </c>
      <c r="B663" s="13">
        <v>45742</v>
      </c>
      <c r="C663">
        <v>2025</v>
      </c>
      <c r="D663">
        <v>3</v>
      </c>
      <c r="E663" t="s">
        <v>3053</v>
      </c>
      <c r="F663" t="s">
        <v>2572</v>
      </c>
      <c r="G663" t="s">
        <v>701</v>
      </c>
      <c r="H663" t="s">
        <v>702</v>
      </c>
      <c r="I663" t="s">
        <v>86</v>
      </c>
      <c r="J663">
        <v>45</v>
      </c>
      <c r="K663" t="s">
        <v>82</v>
      </c>
      <c r="L663" t="s">
        <v>2679</v>
      </c>
      <c r="M663" t="s">
        <v>60</v>
      </c>
      <c r="N663" t="s">
        <v>2582</v>
      </c>
      <c r="O663" t="s">
        <v>119</v>
      </c>
      <c r="P663" t="s">
        <v>49</v>
      </c>
      <c r="Q663" t="s">
        <v>140</v>
      </c>
      <c r="R663">
        <v>2</v>
      </c>
      <c r="S663">
        <v>3499</v>
      </c>
      <c r="T663">
        <v>0.2</v>
      </c>
      <c r="U663">
        <v>5598.4</v>
      </c>
      <c r="V663">
        <v>4200</v>
      </c>
      <c r="W663">
        <v>1398.4</v>
      </c>
      <c r="X663" t="s">
        <v>73</v>
      </c>
      <c r="Y663" t="s">
        <v>68</v>
      </c>
      <c r="Z663" t="s">
        <v>160</v>
      </c>
      <c r="AA663" t="s">
        <v>169</v>
      </c>
      <c r="AB663">
        <v>5</v>
      </c>
      <c r="AC663">
        <v>50</v>
      </c>
      <c r="AD663">
        <v>179.48</v>
      </c>
      <c r="AE663">
        <f t="shared" si="20"/>
        <v>1168.92</v>
      </c>
      <c r="AF663" t="str">
        <f t="shared" si="21"/>
        <v>2025-03</v>
      </c>
      <c r="AG663">
        <f>SUBTOTAL(103,A663)</f>
        <v>1</v>
      </c>
    </row>
    <row r="664" spans="1:33" x14ac:dyDescent="0.3">
      <c r="A664" t="s">
        <v>3275</v>
      </c>
      <c r="B664" s="13">
        <v>45742</v>
      </c>
      <c r="C664">
        <v>2025</v>
      </c>
      <c r="D664">
        <v>3</v>
      </c>
      <c r="E664" t="s">
        <v>3053</v>
      </c>
      <c r="F664" t="s">
        <v>2572</v>
      </c>
      <c r="G664" t="s">
        <v>293</v>
      </c>
      <c r="H664" t="s">
        <v>294</v>
      </c>
      <c r="I664" t="s">
        <v>86</v>
      </c>
      <c r="J664">
        <v>30</v>
      </c>
      <c r="K664" t="s">
        <v>81</v>
      </c>
      <c r="L664" t="s">
        <v>98</v>
      </c>
      <c r="M664" t="s">
        <v>55</v>
      </c>
      <c r="N664" t="s">
        <v>2580</v>
      </c>
      <c r="O664" t="s">
        <v>118</v>
      </c>
      <c r="P664" t="s">
        <v>48</v>
      </c>
      <c r="Q664" t="s">
        <v>142</v>
      </c>
      <c r="R664">
        <v>1</v>
      </c>
      <c r="S664">
        <v>3999</v>
      </c>
      <c r="T664">
        <v>0.1</v>
      </c>
      <c r="U664">
        <v>3599.1</v>
      </c>
      <c r="V664">
        <v>2400</v>
      </c>
      <c r="W664">
        <v>1199.0999999999999</v>
      </c>
      <c r="X664" t="s">
        <v>74</v>
      </c>
      <c r="Y664" t="s">
        <v>68</v>
      </c>
      <c r="Z664" t="s">
        <v>161</v>
      </c>
      <c r="AA664" t="s">
        <v>166</v>
      </c>
      <c r="AB664">
        <v>3.2</v>
      </c>
      <c r="AC664">
        <v>50</v>
      </c>
      <c r="AD664">
        <v>127.38</v>
      </c>
      <c r="AE664">
        <f t="shared" si="20"/>
        <v>1021.7199999999999</v>
      </c>
      <c r="AF664" t="str">
        <f t="shared" si="21"/>
        <v>2025-03</v>
      </c>
      <c r="AG664">
        <f>SUBTOTAL(103,A664)</f>
        <v>1</v>
      </c>
    </row>
    <row r="665" spans="1:33" x14ac:dyDescent="0.3">
      <c r="A665" t="s">
        <v>3276</v>
      </c>
      <c r="B665" s="13">
        <v>45742</v>
      </c>
      <c r="C665">
        <v>2025</v>
      </c>
      <c r="D665">
        <v>3</v>
      </c>
      <c r="E665" t="s">
        <v>3053</v>
      </c>
      <c r="F665" t="s">
        <v>2572</v>
      </c>
      <c r="G665" t="s">
        <v>1121</v>
      </c>
      <c r="H665" t="s">
        <v>1122</v>
      </c>
      <c r="I665" t="s">
        <v>85</v>
      </c>
      <c r="J665">
        <v>38</v>
      </c>
      <c r="K665" t="s">
        <v>82</v>
      </c>
      <c r="L665" t="s">
        <v>100</v>
      </c>
      <c r="M665" t="s">
        <v>56</v>
      </c>
      <c r="N665" t="s">
        <v>2574</v>
      </c>
      <c r="O665" t="s">
        <v>130</v>
      </c>
      <c r="P665" t="s">
        <v>50</v>
      </c>
      <c r="Q665" t="s">
        <v>53</v>
      </c>
      <c r="R665">
        <v>2</v>
      </c>
      <c r="S665">
        <v>1199</v>
      </c>
      <c r="T665">
        <v>0.25</v>
      </c>
      <c r="U665">
        <v>0</v>
      </c>
      <c r="V665">
        <v>0</v>
      </c>
      <c r="W665">
        <v>0</v>
      </c>
      <c r="X665" t="s">
        <v>76</v>
      </c>
      <c r="Y665" t="s">
        <v>71</v>
      </c>
      <c r="Z665" t="s">
        <v>161</v>
      </c>
      <c r="AA665" t="s">
        <v>166</v>
      </c>
      <c r="AB665">
        <v>4.0999999999999996</v>
      </c>
      <c r="AC665">
        <v>50</v>
      </c>
      <c r="AD665">
        <v>170.35</v>
      </c>
      <c r="AE665">
        <f t="shared" si="20"/>
        <v>-220.35</v>
      </c>
      <c r="AF665" t="str">
        <f t="shared" si="21"/>
        <v>2025-03</v>
      </c>
      <c r="AG665">
        <f>SUBTOTAL(103,A665)</f>
        <v>1</v>
      </c>
    </row>
    <row r="666" spans="1:33" x14ac:dyDescent="0.3">
      <c r="A666" t="s">
        <v>3277</v>
      </c>
      <c r="B666" s="13">
        <v>45742</v>
      </c>
      <c r="C666">
        <v>2025</v>
      </c>
      <c r="D666">
        <v>3</v>
      </c>
      <c r="E666" t="s">
        <v>3053</v>
      </c>
      <c r="F666" t="s">
        <v>2572</v>
      </c>
      <c r="G666" t="s">
        <v>843</v>
      </c>
      <c r="H666" t="s">
        <v>844</v>
      </c>
      <c r="I666" t="s">
        <v>85</v>
      </c>
      <c r="J666">
        <v>39</v>
      </c>
      <c r="K666" t="s">
        <v>82</v>
      </c>
      <c r="L666" t="s">
        <v>93</v>
      </c>
      <c r="M666" t="s">
        <v>55</v>
      </c>
      <c r="N666" t="s">
        <v>2601</v>
      </c>
      <c r="O666" t="s">
        <v>117</v>
      </c>
      <c r="P666" t="s">
        <v>49</v>
      </c>
      <c r="Q666" t="s">
        <v>139</v>
      </c>
      <c r="R666">
        <v>4</v>
      </c>
      <c r="S666">
        <v>6999</v>
      </c>
      <c r="T666">
        <v>0</v>
      </c>
      <c r="U666">
        <v>27996</v>
      </c>
      <c r="V666">
        <v>17200</v>
      </c>
      <c r="W666">
        <v>10796</v>
      </c>
      <c r="X666" t="s">
        <v>74</v>
      </c>
      <c r="Y666" t="s">
        <v>68</v>
      </c>
      <c r="Z666" t="s">
        <v>160</v>
      </c>
      <c r="AA666" t="s">
        <v>166</v>
      </c>
      <c r="AB666">
        <v>4.2</v>
      </c>
      <c r="AC666">
        <v>50</v>
      </c>
      <c r="AD666">
        <v>2774.12</v>
      </c>
      <c r="AE666">
        <f t="shared" si="20"/>
        <v>7971.88</v>
      </c>
      <c r="AF666" t="str">
        <f t="shared" si="21"/>
        <v>2025-03</v>
      </c>
      <c r="AG666">
        <f>SUBTOTAL(103,A666)</f>
        <v>1</v>
      </c>
    </row>
    <row r="667" spans="1:33" x14ac:dyDescent="0.3">
      <c r="A667" t="s">
        <v>3278</v>
      </c>
      <c r="B667" s="13">
        <v>45742</v>
      </c>
      <c r="C667">
        <v>2025</v>
      </c>
      <c r="D667">
        <v>3</v>
      </c>
      <c r="E667" t="s">
        <v>3053</v>
      </c>
      <c r="F667" t="s">
        <v>2572</v>
      </c>
      <c r="G667" t="s">
        <v>261</v>
      </c>
      <c r="H667" t="s">
        <v>262</v>
      </c>
      <c r="I667" t="s">
        <v>85</v>
      </c>
      <c r="J667">
        <v>29</v>
      </c>
      <c r="K667" t="s">
        <v>81</v>
      </c>
      <c r="L667" t="s">
        <v>98</v>
      </c>
      <c r="M667" t="s">
        <v>55</v>
      </c>
      <c r="N667" t="s">
        <v>2580</v>
      </c>
      <c r="O667" t="s">
        <v>118</v>
      </c>
      <c r="P667" t="s">
        <v>48</v>
      </c>
      <c r="Q667" t="s">
        <v>142</v>
      </c>
      <c r="R667">
        <v>2</v>
      </c>
      <c r="S667">
        <v>3999</v>
      </c>
      <c r="T667">
        <v>0.05</v>
      </c>
      <c r="U667">
        <v>7598.1</v>
      </c>
      <c r="V667">
        <v>4800</v>
      </c>
      <c r="W667">
        <v>2798.1</v>
      </c>
      <c r="X667" t="s">
        <v>74</v>
      </c>
      <c r="Y667" t="s">
        <v>68</v>
      </c>
      <c r="Z667" t="s">
        <v>158</v>
      </c>
      <c r="AA667" t="s">
        <v>168</v>
      </c>
      <c r="AB667">
        <v>4</v>
      </c>
      <c r="AC667">
        <v>50</v>
      </c>
      <c r="AD667">
        <v>907.1</v>
      </c>
      <c r="AE667">
        <f t="shared" si="20"/>
        <v>1841</v>
      </c>
      <c r="AF667" t="str">
        <f t="shared" si="21"/>
        <v>2025-03</v>
      </c>
      <c r="AG667">
        <f>SUBTOTAL(103,A667)</f>
        <v>1</v>
      </c>
    </row>
    <row r="668" spans="1:33" x14ac:dyDescent="0.3">
      <c r="A668" t="s">
        <v>3279</v>
      </c>
      <c r="B668" s="13">
        <v>45742</v>
      </c>
      <c r="C668">
        <v>2025</v>
      </c>
      <c r="D668">
        <v>3</v>
      </c>
      <c r="E668" t="s">
        <v>3053</v>
      </c>
      <c r="F668" t="s">
        <v>2572</v>
      </c>
      <c r="G668" t="s">
        <v>353</v>
      </c>
      <c r="H668" t="s">
        <v>354</v>
      </c>
      <c r="I668" t="s">
        <v>86</v>
      </c>
      <c r="J668">
        <v>41</v>
      </c>
      <c r="K668" t="s">
        <v>82</v>
      </c>
      <c r="L668" t="s">
        <v>100</v>
      </c>
      <c r="M668" t="s">
        <v>56</v>
      </c>
      <c r="N668" t="s">
        <v>2603</v>
      </c>
      <c r="O668" t="s">
        <v>122</v>
      </c>
      <c r="P668" t="s">
        <v>48</v>
      </c>
      <c r="Q668" t="s">
        <v>141</v>
      </c>
      <c r="R668">
        <v>1</v>
      </c>
      <c r="S668">
        <v>2499</v>
      </c>
      <c r="T668">
        <v>0.15</v>
      </c>
      <c r="U668">
        <v>2124.15</v>
      </c>
      <c r="V668">
        <v>1450</v>
      </c>
      <c r="W668">
        <v>674.15</v>
      </c>
      <c r="X668" t="s">
        <v>74</v>
      </c>
      <c r="Y668" t="s">
        <v>69</v>
      </c>
      <c r="Z668" t="s">
        <v>160</v>
      </c>
      <c r="AA668" t="s">
        <v>170</v>
      </c>
      <c r="AB668">
        <v>4.9000000000000004</v>
      </c>
      <c r="AC668">
        <v>100</v>
      </c>
      <c r="AD668">
        <v>233.69</v>
      </c>
      <c r="AE668">
        <f t="shared" si="20"/>
        <v>340.46</v>
      </c>
      <c r="AF668" t="str">
        <f t="shared" si="21"/>
        <v>2025-03</v>
      </c>
      <c r="AG668">
        <f>SUBTOTAL(103,A668)</f>
        <v>1</v>
      </c>
    </row>
    <row r="669" spans="1:33" x14ac:dyDescent="0.3">
      <c r="A669" t="s">
        <v>3280</v>
      </c>
      <c r="B669" s="13">
        <v>45742</v>
      </c>
      <c r="C669">
        <v>2025</v>
      </c>
      <c r="D669">
        <v>3</v>
      </c>
      <c r="E669" t="s">
        <v>3053</v>
      </c>
      <c r="F669" t="s">
        <v>2572</v>
      </c>
      <c r="G669" t="s">
        <v>2227</v>
      </c>
      <c r="H669" t="s">
        <v>2228</v>
      </c>
      <c r="I669" t="s">
        <v>85</v>
      </c>
      <c r="J669">
        <v>36</v>
      </c>
      <c r="K669" t="s">
        <v>82</v>
      </c>
      <c r="L669" t="s">
        <v>90</v>
      </c>
      <c r="M669" t="s">
        <v>55</v>
      </c>
      <c r="N669" t="s">
        <v>2580</v>
      </c>
      <c r="O669" t="s">
        <v>118</v>
      </c>
      <c r="P669" t="s">
        <v>48</v>
      </c>
      <c r="Q669" t="s">
        <v>142</v>
      </c>
      <c r="R669">
        <v>1</v>
      </c>
      <c r="S669">
        <v>3999</v>
      </c>
      <c r="T669">
        <v>0.1</v>
      </c>
      <c r="U669">
        <v>3599.1</v>
      </c>
      <c r="V669">
        <v>2400</v>
      </c>
      <c r="W669">
        <v>1199.0999999999999</v>
      </c>
      <c r="X669" t="s">
        <v>74</v>
      </c>
      <c r="Y669" t="s">
        <v>68</v>
      </c>
      <c r="Z669" t="s">
        <v>158</v>
      </c>
      <c r="AA669" t="s">
        <v>166</v>
      </c>
      <c r="AB669">
        <v>3.8</v>
      </c>
      <c r="AC669">
        <v>60</v>
      </c>
      <c r="AD669">
        <v>131.19</v>
      </c>
      <c r="AE669">
        <f t="shared" si="20"/>
        <v>1007.9099999999999</v>
      </c>
      <c r="AF669" t="str">
        <f t="shared" si="21"/>
        <v>2025-03</v>
      </c>
      <c r="AG669">
        <f>SUBTOTAL(103,A669)</f>
        <v>1</v>
      </c>
    </row>
    <row r="670" spans="1:33" x14ac:dyDescent="0.3">
      <c r="A670" t="s">
        <v>3281</v>
      </c>
      <c r="B670" s="13">
        <v>45743</v>
      </c>
      <c r="C670">
        <v>2025</v>
      </c>
      <c r="D670">
        <v>3</v>
      </c>
      <c r="E670" t="s">
        <v>3053</v>
      </c>
      <c r="F670" t="s">
        <v>2572</v>
      </c>
      <c r="G670" t="s">
        <v>459</v>
      </c>
      <c r="H670" t="s">
        <v>460</v>
      </c>
      <c r="I670" t="s">
        <v>85</v>
      </c>
      <c r="J670">
        <v>48</v>
      </c>
      <c r="K670" t="s">
        <v>83</v>
      </c>
      <c r="L670" t="s">
        <v>98</v>
      </c>
      <c r="M670" t="s">
        <v>55</v>
      </c>
      <c r="N670" t="s">
        <v>2594</v>
      </c>
      <c r="O670" t="s">
        <v>131</v>
      </c>
      <c r="P670" t="s">
        <v>53</v>
      </c>
      <c r="Q670" t="s">
        <v>143</v>
      </c>
      <c r="R670">
        <v>1</v>
      </c>
      <c r="S670">
        <v>999</v>
      </c>
      <c r="T670">
        <v>0.05</v>
      </c>
      <c r="U670">
        <v>949.05</v>
      </c>
      <c r="V670">
        <v>520</v>
      </c>
      <c r="W670">
        <v>429.05</v>
      </c>
      <c r="X670" t="s">
        <v>75</v>
      </c>
      <c r="Y670" t="s">
        <v>68</v>
      </c>
      <c r="Z670" t="s">
        <v>161</v>
      </c>
      <c r="AA670" t="s">
        <v>166</v>
      </c>
      <c r="AB670">
        <v>2.9</v>
      </c>
      <c r="AC670">
        <v>100</v>
      </c>
      <c r="AD670">
        <v>51.07</v>
      </c>
      <c r="AE670">
        <f t="shared" si="20"/>
        <v>277.98</v>
      </c>
      <c r="AF670" t="str">
        <f t="shared" si="21"/>
        <v>2025-03</v>
      </c>
      <c r="AG670">
        <f>SUBTOTAL(103,A670)</f>
        <v>1</v>
      </c>
    </row>
    <row r="671" spans="1:33" x14ac:dyDescent="0.3">
      <c r="A671" t="s">
        <v>3282</v>
      </c>
      <c r="B671" s="13">
        <v>45743</v>
      </c>
      <c r="C671">
        <v>2025</v>
      </c>
      <c r="D671">
        <v>3</v>
      </c>
      <c r="E671" t="s">
        <v>3053</v>
      </c>
      <c r="F671" t="s">
        <v>2572</v>
      </c>
      <c r="G671" t="s">
        <v>1133</v>
      </c>
      <c r="H671" t="s">
        <v>1134</v>
      </c>
      <c r="I671" t="s">
        <v>85</v>
      </c>
      <c r="J671">
        <v>59</v>
      </c>
      <c r="K671" t="s">
        <v>83</v>
      </c>
      <c r="L671" t="s">
        <v>97</v>
      </c>
      <c r="M671" t="s">
        <v>57</v>
      </c>
      <c r="N671" t="s">
        <v>2592</v>
      </c>
      <c r="O671" t="s">
        <v>115</v>
      </c>
      <c r="P671" t="s">
        <v>48</v>
      </c>
      <c r="Q671" t="s">
        <v>137</v>
      </c>
      <c r="R671">
        <v>2</v>
      </c>
      <c r="S671">
        <v>12999</v>
      </c>
      <c r="T671">
        <v>0.15</v>
      </c>
      <c r="U671">
        <v>22098.3</v>
      </c>
      <c r="V671">
        <v>18000</v>
      </c>
      <c r="W671">
        <v>4098.3</v>
      </c>
      <c r="X671" t="s">
        <v>73</v>
      </c>
      <c r="Y671" t="s">
        <v>68</v>
      </c>
      <c r="Z671" t="s">
        <v>159</v>
      </c>
      <c r="AA671" t="s">
        <v>170</v>
      </c>
      <c r="AB671">
        <v>4.4000000000000004</v>
      </c>
      <c r="AC671">
        <v>60</v>
      </c>
      <c r="AD671">
        <v>1259.06</v>
      </c>
      <c r="AE671">
        <f t="shared" si="20"/>
        <v>2779.2400000000002</v>
      </c>
      <c r="AF671" t="str">
        <f t="shared" si="21"/>
        <v>2025-03</v>
      </c>
      <c r="AG671">
        <f>SUBTOTAL(103,A671)</f>
        <v>1</v>
      </c>
    </row>
    <row r="672" spans="1:33" x14ac:dyDescent="0.3">
      <c r="A672" t="s">
        <v>3283</v>
      </c>
      <c r="B672" s="13">
        <v>45743</v>
      </c>
      <c r="C672">
        <v>2025</v>
      </c>
      <c r="D672">
        <v>3</v>
      </c>
      <c r="E672" t="s">
        <v>3053</v>
      </c>
      <c r="F672" t="s">
        <v>2572</v>
      </c>
      <c r="G672" t="s">
        <v>517</v>
      </c>
      <c r="H672" t="s">
        <v>518</v>
      </c>
      <c r="I672" t="s">
        <v>85</v>
      </c>
      <c r="J672">
        <v>27</v>
      </c>
      <c r="K672" t="s">
        <v>81</v>
      </c>
      <c r="L672" t="s">
        <v>96</v>
      </c>
      <c r="M672" t="s">
        <v>55</v>
      </c>
      <c r="N672" t="s">
        <v>2653</v>
      </c>
      <c r="O672" t="s">
        <v>132</v>
      </c>
      <c r="P672" t="s">
        <v>52</v>
      </c>
      <c r="Q672" t="s">
        <v>150</v>
      </c>
      <c r="R672">
        <v>1</v>
      </c>
      <c r="S672">
        <v>899</v>
      </c>
      <c r="T672">
        <v>0</v>
      </c>
      <c r="U672">
        <v>899</v>
      </c>
      <c r="V672">
        <v>420</v>
      </c>
      <c r="W672">
        <v>479</v>
      </c>
      <c r="X672" t="s">
        <v>74</v>
      </c>
      <c r="Y672" t="s">
        <v>68</v>
      </c>
      <c r="Z672" t="s">
        <v>158</v>
      </c>
      <c r="AA672" t="s">
        <v>166</v>
      </c>
      <c r="AB672">
        <v>3.4</v>
      </c>
      <c r="AC672">
        <v>100</v>
      </c>
      <c r="AD672">
        <v>50.16</v>
      </c>
      <c r="AE672">
        <f t="shared" si="20"/>
        <v>328.84000000000003</v>
      </c>
      <c r="AF672" t="str">
        <f t="shared" si="21"/>
        <v>2025-03</v>
      </c>
      <c r="AG672">
        <f>SUBTOTAL(103,A672)</f>
        <v>1</v>
      </c>
    </row>
    <row r="673" spans="1:33" x14ac:dyDescent="0.3">
      <c r="A673" t="s">
        <v>3284</v>
      </c>
      <c r="B673" s="13">
        <v>45743</v>
      </c>
      <c r="C673">
        <v>2025</v>
      </c>
      <c r="D673">
        <v>3</v>
      </c>
      <c r="E673" t="s">
        <v>3053</v>
      </c>
      <c r="F673" t="s">
        <v>2572</v>
      </c>
      <c r="G673" t="s">
        <v>359</v>
      </c>
      <c r="H673" t="s">
        <v>360</v>
      </c>
      <c r="I673" t="s">
        <v>85</v>
      </c>
      <c r="J673">
        <v>40</v>
      </c>
      <c r="K673" t="s">
        <v>82</v>
      </c>
      <c r="L673" t="s">
        <v>91</v>
      </c>
      <c r="M673" t="s">
        <v>55</v>
      </c>
      <c r="N673" t="s">
        <v>2644</v>
      </c>
      <c r="O673" t="s">
        <v>126</v>
      </c>
      <c r="P673" t="s">
        <v>50</v>
      </c>
      <c r="Q673" t="s">
        <v>145</v>
      </c>
      <c r="R673">
        <v>2</v>
      </c>
      <c r="S673">
        <v>1799</v>
      </c>
      <c r="T673">
        <v>0.05</v>
      </c>
      <c r="U673">
        <v>3418.1</v>
      </c>
      <c r="V673">
        <v>1900</v>
      </c>
      <c r="W673">
        <v>1518.1</v>
      </c>
      <c r="X673" t="s">
        <v>77</v>
      </c>
      <c r="Y673" t="s">
        <v>68</v>
      </c>
      <c r="Z673" t="s">
        <v>160</v>
      </c>
      <c r="AA673" t="s">
        <v>169</v>
      </c>
      <c r="AB673">
        <v>4.0999999999999996</v>
      </c>
      <c r="AC673">
        <v>50</v>
      </c>
      <c r="AD673">
        <v>243.17</v>
      </c>
      <c r="AE673">
        <f t="shared" si="20"/>
        <v>1224.9299999999998</v>
      </c>
      <c r="AF673" t="str">
        <f t="shared" si="21"/>
        <v>2025-03</v>
      </c>
      <c r="AG673">
        <f>SUBTOTAL(103,A673)</f>
        <v>1</v>
      </c>
    </row>
    <row r="674" spans="1:33" x14ac:dyDescent="0.3">
      <c r="A674" t="s">
        <v>3285</v>
      </c>
      <c r="B674" s="13">
        <v>45743</v>
      </c>
      <c r="C674">
        <v>2025</v>
      </c>
      <c r="D674">
        <v>3</v>
      </c>
      <c r="E674" t="s">
        <v>3053</v>
      </c>
      <c r="F674" t="s">
        <v>2572</v>
      </c>
      <c r="G674" t="s">
        <v>513</v>
      </c>
      <c r="H674" t="s">
        <v>514</v>
      </c>
      <c r="I674" t="s">
        <v>85</v>
      </c>
      <c r="J674">
        <v>48</v>
      </c>
      <c r="K674" t="s">
        <v>83</v>
      </c>
      <c r="L674" t="s">
        <v>2616</v>
      </c>
      <c r="M674" t="s">
        <v>62</v>
      </c>
      <c r="N674" t="s">
        <v>2577</v>
      </c>
      <c r="O674" t="s">
        <v>129</v>
      </c>
      <c r="P674" t="s">
        <v>49</v>
      </c>
      <c r="Q674" t="s">
        <v>149</v>
      </c>
      <c r="R674">
        <v>2</v>
      </c>
      <c r="S674">
        <v>1299</v>
      </c>
      <c r="T674">
        <v>0.1</v>
      </c>
      <c r="U674">
        <v>2338.1999999999998</v>
      </c>
      <c r="V674">
        <v>1300</v>
      </c>
      <c r="W674">
        <v>1038.2</v>
      </c>
      <c r="X674" t="s">
        <v>73</v>
      </c>
      <c r="Y674" t="s">
        <v>68</v>
      </c>
      <c r="Z674" t="s">
        <v>163</v>
      </c>
      <c r="AA674" t="s">
        <v>166</v>
      </c>
      <c r="AB674">
        <v>4.0999999999999996</v>
      </c>
      <c r="AC674">
        <v>80</v>
      </c>
      <c r="AD674">
        <v>138.88</v>
      </c>
      <c r="AE674">
        <f t="shared" si="20"/>
        <v>819.32</v>
      </c>
      <c r="AF674" t="str">
        <f t="shared" si="21"/>
        <v>2025-03</v>
      </c>
      <c r="AG674">
        <f>SUBTOTAL(103,A674)</f>
        <v>1</v>
      </c>
    </row>
    <row r="675" spans="1:33" x14ac:dyDescent="0.3">
      <c r="A675" t="s">
        <v>3286</v>
      </c>
      <c r="B675" s="13">
        <v>45743</v>
      </c>
      <c r="C675">
        <v>2025</v>
      </c>
      <c r="D675">
        <v>3</v>
      </c>
      <c r="E675" t="s">
        <v>3053</v>
      </c>
      <c r="F675" t="s">
        <v>2572</v>
      </c>
      <c r="G675" t="s">
        <v>2237</v>
      </c>
      <c r="H675" t="s">
        <v>2238</v>
      </c>
      <c r="I675" t="s">
        <v>86</v>
      </c>
      <c r="J675">
        <v>30</v>
      </c>
      <c r="K675" t="s">
        <v>81</v>
      </c>
      <c r="L675" t="s">
        <v>100</v>
      </c>
      <c r="M675" t="s">
        <v>56</v>
      </c>
      <c r="N675" t="s">
        <v>2603</v>
      </c>
      <c r="O675" t="s">
        <v>122</v>
      </c>
      <c r="P675" t="s">
        <v>48</v>
      </c>
      <c r="Q675" t="s">
        <v>141</v>
      </c>
      <c r="R675">
        <v>1</v>
      </c>
      <c r="S675">
        <v>2499</v>
      </c>
      <c r="T675">
        <v>0.1</v>
      </c>
      <c r="U675">
        <v>2249.1</v>
      </c>
      <c r="V675">
        <v>1450</v>
      </c>
      <c r="W675">
        <v>799.1</v>
      </c>
      <c r="X675" t="s">
        <v>74</v>
      </c>
      <c r="Y675" t="s">
        <v>68</v>
      </c>
      <c r="Z675" t="s">
        <v>161</v>
      </c>
      <c r="AA675" t="s">
        <v>171</v>
      </c>
      <c r="AB675">
        <v>3.9</v>
      </c>
      <c r="AC675">
        <v>60</v>
      </c>
      <c r="AD675">
        <v>166.39</v>
      </c>
      <c r="AE675">
        <f t="shared" si="20"/>
        <v>572.71</v>
      </c>
      <c r="AF675" t="str">
        <f t="shared" si="21"/>
        <v>2025-03</v>
      </c>
      <c r="AG675">
        <f>SUBTOTAL(103,A675)</f>
        <v>1</v>
      </c>
    </row>
    <row r="676" spans="1:33" x14ac:dyDescent="0.3">
      <c r="A676" t="s">
        <v>3287</v>
      </c>
      <c r="B676" s="13">
        <v>45743</v>
      </c>
      <c r="C676">
        <v>2025</v>
      </c>
      <c r="D676">
        <v>3</v>
      </c>
      <c r="E676" t="s">
        <v>3053</v>
      </c>
      <c r="F676" t="s">
        <v>2572</v>
      </c>
      <c r="G676" t="s">
        <v>1385</v>
      </c>
      <c r="H676" t="s">
        <v>1386</v>
      </c>
      <c r="I676" t="s">
        <v>86</v>
      </c>
      <c r="J676">
        <v>39</v>
      </c>
      <c r="K676" t="s">
        <v>82</v>
      </c>
      <c r="L676" t="s">
        <v>91</v>
      </c>
      <c r="M676" t="s">
        <v>55</v>
      </c>
      <c r="N676" t="s">
        <v>2590</v>
      </c>
      <c r="O676" t="s">
        <v>127</v>
      </c>
      <c r="P676" t="s">
        <v>51</v>
      </c>
      <c r="Q676" t="s">
        <v>148</v>
      </c>
      <c r="R676">
        <v>2</v>
      </c>
      <c r="S676">
        <v>1599</v>
      </c>
      <c r="T676">
        <v>0</v>
      </c>
      <c r="U676">
        <v>3198</v>
      </c>
      <c r="V676">
        <v>1600</v>
      </c>
      <c r="W676">
        <v>1598</v>
      </c>
      <c r="X676" t="s">
        <v>73</v>
      </c>
      <c r="Y676" t="s">
        <v>68</v>
      </c>
      <c r="Z676" t="s">
        <v>163</v>
      </c>
      <c r="AA676" t="s">
        <v>169</v>
      </c>
      <c r="AB676">
        <v>4.7</v>
      </c>
      <c r="AC676">
        <v>60</v>
      </c>
      <c r="AD676">
        <v>135.78</v>
      </c>
      <c r="AE676">
        <f t="shared" si="20"/>
        <v>1402.22</v>
      </c>
      <c r="AF676" t="str">
        <f t="shared" si="21"/>
        <v>2025-03</v>
      </c>
      <c r="AG676">
        <f>SUBTOTAL(103,A676)</f>
        <v>1</v>
      </c>
    </row>
    <row r="677" spans="1:33" x14ac:dyDescent="0.3">
      <c r="A677" t="s">
        <v>3288</v>
      </c>
      <c r="B677" s="13">
        <v>45743</v>
      </c>
      <c r="C677">
        <v>2025</v>
      </c>
      <c r="D677">
        <v>3</v>
      </c>
      <c r="E677" t="s">
        <v>3053</v>
      </c>
      <c r="F677" t="s">
        <v>2572</v>
      </c>
      <c r="G677" t="s">
        <v>1243</v>
      </c>
      <c r="H677" t="s">
        <v>1244</v>
      </c>
      <c r="I677" t="s">
        <v>86</v>
      </c>
      <c r="J677">
        <v>51</v>
      </c>
      <c r="K677" t="s">
        <v>83</v>
      </c>
      <c r="L677" t="s">
        <v>2610</v>
      </c>
      <c r="M677" t="s">
        <v>64</v>
      </c>
      <c r="N677" t="s">
        <v>2653</v>
      </c>
      <c r="O677" t="s">
        <v>132</v>
      </c>
      <c r="P677" t="s">
        <v>52</v>
      </c>
      <c r="Q677" t="s">
        <v>150</v>
      </c>
      <c r="R677">
        <v>2</v>
      </c>
      <c r="S677">
        <v>899</v>
      </c>
      <c r="T677">
        <v>0.1</v>
      </c>
      <c r="U677">
        <v>1618.2</v>
      </c>
      <c r="V677">
        <v>840</v>
      </c>
      <c r="W677">
        <v>778.2</v>
      </c>
      <c r="X677" t="s">
        <v>76</v>
      </c>
      <c r="Y677" t="s">
        <v>69</v>
      </c>
      <c r="Z677" t="s">
        <v>158</v>
      </c>
      <c r="AA677" t="s">
        <v>169</v>
      </c>
      <c r="AB677">
        <v>4.8</v>
      </c>
      <c r="AC677">
        <v>50</v>
      </c>
      <c r="AD677">
        <v>112</v>
      </c>
      <c r="AE677">
        <f t="shared" si="20"/>
        <v>616.20000000000005</v>
      </c>
      <c r="AF677" t="str">
        <f t="shared" si="21"/>
        <v>2025-03</v>
      </c>
      <c r="AG677">
        <f>SUBTOTAL(103,A677)</f>
        <v>1</v>
      </c>
    </row>
    <row r="678" spans="1:33" x14ac:dyDescent="0.3">
      <c r="A678" t="s">
        <v>3289</v>
      </c>
      <c r="B678" s="13">
        <v>45743</v>
      </c>
      <c r="C678">
        <v>2025</v>
      </c>
      <c r="D678">
        <v>3</v>
      </c>
      <c r="E678" t="s">
        <v>3053</v>
      </c>
      <c r="F678" t="s">
        <v>2572</v>
      </c>
      <c r="G678" t="s">
        <v>1061</v>
      </c>
      <c r="H678" t="s">
        <v>1062</v>
      </c>
      <c r="I678" t="s">
        <v>85</v>
      </c>
      <c r="J678">
        <v>44</v>
      </c>
      <c r="K678" t="s">
        <v>82</v>
      </c>
      <c r="L678" t="s">
        <v>100</v>
      </c>
      <c r="M678" t="s">
        <v>56</v>
      </c>
      <c r="N678" t="s">
        <v>2603</v>
      </c>
      <c r="O678" t="s">
        <v>122</v>
      </c>
      <c r="P678" t="s">
        <v>48</v>
      </c>
      <c r="Q678" t="s">
        <v>141</v>
      </c>
      <c r="R678">
        <v>3</v>
      </c>
      <c r="S678">
        <v>2499</v>
      </c>
      <c r="T678">
        <v>0.25</v>
      </c>
      <c r="U678">
        <v>5622.75</v>
      </c>
      <c r="V678">
        <v>4350</v>
      </c>
      <c r="W678">
        <v>1272.75</v>
      </c>
      <c r="X678" t="s">
        <v>73</v>
      </c>
      <c r="Y678" t="s">
        <v>68</v>
      </c>
      <c r="Z678" t="s">
        <v>162</v>
      </c>
      <c r="AA678" t="s">
        <v>168</v>
      </c>
      <c r="AB678">
        <v>3.2</v>
      </c>
      <c r="AC678">
        <v>60</v>
      </c>
      <c r="AD678">
        <v>400.36</v>
      </c>
      <c r="AE678">
        <f t="shared" si="20"/>
        <v>812.39</v>
      </c>
      <c r="AF678" t="str">
        <f t="shared" si="21"/>
        <v>2025-03</v>
      </c>
      <c r="AG678">
        <f>SUBTOTAL(103,A678)</f>
        <v>1</v>
      </c>
    </row>
    <row r="679" spans="1:33" x14ac:dyDescent="0.3">
      <c r="A679" t="s">
        <v>3290</v>
      </c>
      <c r="B679" s="13">
        <v>45743</v>
      </c>
      <c r="C679">
        <v>2025</v>
      </c>
      <c r="D679">
        <v>3</v>
      </c>
      <c r="E679" t="s">
        <v>3053</v>
      </c>
      <c r="F679" t="s">
        <v>2572</v>
      </c>
      <c r="G679" t="s">
        <v>1989</v>
      </c>
      <c r="H679" t="s">
        <v>1990</v>
      </c>
      <c r="I679" t="s">
        <v>85</v>
      </c>
      <c r="J679">
        <v>57</v>
      </c>
      <c r="K679" t="s">
        <v>83</v>
      </c>
      <c r="L679" t="s">
        <v>92</v>
      </c>
      <c r="M679" t="s">
        <v>59</v>
      </c>
      <c r="N679" t="s">
        <v>2574</v>
      </c>
      <c r="O679" t="s">
        <v>130</v>
      </c>
      <c r="P679" t="s">
        <v>50</v>
      </c>
      <c r="Q679" t="s">
        <v>53</v>
      </c>
      <c r="R679">
        <v>1</v>
      </c>
      <c r="S679">
        <v>1199</v>
      </c>
      <c r="T679">
        <v>0.1</v>
      </c>
      <c r="U679">
        <v>1079.0999999999999</v>
      </c>
      <c r="V679">
        <v>550</v>
      </c>
      <c r="W679">
        <v>529.1</v>
      </c>
      <c r="X679" t="s">
        <v>73</v>
      </c>
      <c r="Y679" t="s">
        <v>69</v>
      </c>
      <c r="Z679" t="s">
        <v>161</v>
      </c>
      <c r="AA679" t="s">
        <v>169</v>
      </c>
      <c r="AB679">
        <v>4.2</v>
      </c>
      <c r="AC679">
        <v>40</v>
      </c>
      <c r="AD679">
        <v>64.209999999999994</v>
      </c>
      <c r="AE679">
        <f t="shared" si="20"/>
        <v>424.89000000000004</v>
      </c>
      <c r="AF679" t="str">
        <f t="shared" si="21"/>
        <v>2025-03</v>
      </c>
      <c r="AG679">
        <f>SUBTOTAL(103,A679)</f>
        <v>1</v>
      </c>
    </row>
    <row r="680" spans="1:33" x14ac:dyDescent="0.3">
      <c r="A680" t="s">
        <v>3291</v>
      </c>
      <c r="B680" s="13">
        <v>45744</v>
      </c>
      <c r="C680">
        <v>2025</v>
      </c>
      <c r="D680">
        <v>3</v>
      </c>
      <c r="E680" t="s">
        <v>3053</v>
      </c>
      <c r="F680" t="s">
        <v>2572</v>
      </c>
      <c r="G680" t="s">
        <v>2159</v>
      </c>
      <c r="H680" t="s">
        <v>2160</v>
      </c>
      <c r="I680" t="s">
        <v>86</v>
      </c>
      <c r="J680">
        <v>60</v>
      </c>
      <c r="K680" t="s">
        <v>83</v>
      </c>
      <c r="L680" t="s">
        <v>2579</v>
      </c>
      <c r="M680" t="s">
        <v>56</v>
      </c>
      <c r="N680" t="s">
        <v>2596</v>
      </c>
      <c r="O680" t="s">
        <v>124</v>
      </c>
      <c r="P680" t="s">
        <v>51</v>
      </c>
      <c r="Q680" t="s">
        <v>147</v>
      </c>
      <c r="R680">
        <v>1</v>
      </c>
      <c r="S680">
        <v>2299</v>
      </c>
      <c r="T680">
        <v>0.1</v>
      </c>
      <c r="U680">
        <v>2069.1</v>
      </c>
      <c r="V680">
        <v>1200</v>
      </c>
      <c r="W680">
        <v>869.1</v>
      </c>
      <c r="X680" t="s">
        <v>75</v>
      </c>
      <c r="Y680" t="s">
        <v>69</v>
      </c>
      <c r="Z680" t="s">
        <v>158</v>
      </c>
      <c r="AA680" t="s">
        <v>166</v>
      </c>
      <c r="AB680">
        <v>3</v>
      </c>
      <c r="AC680">
        <v>80</v>
      </c>
      <c r="AD680">
        <v>48.37</v>
      </c>
      <c r="AE680">
        <f t="shared" si="20"/>
        <v>740.73</v>
      </c>
      <c r="AF680" t="str">
        <f t="shared" si="21"/>
        <v>2025-03</v>
      </c>
      <c r="AG680">
        <f>SUBTOTAL(103,A680)</f>
        <v>1</v>
      </c>
    </row>
    <row r="681" spans="1:33" x14ac:dyDescent="0.3">
      <c r="A681" t="s">
        <v>3292</v>
      </c>
      <c r="B681" s="13">
        <v>45744</v>
      </c>
      <c r="C681">
        <v>2025</v>
      </c>
      <c r="D681">
        <v>3</v>
      </c>
      <c r="E681" t="s">
        <v>3053</v>
      </c>
      <c r="F681" t="s">
        <v>2572</v>
      </c>
      <c r="G681" t="s">
        <v>889</v>
      </c>
      <c r="H681" t="s">
        <v>890</v>
      </c>
      <c r="I681" t="s">
        <v>86</v>
      </c>
      <c r="J681">
        <v>27</v>
      </c>
      <c r="K681" t="s">
        <v>81</v>
      </c>
      <c r="L681" t="s">
        <v>98</v>
      </c>
      <c r="M681" t="s">
        <v>55</v>
      </c>
      <c r="N681" t="s">
        <v>2665</v>
      </c>
      <c r="O681" t="s">
        <v>128</v>
      </c>
      <c r="P681" t="s">
        <v>53</v>
      </c>
      <c r="Q681" t="s">
        <v>143</v>
      </c>
      <c r="R681">
        <v>3</v>
      </c>
      <c r="S681">
        <v>1499</v>
      </c>
      <c r="T681">
        <v>0.15</v>
      </c>
      <c r="U681">
        <v>3822.45</v>
      </c>
      <c r="V681">
        <v>2400</v>
      </c>
      <c r="W681">
        <v>1422.45</v>
      </c>
      <c r="X681" t="s">
        <v>76</v>
      </c>
      <c r="Y681" t="s">
        <v>68</v>
      </c>
      <c r="Z681" t="s">
        <v>159</v>
      </c>
      <c r="AA681" t="s">
        <v>171</v>
      </c>
      <c r="AB681">
        <v>4.0999999999999996</v>
      </c>
      <c r="AC681">
        <v>80</v>
      </c>
      <c r="AD681">
        <v>225.14</v>
      </c>
      <c r="AE681">
        <f t="shared" si="20"/>
        <v>1117.31</v>
      </c>
      <c r="AF681" t="str">
        <f t="shared" si="21"/>
        <v>2025-03</v>
      </c>
      <c r="AG681">
        <f>SUBTOTAL(103,A681)</f>
        <v>1</v>
      </c>
    </row>
    <row r="682" spans="1:33" x14ac:dyDescent="0.3">
      <c r="A682" t="s">
        <v>3293</v>
      </c>
      <c r="B682" s="13">
        <v>45744</v>
      </c>
      <c r="C682">
        <v>2025</v>
      </c>
      <c r="D682">
        <v>3</v>
      </c>
      <c r="E682" t="s">
        <v>3053</v>
      </c>
      <c r="F682" t="s">
        <v>2572</v>
      </c>
      <c r="G682" t="s">
        <v>697</v>
      </c>
      <c r="H682" t="s">
        <v>698</v>
      </c>
      <c r="I682" t="s">
        <v>86</v>
      </c>
      <c r="J682">
        <v>37</v>
      </c>
      <c r="K682" t="s">
        <v>82</v>
      </c>
      <c r="L682" t="s">
        <v>59</v>
      </c>
      <c r="M682" t="s">
        <v>59</v>
      </c>
      <c r="N682" t="s">
        <v>2587</v>
      </c>
      <c r="O682" t="s">
        <v>116</v>
      </c>
      <c r="P682" t="s">
        <v>48</v>
      </c>
      <c r="Q682" t="s">
        <v>138</v>
      </c>
      <c r="R682">
        <v>2</v>
      </c>
      <c r="S682">
        <v>14999</v>
      </c>
      <c r="T682">
        <v>0</v>
      </c>
      <c r="U682">
        <v>29998</v>
      </c>
      <c r="V682">
        <v>22400</v>
      </c>
      <c r="W682">
        <v>7598</v>
      </c>
      <c r="X682" t="s">
        <v>74</v>
      </c>
      <c r="Y682" t="s">
        <v>68</v>
      </c>
      <c r="Z682" t="s">
        <v>163</v>
      </c>
      <c r="AA682" t="s">
        <v>169</v>
      </c>
      <c r="AB682">
        <v>3.8</v>
      </c>
      <c r="AC682">
        <v>60</v>
      </c>
      <c r="AD682">
        <v>3397.2</v>
      </c>
      <c r="AE682">
        <f t="shared" si="20"/>
        <v>4140.8</v>
      </c>
      <c r="AF682" t="str">
        <f t="shared" si="21"/>
        <v>2025-03</v>
      </c>
      <c r="AG682">
        <f>SUBTOTAL(103,A682)</f>
        <v>1</v>
      </c>
    </row>
    <row r="683" spans="1:33" x14ac:dyDescent="0.3">
      <c r="A683" t="s">
        <v>3294</v>
      </c>
      <c r="B683" s="13">
        <v>45744</v>
      </c>
      <c r="C683">
        <v>2025</v>
      </c>
      <c r="D683">
        <v>3</v>
      </c>
      <c r="E683" t="s">
        <v>3053</v>
      </c>
      <c r="F683" t="s">
        <v>2572</v>
      </c>
      <c r="G683" t="s">
        <v>1463</v>
      </c>
      <c r="H683" t="s">
        <v>1464</v>
      </c>
      <c r="I683" t="s">
        <v>86</v>
      </c>
      <c r="J683">
        <v>50</v>
      </c>
      <c r="K683" t="s">
        <v>83</v>
      </c>
      <c r="L683" t="s">
        <v>94</v>
      </c>
      <c r="M683" t="s">
        <v>57</v>
      </c>
      <c r="N683" t="s">
        <v>2606</v>
      </c>
      <c r="O683" t="s">
        <v>120</v>
      </c>
      <c r="P683" t="s">
        <v>49</v>
      </c>
      <c r="Q683" t="s">
        <v>140</v>
      </c>
      <c r="R683">
        <v>4</v>
      </c>
      <c r="S683">
        <v>2799</v>
      </c>
      <c r="T683">
        <v>0.05</v>
      </c>
      <c r="U683">
        <v>10636.2</v>
      </c>
      <c r="V683">
        <v>6600</v>
      </c>
      <c r="W683">
        <v>4036.2</v>
      </c>
      <c r="X683" t="s">
        <v>73</v>
      </c>
      <c r="Y683" t="s">
        <v>68</v>
      </c>
      <c r="Z683" t="s">
        <v>160</v>
      </c>
      <c r="AA683" t="s">
        <v>166</v>
      </c>
      <c r="AB683">
        <v>5</v>
      </c>
      <c r="AC683">
        <v>60</v>
      </c>
      <c r="AD683">
        <v>426.41</v>
      </c>
      <c r="AE683">
        <f t="shared" si="20"/>
        <v>3549.79</v>
      </c>
      <c r="AF683" t="str">
        <f t="shared" si="21"/>
        <v>2025-03</v>
      </c>
      <c r="AG683">
        <f>SUBTOTAL(103,A683)</f>
        <v>1</v>
      </c>
    </row>
    <row r="684" spans="1:33" x14ac:dyDescent="0.3">
      <c r="A684" t="s">
        <v>3295</v>
      </c>
      <c r="B684" s="13">
        <v>45744</v>
      </c>
      <c r="C684">
        <v>2025</v>
      </c>
      <c r="D684">
        <v>3</v>
      </c>
      <c r="E684" t="s">
        <v>3053</v>
      </c>
      <c r="F684" t="s">
        <v>2572</v>
      </c>
      <c r="G684" t="s">
        <v>1119</v>
      </c>
      <c r="H684" t="s">
        <v>1120</v>
      </c>
      <c r="I684" t="s">
        <v>85</v>
      </c>
      <c r="J684">
        <v>51</v>
      </c>
      <c r="K684" t="s">
        <v>83</v>
      </c>
      <c r="L684" t="s">
        <v>2679</v>
      </c>
      <c r="M684" t="s">
        <v>60</v>
      </c>
      <c r="N684" t="s">
        <v>2606</v>
      </c>
      <c r="O684" t="s">
        <v>120</v>
      </c>
      <c r="P684" t="s">
        <v>49</v>
      </c>
      <c r="Q684" t="s">
        <v>140</v>
      </c>
      <c r="R684">
        <v>5</v>
      </c>
      <c r="S684">
        <v>2799</v>
      </c>
      <c r="T684">
        <v>0.25</v>
      </c>
      <c r="U684">
        <v>10496.25</v>
      </c>
      <c r="V684">
        <v>8250</v>
      </c>
      <c r="W684">
        <v>2246.25</v>
      </c>
      <c r="X684" t="s">
        <v>74</v>
      </c>
      <c r="Y684" t="s">
        <v>68</v>
      </c>
      <c r="Z684" t="s">
        <v>159</v>
      </c>
      <c r="AA684" t="s">
        <v>170</v>
      </c>
      <c r="AB684">
        <v>5</v>
      </c>
      <c r="AC684">
        <v>60</v>
      </c>
      <c r="AD684">
        <v>285.08</v>
      </c>
      <c r="AE684">
        <f t="shared" si="20"/>
        <v>1901.17</v>
      </c>
      <c r="AF684" t="str">
        <f t="shared" si="21"/>
        <v>2025-03</v>
      </c>
      <c r="AG684">
        <f>SUBTOTAL(103,A684)</f>
        <v>1</v>
      </c>
    </row>
    <row r="685" spans="1:33" x14ac:dyDescent="0.3">
      <c r="A685" t="s">
        <v>3296</v>
      </c>
      <c r="B685" s="13">
        <v>45744</v>
      </c>
      <c r="C685">
        <v>2025</v>
      </c>
      <c r="D685">
        <v>3</v>
      </c>
      <c r="E685" t="s">
        <v>3053</v>
      </c>
      <c r="F685" t="s">
        <v>2572</v>
      </c>
      <c r="G685" t="s">
        <v>361</v>
      </c>
      <c r="H685" t="s">
        <v>362</v>
      </c>
      <c r="I685" t="s">
        <v>86</v>
      </c>
      <c r="J685">
        <v>23</v>
      </c>
      <c r="K685" t="s">
        <v>80</v>
      </c>
      <c r="L685" t="s">
        <v>95</v>
      </c>
      <c r="M685" t="s">
        <v>56</v>
      </c>
      <c r="N685" t="s">
        <v>2596</v>
      </c>
      <c r="O685" t="s">
        <v>124</v>
      </c>
      <c r="P685" t="s">
        <v>51</v>
      </c>
      <c r="Q685" t="s">
        <v>147</v>
      </c>
      <c r="R685">
        <v>4</v>
      </c>
      <c r="S685">
        <v>2299</v>
      </c>
      <c r="T685">
        <v>0</v>
      </c>
      <c r="U685">
        <v>9196</v>
      </c>
      <c r="V685">
        <v>4800</v>
      </c>
      <c r="W685">
        <v>4396</v>
      </c>
      <c r="X685" t="s">
        <v>73</v>
      </c>
      <c r="Y685" t="s">
        <v>68</v>
      </c>
      <c r="Z685" t="s">
        <v>159</v>
      </c>
      <c r="AA685" t="s">
        <v>170</v>
      </c>
      <c r="AB685">
        <v>3.3</v>
      </c>
      <c r="AC685">
        <v>40</v>
      </c>
      <c r="AD685">
        <v>413.11</v>
      </c>
      <c r="AE685">
        <f t="shared" si="20"/>
        <v>3942.89</v>
      </c>
      <c r="AF685" t="str">
        <f t="shared" si="21"/>
        <v>2025-03</v>
      </c>
      <c r="AG685">
        <f>SUBTOTAL(103,A685)</f>
        <v>1</v>
      </c>
    </row>
    <row r="686" spans="1:33" x14ac:dyDescent="0.3">
      <c r="A686" t="s">
        <v>3297</v>
      </c>
      <c r="B686" s="13">
        <v>45744</v>
      </c>
      <c r="C686">
        <v>2025</v>
      </c>
      <c r="D686">
        <v>3</v>
      </c>
      <c r="E686" t="s">
        <v>3053</v>
      </c>
      <c r="F686" t="s">
        <v>2572</v>
      </c>
      <c r="G686" t="s">
        <v>545</v>
      </c>
      <c r="H686" t="s">
        <v>546</v>
      </c>
      <c r="I686" t="s">
        <v>86</v>
      </c>
      <c r="J686">
        <v>25</v>
      </c>
      <c r="K686" t="s">
        <v>80</v>
      </c>
      <c r="L686" t="s">
        <v>2634</v>
      </c>
      <c r="M686" t="s">
        <v>56</v>
      </c>
      <c r="N686" t="s">
        <v>2582</v>
      </c>
      <c r="O686" t="s">
        <v>119</v>
      </c>
      <c r="P686" t="s">
        <v>49</v>
      </c>
      <c r="Q686" t="s">
        <v>140</v>
      </c>
      <c r="R686">
        <v>5</v>
      </c>
      <c r="S686">
        <v>3499</v>
      </c>
      <c r="T686">
        <v>0.05</v>
      </c>
      <c r="U686">
        <v>16620.25</v>
      </c>
      <c r="V686">
        <v>10500</v>
      </c>
      <c r="W686">
        <v>6120.25</v>
      </c>
      <c r="X686" t="s">
        <v>74</v>
      </c>
      <c r="Y686" t="s">
        <v>68</v>
      </c>
      <c r="Z686" t="s">
        <v>158</v>
      </c>
      <c r="AA686" t="s">
        <v>169</v>
      </c>
      <c r="AB686">
        <v>5</v>
      </c>
      <c r="AC686">
        <v>60</v>
      </c>
      <c r="AD686">
        <v>791.13</v>
      </c>
      <c r="AE686">
        <f t="shared" si="20"/>
        <v>5269.12</v>
      </c>
      <c r="AF686" t="str">
        <f t="shared" si="21"/>
        <v>2025-03</v>
      </c>
      <c r="AG686">
        <f>SUBTOTAL(103,A686)</f>
        <v>1</v>
      </c>
    </row>
    <row r="687" spans="1:33" x14ac:dyDescent="0.3">
      <c r="A687" t="s">
        <v>3298</v>
      </c>
      <c r="B687" s="13">
        <v>45744</v>
      </c>
      <c r="C687">
        <v>2025</v>
      </c>
      <c r="D687">
        <v>3</v>
      </c>
      <c r="E687" t="s">
        <v>3053</v>
      </c>
      <c r="F687" t="s">
        <v>2572</v>
      </c>
      <c r="G687" t="s">
        <v>553</v>
      </c>
      <c r="H687" t="s">
        <v>554</v>
      </c>
      <c r="I687" t="s">
        <v>85</v>
      </c>
      <c r="J687">
        <v>29</v>
      </c>
      <c r="K687" t="s">
        <v>81</v>
      </c>
      <c r="L687" t="s">
        <v>100</v>
      </c>
      <c r="M687" t="s">
        <v>56</v>
      </c>
      <c r="N687" t="s">
        <v>2626</v>
      </c>
      <c r="O687" t="s">
        <v>125</v>
      </c>
      <c r="P687" t="s">
        <v>48</v>
      </c>
      <c r="Q687" t="s">
        <v>141</v>
      </c>
      <c r="R687">
        <v>1</v>
      </c>
      <c r="S687">
        <v>1999</v>
      </c>
      <c r="T687">
        <v>0.1</v>
      </c>
      <c r="U687">
        <v>0</v>
      </c>
      <c r="V687">
        <v>0</v>
      </c>
      <c r="W687">
        <v>0</v>
      </c>
      <c r="X687" t="s">
        <v>73</v>
      </c>
      <c r="Y687" t="s">
        <v>71</v>
      </c>
      <c r="Z687" t="s">
        <v>158</v>
      </c>
      <c r="AA687" t="s">
        <v>168</v>
      </c>
      <c r="AB687">
        <v>4.4000000000000004</v>
      </c>
      <c r="AC687">
        <v>60</v>
      </c>
      <c r="AD687">
        <v>38.29</v>
      </c>
      <c r="AE687">
        <f t="shared" si="20"/>
        <v>-98.289999999999992</v>
      </c>
      <c r="AF687" t="str">
        <f t="shared" si="21"/>
        <v>2025-03</v>
      </c>
      <c r="AG687">
        <f>SUBTOTAL(103,A687)</f>
        <v>1</v>
      </c>
    </row>
    <row r="688" spans="1:33" x14ac:dyDescent="0.3">
      <c r="A688" t="s">
        <v>3299</v>
      </c>
      <c r="B688" s="13">
        <v>45744</v>
      </c>
      <c r="C688">
        <v>2025</v>
      </c>
      <c r="D688">
        <v>3</v>
      </c>
      <c r="E688" t="s">
        <v>3053</v>
      </c>
      <c r="F688" t="s">
        <v>2572</v>
      </c>
      <c r="G688" t="s">
        <v>2347</v>
      </c>
      <c r="H688" t="s">
        <v>2348</v>
      </c>
      <c r="I688" t="s">
        <v>85</v>
      </c>
      <c r="J688">
        <v>26</v>
      </c>
      <c r="K688" t="s">
        <v>81</v>
      </c>
      <c r="L688" t="s">
        <v>90</v>
      </c>
      <c r="M688" t="s">
        <v>55</v>
      </c>
      <c r="N688" t="s">
        <v>2626</v>
      </c>
      <c r="O688" t="s">
        <v>125</v>
      </c>
      <c r="P688" t="s">
        <v>48</v>
      </c>
      <c r="Q688" t="s">
        <v>141</v>
      </c>
      <c r="R688">
        <v>1</v>
      </c>
      <c r="S688">
        <v>1999</v>
      </c>
      <c r="T688">
        <v>0.1</v>
      </c>
      <c r="U688">
        <v>0</v>
      </c>
      <c r="V688">
        <v>0</v>
      </c>
      <c r="W688">
        <v>0</v>
      </c>
      <c r="X688" t="s">
        <v>76</v>
      </c>
      <c r="Y688" t="s">
        <v>71</v>
      </c>
      <c r="Z688" t="s">
        <v>159</v>
      </c>
      <c r="AA688" t="s">
        <v>167</v>
      </c>
      <c r="AB688">
        <v>4.7</v>
      </c>
      <c r="AC688">
        <v>40</v>
      </c>
      <c r="AD688">
        <v>154.85</v>
      </c>
      <c r="AE688">
        <f t="shared" si="20"/>
        <v>-194.85</v>
      </c>
      <c r="AF688" t="str">
        <f t="shared" si="21"/>
        <v>2025-03</v>
      </c>
      <c r="AG688">
        <f>SUBTOTAL(103,A688)</f>
        <v>1</v>
      </c>
    </row>
    <row r="689" spans="1:33" x14ac:dyDescent="0.3">
      <c r="A689" t="s">
        <v>3300</v>
      </c>
      <c r="B689" s="13">
        <v>45745</v>
      </c>
      <c r="C689">
        <v>2025</v>
      </c>
      <c r="D689">
        <v>3</v>
      </c>
      <c r="E689" t="s">
        <v>3053</v>
      </c>
      <c r="F689" t="s">
        <v>2572</v>
      </c>
      <c r="G689" t="s">
        <v>497</v>
      </c>
      <c r="H689" t="s">
        <v>498</v>
      </c>
      <c r="I689" t="s">
        <v>87</v>
      </c>
      <c r="J689">
        <v>33</v>
      </c>
      <c r="K689" t="s">
        <v>81</v>
      </c>
      <c r="L689" t="s">
        <v>98</v>
      </c>
      <c r="M689" t="s">
        <v>55</v>
      </c>
      <c r="N689" t="s">
        <v>2606</v>
      </c>
      <c r="O689" t="s">
        <v>120</v>
      </c>
      <c r="P689" t="s">
        <v>49</v>
      </c>
      <c r="Q689" t="s">
        <v>140</v>
      </c>
      <c r="R689">
        <v>1</v>
      </c>
      <c r="S689">
        <v>2799</v>
      </c>
      <c r="T689">
        <v>0.15</v>
      </c>
      <c r="U689">
        <v>2379.15</v>
      </c>
      <c r="V689">
        <v>1650</v>
      </c>
      <c r="W689">
        <v>729.15</v>
      </c>
      <c r="X689" t="s">
        <v>74</v>
      </c>
      <c r="Y689" t="s">
        <v>68</v>
      </c>
      <c r="Z689" t="s">
        <v>162</v>
      </c>
      <c r="AA689" t="s">
        <v>167</v>
      </c>
      <c r="AB689">
        <v>4.5</v>
      </c>
      <c r="AC689">
        <v>50</v>
      </c>
      <c r="AD689">
        <v>216.87</v>
      </c>
      <c r="AE689">
        <f t="shared" si="20"/>
        <v>462.28</v>
      </c>
      <c r="AF689" t="str">
        <f t="shared" si="21"/>
        <v>2025-03</v>
      </c>
      <c r="AG689">
        <f>SUBTOTAL(103,A689)</f>
        <v>1</v>
      </c>
    </row>
    <row r="690" spans="1:33" x14ac:dyDescent="0.3">
      <c r="A690" t="s">
        <v>3301</v>
      </c>
      <c r="B690" s="13">
        <v>45745</v>
      </c>
      <c r="C690">
        <v>2025</v>
      </c>
      <c r="D690">
        <v>3</v>
      </c>
      <c r="E690" t="s">
        <v>3053</v>
      </c>
      <c r="F690" t="s">
        <v>2572</v>
      </c>
      <c r="G690" t="s">
        <v>787</v>
      </c>
      <c r="H690" t="s">
        <v>788</v>
      </c>
      <c r="I690" t="s">
        <v>86</v>
      </c>
      <c r="J690">
        <v>48</v>
      </c>
      <c r="K690" t="s">
        <v>83</v>
      </c>
      <c r="L690" t="s">
        <v>2623</v>
      </c>
      <c r="M690" t="s">
        <v>61</v>
      </c>
      <c r="N690" t="s">
        <v>2653</v>
      </c>
      <c r="O690" t="s">
        <v>132</v>
      </c>
      <c r="P690" t="s">
        <v>52</v>
      </c>
      <c r="Q690" t="s">
        <v>150</v>
      </c>
      <c r="R690">
        <v>4</v>
      </c>
      <c r="S690">
        <v>899</v>
      </c>
      <c r="T690">
        <v>0.05</v>
      </c>
      <c r="U690">
        <v>3416.2</v>
      </c>
      <c r="V690">
        <v>1680</v>
      </c>
      <c r="W690">
        <v>1736.2</v>
      </c>
      <c r="X690" t="s">
        <v>73</v>
      </c>
      <c r="Y690" t="s">
        <v>68</v>
      </c>
      <c r="Z690" t="s">
        <v>159</v>
      </c>
      <c r="AA690" t="s">
        <v>170</v>
      </c>
      <c r="AB690">
        <v>3.5</v>
      </c>
      <c r="AC690">
        <v>50</v>
      </c>
      <c r="AD690">
        <v>398.24</v>
      </c>
      <c r="AE690">
        <f t="shared" si="20"/>
        <v>1287.96</v>
      </c>
      <c r="AF690" t="str">
        <f t="shared" si="21"/>
        <v>2025-03</v>
      </c>
      <c r="AG690">
        <f>SUBTOTAL(103,A690)</f>
        <v>1</v>
      </c>
    </row>
    <row r="691" spans="1:33" x14ac:dyDescent="0.3">
      <c r="A691" t="s">
        <v>3302</v>
      </c>
      <c r="B691" s="13">
        <v>45745</v>
      </c>
      <c r="C691">
        <v>2025</v>
      </c>
      <c r="D691">
        <v>3</v>
      </c>
      <c r="E691" t="s">
        <v>3053</v>
      </c>
      <c r="F691" t="s">
        <v>2572</v>
      </c>
      <c r="G691" t="s">
        <v>1519</v>
      </c>
      <c r="H691" t="s">
        <v>1520</v>
      </c>
      <c r="I691" t="s">
        <v>86</v>
      </c>
      <c r="J691">
        <v>57</v>
      </c>
      <c r="K691" t="s">
        <v>83</v>
      </c>
      <c r="L691" t="s">
        <v>95</v>
      </c>
      <c r="M691" t="s">
        <v>56</v>
      </c>
      <c r="N691" t="s">
        <v>2596</v>
      </c>
      <c r="O691" t="s">
        <v>124</v>
      </c>
      <c r="P691" t="s">
        <v>51</v>
      </c>
      <c r="Q691" t="s">
        <v>147</v>
      </c>
      <c r="R691">
        <v>2</v>
      </c>
      <c r="S691">
        <v>2299</v>
      </c>
      <c r="T691">
        <v>0.05</v>
      </c>
      <c r="U691">
        <v>4368.1000000000004</v>
      </c>
      <c r="V691">
        <v>2400</v>
      </c>
      <c r="W691">
        <v>1968.1</v>
      </c>
      <c r="X691" t="s">
        <v>73</v>
      </c>
      <c r="Y691" t="s">
        <v>68</v>
      </c>
      <c r="Z691" t="s">
        <v>160</v>
      </c>
      <c r="AA691" t="s">
        <v>166</v>
      </c>
      <c r="AB691">
        <v>3.2</v>
      </c>
      <c r="AC691">
        <v>120</v>
      </c>
      <c r="AD691">
        <v>377.3</v>
      </c>
      <c r="AE691">
        <f t="shared" si="20"/>
        <v>1470.8</v>
      </c>
      <c r="AF691" t="str">
        <f t="shared" si="21"/>
        <v>2025-03</v>
      </c>
      <c r="AG691">
        <f>SUBTOTAL(103,A691)</f>
        <v>1</v>
      </c>
    </row>
    <row r="692" spans="1:33" x14ac:dyDescent="0.3">
      <c r="A692" t="s">
        <v>3303</v>
      </c>
      <c r="B692" s="13">
        <v>45745</v>
      </c>
      <c r="C692">
        <v>2025</v>
      </c>
      <c r="D692">
        <v>3</v>
      </c>
      <c r="E692" t="s">
        <v>3053</v>
      </c>
      <c r="F692" t="s">
        <v>2572</v>
      </c>
      <c r="G692" t="s">
        <v>1903</v>
      </c>
      <c r="H692" t="s">
        <v>1904</v>
      </c>
      <c r="I692" t="s">
        <v>85</v>
      </c>
      <c r="J692">
        <v>20</v>
      </c>
      <c r="K692" t="s">
        <v>80</v>
      </c>
      <c r="L692" t="s">
        <v>96</v>
      </c>
      <c r="M692" t="s">
        <v>55</v>
      </c>
      <c r="N692" t="s">
        <v>2647</v>
      </c>
      <c r="O692" t="s">
        <v>133</v>
      </c>
      <c r="P692" t="s">
        <v>50</v>
      </c>
      <c r="Q692" t="s">
        <v>145</v>
      </c>
      <c r="R692">
        <v>1</v>
      </c>
      <c r="S692">
        <v>799</v>
      </c>
      <c r="T692">
        <v>0.05</v>
      </c>
      <c r="U692">
        <v>759.05</v>
      </c>
      <c r="V692">
        <v>390</v>
      </c>
      <c r="W692">
        <v>369.05</v>
      </c>
      <c r="X692" t="s">
        <v>73</v>
      </c>
      <c r="Y692" t="s">
        <v>68</v>
      </c>
      <c r="Z692" t="s">
        <v>162</v>
      </c>
      <c r="AA692" t="s">
        <v>169</v>
      </c>
      <c r="AB692">
        <v>4</v>
      </c>
      <c r="AC692">
        <v>80</v>
      </c>
      <c r="AD692">
        <v>80.44</v>
      </c>
      <c r="AE692">
        <f t="shared" si="20"/>
        <v>208.61</v>
      </c>
      <c r="AF692" t="str">
        <f t="shared" si="21"/>
        <v>2025-03</v>
      </c>
      <c r="AG692">
        <f>SUBTOTAL(103,A692)</f>
        <v>1</v>
      </c>
    </row>
    <row r="693" spans="1:33" x14ac:dyDescent="0.3">
      <c r="A693" t="s">
        <v>3304</v>
      </c>
      <c r="B693" s="13">
        <v>45745</v>
      </c>
      <c r="C693">
        <v>2025</v>
      </c>
      <c r="D693">
        <v>3</v>
      </c>
      <c r="E693" t="s">
        <v>3053</v>
      </c>
      <c r="F693" t="s">
        <v>2572</v>
      </c>
      <c r="G693" t="s">
        <v>611</v>
      </c>
      <c r="H693" t="s">
        <v>612</v>
      </c>
      <c r="I693" t="s">
        <v>85</v>
      </c>
      <c r="J693">
        <v>20</v>
      </c>
      <c r="K693" t="s">
        <v>80</v>
      </c>
      <c r="L693" t="s">
        <v>2623</v>
      </c>
      <c r="M693" t="s">
        <v>61</v>
      </c>
      <c r="N693" t="s">
        <v>2630</v>
      </c>
      <c r="O693" t="s">
        <v>123</v>
      </c>
      <c r="P693" t="s">
        <v>52</v>
      </c>
      <c r="Q693" t="s">
        <v>146</v>
      </c>
      <c r="R693">
        <v>1</v>
      </c>
      <c r="S693">
        <v>2499</v>
      </c>
      <c r="T693">
        <v>0</v>
      </c>
      <c r="U693">
        <v>2499</v>
      </c>
      <c r="V693">
        <v>1400</v>
      </c>
      <c r="W693">
        <v>1099</v>
      </c>
      <c r="X693" t="s">
        <v>76</v>
      </c>
      <c r="Y693" t="s">
        <v>68</v>
      </c>
      <c r="Z693" t="s">
        <v>159</v>
      </c>
      <c r="AA693" t="s">
        <v>169</v>
      </c>
      <c r="AB693">
        <v>3.4</v>
      </c>
      <c r="AC693">
        <v>40</v>
      </c>
      <c r="AD693">
        <v>279.89</v>
      </c>
      <c r="AE693">
        <f t="shared" si="20"/>
        <v>779.11</v>
      </c>
      <c r="AF693" t="str">
        <f t="shared" si="21"/>
        <v>2025-03</v>
      </c>
      <c r="AG693">
        <f>SUBTOTAL(103,A693)</f>
        <v>1</v>
      </c>
    </row>
    <row r="694" spans="1:33" x14ac:dyDescent="0.3">
      <c r="A694" t="s">
        <v>3305</v>
      </c>
      <c r="B694" s="13">
        <v>45745</v>
      </c>
      <c r="C694">
        <v>2025</v>
      </c>
      <c r="D694">
        <v>3</v>
      </c>
      <c r="E694" t="s">
        <v>3053</v>
      </c>
      <c r="F694" t="s">
        <v>2572</v>
      </c>
      <c r="G694" t="s">
        <v>1047</v>
      </c>
      <c r="H694" t="s">
        <v>1048</v>
      </c>
      <c r="I694" t="s">
        <v>85</v>
      </c>
      <c r="J694">
        <v>40</v>
      </c>
      <c r="K694" t="s">
        <v>82</v>
      </c>
      <c r="L694" t="s">
        <v>96</v>
      </c>
      <c r="M694" t="s">
        <v>55</v>
      </c>
      <c r="N694" t="s">
        <v>2603</v>
      </c>
      <c r="O694" t="s">
        <v>122</v>
      </c>
      <c r="P694" t="s">
        <v>48</v>
      </c>
      <c r="Q694" t="s">
        <v>141</v>
      </c>
      <c r="R694">
        <v>2</v>
      </c>
      <c r="S694">
        <v>2499</v>
      </c>
      <c r="T694">
        <v>0</v>
      </c>
      <c r="U694">
        <v>4998</v>
      </c>
      <c r="V694">
        <v>2900</v>
      </c>
      <c r="W694">
        <v>2098</v>
      </c>
      <c r="X694" t="s">
        <v>76</v>
      </c>
      <c r="Y694" t="s">
        <v>68</v>
      </c>
      <c r="Z694" t="s">
        <v>163</v>
      </c>
      <c r="AA694" t="s">
        <v>171</v>
      </c>
      <c r="AB694">
        <v>4</v>
      </c>
      <c r="AC694">
        <v>80</v>
      </c>
      <c r="AD694">
        <v>449.88</v>
      </c>
      <c r="AE694">
        <f t="shared" si="20"/>
        <v>1568.12</v>
      </c>
      <c r="AF694" t="str">
        <f t="shared" si="21"/>
        <v>2025-03</v>
      </c>
      <c r="AG694">
        <f>SUBTOTAL(103,A694)</f>
        <v>1</v>
      </c>
    </row>
    <row r="695" spans="1:33" x14ac:dyDescent="0.3">
      <c r="A695" t="s">
        <v>3306</v>
      </c>
      <c r="B695" s="13">
        <v>45745</v>
      </c>
      <c r="C695">
        <v>2025</v>
      </c>
      <c r="D695">
        <v>3</v>
      </c>
      <c r="E695" t="s">
        <v>3053</v>
      </c>
      <c r="F695" t="s">
        <v>2572</v>
      </c>
      <c r="G695" t="s">
        <v>2141</v>
      </c>
      <c r="H695" t="s">
        <v>2142</v>
      </c>
      <c r="I695" t="s">
        <v>85</v>
      </c>
      <c r="J695">
        <v>40</v>
      </c>
      <c r="K695" t="s">
        <v>82</v>
      </c>
      <c r="L695" t="s">
        <v>2646</v>
      </c>
      <c r="M695" t="s">
        <v>63</v>
      </c>
      <c r="N695" t="s">
        <v>2577</v>
      </c>
      <c r="O695" t="s">
        <v>129</v>
      </c>
      <c r="P695" t="s">
        <v>49</v>
      </c>
      <c r="Q695" t="s">
        <v>149</v>
      </c>
      <c r="R695">
        <v>1</v>
      </c>
      <c r="S695">
        <v>1299</v>
      </c>
      <c r="T695">
        <v>0.1</v>
      </c>
      <c r="U695">
        <v>1169.0999999999999</v>
      </c>
      <c r="V695">
        <v>650</v>
      </c>
      <c r="W695">
        <v>519.1</v>
      </c>
      <c r="X695" t="s">
        <v>73</v>
      </c>
      <c r="Y695" t="s">
        <v>68</v>
      </c>
      <c r="Z695" t="s">
        <v>161</v>
      </c>
      <c r="AA695" t="s">
        <v>166</v>
      </c>
      <c r="AB695">
        <v>3.1</v>
      </c>
      <c r="AC695">
        <v>80</v>
      </c>
      <c r="AD695">
        <v>133.91</v>
      </c>
      <c r="AE695">
        <f t="shared" si="20"/>
        <v>305.19000000000005</v>
      </c>
      <c r="AF695" t="str">
        <f t="shared" si="21"/>
        <v>2025-03</v>
      </c>
      <c r="AG695">
        <f>SUBTOTAL(103,A695)</f>
        <v>1</v>
      </c>
    </row>
    <row r="696" spans="1:33" x14ac:dyDescent="0.3">
      <c r="A696" t="s">
        <v>3307</v>
      </c>
      <c r="B696" s="13">
        <v>45745</v>
      </c>
      <c r="C696">
        <v>2025</v>
      </c>
      <c r="D696">
        <v>3</v>
      </c>
      <c r="E696" t="s">
        <v>3053</v>
      </c>
      <c r="F696" t="s">
        <v>2572</v>
      </c>
      <c r="G696" t="s">
        <v>1981</v>
      </c>
      <c r="H696" t="s">
        <v>1982</v>
      </c>
      <c r="I696" t="s">
        <v>86</v>
      </c>
      <c r="J696">
        <v>60</v>
      </c>
      <c r="K696" t="s">
        <v>83</v>
      </c>
      <c r="L696" t="s">
        <v>91</v>
      </c>
      <c r="M696" t="s">
        <v>55</v>
      </c>
      <c r="N696" t="s">
        <v>2594</v>
      </c>
      <c r="O696" t="s">
        <v>131</v>
      </c>
      <c r="P696" t="s">
        <v>53</v>
      </c>
      <c r="Q696" t="s">
        <v>143</v>
      </c>
      <c r="R696">
        <v>1</v>
      </c>
      <c r="S696">
        <v>999</v>
      </c>
      <c r="T696">
        <v>0.05</v>
      </c>
      <c r="U696">
        <v>949.05</v>
      </c>
      <c r="V696">
        <v>520</v>
      </c>
      <c r="W696">
        <v>429.05</v>
      </c>
      <c r="X696" t="s">
        <v>73</v>
      </c>
      <c r="Y696" t="s">
        <v>68</v>
      </c>
      <c r="Z696" t="s">
        <v>158</v>
      </c>
      <c r="AA696" t="s">
        <v>169</v>
      </c>
      <c r="AB696">
        <v>4.3</v>
      </c>
      <c r="AC696">
        <v>50</v>
      </c>
      <c r="AD696">
        <v>59.65</v>
      </c>
      <c r="AE696">
        <f t="shared" si="20"/>
        <v>319.40000000000003</v>
      </c>
      <c r="AF696" t="str">
        <f t="shared" si="21"/>
        <v>2025-03</v>
      </c>
      <c r="AG696">
        <f>SUBTOTAL(103,A696)</f>
        <v>1</v>
      </c>
    </row>
    <row r="697" spans="1:33" x14ac:dyDescent="0.3">
      <c r="A697" t="s">
        <v>3308</v>
      </c>
      <c r="B697" s="13">
        <v>45745</v>
      </c>
      <c r="C697">
        <v>2025</v>
      </c>
      <c r="D697">
        <v>3</v>
      </c>
      <c r="E697" t="s">
        <v>3053</v>
      </c>
      <c r="F697" t="s">
        <v>2572</v>
      </c>
      <c r="G697" t="s">
        <v>1163</v>
      </c>
      <c r="H697" t="s">
        <v>1164</v>
      </c>
      <c r="I697" t="s">
        <v>87</v>
      </c>
      <c r="J697">
        <v>53</v>
      </c>
      <c r="K697" t="s">
        <v>83</v>
      </c>
      <c r="L697" t="s">
        <v>92</v>
      </c>
      <c r="M697" t="s">
        <v>59</v>
      </c>
      <c r="N697" t="s">
        <v>2601</v>
      </c>
      <c r="O697" t="s">
        <v>117</v>
      </c>
      <c r="P697" t="s">
        <v>49</v>
      </c>
      <c r="Q697" t="s">
        <v>139</v>
      </c>
      <c r="R697">
        <v>2</v>
      </c>
      <c r="S697">
        <v>6999</v>
      </c>
      <c r="T697">
        <v>0.05</v>
      </c>
      <c r="U697">
        <v>13298.1</v>
      </c>
      <c r="V697">
        <v>8600</v>
      </c>
      <c r="W697">
        <v>4698.1000000000004</v>
      </c>
      <c r="X697" t="s">
        <v>73</v>
      </c>
      <c r="Y697" t="s">
        <v>68</v>
      </c>
      <c r="Z697" t="s">
        <v>158</v>
      </c>
      <c r="AA697" t="s">
        <v>167</v>
      </c>
      <c r="AB697">
        <v>5</v>
      </c>
      <c r="AC697">
        <v>50</v>
      </c>
      <c r="AD697">
        <v>488.95</v>
      </c>
      <c r="AE697">
        <f t="shared" si="20"/>
        <v>4159.1500000000005</v>
      </c>
      <c r="AF697" t="str">
        <f t="shared" si="21"/>
        <v>2025-03</v>
      </c>
      <c r="AG697">
        <f>SUBTOTAL(103,A697)</f>
        <v>1</v>
      </c>
    </row>
    <row r="698" spans="1:33" x14ac:dyDescent="0.3">
      <c r="A698" t="s">
        <v>3309</v>
      </c>
      <c r="B698" s="13">
        <v>45745</v>
      </c>
      <c r="C698">
        <v>2025</v>
      </c>
      <c r="D698">
        <v>3</v>
      </c>
      <c r="E698" t="s">
        <v>3053</v>
      </c>
      <c r="F698" t="s">
        <v>2572</v>
      </c>
      <c r="G698" t="s">
        <v>335</v>
      </c>
      <c r="H698" t="s">
        <v>336</v>
      </c>
      <c r="I698" t="s">
        <v>86</v>
      </c>
      <c r="J698">
        <v>26</v>
      </c>
      <c r="K698" t="s">
        <v>81</v>
      </c>
      <c r="L698" t="s">
        <v>2605</v>
      </c>
      <c r="M698" t="s">
        <v>60</v>
      </c>
      <c r="N698" t="s">
        <v>2653</v>
      </c>
      <c r="O698" t="s">
        <v>132</v>
      </c>
      <c r="P698" t="s">
        <v>52</v>
      </c>
      <c r="Q698" t="s">
        <v>150</v>
      </c>
      <c r="R698">
        <v>1</v>
      </c>
      <c r="S698">
        <v>899</v>
      </c>
      <c r="T698">
        <v>0.15</v>
      </c>
      <c r="U698">
        <v>0</v>
      </c>
      <c r="V698">
        <v>0</v>
      </c>
      <c r="W698">
        <v>0</v>
      </c>
      <c r="X698" t="s">
        <v>77</v>
      </c>
      <c r="Y698" t="s">
        <v>71</v>
      </c>
      <c r="Z698" t="s">
        <v>162</v>
      </c>
      <c r="AA698" t="s">
        <v>170</v>
      </c>
      <c r="AB698">
        <v>4.3</v>
      </c>
      <c r="AC698">
        <v>50</v>
      </c>
      <c r="AD698">
        <v>86.64</v>
      </c>
      <c r="AE698">
        <f t="shared" si="20"/>
        <v>-136.63999999999999</v>
      </c>
      <c r="AF698" t="str">
        <f t="shared" si="21"/>
        <v>2025-03</v>
      </c>
      <c r="AG698">
        <f>SUBTOTAL(103,A698)</f>
        <v>1</v>
      </c>
    </row>
    <row r="699" spans="1:33" x14ac:dyDescent="0.3">
      <c r="A699" t="s">
        <v>3310</v>
      </c>
      <c r="B699" s="13">
        <v>45746</v>
      </c>
      <c r="C699">
        <v>2025</v>
      </c>
      <c r="D699">
        <v>3</v>
      </c>
      <c r="E699" t="s">
        <v>3053</v>
      </c>
      <c r="F699" t="s">
        <v>2572</v>
      </c>
      <c r="G699" t="s">
        <v>195</v>
      </c>
      <c r="H699" t="s">
        <v>196</v>
      </c>
      <c r="I699" t="s">
        <v>87</v>
      </c>
      <c r="J699">
        <v>41</v>
      </c>
      <c r="K699" t="s">
        <v>82</v>
      </c>
      <c r="L699" t="s">
        <v>99</v>
      </c>
      <c r="M699" t="s">
        <v>58</v>
      </c>
      <c r="N699" t="s">
        <v>2592</v>
      </c>
      <c r="O699" t="s">
        <v>115</v>
      </c>
      <c r="P699" t="s">
        <v>48</v>
      </c>
      <c r="Q699" t="s">
        <v>137</v>
      </c>
      <c r="R699">
        <v>2</v>
      </c>
      <c r="S699">
        <v>12999</v>
      </c>
      <c r="T699">
        <v>0.15</v>
      </c>
      <c r="U699">
        <v>22098.3</v>
      </c>
      <c r="V699">
        <v>18000</v>
      </c>
      <c r="W699">
        <v>4098.3</v>
      </c>
      <c r="X699" t="s">
        <v>77</v>
      </c>
      <c r="Y699" t="s">
        <v>68</v>
      </c>
      <c r="Z699" t="s">
        <v>158</v>
      </c>
      <c r="AA699" t="s">
        <v>167</v>
      </c>
      <c r="AB699">
        <v>4</v>
      </c>
      <c r="AC699">
        <v>50</v>
      </c>
      <c r="AD699">
        <v>1089.56</v>
      </c>
      <c r="AE699">
        <f t="shared" si="20"/>
        <v>2958.7400000000002</v>
      </c>
      <c r="AF699" t="str">
        <f t="shared" si="21"/>
        <v>2025-03</v>
      </c>
      <c r="AG699">
        <f>SUBTOTAL(103,A699)</f>
        <v>1</v>
      </c>
    </row>
    <row r="700" spans="1:33" x14ac:dyDescent="0.3">
      <c r="A700" t="s">
        <v>3311</v>
      </c>
      <c r="B700" s="13">
        <v>45746</v>
      </c>
      <c r="C700">
        <v>2025</v>
      </c>
      <c r="D700">
        <v>3</v>
      </c>
      <c r="E700" t="s">
        <v>3053</v>
      </c>
      <c r="F700" t="s">
        <v>2572</v>
      </c>
      <c r="G700" t="s">
        <v>893</v>
      </c>
      <c r="H700" t="s">
        <v>894</v>
      </c>
      <c r="I700" t="s">
        <v>85</v>
      </c>
      <c r="J700">
        <v>45</v>
      </c>
      <c r="K700" t="s">
        <v>82</v>
      </c>
      <c r="L700" t="s">
        <v>95</v>
      </c>
      <c r="M700" t="s">
        <v>56</v>
      </c>
      <c r="N700" t="s">
        <v>2653</v>
      </c>
      <c r="O700" t="s">
        <v>132</v>
      </c>
      <c r="P700" t="s">
        <v>52</v>
      </c>
      <c r="Q700" t="s">
        <v>150</v>
      </c>
      <c r="R700">
        <v>2</v>
      </c>
      <c r="S700">
        <v>899</v>
      </c>
      <c r="T700">
        <v>0.05</v>
      </c>
      <c r="U700">
        <v>1708.1</v>
      </c>
      <c r="V700">
        <v>840</v>
      </c>
      <c r="W700">
        <v>868.1</v>
      </c>
      <c r="X700" t="s">
        <v>77</v>
      </c>
      <c r="Y700" t="s">
        <v>69</v>
      </c>
      <c r="Z700" t="s">
        <v>160</v>
      </c>
      <c r="AA700" t="s">
        <v>168</v>
      </c>
      <c r="AB700">
        <v>4.4000000000000004</v>
      </c>
      <c r="AC700">
        <v>40</v>
      </c>
      <c r="AD700">
        <v>84.39</v>
      </c>
      <c r="AE700">
        <f t="shared" si="20"/>
        <v>743.71</v>
      </c>
      <c r="AF700" t="str">
        <f t="shared" si="21"/>
        <v>2025-03</v>
      </c>
      <c r="AG700">
        <f>SUBTOTAL(103,A700)</f>
        <v>1</v>
      </c>
    </row>
    <row r="701" spans="1:33" x14ac:dyDescent="0.3">
      <c r="A701" t="s">
        <v>3312</v>
      </c>
      <c r="B701" s="13">
        <v>45746</v>
      </c>
      <c r="C701">
        <v>2025</v>
      </c>
      <c r="D701">
        <v>3</v>
      </c>
      <c r="E701" t="s">
        <v>3053</v>
      </c>
      <c r="F701" t="s">
        <v>2572</v>
      </c>
      <c r="G701" t="s">
        <v>269</v>
      </c>
      <c r="H701" t="s">
        <v>270</v>
      </c>
      <c r="I701" t="s">
        <v>85</v>
      </c>
      <c r="J701">
        <v>35</v>
      </c>
      <c r="K701" t="s">
        <v>81</v>
      </c>
      <c r="L701" t="s">
        <v>97</v>
      </c>
      <c r="M701" t="s">
        <v>57</v>
      </c>
      <c r="N701" t="s">
        <v>2596</v>
      </c>
      <c r="O701" t="s">
        <v>124</v>
      </c>
      <c r="P701" t="s">
        <v>51</v>
      </c>
      <c r="Q701" t="s">
        <v>147</v>
      </c>
      <c r="R701">
        <v>5</v>
      </c>
      <c r="S701">
        <v>2299</v>
      </c>
      <c r="T701">
        <v>0.1</v>
      </c>
      <c r="U701">
        <v>10345.5</v>
      </c>
      <c r="V701">
        <v>6000</v>
      </c>
      <c r="W701">
        <v>4345.5</v>
      </c>
      <c r="X701" t="s">
        <v>75</v>
      </c>
      <c r="Y701" t="s">
        <v>68</v>
      </c>
      <c r="Z701" t="s">
        <v>161</v>
      </c>
      <c r="AA701" t="s">
        <v>168</v>
      </c>
      <c r="AB701">
        <v>4.9000000000000004</v>
      </c>
      <c r="AC701">
        <v>60</v>
      </c>
      <c r="AD701">
        <v>1099.46</v>
      </c>
      <c r="AE701">
        <f t="shared" si="20"/>
        <v>3186.04</v>
      </c>
      <c r="AF701" t="str">
        <f t="shared" si="21"/>
        <v>2025-03</v>
      </c>
      <c r="AG701">
        <f>SUBTOTAL(103,A701)</f>
        <v>1</v>
      </c>
    </row>
    <row r="702" spans="1:33" x14ac:dyDescent="0.3">
      <c r="A702" t="s">
        <v>3313</v>
      </c>
      <c r="B702" s="13">
        <v>45746</v>
      </c>
      <c r="C702">
        <v>2025</v>
      </c>
      <c r="D702">
        <v>3</v>
      </c>
      <c r="E702" t="s">
        <v>3053</v>
      </c>
      <c r="F702" t="s">
        <v>2572</v>
      </c>
      <c r="G702" t="s">
        <v>799</v>
      </c>
      <c r="H702" t="s">
        <v>800</v>
      </c>
      <c r="I702" t="s">
        <v>85</v>
      </c>
      <c r="J702">
        <v>19</v>
      </c>
      <c r="K702" t="s">
        <v>80</v>
      </c>
      <c r="L702" t="s">
        <v>2579</v>
      </c>
      <c r="M702" t="s">
        <v>56</v>
      </c>
      <c r="N702" t="s">
        <v>2592</v>
      </c>
      <c r="O702" t="s">
        <v>115</v>
      </c>
      <c r="P702" t="s">
        <v>48</v>
      </c>
      <c r="Q702" t="s">
        <v>137</v>
      </c>
      <c r="R702">
        <v>3</v>
      </c>
      <c r="S702">
        <v>12999</v>
      </c>
      <c r="T702">
        <v>0.1</v>
      </c>
      <c r="U702">
        <v>35097.300000000003</v>
      </c>
      <c r="V702">
        <v>27000</v>
      </c>
      <c r="W702">
        <v>8097.3</v>
      </c>
      <c r="X702" t="s">
        <v>75</v>
      </c>
      <c r="Y702" t="s">
        <v>68</v>
      </c>
      <c r="Z702" t="s">
        <v>160</v>
      </c>
      <c r="AA702" t="s">
        <v>169</v>
      </c>
      <c r="AB702">
        <v>4.3</v>
      </c>
      <c r="AC702">
        <v>40</v>
      </c>
      <c r="AD702">
        <v>3119.27</v>
      </c>
      <c r="AE702">
        <f t="shared" si="20"/>
        <v>4938.0300000000007</v>
      </c>
      <c r="AF702" t="str">
        <f t="shared" si="21"/>
        <v>2025-03</v>
      </c>
      <c r="AG702">
        <f>SUBTOTAL(103,A702)</f>
        <v>1</v>
      </c>
    </row>
    <row r="703" spans="1:33" x14ac:dyDescent="0.3">
      <c r="A703" t="s">
        <v>3314</v>
      </c>
      <c r="B703" s="13">
        <v>45746</v>
      </c>
      <c r="C703">
        <v>2025</v>
      </c>
      <c r="D703">
        <v>3</v>
      </c>
      <c r="E703" t="s">
        <v>3053</v>
      </c>
      <c r="F703" t="s">
        <v>2572</v>
      </c>
      <c r="G703" t="s">
        <v>1635</v>
      </c>
      <c r="H703" t="s">
        <v>1636</v>
      </c>
      <c r="I703" t="s">
        <v>86</v>
      </c>
      <c r="J703">
        <v>47</v>
      </c>
      <c r="K703" t="s">
        <v>83</v>
      </c>
      <c r="L703" t="s">
        <v>2679</v>
      </c>
      <c r="M703" t="s">
        <v>60</v>
      </c>
      <c r="N703" t="s">
        <v>2603</v>
      </c>
      <c r="O703" t="s">
        <v>122</v>
      </c>
      <c r="P703" t="s">
        <v>48</v>
      </c>
      <c r="Q703" t="s">
        <v>141</v>
      </c>
      <c r="R703">
        <v>1</v>
      </c>
      <c r="S703">
        <v>2499</v>
      </c>
      <c r="T703">
        <v>0.15</v>
      </c>
      <c r="U703">
        <v>2124.15</v>
      </c>
      <c r="V703">
        <v>1450</v>
      </c>
      <c r="W703">
        <v>674.15</v>
      </c>
      <c r="X703" t="s">
        <v>77</v>
      </c>
      <c r="Y703" t="s">
        <v>68</v>
      </c>
      <c r="Z703" t="s">
        <v>163</v>
      </c>
      <c r="AA703" t="s">
        <v>170</v>
      </c>
      <c r="AB703">
        <v>3.7</v>
      </c>
      <c r="AC703">
        <v>80</v>
      </c>
      <c r="AD703">
        <v>123.38</v>
      </c>
      <c r="AE703">
        <f t="shared" si="20"/>
        <v>470.77</v>
      </c>
      <c r="AF703" t="str">
        <f t="shared" si="21"/>
        <v>2025-03</v>
      </c>
      <c r="AG703">
        <f>SUBTOTAL(103,A703)</f>
        <v>1</v>
      </c>
    </row>
    <row r="704" spans="1:33" x14ac:dyDescent="0.3">
      <c r="A704" t="s">
        <v>3315</v>
      </c>
      <c r="B704" s="13">
        <v>45747</v>
      </c>
      <c r="C704">
        <v>2025</v>
      </c>
      <c r="D704">
        <v>3</v>
      </c>
      <c r="E704" t="s">
        <v>3053</v>
      </c>
      <c r="F704" t="s">
        <v>2572</v>
      </c>
      <c r="G704" t="s">
        <v>1953</v>
      </c>
      <c r="H704" t="s">
        <v>1954</v>
      </c>
      <c r="I704" t="s">
        <v>86</v>
      </c>
      <c r="J704">
        <v>30</v>
      </c>
      <c r="K704" t="s">
        <v>81</v>
      </c>
      <c r="L704" t="s">
        <v>91</v>
      </c>
      <c r="M704" t="s">
        <v>55</v>
      </c>
      <c r="N704" t="s">
        <v>2647</v>
      </c>
      <c r="O704" t="s">
        <v>133</v>
      </c>
      <c r="P704" t="s">
        <v>50</v>
      </c>
      <c r="Q704" t="s">
        <v>145</v>
      </c>
      <c r="R704">
        <v>1</v>
      </c>
      <c r="S704">
        <v>799</v>
      </c>
      <c r="T704">
        <v>0.05</v>
      </c>
      <c r="U704">
        <v>759.05</v>
      </c>
      <c r="V704">
        <v>390</v>
      </c>
      <c r="W704">
        <v>369.05</v>
      </c>
      <c r="X704" t="s">
        <v>73</v>
      </c>
      <c r="Y704" t="s">
        <v>68</v>
      </c>
      <c r="Z704" t="s">
        <v>163</v>
      </c>
      <c r="AA704" t="s">
        <v>170</v>
      </c>
      <c r="AB704">
        <v>3</v>
      </c>
      <c r="AC704">
        <v>60</v>
      </c>
      <c r="AD704">
        <v>46.57</v>
      </c>
      <c r="AE704">
        <f t="shared" si="20"/>
        <v>262.48</v>
      </c>
      <c r="AF704" t="str">
        <f t="shared" si="21"/>
        <v>2025-03</v>
      </c>
      <c r="AG704">
        <f>SUBTOTAL(103,A704)</f>
        <v>1</v>
      </c>
    </row>
    <row r="705" spans="1:33" x14ac:dyDescent="0.3">
      <c r="A705" t="s">
        <v>3316</v>
      </c>
      <c r="B705" s="13">
        <v>45747</v>
      </c>
      <c r="C705">
        <v>2025</v>
      </c>
      <c r="D705">
        <v>3</v>
      </c>
      <c r="E705" t="s">
        <v>3053</v>
      </c>
      <c r="F705" t="s">
        <v>2572</v>
      </c>
      <c r="G705" t="s">
        <v>1107</v>
      </c>
      <c r="H705" t="s">
        <v>1108</v>
      </c>
      <c r="I705" t="s">
        <v>85</v>
      </c>
      <c r="J705">
        <v>54</v>
      </c>
      <c r="K705" t="s">
        <v>83</v>
      </c>
      <c r="L705" t="s">
        <v>2661</v>
      </c>
      <c r="M705" t="s">
        <v>58</v>
      </c>
      <c r="N705" t="s">
        <v>2606</v>
      </c>
      <c r="O705" t="s">
        <v>120</v>
      </c>
      <c r="P705" t="s">
        <v>49</v>
      </c>
      <c r="Q705" t="s">
        <v>140</v>
      </c>
      <c r="R705">
        <v>1</v>
      </c>
      <c r="S705">
        <v>2799</v>
      </c>
      <c r="T705">
        <v>0</v>
      </c>
      <c r="U705">
        <v>2799</v>
      </c>
      <c r="V705">
        <v>1650</v>
      </c>
      <c r="W705">
        <v>1149</v>
      </c>
      <c r="X705" t="s">
        <v>73</v>
      </c>
      <c r="Y705" t="s">
        <v>68</v>
      </c>
      <c r="Z705" t="s">
        <v>163</v>
      </c>
      <c r="AA705" t="s">
        <v>168</v>
      </c>
      <c r="AB705">
        <v>4.7</v>
      </c>
      <c r="AC705">
        <v>80</v>
      </c>
      <c r="AD705">
        <v>150.46</v>
      </c>
      <c r="AE705">
        <f t="shared" si="20"/>
        <v>918.54</v>
      </c>
      <c r="AF705" t="str">
        <f t="shared" si="21"/>
        <v>2025-03</v>
      </c>
      <c r="AG705">
        <f>SUBTOTAL(103,A705)</f>
        <v>1</v>
      </c>
    </row>
    <row r="706" spans="1:33" x14ac:dyDescent="0.3">
      <c r="A706" t="s">
        <v>3317</v>
      </c>
      <c r="B706" s="13">
        <v>45747</v>
      </c>
      <c r="C706">
        <v>2025</v>
      </c>
      <c r="D706">
        <v>3</v>
      </c>
      <c r="E706" t="s">
        <v>3053</v>
      </c>
      <c r="F706" t="s">
        <v>2572</v>
      </c>
      <c r="G706" t="s">
        <v>1271</v>
      </c>
      <c r="H706" t="s">
        <v>1272</v>
      </c>
      <c r="I706" t="s">
        <v>86</v>
      </c>
      <c r="J706">
        <v>22</v>
      </c>
      <c r="K706" t="s">
        <v>80</v>
      </c>
      <c r="L706" t="s">
        <v>2579</v>
      </c>
      <c r="M706" t="s">
        <v>56</v>
      </c>
      <c r="N706" t="s">
        <v>2657</v>
      </c>
      <c r="O706" t="s">
        <v>134</v>
      </c>
      <c r="P706" t="s">
        <v>49</v>
      </c>
      <c r="Q706" t="s">
        <v>140</v>
      </c>
      <c r="R706">
        <v>2</v>
      </c>
      <c r="S706">
        <v>599</v>
      </c>
      <c r="T706">
        <v>0.2</v>
      </c>
      <c r="U706">
        <v>958.4</v>
      </c>
      <c r="V706">
        <v>500</v>
      </c>
      <c r="W706">
        <v>458.4</v>
      </c>
      <c r="X706" t="s">
        <v>74</v>
      </c>
      <c r="Y706" t="s">
        <v>68</v>
      </c>
      <c r="Z706" t="s">
        <v>158</v>
      </c>
      <c r="AA706" t="s">
        <v>170</v>
      </c>
      <c r="AB706">
        <v>4.0999999999999996</v>
      </c>
      <c r="AC706">
        <v>60</v>
      </c>
      <c r="AD706">
        <v>100.39</v>
      </c>
      <c r="AE706">
        <f t="shared" ref="AE706:AE769" si="22">W706-AC706-AD706</f>
        <v>298.01</v>
      </c>
      <c r="AF706" t="str">
        <f t="shared" ref="AF706:AF769" si="23">C706&amp;"-"&amp;TEXT(D706,"00")</f>
        <v>2025-03</v>
      </c>
      <c r="AG706">
        <f>SUBTOTAL(103,A706)</f>
        <v>1</v>
      </c>
    </row>
    <row r="707" spans="1:33" x14ac:dyDescent="0.3">
      <c r="A707" t="s">
        <v>3318</v>
      </c>
      <c r="B707" s="13">
        <v>45747</v>
      </c>
      <c r="C707">
        <v>2025</v>
      </c>
      <c r="D707">
        <v>3</v>
      </c>
      <c r="E707" t="s">
        <v>3053</v>
      </c>
      <c r="F707" t="s">
        <v>2572</v>
      </c>
      <c r="G707" t="s">
        <v>203</v>
      </c>
      <c r="H707" t="s">
        <v>204</v>
      </c>
      <c r="I707" t="s">
        <v>85</v>
      </c>
      <c r="J707">
        <v>45</v>
      </c>
      <c r="K707" t="s">
        <v>82</v>
      </c>
      <c r="L707" t="s">
        <v>98</v>
      </c>
      <c r="M707" t="s">
        <v>55</v>
      </c>
      <c r="N707" t="s">
        <v>2644</v>
      </c>
      <c r="O707" t="s">
        <v>126</v>
      </c>
      <c r="P707" t="s">
        <v>50</v>
      </c>
      <c r="Q707" t="s">
        <v>145</v>
      </c>
      <c r="R707">
        <v>4</v>
      </c>
      <c r="S707">
        <v>1799</v>
      </c>
      <c r="T707">
        <v>0</v>
      </c>
      <c r="U707">
        <v>7196</v>
      </c>
      <c r="V707">
        <v>3800</v>
      </c>
      <c r="W707">
        <v>3396</v>
      </c>
      <c r="X707" t="s">
        <v>76</v>
      </c>
      <c r="Y707" t="s">
        <v>68</v>
      </c>
      <c r="Z707" t="s">
        <v>160</v>
      </c>
      <c r="AA707" t="s">
        <v>168</v>
      </c>
      <c r="AB707">
        <v>5</v>
      </c>
      <c r="AC707">
        <v>100</v>
      </c>
      <c r="AD707">
        <v>399.65</v>
      </c>
      <c r="AE707">
        <f t="shared" si="22"/>
        <v>2896.35</v>
      </c>
      <c r="AF707" t="str">
        <f t="shared" si="23"/>
        <v>2025-03</v>
      </c>
      <c r="AG707">
        <f>SUBTOTAL(103,A707)</f>
        <v>1</v>
      </c>
    </row>
    <row r="708" spans="1:33" x14ac:dyDescent="0.3">
      <c r="A708" t="s">
        <v>3319</v>
      </c>
      <c r="B708" s="13">
        <v>45747</v>
      </c>
      <c r="C708">
        <v>2025</v>
      </c>
      <c r="D708">
        <v>3</v>
      </c>
      <c r="E708" t="s">
        <v>3053</v>
      </c>
      <c r="F708" t="s">
        <v>2572</v>
      </c>
      <c r="G708" t="s">
        <v>723</v>
      </c>
      <c r="H708" t="s">
        <v>724</v>
      </c>
      <c r="I708" t="s">
        <v>85</v>
      </c>
      <c r="J708">
        <v>28</v>
      </c>
      <c r="K708" t="s">
        <v>81</v>
      </c>
      <c r="L708" t="s">
        <v>2610</v>
      </c>
      <c r="M708" t="s">
        <v>64</v>
      </c>
      <c r="N708" t="s">
        <v>2574</v>
      </c>
      <c r="O708" t="s">
        <v>130</v>
      </c>
      <c r="P708" t="s">
        <v>50</v>
      </c>
      <c r="Q708" t="s">
        <v>53</v>
      </c>
      <c r="R708">
        <v>1</v>
      </c>
      <c r="S708">
        <v>1199</v>
      </c>
      <c r="T708">
        <v>0.05</v>
      </c>
      <c r="U708">
        <v>1139.05</v>
      </c>
      <c r="V708">
        <v>550</v>
      </c>
      <c r="W708">
        <v>589.04999999999995</v>
      </c>
      <c r="X708" t="s">
        <v>76</v>
      </c>
      <c r="Y708" t="s">
        <v>68</v>
      </c>
      <c r="Z708" t="s">
        <v>158</v>
      </c>
      <c r="AA708" t="s">
        <v>167</v>
      </c>
      <c r="AB708">
        <v>4.3</v>
      </c>
      <c r="AC708">
        <v>60</v>
      </c>
      <c r="AD708">
        <v>134.88</v>
      </c>
      <c r="AE708">
        <f t="shared" si="22"/>
        <v>394.16999999999996</v>
      </c>
      <c r="AF708" t="str">
        <f t="shared" si="23"/>
        <v>2025-03</v>
      </c>
      <c r="AG708">
        <f>SUBTOTAL(103,A708)</f>
        <v>1</v>
      </c>
    </row>
    <row r="709" spans="1:33" x14ac:dyDescent="0.3">
      <c r="A709" t="s">
        <v>3320</v>
      </c>
      <c r="B709" s="13">
        <v>45747</v>
      </c>
      <c r="C709">
        <v>2025</v>
      </c>
      <c r="D709">
        <v>3</v>
      </c>
      <c r="E709" t="s">
        <v>3053</v>
      </c>
      <c r="F709" t="s">
        <v>2572</v>
      </c>
      <c r="G709" t="s">
        <v>2435</v>
      </c>
      <c r="H709" t="s">
        <v>2436</v>
      </c>
      <c r="I709" t="s">
        <v>85</v>
      </c>
      <c r="J709">
        <v>57</v>
      </c>
      <c r="K709" t="s">
        <v>83</v>
      </c>
      <c r="L709" t="s">
        <v>98</v>
      </c>
      <c r="M709" t="s">
        <v>55</v>
      </c>
      <c r="N709" t="s">
        <v>2630</v>
      </c>
      <c r="O709" t="s">
        <v>123</v>
      </c>
      <c r="P709" t="s">
        <v>52</v>
      </c>
      <c r="Q709" t="s">
        <v>146</v>
      </c>
      <c r="R709">
        <v>1</v>
      </c>
      <c r="S709">
        <v>2499</v>
      </c>
      <c r="T709">
        <v>0</v>
      </c>
      <c r="U709">
        <v>2499</v>
      </c>
      <c r="V709">
        <v>1400</v>
      </c>
      <c r="W709">
        <v>1099</v>
      </c>
      <c r="X709" t="s">
        <v>73</v>
      </c>
      <c r="Y709" t="s">
        <v>68</v>
      </c>
      <c r="Z709" t="s">
        <v>163</v>
      </c>
      <c r="AA709" t="s">
        <v>170</v>
      </c>
      <c r="AB709">
        <v>4.5</v>
      </c>
      <c r="AC709">
        <v>60</v>
      </c>
      <c r="AD709">
        <v>142.22</v>
      </c>
      <c r="AE709">
        <f t="shared" si="22"/>
        <v>896.78</v>
      </c>
      <c r="AF709" t="str">
        <f t="shared" si="23"/>
        <v>2025-03</v>
      </c>
      <c r="AG709">
        <f>SUBTOTAL(103,A709)</f>
        <v>1</v>
      </c>
    </row>
    <row r="710" spans="1:33" x14ac:dyDescent="0.3">
      <c r="A710" t="s">
        <v>3321</v>
      </c>
      <c r="B710" s="13">
        <v>45747</v>
      </c>
      <c r="C710">
        <v>2025</v>
      </c>
      <c r="D710">
        <v>3</v>
      </c>
      <c r="E710" t="s">
        <v>3053</v>
      </c>
      <c r="F710" t="s">
        <v>2572</v>
      </c>
      <c r="G710" t="s">
        <v>1911</v>
      </c>
      <c r="H710" t="s">
        <v>1912</v>
      </c>
      <c r="I710" t="s">
        <v>86</v>
      </c>
      <c r="J710">
        <v>60</v>
      </c>
      <c r="K710" t="s">
        <v>83</v>
      </c>
      <c r="L710" t="s">
        <v>2661</v>
      </c>
      <c r="M710" t="s">
        <v>58</v>
      </c>
      <c r="N710" t="s">
        <v>2653</v>
      </c>
      <c r="O710" t="s">
        <v>132</v>
      </c>
      <c r="P710" t="s">
        <v>52</v>
      </c>
      <c r="Q710" t="s">
        <v>150</v>
      </c>
      <c r="R710">
        <v>4</v>
      </c>
      <c r="S710">
        <v>899</v>
      </c>
      <c r="T710">
        <v>0.15</v>
      </c>
      <c r="U710">
        <v>3056.6</v>
      </c>
      <c r="V710">
        <v>1680</v>
      </c>
      <c r="W710">
        <v>1376.6</v>
      </c>
      <c r="X710" t="s">
        <v>73</v>
      </c>
      <c r="Y710" t="s">
        <v>68</v>
      </c>
      <c r="Z710" t="s">
        <v>161</v>
      </c>
      <c r="AA710" t="s">
        <v>169</v>
      </c>
      <c r="AB710">
        <v>3.6</v>
      </c>
      <c r="AC710">
        <v>80</v>
      </c>
      <c r="AD710">
        <v>267.97000000000003</v>
      </c>
      <c r="AE710">
        <f t="shared" si="22"/>
        <v>1028.6299999999999</v>
      </c>
      <c r="AF710" t="str">
        <f t="shared" si="23"/>
        <v>2025-03</v>
      </c>
      <c r="AG710">
        <f>SUBTOTAL(103,A710)</f>
        <v>1</v>
      </c>
    </row>
    <row r="711" spans="1:33" x14ac:dyDescent="0.3">
      <c r="A711" t="s">
        <v>3322</v>
      </c>
      <c r="B711" s="13">
        <v>45747</v>
      </c>
      <c r="C711">
        <v>2025</v>
      </c>
      <c r="D711">
        <v>3</v>
      </c>
      <c r="E711" t="s">
        <v>3053</v>
      </c>
      <c r="F711" t="s">
        <v>2572</v>
      </c>
      <c r="G711" t="s">
        <v>695</v>
      </c>
      <c r="H711" t="s">
        <v>696</v>
      </c>
      <c r="I711" t="s">
        <v>85</v>
      </c>
      <c r="J711">
        <v>43</v>
      </c>
      <c r="K711" t="s">
        <v>82</v>
      </c>
      <c r="L711" t="s">
        <v>100</v>
      </c>
      <c r="M711" t="s">
        <v>56</v>
      </c>
      <c r="N711" t="s">
        <v>2577</v>
      </c>
      <c r="O711" t="s">
        <v>129</v>
      </c>
      <c r="P711" t="s">
        <v>49</v>
      </c>
      <c r="Q711" t="s">
        <v>149</v>
      </c>
      <c r="R711">
        <v>1</v>
      </c>
      <c r="S711">
        <v>1299</v>
      </c>
      <c r="T711">
        <v>0.2</v>
      </c>
      <c r="U711">
        <v>1039.2</v>
      </c>
      <c r="V711">
        <v>650</v>
      </c>
      <c r="W711">
        <v>389.2</v>
      </c>
      <c r="X711" t="s">
        <v>73</v>
      </c>
      <c r="Y711" t="s">
        <v>68</v>
      </c>
      <c r="Z711" t="s">
        <v>159</v>
      </c>
      <c r="AA711" t="s">
        <v>166</v>
      </c>
      <c r="AB711">
        <v>5</v>
      </c>
      <c r="AC711">
        <v>40</v>
      </c>
      <c r="AD711">
        <v>81.38</v>
      </c>
      <c r="AE711">
        <f t="shared" si="22"/>
        <v>267.82</v>
      </c>
      <c r="AF711" t="str">
        <f t="shared" si="23"/>
        <v>2025-03</v>
      </c>
      <c r="AG711">
        <f>SUBTOTAL(103,A711)</f>
        <v>1</v>
      </c>
    </row>
    <row r="712" spans="1:33" x14ac:dyDescent="0.3">
      <c r="A712" t="s">
        <v>3323</v>
      </c>
      <c r="B712" s="13">
        <v>45747</v>
      </c>
      <c r="C712">
        <v>2025</v>
      </c>
      <c r="D712">
        <v>3</v>
      </c>
      <c r="E712" t="s">
        <v>3053</v>
      </c>
      <c r="F712" t="s">
        <v>2572</v>
      </c>
      <c r="G712" t="s">
        <v>1717</v>
      </c>
      <c r="H712" t="s">
        <v>1718</v>
      </c>
      <c r="I712" t="s">
        <v>85</v>
      </c>
      <c r="J712">
        <v>21</v>
      </c>
      <c r="K712" t="s">
        <v>80</v>
      </c>
      <c r="L712" t="s">
        <v>2576</v>
      </c>
      <c r="M712" t="s">
        <v>60</v>
      </c>
      <c r="N712" t="s">
        <v>2665</v>
      </c>
      <c r="O712" t="s">
        <v>128</v>
      </c>
      <c r="P712" t="s">
        <v>53</v>
      </c>
      <c r="Q712" t="s">
        <v>143</v>
      </c>
      <c r="R712">
        <v>3</v>
      </c>
      <c r="S712">
        <v>1499</v>
      </c>
      <c r="T712">
        <v>0.1</v>
      </c>
      <c r="U712">
        <v>0</v>
      </c>
      <c r="V712">
        <v>0</v>
      </c>
      <c r="W712">
        <v>0</v>
      </c>
      <c r="X712" t="s">
        <v>73</v>
      </c>
      <c r="Y712" t="s">
        <v>71</v>
      </c>
      <c r="Z712" t="s">
        <v>158</v>
      </c>
      <c r="AA712" t="s">
        <v>171</v>
      </c>
      <c r="AB712">
        <v>3.8</v>
      </c>
      <c r="AC712">
        <v>50</v>
      </c>
      <c r="AD712">
        <v>380.92</v>
      </c>
      <c r="AE712">
        <f t="shared" si="22"/>
        <v>-430.92</v>
      </c>
      <c r="AF712" t="str">
        <f t="shared" si="23"/>
        <v>2025-03</v>
      </c>
      <c r="AG712">
        <f>SUBTOTAL(103,A712)</f>
        <v>1</v>
      </c>
    </row>
    <row r="713" spans="1:33" x14ac:dyDescent="0.3">
      <c r="A713" t="s">
        <v>3324</v>
      </c>
      <c r="B713" s="13">
        <v>45747</v>
      </c>
      <c r="C713">
        <v>2025</v>
      </c>
      <c r="D713">
        <v>3</v>
      </c>
      <c r="E713" t="s">
        <v>3053</v>
      </c>
      <c r="F713" t="s">
        <v>2572</v>
      </c>
      <c r="G713" t="s">
        <v>605</v>
      </c>
      <c r="H713" t="s">
        <v>606</v>
      </c>
      <c r="I713" t="s">
        <v>85</v>
      </c>
      <c r="J713">
        <v>49</v>
      </c>
      <c r="K713" t="s">
        <v>83</v>
      </c>
      <c r="L713" t="s">
        <v>100</v>
      </c>
      <c r="M713" t="s">
        <v>56</v>
      </c>
      <c r="N713" t="s">
        <v>2587</v>
      </c>
      <c r="O713" t="s">
        <v>116</v>
      </c>
      <c r="P713" t="s">
        <v>48</v>
      </c>
      <c r="Q713" t="s">
        <v>138</v>
      </c>
      <c r="R713">
        <v>2</v>
      </c>
      <c r="S713">
        <v>14999</v>
      </c>
      <c r="T713">
        <v>0.05</v>
      </c>
      <c r="U713">
        <v>28498.1</v>
      </c>
      <c r="V713">
        <v>22400</v>
      </c>
      <c r="W713">
        <v>6098.1</v>
      </c>
      <c r="X713" t="s">
        <v>73</v>
      </c>
      <c r="Y713" t="s">
        <v>68</v>
      </c>
      <c r="Z713" t="s">
        <v>160</v>
      </c>
      <c r="AA713" t="s">
        <v>166</v>
      </c>
      <c r="AB713">
        <v>4.9000000000000004</v>
      </c>
      <c r="AC713">
        <v>60</v>
      </c>
      <c r="AD713">
        <v>2717.72</v>
      </c>
      <c r="AE713">
        <f t="shared" si="22"/>
        <v>3320.3800000000006</v>
      </c>
      <c r="AF713" t="str">
        <f t="shared" si="23"/>
        <v>2025-03</v>
      </c>
      <c r="AG713">
        <f>SUBTOTAL(103,A713)</f>
        <v>1</v>
      </c>
    </row>
    <row r="714" spans="1:33" x14ac:dyDescent="0.3">
      <c r="A714" t="s">
        <v>3325</v>
      </c>
      <c r="B714" s="13">
        <v>45747</v>
      </c>
      <c r="C714">
        <v>2025</v>
      </c>
      <c r="D714">
        <v>3</v>
      </c>
      <c r="E714" t="s">
        <v>3053</v>
      </c>
      <c r="F714" t="s">
        <v>2572</v>
      </c>
      <c r="G714" t="s">
        <v>2321</v>
      </c>
      <c r="H714" t="s">
        <v>2322</v>
      </c>
      <c r="I714" t="s">
        <v>86</v>
      </c>
      <c r="J714">
        <v>26</v>
      </c>
      <c r="K714" t="s">
        <v>81</v>
      </c>
      <c r="L714" t="s">
        <v>95</v>
      </c>
      <c r="M714" t="s">
        <v>56</v>
      </c>
      <c r="N714" t="s">
        <v>2584</v>
      </c>
      <c r="O714" t="s">
        <v>121</v>
      </c>
      <c r="P714" t="s">
        <v>50</v>
      </c>
      <c r="Q714" t="s">
        <v>144</v>
      </c>
      <c r="R714">
        <v>1</v>
      </c>
      <c r="S714">
        <v>2999</v>
      </c>
      <c r="T714">
        <v>0.1</v>
      </c>
      <c r="U714">
        <v>2699.1</v>
      </c>
      <c r="V714">
        <v>1700</v>
      </c>
      <c r="W714">
        <v>999.1</v>
      </c>
      <c r="X714" t="s">
        <v>73</v>
      </c>
      <c r="Y714" t="s">
        <v>68</v>
      </c>
      <c r="Z714" t="s">
        <v>160</v>
      </c>
      <c r="AA714" t="s">
        <v>167</v>
      </c>
      <c r="AB714">
        <v>3.3</v>
      </c>
      <c r="AC714">
        <v>80</v>
      </c>
      <c r="AD714">
        <v>131.5</v>
      </c>
      <c r="AE714">
        <f t="shared" si="22"/>
        <v>787.6</v>
      </c>
      <c r="AF714" t="str">
        <f t="shared" si="23"/>
        <v>2025-03</v>
      </c>
      <c r="AG714">
        <f>SUBTOTAL(103,A714)</f>
        <v>1</v>
      </c>
    </row>
    <row r="715" spans="1:33" x14ac:dyDescent="0.3">
      <c r="A715" t="s">
        <v>3326</v>
      </c>
      <c r="B715" s="13">
        <v>45747</v>
      </c>
      <c r="C715">
        <v>2025</v>
      </c>
      <c r="D715">
        <v>3</v>
      </c>
      <c r="E715" t="s">
        <v>3053</v>
      </c>
      <c r="F715" t="s">
        <v>2572</v>
      </c>
      <c r="G715" t="s">
        <v>837</v>
      </c>
      <c r="H715" t="s">
        <v>838</v>
      </c>
      <c r="I715" t="s">
        <v>86</v>
      </c>
      <c r="J715">
        <v>40</v>
      </c>
      <c r="K715" t="s">
        <v>82</v>
      </c>
      <c r="L715" t="s">
        <v>2576</v>
      </c>
      <c r="M715" t="s">
        <v>60</v>
      </c>
      <c r="N715" t="s">
        <v>2606</v>
      </c>
      <c r="O715" t="s">
        <v>120</v>
      </c>
      <c r="P715" t="s">
        <v>49</v>
      </c>
      <c r="Q715" t="s">
        <v>140</v>
      </c>
      <c r="R715">
        <v>1</v>
      </c>
      <c r="S715">
        <v>2799</v>
      </c>
      <c r="T715">
        <v>0</v>
      </c>
      <c r="U715">
        <v>2799</v>
      </c>
      <c r="V715">
        <v>1650</v>
      </c>
      <c r="W715">
        <v>1149</v>
      </c>
      <c r="X715" t="s">
        <v>73</v>
      </c>
      <c r="Y715" t="s">
        <v>68</v>
      </c>
      <c r="Z715" t="s">
        <v>160</v>
      </c>
      <c r="AA715" t="s">
        <v>171</v>
      </c>
      <c r="AB715">
        <v>3</v>
      </c>
      <c r="AC715">
        <v>80</v>
      </c>
      <c r="AD715">
        <v>227.51</v>
      </c>
      <c r="AE715">
        <f t="shared" si="22"/>
        <v>841.49</v>
      </c>
      <c r="AF715" t="str">
        <f t="shared" si="23"/>
        <v>2025-03</v>
      </c>
      <c r="AG715">
        <f>SUBTOTAL(103,A715)</f>
        <v>1</v>
      </c>
    </row>
    <row r="716" spans="1:33" x14ac:dyDescent="0.3">
      <c r="A716" t="s">
        <v>3327</v>
      </c>
      <c r="B716" s="13">
        <v>45748</v>
      </c>
      <c r="C716">
        <v>2025</v>
      </c>
      <c r="D716">
        <v>4</v>
      </c>
      <c r="E716" t="s">
        <v>3328</v>
      </c>
      <c r="F716" t="s">
        <v>3329</v>
      </c>
      <c r="G716" t="s">
        <v>1967</v>
      </c>
      <c r="H716" t="s">
        <v>1968</v>
      </c>
      <c r="I716" t="s">
        <v>85</v>
      </c>
      <c r="J716">
        <v>23</v>
      </c>
      <c r="K716" t="s">
        <v>80</v>
      </c>
      <c r="L716" t="s">
        <v>93</v>
      </c>
      <c r="M716" t="s">
        <v>55</v>
      </c>
      <c r="N716" t="s">
        <v>2657</v>
      </c>
      <c r="O716" t="s">
        <v>134</v>
      </c>
      <c r="P716" t="s">
        <v>49</v>
      </c>
      <c r="Q716" t="s">
        <v>140</v>
      </c>
      <c r="R716">
        <v>2</v>
      </c>
      <c r="S716">
        <v>599</v>
      </c>
      <c r="T716">
        <v>0</v>
      </c>
      <c r="U716">
        <v>1198</v>
      </c>
      <c r="V716">
        <v>500</v>
      </c>
      <c r="W716">
        <v>698</v>
      </c>
      <c r="X716" t="s">
        <v>75</v>
      </c>
      <c r="Y716" t="s">
        <v>69</v>
      </c>
      <c r="Z716" t="s">
        <v>163</v>
      </c>
      <c r="AA716" t="s">
        <v>171</v>
      </c>
      <c r="AB716">
        <v>3.6</v>
      </c>
      <c r="AC716">
        <v>60</v>
      </c>
      <c r="AD716">
        <v>127.21</v>
      </c>
      <c r="AE716">
        <f t="shared" si="22"/>
        <v>510.79</v>
      </c>
      <c r="AF716" t="str">
        <f t="shared" si="23"/>
        <v>2025-04</v>
      </c>
      <c r="AG716">
        <f>SUBTOTAL(103,A716)</f>
        <v>1</v>
      </c>
    </row>
    <row r="717" spans="1:33" x14ac:dyDescent="0.3">
      <c r="A717" t="s">
        <v>3330</v>
      </c>
      <c r="B717" s="13">
        <v>45748</v>
      </c>
      <c r="C717">
        <v>2025</v>
      </c>
      <c r="D717">
        <v>4</v>
      </c>
      <c r="E717" t="s">
        <v>3328</v>
      </c>
      <c r="F717" t="s">
        <v>3329</v>
      </c>
      <c r="G717" t="s">
        <v>1049</v>
      </c>
      <c r="H717" t="s">
        <v>1050</v>
      </c>
      <c r="I717" t="s">
        <v>86</v>
      </c>
      <c r="J717">
        <v>41</v>
      </c>
      <c r="K717" t="s">
        <v>82</v>
      </c>
      <c r="L717" t="s">
        <v>2690</v>
      </c>
      <c r="M717" t="s">
        <v>63</v>
      </c>
      <c r="N717" t="s">
        <v>2603</v>
      </c>
      <c r="O717" t="s">
        <v>122</v>
      </c>
      <c r="P717" t="s">
        <v>48</v>
      </c>
      <c r="Q717" t="s">
        <v>141</v>
      </c>
      <c r="R717">
        <v>2</v>
      </c>
      <c r="S717">
        <v>2499</v>
      </c>
      <c r="T717">
        <v>0.1</v>
      </c>
      <c r="U717">
        <v>4498.2</v>
      </c>
      <c r="V717">
        <v>2900</v>
      </c>
      <c r="W717">
        <v>1598.2</v>
      </c>
      <c r="X717" t="s">
        <v>77</v>
      </c>
      <c r="Y717" t="s">
        <v>68</v>
      </c>
      <c r="Z717" t="s">
        <v>163</v>
      </c>
      <c r="AA717" t="s">
        <v>166</v>
      </c>
      <c r="AB717">
        <v>4.2</v>
      </c>
      <c r="AC717">
        <v>50</v>
      </c>
      <c r="AD717">
        <v>520.33000000000004</v>
      </c>
      <c r="AE717">
        <f t="shared" si="22"/>
        <v>1027.8699999999999</v>
      </c>
      <c r="AF717" t="str">
        <f t="shared" si="23"/>
        <v>2025-04</v>
      </c>
      <c r="AG717">
        <f>SUBTOTAL(103,A717)</f>
        <v>1</v>
      </c>
    </row>
    <row r="718" spans="1:33" x14ac:dyDescent="0.3">
      <c r="A718" t="s">
        <v>3331</v>
      </c>
      <c r="B718" s="13">
        <v>45748</v>
      </c>
      <c r="C718">
        <v>2025</v>
      </c>
      <c r="D718">
        <v>4</v>
      </c>
      <c r="E718" t="s">
        <v>3328</v>
      </c>
      <c r="F718" t="s">
        <v>3329</v>
      </c>
      <c r="G718" t="s">
        <v>775</v>
      </c>
      <c r="H718" t="s">
        <v>776</v>
      </c>
      <c r="I718" t="s">
        <v>86</v>
      </c>
      <c r="J718">
        <v>29</v>
      </c>
      <c r="K718" t="s">
        <v>81</v>
      </c>
      <c r="L718" t="s">
        <v>97</v>
      </c>
      <c r="M718" t="s">
        <v>57</v>
      </c>
      <c r="N718" t="s">
        <v>2657</v>
      </c>
      <c r="O718" t="s">
        <v>134</v>
      </c>
      <c r="P718" t="s">
        <v>49</v>
      </c>
      <c r="Q718" t="s">
        <v>140</v>
      </c>
      <c r="R718">
        <v>1</v>
      </c>
      <c r="S718">
        <v>599</v>
      </c>
      <c r="T718">
        <v>0.15</v>
      </c>
      <c r="U718">
        <v>509.15</v>
      </c>
      <c r="V718">
        <v>250</v>
      </c>
      <c r="W718">
        <v>259.14999999999998</v>
      </c>
      <c r="X718" t="s">
        <v>73</v>
      </c>
      <c r="Y718" t="s">
        <v>68</v>
      </c>
      <c r="Z718" t="s">
        <v>158</v>
      </c>
      <c r="AA718" t="s">
        <v>170</v>
      </c>
      <c r="AB718">
        <v>3.6</v>
      </c>
      <c r="AC718">
        <v>60</v>
      </c>
      <c r="AD718">
        <v>58.35</v>
      </c>
      <c r="AE718">
        <f t="shared" si="22"/>
        <v>140.79999999999998</v>
      </c>
      <c r="AF718" t="str">
        <f t="shared" si="23"/>
        <v>2025-04</v>
      </c>
      <c r="AG718">
        <f>SUBTOTAL(103,A718)</f>
        <v>1</v>
      </c>
    </row>
    <row r="719" spans="1:33" x14ac:dyDescent="0.3">
      <c r="A719" t="s">
        <v>3332</v>
      </c>
      <c r="B719" s="13">
        <v>45748</v>
      </c>
      <c r="C719">
        <v>2025</v>
      </c>
      <c r="D719">
        <v>4</v>
      </c>
      <c r="E719" t="s">
        <v>3328</v>
      </c>
      <c r="F719" t="s">
        <v>3329</v>
      </c>
      <c r="G719" t="s">
        <v>913</v>
      </c>
      <c r="H719" t="s">
        <v>914</v>
      </c>
      <c r="I719" t="s">
        <v>85</v>
      </c>
      <c r="J719">
        <v>46</v>
      </c>
      <c r="K719" t="s">
        <v>83</v>
      </c>
      <c r="L719" t="s">
        <v>2612</v>
      </c>
      <c r="M719" t="s">
        <v>64</v>
      </c>
      <c r="N719" t="s">
        <v>2653</v>
      </c>
      <c r="O719" t="s">
        <v>132</v>
      </c>
      <c r="P719" t="s">
        <v>52</v>
      </c>
      <c r="Q719" t="s">
        <v>150</v>
      </c>
      <c r="R719">
        <v>1</v>
      </c>
      <c r="S719">
        <v>899</v>
      </c>
      <c r="T719">
        <v>0</v>
      </c>
      <c r="U719">
        <v>899</v>
      </c>
      <c r="V719">
        <v>420</v>
      </c>
      <c r="W719">
        <v>479</v>
      </c>
      <c r="X719" t="s">
        <v>74</v>
      </c>
      <c r="Y719" t="s">
        <v>68</v>
      </c>
      <c r="Z719" t="s">
        <v>161</v>
      </c>
      <c r="AA719" t="s">
        <v>167</v>
      </c>
      <c r="AB719">
        <v>5</v>
      </c>
      <c r="AC719">
        <v>100</v>
      </c>
      <c r="AD719">
        <v>54.13</v>
      </c>
      <c r="AE719">
        <f t="shared" si="22"/>
        <v>324.87</v>
      </c>
      <c r="AF719" t="str">
        <f t="shared" si="23"/>
        <v>2025-04</v>
      </c>
      <c r="AG719">
        <f>SUBTOTAL(103,A719)</f>
        <v>1</v>
      </c>
    </row>
    <row r="720" spans="1:33" x14ac:dyDescent="0.3">
      <c r="A720" t="s">
        <v>3333</v>
      </c>
      <c r="B720" s="13">
        <v>45748</v>
      </c>
      <c r="C720">
        <v>2025</v>
      </c>
      <c r="D720">
        <v>4</v>
      </c>
      <c r="E720" t="s">
        <v>3328</v>
      </c>
      <c r="F720" t="s">
        <v>3329</v>
      </c>
      <c r="G720" t="s">
        <v>599</v>
      </c>
      <c r="H720" t="s">
        <v>600</v>
      </c>
      <c r="I720" t="s">
        <v>86</v>
      </c>
      <c r="J720">
        <v>20</v>
      </c>
      <c r="K720" t="s">
        <v>80</v>
      </c>
      <c r="L720" t="s">
        <v>2674</v>
      </c>
      <c r="M720" t="s">
        <v>58</v>
      </c>
      <c r="N720" t="s">
        <v>2596</v>
      </c>
      <c r="O720" t="s">
        <v>124</v>
      </c>
      <c r="P720" t="s">
        <v>51</v>
      </c>
      <c r="Q720" t="s">
        <v>147</v>
      </c>
      <c r="R720">
        <v>2</v>
      </c>
      <c r="S720">
        <v>2299</v>
      </c>
      <c r="T720">
        <v>0.1</v>
      </c>
      <c r="U720">
        <v>4138.2</v>
      </c>
      <c r="V720">
        <v>2400</v>
      </c>
      <c r="W720">
        <v>1738.2</v>
      </c>
      <c r="X720" t="s">
        <v>73</v>
      </c>
      <c r="Y720" t="s">
        <v>68</v>
      </c>
      <c r="Z720" t="s">
        <v>159</v>
      </c>
      <c r="AA720" t="s">
        <v>171</v>
      </c>
      <c r="AB720">
        <v>4.2</v>
      </c>
      <c r="AC720">
        <v>80</v>
      </c>
      <c r="AD720">
        <v>479.13</v>
      </c>
      <c r="AE720">
        <f t="shared" si="22"/>
        <v>1179.0700000000002</v>
      </c>
      <c r="AF720" t="str">
        <f t="shared" si="23"/>
        <v>2025-04</v>
      </c>
      <c r="AG720">
        <f>SUBTOTAL(103,A720)</f>
        <v>1</v>
      </c>
    </row>
    <row r="721" spans="1:33" x14ac:dyDescent="0.3">
      <c r="A721" t="s">
        <v>3334</v>
      </c>
      <c r="B721" s="13">
        <v>45748</v>
      </c>
      <c r="C721">
        <v>2025</v>
      </c>
      <c r="D721">
        <v>4</v>
      </c>
      <c r="E721" t="s">
        <v>3328</v>
      </c>
      <c r="F721" t="s">
        <v>3329</v>
      </c>
      <c r="G721" t="s">
        <v>677</v>
      </c>
      <c r="H721" t="s">
        <v>678</v>
      </c>
      <c r="I721" t="s">
        <v>86</v>
      </c>
      <c r="J721">
        <v>59</v>
      </c>
      <c r="K721" t="s">
        <v>83</v>
      </c>
      <c r="L721" t="s">
        <v>92</v>
      </c>
      <c r="M721" t="s">
        <v>59</v>
      </c>
      <c r="N721" t="s">
        <v>2647</v>
      </c>
      <c r="O721" t="s">
        <v>133</v>
      </c>
      <c r="P721" t="s">
        <v>50</v>
      </c>
      <c r="Q721" t="s">
        <v>145</v>
      </c>
      <c r="R721">
        <v>4</v>
      </c>
      <c r="S721">
        <v>799</v>
      </c>
      <c r="T721">
        <v>0.15</v>
      </c>
      <c r="U721">
        <v>2716.6</v>
      </c>
      <c r="V721">
        <v>1560</v>
      </c>
      <c r="W721">
        <v>1156.5999999999999</v>
      </c>
      <c r="X721" t="s">
        <v>73</v>
      </c>
      <c r="Y721" t="s">
        <v>68</v>
      </c>
      <c r="Z721" t="s">
        <v>160</v>
      </c>
      <c r="AA721" t="s">
        <v>170</v>
      </c>
      <c r="AB721">
        <v>3.8</v>
      </c>
      <c r="AC721">
        <v>100</v>
      </c>
      <c r="AD721">
        <v>176</v>
      </c>
      <c r="AE721">
        <f t="shared" si="22"/>
        <v>880.59999999999991</v>
      </c>
      <c r="AF721" t="str">
        <f t="shared" si="23"/>
        <v>2025-04</v>
      </c>
      <c r="AG721">
        <f>SUBTOTAL(103,A721)</f>
        <v>1</v>
      </c>
    </row>
    <row r="722" spans="1:33" x14ac:dyDescent="0.3">
      <c r="A722" t="s">
        <v>3335</v>
      </c>
      <c r="B722" s="13">
        <v>45749</v>
      </c>
      <c r="C722">
        <v>2025</v>
      </c>
      <c r="D722">
        <v>4</v>
      </c>
      <c r="E722" t="s">
        <v>3328</v>
      </c>
      <c r="F722" t="s">
        <v>3329</v>
      </c>
      <c r="G722" t="s">
        <v>2377</v>
      </c>
      <c r="H722" t="s">
        <v>2378</v>
      </c>
      <c r="I722" t="s">
        <v>85</v>
      </c>
      <c r="J722">
        <v>33</v>
      </c>
      <c r="K722" t="s">
        <v>81</v>
      </c>
      <c r="L722" t="s">
        <v>2616</v>
      </c>
      <c r="M722" t="s">
        <v>62</v>
      </c>
      <c r="N722" t="s">
        <v>2574</v>
      </c>
      <c r="O722" t="s">
        <v>130</v>
      </c>
      <c r="P722" t="s">
        <v>50</v>
      </c>
      <c r="Q722" t="s">
        <v>53</v>
      </c>
      <c r="R722">
        <v>1</v>
      </c>
      <c r="S722">
        <v>1199</v>
      </c>
      <c r="T722">
        <v>0.15</v>
      </c>
      <c r="U722">
        <v>0</v>
      </c>
      <c r="V722">
        <v>0</v>
      </c>
      <c r="W722">
        <v>0</v>
      </c>
      <c r="X722" t="s">
        <v>73</v>
      </c>
      <c r="Y722" t="s">
        <v>71</v>
      </c>
      <c r="Z722" t="s">
        <v>161</v>
      </c>
      <c r="AA722" t="s">
        <v>166</v>
      </c>
      <c r="AB722">
        <v>4.9000000000000004</v>
      </c>
      <c r="AC722">
        <v>100</v>
      </c>
      <c r="AD722">
        <v>99.04</v>
      </c>
      <c r="AE722">
        <f t="shared" si="22"/>
        <v>-199.04000000000002</v>
      </c>
      <c r="AF722" t="str">
        <f t="shared" si="23"/>
        <v>2025-04</v>
      </c>
      <c r="AG722">
        <f>SUBTOTAL(103,A722)</f>
        <v>1</v>
      </c>
    </row>
    <row r="723" spans="1:33" x14ac:dyDescent="0.3">
      <c r="A723" t="s">
        <v>3336</v>
      </c>
      <c r="B723" s="13">
        <v>45749</v>
      </c>
      <c r="C723">
        <v>2025</v>
      </c>
      <c r="D723">
        <v>4</v>
      </c>
      <c r="E723" t="s">
        <v>3328</v>
      </c>
      <c r="F723" t="s">
        <v>3329</v>
      </c>
      <c r="G723" t="s">
        <v>1983</v>
      </c>
      <c r="H723" t="s">
        <v>1984</v>
      </c>
      <c r="I723" t="s">
        <v>86</v>
      </c>
      <c r="J723">
        <v>39</v>
      </c>
      <c r="K723" t="s">
        <v>82</v>
      </c>
      <c r="L723" t="s">
        <v>2687</v>
      </c>
      <c r="M723" t="s">
        <v>57</v>
      </c>
      <c r="N723" t="s">
        <v>2574</v>
      </c>
      <c r="O723" t="s">
        <v>130</v>
      </c>
      <c r="P723" t="s">
        <v>50</v>
      </c>
      <c r="Q723" t="s">
        <v>53</v>
      </c>
      <c r="R723">
        <v>4</v>
      </c>
      <c r="S723">
        <v>1199</v>
      </c>
      <c r="T723">
        <v>0.1</v>
      </c>
      <c r="U723">
        <v>4316.3999999999996</v>
      </c>
      <c r="V723">
        <v>2200</v>
      </c>
      <c r="W723">
        <v>2116.4</v>
      </c>
      <c r="X723" t="s">
        <v>73</v>
      </c>
      <c r="Y723" t="s">
        <v>68</v>
      </c>
      <c r="Z723" t="s">
        <v>158</v>
      </c>
      <c r="AA723" t="s">
        <v>169</v>
      </c>
      <c r="AB723">
        <v>3.5</v>
      </c>
      <c r="AC723">
        <v>100</v>
      </c>
      <c r="AD723">
        <v>332.53</v>
      </c>
      <c r="AE723">
        <f t="shared" si="22"/>
        <v>1683.8700000000001</v>
      </c>
      <c r="AF723" t="str">
        <f t="shared" si="23"/>
        <v>2025-04</v>
      </c>
      <c r="AG723">
        <f>SUBTOTAL(103,A723)</f>
        <v>1</v>
      </c>
    </row>
    <row r="724" spans="1:33" x14ac:dyDescent="0.3">
      <c r="A724" t="s">
        <v>3337</v>
      </c>
      <c r="B724" s="13">
        <v>45749</v>
      </c>
      <c r="C724">
        <v>2025</v>
      </c>
      <c r="D724">
        <v>4</v>
      </c>
      <c r="E724" t="s">
        <v>3328</v>
      </c>
      <c r="F724" t="s">
        <v>3329</v>
      </c>
      <c r="G724" t="s">
        <v>721</v>
      </c>
      <c r="H724" t="s">
        <v>722</v>
      </c>
      <c r="I724" t="s">
        <v>85</v>
      </c>
      <c r="J724">
        <v>37</v>
      </c>
      <c r="K724" t="s">
        <v>82</v>
      </c>
      <c r="L724" t="s">
        <v>94</v>
      </c>
      <c r="M724" t="s">
        <v>57</v>
      </c>
      <c r="N724" t="s">
        <v>2594</v>
      </c>
      <c r="O724" t="s">
        <v>131</v>
      </c>
      <c r="P724" t="s">
        <v>53</v>
      </c>
      <c r="Q724" t="s">
        <v>143</v>
      </c>
      <c r="R724">
        <v>3</v>
      </c>
      <c r="S724">
        <v>999</v>
      </c>
      <c r="T724">
        <v>0.1</v>
      </c>
      <c r="U724">
        <v>2697.3</v>
      </c>
      <c r="V724">
        <v>1560</v>
      </c>
      <c r="W724">
        <v>1137.3</v>
      </c>
      <c r="X724" t="s">
        <v>73</v>
      </c>
      <c r="Y724" t="s">
        <v>68</v>
      </c>
      <c r="Z724" t="s">
        <v>159</v>
      </c>
      <c r="AA724" t="s">
        <v>167</v>
      </c>
      <c r="AB724">
        <v>4.7</v>
      </c>
      <c r="AC724">
        <v>80</v>
      </c>
      <c r="AD724">
        <v>204.99</v>
      </c>
      <c r="AE724">
        <f t="shared" si="22"/>
        <v>852.31</v>
      </c>
      <c r="AF724" t="str">
        <f t="shared" si="23"/>
        <v>2025-04</v>
      </c>
      <c r="AG724">
        <f>SUBTOTAL(103,A724)</f>
        <v>1</v>
      </c>
    </row>
    <row r="725" spans="1:33" x14ac:dyDescent="0.3">
      <c r="A725" t="s">
        <v>3338</v>
      </c>
      <c r="B725" s="13">
        <v>45749</v>
      </c>
      <c r="C725">
        <v>2025</v>
      </c>
      <c r="D725">
        <v>4</v>
      </c>
      <c r="E725" t="s">
        <v>3328</v>
      </c>
      <c r="F725" t="s">
        <v>3329</v>
      </c>
      <c r="G725" t="s">
        <v>2073</v>
      </c>
      <c r="H725" t="s">
        <v>2074</v>
      </c>
      <c r="I725" t="s">
        <v>85</v>
      </c>
      <c r="J725">
        <v>34</v>
      </c>
      <c r="K725" t="s">
        <v>81</v>
      </c>
      <c r="L725" t="s">
        <v>2610</v>
      </c>
      <c r="M725" t="s">
        <v>64</v>
      </c>
      <c r="N725" t="s">
        <v>2606</v>
      </c>
      <c r="O725" t="s">
        <v>120</v>
      </c>
      <c r="P725" t="s">
        <v>49</v>
      </c>
      <c r="Q725" t="s">
        <v>140</v>
      </c>
      <c r="R725">
        <v>2</v>
      </c>
      <c r="S725">
        <v>2799</v>
      </c>
      <c r="T725">
        <v>0</v>
      </c>
      <c r="U725">
        <v>5598</v>
      </c>
      <c r="V725">
        <v>3300</v>
      </c>
      <c r="W725">
        <v>2298</v>
      </c>
      <c r="X725" t="s">
        <v>73</v>
      </c>
      <c r="Y725" t="s">
        <v>68</v>
      </c>
      <c r="Z725" t="s">
        <v>161</v>
      </c>
      <c r="AA725" t="s">
        <v>169</v>
      </c>
      <c r="AB725">
        <v>4.5999999999999996</v>
      </c>
      <c r="AC725">
        <v>120</v>
      </c>
      <c r="AD725">
        <v>218.33</v>
      </c>
      <c r="AE725">
        <f t="shared" si="22"/>
        <v>1959.67</v>
      </c>
      <c r="AF725" t="str">
        <f t="shared" si="23"/>
        <v>2025-04</v>
      </c>
      <c r="AG725">
        <f>SUBTOTAL(103,A725)</f>
        <v>1</v>
      </c>
    </row>
    <row r="726" spans="1:33" x14ac:dyDescent="0.3">
      <c r="A726" t="s">
        <v>3339</v>
      </c>
      <c r="B726" s="13">
        <v>45749</v>
      </c>
      <c r="C726">
        <v>2025</v>
      </c>
      <c r="D726">
        <v>4</v>
      </c>
      <c r="E726" t="s">
        <v>3328</v>
      </c>
      <c r="F726" t="s">
        <v>3329</v>
      </c>
      <c r="G726" t="s">
        <v>365</v>
      </c>
      <c r="H726" t="s">
        <v>366</v>
      </c>
      <c r="I726" t="s">
        <v>86</v>
      </c>
      <c r="J726">
        <v>22</v>
      </c>
      <c r="K726" t="s">
        <v>80</v>
      </c>
      <c r="L726" t="s">
        <v>91</v>
      </c>
      <c r="M726" t="s">
        <v>55</v>
      </c>
      <c r="N726" t="s">
        <v>2587</v>
      </c>
      <c r="O726" t="s">
        <v>116</v>
      </c>
      <c r="P726" t="s">
        <v>48</v>
      </c>
      <c r="Q726" t="s">
        <v>138</v>
      </c>
      <c r="R726">
        <v>3</v>
      </c>
      <c r="S726">
        <v>14999</v>
      </c>
      <c r="T726">
        <v>0.2</v>
      </c>
      <c r="U726">
        <v>35997.599999999999</v>
      </c>
      <c r="V726">
        <v>33600</v>
      </c>
      <c r="W726">
        <v>2397.6</v>
      </c>
      <c r="X726" t="s">
        <v>73</v>
      </c>
      <c r="Y726" t="s">
        <v>68</v>
      </c>
      <c r="Z726" t="s">
        <v>163</v>
      </c>
      <c r="AA726" t="s">
        <v>168</v>
      </c>
      <c r="AB726">
        <v>4</v>
      </c>
      <c r="AC726">
        <v>60</v>
      </c>
      <c r="AD726">
        <v>2321.0100000000002</v>
      </c>
      <c r="AE726">
        <f t="shared" si="22"/>
        <v>16.589999999999691</v>
      </c>
      <c r="AF726" t="str">
        <f t="shared" si="23"/>
        <v>2025-04</v>
      </c>
      <c r="AG726">
        <f>SUBTOTAL(103,A726)</f>
        <v>1</v>
      </c>
    </row>
    <row r="727" spans="1:33" x14ac:dyDescent="0.3">
      <c r="A727" t="s">
        <v>3340</v>
      </c>
      <c r="B727" s="13">
        <v>45749</v>
      </c>
      <c r="C727">
        <v>2025</v>
      </c>
      <c r="D727">
        <v>4</v>
      </c>
      <c r="E727" t="s">
        <v>3328</v>
      </c>
      <c r="F727" t="s">
        <v>3329</v>
      </c>
      <c r="G727" t="s">
        <v>435</v>
      </c>
      <c r="H727" t="s">
        <v>436</v>
      </c>
      <c r="I727" t="s">
        <v>86</v>
      </c>
      <c r="J727">
        <v>20</v>
      </c>
      <c r="K727" t="s">
        <v>80</v>
      </c>
      <c r="L727" t="s">
        <v>90</v>
      </c>
      <c r="M727" t="s">
        <v>55</v>
      </c>
      <c r="N727" t="s">
        <v>2606</v>
      </c>
      <c r="O727" t="s">
        <v>120</v>
      </c>
      <c r="P727" t="s">
        <v>49</v>
      </c>
      <c r="Q727" t="s">
        <v>140</v>
      </c>
      <c r="R727">
        <v>1</v>
      </c>
      <c r="S727">
        <v>2799</v>
      </c>
      <c r="T727">
        <v>0.25</v>
      </c>
      <c r="U727">
        <v>2099.25</v>
      </c>
      <c r="V727">
        <v>1650</v>
      </c>
      <c r="W727">
        <v>449.25</v>
      </c>
      <c r="X727" t="s">
        <v>74</v>
      </c>
      <c r="Y727" t="s">
        <v>68</v>
      </c>
      <c r="Z727" t="s">
        <v>159</v>
      </c>
      <c r="AA727" t="s">
        <v>167</v>
      </c>
      <c r="AB727">
        <v>4.0999999999999996</v>
      </c>
      <c r="AC727">
        <v>60</v>
      </c>
      <c r="AD727">
        <v>211.96</v>
      </c>
      <c r="AE727">
        <f t="shared" si="22"/>
        <v>177.29</v>
      </c>
      <c r="AF727" t="str">
        <f t="shared" si="23"/>
        <v>2025-04</v>
      </c>
      <c r="AG727">
        <f>SUBTOTAL(103,A727)</f>
        <v>1</v>
      </c>
    </row>
    <row r="728" spans="1:33" x14ac:dyDescent="0.3">
      <c r="A728" t="s">
        <v>3341</v>
      </c>
      <c r="B728" s="13">
        <v>45749</v>
      </c>
      <c r="C728">
        <v>2025</v>
      </c>
      <c r="D728">
        <v>4</v>
      </c>
      <c r="E728" t="s">
        <v>3328</v>
      </c>
      <c r="F728" t="s">
        <v>3329</v>
      </c>
      <c r="G728" t="s">
        <v>393</v>
      </c>
      <c r="H728" t="s">
        <v>394</v>
      </c>
      <c r="I728" t="s">
        <v>85</v>
      </c>
      <c r="J728">
        <v>33</v>
      </c>
      <c r="K728" t="s">
        <v>81</v>
      </c>
      <c r="L728" t="s">
        <v>99</v>
      </c>
      <c r="M728" t="s">
        <v>58</v>
      </c>
      <c r="N728" t="s">
        <v>2587</v>
      </c>
      <c r="O728" t="s">
        <v>116</v>
      </c>
      <c r="P728" t="s">
        <v>48</v>
      </c>
      <c r="Q728" t="s">
        <v>138</v>
      </c>
      <c r="R728">
        <v>1</v>
      </c>
      <c r="S728">
        <v>14999</v>
      </c>
      <c r="T728">
        <v>0</v>
      </c>
      <c r="U728">
        <v>14999</v>
      </c>
      <c r="V728">
        <v>11200</v>
      </c>
      <c r="W728">
        <v>3799</v>
      </c>
      <c r="X728" t="s">
        <v>73</v>
      </c>
      <c r="Y728" t="s">
        <v>68</v>
      </c>
      <c r="Z728" t="s">
        <v>159</v>
      </c>
      <c r="AA728" t="s">
        <v>167</v>
      </c>
      <c r="AB728">
        <v>3.9</v>
      </c>
      <c r="AC728">
        <v>40</v>
      </c>
      <c r="AD728">
        <v>1381.23</v>
      </c>
      <c r="AE728">
        <f t="shared" si="22"/>
        <v>2377.77</v>
      </c>
      <c r="AF728" t="str">
        <f t="shared" si="23"/>
        <v>2025-04</v>
      </c>
      <c r="AG728">
        <f>SUBTOTAL(103,A728)</f>
        <v>1</v>
      </c>
    </row>
    <row r="729" spans="1:33" x14ac:dyDescent="0.3">
      <c r="A729" t="s">
        <v>3342</v>
      </c>
      <c r="B729" s="13">
        <v>45749</v>
      </c>
      <c r="C729">
        <v>2025</v>
      </c>
      <c r="D729">
        <v>4</v>
      </c>
      <c r="E729" t="s">
        <v>3328</v>
      </c>
      <c r="F729" t="s">
        <v>3329</v>
      </c>
      <c r="G729" t="s">
        <v>2253</v>
      </c>
      <c r="H729" t="s">
        <v>2254</v>
      </c>
      <c r="I729" t="s">
        <v>85</v>
      </c>
      <c r="J729">
        <v>38</v>
      </c>
      <c r="K729" t="s">
        <v>82</v>
      </c>
      <c r="L729" t="s">
        <v>99</v>
      </c>
      <c r="M729" t="s">
        <v>58</v>
      </c>
      <c r="N729" t="s">
        <v>2574</v>
      </c>
      <c r="O729" t="s">
        <v>130</v>
      </c>
      <c r="P729" t="s">
        <v>50</v>
      </c>
      <c r="Q729" t="s">
        <v>53</v>
      </c>
      <c r="R729">
        <v>1</v>
      </c>
      <c r="S729">
        <v>1199</v>
      </c>
      <c r="T729">
        <v>0.1</v>
      </c>
      <c r="U729">
        <v>1079.0999999999999</v>
      </c>
      <c r="V729">
        <v>550</v>
      </c>
      <c r="W729">
        <v>529.1</v>
      </c>
      <c r="X729" t="s">
        <v>73</v>
      </c>
      <c r="Y729" t="s">
        <v>68</v>
      </c>
      <c r="Z729" t="s">
        <v>162</v>
      </c>
      <c r="AA729" t="s">
        <v>169</v>
      </c>
      <c r="AB729">
        <v>4.4000000000000004</v>
      </c>
      <c r="AC729">
        <v>60</v>
      </c>
      <c r="AD729">
        <v>104.26</v>
      </c>
      <c r="AE729">
        <f t="shared" si="22"/>
        <v>364.84000000000003</v>
      </c>
      <c r="AF729" t="str">
        <f t="shared" si="23"/>
        <v>2025-04</v>
      </c>
      <c r="AG729">
        <f>SUBTOTAL(103,A729)</f>
        <v>1</v>
      </c>
    </row>
    <row r="730" spans="1:33" x14ac:dyDescent="0.3">
      <c r="A730" t="s">
        <v>3343</v>
      </c>
      <c r="B730" s="13">
        <v>45749</v>
      </c>
      <c r="C730">
        <v>2025</v>
      </c>
      <c r="D730">
        <v>4</v>
      </c>
      <c r="E730" t="s">
        <v>3328</v>
      </c>
      <c r="F730" t="s">
        <v>3329</v>
      </c>
      <c r="G730" t="s">
        <v>1493</v>
      </c>
      <c r="H730" t="s">
        <v>1494</v>
      </c>
      <c r="I730" t="s">
        <v>86</v>
      </c>
      <c r="J730">
        <v>34</v>
      </c>
      <c r="K730" t="s">
        <v>81</v>
      </c>
      <c r="L730" t="s">
        <v>2589</v>
      </c>
      <c r="M730" t="s">
        <v>61</v>
      </c>
      <c r="N730" t="s">
        <v>2647</v>
      </c>
      <c r="O730" t="s">
        <v>133</v>
      </c>
      <c r="P730" t="s">
        <v>50</v>
      </c>
      <c r="Q730" t="s">
        <v>145</v>
      </c>
      <c r="R730">
        <v>3</v>
      </c>
      <c r="S730">
        <v>799</v>
      </c>
      <c r="T730">
        <v>0</v>
      </c>
      <c r="U730">
        <v>2397</v>
      </c>
      <c r="V730">
        <v>1170</v>
      </c>
      <c r="W730">
        <v>1227</v>
      </c>
      <c r="X730" t="s">
        <v>76</v>
      </c>
      <c r="Y730" t="s">
        <v>68</v>
      </c>
      <c r="Z730" t="s">
        <v>159</v>
      </c>
      <c r="AA730" t="s">
        <v>170</v>
      </c>
      <c r="AB730">
        <v>3.1</v>
      </c>
      <c r="AC730">
        <v>60</v>
      </c>
      <c r="AD730">
        <v>61.18</v>
      </c>
      <c r="AE730">
        <f t="shared" si="22"/>
        <v>1105.82</v>
      </c>
      <c r="AF730" t="str">
        <f t="shared" si="23"/>
        <v>2025-04</v>
      </c>
      <c r="AG730">
        <f>SUBTOTAL(103,A730)</f>
        <v>1</v>
      </c>
    </row>
    <row r="731" spans="1:33" x14ac:dyDescent="0.3">
      <c r="A731" t="s">
        <v>3344</v>
      </c>
      <c r="B731" s="13">
        <v>45750</v>
      </c>
      <c r="C731">
        <v>2025</v>
      </c>
      <c r="D731">
        <v>4</v>
      </c>
      <c r="E731" t="s">
        <v>3328</v>
      </c>
      <c r="F731" t="s">
        <v>3329</v>
      </c>
      <c r="G731" t="s">
        <v>743</v>
      </c>
      <c r="H731" t="s">
        <v>744</v>
      </c>
      <c r="I731" t="s">
        <v>86</v>
      </c>
      <c r="J731">
        <v>41</v>
      </c>
      <c r="K731" t="s">
        <v>82</v>
      </c>
      <c r="L731" t="s">
        <v>95</v>
      </c>
      <c r="M731" t="s">
        <v>56</v>
      </c>
      <c r="N731" t="s">
        <v>2601</v>
      </c>
      <c r="O731" t="s">
        <v>117</v>
      </c>
      <c r="P731" t="s">
        <v>49</v>
      </c>
      <c r="Q731" t="s">
        <v>139</v>
      </c>
      <c r="R731">
        <v>4</v>
      </c>
      <c r="S731">
        <v>6999</v>
      </c>
      <c r="T731">
        <v>0.15</v>
      </c>
      <c r="U731">
        <v>0</v>
      </c>
      <c r="V731">
        <v>0</v>
      </c>
      <c r="W731">
        <v>0</v>
      </c>
      <c r="X731" t="s">
        <v>76</v>
      </c>
      <c r="Y731" t="s">
        <v>71</v>
      </c>
      <c r="Z731" t="s">
        <v>163</v>
      </c>
      <c r="AA731" t="s">
        <v>170</v>
      </c>
      <c r="AB731">
        <v>4.9000000000000004</v>
      </c>
      <c r="AC731">
        <v>120</v>
      </c>
      <c r="AD731">
        <v>1062.5899999999999</v>
      </c>
      <c r="AE731">
        <f t="shared" si="22"/>
        <v>-1182.5899999999999</v>
      </c>
      <c r="AF731" t="str">
        <f t="shared" si="23"/>
        <v>2025-04</v>
      </c>
      <c r="AG731">
        <f>SUBTOTAL(103,A731)</f>
        <v>1</v>
      </c>
    </row>
    <row r="732" spans="1:33" x14ac:dyDescent="0.3">
      <c r="A732" t="s">
        <v>3345</v>
      </c>
      <c r="B732" s="13">
        <v>45750</v>
      </c>
      <c r="C732">
        <v>2025</v>
      </c>
      <c r="D732">
        <v>4</v>
      </c>
      <c r="E732" t="s">
        <v>3328</v>
      </c>
      <c r="F732" t="s">
        <v>3329</v>
      </c>
      <c r="G732" t="s">
        <v>1105</v>
      </c>
      <c r="H732" t="s">
        <v>1106</v>
      </c>
      <c r="I732" t="s">
        <v>85</v>
      </c>
      <c r="J732">
        <v>49</v>
      </c>
      <c r="K732" t="s">
        <v>83</v>
      </c>
      <c r="L732" t="s">
        <v>2616</v>
      </c>
      <c r="M732" t="s">
        <v>62</v>
      </c>
      <c r="N732" t="s">
        <v>2580</v>
      </c>
      <c r="O732" t="s">
        <v>118</v>
      </c>
      <c r="P732" t="s">
        <v>48</v>
      </c>
      <c r="Q732" t="s">
        <v>142</v>
      </c>
      <c r="R732">
        <v>1</v>
      </c>
      <c r="S732">
        <v>3999</v>
      </c>
      <c r="T732">
        <v>0.05</v>
      </c>
      <c r="U732">
        <v>3799.05</v>
      </c>
      <c r="V732">
        <v>2400</v>
      </c>
      <c r="W732">
        <v>1399.05</v>
      </c>
      <c r="X732" t="s">
        <v>74</v>
      </c>
      <c r="Y732" t="s">
        <v>70</v>
      </c>
      <c r="Z732" t="s">
        <v>159</v>
      </c>
      <c r="AA732" t="s">
        <v>166</v>
      </c>
      <c r="AB732">
        <v>3</v>
      </c>
      <c r="AC732">
        <v>50</v>
      </c>
      <c r="AD732">
        <v>91.57</v>
      </c>
      <c r="AE732">
        <f t="shared" si="22"/>
        <v>1257.48</v>
      </c>
      <c r="AF732" t="str">
        <f t="shared" si="23"/>
        <v>2025-04</v>
      </c>
      <c r="AG732">
        <f>SUBTOTAL(103,A732)</f>
        <v>1</v>
      </c>
    </row>
    <row r="733" spans="1:33" x14ac:dyDescent="0.3">
      <c r="A733" t="s">
        <v>3346</v>
      </c>
      <c r="B733" s="13">
        <v>45750</v>
      </c>
      <c r="C733">
        <v>2025</v>
      </c>
      <c r="D733">
        <v>4</v>
      </c>
      <c r="E733" t="s">
        <v>3328</v>
      </c>
      <c r="F733" t="s">
        <v>3329</v>
      </c>
      <c r="G733" t="s">
        <v>1049</v>
      </c>
      <c r="H733" t="s">
        <v>1050</v>
      </c>
      <c r="I733" t="s">
        <v>86</v>
      </c>
      <c r="J733">
        <v>41</v>
      </c>
      <c r="K733" t="s">
        <v>82</v>
      </c>
      <c r="L733" t="s">
        <v>2690</v>
      </c>
      <c r="M733" t="s">
        <v>63</v>
      </c>
      <c r="N733" t="s">
        <v>2657</v>
      </c>
      <c r="O733" t="s">
        <v>134</v>
      </c>
      <c r="P733" t="s">
        <v>49</v>
      </c>
      <c r="Q733" t="s">
        <v>140</v>
      </c>
      <c r="R733">
        <v>5</v>
      </c>
      <c r="S733">
        <v>599</v>
      </c>
      <c r="T733">
        <v>0.05</v>
      </c>
      <c r="U733">
        <v>2845.25</v>
      </c>
      <c r="V733">
        <v>1250</v>
      </c>
      <c r="W733">
        <v>1595.25</v>
      </c>
      <c r="X733" t="s">
        <v>74</v>
      </c>
      <c r="Y733" t="s">
        <v>68</v>
      </c>
      <c r="Z733" t="s">
        <v>158</v>
      </c>
      <c r="AA733" t="s">
        <v>168</v>
      </c>
      <c r="AB733">
        <v>3.5</v>
      </c>
      <c r="AC733">
        <v>100</v>
      </c>
      <c r="AD733">
        <v>118.56</v>
      </c>
      <c r="AE733">
        <f t="shared" si="22"/>
        <v>1376.69</v>
      </c>
      <c r="AF733" t="str">
        <f t="shared" si="23"/>
        <v>2025-04</v>
      </c>
      <c r="AG733">
        <f>SUBTOTAL(103,A733)</f>
        <v>1</v>
      </c>
    </row>
    <row r="734" spans="1:33" x14ac:dyDescent="0.3">
      <c r="A734" t="s">
        <v>3347</v>
      </c>
      <c r="B734" s="13">
        <v>45750</v>
      </c>
      <c r="C734">
        <v>2025</v>
      </c>
      <c r="D734">
        <v>4</v>
      </c>
      <c r="E734" t="s">
        <v>3328</v>
      </c>
      <c r="F734" t="s">
        <v>3329</v>
      </c>
      <c r="G734" t="s">
        <v>2141</v>
      </c>
      <c r="H734" t="s">
        <v>2142</v>
      </c>
      <c r="I734" t="s">
        <v>85</v>
      </c>
      <c r="J734">
        <v>40</v>
      </c>
      <c r="K734" t="s">
        <v>82</v>
      </c>
      <c r="L734" t="s">
        <v>2646</v>
      </c>
      <c r="M734" t="s">
        <v>63</v>
      </c>
      <c r="N734" t="s">
        <v>2665</v>
      </c>
      <c r="O734" t="s">
        <v>128</v>
      </c>
      <c r="P734" t="s">
        <v>53</v>
      </c>
      <c r="Q734" t="s">
        <v>143</v>
      </c>
      <c r="R734">
        <v>3</v>
      </c>
      <c r="S734">
        <v>1499</v>
      </c>
      <c r="T734">
        <v>0.15</v>
      </c>
      <c r="U734">
        <v>3822.45</v>
      </c>
      <c r="V734">
        <v>2400</v>
      </c>
      <c r="W734">
        <v>1422.45</v>
      </c>
      <c r="X734" t="s">
        <v>73</v>
      </c>
      <c r="Y734" t="s">
        <v>68</v>
      </c>
      <c r="Z734" t="s">
        <v>162</v>
      </c>
      <c r="AA734" t="s">
        <v>168</v>
      </c>
      <c r="AB734">
        <v>3.1</v>
      </c>
      <c r="AC734">
        <v>50</v>
      </c>
      <c r="AD734">
        <v>409.3</v>
      </c>
      <c r="AE734">
        <f t="shared" si="22"/>
        <v>963.15000000000009</v>
      </c>
      <c r="AF734" t="str">
        <f t="shared" si="23"/>
        <v>2025-04</v>
      </c>
      <c r="AG734">
        <f>SUBTOTAL(103,A734)</f>
        <v>1</v>
      </c>
    </row>
    <row r="735" spans="1:33" x14ac:dyDescent="0.3">
      <c r="A735" t="s">
        <v>3348</v>
      </c>
      <c r="B735" s="13">
        <v>45750</v>
      </c>
      <c r="C735">
        <v>2025</v>
      </c>
      <c r="D735">
        <v>4</v>
      </c>
      <c r="E735" t="s">
        <v>3328</v>
      </c>
      <c r="F735" t="s">
        <v>3329</v>
      </c>
      <c r="G735" t="s">
        <v>495</v>
      </c>
      <c r="H735" t="s">
        <v>496</v>
      </c>
      <c r="I735" t="s">
        <v>85</v>
      </c>
      <c r="J735">
        <v>19</v>
      </c>
      <c r="K735" t="s">
        <v>80</v>
      </c>
      <c r="L735" t="s">
        <v>2579</v>
      </c>
      <c r="M735" t="s">
        <v>56</v>
      </c>
      <c r="N735" t="s">
        <v>2582</v>
      </c>
      <c r="O735" t="s">
        <v>119</v>
      </c>
      <c r="P735" t="s">
        <v>49</v>
      </c>
      <c r="Q735" t="s">
        <v>140</v>
      </c>
      <c r="R735">
        <v>3</v>
      </c>
      <c r="S735">
        <v>3499</v>
      </c>
      <c r="T735">
        <v>0.25</v>
      </c>
      <c r="U735">
        <v>7872.75</v>
      </c>
      <c r="V735">
        <v>6300</v>
      </c>
      <c r="W735">
        <v>1572.75</v>
      </c>
      <c r="X735" t="s">
        <v>74</v>
      </c>
      <c r="Y735" t="s">
        <v>68</v>
      </c>
      <c r="Z735" t="s">
        <v>159</v>
      </c>
      <c r="AA735" t="s">
        <v>167</v>
      </c>
      <c r="AB735">
        <v>5</v>
      </c>
      <c r="AC735">
        <v>60</v>
      </c>
      <c r="AD735">
        <v>652.95000000000005</v>
      </c>
      <c r="AE735">
        <f t="shared" si="22"/>
        <v>859.8</v>
      </c>
      <c r="AF735" t="str">
        <f t="shared" si="23"/>
        <v>2025-04</v>
      </c>
      <c r="AG735">
        <f>SUBTOTAL(103,A735)</f>
        <v>1</v>
      </c>
    </row>
    <row r="736" spans="1:33" x14ac:dyDescent="0.3">
      <c r="A736" t="s">
        <v>3349</v>
      </c>
      <c r="B736" s="13">
        <v>45750</v>
      </c>
      <c r="C736">
        <v>2025</v>
      </c>
      <c r="D736">
        <v>4</v>
      </c>
      <c r="E736" t="s">
        <v>3328</v>
      </c>
      <c r="F736" t="s">
        <v>3329</v>
      </c>
      <c r="G736" t="s">
        <v>1205</v>
      </c>
      <c r="H736" t="s">
        <v>1206</v>
      </c>
      <c r="I736" t="s">
        <v>86</v>
      </c>
      <c r="J736">
        <v>39</v>
      </c>
      <c r="K736" t="s">
        <v>82</v>
      </c>
      <c r="L736" t="s">
        <v>93</v>
      </c>
      <c r="M736" t="s">
        <v>55</v>
      </c>
      <c r="N736" t="s">
        <v>2601</v>
      </c>
      <c r="O736" t="s">
        <v>117</v>
      </c>
      <c r="P736" t="s">
        <v>49</v>
      </c>
      <c r="Q736" t="s">
        <v>139</v>
      </c>
      <c r="R736">
        <v>1</v>
      </c>
      <c r="S736">
        <v>6999</v>
      </c>
      <c r="T736">
        <v>0.15</v>
      </c>
      <c r="U736">
        <v>5949.15</v>
      </c>
      <c r="V736">
        <v>4300</v>
      </c>
      <c r="W736">
        <v>1649.15</v>
      </c>
      <c r="X736" t="s">
        <v>74</v>
      </c>
      <c r="Y736" t="s">
        <v>68</v>
      </c>
      <c r="Z736" t="s">
        <v>163</v>
      </c>
      <c r="AA736" t="s">
        <v>169</v>
      </c>
      <c r="AB736">
        <v>4</v>
      </c>
      <c r="AC736">
        <v>50</v>
      </c>
      <c r="AD736">
        <v>369.8</v>
      </c>
      <c r="AE736">
        <f t="shared" si="22"/>
        <v>1229.3500000000001</v>
      </c>
      <c r="AF736" t="str">
        <f t="shared" si="23"/>
        <v>2025-04</v>
      </c>
      <c r="AG736">
        <f>SUBTOTAL(103,A736)</f>
        <v>1</v>
      </c>
    </row>
    <row r="737" spans="1:33" x14ac:dyDescent="0.3">
      <c r="A737" t="s">
        <v>3350</v>
      </c>
      <c r="B737" s="13">
        <v>45750</v>
      </c>
      <c r="C737">
        <v>2025</v>
      </c>
      <c r="D737">
        <v>4</v>
      </c>
      <c r="E737" t="s">
        <v>3328</v>
      </c>
      <c r="F737" t="s">
        <v>3329</v>
      </c>
      <c r="G737" t="s">
        <v>665</v>
      </c>
      <c r="H737" t="s">
        <v>666</v>
      </c>
      <c r="I737" t="s">
        <v>86</v>
      </c>
      <c r="J737">
        <v>27</v>
      </c>
      <c r="K737" t="s">
        <v>81</v>
      </c>
      <c r="L737" t="s">
        <v>2634</v>
      </c>
      <c r="M737" t="s">
        <v>56</v>
      </c>
      <c r="N737" t="s">
        <v>2582</v>
      </c>
      <c r="O737" t="s">
        <v>119</v>
      </c>
      <c r="P737" t="s">
        <v>49</v>
      </c>
      <c r="Q737" t="s">
        <v>140</v>
      </c>
      <c r="R737">
        <v>1</v>
      </c>
      <c r="S737">
        <v>3499</v>
      </c>
      <c r="T737">
        <v>0.05</v>
      </c>
      <c r="U737">
        <v>3324.05</v>
      </c>
      <c r="V737">
        <v>2100</v>
      </c>
      <c r="W737">
        <v>1224.05</v>
      </c>
      <c r="X737" t="s">
        <v>73</v>
      </c>
      <c r="Y737" t="s">
        <v>68</v>
      </c>
      <c r="Z737" t="s">
        <v>160</v>
      </c>
      <c r="AA737" t="s">
        <v>167</v>
      </c>
      <c r="AB737">
        <v>4.2</v>
      </c>
      <c r="AC737">
        <v>50</v>
      </c>
      <c r="AD737">
        <v>343.75</v>
      </c>
      <c r="AE737">
        <f t="shared" si="22"/>
        <v>830.3</v>
      </c>
      <c r="AF737" t="str">
        <f t="shared" si="23"/>
        <v>2025-04</v>
      </c>
      <c r="AG737">
        <f>SUBTOTAL(103,A737)</f>
        <v>1</v>
      </c>
    </row>
    <row r="738" spans="1:33" x14ac:dyDescent="0.3">
      <c r="A738" t="s">
        <v>3351</v>
      </c>
      <c r="B738" s="13">
        <v>45750</v>
      </c>
      <c r="C738">
        <v>2025</v>
      </c>
      <c r="D738">
        <v>4</v>
      </c>
      <c r="E738" t="s">
        <v>3328</v>
      </c>
      <c r="F738" t="s">
        <v>3329</v>
      </c>
      <c r="G738" t="s">
        <v>1855</v>
      </c>
      <c r="H738" t="s">
        <v>1856</v>
      </c>
      <c r="I738" t="s">
        <v>85</v>
      </c>
      <c r="J738">
        <v>20</v>
      </c>
      <c r="K738" t="s">
        <v>80</v>
      </c>
      <c r="L738" t="s">
        <v>2674</v>
      </c>
      <c r="M738" t="s">
        <v>58</v>
      </c>
      <c r="N738" t="s">
        <v>2580</v>
      </c>
      <c r="O738" t="s">
        <v>118</v>
      </c>
      <c r="P738" t="s">
        <v>48</v>
      </c>
      <c r="Q738" t="s">
        <v>142</v>
      </c>
      <c r="R738">
        <v>3</v>
      </c>
      <c r="S738">
        <v>3999</v>
      </c>
      <c r="T738">
        <v>0.15</v>
      </c>
      <c r="U738">
        <v>10197.450000000001</v>
      </c>
      <c r="V738">
        <v>7200</v>
      </c>
      <c r="W738">
        <v>2997.45</v>
      </c>
      <c r="X738" t="s">
        <v>75</v>
      </c>
      <c r="Y738" t="s">
        <v>68</v>
      </c>
      <c r="Z738" t="s">
        <v>158</v>
      </c>
      <c r="AA738" t="s">
        <v>166</v>
      </c>
      <c r="AB738">
        <v>4</v>
      </c>
      <c r="AC738">
        <v>80</v>
      </c>
      <c r="AD738">
        <v>211.93</v>
      </c>
      <c r="AE738">
        <f t="shared" si="22"/>
        <v>2705.52</v>
      </c>
      <c r="AF738" t="str">
        <f t="shared" si="23"/>
        <v>2025-04</v>
      </c>
      <c r="AG738">
        <f>SUBTOTAL(103,A738)</f>
        <v>1</v>
      </c>
    </row>
    <row r="739" spans="1:33" x14ac:dyDescent="0.3">
      <c r="A739" t="s">
        <v>3352</v>
      </c>
      <c r="B739" s="13">
        <v>45750</v>
      </c>
      <c r="C739">
        <v>2025</v>
      </c>
      <c r="D739">
        <v>4</v>
      </c>
      <c r="E739" t="s">
        <v>3328</v>
      </c>
      <c r="F739" t="s">
        <v>3329</v>
      </c>
      <c r="G739" t="s">
        <v>647</v>
      </c>
      <c r="H739" t="s">
        <v>648</v>
      </c>
      <c r="I739" t="s">
        <v>85</v>
      </c>
      <c r="J739">
        <v>52</v>
      </c>
      <c r="K739" t="s">
        <v>83</v>
      </c>
      <c r="L739" t="s">
        <v>2610</v>
      </c>
      <c r="M739" t="s">
        <v>64</v>
      </c>
      <c r="N739" t="s">
        <v>2647</v>
      </c>
      <c r="O739" t="s">
        <v>133</v>
      </c>
      <c r="P739" t="s">
        <v>50</v>
      </c>
      <c r="Q739" t="s">
        <v>145</v>
      </c>
      <c r="R739">
        <v>1</v>
      </c>
      <c r="S739">
        <v>799</v>
      </c>
      <c r="T739">
        <v>0</v>
      </c>
      <c r="U739">
        <v>799</v>
      </c>
      <c r="V739">
        <v>390</v>
      </c>
      <c r="W739">
        <v>409</v>
      </c>
      <c r="X739" t="s">
        <v>74</v>
      </c>
      <c r="Y739" t="s">
        <v>68</v>
      </c>
      <c r="Z739" t="s">
        <v>162</v>
      </c>
      <c r="AA739" t="s">
        <v>167</v>
      </c>
      <c r="AB739">
        <v>4.3</v>
      </c>
      <c r="AC739">
        <v>60</v>
      </c>
      <c r="AD739">
        <v>33.07</v>
      </c>
      <c r="AE739">
        <f t="shared" si="22"/>
        <v>315.93</v>
      </c>
      <c r="AF739" t="str">
        <f t="shared" si="23"/>
        <v>2025-04</v>
      </c>
      <c r="AG739">
        <f>SUBTOTAL(103,A739)</f>
        <v>1</v>
      </c>
    </row>
    <row r="740" spans="1:33" x14ac:dyDescent="0.3">
      <c r="A740" t="s">
        <v>3353</v>
      </c>
      <c r="B740" s="13">
        <v>45751</v>
      </c>
      <c r="C740">
        <v>2025</v>
      </c>
      <c r="D740">
        <v>4</v>
      </c>
      <c r="E740" t="s">
        <v>3328</v>
      </c>
      <c r="F740" t="s">
        <v>3329</v>
      </c>
      <c r="G740" t="s">
        <v>911</v>
      </c>
      <c r="H740" t="s">
        <v>912</v>
      </c>
      <c r="I740" t="s">
        <v>86</v>
      </c>
      <c r="J740">
        <v>35</v>
      </c>
      <c r="K740" t="s">
        <v>81</v>
      </c>
      <c r="L740" t="s">
        <v>99</v>
      </c>
      <c r="M740" t="s">
        <v>58</v>
      </c>
      <c r="N740" t="s">
        <v>2603</v>
      </c>
      <c r="O740" t="s">
        <v>122</v>
      </c>
      <c r="P740" t="s">
        <v>48</v>
      </c>
      <c r="Q740" t="s">
        <v>141</v>
      </c>
      <c r="R740">
        <v>3</v>
      </c>
      <c r="S740">
        <v>2499</v>
      </c>
      <c r="T740">
        <v>0</v>
      </c>
      <c r="U740">
        <v>7497</v>
      </c>
      <c r="V740">
        <v>4350</v>
      </c>
      <c r="W740">
        <v>3147</v>
      </c>
      <c r="X740" t="s">
        <v>77</v>
      </c>
      <c r="Y740" t="s">
        <v>68</v>
      </c>
      <c r="Z740" t="s">
        <v>158</v>
      </c>
      <c r="AA740" t="s">
        <v>171</v>
      </c>
      <c r="AB740">
        <v>4.4000000000000004</v>
      </c>
      <c r="AC740">
        <v>40</v>
      </c>
      <c r="AD740">
        <v>811.19</v>
      </c>
      <c r="AE740">
        <f t="shared" si="22"/>
        <v>2295.81</v>
      </c>
      <c r="AF740" t="str">
        <f t="shared" si="23"/>
        <v>2025-04</v>
      </c>
      <c r="AG740">
        <f>SUBTOTAL(103,A740)</f>
        <v>1</v>
      </c>
    </row>
    <row r="741" spans="1:33" x14ac:dyDescent="0.3">
      <c r="A741" t="s">
        <v>3354</v>
      </c>
      <c r="B741" s="13">
        <v>45751</v>
      </c>
      <c r="C741">
        <v>2025</v>
      </c>
      <c r="D741">
        <v>4</v>
      </c>
      <c r="E741" t="s">
        <v>3328</v>
      </c>
      <c r="F741" t="s">
        <v>3329</v>
      </c>
      <c r="G741" t="s">
        <v>1725</v>
      </c>
      <c r="H741" t="s">
        <v>1726</v>
      </c>
      <c r="I741" t="s">
        <v>86</v>
      </c>
      <c r="J741">
        <v>28</v>
      </c>
      <c r="K741" t="s">
        <v>81</v>
      </c>
      <c r="L741" t="s">
        <v>2687</v>
      </c>
      <c r="M741" t="s">
        <v>57</v>
      </c>
      <c r="N741" t="s">
        <v>2590</v>
      </c>
      <c r="O741" t="s">
        <v>127</v>
      </c>
      <c r="P741" t="s">
        <v>51</v>
      </c>
      <c r="Q741" t="s">
        <v>148</v>
      </c>
      <c r="R741">
        <v>2</v>
      </c>
      <c r="S741">
        <v>1599</v>
      </c>
      <c r="T741">
        <v>0.05</v>
      </c>
      <c r="U741">
        <v>3038.1</v>
      </c>
      <c r="V741">
        <v>1600</v>
      </c>
      <c r="W741">
        <v>1438.1</v>
      </c>
      <c r="X741" t="s">
        <v>73</v>
      </c>
      <c r="Y741" t="s">
        <v>68</v>
      </c>
      <c r="Z741" t="s">
        <v>159</v>
      </c>
      <c r="AA741" t="s">
        <v>169</v>
      </c>
      <c r="AB741">
        <v>3.5</v>
      </c>
      <c r="AC741">
        <v>80</v>
      </c>
      <c r="AD741">
        <v>78.11</v>
      </c>
      <c r="AE741">
        <f t="shared" si="22"/>
        <v>1279.99</v>
      </c>
      <c r="AF741" t="str">
        <f t="shared" si="23"/>
        <v>2025-04</v>
      </c>
      <c r="AG741">
        <f>SUBTOTAL(103,A741)</f>
        <v>1</v>
      </c>
    </row>
    <row r="742" spans="1:33" x14ac:dyDescent="0.3">
      <c r="A742" t="s">
        <v>3355</v>
      </c>
      <c r="B742" s="13">
        <v>45751</v>
      </c>
      <c r="C742">
        <v>2025</v>
      </c>
      <c r="D742">
        <v>4</v>
      </c>
      <c r="E742" t="s">
        <v>3328</v>
      </c>
      <c r="F742" t="s">
        <v>3329</v>
      </c>
      <c r="G742" t="s">
        <v>1815</v>
      </c>
      <c r="H742" t="s">
        <v>1816</v>
      </c>
      <c r="I742" t="s">
        <v>86</v>
      </c>
      <c r="J742">
        <v>51</v>
      </c>
      <c r="K742" t="s">
        <v>83</v>
      </c>
      <c r="L742" t="s">
        <v>2586</v>
      </c>
      <c r="M742" t="s">
        <v>62</v>
      </c>
      <c r="N742" t="s">
        <v>2603</v>
      </c>
      <c r="O742" t="s">
        <v>122</v>
      </c>
      <c r="P742" t="s">
        <v>48</v>
      </c>
      <c r="Q742" t="s">
        <v>141</v>
      </c>
      <c r="R742">
        <v>4</v>
      </c>
      <c r="S742">
        <v>2499</v>
      </c>
      <c r="T742">
        <v>0.05</v>
      </c>
      <c r="U742">
        <v>9496.2000000000007</v>
      </c>
      <c r="V742">
        <v>5800</v>
      </c>
      <c r="W742">
        <v>3696.2</v>
      </c>
      <c r="X742" t="s">
        <v>73</v>
      </c>
      <c r="Y742" t="s">
        <v>68</v>
      </c>
      <c r="Z742" t="s">
        <v>158</v>
      </c>
      <c r="AA742" t="s">
        <v>166</v>
      </c>
      <c r="AB742">
        <v>3.3</v>
      </c>
      <c r="AC742">
        <v>60</v>
      </c>
      <c r="AD742">
        <v>946.25</v>
      </c>
      <c r="AE742">
        <f t="shared" si="22"/>
        <v>2689.95</v>
      </c>
      <c r="AF742" t="str">
        <f t="shared" si="23"/>
        <v>2025-04</v>
      </c>
      <c r="AG742">
        <f>SUBTOTAL(103,A742)</f>
        <v>1</v>
      </c>
    </row>
    <row r="743" spans="1:33" x14ac:dyDescent="0.3">
      <c r="A743" t="s">
        <v>3356</v>
      </c>
      <c r="B743" s="13">
        <v>45751</v>
      </c>
      <c r="C743">
        <v>2025</v>
      </c>
      <c r="D743">
        <v>4</v>
      </c>
      <c r="E743" t="s">
        <v>3328</v>
      </c>
      <c r="F743" t="s">
        <v>3329</v>
      </c>
      <c r="G743" t="s">
        <v>577</v>
      </c>
      <c r="H743" t="s">
        <v>578</v>
      </c>
      <c r="I743" t="s">
        <v>85</v>
      </c>
      <c r="J743">
        <v>41</v>
      </c>
      <c r="K743" t="s">
        <v>82</v>
      </c>
      <c r="L743" t="s">
        <v>100</v>
      </c>
      <c r="M743" t="s">
        <v>56</v>
      </c>
      <c r="N743" t="s">
        <v>2601</v>
      </c>
      <c r="O743" t="s">
        <v>117</v>
      </c>
      <c r="P743" t="s">
        <v>49</v>
      </c>
      <c r="Q743" t="s">
        <v>139</v>
      </c>
      <c r="R743">
        <v>1</v>
      </c>
      <c r="S743">
        <v>6999</v>
      </c>
      <c r="T743">
        <v>0.15</v>
      </c>
      <c r="U743">
        <v>0</v>
      </c>
      <c r="V743">
        <v>0</v>
      </c>
      <c r="W743">
        <v>0</v>
      </c>
      <c r="X743" t="s">
        <v>74</v>
      </c>
      <c r="Y743" t="s">
        <v>71</v>
      </c>
      <c r="Z743" t="s">
        <v>159</v>
      </c>
      <c r="AA743" t="s">
        <v>166</v>
      </c>
      <c r="AB743">
        <v>3.8</v>
      </c>
      <c r="AC743">
        <v>40</v>
      </c>
      <c r="AD743">
        <v>304.91000000000003</v>
      </c>
      <c r="AE743">
        <f t="shared" si="22"/>
        <v>-344.91</v>
      </c>
      <c r="AF743" t="str">
        <f t="shared" si="23"/>
        <v>2025-04</v>
      </c>
      <c r="AG743">
        <f>SUBTOTAL(103,A743)</f>
        <v>1</v>
      </c>
    </row>
    <row r="744" spans="1:33" x14ac:dyDescent="0.3">
      <c r="A744" t="s">
        <v>3357</v>
      </c>
      <c r="B744" s="13">
        <v>45752</v>
      </c>
      <c r="C744">
        <v>2025</v>
      </c>
      <c r="D744">
        <v>4</v>
      </c>
      <c r="E744" t="s">
        <v>3328</v>
      </c>
      <c r="F744" t="s">
        <v>3329</v>
      </c>
      <c r="G744" t="s">
        <v>247</v>
      </c>
      <c r="H744" t="s">
        <v>248</v>
      </c>
      <c r="I744" t="s">
        <v>85</v>
      </c>
      <c r="J744">
        <v>58</v>
      </c>
      <c r="K744" t="s">
        <v>83</v>
      </c>
      <c r="L744" t="s">
        <v>95</v>
      </c>
      <c r="M744" t="s">
        <v>56</v>
      </c>
      <c r="N744" t="s">
        <v>2574</v>
      </c>
      <c r="O744" t="s">
        <v>130</v>
      </c>
      <c r="P744" t="s">
        <v>50</v>
      </c>
      <c r="Q744" t="s">
        <v>53</v>
      </c>
      <c r="R744">
        <v>1</v>
      </c>
      <c r="S744">
        <v>1199</v>
      </c>
      <c r="T744">
        <v>0.05</v>
      </c>
      <c r="U744">
        <v>1139.05</v>
      </c>
      <c r="V744">
        <v>550</v>
      </c>
      <c r="W744">
        <v>589.04999999999995</v>
      </c>
      <c r="X744" t="s">
        <v>74</v>
      </c>
      <c r="Y744" t="s">
        <v>68</v>
      </c>
      <c r="Z744" t="s">
        <v>160</v>
      </c>
      <c r="AA744" t="s">
        <v>168</v>
      </c>
      <c r="AB744">
        <v>3.6</v>
      </c>
      <c r="AC744">
        <v>60</v>
      </c>
      <c r="AD744">
        <v>78.64</v>
      </c>
      <c r="AE744">
        <f t="shared" si="22"/>
        <v>450.40999999999997</v>
      </c>
      <c r="AF744" t="str">
        <f t="shared" si="23"/>
        <v>2025-04</v>
      </c>
      <c r="AG744">
        <f>SUBTOTAL(103,A744)</f>
        <v>1</v>
      </c>
    </row>
    <row r="745" spans="1:33" x14ac:dyDescent="0.3">
      <c r="A745" t="s">
        <v>3358</v>
      </c>
      <c r="B745" s="13">
        <v>45752</v>
      </c>
      <c r="C745">
        <v>2025</v>
      </c>
      <c r="D745">
        <v>4</v>
      </c>
      <c r="E745" t="s">
        <v>3328</v>
      </c>
      <c r="F745" t="s">
        <v>3329</v>
      </c>
      <c r="G745" t="s">
        <v>1875</v>
      </c>
      <c r="H745" t="s">
        <v>1876</v>
      </c>
      <c r="I745" t="s">
        <v>85</v>
      </c>
      <c r="J745">
        <v>35</v>
      </c>
      <c r="K745" t="s">
        <v>81</v>
      </c>
      <c r="L745" t="s">
        <v>2605</v>
      </c>
      <c r="M745" t="s">
        <v>60</v>
      </c>
      <c r="N745" t="s">
        <v>2644</v>
      </c>
      <c r="O745" t="s">
        <v>126</v>
      </c>
      <c r="P745" t="s">
        <v>50</v>
      </c>
      <c r="Q745" t="s">
        <v>145</v>
      </c>
      <c r="R745">
        <v>1</v>
      </c>
      <c r="S745">
        <v>1799</v>
      </c>
      <c r="T745">
        <v>0.15</v>
      </c>
      <c r="U745">
        <v>1529.15</v>
      </c>
      <c r="V745">
        <v>950</v>
      </c>
      <c r="W745">
        <v>579.15</v>
      </c>
      <c r="X745" t="s">
        <v>73</v>
      </c>
      <c r="Y745" t="s">
        <v>68</v>
      </c>
      <c r="Z745" t="s">
        <v>158</v>
      </c>
      <c r="AA745" t="s">
        <v>166</v>
      </c>
      <c r="AB745">
        <v>4.8</v>
      </c>
      <c r="AC745">
        <v>80</v>
      </c>
      <c r="AD745">
        <v>138.61000000000001</v>
      </c>
      <c r="AE745">
        <f t="shared" si="22"/>
        <v>360.53999999999996</v>
      </c>
      <c r="AF745" t="str">
        <f t="shared" si="23"/>
        <v>2025-04</v>
      </c>
      <c r="AG745">
        <f>SUBTOTAL(103,A745)</f>
        <v>1</v>
      </c>
    </row>
    <row r="746" spans="1:33" x14ac:dyDescent="0.3">
      <c r="A746" t="s">
        <v>3359</v>
      </c>
      <c r="B746" s="13">
        <v>45752</v>
      </c>
      <c r="C746">
        <v>2025</v>
      </c>
      <c r="D746">
        <v>4</v>
      </c>
      <c r="E746" t="s">
        <v>3328</v>
      </c>
      <c r="F746" t="s">
        <v>3329</v>
      </c>
      <c r="G746" t="s">
        <v>1365</v>
      </c>
      <c r="H746" t="s">
        <v>1366</v>
      </c>
      <c r="I746" t="s">
        <v>85</v>
      </c>
      <c r="J746">
        <v>45</v>
      </c>
      <c r="K746" t="s">
        <v>82</v>
      </c>
      <c r="L746" t="s">
        <v>2646</v>
      </c>
      <c r="M746" t="s">
        <v>63</v>
      </c>
      <c r="N746" t="s">
        <v>2630</v>
      </c>
      <c r="O746" t="s">
        <v>123</v>
      </c>
      <c r="P746" t="s">
        <v>52</v>
      </c>
      <c r="Q746" t="s">
        <v>146</v>
      </c>
      <c r="R746">
        <v>1</v>
      </c>
      <c r="S746">
        <v>2499</v>
      </c>
      <c r="T746">
        <v>0.15</v>
      </c>
      <c r="U746">
        <v>2124.15</v>
      </c>
      <c r="V746">
        <v>1400</v>
      </c>
      <c r="W746">
        <v>724.15</v>
      </c>
      <c r="X746" t="s">
        <v>73</v>
      </c>
      <c r="Y746" t="s">
        <v>69</v>
      </c>
      <c r="Z746" t="s">
        <v>159</v>
      </c>
      <c r="AA746" t="s">
        <v>167</v>
      </c>
      <c r="AB746">
        <v>4</v>
      </c>
      <c r="AC746">
        <v>40</v>
      </c>
      <c r="AD746">
        <v>251.84</v>
      </c>
      <c r="AE746">
        <f t="shared" si="22"/>
        <v>432.30999999999995</v>
      </c>
      <c r="AF746" t="str">
        <f t="shared" si="23"/>
        <v>2025-04</v>
      </c>
      <c r="AG746">
        <f>SUBTOTAL(103,A746)</f>
        <v>1</v>
      </c>
    </row>
    <row r="747" spans="1:33" x14ac:dyDescent="0.3">
      <c r="A747" t="s">
        <v>3360</v>
      </c>
      <c r="B747" s="13">
        <v>45752</v>
      </c>
      <c r="C747">
        <v>2025</v>
      </c>
      <c r="D747">
        <v>4</v>
      </c>
      <c r="E747" t="s">
        <v>3328</v>
      </c>
      <c r="F747" t="s">
        <v>3329</v>
      </c>
      <c r="G747" t="s">
        <v>1561</v>
      </c>
      <c r="H747" t="s">
        <v>1562</v>
      </c>
      <c r="I747" t="s">
        <v>86</v>
      </c>
      <c r="J747">
        <v>56</v>
      </c>
      <c r="K747" t="s">
        <v>83</v>
      </c>
      <c r="L747" t="s">
        <v>2599</v>
      </c>
      <c r="M747" t="s">
        <v>62</v>
      </c>
      <c r="N747" t="s">
        <v>2590</v>
      </c>
      <c r="O747" t="s">
        <v>127</v>
      </c>
      <c r="P747" t="s">
        <v>51</v>
      </c>
      <c r="Q747" t="s">
        <v>148</v>
      </c>
      <c r="R747">
        <v>1</v>
      </c>
      <c r="S747">
        <v>1599</v>
      </c>
      <c r="T747">
        <v>0</v>
      </c>
      <c r="U747">
        <v>1599</v>
      </c>
      <c r="V747">
        <v>800</v>
      </c>
      <c r="W747">
        <v>799</v>
      </c>
      <c r="X747" t="s">
        <v>73</v>
      </c>
      <c r="Y747" t="s">
        <v>69</v>
      </c>
      <c r="Z747" t="s">
        <v>159</v>
      </c>
      <c r="AA747" t="s">
        <v>169</v>
      </c>
      <c r="AB747">
        <v>3.7</v>
      </c>
      <c r="AC747">
        <v>80</v>
      </c>
      <c r="AD747">
        <v>135.46</v>
      </c>
      <c r="AE747">
        <f t="shared" si="22"/>
        <v>583.54</v>
      </c>
      <c r="AF747" t="str">
        <f t="shared" si="23"/>
        <v>2025-04</v>
      </c>
      <c r="AG747">
        <f>SUBTOTAL(103,A747)</f>
        <v>1</v>
      </c>
    </row>
    <row r="748" spans="1:33" x14ac:dyDescent="0.3">
      <c r="A748" t="s">
        <v>3361</v>
      </c>
      <c r="B748" s="13">
        <v>45752</v>
      </c>
      <c r="C748">
        <v>2025</v>
      </c>
      <c r="D748">
        <v>4</v>
      </c>
      <c r="E748" t="s">
        <v>3328</v>
      </c>
      <c r="F748" t="s">
        <v>3329</v>
      </c>
      <c r="G748" t="s">
        <v>1007</v>
      </c>
      <c r="H748" t="s">
        <v>1008</v>
      </c>
      <c r="I748" t="s">
        <v>86</v>
      </c>
      <c r="J748">
        <v>50</v>
      </c>
      <c r="K748" t="s">
        <v>83</v>
      </c>
      <c r="L748" t="s">
        <v>90</v>
      </c>
      <c r="M748" t="s">
        <v>55</v>
      </c>
      <c r="N748" t="s">
        <v>2577</v>
      </c>
      <c r="O748" t="s">
        <v>129</v>
      </c>
      <c r="P748" t="s">
        <v>49</v>
      </c>
      <c r="Q748" t="s">
        <v>149</v>
      </c>
      <c r="R748">
        <v>4</v>
      </c>
      <c r="S748">
        <v>1299</v>
      </c>
      <c r="T748">
        <v>0</v>
      </c>
      <c r="U748">
        <v>5196</v>
      </c>
      <c r="V748">
        <v>2600</v>
      </c>
      <c r="W748">
        <v>2596</v>
      </c>
      <c r="X748" t="s">
        <v>73</v>
      </c>
      <c r="Y748" t="s">
        <v>68</v>
      </c>
      <c r="Z748" t="s">
        <v>161</v>
      </c>
      <c r="AA748" t="s">
        <v>171</v>
      </c>
      <c r="AB748">
        <v>3.6</v>
      </c>
      <c r="AC748">
        <v>50</v>
      </c>
      <c r="AD748">
        <v>338.71</v>
      </c>
      <c r="AE748">
        <f t="shared" si="22"/>
        <v>2207.29</v>
      </c>
      <c r="AF748" t="str">
        <f t="shared" si="23"/>
        <v>2025-04</v>
      </c>
      <c r="AG748">
        <f>SUBTOTAL(103,A748)</f>
        <v>1</v>
      </c>
    </row>
    <row r="749" spans="1:33" x14ac:dyDescent="0.3">
      <c r="A749" t="s">
        <v>3362</v>
      </c>
      <c r="B749" s="13">
        <v>45752</v>
      </c>
      <c r="C749">
        <v>2025</v>
      </c>
      <c r="D749">
        <v>4</v>
      </c>
      <c r="E749" t="s">
        <v>3328</v>
      </c>
      <c r="F749" t="s">
        <v>3329</v>
      </c>
      <c r="G749" t="s">
        <v>821</v>
      </c>
      <c r="H749" t="s">
        <v>822</v>
      </c>
      <c r="I749" t="s">
        <v>86</v>
      </c>
      <c r="J749">
        <v>60</v>
      </c>
      <c r="K749" t="s">
        <v>83</v>
      </c>
      <c r="L749" t="s">
        <v>100</v>
      </c>
      <c r="M749" t="s">
        <v>56</v>
      </c>
      <c r="N749" t="s">
        <v>2587</v>
      </c>
      <c r="O749" t="s">
        <v>116</v>
      </c>
      <c r="P749" t="s">
        <v>48</v>
      </c>
      <c r="Q749" t="s">
        <v>138</v>
      </c>
      <c r="R749">
        <v>1</v>
      </c>
      <c r="S749">
        <v>14999</v>
      </c>
      <c r="T749">
        <v>0.2</v>
      </c>
      <c r="U749">
        <v>11999.2</v>
      </c>
      <c r="V749">
        <v>11200</v>
      </c>
      <c r="W749">
        <v>799.2</v>
      </c>
      <c r="X749" t="s">
        <v>73</v>
      </c>
      <c r="Y749" t="s">
        <v>68</v>
      </c>
      <c r="Z749" t="s">
        <v>160</v>
      </c>
      <c r="AA749" t="s">
        <v>168</v>
      </c>
      <c r="AB749">
        <v>4</v>
      </c>
      <c r="AC749">
        <v>50</v>
      </c>
      <c r="AD749">
        <v>559.70000000000005</v>
      </c>
      <c r="AE749">
        <f t="shared" si="22"/>
        <v>189.5</v>
      </c>
      <c r="AF749" t="str">
        <f t="shared" si="23"/>
        <v>2025-04</v>
      </c>
      <c r="AG749">
        <f>SUBTOTAL(103,A749)</f>
        <v>1</v>
      </c>
    </row>
    <row r="750" spans="1:33" x14ac:dyDescent="0.3">
      <c r="A750" t="s">
        <v>3363</v>
      </c>
      <c r="B750" s="13">
        <v>45752</v>
      </c>
      <c r="C750">
        <v>2025</v>
      </c>
      <c r="D750">
        <v>4</v>
      </c>
      <c r="E750" t="s">
        <v>3328</v>
      </c>
      <c r="F750" t="s">
        <v>3329</v>
      </c>
      <c r="G750" t="s">
        <v>657</v>
      </c>
      <c r="H750" t="s">
        <v>658</v>
      </c>
      <c r="I750" t="s">
        <v>86</v>
      </c>
      <c r="J750">
        <v>33</v>
      </c>
      <c r="K750" t="s">
        <v>81</v>
      </c>
      <c r="L750" t="s">
        <v>96</v>
      </c>
      <c r="M750" t="s">
        <v>55</v>
      </c>
      <c r="N750" t="s">
        <v>2606</v>
      </c>
      <c r="O750" t="s">
        <v>120</v>
      </c>
      <c r="P750" t="s">
        <v>49</v>
      </c>
      <c r="Q750" t="s">
        <v>140</v>
      </c>
      <c r="R750">
        <v>3</v>
      </c>
      <c r="S750">
        <v>2799</v>
      </c>
      <c r="T750">
        <v>0.05</v>
      </c>
      <c r="U750">
        <v>7977.15</v>
      </c>
      <c r="V750">
        <v>4950</v>
      </c>
      <c r="W750">
        <v>3027.15</v>
      </c>
      <c r="X750" t="s">
        <v>76</v>
      </c>
      <c r="Y750" t="s">
        <v>68</v>
      </c>
      <c r="Z750" t="s">
        <v>158</v>
      </c>
      <c r="AA750" t="s">
        <v>170</v>
      </c>
      <c r="AB750">
        <v>4.0999999999999996</v>
      </c>
      <c r="AC750">
        <v>50</v>
      </c>
      <c r="AD750">
        <v>920.25</v>
      </c>
      <c r="AE750">
        <f t="shared" si="22"/>
        <v>2056.9</v>
      </c>
      <c r="AF750" t="str">
        <f t="shared" si="23"/>
        <v>2025-04</v>
      </c>
      <c r="AG750">
        <f>SUBTOTAL(103,A750)</f>
        <v>1</v>
      </c>
    </row>
    <row r="751" spans="1:33" x14ac:dyDescent="0.3">
      <c r="A751" t="s">
        <v>3364</v>
      </c>
      <c r="B751" s="13">
        <v>45752</v>
      </c>
      <c r="C751">
        <v>2025</v>
      </c>
      <c r="D751">
        <v>4</v>
      </c>
      <c r="E751" t="s">
        <v>3328</v>
      </c>
      <c r="F751" t="s">
        <v>3329</v>
      </c>
      <c r="G751" t="s">
        <v>1741</v>
      </c>
      <c r="H751" t="s">
        <v>1742</v>
      </c>
      <c r="I751" t="s">
        <v>85</v>
      </c>
      <c r="J751">
        <v>18</v>
      </c>
      <c r="K751" t="s">
        <v>80</v>
      </c>
      <c r="L751" t="s">
        <v>97</v>
      </c>
      <c r="M751" t="s">
        <v>57</v>
      </c>
      <c r="N751" t="s">
        <v>2657</v>
      </c>
      <c r="O751" t="s">
        <v>134</v>
      </c>
      <c r="P751" t="s">
        <v>49</v>
      </c>
      <c r="Q751" t="s">
        <v>140</v>
      </c>
      <c r="R751">
        <v>5</v>
      </c>
      <c r="S751">
        <v>599</v>
      </c>
      <c r="T751">
        <v>0.15</v>
      </c>
      <c r="U751">
        <v>2545.75</v>
      </c>
      <c r="V751">
        <v>1250</v>
      </c>
      <c r="W751">
        <v>1295.75</v>
      </c>
      <c r="X751" t="s">
        <v>73</v>
      </c>
      <c r="Y751" t="s">
        <v>68</v>
      </c>
      <c r="Z751" t="s">
        <v>158</v>
      </c>
      <c r="AA751" t="s">
        <v>166</v>
      </c>
      <c r="AB751">
        <v>3.6</v>
      </c>
      <c r="AC751">
        <v>80</v>
      </c>
      <c r="AD751">
        <v>197.43</v>
      </c>
      <c r="AE751">
        <f t="shared" si="22"/>
        <v>1018.3199999999999</v>
      </c>
      <c r="AF751" t="str">
        <f t="shared" si="23"/>
        <v>2025-04</v>
      </c>
      <c r="AG751">
        <f>SUBTOTAL(103,A751)</f>
        <v>1</v>
      </c>
    </row>
    <row r="752" spans="1:33" x14ac:dyDescent="0.3">
      <c r="A752" t="s">
        <v>3365</v>
      </c>
      <c r="B752" s="13">
        <v>45752</v>
      </c>
      <c r="C752">
        <v>2025</v>
      </c>
      <c r="D752">
        <v>4</v>
      </c>
      <c r="E752" t="s">
        <v>3328</v>
      </c>
      <c r="F752" t="s">
        <v>3329</v>
      </c>
      <c r="G752" t="s">
        <v>1785</v>
      </c>
      <c r="H752" t="s">
        <v>1786</v>
      </c>
      <c r="I752" t="s">
        <v>85</v>
      </c>
      <c r="J752">
        <v>45</v>
      </c>
      <c r="K752" t="s">
        <v>82</v>
      </c>
      <c r="L752" t="s">
        <v>2589</v>
      </c>
      <c r="M752" t="s">
        <v>61</v>
      </c>
      <c r="N752" t="s">
        <v>2601</v>
      </c>
      <c r="O752" t="s">
        <v>117</v>
      </c>
      <c r="P752" t="s">
        <v>49</v>
      </c>
      <c r="Q752" t="s">
        <v>139</v>
      </c>
      <c r="R752">
        <v>3</v>
      </c>
      <c r="S752">
        <v>6999</v>
      </c>
      <c r="T752">
        <v>0.1</v>
      </c>
      <c r="U752">
        <v>0</v>
      </c>
      <c r="V752">
        <v>0</v>
      </c>
      <c r="W752">
        <v>0</v>
      </c>
      <c r="X752" t="s">
        <v>74</v>
      </c>
      <c r="Y752" t="s">
        <v>71</v>
      </c>
      <c r="Z752" t="s">
        <v>159</v>
      </c>
      <c r="AA752" t="s">
        <v>170</v>
      </c>
      <c r="AB752">
        <v>2.4</v>
      </c>
      <c r="AC752">
        <v>60</v>
      </c>
      <c r="AD752">
        <v>1647.96</v>
      </c>
      <c r="AE752">
        <f t="shared" si="22"/>
        <v>-1707.96</v>
      </c>
      <c r="AF752" t="str">
        <f t="shared" si="23"/>
        <v>2025-04</v>
      </c>
      <c r="AG752">
        <f>SUBTOTAL(103,A752)</f>
        <v>1</v>
      </c>
    </row>
    <row r="753" spans="1:33" x14ac:dyDescent="0.3">
      <c r="A753" t="s">
        <v>3366</v>
      </c>
      <c r="B753" s="13">
        <v>45753</v>
      </c>
      <c r="C753">
        <v>2025</v>
      </c>
      <c r="D753">
        <v>4</v>
      </c>
      <c r="E753" t="s">
        <v>3328</v>
      </c>
      <c r="F753" t="s">
        <v>3329</v>
      </c>
      <c r="G753" t="s">
        <v>1707</v>
      </c>
      <c r="H753" t="s">
        <v>1708</v>
      </c>
      <c r="I753" t="s">
        <v>86</v>
      </c>
      <c r="J753">
        <v>39</v>
      </c>
      <c r="K753" t="s">
        <v>82</v>
      </c>
      <c r="L753" t="s">
        <v>2589</v>
      </c>
      <c r="M753" t="s">
        <v>61</v>
      </c>
      <c r="N753" t="s">
        <v>2594</v>
      </c>
      <c r="O753" t="s">
        <v>131</v>
      </c>
      <c r="P753" t="s">
        <v>53</v>
      </c>
      <c r="Q753" t="s">
        <v>143</v>
      </c>
      <c r="R753">
        <v>1</v>
      </c>
      <c r="S753">
        <v>999</v>
      </c>
      <c r="T753">
        <v>0.1</v>
      </c>
      <c r="U753">
        <v>899.1</v>
      </c>
      <c r="V753">
        <v>520</v>
      </c>
      <c r="W753">
        <v>379.1</v>
      </c>
      <c r="X753" t="s">
        <v>74</v>
      </c>
      <c r="Y753" t="s">
        <v>70</v>
      </c>
      <c r="Z753" t="s">
        <v>158</v>
      </c>
      <c r="AA753" t="s">
        <v>171</v>
      </c>
      <c r="AB753">
        <v>3.4</v>
      </c>
      <c r="AC753">
        <v>50</v>
      </c>
      <c r="AD753">
        <v>97.06</v>
      </c>
      <c r="AE753">
        <f t="shared" si="22"/>
        <v>232.04000000000002</v>
      </c>
      <c r="AF753" t="str">
        <f t="shared" si="23"/>
        <v>2025-04</v>
      </c>
      <c r="AG753">
        <f>SUBTOTAL(103,A753)</f>
        <v>1</v>
      </c>
    </row>
    <row r="754" spans="1:33" x14ac:dyDescent="0.3">
      <c r="A754" t="s">
        <v>3367</v>
      </c>
      <c r="B754" s="13">
        <v>45753</v>
      </c>
      <c r="C754">
        <v>2025</v>
      </c>
      <c r="D754">
        <v>4</v>
      </c>
      <c r="E754" t="s">
        <v>3328</v>
      </c>
      <c r="F754" t="s">
        <v>3329</v>
      </c>
      <c r="G754" t="s">
        <v>1015</v>
      </c>
      <c r="H754" t="s">
        <v>1016</v>
      </c>
      <c r="I754" t="s">
        <v>85</v>
      </c>
      <c r="J754">
        <v>37</v>
      </c>
      <c r="K754" t="s">
        <v>82</v>
      </c>
      <c r="L754" t="s">
        <v>94</v>
      </c>
      <c r="M754" t="s">
        <v>57</v>
      </c>
      <c r="N754" t="s">
        <v>2630</v>
      </c>
      <c r="O754" t="s">
        <v>123</v>
      </c>
      <c r="P754" t="s">
        <v>52</v>
      </c>
      <c r="Q754" t="s">
        <v>146</v>
      </c>
      <c r="R754">
        <v>2</v>
      </c>
      <c r="S754">
        <v>2499</v>
      </c>
      <c r="T754">
        <v>0</v>
      </c>
      <c r="U754">
        <v>4998</v>
      </c>
      <c r="V754">
        <v>2800</v>
      </c>
      <c r="W754">
        <v>2198</v>
      </c>
      <c r="X754" t="s">
        <v>74</v>
      </c>
      <c r="Y754" t="s">
        <v>68</v>
      </c>
      <c r="Z754" t="s">
        <v>161</v>
      </c>
      <c r="AA754" t="s">
        <v>167</v>
      </c>
      <c r="AB754">
        <v>5</v>
      </c>
      <c r="AC754">
        <v>40</v>
      </c>
      <c r="AD754">
        <v>363.86</v>
      </c>
      <c r="AE754">
        <f t="shared" si="22"/>
        <v>1794.1399999999999</v>
      </c>
      <c r="AF754" t="str">
        <f t="shared" si="23"/>
        <v>2025-04</v>
      </c>
      <c r="AG754">
        <f>SUBTOTAL(103,A754)</f>
        <v>1</v>
      </c>
    </row>
    <row r="755" spans="1:33" x14ac:dyDescent="0.3">
      <c r="A755" t="s">
        <v>3368</v>
      </c>
      <c r="B755" s="13">
        <v>45753</v>
      </c>
      <c r="C755">
        <v>2025</v>
      </c>
      <c r="D755">
        <v>4</v>
      </c>
      <c r="E755" t="s">
        <v>3328</v>
      </c>
      <c r="F755" t="s">
        <v>3329</v>
      </c>
      <c r="G755" t="s">
        <v>1625</v>
      </c>
      <c r="H755" t="s">
        <v>1626</v>
      </c>
      <c r="I755" t="s">
        <v>87</v>
      </c>
      <c r="J755">
        <v>60</v>
      </c>
      <c r="K755" t="s">
        <v>83</v>
      </c>
      <c r="L755" t="s">
        <v>2623</v>
      </c>
      <c r="M755" t="s">
        <v>61</v>
      </c>
      <c r="N755" t="s">
        <v>2630</v>
      </c>
      <c r="O755" t="s">
        <v>123</v>
      </c>
      <c r="P755" t="s">
        <v>52</v>
      </c>
      <c r="Q755" t="s">
        <v>146</v>
      </c>
      <c r="R755">
        <v>4</v>
      </c>
      <c r="S755">
        <v>2499</v>
      </c>
      <c r="T755">
        <v>0.15</v>
      </c>
      <c r="U755">
        <v>8496.6</v>
      </c>
      <c r="V755">
        <v>5600</v>
      </c>
      <c r="W755">
        <v>2896.6</v>
      </c>
      <c r="X755" t="s">
        <v>73</v>
      </c>
      <c r="Y755" t="s">
        <v>68</v>
      </c>
      <c r="Z755" t="s">
        <v>159</v>
      </c>
      <c r="AA755" t="s">
        <v>169</v>
      </c>
      <c r="AB755">
        <v>4.4000000000000004</v>
      </c>
      <c r="AC755">
        <v>40</v>
      </c>
      <c r="AD755">
        <v>473.22</v>
      </c>
      <c r="AE755">
        <f t="shared" si="22"/>
        <v>2383.38</v>
      </c>
      <c r="AF755" t="str">
        <f t="shared" si="23"/>
        <v>2025-04</v>
      </c>
      <c r="AG755">
        <f>SUBTOTAL(103,A755)</f>
        <v>1</v>
      </c>
    </row>
    <row r="756" spans="1:33" x14ac:dyDescent="0.3">
      <c r="A756" t="s">
        <v>3369</v>
      </c>
      <c r="B756" s="13">
        <v>45753</v>
      </c>
      <c r="C756">
        <v>2025</v>
      </c>
      <c r="D756">
        <v>4</v>
      </c>
      <c r="E756" t="s">
        <v>3328</v>
      </c>
      <c r="F756" t="s">
        <v>3329</v>
      </c>
      <c r="G756" t="s">
        <v>627</v>
      </c>
      <c r="H756" t="s">
        <v>628</v>
      </c>
      <c r="I756" t="s">
        <v>86</v>
      </c>
      <c r="J756">
        <v>46</v>
      </c>
      <c r="K756" t="s">
        <v>83</v>
      </c>
      <c r="L756" t="s">
        <v>94</v>
      </c>
      <c r="M756" t="s">
        <v>57</v>
      </c>
      <c r="N756" t="s">
        <v>2665</v>
      </c>
      <c r="O756" t="s">
        <v>128</v>
      </c>
      <c r="P756" t="s">
        <v>53</v>
      </c>
      <c r="Q756" t="s">
        <v>143</v>
      </c>
      <c r="R756">
        <v>2</v>
      </c>
      <c r="S756">
        <v>1499</v>
      </c>
      <c r="T756">
        <v>0.05</v>
      </c>
      <c r="U756">
        <v>2848.1</v>
      </c>
      <c r="V756">
        <v>1600</v>
      </c>
      <c r="W756">
        <v>1248.0999999999999</v>
      </c>
      <c r="X756" t="s">
        <v>73</v>
      </c>
      <c r="Y756" t="s">
        <v>68</v>
      </c>
      <c r="Z756" t="s">
        <v>158</v>
      </c>
      <c r="AA756" t="s">
        <v>166</v>
      </c>
      <c r="AB756">
        <v>4.4000000000000004</v>
      </c>
      <c r="AC756">
        <v>40</v>
      </c>
      <c r="AD756">
        <v>300.89</v>
      </c>
      <c r="AE756">
        <f t="shared" si="22"/>
        <v>907.20999999999992</v>
      </c>
      <c r="AF756" t="str">
        <f t="shared" si="23"/>
        <v>2025-04</v>
      </c>
      <c r="AG756">
        <f>SUBTOTAL(103,A756)</f>
        <v>1</v>
      </c>
    </row>
    <row r="757" spans="1:33" x14ac:dyDescent="0.3">
      <c r="A757" t="s">
        <v>3370</v>
      </c>
      <c r="B757" s="13">
        <v>45753</v>
      </c>
      <c r="C757">
        <v>2025</v>
      </c>
      <c r="D757">
        <v>4</v>
      </c>
      <c r="E757" t="s">
        <v>3328</v>
      </c>
      <c r="F757" t="s">
        <v>3329</v>
      </c>
      <c r="G757" t="s">
        <v>1805</v>
      </c>
      <c r="H757" t="s">
        <v>1806</v>
      </c>
      <c r="I757" t="s">
        <v>85</v>
      </c>
      <c r="J757">
        <v>29</v>
      </c>
      <c r="K757" t="s">
        <v>81</v>
      </c>
      <c r="L757" t="s">
        <v>91</v>
      </c>
      <c r="M757" t="s">
        <v>55</v>
      </c>
      <c r="N757" t="s">
        <v>2665</v>
      </c>
      <c r="O757" t="s">
        <v>128</v>
      </c>
      <c r="P757" t="s">
        <v>53</v>
      </c>
      <c r="Q757" t="s">
        <v>143</v>
      </c>
      <c r="R757">
        <v>2</v>
      </c>
      <c r="S757">
        <v>1499</v>
      </c>
      <c r="T757">
        <v>0.1</v>
      </c>
      <c r="U757">
        <v>2698.2</v>
      </c>
      <c r="V757">
        <v>1600</v>
      </c>
      <c r="W757">
        <v>1098.2</v>
      </c>
      <c r="X757" t="s">
        <v>76</v>
      </c>
      <c r="Y757" t="s">
        <v>68</v>
      </c>
      <c r="Z757" t="s">
        <v>163</v>
      </c>
      <c r="AA757" t="s">
        <v>168</v>
      </c>
      <c r="AB757">
        <v>4</v>
      </c>
      <c r="AC757">
        <v>40</v>
      </c>
      <c r="AD757">
        <v>255.86</v>
      </c>
      <c r="AE757">
        <f t="shared" si="22"/>
        <v>802.34</v>
      </c>
      <c r="AF757" t="str">
        <f t="shared" si="23"/>
        <v>2025-04</v>
      </c>
      <c r="AG757">
        <f>SUBTOTAL(103,A757)</f>
        <v>1</v>
      </c>
    </row>
    <row r="758" spans="1:33" x14ac:dyDescent="0.3">
      <c r="A758" t="s">
        <v>3371</v>
      </c>
      <c r="B758" s="13">
        <v>45753</v>
      </c>
      <c r="C758">
        <v>2025</v>
      </c>
      <c r="D758">
        <v>4</v>
      </c>
      <c r="E758" t="s">
        <v>3328</v>
      </c>
      <c r="F758" t="s">
        <v>3329</v>
      </c>
      <c r="G758" t="s">
        <v>185</v>
      </c>
      <c r="H758" t="s">
        <v>186</v>
      </c>
      <c r="I758" t="s">
        <v>86</v>
      </c>
      <c r="J758">
        <v>19</v>
      </c>
      <c r="K758" t="s">
        <v>80</v>
      </c>
      <c r="L758" t="s">
        <v>96</v>
      </c>
      <c r="M758" t="s">
        <v>55</v>
      </c>
      <c r="N758" t="s">
        <v>2582</v>
      </c>
      <c r="O758" t="s">
        <v>119</v>
      </c>
      <c r="P758" t="s">
        <v>49</v>
      </c>
      <c r="Q758" t="s">
        <v>140</v>
      </c>
      <c r="R758">
        <v>3</v>
      </c>
      <c r="S758">
        <v>3499</v>
      </c>
      <c r="T758">
        <v>0.2</v>
      </c>
      <c r="U758">
        <v>0</v>
      </c>
      <c r="V758">
        <v>0</v>
      </c>
      <c r="W758">
        <v>0</v>
      </c>
      <c r="X758" t="s">
        <v>73</v>
      </c>
      <c r="Y758" t="s">
        <v>71</v>
      </c>
      <c r="Z758" t="s">
        <v>160</v>
      </c>
      <c r="AA758" t="s">
        <v>168</v>
      </c>
      <c r="AB758">
        <v>3.3</v>
      </c>
      <c r="AC758">
        <v>120</v>
      </c>
      <c r="AD758">
        <v>226.8</v>
      </c>
      <c r="AE758">
        <f t="shared" si="22"/>
        <v>-346.8</v>
      </c>
      <c r="AF758" t="str">
        <f t="shared" si="23"/>
        <v>2025-04</v>
      </c>
      <c r="AG758">
        <f>SUBTOTAL(103,A758)</f>
        <v>1</v>
      </c>
    </row>
    <row r="759" spans="1:33" x14ac:dyDescent="0.3">
      <c r="A759" t="s">
        <v>3372</v>
      </c>
      <c r="B759" s="13">
        <v>45754</v>
      </c>
      <c r="C759">
        <v>2025</v>
      </c>
      <c r="D759">
        <v>4</v>
      </c>
      <c r="E759" t="s">
        <v>3328</v>
      </c>
      <c r="F759" t="s">
        <v>3329</v>
      </c>
      <c r="G759" t="s">
        <v>785</v>
      </c>
      <c r="H759" t="s">
        <v>786</v>
      </c>
      <c r="I759" t="s">
        <v>85</v>
      </c>
      <c r="J759">
        <v>51</v>
      </c>
      <c r="K759" t="s">
        <v>83</v>
      </c>
      <c r="L759" t="s">
        <v>98</v>
      </c>
      <c r="M759" t="s">
        <v>55</v>
      </c>
      <c r="N759" t="s">
        <v>2582</v>
      </c>
      <c r="O759" t="s">
        <v>119</v>
      </c>
      <c r="P759" t="s">
        <v>49</v>
      </c>
      <c r="Q759" t="s">
        <v>140</v>
      </c>
      <c r="R759">
        <v>4</v>
      </c>
      <c r="S759">
        <v>3499</v>
      </c>
      <c r="T759">
        <v>0.05</v>
      </c>
      <c r="U759">
        <v>13296.2</v>
      </c>
      <c r="V759">
        <v>8400</v>
      </c>
      <c r="W759">
        <v>4896.2</v>
      </c>
      <c r="X759" t="s">
        <v>76</v>
      </c>
      <c r="Y759" t="s">
        <v>68</v>
      </c>
      <c r="Z759" t="s">
        <v>158</v>
      </c>
      <c r="AA759" t="s">
        <v>166</v>
      </c>
      <c r="AB759">
        <v>3.4</v>
      </c>
      <c r="AC759">
        <v>40</v>
      </c>
      <c r="AD759">
        <v>974.1</v>
      </c>
      <c r="AE759">
        <f t="shared" si="22"/>
        <v>3882.1</v>
      </c>
      <c r="AF759" t="str">
        <f t="shared" si="23"/>
        <v>2025-04</v>
      </c>
      <c r="AG759">
        <f>SUBTOTAL(103,A759)</f>
        <v>1</v>
      </c>
    </row>
    <row r="760" spans="1:33" x14ac:dyDescent="0.3">
      <c r="A760" t="s">
        <v>3373</v>
      </c>
      <c r="B760" s="13">
        <v>45754</v>
      </c>
      <c r="C760">
        <v>2025</v>
      </c>
      <c r="D760">
        <v>4</v>
      </c>
      <c r="E760" t="s">
        <v>3328</v>
      </c>
      <c r="F760" t="s">
        <v>3329</v>
      </c>
      <c r="G760" t="s">
        <v>849</v>
      </c>
      <c r="H760" t="s">
        <v>850</v>
      </c>
      <c r="I760" t="s">
        <v>85</v>
      </c>
      <c r="J760">
        <v>33</v>
      </c>
      <c r="K760" t="s">
        <v>81</v>
      </c>
      <c r="L760" t="s">
        <v>2605</v>
      </c>
      <c r="M760" t="s">
        <v>60</v>
      </c>
      <c r="N760" t="s">
        <v>2606</v>
      </c>
      <c r="O760" t="s">
        <v>120</v>
      </c>
      <c r="P760" t="s">
        <v>49</v>
      </c>
      <c r="Q760" t="s">
        <v>140</v>
      </c>
      <c r="R760">
        <v>2</v>
      </c>
      <c r="S760">
        <v>2799</v>
      </c>
      <c r="T760">
        <v>0.05</v>
      </c>
      <c r="U760">
        <v>5318.1</v>
      </c>
      <c r="V760">
        <v>3300</v>
      </c>
      <c r="W760">
        <v>2018.1</v>
      </c>
      <c r="X760" t="s">
        <v>75</v>
      </c>
      <c r="Y760" t="s">
        <v>68</v>
      </c>
      <c r="Z760" t="s">
        <v>159</v>
      </c>
      <c r="AA760" t="s">
        <v>171</v>
      </c>
      <c r="AB760">
        <v>3.9</v>
      </c>
      <c r="AC760">
        <v>40</v>
      </c>
      <c r="AD760">
        <v>509.69</v>
      </c>
      <c r="AE760">
        <f t="shared" si="22"/>
        <v>1468.4099999999999</v>
      </c>
      <c r="AF760" t="str">
        <f t="shared" si="23"/>
        <v>2025-04</v>
      </c>
      <c r="AG760">
        <f>SUBTOTAL(103,A760)</f>
        <v>1</v>
      </c>
    </row>
    <row r="761" spans="1:33" x14ac:dyDescent="0.3">
      <c r="A761" t="s">
        <v>3374</v>
      </c>
      <c r="B761" s="13">
        <v>45754</v>
      </c>
      <c r="C761">
        <v>2025</v>
      </c>
      <c r="D761">
        <v>4</v>
      </c>
      <c r="E761" t="s">
        <v>3328</v>
      </c>
      <c r="F761" t="s">
        <v>3329</v>
      </c>
      <c r="G761" t="s">
        <v>573</v>
      </c>
      <c r="H761" t="s">
        <v>574</v>
      </c>
      <c r="I761" t="s">
        <v>85</v>
      </c>
      <c r="J761">
        <v>57</v>
      </c>
      <c r="K761" t="s">
        <v>83</v>
      </c>
      <c r="L761" t="s">
        <v>2623</v>
      </c>
      <c r="M761" t="s">
        <v>61</v>
      </c>
      <c r="N761" t="s">
        <v>2577</v>
      </c>
      <c r="O761" t="s">
        <v>129</v>
      </c>
      <c r="P761" t="s">
        <v>49</v>
      </c>
      <c r="Q761" t="s">
        <v>149</v>
      </c>
      <c r="R761">
        <v>2</v>
      </c>
      <c r="S761">
        <v>1299</v>
      </c>
      <c r="T761">
        <v>0.05</v>
      </c>
      <c r="U761">
        <v>2468.1</v>
      </c>
      <c r="V761">
        <v>1300</v>
      </c>
      <c r="W761">
        <v>1168.0999999999999</v>
      </c>
      <c r="X761" t="s">
        <v>73</v>
      </c>
      <c r="Y761" t="s">
        <v>68</v>
      </c>
      <c r="Z761" t="s">
        <v>159</v>
      </c>
      <c r="AA761" t="s">
        <v>167</v>
      </c>
      <c r="AB761">
        <v>3.5</v>
      </c>
      <c r="AC761">
        <v>50</v>
      </c>
      <c r="AD761">
        <v>223.81</v>
      </c>
      <c r="AE761">
        <f t="shared" si="22"/>
        <v>894.29</v>
      </c>
      <c r="AF761" t="str">
        <f t="shared" si="23"/>
        <v>2025-04</v>
      </c>
      <c r="AG761">
        <f>SUBTOTAL(103,A761)</f>
        <v>1</v>
      </c>
    </row>
    <row r="762" spans="1:33" x14ac:dyDescent="0.3">
      <c r="A762" t="s">
        <v>3375</v>
      </c>
      <c r="B762" s="13">
        <v>45754</v>
      </c>
      <c r="C762">
        <v>2025</v>
      </c>
      <c r="D762">
        <v>4</v>
      </c>
      <c r="E762" t="s">
        <v>3328</v>
      </c>
      <c r="F762" t="s">
        <v>3329</v>
      </c>
      <c r="G762" t="s">
        <v>1415</v>
      </c>
      <c r="H762" t="s">
        <v>1416</v>
      </c>
      <c r="I762" t="s">
        <v>85</v>
      </c>
      <c r="J762">
        <v>32</v>
      </c>
      <c r="K762" t="s">
        <v>81</v>
      </c>
      <c r="L762" t="s">
        <v>2687</v>
      </c>
      <c r="M762" t="s">
        <v>57</v>
      </c>
      <c r="N762" t="s">
        <v>2592</v>
      </c>
      <c r="O762" t="s">
        <v>115</v>
      </c>
      <c r="P762" t="s">
        <v>48</v>
      </c>
      <c r="Q762" t="s">
        <v>137</v>
      </c>
      <c r="R762">
        <v>1</v>
      </c>
      <c r="S762">
        <v>12999</v>
      </c>
      <c r="T762">
        <v>0</v>
      </c>
      <c r="U762">
        <v>12999</v>
      </c>
      <c r="V762">
        <v>9000</v>
      </c>
      <c r="W762">
        <v>3999</v>
      </c>
      <c r="X762" t="s">
        <v>73</v>
      </c>
      <c r="Y762" t="s">
        <v>68</v>
      </c>
      <c r="Z762" t="s">
        <v>163</v>
      </c>
      <c r="AA762" t="s">
        <v>168</v>
      </c>
      <c r="AB762">
        <v>2.7</v>
      </c>
      <c r="AC762">
        <v>50</v>
      </c>
      <c r="AD762">
        <v>1467.79</v>
      </c>
      <c r="AE762">
        <f t="shared" si="22"/>
        <v>2481.21</v>
      </c>
      <c r="AF762" t="str">
        <f t="shared" si="23"/>
        <v>2025-04</v>
      </c>
      <c r="AG762">
        <f>SUBTOTAL(103,A762)</f>
        <v>1</v>
      </c>
    </row>
    <row r="763" spans="1:33" x14ac:dyDescent="0.3">
      <c r="A763" t="s">
        <v>3376</v>
      </c>
      <c r="B763" s="13">
        <v>45754</v>
      </c>
      <c r="C763">
        <v>2025</v>
      </c>
      <c r="D763">
        <v>4</v>
      </c>
      <c r="E763" t="s">
        <v>3328</v>
      </c>
      <c r="F763" t="s">
        <v>3329</v>
      </c>
      <c r="G763" t="s">
        <v>1467</v>
      </c>
      <c r="H763" t="s">
        <v>1468</v>
      </c>
      <c r="I763" t="s">
        <v>86</v>
      </c>
      <c r="J763">
        <v>43</v>
      </c>
      <c r="K763" t="s">
        <v>82</v>
      </c>
      <c r="L763" t="s">
        <v>2599</v>
      </c>
      <c r="M763" t="s">
        <v>62</v>
      </c>
      <c r="N763" t="s">
        <v>2630</v>
      </c>
      <c r="O763" t="s">
        <v>123</v>
      </c>
      <c r="P763" t="s">
        <v>52</v>
      </c>
      <c r="Q763" t="s">
        <v>146</v>
      </c>
      <c r="R763">
        <v>3</v>
      </c>
      <c r="S763">
        <v>2499</v>
      </c>
      <c r="T763">
        <v>0.05</v>
      </c>
      <c r="U763">
        <v>7122.15</v>
      </c>
      <c r="V763">
        <v>4200</v>
      </c>
      <c r="W763">
        <v>2922.15</v>
      </c>
      <c r="X763" t="s">
        <v>75</v>
      </c>
      <c r="Y763" t="s">
        <v>68</v>
      </c>
      <c r="Z763" t="s">
        <v>163</v>
      </c>
      <c r="AA763" t="s">
        <v>166</v>
      </c>
      <c r="AB763">
        <v>4.8</v>
      </c>
      <c r="AC763">
        <v>60</v>
      </c>
      <c r="AD763">
        <v>158.75</v>
      </c>
      <c r="AE763">
        <f t="shared" si="22"/>
        <v>2703.4</v>
      </c>
      <c r="AF763" t="str">
        <f t="shared" si="23"/>
        <v>2025-04</v>
      </c>
      <c r="AG763">
        <f>SUBTOTAL(103,A763)</f>
        <v>1</v>
      </c>
    </row>
    <row r="764" spans="1:33" x14ac:dyDescent="0.3">
      <c r="A764" t="s">
        <v>3377</v>
      </c>
      <c r="B764" s="13">
        <v>45754</v>
      </c>
      <c r="C764">
        <v>2025</v>
      </c>
      <c r="D764">
        <v>4</v>
      </c>
      <c r="E764" t="s">
        <v>3328</v>
      </c>
      <c r="F764" t="s">
        <v>3329</v>
      </c>
      <c r="G764" t="s">
        <v>1599</v>
      </c>
      <c r="H764" t="s">
        <v>1600</v>
      </c>
      <c r="I764" t="s">
        <v>85</v>
      </c>
      <c r="J764">
        <v>51</v>
      </c>
      <c r="K764" t="s">
        <v>83</v>
      </c>
      <c r="L764" t="s">
        <v>2687</v>
      </c>
      <c r="M764" t="s">
        <v>57</v>
      </c>
      <c r="N764" t="s">
        <v>2580</v>
      </c>
      <c r="O764" t="s">
        <v>118</v>
      </c>
      <c r="P764" t="s">
        <v>48</v>
      </c>
      <c r="Q764" t="s">
        <v>142</v>
      </c>
      <c r="R764">
        <v>3</v>
      </c>
      <c r="S764">
        <v>3999</v>
      </c>
      <c r="T764">
        <v>0.15</v>
      </c>
      <c r="U764">
        <v>10197.450000000001</v>
      </c>
      <c r="V764">
        <v>7200</v>
      </c>
      <c r="W764">
        <v>2997.45</v>
      </c>
      <c r="X764" t="s">
        <v>75</v>
      </c>
      <c r="Y764" t="s">
        <v>68</v>
      </c>
      <c r="Z764" t="s">
        <v>159</v>
      </c>
      <c r="AA764" t="s">
        <v>166</v>
      </c>
      <c r="AB764">
        <v>3.6</v>
      </c>
      <c r="AC764">
        <v>60</v>
      </c>
      <c r="AD764">
        <v>555</v>
      </c>
      <c r="AE764">
        <f t="shared" si="22"/>
        <v>2382.4499999999998</v>
      </c>
      <c r="AF764" t="str">
        <f t="shared" si="23"/>
        <v>2025-04</v>
      </c>
      <c r="AG764">
        <f>SUBTOTAL(103,A764)</f>
        <v>1</v>
      </c>
    </row>
    <row r="765" spans="1:33" x14ac:dyDescent="0.3">
      <c r="A765" t="s">
        <v>3378</v>
      </c>
      <c r="B765" s="13">
        <v>45754</v>
      </c>
      <c r="C765">
        <v>2025</v>
      </c>
      <c r="D765">
        <v>4</v>
      </c>
      <c r="E765" t="s">
        <v>3328</v>
      </c>
      <c r="F765" t="s">
        <v>3329</v>
      </c>
      <c r="G765" t="s">
        <v>487</v>
      </c>
      <c r="H765" t="s">
        <v>488</v>
      </c>
      <c r="I765" t="s">
        <v>86</v>
      </c>
      <c r="J765">
        <v>53</v>
      </c>
      <c r="K765" t="s">
        <v>83</v>
      </c>
      <c r="L765" t="s">
        <v>59</v>
      </c>
      <c r="M765" t="s">
        <v>59</v>
      </c>
      <c r="N765" t="s">
        <v>2626</v>
      </c>
      <c r="O765" t="s">
        <v>125</v>
      </c>
      <c r="P765" t="s">
        <v>48</v>
      </c>
      <c r="Q765" t="s">
        <v>141</v>
      </c>
      <c r="R765">
        <v>1</v>
      </c>
      <c r="S765">
        <v>1999</v>
      </c>
      <c r="T765">
        <v>0.15</v>
      </c>
      <c r="U765">
        <v>1699.15</v>
      </c>
      <c r="V765">
        <v>1150</v>
      </c>
      <c r="W765">
        <v>549.15</v>
      </c>
      <c r="X765" t="s">
        <v>74</v>
      </c>
      <c r="Y765" t="s">
        <v>68</v>
      </c>
      <c r="Z765" t="s">
        <v>159</v>
      </c>
      <c r="AA765" t="s">
        <v>167</v>
      </c>
      <c r="AB765">
        <v>3.8</v>
      </c>
      <c r="AC765">
        <v>80</v>
      </c>
      <c r="AD765">
        <v>201.57</v>
      </c>
      <c r="AE765">
        <f t="shared" si="22"/>
        <v>267.58</v>
      </c>
      <c r="AF765" t="str">
        <f t="shared" si="23"/>
        <v>2025-04</v>
      </c>
      <c r="AG765">
        <f>SUBTOTAL(103,A765)</f>
        <v>1</v>
      </c>
    </row>
    <row r="766" spans="1:33" x14ac:dyDescent="0.3">
      <c r="A766" t="s">
        <v>3379</v>
      </c>
      <c r="B766" s="13">
        <v>45754</v>
      </c>
      <c r="C766">
        <v>2025</v>
      </c>
      <c r="D766">
        <v>4</v>
      </c>
      <c r="E766" t="s">
        <v>3328</v>
      </c>
      <c r="F766" t="s">
        <v>3329</v>
      </c>
      <c r="G766" t="s">
        <v>2347</v>
      </c>
      <c r="H766" t="s">
        <v>2348</v>
      </c>
      <c r="I766" t="s">
        <v>85</v>
      </c>
      <c r="J766">
        <v>26</v>
      </c>
      <c r="K766" t="s">
        <v>81</v>
      </c>
      <c r="L766" t="s">
        <v>90</v>
      </c>
      <c r="M766" t="s">
        <v>55</v>
      </c>
      <c r="N766" t="s">
        <v>2590</v>
      </c>
      <c r="O766" t="s">
        <v>127</v>
      </c>
      <c r="P766" t="s">
        <v>51</v>
      </c>
      <c r="Q766" t="s">
        <v>148</v>
      </c>
      <c r="R766">
        <v>3</v>
      </c>
      <c r="S766">
        <v>1599</v>
      </c>
      <c r="T766">
        <v>0.1</v>
      </c>
      <c r="U766">
        <v>0</v>
      </c>
      <c r="V766">
        <v>0</v>
      </c>
      <c r="W766">
        <v>0</v>
      </c>
      <c r="X766" t="s">
        <v>77</v>
      </c>
      <c r="Y766" t="s">
        <v>71</v>
      </c>
      <c r="Z766" t="s">
        <v>162</v>
      </c>
      <c r="AA766" t="s">
        <v>171</v>
      </c>
      <c r="AB766">
        <v>2.9</v>
      </c>
      <c r="AC766">
        <v>60</v>
      </c>
      <c r="AD766">
        <v>470.47</v>
      </c>
      <c r="AE766">
        <f t="shared" si="22"/>
        <v>-530.47</v>
      </c>
      <c r="AF766" t="str">
        <f t="shared" si="23"/>
        <v>2025-04</v>
      </c>
      <c r="AG766">
        <f>SUBTOTAL(103,A766)</f>
        <v>1</v>
      </c>
    </row>
    <row r="767" spans="1:33" x14ac:dyDescent="0.3">
      <c r="A767" t="s">
        <v>3380</v>
      </c>
      <c r="B767" s="13">
        <v>45755</v>
      </c>
      <c r="C767">
        <v>2025</v>
      </c>
      <c r="D767">
        <v>4</v>
      </c>
      <c r="E767" t="s">
        <v>3328</v>
      </c>
      <c r="F767" t="s">
        <v>3329</v>
      </c>
      <c r="G767" t="s">
        <v>1107</v>
      </c>
      <c r="H767" t="s">
        <v>1108</v>
      </c>
      <c r="I767" t="s">
        <v>85</v>
      </c>
      <c r="J767">
        <v>54</v>
      </c>
      <c r="K767" t="s">
        <v>83</v>
      </c>
      <c r="L767" t="s">
        <v>2661</v>
      </c>
      <c r="M767" t="s">
        <v>58</v>
      </c>
      <c r="N767" t="s">
        <v>2626</v>
      </c>
      <c r="O767" t="s">
        <v>125</v>
      </c>
      <c r="P767" t="s">
        <v>48</v>
      </c>
      <c r="Q767" t="s">
        <v>141</v>
      </c>
      <c r="R767">
        <v>1</v>
      </c>
      <c r="S767">
        <v>1999</v>
      </c>
      <c r="T767">
        <v>0.05</v>
      </c>
      <c r="U767">
        <v>1899.05</v>
      </c>
      <c r="V767">
        <v>1150</v>
      </c>
      <c r="W767">
        <v>749.05</v>
      </c>
      <c r="X767" t="s">
        <v>73</v>
      </c>
      <c r="Y767" t="s">
        <v>68</v>
      </c>
      <c r="Z767" t="s">
        <v>160</v>
      </c>
      <c r="AA767" t="s">
        <v>171</v>
      </c>
      <c r="AB767">
        <v>3.5</v>
      </c>
      <c r="AC767">
        <v>80</v>
      </c>
      <c r="AD767">
        <v>56.65</v>
      </c>
      <c r="AE767">
        <f t="shared" si="22"/>
        <v>612.4</v>
      </c>
      <c r="AF767" t="str">
        <f t="shared" si="23"/>
        <v>2025-04</v>
      </c>
      <c r="AG767">
        <f>SUBTOTAL(103,A767)</f>
        <v>1</v>
      </c>
    </row>
    <row r="768" spans="1:33" x14ac:dyDescent="0.3">
      <c r="A768" t="s">
        <v>3381</v>
      </c>
      <c r="B768" s="13">
        <v>45755</v>
      </c>
      <c r="C768">
        <v>2025</v>
      </c>
      <c r="D768">
        <v>4</v>
      </c>
      <c r="E768" t="s">
        <v>3328</v>
      </c>
      <c r="F768" t="s">
        <v>3329</v>
      </c>
      <c r="G768" t="s">
        <v>1343</v>
      </c>
      <c r="H768" t="s">
        <v>1344</v>
      </c>
      <c r="I768" t="s">
        <v>86</v>
      </c>
      <c r="J768">
        <v>52</v>
      </c>
      <c r="K768" t="s">
        <v>83</v>
      </c>
      <c r="L768" t="s">
        <v>90</v>
      </c>
      <c r="M768" t="s">
        <v>55</v>
      </c>
      <c r="N768" t="s">
        <v>2603</v>
      </c>
      <c r="O768" t="s">
        <v>122</v>
      </c>
      <c r="P768" t="s">
        <v>48</v>
      </c>
      <c r="Q768" t="s">
        <v>141</v>
      </c>
      <c r="R768">
        <v>3</v>
      </c>
      <c r="S768">
        <v>2499</v>
      </c>
      <c r="T768">
        <v>0.15</v>
      </c>
      <c r="U768">
        <v>6372.45</v>
      </c>
      <c r="V768">
        <v>4350</v>
      </c>
      <c r="W768">
        <v>2022.45</v>
      </c>
      <c r="X768" t="s">
        <v>75</v>
      </c>
      <c r="Y768" t="s">
        <v>68</v>
      </c>
      <c r="Z768" t="s">
        <v>158</v>
      </c>
      <c r="AA768" t="s">
        <v>167</v>
      </c>
      <c r="AB768">
        <v>4.8</v>
      </c>
      <c r="AC768">
        <v>80</v>
      </c>
      <c r="AD768">
        <v>362.86</v>
      </c>
      <c r="AE768">
        <f t="shared" si="22"/>
        <v>1579.5900000000001</v>
      </c>
      <c r="AF768" t="str">
        <f t="shared" si="23"/>
        <v>2025-04</v>
      </c>
      <c r="AG768">
        <f>SUBTOTAL(103,A768)</f>
        <v>1</v>
      </c>
    </row>
    <row r="769" spans="1:33" x14ac:dyDescent="0.3">
      <c r="A769" t="s">
        <v>3382</v>
      </c>
      <c r="B769" s="13">
        <v>45755</v>
      </c>
      <c r="C769">
        <v>2025</v>
      </c>
      <c r="D769">
        <v>4</v>
      </c>
      <c r="E769" t="s">
        <v>3328</v>
      </c>
      <c r="F769" t="s">
        <v>3329</v>
      </c>
      <c r="G769" t="s">
        <v>209</v>
      </c>
      <c r="H769" t="s">
        <v>210</v>
      </c>
      <c r="I769" t="s">
        <v>85</v>
      </c>
      <c r="J769">
        <v>46</v>
      </c>
      <c r="K769" t="s">
        <v>83</v>
      </c>
      <c r="L769" t="s">
        <v>91</v>
      </c>
      <c r="M769" t="s">
        <v>55</v>
      </c>
      <c r="N769" t="s">
        <v>2587</v>
      </c>
      <c r="O769" t="s">
        <v>116</v>
      </c>
      <c r="P769" t="s">
        <v>48</v>
      </c>
      <c r="Q769" t="s">
        <v>138</v>
      </c>
      <c r="R769">
        <v>3</v>
      </c>
      <c r="S769">
        <v>14999</v>
      </c>
      <c r="T769">
        <v>0</v>
      </c>
      <c r="U769">
        <v>44997</v>
      </c>
      <c r="V769">
        <v>33600</v>
      </c>
      <c r="W769">
        <v>11397</v>
      </c>
      <c r="X769" t="s">
        <v>73</v>
      </c>
      <c r="Y769" t="s">
        <v>68</v>
      </c>
      <c r="Z769" t="s">
        <v>163</v>
      </c>
      <c r="AA769" t="s">
        <v>168</v>
      </c>
      <c r="AB769">
        <v>3.9</v>
      </c>
      <c r="AC769">
        <v>60</v>
      </c>
      <c r="AD769">
        <v>2745.47</v>
      </c>
      <c r="AE769">
        <f t="shared" si="22"/>
        <v>8591.5300000000007</v>
      </c>
      <c r="AF769" t="str">
        <f t="shared" si="23"/>
        <v>2025-04</v>
      </c>
      <c r="AG769">
        <f>SUBTOTAL(103,A769)</f>
        <v>1</v>
      </c>
    </row>
    <row r="770" spans="1:33" x14ac:dyDescent="0.3">
      <c r="A770" t="s">
        <v>3383</v>
      </c>
      <c r="B770" s="13">
        <v>45756</v>
      </c>
      <c r="C770">
        <v>2025</v>
      </c>
      <c r="D770">
        <v>4</v>
      </c>
      <c r="E770" t="s">
        <v>3328</v>
      </c>
      <c r="F770" t="s">
        <v>3329</v>
      </c>
      <c r="G770" t="s">
        <v>1167</v>
      </c>
      <c r="H770" t="s">
        <v>1168</v>
      </c>
      <c r="I770" t="s">
        <v>85</v>
      </c>
      <c r="J770">
        <v>48</v>
      </c>
      <c r="K770" t="s">
        <v>83</v>
      </c>
      <c r="L770" t="s">
        <v>2661</v>
      </c>
      <c r="M770" t="s">
        <v>58</v>
      </c>
      <c r="N770" t="s">
        <v>2665</v>
      </c>
      <c r="O770" t="s">
        <v>128</v>
      </c>
      <c r="P770" t="s">
        <v>53</v>
      </c>
      <c r="Q770" t="s">
        <v>143</v>
      </c>
      <c r="R770">
        <v>4</v>
      </c>
      <c r="S770">
        <v>1499</v>
      </c>
      <c r="T770">
        <v>0</v>
      </c>
      <c r="U770">
        <v>5996</v>
      </c>
      <c r="V770">
        <v>3200</v>
      </c>
      <c r="W770">
        <v>2796</v>
      </c>
      <c r="X770" t="s">
        <v>74</v>
      </c>
      <c r="Y770" t="s">
        <v>68</v>
      </c>
      <c r="Z770" t="s">
        <v>162</v>
      </c>
      <c r="AA770" t="s">
        <v>168</v>
      </c>
      <c r="AB770">
        <v>3.6</v>
      </c>
      <c r="AC770">
        <v>60</v>
      </c>
      <c r="AD770">
        <v>321.22000000000003</v>
      </c>
      <c r="AE770">
        <f t="shared" ref="AE770:AE833" si="24">W770-AC770-AD770</f>
        <v>2414.7799999999997</v>
      </c>
      <c r="AF770" t="str">
        <f t="shared" ref="AF770:AF833" si="25">C770&amp;"-"&amp;TEXT(D770,"00")</f>
        <v>2025-04</v>
      </c>
      <c r="AG770">
        <f>SUBTOTAL(103,A770)</f>
        <v>1</v>
      </c>
    </row>
    <row r="771" spans="1:33" x14ac:dyDescent="0.3">
      <c r="A771" t="s">
        <v>3384</v>
      </c>
      <c r="B771" s="13">
        <v>45756</v>
      </c>
      <c r="C771">
        <v>2025</v>
      </c>
      <c r="D771">
        <v>4</v>
      </c>
      <c r="E771" t="s">
        <v>3328</v>
      </c>
      <c r="F771" t="s">
        <v>3329</v>
      </c>
      <c r="G771" t="s">
        <v>1307</v>
      </c>
      <c r="H771" t="s">
        <v>1308</v>
      </c>
      <c r="I771" t="s">
        <v>85</v>
      </c>
      <c r="J771">
        <v>18</v>
      </c>
      <c r="K771" t="s">
        <v>80</v>
      </c>
      <c r="L771" t="s">
        <v>92</v>
      </c>
      <c r="M771" t="s">
        <v>59</v>
      </c>
      <c r="N771" t="s">
        <v>2594</v>
      </c>
      <c r="O771" t="s">
        <v>131</v>
      </c>
      <c r="P771" t="s">
        <v>53</v>
      </c>
      <c r="Q771" t="s">
        <v>143</v>
      </c>
      <c r="R771">
        <v>1</v>
      </c>
      <c r="S771">
        <v>999</v>
      </c>
      <c r="T771">
        <v>0.1</v>
      </c>
      <c r="U771">
        <v>899.1</v>
      </c>
      <c r="V771">
        <v>520</v>
      </c>
      <c r="W771">
        <v>379.1</v>
      </c>
      <c r="X771" t="s">
        <v>75</v>
      </c>
      <c r="Y771" t="s">
        <v>68</v>
      </c>
      <c r="Z771" t="s">
        <v>158</v>
      </c>
      <c r="AA771" t="s">
        <v>168</v>
      </c>
      <c r="AB771">
        <v>4.5</v>
      </c>
      <c r="AC771">
        <v>80</v>
      </c>
      <c r="AD771">
        <v>28.99</v>
      </c>
      <c r="AE771">
        <f t="shared" si="24"/>
        <v>270.11</v>
      </c>
      <c r="AF771" t="str">
        <f t="shared" si="25"/>
        <v>2025-04</v>
      </c>
      <c r="AG771">
        <f>SUBTOTAL(103,A771)</f>
        <v>1</v>
      </c>
    </row>
    <row r="772" spans="1:33" x14ac:dyDescent="0.3">
      <c r="A772" t="s">
        <v>3385</v>
      </c>
      <c r="B772" s="13">
        <v>45756</v>
      </c>
      <c r="C772">
        <v>2025</v>
      </c>
      <c r="D772">
        <v>4</v>
      </c>
      <c r="E772" t="s">
        <v>3328</v>
      </c>
      <c r="F772" t="s">
        <v>3329</v>
      </c>
      <c r="G772" t="s">
        <v>291</v>
      </c>
      <c r="H772" t="s">
        <v>292</v>
      </c>
      <c r="I772" t="s">
        <v>87</v>
      </c>
      <c r="J772">
        <v>21</v>
      </c>
      <c r="K772" t="s">
        <v>80</v>
      </c>
      <c r="L772" t="s">
        <v>98</v>
      </c>
      <c r="M772" t="s">
        <v>55</v>
      </c>
      <c r="N772" t="s">
        <v>2665</v>
      </c>
      <c r="O772" t="s">
        <v>128</v>
      </c>
      <c r="P772" t="s">
        <v>53</v>
      </c>
      <c r="Q772" t="s">
        <v>143</v>
      </c>
      <c r="R772">
        <v>2</v>
      </c>
      <c r="S772">
        <v>1499</v>
      </c>
      <c r="T772">
        <v>0.15</v>
      </c>
      <c r="U772">
        <v>2548.3000000000002</v>
      </c>
      <c r="V772">
        <v>1600</v>
      </c>
      <c r="W772">
        <v>948.3</v>
      </c>
      <c r="X772" t="s">
        <v>75</v>
      </c>
      <c r="Y772" t="s">
        <v>68</v>
      </c>
      <c r="Z772" t="s">
        <v>162</v>
      </c>
      <c r="AA772" t="s">
        <v>168</v>
      </c>
      <c r="AB772">
        <v>5</v>
      </c>
      <c r="AC772">
        <v>50</v>
      </c>
      <c r="AD772">
        <v>303.01</v>
      </c>
      <c r="AE772">
        <f t="shared" si="24"/>
        <v>595.29</v>
      </c>
      <c r="AF772" t="str">
        <f t="shared" si="25"/>
        <v>2025-04</v>
      </c>
      <c r="AG772">
        <f>SUBTOTAL(103,A772)</f>
        <v>1</v>
      </c>
    </row>
    <row r="773" spans="1:33" x14ac:dyDescent="0.3">
      <c r="A773" t="s">
        <v>3386</v>
      </c>
      <c r="B773" s="13">
        <v>45756</v>
      </c>
      <c r="C773">
        <v>2025</v>
      </c>
      <c r="D773">
        <v>4</v>
      </c>
      <c r="E773" t="s">
        <v>3328</v>
      </c>
      <c r="F773" t="s">
        <v>3329</v>
      </c>
      <c r="G773" t="s">
        <v>1839</v>
      </c>
      <c r="H773" t="s">
        <v>1840</v>
      </c>
      <c r="I773" t="s">
        <v>85</v>
      </c>
      <c r="J773">
        <v>34</v>
      </c>
      <c r="K773" t="s">
        <v>81</v>
      </c>
      <c r="L773" t="s">
        <v>90</v>
      </c>
      <c r="M773" t="s">
        <v>55</v>
      </c>
      <c r="N773" t="s">
        <v>2653</v>
      </c>
      <c r="O773" t="s">
        <v>132</v>
      </c>
      <c r="P773" t="s">
        <v>52</v>
      </c>
      <c r="Q773" t="s">
        <v>150</v>
      </c>
      <c r="R773">
        <v>1</v>
      </c>
      <c r="S773">
        <v>899</v>
      </c>
      <c r="T773">
        <v>0.1</v>
      </c>
      <c r="U773">
        <v>809.1</v>
      </c>
      <c r="V773">
        <v>420</v>
      </c>
      <c r="W773">
        <v>389.1</v>
      </c>
      <c r="X773" t="s">
        <v>77</v>
      </c>
      <c r="Y773" t="s">
        <v>68</v>
      </c>
      <c r="Z773" t="s">
        <v>159</v>
      </c>
      <c r="AA773" t="s">
        <v>166</v>
      </c>
      <c r="AB773">
        <v>4.9000000000000004</v>
      </c>
      <c r="AC773">
        <v>80</v>
      </c>
      <c r="AD773">
        <v>60.21</v>
      </c>
      <c r="AE773">
        <f t="shared" si="24"/>
        <v>248.89000000000001</v>
      </c>
      <c r="AF773" t="str">
        <f t="shared" si="25"/>
        <v>2025-04</v>
      </c>
      <c r="AG773">
        <f>SUBTOTAL(103,A773)</f>
        <v>1</v>
      </c>
    </row>
    <row r="774" spans="1:33" x14ac:dyDescent="0.3">
      <c r="A774" t="s">
        <v>3387</v>
      </c>
      <c r="B774" s="13">
        <v>45756</v>
      </c>
      <c r="C774">
        <v>2025</v>
      </c>
      <c r="D774">
        <v>4</v>
      </c>
      <c r="E774" t="s">
        <v>3328</v>
      </c>
      <c r="F774" t="s">
        <v>3329</v>
      </c>
      <c r="G774" t="s">
        <v>1183</v>
      </c>
      <c r="H774" t="s">
        <v>1184</v>
      </c>
      <c r="I774" t="s">
        <v>86</v>
      </c>
      <c r="J774">
        <v>48</v>
      </c>
      <c r="K774" t="s">
        <v>83</v>
      </c>
      <c r="L774" t="s">
        <v>90</v>
      </c>
      <c r="M774" t="s">
        <v>55</v>
      </c>
      <c r="N774" t="s">
        <v>2574</v>
      </c>
      <c r="O774" t="s">
        <v>130</v>
      </c>
      <c r="P774" t="s">
        <v>50</v>
      </c>
      <c r="Q774" t="s">
        <v>53</v>
      </c>
      <c r="R774">
        <v>2</v>
      </c>
      <c r="S774">
        <v>1199</v>
      </c>
      <c r="T774">
        <v>0</v>
      </c>
      <c r="U774">
        <v>2398</v>
      </c>
      <c r="V774">
        <v>1100</v>
      </c>
      <c r="W774">
        <v>1298</v>
      </c>
      <c r="X774" t="s">
        <v>76</v>
      </c>
      <c r="Y774" t="s">
        <v>68</v>
      </c>
      <c r="Z774" t="s">
        <v>160</v>
      </c>
      <c r="AA774" t="s">
        <v>170</v>
      </c>
      <c r="AB774">
        <v>3.7</v>
      </c>
      <c r="AC774">
        <v>100</v>
      </c>
      <c r="AD774">
        <v>285.61</v>
      </c>
      <c r="AE774">
        <f t="shared" si="24"/>
        <v>912.39</v>
      </c>
      <c r="AF774" t="str">
        <f t="shared" si="25"/>
        <v>2025-04</v>
      </c>
      <c r="AG774">
        <f>SUBTOTAL(103,A774)</f>
        <v>1</v>
      </c>
    </row>
    <row r="775" spans="1:33" x14ac:dyDescent="0.3">
      <c r="A775" t="s">
        <v>3388</v>
      </c>
      <c r="B775" s="13">
        <v>45756</v>
      </c>
      <c r="C775">
        <v>2025</v>
      </c>
      <c r="D775">
        <v>4</v>
      </c>
      <c r="E775" t="s">
        <v>3328</v>
      </c>
      <c r="F775" t="s">
        <v>3329</v>
      </c>
      <c r="G775" t="s">
        <v>959</v>
      </c>
      <c r="H775" t="s">
        <v>960</v>
      </c>
      <c r="I775" t="s">
        <v>86</v>
      </c>
      <c r="J775">
        <v>26</v>
      </c>
      <c r="K775" t="s">
        <v>81</v>
      </c>
      <c r="L775" t="s">
        <v>2679</v>
      </c>
      <c r="M775" t="s">
        <v>60</v>
      </c>
      <c r="N775" t="s">
        <v>2580</v>
      </c>
      <c r="O775" t="s">
        <v>118</v>
      </c>
      <c r="P775" t="s">
        <v>48</v>
      </c>
      <c r="Q775" t="s">
        <v>142</v>
      </c>
      <c r="R775">
        <v>4</v>
      </c>
      <c r="S775">
        <v>3999</v>
      </c>
      <c r="T775">
        <v>0</v>
      </c>
      <c r="U775">
        <v>0</v>
      </c>
      <c r="V775">
        <v>0</v>
      </c>
      <c r="W775">
        <v>0</v>
      </c>
      <c r="X775" t="s">
        <v>73</v>
      </c>
      <c r="Y775" t="s">
        <v>71</v>
      </c>
      <c r="Z775" t="s">
        <v>162</v>
      </c>
      <c r="AA775" t="s">
        <v>166</v>
      </c>
      <c r="AB775">
        <v>3.6</v>
      </c>
      <c r="AC775">
        <v>60</v>
      </c>
      <c r="AD775">
        <v>817.38</v>
      </c>
      <c r="AE775">
        <f t="shared" si="24"/>
        <v>-877.38</v>
      </c>
      <c r="AF775" t="str">
        <f t="shared" si="25"/>
        <v>2025-04</v>
      </c>
      <c r="AG775">
        <f>SUBTOTAL(103,A775)</f>
        <v>1</v>
      </c>
    </row>
    <row r="776" spans="1:33" x14ac:dyDescent="0.3">
      <c r="A776" t="s">
        <v>3389</v>
      </c>
      <c r="B776" s="13">
        <v>45756</v>
      </c>
      <c r="C776">
        <v>2025</v>
      </c>
      <c r="D776">
        <v>4</v>
      </c>
      <c r="E776" t="s">
        <v>3328</v>
      </c>
      <c r="F776" t="s">
        <v>3329</v>
      </c>
      <c r="G776" t="s">
        <v>2349</v>
      </c>
      <c r="H776" t="s">
        <v>2350</v>
      </c>
      <c r="I776" t="s">
        <v>86</v>
      </c>
      <c r="J776">
        <v>49</v>
      </c>
      <c r="K776" t="s">
        <v>83</v>
      </c>
      <c r="L776" t="s">
        <v>2589</v>
      </c>
      <c r="M776" t="s">
        <v>61</v>
      </c>
      <c r="N776" t="s">
        <v>2580</v>
      </c>
      <c r="O776" t="s">
        <v>118</v>
      </c>
      <c r="P776" t="s">
        <v>48</v>
      </c>
      <c r="Q776" t="s">
        <v>142</v>
      </c>
      <c r="R776">
        <v>1</v>
      </c>
      <c r="S776">
        <v>3999</v>
      </c>
      <c r="T776">
        <v>0.2</v>
      </c>
      <c r="U776">
        <v>3199.2</v>
      </c>
      <c r="V776">
        <v>2400</v>
      </c>
      <c r="W776">
        <v>799.2</v>
      </c>
      <c r="X776" t="s">
        <v>73</v>
      </c>
      <c r="Y776" t="s">
        <v>68</v>
      </c>
      <c r="Z776" t="s">
        <v>160</v>
      </c>
      <c r="AA776" t="s">
        <v>169</v>
      </c>
      <c r="AB776">
        <v>3</v>
      </c>
      <c r="AC776">
        <v>60</v>
      </c>
      <c r="AD776">
        <v>154.69</v>
      </c>
      <c r="AE776">
        <f t="shared" si="24"/>
        <v>584.51</v>
      </c>
      <c r="AF776" t="str">
        <f t="shared" si="25"/>
        <v>2025-04</v>
      </c>
      <c r="AG776">
        <f>SUBTOTAL(103,A776)</f>
        <v>1</v>
      </c>
    </row>
    <row r="777" spans="1:33" x14ac:dyDescent="0.3">
      <c r="A777" t="s">
        <v>3390</v>
      </c>
      <c r="B777" s="13">
        <v>45756</v>
      </c>
      <c r="C777">
        <v>2025</v>
      </c>
      <c r="D777">
        <v>4</v>
      </c>
      <c r="E777" t="s">
        <v>3328</v>
      </c>
      <c r="F777" t="s">
        <v>3329</v>
      </c>
      <c r="G777" t="s">
        <v>1005</v>
      </c>
      <c r="H777" t="s">
        <v>1006</v>
      </c>
      <c r="I777" t="s">
        <v>85</v>
      </c>
      <c r="J777">
        <v>47</v>
      </c>
      <c r="K777" t="s">
        <v>83</v>
      </c>
      <c r="L777" t="s">
        <v>97</v>
      </c>
      <c r="M777" t="s">
        <v>57</v>
      </c>
      <c r="N777" t="s">
        <v>2584</v>
      </c>
      <c r="O777" t="s">
        <v>121</v>
      </c>
      <c r="P777" t="s">
        <v>50</v>
      </c>
      <c r="Q777" t="s">
        <v>144</v>
      </c>
      <c r="R777">
        <v>2</v>
      </c>
      <c r="S777">
        <v>2999</v>
      </c>
      <c r="T777">
        <v>0</v>
      </c>
      <c r="U777">
        <v>5998</v>
      </c>
      <c r="V777">
        <v>3400</v>
      </c>
      <c r="W777">
        <v>2598</v>
      </c>
      <c r="X777" t="s">
        <v>74</v>
      </c>
      <c r="Y777" t="s">
        <v>68</v>
      </c>
      <c r="Z777" t="s">
        <v>163</v>
      </c>
      <c r="AA777" t="s">
        <v>171</v>
      </c>
      <c r="AB777">
        <v>5</v>
      </c>
      <c r="AC777">
        <v>40</v>
      </c>
      <c r="AD777">
        <v>604.65</v>
      </c>
      <c r="AE777">
        <f t="shared" si="24"/>
        <v>1953.35</v>
      </c>
      <c r="AF777" t="str">
        <f t="shared" si="25"/>
        <v>2025-04</v>
      </c>
      <c r="AG777">
        <f>SUBTOTAL(103,A777)</f>
        <v>1</v>
      </c>
    </row>
    <row r="778" spans="1:33" x14ac:dyDescent="0.3">
      <c r="A778" t="s">
        <v>3391</v>
      </c>
      <c r="B778" s="13">
        <v>45757</v>
      </c>
      <c r="C778">
        <v>2025</v>
      </c>
      <c r="D778">
        <v>4</v>
      </c>
      <c r="E778" t="s">
        <v>3328</v>
      </c>
      <c r="F778" t="s">
        <v>3329</v>
      </c>
      <c r="G778" t="s">
        <v>1283</v>
      </c>
      <c r="H778" t="s">
        <v>1284</v>
      </c>
      <c r="I778" t="s">
        <v>86</v>
      </c>
      <c r="J778">
        <v>59</v>
      </c>
      <c r="K778" t="s">
        <v>83</v>
      </c>
      <c r="L778" t="s">
        <v>2589</v>
      </c>
      <c r="M778" t="s">
        <v>61</v>
      </c>
      <c r="N778" t="s">
        <v>2577</v>
      </c>
      <c r="O778" t="s">
        <v>129</v>
      </c>
      <c r="P778" t="s">
        <v>49</v>
      </c>
      <c r="Q778" t="s">
        <v>149</v>
      </c>
      <c r="R778">
        <v>1</v>
      </c>
      <c r="S778">
        <v>1299</v>
      </c>
      <c r="T778">
        <v>0.05</v>
      </c>
      <c r="U778">
        <v>1234.05</v>
      </c>
      <c r="V778">
        <v>650</v>
      </c>
      <c r="W778">
        <v>584.04999999999995</v>
      </c>
      <c r="X778" t="s">
        <v>74</v>
      </c>
      <c r="Y778" t="s">
        <v>68</v>
      </c>
      <c r="Z778" t="s">
        <v>158</v>
      </c>
      <c r="AA778" t="s">
        <v>170</v>
      </c>
      <c r="AB778">
        <v>4.4000000000000004</v>
      </c>
      <c r="AC778">
        <v>60</v>
      </c>
      <c r="AD778">
        <v>75.849999999999994</v>
      </c>
      <c r="AE778">
        <f t="shared" si="24"/>
        <v>448.19999999999993</v>
      </c>
      <c r="AF778" t="str">
        <f t="shared" si="25"/>
        <v>2025-04</v>
      </c>
      <c r="AG778">
        <f>SUBTOTAL(103,A778)</f>
        <v>1</v>
      </c>
    </row>
    <row r="779" spans="1:33" x14ac:dyDescent="0.3">
      <c r="A779" t="s">
        <v>3392</v>
      </c>
      <c r="B779" s="13">
        <v>45757</v>
      </c>
      <c r="C779">
        <v>2025</v>
      </c>
      <c r="D779">
        <v>4</v>
      </c>
      <c r="E779" t="s">
        <v>3328</v>
      </c>
      <c r="F779" t="s">
        <v>3329</v>
      </c>
      <c r="G779" t="s">
        <v>907</v>
      </c>
      <c r="H779" t="s">
        <v>908</v>
      </c>
      <c r="I779" t="s">
        <v>85</v>
      </c>
      <c r="J779">
        <v>60</v>
      </c>
      <c r="K779" t="s">
        <v>83</v>
      </c>
      <c r="L779" t="s">
        <v>2586</v>
      </c>
      <c r="M779" t="s">
        <v>62</v>
      </c>
      <c r="N779" t="s">
        <v>2665</v>
      </c>
      <c r="O779" t="s">
        <v>128</v>
      </c>
      <c r="P779" t="s">
        <v>53</v>
      </c>
      <c r="Q779" t="s">
        <v>143</v>
      </c>
      <c r="R779">
        <v>1</v>
      </c>
      <c r="S779">
        <v>1499</v>
      </c>
      <c r="T779">
        <v>0.15</v>
      </c>
      <c r="U779">
        <v>1274.1500000000001</v>
      </c>
      <c r="V779">
        <v>800</v>
      </c>
      <c r="W779">
        <v>474.15</v>
      </c>
      <c r="X779" t="s">
        <v>75</v>
      </c>
      <c r="Y779" t="s">
        <v>68</v>
      </c>
      <c r="Z779" t="s">
        <v>161</v>
      </c>
      <c r="AA779" t="s">
        <v>167</v>
      </c>
      <c r="AB779">
        <v>3.2</v>
      </c>
      <c r="AC779">
        <v>40</v>
      </c>
      <c r="AD779">
        <v>63.78</v>
      </c>
      <c r="AE779">
        <f t="shared" si="24"/>
        <v>370.37</v>
      </c>
      <c r="AF779" t="str">
        <f t="shared" si="25"/>
        <v>2025-04</v>
      </c>
      <c r="AG779">
        <f>SUBTOTAL(103,A779)</f>
        <v>1</v>
      </c>
    </row>
    <row r="780" spans="1:33" x14ac:dyDescent="0.3">
      <c r="A780" t="s">
        <v>3393</v>
      </c>
      <c r="B780" s="13">
        <v>45757</v>
      </c>
      <c r="C780">
        <v>2025</v>
      </c>
      <c r="D780">
        <v>4</v>
      </c>
      <c r="E780" t="s">
        <v>3328</v>
      </c>
      <c r="F780" t="s">
        <v>3329</v>
      </c>
      <c r="G780" t="s">
        <v>1047</v>
      </c>
      <c r="H780" t="s">
        <v>1048</v>
      </c>
      <c r="I780" t="s">
        <v>85</v>
      </c>
      <c r="J780">
        <v>40</v>
      </c>
      <c r="K780" t="s">
        <v>82</v>
      </c>
      <c r="L780" t="s">
        <v>96</v>
      </c>
      <c r="M780" t="s">
        <v>55</v>
      </c>
      <c r="N780" t="s">
        <v>2626</v>
      </c>
      <c r="O780" t="s">
        <v>125</v>
      </c>
      <c r="P780" t="s">
        <v>48</v>
      </c>
      <c r="Q780" t="s">
        <v>141</v>
      </c>
      <c r="R780">
        <v>3</v>
      </c>
      <c r="S780">
        <v>1999</v>
      </c>
      <c r="T780">
        <v>0.05</v>
      </c>
      <c r="U780">
        <v>5697.15</v>
      </c>
      <c r="V780">
        <v>3450</v>
      </c>
      <c r="W780">
        <v>2247.15</v>
      </c>
      <c r="X780" t="s">
        <v>77</v>
      </c>
      <c r="Y780" t="s">
        <v>68</v>
      </c>
      <c r="Z780" t="s">
        <v>161</v>
      </c>
      <c r="AA780" t="s">
        <v>171</v>
      </c>
      <c r="AB780">
        <v>4.8</v>
      </c>
      <c r="AC780">
        <v>120</v>
      </c>
      <c r="AD780">
        <v>286.41000000000003</v>
      </c>
      <c r="AE780">
        <f t="shared" si="24"/>
        <v>1840.74</v>
      </c>
      <c r="AF780" t="str">
        <f t="shared" si="25"/>
        <v>2025-04</v>
      </c>
      <c r="AG780">
        <f>SUBTOTAL(103,A780)</f>
        <v>1</v>
      </c>
    </row>
    <row r="781" spans="1:33" x14ac:dyDescent="0.3">
      <c r="A781" t="s">
        <v>3394</v>
      </c>
      <c r="B781" s="13">
        <v>45757</v>
      </c>
      <c r="C781">
        <v>2025</v>
      </c>
      <c r="D781">
        <v>4</v>
      </c>
      <c r="E781" t="s">
        <v>3328</v>
      </c>
      <c r="F781" t="s">
        <v>3329</v>
      </c>
      <c r="G781" t="s">
        <v>1171</v>
      </c>
      <c r="H781" t="s">
        <v>1172</v>
      </c>
      <c r="I781" t="s">
        <v>86</v>
      </c>
      <c r="J781">
        <v>52</v>
      </c>
      <c r="K781" t="s">
        <v>83</v>
      </c>
      <c r="L781" t="s">
        <v>92</v>
      </c>
      <c r="M781" t="s">
        <v>59</v>
      </c>
      <c r="N781" t="s">
        <v>2580</v>
      </c>
      <c r="O781" t="s">
        <v>118</v>
      </c>
      <c r="P781" t="s">
        <v>48</v>
      </c>
      <c r="Q781" t="s">
        <v>142</v>
      </c>
      <c r="R781">
        <v>5</v>
      </c>
      <c r="S781">
        <v>3999</v>
      </c>
      <c r="T781">
        <v>0</v>
      </c>
      <c r="U781">
        <v>19995</v>
      </c>
      <c r="V781">
        <v>12000</v>
      </c>
      <c r="W781">
        <v>7995</v>
      </c>
      <c r="X781" t="s">
        <v>77</v>
      </c>
      <c r="Y781" t="s">
        <v>68</v>
      </c>
      <c r="Z781" t="s">
        <v>163</v>
      </c>
      <c r="AA781" t="s">
        <v>170</v>
      </c>
      <c r="AB781">
        <v>2.9</v>
      </c>
      <c r="AC781">
        <v>50</v>
      </c>
      <c r="AD781">
        <v>1504.44</v>
      </c>
      <c r="AE781">
        <f t="shared" si="24"/>
        <v>6440.5599999999995</v>
      </c>
      <c r="AF781" t="str">
        <f t="shared" si="25"/>
        <v>2025-04</v>
      </c>
      <c r="AG781">
        <f>SUBTOTAL(103,A781)</f>
        <v>1</v>
      </c>
    </row>
    <row r="782" spans="1:33" x14ac:dyDescent="0.3">
      <c r="A782" t="s">
        <v>3395</v>
      </c>
      <c r="B782" s="13">
        <v>45757</v>
      </c>
      <c r="C782">
        <v>2025</v>
      </c>
      <c r="D782">
        <v>4</v>
      </c>
      <c r="E782" t="s">
        <v>3328</v>
      </c>
      <c r="F782" t="s">
        <v>3329</v>
      </c>
      <c r="G782" t="s">
        <v>685</v>
      </c>
      <c r="H782" t="s">
        <v>686</v>
      </c>
      <c r="I782" t="s">
        <v>85</v>
      </c>
      <c r="J782">
        <v>35</v>
      </c>
      <c r="K782" t="s">
        <v>81</v>
      </c>
      <c r="L782" t="s">
        <v>92</v>
      </c>
      <c r="M782" t="s">
        <v>59</v>
      </c>
      <c r="N782" t="s">
        <v>2601</v>
      </c>
      <c r="O782" t="s">
        <v>117</v>
      </c>
      <c r="P782" t="s">
        <v>49</v>
      </c>
      <c r="Q782" t="s">
        <v>139</v>
      </c>
      <c r="R782">
        <v>3</v>
      </c>
      <c r="S782">
        <v>6999</v>
      </c>
      <c r="T782">
        <v>0.1</v>
      </c>
      <c r="U782">
        <v>18897.3</v>
      </c>
      <c r="V782">
        <v>12900</v>
      </c>
      <c r="W782">
        <v>5997.3</v>
      </c>
      <c r="X782" t="s">
        <v>74</v>
      </c>
      <c r="Y782" t="s">
        <v>68</v>
      </c>
      <c r="Z782" t="s">
        <v>160</v>
      </c>
      <c r="AA782" t="s">
        <v>168</v>
      </c>
      <c r="AB782">
        <v>4.4000000000000004</v>
      </c>
      <c r="AC782">
        <v>60</v>
      </c>
      <c r="AD782">
        <v>1658.84</v>
      </c>
      <c r="AE782">
        <f t="shared" si="24"/>
        <v>4278.46</v>
      </c>
      <c r="AF782" t="str">
        <f t="shared" si="25"/>
        <v>2025-04</v>
      </c>
      <c r="AG782">
        <f>SUBTOTAL(103,A782)</f>
        <v>1</v>
      </c>
    </row>
    <row r="783" spans="1:33" x14ac:dyDescent="0.3">
      <c r="A783" t="s">
        <v>3396</v>
      </c>
      <c r="B783" s="13">
        <v>45758</v>
      </c>
      <c r="C783">
        <v>2025</v>
      </c>
      <c r="D783">
        <v>4</v>
      </c>
      <c r="E783" t="s">
        <v>3328</v>
      </c>
      <c r="F783" t="s">
        <v>3329</v>
      </c>
      <c r="G783" t="s">
        <v>1923</v>
      </c>
      <c r="H783" t="s">
        <v>1924</v>
      </c>
      <c r="I783" t="s">
        <v>85</v>
      </c>
      <c r="J783">
        <v>43</v>
      </c>
      <c r="K783" t="s">
        <v>82</v>
      </c>
      <c r="L783" t="s">
        <v>98</v>
      </c>
      <c r="M783" t="s">
        <v>55</v>
      </c>
      <c r="N783" t="s">
        <v>2644</v>
      </c>
      <c r="O783" t="s">
        <v>126</v>
      </c>
      <c r="P783" t="s">
        <v>50</v>
      </c>
      <c r="Q783" t="s">
        <v>145</v>
      </c>
      <c r="R783">
        <v>3</v>
      </c>
      <c r="S783">
        <v>1799</v>
      </c>
      <c r="T783">
        <v>0</v>
      </c>
      <c r="U783">
        <v>0</v>
      </c>
      <c r="V783">
        <v>0</v>
      </c>
      <c r="W783">
        <v>0</v>
      </c>
      <c r="X783" t="s">
        <v>73</v>
      </c>
      <c r="Y783" t="s">
        <v>71</v>
      </c>
      <c r="Z783" t="s">
        <v>160</v>
      </c>
      <c r="AA783" t="s">
        <v>171</v>
      </c>
      <c r="AB783">
        <v>5</v>
      </c>
      <c r="AC783">
        <v>60</v>
      </c>
      <c r="AD783">
        <v>388.84</v>
      </c>
      <c r="AE783">
        <f t="shared" si="24"/>
        <v>-448.84</v>
      </c>
      <c r="AF783" t="str">
        <f t="shared" si="25"/>
        <v>2025-04</v>
      </c>
      <c r="AG783">
        <f>SUBTOTAL(103,A783)</f>
        <v>1</v>
      </c>
    </row>
    <row r="784" spans="1:33" x14ac:dyDescent="0.3">
      <c r="A784" t="s">
        <v>3397</v>
      </c>
      <c r="B784" s="13">
        <v>45758</v>
      </c>
      <c r="C784">
        <v>2025</v>
      </c>
      <c r="D784">
        <v>4</v>
      </c>
      <c r="E784" t="s">
        <v>3328</v>
      </c>
      <c r="F784" t="s">
        <v>3329</v>
      </c>
      <c r="G784" t="s">
        <v>2145</v>
      </c>
      <c r="H784" t="s">
        <v>2146</v>
      </c>
      <c r="I784" t="s">
        <v>86</v>
      </c>
      <c r="J784">
        <v>25</v>
      </c>
      <c r="K784" t="s">
        <v>80</v>
      </c>
      <c r="L784" t="s">
        <v>98</v>
      </c>
      <c r="M784" t="s">
        <v>55</v>
      </c>
      <c r="N784" t="s">
        <v>2647</v>
      </c>
      <c r="O784" t="s">
        <v>133</v>
      </c>
      <c r="P784" t="s">
        <v>50</v>
      </c>
      <c r="Q784" t="s">
        <v>145</v>
      </c>
      <c r="R784">
        <v>2</v>
      </c>
      <c r="S784">
        <v>799</v>
      </c>
      <c r="T784">
        <v>0.1</v>
      </c>
      <c r="U784">
        <v>1438.2</v>
      </c>
      <c r="V784">
        <v>780</v>
      </c>
      <c r="W784">
        <v>658.2</v>
      </c>
      <c r="X784" t="s">
        <v>75</v>
      </c>
      <c r="Y784" t="s">
        <v>69</v>
      </c>
      <c r="Z784" t="s">
        <v>158</v>
      </c>
      <c r="AA784" t="s">
        <v>168</v>
      </c>
      <c r="AB784">
        <v>4</v>
      </c>
      <c r="AC784">
        <v>40</v>
      </c>
      <c r="AD784">
        <v>31.24</v>
      </c>
      <c r="AE784">
        <f t="shared" si="24"/>
        <v>586.96</v>
      </c>
      <c r="AF784" t="str">
        <f t="shared" si="25"/>
        <v>2025-04</v>
      </c>
      <c r="AG784">
        <f>SUBTOTAL(103,A784)</f>
        <v>1</v>
      </c>
    </row>
    <row r="785" spans="1:33" x14ac:dyDescent="0.3">
      <c r="A785" t="s">
        <v>3398</v>
      </c>
      <c r="B785" s="13">
        <v>45758</v>
      </c>
      <c r="C785">
        <v>2025</v>
      </c>
      <c r="D785">
        <v>4</v>
      </c>
      <c r="E785" t="s">
        <v>3328</v>
      </c>
      <c r="F785" t="s">
        <v>3329</v>
      </c>
      <c r="G785" t="s">
        <v>1685</v>
      </c>
      <c r="H785" t="s">
        <v>1686</v>
      </c>
      <c r="I785" t="s">
        <v>86</v>
      </c>
      <c r="J785">
        <v>37</v>
      </c>
      <c r="K785" t="s">
        <v>82</v>
      </c>
      <c r="L785" t="s">
        <v>2586</v>
      </c>
      <c r="M785" t="s">
        <v>62</v>
      </c>
      <c r="N785" t="s">
        <v>2657</v>
      </c>
      <c r="O785" t="s">
        <v>134</v>
      </c>
      <c r="P785" t="s">
        <v>49</v>
      </c>
      <c r="Q785" t="s">
        <v>140</v>
      </c>
      <c r="R785">
        <v>1</v>
      </c>
      <c r="S785">
        <v>599</v>
      </c>
      <c r="T785">
        <v>0.15</v>
      </c>
      <c r="U785">
        <v>509.15</v>
      </c>
      <c r="V785">
        <v>250</v>
      </c>
      <c r="W785">
        <v>259.14999999999998</v>
      </c>
      <c r="X785" t="s">
        <v>76</v>
      </c>
      <c r="Y785" t="s">
        <v>68</v>
      </c>
      <c r="Z785" t="s">
        <v>159</v>
      </c>
      <c r="AA785" t="s">
        <v>168</v>
      </c>
      <c r="AB785">
        <v>3.7</v>
      </c>
      <c r="AC785">
        <v>100</v>
      </c>
      <c r="AD785">
        <v>48.33</v>
      </c>
      <c r="AE785">
        <f t="shared" si="24"/>
        <v>110.81999999999998</v>
      </c>
      <c r="AF785" t="str">
        <f t="shared" si="25"/>
        <v>2025-04</v>
      </c>
      <c r="AG785">
        <f>SUBTOTAL(103,A785)</f>
        <v>1</v>
      </c>
    </row>
    <row r="786" spans="1:33" x14ac:dyDescent="0.3">
      <c r="A786" t="s">
        <v>3399</v>
      </c>
      <c r="B786" s="13">
        <v>45758</v>
      </c>
      <c r="C786">
        <v>2025</v>
      </c>
      <c r="D786">
        <v>4</v>
      </c>
      <c r="E786" t="s">
        <v>3328</v>
      </c>
      <c r="F786" t="s">
        <v>3329</v>
      </c>
      <c r="G786" t="s">
        <v>679</v>
      </c>
      <c r="H786" t="s">
        <v>680</v>
      </c>
      <c r="I786" t="s">
        <v>86</v>
      </c>
      <c r="J786">
        <v>26</v>
      </c>
      <c r="K786" t="s">
        <v>81</v>
      </c>
      <c r="L786" t="s">
        <v>2623</v>
      </c>
      <c r="M786" t="s">
        <v>61</v>
      </c>
      <c r="N786" t="s">
        <v>2577</v>
      </c>
      <c r="O786" t="s">
        <v>129</v>
      </c>
      <c r="P786" t="s">
        <v>49</v>
      </c>
      <c r="Q786" t="s">
        <v>149</v>
      </c>
      <c r="R786">
        <v>4</v>
      </c>
      <c r="S786">
        <v>1299</v>
      </c>
      <c r="T786">
        <v>0.2</v>
      </c>
      <c r="U786">
        <v>4156.8</v>
      </c>
      <c r="V786">
        <v>2600</v>
      </c>
      <c r="W786">
        <v>1556.8</v>
      </c>
      <c r="X786" t="s">
        <v>73</v>
      </c>
      <c r="Y786" t="s">
        <v>68</v>
      </c>
      <c r="Z786" t="s">
        <v>163</v>
      </c>
      <c r="AA786" t="s">
        <v>166</v>
      </c>
      <c r="AB786">
        <v>4.2</v>
      </c>
      <c r="AC786">
        <v>60</v>
      </c>
      <c r="AD786">
        <v>305.5</v>
      </c>
      <c r="AE786">
        <f t="shared" si="24"/>
        <v>1191.3</v>
      </c>
      <c r="AF786" t="str">
        <f t="shared" si="25"/>
        <v>2025-04</v>
      </c>
      <c r="AG786">
        <f>SUBTOTAL(103,A786)</f>
        <v>1</v>
      </c>
    </row>
    <row r="787" spans="1:33" x14ac:dyDescent="0.3">
      <c r="A787" t="s">
        <v>3400</v>
      </c>
      <c r="B787" s="13">
        <v>45758</v>
      </c>
      <c r="C787">
        <v>2025</v>
      </c>
      <c r="D787">
        <v>4</v>
      </c>
      <c r="E787" t="s">
        <v>3328</v>
      </c>
      <c r="F787" t="s">
        <v>3329</v>
      </c>
      <c r="G787" t="s">
        <v>1069</v>
      </c>
      <c r="H787" t="s">
        <v>1070</v>
      </c>
      <c r="I787" t="s">
        <v>87</v>
      </c>
      <c r="J787">
        <v>24</v>
      </c>
      <c r="K787" t="s">
        <v>80</v>
      </c>
      <c r="L787" t="s">
        <v>98</v>
      </c>
      <c r="M787" t="s">
        <v>55</v>
      </c>
      <c r="N787" t="s">
        <v>2644</v>
      </c>
      <c r="O787" t="s">
        <v>126</v>
      </c>
      <c r="P787" t="s">
        <v>50</v>
      </c>
      <c r="Q787" t="s">
        <v>145</v>
      </c>
      <c r="R787">
        <v>1</v>
      </c>
      <c r="S787">
        <v>1799</v>
      </c>
      <c r="T787">
        <v>0.15</v>
      </c>
      <c r="U787">
        <v>1529.15</v>
      </c>
      <c r="V787">
        <v>950</v>
      </c>
      <c r="W787">
        <v>579.15</v>
      </c>
      <c r="X787" t="s">
        <v>74</v>
      </c>
      <c r="Y787" t="s">
        <v>68</v>
      </c>
      <c r="Z787" t="s">
        <v>159</v>
      </c>
      <c r="AA787" t="s">
        <v>166</v>
      </c>
      <c r="AB787">
        <v>3.4</v>
      </c>
      <c r="AC787">
        <v>60</v>
      </c>
      <c r="AD787">
        <v>177.21</v>
      </c>
      <c r="AE787">
        <f t="shared" si="24"/>
        <v>341.93999999999994</v>
      </c>
      <c r="AF787" t="str">
        <f t="shared" si="25"/>
        <v>2025-04</v>
      </c>
      <c r="AG787">
        <f>SUBTOTAL(103,A787)</f>
        <v>1</v>
      </c>
    </row>
    <row r="788" spans="1:33" x14ac:dyDescent="0.3">
      <c r="A788" t="s">
        <v>3401</v>
      </c>
      <c r="B788" s="13">
        <v>45758</v>
      </c>
      <c r="C788">
        <v>2025</v>
      </c>
      <c r="D788">
        <v>4</v>
      </c>
      <c r="E788" t="s">
        <v>3328</v>
      </c>
      <c r="F788" t="s">
        <v>3329</v>
      </c>
      <c r="G788" t="s">
        <v>1851</v>
      </c>
      <c r="H788" t="s">
        <v>1852</v>
      </c>
      <c r="I788" t="s">
        <v>86</v>
      </c>
      <c r="J788">
        <v>29</v>
      </c>
      <c r="K788" t="s">
        <v>81</v>
      </c>
      <c r="L788" t="s">
        <v>95</v>
      </c>
      <c r="M788" t="s">
        <v>56</v>
      </c>
      <c r="N788" t="s">
        <v>2657</v>
      </c>
      <c r="O788" t="s">
        <v>134</v>
      </c>
      <c r="P788" t="s">
        <v>49</v>
      </c>
      <c r="Q788" t="s">
        <v>140</v>
      </c>
      <c r="R788">
        <v>2</v>
      </c>
      <c r="S788">
        <v>599</v>
      </c>
      <c r="T788">
        <v>0.15</v>
      </c>
      <c r="U788">
        <v>1018.3</v>
      </c>
      <c r="V788">
        <v>500</v>
      </c>
      <c r="W788">
        <v>518.29999999999995</v>
      </c>
      <c r="X788" t="s">
        <v>73</v>
      </c>
      <c r="Y788" t="s">
        <v>68</v>
      </c>
      <c r="Z788" t="s">
        <v>163</v>
      </c>
      <c r="AA788" t="s">
        <v>169</v>
      </c>
      <c r="AB788">
        <v>4.2</v>
      </c>
      <c r="AC788">
        <v>100</v>
      </c>
      <c r="AD788">
        <v>86.15</v>
      </c>
      <c r="AE788">
        <f t="shared" si="24"/>
        <v>332.15</v>
      </c>
      <c r="AF788" t="str">
        <f t="shared" si="25"/>
        <v>2025-04</v>
      </c>
      <c r="AG788">
        <f>SUBTOTAL(103,A788)</f>
        <v>1</v>
      </c>
    </row>
    <row r="789" spans="1:33" x14ac:dyDescent="0.3">
      <c r="A789" t="s">
        <v>3402</v>
      </c>
      <c r="B789" s="13">
        <v>45758</v>
      </c>
      <c r="C789">
        <v>2025</v>
      </c>
      <c r="D789">
        <v>4</v>
      </c>
      <c r="E789" t="s">
        <v>3328</v>
      </c>
      <c r="F789" t="s">
        <v>3329</v>
      </c>
      <c r="G789" t="s">
        <v>419</v>
      </c>
      <c r="H789" t="s">
        <v>420</v>
      </c>
      <c r="I789" t="s">
        <v>87</v>
      </c>
      <c r="J789">
        <v>55</v>
      </c>
      <c r="K789" t="s">
        <v>83</v>
      </c>
      <c r="L789" t="s">
        <v>2679</v>
      </c>
      <c r="M789" t="s">
        <v>60</v>
      </c>
      <c r="N789" t="s">
        <v>2606</v>
      </c>
      <c r="O789" t="s">
        <v>120</v>
      </c>
      <c r="P789" t="s">
        <v>49</v>
      </c>
      <c r="Q789" t="s">
        <v>140</v>
      </c>
      <c r="R789">
        <v>3</v>
      </c>
      <c r="S789">
        <v>2799</v>
      </c>
      <c r="T789">
        <v>0.1</v>
      </c>
      <c r="U789">
        <v>7557.3</v>
      </c>
      <c r="V789">
        <v>4950</v>
      </c>
      <c r="W789">
        <v>2607.3000000000002</v>
      </c>
      <c r="X789" t="s">
        <v>76</v>
      </c>
      <c r="Y789" t="s">
        <v>68</v>
      </c>
      <c r="Z789" t="s">
        <v>158</v>
      </c>
      <c r="AA789" t="s">
        <v>170</v>
      </c>
      <c r="AB789">
        <v>3.8</v>
      </c>
      <c r="AC789">
        <v>40</v>
      </c>
      <c r="AD789">
        <v>362.68</v>
      </c>
      <c r="AE789">
        <f t="shared" si="24"/>
        <v>2204.6200000000003</v>
      </c>
      <c r="AF789" t="str">
        <f t="shared" si="25"/>
        <v>2025-04</v>
      </c>
      <c r="AG789">
        <f>SUBTOTAL(103,A789)</f>
        <v>1</v>
      </c>
    </row>
    <row r="790" spans="1:33" x14ac:dyDescent="0.3">
      <c r="A790" t="s">
        <v>3403</v>
      </c>
      <c r="B790" s="13">
        <v>45758</v>
      </c>
      <c r="C790">
        <v>2025</v>
      </c>
      <c r="D790">
        <v>4</v>
      </c>
      <c r="E790" t="s">
        <v>3328</v>
      </c>
      <c r="F790" t="s">
        <v>3329</v>
      </c>
      <c r="G790" t="s">
        <v>1003</v>
      </c>
      <c r="H790" t="s">
        <v>1004</v>
      </c>
      <c r="I790" t="s">
        <v>86</v>
      </c>
      <c r="J790">
        <v>60</v>
      </c>
      <c r="K790" t="s">
        <v>83</v>
      </c>
      <c r="L790" t="s">
        <v>2576</v>
      </c>
      <c r="M790" t="s">
        <v>60</v>
      </c>
      <c r="N790" t="s">
        <v>2580</v>
      </c>
      <c r="O790" t="s">
        <v>118</v>
      </c>
      <c r="P790" t="s">
        <v>48</v>
      </c>
      <c r="Q790" t="s">
        <v>142</v>
      </c>
      <c r="R790">
        <v>3</v>
      </c>
      <c r="S790">
        <v>3999</v>
      </c>
      <c r="T790">
        <v>0.05</v>
      </c>
      <c r="U790">
        <v>11397.15</v>
      </c>
      <c r="V790">
        <v>7200</v>
      </c>
      <c r="W790">
        <v>4197.1499999999996</v>
      </c>
      <c r="X790" t="s">
        <v>73</v>
      </c>
      <c r="Y790" t="s">
        <v>68</v>
      </c>
      <c r="Z790" t="s">
        <v>161</v>
      </c>
      <c r="AA790" t="s">
        <v>167</v>
      </c>
      <c r="AB790">
        <v>4.5999999999999996</v>
      </c>
      <c r="AC790">
        <v>60</v>
      </c>
      <c r="AD790">
        <v>265.69</v>
      </c>
      <c r="AE790">
        <f t="shared" si="24"/>
        <v>3871.4599999999996</v>
      </c>
      <c r="AF790" t="str">
        <f t="shared" si="25"/>
        <v>2025-04</v>
      </c>
      <c r="AG790">
        <f>SUBTOTAL(103,A790)</f>
        <v>1</v>
      </c>
    </row>
    <row r="791" spans="1:33" x14ac:dyDescent="0.3">
      <c r="A791" t="s">
        <v>3404</v>
      </c>
      <c r="B791" s="13">
        <v>45758</v>
      </c>
      <c r="C791">
        <v>2025</v>
      </c>
      <c r="D791">
        <v>4</v>
      </c>
      <c r="E791" t="s">
        <v>3328</v>
      </c>
      <c r="F791" t="s">
        <v>3329</v>
      </c>
      <c r="G791" t="s">
        <v>2341</v>
      </c>
      <c r="H791" t="s">
        <v>2342</v>
      </c>
      <c r="I791" t="s">
        <v>86</v>
      </c>
      <c r="J791">
        <v>20</v>
      </c>
      <c r="K791" t="s">
        <v>80</v>
      </c>
      <c r="L791" t="s">
        <v>2586</v>
      </c>
      <c r="M791" t="s">
        <v>62</v>
      </c>
      <c r="N791" t="s">
        <v>2584</v>
      </c>
      <c r="O791" t="s">
        <v>121</v>
      </c>
      <c r="P791" t="s">
        <v>50</v>
      </c>
      <c r="Q791" t="s">
        <v>144</v>
      </c>
      <c r="R791">
        <v>4</v>
      </c>
      <c r="S791">
        <v>2999</v>
      </c>
      <c r="T791">
        <v>0.05</v>
      </c>
      <c r="U791">
        <v>0</v>
      </c>
      <c r="V791">
        <v>0</v>
      </c>
      <c r="W791">
        <v>0</v>
      </c>
      <c r="X791" t="s">
        <v>77</v>
      </c>
      <c r="Y791" t="s">
        <v>71</v>
      </c>
      <c r="Z791" t="s">
        <v>159</v>
      </c>
      <c r="AA791" t="s">
        <v>166</v>
      </c>
      <c r="AB791">
        <v>4.7</v>
      </c>
      <c r="AC791">
        <v>100</v>
      </c>
      <c r="AD791">
        <v>252.87</v>
      </c>
      <c r="AE791">
        <f t="shared" si="24"/>
        <v>-352.87</v>
      </c>
      <c r="AF791" t="str">
        <f t="shared" si="25"/>
        <v>2025-04</v>
      </c>
      <c r="AG791">
        <f>SUBTOTAL(103,A791)</f>
        <v>1</v>
      </c>
    </row>
    <row r="792" spans="1:33" x14ac:dyDescent="0.3">
      <c r="A792" t="s">
        <v>3405</v>
      </c>
      <c r="B792" s="13">
        <v>45758</v>
      </c>
      <c r="C792">
        <v>2025</v>
      </c>
      <c r="D792">
        <v>4</v>
      </c>
      <c r="E792" t="s">
        <v>3328</v>
      </c>
      <c r="F792" t="s">
        <v>3329</v>
      </c>
      <c r="G792" t="s">
        <v>805</v>
      </c>
      <c r="H792" t="s">
        <v>806</v>
      </c>
      <c r="I792" t="s">
        <v>86</v>
      </c>
      <c r="J792">
        <v>37</v>
      </c>
      <c r="K792" t="s">
        <v>82</v>
      </c>
      <c r="L792" t="s">
        <v>91</v>
      </c>
      <c r="M792" t="s">
        <v>55</v>
      </c>
      <c r="N792" t="s">
        <v>2592</v>
      </c>
      <c r="O792" t="s">
        <v>115</v>
      </c>
      <c r="P792" t="s">
        <v>48</v>
      </c>
      <c r="Q792" t="s">
        <v>137</v>
      </c>
      <c r="R792">
        <v>1</v>
      </c>
      <c r="S792">
        <v>12999</v>
      </c>
      <c r="T792">
        <v>0.05</v>
      </c>
      <c r="U792">
        <v>12349.05</v>
      </c>
      <c r="V792">
        <v>9000</v>
      </c>
      <c r="W792">
        <v>3349.05</v>
      </c>
      <c r="X792" t="s">
        <v>73</v>
      </c>
      <c r="Y792" t="s">
        <v>68</v>
      </c>
      <c r="Z792" t="s">
        <v>159</v>
      </c>
      <c r="AA792" t="s">
        <v>168</v>
      </c>
      <c r="AB792">
        <v>4.0999999999999996</v>
      </c>
      <c r="AC792">
        <v>60</v>
      </c>
      <c r="AD792">
        <v>871.56</v>
      </c>
      <c r="AE792">
        <f t="shared" si="24"/>
        <v>2417.4900000000002</v>
      </c>
      <c r="AF792" t="str">
        <f t="shared" si="25"/>
        <v>2025-04</v>
      </c>
      <c r="AG792">
        <f>SUBTOTAL(103,A792)</f>
        <v>1</v>
      </c>
    </row>
    <row r="793" spans="1:33" x14ac:dyDescent="0.3">
      <c r="A793" t="s">
        <v>3406</v>
      </c>
      <c r="B793" s="13">
        <v>45758</v>
      </c>
      <c r="C793">
        <v>2025</v>
      </c>
      <c r="D793">
        <v>4</v>
      </c>
      <c r="E793" t="s">
        <v>3328</v>
      </c>
      <c r="F793" t="s">
        <v>3329</v>
      </c>
      <c r="G793" t="s">
        <v>405</v>
      </c>
      <c r="H793" t="s">
        <v>406</v>
      </c>
      <c r="I793" t="s">
        <v>86</v>
      </c>
      <c r="J793">
        <v>55</v>
      </c>
      <c r="K793" t="s">
        <v>83</v>
      </c>
      <c r="L793" t="s">
        <v>2646</v>
      </c>
      <c r="M793" t="s">
        <v>63</v>
      </c>
      <c r="N793" t="s">
        <v>2587</v>
      </c>
      <c r="O793" t="s">
        <v>116</v>
      </c>
      <c r="P793" t="s">
        <v>48</v>
      </c>
      <c r="Q793" t="s">
        <v>138</v>
      </c>
      <c r="R793">
        <v>1</v>
      </c>
      <c r="S793">
        <v>14999</v>
      </c>
      <c r="T793">
        <v>0</v>
      </c>
      <c r="U793">
        <v>14999</v>
      </c>
      <c r="V793">
        <v>11200</v>
      </c>
      <c r="W793">
        <v>3799</v>
      </c>
      <c r="X793" t="s">
        <v>73</v>
      </c>
      <c r="Y793" t="s">
        <v>68</v>
      </c>
      <c r="Z793" t="s">
        <v>159</v>
      </c>
      <c r="AA793" t="s">
        <v>167</v>
      </c>
      <c r="AB793">
        <v>4.4000000000000004</v>
      </c>
      <c r="AC793">
        <v>60</v>
      </c>
      <c r="AD793">
        <v>872.54</v>
      </c>
      <c r="AE793">
        <f t="shared" si="24"/>
        <v>2866.46</v>
      </c>
      <c r="AF793" t="str">
        <f t="shared" si="25"/>
        <v>2025-04</v>
      </c>
      <c r="AG793">
        <f>SUBTOTAL(103,A793)</f>
        <v>1</v>
      </c>
    </row>
    <row r="794" spans="1:33" x14ac:dyDescent="0.3">
      <c r="A794" t="s">
        <v>3407</v>
      </c>
      <c r="B794" s="13">
        <v>45758</v>
      </c>
      <c r="C794">
        <v>2025</v>
      </c>
      <c r="D794">
        <v>4</v>
      </c>
      <c r="E794" t="s">
        <v>3328</v>
      </c>
      <c r="F794" t="s">
        <v>3329</v>
      </c>
      <c r="G794" t="s">
        <v>661</v>
      </c>
      <c r="H794" t="s">
        <v>662</v>
      </c>
      <c r="I794" t="s">
        <v>85</v>
      </c>
      <c r="J794">
        <v>46</v>
      </c>
      <c r="K794" t="s">
        <v>83</v>
      </c>
      <c r="L794" t="s">
        <v>2589</v>
      </c>
      <c r="M794" t="s">
        <v>61</v>
      </c>
      <c r="N794" t="s">
        <v>2592</v>
      </c>
      <c r="O794" t="s">
        <v>115</v>
      </c>
      <c r="P794" t="s">
        <v>48</v>
      </c>
      <c r="Q794" t="s">
        <v>137</v>
      </c>
      <c r="R794">
        <v>2</v>
      </c>
      <c r="S794">
        <v>12999</v>
      </c>
      <c r="T794">
        <v>0.15</v>
      </c>
      <c r="U794">
        <v>22098.3</v>
      </c>
      <c r="V794">
        <v>18000</v>
      </c>
      <c r="W794">
        <v>4098.3</v>
      </c>
      <c r="X794" t="s">
        <v>76</v>
      </c>
      <c r="Y794" t="s">
        <v>68</v>
      </c>
      <c r="Z794" t="s">
        <v>163</v>
      </c>
      <c r="AA794" t="s">
        <v>169</v>
      </c>
      <c r="AB794">
        <v>3</v>
      </c>
      <c r="AC794">
        <v>120</v>
      </c>
      <c r="AD794">
        <v>1469.08</v>
      </c>
      <c r="AE794">
        <f t="shared" si="24"/>
        <v>2509.2200000000003</v>
      </c>
      <c r="AF794" t="str">
        <f t="shared" si="25"/>
        <v>2025-04</v>
      </c>
      <c r="AG794">
        <f>SUBTOTAL(103,A794)</f>
        <v>1</v>
      </c>
    </row>
    <row r="795" spans="1:33" x14ac:dyDescent="0.3">
      <c r="A795" t="s">
        <v>3408</v>
      </c>
      <c r="B795" s="13">
        <v>45758</v>
      </c>
      <c r="C795">
        <v>2025</v>
      </c>
      <c r="D795">
        <v>4</v>
      </c>
      <c r="E795" t="s">
        <v>3328</v>
      </c>
      <c r="F795" t="s">
        <v>3329</v>
      </c>
      <c r="G795" t="s">
        <v>1733</v>
      </c>
      <c r="H795" t="s">
        <v>1734</v>
      </c>
      <c r="I795" t="s">
        <v>85</v>
      </c>
      <c r="J795">
        <v>23</v>
      </c>
      <c r="K795" t="s">
        <v>80</v>
      </c>
      <c r="L795" t="s">
        <v>90</v>
      </c>
      <c r="M795" t="s">
        <v>55</v>
      </c>
      <c r="N795" t="s">
        <v>2601</v>
      </c>
      <c r="O795" t="s">
        <v>117</v>
      </c>
      <c r="P795" t="s">
        <v>49</v>
      </c>
      <c r="Q795" t="s">
        <v>139</v>
      </c>
      <c r="R795">
        <v>2</v>
      </c>
      <c r="S795">
        <v>6999</v>
      </c>
      <c r="T795">
        <v>0.05</v>
      </c>
      <c r="U795">
        <v>13298.1</v>
      </c>
      <c r="V795">
        <v>8600</v>
      </c>
      <c r="W795">
        <v>4698.1000000000004</v>
      </c>
      <c r="X795" t="s">
        <v>73</v>
      </c>
      <c r="Y795" t="s">
        <v>68</v>
      </c>
      <c r="Z795" t="s">
        <v>163</v>
      </c>
      <c r="AA795" t="s">
        <v>167</v>
      </c>
      <c r="AB795">
        <v>4.4000000000000004</v>
      </c>
      <c r="AC795">
        <v>50</v>
      </c>
      <c r="AD795">
        <v>1299.26</v>
      </c>
      <c r="AE795">
        <f t="shared" si="24"/>
        <v>3348.84</v>
      </c>
      <c r="AF795" t="str">
        <f t="shared" si="25"/>
        <v>2025-04</v>
      </c>
      <c r="AG795">
        <f>SUBTOTAL(103,A795)</f>
        <v>1</v>
      </c>
    </row>
    <row r="796" spans="1:33" x14ac:dyDescent="0.3">
      <c r="A796" t="s">
        <v>3409</v>
      </c>
      <c r="B796" s="13">
        <v>45758</v>
      </c>
      <c r="C796">
        <v>2025</v>
      </c>
      <c r="D796">
        <v>4</v>
      </c>
      <c r="E796" t="s">
        <v>3328</v>
      </c>
      <c r="F796" t="s">
        <v>3329</v>
      </c>
      <c r="G796" t="s">
        <v>519</v>
      </c>
      <c r="H796" t="s">
        <v>520</v>
      </c>
      <c r="I796" t="s">
        <v>86</v>
      </c>
      <c r="J796">
        <v>37</v>
      </c>
      <c r="K796" t="s">
        <v>82</v>
      </c>
      <c r="L796" t="s">
        <v>93</v>
      </c>
      <c r="M796" t="s">
        <v>55</v>
      </c>
      <c r="N796" t="s">
        <v>2630</v>
      </c>
      <c r="O796" t="s">
        <v>123</v>
      </c>
      <c r="P796" t="s">
        <v>52</v>
      </c>
      <c r="Q796" t="s">
        <v>146</v>
      </c>
      <c r="R796">
        <v>3</v>
      </c>
      <c r="S796">
        <v>2499</v>
      </c>
      <c r="T796">
        <v>0.15</v>
      </c>
      <c r="U796">
        <v>6372.45</v>
      </c>
      <c r="V796">
        <v>4200</v>
      </c>
      <c r="W796">
        <v>2172.4499999999998</v>
      </c>
      <c r="X796" t="s">
        <v>77</v>
      </c>
      <c r="Y796" t="s">
        <v>68</v>
      </c>
      <c r="Z796" t="s">
        <v>160</v>
      </c>
      <c r="AA796" t="s">
        <v>167</v>
      </c>
      <c r="AB796">
        <v>4</v>
      </c>
      <c r="AC796">
        <v>50</v>
      </c>
      <c r="AD796">
        <v>239.78</v>
      </c>
      <c r="AE796">
        <f t="shared" si="24"/>
        <v>1882.6699999999998</v>
      </c>
      <c r="AF796" t="str">
        <f t="shared" si="25"/>
        <v>2025-04</v>
      </c>
      <c r="AG796">
        <f>SUBTOTAL(103,A796)</f>
        <v>1</v>
      </c>
    </row>
    <row r="797" spans="1:33" x14ac:dyDescent="0.3">
      <c r="A797" t="s">
        <v>3410</v>
      </c>
      <c r="B797" s="13">
        <v>45759</v>
      </c>
      <c r="C797">
        <v>2025</v>
      </c>
      <c r="D797">
        <v>4</v>
      </c>
      <c r="E797" t="s">
        <v>3328</v>
      </c>
      <c r="F797" t="s">
        <v>3329</v>
      </c>
      <c r="G797" t="s">
        <v>893</v>
      </c>
      <c r="H797" t="s">
        <v>894</v>
      </c>
      <c r="I797" t="s">
        <v>85</v>
      </c>
      <c r="J797">
        <v>45</v>
      </c>
      <c r="K797" t="s">
        <v>82</v>
      </c>
      <c r="L797" t="s">
        <v>95</v>
      </c>
      <c r="M797" t="s">
        <v>56</v>
      </c>
      <c r="N797" t="s">
        <v>2590</v>
      </c>
      <c r="O797" t="s">
        <v>127</v>
      </c>
      <c r="P797" t="s">
        <v>51</v>
      </c>
      <c r="Q797" t="s">
        <v>148</v>
      </c>
      <c r="R797">
        <v>1</v>
      </c>
      <c r="S797">
        <v>1599</v>
      </c>
      <c r="T797">
        <v>0.2</v>
      </c>
      <c r="U797">
        <v>1279.2</v>
      </c>
      <c r="V797">
        <v>800</v>
      </c>
      <c r="W797">
        <v>479.2</v>
      </c>
      <c r="X797" t="s">
        <v>73</v>
      </c>
      <c r="Y797" t="s">
        <v>68</v>
      </c>
      <c r="Z797" t="s">
        <v>160</v>
      </c>
      <c r="AA797" t="s">
        <v>167</v>
      </c>
      <c r="AB797">
        <v>4.9000000000000004</v>
      </c>
      <c r="AC797">
        <v>40</v>
      </c>
      <c r="AD797">
        <v>27.29</v>
      </c>
      <c r="AE797">
        <f t="shared" si="24"/>
        <v>411.90999999999997</v>
      </c>
      <c r="AF797" t="str">
        <f t="shared" si="25"/>
        <v>2025-04</v>
      </c>
      <c r="AG797">
        <f>SUBTOTAL(103,A797)</f>
        <v>1</v>
      </c>
    </row>
    <row r="798" spans="1:33" x14ac:dyDescent="0.3">
      <c r="A798" t="s">
        <v>3411</v>
      </c>
      <c r="B798" s="13">
        <v>45759</v>
      </c>
      <c r="C798">
        <v>2025</v>
      </c>
      <c r="D798">
        <v>4</v>
      </c>
      <c r="E798" t="s">
        <v>3328</v>
      </c>
      <c r="F798" t="s">
        <v>3329</v>
      </c>
      <c r="G798" t="s">
        <v>1149</v>
      </c>
      <c r="H798" t="s">
        <v>1150</v>
      </c>
      <c r="I798" t="s">
        <v>85</v>
      </c>
      <c r="J798">
        <v>23</v>
      </c>
      <c r="K798" t="s">
        <v>80</v>
      </c>
      <c r="L798" t="s">
        <v>2634</v>
      </c>
      <c r="M798" t="s">
        <v>56</v>
      </c>
      <c r="N798" t="s">
        <v>2590</v>
      </c>
      <c r="O798" t="s">
        <v>127</v>
      </c>
      <c r="P798" t="s">
        <v>51</v>
      </c>
      <c r="Q798" t="s">
        <v>148</v>
      </c>
      <c r="R798">
        <v>2</v>
      </c>
      <c r="S798">
        <v>1599</v>
      </c>
      <c r="T798">
        <v>0.2</v>
      </c>
      <c r="U798">
        <v>2558.4</v>
      </c>
      <c r="V798">
        <v>1600</v>
      </c>
      <c r="W798">
        <v>958.4</v>
      </c>
      <c r="X798" t="s">
        <v>73</v>
      </c>
      <c r="Y798" t="s">
        <v>68</v>
      </c>
      <c r="Z798" t="s">
        <v>159</v>
      </c>
      <c r="AA798" t="s">
        <v>168</v>
      </c>
      <c r="AB798">
        <v>4.4000000000000004</v>
      </c>
      <c r="AC798">
        <v>60</v>
      </c>
      <c r="AD798">
        <v>73.760000000000005</v>
      </c>
      <c r="AE798">
        <f t="shared" si="24"/>
        <v>824.64</v>
      </c>
      <c r="AF798" t="str">
        <f t="shared" si="25"/>
        <v>2025-04</v>
      </c>
      <c r="AG798">
        <f>SUBTOTAL(103,A798)</f>
        <v>1</v>
      </c>
    </row>
    <row r="799" spans="1:33" x14ac:dyDescent="0.3">
      <c r="A799" t="s">
        <v>3412</v>
      </c>
      <c r="B799" s="13">
        <v>45759</v>
      </c>
      <c r="C799">
        <v>2025</v>
      </c>
      <c r="D799">
        <v>4</v>
      </c>
      <c r="E799" t="s">
        <v>3328</v>
      </c>
      <c r="F799" t="s">
        <v>3329</v>
      </c>
      <c r="G799" t="s">
        <v>731</v>
      </c>
      <c r="H799" t="s">
        <v>732</v>
      </c>
      <c r="I799" t="s">
        <v>85</v>
      </c>
      <c r="J799">
        <v>31</v>
      </c>
      <c r="K799" t="s">
        <v>81</v>
      </c>
      <c r="L799" t="s">
        <v>93</v>
      </c>
      <c r="M799" t="s">
        <v>55</v>
      </c>
      <c r="N799" t="s">
        <v>2592</v>
      </c>
      <c r="O799" t="s">
        <v>115</v>
      </c>
      <c r="P799" t="s">
        <v>48</v>
      </c>
      <c r="Q799" t="s">
        <v>137</v>
      </c>
      <c r="R799">
        <v>3</v>
      </c>
      <c r="S799">
        <v>12999</v>
      </c>
      <c r="T799">
        <v>0.25</v>
      </c>
      <c r="U799">
        <v>29247.75</v>
      </c>
      <c r="V799">
        <v>27000</v>
      </c>
      <c r="W799">
        <v>2247.75</v>
      </c>
      <c r="X799" t="s">
        <v>73</v>
      </c>
      <c r="Y799" t="s">
        <v>68</v>
      </c>
      <c r="Z799" t="s">
        <v>161</v>
      </c>
      <c r="AA799" t="s">
        <v>166</v>
      </c>
      <c r="AB799">
        <v>5</v>
      </c>
      <c r="AC799">
        <v>60</v>
      </c>
      <c r="AD799">
        <v>3475.41</v>
      </c>
      <c r="AE799">
        <f t="shared" si="24"/>
        <v>-1287.6599999999999</v>
      </c>
      <c r="AF799" t="str">
        <f t="shared" si="25"/>
        <v>2025-04</v>
      </c>
      <c r="AG799">
        <f>SUBTOTAL(103,A799)</f>
        <v>1</v>
      </c>
    </row>
    <row r="800" spans="1:33" x14ac:dyDescent="0.3">
      <c r="A800" t="s">
        <v>3413</v>
      </c>
      <c r="B800" s="13">
        <v>45759</v>
      </c>
      <c r="C800">
        <v>2025</v>
      </c>
      <c r="D800">
        <v>4</v>
      </c>
      <c r="E800" t="s">
        <v>3328</v>
      </c>
      <c r="F800" t="s">
        <v>3329</v>
      </c>
      <c r="G800" t="s">
        <v>305</v>
      </c>
      <c r="H800" t="s">
        <v>306</v>
      </c>
      <c r="I800" t="s">
        <v>86</v>
      </c>
      <c r="J800">
        <v>33</v>
      </c>
      <c r="K800" t="s">
        <v>81</v>
      </c>
      <c r="L800" t="s">
        <v>2616</v>
      </c>
      <c r="M800" t="s">
        <v>62</v>
      </c>
      <c r="N800" t="s">
        <v>2596</v>
      </c>
      <c r="O800" t="s">
        <v>124</v>
      </c>
      <c r="P800" t="s">
        <v>51</v>
      </c>
      <c r="Q800" t="s">
        <v>147</v>
      </c>
      <c r="R800">
        <v>1</v>
      </c>
      <c r="S800">
        <v>2299</v>
      </c>
      <c r="T800">
        <v>0.05</v>
      </c>
      <c r="U800">
        <v>2184.0500000000002</v>
      </c>
      <c r="V800">
        <v>1200</v>
      </c>
      <c r="W800">
        <v>984.05</v>
      </c>
      <c r="X800" t="s">
        <v>75</v>
      </c>
      <c r="Y800" t="s">
        <v>68</v>
      </c>
      <c r="Z800" t="s">
        <v>159</v>
      </c>
      <c r="AA800" t="s">
        <v>168</v>
      </c>
      <c r="AB800">
        <v>3.5</v>
      </c>
      <c r="AC800">
        <v>100</v>
      </c>
      <c r="AD800">
        <v>124.81</v>
      </c>
      <c r="AE800">
        <f t="shared" si="24"/>
        <v>759.24</v>
      </c>
      <c r="AF800" t="str">
        <f t="shared" si="25"/>
        <v>2025-04</v>
      </c>
      <c r="AG800">
        <f>SUBTOTAL(103,A800)</f>
        <v>1</v>
      </c>
    </row>
    <row r="801" spans="1:33" x14ac:dyDescent="0.3">
      <c r="A801" t="s">
        <v>3414</v>
      </c>
      <c r="B801" s="13">
        <v>45760</v>
      </c>
      <c r="C801">
        <v>2025</v>
      </c>
      <c r="D801">
        <v>4</v>
      </c>
      <c r="E801" t="s">
        <v>3328</v>
      </c>
      <c r="F801" t="s">
        <v>3329</v>
      </c>
      <c r="G801" t="s">
        <v>1453</v>
      </c>
      <c r="H801" t="s">
        <v>1454</v>
      </c>
      <c r="I801" t="s">
        <v>85</v>
      </c>
      <c r="J801">
        <v>33</v>
      </c>
      <c r="K801" t="s">
        <v>81</v>
      </c>
      <c r="L801" t="s">
        <v>2646</v>
      </c>
      <c r="M801" t="s">
        <v>63</v>
      </c>
      <c r="N801" t="s">
        <v>2644</v>
      </c>
      <c r="O801" t="s">
        <v>126</v>
      </c>
      <c r="P801" t="s">
        <v>50</v>
      </c>
      <c r="Q801" t="s">
        <v>145</v>
      </c>
      <c r="R801">
        <v>2</v>
      </c>
      <c r="S801">
        <v>1799</v>
      </c>
      <c r="T801">
        <v>0.05</v>
      </c>
      <c r="U801">
        <v>3418.1</v>
      </c>
      <c r="V801">
        <v>1900</v>
      </c>
      <c r="W801">
        <v>1518.1</v>
      </c>
      <c r="X801" t="s">
        <v>77</v>
      </c>
      <c r="Y801" t="s">
        <v>68</v>
      </c>
      <c r="Z801" t="s">
        <v>160</v>
      </c>
      <c r="AA801" t="s">
        <v>167</v>
      </c>
      <c r="AB801">
        <v>3.8</v>
      </c>
      <c r="AC801">
        <v>60</v>
      </c>
      <c r="AD801">
        <v>212.6</v>
      </c>
      <c r="AE801">
        <f t="shared" si="24"/>
        <v>1245.5</v>
      </c>
      <c r="AF801" t="str">
        <f t="shared" si="25"/>
        <v>2025-04</v>
      </c>
      <c r="AG801">
        <f>SUBTOTAL(103,A801)</f>
        <v>1</v>
      </c>
    </row>
    <row r="802" spans="1:33" x14ac:dyDescent="0.3">
      <c r="A802" t="s">
        <v>3415</v>
      </c>
      <c r="B802" s="13">
        <v>45760</v>
      </c>
      <c r="C802">
        <v>2025</v>
      </c>
      <c r="D802">
        <v>4</v>
      </c>
      <c r="E802" t="s">
        <v>3328</v>
      </c>
      <c r="F802" t="s">
        <v>3329</v>
      </c>
      <c r="G802" t="s">
        <v>1641</v>
      </c>
      <c r="H802" t="s">
        <v>1642</v>
      </c>
      <c r="I802" t="s">
        <v>85</v>
      </c>
      <c r="J802">
        <v>19</v>
      </c>
      <c r="K802" t="s">
        <v>80</v>
      </c>
      <c r="L802" t="s">
        <v>2589</v>
      </c>
      <c r="M802" t="s">
        <v>61</v>
      </c>
      <c r="N802" t="s">
        <v>2580</v>
      </c>
      <c r="O802" t="s">
        <v>118</v>
      </c>
      <c r="P802" t="s">
        <v>48</v>
      </c>
      <c r="Q802" t="s">
        <v>142</v>
      </c>
      <c r="R802">
        <v>3</v>
      </c>
      <c r="S802">
        <v>3999</v>
      </c>
      <c r="T802">
        <v>0.05</v>
      </c>
      <c r="U802">
        <v>11397.15</v>
      </c>
      <c r="V802">
        <v>7200</v>
      </c>
      <c r="W802">
        <v>4197.1499999999996</v>
      </c>
      <c r="X802" t="s">
        <v>73</v>
      </c>
      <c r="Y802" t="s">
        <v>68</v>
      </c>
      <c r="Z802" t="s">
        <v>162</v>
      </c>
      <c r="AA802" t="s">
        <v>168</v>
      </c>
      <c r="AB802">
        <v>4.4000000000000004</v>
      </c>
      <c r="AC802">
        <v>60</v>
      </c>
      <c r="AD802">
        <v>523.49</v>
      </c>
      <c r="AE802">
        <f t="shared" si="24"/>
        <v>3613.66</v>
      </c>
      <c r="AF802" t="str">
        <f t="shared" si="25"/>
        <v>2025-04</v>
      </c>
      <c r="AG802">
        <f>SUBTOTAL(103,A802)</f>
        <v>1</v>
      </c>
    </row>
    <row r="803" spans="1:33" x14ac:dyDescent="0.3">
      <c r="A803" t="s">
        <v>3416</v>
      </c>
      <c r="B803" s="13">
        <v>45760</v>
      </c>
      <c r="C803">
        <v>2025</v>
      </c>
      <c r="D803">
        <v>4</v>
      </c>
      <c r="E803" t="s">
        <v>3328</v>
      </c>
      <c r="F803" t="s">
        <v>3329</v>
      </c>
      <c r="G803" t="s">
        <v>2229</v>
      </c>
      <c r="H803" t="s">
        <v>2230</v>
      </c>
      <c r="I803" t="s">
        <v>85</v>
      </c>
      <c r="J803">
        <v>38</v>
      </c>
      <c r="K803" t="s">
        <v>82</v>
      </c>
      <c r="L803" t="s">
        <v>98</v>
      </c>
      <c r="M803" t="s">
        <v>55</v>
      </c>
      <c r="N803" t="s">
        <v>2665</v>
      </c>
      <c r="O803" t="s">
        <v>128</v>
      </c>
      <c r="P803" t="s">
        <v>53</v>
      </c>
      <c r="Q803" t="s">
        <v>143</v>
      </c>
      <c r="R803">
        <v>2</v>
      </c>
      <c r="S803">
        <v>1499</v>
      </c>
      <c r="T803">
        <v>0.1</v>
      </c>
      <c r="U803">
        <v>2698.2</v>
      </c>
      <c r="V803">
        <v>1600</v>
      </c>
      <c r="W803">
        <v>1098.2</v>
      </c>
      <c r="X803" t="s">
        <v>76</v>
      </c>
      <c r="Y803" t="s">
        <v>68</v>
      </c>
      <c r="Z803" t="s">
        <v>163</v>
      </c>
      <c r="AA803" t="s">
        <v>170</v>
      </c>
      <c r="AB803">
        <v>4.5999999999999996</v>
      </c>
      <c r="AC803">
        <v>60</v>
      </c>
      <c r="AD803">
        <v>137.97999999999999</v>
      </c>
      <c r="AE803">
        <f t="shared" si="24"/>
        <v>900.22</v>
      </c>
      <c r="AF803" t="str">
        <f t="shared" si="25"/>
        <v>2025-04</v>
      </c>
      <c r="AG803">
        <f>SUBTOTAL(103,A803)</f>
        <v>1</v>
      </c>
    </row>
    <row r="804" spans="1:33" x14ac:dyDescent="0.3">
      <c r="A804" t="s">
        <v>3417</v>
      </c>
      <c r="B804" s="13">
        <v>45760</v>
      </c>
      <c r="C804">
        <v>2025</v>
      </c>
      <c r="D804">
        <v>4</v>
      </c>
      <c r="E804" t="s">
        <v>3328</v>
      </c>
      <c r="F804" t="s">
        <v>3329</v>
      </c>
      <c r="G804" t="s">
        <v>791</v>
      </c>
      <c r="H804" t="s">
        <v>792</v>
      </c>
      <c r="I804" t="s">
        <v>86</v>
      </c>
      <c r="J804">
        <v>28</v>
      </c>
      <c r="K804" t="s">
        <v>81</v>
      </c>
      <c r="L804" t="s">
        <v>2579</v>
      </c>
      <c r="M804" t="s">
        <v>56</v>
      </c>
      <c r="N804" t="s">
        <v>2584</v>
      </c>
      <c r="O804" t="s">
        <v>121</v>
      </c>
      <c r="P804" t="s">
        <v>50</v>
      </c>
      <c r="Q804" t="s">
        <v>144</v>
      </c>
      <c r="R804">
        <v>2</v>
      </c>
      <c r="S804">
        <v>2999</v>
      </c>
      <c r="T804">
        <v>0.05</v>
      </c>
      <c r="U804">
        <v>5698.1</v>
      </c>
      <c r="V804">
        <v>3400</v>
      </c>
      <c r="W804">
        <v>2298.1</v>
      </c>
      <c r="X804" t="s">
        <v>73</v>
      </c>
      <c r="Y804" t="s">
        <v>68</v>
      </c>
      <c r="Z804" t="s">
        <v>163</v>
      </c>
      <c r="AA804" t="s">
        <v>168</v>
      </c>
      <c r="AB804">
        <v>4</v>
      </c>
      <c r="AC804">
        <v>80</v>
      </c>
      <c r="AD804">
        <v>145.78</v>
      </c>
      <c r="AE804">
        <f t="shared" si="24"/>
        <v>2072.3199999999997</v>
      </c>
      <c r="AF804" t="str">
        <f t="shared" si="25"/>
        <v>2025-04</v>
      </c>
      <c r="AG804">
        <f>SUBTOTAL(103,A804)</f>
        <v>1</v>
      </c>
    </row>
    <row r="805" spans="1:33" x14ac:dyDescent="0.3">
      <c r="A805" t="s">
        <v>3418</v>
      </c>
      <c r="B805" s="13">
        <v>45760</v>
      </c>
      <c r="C805">
        <v>2025</v>
      </c>
      <c r="D805">
        <v>4</v>
      </c>
      <c r="E805" t="s">
        <v>3328</v>
      </c>
      <c r="F805" t="s">
        <v>3329</v>
      </c>
      <c r="G805" t="s">
        <v>891</v>
      </c>
      <c r="H805" t="s">
        <v>892</v>
      </c>
      <c r="I805" t="s">
        <v>85</v>
      </c>
      <c r="J805">
        <v>49</v>
      </c>
      <c r="K805" t="s">
        <v>83</v>
      </c>
      <c r="L805" t="s">
        <v>2690</v>
      </c>
      <c r="M805" t="s">
        <v>63</v>
      </c>
      <c r="N805" t="s">
        <v>2606</v>
      </c>
      <c r="O805" t="s">
        <v>120</v>
      </c>
      <c r="P805" t="s">
        <v>49</v>
      </c>
      <c r="Q805" t="s">
        <v>140</v>
      </c>
      <c r="R805">
        <v>2</v>
      </c>
      <c r="S805">
        <v>2799</v>
      </c>
      <c r="T805">
        <v>0.15</v>
      </c>
      <c r="U805">
        <v>4758.3</v>
      </c>
      <c r="V805">
        <v>3300</v>
      </c>
      <c r="W805">
        <v>1458.3</v>
      </c>
      <c r="X805" t="s">
        <v>73</v>
      </c>
      <c r="Y805" t="s">
        <v>68</v>
      </c>
      <c r="Z805" t="s">
        <v>161</v>
      </c>
      <c r="AA805" t="s">
        <v>166</v>
      </c>
      <c r="AB805">
        <v>3.6</v>
      </c>
      <c r="AC805">
        <v>80</v>
      </c>
      <c r="AD805">
        <v>179.15</v>
      </c>
      <c r="AE805">
        <f t="shared" si="24"/>
        <v>1199.1499999999999</v>
      </c>
      <c r="AF805" t="str">
        <f t="shared" si="25"/>
        <v>2025-04</v>
      </c>
      <c r="AG805">
        <f>SUBTOTAL(103,A805)</f>
        <v>1</v>
      </c>
    </row>
    <row r="806" spans="1:33" x14ac:dyDescent="0.3">
      <c r="A806" t="s">
        <v>3419</v>
      </c>
      <c r="B806" s="13">
        <v>45760</v>
      </c>
      <c r="C806">
        <v>2025</v>
      </c>
      <c r="D806">
        <v>4</v>
      </c>
      <c r="E806" t="s">
        <v>3328</v>
      </c>
      <c r="F806" t="s">
        <v>3329</v>
      </c>
      <c r="G806" t="s">
        <v>2541</v>
      </c>
      <c r="H806" t="s">
        <v>2542</v>
      </c>
      <c r="I806" t="s">
        <v>85</v>
      </c>
      <c r="J806">
        <v>34</v>
      </c>
      <c r="K806" t="s">
        <v>81</v>
      </c>
      <c r="L806" t="s">
        <v>91</v>
      </c>
      <c r="M806" t="s">
        <v>55</v>
      </c>
      <c r="N806" t="s">
        <v>2587</v>
      </c>
      <c r="O806" t="s">
        <v>116</v>
      </c>
      <c r="P806" t="s">
        <v>48</v>
      </c>
      <c r="Q806" t="s">
        <v>138</v>
      </c>
      <c r="R806">
        <v>1</v>
      </c>
      <c r="S806">
        <v>14999</v>
      </c>
      <c r="T806">
        <v>0.1</v>
      </c>
      <c r="U806">
        <v>0</v>
      </c>
      <c r="V806">
        <v>0</v>
      </c>
      <c r="W806">
        <v>0</v>
      </c>
      <c r="X806" t="s">
        <v>74</v>
      </c>
      <c r="Y806" t="s">
        <v>71</v>
      </c>
      <c r="Z806" t="s">
        <v>160</v>
      </c>
      <c r="AA806" t="s">
        <v>171</v>
      </c>
      <c r="AB806">
        <v>4.0999999999999996</v>
      </c>
      <c r="AC806">
        <v>60</v>
      </c>
      <c r="AD806">
        <v>1515.62</v>
      </c>
      <c r="AE806">
        <f t="shared" si="24"/>
        <v>-1575.62</v>
      </c>
      <c r="AF806" t="str">
        <f t="shared" si="25"/>
        <v>2025-04</v>
      </c>
      <c r="AG806">
        <f>SUBTOTAL(103,A806)</f>
        <v>1</v>
      </c>
    </row>
    <row r="807" spans="1:33" x14ac:dyDescent="0.3">
      <c r="A807" t="s">
        <v>3420</v>
      </c>
      <c r="B807" s="13">
        <v>45760</v>
      </c>
      <c r="C807">
        <v>2025</v>
      </c>
      <c r="D807">
        <v>4</v>
      </c>
      <c r="E807" t="s">
        <v>3328</v>
      </c>
      <c r="F807" t="s">
        <v>3329</v>
      </c>
      <c r="G807" t="s">
        <v>2087</v>
      </c>
      <c r="H807" t="s">
        <v>2088</v>
      </c>
      <c r="I807" t="s">
        <v>86</v>
      </c>
      <c r="J807">
        <v>30</v>
      </c>
      <c r="K807" t="s">
        <v>81</v>
      </c>
      <c r="L807" t="s">
        <v>94</v>
      </c>
      <c r="M807" t="s">
        <v>57</v>
      </c>
      <c r="N807" t="s">
        <v>2582</v>
      </c>
      <c r="O807" t="s">
        <v>119</v>
      </c>
      <c r="P807" t="s">
        <v>49</v>
      </c>
      <c r="Q807" t="s">
        <v>140</v>
      </c>
      <c r="R807">
        <v>3</v>
      </c>
      <c r="S807">
        <v>3499</v>
      </c>
      <c r="T807">
        <v>0.2</v>
      </c>
      <c r="U807">
        <v>8397.6</v>
      </c>
      <c r="V807">
        <v>6300</v>
      </c>
      <c r="W807">
        <v>2097.6</v>
      </c>
      <c r="X807" t="s">
        <v>75</v>
      </c>
      <c r="Y807" t="s">
        <v>68</v>
      </c>
      <c r="Z807" t="s">
        <v>159</v>
      </c>
      <c r="AA807" t="s">
        <v>166</v>
      </c>
      <c r="AB807">
        <v>4.4000000000000004</v>
      </c>
      <c r="AC807">
        <v>80</v>
      </c>
      <c r="AD807">
        <v>185.41</v>
      </c>
      <c r="AE807">
        <f t="shared" si="24"/>
        <v>1832.1899999999998</v>
      </c>
      <c r="AF807" t="str">
        <f t="shared" si="25"/>
        <v>2025-04</v>
      </c>
      <c r="AG807">
        <f>SUBTOTAL(103,A807)</f>
        <v>1</v>
      </c>
    </row>
    <row r="808" spans="1:33" x14ac:dyDescent="0.3">
      <c r="A808" t="s">
        <v>3421</v>
      </c>
      <c r="B808" s="13">
        <v>45760</v>
      </c>
      <c r="C808">
        <v>2025</v>
      </c>
      <c r="D808">
        <v>4</v>
      </c>
      <c r="E808" t="s">
        <v>3328</v>
      </c>
      <c r="F808" t="s">
        <v>3329</v>
      </c>
      <c r="G808" t="s">
        <v>2013</v>
      </c>
      <c r="H808" t="s">
        <v>2014</v>
      </c>
      <c r="I808" t="s">
        <v>86</v>
      </c>
      <c r="J808">
        <v>18</v>
      </c>
      <c r="K808" t="s">
        <v>80</v>
      </c>
      <c r="L808" t="s">
        <v>2616</v>
      </c>
      <c r="M808" t="s">
        <v>62</v>
      </c>
      <c r="N808" t="s">
        <v>2630</v>
      </c>
      <c r="O808" t="s">
        <v>123</v>
      </c>
      <c r="P808" t="s">
        <v>52</v>
      </c>
      <c r="Q808" t="s">
        <v>146</v>
      </c>
      <c r="R808">
        <v>1</v>
      </c>
      <c r="S808">
        <v>2499</v>
      </c>
      <c r="T808">
        <v>0.15</v>
      </c>
      <c r="U808">
        <v>0</v>
      </c>
      <c r="V808">
        <v>0</v>
      </c>
      <c r="W808">
        <v>0</v>
      </c>
      <c r="X808" t="s">
        <v>74</v>
      </c>
      <c r="Y808" t="s">
        <v>71</v>
      </c>
      <c r="Z808" t="s">
        <v>162</v>
      </c>
      <c r="AA808" t="s">
        <v>167</v>
      </c>
      <c r="AB808">
        <v>4.5999999999999996</v>
      </c>
      <c r="AC808">
        <v>120</v>
      </c>
      <c r="AD808">
        <v>113.47</v>
      </c>
      <c r="AE808">
        <f t="shared" si="24"/>
        <v>-233.47</v>
      </c>
      <c r="AF808" t="str">
        <f t="shared" si="25"/>
        <v>2025-04</v>
      </c>
      <c r="AG808">
        <f>SUBTOTAL(103,A808)</f>
        <v>1</v>
      </c>
    </row>
    <row r="809" spans="1:33" x14ac:dyDescent="0.3">
      <c r="A809" t="s">
        <v>3422</v>
      </c>
      <c r="B809" s="13">
        <v>45760</v>
      </c>
      <c r="C809">
        <v>2025</v>
      </c>
      <c r="D809">
        <v>4</v>
      </c>
      <c r="E809" t="s">
        <v>3328</v>
      </c>
      <c r="F809" t="s">
        <v>3329</v>
      </c>
      <c r="G809" t="s">
        <v>835</v>
      </c>
      <c r="H809" t="s">
        <v>836</v>
      </c>
      <c r="I809" t="s">
        <v>85</v>
      </c>
      <c r="J809">
        <v>28</v>
      </c>
      <c r="K809" t="s">
        <v>81</v>
      </c>
      <c r="L809" t="s">
        <v>99</v>
      </c>
      <c r="M809" t="s">
        <v>58</v>
      </c>
      <c r="N809" t="s">
        <v>2606</v>
      </c>
      <c r="O809" t="s">
        <v>120</v>
      </c>
      <c r="P809" t="s">
        <v>49</v>
      </c>
      <c r="Q809" t="s">
        <v>140</v>
      </c>
      <c r="R809">
        <v>1</v>
      </c>
      <c r="S809">
        <v>2799</v>
      </c>
      <c r="T809">
        <v>0.1</v>
      </c>
      <c r="U809">
        <v>2519.1</v>
      </c>
      <c r="V809">
        <v>1650</v>
      </c>
      <c r="W809">
        <v>869.1</v>
      </c>
      <c r="X809" t="s">
        <v>75</v>
      </c>
      <c r="Y809" t="s">
        <v>68</v>
      </c>
      <c r="Z809" t="s">
        <v>160</v>
      </c>
      <c r="AA809" t="s">
        <v>171</v>
      </c>
      <c r="AB809">
        <v>4</v>
      </c>
      <c r="AC809">
        <v>80</v>
      </c>
      <c r="AD809">
        <v>217.61</v>
      </c>
      <c r="AE809">
        <f t="shared" si="24"/>
        <v>571.49</v>
      </c>
      <c r="AF809" t="str">
        <f t="shared" si="25"/>
        <v>2025-04</v>
      </c>
      <c r="AG809">
        <f>SUBTOTAL(103,A809)</f>
        <v>1</v>
      </c>
    </row>
    <row r="810" spans="1:33" x14ac:dyDescent="0.3">
      <c r="A810" t="s">
        <v>3423</v>
      </c>
      <c r="B810" s="13">
        <v>45761</v>
      </c>
      <c r="C810">
        <v>2025</v>
      </c>
      <c r="D810">
        <v>4</v>
      </c>
      <c r="E810" t="s">
        <v>3328</v>
      </c>
      <c r="F810" t="s">
        <v>3329</v>
      </c>
      <c r="G810" t="s">
        <v>995</v>
      </c>
      <c r="H810" t="s">
        <v>996</v>
      </c>
      <c r="I810" t="s">
        <v>86</v>
      </c>
      <c r="J810">
        <v>27</v>
      </c>
      <c r="K810" t="s">
        <v>81</v>
      </c>
      <c r="L810" t="s">
        <v>2623</v>
      </c>
      <c r="M810" t="s">
        <v>61</v>
      </c>
      <c r="N810" t="s">
        <v>2603</v>
      </c>
      <c r="O810" t="s">
        <v>122</v>
      </c>
      <c r="P810" t="s">
        <v>48</v>
      </c>
      <c r="Q810" t="s">
        <v>141</v>
      </c>
      <c r="R810">
        <v>2</v>
      </c>
      <c r="S810">
        <v>2499</v>
      </c>
      <c r="T810">
        <v>0.25</v>
      </c>
      <c r="U810">
        <v>3748.5</v>
      </c>
      <c r="V810">
        <v>2900</v>
      </c>
      <c r="W810">
        <v>848.5</v>
      </c>
      <c r="X810" t="s">
        <v>73</v>
      </c>
      <c r="Y810" t="s">
        <v>69</v>
      </c>
      <c r="Z810" t="s">
        <v>161</v>
      </c>
      <c r="AA810" t="s">
        <v>171</v>
      </c>
      <c r="AB810">
        <v>4.3</v>
      </c>
      <c r="AC810">
        <v>60</v>
      </c>
      <c r="AD810">
        <v>374.05</v>
      </c>
      <c r="AE810">
        <f t="shared" si="24"/>
        <v>414.45</v>
      </c>
      <c r="AF810" t="str">
        <f t="shared" si="25"/>
        <v>2025-04</v>
      </c>
      <c r="AG810">
        <f>SUBTOTAL(103,A810)</f>
        <v>1</v>
      </c>
    </row>
    <row r="811" spans="1:33" x14ac:dyDescent="0.3">
      <c r="A811" t="s">
        <v>3424</v>
      </c>
      <c r="B811" s="13">
        <v>45761</v>
      </c>
      <c r="C811">
        <v>2025</v>
      </c>
      <c r="D811">
        <v>4</v>
      </c>
      <c r="E811" t="s">
        <v>3328</v>
      </c>
      <c r="F811" t="s">
        <v>3329</v>
      </c>
      <c r="G811" t="s">
        <v>2105</v>
      </c>
      <c r="H811" t="s">
        <v>2106</v>
      </c>
      <c r="I811" t="s">
        <v>85</v>
      </c>
      <c r="J811">
        <v>46</v>
      </c>
      <c r="K811" t="s">
        <v>83</v>
      </c>
      <c r="L811" t="s">
        <v>94</v>
      </c>
      <c r="M811" t="s">
        <v>57</v>
      </c>
      <c r="N811" t="s">
        <v>2574</v>
      </c>
      <c r="O811" t="s">
        <v>130</v>
      </c>
      <c r="P811" t="s">
        <v>50</v>
      </c>
      <c r="Q811" t="s">
        <v>53</v>
      </c>
      <c r="R811">
        <v>1</v>
      </c>
      <c r="S811">
        <v>1199</v>
      </c>
      <c r="T811">
        <v>0.25</v>
      </c>
      <c r="U811">
        <v>899.25</v>
      </c>
      <c r="V811">
        <v>550</v>
      </c>
      <c r="W811">
        <v>349.25</v>
      </c>
      <c r="X811" t="s">
        <v>74</v>
      </c>
      <c r="Y811" t="s">
        <v>70</v>
      </c>
      <c r="Z811" t="s">
        <v>158</v>
      </c>
      <c r="AA811" t="s">
        <v>166</v>
      </c>
      <c r="AB811">
        <v>4.3</v>
      </c>
      <c r="AC811">
        <v>40</v>
      </c>
      <c r="AD811">
        <v>94.58</v>
      </c>
      <c r="AE811">
        <f t="shared" si="24"/>
        <v>214.67000000000002</v>
      </c>
      <c r="AF811" t="str">
        <f t="shared" si="25"/>
        <v>2025-04</v>
      </c>
      <c r="AG811">
        <f>SUBTOTAL(103,A811)</f>
        <v>1</v>
      </c>
    </row>
    <row r="812" spans="1:33" x14ac:dyDescent="0.3">
      <c r="A812" t="s">
        <v>3425</v>
      </c>
      <c r="B812" s="13">
        <v>45761</v>
      </c>
      <c r="C812">
        <v>2025</v>
      </c>
      <c r="D812">
        <v>4</v>
      </c>
      <c r="E812" t="s">
        <v>3328</v>
      </c>
      <c r="F812" t="s">
        <v>3329</v>
      </c>
      <c r="G812" t="s">
        <v>1571</v>
      </c>
      <c r="H812" t="s">
        <v>1572</v>
      </c>
      <c r="I812" t="s">
        <v>86</v>
      </c>
      <c r="J812">
        <v>30</v>
      </c>
      <c r="K812" t="s">
        <v>81</v>
      </c>
      <c r="L812" t="s">
        <v>2605</v>
      </c>
      <c r="M812" t="s">
        <v>60</v>
      </c>
      <c r="N812" t="s">
        <v>2653</v>
      </c>
      <c r="O812" t="s">
        <v>132</v>
      </c>
      <c r="P812" t="s">
        <v>52</v>
      </c>
      <c r="Q812" t="s">
        <v>150</v>
      </c>
      <c r="R812">
        <v>1</v>
      </c>
      <c r="S812">
        <v>899</v>
      </c>
      <c r="T812">
        <v>0.1</v>
      </c>
      <c r="U812">
        <v>809.1</v>
      </c>
      <c r="V812">
        <v>420</v>
      </c>
      <c r="W812">
        <v>389.1</v>
      </c>
      <c r="X812" t="s">
        <v>74</v>
      </c>
      <c r="Y812" t="s">
        <v>68</v>
      </c>
      <c r="Z812" t="s">
        <v>158</v>
      </c>
      <c r="AA812" t="s">
        <v>170</v>
      </c>
      <c r="AB812">
        <v>3.5</v>
      </c>
      <c r="AC812">
        <v>60</v>
      </c>
      <c r="AD812">
        <v>20</v>
      </c>
      <c r="AE812">
        <f t="shared" si="24"/>
        <v>309.10000000000002</v>
      </c>
      <c r="AF812" t="str">
        <f t="shared" si="25"/>
        <v>2025-04</v>
      </c>
      <c r="AG812">
        <f>SUBTOTAL(103,A812)</f>
        <v>1</v>
      </c>
    </row>
    <row r="813" spans="1:33" x14ac:dyDescent="0.3">
      <c r="A813" t="s">
        <v>3426</v>
      </c>
      <c r="B813" s="13">
        <v>45761</v>
      </c>
      <c r="C813">
        <v>2025</v>
      </c>
      <c r="D813">
        <v>4</v>
      </c>
      <c r="E813" t="s">
        <v>3328</v>
      </c>
      <c r="F813" t="s">
        <v>3329</v>
      </c>
      <c r="G813" t="s">
        <v>1481</v>
      </c>
      <c r="H813" t="s">
        <v>1482</v>
      </c>
      <c r="I813" t="s">
        <v>86</v>
      </c>
      <c r="J813">
        <v>27</v>
      </c>
      <c r="K813" t="s">
        <v>81</v>
      </c>
      <c r="L813" t="s">
        <v>2687</v>
      </c>
      <c r="M813" t="s">
        <v>57</v>
      </c>
      <c r="N813" t="s">
        <v>2601</v>
      </c>
      <c r="O813" t="s">
        <v>117</v>
      </c>
      <c r="P813" t="s">
        <v>49</v>
      </c>
      <c r="Q813" t="s">
        <v>139</v>
      </c>
      <c r="R813">
        <v>2</v>
      </c>
      <c r="S813">
        <v>6999</v>
      </c>
      <c r="T813">
        <v>0.25</v>
      </c>
      <c r="U813">
        <v>10498.5</v>
      </c>
      <c r="V813">
        <v>8600</v>
      </c>
      <c r="W813">
        <v>1898.5</v>
      </c>
      <c r="X813" t="s">
        <v>75</v>
      </c>
      <c r="Y813" t="s">
        <v>68</v>
      </c>
      <c r="Z813" t="s">
        <v>160</v>
      </c>
      <c r="AA813" t="s">
        <v>166</v>
      </c>
      <c r="AB813">
        <v>4</v>
      </c>
      <c r="AC813">
        <v>60</v>
      </c>
      <c r="AD813">
        <v>368.48</v>
      </c>
      <c r="AE813">
        <f t="shared" si="24"/>
        <v>1470.02</v>
      </c>
      <c r="AF813" t="str">
        <f t="shared" si="25"/>
        <v>2025-04</v>
      </c>
      <c r="AG813">
        <f>SUBTOTAL(103,A813)</f>
        <v>1</v>
      </c>
    </row>
    <row r="814" spans="1:33" x14ac:dyDescent="0.3">
      <c r="A814" t="s">
        <v>3427</v>
      </c>
      <c r="B814" s="13">
        <v>45761</v>
      </c>
      <c r="C814">
        <v>2025</v>
      </c>
      <c r="D814">
        <v>4</v>
      </c>
      <c r="E814" t="s">
        <v>3328</v>
      </c>
      <c r="F814" t="s">
        <v>3329</v>
      </c>
      <c r="G814" t="s">
        <v>1671</v>
      </c>
      <c r="H814" t="s">
        <v>1672</v>
      </c>
      <c r="I814" t="s">
        <v>85</v>
      </c>
      <c r="J814">
        <v>47</v>
      </c>
      <c r="K814" t="s">
        <v>83</v>
      </c>
      <c r="L814" t="s">
        <v>94</v>
      </c>
      <c r="M814" t="s">
        <v>57</v>
      </c>
      <c r="N814" t="s">
        <v>2574</v>
      </c>
      <c r="O814" t="s">
        <v>130</v>
      </c>
      <c r="P814" t="s">
        <v>50</v>
      </c>
      <c r="Q814" t="s">
        <v>53</v>
      </c>
      <c r="R814">
        <v>1</v>
      </c>
      <c r="S814">
        <v>1199</v>
      </c>
      <c r="T814">
        <v>0.1</v>
      </c>
      <c r="U814">
        <v>1079.0999999999999</v>
      </c>
      <c r="V814">
        <v>550</v>
      </c>
      <c r="W814">
        <v>529.1</v>
      </c>
      <c r="X814" t="s">
        <v>73</v>
      </c>
      <c r="Y814" t="s">
        <v>68</v>
      </c>
      <c r="Z814" t="s">
        <v>158</v>
      </c>
      <c r="AA814" t="s">
        <v>168</v>
      </c>
      <c r="AB814">
        <v>4.7</v>
      </c>
      <c r="AC814">
        <v>80</v>
      </c>
      <c r="AD814">
        <v>53.01</v>
      </c>
      <c r="AE814">
        <f t="shared" si="24"/>
        <v>396.09000000000003</v>
      </c>
      <c r="AF814" t="str">
        <f t="shared" si="25"/>
        <v>2025-04</v>
      </c>
      <c r="AG814">
        <f>SUBTOTAL(103,A814)</f>
        <v>1</v>
      </c>
    </row>
    <row r="815" spans="1:33" x14ac:dyDescent="0.3">
      <c r="A815" t="s">
        <v>3428</v>
      </c>
      <c r="B815" s="13">
        <v>45761</v>
      </c>
      <c r="C815">
        <v>2025</v>
      </c>
      <c r="D815">
        <v>4</v>
      </c>
      <c r="E815" t="s">
        <v>3328</v>
      </c>
      <c r="F815" t="s">
        <v>3329</v>
      </c>
      <c r="G815" t="s">
        <v>271</v>
      </c>
      <c r="H815" t="s">
        <v>272</v>
      </c>
      <c r="I815" t="s">
        <v>86</v>
      </c>
      <c r="J815">
        <v>51</v>
      </c>
      <c r="K815" t="s">
        <v>83</v>
      </c>
      <c r="L815" t="s">
        <v>92</v>
      </c>
      <c r="M815" t="s">
        <v>59</v>
      </c>
      <c r="N815" t="s">
        <v>2653</v>
      </c>
      <c r="O815" t="s">
        <v>132</v>
      </c>
      <c r="P815" t="s">
        <v>52</v>
      </c>
      <c r="Q815" t="s">
        <v>150</v>
      </c>
      <c r="R815">
        <v>1</v>
      </c>
      <c r="S815">
        <v>899</v>
      </c>
      <c r="T815">
        <v>0.15</v>
      </c>
      <c r="U815">
        <v>764.15</v>
      </c>
      <c r="V815">
        <v>420</v>
      </c>
      <c r="W815">
        <v>344.15</v>
      </c>
      <c r="X815" t="s">
        <v>74</v>
      </c>
      <c r="Y815" t="s">
        <v>68</v>
      </c>
      <c r="Z815" t="s">
        <v>160</v>
      </c>
      <c r="AA815" t="s">
        <v>168</v>
      </c>
      <c r="AB815">
        <v>4.3</v>
      </c>
      <c r="AC815">
        <v>50</v>
      </c>
      <c r="AD815">
        <v>62.81</v>
      </c>
      <c r="AE815">
        <f t="shared" si="24"/>
        <v>231.33999999999997</v>
      </c>
      <c r="AF815" t="str">
        <f t="shared" si="25"/>
        <v>2025-04</v>
      </c>
      <c r="AG815">
        <f>SUBTOTAL(103,A815)</f>
        <v>1</v>
      </c>
    </row>
    <row r="816" spans="1:33" x14ac:dyDescent="0.3">
      <c r="A816" t="s">
        <v>3429</v>
      </c>
      <c r="B816" s="13">
        <v>45761</v>
      </c>
      <c r="C816">
        <v>2025</v>
      </c>
      <c r="D816">
        <v>4</v>
      </c>
      <c r="E816" t="s">
        <v>3328</v>
      </c>
      <c r="F816" t="s">
        <v>3329</v>
      </c>
      <c r="G816" t="s">
        <v>209</v>
      </c>
      <c r="H816" t="s">
        <v>210</v>
      </c>
      <c r="I816" t="s">
        <v>85</v>
      </c>
      <c r="J816">
        <v>46</v>
      </c>
      <c r="K816" t="s">
        <v>83</v>
      </c>
      <c r="L816" t="s">
        <v>91</v>
      </c>
      <c r="M816" t="s">
        <v>55</v>
      </c>
      <c r="N816" t="s">
        <v>2601</v>
      </c>
      <c r="O816" t="s">
        <v>117</v>
      </c>
      <c r="P816" t="s">
        <v>49</v>
      </c>
      <c r="Q816" t="s">
        <v>139</v>
      </c>
      <c r="R816">
        <v>2</v>
      </c>
      <c r="S816">
        <v>6999</v>
      </c>
      <c r="T816">
        <v>0.05</v>
      </c>
      <c r="U816">
        <v>13298.1</v>
      </c>
      <c r="V816">
        <v>8600</v>
      </c>
      <c r="W816">
        <v>4698.1000000000004</v>
      </c>
      <c r="X816" t="s">
        <v>73</v>
      </c>
      <c r="Y816" t="s">
        <v>68</v>
      </c>
      <c r="Z816" t="s">
        <v>163</v>
      </c>
      <c r="AA816" t="s">
        <v>169</v>
      </c>
      <c r="AB816">
        <v>4.5</v>
      </c>
      <c r="AC816">
        <v>50</v>
      </c>
      <c r="AD816">
        <v>1452.65</v>
      </c>
      <c r="AE816">
        <f t="shared" si="24"/>
        <v>3195.4500000000003</v>
      </c>
      <c r="AF816" t="str">
        <f t="shared" si="25"/>
        <v>2025-04</v>
      </c>
      <c r="AG816">
        <f>SUBTOTAL(103,A816)</f>
        <v>1</v>
      </c>
    </row>
    <row r="817" spans="1:33" x14ac:dyDescent="0.3">
      <c r="A817" t="s">
        <v>3430</v>
      </c>
      <c r="B817" s="13">
        <v>45761</v>
      </c>
      <c r="C817">
        <v>2025</v>
      </c>
      <c r="D817">
        <v>4</v>
      </c>
      <c r="E817" t="s">
        <v>3328</v>
      </c>
      <c r="F817" t="s">
        <v>3329</v>
      </c>
      <c r="G817" t="s">
        <v>461</v>
      </c>
      <c r="H817" t="s">
        <v>462</v>
      </c>
      <c r="I817" t="s">
        <v>85</v>
      </c>
      <c r="J817">
        <v>56</v>
      </c>
      <c r="K817" t="s">
        <v>83</v>
      </c>
      <c r="L817" t="s">
        <v>99</v>
      </c>
      <c r="M817" t="s">
        <v>58</v>
      </c>
      <c r="N817" t="s">
        <v>2577</v>
      </c>
      <c r="O817" t="s">
        <v>129</v>
      </c>
      <c r="P817" t="s">
        <v>49</v>
      </c>
      <c r="Q817" t="s">
        <v>149</v>
      </c>
      <c r="R817">
        <v>4</v>
      </c>
      <c r="S817">
        <v>1299</v>
      </c>
      <c r="T817">
        <v>0.05</v>
      </c>
      <c r="U817">
        <v>4936.2</v>
      </c>
      <c r="V817">
        <v>2600</v>
      </c>
      <c r="W817">
        <v>2336.1999999999998</v>
      </c>
      <c r="X817" t="s">
        <v>76</v>
      </c>
      <c r="Y817" t="s">
        <v>68</v>
      </c>
      <c r="Z817" t="s">
        <v>163</v>
      </c>
      <c r="AA817" t="s">
        <v>170</v>
      </c>
      <c r="AB817">
        <v>3.8</v>
      </c>
      <c r="AC817">
        <v>80</v>
      </c>
      <c r="AD817">
        <v>263.26</v>
      </c>
      <c r="AE817">
        <f t="shared" si="24"/>
        <v>1992.9399999999998</v>
      </c>
      <c r="AF817" t="str">
        <f t="shared" si="25"/>
        <v>2025-04</v>
      </c>
      <c r="AG817">
        <f>SUBTOTAL(103,A817)</f>
        <v>1</v>
      </c>
    </row>
    <row r="818" spans="1:33" x14ac:dyDescent="0.3">
      <c r="A818" t="s">
        <v>3431</v>
      </c>
      <c r="B818" s="13">
        <v>45761</v>
      </c>
      <c r="C818">
        <v>2025</v>
      </c>
      <c r="D818">
        <v>4</v>
      </c>
      <c r="E818" t="s">
        <v>3328</v>
      </c>
      <c r="F818" t="s">
        <v>3329</v>
      </c>
      <c r="G818" t="s">
        <v>1963</v>
      </c>
      <c r="H818" t="s">
        <v>1964</v>
      </c>
      <c r="I818" t="s">
        <v>87</v>
      </c>
      <c r="J818">
        <v>37</v>
      </c>
      <c r="K818" t="s">
        <v>82</v>
      </c>
      <c r="L818" t="s">
        <v>59</v>
      </c>
      <c r="M818" t="s">
        <v>59</v>
      </c>
      <c r="N818" t="s">
        <v>2584</v>
      </c>
      <c r="O818" t="s">
        <v>121</v>
      </c>
      <c r="P818" t="s">
        <v>50</v>
      </c>
      <c r="Q818" t="s">
        <v>144</v>
      </c>
      <c r="R818">
        <v>1</v>
      </c>
      <c r="S818">
        <v>2999</v>
      </c>
      <c r="T818">
        <v>0.15</v>
      </c>
      <c r="U818">
        <v>2549.15</v>
      </c>
      <c r="V818">
        <v>1700</v>
      </c>
      <c r="W818">
        <v>849.15</v>
      </c>
      <c r="X818" t="s">
        <v>73</v>
      </c>
      <c r="Y818" t="s">
        <v>69</v>
      </c>
      <c r="Z818" t="s">
        <v>159</v>
      </c>
      <c r="AA818" t="s">
        <v>167</v>
      </c>
      <c r="AB818">
        <v>4.2</v>
      </c>
      <c r="AC818">
        <v>60</v>
      </c>
      <c r="AD818">
        <v>265.70999999999998</v>
      </c>
      <c r="AE818">
        <f t="shared" si="24"/>
        <v>523.44000000000005</v>
      </c>
      <c r="AF818" t="str">
        <f t="shared" si="25"/>
        <v>2025-04</v>
      </c>
      <c r="AG818">
        <f>SUBTOTAL(103,A818)</f>
        <v>1</v>
      </c>
    </row>
    <row r="819" spans="1:33" x14ac:dyDescent="0.3">
      <c r="A819" t="s">
        <v>3432</v>
      </c>
      <c r="B819" s="13">
        <v>45761</v>
      </c>
      <c r="C819">
        <v>2025</v>
      </c>
      <c r="D819">
        <v>4</v>
      </c>
      <c r="E819" t="s">
        <v>3328</v>
      </c>
      <c r="F819" t="s">
        <v>3329</v>
      </c>
      <c r="G819" t="s">
        <v>933</v>
      </c>
      <c r="H819" t="s">
        <v>934</v>
      </c>
      <c r="I819" t="s">
        <v>85</v>
      </c>
      <c r="J819">
        <v>30</v>
      </c>
      <c r="K819" t="s">
        <v>81</v>
      </c>
      <c r="L819" t="s">
        <v>96</v>
      </c>
      <c r="M819" t="s">
        <v>55</v>
      </c>
      <c r="N819" t="s">
        <v>2590</v>
      </c>
      <c r="O819" t="s">
        <v>127</v>
      </c>
      <c r="P819" t="s">
        <v>51</v>
      </c>
      <c r="Q819" t="s">
        <v>148</v>
      </c>
      <c r="R819">
        <v>4</v>
      </c>
      <c r="S819">
        <v>1599</v>
      </c>
      <c r="T819">
        <v>0.1</v>
      </c>
      <c r="U819">
        <v>5756.4</v>
      </c>
      <c r="V819">
        <v>3200</v>
      </c>
      <c r="W819">
        <v>2556.4</v>
      </c>
      <c r="X819" t="s">
        <v>73</v>
      </c>
      <c r="Y819" t="s">
        <v>68</v>
      </c>
      <c r="Z819" t="s">
        <v>162</v>
      </c>
      <c r="AA819" t="s">
        <v>167</v>
      </c>
      <c r="AB819">
        <v>4.5</v>
      </c>
      <c r="AC819">
        <v>120</v>
      </c>
      <c r="AD819">
        <v>196.77</v>
      </c>
      <c r="AE819">
        <f t="shared" si="24"/>
        <v>2239.63</v>
      </c>
      <c r="AF819" t="str">
        <f t="shared" si="25"/>
        <v>2025-04</v>
      </c>
      <c r="AG819">
        <f>SUBTOTAL(103,A819)</f>
        <v>1</v>
      </c>
    </row>
    <row r="820" spans="1:33" x14ac:dyDescent="0.3">
      <c r="A820" t="s">
        <v>3433</v>
      </c>
      <c r="B820" s="13">
        <v>45762</v>
      </c>
      <c r="C820">
        <v>2025</v>
      </c>
      <c r="D820">
        <v>4</v>
      </c>
      <c r="E820" t="s">
        <v>3328</v>
      </c>
      <c r="F820" t="s">
        <v>3329</v>
      </c>
      <c r="G820" t="s">
        <v>2043</v>
      </c>
      <c r="H820" t="s">
        <v>2044</v>
      </c>
      <c r="I820" t="s">
        <v>85</v>
      </c>
      <c r="J820">
        <v>25</v>
      </c>
      <c r="K820" t="s">
        <v>80</v>
      </c>
      <c r="L820" t="s">
        <v>96</v>
      </c>
      <c r="M820" t="s">
        <v>55</v>
      </c>
      <c r="N820" t="s">
        <v>2596</v>
      </c>
      <c r="O820" t="s">
        <v>124</v>
      </c>
      <c r="P820" t="s">
        <v>51</v>
      </c>
      <c r="Q820" t="s">
        <v>147</v>
      </c>
      <c r="R820">
        <v>1</v>
      </c>
      <c r="S820">
        <v>2299</v>
      </c>
      <c r="T820">
        <v>0</v>
      </c>
      <c r="U820">
        <v>2299</v>
      </c>
      <c r="V820">
        <v>1200</v>
      </c>
      <c r="W820">
        <v>1099</v>
      </c>
      <c r="X820" t="s">
        <v>74</v>
      </c>
      <c r="Y820" t="s">
        <v>68</v>
      </c>
      <c r="Z820" t="s">
        <v>159</v>
      </c>
      <c r="AA820" t="s">
        <v>168</v>
      </c>
      <c r="AB820">
        <v>4.5</v>
      </c>
      <c r="AC820">
        <v>80</v>
      </c>
      <c r="AD820">
        <v>66.17</v>
      </c>
      <c r="AE820">
        <f t="shared" si="24"/>
        <v>952.83</v>
      </c>
      <c r="AF820" t="str">
        <f t="shared" si="25"/>
        <v>2025-04</v>
      </c>
      <c r="AG820">
        <f>SUBTOTAL(103,A820)</f>
        <v>1</v>
      </c>
    </row>
    <row r="821" spans="1:33" x14ac:dyDescent="0.3">
      <c r="A821" t="s">
        <v>3434</v>
      </c>
      <c r="B821" s="13">
        <v>45762</v>
      </c>
      <c r="C821">
        <v>2025</v>
      </c>
      <c r="D821">
        <v>4</v>
      </c>
      <c r="E821" t="s">
        <v>3328</v>
      </c>
      <c r="F821" t="s">
        <v>3329</v>
      </c>
      <c r="G821" t="s">
        <v>429</v>
      </c>
      <c r="H821" t="s">
        <v>430</v>
      </c>
      <c r="I821" t="s">
        <v>86</v>
      </c>
      <c r="J821">
        <v>50</v>
      </c>
      <c r="K821" t="s">
        <v>83</v>
      </c>
      <c r="L821" t="s">
        <v>93</v>
      </c>
      <c r="M821" t="s">
        <v>55</v>
      </c>
      <c r="N821" t="s">
        <v>2584</v>
      </c>
      <c r="O821" t="s">
        <v>121</v>
      </c>
      <c r="P821" t="s">
        <v>50</v>
      </c>
      <c r="Q821" t="s">
        <v>144</v>
      </c>
      <c r="R821">
        <v>4</v>
      </c>
      <c r="S821">
        <v>2999</v>
      </c>
      <c r="T821">
        <v>0.15</v>
      </c>
      <c r="U821">
        <v>10196.6</v>
      </c>
      <c r="V821">
        <v>6800</v>
      </c>
      <c r="W821">
        <v>3396.6</v>
      </c>
      <c r="X821" t="s">
        <v>73</v>
      </c>
      <c r="Y821" t="s">
        <v>68</v>
      </c>
      <c r="Z821" t="s">
        <v>158</v>
      </c>
      <c r="AA821" t="s">
        <v>167</v>
      </c>
      <c r="AB821">
        <v>4.7</v>
      </c>
      <c r="AC821">
        <v>40</v>
      </c>
      <c r="AD821">
        <v>336.84</v>
      </c>
      <c r="AE821">
        <f t="shared" si="24"/>
        <v>3019.7599999999998</v>
      </c>
      <c r="AF821" t="str">
        <f t="shared" si="25"/>
        <v>2025-04</v>
      </c>
      <c r="AG821">
        <f>SUBTOTAL(103,A821)</f>
        <v>1</v>
      </c>
    </row>
    <row r="822" spans="1:33" x14ac:dyDescent="0.3">
      <c r="A822" t="s">
        <v>3435</v>
      </c>
      <c r="B822" s="13">
        <v>45762</v>
      </c>
      <c r="C822">
        <v>2025</v>
      </c>
      <c r="D822">
        <v>4</v>
      </c>
      <c r="E822" t="s">
        <v>3328</v>
      </c>
      <c r="F822" t="s">
        <v>3329</v>
      </c>
      <c r="G822" t="s">
        <v>1657</v>
      </c>
      <c r="H822" t="s">
        <v>1658</v>
      </c>
      <c r="I822" t="s">
        <v>85</v>
      </c>
      <c r="J822">
        <v>38</v>
      </c>
      <c r="K822" t="s">
        <v>82</v>
      </c>
      <c r="L822" t="s">
        <v>2674</v>
      </c>
      <c r="M822" t="s">
        <v>58</v>
      </c>
      <c r="N822" t="s">
        <v>2601</v>
      </c>
      <c r="O822" t="s">
        <v>117</v>
      </c>
      <c r="P822" t="s">
        <v>49</v>
      </c>
      <c r="Q822" t="s">
        <v>139</v>
      </c>
      <c r="R822">
        <v>1</v>
      </c>
      <c r="S822">
        <v>6999</v>
      </c>
      <c r="T822">
        <v>0.2</v>
      </c>
      <c r="U822">
        <v>5599.2</v>
      </c>
      <c r="V822">
        <v>4300</v>
      </c>
      <c r="W822">
        <v>1299.2</v>
      </c>
      <c r="X822" t="s">
        <v>73</v>
      </c>
      <c r="Y822" t="s">
        <v>68</v>
      </c>
      <c r="Z822" t="s">
        <v>161</v>
      </c>
      <c r="AA822" t="s">
        <v>169</v>
      </c>
      <c r="AB822">
        <v>4.5</v>
      </c>
      <c r="AC822">
        <v>50</v>
      </c>
      <c r="AD822">
        <v>291.39999999999998</v>
      </c>
      <c r="AE822">
        <f t="shared" si="24"/>
        <v>957.80000000000007</v>
      </c>
      <c r="AF822" t="str">
        <f t="shared" si="25"/>
        <v>2025-04</v>
      </c>
      <c r="AG822">
        <f>SUBTOTAL(103,A822)</f>
        <v>1</v>
      </c>
    </row>
    <row r="823" spans="1:33" x14ac:dyDescent="0.3">
      <c r="A823" t="s">
        <v>3436</v>
      </c>
      <c r="B823" s="13">
        <v>45762</v>
      </c>
      <c r="C823">
        <v>2025</v>
      </c>
      <c r="D823">
        <v>4</v>
      </c>
      <c r="E823" t="s">
        <v>3328</v>
      </c>
      <c r="F823" t="s">
        <v>3329</v>
      </c>
      <c r="G823" t="s">
        <v>2053</v>
      </c>
      <c r="H823" t="s">
        <v>2054</v>
      </c>
      <c r="I823" t="s">
        <v>86</v>
      </c>
      <c r="J823">
        <v>51</v>
      </c>
      <c r="K823" t="s">
        <v>83</v>
      </c>
      <c r="L823" t="s">
        <v>95</v>
      </c>
      <c r="M823" t="s">
        <v>56</v>
      </c>
      <c r="N823" t="s">
        <v>2594</v>
      </c>
      <c r="O823" t="s">
        <v>131</v>
      </c>
      <c r="P823" t="s">
        <v>53</v>
      </c>
      <c r="Q823" t="s">
        <v>143</v>
      </c>
      <c r="R823">
        <v>1</v>
      </c>
      <c r="S823">
        <v>999</v>
      </c>
      <c r="T823">
        <v>0.1</v>
      </c>
      <c r="U823">
        <v>899.1</v>
      </c>
      <c r="V823">
        <v>520</v>
      </c>
      <c r="W823">
        <v>379.1</v>
      </c>
      <c r="X823" t="s">
        <v>76</v>
      </c>
      <c r="Y823" t="s">
        <v>69</v>
      </c>
      <c r="Z823" t="s">
        <v>159</v>
      </c>
      <c r="AA823" t="s">
        <v>171</v>
      </c>
      <c r="AB823">
        <v>4.3</v>
      </c>
      <c r="AC823">
        <v>80</v>
      </c>
      <c r="AD823">
        <v>74.569999999999993</v>
      </c>
      <c r="AE823">
        <f t="shared" si="24"/>
        <v>224.53000000000003</v>
      </c>
      <c r="AF823" t="str">
        <f t="shared" si="25"/>
        <v>2025-04</v>
      </c>
      <c r="AG823">
        <f>SUBTOTAL(103,A823)</f>
        <v>1</v>
      </c>
    </row>
    <row r="824" spans="1:33" x14ac:dyDescent="0.3">
      <c r="A824" t="s">
        <v>3437</v>
      </c>
      <c r="B824" s="13">
        <v>45762</v>
      </c>
      <c r="C824">
        <v>2025</v>
      </c>
      <c r="D824">
        <v>4</v>
      </c>
      <c r="E824" t="s">
        <v>3328</v>
      </c>
      <c r="F824" t="s">
        <v>3329</v>
      </c>
      <c r="G824" t="s">
        <v>1487</v>
      </c>
      <c r="H824" t="s">
        <v>1488</v>
      </c>
      <c r="I824" t="s">
        <v>86</v>
      </c>
      <c r="J824">
        <v>24</v>
      </c>
      <c r="K824" t="s">
        <v>80</v>
      </c>
      <c r="L824" t="s">
        <v>93</v>
      </c>
      <c r="M824" t="s">
        <v>55</v>
      </c>
      <c r="N824" t="s">
        <v>2594</v>
      </c>
      <c r="O824" t="s">
        <v>131</v>
      </c>
      <c r="P824" t="s">
        <v>53</v>
      </c>
      <c r="Q824" t="s">
        <v>143</v>
      </c>
      <c r="R824">
        <v>1</v>
      </c>
      <c r="S824">
        <v>999</v>
      </c>
      <c r="T824">
        <v>0.1</v>
      </c>
      <c r="U824">
        <v>899.1</v>
      </c>
      <c r="V824">
        <v>520</v>
      </c>
      <c r="W824">
        <v>379.1</v>
      </c>
      <c r="X824" t="s">
        <v>73</v>
      </c>
      <c r="Y824" t="s">
        <v>68</v>
      </c>
      <c r="Z824" t="s">
        <v>162</v>
      </c>
      <c r="AA824" t="s">
        <v>166</v>
      </c>
      <c r="AB824">
        <v>3.5</v>
      </c>
      <c r="AC824">
        <v>40</v>
      </c>
      <c r="AD824">
        <v>26.14</v>
      </c>
      <c r="AE824">
        <f t="shared" si="24"/>
        <v>312.96000000000004</v>
      </c>
      <c r="AF824" t="str">
        <f t="shared" si="25"/>
        <v>2025-04</v>
      </c>
      <c r="AG824">
        <f>SUBTOTAL(103,A824)</f>
        <v>1</v>
      </c>
    </row>
    <row r="825" spans="1:33" x14ac:dyDescent="0.3">
      <c r="A825" t="s">
        <v>3438</v>
      </c>
      <c r="B825" s="13">
        <v>45762</v>
      </c>
      <c r="C825">
        <v>2025</v>
      </c>
      <c r="D825">
        <v>4</v>
      </c>
      <c r="E825" t="s">
        <v>3328</v>
      </c>
      <c r="F825" t="s">
        <v>3329</v>
      </c>
      <c r="G825" t="s">
        <v>307</v>
      </c>
      <c r="H825" t="s">
        <v>308</v>
      </c>
      <c r="I825" t="s">
        <v>86</v>
      </c>
      <c r="J825">
        <v>54</v>
      </c>
      <c r="K825" t="s">
        <v>83</v>
      </c>
      <c r="L825" t="s">
        <v>2646</v>
      </c>
      <c r="M825" t="s">
        <v>63</v>
      </c>
      <c r="N825" t="s">
        <v>2590</v>
      </c>
      <c r="O825" t="s">
        <v>127</v>
      </c>
      <c r="P825" t="s">
        <v>51</v>
      </c>
      <c r="Q825" t="s">
        <v>148</v>
      </c>
      <c r="R825">
        <v>1</v>
      </c>
      <c r="S825">
        <v>1599</v>
      </c>
      <c r="T825">
        <v>0</v>
      </c>
      <c r="U825">
        <v>1599</v>
      </c>
      <c r="V825">
        <v>800</v>
      </c>
      <c r="W825">
        <v>799</v>
      </c>
      <c r="X825" t="s">
        <v>75</v>
      </c>
      <c r="Y825" t="s">
        <v>68</v>
      </c>
      <c r="Z825" t="s">
        <v>160</v>
      </c>
      <c r="AA825" t="s">
        <v>171</v>
      </c>
      <c r="AB825">
        <v>5</v>
      </c>
      <c r="AC825">
        <v>80</v>
      </c>
      <c r="AD825">
        <v>38.229999999999997</v>
      </c>
      <c r="AE825">
        <f t="shared" si="24"/>
        <v>680.77</v>
      </c>
      <c r="AF825" t="str">
        <f t="shared" si="25"/>
        <v>2025-04</v>
      </c>
      <c r="AG825">
        <f>SUBTOTAL(103,A825)</f>
        <v>1</v>
      </c>
    </row>
    <row r="826" spans="1:33" x14ac:dyDescent="0.3">
      <c r="A826" t="s">
        <v>3439</v>
      </c>
      <c r="B826" s="13">
        <v>45762</v>
      </c>
      <c r="C826">
        <v>2025</v>
      </c>
      <c r="D826">
        <v>4</v>
      </c>
      <c r="E826" t="s">
        <v>3328</v>
      </c>
      <c r="F826" t="s">
        <v>3329</v>
      </c>
      <c r="G826" t="s">
        <v>319</v>
      </c>
      <c r="H826" t="s">
        <v>320</v>
      </c>
      <c r="I826" t="s">
        <v>85</v>
      </c>
      <c r="J826">
        <v>31</v>
      </c>
      <c r="K826" t="s">
        <v>81</v>
      </c>
      <c r="L826" t="s">
        <v>96</v>
      </c>
      <c r="M826" t="s">
        <v>55</v>
      </c>
      <c r="N826" t="s">
        <v>2665</v>
      </c>
      <c r="O826" t="s">
        <v>128</v>
      </c>
      <c r="P826" t="s">
        <v>53</v>
      </c>
      <c r="Q826" t="s">
        <v>143</v>
      </c>
      <c r="R826">
        <v>4</v>
      </c>
      <c r="S826">
        <v>1499</v>
      </c>
      <c r="T826">
        <v>0.1</v>
      </c>
      <c r="U826">
        <v>5396.4</v>
      </c>
      <c r="V826">
        <v>3200</v>
      </c>
      <c r="W826">
        <v>2196.4</v>
      </c>
      <c r="X826" t="s">
        <v>73</v>
      </c>
      <c r="Y826" t="s">
        <v>68</v>
      </c>
      <c r="Z826" t="s">
        <v>162</v>
      </c>
      <c r="AA826" t="s">
        <v>166</v>
      </c>
      <c r="AB826">
        <v>2.7</v>
      </c>
      <c r="AC826">
        <v>120</v>
      </c>
      <c r="AD826">
        <v>293.11</v>
      </c>
      <c r="AE826">
        <f t="shared" si="24"/>
        <v>1783.29</v>
      </c>
      <c r="AF826" t="str">
        <f t="shared" si="25"/>
        <v>2025-04</v>
      </c>
      <c r="AG826">
        <f>SUBTOTAL(103,A826)</f>
        <v>1</v>
      </c>
    </row>
    <row r="827" spans="1:33" x14ac:dyDescent="0.3">
      <c r="A827" t="s">
        <v>3440</v>
      </c>
      <c r="B827" s="13">
        <v>45762</v>
      </c>
      <c r="C827">
        <v>2025</v>
      </c>
      <c r="D827">
        <v>4</v>
      </c>
      <c r="E827" t="s">
        <v>3328</v>
      </c>
      <c r="F827" t="s">
        <v>3329</v>
      </c>
      <c r="G827" t="s">
        <v>2305</v>
      </c>
      <c r="H827" t="s">
        <v>2306</v>
      </c>
      <c r="I827" t="s">
        <v>86</v>
      </c>
      <c r="J827">
        <v>19</v>
      </c>
      <c r="K827" t="s">
        <v>80</v>
      </c>
      <c r="L827" t="s">
        <v>90</v>
      </c>
      <c r="M827" t="s">
        <v>55</v>
      </c>
      <c r="N827" t="s">
        <v>2574</v>
      </c>
      <c r="O827" t="s">
        <v>130</v>
      </c>
      <c r="P827" t="s">
        <v>50</v>
      </c>
      <c r="Q827" t="s">
        <v>53</v>
      </c>
      <c r="R827">
        <v>1</v>
      </c>
      <c r="S827">
        <v>1199</v>
      </c>
      <c r="T827">
        <v>0.05</v>
      </c>
      <c r="U827">
        <v>1139.05</v>
      </c>
      <c r="V827">
        <v>550</v>
      </c>
      <c r="W827">
        <v>589.04999999999995</v>
      </c>
      <c r="X827" t="s">
        <v>75</v>
      </c>
      <c r="Y827" t="s">
        <v>69</v>
      </c>
      <c r="Z827" t="s">
        <v>163</v>
      </c>
      <c r="AA827" t="s">
        <v>168</v>
      </c>
      <c r="AB827">
        <v>4.5</v>
      </c>
      <c r="AC827">
        <v>50</v>
      </c>
      <c r="AD827">
        <v>126.29</v>
      </c>
      <c r="AE827">
        <f t="shared" si="24"/>
        <v>412.75999999999993</v>
      </c>
      <c r="AF827" t="str">
        <f t="shared" si="25"/>
        <v>2025-04</v>
      </c>
      <c r="AG827">
        <f>SUBTOTAL(103,A827)</f>
        <v>1</v>
      </c>
    </row>
    <row r="828" spans="1:33" x14ac:dyDescent="0.3">
      <c r="A828" t="s">
        <v>3441</v>
      </c>
      <c r="B828" s="13">
        <v>45762</v>
      </c>
      <c r="C828">
        <v>2025</v>
      </c>
      <c r="D828">
        <v>4</v>
      </c>
      <c r="E828" t="s">
        <v>3328</v>
      </c>
      <c r="F828" t="s">
        <v>3329</v>
      </c>
      <c r="G828" t="s">
        <v>197</v>
      </c>
      <c r="H828" t="s">
        <v>198</v>
      </c>
      <c r="I828" t="s">
        <v>86</v>
      </c>
      <c r="J828">
        <v>57</v>
      </c>
      <c r="K828" t="s">
        <v>83</v>
      </c>
      <c r="L828" t="s">
        <v>2690</v>
      </c>
      <c r="M828" t="s">
        <v>63</v>
      </c>
      <c r="N828" t="s">
        <v>2582</v>
      </c>
      <c r="O828" t="s">
        <v>119</v>
      </c>
      <c r="P828" t="s">
        <v>49</v>
      </c>
      <c r="Q828" t="s">
        <v>140</v>
      </c>
      <c r="R828">
        <v>1</v>
      </c>
      <c r="S828">
        <v>3499</v>
      </c>
      <c r="T828">
        <v>0.15</v>
      </c>
      <c r="U828">
        <v>2974.15</v>
      </c>
      <c r="V828">
        <v>2100</v>
      </c>
      <c r="W828">
        <v>874.15</v>
      </c>
      <c r="X828" t="s">
        <v>75</v>
      </c>
      <c r="Y828" t="s">
        <v>68</v>
      </c>
      <c r="Z828" t="s">
        <v>158</v>
      </c>
      <c r="AA828" t="s">
        <v>169</v>
      </c>
      <c r="AB828">
        <v>3.2</v>
      </c>
      <c r="AC828">
        <v>80</v>
      </c>
      <c r="AD828">
        <v>189.02</v>
      </c>
      <c r="AE828">
        <f t="shared" si="24"/>
        <v>605.13</v>
      </c>
      <c r="AF828" t="str">
        <f t="shared" si="25"/>
        <v>2025-04</v>
      </c>
      <c r="AG828">
        <f>SUBTOTAL(103,A828)</f>
        <v>1</v>
      </c>
    </row>
    <row r="829" spans="1:33" x14ac:dyDescent="0.3">
      <c r="A829" t="s">
        <v>3442</v>
      </c>
      <c r="B829" s="13">
        <v>45762</v>
      </c>
      <c r="C829">
        <v>2025</v>
      </c>
      <c r="D829">
        <v>4</v>
      </c>
      <c r="E829" t="s">
        <v>3328</v>
      </c>
      <c r="F829" t="s">
        <v>3329</v>
      </c>
      <c r="G829" t="s">
        <v>1189</v>
      </c>
      <c r="H829" t="s">
        <v>1190</v>
      </c>
      <c r="I829" t="s">
        <v>85</v>
      </c>
      <c r="J829">
        <v>45</v>
      </c>
      <c r="K829" t="s">
        <v>82</v>
      </c>
      <c r="L829" t="s">
        <v>2679</v>
      </c>
      <c r="M829" t="s">
        <v>60</v>
      </c>
      <c r="N829" t="s">
        <v>2657</v>
      </c>
      <c r="O829" t="s">
        <v>134</v>
      </c>
      <c r="P829" t="s">
        <v>49</v>
      </c>
      <c r="Q829" t="s">
        <v>140</v>
      </c>
      <c r="R829">
        <v>1</v>
      </c>
      <c r="S829">
        <v>599</v>
      </c>
      <c r="T829">
        <v>0.2</v>
      </c>
      <c r="U829">
        <v>479.2</v>
      </c>
      <c r="V829">
        <v>250</v>
      </c>
      <c r="W829">
        <v>229.2</v>
      </c>
      <c r="X829" t="s">
        <v>73</v>
      </c>
      <c r="Y829" t="s">
        <v>68</v>
      </c>
      <c r="Z829" t="s">
        <v>161</v>
      </c>
      <c r="AA829" t="s">
        <v>169</v>
      </c>
      <c r="AB829">
        <v>5</v>
      </c>
      <c r="AC829">
        <v>100</v>
      </c>
      <c r="AD829">
        <v>20</v>
      </c>
      <c r="AE829">
        <f t="shared" si="24"/>
        <v>109.19999999999999</v>
      </c>
      <c r="AF829" t="str">
        <f t="shared" si="25"/>
        <v>2025-04</v>
      </c>
      <c r="AG829">
        <f>SUBTOTAL(103,A829)</f>
        <v>1</v>
      </c>
    </row>
    <row r="830" spans="1:33" x14ac:dyDescent="0.3">
      <c r="A830" t="s">
        <v>3443</v>
      </c>
      <c r="B830" s="13">
        <v>45762</v>
      </c>
      <c r="C830">
        <v>2025</v>
      </c>
      <c r="D830">
        <v>4</v>
      </c>
      <c r="E830" t="s">
        <v>3328</v>
      </c>
      <c r="F830" t="s">
        <v>3329</v>
      </c>
      <c r="G830" t="s">
        <v>923</v>
      </c>
      <c r="H830" t="s">
        <v>924</v>
      </c>
      <c r="I830" t="s">
        <v>86</v>
      </c>
      <c r="J830">
        <v>53</v>
      </c>
      <c r="K830" t="s">
        <v>83</v>
      </c>
      <c r="L830" t="s">
        <v>2605</v>
      </c>
      <c r="M830" t="s">
        <v>60</v>
      </c>
      <c r="N830" t="s">
        <v>2630</v>
      </c>
      <c r="O830" t="s">
        <v>123</v>
      </c>
      <c r="P830" t="s">
        <v>52</v>
      </c>
      <c r="Q830" t="s">
        <v>146</v>
      </c>
      <c r="R830">
        <v>1</v>
      </c>
      <c r="S830">
        <v>2499</v>
      </c>
      <c r="T830">
        <v>0.1</v>
      </c>
      <c r="U830">
        <v>2249.1</v>
      </c>
      <c r="V830">
        <v>1400</v>
      </c>
      <c r="W830">
        <v>849.1</v>
      </c>
      <c r="X830" t="s">
        <v>75</v>
      </c>
      <c r="Y830" t="s">
        <v>68</v>
      </c>
      <c r="Z830" t="s">
        <v>158</v>
      </c>
      <c r="AA830" t="s">
        <v>169</v>
      </c>
      <c r="AB830">
        <v>3.3</v>
      </c>
      <c r="AC830">
        <v>40</v>
      </c>
      <c r="AD830">
        <v>217.24</v>
      </c>
      <c r="AE830">
        <f t="shared" si="24"/>
        <v>591.86</v>
      </c>
      <c r="AF830" t="str">
        <f t="shared" si="25"/>
        <v>2025-04</v>
      </c>
      <c r="AG830">
        <f>SUBTOTAL(103,A830)</f>
        <v>1</v>
      </c>
    </row>
    <row r="831" spans="1:33" x14ac:dyDescent="0.3">
      <c r="A831" t="s">
        <v>3444</v>
      </c>
      <c r="B831" s="13">
        <v>45763</v>
      </c>
      <c r="C831">
        <v>2025</v>
      </c>
      <c r="D831">
        <v>4</v>
      </c>
      <c r="E831" t="s">
        <v>3328</v>
      </c>
      <c r="F831" t="s">
        <v>3329</v>
      </c>
      <c r="G831" t="s">
        <v>1775</v>
      </c>
      <c r="H831" t="s">
        <v>1776</v>
      </c>
      <c r="I831" t="s">
        <v>86</v>
      </c>
      <c r="J831">
        <v>19</v>
      </c>
      <c r="K831" t="s">
        <v>80</v>
      </c>
      <c r="L831" t="s">
        <v>2586</v>
      </c>
      <c r="M831" t="s">
        <v>62</v>
      </c>
      <c r="N831" t="s">
        <v>2590</v>
      </c>
      <c r="O831" t="s">
        <v>127</v>
      </c>
      <c r="P831" t="s">
        <v>51</v>
      </c>
      <c r="Q831" t="s">
        <v>148</v>
      </c>
      <c r="R831">
        <v>4</v>
      </c>
      <c r="S831">
        <v>1599</v>
      </c>
      <c r="T831">
        <v>0.1</v>
      </c>
      <c r="U831">
        <v>5756.4</v>
      </c>
      <c r="V831">
        <v>3200</v>
      </c>
      <c r="W831">
        <v>2556.4</v>
      </c>
      <c r="X831" t="s">
        <v>73</v>
      </c>
      <c r="Y831" t="s">
        <v>68</v>
      </c>
      <c r="Z831" t="s">
        <v>160</v>
      </c>
      <c r="AA831" t="s">
        <v>169</v>
      </c>
      <c r="AB831">
        <v>4</v>
      </c>
      <c r="AC831">
        <v>40</v>
      </c>
      <c r="AD831">
        <v>230.67</v>
      </c>
      <c r="AE831">
        <f t="shared" si="24"/>
        <v>2285.73</v>
      </c>
      <c r="AF831" t="str">
        <f t="shared" si="25"/>
        <v>2025-04</v>
      </c>
      <c r="AG831">
        <f>SUBTOTAL(103,A831)</f>
        <v>1</v>
      </c>
    </row>
    <row r="832" spans="1:33" x14ac:dyDescent="0.3">
      <c r="A832" t="s">
        <v>3445</v>
      </c>
      <c r="B832" s="13">
        <v>45763</v>
      </c>
      <c r="C832">
        <v>2025</v>
      </c>
      <c r="D832">
        <v>4</v>
      </c>
      <c r="E832" t="s">
        <v>3328</v>
      </c>
      <c r="F832" t="s">
        <v>3329</v>
      </c>
      <c r="G832" t="s">
        <v>1615</v>
      </c>
      <c r="H832" t="s">
        <v>1616</v>
      </c>
      <c r="I832" t="s">
        <v>86</v>
      </c>
      <c r="J832">
        <v>47</v>
      </c>
      <c r="K832" t="s">
        <v>83</v>
      </c>
      <c r="L832" t="s">
        <v>95</v>
      </c>
      <c r="M832" t="s">
        <v>56</v>
      </c>
      <c r="N832" t="s">
        <v>2606</v>
      </c>
      <c r="O832" t="s">
        <v>120</v>
      </c>
      <c r="P832" t="s">
        <v>49</v>
      </c>
      <c r="Q832" t="s">
        <v>140</v>
      </c>
      <c r="R832">
        <v>1</v>
      </c>
      <c r="S832">
        <v>2799</v>
      </c>
      <c r="T832">
        <v>0</v>
      </c>
      <c r="U832">
        <v>2799</v>
      </c>
      <c r="V832">
        <v>1650</v>
      </c>
      <c r="W832">
        <v>1149</v>
      </c>
      <c r="X832" t="s">
        <v>76</v>
      </c>
      <c r="Y832" t="s">
        <v>68</v>
      </c>
      <c r="Z832" t="s">
        <v>162</v>
      </c>
      <c r="AA832" t="s">
        <v>171</v>
      </c>
      <c r="AB832">
        <v>3.5</v>
      </c>
      <c r="AC832">
        <v>60</v>
      </c>
      <c r="AD832">
        <v>138.03</v>
      </c>
      <c r="AE832">
        <f t="shared" si="24"/>
        <v>950.97</v>
      </c>
      <c r="AF832" t="str">
        <f t="shared" si="25"/>
        <v>2025-04</v>
      </c>
      <c r="AG832">
        <f>SUBTOTAL(103,A832)</f>
        <v>1</v>
      </c>
    </row>
    <row r="833" spans="1:33" x14ac:dyDescent="0.3">
      <c r="A833" t="s">
        <v>3446</v>
      </c>
      <c r="B833" s="13">
        <v>45763</v>
      </c>
      <c r="C833">
        <v>2025</v>
      </c>
      <c r="D833">
        <v>4</v>
      </c>
      <c r="E833" t="s">
        <v>3328</v>
      </c>
      <c r="F833" t="s">
        <v>3329</v>
      </c>
      <c r="G833" t="s">
        <v>2239</v>
      </c>
      <c r="H833" t="s">
        <v>2240</v>
      </c>
      <c r="I833" t="s">
        <v>85</v>
      </c>
      <c r="J833">
        <v>54</v>
      </c>
      <c r="K833" t="s">
        <v>83</v>
      </c>
      <c r="L833" t="s">
        <v>2579</v>
      </c>
      <c r="M833" t="s">
        <v>56</v>
      </c>
      <c r="N833" t="s">
        <v>2657</v>
      </c>
      <c r="O833" t="s">
        <v>134</v>
      </c>
      <c r="P833" t="s">
        <v>49</v>
      </c>
      <c r="Q833" t="s">
        <v>140</v>
      </c>
      <c r="R833">
        <v>3</v>
      </c>
      <c r="S833">
        <v>599</v>
      </c>
      <c r="T833">
        <v>0</v>
      </c>
      <c r="U833">
        <v>1797</v>
      </c>
      <c r="V833">
        <v>750</v>
      </c>
      <c r="W833">
        <v>1047</v>
      </c>
      <c r="X833" t="s">
        <v>76</v>
      </c>
      <c r="Y833" t="s">
        <v>68</v>
      </c>
      <c r="Z833" t="s">
        <v>160</v>
      </c>
      <c r="AA833" t="s">
        <v>167</v>
      </c>
      <c r="AB833">
        <v>4.5999999999999996</v>
      </c>
      <c r="AC833">
        <v>120</v>
      </c>
      <c r="AD833">
        <v>42.52</v>
      </c>
      <c r="AE833">
        <f t="shared" si="24"/>
        <v>884.48</v>
      </c>
      <c r="AF833" t="str">
        <f t="shared" si="25"/>
        <v>2025-04</v>
      </c>
      <c r="AG833">
        <f>SUBTOTAL(103,A833)</f>
        <v>1</v>
      </c>
    </row>
    <row r="834" spans="1:33" x14ac:dyDescent="0.3">
      <c r="A834" t="s">
        <v>3447</v>
      </c>
      <c r="B834" s="13">
        <v>45763</v>
      </c>
      <c r="C834">
        <v>2025</v>
      </c>
      <c r="D834">
        <v>4</v>
      </c>
      <c r="E834" t="s">
        <v>3328</v>
      </c>
      <c r="F834" t="s">
        <v>3329</v>
      </c>
      <c r="G834" t="s">
        <v>1107</v>
      </c>
      <c r="H834" t="s">
        <v>1108</v>
      </c>
      <c r="I834" t="s">
        <v>85</v>
      </c>
      <c r="J834">
        <v>54</v>
      </c>
      <c r="K834" t="s">
        <v>83</v>
      </c>
      <c r="L834" t="s">
        <v>2661</v>
      </c>
      <c r="M834" t="s">
        <v>58</v>
      </c>
      <c r="N834" t="s">
        <v>2647</v>
      </c>
      <c r="O834" t="s">
        <v>133</v>
      </c>
      <c r="P834" t="s">
        <v>50</v>
      </c>
      <c r="Q834" t="s">
        <v>145</v>
      </c>
      <c r="R834">
        <v>1</v>
      </c>
      <c r="S834">
        <v>799</v>
      </c>
      <c r="T834">
        <v>0</v>
      </c>
      <c r="U834">
        <v>799</v>
      </c>
      <c r="V834">
        <v>390</v>
      </c>
      <c r="W834">
        <v>409</v>
      </c>
      <c r="X834" t="s">
        <v>75</v>
      </c>
      <c r="Y834" t="s">
        <v>68</v>
      </c>
      <c r="Z834" t="s">
        <v>162</v>
      </c>
      <c r="AA834" t="s">
        <v>166</v>
      </c>
      <c r="AB834">
        <v>4.4000000000000004</v>
      </c>
      <c r="AC834">
        <v>80</v>
      </c>
      <c r="AD834">
        <v>66.099999999999994</v>
      </c>
      <c r="AE834">
        <f t="shared" ref="AE834:AE897" si="26">W834-AC834-AD834</f>
        <v>262.89999999999998</v>
      </c>
      <c r="AF834" t="str">
        <f t="shared" ref="AF834:AF897" si="27">C834&amp;"-"&amp;TEXT(D834,"00")</f>
        <v>2025-04</v>
      </c>
      <c r="AG834">
        <f>SUBTOTAL(103,A834)</f>
        <v>1</v>
      </c>
    </row>
    <row r="835" spans="1:33" x14ac:dyDescent="0.3">
      <c r="A835" t="s">
        <v>3448</v>
      </c>
      <c r="B835" s="13">
        <v>45763</v>
      </c>
      <c r="C835">
        <v>2025</v>
      </c>
      <c r="D835">
        <v>4</v>
      </c>
      <c r="E835" t="s">
        <v>3328</v>
      </c>
      <c r="F835" t="s">
        <v>3329</v>
      </c>
      <c r="G835" t="s">
        <v>685</v>
      </c>
      <c r="H835" t="s">
        <v>686</v>
      </c>
      <c r="I835" t="s">
        <v>85</v>
      </c>
      <c r="J835">
        <v>35</v>
      </c>
      <c r="K835" t="s">
        <v>81</v>
      </c>
      <c r="L835" t="s">
        <v>92</v>
      </c>
      <c r="M835" t="s">
        <v>59</v>
      </c>
      <c r="N835" t="s">
        <v>2596</v>
      </c>
      <c r="O835" t="s">
        <v>124</v>
      </c>
      <c r="P835" t="s">
        <v>51</v>
      </c>
      <c r="Q835" t="s">
        <v>147</v>
      </c>
      <c r="R835">
        <v>2</v>
      </c>
      <c r="S835">
        <v>2299</v>
      </c>
      <c r="T835">
        <v>0.1</v>
      </c>
      <c r="U835">
        <v>4138.2</v>
      </c>
      <c r="V835">
        <v>2400</v>
      </c>
      <c r="W835">
        <v>1738.2</v>
      </c>
      <c r="X835" t="s">
        <v>74</v>
      </c>
      <c r="Y835" t="s">
        <v>68</v>
      </c>
      <c r="Z835" t="s">
        <v>160</v>
      </c>
      <c r="AA835" t="s">
        <v>167</v>
      </c>
      <c r="AB835">
        <v>4</v>
      </c>
      <c r="AC835">
        <v>100</v>
      </c>
      <c r="AD835">
        <v>298.88</v>
      </c>
      <c r="AE835">
        <f t="shared" si="26"/>
        <v>1339.3200000000002</v>
      </c>
      <c r="AF835" t="str">
        <f t="shared" si="27"/>
        <v>2025-04</v>
      </c>
      <c r="AG835">
        <f>SUBTOTAL(103,A835)</f>
        <v>1</v>
      </c>
    </row>
    <row r="836" spans="1:33" x14ac:dyDescent="0.3">
      <c r="A836" t="s">
        <v>3449</v>
      </c>
      <c r="B836" s="13">
        <v>45763</v>
      </c>
      <c r="C836">
        <v>2025</v>
      </c>
      <c r="D836">
        <v>4</v>
      </c>
      <c r="E836" t="s">
        <v>3328</v>
      </c>
      <c r="F836" t="s">
        <v>3329</v>
      </c>
      <c r="G836" t="s">
        <v>671</v>
      </c>
      <c r="H836" t="s">
        <v>672</v>
      </c>
      <c r="I836" t="s">
        <v>85</v>
      </c>
      <c r="J836">
        <v>42</v>
      </c>
      <c r="K836" t="s">
        <v>82</v>
      </c>
      <c r="L836" t="s">
        <v>96</v>
      </c>
      <c r="M836" t="s">
        <v>55</v>
      </c>
      <c r="N836" t="s">
        <v>2653</v>
      </c>
      <c r="O836" t="s">
        <v>132</v>
      </c>
      <c r="P836" t="s">
        <v>52</v>
      </c>
      <c r="Q836" t="s">
        <v>150</v>
      </c>
      <c r="R836">
        <v>3</v>
      </c>
      <c r="S836">
        <v>899</v>
      </c>
      <c r="T836">
        <v>0.1</v>
      </c>
      <c r="U836">
        <v>2427.3000000000002</v>
      </c>
      <c r="V836">
        <v>1260</v>
      </c>
      <c r="W836">
        <v>1167.3</v>
      </c>
      <c r="X836" t="s">
        <v>73</v>
      </c>
      <c r="Y836" t="s">
        <v>68</v>
      </c>
      <c r="Z836" t="s">
        <v>160</v>
      </c>
      <c r="AA836" t="s">
        <v>168</v>
      </c>
      <c r="AB836">
        <v>4.4000000000000004</v>
      </c>
      <c r="AC836">
        <v>40</v>
      </c>
      <c r="AD836">
        <v>139.66999999999999</v>
      </c>
      <c r="AE836">
        <f t="shared" si="26"/>
        <v>987.63</v>
      </c>
      <c r="AF836" t="str">
        <f t="shared" si="27"/>
        <v>2025-04</v>
      </c>
      <c r="AG836">
        <f>SUBTOTAL(103,A836)</f>
        <v>1</v>
      </c>
    </row>
    <row r="837" spans="1:33" x14ac:dyDescent="0.3">
      <c r="A837" t="s">
        <v>3450</v>
      </c>
      <c r="B837" s="13">
        <v>45763</v>
      </c>
      <c r="C837">
        <v>2025</v>
      </c>
      <c r="D837">
        <v>4</v>
      </c>
      <c r="E837" t="s">
        <v>3328</v>
      </c>
      <c r="F837" t="s">
        <v>3329</v>
      </c>
      <c r="G837" t="s">
        <v>1951</v>
      </c>
      <c r="H837" t="s">
        <v>1952</v>
      </c>
      <c r="I837" t="s">
        <v>86</v>
      </c>
      <c r="J837">
        <v>26</v>
      </c>
      <c r="K837" t="s">
        <v>81</v>
      </c>
      <c r="L837" t="s">
        <v>2576</v>
      </c>
      <c r="M837" t="s">
        <v>60</v>
      </c>
      <c r="N837" t="s">
        <v>2626</v>
      </c>
      <c r="O837" t="s">
        <v>125</v>
      </c>
      <c r="P837" t="s">
        <v>48</v>
      </c>
      <c r="Q837" t="s">
        <v>141</v>
      </c>
      <c r="R837">
        <v>4</v>
      </c>
      <c r="S837">
        <v>1999</v>
      </c>
      <c r="T837">
        <v>0.05</v>
      </c>
      <c r="U837">
        <v>7596.2</v>
      </c>
      <c r="V837">
        <v>4600</v>
      </c>
      <c r="W837">
        <v>2996.2</v>
      </c>
      <c r="X837" t="s">
        <v>73</v>
      </c>
      <c r="Y837" t="s">
        <v>68</v>
      </c>
      <c r="Z837" t="s">
        <v>159</v>
      </c>
      <c r="AA837" t="s">
        <v>171</v>
      </c>
      <c r="AB837">
        <v>4.7</v>
      </c>
      <c r="AC837">
        <v>120</v>
      </c>
      <c r="AD837">
        <v>675.17</v>
      </c>
      <c r="AE837">
        <f t="shared" si="26"/>
        <v>2201.0299999999997</v>
      </c>
      <c r="AF837" t="str">
        <f t="shared" si="27"/>
        <v>2025-04</v>
      </c>
      <c r="AG837">
        <f>SUBTOTAL(103,A837)</f>
        <v>1</v>
      </c>
    </row>
    <row r="838" spans="1:33" x14ac:dyDescent="0.3">
      <c r="A838" t="s">
        <v>3451</v>
      </c>
      <c r="B838" s="13">
        <v>45763</v>
      </c>
      <c r="C838">
        <v>2025</v>
      </c>
      <c r="D838">
        <v>4</v>
      </c>
      <c r="E838" t="s">
        <v>3328</v>
      </c>
      <c r="F838" t="s">
        <v>3329</v>
      </c>
      <c r="G838" t="s">
        <v>1293</v>
      </c>
      <c r="H838" t="s">
        <v>1294</v>
      </c>
      <c r="I838" t="s">
        <v>85</v>
      </c>
      <c r="J838">
        <v>38</v>
      </c>
      <c r="K838" t="s">
        <v>82</v>
      </c>
      <c r="L838" t="s">
        <v>2690</v>
      </c>
      <c r="M838" t="s">
        <v>63</v>
      </c>
      <c r="N838" t="s">
        <v>2626</v>
      </c>
      <c r="O838" t="s">
        <v>125</v>
      </c>
      <c r="P838" t="s">
        <v>48</v>
      </c>
      <c r="Q838" t="s">
        <v>141</v>
      </c>
      <c r="R838">
        <v>1</v>
      </c>
      <c r="S838">
        <v>1999</v>
      </c>
      <c r="T838">
        <v>0.2</v>
      </c>
      <c r="U838">
        <v>1599.2</v>
      </c>
      <c r="V838">
        <v>1150</v>
      </c>
      <c r="W838">
        <v>449.2</v>
      </c>
      <c r="X838" t="s">
        <v>73</v>
      </c>
      <c r="Y838" t="s">
        <v>68</v>
      </c>
      <c r="Z838" t="s">
        <v>163</v>
      </c>
      <c r="AA838" t="s">
        <v>170</v>
      </c>
      <c r="AB838">
        <v>2.9</v>
      </c>
      <c r="AC838">
        <v>80</v>
      </c>
      <c r="AD838">
        <v>113.13</v>
      </c>
      <c r="AE838">
        <f t="shared" si="26"/>
        <v>256.07</v>
      </c>
      <c r="AF838" t="str">
        <f t="shared" si="27"/>
        <v>2025-04</v>
      </c>
      <c r="AG838">
        <f>SUBTOTAL(103,A838)</f>
        <v>1</v>
      </c>
    </row>
    <row r="839" spans="1:33" x14ac:dyDescent="0.3">
      <c r="A839" t="s">
        <v>3452</v>
      </c>
      <c r="B839" s="13">
        <v>45763</v>
      </c>
      <c r="C839">
        <v>2025</v>
      </c>
      <c r="D839">
        <v>4</v>
      </c>
      <c r="E839" t="s">
        <v>3328</v>
      </c>
      <c r="F839" t="s">
        <v>3329</v>
      </c>
      <c r="G839" t="s">
        <v>1361</v>
      </c>
      <c r="H839" t="s">
        <v>1362</v>
      </c>
      <c r="I839" t="s">
        <v>85</v>
      </c>
      <c r="J839">
        <v>38</v>
      </c>
      <c r="K839" t="s">
        <v>82</v>
      </c>
      <c r="L839" t="s">
        <v>95</v>
      </c>
      <c r="M839" t="s">
        <v>56</v>
      </c>
      <c r="N839" t="s">
        <v>2580</v>
      </c>
      <c r="O839" t="s">
        <v>118</v>
      </c>
      <c r="P839" t="s">
        <v>48</v>
      </c>
      <c r="Q839" t="s">
        <v>142</v>
      </c>
      <c r="R839">
        <v>4</v>
      </c>
      <c r="S839">
        <v>3999</v>
      </c>
      <c r="T839">
        <v>0.1</v>
      </c>
      <c r="U839">
        <v>14396.4</v>
      </c>
      <c r="V839">
        <v>9600</v>
      </c>
      <c r="W839">
        <v>4796.3999999999996</v>
      </c>
      <c r="X839" t="s">
        <v>73</v>
      </c>
      <c r="Y839" t="s">
        <v>70</v>
      </c>
      <c r="Z839" t="s">
        <v>162</v>
      </c>
      <c r="AA839" t="s">
        <v>170</v>
      </c>
      <c r="AB839">
        <v>3.1</v>
      </c>
      <c r="AC839">
        <v>60</v>
      </c>
      <c r="AD839">
        <v>1516.39</v>
      </c>
      <c r="AE839">
        <f t="shared" si="26"/>
        <v>3220.0099999999993</v>
      </c>
      <c r="AF839" t="str">
        <f t="shared" si="27"/>
        <v>2025-04</v>
      </c>
      <c r="AG839">
        <f>SUBTOTAL(103,A839)</f>
        <v>1</v>
      </c>
    </row>
    <row r="840" spans="1:33" x14ac:dyDescent="0.3">
      <c r="A840" t="s">
        <v>3453</v>
      </c>
      <c r="B840" s="13">
        <v>45763</v>
      </c>
      <c r="C840">
        <v>2025</v>
      </c>
      <c r="D840">
        <v>4</v>
      </c>
      <c r="E840" t="s">
        <v>3328</v>
      </c>
      <c r="F840" t="s">
        <v>3329</v>
      </c>
      <c r="G840" t="s">
        <v>1997</v>
      </c>
      <c r="H840" t="s">
        <v>1998</v>
      </c>
      <c r="I840" t="s">
        <v>86</v>
      </c>
      <c r="J840">
        <v>49</v>
      </c>
      <c r="K840" t="s">
        <v>83</v>
      </c>
      <c r="L840" t="s">
        <v>2634</v>
      </c>
      <c r="M840" t="s">
        <v>56</v>
      </c>
      <c r="N840" t="s">
        <v>2574</v>
      </c>
      <c r="O840" t="s">
        <v>130</v>
      </c>
      <c r="P840" t="s">
        <v>50</v>
      </c>
      <c r="Q840" t="s">
        <v>53</v>
      </c>
      <c r="R840">
        <v>1</v>
      </c>
      <c r="S840">
        <v>1199</v>
      </c>
      <c r="T840">
        <v>0.1</v>
      </c>
      <c r="U840">
        <v>1079.0999999999999</v>
      </c>
      <c r="V840">
        <v>550</v>
      </c>
      <c r="W840">
        <v>529.1</v>
      </c>
      <c r="X840" t="s">
        <v>76</v>
      </c>
      <c r="Y840" t="s">
        <v>68</v>
      </c>
      <c r="Z840" t="s">
        <v>160</v>
      </c>
      <c r="AA840" t="s">
        <v>170</v>
      </c>
      <c r="AB840">
        <v>3.3</v>
      </c>
      <c r="AC840">
        <v>80</v>
      </c>
      <c r="AD840">
        <v>32.94</v>
      </c>
      <c r="AE840">
        <f t="shared" si="26"/>
        <v>416.16</v>
      </c>
      <c r="AF840" t="str">
        <f t="shared" si="27"/>
        <v>2025-04</v>
      </c>
      <c r="AG840">
        <f>SUBTOTAL(103,A840)</f>
        <v>1</v>
      </c>
    </row>
    <row r="841" spans="1:33" x14ac:dyDescent="0.3">
      <c r="A841" t="s">
        <v>3454</v>
      </c>
      <c r="B841" s="13">
        <v>45763</v>
      </c>
      <c r="C841">
        <v>2025</v>
      </c>
      <c r="D841">
        <v>4</v>
      </c>
      <c r="E841" t="s">
        <v>3328</v>
      </c>
      <c r="F841" t="s">
        <v>3329</v>
      </c>
      <c r="G841" t="s">
        <v>1111</v>
      </c>
      <c r="H841" t="s">
        <v>1112</v>
      </c>
      <c r="I841" t="s">
        <v>85</v>
      </c>
      <c r="J841">
        <v>36</v>
      </c>
      <c r="K841" t="s">
        <v>82</v>
      </c>
      <c r="L841" t="s">
        <v>96</v>
      </c>
      <c r="M841" t="s">
        <v>55</v>
      </c>
      <c r="N841" t="s">
        <v>2665</v>
      </c>
      <c r="O841" t="s">
        <v>128</v>
      </c>
      <c r="P841" t="s">
        <v>53</v>
      </c>
      <c r="Q841" t="s">
        <v>143</v>
      </c>
      <c r="R841">
        <v>1</v>
      </c>
      <c r="S841">
        <v>1499</v>
      </c>
      <c r="T841">
        <v>0.2</v>
      </c>
      <c r="U841">
        <v>1199.2</v>
      </c>
      <c r="V841">
        <v>800</v>
      </c>
      <c r="W841">
        <v>399.2</v>
      </c>
      <c r="X841" t="s">
        <v>76</v>
      </c>
      <c r="Y841" t="s">
        <v>68</v>
      </c>
      <c r="Z841" t="s">
        <v>163</v>
      </c>
      <c r="AA841" t="s">
        <v>169</v>
      </c>
      <c r="AB841">
        <v>2.6</v>
      </c>
      <c r="AC841">
        <v>100</v>
      </c>
      <c r="AD841">
        <v>140.78</v>
      </c>
      <c r="AE841">
        <f t="shared" si="26"/>
        <v>158.41999999999999</v>
      </c>
      <c r="AF841" t="str">
        <f t="shared" si="27"/>
        <v>2025-04</v>
      </c>
      <c r="AG841">
        <f>SUBTOTAL(103,A841)</f>
        <v>1</v>
      </c>
    </row>
    <row r="842" spans="1:33" x14ac:dyDescent="0.3">
      <c r="A842" t="s">
        <v>3455</v>
      </c>
      <c r="B842" s="13">
        <v>45763</v>
      </c>
      <c r="C842">
        <v>2025</v>
      </c>
      <c r="D842">
        <v>4</v>
      </c>
      <c r="E842" t="s">
        <v>3328</v>
      </c>
      <c r="F842" t="s">
        <v>3329</v>
      </c>
      <c r="G842" t="s">
        <v>2153</v>
      </c>
      <c r="H842" t="s">
        <v>2154</v>
      </c>
      <c r="I842" t="s">
        <v>85</v>
      </c>
      <c r="J842">
        <v>21</v>
      </c>
      <c r="K842" t="s">
        <v>80</v>
      </c>
      <c r="L842" t="s">
        <v>91</v>
      </c>
      <c r="M842" t="s">
        <v>55</v>
      </c>
      <c r="N842" t="s">
        <v>2647</v>
      </c>
      <c r="O842" t="s">
        <v>133</v>
      </c>
      <c r="P842" t="s">
        <v>50</v>
      </c>
      <c r="Q842" t="s">
        <v>145</v>
      </c>
      <c r="R842">
        <v>3</v>
      </c>
      <c r="S842">
        <v>799</v>
      </c>
      <c r="T842">
        <v>0.15</v>
      </c>
      <c r="U842">
        <v>2037.45</v>
      </c>
      <c r="V842">
        <v>1170</v>
      </c>
      <c r="W842">
        <v>867.45</v>
      </c>
      <c r="X842" t="s">
        <v>73</v>
      </c>
      <c r="Y842" t="s">
        <v>68</v>
      </c>
      <c r="Z842" t="s">
        <v>163</v>
      </c>
      <c r="AA842" t="s">
        <v>171</v>
      </c>
      <c r="AB842">
        <v>4.5</v>
      </c>
      <c r="AC842">
        <v>40</v>
      </c>
      <c r="AD842">
        <v>215.36</v>
      </c>
      <c r="AE842">
        <f t="shared" si="26"/>
        <v>612.09</v>
      </c>
      <c r="AF842" t="str">
        <f t="shared" si="27"/>
        <v>2025-04</v>
      </c>
      <c r="AG842">
        <f>SUBTOTAL(103,A842)</f>
        <v>1</v>
      </c>
    </row>
    <row r="843" spans="1:33" x14ac:dyDescent="0.3">
      <c r="A843" t="s">
        <v>3456</v>
      </c>
      <c r="B843" s="13">
        <v>45763</v>
      </c>
      <c r="C843">
        <v>2025</v>
      </c>
      <c r="D843">
        <v>4</v>
      </c>
      <c r="E843" t="s">
        <v>3328</v>
      </c>
      <c r="F843" t="s">
        <v>3329</v>
      </c>
      <c r="G843" t="s">
        <v>221</v>
      </c>
      <c r="H843" t="s">
        <v>222</v>
      </c>
      <c r="I843" t="s">
        <v>85</v>
      </c>
      <c r="J843">
        <v>26</v>
      </c>
      <c r="K843" t="s">
        <v>81</v>
      </c>
      <c r="L843" t="s">
        <v>59</v>
      </c>
      <c r="M843" t="s">
        <v>59</v>
      </c>
      <c r="N843" t="s">
        <v>2587</v>
      </c>
      <c r="O843" t="s">
        <v>116</v>
      </c>
      <c r="P843" t="s">
        <v>48</v>
      </c>
      <c r="Q843" t="s">
        <v>138</v>
      </c>
      <c r="R843">
        <v>2</v>
      </c>
      <c r="S843">
        <v>14999</v>
      </c>
      <c r="T843">
        <v>0.05</v>
      </c>
      <c r="U843">
        <v>28498.1</v>
      </c>
      <c r="V843">
        <v>22400</v>
      </c>
      <c r="W843">
        <v>6098.1</v>
      </c>
      <c r="X843" t="s">
        <v>77</v>
      </c>
      <c r="Y843" t="s">
        <v>68</v>
      </c>
      <c r="Z843" t="s">
        <v>163</v>
      </c>
      <c r="AA843" t="s">
        <v>166</v>
      </c>
      <c r="AB843">
        <v>2.9</v>
      </c>
      <c r="AC843">
        <v>60</v>
      </c>
      <c r="AD843">
        <v>3063.48</v>
      </c>
      <c r="AE843">
        <f t="shared" si="26"/>
        <v>2974.6200000000003</v>
      </c>
      <c r="AF843" t="str">
        <f t="shared" si="27"/>
        <v>2025-04</v>
      </c>
      <c r="AG843">
        <f>SUBTOTAL(103,A843)</f>
        <v>1</v>
      </c>
    </row>
    <row r="844" spans="1:33" x14ac:dyDescent="0.3">
      <c r="A844" t="s">
        <v>3457</v>
      </c>
      <c r="B844" s="13">
        <v>45764</v>
      </c>
      <c r="C844">
        <v>2025</v>
      </c>
      <c r="D844">
        <v>4</v>
      </c>
      <c r="E844" t="s">
        <v>3328</v>
      </c>
      <c r="F844" t="s">
        <v>3329</v>
      </c>
      <c r="G844" t="s">
        <v>765</v>
      </c>
      <c r="H844" t="s">
        <v>766</v>
      </c>
      <c r="I844" t="s">
        <v>86</v>
      </c>
      <c r="J844">
        <v>36</v>
      </c>
      <c r="K844" t="s">
        <v>82</v>
      </c>
      <c r="L844" t="s">
        <v>96</v>
      </c>
      <c r="M844" t="s">
        <v>55</v>
      </c>
      <c r="N844" t="s">
        <v>2665</v>
      </c>
      <c r="O844" t="s">
        <v>128</v>
      </c>
      <c r="P844" t="s">
        <v>53</v>
      </c>
      <c r="Q844" t="s">
        <v>143</v>
      </c>
      <c r="R844">
        <v>1</v>
      </c>
      <c r="S844">
        <v>1499</v>
      </c>
      <c r="T844">
        <v>0.1</v>
      </c>
      <c r="U844">
        <v>1349.1</v>
      </c>
      <c r="V844">
        <v>800</v>
      </c>
      <c r="W844">
        <v>549.1</v>
      </c>
      <c r="X844" t="s">
        <v>74</v>
      </c>
      <c r="Y844" t="s">
        <v>68</v>
      </c>
      <c r="Z844" t="s">
        <v>160</v>
      </c>
      <c r="AA844" t="s">
        <v>168</v>
      </c>
      <c r="AB844">
        <v>3.1</v>
      </c>
      <c r="AC844">
        <v>100</v>
      </c>
      <c r="AD844">
        <v>100.22</v>
      </c>
      <c r="AE844">
        <f t="shared" si="26"/>
        <v>348.88</v>
      </c>
      <c r="AF844" t="str">
        <f t="shared" si="27"/>
        <v>2025-04</v>
      </c>
      <c r="AG844">
        <f>SUBTOTAL(103,A844)</f>
        <v>1</v>
      </c>
    </row>
    <row r="845" spans="1:33" x14ac:dyDescent="0.3">
      <c r="A845" t="s">
        <v>3458</v>
      </c>
      <c r="B845" s="13">
        <v>45764</v>
      </c>
      <c r="C845">
        <v>2025</v>
      </c>
      <c r="D845">
        <v>4</v>
      </c>
      <c r="E845" t="s">
        <v>3328</v>
      </c>
      <c r="F845" t="s">
        <v>3329</v>
      </c>
      <c r="G845" t="s">
        <v>1583</v>
      </c>
      <c r="H845" t="s">
        <v>1584</v>
      </c>
      <c r="I845" t="s">
        <v>86</v>
      </c>
      <c r="J845">
        <v>23</v>
      </c>
      <c r="K845" t="s">
        <v>80</v>
      </c>
      <c r="L845" t="s">
        <v>2646</v>
      </c>
      <c r="M845" t="s">
        <v>63</v>
      </c>
      <c r="N845" t="s">
        <v>2606</v>
      </c>
      <c r="O845" t="s">
        <v>120</v>
      </c>
      <c r="P845" t="s">
        <v>49</v>
      </c>
      <c r="Q845" t="s">
        <v>140</v>
      </c>
      <c r="R845">
        <v>1</v>
      </c>
      <c r="S845">
        <v>2799</v>
      </c>
      <c r="T845">
        <v>0.05</v>
      </c>
      <c r="U845">
        <v>2659.05</v>
      </c>
      <c r="V845">
        <v>1650</v>
      </c>
      <c r="W845">
        <v>1009.05</v>
      </c>
      <c r="X845" t="s">
        <v>76</v>
      </c>
      <c r="Y845" t="s">
        <v>68</v>
      </c>
      <c r="Z845" t="s">
        <v>161</v>
      </c>
      <c r="AA845" t="s">
        <v>166</v>
      </c>
      <c r="AB845">
        <v>3.1</v>
      </c>
      <c r="AC845">
        <v>60</v>
      </c>
      <c r="AD845">
        <v>179.85</v>
      </c>
      <c r="AE845">
        <f t="shared" si="26"/>
        <v>769.19999999999993</v>
      </c>
      <c r="AF845" t="str">
        <f t="shared" si="27"/>
        <v>2025-04</v>
      </c>
      <c r="AG845">
        <f>SUBTOTAL(103,A845)</f>
        <v>1</v>
      </c>
    </row>
    <row r="846" spans="1:33" x14ac:dyDescent="0.3">
      <c r="A846" t="s">
        <v>3459</v>
      </c>
      <c r="B846" s="13">
        <v>45764</v>
      </c>
      <c r="C846">
        <v>2025</v>
      </c>
      <c r="D846">
        <v>4</v>
      </c>
      <c r="E846" t="s">
        <v>3328</v>
      </c>
      <c r="F846" t="s">
        <v>3329</v>
      </c>
      <c r="G846" t="s">
        <v>2013</v>
      </c>
      <c r="H846" t="s">
        <v>2014</v>
      </c>
      <c r="I846" t="s">
        <v>86</v>
      </c>
      <c r="J846">
        <v>18</v>
      </c>
      <c r="K846" t="s">
        <v>80</v>
      </c>
      <c r="L846" t="s">
        <v>2616</v>
      </c>
      <c r="M846" t="s">
        <v>62</v>
      </c>
      <c r="N846" t="s">
        <v>2657</v>
      </c>
      <c r="O846" t="s">
        <v>134</v>
      </c>
      <c r="P846" t="s">
        <v>49</v>
      </c>
      <c r="Q846" t="s">
        <v>140</v>
      </c>
      <c r="R846">
        <v>1</v>
      </c>
      <c r="S846">
        <v>599</v>
      </c>
      <c r="T846">
        <v>0.15</v>
      </c>
      <c r="U846">
        <v>509.15</v>
      </c>
      <c r="V846">
        <v>250</v>
      </c>
      <c r="W846">
        <v>259.14999999999998</v>
      </c>
      <c r="X846" t="s">
        <v>76</v>
      </c>
      <c r="Y846" t="s">
        <v>68</v>
      </c>
      <c r="Z846" t="s">
        <v>160</v>
      </c>
      <c r="AA846" t="s">
        <v>166</v>
      </c>
      <c r="AB846">
        <v>3.6</v>
      </c>
      <c r="AC846">
        <v>120</v>
      </c>
      <c r="AD846">
        <v>20.05</v>
      </c>
      <c r="AE846">
        <f t="shared" si="26"/>
        <v>119.09999999999998</v>
      </c>
      <c r="AF846" t="str">
        <f t="shared" si="27"/>
        <v>2025-04</v>
      </c>
      <c r="AG846">
        <f>SUBTOTAL(103,A846)</f>
        <v>1</v>
      </c>
    </row>
    <row r="847" spans="1:33" x14ac:dyDescent="0.3">
      <c r="A847" t="s">
        <v>3460</v>
      </c>
      <c r="B847" s="13">
        <v>45764</v>
      </c>
      <c r="C847">
        <v>2025</v>
      </c>
      <c r="D847">
        <v>4</v>
      </c>
      <c r="E847" t="s">
        <v>3328</v>
      </c>
      <c r="F847" t="s">
        <v>3329</v>
      </c>
      <c r="G847" t="s">
        <v>1121</v>
      </c>
      <c r="H847" t="s">
        <v>1122</v>
      </c>
      <c r="I847" t="s">
        <v>85</v>
      </c>
      <c r="J847">
        <v>38</v>
      </c>
      <c r="K847" t="s">
        <v>82</v>
      </c>
      <c r="L847" t="s">
        <v>100</v>
      </c>
      <c r="M847" t="s">
        <v>56</v>
      </c>
      <c r="N847" t="s">
        <v>2574</v>
      </c>
      <c r="O847" t="s">
        <v>130</v>
      </c>
      <c r="P847" t="s">
        <v>50</v>
      </c>
      <c r="Q847" t="s">
        <v>53</v>
      </c>
      <c r="R847">
        <v>2</v>
      </c>
      <c r="S847">
        <v>1199</v>
      </c>
      <c r="T847">
        <v>0</v>
      </c>
      <c r="U847">
        <v>2398</v>
      </c>
      <c r="V847">
        <v>1100</v>
      </c>
      <c r="W847">
        <v>1298</v>
      </c>
      <c r="X847" t="s">
        <v>73</v>
      </c>
      <c r="Y847" t="s">
        <v>68</v>
      </c>
      <c r="Z847" t="s">
        <v>161</v>
      </c>
      <c r="AA847" t="s">
        <v>166</v>
      </c>
      <c r="AB847">
        <v>3.6</v>
      </c>
      <c r="AC847">
        <v>80</v>
      </c>
      <c r="AD847">
        <v>237.46</v>
      </c>
      <c r="AE847">
        <f t="shared" si="26"/>
        <v>980.54</v>
      </c>
      <c r="AF847" t="str">
        <f t="shared" si="27"/>
        <v>2025-04</v>
      </c>
      <c r="AG847">
        <f>SUBTOTAL(103,A847)</f>
        <v>1</v>
      </c>
    </row>
    <row r="848" spans="1:33" x14ac:dyDescent="0.3">
      <c r="A848" t="s">
        <v>3461</v>
      </c>
      <c r="B848" s="13">
        <v>45764</v>
      </c>
      <c r="C848">
        <v>2025</v>
      </c>
      <c r="D848">
        <v>4</v>
      </c>
      <c r="E848" t="s">
        <v>3328</v>
      </c>
      <c r="F848" t="s">
        <v>3329</v>
      </c>
      <c r="G848" t="s">
        <v>203</v>
      </c>
      <c r="H848" t="s">
        <v>204</v>
      </c>
      <c r="I848" t="s">
        <v>85</v>
      </c>
      <c r="J848">
        <v>45</v>
      </c>
      <c r="K848" t="s">
        <v>82</v>
      </c>
      <c r="L848" t="s">
        <v>98</v>
      </c>
      <c r="M848" t="s">
        <v>55</v>
      </c>
      <c r="N848" t="s">
        <v>2592</v>
      </c>
      <c r="O848" t="s">
        <v>115</v>
      </c>
      <c r="P848" t="s">
        <v>48</v>
      </c>
      <c r="Q848" t="s">
        <v>137</v>
      </c>
      <c r="R848">
        <v>4</v>
      </c>
      <c r="S848">
        <v>12999</v>
      </c>
      <c r="T848">
        <v>0.05</v>
      </c>
      <c r="U848">
        <v>49396.2</v>
      </c>
      <c r="V848">
        <v>36000</v>
      </c>
      <c r="W848">
        <v>13396.2</v>
      </c>
      <c r="X848" t="s">
        <v>75</v>
      </c>
      <c r="Y848" t="s">
        <v>70</v>
      </c>
      <c r="Z848" t="s">
        <v>160</v>
      </c>
      <c r="AA848" t="s">
        <v>170</v>
      </c>
      <c r="AB848">
        <v>4.7</v>
      </c>
      <c r="AC848">
        <v>50</v>
      </c>
      <c r="AD848">
        <v>1701.07</v>
      </c>
      <c r="AE848">
        <f t="shared" si="26"/>
        <v>11645.130000000001</v>
      </c>
      <c r="AF848" t="str">
        <f t="shared" si="27"/>
        <v>2025-04</v>
      </c>
      <c r="AG848">
        <f>SUBTOTAL(103,A848)</f>
        <v>1</v>
      </c>
    </row>
    <row r="849" spans="1:33" x14ac:dyDescent="0.3">
      <c r="A849" t="s">
        <v>3462</v>
      </c>
      <c r="B849" s="13">
        <v>45765</v>
      </c>
      <c r="C849">
        <v>2025</v>
      </c>
      <c r="D849">
        <v>4</v>
      </c>
      <c r="E849" t="s">
        <v>3328</v>
      </c>
      <c r="F849" t="s">
        <v>3329</v>
      </c>
      <c r="G849" t="s">
        <v>1785</v>
      </c>
      <c r="H849" t="s">
        <v>1786</v>
      </c>
      <c r="I849" t="s">
        <v>85</v>
      </c>
      <c r="J849">
        <v>45</v>
      </c>
      <c r="K849" t="s">
        <v>82</v>
      </c>
      <c r="L849" t="s">
        <v>2589</v>
      </c>
      <c r="M849" t="s">
        <v>61</v>
      </c>
      <c r="N849" t="s">
        <v>2603</v>
      </c>
      <c r="O849" t="s">
        <v>122</v>
      </c>
      <c r="P849" t="s">
        <v>48</v>
      </c>
      <c r="Q849" t="s">
        <v>141</v>
      </c>
      <c r="R849">
        <v>5</v>
      </c>
      <c r="S849">
        <v>2499</v>
      </c>
      <c r="T849">
        <v>0.15</v>
      </c>
      <c r="U849">
        <v>10620.75</v>
      </c>
      <c r="V849">
        <v>7250</v>
      </c>
      <c r="W849">
        <v>3370.75</v>
      </c>
      <c r="X849" t="s">
        <v>73</v>
      </c>
      <c r="Y849" t="s">
        <v>68</v>
      </c>
      <c r="Z849" t="s">
        <v>159</v>
      </c>
      <c r="AA849" t="s">
        <v>168</v>
      </c>
      <c r="AB849">
        <v>4.0999999999999996</v>
      </c>
      <c r="AC849">
        <v>60</v>
      </c>
      <c r="AD849">
        <v>544.57000000000005</v>
      </c>
      <c r="AE849">
        <f t="shared" si="26"/>
        <v>2766.18</v>
      </c>
      <c r="AF849" t="str">
        <f t="shared" si="27"/>
        <v>2025-04</v>
      </c>
      <c r="AG849">
        <f>SUBTOTAL(103,A849)</f>
        <v>1</v>
      </c>
    </row>
    <row r="850" spans="1:33" x14ac:dyDescent="0.3">
      <c r="A850" t="s">
        <v>3463</v>
      </c>
      <c r="B850" s="13">
        <v>45765</v>
      </c>
      <c r="C850">
        <v>2025</v>
      </c>
      <c r="D850">
        <v>4</v>
      </c>
      <c r="E850" t="s">
        <v>3328</v>
      </c>
      <c r="F850" t="s">
        <v>3329</v>
      </c>
      <c r="G850" t="s">
        <v>1037</v>
      </c>
      <c r="H850" t="s">
        <v>1038</v>
      </c>
      <c r="I850" t="s">
        <v>86</v>
      </c>
      <c r="J850">
        <v>25</v>
      </c>
      <c r="K850" t="s">
        <v>80</v>
      </c>
      <c r="L850" t="s">
        <v>2634</v>
      </c>
      <c r="M850" t="s">
        <v>56</v>
      </c>
      <c r="N850" t="s">
        <v>2665</v>
      </c>
      <c r="O850" t="s">
        <v>128</v>
      </c>
      <c r="P850" t="s">
        <v>53</v>
      </c>
      <c r="Q850" t="s">
        <v>143</v>
      </c>
      <c r="R850">
        <v>2</v>
      </c>
      <c r="S850">
        <v>1499</v>
      </c>
      <c r="T850">
        <v>0.1</v>
      </c>
      <c r="U850">
        <v>2698.2</v>
      </c>
      <c r="V850">
        <v>1600</v>
      </c>
      <c r="W850">
        <v>1098.2</v>
      </c>
      <c r="X850" t="s">
        <v>73</v>
      </c>
      <c r="Y850" t="s">
        <v>68</v>
      </c>
      <c r="Z850" t="s">
        <v>158</v>
      </c>
      <c r="AA850" t="s">
        <v>170</v>
      </c>
      <c r="AB850">
        <v>4.2</v>
      </c>
      <c r="AC850">
        <v>50</v>
      </c>
      <c r="AD850">
        <v>54.04</v>
      </c>
      <c r="AE850">
        <f t="shared" si="26"/>
        <v>994.16000000000008</v>
      </c>
      <c r="AF850" t="str">
        <f t="shared" si="27"/>
        <v>2025-04</v>
      </c>
      <c r="AG850">
        <f>SUBTOTAL(103,A850)</f>
        <v>1</v>
      </c>
    </row>
    <row r="851" spans="1:33" x14ac:dyDescent="0.3">
      <c r="A851" t="s">
        <v>3464</v>
      </c>
      <c r="B851" s="13">
        <v>45765</v>
      </c>
      <c r="C851">
        <v>2025</v>
      </c>
      <c r="D851">
        <v>4</v>
      </c>
      <c r="E851" t="s">
        <v>3328</v>
      </c>
      <c r="F851" t="s">
        <v>3329</v>
      </c>
      <c r="G851" t="s">
        <v>475</v>
      </c>
      <c r="H851" t="s">
        <v>476</v>
      </c>
      <c r="I851" t="s">
        <v>86</v>
      </c>
      <c r="J851">
        <v>26</v>
      </c>
      <c r="K851" t="s">
        <v>81</v>
      </c>
      <c r="L851" t="s">
        <v>100</v>
      </c>
      <c r="M851" t="s">
        <v>56</v>
      </c>
      <c r="N851" t="s">
        <v>2584</v>
      </c>
      <c r="O851" t="s">
        <v>121</v>
      </c>
      <c r="P851" t="s">
        <v>50</v>
      </c>
      <c r="Q851" t="s">
        <v>144</v>
      </c>
      <c r="R851">
        <v>1</v>
      </c>
      <c r="S851">
        <v>2999</v>
      </c>
      <c r="T851">
        <v>0</v>
      </c>
      <c r="U851">
        <v>2999</v>
      </c>
      <c r="V851">
        <v>1700</v>
      </c>
      <c r="W851">
        <v>1299</v>
      </c>
      <c r="X851" t="s">
        <v>77</v>
      </c>
      <c r="Y851" t="s">
        <v>68</v>
      </c>
      <c r="Z851" t="s">
        <v>161</v>
      </c>
      <c r="AA851" t="s">
        <v>170</v>
      </c>
      <c r="AB851">
        <v>4</v>
      </c>
      <c r="AC851">
        <v>80</v>
      </c>
      <c r="AD851">
        <v>180.88</v>
      </c>
      <c r="AE851">
        <f t="shared" si="26"/>
        <v>1038.1199999999999</v>
      </c>
      <c r="AF851" t="str">
        <f t="shared" si="27"/>
        <v>2025-04</v>
      </c>
      <c r="AG851">
        <f>SUBTOTAL(103,A851)</f>
        <v>1</v>
      </c>
    </row>
    <row r="852" spans="1:33" x14ac:dyDescent="0.3">
      <c r="A852" t="s">
        <v>3465</v>
      </c>
      <c r="B852" s="13">
        <v>45765</v>
      </c>
      <c r="C852">
        <v>2025</v>
      </c>
      <c r="D852">
        <v>4</v>
      </c>
      <c r="E852" t="s">
        <v>3328</v>
      </c>
      <c r="F852" t="s">
        <v>3329</v>
      </c>
      <c r="G852" t="s">
        <v>1259</v>
      </c>
      <c r="H852" t="s">
        <v>1260</v>
      </c>
      <c r="I852" t="s">
        <v>86</v>
      </c>
      <c r="J852">
        <v>29</v>
      </c>
      <c r="K852" t="s">
        <v>81</v>
      </c>
      <c r="L852" t="s">
        <v>99</v>
      </c>
      <c r="M852" t="s">
        <v>58</v>
      </c>
      <c r="N852" t="s">
        <v>2603</v>
      </c>
      <c r="O852" t="s">
        <v>122</v>
      </c>
      <c r="P852" t="s">
        <v>48</v>
      </c>
      <c r="Q852" t="s">
        <v>141</v>
      </c>
      <c r="R852">
        <v>1</v>
      </c>
      <c r="S852">
        <v>2499</v>
      </c>
      <c r="T852">
        <v>0.1</v>
      </c>
      <c r="U852">
        <v>2249.1</v>
      </c>
      <c r="V852">
        <v>1450</v>
      </c>
      <c r="W852">
        <v>799.1</v>
      </c>
      <c r="X852" t="s">
        <v>76</v>
      </c>
      <c r="Y852" t="s">
        <v>68</v>
      </c>
      <c r="Z852" t="s">
        <v>158</v>
      </c>
      <c r="AA852" t="s">
        <v>169</v>
      </c>
      <c r="AB852">
        <v>4.4000000000000004</v>
      </c>
      <c r="AC852">
        <v>60</v>
      </c>
      <c r="AD852">
        <v>172.47</v>
      </c>
      <c r="AE852">
        <f t="shared" si="26"/>
        <v>566.63</v>
      </c>
      <c r="AF852" t="str">
        <f t="shared" si="27"/>
        <v>2025-04</v>
      </c>
      <c r="AG852">
        <f>SUBTOTAL(103,A852)</f>
        <v>1</v>
      </c>
    </row>
    <row r="853" spans="1:33" x14ac:dyDescent="0.3">
      <c r="A853" t="s">
        <v>3466</v>
      </c>
      <c r="B853" s="13">
        <v>45765</v>
      </c>
      <c r="C853">
        <v>2025</v>
      </c>
      <c r="D853">
        <v>4</v>
      </c>
      <c r="E853" t="s">
        <v>3328</v>
      </c>
      <c r="F853" t="s">
        <v>3329</v>
      </c>
      <c r="G853" t="s">
        <v>1697</v>
      </c>
      <c r="H853" t="s">
        <v>1698</v>
      </c>
      <c r="I853" t="s">
        <v>85</v>
      </c>
      <c r="J853">
        <v>50</v>
      </c>
      <c r="K853" t="s">
        <v>83</v>
      </c>
      <c r="L853" t="s">
        <v>97</v>
      </c>
      <c r="M853" t="s">
        <v>57</v>
      </c>
      <c r="N853" t="s">
        <v>2647</v>
      </c>
      <c r="O853" t="s">
        <v>133</v>
      </c>
      <c r="P853" t="s">
        <v>50</v>
      </c>
      <c r="Q853" t="s">
        <v>145</v>
      </c>
      <c r="R853">
        <v>3</v>
      </c>
      <c r="S853">
        <v>799</v>
      </c>
      <c r="T853">
        <v>0.15</v>
      </c>
      <c r="U853">
        <v>0</v>
      </c>
      <c r="V853">
        <v>0</v>
      </c>
      <c r="W853">
        <v>0</v>
      </c>
      <c r="X853" t="s">
        <v>74</v>
      </c>
      <c r="Y853" t="s">
        <v>71</v>
      </c>
      <c r="Z853" t="s">
        <v>158</v>
      </c>
      <c r="AA853" t="s">
        <v>170</v>
      </c>
      <c r="AB853">
        <v>3.6</v>
      </c>
      <c r="AC853">
        <v>60</v>
      </c>
      <c r="AD853">
        <v>176.03</v>
      </c>
      <c r="AE853">
        <f t="shared" si="26"/>
        <v>-236.03</v>
      </c>
      <c r="AF853" t="str">
        <f t="shared" si="27"/>
        <v>2025-04</v>
      </c>
      <c r="AG853">
        <f>SUBTOTAL(103,A853)</f>
        <v>1</v>
      </c>
    </row>
    <row r="854" spans="1:33" x14ac:dyDescent="0.3">
      <c r="A854" t="s">
        <v>3467</v>
      </c>
      <c r="B854" s="13">
        <v>45766</v>
      </c>
      <c r="C854">
        <v>2025</v>
      </c>
      <c r="D854">
        <v>4</v>
      </c>
      <c r="E854" t="s">
        <v>3328</v>
      </c>
      <c r="F854" t="s">
        <v>3329</v>
      </c>
      <c r="G854" t="s">
        <v>495</v>
      </c>
      <c r="H854" t="s">
        <v>496</v>
      </c>
      <c r="I854" t="s">
        <v>85</v>
      </c>
      <c r="J854">
        <v>19</v>
      </c>
      <c r="K854" t="s">
        <v>80</v>
      </c>
      <c r="L854" t="s">
        <v>2579</v>
      </c>
      <c r="M854" t="s">
        <v>56</v>
      </c>
      <c r="N854" t="s">
        <v>2577</v>
      </c>
      <c r="O854" t="s">
        <v>129</v>
      </c>
      <c r="P854" t="s">
        <v>49</v>
      </c>
      <c r="Q854" t="s">
        <v>149</v>
      </c>
      <c r="R854">
        <v>1</v>
      </c>
      <c r="S854">
        <v>1299</v>
      </c>
      <c r="T854">
        <v>0.1</v>
      </c>
      <c r="U854">
        <v>1169.0999999999999</v>
      </c>
      <c r="V854">
        <v>650</v>
      </c>
      <c r="W854">
        <v>519.1</v>
      </c>
      <c r="X854" t="s">
        <v>74</v>
      </c>
      <c r="Y854" t="s">
        <v>68</v>
      </c>
      <c r="Z854" t="s">
        <v>162</v>
      </c>
      <c r="AA854" t="s">
        <v>169</v>
      </c>
      <c r="AB854">
        <v>2.2999999999999998</v>
      </c>
      <c r="AC854">
        <v>50</v>
      </c>
      <c r="AD854">
        <v>76.290000000000006</v>
      </c>
      <c r="AE854">
        <f t="shared" si="26"/>
        <v>392.81</v>
      </c>
      <c r="AF854" t="str">
        <f t="shared" si="27"/>
        <v>2025-04</v>
      </c>
      <c r="AG854">
        <f>SUBTOTAL(103,A854)</f>
        <v>1</v>
      </c>
    </row>
    <row r="855" spans="1:33" x14ac:dyDescent="0.3">
      <c r="A855" t="s">
        <v>3468</v>
      </c>
      <c r="B855" s="13">
        <v>45766</v>
      </c>
      <c r="C855">
        <v>2025</v>
      </c>
      <c r="D855">
        <v>4</v>
      </c>
      <c r="E855" t="s">
        <v>3328</v>
      </c>
      <c r="F855" t="s">
        <v>3329</v>
      </c>
      <c r="G855" t="s">
        <v>793</v>
      </c>
      <c r="H855" t="s">
        <v>794</v>
      </c>
      <c r="I855" t="s">
        <v>85</v>
      </c>
      <c r="J855">
        <v>32</v>
      </c>
      <c r="K855" t="s">
        <v>81</v>
      </c>
      <c r="L855" t="s">
        <v>59</v>
      </c>
      <c r="M855" t="s">
        <v>59</v>
      </c>
      <c r="N855" t="s">
        <v>2596</v>
      </c>
      <c r="O855" t="s">
        <v>124</v>
      </c>
      <c r="P855" t="s">
        <v>51</v>
      </c>
      <c r="Q855" t="s">
        <v>147</v>
      </c>
      <c r="R855">
        <v>2</v>
      </c>
      <c r="S855">
        <v>2299</v>
      </c>
      <c r="T855">
        <v>0.05</v>
      </c>
      <c r="U855">
        <v>4368.1000000000004</v>
      </c>
      <c r="V855">
        <v>2400</v>
      </c>
      <c r="W855">
        <v>1968.1</v>
      </c>
      <c r="X855" t="s">
        <v>73</v>
      </c>
      <c r="Y855" t="s">
        <v>68</v>
      </c>
      <c r="Z855" t="s">
        <v>159</v>
      </c>
      <c r="AA855" t="s">
        <v>168</v>
      </c>
      <c r="AB855">
        <v>4.7</v>
      </c>
      <c r="AC855">
        <v>80</v>
      </c>
      <c r="AD855">
        <v>407.34</v>
      </c>
      <c r="AE855">
        <f t="shared" si="26"/>
        <v>1480.76</v>
      </c>
      <c r="AF855" t="str">
        <f t="shared" si="27"/>
        <v>2025-04</v>
      </c>
      <c r="AG855">
        <f>SUBTOTAL(103,A855)</f>
        <v>1</v>
      </c>
    </row>
    <row r="856" spans="1:33" x14ac:dyDescent="0.3">
      <c r="A856" t="s">
        <v>3469</v>
      </c>
      <c r="B856" s="13">
        <v>45766</v>
      </c>
      <c r="C856">
        <v>2025</v>
      </c>
      <c r="D856">
        <v>4</v>
      </c>
      <c r="E856" t="s">
        <v>3328</v>
      </c>
      <c r="F856" t="s">
        <v>3329</v>
      </c>
      <c r="G856" t="s">
        <v>1595</v>
      </c>
      <c r="H856" t="s">
        <v>1596</v>
      </c>
      <c r="I856" t="s">
        <v>85</v>
      </c>
      <c r="J856">
        <v>49</v>
      </c>
      <c r="K856" t="s">
        <v>83</v>
      </c>
      <c r="L856" t="s">
        <v>92</v>
      </c>
      <c r="M856" t="s">
        <v>59</v>
      </c>
      <c r="N856" t="s">
        <v>2601</v>
      </c>
      <c r="O856" t="s">
        <v>117</v>
      </c>
      <c r="P856" t="s">
        <v>49</v>
      </c>
      <c r="Q856" t="s">
        <v>139</v>
      </c>
      <c r="R856">
        <v>2</v>
      </c>
      <c r="S856">
        <v>6999</v>
      </c>
      <c r="T856">
        <v>0.15</v>
      </c>
      <c r="U856">
        <v>0</v>
      </c>
      <c r="V856">
        <v>0</v>
      </c>
      <c r="W856">
        <v>0</v>
      </c>
      <c r="X856" t="s">
        <v>73</v>
      </c>
      <c r="Y856" t="s">
        <v>71</v>
      </c>
      <c r="Z856" t="s">
        <v>158</v>
      </c>
      <c r="AA856" t="s">
        <v>169</v>
      </c>
      <c r="AB856">
        <v>3.5</v>
      </c>
      <c r="AC856">
        <v>80</v>
      </c>
      <c r="AD856">
        <v>1020.61</v>
      </c>
      <c r="AE856">
        <f t="shared" si="26"/>
        <v>-1100.6100000000001</v>
      </c>
      <c r="AF856" t="str">
        <f t="shared" si="27"/>
        <v>2025-04</v>
      </c>
      <c r="AG856">
        <f>SUBTOTAL(103,A856)</f>
        <v>1</v>
      </c>
    </row>
    <row r="857" spans="1:33" x14ac:dyDescent="0.3">
      <c r="A857" t="s">
        <v>3470</v>
      </c>
      <c r="B857" s="13">
        <v>45766</v>
      </c>
      <c r="C857">
        <v>2025</v>
      </c>
      <c r="D857">
        <v>4</v>
      </c>
      <c r="E857" t="s">
        <v>3328</v>
      </c>
      <c r="F857" t="s">
        <v>3329</v>
      </c>
      <c r="G857" t="s">
        <v>2101</v>
      </c>
      <c r="H857" t="s">
        <v>2102</v>
      </c>
      <c r="I857" t="s">
        <v>86</v>
      </c>
      <c r="J857">
        <v>28</v>
      </c>
      <c r="K857" t="s">
        <v>81</v>
      </c>
      <c r="L857" t="s">
        <v>2661</v>
      </c>
      <c r="M857" t="s">
        <v>58</v>
      </c>
      <c r="N857" t="s">
        <v>2626</v>
      </c>
      <c r="O857" t="s">
        <v>125</v>
      </c>
      <c r="P857" t="s">
        <v>48</v>
      </c>
      <c r="Q857" t="s">
        <v>141</v>
      </c>
      <c r="R857">
        <v>3</v>
      </c>
      <c r="S857">
        <v>1999</v>
      </c>
      <c r="T857">
        <v>0.15</v>
      </c>
      <c r="U857">
        <v>5097.45</v>
      </c>
      <c r="V857">
        <v>3450</v>
      </c>
      <c r="W857">
        <v>1647.45</v>
      </c>
      <c r="X857" t="s">
        <v>77</v>
      </c>
      <c r="Y857" t="s">
        <v>68</v>
      </c>
      <c r="Z857" t="s">
        <v>163</v>
      </c>
      <c r="AA857" t="s">
        <v>170</v>
      </c>
      <c r="AB857">
        <v>3.5</v>
      </c>
      <c r="AC857">
        <v>50</v>
      </c>
      <c r="AD857">
        <v>125.92</v>
      </c>
      <c r="AE857">
        <f t="shared" si="26"/>
        <v>1471.53</v>
      </c>
      <c r="AF857" t="str">
        <f t="shared" si="27"/>
        <v>2025-04</v>
      </c>
      <c r="AG857">
        <f>SUBTOTAL(103,A857)</f>
        <v>1</v>
      </c>
    </row>
    <row r="858" spans="1:33" x14ac:dyDescent="0.3">
      <c r="A858" t="s">
        <v>3471</v>
      </c>
      <c r="B858" s="13">
        <v>45766</v>
      </c>
      <c r="C858">
        <v>2025</v>
      </c>
      <c r="D858">
        <v>4</v>
      </c>
      <c r="E858" t="s">
        <v>3328</v>
      </c>
      <c r="F858" t="s">
        <v>3329</v>
      </c>
      <c r="G858" t="s">
        <v>1055</v>
      </c>
      <c r="H858" t="s">
        <v>1056</v>
      </c>
      <c r="I858" t="s">
        <v>86</v>
      </c>
      <c r="J858">
        <v>52</v>
      </c>
      <c r="K858" t="s">
        <v>83</v>
      </c>
      <c r="L858" t="s">
        <v>2612</v>
      </c>
      <c r="M858" t="s">
        <v>64</v>
      </c>
      <c r="N858" t="s">
        <v>2606</v>
      </c>
      <c r="O858" t="s">
        <v>120</v>
      </c>
      <c r="P858" t="s">
        <v>49</v>
      </c>
      <c r="Q858" t="s">
        <v>140</v>
      </c>
      <c r="R858">
        <v>2</v>
      </c>
      <c r="S858">
        <v>2799</v>
      </c>
      <c r="T858">
        <v>0.05</v>
      </c>
      <c r="U858">
        <v>5318.1</v>
      </c>
      <c r="V858">
        <v>3300</v>
      </c>
      <c r="W858">
        <v>2018.1</v>
      </c>
      <c r="X858" t="s">
        <v>73</v>
      </c>
      <c r="Y858" t="s">
        <v>68</v>
      </c>
      <c r="Z858" t="s">
        <v>160</v>
      </c>
      <c r="AA858" t="s">
        <v>167</v>
      </c>
      <c r="AB858">
        <v>4.0999999999999996</v>
      </c>
      <c r="AC858">
        <v>80</v>
      </c>
      <c r="AD858">
        <v>462.91</v>
      </c>
      <c r="AE858">
        <f t="shared" si="26"/>
        <v>1475.1899999999998</v>
      </c>
      <c r="AF858" t="str">
        <f t="shared" si="27"/>
        <v>2025-04</v>
      </c>
      <c r="AG858">
        <f>SUBTOTAL(103,A858)</f>
        <v>1</v>
      </c>
    </row>
    <row r="859" spans="1:33" x14ac:dyDescent="0.3">
      <c r="A859" t="s">
        <v>3472</v>
      </c>
      <c r="B859" s="13">
        <v>45766</v>
      </c>
      <c r="C859">
        <v>2025</v>
      </c>
      <c r="D859">
        <v>4</v>
      </c>
      <c r="E859" t="s">
        <v>3328</v>
      </c>
      <c r="F859" t="s">
        <v>3329</v>
      </c>
      <c r="G859" t="s">
        <v>869</v>
      </c>
      <c r="H859" t="s">
        <v>870</v>
      </c>
      <c r="I859" t="s">
        <v>86</v>
      </c>
      <c r="J859">
        <v>28</v>
      </c>
      <c r="K859" t="s">
        <v>81</v>
      </c>
      <c r="L859" t="s">
        <v>95</v>
      </c>
      <c r="M859" t="s">
        <v>56</v>
      </c>
      <c r="N859" t="s">
        <v>2657</v>
      </c>
      <c r="O859" t="s">
        <v>134</v>
      </c>
      <c r="P859" t="s">
        <v>49</v>
      </c>
      <c r="Q859" t="s">
        <v>140</v>
      </c>
      <c r="R859">
        <v>2</v>
      </c>
      <c r="S859">
        <v>599</v>
      </c>
      <c r="T859">
        <v>0.15</v>
      </c>
      <c r="U859">
        <v>1018.3</v>
      </c>
      <c r="V859">
        <v>500</v>
      </c>
      <c r="W859">
        <v>518.29999999999995</v>
      </c>
      <c r="X859" t="s">
        <v>73</v>
      </c>
      <c r="Y859" t="s">
        <v>68</v>
      </c>
      <c r="Z859" t="s">
        <v>163</v>
      </c>
      <c r="AA859" t="s">
        <v>167</v>
      </c>
      <c r="AB859">
        <v>4.9000000000000004</v>
      </c>
      <c r="AC859">
        <v>80</v>
      </c>
      <c r="AD859">
        <v>105.34</v>
      </c>
      <c r="AE859">
        <f t="shared" si="26"/>
        <v>332.95999999999992</v>
      </c>
      <c r="AF859" t="str">
        <f t="shared" si="27"/>
        <v>2025-04</v>
      </c>
      <c r="AG859">
        <f>SUBTOTAL(103,A859)</f>
        <v>1</v>
      </c>
    </row>
    <row r="860" spans="1:33" x14ac:dyDescent="0.3">
      <c r="A860" t="s">
        <v>3473</v>
      </c>
      <c r="B860" s="13">
        <v>45766</v>
      </c>
      <c r="C860">
        <v>2025</v>
      </c>
      <c r="D860">
        <v>4</v>
      </c>
      <c r="E860" t="s">
        <v>3328</v>
      </c>
      <c r="F860" t="s">
        <v>3329</v>
      </c>
      <c r="G860" t="s">
        <v>327</v>
      </c>
      <c r="H860" t="s">
        <v>328</v>
      </c>
      <c r="I860" t="s">
        <v>86</v>
      </c>
      <c r="J860">
        <v>29</v>
      </c>
      <c r="K860" t="s">
        <v>81</v>
      </c>
      <c r="L860" t="s">
        <v>93</v>
      </c>
      <c r="M860" t="s">
        <v>55</v>
      </c>
      <c r="N860" t="s">
        <v>2596</v>
      </c>
      <c r="O860" t="s">
        <v>124</v>
      </c>
      <c r="P860" t="s">
        <v>51</v>
      </c>
      <c r="Q860" t="s">
        <v>147</v>
      </c>
      <c r="R860">
        <v>1</v>
      </c>
      <c r="S860">
        <v>2299</v>
      </c>
      <c r="T860">
        <v>0</v>
      </c>
      <c r="U860">
        <v>2299</v>
      </c>
      <c r="V860">
        <v>1200</v>
      </c>
      <c r="W860">
        <v>1099</v>
      </c>
      <c r="X860" t="s">
        <v>77</v>
      </c>
      <c r="Y860" t="s">
        <v>68</v>
      </c>
      <c r="Z860" t="s">
        <v>159</v>
      </c>
      <c r="AA860" t="s">
        <v>167</v>
      </c>
      <c r="AB860">
        <v>4.0999999999999996</v>
      </c>
      <c r="AC860">
        <v>50</v>
      </c>
      <c r="AD860">
        <v>125.92</v>
      </c>
      <c r="AE860">
        <f t="shared" si="26"/>
        <v>923.08</v>
      </c>
      <c r="AF860" t="str">
        <f t="shared" si="27"/>
        <v>2025-04</v>
      </c>
      <c r="AG860">
        <f>SUBTOTAL(103,A860)</f>
        <v>1</v>
      </c>
    </row>
    <row r="861" spans="1:33" x14ac:dyDescent="0.3">
      <c r="A861" t="s">
        <v>3474</v>
      </c>
      <c r="B861" s="13">
        <v>45766</v>
      </c>
      <c r="C861">
        <v>2025</v>
      </c>
      <c r="D861">
        <v>4</v>
      </c>
      <c r="E861" t="s">
        <v>3328</v>
      </c>
      <c r="F861" t="s">
        <v>3329</v>
      </c>
      <c r="G861" t="s">
        <v>1651</v>
      </c>
      <c r="H861" t="s">
        <v>1652</v>
      </c>
      <c r="I861" t="s">
        <v>86</v>
      </c>
      <c r="J861">
        <v>36</v>
      </c>
      <c r="K861" t="s">
        <v>82</v>
      </c>
      <c r="L861" t="s">
        <v>2661</v>
      </c>
      <c r="M861" t="s">
        <v>58</v>
      </c>
      <c r="N861" t="s">
        <v>2644</v>
      </c>
      <c r="O861" t="s">
        <v>126</v>
      </c>
      <c r="P861" t="s">
        <v>50</v>
      </c>
      <c r="Q861" t="s">
        <v>145</v>
      </c>
      <c r="R861">
        <v>2</v>
      </c>
      <c r="S861">
        <v>1799</v>
      </c>
      <c r="T861">
        <v>0.2</v>
      </c>
      <c r="U861">
        <v>2878.4</v>
      </c>
      <c r="V861">
        <v>1900</v>
      </c>
      <c r="W861">
        <v>978.4</v>
      </c>
      <c r="X861" t="s">
        <v>73</v>
      </c>
      <c r="Y861" t="s">
        <v>68</v>
      </c>
      <c r="Z861" t="s">
        <v>163</v>
      </c>
      <c r="AA861" t="s">
        <v>169</v>
      </c>
      <c r="AB861">
        <v>4</v>
      </c>
      <c r="AC861">
        <v>60</v>
      </c>
      <c r="AD861">
        <v>266.69</v>
      </c>
      <c r="AE861">
        <f t="shared" si="26"/>
        <v>651.71</v>
      </c>
      <c r="AF861" t="str">
        <f t="shared" si="27"/>
        <v>2025-04</v>
      </c>
      <c r="AG861">
        <f>SUBTOTAL(103,A861)</f>
        <v>1</v>
      </c>
    </row>
    <row r="862" spans="1:33" x14ac:dyDescent="0.3">
      <c r="A862" t="s">
        <v>3475</v>
      </c>
      <c r="B862" s="13">
        <v>45766</v>
      </c>
      <c r="C862">
        <v>2025</v>
      </c>
      <c r="D862">
        <v>4</v>
      </c>
      <c r="E862" t="s">
        <v>3328</v>
      </c>
      <c r="F862" t="s">
        <v>3329</v>
      </c>
      <c r="G862" t="s">
        <v>511</v>
      </c>
      <c r="H862" t="s">
        <v>512</v>
      </c>
      <c r="I862" t="s">
        <v>86</v>
      </c>
      <c r="J862">
        <v>49</v>
      </c>
      <c r="K862" t="s">
        <v>83</v>
      </c>
      <c r="L862" t="s">
        <v>94</v>
      </c>
      <c r="M862" t="s">
        <v>57</v>
      </c>
      <c r="N862" t="s">
        <v>2644</v>
      </c>
      <c r="O862" t="s">
        <v>126</v>
      </c>
      <c r="P862" t="s">
        <v>50</v>
      </c>
      <c r="Q862" t="s">
        <v>145</v>
      </c>
      <c r="R862">
        <v>5</v>
      </c>
      <c r="S862">
        <v>1799</v>
      </c>
      <c r="T862">
        <v>0.25</v>
      </c>
      <c r="U862">
        <v>6746.25</v>
      </c>
      <c r="V862">
        <v>4750</v>
      </c>
      <c r="W862">
        <v>1996.25</v>
      </c>
      <c r="X862" t="s">
        <v>73</v>
      </c>
      <c r="Y862" t="s">
        <v>68</v>
      </c>
      <c r="Z862" t="s">
        <v>161</v>
      </c>
      <c r="AA862" t="s">
        <v>171</v>
      </c>
      <c r="AB862">
        <v>4.7</v>
      </c>
      <c r="AC862">
        <v>50</v>
      </c>
      <c r="AD862">
        <v>587.32000000000005</v>
      </c>
      <c r="AE862">
        <f t="shared" si="26"/>
        <v>1358.9299999999998</v>
      </c>
      <c r="AF862" t="str">
        <f t="shared" si="27"/>
        <v>2025-04</v>
      </c>
      <c r="AG862">
        <f>SUBTOTAL(103,A862)</f>
        <v>1</v>
      </c>
    </row>
    <row r="863" spans="1:33" x14ac:dyDescent="0.3">
      <c r="A863" t="s">
        <v>3476</v>
      </c>
      <c r="B863" s="13">
        <v>45767</v>
      </c>
      <c r="C863">
        <v>2025</v>
      </c>
      <c r="D863">
        <v>4</v>
      </c>
      <c r="E863" t="s">
        <v>3328</v>
      </c>
      <c r="F863" t="s">
        <v>3329</v>
      </c>
      <c r="G863" t="s">
        <v>741</v>
      </c>
      <c r="H863" t="s">
        <v>742</v>
      </c>
      <c r="I863" t="s">
        <v>85</v>
      </c>
      <c r="J863">
        <v>30</v>
      </c>
      <c r="K863" t="s">
        <v>81</v>
      </c>
      <c r="L863" t="s">
        <v>2579</v>
      </c>
      <c r="M863" t="s">
        <v>56</v>
      </c>
      <c r="N863" t="s">
        <v>2601</v>
      </c>
      <c r="O863" t="s">
        <v>117</v>
      </c>
      <c r="P863" t="s">
        <v>49</v>
      </c>
      <c r="Q863" t="s">
        <v>139</v>
      </c>
      <c r="R863">
        <v>4</v>
      </c>
      <c r="S863">
        <v>6999</v>
      </c>
      <c r="T863">
        <v>0.25</v>
      </c>
      <c r="U863">
        <v>20997</v>
      </c>
      <c r="V863">
        <v>17200</v>
      </c>
      <c r="W863">
        <v>3797</v>
      </c>
      <c r="X863" t="s">
        <v>73</v>
      </c>
      <c r="Y863" t="s">
        <v>68</v>
      </c>
      <c r="Z863" t="s">
        <v>161</v>
      </c>
      <c r="AA863" t="s">
        <v>166</v>
      </c>
      <c r="AB863">
        <v>4.3</v>
      </c>
      <c r="AC863">
        <v>50</v>
      </c>
      <c r="AD863">
        <v>2401.85</v>
      </c>
      <c r="AE863">
        <f t="shared" si="26"/>
        <v>1345.15</v>
      </c>
      <c r="AF863" t="str">
        <f t="shared" si="27"/>
        <v>2025-04</v>
      </c>
      <c r="AG863">
        <f>SUBTOTAL(103,A863)</f>
        <v>1</v>
      </c>
    </row>
    <row r="864" spans="1:33" x14ac:dyDescent="0.3">
      <c r="A864" t="s">
        <v>3477</v>
      </c>
      <c r="B864" s="13">
        <v>45767</v>
      </c>
      <c r="C864">
        <v>2025</v>
      </c>
      <c r="D864">
        <v>4</v>
      </c>
      <c r="E864" t="s">
        <v>3328</v>
      </c>
      <c r="F864" t="s">
        <v>3329</v>
      </c>
      <c r="G864" t="s">
        <v>887</v>
      </c>
      <c r="H864" t="s">
        <v>888</v>
      </c>
      <c r="I864" t="s">
        <v>85</v>
      </c>
      <c r="J864">
        <v>26</v>
      </c>
      <c r="K864" t="s">
        <v>81</v>
      </c>
      <c r="L864" t="s">
        <v>100</v>
      </c>
      <c r="M864" t="s">
        <v>56</v>
      </c>
      <c r="N864" t="s">
        <v>2626</v>
      </c>
      <c r="O864" t="s">
        <v>125</v>
      </c>
      <c r="P864" t="s">
        <v>48</v>
      </c>
      <c r="Q864" t="s">
        <v>141</v>
      </c>
      <c r="R864">
        <v>4</v>
      </c>
      <c r="S864">
        <v>1999</v>
      </c>
      <c r="T864">
        <v>0.15</v>
      </c>
      <c r="U864">
        <v>6796.6</v>
      </c>
      <c r="V864">
        <v>4600</v>
      </c>
      <c r="W864">
        <v>2196.6</v>
      </c>
      <c r="X864" t="s">
        <v>76</v>
      </c>
      <c r="Y864" t="s">
        <v>68</v>
      </c>
      <c r="Z864" t="s">
        <v>158</v>
      </c>
      <c r="AA864" t="s">
        <v>167</v>
      </c>
      <c r="AB864">
        <v>3</v>
      </c>
      <c r="AC864">
        <v>60</v>
      </c>
      <c r="AD864">
        <v>594.47</v>
      </c>
      <c r="AE864">
        <f t="shared" si="26"/>
        <v>1542.1299999999999</v>
      </c>
      <c r="AF864" t="str">
        <f t="shared" si="27"/>
        <v>2025-04</v>
      </c>
      <c r="AG864">
        <f>SUBTOTAL(103,A864)</f>
        <v>1</v>
      </c>
    </row>
    <row r="865" spans="1:33" x14ac:dyDescent="0.3">
      <c r="A865" t="s">
        <v>3478</v>
      </c>
      <c r="B865" s="13">
        <v>45767</v>
      </c>
      <c r="C865">
        <v>2025</v>
      </c>
      <c r="D865">
        <v>4</v>
      </c>
      <c r="E865" t="s">
        <v>3328</v>
      </c>
      <c r="F865" t="s">
        <v>3329</v>
      </c>
      <c r="G865" t="s">
        <v>363</v>
      </c>
      <c r="H865" t="s">
        <v>364</v>
      </c>
      <c r="I865" t="s">
        <v>85</v>
      </c>
      <c r="J865">
        <v>43</v>
      </c>
      <c r="K865" t="s">
        <v>82</v>
      </c>
      <c r="L865" t="s">
        <v>93</v>
      </c>
      <c r="M865" t="s">
        <v>55</v>
      </c>
      <c r="N865" t="s">
        <v>2647</v>
      </c>
      <c r="O865" t="s">
        <v>133</v>
      </c>
      <c r="P865" t="s">
        <v>50</v>
      </c>
      <c r="Q865" t="s">
        <v>145</v>
      </c>
      <c r="R865">
        <v>4</v>
      </c>
      <c r="S865">
        <v>799</v>
      </c>
      <c r="T865">
        <v>0.05</v>
      </c>
      <c r="U865">
        <v>3036.2</v>
      </c>
      <c r="V865">
        <v>1560</v>
      </c>
      <c r="W865">
        <v>1476.2</v>
      </c>
      <c r="X865" t="s">
        <v>76</v>
      </c>
      <c r="Y865" t="s">
        <v>68</v>
      </c>
      <c r="Z865" t="s">
        <v>159</v>
      </c>
      <c r="AA865" t="s">
        <v>166</v>
      </c>
      <c r="AB865">
        <v>4.9000000000000004</v>
      </c>
      <c r="AC865">
        <v>50</v>
      </c>
      <c r="AD865">
        <v>272.22000000000003</v>
      </c>
      <c r="AE865">
        <f t="shared" si="26"/>
        <v>1153.98</v>
      </c>
      <c r="AF865" t="str">
        <f t="shared" si="27"/>
        <v>2025-04</v>
      </c>
      <c r="AG865">
        <f>SUBTOTAL(103,A865)</f>
        <v>1</v>
      </c>
    </row>
    <row r="866" spans="1:33" x14ac:dyDescent="0.3">
      <c r="A866" t="s">
        <v>3479</v>
      </c>
      <c r="B866" s="13">
        <v>45767</v>
      </c>
      <c r="C866">
        <v>2025</v>
      </c>
      <c r="D866">
        <v>4</v>
      </c>
      <c r="E866" t="s">
        <v>3328</v>
      </c>
      <c r="F866" t="s">
        <v>3329</v>
      </c>
      <c r="G866" t="s">
        <v>1489</v>
      </c>
      <c r="H866" t="s">
        <v>1490</v>
      </c>
      <c r="I866" t="s">
        <v>86</v>
      </c>
      <c r="J866">
        <v>27</v>
      </c>
      <c r="K866" t="s">
        <v>81</v>
      </c>
      <c r="L866" t="s">
        <v>90</v>
      </c>
      <c r="M866" t="s">
        <v>55</v>
      </c>
      <c r="N866" t="s">
        <v>2577</v>
      </c>
      <c r="O866" t="s">
        <v>129</v>
      </c>
      <c r="P866" t="s">
        <v>49</v>
      </c>
      <c r="Q866" t="s">
        <v>149</v>
      </c>
      <c r="R866">
        <v>1</v>
      </c>
      <c r="S866">
        <v>1299</v>
      </c>
      <c r="T866">
        <v>0.05</v>
      </c>
      <c r="U866">
        <v>1234.05</v>
      </c>
      <c r="V866">
        <v>650</v>
      </c>
      <c r="W866">
        <v>584.04999999999995</v>
      </c>
      <c r="X866" t="s">
        <v>73</v>
      </c>
      <c r="Y866" t="s">
        <v>68</v>
      </c>
      <c r="Z866" t="s">
        <v>158</v>
      </c>
      <c r="AA866" t="s">
        <v>170</v>
      </c>
      <c r="AB866">
        <v>4.8</v>
      </c>
      <c r="AC866">
        <v>40</v>
      </c>
      <c r="AD866">
        <v>135.22</v>
      </c>
      <c r="AE866">
        <f t="shared" si="26"/>
        <v>408.82999999999993</v>
      </c>
      <c r="AF866" t="str">
        <f t="shared" si="27"/>
        <v>2025-04</v>
      </c>
      <c r="AG866">
        <f>SUBTOTAL(103,A866)</f>
        <v>1</v>
      </c>
    </row>
    <row r="867" spans="1:33" x14ac:dyDescent="0.3">
      <c r="A867" t="s">
        <v>3480</v>
      </c>
      <c r="B867" s="13">
        <v>45767</v>
      </c>
      <c r="C867">
        <v>2025</v>
      </c>
      <c r="D867">
        <v>4</v>
      </c>
      <c r="E867" t="s">
        <v>3328</v>
      </c>
      <c r="F867" t="s">
        <v>3329</v>
      </c>
      <c r="G867" t="s">
        <v>1217</v>
      </c>
      <c r="H867" t="s">
        <v>1218</v>
      </c>
      <c r="I867" t="s">
        <v>85</v>
      </c>
      <c r="J867">
        <v>46</v>
      </c>
      <c r="K867" t="s">
        <v>83</v>
      </c>
      <c r="L867" t="s">
        <v>95</v>
      </c>
      <c r="M867" t="s">
        <v>56</v>
      </c>
      <c r="N867" t="s">
        <v>2577</v>
      </c>
      <c r="O867" t="s">
        <v>129</v>
      </c>
      <c r="P867" t="s">
        <v>49</v>
      </c>
      <c r="Q867" t="s">
        <v>149</v>
      </c>
      <c r="R867">
        <v>4</v>
      </c>
      <c r="S867">
        <v>1299</v>
      </c>
      <c r="T867">
        <v>0.15</v>
      </c>
      <c r="U867">
        <v>4416.6000000000004</v>
      </c>
      <c r="V867">
        <v>2600</v>
      </c>
      <c r="W867">
        <v>1816.6</v>
      </c>
      <c r="X867" t="s">
        <v>75</v>
      </c>
      <c r="Y867" t="s">
        <v>68</v>
      </c>
      <c r="Z867" t="s">
        <v>161</v>
      </c>
      <c r="AA867" t="s">
        <v>168</v>
      </c>
      <c r="AB867">
        <v>3.7</v>
      </c>
      <c r="AC867">
        <v>50</v>
      </c>
      <c r="AD867">
        <v>407</v>
      </c>
      <c r="AE867">
        <f t="shared" si="26"/>
        <v>1359.6</v>
      </c>
      <c r="AF867" t="str">
        <f t="shared" si="27"/>
        <v>2025-04</v>
      </c>
      <c r="AG867">
        <f>SUBTOTAL(103,A867)</f>
        <v>1</v>
      </c>
    </row>
    <row r="868" spans="1:33" x14ac:dyDescent="0.3">
      <c r="A868" t="s">
        <v>3481</v>
      </c>
      <c r="B868" s="13">
        <v>45767</v>
      </c>
      <c r="C868">
        <v>2025</v>
      </c>
      <c r="D868">
        <v>4</v>
      </c>
      <c r="E868" t="s">
        <v>3328</v>
      </c>
      <c r="F868" t="s">
        <v>3329</v>
      </c>
      <c r="G868" t="s">
        <v>193</v>
      </c>
      <c r="H868" t="s">
        <v>194</v>
      </c>
      <c r="I868" t="s">
        <v>86</v>
      </c>
      <c r="J868">
        <v>46</v>
      </c>
      <c r="K868" t="s">
        <v>83</v>
      </c>
      <c r="L868" t="s">
        <v>94</v>
      </c>
      <c r="M868" t="s">
        <v>57</v>
      </c>
      <c r="N868" t="s">
        <v>2574</v>
      </c>
      <c r="O868" t="s">
        <v>130</v>
      </c>
      <c r="P868" t="s">
        <v>50</v>
      </c>
      <c r="Q868" t="s">
        <v>53</v>
      </c>
      <c r="R868">
        <v>1</v>
      </c>
      <c r="S868">
        <v>1199</v>
      </c>
      <c r="T868">
        <v>0.15</v>
      </c>
      <c r="U868">
        <v>1019.15</v>
      </c>
      <c r="V868">
        <v>550</v>
      </c>
      <c r="W868">
        <v>469.15</v>
      </c>
      <c r="X868" t="s">
        <v>73</v>
      </c>
      <c r="Y868" t="s">
        <v>69</v>
      </c>
      <c r="Z868" t="s">
        <v>158</v>
      </c>
      <c r="AA868" t="s">
        <v>169</v>
      </c>
      <c r="AB868">
        <v>3.9</v>
      </c>
      <c r="AC868">
        <v>50</v>
      </c>
      <c r="AD868">
        <v>68.260000000000005</v>
      </c>
      <c r="AE868">
        <f t="shared" si="26"/>
        <v>350.89</v>
      </c>
      <c r="AF868" t="str">
        <f t="shared" si="27"/>
        <v>2025-04</v>
      </c>
      <c r="AG868">
        <f>SUBTOTAL(103,A868)</f>
        <v>1</v>
      </c>
    </row>
    <row r="869" spans="1:33" x14ac:dyDescent="0.3">
      <c r="A869" t="s">
        <v>3482</v>
      </c>
      <c r="B869" s="13">
        <v>45767</v>
      </c>
      <c r="C869">
        <v>2025</v>
      </c>
      <c r="D869">
        <v>4</v>
      </c>
      <c r="E869" t="s">
        <v>3328</v>
      </c>
      <c r="F869" t="s">
        <v>3329</v>
      </c>
      <c r="G869" t="s">
        <v>2135</v>
      </c>
      <c r="H869" t="s">
        <v>2136</v>
      </c>
      <c r="I869" t="s">
        <v>86</v>
      </c>
      <c r="J869">
        <v>20</v>
      </c>
      <c r="K869" t="s">
        <v>80</v>
      </c>
      <c r="L869" t="s">
        <v>95</v>
      </c>
      <c r="M869" t="s">
        <v>56</v>
      </c>
      <c r="N869" t="s">
        <v>2644</v>
      </c>
      <c r="O869" t="s">
        <v>126</v>
      </c>
      <c r="P869" t="s">
        <v>50</v>
      </c>
      <c r="Q869" t="s">
        <v>145</v>
      </c>
      <c r="R869">
        <v>1</v>
      </c>
      <c r="S869">
        <v>1799</v>
      </c>
      <c r="T869">
        <v>0.05</v>
      </c>
      <c r="U869">
        <v>1709.05</v>
      </c>
      <c r="V869">
        <v>950</v>
      </c>
      <c r="W869">
        <v>759.05</v>
      </c>
      <c r="X869" t="s">
        <v>75</v>
      </c>
      <c r="Y869" t="s">
        <v>68</v>
      </c>
      <c r="Z869" t="s">
        <v>158</v>
      </c>
      <c r="AA869" t="s">
        <v>168</v>
      </c>
      <c r="AB869">
        <v>5</v>
      </c>
      <c r="AC869">
        <v>50</v>
      </c>
      <c r="AD869">
        <v>170.13</v>
      </c>
      <c r="AE869">
        <f t="shared" si="26"/>
        <v>538.91999999999996</v>
      </c>
      <c r="AF869" t="str">
        <f t="shared" si="27"/>
        <v>2025-04</v>
      </c>
      <c r="AG869">
        <f>SUBTOTAL(103,A869)</f>
        <v>1</v>
      </c>
    </row>
    <row r="870" spans="1:33" x14ac:dyDescent="0.3">
      <c r="A870" t="s">
        <v>3483</v>
      </c>
      <c r="B870" s="13">
        <v>45767</v>
      </c>
      <c r="C870">
        <v>2025</v>
      </c>
      <c r="D870">
        <v>4</v>
      </c>
      <c r="E870" t="s">
        <v>3328</v>
      </c>
      <c r="F870" t="s">
        <v>3329</v>
      </c>
      <c r="G870" t="s">
        <v>777</v>
      </c>
      <c r="H870" t="s">
        <v>778</v>
      </c>
      <c r="I870" t="s">
        <v>85</v>
      </c>
      <c r="J870">
        <v>49</v>
      </c>
      <c r="K870" t="s">
        <v>83</v>
      </c>
      <c r="L870" t="s">
        <v>2687</v>
      </c>
      <c r="M870" t="s">
        <v>57</v>
      </c>
      <c r="N870" t="s">
        <v>2580</v>
      </c>
      <c r="O870" t="s">
        <v>118</v>
      </c>
      <c r="P870" t="s">
        <v>48</v>
      </c>
      <c r="Q870" t="s">
        <v>142</v>
      </c>
      <c r="R870">
        <v>2</v>
      </c>
      <c r="S870">
        <v>3999</v>
      </c>
      <c r="T870">
        <v>0.2</v>
      </c>
      <c r="U870">
        <v>6398.4</v>
      </c>
      <c r="V870">
        <v>4800</v>
      </c>
      <c r="W870">
        <v>1598.4</v>
      </c>
      <c r="X870" t="s">
        <v>74</v>
      </c>
      <c r="Y870" t="s">
        <v>68</v>
      </c>
      <c r="Z870" t="s">
        <v>158</v>
      </c>
      <c r="AA870" t="s">
        <v>167</v>
      </c>
      <c r="AB870">
        <v>2.2000000000000002</v>
      </c>
      <c r="AC870">
        <v>60</v>
      </c>
      <c r="AD870">
        <v>330.3</v>
      </c>
      <c r="AE870">
        <f t="shared" si="26"/>
        <v>1208.1000000000001</v>
      </c>
      <c r="AF870" t="str">
        <f t="shared" si="27"/>
        <v>2025-04</v>
      </c>
      <c r="AG870">
        <f>SUBTOTAL(103,A870)</f>
        <v>1</v>
      </c>
    </row>
    <row r="871" spans="1:33" x14ac:dyDescent="0.3">
      <c r="A871" t="s">
        <v>3484</v>
      </c>
      <c r="B871" s="13">
        <v>45768</v>
      </c>
      <c r="C871">
        <v>2025</v>
      </c>
      <c r="D871">
        <v>4</v>
      </c>
      <c r="E871" t="s">
        <v>3328</v>
      </c>
      <c r="F871" t="s">
        <v>3329</v>
      </c>
      <c r="G871" t="s">
        <v>537</v>
      </c>
      <c r="H871" t="s">
        <v>538</v>
      </c>
      <c r="I871" t="s">
        <v>86</v>
      </c>
      <c r="J871">
        <v>34</v>
      </c>
      <c r="K871" t="s">
        <v>81</v>
      </c>
      <c r="L871" t="s">
        <v>96</v>
      </c>
      <c r="M871" t="s">
        <v>55</v>
      </c>
      <c r="N871" t="s">
        <v>2596</v>
      </c>
      <c r="O871" t="s">
        <v>124</v>
      </c>
      <c r="P871" t="s">
        <v>51</v>
      </c>
      <c r="Q871" t="s">
        <v>147</v>
      </c>
      <c r="R871">
        <v>2</v>
      </c>
      <c r="S871">
        <v>2299</v>
      </c>
      <c r="T871">
        <v>0.25</v>
      </c>
      <c r="U871">
        <v>3448.5</v>
      </c>
      <c r="V871">
        <v>2400</v>
      </c>
      <c r="W871">
        <v>1048.5</v>
      </c>
      <c r="X871" t="s">
        <v>77</v>
      </c>
      <c r="Y871" t="s">
        <v>68</v>
      </c>
      <c r="Z871" t="s">
        <v>158</v>
      </c>
      <c r="AA871" t="s">
        <v>170</v>
      </c>
      <c r="AB871">
        <v>3.7</v>
      </c>
      <c r="AC871">
        <v>60</v>
      </c>
      <c r="AD871">
        <v>184.33</v>
      </c>
      <c r="AE871">
        <f t="shared" si="26"/>
        <v>804.17</v>
      </c>
      <c r="AF871" t="str">
        <f t="shared" si="27"/>
        <v>2025-04</v>
      </c>
      <c r="AG871">
        <f>SUBTOTAL(103,A871)</f>
        <v>1</v>
      </c>
    </row>
    <row r="872" spans="1:33" x14ac:dyDescent="0.3">
      <c r="A872" t="s">
        <v>3485</v>
      </c>
      <c r="B872" s="13">
        <v>45768</v>
      </c>
      <c r="C872">
        <v>2025</v>
      </c>
      <c r="D872">
        <v>4</v>
      </c>
      <c r="E872" t="s">
        <v>3328</v>
      </c>
      <c r="F872" t="s">
        <v>3329</v>
      </c>
      <c r="G872" t="s">
        <v>849</v>
      </c>
      <c r="H872" t="s">
        <v>850</v>
      </c>
      <c r="I872" t="s">
        <v>85</v>
      </c>
      <c r="J872">
        <v>33</v>
      </c>
      <c r="K872" t="s">
        <v>81</v>
      </c>
      <c r="L872" t="s">
        <v>2605</v>
      </c>
      <c r="M872" t="s">
        <v>60</v>
      </c>
      <c r="N872" t="s">
        <v>2580</v>
      </c>
      <c r="O872" t="s">
        <v>118</v>
      </c>
      <c r="P872" t="s">
        <v>48</v>
      </c>
      <c r="Q872" t="s">
        <v>142</v>
      </c>
      <c r="R872">
        <v>4</v>
      </c>
      <c r="S872">
        <v>3999</v>
      </c>
      <c r="T872">
        <v>0.05</v>
      </c>
      <c r="U872">
        <v>15196.2</v>
      </c>
      <c r="V872">
        <v>9600</v>
      </c>
      <c r="W872">
        <v>5596.2</v>
      </c>
      <c r="X872" t="s">
        <v>73</v>
      </c>
      <c r="Y872" t="s">
        <v>68</v>
      </c>
      <c r="Z872" t="s">
        <v>163</v>
      </c>
      <c r="AA872" t="s">
        <v>170</v>
      </c>
      <c r="AB872">
        <v>4.0999999999999996</v>
      </c>
      <c r="AC872">
        <v>80</v>
      </c>
      <c r="AD872">
        <v>335.34</v>
      </c>
      <c r="AE872">
        <f t="shared" si="26"/>
        <v>5180.8599999999997</v>
      </c>
      <c r="AF872" t="str">
        <f t="shared" si="27"/>
        <v>2025-04</v>
      </c>
      <c r="AG872">
        <f>SUBTOTAL(103,A872)</f>
        <v>1</v>
      </c>
    </row>
    <row r="873" spans="1:33" x14ac:dyDescent="0.3">
      <c r="A873" t="s">
        <v>3486</v>
      </c>
      <c r="B873" s="13">
        <v>45768</v>
      </c>
      <c r="C873">
        <v>2025</v>
      </c>
      <c r="D873">
        <v>4</v>
      </c>
      <c r="E873" t="s">
        <v>3328</v>
      </c>
      <c r="F873" t="s">
        <v>3329</v>
      </c>
      <c r="G873" t="s">
        <v>1179</v>
      </c>
      <c r="H873" t="s">
        <v>1180</v>
      </c>
      <c r="I873" t="s">
        <v>85</v>
      </c>
      <c r="J873">
        <v>43</v>
      </c>
      <c r="K873" t="s">
        <v>82</v>
      </c>
      <c r="L873" t="s">
        <v>2661</v>
      </c>
      <c r="M873" t="s">
        <v>58</v>
      </c>
      <c r="N873" t="s">
        <v>2584</v>
      </c>
      <c r="O873" t="s">
        <v>121</v>
      </c>
      <c r="P873" t="s">
        <v>50</v>
      </c>
      <c r="Q873" t="s">
        <v>144</v>
      </c>
      <c r="R873">
        <v>3</v>
      </c>
      <c r="S873">
        <v>2999</v>
      </c>
      <c r="T873">
        <v>0.05</v>
      </c>
      <c r="U873">
        <v>8547.15</v>
      </c>
      <c r="V873">
        <v>5100</v>
      </c>
      <c r="W873">
        <v>3447.15</v>
      </c>
      <c r="X873" t="s">
        <v>75</v>
      </c>
      <c r="Y873" t="s">
        <v>68</v>
      </c>
      <c r="Z873" t="s">
        <v>159</v>
      </c>
      <c r="AA873" t="s">
        <v>169</v>
      </c>
      <c r="AB873">
        <v>3.9</v>
      </c>
      <c r="AC873">
        <v>60</v>
      </c>
      <c r="AD873">
        <v>398.13</v>
      </c>
      <c r="AE873">
        <f t="shared" si="26"/>
        <v>2989.02</v>
      </c>
      <c r="AF873" t="str">
        <f t="shared" si="27"/>
        <v>2025-04</v>
      </c>
      <c r="AG873">
        <f>SUBTOTAL(103,A873)</f>
        <v>1</v>
      </c>
    </row>
    <row r="874" spans="1:33" x14ac:dyDescent="0.3">
      <c r="A874" t="s">
        <v>3487</v>
      </c>
      <c r="B874" s="13">
        <v>45768</v>
      </c>
      <c r="C874">
        <v>2025</v>
      </c>
      <c r="D874">
        <v>4</v>
      </c>
      <c r="E874" t="s">
        <v>3328</v>
      </c>
      <c r="F874" t="s">
        <v>3329</v>
      </c>
      <c r="G874" t="s">
        <v>813</v>
      </c>
      <c r="H874" t="s">
        <v>814</v>
      </c>
      <c r="I874" t="s">
        <v>86</v>
      </c>
      <c r="J874">
        <v>60</v>
      </c>
      <c r="K874" t="s">
        <v>83</v>
      </c>
      <c r="L874" t="s">
        <v>99</v>
      </c>
      <c r="M874" t="s">
        <v>58</v>
      </c>
      <c r="N874" t="s">
        <v>2665</v>
      </c>
      <c r="O874" t="s">
        <v>128</v>
      </c>
      <c r="P874" t="s">
        <v>53</v>
      </c>
      <c r="Q874" t="s">
        <v>143</v>
      </c>
      <c r="R874">
        <v>3</v>
      </c>
      <c r="S874">
        <v>1499</v>
      </c>
      <c r="T874">
        <v>0.05</v>
      </c>
      <c r="U874">
        <v>4272.1499999999996</v>
      </c>
      <c r="V874">
        <v>2400</v>
      </c>
      <c r="W874">
        <v>1872.15</v>
      </c>
      <c r="X874" t="s">
        <v>77</v>
      </c>
      <c r="Y874" t="s">
        <v>68</v>
      </c>
      <c r="Z874" t="s">
        <v>161</v>
      </c>
      <c r="AA874" t="s">
        <v>166</v>
      </c>
      <c r="AB874">
        <v>4</v>
      </c>
      <c r="AC874">
        <v>40</v>
      </c>
      <c r="AD874">
        <v>248.56</v>
      </c>
      <c r="AE874">
        <f t="shared" si="26"/>
        <v>1583.5900000000001</v>
      </c>
      <c r="AF874" t="str">
        <f t="shared" si="27"/>
        <v>2025-04</v>
      </c>
      <c r="AG874">
        <f>SUBTOTAL(103,A874)</f>
        <v>1</v>
      </c>
    </row>
    <row r="875" spans="1:33" x14ac:dyDescent="0.3">
      <c r="A875" t="s">
        <v>3488</v>
      </c>
      <c r="B875" s="13">
        <v>45768</v>
      </c>
      <c r="C875">
        <v>2025</v>
      </c>
      <c r="D875">
        <v>4</v>
      </c>
      <c r="E875" t="s">
        <v>3328</v>
      </c>
      <c r="F875" t="s">
        <v>3329</v>
      </c>
      <c r="G875" t="s">
        <v>773</v>
      </c>
      <c r="H875" t="s">
        <v>774</v>
      </c>
      <c r="I875" t="s">
        <v>85</v>
      </c>
      <c r="J875">
        <v>29</v>
      </c>
      <c r="K875" t="s">
        <v>81</v>
      </c>
      <c r="L875" t="s">
        <v>93</v>
      </c>
      <c r="M875" t="s">
        <v>55</v>
      </c>
      <c r="N875" t="s">
        <v>2630</v>
      </c>
      <c r="O875" t="s">
        <v>123</v>
      </c>
      <c r="P875" t="s">
        <v>52</v>
      </c>
      <c r="Q875" t="s">
        <v>146</v>
      </c>
      <c r="R875">
        <v>2</v>
      </c>
      <c r="S875">
        <v>2499</v>
      </c>
      <c r="T875">
        <v>0.05</v>
      </c>
      <c r="U875">
        <v>4748.1000000000004</v>
      </c>
      <c r="V875">
        <v>2800</v>
      </c>
      <c r="W875">
        <v>1948.1</v>
      </c>
      <c r="X875" t="s">
        <v>73</v>
      </c>
      <c r="Y875" t="s">
        <v>68</v>
      </c>
      <c r="Z875" t="s">
        <v>160</v>
      </c>
      <c r="AA875" t="s">
        <v>166</v>
      </c>
      <c r="AB875">
        <v>2.2000000000000002</v>
      </c>
      <c r="AC875">
        <v>40</v>
      </c>
      <c r="AD875">
        <v>350.28</v>
      </c>
      <c r="AE875">
        <f t="shared" si="26"/>
        <v>1557.82</v>
      </c>
      <c r="AF875" t="str">
        <f t="shared" si="27"/>
        <v>2025-04</v>
      </c>
      <c r="AG875">
        <f>SUBTOTAL(103,A875)</f>
        <v>1</v>
      </c>
    </row>
    <row r="876" spans="1:33" x14ac:dyDescent="0.3">
      <c r="A876" t="s">
        <v>3489</v>
      </c>
      <c r="B876" s="13">
        <v>45768</v>
      </c>
      <c r="C876">
        <v>2025</v>
      </c>
      <c r="D876">
        <v>4</v>
      </c>
      <c r="E876" t="s">
        <v>3328</v>
      </c>
      <c r="F876" t="s">
        <v>3329</v>
      </c>
      <c r="G876" t="s">
        <v>255</v>
      </c>
      <c r="H876" t="s">
        <v>256</v>
      </c>
      <c r="I876" t="s">
        <v>86</v>
      </c>
      <c r="J876">
        <v>30</v>
      </c>
      <c r="K876" t="s">
        <v>81</v>
      </c>
      <c r="L876" t="s">
        <v>2623</v>
      </c>
      <c r="M876" t="s">
        <v>61</v>
      </c>
      <c r="N876" t="s">
        <v>2592</v>
      </c>
      <c r="O876" t="s">
        <v>115</v>
      </c>
      <c r="P876" t="s">
        <v>48</v>
      </c>
      <c r="Q876" t="s">
        <v>137</v>
      </c>
      <c r="R876">
        <v>5</v>
      </c>
      <c r="S876">
        <v>12999</v>
      </c>
      <c r="T876">
        <v>0.05</v>
      </c>
      <c r="U876">
        <v>61745.25</v>
      </c>
      <c r="V876">
        <v>45000</v>
      </c>
      <c r="W876">
        <v>16745.25</v>
      </c>
      <c r="X876" t="s">
        <v>75</v>
      </c>
      <c r="Y876" t="s">
        <v>68</v>
      </c>
      <c r="Z876" t="s">
        <v>163</v>
      </c>
      <c r="AA876" t="s">
        <v>171</v>
      </c>
      <c r="AB876">
        <v>4.2</v>
      </c>
      <c r="AC876">
        <v>80</v>
      </c>
      <c r="AD876">
        <v>5792.57</v>
      </c>
      <c r="AE876">
        <f t="shared" si="26"/>
        <v>10872.68</v>
      </c>
      <c r="AF876" t="str">
        <f t="shared" si="27"/>
        <v>2025-04</v>
      </c>
      <c r="AG876">
        <f>SUBTOTAL(103,A876)</f>
        <v>1</v>
      </c>
    </row>
    <row r="877" spans="1:33" x14ac:dyDescent="0.3">
      <c r="A877" t="s">
        <v>3490</v>
      </c>
      <c r="B877" s="13">
        <v>45768</v>
      </c>
      <c r="C877">
        <v>2025</v>
      </c>
      <c r="D877">
        <v>4</v>
      </c>
      <c r="E877" t="s">
        <v>3328</v>
      </c>
      <c r="F877" t="s">
        <v>3329</v>
      </c>
      <c r="G877" t="s">
        <v>955</v>
      </c>
      <c r="H877" t="s">
        <v>956</v>
      </c>
      <c r="I877" t="s">
        <v>86</v>
      </c>
      <c r="J877">
        <v>20</v>
      </c>
      <c r="K877" t="s">
        <v>80</v>
      </c>
      <c r="L877" t="s">
        <v>94</v>
      </c>
      <c r="M877" t="s">
        <v>57</v>
      </c>
      <c r="N877" t="s">
        <v>2580</v>
      </c>
      <c r="O877" t="s">
        <v>118</v>
      </c>
      <c r="P877" t="s">
        <v>48</v>
      </c>
      <c r="Q877" t="s">
        <v>142</v>
      </c>
      <c r="R877">
        <v>4</v>
      </c>
      <c r="S877">
        <v>3999</v>
      </c>
      <c r="T877">
        <v>0</v>
      </c>
      <c r="U877">
        <v>15996</v>
      </c>
      <c r="V877">
        <v>9600</v>
      </c>
      <c r="W877">
        <v>6396</v>
      </c>
      <c r="X877" t="s">
        <v>77</v>
      </c>
      <c r="Y877" t="s">
        <v>68</v>
      </c>
      <c r="Z877" t="s">
        <v>158</v>
      </c>
      <c r="AA877" t="s">
        <v>169</v>
      </c>
      <c r="AB877">
        <v>3.6</v>
      </c>
      <c r="AC877">
        <v>40</v>
      </c>
      <c r="AD877">
        <v>385.08</v>
      </c>
      <c r="AE877">
        <f t="shared" si="26"/>
        <v>5970.92</v>
      </c>
      <c r="AF877" t="str">
        <f t="shared" si="27"/>
        <v>2025-04</v>
      </c>
      <c r="AG877">
        <f>SUBTOTAL(103,A877)</f>
        <v>1</v>
      </c>
    </row>
    <row r="878" spans="1:33" x14ac:dyDescent="0.3">
      <c r="A878" t="s">
        <v>3491</v>
      </c>
      <c r="B878" s="13">
        <v>45768</v>
      </c>
      <c r="C878">
        <v>2025</v>
      </c>
      <c r="D878">
        <v>4</v>
      </c>
      <c r="E878" t="s">
        <v>3328</v>
      </c>
      <c r="F878" t="s">
        <v>3329</v>
      </c>
      <c r="G878" t="s">
        <v>1161</v>
      </c>
      <c r="H878" t="s">
        <v>1162</v>
      </c>
      <c r="I878" t="s">
        <v>86</v>
      </c>
      <c r="J878">
        <v>38</v>
      </c>
      <c r="K878" t="s">
        <v>82</v>
      </c>
      <c r="L878" t="s">
        <v>2661</v>
      </c>
      <c r="M878" t="s">
        <v>58</v>
      </c>
      <c r="N878" t="s">
        <v>2603</v>
      </c>
      <c r="O878" t="s">
        <v>122</v>
      </c>
      <c r="P878" t="s">
        <v>48</v>
      </c>
      <c r="Q878" t="s">
        <v>141</v>
      </c>
      <c r="R878">
        <v>3</v>
      </c>
      <c r="S878">
        <v>2499</v>
      </c>
      <c r="T878">
        <v>0.1</v>
      </c>
      <c r="U878">
        <v>6747.3</v>
      </c>
      <c r="V878">
        <v>4350</v>
      </c>
      <c r="W878">
        <v>2397.3000000000002</v>
      </c>
      <c r="X878" t="s">
        <v>73</v>
      </c>
      <c r="Y878" t="s">
        <v>68</v>
      </c>
      <c r="Z878" t="s">
        <v>161</v>
      </c>
      <c r="AA878" t="s">
        <v>167</v>
      </c>
      <c r="AB878">
        <v>3.4</v>
      </c>
      <c r="AC878">
        <v>120</v>
      </c>
      <c r="AD878">
        <v>245.66</v>
      </c>
      <c r="AE878">
        <f t="shared" si="26"/>
        <v>2031.64</v>
      </c>
      <c r="AF878" t="str">
        <f t="shared" si="27"/>
        <v>2025-04</v>
      </c>
      <c r="AG878">
        <f>SUBTOTAL(103,A878)</f>
        <v>1</v>
      </c>
    </row>
    <row r="879" spans="1:33" x14ac:dyDescent="0.3">
      <c r="A879" t="s">
        <v>3492</v>
      </c>
      <c r="B879" s="13">
        <v>45769</v>
      </c>
      <c r="C879">
        <v>2025</v>
      </c>
      <c r="D879">
        <v>4</v>
      </c>
      <c r="E879" t="s">
        <v>3328</v>
      </c>
      <c r="F879" t="s">
        <v>3329</v>
      </c>
      <c r="G879" t="s">
        <v>1225</v>
      </c>
      <c r="H879" t="s">
        <v>1226</v>
      </c>
      <c r="I879" t="s">
        <v>85</v>
      </c>
      <c r="J879">
        <v>54</v>
      </c>
      <c r="K879" t="s">
        <v>83</v>
      </c>
      <c r="L879" t="s">
        <v>59</v>
      </c>
      <c r="M879" t="s">
        <v>59</v>
      </c>
      <c r="N879" t="s">
        <v>2582</v>
      </c>
      <c r="O879" t="s">
        <v>119</v>
      </c>
      <c r="P879" t="s">
        <v>49</v>
      </c>
      <c r="Q879" t="s">
        <v>140</v>
      </c>
      <c r="R879">
        <v>1</v>
      </c>
      <c r="S879">
        <v>3499</v>
      </c>
      <c r="T879">
        <v>0.05</v>
      </c>
      <c r="U879">
        <v>3324.05</v>
      </c>
      <c r="V879">
        <v>2100</v>
      </c>
      <c r="W879">
        <v>1224.05</v>
      </c>
      <c r="X879" t="s">
        <v>73</v>
      </c>
      <c r="Y879" t="s">
        <v>68</v>
      </c>
      <c r="Z879" t="s">
        <v>162</v>
      </c>
      <c r="AA879" t="s">
        <v>167</v>
      </c>
      <c r="AB879">
        <v>3</v>
      </c>
      <c r="AC879">
        <v>50</v>
      </c>
      <c r="AD879">
        <v>91.97</v>
      </c>
      <c r="AE879">
        <f t="shared" si="26"/>
        <v>1082.08</v>
      </c>
      <c r="AF879" t="str">
        <f t="shared" si="27"/>
        <v>2025-04</v>
      </c>
      <c r="AG879">
        <f>SUBTOTAL(103,A879)</f>
        <v>1</v>
      </c>
    </row>
    <row r="880" spans="1:33" x14ac:dyDescent="0.3">
      <c r="A880" t="s">
        <v>3493</v>
      </c>
      <c r="B880" s="13">
        <v>45769</v>
      </c>
      <c r="C880">
        <v>2025</v>
      </c>
      <c r="D880">
        <v>4</v>
      </c>
      <c r="E880" t="s">
        <v>3328</v>
      </c>
      <c r="F880" t="s">
        <v>3329</v>
      </c>
      <c r="G880" t="s">
        <v>1737</v>
      </c>
      <c r="H880" t="s">
        <v>1738</v>
      </c>
      <c r="I880" t="s">
        <v>86</v>
      </c>
      <c r="J880">
        <v>52</v>
      </c>
      <c r="K880" t="s">
        <v>83</v>
      </c>
      <c r="L880" t="s">
        <v>2610</v>
      </c>
      <c r="M880" t="s">
        <v>64</v>
      </c>
      <c r="N880" t="s">
        <v>2665</v>
      </c>
      <c r="O880" t="s">
        <v>128</v>
      </c>
      <c r="P880" t="s">
        <v>53</v>
      </c>
      <c r="Q880" t="s">
        <v>143</v>
      </c>
      <c r="R880">
        <v>1</v>
      </c>
      <c r="S880">
        <v>1499</v>
      </c>
      <c r="T880">
        <v>0.25</v>
      </c>
      <c r="U880">
        <v>1124.25</v>
      </c>
      <c r="V880">
        <v>800</v>
      </c>
      <c r="W880">
        <v>324.25</v>
      </c>
      <c r="X880" t="s">
        <v>76</v>
      </c>
      <c r="Y880" t="s">
        <v>68</v>
      </c>
      <c r="Z880" t="s">
        <v>158</v>
      </c>
      <c r="AA880" t="s">
        <v>167</v>
      </c>
      <c r="AB880">
        <v>4</v>
      </c>
      <c r="AC880">
        <v>100</v>
      </c>
      <c r="AD880">
        <v>116.16</v>
      </c>
      <c r="AE880">
        <f t="shared" si="26"/>
        <v>108.09</v>
      </c>
      <c r="AF880" t="str">
        <f t="shared" si="27"/>
        <v>2025-04</v>
      </c>
      <c r="AG880">
        <f>SUBTOTAL(103,A880)</f>
        <v>1</v>
      </c>
    </row>
    <row r="881" spans="1:33" x14ac:dyDescent="0.3">
      <c r="A881" t="s">
        <v>3494</v>
      </c>
      <c r="B881" s="13">
        <v>45769</v>
      </c>
      <c r="C881">
        <v>2025</v>
      </c>
      <c r="D881">
        <v>4</v>
      </c>
      <c r="E881" t="s">
        <v>3328</v>
      </c>
      <c r="F881" t="s">
        <v>3329</v>
      </c>
      <c r="G881" t="s">
        <v>369</v>
      </c>
      <c r="H881" t="s">
        <v>370</v>
      </c>
      <c r="I881" t="s">
        <v>86</v>
      </c>
      <c r="J881">
        <v>43</v>
      </c>
      <c r="K881" t="s">
        <v>82</v>
      </c>
      <c r="L881" t="s">
        <v>59</v>
      </c>
      <c r="M881" t="s">
        <v>59</v>
      </c>
      <c r="N881" t="s">
        <v>2590</v>
      </c>
      <c r="O881" t="s">
        <v>127</v>
      </c>
      <c r="P881" t="s">
        <v>51</v>
      </c>
      <c r="Q881" t="s">
        <v>148</v>
      </c>
      <c r="R881">
        <v>1</v>
      </c>
      <c r="S881">
        <v>1599</v>
      </c>
      <c r="T881">
        <v>0.15</v>
      </c>
      <c r="U881">
        <v>1359.15</v>
      </c>
      <c r="V881">
        <v>800</v>
      </c>
      <c r="W881">
        <v>559.15</v>
      </c>
      <c r="X881" t="s">
        <v>76</v>
      </c>
      <c r="Y881" t="s">
        <v>68</v>
      </c>
      <c r="Z881" t="s">
        <v>163</v>
      </c>
      <c r="AA881" t="s">
        <v>170</v>
      </c>
      <c r="AB881">
        <v>4.0999999999999996</v>
      </c>
      <c r="AC881">
        <v>40</v>
      </c>
      <c r="AD881">
        <v>77</v>
      </c>
      <c r="AE881">
        <f t="shared" si="26"/>
        <v>442.15</v>
      </c>
      <c r="AF881" t="str">
        <f t="shared" si="27"/>
        <v>2025-04</v>
      </c>
      <c r="AG881">
        <f>SUBTOTAL(103,A881)</f>
        <v>1</v>
      </c>
    </row>
    <row r="882" spans="1:33" x14ac:dyDescent="0.3">
      <c r="A882" t="s">
        <v>3495</v>
      </c>
      <c r="B882" s="13">
        <v>45769</v>
      </c>
      <c r="C882">
        <v>2025</v>
      </c>
      <c r="D882">
        <v>4</v>
      </c>
      <c r="E882" t="s">
        <v>3328</v>
      </c>
      <c r="F882" t="s">
        <v>3329</v>
      </c>
      <c r="G882" t="s">
        <v>467</v>
      </c>
      <c r="H882" t="s">
        <v>468</v>
      </c>
      <c r="I882" t="s">
        <v>85</v>
      </c>
      <c r="J882">
        <v>42</v>
      </c>
      <c r="K882" t="s">
        <v>82</v>
      </c>
      <c r="L882" t="s">
        <v>2616</v>
      </c>
      <c r="M882" t="s">
        <v>62</v>
      </c>
      <c r="N882" t="s">
        <v>2603</v>
      </c>
      <c r="O882" t="s">
        <v>122</v>
      </c>
      <c r="P882" t="s">
        <v>48</v>
      </c>
      <c r="Q882" t="s">
        <v>141</v>
      </c>
      <c r="R882">
        <v>5</v>
      </c>
      <c r="S882">
        <v>2499</v>
      </c>
      <c r="T882">
        <v>0.15</v>
      </c>
      <c r="U882">
        <v>10620.75</v>
      </c>
      <c r="V882">
        <v>7250</v>
      </c>
      <c r="W882">
        <v>3370.75</v>
      </c>
      <c r="X882" t="s">
        <v>76</v>
      </c>
      <c r="Y882" t="s">
        <v>68</v>
      </c>
      <c r="Z882" t="s">
        <v>163</v>
      </c>
      <c r="AA882" t="s">
        <v>169</v>
      </c>
      <c r="AB882">
        <v>3.7</v>
      </c>
      <c r="AC882">
        <v>100</v>
      </c>
      <c r="AD882">
        <v>423.57</v>
      </c>
      <c r="AE882">
        <f t="shared" si="26"/>
        <v>2847.18</v>
      </c>
      <c r="AF882" t="str">
        <f t="shared" si="27"/>
        <v>2025-04</v>
      </c>
      <c r="AG882">
        <f>SUBTOTAL(103,A882)</f>
        <v>1</v>
      </c>
    </row>
    <row r="883" spans="1:33" x14ac:dyDescent="0.3">
      <c r="A883" t="s">
        <v>3496</v>
      </c>
      <c r="B883" s="13">
        <v>45769</v>
      </c>
      <c r="C883">
        <v>2025</v>
      </c>
      <c r="D883">
        <v>4</v>
      </c>
      <c r="E883" t="s">
        <v>3328</v>
      </c>
      <c r="F883" t="s">
        <v>3329</v>
      </c>
      <c r="G883" t="s">
        <v>821</v>
      </c>
      <c r="H883" t="s">
        <v>822</v>
      </c>
      <c r="I883" t="s">
        <v>86</v>
      </c>
      <c r="J883">
        <v>60</v>
      </c>
      <c r="K883" t="s">
        <v>83</v>
      </c>
      <c r="L883" t="s">
        <v>100</v>
      </c>
      <c r="M883" t="s">
        <v>56</v>
      </c>
      <c r="N883" t="s">
        <v>2590</v>
      </c>
      <c r="O883" t="s">
        <v>127</v>
      </c>
      <c r="P883" t="s">
        <v>51</v>
      </c>
      <c r="Q883" t="s">
        <v>148</v>
      </c>
      <c r="R883">
        <v>2</v>
      </c>
      <c r="S883">
        <v>1599</v>
      </c>
      <c r="T883">
        <v>0.05</v>
      </c>
      <c r="U883">
        <v>0</v>
      </c>
      <c r="V883">
        <v>0</v>
      </c>
      <c r="W883">
        <v>0</v>
      </c>
      <c r="X883" t="s">
        <v>74</v>
      </c>
      <c r="Y883" t="s">
        <v>71</v>
      </c>
      <c r="Z883" t="s">
        <v>158</v>
      </c>
      <c r="AA883" t="s">
        <v>171</v>
      </c>
      <c r="AB883">
        <v>3.6</v>
      </c>
      <c r="AC883">
        <v>100</v>
      </c>
      <c r="AD883">
        <v>326.33</v>
      </c>
      <c r="AE883">
        <f t="shared" si="26"/>
        <v>-426.33</v>
      </c>
      <c r="AF883" t="str">
        <f t="shared" si="27"/>
        <v>2025-04</v>
      </c>
      <c r="AG883">
        <f>SUBTOTAL(103,A883)</f>
        <v>1</v>
      </c>
    </row>
    <row r="884" spans="1:33" x14ac:dyDescent="0.3">
      <c r="A884" t="s">
        <v>3497</v>
      </c>
      <c r="B884" s="13">
        <v>45769</v>
      </c>
      <c r="C884">
        <v>2025</v>
      </c>
      <c r="D884">
        <v>4</v>
      </c>
      <c r="E884" t="s">
        <v>3328</v>
      </c>
      <c r="F884" t="s">
        <v>3329</v>
      </c>
      <c r="G884" t="s">
        <v>1735</v>
      </c>
      <c r="H884" t="s">
        <v>1736</v>
      </c>
      <c r="I884" t="s">
        <v>86</v>
      </c>
      <c r="J884">
        <v>23</v>
      </c>
      <c r="K884" t="s">
        <v>80</v>
      </c>
      <c r="L884" t="s">
        <v>2637</v>
      </c>
      <c r="M884" t="s">
        <v>64</v>
      </c>
      <c r="N884" t="s">
        <v>2647</v>
      </c>
      <c r="O884" t="s">
        <v>133</v>
      </c>
      <c r="P884" t="s">
        <v>50</v>
      </c>
      <c r="Q884" t="s">
        <v>145</v>
      </c>
      <c r="R884">
        <v>2</v>
      </c>
      <c r="S884">
        <v>799</v>
      </c>
      <c r="T884">
        <v>0.05</v>
      </c>
      <c r="U884">
        <v>1518.1</v>
      </c>
      <c r="V884">
        <v>780</v>
      </c>
      <c r="W884">
        <v>738.1</v>
      </c>
      <c r="X884" t="s">
        <v>75</v>
      </c>
      <c r="Y884" t="s">
        <v>68</v>
      </c>
      <c r="Z884" t="s">
        <v>158</v>
      </c>
      <c r="AA884" t="s">
        <v>171</v>
      </c>
      <c r="AB884">
        <v>3.5</v>
      </c>
      <c r="AC884">
        <v>50</v>
      </c>
      <c r="AD884">
        <v>128.06</v>
      </c>
      <c r="AE884">
        <f t="shared" si="26"/>
        <v>560.04</v>
      </c>
      <c r="AF884" t="str">
        <f t="shared" si="27"/>
        <v>2025-04</v>
      </c>
      <c r="AG884">
        <f>SUBTOTAL(103,A884)</f>
        <v>1</v>
      </c>
    </row>
    <row r="885" spans="1:33" x14ac:dyDescent="0.3">
      <c r="A885" t="s">
        <v>3498</v>
      </c>
      <c r="B885" s="13">
        <v>45769</v>
      </c>
      <c r="C885">
        <v>2025</v>
      </c>
      <c r="D885">
        <v>4</v>
      </c>
      <c r="E885" t="s">
        <v>3328</v>
      </c>
      <c r="F885" t="s">
        <v>3329</v>
      </c>
      <c r="G885" t="s">
        <v>2167</v>
      </c>
      <c r="H885" t="s">
        <v>2168</v>
      </c>
      <c r="I885" t="s">
        <v>85</v>
      </c>
      <c r="J885">
        <v>48</v>
      </c>
      <c r="K885" t="s">
        <v>83</v>
      </c>
      <c r="L885" t="s">
        <v>2679</v>
      </c>
      <c r="M885" t="s">
        <v>60</v>
      </c>
      <c r="N885" t="s">
        <v>2574</v>
      </c>
      <c r="O885" t="s">
        <v>130</v>
      </c>
      <c r="P885" t="s">
        <v>50</v>
      </c>
      <c r="Q885" t="s">
        <v>53</v>
      </c>
      <c r="R885">
        <v>1</v>
      </c>
      <c r="S885">
        <v>1199</v>
      </c>
      <c r="T885">
        <v>0.15</v>
      </c>
      <c r="U885">
        <v>1019.15</v>
      </c>
      <c r="V885">
        <v>550</v>
      </c>
      <c r="W885">
        <v>469.15</v>
      </c>
      <c r="X885" t="s">
        <v>73</v>
      </c>
      <c r="Y885" t="s">
        <v>68</v>
      </c>
      <c r="Z885" t="s">
        <v>162</v>
      </c>
      <c r="AA885" t="s">
        <v>168</v>
      </c>
      <c r="AB885">
        <v>4.4000000000000004</v>
      </c>
      <c r="AC885">
        <v>60</v>
      </c>
      <c r="AD885">
        <v>24.2</v>
      </c>
      <c r="AE885">
        <f t="shared" si="26"/>
        <v>384.95</v>
      </c>
      <c r="AF885" t="str">
        <f t="shared" si="27"/>
        <v>2025-04</v>
      </c>
      <c r="AG885">
        <f>SUBTOTAL(103,A885)</f>
        <v>1</v>
      </c>
    </row>
    <row r="886" spans="1:33" x14ac:dyDescent="0.3">
      <c r="A886" t="s">
        <v>3499</v>
      </c>
      <c r="B886" s="13">
        <v>45769</v>
      </c>
      <c r="C886">
        <v>2025</v>
      </c>
      <c r="D886">
        <v>4</v>
      </c>
      <c r="E886" t="s">
        <v>3328</v>
      </c>
      <c r="F886" t="s">
        <v>3329</v>
      </c>
      <c r="G886" t="s">
        <v>1355</v>
      </c>
      <c r="H886" t="s">
        <v>1356</v>
      </c>
      <c r="I886" t="s">
        <v>86</v>
      </c>
      <c r="J886">
        <v>41</v>
      </c>
      <c r="K886" t="s">
        <v>82</v>
      </c>
      <c r="L886" t="s">
        <v>2661</v>
      </c>
      <c r="M886" t="s">
        <v>58</v>
      </c>
      <c r="N886" t="s">
        <v>2596</v>
      </c>
      <c r="O886" t="s">
        <v>124</v>
      </c>
      <c r="P886" t="s">
        <v>51</v>
      </c>
      <c r="Q886" t="s">
        <v>147</v>
      </c>
      <c r="R886">
        <v>1</v>
      </c>
      <c r="S886">
        <v>2299</v>
      </c>
      <c r="T886">
        <v>0.1</v>
      </c>
      <c r="U886">
        <v>2069.1</v>
      </c>
      <c r="V886">
        <v>1200</v>
      </c>
      <c r="W886">
        <v>869.1</v>
      </c>
      <c r="X886" t="s">
        <v>76</v>
      </c>
      <c r="Y886" t="s">
        <v>68</v>
      </c>
      <c r="Z886" t="s">
        <v>159</v>
      </c>
      <c r="AA886" t="s">
        <v>166</v>
      </c>
      <c r="AB886">
        <v>4.8</v>
      </c>
      <c r="AC886">
        <v>120</v>
      </c>
      <c r="AD886">
        <v>143.22</v>
      </c>
      <c r="AE886">
        <f t="shared" si="26"/>
        <v>605.88</v>
      </c>
      <c r="AF886" t="str">
        <f t="shared" si="27"/>
        <v>2025-04</v>
      </c>
      <c r="AG886">
        <f>SUBTOTAL(103,A886)</f>
        <v>1</v>
      </c>
    </row>
    <row r="887" spans="1:33" x14ac:dyDescent="0.3">
      <c r="A887" t="s">
        <v>3500</v>
      </c>
      <c r="B887" s="13">
        <v>45769</v>
      </c>
      <c r="C887">
        <v>2025</v>
      </c>
      <c r="D887">
        <v>4</v>
      </c>
      <c r="E887" t="s">
        <v>3328</v>
      </c>
      <c r="F887" t="s">
        <v>3329</v>
      </c>
      <c r="G887" t="s">
        <v>1953</v>
      </c>
      <c r="H887" t="s">
        <v>1954</v>
      </c>
      <c r="I887" t="s">
        <v>86</v>
      </c>
      <c r="J887">
        <v>30</v>
      </c>
      <c r="K887" t="s">
        <v>81</v>
      </c>
      <c r="L887" t="s">
        <v>91</v>
      </c>
      <c r="M887" t="s">
        <v>55</v>
      </c>
      <c r="N887" t="s">
        <v>2584</v>
      </c>
      <c r="O887" t="s">
        <v>121</v>
      </c>
      <c r="P887" t="s">
        <v>50</v>
      </c>
      <c r="Q887" t="s">
        <v>144</v>
      </c>
      <c r="R887">
        <v>2</v>
      </c>
      <c r="S887">
        <v>2999</v>
      </c>
      <c r="T887">
        <v>0.2</v>
      </c>
      <c r="U887">
        <v>4798.3999999999996</v>
      </c>
      <c r="V887">
        <v>3400</v>
      </c>
      <c r="W887">
        <v>1398.4</v>
      </c>
      <c r="X887" t="s">
        <v>74</v>
      </c>
      <c r="Y887" t="s">
        <v>68</v>
      </c>
      <c r="Z887" t="s">
        <v>158</v>
      </c>
      <c r="AA887" t="s">
        <v>171</v>
      </c>
      <c r="AB887">
        <v>3.6</v>
      </c>
      <c r="AC887">
        <v>60</v>
      </c>
      <c r="AD887">
        <v>465.36</v>
      </c>
      <c r="AE887">
        <f t="shared" si="26"/>
        <v>873.04000000000008</v>
      </c>
      <c r="AF887" t="str">
        <f t="shared" si="27"/>
        <v>2025-04</v>
      </c>
      <c r="AG887">
        <f>SUBTOTAL(103,A887)</f>
        <v>1</v>
      </c>
    </row>
    <row r="888" spans="1:33" x14ac:dyDescent="0.3">
      <c r="A888" t="s">
        <v>3501</v>
      </c>
      <c r="B888" s="13">
        <v>45769</v>
      </c>
      <c r="C888">
        <v>2025</v>
      </c>
      <c r="D888">
        <v>4</v>
      </c>
      <c r="E888" t="s">
        <v>3328</v>
      </c>
      <c r="F888" t="s">
        <v>3329</v>
      </c>
      <c r="G888" t="s">
        <v>1737</v>
      </c>
      <c r="H888" t="s">
        <v>1738</v>
      </c>
      <c r="I888" t="s">
        <v>86</v>
      </c>
      <c r="J888">
        <v>52</v>
      </c>
      <c r="K888" t="s">
        <v>83</v>
      </c>
      <c r="L888" t="s">
        <v>2610</v>
      </c>
      <c r="M888" t="s">
        <v>64</v>
      </c>
      <c r="N888" t="s">
        <v>2606</v>
      </c>
      <c r="O888" t="s">
        <v>120</v>
      </c>
      <c r="P888" t="s">
        <v>49</v>
      </c>
      <c r="Q888" t="s">
        <v>140</v>
      </c>
      <c r="R888">
        <v>3</v>
      </c>
      <c r="S888">
        <v>2799</v>
      </c>
      <c r="T888">
        <v>0.2</v>
      </c>
      <c r="U888">
        <v>6717.6</v>
      </c>
      <c r="V888">
        <v>4950</v>
      </c>
      <c r="W888">
        <v>1767.6</v>
      </c>
      <c r="X888" t="s">
        <v>77</v>
      </c>
      <c r="Y888" t="s">
        <v>68</v>
      </c>
      <c r="Z888" t="s">
        <v>161</v>
      </c>
      <c r="AA888" t="s">
        <v>167</v>
      </c>
      <c r="AB888">
        <v>3.8</v>
      </c>
      <c r="AC888">
        <v>80</v>
      </c>
      <c r="AD888">
        <v>312.77999999999997</v>
      </c>
      <c r="AE888">
        <f t="shared" si="26"/>
        <v>1374.82</v>
      </c>
      <c r="AF888" t="str">
        <f t="shared" si="27"/>
        <v>2025-04</v>
      </c>
      <c r="AG888">
        <f>SUBTOTAL(103,A888)</f>
        <v>1</v>
      </c>
    </row>
    <row r="889" spans="1:33" x14ac:dyDescent="0.3">
      <c r="A889" t="s">
        <v>3502</v>
      </c>
      <c r="B889" s="13">
        <v>45769</v>
      </c>
      <c r="C889">
        <v>2025</v>
      </c>
      <c r="D889">
        <v>4</v>
      </c>
      <c r="E889" t="s">
        <v>3328</v>
      </c>
      <c r="F889" t="s">
        <v>3329</v>
      </c>
      <c r="G889" t="s">
        <v>1365</v>
      </c>
      <c r="H889" t="s">
        <v>1366</v>
      </c>
      <c r="I889" t="s">
        <v>85</v>
      </c>
      <c r="J889">
        <v>45</v>
      </c>
      <c r="K889" t="s">
        <v>82</v>
      </c>
      <c r="L889" t="s">
        <v>2646</v>
      </c>
      <c r="M889" t="s">
        <v>63</v>
      </c>
      <c r="N889" t="s">
        <v>2594</v>
      </c>
      <c r="O889" t="s">
        <v>131</v>
      </c>
      <c r="P889" t="s">
        <v>53</v>
      </c>
      <c r="Q889" t="s">
        <v>143</v>
      </c>
      <c r="R889">
        <v>2</v>
      </c>
      <c r="S889">
        <v>999</v>
      </c>
      <c r="T889">
        <v>0.15</v>
      </c>
      <c r="U889">
        <v>1698.3</v>
      </c>
      <c r="V889">
        <v>1040</v>
      </c>
      <c r="W889">
        <v>658.3</v>
      </c>
      <c r="X889" t="s">
        <v>76</v>
      </c>
      <c r="Y889" t="s">
        <v>68</v>
      </c>
      <c r="Z889" t="s">
        <v>160</v>
      </c>
      <c r="AA889" t="s">
        <v>166</v>
      </c>
      <c r="AB889">
        <v>4.2</v>
      </c>
      <c r="AC889">
        <v>100</v>
      </c>
      <c r="AD889">
        <v>73.489999999999995</v>
      </c>
      <c r="AE889">
        <f t="shared" si="26"/>
        <v>484.80999999999995</v>
      </c>
      <c r="AF889" t="str">
        <f t="shared" si="27"/>
        <v>2025-04</v>
      </c>
      <c r="AG889">
        <f>SUBTOTAL(103,A889)</f>
        <v>1</v>
      </c>
    </row>
    <row r="890" spans="1:33" x14ac:dyDescent="0.3">
      <c r="A890" t="s">
        <v>3503</v>
      </c>
      <c r="B890" s="13">
        <v>45769</v>
      </c>
      <c r="C890">
        <v>2025</v>
      </c>
      <c r="D890">
        <v>4</v>
      </c>
      <c r="E890" t="s">
        <v>3328</v>
      </c>
      <c r="F890" t="s">
        <v>3329</v>
      </c>
      <c r="G890" t="s">
        <v>793</v>
      </c>
      <c r="H890" t="s">
        <v>794</v>
      </c>
      <c r="I890" t="s">
        <v>85</v>
      </c>
      <c r="J890">
        <v>32</v>
      </c>
      <c r="K890" t="s">
        <v>81</v>
      </c>
      <c r="L890" t="s">
        <v>59</v>
      </c>
      <c r="M890" t="s">
        <v>59</v>
      </c>
      <c r="N890" t="s">
        <v>2647</v>
      </c>
      <c r="O890" t="s">
        <v>133</v>
      </c>
      <c r="P890" t="s">
        <v>50</v>
      </c>
      <c r="Q890" t="s">
        <v>145</v>
      </c>
      <c r="R890">
        <v>4</v>
      </c>
      <c r="S890">
        <v>799</v>
      </c>
      <c r="T890">
        <v>0.15</v>
      </c>
      <c r="U890">
        <v>0</v>
      </c>
      <c r="V890">
        <v>0</v>
      </c>
      <c r="W890">
        <v>0</v>
      </c>
      <c r="X890" t="s">
        <v>75</v>
      </c>
      <c r="Y890" t="s">
        <v>71</v>
      </c>
      <c r="Z890" t="s">
        <v>160</v>
      </c>
      <c r="AA890" t="s">
        <v>168</v>
      </c>
      <c r="AB890">
        <v>3.6</v>
      </c>
      <c r="AC890">
        <v>80</v>
      </c>
      <c r="AD890">
        <v>203.02</v>
      </c>
      <c r="AE890">
        <f t="shared" si="26"/>
        <v>-283.02</v>
      </c>
      <c r="AF890" t="str">
        <f t="shared" si="27"/>
        <v>2025-04</v>
      </c>
      <c r="AG890">
        <f>SUBTOTAL(103,A890)</f>
        <v>1</v>
      </c>
    </row>
    <row r="891" spans="1:33" x14ac:dyDescent="0.3">
      <c r="A891" t="s">
        <v>3504</v>
      </c>
      <c r="B891" s="13">
        <v>45770</v>
      </c>
      <c r="C891">
        <v>2025</v>
      </c>
      <c r="D891">
        <v>4</v>
      </c>
      <c r="E891" t="s">
        <v>3328</v>
      </c>
      <c r="F891" t="s">
        <v>3329</v>
      </c>
      <c r="G891" t="s">
        <v>301</v>
      </c>
      <c r="H891" t="s">
        <v>302</v>
      </c>
      <c r="I891" t="s">
        <v>86</v>
      </c>
      <c r="J891">
        <v>18</v>
      </c>
      <c r="K891" t="s">
        <v>80</v>
      </c>
      <c r="L891" t="s">
        <v>2610</v>
      </c>
      <c r="M891" t="s">
        <v>64</v>
      </c>
      <c r="N891" t="s">
        <v>2592</v>
      </c>
      <c r="O891" t="s">
        <v>115</v>
      </c>
      <c r="P891" t="s">
        <v>48</v>
      </c>
      <c r="Q891" t="s">
        <v>137</v>
      </c>
      <c r="R891">
        <v>4</v>
      </c>
      <c r="S891">
        <v>12999</v>
      </c>
      <c r="T891">
        <v>0</v>
      </c>
      <c r="U891">
        <v>51996</v>
      </c>
      <c r="V891">
        <v>36000</v>
      </c>
      <c r="W891">
        <v>15996</v>
      </c>
      <c r="X891" t="s">
        <v>74</v>
      </c>
      <c r="Y891" t="s">
        <v>68</v>
      </c>
      <c r="Z891" t="s">
        <v>161</v>
      </c>
      <c r="AA891" t="s">
        <v>168</v>
      </c>
      <c r="AB891">
        <v>4.8</v>
      </c>
      <c r="AC891">
        <v>50</v>
      </c>
      <c r="AD891">
        <v>5022.71</v>
      </c>
      <c r="AE891">
        <f t="shared" si="26"/>
        <v>10923.29</v>
      </c>
      <c r="AF891" t="str">
        <f t="shared" si="27"/>
        <v>2025-04</v>
      </c>
      <c r="AG891">
        <f>SUBTOTAL(103,A891)</f>
        <v>1</v>
      </c>
    </row>
    <row r="892" spans="1:33" x14ac:dyDescent="0.3">
      <c r="A892" t="s">
        <v>3505</v>
      </c>
      <c r="B892" s="13">
        <v>45770</v>
      </c>
      <c r="C892">
        <v>2025</v>
      </c>
      <c r="D892">
        <v>4</v>
      </c>
      <c r="E892" t="s">
        <v>3328</v>
      </c>
      <c r="F892" t="s">
        <v>3329</v>
      </c>
      <c r="G892" t="s">
        <v>1939</v>
      </c>
      <c r="H892" t="s">
        <v>1940</v>
      </c>
      <c r="I892" t="s">
        <v>85</v>
      </c>
      <c r="J892">
        <v>22</v>
      </c>
      <c r="K892" t="s">
        <v>80</v>
      </c>
      <c r="L892" t="s">
        <v>2599</v>
      </c>
      <c r="M892" t="s">
        <v>62</v>
      </c>
      <c r="N892" t="s">
        <v>2665</v>
      </c>
      <c r="O892" t="s">
        <v>128</v>
      </c>
      <c r="P892" t="s">
        <v>53</v>
      </c>
      <c r="Q892" t="s">
        <v>143</v>
      </c>
      <c r="R892">
        <v>2</v>
      </c>
      <c r="S892">
        <v>1499</v>
      </c>
      <c r="T892">
        <v>0</v>
      </c>
      <c r="U892">
        <v>2998</v>
      </c>
      <c r="V892">
        <v>1600</v>
      </c>
      <c r="W892">
        <v>1398</v>
      </c>
      <c r="X892" t="s">
        <v>77</v>
      </c>
      <c r="Y892" t="s">
        <v>68</v>
      </c>
      <c r="Z892" t="s">
        <v>158</v>
      </c>
      <c r="AA892" t="s">
        <v>168</v>
      </c>
      <c r="AB892">
        <v>2.8</v>
      </c>
      <c r="AC892">
        <v>50</v>
      </c>
      <c r="AD892">
        <v>311.35000000000002</v>
      </c>
      <c r="AE892">
        <f t="shared" si="26"/>
        <v>1036.6500000000001</v>
      </c>
      <c r="AF892" t="str">
        <f t="shared" si="27"/>
        <v>2025-04</v>
      </c>
      <c r="AG892">
        <f>SUBTOTAL(103,A892)</f>
        <v>1</v>
      </c>
    </row>
    <row r="893" spans="1:33" x14ac:dyDescent="0.3">
      <c r="A893" t="s">
        <v>3506</v>
      </c>
      <c r="B893" s="13">
        <v>45770</v>
      </c>
      <c r="C893">
        <v>2025</v>
      </c>
      <c r="D893">
        <v>4</v>
      </c>
      <c r="E893" t="s">
        <v>3328</v>
      </c>
      <c r="F893" t="s">
        <v>3329</v>
      </c>
      <c r="G893" t="s">
        <v>567</v>
      </c>
      <c r="H893" t="s">
        <v>568</v>
      </c>
      <c r="I893" t="s">
        <v>86</v>
      </c>
      <c r="J893">
        <v>34</v>
      </c>
      <c r="K893" t="s">
        <v>81</v>
      </c>
      <c r="L893" t="s">
        <v>2589</v>
      </c>
      <c r="M893" t="s">
        <v>61</v>
      </c>
      <c r="N893" t="s">
        <v>2644</v>
      </c>
      <c r="O893" t="s">
        <v>126</v>
      </c>
      <c r="P893" t="s">
        <v>50</v>
      </c>
      <c r="Q893" t="s">
        <v>145</v>
      </c>
      <c r="R893">
        <v>1</v>
      </c>
      <c r="S893">
        <v>1799</v>
      </c>
      <c r="T893">
        <v>0.2</v>
      </c>
      <c r="U893">
        <v>1439.2</v>
      </c>
      <c r="V893">
        <v>950</v>
      </c>
      <c r="W893">
        <v>489.2</v>
      </c>
      <c r="X893" t="s">
        <v>73</v>
      </c>
      <c r="Y893" t="s">
        <v>69</v>
      </c>
      <c r="Z893" t="s">
        <v>158</v>
      </c>
      <c r="AA893" t="s">
        <v>167</v>
      </c>
      <c r="AB893">
        <v>3.9</v>
      </c>
      <c r="AC893">
        <v>120</v>
      </c>
      <c r="AD893">
        <v>50.66</v>
      </c>
      <c r="AE893">
        <f t="shared" si="26"/>
        <v>318.53999999999996</v>
      </c>
      <c r="AF893" t="str">
        <f t="shared" si="27"/>
        <v>2025-04</v>
      </c>
      <c r="AG893">
        <f>SUBTOTAL(103,A893)</f>
        <v>1</v>
      </c>
    </row>
    <row r="894" spans="1:33" x14ac:dyDescent="0.3">
      <c r="A894" t="s">
        <v>3507</v>
      </c>
      <c r="B894" s="13">
        <v>45770</v>
      </c>
      <c r="C894">
        <v>2025</v>
      </c>
      <c r="D894">
        <v>4</v>
      </c>
      <c r="E894" t="s">
        <v>3328</v>
      </c>
      <c r="F894" t="s">
        <v>3329</v>
      </c>
      <c r="G894" t="s">
        <v>1821</v>
      </c>
      <c r="H894" t="s">
        <v>1822</v>
      </c>
      <c r="I894" t="s">
        <v>85</v>
      </c>
      <c r="J894">
        <v>36</v>
      </c>
      <c r="K894" t="s">
        <v>82</v>
      </c>
      <c r="L894" t="s">
        <v>2623</v>
      </c>
      <c r="M894" t="s">
        <v>61</v>
      </c>
      <c r="N894" t="s">
        <v>2574</v>
      </c>
      <c r="O894" t="s">
        <v>130</v>
      </c>
      <c r="P894" t="s">
        <v>50</v>
      </c>
      <c r="Q894" t="s">
        <v>53</v>
      </c>
      <c r="R894">
        <v>1</v>
      </c>
      <c r="S894">
        <v>1199</v>
      </c>
      <c r="T894">
        <v>0.1</v>
      </c>
      <c r="U894">
        <v>1079.0999999999999</v>
      </c>
      <c r="V894">
        <v>550</v>
      </c>
      <c r="W894">
        <v>529.1</v>
      </c>
      <c r="X894" t="s">
        <v>73</v>
      </c>
      <c r="Y894" t="s">
        <v>68</v>
      </c>
      <c r="Z894" t="s">
        <v>158</v>
      </c>
      <c r="AA894" t="s">
        <v>166</v>
      </c>
      <c r="AB894">
        <v>4.9000000000000004</v>
      </c>
      <c r="AC894">
        <v>50</v>
      </c>
      <c r="AD894">
        <v>28.85</v>
      </c>
      <c r="AE894">
        <f t="shared" si="26"/>
        <v>450.25</v>
      </c>
      <c r="AF894" t="str">
        <f t="shared" si="27"/>
        <v>2025-04</v>
      </c>
      <c r="AG894">
        <f>SUBTOTAL(103,A894)</f>
        <v>1</v>
      </c>
    </row>
    <row r="895" spans="1:33" x14ac:dyDescent="0.3">
      <c r="A895" t="s">
        <v>3508</v>
      </c>
      <c r="B895" s="13">
        <v>45770</v>
      </c>
      <c r="C895">
        <v>2025</v>
      </c>
      <c r="D895">
        <v>4</v>
      </c>
      <c r="E895" t="s">
        <v>3328</v>
      </c>
      <c r="F895" t="s">
        <v>3329</v>
      </c>
      <c r="G895" t="s">
        <v>1113</v>
      </c>
      <c r="H895" t="s">
        <v>1114</v>
      </c>
      <c r="I895" t="s">
        <v>86</v>
      </c>
      <c r="J895">
        <v>19</v>
      </c>
      <c r="K895" t="s">
        <v>80</v>
      </c>
      <c r="L895" t="s">
        <v>2634</v>
      </c>
      <c r="M895" t="s">
        <v>56</v>
      </c>
      <c r="N895" t="s">
        <v>2590</v>
      </c>
      <c r="O895" t="s">
        <v>127</v>
      </c>
      <c r="P895" t="s">
        <v>51</v>
      </c>
      <c r="Q895" t="s">
        <v>148</v>
      </c>
      <c r="R895">
        <v>2</v>
      </c>
      <c r="S895">
        <v>1599</v>
      </c>
      <c r="T895">
        <v>0.2</v>
      </c>
      <c r="U895">
        <v>2558.4</v>
      </c>
      <c r="V895">
        <v>1600</v>
      </c>
      <c r="W895">
        <v>958.4</v>
      </c>
      <c r="X895" t="s">
        <v>74</v>
      </c>
      <c r="Y895" t="s">
        <v>68</v>
      </c>
      <c r="Z895" t="s">
        <v>158</v>
      </c>
      <c r="AA895" t="s">
        <v>169</v>
      </c>
      <c r="AB895">
        <v>4.8</v>
      </c>
      <c r="AC895">
        <v>120</v>
      </c>
      <c r="AD895">
        <v>109.76</v>
      </c>
      <c r="AE895">
        <f t="shared" si="26"/>
        <v>728.64</v>
      </c>
      <c r="AF895" t="str">
        <f t="shared" si="27"/>
        <v>2025-04</v>
      </c>
      <c r="AG895">
        <f>SUBTOTAL(103,A895)</f>
        <v>1</v>
      </c>
    </row>
    <row r="896" spans="1:33" x14ac:dyDescent="0.3">
      <c r="A896" t="s">
        <v>3509</v>
      </c>
      <c r="B896" s="13">
        <v>45770</v>
      </c>
      <c r="C896">
        <v>2025</v>
      </c>
      <c r="D896">
        <v>4</v>
      </c>
      <c r="E896" t="s">
        <v>3328</v>
      </c>
      <c r="F896" t="s">
        <v>3329</v>
      </c>
      <c r="G896" t="s">
        <v>591</v>
      </c>
      <c r="H896" t="s">
        <v>592</v>
      </c>
      <c r="I896" t="s">
        <v>86</v>
      </c>
      <c r="J896">
        <v>43</v>
      </c>
      <c r="K896" t="s">
        <v>82</v>
      </c>
      <c r="L896" t="s">
        <v>2623</v>
      </c>
      <c r="M896" t="s">
        <v>61</v>
      </c>
      <c r="N896" t="s">
        <v>2594</v>
      </c>
      <c r="O896" t="s">
        <v>131</v>
      </c>
      <c r="P896" t="s">
        <v>53</v>
      </c>
      <c r="Q896" t="s">
        <v>143</v>
      </c>
      <c r="R896">
        <v>2</v>
      </c>
      <c r="S896">
        <v>999</v>
      </c>
      <c r="T896">
        <v>0</v>
      </c>
      <c r="U896">
        <v>1998</v>
      </c>
      <c r="V896">
        <v>1040</v>
      </c>
      <c r="W896">
        <v>958</v>
      </c>
      <c r="X896" t="s">
        <v>73</v>
      </c>
      <c r="Y896" t="s">
        <v>68</v>
      </c>
      <c r="Z896" t="s">
        <v>160</v>
      </c>
      <c r="AA896" t="s">
        <v>166</v>
      </c>
      <c r="AB896">
        <v>4.5</v>
      </c>
      <c r="AC896">
        <v>60</v>
      </c>
      <c r="AD896">
        <v>66.11</v>
      </c>
      <c r="AE896">
        <f t="shared" si="26"/>
        <v>831.89</v>
      </c>
      <c r="AF896" t="str">
        <f t="shared" si="27"/>
        <v>2025-04</v>
      </c>
      <c r="AG896">
        <f>SUBTOTAL(103,A896)</f>
        <v>1</v>
      </c>
    </row>
    <row r="897" spans="1:33" x14ac:dyDescent="0.3">
      <c r="A897" t="s">
        <v>3510</v>
      </c>
      <c r="B897" s="13">
        <v>45770</v>
      </c>
      <c r="C897">
        <v>2025</v>
      </c>
      <c r="D897">
        <v>4</v>
      </c>
      <c r="E897" t="s">
        <v>3328</v>
      </c>
      <c r="F897" t="s">
        <v>3329</v>
      </c>
      <c r="G897" t="s">
        <v>331</v>
      </c>
      <c r="H897" t="s">
        <v>332</v>
      </c>
      <c r="I897" t="s">
        <v>86</v>
      </c>
      <c r="J897">
        <v>32</v>
      </c>
      <c r="K897" t="s">
        <v>81</v>
      </c>
      <c r="L897" t="s">
        <v>2674</v>
      </c>
      <c r="M897" t="s">
        <v>58</v>
      </c>
      <c r="N897" t="s">
        <v>2590</v>
      </c>
      <c r="O897" t="s">
        <v>127</v>
      </c>
      <c r="P897" t="s">
        <v>51</v>
      </c>
      <c r="Q897" t="s">
        <v>148</v>
      </c>
      <c r="R897">
        <v>2</v>
      </c>
      <c r="S897">
        <v>1599</v>
      </c>
      <c r="T897">
        <v>0</v>
      </c>
      <c r="U897">
        <v>3198</v>
      </c>
      <c r="V897">
        <v>1600</v>
      </c>
      <c r="W897">
        <v>1598</v>
      </c>
      <c r="X897" t="s">
        <v>73</v>
      </c>
      <c r="Y897" t="s">
        <v>68</v>
      </c>
      <c r="Z897" t="s">
        <v>162</v>
      </c>
      <c r="AA897" t="s">
        <v>167</v>
      </c>
      <c r="AB897">
        <v>3.5</v>
      </c>
      <c r="AC897">
        <v>60</v>
      </c>
      <c r="AD897">
        <v>206.89</v>
      </c>
      <c r="AE897">
        <f t="shared" si="26"/>
        <v>1331.1100000000001</v>
      </c>
      <c r="AF897" t="str">
        <f t="shared" si="27"/>
        <v>2025-04</v>
      </c>
      <c r="AG897">
        <f>SUBTOTAL(103,A897)</f>
        <v>1</v>
      </c>
    </row>
    <row r="898" spans="1:33" x14ac:dyDescent="0.3">
      <c r="A898" t="s">
        <v>3511</v>
      </c>
      <c r="B898" s="13">
        <v>45771</v>
      </c>
      <c r="C898">
        <v>2025</v>
      </c>
      <c r="D898">
        <v>4</v>
      </c>
      <c r="E898" t="s">
        <v>3328</v>
      </c>
      <c r="F898" t="s">
        <v>3329</v>
      </c>
      <c r="G898" t="s">
        <v>997</v>
      </c>
      <c r="H898" t="s">
        <v>998</v>
      </c>
      <c r="I898" t="s">
        <v>86</v>
      </c>
      <c r="J898">
        <v>22</v>
      </c>
      <c r="K898" t="s">
        <v>80</v>
      </c>
      <c r="L898" t="s">
        <v>92</v>
      </c>
      <c r="M898" t="s">
        <v>59</v>
      </c>
      <c r="N898" t="s">
        <v>2580</v>
      </c>
      <c r="O898" t="s">
        <v>118</v>
      </c>
      <c r="P898" t="s">
        <v>48</v>
      </c>
      <c r="Q898" t="s">
        <v>142</v>
      </c>
      <c r="R898">
        <v>2</v>
      </c>
      <c r="S898">
        <v>3999</v>
      </c>
      <c r="T898">
        <v>0.05</v>
      </c>
      <c r="U898">
        <v>7598.1</v>
      </c>
      <c r="V898">
        <v>4800</v>
      </c>
      <c r="W898">
        <v>2798.1</v>
      </c>
      <c r="X898" t="s">
        <v>74</v>
      </c>
      <c r="Y898" t="s">
        <v>68</v>
      </c>
      <c r="Z898" t="s">
        <v>160</v>
      </c>
      <c r="AA898" t="s">
        <v>168</v>
      </c>
      <c r="AB898">
        <v>3</v>
      </c>
      <c r="AC898">
        <v>80</v>
      </c>
      <c r="AD898">
        <v>327.87</v>
      </c>
      <c r="AE898">
        <f t="shared" ref="AE898:AE961" si="28">W898-AC898-AD898</f>
        <v>2390.23</v>
      </c>
      <c r="AF898" t="str">
        <f t="shared" ref="AF898:AF961" si="29">C898&amp;"-"&amp;TEXT(D898,"00")</f>
        <v>2025-04</v>
      </c>
      <c r="AG898">
        <f>SUBTOTAL(103,A898)</f>
        <v>1</v>
      </c>
    </row>
    <row r="899" spans="1:33" x14ac:dyDescent="0.3">
      <c r="A899" t="s">
        <v>3512</v>
      </c>
      <c r="B899" s="13">
        <v>45771</v>
      </c>
      <c r="C899">
        <v>2025</v>
      </c>
      <c r="D899">
        <v>4</v>
      </c>
      <c r="E899" t="s">
        <v>3328</v>
      </c>
      <c r="F899" t="s">
        <v>3329</v>
      </c>
      <c r="G899" t="s">
        <v>411</v>
      </c>
      <c r="H899" t="s">
        <v>412</v>
      </c>
      <c r="I899" t="s">
        <v>86</v>
      </c>
      <c r="J899">
        <v>39</v>
      </c>
      <c r="K899" t="s">
        <v>82</v>
      </c>
      <c r="L899" t="s">
        <v>2586</v>
      </c>
      <c r="M899" t="s">
        <v>62</v>
      </c>
      <c r="N899" t="s">
        <v>2630</v>
      </c>
      <c r="O899" t="s">
        <v>123</v>
      </c>
      <c r="P899" t="s">
        <v>52</v>
      </c>
      <c r="Q899" t="s">
        <v>146</v>
      </c>
      <c r="R899">
        <v>1</v>
      </c>
      <c r="S899">
        <v>2499</v>
      </c>
      <c r="T899">
        <v>0.15</v>
      </c>
      <c r="U899">
        <v>2124.15</v>
      </c>
      <c r="V899">
        <v>1400</v>
      </c>
      <c r="W899">
        <v>724.15</v>
      </c>
      <c r="X899" t="s">
        <v>73</v>
      </c>
      <c r="Y899" t="s">
        <v>68</v>
      </c>
      <c r="Z899" t="s">
        <v>159</v>
      </c>
      <c r="AA899" t="s">
        <v>169</v>
      </c>
      <c r="AB899">
        <v>3.8</v>
      </c>
      <c r="AC899">
        <v>80</v>
      </c>
      <c r="AD899">
        <v>253.65</v>
      </c>
      <c r="AE899">
        <f t="shared" si="28"/>
        <v>390.5</v>
      </c>
      <c r="AF899" t="str">
        <f t="shared" si="29"/>
        <v>2025-04</v>
      </c>
      <c r="AG899">
        <f>SUBTOTAL(103,A899)</f>
        <v>1</v>
      </c>
    </row>
    <row r="900" spans="1:33" x14ac:dyDescent="0.3">
      <c r="A900" t="s">
        <v>3513</v>
      </c>
      <c r="B900" s="13">
        <v>45771</v>
      </c>
      <c r="C900">
        <v>2025</v>
      </c>
      <c r="D900">
        <v>4</v>
      </c>
      <c r="E900" t="s">
        <v>3328</v>
      </c>
      <c r="F900" t="s">
        <v>3329</v>
      </c>
      <c r="G900" t="s">
        <v>1237</v>
      </c>
      <c r="H900" t="s">
        <v>1238</v>
      </c>
      <c r="I900" t="s">
        <v>86</v>
      </c>
      <c r="J900">
        <v>41</v>
      </c>
      <c r="K900" t="s">
        <v>82</v>
      </c>
      <c r="L900" t="s">
        <v>96</v>
      </c>
      <c r="M900" t="s">
        <v>55</v>
      </c>
      <c r="N900" t="s">
        <v>2647</v>
      </c>
      <c r="O900" t="s">
        <v>133</v>
      </c>
      <c r="P900" t="s">
        <v>50</v>
      </c>
      <c r="Q900" t="s">
        <v>145</v>
      </c>
      <c r="R900">
        <v>2</v>
      </c>
      <c r="S900">
        <v>799</v>
      </c>
      <c r="T900">
        <v>0.15</v>
      </c>
      <c r="U900">
        <v>1358.3</v>
      </c>
      <c r="V900">
        <v>780</v>
      </c>
      <c r="W900">
        <v>578.29999999999995</v>
      </c>
      <c r="X900" t="s">
        <v>77</v>
      </c>
      <c r="Y900" t="s">
        <v>68</v>
      </c>
      <c r="Z900" t="s">
        <v>163</v>
      </c>
      <c r="AA900" t="s">
        <v>171</v>
      </c>
      <c r="AB900">
        <v>4</v>
      </c>
      <c r="AC900">
        <v>60</v>
      </c>
      <c r="AD900">
        <v>83.17</v>
      </c>
      <c r="AE900">
        <f t="shared" si="28"/>
        <v>435.12999999999994</v>
      </c>
      <c r="AF900" t="str">
        <f t="shared" si="29"/>
        <v>2025-04</v>
      </c>
      <c r="AG900">
        <f>SUBTOTAL(103,A900)</f>
        <v>1</v>
      </c>
    </row>
    <row r="901" spans="1:33" x14ac:dyDescent="0.3">
      <c r="A901" t="s">
        <v>3514</v>
      </c>
      <c r="B901" s="13">
        <v>45771</v>
      </c>
      <c r="C901">
        <v>2025</v>
      </c>
      <c r="D901">
        <v>4</v>
      </c>
      <c r="E901" t="s">
        <v>3328</v>
      </c>
      <c r="F901" t="s">
        <v>3329</v>
      </c>
      <c r="G901" t="s">
        <v>487</v>
      </c>
      <c r="H901" t="s">
        <v>488</v>
      </c>
      <c r="I901" t="s">
        <v>86</v>
      </c>
      <c r="J901">
        <v>53</v>
      </c>
      <c r="K901" t="s">
        <v>83</v>
      </c>
      <c r="L901" t="s">
        <v>59</v>
      </c>
      <c r="M901" t="s">
        <v>59</v>
      </c>
      <c r="N901" t="s">
        <v>2587</v>
      </c>
      <c r="O901" t="s">
        <v>116</v>
      </c>
      <c r="P901" t="s">
        <v>48</v>
      </c>
      <c r="Q901" t="s">
        <v>138</v>
      </c>
      <c r="R901">
        <v>1</v>
      </c>
      <c r="S901">
        <v>14999</v>
      </c>
      <c r="T901">
        <v>0</v>
      </c>
      <c r="U901">
        <v>14999</v>
      </c>
      <c r="V901">
        <v>11200</v>
      </c>
      <c r="W901">
        <v>3799</v>
      </c>
      <c r="X901" t="s">
        <v>77</v>
      </c>
      <c r="Y901" t="s">
        <v>68</v>
      </c>
      <c r="Z901" t="s">
        <v>162</v>
      </c>
      <c r="AA901" t="s">
        <v>168</v>
      </c>
      <c r="AB901">
        <v>3.2</v>
      </c>
      <c r="AC901">
        <v>80</v>
      </c>
      <c r="AD901">
        <v>1097.56</v>
      </c>
      <c r="AE901">
        <f t="shared" si="28"/>
        <v>2621.44</v>
      </c>
      <c r="AF901" t="str">
        <f t="shared" si="29"/>
        <v>2025-04</v>
      </c>
      <c r="AG901">
        <f>SUBTOTAL(103,A901)</f>
        <v>1</v>
      </c>
    </row>
    <row r="902" spans="1:33" x14ac:dyDescent="0.3">
      <c r="A902" t="s">
        <v>3515</v>
      </c>
      <c r="B902" s="13">
        <v>45771</v>
      </c>
      <c r="C902">
        <v>2025</v>
      </c>
      <c r="D902">
        <v>4</v>
      </c>
      <c r="E902" t="s">
        <v>3328</v>
      </c>
      <c r="F902" t="s">
        <v>3329</v>
      </c>
      <c r="G902" t="s">
        <v>1585</v>
      </c>
      <c r="H902" t="s">
        <v>1586</v>
      </c>
      <c r="I902" t="s">
        <v>85</v>
      </c>
      <c r="J902">
        <v>34</v>
      </c>
      <c r="K902" t="s">
        <v>81</v>
      </c>
      <c r="L902" t="s">
        <v>100</v>
      </c>
      <c r="M902" t="s">
        <v>56</v>
      </c>
      <c r="N902" t="s">
        <v>2590</v>
      </c>
      <c r="O902" t="s">
        <v>127</v>
      </c>
      <c r="P902" t="s">
        <v>51</v>
      </c>
      <c r="Q902" t="s">
        <v>148</v>
      </c>
      <c r="R902">
        <v>3</v>
      </c>
      <c r="S902">
        <v>1599</v>
      </c>
      <c r="T902">
        <v>0.15</v>
      </c>
      <c r="U902">
        <v>4077.45</v>
      </c>
      <c r="V902">
        <v>2400</v>
      </c>
      <c r="W902">
        <v>1677.45</v>
      </c>
      <c r="X902" t="s">
        <v>74</v>
      </c>
      <c r="Y902" t="s">
        <v>68</v>
      </c>
      <c r="Z902" t="s">
        <v>158</v>
      </c>
      <c r="AA902" t="s">
        <v>168</v>
      </c>
      <c r="AB902">
        <v>3.9</v>
      </c>
      <c r="AC902">
        <v>80</v>
      </c>
      <c r="AD902">
        <v>267.77</v>
      </c>
      <c r="AE902">
        <f t="shared" si="28"/>
        <v>1329.68</v>
      </c>
      <c r="AF902" t="str">
        <f t="shared" si="29"/>
        <v>2025-04</v>
      </c>
      <c r="AG902">
        <f>SUBTOTAL(103,A902)</f>
        <v>1</v>
      </c>
    </row>
    <row r="903" spans="1:33" x14ac:dyDescent="0.3">
      <c r="A903" t="s">
        <v>3516</v>
      </c>
      <c r="B903" s="13">
        <v>45771</v>
      </c>
      <c r="C903">
        <v>2025</v>
      </c>
      <c r="D903">
        <v>4</v>
      </c>
      <c r="E903" t="s">
        <v>3328</v>
      </c>
      <c r="F903" t="s">
        <v>3329</v>
      </c>
      <c r="G903" t="s">
        <v>961</v>
      </c>
      <c r="H903" t="s">
        <v>962</v>
      </c>
      <c r="I903" t="s">
        <v>85</v>
      </c>
      <c r="J903">
        <v>56</v>
      </c>
      <c r="K903" t="s">
        <v>83</v>
      </c>
      <c r="L903" t="s">
        <v>2605</v>
      </c>
      <c r="M903" t="s">
        <v>60</v>
      </c>
      <c r="N903" t="s">
        <v>2653</v>
      </c>
      <c r="O903" t="s">
        <v>132</v>
      </c>
      <c r="P903" t="s">
        <v>52</v>
      </c>
      <c r="Q903" t="s">
        <v>150</v>
      </c>
      <c r="R903">
        <v>2</v>
      </c>
      <c r="S903">
        <v>899</v>
      </c>
      <c r="T903">
        <v>0</v>
      </c>
      <c r="U903">
        <v>1798</v>
      </c>
      <c r="V903">
        <v>840</v>
      </c>
      <c r="W903">
        <v>958</v>
      </c>
      <c r="X903" t="s">
        <v>73</v>
      </c>
      <c r="Y903" t="s">
        <v>68</v>
      </c>
      <c r="Z903" t="s">
        <v>161</v>
      </c>
      <c r="AA903" t="s">
        <v>166</v>
      </c>
      <c r="AB903">
        <v>4.0999999999999996</v>
      </c>
      <c r="AC903">
        <v>50</v>
      </c>
      <c r="AD903">
        <v>193.72</v>
      </c>
      <c r="AE903">
        <f t="shared" si="28"/>
        <v>714.28</v>
      </c>
      <c r="AF903" t="str">
        <f t="shared" si="29"/>
        <v>2025-04</v>
      </c>
      <c r="AG903">
        <f>SUBTOTAL(103,A903)</f>
        <v>1</v>
      </c>
    </row>
    <row r="904" spans="1:33" x14ac:dyDescent="0.3">
      <c r="A904" t="s">
        <v>3517</v>
      </c>
      <c r="B904" s="13">
        <v>45771</v>
      </c>
      <c r="C904">
        <v>2025</v>
      </c>
      <c r="D904">
        <v>4</v>
      </c>
      <c r="E904" t="s">
        <v>3328</v>
      </c>
      <c r="F904" t="s">
        <v>3329</v>
      </c>
      <c r="G904" t="s">
        <v>2337</v>
      </c>
      <c r="H904" t="s">
        <v>2338</v>
      </c>
      <c r="I904" t="s">
        <v>85</v>
      </c>
      <c r="J904">
        <v>21</v>
      </c>
      <c r="K904" t="s">
        <v>80</v>
      </c>
      <c r="L904" t="s">
        <v>97</v>
      </c>
      <c r="M904" t="s">
        <v>57</v>
      </c>
      <c r="N904" t="s">
        <v>2665</v>
      </c>
      <c r="O904" t="s">
        <v>128</v>
      </c>
      <c r="P904" t="s">
        <v>53</v>
      </c>
      <c r="Q904" t="s">
        <v>143</v>
      </c>
      <c r="R904">
        <v>1</v>
      </c>
      <c r="S904">
        <v>1499</v>
      </c>
      <c r="T904">
        <v>0.05</v>
      </c>
      <c r="U904">
        <v>1424.05</v>
      </c>
      <c r="V904">
        <v>800</v>
      </c>
      <c r="W904">
        <v>624.04999999999995</v>
      </c>
      <c r="X904" t="s">
        <v>75</v>
      </c>
      <c r="Y904" t="s">
        <v>68</v>
      </c>
      <c r="Z904" t="s">
        <v>159</v>
      </c>
      <c r="AA904" t="s">
        <v>167</v>
      </c>
      <c r="AB904">
        <v>3.4</v>
      </c>
      <c r="AC904">
        <v>60</v>
      </c>
      <c r="AD904">
        <v>88.34</v>
      </c>
      <c r="AE904">
        <f t="shared" si="28"/>
        <v>475.70999999999992</v>
      </c>
      <c r="AF904" t="str">
        <f t="shared" si="29"/>
        <v>2025-04</v>
      </c>
      <c r="AG904">
        <f>SUBTOTAL(103,A904)</f>
        <v>1</v>
      </c>
    </row>
    <row r="905" spans="1:33" x14ac:dyDescent="0.3">
      <c r="A905" t="s">
        <v>3518</v>
      </c>
      <c r="B905" s="13">
        <v>45771</v>
      </c>
      <c r="C905">
        <v>2025</v>
      </c>
      <c r="D905">
        <v>4</v>
      </c>
      <c r="E905" t="s">
        <v>3328</v>
      </c>
      <c r="F905" t="s">
        <v>3329</v>
      </c>
      <c r="G905" t="s">
        <v>1361</v>
      </c>
      <c r="H905" t="s">
        <v>1362</v>
      </c>
      <c r="I905" t="s">
        <v>85</v>
      </c>
      <c r="J905">
        <v>38</v>
      </c>
      <c r="K905" t="s">
        <v>82</v>
      </c>
      <c r="L905" t="s">
        <v>95</v>
      </c>
      <c r="M905" t="s">
        <v>56</v>
      </c>
      <c r="N905" t="s">
        <v>2590</v>
      </c>
      <c r="O905" t="s">
        <v>127</v>
      </c>
      <c r="P905" t="s">
        <v>51</v>
      </c>
      <c r="Q905" t="s">
        <v>148</v>
      </c>
      <c r="R905">
        <v>1</v>
      </c>
      <c r="S905">
        <v>1599</v>
      </c>
      <c r="T905">
        <v>0.1</v>
      </c>
      <c r="U905">
        <v>1439.1</v>
      </c>
      <c r="V905">
        <v>800</v>
      </c>
      <c r="W905">
        <v>639.1</v>
      </c>
      <c r="X905" t="s">
        <v>77</v>
      </c>
      <c r="Y905" t="s">
        <v>68</v>
      </c>
      <c r="Z905" t="s">
        <v>159</v>
      </c>
      <c r="AA905" t="s">
        <v>171</v>
      </c>
      <c r="AB905">
        <v>4.2</v>
      </c>
      <c r="AC905">
        <v>50</v>
      </c>
      <c r="AD905">
        <v>110.38</v>
      </c>
      <c r="AE905">
        <f t="shared" si="28"/>
        <v>478.72</v>
      </c>
      <c r="AF905" t="str">
        <f t="shared" si="29"/>
        <v>2025-04</v>
      </c>
      <c r="AG905">
        <f>SUBTOTAL(103,A905)</f>
        <v>1</v>
      </c>
    </row>
    <row r="906" spans="1:33" x14ac:dyDescent="0.3">
      <c r="A906" t="s">
        <v>3519</v>
      </c>
      <c r="B906" s="13">
        <v>45771</v>
      </c>
      <c r="C906">
        <v>2025</v>
      </c>
      <c r="D906">
        <v>4</v>
      </c>
      <c r="E906" t="s">
        <v>3328</v>
      </c>
      <c r="F906" t="s">
        <v>3329</v>
      </c>
      <c r="G906" t="s">
        <v>1223</v>
      </c>
      <c r="H906" t="s">
        <v>1224</v>
      </c>
      <c r="I906" t="s">
        <v>86</v>
      </c>
      <c r="J906">
        <v>43</v>
      </c>
      <c r="K906" t="s">
        <v>82</v>
      </c>
      <c r="L906" t="s">
        <v>94</v>
      </c>
      <c r="M906" t="s">
        <v>57</v>
      </c>
      <c r="N906" t="s">
        <v>2582</v>
      </c>
      <c r="O906" t="s">
        <v>119</v>
      </c>
      <c r="P906" t="s">
        <v>49</v>
      </c>
      <c r="Q906" t="s">
        <v>140</v>
      </c>
      <c r="R906">
        <v>3</v>
      </c>
      <c r="S906">
        <v>3499</v>
      </c>
      <c r="T906">
        <v>0.1</v>
      </c>
      <c r="U906">
        <v>9447.2999999999993</v>
      </c>
      <c r="V906">
        <v>6300</v>
      </c>
      <c r="W906">
        <v>3147.3</v>
      </c>
      <c r="X906" t="s">
        <v>73</v>
      </c>
      <c r="Y906" t="s">
        <v>68</v>
      </c>
      <c r="Z906" t="s">
        <v>159</v>
      </c>
      <c r="AA906" t="s">
        <v>166</v>
      </c>
      <c r="AB906">
        <v>4.3</v>
      </c>
      <c r="AC906">
        <v>120</v>
      </c>
      <c r="AD906">
        <v>488.36</v>
      </c>
      <c r="AE906">
        <f t="shared" si="28"/>
        <v>2538.94</v>
      </c>
      <c r="AF906" t="str">
        <f t="shared" si="29"/>
        <v>2025-04</v>
      </c>
      <c r="AG906">
        <f>SUBTOTAL(103,A906)</f>
        <v>1</v>
      </c>
    </row>
    <row r="907" spans="1:33" x14ac:dyDescent="0.3">
      <c r="A907" t="s">
        <v>3520</v>
      </c>
      <c r="B907" s="13">
        <v>45771</v>
      </c>
      <c r="C907">
        <v>2025</v>
      </c>
      <c r="D907">
        <v>4</v>
      </c>
      <c r="E907" t="s">
        <v>3328</v>
      </c>
      <c r="F907" t="s">
        <v>3329</v>
      </c>
      <c r="G907" t="s">
        <v>1257</v>
      </c>
      <c r="H907" t="s">
        <v>1258</v>
      </c>
      <c r="I907" t="s">
        <v>85</v>
      </c>
      <c r="J907">
        <v>46</v>
      </c>
      <c r="K907" t="s">
        <v>83</v>
      </c>
      <c r="L907" t="s">
        <v>100</v>
      </c>
      <c r="M907" t="s">
        <v>56</v>
      </c>
      <c r="N907" t="s">
        <v>2644</v>
      </c>
      <c r="O907" t="s">
        <v>126</v>
      </c>
      <c r="P907" t="s">
        <v>50</v>
      </c>
      <c r="Q907" t="s">
        <v>145</v>
      </c>
      <c r="R907">
        <v>3</v>
      </c>
      <c r="S907">
        <v>1799</v>
      </c>
      <c r="T907">
        <v>0.05</v>
      </c>
      <c r="U907">
        <v>5127.1499999999996</v>
      </c>
      <c r="V907">
        <v>2850</v>
      </c>
      <c r="W907">
        <v>2277.15</v>
      </c>
      <c r="X907" t="s">
        <v>77</v>
      </c>
      <c r="Y907" t="s">
        <v>68</v>
      </c>
      <c r="Z907" t="s">
        <v>158</v>
      </c>
      <c r="AA907" t="s">
        <v>166</v>
      </c>
      <c r="AB907">
        <v>4.2</v>
      </c>
      <c r="AC907">
        <v>40</v>
      </c>
      <c r="AD907">
        <v>156.66</v>
      </c>
      <c r="AE907">
        <f t="shared" si="28"/>
        <v>2080.4900000000002</v>
      </c>
      <c r="AF907" t="str">
        <f t="shared" si="29"/>
        <v>2025-04</v>
      </c>
      <c r="AG907">
        <f>SUBTOTAL(103,A907)</f>
        <v>1</v>
      </c>
    </row>
    <row r="908" spans="1:33" x14ac:dyDescent="0.3">
      <c r="A908" t="s">
        <v>3521</v>
      </c>
      <c r="B908" s="13">
        <v>45771</v>
      </c>
      <c r="C908">
        <v>2025</v>
      </c>
      <c r="D908">
        <v>4</v>
      </c>
      <c r="E908" t="s">
        <v>3328</v>
      </c>
      <c r="F908" t="s">
        <v>3329</v>
      </c>
      <c r="G908" t="s">
        <v>987</v>
      </c>
      <c r="H908" t="s">
        <v>988</v>
      </c>
      <c r="I908" t="s">
        <v>85</v>
      </c>
      <c r="J908">
        <v>21</v>
      </c>
      <c r="K908" t="s">
        <v>80</v>
      </c>
      <c r="L908" t="s">
        <v>2573</v>
      </c>
      <c r="M908" t="s">
        <v>63</v>
      </c>
      <c r="N908" t="s">
        <v>2647</v>
      </c>
      <c r="O908" t="s">
        <v>133</v>
      </c>
      <c r="P908" t="s">
        <v>50</v>
      </c>
      <c r="Q908" t="s">
        <v>145</v>
      </c>
      <c r="R908">
        <v>5</v>
      </c>
      <c r="S908">
        <v>799</v>
      </c>
      <c r="T908">
        <v>0</v>
      </c>
      <c r="U908">
        <v>3995</v>
      </c>
      <c r="V908">
        <v>1950</v>
      </c>
      <c r="W908">
        <v>2045</v>
      </c>
      <c r="X908" t="s">
        <v>73</v>
      </c>
      <c r="Y908" t="s">
        <v>68</v>
      </c>
      <c r="Z908" t="s">
        <v>158</v>
      </c>
      <c r="AA908" t="s">
        <v>166</v>
      </c>
      <c r="AB908">
        <v>4.7</v>
      </c>
      <c r="AC908">
        <v>100</v>
      </c>
      <c r="AD908">
        <v>346.16</v>
      </c>
      <c r="AE908">
        <f t="shared" si="28"/>
        <v>1598.84</v>
      </c>
      <c r="AF908" t="str">
        <f t="shared" si="29"/>
        <v>2025-04</v>
      </c>
      <c r="AG908">
        <f>SUBTOTAL(103,A908)</f>
        <v>1</v>
      </c>
    </row>
    <row r="909" spans="1:33" x14ac:dyDescent="0.3">
      <c r="A909" t="s">
        <v>3522</v>
      </c>
      <c r="B909" s="13">
        <v>45771</v>
      </c>
      <c r="C909">
        <v>2025</v>
      </c>
      <c r="D909">
        <v>4</v>
      </c>
      <c r="E909" t="s">
        <v>3328</v>
      </c>
      <c r="F909" t="s">
        <v>3329</v>
      </c>
      <c r="G909" t="s">
        <v>2007</v>
      </c>
      <c r="H909" t="s">
        <v>2008</v>
      </c>
      <c r="I909" t="s">
        <v>85</v>
      </c>
      <c r="J909">
        <v>52</v>
      </c>
      <c r="K909" t="s">
        <v>83</v>
      </c>
      <c r="L909" t="s">
        <v>2679</v>
      </c>
      <c r="M909" t="s">
        <v>60</v>
      </c>
      <c r="N909" t="s">
        <v>2582</v>
      </c>
      <c r="O909" t="s">
        <v>119</v>
      </c>
      <c r="P909" t="s">
        <v>49</v>
      </c>
      <c r="Q909" t="s">
        <v>140</v>
      </c>
      <c r="R909">
        <v>2</v>
      </c>
      <c r="S909">
        <v>3499</v>
      </c>
      <c r="T909">
        <v>0.15</v>
      </c>
      <c r="U909">
        <v>5948.3</v>
      </c>
      <c r="V909">
        <v>4200</v>
      </c>
      <c r="W909">
        <v>1748.3</v>
      </c>
      <c r="X909" t="s">
        <v>73</v>
      </c>
      <c r="Y909" t="s">
        <v>68</v>
      </c>
      <c r="Z909" t="s">
        <v>158</v>
      </c>
      <c r="AA909" t="s">
        <v>170</v>
      </c>
      <c r="AB909">
        <v>4.3</v>
      </c>
      <c r="AC909">
        <v>50</v>
      </c>
      <c r="AD909">
        <v>395.34</v>
      </c>
      <c r="AE909">
        <f t="shared" si="28"/>
        <v>1302.96</v>
      </c>
      <c r="AF909" t="str">
        <f t="shared" si="29"/>
        <v>2025-04</v>
      </c>
      <c r="AG909">
        <f>SUBTOTAL(103,A909)</f>
        <v>1</v>
      </c>
    </row>
    <row r="910" spans="1:33" x14ac:dyDescent="0.3">
      <c r="A910" t="s">
        <v>3523</v>
      </c>
      <c r="B910" s="13">
        <v>45772</v>
      </c>
      <c r="C910">
        <v>2025</v>
      </c>
      <c r="D910">
        <v>4</v>
      </c>
      <c r="E910" t="s">
        <v>3328</v>
      </c>
      <c r="F910" t="s">
        <v>3329</v>
      </c>
      <c r="G910" t="s">
        <v>1969</v>
      </c>
      <c r="H910" t="s">
        <v>1970</v>
      </c>
      <c r="I910" t="s">
        <v>85</v>
      </c>
      <c r="J910">
        <v>31</v>
      </c>
      <c r="K910" t="s">
        <v>81</v>
      </c>
      <c r="L910" t="s">
        <v>90</v>
      </c>
      <c r="M910" t="s">
        <v>55</v>
      </c>
      <c r="N910" t="s">
        <v>2574</v>
      </c>
      <c r="O910" t="s">
        <v>130</v>
      </c>
      <c r="P910" t="s">
        <v>50</v>
      </c>
      <c r="Q910" t="s">
        <v>53</v>
      </c>
      <c r="R910">
        <v>1</v>
      </c>
      <c r="S910">
        <v>1199</v>
      </c>
      <c r="T910">
        <v>0</v>
      </c>
      <c r="U910">
        <v>1199</v>
      </c>
      <c r="V910">
        <v>550</v>
      </c>
      <c r="W910">
        <v>649</v>
      </c>
      <c r="X910" t="s">
        <v>73</v>
      </c>
      <c r="Y910" t="s">
        <v>68</v>
      </c>
      <c r="Z910" t="s">
        <v>162</v>
      </c>
      <c r="AA910" t="s">
        <v>169</v>
      </c>
      <c r="AB910">
        <v>4.5</v>
      </c>
      <c r="AC910">
        <v>50</v>
      </c>
      <c r="AD910">
        <v>56.38</v>
      </c>
      <c r="AE910">
        <f t="shared" si="28"/>
        <v>542.62</v>
      </c>
      <c r="AF910" t="str">
        <f t="shared" si="29"/>
        <v>2025-04</v>
      </c>
      <c r="AG910">
        <f>SUBTOTAL(103,A910)</f>
        <v>1</v>
      </c>
    </row>
    <row r="911" spans="1:33" x14ac:dyDescent="0.3">
      <c r="A911" t="s">
        <v>3524</v>
      </c>
      <c r="B911" s="13">
        <v>45772</v>
      </c>
      <c r="C911">
        <v>2025</v>
      </c>
      <c r="D911">
        <v>4</v>
      </c>
      <c r="E911" t="s">
        <v>3328</v>
      </c>
      <c r="F911" t="s">
        <v>3329</v>
      </c>
      <c r="G911" t="s">
        <v>599</v>
      </c>
      <c r="H911" t="s">
        <v>600</v>
      </c>
      <c r="I911" t="s">
        <v>86</v>
      </c>
      <c r="J911">
        <v>20</v>
      </c>
      <c r="K911" t="s">
        <v>80</v>
      </c>
      <c r="L911" t="s">
        <v>2674</v>
      </c>
      <c r="M911" t="s">
        <v>58</v>
      </c>
      <c r="N911" t="s">
        <v>2574</v>
      </c>
      <c r="O911" t="s">
        <v>130</v>
      </c>
      <c r="P911" t="s">
        <v>50</v>
      </c>
      <c r="Q911" t="s">
        <v>53</v>
      </c>
      <c r="R911">
        <v>3</v>
      </c>
      <c r="S911">
        <v>1199</v>
      </c>
      <c r="T911">
        <v>0</v>
      </c>
      <c r="U911">
        <v>3597</v>
      </c>
      <c r="V911">
        <v>1650</v>
      </c>
      <c r="W911">
        <v>1947</v>
      </c>
      <c r="X911" t="s">
        <v>74</v>
      </c>
      <c r="Y911" t="s">
        <v>68</v>
      </c>
      <c r="Z911" t="s">
        <v>159</v>
      </c>
      <c r="AA911" t="s">
        <v>166</v>
      </c>
      <c r="AB911">
        <v>5</v>
      </c>
      <c r="AC911">
        <v>120</v>
      </c>
      <c r="AD911">
        <v>257.39999999999998</v>
      </c>
      <c r="AE911">
        <f t="shared" si="28"/>
        <v>1569.6</v>
      </c>
      <c r="AF911" t="str">
        <f t="shared" si="29"/>
        <v>2025-04</v>
      </c>
      <c r="AG911">
        <f>SUBTOTAL(103,A911)</f>
        <v>1</v>
      </c>
    </row>
    <row r="912" spans="1:33" x14ac:dyDescent="0.3">
      <c r="A912" t="s">
        <v>3525</v>
      </c>
      <c r="B912" s="13">
        <v>45772</v>
      </c>
      <c r="C912">
        <v>2025</v>
      </c>
      <c r="D912">
        <v>4</v>
      </c>
      <c r="E912" t="s">
        <v>3328</v>
      </c>
      <c r="F912" t="s">
        <v>3329</v>
      </c>
      <c r="G912" t="s">
        <v>935</v>
      </c>
      <c r="H912" t="s">
        <v>936</v>
      </c>
      <c r="I912" t="s">
        <v>86</v>
      </c>
      <c r="J912">
        <v>27</v>
      </c>
      <c r="K912" t="s">
        <v>81</v>
      </c>
      <c r="L912" t="s">
        <v>2589</v>
      </c>
      <c r="M912" t="s">
        <v>61</v>
      </c>
      <c r="N912" t="s">
        <v>2653</v>
      </c>
      <c r="O912" t="s">
        <v>132</v>
      </c>
      <c r="P912" t="s">
        <v>52</v>
      </c>
      <c r="Q912" t="s">
        <v>150</v>
      </c>
      <c r="R912">
        <v>1</v>
      </c>
      <c r="S912">
        <v>899</v>
      </c>
      <c r="T912">
        <v>0.2</v>
      </c>
      <c r="U912">
        <v>719.2</v>
      </c>
      <c r="V912">
        <v>420</v>
      </c>
      <c r="W912">
        <v>299.2</v>
      </c>
      <c r="X912" t="s">
        <v>77</v>
      </c>
      <c r="Y912" t="s">
        <v>68</v>
      </c>
      <c r="Z912" t="s">
        <v>159</v>
      </c>
      <c r="AA912" t="s">
        <v>169</v>
      </c>
      <c r="AB912">
        <v>3.9</v>
      </c>
      <c r="AC912">
        <v>50</v>
      </c>
      <c r="AD912">
        <v>36.18</v>
      </c>
      <c r="AE912">
        <f t="shared" si="28"/>
        <v>213.01999999999998</v>
      </c>
      <c r="AF912" t="str">
        <f t="shared" si="29"/>
        <v>2025-04</v>
      </c>
      <c r="AG912">
        <f>SUBTOTAL(103,A912)</f>
        <v>1</v>
      </c>
    </row>
    <row r="913" spans="1:33" x14ac:dyDescent="0.3">
      <c r="A913" t="s">
        <v>3526</v>
      </c>
      <c r="B913" s="13">
        <v>45772</v>
      </c>
      <c r="C913">
        <v>2025</v>
      </c>
      <c r="D913">
        <v>4</v>
      </c>
      <c r="E913" t="s">
        <v>3328</v>
      </c>
      <c r="F913" t="s">
        <v>3329</v>
      </c>
      <c r="G913" t="s">
        <v>259</v>
      </c>
      <c r="H913" t="s">
        <v>260</v>
      </c>
      <c r="I913" t="s">
        <v>86</v>
      </c>
      <c r="J913">
        <v>31</v>
      </c>
      <c r="K913" t="s">
        <v>81</v>
      </c>
      <c r="L913" t="s">
        <v>2661</v>
      </c>
      <c r="M913" t="s">
        <v>58</v>
      </c>
      <c r="N913" t="s">
        <v>2577</v>
      </c>
      <c r="O913" t="s">
        <v>129</v>
      </c>
      <c r="P913" t="s">
        <v>49</v>
      </c>
      <c r="Q913" t="s">
        <v>149</v>
      </c>
      <c r="R913">
        <v>1</v>
      </c>
      <c r="S913">
        <v>1299</v>
      </c>
      <c r="T913">
        <v>0.05</v>
      </c>
      <c r="U913">
        <v>1234.05</v>
      </c>
      <c r="V913">
        <v>650</v>
      </c>
      <c r="W913">
        <v>584.04999999999995</v>
      </c>
      <c r="X913" t="s">
        <v>73</v>
      </c>
      <c r="Y913" t="s">
        <v>68</v>
      </c>
      <c r="Z913" t="s">
        <v>162</v>
      </c>
      <c r="AA913" t="s">
        <v>166</v>
      </c>
      <c r="AB913">
        <v>3.3</v>
      </c>
      <c r="AC913">
        <v>80</v>
      </c>
      <c r="AD913">
        <v>148.07</v>
      </c>
      <c r="AE913">
        <f t="shared" si="28"/>
        <v>355.97999999999996</v>
      </c>
      <c r="AF913" t="str">
        <f t="shared" si="29"/>
        <v>2025-04</v>
      </c>
      <c r="AG913">
        <f>SUBTOTAL(103,A913)</f>
        <v>1</v>
      </c>
    </row>
    <row r="914" spans="1:33" x14ac:dyDescent="0.3">
      <c r="A914" t="s">
        <v>3527</v>
      </c>
      <c r="B914" s="13">
        <v>45772</v>
      </c>
      <c r="C914">
        <v>2025</v>
      </c>
      <c r="D914">
        <v>4</v>
      </c>
      <c r="E914" t="s">
        <v>3328</v>
      </c>
      <c r="F914" t="s">
        <v>3329</v>
      </c>
      <c r="G914" t="s">
        <v>1453</v>
      </c>
      <c r="H914" t="s">
        <v>1454</v>
      </c>
      <c r="I914" t="s">
        <v>85</v>
      </c>
      <c r="J914">
        <v>33</v>
      </c>
      <c r="K914" t="s">
        <v>81</v>
      </c>
      <c r="L914" t="s">
        <v>2646</v>
      </c>
      <c r="M914" t="s">
        <v>63</v>
      </c>
      <c r="N914" t="s">
        <v>2657</v>
      </c>
      <c r="O914" t="s">
        <v>134</v>
      </c>
      <c r="P914" t="s">
        <v>49</v>
      </c>
      <c r="Q914" t="s">
        <v>140</v>
      </c>
      <c r="R914">
        <v>3</v>
      </c>
      <c r="S914">
        <v>599</v>
      </c>
      <c r="T914">
        <v>0.2</v>
      </c>
      <c r="U914">
        <v>1437.6</v>
      </c>
      <c r="V914">
        <v>750</v>
      </c>
      <c r="W914">
        <v>687.6</v>
      </c>
      <c r="X914" t="s">
        <v>74</v>
      </c>
      <c r="Y914" t="s">
        <v>68</v>
      </c>
      <c r="Z914" t="s">
        <v>162</v>
      </c>
      <c r="AA914" t="s">
        <v>170</v>
      </c>
      <c r="AB914">
        <v>3.8</v>
      </c>
      <c r="AC914">
        <v>60</v>
      </c>
      <c r="AD914">
        <v>120.72</v>
      </c>
      <c r="AE914">
        <f t="shared" si="28"/>
        <v>506.88</v>
      </c>
      <c r="AF914" t="str">
        <f t="shared" si="29"/>
        <v>2025-04</v>
      </c>
      <c r="AG914">
        <f>SUBTOTAL(103,A914)</f>
        <v>1</v>
      </c>
    </row>
    <row r="915" spans="1:33" x14ac:dyDescent="0.3">
      <c r="A915" t="s">
        <v>3528</v>
      </c>
      <c r="B915" s="13">
        <v>45772</v>
      </c>
      <c r="C915">
        <v>2025</v>
      </c>
      <c r="D915">
        <v>4</v>
      </c>
      <c r="E915" t="s">
        <v>3328</v>
      </c>
      <c r="F915" t="s">
        <v>3329</v>
      </c>
      <c r="G915" t="s">
        <v>1611</v>
      </c>
      <c r="H915" t="s">
        <v>1612</v>
      </c>
      <c r="I915" t="s">
        <v>85</v>
      </c>
      <c r="J915">
        <v>56</v>
      </c>
      <c r="K915" t="s">
        <v>83</v>
      </c>
      <c r="L915" t="s">
        <v>2646</v>
      </c>
      <c r="M915" t="s">
        <v>63</v>
      </c>
      <c r="N915" t="s">
        <v>2594</v>
      </c>
      <c r="O915" t="s">
        <v>131</v>
      </c>
      <c r="P915" t="s">
        <v>53</v>
      </c>
      <c r="Q915" t="s">
        <v>143</v>
      </c>
      <c r="R915">
        <v>1</v>
      </c>
      <c r="S915">
        <v>999</v>
      </c>
      <c r="T915">
        <v>0.05</v>
      </c>
      <c r="U915">
        <v>949.05</v>
      </c>
      <c r="V915">
        <v>520</v>
      </c>
      <c r="W915">
        <v>429.05</v>
      </c>
      <c r="X915" t="s">
        <v>74</v>
      </c>
      <c r="Y915" t="s">
        <v>68</v>
      </c>
      <c r="Z915" t="s">
        <v>158</v>
      </c>
      <c r="AA915" t="s">
        <v>169</v>
      </c>
      <c r="AB915">
        <v>4.5</v>
      </c>
      <c r="AC915">
        <v>100</v>
      </c>
      <c r="AD915">
        <v>79.459999999999994</v>
      </c>
      <c r="AE915">
        <f t="shared" si="28"/>
        <v>249.59000000000003</v>
      </c>
      <c r="AF915" t="str">
        <f t="shared" si="29"/>
        <v>2025-04</v>
      </c>
      <c r="AG915">
        <f>SUBTOTAL(103,A915)</f>
        <v>1</v>
      </c>
    </row>
    <row r="916" spans="1:33" x14ac:dyDescent="0.3">
      <c r="A916" t="s">
        <v>3529</v>
      </c>
      <c r="B916" s="13">
        <v>45772</v>
      </c>
      <c r="C916">
        <v>2025</v>
      </c>
      <c r="D916">
        <v>4</v>
      </c>
      <c r="E916" t="s">
        <v>3328</v>
      </c>
      <c r="F916" t="s">
        <v>3329</v>
      </c>
      <c r="G916" t="s">
        <v>299</v>
      </c>
      <c r="H916" t="s">
        <v>300</v>
      </c>
      <c r="I916" t="s">
        <v>85</v>
      </c>
      <c r="J916">
        <v>21</v>
      </c>
      <c r="K916" t="s">
        <v>80</v>
      </c>
      <c r="L916" t="s">
        <v>2687</v>
      </c>
      <c r="M916" t="s">
        <v>57</v>
      </c>
      <c r="N916" t="s">
        <v>2626</v>
      </c>
      <c r="O916" t="s">
        <v>125</v>
      </c>
      <c r="P916" t="s">
        <v>48</v>
      </c>
      <c r="Q916" t="s">
        <v>141</v>
      </c>
      <c r="R916">
        <v>1</v>
      </c>
      <c r="S916">
        <v>1999</v>
      </c>
      <c r="T916">
        <v>0.1</v>
      </c>
      <c r="U916">
        <v>0</v>
      </c>
      <c r="V916">
        <v>0</v>
      </c>
      <c r="W916">
        <v>0</v>
      </c>
      <c r="X916" t="s">
        <v>73</v>
      </c>
      <c r="Y916" t="s">
        <v>71</v>
      </c>
      <c r="Z916" t="s">
        <v>160</v>
      </c>
      <c r="AA916" t="s">
        <v>168</v>
      </c>
      <c r="AB916">
        <v>4.5999999999999996</v>
      </c>
      <c r="AC916">
        <v>80</v>
      </c>
      <c r="AD916">
        <v>195.02</v>
      </c>
      <c r="AE916">
        <f t="shared" si="28"/>
        <v>-275.02</v>
      </c>
      <c r="AF916" t="str">
        <f t="shared" si="29"/>
        <v>2025-04</v>
      </c>
      <c r="AG916">
        <f>SUBTOTAL(103,A916)</f>
        <v>1</v>
      </c>
    </row>
    <row r="917" spans="1:33" x14ac:dyDescent="0.3">
      <c r="A917" t="s">
        <v>3530</v>
      </c>
      <c r="B917" s="13">
        <v>45772</v>
      </c>
      <c r="C917">
        <v>2025</v>
      </c>
      <c r="D917">
        <v>4</v>
      </c>
      <c r="E917" t="s">
        <v>3328</v>
      </c>
      <c r="F917" t="s">
        <v>3329</v>
      </c>
      <c r="G917" t="s">
        <v>1533</v>
      </c>
      <c r="H917" t="s">
        <v>1534</v>
      </c>
      <c r="I917" t="s">
        <v>86</v>
      </c>
      <c r="J917">
        <v>19</v>
      </c>
      <c r="K917" t="s">
        <v>80</v>
      </c>
      <c r="L917" t="s">
        <v>2599</v>
      </c>
      <c r="M917" t="s">
        <v>62</v>
      </c>
      <c r="N917" t="s">
        <v>2653</v>
      </c>
      <c r="O917" t="s">
        <v>132</v>
      </c>
      <c r="P917" t="s">
        <v>52</v>
      </c>
      <c r="Q917" t="s">
        <v>150</v>
      </c>
      <c r="R917">
        <v>1</v>
      </c>
      <c r="S917">
        <v>899</v>
      </c>
      <c r="T917">
        <v>0.05</v>
      </c>
      <c r="U917">
        <v>854.05</v>
      </c>
      <c r="V917">
        <v>420</v>
      </c>
      <c r="W917">
        <v>434.05</v>
      </c>
      <c r="X917" t="s">
        <v>74</v>
      </c>
      <c r="Y917" t="s">
        <v>68</v>
      </c>
      <c r="Z917" t="s">
        <v>163</v>
      </c>
      <c r="AA917" t="s">
        <v>166</v>
      </c>
      <c r="AB917">
        <v>4.4000000000000004</v>
      </c>
      <c r="AC917">
        <v>40</v>
      </c>
      <c r="AD917">
        <v>97.19</v>
      </c>
      <c r="AE917">
        <f t="shared" si="28"/>
        <v>296.86</v>
      </c>
      <c r="AF917" t="str">
        <f t="shared" si="29"/>
        <v>2025-04</v>
      </c>
      <c r="AG917">
        <f>SUBTOTAL(103,A917)</f>
        <v>1</v>
      </c>
    </row>
    <row r="918" spans="1:33" x14ac:dyDescent="0.3">
      <c r="A918" t="s">
        <v>3531</v>
      </c>
      <c r="B918" s="13">
        <v>45772</v>
      </c>
      <c r="C918">
        <v>2025</v>
      </c>
      <c r="D918">
        <v>4</v>
      </c>
      <c r="E918" t="s">
        <v>3328</v>
      </c>
      <c r="F918" t="s">
        <v>3329</v>
      </c>
      <c r="G918" t="s">
        <v>2449</v>
      </c>
      <c r="H918" t="s">
        <v>2450</v>
      </c>
      <c r="I918" t="s">
        <v>85</v>
      </c>
      <c r="J918">
        <v>22</v>
      </c>
      <c r="K918" t="s">
        <v>80</v>
      </c>
      <c r="L918" t="s">
        <v>2589</v>
      </c>
      <c r="M918" t="s">
        <v>61</v>
      </c>
      <c r="N918" t="s">
        <v>2603</v>
      </c>
      <c r="O918" t="s">
        <v>122</v>
      </c>
      <c r="P918" t="s">
        <v>48</v>
      </c>
      <c r="Q918" t="s">
        <v>141</v>
      </c>
      <c r="R918">
        <v>1</v>
      </c>
      <c r="S918">
        <v>2499</v>
      </c>
      <c r="T918">
        <v>0.1</v>
      </c>
      <c r="U918">
        <v>2249.1</v>
      </c>
      <c r="V918">
        <v>1450</v>
      </c>
      <c r="W918">
        <v>799.1</v>
      </c>
      <c r="X918" t="s">
        <v>77</v>
      </c>
      <c r="Y918" t="s">
        <v>68</v>
      </c>
      <c r="Z918" t="s">
        <v>159</v>
      </c>
      <c r="AA918" t="s">
        <v>168</v>
      </c>
      <c r="AB918">
        <v>4.0999999999999996</v>
      </c>
      <c r="AC918">
        <v>80</v>
      </c>
      <c r="AD918">
        <v>142.22</v>
      </c>
      <c r="AE918">
        <f t="shared" si="28"/>
        <v>576.88</v>
      </c>
      <c r="AF918" t="str">
        <f t="shared" si="29"/>
        <v>2025-04</v>
      </c>
      <c r="AG918">
        <f>SUBTOTAL(103,A918)</f>
        <v>1</v>
      </c>
    </row>
    <row r="919" spans="1:33" x14ac:dyDescent="0.3">
      <c r="A919" t="s">
        <v>3532</v>
      </c>
      <c r="B919" s="13">
        <v>45772</v>
      </c>
      <c r="C919">
        <v>2025</v>
      </c>
      <c r="D919">
        <v>4</v>
      </c>
      <c r="E919" t="s">
        <v>3328</v>
      </c>
      <c r="F919" t="s">
        <v>3329</v>
      </c>
      <c r="G919" t="s">
        <v>1675</v>
      </c>
      <c r="H919" t="s">
        <v>1676</v>
      </c>
      <c r="I919" t="s">
        <v>85</v>
      </c>
      <c r="J919">
        <v>24</v>
      </c>
      <c r="K919" t="s">
        <v>80</v>
      </c>
      <c r="L919" t="s">
        <v>2576</v>
      </c>
      <c r="M919" t="s">
        <v>60</v>
      </c>
      <c r="N919" t="s">
        <v>2574</v>
      </c>
      <c r="O919" t="s">
        <v>130</v>
      </c>
      <c r="P919" t="s">
        <v>50</v>
      </c>
      <c r="Q919" t="s">
        <v>53</v>
      </c>
      <c r="R919">
        <v>2</v>
      </c>
      <c r="S919">
        <v>1199</v>
      </c>
      <c r="T919">
        <v>0.05</v>
      </c>
      <c r="U919">
        <v>2278.1</v>
      </c>
      <c r="V919">
        <v>1100</v>
      </c>
      <c r="W919">
        <v>1178.0999999999999</v>
      </c>
      <c r="X919" t="s">
        <v>74</v>
      </c>
      <c r="Y919" t="s">
        <v>68</v>
      </c>
      <c r="Z919" t="s">
        <v>160</v>
      </c>
      <c r="AA919" t="s">
        <v>168</v>
      </c>
      <c r="AB919">
        <v>4.2</v>
      </c>
      <c r="AC919">
        <v>60</v>
      </c>
      <c r="AD919">
        <v>251.02</v>
      </c>
      <c r="AE919">
        <f t="shared" si="28"/>
        <v>867.07999999999993</v>
      </c>
      <c r="AF919" t="str">
        <f t="shared" si="29"/>
        <v>2025-04</v>
      </c>
      <c r="AG919">
        <f>SUBTOTAL(103,A919)</f>
        <v>1</v>
      </c>
    </row>
    <row r="920" spans="1:33" x14ac:dyDescent="0.3">
      <c r="A920" t="s">
        <v>3533</v>
      </c>
      <c r="B920" s="13">
        <v>45773</v>
      </c>
      <c r="C920">
        <v>2025</v>
      </c>
      <c r="D920">
        <v>4</v>
      </c>
      <c r="E920" t="s">
        <v>3328</v>
      </c>
      <c r="F920" t="s">
        <v>3329</v>
      </c>
      <c r="G920" t="s">
        <v>1659</v>
      </c>
      <c r="H920" t="s">
        <v>1660</v>
      </c>
      <c r="I920" t="s">
        <v>85</v>
      </c>
      <c r="J920">
        <v>54</v>
      </c>
      <c r="K920" t="s">
        <v>83</v>
      </c>
      <c r="L920" t="s">
        <v>99</v>
      </c>
      <c r="M920" t="s">
        <v>58</v>
      </c>
      <c r="N920" t="s">
        <v>2644</v>
      </c>
      <c r="O920" t="s">
        <v>126</v>
      </c>
      <c r="P920" t="s">
        <v>50</v>
      </c>
      <c r="Q920" t="s">
        <v>145</v>
      </c>
      <c r="R920">
        <v>2</v>
      </c>
      <c r="S920">
        <v>1799</v>
      </c>
      <c r="T920">
        <v>0</v>
      </c>
      <c r="U920">
        <v>0</v>
      </c>
      <c r="V920">
        <v>0</v>
      </c>
      <c r="W920">
        <v>0</v>
      </c>
      <c r="X920" t="s">
        <v>73</v>
      </c>
      <c r="Y920" t="s">
        <v>71</v>
      </c>
      <c r="Z920" t="s">
        <v>159</v>
      </c>
      <c r="AA920" t="s">
        <v>167</v>
      </c>
      <c r="AB920">
        <v>4.5999999999999996</v>
      </c>
      <c r="AC920">
        <v>80</v>
      </c>
      <c r="AD920">
        <v>84.11</v>
      </c>
      <c r="AE920">
        <f t="shared" si="28"/>
        <v>-164.11</v>
      </c>
      <c r="AF920" t="str">
        <f t="shared" si="29"/>
        <v>2025-04</v>
      </c>
      <c r="AG920">
        <f>SUBTOTAL(103,A920)</f>
        <v>1</v>
      </c>
    </row>
    <row r="921" spans="1:33" x14ac:dyDescent="0.3">
      <c r="A921" t="s">
        <v>3534</v>
      </c>
      <c r="B921" s="13">
        <v>45773</v>
      </c>
      <c r="C921">
        <v>2025</v>
      </c>
      <c r="D921">
        <v>4</v>
      </c>
      <c r="E921" t="s">
        <v>3328</v>
      </c>
      <c r="F921" t="s">
        <v>3329</v>
      </c>
      <c r="G921" t="s">
        <v>785</v>
      </c>
      <c r="H921" t="s">
        <v>786</v>
      </c>
      <c r="I921" t="s">
        <v>85</v>
      </c>
      <c r="J921">
        <v>51</v>
      </c>
      <c r="K921" t="s">
        <v>83</v>
      </c>
      <c r="L921" t="s">
        <v>98</v>
      </c>
      <c r="M921" t="s">
        <v>55</v>
      </c>
      <c r="N921" t="s">
        <v>2584</v>
      </c>
      <c r="O921" t="s">
        <v>121</v>
      </c>
      <c r="P921" t="s">
        <v>50</v>
      </c>
      <c r="Q921" t="s">
        <v>144</v>
      </c>
      <c r="R921">
        <v>2</v>
      </c>
      <c r="S921">
        <v>2999</v>
      </c>
      <c r="T921">
        <v>0.1</v>
      </c>
      <c r="U921">
        <v>5398.2</v>
      </c>
      <c r="V921">
        <v>3400</v>
      </c>
      <c r="W921">
        <v>1998.2</v>
      </c>
      <c r="X921" t="s">
        <v>73</v>
      </c>
      <c r="Y921" t="s">
        <v>68</v>
      </c>
      <c r="Z921" t="s">
        <v>159</v>
      </c>
      <c r="AA921" t="s">
        <v>166</v>
      </c>
      <c r="AB921">
        <v>4</v>
      </c>
      <c r="AC921">
        <v>50</v>
      </c>
      <c r="AD921">
        <v>510.39</v>
      </c>
      <c r="AE921">
        <f t="shared" si="28"/>
        <v>1437.81</v>
      </c>
      <c r="AF921" t="str">
        <f t="shared" si="29"/>
        <v>2025-04</v>
      </c>
      <c r="AG921">
        <f>SUBTOTAL(103,A921)</f>
        <v>1</v>
      </c>
    </row>
    <row r="922" spans="1:33" x14ac:dyDescent="0.3">
      <c r="A922" t="s">
        <v>3535</v>
      </c>
      <c r="B922" s="13">
        <v>45773</v>
      </c>
      <c r="C922">
        <v>2025</v>
      </c>
      <c r="D922">
        <v>4</v>
      </c>
      <c r="E922" t="s">
        <v>3328</v>
      </c>
      <c r="F922" t="s">
        <v>3329</v>
      </c>
      <c r="G922" t="s">
        <v>339</v>
      </c>
      <c r="H922" t="s">
        <v>340</v>
      </c>
      <c r="I922" t="s">
        <v>86</v>
      </c>
      <c r="J922">
        <v>32</v>
      </c>
      <c r="K922" t="s">
        <v>81</v>
      </c>
      <c r="L922" t="s">
        <v>59</v>
      </c>
      <c r="M922" t="s">
        <v>59</v>
      </c>
      <c r="N922" t="s">
        <v>2587</v>
      </c>
      <c r="O922" t="s">
        <v>116</v>
      </c>
      <c r="P922" t="s">
        <v>48</v>
      </c>
      <c r="Q922" t="s">
        <v>138</v>
      </c>
      <c r="R922">
        <v>2</v>
      </c>
      <c r="S922">
        <v>14999</v>
      </c>
      <c r="T922">
        <v>0.05</v>
      </c>
      <c r="U922">
        <v>28498.1</v>
      </c>
      <c r="V922">
        <v>22400</v>
      </c>
      <c r="W922">
        <v>6098.1</v>
      </c>
      <c r="X922" t="s">
        <v>76</v>
      </c>
      <c r="Y922" t="s">
        <v>68</v>
      </c>
      <c r="Z922" t="s">
        <v>159</v>
      </c>
      <c r="AA922" t="s">
        <v>166</v>
      </c>
      <c r="AB922">
        <v>2.5</v>
      </c>
      <c r="AC922">
        <v>50</v>
      </c>
      <c r="AD922">
        <v>2451.89</v>
      </c>
      <c r="AE922">
        <f t="shared" si="28"/>
        <v>3596.2100000000005</v>
      </c>
      <c r="AF922" t="str">
        <f t="shared" si="29"/>
        <v>2025-04</v>
      </c>
      <c r="AG922">
        <f>SUBTOTAL(103,A922)</f>
        <v>1</v>
      </c>
    </row>
    <row r="923" spans="1:33" x14ac:dyDescent="0.3">
      <c r="A923" t="s">
        <v>3536</v>
      </c>
      <c r="B923" s="13">
        <v>45773</v>
      </c>
      <c r="C923">
        <v>2025</v>
      </c>
      <c r="D923">
        <v>4</v>
      </c>
      <c r="E923" t="s">
        <v>3328</v>
      </c>
      <c r="F923" t="s">
        <v>3329</v>
      </c>
      <c r="G923" t="s">
        <v>2271</v>
      </c>
      <c r="H923" t="s">
        <v>2272</v>
      </c>
      <c r="I923" t="s">
        <v>86</v>
      </c>
      <c r="J923">
        <v>37</v>
      </c>
      <c r="K923" t="s">
        <v>82</v>
      </c>
      <c r="L923" t="s">
        <v>2674</v>
      </c>
      <c r="M923" t="s">
        <v>58</v>
      </c>
      <c r="N923" t="s">
        <v>2626</v>
      </c>
      <c r="O923" t="s">
        <v>125</v>
      </c>
      <c r="P923" t="s">
        <v>48</v>
      </c>
      <c r="Q923" t="s">
        <v>141</v>
      </c>
      <c r="R923">
        <v>3</v>
      </c>
      <c r="S923">
        <v>1999</v>
      </c>
      <c r="T923">
        <v>0.05</v>
      </c>
      <c r="U923">
        <v>5697.15</v>
      </c>
      <c r="V923">
        <v>3450</v>
      </c>
      <c r="W923">
        <v>2247.15</v>
      </c>
      <c r="X923" t="s">
        <v>73</v>
      </c>
      <c r="Y923" t="s">
        <v>68</v>
      </c>
      <c r="Z923" t="s">
        <v>162</v>
      </c>
      <c r="AA923" t="s">
        <v>169</v>
      </c>
      <c r="AB923">
        <v>5</v>
      </c>
      <c r="AC923">
        <v>80</v>
      </c>
      <c r="AD923">
        <v>268.66000000000003</v>
      </c>
      <c r="AE923">
        <f t="shared" si="28"/>
        <v>1898.49</v>
      </c>
      <c r="AF923" t="str">
        <f t="shared" si="29"/>
        <v>2025-04</v>
      </c>
      <c r="AG923">
        <f>SUBTOTAL(103,A923)</f>
        <v>1</v>
      </c>
    </row>
    <row r="924" spans="1:33" x14ac:dyDescent="0.3">
      <c r="A924" t="s">
        <v>3537</v>
      </c>
      <c r="B924" s="13">
        <v>45773</v>
      </c>
      <c r="C924">
        <v>2025</v>
      </c>
      <c r="D924">
        <v>4</v>
      </c>
      <c r="E924" t="s">
        <v>3328</v>
      </c>
      <c r="F924" t="s">
        <v>3329</v>
      </c>
      <c r="G924" t="s">
        <v>1051</v>
      </c>
      <c r="H924" t="s">
        <v>1052</v>
      </c>
      <c r="I924" t="s">
        <v>85</v>
      </c>
      <c r="J924">
        <v>25</v>
      </c>
      <c r="K924" t="s">
        <v>80</v>
      </c>
      <c r="L924" t="s">
        <v>2579</v>
      </c>
      <c r="M924" t="s">
        <v>56</v>
      </c>
      <c r="N924" t="s">
        <v>2596</v>
      </c>
      <c r="O924" t="s">
        <v>124</v>
      </c>
      <c r="P924" t="s">
        <v>51</v>
      </c>
      <c r="Q924" t="s">
        <v>147</v>
      </c>
      <c r="R924">
        <v>3</v>
      </c>
      <c r="S924">
        <v>2299</v>
      </c>
      <c r="T924">
        <v>0.05</v>
      </c>
      <c r="U924">
        <v>6552.15</v>
      </c>
      <c r="V924">
        <v>3600</v>
      </c>
      <c r="W924">
        <v>2952.15</v>
      </c>
      <c r="X924" t="s">
        <v>74</v>
      </c>
      <c r="Y924" t="s">
        <v>68</v>
      </c>
      <c r="Z924" t="s">
        <v>159</v>
      </c>
      <c r="AA924" t="s">
        <v>170</v>
      </c>
      <c r="AB924">
        <v>4.4000000000000004</v>
      </c>
      <c r="AC924">
        <v>50</v>
      </c>
      <c r="AD924">
        <v>594.35</v>
      </c>
      <c r="AE924">
        <f t="shared" si="28"/>
        <v>2307.8000000000002</v>
      </c>
      <c r="AF924" t="str">
        <f t="shared" si="29"/>
        <v>2025-04</v>
      </c>
      <c r="AG924">
        <f>SUBTOTAL(103,A924)</f>
        <v>1</v>
      </c>
    </row>
    <row r="925" spans="1:33" x14ac:dyDescent="0.3">
      <c r="A925" t="s">
        <v>3538</v>
      </c>
      <c r="B925" s="13">
        <v>45774</v>
      </c>
      <c r="C925">
        <v>2025</v>
      </c>
      <c r="D925">
        <v>4</v>
      </c>
      <c r="E925" t="s">
        <v>3328</v>
      </c>
      <c r="F925" t="s">
        <v>3329</v>
      </c>
      <c r="G925" t="s">
        <v>2241</v>
      </c>
      <c r="H925" t="s">
        <v>2242</v>
      </c>
      <c r="I925" t="s">
        <v>85</v>
      </c>
      <c r="J925">
        <v>56</v>
      </c>
      <c r="K925" t="s">
        <v>83</v>
      </c>
      <c r="L925" t="s">
        <v>2573</v>
      </c>
      <c r="M925" t="s">
        <v>63</v>
      </c>
      <c r="N925" t="s">
        <v>2577</v>
      </c>
      <c r="O925" t="s">
        <v>129</v>
      </c>
      <c r="P925" t="s">
        <v>49</v>
      </c>
      <c r="Q925" t="s">
        <v>149</v>
      </c>
      <c r="R925">
        <v>2</v>
      </c>
      <c r="S925">
        <v>1299</v>
      </c>
      <c r="T925">
        <v>0.1</v>
      </c>
      <c r="U925">
        <v>2338.1999999999998</v>
      </c>
      <c r="V925">
        <v>1300</v>
      </c>
      <c r="W925">
        <v>1038.2</v>
      </c>
      <c r="X925" t="s">
        <v>73</v>
      </c>
      <c r="Y925" t="s">
        <v>68</v>
      </c>
      <c r="Z925" t="s">
        <v>158</v>
      </c>
      <c r="AA925" t="s">
        <v>166</v>
      </c>
      <c r="AB925">
        <v>4.5</v>
      </c>
      <c r="AC925">
        <v>100</v>
      </c>
      <c r="AD925">
        <v>128.11000000000001</v>
      </c>
      <c r="AE925">
        <f t="shared" si="28"/>
        <v>810.09</v>
      </c>
      <c r="AF925" t="str">
        <f t="shared" si="29"/>
        <v>2025-04</v>
      </c>
      <c r="AG925">
        <f>SUBTOTAL(103,A925)</f>
        <v>1</v>
      </c>
    </row>
    <row r="926" spans="1:33" x14ac:dyDescent="0.3">
      <c r="A926" t="s">
        <v>3539</v>
      </c>
      <c r="B926" s="13">
        <v>45774</v>
      </c>
      <c r="C926">
        <v>2025</v>
      </c>
      <c r="D926">
        <v>4</v>
      </c>
      <c r="E926" t="s">
        <v>3328</v>
      </c>
      <c r="F926" t="s">
        <v>3329</v>
      </c>
      <c r="G926" t="s">
        <v>1099</v>
      </c>
      <c r="H926" t="s">
        <v>1100</v>
      </c>
      <c r="I926" t="s">
        <v>85</v>
      </c>
      <c r="J926">
        <v>22</v>
      </c>
      <c r="K926" t="s">
        <v>80</v>
      </c>
      <c r="L926" t="s">
        <v>2674</v>
      </c>
      <c r="M926" t="s">
        <v>58</v>
      </c>
      <c r="N926" t="s">
        <v>2647</v>
      </c>
      <c r="O926" t="s">
        <v>133</v>
      </c>
      <c r="P926" t="s">
        <v>50</v>
      </c>
      <c r="Q926" t="s">
        <v>145</v>
      </c>
      <c r="R926">
        <v>3</v>
      </c>
      <c r="S926">
        <v>799</v>
      </c>
      <c r="T926">
        <v>0.1</v>
      </c>
      <c r="U926">
        <v>2157.3000000000002</v>
      </c>
      <c r="V926">
        <v>1170</v>
      </c>
      <c r="W926">
        <v>987.3</v>
      </c>
      <c r="X926" t="s">
        <v>74</v>
      </c>
      <c r="Y926" t="s">
        <v>68</v>
      </c>
      <c r="Z926" t="s">
        <v>160</v>
      </c>
      <c r="AA926" t="s">
        <v>166</v>
      </c>
      <c r="AB926">
        <v>3.8</v>
      </c>
      <c r="AC926">
        <v>60</v>
      </c>
      <c r="AD926">
        <v>77.02</v>
      </c>
      <c r="AE926">
        <f t="shared" si="28"/>
        <v>850.28</v>
      </c>
      <c r="AF926" t="str">
        <f t="shared" si="29"/>
        <v>2025-04</v>
      </c>
      <c r="AG926">
        <f>SUBTOTAL(103,A926)</f>
        <v>1</v>
      </c>
    </row>
    <row r="927" spans="1:33" x14ac:dyDescent="0.3">
      <c r="A927" t="s">
        <v>3540</v>
      </c>
      <c r="B927" s="13">
        <v>45774</v>
      </c>
      <c r="C927">
        <v>2025</v>
      </c>
      <c r="D927">
        <v>4</v>
      </c>
      <c r="E927" t="s">
        <v>3328</v>
      </c>
      <c r="F927" t="s">
        <v>3329</v>
      </c>
      <c r="G927" t="s">
        <v>707</v>
      </c>
      <c r="H927" t="s">
        <v>708</v>
      </c>
      <c r="I927" t="s">
        <v>85</v>
      </c>
      <c r="J927">
        <v>24</v>
      </c>
      <c r="K927" t="s">
        <v>80</v>
      </c>
      <c r="L927" t="s">
        <v>90</v>
      </c>
      <c r="M927" t="s">
        <v>55</v>
      </c>
      <c r="N927" t="s">
        <v>2653</v>
      </c>
      <c r="O927" t="s">
        <v>132</v>
      </c>
      <c r="P927" t="s">
        <v>52</v>
      </c>
      <c r="Q927" t="s">
        <v>150</v>
      </c>
      <c r="R927">
        <v>3</v>
      </c>
      <c r="S927">
        <v>899</v>
      </c>
      <c r="T927">
        <v>0.25</v>
      </c>
      <c r="U927">
        <v>2022.75</v>
      </c>
      <c r="V927">
        <v>1260</v>
      </c>
      <c r="W927">
        <v>762.75</v>
      </c>
      <c r="X927" t="s">
        <v>73</v>
      </c>
      <c r="Y927" t="s">
        <v>68</v>
      </c>
      <c r="Z927" t="s">
        <v>159</v>
      </c>
      <c r="AA927" t="s">
        <v>166</v>
      </c>
      <c r="AB927">
        <v>3.8</v>
      </c>
      <c r="AC927">
        <v>50</v>
      </c>
      <c r="AD927">
        <v>197.04</v>
      </c>
      <c r="AE927">
        <f t="shared" si="28"/>
        <v>515.71</v>
      </c>
      <c r="AF927" t="str">
        <f t="shared" si="29"/>
        <v>2025-04</v>
      </c>
      <c r="AG927">
        <f>SUBTOTAL(103,A927)</f>
        <v>1</v>
      </c>
    </row>
    <row r="928" spans="1:33" x14ac:dyDescent="0.3">
      <c r="A928" t="s">
        <v>3541</v>
      </c>
      <c r="B928" s="13">
        <v>45774</v>
      </c>
      <c r="C928">
        <v>2025</v>
      </c>
      <c r="D928">
        <v>4</v>
      </c>
      <c r="E928" t="s">
        <v>3328</v>
      </c>
      <c r="F928" t="s">
        <v>3329</v>
      </c>
      <c r="G928" t="s">
        <v>2161</v>
      </c>
      <c r="H928" t="s">
        <v>2162</v>
      </c>
      <c r="I928" t="s">
        <v>85</v>
      </c>
      <c r="J928">
        <v>53</v>
      </c>
      <c r="K928" t="s">
        <v>83</v>
      </c>
      <c r="L928" t="s">
        <v>95</v>
      </c>
      <c r="M928" t="s">
        <v>56</v>
      </c>
      <c r="N928" t="s">
        <v>2574</v>
      </c>
      <c r="O928" t="s">
        <v>130</v>
      </c>
      <c r="P928" t="s">
        <v>50</v>
      </c>
      <c r="Q928" t="s">
        <v>53</v>
      </c>
      <c r="R928">
        <v>2</v>
      </c>
      <c r="S928">
        <v>1199</v>
      </c>
      <c r="T928">
        <v>0.15</v>
      </c>
      <c r="U928">
        <v>2038.3</v>
      </c>
      <c r="V928">
        <v>1100</v>
      </c>
      <c r="W928">
        <v>938.3</v>
      </c>
      <c r="X928" t="s">
        <v>76</v>
      </c>
      <c r="Y928" t="s">
        <v>68</v>
      </c>
      <c r="Z928" t="s">
        <v>163</v>
      </c>
      <c r="AA928" t="s">
        <v>167</v>
      </c>
      <c r="AB928">
        <v>3.7</v>
      </c>
      <c r="AC928">
        <v>80</v>
      </c>
      <c r="AD928">
        <v>55.01</v>
      </c>
      <c r="AE928">
        <f t="shared" si="28"/>
        <v>803.29</v>
      </c>
      <c r="AF928" t="str">
        <f t="shared" si="29"/>
        <v>2025-04</v>
      </c>
      <c r="AG928">
        <f>SUBTOTAL(103,A928)</f>
        <v>1</v>
      </c>
    </row>
    <row r="929" spans="1:33" x14ac:dyDescent="0.3">
      <c r="A929" t="s">
        <v>3542</v>
      </c>
      <c r="B929" s="13">
        <v>45774</v>
      </c>
      <c r="C929">
        <v>2025</v>
      </c>
      <c r="D929">
        <v>4</v>
      </c>
      <c r="E929" t="s">
        <v>3328</v>
      </c>
      <c r="F929" t="s">
        <v>3329</v>
      </c>
      <c r="G929" t="s">
        <v>537</v>
      </c>
      <c r="H929" t="s">
        <v>538</v>
      </c>
      <c r="I929" t="s">
        <v>86</v>
      </c>
      <c r="J929">
        <v>34</v>
      </c>
      <c r="K929" t="s">
        <v>81</v>
      </c>
      <c r="L929" t="s">
        <v>96</v>
      </c>
      <c r="M929" t="s">
        <v>55</v>
      </c>
      <c r="N929" t="s">
        <v>2590</v>
      </c>
      <c r="O929" t="s">
        <v>127</v>
      </c>
      <c r="P929" t="s">
        <v>51</v>
      </c>
      <c r="Q929" t="s">
        <v>148</v>
      </c>
      <c r="R929">
        <v>3</v>
      </c>
      <c r="S929">
        <v>1599</v>
      </c>
      <c r="T929">
        <v>0</v>
      </c>
      <c r="U929">
        <v>4797</v>
      </c>
      <c r="V929">
        <v>2400</v>
      </c>
      <c r="W929">
        <v>2397</v>
      </c>
      <c r="X929" t="s">
        <v>73</v>
      </c>
      <c r="Y929" t="s">
        <v>68</v>
      </c>
      <c r="Z929" t="s">
        <v>160</v>
      </c>
      <c r="AA929" t="s">
        <v>168</v>
      </c>
      <c r="AB929">
        <v>3.6</v>
      </c>
      <c r="AC929">
        <v>60</v>
      </c>
      <c r="AD929">
        <v>101.12</v>
      </c>
      <c r="AE929">
        <f t="shared" si="28"/>
        <v>2235.88</v>
      </c>
      <c r="AF929" t="str">
        <f t="shared" si="29"/>
        <v>2025-04</v>
      </c>
      <c r="AG929">
        <f>SUBTOTAL(103,A929)</f>
        <v>1</v>
      </c>
    </row>
    <row r="930" spans="1:33" x14ac:dyDescent="0.3">
      <c r="A930" t="s">
        <v>3543</v>
      </c>
      <c r="B930" s="13">
        <v>45774</v>
      </c>
      <c r="C930">
        <v>2025</v>
      </c>
      <c r="D930">
        <v>4</v>
      </c>
      <c r="E930" t="s">
        <v>3328</v>
      </c>
      <c r="F930" t="s">
        <v>3329</v>
      </c>
      <c r="G930" t="s">
        <v>773</v>
      </c>
      <c r="H930" t="s">
        <v>774</v>
      </c>
      <c r="I930" t="s">
        <v>85</v>
      </c>
      <c r="J930">
        <v>29</v>
      </c>
      <c r="K930" t="s">
        <v>81</v>
      </c>
      <c r="L930" t="s">
        <v>93</v>
      </c>
      <c r="M930" t="s">
        <v>55</v>
      </c>
      <c r="N930" t="s">
        <v>2603</v>
      </c>
      <c r="O930" t="s">
        <v>122</v>
      </c>
      <c r="P930" t="s">
        <v>48</v>
      </c>
      <c r="Q930" t="s">
        <v>141</v>
      </c>
      <c r="R930">
        <v>2</v>
      </c>
      <c r="S930">
        <v>2499</v>
      </c>
      <c r="T930">
        <v>0.1</v>
      </c>
      <c r="U930">
        <v>4498.2</v>
      </c>
      <c r="V930">
        <v>2900</v>
      </c>
      <c r="W930">
        <v>1598.2</v>
      </c>
      <c r="X930" t="s">
        <v>75</v>
      </c>
      <c r="Y930" t="s">
        <v>69</v>
      </c>
      <c r="Z930" t="s">
        <v>160</v>
      </c>
      <c r="AA930" t="s">
        <v>167</v>
      </c>
      <c r="AB930">
        <v>2.8</v>
      </c>
      <c r="AC930">
        <v>50</v>
      </c>
      <c r="AD930">
        <v>365.06</v>
      </c>
      <c r="AE930">
        <f t="shared" si="28"/>
        <v>1183.1400000000001</v>
      </c>
      <c r="AF930" t="str">
        <f t="shared" si="29"/>
        <v>2025-04</v>
      </c>
      <c r="AG930">
        <f>SUBTOTAL(103,A930)</f>
        <v>1</v>
      </c>
    </row>
    <row r="931" spans="1:33" x14ac:dyDescent="0.3">
      <c r="A931" t="s">
        <v>3544</v>
      </c>
      <c r="B931" s="13">
        <v>45774</v>
      </c>
      <c r="C931">
        <v>2025</v>
      </c>
      <c r="D931">
        <v>4</v>
      </c>
      <c r="E931" t="s">
        <v>3328</v>
      </c>
      <c r="F931" t="s">
        <v>3329</v>
      </c>
      <c r="G931" t="s">
        <v>501</v>
      </c>
      <c r="H931" t="s">
        <v>502</v>
      </c>
      <c r="I931" t="s">
        <v>86</v>
      </c>
      <c r="J931">
        <v>43</v>
      </c>
      <c r="K931" t="s">
        <v>82</v>
      </c>
      <c r="L931" t="s">
        <v>2573</v>
      </c>
      <c r="M931" t="s">
        <v>63</v>
      </c>
      <c r="N931" t="s">
        <v>2574</v>
      </c>
      <c r="O931" t="s">
        <v>130</v>
      </c>
      <c r="P931" t="s">
        <v>50</v>
      </c>
      <c r="Q931" t="s">
        <v>53</v>
      </c>
      <c r="R931">
        <v>3</v>
      </c>
      <c r="S931">
        <v>1199</v>
      </c>
      <c r="T931">
        <v>0.1</v>
      </c>
      <c r="U931">
        <v>3237.3</v>
      </c>
      <c r="V931">
        <v>1650</v>
      </c>
      <c r="W931">
        <v>1587.3</v>
      </c>
      <c r="X931" t="s">
        <v>74</v>
      </c>
      <c r="Y931" t="s">
        <v>68</v>
      </c>
      <c r="Z931" t="s">
        <v>163</v>
      </c>
      <c r="AA931" t="s">
        <v>169</v>
      </c>
      <c r="AB931">
        <v>5</v>
      </c>
      <c r="AC931">
        <v>50</v>
      </c>
      <c r="AD931">
        <v>181.5</v>
      </c>
      <c r="AE931">
        <f t="shared" si="28"/>
        <v>1355.8</v>
      </c>
      <c r="AF931" t="str">
        <f t="shared" si="29"/>
        <v>2025-04</v>
      </c>
      <c r="AG931">
        <f>SUBTOTAL(103,A931)</f>
        <v>1</v>
      </c>
    </row>
    <row r="932" spans="1:33" x14ac:dyDescent="0.3">
      <c r="A932" t="s">
        <v>3545</v>
      </c>
      <c r="B932" s="13">
        <v>45774</v>
      </c>
      <c r="C932">
        <v>2025</v>
      </c>
      <c r="D932">
        <v>4</v>
      </c>
      <c r="E932" t="s">
        <v>3328</v>
      </c>
      <c r="F932" t="s">
        <v>3329</v>
      </c>
      <c r="G932" t="s">
        <v>1405</v>
      </c>
      <c r="H932" t="s">
        <v>1406</v>
      </c>
      <c r="I932" t="s">
        <v>85</v>
      </c>
      <c r="J932">
        <v>51</v>
      </c>
      <c r="K932" t="s">
        <v>83</v>
      </c>
      <c r="L932" t="s">
        <v>2646</v>
      </c>
      <c r="M932" t="s">
        <v>63</v>
      </c>
      <c r="N932" t="s">
        <v>2596</v>
      </c>
      <c r="O932" t="s">
        <v>124</v>
      </c>
      <c r="P932" t="s">
        <v>51</v>
      </c>
      <c r="Q932" t="s">
        <v>147</v>
      </c>
      <c r="R932">
        <v>1</v>
      </c>
      <c r="S932">
        <v>2299</v>
      </c>
      <c r="T932">
        <v>0.1</v>
      </c>
      <c r="U932">
        <v>2069.1</v>
      </c>
      <c r="V932">
        <v>1200</v>
      </c>
      <c r="W932">
        <v>869.1</v>
      </c>
      <c r="X932" t="s">
        <v>76</v>
      </c>
      <c r="Y932" t="s">
        <v>68</v>
      </c>
      <c r="Z932" t="s">
        <v>159</v>
      </c>
      <c r="AA932" t="s">
        <v>167</v>
      </c>
      <c r="AB932">
        <v>4.5999999999999996</v>
      </c>
      <c r="AC932">
        <v>50</v>
      </c>
      <c r="AD932">
        <v>104.27</v>
      </c>
      <c r="AE932">
        <f t="shared" si="28"/>
        <v>714.83</v>
      </c>
      <c r="AF932" t="str">
        <f t="shared" si="29"/>
        <v>2025-04</v>
      </c>
      <c r="AG932">
        <f>SUBTOTAL(103,A932)</f>
        <v>1</v>
      </c>
    </row>
    <row r="933" spans="1:33" x14ac:dyDescent="0.3">
      <c r="A933" t="s">
        <v>3546</v>
      </c>
      <c r="B933" s="13">
        <v>45774</v>
      </c>
      <c r="C933">
        <v>2025</v>
      </c>
      <c r="D933">
        <v>4</v>
      </c>
      <c r="E933" t="s">
        <v>3328</v>
      </c>
      <c r="F933" t="s">
        <v>3329</v>
      </c>
      <c r="G933" t="s">
        <v>697</v>
      </c>
      <c r="H933" t="s">
        <v>698</v>
      </c>
      <c r="I933" t="s">
        <v>86</v>
      </c>
      <c r="J933">
        <v>37</v>
      </c>
      <c r="K933" t="s">
        <v>82</v>
      </c>
      <c r="L933" t="s">
        <v>59</v>
      </c>
      <c r="M933" t="s">
        <v>59</v>
      </c>
      <c r="N933" t="s">
        <v>2657</v>
      </c>
      <c r="O933" t="s">
        <v>134</v>
      </c>
      <c r="P933" t="s">
        <v>49</v>
      </c>
      <c r="Q933" t="s">
        <v>140</v>
      </c>
      <c r="R933">
        <v>2</v>
      </c>
      <c r="S933">
        <v>599</v>
      </c>
      <c r="T933">
        <v>0.2</v>
      </c>
      <c r="U933">
        <v>958.4</v>
      </c>
      <c r="V933">
        <v>500</v>
      </c>
      <c r="W933">
        <v>458.4</v>
      </c>
      <c r="X933" t="s">
        <v>73</v>
      </c>
      <c r="Y933" t="s">
        <v>68</v>
      </c>
      <c r="Z933" t="s">
        <v>158</v>
      </c>
      <c r="AA933" t="s">
        <v>168</v>
      </c>
      <c r="AB933">
        <v>4.2</v>
      </c>
      <c r="AC933">
        <v>100</v>
      </c>
      <c r="AD933">
        <v>85.26</v>
      </c>
      <c r="AE933">
        <f t="shared" si="28"/>
        <v>273.14</v>
      </c>
      <c r="AF933" t="str">
        <f t="shared" si="29"/>
        <v>2025-04</v>
      </c>
      <c r="AG933">
        <f>SUBTOTAL(103,A933)</f>
        <v>1</v>
      </c>
    </row>
    <row r="934" spans="1:33" x14ac:dyDescent="0.3">
      <c r="A934" t="s">
        <v>3547</v>
      </c>
      <c r="B934" s="13">
        <v>45775</v>
      </c>
      <c r="C934">
        <v>2025</v>
      </c>
      <c r="D934">
        <v>4</v>
      </c>
      <c r="E934" t="s">
        <v>3328</v>
      </c>
      <c r="F934" t="s">
        <v>3329</v>
      </c>
      <c r="G934" t="s">
        <v>781</v>
      </c>
      <c r="H934" t="s">
        <v>782</v>
      </c>
      <c r="I934" t="s">
        <v>85</v>
      </c>
      <c r="J934">
        <v>37</v>
      </c>
      <c r="K934" t="s">
        <v>82</v>
      </c>
      <c r="L934" t="s">
        <v>2674</v>
      </c>
      <c r="M934" t="s">
        <v>58</v>
      </c>
      <c r="N934" t="s">
        <v>2587</v>
      </c>
      <c r="O934" t="s">
        <v>116</v>
      </c>
      <c r="P934" t="s">
        <v>48</v>
      </c>
      <c r="Q934" t="s">
        <v>138</v>
      </c>
      <c r="R934">
        <v>2</v>
      </c>
      <c r="S934">
        <v>14999</v>
      </c>
      <c r="T934">
        <v>0.15</v>
      </c>
      <c r="U934">
        <v>25498.3</v>
      </c>
      <c r="V934">
        <v>22400</v>
      </c>
      <c r="W934">
        <v>3098.3</v>
      </c>
      <c r="X934" t="s">
        <v>74</v>
      </c>
      <c r="Y934" t="s">
        <v>68</v>
      </c>
      <c r="Z934" t="s">
        <v>158</v>
      </c>
      <c r="AA934" t="s">
        <v>166</v>
      </c>
      <c r="AB934">
        <v>4</v>
      </c>
      <c r="AC934">
        <v>80</v>
      </c>
      <c r="AD934">
        <v>2566.5300000000002</v>
      </c>
      <c r="AE934">
        <f t="shared" si="28"/>
        <v>451.77</v>
      </c>
      <c r="AF934" t="str">
        <f t="shared" si="29"/>
        <v>2025-04</v>
      </c>
      <c r="AG934">
        <f>SUBTOTAL(103,A934)</f>
        <v>1</v>
      </c>
    </row>
    <row r="935" spans="1:33" x14ac:dyDescent="0.3">
      <c r="A935" t="s">
        <v>3548</v>
      </c>
      <c r="B935" s="13">
        <v>45775</v>
      </c>
      <c r="C935">
        <v>2025</v>
      </c>
      <c r="D935">
        <v>4</v>
      </c>
      <c r="E935" t="s">
        <v>3328</v>
      </c>
      <c r="F935" t="s">
        <v>3329</v>
      </c>
      <c r="G935" t="s">
        <v>1323</v>
      </c>
      <c r="H935" t="s">
        <v>1324</v>
      </c>
      <c r="I935" t="s">
        <v>86</v>
      </c>
      <c r="J935">
        <v>55</v>
      </c>
      <c r="K935" t="s">
        <v>83</v>
      </c>
      <c r="L935" t="s">
        <v>91</v>
      </c>
      <c r="M935" t="s">
        <v>55</v>
      </c>
      <c r="N935" t="s">
        <v>2596</v>
      </c>
      <c r="O935" t="s">
        <v>124</v>
      </c>
      <c r="P935" t="s">
        <v>51</v>
      </c>
      <c r="Q935" t="s">
        <v>147</v>
      </c>
      <c r="R935">
        <v>3</v>
      </c>
      <c r="S935">
        <v>2299</v>
      </c>
      <c r="T935">
        <v>0</v>
      </c>
      <c r="U935">
        <v>6897</v>
      </c>
      <c r="V935">
        <v>3600</v>
      </c>
      <c r="W935">
        <v>3297</v>
      </c>
      <c r="X935" t="s">
        <v>74</v>
      </c>
      <c r="Y935" t="s">
        <v>70</v>
      </c>
      <c r="Z935" t="s">
        <v>158</v>
      </c>
      <c r="AA935" t="s">
        <v>170</v>
      </c>
      <c r="AB935">
        <v>5</v>
      </c>
      <c r="AC935">
        <v>60</v>
      </c>
      <c r="AD935">
        <v>177.36</v>
      </c>
      <c r="AE935">
        <f t="shared" si="28"/>
        <v>3059.64</v>
      </c>
      <c r="AF935" t="str">
        <f t="shared" si="29"/>
        <v>2025-04</v>
      </c>
      <c r="AG935">
        <f>SUBTOTAL(103,A935)</f>
        <v>1</v>
      </c>
    </row>
    <row r="936" spans="1:33" x14ac:dyDescent="0.3">
      <c r="A936" t="s">
        <v>3549</v>
      </c>
      <c r="B936" s="13">
        <v>45775</v>
      </c>
      <c r="C936">
        <v>2025</v>
      </c>
      <c r="D936">
        <v>4</v>
      </c>
      <c r="E936" t="s">
        <v>3328</v>
      </c>
      <c r="F936" t="s">
        <v>3329</v>
      </c>
      <c r="G936" t="s">
        <v>1261</v>
      </c>
      <c r="H936" t="s">
        <v>1262</v>
      </c>
      <c r="I936" t="s">
        <v>86</v>
      </c>
      <c r="J936">
        <v>60</v>
      </c>
      <c r="K936" t="s">
        <v>83</v>
      </c>
      <c r="L936" t="s">
        <v>96</v>
      </c>
      <c r="M936" t="s">
        <v>55</v>
      </c>
      <c r="N936" t="s">
        <v>2580</v>
      </c>
      <c r="O936" t="s">
        <v>118</v>
      </c>
      <c r="P936" t="s">
        <v>48</v>
      </c>
      <c r="Q936" t="s">
        <v>142</v>
      </c>
      <c r="R936">
        <v>2</v>
      </c>
      <c r="S936">
        <v>3999</v>
      </c>
      <c r="T936">
        <v>0.05</v>
      </c>
      <c r="U936">
        <v>7598.1</v>
      </c>
      <c r="V936">
        <v>4800</v>
      </c>
      <c r="W936">
        <v>2798.1</v>
      </c>
      <c r="X936" t="s">
        <v>75</v>
      </c>
      <c r="Y936" t="s">
        <v>68</v>
      </c>
      <c r="Z936" t="s">
        <v>161</v>
      </c>
      <c r="AA936" t="s">
        <v>167</v>
      </c>
      <c r="AB936">
        <v>2.9</v>
      </c>
      <c r="AC936">
        <v>60</v>
      </c>
      <c r="AD936">
        <v>806.76</v>
      </c>
      <c r="AE936">
        <f t="shared" si="28"/>
        <v>1931.34</v>
      </c>
      <c r="AF936" t="str">
        <f t="shared" si="29"/>
        <v>2025-04</v>
      </c>
      <c r="AG936">
        <f>SUBTOTAL(103,A936)</f>
        <v>1</v>
      </c>
    </row>
    <row r="937" spans="1:33" x14ac:dyDescent="0.3">
      <c r="A937" t="s">
        <v>3550</v>
      </c>
      <c r="B937" s="13">
        <v>45775</v>
      </c>
      <c r="C937">
        <v>2025</v>
      </c>
      <c r="D937">
        <v>4</v>
      </c>
      <c r="E937" t="s">
        <v>3328</v>
      </c>
      <c r="F937" t="s">
        <v>3329</v>
      </c>
      <c r="G937" t="s">
        <v>623</v>
      </c>
      <c r="H937" t="s">
        <v>624</v>
      </c>
      <c r="I937" t="s">
        <v>86</v>
      </c>
      <c r="J937">
        <v>59</v>
      </c>
      <c r="K937" t="s">
        <v>83</v>
      </c>
      <c r="L937" t="s">
        <v>2586</v>
      </c>
      <c r="M937" t="s">
        <v>62</v>
      </c>
      <c r="N937" t="s">
        <v>2601</v>
      </c>
      <c r="O937" t="s">
        <v>117</v>
      </c>
      <c r="P937" t="s">
        <v>49</v>
      </c>
      <c r="Q937" t="s">
        <v>139</v>
      </c>
      <c r="R937">
        <v>5</v>
      </c>
      <c r="S937">
        <v>6999</v>
      </c>
      <c r="T937">
        <v>0.1</v>
      </c>
      <c r="U937">
        <v>31495.5</v>
      </c>
      <c r="V937">
        <v>21500</v>
      </c>
      <c r="W937">
        <v>9995.5</v>
      </c>
      <c r="X937" t="s">
        <v>73</v>
      </c>
      <c r="Y937" t="s">
        <v>68</v>
      </c>
      <c r="Z937" t="s">
        <v>160</v>
      </c>
      <c r="AA937" t="s">
        <v>167</v>
      </c>
      <c r="AB937">
        <v>4.4000000000000004</v>
      </c>
      <c r="AC937">
        <v>60</v>
      </c>
      <c r="AD937">
        <v>2096.6</v>
      </c>
      <c r="AE937">
        <f t="shared" si="28"/>
        <v>7838.9</v>
      </c>
      <c r="AF937" t="str">
        <f t="shared" si="29"/>
        <v>2025-04</v>
      </c>
      <c r="AG937">
        <f>SUBTOTAL(103,A937)</f>
        <v>1</v>
      </c>
    </row>
    <row r="938" spans="1:33" x14ac:dyDescent="0.3">
      <c r="A938" t="s">
        <v>3551</v>
      </c>
      <c r="B938" s="13">
        <v>45775</v>
      </c>
      <c r="C938">
        <v>2025</v>
      </c>
      <c r="D938">
        <v>4</v>
      </c>
      <c r="E938" t="s">
        <v>3328</v>
      </c>
      <c r="F938" t="s">
        <v>3329</v>
      </c>
      <c r="G938" t="s">
        <v>957</v>
      </c>
      <c r="H938" t="s">
        <v>958</v>
      </c>
      <c r="I938" t="s">
        <v>86</v>
      </c>
      <c r="J938">
        <v>60</v>
      </c>
      <c r="K938" t="s">
        <v>83</v>
      </c>
      <c r="L938" t="s">
        <v>2687</v>
      </c>
      <c r="M938" t="s">
        <v>57</v>
      </c>
      <c r="N938" t="s">
        <v>2587</v>
      </c>
      <c r="O938" t="s">
        <v>116</v>
      </c>
      <c r="P938" t="s">
        <v>48</v>
      </c>
      <c r="Q938" t="s">
        <v>138</v>
      </c>
      <c r="R938">
        <v>1</v>
      </c>
      <c r="S938">
        <v>14999</v>
      </c>
      <c r="T938">
        <v>0.05</v>
      </c>
      <c r="U938">
        <v>14249.05</v>
      </c>
      <c r="V938">
        <v>11200</v>
      </c>
      <c r="W938">
        <v>3049.05</v>
      </c>
      <c r="X938" t="s">
        <v>73</v>
      </c>
      <c r="Y938" t="s">
        <v>68</v>
      </c>
      <c r="Z938" t="s">
        <v>161</v>
      </c>
      <c r="AA938" t="s">
        <v>167</v>
      </c>
      <c r="AB938">
        <v>3.6</v>
      </c>
      <c r="AC938">
        <v>80</v>
      </c>
      <c r="AD938">
        <v>374.72</v>
      </c>
      <c r="AE938">
        <f t="shared" si="28"/>
        <v>2594.33</v>
      </c>
      <c r="AF938" t="str">
        <f t="shared" si="29"/>
        <v>2025-04</v>
      </c>
      <c r="AG938">
        <f>SUBTOTAL(103,A938)</f>
        <v>1</v>
      </c>
    </row>
    <row r="939" spans="1:33" x14ac:dyDescent="0.3">
      <c r="A939" t="s">
        <v>3552</v>
      </c>
      <c r="B939" s="13">
        <v>45775</v>
      </c>
      <c r="C939">
        <v>2025</v>
      </c>
      <c r="D939">
        <v>4</v>
      </c>
      <c r="E939" t="s">
        <v>3328</v>
      </c>
      <c r="F939" t="s">
        <v>3329</v>
      </c>
      <c r="G939" t="s">
        <v>1939</v>
      </c>
      <c r="H939" t="s">
        <v>1940</v>
      </c>
      <c r="I939" t="s">
        <v>85</v>
      </c>
      <c r="J939">
        <v>22</v>
      </c>
      <c r="K939" t="s">
        <v>80</v>
      </c>
      <c r="L939" t="s">
        <v>2599</v>
      </c>
      <c r="M939" t="s">
        <v>62</v>
      </c>
      <c r="N939" t="s">
        <v>2653</v>
      </c>
      <c r="O939" t="s">
        <v>132</v>
      </c>
      <c r="P939" t="s">
        <v>52</v>
      </c>
      <c r="Q939" t="s">
        <v>150</v>
      </c>
      <c r="R939">
        <v>1</v>
      </c>
      <c r="S939">
        <v>899</v>
      </c>
      <c r="T939">
        <v>0.15</v>
      </c>
      <c r="U939">
        <v>764.15</v>
      </c>
      <c r="V939">
        <v>420</v>
      </c>
      <c r="W939">
        <v>344.15</v>
      </c>
      <c r="X939" t="s">
        <v>75</v>
      </c>
      <c r="Y939" t="s">
        <v>70</v>
      </c>
      <c r="Z939" t="s">
        <v>159</v>
      </c>
      <c r="AA939" t="s">
        <v>168</v>
      </c>
      <c r="AB939">
        <v>3.6</v>
      </c>
      <c r="AC939">
        <v>120</v>
      </c>
      <c r="AD939">
        <v>71.290000000000006</v>
      </c>
      <c r="AE939">
        <f t="shared" si="28"/>
        <v>152.85999999999996</v>
      </c>
      <c r="AF939" t="str">
        <f t="shared" si="29"/>
        <v>2025-04</v>
      </c>
      <c r="AG939">
        <f>SUBTOTAL(103,A939)</f>
        <v>1</v>
      </c>
    </row>
    <row r="940" spans="1:33" x14ac:dyDescent="0.3">
      <c r="A940" t="s">
        <v>3553</v>
      </c>
      <c r="B940" s="13">
        <v>45775</v>
      </c>
      <c r="C940">
        <v>2025</v>
      </c>
      <c r="D940">
        <v>4</v>
      </c>
      <c r="E940" t="s">
        <v>3328</v>
      </c>
      <c r="F940" t="s">
        <v>3329</v>
      </c>
      <c r="G940" t="s">
        <v>977</v>
      </c>
      <c r="H940" t="s">
        <v>978</v>
      </c>
      <c r="I940" t="s">
        <v>85</v>
      </c>
      <c r="J940">
        <v>23</v>
      </c>
      <c r="K940" t="s">
        <v>80</v>
      </c>
      <c r="L940" t="s">
        <v>2679</v>
      </c>
      <c r="M940" t="s">
        <v>60</v>
      </c>
      <c r="N940" t="s">
        <v>2582</v>
      </c>
      <c r="O940" t="s">
        <v>119</v>
      </c>
      <c r="P940" t="s">
        <v>49</v>
      </c>
      <c r="Q940" t="s">
        <v>140</v>
      </c>
      <c r="R940">
        <v>3</v>
      </c>
      <c r="S940">
        <v>3499</v>
      </c>
      <c r="T940">
        <v>0.2</v>
      </c>
      <c r="U940">
        <v>8397.6</v>
      </c>
      <c r="V940">
        <v>6300</v>
      </c>
      <c r="W940">
        <v>2097.6</v>
      </c>
      <c r="X940" t="s">
        <v>74</v>
      </c>
      <c r="Y940" t="s">
        <v>68</v>
      </c>
      <c r="Z940" t="s">
        <v>163</v>
      </c>
      <c r="AA940" t="s">
        <v>167</v>
      </c>
      <c r="AB940">
        <v>3.7</v>
      </c>
      <c r="AC940">
        <v>50</v>
      </c>
      <c r="AD940">
        <v>454.78</v>
      </c>
      <c r="AE940">
        <f t="shared" si="28"/>
        <v>1592.82</v>
      </c>
      <c r="AF940" t="str">
        <f t="shared" si="29"/>
        <v>2025-04</v>
      </c>
      <c r="AG940">
        <f>SUBTOTAL(103,A940)</f>
        <v>1</v>
      </c>
    </row>
    <row r="941" spans="1:33" x14ac:dyDescent="0.3">
      <c r="A941" t="s">
        <v>3554</v>
      </c>
      <c r="B941" s="13">
        <v>45775</v>
      </c>
      <c r="C941">
        <v>2025</v>
      </c>
      <c r="D941">
        <v>4</v>
      </c>
      <c r="E941" t="s">
        <v>3328</v>
      </c>
      <c r="F941" t="s">
        <v>3329</v>
      </c>
      <c r="G941" t="s">
        <v>1797</v>
      </c>
      <c r="H941" t="s">
        <v>1798</v>
      </c>
      <c r="I941" t="s">
        <v>85</v>
      </c>
      <c r="J941">
        <v>18</v>
      </c>
      <c r="K941" t="s">
        <v>80</v>
      </c>
      <c r="L941" t="s">
        <v>96</v>
      </c>
      <c r="M941" t="s">
        <v>55</v>
      </c>
      <c r="N941" t="s">
        <v>2626</v>
      </c>
      <c r="O941" t="s">
        <v>125</v>
      </c>
      <c r="P941" t="s">
        <v>48</v>
      </c>
      <c r="Q941" t="s">
        <v>141</v>
      </c>
      <c r="R941">
        <v>2</v>
      </c>
      <c r="S941">
        <v>1999</v>
      </c>
      <c r="T941">
        <v>0.1</v>
      </c>
      <c r="U941">
        <v>0</v>
      </c>
      <c r="V941">
        <v>0</v>
      </c>
      <c r="W941">
        <v>0</v>
      </c>
      <c r="X941" t="s">
        <v>73</v>
      </c>
      <c r="Y941" t="s">
        <v>71</v>
      </c>
      <c r="Z941" t="s">
        <v>158</v>
      </c>
      <c r="AA941" t="s">
        <v>167</v>
      </c>
      <c r="AB941">
        <v>4</v>
      </c>
      <c r="AC941">
        <v>60</v>
      </c>
      <c r="AD941">
        <v>350.27</v>
      </c>
      <c r="AE941">
        <f t="shared" si="28"/>
        <v>-410.27</v>
      </c>
      <c r="AF941" t="str">
        <f t="shared" si="29"/>
        <v>2025-04</v>
      </c>
      <c r="AG941">
        <f>SUBTOTAL(103,A941)</f>
        <v>1</v>
      </c>
    </row>
    <row r="942" spans="1:33" x14ac:dyDescent="0.3">
      <c r="A942" t="s">
        <v>3555</v>
      </c>
      <c r="B942" s="13">
        <v>45775</v>
      </c>
      <c r="C942">
        <v>2025</v>
      </c>
      <c r="D942">
        <v>4</v>
      </c>
      <c r="E942" t="s">
        <v>3328</v>
      </c>
      <c r="F942" t="s">
        <v>3329</v>
      </c>
      <c r="G942" t="s">
        <v>383</v>
      </c>
      <c r="H942" t="s">
        <v>384</v>
      </c>
      <c r="I942" t="s">
        <v>86</v>
      </c>
      <c r="J942">
        <v>36</v>
      </c>
      <c r="K942" t="s">
        <v>82</v>
      </c>
      <c r="L942" t="s">
        <v>2634</v>
      </c>
      <c r="M942" t="s">
        <v>56</v>
      </c>
      <c r="N942" t="s">
        <v>2596</v>
      </c>
      <c r="O942" t="s">
        <v>124</v>
      </c>
      <c r="P942" t="s">
        <v>51</v>
      </c>
      <c r="Q942" t="s">
        <v>147</v>
      </c>
      <c r="R942">
        <v>5</v>
      </c>
      <c r="S942">
        <v>2299</v>
      </c>
      <c r="T942">
        <v>0</v>
      </c>
      <c r="U942">
        <v>11495</v>
      </c>
      <c r="V942">
        <v>6000</v>
      </c>
      <c r="W942">
        <v>5495</v>
      </c>
      <c r="X942" t="s">
        <v>77</v>
      </c>
      <c r="Y942" t="s">
        <v>68</v>
      </c>
      <c r="Z942" t="s">
        <v>158</v>
      </c>
      <c r="AA942" t="s">
        <v>171</v>
      </c>
      <c r="AB942">
        <v>4.2</v>
      </c>
      <c r="AC942">
        <v>40</v>
      </c>
      <c r="AD942">
        <v>723.72</v>
      </c>
      <c r="AE942">
        <f t="shared" si="28"/>
        <v>4731.28</v>
      </c>
      <c r="AF942" t="str">
        <f t="shared" si="29"/>
        <v>2025-04</v>
      </c>
      <c r="AG942">
        <f>SUBTOTAL(103,A942)</f>
        <v>1</v>
      </c>
    </row>
    <row r="943" spans="1:33" x14ac:dyDescent="0.3">
      <c r="A943" t="s">
        <v>3556</v>
      </c>
      <c r="B943" s="13">
        <v>45775</v>
      </c>
      <c r="C943">
        <v>2025</v>
      </c>
      <c r="D943">
        <v>4</v>
      </c>
      <c r="E943" t="s">
        <v>3328</v>
      </c>
      <c r="F943" t="s">
        <v>3329</v>
      </c>
      <c r="G943" t="s">
        <v>273</v>
      </c>
      <c r="H943" t="s">
        <v>274</v>
      </c>
      <c r="I943" t="s">
        <v>86</v>
      </c>
      <c r="J943">
        <v>36</v>
      </c>
      <c r="K943" t="s">
        <v>82</v>
      </c>
      <c r="L943" t="s">
        <v>99</v>
      </c>
      <c r="M943" t="s">
        <v>58</v>
      </c>
      <c r="N943" t="s">
        <v>2584</v>
      </c>
      <c r="O943" t="s">
        <v>121</v>
      </c>
      <c r="P943" t="s">
        <v>50</v>
      </c>
      <c r="Q943" t="s">
        <v>144</v>
      </c>
      <c r="R943">
        <v>2</v>
      </c>
      <c r="S943">
        <v>2999</v>
      </c>
      <c r="T943">
        <v>0</v>
      </c>
      <c r="U943">
        <v>5998</v>
      </c>
      <c r="V943">
        <v>3400</v>
      </c>
      <c r="W943">
        <v>2598</v>
      </c>
      <c r="X943" t="s">
        <v>73</v>
      </c>
      <c r="Y943" t="s">
        <v>69</v>
      </c>
      <c r="Z943" t="s">
        <v>161</v>
      </c>
      <c r="AA943" t="s">
        <v>169</v>
      </c>
      <c r="AB943">
        <v>4.4000000000000004</v>
      </c>
      <c r="AC943">
        <v>80</v>
      </c>
      <c r="AD943">
        <v>583.53</v>
      </c>
      <c r="AE943">
        <f t="shared" si="28"/>
        <v>1934.47</v>
      </c>
      <c r="AF943" t="str">
        <f t="shared" si="29"/>
        <v>2025-04</v>
      </c>
      <c r="AG943">
        <f>SUBTOTAL(103,A943)</f>
        <v>1</v>
      </c>
    </row>
    <row r="944" spans="1:33" x14ac:dyDescent="0.3">
      <c r="A944" t="s">
        <v>3557</v>
      </c>
      <c r="B944" s="13">
        <v>45776</v>
      </c>
      <c r="C944">
        <v>2025</v>
      </c>
      <c r="D944">
        <v>4</v>
      </c>
      <c r="E944" t="s">
        <v>3328</v>
      </c>
      <c r="F944" t="s">
        <v>3329</v>
      </c>
      <c r="G944" t="s">
        <v>445</v>
      </c>
      <c r="H944" t="s">
        <v>446</v>
      </c>
      <c r="I944" t="s">
        <v>86</v>
      </c>
      <c r="J944">
        <v>30</v>
      </c>
      <c r="K944" t="s">
        <v>81</v>
      </c>
      <c r="L944" t="s">
        <v>2616</v>
      </c>
      <c r="M944" t="s">
        <v>62</v>
      </c>
      <c r="N944" t="s">
        <v>2587</v>
      </c>
      <c r="O944" t="s">
        <v>116</v>
      </c>
      <c r="P944" t="s">
        <v>48</v>
      </c>
      <c r="Q944" t="s">
        <v>138</v>
      </c>
      <c r="R944">
        <v>4</v>
      </c>
      <c r="S944">
        <v>14999</v>
      </c>
      <c r="T944">
        <v>0.2</v>
      </c>
      <c r="U944">
        <v>47996.800000000003</v>
      </c>
      <c r="V944">
        <v>44800</v>
      </c>
      <c r="W944">
        <v>3196.8</v>
      </c>
      <c r="X944" t="s">
        <v>76</v>
      </c>
      <c r="Y944" t="s">
        <v>68</v>
      </c>
      <c r="Z944" t="s">
        <v>158</v>
      </c>
      <c r="AA944" t="s">
        <v>167</v>
      </c>
      <c r="AB944">
        <v>4.5</v>
      </c>
      <c r="AC944">
        <v>60</v>
      </c>
      <c r="AD944">
        <v>1255.07</v>
      </c>
      <c r="AE944">
        <f t="shared" si="28"/>
        <v>1881.7300000000002</v>
      </c>
      <c r="AF944" t="str">
        <f t="shared" si="29"/>
        <v>2025-04</v>
      </c>
      <c r="AG944">
        <f>SUBTOTAL(103,A944)</f>
        <v>1</v>
      </c>
    </row>
    <row r="945" spans="1:33" x14ac:dyDescent="0.3">
      <c r="A945" t="s">
        <v>3558</v>
      </c>
      <c r="B945" s="13">
        <v>45776</v>
      </c>
      <c r="C945">
        <v>2025</v>
      </c>
      <c r="D945">
        <v>4</v>
      </c>
      <c r="E945" t="s">
        <v>3328</v>
      </c>
      <c r="F945" t="s">
        <v>3329</v>
      </c>
      <c r="G945" t="s">
        <v>2123</v>
      </c>
      <c r="H945" t="s">
        <v>2124</v>
      </c>
      <c r="I945" t="s">
        <v>85</v>
      </c>
      <c r="J945">
        <v>39</v>
      </c>
      <c r="K945" t="s">
        <v>82</v>
      </c>
      <c r="L945" t="s">
        <v>2610</v>
      </c>
      <c r="M945" t="s">
        <v>64</v>
      </c>
      <c r="N945" t="s">
        <v>2590</v>
      </c>
      <c r="O945" t="s">
        <v>127</v>
      </c>
      <c r="P945" t="s">
        <v>51</v>
      </c>
      <c r="Q945" t="s">
        <v>148</v>
      </c>
      <c r="R945">
        <v>1</v>
      </c>
      <c r="S945">
        <v>1599</v>
      </c>
      <c r="T945">
        <v>0.15</v>
      </c>
      <c r="U945">
        <v>1359.15</v>
      </c>
      <c r="V945">
        <v>800</v>
      </c>
      <c r="W945">
        <v>559.15</v>
      </c>
      <c r="X945" t="s">
        <v>76</v>
      </c>
      <c r="Y945" t="s">
        <v>69</v>
      </c>
      <c r="Z945" t="s">
        <v>158</v>
      </c>
      <c r="AA945" t="s">
        <v>171</v>
      </c>
      <c r="AB945">
        <v>3.4</v>
      </c>
      <c r="AC945">
        <v>50</v>
      </c>
      <c r="AD945">
        <v>58.06</v>
      </c>
      <c r="AE945">
        <f t="shared" si="28"/>
        <v>451.09</v>
      </c>
      <c r="AF945" t="str">
        <f t="shared" si="29"/>
        <v>2025-04</v>
      </c>
      <c r="AG945">
        <f>SUBTOTAL(103,A945)</f>
        <v>1</v>
      </c>
    </row>
    <row r="946" spans="1:33" x14ac:dyDescent="0.3">
      <c r="A946" t="s">
        <v>3559</v>
      </c>
      <c r="B946" s="13">
        <v>45776</v>
      </c>
      <c r="C946">
        <v>2025</v>
      </c>
      <c r="D946">
        <v>4</v>
      </c>
      <c r="E946" t="s">
        <v>3328</v>
      </c>
      <c r="F946" t="s">
        <v>3329</v>
      </c>
      <c r="G946" t="s">
        <v>1435</v>
      </c>
      <c r="H946" t="s">
        <v>1436</v>
      </c>
      <c r="I946" t="s">
        <v>86</v>
      </c>
      <c r="J946">
        <v>53</v>
      </c>
      <c r="K946" t="s">
        <v>83</v>
      </c>
      <c r="L946" t="s">
        <v>2687</v>
      </c>
      <c r="M946" t="s">
        <v>57</v>
      </c>
      <c r="N946" t="s">
        <v>2590</v>
      </c>
      <c r="O946" t="s">
        <v>127</v>
      </c>
      <c r="P946" t="s">
        <v>51</v>
      </c>
      <c r="Q946" t="s">
        <v>148</v>
      </c>
      <c r="R946">
        <v>5</v>
      </c>
      <c r="S946">
        <v>1599</v>
      </c>
      <c r="T946">
        <v>0</v>
      </c>
      <c r="U946">
        <v>7995</v>
      </c>
      <c r="V946">
        <v>4000</v>
      </c>
      <c r="W946">
        <v>3995</v>
      </c>
      <c r="X946" t="s">
        <v>73</v>
      </c>
      <c r="Y946" t="s">
        <v>69</v>
      </c>
      <c r="Z946" t="s">
        <v>163</v>
      </c>
      <c r="AA946" t="s">
        <v>170</v>
      </c>
      <c r="AB946">
        <v>4</v>
      </c>
      <c r="AC946">
        <v>60</v>
      </c>
      <c r="AD946">
        <v>389.09</v>
      </c>
      <c r="AE946">
        <f t="shared" si="28"/>
        <v>3545.91</v>
      </c>
      <c r="AF946" t="str">
        <f t="shared" si="29"/>
        <v>2025-04</v>
      </c>
      <c r="AG946">
        <f>SUBTOTAL(103,A946)</f>
        <v>1</v>
      </c>
    </row>
    <row r="947" spans="1:33" x14ac:dyDescent="0.3">
      <c r="A947" t="s">
        <v>3560</v>
      </c>
      <c r="B947" s="13">
        <v>45776</v>
      </c>
      <c r="C947">
        <v>2025</v>
      </c>
      <c r="D947">
        <v>4</v>
      </c>
      <c r="E947" t="s">
        <v>3328</v>
      </c>
      <c r="F947" t="s">
        <v>3329</v>
      </c>
      <c r="G947" t="s">
        <v>1173</v>
      </c>
      <c r="H947" t="s">
        <v>1174</v>
      </c>
      <c r="I947" t="s">
        <v>86</v>
      </c>
      <c r="J947">
        <v>43</v>
      </c>
      <c r="K947" t="s">
        <v>82</v>
      </c>
      <c r="L947" t="s">
        <v>2576</v>
      </c>
      <c r="M947" t="s">
        <v>60</v>
      </c>
      <c r="N947" t="s">
        <v>2582</v>
      </c>
      <c r="O947" t="s">
        <v>119</v>
      </c>
      <c r="P947" t="s">
        <v>49</v>
      </c>
      <c r="Q947" t="s">
        <v>140</v>
      </c>
      <c r="R947">
        <v>2</v>
      </c>
      <c r="S947">
        <v>3499</v>
      </c>
      <c r="T947">
        <v>0</v>
      </c>
      <c r="U947">
        <v>6998</v>
      </c>
      <c r="V947">
        <v>4200</v>
      </c>
      <c r="W947">
        <v>2798</v>
      </c>
      <c r="X947" t="s">
        <v>77</v>
      </c>
      <c r="Y947" t="s">
        <v>68</v>
      </c>
      <c r="Z947" t="s">
        <v>161</v>
      </c>
      <c r="AA947" t="s">
        <v>167</v>
      </c>
      <c r="AB947">
        <v>5</v>
      </c>
      <c r="AC947">
        <v>60</v>
      </c>
      <c r="AD947">
        <v>818.93</v>
      </c>
      <c r="AE947">
        <f t="shared" si="28"/>
        <v>1919.0700000000002</v>
      </c>
      <c r="AF947" t="str">
        <f t="shared" si="29"/>
        <v>2025-04</v>
      </c>
      <c r="AG947">
        <f>SUBTOTAL(103,A947)</f>
        <v>1</v>
      </c>
    </row>
    <row r="948" spans="1:33" x14ac:dyDescent="0.3">
      <c r="A948" t="s">
        <v>3561</v>
      </c>
      <c r="B948" s="13">
        <v>45777</v>
      </c>
      <c r="C948">
        <v>2025</v>
      </c>
      <c r="D948">
        <v>4</v>
      </c>
      <c r="E948" t="s">
        <v>3328</v>
      </c>
      <c r="F948" t="s">
        <v>3329</v>
      </c>
      <c r="G948" t="s">
        <v>901</v>
      </c>
      <c r="H948" t="s">
        <v>902</v>
      </c>
      <c r="I948" t="s">
        <v>86</v>
      </c>
      <c r="J948">
        <v>44</v>
      </c>
      <c r="K948" t="s">
        <v>82</v>
      </c>
      <c r="L948" t="s">
        <v>2687</v>
      </c>
      <c r="M948" t="s">
        <v>57</v>
      </c>
      <c r="N948" t="s">
        <v>2577</v>
      </c>
      <c r="O948" t="s">
        <v>129</v>
      </c>
      <c r="P948" t="s">
        <v>49</v>
      </c>
      <c r="Q948" t="s">
        <v>149</v>
      </c>
      <c r="R948">
        <v>1</v>
      </c>
      <c r="S948">
        <v>1299</v>
      </c>
      <c r="T948">
        <v>0.05</v>
      </c>
      <c r="U948">
        <v>0</v>
      </c>
      <c r="V948">
        <v>0</v>
      </c>
      <c r="W948">
        <v>0</v>
      </c>
      <c r="X948" t="s">
        <v>73</v>
      </c>
      <c r="Y948" t="s">
        <v>71</v>
      </c>
      <c r="Z948" t="s">
        <v>161</v>
      </c>
      <c r="AA948" t="s">
        <v>168</v>
      </c>
      <c r="AB948">
        <v>4.7</v>
      </c>
      <c r="AC948">
        <v>40</v>
      </c>
      <c r="AD948">
        <v>60.65</v>
      </c>
      <c r="AE948">
        <f t="shared" si="28"/>
        <v>-100.65</v>
      </c>
      <c r="AF948" t="str">
        <f t="shared" si="29"/>
        <v>2025-04</v>
      </c>
      <c r="AG948">
        <f>SUBTOTAL(103,A948)</f>
        <v>1</v>
      </c>
    </row>
    <row r="949" spans="1:33" x14ac:dyDescent="0.3">
      <c r="A949" t="s">
        <v>3562</v>
      </c>
      <c r="B949" s="13">
        <v>45777</v>
      </c>
      <c r="C949">
        <v>2025</v>
      </c>
      <c r="D949">
        <v>4</v>
      </c>
      <c r="E949" t="s">
        <v>3328</v>
      </c>
      <c r="F949" t="s">
        <v>3329</v>
      </c>
      <c r="G949" t="s">
        <v>965</v>
      </c>
      <c r="H949" t="s">
        <v>966</v>
      </c>
      <c r="I949" t="s">
        <v>85</v>
      </c>
      <c r="J949">
        <v>40</v>
      </c>
      <c r="K949" t="s">
        <v>82</v>
      </c>
      <c r="L949" t="s">
        <v>93</v>
      </c>
      <c r="M949" t="s">
        <v>55</v>
      </c>
      <c r="N949" t="s">
        <v>2653</v>
      </c>
      <c r="O949" t="s">
        <v>132</v>
      </c>
      <c r="P949" t="s">
        <v>52</v>
      </c>
      <c r="Q949" t="s">
        <v>150</v>
      </c>
      <c r="R949">
        <v>1</v>
      </c>
      <c r="S949">
        <v>899</v>
      </c>
      <c r="T949">
        <v>0.15</v>
      </c>
      <c r="U949">
        <v>0</v>
      </c>
      <c r="V949">
        <v>0</v>
      </c>
      <c r="W949">
        <v>0</v>
      </c>
      <c r="X949" t="s">
        <v>74</v>
      </c>
      <c r="Y949" t="s">
        <v>71</v>
      </c>
      <c r="Z949" t="s">
        <v>158</v>
      </c>
      <c r="AA949" t="s">
        <v>166</v>
      </c>
      <c r="AB949">
        <v>3.9</v>
      </c>
      <c r="AC949">
        <v>100</v>
      </c>
      <c r="AD949">
        <v>63.3</v>
      </c>
      <c r="AE949">
        <f t="shared" si="28"/>
        <v>-163.30000000000001</v>
      </c>
      <c r="AF949" t="str">
        <f t="shared" si="29"/>
        <v>2025-04</v>
      </c>
      <c r="AG949">
        <f>SUBTOTAL(103,A949)</f>
        <v>1</v>
      </c>
    </row>
    <row r="950" spans="1:33" x14ac:dyDescent="0.3">
      <c r="A950" t="s">
        <v>3563</v>
      </c>
      <c r="B950" s="13">
        <v>45777</v>
      </c>
      <c r="C950">
        <v>2025</v>
      </c>
      <c r="D950">
        <v>4</v>
      </c>
      <c r="E950" t="s">
        <v>3328</v>
      </c>
      <c r="F950" t="s">
        <v>3329</v>
      </c>
      <c r="G950" t="s">
        <v>1985</v>
      </c>
      <c r="H950" t="s">
        <v>1986</v>
      </c>
      <c r="I950" t="s">
        <v>86</v>
      </c>
      <c r="J950">
        <v>18</v>
      </c>
      <c r="K950" t="s">
        <v>80</v>
      </c>
      <c r="L950" t="s">
        <v>2623</v>
      </c>
      <c r="M950" t="s">
        <v>61</v>
      </c>
      <c r="N950" t="s">
        <v>2594</v>
      </c>
      <c r="O950" t="s">
        <v>131</v>
      </c>
      <c r="P950" t="s">
        <v>53</v>
      </c>
      <c r="Q950" t="s">
        <v>143</v>
      </c>
      <c r="R950">
        <v>2</v>
      </c>
      <c r="S950">
        <v>999</v>
      </c>
      <c r="T950">
        <v>0</v>
      </c>
      <c r="U950">
        <v>1998</v>
      </c>
      <c r="V950">
        <v>1040</v>
      </c>
      <c r="W950">
        <v>958</v>
      </c>
      <c r="X950" t="s">
        <v>76</v>
      </c>
      <c r="Y950" t="s">
        <v>68</v>
      </c>
      <c r="Z950" t="s">
        <v>161</v>
      </c>
      <c r="AA950" t="s">
        <v>171</v>
      </c>
      <c r="AB950">
        <v>4.0999999999999996</v>
      </c>
      <c r="AC950">
        <v>60</v>
      </c>
      <c r="AD950">
        <v>61</v>
      </c>
      <c r="AE950">
        <f t="shared" si="28"/>
        <v>837</v>
      </c>
      <c r="AF950" t="str">
        <f t="shared" si="29"/>
        <v>2025-04</v>
      </c>
      <c r="AG950">
        <f>SUBTOTAL(103,A950)</f>
        <v>1</v>
      </c>
    </row>
    <row r="951" spans="1:33" x14ac:dyDescent="0.3">
      <c r="A951" t="s">
        <v>3564</v>
      </c>
      <c r="B951" s="13">
        <v>45777</v>
      </c>
      <c r="C951">
        <v>2025</v>
      </c>
      <c r="D951">
        <v>4</v>
      </c>
      <c r="E951" t="s">
        <v>3328</v>
      </c>
      <c r="F951" t="s">
        <v>3329</v>
      </c>
      <c r="G951" t="s">
        <v>2237</v>
      </c>
      <c r="H951" t="s">
        <v>2238</v>
      </c>
      <c r="I951" t="s">
        <v>86</v>
      </c>
      <c r="J951">
        <v>30</v>
      </c>
      <c r="K951" t="s">
        <v>81</v>
      </c>
      <c r="L951" t="s">
        <v>100</v>
      </c>
      <c r="M951" t="s">
        <v>56</v>
      </c>
      <c r="N951" t="s">
        <v>2606</v>
      </c>
      <c r="O951" t="s">
        <v>120</v>
      </c>
      <c r="P951" t="s">
        <v>49</v>
      </c>
      <c r="Q951" t="s">
        <v>140</v>
      </c>
      <c r="R951">
        <v>1</v>
      </c>
      <c r="S951">
        <v>2799</v>
      </c>
      <c r="T951">
        <v>0.15</v>
      </c>
      <c r="U951">
        <v>2379.15</v>
      </c>
      <c r="V951">
        <v>1650</v>
      </c>
      <c r="W951">
        <v>729.15</v>
      </c>
      <c r="X951" t="s">
        <v>73</v>
      </c>
      <c r="Y951" t="s">
        <v>68</v>
      </c>
      <c r="Z951" t="s">
        <v>158</v>
      </c>
      <c r="AA951" t="s">
        <v>170</v>
      </c>
      <c r="AB951">
        <v>4</v>
      </c>
      <c r="AC951">
        <v>50</v>
      </c>
      <c r="AD951">
        <v>58.99</v>
      </c>
      <c r="AE951">
        <f t="shared" si="28"/>
        <v>620.16</v>
      </c>
      <c r="AF951" t="str">
        <f t="shared" si="29"/>
        <v>2025-04</v>
      </c>
      <c r="AG951">
        <f>SUBTOTAL(103,A951)</f>
        <v>1</v>
      </c>
    </row>
    <row r="952" spans="1:33" x14ac:dyDescent="0.3">
      <c r="A952" t="s">
        <v>3565</v>
      </c>
      <c r="B952" s="13">
        <v>45778</v>
      </c>
      <c r="C952">
        <v>2025</v>
      </c>
      <c r="D952">
        <v>5</v>
      </c>
      <c r="E952" t="s">
        <v>3566</v>
      </c>
      <c r="F952" t="s">
        <v>3329</v>
      </c>
      <c r="G952" t="s">
        <v>2335</v>
      </c>
      <c r="H952" t="s">
        <v>2336</v>
      </c>
      <c r="I952" t="s">
        <v>85</v>
      </c>
      <c r="J952">
        <v>19</v>
      </c>
      <c r="K952" t="s">
        <v>80</v>
      </c>
      <c r="L952" t="s">
        <v>2623</v>
      </c>
      <c r="M952" t="s">
        <v>61</v>
      </c>
      <c r="N952" t="s">
        <v>2647</v>
      </c>
      <c r="O952" t="s">
        <v>133</v>
      </c>
      <c r="P952" t="s">
        <v>50</v>
      </c>
      <c r="Q952" t="s">
        <v>145</v>
      </c>
      <c r="R952">
        <v>3</v>
      </c>
      <c r="S952">
        <v>799</v>
      </c>
      <c r="T952">
        <v>0.05</v>
      </c>
      <c r="U952">
        <v>2277.15</v>
      </c>
      <c r="V952">
        <v>1170</v>
      </c>
      <c r="W952">
        <v>1107.1500000000001</v>
      </c>
      <c r="X952" t="s">
        <v>73</v>
      </c>
      <c r="Y952" t="s">
        <v>68</v>
      </c>
      <c r="Z952" t="s">
        <v>158</v>
      </c>
      <c r="AA952" t="s">
        <v>166</v>
      </c>
      <c r="AB952">
        <v>4.5999999999999996</v>
      </c>
      <c r="AC952">
        <v>60</v>
      </c>
      <c r="AD952">
        <v>184.62</v>
      </c>
      <c r="AE952">
        <f t="shared" si="28"/>
        <v>862.53000000000009</v>
      </c>
      <c r="AF952" t="str">
        <f t="shared" si="29"/>
        <v>2025-05</v>
      </c>
      <c r="AG952">
        <f>SUBTOTAL(103,A952)</f>
        <v>1</v>
      </c>
    </row>
    <row r="953" spans="1:33" x14ac:dyDescent="0.3">
      <c r="A953" t="s">
        <v>3567</v>
      </c>
      <c r="B953" s="13">
        <v>45778</v>
      </c>
      <c r="C953">
        <v>2025</v>
      </c>
      <c r="D953">
        <v>5</v>
      </c>
      <c r="E953" t="s">
        <v>3566</v>
      </c>
      <c r="F953" t="s">
        <v>3329</v>
      </c>
      <c r="G953" t="s">
        <v>1687</v>
      </c>
      <c r="H953" t="s">
        <v>1688</v>
      </c>
      <c r="I953" t="s">
        <v>85</v>
      </c>
      <c r="J953">
        <v>35</v>
      </c>
      <c r="K953" t="s">
        <v>81</v>
      </c>
      <c r="L953" t="s">
        <v>94</v>
      </c>
      <c r="M953" t="s">
        <v>57</v>
      </c>
      <c r="N953" t="s">
        <v>2577</v>
      </c>
      <c r="O953" t="s">
        <v>129</v>
      </c>
      <c r="P953" t="s">
        <v>49</v>
      </c>
      <c r="Q953" t="s">
        <v>149</v>
      </c>
      <c r="R953">
        <v>2</v>
      </c>
      <c r="S953">
        <v>1299</v>
      </c>
      <c r="T953">
        <v>0.05</v>
      </c>
      <c r="U953">
        <v>2468.1</v>
      </c>
      <c r="V953">
        <v>1300</v>
      </c>
      <c r="W953">
        <v>1168.0999999999999</v>
      </c>
      <c r="X953" t="s">
        <v>73</v>
      </c>
      <c r="Y953" t="s">
        <v>68</v>
      </c>
      <c r="Z953" t="s">
        <v>159</v>
      </c>
      <c r="AA953" t="s">
        <v>166</v>
      </c>
      <c r="AB953">
        <v>4.0999999999999996</v>
      </c>
      <c r="AC953">
        <v>50</v>
      </c>
      <c r="AD953">
        <v>277.64</v>
      </c>
      <c r="AE953">
        <f t="shared" si="28"/>
        <v>840.45999999999992</v>
      </c>
      <c r="AF953" t="str">
        <f t="shared" si="29"/>
        <v>2025-05</v>
      </c>
      <c r="AG953">
        <f>SUBTOTAL(103,A953)</f>
        <v>1</v>
      </c>
    </row>
    <row r="954" spans="1:33" x14ac:dyDescent="0.3">
      <c r="A954" t="s">
        <v>3568</v>
      </c>
      <c r="B954" s="13">
        <v>45778</v>
      </c>
      <c r="C954">
        <v>2025</v>
      </c>
      <c r="D954">
        <v>5</v>
      </c>
      <c r="E954" t="s">
        <v>3566</v>
      </c>
      <c r="F954" t="s">
        <v>3329</v>
      </c>
      <c r="G954" t="s">
        <v>1229</v>
      </c>
      <c r="H954" t="s">
        <v>1230</v>
      </c>
      <c r="I954" t="s">
        <v>85</v>
      </c>
      <c r="J954">
        <v>33</v>
      </c>
      <c r="K954" t="s">
        <v>81</v>
      </c>
      <c r="L954" t="s">
        <v>99</v>
      </c>
      <c r="M954" t="s">
        <v>58</v>
      </c>
      <c r="N954" t="s">
        <v>2657</v>
      </c>
      <c r="O954" t="s">
        <v>134</v>
      </c>
      <c r="P954" t="s">
        <v>49</v>
      </c>
      <c r="Q954" t="s">
        <v>140</v>
      </c>
      <c r="R954">
        <v>1</v>
      </c>
      <c r="S954">
        <v>599</v>
      </c>
      <c r="T954">
        <v>0.05</v>
      </c>
      <c r="U954">
        <v>569.04999999999995</v>
      </c>
      <c r="V954">
        <v>250</v>
      </c>
      <c r="W954">
        <v>319.05</v>
      </c>
      <c r="X954" t="s">
        <v>75</v>
      </c>
      <c r="Y954" t="s">
        <v>68</v>
      </c>
      <c r="Z954" t="s">
        <v>158</v>
      </c>
      <c r="AA954" t="s">
        <v>167</v>
      </c>
      <c r="AB954">
        <v>4</v>
      </c>
      <c r="AC954">
        <v>50</v>
      </c>
      <c r="AD954">
        <v>58.59</v>
      </c>
      <c r="AE954">
        <f t="shared" si="28"/>
        <v>210.46</v>
      </c>
      <c r="AF954" t="str">
        <f t="shared" si="29"/>
        <v>2025-05</v>
      </c>
      <c r="AG954">
        <f>SUBTOTAL(103,A954)</f>
        <v>1</v>
      </c>
    </row>
    <row r="955" spans="1:33" x14ac:dyDescent="0.3">
      <c r="A955" t="s">
        <v>3569</v>
      </c>
      <c r="B955" s="13">
        <v>45778</v>
      </c>
      <c r="C955">
        <v>2025</v>
      </c>
      <c r="D955">
        <v>5</v>
      </c>
      <c r="E955" t="s">
        <v>3566</v>
      </c>
      <c r="F955" t="s">
        <v>3329</v>
      </c>
      <c r="G955" t="s">
        <v>1207</v>
      </c>
      <c r="H955" t="s">
        <v>1208</v>
      </c>
      <c r="I955" t="s">
        <v>85</v>
      </c>
      <c r="J955">
        <v>35</v>
      </c>
      <c r="K955" t="s">
        <v>81</v>
      </c>
      <c r="L955" t="s">
        <v>91</v>
      </c>
      <c r="M955" t="s">
        <v>55</v>
      </c>
      <c r="N955" t="s">
        <v>2580</v>
      </c>
      <c r="O955" t="s">
        <v>118</v>
      </c>
      <c r="P955" t="s">
        <v>48</v>
      </c>
      <c r="Q955" t="s">
        <v>142</v>
      </c>
      <c r="R955">
        <v>1</v>
      </c>
      <c r="S955">
        <v>3999</v>
      </c>
      <c r="T955">
        <v>0.1</v>
      </c>
      <c r="U955">
        <v>3599.1</v>
      </c>
      <c r="V955">
        <v>2400</v>
      </c>
      <c r="W955">
        <v>1199.0999999999999</v>
      </c>
      <c r="X955" t="s">
        <v>77</v>
      </c>
      <c r="Y955" t="s">
        <v>68</v>
      </c>
      <c r="Z955" t="s">
        <v>158</v>
      </c>
      <c r="AA955" t="s">
        <v>167</v>
      </c>
      <c r="AB955">
        <v>3.9</v>
      </c>
      <c r="AC955">
        <v>80</v>
      </c>
      <c r="AD955">
        <v>100.41</v>
      </c>
      <c r="AE955">
        <f t="shared" si="28"/>
        <v>1018.6899999999999</v>
      </c>
      <c r="AF955" t="str">
        <f t="shared" si="29"/>
        <v>2025-05</v>
      </c>
      <c r="AG955">
        <f>SUBTOTAL(103,A955)</f>
        <v>1</v>
      </c>
    </row>
    <row r="956" spans="1:33" x14ac:dyDescent="0.3">
      <c r="A956" t="s">
        <v>3570</v>
      </c>
      <c r="B956" s="13">
        <v>45778</v>
      </c>
      <c r="C956">
        <v>2025</v>
      </c>
      <c r="D956">
        <v>5</v>
      </c>
      <c r="E956" t="s">
        <v>3566</v>
      </c>
      <c r="F956" t="s">
        <v>3329</v>
      </c>
      <c r="G956" t="s">
        <v>2345</v>
      </c>
      <c r="H956" t="s">
        <v>2346</v>
      </c>
      <c r="I956" t="s">
        <v>85</v>
      </c>
      <c r="J956">
        <v>50</v>
      </c>
      <c r="K956" t="s">
        <v>83</v>
      </c>
      <c r="L956" t="s">
        <v>90</v>
      </c>
      <c r="M956" t="s">
        <v>55</v>
      </c>
      <c r="N956" t="s">
        <v>2590</v>
      </c>
      <c r="O956" t="s">
        <v>127</v>
      </c>
      <c r="P956" t="s">
        <v>51</v>
      </c>
      <c r="Q956" t="s">
        <v>148</v>
      </c>
      <c r="R956">
        <v>3</v>
      </c>
      <c r="S956">
        <v>1599</v>
      </c>
      <c r="T956">
        <v>0.15</v>
      </c>
      <c r="U956">
        <v>4077.45</v>
      </c>
      <c r="V956">
        <v>2400</v>
      </c>
      <c r="W956">
        <v>1677.45</v>
      </c>
      <c r="X956" t="s">
        <v>74</v>
      </c>
      <c r="Y956" t="s">
        <v>68</v>
      </c>
      <c r="Z956" t="s">
        <v>162</v>
      </c>
      <c r="AA956" t="s">
        <v>167</v>
      </c>
      <c r="AB956">
        <v>4.2</v>
      </c>
      <c r="AC956">
        <v>60</v>
      </c>
      <c r="AD956">
        <v>471.99</v>
      </c>
      <c r="AE956">
        <f t="shared" si="28"/>
        <v>1145.46</v>
      </c>
      <c r="AF956" t="str">
        <f t="shared" si="29"/>
        <v>2025-05</v>
      </c>
      <c r="AG956">
        <f>SUBTOTAL(103,A956)</f>
        <v>1</v>
      </c>
    </row>
    <row r="957" spans="1:33" x14ac:dyDescent="0.3">
      <c r="A957" t="s">
        <v>3571</v>
      </c>
      <c r="B957" s="13">
        <v>45778</v>
      </c>
      <c r="C957">
        <v>2025</v>
      </c>
      <c r="D957">
        <v>5</v>
      </c>
      <c r="E957" t="s">
        <v>3566</v>
      </c>
      <c r="F957" t="s">
        <v>3329</v>
      </c>
      <c r="G957" t="s">
        <v>351</v>
      </c>
      <c r="H957" t="s">
        <v>352</v>
      </c>
      <c r="I957" t="s">
        <v>86</v>
      </c>
      <c r="J957">
        <v>25</v>
      </c>
      <c r="K957" t="s">
        <v>80</v>
      </c>
      <c r="L957" t="s">
        <v>91</v>
      </c>
      <c r="M957" t="s">
        <v>55</v>
      </c>
      <c r="N957" t="s">
        <v>2592</v>
      </c>
      <c r="O957" t="s">
        <v>115</v>
      </c>
      <c r="P957" t="s">
        <v>48</v>
      </c>
      <c r="Q957" t="s">
        <v>137</v>
      </c>
      <c r="R957">
        <v>3</v>
      </c>
      <c r="S957">
        <v>12999</v>
      </c>
      <c r="T957">
        <v>0.1</v>
      </c>
      <c r="U957">
        <v>35097.300000000003</v>
      </c>
      <c r="V957">
        <v>27000</v>
      </c>
      <c r="W957">
        <v>8097.3</v>
      </c>
      <c r="X957" t="s">
        <v>76</v>
      </c>
      <c r="Y957" t="s">
        <v>68</v>
      </c>
      <c r="Z957" t="s">
        <v>162</v>
      </c>
      <c r="AA957" t="s">
        <v>167</v>
      </c>
      <c r="AB957">
        <v>3</v>
      </c>
      <c r="AC957">
        <v>50</v>
      </c>
      <c r="AD957">
        <v>3101.83</v>
      </c>
      <c r="AE957">
        <f t="shared" si="28"/>
        <v>4945.47</v>
      </c>
      <c r="AF957" t="str">
        <f t="shared" si="29"/>
        <v>2025-05</v>
      </c>
      <c r="AG957">
        <f>SUBTOTAL(103,A957)</f>
        <v>1</v>
      </c>
    </row>
    <row r="958" spans="1:33" x14ac:dyDescent="0.3">
      <c r="A958" t="s">
        <v>3572</v>
      </c>
      <c r="B958" s="13">
        <v>45778</v>
      </c>
      <c r="C958">
        <v>2025</v>
      </c>
      <c r="D958">
        <v>5</v>
      </c>
      <c r="E958" t="s">
        <v>3566</v>
      </c>
      <c r="F958" t="s">
        <v>3329</v>
      </c>
      <c r="G958" t="s">
        <v>1653</v>
      </c>
      <c r="H958" t="s">
        <v>1654</v>
      </c>
      <c r="I958" t="s">
        <v>85</v>
      </c>
      <c r="J958">
        <v>25</v>
      </c>
      <c r="K958" t="s">
        <v>80</v>
      </c>
      <c r="L958" t="s">
        <v>2623</v>
      </c>
      <c r="M958" t="s">
        <v>61</v>
      </c>
      <c r="N958" t="s">
        <v>2594</v>
      </c>
      <c r="O958" t="s">
        <v>131</v>
      </c>
      <c r="P958" t="s">
        <v>53</v>
      </c>
      <c r="Q958" t="s">
        <v>143</v>
      </c>
      <c r="R958">
        <v>4</v>
      </c>
      <c r="S958">
        <v>999</v>
      </c>
      <c r="T958">
        <v>0.15</v>
      </c>
      <c r="U958">
        <v>3396.6</v>
      </c>
      <c r="V958">
        <v>2080</v>
      </c>
      <c r="W958">
        <v>1316.6</v>
      </c>
      <c r="X958" t="s">
        <v>73</v>
      </c>
      <c r="Y958" t="s">
        <v>68</v>
      </c>
      <c r="Z958" t="s">
        <v>161</v>
      </c>
      <c r="AA958" t="s">
        <v>166</v>
      </c>
      <c r="AB958">
        <v>4.7</v>
      </c>
      <c r="AC958">
        <v>60</v>
      </c>
      <c r="AD958">
        <v>213.9</v>
      </c>
      <c r="AE958">
        <f t="shared" si="28"/>
        <v>1042.6999999999998</v>
      </c>
      <c r="AF958" t="str">
        <f t="shared" si="29"/>
        <v>2025-05</v>
      </c>
      <c r="AG958">
        <f>SUBTOTAL(103,A958)</f>
        <v>1</v>
      </c>
    </row>
    <row r="959" spans="1:33" x14ac:dyDescent="0.3">
      <c r="A959" t="s">
        <v>3573</v>
      </c>
      <c r="B959" s="13">
        <v>45779</v>
      </c>
      <c r="C959">
        <v>2025</v>
      </c>
      <c r="D959">
        <v>5</v>
      </c>
      <c r="E959" t="s">
        <v>3566</v>
      </c>
      <c r="F959" t="s">
        <v>3329</v>
      </c>
      <c r="G959" t="s">
        <v>391</v>
      </c>
      <c r="H959" t="s">
        <v>392</v>
      </c>
      <c r="I959" t="s">
        <v>85</v>
      </c>
      <c r="J959">
        <v>40</v>
      </c>
      <c r="K959" t="s">
        <v>82</v>
      </c>
      <c r="L959" t="s">
        <v>2589</v>
      </c>
      <c r="M959" t="s">
        <v>61</v>
      </c>
      <c r="N959" t="s">
        <v>2601</v>
      </c>
      <c r="O959" t="s">
        <v>117</v>
      </c>
      <c r="P959" t="s">
        <v>49</v>
      </c>
      <c r="Q959" t="s">
        <v>139</v>
      </c>
      <c r="R959">
        <v>3</v>
      </c>
      <c r="S959">
        <v>6999</v>
      </c>
      <c r="T959">
        <v>0</v>
      </c>
      <c r="U959">
        <v>20997</v>
      </c>
      <c r="V959">
        <v>12900</v>
      </c>
      <c r="W959">
        <v>8097</v>
      </c>
      <c r="X959" t="s">
        <v>76</v>
      </c>
      <c r="Y959" t="s">
        <v>69</v>
      </c>
      <c r="Z959" t="s">
        <v>159</v>
      </c>
      <c r="AA959" t="s">
        <v>168</v>
      </c>
      <c r="AB959">
        <v>4</v>
      </c>
      <c r="AC959">
        <v>100</v>
      </c>
      <c r="AD959">
        <v>1299.2</v>
      </c>
      <c r="AE959">
        <f t="shared" si="28"/>
        <v>6697.8</v>
      </c>
      <c r="AF959" t="str">
        <f t="shared" si="29"/>
        <v>2025-05</v>
      </c>
      <c r="AG959">
        <f>SUBTOTAL(103,A959)</f>
        <v>1</v>
      </c>
    </row>
    <row r="960" spans="1:33" x14ac:dyDescent="0.3">
      <c r="A960" t="s">
        <v>3574</v>
      </c>
      <c r="B960" s="13">
        <v>45779</v>
      </c>
      <c r="C960">
        <v>2025</v>
      </c>
      <c r="D960">
        <v>5</v>
      </c>
      <c r="E960" t="s">
        <v>3566</v>
      </c>
      <c r="F960" t="s">
        <v>3329</v>
      </c>
      <c r="G960" t="s">
        <v>633</v>
      </c>
      <c r="H960" t="s">
        <v>634</v>
      </c>
      <c r="I960" t="s">
        <v>85</v>
      </c>
      <c r="J960">
        <v>25</v>
      </c>
      <c r="K960" t="s">
        <v>80</v>
      </c>
      <c r="L960" t="s">
        <v>2661</v>
      </c>
      <c r="M960" t="s">
        <v>58</v>
      </c>
      <c r="N960" t="s">
        <v>2580</v>
      </c>
      <c r="O960" t="s">
        <v>118</v>
      </c>
      <c r="P960" t="s">
        <v>48</v>
      </c>
      <c r="Q960" t="s">
        <v>142</v>
      </c>
      <c r="R960">
        <v>2</v>
      </c>
      <c r="S960">
        <v>3999</v>
      </c>
      <c r="T960">
        <v>0.15</v>
      </c>
      <c r="U960">
        <v>6798.3</v>
      </c>
      <c r="V960">
        <v>4800</v>
      </c>
      <c r="W960">
        <v>1998.3</v>
      </c>
      <c r="X960" t="s">
        <v>74</v>
      </c>
      <c r="Y960" t="s">
        <v>68</v>
      </c>
      <c r="Z960" t="s">
        <v>161</v>
      </c>
      <c r="AA960" t="s">
        <v>166</v>
      </c>
      <c r="AB960">
        <v>4.5999999999999996</v>
      </c>
      <c r="AC960">
        <v>80</v>
      </c>
      <c r="AD960">
        <v>563.76</v>
      </c>
      <c r="AE960">
        <f t="shared" si="28"/>
        <v>1354.54</v>
      </c>
      <c r="AF960" t="str">
        <f t="shared" si="29"/>
        <v>2025-05</v>
      </c>
      <c r="AG960">
        <f>SUBTOTAL(103,A960)</f>
        <v>1</v>
      </c>
    </row>
    <row r="961" spans="1:33" x14ac:dyDescent="0.3">
      <c r="A961" t="s">
        <v>3575</v>
      </c>
      <c r="B961" s="13">
        <v>45779</v>
      </c>
      <c r="C961">
        <v>2025</v>
      </c>
      <c r="D961">
        <v>5</v>
      </c>
      <c r="E961" t="s">
        <v>3566</v>
      </c>
      <c r="F961" t="s">
        <v>3329</v>
      </c>
      <c r="G961" t="s">
        <v>769</v>
      </c>
      <c r="H961" t="s">
        <v>770</v>
      </c>
      <c r="I961" t="s">
        <v>85</v>
      </c>
      <c r="J961">
        <v>47</v>
      </c>
      <c r="K961" t="s">
        <v>83</v>
      </c>
      <c r="L961" t="s">
        <v>2573</v>
      </c>
      <c r="M961" t="s">
        <v>63</v>
      </c>
      <c r="N961" t="s">
        <v>2657</v>
      </c>
      <c r="O961" t="s">
        <v>134</v>
      </c>
      <c r="P961" t="s">
        <v>49</v>
      </c>
      <c r="Q961" t="s">
        <v>140</v>
      </c>
      <c r="R961">
        <v>1</v>
      </c>
      <c r="S961">
        <v>599</v>
      </c>
      <c r="T961">
        <v>0.1</v>
      </c>
      <c r="U961">
        <v>539.1</v>
      </c>
      <c r="V961">
        <v>250</v>
      </c>
      <c r="W961">
        <v>289.10000000000002</v>
      </c>
      <c r="X961" t="s">
        <v>75</v>
      </c>
      <c r="Y961" t="s">
        <v>69</v>
      </c>
      <c r="Z961" t="s">
        <v>158</v>
      </c>
      <c r="AA961" t="s">
        <v>170</v>
      </c>
      <c r="AB961">
        <v>3.8</v>
      </c>
      <c r="AC961">
        <v>60</v>
      </c>
      <c r="AD961">
        <v>47.89</v>
      </c>
      <c r="AE961">
        <f t="shared" si="28"/>
        <v>181.21000000000004</v>
      </c>
      <c r="AF961" t="str">
        <f t="shared" si="29"/>
        <v>2025-05</v>
      </c>
      <c r="AG961">
        <f>SUBTOTAL(103,A961)</f>
        <v>1</v>
      </c>
    </row>
    <row r="962" spans="1:33" x14ac:dyDescent="0.3">
      <c r="A962" t="s">
        <v>3576</v>
      </c>
      <c r="B962" s="13">
        <v>45779</v>
      </c>
      <c r="C962">
        <v>2025</v>
      </c>
      <c r="D962">
        <v>5</v>
      </c>
      <c r="E962" t="s">
        <v>3566</v>
      </c>
      <c r="F962" t="s">
        <v>3329</v>
      </c>
      <c r="G962" t="s">
        <v>1435</v>
      </c>
      <c r="H962" t="s">
        <v>1436</v>
      </c>
      <c r="I962" t="s">
        <v>86</v>
      </c>
      <c r="J962">
        <v>53</v>
      </c>
      <c r="K962" t="s">
        <v>83</v>
      </c>
      <c r="L962" t="s">
        <v>2687</v>
      </c>
      <c r="M962" t="s">
        <v>57</v>
      </c>
      <c r="N962" t="s">
        <v>2580</v>
      </c>
      <c r="O962" t="s">
        <v>118</v>
      </c>
      <c r="P962" t="s">
        <v>48</v>
      </c>
      <c r="Q962" t="s">
        <v>142</v>
      </c>
      <c r="R962">
        <v>2</v>
      </c>
      <c r="S962">
        <v>3999</v>
      </c>
      <c r="T962">
        <v>0.15</v>
      </c>
      <c r="U962">
        <v>6798.3</v>
      </c>
      <c r="V962">
        <v>4800</v>
      </c>
      <c r="W962">
        <v>1998.3</v>
      </c>
      <c r="X962" t="s">
        <v>73</v>
      </c>
      <c r="Y962" t="s">
        <v>68</v>
      </c>
      <c r="Z962" t="s">
        <v>160</v>
      </c>
      <c r="AA962" t="s">
        <v>166</v>
      </c>
      <c r="AB962">
        <v>4.2</v>
      </c>
      <c r="AC962">
        <v>60</v>
      </c>
      <c r="AD962">
        <v>604.4</v>
      </c>
      <c r="AE962">
        <f t="shared" ref="AE962:AE1025" si="30">W962-AC962-AD962</f>
        <v>1333.9</v>
      </c>
      <c r="AF962" t="str">
        <f t="shared" ref="AF962:AF1025" si="31">C962&amp;"-"&amp;TEXT(D962,"00")</f>
        <v>2025-05</v>
      </c>
      <c r="AG962">
        <f>SUBTOTAL(103,A962)</f>
        <v>1</v>
      </c>
    </row>
    <row r="963" spans="1:33" x14ac:dyDescent="0.3">
      <c r="A963" t="s">
        <v>3577</v>
      </c>
      <c r="B963" s="13">
        <v>45779</v>
      </c>
      <c r="C963">
        <v>2025</v>
      </c>
      <c r="D963">
        <v>5</v>
      </c>
      <c r="E963" t="s">
        <v>3566</v>
      </c>
      <c r="F963" t="s">
        <v>3329</v>
      </c>
      <c r="G963" t="s">
        <v>255</v>
      </c>
      <c r="H963" t="s">
        <v>256</v>
      </c>
      <c r="I963" t="s">
        <v>86</v>
      </c>
      <c r="J963">
        <v>30</v>
      </c>
      <c r="K963" t="s">
        <v>81</v>
      </c>
      <c r="L963" t="s">
        <v>2623</v>
      </c>
      <c r="M963" t="s">
        <v>61</v>
      </c>
      <c r="N963" t="s">
        <v>2665</v>
      </c>
      <c r="O963" t="s">
        <v>128</v>
      </c>
      <c r="P963" t="s">
        <v>53</v>
      </c>
      <c r="Q963" t="s">
        <v>143</v>
      </c>
      <c r="R963">
        <v>4</v>
      </c>
      <c r="S963">
        <v>1499</v>
      </c>
      <c r="T963">
        <v>0.2</v>
      </c>
      <c r="U963">
        <v>4796.8</v>
      </c>
      <c r="V963">
        <v>3200</v>
      </c>
      <c r="W963">
        <v>1596.8</v>
      </c>
      <c r="X963" t="s">
        <v>74</v>
      </c>
      <c r="Y963" t="s">
        <v>68</v>
      </c>
      <c r="Z963" t="s">
        <v>159</v>
      </c>
      <c r="AA963" t="s">
        <v>167</v>
      </c>
      <c r="AB963">
        <v>3.8</v>
      </c>
      <c r="AC963">
        <v>50</v>
      </c>
      <c r="AD963">
        <v>199.65</v>
      </c>
      <c r="AE963">
        <f t="shared" si="30"/>
        <v>1347.1499999999999</v>
      </c>
      <c r="AF963" t="str">
        <f t="shared" si="31"/>
        <v>2025-05</v>
      </c>
      <c r="AG963">
        <f>SUBTOTAL(103,A963)</f>
        <v>1</v>
      </c>
    </row>
    <row r="964" spans="1:33" x14ac:dyDescent="0.3">
      <c r="A964" t="s">
        <v>3578</v>
      </c>
      <c r="B964" s="13">
        <v>45779</v>
      </c>
      <c r="C964">
        <v>2025</v>
      </c>
      <c r="D964">
        <v>5</v>
      </c>
      <c r="E964" t="s">
        <v>3566</v>
      </c>
      <c r="F964" t="s">
        <v>3329</v>
      </c>
      <c r="G964" t="s">
        <v>2009</v>
      </c>
      <c r="H964" t="s">
        <v>2010</v>
      </c>
      <c r="I964" t="s">
        <v>85</v>
      </c>
      <c r="J964">
        <v>34</v>
      </c>
      <c r="K964" t="s">
        <v>81</v>
      </c>
      <c r="L964" t="s">
        <v>91</v>
      </c>
      <c r="M964" t="s">
        <v>55</v>
      </c>
      <c r="N964" t="s">
        <v>2574</v>
      </c>
      <c r="O964" t="s">
        <v>130</v>
      </c>
      <c r="P964" t="s">
        <v>50</v>
      </c>
      <c r="Q964" t="s">
        <v>53</v>
      </c>
      <c r="R964">
        <v>4</v>
      </c>
      <c r="S964">
        <v>1199</v>
      </c>
      <c r="T964">
        <v>0.1</v>
      </c>
      <c r="U964">
        <v>4316.3999999999996</v>
      </c>
      <c r="V964">
        <v>2200</v>
      </c>
      <c r="W964">
        <v>2116.4</v>
      </c>
      <c r="X964" t="s">
        <v>75</v>
      </c>
      <c r="Y964" t="s">
        <v>68</v>
      </c>
      <c r="Z964" t="s">
        <v>158</v>
      </c>
      <c r="AA964" t="s">
        <v>166</v>
      </c>
      <c r="AB964">
        <v>3.5</v>
      </c>
      <c r="AC964">
        <v>60</v>
      </c>
      <c r="AD964">
        <v>489.06</v>
      </c>
      <c r="AE964">
        <f t="shared" si="30"/>
        <v>1567.3400000000001</v>
      </c>
      <c r="AF964" t="str">
        <f t="shared" si="31"/>
        <v>2025-05</v>
      </c>
      <c r="AG964">
        <f>SUBTOTAL(103,A964)</f>
        <v>1</v>
      </c>
    </row>
    <row r="965" spans="1:33" x14ac:dyDescent="0.3">
      <c r="A965" t="s">
        <v>3579</v>
      </c>
      <c r="B965" s="13">
        <v>45779</v>
      </c>
      <c r="C965">
        <v>2025</v>
      </c>
      <c r="D965">
        <v>5</v>
      </c>
      <c r="E965" t="s">
        <v>3566</v>
      </c>
      <c r="F965" t="s">
        <v>3329</v>
      </c>
      <c r="G965" t="s">
        <v>903</v>
      </c>
      <c r="H965" t="s">
        <v>904</v>
      </c>
      <c r="I965" t="s">
        <v>86</v>
      </c>
      <c r="J965">
        <v>59</v>
      </c>
      <c r="K965" t="s">
        <v>83</v>
      </c>
      <c r="L965" t="s">
        <v>93</v>
      </c>
      <c r="M965" t="s">
        <v>55</v>
      </c>
      <c r="N965" t="s">
        <v>2584</v>
      </c>
      <c r="O965" t="s">
        <v>121</v>
      </c>
      <c r="P965" t="s">
        <v>50</v>
      </c>
      <c r="Q965" t="s">
        <v>144</v>
      </c>
      <c r="R965">
        <v>3</v>
      </c>
      <c r="S965">
        <v>2999</v>
      </c>
      <c r="T965">
        <v>0</v>
      </c>
      <c r="U965">
        <v>8997</v>
      </c>
      <c r="V965">
        <v>5100</v>
      </c>
      <c r="W965">
        <v>3897</v>
      </c>
      <c r="X965" t="s">
        <v>74</v>
      </c>
      <c r="Y965" t="s">
        <v>68</v>
      </c>
      <c r="Z965" t="s">
        <v>162</v>
      </c>
      <c r="AA965" t="s">
        <v>168</v>
      </c>
      <c r="AB965">
        <v>4.0999999999999996</v>
      </c>
      <c r="AC965">
        <v>80</v>
      </c>
      <c r="AD965">
        <v>724.88</v>
      </c>
      <c r="AE965">
        <f t="shared" si="30"/>
        <v>3092.12</v>
      </c>
      <c r="AF965" t="str">
        <f t="shared" si="31"/>
        <v>2025-05</v>
      </c>
      <c r="AG965">
        <f>SUBTOTAL(103,A965)</f>
        <v>1</v>
      </c>
    </row>
    <row r="966" spans="1:33" x14ac:dyDescent="0.3">
      <c r="A966" t="s">
        <v>3580</v>
      </c>
      <c r="B966" s="13">
        <v>45779</v>
      </c>
      <c r="C966">
        <v>2025</v>
      </c>
      <c r="D966">
        <v>5</v>
      </c>
      <c r="E966" t="s">
        <v>3566</v>
      </c>
      <c r="F966" t="s">
        <v>3329</v>
      </c>
      <c r="G966" t="s">
        <v>315</v>
      </c>
      <c r="H966" t="s">
        <v>316</v>
      </c>
      <c r="I966" t="s">
        <v>85</v>
      </c>
      <c r="J966">
        <v>35</v>
      </c>
      <c r="K966" t="s">
        <v>81</v>
      </c>
      <c r="L966" t="s">
        <v>95</v>
      </c>
      <c r="M966" t="s">
        <v>56</v>
      </c>
      <c r="N966" t="s">
        <v>2582</v>
      </c>
      <c r="O966" t="s">
        <v>119</v>
      </c>
      <c r="P966" t="s">
        <v>49</v>
      </c>
      <c r="Q966" t="s">
        <v>140</v>
      </c>
      <c r="R966">
        <v>2</v>
      </c>
      <c r="S966">
        <v>3499</v>
      </c>
      <c r="T966">
        <v>0.05</v>
      </c>
      <c r="U966">
        <v>6648.1</v>
      </c>
      <c r="V966">
        <v>4200</v>
      </c>
      <c r="W966">
        <v>2448.1</v>
      </c>
      <c r="X966" t="s">
        <v>74</v>
      </c>
      <c r="Y966" t="s">
        <v>68</v>
      </c>
      <c r="Z966" t="s">
        <v>158</v>
      </c>
      <c r="AA966" t="s">
        <v>166</v>
      </c>
      <c r="AB966">
        <v>5</v>
      </c>
      <c r="AC966">
        <v>60</v>
      </c>
      <c r="AD966">
        <v>616.20000000000005</v>
      </c>
      <c r="AE966">
        <f t="shared" si="30"/>
        <v>1771.8999999999999</v>
      </c>
      <c r="AF966" t="str">
        <f t="shared" si="31"/>
        <v>2025-05</v>
      </c>
      <c r="AG966">
        <f>SUBTOTAL(103,A966)</f>
        <v>1</v>
      </c>
    </row>
    <row r="967" spans="1:33" x14ac:dyDescent="0.3">
      <c r="A967" t="s">
        <v>3581</v>
      </c>
      <c r="B967" s="13">
        <v>45780</v>
      </c>
      <c r="C967">
        <v>2025</v>
      </c>
      <c r="D967">
        <v>5</v>
      </c>
      <c r="E967" t="s">
        <v>3566</v>
      </c>
      <c r="F967" t="s">
        <v>3329</v>
      </c>
      <c r="G967" t="s">
        <v>279</v>
      </c>
      <c r="H967" t="s">
        <v>280</v>
      </c>
      <c r="I967" t="s">
        <v>85</v>
      </c>
      <c r="J967">
        <v>40</v>
      </c>
      <c r="K967" t="s">
        <v>82</v>
      </c>
      <c r="L967" t="s">
        <v>2674</v>
      </c>
      <c r="M967" t="s">
        <v>58</v>
      </c>
      <c r="N967" t="s">
        <v>2574</v>
      </c>
      <c r="O967" t="s">
        <v>130</v>
      </c>
      <c r="P967" t="s">
        <v>50</v>
      </c>
      <c r="Q967" t="s">
        <v>53</v>
      </c>
      <c r="R967">
        <v>4</v>
      </c>
      <c r="S967">
        <v>1199</v>
      </c>
      <c r="T967">
        <v>0</v>
      </c>
      <c r="U967">
        <v>4796</v>
      </c>
      <c r="V967">
        <v>2200</v>
      </c>
      <c r="W967">
        <v>2596</v>
      </c>
      <c r="X967" t="s">
        <v>76</v>
      </c>
      <c r="Y967" t="s">
        <v>68</v>
      </c>
      <c r="Z967" t="s">
        <v>158</v>
      </c>
      <c r="AA967" t="s">
        <v>171</v>
      </c>
      <c r="AB967">
        <v>5</v>
      </c>
      <c r="AC967">
        <v>60</v>
      </c>
      <c r="AD967">
        <v>551.27</v>
      </c>
      <c r="AE967">
        <f t="shared" si="30"/>
        <v>1984.73</v>
      </c>
      <c r="AF967" t="str">
        <f t="shared" si="31"/>
        <v>2025-05</v>
      </c>
      <c r="AG967">
        <f>SUBTOTAL(103,A967)</f>
        <v>1</v>
      </c>
    </row>
    <row r="968" spans="1:33" x14ac:dyDescent="0.3">
      <c r="A968" t="s">
        <v>3582</v>
      </c>
      <c r="B968" s="13">
        <v>45780</v>
      </c>
      <c r="C968">
        <v>2025</v>
      </c>
      <c r="D968">
        <v>5</v>
      </c>
      <c r="E968" t="s">
        <v>3566</v>
      </c>
      <c r="F968" t="s">
        <v>3329</v>
      </c>
      <c r="G968" t="s">
        <v>2043</v>
      </c>
      <c r="H968" t="s">
        <v>2044</v>
      </c>
      <c r="I968" t="s">
        <v>85</v>
      </c>
      <c r="J968">
        <v>25</v>
      </c>
      <c r="K968" t="s">
        <v>80</v>
      </c>
      <c r="L968" t="s">
        <v>96</v>
      </c>
      <c r="M968" t="s">
        <v>55</v>
      </c>
      <c r="N968" t="s">
        <v>2665</v>
      </c>
      <c r="O968" t="s">
        <v>128</v>
      </c>
      <c r="P968" t="s">
        <v>53</v>
      </c>
      <c r="Q968" t="s">
        <v>143</v>
      </c>
      <c r="R968">
        <v>3</v>
      </c>
      <c r="S968">
        <v>1499</v>
      </c>
      <c r="T968">
        <v>0.15</v>
      </c>
      <c r="U968">
        <v>3822.45</v>
      </c>
      <c r="V968">
        <v>2400</v>
      </c>
      <c r="W968">
        <v>1422.45</v>
      </c>
      <c r="X968" t="s">
        <v>75</v>
      </c>
      <c r="Y968" t="s">
        <v>68</v>
      </c>
      <c r="Z968" t="s">
        <v>161</v>
      </c>
      <c r="AA968" t="s">
        <v>169</v>
      </c>
      <c r="AB968">
        <v>3.1</v>
      </c>
      <c r="AC968">
        <v>40</v>
      </c>
      <c r="AD968">
        <v>310.26</v>
      </c>
      <c r="AE968">
        <f t="shared" si="30"/>
        <v>1072.19</v>
      </c>
      <c r="AF968" t="str">
        <f t="shared" si="31"/>
        <v>2025-05</v>
      </c>
      <c r="AG968">
        <f>SUBTOTAL(103,A968)</f>
        <v>1</v>
      </c>
    </row>
    <row r="969" spans="1:33" x14ac:dyDescent="0.3">
      <c r="A969" t="s">
        <v>3583</v>
      </c>
      <c r="B969" s="13">
        <v>45780</v>
      </c>
      <c r="C969">
        <v>2025</v>
      </c>
      <c r="D969">
        <v>5</v>
      </c>
      <c r="E969" t="s">
        <v>3566</v>
      </c>
      <c r="F969" t="s">
        <v>3329</v>
      </c>
      <c r="G969" t="s">
        <v>1825</v>
      </c>
      <c r="H969" t="s">
        <v>1826</v>
      </c>
      <c r="I969" t="s">
        <v>85</v>
      </c>
      <c r="J969">
        <v>49</v>
      </c>
      <c r="K969" t="s">
        <v>83</v>
      </c>
      <c r="L969" t="s">
        <v>98</v>
      </c>
      <c r="M969" t="s">
        <v>55</v>
      </c>
      <c r="N969" t="s">
        <v>2577</v>
      </c>
      <c r="O969" t="s">
        <v>129</v>
      </c>
      <c r="P969" t="s">
        <v>49</v>
      </c>
      <c r="Q969" t="s">
        <v>149</v>
      </c>
      <c r="R969">
        <v>1</v>
      </c>
      <c r="S969">
        <v>1299</v>
      </c>
      <c r="T969">
        <v>0.05</v>
      </c>
      <c r="U969">
        <v>1234.05</v>
      </c>
      <c r="V969">
        <v>650</v>
      </c>
      <c r="W969">
        <v>584.04999999999995</v>
      </c>
      <c r="X969" t="s">
        <v>73</v>
      </c>
      <c r="Y969" t="s">
        <v>68</v>
      </c>
      <c r="Z969" t="s">
        <v>158</v>
      </c>
      <c r="AA969" t="s">
        <v>171</v>
      </c>
      <c r="AB969">
        <v>4.5999999999999996</v>
      </c>
      <c r="AC969">
        <v>80</v>
      </c>
      <c r="AD969">
        <v>101.35</v>
      </c>
      <c r="AE969">
        <f t="shared" si="30"/>
        <v>402.69999999999993</v>
      </c>
      <c r="AF969" t="str">
        <f t="shared" si="31"/>
        <v>2025-05</v>
      </c>
      <c r="AG969">
        <f>SUBTOTAL(103,A969)</f>
        <v>1</v>
      </c>
    </row>
    <row r="970" spans="1:33" x14ac:dyDescent="0.3">
      <c r="A970" t="s">
        <v>3584</v>
      </c>
      <c r="B970" s="13">
        <v>45780</v>
      </c>
      <c r="C970">
        <v>2025</v>
      </c>
      <c r="D970">
        <v>5</v>
      </c>
      <c r="E970" t="s">
        <v>3566</v>
      </c>
      <c r="F970" t="s">
        <v>3329</v>
      </c>
      <c r="G970" t="s">
        <v>2547</v>
      </c>
      <c r="H970" t="s">
        <v>2548</v>
      </c>
      <c r="I970" t="s">
        <v>85</v>
      </c>
      <c r="J970">
        <v>38</v>
      </c>
      <c r="K970" t="s">
        <v>82</v>
      </c>
      <c r="L970" t="s">
        <v>90</v>
      </c>
      <c r="M970" t="s">
        <v>55</v>
      </c>
      <c r="N970" t="s">
        <v>2594</v>
      </c>
      <c r="O970" t="s">
        <v>131</v>
      </c>
      <c r="P970" t="s">
        <v>53</v>
      </c>
      <c r="Q970" t="s">
        <v>143</v>
      </c>
      <c r="R970">
        <v>2</v>
      </c>
      <c r="S970">
        <v>999</v>
      </c>
      <c r="T970">
        <v>0.1</v>
      </c>
      <c r="U970">
        <v>0</v>
      </c>
      <c r="V970">
        <v>0</v>
      </c>
      <c r="W970">
        <v>0</v>
      </c>
      <c r="X970" t="s">
        <v>76</v>
      </c>
      <c r="Y970" t="s">
        <v>71</v>
      </c>
      <c r="Z970" t="s">
        <v>160</v>
      </c>
      <c r="AA970" t="s">
        <v>171</v>
      </c>
      <c r="AB970">
        <v>3.8</v>
      </c>
      <c r="AC970">
        <v>80</v>
      </c>
      <c r="AD970">
        <v>103.47</v>
      </c>
      <c r="AE970">
        <f t="shared" si="30"/>
        <v>-183.47</v>
      </c>
      <c r="AF970" t="str">
        <f t="shared" si="31"/>
        <v>2025-05</v>
      </c>
      <c r="AG970">
        <f>SUBTOTAL(103,A970)</f>
        <v>1</v>
      </c>
    </row>
    <row r="971" spans="1:33" x14ac:dyDescent="0.3">
      <c r="A971" t="s">
        <v>3585</v>
      </c>
      <c r="B971" s="13">
        <v>45780</v>
      </c>
      <c r="C971">
        <v>2025</v>
      </c>
      <c r="D971">
        <v>5</v>
      </c>
      <c r="E971" t="s">
        <v>3566</v>
      </c>
      <c r="F971" t="s">
        <v>3329</v>
      </c>
      <c r="G971" t="s">
        <v>771</v>
      </c>
      <c r="H971" t="s">
        <v>772</v>
      </c>
      <c r="I971" t="s">
        <v>85</v>
      </c>
      <c r="J971">
        <v>44</v>
      </c>
      <c r="K971" t="s">
        <v>82</v>
      </c>
      <c r="L971" t="s">
        <v>2661</v>
      </c>
      <c r="M971" t="s">
        <v>58</v>
      </c>
      <c r="N971" t="s">
        <v>2626</v>
      </c>
      <c r="O971" t="s">
        <v>125</v>
      </c>
      <c r="P971" t="s">
        <v>48</v>
      </c>
      <c r="Q971" t="s">
        <v>141</v>
      </c>
      <c r="R971">
        <v>2</v>
      </c>
      <c r="S971">
        <v>1999</v>
      </c>
      <c r="T971">
        <v>0.05</v>
      </c>
      <c r="U971">
        <v>3798.1</v>
      </c>
      <c r="V971">
        <v>2300</v>
      </c>
      <c r="W971">
        <v>1498.1</v>
      </c>
      <c r="X971" t="s">
        <v>76</v>
      </c>
      <c r="Y971" t="s">
        <v>68</v>
      </c>
      <c r="Z971" t="s">
        <v>161</v>
      </c>
      <c r="AA971" t="s">
        <v>168</v>
      </c>
      <c r="AB971">
        <v>3.9</v>
      </c>
      <c r="AC971">
        <v>40</v>
      </c>
      <c r="AD971">
        <v>169.14</v>
      </c>
      <c r="AE971">
        <f t="shared" si="30"/>
        <v>1288.96</v>
      </c>
      <c r="AF971" t="str">
        <f t="shared" si="31"/>
        <v>2025-05</v>
      </c>
      <c r="AG971">
        <f>SUBTOTAL(103,A971)</f>
        <v>1</v>
      </c>
    </row>
    <row r="972" spans="1:33" x14ac:dyDescent="0.3">
      <c r="A972" t="s">
        <v>3586</v>
      </c>
      <c r="B972" s="13">
        <v>45780</v>
      </c>
      <c r="C972">
        <v>2025</v>
      </c>
      <c r="D972">
        <v>5</v>
      </c>
      <c r="E972" t="s">
        <v>3566</v>
      </c>
      <c r="F972" t="s">
        <v>3329</v>
      </c>
      <c r="G972" t="s">
        <v>2461</v>
      </c>
      <c r="H972" t="s">
        <v>2462</v>
      </c>
      <c r="I972" t="s">
        <v>85</v>
      </c>
      <c r="J972">
        <v>52</v>
      </c>
      <c r="K972" t="s">
        <v>83</v>
      </c>
      <c r="L972" t="s">
        <v>2634</v>
      </c>
      <c r="M972" t="s">
        <v>56</v>
      </c>
      <c r="N972" t="s">
        <v>2596</v>
      </c>
      <c r="O972" t="s">
        <v>124</v>
      </c>
      <c r="P972" t="s">
        <v>51</v>
      </c>
      <c r="Q972" t="s">
        <v>147</v>
      </c>
      <c r="R972">
        <v>1</v>
      </c>
      <c r="S972">
        <v>2299</v>
      </c>
      <c r="T972">
        <v>0.1</v>
      </c>
      <c r="U972">
        <v>2069.1</v>
      </c>
      <c r="V972">
        <v>1200</v>
      </c>
      <c r="W972">
        <v>869.1</v>
      </c>
      <c r="X972" t="s">
        <v>75</v>
      </c>
      <c r="Y972" t="s">
        <v>68</v>
      </c>
      <c r="Z972" t="s">
        <v>163</v>
      </c>
      <c r="AA972" t="s">
        <v>167</v>
      </c>
      <c r="AB972">
        <v>4.3</v>
      </c>
      <c r="AC972">
        <v>120</v>
      </c>
      <c r="AD972">
        <v>85.36</v>
      </c>
      <c r="AE972">
        <f t="shared" si="30"/>
        <v>663.74</v>
      </c>
      <c r="AF972" t="str">
        <f t="shared" si="31"/>
        <v>2025-05</v>
      </c>
      <c r="AG972">
        <f>SUBTOTAL(103,A972)</f>
        <v>1</v>
      </c>
    </row>
    <row r="973" spans="1:33" x14ac:dyDescent="0.3">
      <c r="A973" t="s">
        <v>3587</v>
      </c>
      <c r="B973" s="13">
        <v>45780</v>
      </c>
      <c r="C973">
        <v>2025</v>
      </c>
      <c r="D973">
        <v>5</v>
      </c>
      <c r="E973" t="s">
        <v>3566</v>
      </c>
      <c r="F973" t="s">
        <v>3329</v>
      </c>
      <c r="G973" t="s">
        <v>2203</v>
      </c>
      <c r="H973" t="s">
        <v>2204</v>
      </c>
      <c r="I973" t="s">
        <v>85</v>
      </c>
      <c r="J973">
        <v>60</v>
      </c>
      <c r="K973" t="s">
        <v>83</v>
      </c>
      <c r="L973" t="s">
        <v>2589</v>
      </c>
      <c r="M973" t="s">
        <v>61</v>
      </c>
      <c r="N973" t="s">
        <v>2653</v>
      </c>
      <c r="O973" t="s">
        <v>132</v>
      </c>
      <c r="P973" t="s">
        <v>52</v>
      </c>
      <c r="Q973" t="s">
        <v>150</v>
      </c>
      <c r="R973">
        <v>1</v>
      </c>
      <c r="S973">
        <v>899</v>
      </c>
      <c r="T973">
        <v>0</v>
      </c>
      <c r="U973">
        <v>899</v>
      </c>
      <c r="V973">
        <v>420</v>
      </c>
      <c r="W973">
        <v>479</v>
      </c>
      <c r="X973" t="s">
        <v>75</v>
      </c>
      <c r="Y973" t="s">
        <v>68</v>
      </c>
      <c r="Z973" t="s">
        <v>158</v>
      </c>
      <c r="AA973" t="s">
        <v>171</v>
      </c>
      <c r="AB973">
        <v>3.5</v>
      </c>
      <c r="AC973">
        <v>40</v>
      </c>
      <c r="AD973">
        <v>32.32</v>
      </c>
      <c r="AE973">
        <f t="shared" si="30"/>
        <v>406.68</v>
      </c>
      <c r="AF973" t="str">
        <f t="shared" si="31"/>
        <v>2025-05</v>
      </c>
      <c r="AG973">
        <f>SUBTOTAL(103,A973)</f>
        <v>1</v>
      </c>
    </row>
    <row r="974" spans="1:33" x14ac:dyDescent="0.3">
      <c r="A974" t="s">
        <v>3588</v>
      </c>
      <c r="B974" s="13">
        <v>45780</v>
      </c>
      <c r="C974">
        <v>2025</v>
      </c>
      <c r="D974">
        <v>5</v>
      </c>
      <c r="E974" t="s">
        <v>3566</v>
      </c>
      <c r="F974" t="s">
        <v>3329</v>
      </c>
      <c r="G974" t="s">
        <v>1403</v>
      </c>
      <c r="H974" t="s">
        <v>1404</v>
      </c>
      <c r="I974" t="s">
        <v>86</v>
      </c>
      <c r="J974">
        <v>43</v>
      </c>
      <c r="K974" t="s">
        <v>82</v>
      </c>
      <c r="L974" t="s">
        <v>95</v>
      </c>
      <c r="M974" t="s">
        <v>56</v>
      </c>
      <c r="N974" t="s">
        <v>2606</v>
      </c>
      <c r="O974" t="s">
        <v>120</v>
      </c>
      <c r="P974" t="s">
        <v>49</v>
      </c>
      <c r="Q974" t="s">
        <v>140</v>
      </c>
      <c r="R974">
        <v>1</v>
      </c>
      <c r="S974">
        <v>2799</v>
      </c>
      <c r="T974">
        <v>0.1</v>
      </c>
      <c r="U974">
        <v>2519.1</v>
      </c>
      <c r="V974">
        <v>1650</v>
      </c>
      <c r="W974">
        <v>869.1</v>
      </c>
      <c r="X974" t="s">
        <v>73</v>
      </c>
      <c r="Y974" t="s">
        <v>68</v>
      </c>
      <c r="Z974" t="s">
        <v>162</v>
      </c>
      <c r="AA974" t="s">
        <v>168</v>
      </c>
      <c r="AB974">
        <v>3.4</v>
      </c>
      <c r="AC974">
        <v>60</v>
      </c>
      <c r="AD974">
        <v>229.2</v>
      </c>
      <c r="AE974">
        <f t="shared" si="30"/>
        <v>579.90000000000009</v>
      </c>
      <c r="AF974" t="str">
        <f t="shared" si="31"/>
        <v>2025-05</v>
      </c>
      <c r="AG974">
        <f>SUBTOTAL(103,A974)</f>
        <v>1</v>
      </c>
    </row>
    <row r="975" spans="1:33" x14ac:dyDescent="0.3">
      <c r="A975" t="s">
        <v>3589</v>
      </c>
      <c r="B975" s="13">
        <v>45780</v>
      </c>
      <c r="C975">
        <v>2025</v>
      </c>
      <c r="D975">
        <v>5</v>
      </c>
      <c r="E975" t="s">
        <v>3566</v>
      </c>
      <c r="F975" t="s">
        <v>3329</v>
      </c>
      <c r="G975" t="s">
        <v>1615</v>
      </c>
      <c r="H975" t="s">
        <v>1616</v>
      </c>
      <c r="I975" t="s">
        <v>86</v>
      </c>
      <c r="J975">
        <v>47</v>
      </c>
      <c r="K975" t="s">
        <v>83</v>
      </c>
      <c r="L975" t="s">
        <v>95</v>
      </c>
      <c r="M975" t="s">
        <v>56</v>
      </c>
      <c r="N975" t="s">
        <v>2574</v>
      </c>
      <c r="O975" t="s">
        <v>130</v>
      </c>
      <c r="P975" t="s">
        <v>50</v>
      </c>
      <c r="Q975" t="s">
        <v>53</v>
      </c>
      <c r="R975">
        <v>2</v>
      </c>
      <c r="S975">
        <v>1199</v>
      </c>
      <c r="T975">
        <v>0.2</v>
      </c>
      <c r="U975">
        <v>1918.4</v>
      </c>
      <c r="V975">
        <v>1100</v>
      </c>
      <c r="W975">
        <v>818.4</v>
      </c>
      <c r="X975" t="s">
        <v>73</v>
      </c>
      <c r="Y975" t="s">
        <v>68</v>
      </c>
      <c r="Z975" t="s">
        <v>160</v>
      </c>
      <c r="AA975" t="s">
        <v>168</v>
      </c>
      <c r="AB975">
        <v>3.7</v>
      </c>
      <c r="AC975">
        <v>80</v>
      </c>
      <c r="AD975">
        <v>94.66</v>
      </c>
      <c r="AE975">
        <f t="shared" si="30"/>
        <v>643.74</v>
      </c>
      <c r="AF975" t="str">
        <f t="shared" si="31"/>
        <v>2025-05</v>
      </c>
      <c r="AG975">
        <f>SUBTOTAL(103,A975)</f>
        <v>1</v>
      </c>
    </row>
    <row r="976" spans="1:33" x14ac:dyDescent="0.3">
      <c r="A976" t="s">
        <v>3590</v>
      </c>
      <c r="B976" s="13">
        <v>45780</v>
      </c>
      <c r="C976">
        <v>2025</v>
      </c>
      <c r="D976">
        <v>5</v>
      </c>
      <c r="E976" t="s">
        <v>3566</v>
      </c>
      <c r="F976" t="s">
        <v>3329</v>
      </c>
      <c r="G976" t="s">
        <v>717</v>
      </c>
      <c r="H976" t="s">
        <v>718</v>
      </c>
      <c r="I976" t="s">
        <v>85</v>
      </c>
      <c r="J976">
        <v>39</v>
      </c>
      <c r="K976" t="s">
        <v>82</v>
      </c>
      <c r="L976" t="s">
        <v>2612</v>
      </c>
      <c r="M976" t="s">
        <v>64</v>
      </c>
      <c r="N976" t="s">
        <v>2580</v>
      </c>
      <c r="O976" t="s">
        <v>118</v>
      </c>
      <c r="P976" t="s">
        <v>48</v>
      </c>
      <c r="Q976" t="s">
        <v>142</v>
      </c>
      <c r="R976">
        <v>1</v>
      </c>
      <c r="S976">
        <v>3999</v>
      </c>
      <c r="T976">
        <v>0.1</v>
      </c>
      <c r="U976">
        <v>3599.1</v>
      </c>
      <c r="V976">
        <v>2400</v>
      </c>
      <c r="W976">
        <v>1199.0999999999999</v>
      </c>
      <c r="X976" t="s">
        <v>74</v>
      </c>
      <c r="Y976" t="s">
        <v>68</v>
      </c>
      <c r="Z976" t="s">
        <v>163</v>
      </c>
      <c r="AA976" t="s">
        <v>166</v>
      </c>
      <c r="AB976">
        <v>3.7</v>
      </c>
      <c r="AC976">
        <v>40</v>
      </c>
      <c r="AD976">
        <v>409.08</v>
      </c>
      <c r="AE976">
        <f t="shared" si="30"/>
        <v>750.02</v>
      </c>
      <c r="AF976" t="str">
        <f t="shared" si="31"/>
        <v>2025-05</v>
      </c>
      <c r="AG976">
        <f>SUBTOTAL(103,A976)</f>
        <v>1</v>
      </c>
    </row>
    <row r="977" spans="1:33" x14ac:dyDescent="0.3">
      <c r="A977" t="s">
        <v>3591</v>
      </c>
      <c r="B977" s="13">
        <v>45780</v>
      </c>
      <c r="C977">
        <v>2025</v>
      </c>
      <c r="D977">
        <v>5</v>
      </c>
      <c r="E977" t="s">
        <v>3566</v>
      </c>
      <c r="F977" t="s">
        <v>3329</v>
      </c>
      <c r="G977" t="s">
        <v>1713</v>
      </c>
      <c r="H977" t="s">
        <v>1714</v>
      </c>
      <c r="I977" t="s">
        <v>87</v>
      </c>
      <c r="J977">
        <v>54</v>
      </c>
      <c r="K977" t="s">
        <v>83</v>
      </c>
      <c r="L977" t="s">
        <v>2690</v>
      </c>
      <c r="M977" t="s">
        <v>63</v>
      </c>
      <c r="N977" t="s">
        <v>2580</v>
      </c>
      <c r="O977" t="s">
        <v>118</v>
      </c>
      <c r="P977" t="s">
        <v>48</v>
      </c>
      <c r="Q977" t="s">
        <v>142</v>
      </c>
      <c r="R977">
        <v>1</v>
      </c>
      <c r="S977">
        <v>3999</v>
      </c>
      <c r="T977">
        <v>0.1</v>
      </c>
      <c r="U977">
        <v>3599.1</v>
      </c>
      <c r="V977">
        <v>2400</v>
      </c>
      <c r="W977">
        <v>1199.0999999999999</v>
      </c>
      <c r="X977" t="s">
        <v>73</v>
      </c>
      <c r="Y977" t="s">
        <v>68</v>
      </c>
      <c r="Z977" t="s">
        <v>161</v>
      </c>
      <c r="AA977" t="s">
        <v>170</v>
      </c>
      <c r="AB977">
        <v>5</v>
      </c>
      <c r="AC977">
        <v>80</v>
      </c>
      <c r="AD977">
        <v>321.7</v>
      </c>
      <c r="AE977">
        <f t="shared" si="30"/>
        <v>797.39999999999986</v>
      </c>
      <c r="AF977" t="str">
        <f t="shared" si="31"/>
        <v>2025-05</v>
      </c>
      <c r="AG977">
        <f>SUBTOTAL(103,A977)</f>
        <v>1</v>
      </c>
    </row>
    <row r="978" spans="1:33" x14ac:dyDescent="0.3">
      <c r="A978" t="s">
        <v>3592</v>
      </c>
      <c r="B978" s="13">
        <v>45780</v>
      </c>
      <c r="C978">
        <v>2025</v>
      </c>
      <c r="D978">
        <v>5</v>
      </c>
      <c r="E978" t="s">
        <v>3566</v>
      </c>
      <c r="F978" t="s">
        <v>3329</v>
      </c>
      <c r="G978" t="s">
        <v>921</v>
      </c>
      <c r="H978" t="s">
        <v>922</v>
      </c>
      <c r="I978" t="s">
        <v>85</v>
      </c>
      <c r="J978">
        <v>38</v>
      </c>
      <c r="K978" t="s">
        <v>82</v>
      </c>
      <c r="L978" t="s">
        <v>96</v>
      </c>
      <c r="M978" t="s">
        <v>55</v>
      </c>
      <c r="N978" t="s">
        <v>2582</v>
      </c>
      <c r="O978" t="s">
        <v>119</v>
      </c>
      <c r="P978" t="s">
        <v>49</v>
      </c>
      <c r="Q978" t="s">
        <v>140</v>
      </c>
      <c r="R978">
        <v>4</v>
      </c>
      <c r="S978">
        <v>3499</v>
      </c>
      <c r="T978">
        <v>0</v>
      </c>
      <c r="U978">
        <v>13996</v>
      </c>
      <c r="V978">
        <v>8400</v>
      </c>
      <c r="W978">
        <v>5596</v>
      </c>
      <c r="X978" t="s">
        <v>74</v>
      </c>
      <c r="Y978" t="s">
        <v>68</v>
      </c>
      <c r="Z978" t="s">
        <v>162</v>
      </c>
      <c r="AA978" t="s">
        <v>171</v>
      </c>
      <c r="AB978">
        <v>4.4000000000000004</v>
      </c>
      <c r="AC978">
        <v>40</v>
      </c>
      <c r="AD978">
        <v>1423.7</v>
      </c>
      <c r="AE978">
        <f t="shared" si="30"/>
        <v>4132.3</v>
      </c>
      <c r="AF978" t="str">
        <f t="shared" si="31"/>
        <v>2025-05</v>
      </c>
      <c r="AG978">
        <f>SUBTOTAL(103,A978)</f>
        <v>1</v>
      </c>
    </row>
    <row r="979" spans="1:33" x14ac:dyDescent="0.3">
      <c r="A979" t="s">
        <v>3593</v>
      </c>
      <c r="B979" s="13">
        <v>45780</v>
      </c>
      <c r="C979">
        <v>2025</v>
      </c>
      <c r="D979">
        <v>5</v>
      </c>
      <c r="E979" t="s">
        <v>3566</v>
      </c>
      <c r="F979" t="s">
        <v>3329</v>
      </c>
      <c r="G979" t="s">
        <v>2117</v>
      </c>
      <c r="H979" t="s">
        <v>2118</v>
      </c>
      <c r="I979" t="s">
        <v>85</v>
      </c>
      <c r="J979">
        <v>39</v>
      </c>
      <c r="K979" t="s">
        <v>82</v>
      </c>
      <c r="L979" t="s">
        <v>2579</v>
      </c>
      <c r="M979" t="s">
        <v>56</v>
      </c>
      <c r="N979" t="s">
        <v>2574</v>
      </c>
      <c r="O979" t="s">
        <v>130</v>
      </c>
      <c r="P979" t="s">
        <v>50</v>
      </c>
      <c r="Q979" t="s">
        <v>53</v>
      </c>
      <c r="R979">
        <v>1</v>
      </c>
      <c r="S979">
        <v>1199</v>
      </c>
      <c r="T979">
        <v>0.05</v>
      </c>
      <c r="U979">
        <v>1139.05</v>
      </c>
      <c r="V979">
        <v>550</v>
      </c>
      <c r="W979">
        <v>589.04999999999995</v>
      </c>
      <c r="X979" t="s">
        <v>75</v>
      </c>
      <c r="Y979" t="s">
        <v>68</v>
      </c>
      <c r="Z979" t="s">
        <v>160</v>
      </c>
      <c r="AA979" t="s">
        <v>166</v>
      </c>
      <c r="AB979">
        <v>3.5</v>
      </c>
      <c r="AC979">
        <v>50</v>
      </c>
      <c r="AD979">
        <v>31.42</v>
      </c>
      <c r="AE979">
        <f t="shared" si="30"/>
        <v>507.62999999999994</v>
      </c>
      <c r="AF979" t="str">
        <f t="shared" si="31"/>
        <v>2025-05</v>
      </c>
      <c r="AG979">
        <f>SUBTOTAL(103,A979)</f>
        <v>1</v>
      </c>
    </row>
    <row r="980" spans="1:33" x14ac:dyDescent="0.3">
      <c r="A980" t="s">
        <v>3594</v>
      </c>
      <c r="B980" s="13">
        <v>45781</v>
      </c>
      <c r="C980">
        <v>2025</v>
      </c>
      <c r="D980">
        <v>5</v>
      </c>
      <c r="E980" t="s">
        <v>3566</v>
      </c>
      <c r="F980" t="s">
        <v>3329</v>
      </c>
      <c r="G980" t="s">
        <v>1053</v>
      </c>
      <c r="H980" t="s">
        <v>1054</v>
      </c>
      <c r="I980" t="s">
        <v>86</v>
      </c>
      <c r="J980">
        <v>22</v>
      </c>
      <c r="K980" t="s">
        <v>80</v>
      </c>
      <c r="L980" t="s">
        <v>2589</v>
      </c>
      <c r="M980" t="s">
        <v>61</v>
      </c>
      <c r="N980" t="s">
        <v>2587</v>
      </c>
      <c r="O980" t="s">
        <v>116</v>
      </c>
      <c r="P980" t="s">
        <v>48</v>
      </c>
      <c r="Q980" t="s">
        <v>138</v>
      </c>
      <c r="R980">
        <v>1</v>
      </c>
      <c r="S980">
        <v>14999</v>
      </c>
      <c r="T980">
        <v>0.15</v>
      </c>
      <c r="U980">
        <v>12749.15</v>
      </c>
      <c r="V980">
        <v>11200</v>
      </c>
      <c r="W980">
        <v>1549.15</v>
      </c>
      <c r="X980" t="s">
        <v>73</v>
      </c>
      <c r="Y980" t="s">
        <v>68</v>
      </c>
      <c r="Z980" t="s">
        <v>163</v>
      </c>
      <c r="AA980" t="s">
        <v>166</v>
      </c>
      <c r="AB980">
        <v>3.1</v>
      </c>
      <c r="AC980">
        <v>60</v>
      </c>
      <c r="AD980">
        <v>787.22</v>
      </c>
      <c r="AE980">
        <f t="shared" si="30"/>
        <v>701.93000000000006</v>
      </c>
      <c r="AF980" t="str">
        <f t="shared" si="31"/>
        <v>2025-05</v>
      </c>
      <c r="AG980">
        <f>SUBTOTAL(103,A980)</f>
        <v>1</v>
      </c>
    </row>
    <row r="981" spans="1:33" x14ac:dyDescent="0.3">
      <c r="A981" t="s">
        <v>3595</v>
      </c>
      <c r="B981" s="13">
        <v>45781</v>
      </c>
      <c r="C981">
        <v>2025</v>
      </c>
      <c r="D981">
        <v>5</v>
      </c>
      <c r="E981" t="s">
        <v>3566</v>
      </c>
      <c r="F981" t="s">
        <v>3329</v>
      </c>
      <c r="G981" t="s">
        <v>1111</v>
      </c>
      <c r="H981" t="s">
        <v>1112</v>
      </c>
      <c r="I981" t="s">
        <v>85</v>
      </c>
      <c r="J981">
        <v>36</v>
      </c>
      <c r="K981" t="s">
        <v>82</v>
      </c>
      <c r="L981" t="s">
        <v>96</v>
      </c>
      <c r="M981" t="s">
        <v>55</v>
      </c>
      <c r="N981" t="s">
        <v>2590</v>
      </c>
      <c r="O981" t="s">
        <v>127</v>
      </c>
      <c r="P981" t="s">
        <v>51</v>
      </c>
      <c r="Q981" t="s">
        <v>148</v>
      </c>
      <c r="R981">
        <v>5</v>
      </c>
      <c r="S981">
        <v>1599</v>
      </c>
      <c r="T981">
        <v>0.1</v>
      </c>
      <c r="U981">
        <v>7195.5</v>
      </c>
      <c r="V981">
        <v>4000</v>
      </c>
      <c r="W981">
        <v>3195.5</v>
      </c>
      <c r="X981" t="s">
        <v>74</v>
      </c>
      <c r="Y981" t="s">
        <v>68</v>
      </c>
      <c r="Z981" t="s">
        <v>159</v>
      </c>
      <c r="AA981" t="s">
        <v>171</v>
      </c>
      <c r="AB981">
        <v>4.5</v>
      </c>
      <c r="AC981">
        <v>40</v>
      </c>
      <c r="AD981">
        <v>338.11</v>
      </c>
      <c r="AE981">
        <f t="shared" si="30"/>
        <v>2817.39</v>
      </c>
      <c r="AF981" t="str">
        <f t="shared" si="31"/>
        <v>2025-05</v>
      </c>
      <c r="AG981">
        <f>SUBTOTAL(103,A981)</f>
        <v>1</v>
      </c>
    </row>
    <row r="982" spans="1:33" x14ac:dyDescent="0.3">
      <c r="A982" t="s">
        <v>3596</v>
      </c>
      <c r="B982" s="13">
        <v>45782</v>
      </c>
      <c r="C982">
        <v>2025</v>
      </c>
      <c r="D982">
        <v>5</v>
      </c>
      <c r="E982" t="s">
        <v>3566</v>
      </c>
      <c r="F982" t="s">
        <v>3329</v>
      </c>
      <c r="G982" t="s">
        <v>1597</v>
      </c>
      <c r="H982" t="s">
        <v>1598</v>
      </c>
      <c r="I982" t="s">
        <v>85</v>
      </c>
      <c r="J982">
        <v>40</v>
      </c>
      <c r="K982" t="s">
        <v>82</v>
      </c>
      <c r="L982" t="s">
        <v>2623</v>
      </c>
      <c r="M982" t="s">
        <v>61</v>
      </c>
      <c r="N982" t="s">
        <v>2630</v>
      </c>
      <c r="O982" t="s">
        <v>123</v>
      </c>
      <c r="P982" t="s">
        <v>52</v>
      </c>
      <c r="Q982" t="s">
        <v>146</v>
      </c>
      <c r="R982">
        <v>2</v>
      </c>
      <c r="S982">
        <v>2499</v>
      </c>
      <c r="T982">
        <v>0</v>
      </c>
      <c r="U982">
        <v>4998</v>
      </c>
      <c r="V982">
        <v>2800</v>
      </c>
      <c r="W982">
        <v>2198</v>
      </c>
      <c r="X982" t="s">
        <v>77</v>
      </c>
      <c r="Y982" t="s">
        <v>68</v>
      </c>
      <c r="Z982" t="s">
        <v>161</v>
      </c>
      <c r="AA982" t="s">
        <v>166</v>
      </c>
      <c r="AB982">
        <v>4.2</v>
      </c>
      <c r="AC982">
        <v>50</v>
      </c>
      <c r="AD982">
        <v>372.47</v>
      </c>
      <c r="AE982">
        <f t="shared" si="30"/>
        <v>1775.53</v>
      </c>
      <c r="AF982" t="str">
        <f t="shared" si="31"/>
        <v>2025-05</v>
      </c>
      <c r="AG982">
        <f>SUBTOTAL(103,A982)</f>
        <v>1</v>
      </c>
    </row>
    <row r="983" spans="1:33" x14ac:dyDescent="0.3">
      <c r="A983" t="s">
        <v>3597</v>
      </c>
      <c r="B983" s="13">
        <v>45782</v>
      </c>
      <c r="C983">
        <v>2025</v>
      </c>
      <c r="D983">
        <v>5</v>
      </c>
      <c r="E983" t="s">
        <v>3566</v>
      </c>
      <c r="F983" t="s">
        <v>3329</v>
      </c>
      <c r="G983" t="s">
        <v>957</v>
      </c>
      <c r="H983" t="s">
        <v>958</v>
      </c>
      <c r="I983" t="s">
        <v>86</v>
      </c>
      <c r="J983">
        <v>60</v>
      </c>
      <c r="K983" t="s">
        <v>83</v>
      </c>
      <c r="L983" t="s">
        <v>2687</v>
      </c>
      <c r="M983" t="s">
        <v>57</v>
      </c>
      <c r="N983" t="s">
        <v>2647</v>
      </c>
      <c r="O983" t="s">
        <v>133</v>
      </c>
      <c r="P983" t="s">
        <v>50</v>
      </c>
      <c r="Q983" t="s">
        <v>145</v>
      </c>
      <c r="R983">
        <v>3</v>
      </c>
      <c r="S983">
        <v>799</v>
      </c>
      <c r="T983">
        <v>0</v>
      </c>
      <c r="U983">
        <v>2397</v>
      </c>
      <c r="V983">
        <v>1170</v>
      </c>
      <c r="W983">
        <v>1227</v>
      </c>
      <c r="X983" t="s">
        <v>73</v>
      </c>
      <c r="Y983" t="s">
        <v>68</v>
      </c>
      <c r="Z983" t="s">
        <v>158</v>
      </c>
      <c r="AA983" t="s">
        <v>167</v>
      </c>
      <c r="AB983">
        <v>4.5</v>
      </c>
      <c r="AC983">
        <v>100</v>
      </c>
      <c r="AD983">
        <v>236.39</v>
      </c>
      <c r="AE983">
        <f t="shared" si="30"/>
        <v>890.61</v>
      </c>
      <c r="AF983" t="str">
        <f t="shared" si="31"/>
        <v>2025-05</v>
      </c>
      <c r="AG983">
        <f>SUBTOTAL(103,A983)</f>
        <v>1</v>
      </c>
    </row>
    <row r="984" spans="1:33" x14ac:dyDescent="0.3">
      <c r="A984" t="s">
        <v>3598</v>
      </c>
      <c r="B984" s="13">
        <v>45782</v>
      </c>
      <c r="C984">
        <v>2025</v>
      </c>
      <c r="D984">
        <v>5</v>
      </c>
      <c r="E984" t="s">
        <v>3566</v>
      </c>
      <c r="F984" t="s">
        <v>3329</v>
      </c>
      <c r="G984" t="s">
        <v>2169</v>
      </c>
      <c r="H984" t="s">
        <v>2170</v>
      </c>
      <c r="I984" t="s">
        <v>86</v>
      </c>
      <c r="J984">
        <v>32</v>
      </c>
      <c r="K984" t="s">
        <v>81</v>
      </c>
      <c r="L984" t="s">
        <v>99</v>
      </c>
      <c r="M984" t="s">
        <v>58</v>
      </c>
      <c r="N984" t="s">
        <v>2577</v>
      </c>
      <c r="O984" t="s">
        <v>129</v>
      </c>
      <c r="P984" t="s">
        <v>49</v>
      </c>
      <c r="Q984" t="s">
        <v>149</v>
      </c>
      <c r="R984">
        <v>2</v>
      </c>
      <c r="S984">
        <v>1299</v>
      </c>
      <c r="T984">
        <v>0.15</v>
      </c>
      <c r="U984">
        <v>2208.3000000000002</v>
      </c>
      <c r="V984">
        <v>1300</v>
      </c>
      <c r="W984">
        <v>908.3</v>
      </c>
      <c r="X984" t="s">
        <v>73</v>
      </c>
      <c r="Y984" t="s">
        <v>68</v>
      </c>
      <c r="Z984" t="s">
        <v>162</v>
      </c>
      <c r="AA984" t="s">
        <v>166</v>
      </c>
      <c r="AB984">
        <v>4.7</v>
      </c>
      <c r="AC984">
        <v>60</v>
      </c>
      <c r="AD984">
        <v>177.63</v>
      </c>
      <c r="AE984">
        <f t="shared" si="30"/>
        <v>670.67</v>
      </c>
      <c r="AF984" t="str">
        <f t="shared" si="31"/>
        <v>2025-05</v>
      </c>
      <c r="AG984">
        <f>SUBTOTAL(103,A984)</f>
        <v>1</v>
      </c>
    </row>
    <row r="985" spans="1:33" x14ac:dyDescent="0.3">
      <c r="A985" t="s">
        <v>3599</v>
      </c>
      <c r="B985" s="13">
        <v>45782</v>
      </c>
      <c r="C985">
        <v>2025</v>
      </c>
      <c r="D985">
        <v>5</v>
      </c>
      <c r="E985" t="s">
        <v>3566</v>
      </c>
      <c r="F985" t="s">
        <v>3329</v>
      </c>
      <c r="G985" t="s">
        <v>1829</v>
      </c>
      <c r="H985" t="s">
        <v>1830</v>
      </c>
      <c r="I985" t="s">
        <v>85</v>
      </c>
      <c r="J985">
        <v>50</v>
      </c>
      <c r="K985" t="s">
        <v>83</v>
      </c>
      <c r="L985" t="s">
        <v>2674</v>
      </c>
      <c r="M985" t="s">
        <v>58</v>
      </c>
      <c r="N985" t="s">
        <v>2647</v>
      </c>
      <c r="O985" t="s">
        <v>133</v>
      </c>
      <c r="P985" t="s">
        <v>50</v>
      </c>
      <c r="Q985" t="s">
        <v>145</v>
      </c>
      <c r="R985">
        <v>1</v>
      </c>
      <c r="S985">
        <v>799</v>
      </c>
      <c r="T985">
        <v>0.1</v>
      </c>
      <c r="U985">
        <v>719.1</v>
      </c>
      <c r="V985">
        <v>390</v>
      </c>
      <c r="W985">
        <v>329.1</v>
      </c>
      <c r="X985" t="s">
        <v>73</v>
      </c>
      <c r="Y985" t="s">
        <v>70</v>
      </c>
      <c r="Z985" t="s">
        <v>159</v>
      </c>
      <c r="AA985" t="s">
        <v>168</v>
      </c>
      <c r="AB985">
        <v>3.9</v>
      </c>
      <c r="AC985">
        <v>100</v>
      </c>
      <c r="AD985">
        <v>20</v>
      </c>
      <c r="AE985">
        <f t="shared" si="30"/>
        <v>209.10000000000002</v>
      </c>
      <c r="AF985" t="str">
        <f t="shared" si="31"/>
        <v>2025-05</v>
      </c>
      <c r="AG985">
        <f>SUBTOTAL(103,A985)</f>
        <v>1</v>
      </c>
    </row>
    <row r="986" spans="1:33" x14ac:dyDescent="0.3">
      <c r="A986" t="s">
        <v>3600</v>
      </c>
      <c r="B986" s="13">
        <v>45782</v>
      </c>
      <c r="C986">
        <v>2025</v>
      </c>
      <c r="D986">
        <v>5</v>
      </c>
      <c r="E986" t="s">
        <v>3566</v>
      </c>
      <c r="F986" t="s">
        <v>3329</v>
      </c>
      <c r="G986" t="s">
        <v>1835</v>
      </c>
      <c r="H986" t="s">
        <v>1836</v>
      </c>
      <c r="I986" t="s">
        <v>85</v>
      </c>
      <c r="J986">
        <v>49</v>
      </c>
      <c r="K986" t="s">
        <v>83</v>
      </c>
      <c r="L986" t="s">
        <v>99</v>
      </c>
      <c r="M986" t="s">
        <v>58</v>
      </c>
      <c r="N986" t="s">
        <v>2644</v>
      </c>
      <c r="O986" t="s">
        <v>126</v>
      </c>
      <c r="P986" t="s">
        <v>50</v>
      </c>
      <c r="Q986" t="s">
        <v>145</v>
      </c>
      <c r="R986">
        <v>2</v>
      </c>
      <c r="S986">
        <v>1799</v>
      </c>
      <c r="T986">
        <v>0.15</v>
      </c>
      <c r="U986">
        <v>3058.3</v>
      </c>
      <c r="V986">
        <v>1900</v>
      </c>
      <c r="W986">
        <v>1158.3</v>
      </c>
      <c r="X986" t="s">
        <v>73</v>
      </c>
      <c r="Y986" t="s">
        <v>68</v>
      </c>
      <c r="Z986" t="s">
        <v>161</v>
      </c>
      <c r="AA986" t="s">
        <v>169</v>
      </c>
      <c r="AB986">
        <v>4.0999999999999996</v>
      </c>
      <c r="AC986">
        <v>40</v>
      </c>
      <c r="AD986">
        <v>273.01</v>
      </c>
      <c r="AE986">
        <f t="shared" si="30"/>
        <v>845.29</v>
      </c>
      <c r="AF986" t="str">
        <f t="shared" si="31"/>
        <v>2025-05</v>
      </c>
      <c r="AG986">
        <f>SUBTOTAL(103,A986)</f>
        <v>1</v>
      </c>
    </row>
    <row r="987" spans="1:33" x14ac:dyDescent="0.3">
      <c r="A987" t="s">
        <v>3601</v>
      </c>
      <c r="B987" s="13">
        <v>45782</v>
      </c>
      <c r="C987">
        <v>2025</v>
      </c>
      <c r="D987">
        <v>5</v>
      </c>
      <c r="E987" t="s">
        <v>3566</v>
      </c>
      <c r="F987" t="s">
        <v>3329</v>
      </c>
      <c r="G987" t="s">
        <v>2283</v>
      </c>
      <c r="H987" t="s">
        <v>2284</v>
      </c>
      <c r="I987" t="s">
        <v>86</v>
      </c>
      <c r="J987">
        <v>42</v>
      </c>
      <c r="K987" t="s">
        <v>82</v>
      </c>
      <c r="L987" t="s">
        <v>2634</v>
      </c>
      <c r="M987" t="s">
        <v>56</v>
      </c>
      <c r="N987" t="s">
        <v>2596</v>
      </c>
      <c r="O987" t="s">
        <v>124</v>
      </c>
      <c r="P987" t="s">
        <v>51</v>
      </c>
      <c r="Q987" t="s">
        <v>147</v>
      </c>
      <c r="R987">
        <v>1</v>
      </c>
      <c r="S987">
        <v>2299</v>
      </c>
      <c r="T987">
        <v>0.05</v>
      </c>
      <c r="U987">
        <v>2184.0500000000002</v>
      </c>
      <c r="V987">
        <v>1200</v>
      </c>
      <c r="W987">
        <v>984.05</v>
      </c>
      <c r="X987" t="s">
        <v>73</v>
      </c>
      <c r="Y987" t="s">
        <v>69</v>
      </c>
      <c r="Z987" t="s">
        <v>163</v>
      </c>
      <c r="AA987" t="s">
        <v>169</v>
      </c>
      <c r="AB987">
        <v>5</v>
      </c>
      <c r="AC987">
        <v>50</v>
      </c>
      <c r="AD987">
        <v>101.11</v>
      </c>
      <c r="AE987">
        <f t="shared" si="30"/>
        <v>832.93999999999994</v>
      </c>
      <c r="AF987" t="str">
        <f t="shared" si="31"/>
        <v>2025-05</v>
      </c>
      <c r="AG987">
        <f>SUBTOTAL(103,A987)</f>
        <v>1</v>
      </c>
    </row>
    <row r="988" spans="1:33" x14ac:dyDescent="0.3">
      <c r="A988" t="s">
        <v>3602</v>
      </c>
      <c r="B988" s="13">
        <v>45782</v>
      </c>
      <c r="C988">
        <v>2025</v>
      </c>
      <c r="D988">
        <v>5</v>
      </c>
      <c r="E988" t="s">
        <v>3566</v>
      </c>
      <c r="F988" t="s">
        <v>3329</v>
      </c>
      <c r="G988" t="s">
        <v>1505</v>
      </c>
      <c r="H988" t="s">
        <v>1506</v>
      </c>
      <c r="I988" t="s">
        <v>86</v>
      </c>
      <c r="J988">
        <v>41</v>
      </c>
      <c r="K988" t="s">
        <v>82</v>
      </c>
      <c r="L988" t="s">
        <v>59</v>
      </c>
      <c r="M988" t="s">
        <v>59</v>
      </c>
      <c r="N988" t="s">
        <v>2592</v>
      </c>
      <c r="O988" t="s">
        <v>115</v>
      </c>
      <c r="P988" t="s">
        <v>48</v>
      </c>
      <c r="Q988" t="s">
        <v>137</v>
      </c>
      <c r="R988">
        <v>3</v>
      </c>
      <c r="S988">
        <v>12999</v>
      </c>
      <c r="T988">
        <v>0.05</v>
      </c>
      <c r="U988">
        <v>0</v>
      </c>
      <c r="V988">
        <v>0</v>
      </c>
      <c r="W988">
        <v>0</v>
      </c>
      <c r="X988" t="s">
        <v>73</v>
      </c>
      <c r="Y988" t="s">
        <v>71</v>
      </c>
      <c r="Z988" t="s">
        <v>159</v>
      </c>
      <c r="AA988" t="s">
        <v>166</v>
      </c>
      <c r="AB988">
        <v>4.3</v>
      </c>
      <c r="AC988">
        <v>100</v>
      </c>
      <c r="AD988">
        <v>3533.44</v>
      </c>
      <c r="AE988">
        <f t="shared" si="30"/>
        <v>-3633.44</v>
      </c>
      <c r="AF988" t="str">
        <f t="shared" si="31"/>
        <v>2025-05</v>
      </c>
      <c r="AG988">
        <f>SUBTOTAL(103,A988)</f>
        <v>1</v>
      </c>
    </row>
    <row r="989" spans="1:33" x14ac:dyDescent="0.3">
      <c r="A989" t="s">
        <v>3603</v>
      </c>
      <c r="B989" s="13">
        <v>45782</v>
      </c>
      <c r="C989">
        <v>2025</v>
      </c>
      <c r="D989">
        <v>5</v>
      </c>
      <c r="E989" t="s">
        <v>3566</v>
      </c>
      <c r="F989" t="s">
        <v>3329</v>
      </c>
      <c r="G989" t="s">
        <v>1379</v>
      </c>
      <c r="H989" t="s">
        <v>1380</v>
      </c>
      <c r="I989" t="s">
        <v>85</v>
      </c>
      <c r="J989">
        <v>28</v>
      </c>
      <c r="K989" t="s">
        <v>81</v>
      </c>
      <c r="L989" t="s">
        <v>2616</v>
      </c>
      <c r="M989" t="s">
        <v>62</v>
      </c>
      <c r="N989" t="s">
        <v>2630</v>
      </c>
      <c r="O989" t="s">
        <v>123</v>
      </c>
      <c r="P989" t="s">
        <v>52</v>
      </c>
      <c r="Q989" t="s">
        <v>146</v>
      </c>
      <c r="R989">
        <v>3</v>
      </c>
      <c r="S989">
        <v>2499</v>
      </c>
      <c r="T989">
        <v>0.1</v>
      </c>
      <c r="U989">
        <v>6747.3</v>
      </c>
      <c r="V989">
        <v>4200</v>
      </c>
      <c r="W989">
        <v>2547.3000000000002</v>
      </c>
      <c r="X989" t="s">
        <v>73</v>
      </c>
      <c r="Y989" t="s">
        <v>68</v>
      </c>
      <c r="Z989" t="s">
        <v>159</v>
      </c>
      <c r="AA989" t="s">
        <v>171</v>
      </c>
      <c r="AB989">
        <v>4.0999999999999996</v>
      </c>
      <c r="AC989">
        <v>80</v>
      </c>
      <c r="AD989">
        <v>625.84</v>
      </c>
      <c r="AE989">
        <f t="shared" si="30"/>
        <v>1841.46</v>
      </c>
      <c r="AF989" t="str">
        <f t="shared" si="31"/>
        <v>2025-05</v>
      </c>
      <c r="AG989">
        <f>SUBTOTAL(103,A989)</f>
        <v>1</v>
      </c>
    </row>
    <row r="990" spans="1:33" x14ac:dyDescent="0.3">
      <c r="A990" t="s">
        <v>3604</v>
      </c>
      <c r="B990" s="13">
        <v>45783</v>
      </c>
      <c r="C990">
        <v>2025</v>
      </c>
      <c r="D990">
        <v>5</v>
      </c>
      <c r="E990" t="s">
        <v>3566</v>
      </c>
      <c r="F990" t="s">
        <v>3329</v>
      </c>
      <c r="G990" t="s">
        <v>1711</v>
      </c>
      <c r="H990" t="s">
        <v>1712</v>
      </c>
      <c r="I990" t="s">
        <v>86</v>
      </c>
      <c r="J990">
        <v>26</v>
      </c>
      <c r="K990" t="s">
        <v>81</v>
      </c>
      <c r="L990" t="s">
        <v>96</v>
      </c>
      <c r="M990" t="s">
        <v>55</v>
      </c>
      <c r="N990" t="s">
        <v>2647</v>
      </c>
      <c r="O990" t="s">
        <v>133</v>
      </c>
      <c r="P990" t="s">
        <v>50</v>
      </c>
      <c r="Q990" t="s">
        <v>145</v>
      </c>
      <c r="R990">
        <v>4</v>
      </c>
      <c r="S990">
        <v>799</v>
      </c>
      <c r="T990">
        <v>0.1</v>
      </c>
      <c r="U990">
        <v>2876.4</v>
      </c>
      <c r="V990">
        <v>1560</v>
      </c>
      <c r="W990">
        <v>1316.4</v>
      </c>
      <c r="X990" t="s">
        <v>73</v>
      </c>
      <c r="Y990" t="s">
        <v>69</v>
      </c>
      <c r="Z990" t="s">
        <v>160</v>
      </c>
      <c r="AA990" t="s">
        <v>166</v>
      </c>
      <c r="AB990">
        <v>4</v>
      </c>
      <c r="AC990">
        <v>80</v>
      </c>
      <c r="AD990">
        <v>191.04</v>
      </c>
      <c r="AE990">
        <f t="shared" si="30"/>
        <v>1045.3600000000001</v>
      </c>
      <c r="AF990" t="str">
        <f t="shared" si="31"/>
        <v>2025-05</v>
      </c>
      <c r="AG990">
        <f>SUBTOTAL(103,A990)</f>
        <v>1</v>
      </c>
    </row>
    <row r="991" spans="1:33" x14ac:dyDescent="0.3">
      <c r="A991" t="s">
        <v>3605</v>
      </c>
      <c r="B991" s="13">
        <v>45783</v>
      </c>
      <c r="C991">
        <v>2025</v>
      </c>
      <c r="D991">
        <v>5</v>
      </c>
      <c r="E991" t="s">
        <v>3566</v>
      </c>
      <c r="F991" t="s">
        <v>3329</v>
      </c>
      <c r="G991" t="s">
        <v>1447</v>
      </c>
      <c r="H991" t="s">
        <v>1448</v>
      </c>
      <c r="I991" t="s">
        <v>86</v>
      </c>
      <c r="J991">
        <v>20</v>
      </c>
      <c r="K991" t="s">
        <v>80</v>
      </c>
      <c r="L991" t="s">
        <v>2623</v>
      </c>
      <c r="M991" t="s">
        <v>61</v>
      </c>
      <c r="N991" t="s">
        <v>2630</v>
      </c>
      <c r="O991" t="s">
        <v>123</v>
      </c>
      <c r="P991" t="s">
        <v>52</v>
      </c>
      <c r="Q991" t="s">
        <v>146</v>
      </c>
      <c r="R991">
        <v>4</v>
      </c>
      <c r="S991">
        <v>2499</v>
      </c>
      <c r="T991">
        <v>0.1</v>
      </c>
      <c r="U991">
        <v>8996.4</v>
      </c>
      <c r="V991">
        <v>5600</v>
      </c>
      <c r="W991">
        <v>3396.4</v>
      </c>
      <c r="X991" t="s">
        <v>73</v>
      </c>
      <c r="Y991" t="s">
        <v>69</v>
      </c>
      <c r="Z991" t="s">
        <v>159</v>
      </c>
      <c r="AA991" t="s">
        <v>170</v>
      </c>
      <c r="AB991">
        <v>3.6</v>
      </c>
      <c r="AC991">
        <v>120</v>
      </c>
      <c r="AD991">
        <v>963.58</v>
      </c>
      <c r="AE991">
        <f t="shared" si="30"/>
        <v>2312.8200000000002</v>
      </c>
      <c r="AF991" t="str">
        <f t="shared" si="31"/>
        <v>2025-05</v>
      </c>
      <c r="AG991">
        <f>SUBTOTAL(103,A991)</f>
        <v>1</v>
      </c>
    </row>
    <row r="992" spans="1:33" x14ac:dyDescent="0.3">
      <c r="A992" t="s">
        <v>3606</v>
      </c>
      <c r="B992" s="13">
        <v>45783</v>
      </c>
      <c r="C992">
        <v>2025</v>
      </c>
      <c r="D992">
        <v>5</v>
      </c>
      <c r="E992" t="s">
        <v>3566</v>
      </c>
      <c r="F992" t="s">
        <v>3329</v>
      </c>
      <c r="G992" t="s">
        <v>867</v>
      </c>
      <c r="H992" t="s">
        <v>868</v>
      </c>
      <c r="I992" t="s">
        <v>86</v>
      </c>
      <c r="J992">
        <v>34</v>
      </c>
      <c r="K992" t="s">
        <v>81</v>
      </c>
      <c r="L992" t="s">
        <v>98</v>
      </c>
      <c r="M992" t="s">
        <v>55</v>
      </c>
      <c r="N992" t="s">
        <v>2596</v>
      </c>
      <c r="O992" t="s">
        <v>124</v>
      </c>
      <c r="P992" t="s">
        <v>51</v>
      </c>
      <c r="Q992" t="s">
        <v>147</v>
      </c>
      <c r="R992">
        <v>2</v>
      </c>
      <c r="S992">
        <v>2299</v>
      </c>
      <c r="T992">
        <v>0.1</v>
      </c>
      <c r="U992">
        <v>4138.2</v>
      </c>
      <c r="V992">
        <v>2400</v>
      </c>
      <c r="W992">
        <v>1738.2</v>
      </c>
      <c r="X992" t="s">
        <v>74</v>
      </c>
      <c r="Y992" t="s">
        <v>69</v>
      </c>
      <c r="Z992" t="s">
        <v>162</v>
      </c>
      <c r="AA992" t="s">
        <v>170</v>
      </c>
      <c r="AB992">
        <v>4.2</v>
      </c>
      <c r="AC992">
        <v>80</v>
      </c>
      <c r="AD992">
        <v>449.1</v>
      </c>
      <c r="AE992">
        <f t="shared" si="30"/>
        <v>1209.0999999999999</v>
      </c>
      <c r="AF992" t="str">
        <f t="shared" si="31"/>
        <v>2025-05</v>
      </c>
      <c r="AG992">
        <f>SUBTOTAL(103,A992)</f>
        <v>1</v>
      </c>
    </row>
    <row r="993" spans="1:33" x14ac:dyDescent="0.3">
      <c r="A993" t="s">
        <v>3607</v>
      </c>
      <c r="B993" s="13">
        <v>45783</v>
      </c>
      <c r="C993">
        <v>2025</v>
      </c>
      <c r="D993">
        <v>5</v>
      </c>
      <c r="E993" t="s">
        <v>3566</v>
      </c>
      <c r="F993" t="s">
        <v>3329</v>
      </c>
      <c r="G993" t="s">
        <v>485</v>
      </c>
      <c r="H993" t="s">
        <v>486</v>
      </c>
      <c r="I993" t="s">
        <v>86</v>
      </c>
      <c r="J993">
        <v>49</v>
      </c>
      <c r="K993" t="s">
        <v>83</v>
      </c>
      <c r="L993" t="s">
        <v>90</v>
      </c>
      <c r="M993" t="s">
        <v>55</v>
      </c>
      <c r="N993" t="s">
        <v>2594</v>
      </c>
      <c r="O993" t="s">
        <v>131</v>
      </c>
      <c r="P993" t="s">
        <v>53</v>
      </c>
      <c r="Q993" t="s">
        <v>143</v>
      </c>
      <c r="R993">
        <v>3</v>
      </c>
      <c r="S993">
        <v>999</v>
      </c>
      <c r="T993">
        <v>0.2</v>
      </c>
      <c r="U993">
        <v>2397.6</v>
      </c>
      <c r="V993">
        <v>1560</v>
      </c>
      <c r="W993">
        <v>837.6</v>
      </c>
      <c r="X993" t="s">
        <v>73</v>
      </c>
      <c r="Y993" t="s">
        <v>68</v>
      </c>
      <c r="Z993" t="s">
        <v>160</v>
      </c>
      <c r="AA993" t="s">
        <v>166</v>
      </c>
      <c r="AB993">
        <v>5</v>
      </c>
      <c r="AC993">
        <v>100</v>
      </c>
      <c r="AD993">
        <v>216.12</v>
      </c>
      <c r="AE993">
        <f t="shared" si="30"/>
        <v>521.48</v>
      </c>
      <c r="AF993" t="str">
        <f t="shared" si="31"/>
        <v>2025-05</v>
      </c>
      <c r="AG993">
        <f>SUBTOTAL(103,A993)</f>
        <v>1</v>
      </c>
    </row>
    <row r="994" spans="1:33" x14ac:dyDescent="0.3">
      <c r="A994" t="s">
        <v>3608</v>
      </c>
      <c r="B994" s="13">
        <v>45783</v>
      </c>
      <c r="C994">
        <v>2025</v>
      </c>
      <c r="D994">
        <v>5</v>
      </c>
      <c r="E994" t="s">
        <v>3566</v>
      </c>
      <c r="F994" t="s">
        <v>3329</v>
      </c>
      <c r="G994" t="s">
        <v>709</v>
      </c>
      <c r="H994" t="s">
        <v>710</v>
      </c>
      <c r="I994" t="s">
        <v>85</v>
      </c>
      <c r="J994">
        <v>18</v>
      </c>
      <c r="K994" t="s">
        <v>80</v>
      </c>
      <c r="L994" t="s">
        <v>92</v>
      </c>
      <c r="M994" t="s">
        <v>59</v>
      </c>
      <c r="N994" t="s">
        <v>2601</v>
      </c>
      <c r="O994" t="s">
        <v>117</v>
      </c>
      <c r="P994" t="s">
        <v>49</v>
      </c>
      <c r="Q994" t="s">
        <v>139</v>
      </c>
      <c r="R994">
        <v>5</v>
      </c>
      <c r="S994">
        <v>6999</v>
      </c>
      <c r="T994">
        <v>0.05</v>
      </c>
      <c r="U994">
        <v>33245.25</v>
      </c>
      <c r="V994">
        <v>21500</v>
      </c>
      <c r="W994">
        <v>11745.25</v>
      </c>
      <c r="X994" t="s">
        <v>74</v>
      </c>
      <c r="Y994" t="s">
        <v>68</v>
      </c>
      <c r="Z994" t="s">
        <v>160</v>
      </c>
      <c r="AA994" t="s">
        <v>166</v>
      </c>
      <c r="AB994">
        <v>4.2</v>
      </c>
      <c r="AC994">
        <v>50</v>
      </c>
      <c r="AD994">
        <v>1069.5</v>
      </c>
      <c r="AE994">
        <f t="shared" si="30"/>
        <v>10625.75</v>
      </c>
      <c r="AF994" t="str">
        <f t="shared" si="31"/>
        <v>2025-05</v>
      </c>
      <c r="AG994">
        <f>SUBTOTAL(103,A994)</f>
        <v>1</v>
      </c>
    </row>
    <row r="995" spans="1:33" x14ac:dyDescent="0.3">
      <c r="A995" t="s">
        <v>3609</v>
      </c>
      <c r="B995" s="13">
        <v>45783</v>
      </c>
      <c r="C995">
        <v>2025</v>
      </c>
      <c r="D995">
        <v>5</v>
      </c>
      <c r="E995" t="s">
        <v>3566</v>
      </c>
      <c r="F995" t="s">
        <v>3329</v>
      </c>
      <c r="G995" t="s">
        <v>283</v>
      </c>
      <c r="H995" t="s">
        <v>284</v>
      </c>
      <c r="I995" t="s">
        <v>85</v>
      </c>
      <c r="J995">
        <v>20</v>
      </c>
      <c r="K995" t="s">
        <v>80</v>
      </c>
      <c r="L995" t="s">
        <v>2687</v>
      </c>
      <c r="M995" t="s">
        <v>57</v>
      </c>
      <c r="N995" t="s">
        <v>2647</v>
      </c>
      <c r="O995" t="s">
        <v>133</v>
      </c>
      <c r="P995" t="s">
        <v>50</v>
      </c>
      <c r="Q995" t="s">
        <v>145</v>
      </c>
      <c r="R995">
        <v>3</v>
      </c>
      <c r="S995">
        <v>799</v>
      </c>
      <c r="T995">
        <v>0.2</v>
      </c>
      <c r="U995">
        <v>1917.6</v>
      </c>
      <c r="V995">
        <v>1170</v>
      </c>
      <c r="W995">
        <v>747.6</v>
      </c>
      <c r="X995" t="s">
        <v>74</v>
      </c>
      <c r="Y995" t="s">
        <v>69</v>
      </c>
      <c r="Z995" t="s">
        <v>159</v>
      </c>
      <c r="AA995" t="s">
        <v>169</v>
      </c>
      <c r="AB995">
        <v>5</v>
      </c>
      <c r="AC995">
        <v>100</v>
      </c>
      <c r="AD995">
        <v>60.65</v>
      </c>
      <c r="AE995">
        <f t="shared" si="30"/>
        <v>586.95000000000005</v>
      </c>
      <c r="AF995" t="str">
        <f t="shared" si="31"/>
        <v>2025-05</v>
      </c>
      <c r="AG995">
        <f>SUBTOTAL(103,A995)</f>
        <v>1</v>
      </c>
    </row>
    <row r="996" spans="1:33" x14ac:dyDescent="0.3">
      <c r="A996" t="s">
        <v>3610</v>
      </c>
      <c r="B996" s="13">
        <v>45783</v>
      </c>
      <c r="C996">
        <v>2025</v>
      </c>
      <c r="D996">
        <v>5</v>
      </c>
      <c r="E996" t="s">
        <v>3566</v>
      </c>
      <c r="F996" t="s">
        <v>3329</v>
      </c>
      <c r="G996" t="s">
        <v>1173</v>
      </c>
      <c r="H996" t="s">
        <v>1174</v>
      </c>
      <c r="I996" t="s">
        <v>86</v>
      </c>
      <c r="J996">
        <v>43</v>
      </c>
      <c r="K996" t="s">
        <v>82</v>
      </c>
      <c r="L996" t="s">
        <v>2576</v>
      </c>
      <c r="M996" t="s">
        <v>60</v>
      </c>
      <c r="N996" t="s">
        <v>2665</v>
      </c>
      <c r="O996" t="s">
        <v>128</v>
      </c>
      <c r="P996" t="s">
        <v>53</v>
      </c>
      <c r="Q996" t="s">
        <v>143</v>
      </c>
      <c r="R996">
        <v>4</v>
      </c>
      <c r="S996">
        <v>1499</v>
      </c>
      <c r="T996">
        <v>0.1</v>
      </c>
      <c r="U996">
        <v>5396.4</v>
      </c>
      <c r="V996">
        <v>3200</v>
      </c>
      <c r="W996">
        <v>2196.4</v>
      </c>
      <c r="X996" t="s">
        <v>75</v>
      </c>
      <c r="Y996" t="s">
        <v>68</v>
      </c>
      <c r="Z996" t="s">
        <v>161</v>
      </c>
      <c r="AA996" t="s">
        <v>166</v>
      </c>
      <c r="AB996">
        <v>3.3</v>
      </c>
      <c r="AC996">
        <v>100</v>
      </c>
      <c r="AD996">
        <v>505.11</v>
      </c>
      <c r="AE996">
        <f t="shared" si="30"/>
        <v>1591.29</v>
      </c>
      <c r="AF996" t="str">
        <f t="shared" si="31"/>
        <v>2025-05</v>
      </c>
      <c r="AG996">
        <f>SUBTOTAL(103,A996)</f>
        <v>1</v>
      </c>
    </row>
    <row r="997" spans="1:33" x14ac:dyDescent="0.3">
      <c r="A997" t="s">
        <v>3611</v>
      </c>
      <c r="B997" s="13">
        <v>45783</v>
      </c>
      <c r="C997">
        <v>2025</v>
      </c>
      <c r="D997">
        <v>5</v>
      </c>
      <c r="E997" t="s">
        <v>3566</v>
      </c>
      <c r="F997" t="s">
        <v>3329</v>
      </c>
      <c r="G997" t="s">
        <v>525</v>
      </c>
      <c r="H997" t="s">
        <v>526</v>
      </c>
      <c r="I997" t="s">
        <v>86</v>
      </c>
      <c r="J997">
        <v>24</v>
      </c>
      <c r="K997" t="s">
        <v>80</v>
      </c>
      <c r="L997" t="s">
        <v>2679</v>
      </c>
      <c r="M997" t="s">
        <v>60</v>
      </c>
      <c r="N997" t="s">
        <v>2603</v>
      </c>
      <c r="O997" t="s">
        <v>122</v>
      </c>
      <c r="P997" t="s">
        <v>48</v>
      </c>
      <c r="Q997" t="s">
        <v>141</v>
      </c>
      <c r="R997">
        <v>1</v>
      </c>
      <c r="S997">
        <v>2499</v>
      </c>
      <c r="T997">
        <v>0.05</v>
      </c>
      <c r="U997">
        <v>2374.0500000000002</v>
      </c>
      <c r="V997">
        <v>1450</v>
      </c>
      <c r="W997">
        <v>924.05</v>
      </c>
      <c r="X997" t="s">
        <v>77</v>
      </c>
      <c r="Y997" t="s">
        <v>68</v>
      </c>
      <c r="Z997" t="s">
        <v>158</v>
      </c>
      <c r="AA997" t="s">
        <v>168</v>
      </c>
      <c r="AB997">
        <v>4.4000000000000004</v>
      </c>
      <c r="AC997">
        <v>80</v>
      </c>
      <c r="AD997">
        <v>186.41</v>
      </c>
      <c r="AE997">
        <f t="shared" si="30"/>
        <v>657.64</v>
      </c>
      <c r="AF997" t="str">
        <f t="shared" si="31"/>
        <v>2025-05</v>
      </c>
      <c r="AG997">
        <f>SUBTOTAL(103,A997)</f>
        <v>1</v>
      </c>
    </row>
    <row r="998" spans="1:33" x14ac:dyDescent="0.3">
      <c r="A998" t="s">
        <v>3612</v>
      </c>
      <c r="B998" s="13">
        <v>45783</v>
      </c>
      <c r="C998">
        <v>2025</v>
      </c>
      <c r="D998">
        <v>5</v>
      </c>
      <c r="E998" t="s">
        <v>3566</v>
      </c>
      <c r="F998" t="s">
        <v>3329</v>
      </c>
      <c r="G998" t="s">
        <v>967</v>
      </c>
      <c r="H998" t="s">
        <v>968</v>
      </c>
      <c r="I998" t="s">
        <v>86</v>
      </c>
      <c r="J998">
        <v>59</v>
      </c>
      <c r="K998" t="s">
        <v>83</v>
      </c>
      <c r="L998" t="s">
        <v>2576</v>
      </c>
      <c r="M998" t="s">
        <v>60</v>
      </c>
      <c r="N998" t="s">
        <v>2587</v>
      </c>
      <c r="O998" t="s">
        <v>116</v>
      </c>
      <c r="P998" t="s">
        <v>48</v>
      </c>
      <c r="Q998" t="s">
        <v>138</v>
      </c>
      <c r="R998">
        <v>2</v>
      </c>
      <c r="S998">
        <v>14999</v>
      </c>
      <c r="T998">
        <v>0.15</v>
      </c>
      <c r="U998">
        <v>25498.3</v>
      </c>
      <c r="V998">
        <v>22400</v>
      </c>
      <c r="W998">
        <v>3098.3</v>
      </c>
      <c r="X998" t="s">
        <v>76</v>
      </c>
      <c r="Y998" t="s">
        <v>68</v>
      </c>
      <c r="Z998" t="s">
        <v>159</v>
      </c>
      <c r="AA998" t="s">
        <v>167</v>
      </c>
      <c r="AB998">
        <v>3.2</v>
      </c>
      <c r="AC998">
        <v>60</v>
      </c>
      <c r="AD998">
        <v>1968.76</v>
      </c>
      <c r="AE998">
        <f t="shared" si="30"/>
        <v>1069.5400000000002</v>
      </c>
      <c r="AF998" t="str">
        <f t="shared" si="31"/>
        <v>2025-05</v>
      </c>
      <c r="AG998">
        <f>SUBTOTAL(103,A998)</f>
        <v>1</v>
      </c>
    </row>
    <row r="999" spans="1:33" x14ac:dyDescent="0.3">
      <c r="A999" t="s">
        <v>3613</v>
      </c>
      <c r="B999" s="13">
        <v>45784</v>
      </c>
      <c r="C999">
        <v>2025</v>
      </c>
      <c r="D999">
        <v>5</v>
      </c>
      <c r="E999" t="s">
        <v>3566</v>
      </c>
      <c r="F999" t="s">
        <v>3329</v>
      </c>
      <c r="G999" t="s">
        <v>1249</v>
      </c>
      <c r="H999" t="s">
        <v>1250</v>
      </c>
      <c r="I999" t="s">
        <v>85</v>
      </c>
      <c r="J999">
        <v>18</v>
      </c>
      <c r="K999" t="s">
        <v>80</v>
      </c>
      <c r="L999" t="s">
        <v>91</v>
      </c>
      <c r="M999" t="s">
        <v>55</v>
      </c>
      <c r="N999" t="s">
        <v>2592</v>
      </c>
      <c r="O999" t="s">
        <v>115</v>
      </c>
      <c r="P999" t="s">
        <v>48</v>
      </c>
      <c r="Q999" t="s">
        <v>137</v>
      </c>
      <c r="R999">
        <v>2</v>
      </c>
      <c r="S999">
        <v>12999</v>
      </c>
      <c r="T999">
        <v>0.2</v>
      </c>
      <c r="U999">
        <v>20798.400000000001</v>
      </c>
      <c r="V999">
        <v>18000</v>
      </c>
      <c r="W999">
        <v>2798.4</v>
      </c>
      <c r="X999" t="s">
        <v>73</v>
      </c>
      <c r="Y999" t="s">
        <v>68</v>
      </c>
      <c r="Z999" t="s">
        <v>162</v>
      </c>
      <c r="AA999" t="s">
        <v>171</v>
      </c>
      <c r="AB999">
        <v>4.7</v>
      </c>
      <c r="AC999">
        <v>60</v>
      </c>
      <c r="AD999">
        <v>510.99</v>
      </c>
      <c r="AE999">
        <f t="shared" si="30"/>
        <v>2227.41</v>
      </c>
      <c r="AF999" t="str">
        <f t="shared" si="31"/>
        <v>2025-05</v>
      </c>
      <c r="AG999">
        <f>SUBTOTAL(103,A999)</f>
        <v>1</v>
      </c>
    </row>
    <row r="1000" spans="1:33" x14ac:dyDescent="0.3">
      <c r="A1000" t="s">
        <v>3614</v>
      </c>
      <c r="B1000" s="13">
        <v>45784</v>
      </c>
      <c r="C1000">
        <v>2025</v>
      </c>
      <c r="D1000">
        <v>5</v>
      </c>
      <c r="E1000" t="s">
        <v>3566</v>
      </c>
      <c r="F1000" t="s">
        <v>3329</v>
      </c>
      <c r="G1000" t="s">
        <v>237</v>
      </c>
      <c r="H1000" t="s">
        <v>238</v>
      </c>
      <c r="I1000" t="s">
        <v>85</v>
      </c>
      <c r="J1000">
        <v>37</v>
      </c>
      <c r="K1000" t="s">
        <v>82</v>
      </c>
      <c r="L1000" t="s">
        <v>91</v>
      </c>
      <c r="M1000" t="s">
        <v>55</v>
      </c>
      <c r="N1000" t="s">
        <v>2630</v>
      </c>
      <c r="O1000" t="s">
        <v>123</v>
      </c>
      <c r="P1000" t="s">
        <v>52</v>
      </c>
      <c r="Q1000" t="s">
        <v>146</v>
      </c>
      <c r="R1000">
        <v>4</v>
      </c>
      <c r="S1000">
        <v>2499</v>
      </c>
      <c r="T1000">
        <v>0.05</v>
      </c>
      <c r="U1000">
        <v>9496.2000000000007</v>
      </c>
      <c r="V1000">
        <v>5600</v>
      </c>
      <c r="W1000">
        <v>3896.2</v>
      </c>
      <c r="X1000" t="s">
        <v>76</v>
      </c>
      <c r="Y1000" t="s">
        <v>68</v>
      </c>
      <c r="Z1000" t="s">
        <v>161</v>
      </c>
      <c r="AA1000" t="s">
        <v>168</v>
      </c>
      <c r="AB1000">
        <v>4.7</v>
      </c>
      <c r="AC1000">
        <v>80</v>
      </c>
      <c r="AD1000">
        <v>804.28</v>
      </c>
      <c r="AE1000">
        <f t="shared" si="30"/>
        <v>3011.92</v>
      </c>
      <c r="AF1000" t="str">
        <f t="shared" si="31"/>
        <v>2025-05</v>
      </c>
      <c r="AG1000">
        <f>SUBTOTAL(103,A1000)</f>
        <v>1</v>
      </c>
    </row>
    <row r="1001" spans="1:33" x14ac:dyDescent="0.3">
      <c r="A1001" t="s">
        <v>3615</v>
      </c>
      <c r="B1001" s="13">
        <v>45784</v>
      </c>
      <c r="C1001">
        <v>2025</v>
      </c>
      <c r="D1001">
        <v>5</v>
      </c>
      <c r="E1001" t="s">
        <v>3566</v>
      </c>
      <c r="F1001" t="s">
        <v>3329</v>
      </c>
      <c r="G1001" t="s">
        <v>1917</v>
      </c>
      <c r="H1001" t="s">
        <v>1918</v>
      </c>
      <c r="I1001" t="s">
        <v>86</v>
      </c>
      <c r="J1001">
        <v>45</v>
      </c>
      <c r="K1001" t="s">
        <v>82</v>
      </c>
      <c r="L1001" t="s">
        <v>99</v>
      </c>
      <c r="M1001" t="s">
        <v>58</v>
      </c>
      <c r="N1001" t="s">
        <v>2630</v>
      </c>
      <c r="O1001" t="s">
        <v>123</v>
      </c>
      <c r="P1001" t="s">
        <v>52</v>
      </c>
      <c r="Q1001" t="s">
        <v>146</v>
      </c>
      <c r="R1001">
        <v>2</v>
      </c>
      <c r="S1001">
        <v>2499</v>
      </c>
      <c r="T1001">
        <v>0.05</v>
      </c>
      <c r="U1001">
        <v>4748.1000000000004</v>
      </c>
      <c r="V1001">
        <v>2800</v>
      </c>
      <c r="W1001">
        <v>1948.1</v>
      </c>
      <c r="X1001" t="s">
        <v>75</v>
      </c>
      <c r="Y1001" t="s">
        <v>69</v>
      </c>
      <c r="Z1001" t="s">
        <v>160</v>
      </c>
      <c r="AA1001" t="s">
        <v>171</v>
      </c>
      <c r="AB1001">
        <v>2.7</v>
      </c>
      <c r="AC1001">
        <v>80</v>
      </c>
      <c r="AD1001">
        <v>334.61</v>
      </c>
      <c r="AE1001">
        <f t="shared" si="30"/>
        <v>1533.4899999999998</v>
      </c>
      <c r="AF1001" t="str">
        <f t="shared" si="31"/>
        <v>2025-05</v>
      </c>
      <c r="AG1001">
        <f>SUBTOTAL(103,A1001)</f>
        <v>1</v>
      </c>
    </row>
    <row r="1002" spans="1:33" x14ac:dyDescent="0.3">
      <c r="A1002" t="s">
        <v>3616</v>
      </c>
      <c r="B1002" s="13">
        <v>45784</v>
      </c>
      <c r="C1002">
        <v>2025</v>
      </c>
      <c r="D1002">
        <v>5</v>
      </c>
      <c r="E1002" t="s">
        <v>3566</v>
      </c>
      <c r="F1002" t="s">
        <v>3329</v>
      </c>
      <c r="G1002" t="s">
        <v>725</v>
      </c>
      <c r="H1002" t="s">
        <v>726</v>
      </c>
      <c r="I1002" t="s">
        <v>85</v>
      </c>
      <c r="J1002">
        <v>22</v>
      </c>
      <c r="K1002" t="s">
        <v>80</v>
      </c>
      <c r="L1002" t="s">
        <v>2612</v>
      </c>
      <c r="M1002" t="s">
        <v>64</v>
      </c>
      <c r="N1002" t="s">
        <v>2601</v>
      </c>
      <c r="O1002" t="s">
        <v>117</v>
      </c>
      <c r="P1002" t="s">
        <v>49</v>
      </c>
      <c r="Q1002" t="s">
        <v>139</v>
      </c>
      <c r="R1002">
        <v>2</v>
      </c>
      <c r="S1002">
        <v>6999</v>
      </c>
      <c r="T1002">
        <v>0.1</v>
      </c>
      <c r="U1002">
        <v>12598.2</v>
      </c>
      <c r="V1002">
        <v>8600</v>
      </c>
      <c r="W1002">
        <v>3998.2</v>
      </c>
      <c r="X1002" t="s">
        <v>73</v>
      </c>
      <c r="Y1002" t="s">
        <v>69</v>
      </c>
      <c r="Z1002" t="s">
        <v>160</v>
      </c>
      <c r="AA1002" t="s">
        <v>169</v>
      </c>
      <c r="AB1002">
        <v>4</v>
      </c>
      <c r="AC1002">
        <v>60</v>
      </c>
      <c r="AD1002">
        <v>1355.52</v>
      </c>
      <c r="AE1002">
        <f t="shared" si="30"/>
        <v>2582.6799999999998</v>
      </c>
      <c r="AF1002" t="str">
        <f t="shared" si="31"/>
        <v>2025-05</v>
      </c>
      <c r="AG1002">
        <f>SUBTOTAL(103,A1002)</f>
        <v>1</v>
      </c>
    </row>
    <row r="1003" spans="1:33" x14ac:dyDescent="0.3">
      <c r="A1003" t="s">
        <v>3617</v>
      </c>
      <c r="B1003" s="13">
        <v>45784</v>
      </c>
      <c r="C1003">
        <v>2025</v>
      </c>
      <c r="D1003">
        <v>5</v>
      </c>
      <c r="E1003" t="s">
        <v>3566</v>
      </c>
      <c r="F1003" t="s">
        <v>3329</v>
      </c>
      <c r="G1003" t="s">
        <v>425</v>
      </c>
      <c r="H1003" t="s">
        <v>426</v>
      </c>
      <c r="I1003" t="s">
        <v>86</v>
      </c>
      <c r="J1003">
        <v>20</v>
      </c>
      <c r="K1003" t="s">
        <v>80</v>
      </c>
      <c r="L1003" t="s">
        <v>96</v>
      </c>
      <c r="M1003" t="s">
        <v>55</v>
      </c>
      <c r="N1003" t="s">
        <v>2601</v>
      </c>
      <c r="O1003" t="s">
        <v>117</v>
      </c>
      <c r="P1003" t="s">
        <v>49</v>
      </c>
      <c r="Q1003" t="s">
        <v>139</v>
      </c>
      <c r="R1003">
        <v>2</v>
      </c>
      <c r="S1003">
        <v>6999</v>
      </c>
      <c r="T1003">
        <v>0.1</v>
      </c>
      <c r="U1003">
        <v>0</v>
      </c>
      <c r="V1003">
        <v>0</v>
      </c>
      <c r="W1003">
        <v>0</v>
      </c>
      <c r="X1003" t="s">
        <v>74</v>
      </c>
      <c r="Y1003" t="s">
        <v>71</v>
      </c>
      <c r="Z1003" t="s">
        <v>158</v>
      </c>
      <c r="AA1003" t="s">
        <v>169</v>
      </c>
      <c r="AB1003">
        <v>5</v>
      </c>
      <c r="AC1003">
        <v>50</v>
      </c>
      <c r="AD1003">
        <v>322.17</v>
      </c>
      <c r="AE1003">
        <f t="shared" si="30"/>
        <v>-372.17</v>
      </c>
      <c r="AF1003" t="str">
        <f t="shared" si="31"/>
        <v>2025-05</v>
      </c>
      <c r="AG1003">
        <f>SUBTOTAL(103,A1003)</f>
        <v>1</v>
      </c>
    </row>
    <row r="1004" spans="1:33" x14ac:dyDescent="0.3">
      <c r="A1004" t="s">
        <v>3618</v>
      </c>
      <c r="B1004" s="13">
        <v>45784</v>
      </c>
      <c r="C1004">
        <v>2025</v>
      </c>
      <c r="D1004">
        <v>5</v>
      </c>
      <c r="E1004" t="s">
        <v>3566</v>
      </c>
      <c r="F1004" t="s">
        <v>3329</v>
      </c>
      <c r="G1004" t="s">
        <v>1511</v>
      </c>
      <c r="H1004" t="s">
        <v>1512</v>
      </c>
      <c r="I1004" t="s">
        <v>85</v>
      </c>
      <c r="J1004">
        <v>57</v>
      </c>
      <c r="K1004" t="s">
        <v>83</v>
      </c>
      <c r="L1004" t="s">
        <v>98</v>
      </c>
      <c r="M1004" t="s">
        <v>55</v>
      </c>
      <c r="N1004" t="s">
        <v>2603</v>
      </c>
      <c r="O1004" t="s">
        <v>122</v>
      </c>
      <c r="P1004" t="s">
        <v>48</v>
      </c>
      <c r="Q1004" t="s">
        <v>141</v>
      </c>
      <c r="R1004">
        <v>3</v>
      </c>
      <c r="S1004">
        <v>2499</v>
      </c>
      <c r="T1004">
        <v>0.2</v>
      </c>
      <c r="U1004">
        <v>5997.6</v>
      </c>
      <c r="V1004">
        <v>4350</v>
      </c>
      <c r="W1004">
        <v>1647.6</v>
      </c>
      <c r="X1004" t="s">
        <v>76</v>
      </c>
      <c r="Y1004" t="s">
        <v>68</v>
      </c>
      <c r="Z1004" t="s">
        <v>159</v>
      </c>
      <c r="AA1004" t="s">
        <v>171</v>
      </c>
      <c r="AB1004">
        <v>3.9</v>
      </c>
      <c r="AC1004">
        <v>50</v>
      </c>
      <c r="AD1004">
        <v>432.88</v>
      </c>
      <c r="AE1004">
        <f t="shared" si="30"/>
        <v>1164.7199999999998</v>
      </c>
      <c r="AF1004" t="str">
        <f t="shared" si="31"/>
        <v>2025-05</v>
      </c>
      <c r="AG1004">
        <f>SUBTOTAL(103,A1004)</f>
        <v>1</v>
      </c>
    </row>
    <row r="1005" spans="1:33" x14ac:dyDescent="0.3">
      <c r="A1005" t="s">
        <v>3619</v>
      </c>
      <c r="B1005" s="13">
        <v>45784</v>
      </c>
      <c r="C1005">
        <v>2025</v>
      </c>
      <c r="D1005">
        <v>5</v>
      </c>
      <c r="E1005" t="s">
        <v>3566</v>
      </c>
      <c r="F1005" t="s">
        <v>3329</v>
      </c>
      <c r="G1005" t="s">
        <v>2425</v>
      </c>
      <c r="H1005" t="s">
        <v>2426</v>
      </c>
      <c r="I1005" t="s">
        <v>86</v>
      </c>
      <c r="J1005">
        <v>50</v>
      </c>
      <c r="K1005" t="s">
        <v>83</v>
      </c>
      <c r="L1005" t="s">
        <v>2690</v>
      </c>
      <c r="M1005" t="s">
        <v>63</v>
      </c>
      <c r="N1005" t="s">
        <v>2584</v>
      </c>
      <c r="O1005" t="s">
        <v>121</v>
      </c>
      <c r="P1005" t="s">
        <v>50</v>
      </c>
      <c r="Q1005" t="s">
        <v>144</v>
      </c>
      <c r="R1005">
        <v>1</v>
      </c>
      <c r="S1005">
        <v>2999</v>
      </c>
      <c r="T1005">
        <v>0.05</v>
      </c>
      <c r="U1005">
        <v>2849.05</v>
      </c>
      <c r="V1005">
        <v>1700</v>
      </c>
      <c r="W1005">
        <v>1149.05</v>
      </c>
      <c r="X1005" t="s">
        <v>74</v>
      </c>
      <c r="Y1005" t="s">
        <v>68</v>
      </c>
      <c r="Z1005" t="s">
        <v>161</v>
      </c>
      <c r="AA1005" t="s">
        <v>167</v>
      </c>
      <c r="AB1005">
        <v>5</v>
      </c>
      <c r="AC1005">
        <v>100</v>
      </c>
      <c r="AD1005">
        <v>192.96</v>
      </c>
      <c r="AE1005">
        <f t="shared" si="30"/>
        <v>856.08999999999992</v>
      </c>
      <c r="AF1005" t="str">
        <f t="shared" si="31"/>
        <v>2025-05</v>
      </c>
      <c r="AG1005">
        <f>SUBTOTAL(103,A1005)</f>
        <v>1</v>
      </c>
    </row>
    <row r="1006" spans="1:33" x14ac:dyDescent="0.3">
      <c r="A1006" t="s">
        <v>3620</v>
      </c>
      <c r="B1006" s="13">
        <v>45785</v>
      </c>
      <c r="C1006">
        <v>2025</v>
      </c>
      <c r="D1006">
        <v>5</v>
      </c>
      <c r="E1006" t="s">
        <v>3566</v>
      </c>
      <c r="F1006" t="s">
        <v>3329</v>
      </c>
      <c r="G1006" t="s">
        <v>233</v>
      </c>
      <c r="H1006" t="s">
        <v>234</v>
      </c>
      <c r="I1006" t="s">
        <v>86</v>
      </c>
      <c r="J1006">
        <v>55</v>
      </c>
      <c r="K1006" t="s">
        <v>83</v>
      </c>
      <c r="L1006" t="s">
        <v>90</v>
      </c>
      <c r="M1006" t="s">
        <v>55</v>
      </c>
      <c r="N1006" t="s">
        <v>2592</v>
      </c>
      <c r="O1006" t="s">
        <v>115</v>
      </c>
      <c r="P1006" t="s">
        <v>48</v>
      </c>
      <c r="Q1006" t="s">
        <v>137</v>
      </c>
      <c r="R1006">
        <v>2</v>
      </c>
      <c r="S1006">
        <v>12999</v>
      </c>
      <c r="T1006">
        <v>0.25</v>
      </c>
      <c r="U1006">
        <v>19498.5</v>
      </c>
      <c r="V1006">
        <v>18000</v>
      </c>
      <c r="W1006">
        <v>1498.5</v>
      </c>
      <c r="X1006" t="s">
        <v>74</v>
      </c>
      <c r="Y1006" t="s">
        <v>68</v>
      </c>
      <c r="Z1006" t="s">
        <v>163</v>
      </c>
      <c r="AA1006" t="s">
        <v>166</v>
      </c>
      <c r="AB1006">
        <v>3.8</v>
      </c>
      <c r="AC1006">
        <v>60</v>
      </c>
      <c r="AD1006">
        <v>1353.47</v>
      </c>
      <c r="AE1006">
        <f t="shared" si="30"/>
        <v>85.029999999999973</v>
      </c>
      <c r="AF1006" t="str">
        <f t="shared" si="31"/>
        <v>2025-05</v>
      </c>
      <c r="AG1006">
        <f>SUBTOTAL(103,A1006)</f>
        <v>1</v>
      </c>
    </row>
    <row r="1007" spans="1:33" x14ac:dyDescent="0.3">
      <c r="A1007" t="s">
        <v>3621</v>
      </c>
      <c r="B1007" s="13">
        <v>45785</v>
      </c>
      <c r="C1007">
        <v>2025</v>
      </c>
      <c r="D1007">
        <v>5</v>
      </c>
      <c r="E1007" t="s">
        <v>3566</v>
      </c>
      <c r="F1007" t="s">
        <v>3329</v>
      </c>
      <c r="G1007" t="s">
        <v>961</v>
      </c>
      <c r="H1007" t="s">
        <v>962</v>
      </c>
      <c r="I1007" t="s">
        <v>85</v>
      </c>
      <c r="J1007">
        <v>56</v>
      </c>
      <c r="K1007" t="s">
        <v>83</v>
      </c>
      <c r="L1007" t="s">
        <v>2605</v>
      </c>
      <c r="M1007" t="s">
        <v>60</v>
      </c>
      <c r="N1007" t="s">
        <v>2582</v>
      </c>
      <c r="O1007" t="s">
        <v>119</v>
      </c>
      <c r="P1007" t="s">
        <v>49</v>
      </c>
      <c r="Q1007" t="s">
        <v>140</v>
      </c>
      <c r="R1007">
        <v>2</v>
      </c>
      <c r="S1007">
        <v>3499</v>
      </c>
      <c r="T1007">
        <v>0.1</v>
      </c>
      <c r="U1007">
        <v>6298.2</v>
      </c>
      <c r="V1007">
        <v>4200</v>
      </c>
      <c r="W1007">
        <v>2098.1999999999998</v>
      </c>
      <c r="X1007" t="s">
        <v>74</v>
      </c>
      <c r="Y1007" t="s">
        <v>69</v>
      </c>
      <c r="Z1007" t="s">
        <v>162</v>
      </c>
      <c r="AA1007" t="s">
        <v>166</v>
      </c>
      <c r="AB1007">
        <v>4.2</v>
      </c>
      <c r="AC1007">
        <v>120</v>
      </c>
      <c r="AD1007">
        <v>224.75</v>
      </c>
      <c r="AE1007">
        <f t="shared" si="30"/>
        <v>1753.4499999999998</v>
      </c>
      <c r="AF1007" t="str">
        <f t="shared" si="31"/>
        <v>2025-05</v>
      </c>
      <c r="AG1007">
        <f>SUBTOTAL(103,A1007)</f>
        <v>1</v>
      </c>
    </row>
    <row r="1008" spans="1:33" x14ac:dyDescent="0.3">
      <c r="A1008" t="s">
        <v>3622</v>
      </c>
      <c r="B1008" s="13">
        <v>45785</v>
      </c>
      <c r="C1008">
        <v>2025</v>
      </c>
      <c r="D1008">
        <v>5</v>
      </c>
      <c r="E1008" t="s">
        <v>3566</v>
      </c>
      <c r="F1008" t="s">
        <v>3329</v>
      </c>
      <c r="G1008" t="s">
        <v>1547</v>
      </c>
      <c r="H1008" t="s">
        <v>1548</v>
      </c>
      <c r="I1008" t="s">
        <v>86</v>
      </c>
      <c r="J1008">
        <v>46</v>
      </c>
      <c r="K1008" t="s">
        <v>83</v>
      </c>
      <c r="L1008" t="s">
        <v>90</v>
      </c>
      <c r="M1008" t="s">
        <v>55</v>
      </c>
      <c r="N1008" t="s">
        <v>2594</v>
      </c>
      <c r="O1008" t="s">
        <v>131</v>
      </c>
      <c r="P1008" t="s">
        <v>53</v>
      </c>
      <c r="Q1008" t="s">
        <v>143</v>
      </c>
      <c r="R1008">
        <v>1</v>
      </c>
      <c r="S1008">
        <v>999</v>
      </c>
      <c r="T1008">
        <v>0.1</v>
      </c>
      <c r="U1008">
        <v>899.1</v>
      </c>
      <c r="V1008">
        <v>520</v>
      </c>
      <c r="W1008">
        <v>379.1</v>
      </c>
      <c r="X1008" t="s">
        <v>75</v>
      </c>
      <c r="Y1008" t="s">
        <v>69</v>
      </c>
      <c r="Z1008" t="s">
        <v>158</v>
      </c>
      <c r="AA1008" t="s">
        <v>170</v>
      </c>
      <c r="AB1008">
        <v>5</v>
      </c>
      <c r="AC1008">
        <v>40</v>
      </c>
      <c r="AD1008">
        <v>98.93</v>
      </c>
      <c r="AE1008">
        <f t="shared" si="30"/>
        <v>240.17000000000002</v>
      </c>
      <c r="AF1008" t="str">
        <f t="shared" si="31"/>
        <v>2025-05</v>
      </c>
      <c r="AG1008">
        <f>SUBTOTAL(103,A1008)</f>
        <v>1</v>
      </c>
    </row>
    <row r="1009" spans="1:33" x14ac:dyDescent="0.3">
      <c r="A1009" t="s">
        <v>3623</v>
      </c>
      <c r="B1009" s="13">
        <v>45785</v>
      </c>
      <c r="C1009">
        <v>2025</v>
      </c>
      <c r="D1009">
        <v>5</v>
      </c>
      <c r="E1009" t="s">
        <v>3566</v>
      </c>
      <c r="F1009" t="s">
        <v>3329</v>
      </c>
      <c r="G1009" t="s">
        <v>931</v>
      </c>
      <c r="H1009" t="s">
        <v>932</v>
      </c>
      <c r="I1009" t="s">
        <v>86</v>
      </c>
      <c r="J1009">
        <v>39</v>
      </c>
      <c r="K1009" t="s">
        <v>82</v>
      </c>
      <c r="L1009" t="s">
        <v>2579</v>
      </c>
      <c r="M1009" t="s">
        <v>56</v>
      </c>
      <c r="N1009" t="s">
        <v>2574</v>
      </c>
      <c r="O1009" t="s">
        <v>130</v>
      </c>
      <c r="P1009" t="s">
        <v>50</v>
      </c>
      <c r="Q1009" t="s">
        <v>53</v>
      </c>
      <c r="R1009">
        <v>2</v>
      </c>
      <c r="S1009">
        <v>1199</v>
      </c>
      <c r="T1009">
        <v>0.2</v>
      </c>
      <c r="U1009">
        <v>1918.4</v>
      </c>
      <c r="V1009">
        <v>1100</v>
      </c>
      <c r="W1009">
        <v>818.4</v>
      </c>
      <c r="X1009" t="s">
        <v>74</v>
      </c>
      <c r="Y1009" t="s">
        <v>68</v>
      </c>
      <c r="Z1009" t="s">
        <v>160</v>
      </c>
      <c r="AA1009" t="s">
        <v>169</v>
      </c>
      <c r="AB1009">
        <v>4</v>
      </c>
      <c r="AC1009">
        <v>50</v>
      </c>
      <c r="AD1009">
        <v>121.33</v>
      </c>
      <c r="AE1009">
        <f t="shared" si="30"/>
        <v>647.06999999999994</v>
      </c>
      <c r="AF1009" t="str">
        <f t="shared" si="31"/>
        <v>2025-05</v>
      </c>
      <c r="AG1009">
        <f>SUBTOTAL(103,A1009)</f>
        <v>1</v>
      </c>
    </row>
    <row r="1010" spans="1:33" x14ac:dyDescent="0.3">
      <c r="A1010" t="s">
        <v>3624</v>
      </c>
      <c r="B1010" s="13">
        <v>45785</v>
      </c>
      <c r="C1010">
        <v>2025</v>
      </c>
      <c r="D1010">
        <v>5</v>
      </c>
      <c r="E1010" t="s">
        <v>3566</v>
      </c>
      <c r="F1010" t="s">
        <v>3329</v>
      </c>
      <c r="G1010" t="s">
        <v>1067</v>
      </c>
      <c r="H1010" t="s">
        <v>1068</v>
      </c>
      <c r="I1010" t="s">
        <v>86</v>
      </c>
      <c r="J1010">
        <v>19</v>
      </c>
      <c r="K1010" t="s">
        <v>80</v>
      </c>
      <c r="L1010" t="s">
        <v>2661</v>
      </c>
      <c r="M1010" t="s">
        <v>58</v>
      </c>
      <c r="N1010" t="s">
        <v>2592</v>
      </c>
      <c r="O1010" t="s">
        <v>115</v>
      </c>
      <c r="P1010" t="s">
        <v>48</v>
      </c>
      <c r="Q1010" t="s">
        <v>137</v>
      </c>
      <c r="R1010">
        <v>2</v>
      </c>
      <c r="S1010">
        <v>12999</v>
      </c>
      <c r="T1010">
        <v>0.05</v>
      </c>
      <c r="U1010">
        <v>24698.1</v>
      </c>
      <c r="V1010">
        <v>18000</v>
      </c>
      <c r="W1010">
        <v>6698.1</v>
      </c>
      <c r="X1010" t="s">
        <v>77</v>
      </c>
      <c r="Y1010" t="s">
        <v>68</v>
      </c>
      <c r="Z1010" t="s">
        <v>163</v>
      </c>
      <c r="AA1010" t="s">
        <v>167</v>
      </c>
      <c r="AB1010">
        <v>4.2</v>
      </c>
      <c r="AC1010">
        <v>50</v>
      </c>
      <c r="AD1010">
        <v>760.7</v>
      </c>
      <c r="AE1010">
        <f t="shared" si="30"/>
        <v>5887.4000000000005</v>
      </c>
      <c r="AF1010" t="str">
        <f t="shared" si="31"/>
        <v>2025-05</v>
      </c>
      <c r="AG1010">
        <f>SUBTOTAL(103,A1010)</f>
        <v>1</v>
      </c>
    </row>
    <row r="1011" spans="1:33" x14ac:dyDescent="0.3">
      <c r="A1011" t="s">
        <v>3625</v>
      </c>
      <c r="B1011" s="13">
        <v>45785</v>
      </c>
      <c r="C1011">
        <v>2025</v>
      </c>
      <c r="D1011">
        <v>5</v>
      </c>
      <c r="E1011" t="s">
        <v>3566</v>
      </c>
      <c r="F1011" t="s">
        <v>3329</v>
      </c>
      <c r="G1011" t="s">
        <v>1999</v>
      </c>
      <c r="H1011" t="s">
        <v>2000</v>
      </c>
      <c r="I1011" t="s">
        <v>85</v>
      </c>
      <c r="J1011">
        <v>25</v>
      </c>
      <c r="K1011" t="s">
        <v>80</v>
      </c>
      <c r="L1011" t="s">
        <v>2661</v>
      </c>
      <c r="M1011" t="s">
        <v>58</v>
      </c>
      <c r="N1011" t="s">
        <v>2590</v>
      </c>
      <c r="O1011" t="s">
        <v>127</v>
      </c>
      <c r="P1011" t="s">
        <v>51</v>
      </c>
      <c r="Q1011" t="s">
        <v>148</v>
      </c>
      <c r="R1011">
        <v>1</v>
      </c>
      <c r="S1011">
        <v>1599</v>
      </c>
      <c r="T1011">
        <v>0.15</v>
      </c>
      <c r="U1011">
        <v>1359.15</v>
      </c>
      <c r="V1011">
        <v>800</v>
      </c>
      <c r="W1011">
        <v>559.15</v>
      </c>
      <c r="X1011" t="s">
        <v>74</v>
      </c>
      <c r="Y1011" t="s">
        <v>69</v>
      </c>
      <c r="Z1011" t="s">
        <v>160</v>
      </c>
      <c r="AA1011" t="s">
        <v>168</v>
      </c>
      <c r="AB1011">
        <v>3.8</v>
      </c>
      <c r="AC1011">
        <v>80</v>
      </c>
      <c r="AD1011">
        <v>30.95</v>
      </c>
      <c r="AE1011">
        <f t="shared" si="30"/>
        <v>448.2</v>
      </c>
      <c r="AF1011" t="str">
        <f t="shared" si="31"/>
        <v>2025-05</v>
      </c>
      <c r="AG1011">
        <f>SUBTOTAL(103,A1011)</f>
        <v>1</v>
      </c>
    </row>
    <row r="1012" spans="1:33" x14ac:dyDescent="0.3">
      <c r="A1012" t="s">
        <v>3626</v>
      </c>
      <c r="B1012" s="13">
        <v>45785</v>
      </c>
      <c r="C1012">
        <v>2025</v>
      </c>
      <c r="D1012">
        <v>5</v>
      </c>
      <c r="E1012" t="s">
        <v>3566</v>
      </c>
      <c r="F1012" t="s">
        <v>3329</v>
      </c>
      <c r="G1012" t="s">
        <v>1933</v>
      </c>
      <c r="H1012" t="s">
        <v>1934</v>
      </c>
      <c r="I1012" t="s">
        <v>86</v>
      </c>
      <c r="J1012">
        <v>29</v>
      </c>
      <c r="K1012" t="s">
        <v>81</v>
      </c>
      <c r="L1012" t="s">
        <v>59</v>
      </c>
      <c r="M1012" t="s">
        <v>59</v>
      </c>
      <c r="N1012" t="s">
        <v>2577</v>
      </c>
      <c r="O1012" t="s">
        <v>129</v>
      </c>
      <c r="P1012" t="s">
        <v>49</v>
      </c>
      <c r="Q1012" t="s">
        <v>149</v>
      </c>
      <c r="R1012">
        <v>4</v>
      </c>
      <c r="S1012">
        <v>1299</v>
      </c>
      <c r="T1012">
        <v>0.05</v>
      </c>
      <c r="U1012">
        <v>4936.2</v>
      </c>
      <c r="V1012">
        <v>2600</v>
      </c>
      <c r="W1012">
        <v>2336.1999999999998</v>
      </c>
      <c r="X1012" t="s">
        <v>76</v>
      </c>
      <c r="Y1012" t="s">
        <v>68</v>
      </c>
      <c r="Z1012" t="s">
        <v>159</v>
      </c>
      <c r="AA1012" t="s">
        <v>171</v>
      </c>
      <c r="AB1012">
        <v>4</v>
      </c>
      <c r="AC1012">
        <v>50</v>
      </c>
      <c r="AD1012">
        <v>340.01</v>
      </c>
      <c r="AE1012">
        <f t="shared" si="30"/>
        <v>1946.1899999999998</v>
      </c>
      <c r="AF1012" t="str">
        <f t="shared" si="31"/>
        <v>2025-05</v>
      </c>
      <c r="AG1012">
        <f>SUBTOTAL(103,A1012)</f>
        <v>1</v>
      </c>
    </row>
    <row r="1013" spans="1:33" x14ac:dyDescent="0.3">
      <c r="A1013" t="s">
        <v>3627</v>
      </c>
      <c r="B1013" s="13">
        <v>45785</v>
      </c>
      <c r="C1013">
        <v>2025</v>
      </c>
      <c r="D1013">
        <v>5</v>
      </c>
      <c r="E1013" t="s">
        <v>3566</v>
      </c>
      <c r="F1013" t="s">
        <v>3329</v>
      </c>
      <c r="G1013" t="s">
        <v>2175</v>
      </c>
      <c r="H1013" t="s">
        <v>2176</v>
      </c>
      <c r="I1013" t="s">
        <v>86</v>
      </c>
      <c r="J1013">
        <v>54</v>
      </c>
      <c r="K1013" t="s">
        <v>83</v>
      </c>
      <c r="L1013" t="s">
        <v>98</v>
      </c>
      <c r="M1013" t="s">
        <v>55</v>
      </c>
      <c r="N1013" t="s">
        <v>2644</v>
      </c>
      <c r="O1013" t="s">
        <v>126</v>
      </c>
      <c r="P1013" t="s">
        <v>50</v>
      </c>
      <c r="Q1013" t="s">
        <v>145</v>
      </c>
      <c r="R1013">
        <v>4</v>
      </c>
      <c r="S1013">
        <v>1799</v>
      </c>
      <c r="T1013">
        <v>0</v>
      </c>
      <c r="U1013">
        <v>7196</v>
      </c>
      <c r="V1013">
        <v>3800</v>
      </c>
      <c r="W1013">
        <v>3396</v>
      </c>
      <c r="X1013" t="s">
        <v>73</v>
      </c>
      <c r="Y1013" t="s">
        <v>68</v>
      </c>
      <c r="Z1013" t="s">
        <v>160</v>
      </c>
      <c r="AA1013" t="s">
        <v>167</v>
      </c>
      <c r="AB1013">
        <v>3.5</v>
      </c>
      <c r="AC1013">
        <v>40</v>
      </c>
      <c r="AD1013">
        <v>599.22</v>
      </c>
      <c r="AE1013">
        <f t="shared" si="30"/>
        <v>2756.7799999999997</v>
      </c>
      <c r="AF1013" t="str">
        <f t="shared" si="31"/>
        <v>2025-05</v>
      </c>
      <c r="AG1013">
        <f>SUBTOTAL(103,A1013)</f>
        <v>1</v>
      </c>
    </row>
    <row r="1014" spans="1:33" x14ac:dyDescent="0.3">
      <c r="A1014" t="s">
        <v>3628</v>
      </c>
      <c r="B1014" s="13">
        <v>45785</v>
      </c>
      <c r="C1014">
        <v>2025</v>
      </c>
      <c r="D1014">
        <v>5</v>
      </c>
      <c r="E1014" t="s">
        <v>3566</v>
      </c>
      <c r="F1014" t="s">
        <v>3329</v>
      </c>
      <c r="G1014" t="s">
        <v>713</v>
      </c>
      <c r="H1014" t="s">
        <v>714</v>
      </c>
      <c r="I1014" t="s">
        <v>86</v>
      </c>
      <c r="J1014">
        <v>56</v>
      </c>
      <c r="K1014" t="s">
        <v>83</v>
      </c>
      <c r="L1014" t="s">
        <v>2589</v>
      </c>
      <c r="M1014" t="s">
        <v>61</v>
      </c>
      <c r="N1014" t="s">
        <v>2584</v>
      </c>
      <c r="O1014" t="s">
        <v>121</v>
      </c>
      <c r="P1014" t="s">
        <v>50</v>
      </c>
      <c r="Q1014" t="s">
        <v>144</v>
      </c>
      <c r="R1014">
        <v>2</v>
      </c>
      <c r="S1014">
        <v>2999</v>
      </c>
      <c r="T1014">
        <v>0.05</v>
      </c>
      <c r="U1014">
        <v>5698.1</v>
      </c>
      <c r="V1014">
        <v>3400</v>
      </c>
      <c r="W1014">
        <v>2298.1</v>
      </c>
      <c r="X1014" t="s">
        <v>75</v>
      </c>
      <c r="Y1014" t="s">
        <v>68</v>
      </c>
      <c r="Z1014" t="s">
        <v>160</v>
      </c>
      <c r="AA1014" t="s">
        <v>169</v>
      </c>
      <c r="AB1014">
        <v>3.4</v>
      </c>
      <c r="AC1014">
        <v>60</v>
      </c>
      <c r="AD1014">
        <v>624.71</v>
      </c>
      <c r="AE1014">
        <f t="shared" si="30"/>
        <v>1613.3899999999999</v>
      </c>
      <c r="AF1014" t="str">
        <f t="shared" si="31"/>
        <v>2025-05</v>
      </c>
      <c r="AG1014">
        <f>SUBTOTAL(103,A1014)</f>
        <v>1</v>
      </c>
    </row>
    <row r="1015" spans="1:33" x14ac:dyDescent="0.3">
      <c r="A1015" t="s">
        <v>3629</v>
      </c>
      <c r="B1015" s="13">
        <v>45785</v>
      </c>
      <c r="C1015">
        <v>2025</v>
      </c>
      <c r="D1015">
        <v>5</v>
      </c>
      <c r="E1015" t="s">
        <v>3566</v>
      </c>
      <c r="F1015" t="s">
        <v>3329</v>
      </c>
      <c r="G1015" t="s">
        <v>245</v>
      </c>
      <c r="H1015" t="s">
        <v>246</v>
      </c>
      <c r="I1015" t="s">
        <v>85</v>
      </c>
      <c r="J1015">
        <v>53</v>
      </c>
      <c r="K1015" t="s">
        <v>83</v>
      </c>
      <c r="L1015" t="s">
        <v>90</v>
      </c>
      <c r="M1015" t="s">
        <v>55</v>
      </c>
      <c r="N1015" t="s">
        <v>2657</v>
      </c>
      <c r="O1015" t="s">
        <v>134</v>
      </c>
      <c r="P1015" t="s">
        <v>49</v>
      </c>
      <c r="Q1015" t="s">
        <v>140</v>
      </c>
      <c r="R1015">
        <v>3</v>
      </c>
      <c r="S1015">
        <v>599</v>
      </c>
      <c r="T1015">
        <v>0.1</v>
      </c>
      <c r="U1015">
        <v>1617.3</v>
      </c>
      <c r="V1015">
        <v>750</v>
      </c>
      <c r="W1015">
        <v>867.3</v>
      </c>
      <c r="X1015" t="s">
        <v>76</v>
      </c>
      <c r="Y1015" t="s">
        <v>68</v>
      </c>
      <c r="Z1015" t="s">
        <v>163</v>
      </c>
      <c r="AA1015" t="s">
        <v>167</v>
      </c>
      <c r="AB1015">
        <v>3.8</v>
      </c>
      <c r="AC1015">
        <v>40</v>
      </c>
      <c r="AD1015">
        <v>67.17</v>
      </c>
      <c r="AE1015">
        <f t="shared" si="30"/>
        <v>760.13</v>
      </c>
      <c r="AF1015" t="str">
        <f t="shared" si="31"/>
        <v>2025-05</v>
      </c>
      <c r="AG1015">
        <f>SUBTOTAL(103,A1015)</f>
        <v>1</v>
      </c>
    </row>
    <row r="1016" spans="1:33" x14ac:dyDescent="0.3">
      <c r="A1016" t="s">
        <v>3630</v>
      </c>
      <c r="B1016" s="13">
        <v>45785</v>
      </c>
      <c r="C1016">
        <v>2025</v>
      </c>
      <c r="D1016">
        <v>5</v>
      </c>
      <c r="E1016" t="s">
        <v>3566</v>
      </c>
      <c r="F1016" t="s">
        <v>3329</v>
      </c>
      <c r="G1016" t="s">
        <v>923</v>
      </c>
      <c r="H1016" t="s">
        <v>924</v>
      </c>
      <c r="I1016" t="s">
        <v>86</v>
      </c>
      <c r="J1016">
        <v>53</v>
      </c>
      <c r="K1016" t="s">
        <v>83</v>
      </c>
      <c r="L1016" t="s">
        <v>2605</v>
      </c>
      <c r="M1016" t="s">
        <v>60</v>
      </c>
      <c r="N1016" t="s">
        <v>2653</v>
      </c>
      <c r="O1016" t="s">
        <v>132</v>
      </c>
      <c r="P1016" t="s">
        <v>52</v>
      </c>
      <c r="Q1016" t="s">
        <v>150</v>
      </c>
      <c r="R1016">
        <v>1</v>
      </c>
      <c r="S1016">
        <v>899</v>
      </c>
      <c r="T1016">
        <v>0.2</v>
      </c>
      <c r="U1016">
        <v>0</v>
      </c>
      <c r="V1016">
        <v>0</v>
      </c>
      <c r="W1016">
        <v>0</v>
      </c>
      <c r="X1016" t="s">
        <v>77</v>
      </c>
      <c r="Y1016" t="s">
        <v>71</v>
      </c>
      <c r="Z1016" t="s">
        <v>159</v>
      </c>
      <c r="AA1016" t="s">
        <v>169</v>
      </c>
      <c r="AB1016">
        <v>3.6</v>
      </c>
      <c r="AC1016">
        <v>120</v>
      </c>
      <c r="AD1016">
        <v>20.6</v>
      </c>
      <c r="AE1016">
        <f t="shared" si="30"/>
        <v>-140.6</v>
      </c>
      <c r="AF1016" t="str">
        <f t="shared" si="31"/>
        <v>2025-05</v>
      </c>
      <c r="AG1016">
        <f>SUBTOTAL(103,A1016)</f>
        <v>1</v>
      </c>
    </row>
    <row r="1017" spans="1:33" x14ac:dyDescent="0.3">
      <c r="A1017" t="s">
        <v>3631</v>
      </c>
      <c r="B1017" s="13">
        <v>45786</v>
      </c>
      <c r="C1017">
        <v>2025</v>
      </c>
      <c r="D1017">
        <v>5</v>
      </c>
      <c r="E1017" t="s">
        <v>3566</v>
      </c>
      <c r="F1017" t="s">
        <v>3329</v>
      </c>
      <c r="G1017" t="s">
        <v>1369</v>
      </c>
      <c r="H1017" t="s">
        <v>1370</v>
      </c>
      <c r="I1017" t="s">
        <v>86</v>
      </c>
      <c r="J1017">
        <v>23</v>
      </c>
      <c r="K1017" t="s">
        <v>80</v>
      </c>
      <c r="L1017" t="s">
        <v>59</v>
      </c>
      <c r="M1017" t="s">
        <v>59</v>
      </c>
      <c r="N1017" t="s">
        <v>2601</v>
      </c>
      <c r="O1017" t="s">
        <v>117</v>
      </c>
      <c r="P1017" t="s">
        <v>49</v>
      </c>
      <c r="Q1017" t="s">
        <v>139</v>
      </c>
      <c r="R1017">
        <v>1</v>
      </c>
      <c r="S1017">
        <v>6999</v>
      </c>
      <c r="T1017">
        <v>0.05</v>
      </c>
      <c r="U1017">
        <v>6649.05</v>
      </c>
      <c r="V1017">
        <v>4300</v>
      </c>
      <c r="W1017">
        <v>2349.0500000000002</v>
      </c>
      <c r="X1017" t="s">
        <v>73</v>
      </c>
      <c r="Y1017" t="s">
        <v>68</v>
      </c>
      <c r="Z1017" t="s">
        <v>159</v>
      </c>
      <c r="AA1017" t="s">
        <v>171</v>
      </c>
      <c r="AB1017">
        <v>4.2</v>
      </c>
      <c r="AC1017">
        <v>100</v>
      </c>
      <c r="AD1017">
        <v>623.66999999999996</v>
      </c>
      <c r="AE1017">
        <f t="shared" si="30"/>
        <v>1625.38</v>
      </c>
      <c r="AF1017" t="str">
        <f t="shared" si="31"/>
        <v>2025-05</v>
      </c>
      <c r="AG1017">
        <f>SUBTOTAL(103,A1017)</f>
        <v>1</v>
      </c>
    </row>
    <row r="1018" spans="1:33" x14ac:dyDescent="0.3">
      <c r="A1018" t="s">
        <v>3632</v>
      </c>
      <c r="B1018" s="13">
        <v>45786</v>
      </c>
      <c r="C1018">
        <v>2025</v>
      </c>
      <c r="D1018">
        <v>5</v>
      </c>
      <c r="E1018" t="s">
        <v>3566</v>
      </c>
      <c r="F1018" t="s">
        <v>3329</v>
      </c>
      <c r="G1018" t="s">
        <v>527</v>
      </c>
      <c r="H1018" t="s">
        <v>528</v>
      </c>
      <c r="I1018" t="s">
        <v>86</v>
      </c>
      <c r="J1018">
        <v>39</v>
      </c>
      <c r="K1018" t="s">
        <v>82</v>
      </c>
      <c r="L1018" t="s">
        <v>100</v>
      </c>
      <c r="M1018" t="s">
        <v>56</v>
      </c>
      <c r="N1018" t="s">
        <v>2574</v>
      </c>
      <c r="O1018" t="s">
        <v>130</v>
      </c>
      <c r="P1018" t="s">
        <v>50</v>
      </c>
      <c r="Q1018" t="s">
        <v>53</v>
      </c>
      <c r="R1018">
        <v>1</v>
      </c>
      <c r="S1018">
        <v>1199</v>
      </c>
      <c r="T1018">
        <v>0.1</v>
      </c>
      <c r="U1018">
        <v>1079.0999999999999</v>
      </c>
      <c r="V1018">
        <v>550</v>
      </c>
      <c r="W1018">
        <v>529.1</v>
      </c>
      <c r="X1018" t="s">
        <v>75</v>
      </c>
      <c r="Y1018" t="s">
        <v>68</v>
      </c>
      <c r="Z1018" t="s">
        <v>161</v>
      </c>
      <c r="AA1018" t="s">
        <v>166</v>
      </c>
      <c r="AB1018">
        <v>4</v>
      </c>
      <c r="AC1018">
        <v>60</v>
      </c>
      <c r="AD1018">
        <v>86.64</v>
      </c>
      <c r="AE1018">
        <f t="shared" si="30"/>
        <v>382.46000000000004</v>
      </c>
      <c r="AF1018" t="str">
        <f t="shared" si="31"/>
        <v>2025-05</v>
      </c>
      <c r="AG1018">
        <f>SUBTOTAL(103,A1018)</f>
        <v>1</v>
      </c>
    </row>
    <row r="1019" spans="1:33" x14ac:dyDescent="0.3">
      <c r="A1019" t="s">
        <v>3633</v>
      </c>
      <c r="B1019" s="13">
        <v>45786</v>
      </c>
      <c r="C1019">
        <v>2025</v>
      </c>
      <c r="D1019">
        <v>5</v>
      </c>
      <c r="E1019" t="s">
        <v>3566</v>
      </c>
      <c r="F1019" t="s">
        <v>3329</v>
      </c>
      <c r="G1019" t="s">
        <v>473</v>
      </c>
      <c r="H1019" t="s">
        <v>474</v>
      </c>
      <c r="I1019" t="s">
        <v>85</v>
      </c>
      <c r="J1019">
        <v>38</v>
      </c>
      <c r="K1019" t="s">
        <v>82</v>
      </c>
      <c r="L1019" t="s">
        <v>2599</v>
      </c>
      <c r="M1019" t="s">
        <v>62</v>
      </c>
      <c r="N1019" t="s">
        <v>2594</v>
      </c>
      <c r="O1019" t="s">
        <v>131</v>
      </c>
      <c r="P1019" t="s">
        <v>53</v>
      </c>
      <c r="Q1019" t="s">
        <v>143</v>
      </c>
      <c r="R1019">
        <v>3</v>
      </c>
      <c r="S1019">
        <v>999</v>
      </c>
      <c r="T1019">
        <v>0.05</v>
      </c>
      <c r="U1019">
        <v>2847.15</v>
      </c>
      <c r="V1019">
        <v>1560</v>
      </c>
      <c r="W1019">
        <v>1287.1500000000001</v>
      </c>
      <c r="X1019" t="s">
        <v>73</v>
      </c>
      <c r="Y1019" t="s">
        <v>68</v>
      </c>
      <c r="Z1019" t="s">
        <v>163</v>
      </c>
      <c r="AA1019" t="s">
        <v>167</v>
      </c>
      <c r="AB1019">
        <v>3.8</v>
      </c>
      <c r="AC1019">
        <v>80</v>
      </c>
      <c r="AD1019">
        <v>132.09</v>
      </c>
      <c r="AE1019">
        <f t="shared" si="30"/>
        <v>1075.0600000000002</v>
      </c>
      <c r="AF1019" t="str">
        <f t="shared" si="31"/>
        <v>2025-05</v>
      </c>
      <c r="AG1019">
        <f>SUBTOTAL(103,A1019)</f>
        <v>1</v>
      </c>
    </row>
    <row r="1020" spans="1:33" x14ac:dyDescent="0.3">
      <c r="A1020" t="s">
        <v>3634</v>
      </c>
      <c r="B1020" s="13">
        <v>45786</v>
      </c>
      <c r="C1020">
        <v>2025</v>
      </c>
      <c r="D1020">
        <v>5</v>
      </c>
      <c r="E1020" t="s">
        <v>3566</v>
      </c>
      <c r="F1020" t="s">
        <v>3329</v>
      </c>
      <c r="G1020" t="s">
        <v>1155</v>
      </c>
      <c r="H1020" t="s">
        <v>1156</v>
      </c>
      <c r="I1020" t="s">
        <v>85</v>
      </c>
      <c r="J1020">
        <v>18</v>
      </c>
      <c r="K1020" t="s">
        <v>80</v>
      </c>
      <c r="L1020" t="s">
        <v>2579</v>
      </c>
      <c r="M1020" t="s">
        <v>56</v>
      </c>
      <c r="N1020" t="s">
        <v>2626</v>
      </c>
      <c r="O1020" t="s">
        <v>125</v>
      </c>
      <c r="P1020" t="s">
        <v>48</v>
      </c>
      <c r="Q1020" t="s">
        <v>141</v>
      </c>
      <c r="R1020">
        <v>2</v>
      </c>
      <c r="S1020">
        <v>1999</v>
      </c>
      <c r="T1020">
        <v>0.05</v>
      </c>
      <c r="U1020">
        <v>3798.1</v>
      </c>
      <c r="V1020">
        <v>2300</v>
      </c>
      <c r="W1020">
        <v>1498.1</v>
      </c>
      <c r="X1020" t="s">
        <v>73</v>
      </c>
      <c r="Y1020" t="s">
        <v>68</v>
      </c>
      <c r="Z1020" t="s">
        <v>158</v>
      </c>
      <c r="AA1020" t="s">
        <v>166</v>
      </c>
      <c r="AB1020">
        <v>4.5999999999999996</v>
      </c>
      <c r="AC1020">
        <v>60</v>
      </c>
      <c r="AD1020">
        <v>172.56</v>
      </c>
      <c r="AE1020">
        <f t="shared" si="30"/>
        <v>1265.54</v>
      </c>
      <c r="AF1020" t="str">
        <f t="shared" si="31"/>
        <v>2025-05</v>
      </c>
      <c r="AG1020">
        <f>SUBTOTAL(103,A1020)</f>
        <v>1</v>
      </c>
    </row>
    <row r="1021" spans="1:33" x14ac:dyDescent="0.3">
      <c r="A1021" t="s">
        <v>3635</v>
      </c>
      <c r="B1021" s="13">
        <v>45786</v>
      </c>
      <c r="C1021">
        <v>2025</v>
      </c>
      <c r="D1021">
        <v>5</v>
      </c>
      <c r="E1021" t="s">
        <v>3566</v>
      </c>
      <c r="F1021" t="s">
        <v>3329</v>
      </c>
      <c r="G1021" t="s">
        <v>879</v>
      </c>
      <c r="H1021" t="s">
        <v>880</v>
      </c>
      <c r="I1021" t="s">
        <v>85</v>
      </c>
      <c r="J1021">
        <v>42</v>
      </c>
      <c r="K1021" t="s">
        <v>82</v>
      </c>
      <c r="L1021" t="s">
        <v>92</v>
      </c>
      <c r="M1021" t="s">
        <v>59</v>
      </c>
      <c r="N1021" t="s">
        <v>2592</v>
      </c>
      <c r="O1021" t="s">
        <v>115</v>
      </c>
      <c r="P1021" t="s">
        <v>48</v>
      </c>
      <c r="Q1021" t="s">
        <v>137</v>
      </c>
      <c r="R1021">
        <v>2</v>
      </c>
      <c r="S1021">
        <v>12999</v>
      </c>
      <c r="T1021">
        <v>0.05</v>
      </c>
      <c r="U1021">
        <v>24698.1</v>
      </c>
      <c r="V1021">
        <v>18000</v>
      </c>
      <c r="W1021">
        <v>6698.1</v>
      </c>
      <c r="X1021" t="s">
        <v>74</v>
      </c>
      <c r="Y1021" t="s">
        <v>69</v>
      </c>
      <c r="Z1021" t="s">
        <v>160</v>
      </c>
      <c r="AA1021" t="s">
        <v>167</v>
      </c>
      <c r="AB1021">
        <v>2.6</v>
      </c>
      <c r="AC1021">
        <v>60</v>
      </c>
      <c r="AD1021">
        <v>1133.1400000000001</v>
      </c>
      <c r="AE1021">
        <f t="shared" si="30"/>
        <v>5504.96</v>
      </c>
      <c r="AF1021" t="str">
        <f t="shared" si="31"/>
        <v>2025-05</v>
      </c>
      <c r="AG1021">
        <f>SUBTOTAL(103,A1021)</f>
        <v>1</v>
      </c>
    </row>
    <row r="1022" spans="1:33" x14ac:dyDescent="0.3">
      <c r="A1022" t="s">
        <v>3636</v>
      </c>
      <c r="B1022" s="13">
        <v>45786</v>
      </c>
      <c r="C1022">
        <v>2025</v>
      </c>
      <c r="D1022">
        <v>5</v>
      </c>
      <c r="E1022" t="s">
        <v>3566</v>
      </c>
      <c r="F1022" t="s">
        <v>3329</v>
      </c>
      <c r="G1022" t="s">
        <v>929</v>
      </c>
      <c r="H1022" t="s">
        <v>930</v>
      </c>
      <c r="I1022" t="s">
        <v>85</v>
      </c>
      <c r="J1022">
        <v>18</v>
      </c>
      <c r="K1022" t="s">
        <v>80</v>
      </c>
      <c r="L1022" t="s">
        <v>2605</v>
      </c>
      <c r="M1022" t="s">
        <v>60</v>
      </c>
      <c r="N1022" t="s">
        <v>2630</v>
      </c>
      <c r="O1022" t="s">
        <v>123</v>
      </c>
      <c r="P1022" t="s">
        <v>52</v>
      </c>
      <c r="Q1022" t="s">
        <v>146</v>
      </c>
      <c r="R1022">
        <v>1</v>
      </c>
      <c r="S1022">
        <v>2499</v>
      </c>
      <c r="T1022">
        <v>0.1</v>
      </c>
      <c r="U1022">
        <v>2249.1</v>
      </c>
      <c r="V1022">
        <v>1400</v>
      </c>
      <c r="W1022">
        <v>849.1</v>
      </c>
      <c r="X1022" t="s">
        <v>75</v>
      </c>
      <c r="Y1022" t="s">
        <v>68</v>
      </c>
      <c r="Z1022" t="s">
        <v>158</v>
      </c>
      <c r="AA1022" t="s">
        <v>167</v>
      </c>
      <c r="AB1022">
        <v>4.0999999999999996</v>
      </c>
      <c r="AC1022">
        <v>80</v>
      </c>
      <c r="AD1022">
        <v>131.75</v>
      </c>
      <c r="AE1022">
        <f t="shared" si="30"/>
        <v>637.35</v>
      </c>
      <c r="AF1022" t="str">
        <f t="shared" si="31"/>
        <v>2025-05</v>
      </c>
      <c r="AG1022">
        <f>SUBTOTAL(103,A1022)</f>
        <v>1</v>
      </c>
    </row>
    <row r="1023" spans="1:33" x14ac:dyDescent="0.3">
      <c r="A1023" t="s">
        <v>3637</v>
      </c>
      <c r="B1023" s="13">
        <v>45786</v>
      </c>
      <c r="C1023">
        <v>2025</v>
      </c>
      <c r="D1023">
        <v>5</v>
      </c>
      <c r="E1023" t="s">
        <v>3566</v>
      </c>
      <c r="F1023" t="s">
        <v>3329</v>
      </c>
      <c r="G1023" t="s">
        <v>509</v>
      </c>
      <c r="H1023" t="s">
        <v>510</v>
      </c>
      <c r="I1023" t="s">
        <v>87</v>
      </c>
      <c r="J1023">
        <v>60</v>
      </c>
      <c r="K1023" t="s">
        <v>83</v>
      </c>
      <c r="L1023" t="s">
        <v>2576</v>
      </c>
      <c r="M1023" t="s">
        <v>60</v>
      </c>
      <c r="N1023" t="s">
        <v>2603</v>
      </c>
      <c r="O1023" t="s">
        <v>122</v>
      </c>
      <c r="P1023" t="s">
        <v>48</v>
      </c>
      <c r="Q1023" t="s">
        <v>141</v>
      </c>
      <c r="R1023">
        <v>2</v>
      </c>
      <c r="S1023">
        <v>2499</v>
      </c>
      <c r="T1023">
        <v>0.15</v>
      </c>
      <c r="U1023">
        <v>4248.3</v>
      </c>
      <c r="V1023">
        <v>2900</v>
      </c>
      <c r="W1023">
        <v>1348.3</v>
      </c>
      <c r="X1023" t="s">
        <v>73</v>
      </c>
      <c r="Y1023" t="s">
        <v>69</v>
      </c>
      <c r="Z1023" t="s">
        <v>159</v>
      </c>
      <c r="AA1023" t="s">
        <v>166</v>
      </c>
      <c r="AB1023">
        <v>5</v>
      </c>
      <c r="AC1023">
        <v>80</v>
      </c>
      <c r="AD1023">
        <v>91.42</v>
      </c>
      <c r="AE1023">
        <f t="shared" si="30"/>
        <v>1176.8799999999999</v>
      </c>
      <c r="AF1023" t="str">
        <f t="shared" si="31"/>
        <v>2025-05</v>
      </c>
      <c r="AG1023">
        <f>SUBTOTAL(103,A1023)</f>
        <v>1</v>
      </c>
    </row>
    <row r="1024" spans="1:33" x14ac:dyDescent="0.3">
      <c r="A1024" t="s">
        <v>3638</v>
      </c>
      <c r="B1024" s="13">
        <v>45786</v>
      </c>
      <c r="C1024">
        <v>2025</v>
      </c>
      <c r="D1024">
        <v>5</v>
      </c>
      <c r="E1024" t="s">
        <v>3566</v>
      </c>
      <c r="F1024" t="s">
        <v>3329</v>
      </c>
      <c r="G1024" t="s">
        <v>1597</v>
      </c>
      <c r="H1024" t="s">
        <v>1598</v>
      </c>
      <c r="I1024" t="s">
        <v>85</v>
      </c>
      <c r="J1024">
        <v>40</v>
      </c>
      <c r="K1024" t="s">
        <v>82</v>
      </c>
      <c r="L1024" t="s">
        <v>2623</v>
      </c>
      <c r="M1024" t="s">
        <v>61</v>
      </c>
      <c r="N1024" t="s">
        <v>2580</v>
      </c>
      <c r="O1024" t="s">
        <v>118</v>
      </c>
      <c r="P1024" t="s">
        <v>48</v>
      </c>
      <c r="Q1024" t="s">
        <v>142</v>
      </c>
      <c r="R1024">
        <v>2</v>
      </c>
      <c r="S1024">
        <v>3999</v>
      </c>
      <c r="T1024">
        <v>0.1</v>
      </c>
      <c r="U1024">
        <v>7198.2</v>
      </c>
      <c r="V1024">
        <v>4800</v>
      </c>
      <c r="W1024">
        <v>2398.1999999999998</v>
      </c>
      <c r="X1024" t="s">
        <v>73</v>
      </c>
      <c r="Y1024" t="s">
        <v>68</v>
      </c>
      <c r="Z1024" t="s">
        <v>162</v>
      </c>
      <c r="AA1024" t="s">
        <v>167</v>
      </c>
      <c r="AB1024">
        <v>3.6</v>
      </c>
      <c r="AC1024">
        <v>40</v>
      </c>
      <c r="AD1024">
        <v>817.32</v>
      </c>
      <c r="AE1024">
        <f t="shared" si="30"/>
        <v>1540.8799999999997</v>
      </c>
      <c r="AF1024" t="str">
        <f t="shared" si="31"/>
        <v>2025-05</v>
      </c>
      <c r="AG1024">
        <f>SUBTOTAL(103,A1024)</f>
        <v>1</v>
      </c>
    </row>
    <row r="1025" spans="1:33" x14ac:dyDescent="0.3">
      <c r="A1025" t="s">
        <v>3639</v>
      </c>
      <c r="B1025" s="13">
        <v>45787</v>
      </c>
      <c r="C1025">
        <v>2025</v>
      </c>
      <c r="D1025">
        <v>5</v>
      </c>
      <c r="E1025" t="s">
        <v>3566</v>
      </c>
      <c r="F1025" t="s">
        <v>3329</v>
      </c>
      <c r="G1025" t="s">
        <v>1707</v>
      </c>
      <c r="H1025" t="s">
        <v>1708</v>
      </c>
      <c r="I1025" t="s">
        <v>86</v>
      </c>
      <c r="J1025">
        <v>39</v>
      </c>
      <c r="K1025" t="s">
        <v>82</v>
      </c>
      <c r="L1025" t="s">
        <v>2589</v>
      </c>
      <c r="M1025" t="s">
        <v>61</v>
      </c>
      <c r="N1025" t="s">
        <v>2606</v>
      </c>
      <c r="O1025" t="s">
        <v>120</v>
      </c>
      <c r="P1025" t="s">
        <v>49</v>
      </c>
      <c r="Q1025" t="s">
        <v>140</v>
      </c>
      <c r="R1025">
        <v>2</v>
      </c>
      <c r="S1025">
        <v>2799</v>
      </c>
      <c r="T1025">
        <v>0.1</v>
      </c>
      <c r="U1025">
        <v>5038.2</v>
      </c>
      <c r="V1025">
        <v>3300</v>
      </c>
      <c r="W1025">
        <v>1738.2</v>
      </c>
      <c r="X1025" t="s">
        <v>73</v>
      </c>
      <c r="Y1025" t="s">
        <v>68</v>
      </c>
      <c r="Z1025" t="s">
        <v>161</v>
      </c>
      <c r="AA1025" t="s">
        <v>170</v>
      </c>
      <c r="AB1025">
        <v>4</v>
      </c>
      <c r="AC1025">
        <v>40</v>
      </c>
      <c r="AD1025">
        <v>153.25</v>
      </c>
      <c r="AE1025">
        <f t="shared" si="30"/>
        <v>1544.95</v>
      </c>
      <c r="AF1025" t="str">
        <f t="shared" si="31"/>
        <v>2025-05</v>
      </c>
      <c r="AG1025">
        <f>SUBTOTAL(103,A1025)</f>
        <v>1</v>
      </c>
    </row>
    <row r="1026" spans="1:33" x14ac:dyDescent="0.3">
      <c r="A1026" t="s">
        <v>3640</v>
      </c>
      <c r="B1026" s="13">
        <v>45787</v>
      </c>
      <c r="C1026">
        <v>2025</v>
      </c>
      <c r="D1026">
        <v>5</v>
      </c>
      <c r="E1026" t="s">
        <v>3566</v>
      </c>
      <c r="F1026" t="s">
        <v>3329</v>
      </c>
      <c r="G1026" t="s">
        <v>365</v>
      </c>
      <c r="H1026" t="s">
        <v>366</v>
      </c>
      <c r="I1026" t="s">
        <v>86</v>
      </c>
      <c r="J1026">
        <v>22</v>
      </c>
      <c r="K1026" t="s">
        <v>80</v>
      </c>
      <c r="L1026" t="s">
        <v>91</v>
      </c>
      <c r="M1026" t="s">
        <v>55</v>
      </c>
      <c r="N1026" t="s">
        <v>2626</v>
      </c>
      <c r="O1026" t="s">
        <v>125</v>
      </c>
      <c r="P1026" t="s">
        <v>48</v>
      </c>
      <c r="Q1026" t="s">
        <v>141</v>
      </c>
      <c r="R1026">
        <v>1</v>
      </c>
      <c r="S1026">
        <v>1999</v>
      </c>
      <c r="T1026">
        <v>0</v>
      </c>
      <c r="U1026">
        <v>1999</v>
      </c>
      <c r="V1026">
        <v>1150</v>
      </c>
      <c r="W1026">
        <v>849</v>
      </c>
      <c r="X1026" t="s">
        <v>73</v>
      </c>
      <c r="Y1026" t="s">
        <v>68</v>
      </c>
      <c r="Z1026" t="s">
        <v>159</v>
      </c>
      <c r="AA1026" t="s">
        <v>171</v>
      </c>
      <c r="AB1026">
        <v>4.7</v>
      </c>
      <c r="AC1026">
        <v>60</v>
      </c>
      <c r="AD1026">
        <v>111.48</v>
      </c>
      <c r="AE1026">
        <f t="shared" ref="AE1026:AE1089" si="32">W1026-AC1026-AD1026</f>
        <v>677.52</v>
      </c>
      <c r="AF1026" t="str">
        <f t="shared" ref="AF1026:AF1089" si="33">C1026&amp;"-"&amp;TEXT(D1026,"00")</f>
        <v>2025-05</v>
      </c>
      <c r="AG1026">
        <f>SUBTOTAL(103,A1026)</f>
        <v>1</v>
      </c>
    </row>
    <row r="1027" spans="1:33" x14ac:dyDescent="0.3">
      <c r="A1027" t="s">
        <v>3641</v>
      </c>
      <c r="B1027" s="13">
        <v>45787</v>
      </c>
      <c r="C1027">
        <v>2025</v>
      </c>
      <c r="D1027">
        <v>5</v>
      </c>
      <c r="E1027" t="s">
        <v>3566</v>
      </c>
      <c r="F1027" t="s">
        <v>3329</v>
      </c>
      <c r="G1027" t="s">
        <v>857</v>
      </c>
      <c r="H1027" t="s">
        <v>858</v>
      </c>
      <c r="I1027" t="s">
        <v>86</v>
      </c>
      <c r="J1027">
        <v>54</v>
      </c>
      <c r="K1027" t="s">
        <v>83</v>
      </c>
      <c r="L1027" t="s">
        <v>95</v>
      </c>
      <c r="M1027" t="s">
        <v>56</v>
      </c>
      <c r="N1027" t="s">
        <v>2606</v>
      </c>
      <c r="O1027" t="s">
        <v>120</v>
      </c>
      <c r="P1027" t="s">
        <v>49</v>
      </c>
      <c r="Q1027" t="s">
        <v>140</v>
      </c>
      <c r="R1027">
        <v>1</v>
      </c>
      <c r="S1027">
        <v>2799</v>
      </c>
      <c r="T1027">
        <v>0.2</v>
      </c>
      <c r="U1027">
        <v>2239.1999999999998</v>
      </c>
      <c r="V1027">
        <v>1650</v>
      </c>
      <c r="W1027">
        <v>589.20000000000005</v>
      </c>
      <c r="X1027" t="s">
        <v>74</v>
      </c>
      <c r="Y1027" t="s">
        <v>68</v>
      </c>
      <c r="Z1027" t="s">
        <v>158</v>
      </c>
      <c r="AA1027" t="s">
        <v>167</v>
      </c>
      <c r="AB1027">
        <v>4.2</v>
      </c>
      <c r="AC1027">
        <v>80</v>
      </c>
      <c r="AD1027">
        <v>175.97</v>
      </c>
      <c r="AE1027">
        <f t="shared" si="32"/>
        <v>333.23</v>
      </c>
      <c r="AF1027" t="str">
        <f t="shared" si="33"/>
        <v>2025-05</v>
      </c>
      <c r="AG1027">
        <f>SUBTOTAL(103,A1027)</f>
        <v>1</v>
      </c>
    </row>
    <row r="1028" spans="1:33" x14ac:dyDescent="0.3">
      <c r="A1028" t="s">
        <v>3642</v>
      </c>
      <c r="B1028" s="13">
        <v>45787</v>
      </c>
      <c r="C1028">
        <v>2025</v>
      </c>
      <c r="D1028">
        <v>5</v>
      </c>
      <c r="E1028" t="s">
        <v>3566</v>
      </c>
      <c r="F1028" t="s">
        <v>3329</v>
      </c>
      <c r="G1028" t="s">
        <v>1435</v>
      </c>
      <c r="H1028" t="s">
        <v>1436</v>
      </c>
      <c r="I1028" t="s">
        <v>86</v>
      </c>
      <c r="J1028">
        <v>53</v>
      </c>
      <c r="K1028" t="s">
        <v>83</v>
      </c>
      <c r="L1028" t="s">
        <v>2687</v>
      </c>
      <c r="M1028" t="s">
        <v>57</v>
      </c>
      <c r="N1028" t="s">
        <v>2590</v>
      </c>
      <c r="O1028" t="s">
        <v>127</v>
      </c>
      <c r="P1028" t="s">
        <v>51</v>
      </c>
      <c r="Q1028" t="s">
        <v>148</v>
      </c>
      <c r="R1028">
        <v>2</v>
      </c>
      <c r="S1028">
        <v>1599</v>
      </c>
      <c r="T1028">
        <v>0</v>
      </c>
      <c r="U1028">
        <v>3198</v>
      </c>
      <c r="V1028">
        <v>1600</v>
      </c>
      <c r="W1028">
        <v>1598</v>
      </c>
      <c r="X1028" t="s">
        <v>75</v>
      </c>
      <c r="Y1028" t="s">
        <v>68</v>
      </c>
      <c r="Z1028" t="s">
        <v>159</v>
      </c>
      <c r="AA1028" t="s">
        <v>166</v>
      </c>
      <c r="AB1028">
        <v>3.2</v>
      </c>
      <c r="AC1028">
        <v>80</v>
      </c>
      <c r="AD1028">
        <v>69.36</v>
      </c>
      <c r="AE1028">
        <f t="shared" si="32"/>
        <v>1448.64</v>
      </c>
      <c r="AF1028" t="str">
        <f t="shared" si="33"/>
        <v>2025-05</v>
      </c>
      <c r="AG1028">
        <f>SUBTOTAL(103,A1028)</f>
        <v>1</v>
      </c>
    </row>
    <row r="1029" spans="1:33" x14ac:dyDescent="0.3">
      <c r="A1029" t="s">
        <v>3643</v>
      </c>
      <c r="B1029" s="13">
        <v>45787</v>
      </c>
      <c r="C1029">
        <v>2025</v>
      </c>
      <c r="D1029">
        <v>5</v>
      </c>
      <c r="E1029" t="s">
        <v>3566</v>
      </c>
      <c r="F1029" t="s">
        <v>3329</v>
      </c>
      <c r="G1029" t="s">
        <v>1925</v>
      </c>
      <c r="H1029" t="s">
        <v>1926</v>
      </c>
      <c r="I1029" t="s">
        <v>85</v>
      </c>
      <c r="J1029">
        <v>57</v>
      </c>
      <c r="K1029" t="s">
        <v>83</v>
      </c>
      <c r="L1029" t="s">
        <v>100</v>
      </c>
      <c r="M1029" t="s">
        <v>56</v>
      </c>
      <c r="N1029" t="s">
        <v>2594</v>
      </c>
      <c r="O1029" t="s">
        <v>131</v>
      </c>
      <c r="P1029" t="s">
        <v>53</v>
      </c>
      <c r="Q1029" t="s">
        <v>143</v>
      </c>
      <c r="R1029">
        <v>1</v>
      </c>
      <c r="S1029">
        <v>999</v>
      </c>
      <c r="T1029">
        <v>0.15</v>
      </c>
      <c r="U1029">
        <v>849.15</v>
      </c>
      <c r="V1029">
        <v>520</v>
      </c>
      <c r="W1029">
        <v>329.15</v>
      </c>
      <c r="X1029" t="s">
        <v>76</v>
      </c>
      <c r="Y1029" t="s">
        <v>68</v>
      </c>
      <c r="Z1029" t="s">
        <v>158</v>
      </c>
      <c r="AA1029" t="s">
        <v>167</v>
      </c>
      <c r="AB1029">
        <v>3.8</v>
      </c>
      <c r="AC1029">
        <v>60</v>
      </c>
      <c r="AD1029">
        <v>47.48</v>
      </c>
      <c r="AE1029">
        <f t="shared" si="32"/>
        <v>221.67</v>
      </c>
      <c r="AF1029" t="str">
        <f t="shared" si="33"/>
        <v>2025-05</v>
      </c>
      <c r="AG1029">
        <f>SUBTOTAL(103,A1029)</f>
        <v>1</v>
      </c>
    </row>
    <row r="1030" spans="1:33" x14ac:dyDescent="0.3">
      <c r="A1030" t="s">
        <v>3644</v>
      </c>
      <c r="B1030" s="13">
        <v>45787</v>
      </c>
      <c r="C1030">
        <v>2025</v>
      </c>
      <c r="D1030">
        <v>5</v>
      </c>
      <c r="E1030" t="s">
        <v>3566</v>
      </c>
      <c r="F1030" t="s">
        <v>3329</v>
      </c>
      <c r="G1030" t="s">
        <v>247</v>
      </c>
      <c r="H1030" t="s">
        <v>248</v>
      </c>
      <c r="I1030" t="s">
        <v>85</v>
      </c>
      <c r="J1030">
        <v>58</v>
      </c>
      <c r="K1030" t="s">
        <v>83</v>
      </c>
      <c r="L1030" t="s">
        <v>95</v>
      </c>
      <c r="M1030" t="s">
        <v>56</v>
      </c>
      <c r="N1030" t="s">
        <v>2582</v>
      </c>
      <c r="O1030" t="s">
        <v>119</v>
      </c>
      <c r="P1030" t="s">
        <v>49</v>
      </c>
      <c r="Q1030" t="s">
        <v>140</v>
      </c>
      <c r="R1030">
        <v>5</v>
      </c>
      <c r="S1030">
        <v>3499</v>
      </c>
      <c r="T1030">
        <v>0.1</v>
      </c>
      <c r="U1030">
        <v>15745.5</v>
      </c>
      <c r="V1030">
        <v>10500</v>
      </c>
      <c r="W1030">
        <v>5245.5</v>
      </c>
      <c r="X1030" t="s">
        <v>73</v>
      </c>
      <c r="Y1030" t="s">
        <v>68</v>
      </c>
      <c r="Z1030" t="s">
        <v>161</v>
      </c>
      <c r="AA1030" t="s">
        <v>171</v>
      </c>
      <c r="AB1030">
        <v>4.3</v>
      </c>
      <c r="AC1030">
        <v>60</v>
      </c>
      <c r="AD1030">
        <v>863.34</v>
      </c>
      <c r="AE1030">
        <f t="shared" si="32"/>
        <v>4322.16</v>
      </c>
      <c r="AF1030" t="str">
        <f t="shared" si="33"/>
        <v>2025-05</v>
      </c>
      <c r="AG1030">
        <f>SUBTOTAL(103,A1030)</f>
        <v>1</v>
      </c>
    </row>
    <row r="1031" spans="1:33" x14ac:dyDescent="0.3">
      <c r="A1031" t="s">
        <v>3645</v>
      </c>
      <c r="B1031" s="13">
        <v>45787</v>
      </c>
      <c r="C1031">
        <v>2025</v>
      </c>
      <c r="D1031">
        <v>5</v>
      </c>
      <c r="E1031" t="s">
        <v>3566</v>
      </c>
      <c r="F1031" t="s">
        <v>3329</v>
      </c>
      <c r="G1031" t="s">
        <v>365</v>
      </c>
      <c r="H1031" t="s">
        <v>366</v>
      </c>
      <c r="I1031" t="s">
        <v>86</v>
      </c>
      <c r="J1031">
        <v>22</v>
      </c>
      <c r="K1031" t="s">
        <v>80</v>
      </c>
      <c r="L1031" t="s">
        <v>91</v>
      </c>
      <c r="M1031" t="s">
        <v>55</v>
      </c>
      <c r="N1031" t="s">
        <v>2590</v>
      </c>
      <c r="O1031" t="s">
        <v>127</v>
      </c>
      <c r="P1031" t="s">
        <v>51</v>
      </c>
      <c r="Q1031" t="s">
        <v>148</v>
      </c>
      <c r="R1031">
        <v>1</v>
      </c>
      <c r="S1031">
        <v>1599</v>
      </c>
      <c r="T1031">
        <v>0.1</v>
      </c>
      <c r="U1031">
        <v>0</v>
      </c>
      <c r="V1031">
        <v>0</v>
      </c>
      <c r="W1031">
        <v>0</v>
      </c>
      <c r="X1031" t="s">
        <v>74</v>
      </c>
      <c r="Y1031" t="s">
        <v>71</v>
      </c>
      <c r="Z1031" t="s">
        <v>158</v>
      </c>
      <c r="AA1031" t="s">
        <v>167</v>
      </c>
      <c r="AB1031">
        <v>3.8</v>
      </c>
      <c r="AC1031">
        <v>60</v>
      </c>
      <c r="AD1031">
        <v>69.650000000000006</v>
      </c>
      <c r="AE1031">
        <f t="shared" si="32"/>
        <v>-129.65</v>
      </c>
      <c r="AF1031" t="str">
        <f t="shared" si="33"/>
        <v>2025-05</v>
      </c>
      <c r="AG1031">
        <f>SUBTOTAL(103,A1031)</f>
        <v>1</v>
      </c>
    </row>
    <row r="1032" spans="1:33" x14ac:dyDescent="0.3">
      <c r="A1032" t="s">
        <v>3646</v>
      </c>
      <c r="B1032" s="13">
        <v>45787</v>
      </c>
      <c r="C1032">
        <v>2025</v>
      </c>
      <c r="D1032">
        <v>5</v>
      </c>
      <c r="E1032" t="s">
        <v>3566</v>
      </c>
      <c r="F1032" t="s">
        <v>3329</v>
      </c>
      <c r="G1032" t="s">
        <v>829</v>
      </c>
      <c r="H1032" t="s">
        <v>830</v>
      </c>
      <c r="I1032" t="s">
        <v>85</v>
      </c>
      <c r="J1032">
        <v>46</v>
      </c>
      <c r="K1032" t="s">
        <v>83</v>
      </c>
      <c r="L1032" t="s">
        <v>2573</v>
      </c>
      <c r="M1032" t="s">
        <v>63</v>
      </c>
      <c r="N1032" t="s">
        <v>2592</v>
      </c>
      <c r="O1032" t="s">
        <v>115</v>
      </c>
      <c r="P1032" t="s">
        <v>48</v>
      </c>
      <c r="Q1032" t="s">
        <v>137</v>
      </c>
      <c r="R1032">
        <v>2</v>
      </c>
      <c r="S1032">
        <v>12999</v>
      </c>
      <c r="T1032">
        <v>0.05</v>
      </c>
      <c r="U1032">
        <v>24698.1</v>
      </c>
      <c r="V1032">
        <v>18000</v>
      </c>
      <c r="W1032">
        <v>6698.1</v>
      </c>
      <c r="X1032" t="s">
        <v>73</v>
      </c>
      <c r="Y1032" t="s">
        <v>68</v>
      </c>
      <c r="Z1032" t="s">
        <v>162</v>
      </c>
      <c r="AA1032" t="s">
        <v>166</v>
      </c>
      <c r="AB1032">
        <v>3.4</v>
      </c>
      <c r="AC1032">
        <v>60</v>
      </c>
      <c r="AD1032">
        <v>570.44000000000005</v>
      </c>
      <c r="AE1032">
        <f t="shared" si="32"/>
        <v>6067.66</v>
      </c>
      <c r="AF1032" t="str">
        <f t="shared" si="33"/>
        <v>2025-05</v>
      </c>
      <c r="AG1032">
        <f>SUBTOTAL(103,A1032)</f>
        <v>1</v>
      </c>
    </row>
    <row r="1033" spans="1:33" x14ac:dyDescent="0.3">
      <c r="A1033" t="s">
        <v>3647</v>
      </c>
      <c r="B1033" s="13">
        <v>45787</v>
      </c>
      <c r="C1033">
        <v>2025</v>
      </c>
      <c r="D1033">
        <v>5</v>
      </c>
      <c r="E1033" t="s">
        <v>3566</v>
      </c>
      <c r="F1033" t="s">
        <v>3329</v>
      </c>
      <c r="G1033" t="s">
        <v>1773</v>
      </c>
      <c r="H1033" t="s">
        <v>1774</v>
      </c>
      <c r="I1033" t="s">
        <v>86</v>
      </c>
      <c r="J1033">
        <v>43</v>
      </c>
      <c r="K1033" t="s">
        <v>82</v>
      </c>
      <c r="L1033" t="s">
        <v>2605</v>
      </c>
      <c r="M1033" t="s">
        <v>60</v>
      </c>
      <c r="N1033" t="s">
        <v>2653</v>
      </c>
      <c r="O1033" t="s">
        <v>132</v>
      </c>
      <c r="P1033" t="s">
        <v>52</v>
      </c>
      <c r="Q1033" t="s">
        <v>150</v>
      </c>
      <c r="R1033">
        <v>2</v>
      </c>
      <c r="S1033">
        <v>899</v>
      </c>
      <c r="T1033">
        <v>0.05</v>
      </c>
      <c r="U1033">
        <v>1708.1</v>
      </c>
      <c r="V1033">
        <v>840</v>
      </c>
      <c r="W1033">
        <v>868.1</v>
      </c>
      <c r="X1033" t="s">
        <v>76</v>
      </c>
      <c r="Y1033" t="s">
        <v>70</v>
      </c>
      <c r="Z1033" t="s">
        <v>159</v>
      </c>
      <c r="AA1033" t="s">
        <v>169</v>
      </c>
      <c r="AB1033">
        <v>4.4000000000000004</v>
      </c>
      <c r="AC1033">
        <v>50</v>
      </c>
      <c r="AD1033">
        <v>199.06</v>
      </c>
      <c r="AE1033">
        <f t="shared" si="32"/>
        <v>619.04</v>
      </c>
      <c r="AF1033" t="str">
        <f t="shared" si="33"/>
        <v>2025-05</v>
      </c>
      <c r="AG1033">
        <f>SUBTOTAL(103,A1033)</f>
        <v>1</v>
      </c>
    </row>
    <row r="1034" spans="1:33" x14ac:dyDescent="0.3">
      <c r="A1034" t="s">
        <v>3648</v>
      </c>
      <c r="B1034" s="13">
        <v>45787</v>
      </c>
      <c r="C1034">
        <v>2025</v>
      </c>
      <c r="D1034">
        <v>5</v>
      </c>
      <c r="E1034" t="s">
        <v>3566</v>
      </c>
      <c r="F1034" t="s">
        <v>3329</v>
      </c>
      <c r="G1034" t="s">
        <v>839</v>
      </c>
      <c r="H1034" t="s">
        <v>840</v>
      </c>
      <c r="I1034" t="s">
        <v>86</v>
      </c>
      <c r="J1034">
        <v>28</v>
      </c>
      <c r="K1034" t="s">
        <v>81</v>
      </c>
      <c r="L1034" t="s">
        <v>2661</v>
      </c>
      <c r="M1034" t="s">
        <v>58</v>
      </c>
      <c r="N1034" t="s">
        <v>2626</v>
      </c>
      <c r="O1034" t="s">
        <v>125</v>
      </c>
      <c r="P1034" t="s">
        <v>48</v>
      </c>
      <c r="Q1034" t="s">
        <v>141</v>
      </c>
      <c r="R1034">
        <v>2</v>
      </c>
      <c r="S1034">
        <v>1999</v>
      </c>
      <c r="T1034">
        <v>0.05</v>
      </c>
      <c r="U1034">
        <v>3798.1</v>
      </c>
      <c r="V1034">
        <v>2300</v>
      </c>
      <c r="W1034">
        <v>1498.1</v>
      </c>
      <c r="X1034" t="s">
        <v>76</v>
      </c>
      <c r="Y1034" t="s">
        <v>68</v>
      </c>
      <c r="Z1034" t="s">
        <v>159</v>
      </c>
      <c r="AA1034" t="s">
        <v>168</v>
      </c>
      <c r="AB1034">
        <v>4.5999999999999996</v>
      </c>
      <c r="AC1034">
        <v>100</v>
      </c>
      <c r="AD1034">
        <v>263.83</v>
      </c>
      <c r="AE1034">
        <f t="shared" si="32"/>
        <v>1134.27</v>
      </c>
      <c r="AF1034" t="str">
        <f t="shared" si="33"/>
        <v>2025-05</v>
      </c>
      <c r="AG1034">
        <f>SUBTOTAL(103,A1034)</f>
        <v>1</v>
      </c>
    </row>
    <row r="1035" spans="1:33" x14ac:dyDescent="0.3">
      <c r="A1035" t="s">
        <v>3649</v>
      </c>
      <c r="B1035" s="13">
        <v>45787</v>
      </c>
      <c r="C1035">
        <v>2025</v>
      </c>
      <c r="D1035">
        <v>5</v>
      </c>
      <c r="E1035" t="s">
        <v>3566</v>
      </c>
      <c r="F1035" t="s">
        <v>3329</v>
      </c>
      <c r="G1035" t="s">
        <v>1551</v>
      </c>
      <c r="H1035" t="s">
        <v>1552</v>
      </c>
      <c r="I1035" t="s">
        <v>86</v>
      </c>
      <c r="J1035">
        <v>55</v>
      </c>
      <c r="K1035" t="s">
        <v>83</v>
      </c>
      <c r="L1035" t="s">
        <v>93</v>
      </c>
      <c r="M1035" t="s">
        <v>55</v>
      </c>
      <c r="N1035" t="s">
        <v>2574</v>
      </c>
      <c r="O1035" t="s">
        <v>130</v>
      </c>
      <c r="P1035" t="s">
        <v>50</v>
      </c>
      <c r="Q1035" t="s">
        <v>53</v>
      </c>
      <c r="R1035">
        <v>3</v>
      </c>
      <c r="S1035">
        <v>1199</v>
      </c>
      <c r="T1035">
        <v>0.05</v>
      </c>
      <c r="U1035">
        <v>3417.15</v>
      </c>
      <c r="V1035">
        <v>1650</v>
      </c>
      <c r="W1035">
        <v>1767.15</v>
      </c>
      <c r="X1035" t="s">
        <v>76</v>
      </c>
      <c r="Y1035" t="s">
        <v>68</v>
      </c>
      <c r="Z1035" t="s">
        <v>160</v>
      </c>
      <c r="AA1035" t="s">
        <v>167</v>
      </c>
      <c r="AB1035">
        <v>3.6</v>
      </c>
      <c r="AC1035">
        <v>50</v>
      </c>
      <c r="AD1035">
        <v>343.55</v>
      </c>
      <c r="AE1035">
        <f t="shared" si="32"/>
        <v>1373.6000000000001</v>
      </c>
      <c r="AF1035" t="str">
        <f t="shared" si="33"/>
        <v>2025-05</v>
      </c>
      <c r="AG1035">
        <f>SUBTOTAL(103,A1035)</f>
        <v>1</v>
      </c>
    </row>
    <row r="1036" spans="1:33" x14ac:dyDescent="0.3">
      <c r="A1036" t="s">
        <v>3650</v>
      </c>
      <c r="B1036" s="13">
        <v>45787</v>
      </c>
      <c r="C1036">
        <v>2025</v>
      </c>
      <c r="D1036">
        <v>5</v>
      </c>
      <c r="E1036" t="s">
        <v>3566</v>
      </c>
      <c r="F1036" t="s">
        <v>3329</v>
      </c>
      <c r="G1036" t="s">
        <v>521</v>
      </c>
      <c r="H1036" t="s">
        <v>522</v>
      </c>
      <c r="I1036" t="s">
        <v>85</v>
      </c>
      <c r="J1036">
        <v>36</v>
      </c>
      <c r="K1036" t="s">
        <v>82</v>
      </c>
      <c r="L1036" t="s">
        <v>96</v>
      </c>
      <c r="M1036" t="s">
        <v>55</v>
      </c>
      <c r="N1036" t="s">
        <v>2644</v>
      </c>
      <c r="O1036" t="s">
        <v>126</v>
      </c>
      <c r="P1036" t="s">
        <v>50</v>
      </c>
      <c r="Q1036" t="s">
        <v>145</v>
      </c>
      <c r="R1036">
        <v>2</v>
      </c>
      <c r="S1036">
        <v>1799</v>
      </c>
      <c r="T1036">
        <v>0.05</v>
      </c>
      <c r="U1036">
        <v>3418.1</v>
      </c>
      <c r="V1036">
        <v>1900</v>
      </c>
      <c r="W1036">
        <v>1518.1</v>
      </c>
      <c r="X1036" t="s">
        <v>75</v>
      </c>
      <c r="Y1036" t="s">
        <v>69</v>
      </c>
      <c r="Z1036" t="s">
        <v>163</v>
      </c>
      <c r="AA1036" t="s">
        <v>166</v>
      </c>
      <c r="AB1036">
        <v>2.7</v>
      </c>
      <c r="AC1036">
        <v>40</v>
      </c>
      <c r="AD1036">
        <v>239.9</v>
      </c>
      <c r="AE1036">
        <f t="shared" si="32"/>
        <v>1238.1999999999998</v>
      </c>
      <c r="AF1036" t="str">
        <f t="shared" si="33"/>
        <v>2025-05</v>
      </c>
      <c r="AG1036">
        <f>SUBTOTAL(103,A1036)</f>
        <v>1</v>
      </c>
    </row>
    <row r="1037" spans="1:33" x14ac:dyDescent="0.3">
      <c r="A1037" t="s">
        <v>3651</v>
      </c>
      <c r="B1037" s="13">
        <v>45787</v>
      </c>
      <c r="C1037">
        <v>2025</v>
      </c>
      <c r="D1037">
        <v>5</v>
      </c>
      <c r="E1037" t="s">
        <v>3566</v>
      </c>
      <c r="F1037" t="s">
        <v>3329</v>
      </c>
      <c r="G1037" t="s">
        <v>581</v>
      </c>
      <c r="H1037" t="s">
        <v>582</v>
      </c>
      <c r="I1037" t="s">
        <v>86</v>
      </c>
      <c r="J1037">
        <v>57</v>
      </c>
      <c r="K1037" t="s">
        <v>83</v>
      </c>
      <c r="L1037" t="s">
        <v>2610</v>
      </c>
      <c r="M1037" t="s">
        <v>64</v>
      </c>
      <c r="N1037" t="s">
        <v>2587</v>
      </c>
      <c r="O1037" t="s">
        <v>116</v>
      </c>
      <c r="P1037" t="s">
        <v>48</v>
      </c>
      <c r="Q1037" t="s">
        <v>138</v>
      </c>
      <c r="R1037">
        <v>2</v>
      </c>
      <c r="S1037">
        <v>14999</v>
      </c>
      <c r="T1037">
        <v>0.2</v>
      </c>
      <c r="U1037">
        <v>23998.400000000001</v>
      </c>
      <c r="V1037">
        <v>22400</v>
      </c>
      <c r="W1037">
        <v>1598.4</v>
      </c>
      <c r="X1037" t="s">
        <v>73</v>
      </c>
      <c r="Y1037" t="s">
        <v>68</v>
      </c>
      <c r="Z1037" t="s">
        <v>163</v>
      </c>
      <c r="AA1037" t="s">
        <v>166</v>
      </c>
      <c r="AB1037">
        <v>4.4000000000000004</v>
      </c>
      <c r="AC1037">
        <v>60</v>
      </c>
      <c r="AD1037">
        <v>2427.23</v>
      </c>
      <c r="AE1037">
        <f t="shared" si="32"/>
        <v>-888.82999999999993</v>
      </c>
      <c r="AF1037" t="str">
        <f t="shared" si="33"/>
        <v>2025-05</v>
      </c>
      <c r="AG1037">
        <f>SUBTOTAL(103,A1037)</f>
        <v>1</v>
      </c>
    </row>
    <row r="1038" spans="1:33" x14ac:dyDescent="0.3">
      <c r="A1038" t="s">
        <v>3652</v>
      </c>
      <c r="B1038" s="13">
        <v>45787</v>
      </c>
      <c r="C1038">
        <v>2025</v>
      </c>
      <c r="D1038">
        <v>5</v>
      </c>
      <c r="E1038" t="s">
        <v>3566</v>
      </c>
      <c r="F1038" t="s">
        <v>3329</v>
      </c>
      <c r="G1038" t="s">
        <v>1387</v>
      </c>
      <c r="H1038" t="s">
        <v>1388</v>
      </c>
      <c r="I1038" t="s">
        <v>86</v>
      </c>
      <c r="J1038">
        <v>27</v>
      </c>
      <c r="K1038" t="s">
        <v>81</v>
      </c>
      <c r="L1038" t="s">
        <v>2599</v>
      </c>
      <c r="M1038" t="s">
        <v>62</v>
      </c>
      <c r="N1038" t="s">
        <v>2601</v>
      </c>
      <c r="O1038" t="s">
        <v>117</v>
      </c>
      <c r="P1038" t="s">
        <v>49</v>
      </c>
      <c r="Q1038" t="s">
        <v>139</v>
      </c>
      <c r="R1038">
        <v>3</v>
      </c>
      <c r="S1038">
        <v>6999</v>
      </c>
      <c r="T1038">
        <v>0.1</v>
      </c>
      <c r="U1038">
        <v>18897.3</v>
      </c>
      <c r="V1038">
        <v>12900</v>
      </c>
      <c r="W1038">
        <v>5997.3</v>
      </c>
      <c r="X1038" t="s">
        <v>73</v>
      </c>
      <c r="Y1038" t="s">
        <v>70</v>
      </c>
      <c r="Z1038" t="s">
        <v>161</v>
      </c>
      <c r="AA1038" t="s">
        <v>170</v>
      </c>
      <c r="AB1038">
        <v>5</v>
      </c>
      <c r="AC1038">
        <v>80</v>
      </c>
      <c r="AD1038">
        <v>2244.02</v>
      </c>
      <c r="AE1038">
        <f t="shared" si="32"/>
        <v>3673.28</v>
      </c>
      <c r="AF1038" t="str">
        <f t="shared" si="33"/>
        <v>2025-05</v>
      </c>
      <c r="AG1038">
        <f>SUBTOTAL(103,A1038)</f>
        <v>1</v>
      </c>
    </row>
    <row r="1039" spans="1:33" x14ac:dyDescent="0.3">
      <c r="A1039" t="s">
        <v>3653</v>
      </c>
      <c r="B1039" s="13">
        <v>45787</v>
      </c>
      <c r="C1039">
        <v>2025</v>
      </c>
      <c r="D1039">
        <v>5</v>
      </c>
      <c r="E1039" t="s">
        <v>3566</v>
      </c>
      <c r="F1039" t="s">
        <v>3329</v>
      </c>
      <c r="G1039" t="s">
        <v>215</v>
      </c>
      <c r="H1039" t="s">
        <v>216</v>
      </c>
      <c r="I1039" t="s">
        <v>85</v>
      </c>
      <c r="J1039">
        <v>33</v>
      </c>
      <c r="K1039" t="s">
        <v>81</v>
      </c>
      <c r="L1039" t="s">
        <v>2634</v>
      </c>
      <c r="M1039" t="s">
        <v>56</v>
      </c>
      <c r="N1039" t="s">
        <v>2582</v>
      </c>
      <c r="O1039" t="s">
        <v>119</v>
      </c>
      <c r="P1039" t="s">
        <v>49</v>
      </c>
      <c r="Q1039" t="s">
        <v>140</v>
      </c>
      <c r="R1039">
        <v>4</v>
      </c>
      <c r="S1039">
        <v>3499</v>
      </c>
      <c r="T1039">
        <v>0</v>
      </c>
      <c r="U1039">
        <v>13996</v>
      </c>
      <c r="V1039">
        <v>8400</v>
      </c>
      <c r="W1039">
        <v>5596</v>
      </c>
      <c r="X1039" t="s">
        <v>73</v>
      </c>
      <c r="Y1039" t="s">
        <v>68</v>
      </c>
      <c r="Z1039" t="s">
        <v>160</v>
      </c>
      <c r="AA1039" t="s">
        <v>166</v>
      </c>
      <c r="AB1039">
        <v>5</v>
      </c>
      <c r="AC1039">
        <v>60</v>
      </c>
      <c r="AD1039">
        <v>1428.72</v>
      </c>
      <c r="AE1039">
        <f t="shared" si="32"/>
        <v>4107.28</v>
      </c>
      <c r="AF1039" t="str">
        <f t="shared" si="33"/>
        <v>2025-05</v>
      </c>
      <c r="AG1039">
        <f>SUBTOTAL(103,A1039)</f>
        <v>1</v>
      </c>
    </row>
    <row r="1040" spans="1:33" x14ac:dyDescent="0.3">
      <c r="A1040" t="s">
        <v>3654</v>
      </c>
      <c r="B1040" s="13">
        <v>45788</v>
      </c>
      <c r="C1040">
        <v>2025</v>
      </c>
      <c r="D1040">
        <v>5</v>
      </c>
      <c r="E1040" t="s">
        <v>3566</v>
      </c>
      <c r="F1040" t="s">
        <v>3329</v>
      </c>
      <c r="G1040" t="s">
        <v>1909</v>
      </c>
      <c r="H1040" t="s">
        <v>1910</v>
      </c>
      <c r="I1040" t="s">
        <v>85</v>
      </c>
      <c r="J1040">
        <v>24</v>
      </c>
      <c r="K1040" t="s">
        <v>80</v>
      </c>
      <c r="L1040" t="s">
        <v>2634</v>
      </c>
      <c r="M1040" t="s">
        <v>56</v>
      </c>
      <c r="N1040" t="s">
        <v>2590</v>
      </c>
      <c r="O1040" t="s">
        <v>127</v>
      </c>
      <c r="P1040" t="s">
        <v>51</v>
      </c>
      <c r="Q1040" t="s">
        <v>148</v>
      </c>
      <c r="R1040">
        <v>2</v>
      </c>
      <c r="S1040">
        <v>1599</v>
      </c>
      <c r="T1040">
        <v>0.15</v>
      </c>
      <c r="U1040">
        <v>2718.3</v>
      </c>
      <c r="V1040">
        <v>1600</v>
      </c>
      <c r="W1040">
        <v>1118.3</v>
      </c>
      <c r="X1040" t="s">
        <v>75</v>
      </c>
      <c r="Y1040" t="s">
        <v>68</v>
      </c>
      <c r="Z1040" t="s">
        <v>162</v>
      </c>
      <c r="AA1040" t="s">
        <v>170</v>
      </c>
      <c r="AB1040">
        <v>4.9000000000000004</v>
      </c>
      <c r="AC1040">
        <v>60</v>
      </c>
      <c r="AD1040">
        <v>128.71</v>
      </c>
      <c r="AE1040">
        <f t="shared" si="32"/>
        <v>929.58999999999992</v>
      </c>
      <c r="AF1040" t="str">
        <f t="shared" si="33"/>
        <v>2025-05</v>
      </c>
      <c r="AG1040">
        <f>SUBTOTAL(103,A1040)</f>
        <v>1</v>
      </c>
    </row>
    <row r="1041" spans="1:33" x14ac:dyDescent="0.3">
      <c r="A1041" t="s">
        <v>3655</v>
      </c>
      <c r="B1041" s="13">
        <v>45788</v>
      </c>
      <c r="C1041">
        <v>2025</v>
      </c>
      <c r="D1041">
        <v>5</v>
      </c>
      <c r="E1041" t="s">
        <v>3566</v>
      </c>
      <c r="F1041" t="s">
        <v>3329</v>
      </c>
      <c r="G1041" t="s">
        <v>1917</v>
      </c>
      <c r="H1041" t="s">
        <v>1918</v>
      </c>
      <c r="I1041" t="s">
        <v>86</v>
      </c>
      <c r="J1041">
        <v>45</v>
      </c>
      <c r="K1041" t="s">
        <v>82</v>
      </c>
      <c r="L1041" t="s">
        <v>99</v>
      </c>
      <c r="M1041" t="s">
        <v>58</v>
      </c>
      <c r="N1041" t="s">
        <v>2626</v>
      </c>
      <c r="O1041" t="s">
        <v>125</v>
      </c>
      <c r="P1041" t="s">
        <v>48</v>
      </c>
      <c r="Q1041" t="s">
        <v>141</v>
      </c>
      <c r="R1041">
        <v>1</v>
      </c>
      <c r="S1041">
        <v>1999</v>
      </c>
      <c r="T1041">
        <v>0.15</v>
      </c>
      <c r="U1041">
        <v>1699.15</v>
      </c>
      <c r="V1041">
        <v>1150</v>
      </c>
      <c r="W1041">
        <v>549.15</v>
      </c>
      <c r="X1041" t="s">
        <v>75</v>
      </c>
      <c r="Y1041" t="s">
        <v>68</v>
      </c>
      <c r="Z1041" t="s">
        <v>158</v>
      </c>
      <c r="AA1041" t="s">
        <v>166</v>
      </c>
      <c r="AB1041">
        <v>4.2</v>
      </c>
      <c r="AC1041">
        <v>80</v>
      </c>
      <c r="AD1041">
        <v>179.82</v>
      </c>
      <c r="AE1041">
        <f t="shared" si="32"/>
        <v>289.33</v>
      </c>
      <c r="AF1041" t="str">
        <f t="shared" si="33"/>
        <v>2025-05</v>
      </c>
      <c r="AG1041">
        <f>SUBTOTAL(103,A1041)</f>
        <v>1</v>
      </c>
    </row>
    <row r="1042" spans="1:33" x14ac:dyDescent="0.3">
      <c r="A1042" t="s">
        <v>3656</v>
      </c>
      <c r="B1042" s="13">
        <v>45788</v>
      </c>
      <c r="C1042">
        <v>2025</v>
      </c>
      <c r="D1042">
        <v>5</v>
      </c>
      <c r="E1042" t="s">
        <v>3566</v>
      </c>
      <c r="F1042" t="s">
        <v>3329</v>
      </c>
      <c r="G1042" t="s">
        <v>1071</v>
      </c>
      <c r="H1042" t="s">
        <v>1072</v>
      </c>
      <c r="I1042" t="s">
        <v>85</v>
      </c>
      <c r="J1042">
        <v>49</v>
      </c>
      <c r="K1042" t="s">
        <v>83</v>
      </c>
      <c r="L1042" t="s">
        <v>59</v>
      </c>
      <c r="M1042" t="s">
        <v>59</v>
      </c>
      <c r="N1042" t="s">
        <v>2606</v>
      </c>
      <c r="O1042" t="s">
        <v>120</v>
      </c>
      <c r="P1042" t="s">
        <v>49</v>
      </c>
      <c r="Q1042" t="s">
        <v>140</v>
      </c>
      <c r="R1042">
        <v>3</v>
      </c>
      <c r="S1042">
        <v>2799</v>
      </c>
      <c r="T1042">
        <v>0.1</v>
      </c>
      <c r="U1042">
        <v>7557.3</v>
      </c>
      <c r="V1042">
        <v>4950</v>
      </c>
      <c r="W1042">
        <v>2607.3000000000002</v>
      </c>
      <c r="X1042" t="s">
        <v>75</v>
      </c>
      <c r="Y1042" t="s">
        <v>68</v>
      </c>
      <c r="Z1042" t="s">
        <v>160</v>
      </c>
      <c r="AA1042" t="s">
        <v>171</v>
      </c>
      <c r="AB1042">
        <v>4</v>
      </c>
      <c r="AC1042">
        <v>100</v>
      </c>
      <c r="AD1042">
        <v>896.29</v>
      </c>
      <c r="AE1042">
        <f t="shared" si="32"/>
        <v>1611.0100000000002</v>
      </c>
      <c r="AF1042" t="str">
        <f t="shared" si="33"/>
        <v>2025-05</v>
      </c>
      <c r="AG1042">
        <f>SUBTOTAL(103,A1042)</f>
        <v>1</v>
      </c>
    </row>
    <row r="1043" spans="1:33" x14ac:dyDescent="0.3">
      <c r="A1043" t="s">
        <v>3657</v>
      </c>
      <c r="B1043" s="13">
        <v>45788</v>
      </c>
      <c r="C1043">
        <v>2025</v>
      </c>
      <c r="D1043">
        <v>5</v>
      </c>
      <c r="E1043" t="s">
        <v>3566</v>
      </c>
      <c r="F1043" t="s">
        <v>3329</v>
      </c>
      <c r="G1043" t="s">
        <v>661</v>
      </c>
      <c r="H1043" t="s">
        <v>662</v>
      </c>
      <c r="I1043" t="s">
        <v>85</v>
      </c>
      <c r="J1043">
        <v>46</v>
      </c>
      <c r="K1043" t="s">
        <v>83</v>
      </c>
      <c r="L1043" t="s">
        <v>2589</v>
      </c>
      <c r="M1043" t="s">
        <v>61</v>
      </c>
      <c r="N1043" t="s">
        <v>2580</v>
      </c>
      <c r="O1043" t="s">
        <v>118</v>
      </c>
      <c r="P1043" t="s">
        <v>48</v>
      </c>
      <c r="Q1043" t="s">
        <v>142</v>
      </c>
      <c r="R1043">
        <v>2</v>
      </c>
      <c r="S1043">
        <v>3999</v>
      </c>
      <c r="T1043">
        <v>0.1</v>
      </c>
      <c r="U1043">
        <v>7198.2</v>
      </c>
      <c r="V1043">
        <v>4800</v>
      </c>
      <c r="W1043">
        <v>2398.1999999999998</v>
      </c>
      <c r="X1043" t="s">
        <v>74</v>
      </c>
      <c r="Y1043" t="s">
        <v>68</v>
      </c>
      <c r="Z1043" t="s">
        <v>158</v>
      </c>
      <c r="AA1043" t="s">
        <v>168</v>
      </c>
      <c r="AB1043">
        <v>3.7</v>
      </c>
      <c r="AC1043">
        <v>60</v>
      </c>
      <c r="AD1043">
        <v>546.19000000000005</v>
      </c>
      <c r="AE1043">
        <f t="shared" si="32"/>
        <v>1792.0099999999998</v>
      </c>
      <c r="AF1043" t="str">
        <f t="shared" si="33"/>
        <v>2025-05</v>
      </c>
      <c r="AG1043">
        <f>SUBTOTAL(103,A1043)</f>
        <v>1</v>
      </c>
    </row>
    <row r="1044" spans="1:33" x14ac:dyDescent="0.3">
      <c r="A1044" t="s">
        <v>3658</v>
      </c>
      <c r="B1044" s="13">
        <v>45788</v>
      </c>
      <c r="C1044">
        <v>2025</v>
      </c>
      <c r="D1044">
        <v>5</v>
      </c>
      <c r="E1044" t="s">
        <v>3566</v>
      </c>
      <c r="F1044" t="s">
        <v>3329</v>
      </c>
      <c r="G1044" t="s">
        <v>403</v>
      </c>
      <c r="H1044" t="s">
        <v>404</v>
      </c>
      <c r="I1044" t="s">
        <v>85</v>
      </c>
      <c r="J1044">
        <v>29</v>
      </c>
      <c r="K1044" t="s">
        <v>81</v>
      </c>
      <c r="L1044" t="s">
        <v>90</v>
      </c>
      <c r="M1044" t="s">
        <v>55</v>
      </c>
      <c r="N1044" t="s">
        <v>2596</v>
      </c>
      <c r="O1044" t="s">
        <v>124</v>
      </c>
      <c r="P1044" t="s">
        <v>51</v>
      </c>
      <c r="Q1044" t="s">
        <v>147</v>
      </c>
      <c r="R1044">
        <v>2</v>
      </c>
      <c r="S1044">
        <v>2299</v>
      </c>
      <c r="T1044">
        <v>0.1</v>
      </c>
      <c r="U1044">
        <v>4138.2</v>
      </c>
      <c r="V1044">
        <v>2400</v>
      </c>
      <c r="W1044">
        <v>1738.2</v>
      </c>
      <c r="X1044" t="s">
        <v>77</v>
      </c>
      <c r="Y1044" t="s">
        <v>68</v>
      </c>
      <c r="Z1044" t="s">
        <v>159</v>
      </c>
      <c r="AA1044" t="s">
        <v>168</v>
      </c>
      <c r="AB1044">
        <v>3.7</v>
      </c>
      <c r="AC1044">
        <v>100</v>
      </c>
      <c r="AD1044">
        <v>348.35</v>
      </c>
      <c r="AE1044">
        <f t="shared" si="32"/>
        <v>1289.8499999999999</v>
      </c>
      <c r="AF1044" t="str">
        <f t="shared" si="33"/>
        <v>2025-05</v>
      </c>
      <c r="AG1044">
        <f>SUBTOTAL(103,A1044)</f>
        <v>1</v>
      </c>
    </row>
    <row r="1045" spans="1:33" x14ac:dyDescent="0.3">
      <c r="A1045" t="s">
        <v>3659</v>
      </c>
      <c r="B1045" s="13">
        <v>45788</v>
      </c>
      <c r="C1045">
        <v>2025</v>
      </c>
      <c r="D1045">
        <v>5</v>
      </c>
      <c r="E1045" t="s">
        <v>3566</v>
      </c>
      <c r="F1045" t="s">
        <v>3329</v>
      </c>
      <c r="G1045" t="s">
        <v>555</v>
      </c>
      <c r="H1045" t="s">
        <v>556</v>
      </c>
      <c r="I1045" t="s">
        <v>85</v>
      </c>
      <c r="J1045">
        <v>47</v>
      </c>
      <c r="K1045" t="s">
        <v>83</v>
      </c>
      <c r="L1045" t="s">
        <v>2576</v>
      </c>
      <c r="M1045" t="s">
        <v>60</v>
      </c>
      <c r="N1045" t="s">
        <v>2592</v>
      </c>
      <c r="O1045" t="s">
        <v>115</v>
      </c>
      <c r="P1045" t="s">
        <v>48</v>
      </c>
      <c r="Q1045" t="s">
        <v>137</v>
      </c>
      <c r="R1045">
        <v>1</v>
      </c>
      <c r="S1045">
        <v>12999</v>
      </c>
      <c r="T1045">
        <v>0.25</v>
      </c>
      <c r="U1045">
        <v>9749.25</v>
      </c>
      <c r="V1045">
        <v>9000</v>
      </c>
      <c r="W1045">
        <v>749.25</v>
      </c>
      <c r="X1045" t="s">
        <v>74</v>
      </c>
      <c r="Y1045" t="s">
        <v>68</v>
      </c>
      <c r="Z1045" t="s">
        <v>162</v>
      </c>
      <c r="AA1045" t="s">
        <v>166</v>
      </c>
      <c r="AB1045">
        <v>4</v>
      </c>
      <c r="AC1045">
        <v>40</v>
      </c>
      <c r="AD1045">
        <v>505.99</v>
      </c>
      <c r="AE1045">
        <f t="shared" si="32"/>
        <v>203.26</v>
      </c>
      <c r="AF1045" t="str">
        <f t="shared" si="33"/>
        <v>2025-05</v>
      </c>
      <c r="AG1045">
        <f>SUBTOTAL(103,A1045)</f>
        <v>1</v>
      </c>
    </row>
    <row r="1046" spans="1:33" x14ac:dyDescent="0.3">
      <c r="A1046" t="s">
        <v>3660</v>
      </c>
      <c r="B1046" s="13">
        <v>45789</v>
      </c>
      <c r="C1046">
        <v>2025</v>
      </c>
      <c r="D1046">
        <v>5</v>
      </c>
      <c r="E1046" t="s">
        <v>3566</v>
      </c>
      <c r="F1046" t="s">
        <v>3329</v>
      </c>
      <c r="G1046" t="s">
        <v>1735</v>
      </c>
      <c r="H1046" t="s">
        <v>1736</v>
      </c>
      <c r="I1046" t="s">
        <v>86</v>
      </c>
      <c r="J1046">
        <v>23</v>
      </c>
      <c r="K1046" t="s">
        <v>80</v>
      </c>
      <c r="L1046" t="s">
        <v>2637</v>
      </c>
      <c r="M1046" t="s">
        <v>64</v>
      </c>
      <c r="N1046" t="s">
        <v>2577</v>
      </c>
      <c r="O1046" t="s">
        <v>129</v>
      </c>
      <c r="P1046" t="s">
        <v>49</v>
      </c>
      <c r="Q1046" t="s">
        <v>149</v>
      </c>
      <c r="R1046">
        <v>2</v>
      </c>
      <c r="S1046">
        <v>1299</v>
      </c>
      <c r="T1046">
        <v>0.05</v>
      </c>
      <c r="U1046">
        <v>2468.1</v>
      </c>
      <c r="V1046">
        <v>1300</v>
      </c>
      <c r="W1046">
        <v>1168.0999999999999</v>
      </c>
      <c r="X1046" t="s">
        <v>75</v>
      </c>
      <c r="Y1046" t="s">
        <v>68</v>
      </c>
      <c r="Z1046" t="s">
        <v>159</v>
      </c>
      <c r="AA1046" t="s">
        <v>171</v>
      </c>
      <c r="AB1046">
        <v>4.2</v>
      </c>
      <c r="AC1046">
        <v>50</v>
      </c>
      <c r="AD1046">
        <v>150.34</v>
      </c>
      <c r="AE1046">
        <f t="shared" si="32"/>
        <v>967.75999999999988</v>
      </c>
      <c r="AF1046" t="str">
        <f t="shared" si="33"/>
        <v>2025-05</v>
      </c>
      <c r="AG1046">
        <f>SUBTOTAL(103,A1046)</f>
        <v>1</v>
      </c>
    </row>
    <row r="1047" spans="1:33" x14ac:dyDescent="0.3">
      <c r="A1047" t="s">
        <v>3661</v>
      </c>
      <c r="B1047" s="13">
        <v>45789</v>
      </c>
      <c r="C1047">
        <v>2025</v>
      </c>
      <c r="D1047">
        <v>5</v>
      </c>
      <c r="E1047" t="s">
        <v>3566</v>
      </c>
      <c r="F1047" t="s">
        <v>3329</v>
      </c>
      <c r="G1047" t="s">
        <v>1653</v>
      </c>
      <c r="H1047" t="s">
        <v>1654</v>
      </c>
      <c r="I1047" t="s">
        <v>85</v>
      </c>
      <c r="J1047">
        <v>25</v>
      </c>
      <c r="K1047" t="s">
        <v>80</v>
      </c>
      <c r="L1047" t="s">
        <v>2623</v>
      </c>
      <c r="M1047" t="s">
        <v>61</v>
      </c>
      <c r="N1047" t="s">
        <v>2626</v>
      </c>
      <c r="O1047" t="s">
        <v>125</v>
      </c>
      <c r="P1047" t="s">
        <v>48</v>
      </c>
      <c r="Q1047" t="s">
        <v>141</v>
      </c>
      <c r="R1047">
        <v>2</v>
      </c>
      <c r="S1047">
        <v>1999</v>
      </c>
      <c r="T1047">
        <v>0.1</v>
      </c>
      <c r="U1047">
        <v>3598.2</v>
      </c>
      <c r="V1047">
        <v>2300</v>
      </c>
      <c r="W1047">
        <v>1298.2</v>
      </c>
      <c r="X1047" t="s">
        <v>73</v>
      </c>
      <c r="Y1047" t="s">
        <v>68</v>
      </c>
      <c r="Z1047" t="s">
        <v>163</v>
      </c>
      <c r="AA1047" t="s">
        <v>170</v>
      </c>
      <c r="AB1047">
        <v>3.9</v>
      </c>
      <c r="AC1047">
        <v>100</v>
      </c>
      <c r="AD1047">
        <v>334.12</v>
      </c>
      <c r="AE1047">
        <f t="shared" si="32"/>
        <v>864.08</v>
      </c>
      <c r="AF1047" t="str">
        <f t="shared" si="33"/>
        <v>2025-05</v>
      </c>
      <c r="AG1047">
        <f>SUBTOTAL(103,A1047)</f>
        <v>1</v>
      </c>
    </row>
    <row r="1048" spans="1:33" x14ac:dyDescent="0.3">
      <c r="A1048" t="s">
        <v>3662</v>
      </c>
      <c r="B1048" s="13">
        <v>45789</v>
      </c>
      <c r="C1048">
        <v>2025</v>
      </c>
      <c r="D1048">
        <v>5</v>
      </c>
      <c r="E1048" t="s">
        <v>3566</v>
      </c>
      <c r="F1048" t="s">
        <v>3329</v>
      </c>
      <c r="G1048" t="s">
        <v>1699</v>
      </c>
      <c r="H1048" t="s">
        <v>1700</v>
      </c>
      <c r="I1048" t="s">
        <v>86</v>
      </c>
      <c r="J1048">
        <v>36</v>
      </c>
      <c r="K1048" t="s">
        <v>82</v>
      </c>
      <c r="L1048" t="s">
        <v>93</v>
      </c>
      <c r="M1048" t="s">
        <v>55</v>
      </c>
      <c r="N1048" t="s">
        <v>2657</v>
      </c>
      <c r="O1048" t="s">
        <v>134</v>
      </c>
      <c r="P1048" t="s">
        <v>49</v>
      </c>
      <c r="Q1048" t="s">
        <v>140</v>
      </c>
      <c r="R1048">
        <v>1</v>
      </c>
      <c r="S1048">
        <v>599</v>
      </c>
      <c r="T1048">
        <v>0.05</v>
      </c>
      <c r="U1048">
        <v>569.04999999999995</v>
      </c>
      <c r="V1048">
        <v>250</v>
      </c>
      <c r="W1048">
        <v>319.05</v>
      </c>
      <c r="X1048" t="s">
        <v>77</v>
      </c>
      <c r="Y1048" t="s">
        <v>68</v>
      </c>
      <c r="Z1048" t="s">
        <v>160</v>
      </c>
      <c r="AA1048" t="s">
        <v>171</v>
      </c>
      <c r="AB1048">
        <v>3.5</v>
      </c>
      <c r="AC1048">
        <v>60</v>
      </c>
      <c r="AD1048">
        <v>62.95</v>
      </c>
      <c r="AE1048">
        <f t="shared" si="32"/>
        <v>196.10000000000002</v>
      </c>
      <c r="AF1048" t="str">
        <f t="shared" si="33"/>
        <v>2025-05</v>
      </c>
      <c r="AG1048">
        <f>SUBTOTAL(103,A1048)</f>
        <v>1</v>
      </c>
    </row>
    <row r="1049" spans="1:33" x14ac:dyDescent="0.3">
      <c r="A1049" t="s">
        <v>3663</v>
      </c>
      <c r="B1049" s="13">
        <v>45789</v>
      </c>
      <c r="C1049">
        <v>2025</v>
      </c>
      <c r="D1049">
        <v>5</v>
      </c>
      <c r="E1049" t="s">
        <v>3566</v>
      </c>
      <c r="F1049" t="s">
        <v>3329</v>
      </c>
      <c r="G1049" t="s">
        <v>1445</v>
      </c>
      <c r="H1049" t="s">
        <v>1446</v>
      </c>
      <c r="I1049" t="s">
        <v>85</v>
      </c>
      <c r="J1049">
        <v>34</v>
      </c>
      <c r="K1049" t="s">
        <v>81</v>
      </c>
      <c r="L1049" t="s">
        <v>97</v>
      </c>
      <c r="M1049" t="s">
        <v>57</v>
      </c>
      <c r="N1049" t="s">
        <v>2582</v>
      </c>
      <c r="O1049" t="s">
        <v>119</v>
      </c>
      <c r="P1049" t="s">
        <v>49</v>
      </c>
      <c r="Q1049" t="s">
        <v>140</v>
      </c>
      <c r="R1049">
        <v>3</v>
      </c>
      <c r="S1049">
        <v>3499</v>
      </c>
      <c r="T1049">
        <v>0.2</v>
      </c>
      <c r="U1049">
        <v>8397.6</v>
      </c>
      <c r="V1049">
        <v>6300</v>
      </c>
      <c r="W1049">
        <v>2097.6</v>
      </c>
      <c r="X1049" t="s">
        <v>73</v>
      </c>
      <c r="Y1049" t="s">
        <v>68</v>
      </c>
      <c r="Z1049" t="s">
        <v>160</v>
      </c>
      <c r="AA1049" t="s">
        <v>166</v>
      </c>
      <c r="AB1049">
        <v>4.5999999999999996</v>
      </c>
      <c r="AC1049">
        <v>100</v>
      </c>
      <c r="AD1049">
        <v>738.66</v>
      </c>
      <c r="AE1049">
        <f t="shared" si="32"/>
        <v>1258.94</v>
      </c>
      <c r="AF1049" t="str">
        <f t="shared" si="33"/>
        <v>2025-05</v>
      </c>
      <c r="AG1049">
        <f>SUBTOTAL(103,A1049)</f>
        <v>1</v>
      </c>
    </row>
    <row r="1050" spans="1:33" x14ac:dyDescent="0.3">
      <c r="A1050" t="s">
        <v>3664</v>
      </c>
      <c r="B1050" s="13">
        <v>45789</v>
      </c>
      <c r="C1050">
        <v>2025</v>
      </c>
      <c r="D1050">
        <v>5</v>
      </c>
      <c r="E1050" t="s">
        <v>3566</v>
      </c>
      <c r="F1050" t="s">
        <v>3329</v>
      </c>
      <c r="G1050" t="s">
        <v>331</v>
      </c>
      <c r="H1050" t="s">
        <v>332</v>
      </c>
      <c r="I1050" t="s">
        <v>86</v>
      </c>
      <c r="J1050">
        <v>32</v>
      </c>
      <c r="K1050" t="s">
        <v>81</v>
      </c>
      <c r="L1050" t="s">
        <v>2674</v>
      </c>
      <c r="M1050" t="s">
        <v>58</v>
      </c>
      <c r="N1050" t="s">
        <v>2574</v>
      </c>
      <c r="O1050" t="s">
        <v>130</v>
      </c>
      <c r="P1050" t="s">
        <v>50</v>
      </c>
      <c r="Q1050" t="s">
        <v>53</v>
      </c>
      <c r="R1050">
        <v>1</v>
      </c>
      <c r="S1050">
        <v>1199</v>
      </c>
      <c r="T1050">
        <v>0.05</v>
      </c>
      <c r="U1050">
        <v>1139.05</v>
      </c>
      <c r="V1050">
        <v>550</v>
      </c>
      <c r="W1050">
        <v>589.04999999999995</v>
      </c>
      <c r="X1050" t="s">
        <v>76</v>
      </c>
      <c r="Y1050" t="s">
        <v>68</v>
      </c>
      <c r="Z1050" t="s">
        <v>160</v>
      </c>
      <c r="AA1050" t="s">
        <v>170</v>
      </c>
      <c r="AB1050">
        <v>4.5</v>
      </c>
      <c r="AC1050">
        <v>60</v>
      </c>
      <c r="AD1050">
        <v>91.14</v>
      </c>
      <c r="AE1050">
        <f t="shared" si="32"/>
        <v>437.90999999999997</v>
      </c>
      <c r="AF1050" t="str">
        <f t="shared" si="33"/>
        <v>2025-05</v>
      </c>
      <c r="AG1050">
        <f>SUBTOTAL(103,A1050)</f>
        <v>1</v>
      </c>
    </row>
    <row r="1051" spans="1:33" x14ac:dyDescent="0.3">
      <c r="A1051" t="s">
        <v>3665</v>
      </c>
      <c r="B1051" s="13">
        <v>45789</v>
      </c>
      <c r="C1051">
        <v>2025</v>
      </c>
      <c r="D1051">
        <v>5</v>
      </c>
      <c r="E1051" t="s">
        <v>3566</v>
      </c>
      <c r="F1051" t="s">
        <v>3329</v>
      </c>
      <c r="G1051" t="s">
        <v>329</v>
      </c>
      <c r="H1051" t="s">
        <v>330</v>
      </c>
      <c r="I1051" t="s">
        <v>86</v>
      </c>
      <c r="J1051">
        <v>18</v>
      </c>
      <c r="K1051" t="s">
        <v>80</v>
      </c>
      <c r="L1051" t="s">
        <v>90</v>
      </c>
      <c r="M1051" t="s">
        <v>55</v>
      </c>
      <c r="N1051" t="s">
        <v>2601</v>
      </c>
      <c r="O1051" t="s">
        <v>117</v>
      </c>
      <c r="P1051" t="s">
        <v>49</v>
      </c>
      <c r="Q1051" t="s">
        <v>139</v>
      </c>
      <c r="R1051">
        <v>2</v>
      </c>
      <c r="S1051">
        <v>6999</v>
      </c>
      <c r="T1051">
        <v>0</v>
      </c>
      <c r="U1051">
        <v>13998</v>
      </c>
      <c r="V1051">
        <v>8600</v>
      </c>
      <c r="W1051">
        <v>5398</v>
      </c>
      <c r="X1051" t="s">
        <v>77</v>
      </c>
      <c r="Y1051" t="s">
        <v>70</v>
      </c>
      <c r="Z1051" t="s">
        <v>159</v>
      </c>
      <c r="AA1051" t="s">
        <v>166</v>
      </c>
      <c r="AB1051">
        <v>3.8</v>
      </c>
      <c r="AC1051">
        <v>100</v>
      </c>
      <c r="AD1051">
        <v>432.21</v>
      </c>
      <c r="AE1051">
        <f t="shared" si="32"/>
        <v>4865.79</v>
      </c>
      <c r="AF1051" t="str">
        <f t="shared" si="33"/>
        <v>2025-05</v>
      </c>
      <c r="AG1051">
        <f>SUBTOTAL(103,A1051)</f>
        <v>1</v>
      </c>
    </row>
    <row r="1052" spans="1:33" x14ac:dyDescent="0.3">
      <c r="A1052" t="s">
        <v>3666</v>
      </c>
      <c r="B1052" s="13">
        <v>45789</v>
      </c>
      <c r="C1052">
        <v>2025</v>
      </c>
      <c r="D1052">
        <v>5</v>
      </c>
      <c r="E1052" t="s">
        <v>3566</v>
      </c>
      <c r="F1052" t="s">
        <v>3329</v>
      </c>
      <c r="G1052" t="s">
        <v>1015</v>
      </c>
      <c r="H1052" t="s">
        <v>1016</v>
      </c>
      <c r="I1052" t="s">
        <v>85</v>
      </c>
      <c r="J1052">
        <v>37</v>
      </c>
      <c r="K1052" t="s">
        <v>82</v>
      </c>
      <c r="L1052" t="s">
        <v>94</v>
      </c>
      <c r="M1052" t="s">
        <v>57</v>
      </c>
      <c r="N1052" t="s">
        <v>2626</v>
      </c>
      <c r="O1052" t="s">
        <v>125</v>
      </c>
      <c r="P1052" t="s">
        <v>48</v>
      </c>
      <c r="Q1052" t="s">
        <v>141</v>
      </c>
      <c r="R1052">
        <v>1</v>
      </c>
      <c r="S1052">
        <v>1999</v>
      </c>
      <c r="T1052">
        <v>0.1</v>
      </c>
      <c r="U1052">
        <v>1799.1</v>
      </c>
      <c r="V1052">
        <v>1150</v>
      </c>
      <c r="W1052">
        <v>649.1</v>
      </c>
      <c r="X1052" t="s">
        <v>75</v>
      </c>
      <c r="Y1052" t="s">
        <v>68</v>
      </c>
      <c r="Z1052" t="s">
        <v>158</v>
      </c>
      <c r="AA1052" t="s">
        <v>168</v>
      </c>
      <c r="AB1052">
        <v>5</v>
      </c>
      <c r="AC1052">
        <v>60</v>
      </c>
      <c r="AD1052">
        <v>67.010000000000005</v>
      </c>
      <c r="AE1052">
        <f t="shared" si="32"/>
        <v>522.09</v>
      </c>
      <c r="AF1052" t="str">
        <f t="shared" si="33"/>
        <v>2025-05</v>
      </c>
      <c r="AG1052">
        <f>SUBTOTAL(103,A1052)</f>
        <v>1</v>
      </c>
    </row>
    <row r="1053" spans="1:33" x14ac:dyDescent="0.3">
      <c r="A1053" t="s">
        <v>3667</v>
      </c>
      <c r="B1053" s="13">
        <v>45789</v>
      </c>
      <c r="C1053">
        <v>2025</v>
      </c>
      <c r="D1053">
        <v>5</v>
      </c>
      <c r="E1053" t="s">
        <v>3566</v>
      </c>
      <c r="F1053" t="s">
        <v>3329</v>
      </c>
      <c r="G1053" t="s">
        <v>1545</v>
      </c>
      <c r="H1053" t="s">
        <v>1546</v>
      </c>
      <c r="I1053" t="s">
        <v>85</v>
      </c>
      <c r="J1053">
        <v>39</v>
      </c>
      <c r="K1053" t="s">
        <v>82</v>
      </c>
      <c r="L1053" t="s">
        <v>2612</v>
      </c>
      <c r="M1053" t="s">
        <v>64</v>
      </c>
      <c r="N1053" t="s">
        <v>2574</v>
      </c>
      <c r="O1053" t="s">
        <v>130</v>
      </c>
      <c r="P1053" t="s">
        <v>50</v>
      </c>
      <c r="Q1053" t="s">
        <v>53</v>
      </c>
      <c r="R1053">
        <v>1</v>
      </c>
      <c r="S1053">
        <v>1199</v>
      </c>
      <c r="T1053">
        <v>0.1</v>
      </c>
      <c r="U1053">
        <v>1079.0999999999999</v>
      </c>
      <c r="V1053">
        <v>550</v>
      </c>
      <c r="W1053">
        <v>529.1</v>
      </c>
      <c r="X1053" t="s">
        <v>77</v>
      </c>
      <c r="Y1053" t="s">
        <v>68</v>
      </c>
      <c r="Z1053" t="s">
        <v>158</v>
      </c>
      <c r="AA1053" t="s">
        <v>167</v>
      </c>
      <c r="AB1053">
        <v>4</v>
      </c>
      <c r="AC1053">
        <v>60</v>
      </c>
      <c r="AD1053">
        <v>48.32</v>
      </c>
      <c r="AE1053">
        <f t="shared" si="32"/>
        <v>420.78000000000003</v>
      </c>
      <c r="AF1053" t="str">
        <f t="shared" si="33"/>
        <v>2025-05</v>
      </c>
      <c r="AG1053">
        <f>SUBTOTAL(103,A1053)</f>
        <v>1</v>
      </c>
    </row>
    <row r="1054" spans="1:33" x14ac:dyDescent="0.3">
      <c r="A1054" t="s">
        <v>3668</v>
      </c>
      <c r="B1054" s="13">
        <v>45790</v>
      </c>
      <c r="C1054">
        <v>2025</v>
      </c>
      <c r="D1054">
        <v>5</v>
      </c>
      <c r="E1054" t="s">
        <v>3566</v>
      </c>
      <c r="F1054" t="s">
        <v>3329</v>
      </c>
      <c r="G1054" t="s">
        <v>1337</v>
      </c>
      <c r="H1054" t="s">
        <v>1338</v>
      </c>
      <c r="I1054" t="s">
        <v>86</v>
      </c>
      <c r="J1054">
        <v>44</v>
      </c>
      <c r="K1054" t="s">
        <v>82</v>
      </c>
      <c r="L1054" t="s">
        <v>91</v>
      </c>
      <c r="M1054" t="s">
        <v>55</v>
      </c>
      <c r="N1054" t="s">
        <v>2665</v>
      </c>
      <c r="O1054" t="s">
        <v>128</v>
      </c>
      <c r="P1054" t="s">
        <v>53</v>
      </c>
      <c r="Q1054" t="s">
        <v>143</v>
      </c>
      <c r="R1054">
        <v>1</v>
      </c>
      <c r="S1054">
        <v>1499</v>
      </c>
      <c r="T1054">
        <v>0.1</v>
      </c>
      <c r="U1054">
        <v>1349.1</v>
      </c>
      <c r="V1054">
        <v>800</v>
      </c>
      <c r="W1054">
        <v>549.1</v>
      </c>
      <c r="X1054" t="s">
        <v>77</v>
      </c>
      <c r="Y1054" t="s">
        <v>68</v>
      </c>
      <c r="Z1054" t="s">
        <v>158</v>
      </c>
      <c r="AA1054" t="s">
        <v>166</v>
      </c>
      <c r="AB1054">
        <v>4</v>
      </c>
      <c r="AC1054">
        <v>50</v>
      </c>
      <c r="AD1054">
        <v>94.95</v>
      </c>
      <c r="AE1054">
        <f t="shared" si="32"/>
        <v>404.15000000000003</v>
      </c>
      <c r="AF1054" t="str">
        <f t="shared" si="33"/>
        <v>2025-05</v>
      </c>
      <c r="AG1054">
        <f>SUBTOTAL(103,A1054)</f>
        <v>1</v>
      </c>
    </row>
    <row r="1055" spans="1:33" x14ac:dyDescent="0.3">
      <c r="A1055" t="s">
        <v>3669</v>
      </c>
      <c r="B1055" s="13">
        <v>45790</v>
      </c>
      <c r="C1055">
        <v>2025</v>
      </c>
      <c r="D1055">
        <v>5</v>
      </c>
      <c r="E1055" t="s">
        <v>3566</v>
      </c>
      <c r="F1055" t="s">
        <v>3329</v>
      </c>
      <c r="G1055" t="s">
        <v>587</v>
      </c>
      <c r="H1055" t="s">
        <v>588</v>
      </c>
      <c r="I1055" t="s">
        <v>86</v>
      </c>
      <c r="J1055">
        <v>43</v>
      </c>
      <c r="K1055" t="s">
        <v>82</v>
      </c>
      <c r="L1055" t="s">
        <v>95</v>
      </c>
      <c r="M1055" t="s">
        <v>56</v>
      </c>
      <c r="N1055" t="s">
        <v>2592</v>
      </c>
      <c r="O1055" t="s">
        <v>115</v>
      </c>
      <c r="P1055" t="s">
        <v>48</v>
      </c>
      <c r="Q1055" t="s">
        <v>137</v>
      </c>
      <c r="R1055">
        <v>3</v>
      </c>
      <c r="S1055">
        <v>12999</v>
      </c>
      <c r="T1055">
        <v>0.15</v>
      </c>
      <c r="U1055">
        <v>33147.449999999997</v>
      </c>
      <c r="V1055">
        <v>27000</v>
      </c>
      <c r="W1055">
        <v>6147.45</v>
      </c>
      <c r="X1055" t="s">
        <v>73</v>
      </c>
      <c r="Y1055" t="s">
        <v>68</v>
      </c>
      <c r="Z1055" t="s">
        <v>162</v>
      </c>
      <c r="AA1055" t="s">
        <v>168</v>
      </c>
      <c r="AB1055">
        <v>5</v>
      </c>
      <c r="AC1055">
        <v>120</v>
      </c>
      <c r="AD1055">
        <v>3849.97</v>
      </c>
      <c r="AE1055">
        <f t="shared" si="32"/>
        <v>2177.48</v>
      </c>
      <c r="AF1055" t="str">
        <f t="shared" si="33"/>
        <v>2025-05</v>
      </c>
      <c r="AG1055">
        <f>SUBTOTAL(103,A1055)</f>
        <v>1</v>
      </c>
    </row>
    <row r="1056" spans="1:33" x14ac:dyDescent="0.3">
      <c r="A1056" t="s">
        <v>3670</v>
      </c>
      <c r="B1056" s="13">
        <v>45790</v>
      </c>
      <c r="C1056">
        <v>2025</v>
      </c>
      <c r="D1056">
        <v>5</v>
      </c>
      <c r="E1056" t="s">
        <v>3566</v>
      </c>
      <c r="F1056" t="s">
        <v>3329</v>
      </c>
      <c r="G1056" t="s">
        <v>979</v>
      </c>
      <c r="H1056" t="s">
        <v>980</v>
      </c>
      <c r="I1056" t="s">
        <v>85</v>
      </c>
      <c r="J1056">
        <v>58</v>
      </c>
      <c r="K1056" t="s">
        <v>83</v>
      </c>
      <c r="L1056" t="s">
        <v>90</v>
      </c>
      <c r="M1056" t="s">
        <v>55</v>
      </c>
      <c r="N1056" t="s">
        <v>2574</v>
      </c>
      <c r="O1056" t="s">
        <v>130</v>
      </c>
      <c r="P1056" t="s">
        <v>50</v>
      </c>
      <c r="Q1056" t="s">
        <v>53</v>
      </c>
      <c r="R1056">
        <v>2</v>
      </c>
      <c r="S1056">
        <v>1199</v>
      </c>
      <c r="T1056">
        <v>0.2</v>
      </c>
      <c r="U1056">
        <v>1918.4</v>
      </c>
      <c r="V1056">
        <v>1100</v>
      </c>
      <c r="W1056">
        <v>818.4</v>
      </c>
      <c r="X1056" t="s">
        <v>76</v>
      </c>
      <c r="Y1056" t="s">
        <v>68</v>
      </c>
      <c r="Z1056" t="s">
        <v>159</v>
      </c>
      <c r="AA1056" t="s">
        <v>169</v>
      </c>
      <c r="AB1056">
        <v>4.0999999999999996</v>
      </c>
      <c r="AC1056">
        <v>40</v>
      </c>
      <c r="AD1056">
        <v>51</v>
      </c>
      <c r="AE1056">
        <f t="shared" si="32"/>
        <v>727.4</v>
      </c>
      <c r="AF1056" t="str">
        <f t="shared" si="33"/>
        <v>2025-05</v>
      </c>
      <c r="AG1056">
        <f>SUBTOTAL(103,A1056)</f>
        <v>1</v>
      </c>
    </row>
    <row r="1057" spans="1:33" x14ac:dyDescent="0.3">
      <c r="A1057" t="s">
        <v>3671</v>
      </c>
      <c r="B1057" s="13">
        <v>45790</v>
      </c>
      <c r="C1057">
        <v>2025</v>
      </c>
      <c r="D1057">
        <v>5</v>
      </c>
      <c r="E1057" t="s">
        <v>3566</v>
      </c>
      <c r="F1057" t="s">
        <v>3329</v>
      </c>
      <c r="G1057" t="s">
        <v>193</v>
      </c>
      <c r="H1057" t="s">
        <v>194</v>
      </c>
      <c r="I1057" t="s">
        <v>86</v>
      </c>
      <c r="J1057">
        <v>46</v>
      </c>
      <c r="K1057" t="s">
        <v>83</v>
      </c>
      <c r="L1057" t="s">
        <v>94</v>
      </c>
      <c r="M1057" t="s">
        <v>57</v>
      </c>
      <c r="N1057" t="s">
        <v>2606</v>
      </c>
      <c r="O1057" t="s">
        <v>120</v>
      </c>
      <c r="P1057" t="s">
        <v>49</v>
      </c>
      <c r="Q1057" t="s">
        <v>140</v>
      </c>
      <c r="R1057">
        <v>5</v>
      </c>
      <c r="S1057">
        <v>2799</v>
      </c>
      <c r="T1057">
        <v>0.2</v>
      </c>
      <c r="U1057">
        <v>11196</v>
      </c>
      <c r="V1057">
        <v>8250</v>
      </c>
      <c r="W1057">
        <v>2946</v>
      </c>
      <c r="X1057" t="s">
        <v>74</v>
      </c>
      <c r="Y1057" t="s">
        <v>68</v>
      </c>
      <c r="Z1057" t="s">
        <v>160</v>
      </c>
      <c r="AA1057" t="s">
        <v>170</v>
      </c>
      <c r="AB1057">
        <v>3.5</v>
      </c>
      <c r="AC1057">
        <v>60</v>
      </c>
      <c r="AD1057">
        <v>1256.69</v>
      </c>
      <c r="AE1057">
        <f t="shared" si="32"/>
        <v>1629.31</v>
      </c>
      <c r="AF1057" t="str">
        <f t="shared" si="33"/>
        <v>2025-05</v>
      </c>
      <c r="AG1057">
        <f>SUBTOTAL(103,A1057)</f>
        <v>1</v>
      </c>
    </row>
    <row r="1058" spans="1:33" x14ac:dyDescent="0.3">
      <c r="A1058" t="s">
        <v>3672</v>
      </c>
      <c r="B1058" s="13">
        <v>45790</v>
      </c>
      <c r="C1058">
        <v>2025</v>
      </c>
      <c r="D1058">
        <v>5</v>
      </c>
      <c r="E1058" t="s">
        <v>3566</v>
      </c>
      <c r="F1058" t="s">
        <v>3329</v>
      </c>
      <c r="G1058" t="s">
        <v>1163</v>
      </c>
      <c r="H1058" t="s">
        <v>1164</v>
      </c>
      <c r="I1058" t="s">
        <v>87</v>
      </c>
      <c r="J1058">
        <v>53</v>
      </c>
      <c r="K1058" t="s">
        <v>83</v>
      </c>
      <c r="L1058" t="s">
        <v>92</v>
      </c>
      <c r="M1058" t="s">
        <v>59</v>
      </c>
      <c r="N1058" t="s">
        <v>2653</v>
      </c>
      <c r="O1058" t="s">
        <v>132</v>
      </c>
      <c r="P1058" t="s">
        <v>52</v>
      </c>
      <c r="Q1058" t="s">
        <v>150</v>
      </c>
      <c r="R1058">
        <v>1</v>
      </c>
      <c r="S1058">
        <v>899</v>
      </c>
      <c r="T1058">
        <v>0.15</v>
      </c>
      <c r="U1058">
        <v>764.15</v>
      </c>
      <c r="V1058">
        <v>420</v>
      </c>
      <c r="W1058">
        <v>344.15</v>
      </c>
      <c r="X1058" t="s">
        <v>75</v>
      </c>
      <c r="Y1058" t="s">
        <v>68</v>
      </c>
      <c r="Z1058" t="s">
        <v>162</v>
      </c>
      <c r="AA1058" t="s">
        <v>169</v>
      </c>
      <c r="AB1058">
        <v>4.4000000000000004</v>
      </c>
      <c r="AC1058">
        <v>40</v>
      </c>
      <c r="AD1058">
        <v>64.55</v>
      </c>
      <c r="AE1058">
        <f t="shared" si="32"/>
        <v>239.59999999999997</v>
      </c>
      <c r="AF1058" t="str">
        <f t="shared" si="33"/>
        <v>2025-05</v>
      </c>
      <c r="AG1058">
        <f>SUBTOTAL(103,A1058)</f>
        <v>1</v>
      </c>
    </row>
    <row r="1059" spans="1:33" x14ac:dyDescent="0.3">
      <c r="A1059" t="s">
        <v>3673</v>
      </c>
      <c r="B1059" s="13">
        <v>45790</v>
      </c>
      <c r="C1059">
        <v>2025</v>
      </c>
      <c r="D1059">
        <v>5</v>
      </c>
      <c r="E1059" t="s">
        <v>3566</v>
      </c>
      <c r="F1059" t="s">
        <v>3329</v>
      </c>
      <c r="G1059" t="s">
        <v>447</v>
      </c>
      <c r="H1059" t="s">
        <v>448</v>
      </c>
      <c r="I1059" t="s">
        <v>85</v>
      </c>
      <c r="J1059">
        <v>32</v>
      </c>
      <c r="K1059" t="s">
        <v>81</v>
      </c>
      <c r="L1059" t="s">
        <v>90</v>
      </c>
      <c r="M1059" t="s">
        <v>55</v>
      </c>
      <c r="N1059" t="s">
        <v>2647</v>
      </c>
      <c r="O1059" t="s">
        <v>133</v>
      </c>
      <c r="P1059" t="s">
        <v>50</v>
      </c>
      <c r="Q1059" t="s">
        <v>145</v>
      </c>
      <c r="R1059">
        <v>4</v>
      </c>
      <c r="S1059">
        <v>799</v>
      </c>
      <c r="T1059">
        <v>0.05</v>
      </c>
      <c r="U1059">
        <v>3036.2</v>
      </c>
      <c r="V1059">
        <v>1560</v>
      </c>
      <c r="W1059">
        <v>1476.2</v>
      </c>
      <c r="X1059" t="s">
        <v>73</v>
      </c>
      <c r="Y1059" t="s">
        <v>69</v>
      </c>
      <c r="Z1059" t="s">
        <v>161</v>
      </c>
      <c r="AA1059" t="s">
        <v>171</v>
      </c>
      <c r="AB1059">
        <v>5</v>
      </c>
      <c r="AC1059">
        <v>80</v>
      </c>
      <c r="AD1059">
        <v>170.1</v>
      </c>
      <c r="AE1059">
        <f t="shared" si="32"/>
        <v>1226.1000000000001</v>
      </c>
      <c r="AF1059" t="str">
        <f t="shared" si="33"/>
        <v>2025-05</v>
      </c>
      <c r="AG1059">
        <f>SUBTOTAL(103,A1059)</f>
        <v>1</v>
      </c>
    </row>
    <row r="1060" spans="1:33" x14ac:dyDescent="0.3">
      <c r="A1060" t="s">
        <v>3674</v>
      </c>
      <c r="B1060" s="13">
        <v>45790</v>
      </c>
      <c r="C1060">
        <v>2025</v>
      </c>
      <c r="D1060">
        <v>5</v>
      </c>
      <c r="E1060" t="s">
        <v>3566</v>
      </c>
      <c r="F1060" t="s">
        <v>3329</v>
      </c>
      <c r="G1060" t="s">
        <v>2249</v>
      </c>
      <c r="H1060" t="s">
        <v>2250</v>
      </c>
      <c r="I1060" t="s">
        <v>85</v>
      </c>
      <c r="J1060">
        <v>47</v>
      </c>
      <c r="K1060" t="s">
        <v>83</v>
      </c>
      <c r="L1060" t="s">
        <v>92</v>
      </c>
      <c r="M1060" t="s">
        <v>59</v>
      </c>
      <c r="N1060" t="s">
        <v>2574</v>
      </c>
      <c r="O1060" t="s">
        <v>130</v>
      </c>
      <c r="P1060" t="s">
        <v>50</v>
      </c>
      <c r="Q1060" t="s">
        <v>53</v>
      </c>
      <c r="R1060">
        <v>3</v>
      </c>
      <c r="S1060">
        <v>1199</v>
      </c>
      <c r="T1060">
        <v>0.1</v>
      </c>
      <c r="U1060">
        <v>3237.3</v>
      </c>
      <c r="V1060">
        <v>1650</v>
      </c>
      <c r="W1060">
        <v>1587.3</v>
      </c>
      <c r="X1060" t="s">
        <v>73</v>
      </c>
      <c r="Y1060" t="s">
        <v>68</v>
      </c>
      <c r="Z1060" t="s">
        <v>161</v>
      </c>
      <c r="AA1060" t="s">
        <v>171</v>
      </c>
      <c r="AB1060">
        <v>4.9000000000000004</v>
      </c>
      <c r="AC1060">
        <v>60</v>
      </c>
      <c r="AD1060">
        <v>192.21</v>
      </c>
      <c r="AE1060">
        <f t="shared" si="32"/>
        <v>1335.09</v>
      </c>
      <c r="AF1060" t="str">
        <f t="shared" si="33"/>
        <v>2025-05</v>
      </c>
      <c r="AG1060">
        <f>SUBTOTAL(103,A1060)</f>
        <v>1</v>
      </c>
    </row>
    <row r="1061" spans="1:33" x14ac:dyDescent="0.3">
      <c r="A1061" t="s">
        <v>3675</v>
      </c>
      <c r="B1061" s="13">
        <v>45790</v>
      </c>
      <c r="C1061">
        <v>2025</v>
      </c>
      <c r="D1061">
        <v>5</v>
      </c>
      <c r="E1061" t="s">
        <v>3566</v>
      </c>
      <c r="F1061" t="s">
        <v>3329</v>
      </c>
      <c r="G1061" t="s">
        <v>1913</v>
      </c>
      <c r="H1061" t="s">
        <v>1914</v>
      </c>
      <c r="I1061" t="s">
        <v>86</v>
      </c>
      <c r="J1061">
        <v>32</v>
      </c>
      <c r="K1061" t="s">
        <v>81</v>
      </c>
      <c r="L1061" t="s">
        <v>2586</v>
      </c>
      <c r="M1061" t="s">
        <v>62</v>
      </c>
      <c r="N1061" t="s">
        <v>2653</v>
      </c>
      <c r="O1061" t="s">
        <v>132</v>
      </c>
      <c r="P1061" t="s">
        <v>52</v>
      </c>
      <c r="Q1061" t="s">
        <v>150</v>
      </c>
      <c r="R1061">
        <v>3</v>
      </c>
      <c r="S1061">
        <v>899</v>
      </c>
      <c r="T1061">
        <v>0.05</v>
      </c>
      <c r="U1061">
        <v>2562.15</v>
      </c>
      <c r="V1061">
        <v>1260</v>
      </c>
      <c r="W1061">
        <v>1302.1500000000001</v>
      </c>
      <c r="X1061" t="s">
        <v>75</v>
      </c>
      <c r="Y1061" t="s">
        <v>68</v>
      </c>
      <c r="Z1061" t="s">
        <v>162</v>
      </c>
      <c r="AA1061" t="s">
        <v>166</v>
      </c>
      <c r="AB1061">
        <v>3.8</v>
      </c>
      <c r="AC1061">
        <v>60</v>
      </c>
      <c r="AD1061">
        <v>144.97</v>
      </c>
      <c r="AE1061">
        <f t="shared" si="32"/>
        <v>1097.18</v>
      </c>
      <c r="AF1061" t="str">
        <f t="shared" si="33"/>
        <v>2025-05</v>
      </c>
      <c r="AG1061">
        <f>SUBTOTAL(103,A1061)</f>
        <v>1</v>
      </c>
    </row>
    <row r="1062" spans="1:33" x14ac:dyDescent="0.3">
      <c r="A1062" t="s">
        <v>3676</v>
      </c>
      <c r="B1062" s="13">
        <v>45790</v>
      </c>
      <c r="C1062">
        <v>2025</v>
      </c>
      <c r="D1062">
        <v>5</v>
      </c>
      <c r="E1062" t="s">
        <v>3566</v>
      </c>
      <c r="F1062" t="s">
        <v>3329</v>
      </c>
      <c r="G1062" t="s">
        <v>1367</v>
      </c>
      <c r="H1062" t="s">
        <v>1368</v>
      </c>
      <c r="I1062" t="s">
        <v>86</v>
      </c>
      <c r="J1062">
        <v>33</v>
      </c>
      <c r="K1062" t="s">
        <v>81</v>
      </c>
      <c r="L1062" t="s">
        <v>2690</v>
      </c>
      <c r="M1062" t="s">
        <v>63</v>
      </c>
      <c r="N1062" t="s">
        <v>2603</v>
      </c>
      <c r="O1062" t="s">
        <v>122</v>
      </c>
      <c r="P1062" t="s">
        <v>48</v>
      </c>
      <c r="Q1062" t="s">
        <v>141</v>
      </c>
      <c r="R1062">
        <v>1</v>
      </c>
      <c r="S1062">
        <v>2499</v>
      </c>
      <c r="T1062">
        <v>0.2</v>
      </c>
      <c r="U1062">
        <v>0</v>
      </c>
      <c r="V1062">
        <v>0</v>
      </c>
      <c r="W1062">
        <v>0</v>
      </c>
      <c r="X1062" t="s">
        <v>75</v>
      </c>
      <c r="Y1062" t="s">
        <v>71</v>
      </c>
      <c r="Z1062" t="s">
        <v>159</v>
      </c>
      <c r="AA1062" t="s">
        <v>167</v>
      </c>
      <c r="AB1062">
        <v>4</v>
      </c>
      <c r="AC1062">
        <v>100</v>
      </c>
      <c r="AD1062">
        <v>178.86</v>
      </c>
      <c r="AE1062">
        <f t="shared" si="32"/>
        <v>-278.86</v>
      </c>
      <c r="AF1062" t="str">
        <f t="shared" si="33"/>
        <v>2025-05</v>
      </c>
      <c r="AG1062">
        <f>SUBTOTAL(103,A1062)</f>
        <v>1</v>
      </c>
    </row>
    <row r="1063" spans="1:33" x14ac:dyDescent="0.3">
      <c r="A1063" t="s">
        <v>3677</v>
      </c>
      <c r="B1063" s="13">
        <v>45790</v>
      </c>
      <c r="C1063">
        <v>2025</v>
      </c>
      <c r="D1063">
        <v>5</v>
      </c>
      <c r="E1063" t="s">
        <v>3566</v>
      </c>
      <c r="F1063" t="s">
        <v>3329</v>
      </c>
      <c r="G1063" t="s">
        <v>1715</v>
      </c>
      <c r="H1063" t="s">
        <v>1716</v>
      </c>
      <c r="I1063" t="s">
        <v>85</v>
      </c>
      <c r="J1063">
        <v>57</v>
      </c>
      <c r="K1063" t="s">
        <v>83</v>
      </c>
      <c r="L1063" t="s">
        <v>2616</v>
      </c>
      <c r="M1063" t="s">
        <v>62</v>
      </c>
      <c r="N1063" t="s">
        <v>2580</v>
      </c>
      <c r="O1063" t="s">
        <v>118</v>
      </c>
      <c r="P1063" t="s">
        <v>48</v>
      </c>
      <c r="Q1063" t="s">
        <v>142</v>
      </c>
      <c r="R1063">
        <v>1</v>
      </c>
      <c r="S1063">
        <v>3999</v>
      </c>
      <c r="T1063">
        <v>0.15</v>
      </c>
      <c r="U1063">
        <v>3399.15</v>
      </c>
      <c r="V1063">
        <v>2400</v>
      </c>
      <c r="W1063">
        <v>999.15</v>
      </c>
      <c r="X1063" t="s">
        <v>75</v>
      </c>
      <c r="Y1063" t="s">
        <v>68</v>
      </c>
      <c r="Z1063" t="s">
        <v>160</v>
      </c>
      <c r="AA1063" t="s">
        <v>167</v>
      </c>
      <c r="AB1063">
        <v>4.7</v>
      </c>
      <c r="AC1063">
        <v>60</v>
      </c>
      <c r="AD1063">
        <v>292.5</v>
      </c>
      <c r="AE1063">
        <f t="shared" si="32"/>
        <v>646.65</v>
      </c>
      <c r="AF1063" t="str">
        <f t="shared" si="33"/>
        <v>2025-05</v>
      </c>
      <c r="AG1063">
        <f>SUBTOTAL(103,A1063)</f>
        <v>1</v>
      </c>
    </row>
    <row r="1064" spans="1:33" x14ac:dyDescent="0.3">
      <c r="A1064" t="s">
        <v>3678</v>
      </c>
      <c r="B1064" s="13">
        <v>45790</v>
      </c>
      <c r="C1064">
        <v>2025</v>
      </c>
      <c r="D1064">
        <v>5</v>
      </c>
      <c r="E1064" t="s">
        <v>3566</v>
      </c>
      <c r="F1064" t="s">
        <v>3329</v>
      </c>
      <c r="G1064" t="s">
        <v>2111</v>
      </c>
      <c r="H1064" t="s">
        <v>2112</v>
      </c>
      <c r="I1064" t="s">
        <v>86</v>
      </c>
      <c r="J1064">
        <v>27</v>
      </c>
      <c r="K1064" t="s">
        <v>81</v>
      </c>
      <c r="L1064" t="s">
        <v>96</v>
      </c>
      <c r="M1064" t="s">
        <v>55</v>
      </c>
      <c r="N1064" t="s">
        <v>2582</v>
      </c>
      <c r="O1064" t="s">
        <v>119</v>
      </c>
      <c r="P1064" t="s">
        <v>49</v>
      </c>
      <c r="Q1064" t="s">
        <v>140</v>
      </c>
      <c r="R1064">
        <v>1</v>
      </c>
      <c r="S1064">
        <v>3499</v>
      </c>
      <c r="T1064">
        <v>0.15</v>
      </c>
      <c r="U1064">
        <v>2974.15</v>
      </c>
      <c r="V1064">
        <v>2100</v>
      </c>
      <c r="W1064">
        <v>874.15</v>
      </c>
      <c r="X1064" t="s">
        <v>76</v>
      </c>
      <c r="Y1064" t="s">
        <v>68</v>
      </c>
      <c r="Z1064" t="s">
        <v>161</v>
      </c>
      <c r="AA1064" t="s">
        <v>170</v>
      </c>
      <c r="AB1064">
        <v>4.8</v>
      </c>
      <c r="AC1064">
        <v>60</v>
      </c>
      <c r="AD1064">
        <v>116.27</v>
      </c>
      <c r="AE1064">
        <f t="shared" si="32"/>
        <v>697.88</v>
      </c>
      <c r="AF1064" t="str">
        <f t="shared" si="33"/>
        <v>2025-05</v>
      </c>
      <c r="AG1064">
        <f>SUBTOTAL(103,A1064)</f>
        <v>1</v>
      </c>
    </row>
    <row r="1065" spans="1:33" x14ac:dyDescent="0.3">
      <c r="A1065" t="s">
        <v>3679</v>
      </c>
      <c r="B1065" s="13">
        <v>45791</v>
      </c>
      <c r="C1065">
        <v>2025</v>
      </c>
      <c r="D1065">
        <v>5</v>
      </c>
      <c r="E1065" t="s">
        <v>3566</v>
      </c>
      <c r="F1065" t="s">
        <v>3329</v>
      </c>
      <c r="G1065" t="s">
        <v>417</v>
      </c>
      <c r="H1065" t="s">
        <v>418</v>
      </c>
      <c r="I1065" t="s">
        <v>85</v>
      </c>
      <c r="J1065">
        <v>47</v>
      </c>
      <c r="K1065" t="s">
        <v>83</v>
      </c>
      <c r="L1065" t="s">
        <v>59</v>
      </c>
      <c r="M1065" t="s">
        <v>59</v>
      </c>
      <c r="N1065" t="s">
        <v>2630</v>
      </c>
      <c r="O1065" t="s">
        <v>123</v>
      </c>
      <c r="P1065" t="s">
        <v>52</v>
      </c>
      <c r="Q1065" t="s">
        <v>146</v>
      </c>
      <c r="R1065">
        <v>5</v>
      </c>
      <c r="S1065">
        <v>2499</v>
      </c>
      <c r="T1065">
        <v>0</v>
      </c>
      <c r="U1065">
        <v>12495</v>
      </c>
      <c r="V1065">
        <v>7000</v>
      </c>
      <c r="W1065">
        <v>5495</v>
      </c>
      <c r="X1065" t="s">
        <v>76</v>
      </c>
      <c r="Y1065" t="s">
        <v>69</v>
      </c>
      <c r="Z1065" t="s">
        <v>158</v>
      </c>
      <c r="AA1065" t="s">
        <v>168</v>
      </c>
      <c r="AB1065">
        <v>3.7</v>
      </c>
      <c r="AC1065">
        <v>50</v>
      </c>
      <c r="AD1065">
        <v>1422.47</v>
      </c>
      <c r="AE1065">
        <f t="shared" si="32"/>
        <v>4022.5299999999997</v>
      </c>
      <c r="AF1065" t="str">
        <f t="shared" si="33"/>
        <v>2025-05</v>
      </c>
      <c r="AG1065">
        <f>SUBTOTAL(103,A1065)</f>
        <v>1</v>
      </c>
    </row>
    <row r="1066" spans="1:33" x14ac:dyDescent="0.3">
      <c r="A1066" t="s">
        <v>3680</v>
      </c>
      <c r="B1066" s="13">
        <v>45791</v>
      </c>
      <c r="C1066">
        <v>2025</v>
      </c>
      <c r="D1066">
        <v>5</v>
      </c>
      <c r="E1066" t="s">
        <v>3566</v>
      </c>
      <c r="F1066" t="s">
        <v>3329</v>
      </c>
      <c r="G1066" t="s">
        <v>833</v>
      </c>
      <c r="H1066" t="s">
        <v>834</v>
      </c>
      <c r="I1066" t="s">
        <v>85</v>
      </c>
      <c r="J1066">
        <v>30</v>
      </c>
      <c r="K1066" t="s">
        <v>81</v>
      </c>
      <c r="L1066" t="s">
        <v>2623</v>
      </c>
      <c r="M1066" t="s">
        <v>61</v>
      </c>
      <c r="N1066" t="s">
        <v>2580</v>
      </c>
      <c r="O1066" t="s">
        <v>118</v>
      </c>
      <c r="P1066" t="s">
        <v>48</v>
      </c>
      <c r="Q1066" t="s">
        <v>142</v>
      </c>
      <c r="R1066">
        <v>1</v>
      </c>
      <c r="S1066">
        <v>3999</v>
      </c>
      <c r="T1066">
        <v>0.1</v>
      </c>
      <c r="U1066">
        <v>3599.1</v>
      </c>
      <c r="V1066">
        <v>2400</v>
      </c>
      <c r="W1066">
        <v>1199.0999999999999</v>
      </c>
      <c r="X1066" t="s">
        <v>76</v>
      </c>
      <c r="Y1066" t="s">
        <v>68</v>
      </c>
      <c r="Z1066" t="s">
        <v>162</v>
      </c>
      <c r="AA1066" t="s">
        <v>167</v>
      </c>
      <c r="AB1066">
        <v>3.6</v>
      </c>
      <c r="AC1066">
        <v>80</v>
      </c>
      <c r="AD1066">
        <v>129.62</v>
      </c>
      <c r="AE1066">
        <f t="shared" si="32"/>
        <v>989.4799999999999</v>
      </c>
      <c r="AF1066" t="str">
        <f t="shared" si="33"/>
        <v>2025-05</v>
      </c>
      <c r="AG1066">
        <f>SUBTOTAL(103,A1066)</f>
        <v>1</v>
      </c>
    </row>
    <row r="1067" spans="1:33" x14ac:dyDescent="0.3">
      <c r="A1067" t="s">
        <v>3681</v>
      </c>
      <c r="B1067" s="13">
        <v>45791</v>
      </c>
      <c r="C1067">
        <v>2025</v>
      </c>
      <c r="D1067">
        <v>5</v>
      </c>
      <c r="E1067" t="s">
        <v>3566</v>
      </c>
      <c r="F1067" t="s">
        <v>3329</v>
      </c>
      <c r="G1067" t="s">
        <v>691</v>
      </c>
      <c r="H1067" t="s">
        <v>692</v>
      </c>
      <c r="I1067" t="s">
        <v>86</v>
      </c>
      <c r="J1067">
        <v>32</v>
      </c>
      <c r="K1067" t="s">
        <v>81</v>
      </c>
      <c r="L1067" t="s">
        <v>59</v>
      </c>
      <c r="M1067" t="s">
        <v>59</v>
      </c>
      <c r="N1067" t="s">
        <v>2574</v>
      </c>
      <c r="O1067" t="s">
        <v>130</v>
      </c>
      <c r="P1067" t="s">
        <v>50</v>
      </c>
      <c r="Q1067" t="s">
        <v>53</v>
      </c>
      <c r="R1067">
        <v>3</v>
      </c>
      <c r="S1067">
        <v>1199</v>
      </c>
      <c r="T1067">
        <v>0</v>
      </c>
      <c r="U1067">
        <v>3597</v>
      </c>
      <c r="V1067">
        <v>1650</v>
      </c>
      <c r="W1067">
        <v>1947</v>
      </c>
      <c r="X1067" t="s">
        <v>76</v>
      </c>
      <c r="Y1067" t="s">
        <v>68</v>
      </c>
      <c r="Z1067" t="s">
        <v>159</v>
      </c>
      <c r="AA1067" t="s">
        <v>168</v>
      </c>
      <c r="AB1067">
        <v>4.2</v>
      </c>
      <c r="AC1067">
        <v>40</v>
      </c>
      <c r="AD1067">
        <v>78.53</v>
      </c>
      <c r="AE1067">
        <f t="shared" si="32"/>
        <v>1828.47</v>
      </c>
      <c r="AF1067" t="str">
        <f t="shared" si="33"/>
        <v>2025-05</v>
      </c>
      <c r="AG1067">
        <f>SUBTOTAL(103,A1067)</f>
        <v>1</v>
      </c>
    </row>
    <row r="1068" spans="1:33" x14ac:dyDescent="0.3">
      <c r="A1068" t="s">
        <v>3682</v>
      </c>
      <c r="B1068" s="13">
        <v>45791</v>
      </c>
      <c r="C1068">
        <v>2025</v>
      </c>
      <c r="D1068">
        <v>5</v>
      </c>
      <c r="E1068" t="s">
        <v>3566</v>
      </c>
      <c r="F1068" t="s">
        <v>3329</v>
      </c>
      <c r="G1068" t="s">
        <v>1247</v>
      </c>
      <c r="H1068" t="s">
        <v>1248</v>
      </c>
      <c r="I1068" t="s">
        <v>85</v>
      </c>
      <c r="J1068">
        <v>53</v>
      </c>
      <c r="K1068" t="s">
        <v>83</v>
      </c>
      <c r="L1068" t="s">
        <v>2679</v>
      </c>
      <c r="M1068" t="s">
        <v>60</v>
      </c>
      <c r="N1068" t="s">
        <v>2590</v>
      </c>
      <c r="O1068" t="s">
        <v>127</v>
      </c>
      <c r="P1068" t="s">
        <v>51</v>
      </c>
      <c r="Q1068" t="s">
        <v>148</v>
      </c>
      <c r="R1068">
        <v>1</v>
      </c>
      <c r="S1068">
        <v>1599</v>
      </c>
      <c r="T1068">
        <v>0.05</v>
      </c>
      <c r="U1068">
        <v>1519.05</v>
      </c>
      <c r="V1068">
        <v>800</v>
      </c>
      <c r="W1068">
        <v>719.05</v>
      </c>
      <c r="X1068" t="s">
        <v>75</v>
      </c>
      <c r="Y1068" t="s">
        <v>68</v>
      </c>
      <c r="Z1068" t="s">
        <v>162</v>
      </c>
      <c r="AA1068" t="s">
        <v>167</v>
      </c>
      <c r="AB1068">
        <v>3.9</v>
      </c>
      <c r="AC1068">
        <v>80</v>
      </c>
      <c r="AD1068">
        <v>86.22</v>
      </c>
      <c r="AE1068">
        <f t="shared" si="32"/>
        <v>552.82999999999993</v>
      </c>
      <c r="AF1068" t="str">
        <f t="shared" si="33"/>
        <v>2025-05</v>
      </c>
      <c r="AG1068">
        <f>SUBTOTAL(103,A1068)</f>
        <v>1</v>
      </c>
    </row>
    <row r="1069" spans="1:33" x14ac:dyDescent="0.3">
      <c r="A1069" t="s">
        <v>3683</v>
      </c>
      <c r="B1069" s="13">
        <v>45791</v>
      </c>
      <c r="C1069">
        <v>2025</v>
      </c>
      <c r="D1069">
        <v>5</v>
      </c>
      <c r="E1069" t="s">
        <v>3566</v>
      </c>
      <c r="F1069" t="s">
        <v>3329</v>
      </c>
      <c r="G1069" t="s">
        <v>921</v>
      </c>
      <c r="H1069" t="s">
        <v>922</v>
      </c>
      <c r="I1069" t="s">
        <v>85</v>
      </c>
      <c r="J1069">
        <v>38</v>
      </c>
      <c r="K1069" t="s">
        <v>82</v>
      </c>
      <c r="L1069" t="s">
        <v>96</v>
      </c>
      <c r="M1069" t="s">
        <v>55</v>
      </c>
      <c r="N1069" t="s">
        <v>2647</v>
      </c>
      <c r="O1069" t="s">
        <v>133</v>
      </c>
      <c r="P1069" t="s">
        <v>50</v>
      </c>
      <c r="Q1069" t="s">
        <v>145</v>
      </c>
      <c r="R1069">
        <v>2</v>
      </c>
      <c r="S1069">
        <v>799</v>
      </c>
      <c r="T1069">
        <v>0.05</v>
      </c>
      <c r="U1069">
        <v>1518.1</v>
      </c>
      <c r="V1069">
        <v>780</v>
      </c>
      <c r="W1069">
        <v>738.1</v>
      </c>
      <c r="X1069" t="s">
        <v>73</v>
      </c>
      <c r="Y1069" t="s">
        <v>68</v>
      </c>
      <c r="Z1069" t="s">
        <v>158</v>
      </c>
      <c r="AA1069" t="s">
        <v>166</v>
      </c>
      <c r="AB1069">
        <v>4.8</v>
      </c>
      <c r="AC1069">
        <v>60</v>
      </c>
      <c r="AD1069">
        <v>178.05</v>
      </c>
      <c r="AE1069">
        <f t="shared" si="32"/>
        <v>500.05</v>
      </c>
      <c r="AF1069" t="str">
        <f t="shared" si="33"/>
        <v>2025-05</v>
      </c>
      <c r="AG1069">
        <f>SUBTOTAL(103,A1069)</f>
        <v>1</v>
      </c>
    </row>
    <row r="1070" spans="1:33" x14ac:dyDescent="0.3">
      <c r="A1070" t="s">
        <v>3684</v>
      </c>
      <c r="B1070" s="13">
        <v>45791</v>
      </c>
      <c r="C1070">
        <v>2025</v>
      </c>
      <c r="D1070">
        <v>5</v>
      </c>
      <c r="E1070" t="s">
        <v>3566</v>
      </c>
      <c r="F1070" t="s">
        <v>3329</v>
      </c>
      <c r="G1070" t="s">
        <v>637</v>
      </c>
      <c r="H1070" t="s">
        <v>638</v>
      </c>
      <c r="I1070" t="s">
        <v>86</v>
      </c>
      <c r="J1070">
        <v>57</v>
      </c>
      <c r="K1070" t="s">
        <v>83</v>
      </c>
      <c r="L1070" t="s">
        <v>91</v>
      </c>
      <c r="M1070" t="s">
        <v>55</v>
      </c>
      <c r="N1070" t="s">
        <v>2590</v>
      </c>
      <c r="O1070" t="s">
        <v>127</v>
      </c>
      <c r="P1070" t="s">
        <v>51</v>
      </c>
      <c r="Q1070" t="s">
        <v>148</v>
      </c>
      <c r="R1070">
        <v>3</v>
      </c>
      <c r="S1070">
        <v>1599</v>
      </c>
      <c r="T1070">
        <v>0</v>
      </c>
      <c r="U1070">
        <v>4797</v>
      </c>
      <c r="V1070">
        <v>2400</v>
      </c>
      <c r="W1070">
        <v>2397</v>
      </c>
      <c r="X1070" t="s">
        <v>76</v>
      </c>
      <c r="Y1070" t="s">
        <v>68</v>
      </c>
      <c r="Z1070" t="s">
        <v>158</v>
      </c>
      <c r="AA1070" t="s">
        <v>166</v>
      </c>
      <c r="AB1070">
        <v>4</v>
      </c>
      <c r="AC1070">
        <v>60</v>
      </c>
      <c r="AD1070">
        <v>150.52000000000001</v>
      </c>
      <c r="AE1070">
        <f t="shared" si="32"/>
        <v>2186.48</v>
      </c>
      <c r="AF1070" t="str">
        <f t="shared" si="33"/>
        <v>2025-05</v>
      </c>
      <c r="AG1070">
        <f>SUBTOTAL(103,A1070)</f>
        <v>1</v>
      </c>
    </row>
    <row r="1071" spans="1:33" x14ac:dyDescent="0.3">
      <c r="A1071" t="s">
        <v>3685</v>
      </c>
      <c r="B1071" s="13">
        <v>45791</v>
      </c>
      <c r="C1071">
        <v>2025</v>
      </c>
      <c r="D1071">
        <v>5</v>
      </c>
      <c r="E1071" t="s">
        <v>3566</v>
      </c>
      <c r="F1071" t="s">
        <v>3329</v>
      </c>
      <c r="G1071" t="s">
        <v>2023</v>
      </c>
      <c r="H1071" t="s">
        <v>2024</v>
      </c>
      <c r="I1071" t="s">
        <v>85</v>
      </c>
      <c r="J1071">
        <v>25</v>
      </c>
      <c r="K1071" t="s">
        <v>80</v>
      </c>
      <c r="L1071" t="s">
        <v>2573</v>
      </c>
      <c r="M1071" t="s">
        <v>63</v>
      </c>
      <c r="N1071" t="s">
        <v>2647</v>
      </c>
      <c r="O1071" t="s">
        <v>133</v>
      </c>
      <c r="P1071" t="s">
        <v>50</v>
      </c>
      <c r="Q1071" t="s">
        <v>145</v>
      </c>
      <c r="R1071">
        <v>2</v>
      </c>
      <c r="S1071">
        <v>799</v>
      </c>
      <c r="T1071">
        <v>0.05</v>
      </c>
      <c r="U1071">
        <v>1518.1</v>
      </c>
      <c r="V1071">
        <v>780</v>
      </c>
      <c r="W1071">
        <v>738.1</v>
      </c>
      <c r="X1071" t="s">
        <v>73</v>
      </c>
      <c r="Y1071" t="s">
        <v>68</v>
      </c>
      <c r="Z1071" t="s">
        <v>158</v>
      </c>
      <c r="AA1071" t="s">
        <v>171</v>
      </c>
      <c r="AB1071">
        <v>5</v>
      </c>
      <c r="AC1071">
        <v>50</v>
      </c>
      <c r="AD1071">
        <v>68.739999999999995</v>
      </c>
      <c r="AE1071">
        <f t="shared" si="32"/>
        <v>619.36</v>
      </c>
      <c r="AF1071" t="str">
        <f t="shared" si="33"/>
        <v>2025-05</v>
      </c>
      <c r="AG1071">
        <f>SUBTOTAL(103,A1071)</f>
        <v>1</v>
      </c>
    </row>
    <row r="1072" spans="1:33" x14ac:dyDescent="0.3">
      <c r="A1072" t="s">
        <v>3686</v>
      </c>
      <c r="B1072" s="13">
        <v>45791</v>
      </c>
      <c r="C1072">
        <v>2025</v>
      </c>
      <c r="D1072">
        <v>5</v>
      </c>
      <c r="E1072" t="s">
        <v>3566</v>
      </c>
      <c r="F1072" t="s">
        <v>3329</v>
      </c>
      <c r="G1072" t="s">
        <v>199</v>
      </c>
      <c r="H1072" t="s">
        <v>200</v>
      </c>
      <c r="I1072" t="s">
        <v>86</v>
      </c>
      <c r="J1072">
        <v>52</v>
      </c>
      <c r="K1072" t="s">
        <v>83</v>
      </c>
      <c r="L1072" t="s">
        <v>96</v>
      </c>
      <c r="M1072" t="s">
        <v>55</v>
      </c>
      <c r="N1072" t="s">
        <v>2587</v>
      </c>
      <c r="O1072" t="s">
        <v>116</v>
      </c>
      <c r="P1072" t="s">
        <v>48</v>
      </c>
      <c r="Q1072" t="s">
        <v>138</v>
      </c>
      <c r="R1072">
        <v>3</v>
      </c>
      <c r="S1072">
        <v>14999</v>
      </c>
      <c r="T1072">
        <v>0.1</v>
      </c>
      <c r="U1072">
        <v>40497.300000000003</v>
      </c>
      <c r="V1072">
        <v>33600</v>
      </c>
      <c r="W1072">
        <v>6897.3</v>
      </c>
      <c r="X1072" t="s">
        <v>73</v>
      </c>
      <c r="Y1072" t="s">
        <v>68</v>
      </c>
      <c r="Z1072" t="s">
        <v>159</v>
      </c>
      <c r="AA1072" t="s">
        <v>170</v>
      </c>
      <c r="AB1072">
        <v>4.3</v>
      </c>
      <c r="AC1072">
        <v>60</v>
      </c>
      <c r="AD1072">
        <v>2097.5300000000002</v>
      </c>
      <c r="AE1072">
        <f t="shared" si="32"/>
        <v>4739.7700000000004</v>
      </c>
      <c r="AF1072" t="str">
        <f t="shared" si="33"/>
        <v>2025-05</v>
      </c>
      <c r="AG1072">
        <f>SUBTOTAL(103,A1072)</f>
        <v>1</v>
      </c>
    </row>
    <row r="1073" spans="1:33" x14ac:dyDescent="0.3">
      <c r="A1073" t="s">
        <v>3687</v>
      </c>
      <c r="B1073" s="13">
        <v>45791</v>
      </c>
      <c r="C1073">
        <v>2025</v>
      </c>
      <c r="D1073">
        <v>5</v>
      </c>
      <c r="E1073" t="s">
        <v>3566</v>
      </c>
      <c r="F1073" t="s">
        <v>3329</v>
      </c>
      <c r="G1073" t="s">
        <v>387</v>
      </c>
      <c r="H1073" t="s">
        <v>388</v>
      </c>
      <c r="I1073" t="s">
        <v>86</v>
      </c>
      <c r="J1073">
        <v>30</v>
      </c>
      <c r="K1073" t="s">
        <v>81</v>
      </c>
      <c r="L1073" t="s">
        <v>2579</v>
      </c>
      <c r="M1073" t="s">
        <v>56</v>
      </c>
      <c r="N1073" t="s">
        <v>2590</v>
      </c>
      <c r="O1073" t="s">
        <v>127</v>
      </c>
      <c r="P1073" t="s">
        <v>51</v>
      </c>
      <c r="Q1073" t="s">
        <v>148</v>
      </c>
      <c r="R1073">
        <v>2</v>
      </c>
      <c r="S1073">
        <v>1599</v>
      </c>
      <c r="T1073">
        <v>0.2</v>
      </c>
      <c r="U1073">
        <v>2558.4</v>
      </c>
      <c r="V1073">
        <v>1600</v>
      </c>
      <c r="W1073">
        <v>958.4</v>
      </c>
      <c r="X1073" t="s">
        <v>73</v>
      </c>
      <c r="Y1073" t="s">
        <v>68</v>
      </c>
      <c r="Z1073" t="s">
        <v>158</v>
      </c>
      <c r="AA1073" t="s">
        <v>166</v>
      </c>
      <c r="AB1073">
        <v>3.8</v>
      </c>
      <c r="AC1073">
        <v>50</v>
      </c>
      <c r="AD1073">
        <v>123.38</v>
      </c>
      <c r="AE1073">
        <f t="shared" si="32"/>
        <v>785.02</v>
      </c>
      <c r="AF1073" t="str">
        <f t="shared" si="33"/>
        <v>2025-05</v>
      </c>
      <c r="AG1073">
        <f>SUBTOTAL(103,A1073)</f>
        <v>1</v>
      </c>
    </row>
    <row r="1074" spans="1:33" x14ac:dyDescent="0.3">
      <c r="A1074" t="s">
        <v>3688</v>
      </c>
      <c r="B1074" s="13">
        <v>45792</v>
      </c>
      <c r="C1074">
        <v>2025</v>
      </c>
      <c r="D1074">
        <v>5</v>
      </c>
      <c r="E1074" t="s">
        <v>3566</v>
      </c>
      <c r="F1074" t="s">
        <v>3329</v>
      </c>
      <c r="G1074" t="s">
        <v>211</v>
      </c>
      <c r="H1074" t="s">
        <v>212</v>
      </c>
      <c r="I1074" t="s">
        <v>85</v>
      </c>
      <c r="J1074">
        <v>31</v>
      </c>
      <c r="K1074" t="s">
        <v>81</v>
      </c>
      <c r="L1074" t="s">
        <v>2610</v>
      </c>
      <c r="M1074" t="s">
        <v>64</v>
      </c>
      <c r="N1074" t="s">
        <v>2592</v>
      </c>
      <c r="O1074" t="s">
        <v>115</v>
      </c>
      <c r="P1074" t="s">
        <v>48</v>
      </c>
      <c r="Q1074" t="s">
        <v>137</v>
      </c>
      <c r="R1074">
        <v>3</v>
      </c>
      <c r="S1074">
        <v>12999</v>
      </c>
      <c r="T1074">
        <v>0.05</v>
      </c>
      <c r="U1074">
        <v>37047.15</v>
      </c>
      <c r="V1074">
        <v>27000</v>
      </c>
      <c r="W1074">
        <v>10047.15</v>
      </c>
      <c r="X1074" t="s">
        <v>73</v>
      </c>
      <c r="Y1074" t="s">
        <v>69</v>
      </c>
      <c r="Z1074" t="s">
        <v>163</v>
      </c>
      <c r="AA1074" t="s">
        <v>170</v>
      </c>
      <c r="AB1074">
        <v>3.8</v>
      </c>
      <c r="AC1074">
        <v>50</v>
      </c>
      <c r="AD1074">
        <v>1199.0999999999999</v>
      </c>
      <c r="AE1074">
        <f t="shared" si="32"/>
        <v>8798.0499999999993</v>
      </c>
      <c r="AF1074" t="str">
        <f t="shared" si="33"/>
        <v>2025-05</v>
      </c>
      <c r="AG1074">
        <f>SUBTOTAL(103,A1074)</f>
        <v>1</v>
      </c>
    </row>
    <row r="1075" spans="1:33" x14ac:dyDescent="0.3">
      <c r="A1075" t="s">
        <v>3689</v>
      </c>
      <c r="B1075" s="13">
        <v>45792</v>
      </c>
      <c r="C1075">
        <v>2025</v>
      </c>
      <c r="D1075">
        <v>5</v>
      </c>
      <c r="E1075" t="s">
        <v>3566</v>
      </c>
      <c r="F1075" t="s">
        <v>3329</v>
      </c>
      <c r="G1075" t="s">
        <v>771</v>
      </c>
      <c r="H1075" t="s">
        <v>772</v>
      </c>
      <c r="I1075" t="s">
        <v>85</v>
      </c>
      <c r="J1075">
        <v>44</v>
      </c>
      <c r="K1075" t="s">
        <v>82</v>
      </c>
      <c r="L1075" t="s">
        <v>2661</v>
      </c>
      <c r="M1075" t="s">
        <v>58</v>
      </c>
      <c r="N1075" t="s">
        <v>2596</v>
      </c>
      <c r="O1075" t="s">
        <v>124</v>
      </c>
      <c r="P1075" t="s">
        <v>51</v>
      </c>
      <c r="Q1075" t="s">
        <v>147</v>
      </c>
      <c r="R1075">
        <v>5</v>
      </c>
      <c r="S1075">
        <v>2299</v>
      </c>
      <c r="T1075">
        <v>0.1</v>
      </c>
      <c r="U1075">
        <v>10345.5</v>
      </c>
      <c r="V1075">
        <v>6000</v>
      </c>
      <c r="W1075">
        <v>4345.5</v>
      </c>
      <c r="X1075" t="s">
        <v>73</v>
      </c>
      <c r="Y1075" t="s">
        <v>70</v>
      </c>
      <c r="Z1075" t="s">
        <v>159</v>
      </c>
      <c r="AA1075" t="s">
        <v>168</v>
      </c>
      <c r="AB1075">
        <v>4.4000000000000004</v>
      </c>
      <c r="AC1075">
        <v>120</v>
      </c>
      <c r="AD1075">
        <v>888.6</v>
      </c>
      <c r="AE1075">
        <f t="shared" si="32"/>
        <v>3336.9</v>
      </c>
      <c r="AF1075" t="str">
        <f t="shared" si="33"/>
        <v>2025-05</v>
      </c>
      <c r="AG1075">
        <f>SUBTOTAL(103,A1075)</f>
        <v>1</v>
      </c>
    </row>
    <row r="1076" spans="1:33" x14ac:dyDescent="0.3">
      <c r="A1076" t="s">
        <v>3690</v>
      </c>
      <c r="B1076" s="13">
        <v>45792</v>
      </c>
      <c r="C1076">
        <v>2025</v>
      </c>
      <c r="D1076">
        <v>5</v>
      </c>
      <c r="E1076" t="s">
        <v>3566</v>
      </c>
      <c r="F1076" t="s">
        <v>3329</v>
      </c>
      <c r="G1076" t="s">
        <v>1649</v>
      </c>
      <c r="H1076" t="s">
        <v>1650</v>
      </c>
      <c r="I1076" t="s">
        <v>85</v>
      </c>
      <c r="J1076">
        <v>45</v>
      </c>
      <c r="K1076" t="s">
        <v>82</v>
      </c>
      <c r="L1076" t="s">
        <v>2605</v>
      </c>
      <c r="M1076" t="s">
        <v>60</v>
      </c>
      <c r="N1076" t="s">
        <v>2657</v>
      </c>
      <c r="O1076" t="s">
        <v>134</v>
      </c>
      <c r="P1076" t="s">
        <v>49</v>
      </c>
      <c r="Q1076" t="s">
        <v>140</v>
      </c>
      <c r="R1076">
        <v>3</v>
      </c>
      <c r="S1076">
        <v>599</v>
      </c>
      <c r="T1076">
        <v>0</v>
      </c>
      <c r="U1076">
        <v>1797</v>
      </c>
      <c r="V1076">
        <v>750</v>
      </c>
      <c r="W1076">
        <v>1047</v>
      </c>
      <c r="X1076" t="s">
        <v>74</v>
      </c>
      <c r="Y1076" t="s">
        <v>68</v>
      </c>
      <c r="Z1076" t="s">
        <v>162</v>
      </c>
      <c r="AA1076" t="s">
        <v>168</v>
      </c>
      <c r="AB1076">
        <v>3.1</v>
      </c>
      <c r="AC1076">
        <v>50</v>
      </c>
      <c r="AD1076">
        <v>80.010000000000005</v>
      </c>
      <c r="AE1076">
        <f t="shared" si="32"/>
        <v>916.99</v>
      </c>
      <c r="AF1076" t="str">
        <f t="shared" si="33"/>
        <v>2025-05</v>
      </c>
      <c r="AG1076">
        <f>SUBTOTAL(103,A1076)</f>
        <v>1</v>
      </c>
    </row>
    <row r="1077" spans="1:33" x14ac:dyDescent="0.3">
      <c r="A1077" t="s">
        <v>3691</v>
      </c>
      <c r="B1077" s="13">
        <v>45792</v>
      </c>
      <c r="C1077">
        <v>2025</v>
      </c>
      <c r="D1077">
        <v>5</v>
      </c>
      <c r="E1077" t="s">
        <v>3566</v>
      </c>
      <c r="F1077" t="s">
        <v>3329</v>
      </c>
      <c r="G1077" t="s">
        <v>481</v>
      </c>
      <c r="H1077" t="s">
        <v>482</v>
      </c>
      <c r="I1077" t="s">
        <v>85</v>
      </c>
      <c r="J1077">
        <v>52</v>
      </c>
      <c r="K1077" t="s">
        <v>83</v>
      </c>
      <c r="L1077" t="s">
        <v>99</v>
      </c>
      <c r="M1077" t="s">
        <v>58</v>
      </c>
      <c r="N1077" t="s">
        <v>2590</v>
      </c>
      <c r="O1077" t="s">
        <v>127</v>
      </c>
      <c r="P1077" t="s">
        <v>51</v>
      </c>
      <c r="Q1077" t="s">
        <v>148</v>
      </c>
      <c r="R1077">
        <v>2</v>
      </c>
      <c r="S1077">
        <v>1599</v>
      </c>
      <c r="T1077">
        <v>0.1</v>
      </c>
      <c r="U1077">
        <v>2878.2</v>
      </c>
      <c r="V1077">
        <v>1600</v>
      </c>
      <c r="W1077">
        <v>1278.2</v>
      </c>
      <c r="X1077" t="s">
        <v>73</v>
      </c>
      <c r="Y1077" t="s">
        <v>68</v>
      </c>
      <c r="Z1077" t="s">
        <v>159</v>
      </c>
      <c r="AA1077" t="s">
        <v>171</v>
      </c>
      <c r="AB1077">
        <v>3.7</v>
      </c>
      <c r="AC1077">
        <v>80</v>
      </c>
      <c r="AD1077">
        <v>126.52</v>
      </c>
      <c r="AE1077">
        <f t="shared" si="32"/>
        <v>1071.68</v>
      </c>
      <c r="AF1077" t="str">
        <f t="shared" si="33"/>
        <v>2025-05</v>
      </c>
      <c r="AG1077">
        <f>SUBTOTAL(103,A1077)</f>
        <v>1</v>
      </c>
    </row>
    <row r="1078" spans="1:33" x14ac:dyDescent="0.3">
      <c r="A1078" t="s">
        <v>3692</v>
      </c>
      <c r="B1078" s="13">
        <v>45792</v>
      </c>
      <c r="C1078">
        <v>2025</v>
      </c>
      <c r="D1078">
        <v>5</v>
      </c>
      <c r="E1078" t="s">
        <v>3566</v>
      </c>
      <c r="F1078" t="s">
        <v>3329</v>
      </c>
      <c r="G1078" t="s">
        <v>1027</v>
      </c>
      <c r="H1078" t="s">
        <v>1028</v>
      </c>
      <c r="I1078" t="s">
        <v>85</v>
      </c>
      <c r="J1078">
        <v>45</v>
      </c>
      <c r="K1078" t="s">
        <v>82</v>
      </c>
      <c r="L1078" t="s">
        <v>98</v>
      </c>
      <c r="M1078" t="s">
        <v>55</v>
      </c>
      <c r="N1078" t="s">
        <v>2601</v>
      </c>
      <c r="O1078" t="s">
        <v>117</v>
      </c>
      <c r="P1078" t="s">
        <v>49</v>
      </c>
      <c r="Q1078" t="s">
        <v>139</v>
      </c>
      <c r="R1078">
        <v>2</v>
      </c>
      <c r="S1078">
        <v>6999</v>
      </c>
      <c r="T1078">
        <v>0.05</v>
      </c>
      <c r="U1078">
        <v>13298.1</v>
      </c>
      <c r="V1078">
        <v>8600</v>
      </c>
      <c r="W1078">
        <v>4698.1000000000004</v>
      </c>
      <c r="X1078" t="s">
        <v>73</v>
      </c>
      <c r="Y1078" t="s">
        <v>68</v>
      </c>
      <c r="Z1078" t="s">
        <v>159</v>
      </c>
      <c r="AA1078" t="s">
        <v>166</v>
      </c>
      <c r="AB1078">
        <v>4.8</v>
      </c>
      <c r="AC1078">
        <v>100</v>
      </c>
      <c r="AD1078">
        <v>753.9</v>
      </c>
      <c r="AE1078">
        <f t="shared" si="32"/>
        <v>3844.2000000000003</v>
      </c>
      <c r="AF1078" t="str">
        <f t="shared" si="33"/>
        <v>2025-05</v>
      </c>
      <c r="AG1078">
        <f>SUBTOTAL(103,A1078)</f>
        <v>1</v>
      </c>
    </row>
    <row r="1079" spans="1:33" x14ac:dyDescent="0.3">
      <c r="A1079" t="s">
        <v>3693</v>
      </c>
      <c r="B1079" s="13">
        <v>45792</v>
      </c>
      <c r="C1079">
        <v>2025</v>
      </c>
      <c r="D1079">
        <v>5</v>
      </c>
      <c r="E1079" t="s">
        <v>3566</v>
      </c>
      <c r="F1079" t="s">
        <v>3329</v>
      </c>
      <c r="G1079" t="s">
        <v>2095</v>
      </c>
      <c r="H1079" t="s">
        <v>2096</v>
      </c>
      <c r="I1079" t="s">
        <v>85</v>
      </c>
      <c r="J1079">
        <v>38</v>
      </c>
      <c r="K1079" t="s">
        <v>82</v>
      </c>
      <c r="L1079" t="s">
        <v>91</v>
      </c>
      <c r="M1079" t="s">
        <v>55</v>
      </c>
      <c r="N1079" t="s">
        <v>2657</v>
      </c>
      <c r="O1079" t="s">
        <v>134</v>
      </c>
      <c r="P1079" t="s">
        <v>49</v>
      </c>
      <c r="Q1079" t="s">
        <v>140</v>
      </c>
      <c r="R1079">
        <v>4</v>
      </c>
      <c r="S1079">
        <v>599</v>
      </c>
      <c r="T1079">
        <v>0</v>
      </c>
      <c r="U1079">
        <v>2396</v>
      </c>
      <c r="V1079">
        <v>1000</v>
      </c>
      <c r="W1079">
        <v>1396</v>
      </c>
      <c r="X1079" t="s">
        <v>74</v>
      </c>
      <c r="Y1079" t="s">
        <v>68</v>
      </c>
      <c r="Z1079" t="s">
        <v>160</v>
      </c>
      <c r="AA1079" t="s">
        <v>169</v>
      </c>
      <c r="AB1079">
        <v>4.3</v>
      </c>
      <c r="AC1079">
        <v>80</v>
      </c>
      <c r="AD1079">
        <v>192.97</v>
      </c>
      <c r="AE1079">
        <f t="shared" si="32"/>
        <v>1123.03</v>
      </c>
      <c r="AF1079" t="str">
        <f t="shared" si="33"/>
        <v>2025-05</v>
      </c>
      <c r="AG1079">
        <f>SUBTOTAL(103,A1079)</f>
        <v>1</v>
      </c>
    </row>
    <row r="1080" spans="1:33" x14ac:dyDescent="0.3">
      <c r="A1080" t="s">
        <v>3694</v>
      </c>
      <c r="B1080" s="13">
        <v>45793</v>
      </c>
      <c r="C1080">
        <v>2025</v>
      </c>
      <c r="D1080">
        <v>5</v>
      </c>
      <c r="E1080" t="s">
        <v>3566</v>
      </c>
      <c r="F1080" t="s">
        <v>3329</v>
      </c>
      <c r="G1080" t="s">
        <v>1379</v>
      </c>
      <c r="H1080" t="s">
        <v>1380</v>
      </c>
      <c r="I1080" t="s">
        <v>85</v>
      </c>
      <c r="J1080">
        <v>28</v>
      </c>
      <c r="K1080" t="s">
        <v>81</v>
      </c>
      <c r="L1080" t="s">
        <v>2616</v>
      </c>
      <c r="M1080" t="s">
        <v>62</v>
      </c>
      <c r="N1080" t="s">
        <v>2653</v>
      </c>
      <c r="O1080" t="s">
        <v>132</v>
      </c>
      <c r="P1080" t="s">
        <v>52</v>
      </c>
      <c r="Q1080" t="s">
        <v>150</v>
      </c>
      <c r="R1080">
        <v>3</v>
      </c>
      <c r="S1080">
        <v>899</v>
      </c>
      <c r="T1080">
        <v>0.05</v>
      </c>
      <c r="U1080">
        <v>2562.15</v>
      </c>
      <c r="V1080">
        <v>1260</v>
      </c>
      <c r="W1080">
        <v>1302.1500000000001</v>
      </c>
      <c r="X1080" t="s">
        <v>73</v>
      </c>
      <c r="Y1080" t="s">
        <v>68</v>
      </c>
      <c r="Z1080" t="s">
        <v>161</v>
      </c>
      <c r="AA1080" t="s">
        <v>167</v>
      </c>
      <c r="AB1080">
        <v>4</v>
      </c>
      <c r="AC1080">
        <v>50</v>
      </c>
      <c r="AD1080">
        <v>184.99</v>
      </c>
      <c r="AE1080">
        <f t="shared" si="32"/>
        <v>1067.1600000000001</v>
      </c>
      <c r="AF1080" t="str">
        <f t="shared" si="33"/>
        <v>2025-05</v>
      </c>
      <c r="AG1080">
        <f>SUBTOTAL(103,A1080)</f>
        <v>1</v>
      </c>
    </row>
    <row r="1081" spans="1:33" x14ac:dyDescent="0.3">
      <c r="A1081" t="s">
        <v>3695</v>
      </c>
      <c r="B1081" s="13">
        <v>45793</v>
      </c>
      <c r="C1081">
        <v>2025</v>
      </c>
      <c r="D1081">
        <v>5</v>
      </c>
      <c r="E1081" t="s">
        <v>3566</v>
      </c>
      <c r="F1081" t="s">
        <v>3329</v>
      </c>
      <c r="G1081" t="s">
        <v>2189</v>
      </c>
      <c r="H1081" t="s">
        <v>2190</v>
      </c>
      <c r="I1081" t="s">
        <v>86</v>
      </c>
      <c r="J1081">
        <v>48</v>
      </c>
      <c r="K1081" t="s">
        <v>83</v>
      </c>
      <c r="L1081" t="s">
        <v>99</v>
      </c>
      <c r="M1081" t="s">
        <v>58</v>
      </c>
      <c r="N1081" t="s">
        <v>2574</v>
      </c>
      <c r="O1081" t="s">
        <v>130</v>
      </c>
      <c r="P1081" t="s">
        <v>50</v>
      </c>
      <c r="Q1081" t="s">
        <v>53</v>
      </c>
      <c r="R1081">
        <v>1</v>
      </c>
      <c r="S1081">
        <v>1199</v>
      </c>
      <c r="T1081">
        <v>0.15</v>
      </c>
      <c r="U1081">
        <v>1019.15</v>
      </c>
      <c r="V1081">
        <v>550</v>
      </c>
      <c r="W1081">
        <v>469.15</v>
      </c>
      <c r="X1081" t="s">
        <v>77</v>
      </c>
      <c r="Y1081" t="s">
        <v>68</v>
      </c>
      <c r="Z1081" t="s">
        <v>162</v>
      </c>
      <c r="AA1081" t="s">
        <v>166</v>
      </c>
      <c r="AB1081">
        <v>4</v>
      </c>
      <c r="AC1081">
        <v>100</v>
      </c>
      <c r="AD1081">
        <v>101.17</v>
      </c>
      <c r="AE1081">
        <f t="shared" si="32"/>
        <v>267.97999999999996</v>
      </c>
      <c r="AF1081" t="str">
        <f t="shared" si="33"/>
        <v>2025-05</v>
      </c>
      <c r="AG1081">
        <f>SUBTOTAL(103,A1081)</f>
        <v>1</v>
      </c>
    </row>
    <row r="1082" spans="1:33" x14ac:dyDescent="0.3">
      <c r="A1082" t="s">
        <v>3696</v>
      </c>
      <c r="B1082" s="13">
        <v>45793</v>
      </c>
      <c r="C1082">
        <v>2025</v>
      </c>
      <c r="D1082">
        <v>5</v>
      </c>
      <c r="E1082" t="s">
        <v>3566</v>
      </c>
      <c r="F1082" t="s">
        <v>3329</v>
      </c>
      <c r="G1082" t="s">
        <v>305</v>
      </c>
      <c r="H1082" t="s">
        <v>306</v>
      </c>
      <c r="I1082" t="s">
        <v>86</v>
      </c>
      <c r="J1082">
        <v>33</v>
      </c>
      <c r="K1082" t="s">
        <v>81</v>
      </c>
      <c r="L1082" t="s">
        <v>2616</v>
      </c>
      <c r="M1082" t="s">
        <v>62</v>
      </c>
      <c r="N1082" t="s">
        <v>2587</v>
      </c>
      <c r="O1082" t="s">
        <v>116</v>
      </c>
      <c r="P1082" t="s">
        <v>48</v>
      </c>
      <c r="Q1082" t="s">
        <v>138</v>
      </c>
      <c r="R1082">
        <v>4</v>
      </c>
      <c r="S1082">
        <v>14999</v>
      </c>
      <c r="T1082">
        <v>0</v>
      </c>
      <c r="U1082">
        <v>59996</v>
      </c>
      <c r="V1082">
        <v>44800</v>
      </c>
      <c r="W1082">
        <v>15196</v>
      </c>
      <c r="X1082" t="s">
        <v>73</v>
      </c>
      <c r="Y1082" t="s">
        <v>68</v>
      </c>
      <c r="Z1082" t="s">
        <v>162</v>
      </c>
      <c r="AA1082" t="s">
        <v>170</v>
      </c>
      <c r="AB1082">
        <v>2.7</v>
      </c>
      <c r="AC1082">
        <v>60</v>
      </c>
      <c r="AD1082">
        <v>2032.31</v>
      </c>
      <c r="AE1082">
        <f t="shared" si="32"/>
        <v>13103.69</v>
      </c>
      <c r="AF1082" t="str">
        <f t="shared" si="33"/>
        <v>2025-05</v>
      </c>
      <c r="AG1082">
        <f>SUBTOTAL(103,A1082)</f>
        <v>1</v>
      </c>
    </row>
    <row r="1083" spans="1:33" x14ac:dyDescent="0.3">
      <c r="A1083" t="s">
        <v>3697</v>
      </c>
      <c r="B1083" s="13">
        <v>45793</v>
      </c>
      <c r="C1083">
        <v>2025</v>
      </c>
      <c r="D1083">
        <v>5</v>
      </c>
      <c r="E1083" t="s">
        <v>3566</v>
      </c>
      <c r="F1083" t="s">
        <v>3329</v>
      </c>
      <c r="G1083" t="s">
        <v>1603</v>
      </c>
      <c r="H1083" t="s">
        <v>1604</v>
      </c>
      <c r="I1083" t="s">
        <v>85</v>
      </c>
      <c r="J1083">
        <v>24</v>
      </c>
      <c r="K1083" t="s">
        <v>80</v>
      </c>
      <c r="L1083" t="s">
        <v>2589</v>
      </c>
      <c r="M1083" t="s">
        <v>61</v>
      </c>
      <c r="N1083" t="s">
        <v>2653</v>
      </c>
      <c r="O1083" t="s">
        <v>132</v>
      </c>
      <c r="P1083" t="s">
        <v>52</v>
      </c>
      <c r="Q1083" t="s">
        <v>150</v>
      </c>
      <c r="R1083">
        <v>2</v>
      </c>
      <c r="S1083">
        <v>899</v>
      </c>
      <c r="T1083">
        <v>0</v>
      </c>
      <c r="U1083">
        <v>1798</v>
      </c>
      <c r="V1083">
        <v>840</v>
      </c>
      <c r="W1083">
        <v>958</v>
      </c>
      <c r="X1083" t="s">
        <v>74</v>
      </c>
      <c r="Y1083" t="s">
        <v>68</v>
      </c>
      <c r="Z1083" t="s">
        <v>159</v>
      </c>
      <c r="AA1083" t="s">
        <v>167</v>
      </c>
      <c r="AB1083">
        <v>3.7</v>
      </c>
      <c r="AC1083">
        <v>80</v>
      </c>
      <c r="AD1083">
        <v>203.28</v>
      </c>
      <c r="AE1083">
        <f t="shared" si="32"/>
        <v>674.72</v>
      </c>
      <c r="AF1083" t="str">
        <f t="shared" si="33"/>
        <v>2025-05</v>
      </c>
      <c r="AG1083">
        <f>SUBTOTAL(103,A1083)</f>
        <v>1</v>
      </c>
    </row>
    <row r="1084" spans="1:33" x14ac:dyDescent="0.3">
      <c r="A1084" t="s">
        <v>3698</v>
      </c>
      <c r="B1084" s="13">
        <v>45793</v>
      </c>
      <c r="C1084">
        <v>2025</v>
      </c>
      <c r="D1084">
        <v>5</v>
      </c>
      <c r="E1084" t="s">
        <v>3566</v>
      </c>
      <c r="F1084" t="s">
        <v>3329</v>
      </c>
      <c r="G1084" t="s">
        <v>823</v>
      </c>
      <c r="H1084" t="s">
        <v>824</v>
      </c>
      <c r="I1084" t="s">
        <v>86</v>
      </c>
      <c r="J1084">
        <v>33</v>
      </c>
      <c r="K1084" t="s">
        <v>81</v>
      </c>
      <c r="L1084" t="s">
        <v>2605</v>
      </c>
      <c r="M1084" t="s">
        <v>60</v>
      </c>
      <c r="N1084" t="s">
        <v>2596</v>
      </c>
      <c r="O1084" t="s">
        <v>124</v>
      </c>
      <c r="P1084" t="s">
        <v>51</v>
      </c>
      <c r="Q1084" t="s">
        <v>147</v>
      </c>
      <c r="R1084">
        <v>4</v>
      </c>
      <c r="S1084">
        <v>2299</v>
      </c>
      <c r="T1084">
        <v>0</v>
      </c>
      <c r="U1084">
        <v>9196</v>
      </c>
      <c r="V1084">
        <v>4800</v>
      </c>
      <c r="W1084">
        <v>4396</v>
      </c>
      <c r="X1084" t="s">
        <v>76</v>
      </c>
      <c r="Y1084" t="s">
        <v>68</v>
      </c>
      <c r="Z1084" t="s">
        <v>163</v>
      </c>
      <c r="AA1084" t="s">
        <v>169</v>
      </c>
      <c r="AB1084">
        <v>4.2</v>
      </c>
      <c r="AC1084">
        <v>40</v>
      </c>
      <c r="AD1084">
        <v>763.98</v>
      </c>
      <c r="AE1084">
        <f t="shared" si="32"/>
        <v>3592.02</v>
      </c>
      <c r="AF1084" t="str">
        <f t="shared" si="33"/>
        <v>2025-05</v>
      </c>
      <c r="AG1084">
        <f>SUBTOTAL(103,A1084)</f>
        <v>1</v>
      </c>
    </row>
    <row r="1085" spans="1:33" x14ac:dyDescent="0.3">
      <c r="A1085" t="s">
        <v>3699</v>
      </c>
      <c r="B1085" s="13">
        <v>45793</v>
      </c>
      <c r="C1085">
        <v>2025</v>
      </c>
      <c r="D1085">
        <v>5</v>
      </c>
      <c r="E1085" t="s">
        <v>3566</v>
      </c>
      <c r="F1085" t="s">
        <v>3329</v>
      </c>
      <c r="G1085" t="s">
        <v>221</v>
      </c>
      <c r="H1085" t="s">
        <v>222</v>
      </c>
      <c r="I1085" t="s">
        <v>85</v>
      </c>
      <c r="J1085">
        <v>26</v>
      </c>
      <c r="K1085" t="s">
        <v>81</v>
      </c>
      <c r="L1085" t="s">
        <v>59</v>
      </c>
      <c r="M1085" t="s">
        <v>59</v>
      </c>
      <c r="N1085" t="s">
        <v>2653</v>
      </c>
      <c r="O1085" t="s">
        <v>132</v>
      </c>
      <c r="P1085" t="s">
        <v>52</v>
      </c>
      <c r="Q1085" t="s">
        <v>150</v>
      </c>
      <c r="R1085">
        <v>3</v>
      </c>
      <c r="S1085">
        <v>899</v>
      </c>
      <c r="T1085">
        <v>0.15</v>
      </c>
      <c r="U1085">
        <v>2292.4499999999998</v>
      </c>
      <c r="V1085">
        <v>1260</v>
      </c>
      <c r="W1085">
        <v>1032.45</v>
      </c>
      <c r="X1085" t="s">
        <v>73</v>
      </c>
      <c r="Y1085" t="s">
        <v>68</v>
      </c>
      <c r="Z1085" t="s">
        <v>158</v>
      </c>
      <c r="AA1085" t="s">
        <v>168</v>
      </c>
      <c r="AB1085">
        <v>4.3</v>
      </c>
      <c r="AC1085">
        <v>60</v>
      </c>
      <c r="AD1085">
        <v>160.41999999999999</v>
      </c>
      <c r="AE1085">
        <f t="shared" si="32"/>
        <v>812.03000000000009</v>
      </c>
      <c r="AF1085" t="str">
        <f t="shared" si="33"/>
        <v>2025-05</v>
      </c>
      <c r="AG1085">
        <f>SUBTOTAL(103,A1085)</f>
        <v>1</v>
      </c>
    </row>
    <row r="1086" spans="1:33" x14ac:dyDescent="0.3">
      <c r="A1086" t="s">
        <v>3700</v>
      </c>
      <c r="B1086" s="13">
        <v>45794</v>
      </c>
      <c r="C1086">
        <v>2025</v>
      </c>
      <c r="D1086">
        <v>5</v>
      </c>
      <c r="E1086" t="s">
        <v>3566</v>
      </c>
      <c r="F1086" t="s">
        <v>3329</v>
      </c>
      <c r="G1086" t="s">
        <v>1605</v>
      </c>
      <c r="H1086" t="s">
        <v>1606</v>
      </c>
      <c r="I1086" t="s">
        <v>86</v>
      </c>
      <c r="J1086">
        <v>37</v>
      </c>
      <c r="K1086" t="s">
        <v>82</v>
      </c>
      <c r="L1086" t="s">
        <v>2612</v>
      </c>
      <c r="M1086" t="s">
        <v>64</v>
      </c>
      <c r="N1086" t="s">
        <v>2653</v>
      </c>
      <c r="O1086" t="s">
        <v>132</v>
      </c>
      <c r="P1086" t="s">
        <v>52</v>
      </c>
      <c r="Q1086" t="s">
        <v>150</v>
      </c>
      <c r="R1086">
        <v>2</v>
      </c>
      <c r="S1086">
        <v>899</v>
      </c>
      <c r="T1086">
        <v>0.1</v>
      </c>
      <c r="U1086">
        <v>1618.2</v>
      </c>
      <c r="V1086">
        <v>840</v>
      </c>
      <c r="W1086">
        <v>778.2</v>
      </c>
      <c r="X1086" t="s">
        <v>73</v>
      </c>
      <c r="Y1086" t="s">
        <v>68</v>
      </c>
      <c r="Z1086" t="s">
        <v>159</v>
      </c>
      <c r="AA1086" t="s">
        <v>167</v>
      </c>
      <c r="AB1086">
        <v>3.3</v>
      </c>
      <c r="AC1086">
        <v>80</v>
      </c>
      <c r="AD1086">
        <v>145.52000000000001</v>
      </c>
      <c r="AE1086">
        <f t="shared" si="32"/>
        <v>552.68000000000006</v>
      </c>
      <c r="AF1086" t="str">
        <f t="shared" si="33"/>
        <v>2025-05</v>
      </c>
      <c r="AG1086">
        <f>SUBTOTAL(103,A1086)</f>
        <v>1</v>
      </c>
    </row>
    <row r="1087" spans="1:33" x14ac:dyDescent="0.3">
      <c r="A1087" t="s">
        <v>3701</v>
      </c>
      <c r="B1087" s="13">
        <v>45794</v>
      </c>
      <c r="C1087">
        <v>2025</v>
      </c>
      <c r="D1087">
        <v>5</v>
      </c>
      <c r="E1087" t="s">
        <v>3566</v>
      </c>
      <c r="F1087" t="s">
        <v>3329</v>
      </c>
      <c r="G1087" t="s">
        <v>451</v>
      </c>
      <c r="H1087" t="s">
        <v>452</v>
      </c>
      <c r="I1087" t="s">
        <v>86</v>
      </c>
      <c r="J1087">
        <v>30</v>
      </c>
      <c r="K1087" t="s">
        <v>81</v>
      </c>
      <c r="L1087" t="s">
        <v>2661</v>
      </c>
      <c r="M1087" t="s">
        <v>58</v>
      </c>
      <c r="N1087" t="s">
        <v>2584</v>
      </c>
      <c r="O1087" t="s">
        <v>121</v>
      </c>
      <c r="P1087" t="s">
        <v>50</v>
      </c>
      <c r="Q1087" t="s">
        <v>144</v>
      </c>
      <c r="R1087">
        <v>1</v>
      </c>
      <c r="S1087">
        <v>2999</v>
      </c>
      <c r="T1087">
        <v>0</v>
      </c>
      <c r="U1087">
        <v>2999</v>
      </c>
      <c r="V1087">
        <v>1700</v>
      </c>
      <c r="W1087">
        <v>1299</v>
      </c>
      <c r="X1087" t="s">
        <v>74</v>
      </c>
      <c r="Y1087" t="s">
        <v>68</v>
      </c>
      <c r="Z1087" t="s">
        <v>160</v>
      </c>
      <c r="AA1087" t="s">
        <v>166</v>
      </c>
      <c r="AB1087">
        <v>2.6</v>
      </c>
      <c r="AC1087">
        <v>40</v>
      </c>
      <c r="AD1087">
        <v>346.45</v>
      </c>
      <c r="AE1087">
        <f t="shared" si="32"/>
        <v>912.55</v>
      </c>
      <c r="AF1087" t="str">
        <f t="shared" si="33"/>
        <v>2025-05</v>
      </c>
      <c r="AG1087">
        <f>SUBTOTAL(103,A1087)</f>
        <v>1</v>
      </c>
    </row>
    <row r="1088" spans="1:33" x14ac:dyDescent="0.3">
      <c r="A1088" t="s">
        <v>3702</v>
      </c>
      <c r="B1088" s="13">
        <v>45794</v>
      </c>
      <c r="C1088">
        <v>2025</v>
      </c>
      <c r="D1088">
        <v>5</v>
      </c>
      <c r="E1088" t="s">
        <v>3566</v>
      </c>
      <c r="F1088" t="s">
        <v>3329</v>
      </c>
      <c r="G1088" t="s">
        <v>601</v>
      </c>
      <c r="H1088" t="s">
        <v>602</v>
      </c>
      <c r="I1088" t="s">
        <v>86</v>
      </c>
      <c r="J1088">
        <v>18</v>
      </c>
      <c r="K1088" t="s">
        <v>80</v>
      </c>
      <c r="L1088" t="s">
        <v>2661</v>
      </c>
      <c r="M1088" t="s">
        <v>58</v>
      </c>
      <c r="N1088" t="s">
        <v>2603</v>
      </c>
      <c r="O1088" t="s">
        <v>122</v>
      </c>
      <c r="P1088" t="s">
        <v>48</v>
      </c>
      <c r="Q1088" t="s">
        <v>141</v>
      </c>
      <c r="R1088">
        <v>1</v>
      </c>
      <c r="S1088">
        <v>2499</v>
      </c>
      <c r="T1088">
        <v>0</v>
      </c>
      <c r="U1088">
        <v>2499</v>
      </c>
      <c r="V1088">
        <v>1450</v>
      </c>
      <c r="W1088">
        <v>1049</v>
      </c>
      <c r="X1088" t="s">
        <v>74</v>
      </c>
      <c r="Y1088" t="s">
        <v>68</v>
      </c>
      <c r="Z1088" t="s">
        <v>161</v>
      </c>
      <c r="AA1088" t="s">
        <v>170</v>
      </c>
      <c r="AB1088">
        <v>4.3</v>
      </c>
      <c r="AC1088">
        <v>80</v>
      </c>
      <c r="AD1088">
        <v>70.94</v>
      </c>
      <c r="AE1088">
        <f t="shared" si="32"/>
        <v>898.06</v>
      </c>
      <c r="AF1088" t="str">
        <f t="shared" si="33"/>
        <v>2025-05</v>
      </c>
      <c r="AG1088">
        <f>SUBTOTAL(103,A1088)</f>
        <v>1</v>
      </c>
    </row>
    <row r="1089" spans="1:33" x14ac:dyDescent="0.3">
      <c r="A1089" t="s">
        <v>3703</v>
      </c>
      <c r="B1089" s="13">
        <v>45794</v>
      </c>
      <c r="C1089">
        <v>2025</v>
      </c>
      <c r="D1089">
        <v>5</v>
      </c>
      <c r="E1089" t="s">
        <v>3566</v>
      </c>
      <c r="F1089" t="s">
        <v>3329</v>
      </c>
      <c r="G1089" t="s">
        <v>2511</v>
      </c>
      <c r="H1089" t="s">
        <v>2512</v>
      </c>
      <c r="I1089" t="s">
        <v>85</v>
      </c>
      <c r="J1089">
        <v>36</v>
      </c>
      <c r="K1089" t="s">
        <v>82</v>
      </c>
      <c r="L1089" t="s">
        <v>95</v>
      </c>
      <c r="M1089" t="s">
        <v>56</v>
      </c>
      <c r="N1089" t="s">
        <v>2590</v>
      </c>
      <c r="O1089" t="s">
        <v>127</v>
      </c>
      <c r="P1089" t="s">
        <v>51</v>
      </c>
      <c r="Q1089" t="s">
        <v>148</v>
      </c>
      <c r="R1089">
        <v>1</v>
      </c>
      <c r="S1089">
        <v>1599</v>
      </c>
      <c r="T1089">
        <v>0.1</v>
      </c>
      <c r="U1089">
        <v>1439.1</v>
      </c>
      <c r="V1089">
        <v>800</v>
      </c>
      <c r="W1089">
        <v>639.1</v>
      </c>
      <c r="X1089" t="s">
        <v>76</v>
      </c>
      <c r="Y1089" t="s">
        <v>68</v>
      </c>
      <c r="Z1089" t="s">
        <v>158</v>
      </c>
      <c r="AA1089" t="s">
        <v>166</v>
      </c>
      <c r="AB1089">
        <v>4.4000000000000004</v>
      </c>
      <c r="AC1089">
        <v>40</v>
      </c>
      <c r="AD1089">
        <v>129.30000000000001</v>
      </c>
      <c r="AE1089">
        <f t="shared" si="32"/>
        <v>469.8</v>
      </c>
      <c r="AF1089" t="str">
        <f t="shared" si="33"/>
        <v>2025-05</v>
      </c>
      <c r="AG1089">
        <f>SUBTOTAL(103,A1089)</f>
        <v>1</v>
      </c>
    </row>
    <row r="1090" spans="1:33" x14ac:dyDescent="0.3">
      <c r="A1090" t="s">
        <v>3704</v>
      </c>
      <c r="B1090" s="13">
        <v>45794</v>
      </c>
      <c r="C1090">
        <v>2025</v>
      </c>
      <c r="D1090">
        <v>5</v>
      </c>
      <c r="E1090" t="s">
        <v>3566</v>
      </c>
      <c r="F1090" t="s">
        <v>3329</v>
      </c>
      <c r="G1090" t="s">
        <v>265</v>
      </c>
      <c r="H1090" t="s">
        <v>266</v>
      </c>
      <c r="I1090" t="s">
        <v>85</v>
      </c>
      <c r="J1090">
        <v>35</v>
      </c>
      <c r="K1090" t="s">
        <v>81</v>
      </c>
      <c r="L1090" t="s">
        <v>93</v>
      </c>
      <c r="M1090" t="s">
        <v>55</v>
      </c>
      <c r="N1090" t="s">
        <v>2653</v>
      </c>
      <c r="O1090" t="s">
        <v>132</v>
      </c>
      <c r="P1090" t="s">
        <v>52</v>
      </c>
      <c r="Q1090" t="s">
        <v>150</v>
      </c>
      <c r="R1090">
        <v>3</v>
      </c>
      <c r="S1090">
        <v>899</v>
      </c>
      <c r="T1090">
        <v>0.05</v>
      </c>
      <c r="U1090">
        <v>2562.15</v>
      </c>
      <c r="V1090">
        <v>1260</v>
      </c>
      <c r="W1090">
        <v>1302.1500000000001</v>
      </c>
      <c r="X1090" t="s">
        <v>73</v>
      </c>
      <c r="Y1090" t="s">
        <v>68</v>
      </c>
      <c r="Z1090" t="s">
        <v>161</v>
      </c>
      <c r="AA1090" t="s">
        <v>166</v>
      </c>
      <c r="AB1090">
        <v>3.4</v>
      </c>
      <c r="AC1090">
        <v>40</v>
      </c>
      <c r="AD1090">
        <v>139.62</v>
      </c>
      <c r="AE1090">
        <f t="shared" ref="AE1090:AE1153" si="34">W1090-AC1090-AD1090</f>
        <v>1122.5300000000002</v>
      </c>
      <c r="AF1090" t="str">
        <f t="shared" ref="AF1090:AF1153" si="35">C1090&amp;"-"&amp;TEXT(D1090,"00")</f>
        <v>2025-05</v>
      </c>
      <c r="AG1090">
        <f>SUBTOTAL(103,A1090)</f>
        <v>1</v>
      </c>
    </row>
    <row r="1091" spans="1:33" x14ac:dyDescent="0.3">
      <c r="A1091" t="s">
        <v>3705</v>
      </c>
      <c r="B1091" s="13">
        <v>45794</v>
      </c>
      <c r="C1091">
        <v>2025</v>
      </c>
      <c r="D1091">
        <v>5</v>
      </c>
      <c r="E1091" t="s">
        <v>3566</v>
      </c>
      <c r="F1091" t="s">
        <v>3329</v>
      </c>
      <c r="G1091" t="s">
        <v>2059</v>
      </c>
      <c r="H1091" t="s">
        <v>2060</v>
      </c>
      <c r="I1091" t="s">
        <v>86</v>
      </c>
      <c r="J1091">
        <v>32</v>
      </c>
      <c r="K1091" t="s">
        <v>81</v>
      </c>
      <c r="L1091" t="s">
        <v>94</v>
      </c>
      <c r="M1091" t="s">
        <v>57</v>
      </c>
      <c r="N1091" t="s">
        <v>2657</v>
      </c>
      <c r="O1091" t="s">
        <v>134</v>
      </c>
      <c r="P1091" t="s">
        <v>49</v>
      </c>
      <c r="Q1091" t="s">
        <v>140</v>
      </c>
      <c r="R1091">
        <v>4</v>
      </c>
      <c r="S1091">
        <v>599</v>
      </c>
      <c r="T1091">
        <v>0.1</v>
      </c>
      <c r="U1091">
        <v>2156.4</v>
      </c>
      <c r="V1091">
        <v>1000</v>
      </c>
      <c r="W1091">
        <v>1156.4000000000001</v>
      </c>
      <c r="X1091" t="s">
        <v>73</v>
      </c>
      <c r="Y1091" t="s">
        <v>68</v>
      </c>
      <c r="Z1091" t="s">
        <v>159</v>
      </c>
      <c r="AA1091" t="s">
        <v>170</v>
      </c>
      <c r="AB1091">
        <v>4.8</v>
      </c>
      <c r="AC1091">
        <v>100</v>
      </c>
      <c r="AD1091">
        <v>147.97999999999999</v>
      </c>
      <c r="AE1091">
        <f t="shared" si="34"/>
        <v>908.42000000000007</v>
      </c>
      <c r="AF1091" t="str">
        <f t="shared" si="35"/>
        <v>2025-05</v>
      </c>
      <c r="AG1091">
        <f>SUBTOTAL(103,A1091)</f>
        <v>1</v>
      </c>
    </row>
    <row r="1092" spans="1:33" x14ac:dyDescent="0.3">
      <c r="A1092" t="s">
        <v>3706</v>
      </c>
      <c r="B1092" s="13">
        <v>45795</v>
      </c>
      <c r="C1092">
        <v>2025</v>
      </c>
      <c r="D1092">
        <v>5</v>
      </c>
      <c r="E1092" t="s">
        <v>3566</v>
      </c>
      <c r="F1092" t="s">
        <v>3329</v>
      </c>
      <c r="G1092" t="s">
        <v>2323</v>
      </c>
      <c r="H1092" t="s">
        <v>2324</v>
      </c>
      <c r="I1092" t="s">
        <v>86</v>
      </c>
      <c r="J1092">
        <v>51</v>
      </c>
      <c r="K1092" t="s">
        <v>83</v>
      </c>
      <c r="L1092" t="s">
        <v>2586</v>
      </c>
      <c r="M1092" t="s">
        <v>62</v>
      </c>
      <c r="N1092" t="s">
        <v>2594</v>
      </c>
      <c r="O1092" t="s">
        <v>131</v>
      </c>
      <c r="P1092" t="s">
        <v>53</v>
      </c>
      <c r="Q1092" t="s">
        <v>143</v>
      </c>
      <c r="R1092">
        <v>1</v>
      </c>
      <c r="S1092">
        <v>999</v>
      </c>
      <c r="T1092">
        <v>0.2</v>
      </c>
      <c r="U1092">
        <v>799.2</v>
      </c>
      <c r="V1092">
        <v>520</v>
      </c>
      <c r="W1092">
        <v>279.2</v>
      </c>
      <c r="X1092" t="s">
        <v>77</v>
      </c>
      <c r="Y1092" t="s">
        <v>68</v>
      </c>
      <c r="Z1092" t="s">
        <v>158</v>
      </c>
      <c r="AA1092" t="s">
        <v>166</v>
      </c>
      <c r="AB1092">
        <v>3.4</v>
      </c>
      <c r="AC1092">
        <v>60</v>
      </c>
      <c r="AD1092">
        <v>56.98</v>
      </c>
      <c r="AE1092">
        <f t="shared" si="34"/>
        <v>162.22</v>
      </c>
      <c r="AF1092" t="str">
        <f t="shared" si="35"/>
        <v>2025-05</v>
      </c>
      <c r="AG1092">
        <f>SUBTOTAL(103,A1092)</f>
        <v>1</v>
      </c>
    </row>
    <row r="1093" spans="1:33" x14ac:dyDescent="0.3">
      <c r="A1093" t="s">
        <v>3707</v>
      </c>
      <c r="B1093" s="13">
        <v>45795</v>
      </c>
      <c r="C1093">
        <v>2025</v>
      </c>
      <c r="D1093">
        <v>5</v>
      </c>
      <c r="E1093" t="s">
        <v>3566</v>
      </c>
      <c r="F1093" t="s">
        <v>3329</v>
      </c>
      <c r="G1093" t="s">
        <v>985</v>
      </c>
      <c r="H1093" t="s">
        <v>986</v>
      </c>
      <c r="I1093" t="s">
        <v>85</v>
      </c>
      <c r="J1093">
        <v>36</v>
      </c>
      <c r="K1093" t="s">
        <v>82</v>
      </c>
      <c r="L1093" t="s">
        <v>97</v>
      </c>
      <c r="M1093" t="s">
        <v>57</v>
      </c>
      <c r="N1093" t="s">
        <v>2665</v>
      </c>
      <c r="O1093" t="s">
        <v>128</v>
      </c>
      <c r="P1093" t="s">
        <v>53</v>
      </c>
      <c r="Q1093" t="s">
        <v>143</v>
      </c>
      <c r="R1093">
        <v>3</v>
      </c>
      <c r="S1093">
        <v>1499</v>
      </c>
      <c r="T1093">
        <v>0.1</v>
      </c>
      <c r="U1093">
        <v>4047.3</v>
      </c>
      <c r="V1093">
        <v>2400</v>
      </c>
      <c r="W1093">
        <v>1647.3</v>
      </c>
      <c r="X1093" t="s">
        <v>73</v>
      </c>
      <c r="Y1093" t="s">
        <v>68</v>
      </c>
      <c r="Z1093" t="s">
        <v>159</v>
      </c>
      <c r="AA1093" t="s">
        <v>171</v>
      </c>
      <c r="AB1093">
        <v>5</v>
      </c>
      <c r="AC1093">
        <v>40</v>
      </c>
      <c r="AD1093">
        <v>207.47</v>
      </c>
      <c r="AE1093">
        <f t="shared" si="34"/>
        <v>1399.83</v>
      </c>
      <c r="AF1093" t="str">
        <f t="shared" si="35"/>
        <v>2025-05</v>
      </c>
      <c r="AG1093">
        <f>SUBTOTAL(103,A1093)</f>
        <v>1</v>
      </c>
    </row>
    <row r="1094" spans="1:33" x14ac:dyDescent="0.3">
      <c r="A1094" t="s">
        <v>3708</v>
      </c>
      <c r="B1094" s="13">
        <v>45795</v>
      </c>
      <c r="C1094">
        <v>2025</v>
      </c>
      <c r="D1094">
        <v>5</v>
      </c>
      <c r="E1094" t="s">
        <v>3566</v>
      </c>
      <c r="F1094" t="s">
        <v>3329</v>
      </c>
      <c r="G1094" t="s">
        <v>309</v>
      </c>
      <c r="H1094" t="s">
        <v>310</v>
      </c>
      <c r="I1094" t="s">
        <v>86</v>
      </c>
      <c r="J1094">
        <v>22</v>
      </c>
      <c r="K1094" t="s">
        <v>80</v>
      </c>
      <c r="L1094" t="s">
        <v>2573</v>
      </c>
      <c r="M1094" t="s">
        <v>63</v>
      </c>
      <c r="N1094" t="s">
        <v>2665</v>
      </c>
      <c r="O1094" t="s">
        <v>128</v>
      </c>
      <c r="P1094" t="s">
        <v>53</v>
      </c>
      <c r="Q1094" t="s">
        <v>143</v>
      </c>
      <c r="R1094">
        <v>2</v>
      </c>
      <c r="S1094">
        <v>1499</v>
      </c>
      <c r="T1094">
        <v>0.1</v>
      </c>
      <c r="U1094">
        <v>2698.2</v>
      </c>
      <c r="V1094">
        <v>1600</v>
      </c>
      <c r="W1094">
        <v>1098.2</v>
      </c>
      <c r="X1094" t="s">
        <v>74</v>
      </c>
      <c r="Y1094" t="s">
        <v>68</v>
      </c>
      <c r="Z1094" t="s">
        <v>160</v>
      </c>
      <c r="AA1094" t="s">
        <v>167</v>
      </c>
      <c r="AB1094">
        <v>3.1</v>
      </c>
      <c r="AC1094">
        <v>40</v>
      </c>
      <c r="AD1094">
        <v>54.1</v>
      </c>
      <c r="AE1094">
        <f t="shared" si="34"/>
        <v>1004.1</v>
      </c>
      <c r="AF1094" t="str">
        <f t="shared" si="35"/>
        <v>2025-05</v>
      </c>
      <c r="AG1094">
        <f>SUBTOTAL(103,A1094)</f>
        <v>1</v>
      </c>
    </row>
    <row r="1095" spans="1:33" x14ac:dyDescent="0.3">
      <c r="A1095" t="s">
        <v>3709</v>
      </c>
      <c r="B1095" s="13">
        <v>45795</v>
      </c>
      <c r="C1095">
        <v>2025</v>
      </c>
      <c r="D1095">
        <v>5</v>
      </c>
      <c r="E1095" t="s">
        <v>3566</v>
      </c>
      <c r="F1095" t="s">
        <v>3329</v>
      </c>
      <c r="G1095" t="s">
        <v>319</v>
      </c>
      <c r="H1095" t="s">
        <v>320</v>
      </c>
      <c r="I1095" t="s">
        <v>85</v>
      </c>
      <c r="J1095">
        <v>31</v>
      </c>
      <c r="K1095" t="s">
        <v>81</v>
      </c>
      <c r="L1095" t="s">
        <v>96</v>
      </c>
      <c r="M1095" t="s">
        <v>55</v>
      </c>
      <c r="N1095" t="s">
        <v>2587</v>
      </c>
      <c r="O1095" t="s">
        <v>116</v>
      </c>
      <c r="P1095" t="s">
        <v>48</v>
      </c>
      <c r="Q1095" t="s">
        <v>138</v>
      </c>
      <c r="R1095">
        <v>4</v>
      </c>
      <c r="S1095">
        <v>14999</v>
      </c>
      <c r="T1095">
        <v>0.15</v>
      </c>
      <c r="U1095">
        <v>50996.6</v>
      </c>
      <c r="V1095">
        <v>44800</v>
      </c>
      <c r="W1095">
        <v>6196.6</v>
      </c>
      <c r="X1095" t="s">
        <v>74</v>
      </c>
      <c r="Y1095" t="s">
        <v>68</v>
      </c>
      <c r="Z1095" t="s">
        <v>159</v>
      </c>
      <c r="AA1095" t="s">
        <v>168</v>
      </c>
      <c r="AB1095">
        <v>3.9</v>
      </c>
      <c r="AC1095">
        <v>40</v>
      </c>
      <c r="AD1095">
        <v>3020.76</v>
      </c>
      <c r="AE1095">
        <f t="shared" si="34"/>
        <v>3135.84</v>
      </c>
      <c r="AF1095" t="str">
        <f t="shared" si="35"/>
        <v>2025-05</v>
      </c>
      <c r="AG1095">
        <f>SUBTOTAL(103,A1095)</f>
        <v>1</v>
      </c>
    </row>
    <row r="1096" spans="1:33" x14ac:dyDescent="0.3">
      <c r="A1096" t="s">
        <v>3710</v>
      </c>
      <c r="B1096" s="13">
        <v>45795</v>
      </c>
      <c r="C1096">
        <v>2025</v>
      </c>
      <c r="D1096">
        <v>5</v>
      </c>
      <c r="E1096" t="s">
        <v>3566</v>
      </c>
      <c r="F1096" t="s">
        <v>3329</v>
      </c>
      <c r="G1096" t="s">
        <v>1409</v>
      </c>
      <c r="H1096" t="s">
        <v>1410</v>
      </c>
      <c r="I1096" t="s">
        <v>85</v>
      </c>
      <c r="J1096">
        <v>27</v>
      </c>
      <c r="K1096" t="s">
        <v>81</v>
      </c>
      <c r="L1096" t="s">
        <v>92</v>
      </c>
      <c r="M1096" t="s">
        <v>59</v>
      </c>
      <c r="N1096" t="s">
        <v>2653</v>
      </c>
      <c r="O1096" t="s">
        <v>132</v>
      </c>
      <c r="P1096" t="s">
        <v>52</v>
      </c>
      <c r="Q1096" t="s">
        <v>150</v>
      </c>
      <c r="R1096">
        <v>2</v>
      </c>
      <c r="S1096">
        <v>899</v>
      </c>
      <c r="T1096">
        <v>0</v>
      </c>
      <c r="U1096">
        <v>1798</v>
      </c>
      <c r="V1096">
        <v>840</v>
      </c>
      <c r="W1096">
        <v>958</v>
      </c>
      <c r="X1096" t="s">
        <v>73</v>
      </c>
      <c r="Y1096" t="s">
        <v>68</v>
      </c>
      <c r="Z1096" t="s">
        <v>159</v>
      </c>
      <c r="AA1096" t="s">
        <v>168</v>
      </c>
      <c r="AB1096">
        <v>3.8</v>
      </c>
      <c r="AC1096">
        <v>80</v>
      </c>
      <c r="AD1096">
        <v>53.41</v>
      </c>
      <c r="AE1096">
        <f t="shared" si="34"/>
        <v>824.59</v>
      </c>
      <c r="AF1096" t="str">
        <f t="shared" si="35"/>
        <v>2025-05</v>
      </c>
      <c r="AG1096">
        <f>SUBTOTAL(103,A1096)</f>
        <v>1</v>
      </c>
    </row>
    <row r="1097" spans="1:33" x14ac:dyDescent="0.3">
      <c r="A1097" t="s">
        <v>3711</v>
      </c>
      <c r="B1097" s="13">
        <v>45795</v>
      </c>
      <c r="C1097">
        <v>2025</v>
      </c>
      <c r="D1097">
        <v>5</v>
      </c>
      <c r="E1097" t="s">
        <v>3566</v>
      </c>
      <c r="F1097" t="s">
        <v>3329</v>
      </c>
      <c r="G1097" t="s">
        <v>1609</v>
      </c>
      <c r="H1097" t="s">
        <v>1610</v>
      </c>
      <c r="I1097" t="s">
        <v>86</v>
      </c>
      <c r="J1097">
        <v>36</v>
      </c>
      <c r="K1097" t="s">
        <v>82</v>
      </c>
      <c r="L1097" t="s">
        <v>2674</v>
      </c>
      <c r="M1097" t="s">
        <v>58</v>
      </c>
      <c r="N1097" t="s">
        <v>2644</v>
      </c>
      <c r="O1097" t="s">
        <v>126</v>
      </c>
      <c r="P1097" t="s">
        <v>50</v>
      </c>
      <c r="Q1097" t="s">
        <v>145</v>
      </c>
      <c r="R1097">
        <v>1</v>
      </c>
      <c r="S1097">
        <v>1799</v>
      </c>
      <c r="T1097">
        <v>0.05</v>
      </c>
      <c r="U1097">
        <v>1709.05</v>
      </c>
      <c r="V1097">
        <v>950</v>
      </c>
      <c r="W1097">
        <v>759.05</v>
      </c>
      <c r="X1097" t="s">
        <v>74</v>
      </c>
      <c r="Y1097" t="s">
        <v>68</v>
      </c>
      <c r="Z1097" t="s">
        <v>158</v>
      </c>
      <c r="AA1097" t="s">
        <v>171</v>
      </c>
      <c r="AB1097">
        <v>3.1</v>
      </c>
      <c r="AC1097">
        <v>60</v>
      </c>
      <c r="AD1097">
        <v>138.75</v>
      </c>
      <c r="AE1097">
        <f t="shared" si="34"/>
        <v>560.29999999999995</v>
      </c>
      <c r="AF1097" t="str">
        <f t="shared" si="35"/>
        <v>2025-05</v>
      </c>
      <c r="AG1097">
        <f>SUBTOTAL(103,A1097)</f>
        <v>1</v>
      </c>
    </row>
    <row r="1098" spans="1:33" x14ac:dyDescent="0.3">
      <c r="A1098" t="s">
        <v>3712</v>
      </c>
      <c r="B1098" s="13">
        <v>45795</v>
      </c>
      <c r="C1098">
        <v>2025</v>
      </c>
      <c r="D1098">
        <v>5</v>
      </c>
      <c r="E1098" t="s">
        <v>3566</v>
      </c>
      <c r="F1098" t="s">
        <v>3329</v>
      </c>
      <c r="G1098" t="s">
        <v>1417</v>
      </c>
      <c r="H1098" t="s">
        <v>1418</v>
      </c>
      <c r="I1098" t="s">
        <v>86</v>
      </c>
      <c r="J1098">
        <v>21</v>
      </c>
      <c r="K1098" t="s">
        <v>80</v>
      </c>
      <c r="L1098" t="s">
        <v>95</v>
      </c>
      <c r="M1098" t="s">
        <v>56</v>
      </c>
      <c r="N1098" t="s">
        <v>2601</v>
      </c>
      <c r="O1098" t="s">
        <v>117</v>
      </c>
      <c r="P1098" t="s">
        <v>49</v>
      </c>
      <c r="Q1098" t="s">
        <v>139</v>
      </c>
      <c r="R1098">
        <v>2</v>
      </c>
      <c r="S1098">
        <v>6999</v>
      </c>
      <c r="T1098">
        <v>0.05</v>
      </c>
      <c r="U1098">
        <v>13298.1</v>
      </c>
      <c r="V1098">
        <v>8600</v>
      </c>
      <c r="W1098">
        <v>4698.1000000000004</v>
      </c>
      <c r="X1098" t="s">
        <v>74</v>
      </c>
      <c r="Y1098" t="s">
        <v>68</v>
      </c>
      <c r="Z1098" t="s">
        <v>162</v>
      </c>
      <c r="AA1098" t="s">
        <v>168</v>
      </c>
      <c r="AB1098">
        <v>3.5</v>
      </c>
      <c r="AC1098">
        <v>40</v>
      </c>
      <c r="AD1098">
        <v>956.63</v>
      </c>
      <c r="AE1098">
        <f t="shared" si="34"/>
        <v>3701.4700000000003</v>
      </c>
      <c r="AF1098" t="str">
        <f t="shared" si="35"/>
        <v>2025-05</v>
      </c>
      <c r="AG1098">
        <f>SUBTOTAL(103,A1098)</f>
        <v>1</v>
      </c>
    </row>
    <row r="1099" spans="1:33" x14ac:dyDescent="0.3">
      <c r="A1099" t="s">
        <v>3713</v>
      </c>
      <c r="B1099" s="13">
        <v>45795</v>
      </c>
      <c r="C1099">
        <v>2025</v>
      </c>
      <c r="D1099">
        <v>5</v>
      </c>
      <c r="E1099" t="s">
        <v>3566</v>
      </c>
      <c r="F1099" t="s">
        <v>3329</v>
      </c>
      <c r="G1099" t="s">
        <v>1923</v>
      </c>
      <c r="H1099" t="s">
        <v>1924</v>
      </c>
      <c r="I1099" t="s">
        <v>85</v>
      </c>
      <c r="J1099">
        <v>43</v>
      </c>
      <c r="K1099" t="s">
        <v>82</v>
      </c>
      <c r="L1099" t="s">
        <v>98</v>
      </c>
      <c r="M1099" t="s">
        <v>55</v>
      </c>
      <c r="N1099" t="s">
        <v>2594</v>
      </c>
      <c r="O1099" t="s">
        <v>131</v>
      </c>
      <c r="P1099" t="s">
        <v>53</v>
      </c>
      <c r="Q1099" t="s">
        <v>143</v>
      </c>
      <c r="R1099">
        <v>2</v>
      </c>
      <c r="S1099">
        <v>999</v>
      </c>
      <c r="T1099">
        <v>0.2</v>
      </c>
      <c r="U1099">
        <v>1598.4</v>
      </c>
      <c r="V1099">
        <v>1040</v>
      </c>
      <c r="W1099">
        <v>558.4</v>
      </c>
      <c r="X1099" t="s">
        <v>77</v>
      </c>
      <c r="Y1099" t="s">
        <v>68</v>
      </c>
      <c r="Z1099" t="s">
        <v>159</v>
      </c>
      <c r="AA1099" t="s">
        <v>166</v>
      </c>
      <c r="AB1099">
        <v>4.3</v>
      </c>
      <c r="AC1099">
        <v>80</v>
      </c>
      <c r="AD1099">
        <v>140.63999999999999</v>
      </c>
      <c r="AE1099">
        <f t="shared" si="34"/>
        <v>337.76</v>
      </c>
      <c r="AF1099" t="str">
        <f t="shared" si="35"/>
        <v>2025-05</v>
      </c>
      <c r="AG1099">
        <f>SUBTOTAL(103,A1099)</f>
        <v>1</v>
      </c>
    </row>
    <row r="1100" spans="1:33" x14ac:dyDescent="0.3">
      <c r="A1100" t="s">
        <v>3714</v>
      </c>
      <c r="B1100" s="13">
        <v>45796</v>
      </c>
      <c r="C1100">
        <v>2025</v>
      </c>
      <c r="D1100">
        <v>5</v>
      </c>
      <c r="E1100" t="s">
        <v>3566</v>
      </c>
      <c r="F1100" t="s">
        <v>3329</v>
      </c>
      <c r="G1100" t="s">
        <v>1021</v>
      </c>
      <c r="H1100" t="s">
        <v>1022</v>
      </c>
      <c r="I1100" t="s">
        <v>86</v>
      </c>
      <c r="J1100">
        <v>48</v>
      </c>
      <c r="K1100" t="s">
        <v>83</v>
      </c>
      <c r="L1100" t="s">
        <v>2589</v>
      </c>
      <c r="M1100" t="s">
        <v>61</v>
      </c>
      <c r="N1100" t="s">
        <v>2601</v>
      </c>
      <c r="O1100" t="s">
        <v>117</v>
      </c>
      <c r="P1100" t="s">
        <v>49</v>
      </c>
      <c r="Q1100" t="s">
        <v>139</v>
      </c>
      <c r="R1100">
        <v>4</v>
      </c>
      <c r="S1100">
        <v>6999</v>
      </c>
      <c r="T1100">
        <v>0.05</v>
      </c>
      <c r="U1100">
        <v>26596.2</v>
      </c>
      <c r="V1100">
        <v>17200</v>
      </c>
      <c r="W1100">
        <v>9396.2000000000007</v>
      </c>
      <c r="X1100" t="s">
        <v>74</v>
      </c>
      <c r="Y1100" t="s">
        <v>69</v>
      </c>
      <c r="Z1100" t="s">
        <v>160</v>
      </c>
      <c r="AA1100" t="s">
        <v>171</v>
      </c>
      <c r="AB1100">
        <v>3.8</v>
      </c>
      <c r="AC1100">
        <v>120</v>
      </c>
      <c r="AD1100">
        <v>1416.13</v>
      </c>
      <c r="AE1100">
        <f t="shared" si="34"/>
        <v>7860.0700000000006</v>
      </c>
      <c r="AF1100" t="str">
        <f t="shared" si="35"/>
        <v>2025-05</v>
      </c>
      <c r="AG1100">
        <f>SUBTOTAL(103,A1100)</f>
        <v>1</v>
      </c>
    </row>
    <row r="1101" spans="1:33" x14ac:dyDescent="0.3">
      <c r="A1101" t="s">
        <v>3715</v>
      </c>
      <c r="B1101" s="13">
        <v>45796</v>
      </c>
      <c r="C1101">
        <v>2025</v>
      </c>
      <c r="D1101">
        <v>5</v>
      </c>
      <c r="E1101" t="s">
        <v>3566</v>
      </c>
      <c r="F1101" t="s">
        <v>3329</v>
      </c>
      <c r="G1101" t="s">
        <v>279</v>
      </c>
      <c r="H1101" t="s">
        <v>280</v>
      </c>
      <c r="I1101" t="s">
        <v>85</v>
      </c>
      <c r="J1101">
        <v>40</v>
      </c>
      <c r="K1101" t="s">
        <v>82</v>
      </c>
      <c r="L1101" t="s">
        <v>2674</v>
      </c>
      <c r="M1101" t="s">
        <v>58</v>
      </c>
      <c r="N1101" t="s">
        <v>2626</v>
      </c>
      <c r="O1101" t="s">
        <v>125</v>
      </c>
      <c r="P1101" t="s">
        <v>48</v>
      </c>
      <c r="Q1101" t="s">
        <v>141</v>
      </c>
      <c r="R1101">
        <v>2</v>
      </c>
      <c r="S1101">
        <v>1999</v>
      </c>
      <c r="T1101">
        <v>0.1</v>
      </c>
      <c r="U1101">
        <v>3598.2</v>
      </c>
      <c r="V1101">
        <v>2300</v>
      </c>
      <c r="W1101">
        <v>1298.2</v>
      </c>
      <c r="X1101" t="s">
        <v>76</v>
      </c>
      <c r="Y1101" t="s">
        <v>68</v>
      </c>
      <c r="Z1101" t="s">
        <v>160</v>
      </c>
      <c r="AA1101" t="s">
        <v>169</v>
      </c>
      <c r="AB1101">
        <v>3.9</v>
      </c>
      <c r="AC1101">
        <v>100</v>
      </c>
      <c r="AD1101">
        <v>246.41</v>
      </c>
      <c r="AE1101">
        <f t="shared" si="34"/>
        <v>951.79000000000008</v>
      </c>
      <c r="AF1101" t="str">
        <f t="shared" si="35"/>
        <v>2025-05</v>
      </c>
      <c r="AG1101">
        <f>SUBTOTAL(103,A1101)</f>
        <v>1</v>
      </c>
    </row>
    <row r="1102" spans="1:33" x14ac:dyDescent="0.3">
      <c r="A1102" t="s">
        <v>3716</v>
      </c>
      <c r="B1102" s="13">
        <v>45796</v>
      </c>
      <c r="C1102">
        <v>2025</v>
      </c>
      <c r="D1102">
        <v>5</v>
      </c>
      <c r="E1102" t="s">
        <v>3566</v>
      </c>
      <c r="F1102" t="s">
        <v>3329</v>
      </c>
      <c r="G1102" t="s">
        <v>629</v>
      </c>
      <c r="H1102" t="s">
        <v>630</v>
      </c>
      <c r="I1102" t="s">
        <v>86</v>
      </c>
      <c r="J1102">
        <v>60</v>
      </c>
      <c r="K1102" t="s">
        <v>83</v>
      </c>
      <c r="L1102" t="s">
        <v>97</v>
      </c>
      <c r="M1102" t="s">
        <v>57</v>
      </c>
      <c r="N1102" t="s">
        <v>2626</v>
      </c>
      <c r="O1102" t="s">
        <v>125</v>
      </c>
      <c r="P1102" t="s">
        <v>48</v>
      </c>
      <c r="Q1102" t="s">
        <v>141</v>
      </c>
      <c r="R1102">
        <v>2</v>
      </c>
      <c r="S1102">
        <v>1999</v>
      </c>
      <c r="T1102">
        <v>0.15</v>
      </c>
      <c r="U1102">
        <v>0</v>
      </c>
      <c r="V1102">
        <v>0</v>
      </c>
      <c r="W1102">
        <v>0</v>
      </c>
      <c r="X1102" t="s">
        <v>74</v>
      </c>
      <c r="Y1102" t="s">
        <v>71</v>
      </c>
      <c r="Z1102" t="s">
        <v>163</v>
      </c>
      <c r="AA1102" t="s">
        <v>166</v>
      </c>
      <c r="AB1102">
        <v>3.8</v>
      </c>
      <c r="AC1102">
        <v>40</v>
      </c>
      <c r="AD1102">
        <v>317.33</v>
      </c>
      <c r="AE1102">
        <f t="shared" si="34"/>
        <v>-357.33</v>
      </c>
      <c r="AF1102" t="str">
        <f t="shared" si="35"/>
        <v>2025-05</v>
      </c>
      <c r="AG1102">
        <f>SUBTOTAL(103,A1102)</f>
        <v>1</v>
      </c>
    </row>
    <row r="1103" spans="1:33" x14ac:dyDescent="0.3">
      <c r="A1103" t="s">
        <v>3717</v>
      </c>
      <c r="B1103" s="13">
        <v>45796</v>
      </c>
      <c r="C1103">
        <v>2025</v>
      </c>
      <c r="D1103">
        <v>5</v>
      </c>
      <c r="E1103" t="s">
        <v>3566</v>
      </c>
      <c r="F1103" t="s">
        <v>3329</v>
      </c>
      <c r="G1103" t="s">
        <v>457</v>
      </c>
      <c r="H1103" t="s">
        <v>458</v>
      </c>
      <c r="I1103" t="s">
        <v>86</v>
      </c>
      <c r="J1103">
        <v>32</v>
      </c>
      <c r="K1103" t="s">
        <v>81</v>
      </c>
      <c r="L1103" t="s">
        <v>2616</v>
      </c>
      <c r="M1103" t="s">
        <v>62</v>
      </c>
      <c r="N1103" t="s">
        <v>2587</v>
      </c>
      <c r="O1103" t="s">
        <v>116</v>
      </c>
      <c r="P1103" t="s">
        <v>48</v>
      </c>
      <c r="Q1103" t="s">
        <v>138</v>
      </c>
      <c r="R1103">
        <v>4</v>
      </c>
      <c r="S1103">
        <v>14999</v>
      </c>
      <c r="T1103">
        <v>0.15</v>
      </c>
      <c r="U1103">
        <v>50996.6</v>
      </c>
      <c r="V1103">
        <v>44800</v>
      </c>
      <c r="W1103">
        <v>6196.6</v>
      </c>
      <c r="X1103" t="s">
        <v>76</v>
      </c>
      <c r="Y1103" t="s">
        <v>68</v>
      </c>
      <c r="Z1103" t="s">
        <v>159</v>
      </c>
      <c r="AA1103" t="s">
        <v>166</v>
      </c>
      <c r="AB1103">
        <v>3.3</v>
      </c>
      <c r="AC1103">
        <v>120</v>
      </c>
      <c r="AD1103">
        <v>3041.16</v>
      </c>
      <c r="AE1103">
        <f t="shared" si="34"/>
        <v>3035.4400000000005</v>
      </c>
      <c r="AF1103" t="str">
        <f t="shared" si="35"/>
        <v>2025-05</v>
      </c>
      <c r="AG1103">
        <f>SUBTOTAL(103,A1103)</f>
        <v>1</v>
      </c>
    </row>
    <row r="1104" spans="1:33" x14ac:dyDescent="0.3">
      <c r="A1104" t="s">
        <v>3718</v>
      </c>
      <c r="B1104" s="13">
        <v>45796</v>
      </c>
      <c r="C1104">
        <v>2025</v>
      </c>
      <c r="D1104">
        <v>5</v>
      </c>
      <c r="E1104" t="s">
        <v>3566</v>
      </c>
      <c r="F1104" t="s">
        <v>3329</v>
      </c>
      <c r="G1104" t="s">
        <v>467</v>
      </c>
      <c r="H1104" t="s">
        <v>468</v>
      </c>
      <c r="I1104" t="s">
        <v>85</v>
      </c>
      <c r="J1104">
        <v>42</v>
      </c>
      <c r="K1104" t="s">
        <v>82</v>
      </c>
      <c r="L1104" t="s">
        <v>2616</v>
      </c>
      <c r="M1104" t="s">
        <v>62</v>
      </c>
      <c r="N1104" t="s">
        <v>2665</v>
      </c>
      <c r="O1104" t="s">
        <v>128</v>
      </c>
      <c r="P1104" t="s">
        <v>53</v>
      </c>
      <c r="Q1104" t="s">
        <v>143</v>
      </c>
      <c r="R1104">
        <v>2</v>
      </c>
      <c r="S1104">
        <v>1499</v>
      </c>
      <c r="T1104">
        <v>0</v>
      </c>
      <c r="U1104">
        <v>2998</v>
      </c>
      <c r="V1104">
        <v>1600</v>
      </c>
      <c r="W1104">
        <v>1398</v>
      </c>
      <c r="X1104" t="s">
        <v>75</v>
      </c>
      <c r="Y1104" t="s">
        <v>69</v>
      </c>
      <c r="Z1104" t="s">
        <v>159</v>
      </c>
      <c r="AA1104" t="s">
        <v>171</v>
      </c>
      <c r="AB1104">
        <v>4.8</v>
      </c>
      <c r="AC1104">
        <v>80</v>
      </c>
      <c r="AD1104">
        <v>289.19</v>
      </c>
      <c r="AE1104">
        <f t="shared" si="34"/>
        <v>1028.81</v>
      </c>
      <c r="AF1104" t="str">
        <f t="shared" si="35"/>
        <v>2025-05</v>
      </c>
      <c r="AG1104">
        <f>SUBTOTAL(103,A1104)</f>
        <v>1</v>
      </c>
    </row>
    <row r="1105" spans="1:33" x14ac:dyDescent="0.3">
      <c r="A1105" t="s">
        <v>3719</v>
      </c>
      <c r="B1105" s="13">
        <v>45796</v>
      </c>
      <c r="C1105">
        <v>2025</v>
      </c>
      <c r="D1105">
        <v>5</v>
      </c>
      <c r="E1105" t="s">
        <v>3566</v>
      </c>
      <c r="F1105" t="s">
        <v>3329</v>
      </c>
      <c r="G1105" t="s">
        <v>1399</v>
      </c>
      <c r="H1105" t="s">
        <v>1400</v>
      </c>
      <c r="I1105" t="s">
        <v>85</v>
      </c>
      <c r="J1105">
        <v>34</v>
      </c>
      <c r="K1105" t="s">
        <v>81</v>
      </c>
      <c r="L1105" t="s">
        <v>93</v>
      </c>
      <c r="M1105" t="s">
        <v>55</v>
      </c>
      <c r="N1105" t="s">
        <v>2665</v>
      </c>
      <c r="O1105" t="s">
        <v>128</v>
      </c>
      <c r="P1105" t="s">
        <v>53</v>
      </c>
      <c r="Q1105" t="s">
        <v>143</v>
      </c>
      <c r="R1105">
        <v>1</v>
      </c>
      <c r="S1105">
        <v>1499</v>
      </c>
      <c r="T1105">
        <v>0.05</v>
      </c>
      <c r="U1105">
        <v>1424.05</v>
      </c>
      <c r="V1105">
        <v>800</v>
      </c>
      <c r="W1105">
        <v>624.04999999999995</v>
      </c>
      <c r="X1105" t="s">
        <v>73</v>
      </c>
      <c r="Y1105" t="s">
        <v>68</v>
      </c>
      <c r="Z1105" t="s">
        <v>163</v>
      </c>
      <c r="AA1105" t="s">
        <v>169</v>
      </c>
      <c r="AB1105">
        <v>4.2</v>
      </c>
      <c r="AC1105">
        <v>60</v>
      </c>
      <c r="AD1105">
        <v>72</v>
      </c>
      <c r="AE1105">
        <f t="shared" si="34"/>
        <v>492.04999999999995</v>
      </c>
      <c r="AF1105" t="str">
        <f t="shared" si="35"/>
        <v>2025-05</v>
      </c>
      <c r="AG1105">
        <f>SUBTOTAL(103,A1105)</f>
        <v>1</v>
      </c>
    </row>
    <row r="1106" spans="1:33" x14ac:dyDescent="0.3">
      <c r="A1106" t="s">
        <v>3720</v>
      </c>
      <c r="B1106" s="13">
        <v>45796</v>
      </c>
      <c r="C1106">
        <v>2025</v>
      </c>
      <c r="D1106">
        <v>5</v>
      </c>
      <c r="E1106" t="s">
        <v>3566</v>
      </c>
      <c r="F1106" t="s">
        <v>3329</v>
      </c>
      <c r="G1106" t="s">
        <v>845</v>
      </c>
      <c r="H1106" t="s">
        <v>846</v>
      </c>
      <c r="I1106" t="s">
        <v>86</v>
      </c>
      <c r="J1106">
        <v>51</v>
      </c>
      <c r="K1106" t="s">
        <v>83</v>
      </c>
      <c r="L1106" t="s">
        <v>2576</v>
      </c>
      <c r="M1106" t="s">
        <v>60</v>
      </c>
      <c r="N1106" t="s">
        <v>2603</v>
      </c>
      <c r="O1106" t="s">
        <v>122</v>
      </c>
      <c r="P1106" t="s">
        <v>48</v>
      </c>
      <c r="Q1106" t="s">
        <v>141</v>
      </c>
      <c r="R1106">
        <v>3</v>
      </c>
      <c r="S1106">
        <v>2499</v>
      </c>
      <c r="T1106">
        <v>0.2</v>
      </c>
      <c r="U1106">
        <v>5997.6</v>
      </c>
      <c r="V1106">
        <v>4350</v>
      </c>
      <c r="W1106">
        <v>1647.6</v>
      </c>
      <c r="X1106" t="s">
        <v>75</v>
      </c>
      <c r="Y1106" t="s">
        <v>68</v>
      </c>
      <c r="Z1106" t="s">
        <v>159</v>
      </c>
      <c r="AA1106" t="s">
        <v>171</v>
      </c>
      <c r="AB1106">
        <v>4.7</v>
      </c>
      <c r="AC1106">
        <v>50</v>
      </c>
      <c r="AD1106">
        <v>556.41999999999996</v>
      </c>
      <c r="AE1106">
        <f t="shared" si="34"/>
        <v>1041.1799999999998</v>
      </c>
      <c r="AF1106" t="str">
        <f t="shared" si="35"/>
        <v>2025-05</v>
      </c>
      <c r="AG1106">
        <f>SUBTOTAL(103,A1106)</f>
        <v>1</v>
      </c>
    </row>
    <row r="1107" spans="1:33" x14ac:dyDescent="0.3">
      <c r="A1107" t="s">
        <v>3721</v>
      </c>
      <c r="B1107" s="13">
        <v>45796</v>
      </c>
      <c r="C1107">
        <v>2025</v>
      </c>
      <c r="D1107">
        <v>5</v>
      </c>
      <c r="E1107" t="s">
        <v>3566</v>
      </c>
      <c r="F1107" t="s">
        <v>3329</v>
      </c>
      <c r="G1107" t="s">
        <v>1607</v>
      </c>
      <c r="H1107" t="s">
        <v>1608</v>
      </c>
      <c r="I1107" t="s">
        <v>86</v>
      </c>
      <c r="J1107">
        <v>52</v>
      </c>
      <c r="K1107" t="s">
        <v>83</v>
      </c>
      <c r="L1107" t="s">
        <v>91</v>
      </c>
      <c r="M1107" t="s">
        <v>55</v>
      </c>
      <c r="N1107" t="s">
        <v>2603</v>
      </c>
      <c r="O1107" t="s">
        <v>122</v>
      </c>
      <c r="P1107" t="s">
        <v>48</v>
      </c>
      <c r="Q1107" t="s">
        <v>141</v>
      </c>
      <c r="R1107">
        <v>1</v>
      </c>
      <c r="S1107">
        <v>2499</v>
      </c>
      <c r="T1107">
        <v>0</v>
      </c>
      <c r="U1107">
        <v>2499</v>
      </c>
      <c r="V1107">
        <v>1450</v>
      </c>
      <c r="W1107">
        <v>1049</v>
      </c>
      <c r="X1107" t="s">
        <v>76</v>
      </c>
      <c r="Y1107" t="s">
        <v>68</v>
      </c>
      <c r="Z1107" t="s">
        <v>163</v>
      </c>
      <c r="AA1107" t="s">
        <v>171</v>
      </c>
      <c r="AB1107">
        <v>4.0999999999999996</v>
      </c>
      <c r="AC1107">
        <v>50</v>
      </c>
      <c r="AD1107">
        <v>112.06</v>
      </c>
      <c r="AE1107">
        <f t="shared" si="34"/>
        <v>886.94</v>
      </c>
      <c r="AF1107" t="str">
        <f t="shared" si="35"/>
        <v>2025-05</v>
      </c>
      <c r="AG1107">
        <f>SUBTOTAL(103,A1107)</f>
        <v>1</v>
      </c>
    </row>
    <row r="1108" spans="1:33" x14ac:dyDescent="0.3">
      <c r="A1108" t="s">
        <v>3722</v>
      </c>
      <c r="B1108" s="13">
        <v>45796</v>
      </c>
      <c r="C1108">
        <v>2025</v>
      </c>
      <c r="D1108">
        <v>5</v>
      </c>
      <c r="E1108" t="s">
        <v>3566</v>
      </c>
      <c r="F1108" t="s">
        <v>3329</v>
      </c>
      <c r="G1108" t="s">
        <v>1877</v>
      </c>
      <c r="H1108" t="s">
        <v>1878</v>
      </c>
      <c r="I1108" t="s">
        <v>86</v>
      </c>
      <c r="J1108">
        <v>57</v>
      </c>
      <c r="K1108" t="s">
        <v>83</v>
      </c>
      <c r="L1108" t="s">
        <v>2661</v>
      </c>
      <c r="M1108" t="s">
        <v>58</v>
      </c>
      <c r="N1108" t="s">
        <v>2665</v>
      </c>
      <c r="O1108" t="s">
        <v>128</v>
      </c>
      <c r="P1108" t="s">
        <v>53</v>
      </c>
      <c r="Q1108" t="s">
        <v>143</v>
      </c>
      <c r="R1108">
        <v>4</v>
      </c>
      <c r="S1108">
        <v>1499</v>
      </c>
      <c r="T1108">
        <v>0</v>
      </c>
      <c r="U1108">
        <v>5996</v>
      </c>
      <c r="V1108">
        <v>3200</v>
      </c>
      <c r="W1108">
        <v>2796</v>
      </c>
      <c r="X1108" t="s">
        <v>77</v>
      </c>
      <c r="Y1108" t="s">
        <v>68</v>
      </c>
      <c r="Z1108" t="s">
        <v>161</v>
      </c>
      <c r="AA1108" t="s">
        <v>167</v>
      </c>
      <c r="AB1108">
        <v>3.3</v>
      </c>
      <c r="AC1108">
        <v>100</v>
      </c>
      <c r="AD1108">
        <v>222.79</v>
      </c>
      <c r="AE1108">
        <f t="shared" si="34"/>
        <v>2473.21</v>
      </c>
      <c r="AF1108" t="str">
        <f t="shared" si="35"/>
        <v>2025-05</v>
      </c>
      <c r="AG1108">
        <f>SUBTOTAL(103,A1108)</f>
        <v>1</v>
      </c>
    </row>
    <row r="1109" spans="1:33" x14ac:dyDescent="0.3">
      <c r="A1109" t="s">
        <v>3723</v>
      </c>
      <c r="B1109" s="13">
        <v>45797</v>
      </c>
      <c r="C1109">
        <v>2025</v>
      </c>
      <c r="D1109">
        <v>5</v>
      </c>
      <c r="E1109" t="s">
        <v>3566</v>
      </c>
      <c r="F1109" t="s">
        <v>3329</v>
      </c>
      <c r="G1109" t="s">
        <v>1009</v>
      </c>
      <c r="H1109" t="s">
        <v>1010</v>
      </c>
      <c r="I1109" t="s">
        <v>86</v>
      </c>
      <c r="J1109">
        <v>41</v>
      </c>
      <c r="K1109" t="s">
        <v>82</v>
      </c>
      <c r="L1109" t="s">
        <v>100</v>
      </c>
      <c r="M1109" t="s">
        <v>56</v>
      </c>
      <c r="N1109" t="s">
        <v>2584</v>
      </c>
      <c r="O1109" t="s">
        <v>121</v>
      </c>
      <c r="P1109" t="s">
        <v>50</v>
      </c>
      <c r="Q1109" t="s">
        <v>144</v>
      </c>
      <c r="R1109">
        <v>2</v>
      </c>
      <c r="S1109">
        <v>2999</v>
      </c>
      <c r="T1109">
        <v>0.05</v>
      </c>
      <c r="U1109">
        <v>5698.1</v>
      </c>
      <c r="V1109">
        <v>3400</v>
      </c>
      <c r="W1109">
        <v>2298.1</v>
      </c>
      <c r="X1109" t="s">
        <v>74</v>
      </c>
      <c r="Y1109" t="s">
        <v>68</v>
      </c>
      <c r="Z1109" t="s">
        <v>159</v>
      </c>
      <c r="AA1109" t="s">
        <v>166</v>
      </c>
      <c r="AB1109">
        <v>4.5</v>
      </c>
      <c r="AC1109">
        <v>50</v>
      </c>
      <c r="AD1109">
        <v>225.73</v>
      </c>
      <c r="AE1109">
        <f t="shared" si="34"/>
        <v>2022.37</v>
      </c>
      <c r="AF1109" t="str">
        <f t="shared" si="35"/>
        <v>2025-05</v>
      </c>
      <c r="AG1109">
        <f>SUBTOTAL(103,A1109)</f>
        <v>1</v>
      </c>
    </row>
    <row r="1110" spans="1:33" x14ac:dyDescent="0.3">
      <c r="A1110" t="s">
        <v>3724</v>
      </c>
      <c r="B1110" s="13">
        <v>45797</v>
      </c>
      <c r="C1110">
        <v>2025</v>
      </c>
      <c r="D1110">
        <v>5</v>
      </c>
      <c r="E1110" t="s">
        <v>3566</v>
      </c>
      <c r="F1110" t="s">
        <v>3329</v>
      </c>
      <c r="G1110" t="s">
        <v>1989</v>
      </c>
      <c r="H1110" t="s">
        <v>1990</v>
      </c>
      <c r="I1110" t="s">
        <v>85</v>
      </c>
      <c r="J1110">
        <v>57</v>
      </c>
      <c r="K1110" t="s">
        <v>83</v>
      </c>
      <c r="L1110" t="s">
        <v>92</v>
      </c>
      <c r="M1110" t="s">
        <v>59</v>
      </c>
      <c r="N1110" t="s">
        <v>2626</v>
      </c>
      <c r="O1110" t="s">
        <v>125</v>
      </c>
      <c r="P1110" t="s">
        <v>48</v>
      </c>
      <c r="Q1110" t="s">
        <v>141</v>
      </c>
      <c r="R1110">
        <v>1</v>
      </c>
      <c r="S1110">
        <v>1999</v>
      </c>
      <c r="T1110">
        <v>0</v>
      </c>
      <c r="U1110">
        <v>1999</v>
      </c>
      <c r="V1110">
        <v>1150</v>
      </c>
      <c r="W1110">
        <v>849</v>
      </c>
      <c r="X1110" t="s">
        <v>73</v>
      </c>
      <c r="Y1110" t="s">
        <v>68</v>
      </c>
      <c r="Z1110" t="s">
        <v>158</v>
      </c>
      <c r="AA1110" t="s">
        <v>171</v>
      </c>
      <c r="AB1110">
        <v>3.5</v>
      </c>
      <c r="AC1110">
        <v>50</v>
      </c>
      <c r="AD1110">
        <v>211.28</v>
      </c>
      <c r="AE1110">
        <f t="shared" si="34"/>
        <v>587.72</v>
      </c>
      <c r="AF1110" t="str">
        <f t="shared" si="35"/>
        <v>2025-05</v>
      </c>
      <c r="AG1110">
        <f>SUBTOTAL(103,A1110)</f>
        <v>1</v>
      </c>
    </row>
    <row r="1111" spans="1:33" x14ac:dyDescent="0.3">
      <c r="A1111" t="s">
        <v>3725</v>
      </c>
      <c r="B1111" s="13">
        <v>45797</v>
      </c>
      <c r="C1111">
        <v>2025</v>
      </c>
      <c r="D1111">
        <v>5</v>
      </c>
      <c r="E1111" t="s">
        <v>3566</v>
      </c>
      <c r="F1111" t="s">
        <v>3329</v>
      </c>
      <c r="G1111" t="s">
        <v>2323</v>
      </c>
      <c r="H1111" t="s">
        <v>2324</v>
      </c>
      <c r="I1111" t="s">
        <v>86</v>
      </c>
      <c r="J1111">
        <v>51</v>
      </c>
      <c r="K1111" t="s">
        <v>83</v>
      </c>
      <c r="L1111" t="s">
        <v>2586</v>
      </c>
      <c r="M1111" t="s">
        <v>62</v>
      </c>
      <c r="N1111" t="s">
        <v>2603</v>
      </c>
      <c r="O1111" t="s">
        <v>122</v>
      </c>
      <c r="P1111" t="s">
        <v>48</v>
      </c>
      <c r="Q1111" t="s">
        <v>141</v>
      </c>
      <c r="R1111">
        <v>1</v>
      </c>
      <c r="S1111">
        <v>2499</v>
      </c>
      <c r="T1111">
        <v>0.15</v>
      </c>
      <c r="U1111">
        <v>2124.15</v>
      </c>
      <c r="V1111">
        <v>1450</v>
      </c>
      <c r="W1111">
        <v>674.15</v>
      </c>
      <c r="X1111" t="s">
        <v>73</v>
      </c>
      <c r="Y1111" t="s">
        <v>68</v>
      </c>
      <c r="Z1111" t="s">
        <v>161</v>
      </c>
      <c r="AA1111" t="s">
        <v>170</v>
      </c>
      <c r="AB1111">
        <v>2.5</v>
      </c>
      <c r="AC1111">
        <v>60</v>
      </c>
      <c r="AD1111">
        <v>105.19</v>
      </c>
      <c r="AE1111">
        <f t="shared" si="34"/>
        <v>508.96</v>
      </c>
      <c r="AF1111" t="str">
        <f t="shared" si="35"/>
        <v>2025-05</v>
      </c>
      <c r="AG1111">
        <f>SUBTOTAL(103,A1111)</f>
        <v>1</v>
      </c>
    </row>
    <row r="1112" spans="1:33" x14ac:dyDescent="0.3">
      <c r="A1112" t="s">
        <v>3726</v>
      </c>
      <c r="B1112" s="13">
        <v>45797</v>
      </c>
      <c r="C1112">
        <v>2025</v>
      </c>
      <c r="D1112">
        <v>5</v>
      </c>
      <c r="E1112" t="s">
        <v>3566</v>
      </c>
      <c r="F1112" t="s">
        <v>3329</v>
      </c>
      <c r="G1112" t="s">
        <v>1699</v>
      </c>
      <c r="H1112" t="s">
        <v>1700</v>
      </c>
      <c r="I1112" t="s">
        <v>86</v>
      </c>
      <c r="J1112">
        <v>36</v>
      </c>
      <c r="K1112" t="s">
        <v>82</v>
      </c>
      <c r="L1112" t="s">
        <v>93</v>
      </c>
      <c r="M1112" t="s">
        <v>55</v>
      </c>
      <c r="N1112" t="s">
        <v>2574</v>
      </c>
      <c r="O1112" t="s">
        <v>130</v>
      </c>
      <c r="P1112" t="s">
        <v>50</v>
      </c>
      <c r="Q1112" t="s">
        <v>53</v>
      </c>
      <c r="R1112">
        <v>2</v>
      </c>
      <c r="S1112">
        <v>1199</v>
      </c>
      <c r="T1112">
        <v>0.15</v>
      </c>
      <c r="U1112">
        <v>2038.3</v>
      </c>
      <c r="V1112">
        <v>1100</v>
      </c>
      <c r="W1112">
        <v>938.3</v>
      </c>
      <c r="X1112" t="s">
        <v>73</v>
      </c>
      <c r="Y1112" t="s">
        <v>68</v>
      </c>
      <c r="Z1112" t="s">
        <v>161</v>
      </c>
      <c r="AA1112" t="s">
        <v>167</v>
      </c>
      <c r="AB1112">
        <v>2.5</v>
      </c>
      <c r="AC1112">
        <v>80</v>
      </c>
      <c r="AD1112">
        <v>138.97</v>
      </c>
      <c r="AE1112">
        <f t="shared" si="34"/>
        <v>719.32999999999993</v>
      </c>
      <c r="AF1112" t="str">
        <f t="shared" si="35"/>
        <v>2025-05</v>
      </c>
      <c r="AG1112">
        <f>SUBTOTAL(103,A1112)</f>
        <v>1</v>
      </c>
    </row>
    <row r="1113" spans="1:33" x14ac:dyDescent="0.3">
      <c r="A1113" t="s">
        <v>3727</v>
      </c>
      <c r="B1113" s="13">
        <v>45797</v>
      </c>
      <c r="C1113">
        <v>2025</v>
      </c>
      <c r="D1113">
        <v>5</v>
      </c>
      <c r="E1113" t="s">
        <v>3566</v>
      </c>
      <c r="F1113" t="s">
        <v>3329</v>
      </c>
      <c r="G1113" t="s">
        <v>1929</v>
      </c>
      <c r="H1113" t="s">
        <v>1930</v>
      </c>
      <c r="I1113" t="s">
        <v>85</v>
      </c>
      <c r="J1113">
        <v>38</v>
      </c>
      <c r="K1113" t="s">
        <v>82</v>
      </c>
      <c r="L1113" t="s">
        <v>100</v>
      </c>
      <c r="M1113" t="s">
        <v>56</v>
      </c>
      <c r="N1113" t="s">
        <v>2647</v>
      </c>
      <c r="O1113" t="s">
        <v>133</v>
      </c>
      <c r="P1113" t="s">
        <v>50</v>
      </c>
      <c r="Q1113" t="s">
        <v>145</v>
      </c>
      <c r="R1113">
        <v>4</v>
      </c>
      <c r="S1113">
        <v>799</v>
      </c>
      <c r="T1113">
        <v>0.05</v>
      </c>
      <c r="U1113">
        <v>3036.2</v>
      </c>
      <c r="V1113">
        <v>1560</v>
      </c>
      <c r="W1113">
        <v>1476.2</v>
      </c>
      <c r="X1113" t="s">
        <v>75</v>
      </c>
      <c r="Y1113" t="s">
        <v>68</v>
      </c>
      <c r="Z1113" t="s">
        <v>160</v>
      </c>
      <c r="AA1113" t="s">
        <v>166</v>
      </c>
      <c r="AB1113">
        <v>4.9000000000000004</v>
      </c>
      <c r="AC1113">
        <v>50</v>
      </c>
      <c r="AD1113">
        <v>229.04</v>
      </c>
      <c r="AE1113">
        <f t="shared" si="34"/>
        <v>1197.1600000000001</v>
      </c>
      <c r="AF1113" t="str">
        <f t="shared" si="35"/>
        <v>2025-05</v>
      </c>
      <c r="AG1113">
        <f>SUBTOTAL(103,A1113)</f>
        <v>1</v>
      </c>
    </row>
    <row r="1114" spans="1:33" x14ac:dyDescent="0.3">
      <c r="A1114" t="s">
        <v>3728</v>
      </c>
      <c r="B1114" s="13">
        <v>45798</v>
      </c>
      <c r="C1114">
        <v>2025</v>
      </c>
      <c r="D1114">
        <v>5</v>
      </c>
      <c r="E1114" t="s">
        <v>3566</v>
      </c>
      <c r="F1114" t="s">
        <v>3329</v>
      </c>
      <c r="G1114" t="s">
        <v>907</v>
      </c>
      <c r="H1114" t="s">
        <v>908</v>
      </c>
      <c r="I1114" t="s">
        <v>85</v>
      </c>
      <c r="J1114">
        <v>60</v>
      </c>
      <c r="K1114" t="s">
        <v>83</v>
      </c>
      <c r="L1114" t="s">
        <v>2586</v>
      </c>
      <c r="M1114" t="s">
        <v>62</v>
      </c>
      <c r="N1114" t="s">
        <v>2626</v>
      </c>
      <c r="O1114" t="s">
        <v>125</v>
      </c>
      <c r="P1114" t="s">
        <v>48</v>
      </c>
      <c r="Q1114" t="s">
        <v>141</v>
      </c>
      <c r="R1114">
        <v>1</v>
      </c>
      <c r="S1114">
        <v>1999</v>
      </c>
      <c r="T1114">
        <v>0.1</v>
      </c>
      <c r="U1114">
        <v>1799.1</v>
      </c>
      <c r="V1114">
        <v>1150</v>
      </c>
      <c r="W1114">
        <v>649.1</v>
      </c>
      <c r="X1114" t="s">
        <v>75</v>
      </c>
      <c r="Y1114" t="s">
        <v>68</v>
      </c>
      <c r="Z1114" t="s">
        <v>158</v>
      </c>
      <c r="AA1114" t="s">
        <v>166</v>
      </c>
      <c r="AB1114">
        <v>3.5</v>
      </c>
      <c r="AC1114">
        <v>60</v>
      </c>
      <c r="AD1114">
        <v>141.02000000000001</v>
      </c>
      <c r="AE1114">
        <f t="shared" si="34"/>
        <v>448.08000000000004</v>
      </c>
      <c r="AF1114" t="str">
        <f t="shared" si="35"/>
        <v>2025-05</v>
      </c>
      <c r="AG1114">
        <f>SUBTOTAL(103,A1114)</f>
        <v>1</v>
      </c>
    </row>
    <row r="1115" spans="1:33" x14ac:dyDescent="0.3">
      <c r="A1115" t="s">
        <v>3729</v>
      </c>
      <c r="B1115" s="13">
        <v>45798</v>
      </c>
      <c r="C1115">
        <v>2025</v>
      </c>
      <c r="D1115">
        <v>5</v>
      </c>
      <c r="E1115" t="s">
        <v>3566</v>
      </c>
      <c r="F1115" t="s">
        <v>3329</v>
      </c>
      <c r="G1115" t="s">
        <v>2403</v>
      </c>
      <c r="H1115" t="s">
        <v>2404</v>
      </c>
      <c r="I1115" t="s">
        <v>87</v>
      </c>
      <c r="J1115">
        <v>46</v>
      </c>
      <c r="K1115" t="s">
        <v>83</v>
      </c>
      <c r="L1115" t="s">
        <v>91</v>
      </c>
      <c r="M1115" t="s">
        <v>55</v>
      </c>
      <c r="N1115" t="s">
        <v>2582</v>
      </c>
      <c r="O1115" t="s">
        <v>119</v>
      </c>
      <c r="P1115" t="s">
        <v>49</v>
      </c>
      <c r="Q1115" t="s">
        <v>140</v>
      </c>
      <c r="R1115">
        <v>1</v>
      </c>
      <c r="S1115">
        <v>3499</v>
      </c>
      <c r="T1115">
        <v>0.1</v>
      </c>
      <c r="U1115">
        <v>3149.1</v>
      </c>
      <c r="V1115">
        <v>2100</v>
      </c>
      <c r="W1115">
        <v>1049.0999999999999</v>
      </c>
      <c r="X1115" t="s">
        <v>73</v>
      </c>
      <c r="Y1115" t="s">
        <v>68</v>
      </c>
      <c r="Z1115" t="s">
        <v>160</v>
      </c>
      <c r="AA1115" t="s">
        <v>170</v>
      </c>
      <c r="AB1115">
        <v>5</v>
      </c>
      <c r="AC1115">
        <v>80</v>
      </c>
      <c r="AD1115">
        <v>377.43</v>
      </c>
      <c r="AE1115">
        <f t="shared" si="34"/>
        <v>591.66999999999985</v>
      </c>
      <c r="AF1115" t="str">
        <f t="shared" si="35"/>
        <v>2025-05</v>
      </c>
      <c r="AG1115">
        <f>SUBTOTAL(103,A1115)</f>
        <v>1</v>
      </c>
    </row>
    <row r="1116" spans="1:33" x14ac:dyDescent="0.3">
      <c r="A1116" t="s">
        <v>3730</v>
      </c>
      <c r="B1116" s="13">
        <v>45798</v>
      </c>
      <c r="C1116">
        <v>2025</v>
      </c>
      <c r="D1116">
        <v>5</v>
      </c>
      <c r="E1116" t="s">
        <v>3566</v>
      </c>
      <c r="F1116" t="s">
        <v>3329</v>
      </c>
      <c r="G1116" t="s">
        <v>2005</v>
      </c>
      <c r="H1116" t="s">
        <v>2006</v>
      </c>
      <c r="I1116" t="s">
        <v>85</v>
      </c>
      <c r="J1116">
        <v>45</v>
      </c>
      <c r="K1116" t="s">
        <v>82</v>
      </c>
      <c r="L1116" t="s">
        <v>2623</v>
      </c>
      <c r="M1116" t="s">
        <v>61</v>
      </c>
      <c r="N1116" t="s">
        <v>2653</v>
      </c>
      <c r="O1116" t="s">
        <v>132</v>
      </c>
      <c r="P1116" t="s">
        <v>52</v>
      </c>
      <c r="Q1116" t="s">
        <v>150</v>
      </c>
      <c r="R1116">
        <v>2</v>
      </c>
      <c r="S1116">
        <v>899</v>
      </c>
      <c r="T1116">
        <v>0.15</v>
      </c>
      <c r="U1116">
        <v>1528.3</v>
      </c>
      <c r="V1116">
        <v>840</v>
      </c>
      <c r="W1116">
        <v>688.3</v>
      </c>
      <c r="X1116" t="s">
        <v>76</v>
      </c>
      <c r="Y1116" t="s">
        <v>68</v>
      </c>
      <c r="Z1116" t="s">
        <v>162</v>
      </c>
      <c r="AA1116" t="s">
        <v>168</v>
      </c>
      <c r="AB1116">
        <v>4.3</v>
      </c>
      <c r="AC1116">
        <v>60</v>
      </c>
      <c r="AD1116">
        <v>158.37</v>
      </c>
      <c r="AE1116">
        <f t="shared" si="34"/>
        <v>469.92999999999995</v>
      </c>
      <c r="AF1116" t="str">
        <f t="shared" si="35"/>
        <v>2025-05</v>
      </c>
      <c r="AG1116">
        <f>SUBTOTAL(103,A1116)</f>
        <v>1</v>
      </c>
    </row>
    <row r="1117" spans="1:33" x14ac:dyDescent="0.3">
      <c r="A1117" t="s">
        <v>3731</v>
      </c>
      <c r="B1117" s="13">
        <v>45798</v>
      </c>
      <c r="C1117">
        <v>2025</v>
      </c>
      <c r="D1117">
        <v>5</v>
      </c>
      <c r="E1117" t="s">
        <v>3566</v>
      </c>
      <c r="F1117" t="s">
        <v>3329</v>
      </c>
      <c r="G1117" t="s">
        <v>1127</v>
      </c>
      <c r="H1117" t="s">
        <v>1128</v>
      </c>
      <c r="I1117" t="s">
        <v>85</v>
      </c>
      <c r="J1117">
        <v>25</v>
      </c>
      <c r="K1117" t="s">
        <v>80</v>
      </c>
      <c r="L1117" t="s">
        <v>94</v>
      </c>
      <c r="M1117" t="s">
        <v>57</v>
      </c>
      <c r="N1117" t="s">
        <v>2580</v>
      </c>
      <c r="O1117" t="s">
        <v>118</v>
      </c>
      <c r="P1117" t="s">
        <v>48</v>
      </c>
      <c r="Q1117" t="s">
        <v>142</v>
      </c>
      <c r="R1117">
        <v>1</v>
      </c>
      <c r="S1117">
        <v>3999</v>
      </c>
      <c r="T1117">
        <v>0</v>
      </c>
      <c r="U1117">
        <v>3999</v>
      </c>
      <c r="V1117">
        <v>2400</v>
      </c>
      <c r="W1117">
        <v>1599</v>
      </c>
      <c r="X1117" t="s">
        <v>73</v>
      </c>
      <c r="Y1117" t="s">
        <v>69</v>
      </c>
      <c r="Z1117" t="s">
        <v>161</v>
      </c>
      <c r="AA1117" t="s">
        <v>169</v>
      </c>
      <c r="AB1117">
        <v>3.9</v>
      </c>
      <c r="AC1117">
        <v>60</v>
      </c>
      <c r="AD1117">
        <v>183.97</v>
      </c>
      <c r="AE1117">
        <f t="shared" si="34"/>
        <v>1355.03</v>
      </c>
      <c r="AF1117" t="str">
        <f t="shared" si="35"/>
        <v>2025-05</v>
      </c>
      <c r="AG1117">
        <f>SUBTOTAL(103,A1117)</f>
        <v>1</v>
      </c>
    </row>
    <row r="1118" spans="1:33" x14ac:dyDescent="0.3">
      <c r="A1118" t="s">
        <v>3732</v>
      </c>
      <c r="B1118" s="13">
        <v>45798</v>
      </c>
      <c r="C1118">
        <v>2025</v>
      </c>
      <c r="D1118">
        <v>5</v>
      </c>
      <c r="E1118" t="s">
        <v>3566</v>
      </c>
      <c r="F1118" t="s">
        <v>3329</v>
      </c>
      <c r="G1118" t="s">
        <v>1143</v>
      </c>
      <c r="H1118" t="s">
        <v>1144</v>
      </c>
      <c r="I1118" t="s">
        <v>86</v>
      </c>
      <c r="J1118">
        <v>40</v>
      </c>
      <c r="K1118" t="s">
        <v>82</v>
      </c>
      <c r="L1118" t="s">
        <v>59</v>
      </c>
      <c r="M1118" t="s">
        <v>59</v>
      </c>
      <c r="N1118" t="s">
        <v>2592</v>
      </c>
      <c r="O1118" t="s">
        <v>115</v>
      </c>
      <c r="P1118" t="s">
        <v>48</v>
      </c>
      <c r="Q1118" t="s">
        <v>137</v>
      </c>
      <c r="R1118">
        <v>2</v>
      </c>
      <c r="S1118">
        <v>12999</v>
      </c>
      <c r="T1118">
        <v>0.05</v>
      </c>
      <c r="U1118">
        <v>24698.1</v>
      </c>
      <c r="V1118">
        <v>18000</v>
      </c>
      <c r="W1118">
        <v>6698.1</v>
      </c>
      <c r="X1118" t="s">
        <v>73</v>
      </c>
      <c r="Y1118" t="s">
        <v>68</v>
      </c>
      <c r="Z1118" t="s">
        <v>159</v>
      </c>
      <c r="AA1118" t="s">
        <v>166</v>
      </c>
      <c r="AB1118">
        <v>3.1</v>
      </c>
      <c r="AC1118">
        <v>50</v>
      </c>
      <c r="AD1118">
        <v>2441.66</v>
      </c>
      <c r="AE1118">
        <f t="shared" si="34"/>
        <v>4206.4400000000005</v>
      </c>
      <c r="AF1118" t="str">
        <f t="shared" si="35"/>
        <v>2025-05</v>
      </c>
      <c r="AG1118">
        <f>SUBTOTAL(103,A1118)</f>
        <v>1</v>
      </c>
    </row>
    <row r="1119" spans="1:33" x14ac:dyDescent="0.3">
      <c r="A1119" t="s">
        <v>3733</v>
      </c>
      <c r="B1119" s="13">
        <v>45798</v>
      </c>
      <c r="C1119">
        <v>2025</v>
      </c>
      <c r="D1119">
        <v>5</v>
      </c>
      <c r="E1119" t="s">
        <v>3566</v>
      </c>
      <c r="F1119" t="s">
        <v>3329</v>
      </c>
      <c r="G1119" t="s">
        <v>2139</v>
      </c>
      <c r="H1119" t="s">
        <v>2140</v>
      </c>
      <c r="I1119" t="s">
        <v>85</v>
      </c>
      <c r="J1119">
        <v>58</v>
      </c>
      <c r="K1119" t="s">
        <v>83</v>
      </c>
      <c r="L1119" t="s">
        <v>2623</v>
      </c>
      <c r="M1119" t="s">
        <v>61</v>
      </c>
      <c r="N1119" t="s">
        <v>2644</v>
      </c>
      <c r="O1119" t="s">
        <v>126</v>
      </c>
      <c r="P1119" t="s">
        <v>50</v>
      </c>
      <c r="Q1119" t="s">
        <v>145</v>
      </c>
      <c r="R1119">
        <v>2</v>
      </c>
      <c r="S1119">
        <v>1799</v>
      </c>
      <c r="T1119">
        <v>0.05</v>
      </c>
      <c r="U1119">
        <v>0</v>
      </c>
      <c r="V1119">
        <v>0</v>
      </c>
      <c r="W1119">
        <v>0</v>
      </c>
      <c r="X1119" t="s">
        <v>74</v>
      </c>
      <c r="Y1119" t="s">
        <v>71</v>
      </c>
      <c r="Z1119" t="s">
        <v>161</v>
      </c>
      <c r="AA1119" t="s">
        <v>170</v>
      </c>
      <c r="AB1119">
        <v>3.3</v>
      </c>
      <c r="AC1119">
        <v>50</v>
      </c>
      <c r="AD1119">
        <v>151.63999999999999</v>
      </c>
      <c r="AE1119">
        <f t="shared" si="34"/>
        <v>-201.64</v>
      </c>
      <c r="AF1119" t="str">
        <f t="shared" si="35"/>
        <v>2025-05</v>
      </c>
      <c r="AG1119">
        <f>SUBTOTAL(103,A1119)</f>
        <v>1</v>
      </c>
    </row>
    <row r="1120" spans="1:33" x14ac:dyDescent="0.3">
      <c r="A1120" t="s">
        <v>3734</v>
      </c>
      <c r="B1120" s="13">
        <v>45798</v>
      </c>
      <c r="C1120">
        <v>2025</v>
      </c>
      <c r="D1120">
        <v>5</v>
      </c>
      <c r="E1120" t="s">
        <v>3566</v>
      </c>
      <c r="F1120" t="s">
        <v>3329</v>
      </c>
      <c r="G1120" t="s">
        <v>325</v>
      </c>
      <c r="H1120" t="s">
        <v>326</v>
      </c>
      <c r="I1120" t="s">
        <v>86</v>
      </c>
      <c r="J1120">
        <v>50</v>
      </c>
      <c r="K1120" t="s">
        <v>83</v>
      </c>
      <c r="L1120" t="s">
        <v>2687</v>
      </c>
      <c r="M1120" t="s">
        <v>57</v>
      </c>
      <c r="N1120" t="s">
        <v>2630</v>
      </c>
      <c r="O1120" t="s">
        <v>123</v>
      </c>
      <c r="P1120" t="s">
        <v>52</v>
      </c>
      <c r="Q1120" t="s">
        <v>146</v>
      </c>
      <c r="R1120">
        <v>3</v>
      </c>
      <c r="S1120">
        <v>2499</v>
      </c>
      <c r="T1120">
        <v>0</v>
      </c>
      <c r="U1120">
        <v>7497</v>
      </c>
      <c r="V1120">
        <v>4200</v>
      </c>
      <c r="W1120">
        <v>3297</v>
      </c>
      <c r="X1120" t="s">
        <v>73</v>
      </c>
      <c r="Y1120" t="s">
        <v>68</v>
      </c>
      <c r="Z1120" t="s">
        <v>163</v>
      </c>
      <c r="AA1120" t="s">
        <v>167</v>
      </c>
      <c r="AB1120">
        <v>4.0999999999999996</v>
      </c>
      <c r="AC1120">
        <v>60</v>
      </c>
      <c r="AD1120">
        <v>249.82</v>
      </c>
      <c r="AE1120">
        <f t="shared" si="34"/>
        <v>2987.18</v>
      </c>
      <c r="AF1120" t="str">
        <f t="shared" si="35"/>
        <v>2025-05</v>
      </c>
      <c r="AG1120">
        <f>SUBTOTAL(103,A1120)</f>
        <v>1</v>
      </c>
    </row>
    <row r="1121" spans="1:33" x14ac:dyDescent="0.3">
      <c r="A1121" t="s">
        <v>3735</v>
      </c>
      <c r="B1121" s="13">
        <v>45798</v>
      </c>
      <c r="C1121">
        <v>2025</v>
      </c>
      <c r="D1121">
        <v>5</v>
      </c>
      <c r="E1121" t="s">
        <v>3566</v>
      </c>
      <c r="F1121" t="s">
        <v>3329</v>
      </c>
      <c r="G1121" t="s">
        <v>1693</v>
      </c>
      <c r="H1121" t="s">
        <v>1694</v>
      </c>
      <c r="I1121" t="s">
        <v>85</v>
      </c>
      <c r="J1121">
        <v>21</v>
      </c>
      <c r="K1121" t="s">
        <v>80</v>
      </c>
      <c r="L1121" t="s">
        <v>93</v>
      </c>
      <c r="M1121" t="s">
        <v>55</v>
      </c>
      <c r="N1121" t="s">
        <v>2580</v>
      </c>
      <c r="O1121" t="s">
        <v>118</v>
      </c>
      <c r="P1121" t="s">
        <v>48</v>
      </c>
      <c r="Q1121" t="s">
        <v>142</v>
      </c>
      <c r="R1121">
        <v>1</v>
      </c>
      <c r="S1121">
        <v>3999</v>
      </c>
      <c r="T1121">
        <v>0</v>
      </c>
      <c r="U1121">
        <v>3999</v>
      </c>
      <c r="V1121">
        <v>2400</v>
      </c>
      <c r="W1121">
        <v>1599</v>
      </c>
      <c r="X1121" t="s">
        <v>75</v>
      </c>
      <c r="Y1121" t="s">
        <v>68</v>
      </c>
      <c r="Z1121" t="s">
        <v>162</v>
      </c>
      <c r="AA1121" t="s">
        <v>169</v>
      </c>
      <c r="AB1121">
        <v>4.5</v>
      </c>
      <c r="AC1121">
        <v>50</v>
      </c>
      <c r="AD1121">
        <v>220.84</v>
      </c>
      <c r="AE1121">
        <f t="shared" si="34"/>
        <v>1328.16</v>
      </c>
      <c r="AF1121" t="str">
        <f t="shared" si="35"/>
        <v>2025-05</v>
      </c>
      <c r="AG1121">
        <f>SUBTOTAL(103,A1121)</f>
        <v>1</v>
      </c>
    </row>
    <row r="1122" spans="1:33" x14ac:dyDescent="0.3">
      <c r="A1122" t="s">
        <v>3736</v>
      </c>
      <c r="B1122" s="13">
        <v>45798</v>
      </c>
      <c r="C1122">
        <v>2025</v>
      </c>
      <c r="D1122">
        <v>5</v>
      </c>
      <c r="E1122" t="s">
        <v>3566</v>
      </c>
      <c r="F1122" t="s">
        <v>3329</v>
      </c>
      <c r="G1122" t="s">
        <v>1701</v>
      </c>
      <c r="H1122" t="s">
        <v>1702</v>
      </c>
      <c r="I1122" t="s">
        <v>85</v>
      </c>
      <c r="J1122">
        <v>42</v>
      </c>
      <c r="K1122" t="s">
        <v>82</v>
      </c>
      <c r="L1122" t="s">
        <v>96</v>
      </c>
      <c r="M1122" t="s">
        <v>55</v>
      </c>
      <c r="N1122" t="s">
        <v>2594</v>
      </c>
      <c r="O1122" t="s">
        <v>131</v>
      </c>
      <c r="P1122" t="s">
        <v>53</v>
      </c>
      <c r="Q1122" t="s">
        <v>143</v>
      </c>
      <c r="R1122">
        <v>3</v>
      </c>
      <c r="S1122">
        <v>999</v>
      </c>
      <c r="T1122">
        <v>0.1</v>
      </c>
      <c r="U1122">
        <v>2697.3</v>
      </c>
      <c r="V1122">
        <v>1560</v>
      </c>
      <c r="W1122">
        <v>1137.3</v>
      </c>
      <c r="X1122" t="s">
        <v>76</v>
      </c>
      <c r="Y1122" t="s">
        <v>68</v>
      </c>
      <c r="Z1122" t="s">
        <v>163</v>
      </c>
      <c r="AA1122" t="s">
        <v>166</v>
      </c>
      <c r="AB1122">
        <v>3.4</v>
      </c>
      <c r="AC1122">
        <v>40</v>
      </c>
      <c r="AD1122">
        <v>317.06</v>
      </c>
      <c r="AE1122">
        <f t="shared" si="34"/>
        <v>780.24</v>
      </c>
      <c r="AF1122" t="str">
        <f t="shared" si="35"/>
        <v>2025-05</v>
      </c>
      <c r="AG1122">
        <f>SUBTOTAL(103,A1122)</f>
        <v>1</v>
      </c>
    </row>
    <row r="1123" spans="1:33" x14ac:dyDescent="0.3">
      <c r="A1123" t="s">
        <v>3737</v>
      </c>
      <c r="B1123" s="13">
        <v>45799</v>
      </c>
      <c r="C1123">
        <v>2025</v>
      </c>
      <c r="D1123">
        <v>5</v>
      </c>
      <c r="E1123" t="s">
        <v>3566</v>
      </c>
      <c r="F1123" t="s">
        <v>3329</v>
      </c>
      <c r="G1123" t="s">
        <v>385</v>
      </c>
      <c r="H1123" t="s">
        <v>386</v>
      </c>
      <c r="I1123" t="s">
        <v>85</v>
      </c>
      <c r="J1123">
        <v>56</v>
      </c>
      <c r="K1123" t="s">
        <v>83</v>
      </c>
      <c r="L1123" t="s">
        <v>2646</v>
      </c>
      <c r="M1123" t="s">
        <v>63</v>
      </c>
      <c r="N1123" t="s">
        <v>2594</v>
      </c>
      <c r="O1123" t="s">
        <v>131</v>
      </c>
      <c r="P1123" t="s">
        <v>53</v>
      </c>
      <c r="Q1123" t="s">
        <v>143</v>
      </c>
      <c r="R1123">
        <v>1</v>
      </c>
      <c r="S1123">
        <v>999</v>
      </c>
      <c r="T1123">
        <v>0.1</v>
      </c>
      <c r="U1123">
        <v>899.1</v>
      </c>
      <c r="V1123">
        <v>520</v>
      </c>
      <c r="W1123">
        <v>379.1</v>
      </c>
      <c r="X1123" t="s">
        <v>74</v>
      </c>
      <c r="Y1123" t="s">
        <v>68</v>
      </c>
      <c r="Z1123" t="s">
        <v>160</v>
      </c>
      <c r="AA1123" t="s">
        <v>166</v>
      </c>
      <c r="AB1123">
        <v>4.7</v>
      </c>
      <c r="AC1123">
        <v>60</v>
      </c>
      <c r="AD1123">
        <v>35.33</v>
      </c>
      <c r="AE1123">
        <f t="shared" si="34"/>
        <v>283.77000000000004</v>
      </c>
      <c r="AF1123" t="str">
        <f t="shared" si="35"/>
        <v>2025-05</v>
      </c>
      <c r="AG1123">
        <f>SUBTOTAL(103,A1123)</f>
        <v>1</v>
      </c>
    </row>
    <row r="1124" spans="1:33" x14ac:dyDescent="0.3">
      <c r="A1124" t="s">
        <v>3738</v>
      </c>
      <c r="B1124" s="13">
        <v>45799</v>
      </c>
      <c r="C1124">
        <v>2025</v>
      </c>
      <c r="D1124">
        <v>5</v>
      </c>
      <c r="E1124" t="s">
        <v>3566</v>
      </c>
      <c r="F1124" t="s">
        <v>3329</v>
      </c>
      <c r="G1124" t="s">
        <v>859</v>
      </c>
      <c r="H1124" t="s">
        <v>860</v>
      </c>
      <c r="I1124" t="s">
        <v>86</v>
      </c>
      <c r="J1124">
        <v>45</v>
      </c>
      <c r="K1124" t="s">
        <v>82</v>
      </c>
      <c r="L1124" t="s">
        <v>99</v>
      </c>
      <c r="M1124" t="s">
        <v>58</v>
      </c>
      <c r="N1124" t="s">
        <v>2584</v>
      </c>
      <c r="O1124" t="s">
        <v>121</v>
      </c>
      <c r="P1124" t="s">
        <v>50</v>
      </c>
      <c r="Q1124" t="s">
        <v>144</v>
      </c>
      <c r="R1124">
        <v>1</v>
      </c>
      <c r="S1124">
        <v>2999</v>
      </c>
      <c r="T1124">
        <v>0.2</v>
      </c>
      <c r="U1124">
        <v>2399.1999999999998</v>
      </c>
      <c r="V1124">
        <v>1700</v>
      </c>
      <c r="W1124">
        <v>699.2</v>
      </c>
      <c r="X1124" t="s">
        <v>77</v>
      </c>
      <c r="Y1124" t="s">
        <v>68</v>
      </c>
      <c r="Z1124" t="s">
        <v>159</v>
      </c>
      <c r="AA1124" t="s">
        <v>169</v>
      </c>
      <c r="AB1124">
        <v>5</v>
      </c>
      <c r="AC1124">
        <v>60</v>
      </c>
      <c r="AD1124">
        <v>229.14</v>
      </c>
      <c r="AE1124">
        <f t="shared" si="34"/>
        <v>410.06000000000006</v>
      </c>
      <c r="AF1124" t="str">
        <f t="shared" si="35"/>
        <v>2025-05</v>
      </c>
      <c r="AG1124">
        <f>SUBTOTAL(103,A1124)</f>
        <v>1</v>
      </c>
    </row>
    <row r="1125" spans="1:33" x14ac:dyDescent="0.3">
      <c r="A1125" t="s">
        <v>3739</v>
      </c>
      <c r="B1125" s="13">
        <v>45799</v>
      </c>
      <c r="C1125">
        <v>2025</v>
      </c>
      <c r="D1125">
        <v>5</v>
      </c>
      <c r="E1125" t="s">
        <v>3566</v>
      </c>
      <c r="F1125" t="s">
        <v>3329</v>
      </c>
      <c r="G1125" t="s">
        <v>345</v>
      </c>
      <c r="H1125" t="s">
        <v>346</v>
      </c>
      <c r="I1125" t="s">
        <v>85</v>
      </c>
      <c r="J1125">
        <v>34</v>
      </c>
      <c r="K1125" t="s">
        <v>81</v>
      </c>
      <c r="L1125" t="s">
        <v>96</v>
      </c>
      <c r="M1125" t="s">
        <v>55</v>
      </c>
      <c r="N1125" t="s">
        <v>2594</v>
      </c>
      <c r="O1125" t="s">
        <v>131</v>
      </c>
      <c r="P1125" t="s">
        <v>53</v>
      </c>
      <c r="Q1125" t="s">
        <v>143</v>
      </c>
      <c r="R1125">
        <v>2</v>
      </c>
      <c r="S1125">
        <v>999</v>
      </c>
      <c r="T1125">
        <v>0.2</v>
      </c>
      <c r="U1125">
        <v>1598.4</v>
      </c>
      <c r="V1125">
        <v>1040</v>
      </c>
      <c r="W1125">
        <v>558.4</v>
      </c>
      <c r="X1125" t="s">
        <v>73</v>
      </c>
      <c r="Y1125" t="s">
        <v>68</v>
      </c>
      <c r="Z1125" t="s">
        <v>163</v>
      </c>
      <c r="AA1125" t="s">
        <v>167</v>
      </c>
      <c r="AB1125">
        <v>4.2</v>
      </c>
      <c r="AC1125">
        <v>60</v>
      </c>
      <c r="AD1125">
        <v>140.88</v>
      </c>
      <c r="AE1125">
        <f t="shared" si="34"/>
        <v>357.52</v>
      </c>
      <c r="AF1125" t="str">
        <f t="shared" si="35"/>
        <v>2025-05</v>
      </c>
      <c r="AG1125">
        <f>SUBTOTAL(103,A1125)</f>
        <v>1</v>
      </c>
    </row>
    <row r="1126" spans="1:33" x14ac:dyDescent="0.3">
      <c r="A1126" t="s">
        <v>3740</v>
      </c>
      <c r="B1126" s="13">
        <v>45799</v>
      </c>
      <c r="C1126">
        <v>2025</v>
      </c>
      <c r="D1126">
        <v>5</v>
      </c>
      <c r="E1126" t="s">
        <v>3566</v>
      </c>
      <c r="F1126" t="s">
        <v>3329</v>
      </c>
      <c r="G1126" t="s">
        <v>1583</v>
      </c>
      <c r="H1126" t="s">
        <v>1584</v>
      </c>
      <c r="I1126" t="s">
        <v>86</v>
      </c>
      <c r="J1126">
        <v>23</v>
      </c>
      <c r="K1126" t="s">
        <v>80</v>
      </c>
      <c r="L1126" t="s">
        <v>2646</v>
      </c>
      <c r="M1126" t="s">
        <v>63</v>
      </c>
      <c r="N1126" t="s">
        <v>2626</v>
      </c>
      <c r="O1126" t="s">
        <v>125</v>
      </c>
      <c r="P1126" t="s">
        <v>48</v>
      </c>
      <c r="Q1126" t="s">
        <v>141</v>
      </c>
      <c r="R1126">
        <v>2</v>
      </c>
      <c r="S1126">
        <v>1999</v>
      </c>
      <c r="T1126">
        <v>0.1</v>
      </c>
      <c r="U1126">
        <v>3598.2</v>
      </c>
      <c r="V1126">
        <v>2300</v>
      </c>
      <c r="W1126">
        <v>1298.2</v>
      </c>
      <c r="X1126" t="s">
        <v>75</v>
      </c>
      <c r="Y1126" t="s">
        <v>69</v>
      </c>
      <c r="Z1126" t="s">
        <v>160</v>
      </c>
      <c r="AA1126" t="s">
        <v>170</v>
      </c>
      <c r="AB1126">
        <v>3.8</v>
      </c>
      <c r="AC1126">
        <v>60</v>
      </c>
      <c r="AD1126">
        <v>387.05</v>
      </c>
      <c r="AE1126">
        <f t="shared" si="34"/>
        <v>851.15000000000009</v>
      </c>
      <c r="AF1126" t="str">
        <f t="shared" si="35"/>
        <v>2025-05</v>
      </c>
      <c r="AG1126">
        <f>SUBTOTAL(103,A1126)</f>
        <v>1</v>
      </c>
    </row>
    <row r="1127" spans="1:33" x14ac:dyDescent="0.3">
      <c r="A1127" t="s">
        <v>3741</v>
      </c>
      <c r="B1127" s="13">
        <v>45800</v>
      </c>
      <c r="C1127">
        <v>2025</v>
      </c>
      <c r="D1127">
        <v>5</v>
      </c>
      <c r="E1127" t="s">
        <v>3566</v>
      </c>
      <c r="F1127" t="s">
        <v>3329</v>
      </c>
      <c r="G1127" t="s">
        <v>187</v>
      </c>
      <c r="H1127" t="s">
        <v>188</v>
      </c>
      <c r="I1127" t="s">
        <v>85</v>
      </c>
      <c r="J1127">
        <v>30</v>
      </c>
      <c r="K1127" t="s">
        <v>81</v>
      </c>
      <c r="L1127" t="s">
        <v>95</v>
      </c>
      <c r="M1127" t="s">
        <v>56</v>
      </c>
      <c r="N1127" t="s">
        <v>2587</v>
      </c>
      <c r="O1127" t="s">
        <v>116</v>
      </c>
      <c r="P1127" t="s">
        <v>48</v>
      </c>
      <c r="Q1127" t="s">
        <v>138</v>
      </c>
      <c r="R1127">
        <v>2</v>
      </c>
      <c r="S1127">
        <v>14999</v>
      </c>
      <c r="T1127">
        <v>0.15</v>
      </c>
      <c r="U1127">
        <v>25498.3</v>
      </c>
      <c r="V1127">
        <v>22400</v>
      </c>
      <c r="W1127">
        <v>3098.3</v>
      </c>
      <c r="X1127" t="s">
        <v>77</v>
      </c>
      <c r="Y1127" t="s">
        <v>68</v>
      </c>
      <c r="Z1127" t="s">
        <v>158</v>
      </c>
      <c r="AA1127" t="s">
        <v>166</v>
      </c>
      <c r="AB1127">
        <v>3.9</v>
      </c>
      <c r="AC1127">
        <v>80</v>
      </c>
      <c r="AD1127">
        <v>567.11</v>
      </c>
      <c r="AE1127">
        <f t="shared" si="34"/>
        <v>2451.19</v>
      </c>
      <c r="AF1127" t="str">
        <f t="shared" si="35"/>
        <v>2025-05</v>
      </c>
      <c r="AG1127">
        <f>SUBTOTAL(103,A1127)</f>
        <v>1</v>
      </c>
    </row>
    <row r="1128" spans="1:33" x14ac:dyDescent="0.3">
      <c r="A1128" t="s">
        <v>3742</v>
      </c>
      <c r="B1128" s="13">
        <v>45800</v>
      </c>
      <c r="C1128">
        <v>2025</v>
      </c>
      <c r="D1128">
        <v>5</v>
      </c>
      <c r="E1128" t="s">
        <v>3566</v>
      </c>
      <c r="F1128" t="s">
        <v>3329</v>
      </c>
      <c r="G1128" t="s">
        <v>975</v>
      </c>
      <c r="H1128" t="s">
        <v>976</v>
      </c>
      <c r="I1128" t="s">
        <v>85</v>
      </c>
      <c r="J1128">
        <v>28</v>
      </c>
      <c r="K1128" t="s">
        <v>81</v>
      </c>
      <c r="L1128" t="s">
        <v>2661</v>
      </c>
      <c r="M1128" t="s">
        <v>58</v>
      </c>
      <c r="N1128" t="s">
        <v>2630</v>
      </c>
      <c r="O1128" t="s">
        <v>123</v>
      </c>
      <c r="P1128" t="s">
        <v>52</v>
      </c>
      <c r="Q1128" t="s">
        <v>146</v>
      </c>
      <c r="R1128">
        <v>5</v>
      </c>
      <c r="S1128">
        <v>2499</v>
      </c>
      <c r="T1128">
        <v>0.25</v>
      </c>
      <c r="U1128">
        <v>9371.25</v>
      </c>
      <c r="V1128">
        <v>7000</v>
      </c>
      <c r="W1128">
        <v>2371.25</v>
      </c>
      <c r="X1128" t="s">
        <v>75</v>
      </c>
      <c r="Y1128" t="s">
        <v>69</v>
      </c>
      <c r="Z1128" t="s">
        <v>159</v>
      </c>
      <c r="AA1128" t="s">
        <v>168</v>
      </c>
      <c r="AB1128">
        <v>2.6</v>
      </c>
      <c r="AC1128">
        <v>50</v>
      </c>
      <c r="AD1128">
        <v>750.82</v>
      </c>
      <c r="AE1128">
        <f t="shared" si="34"/>
        <v>1570.4299999999998</v>
      </c>
      <c r="AF1128" t="str">
        <f t="shared" si="35"/>
        <v>2025-05</v>
      </c>
      <c r="AG1128">
        <f>SUBTOTAL(103,A1128)</f>
        <v>1</v>
      </c>
    </row>
    <row r="1129" spans="1:33" x14ac:dyDescent="0.3">
      <c r="A1129" t="s">
        <v>3743</v>
      </c>
      <c r="B1129" s="13">
        <v>45800</v>
      </c>
      <c r="C1129">
        <v>2025</v>
      </c>
      <c r="D1129">
        <v>5</v>
      </c>
      <c r="E1129" t="s">
        <v>3566</v>
      </c>
      <c r="F1129" t="s">
        <v>3329</v>
      </c>
      <c r="G1129" t="s">
        <v>317</v>
      </c>
      <c r="H1129" t="s">
        <v>318</v>
      </c>
      <c r="I1129" t="s">
        <v>85</v>
      </c>
      <c r="J1129">
        <v>56</v>
      </c>
      <c r="K1129" t="s">
        <v>83</v>
      </c>
      <c r="L1129" t="s">
        <v>97</v>
      </c>
      <c r="M1129" t="s">
        <v>57</v>
      </c>
      <c r="N1129" t="s">
        <v>2653</v>
      </c>
      <c r="O1129" t="s">
        <v>132</v>
      </c>
      <c r="P1129" t="s">
        <v>52</v>
      </c>
      <c r="Q1129" t="s">
        <v>150</v>
      </c>
      <c r="R1129">
        <v>2</v>
      </c>
      <c r="S1129">
        <v>899</v>
      </c>
      <c r="T1129">
        <v>0.1</v>
      </c>
      <c r="U1129">
        <v>1618.2</v>
      </c>
      <c r="V1129">
        <v>840</v>
      </c>
      <c r="W1129">
        <v>778.2</v>
      </c>
      <c r="X1129" t="s">
        <v>76</v>
      </c>
      <c r="Y1129" t="s">
        <v>68</v>
      </c>
      <c r="Z1129" t="s">
        <v>158</v>
      </c>
      <c r="AA1129" t="s">
        <v>166</v>
      </c>
      <c r="AB1129">
        <v>4.5999999999999996</v>
      </c>
      <c r="AC1129">
        <v>80</v>
      </c>
      <c r="AD1129">
        <v>147.41999999999999</v>
      </c>
      <c r="AE1129">
        <f t="shared" si="34"/>
        <v>550.78000000000009</v>
      </c>
      <c r="AF1129" t="str">
        <f t="shared" si="35"/>
        <v>2025-05</v>
      </c>
      <c r="AG1129">
        <f>SUBTOTAL(103,A1129)</f>
        <v>1</v>
      </c>
    </row>
    <row r="1130" spans="1:33" x14ac:dyDescent="0.3">
      <c r="A1130" t="s">
        <v>3744</v>
      </c>
      <c r="B1130" s="13">
        <v>45800</v>
      </c>
      <c r="C1130">
        <v>2025</v>
      </c>
      <c r="D1130">
        <v>5</v>
      </c>
      <c r="E1130" t="s">
        <v>3566</v>
      </c>
      <c r="F1130" t="s">
        <v>3329</v>
      </c>
      <c r="G1130" t="s">
        <v>1887</v>
      </c>
      <c r="H1130" t="s">
        <v>1888</v>
      </c>
      <c r="I1130" t="s">
        <v>85</v>
      </c>
      <c r="J1130">
        <v>30</v>
      </c>
      <c r="K1130" t="s">
        <v>81</v>
      </c>
      <c r="L1130" t="s">
        <v>2634</v>
      </c>
      <c r="M1130" t="s">
        <v>56</v>
      </c>
      <c r="N1130" t="s">
        <v>2580</v>
      </c>
      <c r="O1130" t="s">
        <v>118</v>
      </c>
      <c r="P1130" t="s">
        <v>48</v>
      </c>
      <c r="Q1130" t="s">
        <v>142</v>
      </c>
      <c r="R1130">
        <v>3</v>
      </c>
      <c r="S1130">
        <v>3999</v>
      </c>
      <c r="T1130">
        <v>0.2</v>
      </c>
      <c r="U1130">
        <v>9597.6</v>
      </c>
      <c r="V1130">
        <v>7200</v>
      </c>
      <c r="W1130">
        <v>2397.6</v>
      </c>
      <c r="X1130" t="s">
        <v>75</v>
      </c>
      <c r="Y1130" t="s">
        <v>68</v>
      </c>
      <c r="Z1130" t="s">
        <v>158</v>
      </c>
      <c r="AA1130" t="s">
        <v>170</v>
      </c>
      <c r="AB1130">
        <v>4</v>
      </c>
      <c r="AC1130">
        <v>60</v>
      </c>
      <c r="AD1130">
        <v>911.52</v>
      </c>
      <c r="AE1130">
        <f t="shared" si="34"/>
        <v>1426.08</v>
      </c>
      <c r="AF1130" t="str">
        <f t="shared" si="35"/>
        <v>2025-05</v>
      </c>
      <c r="AG1130">
        <f>SUBTOTAL(103,A1130)</f>
        <v>1</v>
      </c>
    </row>
    <row r="1131" spans="1:33" x14ac:dyDescent="0.3">
      <c r="A1131" t="s">
        <v>3745</v>
      </c>
      <c r="B1131" s="13">
        <v>45800</v>
      </c>
      <c r="C1131">
        <v>2025</v>
      </c>
      <c r="D1131">
        <v>5</v>
      </c>
      <c r="E1131" t="s">
        <v>3566</v>
      </c>
      <c r="F1131" t="s">
        <v>3329</v>
      </c>
      <c r="G1131" t="s">
        <v>361</v>
      </c>
      <c r="H1131" t="s">
        <v>362</v>
      </c>
      <c r="I1131" t="s">
        <v>86</v>
      </c>
      <c r="J1131">
        <v>23</v>
      </c>
      <c r="K1131" t="s">
        <v>80</v>
      </c>
      <c r="L1131" t="s">
        <v>95</v>
      </c>
      <c r="M1131" t="s">
        <v>56</v>
      </c>
      <c r="N1131" t="s">
        <v>2644</v>
      </c>
      <c r="O1131" t="s">
        <v>126</v>
      </c>
      <c r="P1131" t="s">
        <v>50</v>
      </c>
      <c r="Q1131" t="s">
        <v>145</v>
      </c>
      <c r="R1131">
        <v>3</v>
      </c>
      <c r="S1131">
        <v>1799</v>
      </c>
      <c r="T1131">
        <v>0.25</v>
      </c>
      <c r="U1131">
        <v>4047.75</v>
      </c>
      <c r="V1131">
        <v>2850</v>
      </c>
      <c r="W1131">
        <v>1197.75</v>
      </c>
      <c r="X1131" t="s">
        <v>76</v>
      </c>
      <c r="Y1131" t="s">
        <v>68</v>
      </c>
      <c r="Z1131" t="s">
        <v>158</v>
      </c>
      <c r="AA1131" t="s">
        <v>170</v>
      </c>
      <c r="AB1131">
        <v>4.0999999999999996</v>
      </c>
      <c r="AC1131">
        <v>80</v>
      </c>
      <c r="AD1131">
        <v>377.05</v>
      </c>
      <c r="AE1131">
        <f t="shared" si="34"/>
        <v>740.7</v>
      </c>
      <c r="AF1131" t="str">
        <f t="shared" si="35"/>
        <v>2025-05</v>
      </c>
      <c r="AG1131">
        <f>SUBTOTAL(103,A1131)</f>
        <v>1</v>
      </c>
    </row>
    <row r="1132" spans="1:33" x14ac:dyDescent="0.3">
      <c r="A1132" t="s">
        <v>3746</v>
      </c>
      <c r="B1132" s="13">
        <v>45800</v>
      </c>
      <c r="C1132">
        <v>2025</v>
      </c>
      <c r="D1132">
        <v>5</v>
      </c>
      <c r="E1132" t="s">
        <v>3566</v>
      </c>
      <c r="F1132" t="s">
        <v>3329</v>
      </c>
      <c r="G1132" t="s">
        <v>937</v>
      </c>
      <c r="H1132" t="s">
        <v>938</v>
      </c>
      <c r="I1132" t="s">
        <v>86</v>
      </c>
      <c r="J1132">
        <v>22</v>
      </c>
      <c r="K1132" t="s">
        <v>80</v>
      </c>
      <c r="L1132" t="s">
        <v>99</v>
      </c>
      <c r="M1132" t="s">
        <v>58</v>
      </c>
      <c r="N1132" t="s">
        <v>2596</v>
      </c>
      <c r="O1132" t="s">
        <v>124</v>
      </c>
      <c r="P1132" t="s">
        <v>51</v>
      </c>
      <c r="Q1132" t="s">
        <v>147</v>
      </c>
      <c r="R1132">
        <v>4</v>
      </c>
      <c r="S1132">
        <v>2299</v>
      </c>
      <c r="T1132">
        <v>0.05</v>
      </c>
      <c r="U1132">
        <v>8736.2000000000007</v>
      </c>
      <c r="V1132">
        <v>4800</v>
      </c>
      <c r="W1132">
        <v>3936.2</v>
      </c>
      <c r="X1132" t="s">
        <v>76</v>
      </c>
      <c r="Y1132" t="s">
        <v>70</v>
      </c>
      <c r="Z1132" t="s">
        <v>162</v>
      </c>
      <c r="AA1132" t="s">
        <v>170</v>
      </c>
      <c r="AB1132">
        <v>4.4000000000000004</v>
      </c>
      <c r="AC1132">
        <v>40</v>
      </c>
      <c r="AD1132">
        <v>228.81</v>
      </c>
      <c r="AE1132">
        <f t="shared" si="34"/>
        <v>3667.39</v>
      </c>
      <c r="AF1132" t="str">
        <f t="shared" si="35"/>
        <v>2025-05</v>
      </c>
      <c r="AG1132">
        <f>SUBTOTAL(103,A1132)</f>
        <v>1</v>
      </c>
    </row>
    <row r="1133" spans="1:33" x14ac:dyDescent="0.3">
      <c r="A1133" t="s">
        <v>3747</v>
      </c>
      <c r="B1133" s="13">
        <v>45801</v>
      </c>
      <c r="C1133">
        <v>2025</v>
      </c>
      <c r="D1133">
        <v>5</v>
      </c>
      <c r="E1133" t="s">
        <v>3566</v>
      </c>
      <c r="F1133" t="s">
        <v>3329</v>
      </c>
      <c r="G1133" t="s">
        <v>1561</v>
      </c>
      <c r="H1133" t="s">
        <v>1562</v>
      </c>
      <c r="I1133" t="s">
        <v>86</v>
      </c>
      <c r="J1133">
        <v>56</v>
      </c>
      <c r="K1133" t="s">
        <v>83</v>
      </c>
      <c r="L1133" t="s">
        <v>2599</v>
      </c>
      <c r="M1133" t="s">
        <v>62</v>
      </c>
      <c r="N1133" t="s">
        <v>2626</v>
      </c>
      <c r="O1133" t="s">
        <v>125</v>
      </c>
      <c r="P1133" t="s">
        <v>48</v>
      </c>
      <c r="Q1133" t="s">
        <v>141</v>
      </c>
      <c r="R1133">
        <v>2</v>
      </c>
      <c r="S1133">
        <v>1999</v>
      </c>
      <c r="T1133">
        <v>0.05</v>
      </c>
      <c r="U1133">
        <v>3798.1</v>
      </c>
      <c r="V1133">
        <v>2300</v>
      </c>
      <c r="W1133">
        <v>1498.1</v>
      </c>
      <c r="X1133" t="s">
        <v>73</v>
      </c>
      <c r="Y1133" t="s">
        <v>68</v>
      </c>
      <c r="Z1133" t="s">
        <v>159</v>
      </c>
      <c r="AA1133" t="s">
        <v>167</v>
      </c>
      <c r="AB1133">
        <v>5</v>
      </c>
      <c r="AC1133">
        <v>100</v>
      </c>
      <c r="AD1133">
        <v>338.14</v>
      </c>
      <c r="AE1133">
        <f t="shared" si="34"/>
        <v>1059.96</v>
      </c>
      <c r="AF1133" t="str">
        <f t="shared" si="35"/>
        <v>2025-05</v>
      </c>
      <c r="AG1133">
        <f>SUBTOTAL(103,A1133)</f>
        <v>1</v>
      </c>
    </row>
    <row r="1134" spans="1:33" x14ac:dyDescent="0.3">
      <c r="A1134" t="s">
        <v>3748</v>
      </c>
      <c r="B1134" s="13">
        <v>45801</v>
      </c>
      <c r="C1134">
        <v>2025</v>
      </c>
      <c r="D1134">
        <v>5</v>
      </c>
      <c r="E1134" t="s">
        <v>3566</v>
      </c>
      <c r="F1134" t="s">
        <v>3329</v>
      </c>
      <c r="G1134" t="s">
        <v>363</v>
      </c>
      <c r="H1134" t="s">
        <v>364</v>
      </c>
      <c r="I1134" t="s">
        <v>85</v>
      </c>
      <c r="J1134">
        <v>43</v>
      </c>
      <c r="K1134" t="s">
        <v>82</v>
      </c>
      <c r="L1134" t="s">
        <v>93</v>
      </c>
      <c r="M1134" t="s">
        <v>55</v>
      </c>
      <c r="N1134" t="s">
        <v>2582</v>
      </c>
      <c r="O1134" t="s">
        <v>119</v>
      </c>
      <c r="P1134" t="s">
        <v>49</v>
      </c>
      <c r="Q1134" t="s">
        <v>140</v>
      </c>
      <c r="R1134">
        <v>2</v>
      </c>
      <c r="S1134">
        <v>3499</v>
      </c>
      <c r="T1134">
        <v>0.1</v>
      </c>
      <c r="U1134">
        <v>6298.2</v>
      </c>
      <c r="V1134">
        <v>4200</v>
      </c>
      <c r="W1134">
        <v>2098.1999999999998</v>
      </c>
      <c r="X1134" t="s">
        <v>73</v>
      </c>
      <c r="Y1134" t="s">
        <v>68</v>
      </c>
      <c r="Z1134" t="s">
        <v>161</v>
      </c>
      <c r="AA1134" t="s">
        <v>166</v>
      </c>
      <c r="AB1134">
        <v>2.8</v>
      </c>
      <c r="AC1134">
        <v>40</v>
      </c>
      <c r="AD1134">
        <v>548.74</v>
      </c>
      <c r="AE1134">
        <f t="shared" si="34"/>
        <v>1509.4599999999998</v>
      </c>
      <c r="AF1134" t="str">
        <f t="shared" si="35"/>
        <v>2025-05</v>
      </c>
      <c r="AG1134">
        <f>SUBTOTAL(103,A1134)</f>
        <v>1</v>
      </c>
    </row>
    <row r="1135" spans="1:33" x14ac:dyDescent="0.3">
      <c r="A1135" t="s">
        <v>3749</v>
      </c>
      <c r="B1135" s="13">
        <v>45801</v>
      </c>
      <c r="C1135">
        <v>2025</v>
      </c>
      <c r="D1135">
        <v>5</v>
      </c>
      <c r="E1135" t="s">
        <v>3566</v>
      </c>
      <c r="F1135" t="s">
        <v>3329</v>
      </c>
      <c r="G1135" t="s">
        <v>835</v>
      </c>
      <c r="H1135" t="s">
        <v>836</v>
      </c>
      <c r="I1135" t="s">
        <v>85</v>
      </c>
      <c r="J1135">
        <v>28</v>
      </c>
      <c r="K1135" t="s">
        <v>81</v>
      </c>
      <c r="L1135" t="s">
        <v>99</v>
      </c>
      <c r="M1135" t="s">
        <v>58</v>
      </c>
      <c r="N1135" t="s">
        <v>2577</v>
      </c>
      <c r="O1135" t="s">
        <v>129</v>
      </c>
      <c r="P1135" t="s">
        <v>49</v>
      </c>
      <c r="Q1135" t="s">
        <v>149</v>
      </c>
      <c r="R1135">
        <v>4</v>
      </c>
      <c r="S1135">
        <v>1299</v>
      </c>
      <c r="T1135">
        <v>0.15</v>
      </c>
      <c r="U1135">
        <v>4416.6000000000004</v>
      </c>
      <c r="V1135">
        <v>2600</v>
      </c>
      <c r="W1135">
        <v>1816.6</v>
      </c>
      <c r="X1135" t="s">
        <v>73</v>
      </c>
      <c r="Y1135" t="s">
        <v>68</v>
      </c>
      <c r="Z1135" t="s">
        <v>161</v>
      </c>
      <c r="AA1135" t="s">
        <v>171</v>
      </c>
      <c r="AB1135">
        <v>4.2</v>
      </c>
      <c r="AC1135">
        <v>100</v>
      </c>
      <c r="AD1135">
        <v>479.73</v>
      </c>
      <c r="AE1135">
        <f t="shared" si="34"/>
        <v>1236.8699999999999</v>
      </c>
      <c r="AF1135" t="str">
        <f t="shared" si="35"/>
        <v>2025-05</v>
      </c>
      <c r="AG1135">
        <f>SUBTOTAL(103,A1135)</f>
        <v>1</v>
      </c>
    </row>
    <row r="1136" spans="1:33" x14ac:dyDescent="0.3">
      <c r="A1136" t="s">
        <v>3750</v>
      </c>
      <c r="B1136" s="13">
        <v>45801</v>
      </c>
      <c r="C1136">
        <v>2025</v>
      </c>
      <c r="D1136">
        <v>5</v>
      </c>
      <c r="E1136" t="s">
        <v>3566</v>
      </c>
      <c r="F1136" t="s">
        <v>3329</v>
      </c>
      <c r="G1136" t="s">
        <v>405</v>
      </c>
      <c r="H1136" t="s">
        <v>406</v>
      </c>
      <c r="I1136" t="s">
        <v>86</v>
      </c>
      <c r="J1136">
        <v>55</v>
      </c>
      <c r="K1136" t="s">
        <v>83</v>
      </c>
      <c r="L1136" t="s">
        <v>2646</v>
      </c>
      <c r="M1136" t="s">
        <v>63</v>
      </c>
      <c r="N1136" t="s">
        <v>2594</v>
      </c>
      <c r="O1136" t="s">
        <v>131</v>
      </c>
      <c r="P1136" t="s">
        <v>53</v>
      </c>
      <c r="Q1136" t="s">
        <v>143</v>
      </c>
      <c r="R1136">
        <v>1</v>
      </c>
      <c r="S1136">
        <v>999</v>
      </c>
      <c r="T1136">
        <v>0</v>
      </c>
      <c r="U1136">
        <v>999</v>
      </c>
      <c r="V1136">
        <v>520</v>
      </c>
      <c r="W1136">
        <v>479</v>
      </c>
      <c r="X1136" t="s">
        <v>76</v>
      </c>
      <c r="Y1136" t="s">
        <v>68</v>
      </c>
      <c r="Z1136" t="s">
        <v>159</v>
      </c>
      <c r="AA1136" t="s">
        <v>167</v>
      </c>
      <c r="AB1136">
        <v>5</v>
      </c>
      <c r="AC1136">
        <v>60</v>
      </c>
      <c r="AD1136">
        <v>34.799999999999997</v>
      </c>
      <c r="AE1136">
        <f t="shared" si="34"/>
        <v>384.2</v>
      </c>
      <c r="AF1136" t="str">
        <f t="shared" si="35"/>
        <v>2025-05</v>
      </c>
      <c r="AG1136">
        <f>SUBTOTAL(103,A1136)</f>
        <v>1</v>
      </c>
    </row>
    <row r="1137" spans="1:33" x14ac:dyDescent="0.3">
      <c r="A1137" t="s">
        <v>3751</v>
      </c>
      <c r="B1137" s="13">
        <v>45801</v>
      </c>
      <c r="C1137">
        <v>2025</v>
      </c>
      <c r="D1137">
        <v>5</v>
      </c>
      <c r="E1137" t="s">
        <v>3566</v>
      </c>
      <c r="F1137" t="s">
        <v>3329</v>
      </c>
      <c r="G1137" t="s">
        <v>1547</v>
      </c>
      <c r="H1137" t="s">
        <v>1548</v>
      </c>
      <c r="I1137" t="s">
        <v>86</v>
      </c>
      <c r="J1137">
        <v>46</v>
      </c>
      <c r="K1137" t="s">
        <v>83</v>
      </c>
      <c r="L1137" t="s">
        <v>90</v>
      </c>
      <c r="M1137" t="s">
        <v>55</v>
      </c>
      <c r="N1137" t="s">
        <v>2577</v>
      </c>
      <c r="O1137" t="s">
        <v>129</v>
      </c>
      <c r="P1137" t="s">
        <v>49</v>
      </c>
      <c r="Q1137" t="s">
        <v>149</v>
      </c>
      <c r="R1137">
        <v>1</v>
      </c>
      <c r="S1137">
        <v>1299</v>
      </c>
      <c r="T1137">
        <v>0.05</v>
      </c>
      <c r="U1137">
        <v>1234.05</v>
      </c>
      <c r="V1137">
        <v>650</v>
      </c>
      <c r="W1137">
        <v>584.04999999999995</v>
      </c>
      <c r="X1137" t="s">
        <v>73</v>
      </c>
      <c r="Y1137" t="s">
        <v>68</v>
      </c>
      <c r="Z1137" t="s">
        <v>158</v>
      </c>
      <c r="AA1137" t="s">
        <v>171</v>
      </c>
      <c r="AB1137">
        <v>3.7</v>
      </c>
      <c r="AC1137">
        <v>100</v>
      </c>
      <c r="AD1137">
        <v>117.15</v>
      </c>
      <c r="AE1137">
        <f t="shared" si="34"/>
        <v>366.9</v>
      </c>
      <c r="AF1137" t="str">
        <f t="shared" si="35"/>
        <v>2025-05</v>
      </c>
      <c r="AG1137">
        <f>SUBTOTAL(103,A1137)</f>
        <v>1</v>
      </c>
    </row>
    <row r="1138" spans="1:33" x14ac:dyDescent="0.3">
      <c r="A1138" t="s">
        <v>3752</v>
      </c>
      <c r="B1138" s="13">
        <v>45801</v>
      </c>
      <c r="C1138">
        <v>2025</v>
      </c>
      <c r="D1138">
        <v>5</v>
      </c>
      <c r="E1138" t="s">
        <v>3566</v>
      </c>
      <c r="F1138" t="s">
        <v>3329</v>
      </c>
      <c r="G1138" t="s">
        <v>393</v>
      </c>
      <c r="H1138" t="s">
        <v>394</v>
      </c>
      <c r="I1138" t="s">
        <v>85</v>
      </c>
      <c r="J1138">
        <v>33</v>
      </c>
      <c r="K1138" t="s">
        <v>81</v>
      </c>
      <c r="L1138" t="s">
        <v>99</v>
      </c>
      <c r="M1138" t="s">
        <v>58</v>
      </c>
      <c r="N1138" t="s">
        <v>2590</v>
      </c>
      <c r="O1138" t="s">
        <v>127</v>
      </c>
      <c r="P1138" t="s">
        <v>51</v>
      </c>
      <c r="Q1138" t="s">
        <v>148</v>
      </c>
      <c r="R1138">
        <v>2</v>
      </c>
      <c r="S1138">
        <v>1599</v>
      </c>
      <c r="T1138">
        <v>0.1</v>
      </c>
      <c r="U1138">
        <v>2878.2</v>
      </c>
      <c r="V1138">
        <v>1600</v>
      </c>
      <c r="W1138">
        <v>1278.2</v>
      </c>
      <c r="X1138" t="s">
        <v>74</v>
      </c>
      <c r="Y1138" t="s">
        <v>68</v>
      </c>
      <c r="Z1138" t="s">
        <v>160</v>
      </c>
      <c r="AA1138" t="s">
        <v>170</v>
      </c>
      <c r="AB1138">
        <v>4.2</v>
      </c>
      <c r="AC1138">
        <v>80</v>
      </c>
      <c r="AD1138">
        <v>215.37</v>
      </c>
      <c r="AE1138">
        <f t="shared" si="34"/>
        <v>982.83</v>
      </c>
      <c r="AF1138" t="str">
        <f t="shared" si="35"/>
        <v>2025-05</v>
      </c>
      <c r="AG1138">
        <f>SUBTOTAL(103,A1138)</f>
        <v>1</v>
      </c>
    </row>
    <row r="1139" spans="1:33" x14ac:dyDescent="0.3">
      <c r="A1139" t="s">
        <v>3753</v>
      </c>
      <c r="B1139" s="13">
        <v>45801</v>
      </c>
      <c r="C1139">
        <v>2025</v>
      </c>
      <c r="D1139">
        <v>5</v>
      </c>
      <c r="E1139" t="s">
        <v>3566</v>
      </c>
      <c r="F1139" t="s">
        <v>3329</v>
      </c>
      <c r="G1139" t="s">
        <v>1503</v>
      </c>
      <c r="H1139" t="s">
        <v>1504</v>
      </c>
      <c r="I1139" t="s">
        <v>86</v>
      </c>
      <c r="J1139">
        <v>34</v>
      </c>
      <c r="K1139" t="s">
        <v>81</v>
      </c>
      <c r="L1139" t="s">
        <v>2576</v>
      </c>
      <c r="M1139" t="s">
        <v>60</v>
      </c>
      <c r="N1139" t="s">
        <v>2626</v>
      </c>
      <c r="O1139" t="s">
        <v>125</v>
      </c>
      <c r="P1139" t="s">
        <v>48</v>
      </c>
      <c r="Q1139" t="s">
        <v>141</v>
      </c>
      <c r="R1139">
        <v>3</v>
      </c>
      <c r="S1139">
        <v>1999</v>
      </c>
      <c r="T1139">
        <v>0.15</v>
      </c>
      <c r="U1139">
        <v>5097.45</v>
      </c>
      <c r="V1139">
        <v>3450</v>
      </c>
      <c r="W1139">
        <v>1647.45</v>
      </c>
      <c r="X1139" t="s">
        <v>73</v>
      </c>
      <c r="Y1139" t="s">
        <v>68</v>
      </c>
      <c r="Z1139" t="s">
        <v>160</v>
      </c>
      <c r="AA1139" t="s">
        <v>169</v>
      </c>
      <c r="AB1139">
        <v>4.5</v>
      </c>
      <c r="AC1139">
        <v>60</v>
      </c>
      <c r="AD1139">
        <v>203.5</v>
      </c>
      <c r="AE1139">
        <f t="shared" si="34"/>
        <v>1383.95</v>
      </c>
      <c r="AF1139" t="str">
        <f t="shared" si="35"/>
        <v>2025-05</v>
      </c>
      <c r="AG1139">
        <f>SUBTOTAL(103,A1139)</f>
        <v>1</v>
      </c>
    </row>
    <row r="1140" spans="1:33" x14ac:dyDescent="0.3">
      <c r="A1140" t="s">
        <v>3754</v>
      </c>
      <c r="B1140" s="13">
        <v>45801</v>
      </c>
      <c r="C1140">
        <v>2025</v>
      </c>
      <c r="D1140">
        <v>5</v>
      </c>
      <c r="E1140" t="s">
        <v>3566</v>
      </c>
      <c r="F1140" t="s">
        <v>3329</v>
      </c>
      <c r="G1140" t="s">
        <v>2335</v>
      </c>
      <c r="H1140" t="s">
        <v>2336</v>
      </c>
      <c r="I1140" t="s">
        <v>85</v>
      </c>
      <c r="J1140">
        <v>19</v>
      </c>
      <c r="K1140" t="s">
        <v>80</v>
      </c>
      <c r="L1140" t="s">
        <v>2623</v>
      </c>
      <c r="M1140" t="s">
        <v>61</v>
      </c>
      <c r="N1140" t="s">
        <v>2657</v>
      </c>
      <c r="O1140" t="s">
        <v>134</v>
      </c>
      <c r="P1140" t="s">
        <v>49</v>
      </c>
      <c r="Q1140" t="s">
        <v>140</v>
      </c>
      <c r="R1140">
        <v>2</v>
      </c>
      <c r="S1140">
        <v>599</v>
      </c>
      <c r="T1140">
        <v>0.05</v>
      </c>
      <c r="U1140">
        <v>1138.0999999999999</v>
      </c>
      <c r="V1140">
        <v>500</v>
      </c>
      <c r="W1140">
        <v>638.1</v>
      </c>
      <c r="X1140" t="s">
        <v>73</v>
      </c>
      <c r="Y1140" t="s">
        <v>68</v>
      </c>
      <c r="Z1140" t="s">
        <v>160</v>
      </c>
      <c r="AA1140" t="s">
        <v>170</v>
      </c>
      <c r="AB1140">
        <v>4.2</v>
      </c>
      <c r="AC1140">
        <v>60</v>
      </c>
      <c r="AD1140">
        <v>90.53</v>
      </c>
      <c r="AE1140">
        <f t="shared" si="34"/>
        <v>487.57000000000005</v>
      </c>
      <c r="AF1140" t="str">
        <f t="shared" si="35"/>
        <v>2025-05</v>
      </c>
      <c r="AG1140">
        <f>SUBTOTAL(103,A1140)</f>
        <v>1</v>
      </c>
    </row>
    <row r="1141" spans="1:33" x14ac:dyDescent="0.3">
      <c r="A1141" t="s">
        <v>3755</v>
      </c>
      <c r="B1141" s="13">
        <v>45801</v>
      </c>
      <c r="C1141">
        <v>2025</v>
      </c>
      <c r="D1141">
        <v>5</v>
      </c>
      <c r="E1141" t="s">
        <v>3566</v>
      </c>
      <c r="F1141" t="s">
        <v>3329</v>
      </c>
      <c r="G1141" t="s">
        <v>871</v>
      </c>
      <c r="H1141" t="s">
        <v>872</v>
      </c>
      <c r="I1141" t="s">
        <v>85</v>
      </c>
      <c r="J1141">
        <v>45</v>
      </c>
      <c r="K1141" t="s">
        <v>82</v>
      </c>
      <c r="L1141" t="s">
        <v>2646</v>
      </c>
      <c r="M1141" t="s">
        <v>63</v>
      </c>
      <c r="N1141" t="s">
        <v>2647</v>
      </c>
      <c r="O1141" t="s">
        <v>133</v>
      </c>
      <c r="P1141" t="s">
        <v>50</v>
      </c>
      <c r="Q1141" t="s">
        <v>145</v>
      </c>
      <c r="R1141">
        <v>2</v>
      </c>
      <c r="S1141">
        <v>799</v>
      </c>
      <c r="T1141">
        <v>0.2</v>
      </c>
      <c r="U1141">
        <v>1278.4000000000001</v>
      </c>
      <c r="V1141">
        <v>780</v>
      </c>
      <c r="W1141">
        <v>498.4</v>
      </c>
      <c r="X1141" t="s">
        <v>75</v>
      </c>
      <c r="Y1141" t="s">
        <v>68</v>
      </c>
      <c r="Z1141" t="s">
        <v>158</v>
      </c>
      <c r="AA1141" t="s">
        <v>167</v>
      </c>
      <c r="AB1141">
        <v>3.5</v>
      </c>
      <c r="AC1141">
        <v>80</v>
      </c>
      <c r="AD1141">
        <v>131.47</v>
      </c>
      <c r="AE1141">
        <f t="shared" si="34"/>
        <v>286.92999999999995</v>
      </c>
      <c r="AF1141" t="str">
        <f t="shared" si="35"/>
        <v>2025-05</v>
      </c>
      <c r="AG1141">
        <f>SUBTOTAL(103,A1141)</f>
        <v>1</v>
      </c>
    </row>
    <row r="1142" spans="1:33" x14ac:dyDescent="0.3">
      <c r="A1142" t="s">
        <v>3756</v>
      </c>
      <c r="B1142" s="13">
        <v>45801</v>
      </c>
      <c r="C1142">
        <v>2025</v>
      </c>
      <c r="D1142">
        <v>5</v>
      </c>
      <c r="E1142" t="s">
        <v>3566</v>
      </c>
      <c r="F1142" t="s">
        <v>3329</v>
      </c>
      <c r="G1142" t="s">
        <v>1287</v>
      </c>
      <c r="H1142" t="s">
        <v>1288</v>
      </c>
      <c r="I1142" t="s">
        <v>86</v>
      </c>
      <c r="J1142">
        <v>19</v>
      </c>
      <c r="K1142" t="s">
        <v>80</v>
      </c>
      <c r="L1142" t="s">
        <v>94</v>
      </c>
      <c r="M1142" t="s">
        <v>57</v>
      </c>
      <c r="N1142" t="s">
        <v>2626</v>
      </c>
      <c r="O1142" t="s">
        <v>125</v>
      </c>
      <c r="P1142" t="s">
        <v>48</v>
      </c>
      <c r="Q1142" t="s">
        <v>141</v>
      </c>
      <c r="R1142">
        <v>1</v>
      </c>
      <c r="S1142">
        <v>1999</v>
      </c>
      <c r="T1142">
        <v>0.05</v>
      </c>
      <c r="U1142">
        <v>1899.05</v>
      </c>
      <c r="V1142">
        <v>1150</v>
      </c>
      <c r="W1142">
        <v>749.05</v>
      </c>
      <c r="X1142" t="s">
        <v>73</v>
      </c>
      <c r="Y1142" t="s">
        <v>68</v>
      </c>
      <c r="Z1142" t="s">
        <v>158</v>
      </c>
      <c r="AA1142" t="s">
        <v>166</v>
      </c>
      <c r="AB1142">
        <v>3.3</v>
      </c>
      <c r="AC1142">
        <v>50</v>
      </c>
      <c r="AD1142">
        <v>186.24</v>
      </c>
      <c r="AE1142">
        <f t="shared" si="34"/>
        <v>512.80999999999995</v>
      </c>
      <c r="AF1142" t="str">
        <f t="shared" si="35"/>
        <v>2025-05</v>
      </c>
      <c r="AG1142">
        <f>SUBTOTAL(103,A1142)</f>
        <v>1</v>
      </c>
    </row>
    <row r="1143" spans="1:33" x14ac:dyDescent="0.3">
      <c r="A1143" t="s">
        <v>3757</v>
      </c>
      <c r="B1143" s="13">
        <v>45801</v>
      </c>
      <c r="C1143">
        <v>2025</v>
      </c>
      <c r="D1143">
        <v>5</v>
      </c>
      <c r="E1143" t="s">
        <v>3566</v>
      </c>
      <c r="F1143" t="s">
        <v>3329</v>
      </c>
      <c r="G1143" t="s">
        <v>2133</v>
      </c>
      <c r="H1143" t="s">
        <v>2134</v>
      </c>
      <c r="I1143" t="s">
        <v>85</v>
      </c>
      <c r="J1143">
        <v>52</v>
      </c>
      <c r="K1143" t="s">
        <v>83</v>
      </c>
      <c r="L1143" t="s">
        <v>2573</v>
      </c>
      <c r="M1143" t="s">
        <v>63</v>
      </c>
      <c r="N1143" t="s">
        <v>2657</v>
      </c>
      <c r="O1143" t="s">
        <v>134</v>
      </c>
      <c r="P1143" t="s">
        <v>49</v>
      </c>
      <c r="Q1143" t="s">
        <v>140</v>
      </c>
      <c r="R1143">
        <v>2</v>
      </c>
      <c r="S1143">
        <v>599</v>
      </c>
      <c r="T1143">
        <v>0.05</v>
      </c>
      <c r="U1143">
        <v>1138.0999999999999</v>
      </c>
      <c r="V1143">
        <v>500</v>
      </c>
      <c r="W1143">
        <v>638.1</v>
      </c>
      <c r="X1143" t="s">
        <v>73</v>
      </c>
      <c r="Y1143" t="s">
        <v>68</v>
      </c>
      <c r="Z1143" t="s">
        <v>160</v>
      </c>
      <c r="AA1143" t="s">
        <v>166</v>
      </c>
      <c r="AB1143">
        <v>4.0999999999999996</v>
      </c>
      <c r="AC1143">
        <v>50</v>
      </c>
      <c r="AD1143">
        <v>117.18</v>
      </c>
      <c r="AE1143">
        <f t="shared" si="34"/>
        <v>470.92</v>
      </c>
      <c r="AF1143" t="str">
        <f t="shared" si="35"/>
        <v>2025-05</v>
      </c>
      <c r="AG1143">
        <f>SUBTOTAL(103,A1143)</f>
        <v>1</v>
      </c>
    </row>
    <row r="1144" spans="1:33" x14ac:dyDescent="0.3">
      <c r="A1144" t="s">
        <v>3758</v>
      </c>
      <c r="B1144" s="13">
        <v>45801</v>
      </c>
      <c r="C1144">
        <v>2025</v>
      </c>
      <c r="D1144">
        <v>5</v>
      </c>
      <c r="E1144" t="s">
        <v>3566</v>
      </c>
      <c r="F1144" t="s">
        <v>3329</v>
      </c>
      <c r="G1144" t="s">
        <v>693</v>
      </c>
      <c r="H1144" t="s">
        <v>694</v>
      </c>
      <c r="I1144" t="s">
        <v>86</v>
      </c>
      <c r="J1144">
        <v>36</v>
      </c>
      <c r="K1144" t="s">
        <v>82</v>
      </c>
      <c r="L1144" t="s">
        <v>2586</v>
      </c>
      <c r="M1144" t="s">
        <v>62</v>
      </c>
      <c r="N1144" t="s">
        <v>2580</v>
      </c>
      <c r="O1144" t="s">
        <v>118</v>
      </c>
      <c r="P1144" t="s">
        <v>48</v>
      </c>
      <c r="Q1144" t="s">
        <v>142</v>
      </c>
      <c r="R1144">
        <v>2</v>
      </c>
      <c r="S1144">
        <v>3999</v>
      </c>
      <c r="T1144">
        <v>0.1</v>
      </c>
      <c r="U1144">
        <v>7198.2</v>
      </c>
      <c r="V1144">
        <v>4800</v>
      </c>
      <c r="W1144">
        <v>2398.1999999999998</v>
      </c>
      <c r="X1144" t="s">
        <v>77</v>
      </c>
      <c r="Y1144" t="s">
        <v>68</v>
      </c>
      <c r="Z1144" t="s">
        <v>161</v>
      </c>
      <c r="AA1144" t="s">
        <v>170</v>
      </c>
      <c r="AB1144">
        <v>3.7</v>
      </c>
      <c r="AC1144">
        <v>50</v>
      </c>
      <c r="AD1144">
        <v>805.99</v>
      </c>
      <c r="AE1144">
        <f t="shared" si="34"/>
        <v>1542.2099999999998</v>
      </c>
      <c r="AF1144" t="str">
        <f t="shared" si="35"/>
        <v>2025-05</v>
      </c>
      <c r="AG1144">
        <f>SUBTOTAL(103,A1144)</f>
        <v>1</v>
      </c>
    </row>
    <row r="1145" spans="1:33" x14ac:dyDescent="0.3">
      <c r="A1145" t="s">
        <v>3759</v>
      </c>
      <c r="B1145" s="13">
        <v>45801</v>
      </c>
      <c r="C1145">
        <v>2025</v>
      </c>
      <c r="D1145">
        <v>5</v>
      </c>
      <c r="E1145" t="s">
        <v>3566</v>
      </c>
      <c r="F1145" t="s">
        <v>3329</v>
      </c>
      <c r="G1145" t="s">
        <v>511</v>
      </c>
      <c r="H1145" t="s">
        <v>512</v>
      </c>
      <c r="I1145" t="s">
        <v>86</v>
      </c>
      <c r="J1145">
        <v>49</v>
      </c>
      <c r="K1145" t="s">
        <v>83</v>
      </c>
      <c r="L1145" t="s">
        <v>94</v>
      </c>
      <c r="M1145" t="s">
        <v>57</v>
      </c>
      <c r="N1145" t="s">
        <v>2590</v>
      </c>
      <c r="O1145" t="s">
        <v>127</v>
      </c>
      <c r="P1145" t="s">
        <v>51</v>
      </c>
      <c r="Q1145" t="s">
        <v>148</v>
      </c>
      <c r="R1145">
        <v>5</v>
      </c>
      <c r="S1145">
        <v>1599</v>
      </c>
      <c r="T1145">
        <v>0.05</v>
      </c>
      <c r="U1145">
        <v>7595.25</v>
      </c>
      <c r="V1145">
        <v>4000</v>
      </c>
      <c r="W1145">
        <v>3595.25</v>
      </c>
      <c r="X1145" t="s">
        <v>73</v>
      </c>
      <c r="Y1145" t="s">
        <v>68</v>
      </c>
      <c r="Z1145" t="s">
        <v>159</v>
      </c>
      <c r="AA1145" t="s">
        <v>169</v>
      </c>
      <c r="AB1145">
        <v>4.3</v>
      </c>
      <c r="AC1145">
        <v>50</v>
      </c>
      <c r="AD1145">
        <v>764.25</v>
      </c>
      <c r="AE1145">
        <f t="shared" si="34"/>
        <v>2781</v>
      </c>
      <c r="AF1145" t="str">
        <f t="shared" si="35"/>
        <v>2025-05</v>
      </c>
      <c r="AG1145">
        <f>SUBTOTAL(103,A1145)</f>
        <v>1</v>
      </c>
    </row>
    <row r="1146" spans="1:33" x14ac:dyDescent="0.3">
      <c r="A1146" t="s">
        <v>3760</v>
      </c>
      <c r="B1146" s="13">
        <v>45802</v>
      </c>
      <c r="C1146">
        <v>2025</v>
      </c>
      <c r="D1146">
        <v>5</v>
      </c>
      <c r="E1146" t="s">
        <v>3566</v>
      </c>
      <c r="F1146" t="s">
        <v>3329</v>
      </c>
      <c r="G1146" t="s">
        <v>1575</v>
      </c>
      <c r="H1146" t="s">
        <v>1576</v>
      </c>
      <c r="I1146" t="s">
        <v>86</v>
      </c>
      <c r="J1146">
        <v>30</v>
      </c>
      <c r="K1146" t="s">
        <v>81</v>
      </c>
      <c r="L1146" t="s">
        <v>2599</v>
      </c>
      <c r="M1146" t="s">
        <v>62</v>
      </c>
      <c r="N1146" t="s">
        <v>2603</v>
      </c>
      <c r="O1146" t="s">
        <v>122</v>
      </c>
      <c r="P1146" t="s">
        <v>48</v>
      </c>
      <c r="Q1146" t="s">
        <v>141</v>
      </c>
      <c r="R1146">
        <v>1</v>
      </c>
      <c r="S1146">
        <v>2499</v>
      </c>
      <c r="T1146">
        <v>0.1</v>
      </c>
      <c r="U1146">
        <v>2249.1</v>
      </c>
      <c r="V1146">
        <v>1450</v>
      </c>
      <c r="W1146">
        <v>799.1</v>
      </c>
      <c r="X1146" t="s">
        <v>74</v>
      </c>
      <c r="Y1146" t="s">
        <v>68</v>
      </c>
      <c r="Z1146" t="s">
        <v>160</v>
      </c>
      <c r="AA1146" t="s">
        <v>166</v>
      </c>
      <c r="AB1146">
        <v>3</v>
      </c>
      <c r="AC1146">
        <v>120</v>
      </c>
      <c r="AD1146">
        <v>182.89</v>
      </c>
      <c r="AE1146">
        <f t="shared" si="34"/>
        <v>496.21000000000004</v>
      </c>
      <c r="AF1146" t="str">
        <f t="shared" si="35"/>
        <v>2025-05</v>
      </c>
      <c r="AG1146">
        <f>SUBTOTAL(103,A1146)</f>
        <v>1</v>
      </c>
    </row>
    <row r="1147" spans="1:33" x14ac:dyDescent="0.3">
      <c r="A1147" t="s">
        <v>3761</v>
      </c>
      <c r="B1147" s="13">
        <v>45802</v>
      </c>
      <c r="C1147">
        <v>2025</v>
      </c>
      <c r="D1147">
        <v>5</v>
      </c>
      <c r="E1147" t="s">
        <v>3566</v>
      </c>
      <c r="F1147" t="s">
        <v>3329</v>
      </c>
      <c r="G1147" t="s">
        <v>1841</v>
      </c>
      <c r="H1147" t="s">
        <v>1842</v>
      </c>
      <c r="I1147" t="s">
        <v>87</v>
      </c>
      <c r="J1147">
        <v>59</v>
      </c>
      <c r="K1147" t="s">
        <v>83</v>
      </c>
      <c r="L1147" t="s">
        <v>2679</v>
      </c>
      <c r="M1147" t="s">
        <v>60</v>
      </c>
      <c r="N1147" t="s">
        <v>2574</v>
      </c>
      <c r="O1147" t="s">
        <v>130</v>
      </c>
      <c r="P1147" t="s">
        <v>50</v>
      </c>
      <c r="Q1147" t="s">
        <v>53</v>
      </c>
      <c r="R1147">
        <v>4</v>
      </c>
      <c r="S1147">
        <v>1199</v>
      </c>
      <c r="T1147">
        <v>0.25</v>
      </c>
      <c r="U1147">
        <v>3597</v>
      </c>
      <c r="V1147">
        <v>2200</v>
      </c>
      <c r="W1147">
        <v>1397</v>
      </c>
      <c r="X1147" t="s">
        <v>74</v>
      </c>
      <c r="Y1147" t="s">
        <v>68</v>
      </c>
      <c r="Z1147" t="s">
        <v>158</v>
      </c>
      <c r="AA1147" t="s">
        <v>170</v>
      </c>
      <c r="AB1147">
        <v>4.4000000000000004</v>
      </c>
      <c r="AC1147">
        <v>40</v>
      </c>
      <c r="AD1147">
        <v>408.69</v>
      </c>
      <c r="AE1147">
        <f t="shared" si="34"/>
        <v>948.31</v>
      </c>
      <c r="AF1147" t="str">
        <f t="shared" si="35"/>
        <v>2025-05</v>
      </c>
      <c r="AG1147">
        <f>SUBTOTAL(103,A1147)</f>
        <v>1</v>
      </c>
    </row>
    <row r="1148" spans="1:33" x14ac:dyDescent="0.3">
      <c r="A1148" t="s">
        <v>3762</v>
      </c>
      <c r="B1148" s="13">
        <v>45802</v>
      </c>
      <c r="C1148">
        <v>2025</v>
      </c>
      <c r="D1148">
        <v>5</v>
      </c>
      <c r="E1148" t="s">
        <v>3566</v>
      </c>
      <c r="F1148" t="s">
        <v>3329</v>
      </c>
      <c r="G1148" t="s">
        <v>787</v>
      </c>
      <c r="H1148" t="s">
        <v>788</v>
      </c>
      <c r="I1148" t="s">
        <v>86</v>
      </c>
      <c r="J1148">
        <v>48</v>
      </c>
      <c r="K1148" t="s">
        <v>83</v>
      </c>
      <c r="L1148" t="s">
        <v>2623</v>
      </c>
      <c r="M1148" t="s">
        <v>61</v>
      </c>
      <c r="N1148" t="s">
        <v>2577</v>
      </c>
      <c r="O1148" t="s">
        <v>129</v>
      </c>
      <c r="P1148" t="s">
        <v>49</v>
      </c>
      <c r="Q1148" t="s">
        <v>149</v>
      </c>
      <c r="R1148">
        <v>2</v>
      </c>
      <c r="S1148">
        <v>1299</v>
      </c>
      <c r="T1148">
        <v>0.1</v>
      </c>
      <c r="U1148">
        <v>2338.1999999999998</v>
      </c>
      <c r="V1148">
        <v>1300</v>
      </c>
      <c r="W1148">
        <v>1038.2</v>
      </c>
      <c r="X1148" t="s">
        <v>76</v>
      </c>
      <c r="Y1148" t="s">
        <v>68</v>
      </c>
      <c r="Z1148" t="s">
        <v>160</v>
      </c>
      <c r="AA1148" t="s">
        <v>166</v>
      </c>
      <c r="AB1148">
        <v>3.5</v>
      </c>
      <c r="AC1148">
        <v>120</v>
      </c>
      <c r="AD1148">
        <v>65.64</v>
      </c>
      <c r="AE1148">
        <f t="shared" si="34"/>
        <v>852.56000000000006</v>
      </c>
      <c r="AF1148" t="str">
        <f t="shared" si="35"/>
        <v>2025-05</v>
      </c>
      <c r="AG1148">
        <f>SUBTOTAL(103,A1148)</f>
        <v>1</v>
      </c>
    </row>
    <row r="1149" spans="1:33" x14ac:dyDescent="0.3">
      <c r="A1149" t="s">
        <v>3763</v>
      </c>
      <c r="B1149" s="13">
        <v>45802</v>
      </c>
      <c r="C1149">
        <v>2025</v>
      </c>
      <c r="D1149">
        <v>5</v>
      </c>
      <c r="E1149" t="s">
        <v>3566</v>
      </c>
      <c r="F1149" t="s">
        <v>3329</v>
      </c>
      <c r="G1149" t="s">
        <v>2291</v>
      </c>
      <c r="H1149" t="s">
        <v>2292</v>
      </c>
      <c r="I1149" t="s">
        <v>85</v>
      </c>
      <c r="J1149">
        <v>21</v>
      </c>
      <c r="K1149" t="s">
        <v>80</v>
      </c>
      <c r="L1149" t="s">
        <v>2646</v>
      </c>
      <c r="M1149" t="s">
        <v>63</v>
      </c>
      <c r="N1149" t="s">
        <v>2580</v>
      </c>
      <c r="O1149" t="s">
        <v>118</v>
      </c>
      <c r="P1149" t="s">
        <v>48</v>
      </c>
      <c r="Q1149" t="s">
        <v>142</v>
      </c>
      <c r="R1149">
        <v>1</v>
      </c>
      <c r="S1149">
        <v>3999</v>
      </c>
      <c r="T1149">
        <v>0.1</v>
      </c>
      <c r="U1149">
        <v>3599.1</v>
      </c>
      <c r="V1149">
        <v>2400</v>
      </c>
      <c r="W1149">
        <v>1199.0999999999999</v>
      </c>
      <c r="X1149" t="s">
        <v>73</v>
      </c>
      <c r="Y1149" t="s">
        <v>68</v>
      </c>
      <c r="Z1149" t="s">
        <v>158</v>
      </c>
      <c r="AA1149" t="s">
        <v>167</v>
      </c>
      <c r="AB1149">
        <v>3.6</v>
      </c>
      <c r="AC1149">
        <v>40</v>
      </c>
      <c r="AD1149">
        <v>88.84</v>
      </c>
      <c r="AE1149">
        <f t="shared" si="34"/>
        <v>1070.26</v>
      </c>
      <c r="AF1149" t="str">
        <f t="shared" si="35"/>
        <v>2025-05</v>
      </c>
      <c r="AG1149">
        <f>SUBTOTAL(103,A1149)</f>
        <v>1</v>
      </c>
    </row>
    <row r="1150" spans="1:33" x14ac:dyDescent="0.3">
      <c r="A1150" t="s">
        <v>3764</v>
      </c>
      <c r="B1150" s="13">
        <v>45802</v>
      </c>
      <c r="C1150">
        <v>2025</v>
      </c>
      <c r="D1150">
        <v>5</v>
      </c>
      <c r="E1150" t="s">
        <v>3566</v>
      </c>
      <c r="F1150" t="s">
        <v>3329</v>
      </c>
      <c r="G1150" t="s">
        <v>315</v>
      </c>
      <c r="H1150" t="s">
        <v>316</v>
      </c>
      <c r="I1150" t="s">
        <v>85</v>
      </c>
      <c r="J1150">
        <v>35</v>
      </c>
      <c r="K1150" t="s">
        <v>81</v>
      </c>
      <c r="L1150" t="s">
        <v>95</v>
      </c>
      <c r="M1150" t="s">
        <v>56</v>
      </c>
      <c r="N1150" t="s">
        <v>2577</v>
      </c>
      <c r="O1150" t="s">
        <v>129</v>
      </c>
      <c r="P1150" t="s">
        <v>49</v>
      </c>
      <c r="Q1150" t="s">
        <v>149</v>
      </c>
      <c r="R1150">
        <v>2</v>
      </c>
      <c r="S1150">
        <v>1299</v>
      </c>
      <c r="T1150">
        <v>0.05</v>
      </c>
      <c r="U1150">
        <v>2468.1</v>
      </c>
      <c r="V1150">
        <v>1300</v>
      </c>
      <c r="W1150">
        <v>1168.0999999999999</v>
      </c>
      <c r="X1150" t="s">
        <v>73</v>
      </c>
      <c r="Y1150" t="s">
        <v>68</v>
      </c>
      <c r="Z1150" t="s">
        <v>158</v>
      </c>
      <c r="AA1150" t="s">
        <v>170</v>
      </c>
      <c r="AB1150">
        <v>4</v>
      </c>
      <c r="AC1150">
        <v>60</v>
      </c>
      <c r="AD1150">
        <v>57.05</v>
      </c>
      <c r="AE1150">
        <f t="shared" si="34"/>
        <v>1051.05</v>
      </c>
      <c r="AF1150" t="str">
        <f t="shared" si="35"/>
        <v>2025-05</v>
      </c>
      <c r="AG1150">
        <f>SUBTOTAL(103,A1150)</f>
        <v>1</v>
      </c>
    </row>
    <row r="1151" spans="1:33" x14ac:dyDescent="0.3">
      <c r="A1151" t="s">
        <v>3765</v>
      </c>
      <c r="B1151" s="13">
        <v>45802</v>
      </c>
      <c r="C1151">
        <v>2025</v>
      </c>
      <c r="D1151">
        <v>5</v>
      </c>
      <c r="E1151" t="s">
        <v>3566</v>
      </c>
      <c r="F1151" t="s">
        <v>3329</v>
      </c>
      <c r="G1151" t="s">
        <v>2097</v>
      </c>
      <c r="H1151" t="s">
        <v>2098</v>
      </c>
      <c r="I1151" t="s">
        <v>85</v>
      </c>
      <c r="J1151">
        <v>26</v>
      </c>
      <c r="K1151" t="s">
        <v>81</v>
      </c>
      <c r="L1151" t="s">
        <v>2646</v>
      </c>
      <c r="M1151" t="s">
        <v>63</v>
      </c>
      <c r="N1151" t="s">
        <v>2577</v>
      </c>
      <c r="O1151" t="s">
        <v>129</v>
      </c>
      <c r="P1151" t="s">
        <v>49</v>
      </c>
      <c r="Q1151" t="s">
        <v>149</v>
      </c>
      <c r="R1151">
        <v>1</v>
      </c>
      <c r="S1151">
        <v>1299</v>
      </c>
      <c r="T1151">
        <v>0.15</v>
      </c>
      <c r="U1151">
        <v>1104.1500000000001</v>
      </c>
      <c r="V1151">
        <v>650</v>
      </c>
      <c r="W1151">
        <v>454.15</v>
      </c>
      <c r="X1151" t="s">
        <v>75</v>
      </c>
      <c r="Y1151" t="s">
        <v>69</v>
      </c>
      <c r="Z1151" t="s">
        <v>158</v>
      </c>
      <c r="AA1151" t="s">
        <v>169</v>
      </c>
      <c r="AB1151">
        <v>4.5</v>
      </c>
      <c r="AC1151">
        <v>100</v>
      </c>
      <c r="AD1151">
        <v>118.95</v>
      </c>
      <c r="AE1151">
        <f t="shared" si="34"/>
        <v>235.2</v>
      </c>
      <c r="AF1151" t="str">
        <f t="shared" si="35"/>
        <v>2025-05</v>
      </c>
      <c r="AG1151">
        <f>SUBTOTAL(103,A1151)</f>
        <v>1</v>
      </c>
    </row>
    <row r="1152" spans="1:33" x14ac:dyDescent="0.3">
      <c r="A1152" t="s">
        <v>3766</v>
      </c>
      <c r="B1152" s="13">
        <v>45803</v>
      </c>
      <c r="C1152">
        <v>2025</v>
      </c>
      <c r="D1152">
        <v>5</v>
      </c>
      <c r="E1152" t="s">
        <v>3566</v>
      </c>
      <c r="F1152" t="s">
        <v>3329</v>
      </c>
      <c r="G1152" t="s">
        <v>1807</v>
      </c>
      <c r="H1152" t="s">
        <v>1808</v>
      </c>
      <c r="I1152" t="s">
        <v>86</v>
      </c>
      <c r="J1152">
        <v>26</v>
      </c>
      <c r="K1152" t="s">
        <v>81</v>
      </c>
      <c r="L1152" t="s">
        <v>2616</v>
      </c>
      <c r="M1152" t="s">
        <v>62</v>
      </c>
      <c r="N1152" t="s">
        <v>2577</v>
      </c>
      <c r="O1152" t="s">
        <v>129</v>
      </c>
      <c r="P1152" t="s">
        <v>49</v>
      </c>
      <c r="Q1152" t="s">
        <v>149</v>
      </c>
      <c r="R1152">
        <v>3</v>
      </c>
      <c r="S1152">
        <v>1299</v>
      </c>
      <c r="T1152">
        <v>0.1</v>
      </c>
      <c r="U1152">
        <v>3507.3</v>
      </c>
      <c r="V1152">
        <v>1950</v>
      </c>
      <c r="W1152">
        <v>1557.3</v>
      </c>
      <c r="X1152" t="s">
        <v>76</v>
      </c>
      <c r="Y1152" t="s">
        <v>68</v>
      </c>
      <c r="Z1152" t="s">
        <v>158</v>
      </c>
      <c r="AA1152" t="s">
        <v>166</v>
      </c>
      <c r="AB1152">
        <v>4.4000000000000004</v>
      </c>
      <c r="AC1152">
        <v>40</v>
      </c>
      <c r="AD1152">
        <v>412.43</v>
      </c>
      <c r="AE1152">
        <f t="shared" si="34"/>
        <v>1104.8699999999999</v>
      </c>
      <c r="AF1152" t="str">
        <f t="shared" si="35"/>
        <v>2025-05</v>
      </c>
      <c r="AG1152">
        <f>SUBTOTAL(103,A1152)</f>
        <v>1</v>
      </c>
    </row>
    <row r="1153" spans="1:33" x14ac:dyDescent="0.3">
      <c r="A1153" t="s">
        <v>3767</v>
      </c>
      <c r="B1153" s="13">
        <v>45803</v>
      </c>
      <c r="C1153">
        <v>2025</v>
      </c>
      <c r="D1153">
        <v>5</v>
      </c>
      <c r="E1153" t="s">
        <v>3566</v>
      </c>
      <c r="F1153" t="s">
        <v>3329</v>
      </c>
      <c r="G1153" t="s">
        <v>541</v>
      </c>
      <c r="H1153" t="s">
        <v>542</v>
      </c>
      <c r="I1153" t="s">
        <v>85</v>
      </c>
      <c r="J1153">
        <v>59</v>
      </c>
      <c r="K1153" t="s">
        <v>83</v>
      </c>
      <c r="L1153" t="s">
        <v>2589</v>
      </c>
      <c r="M1153" t="s">
        <v>61</v>
      </c>
      <c r="N1153" t="s">
        <v>2594</v>
      </c>
      <c r="O1153" t="s">
        <v>131</v>
      </c>
      <c r="P1153" t="s">
        <v>53</v>
      </c>
      <c r="Q1153" t="s">
        <v>143</v>
      </c>
      <c r="R1153">
        <v>2</v>
      </c>
      <c r="S1153">
        <v>999</v>
      </c>
      <c r="T1153">
        <v>0.15</v>
      </c>
      <c r="U1153">
        <v>1698.3</v>
      </c>
      <c r="V1153">
        <v>1040</v>
      </c>
      <c r="W1153">
        <v>658.3</v>
      </c>
      <c r="X1153" t="s">
        <v>74</v>
      </c>
      <c r="Y1153" t="s">
        <v>68</v>
      </c>
      <c r="Z1153" t="s">
        <v>161</v>
      </c>
      <c r="AA1153" t="s">
        <v>171</v>
      </c>
      <c r="AB1153">
        <v>4.0999999999999996</v>
      </c>
      <c r="AC1153">
        <v>40</v>
      </c>
      <c r="AD1153">
        <v>37.76</v>
      </c>
      <c r="AE1153">
        <f t="shared" si="34"/>
        <v>580.54</v>
      </c>
      <c r="AF1153" t="str">
        <f t="shared" si="35"/>
        <v>2025-05</v>
      </c>
      <c r="AG1153">
        <f>SUBTOTAL(103,A1153)</f>
        <v>1</v>
      </c>
    </row>
    <row r="1154" spans="1:33" x14ac:dyDescent="0.3">
      <c r="A1154" t="s">
        <v>3768</v>
      </c>
      <c r="B1154" s="13">
        <v>45803</v>
      </c>
      <c r="C1154">
        <v>2025</v>
      </c>
      <c r="D1154">
        <v>5</v>
      </c>
      <c r="E1154" t="s">
        <v>3566</v>
      </c>
      <c r="F1154" t="s">
        <v>3329</v>
      </c>
      <c r="G1154" t="s">
        <v>591</v>
      </c>
      <c r="H1154" t="s">
        <v>592</v>
      </c>
      <c r="I1154" t="s">
        <v>86</v>
      </c>
      <c r="J1154">
        <v>43</v>
      </c>
      <c r="K1154" t="s">
        <v>82</v>
      </c>
      <c r="L1154" t="s">
        <v>2623</v>
      </c>
      <c r="M1154" t="s">
        <v>61</v>
      </c>
      <c r="N1154" t="s">
        <v>2577</v>
      </c>
      <c r="O1154" t="s">
        <v>129</v>
      </c>
      <c r="P1154" t="s">
        <v>49</v>
      </c>
      <c r="Q1154" t="s">
        <v>149</v>
      </c>
      <c r="R1154">
        <v>1</v>
      </c>
      <c r="S1154">
        <v>1299</v>
      </c>
      <c r="T1154">
        <v>0.1</v>
      </c>
      <c r="U1154">
        <v>0</v>
      </c>
      <c r="V1154">
        <v>0</v>
      </c>
      <c r="W1154">
        <v>0</v>
      </c>
      <c r="X1154" t="s">
        <v>74</v>
      </c>
      <c r="Y1154" t="s">
        <v>71</v>
      </c>
      <c r="Z1154" t="s">
        <v>160</v>
      </c>
      <c r="AA1154" t="s">
        <v>166</v>
      </c>
      <c r="AB1154">
        <v>3.8</v>
      </c>
      <c r="AC1154">
        <v>40</v>
      </c>
      <c r="AD1154">
        <v>125.22</v>
      </c>
      <c r="AE1154">
        <f t="shared" ref="AE1154:AE1217" si="36">W1154-AC1154-AD1154</f>
        <v>-165.22</v>
      </c>
      <c r="AF1154" t="str">
        <f t="shared" ref="AF1154:AF1217" si="37">C1154&amp;"-"&amp;TEXT(D1154,"00")</f>
        <v>2025-05</v>
      </c>
      <c r="AG1154">
        <f>SUBTOTAL(103,A1154)</f>
        <v>1</v>
      </c>
    </row>
    <row r="1155" spans="1:33" x14ac:dyDescent="0.3">
      <c r="A1155" t="s">
        <v>3769</v>
      </c>
      <c r="B1155" s="13">
        <v>45803</v>
      </c>
      <c r="C1155">
        <v>2025</v>
      </c>
      <c r="D1155">
        <v>5</v>
      </c>
      <c r="E1155" t="s">
        <v>3566</v>
      </c>
      <c r="F1155" t="s">
        <v>3329</v>
      </c>
      <c r="G1155" t="s">
        <v>363</v>
      </c>
      <c r="H1155" t="s">
        <v>364</v>
      </c>
      <c r="I1155" t="s">
        <v>85</v>
      </c>
      <c r="J1155">
        <v>43</v>
      </c>
      <c r="K1155" t="s">
        <v>82</v>
      </c>
      <c r="L1155" t="s">
        <v>93</v>
      </c>
      <c r="M1155" t="s">
        <v>55</v>
      </c>
      <c r="N1155" t="s">
        <v>2592</v>
      </c>
      <c r="O1155" t="s">
        <v>115</v>
      </c>
      <c r="P1155" t="s">
        <v>48</v>
      </c>
      <c r="Q1155" t="s">
        <v>137</v>
      </c>
      <c r="R1155">
        <v>2</v>
      </c>
      <c r="S1155">
        <v>12999</v>
      </c>
      <c r="T1155">
        <v>0.1</v>
      </c>
      <c r="U1155">
        <v>23398.2</v>
      </c>
      <c r="V1155">
        <v>18000</v>
      </c>
      <c r="W1155">
        <v>5398.2</v>
      </c>
      <c r="X1155" t="s">
        <v>73</v>
      </c>
      <c r="Y1155" t="s">
        <v>68</v>
      </c>
      <c r="Z1155" t="s">
        <v>159</v>
      </c>
      <c r="AA1155" t="s">
        <v>166</v>
      </c>
      <c r="AB1155">
        <v>3.9</v>
      </c>
      <c r="AC1155">
        <v>100</v>
      </c>
      <c r="AD1155">
        <v>1108.93</v>
      </c>
      <c r="AE1155">
        <f t="shared" si="36"/>
        <v>4189.2699999999995</v>
      </c>
      <c r="AF1155" t="str">
        <f t="shared" si="37"/>
        <v>2025-05</v>
      </c>
      <c r="AG1155">
        <f>SUBTOTAL(103,A1155)</f>
        <v>1</v>
      </c>
    </row>
    <row r="1156" spans="1:33" x14ac:dyDescent="0.3">
      <c r="A1156" t="s">
        <v>3770</v>
      </c>
      <c r="B1156" s="13">
        <v>45803</v>
      </c>
      <c r="C1156">
        <v>2025</v>
      </c>
      <c r="D1156">
        <v>5</v>
      </c>
      <c r="E1156" t="s">
        <v>3566</v>
      </c>
      <c r="F1156" t="s">
        <v>3329</v>
      </c>
      <c r="G1156" t="s">
        <v>745</v>
      </c>
      <c r="H1156" t="s">
        <v>746</v>
      </c>
      <c r="I1156" t="s">
        <v>85</v>
      </c>
      <c r="J1156">
        <v>30</v>
      </c>
      <c r="K1156" t="s">
        <v>81</v>
      </c>
      <c r="L1156" t="s">
        <v>2637</v>
      </c>
      <c r="M1156" t="s">
        <v>64</v>
      </c>
      <c r="N1156" t="s">
        <v>2603</v>
      </c>
      <c r="O1156" t="s">
        <v>122</v>
      </c>
      <c r="P1156" t="s">
        <v>48</v>
      </c>
      <c r="Q1156" t="s">
        <v>141</v>
      </c>
      <c r="R1156">
        <v>3</v>
      </c>
      <c r="S1156">
        <v>2499</v>
      </c>
      <c r="T1156">
        <v>0</v>
      </c>
      <c r="U1156">
        <v>7497</v>
      </c>
      <c r="V1156">
        <v>4350</v>
      </c>
      <c r="W1156">
        <v>3147</v>
      </c>
      <c r="X1156" t="s">
        <v>77</v>
      </c>
      <c r="Y1156" t="s">
        <v>68</v>
      </c>
      <c r="Z1156" t="s">
        <v>159</v>
      </c>
      <c r="AA1156" t="s">
        <v>166</v>
      </c>
      <c r="AB1156">
        <v>3.7</v>
      </c>
      <c r="AC1156">
        <v>60</v>
      </c>
      <c r="AD1156">
        <v>667.71</v>
      </c>
      <c r="AE1156">
        <f t="shared" si="36"/>
        <v>2419.29</v>
      </c>
      <c r="AF1156" t="str">
        <f t="shared" si="37"/>
        <v>2025-05</v>
      </c>
      <c r="AG1156">
        <f>SUBTOTAL(103,A1156)</f>
        <v>1</v>
      </c>
    </row>
    <row r="1157" spans="1:33" x14ac:dyDescent="0.3">
      <c r="A1157" t="s">
        <v>3771</v>
      </c>
      <c r="B1157" s="13">
        <v>45803</v>
      </c>
      <c r="C1157">
        <v>2025</v>
      </c>
      <c r="D1157">
        <v>5</v>
      </c>
      <c r="E1157" t="s">
        <v>3566</v>
      </c>
      <c r="F1157" t="s">
        <v>3329</v>
      </c>
      <c r="G1157" t="s">
        <v>1561</v>
      </c>
      <c r="H1157" t="s">
        <v>1562</v>
      </c>
      <c r="I1157" t="s">
        <v>86</v>
      </c>
      <c r="J1157">
        <v>56</v>
      </c>
      <c r="K1157" t="s">
        <v>83</v>
      </c>
      <c r="L1157" t="s">
        <v>2599</v>
      </c>
      <c r="M1157" t="s">
        <v>62</v>
      </c>
      <c r="N1157" t="s">
        <v>2590</v>
      </c>
      <c r="O1157" t="s">
        <v>127</v>
      </c>
      <c r="P1157" t="s">
        <v>51</v>
      </c>
      <c r="Q1157" t="s">
        <v>148</v>
      </c>
      <c r="R1157">
        <v>2</v>
      </c>
      <c r="S1157">
        <v>1599</v>
      </c>
      <c r="T1157">
        <v>0.05</v>
      </c>
      <c r="U1157">
        <v>3038.1</v>
      </c>
      <c r="V1157">
        <v>1600</v>
      </c>
      <c r="W1157">
        <v>1438.1</v>
      </c>
      <c r="X1157" t="s">
        <v>73</v>
      </c>
      <c r="Y1157" t="s">
        <v>68</v>
      </c>
      <c r="Z1157" t="s">
        <v>159</v>
      </c>
      <c r="AA1157" t="s">
        <v>166</v>
      </c>
      <c r="AB1157">
        <v>4.8</v>
      </c>
      <c r="AC1157">
        <v>60</v>
      </c>
      <c r="AD1157">
        <v>234.38</v>
      </c>
      <c r="AE1157">
        <f t="shared" si="36"/>
        <v>1143.7199999999998</v>
      </c>
      <c r="AF1157" t="str">
        <f t="shared" si="37"/>
        <v>2025-05</v>
      </c>
      <c r="AG1157">
        <f>SUBTOTAL(103,A1157)</f>
        <v>1</v>
      </c>
    </row>
    <row r="1158" spans="1:33" x14ac:dyDescent="0.3">
      <c r="A1158" t="s">
        <v>3772</v>
      </c>
      <c r="B1158" s="13">
        <v>45803</v>
      </c>
      <c r="C1158">
        <v>2025</v>
      </c>
      <c r="D1158">
        <v>5</v>
      </c>
      <c r="E1158" t="s">
        <v>3566</v>
      </c>
      <c r="F1158" t="s">
        <v>3329</v>
      </c>
      <c r="G1158" t="s">
        <v>1135</v>
      </c>
      <c r="H1158" t="s">
        <v>1136</v>
      </c>
      <c r="I1158" t="s">
        <v>85</v>
      </c>
      <c r="J1158">
        <v>56</v>
      </c>
      <c r="K1158" t="s">
        <v>83</v>
      </c>
      <c r="L1158" t="s">
        <v>98</v>
      </c>
      <c r="M1158" t="s">
        <v>55</v>
      </c>
      <c r="N1158" t="s">
        <v>2587</v>
      </c>
      <c r="O1158" t="s">
        <v>116</v>
      </c>
      <c r="P1158" t="s">
        <v>48</v>
      </c>
      <c r="Q1158" t="s">
        <v>138</v>
      </c>
      <c r="R1158">
        <v>1</v>
      </c>
      <c r="S1158">
        <v>14999</v>
      </c>
      <c r="T1158">
        <v>0</v>
      </c>
      <c r="U1158">
        <v>14999</v>
      </c>
      <c r="V1158">
        <v>11200</v>
      </c>
      <c r="W1158">
        <v>3799</v>
      </c>
      <c r="X1158" t="s">
        <v>73</v>
      </c>
      <c r="Y1158" t="s">
        <v>68</v>
      </c>
      <c r="Z1158" t="s">
        <v>163</v>
      </c>
      <c r="AA1158" t="s">
        <v>167</v>
      </c>
      <c r="AB1158">
        <v>3.4</v>
      </c>
      <c r="AC1158">
        <v>80</v>
      </c>
      <c r="AD1158">
        <v>388.79</v>
      </c>
      <c r="AE1158">
        <f t="shared" si="36"/>
        <v>3330.21</v>
      </c>
      <c r="AF1158" t="str">
        <f t="shared" si="37"/>
        <v>2025-05</v>
      </c>
      <c r="AG1158">
        <f>SUBTOTAL(103,A1158)</f>
        <v>1</v>
      </c>
    </row>
    <row r="1159" spans="1:33" x14ac:dyDescent="0.3">
      <c r="A1159" t="s">
        <v>3773</v>
      </c>
      <c r="B1159" s="13">
        <v>45803</v>
      </c>
      <c r="C1159">
        <v>2025</v>
      </c>
      <c r="D1159">
        <v>5</v>
      </c>
      <c r="E1159" t="s">
        <v>3566</v>
      </c>
      <c r="F1159" t="s">
        <v>3329</v>
      </c>
      <c r="G1159" t="s">
        <v>709</v>
      </c>
      <c r="H1159" t="s">
        <v>710</v>
      </c>
      <c r="I1159" t="s">
        <v>85</v>
      </c>
      <c r="J1159">
        <v>18</v>
      </c>
      <c r="K1159" t="s">
        <v>80</v>
      </c>
      <c r="L1159" t="s">
        <v>92</v>
      </c>
      <c r="M1159" t="s">
        <v>59</v>
      </c>
      <c r="N1159" t="s">
        <v>2647</v>
      </c>
      <c r="O1159" t="s">
        <v>133</v>
      </c>
      <c r="P1159" t="s">
        <v>50</v>
      </c>
      <c r="Q1159" t="s">
        <v>145</v>
      </c>
      <c r="R1159">
        <v>1</v>
      </c>
      <c r="S1159">
        <v>799</v>
      </c>
      <c r="T1159">
        <v>0.15</v>
      </c>
      <c r="U1159">
        <v>679.15</v>
      </c>
      <c r="V1159">
        <v>390</v>
      </c>
      <c r="W1159">
        <v>289.14999999999998</v>
      </c>
      <c r="X1159" t="s">
        <v>74</v>
      </c>
      <c r="Y1159" t="s">
        <v>68</v>
      </c>
      <c r="Z1159" t="s">
        <v>162</v>
      </c>
      <c r="AA1159" t="s">
        <v>171</v>
      </c>
      <c r="AB1159">
        <v>4.8</v>
      </c>
      <c r="AC1159">
        <v>50</v>
      </c>
      <c r="AD1159">
        <v>55.45</v>
      </c>
      <c r="AE1159">
        <f t="shared" si="36"/>
        <v>183.7</v>
      </c>
      <c r="AF1159" t="str">
        <f t="shared" si="37"/>
        <v>2025-05</v>
      </c>
      <c r="AG1159">
        <f>SUBTOTAL(103,A1159)</f>
        <v>1</v>
      </c>
    </row>
    <row r="1160" spans="1:33" x14ac:dyDescent="0.3">
      <c r="A1160" t="s">
        <v>3774</v>
      </c>
      <c r="B1160" s="13">
        <v>45803</v>
      </c>
      <c r="C1160">
        <v>2025</v>
      </c>
      <c r="D1160">
        <v>5</v>
      </c>
      <c r="E1160" t="s">
        <v>3566</v>
      </c>
      <c r="F1160" t="s">
        <v>3329</v>
      </c>
      <c r="G1160" t="s">
        <v>575</v>
      </c>
      <c r="H1160" t="s">
        <v>576</v>
      </c>
      <c r="I1160" t="s">
        <v>86</v>
      </c>
      <c r="J1160">
        <v>40</v>
      </c>
      <c r="K1160" t="s">
        <v>82</v>
      </c>
      <c r="L1160" t="s">
        <v>100</v>
      </c>
      <c r="M1160" t="s">
        <v>56</v>
      </c>
      <c r="N1160" t="s">
        <v>2582</v>
      </c>
      <c r="O1160" t="s">
        <v>119</v>
      </c>
      <c r="P1160" t="s">
        <v>49</v>
      </c>
      <c r="Q1160" t="s">
        <v>140</v>
      </c>
      <c r="R1160">
        <v>1</v>
      </c>
      <c r="S1160">
        <v>3499</v>
      </c>
      <c r="T1160">
        <v>0.1</v>
      </c>
      <c r="U1160">
        <v>3149.1</v>
      </c>
      <c r="V1160">
        <v>2100</v>
      </c>
      <c r="W1160">
        <v>1049.0999999999999</v>
      </c>
      <c r="X1160" t="s">
        <v>76</v>
      </c>
      <c r="Y1160" t="s">
        <v>68</v>
      </c>
      <c r="Z1160" t="s">
        <v>158</v>
      </c>
      <c r="AA1160" t="s">
        <v>166</v>
      </c>
      <c r="AB1160">
        <v>4.3</v>
      </c>
      <c r="AC1160">
        <v>50</v>
      </c>
      <c r="AD1160">
        <v>100.21</v>
      </c>
      <c r="AE1160">
        <f t="shared" si="36"/>
        <v>898.88999999999987</v>
      </c>
      <c r="AF1160" t="str">
        <f t="shared" si="37"/>
        <v>2025-05</v>
      </c>
      <c r="AG1160">
        <f>SUBTOTAL(103,A1160)</f>
        <v>1</v>
      </c>
    </row>
    <row r="1161" spans="1:33" x14ac:dyDescent="0.3">
      <c r="A1161" t="s">
        <v>3775</v>
      </c>
      <c r="B1161" s="13">
        <v>45803</v>
      </c>
      <c r="C1161">
        <v>2025</v>
      </c>
      <c r="D1161">
        <v>5</v>
      </c>
      <c r="E1161" t="s">
        <v>3566</v>
      </c>
      <c r="F1161" t="s">
        <v>3329</v>
      </c>
      <c r="G1161" t="s">
        <v>1993</v>
      </c>
      <c r="H1161" t="s">
        <v>1994</v>
      </c>
      <c r="I1161" t="s">
        <v>85</v>
      </c>
      <c r="J1161">
        <v>42</v>
      </c>
      <c r="K1161" t="s">
        <v>82</v>
      </c>
      <c r="L1161" t="s">
        <v>94</v>
      </c>
      <c r="M1161" t="s">
        <v>57</v>
      </c>
      <c r="N1161" t="s">
        <v>2657</v>
      </c>
      <c r="O1161" t="s">
        <v>134</v>
      </c>
      <c r="P1161" t="s">
        <v>49</v>
      </c>
      <c r="Q1161" t="s">
        <v>140</v>
      </c>
      <c r="R1161">
        <v>5</v>
      </c>
      <c r="S1161">
        <v>599</v>
      </c>
      <c r="T1161">
        <v>0.05</v>
      </c>
      <c r="U1161">
        <v>2845.25</v>
      </c>
      <c r="V1161">
        <v>1250</v>
      </c>
      <c r="W1161">
        <v>1595.25</v>
      </c>
      <c r="X1161" t="s">
        <v>76</v>
      </c>
      <c r="Y1161" t="s">
        <v>68</v>
      </c>
      <c r="Z1161" t="s">
        <v>162</v>
      </c>
      <c r="AA1161" t="s">
        <v>170</v>
      </c>
      <c r="AB1161">
        <v>4.7</v>
      </c>
      <c r="AC1161">
        <v>50</v>
      </c>
      <c r="AD1161">
        <v>199.94</v>
      </c>
      <c r="AE1161">
        <f t="shared" si="36"/>
        <v>1345.31</v>
      </c>
      <c r="AF1161" t="str">
        <f t="shared" si="37"/>
        <v>2025-05</v>
      </c>
      <c r="AG1161">
        <f>SUBTOTAL(103,A1161)</f>
        <v>1</v>
      </c>
    </row>
    <row r="1162" spans="1:33" x14ac:dyDescent="0.3">
      <c r="A1162" t="s">
        <v>3776</v>
      </c>
      <c r="B1162" s="13">
        <v>45803</v>
      </c>
      <c r="C1162">
        <v>2025</v>
      </c>
      <c r="D1162">
        <v>5</v>
      </c>
      <c r="E1162" t="s">
        <v>3566</v>
      </c>
      <c r="F1162" t="s">
        <v>3329</v>
      </c>
      <c r="G1162" t="s">
        <v>1571</v>
      </c>
      <c r="H1162" t="s">
        <v>1572</v>
      </c>
      <c r="I1162" t="s">
        <v>86</v>
      </c>
      <c r="J1162">
        <v>30</v>
      </c>
      <c r="K1162" t="s">
        <v>81</v>
      </c>
      <c r="L1162" t="s">
        <v>2605</v>
      </c>
      <c r="M1162" t="s">
        <v>60</v>
      </c>
      <c r="N1162" t="s">
        <v>2657</v>
      </c>
      <c r="O1162" t="s">
        <v>134</v>
      </c>
      <c r="P1162" t="s">
        <v>49</v>
      </c>
      <c r="Q1162" t="s">
        <v>140</v>
      </c>
      <c r="R1162">
        <v>4</v>
      </c>
      <c r="S1162">
        <v>599</v>
      </c>
      <c r="T1162">
        <v>0.05</v>
      </c>
      <c r="U1162">
        <v>2276.1999999999998</v>
      </c>
      <c r="V1162">
        <v>1000</v>
      </c>
      <c r="W1162">
        <v>1276.2</v>
      </c>
      <c r="X1162" t="s">
        <v>75</v>
      </c>
      <c r="Y1162" t="s">
        <v>69</v>
      </c>
      <c r="Z1162" t="s">
        <v>163</v>
      </c>
      <c r="AA1162" t="s">
        <v>168</v>
      </c>
      <c r="AB1162">
        <v>4</v>
      </c>
      <c r="AC1162">
        <v>40</v>
      </c>
      <c r="AD1162">
        <v>60.31</v>
      </c>
      <c r="AE1162">
        <f t="shared" si="36"/>
        <v>1175.8900000000001</v>
      </c>
      <c r="AF1162" t="str">
        <f t="shared" si="37"/>
        <v>2025-05</v>
      </c>
      <c r="AG1162">
        <f>SUBTOTAL(103,A1162)</f>
        <v>1</v>
      </c>
    </row>
    <row r="1163" spans="1:33" x14ac:dyDescent="0.3">
      <c r="A1163" t="s">
        <v>3777</v>
      </c>
      <c r="B1163" s="13">
        <v>45804</v>
      </c>
      <c r="C1163">
        <v>2025</v>
      </c>
      <c r="D1163">
        <v>5</v>
      </c>
      <c r="E1163" t="s">
        <v>3566</v>
      </c>
      <c r="F1163" t="s">
        <v>3329</v>
      </c>
      <c r="G1163" t="s">
        <v>1219</v>
      </c>
      <c r="H1163" t="s">
        <v>1220</v>
      </c>
      <c r="I1163" t="s">
        <v>86</v>
      </c>
      <c r="J1163">
        <v>58</v>
      </c>
      <c r="K1163" t="s">
        <v>83</v>
      </c>
      <c r="L1163" t="s">
        <v>2589</v>
      </c>
      <c r="M1163" t="s">
        <v>61</v>
      </c>
      <c r="N1163" t="s">
        <v>2584</v>
      </c>
      <c r="O1163" t="s">
        <v>121</v>
      </c>
      <c r="P1163" t="s">
        <v>50</v>
      </c>
      <c r="Q1163" t="s">
        <v>144</v>
      </c>
      <c r="R1163">
        <v>1</v>
      </c>
      <c r="S1163">
        <v>2999</v>
      </c>
      <c r="T1163">
        <v>0.25</v>
      </c>
      <c r="U1163">
        <v>2249.25</v>
      </c>
      <c r="V1163">
        <v>1700</v>
      </c>
      <c r="W1163">
        <v>549.25</v>
      </c>
      <c r="X1163" t="s">
        <v>76</v>
      </c>
      <c r="Y1163" t="s">
        <v>68</v>
      </c>
      <c r="Z1163" t="s">
        <v>160</v>
      </c>
      <c r="AA1163" t="s">
        <v>170</v>
      </c>
      <c r="AB1163">
        <v>5</v>
      </c>
      <c r="AC1163">
        <v>80</v>
      </c>
      <c r="AD1163">
        <v>151.19999999999999</v>
      </c>
      <c r="AE1163">
        <f t="shared" si="36"/>
        <v>318.05</v>
      </c>
      <c r="AF1163" t="str">
        <f t="shared" si="37"/>
        <v>2025-05</v>
      </c>
      <c r="AG1163">
        <f>SUBTOTAL(103,A1163)</f>
        <v>1</v>
      </c>
    </row>
    <row r="1164" spans="1:33" x14ac:dyDescent="0.3">
      <c r="A1164" t="s">
        <v>3778</v>
      </c>
      <c r="B1164" s="13">
        <v>45804</v>
      </c>
      <c r="C1164">
        <v>2025</v>
      </c>
      <c r="D1164">
        <v>5</v>
      </c>
      <c r="E1164" t="s">
        <v>3566</v>
      </c>
      <c r="F1164" t="s">
        <v>3329</v>
      </c>
      <c r="G1164" t="s">
        <v>2315</v>
      </c>
      <c r="H1164" t="s">
        <v>2316</v>
      </c>
      <c r="I1164" t="s">
        <v>86</v>
      </c>
      <c r="J1164">
        <v>55</v>
      </c>
      <c r="K1164" t="s">
        <v>83</v>
      </c>
      <c r="L1164" t="s">
        <v>2573</v>
      </c>
      <c r="M1164" t="s">
        <v>63</v>
      </c>
      <c r="N1164" t="s">
        <v>2630</v>
      </c>
      <c r="O1164" t="s">
        <v>123</v>
      </c>
      <c r="P1164" t="s">
        <v>52</v>
      </c>
      <c r="Q1164" t="s">
        <v>146</v>
      </c>
      <c r="R1164">
        <v>1</v>
      </c>
      <c r="S1164">
        <v>2499</v>
      </c>
      <c r="T1164">
        <v>0.15</v>
      </c>
      <c r="U1164">
        <v>2124.15</v>
      </c>
      <c r="V1164">
        <v>1400</v>
      </c>
      <c r="W1164">
        <v>724.15</v>
      </c>
      <c r="X1164" t="s">
        <v>76</v>
      </c>
      <c r="Y1164" t="s">
        <v>68</v>
      </c>
      <c r="Z1164" t="s">
        <v>159</v>
      </c>
      <c r="AA1164" t="s">
        <v>170</v>
      </c>
      <c r="AB1164">
        <v>3.6</v>
      </c>
      <c r="AC1164">
        <v>60</v>
      </c>
      <c r="AD1164">
        <v>229.33</v>
      </c>
      <c r="AE1164">
        <f t="shared" si="36"/>
        <v>434.81999999999994</v>
      </c>
      <c r="AF1164" t="str">
        <f t="shared" si="37"/>
        <v>2025-05</v>
      </c>
      <c r="AG1164">
        <f>SUBTOTAL(103,A1164)</f>
        <v>1</v>
      </c>
    </row>
    <row r="1165" spans="1:33" x14ac:dyDescent="0.3">
      <c r="A1165" t="s">
        <v>3779</v>
      </c>
      <c r="B1165" s="13">
        <v>45804</v>
      </c>
      <c r="C1165">
        <v>2025</v>
      </c>
      <c r="D1165">
        <v>5</v>
      </c>
      <c r="E1165" t="s">
        <v>3566</v>
      </c>
      <c r="F1165" t="s">
        <v>3329</v>
      </c>
      <c r="G1165" t="s">
        <v>2293</v>
      </c>
      <c r="H1165" t="s">
        <v>2294</v>
      </c>
      <c r="I1165" t="s">
        <v>85</v>
      </c>
      <c r="J1165">
        <v>18</v>
      </c>
      <c r="K1165" t="s">
        <v>80</v>
      </c>
      <c r="L1165" t="s">
        <v>2573</v>
      </c>
      <c r="M1165" t="s">
        <v>63</v>
      </c>
      <c r="N1165" t="s">
        <v>2606</v>
      </c>
      <c r="O1165" t="s">
        <v>120</v>
      </c>
      <c r="P1165" t="s">
        <v>49</v>
      </c>
      <c r="Q1165" t="s">
        <v>140</v>
      </c>
      <c r="R1165">
        <v>1</v>
      </c>
      <c r="S1165">
        <v>2799</v>
      </c>
      <c r="T1165">
        <v>0.25</v>
      </c>
      <c r="U1165">
        <v>2099.25</v>
      </c>
      <c r="V1165">
        <v>1650</v>
      </c>
      <c r="W1165">
        <v>449.25</v>
      </c>
      <c r="X1165" t="s">
        <v>76</v>
      </c>
      <c r="Y1165" t="s">
        <v>68</v>
      </c>
      <c r="Z1165" t="s">
        <v>158</v>
      </c>
      <c r="AA1165" t="s">
        <v>166</v>
      </c>
      <c r="AB1165">
        <v>4.4000000000000004</v>
      </c>
      <c r="AC1165">
        <v>80</v>
      </c>
      <c r="AD1165">
        <v>96.75</v>
      </c>
      <c r="AE1165">
        <f t="shared" si="36"/>
        <v>272.5</v>
      </c>
      <c r="AF1165" t="str">
        <f t="shared" si="37"/>
        <v>2025-05</v>
      </c>
      <c r="AG1165">
        <f>SUBTOTAL(103,A1165)</f>
        <v>1</v>
      </c>
    </row>
    <row r="1166" spans="1:33" x14ac:dyDescent="0.3">
      <c r="A1166" t="s">
        <v>3780</v>
      </c>
      <c r="B1166" s="13">
        <v>45804</v>
      </c>
      <c r="C1166">
        <v>2025</v>
      </c>
      <c r="D1166">
        <v>5</v>
      </c>
      <c r="E1166" t="s">
        <v>3566</v>
      </c>
      <c r="F1166" t="s">
        <v>3329</v>
      </c>
      <c r="G1166" t="s">
        <v>313</v>
      </c>
      <c r="H1166" t="s">
        <v>314</v>
      </c>
      <c r="I1166" t="s">
        <v>86</v>
      </c>
      <c r="J1166">
        <v>55</v>
      </c>
      <c r="K1166" t="s">
        <v>83</v>
      </c>
      <c r="L1166" t="s">
        <v>95</v>
      </c>
      <c r="M1166" t="s">
        <v>56</v>
      </c>
      <c r="N1166" t="s">
        <v>2592</v>
      </c>
      <c r="O1166" t="s">
        <v>115</v>
      </c>
      <c r="P1166" t="s">
        <v>48</v>
      </c>
      <c r="Q1166" t="s">
        <v>137</v>
      </c>
      <c r="R1166">
        <v>3</v>
      </c>
      <c r="S1166">
        <v>12999</v>
      </c>
      <c r="T1166">
        <v>0.05</v>
      </c>
      <c r="U1166">
        <v>37047.15</v>
      </c>
      <c r="V1166">
        <v>27000</v>
      </c>
      <c r="W1166">
        <v>10047.15</v>
      </c>
      <c r="X1166" t="s">
        <v>74</v>
      </c>
      <c r="Y1166" t="s">
        <v>68</v>
      </c>
      <c r="Z1166" t="s">
        <v>159</v>
      </c>
      <c r="AA1166" t="s">
        <v>167</v>
      </c>
      <c r="AB1166">
        <v>1.9</v>
      </c>
      <c r="AC1166">
        <v>60</v>
      </c>
      <c r="AD1166">
        <v>3978.75</v>
      </c>
      <c r="AE1166">
        <f t="shared" si="36"/>
        <v>6008.4</v>
      </c>
      <c r="AF1166" t="str">
        <f t="shared" si="37"/>
        <v>2025-05</v>
      </c>
      <c r="AG1166">
        <f>SUBTOTAL(103,A1166)</f>
        <v>1</v>
      </c>
    </row>
    <row r="1167" spans="1:33" x14ac:dyDescent="0.3">
      <c r="A1167" t="s">
        <v>3781</v>
      </c>
      <c r="B1167" s="13">
        <v>45804</v>
      </c>
      <c r="C1167">
        <v>2025</v>
      </c>
      <c r="D1167">
        <v>5</v>
      </c>
      <c r="E1167" t="s">
        <v>3566</v>
      </c>
      <c r="F1167" t="s">
        <v>3329</v>
      </c>
      <c r="G1167" t="s">
        <v>249</v>
      </c>
      <c r="H1167" t="s">
        <v>250</v>
      </c>
      <c r="I1167" t="s">
        <v>86</v>
      </c>
      <c r="J1167">
        <v>41</v>
      </c>
      <c r="K1167" t="s">
        <v>82</v>
      </c>
      <c r="L1167" t="s">
        <v>2674</v>
      </c>
      <c r="M1167" t="s">
        <v>58</v>
      </c>
      <c r="N1167" t="s">
        <v>2587</v>
      </c>
      <c r="O1167" t="s">
        <v>116</v>
      </c>
      <c r="P1167" t="s">
        <v>48</v>
      </c>
      <c r="Q1167" t="s">
        <v>138</v>
      </c>
      <c r="R1167">
        <v>5</v>
      </c>
      <c r="S1167">
        <v>14999</v>
      </c>
      <c r="T1167">
        <v>0.1</v>
      </c>
      <c r="U1167">
        <v>67495.5</v>
      </c>
      <c r="V1167">
        <v>56000</v>
      </c>
      <c r="W1167">
        <v>11495.5</v>
      </c>
      <c r="X1167" t="s">
        <v>76</v>
      </c>
      <c r="Y1167" t="s">
        <v>68</v>
      </c>
      <c r="Z1167" t="s">
        <v>162</v>
      </c>
      <c r="AA1167" t="s">
        <v>168</v>
      </c>
      <c r="AB1167">
        <v>3.7</v>
      </c>
      <c r="AC1167">
        <v>80</v>
      </c>
      <c r="AD1167">
        <v>4251.55</v>
      </c>
      <c r="AE1167">
        <f t="shared" si="36"/>
        <v>7163.95</v>
      </c>
      <c r="AF1167" t="str">
        <f t="shared" si="37"/>
        <v>2025-05</v>
      </c>
      <c r="AG1167">
        <f>SUBTOTAL(103,A1167)</f>
        <v>1</v>
      </c>
    </row>
    <row r="1168" spans="1:33" x14ac:dyDescent="0.3">
      <c r="A1168" t="s">
        <v>3782</v>
      </c>
      <c r="B1168" s="13">
        <v>45804</v>
      </c>
      <c r="C1168">
        <v>2025</v>
      </c>
      <c r="D1168">
        <v>5</v>
      </c>
      <c r="E1168" t="s">
        <v>3566</v>
      </c>
      <c r="F1168" t="s">
        <v>3329</v>
      </c>
      <c r="G1168" t="s">
        <v>1799</v>
      </c>
      <c r="H1168" t="s">
        <v>1800</v>
      </c>
      <c r="I1168" t="s">
        <v>85</v>
      </c>
      <c r="J1168">
        <v>25</v>
      </c>
      <c r="K1168" t="s">
        <v>80</v>
      </c>
      <c r="L1168" t="s">
        <v>99</v>
      </c>
      <c r="M1168" t="s">
        <v>58</v>
      </c>
      <c r="N1168" t="s">
        <v>2653</v>
      </c>
      <c r="O1168" t="s">
        <v>132</v>
      </c>
      <c r="P1168" t="s">
        <v>52</v>
      </c>
      <c r="Q1168" t="s">
        <v>150</v>
      </c>
      <c r="R1168">
        <v>3</v>
      </c>
      <c r="S1168">
        <v>899</v>
      </c>
      <c r="T1168">
        <v>0.05</v>
      </c>
      <c r="U1168">
        <v>2562.15</v>
      </c>
      <c r="V1168">
        <v>1260</v>
      </c>
      <c r="W1168">
        <v>1302.1500000000001</v>
      </c>
      <c r="X1168" t="s">
        <v>76</v>
      </c>
      <c r="Y1168" t="s">
        <v>68</v>
      </c>
      <c r="Z1168" t="s">
        <v>161</v>
      </c>
      <c r="AA1168" t="s">
        <v>167</v>
      </c>
      <c r="AB1168">
        <v>4.4000000000000004</v>
      </c>
      <c r="AC1168">
        <v>100</v>
      </c>
      <c r="AD1168">
        <v>162.99</v>
      </c>
      <c r="AE1168">
        <f t="shared" si="36"/>
        <v>1039.1600000000001</v>
      </c>
      <c r="AF1168" t="str">
        <f t="shared" si="37"/>
        <v>2025-05</v>
      </c>
      <c r="AG1168">
        <f>SUBTOTAL(103,A1168)</f>
        <v>1</v>
      </c>
    </row>
    <row r="1169" spans="1:33" x14ac:dyDescent="0.3">
      <c r="A1169" t="s">
        <v>3783</v>
      </c>
      <c r="B1169" s="13">
        <v>45804</v>
      </c>
      <c r="C1169">
        <v>2025</v>
      </c>
      <c r="D1169">
        <v>5</v>
      </c>
      <c r="E1169" t="s">
        <v>3566</v>
      </c>
      <c r="F1169" t="s">
        <v>3329</v>
      </c>
      <c r="G1169" t="s">
        <v>1587</v>
      </c>
      <c r="H1169" t="s">
        <v>1588</v>
      </c>
      <c r="I1169" t="s">
        <v>86</v>
      </c>
      <c r="J1169">
        <v>49</v>
      </c>
      <c r="K1169" t="s">
        <v>83</v>
      </c>
      <c r="L1169" t="s">
        <v>2623</v>
      </c>
      <c r="M1169" t="s">
        <v>61</v>
      </c>
      <c r="N1169" t="s">
        <v>2601</v>
      </c>
      <c r="O1169" t="s">
        <v>117</v>
      </c>
      <c r="P1169" t="s">
        <v>49</v>
      </c>
      <c r="Q1169" t="s">
        <v>139</v>
      </c>
      <c r="R1169">
        <v>1</v>
      </c>
      <c r="S1169">
        <v>6999</v>
      </c>
      <c r="T1169">
        <v>0.15</v>
      </c>
      <c r="U1169">
        <v>5949.15</v>
      </c>
      <c r="V1169">
        <v>4300</v>
      </c>
      <c r="W1169">
        <v>1649.15</v>
      </c>
      <c r="X1169" t="s">
        <v>73</v>
      </c>
      <c r="Y1169" t="s">
        <v>68</v>
      </c>
      <c r="Z1169" t="s">
        <v>160</v>
      </c>
      <c r="AA1169" t="s">
        <v>168</v>
      </c>
      <c r="AB1169">
        <v>5</v>
      </c>
      <c r="AC1169">
        <v>100</v>
      </c>
      <c r="AD1169">
        <v>539.23</v>
      </c>
      <c r="AE1169">
        <f t="shared" si="36"/>
        <v>1009.9200000000001</v>
      </c>
      <c r="AF1169" t="str">
        <f t="shared" si="37"/>
        <v>2025-05</v>
      </c>
      <c r="AG1169">
        <f>SUBTOTAL(103,A1169)</f>
        <v>1</v>
      </c>
    </row>
    <row r="1170" spans="1:33" x14ac:dyDescent="0.3">
      <c r="A1170" t="s">
        <v>3784</v>
      </c>
      <c r="B1170" s="13">
        <v>45804</v>
      </c>
      <c r="C1170">
        <v>2025</v>
      </c>
      <c r="D1170">
        <v>5</v>
      </c>
      <c r="E1170" t="s">
        <v>3566</v>
      </c>
      <c r="F1170" t="s">
        <v>3329</v>
      </c>
      <c r="G1170" t="s">
        <v>281</v>
      </c>
      <c r="H1170" t="s">
        <v>282</v>
      </c>
      <c r="I1170" t="s">
        <v>85</v>
      </c>
      <c r="J1170">
        <v>43</v>
      </c>
      <c r="K1170" t="s">
        <v>82</v>
      </c>
      <c r="L1170" t="s">
        <v>2616</v>
      </c>
      <c r="M1170" t="s">
        <v>62</v>
      </c>
      <c r="N1170" t="s">
        <v>2603</v>
      </c>
      <c r="O1170" t="s">
        <v>122</v>
      </c>
      <c r="P1170" t="s">
        <v>48</v>
      </c>
      <c r="Q1170" t="s">
        <v>141</v>
      </c>
      <c r="R1170">
        <v>3</v>
      </c>
      <c r="S1170">
        <v>2499</v>
      </c>
      <c r="T1170">
        <v>0</v>
      </c>
      <c r="U1170">
        <v>7497</v>
      </c>
      <c r="V1170">
        <v>4350</v>
      </c>
      <c r="W1170">
        <v>3147</v>
      </c>
      <c r="X1170" t="s">
        <v>76</v>
      </c>
      <c r="Y1170" t="s">
        <v>68</v>
      </c>
      <c r="Z1170" t="s">
        <v>162</v>
      </c>
      <c r="AA1170" t="s">
        <v>166</v>
      </c>
      <c r="AB1170">
        <v>4.2</v>
      </c>
      <c r="AC1170">
        <v>60</v>
      </c>
      <c r="AD1170">
        <v>276.49</v>
      </c>
      <c r="AE1170">
        <f t="shared" si="36"/>
        <v>2810.51</v>
      </c>
      <c r="AF1170" t="str">
        <f t="shared" si="37"/>
        <v>2025-05</v>
      </c>
      <c r="AG1170">
        <f>SUBTOTAL(103,A1170)</f>
        <v>1</v>
      </c>
    </row>
    <row r="1171" spans="1:33" x14ac:dyDescent="0.3">
      <c r="A1171" t="s">
        <v>3785</v>
      </c>
      <c r="B1171" s="13">
        <v>45804</v>
      </c>
      <c r="C1171">
        <v>2025</v>
      </c>
      <c r="D1171">
        <v>5</v>
      </c>
      <c r="E1171" t="s">
        <v>3566</v>
      </c>
      <c r="F1171" t="s">
        <v>3329</v>
      </c>
      <c r="G1171" t="s">
        <v>1123</v>
      </c>
      <c r="H1171" t="s">
        <v>1124</v>
      </c>
      <c r="I1171" t="s">
        <v>87</v>
      </c>
      <c r="J1171">
        <v>47</v>
      </c>
      <c r="K1171" t="s">
        <v>83</v>
      </c>
      <c r="L1171" t="s">
        <v>2637</v>
      </c>
      <c r="M1171" t="s">
        <v>64</v>
      </c>
      <c r="N1171" t="s">
        <v>2592</v>
      </c>
      <c r="O1171" t="s">
        <v>115</v>
      </c>
      <c r="P1171" t="s">
        <v>48</v>
      </c>
      <c r="Q1171" t="s">
        <v>137</v>
      </c>
      <c r="R1171">
        <v>2</v>
      </c>
      <c r="S1171">
        <v>12999</v>
      </c>
      <c r="T1171">
        <v>0.05</v>
      </c>
      <c r="U1171">
        <v>24698.1</v>
      </c>
      <c r="V1171">
        <v>18000</v>
      </c>
      <c r="W1171">
        <v>6698.1</v>
      </c>
      <c r="X1171" t="s">
        <v>73</v>
      </c>
      <c r="Y1171" t="s">
        <v>69</v>
      </c>
      <c r="Z1171" t="s">
        <v>158</v>
      </c>
      <c r="AA1171" t="s">
        <v>169</v>
      </c>
      <c r="AB1171">
        <v>5</v>
      </c>
      <c r="AC1171">
        <v>60</v>
      </c>
      <c r="AD1171">
        <v>872.05</v>
      </c>
      <c r="AE1171">
        <f t="shared" si="36"/>
        <v>5766.05</v>
      </c>
      <c r="AF1171" t="str">
        <f t="shared" si="37"/>
        <v>2025-05</v>
      </c>
      <c r="AG1171">
        <f>SUBTOTAL(103,A1171)</f>
        <v>1</v>
      </c>
    </row>
    <row r="1172" spans="1:33" x14ac:dyDescent="0.3">
      <c r="A1172" t="s">
        <v>3786</v>
      </c>
      <c r="B1172" s="13">
        <v>45804</v>
      </c>
      <c r="C1172">
        <v>2025</v>
      </c>
      <c r="D1172">
        <v>5</v>
      </c>
      <c r="E1172" t="s">
        <v>3566</v>
      </c>
      <c r="F1172" t="s">
        <v>3329</v>
      </c>
      <c r="G1172" t="s">
        <v>1515</v>
      </c>
      <c r="H1172" t="s">
        <v>1516</v>
      </c>
      <c r="I1172" t="s">
        <v>85</v>
      </c>
      <c r="J1172">
        <v>34</v>
      </c>
      <c r="K1172" t="s">
        <v>81</v>
      </c>
      <c r="L1172" t="s">
        <v>2576</v>
      </c>
      <c r="M1172" t="s">
        <v>60</v>
      </c>
      <c r="N1172" t="s">
        <v>2657</v>
      </c>
      <c r="O1172" t="s">
        <v>134</v>
      </c>
      <c r="P1172" t="s">
        <v>49</v>
      </c>
      <c r="Q1172" t="s">
        <v>140</v>
      </c>
      <c r="R1172">
        <v>2</v>
      </c>
      <c r="S1172">
        <v>599</v>
      </c>
      <c r="T1172">
        <v>0</v>
      </c>
      <c r="U1172">
        <v>1198</v>
      </c>
      <c r="V1172">
        <v>500</v>
      </c>
      <c r="W1172">
        <v>698</v>
      </c>
      <c r="X1172" t="s">
        <v>77</v>
      </c>
      <c r="Y1172" t="s">
        <v>68</v>
      </c>
      <c r="Z1172" t="s">
        <v>158</v>
      </c>
      <c r="AA1172" t="s">
        <v>166</v>
      </c>
      <c r="AB1172">
        <v>3.1</v>
      </c>
      <c r="AC1172">
        <v>60</v>
      </c>
      <c r="AD1172">
        <v>131.91</v>
      </c>
      <c r="AE1172">
        <f t="shared" si="36"/>
        <v>506.09000000000003</v>
      </c>
      <c r="AF1172" t="str">
        <f t="shared" si="37"/>
        <v>2025-05</v>
      </c>
      <c r="AG1172">
        <f>SUBTOTAL(103,A1172)</f>
        <v>1</v>
      </c>
    </row>
    <row r="1173" spans="1:33" x14ac:dyDescent="0.3">
      <c r="A1173" t="s">
        <v>3787</v>
      </c>
      <c r="B1173" s="13">
        <v>45805</v>
      </c>
      <c r="C1173">
        <v>2025</v>
      </c>
      <c r="D1173">
        <v>5</v>
      </c>
      <c r="E1173" t="s">
        <v>3566</v>
      </c>
      <c r="F1173" t="s">
        <v>3329</v>
      </c>
      <c r="G1173" t="s">
        <v>489</v>
      </c>
      <c r="H1173" t="s">
        <v>490</v>
      </c>
      <c r="I1173" t="s">
        <v>86</v>
      </c>
      <c r="J1173">
        <v>29</v>
      </c>
      <c r="K1173" t="s">
        <v>81</v>
      </c>
      <c r="L1173" t="s">
        <v>2612</v>
      </c>
      <c r="M1173" t="s">
        <v>64</v>
      </c>
      <c r="N1173" t="s">
        <v>2582</v>
      </c>
      <c r="O1173" t="s">
        <v>119</v>
      </c>
      <c r="P1173" t="s">
        <v>49</v>
      </c>
      <c r="Q1173" t="s">
        <v>140</v>
      </c>
      <c r="R1173">
        <v>2</v>
      </c>
      <c r="S1173">
        <v>3499</v>
      </c>
      <c r="T1173">
        <v>0.05</v>
      </c>
      <c r="U1173">
        <v>6648.1</v>
      </c>
      <c r="V1173">
        <v>4200</v>
      </c>
      <c r="W1173">
        <v>2448.1</v>
      </c>
      <c r="X1173" t="s">
        <v>75</v>
      </c>
      <c r="Y1173" t="s">
        <v>69</v>
      </c>
      <c r="Z1173" t="s">
        <v>162</v>
      </c>
      <c r="AA1173" t="s">
        <v>168</v>
      </c>
      <c r="AB1173">
        <v>2.8</v>
      </c>
      <c r="AC1173">
        <v>60</v>
      </c>
      <c r="AD1173">
        <v>237.82</v>
      </c>
      <c r="AE1173">
        <f t="shared" si="36"/>
        <v>2150.2799999999997</v>
      </c>
      <c r="AF1173" t="str">
        <f t="shared" si="37"/>
        <v>2025-05</v>
      </c>
      <c r="AG1173">
        <f>SUBTOTAL(103,A1173)</f>
        <v>1</v>
      </c>
    </row>
    <row r="1174" spans="1:33" x14ac:dyDescent="0.3">
      <c r="A1174" t="s">
        <v>3788</v>
      </c>
      <c r="B1174" s="13">
        <v>45805</v>
      </c>
      <c r="C1174">
        <v>2025</v>
      </c>
      <c r="D1174">
        <v>5</v>
      </c>
      <c r="E1174" t="s">
        <v>3566</v>
      </c>
      <c r="F1174" t="s">
        <v>3329</v>
      </c>
      <c r="G1174" t="s">
        <v>921</v>
      </c>
      <c r="H1174" t="s">
        <v>922</v>
      </c>
      <c r="I1174" t="s">
        <v>85</v>
      </c>
      <c r="J1174">
        <v>38</v>
      </c>
      <c r="K1174" t="s">
        <v>82</v>
      </c>
      <c r="L1174" t="s">
        <v>96</v>
      </c>
      <c r="M1174" t="s">
        <v>55</v>
      </c>
      <c r="N1174" t="s">
        <v>2665</v>
      </c>
      <c r="O1174" t="s">
        <v>128</v>
      </c>
      <c r="P1174" t="s">
        <v>53</v>
      </c>
      <c r="Q1174" t="s">
        <v>143</v>
      </c>
      <c r="R1174">
        <v>1</v>
      </c>
      <c r="S1174">
        <v>1499</v>
      </c>
      <c r="T1174">
        <v>0.1</v>
      </c>
      <c r="U1174">
        <v>1349.1</v>
      </c>
      <c r="V1174">
        <v>800</v>
      </c>
      <c r="W1174">
        <v>549.1</v>
      </c>
      <c r="X1174" t="s">
        <v>74</v>
      </c>
      <c r="Y1174" t="s">
        <v>69</v>
      </c>
      <c r="Z1174" t="s">
        <v>161</v>
      </c>
      <c r="AA1174" t="s">
        <v>169</v>
      </c>
      <c r="AB1174">
        <v>3.9</v>
      </c>
      <c r="AC1174">
        <v>80</v>
      </c>
      <c r="AD1174">
        <v>49.21</v>
      </c>
      <c r="AE1174">
        <f t="shared" si="36"/>
        <v>419.89000000000004</v>
      </c>
      <c r="AF1174" t="str">
        <f t="shared" si="37"/>
        <v>2025-05</v>
      </c>
      <c r="AG1174">
        <f>SUBTOTAL(103,A1174)</f>
        <v>1</v>
      </c>
    </row>
    <row r="1175" spans="1:33" x14ac:dyDescent="0.3">
      <c r="A1175" t="s">
        <v>3789</v>
      </c>
      <c r="B1175" s="13">
        <v>45805</v>
      </c>
      <c r="C1175">
        <v>2025</v>
      </c>
      <c r="D1175">
        <v>5</v>
      </c>
      <c r="E1175" t="s">
        <v>3566</v>
      </c>
      <c r="F1175" t="s">
        <v>3329</v>
      </c>
      <c r="G1175" t="s">
        <v>1861</v>
      </c>
      <c r="H1175" t="s">
        <v>1862</v>
      </c>
      <c r="I1175" t="s">
        <v>85</v>
      </c>
      <c r="J1175">
        <v>26</v>
      </c>
      <c r="K1175" t="s">
        <v>81</v>
      </c>
      <c r="L1175" t="s">
        <v>2661</v>
      </c>
      <c r="M1175" t="s">
        <v>58</v>
      </c>
      <c r="N1175" t="s">
        <v>2630</v>
      </c>
      <c r="O1175" t="s">
        <v>123</v>
      </c>
      <c r="P1175" t="s">
        <v>52</v>
      </c>
      <c r="Q1175" t="s">
        <v>146</v>
      </c>
      <c r="R1175">
        <v>2</v>
      </c>
      <c r="S1175">
        <v>2499</v>
      </c>
      <c r="T1175">
        <v>0.1</v>
      </c>
      <c r="U1175">
        <v>4498.2</v>
      </c>
      <c r="V1175">
        <v>2800</v>
      </c>
      <c r="W1175">
        <v>1698.2</v>
      </c>
      <c r="X1175" t="s">
        <v>76</v>
      </c>
      <c r="Y1175" t="s">
        <v>70</v>
      </c>
      <c r="Z1175" t="s">
        <v>160</v>
      </c>
      <c r="AA1175" t="s">
        <v>168</v>
      </c>
      <c r="AB1175">
        <v>4.3</v>
      </c>
      <c r="AC1175">
        <v>50</v>
      </c>
      <c r="AD1175">
        <v>119.18</v>
      </c>
      <c r="AE1175">
        <f t="shared" si="36"/>
        <v>1529.02</v>
      </c>
      <c r="AF1175" t="str">
        <f t="shared" si="37"/>
        <v>2025-05</v>
      </c>
      <c r="AG1175">
        <f>SUBTOTAL(103,A1175)</f>
        <v>1</v>
      </c>
    </row>
    <row r="1176" spans="1:33" x14ac:dyDescent="0.3">
      <c r="A1176" t="s">
        <v>3790</v>
      </c>
      <c r="B1176" s="13">
        <v>45805</v>
      </c>
      <c r="C1176">
        <v>2025</v>
      </c>
      <c r="D1176">
        <v>5</v>
      </c>
      <c r="E1176" t="s">
        <v>3566</v>
      </c>
      <c r="F1176" t="s">
        <v>3329</v>
      </c>
      <c r="G1176" t="s">
        <v>1825</v>
      </c>
      <c r="H1176" t="s">
        <v>1826</v>
      </c>
      <c r="I1176" t="s">
        <v>85</v>
      </c>
      <c r="J1176">
        <v>49</v>
      </c>
      <c r="K1176" t="s">
        <v>83</v>
      </c>
      <c r="L1176" t="s">
        <v>98</v>
      </c>
      <c r="M1176" t="s">
        <v>55</v>
      </c>
      <c r="N1176" t="s">
        <v>2577</v>
      </c>
      <c r="O1176" t="s">
        <v>129</v>
      </c>
      <c r="P1176" t="s">
        <v>49</v>
      </c>
      <c r="Q1176" t="s">
        <v>149</v>
      </c>
      <c r="R1176">
        <v>5</v>
      </c>
      <c r="S1176">
        <v>1299</v>
      </c>
      <c r="T1176">
        <v>0.1</v>
      </c>
      <c r="U1176">
        <v>5845.5</v>
      </c>
      <c r="V1176">
        <v>3250</v>
      </c>
      <c r="W1176">
        <v>2595.5</v>
      </c>
      <c r="X1176" t="s">
        <v>76</v>
      </c>
      <c r="Y1176" t="s">
        <v>68</v>
      </c>
      <c r="Z1176" t="s">
        <v>160</v>
      </c>
      <c r="AA1176" t="s">
        <v>169</v>
      </c>
      <c r="AB1176">
        <v>4.4000000000000004</v>
      </c>
      <c r="AC1176">
        <v>120</v>
      </c>
      <c r="AD1176">
        <v>287.95</v>
      </c>
      <c r="AE1176">
        <f t="shared" si="36"/>
        <v>2187.5500000000002</v>
      </c>
      <c r="AF1176" t="str">
        <f t="shared" si="37"/>
        <v>2025-05</v>
      </c>
      <c r="AG1176">
        <f>SUBTOTAL(103,A1176)</f>
        <v>1</v>
      </c>
    </row>
    <row r="1177" spans="1:33" x14ac:dyDescent="0.3">
      <c r="A1177" t="s">
        <v>3791</v>
      </c>
      <c r="B1177" s="13">
        <v>45805</v>
      </c>
      <c r="C1177">
        <v>2025</v>
      </c>
      <c r="D1177">
        <v>5</v>
      </c>
      <c r="E1177" t="s">
        <v>3566</v>
      </c>
      <c r="F1177" t="s">
        <v>3329</v>
      </c>
      <c r="G1177" t="s">
        <v>935</v>
      </c>
      <c r="H1177" t="s">
        <v>936</v>
      </c>
      <c r="I1177" t="s">
        <v>86</v>
      </c>
      <c r="J1177">
        <v>27</v>
      </c>
      <c r="K1177" t="s">
        <v>81</v>
      </c>
      <c r="L1177" t="s">
        <v>2589</v>
      </c>
      <c r="M1177" t="s">
        <v>61</v>
      </c>
      <c r="N1177" t="s">
        <v>2577</v>
      </c>
      <c r="O1177" t="s">
        <v>129</v>
      </c>
      <c r="P1177" t="s">
        <v>49</v>
      </c>
      <c r="Q1177" t="s">
        <v>149</v>
      </c>
      <c r="R1177">
        <v>4</v>
      </c>
      <c r="S1177">
        <v>1299</v>
      </c>
      <c r="T1177">
        <v>0.05</v>
      </c>
      <c r="U1177">
        <v>4936.2</v>
      </c>
      <c r="V1177">
        <v>2600</v>
      </c>
      <c r="W1177">
        <v>2336.1999999999998</v>
      </c>
      <c r="X1177" t="s">
        <v>73</v>
      </c>
      <c r="Y1177" t="s">
        <v>68</v>
      </c>
      <c r="Z1177" t="s">
        <v>161</v>
      </c>
      <c r="AA1177" t="s">
        <v>168</v>
      </c>
      <c r="AB1177">
        <v>3.1</v>
      </c>
      <c r="AC1177">
        <v>60</v>
      </c>
      <c r="AD1177">
        <v>118.92</v>
      </c>
      <c r="AE1177">
        <f t="shared" si="36"/>
        <v>2157.2799999999997</v>
      </c>
      <c r="AF1177" t="str">
        <f t="shared" si="37"/>
        <v>2025-05</v>
      </c>
      <c r="AG1177">
        <f>SUBTOTAL(103,A1177)</f>
        <v>1</v>
      </c>
    </row>
    <row r="1178" spans="1:33" x14ac:dyDescent="0.3">
      <c r="A1178" t="s">
        <v>3792</v>
      </c>
      <c r="B1178" s="13">
        <v>45805</v>
      </c>
      <c r="C1178">
        <v>2025</v>
      </c>
      <c r="D1178">
        <v>5</v>
      </c>
      <c r="E1178" t="s">
        <v>3566</v>
      </c>
      <c r="F1178" t="s">
        <v>3329</v>
      </c>
      <c r="G1178" t="s">
        <v>751</v>
      </c>
      <c r="H1178" t="s">
        <v>752</v>
      </c>
      <c r="I1178" t="s">
        <v>85</v>
      </c>
      <c r="J1178">
        <v>25</v>
      </c>
      <c r="K1178" t="s">
        <v>80</v>
      </c>
      <c r="L1178" t="s">
        <v>94</v>
      </c>
      <c r="M1178" t="s">
        <v>57</v>
      </c>
      <c r="N1178" t="s">
        <v>2601</v>
      </c>
      <c r="O1178" t="s">
        <v>117</v>
      </c>
      <c r="P1178" t="s">
        <v>49</v>
      </c>
      <c r="Q1178" t="s">
        <v>139</v>
      </c>
      <c r="R1178">
        <v>2</v>
      </c>
      <c r="S1178">
        <v>6999</v>
      </c>
      <c r="T1178">
        <v>0.1</v>
      </c>
      <c r="U1178">
        <v>0</v>
      </c>
      <c r="V1178">
        <v>0</v>
      </c>
      <c r="W1178">
        <v>0</v>
      </c>
      <c r="X1178" t="s">
        <v>73</v>
      </c>
      <c r="Y1178" t="s">
        <v>71</v>
      </c>
      <c r="Z1178" t="s">
        <v>158</v>
      </c>
      <c r="AA1178" t="s">
        <v>167</v>
      </c>
      <c r="AB1178">
        <v>4.9000000000000004</v>
      </c>
      <c r="AC1178">
        <v>60</v>
      </c>
      <c r="AD1178">
        <v>378.17</v>
      </c>
      <c r="AE1178">
        <f t="shared" si="36"/>
        <v>-438.17</v>
      </c>
      <c r="AF1178" t="str">
        <f t="shared" si="37"/>
        <v>2025-05</v>
      </c>
      <c r="AG1178">
        <f>SUBTOTAL(103,A1178)</f>
        <v>1</v>
      </c>
    </row>
    <row r="1179" spans="1:33" x14ac:dyDescent="0.3">
      <c r="A1179" t="s">
        <v>3793</v>
      </c>
      <c r="B1179" s="13">
        <v>45805</v>
      </c>
      <c r="C1179">
        <v>2025</v>
      </c>
      <c r="D1179">
        <v>5</v>
      </c>
      <c r="E1179" t="s">
        <v>3566</v>
      </c>
      <c r="F1179" t="s">
        <v>3329</v>
      </c>
      <c r="G1179" t="s">
        <v>1993</v>
      </c>
      <c r="H1179" t="s">
        <v>1994</v>
      </c>
      <c r="I1179" t="s">
        <v>85</v>
      </c>
      <c r="J1179">
        <v>42</v>
      </c>
      <c r="K1179" t="s">
        <v>82</v>
      </c>
      <c r="L1179" t="s">
        <v>94</v>
      </c>
      <c r="M1179" t="s">
        <v>57</v>
      </c>
      <c r="N1179" t="s">
        <v>2574</v>
      </c>
      <c r="O1179" t="s">
        <v>130</v>
      </c>
      <c r="P1179" t="s">
        <v>50</v>
      </c>
      <c r="Q1179" t="s">
        <v>53</v>
      </c>
      <c r="R1179">
        <v>2</v>
      </c>
      <c r="S1179">
        <v>1199</v>
      </c>
      <c r="T1179">
        <v>0.2</v>
      </c>
      <c r="U1179">
        <v>1918.4</v>
      </c>
      <c r="V1179">
        <v>1100</v>
      </c>
      <c r="W1179">
        <v>818.4</v>
      </c>
      <c r="X1179" t="s">
        <v>73</v>
      </c>
      <c r="Y1179" t="s">
        <v>68</v>
      </c>
      <c r="Z1179" t="s">
        <v>162</v>
      </c>
      <c r="AA1179" t="s">
        <v>171</v>
      </c>
      <c r="AB1179">
        <v>3.1</v>
      </c>
      <c r="AC1179">
        <v>50</v>
      </c>
      <c r="AD1179">
        <v>195.24</v>
      </c>
      <c r="AE1179">
        <f t="shared" si="36"/>
        <v>573.16</v>
      </c>
      <c r="AF1179" t="str">
        <f t="shared" si="37"/>
        <v>2025-05</v>
      </c>
      <c r="AG1179">
        <f>SUBTOTAL(103,A1179)</f>
        <v>1</v>
      </c>
    </row>
    <row r="1180" spans="1:33" x14ac:dyDescent="0.3">
      <c r="A1180" t="s">
        <v>3794</v>
      </c>
      <c r="B1180" s="13">
        <v>45806</v>
      </c>
      <c r="C1180">
        <v>2025</v>
      </c>
      <c r="D1180">
        <v>5</v>
      </c>
      <c r="E1180" t="s">
        <v>3566</v>
      </c>
      <c r="F1180" t="s">
        <v>3329</v>
      </c>
      <c r="G1180" t="s">
        <v>291</v>
      </c>
      <c r="H1180" t="s">
        <v>292</v>
      </c>
      <c r="I1180" t="s">
        <v>87</v>
      </c>
      <c r="J1180">
        <v>21</v>
      </c>
      <c r="K1180" t="s">
        <v>80</v>
      </c>
      <c r="L1180" t="s">
        <v>98</v>
      </c>
      <c r="M1180" t="s">
        <v>55</v>
      </c>
      <c r="N1180" t="s">
        <v>2594</v>
      </c>
      <c r="O1180" t="s">
        <v>131</v>
      </c>
      <c r="P1180" t="s">
        <v>53</v>
      </c>
      <c r="Q1180" t="s">
        <v>143</v>
      </c>
      <c r="R1180">
        <v>3</v>
      </c>
      <c r="S1180">
        <v>999</v>
      </c>
      <c r="T1180">
        <v>0.25</v>
      </c>
      <c r="U1180">
        <v>0</v>
      </c>
      <c r="V1180">
        <v>0</v>
      </c>
      <c r="W1180">
        <v>0</v>
      </c>
      <c r="X1180" t="s">
        <v>75</v>
      </c>
      <c r="Y1180" t="s">
        <v>71</v>
      </c>
      <c r="Z1180" t="s">
        <v>161</v>
      </c>
      <c r="AA1180" t="s">
        <v>166</v>
      </c>
      <c r="AB1180">
        <v>4.7</v>
      </c>
      <c r="AC1180">
        <v>100</v>
      </c>
      <c r="AD1180">
        <v>117.31</v>
      </c>
      <c r="AE1180">
        <f t="shared" si="36"/>
        <v>-217.31</v>
      </c>
      <c r="AF1180" t="str">
        <f t="shared" si="37"/>
        <v>2025-05</v>
      </c>
      <c r="AG1180">
        <f>SUBTOTAL(103,A1180)</f>
        <v>1</v>
      </c>
    </row>
    <row r="1181" spans="1:33" x14ac:dyDescent="0.3">
      <c r="A1181" t="s">
        <v>3795</v>
      </c>
      <c r="B1181" s="13">
        <v>45806</v>
      </c>
      <c r="C1181">
        <v>2025</v>
      </c>
      <c r="D1181">
        <v>5</v>
      </c>
      <c r="E1181" t="s">
        <v>3566</v>
      </c>
      <c r="F1181" t="s">
        <v>3329</v>
      </c>
      <c r="G1181" t="s">
        <v>425</v>
      </c>
      <c r="H1181" t="s">
        <v>426</v>
      </c>
      <c r="I1181" t="s">
        <v>86</v>
      </c>
      <c r="J1181">
        <v>20</v>
      </c>
      <c r="K1181" t="s">
        <v>80</v>
      </c>
      <c r="L1181" t="s">
        <v>96</v>
      </c>
      <c r="M1181" t="s">
        <v>55</v>
      </c>
      <c r="N1181" t="s">
        <v>2582</v>
      </c>
      <c r="O1181" t="s">
        <v>119</v>
      </c>
      <c r="P1181" t="s">
        <v>49</v>
      </c>
      <c r="Q1181" t="s">
        <v>140</v>
      </c>
      <c r="R1181">
        <v>1</v>
      </c>
      <c r="S1181">
        <v>3499</v>
      </c>
      <c r="T1181">
        <v>0.15</v>
      </c>
      <c r="U1181">
        <v>2974.15</v>
      </c>
      <c r="V1181">
        <v>2100</v>
      </c>
      <c r="W1181">
        <v>874.15</v>
      </c>
      <c r="X1181" t="s">
        <v>75</v>
      </c>
      <c r="Y1181" t="s">
        <v>68</v>
      </c>
      <c r="Z1181" t="s">
        <v>158</v>
      </c>
      <c r="AA1181" t="s">
        <v>166</v>
      </c>
      <c r="AB1181">
        <v>5</v>
      </c>
      <c r="AC1181">
        <v>60</v>
      </c>
      <c r="AD1181">
        <v>344.21</v>
      </c>
      <c r="AE1181">
        <f t="shared" si="36"/>
        <v>469.94</v>
      </c>
      <c r="AF1181" t="str">
        <f t="shared" si="37"/>
        <v>2025-05</v>
      </c>
      <c r="AG1181">
        <f>SUBTOTAL(103,A1181)</f>
        <v>1</v>
      </c>
    </row>
    <row r="1182" spans="1:33" x14ac:dyDescent="0.3">
      <c r="A1182" t="s">
        <v>3796</v>
      </c>
      <c r="B1182" s="13">
        <v>45806</v>
      </c>
      <c r="C1182">
        <v>2025</v>
      </c>
      <c r="D1182">
        <v>5</v>
      </c>
      <c r="E1182" t="s">
        <v>3566</v>
      </c>
      <c r="F1182" t="s">
        <v>3329</v>
      </c>
      <c r="G1182" t="s">
        <v>1397</v>
      </c>
      <c r="H1182" t="s">
        <v>1398</v>
      </c>
      <c r="I1182" t="s">
        <v>85</v>
      </c>
      <c r="J1182">
        <v>43</v>
      </c>
      <c r="K1182" t="s">
        <v>82</v>
      </c>
      <c r="L1182" t="s">
        <v>2623</v>
      </c>
      <c r="M1182" t="s">
        <v>61</v>
      </c>
      <c r="N1182" t="s">
        <v>2590</v>
      </c>
      <c r="O1182" t="s">
        <v>127</v>
      </c>
      <c r="P1182" t="s">
        <v>51</v>
      </c>
      <c r="Q1182" t="s">
        <v>148</v>
      </c>
      <c r="R1182">
        <v>2</v>
      </c>
      <c r="S1182">
        <v>1599</v>
      </c>
      <c r="T1182">
        <v>0.1</v>
      </c>
      <c r="U1182">
        <v>2878.2</v>
      </c>
      <c r="V1182">
        <v>1600</v>
      </c>
      <c r="W1182">
        <v>1278.2</v>
      </c>
      <c r="X1182" t="s">
        <v>74</v>
      </c>
      <c r="Y1182" t="s">
        <v>68</v>
      </c>
      <c r="Z1182" t="s">
        <v>160</v>
      </c>
      <c r="AA1182" t="s">
        <v>171</v>
      </c>
      <c r="AB1182">
        <v>4.9000000000000004</v>
      </c>
      <c r="AC1182">
        <v>40</v>
      </c>
      <c r="AD1182">
        <v>230.36</v>
      </c>
      <c r="AE1182">
        <f t="shared" si="36"/>
        <v>1007.84</v>
      </c>
      <c r="AF1182" t="str">
        <f t="shared" si="37"/>
        <v>2025-05</v>
      </c>
      <c r="AG1182">
        <f>SUBTOTAL(103,A1182)</f>
        <v>1</v>
      </c>
    </row>
    <row r="1183" spans="1:33" x14ac:dyDescent="0.3">
      <c r="A1183" t="s">
        <v>3797</v>
      </c>
      <c r="B1183" s="13">
        <v>45806</v>
      </c>
      <c r="C1183">
        <v>2025</v>
      </c>
      <c r="D1183">
        <v>5</v>
      </c>
      <c r="E1183" t="s">
        <v>3566</v>
      </c>
      <c r="F1183" t="s">
        <v>3329</v>
      </c>
      <c r="G1183" t="s">
        <v>1867</v>
      </c>
      <c r="H1183" t="s">
        <v>1868</v>
      </c>
      <c r="I1183" t="s">
        <v>86</v>
      </c>
      <c r="J1183">
        <v>54</v>
      </c>
      <c r="K1183" t="s">
        <v>83</v>
      </c>
      <c r="L1183" t="s">
        <v>2605</v>
      </c>
      <c r="M1183" t="s">
        <v>60</v>
      </c>
      <c r="N1183" t="s">
        <v>2644</v>
      </c>
      <c r="O1183" t="s">
        <v>126</v>
      </c>
      <c r="P1183" t="s">
        <v>50</v>
      </c>
      <c r="Q1183" t="s">
        <v>145</v>
      </c>
      <c r="R1183">
        <v>1</v>
      </c>
      <c r="S1183">
        <v>1799</v>
      </c>
      <c r="T1183">
        <v>0.05</v>
      </c>
      <c r="U1183">
        <v>0</v>
      </c>
      <c r="V1183">
        <v>0</v>
      </c>
      <c r="W1183">
        <v>0</v>
      </c>
      <c r="X1183" t="s">
        <v>76</v>
      </c>
      <c r="Y1183" t="s">
        <v>71</v>
      </c>
      <c r="Z1183" t="s">
        <v>159</v>
      </c>
      <c r="AA1183" t="s">
        <v>167</v>
      </c>
      <c r="AB1183">
        <v>5</v>
      </c>
      <c r="AC1183">
        <v>40</v>
      </c>
      <c r="AD1183">
        <v>59.66</v>
      </c>
      <c r="AE1183">
        <f t="shared" si="36"/>
        <v>-99.66</v>
      </c>
      <c r="AF1183" t="str">
        <f t="shared" si="37"/>
        <v>2025-05</v>
      </c>
      <c r="AG1183">
        <f>SUBTOTAL(103,A1183)</f>
        <v>1</v>
      </c>
    </row>
    <row r="1184" spans="1:33" x14ac:dyDescent="0.3">
      <c r="A1184" t="s">
        <v>3798</v>
      </c>
      <c r="B1184" s="13">
        <v>45806</v>
      </c>
      <c r="C1184">
        <v>2025</v>
      </c>
      <c r="D1184">
        <v>5</v>
      </c>
      <c r="E1184" t="s">
        <v>3566</v>
      </c>
      <c r="F1184" t="s">
        <v>3329</v>
      </c>
      <c r="G1184" t="s">
        <v>1049</v>
      </c>
      <c r="H1184" t="s">
        <v>1050</v>
      </c>
      <c r="I1184" t="s">
        <v>86</v>
      </c>
      <c r="J1184">
        <v>41</v>
      </c>
      <c r="K1184" t="s">
        <v>82</v>
      </c>
      <c r="L1184" t="s">
        <v>2690</v>
      </c>
      <c r="M1184" t="s">
        <v>63</v>
      </c>
      <c r="N1184" t="s">
        <v>2657</v>
      </c>
      <c r="O1184" t="s">
        <v>134</v>
      </c>
      <c r="P1184" t="s">
        <v>49</v>
      </c>
      <c r="Q1184" t="s">
        <v>140</v>
      </c>
      <c r="R1184">
        <v>4</v>
      </c>
      <c r="S1184">
        <v>599</v>
      </c>
      <c r="T1184">
        <v>0.05</v>
      </c>
      <c r="U1184">
        <v>2276.1999999999998</v>
      </c>
      <c r="V1184">
        <v>1000</v>
      </c>
      <c r="W1184">
        <v>1276.2</v>
      </c>
      <c r="X1184" t="s">
        <v>73</v>
      </c>
      <c r="Y1184" t="s">
        <v>68</v>
      </c>
      <c r="Z1184" t="s">
        <v>158</v>
      </c>
      <c r="AA1184" t="s">
        <v>169</v>
      </c>
      <c r="AB1184">
        <v>3.3</v>
      </c>
      <c r="AC1184">
        <v>80</v>
      </c>
      <c r="AD1184">
        <v>89.79</v>
      </c>
      <c r="AE1184">
        <f t="shared" si="36"/>
        <v>1106.4100000000001</v>
      </c>
      <c r="AF1184" t="str">
        <f t="shared" si="37"/>
        <v>2025-05</v>
      </c>
      <c r="AG1184">
        <f>SUBTOTAL(103,A1184)</f>
        <v>1</v>
      </c>
    </row>
    <row r="1185" spans="1:33" x14ac:dyDescent="0.3">
      <c r="A1185" t="s">
        <v>3799</v>
      </c>
      <c r="B1185" s="13">
        <v>45806</v>
      </c>
      <c r="C1185">
        <v>2025</v>
      </c>
      <c r="D1185">
        <v>5</v>
      </c>
      <c r="E1185" t="s">
        <v>3566</v>
      </c>
      <c r="F1185" t="s">
        <v>3329</v>
      </c>
      <c r="G1185" t="s">
        <v>631</v>
      </c>
      <c r="H1185" t="s">
        <v>632</v>
      </c>
      <c r="I1185" t="s">
        <v>85</v>
      </c>
      <c r="J1185">
        <v>22</v>
      </c>
      <c r="K1185" t="s">
        <v>80</v>
      </c>
      <c r="L1185" t="s">
        <v>92</v>
      </c>
      <c r="M1185" t="s">
        <v>59</v>
      </c>
      <c r="N1185" t="s">
        <v>2584</v>
      </c>
      <c r="O1185" t="s">
        <v>121</v>
      </c>
      <c r="P1185" t="s">
        <v>50</v>
      </c>
      <c r="Q1185" t="s">
        <v>144</v>
      </c>
      <c r="R1185">
        <v>4</v>
      </c>
      <c r="S1185">
        <v>2999</v>
      </c>
      <c r="T1185">
        <v>0.1</v>
      </c>
      <c r="U1185">
        <v>10796.4</v>
      </c>
      <c r="V1185">
        <v>6800</v>
      </c>
      <c r="W1185">
        <v>3996.4</v>
      </c>
      <c r="X1185" t="s">
        <v>75</v>
      </c>
      <c r="Y1185" t="s">
        <v>68</v>
      </c>
      <c r="Z1185" t="s">
        <v>159</v>
      </c>
      <c r="AA1185" t="s">
        <v>171</v>
      </c>
      <c r="AB1185">
        <v>4.3</v>
      </c>
      <c r="AC1185">
        <v>50</v>
      </c>
      <c r="AD1185">
        <v>441.16</v>
      </c>
      <c r="AE1185">
        <f t="shared" si="36"/>
        <v>3505.2400000000002</v>
      </c>
      <c r="AF1185" t="str">
        <f t="shared" si="37"/>
        <v>2025-05</v>
      </c>
      <c r="AG1185">
        <f>SUBTOTAL(103,A1185)</f>
        <v>1</v>
      </c>
    </row>
    <row r="1186" spans="1:33" x14ac:dyDescent="0.3">
      <c r="A1186" t="s">
        <v>3800</v>
      </c>
      <c r="B1186" s="13">
        <v>45806</v>
      </c>
      <c r="C1186">
        <v>2025</v>
      </c>
      <c r="D1186">
        <v>5</v>
      </c>
      <c r="E1186" t="s">
        <v>3566</v>
      </c>
      <c r="F1186" t="s">
        <v>3329</v>
      </c>
      <c r="G1186" t="s">
        <v>885</v>
      </c>
      <c r="H1186" t="s">
        <v>886</v>
      </c>
      <c r="I1186" t="s">
        <v>86</v>
      </c>
      <c r="J1186">
        <v>28</v>
      </c>
      <c r="K1186" t="s">
        <v>81</v>
      </c>
      <c r="L1186" t="s">
        <v>2623</v>
      </c>
      <c r="M1186" t="s">
        <v>61</v>
      </c>
      <c r="N1186" t="s">
        <v>2665</v>
      </c>
      <c r="O1186" t="s">
        <v>128</v>
      </c>
      <c r="P1186" t="s">
        <v>53</v>
      </c>
      <c r="Q1186" t="s">
        <v>143</v>
      </c>
      <c r="R1186">
        <v>2</v>
      </c>
      <c r="S1186">
        <v>1499</v>
      </c>
      <c r="T1186">
        <v>0.05</v>
      </c>
      <c r="U1186">
        <v>2848.1</v>
      </c>
      <c r="V1186">
        <v>1600</v>
      </c>
      <c r="W1186">
        <v>1248.0999999999999</v>
      </c>
      <c r="X1186" t="s">
        <v>73</v>
      </c>
      <c r="Y1186" t="s">
        <v>68</v>
      </c>
      <c r="Z1186" t="s">
        <v>161</v>
      </c>
      <c r="AA1186" t="s">
        <v>167</v>
      </c>
      <c r="AB1186">
        <v>4.2</v>
      </c>
      <c r="AC1186">
        <v>50</v>
      </c>
      <c r="AD1186">
        <v>131.52000000000001</v>
      </c>
      <c r="AE1186">
        <f t="shared" si="36"/>
        <v>1066.58</v>
      </c>
      <c r="AF1186" t="str">
        <f t="shared" si="37"/>
        <v>2025-05</v>
      </c>
      <c r="AG1186">
        <f>SUBTOTAL(103,A1186)</f>
        <v>1</v>
      </c>
    </row>
    <row r="1187" spans="1:33" x14ac:dyDescent="0.3">
      <c r="A1187" t="s">
        <v>3801</v>
      </c>
      <c r="B1187" s="13">
        <v>45807</v>
      </c>
      <c r="C1187">
        <v>2025</v>
      </c>
      <c r="D1187">
        <v>5</v>
      </c>
      <c r="E1187" t="s">
        <v>3566</v>
      </c>
      <c r="F1187" t="s">
        <v>3329</v>
      </c>
      <c r="G1187" t="s">
        <v>1191</v>
      </c>
      <c r="H1187" t="s">
        <v>1192</v>
      </c>
      <c r="I1187" t="s">
        <v>86</v>
      </c>
      <c r="J1187">
        <v>32</v>
      </c>
      <c r="K1187" t="s">
        <v>81</v>
      </c>
      <c r="L1187" t="s">
        <v>2576</v>
      </c>
      <c r="M1187" t="s">
        <v>60</v>
      </c>
      <c r="N1187" t="s">
        <v>2653</v>
      </c>
      <c r="O1187" t="s">
        <v>132</v>
      </c>
      <c r="P1187" t="s">
        <v>52</v>
      </c>
      <c r="Q1187" t="s">
        <v>150</v>
      </c>
      <c r="R1187">
        <v>1</v>
      </c>
      <c r="S1187">
        <v>899</v>
      </c>
      <c r="T1187">
        <v>0</v>
      </c>
      <c r="U1187">
        <v>899</v>
      </c>
      <c r="V1187">
        <v>420</v>
      </c>
      <c r="W1187">
        <v>479</v>
      </c>
      <c r="X1187" t="s">
        <v>77</v>
      </c>
      <c r="Y1187" t="s">
        <v>68</v>
      </c>
      <c r="Z1187" t="s">
        <v>163</v>
      </c>
      <c r="AA1187" t="s">
        <v>170</v>
      </c>
      <c r="AB1187">
        <v>4</v>
      </c>
      <c r="AC1187">
        <v>60</v>
      </c>
      <c r="AD1187">
        <v>38.119999999999997</v>
      </c>
      <c r="AE1187">
        <f t="shared" si="36"/>
        <v>380.88</v>
      </c>
      <c r="AF1187" t="str">
        <f t="shared" si="37"/>
        <v>2025-05</v>
      </c>
      <c r="AG1187">
        <f>SUBTOTAL(103,A1187)</f>
        <v>1</v>
      </c>
    </row>
    <row r="1188" spans="1:33" x14ac:dyDescent="0.3">
      <c r="A1188" t="s">
        <v>3802</v>
      </c>
      <c r="B1188" s="13">
        <v>45807</v>
      </c>
      <c r="C1188">
        <v>2025</v>
      </c>
      <c r="D1188">
        <v>5</v>
      </c>
      <c r="E1188" t="s">
        <v>3566</v>
      </c>
      <c r="F1188" t="s">
        <v>3329</v>
      </c>
      <c r="G1188" t="s">
        <v>659</v>
      </c>
      <c r="H1188" t="s">
        <v>660</v>
      </c>
      <c r="I1188" t="s">
        <v>85</v>
      </c>
      <c r="J1188">
        <v>59</v>
      </c>
      <c r="K1188" t="s">
        <v>83</v>
      </c>
      <c r="L1188" t="s">
        <v>2674</v>
      </c>
      <c r="M1188" t="s">
        <v>58</v>
      </c>
      <c r="N1188" t="s">
        <v>2592</v>
      </c>
      <c r="O1188" t="s">
        <v>115</v>
      </c>
      <c r="P1188" t="s">
        <v>48</v>
      </c>
      <c r="Q1188" t="s">
        <v>137</v>
      </c>
      <c r="R1188">
        <v>1</v>
      </c>
      <c r="S1188">
        <v>12999</v>
      </c>
      <c r="T1188">
        <v>0.2</v>
      </c>
      <c r="U1188">
        <v>10399.200000000001</v>
      </c>
      <c r="V1188">
        <v>9000</v>
      </c>
      <c r="W1188">
        <v>1399.2</v>
      </c>
      <c r="X1188" t="s">
        <v>76</v>
      </c>
      <c r="Y1188" t="s">
        <v>68</v>
      </c>
      <c r="Z1188" t="s">
        <v>161</v>
      </c>
      <c r="AA1188" t="s">
        <v>167</v>
      </c>
      <c r="AB1188">
        <v>4.3</v>
      </c>
      <c r="AC1188">
        <v>60</v>
      </c>
      <c r="AD1188">
        <v>613.39</v>
      </c>
      <c r="AE1188">
        <f t="shared" si="36"/>
        <v>725.81000000000006</v>
      </c>
      <c r="AF1188" t="str">
        <f t="shared" si="37"/>
        <v>2025-05</v>
      </c>
      <c r="AG1188">
        <f>SUBTOTAL(103,A1188)</f>
        <v>1</v>
      </c>
    </row>
    <row r="1189" spans="1:33" x14ac:dyDescent="0.3">
      <c r="A1189" t="s">
        <v>3803</v>
      </c>
      <c r="B1189" s="13">
        <v>45807</v>
      </c>
      <c r="C1189">
        <v>2025</v>
      </c>
      <c r="D1189">
        <v>5</v>
      </c>
      <c r="E1189" t="s">
        <v>3566</v>
      </c>
      <c r="F1189" t="s">
        <v>3329</v>
      </c>
      <c r="G1189" t="s">
        <v>215</v>
      </c>
      <c r="H1189" t="s">
        <v>216</v>
      </c>
      <c r="I1189" t="s">
        <v>85</v>
      </c>
      <c r="J1189">
        <v>33</v>
      </c>
      <c r="K1189" t="s">
        <v>81</v>
      </c>
      <c r="L1189" t="s">
        <v>2634</v>
      </c>
      <c r="M1189" t="s">
        <v>56</v>
      </c>
      <c r="N1189" t="s">
        <v>2587</v>
      </c>
      <c r="O1189" t="s">
        <v>116</v>
      </c>
      <c r="P1189" t="s">
        <v>48</v>
      </c>
      <c r="Q1189" t="s">
        <v>138</v>
      </c>
      <c r="R1189">
        <v>5</v>
      </c>
      <c r="S1189">
        <v>14999</v>
      </c>
      <c r="T1189">
        <v>0</v>
      </c>
      <c r="U1189">
        <v>74995</v>
      </c>
      <c r="V1189">
        <v>56000</v>
      </c>
      <c r="W1189">
        <v>18995</v>
      </c>
      <c r="X1189" t="s">
        <v>74</v>
      </c>
      <c r="Y1189" t="s">
        <v>68</v>
      </c>
      <c r="Z1189" t="s">
        <v>160</v>
      </c>
      <c r="AA1189" t="s">
        <v>171</v>
      </c>
      <c r="AB1189">
        <v>4</v>
      </c>
      <c r="AC1189">
        <v>50</v>
      </c>
      <c r="AD1189">
        <v>6230.86</v>
      </c>
      <c r="AE1189">
        <f t="shared" si="36"/>
        <v>12714.14</v>
      </c>
      <c r="AF1189" t="str">
        <f t="shared" si="37"/>
        <v>2025-05</v>
      </c>
      <c r="AG1189">
        <f>SUBTOTAL(103,A1189)</f>
        <v>1</v>
      </c>
    </row>
    <row r="1190" spans="1:33" x14ac:dyDescent="0.3">
      <c r="A1190" t="s">
        <v>3804</v>
      </c>
      <c r="B1190" s="13">
        <v>45807</v>
      </c>
      <c r="C1190">
        <v>2025</v>
      </c>
      <c r="D1190">
        <v>5</v>
      </c>
      <c r="E1190" t="s">
        <v>3566</v>
      </c>
      <c r="F1190" t="s">
        <v>3329</v>
      </c>
      <c r="G1190" t="s">
        <v>2203</v>
      </c>
      <c r="H1190" t="s">
        <v>2204</v>
      </c>
      <c r="I1190" t="s">
        <v>85</v>
      </c>
      <c r="J1190">
        <v>60</v>
      </c>
      <c r="K1190" t="s">
        <v>83</v>
      </c>
      <c r="L1190" t="s">
        <v>2589</v>
      </c>
      <c r="M1190" t="s">
        <v>61</v>
      </c>
      <c r="N1190" t="s">
        <v>2606</v>
      </c>
      <c r="O1190" t="s">
        <v>120</v>
      </c>
      <c r="P1190" t="s">
        <v>49</v>
      </c>
      <c r="Q1190" t="s">
        <v>140</v>
      </c>
      <c r="R1190">
        <v>1</v>
      </c>
      <c r="S1190">
        <v>2799</v>
      </c>
      <c r="T1190">
        <v>0.15</v>
      </c>
      <c r="U1190">
        <v>2379.15</v>
      </c>
      <c r="V1190">
        <v>1650</v>
      </c>
      <c r="W1190">
        <v>729.15</v>
      </c>
      <c r="X1190" t="s">
        <v>73</v>
      </c>
      <c r="Y1190" t="s">
        <v>68</v>
      </c>
      <c r="Z1190" t="s">
        <v>163</v>
      </c>
      <c r="AA1190" t="s">
        <v>171</v>
      </c>
      <c r="AB1190">
        <v>4.3</v>
      </c>
      <c r="AC1190">
        <v>50</v>
      </c>
      <c r="AD1190">
        <v>147.72999999999999</v>
      </c>
      <c r="AE1190">
        <f t="shared" si="36"/>
        <v>531.41999999999996</v>
      </c>
      <c r="AF1190" t="str">
        <f t="shared" si="37"/>
        <v>2025-05</v>
      </c>
      <c r="AG1190">
        <f>SUBTOTAL(103,A1190)</f>
        <v>1</v>
      </c>
    </row>
    <row r="1191" spans="1:33" x14ac:dyDescent="0.3">
      <c r="A1191" t="s">
        <v>3805</v>
      </c>
      <c r="B1191" s="13">
        <v>45807</v>
      </c>
      <c r="C1191">
        <v>2025</v>
      </c>
      <c r="D1191">
        <v>5</v>
      </c>
      <c r="E1191" t="s">
        <v>3566</v>
      </c>
      <c r="F1191" t="s">
        <v>3329</v>
      </c>
      <c r="G1191" t="s">
        <v>433</v>
      </c>
      <c r="H1191" t="s">
        <v>434</v>
      </c>
      <c r="I1191" t="s">
        <v>86</v>
      </c>
      <c r="J1191">
        <v>27</v>
      </c>
      <c r="K1191" t="s">
        <v>81</v>
      </c>
      <c r="L1191" t="s">
        <v>2679</v>
      </c>
      <c r="M1191" t="s">
        <v>60</v>
      </c>
      <c r="N1191" t="s">
        <v>2590</v>
      </c>
      <c r="O1191" t="s">
        <v>127</v>
      </c>
      <c r="P1191" t="s">
        <v>51</v>
      </c>
      <c r="Q1191" t="s">
        <v>148</v>
      </c>
      <c r="R1191">
        <v>2</v>
      </c>
      <c r="S1191">
        <v>1599</v>
      </c>
      <c r="T1191">
        <v>0.2</v>
      </c>
      <c r="U1191">
        <v>2558.4</v>
      </c>
      <c r="V1191">
        <v>1600</v>
      </c>
      <c r="W1191">
        <v>958.4</v>
      </c>
      <c r="X1191" t="s">
        <v>76</v>
      </c>
      <c r="Y1191" t="s">
        <v>68</v>
      </c>
      <c r="Z1191" t="s">
        <v>163</v>
      </c>
      <c r="AA1191" t="s">
        <v>171</v>
      </c>
      <c r="AB1191">
        <v>3.2</v>
      </c>
      <c r="AC1191">
        <v>50</v>
      </c>
      <c r="AD1191">
        <v>259.02999999999997</v>
      </c>
      <c r="AE1191">
        <f t="shared" si="36"/>
        <v>649.37</v>
      </c>
      <c r="AF1191" t="str">
        <f t="shared" si="37"/>
        <v>2025-05</v>
      </c>
      <c r="AG1191">
        <f>SUBTOTAL(103,A1191)</f>
        <v>1</v>
      </c>
    </row>
    <row r="1192" spans="1:33" x14ac:dyDescent="0.3">
      <c r="A1192" t="s">
        <v>3806</v>
      </c>
      <c r="B1192" s="13">
        <v>45807</v>
      </c>
      <c r="C1192">
        <v>2025</v>
      </c>
      <c r="D1192">
        <v>5</v>
      </c>
      <c r="E1192" t="s">
        <v>3566</v>
      </c>
      <c r="F1192" t="s">
        <v>3329</v>
      </c>
      <c r="G1192" t="s">
        <v>2021</v>
      </c>
      <c r="H1192" t="s">
        <v>2022</v>
      </c>
      <c r="I1192" t="s">
        <v>85</v>
      </c>
      <c r="J1192">
        <v>52</v>
      </c>
      <c r="K1192" t="s">
        <v>83</v>
      </c>
      <c r="L1192" t="s">
        <v>100</v>
      </c>
      <c r="M1192" t="s">
        <v>56</v>
      </c>
      <c r="N1192" t="s">
        <v>2644</v>
      </c>
      <c r="O1192" t="s">
        <v>126</v>
      </c>
      <c r="P1192" t="s">
        <v>50</v>
      </c>
      <c r="Q1192" t="s">
        <v>145</v>
      </c>
      <c r="R1192">
        <v>2</v>
      </c>
      <c r="S1192">
        <v>1799</v>
      </c>
      <c r="T1192">
        <v>0.1</v>
      </c>
      <c r="U1192">
        <v>3238.2</v>
      </c>
      <c r="V1192">
        <v>1900</v>
      </c>
      <c r="W1192">
        <v>1338.2</v>
      </c>
      <c r="X1192" t="s">
        <v>73</v>
      </c>
      <c r="Y1192" t="s">
        <v>68</v>
      </c>
      <c r="Z1192" t="s">
        <v>158</v>
      </c>
      <c r="AA1192" t="s">
        <v>170</v>
      </c>
      <c r="AB1192">
        <v>4.8</v>
      </c>
      <c r="AC1192">
        <v>50</v>
      </c>
      <c r="AD1192">
        <v>333.47</v>
      </c>
      <c r="AE1192">
        <f t="shared" si="36"/>
        <v>954.73</v>
      </c>
      <c r="AF1192" t="str">
        <f t="shared" si="37"/>
        <v>2025-05</v>
      </c>
      <c r="AG1192">
        <f>SUBTOTAL(103,A1192)</f>
        <v>1</v>
      </c>
    </row>
    <row r="1193" spans="1:33" x14ac:dyDescent="0.3">
      <c r="A1193" t="s">
        <v>3807</v>
      </c>
      <c r="B1193" s="13">
        <v>45808</v>
      </c>
      <c r="C1193">
        <v>2025</v>
      </c>
      <c r="D1193">
        <v>5</v>
      </c>
      <c r="E1193" t="s">
        <v>3566</v>
      </c>
      <c r="F1193" t="s">
        <v>3329</v>
      </c>
      <c r="G1193" t="s">
        <v>1749</v>
      </c>
      <c r="H1193" t="s">
        <v>1750</v>
      </c>
      <c r="I1193" t="s">
        <v>85</v>
      </c>
      <c r="J1193">
        <v>20</v>
      </c>
      <c r="K1193" t="s">
        <v>80</v>
      </c>
      <c r="L1193" t="s">
        <v>95</v>
      </c>
      <c r="M1193" t="s">
        <v>56</v>
      </c>
      <c r="N1193" t="s">
        <v>2657</v>
      </c>
      <c r="O1193" t="s">
        <v>134</v>
      </c>
      <c r="P1193" t="s">
        <v>49</v>
      </c>
      <c r="Q1193" t="s">
        <v>140</v>
      </c>
      <c r="R1193">
        <v>4</v>
      </c>
      <c r="S1193">
        <v>599</v>
      </c>
      <c r="T1193">
        <v>0.15</v>
      </c>
      <c r="U1193">
        <v>2036.6</v>
      </c>
      <c r="V1193">
        <v>1000</v>
      </c>
      <c r="W1193">
        <v>1036.5999999999999</v>
      </c>
      <c r="X1193" t="s">
        <v>73</v>
      </c>
      <c r="Y1193" t="s">
        <v>68</v>
      </c>
      <c r="Z1193" t="s">
        <v>160</v>
      </c>
      <c r="AA1193" t="s">
        <v>167</v>
      </c>
      <c r="AB1193">
        <v>4.3</v>
      </c>
      <c r="AC1193">
        <v>80</v>
      </c>
      <c r="AD1193">
        <v>91.05</v>
      </c>
      <c r="AE1193">
        <f t="shared" si="36"/>
        <v>865.55</v>
      </c>
      <c r="AF1193" t="str">
        <f t="shared" si="37"/>
        <v>2025-05</v>
      </c>
      <c r="AG1193">
        <f>SUBTOTAL(103,A1193)</f>
        <v>1</v>
      </c>
    </row>
    <row r="1194" spans="1:33" x14ac:dyDescent="0.3">
      <c r="A1194" t="s">
        <v>3808</v>
      </c>
      <c r="B1194" s="13">
        <v>45808</v>
      </c>
      <c r="C1194">
        <v>2025</v>
      </c>
      <c r="D1194">
        <v>5</v>
      </c>
      <c r="E1194" t="s">
        <v>3566</v>
      </c>
      <c r="F1194" t="s">
        <v>3329</v>
      </c>
      <c r="G1194" t="s">
        <v>1711</v>
      </c>
      <c r="H1194" t="s">
        <v>1712</v>
      </c>
      <c r="I1194" t="s">
        <v>86</v>
      </c>
      <c r="J1194">
        <v>26</v>
      </c>
      <c r="K1194" t="s">
        <v>81</v>
      </c>
      <c r="L1194" t="s">
        <v>96</v>
      </c>
      <c r="M1194" t="s">
        <v>55</v>
      </c>
      <c r="N1194" t="s">
        <v>2653</v>
      </c>
      <c r="O1194" t="s">
        <v>132</v>
      </c>
      <c r="P1194" t="s">
        <v>52</v>
      </c>
      <c r="Q1194" t="s">
        <v>150</v>
      </c>
      <c r="R1194">
        <v>3</v>
      </c>
      <c r="S1194">
        <v>899</v>
      </c>
      <c r="T1194">
        <v>0.1</v>
      </c>
      <c r="U1194">
        <v>2427.3000000000002</v>
      </c>
      <c r="V1194">
        <v>1260</v>
      </c>
      <c r="W1194">
        <v>1167.3</v>
      </c>
      <c r="X1194" t="s">
        <v>73</v>
      </c>
      <c r="Y1194" t="s">
        <v>68</v>
      </c>
      <c r="Z1194" t="s">
        <v>163</v>
      </c>
      <c r="AA1194" t="s">
        <v>166</v>
      </c>
      <c r="AB1194">
        <v>4.5999999999999996</v>
      </c>
      <c r="AC1194">
        <v>100</v>
      </c>
      <c r="AD1194">
        <v>170.87</v>
      </c>
      <c r="AE1194">
        <f t="shared" si="36"/>
        <v>896.43</v>
      </c>
      <c r="AF1194" t="str">
        <f t="shared" si="37"/>
        <v>2025-05</v>
      </c>
      <c r="AG1194">
        <f>SUBTOTAL(103,A1194)</f>
        <v>1</v>
      </c>
    </row>
    <row r="1195" spans="1:33" x14ac:dyDescent="0.3">
      <c r="A1195" t="s">
        <v>3809</v>
      </c>
      <c r="B1195" s="13">
        <v>45808</v>
      </c>
      <c r="C1195">
        <v>2025</v>
      </c>
      <c r="D1195">
        <v>5</v>
      </c>
      <c r="E1195" t="s">
        <v>3566</v>
      </c>
      <c r="F1195" t="s">
        <v>3329</v>
      </c>
      <c r="G1195" t="s">
        <v>929</v>
      </c>
      <c r="H1195" t="s">
        <v>930</v>
      </c>
      <c r="I1195" t="s">
        <v>85</v>
      </c>
      <c r="J1195">
        <v>18</v>
      </c>
      <c r="K1195" t="s">
        <v>80</v>
      </c>
      <c r="L1195" t="s">
        <v>2605</v>
      </c>
      <c r="M1195" t="s">
        <v>60</v>
      </c>
      <c r="N1195" t="s">
        <v>2657</v>
      </c>
      <c r="O1195" t="s">
        <v>134</v>
      </c>
      <c r="P1195" t="s">
        <v>49</v>
      </c>
      <c r="Q1195" t="s">
        <v>140</v>
      </c>
      <c r="R1195">
        <v>1</v>
      </c>
      <c r="S1195">
        <v>599</v>
      </c>
      <c r="T1195">
        <v>0</v>
      </c>
      <c r="U1195">
        <v>599</v>
      </c>
      <c r="V1195">
        <v>250</v>
      </c>
      <c r="W1195">
        <v>349</v>
      </c>
      <c r="X1195" t="s">
        <v>73</v>
      </c>
      <c r="Y1195" t="s">
        <v>68</v>
      </c>
      <c r="Z1195" t="s">
        <v>160</v>
      </c>
      <c r="AA1195" t="s">
        <v>169</v>
      </c>
      <c r="AB1195">
        <v>4.8</v>
      </c>
      <c r="AC1195">
        <v>60</v>
      </c>
      <c r="AD1195">
        <v>42.94</v>
      </c>
      <c r="AE1195">
        <f t="shared" si="36"/>
        <v>246.06</v>
      </c>
      <c r="AF1195" t="str">
        <f t="shared" si="37"/>
        <v>2025-05</v>
      </c>
      <c r="AG1195">
        <f>SUBTOTAL(103,A1195)</f>
        <v>1</v>
      </c>
    </row>
    <row r="1196" spans="1:33" x14ac:dyDescent="0.3">
      <c r="A1196" t="s">
        <v>3810</v>
      </c>
      <c r="B1196" s="13">
        <v>45808</v>
      </c>
      <c r="C1196">
        <v>2025</v>
      </c>
      <c r="D1196">
        <v>5</v>
      </c>
      <c r="E1196" t="s">
        <v>3566</v>
      </c>
      <c r="F1196" t="s">
        <v>3329</v>
      </c>
      <c r="G1196" t="s">
        <v>747</v>
      </c>
      <c r="H1196" t="s">
        <v>748</v>
      </c>
      <c r="I1196" t="s">
        <v>86</v>
      </c>
      <c r="J1196">
        <v>31</v>
      </c>
      <c r="K1196" t="s">
        <v>81</v>
      </c>
      <c r="L1196" t="s">
        <v>2634</v>
      </c>
      <c r="M1196" t="s">
        <v>56</v>
      </c>
      <c r="N1196" t="s">
        <v>2580</v>
      </c>
      <c r="O1196" t="s">
        <v>118</v>
      </c>
      <c r="P1196" t="s">
        <v>48</v>
      </c>
      <c r="Q1196" t="s">
        <v>142</v>
      </c>
      <c r="R1196">
        <v>3</v>
      </c>
      <c r="S1196">
        <v>3999</v>
      </c>
      <c r="T1196">
        <v>0</v>
      </c>
      <c r="U1196">
        <v>11997</v>
      </c>
      <c r="V1196">
        <v>7200</v>
      </c>
      <c r="W1196">
        <v>4797</v>
      </c>
      <c r="X1196" t="s">
        <v>76</v>
      </c>
      <c r="Y1196" t="s">
        <v>69</v>
      </c>
      <c r="Z1196" t="s">
        <v>158</v>
      </c>
      <c r="AA1196" t="s">
        <v>167</v>
      </c>
      <c r="AB1196">
        <v>4.3</v>
      </c>
      <c r="AC1196">
        <v>80</v>
      </c>
      <c r="AD1196">
        <v>825.38</v>
      </c>
      <c r="AE1196">
        <f t="shared" si="36"/>
        <v>3891.62</v>
      </c>
      <c r="AF1196" t="str">
        <f t="shared" si="37"/>
        <v>2025-05</v>
      </c>
      <c r="AG1196">
        <f>SUBTOTAL(103,A1196)</f>
        <v>1</v>
      </c>
    </row>
    <row r="1197" spans="1:33" x14ac:dyDescent="0.3">
      <c r="A1197" t="s">
        <v>3811</v>
      </c>
      <c r="B1197" s="13">
        <v>45808</v>
      </c>
      <c r="C1197">
        <v>2025</v>
      </c>
      <c r="D1197">
        <v>5</v>
      </c>
      <c r="E1197" t="s">
        <v>3566</v>
      </c>
      <c r="F1197" t="s">
        <v>3329</v>
      </c>
      <c r="G1197" t="s">
        <v>1755</v>
      </c>
      <c r="H1197" t="s">
        <v>1756</v>
      </c>
      <c r="I1197" t="s">
        <v>86</v>
      </c>
      <c r="J1197">
        <v>23</v>
      </c>
      <c r="K1197" t="s">
        <v>80</v>
      </c>
      <c r="L1197" t="s">
        <v>98</v>
      </c>
      <c r="M1197" t="s">
        <v>55</v>
      </c>
      <c r="N1197" t="s">
        <v>2653</v>
      </c>
      <c r="O1197" t="s">
        <v>132</v>
      </c>
      <c r="P1197" t="s">
        <v>52</v>
      </c>
      <c r="Q1197" t="s">
        <v>150</v>
      </c>
      <c r="R1197">
        <v>1</v>
      </c>
      <c r="S1197">
        <v>899</v>
      </c>
      <c r="T1197">
        <v>0.1</v>
      </c>
      <c r="U1197">
        <v>809.1</v>
      </c>
      <c r="V1197">
        <v>420</v>
      </c>
      <c r="W1197">
        <v>389.1</v>
      </c>
      <c r="X1197" t="s">
        <v>73</v>
      </c>
      <c r="Y1197" t="s">
        <v>68</v>
      </c>
      <c r="Z1197" t="s">
        <v>159</v>
      </c>
      <c r="AA1197" t="s">
        <v>171</v>
      </c>
      <c r="AB1197">
        <v>5</v>
      </c>
      <c r="AC1197">
        <v>50</v>
      </c>
      <c r="AD1197">
        <v>20.440000000000001</v>
      </c>
      <c r="AE1197">
        <f t="shared" si="36"/>
        <v>318.66000000000003</v>
      </c>
      <c r="AF1197" t="str">
        <f t="shared" si="37"/>
        <v>2025-05</v>
      </c>
      <c r="AG1197">
        <f>SUBTOTAL(103,A1197)</f>
        <v>1</v>
      </c>
    </row>
    <row r="1198" spans="1:33" x14ac:dyDescent="0.3">
      <c r="A1198" t="s">
        <v>3812</v>
      </c>
      <c r="B1198" s="13">
        <v>45809</v>
      </c>
      <c r="C1198">
        <v>2025</v>
      </c>
      <c r="D1198">
        <v>6</v>
      </c>
      <c r="E1198" t="s">
        <v>3813</v>
      </c>
      <c r="F1198" t="s">
        <v>3329</v>
      </c>
      <c r="G1198" t="s">
        <v>475</v>
      </c>
      <c r="H1198" t="s">
        <v>476</v>
      </c>
      <c r="I1198" t="s">
        <v>86</v>
      </c>
      <c r="J1198">
        <v>26</v>
      </c>
      <c r="K1198" t="s">
        <v>81</v>
      </c>
      <c r="L1198" t="s">
        <v>100</v>
      </c>
      <c r="M1198" t="s">
        <v>56</v>
      </c>
      <c r="N1198" t="s">
        <v>2606</v>
      </c>
      <c r="O1198" t="s">
        <v>120</v>
      </c>
      <c r="P1198" t="s">
        <v>49</v>
      </c>
      <c r="Q1198" t="s">
        <v>140</v>
      </c>
      <c r="R1198">
        <v>4</v>
      </c>
      <c r="S1198">
        <v>2799</v>
      </c>
      <c r="T1198">
        <v>0.1</v>
      </c>
      <c r="U1198">
        <v>10076.4</v>
      </c>
      <c r="V1198">
        <v>6600</v>
      </c>
      <c r="W1198">
        <v>3476.4</v>
      </c>
      <c r="X1198" t="s">
        <v>73</v>
      </c>
      <c r="Y1198" t="s">
        <v>68</v>
      </c>
      <c r="Z1198" t="s">
        <v>163</v>
      </c>
      <c r="AA1198" t="s">
        <v>169</v>
      </c>
      <c r="AB1198">
        <v>3.4</v>
      </c>
      <c r="AC1198">
        <v>60</v>
      </c>
      <c r="AD1198">
        <v>299.37</v>
      </c>
      <c r="AE1198">
        <f t="shared" si="36"/>
        <v>3117.03</v>
      </c>
      <c r="AF1198" t="str">
        <f t="shared" si="37"/>
        <v>2025-06</v>
      </c>
      <c r="AG1198">
        <f>SUBTOTAL(103,A1198)</f>
        <v>1</v>
      </c>
    </row>
    <row r="1199" spans="1:33" x14ac:dyDescent="0.3">
      <c r="A1199" t="s">
        <v>3814</v>
      </c>
      <c r="B1199" s="13">
        <v>45809</v>
      </c>
      <c r="C1199">
        <v>2025</v>
      </c>
      <c r="D1199">
        <v>6</v>
      </c>
      <c r="E1199" t="s">
        <v>3813</v>
      </c>
      <c r="F1199" t="s">
        <v>3329</v>
      </c>
      <c r="G1199" t="s">
        <v>1553</v>
      </c>
      <c r="H1199" t="s">
        <v>1554</v>
      </c>
      <c r="I1199" t="s">
        <v>86</v>
      </c>
      <c r="J1199">
        <v>29</v>
      </c>
      <c r="K1199" t="s">
        <v>81</v>
      </c>
      <c r="L1199" t="s">
        <v>93</v>
      </c>
      <c r="M1199" t="s">
        <v>55</v>
      </c>
      <c r="N1199" t="s">
        <v>2582</v>
      </c>
      <c r="O1199" t="s">
        <v>119</v>
      </c>
      <c r="P1199" t="s">
        <v>49</v>
      </c>
      <c r="Q1199" t="s">
        <v>140</v>
      </c>
      <c r="R1199">
        <v>2</v>
      </c>
      <c r="S1199">
        <v>3499</v>
      </c>
      <c r="T1199">
        <v>0</v>
      </c>
      <c r="U1199">
        <v>6998</v>
      </c>
      <c r="V1199">
        <v>4200</v>
      </c>
      <c r="W1199">
        <v>2798</v>
      </c>
      <c r="X1199" t="s">
        <v>76</v>
      </c>
      <c r="Y1199" t="s">
        <v>68</v>
      </c>
      <c r="Z1199" t="s">
        <v>161</v>
      </c>
      <c r="AA1199" t="s">
        <v>169</v>
      </c>
      <c r="AB1199">
        <v>4.3</v>
      </c>
      <c r="AC1199">
        <v>60</v>
      </c>
      <c r="AD1199">
        <v>522.01</v>
      </c>
      <c r="AE1199">
        <f t="shared" si="36"/>
        <v>2215.9899999999998</v>
      </c>
      <c r="AF1199" t="str">
        <f t="shared" si="37"/>
        <v>2025-06</v>
      </c>
      <c r="AG1199">
        <f>SUBTOTAL(103,A1199)</f>
        <v>1</v>
      </c>
    </row>
    <row r="1200" spans="1:33" x14ac:dyDescent="0.3">
      <c r="A1200" t="s">
        <v>3815</v>
      </c>
      <c r="B1200" s="13">
        <v>45809</v>
      </c>
      <c r="C1200">
        <v>2025</v>
      </c>
      <c r="D1200">
        <v>6</v>
      </c>
      <c r="E1200" t="s">
        <v>3813</v>
      </c>
      <c r="F1200" t="s">
        <v>3329</v>
      </c>
      <c r="G1200" t="s">
        <v>337</v>
      </c>
      <c r="H1200" t="s">
        <v>338</v>
      </c>
      <c r="I1200" t="s">
        <v>86</v>
      </c>
      <c r="J1200">
        <v>46</v>
      </c>
      <c r="K1200" t="s">
        <v>83</v>
      </c>
      <c r="L1200" t="s">
        <v>2634</v>
      </c>
      <c r="M1200" t="s">
        <v>56</v>
      </c>
      <c r="N1200" t="s">
        <v>2601</v>
      </c>
      <c r="O1200" t="s">
        <v>117</v>
      </c>
      <c r="P1200" t="s">
        <v>49</v>
      </c>
      <c r="Q1200" t="s">
        <v>139</v>
      </c>
      <c r="R1200">
        <v>2</v>
      </c>
      <c r="S1200">
        <v>6999</v>
      </c>
      <c r="T1200">
        <v>0.1</v>
      </c>
      <c r="U1200">
        <v>12598.2</v>
      </c>
      <c r="V1200">
        <v>8600</v>
      </c>
      <c r="W1200">
        <v>3998.2</v>
      </c>
      <c r="X1200" t="s">
        <v>77</v>
      </c>
      <c r="Y1200" t="s">
        <v>68</v>
      </c>
      <c r="Z1200" t="s">
        <v>158</v>
      </c>
      <c r="AA1200" t="s">
        <v>171</v>
      </c>
      <c r="AB1200">
        <v>4.3</v>
      </c>
      <c r="AC1200">
        <v>50</v>
      </c>
      <c r="AD1200">
        <v>658.12</v>
      </c>
      <c r="AE1200">
        <f t="shared" si="36"/>
        <v>3290.08</v>
      </c>
      <c r="AF1200" t="str">
        <f t="shared" si="37"/>
        <v>2025-06</v>
      </c>
      <c r="AG1200">
        <f>SUBTOTAL(103,A1200)</f>
        <v>1</v>
      </c>
    </row>
    <row r="1201" spans="1:33" x14ac:dyDescent="0.3">
      <c r="A1201" t="s">
        <v>3816</v>
      </c>
      <c r="B1201" s="13">
        <v>45809</v>
      </c>
      <c r="C1201">
        <v>2025</v>
      </c>
      <c r="D1201">
        <v>6</v>
      </c>
      <c r="E1201" t="s">
        <v>3813</v>
      </c>
      <c r="F1201" t="s">
        <v>3329</v>
      </c>
      <c r="G1201" t="s">
        <v>421</v>
      </c>
      <c r="H1201" t="s">
        <v>422</v>
      </c>
      <c r="I1201" t="s">
        <v>86</v>
      </c>
      <c r="J1201">
        <v>47</v>
      </c>
      <c r="K1201" t="s">
        <v>83</v>
      </c>
      <c r="L1201" t="s">
        <v>2589</v>
      </c>
      <c r="M1201" t="s">
        <v>61</v>
      </c>
      <c r="N1201" t="s">
        <v>2582</v>
      </c>
      <c r="O1201" t="s">
        <v>119</v>
      </c>
      <c r="P1201" t="s">
        <v>49</v>
      </c>
      <c r="Q1201" t="s">
        <v>140</v>
      </c>
      <c r="R1201">
        <v>1</v>
      </c>
      <c r="S1201">
        <v>3499</v>
      </c>
      <c r="T1201">
        <v>0</v>
      </c>
      <c r="U1201">
        <v>3499</v>
      </c>
      <c r="V1201">
        <v>2100</v>
      </c>
      <c r="W1201">
        <v>1399</v>
      </c>
      <c r="X1201" t="s">
        <v>73</v>
      </c>
      <c r="Y1201" t="s">
        <v>68</v>
      </c>
      <c r="Z1201" t="s">
        <v>161</v>
      </c>
      <c r="AA1201" t="s">
        <v>166</v>
      </c>
      <c r="AB1201">
        <v>3.6</v>
      </c>
      <c r="AC1201">
        <v>60</v>
      </c>
      <c r="AD1201">
        <v>377.68</v>
      </c>
      <c r="AE1201">
        <f t="shared" si="36"/>
        <v>961.31999999999994</v>
      </c>
      <c r="AF1201" t="str">
        <f t="shared" si="37"/>
        <v>2025-06</v>
      </c>
      <c r="AG1201">
        <f>SUBTOTAL(103,A1201)</f>
        <v>1</v>
      </c>
    </row>
    <row r="1202" spans="1:33" x14ac:dyDescent="0.3">
      <c r="A1202" t="s">
        <v>3817</v>
      </c>
      <c r="B1202" s="13">
        <v>45809</v>
      </c>
      <c r="C1202">
        <v>2025</v>
      </c>
      <c r="D1202">
        <v>6</v>
      </c>
      <c r="E1202" t="s">
        <v>3813</v>
      </c>
      <c r="F1202" t="s">
        <v>3329</v>
      </c>
      <c r="G1202" t="s">
        <v>543</v>
      </c>
      <c r="H1202" t="s">
        <v>544</v>
      </c>
      <c r="I1202" t="s">
        <v>86</v>
      </c>
      <c r="J1202">
        <v>37</v>
      </c>
      <c r="K1202" t="s">
        <v>82</v>
      </c>
      <c r="L1202" t="s">
        <v>2690</v>
      </c>
      <c r="M1202" t="s">
        <v>63</v>
      </c>
      <c r="N1202" t="s">
        <v>2603</v>
      </c>
      <c r="O1202" t="s">
        <v>122</v>
      </c>
      <c r="P1202" t="s">
        <v>48</v>
      </c>
      <c r="Q1202" t="s">
        <v>141</v>
      </c>
      <c r="R1202">
        <v>2</v>
      </c>
      <c r="S1202">
        <v>2499</v>
      </c>
      <c r="T1202">
        <v>0.1</v>
      </c>
      <c r="U1202">
        <v>4498.2</v>
      </c>
      <c r="V1202">
        <v>2900</v>
      </c>
      <c r="W1202">
        <v>1598.2</v>
      </c>
      <c r="X1202" t="s">
        <v>74</v>
      </c>
      <c r="Y1202" t="s">
        <v>68</v>
      </c>
      <c r="Z1202" t="s">
        <v>158</v>
      </c>
      <c r="AA1202" t="s">
        <v>167</v>
      </c>
      <c r="AB1202">
        <v>3.9</v>
      </c>
      <c r="AC1202">
        <v>60</v>
      </c>
      <c r="AD1202">
        <v>382.68</v>
      </c>
      <c r="AE1202">
        <f t="shared" si="36"/>
        <v>1155.52</v>
      </c>
      <c r="AF1202" t="str">
        <f t="shared" si="37"/>
        <v>2025-06</v>
      </c>
      <c r="AG1202">
        <f>SUBTOTAL(103,A1202)</f>
        <v>1</v>
      </c>
    </row>
    <row r="1203" spans="1:33" x14ac:dyDescent="0.3">
      <c r="A1203" t="s">
        <v>3818</v>
      </c>
      <c r="B1203" s="13">
        <v>45809</v>
      </c>
      <c r="C1203">
        <v>2025</v>
      </c>
      <c r="D1203">
        <v>6</v>
      </c>
      <c r="E1203" t="s">
        <v>3813</v>
      </c>
      <c r="F1203" t="s">
        <v>3329</v>
      </c>
      <c r="G1203" t="s">
        <v>321</v>
      </c>
      <c r="H1203" t="s">
        <v>322</v>
      </c>
      <c r="I1203" t="s">
        <v>85</v>
      </c>
      <c r="J1203">
        <v>59</v>
      </c>
      <c r="K1203" t="s">
        <v>83</v>
      </c>
      <c r="L1203" t="s">
        <v>95</v>
      </c>
      <c r="M1203" t="s">
        <v>56</v>
      </c>
      <c r="N1203" t="s">
        <v>2582</v>
      </c>
      <c r="O1203" t="s">
        <v>119</v>
      </c>
      <c r="P1203" t="s">
        <v>49</v>
      </c>
      <c r="Q1203" t="s">
        <v>140</v>
      </c>
      <c r="R1203">
        <v>1</v>
      </c>
      <c r="S1203">
        <v>3499</v>
      </c>
      <c r="T1203">
        <v>0.15</v>
      </c>
      <c r="U1203">
        <v>2974.15</v>
      </c>
      <c r="V1203">
        <v>2100</v>
      </c>
      <c r="W1203">
        <v>874.15</v>
      </c>
      <c r="X1203" t="s">
        <v>73</v>
      </c>
      <c r="Y1203" t="s">
        <v>68</v>
      </c>
      <c r="Z1203" t="s">
        <v>163</v>
      </c>
      <c r="AA1203" t="s">
        <v>170</v>
      </c>
      <c r="AB1203">
        <v>4.3</v>
      </c>
      <c r="AC1203">
        <v>50</v>
      </c>
      <c r="AD1203">
        <v>94.38</v>
      </c>
      <c r="AE1203">
        <f t="shared" si="36"/>
        <v>729.77</v>
      </c>
      <c r="AF1203" t="str">
        <f t="shared" si="37"/>
        <v>2025-06</v>
      </c>
      <c r="AG1203">
        <f>SUBTOTAL(103,A1203)</f>
        <v>1</v>
      </c>
    </row>
    <row r="1204" spans="1:33" x14ac:dyDescent="0.3">
      <c r="A1204" t="s">
        <v>3819</v>
      </c>
      <c r="B1204" s="13">
        <v>45809</v>
      </c>
      <c r="C1204">
        <v>2025</v>
      </c>
      <c r="D1204">
        <v>6</v>
      </c>
      <c r="E1204" t="s">
        <v>3813</v>
      </c>
      <c r="F1204" t="s">
        <v>3329</v>
      </c>
      <c r="G1204" t="s">
        <v>1709</v>
      </c>
      <c r="H1204" t="s">
        <v>1710</v>
      </c>
      <c r="I1204" t="s">
        <v>86</v>
      </c>
      <c r="J1204">
        <v>54</v>
      </c>
      <c r="K1204" t="s">
        <v>83</v>
      </c>
      <c r="L1204" t="s">
        <v>99</v>
      </c>
      <c r="M1204" t="s">
        <v>58</v>
      </c>
      <c r="N1204" t="s">
        <v>2574</v>
      </c>
      <c r="O1204" t="s">
        <v>130</v>
      </c>
      <c r="P1204" t="s">
        <v>50</v>
      </c>
      <c r="Q1204" t="s">
        <v>53</v>
      </c>
      <c r="R1204">
        <v>1</v>
      </c>
      <c r="S1204">
        <v>1199</v>
      </c>
      <c r="T1204">
        <v>0.1</v>
      </c>
      <c r="U1204">
        <v>1079.0999999999999</v>
      </c>
      <c r="V1204">
        <v>550</v>
      </c>
      <c r="W1204">
        <v>529.1</v>
      </c>
      <c r="X1204" t="s">
        <v>75</v>
      </c>
      <c r="Y1204" t="s">
        <v>68</v>
      </c>
      <c r="Z1204" t="s">
        <v>162</v>
      </c>
      <c r="AA1204" t="s">
        <v>167</v>
      </c>
      <c r="AB1204">
        <v>4.8</v>
      </c>
      <c r="AC1204">
        <v>50</v>
      </c>
      <c r="AD1204">
        <v>108.83</v>
      </c>
      <c r="AE1204">
        <f t="shared" si="36"/>
        <v>370.27000000000004</v>
      </c>
      <c r="AF1204" t="str">
        <f t="shared" si="37"/>
        <v>2025-06</v>
      </c>
      <c r="AG1204">
        <f>SUBTOTAL(103,A1204)</f>
        <v>1</v>
      </c>
    </row>
    <row r="1205" spans="1:33" x14ac:dyDescent="0.3">
      <c r="A1205" t="s">
        <v>3820</v>
      </c>
      <c r="B1205" s="13">
        <v>45810</v>
      </c>
      <c r="C1205">
        <v>2025</v>
      </c>
      <c r="D1205">
        <v>6</v>
      </c>
      <c r="E1205" t="s">
        <v>3813</v>
      </c>
      <c r="F1205" t="s">
        <v>3329</v>
      </c>
      <c r="G1205" t="s">
        <v>265</v>
      </c>
      <c r="H1205" t="s">
        <v>266</v>
      </c>
      <c r="I1205" t="s">
        <v>85</v>
      </c>
      <c r="J1205">
        <v>35</v>
      </c>
      <c r="K1205" t="s">
        <v>81</v>
      </c>
      <c r="L1205" t="s">
        <v>93</v>
      </c>
      <c r="M1205" t="s">
        <v>55</v>
      </c>
      <c r="N1205" t="s">
        <v>2587</v>
      </c>
      <c r="O1205" t="s">
        <v>116</v>
      </c>
      <c r="P1205" t="s">
        <v>48</v>
      </c>
      <c r="Q1205" t="s">
        <v>138</v>
      </c>
      <c r="R1205">
        <v>1</v>
      </c>
      <c r="S1205">
        <v>14999</v>
      </c>
      <c r="T1205">
        <v>0.1</v>
      </c>
      <c r="U1205">
        <v>13499.1</v>
      </c>
      <c r="V1205">
        <v>11200</v>
      </c>
      <c r="W1205">
        <v>2299.1</v>
      </c>
      <c r="X1205" t="s">
        <v>73</v>
      </c>
      <c r="Y1205" t="s">
        <v>68</v>
      </c>
      <c r="Z1205" t="s">
        <v>158</v>
      </c>
      <c r="AA1205" t="s">
        <v>170</v>
      </c>
      <c r="AB1205">
        <v>4.8</v>
      </c>
      <c r="AC1205">
        <v>60</v>
      </c>
      <c r="AD1205">
        <v>1181.69</v>
      </c>
      <c r="AE1205">
        <f t="shared" si="36"/>
        <v>1057.4099999999999</v>
      </c>
      <c r="AF1205" t="str">
        <f t="shared" si="37"/>
        <v>2025-06</v>
      </c>
      <c r="AG1205">
        <f>SUBTOTAL(103,A1205)</f>
        <v>1</v>
      </c>
    </row>
    <row r="1206" spans="1:33" x14ac:dyDescent="0.3">
      <c r="A1206" t="s">
        <v>3821</v>
      </c>
      <c r="B1206" s="13">
        <v>45810</v>
      </c>
      <c r="C1206">
        <v>2025</v>
      </c>
      <c r="D1206">
        <v>6</v>
      </c>
      <c r="E1206" t="s">
        <v>3813</v>
      </c>
      <c r="F1206" t="s">
        <v>3329</v>
      </c>
      <c r="G1206" t="s">
        <v>2263</v>
      </c>
      <c r="H1206" t="s">
        <v>2264</v>
      </c>
      <c r="I1206" t="s">
        <v>86</v>
      </c>
      <c r="J1206">
        <v>59</v>
      </c>
      <c r="K1206" t="s">
        <v>83</v>
      </c>
      <c r="L1206" t="s">
        <v>59</v>
      </c>
      <c r="M1206" t="s">
        <v>59</v>
      </c>
      <c r="N1206" t="s">
        <v>2594</v>
      </c>
      <c r="O1206" t="s">
        <v>131</v>
      </c>
      <c r="P1206" t="s">
        <v>53</v>
      </c>
      <c r="Q1206" t="s">
        <v>143</v>
      </c>
      <c r="R1206">
        <v>5</v>
      </c>
      <c r="S1206">
        <v>999</v>
      </c>
      <c r="T1206">
        <v>0</v>
      </c>
      <c r="U1206">
        <v>4995</v>
      </c>
      <c r="V1206">
        <v>2600</v>
      </c>
      <c r="W1206">
        <v>2395</v>
      </c>
      <c r="X1206" t="s">
        <v>74</v>
      </c>
      <c r="Y1206" t="s">
        <v>68</v>
      </c>
      <c r="Z1206" t="s">
        <v>161</v>
      </c>
      <c r="AA1206" t="s">
        <v>166</v>
      </c>
      <c r="AB1206">
        <v>4.5999999999999996</v>
      </c>
      <c r="AC1206">
        <v>50</v>
      </c>
      <c r="AD1206">
        <v>337.89</v>
      </c>
      <c r="AE1206">
        <f t="shared" si="36"/>
        <v>2007.1100000000001</v>
      </c>
      <c r="AF1206" t="str">
        <f t="shared" si="37"/>
        <v>2025-06</v>
      </c>
      <c r="AG1206">
        <f>SUBTOTAL(103,A1206)</f>
        <v>1</v>
      </c>
    </row>
    <row r="1207" spans="1:33" x14ac:dyDescent="0.3">
      <c r="A1207" t="s">
        <v>3822</v>
      </c>
      <c r="B1207" s="13">
        <v>45810</v>
      </c>
      <c r="C1207">
        <v>2025</v>
      </c>
      <c r="D1207">
        <v>6</v>
      </c>
      <c r="E1207" t="s">
        <v>3813</v>
      </c>
      <c r="F1207" t="s">
        <v>3329</v>
      </c>
      <c r="G1207" t="s">
        <v>723</v>
      </c>
      <c r="H1207" t="s">
        <v>724</v>
      </c>
      <c r="I1207" t="s">
        <v>85</v>
      </c>
      <c r="J1207">
        <v>28</v>
      </c>
      <c r="K1207" t="s">
        <v>81</v>
      </c>
      <c r="L1207" t="s">
        <v>2610</v>
      </c>
      <c r="M1207" t="s">
        <v>64</v>
      </c>
      <c r="N1207" t="s">
        <v>2626</v>
      </c>
      <c r="O1207" t="s">
        <v>125</v>
      </c>
      <c r="P1207" t="s">
        <v>48</v>
      </c>
      <c r="Q1207" t="s">
        <v>141</v>
      </c>
      <c r="R1207">
        <v>3</v>
      </c>
      <c r="S1207">
        <v>1999</v>
      </c>
      <c r="T1207">
        <v>0.1</v>
      </c>
      <c r="U1207">
        <v>5397.3</v>
      </c>
      <c r="V1207">
        <v>3450</v>
      </c>
      <c r="W1207">
        <v>1947.3</v>
      </c>
      <c r="X1207" t="s">
        <v>74</v>
      </c>
      <c r="Y1207" t="s">
        <v>68</v>
      </c>
      <c r="Z1207" t="s">
        <v>158</v>
      </c>
      <c r="AA1207" t="s">
        <v>167</v>
      </c>
      <c r="AB1207">
        <v>3.4</v>
      </c>
      <c r="AC1207">
        <v>50</v>
      </c>
      <c r="AD1207">
        <v>505.54</v>
      </c>
      <c r="AE1207">
        <f t="shared" si="36"/>
        <v>1391.76</v>
      </c>
      <c r="AF1207" t="str">
        <f t="shared" si="37"/>
        <v>2025-06</v>
      </c>
      <c r="AG1207">
        <f>SUBTOTAL(103,A1207)</f>
        <v>1</v>
      </c>
    </row>
    <row r="1208" spans="1:33" x14ac:dyDescent="0.3">
      <c r="A1208" t="s">
        <v>3823</v>
      </c>
      <c r="B1208" s="13">
        <v>45810</v>
      </c>
      <c r="C1208">
        <v>2025</v>
      </c>
      <c r="D1208">
        <v>6</v>
      </c>
      <c r="E1208" t="s">
        <v>3813</v>
      </c>
      <c r="F1208" t="s">
        <v>3329</v>
      </c>
      <c r="G1208" t="s">
        <v>1169</v>
      </c>
      <c r="H1208" t="s">
        <v>1170</v>
      </c>
      <c r="I1208" t="s">
        <v>85</v>
      </c>
      <c r="J1208">
        <v>47</v>
      </c>
      <c r="K1208" t="s">
        <v>83</v>
      </c>
      <c r="L1208" t="s">
        <v>2634</v>
      </c>
      <c r="M1208" t="s">
        <v>56</v>
      </c>
      <c r="N1208" t="s">
        <v>2577</v>
      </c>
      <c r="O1208" t="s">
        <v>129</v>
      </c>
      <c r="P1208" t="s">
        <v>49</v>
      </c>
      <c r="Q1208" t="s">
        <v>149</v>
      </c>
      <c r="R1208">
        <v>1</v>
      </c>
      <c r="S1208">
        <v>1299</v>
      </c>
      <c r="T1208">
        <v>0.15</v>
      </c>
      <c r="U1208">
        <v>1104.1500000000001</v>
      </c>
      <c r="V1208">
        <v>650</v>
      </c>
      <c r="W1208">
        <v>454.15</v>
      </c>
      <c r="X1208" t="s">
        <v>73</v>
      </c>
      <c r="Y1208" t="s">
        <v>70</v>
      </c>
      <c r="Z1208" t="s">
        <v>162</v>
      </c>
      <c r="AA1208" t="s">
        <v>169</v>
      </c>
      <c r="AB1208">
        <v>4.5999999999999996</v>
      </c>
      <c r="AC1208">
        <v>80</v>
      </c>
      <c r="AD1208">
        <v>96.68</v>
      </c>
      <c r="AE1208">
        <f t="shared" si="36"/>
        <v>277.46999999999997</v>
      </c>
      <c r="AF1208" t="str">
        <f t="shared" si="37"/>
        <v>2025-06</v>
      </c>
      <c r="AG1208">
        <f>SUBTOTAL(103,A1208)</f>
        <v>1</v>
      </c>
    </row>
    <row r="1209" spans="1:33" x14ac:dyDescent="0.3">
      <c r="A1209" t="s">
        <v>3824</v>
      </c>
      <c r="B1209" s="13">
        <v>45810</v>
      </c>
      <c r="C1209">
        <v>2025</v>
      </c>
      <c r="D1209">
        <v>6</v>
      </c>
      <c r="E1209" t="s">
        <v>3813</v>
      </c>
      <c r="F1209" t="s">
        <v>3329</v>
      </c>
      <c r="G1209" t="s">
        <v>891</v>
      </c>
      <c r="H1209" t="s">
        <v>892</v>
      </c>
      <c r="I1209" t="s">
        <v>85</v>
      </c>
      <c r="J1209">
        <v>49</v>
      </c>
      <c r="K1209" t="s">
        <v>83</v>
      </c>
      <c r="L1209" t="s">
        <v>2690</v>
      </c>
      <c r="M1209" t="s">
        <v>63</v>
      </c>
      <c r="N1209" t="s">
        <v>2590</v>
      </c>
      <c r="O1209" t="s">
        <v>127</v>
      </c>
      <c r="P1209" t="s">
        <v>51</v>
      </c>
      <c r="Q1209" t="s">
        <v>148</v>
      </c>
      <c r="R1209">
        <v>3</v>
      </c>
      <c r="S1209">
        <v>1599</v>
      </c>
      <c r="T1209">
        <v>0</v>
      </c>
      <c r="U1209">
        <v>4797</v>
      </c>
      <c r="V1209">
        <v>2400</v>
      </c>
      <c r="W1209">
        <v>2397</v>
      </c>
      <c r="X1209" t="s">
        <v>75</v>
      </c>
      <c r="Y1209" t="s">
        <v>68</v>
      </c>
      <c r="Z1209" t="s">
        <v>158</v>
      </c>
      <c r="AA1209" t="s">
        <v>170</v>
      </c>
      <c r="AB1209">
        <v>5</v>
      </c>
      <c r="AC1209">
        <v>50</v>
      </c>
      <c r="AD1209">
        <v>512.01</v>
      </c>
      <c r="AE1209">
        <f t="shared" si="36"/>
        <v>1834.99</v>
      </c>
      <c r="AF1209" t="str">
        <f t="shared" si="37"/>
        <v>2025-06</v>
      </c>
      <c r="AG1209">
        <f>SUBTOTAL(103,A1209)</f>
        <v>1</v>
      </c>
    </row>
    <row r="1210" spans="1:33" x14ac:dyDescent="0.3">
      <c r="A1210" t="s">
        <v>3825</v>
      </c>
      <c r="B1210" s="13">
        <v>45810</v>
      </c>
      <c r="C1210">
        <v>2025</v>
      </c>
      <c r="D1210">
        <v>6</v>
      </c>
      <c r="E1210" t="s">
        <v>3813</v>
      </c>
      <c r="F1210" t="s">
        <v>3329</v>
      </c>
      <c r="G1210" t="s">
        <v>431</v>
      </c>
      <c r="H1210" t="s">
        <v>432</v>
      </c>
      <c r="I1210" t="s">
        <v>86</v>
      </c>
      <c r="J1210">
        <v>19</v>
      </c>
      <c r="K1210" t="s">
        <v>80</v>
      </c>
      <c r="L1210" t="s">
        <v>99</v>
      </c>
      <c r="M1210" t="s">
        <v>58</v>
      </c>
      <c r="N1210" t="s">
        <v>2665</v>
      </c>
      <c r="O1210" t="s">
        <v>128</v>
      </c>
      <c r="P1210" t="s">
        <v>53</v>
      </c>
      <c r="Q1210" t="s">
        <v>143</v>
      </c>
      <c r="R1210">
        <v>1</v>
      </c>
      <c r="S1210">
        <v>1499</v>
      </c>
      <c r="T1210">
        <v>0.25</v>
      </c>
      <c r="U1210">
        <v>1124.25</v>
      </c>
      <c r="V1210">
        <v>800</v>
      </c>
      <c r="W1210">
        <v>324.25</v>
      </c>
      <c r="X1210" t="s">
        <v>74</v>
      </c>
      <c r="Y1210" t="s">
        <v>68</v>
      </c>
      <c r="Z1210" t="s">
        <v>161</v>
      </c>
      <c r="AA1210" t="s">
        <v>171</v>
      </c>
      <c r="AB1210">
        <v>4.3</v>
      </c>
      <c r="AC1210">
        <v>100</v>
      </c>
      <c r="AD1210">
        <v>114.86</v>
      </c>
      <c r="AE1210">
        <f t="shared" si="36"/>
        <v>109.39</v>
      </c>
      <c r="AF1210" t="str">
        <f t="shared" si="37"/>
        <v>2025-06</v>
      </c>
      <c r="AG1210">
        <f>SUBTOTAL(103,A1210)</f>
        <v>1</v>
      </c>
    </row>
    <row r="1211" spans="1:33" x14ac:dyDescent="0.3">
      <c r="A1211" t="s">
        <v>3826</v>
      </c>
      <c r="B1211" s="13">
        <v>45811</v>
      </c>
      <c r="C1211">
        <v>2025</v>
      </c>
      <c r="D1211">
        <v>6</v>
      </c>
      <c r="E1211" t="s">
        <v>3813</v>
      </c>
      <c r="F1211" t="s">
        <v>3329</v>
      </c>
      <c r="G1211" t="s">
        <v>1363</v>
      </c>
      <c r="H1211" t="s">
        <v>1364</v>
      </c>
      <c r="I1211" t="s">
        <v>85</v>
      </c>
      <c r="J1211">
        <v>41</v>
      </c>
      <c r="K1211" t="s">
        <v>82</v>
      </c>
      <c r="L1211" t="s">
        <v>2634</v>
      </c>
      <c r="M1211" t="s">
        <v>56</v>
      </c>
      <c r="N1211" t="s">
        <v>2603</v>
      </c>
      <c r="O1211" t="s">
        <v>122</v>
      </c>
      <c r="P1211" t="s">
        <v>48</v>
      </c>
      <c r="Q1211" t="s">
        <v>141</v>
      </c>
      <c r="R1211">
        <v>3</v>
      </c>
      <c r="S1211">
        <v>2499</v>
      </c>
      <c r="T1211">
        <v>0.1</v>
      </c>
      <c r="U1211">
        <v>6747.3</v>
      </c>
      <c r="V1211">
        <v>4350</v>
      </c>
      <c r="W1211">
        <v>2397.3000000000002</v>
      </c>
      <c r="X1211" t="s">
        <v>74</v>
      </c>
      <c r="Y1211" t="s">
        <v>68</v>
      </c>
      <c r="Z1211" t="s">
        <v>158</v>
      </c>
      <c r="AA1211" t="s">
        <v>168</v>
      </c>
      <c r="AB1211">
        <v>3.2</v>
      </c>
      <c r="AC1211">
        <v>50</v>
      </c>
      <c r="AD1211">
        <v>331.2</v>
      </c>
      <c r="AE1211">
        <f t="shared" si="36"/>
        <v>2016.1000000000001</v>
      </c>
      <c r="AF1211" t="str">
        <f t="shared" si="37"/>
        <v>2025-06</v>
      </c>
      <c r="AG1211">
        <f>SUBTOTAL(103,A1211)</f>
        <v>1</v>
      </c>
    </row>
    <row r="1212" spans="1:33" x14ac:dyDescent="0.3">
      <c r="A1212" t="s">
        <v>3827</v>
      </c>
      <c r="B1212" s="13">
        <v>45811</v>
      </c>
      <c r="C1212">
        <v>2025</v>
      </c>
      <c r="D1212">
        <v>6</v>
      </c>
      <c r="E1212" t="s">
        <v>3813</v>
      </c>
      <c r="F1212" t="s">
        <v>3329</v>
      </c>
      <c r="G1212" t="s">
        <v>599</v>
      </c>
      <c r="H1212" t="s">
        <v>600</v>
      </c>
      <c r="I1212" t="s">
        <v>86</v>
      </c>
      <c r="J1212">
        <v>20</v>
      </c>
      <c r="K1212" t="s">
        <v>80</v>
      </c>
      <c r="L1212" t="s">
        <v>2674</v>
      </c>
      <c r="M1212" t="s">
        <v>58</v>
      </c>
      <c r="N1212" t="s">
        <v>2582</v>
      </c>
      <c r="O1212" t="s">
        <v>119</v>
      </c>
      <c r="P1212" t="s">
        <v>49</v>
      </c>
      <c r="Q1212" t="s">
        <v>140</v>
      </c>
      <c r="R1212">
        <v>1</v>
      </c>
      <c r="S1212">
        <v>3499</v>
      </c>
      <c r="T1212">
        <v>0</v>
      </c>
      <c r="U1212">
        <v>3499</v>
      </c>
      <c r="V1212">
        <v>2100</v>
      </c>
      <c r="W1212">
        <v>1399</v>
      </c>
      <c r="X1212" t="s">
        <v>73</v>
      </c>
      <c r="Y1212" t="s">
        <v>68</v>
      </c>
      <c r="Z1212" t="s">
        <v>160</v>
      </c>
      <c r="AA1212" t="s">
        <v>166</v>
      </c>
      <c r="AB1212">
        <v>4.2</v>
      </c>
      <c r="AC1212">
        <v>50</v>
      </c>
      <c r="AD1212">
        <v>326.60000000000002</v>
      </c>
      <c r="AE1212">
        <f t="shared" si="36"/>
        <v>1022.4</v>
      </c>
      <c r="AF1212" t="str">
        <f t="shared" si="37"/>
        <v>2025-06</v>
      </c>
      <c r="AG1212">
        <f>SUBTOTAL(103,A1212)</f>
        <v>1</v>
      </c>
    </row>
    <row r="1213" spans="1:33" x14ac:dyDescent="0.3">
      <c r="A1213" t="s">
        <v>3828</v>
      </c>
      <c r="B1213" s="13">
        <v>45811</v>
      </c>
      <c r="C1213">
        <v>2025</v>
      </c>
      <c r="D1213">
        <v>6</v>
      </c>
      <c r="E1213" t="s">
        <v>3813</v>
      </c>
      <c r="F1213" t="s">
        <v>3329</v>
      </c>
      <c r="G1213" t="s">
        <v>241</v>
      </c>
      <c r="H1213" t="s">
        <v>242</v>
      </c>
      <c r="I1213" t="s">
        <v>85</v>
      </c>
      <c r="J1213">
        <v>30</v>
      </c>
      <c r="K1213" t="s">
        <v>81</v>
      </c>
      <c r="L1213" t="s">
        <v>2599</v>
      </c>
      <c r="M1213" t="s">
        <v>62</v>
      </c>
      <c r="N1213" t="s">
        <v>2630</v>
      </c>
      <c r="O1213" t="s">
        <v>123</v>
      </c>
      <c r="P1213" t="s">
        <v>52</v>
      </c>
      <c r="Q1213" t="s">
        <v>146</v>
      </c>
      <c r="R1213">
        <v>1</v>
      </c>
      <c r="S1213">
        <v>2499</v>
      </c>
      <c r="T1213">
        <v>0.25</v>
      </c>
      <c r="U1213">
        <v>1874.25</v>
      </c>
      <c r="V1213">
        <v>1400</v>
      </c>
      <c r="W1213">
        <v>474.25</v>
      </c>
      <c r="X1213" t="s">
        <v>76</v>
      </c>
      <c r="Y1213" t="s">
        <v>68</v>
      </c>
      <c r="Z1213" t="s">
        <v>159</v>
      </c>
      <c r="AA1213" t="s">
        <v>168</v>
      </c>
      <c r="AB1213">
        <v>4.4000000000000004</v>
      </c>
      <c r="AC1213">
        <v>40</v>
      </c>
      <c r="AD1213">
        <v>116.72</v>
      </c>
      <c r="AE1213">
        <f t="shared" si="36"/>
        <v>317.52999999999997</v>
      </c>
      <c r="AF1213" t="str">
        <f t="shared" si="37"/>
        <v>2025-06</v>
      </c>
      <c r="AG1213">
        <f>SUBTOTAL(103,A1213)</f>
        <v>1</v>
      </c>
    </row>
    <row r="1214" spans="1:33" x14ac:dyDescent="0.3">
      <c r="A1214" t="s">
        <v>3829</v>
      </c>
      <c r="B1214" s="13">
        <v>45811</v>
      </c>
      <c r="C1214">
        <v>2025</v>
      </c>
      <c r="D1214">
        <v>6</v>
      </c>
      <c r="E1214" t="s">
        <v>3813</v>
      </c>
      <c r="F1214" t="s">
        <v>3329</v>
      </c>
      <c r="G1214" t="s">
        <v>1185</v>
      </c>
      <c r="H1214" t="s">
        <v>1186</v>
      </c>
      <c r="I1214" t="s">
        <v>86</v>
      </c>
      <c r="J1214">
        <v>52</v>
      </c>
      <c r="K1214" t="s">
        <v>83</v>
      </c>
      <c r="L1214" t="s">
        <v>99</v>
      </c>
      <c r="M1214" t="s">
        <v>58</v>
      </c>
      <c r="N1214" t="s">
        <v>2596</v>
      </c>
      <c r="O1214" t="s">
        <v>124</v>
      </c>
      <c r="P1214" t="s">
        <v>51</v>
      </c>
      <c r="Q1214" t="s">
        <v>147</v>
      </c>
      <c r="R1214">
        <v>5</v>
      </c>
      <c r="S1214">
        <v>2299</v>
      </c>
      <c r="T1214">
        <v>0.05</v>
      </c>
      <c r="U1214">
        <v>10920.25</v>
      </c>
      <c r="V1214">
        <v>6000</v>
      </c>
      <c r="W1214">
        <v>4920.25</v>
      </c>
      <c r="X1214" t="s">
        <v>73</v>
      </c>
      <c r="Y1214" t="s">
        <v>68</v>
      </c>
      <c r="Z1214" t="s">
        <v>161</v>
      </c>
      <c r="AA1214" t="s">
        <v>170</v>
      </c>
      <c r="AB1214">
        <v>4.3</v>
      </c>
      <c r="AC1214">
        <v>50</v>
      </c>
      <c r="AD1214">
        <v>329.02</v>
      </c>
      <c r="AE1214">
        <f t="shared" si="36"/>
        <v>4541.2299999999996</v>
      </c>
      <c r="AF1214" t="str">
        <f t="shared" si="37"/>
        <v>2025-06</v>
      </c>
      <c r="AG1214">
        <f>SUBTOTAL(103,A1214)</f>
        <v>1</v>
      </c>
    </row>
    <row r="1215" spans="1:33" x14ac:dyDescent="0.3">
      <c r="A1215" t="s">
        <v>3830</v>
      </c>
      <c r="B1215" s="13">
        <v>45811</v>
      </c>
      <c r="C1215">
        <v>2025</v>
      </c>
      <c r="D1215">
        <v>6</v>
      </c>
      <c r="E1215" t="s">
        <v>3813</v>
      </c>
      <c r="F1215" t="s">
        <v>3329</v>
      </c>
      <c r="G1215" t="s">
        <v>1113</v>
      </c>
      <c r="H1215" t="s">
        <v>1114</v>
      </c>
      <c r="I1215" t="s">
        <v>86</v>
      </c>
      <c r="J1215">
        <v>19</v>
      </c>
      <c r="K1215" t="s">
        <v>80</v>
      </c>
      <c r="L1215" t="s">
        <v>2634</v>
      </c>
      <c r="M1215" t="s">
        <v>56</v>
      </c>
      <c r="N1215" t="s">
        <v>2590</v>
      </c>
      <c r="O1215" t="s">
        <v>127</v>
      </c>
      <c r="P1215" t="s">
        <v>51</v>
      </c>
      <c r="Q1215" t="s">
        <v>148</v>
      </c>
      <c r="R1215">
        <v>3</v>
      </c>
      <c r="S1215">
        <v>1599</v>
      </c>
      <c r="T1215">
        <v>0</v>
      </c>
      <c r="U1215">
        <v>4797</v>
      </c>
      <c r="V1215">
        <v>2400</v>
      </c>
      <c r="W1215">
        <v>2397</v>
      </c>
      <c r="X1215" t="s">
        <v>75</v>
      </c>
      <c r="Y1215" t="s">
        <v>68</v>
      </c>
      <c r="Z1215" t="s">
        <v>159</v>
      </c>
      <c r="AA1215" t="s">
        <v>171</v>
      </c>
      <c r="AB1215">
        <v>3.1</v>
      </c>
      <c r="AC1215">
        <v>40</v>
      </c>
      <c r="AD1215">
        <v>107.34</v>
      </c>
      <c r="AE1215">
        <f t="shared" si="36"/>
        <v>2249.66</v>
      </c>
      <c r="AF1215" t="str">
        <f t="shared" si="37"/>
        <v>2025-06</v>
      </c>
      <c r="AG1215">
        <f>SUBTOTAL(103,A1215)</f>
        <v>1</v>
      </c>
    </row>
    <row r="1216" spans="1:33" x14ac:dyDescent="0.3">
      <c r="A1216" t="s">
        <v>3831</v>
      </c>
      <c r="B1216" s="13">
        <v>45811</v>
      </c>
      <c r="C1216">
        <v>2025</v>
      </c>
      <c r="D1216">
        <v>6</v>
      </c>
      <c r="E1216" t="s">
        <v>3813</v>
      </c>
      <c r="F1216" t="s">
        <v>3329</v>
      </c>
      <c r="G1216" t="s">
        <v>1093</v>
      </c>
      <c r="H1216" t="s">
        <v>1094</v>
      </c>
      <c r="I1216" t="s">
        <v>86</v>
      </c>
      <c r="J1216">
        <v>38</v>
      </c>
      <c r="K1216" t="s">
        <v>82</v>
      </c>
      <c r="L1216" t="s">
        <v>94</v>
      </c>
      <c r="M1216" t="s">
        <v>57</v>
      </c>
      <c r="N1216" t="s">
        <v>2594</v>
      </c>
      <c r="O1216" t="s">
        <v>131</v>
      </c>
      <c r="P1216" t="s">
        <v>53</v>
      </c>
      <c r="Q1216" t="s">
        <v>143</v>
      </c>
      <c r="R1216">
        <v>2</v>
      </c>
      <c r="S1216">
        <v>999</v>
      </c>
      <c r="T1216">
        <v>0.15</v>
      </c>
      <c r="U1216">
        <v>1698.3</v>
      </c>
      <c r="V1216">
        <v>1040</v>
      </c>
      <c r="W1216">
        <v>658.3</v>
      </c>
      <c r="X1216" t="s">
        <v>73</v>
      </c>
      <c r="Y1216" t="s">
        <v>68</v>
      </c>
      <c r="Z1216" t="s">
        <v>158</v>
      </c>
      <c r="AA1216" t="s">
        <v>166</v>
      </c>
      <c r="AB1216">
        <v>4.2</v>
      </c>
      <c r="AC1216">
        <v>60</v>
      </c>
      <c r="AD1216">
        <v>194.5</v>
      </c>
      <c r="AE1216">
        <f t="shared" si="36"/>
        <v>403.79999999999995</v>
      </c>
      <c r="AF1216" t="str">
        <f t="shared" si="37"/>
        <v>2025-06</v>
      </c>
      <c r="AG1216">
        <f>SUBTOTAL(103,A1216)</f>
        <v>1</v>
      </c>
    </row>
    <row r="1217" spans="1:33" x14ac:dyDescent="0.3">
      <c r="A1217" t="s">
        <v>3832</v>
      </c>
      <c r="B1217" s="13">
        <v>45811</v>
      </c>
      <c r="C1217">
        <v>2025</v>
      </c>
      <c r="D1217">
        <v>6</v>
      </c>
      <c r="E1217" t="s">
        <v>3813</v>
      </c>
      <c r="F1217" t="s">
        <v>3329</v>
      </c>
      <c r="G1217" t="s">
        <v>357</v>
      </c>
      <c r="H1217" t="s">
        <v>358</v>
      </c>
      <c r="I1217" t="s">
        <v>85</v>
      </c>
      <c r="J1217">
        <v>34</v>
      </c>
      <c r="K1217" t="s">
        <v>81</v>
      </c>
      <c r="L1217" t="s">
        <v>92</v>
      </c>
      <c r="M1217" t="s">
        <v>59</v>
      </c>
      <c r="N1217" t="s">
        <v>2580</v>
      </c>
      <c r="O1217" t="s">
        <v>118</v>
      </c>
      <c r="P1217" t="s">
        <v>48</v>
      </c>
      <c r="Q1217" t="s">
        <v>142</v>
      </c>
      <c r="R1217">
        <v>2</v>
      </c>
      <c r="S1217">
        <v>3999</v>
      </c>
      <c r="T1217">
        <v>0</v>
      </c>
      <c r="U1217">
        <v>0</v>
      </c>
      <c r="V1217">
        <v>0</v>
      </c>
      <c r="W1217">
        <v>0</v>
      </c>
      <c r="X1217" t="s">
        <v>77</v>
      </c>
      <c r="Y1217" t="s">
        <v>71</v>
      </c>
      <c r="Z1217" t="s">
        <v>159</v>
      </c>
      <c r="AA1217" t="s">
        <v>171</v>
      </c>
      <c r="AB1217">
        <v>4.0999999999999996</v>
      </c>
      <c r="AC1217">
        <v>60</v>
      </c>
      <c r="AD1217">
        <v>289.13</v>
      </c>
      <c r="AE1217">
        <f t="shared" si="36"/>
        <v>-349.13</v>
      </c>
      <c r="AF1217" t="str">
        <f t="shared" si="37"/>
        <v>2025-06</v>
      </c>
      <c r="AG1217">
        <f>SUBTOTAL(103,A1217)</f>
        <v>1</v>
      </c>
    </row>
    <row r="1218" spans="1:33" x14ac:dyDescent="0.3">
      <c r="A1218" t="s">
        <v>3833</v>
      </c>
      <c r="B1218" s="13">
        <v>45811</v>
      </c>
      <c r="C1218">
        <v>2025</v>
      </c>
      <c r="D1218">
        <v>6</v>
      </c>
      <c r="E1218" t="s">
        <v>3813</v>
      </c>
      <c r="F1218" t="s">
        <v>3329</v>
      </c>
      <c r="G1218" t="s">
        <v>1815</v>
      </c>
      <c r="H1218" t="s">
        <v>1816</v>
      </c>
      <c r="I1218" t="s">
        <v>86</v>
      </c>
      <c r="J1218">
        <v>51</v>
      </c>
      <c r="K1218" t="s">
        <v>83</v>
      </c>
      <c r="L1218" t="s">
        <v>2586</v>
      </c>
      <c r="M1218" t="s">
        <v>62</v>
      </c>
      <c r="N1218" t="s">
        <v>2606</v>
      </c>
      <c r="O1218" t="s">
        <v>120</v>
      </c>
      <c r="P1218" t="s">
        <v>49</v>
      </c>
      <c r="Q1218" t="s">
        <v>140</v>
      </c>
      <c r="R1218">
        <v>1</v>
      </c>
      <c r="S1218">
        <v>2799</v>
      </c>
      <c r="T1218">
        <v>0.1</v>
      </c>
      <c r="U1218">
        <v>2519.1</v>
      </c>
      <c r="V1218">
        <v>1650</v>
      </c>
      <c r="W1218">
        <v>869.1</v>
      </c>
      <c r="X1218" t="s">
        <v>73</v>
      </c>
      <c r="Y1218" t="s">
        <v>69</v>
      </c>
      <c r="Z1218" t="s">
        <v>161</v>
      </c>
      <c r="AA1218" t="s">
        <v>166</v>
      </c>
      <c r="AB1218">
        <v>4.0999999999999996</v>
      </c>
      <c r="AC1218">
        <v>60</v>
      </c>
      <c r="AD1218">
        <v>63.09</v>
      </c>
      <c r="AE1218">
        <f t="shared" ref="AE1218:AE1281" si="38">W1218-AC1218-AD1218</f>
        <v>746.01</v>
      </c>
      <c r="AF1218" t="str">
        <f t="shared" ref="AF1218:AF1281" si="39">C1218&amp;"-"&amp;TEXT(D1218,"00")</f>
        <v>2025-06</v>
      </c>
      <c r="AG1218">
        <f>SUBTOTAL(103,A1218)</f>
        <v>1</v>
      </c>
    </row>
    <row r="1219" spans="1:33" x14ac:dyDescent="0.3">
      <c r="A1219" t="s">
        <v>3834</v>
      </c>
      <c r="B1219" s="13">
        <v>45811</v>
      </c>
      <c r="C1219">
        <v>2025</v>
      </c>
      <c r="D1219">
        <v>6</v>
      </c>
      <c r="E1219" t="s">
        <v>3813</v>
      </c>
      <c r="F1219" t="s">
        <v>3329</v>
      </c>
      <c r="G1219" t="s">
        <v>2027</v>
      </c>
      <c r="H1219" t="s">
        <v>2028</v>
      </c>
      <c r="I1219" t="s">
        <v>87</v>
      </c>
      <c r="J1219">
        <v>20</v>
      </c>
      <c r="K1219" t="s">
        <v>80</v>
      </c>
      <c r="L1219" t="s">
        <v>2589</v>
      </c>
      <c r="M1219" t="s">
        <v>61</v>
      </c>
      <c r="N1219" t="s">
        <v>2574</v>
      </c>
      <c r="O1219" t="s">
        <v>130</v>
      </c>
      <c r="P1219" t="s">
        <v>50</v>
      </c>
      <c r="Q1219" t="s">
        <v>53</v>
      </c>
      <c r="R1219">
        <v>1</v>
      </c>
      <c r="S1219">
        <v>1199</v>
      </c>
      <c r="T1219">
        <v>0.1</v>
      </c>
      <c r="U1219">
        <v>1079.0999999999999</v>
      </c>
      <c r="V1219">
        <v>550</v>
      </c>
      <c r="W1219">
        <v>529.1</v>
      </c>
      <c r="X1219" t="s">
        <v>73</v>
      </c>
      <c r="Y1219" t="s">
        <v>68</v>
      </c>
      <c r="Z1219" t="s">
        <v>159</v>
      </c>
      <c r="AA1219" t="s">
        <v>169</v>
      </c>
      <c r="AB1219">
        <v>3.3</v>
      </c>
      <c r="AC1219">
        <v>50</v>
      </c>
      <c r="AD1219">
        <v>89.74</v>
      </c>
      <c r="AE1219">
        <f t="shared" si="38"/>
        <v>389.36</v>
      </c>
      <c r="AF1219" t="str">
        <f t="shared" si="39"/>
        <v>2025-06</v>
      </c>
      <c r="AG1219">
        <f>SUBTOTAL(103,A1219)</f>
        <v>1</v>
      </c>
    </row>
    <row r="1220" spans="1:33" x14ac:dyDescent="0.3">
      <c r="A1220" t="s">
        <v>3835</v>
      </c>
      <c r="B1220" s="13">
        <v>45811</v>
      </c>
      <c r="C1220">
        <v>2025</v>
      </c>
      <c r="D1220">
        <v>6</v>
      </c>
      <c r="E1220" t="s">
        <v>3813</v>
      </c>
      <c r="F1220" t="s">
        <v>3329</v>
      </c>
      <c r="G1220" t="s">
        <v>1717</v>
      </c>
      <c r="H1220" t="s">
        <v>1718</v>
      </c>
      <c r="I1220" t="s">
        <v>85</v>
      </c>
      <c r="J1220">
        <v>21</v>
      </c>
      <c r="K1220" t="s">
        <v>80</v>
      </c>
      <c r="L1220" t="s">
        <v>2576</v>
      </c>
      <c r="M1220" t="s">
        <v>60</v>
      </c>
      <c r="N1220" t="s">
        <v>2606</v>
      </c>
      <c r="O1220" t="s">
        <v>120</v>
      </c>
      <c r="P1220" t="s">
        <v>49</v>
      </c>
      <c r="Q1220" t="s">
        <v>140</v>
      </c>
      <c r="R1220">
        <v>4</v>
      </c>
      <c r="S1220">
        <v>2799</v>
      </c>
      <c r="T1220">
        <v>0</v>
      </c>
      <c r="U1220">
        <v>11196</v>
      </c>
      <c r="V1220">
        <v>6600</v>
      </c>
      <c r="W1220">
        <v>4596</v>
      </c>
      <c r="X1220" t="s">
        <v>76</v>
      </c>
      <c r="Y1220" t="s">
        <v>70</v>
      </c>
      <c r="Z1220" t="s">
        <v>158</v>
      </c>
      <c r="AA1220" t="s">
        <v>166</v>
      </c>
      <c r="AB1220">
        <v>3.6</v>
      </c>
      <c r="AC1220">
        <v>60</v>
      </c>
      <c r="AD1220">
        <v>582.24</v>
      </c>
      <c r="AE1220">
        <f t="shared" si="38"/>
        <v>3953.76</v>
      </c>
      <c r="AF1220" t="str">
        <f t="shared" si="39"/>
        <v>2025-06</v>
      </c>
      <c r="AG1220">
        <f>SUBTOTAL(103,A1220)</f>
        <v>1</v>
      </c>
    </row>
    <row r="1221" spans="1:33" x14ac:dyDescent="0.3">
      <c r="A1221" t="s">
        <v>3836</v>
      </c>
      <c r="B1221" s="13">
        <v>45812</v>
      </c>
      <c r="C1221">
        <v>2025</v>
      </c>
      <c r="D1221">
        <v>6</v>
      </c>
      <c r="E1221" t="s">
        <v>3813</v>
      </c>
      <c r="F1221" t="s">
        <v>3329</v>
      </c>
      <c r="G1221" t="s">
        <v>1337</v>
      </c>
      <c r="H1221" t="s">
        <v>1338</v>
      </c>
      <c r="I1221" t="s">
        <v>86</v>
      </c>
      <c r="J1221">
        <v>44</v>
      </c>
      <c r="K1221" t="s">
        <v>82</v>
      </c>
      <c r="L1221" t="s">
        <v>91</v>
      </c>
      <c r="M1221" t="s">
        <v>55</v>
      </c>
      <c r="N1221" t="s">
        <v>2577</v>
      </c>
      <c r="O1221" t="s">
        <v>129</v>
      </c>
      <c r="P1221" t="s">
        <v>49</v>
      </c>
      <c r="Q1221" t="s">
        <v>149</v>
      </c>
      <c r="R1221">
        <v>2</v>
      </c>
      <c r="S1221">
        <v>1299</v>
      </c>
      <c r="T1221">
        <v>0.1</v>
      </c>
      <c r="U1221">
        <v>2338.1999999999998</v>
      </c>
      <c r="V1221">
        <v>1300</v>
      </c>
      <c r="W1221">
        <v>1038.2</v>
      </c>
      <c r="X1221" t="s">
        <v>75</v>
      </c>
      <c r="Y1221" t="s">
        <v>68</v>
      </c>
      <c r="Z1221" t="s">
        <v>162</v>
      </c>
      <c r="AA1221" t="s">
        <v>166</v>
      </c>
      <c r="AB1221">
        <v>4.5999999999999996</v>
      </c>
      <c r="AC1221">
        <v>40</v>
      </c>
      <c r="AD1221">
        <v>218.09</v>
      </c>
      <c r="AE1221">
        <f t="shared" si="38"/>
        <v>780.11</v>
      </c>
      <c r="AF1221" t="str">
        <f t="shared" si="39"/>
        <v>2025-06</v>
      </c>
      <c r="AG1221">
        <f>SUBTOTAL(103,A1221)</f>
        <v>1</v>
      </c>
    </row>
    <row r="1222" spans="1:33" x14ac:dyDescent="0.3">
      <c r="A1222" t="s">
        <v>3837</v>
      </c>
      <c r="B1222" s="13">
        <v>45812</v>
      </c>
      <c r="C1222">
        <v>2025</v>
      </c>
      <c r="D1222">
        <v>6</v>
      </c>
      <c r="E1222" t="s">
        <v>3813</v>
      </c>
      <c r="F1222" t="s">
        <v>3329</v>
      </c>
      <c r="G1222" t="s">
        <v>399</v>
      </c>
      <c r="H1222" t="s">
        <v>400</v>
      </c>
      <c r="I1222" t="s">
        <v>86</v>
      </c>
      <c r="J1222">
        <v>29</v>
      </c>
      <c r="K1222" t="s">
        <v>81</v>
      </c>
      <c r="L1222" t="s">
        <v>2679</v>
      </c>
      <c r="M1222" t="s">
        <v>60</v>
      </c>
      <c r="N1222" t="s">
        <v>2596</v>
      </c>
      <c r="O1222" t="s">
        <v>124</v>
      </c>
      <c r="P1222" t="s">
        <v>51</v>
      </c>
      <c r="Q1222" t="s">
        <v>147</v>
      </c>
      <c r="R1222">
        <v>2</v>
      </c>
      <c r="S1222">
        <v>2299</v>
      </c>
      <c r="T1222">
        <v>0.05</v>
      </c>
      <c r="U1222">
        <v>4368.1000000000004</v>
      </c>
      <c r="V1222">
        <v>2400</v>
      </c>
      <c r="W1222">
        <v>1968.1</v>
      </c>
      <c r="X1222" t="s">
        <v>73</v>
      </c>
      <c r="Y1222" t="s">
        <v>68</v>
      </c>
      <c r="Z1222" t="s">
        <v>161</v>
      </c>
      <c r="AA1222" t="s">
        <v>166</v>
      </c>
      <c r="AB1222">
        <v>4.5999999999999996</v>
      </c>
      <c r="AC1222">
        <v>40</v>
      </c>
      <c r="AD1222">
        <v>430.65</v>
      </c>
      <c r="AE1222">
        <f t="shared" si="38"/>
        <v>1497.4499999999998</v>
      </c>
      <c r="AF1222" t="str">
        <f t="shared" si="39"/>
        <v>2025-06</v>
      </c>
      <c r="AG1222">
        <f>SUBTOTAL(103,A1222)</f>
        <v>1</v>
      </c>
    </row>
    <row r="1223" spans="1:33" x14ac:dyDescent="0.3">
      <c r="A1223" t="s">
        <v>3838</v>
      </c>
      <c r="B1223" s="13">
        <v>45812</v>
      </c>
      <c r="C1223">
        <v>2025</v>
      </c>
      <c r="D1223">
        <v>6</v>
      </c>
      <c r="E1223" t="s">
        <v>3813</v>
      </c>
      <c r="F1223" t="s">
        <v>3329</v>
      </c>
      <c r="G1223" t="s">
        <v>1169</v>
      </c>
      <c r="H1223" t="s">
        <v>1170</v>
      </c>
      <c r="I1223" t="s">
        <v>85</v>
      </c>
      <c r="J1223">
        <v>47</v>
      </c>
      <c r="K1223" t="s">
        <v>83</v>
      </c>
      <c r="L1223" t="s">
        <v>2634</v>
      </c>
      <c r="M1223" t="s">
        <v>56</v>
      </c>
      <c r="N1223" t="s">
        <v>2590</v>
      </c>
      <c r="O1223" t="s">
        <v>127</v>
      </c>
      <c r="P1223" t="s">
        <v>51</v>
      </c>
      <c r="Q1223" t="s">
        <v>148</v>
      </c>
      <c r="R1223">
        <v>3</v>
      </c>
      <c r="S1223">
        <v>1599</v>
      </c>
      <c r="T1223">
        <v>0.15</v>
      </c>
      <c r="U1223">
        <v>4077.45</v>
      </c>
      <c r="V1223">
        <v>2400</v>
      </c>
      <c r="W1223">
        <v>1677.45</v>
      </c>
      <c r="X1223" t="s">
        <v>73</v>
      </c>
      <c r="Y1223" t="s">
        <v>69</v>
      </c>
      <c r="Z1223" t="s">
        <v>161</v>
      </c>
      <c r="AA1223" t="s">
        <v>166</v>
      </c>
      <c r="AB1223">
        <v>2.9</v>
      </c>
      <c r="AC1223">
        <v>60</v>
      </c>
      <c r="AD1223">
        <v>326.08</v>
      </c>
      <c r="AE1223">
        <f t="shared" si="38"/>
        <v>1291.3700000000001</v>
      </c>
      <c r="AF1223" t="str">
        <f t="shared" si="39"/>
        <v>2025-06</v>
      </c>
      <c r="AG1223">
        <f>SUBTOTAL(103,A1223)</f>
        <v>1</v>
      </c>
    </row>
    <row r="1224" spans="1:33" x14ac:dyDescent="0.3">
      <c r="A1224" t="s">
        <v>3839</v>
      </c>
      <c r="B1224" s="13">
        <v>45812</v>
      </c>
      <c r="C1224">
        <v>2025</v>
      </c>
      <c r="D1224">
        <v>6</v>
      </c>
      <c r="E1224" t="s">
        <v>3813</v>
      </c>
      <c r="F1224" t="s">
        <v>3329</v>
      </c>
      <c r="G1224" t="s">
        <v>749</v>
      </c>
      <c r="H1224" t="s">
        <v>750</v>
      </c>
      <c r="I1224" t="s">
        <v>85</v>
      </c>
      <c r="J1224">
        <v>56</v>
      </c>
      <c r="K1224" t="s">
        <v>83</v>
      </c>
      <c r="L1224" t="s">
        <v>97</v>
      </c>
      <c r="M1224" t="s">
        <v>57</v>
      </c>
      <c r="N1224" t="s">
        <v>2601</v>
      </c>
      <c r="O1224" t="s">
        <v>117</v>
      </c>
      <c r="P1224" t="s">
        <v>49</v>
      </c>
      <c r="Q1224" t="s">
        <v>139</v>
      </c>
      <c r="R1224">
        <v>4</v>
      </c>
      <c r="S1224">
        <v>6999</v>
      </c>
      <c r="T1224">
        <v>0.05</v>
      </c>
      <c r="U1224">
        <v>26596.2</v>
      </c>
      <c r="V1224">
        <v>17200</v>
      </c>
      <c r="W1224">
        <v>9396.2000000000007</v>
      </c>
      <c r="X1224" t="s">
        <v>76</v>
      </c>
      <c r="Y1224" t="s">
        <v>68</v>
      </c>
      <c r="Z1224" t="s">
        <v>159</v>
      </c>
      <c r="AA1224" t="s">
        <v>169</v>
      </c>
      <c r="AB1224">
        <v>4.0999999999999996</v>
      </c>
      <c r="AC1224">
        <v>60</v>
      </c>
      <c r="AD1224">
        <v>3098.12</v>
      </c>
      <c r="AE1224">
        <f t="shared" si="38"/>
        <v>6238.0800000000008</v>
      </c>
      <c r="AF1224" t="str">
        <f t="shared" si="39"/>
        <v>2025-06</v>
      </c>
      <c r="AG1224">
        <f>SUBTOTAL(103,A1224)</f>
        <v>1</v>
      </c>
    </row>
    <row r="1225" spans="1:33" x14ac:dyDescent="0.3">
      <c r="A1225" t="s">
        <v>3840</v>
      </c>
      <c r="B1225" s="13">
        <v>45812</v>
      </c>
      <c r="C1225">
        <v>2025</v>
      </c>
      <c r="D1225">
        <v>6</v>
      </c>
      <c r="E1225" t="s">
        <v>3813</v>
      </c>
      <c r="F1225" t="s">
        <v>3329</v>
      </c>
      <c r="G1225" t="s">
        <v>205</v>
      </c>
      <c r="H1225" t="s">
        <v>206</v>
      </c>
      <c r="I1225" t="s">
        <v>86</v>
      </c>
      <c r="J1225">
        <v>39</v>
      </c>
      <c r="K1225" t="s">
        <v>82</v>
      </c>
      <c r="L1225" t="s">
        <v>92</v>
      </c>
      <c r="M1225" t="s">
        <v>59</v>
      </c>
      <c r="N1225" t="s">
        <v>2647</v>
      </c>
      <c r="O1225" t="s">
        <v>133</v>
      </c>
      <c r="P1225" t="s">
        <v>50</v>
      </c>
      <c r="Q1225" t="s">
        <v>145</v>
      </c>
      <c r="R1225">
        <v>1</v>
      </c>
      <c r="S1225">
        <v>799</v>
      </c>
      <c r="T1225">
        <v>0.1</v>
      </c>
      <c r="U1225">
        <v>0</v>
      </c>
      <c r="V1225">
        <v>0</v>
      </c>
      <c r="W1225">
        <v>0</v>
      </c>
      <c r="X1225" t="s">
        <v>77</v>
      </c>
      <c r="Y1225" t="s">
        <v>71</v>
      </c>
      <c r="Z1225" t="s">
        <v>159</v>
      </c>
      <c r="AA1225" t="s">
        <v>166</v>
      </c>
      <c r="AB1225">
        <v>3.4</v>
      </c>
      <c r="AC1225">
        <v>50</v>
      </c>
      <c r="AD1225">
        <v>82.52</v>
      </c>
      <c r="AE1225">
        <f t="shared" si="38"/>
        <v>-132.51999999999998</v>
      </c>
      <c r="AF1225" t="str">
        <f t="shared" si="39"/>
        <v>2025-06</v>
      </c>
      <c r="AG1225">
        <f>SUBTOTAL(103,A1225)</f>
        <v>1</v>
      </c>
    </row>
    <row r="1226" spans="1:33" x14ac:dyDescent="0.3">
      <c r="A1226" t="s">
        <v>3841</v>
      </c>
      <c r="B1226" s="13">
        <v>45812</v>
      </c>
      <c r="C1226">
        <v>2025</v>
      </c>
      <c r="D1226">
        <v>6</v>
      </c>
      <c r="E1226" t="s">
        <v>3813</v>
      </c>
      <c r="F1226" t="s">
        <v>3329</v>
      </c>
      <c r="G1226" t="s">
        <v>399</v>
      </c>
      <c r="H1226" t="s">
        <v>400</v>
      </c>
      <c r="I1226" t="s">
        <v>86</v>
      </c>
      <c r="J1226">
        <v>29</v>
      </c>
      <c r="K1226" t="s">
        <v>81</v>
      </c>
      <c r="L1226" t="s">
        <v>2679</v>
      </c>
      <c r="M1226" t="s">
        <v>60</v>
      </c>
      <c r="N1226" t="s">
        <v>2603</v>
      </c>
      <c r="O1226" t="s">
        <v>122</v>
      </c>
      <c r="P1226" t="s">
        <v>48</v>
      </c>
      <c r="Q1226" t="s">
        <v>141</v>
      </c>
      <c r="R1226">
        <v>5</v>
      </c>
      <c r="S1226">
        <v>2499</v>
      </c>
      <c r="T1226">
        <v>0.05</v>
      </c>
      <c r="U1226">
        <v>11870.25</v>
      </c>
      <c r="V1226">
        <v>7250</v>
      </c>
      <c r="W1226">
        <v>4620.25</v>
      </c>
      <c r="X1226" t="s">
        <v>74</v>
      </c>
      <c r="Y1226" t="s">
        <v>68</v>
      </c>
      <c r="Z1226" t="s">
        <v>160</v>
      </c>
      <c r="AA1226" t="s">
        <v>168</v>
      </c>
      <c r="AB1226">
        <v>3.2</v>
      </c>
      <c r="AC1226">
        <v>80</v>
      </c>
      <c r="AD1226">
        <v>1338.99</v>
      </c>
      <c r="AE1226">
        <f t="shared" si="38"/>
        <v>3201.26</v>
      </c>
      <c r="AF1226" t="str">
        <f t="shared" si="39"/>
        <v>2025-06</v>
      </c>
      <c r="AG1226">
        <f>SUBTOTAL(103,A1226)</f>
        <v>1</v>
      </c>
    </row>
    <row r="1227" spans="1:33" x14ac:dyDescent="0.3">
      <c r="A1227" t="s">
        <v>3842</v>
      </c>
      <c r="B1227" s="13">
        <v>45812</v>
      </c>
      <c r="C1227">
        <v>2025</v>
      </c>
      <c r="D1227">
        <v>6</v>
      </c>
      <c r="E1227" t="s">
        <v>3813</v>
      </c>
      <c r="F1227" t="s">
        <v>3329</v>
      </c>
      <c r="G1227" t="s">
        <v>463</v>
      </c>
      <c r="H1227" t="s">
        <v>464</v>
      </c>
      <c r="I1227" t="s">
        <v>86</v>
      </c>
      <c r="J1227">
        <v>40</v>
      </c>
      <c r="K1227" t="s">
        <v>82</v>
      </c>
      <c r="L1227" t="s">
        <v>100</v>
      </c>
      <c r="M1227" t="s">
        <v>56</v>
      </c>
      <c r="N1227" t="s">
        <v>2606</v>
      </c>
      <c r="O1227" t="s">
        <v>120</v>
      </c>
      <c r="P1227" t="s">
        <v>49</v>
      </c>
      <c r="Q1227" t="s">
        <v>140</v>
      </c>
      <c r="R1227">
        <v>2</v>
      </c>
      <c r="S1227">
        <v>2799</v>
      </c>
      <c r="T1227">
        <v>0.15</v>
      </c>
      <c r="U1227">
        <v>4758.3</v>
      </c>
      <c r="V1227">
        <v>3300</v>
      </c>
      <c r="W1227">
        <v>1458.3</v>
      </c>
      <c r="X1227" t="s">
        <v>76</v>
      </c>
      <c r="Y1227" t="s">
        <v>68</v>
      </c>
      <c r="Z1227" t="s">
        <v>162</v>
      </c>
      <c r="AA1227" t="s">
        <v>171</v>
      </c>
      <c r="AB1227">
        <v>5</v>
      </c>
      <c r="AC1227">
        <v>60</v>
      </c>
      <c r="AD1227">
        <v>135.58000000000001</v>
      </c>
      <c r="AE1227">
        <f t="shared" si="38"/>
        <v>1262.72</v>
      </c>
      <c r="AF1227" t="str">
        <f t="shared" si="39"/>
        <v>2025-06</v>
      </c>
      <c r="AG1227">
        <f>SUBTOTAL(103,A1227)</f>
        <v>1</v>
      </c>
    </row>
    <row r="1228" spans="1:33" x14ac:dyDescent="0.3">
      <c r="A1228" t="s">
        <v>3843</v>
      </c>
      <c r="B1228" s="13">
        <v>45812</v>
      </c>
      <c r="C1228">
        <v>2025</v>
      </c>
      <c r="D1228">
        <v>6</v>
      </c>
      <c r="E1228" t="s">
        <v>3813</v>
      </c>
      <c r="F1228" t="s">
        <v>3329</v>
      </c>
      <c r="G1228" t="s">
        <v>233</v>
      </c>
      <c r="H1228" t="s">
        <v>234</v>
      </c>
      <c r="I1228" t="s">
        <v>86</v>
      </c>
      <c r="J1228">
        <v>55</v>
      </c>
      <c r="K1228" t="s">
        <v>83</v>
      </c>
      <c r="L1228" t="s">
        <v>90</v>
      </c>
      <c r="M1228" t="s">
        <v>55</v>
      </c>
      <c r="N1228" t="s">
        <v>2587</v>
      </c>
      <c r="O1228" t="s">
        <v>116</v>
      </c>
      <c r="P1228" t="s">
        <v>48</v>
      </c>
      <c r="Q1228" t="s">
        <v>138</v>
      </c>
      <c r="R1228">
        <v>3</v>
      </c>
      <c r="S1228">
        <v>14999</v>
      </c>
      <c r="T1228">
        <v>0.1</v>
      </c>
      <c r="U1228">
        <v>40497.300000000003</v>
      </c>
      <c r="V1228">
        <v>33600</v>
      </c>
      <c r="W1228">
        <v>6897.3</v>
      </c>
      <c r="X1228" t="s">
        <v>73</v>
      </c>
      <c r="Y1228" t="s">
        <v>68</v>
      </c>
      <c r="Z1228" t="s">
        <v>158</v>
      </c>
      <c r="AA1228" t="s">
        <v>166</v>
      </c>
      <c r="AB1228">
        <v>4.7</v>
      </c>
      <c r="AC1228">
        <v>50</v>
      </c>
      <c r="AD1228">
        <v>3456.49</v>
      </c>
      <c r="AE1228">
        <f t="shared" si="38"/>
        <v>3390.8100000000004</v>
      </c>
      <c r="AF1228" t="str">
        <f t="shared" si="39"/>
        <v>2025-06</v>
      </c>
      <c r="AG1228">
        <f>SUBTOTAL(103,A1228)</f>
        <v>1</v>
      </c>
    </row>
    <row r="1229" spans="1:33" x14ac:dyDescent="0.3">
      <c r="A1229" t="s">
        <v>3844</v>
      </c>
      <c r="B1229" s="13">
        <v>45812</v>
      </c>
      <c r="C1229">
        <v>2025</v>
      </c>
      <c r="D1229">
        <v>6</v>
      </c>
      <c r="E1229" t="s">
        <v>3813</v>
      </c>
      <c r="F1229" t="s">
        <v>3329</v>
      </c>
      <c r="G1229" t="s">
        <v>1373</v>
      </c>
      <c r="H1229" t="s">
        <v>1374</v>
      </c>
      <c r="I1229" t="s">
        <v>86</v>
      </c>
      <c r="J1229">
        <v>33</v>
      </c>
      <c r="K1229" t="s">
        <v>81</v>
      </c>
      <c r="L1229" t="s">
        <v>2573</v>
      </c>
      <c r="M1229" t="s">
        <v>63</v>
      </c>
      <c r="N1229" t="s">
        <v>2596</v>
      </c>
      <c r="O1229" t="s">
        <v>124</v>
      </c>
      <c r="P1229" t="s">
        <v>51</v>
      </c>
      <c r="Q1229" t="s">
        <v>147</v>
      </c>
      <c r="R1229">
        <v>3</v>
      </c>
      <c r="S1229">
        <v>2299</v>
      </c>
      <c r="T1229">
        <v>0.05</v>
      </c>
      <c r="U1229">
        <v>6552.15</v>
      </c>
      <c r="V1229">
        <v>3600</v>
      </c>
      <c r="W1229">
        <v>2952.15</v>
      </c>
      <c r="X1229" t="s">
        <v>73</v>
      </c>
      <c r="Y1229" t="s">
        <v>68</v>
      </c>
      <c r="Z1229" t="s">
        <v>159</v>
      </c>
      <c r="AA1229" t="s">
        <v>166</v>
      </c>
      <c r="AB1229">
        <v>4.0999999999999996</v>
      </c>
      <c r="AC1229">
        <v>60</v>
      </c>
      <c r="AD1229">
        <v>201.85</v>
      </c>
      <c r="AE1229">
        <f t="shared" si="38"/>
        <v>2690.3</v>
      </c>
      <c r="AF1229" t="str">
        <f t="shared" si="39"/>
        <v>2025-06</v>
      </c>
      <c r="AG1229">
        <f>SUBTOTAL(103,A1229)</f>
        <v>1</v>
      </c>
    </row>
    <row r="1230" spans="1:33" x14ac:dyDescent="0.3">
      <c r="A1230" t="s">
        <v>3845</v>
      </c>
      <c r="B1230" s="13">
        <v>45813</v>
      </c>
      <c r="C1230">
        <v>2025</v>
      </c>
      <c r="D1230">
        <v>6</v>
      </c>
      <c r="E1230" t="s">
        <v>3813</v>
      </c>
      <c r="F1230" t="s">
        <v>3329</v>
      </c>
      <c r="G1230" t="s">
        <v>537</v>
      </c>
      <c r="H1230" t="s">
        <v>538</v>
      </c>
      <c r="I1230" t="s">
        <v>86</v>
      </c>
      <c r="J1230">
        <v>34</v>
      </c>
      <c r="K1230" t="s">
        <v>81</v>
      </c>
      <c r="L1230" t="s">
        <v>96</v>
      </c>
      <c r="M1230" t="s">
        <v>55</v>
      </c>
      <c r="N1230" t="s">
        <v>2630</v>
      </c>
      <c r="O1230" t="s">
        <v>123</v>
      </c>
      <c r="P1230" t="s">
        <v>52</v>
      </c>
      <c r="Q1230" t="s">
        <v>146</v>
      </c>
      <c r="R1230">
        <v>1</v>
      </c>
      <c r="S1230">
        <v>2499</v>
      </c>
      <c r="T1230">
        <v>0.15</v>
      </c>
      <c r="U1230">
        <v>2124.15</v>
      </c>
      <c r="V1230">
        <v>1400</v>
      </c>
      <c r="W1230">
        <v>724.15</v>
      </c>
      <c r="X1230" t="s">
        <v>73</v>
      </c>
      <c r="Y1230" t="s">
        <v>68</v>
      </c>
      <c r="Z1230" t="s">
        <v>163</v>
      </c>
      <c r="AA1230" t="s">
        <v>166</v>
      </c>
      <c r="AB1230">
        <v>4.7</v>
      </c>
      <c r="AC1230">
        <v>60</v>
      </c>
      <c r="AD1230">
        <v>130.76</v>
      </c>
      <c r="AE1230">
        <f t="shared" si="38"/>
        <v>533.39</v>
      </c>
      <c r="AF1230" t="str">
        <f t="shared" si="39"/>
        <v>2025-06</v>
      </c>
      <c r="AG1230">
        <f>SUBTOTAL(103,A1230)</f>
        <v>1</v>
      </c>
    </row>
    <row r="1231" spans="1:33" x14ac:dyDescent="0.3">
      <c r="A1231" t="s">
        <v>3846</v>
      </c>
      <c r="B1231" s="13">
        <v>45813</v>
      </c>
      <c r="C1231">
        <v>2025</v>
      </c>
      <c r="D1231">
        <v>6</v>
      </c>
      <c r="E1231" t="s">
        <v>3813</v>
      </c>
      <c r="F1231" t="s">
        <v>3329</v>
      </c>
      <c r="G1231" t="s">
        <v>387</v>
      </c>
      <c r="H1231" t="s">
        <v>388</v>
      </c>
      <c r="I1231" t="s">
        <v>86</v>
      </c>
      <c r="J1231">
        <v>30</v>
      </c>
      <c r="K1231" t="s">
        <v>81</v>
      </c>
      <c r="L1231" t="s">
        <v>2579</v>
      </c>
      <c r="M1231" t="s">
        <v>56</v>
      </c>
      <c r="N1231" t="s">
        <v>2626</v>
      </c>
      <c r="O1231" t="s">
        <v>125</v>
      </c>
      <c r="P1231" t="s">
        <v>48</v>
      </c>
      <c r="Q1231" t="s">
        <v>141</v>
      </c>
      <c r="R1231">
        <v>2</v>
      </c>
      <c r="S1231">
        <v>1999</v>
      </c>
      <c r="T1231">
        <v>0.05</v>
      </c>
      <c r="U1231">
        <v>3798.1</v>
      </c>
      <c r="V1231">
        <v>2300</v>
      </c>
      <c r="W1231">
        <v>1498.1</v>
      </c>
      <c r="X1231" t="s">
        <v>75</v>
      </c>
      <c r="Y1231" t="s">
        <v>68</v>
      </c>
      <c r="Z1231" t="s">
        <v>161</v>
      </c>
      <c r="AA1231" t="s">
        <v>168</v>
      </c>
      <c r="AB1231">
        <v>3.5</v>
      </c>
      <c r="AC1231">
        <v>60</v>
      </c>
      <c r="AD1231">
        <v>341.31</v>
      </c>
      <c r="AE1231">
        <f t="shared" si="38"/>
        <v>1096.79</v>
      </c>
      <c r="AF1231" t="str">
        <f t="shared" si="39"/>
        <v>2025-06</v>
      </c>
      <c r="AG1231">
        <f>SUBTOTAL(103,A1231)</f>
        <v>1</v>
      </c>
    </row>
    <row r="1232" spans="1:33" x14ac:dyDescent="0.3">
      <c r="A1232" t="s">
        <v>3847</v>
      </c>
      <c r="B1232" s="13">
        <v>45813</v>
      </c>
      <c r="C1232">
        <v>2025</v>
      </c>
      <c r="D1232">
        <v>6</v>
      </c>
      <c r="E1232" t="s">
        <v>3813</v>
      </c>
      <c r="F1232" t="s">
        <v>3329</v>
      </c>
      <c r="G1232" t="s">
        <v>1377</v>
      </c>
      <c r="H1232" t="s">
        <v>1378</v>
      </c>
      <c r="I1232" t="s">
        <v>86</v>
      </c>
      <c r="J1232">
        <v>32</v>
      </c>
      <c r="K1232" t="s">
        <v>81</v>
      </c>
      <c r="L1232" t="s">
        <v>2646</v>
      </c>
      <c r="M1232" t="s">
        <v>63</v>
      </c>
      <c r="N1232" t="s">
        <v>2665</v>
      </c>
      <c r="O1232" t="s">
        <v>128</v>
      </c>
      <c r="P1232" t="s">
        <v>53</v>
      </c>
      <c r="Q1232" t="s">
        <v>143</v>
      </c>
      <c r="R1232">
        <v>2</v>
      </c>
      <c r="S1232">
        <v>1499</v>
      </c>
      <c r="T1232">
        <v>0.05</v>
      </c>
      <c r="U1232">
        <v>2848.1</v>
      </c>
      <c r="V1232">
        <v>1600</v>
      </c>
      <c r="W1232">
        <v>1248.0999999999999</v>
      </c>
      <c r="X1232" t="s">
        <v>76</v>
      </c>
      <c r="Y1232" t="s">
        <v>68</v>
      </c>
      <c r="Z1232" t="s">
        <v>162</v>
      </c>
      <c r="AA1232" t="s">
        <v>171</v>
      </c>
      <c r="AB1232">
        <v>5</v>
      </c>
      <c r="AC1232">
        <v>100</v>
      </c>
      <c r="AD1232">
        <v>235.25</v>
      </c>
      <c r="AE1232">
        <f t="shared" si="38"/>
        <v>912.84999999999991</v>
      </c>
      <c r="AF1232" t="str">
        <f t="shared" si="39"/>
        <v>2025-06</v>
      </c>
      <c r="AG1232">
        <f>SUBTOTAL(103,A1232)</f>
        <v>1</v>
      </c>
    </row>
    <row r="1233" spans="1:33" x14ac:dyDescent="0.3">
      <c r="A1233" t="s">
        <v>3848</v>
      </c>
      <c r="B1233" s="13">
        <v>45813</v>
      </c>
      <c r="C1233">
        <v>2025</v>
      </c>
      <c r="D1233">
        <v>6</v>
      </c>
      <c r="E1233" t="s">
        <v>3813</v>
      </c>
      <c r="F1233" t="s">
        <v>3329</v>
      </c>
      <c r="G1233" t="s">
        <v>949</v>
      </c>
      <c r="H1233" t="s">
        <v>950</v>
      </c>
      <c r="I1233" t="s">
        <v>86</v>
      </c>
      <c r="J1233">
        <v>30</v>
      </c>
      <c r="K1233" t="s">
        <v>81</v>
      </c>
      <c r="L1233" t="s">
        <v>2690</v>
      </c>
      <c r="M1233" t="s">
        <v>63</v>
      </c>
      <c r="N1233" t="s">
        <v>2582</v>
      </c>
      <c r="O1233" t="s">
        <v>119</v>
      </c>
      <c r="P1233" t="s">
        <v>49</v>
      </c>
      <c r="Q1233" t="s">
        <v>140</v>
      </c>
      <c r="R1233">
        <v>4</v>
      </c>
      <c r="S1233">
        <v>3499</v>
      </c>
      <c r="T1233">
        <v>0.15</v>
      </c>
      <c r="U1233">
        <v>11896.6</v>
      </c>
      <c r="V1233">
        <v>8400</v>
      </c>
      <c r="W1233">
        <v>3496.6</v>
      </c>
      <c r="X1233" t="s">
        <v>73</v>
      </c>
      <c r="Y1233" t="s">
        <v>68</v>
      </c>
      <c r="Z1233" t="s">
        <v>158</v>
      </c>
      <c r="AA1233" t="s">
        <v>166</v>
      </c>
      <c r="AB1233">
        <v>3.9</v>
      </c>
      <c r="AC1233">
        <v>80</v>
      </c>
      <c r="AD1233">
        <v>767.41</v>
      </c>
      <c r="AE1233">
        <f t="shared" si="38"/>
        <v>2649.19</v>
      </c>
      <c r="AF1233" t="str">
        <f t="shared" si="39"/>
        <v>2025-06</v>
      </c>
      <c r="AG1233">
        <f>SUBTOTAL(103,A1233)</f>
        <v>1</v>
      </c>
    </row>
    <row r="1234" spans="1:33" x14ac:dyDescent="0.3">
      <c r="A1234" t="s">
        <v>3849</v>
      </c>
      <c r="B1234" s="13">
        <v>45813</v>
      </c>
      <c r="C1234">
        <v>2025</v>
      </c>
      <c r="D1234">
        <v>6</v>
      </c>
      <c r="E1234" t="s">
        <v>3813</v>
      </c>
      <c r="F1234" t="s">
        <v>3329</v>
      </c>
      <c r="G1234" t="s">
        <v>1405</v>
      </c>
      <c r="H1234" t="s">
        <v>1406</v>
      </c>
      <c r="I1234" t="s">
        <v>85</v>
      </c>
      <c r="J1234">
        <v>51</v>
      </c>
      <c r="K1234" t="s">
        <v>83</v>
      </c>
      <c r="L1234" t="s">
        <v>2646</v>
      </c>
      <c r="M1234" t="s">
        <v>63</v>
      </c>
      <c r="N1234" t="s">
        <v>2574</v>
      </c>
      <c r="O1234" t="s">
        <v>130</v>
      </c>
      <c r="P1234" t="s">
        <v>50</v>
      </c>
      <c r="Q1234" t="s">
        <v>53</v>
      </c>
      <c r="R1234">
        <v>1</v>
      </c>
      <c r="S1234">
        <v>1199</v>
      </c>
      <c r="T1234">
        <v>0.15</v>
      </c>
      <c r="U1234">
        <v>1019.15</v>
      </c>
      <c r="V1234">
        <v>550</v>
      </c>
      <c r="W1234">
        <v>469.15</v>
      </c>
      <c r="X1234" t="s">
        <v>76</v>
      </c>
      <c r="Y1234" t="s">
        <v>68</v>
      </c>
      <c r="Z1234" t="s">
        <v>163</v>
      </c>
      <c r="AA1234" t="s">
        <v>166</v>
      </c>
      <c r="AB1234">
        <v>3.7</v>
      </c>
      <c r="AC1234">
        <v>80</v>
      </c>
      <c r="AD1234">
        <v>90.58</v>
      </c>
      <c r="AE1234">
        <f t="shared" si="38"/>
        <v>298.57</v>
      </c>
      <c r="AF1234" t="str">
        <f t="shared" si="39"/>
        <v>2025-06</v>
      </c>
      <c r="AG1234">
        <f>SUBTOTAL(103,A1234)</f>
        <v>1</v>
      </c>
    </row>
    <row r="1235" spans="1:33" x14ac:dyDescent="0.3">
      <c r="A1235" t="s">
        <v>3850</v>
      </c>
      <c r="B1235" s="13">
        <v>45813</v>
      </c>
      <c r="C1235">
        <v>2025</v>
      </c>
      <c r="D1235">
        <v>6</v>
      </c>
      <c r="E1235" t="s">
        <v>3813</v>
      </c>
      <c r="F1235" t="s">
        <v>3329</v>
      </c>
      <c r="G1235" t="s">
        <v>873</v>
      </c>
      <c r="H1235" t="s">
        <v>874</v>
      </c>
      <c r="I1235" t="s">
        <v>85</v>
      </c>
      <c r="J1235">
        <v>31</v>
      </c>
      <c r="K1235" t="s">
        <v>81</v>
      </c>
      <c r="L1235" t="s">
        <v>93</v>
      </c>
      <c r="M1235" t="s">
        <v>55</v>
      </c>
      <c r="N1235" t="s">
        <v>2644</v>
      </c>
      <c r="O1235" t="s">
        <v>126</v>
      </c>
      <c r="P1235" t="s">
        <v>50</v>
      </c>
      <c r="Q1235" t="s">
        <v>145</v>
      </c>
      <c r="R1235">
        <v>1</v>
      </c>
      <c r="S1235">
        <v>1799</v>
      </c>
      <c r="T1235">
        <v>0.05</v>
      </c>
      <c r="U1235">
        <v>1709.05</v>
      </c>
      <c r="V1235">
        <v>950</v>
      </c>
      <c r="W1235">
        <v>759.05</v>
      </c>
      <c r="X1235" t="s">
        <v>77</v>
      </c>
      <c r="Y1235" t="s">
        <v>68</v>
      </c>
      <c r="Z1235" t="s">
        <v>161</v>
      </c>
      <c r="AA1235" t="s">
        <v>166</v>
      </c>
      <c r="AB1235">
        <v>4.9000000000000004</v>
      </c>
      <c r="AC1235">
        <v>50</v>
      </c>
      <c r="AD1235">
        <v>195.03</v>
      </c>
      <c r="AE1235">
        <f t="shared" si="38"/>
        <v>514.02</v>
      </c>
      <c r="AF1235" t="str">
        <f t="shared" si="39"/>
        <v>2025-06</v>
      </c>
      <c r="AG1235">
        <f>SUBTOTAL(103,A1235)</f>
        <v>1</v>
      </c>
    </row>
    <row r="1236" spans="1:33" x14ac:dyDescent="0.3">
      <c r="A1236" t="s">
        <v>3851</v>
      </c>
      <c r="B1236" s="13">
        <v>45813</v>
      </c>
      <c r="C1236">
        <v>2025</v>
      </c>
      <c r="D1236">
        <v>6</v>
      </c>
      <c r="E1236" t="s">
        <v>3813</v>
      </c>
      <c r="F1236" t="s">
        <v>3329</v>
      </c>
      <c r="G1236" t="s">
        <v>1653</v>
      </c>
      <c r="H1236" t="s">
        <v>1654</v>
      </c>
      <c r="I1236" t="s">
        <v>85</v>
      </c>
      <c r="J1236">
        <v>25</v>
      </c>
      <c r="K1236" t="s">
        <v>80</v>
      </c>
      <c r="L1236" t="s">
        <v>2623</v>
      </c>
      <c r="M1236" t="s">
        <v>61</v>
      </c>
      <c r="N1236" t="s">
        <v>2601</v>
      </c>
      <c r="O1236" t="s">
        <v>117</v>
      </c>
      <c r="P1236" t="s">
        <v>49</v>
      </c>
      <c r="Q1236" t="s">
        <v>139</v>
      </c>
      <c r="R1236">
        <v>1</v>
      </c>
      <c r="S1236">
        <v>6999</v>
      </c>
      <c r="T1236">
        <v>0</v>
      </c>
      <c r="U1236">
        <v>6999</v>
      </c>
      <c r="V1236">
        <v>4300</v>
      </c>
      <c r="W1236">
        <v>2699</v>
      </c>
      <c r="X1236" t="s">
        <v>75</v>
      </c>
      <c r="Y1236" t="s">
        <v>69</v>
      </c>
      <c r="Z1236" t="s">
        <v>158</v>
      </c>
      <c r="AA1236" t="s">
        <v>166</v>
      </c>
      <c r="AB1236">
        <v>3.6</v>
      </c>
      <c r="AC1236">
        <v>80</v>
      </c>
      <c r="AD1236">
        <v>497.33</v>
      </c>
      <c r="AE1236">
        <f t="shared" si="38"/>
        <v>2121.67</v>
      </c>
      <c r="AF1236" t="str">
        <f t="shared" si="39"/>
        <v>2025-06</v>
      </c>
      <c r="AG1236">
        <f>SUBTOTAL(103,A1236)</f>
        <v>1</v>
      </c>
    </row>
    <row r="1237" spans="1:33" x14ac:dyDescent="0.3">
      <c r="A1237" t="s">
        <v>3852</v>
      </c>
      <c r="B1237" s="13">
        <v>45814</v>
      </c>
      <c r="C1237">
        <v>2025</v>
      </c>
      <c r="D1237">
        <v>6</v>
      </c>
      <c r="E1237" t="s">
        <v>3813</v>
      </c>
      <c r="F1237" t="s">
        <v>3329</v>
      </c>
      <c r="G1237" t="s">
        <v>885</v>
      </c>
      <c r="H1237" t="s">
        <v>886</v>
      </c>
      <c r="I1237" t="s">
        <v>86</v>
      </c>
      <c r="J1237">
        <v>28</v>
      </c>
      <c r="K1237" t="s">
        <v>81</v>
      </c>
      <c r="L1237" t="s">
        <v>2623</v>
      </c>
      <c r="M1237" t="s">
        <v>61</v>
      </c>
      <c r="N1237" t="s">
        <v>2594</v>
      </c>
      <c r="O1237" t="s">
        <v>131</v>
      </c>
      <c r="P1237" t="s">
        <v>53</v>
      </c>
      <c r="Q1237" t="s">
        <v>143</v>
      </c>
      <c r="R1237">
        <v>4</v>
      </c>
      <c r="S1237">
        <v>999</v>
      </c>
      <c r="T1237">
        <v>0</v>
      </c>
      <c r="U1237">
        <v>3996</v>
      </c>
      <c r="V1237">
        <v>2080</v>
      </c>
      <c r="W1237">
        <v>1916</v>
      </c>
      <c r="X1237" t="s">
        <v>76</v>
      </c>
      <c r="Y1237" t="s">
        <v>68</v>
      </c>
      <c r="Z1237" t="s">
        <v>162</v>
      </c>
      <c r="AA1237" t="s">
        <v>169</v>
      </c>
      <c r="AB1237">
        <v>3.7</v>
      </c>
      <c r="AC1237">
        <v>60</v>
      </c>
      <c r="AD1237">
        <v>407.11</v>
      </c>
      <c r="AE1237">
        <f t="shared" si="38"/>
        <v>1448.8899999999999</v>
      </c>
      <c r="AF1237" t="str">
        <f t="shared" si="39"/>
        <v>2025-06</v>
      </c>
      <c r="AG1237">
        <f>SUBTOTAL(103,A1237)</f>
        <v>1</v>
      </c>
    </row>
    <row r="1238" spans="1:33" x14ac:dyDescent="0.3">
      <c r="A1238" t="s">
        <v>3853</v>
      </c>
      <c r="B1238" s="13">
        <v>45814</v>
      </c>
      <c r="C1238">
        <v>2025</v>
      </c>
      <c r="D1238">
        <v>6</v>
      </c>
      <c r="E1238" t="s">
        <v>3813</v>
      </c>
      <c r="F1238" t="s">
        <v>3329</v>
      </c>
      <c r="G1238" t="s">
        <v>1067</v>
      </c>
      <c r="H1238" t="s">
        <v>1068</v>
      </c>
      <c r="I1238" t="s">
        <v>86</v>
      </c>
      <c r="J1238">
        <v>19</v>
      </c>
      <c r="K1238" t="s">
        <v>80</v>
      </c>
      <c r="L1238" t="s">
        <v>2661</v>
      </c>
      <c r="M1238" t="s">
        <v>58</v>
      </c>
      <c r="N1238" t="s">
        <v>2584</v>
      </c>
      <c r="O1238" t="s">
        <v>121</v>
      </c>
      <c r="P1238" t="s">
        <v>50</v>
      </c>
      <c r="Q1238" t="s">
        <v>144</v>
      </c>
      <c r="R1238">
        <v>1</v>
      </c>
      <c r="S1238">
        <v>2999</v>
      </c>
      <c r="T1238">
        <v>0.25</v>
      </c>
      <c r="U1238">
        <v>2249.25</v>
      </c>
      <c r="V1238">
        <v>1700</v>
      </c>
      <c r="W1238">
        <v>549.25</v>
      </c>
      <c r="X1238" t="s">
        <v>74</v>
      </c>
      <c r="Y1238" t="s">
        <v>68</v>
      </c>
      <c r="Z1238" t="s">
        <v>160</v>
      </c>
      <c r="AA1238" t="s">
        <v>170</v>
      </c>
      <c r="AB1238">
        <v>4.5999999999999996</v>
      </c>
      <c r="AC1238">
        <v>60</v>
      </c>
      <c r="AD1238">
        <v>246.2</v>
      </c>
      <c r="AE1238">
        <f t="shared" si="38"/>
        <v>243.05</v>
      </c>
      <c r="AF1238" t="str">
        <f t="shared" si="39"/>
        <v>2025-06</v>
      </c>
      <c r="AG1238">
        <f>SUBTOTAL(103,A1238)</f>
        <v>1</v>
      </c>
    </row>
    <row r="1239" spans="1:33" x14ac:dyDescent="0.3">
      <c r="A1239" t="s">
        <v>3854</v>
      </c>
      <c r="B1239" s="13">
        <v>45814</v>
      </c>
      <c r="C1239">
        <v>2025</v>
      </c>
      <c r="D1239">
        <v>6</v>
      </c>
      <c r="E1239" t="s">
        <v>3813</v>
      </c>
      <c r="F1239" t="s">
        <v>3329</v>
      </c>
      <c r="G1239" t="s">
        <v>1411</v>
      </c>
      <c r="H1239" t="s">
        <v>1412</v>
      </c>
      <c r="I1239" t="s">
        <v>86</v>
      </c>
      <c r="J1239">
        <v>60</v>
      </c>
      <c r="K1239" t="s">
        <v>83</v>
      </c>
      <c r="L1239" t="s">
        <v>2576</v>
      </c>
      <c r="M1239" t="s">
        <v>60</v>
      </c>
      <c r="N1239" t="s">
        <v>2606</v>
      </c>
      <c r="O1239" t="s">
        <v>120</v>
      </c>
      <c r="P1239" t="s">
        <v>49</v>
      </c>
      <c r="Q1239" t="s">
        <v>140</v>
      </c>
      <c r="R1239">
        <v>2</v>
      </c>
      <c r="S1239">
        <v>2799</v>
      </c>
      <c r="T1239">
        <v>0.15</v>
      </c>
      <c r="U1239">
        <v>4758.3</v>
      </c>
      <c r="V1239">
        <v>3300</v>
      </c>
      <c r="W1239">
        <v>1458.3</v>
      </c>
      <c r="X1239" t="s">
        <v>73</v>
      </c>
      <c r="Y1239" t="s">
        <v>68</v>
      </c>
      <c r="Z1239" t="s">
        <v>158</v>
      </c>
      <c r="AA1239" t="s">
        <v>167</v>
      </c>
      <c r="AB1239">
        <v>4.4000000000000004</v>
      </c>
      <c r="AC1239">
        <v>60</v>
      </c>
      <c r="AD1239">
        <v>204.49</v>
      </c>
      <c r="AE1239">
        <f t="shared" si="38"/>
        <v>1193.81</v>
      </c>
      <c r="AF1239" t="str">
        <f t="shared" si="39"/>
        <v>2025-06</v>
      </c>
      <c r="AG1239">
        <f>SUBTOTAL(103,A1239)</f>
        <v>1</v>
      </c>
    </row>
    <row r="1240" spans="1:33" x14ac:dyDescent="0.3">
      <c r="A1240" t="s">
        <v>3855</v>
      </c>
      <c r="B1240" s="13">
        <v>45814</v>
      </c>
      <c r="C1240">
        <v>2025</v>
      </c>
      <c r="D1240">
        <v>6</v>
      </c>
      <c r="E1240" t="s">
        <v>3813</v>
      </c>
      <c r="F1240" t="s">
        <v>3329</v>
      </c>
      <c r="G1240" t="s">
        <v>1349</v>
      </c>
      <c r="H1240" t="s">
        <v>1350</v>
      </c>
      <c r="I1240" t="s">
        <v>85</v>
      </c>
      <c r="J1240">
        <v>51</v>
      </c>
      <c r="K1240" t="s">
        <v>83</v>
      </c>
      <c r="L1240" t="s">
        <v>2661</v>
      </c>
      <c r="M1240" t="s">
        <v>58</v>
      </c>
      <c r="N1240" t="s">
        <v>2590</v>
      </c>
      <c r="O1240" t="s">
        <v>127</v>
      </c>
      <c r="P1240" t="s">
        <v>51</v>
      </c>
      <c r="Q1240" t="s">
        <v>148</v>
      </c>
      <c r="R1240">
        <v>3</v>
      </c>
      <c r="S1240">
        <v>1599</v>
      </c>
      <c r="T1240">
        <v>0.1</v>
      </c>
      <c r="U1240">
        <v>4317.3</v>
      </c>
      <c r="V1240">
        <v>2400</v>
      </c>
      <c r="W1240">
        <v>1917.3</v>
      </c>
      <c r="X1240" t="s">
        <v>73</v>
      </c>
      <c r="Y1240" t="s">
        <v>69</v>
      </c>
      <c r="Z1240" t="s">
        <v>163</v>
      </c>
      <c r="AA1240" t="s">
        <v>166</v>
      </c>
      <c r="AB1240">
        <v>3</v>
      </c>
      <c r="AC1240">
        <v>80</v>
      </c>
      <c r="AD1240">
        <v>281.73</v>
      </c>
      <c r="AE1240">
        <f t="shared" si="38"/>
        <v>1555.57</v>
      </c>
      <c r="AF1240" t="str">
        <f t="shared" si="39"/>
        <v>2025-06</v>
      </c>
      <c r="AG1240">
        <f>SUBTOTAL(103,A1240)</f>
        <v>1</v>
      </c>
    </row>
    <row r="1241" spans="1:33" x14ac:dyDescent="0.3">
      <c r="A1241" t="s">
        <v>3856</v>
      </c>
      <c r="B1241" s="13">
        <v>45814</v>
      </c>
      <c r="C1241">
        <v>2025</v>
      </c>
      <c r="D1241">
        <v>6</v>
      </c>
      <c r="E1241" t="s">
        <v>3813</v>
      </c>
      <c r="F1241" t="s">
        <v>3329</v>
      </c>
      <c r="G1241" t="s">
        <v>991</v>
      </c>
      <c r="H1241" t="s">
        <v>992</v>
      </c>
      <c r="I1241" t="s">
        <v>85</v>
      </c>
      <c r="J1241">
        <v>41</v>
      </c>
      <c r="K1241" t="s">
        <v>82</v>
      </c>
      <c r="L1241" t="s">
        <v>90</v>
      </c>
      <c r="M1241" t="s">
        <v>55</v>
      </c>
      <c r="N1241" t="s">
        <v>2582</v>
      </c>
      <c r="O1241" t="s">
        <v>119</v>
      </c>
      <c r="P1241" t="s">
        <v>49</v>
      </c>
      <c r="Q1241" t="s">
        <v>140</v>
      </c>
      <c r="R1241">
        <v>2</v>
      </c>
      <c r="S1241">
        <v>3499</v>
      </c>
      <c r="T1241">
        <v>0</v>
      </c>
      <c r="U1241">
        <v>6998</v>
      </c>
      <c r="V1241">
        <v>4200</v>
      </c>
      <c r="W1241">
        <v>2798</v>
      </c>
      <c r="X1241" t="s">
        <v>73</v>
      </c>
      <c r="Y1241" t="s">
        <v>68</v>
      </c>
      <c r="Z1241" t="s">
        <v>160</v>
      </c>
      <c r="AA1241" t="s">
        <v>170</v>
      </c>
      <c r="AB1241">
        <v>3.6</v>
      </c>
      <c r="AC1241">
        <v>120</v>
      </c>
      <c r="AD1241">
        <v>413.97</v>
      </c>
      <c r="AE1241">
        <f t="shared" si="38"/>
        <v>2264.0299999999997</v>
      </c>
      <c r="AF1241" t="str">
        <f t="shared" si="39"/>
        <v>2025-06</v>
      </c>
      <c r="AG1241">
        <f>SUBTOTAL(103,A1241)</f>
        <v>1</v>
      </c>
    </row>
    <row r="1242" spans="1:33" x14ac:dyDescent="0.3">
      <c r="A1242" t="s">
        <v>3857</v>
      </c>
      <c r="B1242" s="13">
        <v>45814</v>
      </c>
      <c r="C1242">
        <v>2025</v>
      </c>
      <c r="D1242">
        <v>6</v>
      </c>
      <c r="E1242" t="s">
        <v>3813</v>
      </c>
      <c r="F1242" t="s">
        <v>3329</v>
      </c>
      <c r="G1242" t="s">
        <v>935</v>
      </c>
      <c r="H1242" t="s">
        <v>936</v>
      </c>
      <c r="I1242" t="s">
        <v>86</v>
      </c>
      <c r="J1242">
        <v>27</v>
      </c>
      <c r="K1242" t="s">
        <v>81</v>
      </c>
      <c r="L1242" t="s">
        <v>2589</v>
      </c>
      <c r="M1242" t="s">
        <v>61</v>
      </c>
      <c r="N1242" t="s">
        <v>2606</v>
      </c>
      <c r="O1242" t="s">
        <v>120</v>
      </c>
      <c r="P1242" t="s">
        <v>49</v>
      </c>
      <c r="Q1242" t="s">
        <v>140</v>
      </c>
      <c r="R1242">
        <v>1</v>
      </c>
      <c r="S1242">
        <v>2799</v>
      </c>
      <c r="T1242">
        <v>0.1</v>
      </c>
      <c r="U1242">
        <v>2519.1</v>
      </c>
      <c r="V1242">
        <v>1650</v>
      </c>
      <c r="W1242">
        <v>869.1</v>
      </c>
      <c r="X1242" t="s">
        <v>76</v>
      </c>
      <c r="Y1242" t="s">
        <v>68</v>
      </c>
      <c r="Z1242" t="s">
        <v>158</v>
      </c>
      <c r="AA1242" t="s">
        <v>171</v>
      </c>
      <c r="AB1242">
        <v>3.6</v>
      </c>
      <c r="AC1242">
        <v>80</v>
      </c>
      <c r="AD1242">
        <v>97.99</v>
      </c>
      <c r="AE1242">
        <f t="shared" si="38"/>
        <v>691.11</v>
      </c>
      <c r="AF1242" t="str">
        <f t="shared" si="39"/>
        <v>2025-06</v>
      </c>
      <c r="AG1242">
        <f>SUBTOTAL(103,A1242)</f>
        <v>1</v>
      </c>
    </row>
    <row r="1243" spans="1:33" x14ac:dyDescent="0.3">
      <c r="A1243" t="s">
        <v>3858</v>
      </c>
      <c r="B1243" s="13">
        <v>45814</v>
      </c>
      <c r="C1243">
        <v>2025</v>
      </c>
      <c r="D1243">
        <v>6</v>
      </c>
      <c r="E1243" t="s">
        <v>3813</v>
      </c>
      <c r="F1243" t="s">
        <v>3329</v>
      </c>
      <c r="G1243" t="s">
        <v>1631</v>
      </c>
      <c r="H1243" t="s">
        <v>1632</v>
      </c>
      <c r="I1243" t="s">
        <v>85</v>
      </c>
      <c r="J1243">
        <v>49</v>
      </c>
      <c r="K1243" t="s">
        <v>83</v>
      </c>
      <c r="L1243" t="s">
        <v>2612</v>
      </c>
      <c r="M1243" t="s">
        <v>64</v>
      </c>
      <c r="N1243" t="s">
        <v>2594</v>
      </c>
      <c r="O1243" t="s">
        <v>131</v>
      </c>
      <c r="P1243" t="s">
        <v>53</v>
      </c>
      <c r="Q1243" t="s">
        <v>143</v>
      </c>
      <c r="R1243">
        <v>1</v>
      </c>
      <c r="S1243">
        <v>999</v>
      </c>
      <c r="T1243">
        <v>0.2</v>
      </c>
      <c r="U1243">
        <v>799.2</v>
      </c>
      <c r="V1243">
        <v>520</v>
      </c>
      <c r="W1243">
        <v>279.2</v>
      </c>
      <c r="X1243" t="s">
        <v>77</v>
      </c>
      <c r="Y1243" t="s">
        <v>68</v>
      </c>
      <c r="Z1243" t="s">
        <v>161</v>
      </c>
      <c r="AA1243" t="s">
        <v>166</v>
      </c>
      <c r="AB1243">
        <v>4.5999999999999996</v>
      </c>
      <c r="AC1243">
        <v>50</v>
      </c>
      <c r="AD1243">
        <v>44.18</v>
      </c>
      <c r="AE1243">
        <f t="shared" si="38"/>
        <v>185.01999999999998</v>
      </c>
      <c r="AF1243" t="str">
        <f t="shared" si="39"/>
        <v>2025-06</v>
      </c>
      <c r="AG1243">
        <f>SUBTOTAL(103,A1243)</f>
        <v>1</v>
      </c>
    </row>
    <row r="1244" spans="1:33" x14ac:dyDescent="0.3">
      <c r="A1244" t="s">
        <v>3859</v>
      </c>
      <c r="B1244" s="13">
        <v>45815</v>
      </c>
      <c r="C1244">
        <v>2025</v>
      </c>
      <c r="D1244">
        <v>6</v>
      </c>
      <c r="E1244" t="s">
        <v>3813</v>
      </c>
      <c r="F1244" t="s">
        <v>3329</v>
      </c>
      <c r="G1244" t="s">
        <v>253</v>
      </c>
      <c r="H1244" t="s">
        <v>254</v>
      </c>
      <c r="I1244" t="s">
        <v>86</v>
      </c>
      <c r="J1244">
        <v>42</v>
      </c>
      <c r="K1244" t="s">
        <v>82</v>
      </c>
      <c r="L1244" t="s">
        <v>2661</v>
      </c>
      <c r="M1244" t="s">
        <v>58</v>
      </c>
      <c r="N1244" t="s">
        <v>2644</v>
      </c>
      <c r="O1244" t="s">
        <v>126</v>
      </c>
      <c r="P1244" t="s">
        <v>50</v>
      </c>
      <c r="Q1244" t="s">
        <v>145</v>
      </c>
      <c r="R1244">
        <v>1</v>
      </c>
      <c r="S1244">
        <v>1799</v>
      </c>
      <c r="T1244">
        <v>0.15</v>
      </c>
      <c r="U1244">
        <v>1529.15</v>
      </c>
      <c r="V1244">
        <v>950</v>
      </c>
      <c r="W1244">
        <v>579.15</v>
      </c>
      <c r="X1244" t="s">
        <v>74</v>
      </c>
      <c r="Y1244" t="s">
        <v>68</v>
      </c>
      <c r="Z1244" t="s">
        <v>162</v>
      </c>
      <c r="AA1244" t="s">
        <v>166</v>
      </c>
      <c r="AB1244">
        <v>3.6</v>
      </c>
      <c r="AC1244">
        <v>80</v>
      </c>
      <c r="AD1244">
        <v>65.81</v>
      </c>
      <c r="AE1244">
        <f t="shared" si="38"/>
        <v>433.34</v>
      </c>
      <c r="AF1244" t="str">
        <f t="shared" si="39"/>
        <v>2025-06</v>
      </c>
      <c r="AG1244">
        <f>SUBTOTAL(103,A1244)</f>
        <v>1</v>
      </c>
    </row>
    <row r="1245" spans="1:33" x14ac:dyDescent="0.3">
      <c r="A1245" t="s">
        <v>3860</v>
      </c>
      <c r="B1245" s="13">
        <v>45815</v>
      </c>
      <c r="C1245">
        <v>2025</v>
      </c>
      <c r="D1245">
        <v>6</v>
      </c>
      <c r="E1245" t="s">
        <v>3813</v>
      </c>
      <c r="F1245" t="s">
        <v>3329</v>
      </c>
      <c r="G1245" t="s">
        <v>2293</v>
      </c>
      <c r="H1245" t="s">
        <v>2294</v>
      </c>
      <c r="I1245" t="s">
        <v>85</v>
      </c>
      <c r="J1245">
        <v>18</v>
      </c>
      <c r="K1245" t="s">
        <v>80</v>
      </c>
      <c r="L1245" t="s">
        <v>2573</v>
      </c>
      <c r="M1245" t="s">
        <v>63</v>
      </c>
      <c r="N1245" t="s">
        <v>2626</v>
      </c>
      <c r="O1245" t="s">
        <v>125</v>
      </c>
      <c r="P1245" t="s">
        <v>48</v>
      </c>
      <c r="Q1245" t="s">
        <v>141</v>
      </c>
      <c r="R1245">
        <v>1</v>
      </c>
      <c r="S1245">
        <v>1999</v>
      </c>
      <c r="T1245">
        <v>0.1</v>
      </c>
      <c r="U1245">
        <v>1799.1</v>
      </c>
      <c r="V1245">
        <v>1150</v>
      </c>
      <c r="W1245">
        <v>649.1</v>
      </c>
      <c r="X1245" t="s">
        <v>74</v>
      </c>
      <c r="Y1245" t="s">
        <v>69</v>
      </c>
      <c r="Z1245" t="s">
        <v>158</v>
      </c>
      <c r="AA1245" t="s">
        <v>166</v>
      </c>
      <c r="AB1245">
        <v>4.5999999999999996</v>
      </c>
      <c r="AC1245">
        <v>100</v>
      </c>
      <c r="AD1245">
        <v>72.27</v>
      </c>
      <c r="AE1245">
        <f t="shared" si="38"/>
        <v>476.83000000000004</v>
      </c>
      <c r="AF1245" t="str">
        <f t="shared" si="39"/>
        <v>2025-06</v>
      </c>
      <c r="AG1245">
        <f>SUBTOTAL(103,A1245)</f>
        <v>1</v>
      </c>
    </row>
    <row r="1246" spans="1:33" x14ac:dyDescent="0.3">
      <c r="A1246" t="s">
        <v>3861</v>
      </c>
      <c r="B1246" s="13">
        <v>45815</v>
      </c>
      <c r="C1246">
        <v>2025</v>
      </c>
      <c r="D1246">
        <v>6</v>
      </c>
      <c r="E1246" t="s">
        <v>3813</v>
      </c>
      <c r="F1246" t="s">
        <v>3329</v>
      </c>
      <c r="G1246" t="s">
        <v>1287</v>
      </c>
      <c r="H1246" t="s">
        <v>1288</v>
      </c>
      <c r="I1246" t="s">
        <v>86</v>
      </c>
      <c r="J1246">
        <v>19</v>
      </c>
      <c r="K1246" t="s">
        <v>80</v>
      </c>
      <c r="L1246" t="s">
        <v>94</v>
      </c>
      <c r="M1246" t="s">
        <v>57</v>
      </c>
      <c r="N1246" t="s">
        <v>2594</v>
      </c>
      <c r="O1246" t="s">
        <v>131</v>
      </c>
      <c r="P1246" t="s">
        <v>53</v>
      </c>
      <c r="Q1246" t="s">
        <v>143</v>
      </c>
      <c r="R1246">
        <v>1</v>
      </c>
      <c r="S1246">
        <v>999</v>
      </c>
      <c r="T1246">
        <v>0</v>
      </c>
      <c r="U1246">
        <v>999</v>
      </c>
      <c r="V1246">
        <v>520</v>
      </c>
      <c r="W1246">
        <v>479</v>
      </c>
      <c r="X1246" t="s">
        <v>74</v>
      </c>
      <c r="Y1246" t="s">
        <v>69</v>
      </c>
      <c r="Z1246" t="s">
        <v>162</v>
      </c>
      <c r="AA1246" t="s">
        <v>169</v>
      </c>
      <c r="AB1246">
        <v>3.5</v>
      </c>
      <c r="AC1246">
        <v>60</v>
      </c>
      <c r="AD1246">
        <v>88.28</v>
      </c>
      <c r="AE1246">
        <f t="shared" si="38"/>
        <v>330.72</v>
      </c>
      <c r="AF1246" t="str">
        <f t="shared" si="39"/>
        <v>2025-06</v>
      </c>
      <c r="AG1246">
        <f>SUBTOTAL(103,A1246)</f>
        <v>1</v>
      </c>
    </row>
    <row r="1247" spans="1:33" x14ac:dyDescent="0.3">
      <c r="A1247" t="s">
        <v>3862</v>
      </c>
      <c r="B1247" s="13">
        <v>45815</v>
      </c>
      <c r="C1247">
        <v>2025</v>
      </c>
      <c r="D1247">
        <v>6</v>
      </c>
      <c r="E1247" t="s">
        <v>3813</v>
      </c>
      <c r="F1247" t="s">
        <v>3329</v>
      </c>
      <c r="G1247" t="s">
        <v>331</v>
      </c>
      <c r="H1247" t="s">
        <v>332</v>
      </c>
      <c r="I1247" t="s">
        <v>86</v>
      </c>
      <c r="J1247">
        <v>32</v>
      </c>
      <c r="K1247" t="s">
        <v>81</v>
      </c>
      <c r="L1247" t="s">
        <v>2674</v>
      </c>
      <c r="M1247" t="s">
        <v>58</v>
      </c>
      <c r="N1247" t="s">
        <v>2626</v>
      </c>
      <c r="O1247" t="s">
        <v>125</v>
      </c>
      <c r="P1247" t="s">
        <v>48</v>
      </c>
      <c r="Q1247" t="s">
        <v>141</v>
      </c>
      <c r="R1247">
        <v>4</v>
      </c>
      <c r="S1247">
        <v>1999</v>
      </c>
      <c r="T1247">
        <v>0.1</v>
      </c>
      <c r="U1247">
        <v>7196.4</v>
      </c>
      <c r="V1247">
        <v>4600</v>
      </c>
      <c r="W1247">
        <v>2596.4</v>
      </c>
      <c r="X1247" t="s">
        <v>74</v>
      </c>
      <c r="Y1247" t="s">
        <v>70</v>
      </c>
      <c r="Z1247" t="s">
        <v>161</v>
      </c>
      <c r="AA1247" t="s">
        <v>168</v>
      </c>
      <c r="AB1247">
        <v>4.0999999999999996</v>
      </c>
      <c r="AC1247">
        <v>80</v>
      </c>
      <c r="AD1247">
        <v>847.51</v>
      </c>
      <c r="AE1247">
        <f t="shared" si="38"/>
        <v>1668.89</v>
      </c>
      <c r="AF1247" t="str">
        <f t="shared" si="39"/>
        <v>2025-06</v>
      </c>
      <c r="AG1247">
        <f>SUBTOTAL(103,A1247)</f>
        <v>1</v>
      </c>
    </row>
    <row r="1248" spans="1:33" x14ac:dyDescent="0.3">
      <c r="A1248" t="s">
        <v>3863</v>
      </c>
      <c r="B1248" s="13">
        <v>45815</v>
      </c>
      <c r="C1248">
        <v>2025</v>
      </c>
      <c r="D1248">
        <v>6</v>
      </c>
      <c r="E1248" t="s">
        <v>3813</v>
      </c>
      <c r="F1248" t="s">
        <v>3329</v>
      </c>
      <c r="G1248" t="s">
        <v>2187</v>
      </c>
      <c r="H1248" t="s">
        <v>2188</v>
      </c>
      <c r="I1248" t="s">
        <v>86</v>
      </c>
      <c r="J1248">
        <v>59</v>
      </c>
      <c r="K1248" t="s">
        <v>83</v>
      </c>
      <c r="L1248" t="s">
        <v>98</v>
      </c>
      <c r="M1248" t="s">
        <v>55</v>
      </c>
      <c r="N1248" t="s">
        <v>2653</v>
      </c>
      <c r="O1248" t="s">
        <v>132</v>
      </c>
      <c r="P1248" t="s">
        <v>52</v>
      </c>
      <c r="Q1248" t="s">
        <v>150</v>
      </c>
      <c r="R1248">
        <v>1</v>
      </c>
      <c r="S1248">
        <v>899</v>
      </c>
      <c r="T1248">
        <v>0.2</v>
      </c>
      <c r="U1248">
        <v>719.2</v>
      </c>
      <c r="V1248">
        <v>420</v>
      </c>
      <c r="W1248">
        <v>299.2</v>
      </c>
      <c r="X1248" t="s">
        <v>74</v>
      </c>
      <c r="Y1248" t="s">
        <v>68</v>
      </c>
      <c r="Z1248" t="s">
        <v>161</v>
      </c>
      <c r="AA1248" t="s">
        <v>171</v>
      </c>
      <c r="AB1248">
        <v>3.7</v>
      </c>
      <c r="AC1248">
        <v>60</v>
      </c>
      <c r="AD1248">
        <v>49.8</v>
      </c>
      <c r="AE1248">
        <f t="shared" si="38"/>
        <v>189.39999999999998</v>
      </c>
      <c r="AF1248" t="str">
        <f t="shared" si="39"/>
        <v>2025-06</v>
      </c>
      <c r="AG1248">
        <f>SUBTOTAL(103,A1248)</f>
        <v>1</v>
      </c>
    </row>
    <row r="1249" spans="1:33" x14ac:dyDescent="0.3">
      <c r="A1249" t="s">
        <v>3864</v>
      </c>
      <c r="B1249" s="13">
        <v>45815</v>
      </c>
      <c r="C1249">
        <v>2025</v>
      </c>
      <c r="D1249">
        <v>6</v>
      </c>
      <c r="E1249" t="s">
        <v>3813</v>
      </c>
      <c r="F1249" t="s">
        <v>3329</v>
      </c>
      <c r="G1249" t="s">
        <v>1031</v>
      </c>
      <c r="H1249" t="s">
        <v>1032</v>
      </c>
      <c r="I1249" t="s">
        <v>85</v>
      </c>
      <c r="J1249">
        <v>42</v>
      </c>
      <c r="K1249" t="s">
        <v>82</v>
      </c>
      <c r="L1249" t="s">
        <v>2637</v>
      </c>
      <c r="M1249" t="s">
        <v>64</v>
      </c>
      <c r="N1249" t="s">
        <v>2587</v>
      </c>
      <c r="O1249" t="s">
        <v>116</v>
      </c>
      <c r="P1249" t="s">
        <v>48</v>
      </c>
      <c r="Q1249" t="s">
        <v>138</v>
      </c>
      <c r="R1249">
        <v>1</v>
      </c>
      <c r="S1249">
        <v>14999</v>
      </c>
      <c r="T1249">
        <v>0</v>
      </c>
      <c r="U1249">
        <v>14999</v>
      </c>
      <c r="V1249">
        <v>11200</v>
      </c>
      <c r="W1249">
        <v>3799</v>
      </c>
      <c r="X1249" t="s">
        <v>73</v>
      </c>
      <c r="Y1249" t="s">
        <v>68</v>
      </c>
      <c r="Z1249" t="s">
        <v>162</v>
      </c>
      <c r="AA1249" t="s">
        <v>171</v>
      </c>
      <c r="AB1249">
        <v>4.2</v>
      </c>
      <c r="AC1249">
        <v>100</v>
      </c>
      <c r="AD1249">
        <v>1068.4000000000001</v>
      </c>
      <c r="AE1249">
        <f t="shared" si="38"/>
        <v>2630.6</v>
      </c>
      <c r="AF1249" t="str">
        <f t="shared" si="39"/>
        <v>2025-06</v>
      </c>
      <c r="AG1249">
        <f>SUBTOTAL(103,A1249)</f>
        <v>1</v>
      </c>
    </row>
    <row r="1250" spans="1:33" x14ac:dyDescent="0.3">
      <c r="A1250" t="s">
        <v>3865</v>
      </c>
      <c r="B1250" s="13">
        <v>45815</v>
      </c>
      <c r="C1250">
        <v>2025</v>
      </c>
      <c r="D1250">
        <v>6</v>
      </c>
      <c r="E1250" t="s">
        <v>3813</v>
      </c>
      <c r="F1250" t="s">
        <v>3329</v>
      </c>
      <c r="G1250" t="s">
        <v>447</v>
      </c>
      <c r="H1250" t="s">
        <v>448</v>
      </c>
      <c r="I1250" t="s">
        <v>85</v>
      </c>
      <c r="J1250">
        <v>32</v>
      </c>
      <c r="K1250" t="s">
        <v>81</v>
      </c>
      <c r="L1250" t="s">
        <v>90</v>
      </c>
      <c r="M1250" t="s">
        <v>55</v>
      </c>
      <c r="N1250" t="s">
        <v>2653</v>
      </c>
      <c r="O1250" t="s">
        <v>132</v>
      </c>
      <c r="P1250" t="s">
        <v>52</v>
      </c>
      <c r="Q1250" t="s">
        <v>150</v>
      </c>
      <c r="R1250">
        <v>4</v>
      </c>
      <c r="S1250">
        <v>899</v>
      </c>
      <c r="T1250">
        <v>0.05</v>
      </c>
      <c r="U1250">
        <v>3416.2</v>
      </c>
      <c r="V1250">
        <v>1680</v>
      </c>
      <c r="W1250">
        <v>1736.2</v>
      </c>
      <c r="X1250" t="s">
        <v>75</v>
      </c>
      <c r="Y1250" t="s">
        <v>68</v>
      </c>
      <c r="Z1250" t="s">
        <v>161</v>
      </c>
      <c r="AA1250" t="s">
        <v>167</v>
      </c>
      <c r="AB1250">
        <v>4.4000000000000004</v>
      </c>
      <c r="AC1250">
        <v>50</v>
      </c>
      <c r="AD1250">
        <v>133.43</v>
      </c>
      <c r="AE1250">
        <f t="shared" si="38"/>
        <v>1552.77</v>
      </c>
      <c r="AF1250" t="str">
        <f t="shared" si="39"/>
        <v>2025-06</v>
      </c>
      <c r="AG1250">
        <f>SUBTOTAL(103,A1250)</f>
        <v>1</v>
      </c>
    </row>
    <row r="1251" spans="1:33" x14ac:dyDescent="0.3">
      <c r="A1251" t="s">
        <v>3866</v>
      </c>
      <c r="B1251" s="13">
        <v>45815</v>
      </c>
      <c r="C1251">
        <v>2025</v>
      </c>
      <c r="D1251">
        <v>6</v>
      </c>
      <c r="E1251" t="s">
        <v>3813</v>
      </c>
      <c r="F1251" t="s">
        <v>3329</v>
      </c>
      <c r="G1251" t="s">
        <v>421</v>
      </c>
      <c r="H1251" t="s">
        <v>422</v>
      </c>
      <c r="I1251" t="s">
        <v>86</v>
      </c>
      <c r="J1251">
        <v>47</v>
      </c>
      <c r="K1251" t="s">
        <v>83</v>
      </c>
      <c r="L1251" t="s">
        <v>2589</v>
      </c>
      <c r="M1251" t="s">
        <v>61</v>
      </c>
      <c r="N1251" t="s">
        <v>2626</v>
      </c>
      <c r="O1251" t="s">
        <v>125</v>
      </c>
      <c r="P1251" t="s">
        <v>48</v>
      </c>
      <c r="Q1251" t="s">
        <v>141</v>
      </c>
      <c r="R1251">
        <v>1</v>
      </c>
      <c r="S1251">
        <v>1999</v>
      </c>
      <c r="T1251">
        <v>0.15</v>
      </c>
      <c r="U1251">
        <v>1699.15</v>
      </c>
      <c r="V1251">
        <v>1150</v>
      </c>
      <c r="W1251">
        <v>549.15</v>
      </c>
      <c r="X1251" t="s">
        <v>77</v>
      </c>
      <c r="Y1251" t="s">
        <v>68</v>
      </c>
      <c r="Z1251" t="s">
        <v>159</v>
      </c>
      <c r="AA1251" t="s">
        <v>166</v>
      </c>
      <c r="AB1251">
        <v>4.0999999999999996</v>
      </c>
      <c r="AC1251">
        <v>100</v>
      </c>
      <c r="AD1251">
        <v>180.79</v>
      </c>
      <c r="AE1251">
        <f t="shared" si="38"/>
        <v>268.36</v>
      </c>
      <c r="AF1251" t="str">
        <f t="shared" si="39"/>
        <v>2025-06</v>
      </c>
      <c r="AG1251">
        <f>SUBTOTAL(103,A1251)</f>
        <v>1</v>
      </c>
    </row>
    <row r="1252" spans="1:33" x14ac:dyDescent="0.3">
      <c r="A1252" t="s">
        <v>3867</v>
      </c>
      <c r="B1252" s="13">
        <v>45815</v>
      </c>
      <c r="C1252">
        <v>2025</v>
      </c>
      <c r="D1252">
        <v>6</v>
      </c>
      <c r="E1252" t="s">
        <v>3813</v>
      </c>
      <c r="F1252" t="s">
        <v>3329</v>
      </c>
      <c r="G1252" t="s">
        <v>2245</v>
      </c>
      <c r="H1252" t="s">
        <v>2246</v>
      </c>
      <c r="I1252" t="s">
        <v>85</v>
      </c>
      <c r="J1252">
        <v>48</v>
      </c>
      <c r="K1252" t="s">
        <v>83</v>
      </c>
      <c r="L1252" t="s">
        <v>94</v>
      </c>
      <c r="M1252" t="s">
        <v>57</v>
      </c>
      <c r="N1252" t="s">
        <v>2574</v>
      </c>
      <c r="O1252" t="s">
        <v>130</v>
      </c>
      <c r="P1252" t="s">
        <v>50</v>
      </c>
      <c r="Q1252" t="s">
        <v>53</v>
      </c>
      <c r="R1252">
        <v>2</v>
      </c>
      <c r="S1252">
        <v>1199</v>
      </c>
      <c r="T1252">
        <v>0.15</v>
      </c>
      <c r="U1252">
        <v>2038.3</v>
      </c>
      <c r="V1252">
        <v>1100</v>
      </c>
      <c r="W1252">
        <v>938.3</v>
      </c>
      <c r="X1252" t="s">
        <v>74</v>
      </c>
      <c r="Y1252" t="s">
        <v>68</v>
      </c>
      <c r="Z1252" t="s">
        <v>160</v>
      </c>
      <c r="AA1252" t="s">
        <v>168</v>
      </c>
      <c r="AB1252">
        <v>4</v>
      </c>
      <c r="AC1252">
        <v>40</v>
      </c>
      <c r="AD1252">
        <v>137.76</v>
      </c>
      <c r="AE1252">
        <f t="shared" si="38"/>
        <v>760.54</v>
      </c>
      <c r="AF1252" t="str">
        <f t="shared" si="39"/>
        <v>2025-06</v>
      </c>
      <c r="AG1252">
        <f>SUBTOTAL(103,A1252)</f>
        <v>1</v>
      </c>
    </row>
    <row r="1253" spans="1:33" x14ac:dyDescent="0.3">
      <c r="A1253" t="s">
        <v>3868</v>
      </c>
      <c r="B1253" s="13">
        <v>45815</v>
      </c>
      <c r="C1253">
        <v>2025</v>
      </c>
      <c r="D1253">
        <v>6</v>
      </c>
      <c r="E1253" t="s">
        <v>3813</v>
      </c>
      <c r="F1253" t="s">
        <v>3329</v>
      </c>
      <c r="G1253" t="s">
        <v>1891</v>
      </c>
      <c r="H1253" t="s">
        <v>1892</v>
      </c>
      <c r="I1253" t="s">
        <v>85</v>
      </c>
      <c r="J1253">
        <v>35</v>
      </c>
      <c r="K1253" t="s">
        <v>81</v>
      </c>
      <c r="L1253" t="s">
        <v>2573</v>
      </c>
      <c r="M1253" t="s">
        <v>63</v>
      </c>
      <c r="N1253" t="s">
        <v>2603</v>
      </c>
      <c r="O1253" t="s">
        <v>122</v>
      </c>
      <c r="P1253" t="s">
        <v>48</v>
      </c>
      <c r="Q1253" t="s">
        <v>141</v>
      </c>
      <c r="R1253">
        <v>1</v>
      </c>
      <c r="S1253">
        <v>2499</v>
      </c>
      <c r="T1253">
        <v>0.05</v>
      </c>
      <c r="U1253">
        <v>0</v>
      </c>
      <c r="V1253">
        <v>0</v>
      </c>
      <c r="W1253">
        <v>0</v>
      </c>
      <c r="X1253" t="s">
        <v>75</v>
      </c>
      <c r="Y1253" t="s">
        <v>71</v>
      </c>
      <c r="Z1253" t="s">
        <v>158</v>
      </c>
      <c r="AA1253" t="s">
        <v>170</v>
      </c>
      <c r="AB1253">
        <v>3.9</v>
      </c>
      <c r="AC1253">
        <v>60</v>
      </c>
      <c r="AD1253">
        <v>274.52</v>
      </c>
      <c r="AE1253">
        <f t="shared" si="38"/>
        <v>-334.52</v>
      </c>
      <c r="AF1253" t="str">
        <f t="shared" si="39"/>
        <v>2025-06</v>
      </c>
      <c r="AG1253">
        <f>SUBTOTAL(103,A1253)</f>
        <v>1</v>
      </c>
    </row>
    <row r="1254" spans="1:33" x14ac:dyDescent="0.3">
      <c r="A1254" t="s">
        <v>3869</v>
      </c>
      <c r="B1254" s="13">
        <v>45815</v>
      </c>
      <c r="C1254">
        <v>2025</v>
      </c>
      <c r="D1254">
        <v>6</v>
      </c>
      <c r="E1254" t="s">
        <v>3813</v>
      </c>
      <c r="F1254" t="s">
        <v>3329</v>
      </c>
      <c r="G1254" t="s">
        <v>1635</v>
      </c>
      <c r="H1254" t="s">
        <v>1636</v>
      </c>
      <c r="I1254" t="s">
        <v>86</v>
      </c>
      <c r="J1254">
        <v>47</v>
      </c>
      <c r="K1254" t="s">
        <v>83</v>
      </c>
      <c r="L1254" t="s">
        <v>2679</v>
      </c>
      <c r="M1254" t="s">
        <v>60</v>
      </c>
      <c r="N1254" t="s">
        <v>2594</v>
      </c>
      <c r="O1254" t="s">
        <v>131</v>
      </c>
      <c r="P1254" t="s">
        <v>53</v>
      </c>
      <c r="Q1254" t="s">
        <v>143</v>
      </c>
      <c r="R1254">
        <v>1</v>
      </c>
      <c r="S1254">
        <v>999</v>
      </c>
      <c r="T1254">
        <v>0.1</v>
      </c>
      <c r="U1254">
        <v>899.1</v>
      </c>
      <c r="V1254">
        <v>520</v>
      </c>
      <c r="W1254">
        <v>379.1</v>
      </c>
      <c r="X1254" t="s">
        <v>73</v>
      </c>
      <c r="Y1254" t="s">
        <v>70</v>
      </c>
      <c r="Z1254" t="s">
        <v>159</v>
      </c>
      <c r="AA1254" t="s">
        <v>166</v>
      </c>
      <c r="AB1254">
        <v>4.8</v>
      </c>
      <c r="AC1254">
        <v>60</v>
      </c>
      <c r="AD1254">
        <v>104.98</v>
      </c>
      <c r="AE1254">
        <f t="shared" si="38"/>
        <v>214.12</v>
      </c>
      <c r="AF1254" t="str">
        <f t="shared" si="39"/>
        <v>2025-06</v>
      </c>
      <c r="AG1254">
        <f>SUBTOTAL(103,A1254)</f>
        <v>1</v>
      </c>
    </row>
    <row r="1255" spans="1:33" x14ac:dyDescent="0.3">
      <c r="A1255" t="s">
        <v>3870</v>
      </c>
      <c r="B1255" s="13">
        <v>45815</v>
      </c>
      <c r="C1255">
        <v>2025</v>
      </c>
      <c r="D1255">
        <v>6</v>
      </c>
      <c r="E1255" t="s">
        <v>3813</v>
      </c>
      <c r="F1255" t="s">
        <v>3329</v>
      </c>
      <c r="G1255" t="s">
        <v>475</v>
      </c>
      <c r="H1255" t="s">
        <v>476</v>
      </c>
      <c r="I1255" t="s">
        <v>86</v>
      </c>
      <c r="J1255">
        <v>26</v>
      </c>
      <c r="K1255" t="s">
        <v>81</v>
      </c>
      <c r="L1255" t="s">
        <v>100</v>
      </c>
      <c r="M1255" t="s">
        <v>56</v>
      </c>
      <c r="N1255" t="s">
        <v>2601</v>
      </c>
      <c r="O1255" t="s">
        <v>117</v>
      </c>
      <c r="P1255" t="s">
        <v>49</v>
      </c>
      <c r="Q1255" t="s">
        <v>139</v>
      </c>
      <c r="R1255">
        <v>1</v>
      </c>
      <c r="S1255">
        <v>6999</v>
      </c>
      <c r="T1255">
        <v>0.05</v>
      </c>
      <c r="U1255">
        <v>6649.05</v>
      </c>
      <c r="V1255">
        <v>4300</v>
      </c>
      <c r="W1255">
        <v>2349.0500000000002</v>
      </c>
      <c r="X1255" t="s">
        <v>73</v>
      </c>
      <c r="Y1255" t="s">
        <v>68</v>
      </c>
      <c r="Z1255" t="s">
        <v>160</v>
      </c>
      <c r="AA1255" t="s">
        <v>168</v>
      </c>
      <c r="AB1255">
        <v>4.5</v>
      </c>
      <c r="AC1255">
        <v>60</v>
      </c>
      <c r="AD1255">
        <v>487.45</v>
      </c>
      <c r="AE1255">
        <f t="shared" si="38"/>
        <v>1801.6000000000001</v>
      </c>
      <c r="AF1255" t="str">
        <f t="shared" si="39"/>
        <v>2025-06</v>
      </c>
      <c r="AG1255">
        <f>SUBTOTAL(103,A1255)</f>
        <v>1</v>
      </c>
    </row>
    <row r="1256" spans="1:33" x14ac:dyDescent="0.3">
      <c r="A1256" t="s">
        <v>3871</v>
      </c>
      <c r="B1256" s="13">
        <v>45816</v>
      </c>
      <c r="C1256">
        <v>2025</v>
      </c>
      <c r="D1256">
        <v>6</v>
      </c>
      <c r="E1256" t="s">
        <v>3813</v>
      </c>
      <c r="F1256" t="s">
        <v>3329</v>
      </c>
      <c r="G1256" t="s">
        <v>1769</v>
      </c>
      <c r="H1256" t="s">
        <v>1770</v>
      </c>
      <c r="I1256" t="s">
        <v>85</v>
      </c>
      <c r="J1256">
        <v>35</v>
      </c>
      <c r="K1256" t="s">
        <v>81</v>
      </c>
      <c r="L1256" t="s">
        <v>96</v>
      </c>
      <c r="M1256" t="s">
        <v>55</v>
      </c>
      <c r="N1256" t="s">
        <v>2644</v>
      </c>
      <c r="O1256" t="s">
        <v>126</v>
      </c>
      <c r="P1256" t="s">
        <v>50</v>
      </c>
      <c r="Q1256" t="s">
        <v>145</v>
      </c>
      <c r="R1256">
        <v>1</v>
      </c>
      <c r="S1256">
        <v>1799</v>
      </c>
      <c r="T1256">
        <v>0.15</v>
      </c>
      <c r="U1256">
        <v>1529.15</v>
      </c>
      <c r="V1256">
        <v>950</v>
      </c>
      <c r="W1256">
        <v>579.15</v>
      </c>
      <c r="X1256" t="s">
        <v>73</v>
      </c>
      <c r="Y1256" t="s">
        <v>68</v>
      </c>
      <c r="Z1256" t="s">
        <v>163</v>
      </c>
      <c r="AA1256" t="s">
        <v>166</v>
      </c>
      <c r="AB1256">
        <v>5</v>
      </c>
      <c r="AC1256">
        <v>100</v>
      </c>
      <c r="AD1256">
        <v>179.66</v>
      </c>
      <c r="AE1256">
        <f t="shared" si="38"/>
        <v>299.49</v>
      </c>
      <c r="AF1256" t="str">
        <f t="shared" si="39"/>
        <v>2025-06</v>
      </c>
      <c r="AG1256">
        <f>SUBTOTAL(103,A1256)</f>
        <v>1</v>
      </c>
    </row>
    <row r="1257" spans="1:33" x14ac:dyDescent="0.3">
      <c r="A1257" t="s">
        <v>3872</v>
      </c>
      <c r="B1257" s="13">
        <v>45816</v>
      </c>
      <c r="C1257">
        <v>2025</v>
      </c>
      <c r="D1257">
        <v>6</v>
      </c>
      <c r="E1257" t="s">
        <v>3813</v>
      </c>
      <c r="F1257" t="s">
        <v>3329</v>
      </c>
      <c r="G1257" t="s">
        <v>1211</v>
      </c>
      <c r="H1257" t="s">
        <v>1212</v>
      </c>
      <c r="I1257" t="s">
        <v>86</v>
      </c>
      <c r="J1257">
        <v>48</v>
      </c>
      <c r="K1257" t="s">
        <v>83</v>
      </c>
      <c r="L1257" t="s">
        <v>98</v>
      </c>
      <c r="M1257" t="s">
        <v>55</v>
      </c>
      <c r="N1257" t="s">
        <v>2647</v>
      </c>
      <c r="O1257" t="s">
        <v>133</v>
      </c>
      <c r="P1257" t="s">
        <v>50</v>
      </c>
      <c r="Q1257" t="s">
        <v>145</v>
      </c>
      <c r="R1257">
        <v>3</v>
      </c>
      <c r="S1257">
        <v>799</v>
      </c>
      <c r="T1257">
        <v>0.05</v>
      </c>
      <c r="U1257">
        <v>2277.15</v>
      </c>
      <c r="V1257">
        <v>1170</v>
      </c>
      <c r="W1257">
        <v>1107.1500000000001</v>
      </c>
      <c r="X1257" t="s">
        <v>75</v>
      </c>
      <c r="Y1257" t="s">
        <v>68</v>
      </c>
      <c r="Z1257" t="s">
        <v>158</v>
      </c>
      <c r="AA1257" t="s">
        <v>169</v>
      </c>
      <c r="AB1257">
        <v>4.8</v>
      </c>
      <c r="AC1257">
        <v>40</v>
      </c>
      <c r="AD1257">
        <v>214.02</v>
      </c>
      <c r="AE1257">
        <f t="shared" si="38"/>
        <v>853.13000000000011</v>
      </c>
      <c r="AF1257" t="str">
        <f t="shared" si="39"/>
        <v>2025-06</v>
      </c>
      <c r="AG1257">
        <f>SUBTOTAL(103,A1257)</f>
        <v>1</v>
      </c>
    </row>
    <row r="1258" spans="1:33" x14ac:dyDescent="0.3">
      <c r="A1258" t="s">
        <v>3873</v>
      </c>
      <c r="B1258" s="13">
        <v>45816</v>
      </c>
      <c r="C1258">
        <v>2025</v>
      </c>
      <c r="D1258">
        <v>6</v>
      </c>
      <c r="E1258" t="s">
        <v>3813</v>
      </c>
      <c r="F1258" t="s">
        <v>3329</v>
      </c>
      <c r="G1258" t="s">
        <v>1691</v>
      </c>
      <c r="H1258" t="s">
        <v>1692</v>
      </c>
      <c r="I1258" t="s">
        <v>85</v>
      </c>
      <c r="J1258">
        <v>22</v>
      </c>
      <c r="K1258" t="s">
        <v>80</v>
      </c>
      <c r="L1258" t="s">
        <v>91</v>
      </c>
      <c r="M1258" t="s">
        <v>55</v>
      </c>
      <c r="N1258" t="s">
        <v>2596</v>
      </c>
      <c r="O1258" t="s">
        <v>124</v>
      </c>
      <c r="P1258" t="s">
        <v>51</v>
      </c>
      <c r="Q1258" t="s">
        <v>147</v>
      </c>
      <c r="R1258">
        <v>4</v>
      </c>
      <c r="S1258">
        <v>2299</v>
      </c>
      <c r="T1258">
        <v>0</v>
      </c>
      <c r="U1258">
        <v>9196</v>
      </c>
      <c r="V1258">
        <v>4800</v>
      </c>
      <c r="W1258">
        <v>4396</v>
      </c>
      <c r="X1258" t="s">
        <v>77</v>
      </c>
      <c r="Y1258" t="s">
        <v>68</v>
      </c>
      <c r="Z1258" t="s">
        <v>161</v>
      </c>
      <c r="AA1258" t="s">
        <v>167</v>
      </c>
      <c r="AB1258">
        <v>3.2</v>
      </c>
      <c r="AC1258">
        <v>50</v>
      </c>
      <c r="AD1258">
        <v>566.05999999999995</v>
      </c>
      <c r="AE1258">
        <f t="shared" si="38"/>
        <v>3779.94</v>
      </c>
      <c r="AF1258" t="str">
        <f t="shared" si="39"/>
        <v>2025-06</v>
      </c>
      <c r="AG1258">
        <f>SUBTOTAL(103,A1258)</f>
        <v>1</v>
      </c>
    </row>
    <row r="1259" spans="1:33" x14ac:dyDescent="0.3">
      <c r="A1259" t="s">
        <v>3874</v>
      </c>
      <c r="B1259" s="13">
        <v>45817</v>
      </c>
      <c r="C1259">
        <v>2025</v>
      </c>
      <c r="D1259">
        <v>6</v>
      </c>
      <c r="E1259" t="s">
        <v>3813</v>
      </c>
      <c r="F1259" t="s">
        <v>3329</v>
      </c>
      <c r="G1259" t="s">
        <v>245</v>
      </c>
      <c r="H1259" t="s">
        <v>246</v>
      </c>
      <c r="I1259" t="s">
        <v>85</v>
      </c>
      <c r="J1259">
        <v>53</v>
      </c>
      <c r="K1259" t="s">
        <v>83</v>
      </c>
      <c r="L1259" t="s">
        <v>90</v>
      </c>
      <c r="M1259" t="s">
        <v>55</v>
      </c>
      <c r="N1259" t="s">
        <v>2601</v>
      </c>
      <c r="O1259" t="s">
        <v>117</v>
      </c>
      <c r="P1259" t="s">
        <v>49</v>
      </c>
      <c r="Q1259" t="s">
        <v>139</v>
      </c>
      <c r="R1259">
        <v>5</v>
      </c>
      <c r="S1259">
        <v>6999</v>
      </c>
      <c r="T1259">
        <v>0.1</v>
      </c>
      <c r="U1259">
        <v>31495.5</v>
      </c>
      <c r="V1259">
        <v>21500</v>
      </c>
      <c r="W1259">
        <v>9995.5</v>
      </c>
      <c r="X1259" t="s">
        <v>76</v>
      </c>
      <c r="Y1259" t="s">
        <v>68</v>
      </c>
      <c r="Z1259" t="s">
        <v>158</v>
      </c>
      <c r="AA1259" t="s">
        <v>167</v>
      </c>
      <c r="AB1259">
        <v>3.8</v>
      </c>
      <c r="AC1259">
        <v>50</v>
      </c>
      <c r="AD1259">
        <v>2615.6799999999998</v>
      </c>
      <c r="AE1259">
        <f t="shared" si="38"/>
        <v>7329.82</v>
      </c>
      <c r="AF1259" t="str">
        <f t="shared" si="39"/>
        <v>2025-06</v>
      </c>
      <c r="AG1259">
        <f>SUBTOTAL(103,A1259)</f>
        <v>1</v>
      </c>
    </row>
    <row r="1260" spans="1:33" x14ac:dyDescent="0.3">
      <c r="A1260" t="s">
        <v>3875</v>
      </c>
      <c r="B1260" s="13">
        <v>45817</v>
      </c>
      <c r="C1260">
        <v>2025</v>
      </c>
      <c r="D1260">
        <v>6</v>
      </c>
      <c r="E1260" t="s">
        <v>3813</v>
      </c>
      <c r="F1260" t="s">
        <v>3329</v>
      </c>
      <c r="G1260" t="s">
        <v>1935</v>
      </c>
      <c r="H1260" t="s">
        <v>1936</v>
      </c>
      <c r="I1260" t="s">
        <v>86</v>
      </c>
      <c r="J1260">
        <v>59</v>
      </c>
      <c r="K1260" t="s">
        <v>83</v>
      </c>
      <c r="L1260" t="s">
        <v>100</v>
      </c>
      <c r="M1260" t="s">
        <v>56</v>
      </c>
      <c r="N1260" t="s">
        <v>2657</v>
      </c>
      <c r="O1260" t="s">
        <v>134</v>
      </c>
      <c r="P1260" t="s">
        <v>49</v>
      </c>
      <c r="Q1260" t="s">
        <v>140</v>
      </c>
      <c r="R1260">
        <v>1</v>
      </c>
      <c r="S1260">
        <v>599</v>
      </c>
      <c r="T1260">
        <v>0.05</v>
      </c>
      <c r="U1260">
        <v>569.04999999999995</v>
      </c>
      <c r="V1260">
        <v>250</v>
      </c>
      <c r="W1260">
        <v>319.05</v>
      </c>
      <c r="X1260" t="s">
        <v>75</v>
      </c>
      <c r="Y1260" t="s">
        <v>68</v>
      </c>
      <c r="Z1260" t="s">
        <v>158</v>
      </c>
      <c r="AA1260" t="s">
        <v>166</v>
      </c>
      <c r="AB1260">
        <v>3.8</v>
      </c>
      <c r="AC1260">
        <v>50</v>
      </c>
      <c r="AD1260">
        <v>32.56</v>
      </c>
      <c r="AE1260">
        <f t="shared" si="38"/>
        <v>236.49</v>
      </c>
      <c r="AF1260" t="str">
        <f t="shared" si="39"/>
        <v>2025-06</v>
      </c>
      <c r="AG1260">
        <f>SUBTOTAL(103,A1260)</f>
        <v>1</v>
      </c>
    </row>
    <row r="1261" spans="1:33" x14ac:dyDescent="0.3">
      <c r="A1261" t="s">
        <v>3876</v>
      </c>
      <c r="B1261" s="13">
        <v>45817</v>
      </c>
      <c r="C1261">
        <v>2025</v>
      </c>
      <c r="D1261">
        <v>6</v>
      </c>
      <c r="E1261" t="s">
        <v>3813</v>
      </c>
      <c r="F1261" t="s">
        <v>3329</v>
      </c>
      <c r="G1261" t="s">
        <v>1763</v>
      </c>
      <c r="H1261" t="s">
        <v>1764</v>
      </c>
      <c r="I1261" t="s">
        <v>85</v>
      </c>
      <c r="J1261">
        <v>24</v>
      </c>
      <c r="K1261" t="s">
        <v>80</v>
      </c>
      <c r="L1261" t="s">
        <v>90</v>
      </c>
      <c r="M1261" t="s">
        <v>55</v>
      </c>
      <c r="N1261" t="s">
        <v>2594</v>
      </c>
      <c r="O1261" t="s">
        <v>131</v>
      </c>
      <c r="P1261" t="s">
        <v>53</v>
      </c>
      <c r="Q1261" t="s">
        <v>143</v>
      </c>
      <c r="R1261">
        <v>1</v>
      </c>
      <c r="S1261">
        <v>999</v>
      </c>
      <c r="T1261">
        <v>0.1</v>
      </c>
      <c r="U1261">
        <v>899.1</v>
      </c>
      <c r="V1261">
        <v>520</v>
      </c>
      <c r="W1261">
        <v>379.1</v>
      </c>
      <c r="X1261" t="s">
        <v>75</v>
      </c>
      <c r="Y1261" t="s">
        <v>68</v>
      </c>
      <c r="Z1261" t="s">
        <v>159</v>
      </c>
      <c r="AA1261" t="s">
        <v>167</v>
      </c>
      <c r="AB1261">
        <v>3.9</v>
      </c>
      <c r="AC1261">
        <v>60</v>
      </c>
      <c r="AD1261">
        <v>47.47</v>
      </c>
      <c r="AE1261">
        <f t="shared" si="38"/>
        <v>271.63</v>
      </c>
      <c r="AF1261" t="str">
        <f t="shared" si="39"/>
        <v>2025-06</v>
      </c>
      <c r="AG1261">
        <f>SUBTOTAL(103,A1261)</f>
        <v>1</v>
      </c>
    </row>
    <row r="1262" spans="1:33" x14ac:dyDescent="0.3">
      <c r="A1262" t="s">
        <v>3877</v>
      </c>
      <c r="B1262" s="13">
        <v>45818</v>
      </c>
      <c r="C1262">
        <v>2025</v>
      </c>
      <c r="D1262">
        <v>6</v>
      </c>
      <c r="E1262" t="s">
        <v>3813</v>
      </c>
      <c r="F1262" t="s">
        <v>3329</v>
      </c>
      <c r="G1262" t="s">
        <v>1619</v>
      </c>
      <c r="H1262" t="s">
        <v>1620</v>
      </c>
      <c r="I1262" t="s">
        <v>86</v>
      </c>
      <c r="J1262">
        <v>38</v>
      </c>
      <c r="K1262" t="s">
        <v>82</v>
      </c>
      <c r="L1262" t="s">
        <v>2687</v>
      </c>
      <c r="M1262" t="s">
        <v>57</v>
      </c>
      <c r="N1262" t="s">
        <v>2630</v>
      </c>
      <c r="O1262" t="s">
        <v>123</v>
      </c>
      <c r="P1262" t="s">
        <v>52</v>
      </c>
      <c r="Q1262" t="s">
        <v>146</v>
      </c>
      <c r="R1262">
        <v>2</v>
      </c>
      <c r="S1262">
        <v>2499</v>
      </c>
      <c r="T1262">
        <v>0.2</v>
      </c>
      <c r="U1262">
        <v>3998.4</v>
      </c>
      <c r="V1262">
        <v>2800</v>
      </c>
      <c r="W1262">
        <v>1198.4000000000001</v>
      </c>
      <c r="X1262" t="s">
        <v>74</v>
      </c>
      <c r="Y1262" t="s">
        <v>68</v>
      </c>
      <c r="Z1262" t="s">
        <v>161</v>
      </c>
      <c r="AA1262" t="s">
        <v>169</v>
      </c>
      <c r="AB1262">
        <v>4.5</v>
      </c>
      <c r="AC1262">
        <v>50</v>
      </c>
      <c r="AD1262">
        <v>299.19</v>
      </c>
      <c r="AE1262">
        <f t="shared" si="38"/>
        <v>849.21</v>
      </c>
      <c r="AF1262" t="str">
        <f t="shared" si="39"/>
        <v>2025-06</v>
      </c>
      <c r="AG1262">
        <f>SUBTOTAL(103,A1262)</f>
        <v>1</v>
      </c>
    </row>
    <row r="1263" spans="1:33" x14ac:dyDescent="0.3">
      <c r="A1263" t="s">
        <v>3878</v>
      </c>
      <c r="B1263" s="13">
        <v>45818</v>
      </c>
      <c r="C1263">
        <v>2025</v>
      </c>
      <c r="D1263">
        <v>6</v>
      </c>
      <c r="E1263" t="s">
        <v>3813</v>
      </c>
      <c r="F1263" t="s">
        <v>3329</v>
      </c>
      <c r="G1263" t="s">
        <v>1845</v>
      </c>
      <c r="H1263" t="s">
        <v>1846</v>
      </c>
      <c r="I1263" t="s">
        <v>85</v>
      </c>
      <c r="J1263">
        <v>42</v>
      </c>
      <c r="K1263" t="s">
        <v>82</v>
      </c>
      <c r="L1263" t="s">
        <v>2589</v>
      </c>
      <c r="M1263" t="s">
        <v>61</v>
      </c>
      <c r="N1263" t="s">
        <v>2657</v>
      </c>
      <c r="O1263" t="s">
        <v>134</v>
      </c>
      <c r="P1263" t="s">
        <v>49</v>
      </c>
      <c r="Q1263" t="s">
        <v>140</v>
      </c>
      <c r="R1263">
        <v>2</v>
      </c>
      <c r="S1263">
        <v>599</v>
      </c>
      <c r="T1263">
        <v>0.1</v>
      </c>
      <c r="U1263">
        <v>1078.2</v>
      </c>
      <c r="V1263">
        <v>500</v>
      </c>
      <c r="W1263">
        <v>578.20000000000005</v>
      </c>
      <c r="X1263" t="s">
        <v>75</v>
      </c>
      <c r="Y1263" t="s">
        <v>68</v>
      </c>
      <c r="Z1263" t="s">
        <v>162</v>
      </c>
      <c r="AA1263" t="s">
        <v>168</v>
      </c>
      <c r="AB1263">
        <v>3.2</v>
      </c>
      <c r="AC1263">
        <v>60</v>
      </c>
      <c r="AD1263">
        <v>116.6</v>
      </c>
      <c r="AE1263">
        <f t="shared" si="38"/>
        <v>401.6</v>
      </c>
      <c r="AF1263" t="str">
        <f t="shared" si="39"/>
        <v>2025-06</v>
      </c>
      <c r="AG1263">
        <f>SUBTOTAL(103,A1263)</f>
        <v>1</v>
      </c>
    </row>
    <row r="1264" spans="1:33" x14ac:dyDescent="0.3">
      <c r="A1264" t="s">
        <v>3879</v>
      </c>
      <c r="B1264" s="13">
        <v>45818</v>
      </c>
      <c r="C1264">
        <v>2025</v>
      </c>
      <c r="D1264">
        <v>6</v>
      </c>
      <c r="E1264" t="s">
        <v>3813</v>
      </c>
      <c r="F1264" t="s">
        <v>3329</v>
      </c>
      <c r="G1264" t="s">
        <v>2205</v>
      </c>
      <c r="H1264" t="s">
        <v>2206</v>
      </c>
      <c r="I1264" t="s">
        <v>86</v>
      </c>
      <c r="J1264">
        <v>32</v>
      </c>
      <c r="K1264" t="s">
        <v>81</v>
      </c>
      <c r="L1264" t="s">
        <v>94</v>
      </c>
      <c r="M1264" t="s">
        <v>57</v>
      </c>
      <c r="N1264" t="s">
        <v>2647</v>
      </c>
      <c r="O1264" t="s">
        <v>133</v>
      </c>
      <c r="P1264" t="s">
        <v>50</v>
      </c>
      <c r="Q1264" t="s">
        <v>145</v>
      </c>
      <c r="R1264">
        <v>3</v>
      </c>
      <c r="S1264">
        <v>799</v>
      </c>
      <c r="T1264">
        <v>0</v>
      </c>
      <c r="U1264">
        <v>2397</v>
      </c>
      <c r="V1264">
        <v>1170</v>
      </c>
      <c r="W1264">
        <v>1227</v>
      </c>
      <c r="X1264" t="s">
        <v>74</v>
      </c>
      <c r="Y1264" t="s">
        <v>68</v>
      </c>
      <c r="Z1264" t="s">
        <v>160</v>
      </c>
      <c r="AA1264" t="s">
        <v>167</v>
      </c>
      <c r="AB1264">
        <v>3.3</v>
      </c>
      <c r="AC1264">
        <v>40</v>
      </c>
      <c r="AD1264">
        <v>185.47</v>
      </c>
      <c r="AE1264">
        <f t="shared" si="38"/>
        <v>1001.53</v>
      </c>
      <c r="AF1264" t="str">
        <f t="shared" si="39"/>
        <v>2025-06</v>
      </c>
      <c r="AG1264">
        <f>SUBTOTAL(103,A1264)</f>
        <v>1</v>
      </c>
    </row>
    <row r="1265" spans="1:33" x14ac:dyDescent="0.3">
      <c r="A1265" t="s">
        <v>3880</v>
      </c>
      <c r="B1265" s="13">
        <v>45818</v>
      </c>
      <c r="C1265">
        <v>2025</v>
      </c>
      <c r="D1265">
        <v>6</v>
      </c>
      <c r="E1265" t="s">
        <v>3813</v>
      </c>
      <c r="F1265" t="s">
        <v>3329</v>
      </c>
      <c r="G1265" t="s">
        <v>607</v>
      </c>
      <c r="H1265" t="s">
        <v>608</v>
      </c>
      <c r="I1265" t="s">
        <v>85</v>
      </c>
      <c r="J1265">
        <v>32</v>
      </c>
      <c r="K1265" t="s">
        <v>81</v>
      </c>
      <c r="L1265" t="s">
        <v>2637</v>
      </c>
      <c r="M1265" t="s">
        <v>64</v>
      </c>
      <c r="N1265" t="s">
        <v>2587</v>
      </c>
      <c r="O1265" t="s">
        <v>116</v>
      </c>
      <c r="P1265" t="s">
        <v>48</v>
      </c>
      <c r="Q1265" t="s">
        <v>138</v>
      </c>
      <c r="R1265">
        <v>2</v>
      </c>
      <c r="S1265">
        <v>14999</v>
      </c>
      <c r="T1265">
        <v>0.1</v>
      </c>
      <c r="U1265">
        <v>26998.2</v>
      </c>
      <c r="V1265">
        <v>22400</v>
      </c>
      <c r="W1265">
        <v>4598.2</v>
      </c>
      <c r="X1265" t="s">
        <v>77</v>
      </c>
      <c r="Y1265" t="s">
        <v>69</v>
      </c>
      <c r="Z1265" t="s">
        <v>158</v>
      </c>
      <c r="AA1265" t="s">
        <v>170</v>
      </c>
      <c r="AB1265">
        <v>4.5</v>
      </c>
      <c r="AC1265">
        <v>60</v>
      </c>
      <c r="AD1265">
        <v>2440.91</v>
      </c>
      <c r="AE1265">
        <f t="shared" si="38"/>
        <v>2097.29</v>
      </c>
      <c r="AF1265" t="str">
        <f t="shared" si="39"/>
        <v>2025-06</v>
      </c>
      <c r="AG1265">
        <f>SUBTOTAL(103,A1265)</f>
        <v>1</v>
      </c>
    </row>
    <row r="1266" spans="1:33" x14ac:dyDescent="0.3">
      <c r="A1266" t="s">
        <v>3881</v>
      </c>
      <c r="B1266" s="13">
        <v>45818</v>
      </c>
      <c r="C1266">
        <v>2025</v>
      </c>
      <c r="D1266">
        <v>6</v>
      </c>
      <c r="E1266" t="s">
        <v>3813</v>
      </c>
      <c r="F1266" t="s">
        <v>3329</v>
      </c>
      <c r="G1266" t="s">
        <v>681</v>
      </c>
      <c r="H1266" t="s">
        <v>682</v>
      </c>
      <c r="I1266" t="s">
        <v>86</v>
      </c>
      <c r="J1266">
        <v>30</v>
      </c>
      <c r="K1266" t="s">
        <v>81</v>
      </c>
      <c r="L1266" t="s">
        <v>2589</v>
      </c>
      <c r="M1266" t="s">
        <v>61</v>
      </c>
      <c r="N1266" t="s">
        <v>2584</v>
      </c>
      <c r="O1266" t="s">
        <v>121</v>
      </c>
      <c r="P1266" t="s">
        <v>50</v>
      </c>
      <c r="Q1266" t="s">
        <v>144</v>
      </c>
      <c r="R1266">
        <v>2</v>
      </c>
      <c r="S1266">
        <v>2999</v>
      </c>
      <c r="T1266">
        <v>0.05</v>
      </c>
      <c r="U1266">
        <v>5698.1</v>
      </c>
      <c r="V1266">
        <v>3400</v>
      </c>
      <c r="W1266">
        <v>2298.1</v>
      </c>
      <c r="X1266" t="s">
        <v>73</v>
      </c>
      <c r="Y1266" t="s">
        <v>70</v>
      </c>
      <c r="Z1266" t="s">
        <v>163</v>
      </c>
      <c r="AA1266" t="s">
        <v>169</v>
      </c>
      <c r="AB1266">
        <v>4.3</v>
      </c>
      <c r="AC1266">
        <v>60</v>
      </c>
      <c r="AD1266">
        <v>358</v>
      </c>
      <c r="AE1266">
        <f t="shared" si="38"/>
        <v>1880.1</v>
      </c>
      <c r="AF1266" t="str">
        <f t="shared" si="39"/>
        <v>2025-06</v>
      </c>
      <c r="AG1266">
        <f>SUBTOTAL(103,A1266)</f>
        <v>1</v>
      </c>
    </row>
    <row r="1267" spans="1:33" x14ac:dyDescent="0.3">
      <c r="A1267" t="s">
        <v>3882</v>
      </c>
      <c r="B1267" s="13">
        <v>45818</v>
      </c>
      <c r="C1267">
        <v>2025</v>
      </c>
      <c r="D1267">
        <v>6</v>
      </c>
      <c r="E1267" t="s">
        <v>3813</v>
      </c>
      <c r="F1267" t="s">
        <v>3329</v>
      </c>
      <c r="G1267" t="s">
        <v>2269</v>
      </c>
      <c r="H1267" t="s">
        <v>2270</v>
      </c>
      <c r="I1267" t="s">
        <v>86</v>
      </c>
      <c r="J1267">
        <v>54</v>
      </c>
      <c r="K1267" t="s">
        <v>83</v>
      </c>
      <c r="L1267" t="s">
        <v>91</v>
      </c>
      <c r="M1267" t="s">
        <v>55</v>
      </c>
      <c r="N1267" t="s">
        <v>2584</v>
      </c>
      <c r="O1267" t="s">
        <v>121</v>
      </c>
      <c r="P1267" t="s">
        <v>50</v>
      </c>
      <c r="Q1267" t="s">
        <v>144</v>
      </c>
      <c r="R1267">
        <v>2</v>
      </c>
      <c r="S1267">
        <v>2999</v>
      </c>
      <c r="T1267">
        <v>0.05</v>
      </c>
      <c r="U1267">
        <v>5698.1</v>
      </c>
      <c r="V1267">
        <v>3400</v>
      </c>
      <c r="W1267">
        <v>2298.1</v>
      </c>
      <c r="X1267" t="s">
        <v>74</v>
      </c>
      <c r="Y1267" t="s">
        <v>68</v>
      </c>
      <c r="Z1267" t="s">
        <v>161</v>
      </c>
      <c r="AA1267" t="s">
        <v>166</v>
      </c>
      <c r="AB1267">
        <v>3.3</v>
      </c>
      <c r="AC1267">
        <v>60</v>
      </c>
      <c r="AD1267">
        <v>493.17</v>
      </c>
      <c r="AE1267">
        <f t="shared" si="38"/>
        <v>1744.9299999999998</v>
      </c>
      <c r="AF1267" t="str">
        <f t="shared" si="39"/>
        <v>2025-06</v>
      </c>
      <c r="AG1267">
        <f>SUBTOTAL(103,A1267)</f>
        <v>1</v>
      </c>
    </row>
    <row r="1268" spans="1:33" x14ac:dyDescent="0.3">
      <c r="A1268" t="s">
        <v>3883</v>
      </c>
      <c r="B1268" s="13">
        <v>45818</v>
      </c>
      <c r="C1268">
        <v>2025</v>
      </c>
      <c r="D1268">
        <v>6</v>
      </c>
      <c r="E1268" t="s">
        <v>3813</v>
      </c>
      <c r="F1268" t="s">
        <v>3329</v>
      </c>
      <c r="G1268" t="s">
        <v>317</v>
      </c>
      <c r="H1268" t="s">
        <v>318</v>
      </c>
      <c r="I1268" t="s">
        <v>85</v>
      </c>
      <c r="J1268">
        <v>56</v>
      </c>
      <c r="K1268" t="s">
        <v>83</v>
      </c>
      <c r="L1268" t="s">
        <v>97</v>
      </c>
      <c r="M1268" t="s">
        <v>57</v>
      </c>
      <c r="N1268" t="s">
        <v>2592</v>
      </c>
      <c r="O1268" t="s">
        <v>115</v>
      </c>
      <c r="P1268" t="s">
        <v>48</v>
      </c>
      <c r="Q1268" t="s">
        <v>137</v>
      </c>
      <c r="R1268">
        <v>5</v>
      </c>
      <c r="S1268">
        <v>12999</v>
      </c>
      <c r="T1268">
        <v>0.1</v>
      </c>
      <c r="U1268">
        <v>58495.5</v>
      </c>
      <c r="V1268">
        <v>45000</v>
      </c>
      <c r="W1268">
        <v>13495.5</v>
      </c>
      <c r="X1268" t="s">
        <v>73</v>
      </c>
      <c r="Y1268" t="s">
        <v>68</v>
      </c>
      <c r="Z1268" t="s">
        <v>159</v>
      </c>
      <c r="AA1268" t="s">
        <v>166</v>
      </c>
      <c r="AB1268">
        <v>4.0999999999999996</v>
      </c>
      <c r="AC1268">
        <v>60</v>
      </c>
      <c r="AD1268">
        <v>4213.42</v>
      </c>
      <c r="AE1268">
        <f t="shared" si="38"/>
        <v>9222.08</v>
      </c>
      <c r="AF1268" t="str">
        <f t="shared" si="39"/>
        <v>2025-06</v>
      </c>
      <c r="AG1268">
        <f>SUBTOTAL(103,A1268)</f>
        <v>1</v>
      </c>
    </row>
    <row r="1269" spans="1:33" x14ac:dyDescent="0.3">
      <c r="A1269" t="s">
        <v>3884</v>
      </c>
      <c r="B1269" s="13">
        <v>45818</v>
      </c>
      <c r="C1269">
        <v>2025</v>
      </c>
      <c r="D1269">
        <v>6</v>
      </c>
      <c r="E1269" t="s">
        <v>3813</v>
      </c>
      <c r="F1269" t="s">
        <v>3329</v>
      </c>
      <c r="G1269" t="s">
        <v>285</v>
      </c>
      <c r="H1269" t="s">
        <v>286</v>
      </c>
      <c r="I1269" t="s">
        <v>85</v>
      </c>
      <c r="J1269">
        <v>20</v>
      </c>
      <c r="K1269" t="s">
        <v>80</v>
      </c>
      <c r="L1269" t="s">
        <v>2589</v>
      </c>
      <c r="M1269" t="s">
        <v>61</v>
      </c>
      <c r="N1269" t="s">
        <v>2665</v>
      </c>
      <c r="O1269" t="s">
        <v>128</v>
      </c>
      <c r="P1269" t="s">
        <v>53</v>
      </c>
      <c r="Q1269" t="s">
        <v>143</v>
      </c>
      <c r="R1269">
        <v>2</v>
      </c>
      <c r="S1269">
        <v>1499</v>
      </c>
      <c r="T1269">
        <v>0.25</v>
      </c>
      <c r="U1269">
        <v>0</v>
      </c>
      <c r="V1269">
        <v>0</v>
      </c>
      <c r="W1269">
        <v>0</v>
      </c>
      <c r="X1269" t="s">
        <v>77</v>
      </c>
      <c r="Y1269" t="s">
        <v>71</v>
      </c>
      <c r="Z1269" t="s">
        <v>161</v>
      </c>
      <c r="AA1269" t="s">
        <v>169</v>
      </c>
      <c r="AB1269">
        <v>3.9</v>
      </c>
      <c r="AC1269">
        <v>80</v>
      </c>
      <c r="AD1269">
        <v>108.51</v>
      </c>
      <c r="AE1269">
        <f t="shared" si="38"/>
        <v>-188.51</v>
      </c>
      <c r="AF1269" t="str">
        <f t="shared" si="39"/>
        <v>2025-06</v>
      </c>
      <c r="AG1269">
        <f>SUBTOTAL(103,A1269)</f>
        <v>1</v>
      </c>
    </row>
    <row r="1270" spans="1:33" x14ac:dyDescent="0.3">
      <c r="A1270" t="s">
        <v>3885</v>
      </c>
      <c r="B1270" s="13">
        <v>45818</v>
      </c>
      <c r="C1270">
        <v>2025</v>
      </c>
      <c r="D1270">
        <v>6</v>
      </c>
      <c r="E1270" t="s">
        <v>3813</v>
      </c>
      <c r="F1270" t="s">
        <v>3329</v>
      </c>
      <c r="G1270" t="s">
        <v>1521</v>
      </c>
      <c r="H1270" t="s">
        <v>1522</v>
      </c>
      <c r="I1270" t="s">
        <v>85</v>
      </c>
      <c r="J1270">
        <v>34</v>
      </c>
      <c r="K1270" t="s">
        <v>81</v>
      </c>
      <c r="L1270" t="s">
        <v>2589</v>
      </c>
      <c r="M1270" t="s">
        <v>61</v>
      </c>
      <c r="N1270" t="s">
        <v>2582</v>
      </c>
      <c r="O1270" t="s">
        <v>119</v>
      </c>
      <c r="P1270" t="s">
        <v>49</v>
      </c>
      <c r="Q1270" t="s">
        <v>140</v>
      </c>
      <c r="R1270">
        <v>3</v>
      </c>
      <c r="S1270">
        <v>3499</v>
      </c>
      <c r="T1270">
        <v>0.1</v>
      </c>
      <c r="U1270">
        <v>9447.2999999999993</v>
      </c>
      <c r="V1270">
        <v>6300</v>
      </c>
      <c r="W1270">
        <v>3147.3</v>
      </c>
      <c r="X1270" t="s">
        <v>75</v>
      </c>
      <c r="Y1270" t="s">
        <v>68</v>
      </c>
      <c r="Z1270" t="s">
        <v>161</v>
      </c>
      <c r="AA1270" t="s">
        <v>166</v>
      </c>
      <c r="AB1270">
        <v>3.7</v>
      </c>
      <c r="AC1270">
        <v>40</v>
      </c>
      <c r="AD1270">
        <v>1090.42</v>
      </c>
      <c r="AE1270">
        <f t="shared" si="38"/>
        <v>2016.88</v>
      </c>
      <c r="AF1270" t="str">
        <f t="shared" si="39"/>
        <v>2025-06</v>
      </c>
      <c r="AG1270">
        <f>SUBTOTAL(103,A1270)</f>
        <v>1</v>
      </c>
    </row>
    <row r="1271" spans="1:33" x14ac:dyDescent="0.3">
      <c r="A1271" t="s">
        <v>3886</v>
      </c>
      <c r="B1271" s="13">
        <v>45818</v>
      </c>
      <c r="C1271">
        <v>2025</v>
      </c>
      <c r="D1271">
        <v>6</v>
      </c>
      <c r="E1271" t="s">
        <v>3813</v>
      </c>
      <c r="F1271" t="s">
        <v>3329</v>
      </c>
      <c r="G1271" t="s">
        <v>1031</v>
      </c>
      <c r="H1271" t="s">
        <v>1032</v>
      </c>
      <c r="I1271" t="s">
        <v>85</v>
      </c>
      <c r="J1271">
        <v>42</v>
      </c>
      <c r="K1271" t="s">
        <v>82</v>
      </c>
      <c r="L1271" t="s">
        <v>2637</v>
      </c>
      <c r="M1271" t="s">
        <v>64</v>
      </c>
      <c r="N1271" t="s">
        <v>2574</v>
      </c>
      <c r="O1271" t="s">
        <v>130</v>
      </c>
      <c r="P1271" t="s">
        <v>50</v>
      </c>
      <c r="Q1271" t="s">
        <v>53</v>
      </c>
      <c r="R1271">
        <v>4</v>
      </c>
      <c r="S1271">
        <v>1199</v>
      </c>
      <c r="T1271">
        <v>0.2</v>
      </c>
      <c r="U1271">
        <v>3836.8</v>
      </c>
      <c r="V1271">
        <v>2200</v>
      </c>
      <c r="W1271">
        <v>1636.8</v>
      </c>
      <c r="X1271" t="s">
        <v>76</v>
      </c>
      <c r="Y1271" t="s">
        <v>68</v>
      </c>
      <c r="Z1271" t="s">
        <v>161</v>
      </c>
      <c r="AA1271" t="s">
        <v>167</v>
      </c>
      <c r="AB1271">
        <v>3.9</v>
      </c>
      <c r="AC1271">
        <v>80</v>
      </c>
      <c r="AD1271">
        <v>111.1</v>
      </c>
      <c r="AE1271">
        <f t="shared" si="38"/>
        <v>1445.7</v>
      </c>
      <c r="AF1271" t="str">
        <f t="shared" si="39"/>
        <v>2025-06</v>
      </c>
      <c r="AG1271">
        <f>SUBTOTAL(103,A1271)</f>
        <v>1</v>
      </c>
    </row>
    <row r="1272" spans="1:33" x14ac:dyDescent="0.3">
      <c r="A1272" t="s">
        <v>3887</v>
      </c>
      <c r="B1272" s="13">
        <v>45819</v>
      </c>
      <c r="C1272">
        <v>2025</v>
      </c>
      <c r="D1272">
        <v>6</v>
      </c>
      <c r="E1272" t="s">
        <v>3813</v>
      </c>
      <c r="F1272" t="s">
        <v>3329</v>
      </c>
      <c r="G1272" t="s">
        <v>441</v>
      </c>
      <c r="H1272" t="s">
        <v>442</v>
      </c>
      <c r="I1272" t="s">
        <v>85</v>
      </c>
      <c r="J1272">
        <v>49</v>
      </c>
      <c r="K1272" t="s">
        <v>83</v>
      </c>
      <c r="L1272" t="s">
        <v>100</v>
      </c>
      <c r="M1272" t="s">
        <v>56</v>
      </c>
      <c r="N1272" t="s">
        <v>2626</v>
      </c>
      <c r="O1272" t="s">
        <v>125</v>
      </c>
      <c r="P1272" t="s">
        <v>48</v>
      </c>
      <c r="Q1272" t="s">
        <v>141</v>
      </c>
      <c r="R1272">
        <v>2</v>
      </c>
      <c r="S1272">
        <v>1999</v>
      </c>
      <c r="T1272">
        <v>0.25</v>
      </c>
      <c r="U1272">
        <v>2998.5</v>
      </c>
      <c r="V1272">
        <v>2300</v>
      </c>
      <c r="W1272">
        <v>698.5</v>
      </c>
      <c r="X1272" t="s">
        <v>74</v>
      </c>
      <c r="Y1272" t="s">
        <v>69</v>
      </c>
      <c r="Z1272" t="s">
        <v>160</v>
      </c>
      <c r="AA1272" t="s">
        <v>169</v>
      </c>
      <c r="AB1272">
        <v>4.4000000000000004</v>
      </c>
      <c r="AC1272">
        <v>50</v>
      </c>
      <c r="AD1272">
        <v>261.18</v>
      </c>
      <c r="AE1272">
        <f t="shared" si="38"/>
        <v>387.32</v>
      </c>
      <c r="AF1272" t="str">
        <f t="shared" si="39"/>
        <v>2025-06</v>
      </c>
      <c r="AG1272">
        <f>SUBTOTAL(103,A1272)</f>
        <v>1</v>
      </c>
    </row>
    <row r="1273" spans="1:33" x14ac:dyDescent="0.3">
      <c r="A1273" t="s">
        <v>3888</v>
      </c>
      <c r="B1273" s="13">
        <v>45819</v>
      </c>
      <c r="C1273">
        <v>2025</v>
      </c>
      <c r="D1273">
        <v>6</v>
      </c>
      <c r="E1273" t="s">
        <v>3813</v>
      </c>
      <c r="F1273" t="s">
        <v>3329</v>
      </c>
      <c r="G1273" t="s">
        <v>1533</v>
      </c>
      <c r="H1273" t="s">
        <v>1534</v>
      </c>
      <c r="I1273" t="s">
        <v>86</v>
      </c>
      <c r="J1273">
        <v>19</v>
      </c>
      <c r="K1273" t="s">
        <v>80</v>
      </c>
      <c r="L1273" t="s">
        <v>2599</v>
      </c>
      <c r="M1273" t="s">
        <v>62</v>
      </c>
      <c r="N1273" t="s">
        <v>2630</v>
      </c>
      <c r="O1273" t="s">
        <v>123</v>
      </c>
      <c r="P1273" t="s">
        <v>52</v>
      </c>
      <c r="Q1273" t="s">
        <v>146</v>
      </c>
      <c r="R1273">
        <v>2</v>
      </c>
      <c r="S1273">
        <v>2499</v>
      </c>
      <c r="T1273">
        <v>0.1</v>
      </c>
      <c r="U1273">
        <v>4498.2</v>
      </c>
      <c r="V1273">
        <v>2800</v>
      </c>
      <c r="W1273">
        <v>1698.2</v>
      </c>
      <c r="X1273" t="s">
        <v>77</v>
      </c>
      <c r="Y1273" t="s">
        <v>68</v>
      </c>
      <c r="Z1273" t="s">
        <v>159</v>
      </c>
      <c r="AA1273" t="s">
        <v>169</v>
      </c>
      <c r="AB1273">
        <v>4.9000000000000004</v>
      </c>
      <c r="AC1273">
        <v>80</v>
      </c>
      <c r="AD1273">
        <v>276.42</v>
      </c>
      <c r="AE1273">
        <f t="shared" si="38"/>
        <v>1341.78</v>
      </c>
      <c r="AF1273" t="str">
        <f t="shared" si="39"/>
        <v>2025-06</v>
      </c>
      <c r="AG1273">
        <f>SUBTOTAL(103,A1273)</f>
        <v>1</v>
      </c>
    </row>
    <row r="1274" spans="1:33" x14ac:dyDescent="0.3">
      <c r="A1274" t="s">
        <v>3889</v>
      </c>
      <c r="B1274" s="13">
        <v>45819</v>
      </c>
      <c r="C1274">
        <v>2025</v>
      </c>
      <c r="D1274">
        <v>6</v>
      </c>
      <c r="E1274" t="s">
        <v>3813</v>
      </c>
      <c r="F1274" t="s">
        <v>3329</v>
      </c>
      <c r="G1274" t="s">
        <v>1749</v>
      </c>
      <c r="H1274" t="s">
        <v>1750</v>
      </c>
      <c r="I1274" t="s">
        <v>85</v>
      </c>
      <c r="J1274">
        <v>20</v>
      </c>
      <c r="K1274" t="s">
        <v>80</v>
      </c>
      <c r="L1274" t="s">
        <v>95</v>
      </c>
      <c r="M1274" t="s">
        <v>56</v>
      </c>
      <c r="N1274" t="s">
        <v>2606</v>
      </c>
      <c r="O1274" t="s">
        <v>120</v>
      </c>
      <c r="P1274" t="s">
        <v>49</v>
      </c>
      <c r="Q1274" t="s">
        <v>140</v>
      </c>
      <c r="R1274">
        <v>4</v>
      </c>
      <c r="S1274">
        <v>2799</v>
      </c>
      <c r="T1274">
        <v>0.1</v>
      </c>
      <c r="U1274">
        <v>10076.4</v>
      </c>
      <c r="V1274">
        <v>6600</v>
      </c>
      <c r="W1274">
        <v>3476.4</v>
      </c>
      <c r="X1274" t="s">
        <v>74</v>
      </c>
      <c r="Y1274" t="s">
        <v>68</v>
      </c>
      <c r="Z1274" t="s">
        <v>162</v>
      </c>
      <c r="AA1274" t="s">
        <v>166</v>
      </c>
      <c r="AB1274">
        <v>3.5</v>
      </c>
      <c r="AC1274">
        <v>80</v>
      </c>
      <c r="AD1274">
        <v>865.17</v>
      </c>
      <c r="AE1274">
        <f t="shared" si="38"/>
        <v>2531.23</v>
      </c>
      <c r="AF1274" t="str">
        <f t="shared" si="39"/>
        <v>2025-06</v>
      </c>
      <c r="AG1274">
        <f>SUBTOTAL(103,A1274)</f>
        <v>1</v>
      </c>
    </row>
    <row r="1275" spans="1:33" x14ac:dyDescent="0.3">
      <c r="A1275" t="s">
        <v>3890</v>
      </c>
      <c r="B1275" s="13">
        <v>45819</v>
      </c>
      <c r="C1275">
        <v>2025</v>
      </c>
      <c r="D1275">
        <v>6</v>
      </c>
      <c r="E1275" t="s">
        <v>3813</v>
      </c>
      <c r="F1275" t="s">
        <v>3329</v>
      </c>
      <c r="G1275" t="s">
        <v>2069</v>
      </c>
      <c r="H1275" t="s">
        <v>2070</v>
      </c>
      <c r="I1275" t="s">
        <v>86</v>
      </c>
      <c r="J1275">
        <v>20</v>
      </c>
      <c r="K1275" t="s">
        <v>80</v>
      </c>
      <c r="L1275" t="s">
        <v>99</v>
      </c>
      <c r="M1275" t="s">
        <v>58</v>
      </c>
      <c r="N1275" t="s">
        <v>2592</v>
      </c>
      <c r="O1275" t="s">
        <v>115</v>
      </c>
      <c r="P1275" t="s">
        <v>48</v>
      </c>
      <c r="Q1275" t="s">
        <v>137</v>
      </c>
      <c r="R1275">
        <v>3</v>
      </c>
      <c r="S1275">
        <v>12999</v>
      </c>
      <c r="T1275">
        <v>0.15</v>
      </c>
      <c r="U1275">
        <v>0</v>
      </c>
      <c r="V1275">
        <v>0</v>
      </c>
      <c r="W1275">
        <v>0</v>
      </c>
      <c r="X1275" t="s">
        <v>73</v>
      </c>
      <c r="Y1275" t="s">
        <v>71</v>
      </c>
      <c r="Z1275" t="s">
        <v>162</v>
      </c>
      <c r="AA1275" t="s">
        <v>170</v>
      </c>
      <c r="AB1275">
        <v>5</v>
      </c>
      <c r="AC1275">
        <v>60</v>
      </c>
      <c r="AD1275">
        <v>3319.8</v>
      </c>
      <c r="AE1275">
        <f t="shared" si="38"/>
        <v>-3379.8</v>
      </c>
      <c r="AF1275" t="str">
        <f t="shared" si="39"/>
        <v>2025-06</v>
      </c>
      <c r="AG1275">
        <f>SUBTOTAL(103,A1275)</f>
        <v>1</v>
      </c>
    </row>
    <row r="1276" spans="1:33" x14ac:dyDescent="0.3">
      <c r="A1276" t="s">
        <v>3891</v>
      </c>
      <c r="B1276" s="13">
        <v>45819</v>
      </c>
      <c r="C1276">
        <v>2025</v>
      </c>
      <c r="D1276">
        <v>6</v>
      </c>
      <c r="E1276" t="s">
        <v>3813</v>
      </c>
      <c r="F1276" t="s">
        <v>3329</v>
      </c>
      <c r="G1276" t="s">
        <v>841</v>
      </c>
      <c r="H1276" t="s">
        <v>842</v>
      </c>
      <c r="I1276" t="s">
        <v>86</v>
      </c>
      <c r="J1276">
        <v>49</v>
      </c>
      <c r="K1276" t="s">
        <v>83</v>
      </c>
      <c r="L1276" t="s">
        <v>2661</v>
      </c>
      <c r="M1276" t="s">
        <v>58</v>
      </c>
      <c r="N1276" t="s">
        <v>2574</v>
      </c>
      <c r="O1276" t="s">
        <v>130</v>
      </c>
      <c r="P1276" t="s">
        <v>50</v>
      </c>
      <c r="Q1276" t="s">
        <v>53</v>
      </c>
      <c r="R1276">
        <v>2</v>
      </c>
      <c r="S1276">
        <v>1199</v>
      </c>
      <c r="T1276">
        <v>0.15</v>
      </c>
      <c r="U1276">
        <v>2038.3</v>
      </c>
      <c r="V1276">
        <v>1100</v>
      </c>
      <c r="W1276">
        <v>938.3</v>
      </c>
      <c r="X1276" t="s">
        <v>73</v>
      </c>
      <c r="Y1276" t="s">
        <v>69</v>
      </c>
      <c r="Z1276" t="s">
        <v>160</v>
      </c>
      <c r="AA1276" t="s">
        <v>170</v>
      </c>
      <c r="AB1276">
        <v>4.5999999999999996</v>
      </c>
      <c r="AC1276">
        <v>40</v>
      </c>
      <c r="AD1276">
        <v>207.35</v>
      </c>
      <c r="AE1276">
        <f t="shared" si="38"/>
        <v>690.94999999999993</v>
      </c>
      <c r="AF1276" t="str">
        <f t="shared" si="39"/>
        <v>2025-06</v>
      </c>
      <c r="AG1276">
        <f>SUBTOTAL(103,A1276)</f>
        <v>1</v>
      </c>
    </row>
    <row r="1277" spans="1:33" x14ac:dyDescent="0.3">
      <c r="A1277" t="s">
        <v>3892</v>
      </c>
      <c r="B1277" s="13">
        <v>45819</v>
      </c>
      <c r="C1277">
        <v>2025</v>
      </c>
      <c r="D1277">
        <v>6</v>
      </c>
      <c r="E1277" t="s">
        <v>3813</v>
      </c>
      <c r="F1277" t="s">
        <v>3329</v>
      </c>
      <c r="G1277" t="s">
        <v>1349</v>
      </c>
      <c r="H1277" t="s">
        <v>1350</v>
      </c>
      <c r="I1277" t="s">
        <v>85</v>
      </c>
      <c r="J1277">
        <v>51</v>
      </c>
      <c r="K1277" t="s">
        <v>83</v>
      </c>
      <c r="L1277" t="s">
        <v>2661</v>
      </c>
      <c r="M1277" t="s">
        <v>58</v>
      </c>
      <c r="N1277" t="s">
        <v>2653</v>
      </c>
      <c r="O1277" t="s">
        <v>132</v>
      </c>
      <c r="P1277" t="s">
        <v>52</v>
      </c>
      <c r="Q1277" t="s">
        <v>150</v>
      </c>
      <c r="R1277">
        <v>1</v>
      </c>
      <c r="S1277">
        <v>899</v>
      </c>
      <c r="T1277">
        <v>0</v>
      </c>
      <c r="U1277">
        <v>899</v>
      </c>
      <c r="V1277">
        <v>420</v>
      </c>
      <c r="W1277">
        <v>479</v>
      </c>
      <c r="X1277" t="s">
        <v>74</v>
      </c>
      <c r="Y1277" t="s">
        <v>68</v>
      </c>
      <c r="Z1277" t="s">
        <v>162</v>
      </c>
      <c r="AA1277" t="s">
        <v>166</v>
      </c>
      <c r="AB1277">
        <v>4.2</v>
      </c>
      <c r="AC1277">
        <v>60</v>
      </c>
      <c r="AD1277">
        <v>35.07</v>
      </c>
      <c r="AE1277">
        <f t="shared" si="38"/>
        <v>383.93</v>
      </c>
      <c r="AF1277" t="str">
        <f t="shared" si="39"/>
        <v>2025-06</v>
      </c>
      <c r="AG1277">
        <f>SUBTOTAL(103,A1277)</f>
        <v>1</v>
      </c>
    </row>
    <row r="1278" spans="1:33" x14ac:dyDescent="0.3">
      <c r="A1278" t="s">
        <v>3893</v>
      </c>
      <c r="B1278" s="13">
        <v>45819</v>
      </c>
      <c r="C1278">
        <v>2025</v>
      </c>
      <c r="D1278">
        <v>6</v>
      </c>
      <c r="E1278" t="s">
        <v>3813</v>
      </c>
      <c r="F1278" t="s">
        <v>3329</v>
      </c>
      <c r="G1278" t="s">
        <v>1683</v>
      </c>
      <c r="H1278" t="s">
        <v>1684</v>
      </c>
      <c r="I1278" t="s">
        <v>86</v>
      </c>
      <c r="J1278">
        <v>45</v>
      </c>
      <c r="K1278" t="s">
        <v>82</v>
      </c>
      <c r="L1278" t="s">
        <v>94</v>
      </c>
      <c r="M1278" t="s">
        <v>57</v>
      </c>
      <c r="N1278" t="s">
        <v>2584</v>
      </c>
      <c r="O1278" t="s">
        <v>121</v>
      </c>
      <c r="P1278" t="s">
        <v>50</v>
      </c>
      <c r="Q1278" t="s">
        <v>144</v>
      </c>
      <c r="R1278">
        <v>1</v>
      </c>
      <c r="S1278">
        <v>2999</v>
      </c>
      <c r="T1278">
        <v>0.2</v>
      </c>
      <c r="U1278">
        <v>2399.1999999999998</v>
      </c>
      <c r="V1278">
        <v>1700</v>
      </c>
      <c r="W1278">
        <v>699.2</v>
      </c>
      <c r="X1278" t="s">
        <v>73</v>
      </c>
      <c r="Y1278" t="s">
        <v>68</v>
      </c>
      <c r="Z1278" t="s">
        <v>160</v>
      </c>
      <c r="AA1278" t="s">
        <v>168</v>
      </c>
      <c r="AB1278">
        <v>4.7</v>
      </c>
      <c r="AC1278">
        <v>120</v>
      </c>
      <c r="AD1278">
        <v>102.38</v>
      </c>
      <c r="AE1278">
        <f t="shared" si="38"/>
        <v>476.82000000000005</v>
      </c>
      <c r="AF1278" t="str">
        <f t="shared" si="39"/>
        <v>2025-06</v>
      </c>
      <c r="AG1278">
        <f>SUBTOTAL(103,A1278)</f>
        <v>1</v>
      </c>
    </row>
    <row r="1279" spans="1:33" x14ac:dyDescent="0.3">
      <c r="A1279" t="s">
        <v>3894</v>
      </c>
      <c r="B1279" s="13">
        <v>45820</v>
      </c>
      <c r="C1279">
        <v>2025</v>
      </c>
      <c r="D1279">
        <v>6</v>
      </c>
      <c r="E1279" t="s">
        <v>3813</v>
      </c>
      <c r="F1279" t="s">
        <v>3329</v>
      </c>
      <c r="G1279" t="s">
        <v>1119</v>
      </c>
      <c r="H1279" t="s">
        <v>1120</v>
      </c>
      <c r="I1279" t="s">
        <v>85</v>
      </c>
      <c r="J1279">
        <v>51</v>
      </c>
      <c r="K1279" t="s">
        <v>83</v>
      </c>
      <c r="L1279" t="s">
        <v>2679</v>
      </c>
      <c r="M1279" t="s">
        <v>60</v>
      </c>
      <c r="N1279" t="s">
        <v>2580</v>
      </c>
      <c r="O1279" t="s">
        <v>118</v>
      </c>
      <c r="P1279" t="s">
        <v>48</v>
      </c>
      <c r="Q1279" t="s">
        <v>142</v>
      </c>
      <c r="R1279">
        <v>1</v>
      </c>
      <c r="S1279">
        <v>3999</v>
      </c>
      <c r="T1279">
        <v>0.15</v>
      </c>
      <c r="U1279">
        <v>3399.15</v>
      </c>
      <c r="V1279">
        <v>2400</v>
      </c>
      <c r="W1279">
        <v>999.15</v>
      </c>
      <c r="X1279" t="s">
        <v>76</v>
      </c>
      <c r="Y1279" t="s">
        <v>68</v>
      </c>
      <c r="Z1279" t="s">
        <v>160</v>
      </c>
      <c r="AA1279" t="s">
        <v>168</v>
      </c>
      <c r="AB1279">
        <v>4.8</v>
      </c>
      <c r="AC1279">
        <v>120</v>
      </c>
      <c r="AD1279">
        <v>276.51</v>
      </c>
      <c r="AE1279">
        <f t="shared" si="38"/>
        <v>602.64</v>
      </c>
      <c r="AF1279" t="str">
        <f t="shared" si="39"/>
        <v>2025-06</v>
      </c>
      <c r="AG1279">
        <f>SUBTOTAL(103,A1279)</f>
        <v>1</v>
      </c>
    </row>
    <row r="1280" spans="1:33" x14ac:dyDescent="0.3">
      <c r="A1280" t="s">
        <v>3895</v>
      </c>
      <c r="B1280" s="13">
        <v>45820</v>
      </c>
      <c r="C1280">
        <v>2025</v>
      </c>
      <c r="D1280">
        <v>6</v>
      </c>
      <c r="E1280" t="s">
        <v>3813</v>
      </c>
      <c r="F1280" t="s">
        <v>3329</v>
      </c>
      <c r="G1280" t="s">
        <v>2479</v>
      </c>
      <c r="H1280" t="s">
        <v>2480</v>
      </c>
      <c r="I1280" t="s">
        <v>86</v>
      </c>
      <c r="J1280">
        <v>36</v>
      </c>
      <c r="K1280" t="s">
        <v>82</v>
      </c>
      <c r="L1280" t="s">
        <v>2605</v>
      </c>
      <c r="M1280" t="s">
        <v>60</v>
      </c>
      <c r="N1280" t="s">
        <v>2594</v>
      </c>
      <c r="O1280" t="s">
        <v>131</v>
      </c>
      <c r="P1280" t="s">
        <v>53</v>
      </c>
      <c r="Q1280" t="s">
        <v>143</v>
      </c>
      <c r="R1280">
        <v>1</v>
      </c>
      <c r="S1280">
        <v>999</v>
      </c>
      <c r="T1280">
        <v>0.1</v>
      </c>
      <c r="U1280">
        <v>899.1</v>
      </c>
      <c r="V1280">
        <v>520</v>
      </c>
      <c r="W1280">
        <v>379.1</v>
      </c>
      <c r="X1280" t="s">
        <v>76</v>
      </c>
      <c r="Y1280" t="s">
        <v>68</v>
      </c>
      <c r="Z1280" t="s">
        <v>160</v>
      </c>
      <c r="AA1280" t="s">
        <v>171</v>
      </c>
      <c r="AB1280">
        <v>4.7</v>
      </c>
      <c r="AC1280">
        <v>60</v>
      </c>
      <c r="AD1280">
        <v>106.08</v>
      </c>
      <c r="AE1280">
        <f t="shared" si="38"/>
        <v>213.02000000000004</v>
      </c>
      <c r="AF1280" t="str">
        <f t="shared" si="39"/>
        <v>2025-06</v>
      </c>
      <c r="AG1280">
        <f>SUBTOTAL(103,A1280)</f>
        <v>1</v>
      </c>
    </row>
    <row r="1281" spans="1:33" x14ac:dyDescent="0.3">
      <c r="A1281" t="s">
        <v>3896</v>
      </c>
      <c r="B1281" s="13">
        <v>45820</v>
      </c>
      <c r="C1281">
        <v>2025</v>
      </c>
      <c r="D1281">
        <v>6</v>
      </c>
      <c r="E1281" t="s">
        <v>3813</v>
      </c>
      <c r="F1281" t="s">
        <v>3329</v>
      </c>
      <c r="G1281" t="s">
        <v>779</v>
      </c>
      <c r="H1281" t="s">
        <v>780</v>
      </c>
      <c r="I1281" t="s">
        <v>85</v>
      </c>
      <c r="J1281">
        <v>19</v>
      </c>
      <c r="K1281" t="s">
        <v>80</v>
      </c>
      <c r="L1281" t="s">
        <v>96</v>
      </c>
      <c r="M1281" t="s">
        <v>55</v>
      </c>
      <c r="N1281" t="s">
        <v>2647</v>
      </c>
      <c r="O1281" t="s">
        <v>133</v>
      </c>
      <c r="P1281" t="s">
        <v>50</v>
      </c>
      <c r="Q1281" t="s">
        <v>145</v>
      </c>
      <c r="R1281">
        <v>1</v>
      </c>
      <c r="S1281">
        <v>799</v>
      </c>
      <c r="T1281">
        <v>0.05</v>
      </c>
      <c r="U1281">
        <v>759.05</v>
      </c>
      <c r="V1281">
        <v>390</v>
      </c>
      <c r="W1281">
        <v>369.05</v>
      </c>
      <c r="X1281" t="s">
        <v>73</v>
      </c>
      <c r="Y1281" t="s">
        <v>68</v>
      </c>
      <c r="Z1281" t="s">
        <v>162</v>
      </c>
      <c r="AA1281" t="s">
        <v>171</v>
      </c>
      <c r="AB1281">
        <v>2.9</v>
      </c>
      <c r="AC1281">
        <v>80</v>
      </c>
      <c r="AD1281">
        <v>79.88</v>
      </c>
      <c r="AE1281">
        <f t="shared" si="38"/>
        <v>209.17000000000002</v>
      </c>
      <c r="AF1281" t="str">
        <f t="shared" si="39"/>
        <v>2025-06</v>
      </c>
      <c r="AG1281">
        <f>SUBTOTAL(103,A1281)</f>
        <v>1</v>
      </c>
    </row>
    <row r="1282" spans="1:33" x14ac:dyDescent="0.3">
      <c r="A1282" t="s">
        <v>3897</v>
      </c>
      <c r="B1282" s="13">
        <v>45820</v>
      </c>
      <c r="C1282">
        <v>2025</v>
      </c>
      <c r="D1282">
        <v>6</v>
      </c>
      <c r="E1282" t="s">
        <v>3813</v>
      </c>
      <c r="F1282" t="s">
        <v>3329</v>
      </c>
      <c r="G1282" t="s">
        <v>373</v>
      </c>
      <c r="H1282" t="s">
        <v>374</v>
      </c>
      <c r="I1282" t="s">
        <v>85</v>
      </c>
      <c r="J1282">
        <v>40</v>
      </c>
      <c r="K1282" t="s">
        <v>82</v>
      </c>
      <c r="L1282" t="s">
        <v>91</v>
      </c>
      <c r="M1282" t="s">
        <v>55</v>
      </c>
      <c r="N1282" t="s">
        <v>2587</v>
      </c>
      <c r="O1282" t="s">
        <v>116</v>
      </c>
      <c r="P1282" t="s">
        <v>48</v>
      </c>
      <c r="Q1282" t="s">
        <v>138</v>
      </c>
      <c r="R1282">
        <v>3</v>
      </c>
      <c r="S1282">
        <v>14999</v>
      </c>
      <c r="T1282">
        <v>0</v>
      </c>
      <c r="U1282">
        <v>44997</v>
      </c>
      <c r="V1282">
        <v>33600</v>
      </c>
      <c r="W1282">
        <v>11397</v>
      </c>
      <c r="X1282" t="s">
        <v>73</v>
      </c>
      <c r="Y1282" t="s">
        <v>70</v>
      </c>
      <c r="Z1282" t="s">
        <v>161</v>
      </c>
      <c r="AA1282" t="s">
        <v>166</v>
      </c>
      <c r="AB1282">
        <v>4.5999999999999996</v>
      </c>
      <c r="AC1282">
        <v>60</v>
      </c>
      <c r="AD1282">
        <v>4107.4799999999996</v>
      </c>
      <c r="AE1282">
        <f t="shared" ref="AE1282:AE1345" si="40">W1282-AC1282-AD1282</f>
        <v>7229.52</v>
      </c>
      <c r="AF1282" t="str">
        <f t="shared" ref="AF1282:AF1345" si="41">C1282&amp;"-"&amp;TEXT(D1282,"00")</f>
        <v>2025-06</v>
      </c>
      <c r="AG1282">
        <f>SUBTOTAL(103,A1282)</f>
        <v>1</v>
      </c>
    </row>
    <row r="1283" spans="1:33" x14ac:dyDescent="0.3">
      <c r="A1283" t="s">
        <v>3898</v>
      </c>
      <c r="B1283" s="13">
        <v>45820</v>
      </c>
      <c r="C1283">
        <v>2025</v>
      </c>
      <c r="D1283">
        <v>6</v>
      </c>
      <c r="E1283" t="s">
        <v>3813</v>
      </c>
      <c r="F1283" t="s">
        <v>3329</v>
      </c>
      <c r="G1283" t="s">
        <v>1687</v>
      </c>
      <c r="H1283" t="s">
        <v>1688</v>
      </c>
      <c r="I1283" t="s">
        <v>85</v>
      </c>
      <c r="J1283">
        <v>35</v>
      </c>
      <c r="K1283" t="s">
        <v>81</v>
      </c>
      <c r="L1283" t="s">
        <v>94</v>
      </c>
      <c r="M1283" t="s">
        <v>57</v>
      </c>
      <c r="N1283" t="s">
        <v>2665</v>
      </c>
      <c r="O1283" t="s">
        <v>128</v>
      </c>
      <c r="P1283" t="s">
        <v>53</v>
      </c>
      <c r="Q1283" t="s">
        <v>143</v>
      </c>
      <c r="R1283">
        <v>3</v>
      </c>
      <c r="S1283">
        <v>1499</v>
      </c>
      <c r="T1283">
        <v>0</v>
      </c>
      <c r="U1283">
        <v>4497</v>
      </c>
      <c r="V1283">
        <v>2400</v>
      </c>
      <c r="W1283">
        <v>2097</v>
      </c>
      <c r="X1283" t="s">
        <v>74</v>
      </c>
      <c r="Y1283" t="s">
        <v>68</v>
      </c>
      <c r="Z1283" t="s">
        <v>158</v>
      </c>
      <c r="AA1283" t="s">
        <v>167</v>
      </c>
      <c r="AB1283">
        <v>4.4000000000000004</v>
      </c>
      <c r="AC1283">
        <v>50</v>
      </c>
      <c r="AD1283">
        <v>430.34</v>
      </c>
      <c r="AE1283">
        <f t="shared" si="40"/>
        <v>1616.66</v>
      </c>
      <c r="AF1283" t="str">
        <f t="shared" si="41"/>
        <v>2025-06</v>
      </c>
      <c r="AG1283">
        <f>SUBTOTAL(103,A1283)</f>
        <v>1</v>
      </c>
    </row>
    <row r="1284" spans="1:33" x14ac:dyDescent="0.3">
      <c r="A1284" t="s">
        <v>3899</v>
      </c>
      <c r="B1284" s="13">
        <v>45820</v>
      </c>
      <c r="C1284">
        <v>2025</v>
      </c>
      <c r="D1284">
        <v>6</v>
      </c>
      <c r="E1284" t="s">
        <v>3813</v>
      </c>
      <c r="F1284" t="s">
        <v>3329</v>
      </c>
      <c r="G1284" t="s">
        <v>865</v>
      </c>
      <c r="H1284" t="s">
        <v>866</v>
      </c>
      <c r="I1284" t="s">
        <v>85</v>
      </c>
      <c r="J1284">
        <v>26</v>
      </c>
      <c r="K1284" t="s">
        <v>81</v>
      </c>
      <c r="L1284" t="s">
        <v>2623</v>
      </c>
      <c r="M1284" t="s">
        <v>61</v>
      </c>
      <c r="N1284" t="s">
        <v>2584</v>
      </c>
      <c r="O1284" t="s">
        <v>121</v>
      </c>
      <c r="P1284" t="s">
        <v>50</v>
      </c>
      <c r="Q1284" t="s">
        <v>144</v>
      </c>
      <c r="R1284">
        <v>3</v>
      </c>
      <c r="S1284">
        <v>2999</v>
      </c>
      <c r="T1284">
        <v>0.15</v>
      </c>
      <c r="U1284">
        <v>7647.45</v>
      </c>
      <c r="V1284">
        <v>5100</v>
      </c>
      <c r="W1284">
        <v>2547.4499999999998</v>
      </c>
      <c r="X1284" t="s">
        <v>75</v>
      </c>
      <c r="Y1284" t="s">
        <v>68</v>
      </c>
      <c r="Z1284" t="s">
        <v>158</v>
      </c>
      <c r="AA1284" t="s">
        <v>167</v>
      </c>
      <c r="AB1284">
        <v>4.0999999999999996</v>
      </c>
      <c r="AC1284">
        <v>50</v>
      </c>
      <c r="AD1284">
        <v>605.37</v>
      </c>
      <c r="AE1284">
        <f t="shared" si="40"/>
        <v>1892.08</v>
      </c>
      <c r="AF1284" t="str">
        <f t="shared" si="41"/>
        <v>2025-06</v>
      </c>
      <c r="AG1284">
        <f>SUBTOTAL(103,A1284)</f>
        <v>1</v>
      </c>
    </row>
    <row r="1285" spans="1:33" x14ac:dyDescent="0.3">
      <c r="A1285" t="s">
        <v>3900</v>
      </c>
      <c r="B1285" s="13">
        <v>45820</v>
      </c>
      <c r="C1285">
        <v>2025</v>
      </c>
      <c r="D1285">
        <v>6</v>
      </c>
      <c r="E1285" t="s">
        <v>3813</v>
      </c>
      <c r="F1285" t="s">
        <v>3329</v>
      </c>
      <c r="G1285" t="s">
        <v>2065</v>
      </c>
      <c r="H1285" t="s">
        <v>2066</v>
      </c>
      <c r="I1285" t="s">
        <v>86</v>
      </c>
      <c r="J1285">
        <v>24</v>
      </c>
      <c r="K1285" t="s">
        <v>80</v>
      </c>
      <c r="L1285" t="s">
        <v>2576</v>
      </c>
      <c r="M1285" t="s">
        <v>60</v>
      </c>
      <c r="N1285" t="s">
        <v>2626</v>
      </c>
      <c r="O1285" t="s">
        <v>125</v>
      </c>
      <c r="P1285" t="s">
        <v>48</v>
      </c>
      <c r="Q1285" t="s">
        <v>141</v>
      </c>
      <c r="R1285">
        <v>3</v>
      </c>
      <c r="S1285">
        <v>1999</v>
      </c>
      <c r="T1285">
        <v>0.15</v>
      </c>
      <c r="U1285">
        <v>5097.45</v>
      </c>
      <c r="V1285">
        <v>3450</v>
      </c>
      <c r="W1285">
        <v>1647.45</v>
      </c>
      <c r="X1285" t="s">
        <v>75</v>
      </c>
      <c r="Y1285" t="s">
        <v>68</v>
      </c>
      <c r="Z1285" t="s">
        <v>161</v>
      </c>
      <c r="AA1285" t="s">
        <v>167</v>
      </c>
      <c r="AB1285">
        <v>3.3</v>
      </c>
      <c r="AC1285">
        <v>50</v>
      </c>
      <c r="AD1285">
        <v>169.23</v>
      </c>
      <c r="AE1285">
        <f t="shared" si="40"/>
        <v>1428.22</v>
      </c>
      <c r="AF1285" t="str">
        <f t="shared" si="41"/>
        <v>2025-06</v>
      </c>
      <c r="AG1285">
        <f>SUBTOTAL(103,A1285)</f>
        <v>1</v>
      </c>
    </row>
    <row r="1286" spans="1:33" x14ac:dyDescent="0.3">
      <c r="A1286" t="s">
        <v>3901</v>
      </c>
      <c r="B1286" s="13">
        <v>45821</v>
      </c>
      <c r="C1286">
        <v>2025</v>
      </c>
      <c r="D1286">
        <v>6</v>
      </c>
      <c r="E1286" t="s">
        <v>3813</v>
      </c>
      <c r="F1286" t="s">
        <v>3329</v>
      </c>
      <c r="G1286" t="s">
        <v>643</v>
      </c>
      <c r="H1286" t="s">
        <v>644</v>
      </c>
      <c r="I1286" t="s">
        <v>85</v>
      </c>
      <c r="J1286">
        <v>35</v>
      </c>
      <c r="K1286" t="s">
        <v>81</v>
      </c>
      <c r="L1286" t="s">
        <v>2623</v>
      </c>
      <c r="M1286" t="s">
        <v>61</v>
      </c>
      <c r="N1286" t="s">
        <v>2647</v>
      </c>
      <c r="O1286" t="s">
        <v>133</v>
      </c>
      <c r="P1286" t="s">
        <v>50</v>
      </c>
      <c r="Q1286" t="s">
        <v>145</v>
      </c>
      <c r="R1286">
        <v>1</v>
      </c>
      <c r="S1286">
        <v>799</v>
      </c>
      <c r="T1286">
        <v>0.1</v>
      </c>
      <c r="U1286">
        <v>719.1</v>
      </c>
      <c r="V1286">
        <v>390</v>
      </c>
      <c r="W1286">
        <v>329.1</v>
      </c>
      <c r="X1286" t="s">
        <v>74</v>
      </c>
      <c r="Y1286" t="s">
        <v>68</v>
      </c>
      <c r="Z1286" t="s">
        <v>161</v>
      </c>
      <c r="AA1286" t="s">
        <v>167</v>
      </c>
      <c r="AB1286">
        <v>3.9</v>
      </c>
      <c r="AC1286">
        <v>40</v>
      </c>
      <c r="AD1286">
        <v>73.02</v>
      </c>
      <c r="AE1286">
        <f t="shared" si="40"/>
        <v>216.08000000000004</v>
      </c>
      <c r="AF1286" t="str">
        <f t="shared" si="41"/>
        <v>2025-06</v>
      </c>
      <c r="AG1286">
        <f>SUBTOTAL(103,A1286)</f>
        <v>1</v>
      </c>
    </row>
    <row r="1287" spans="1:33" x14ac:dyDescent="0.3">
      <c r="A1287" t="s">
        <v>3902</v>
      </c>
      <c r="B1287" s="13">
        <v>45821</v>
      </c>
      <c r="C1287">
        <v>2025</v>
      </c>
      <c r="D1287">
        <v>6</v>
      </c>
      <c r="E1287" t="s">
        <v>3813</v>
      </c>
      <c r="F1287" t="s">
        <v>3329</v>
      </c>
      <c r="G1287" t="s">
        <v>2095</v>
      </c>
      <c r="H1287" t="s">
        <v>2096</v>
      </c>
      <c r="I1287" t="s">
        <v>85</v>
      </c>
      <c r="J1287">
        <v>38</v>
      </c>
      <c r="K1287" t="s">
        <v>82</v>
      </c>
      <c r="L1287" t="s">
        <v>91</v>
      </c>
      <c r="M1287" t="s">
        <v>55</v>
      </c>
      <c r="N1287" t="s">
        <v>2596</v>
      </c>
      <c r="O1287" t="s">
        <v>124</v>
      </c>
      <c r="P1287" t="s">
        <v>51</v>
      </c>
      <c r="Q1287" t="s">
        <v>147</v>
      </c>
      <c r="R1287">
        <v>1</v>
      </c>
      <c r="S1287">
        <v>2299</v>
      </c>
      <c r="T1287">
        <v>0.1</v>
      </c>
      <c r="U1287">
        <v>2069.1</v>
      </c>
      <c r="V1287">
        <v>1200</v>
      </c>
      <c r="W1287">
        <v>869.1</v>
      </c>
      <c r="X1287" t="s">
        <v>74</v>
      </c>
      <c r="Y1287" t="s">
        <v>68</v>
      </c>
      <c r="Z1287" t="s">
        <v>161</v>
      </c>
      <c r="AA1287" t="s">
        <v>171</v>
      </c>
      <c r="AB1287">
        <v>4.3</v>
      </c>
      <c r="AC1287">
        <v>60</v>
      </c>
      <c r="AD1287">
        <v>77.13</v>
      </c>
      <c r="AE1287">
        <f t="shared" si="40"/>
        <v>731.97</v>
      </c>
      <c r="AF1287" t="str">
        <f t="shared" si="41"/>
        <v>2025-06</v>
      </c>
      <c r="AG1287">
        <f>SUBTOTAL(103,A1287)</f>
        <v>1</v>
      </c>
    </row>
    <row r="1288" spans="1:33" x14ac:dyDescent="0.3">
      <c r="A1288" t="s">
        <v>3903</v>
      </c>
      <c r="B1288" s="13">
        <v>45821</v>
      </c>
      <c r="C1288">
        <v>2025</v>
      </c>
      <c r="D1288">
        <v>6</v>
      </c>
      <c r="E1288" t="s">
        <v>3813</v>
      </c>
      <c r="F1288" t="s">
        <v>3329</v>
      </c>
      <c r="G1288" t="s">
        <v>609</v>
      </c>
      <c r="H1288" t="s">
        <v>610</v>
      </c>
      <c r="I1288" t="s">
        <v>86</v>
      </c>
      <c r="J1288">
        <v>29</v>
      </c>
      <c r="K1288" t="s">
        <v>81</v>
      </c>
      <c r="L1288" t="s">
        <v>97</v>
      </c>
      <c r="M1288" t="s">
        <v>57</v>
      </c>
      <c r="N1288" t="s">
        <v>2644</v>
      </c>
      <c r="O1288" t="s">
        <v>126</v>
      </c>
      <c r="P1288" t="s">
        <v>50</v>
      </c>
      <c r="Q1288" t="s">
        <v>145</v>
      </c>
      <c r="R1288">
        <v>3</v>
      </c>
      <c r="S1288">
        <v>1799</v>
      </c>
      <c r="T1288">
        <v>0.15</v>
      </c>
      <c r="U1288">
        <v>4587.45</v>
      </c>
      <c r="V1288">
        <v>2850</v>
      </c>
      <c r="W1288">
        <v>1737.45</v>
      </c>
      <c r="X1288" t="s">
        <v>73</v>
      </c>
      <c r="Y1288" t="s">
        <v>68</v>
      </c>
      <c r="Z1288" t="s">
        <v>159</v>
      </c>
      <c r="AA1288" t="s">
        <v>169</v>
      </c>
      <c r="AB1288">
        <v>4.5999999999999996</v>
      </c>
      <c r="AC1288">
        <v>40</v>
      </c>
      <c r="AD1288">
        <v>464.06</v>
      </c>
      <c r="AE1288">
        <f t="shared" si="40"/>
        <v>1233.3900000000001</v>
      </c>
      <c r="AF1288" t="str">
        <f t="shared" si="41"/>
        <v>2025-06</v>
      </c>
      <c r="AG1288">
        <f>SUBTOTAL(103,A1288)</f>
        <v>1</v>
      </c>
    </row>
    <row r="1289" spans="1:33" x14ac:dyDescent="0.3">
      <c r="A1289" t="s">
        <v>3904</v>
      </c>
      <c r="B1289" s="13">
        <v>45821</v>
      </c>
      <c r="C1289">
        <v>2025</v>
      </c>
      <c r="D1289">
        <v>6</v>
      </c>
      <c r="E1289" t="s">
        <v>3813</v>
      </c>
      <c r="F1289" t="s">
        <v>3329</v>
      </c>
      <c r="G1289" t="s">
        <v>465</v>
      </c>
      <c r="H1289" t="s">
        <v>466</v>
      </c>
      <c r="I1289" t="s">
        <v>86</v>
      </c>
      <c r="J1289">
        <v>53</v>
      </c>
      <c r="K1289" t="s">
        <v>83</v>
      </c>
      <c r="L1289" t="s">
        <v>94</v>
      </c>
      <c r="M1289" t="s">
        <v>57</v>
      </c>
      <c r="N1289" t="s">
        <v>2587</v>
      </c>
      <c r="O1289" t="s">
        <v>116</v>
      </c>
      <c r="P1289" t="s">
        <v>48</v>
      </c>
      <c r="Q1289" t="s">
        <v>138</v>
      </c>
      <c r="R1289">
        <v>2</v>
      </c>
      <c r="S1289">
        <v>14999</v>
      </c>
      <c r="T1289">
        <v>0</v>
      </c>
      <c r="U1289">
        <v>29998</v>
      </c>
      <c r="V1289">
        <v>22400</v>
      </c>
      <c r="W1289">
        <v>7598</v>
      </c>
      <c r="X1289" t="s">
        <v>76</v>
      </c>
      <c r="Y1289" t="s">
        <v>68</v>
      </c>
      <c r="Z1289" t="s">
        <v>160</v>
      </c>
      <c r="AA1289" t="s">
        <v>167</v>
      </c>
      <c r="AB1289">
        <v>3.4</v>
      </c>
      <c r="AC1289">
        <v>60</v>
      </c>
      <c r="AD1289">
        <v>3470.26</v>
      </c>
      <c r="AE1289">
        <f t="shared" si="40"/>
        <v>4067.74</v>
      </c>
      <c r="AF1289" t="str">
        <f t="shared" si="41"/>
        <v>2025-06</v>
      </c>
      <c r="AG1289">
        <f>SUBTOTAL(103,A1289)</f>
        <v>1</v>
      </c>
    </row>
    <row r="1290" spans="1:33" x14ac:dyDescent="0.3">
      <c r="A1290" t="s">
        <v>3905</v>
      </c>
      <c r="B1290" s="13">
        <v>45821</v>
      </c>
      <c r="C1290">
        <v>2025</v>
      </c>
      <c r="D1290">
        <v>6</v>
      </c>
      <c r="E1290" t="s">
        <v>3813</v>
      </c>
      <c r="F1290" t="s">
        <v>3329</v>
      </c>
      <c r="G1290" t="s">
        <v>1311</v>
      </c>
      <c r="H1290" t="s">
        <v>1312</v>
      </c>
      <c r="I1290" t="s">
        <v>85</v>
      </c>
      <c r="J1290">
        <v>49</v>
      </c>
      <c r="K1290" t="s">
        <v>83</v>
      </c>
      <c r="L1290" t="s">
        <v>90</v>
      </c>
      <c r="M1290" t="s">
        <v>55</v>
      </c>
      <c r="N1290" t="s">
        <v>2590</v>
      </c>
      <c r="O1290" t="s">
        <v>127</v>
      </c>
      <c r="P1290" t="s">
        <v>51</v>
      </c>
      <c r="Q1290" t="s">
        <v>148</v>
      </c>
      <c r="R1290">
        <v>2</v>
      </c>
      <c r="S1290">
        <v>1599</v>
      </c>
      <c r="T1290">
        <v>0.1</v>
      </c>
      <c r="U1290">
        <v>2878.2</v>
      </c>
      <c r="V1290">
        <v>1600</v>
      </c>
      <c r="W1290">
        <v>1278.2</v>
      </c>
      <c r="X1290" t="s">
        <v>75</v>
      </c>
      <c r="Y1290" t="s">
        <v>69</v>
      </c>
      <c r="Z1290" t="s">
        <v>163</v>
      </c>
      <c r="AA1290" t="s">
        <v>166</v>
      </c>
      <c r="AB1290">
        <v>4</v>
      </c>
      <c r="AC1290">
        <v>120</v>
      </c>
      <c r="AD1290">
        <v>281.92</v>
      </c>
      <c r="AE1290">
        <f t="shared" si="40"/>
        <v>876.28</v>
      </c>
      <c r="AF1290" t="str">
        <f t="shared" si="41"/>
        <v>2025-06</v>
      </c>
      <c r="AG1290">
        <f>SUBTOTAL(103,A1290)</f>
        <v>1</v>
      </c>
    </row>
    <row r="1291" spans="1:33" x14ac:dyDescent="0.3">
      <c r="A1291" t="s">
        <v>3906</v>
      </c>
      <c r="B1291" s="13">
        <v>45821</v>
      </c>
      <c r="C1291">
        <v>2025</v>
      </c>
      <c r="D1291">
        <v>6</v>
      </c>
      <c r="E1291" t="s">
        <v>3813</v>
      </c>
      <c r="F1291" t="s">
        <v>3329</v>
      </c>
      <c r="G1291" t="s">
        <v>2303</v>
      </c>
      <c r="H1291" t="s">
        <v>2304</v>
      </c>
      <c r="I1291" t="s">
        <v>85</v>
      </c>
      <c r="J1291">
        <v>51</v>
      </c>
      <c r="K1291" t="s">
        <v>83</v>
      </c>
      <c r="L1291" t="s">
        <v>2646</v>
      </c>
      <c r="M1291" t="s">
        <v>63</v>
      </c>
      <c r="N1291" t="s">
        <v>2594</v>
      </c>
      <c r="O1291" t="s">
        <v>131</v>
      </c>
      <c r="P1291" t="s">
        <v>53</v>
      </c>
      <c r="Q1291" t="s">
        <v>143</v>
      </c>
      <c r="R1291">
        <v>2</v>
      </c>
      <c r="S1291">
        <v>999</v>
      </c>
      <c r="T1291">
        <v>0.05</v>
      </c>
      <c r="U1291">
        <v>1898.1</v>
      </c>
      <c r="V1291">
        <v>1040</v>
      </c>
      <c r="W1291">
        <v>858.1</v>
      </c>
      <c r="X1291" t="s">
        <v>73</v>
      </c>
      <c r="Y1291" t="s">
        <v>68</v>
      </c>
      <c r="Z1291" t="s">
        <v>162</v>
      </c>
      <c r="AA1291" t="s">
        <v>169</v>
      </c>
      <c r="AB1291">
        <v>4.5999999999999996</v>
      </c>
      <c r="AC1291">
        <v>60</v>
      </c>
      <c r="AD1291">
        <v>202.45</v>
      </c>
      <c r="AE1291">
        <f t="shared" si="40"/>
        <v>595.65000000000009</v>
      </c>
      <c r="AF1291" t="str">
        <f t="shared" si="41"/>
        <v>2025-06</v>
      </c>
      <c r="AG1291">
        <f>SUBTOTAL(103,A1291)</f>
        <v>1</v>
      </c>
    </row>
    <row r="1292" spans="1:33" x14ac:dyDescent="0.3">
      <c r="A1292" t="s">
        <v>3907</v>
      </c>
      <c r="B1292" s="13">
        <v>45821</v>
      </c>
      <c r="C1292">
        <v>2025</v>
      </c>
      <c r="D1292">
        <v>6</v>
      </c>
      <c r="E1292" t="s">
        <v>3813</v>
      </c>
      <c r="F1292" t="s">
        <v>3329</v>
      </c>
      <c r="G1292" t="s">
        <v>1535</v>
      </c>
      <c r="H1292" t="s">
        <v>1536</v>
      </c>
      <c r="I1292" t="s">
        <v>85</v>
      </c>
      <c r="J1292">
        <v>59</v>
      </c>
      <c r="K1292" t="s">
        <v>83</v>
      </c>
      <c r="L1292" t="s">
        <v>2599</v>
      </c>
      <c r="M1292" t="s">
        <v>62</v>
      </c>
      <c r="N1292" t="s">
        <v>2601</v>
      </c>
      <c r="O1292" t="s">
        <v>117</v>
      </c>
      <c r="P1292" t="s">
        <v>49</v>
      </c>
      <c r="Q1292" t="s">
        <v>139</v>
      </c>
      <c r="R1292">
        <v>2</v>
      </c>
      <c r="S1292">
        <v>6999</v>
      </c>
      <c r="T1292">
        <v>0.25</v>
      </c>
      <c r="U1292">
        <v>10498.5</v>
      </c>
      <c r="V1292">
        <v>8600</v>
      </c>
      <c r="W1292">
        <v>1898.5</v>
      </c>
      <c r="X1292" t="s">
        <v>73</v>
      </c>
      <c r="Y1292" t="s">
        <v>68</v>
      </c>
      <c r="Z1292" t="s">
        <v>160</v>
      </c>
      <c r="AA1292" t="s">
        <v>166</v>
      </c>
      <c r="AB1292">
        <v>3.8</v>
      </c>
      <c r="AC1292">
        <v>40</v>
      </c>
      <c r="AD1292">
        <v>296</v>
      </c>
      <c r="AE1292">
        <f t="shared" si="40"/>
        <v>1562.5</v>
      </c>
      <c r="AF1292" t="str">
        <f t="shared" si="41"/>
        <v>2025-06</v>
      </c>
      <c r="AG1292">
        <f>SUBTOTAL(103,A1292)</f>
        <v>1</v>
      </c>
    </row>
    <row r="1293" spans="1:33" x14ac:dyDescent="0.3">
      <c r="A1293" t="s">
        <v>3908</v>
      </c>
      <c r="B1293" s="13">
        <v>45821</v>
      </c>
      <c r="C1293">
        <v>2025</v>
      </c>
      <c r="D1293">
        <v>6</v>
      </c>
      <c r="E1293" t="s">
        <v>3813</v>
      </c>
      <c r="F1293" t="s">
        <v>3329</v>
      </c>
      <c r="G1293" t="s">
        <v>257</v>
      </c>
      <c r="H1293" t="s">
        <v>258</v>
      </c>
      <c r="I1293" t="s">
        <v>85</v>
      </c>
      <c r="J1293">
        <v>36</v>
      </c>
      <c r="K1293" t="s">
        <v>82</v>
      </c>
      <c r="L1293" t="s">
        <v>2589</v>
      </c>
      <c r="M1293" t="s">
        <v>61</v>
      </c>
      <c r="N1293" t="s">
        <v>2592</v>
      </c>
      <c r="O1293" t="s">
        <v>115</v>
      </c>
      <c r="P1293" t="s">
        <v>48</v>
      </c>
      <c r="Q1293" t="s">
        <v>137</v>
      </c>
      <c r="R1293">
        <v>4</v>
      </c>
      <c r="S1293">
        <v>12999</v>
      </c>
      <c r="T1293">
        <v>0.05</v>
      </c>
      <c r="U1293">
        <v>49396.2</v>
      </c>
      <c r="V1293">
        <v>36000</v>
      </c>
      <c r="W1293">
        <v>13396.2</v>
      </c>
      <c r="X1293" t="s">
        <v>74</v>
      </c>
      <c r="Y1293" t="s">
        <v>68</v>
      </c>
      <c r="Z1293" t="s">
        <v>161</v>
      </c>
      <c r="AA1293" t="s">
        <v>167</v>
      </c>
      <c r="AB1293">
        <v>3.4</v>
      </c>
      <c r="AC1293">
        <v>50</v>
      </c>
      <c r="AD1293">
        <v>3985.89</v>
      </c>
      <c r="AE1293">
        <f t="shared" si="40"/>
        <v>9360.3100000000013</v>
      </c>
      <c r="AF1293" t="str">
        <f t="shared" si="41"/>
        <v>2025-06</v>
      </c>
      <c r="AG1293">
        <f>SUBTOTAL(103,A1293)</f>
        <v>1</v>
      </c>
    </row>
    <row r="1294" spans="1:33" x14ac:dyDescent="0.3">
      <c r="A1294" t="s">
        <v>3909</v>
      </c>
      <c r="B1294" s="13">
        <v>45821</v>
      </c>
      <c r="C1294">
        <v>2025</v>
      </c>
      <c r="D1294">
        <v>6</v>
      </c>
      <c r="E1294" t="s">
        <v>3813</v>
      </c>
      <c r="F1294" t="s">
        <v>3329</v>
      </c>
      <c r="G1294" t="s">
        <v>235</v>
      </c>
      <c r="H1294" t="s">
        <v>236</v>
      </c>
      <c r="I1294" t="s">
        <v>85</v>
      </c>
      <c r="J1294">
        <v>27</v>
      </c>
      <c r="K1294" t="s">
        <v>81</v>
      </c>
      <c r="L1294" t="s">
        <v>59</v>
      </c>
      <c r="M1294" t="s">
        <v>59</v>
      </c>
      <c r="N1294" t="s">
        <v>2626</v>
      </c>
      <c r="O1294" t="s">
        <v>125</v>
      </c>
      <c r="P1294" t="s">
        <v>48</v>
      </c>
      <c r="Q1294" t="s">
        <v>141</v>
      </c>
      <c r="R1294">
        <v>1</v>
      </c>
      <c r="S1294">
        <v>1999</v>
      </c>
      <c r="T1294">
        <v>0</v>
      </c>
      <c r="U1294">
        <v>1999</v>
      </c>
      <c r="V1294">
        <v>1150</v>
      </c>
      <c r="W1294">
        <v>849</v>
      </c>
      <c r="X1294" t="s">
        <v>73</v>
      </c>
      <c r="Y1294" t="s">
        <v>68</v>
      </c>
      <c r="Z1294" t="s">
        <v>162</v>
      </c>
      <c r="AA1294" t="s">
        <v>171</v>
      </c>
      <c r="AB1294">
        <v>5</v>
      </c>
      <c r="AC1294">
        <v>40</v>
      </c>
      <c r="AD1294">
        <v>125.36</v>
      </c>
      <c r="AE1294">
        <f t="shared" si="40"/>
        <v>683.64</v>
      </c>
      <c r="AF1294" t="str">
        <f t="shared" si="41"/>
        <v>2025-06</v>
      </c>
      <c r="AG1294">
        <f>SUBTOTAL(103,A1294)</f>
        <v>1</v>
      </c>
    </row>
    <row r="1295" spans="1:33" x14ac:dyDescent="0.3">
      <c r="A1295" t="s">
        <v>3910</v>
      </c>
      <c r="B1295" s="13">
        <v>45821</v>
      </c>
      <c r="C1295">
        <v>2025</v>
      </c>
      <c r="D1295">
        <v>6</v>
      </c>
      <c r="E1295" t="s">
        <v>3813</v>
      </c>
      <c r="F1295" t="s">
        <v>3329</v>
      </c>
      <c r="G1295" t="s">
        <v>1441</v>
      </c>
      <c r="H1295" t="s">
        <v>1442</v>
      </c>
      <c r="I1295" t="s">
        <v>86</v>
      </c>
      <c r="J1295">
        <v>40</v>
      </c>
      <c r="K1295" t="s">
        <v>82</v>
      </c>
      <c r="L1295" t="s">
        <v>91</v>
      </c>
      <c r="M1295" t="s">
        <v>55</v>
      </c>
      <c r="N1295" t="s">
        <v>2630</v>
      </c>
      <c r="O1295" t="s">
        <v>123</v>
      </c>
      <c r="P1295" t="s">
        <v>52</v>
      </c>
      <c r="Q1295" t="s">
        <v>146</v>
      </c>
      <c r="R1295">
        <v>1</v>
      </c>
      <c r="S1295">
        <v>2499</v>
      </c>
      <c r="T1295">
        <v>0.1</v>
      </c>
      <c r="U1295">
        <v>2249.1</v>
      </c>
      <c r="V1295">
        <v>1400</v>
      </c>
      <c r="W1295">
        <v>849.1</v>
      </c>
      <c r="X1295" t="s">
        <v>75</v>
      </c>
      <c r="Y1295" t="s">
        <v>68</v>
      </c>
      <c r="Z1295" t="s">
        <v>161</v>
      </c>
      <c r="AA1295" t="s">
        <v>169</v>
      </c>
      <c r="AB1295">
        <v>3.7</v>
      </c>
      <c r="AC1295">
        <v>120</v>
      </c>
      <c r="AD1295">
        <v>93.76</v>
      </c>
      <c r="AE1295">
        <f t="shared" si="40"/>
        <v>635.34</v>
      </c>
      <c r="AF1295" t="str">
        <f t="shared" si="41"/>
        <v>2025-06</v>
      </c>
      <c r="AG1295">
        <f>SUBTOTAL(103,A1295)</f>
        <v>1</v>
      </c>
    </row>
    <row r="1296" spans="1:33" x14ac:dyDescent="0.3">
      <c r="A1296" t="s">
        <v>3911</v>
      </c>
      <c r="B1296" s="13">
        <v>45822</v>
      </c>
      <c r="C1296">
        <v>2025</v>
      </c>
      <c r="D1296">
        <v>6</v>
      </c>
      <c r="E1296" t="s">
        <v>3813</v>
      </c>
      <c r="F1296" t="s">
        <v>3329</v>
      </c>
      <c r="G1296" t="s">
        <v>553</v>
      </c>
      <c r="H1296" t="s">
        <v>554</v>
      </c>
      <c r="I1296" t="s">
        <v>85</v>
      </c>
      <c r="J1296">
        <v>29</v>
      </c>
      <c r="K1296" t="s">
        <v>81</v>
      </c>
      <c r="L1296" t="s">
        <v>100</v>
      </c>
      <c r="M1296" t="s">
        <v>56</v>
      </c>
      <c r="N1296" t="s">
        <v>2626</v>
      </c>
      <c r="O1296" t="s">
        <v>125</v>
      </c>
      <c r="P1296" t="s">
        <v>48</v>
      </c>
      <c r="Q1296" t="s">
        <v>141</v>
      </c>
      <c r="R1296">
        <v>1</v>
      </c>
      <c r="S1296">
        <v>1999</v>
      </c>
      <c r="T1296">
        <v>0.2</v>
      </c>
      <c r="U1296">
        <v>1599.2</v>
      </c>
      <c r="V1296">
        <v>1150</v>
      </c>
      <c r="W1296">
        <v>449.2</v>
      </c>
      <c r="X1296" t="s">
        <v>77</v>
      </c>
      <c r="Y1296" t="s">
        <v>68</v>
      </c>
      <c r="Z1296" t="s">
        <v>158</v>
      </c>
      <c r="AA1296" t="s">
        <v>168</v>
      </c>
      <c r="AB1296">
        <v>3.8</v>
      </c>
      <c r="AC1296">
        <v>80</v>
      </c>
      <c r="AD1296">
        <v>99.11</v>
      </c>
      <c r="AE1296">
        <f t="shared" si="40"/>
        <v>270.08999999999997</v>
      </c>
      <c r="AF1296" t="str">
        <f t="shared" si="41"/>
        <v>2025-06</v>
      </c>
      <c r="AG1296">
        <f>SUBTOTAL(103,A1296)</f>
        <v>1</v>
      </c>
    </row>
    <row r="1297" spans="1:33" x14ac:dyDescent="0.3">
      <c r="A1297" t="s">
        <v>3912</v>
      </c>
      <c r="B1297" s="13">
        <v>45822</v>
      </c>
      <c r="C1297">
        <v>2025</v>
      </c>
      <c r="D1297">
        <v>6</v>
      </c>
      <c r="E1297" t="s">
        <v>3813</v>
      </c>
      <c r="F1297" t="s">
        <v>3329</v>
      </c>
      <c r="G1297" t="s">
        <v>1297</v>
      </c>
      <c r="H1297" t="s">
        <v>1298</v>
      </c>
      <c r="I1297" t="s">
        <v>85</v>
      </c>
      <c r="J1297">
        <v>43</v>
      </c>
      <c r="K1297" t="s">
        <v>82</v>
      </c>
      <c r="L1297" t="s">
        <v>2690</v>
      </c>
      <c r="M1297" t="s">
        <v>63</v>
      </c>
      <c r="N1297" t="s">
        <v>2606</v>
      </c>
      <c r="O1297" t="s">
        <v>120</v>
      </c>
      <c r="P1297" t="s">
        <v>49</v>
      </c>
      <c r="Q1297" t="s">
        <v>140</v>
      </c>
      <c r="R1297">
        <v>2</v>
      </c>
      <c r="S1297">
        <v>2799</v>
      </c>
      <c r="T1297">
        <v>0.1</v>
      </c>
      <c r="U1297">
        <v>5038.2</v>
      </c>
      <c r="V1297">
        <v>3300</v>
      </c>
      <c r="W1297">
        <v>1738.2</v>
      </c>
      <c r="X1297" t="s">
        <v>74</v>
      </c>
      <c r="Y1297" t="s">
        <v>68</v>
      </c>
      <c r="Z1297" t="s">
        <v>161</v>
      </c>
      <c r="AA1297" t="s">
        <v>171</v>
      </c>
      <c r="AB1297">
        <v>4.5999999999999996</v>
      </c>
      <c r="AC1297">
        <v>80</v>
      </c>
      <c r="AD1297">
        <v>545.14</v>
      </c>
      <c r="AE1297">
        <f t="shared" si="40"/>
        <v>1113.06</v>
      </c>
      <c r="AF1297" t="str">
        <f t="shared" si="41"/>
        <v>2025-06</v>
      </c>
      <c r="AG1297">
        <f>SUBTOTAL(103,A1297)</f>
        <v>1</v>
      </c>
    </row>
    <row r="1298" spans="1:33" x14ac:dyDescent="0.3">
      <c r="A1298" t="s">
        <v>3913</v>
      </c>
      <c r="B1298" s="13">
        <v>45822</v>
      </c>
      <c r="C1298">
        <v>2025</v>
      </c>
      <c r="D1298">
        <v>6</v>
      </c>
      <c r="E1298" t="s">
        <v>3813</v>
      </c>
      <c r="F1298" t="s">
        <v>3329</v>
      </c>
      <c r="G1298" t="s">
        <v>1187</v>
      </c>
      <c r="H1298" t="s">
        <v>1188</v>
      </c>
      <c r="I1298" t="s">
        <v>86</v>
      </c>
      <c r="J1298">
        <v>40</v>
      </c>
      <c r="K1298" t="s">
        <v>82</v>
      </c>
      <c r="L1298" t="s">
        <v>99</v>
      </c>
      <c r="M1298" t="s">
        <v>58</v>
      </c>
      <c r="N1298" t="s">
        <v>2630</v>
      </c>
      <c r="O1298" t="s">
        <v>123</v>
      </c>
      <c r="P1298" t="s">
        <v>52</v>
      </c>
      <c r="Q1298" t="s">
        <v>146</v>
      </c>
      <c r="R1298">
        <v>3</v>
      </c>
      <c r="S1298">
        <v>2499</v>
      </c>
      <c r="T1298">
        <v>0</v>
      </c>
      <c r="U1298">
        <v>7497</v>
      </c>
      <c r="V1298">
        <v>4200</v>
      </c>
      <c r="W1298">
        <v>3297</v>
      </c>
      <c r="X1298" t="s">
        <v>74</v>
      </c>
      <c r="Y1298" t="s">
        <v>68</v>
      </c>
      <c r="Z1298" t="s">
        <v>159</v>
      </c>
      <c r="AA1298" t="s">
        <v>170</v>
      </c>
      <c r="AB1298">
        <v>4.3</v>
      </c>
      <c r="AC1298">
        <v>50</v>
      </c>
      <c r="AD1298">
        <v>652.73</v>
      </c>
      <c r="AE1298">
        <f t="shared" si="40"/>
        <v>2594.27</v>
      </c>
      <c r="AF1298" t="str">
        <f t="shared" si="41"/>
        <v>2025-06</v>
      </c>
      <c r="AG1298">
        <f>SUBTOTAL(103,A1298)</f>
        <v>1</v>
      </c>
    </row>
    <row r="1299" spans="1:33" x14ac:dyDescent="0.3">
      <c r="A1299" t="s">
        <v>3914</v>
      </c>
      <c r="B1299" s="13">
        <v>45822</v>
      </c>
      <c r="C1299">
        <v>2025</v>
      </c>
      <c r="D1299">
        <v>6</v>
      </c>
      <c r="E1299" t="s">
        <v>3813</v>
      </c>
      <c r="F1299" t="s">
        <v>3329</v>
      </c>
      <c r="G1299" t="s">
        <v>675</v>
      </c>
      <c r="H1299" t="s">
        <v>676</v>
      </c>
      <c r="I1299" t="s">
        <v>85</v>
      </c>
      <c r="J1299">
        <v>33</v>
      </c>
      <c r="K1299" t="s">
        <v>81</v>
      </c>
      <c r="L1299" t="s">
        <v>2605</v>
      </c>
      <c r="M1299" t="s">
        <v>60</v>
      </c>
      <c r="N1299" t="s">
        <v>2584</v>
      </c>
      <c r="O1299" t="s">
        <v>121</v>
      </c>
      <c r="P1299" t="s">
        <v>50</v>
      </c>
      <c r="Q1299" t="s">
        <v>144</v>
      </c>
      <c r="R1299">
        <v>1</v>
      </c>
      <c r="S1299">
        <v>2999</v>
      </c>
      <c r="T1299">
        <v>0.05</v>
      </c>
      <c r="U1299">
        <v>2849.05</v>
      </c>
      <c r="V1299">
        <v>1700</v>
      </c>
      <c r="W1299">
        <v>1149.05</v>
      </c>
      <c r="X1299" t="s">
        <v>74</v>
      </c>
      <c r="Y1299" t="s">
        <v>68</v>
      </c>
      <c r="Z1299" t="s">
        <v>160</v>
      </c>
      <c r="AA1299" t="s">
        <v>166</v>
      </c>
      <c r="AB1299">
        <v>3.9</v>
      </c>
      <c r="AC1299">
        <v>50</v>
      </c>
      <c r="AD1299">
        <v>178</v>
      </c>
      <c r="AE1299">
        <f t="shared" si="40"/>
        <v>921.05</v>
      </c>
      <c r="AF1299" t="str">
        <f t="shared" si="41"/>
        <v>2025-06</v>
      </c>
      <c r="AG1299">
        <f>SUBTOTAL(103,A1299)</f>
        <v>1</v>
      </c>
    </row>
    <row r="1300" spans="1:33" x14ac:dyDescent="0.3">
      <c r="A1300" t="s">
        <v>3915</v>
      </c>
      <c r="B1300" s="13">
        <v>45822</v>
      </c>
      <c r="C1300">
        <v>2025</v>
      </c>
      <c r="D1300">
        <v>6</v>
      </c>
      <c r="E1300" t="s">
        <v>3813</v>
      </c>
      <c r="F1300" t="s">
        <v>3329</v>
      </c>
      <c r="G1300" t="s">
        <v>629</v>
      </c>
      <c r="H1300" t="s">
        <v>630</v>
      </c>
      <c r="I1300" t="s">
        <v>86</v>
      </c>
      <c r="J1300">
        <v>60</v>
      </c>
      <c r="K1300" t="s">
        <v>83</v>
      </c>
      <c r="L1300" t="s">
        <v>97</v>
      </c>
      <c r="M1300" t="s">
        <v>57</v>
      </c>
      <c r="N1300" t="s">
        <v>2590</v>
      </c>
      <c r="O1300" t="s">
        <v>127</v>
      </c>
      <c r="P1300" t="s">
        <v>51</v>
      </c>
      <c r="Q1300" t="s">
        <v>148</v>
      </c>
      <c r="R1300">
        <v>5</v>
      </c>
      <c r="S1300">
        <v>1599</v>
      </c>
      <c r="T1300">
        <v>0</v>
      </c>
      <c r="U1300">
        <v>7995</v>
      </c>
      <c r="V1300">
        <v>4000</v>
      </c>
      <c r="W1300">
        <v>3995</v>
      </c>
      <c r="X1300" t="s">
        <v>76</v>
      </c>
      <c r="Y1300" t="s">
        <v>68</v>
      </c>
      <c r="Z1300" t="s">
        <v>160</v>
      </c>
      <c r="AA1300" t="s">
        <v>167</v>
      </c>
      <c r="AB1300">
        <v>3.8</v>
      </c>
      <c r="AC1300">
        <v>50</v>
      </c>
      <c r="AD1300">
        <v>784.13</v>
      </c>
      <c r="AE1300">
        <f t="shared" si="40"/>
        <v>3160.87</v>
      </c>
      <c r="AF1300" t="str">
        <f t="shared" si="41"/>
        <v>2025-06</v>
      </c>
      <c r="AG1300">
        <f>SUBTOTAL(103,A1300)</f>
        <v>1</v>
      </c>
    </row>
    <row r="1301" spans="1:33" x14ac:dyDescent="0.3">
      <c r="A1301" t="s">
        <v>3916</v>
      </c>
      <c r="B1301" s="13">
        <v>45822</v>
      </c>
      <c r="C1301">
        <v>2025</v>
      </c>
      <c r="D1301">
        <v>6</v>
      </c>
      <c r="E1301" t="s">
        <v>3813</v>
      </c>
      <c r="F1301" t="s">
        <v>3329</v>
      </c>
      <c r="G1301" t="s">
        <v>239</v>
      </c>
      <c r="H1301" t="s">
        <v>240</v>
      </c>
      <c r="I1301" t="s">
        <v>85</v>
      </c>
      <c r="J1301">
        <v>43</v>
      </c>
      <c r="K1301" t="s">
        <v>82</v>
      </c>
      <c r="L1301" t="s">
        <v>2579</v>
      </c>
      <c r="M1301" t="s">
        <v>56</v>
      </c>
      <c r="N1301" t="s">
        <v>2587</v>
      </c>
      <c r="O1301" t="s">
        <v>116</v>
      </c>
      <c r="P1301" t="s">
        <v>48</v>
      </c>
      <c r="Q1301" t="s">
        <v>138</v>
      </c>
      <c r="R1301">
        <v>1</v>
      </c>
      <c r="S1301">
        <v>14999</v>
      </c>
      <c r="T1301">
        <v>0.05</v>
      </c>
      <c r="U1301">
        <v>14249.05</v>
      </c>
      <c r="V1301">
        <v>11200</v>
      </c>
      <c r="W1301">
        <v>3049.05</v>
      </c>
      <c r="X1301" t="s">
        <v>74</v>
      </c>
      <c r="Y1301" t="s">
        <v>68</v>
      </c>
      <c r="Z1301" t="s">
        <v>159</v>
      </c>
      <c r="AA1301" t="s">
        <v>166</v>
      </c>
      <c r="AB1301">
        <v>4.5999999999999996</v>
      </c>
      <c r="AC1301">
        <v>60</v>
      </c>
      <c r="AD1301">
        <v>567.51</v>
      </c>
      <c r="AE1301">
        <f t="shared" si="40"/>
        <v>2421.54</v>
      </c>
      <c r="AF1301" t="str">
        <f t="shared" si="41"/>
        <v>2025-06</v>
      </c>
      <c r="AG1301">
        <f>SUBTOTAL(103,A1301)</f>
        <v>1</v>
      </c>
    </row>
    <row r="1302" spans="1:33" x14ac:dyDescent="0.3">
      <c r="A1302" t="s">
        <v>3917</v>
      </c>
      <c r="B1302" s="13">
        <v>45822</v>
      </c>
      <c r="C1302">
        <v>2025</v>
      </c>
      <c r="D1302">
        <v>6</v>
      </c>
      <c r="E1302" t="s">
        <v>3813</v>
      </c>
      <c r="F1302" t="s">
        <v>3329</v>
      </c>
      <c r="G1302" t="s">
        <v>2217</v>
      </c>
      <c r="H1302" t="s">
        <v>2218</v>
      </c>
      <c r="I1302" t="s">
        <v>86</v>
      </c>
      <c r="J1302">
        <v>19</v>
      </c>
      <c r="K1302" t="s">
        <v>80</v>
      </c>
      <c r="L1302" t="s">
        <v>2579</v>
      </c>
      <c r="M1302" t="s">
        <v>56</v>
      </c>
      <c r="N1302" t="s">
        <v>2665</v>
      </c>
      <c r="O1302" t="s">
        <v>128</v>
      </c>
      <c r="P1302" t="s">
        <v>53</v>
      </c>
      <c r="Q1302" t="s">
        <v>143</v>
      </c>
      <c r="R1302">
        <v>2</v>
      </c>
      <c r="S1302">
        <v>1499</v>
      </c>
      <c r="T1302">
        <v>0.1</v>
      </c>
      <c r="U1302">
        <v>2698.2</v>
      </c>
      <c r="V1302">
        <v>1600</v>
      </c>
      <c r="W1302">
        <v>1098.2</v>
      </c>
      <c r="X1302" t="s">
        <v>76</v>
      </c>
      <c r="Y1302" t="s">
        <v>68</v>
      </c>
      <c r="Z1302" t="s">
        <v>160</v>
      </c>
      <c r="AA1302" t="s">
        <v>167</v>
      </c>
      <c r="AB1302">
        <v>5</v>
      </c>
      <c r="AC1302">
        <v>60</v>
      </c>
      <c r="AD1302">
        <v>116.99</v>
      </c>
      <c r="AE1302">
        <f t="shared" si="40"/>
        <v>921.21</v>
      </c>
      <c r="AF1302" t="str">
        <f t="shared" si="41"/>
        <v>2025-06</v>
      </c>
      <c r="AG1302">
        <f>SUBTOTAL(103,A1302)</f>
        <v>1</v>
      </c>
    </row>
    <row r="1303" spans="1:33" x14ac:dyDescent="0.3">
      <c r="A1303" t="s">
        <v>3918</v>
      </c>
      <c r="B1303" s="13">
        <v>45822</v>
      </c>
      <c r="C1303">
        <v>2025</v>
      </c>
      <c r="D1303">
        <v>6</v>
      </c>
      <c r="E1303" t="s">
        <v>3813</v>
      </c>
      <c r="F1303" t="s">
        <v>3329</v>
      </c>
      <c r="G1303" t="s">
        <v>491</v>
      </c>
      <c r="H1303" t="s">
        <v>492</v>
      </c>
      <c r="I1303" t="s">
        <v>86</v>
      </c>
      <c r="J1303">
        <v>40</v>
      </c>
      <c r="K1303" t="s">
        <v>82</v>
      </c>
      <c r="L1303" t="s">
        <v>2589</v>
      </c>
      <c r="M1303" t="s">
        <v>61</v>
      </c>
      <c r="N1303" t="s">
        <v>2647</v>
      </c>
      <c r="O1303" t="s">
        <v>133</v>
      </c>
      <c r="P1303" t="s">
        <v>50</v>
      </c>
      <c r="Q1303" t="s">
        <v>145</v>
      </c>
      <c r="R1303">
        <v>2</v>
      </c>
      <c r="S1303">
        <v>799</v>
      </c>
      <c r="T1303">
        <v>0</v>
      </c>
      <c r="U1303">
        <v>1598</v>
      </c>
      <c r="V1303">
        <v>780</v>
      </c>
      <c r="W1303">
        <v>818</v>
      </c>
      <c r="X1303" t="s">
        <v>73</v>
      </c>
      <c r="Y1303" t="s">
        <v>68</v>
      </c>
      <c r="Z1303" t="s">
        <v>160</v>
      </c>
      <c r="AA1303" t="s">
        <v>169</v>
      </c>
      <c r="AB1303">
        <v>4.2</v>
      </c>
      <c r="AC1303">
        <v>80</v>
      </c>
      <c r="AD1303">
        <v>118.68</v>
      </c>
      <c r="AE1303">
        <f t="shared" si="40"/>
        <v>619.31999999999994</v>
      </c>
      <c r="AF1303" t="str">
        <f t="shared" si="41"/>
        <v>2025-06</v>
      </c>
      <c r="AG1303">
        <f>SUBTOTAL(103,A1303)</f>
        <v>1</v>
      </c>
    </row>
    <row r="1304" spans="1:33" x14ac:dyDescent="0.3">
      <c r="A1304" t="s">
        <v>3919</v>
      </c>
      <c r="B1304" s="13">
        <v>45823</v>
      </c>
      <c r="C1304">
        <v>2025</v>
      </c>
      <c r="D1304">
        <v>6</v>
      </c>
      <c r="E1304" t="s">
        <v>3813</v>
      </c>
      <c r="F1304" t="s">
        <v>3329</v>
      </c>
      <c r="G1304" t="s">
        <v>633</v>
      </c>
      <c r="H1304" t="s">
        <v>634</v>
      </c>
      <c r="I1304" t="s">
        <v>85</v>
      </c>
      <c r="J1304">
        <v>25</v>
      </c>
      <c r="K1304" t="s">
        <v>80</v>
      </c>
      <c r="L1304" t="s">
        <v>2661</v>
      </c>
      <c r="M1304" t="s">
        <v>58</v>
      </c>
      <c r="N1304" t="s">
        <v>2580</v>
      </c>
      <c r="O1304" t="s">
        <v>118</v>
      </c>
      <c r="P1304" t="s">
        <v>48</v>
      </c>
      <c r="Q1304" t="s">
        <v>142</v>
      </c>
      <c r="R1304">
        <v>1</v>
      </c>
      <c r="S1304">
        <v>3999</v>
      </c>
      <c r="T1304">
        <v>0</v>
      </c>
      <c r="U1304">
        <v>3999</v>
      </c>
      <c r="V1304">
        <v>2400</v>
      </c>
      <c r="W1304">
        <v>1599</v>
      </c>
      <c r="X1304" t="s">
        <v>77</v>
      </c>
      <c r="Y1304" t="s">
        <v>68</v>
      </c>
      <c r="Z1304" t="s">
        <v>161</v>
      </c>
      <c r="AA1304" t="s">
        <v>170</v>
      </c>
      <c r="AB1304">
        <v>4.9000000000000004</v>
      </c>
      <c r="AC1304">
        <v>80</v>
      </c>
      <c r="AD1304">
        <v>259.57</v>
      </c>
      <c r="AE1304">
        <f t="shared" si="40"/>
        <v>1259.43</v>
      </c>
      <c r="AF1304" t="str">
        <f t="shared" si="41"/>
        <v>2025-06</v>
      </c>
      <c r="AG1304">
        <f>SUBTOTAL(103,A1304)</f>
        <v>1</v>
      </c>
    </row>
    <row r="1305" spans="1:33" x14ac:dyDescent="0.3">
      <c r="A1305" t="s">
        <v>3920</v>
      </c>
      <c r="B1305" s="13">
        <v>45823</v>
      </c>
      <c r="C1305">
        <v>2025</v>
      </c>
      <c r="D1305">
        <v>6</v>
      </c>
      <c r="E1305" t="s">
        <v>3813</v>
      </c>
      <c r="F1305" t="s">
        <v>3329</v>
      </c>
      <c r="G1305" t="s">
        <v>471</v>
      </c>
      <c r="H1305" t="s">
        <v>472</v>
      </c>
      <c r="I1305" t="s">
        <v>85</v>
      </c>
      <c r="J1305">
        <v>45</v>
      </c>
      <c r="K1305" t="s">
        <v>82</v>
      </c>
      <c r="L1305" t="s">
        <v>2599</v>
      </c>
      <c r="M1305" t="s">
        <v>62</v>
      </c>
      <c r="N1305" t="s">
        <v>2582</v>
      </c>
      <c r="O1305" t="s">
        <v>119</v>
      </c>
      <c r="P1305" t="s">
        <v>49</v>
      </c>
      <c r="Q1305" t="s">
        <v>140</v>
      </c>
      <c r="R1305">
        <v>1</v>
      </c>
      <c r="S1305">
        <v>3499</v>
      </c>
      <c r="T1305">
        <v>0.15</v>
      </c>
      <c r="U1305">
        <v>2974.15</v>
      </c>
      <c r="V1305">
        <v>2100</v>
      </c>
      <c r="W1305">
        <v>874.15</v>
      </c>
      <c r="X1305" t="s">
        <v>73</v>
      </c>
      <c r="Y1305" t="s">
        <v>68</v>
      </c>
      <c r="Z1305" t="s">
        <v>162</v>
      </c>
      <c r="AA1305" t="s">
        <v>167</v>
      </c>
      <c r="AB1305">
        <v>5</v>
      </c>
      <c r="AC1305">
        <v>50</v>
      </c>
      <c r="AD1305">
        <v>333.38</v>
      </c>
      <c r="AE1305">
        <f t="shared" si="40"/>
        <v>490.77</v>
      </c>
      <c r="AF1305" t="str">
        <f t="shared" si="41"/>
        <v>2025-06</v>
      </c>
      <c r="AG1305">
        <f>SUBTOTAL(103,A1305)</f>
        <v>1</v>
      </c>
    </row>
    <row r="1306" spans="1:33" x14ac:dyDescent="0.3">
      <c r="A1306" t="s">
        <v>3921</v>
      </c>
      <c r="B1306" s="13">
        <v>45823</v>
      </c>
      <c r="C1306">
        <v>2025</v>
      </c>
      <c r="D1306">
        <v>6</v>
      </c>
      <c r="E1306" t="s">
        <v>3813</v>
      </c>
      <c r="F1306" t="s">
        <v>3329</v>
      </c>
      <c r="G1306" t="s">
        <v>983</v>
      </c>
      <c r="H1306" t="s">
        <v>984</v>
      </c>
      <c r="I1306" t="s">
        <v>86</v>
      </c>
      <c r="J1306">
        <v>48</v>
      </c>
      <c r="K1306" t="s">
        <v>83</v>
      </c>
      <c r="L1306" t="s">
        <v>92</v>
      </c>
      <c r="M1306" t="s">
        <v>59</v>
      </c>
      <c r="N1306" t="s">
        <v>2606</v>
      </c>
      <c r="O1306" t="s">
        <v>120</v>
      </c>
      <c r="P1306" t="s">
        <v>49</v>
      </c>
      <c r="Q1306" t="s">
        <v>140</v>
      </c>
      <c r="R1306">
        <v>1</v>
      </c>
      <c r="S1306">
        <v>2799</v>
      </c>
      <c r="T1306">
        <v>0.05</v>
      </c>
      <c r="U1306">
        <v>2659.05</v>
      </c>
      <c r="V1306">
        <v>1650</v>
      </c>
      <c r="W1306">
        <v>1009.05</v>
      </c>
      <c r="X1306" t="s">
        <v>74</v>
      </c>
      <c r="Y1306" t="s">
        <v>68</v>
      </c>
      <c r="Z1306" t="s">
        <v>158</v>
      </c>
      <c r="AA1306" t="s">
        <v>170</v>
      </c>
      <c r="AB1306">
        <v>4</v>
      </c>
      <c r="AC1306">
        <v>100</v>
      </c>
      <c r="AD1306">
        <v>54.26</v>
      </c>
      <c r="AE1306">
        <f t="shared" si="40"/>
        <v>854.79</v>
      </c>
      <c r="AF1306" t="str">
        <f t="shared" si="41"/>
        <v>2025-06</v>
      </c>
      <c r="AG1306">
        <f>SUBTOTAL(103,A1306)</f>
        <v>1</v>
      </c>
    </row>
    <row r="1307" spans="1:33" x14ac:dyDescent="0.3">
      <c r="A1307" t="s">
        <v>3922</v>
      </c>
      <c r="B1307" s="13">
        <v>45823</v>
      </c>
      <c r="C1307">
        <v>2025</v>
      </c>
      <c r="D1307">
        <v>6</v>
      </c>
      <c r="E1307" t="s">
        <v>3813</v>
      </c>
      <c r="F1307" t="s">
        <v>3329</v>
      </c>
      <c r="G1307" t="s">
        <v>1231</v>
      </c>
      <c r="H1307" t="s">
        <v>1232</v>
      </c>
      <c r="I1307" t="s">
        <v>86</v>
      </c>
      <c r="J1307">
        <v>39</v>
      </c>
      <c r="K1307" t="s">
        <v>82</v>
      </c>
      <c r="L1307" t="s">
        <v>91</v>
      </c>
      <c r="M1307" t="s">
        <v>55</v>
      </c>
      <c r="N1307" t="s">
        <v>2582</v>
      </c>
      <c r="O1307" t="s">
        <v>119</v>
      </c>
      <c r="P1307" t="s">
        <v>49</v>
      </c>
      <c r="Q1307" t="s">
        <v>140</v>
      </c>
      <c r="R1307">
        <v>3</v>
      </c>
      <c r="S1307">
        <v>3499</v>
      </c>
      <c r="T1307">
        <v>0.05</v>
      </c>
      <c r="U1307">
        <v>9972.15</v>
      </c>
      <c r="V1307">
        <v>6300</v>
      </c>
      <c r="W1307">
        <v>3672.15</v>
      </c>
      <c r="X1307" t="s">
        <v>74</v>
      </c>
      <c r="Y1307" t="s">
        <v>68</v>
      </c>
      <c r="Z1307" t="s">
        <v>162</v>
      </c>
      <c r="AA1307" t="s">
        <v>169</v>
      </c>
      <c r="AB1307">
        <v>3.8</v>
      </c>
      <c r="AC1307">
        <v>50</v>
      </c>
      <c r="AD1307">
        <v>217.77</v>
      </c>
      <c r="AE1307">
        <f t="shared" si="40"/>
        <v>3404.38</v>
      </c>
      <c r="AF1307" t="str">
        <f t="shared" si="41"/>
        <v>2025-06</v>
      </c>
      <c r="AG1307">
        <f>SUBTOTAL(103,A1307)</f>
        <v>1</v>
      </c>
    </row>
    <row r="1308" spans="1:33" x14ac:dyDescent="0.3">
      <c r="A1308" t="s">
        <v>3923</v>
      </c>
      <c r="B1308" s="13">
        <v>45823</v>
      </c>
      <c r="C1308">
        <v>2025</v>
      </c>
      <c r="D1308">
        <v>6</v>
      </c>
      <c r="E1308" t="s">
        <v>3813</v>
      </c>
      <c r="F1308" t="s">
        <v>3329</v>
      </c>
      <c r="G1308" t="s">
        <v>937</v>
      </c>
      <c r="H1308" t="s">
        <v>938</v>
      </c>
      <c r="I1308" t="s">
        <v>86</v>
      </c>
      <c r="J1308">
        <v>22</v>
      </c>
      <c r="K1308" t="s">
        <v>80</v>
      </c>
      <c r="L1308" t="s">
        <v>99</v>
      </c>
      <c r="M1308" t="s">
        <v>58</v>
      </c>
      <c r="N1308" t="s">
        <v>2603</v>
      </c>
      <c r="O1308" t="s">
        <v>122</v>
      </c>
      <c r="P1308" t="s">
        <v>48</v>
      </c>
      <c r="Q1308" t="s">
        <v>141</v>
      </c>
      <c r="R1308">
        <v>4</v>
      </c>
      <c r="S1308">
        <v>2499</v>
      </c>
      <c r="T1308">
        <v>0.05</v>
      </c>
      <c r="U1308">
        <v>9496.2000000000007</v>
      </c>
      <c r="V1308">
        <v>5800</v>
      </c>
      <c r="W1308">
        <v>3696.2</v>
      </c>
      <c r="X1308" t="s">
        <v>77</v>
      </c>
      <c r="Y1308" t="s">
        <v>68</v>
      </c>
      <c r="Z1308" t="s">
        <v>158</v>
      </c>
      <c r="AA1308" t="s">
        <v>171</v>
      </c>
      <c r="AB1308">
        <v>4</v>
      </c>
      <c r="AC1308">
        <v>60</v>
      </c>
      <c r="AD1308">
        <v>334.19</v>
      </c>
      <c r="AE1308">
        <f t="shared" si="40"/>
        <v>3302.0099999999998</v>
      </c>
      <c r="AF1308" t="str">
        <f t="shared" si="41"/>
        <v>2025-06</v>
      </c>
      <c r="AG1308">
        <f>SUBTOTAL(103,A1308)</f>
        <v>1</v>
      </c>
    </row>
    <row r="1309" spans="1:33" x14ac:dyDescent="0.3">
      <c r="A1309" t="s">
        <v>3924</v>
      </c>
      <c r="B1309" s="13">
        <v>45823</v>
      </c>
      <c r="C1309">
        <v>2025</v>
      </c>
      <c r="D1309">
        <v>6</v>
      </c>
      <c r="E1309" t="s">
        <v>3813</v>
      </c>
      <c r="F1309" t="s">
        <v>3329</v>
      </c>
      <c r="G1309" t="s">
        <v>1157</v>
      </c>
      <c r="H1309" t="s">
        <v>1158</v>
      </c>
      <c r="I1309" t="s">
        <v>85</v>
      </c>
      <c r="J1309">
        <v>60</v>
      </c>
      <c r="K1309" t="s">
        <v>83</v>
      </c>
      <c r="L1309" t="s">
        <v>2674</v>
      </c>
      <c r="M1309" t="s">
        <v>58</v>
      </c>
      <c r="N1309" t="s">
        <v>2577</v>
      </c>
      <c r="O1309" t="s">
        <v>129</v>
      </c>
      <c r="P1309" t="s">
        <v>49</v>
      </c>
      <c r="Q1309" t="s">
        <v>149</v>
      </c>
      <c r="R1309">
        <v>2</v>
      </c>
      <c r="S1309">
        <v>1299</v>
      </c>
      <c r="T1309">
        <v>0.1</v>
      </c>
      <c r="U1309">
        <v>2338.1999999999998</v>
      </c>
      <c r="V1309">
        <v>1300</v>
      </c>
      <c r="W1309">
        <v>1038.2</v>
      </c>
      <c r="X1309" t="s">
        <v>77</v>
      </c>
      <c r="Y1309" t="s">
        <v>68</v>
      </c>
      <c r="Z1309" t="s">
        <v>162</v>
      </c>
      <c r="AA1309" t="s">
        <v>167</v>
      </c>
      <c r="AB1309">
        <v>5</v>
      </c>
      <c r="AC1309">
        <v>50</v>
      </c>
      <c r="AD1309">
        <v>58.71</v>
      </c>
      <c r="AE1309">
        <f t="shared" si="40"/>
        <v>929.49</v>
      </c>
      <c r="AF1309" t="str">
        <f t="shared" si="41"/>
        <v>2025-06</v>
      </c>
      <c r="AG1309">
        <f>SUBTOTAL(103,A1309)</f>
        <v>1</v>
      </c>
    </row>
    <row r="1310" spans="1:33" x14ac:dyDescent="0.3">
      <c r="A1310" t="s">
        <v>3925</v>
      </c>
      <c r="B1310" s="13">
        <v>45823</v>
      </c>
      <c r="C1310">
        <v>2025</v>
      </c>
      <c r="D1310">
        <v>6</v>
      </c>
      <c r="E1310" t="s">
        <v>3813</v>
      </c>
      <c r="F1310" t="s">
        <v>3329</v>
      </c>
      <c r="G1310" t="s">
        <v>247</v>
      </c>
      <c r="H1310" t="s">
        <v>248</v>
      </c>
      <c r="I1310" t="s">
        <v>85</v>
      </c>
      <c r="J1310">
        <v>58</v>
      </c>
      <c r="K1310" t="s">
        <v>83</v>
      </c>
      <c r="L1310" t="s">
        <v>95</v>
      </c>
      <c r="M1310" t="s">
        <v>56</v>
      </c>
      <c r="N1310" t="s">
        <v>2584</v>
      </c>
      <c r="O1310" t="s">
        <v>121</v>
      </c>
      <c r="P1310" t="s">
        <v>50</v>
      </c>
      <c r="Q1310" t="s">
        <v>144</v>
      </c>
      <c r="R1310">
        <v>4</v>
      </c>
      <c r="S1310">
        <v>2999</v>
      </c>
      <c r="T1310">
        <v>0.15</v>
      </c>
      <c r="U1310">
        <v>0</v>
      </c>
      <c r="V1310">
        <v>0</v>
      </c>
      <c r="W1310">
        <v>0</v>
      </c>
      <c r="X1310" t="s">
        <v>76</v>
      </c>
      <c r="Y1310" t="s">
        <v>71</v>
      </c>
      <c r="Z1310" t="s">
        <v>162</v>
      </c>
      <c r="AA1310" t="s">
        <v>171</v>
      </c>
      <c r="AB1310">
        <v>4.0999999999999996</v>
      </c>
      <c r="AC1310">
        <v>60</v>
      </c>
      <c r="AD1310">
        <v>230.46</v>
      </c>
      <c r="AE1310">
        <f t="shared" si="40"/>
        <v>-290.46000000000004</v>
      </c>
      <c r="AF1310" t="str">
        <f t="shared" si="41"/>
        <v>2025-06</v>
      </c>
      <c r="AG1310">
        <f>SUBTOTAL(103,A1310)</f>
        <v>1</v>
      </c>
    </row>
    <row r="1311" spans="1:33" x14ac:dyDescent="0.3">
      <c r="A1311" t="s">
        <v>3926</v>
      </c>
      <c r="B1311" s="13">
        <v>45823</v>
      </c>
      <c r="C1311">
        <v>2025</v>
      </c>
      <c r="D1311">
        <v>6</v>
      </c>
      <c r="E1311" t="s">
        <v>3813</v>
      </c>
      <c r="F1311" t="s">
        <v>3329</v>
      </c>
      <c r="G1311" t="s">
        <v>1203</v>
      </c>
      <c r="H1311" t="s">
        <v>1204</v>
      </c>
      <c r="I1311" t="s">
        <v>85</v>
      </c>
      <c r="J1311">
        <v>43</v>
      </c>
      <c r="K1311" t="s">
        <v>82</v>
      </c>
      <c r="L1311" t="s">
        <v>2634</v>
      </c>
      <c r="M1311" t="s">
        <v>56</v>
      </c>
      <c r="N1311" t="s">
        <v>2587</v>
      </c>
      <c r="O1311" t="s">
        <v>116</v>
      </c>
      <c r="P1311" t="s">
        <v>48</v>
      </c>
      <c r="Q1311" t="s">
        <v>138</v>
      </c>
      <c r="R1311">
        <v>1</v>
      </c>
      <c r="S1311">
        <v>14999</v>
      </c>
      <c r="T1311">
        <v>0.05</v>
      </c>
      <c r="U1311">
        <v>14249.05</v>
      </c>
      <c r="V1311">
        <v>11200</v>
      </c>
      <c r="W1311">
        <v>3049.05</v>
      </c>
      <c r="X1311" t="s">
        <v>77</v>
      </c>
      <c r="Y1311" t="s">
        <v>68</v>
      </c>
      <c r="Z1311" t="s">
        <v>162</v>
      </c>
      <c r="AA1311" t="s">
        <v>166</v>
      </c>
      <c r="AB1311">
        <v>3.8</v>
      </c>
      <c r="AC1311">
        <v>60</v>
      </c>
      <c r="AD1311">
        <v>1659.22</v>
      </c>
      <c r="AE1311">
        <f t="shared" si="40"/>
        <v>1329.8300000000002</v>
      </c>
      <c r="AF1311" t="str">
        <f t="shared" si="41"/>
        <v>2025-06</v>
      </c>
      <c r="AG1311">
        <f>SUBTOTAL(103,A1311)</f>
        <v>1</v>
      </c>
    </row>
    <row r="1312" spans="1:33" x14ac:dyDescent="0.3">
      <c r="A1312" t="s">
        <v>3927</v>
      </c>
      <c r="B1312" s="13">
        <v>45823</v>
      </c>
      <c r="C1312">
        <v>2025</v>
      </c>
      <c r="D1312">
        <v>6</v>
      </c>
      <c r="E1312" t="s">
        <v>3813</v>
      </c>
      <c r="F1312" t="s">
        <v>3329</v>
      </c>
      <c r="G1312" t="s">
        <v>1291</v>
      </c>
      <c r="H1312" t="s">
        <v>1292</v>
      </c>
      <c r="I1312" t="s">
        <v>85</v>
      </c>
      <c r="J1312">
        <v>42</v>
      </c>
      <c r="K1312" t="s">
        <v>82</v>
      </c>
      <c r="L1312" t="s">
        <v>98</v>
      </c>
      <c r="M1312" t="s">
        <v>55</v>
      </c>
      <c r="N1312" t="s">
        <v>2601</v>
      </c>
      <c r="O1312" t="s">
        <v>117</v>
      </c>
      <c r="P1312" t="s">
        <v>49</v>
      </c>
      <c r="Q1312" t="s">
        <v>139</v>
      </c>
      <c r="R1312">
        <v>1</v>
      </c>
      <c r="S1312">
        <v>6999</v>
      </c>
      <c r="T1312">
        <v>0</v>
      </c>
      <c r="U1312">
        <v>6999</v>
      </c>
      <c r="V1312">
        <v>4300</v>
      </c>
      <c r="W1312">
        <v>2699</v>
      </c>
      <c r="X1312" t="s">
        <v>77</v>
      </c>
      <c r="Y1312" t="s">
        <v>68</v>
      </c>
      <c r="Z1312" t="s">
        <v>159</v>
      </c>
      <c r="AA1312" t="s">
        <v>171</v>
      </c>
      <c r="AB1312">
        <v>4.0999999999999996</v>
      </c>
      <c r="AC1312">
        <v>50</v>
      </c>
      <c r="AD1312">
        <v>240.35</v>
      </c>
      <c r="AE1312">
        <f t="shared" si="40"/>
        <v>2408.65</v>
      </c>
      <c r="AF1312" t="str">
        <f t="shared" si="41"/>
        <v>2025-06</v>
      </c>
      <c r="AG1312">
        <f>SUBTOTAL(103,A1312)</f>
        <v>1</v>
      </c>
    </row>
    <row r="1313" spans="1:33" x14ac:dyDescent="0.3">
      <c r="A1313" t="s">
        <v>3928</v>
      </c>
      <c r="B1313" s="13">
        <v>45823</v>
      </c>
      <c r="C1313">
        <v>2025</v>
      </c>
      <c r="D1313">
        <v>6</v>
      </c>
      <c r="E1313" t="s">
        <v>3813</v>
      </c>
      <c r="F1313" t="s">
        <v>3329</v>
      </c>
      <c r="G1313" t="s">
        <v>341</v>
      </c>
      <c r="H1313" t="s">
        <v>342</v>
      </c>
      <c r="I1313" t="s">
        <v>85</v>
      </c>
      <c r="J1313">
        <v>34</v>
      </c>
      <c r="K1313" t="s">
        <v>81</v>
      </c>
      <c r="L1313" t="s">
        <v>2679</v>
      </c>
      <c r="M1313" t="s">
        <v>60</v>
      </c>
      <c r="N1313" t="s">
        <v>2601</v>
      </c>
      <c r="O1313" t="s">
        <v>117</v>
      </c>
      <c r="P1313" t="s">
        <v>49</v>
      </c>
      <c r="Q1313" t="s">
        <v>139</v>
      </c>
      <c r="R1313">
        <v>3</v>
      </c>
      <c r="S1313">
        <v>6999</v>
      </c>
      <c r="T1313">
        <v>0.2</v>
      </c>
      <c r="U1313">
        <v>16797.599999999999</v>
      </c>
      <c r="V1313">
        <v>12900</v>
      </c>
      <c r="W1313">
        <v>3897.6</v>
      </c>
      <c r="X1313" t="s">
        <v>76</v>
      </c>
      <c r="Y1313" t="s">
        <v>68</v>
      </c>
      <c r="Z1313" t="s">
        <v>160</v>
      </c>
      <c r="AA1313" t="s">
        <v>169</v>
      </c>
      <c r="AB1313">
        <v>3.5</v>
      </c>
      <c r="AC1313">
        <v>50</v>
      </c>
      <c r="AD1313">
        <v>1568.11</v>
      </c>
      <c r="AE1313">
        <f t="shared" si="40"/>
        <v>2279.4899999999998</v>
      </c>
      <c r="AF1313" t="str">
        <f t="shared" si="41"/>
        <v>2025-06</v>
      </c>
      <c r="AG1313">
        <f>SUBTOTAL(103,A1313)</f>
        <v>1</v>
      </c>
    </row>
    <row r="1314" spans="1:33" x14ac:dyDescent="0.3">
      <c r="A1314" t="s">
        <v>3929</v>
      </c>
      <c r="B1314" s="13">
        <v>45823</v>
      </c>
      <c r="C1314">
        <v>2025</v>
      </c>
      <c r="D1314">
        <v>6</v>
      </c>
      <c r="E1314" t="s">
        <v>3813</v>
      </c>
      <c r="F1314" t="s">
        <v>3329</v>
      </c>
      <c r="G1314" t="s">
        <v>2499</v>
      </c>
      <c r="H1314" t="s">
        <v>2500</v>
      </c>
      <c r="I1314" t="s">
        <v>86</v>
      </c>
      <c r="J1314">
        <v>54</v>
      </c>
      <c r="K1314" t="s">
        <v>83</v>
      </c>
      <c r="L1314" t="s">
        <v>59</v>
      </c>
      <c r="M1314" t="s">
        <v>59</v>
      </c>
      <c r="N1314" t="s">
        <v>2630</v>
      </c>
      <c r="O1314" t="s">
        <v>123</v>
      </c>
      <c r="P1314" t="s">
        <v>52</v>
      </c>
      <c r="Q1314" t="s">
        <v>146</v>
      </c>
      <c r="R1314">
        <v>4</v>
      </c>
      <c r="S1314">
        <v>2499</v>
      </c>
      <c r="T1314">
        <v>0.1</v>
      </c>
      <c r="U1314">
        <v>0</v>
      </c>
      <c r="V1314">
        <v>0</v>
      </c>
      <c r="W1314">
        <v>0</v>
      </c>
      <c r="X1314" t="s">
        <v>73</v>
      </c>
      <c r="Y1314" t="s">
        <v>71</v>
      </c>
      <c r="Z1314" t="s">
        <v>161</v>
      </c>
      <c r="AA1314" t="s">
        <v>167</v>
      </c>
      <c r="AB1314">
        <v>4</v>
      </c>
      <c r="AC1314">
        <v>80</v>
      </c>
      <c r="AD1314">
        <v>849.36</v>
      </c>
      <c r="AE1314">
        <f t="shared" si="40"/>
        <v>-929.36</v>
      </c>
      <c r="AF1314" t="str">
        <f t="shared" si="41"/>
        <v>2025-06</v>
      </c>
      <c r="AG1314">
        <f>SUBTOTAL(103,A1314)</f>
        <v>1</v>
      </c>
    </row>
    <row r="1315" spans="1:33" x14ac:dyDescent="0.3">
      <c r="A1315" t="s">
        <v>3930</v>
      </c>
      <c r="B1315" s="13">
        <v>45823</v>
      </c>
      <c r="C1315">
        <v>2025</v>
      </c>
      <c r="D1315">
        <v>6</v>
      </c>
      <c r="E1315" t="s">
        <v>3813</v>
      </c>
      <c r="F1315" t="s">
        <v>3329</v>
      </c>
      <c r="G1315" t="s">
        <v>897</v>
      </c>
      <c r="H1315" t="s">
        <v>898</v>
      </c>
      <c r="I1315" t="s">
        <v>85</v>
      </c>
      <c r="J1315">
        <v>43</v>
      </c>
      <c r="K1315" t="s">
        <v>82</v>
      </c>
      <c r="L1315" t="s">
        <v>59</v>
      </c>
      <c r="M1315" t="s">
        <v>59</v>
      </c>
      <c r="N1315" t="s">
        <v>2590</v>
      </c>
      <c r="O1315" t="s">
        <v>127</v>
      </c>
      <c r="P1315" t="s">
        <v>51</v>
      </c>
      <c r="Q1315" t="s">
        <v>148</v>
      </c>
      <c r="R1315">
        <v>1</v>
      </c>
      <c r="S1315">
        <v>1599</v>
      </c>
      <c r="T1315">
        <v>0.1</v>
      </c>
      <c r="U1315">
        <v>1439.1</v>
      </c>
      <c r="V1315">
        <v>800</v>
      </c>
      <c r="W1315">
        <v>639.1</v>
      </c>
      <c r="X1315" t="s">
        <v>77</v>
      </c>
      <c r="Y1315" t="s">
        <v>68</v>
      </c>
      <c r="Z1315" t="s">
        <v>158</v>
      </c>
      <c r="AA1315" t="s">
        <v>167</v>
      </c>
      <c r="AB1315">
        <v>4</v>
      </c>
      <c r="AC1315">
        <v>50</v>
      </c>
      <c r="AD1315">
        <v>99.66</v>
      </c>
      <c r="AE1315">
        <f t="shared" si="40"/>
        <v>489.44000000000005</v>
      </c>
      <c r="AF1315" t="str">
        <f t="shared" si="41"/>
        <v>2025-06</v>
      </c>
      <c r="AG1315">
        <f>SUBTOTAL(103,A1315)</f>
        <v>1</v>
      </c>
    </row>
    <row r="1316" spans="1:33" x14ac:dyDescent="0.3">
      <c r="A1316" t="s">
        <v>3931</v>
      </c>
      <c r="B1316" s="13">
        <v>45824</v>
      </c>
      <c r="C1316">
        <v>2025</v>
      </c>
      <c r="D1316">
        <v>6</v>
      </c>
      <c r="E1316" t="s">
        <v>3813</v>
      </c>
      <c r="F1316" t="s">
        <v>3329</v>
      </c>
      <c r="G1316" t="s">
        <v>1259</v>
      </c>
      <c r="H1316" t="s">
        <v>1260</v>
      </c>
      <c r="I1316" t="s">
        <v>86</v>
      </c>
      <c r="J1316">
        <v>29</v>
      </c>
      <c r="K1316" t="s">
        <v>81</v>
      </c>
      <c r="L1316" t="s">
        <v>99</v>
      </c>
      <c r="M1316" t="s">
        <v>58</v>
      </c>
      <c r="N1316" t="s">
        <v>2577</v>
      </c>
      <c r="O1316" t="s">
        <v>129</v>
      </c>
      <c r="P1316" t="s">
        <v>49</v>
      </c>
      <c r="Q1316" t="s">
        <v>149</v>
      </c>
      <c r="R1316">
        <v>4</v>
      </c>
      <c r="S1316">
        <v>1299</v>
      </c>
      <c r="T1316">
        <v>0.1</v>
      </c>
      <c r="U1316">
        <v>4676.3999999999996</v>
      </c>
      <c r="V1316">
        <v>2600</v>
      </c>
      <c r="W1316">
        <v>2076.4</v>
      </c>
      <c r="X1316" t="s">
        <v>73</v>
      </c>
      <c r="Y1316" t="s">
        <v>68</v>
      </c>
      <c r="Z1316" t="s">
        <v>158</v>
      </c>
      <c r="AA1316" t="s">
        <v>171</v>
      </c>
      <c r="AB1316">
        <v>3</v>
      </c>
      <c r="AC1316">
        <v>50</v>
      </c>
      <c r="AD1316">
        <v>176.88</v>
      </c>
      <c r="AE1316">
        <f t="shared" si="40"/>
        <v>1849.52</v>
      </c>
      <c r="AF1316" t="str">
        <f t="shared" si="41"/>
        <v>2025-06</v>
      </c>
      <c r="AG1316">
        <f>SUBTOTAL(103,A1316)</f>
        <v>1</v>
      </c>
    </row>
    <row r="1317" spans="1:33" x14ac:dyDescent="0.3">
      <c r="A1317" t="s">
        <v>3932</v>
      </c>
      <c r="B1317" s="13">
        <v>45824</v>
      </c>
      <c r="C1317">
        <v>2025</v>
      </c>
      <c r="D1317">
        <v>6</v>
      </c>
      <c r="E1317" t="s">
        <v>3813</v>
      </c>
      <c r="F1317" t="s">
        <v>3329</v>
      </c>
      <c r="G1317" t="s">
        <v>1151</v>
      </c>
      <c r="H1317" t="s">
        <v>1152</v>
      </c>
      <c r="I1317" t="s">
        <v>85</v>
      </c>
      <c r="J1317">
        <v>44</v>
      </c>
      <c r="K1317" t="s">
        <v>82</v>
      </c>
      <c r="L1317" t="s">
        <v>94</v>
      </c>
      <c r="M1317" t="s">
        <v>57</v>
      </c>
      <c r="N1317" t="s">
        <v>2577</v>
      </c>
      <c r="O1317" t="s">
        <v>129</v>
      </c>
      <c r="P1317" t="s">
        <v>49</v>
      </c>
      <c r="Q1317" t="s">
        <v>149</v>
      </c>
      <c r="R1317">
        <v>2</v>
      </c>
      <c r="S1317">
        <v>1299</v>
      </c>
      <c r="T1317">
        <v>0.05</v>
      </c>
      <c r="U1317">
        <v>2468.1</v>
      </c>
      <c r="V1317">
        <v>1300</v>
      </c>
      <c r="W1317">
        <v>1168.0999999999999</v>
      </c>
      <c r="X1317" t="s">
        <v>73</v>
      </c>
      <c r="Y1317" t="s">
        <v>68</v>
      </c>
      <c r="Z1317" t="s">
        <v>159</v>
      </c>
      <c r="AA1317" t="s">
        <v>169</v>
      </c>
      <c r="AB1317">
        <v>4.7</v>
      </c>
      <c r="AC1317">
        <v>40</v>
      </c>
      <c r="AD1317">
        <v>205.3</v>
      </c>
      <c r="AE1317">
        <f t="shared" si="40"/>
        <v>922.8</v>
      </c>
      <c r="AF1317" t="str">
        <f t="shared" si="41"/>
        <v>2025-06</v>
      </c>
      <c r="AG1317">
        <f>SUBTOTAL(103,A1317)</f>
        <v>1</v>
      </c>
    </row>
    <row r="1318" spans="1:33" x14ac:dyDescent="0.3">
      <c r="A1318" t="s">
        <v>3933</v>
      </c>
      <c r="B1318" s="13">
        <v>45824</v>
      </c>
      <c r="C1318">
        <v>2025</v>
      </c>
      <c r="D1318">
        <v>6</v>
      </c>
      <c r="E1318" t="s">
        <v>3813</v>
      </c>
      <c r="F1318" t="s">
        <v>3329</v>
      </c>
      <c r="G1318" t="s">
        <v>2343</v>
      </c>
      <c r="H1318" t="s">
        <v>2344</v>
      </c>
      <c r="I1318" t="s">
        <v>85</v>
      </c>
      <c r="J1318">
        <v>37</v>
      </c>
      <c r="K1318" t="s">
        <v>82</v>
      </c>
      <c r="L1318" t="s">
        <v>2623</v>
      </c>
      <c r="M1318" t="s">
        <v>61</v>
      </c>
      <c r="N1318" t="s">
        <v>2653</v>
      </c>
      <c r="O1318" t="s">
        <v>132</v>
      </c>
      <c r="P1318" t="s">
        <v>52</v>
      </c>
      <c r="Q1318" t="s">
        <v>150</v>
      </c>
      <c r="R1318">
        <v>3</v>
      </c>
      <c r="S1318">
        <v>899</v>
      </c>
      <c r="T1318">
        <v>0.15</v>
      </c>
      <c r="U1318">
        <v>2292.4499999999998</v>
      </c>
      <c r="V1318">
        <v>1260</v>
      </c>
      <c r="W1318">
        <v>1032.45</v>
      </c>
      <c r="X1318" t="s">
        <v>74</v>
      </c>
      <c r="Y1318" t="s">
        <v>68</v>
      </c>
      <c r="Z1318" t="s">
        <v>158</v>
      </c>
      <c r="AA1318" t="s">
        <v>166</v>
      </c>
      <c r="AB1318">
        <v>4.5999999999999996</v>
      </c>
      <c r="AC1318">
        <v>50</v>
      </c>
      <c r="AD1318">
        <v>248.93</v>
      </c>
      <c r="AE1318">
        <f t="shared" si="40"/>
        <v>733.52</v>
      </c>
      <c r="AF1318" t="str">
        <f t="shared" si="41"/>
        <v>2025-06</v>
      </c>
      <c r="AG1318">
        <f>SUBTOTAL(103,A1318)</f>
        <v>1</v>
      </c>
    </row>
    <row r="1319" spans="1:33" x14ac:dyDescent="0.3">
      <c r="A1319" t="s">
        <v>3934</v>
      </c>
      <c r="B1319" s="13">
        <v>45824</v>
      </c>
      <c r="C1319">
        <v>2025</v>
      </c>
      <c r="D1319">
        <v>6</v>
      </c>
      <c r="E1319" t="s">
        <v>3813</v>
      </c>
      <c r="F1319" t="s">
        <v>3329</v>
      </c>
      <c r="G1319" t="s">
        <v>1061</v>
      </c>
      <c r="H1319" t="s">
        <v>1062</v>
      </c>
      <c r="I1319" t="s">
        <v>85</v>
      </c>
      <c r="J1319">
        <v>44</v>
      </c>
      <c r="K1319" t="s">
        <v>82</v>
      </c>
      <c r="L1319" t="s">
        <v>100</v>
      </c>
      <c r="M1319" t="s">
        <v>56</v>
      </c>
      <c r="N1319" t="s">
        <v>2587</v>
      </c>
      <c r="O1319" t="s">
        <v>116</v>
      </c>
      <c r="P1319" t="s">
        <v>48</v>
      </c>
      <c r="Q1319" t="s">
        <v>138</v>
      </c>
      <c r="R1319">
        <v>1</v>
      </c>
      <c r="S1319">
        <v>14999</v>
      </c>
      <c r="T1319">
        <v>0</v>
      </c>
      <c r="U1319">
        <v>14999</v>
      </c>
      <c r="V1319">
        <v>11200</v>
      </c>
      <c r="W1319">
        <v>3799</v>
      </c>
      <c r="X1319" t="s">
        <v>74</v>
      </c>
      <c r="Y1319" t="s">
        <v>68</v>
      </c>
      <c r="Z1319" t="s">
        <v>158</v>
      </c>
      <c r="AA1319" t="s">
        <v>166</v>
      </c>
      <c r="AB1319">
        <v>4.5</v>
      </c>
      <c r="AC1319">
        <v>50</v>
      </c>
      <c r="AD1319">
        <v>865.74</v>
      </c>
      <c r="AE1319">
        <f t="shared" si="40"/>
        <v>2883.26</v>
      </c>
      <c r="AF1319" t="str">
        <f t="shared" si="41"/>
        <v>2025-06</v>
      </c>
      <c r="AG1319">
        <f>SUBTOTAL(103,A1319)</f>
        <v>1</v>
      </c>
    </row>
    <row r="1320" spans="1:33" x14ac:dyDescent="0.3">
      <c r="A1320" t="s">
        <v>3935</v>
      </c>
      <c r="B1320" s="13">
        <v>45824</v>
      </c>
      <c r="C1320">
        <v>2025</v>
      </c>
      <c r="D1320">
        <v>6</v>
      </c>
      <c r="E1320" t="s">
        <v>3813</v>
      </c>
      <c r="F1320" t="s">
        <v>3329</v>
      </c>
      <c r="G1320" t="s">
        <v>311</v>
      </c>
      <c r="H1320" t="s">
        <v>312</v>
      </c>
      <c r="I1320" t="s">
        <v>85</v>
      </c>
      <c r="J1320">
        <v>46</v>
      </c>
      <c r="K1320" t="s">
        <v>83</v>
      </c>
      <c r="L1320" t="s">
        <v>97</v>
      </c>
      <c r="M1320" t="s">
        <v>57</v>
      </c>
      <c r="N1320" t="s">
        <v>2653</v>
      </c>
      <c r="O1320" t="s">
        <v>132</v>
      </c>
      <c r="P1320" t="s">
        <v>52</v>
      </c>
      <c r="Q1320" t="s">
        <v>150</v>
      </c>
      <c r="R1320">
        <v>2</v>
      </c>
      <c r="S1320">
        <v>899</v>
      </c>
      <c r="T1320">
        <v>0.2</v>
      </c>
      <c r="U1320">
        <v>1438.4</v>
      </c>
      <c r="V1320">
        <v>840</v>
      </c>
      <c r="W1320">
        <v>598.4</v>
      </c>
      <c r="X1320" t="s">
        <v>73</v>
      </c>
      <c r="Y1320" t="s">
        <v>69</v>
      </c>
      <c r="Z1320" t="s">
        <v>163</v>
      </c>
      <c r="AA1320" t="s">
        <v>166</v>
      </c>
      <c r="AB1320">
        <v>4.8</v>
      </c>
      <c r="AC1320">
        <v>80</v>
      </c>
      <c r="AD1320">
        <v>143.82</v>
      </c>
      <c r="AE1320">
        <f t="shared" si="40"/>
        <v>374.58</v>
      </c>
      <c r="AF1320" t="str">
        <f t="shared" si="41"/>
        <v>2025-06</v>
      </c>
      <c r="AG1320">
        <f>SUBTOTAL(103,A1320)</f>
        <v>1</v>
      </c>
    </row>
    <row r="1321" spans="1:33" x14ac:dyDescent="0.3">
      <c r="A1321" t="s">
        <v>3936</v>
      </c>
      <c r="B1321" s="13">
        <v>45824</v>
      </c>
      <c r="C1321">
        <v>2025</v>
      </c>
      <c r="D1321">
        <v>6</v>
      </c>
      <c r="E1321" t="s">
        <v>3813</v>
      </c>
      <c r="F1321" t="s">
        <v>3329</v>
      </c>
      <c r="G1321" t="s">
        <v>259</v>
      </c>
      <c r="H1321" t="s">
        <v>260</v>
      </c>
      <c r="I1321" t="s">
        <v>86</v>
      </c>
      <c r="J1321">
        <v>31</v>
      </c>
      <c r="K1321" t="s">
        <v>81</v>
      </c>
      <c r="L1321" t="s">
        <v>2661</v>
      </c>
      <c r="M1321" t="s">
        <v>58</v>
      </c>
      <c r="N1321" t="s">
        <v>2644</v>
      </c>
      <c r="O1321" t="s">
        <v>126</v>
      </c>
      <c r="P1321" t="s">
        <v>50</v>
      </c>
      <c r="Q1321" t="s">
        <v>145</v>
      </c>
      <c r="R1321">
        <v>4</v>
      </c>
      <c r="S1321">
        <v>1799</v>
      </c>
      <c r="T1321">
        <v>0.05</v>
      </c>
      <c r="U1321">
        <v>6836.2</v>
      </c>
      <c r="V1321">
        <v>3800</v>
      </c>
      <c r="W1321">
        <v>3036.2</v>
      </c>
      <c r="X1321" t="s">
        <v>76</v>
      </c>
      <c r="Y1321" t="s">
        <v>68</v>
      </c>
      <c r="Z1321" t="s">
        <v>163</v>
      </c>
      <c r="AA1321" t="s">
        <v>167</v>
      </c>
      <c r="AB1321">
        <v>3.5</v>
      </c>
      <c r="AC1321">
        <v>50</v>
      </c>
      <c r="AD1321">
        <v>215.7</v>
      </c>
      <c r="AE1321">
        <f t="shared" si="40"/>
        <v>2770.5</v>
      </c>
      <c r="AF1321" t="str">
        <f t="shared" si="41"/>
        <v>2025-06</v>
      </c>
      <c r="AG1321">
        <f>SUBTOTAL(103,A1321)</f>
        <v>1</v>
      </c>
    </row>
    <row r="1322" spans="1:33" x14ac:dyDescent="0.3">
      <c r="A1322" t="s">
        <v>3937</v>
      </c>
      <c r="B1322" s="13">
        <v>45824</v>
      </c>
      <c r="C1322">
        <v>2025</v>
      </c>
      <c r="D1322">
        <v>6</v>
      </c>
      <c r="E1322" t="s">
        <v>3813</v>
      </c>
      <c r="F1322" t="s">
        <v>3329</v>
      </c>
      <c r="G1322" t="s">
        <v>311</v>
      </c>
      <c r="H1322" t="s">
        <v>312</v>
      </c>
      <c r="I1322" t="s">
        <v>85</v>
      </c>
      <c r="J1322">
        <v>46</v>
      </c>
      <c r="K1322" t="s">
        <v>83</v>
      </c>
      <c r="L1322" t="s">
        <v>97</v>
      </c>
      <c r="M1322" t="s">
        <v>57</v>
      </c>
      <c r="N1322" t="s">
        <v>2603</v>
      </c>
      <c r="O1322" t="s">
        <v>122</v>
      </c>
      <c r="P1322" t="s">
        <v>48</v>
      </c>
      <c r="Q1322" t="s">
        <v>141</v>
      </c>
      <c r="R1322">
        <v>1</v>
      </c>
      <c r="S1322">
        <v>2499</v>
      </c>
      <c r="T1322">
        <v>0.1</v>
      </c>
      <c r="U1322">
        <v>2249.1</v>
      </c>
      <c r="V1322">
        <v>1450</v>
      </c>
      <c r="W1322">
        <v>799.1</v>
      </c>
      <c r="X1322" t="s">
        <v>75</v>
      </c>
      <c r="Y1322" t="s">
        <v>68</v>
      </c>
      <c r="Z1322" t="s">
        <v>159</v>
      </c>
      <c r="AA1322" t="s">
        <v>171</v>
      </c>
      <c r="AB1322">
        <v>4.2</v>
      </c>
      <c r="AC1322">
        <v>40</v>
      </c>
      <c r="AD1322">
        <v>114.33</v>
      </c>
      <c r="AE1322">
        <f t="shared" si="40"/>
        <v>644.77</v>
      </c>
      <c r="AF1322" t="str">
        <f t="shared" si="41"/>
        <v>2025-06</v>
      </c>
      <c r="AG1322">
        <f>SUBTOTAL(103,A1322)</f>
        <v>1</v>
      </c>
    </row>
    <row r="1323" spans="1:33" x14ac:dyDescent="0.3">
      <c r="A1323" t="s">
        <v>3938</v>
      </c>
      <c r="B1323" s="13">
        <v>45825</v>
      </c>
      <c r="C1323">
        <v>2025</v>
      </c>
      <c r="D1323">
        <v>6</v>
      </c>
      <c r="E1323" t="s">
        <v>3813</v>
      </c>
      <c r="F1323" t="s">
        <v>3329</v>
      </c>
      <c r="G1323" t="s">
        <v>1845</v>
      </c>
      <c r="H1323" t="s">
        <v>1846</v>
      </c>
      <c r="I1323" t="s">
        <v>85</v>
      </c>
      <c r="J1323">
        <v>42</v>
      </c>
      <c r="K1323" t="s">
        <v>82</v>
      </c>
      <c r="L1323" t="s">
        <v>2589</v>
      </c>
      <c r="M1323" t="s">
        <v>61</v>
      </c>
      <c r="N1323" t="s">
        <v>2630</v>
      </c>
      <c r="O1323" t="s">
        <v>123</v>
      </c>
      <c r="P1323" t="s">
        <v>52</v>
      </c>
      <c r="Q1323" t="s">
        <v>146</v>
      </c>
      <c r="R1323">
        <v>4</v>
      </c>
      <c r="S1323">
        <v>2499</v>
      </c>
      <c r="T1323">
        <v>0.1</v>
      </c>
      <c r="U1323">
        <v>0</v>
      </c>
      <c r="V1323">
        <v>0</v>
      </c>
      <c r="W1323">
        <v>0</v>
      </c>
      <c r="X1323" t="s">
        <v>77</v>
      </c>
      <c r="Y1323" t="s">
        <v>71</v>
      </c>
      <c r="Z1323" t="s">
        <v>158</v>
      </c>
      <c r="AA1323" t="s">
        <v>171</v>
      </c>
      <c r="AB1323">
        <v>3.7</v>
      </c>
      <c r="AC1323">
        <v>100</v>
      </c>
      <c r="AD1323">
        <v>518.36</v>
      </c>
      <c r="AE1323">
        <f t="shared" si="40"/>
        <v>-618.36</v>
      </c>
      <c r="AF1323" t="str">
        <f t="shared" si="41"/>
        <v>2025-06</v>
      </c>
      <c r="AG1323">
        <f>SUBTOTAL(103,A1323)</f>
        <v>1</v>
      </c>
    </row>
    <row r="1324" spans="1:33" x14ac:dyDescent="0.3">
      <c r="A1324" t="s">
        <v>3939</v>
      </c>
      <c r="B1324" s="13">
        <v>45825</v>
      </c>
      <c r="C1324">
        <v>2025</v>
      </c>
      <c r="D1324">
        <v>6</v>
      </c>
      <c r="E1324" t="s">
        <v>3813</v>
      </c>
      <c r="F1324" t="s">
        <v>3329</v>
      </c>
      <c r="G1324" t="s">
        <v>1211</v>
      </c>
      <c r="H1324" t="s">
        <v>1212</v>
      </c>
      <c r="I1324" t="s">
        <v>86</v>
      </c>
      <c r="J1324">
        <v>48</v>
      </c>
      <c r="K1324" t="s">
        <v>83</v>
      </c>
      <c r="L1324" t="s">
        <v>98</v>
      </c>
      <c r="M1324" t="s">
        <v>55</v>
      </c>
      <c r="N1324" t="s">
        <v>2630</v>
      </c>
      <c r="O1324" t="s">
        <v>123</v>
      </c>
      <c r="P1324" t="s">
        <v>52</v>
      </c>
      <c r="Q1324" t="s">
        <v>146</v>
      </c>
      <c r="R1324">
        <v>4</v>
      </c>
      <c r="S1324">
        <v>2499</v>
      </c>
      <c r="T1324">
        <v>0</v>
      </c>
      <c r="U1324">
        <v>9996</v>
      </c>
      <c r="V1324">
        <v>5600</v>
      </c>
      <c r="W1324">
        <v>4396</v>
      </c>
      <c r="X1324" t="s">
        <v>77</v>
      </c>
      <c r="Y1324" t="s">
        <v>68</v>
      </c>
      <c r="Z1324" t="s">
        <v>163</v>
      </c>
      <c r="AA1324" t="s">
        <v>167</v>
      </c>
      <c r="AB1324">
        <v>3.2</v>
      </c>
      <c r="AC1324">
        <v>80</v>
      </c>
      <c r="AD1324">
        <v>818.77</v>
      </c>
      <c r="AE1324">
        <f t="shared" si="40"/>
        <v>3497.23</v>
      </c>
      <c r="AF1324" t="str">
        <f t="shared" si="41"/>
        <v>2025-06</v>
      </c>
      <c r="AG1324">
        <f>SUBTOTAL(103,A1324)</f>
        <v>1</v>
      </c>
    </row>
    <row r="1325" spans="1:33" x14ac:dyDescent="0.3">
      <c r="A1325" t="s">
        <v>3940</v>
      </c>
      <c r="B1325" s="13">
        <v>45825</v>
      </c>
      <c r="C1325">
        <v>2025</v>
      </c>
      <c r="D1325">
        <v>6</v>
      </c>
      <c r="E1325" t="s">
        <v>3813</v>
      </c>
      <c r="F1325" t="s">
        <v>3329</v>
      </c>
      <c r="G1325" t="s">
        <v>2015</v>
      </c>
      <c r="H1325" t="s">
        <v>2016</v>
      </c>
      <c r="I1325" t="s">
        <v>86</v>
      </c>
      <c r="J1325">
        <v>33</v>
      </c>
      <c r="K1325" t="s">
        <v>81</v>
      </c>
      <c r="L1325" t="s">
        <v>97</v>
      </c>
      <c r="M1325" t="s">
        <v>57</v>
      </c>
      <c r="N1325" t="s">
        <v>2626</v>
      </c>
      <c r="O1325" t="s">
        <v>125</v>
      </c>
      <c r="P1325" t="s">
        <v>48</v>
      </c>
      <c r="Q1325" t="s">
        <v>141</v>
      </c>
      <c r="R1325">
        <v>4</v>
      </c>
      <c r="S1325">
        <v>1999</v>
      </c>
      <c r="T1325">
        <v>0.1</v>
      </c>
      <c r="U1325">
        <v>7196.4</v>
      </c>
      <c r="V1325">
        <v>4600</v>
      </c>
      <c r="W1325">
        <v>2596.4</v>
      </c>
      <c r="X1325" t="s">
        <v>73</v>
      </c>
      <c r="Y1325" t="s">
        <v>69</v>
      </c>
      <c r="Z1325" t="s">
        <v>159</v>
      </c>
      <c r="AA1325" t="s">
        <v>170</v>
      </c>
      <c r="AB1325">
        <v>3.6</v>
      </c>
      <c r="AC1325">
        <v>100</v>
      </c>
      <c r="AD1325">
        <v>805.62</v>
      </c>
      <c r="AE1325">
        <f t="shared" si="40"/>
        <v>1690.7800000000002</v>
      </c>
      <c r="AF1325" t="str">
        <f t="shared" si="41"/>
        <v>2025-06</v>
      </c>
      <c r="AG1325">
        <f>SUBTOTAL(103,A1325)</f>
        <v>1</v>
      </c>
    </row>
    <row r="1326" spans="1:33" x14ac:dyDescent="0.3">
      <c r="A1326" t="s">
        <v>3941</v>
      </c>
      <c r="B1326" s="13">
        <v>45825</v>
      </c>
      <c r="C1326">
        <v>2025</v>
      </c>
      <c r="D1326">
        <v>6</v>
      </c>
      <c r="E1326" t="s">
        <v>3813</v>
      </c>
      <c r="F1326" t="s">
        <v>3329</v>
      </c>
      <c r="G1326" t="s">
        <v>1585</v>
      </c>
      <c r="H1326" t="s">
        <v>1586</v>
      </c>
      <c r="I1326" t="s">
        <v>85</v>
      </c>
      <c r="J1326">
        <v>34</v>
      </c>
      <c r="K1326" t="s">
        <v>81</v>
      </c>
      <c r="L1326" t="s">
        <v>100</v>
      </c>
      <c r="M1326" t="s">
        <v>56</v>
      </c>
      <c r="N1326" t="s">
        <v>2603</v>
      </c>
      <c r="O1326" t="s">
        <v>122</v>
      </c>
      <c r="P1326" t="s">
        <v>48</v>
      </c>
      <c r="Q1326" t="s">
        <v>141</v>
      </c>
      <c r="R1326">
        <v>2</v>
      </c>
      <c r="S1326">
        <v>2499</v>
      </c>
      <c r="T1326">
        <v>0.25</v>
      </c>
      <c r="U1326">
        <v>3748.5</v>
      </c>
      <c r="V1326">
        <v>2900</v>
      </c>
      <c r="W1326">
        <v>848.5</v>
      </c>
      <c r="X1326" t="s">
        <v>74</v>
      </c>
      <c r="Y1326" t="s">
        <v>68</v>
      </c>
      <c r="Z1326" t="s">
        <v>161</v>
      </c>
      <c r="AA1326" t="s">
        <v>168</v>
      </c>
      <c r="AB1326">
        <v>4.9000000000000004</v>
      </c>
      <c r="AC1326">
        <v>60</v>
      </c>
      <c r="AD1326">
        <v>267.61</v>
      </c>
      <c r="AE1326">
        <f t="shared" si="40"/>
        <v>520.89</v>
      </c>
      <c r="AF1326" t="str">
        <f t="shared" si="41"/>
        <v>2025-06</v>
      </c>
      <c r="AG1326">
        <f>SUBTOTAL(103,A1326)</f>
        <v>1</v>
      </c>
    </row>
    <row r="1327" spans="1:33" x14ac:dyDescent="0.3">
      <c r="A1327" t="s">
        <v>3942</v>
      </c>
      <c r="B1327" s="13">
        <v>45825</v>
      </c>
      <c r="C1327">
        <v>2025</v>
      </c>
      <c r="D1327">
        <v>6</v>
      </c>
      <c r="E1327" t="s">
        <v>3813</v>
      </c>
      <c r="F1327" t="s">
        <v>3329</v>
      </c>
      <c r="G1327" t="s">
        <v>2045</v>
      </c>
      <c r="H1327" t="s">
        <v>2046</v>
      </c>
      <c r="I1327" t="s">
        <v>86</v>
      </c>
      <c r="J1327">
        <v>57</v>
      </c>
      <c r="K1327" t="s">
        <v>83</v>
      </c>
      <c r="L1327" t="s">
        <v>2661</v>
      </c>
      <c r="M1327" t="s">
        <v>58</v>
      </c>
      <c r="N1327" t="s">
        <v>2603</v>
      </c>
      <c r="O1327" t="s">
        <v>122</v>
      </c>
      <c r="P1327" t="s">
        <v>48</v>
      </c>
      <c r="Q1327" t="s">
        <v>141</v>
      </c>
      <c r="R1327">
        <v>2</v>
      </c>
      <c r="S1327">
        <v>2499</v>
      </c>
      <c r="T1327">
        <v>0.15</v>
      </c>
      <c r="U1327">
        <v>0</v>
      </c>
      <c r="V1327">
        <v>0</v>
      </c>
      <c r="W1327">
        <v>0</v>
      </c>
      <c r="X1327" t="s">
        <v>76</v>
      </c>
      <c r="Y1327" t="s">
        <v>71</v>
      </c>
      <c r="Z1327" t="s">
        <v>159</v>
      </c>
      <c r="AA1327" t="s">
        <v>166</v>
      </c>
      <c r="AB1327">
        <v>3.5</v>
      </c>
      <c r="AC1327">
        <v>80</v>
      </c>
      <c r="AD1327">
        <v>428.92</v>
      </c>
      <c r="AE1327">
        <f t="shared" si="40"/>
        <v>-508.92</v>
      </c>
      <c r="AF1327" t="str">
        <f t="shared" si="41"/>
        <v>2025-06</v>
      </c>
      <c r="AG1327">
        <f>SUBTOTAL(103,A1327)</f>
        <v>1</v>
      </c>
    </row>
    <row r="1328" spans="1:33" x14ac:dyDescent="0.3">
      <c r="A1328" t="s">
        <v>3943</v>
      </c>
      <c r="B1328" s="13">
        <v>45825</v>
      </c>
      <c r="C1328">
        <v>2025</v>
      </c>
      <c r="D1328">
        <v>6</v>
      </c>
      <c r="E1328" t="s">
        <v>3813</v>
      </c>
      <c r="F1328" t="s">
        <v>3329</v>
      </c>
      <c r="G1328" t="s">
        <v>1897</v>
      </c>
      <c r="H1328" t="s">
        <v>1898</v>
      </c>
      <c r="I1328" t="s">
        <v>85</v>
      </c>
      <c r="J1328">
        <v>32</v>
      </c>
      <c r="K1328" t="s">
        <v>81</v>
      </c>
      <c r="L1328" t="s">
        <v>2573</v>
      </c>
      <c r="M1328" t="s">
        <v>63</v>
      </c>
      <c r="N1328" t="s">
        <v>2603</v>
      </c>
      <c r="O1328" t="s">
        <v>122</v>
      </c>
      <c r="P1328" t="s">
        <v>48</v>
      </c>
      <c r="Q1328" t="s">
        <v>141</v>
      </c>
      <c r="R1328">
        <v>2</v>
      </c>
      <c r="S1328">
        <v>2499</v>
      </c>
      <c r="T1328">
        <v>0.15</v>
      </c>
      <c r="U1328">
        <v>4248.3</v>
      </c>
      <c r="V1328">
        <v>2900</v>
      </c>
      <c r="W1328">
        <v>1348.3</v>
      </c>
      <c r="X1328" t="s">
        <v>73</v>
      </c>
      <c r="Y1328" t="s">
        <v>68</v>
      </c>
      <c r="Z1328" t="s">
        <v>161</v>
      </c>
      <c r="AA1328" t="s">
        <v>167</v>
      </c>
      <c r="AB1328">
        <v>4</v>
      </c>
      <c r="AC1328">
        <v>40</v>
      </c>
      <c r="AD1328">
        <v>461.92</v>
      </c>
      <c r="AE1328">
        <f t="shared" si="40"/>
        <v>846.37999999999988</v>
      </c>
      <c r="AF1328" t="str">
        <f t="shared" si="41"/>
        <v>2025-06</v>
      </c>
      <c r="AG1328">
        <f>SUBTOTAL(103,A1328)</f>
        <v>1</v>
      </c>
    </row>
    <row r="1329" spans="1:33" x14ac:dyDescent="0.3">
      <c r="A1329" t="s">
        <v>3944</v>
      </c>
      <c r="B1329" s="13">
        <v>45825</v>
      </c>
      <c r="C1329">
        <v>2025</v>
      </c>
      <c r="D1329">
        <v>6</v>
      </c>
      <c r="E1329" t="s">
        <v>3813</v>
      </c>
      <c r="F1329" t="s">
        <v>3329</v>
      </c>
      <c r="G1329" t="s">
        <v>1539</v>
      </c>
      <c r="H1329" t="s">
        <v>1540</v>
      </c>
      <c r="I1329" t="s">
        <v>85</v>
      </c>
      <c r="J1329">
        <v>44</v>
      </c>
      <c r="K1329" t="s">
        <v>82</v>
      </c>
      <c r="L1329" t="s">
        <v>91</v>
      </c>
      <c r="M1329" t="s">
        <v>55</v>
      </c>
      <c r="N1329" t="s">
        <v>2601</v>
      </c>
      <c r="O1329" t="s">
        <v>117</v>
      </c>
      <c r="P1329" t="s">
        <v>49</v>
      </c>
      <c r="Q1329" t="s">
        <v>139</v>
      </c>
      <c r="R1329">
        <v>3</v>
      </c>
      <c r="S1329">
        <v>6999</v>
      </c>
      <c r="T1329">
        <v>0.25</v>
      </c>
      <c r="U1329">
        <v>15747.75</v>
      </c>
      <c r="V1329">
        <v>12900</v>
      </c>
      <c r="W1329">
        <v>2847.75</v>
      </c>
      <c r="X1329" t="s">
        <v>73</v>
      </c>
      <c r="Y1329" t="s">
        <v>68</v>
      </c>
      <c r="Z1329" t="s">
        <v>160</v>
      </c>
      <c r="AA1329" t="s">
        <v>170</v>
      </c>
      <c r="AB1329">
        <v>4.4000000000000004</v>
      </c>
      <c r="AC1329">
        <v>60</v>
      </c>
      <c r="AD1329">
        <v>1204.6500000000001</v>
      </c>
      <c r="AE1329">
        <f t="shared" si="40"/>
        <v>1583.1</v>
      </c>
      <c r="AF1329" t="str">
        <f t="shared" si="41"/>
        <v>2025-06</v>
      </c>
      <c r="AG1329">
        <f>SUBTOTAL(103,A1329)</f>
        <v>1</v>
      </c>
    </row>
    <row r="1330" spans="1:33" x14ac:dyDescent="0.3">
      <c r="A1330" t="s">
        <v>3945</v>
      </c>
      <c r="B1330" s="13">
        <v>45825</v>
      </c>
      <c r="C1330">
        <v>2025</v>
      </c>
      <c r="D1330">
        <v>6</v>
      </c>
      <c r="E1330" t="s">
        <v>3813</v>
      </c>
      <c r="F1330" t="s">
        <v>3329</v>
      </c>
      <c r="G1330" t="s">
        <v>1449</v>
      </c>
      <c r="H1330" t="s">
        <v>1450</v>
      </c>
      <c r="I1330" t="s">
        <v>87</v>
      </c>
      <c r="J1330">
        <v>52</v>
      </c>
      <c r="K1330" t="s">
        <v>83</v>
      </c>
      <c r="L1330" t="s">
        <v>93</v>
      </c>
      <c r="M1330" t="s">
        <v>55</v>
      </c>
      <c r="N1330" t="s">
        <v>2644</v>
      </c>
      <c r="O1330" t="s">
        <v>126</v>
      </c>
      <c r="P1330" t="s">
        <v>50</v>
      </c>
      <c r="Q1330" t="s">
        <v>145</v>
      </c>
      <c r="R1330">
        <v>2</v>
      </c>
      <c r="S1330">
        <v>1799</v>
      </c>
      <c r="T1330">
        <v>0</v>
      </c>
      <c r="U1330">
        <v>3598</v>
      </c>
      <c r="V1330">
        <v>1900</v>
      </c>
      <c r="W1330">
        <v>1698</v>
      </c>
      <c r="X1330" t="s">
        <v>73</v>
      </c>
      <c r="Y1330" t="s">
        <v>68</v>
      </c>
      <c r="Z1330" t="s">
        <v>158</v>
      </c>
      <c r="AA1330" t="s">
        <v>166</v>
      </c>
      <c r="AB1330">
        <v>2.2999999999999998</v>
      </c>
      <c r="AC1330">
        <v>60</v>
      </c>
      <c r="AD1330">
        <v>351.31</v>
      </c>
      <c r="AE1330">
        <f t="shared" si="40"/>
        <v>1286.69</v>
      </c>
      <c r="AF1330" t="str">
        <f t="shared" si="41"/>
        <v>2025-06</v>
      </c>
      <c r="AG1330">
        <f>SUBTOTAL(103,A1330)</f>
        <v>1</v>
      </c>
    </row>
    <row r="1331" spans="1:33" x14ac:dyDescent="0.3">
      <c r="A1331" t="s">
        <v>3946</v>
      </c>
      <c r="B1331" s="13">
        <v>45826</v>
      </c>
      <c r="C1331">
        <v>2025</v>
      </c>
      <c r="D1331">
        <v>6</v>
      </c>
      <c r="E1331" t="s">
        <v>3813</v>
      </c>
      <c r="F1331" t="s">
        <v>3329</v>
      </c>
      <c r="G1331" t="s">
        <v>1163</v>
      </c>
      <c r="H1331" t="s">
        <v>1164</v>
      </c>
      <c r="I1331" t="s">
        <v>87</v>
      </c>
      <c r="J1331">
        <v>53</v>
      </c>
      <c r="K1331" t="s">
        <v>83</v>
      </c>
      <c r="L1331" t="s">
        <v>92</v>
      </c>
      <c r="M1331" t="s">
        <v>59</v>
      </c>
      <c r="N1331" t="s">
        <v>2653</v>
      </c>
      <c r="O1331" t="s">
        <v>132</v>
      </c>
      <c r="P1331" t="s">
        <v>52</v>
      </c>
      <c r="Q1331" t="s">
        <v>150</v>
      </c>
      <c r="R1331">
        <v>2</v>
      </c>
      <c r="S1331">
        <v>899</v>
      </c>
      <c r="T1331">
        <v>0</v>
      </c>
      <c r="U1331">
        <v>1798</v>
      </c>
      <c r="V1331">
        <v>840</v>
      </c>
      <c r="W1331">
        <v>958</v>
      </c>
      <c r="X1331" t="s">
        <v>76</v>
      </c>
      <c r="Y1331" t="s">
        <v>68</v>
      </c>
      <c r="Z1331" t="s">
        <v>162</v>
      </c>
      <c r="AA1331" t="s">
        <v>167</v>
      </c>
      <c r="AB1331">
        <v>4.4000000000000004</v>
      </c>
      <c r="AC1331">
        <v>120</v>
      </c>
      <c r="AD1331">
        <v>123.17</v>
      </c>
      <c r="AE1331">
        <f t="shared" si="40"/>
        <v>714.83</v>
      </c>
      <c r="AF1331" t="str">
        <f t="shared" si="41"/>
        <v>2025-06</v>
      </c>
      <c r="AG1331">
        <f>SUBTOTAL(103,A1331)</f>
        <v>1</v>
      </c>
    </row>
    <row r="1332" spans="1:33" x14ac:dyDescent="0.3">
      <c r="A1332" t="s">
        <v>3947</v>
      </c>
      <c r="B1332" s="13">
        <v>45826</v>
      </c>
      <c r="C1332">
        <v>2025</v>
      </c>
      <c r="D1332">
        <v>6</v>
      </c>
      <c r="E1332" t="s">
        <v>3813</v>
      </c>
      <c r="F1332" t="s">
        <v>3329</v>
      </c>
      <c r="G1332" t="s">
        <v>753</v>
      </c>
      <c r="H1332" t="s">
        <v>754</v>
      </c>
      <c r="I1332" t="s">
        <v>85</v>
      </c>
      <c r="J1332">
        <v>60</v>
      </c>
      <c r="K1332" t="s">
        <v>83</v>
      </c>
      <c r="L1332" t="s">
        <v>59</v>
      </c>
      <c r="M1332" t="s">
        <v>59</v>
      </c>
      <c r="N1332" t="s">
        <v>2592</v>
      </c>
      <c r="O1332" t="s">
        <v>115</v>
      </c>
      <c r="P1332" t="s">
        <v>48</v>
      </c>
      <c r="Q1332" t="s">
        <v>137</v>
      </c>
      <c r="R1332">
        <v>3</v>
      </c>
      <c r="S1332">
        <v>12999</v>
      </c>
      <c r="T1332">
        <v>0.1</v>
      </c>
      <c r="U1332">
        <v>35097.300000000003</v>
      </c>
      <c r="V1332">
        <v>27000</v>
      </c>
      <c r="W1332">
        <v>8097.3</v>
      </c>
      <c r="X1332" t="s">
        <v>77</v>
      </c>
      <c r="Y1332" t="s">
        <v>68</v>
      </c>
      <c r="Z1332" t="s">
        <v>163</v>
      </c>
      <c r="AA1332" t="s">
        <v>166</v>
      </c>
      <c r="AB1332">
        <v>3</v>
      </c>
      <c r="AC1332">
        <v>60</v>
      </c>
      <c r="AD1332">
        <v>3237.48</v>
      </c>
      <c r="AE1332">
        <f t="shared" si="40"/>
        <v>4799.82</v>
      </c>
      <c r="AF1332" t="str">
        <f t="shared" si="41"/>
        <v>2025-06</v>
      </c>
      <c r="AG1332">
        <f>SUBTOTAL(103,A1332)</f>
        <v>1</v>
      </c>
    </row>
    <row r="1333" spans="1:33" x14ac:dyDescent="0.3">
      <c r="A1333" t="s">
        <v>3948</v>
      </c>
      <c r="B1333" s="13">
        <v>45826</v>
      </c>
      <c r="C1333">
        <v>2025</v>
      </c>
      <c r="D1333">
        <v>6</v>
      </c>
      <c r="E1333" t="s">
        <v>3813</v>
      </c>
      <c r="F1333" t="s">
        <v>3329</v>
      </c>
      <c r="G1333" t="s">
        <v>1079</v>
      </c>
      <c r="H1333" t="s">
        <v>1080</v>
      </c>
      <c r="I1333" t="s">
        <v>85</v>
      </c>
      <c r="J1333">
        <v>52</v>
      </c>
      <c r="K1333" t="s">
        <v>83</v>
      </c>
      <c r="L1333" t="s">
        <v>92</v>
      </c>
      <c r="M1333" t="s">
        <v>59</v>
      </c>
      <c r="N1333" t="s">
        <v>2626</v>
      </c>
      <c r="O1333" t="s">
        <v>125</v>
      </c>
      <c r="P1333" t="s">
        <v>48</v>
      </c>
      <c r="Q1333" t="s">
        <v>141</v>
      </c>
      <c r="R1333">
        <v>2</v>
      </c>
      <c r="S1333">
        <v>1999</v>
      </c>
      <c r="T1333">
        <v>0.1</v>
      </c>
      <c r="U1333">
        <v>3598.2</v>
      </c>
      <c r="V1333">
        <v>2300</v>
      </c>
      <c r="W1333">
        <v>1298.2</v>
      </c>
      <c r="X1333" t="s">
        <v>77</v>
      </c>
      <c r="Y1333" t="s">
        <v>68</v>
      </c>
      <c r="Z1333" t="s">
        <v>160</v>
      </c>
      <c r="AA1333" t="s">
        <v>170</v>
      </c>
      <c r="AB1333">
        <v>3.4</v>
      </c>
      <c r="AC1333">
        <v>50</v>
      </c>
      <c r="AD1333">
        <v>224.45</v>
      </c>
      <c r="AE1333">
        <f t="shared" si="40"/>
        <v>1023.75</v>
      </c>
      <c r="AF1333" t="str">
        <f t="shared" si="41"/>
        <v>2025-06</v>
      </c>
      <c r="AG1333">
        <f>SUBTOTAL(103,A1333)</f>
        <v>1</v>
      </c>
    </row>
    <row r="1334" spans="1:33" x14ac:dyDescent="0.3">
      <c r="A1334" t="s">
        <v>3949</v>
      </c>
      <c r="B1334" s="13">
        <v>45826</v>
      </c>
      <c r="C1334">
        <v>2025</v>
      </c>
      <c r="D1334">
        <v>6</v>
      </c>
      <c r="E1334" t="s">
        <v>3813</v>
      </c>
      <c r="F1334" t="s">
        <v>3329</v>
      </c>
      <c r="G1334" t="s">
        <v>953</v>
      </c>
      <c r="H1334" t="s">
        <v>954</v>
      </c>
      <c r="I1334" t="s">
        <v>86</v>
      </c>
      <c r="J1334">
        <v>42</v>
      </c>
      <c r="K1334" t="s">
        <v>82</v>
      </c>
      <c r="L1334" t="s">
        <v>2687</v>
      </c>
      <c r="M1334" t="s">
        <v>57</v>
      </c>
      <c r="N1334" t="s">
        <v>2665</v>
      </c>
      <c r="O1334" t="s">
        <v>128</v>
      </c>
      <c r="P1334" t="s">
        <v>53</v>
      </c>
      <c r="Q1334" t="s">
        <v>143</v>
      </c>
      <c r="R1334">
        <v>1</v>
      </c>
      <c r="S1334">
        <v>1499</v>
      </c>
      <c r="T1334">
        <v>0.25</v>
      </c>
      <c r="U1334">
        <v>1124.25</v>
      </c>
      <c r="V1334">
        <v>800</v>
      </c>
      <c r="W1334">
        <v>324.25</v>
      </c>
      <c r="X1334" t="s">
        <v>74</v>
      </c>
      <c r="Y1334" t="s">
        <v>68</v>
      </c>
      <c r="Z1334" t="s">
        <v>160</v>
      </c>
      <c r="AA1334" t="s">
        <v>166</v>
      </c>
      <c r="AB1334">
        <v>4</v>
      </c>
      <c r="AC1334">
        <v>100</v>
      </c>
      <c r="AD1334">
        <v>102.82</v>
      </c>
      <c r="AE1334">
        <f t="shared" si="40"/>
        <v>121.43</v>
      </c>
      <c r="AF1334" t="str">
        <f t="shared" si="41"/>
        <v>2025-06</v>
      </c>
      <c r="AG1334">
        <f>SUBTOTAL(103,A1334)</f>
        <v>1</v>
      </c>
    </row>
    <row r="1335" spans="1:33" x14ac:dyDescent="0.3">
      <c r="A1335" t="s">
        <v>3950</v>
      </c>
      <c r="B1335" s="13">
        <v>45826</v>
      </c>
      <c r="C1335">
        <v>2025</v>
      </c>
      <c r="D1335">
        <v>6</v>
      </c>
      <c r="E1335" t="s">
        <v>3813</v>
      </c>
      <c r="F1335" t="s">
        <v>3329</v>
      </c>
      <c r="G1335" t="s">
        <v>953</v>
      </c>
      <c r="H1335" t="s">
        <v>954</v>
      </c>
      <c r="I1335" t="s">
        <v>86</v>
      </c>
      <c r="J1335">
        <v>42</v>
      </c>
      <c r="K1335" t="s">
        <v>82</v>
      </c>
      <c r="L1335" t="s">
        <v>2687</v>
      </c>
      <c r="M1335" t="s">
        <v>57</v>
      </c>
      <c r="N1335" t="s">
        <v>2596</v>
      </c>
      <c r="O1335" t="s">
        <v>124</v>
      </c>
      <c r="P1335" t="s">
        <v>51</v>
      </c>
      <c r="Q1335" t="s">
        <v>147</v>
      </c>
      <c r="R1335">
        <v>2</v>
      </c>
      <c r="S1335">
        <v>2299</v>
      </c>
      <c r="T1335">
        <v>0</v>
      </c>
      <c r="U1335">
        <v>4598</v>
      </c>
      <c r="V1335">
        <v>2400</v>
      </c>
      <c r="W1335">
        <v>2198</v>
      </c>
      <c r="X1335" t="s">
        <v>73</v>
      </c>
      <c r="Y1335" t="s">
        <v>68</v>
      </c>
      <c r="Z1335" t="s">
        <v>158</v>
      </c>
      <c r="AA1335" t="s">
        <v>166</v>
      </c>
      <c r="AB1335">
        <v>5</v>
      </c>
      <c r="AC1335">
        <v>60</v>
      </c>
      <c r="AD1335">
        <v>152.93</v>
      </c>
      <c r="AE1335">
        <f t="shared" si="40"/>
        <v>1985.07</v>
      </c>
      <c r="AF1335" t="str">
        <f t="shared" si="41"/>
        <v>2025-06</v>
      </c>
      <c r="AG1335">
        <f>SUBTOTAL(103,A1335)</f>
        <v>1</v>
      </c>
    </row>
    <row r="1336" spans="1:33" x14ac:dyDescent="0.3">
      <c r="A1336" t="s">
        <v>3951</v>
      </c>
      <c r="B1336" s="13">
        <v>45826</v>
      </c>
      <c r="C1336">
        <v>2025</v>
      </c>
      <c r="D1336">
        <v>6</v>
      </c>
      <c r="E1336" t="s">
        <v>3813</v>
      </c>
      <c r="F1336" t="s">
        <v>3329</v>
      </c>
      <c r="G1336" t="s">
        <v>2069</v>
      </c>
      <c r="H1336" t="s">
        <v>2070</v>
      </c>
      <c r="I1336" t="s">
        <v>86</v>
      </c>
      <c r="J1336">
        <v>20</v>
      </c>
      <c r="K1336" t="s">
        <v>80</v>
      </c>
      <c r="L1336" t="s">
        <v>99</v>
      </c>
      <c r="M1336" t="s">
        <v>58</v>
      </c>
      <c r="N1336" t="s">
        <v>2626</v>
      </c>
      <c r="O1336" t="s">
        <v>125</v>
      </c>
      <c r="P1336" t="s">
        <v>48</v>
      </c>
      <c r="Q1336" t="s">
        <v>141</v>
      </c>
      <c r="R1336">
        <v>2</v>
      </c>
      <c r="S1336">
        <v>1999</v>
      </c>
      <c r="T1336">
        <v>0</v>
      </c>
      <c r="U1336">
        <v>3998</v>
      </c>
      <c r="V1336">
        <v>2300</v>
      </c>
      <c r="W1336">
        <v>1698</v>
      </c>
      <c r="X1336" t="s">
        <v>75</v>
      </c>
      <c r="Y1336" t="s">
        <v>68</v>
      </c>
      <c r="Z1336" t="s">
        <v>163</v>
      </c>
      <c r="AA1336" t="s">
        <v>166</v>
      </c>
      <c r="AB1336">
        <v>4.5</v>
      </c>
      <c r="AC1336">
        <v>60</v>
      </c>
      <c r="AD1336">
        <v>334.15</v>
      </c>
      <c r="AE1336">
        <f t="shared" si="40"/>
        <v>1303.8499999999999</v>
      </c>
      <c r="AF1336" t="str">
        <f t="shared" si="41"/>
        <v>2025-06</v>
      </c>
      <c r="AG1336">
        <f>SUBTOTAL(103,A1336)</f>
        <v>1</v>
      </c>
    </row>
    <row r="1337" spans="1:33" x14ac:dyDescent="0.3">
      <c r="A1337" t="s">
        <v>3952</v>
      </c>
      <c r="B1337" s="13">
        <v>45826</v>
      </c>
      <c r="C1337">
        <v>2025</v>
      </c>
      <c r="D1337">
        <v>6</v>
      </c>
      <c r="E1337" t="s">
        <v>3813</v>
      </c>
      <c r="F1337" t="s">
        <v>3329</v>
      </c>
      <c r="G1337" t="s">
        <v>1075</v>
      </c>
      <c r="H1337" t="s">
        <v>1076</v>
      </c>
      <c r="I1337" t="s">
        <v>85</v>
      </c>
      <c r="J1337">
        <v>49</v>
      </c>
      <c r="K1337" t="s">
        <v>83</v>
      </c>
      <c r="L1337" t="s">
        <v>99</v>
      </c>
      <c r="M1337" t="s">
        <v>58</v>
      </c>
      <c r="N1337" t="s">
        <v>2574</v>
      </c>
      <c r="O1337" t="s">
        <v>130</v>
      </c>
      <c r="P1337" t="s">
        <v>50</v>
      </c>
      <c r="Q1337" t="s">
        <v>53</v>
      </c>
      <c r="R1337">
        <v>2</v>
      </c>
      <c r="S1337">
        <v>1199</v>
      </c>
      <c r="T1337">
        <v>0.1</v>
      </c>
      <c r="U1337">
        <v>2158.1999999999998</v>
      </c>
      <c r="V1337">
        <v>1100</v>
      </c>
      <c r="W1337">
        <v>1058.2</v>
      </c>
      <c r="X1337" t="s">
        <v>75</v>
      </c>
      <c r="Y1337" t="s">
        <v>68</v>
      </c>
      <c r="Z1337" t="s">
        <v>159</v>
      </c>
      <c r="AA1337" t="s">
        <v>170</v>
      </c>
      <c r="AB1337">
        <v>5</v>
      </c>
      <c r="AC1337">
        <v>60</v>
      </c>
      <c r="AD1337">
        <v>107.9</v>
      </c>
      <c r="AE1337">
        <f t="shared" si="40"/>
        <v>890.30000000000007</v>
      </c>
      <c r="AF1337" t="str">
        <f t="shared" si="41"/>
        <v>2025-06</v>
      </c>
      <c r="AG1337">
        <f>SUBTOTAL(103,A1337)</f>
        <v>1</v>
      </c>
    </row>
    <row r="1338" spans="1:33" x14ac:dyDescent="0.3">
      <c r="A1338" t="s">
        <v>3953</v>
      </c>
      <c r="B1338" s="13">
        <v>45826</v>
      </c>
      <c r="C1338">
        <v>2025</v>
      </c>
      <c r="D1338">
        <v>6</v>
      </c>
      <c r="E1338" t="s">
        <v>3813</v>
      </c>
      <c r="F1338" t="s">
        <v>3329</v>
      </c>
      <c r="G1338" t="s">
        <v>663</v>
      </c>
      <c r="H1338" t="s">
        <v>664</v>
      </c>
      <c r="I1338" t="s">
        <v>86</v>
      </c>
      <c r="J1338">
        <v>49</v>
      </c>
      <c r="K1338" t="s">
        <v>83</v>
      </c>
      <c r="L1338" t="s">
        <v>98</v>
      </c>
      <c r="M1338" t="s">
        <v>55</v>
      </c>
      <c r="N1338" t="s">
        <v>2606</v>
      </c>
      <c r="O1338" t="s">
        <v>120</v>
      </c>
      <c r="P1338" t="s">
        <v>49</v>
      </c>
      <c r="Q1338" t="s">
        <v>140</v>
      </c>
      <c r="R1338">
        <v>4</v>
      </c>
      <c r="S1338">
        <v>2799</v>
      </c>
      <c r="T1338">
        <v>0.15</v>
      </c>
      <c r="U1338">
        <v>9516.6</v>
      </c>
      <c r="V1338">
        <v>6600</v>
      </c>
      <c r="W1338">
        <v>2916.6</v>
      </c>
      <c r="X1338" t="s">
        <v>77</v>
      </c>
      <c r="Y1338" t="s">
        <v>68</v>
      </c>
      <c r="Z1338" t="s">
        <v>159</v>
      </c>
      <c r="AA1338" t="s">
        <v>171</v>
      </c>
      <c r="AB1338">
        <v>3.7</v>
      </c>
      <c r="AC1338">
        <v>60</v>
      </c>
      <c r="AD1338">
        <v>637.59</v>
      </c>
      <c r="AE1338">
        <f t="shared" si="40"/>
        <v>2219.0099999999998</v>
      </c>
      <c r="AF1338" t="str">
        <f t="shared" si="41"/>
        <v>2025-06</v>
      </c>
      <c r="AG1338">
        <f>SUBTOTAL(103,A1338)</f>
        <v>1</v>
      </c>
    </row>
    <row r="1339" spans="1:33" x14ac:dyDescent="0.3">
      <c r="A1339" t="s">
        <v>3954</v>
      </c>
      <c r="B1339" s="13">
        <v>45826</v>
      </c>
      <c r="C1339">
        <v>2025</v>
      </c>
      <c r="D1339">
        <v>6</v>
      </c>
      <c r="E1339" t="s">
        <v>3813</v>
      </c>
      <c r="F1339" t="s">
        <v>3329</v>
      </c>
      <c r="G1339" t="s">
        <v>537</v>
      </c>
      <c r="H1339" t="s">
        <v>538</v>
      </c>
      <c r="I1339" t="s">
        <v>86</v>
      </c>
      <c r="J1339">
        <v>34</v>
      </c>
      <c r="K1339" t="s">
        <v>81</v>
      </c>
      <c r="L1339" t="s">
        <v>96</v>
      </c>
      <c r="M1339" t="s">
        <v>55</v>
      </c>
      <c r="N1339" t="s">
        <v>2590</v>
      </c>
      <c r="O1339" t="s">
        <v>127</v>
      </c>
      <c r="P1339" t="s">
        <v>51</v>
      </c>
      <c r="Q1339" t="s">
        <v>148</v>
      </c>
      <c r="R1339">
        <v>3</v>
      </c>
      <c r="S1339">
        <v>1599</v>
      </c>
      <c r="T1339">
        <v>0.05</v>
      </c>
      <c r="U1339">
        <v>4557.1499999999996</v>
      </c>
      <c r="V1339">
        <v>2400</v>
      </c>
      <c r="W1339">
        <v>2157.15</v>
      </c>
      <c r="X1339" t="s">
        <v>73</v>
      </c>
      <c r="Y1339" t="s">
        <v>68</v>
      </c>
      <c r="Z1339" t="s">
        <v>158</v>
      </c>
      <c r="AA1339" t="s">
        <v>167</v>
      </c>
      <c r="AB1339">
        <v>2</v>
      </c>
      <c r="AC1339">
        <v>50</v>
      </c>
      <c r="AD1339">
        <v>523.65</v>
      </c>
      <c r="AE1339">
        <f t="shared" si="40"/>
        <v>1583.5</v>
      </c>
      <c r="AF1339" t="str">
        <f t="shared" si="41"/>
        <v>2025-06</v>
      </c>
      <c r="AG1339">
        <f>SUBTOTAL(103,A1339)</f>
        <v>1</v>
      </c>
    </row>
    <row r="1340" spans="1:33" x14ac:dyDescent="0.3">
      <c r="A1340" t="s">
        <v>3955</v>
      </c>
      <c r="B1340" s="13">
        <v>45826</v>
      </c>
      <c r="C1340">
        <v>2025</v>
      </c>
      <c r="D1340">
        <v>6</v>
      </c>
      <c r="E1340" t="s">
        <v>3813</v>
      </c>
      <c r="F1340" t="s">
        <v>3329</v>
      </c>
      <c r="G1340" t="s">
        <v>227</v>
      </c>
      <c r="H1340" t="s">
        <v>228</v>
      </c>
      <c r="I1340" t="s">
        <v>87</v>
      </c>
      <c r="J1340">
        <v>38</v>
      </c>
      <c r="K1340" t="s">
        <v>82</v>
      </c>
      <c r="L1340" t="s">
        <v>2634</v>
      </c>
      <c r="M1340" t="s">
        <v>56</v>
      </c>
      <c r="N1340" t="s">
        <v>2582</v>
      </c>
      <c r="O1340" t="s">
        <v>119</v>
      </c>
      <c r="P1340" t="s">
        <v>49</v>
      </c>
      <c r="Q1340" t="s">
        <v>140</v>
      </c>
      <c r="R1340">
        <v>1</v>
      </c>
      <c r="S1340">
        <v>3499</v>
      </c>
      <c r="T1340">
        <v>0.05</v>
      </c>
      <c r="U1340">
        <v>3324.05</v>
      </c>
      <c r="V1340">
        <v>2100</v>
      </c>
      <c r="W1340">
        <v>1224.05</v>
      </c>
      <c r="X1340" t="s">
        <v>73</v>
      </c>
      <c r="Y1340" t="s">
        <v>68</v>
      </c>
      <c r="Z1340" t="s">
        <v>158</v>
      </c>
      <c r="AA1340" t="s">
        <v>170</v>
      </c>
      <c r="AB1340">
        <v>3.1</v>
      </c>
      <c r="AC1340">
        <v>60</v>
      </c>
      <c r="AD1340">
        <v>237.94</v>
      </c>
      <c r="AE1340">
        <f t="shared" si="40"/>
        <v>926.1099999999999</v>
      </c>
      <c r="AF1340" t="str">
        <f t="shared" si="41"/>
        <v>2025-06</v>
      </c>
      <c r="AG1340">
        <f>SUBTOTAL(103,A1340)</f>
        <v>1</v>
      </c>
    </row>
    <row r="1341" spans="1:33" x14ac:dyDescent="0.3">
      <c r="A1341" t="s">
        <v>3956</v>
      </c>
      <c r="B1341" s="13">
        <v>45827</v>
      </c>
      <c r="C1341">
        <v>2025</v>
      </c>
      <c r="D1341">
        <v>6</v>
      </c>
      <c r="E1341" t="s">
        <v>3813</v>
      </c>
      <c r="F1341" t="s">
        <v>3329</v>
      </c>
      <c r="G1341" t="s">
        <v>1755</v>
      </c>
      <c r="H1341" t="s">
        <v>1756</v>
      </c>
      <c r="I1341" t="s">
        <v>86</v>
      </c>
      <c r="J1341">
        <v>23</v>
      </c>
      <c r="K1341" t="s">
        <v>80</v>
      </c>
      <c r="L1341" t="s">
        <v>98</v>
      </c>
      <c r="M1341" t="s">
        <v>55</v>
      </c>
      <c r="N1341" t="s">
        <v>2582</v>
      </c>
      <c r="O1341" t="s">
        <v>119</v>
      </c>
      <c r="P1341" t="s">
        <v>49</v>
      </c>
      <c r="Q1341" t="s">
        <v>140</v>
      </c>
      <c r="R1341">
        <v>2</v>
      </c>
      <c r="S1341">
        <v>3499</v>
      </c>
      <c r="T1341">
        <v>0.15</v>
      </c>
      <c r="U1341">
        <v>5948.3</v>
      </c>
      <c r="V1341">
        <v>4200</v>
      </c>
      <c r="W1341">
        <v>1748.3</v>
      </c>
      <c r="X1341" t="s">
        <v>77</v>
      </c>
      <c r="Y1341" t="s">
        <v>68</v>
      </c>
      <c r="Z1341" t="s">
        <v>163</v>
      </c>
      <c r="AA1341" t="s">
        <v>170</v>
      </c>
      <c r="AB1341">
        <v>3.9</v>
      </c>
      <c r="AC1341">
        <v>50</v>
      </c>
      <c r="AD1341">
        <v>690.8</v>
      </c>
      <c r="AE1341">
        <f t="shared" si="40"/>
        <v>1007.5</v>
      </c>
      <c r="AF1341" t="str">
        <f t="shared" si="41"/>
        <v>2025-06</v>
      </c>
      <c r="AG1341">
        <f>SUBTOTAL(103,A1341)</f>
        <v>1</v>
      </c>
    </row>
    <row r="1342" spans="1:33" x14ac:dyDescent="0.3">
      <c r="A1342" t="s">
        <v>3957</v>
      </c>
      <c r="B1342" s="13">
        <v>45827</v>
      </c>
      <c r="C1342">
        <v>2025</v>
      </c>
      <c r="D1342">
        <v>6</v>
      </c>
      <c r="E1342" t="s">
        <v>3813</v>
      </c>
      <c r="F1342" t="s">
        <v>3329</v>
      </c>
      <c r="G1342" t="s">
        <v>1641</v>
      </c>
      <c r="H1342" t="s">
        <v>1642</v>
      </c>
      <c r="I1342" t="s">
        <v>85</v>
      </c>
      <c r="J1342">
        <v>19</v>
      </c>
      <c r="K1342" t="s">
        <v>80</v>
      </c>
      <c r="L1342" t="s">
        <v>2589</v>
      </c>
      <c r="M1342" t="s">
        <v>61</v>
      </c>
      <c r="N1342" t="s">
        <v>2594</v>
      </c>
      <c r="O1342" t="s">
        <v>131</v>
      </c>
      <c r="P1342" t="s">
        <v>53</v>
      </c>
      <c r="Q1342" t="s">
        <v>143</v>
      </c>
      <c r="R1342">
        <v>4</v>
      </c>
      <c r="S1342">
        <v>999</v>
      </c>
      <c r="T1342">
        <v>0.05</v>
      </c>
      <c r="U1342">
        <v>3796.2</v>
      </c>
      <c r="V1342">
        <v>2080</v>
      </c>
      <c r="W1342">
        <v>1716.2</v>
      </c>
      <c r="X1342" t="s">
        <v>74</v>
      </c>
      <c r="Y1342" t="s">
        <v>69</v>
      </c>
      <c r="Z1342" t="s">
        <v>162</v>
      </c>
      <c r="AA1342" t="s">
        <v>166</v>
      </c>
      <c r="AB1342">
        <v>4</v>
      </c>
      <c r="AC1342">
        <v>40</v>
      </c>
      <c r="AD1342">
        <v>316.41000000000003</v>
      </c>
      <c r="AE1342">
        <f t="shared" si="40"/>
        <v>1359.79</v>
      </c>
      <c r="AF1342" t="str">
        <f t="shared" si="41"/>
        <v>2025-06</v>
      </c>
      <c r="AG1342">
        <f>SUBTOTAL(103,A1342)</f>
        <v>1</v>
      </c>
    </row>
    <row r="1343" spans="1:33" x14ac:dyDescent="0.3">
      <c r="A1343" t="s">
        <v>3958</v>
      </c>
      <c r="B1343" s="13">
        <v>45827</v>
      </c>
      <c r="C1343">
        <v>2025</v>
      </c>
      <c r="D1343">
        <v>6</v>
      </c>
      <c r="E1343" t="s">
        <v>3813</v>
      </c>
      <c r="F1343" t="s">
        <v>3329</v>
      </c>
      <c r="G1343" t="s">
        <v>361</v>
      </c>
      <c r="H1343" t="s">
        <v>362</v>
      </c>
      <c r="I1343" t="s">
        <v>86</v>
      </c>
      <c r="J1343">
        <v>23</v>
      </c>
      <c r="K1343" t="s">
        <v>80</v>
      </c>
      <c r="L1343" t="s">
        <v>95</v>
      </c>
      <c r="M1343" t="s">
        <v>56</v>
      </c>
      <c r="N1343" t="s">
        <v>2630</v>
      </c>
      <c r="O1343" t="s">
        <v>123</v>
      </c>
      <c r="P1343" t="s">
        <v>52</v>
      </c>
      <c r="Q1343" t="s">
        <v>146</v>
      </c>
      <c r="R1343">
        <v>1</v>
      </c>
      <c r="S1343">
        <v>2499</v>
      </c>
      <c r="T1343">
        <v>0.1</v>
      </c>
      <c r="U1343">
        <v>2249.1</v>
      </c>
      <c r="V1343">
        <v>1400</v>
      </c>
      <c r="W1343">
        <v>849.1</v>
      </c>
      <c r="X1343" t="s">
        <v>76</v>
      </c>
      <c r="Y1343" t="s">
        <v>68</v>
      </c>
      <c r="Z1343" t="s">
        <v>159</v>
      </c>
      <c r="AA1343" t="s">
        <v>166</v>
      </c>
      <c r="AB1343">
        <v>4</v>
      </c>
      <c r="AC1343">
        <v>40</v>
      </c>
      <c r="AD1343">
        <v>132.18</v>
      </c>
      <c r="AE1343">
        <f t="shared" si="40"/>
        <v>676.92000000000007</v>
      </c>
      <c r="AF1343" t="str">
        <f t="shared" si="41"/>
        <v>2025-06</v>
      </c>
      <c r="AG1343">
        <f>SUBTOTAL(103,A1343)</f>
        <v>1</v>
      </c>
    </row>
    <row r="1344" spans="1:33" x14ac:dyDescent="0.3">
      <c r="A1344" t="s">
        <v>3959</v>
      </c>
      <c r="B1344" s="13">
        <v>45827</v>
      </c>
      <c r="C1344">
        <v>2025</v>
      </c>
      <c r="D1344">
        <v>6</v>
      </c>
      <c r="E1344" t="s">
        <v>3813</v>
      </c>
      <c r="F1344" t="s">
        <v>3329</v>
      </c>
      <c r="G1344" t="s">
        <v>2037</v>
      </c>
      <c r="H1344" t="s">
        <v>2038</v>
      </c>
      <c r="I1344" t="s">
        <v>85</v>
      </c>
      <c r="J1344">
        <v>33</v>
      </c>
      <c r="K1344" t="s">
        <v>81</v>
      </c>
      <c r="L1344" t="s">
        <v>2573</v>
      </c>
      <c r="M1344" t="s">
        <v>63</v>
      </c>
      <c r="N1344" t="s">
        <v>2596</v>
      </c>
      <c r="O1344" t="s">
        <v>124</v>
      </c>
      <c r="P1344" t="s">
        <v>51</v>
      </c>
      <c r="Q1344" t="s">
        <v>147</v>
      </c>
      <c r="R1344">
        <v>3</v>
      </c>
      <c r="S1344">
        <v>2299</v>
      </c>
      <c r="T1344">
        <v>0.05</v>
      </c>
      <c r="U1344">
        <v>6552.15</v>
      </c>
      <c r="V1344">
        <v>3600</v>
      </c>
      <c r="W1344">
        <v>2952.15</v>
      </c>
      <c r="X1344" t="s">
        <v>73</v>
      </c>
      <c r="Y1344" t="s">
        <v>68</v>
      </c>
      <c r="Z1344" t="s">
        <v>158</v>
      </c>
      <c r="AA1344" t="s">
        <v>167</v>
      </c>
      <c r="AB1344">
        <v>3.5</v>
      </c>
      <c r="AC1344">
        <v>50</v>
      </c>
      <c r="AD1344">
        <v>571.26</v>
      </c>
      <c r="AE1344">
        <f t="shared" si="40"/>
        <v>2330.8900000000003</v>
      </c>
      <c r="AF1344" t="str">
        <f t="shared" si="41"/>
        <v>2025-06</v>
      </c>
      <c r="AG1344">
        <f>SUBTOTAL(103,A1344)</f>
        <v>1</v>
      </c>
    </row>
    <row r="1345" spans="1:33" x14ac:dyDescent="0.3">
      <c r="A1345" t="s">
        <v>3960</v>
      </c>
      <c r="B1345" s="13">
        <v>45827</v>
      </c>
      <c r="C1345">
        <v>2025</v>
      </c>
      <c r="D1345">
        <v>6</v>
      </c>
      <c r="E1345" t="s">
        <v>3813</v>
      </c>
      <c r="F1345" t="s">
        <v>3329</v>
      </c>
      <c r="G1345" t="s">
        <v>683</v>
      </c>
      <c r="H1345" t="s">
        <v>684</v>
      </c>
      <c r="I1345" t="s">
        <v>86</v>
      </c>
      <c r="J1345">
        <v>42</v>
      </c>
      <c r="K1345" t="s">
        <v>82</v>
      </c>
      <c r="L1345" t="s">
        <v>59</v>
      </c>
      <c r="M1345" t="s">
        <v>59</v>
      </c>
      <c r="N1345" t="s">
        <v>2657</v>
      </c>
      <c r="O1345" t="s">
        <v>134</v>
      </c>
      <c r="P1345" t="s">
        <v>49</v>
      </c>
      <c r="Q1345" t="s">
        <v>140</v>
      </c>
      <c r="R1345">
        <v>1</v>
      </c>
      <c r="S1345">
        <v>599</v>
      </c>
      <c r="T1345">
        <v>0.1</v>
      </c>
      <c r="U1345">
        <v>539.1</v>
      </c>
      <c r="V1345">
        <v>250</v>
      </c>
      <c r="W1345">
        <v>289.10000000000002</v>
      </c>
      <c r="X1345" t="s">
        <v>77</v>
      </c>
      <c r="Y1345" t="s">
        <v>68</v>
      </c>
      <c r="Z1345" t="s">
        <v>161</v>
      </c>
      <c r="AA1345" t="s">
        <v>169</v>
      </c>
      <c r="AB1345">
        <v>4.5</v>
      </c>
      <c r="AC1345">
        <v>60</v>
      </c>
      <c r="AD1345">
        <v>20</v>
      </c>
      <c r="AE1345">
        <f t="shared" si="40"/>
        <v>209.10000000000002</v>
      </c>
      <c r="AF1345" t="str">
        <f t="shared" si="41"/>
        <v>2025-06</v>
      </c>
      <c r="AG1345">
        <f>SUBTOTAL(103,A1345)</f>
        <v>1</v>
      </c>
    </row>
    <row r="1346" spans="1:33" x14ac:dyDescent="0.3">
      <c r="A1346" t="s">
        <v>3961</v>
      </c>
      <c r="B1346" s="13">
        <v>45828</v>
      </c>
      <c r="C1346">
        <v>2025</v>
      </c>
      <c r="D1346">
        <v>6</v>
      </c>
      <c r="E1346" t="s">
        <v>3813</v>
      </c>
      <c r="F1346" t="s">
        <v>3329</v>
      </c>
      <c r="G1346" t="s">
        <v>229</v>
      </c>
      <c r="H1346" t="s">
        <v>230</v>
      </c>
      <c r="I1346" t="s">
        <v>86</v>
      </c>
      <c r="J1346">
        <v>21</v>
      </c>
      <c r="K1346" t="s">
        <v>80</v>
      </c>
      <c r="L1346" t="s">
        <v>98</v>
      </c>
      <c r="M1346" t="s">
        <v>55</v>
      </c>
      <c r="N1346" t="s">
        <v>2601</v>
      </c>
      <c r="O1346" t="s">
        <v>117</v>
      </c>
      <c r="P1346" t="s">
        <v>49</v>
      </c>
      <c r="Q1346" t="s">
        <v>139</v>
      </c>
      <c r="R1346">
        <v>2</v>
      </c>
      <c r="S1346">
        <v>6999</v>
      </c>
      <c r="T1346">
        <v>0.1</v>
      </c>
      <c r="U1346">
        <v>12598.2</v>
      </c>
      <c r="V1346">
        <v>8600</v>
      </c>
      <c r="W1346">
        <v>3998.2</v>
      </c>
      <c r="X1346" t="s">
        <v>75</v>
      </c>
      <c r="Y1346" t="s">
        <v>70</v>
      </c>
      <c r="Z1346" t="s">
        <v>158</v>
      </c>
      <c r="AA1346" t="s">
        <v>171</v>
      </c>
      <c r="AB1346">
        <v>5</v>
      </c>
      <c r="AC1346">
        <v>50</v>
      </c>
      <c r="AD1346">
        <v>878.18</v>
      </c>
      <c r="AE1346">
        <f t="shared" ref="AE1346:AE1409" si="42">W1346-AC1346-AD1346</f>
        <v>3070.02</v>
      </c>
      <c r="AF1346" t="str">
        <f t="shared" ref="AF1346:AF1409" si="43">C1346&amp;"-"&amp;TEXT(D1346,"00")</f>
        <v>2025-06</v>
      </c>
      <c r="AG1346">
        <f>SUBTOTAL(103,A1346)</f>
        <v>1</v>
      </c>
    </row>
    <row r="1347" spans="1:33" x14ac:dyDescent="0.3">
      <c r="A1347" t="s">
        <v>3962</v>
      </c>
      <c r="B1347" s="13">
        <v>45828</v>
      </c>
      <c r="C1347">
        <v>2025</v>
      </c>
      <c r="D1347">
        <v>6</v>
      </c>
      <c r="E1347" t="s">
        <v>3813</v>
      </c>
      <c r="F1347" t="s">
        <v>3329</v>
      </c>
      <c r="G1347" t="s">
        <v>1071</v>
      </c>
      <c r="H1347" t="s">
        <v>1072</v>
      </c>
      <c r="I1347" t="s">
        <v>85</v>
      </c>
      <c r="J1347">
        <v>49</v>
      </c>
      <c r="K1347" t="s">
        <v>83</v>
      </c>
      <c r="L1347" t="s">
        <v>59</v>
      </c>
      <c r="M1347" t="s">
        <v>59</v>
      </c>
      <c r="N1347" t="s">
        <v>2644</v>
      </c>
      <c r="O1347" t="s">
        <v>126</v>
      </c>
      <c r="P1347" t="s">
        <v>50</v>
      </c>
      <c r="Q1347" t="s">
        <v>145</v>
      </c>
      <c r="R1347">
        <v>3</v>
      </c>
      <c r="S1347">
        <v>1799</v>
      </c>
      <c r="T1347">
        <v>0.15</v>
      </c>
      <c r="U1347">
        <v>4587.45</v>
      </c>
      <c r="V1347">
        <v>2850</v>
      </c>
      <c r="W1347">
        <v>1737.45</v>
      </c>
      <c r="X1347" t="s">
        <v>75</v>
      </c>
      <c r="Y1347" t="s">
        <v>68</v>
      </c>
      <c r="Z1347" t="s">
        <v>162</v>
      </c>
      <c r="AA1347" t="s">
        <v>171</v>
      </c>
      <c r="AB1347">
        <v>5</v>
      </c>
      <c r="AC1347">
        <v>100</v>
      </c>
      <c r="AD1347">
        <v>177.2</v>
      </c>
      <c r="AE1347">
        <f t="shared" si="42"/>
        <v>1460.25</v>
      </c>
      <c r="AF1347" t="str">
        <f t="shared" si="43"/>
        <v>2025-06</v>
      </c>
      <c r="AG1347">
        <f>SUBTOTAL(103,A1347)</f>
        <v>1</v>
      </c>
    </row>
    <row r="1348" spans="1:33" x14ac:dyDescent="0.3">
      <c r="A1348" t="s">
        <v>3963</v>
      </c>
      <c r="B1348" s="13">
        <v>45828</v>
      </c>
      <c r="C1348">
        <v>2025</v>
      </c>
      <c r="D1348">
        <v>6</v>
      </c>
      <c r="E1348" t="s">
        <v>3813</v>
      </c>
      <c r="F1348" t="s">
        <v>3329</v>
      </c>
      <c r="G1348" t="s">
        <v>1417</v>
      </c>
      <c r="H1348" t="s">
        <v>1418</v>
      </c>
      <c r="I1348" t="s">
        <v>86</v>
      </c>
      <c r="J1348">
        <v>21</v>
      </c>
      <c r="K1348" t="s">
        <v>80</v>
      </c>
      <c r="L1348" t="s">
        <v>95</v>
      </c>
      <c r="M1348" t="s">
        <v>56</v>
      </c>
      <c r="N1348" t="s">
        <v>2626</v>
      </c>
      <c r="O1348" t="s">
        <v>125</v>
      </c>
      <c r="P1348" t="s">
        <v>48</v>
      </c>
      <c r="Q1348" t="s">
        <v>141</v>
      </c>
      <c r="R1348">
        <v>3</v>
      </c>
      <c r="S1348">
        <v>1999</v>
      </c>
      <c r="T1348">
        <v>0</v>
      </c>
      <c r="U1348">
        <v>5997</v>
      </c>
      <c r="V1348">
        <v>3450</v>
      </c>
      <c r="W1348">
        <v>2547</v>
      </c>
      <c r="X1348" t="s">
        <v>75</v>
      </c>
      <c r="Y1348" t="s">
        <v>68</v>
      </c>
      <c r="Z1348" t="s">
        <v>158</v>
      </c>
      <c r="AA1348" t="s">
        <v>170</v>
      </c>
      <c r="AB1348">
        <v>4.2</v>
      </c>
      <c r="AC1348">
        <v>60</v>
      </c>
      <c r="AD1348">
        <v>440.62</v>
      </c>
      <c r="AE1348">
        <f t="shared" si="42"/>
        <v>2046.38</v>
      </c>
      <c r="AF1348" t="str">
        <f t="shared" si="43"/>
        <v>2025-06</v>
      </c>
      <c r="AG1348">
        <f>SUBTOTAL(103,A1348)</f>
        <v>1</v>
      </c>
    </row>
    <row r="1349" spans="1:33" x14ac:dyDescent="0.3">
      <c r="A1349" t="s">
        <v>3964</v>
      </c>
      <c r="B1349" s="13">
        <v>45828</v>
      </c>
      <c r="C1349">
        <v>2025</v>
      </c>
      <c r="D1349">
        <v>6</v>
      </c>
      <c r="E1349" t="s">
        <v>3813</v>
      </c>
      <c r="F1349" t="s">
        <v>3329</v>
      </c>
      <c r="G1349" t="s">
        <v>801</v>
      </c>
      <c r="H1349" t="s">
        <v>802</v>
      </c>
      <c r="I1349" t="s">
        <v>85</v>
      </c>
      <c r="J1349">
        <v>32</v>
      </c>
      <c r="K1349" t="s">
        <v>81</v>
      </c>
      <c r="L1349" t="s">
        <v>2589</v>
      </c>
      <c r="M1349" t="s">
        <v>61</v>
      </c>
      <c r="N1349" t="s">
        <v>2580</v>
      </c>
      <c r="O1349" t="s">
        <v>118</v>
      </c>
      <c r="P1349" t="s">
        <v>48</v>
      </c>
      <c r="Q1349" t="s">
        <v>142</v>
      </c>
      <c r="R1349">
        <v>4</v>
      </c>
      <c r="S1349">
        <v>3999</v>
      </c>
      <c r="T1349">
        <v>0.05</v>
      </c>
      <c r="U1349">
        <v>15196.2</v>
      </c>
      <c r="V1349">
        <v>9600</v>
      </c>
      <c r="W1349">
        <v>5596.2</v>
      </c>
      <c r="X1349" t="s">
        <v>75</v>
      </c>
      <c r="Y1349" t="s">
        <v>68</v>
      </c>
      <c r="Z1349" t="s">
        <v>161</v>
      </c>
      <c r="AA1349" t="s">
        <v>167</v>
      </c>
      <c r="AB1349">
        <v>4.2</v>
      </c>
      <c r="AC1349">
        <v>60</v>
      </c>
      <c r="AD1349">
        <v>606.14</v>
      </c>
      <c r="AE1349">
        <f t="shared" si="42"/>
        <v>4930.0599999999995</v>
      </c>
      <c r="AF1349" t="str">
        <f t="shared" si="43"/>
        <v>2025-06</v>
      </c>
      <c r="AG1349">
        <f>SUBTOTAL(103,A1349)</f>
        <v>1</v>
      </c>
    </row>
    <row r="1350" spans="1:33" x14ac:dyDescent="0.3">
      <c r="A1350" t="s">
        <v>3965</v>
      </c>
      <c r="B1350" s="13">
        <v>45828</v>
      </c>
      <c r="C1350">
        <v>2025</v>
      </c>
      <c r="D1350">
        <v>6</v>
      </c>
      <c r="E1350" t="s">
        <v>3813</v>
      </c>
      <c r="F1350" t="s">
        <v>3329</v>
      </c>
      <c r="G1350" t="s">
        <v>267</v>
      </c>
      <c r="H1350" t="s">
        <v>268</v>
      </c>
      <c r="I1350" t="s">
        <v>86</v>
      </c>
      <c r="J1350">
        <v>39</v>
      </c>
      <c r="K1350" t="s">
        <v>82</v>
      </c>
      <c r="L1350" t="s">
        <v>92</v>
      </c>
      <c r="M1350" t="s">
        <v>59</v>
      </c>
      <c r="N1350" t="s">
        <v>2657</v>
      </c>
      <c r="O1350" t="s">
        <v>134</v>
      </c>
      <c r="P1350" t="s">
        <v>49</v>
      </c>
      <c r="Q1350" t="s">
        <v>140</v>
      </c>
      <c r="R1350">
        <v>3</v>
      </c>
      <c r="S1350">
        <v>599</v>
      </c>
      <c r="T1350">
        <v>0.15</v>
      </c>
      <c r="U1350">
        <v>1527.45</v>
      </c>
      <c r="V1350">
        <v>750</v>
      </c>
      <c r="W1350">
        <v>777.45</v>
      </c>
      <c r="X1350" t="s">
        <v>74</v>
      </c>
      <c r="Y1350" t="s">
        <v>68</v>
      </c>
      <c r="Z1350" t="s">
        <v>161</v>
      </c>
      <c r="AA1350" t="s">
        <v>170</v>
      </c>
      <c r="AB1350">
        <v>4.2</v>
      </c>
      <c r="AC1350">
        <v>50</v>
      </c>
      <c r="AD1350">
        <v>41.37</v>
      </c>
      <c r="AE1350">
        <f t="shared" si="42"/>
        <v>686.08</v>
      </c>
      <c r="AF1350" t="str">
        <f t="shared" si="43"/>
        <v>2025-06</v>
      </c>
      <c r="AG1350">
        <f>SUBTOTAL(103,A1350)</f>
        <v>1</v>
      </c>
    </row>
    <row r="1351" spans="1:33" x14ac:dyDescent="0.3">
      <c r="A1351" t="s">
        <v>3966</v>
      </c>
      <c r="B1351" s="13">
        <v>45828</v>
      </c>
      <c r="C1351">
        <v>2025</v>
      </c>
      <c r="D1351">
        <v>6</v>
      </c>
      <c r="E1351" t="s">
        <v>3813</v>
      </c>
      <c r="F1351" t="s">
        <v>3329</v>
      </c>
      <c r="G1351" t="s">
        <v>833</v>
      </c>
      <c r="H1351" t="s">
        <v>834</v>
      </c>
      <c r="I1351" t="s">
        <v>85</v>
      </c>
      <c r="J1351">
        <v>30</v>
      </c>
      <c r="K1351" t="s">
        <v>81</v>
      </c>
      <c r="L1351" t="s">
        <v>2623</v>
      </c>
      <c r="M1351" t="s">
        <v>61</v>
      </c>
      <c r="N1351" t="s">
        <v>2644</v>
      </c>
      <c r="O1351" t="s">
        <v>126</v>
      </c>
      <c r="P1351" t="s">
        <v>50</v>
      </c>
      <c r="Q1351" t="s">
        <v>145</v>
      </c>
      <c r="R1351">
        <v>2</v>
      </c>
      <c r="S1351">
        <v>1799</v>
      </c>
      <c r="T1351">
        <v>0.05</v>
      </c>
      <c r="U1351">
        <v>3418.1</v>
      </c>
      <c r="V1351">
        <v>1900</v>
      </c>
      <c r="W1351">
        <v>1518.1</v>
      </c>
      <c r="X1351" t="s">
        <v>74</v>
      </c>
      <c r="Y1351" t="s">
        <v>68</v>
      </c>
      <c r="Z1351" t="s">
        <v>160</v>
      </c>
      <c r="AA1351" t="s">
        <v>166</v>
      </c>
      <c r="AB1351">
        <v>4</v>
      </c>
      <c r="AC1351">
        <v>80</v>
      </c>
      <c r="AD1351">
        <v>130.31</v>
      </c>
      <c r="AE1351">
        <f t="shared" si="42"/>
        <v>1307.79</v>
      </c>
      <c r="AF1351" t="str">
        <f t="shared" si="43"/>
        <v>2025-06</v>
      </c>
      <c r="AG1351">
        <f>SUBTOTAL(103,A1351)</f>
        <v>1</v>
      </c>
    </row>
    <row r="1352" spans="1:33" x14ac:dyDescent="0.3">
      <c r="A1352" t="s">
        <v>3967</v>
      </c>
      <c r="B1352" s="13">
        <v>45828</v>
      </c>
      <c r="C1352">
        <v>2025</v>
      </c>
      <c r="D1352">
        <v>6</v>
      </c>
      <c r="E1352" t="s">
        <v>3813</v>
      </c>
      <c r="F1352" t="s">
        <v>3329</v>
      </c>
      <c r="G1352" t="s">
        <v>791</v>
      </c>
      <c r="H1352" t="s">
        <v>792</v>
      </c>
      <c r="I1352" t="s">
        <v>86</v>
      </c>
      <c r="J1352">
        <v>28</v>
      </c>
      <c r="K1352" t="s">
        <v>81</v>
      </c>
      <c r="L1352" t="s">
        <v>2579</v>
      </c>
      <c r="M1352" t="s">
        <v>56</v>
      </c>
      <c r="N1352" t="s">
        <v>2665</v>
      </c>
      <c r="O1352" t="s">
        <v>128</v>
      </c>
      <c r="P1352" t="s">
        <v>53</v>
      </c>
      <c r="Q1352" t="s">
        <v>143</v>
      </c>
      <c r="R1352">
        <v>1</v>
      </c>
      <c r="S1352">
        <v>1499</v>
      </c>
      <c r="T1352">
        <v>0.15</v>
      </c>
      <c r="U1352">
        <v>1274.1500000000001</v>
      </c>
      <c r="V1352">
        <v>800</v>
      </c>
      <c r="W1352">
        <v>474.15</v>
      </c>
      <c r="X1352" t="s">
        <v>76</v>
      </c>
      <c r="Y1352" t="s">
        <v>68</v>
      </c>
      <c r="Z1352" t="s">
        <v>160</v>
      </c>
      <c r="AA1352" t="s">
        <v>169</v>
      </c>
      <c r="AB1352">
        <v>3.3</v>
      </c>
      <c r="AC1352">
        <v>50</v>
      </c>
      <c r="AD1352">
        <v>58.74</v>
      </c>
      <c r="AE1352">
        <f t="shared" si="42"/>
        <v>365.40999999999997</v>
      </c>
      <c r="AF1352" t="str">
        <f t="shared" si="43"/>
        <v>2025-06</v>
      </c>
      <c r="AG1352">
        <f>SUBTOTAL(103,A1352)</f>
        <v>1</v>
      </c>
    </row>
    <row r="1353" spans="1:33" x14ac:dyDescent="0.3">
      <c r="A1353" t="s">
        <v>3968</v>
      </c>
      <c r="B1353" s="13">
        <v>45828</v>
      </c>
      <c r="C1353">
        <v>2025</v>
      </c>
      <c r="D1353">
        <v>6</v>
      </c>
      <c r="E1353" t="s">
        <v>3813</v>
      </c>
      <c r="F1353" t="s">
        <v>3329</v>
      </c>
      <c r="G1353" t="s">
        <v>993</v>
      </c>
      <c r="H1353" t="s">
        <v>994</v>
      </c>
      <c r="I1353" t="s">
        <v>86</v>
      </c>
      <c r="J1353">
        <v>25</v>
      </c>
      <c r="K1353" t="s">
        <v>80</v>
      </c>
      <c r="L1353" t="s">
        <v>91</v>
      </c>
      <c r="M1353" t="s">
        <v>55</v>
      </c>
      <c r="N1353" t="s">
        <v>2584</v>
      </c>
      <c r="O1353" t="s">
        <v>121</v>
      </c>
      <c r="P1353" t="s">
        <v>50</v>
      </c>
      <c r="Q1353" t="s">
        <v>144</v>
      </c>
      <c r="R1353">
        <v>4</v>
      </c>
      <c r="S1353">
        <v>2999</v>
      </c>
      <c r="T1353">
        <v>0</v>
      </c>
      <c r="U1353">
        <v>11996</v>
      </c>
      <c r="V1353">
        <v>6800</v>
      </c>
      <c r="W1353">
        <v>5196</v>
      </c>
      <c r="X1353" t="s">
        <v>75</v>
      </c>
      <c r="Y1353" t="s">
        <v>68</v>
      </c>
      <c r="Z1353" t="s">
        <v>163</v>
      </c>
      <c r="AA1353" t="s">
        <v>168</v>
      </c>
      <c r="AB1353">
        <v>3.8</v>
      </c>
      <c r="AC1353">
        <v>120</v>
      </c>
      <c r="AD1353">
        <v>675.13</v>
      </c>
      <c r="AE1353">
        <f t="shared" si="42"/>
        <v>4400.87</v>
      </c>
      <c r="AF1353" t="str">
        <f t="shared" si="43"/>
        <v>2025-06</v>
      </c>
      <c r="AG1353">
        <f>SUBTOTAL(103,A1353)</f>
        <v>1</v>
      </c>
    </row>
    <row r="1354" spans="1:33" x14ac:dyDescent="0.3">
      <c r="A1354" t="s">
        <v>3969</v>
      </c>
      <c r="B1354" s="13">
        <v>45828</v>
      </c>
      <c r="C1354">
        <v>2025</v>
      </c>
      <c r="D1354">
        <v>6</v>
      </c>
      <c r="E1354" t="s">
        <v>3813</v>
      </c>
      <c r="F1354" t="s">
        <v>3329</v>
      </c>
      <c r="G1354" t="s">
        <v>1303</v>
      </c>
      <c r="H1354" t="s">
        <v>1304</v>
      </c>
      <c r="I1354" t="s">
        <v>86</v>
      </c>
      <c r="J1354">
        <v>21</v>
      </c>
      <c r="K1354" t="s">
        <v>80</v>
      </c>
      <c r="L1354" t="s">
        <v>94</v>
      </c>
      <c r="M1354" t="s">
        <v>57</v>
      </c>
      <c r="N1354" t="s">
        <v>2587</v>
      </c>
      <c r="O1354" t="s">
        <v>116</v>
      </c>
      <c r="P1354" t="s">
        <v>48</v>
      </c>
      <c r="Q1354" t="s">
        <v>138</v>
      </c>
      <c r="R1354">
        <v>1</v>
      </c>
      <c r="S1354">
        <v>14999</v>
      </c>
      <c r="T1354">
        <v>0.05</v>
      </c>
      <c r="U1354">
        <v>14249.05</v>
      </c>
      <c r="V1354">
        <v>11200</v>
      </c>
      <c r="W1354">
        <v>3049.05</v>
      </c>
      <c r="X1354" t="s">
        <v>75</v>
      </c>
      <c r="Y1354" t="s">
        <v>68</v>
      </c>
      <c r="Z1354" t="s">
        <v>163</v>
      </c>
      <c r="AA1354" t="s">
        <v>171</v>
      </c>
      <c r="AB1354">
        <v>4.5</v>
      </c>
      <c r="AC1354">
        <v>120</v>
      </c>
      <c r="AD1354">
        <v>723.81</v>
      </c>
      <c r="AE1354">
        <f t="shared" si="42"/>
        <v>2205.2400000000002</v>
      </c>
      <c r="AF1354" t="str">
        <f t="shared" si="43"/>
        <v>2025-06</v>
      </c>
      <c r="AG1354">
        <f>SUBTOTAL(103,A1354)</f>
        <v>1</v>
      </c>
    </row>
    <row r="1355" spans="1:33" x14ac:dyDescent="0.3">
      <c r="A1355" t="s">
        <v>3970</v>
      </c>
      <c r="B1355" s="13">
        <v>45828</v>
      </c>
      <c r="C1355">
        <v>2025</v>
      </c>
      <c r="D1355">
        <v>6</v>
      </c>
      <c r="E1355" t="s">
        <v>3813</v>
      </c>
      <c r="F1355" t="s">
        <v>3329</v>
      </c>
      <c r="G1355" t="s">
        <v>1771</v>
      </c>
      <c r="H1355" t="s">
        <v>1772</v>
      </c>
      <c r="I1355" t="s">
        <v>86</v>
      </c>
      <c r="J1355">
        <v>59</v>
      </c>
      <c r="K1355" t="s">
        <v>83</v>
      </c>
      <c r="L1355" t="s">
        <v>91</v>
      </c>
      <c r="M1355" t="s">
        <v>55</v>
      </c>
      <c r="N1355" t="s">
        <v>2574</v>
      </c>
      <c r="O1355" t="s">
        <v>130</v>
      </c>
      <c r="P1355" t="s">
        <v>50</v>
      </c>
      <c r="Q1355" t="s">
        <v>53</v>
      </c>
      <c r="R1355">
        <v>1</v>
      </c>
      <c r="S1355">
        <v>1199</v>
      </c>
      <c r="T1355">
        <v>0.05</v>
      </c>
      <c r="U1355">
        <v>1139.05</v>
      </c>
      <c r="V1355">
        <v>550</v>
      </c>
      <c r="W1355">
        <v>589.04999999999995</v>
      </c>
      <c r="X1355" t="s">
        <v>73</v>
      </c>
      <c r="Y1355" t="s">
        <v>68</v>
      </c>
      <c r="Z1355" t="s">
        <v>158</v>
      </c>
      <c r="AA1355" t="s">
        <v>171</v>
      </c>
      <c r="AB1355">
        <v>4.5999999999999996</v>
      </c>
      <c r="AC1355">
        <v>80</v>
      </c>
      <c r="AD1355">
        <v>60.13</v>
      </c>
      <c r="AE1355">
        <f t="shared" si="42"/>
        <v>448.91999999999996</v>
      </c>
      <c r="AF1355" t="str">
        <f t="shared" si="43"/>
        <v>2025-06</v>
      </c>
      <c r="AG1355">
        <f>SUBTOTAL(103,A1355)</f>
        <v>1</v>
      </c>
    </row>
    <row r="1356" spans="1:33" x14ac:dyDescent="0.3">
      <c r="A1356" t="s">
        <v>3971</v>
      </c>
      <c r="B1356" s="13">
        <v>45828</v>
      </c>
      <c r="C1356">
        <v>2025</v>
      </c>
      <c r="D1356">
        <v>6</v>
      </c>
      <c r="E1356" t="s">
        <v>3813</v>
      </c>
      <c r="F1356" t="s">
        <v>3329</v>
      </c>
      <c r="G1356" t="s">
        <v>315</v>
      </c>
      <c r="H1356" t="s">
        <v>316</v>
      </c>
      <c r="I1356" t="s">
        <v>85</v>
      </c>
      <c r="J1356">
        <v>35</v>
      </c>
      <c r="K1356" t="s">
        <v>81</v>
      </c>
      <c r="L1356" t="s">
        <v>95</v>
      </c>
      <c r="M1356" t="s">
        <v>56</v>
      </c>
      <c r="N1356" t="s">
        <v>2665</v>
      </c>
      <c r="O1356" t="s">
        <v>128</v>
      </c>
      <c r="P1356" t="s">
        <v>53</v>
      </c>
      <c r="Q1356" t="s">
        <v>143</v>
      </c>
      <c r="R1356">
        <v>1</v>
      </c>
      <c r="S1356">
        <v>1499</v>
      </c>
      <c r="T1356">
        <v>0.15</v>
      </c>
      <c r="U1356">
        <v>1274.1500000000001</v>
      </c>
      <c r="V1356">
        <v>800</v>
      </c>
      <c r="W1356">
        <v>474.15</v>
      </c>
      <c r="X1356" t="s">
        <v>73</v>
      </c>
      <c r="Y1356" t="s">
        <v>68</v>
      </c>
      <c r="Z1356" t="s">
        <v>162</v>
      </c>
      <c r="AA1356" t="s">
        <v>171</v>
      </c>
      <c r="AB1356">
        <v>5</v>
      </c>
      <c r="AC1356">
        <v>50</v>
      </c>
      <c r="AD1356">
        <v>74.459999999999994</v>
      </c>
      <c r="AE1356">
        <f t="shared" si="42"/>
        <v>349.69</v>
      </c>
      <c r="AF1356" t="str">
        <f t="shared" si="43"/>
        <v>2025-06</v>
      </c>
      <c r="AG1356">
        <f>SUBTOTAL(103,A1356)</f>
        <v>1</v>
      </c>
    </row>
    <row r="1357" spans="1:33" x14ac:dyDescent="0.3">
      <c r="A1357" t="s">
        <v>3972</v>
      </c>
      <c r="B1357" s="13">
        <v>45829</v>
      </c>
      <c r="C1357">
        <v>2025</v>
      </c>
      <c r="D1357">
        <v>6</v>
      </c>
      <c r="E1357" t="s">
        <v>3813</v>
      </c>
      <c r="F1357" t="s">
        <v>3329</v>
      </c>
      <c r="G1357" t="s">
        <v>1073</v>
      </c>
      <c r="H1357" t="s">
        <v>1074</v>
      </c>
      <c r="I1357" t="s">
        <v>87</v>
      </c>
      <c r="J1357">
        <v>30</v>
      </c>
      <c r="K1357" t="s">
        <v>81</v>
      </c>
      <c r="L1357" t="s">
        <v>90</v>
      </c>
      <c r="M1357" t="s">
        <v>55</v>
      </c>
      <c r="N1357" t="s">
        <v>2582</v>
      </c>
      <c r="O1357" t="s">
        <v>119</v>
      </c>
      <c r="P1357" t="s">
        <v>49</v>
      </c>
      <c r="Q1357" t="s">
        <v>140</v>
      </c>
      <c r="R1357">
        <v>2</v>
      </c>
      <c r="S1357">
        <v>3499</v>
      </c>
      <c r="T1357">
        <v>0.1</v>
      </c>
      <c r="U1357">
        <v>6298.2</v>
      </c>
      <c r="V1357">
        <v>4200</v>
      </c>
      <c r="W1357">
        <v>2098.1999999999998</v>
      </c>
      <c r="X1357" t="s">
        <v>77</v>
      </c>
      <c r="Y1357" t="s">
        <v>70</v>
      </c>
      <c r="Z1357" t="s">
        <v>158</v>
      </c>
      <c r="AA1357" t="s">
        <v>168</v>
      </c>
      <c r="AB1357">
        <v>5</v>
      </c>
      <c r="AC1357">
        <v>80</v>
      </c>
      <c r="AD1357">
        <v>706.13</v>
      </c>
      <c r="AE1357">
        <f t="shared" si="42"/>
        <v>1312.0699999999997</v>
      </c>
      <c r="AF1357" t="str">
        <f t="shared" si="43"/>
        <v>2025-06</v>
      </c>
      <c r="AG1357">
        <f>SUBTOTAL(103,A1357)</f>
        <v>1</v>
      </c>
    </row>
    <row r="1358" spans="1:33" x14ac:dyDescent="0.3">
      <c r="A1358" t="s">
        <v>3973</v>
      </c>
      <c r="B1358" s="13">
        <v>45829</v>
      </c>
      <c r="C1358">
        <v>2025</v>
      </c>
      <c r="D1358">
        <v>6</v>
      </c>
      <c r="E1358" t="s">
        <v>3813</v>
      </c>
      <c r="F1358" t="s">
        <v>3329</v>
      </c>
      <c r="G1358" t="s">
        <v>953</v>
      </c>
      <c r="H1358" t="s">
        <v>954</v>
      </c>
      <c r="I1358" t="s">
        <v>86</v>
      </c>
      <c r="J1358">
        <v>42</v>
      </c>
      <c r="K1358" t="s">
        <v>82</v>
      </c>
      <c r="L1358" t="s">
        <v>2687</v>
      </c>
      <c r="M1358" t="s">
        <v>57</v>
      </c>
      <c r="N1358" t="s">
        <v>2592</v>
      </c>
      <c r="O1358" t="s">
        <v>115</v>
      </c>
      <c r="P1358" t="s">
        <v>48</v>
      </c>
      <c r="Q1358" t="s">
        <v>137</v>
      </c>
      <c r="R1358">
        <v>1</v>
      </c>
      <c r="S1358">
        <v>12999</v>
      </c>
      <c r="T1358">
        <v>0</v>
      </c>
      <c r="U1358">
        <v>12999</v>
      </c>
      <c r="V1358">
        <v>9000</v>
      </c>
      <c r="W1358">
        <v>3999</v>
      </c>
      <c r="X1358" t="s">
        <v>75</v>
      </c>
      <c r="Y1358" t="s">
        <v>68</v>
      </c>
      <c r="Z1358" t="s">
        <v>158</v>
      </c>
      <c r="AA1358" t="s">
        <v>168</v>
      </c>
      <c r="AB1358">
        <v>4</v>
      </c>
      <c r="AC1358">
        <v>60</v>
      </c>
      <c r="AD1358">
        <v>1421.58</v>
      </c>
      <c r="AE1358">
        <f t="shared" si="42"/>
        <v>2517.42</v>
      </c>
      <c r="AF1358" t="str">
        <f t="shared" si="43"/>
        <v>2025-06</v>
      </c>
      <c r="AG1358">
        <f>SUBTOTAL(103,A1358)</f>
        <v>1</v>
      </c>
    </row>
    <row r="1359" spans="1:33" x14ac:dyDescent="0.3">
      <c r="A1359" t="s">
        <v>3974</v>
      </c>
      <c r="B1359" s="13">
        <v>45829</v>
      </c>
      <c r="C1359">
        <v>2025</v>
      </c>
      <c r="D1359">
        <v>6</v>
      </c>
      <c r="E1359" t="s">
        <v>3813</v>
      </c>
      <c r="F1359" t="s">
        <v>3329</v>
      </c>
      <c r="G1359" t="s">
        <v>867</v>
      </c>
      <c r="H1359" t="s">
        <v>868</v>
      </c>
      <c r="I1359" t="s">
        <v>86</v>
      </c>
      <c r="J1359">
        <v>34</v>
      </c>
      <c r="K1359" t="s">
        <v>81</v>
      </c>
      <c r="L1359" t="s">
        <v>98</v>
      </c>
      <c r="M1359" t="s">
        <v>55</v>
      </c>
      <c r="N1359" t="s">
        <v>2594</v>
      </c>
      <c r="O1359" t="s">
        <v>131</v>
      </c>
      <c r="P1359" t="s">
        <v>53</v>
      </c>
      <c r="Q1359" t="s">
        <v>143</v>
      </c>
      <c r="R1359">
        <v>2</v>
      </c>
      <c r="S1359">
        <v>999</v>
      </c>
      <c r="T1359">
        <v>0</v>
      </c>
      <c r="U1359">
        <v>1998</v>
      </c>
      <c r="V1359">
        <v>1040</v>
      </c>
      <c r="W1359">
        <v>958</v>
      </c>
      <c r="X1359" t="s">
        <v>76</v>
      </c>
      <c r="Y1359" t="s">
        <v>68</v>
      </c>
      <c r="Z1359" t="s">
        <v>160</v>
      </c>
      <c r="AA1359" t="s">
        <v>169</v>
      </c>
      <c r="AB1359">
        <v>4.0999999999999996</v>
      </c>
      <c r="AC1359">
        <v>40</v>
      </c>
      <c r="AD1359">
        <v>195.66</v>
      </c>
      <c r="AE1359">
        <f t="shared" si="42"/>
        <v>722.34</v>
      </c>
      <c r="AF1359" t="str">
        <f t="shared" si="43"/>
        <v>2025-06</v>
      </c>
      <c r="AG1359">
        <f>SUBTOTAL(103,A1359)</f>
        <v>1</v>
      </c>
    </row>
    <row r="1360" spans="1:33" x14ac:dyDescent="0.3">
      <c r="A1360" t="s">
        <v>3975</v>
      </c>
      <c r="B1360" s="13">
        <v>45829</v>
      </c>
      <c r="C1360">
        <v>2025</v>
      </c>
      <c r="D1360">
        <v>6</v>
      </c>
      <c r="E1360" t="s">
        <v>3813</v>
      </c>
      <c r="F1360" t="s">
        <v>3329</v>
      </c>
      <c r="G1360" t="s">
        <v>561</v>
      </c>
      <c r="H1360" t="s">
        <v>562</v>
      </c>
      <c r="I1360" t="s">
        <v>85</v>
      </c>
      <c r="J1360">
        <v>56</v>
      </c>
      <c r="K1360" t="s">
        <v>83</v>
      </c>
      <c r="L1360" t="s">
        <v>93</v>
      </c>
      <c r="M1360" t="s">
        <v>55</v>
      </c>
      <c r="N1360" t="s">
        <v>2580</v>
      </c>
      <c r="O1360" t="s">
        <v>118</v>
      </c>
      <c r="P1360" t="s">
        <v>48</v>
      </c>
      <c r="Q1360" t="s">
        <v>142</v>
      </c>
      <c r="R1360">
        <v>2</v>
      </c>
      <c r="S1360">
        <v>3999</v>
      </c>
      <c r="T1360">
        <v>0.1</v>
      </c>
      <c r="U1360">
        <v>7198.2</v>
      </c>
      <c r="V1360">
        <v>4800</v>
      </c>
      <c r="W1360">
        <v>2398.1999999999998</v>
      </c>
      <c r="X1360" t="s">
        <v>74</v>
      </c>
      <c r="Y1360" t="s">
        <v>68</v>
      </c>
      <c r="Z1360" t="s">
        <v>158</v>
      </c>
      <c r="AA1360" t="s">
        <v>168</v>
      </c>
      <c r="AB1360">
        <v>4</v>
      </c>
      <c r="AC1360">
        <v>100</v>
      </c>
      <c r="AD1360">
        <v>330.7</v>
      </c>
      <c r="AE1360">
        <f t="shared" si="42"/>
        <v>1967.4999999999998</v>
      </c>
      <c r="AF1360" t="str">
        <f t="shared" si="43"/>
        <v>2025-06</v>
      </c>
      <c r="AG1360">
        <f>SUBTOTAL(103,A1360)</f>
        <v>1</v>
      </c>
    </row>
    <row r="1361" spans="1:33" x14ac:dyDescent="0.3">
      <c r="A1361" t="s">
        <v>3976</v>
      </c>
      <c r="B1361" s="13">
        <v>45829</v>
      </c>
      <c r="C1361">
        <v>2025</v>
      </c>
      <c r="D1361">
        <v>6</v>
      </c>
      <c r="E1361" t="s">
        <v>3813</v>
      </c>
      <c r="F1361" t="s">
        <v>3329</v>
      </c>
      <c r="G1361" t="s">
        <v>217</v>
      </c>
      <c r="H1361" t="s">
        <v>218</v>
      </c>
      <c r="I1361" t="s">
        <v>85</v>
      </c>
      <c r="J1361">
        <v>42</v>
      </c>
      <c r="K1361" t="s">
        <v>82</v>
      </c>
      <c r="L1361" t="s">
        <v>94</v>
      </c>
      <c r="M1361" t="s">
        <v>57</v>
      </c>
      <c r="N1361" t="s">
        <v>2590</v>
      </c>
      <c r="O1361" t="s">
        <v>127</v>
      </c>
      <c r="P1361" t="s">
        <v>51</v>
      </c>
      <c r="Q1361" t="s">
        <v>148</v>
      </c>
      <c r="R1361">
        <v>3</v>
      </c>
      <c r="S1361">
        <v>1599</v>
      </c>
      <c r="T1361">
        <v>0.05</v>
      </c>
      <c r="U1361">
        <v>4557.1499999999996</v>
      </c>
      <c r="V1361">
        <v>2400</v>
      </c>
      <c r="W1361">
        <v>2157.15</v>
      </c>
      <c r="X1361" t="s">
        <v>77</v>
      </c>
      <c r="Y1361" t="s">
        <v>68</v>
      </c>
      <c r="Z1361" t="s">
        <v>158</v>
      </c>
      <c r="AA1361" t="s">
        <v>166</v>
      </c>
      <c r="AB1361">
        <v>5</v>
      </c>
      <c r="AC1361">
        <v>60</v>
      </c>
      <c r="AD1361">
        <v>210.22</v>
      </c>
      <c r="AE1361">
        <f t="shared" si="42"/>
        <v>1886.93</v>
      </c>
      <c r="AF1361" t="str">
        <f t="shared" si="43"/>
        <v>2025-06</v>
      </c>
      <c r="AG1361">
        <f>SUBTOTAL(103,A1361)</f>
        <v>1</v>
      </c>
    </row>
    <row r="1362" spans="1:33" x14ac:dyDescent="0.3">
      <c r="A1362" t="s">
        <v>3977</v>
      </c>
      <c r="B1362" s="13">
        <v>45829</v>
      </c>
      <c r="C1362">
        <v>2025</v>
      </c>
      <c r="D1362">
        <v>6</v>
      </c>
      <c r="E1362" t="s">
        <v>3813</v>
      </c>
      <c r="F1362" t="s">
        <v>3329</v>
      </c>
      <c r="G1362" t="s">
        <v>693</v>
      </c>
      <c r="H1362" t="s">
        <v>694</v>
      </c>
      <c r="I1362" t="s">
        <v>86</v>
      </c>
      <c r="J1362">
        <v>36</v>
      </c>
      <c r="K1362" t="s">
        <v>82</v>
      </c>
      <c r="L1362" t="s">
        <v>2586</v>
      </c>
      <c r="M1362" t="s">
        <v>62</v>
      </c>
      <c r="N1362" t="s">
        <v>2665</v>
      </c>
      <c r="O1362" t="s">
        <v>128</v>
      </c>
      <c r="P1362" t="s">
        <v>53</v>
      </c>
      <c r="Q1362" t="s">
        <v>143</v>
      </c>
      <c r="R1362">
        <v>2</v>
      </c>
      <c r="S1362">
        <v>1499</v>
      </c>
      <c r="T1362">
        <v>0.15</v>
      </c>
      <c r="U1362">
        <v>2548.3000000000002</v>
      </c>
      <c r="V1362">
        <v>1600</v>
      </c>
      <c r="W1362">
        <v>948.3</v>
      </c>
      <c r="X1362" t="s">
        <v>74</v>
      </c>
      <c r="Y1362" t="s">
        <v>68</v>
      </c>
      <c r="Z1362" t="s">
        <v>158</v>
      </c>
      <c r="AA1362" t="s">
        <v>171</v>
      </c>
      <c r="AB1362">
        <v>3.2</v>
      </c>
      <c r="AC1362">
        <v>50</v>
      </c>
      <c r="AD1362">
        <v>128.87</v>
      </c>
      <c r="AE1362">
        <f t="shared" si="42"/>
        <v>769.43</v>
      </c>
      <c r="AF1362" t="str">
        <f t="shared" si="43"/>
        <v>2025-06</v>
      </c>
      <c r="AG1362">
        <f>SUBTOTAL(103,A1362)</f>
        <v>1</v>
      </c>
    </row>
    <row r="1363" spans="1:33" x14ac:dyDescent="0.3">
      <c r="A1363" t="s">
        <v>3978</v>
      </c>
      <c r="B1363" s="13">
        <v>45829</v>
      </c>
      <c r="C1363">
        <v>2025</v>
      </c>
      <c r="D1363">
        <v>6</v>
      </c>
      <c r="E1363" t="s">
        <v>3813</v>
      </c>
      <c r="F1363" t="s">
        <v>3329</v>
      </c>
      <c r="G1363" t="s">
        <v>1101</v>
      </c>
      <c r="H1363" t="s">
        <v>1102</v>
      </c>
      <c r="I1363" t="s">
        <v>85</v>
      </c>
      <c r="J1363">
        <v>55</v>
      </c>
      <c r="K1363" t="s">
        <v>83</v>
      </c>
      <c r="L1363" t="s">
        <v>2579</v>
      </c>
      <c r="M1363" t="s">
        <v>56</v>
      </c>
      <c r="N1363" t="s">
        <v>2626</v>
      </c>
      <c r="O1363" t="s">
        <v>125</v>
      </c>
      <c r="P1363" t="s">
        <v>48</v>
      </c>
      <c r="Q1363" t="s">
        <v>141</v>
      </c>
      <c r="R1363">
        <v>2</v>
      </c>
      <c r="S1363">
        <v>1999</v>
      </c>
      <c r="T1363">
        <v>0.05</v>
      </c>
      <c r="U1363">
        <v>3798.1</v>
      </c>
      <c r="V1363">
        <v>2300</v>
      </c>
      <c r="W1363">
        <v>1498.1</v>
      </c>
      <c r="X1363" t="s">
        <v>74</v>
      </c>
      <c r="Y1363" t="s">
        <v>68</v>
      </c>
      <c r="Z1363" t="s">
        <v>159</v>
      </c>
      <c r="AA1363" t="s">
        <v>166</v>
      </c>
      <c r="AB1363">
        <v>4.3</v>
      </c>
      <c r="AC1363">
        <v>40</v>
      </c>
      <c r="AD1363">
        <v>84.73</v>
      </c>
      <c r="AE1363">
        <f t="shared" si="42"/>
        <v>1373.37</v>
      </c>
      <c r="AF1363" t="str">
        <f t="shared" si="43"/>
        <v>2025-06</v>
      </c>
      <c r="AG1363">
        <f>SUBTOTAL(103,A1363)</f>
        <v>1</v>
      </c>
    </row>
    <row r="1364" spans="1:33" x14ac:dyDescent="0.3">
      <c r="A1364" t="s">
        <v>3979</v>
      </c>
      <c r="B1364" s="13">
        <v>45829</v>
      </c>
      <c r="C1364">
        <v>2025</v>
      </c>
      <c r="D1364">
        <v>6</v>
      </c>
      <c r="E1364" t="s">
        <v>3813</v>
      </c>
      <c r="F1364" t="s">
        <v>3329</v>
      </c>
      <c r="G1364" t="s">
        <v>1857</v>
      </c>
      <c r="H1364" t="s">
        <v>1858</v>
      </c>
      <c r="I1364" t="s">
        <v>86</v>
      </c>
      <c r="J1364">
        <v>32</v>
      </c>
      <c r="K1364" t="s">
        <v>81</v>
      </c>
      <c r="L1364" t="s">
        <v>2599</v>
      </c>
      <c r="M1364" t="s">
        <v>62</v>
      </c>
      <c r="N1364" t="s">
        <v>2626</v>
      </c>
      <c r="O1364" t="s">
        <v>125</v>
      </c>
      <c r="P1364" t="s">
        <v>48</v>
      </c>
      <c r="Q1364" t="s">
        <v>141</v>
      </c>
      <c r="R1364">
        <v>2</v>
      </c>
      <c r="S1364">
        <v>1999</v>
      </c>
      <c r="T1364">
        <v>0.2</v>
      </c>
      <c r="U1364">
        <v>3198.4</v>
      </c>
      <c r="V1364">
        <v>2300</v>
      </c>
      <c r="W1364">
        <v>898.4</v>
      </c>
      <c r="X1364" t="s">
        <v>76</v>
      </c>
      <c r="Y1364" t="s">
        <v>68</v>
      </c>
      <c r="Z1364" t="s">
        <v>159</v>
      </c>
      <c r="AA1364" t="s">
        <v>166</v>
      </c>
      <c r="AB1364">
        <v>3.9</v>
      </c>
      <c r="AC1364">
        <v>80</v>
      </c>
      <c r="AD1364">
        <v>66.44</v>
      </c>
      <c r="AE1364">
        <f t="shared" si="42"/>
        <v>751.96</v>
      </c>
      <c r="AF1364" t="str">
        <f t="shared" si="43"/>
        <v>2025-06</v>
      </c>
      <c r="AG1364">
        <f>SUBTOTAL(103,A1364)</f>
        <v>1</v>
      </c>
    </row>
    <row r="1365" spans="1:33" x14ac:dyDescent="0.3">
      <c r="A1365" t="s">
        <v>3980</v>
      </c>
      <c r="B1365" s="13">
        <v>45830</v>
      </c>
      <c r="C1365">
        <v>2025</v>
      </c>
      <c r="D1365">
        <v>6</v>
      </c>
      <c r="E1365" t="s">
        <v>3813</v>
      </c>
      <c r="F1365" t="s">
        <v>3329</v>
      </c>
      <c r="G1365" t="s">
        <v>613</v>
      </c>
      <c r="H1365" t="s">
        <v>614</v>
      </c>
      <c r="I1365" t="s">
        <v>85</v>
      </c>
      <c r="J1365">
        <v>55</v>
      </c>
      <c r="K1365" t="s">
        <v>83</v>
      </c>
      <c r="L1365" t="s">
        <v>93</v>
      </c>
      <c r="M1365" t="s">
        <v>55</v>
      </c>
      <c r="N1365" t="s">
        <v>2574</v>
      </c>
      <c r="O1365" t="s">
        <v>130</v>
      </c>
      <c r="P1365" t="s">
        <v>50</v>
      </c>
      <c r="Q1365" t="s">
        <v>53</v>
      </c>
      <c r="R1365">
        <v>3</v>
      </c>
      <c r="S1365">
        <v>1199</v>
      </c>
      <c r="T1365">
        <v>0.05</v>
      </c>
      <c r="U1365">
        <v>3417.15</v>
      </c>
      <c r="V1365">
        <v>1650</v>
      </c>
      <c r="W1365">
        <v>1767.15</v>
      </c>
      <c r="X1365" t="s">
        <v>76</v>
      </c>
      <c r="Y1365" t="s">
        <v>68</v>
      </c>
      <c r="Z1365" t="s">
        <v>159</v>
      </c>
      <c r="AA1365" t="s">
        <v>168</v>
      </c>
      <c r="AB1365">
        <v>5</v>
      </c>
      <c r="AC1365">
        <v>80</v>
      </c>
      <c r="AD1365">
        <v>188.43</v>
      </c>
      <c r="AE1365">
        <f t="shared" si="42"/>
        <v>1498.72</v>
      </c>
      <c r="AF1365" t="str">
        <f t="shared" si="43"/>
        <v>2025-06</v>
      </c>
      <c r="AG1365">
        <f>SUBTOTAL(103,A1365)</f>
        <v>1</v>
      </c>
    </row>
    <row r="1366" spans="1:33" x14ac:dyDescent="0.3">
      <c r="A1366" t="s">
        <v>3981</v>
      </c>
      <c r="B1366" s="13">
        <v>45830</v>
      </c>
      <c r="C1366">
        <v>2025</v>
      </c>
      <c r="D1366">
        <v>6</v>
      </c>
      <c r="E1366" t="s">
        <v>3813</v>
      </c>
      <c r="F1366" t="s">
        <v>3329</v>
      </c>
      <c r="G1366" t="s">
        <v>655</v>
      </c>
      <c r="H1366" t="s">
        <v>656</v>
      </c>
      <c r="I1366" t="s">
        <v>85</v>
      </c>
      <c r="J1366">
        <v>28</v>
      </c>
      <c r="K1366" t="s">
        <v>81</v>
      </c>
      <c r="L1366" t="s">
        <v>99</v>
      </c>
      <c r="M1366" t="s">
        <v>58</v>
      </c>
      <c r="N1366" t="s">
        <v>2590</v>
      </c>
      <c r="O1366" t="s">
        <v>127</v>
      </c>
      <c r="P1366" t="s">
        <v>51</v>
      </c>
      <c r="Q1366" t="s">
        <v>148</v>
      </c>
      <c r="R1366">
        <v>1</v>
      </c>
      <c r="S1366">
        <v>1599</v>
      </c>
      <c r="T1366">
        <v>0.05</v>
      </c>
      <c r="U1366">
        <v>1519.05</v>
      </c>
      <c r="V1366">
        <v>800</v>
      </c>
      <c r="W1366">
        <v>719.05</v>
      </c>
      <c r="X1366" t="s">
        <v>75</v>
      </c>
      <c r="Y1366" t="s">
        <v>68</v>
      </c>
      <c r="Z1366" t="s">
        <v>159</v>
      </c>
      <c r="AA1366" t="s">
        <v>169</v>
      </c>
      <c r="AB1366">
        <v>4.0999999999999996</v>
      </c>
      <c r="AC1366">
        <v>80</v>
      </c>
      <c r="AD1366">
        <v>104</v>
      </c>
      <c r="AE1366">
        <f t="shared" si="42"/>
        <v>535.04999999999995</v>
      </c>
      <c r="AF1366" t="str">
        <f t="shared" si="43"/>
        <v>2025-06</v>
      </c>
      <c r="AG1366">
        <f>SUBTOTAL(103,A1366)</f>
        <v>1</v>
      </c>
    </row>
    <row r="1367" spans="1:33" x14ac:dyDescent="0.3">
      <c r="A1367" t="s">
        <v>3982</v>
      </c>
      <c r="B1367" s="13">
        <v>45830</v>
      </c>
      <c r="C1367">
        <v>2025</v>
      </c>
      <c r="D1367">
        <v>6</v>
      </c>
      <c r="E1367" t="s">
        <v>3813</v>
      </c>
      <c r="F1367" t="s">
        <v>3329</v>
      </c>
      <c r="G1367" t="s">
        <v>269</v>
      </c>
      <c r="H1367" t="s">
        <v>270</v>
      </c>
      <c r="I1367" t="s">
        <v>85</v>
      </c>
      <c r="J1367">
        <v>35</v>
      </c>
      <c r="K1367" t="s">
        <v>81</v>
      </c>
      <c r="L1367" t="s">
        <v>97</v>
      </c>
      <c r="M1367" t="s">
        <v>57</v>
      </c>
      <c r="N1367" t="s">
        <v>2590</v>
      </c>
      <c r="O1367" t="s">
        <v>127</v>
      </c>
      <c r="P1367" t="s">
        <v>51</v>
      </c>
      <c r="Q1367" t="s">
        <v>148</v>
      </c>
      <c r="R1367">
        <v>4</v>
      </c>
      <c r="S1367">
        <v>1599</v>
      </c>
      <c r="T1367">
        <v>0</v>
      </c>
      <c r="U1367">
        <v>6396</v>
      </c>
      <c r="V1367">
        <v>3200</v>
      </c>
      <c r="W1367">
        <v>3196</v>
      </c>
      <c r="X1367" t="s">
        <v>74</v>
      </c>
      <c r="Y1367" t="s">
        <v>68</v>
      </c>
      <c r="Z1367" t="s">
        <v>158</v>
      </c>
      <c r="AA1367" t="s">
        <v>166</v>
      </c>
      <c r="AB1367">
        <v>4.3</v>
      </c>
      <c r="AC1367">
        <v>60</v>
      </c>
      <c r="AD1367">
        <v>220.34</v>
      </c>
      <c r="AE1367">
        <f t="shared" si="42"/>
        <v>2915.66</v>
      </c>
      <c r="AF1367" t="str">
        <f t="shared" si="43"/>
        <v>2025-06</v>
      </c>
      <c r="AG1367">
        <f>SUBTOTAL(103,A1367)</f>
        <v>1</v>
      </c>
    </row>
    <row r="1368" spans="1:33" x14ac:dyDescent="0.3">
      <c r="A1368" t="s">
        <v>3983</v>
      </c>
      <c r="B1368" s="13">
        <v>45830</v>
      </c>
      <c r="C1368">
        <v>2025</v>
      </c>
      <c r="D1368">
        <v>6</v>
      </c>
      <c r="E1368" t="s">
        <v>3813</v>
      </c>
      <c r="F1368" t="s">
        <v>3329</v>
      </c>
      <c r="G1368" t="s">
        <v>387</v>
      </c>
      <c r="H1368" t="s">
        <v>388</v>
      </c>
      <c r="I1368" t="s">
        <v>86</v>
      </c>
      <c r="J1368">
        <v>30</v>
      </c>
      <c r="K1368" t="s">
        <v>81</v>
      </c>
      <c r="L1368" t="s">
        <v>2579</v>
      </c>
      <c r="M1368" t="s">
        <v>56</v>
      </c>
      <c r="N1368" t="s">
        <v>2574</v>
      </c>
      <c r="O1368" t="s">
        <v>130</v>
      </c>
      <c r="P1368" t="s">
        <v>50</v>
      </c>
      <c r="Q1368" t="s">
        <v>53</v>
      </c>
      <c r="R1368">
        <v>3</v>
      </c>
      <c r="S1368">
        <v>1199</v>
      </c>
      <c r="T1368">
        <v>0.1</v>
      </c>
      <c r="U1368">
        <v>3237.3</v>
      </c>
      <c r="V1368">
        <v>1650</v>
      </c>
      <c r="W1368">
        <v>1587.3</v>
      </c>
      <c r="X1368" t="s">
        <v>74</v>
      </c>
      <c r="Y1368" t="s">
        <v>68</v>
      </c>
      <c r="Z1368" t="s">
        <v>162</v>
      </c>
      <c r="AA1368" t="s">
        <v>168</v>
      </c>
      <c r="AB1368">
        <v>4.5</v>
      </c>
      <c r="AC1368">
        <v>80</v>
      </c>
      <c r="AD1368">
        <v>258.64</v>
      </c>
      <c r="AE1368">
        <f t="shared" si="42"/>
        <v>1248.6599999999999</v>
      </c>
      <c r="AF1368" t="str">
        <f t="shared" si="43"/>
        <v>2025-06</v>
      </c>
      <c r="AG1368">
        <f>SUBTOTAL(103,A1368)</f>
        <v>1</v>
      </c>
    </row>
    <row r="1369" spans="1:33" x14ac:dyDescent="0.3">
      <c r="A1369" t="s">
        <v>3984</v>
      </c>
      <c r="B1369" s="13">
        <v>45830</v>
      </c>
      <c r="C1369">
        <v>2025</v>
      </c>
      <c r="D1369">
        <v>6</v>
      </c>
      <c r="E1369" t="s">
        <v>3813</v>
      </c>
      <c r="F1369" t="s">
        <v>3329</v>
      </c>
      <c r="G1369" t="s">
        <v>1209</v>
      </c>
      <c r="H1369" t="s">
        <v>1210</v>
      </c>
      <c r="I1369" t="s">
        <v>85</v>
      </c>
      <c r="J1369">
        <v>32</v>
      </c>
      <c r="K1369" t="s">
        <v>81</v>
      </c>
      <c r="L1369" t="s">
        <v>99</v>
      </c>
      <c r="M1369" t="s">
        <v>58</v>
      </c>
      <c r="N1369" t="s">
        <v>2665</v>
      </c>
      <c r="O1369" t="s">
        <v>128</v>
      </c>
      <c r="P1369" t="s">
        <v>53</v>
      </c>
      <c r="Q1369" t="s">
        <v>143</v>
      </c>
      <c r="R1369">
        <v>3</v>
      </c>
      <c r="S1369">
        <v>1499</v>
      </c>
      <c r="T1369">
        <v>0.05</v>
      </c>
      <c r="U1369">
        <v>4272.1499999999996</v>
      </c>
      <c r="V1369">
        <v>2400</v>
      </c>
      <c r="W1369">
        <v>1872.15</v>
      </c>
      <c r="X1369" t="s">
        <v>77</v>
      </c>
      <c r="Y1369" t="s">
        <v>69</v>
      </c>
      <c r="Z1369" t="s">
        <v>161</v>
      </c>
      <c r="AA1369" t="s">
        <v>167</v>
      </c>
      <c r="AB1369">
        <v>3.9</v>
      </c>
      <c r="AC1369">
        <v>60</v>
      </c>
      <c r="AD1369">
        <v>259.7</v>
      </c>
      <c r="AE1369">
        <f t="shared" si="42"/>
        <v>1552.45</v>
      </c>
      <c r="AF1369" t="str">
        <f t="shared" si="43"/>
        <v>2025-06</v>
      </c>
      <c r="AG1369">
        <f>SUBTOTAL(103,A1369)</f>
        <v>1</v>
      </c>
    </row>
    <row r="1370" spans="1:33" x14ac:dyDescent="0.3">
      <c r="A1370" t="s">
        <v>3985</v>
      </c>
      <c r="B1370" s="13">
        <v>45830</v>
      </c>
      <c r="C1370">
        <v>2025</v>
      </c>
      <c r="D1370">
        <v>6</v>
      </c>
      <c r="E1370" t="s">
        <v>3813</v>
      </c>
      <c r="F1370" t="s">
        <v>3329</v>
      </c>
      <c r="G1370" t="s">
        <v>2069</v>
      </c>
      <c r="H1370" t="s">
        <v>2070</v>
      </c>
      <c r="I1370" t="s">
        <v>86</v>
      </c>
      <c r="J1370">
        <v>20</v>
      </c>
      <c r="K1370" t="s">
        <v>80</v>
      </c>
      <c r="L1370" t="s">
        <v>99</v>
      </c>
      <c r="M1370" t="s">
        <v>58</v>
      </c>
      <c r="N1370" t="s">
        <v>2647</v>
      </c>
      <c r="O1370" t="s">
        <v>133</v>
      </c>
      <c r="P1370" t="s">
        <v>50</v>
      </c>
      <c r="Q1370" t="s">
        <v>145</v>
      </c>
      <c r="R1370">
        <v>1</v>
      </c>
      <c r="S1370">
        <v>799</v>
      </c>
      <c r="T1370">
        <v>0.1</v>
      </c>
      <c r="U1370">
        <v>719.1</v>
      </c>
      <c r="V1370">
        <v>390</v>
      </c>
      <c r="W1370">
        <v>329.1</v>
      </c>
      <c r="X1370" t="s">
        <v>76</v>
      </c>
      <c r="Y1370" t="s">
        <v>69</v>
      </c>
      <c r="Z1370" t="s">
        <v>159</v>
      </c>
      <c r="AA1370" t="s">
        <v>167</v>
      </c>
      <c r="AB1370">
        <v>3.3</v>
      </c>
      <c r="AC1370">
        <v>60</v>
      </c>
      <c r="AD1370">
        <v>27.41</v>
      </c>
      <c r="AE1370">
        <f t="shared" si="42"/>
        <v>241.69000000000003</v>
      </c>
      <c r="AF1370" t="str">
        <f t="shared" si="43"/>
        <v>2025-06</v>
      </c>
      <c r="AG1370">
        <f>SUBTOTAL(103,A1370)</f>
        <v>1</v>
      </c>
    </row>
    <row r="1371" spans="1:33" x14ac:dyDescent="0.3">
      <c r="A1371" t="s">
        <v>3986</v>
      </c>
      <c r="B1371" s="13">
        <v>45830</v>
      </c>
      <c r="C1371">
        <v>2025</v>
      </c>
      <c r="D1371">
        <v>6</v>
      </c>
      <c r="E1371" t="s">
        <v>3813</v>
      </c>
      <c r="F1371" t="s">
        <v>3329</v>
      </c>
      <c r="G1371" t="s">
        <v>955</v>
      </c>
      <c r="H1371" t="s">
        <v>956</v>
      </c>
      <c r="I1371" t="s">
        <v>86</v>
      </c>
      <c r="J1371">
        <v>20</v>
      </c>
      <c r="K1371" t="s">
        <v>80</v>
      </c>
      <c r="L1371" t="s">
        <v>94</v>
      </c>
      <c r="M1371" t="s">
        <v>57</v>
      </c>
      <c r="N1371" t="s">
        <v>2577</v>
      </c>
      <c r="O1371" t="s">
        <v>129</v>
      </c>
      <c r="P1371" t="s">
        <v>49</v>
      </c>
      <c r="Q1371" t="s">
        <v>149</v>
      </c>
      <c r="R1371">
        <v>4</v>
      </c>
      <c r="S1371">
        <v>1299</v>
      </c>
      <c r="T1371">
        <v>0.15</v>
      </c>
      <c r="U1371">
        <v>4416.6000000000004</v>
      </c>
      <c r="V1371">
        <v>2600</v>
      </c>
      <c r="W1371">
        <v>1816.6</v>
      </c>
      <c r="X1371" t="s">
        <v>77</v>
      </c>
      <c r="Y1371" t="s">
        <v>68</v>
      </c>
      <c r="Z1371" t="s">
        <v>160</v>
      </c>
      <c r="AA1371" t="s">
        <v>170</v>
      </c>
      <c r="AB1371">
        <v>3.8</v>
      </c>
      <c r="AC1371">
        <v>100</v>
      </c>
      <c r="AD1371">
        <v>162.13999999999999</v>
      </c>
      <c r="AE1371">
        <f t="shared" si="42"/>
        <v>1554.46</v>
      </c>
      <c r="AF1371" t="str">
        <f t="shared" si="43"/>
        <v>2025-06</v>
      </c>
      <c r="AG1371">
        <f>SUBTOTAL(103,A1371)</f>
        <v>1</v>
      </c>
    </row>
    <row r="1372" spans="1:33" x14ac:dyDescent="0.3">
      <c r="A1372" t="s">
        <v>3987</v>
      </c>
      <c r="B1372" s="13">
        <v>45831</v>
      </c>
      <c r="C1372">
        <v>2025</v>
      </c>
      <c r="D1372">
        <v>6</v>
      </c>
      <c r="E1372" t="s">
        <v>3813</v>
      </c>
      <c r="F1372" t="s">
        <v>3329</v>
      </c>
      <c r="G1372" t="s">
        <v>2001</v>
      </c>
      <c r="H1372" t="s">
        <v>2002</v>
      </c>
      <c r="I1372" t="s">
        <v>86</v>
      </c>
      <c r="J1372">
        <v>28</v>
      </c>
      <c r="K1372" t="s">
        <v>81</v>
      </c>
      <c r="L1372" t="s">
        <v>2610</v>
      </c>
      <c r="M1372" t="s">
        <v>64</v>
      </c>
      <c r="N1372" t="s">
        <v>2590</v>
      </c>
      <c r="O1372" t="s">
        <v>127</v>
      </c>
      <c r="P1372" t="s">
        <v>51</v>
      </c>
      <c r="Q1372" t="s">
        <v>148</v>
      </c>
      <c r="R1372">
        <v>4</v>
      </c>
      <c r="S1372">
        <v>1599</v>
      </c>
      <c r="T1372">
        <v>0.15</v>
      </c>
      <c r="U1372">
        <v>5436.6</v>
      </c>
      <c r="V1372">
        <v>3200</v>
      </c>
      <c r="W1372">
        <v>2236.6</v>
      </c>
      <c r="X1372" t="s">
        <v>77</v>
      </c>
      <c r="Y1372" t="s">
        <v>68</v>
      </c>
      <c r="Z1372" t="s">
        <v>162</v>
      </c>
      <c r="AA1372" t="s">
        <v>167</v>
      </c>
      <c r="AB1372">
        <v>2.7</v>
      </c>
      <c r="AC1372">
        <v>60</v>
      </c>
      <c r="AD1372">
        <v>193.58</v>
      </c>
      <c r="AE1372">
        <f t="shared" si="42"/>
        <v>1983.02</v>
      </c>
      <c r="AF1372" t="str">
        <f t="shared" si="43"/>
        <v>2025-06</v>
      </c>
      <c r="AG1372">
        <f>SUBTOTAL(103,A1372)</f>
        <v>1</v>
      </c>
    </row>
    <row r="1373" spans="1:33" x14ac:dyDescent="0.3">
      <c r="A1373" t="s">
        <v>3988</v>
      </c>
      <c r="B1373" s="13">
        <v>45831</v>
      </c>
      <c r="C1373">
        <v>2025</v>
      </c>
      <c r="D1373">
        <v>6</v>
      </c>
      <c r="E1373" t="s">
        <v>3813</v>
      </c>
      <c r="F1373" t="s">
        <v>3329</v>
      </c>
      <c r="G1373" t="s">
        <v>1523</v>
      </c>
      <c r="H1373" t="s">
        <v>1524</v>
      </c>
      <c r="I1373" t="s">
        <v>86</v>
      </c>
      <c r="J1373">
        <v>38</v>
      </c>
      <c r="K1373" t="s">
        <v>82</v>
      </c>
      <c r="L1373" t="s">
        <v>2616</v>
      </c>
      <c r="M1373" t="s">
        <v>62</v>
      </c>
      <c r="N1373" t="s">
        <v>2657</v>
      </c>
      <c r="O1373" t="s">
        <v>134</v>
      </c>
      <c r="P1373" t="s">
        <v>49</v>
      </c>
      <c r="Q1373" t="s">
        <v>140</v>
      </c>
      <c r="R1373">
        <v>3</v>
      </c>
      <c r="S1373">
        <v>599</v>
      </c>
      <c r="T1373">
        <v>0.1</v>
      </c>
      <c r="U1373">
        <v>1617.3</v>
      </c>
      <c r="V1373">
        <v>750</v>
      </c>
      <c r="W1373">
        <v>867.3</v>
      </c>
      <c r="X1373" t="s">
        <v>76</v>
      </c>
      <c r="Y1373" t="s">
        <v>68</v>
      </c>
      <c r="Z1373" t="s">
        <v>158</v>
      </c>
      <c r="AA1373" t="s">
        <v>171</v>
      </c>
      <c r="AB1373">
        <v>5</v>
      </c>
      <c r="AC1373">
        <v>80</v>
      </c>
      <c r="AD1373">
        <v>42.76</v>
      </c>
      <c r="AE1373">
        <f t="shared" si="42"/>
        <v>744.54</v>
      </c>
      <c r="AF1373" t="str">
        <f t="shared" si="43"/>
        <v>2025-06</v>
      </c>
      <c r="AG1373">
        <f>SUBTOTAL(103,A1373)</f>
        <v>1</v>
      </c>
    </row>
    <row r="1374" spans="1:33" x14ac:dyDescent="0.3">
      <c r="A1374" t="s">
        <v>3989</v>
      </c>
      <c r="B1374" s="13">
        <v>45831</v>
      </c>
      <c r="C1374">
        <v>2025</v>
      </c>
      <c r="D1374">
        <v>6</v>
      </c>
      <c r="E1374" t="s">
        <v>3813</v>
      </c>
      <c r="F1374" t="s">
        <v>3329</v>
      </c>
      <c r="G1374" t="s">
        <v>373</v>
      </c>
      <c r="H1374" t="s">
        <v>374</v>
      </c>
      <c r="I1374" t="s">
        <v>85</v>
      </c>
      <c r="J1374">
        <v>40</v>
      </c>
      <c r="K1374" t="s">
        <v>82</v>
      </c>
      <c r="L1374" t="s">
        <v>91</v>
      </c>
      <c r="M1374" t="s">
        <v>55</v>
      </c>
      <c r="N1374" t="s">
        <v>2626</v>
      </c>
      <c r="O1374" t="s">
        <v>125</v>
      </c>
      <c r="P1374" t="s">
        <v>48</v>
      </c>
      <c r="Q1374" t="s">
        <v>141</v>
      </c>
      <c r="R1374">
        <v>2</v>
      </c>
      <c r="S1374">
        <v>1999</v>
      </c>
      <c r="T1374">
        <v>0.2</v>
      </c>
      <c r="U1374">
        <v>3198.4</v>
      </c>
      <c r="V1374">
        <v>2300</v>
      </c>
      <c r="W1374">
        <v>898.4</v>
      </c>
      <c r="X1374" t="s">
        <v>73</v>
      </c>
      <c r="Y1374" t="s">
        <v>68</v>
      </c>
      <c r="Z1374" t="s">
        <v>161</v>
      </c>
      <c r="AA1374" t="s">
        <v>170</v>
      </c>
      <c r="AB1374">
        <v>5</v>
      </c>
      <c r="AC1374">
        <v>80</v>
      </c>
      <c r="AD1374">
        <v>302.47000000000003</v>
      </c>
      <c r="AE1374">
        <f t="shared" si="42"/>
        <v>515.92999999999995</v>
      </c>
      <c r="AF1374" t="str">
        <f t="shared" si="43"/>
        <v>2025-06</v>
      </c>
      <c r="AG1374">
        <f>SUBTOTAL(103,A1374)</f>
        <v>1</v>
      </c>
    </row>
    <row r="1375" spans="1:33" x14ac:dyDescent="0.3">
      <c r="A1375" t="s">
        <v>3990</v>
      </c>
      <c r="B1375" s="13">
        <v>45831</v>
      </c>
      <c r="C1375">
        <v>2025</v>
      </c>
      <c r="D1375">
        <v>6</v>
      </c>
      <c r="E1375" t="s">
        <v>3813</v>
      </c>
      <c r="F1375" t="s">
        <v>3329</v>
      </c>
      <c r="G1375" t="s">
        <v>895</v>
      </c>
      <c r="H1375" t="s">
        <v>896</v>
      </c>
      <c r="I1375" t="s">
        <v>86</v>
      </c>
      <c r="J1375">
        <v>24</v>
      </c>
      <c r="K1375" t="s">
        <v>80</v>
      </c>
      <c r="L1375" t="s">
        <v>95</v>
      </c>
      <c r="M1375" t="s">
        <v>56</v>
      </c>
      <c r="N1375" t="s">
        <v>2582</v>
      </c>
      <c r="O1375" t="s">
        <v>119</v>
      </c>
      <c r="P1375" t="s">
        <v>49</v>
      </c>
      <c r="Q1375" t="s">
        <v>140</v>
      </c>
      <c r="R1375">
        <v>2</v>
      </c>
      <c r="S1375">
        <v>3499</v>
      </c>
      <c r="T1375">
        <v>0.1</v>
      </c>
      <c r="U1375">
        <v>6298.2</v>
      </c>
      <c r="V1375">
        <v>4200</v>
      </c>
      <c r="W1375">
        <v>2098.1999999999998</v>
      </c>
      <c r="X1375" t="s">
        <v>74</v>
      </c>
      <c r="Y1375" t="s">
        <v>68</v>
      </c>
      <c r="Z1375" t="s">
        <v>162</v>
      </c>
      <c r="AA1375" t="s">
        <v>167</v>
      </c>
      <c r="AB1375">
        <v>3.7</v>
      </c>
      <c r="AC1375">
        <v>100</v>
      </c>
      <c r="AD1375">
        <v>721.9</v>
      </c>
      <c r="AE1375">
        <f t="shared" si="42"/>
        <v>1276.2999999999997</v>
      </c>
      <c r="AF1375" t="str">
        <f t="shared" si="43"/>
        <v>2025-06</v>
      </c>
      <c r="AG1375">
        <f>SUBTOTAL(103,A1375)</f>
        <v>1</v>
      </c>
    </row>
    <row r="1376" spans="1:33" x14ac:dyDescent="0.3">
      <c r="A1376" t="s">
        <v>3991</v>
      </c>
      <c r="B1376" s="13">
        <v>45832</v>
      </c>
      <c r="C1376">
        <v>2025</v>
      </c>
      <c r="D1376">
        <v>6</v>
      </c>
      <c r="E1376" t="s">
        <v>3813</v>
      </c>
      <c r="F1376" t="s">
        <v>3329</v>
      </c>
      <c r="G1376" t="s">
        <v>313</v>
      </c>
      <c r="H1376" t="s">
        <v>314</v>
      </c>
      <c r="I1376" t="s">
        <v>86</v>
      </c>
      <c r="J1376">
        <v>55</v>
      </c>
      <c r="K1376" t="s">
        <v>83</v>
      </c>
      <c r="L1376" t="s">
        <v>95</v>
      </c>
      <c r="M1376" t="s">
        <v>56</v>
      </c>
      <c r="N1376" t="s">
        <v>2592</v>
      </c>
      <c r="O1376" t="s">
        <v>115</v>
      </c>
      <c r="P1376" t="s">
        <v>48</v>
      </c>
      <c r="Q1376" t="s">
        <v>137</v>
      </c>
      <c r="R1376">
        <v>1</v>
      </c>
      <c r="S1376">
        <v>12999</v>
      </c>
      <c r="T1376">
        <v>0.15</v>
      </c>
      <c r="U1376">
        <v>11049.15</v>
      </c>
      <c r="V1376">
        <v>9000</v>
      </c>
      <c r="W1376">
        <v>2049.15</v>
      </c>
      <c r="X1376" t="s">
        <v>74</v>
      </c>
      <c r="Y1376" t="s">
        <v>68</v>
      </c>
      <c r="Z1376" t="s">
        <v>162</v>
      </c>
      <c r="AA1376" t="s">
        <v>166</v>
      </c>
      <c r="AB1376">
        <v>4.9000000000000004</v>
      </c>
      <c r="AC1376">
        <v>50</v>
      </c>
      <c r="AD1376">
        <v>579.70000000000005</v>
      </c>
      <c r="AE1376">
        <f t="shared" si="42"/>
        <v>1419.45</v>
      </c>
      <c r="AF1376" t="str">
        <f t="shared" si="43"/>
        <v>2025-06</v>
      </c>
      <c r="AG1376">
        <f>SUBTOTAL(103,A1376)</f>
        <v>1</v>
      </c>
    </row>
    <row r="1377" spans="1:33" x14ac:dyDescent="0.3">
      <c r="A1377" t="s">
        <v>3992</v>
      </c>
      <c r="B1377" s="13">
        <v>45832</v>
      </c>
      <c r="C1377">
        <v>2025</v>
      </c>
      <c r="D1377">
        <v>6</v>
      </c>
      <c r="E1377" t="s">
        <v>3813</v>
      </c>
      <c r="F1377" t="s">
        <v>3329</v>
      </c>
      <c r="G1377" t="s">
        <v>479</v>
      </c>
      <c r="H1377" t="s">
        <v>480</v>
      </c>
      <c r="I1377" t="s">
        <v>86</v>
      </c>
      <c r="J1377">
        <v>41</v>
      </c>
      <c r="K1377" t="s">
        <v>82</v>
      </c>
      <c r="L1377" t="s">
        <v>98</v>
      </c>
      <c r="M1377" t="s">
        <v>55</v>
      </c>
      <c r="N1377" t="s">
        <v>2665</v>
      </c>
      <c r="O1377" t="s">
        <v>128</v>
      </c>
      <c r="P1377" t="s">
        <v>53</v>
      </c>
      <c r="Q1377" t="s">
        <v>143</v>
      </c>
      <c r="R1377">
        <v>3</v>
      </c>
      <c r="S1377">
        <v>1499</v>
      </c>
      <c r="T1377">
        <v>0</v>
      </c>
      <c r="U1377">
        <v>4497</v>
      </c>
      <c r="V1377">
        <v>2400</v>
      </c>
      <c r="W1377">
        <v>2097</v>
      </c>
      <c r="X1377" t="s">
        <v>75</v>
      </c>
      <c r="Y1377" t="s">
        <v>68</v>
      </c>
      <c r="Z1377" t="s">
        <v>163</v>
      </c>
      <c r="AA1377" t="s">
        <v>168</v>
      </c>
      <c r="AB1377">
        <v>3.6</v>
      </c>
      <c r="AC1377">
        <v>40</v>
      </c>
      <c r="AD1377">
        <v>402.92</v>
      </c>
      <c r="AE1377">
        <f t="shared" si="42"/>
        <v>1654.08</v>
      </c>
      <c r="AF1377" t="str">
        <f t="shared" si="43"/>
        <v>2025-06</v>
      </c>
      <c r="AG1377">
        <f>SUBTOTAL(103,A1377)</f>
        <v>1</v>
      </c>
    </row>
    <row r="1378" spans="1:33" x14ac:dyDescent="0.3">
      <c r="A1378" t="s">
        <v>3993</v>
      </c>
      <c r="B1378" s="13">
        <v>45832</v>
      </c>
      <c r="C1378">
        <v>2025</v>
      </c>
      <c r="D1378">
        <v>6</v>
      </c>
      <c r="E1378" t="s">
        <v>3813</v>
      </c>
      <c r="F1378" t="s">
        <v>3329</v>
      </c>
      <c r="G1378" t="s">
        <v>1063</v>
      </c>
      <c r="H1378" t="s">
        <v>1064</v>
      </c>
      <c r="I1378" t="s">
        <v>85</v>
      </c>
      <c r="J1378">
        <v>59</v>
      </c>
      <c r="K1378" t="s">
        <v>83</v>
      </c>
      <c r="L1378" t="s">
        <v>2634</v>
      </c>
      <c r="M1378" t="s">
        <v>56</v>
      </c>
      <c r="N1378" t="s">
        <v>2590</v>
      </c>
      <c r="O1378" t="s">
        <v>127</v>
      </c>
      <c r="P1378" t="s">
        <v>51</v>
      </c>
      <c r="Q1378" t="s">
        <v>148</v>
      </c>
      <c r="R1378">
        <v>1</v>
      </c>
      <c r="S1378">
        <v>1599</v>
      </c>
      <c r="T1378">
        <v>0.05</v>
      </c>
      <c r="U1378">
        <v>1519.05</v>
      </c>
      <c r="V1378">
        <v>800</v>
      </c>
      <c r="W1378">
        <v>719.05</v>
      </c>
      <c r="X1378" t="s">
        <v>76</v>
      </c>
      <c r="Y1378" t="s">
        <v>68</v>
      </c>
      <c r="Z1378" t="s">
        <v>162</v>
      </c>
      <c r="AA1378" t="s">
        <v>166</v>
      </c>
      <c r="AB1378">
        <v>4.3</v>
      </c>
      <c r="AC1378">
        <v>80</v>
      </c>
      <c r="AD1378">
        <v>140.76</v>
      </c>
      <c r="AE1378">
        <f t="shared" si="42"/>
        <v>498.28999999999996</v>
      </c>
      <c r="AF1378" t="str">
        <f t="shared" si="43"/>
        <v>2025-06</v>
      </c>
      <c r="AG1378">
        <f>SUBTOTAL(103,A1378)</f>
        <v>1</v>
      </c>
    </row>
    <row r="1379" spans="1:33" x14ac:dyDescent="0.3">
      <c r="A1379" t="s">
        <v>3994</v>
      </c>
      <c r="B1379" s="13">
        <v>45832</v>
      </c>
      <c r="C1379">
        <v>2025</v>
      </c>
      <c r="D1379">
        <v>6</v>
      </c>
      <c r="E1379" t="s">
        <v>3813</v>
      </c>
      <c r="F1379" t="s">
        <v>3329</v>
      </c>
      <c r="G1379" t="s">
        <v>1317</v>
      </c>
      <c r="H1379" t="s">
        <v>1318</v>
      </c>
      <c r="I1379" t="s">
        <v>86</v>
      </c>
      <c r="J1379">
        <v>18</v>
      </c>
      <c r="K1379" t="s">
        <v>80</v>
      </c>
      <c r="L1379" t="s">
        <v>96</v>
      </c>
      <c r="M1379" t="s">
        <v>55</v>
      </c>
      <c r="N1379" t="s">
        <v>2603</v>
      </c>
      <c r="O1379" t="s">
        <v>122</v>
      </c>
      <c r="P1379" t="s">
        <v>48</v>
      </c>
      <c r="Q1379" t="s">
        <v>141</v>
      </c>
      <c r="R1379">
        <v>2</v>
      </c>
      <c r="S1379">
        <v>2499</v>
      </c>
      <c r="T1379">
        <v>0.2</v>
      </c>
      <c r="U1379">
        <v>3998.4</v>
      </c>
      <c r="V1379">
        <v>2900</v>
      </c>
      <c r="W1379">
        <v>1098.4000000000001</v>
      </c>
      <c r="X1379" t="s">
        <v>73</v>
      </c>
      <c r="Y1379" t="s">
        <v>68</v>
      </c>
      <c r="Z1379" t="s">
        <v>159</v>
      </c>
      <c r="AA1379" t="s">
        <v>167</v>
      </c>
      <c r="AB1379">
        <v>3.6</v>
      </c>
      <c r="AC1379">
        <v>60</v>
      </c>
      <c r="AD1379">
        <v>251.92</v>
      </c>
      <c r="AE1379">
        <f t="shared" si="42"/>
        <v>786.48000000000013</v>
      </c>
      <c r="AF1379" t="str">
        <f t="shared" si="43"/>
        <v>2025-06</v>
      </c>
      <c r="AG1379">
        <f>SUBTOTAL(103,A1379)</f>
        <v>1</v>
      </c>
    </row>
    <row r="1380" spans="1:33" x14ac:dyDescent="0.3">
      <c r="A1380" t="s">
        <v>3995</v>
      </c>
      <c r="B1380" s="13">
        <v>45832</v>
      </c>
      <c r="C1380">
        <v>2025</v>
      </c>
      <c r="D1380">
        <v>6</v>
      </c>
      <c r="E1380" t="s">
        <v>3813</v>
      </c>
      <c r="F1380" t="s">
        <v>3329</v>
      </c>
      <c r="G1380" t="s">
        <v>317</v>
      </c>
      <c r="H1380" t="s">
        <v>318</v>
      </c>
      <c r="I1380" t="s">
        <v>85</v>
      </c>
      <c r="J1380">
        <v>56</v>
      </c>
      <c r="K1380" t="s">
        <v>83</v>
      </c>
      <c r="L1380" t="s">
        <v>97</v>
      </c>
      <c r="M1380" t="s">
        <v>57</v>
      </c>
      <c r="N1380" t="s">
        <v>2626</v>
      </c>
      <c r="O1380" t="s">
        <v>125</v>
      </c>
      <c r="P1380" t="s">
        <v>48</v>
      </c>
      <c r="Q1380" t="s">
        <v>141</v>
      </c>
      <c r="R1380">
        <v>1</v>
      </c>
      <c r="S1380">
        <v>1999</v>
      </c>
      <c r="T1380">
        <v>0.25</v>
      </c>
      <c r="U1380">
        <v>1499.25</v>
      </c>
      <c r="V1380">
        <v>1150</v>
      </c>
      <c r="W1380">
        <v>349.25</v>
      </c>
      <c r="X1380" t="s">
        <v>77</v>
      </c>
      <c r="Y1380" t="s">
        <v>68</v>
      </c>
      <c r="Z1380" t="s">
        <v>163</v>
      </c>
      <c r="AA1380" t="s">
        <v>167</v>
      </c>
      <c r="AB1380">
        <v>4.0999999999999996</v>
      </c>
      <c r="AC1380">
        <v>50</v>
      </c>
      <c r="AD1380">
        <v>43.67</v>
      </c>
      <c r="AE1380">
        <f t="shared" si="42"/>
        <v>255.57999999999998</v>
      </c>
      <c r="AF1380" t="str">
        <f t="shared" si="43"/>
        <v>2025-06</v>
      </c>
      <c r="AG1380">
        <f>SUBTOTAL(103,A1380)</f>
        <v>1</v>
      </c>
    </row>
    <row r="1381" spans="1:33" x14ac:dyDescent="0.3">
      <c r="A1381" t="s">
        <v>3996</v>
      </c>
      <c r="B1381" s="13">
        <v>45833</v>
      </c>
      <c r="C1381">
        <v>2025</v>
      </c>
      <c r="D1381">
        <v>6</v>
      </c>
      <c r="E1381" t="s">
        <v>3813</v>
      </c>
      <c r="F1381" t="s">
        <v>3329</v>
      </c>
      <c r="G1381" t="s">
        <v>1347</v>
      </c>
      <c r="H1381" t="s">
        <v>1348</v>
      </c>
      <c r="I1381" t="s">
        <v>85</v>
      </c>
      <c r="J1381">
        <v>39</v>
      </c>
      <c r="K1381" t="s">
        <v>82</v>
      </c>
      <c r="L1381" t="s">
        <v>2616</v>
      </c>
      <c r="M1381" t="s">
        <v>62</v>
      </c>
      <c r="N1381" t="s">
        <v>2577</v>
      </c>
      <c r="O1381" t="s">
        <v>129</v>
      </c>
      <c r="P1381" t="s">
        <v>49</v>
      </c>
      <c r="Q1381" t="s">
        <v>149</v>
      </c>
      <c r="R1381">
        <v>1</v>
      </c>
      <c r="S1381">
        <v>1299</v>
      </c>
      <c r="T1381">
        <v>0.05</v>
      </c>
      <c r="U1381">
        <v>1234.05</v>
      </c>
      <c r="V1381">
        <v>650</v>
      </c>
      <c r="W1381">
        <v>584.04999999999995</v>
      </c>
      <c r="X1381" t="s">
        <v>73</v>
      </c>
      <c r="Y1381" t="s">
        <v>68</v>
      </c>
      <c r="Z1381" t="s">
        <v>160</v>
      </c>
      <c r="AA1381" t="s">
        <v>168</v>
      </c>
      <c r="AB1381">
        <v>3.9</v>
      </c>
      <c r="AC1381">
        <v>40</v>
      </c>
      <c r="AD1381">
        <v>77.040000000000006</v>
      </c>
      <c r="AE1381">
        <f t="shared" si="42"/>
        <v>467.00999999999993</v>
      </c>
      <c r="AF1381" t="str">
        <f t="shared" si="43"/>
        <v>2025-06</v>
      </c>
      <c r="AG1381">
        <f>SUBTOTAL(103,A1381)</f>
        <v>1</v>
      </c>
    </row>
    <row r="1382" spans="1:33" x14ac:dyDescent="0.3">
      <c r="A1382" t="s">
        <v>3997</v>
      </c>
      <c r="B1382" s="13">
        <v>45833</v>
      </c>
      <c r="C1382">
        <v>2025</v>
      </c>
      <c r="D1382">
        <v>6</v>
      </c>
      <c r="E1382" t="s">
        <v>3813</v>
      </c>
      <c r="F1382" t="s">
        <v>3329</v>
      </c>
      <c r="G1382" t="s">
        <v>2191</v>
      </c>
      <c r="H1382" t="s">
        <v>2192</v>
      </c>
      <c r="I1382" t="s">
        <v>86</v>
      </c>
      <c r="J1382">
        <v>21</v>
      </c>
      <c r="K1382" t="s">
        <v>80</v>
      </c>
      <c r="L1382" t="s">
        <v>96</v>
      </c>
      <c r="M1382" t="s">
        <v>55</v>
      </c>
      <c r="N1382" t="s">
        <v>2626</v>
      </c>
      <c r="O1382" t="s">
        <v>125</v>
      </c>
      <c r="P1382" t="s">
        <v>48</v>
      </c>
      <c r="Q1382" t="s">
        <v>141</v>
      </c>
      <c r="R1382">
        <v>1</v>
      </c>
      <c r="S1382">
        <v>1999</v>
      </c>
      <c r="T1382">
        <v>0.05</v>
      </c>
      <c r="U1382">
        <v>0</v>
      </c>
      <c r="V1382">
        <v>0</v>
      </c>
      <c r="W1382">
        <v>0</v>
      </c>
      <c r="X1382" t="s">
        <v>75</v>
      </c>
      <c r="Y1382" t="s">
        <v>71</v>
      </c>
      <c r="Z1382" t="s">
        <v>159</v>
      </c>
      <c r="AA1382" t="s">
        <v>166</v>
      </c>
      <c r="AB1382">
        <v>4.3</v>
      </c>
      <c r="AC1382">
        <v>80</v>
      </c>
      <c r="AD1382">
        <v>181.56</v>
      </c>
      <c r="AE1382">
        <f t="shared" si="42"/>
        <v>-261.56</v>
      </c>
      <c r="AF1382" t="str">
        <f t="shared" si="43"/>
        <v>2025-06</v>
      </c>
      <c r="AG1382">
        <f>SUBTOTAL(103,A1382)</f>
        <v>1</v>
      </c>
    </row>
    <row r="1383" spans="1:33" x14ac:dyDescent="0.3">
      <c r="A1383" t="s">
        <v>3998</v>
      </c>
      <c r="B1383" s="13">
        <v>45833</v>
      </c>
      <c r="C1383">
        <v>2025</v>
      </c>
      <c r="D1383">
        <v>6</v>
      </c>
      <c r="E1383" t="s">
        <v>3813</v>
      </c>
      <c r="F1383" t="s">
        <v>3329</v>
      </c>
      <c r="G1383" t="s">
        <v>1851</v>
      </c>
      <c r="H1383" t="s">
        <v>1852</v>
      </c>
      <c r="I1383" t="s">
        <v>86</v>
      </c>
      <c r="J1383">
        <v>29</v>
      </c>
      <c r="K1383" t="s">
        <v>81</v>
      </c>
      <c r="L1383" t="s">
        <v>95</v>
      </c>
      <c r="M1383" t="s">
        <v>56</v>
      </c>
      <c r="N1383" t="s">
        <v>2594</v>
      </c>
      <c r="O1383" t="s">
        <v>131</v>
      </c>
      <c r="P1383" t="s">
        <v>53</v>
      </c>
      <c r="Q1383" t="s">
        <v>143</v>
      </c>
      <c r="R1383">
        <v>1</v>
      </c>
      <c r="S1383">
        <v>999</v>
      </c>
      <c r="T1383">
        <v>0.15</v>
      </c>
      <c r="U1383">
        <v>849.15</v>
      </c>
      <c r="V1383">
        <v>520</v>
      </c>
      <c r="W1383">
        <v>329.15</v>
      </c>
      <c r="X1383" t="s">
        <v>73</v>
      </c>
      <c r="Y1383" t="s">
        <v>70</v>
      </c>
      <c r="Z1383" t="s">
        <v>162</v>
      </c>
      <c r="AA1383" t="s">
        <v>170</v>
      </c>
      <c r="AB1383">
        <v>4.5999999999999996</v>
      </c>
      <c r="AC1383">
        <v>50</v>
      </c>
      <c r="AD1383">
        <v>94.17</v>
      </c>
      <c r="AE1383">
        <f t="shared" si="42"/>
        <v>184.97999999999996</v>
      </c>
      <c r="AF1383" t="str">
        <f t="shared" si="43"/>
        <v>2025-06</v>
      </c>
      <c r="AG1383">
        <f>SUBTOTAL(103,A1383)</f>
        <v>1</v>
      </c>
    </row>
    <row r="1384" spans="1:33" x14ac:dyDescent="0.3">
      <c r="A1384" t="s">
        <v>3999</v>
      </c>
      <c r="B1384" s="13">
        <v>45833</v>
      </c>
      <c r="C1384">
        <v>2025</v>
      </c>
      <c r="D1384">
        <v>6</v>
      </c>
      <c r="E1384" t="s">
        <v>3813</v>
      </c>
      <c r="F1384" t="s">
        <v>3329</v>
      </c>
      <c r="G1384" t="s">
        <v>1497</v>
      </c>
      <c r="H1384" t="s">
        <v>1498</v>
      </c>
      <c r="I1384" t="s">
        <v>85</v>
      </c>
      <c r="J1384">
        <v>57</v>
      </c>
      <c r="K1384" t="s">
        <v>83</v>
      </c>
      <c r="L1384" t="s">
        <v>95</v>
      </c>
      <c r="M1384" t="s">
        <v>56</v>
      </c>
      <c r="N1384" t="s">
        <v>2580</v>
      </c>
      <c r="O1384" t="s">
        <v>118</v>
      </c>
      <c r="P1384" t="s">
        <v>48</v>
      </c>
      <c r="Q1384" t="s">
        <v>142</v>
      </c>
      <c r="R1384">
        <v>3</v>
      </c>
      <c r="S1384">
        <v>3999</v>
      </c>
      <c r="T1384">
        <v>0.2</v>
      </c>
      <c r="U1384">
        <v>9597.6</v>
      </c>
      <c r="V1384">
        <v>7200</v>
      </c>
      <c r="W1384">
        <v>2397.6</v>
      </c>
      <c r="X1384" t="s">
        <v>75</v>
      </c>
      <c r="Y1384" t="s">
        <v>68</v>
      </c>
      <c r="Z1384" t="s">
        <v>158</v>
      </c>
      <c r="AA1384" t="s">
        <v>168</v>
      </c>
      <c r="AB1384">
        <v>5</v>
      </c>
      <c r="AC1384">
        <v>80</v>
      </c>
      <c r="AD1384">
        <v>582.88</v>
      </c>
      <c r="AE1384">
        <f t="shared" si="42"/>
        <v>1734.7199999999998</v>
      </c>
      <c r="AF1384" t="str">
        <f t="shared" si="43"/>
        <v>2025-06</v>
      </c>
      <c r="AG1384">
        <f>SUBTOTAL(103,A1384)</f>
        <v>1</v>
      </c>
    </row>
    <row r="1385" spans="1:33" x14ac:dyDescent="0.3">
      <c r="A1385" t="s">
        <v>4000</v>
      </c>
      <c r="B1385" s="13">
        <v>45833</v>
      </c>
      <c r="C1385">
        <v>2025</v>
      </c>
      <c r="D1385">
        <v>6</v>
      </c>
      <c r="E1385" t="s">
        <v>3813</v>
      </c>
      <c r="F1385" t="s">
        <v>3329</v>
      </c>
      <c r="G1385" t="s">
        <v>777</v>
      </c>
      <c r="H1385" t="s">
        <v>778</v>
      </c>
      <c r="I1385" t="s">
        <v>85</v>
      </c>
      <c r="J1385">
        <v>49</v>
      </c>
      <c r="K1385" t="s">
        <v>83</v>
      </c>
      <c r="L1385" t="s">
        <v>2687</v>
      </c>
      <c r="M1385" t="s">
        <v>57</v>
      </c>
      <c r="N1385" t="s">
        <v>2587</v>
      </c>
      <c r="O1385" t="s">
        <v>116</v>
      </c>
      <c r="P1385" t="s">
        <v>48</v>
      </c>
      <c r="Q1385" t="s">
        <v>138</v>
      </c>
      <c r="R1385">
        <v>1</v>
      </c>
      <c r="S1385">
        <v>14999</v>
      </c>
      <c r="T1385">
        <v>0.05</v>
      </c>
      <c r="U1385">
        <v>14249.05</v>
      </c>
      <c r="V1385">
        <v>11200</v>
      </c>
      <c r="W1385">
        <v>3049.05</v>
      </c>
      <c r="X1385" t="s">
        <v>75</v>
      </c>
      <c r="Y1385" t="s">
        <v>68</v>
      </c>
      <c r="Z1385" t="s">
        <v>160</v>
      </c>
      <c r="AA1385" t="s">
        <v>167</v>
      </c>
      <c r="AB1385">
        <v>3</v>
      </c>
      <c r="AC1385">
        <v>40</v>
      </c>
      <c r="AD1385">
        <v>1508.05</v>
      </c>
      <c r="AE1385">
        <f t="shared" si="42"/>
        <v>1501.0000000000002</v>
      </c>
      <c r="AF1385" t="str">
        <f t="shared" si="43"/>
        <v>2025-06</v>
      </c>
      <c r="AG1385">
        <f>SUBTOTAL(103,A1385)</f>
        <v>1</v>
      </c>
    </row>
    <row r="1386" spans="1:33" x14ac:dyDescent="0.3">
      <c r="A1386" t="s">
        <v>4001</v>
      </c>
      <c r="B1386" s="13">
        <v>45833</v>
      </c>
      <c r="C1386">
        <v>2025</v>
      </c>
      <c r="D1386">
        <v>6</v>
      </c>
      <c r="E1386" t="s">
        <v>3813</v>
      </c>
      <c r="F1386" t="s">
        <v>3329</v>
      </c>
      <c r="G1386" t="s">
        <v>201</v>
      </c>
      <c r="H1386" t="s">
        <v>202</v>
      </c>
      <c r="I1386" t="s">
        <v>86</v>
      </c>
      <c r="J1386">
        <v>47</v>
      </c>
      <c r="K1386" t="s">
        <v>83</v>
      </c>
      <c r="L1386" t="s">
        <v>100</v>
      </c>
      <c r="M1386" t="s">
        <v>56</v>
      </c>
      <c r="N1386" t="s">
        <v>2587</v>
      </c>
      <c r="O1386" t="s">
        <v>116</v>
      </c>
      <c r="P1386" t="s">
        <v>48</v>
      </c>
      <c r="Q1386" t="s">
        <v>138</v>
      </c>
      <c r="R1386">
        <v>3</v>
      </c>
      <c r="S1386">
        <v>14999</v>
      </c>
      <c r="T1386">
        <v>0.1</v>
      </c>
      <c r="U1386">
        <v>40497.300000000003</v>
      </c>
      <c r="V1386">
        <v>33600</v>
      </c>
      <c r="W1386">
        <v>6897.3</v>
      </c>
      <c r="X1386" t="s">
        <v>73</v>
      </c>
      <c r="Y1386" t="s">
        <v>68</v>
      </c>
      <c r="Z1386" t="s">
        <v>160</v>
      </c>
      <c r="AA1386" t="s">
        <v>168</v>
      </c>
      <c r="AB1386">
        <v>5</v>
      </c>
      <c r="AC1386">
        <v>60</v>
      </c>
      <c r="AD1386">
        <v>4834.05</v>
      </c>
      <c r="AE1386">
        <f t="shared" si="42"/>
        <v>2003.25</v>
      </c>
      <c r="AF1386" t="str">
        <f t="shared" si="43"/>
        <v>2025-06</v>
      </c>
      <c r="AG1386">
        <f>SUBTOTAL(103,A1386)</f>
        <v>1</v>
      </c>
    </row>
    <row r="1387" spans="1:33" x14ac:dyDescent="0.3">
      <c r="A1387" t="s">
        <v>4002</v>
      </c>
      <c r="B1387" s="13">
        <v>45833</v>
      </c>
      <c r="C1387">
        <v>2025</v>
      </c>
      <c r="D1387">
        <v>6</v>
      </c>
      <c r="E1387" t="s">
        <v>3813</v>
      </c>
      <c r="F1387" t="s">
        <v>3329</v>
      </c>
      <c r="G1387" t="s">
        <v>429</v>
      </c>
      <c r="H1387" t="s">
        <v>430</v>
      </c>
      <c r="I1387" t="s">
        <v>86</v>
      </c>
      <c r="J1387">
        <v>50</v>
      </c>
      <c r="K1387" t="s">
        <v>83</v>
      </c>
      <c r="L1387" t="s">
        <v>93</v>
      </c>
      <c r="M1387" t="s">
        <v>55</v>
      </c>
      <c r="N1387" t="s">
        <v>2582</v>
      </c>
      <c r="O1387" t="s">
        <v>119</v>
      </c>
      <c r="P1387" t="s">
        <v>49</v>
      </c>
      <c r="Q1387" t="s">
        <v>140</v>
      </c>
      <c r="R1387">
        <v>5</v>
      </c>
      <c r="S1387">
        <v>3499</v>
      </c>
      <c r="T1387">
        <v>0.15</v>
      </c>
      <c r="U1387">
        <v>14870.75</v>
      </c>
      <c r="V1387">
        <v>10500</v>
      </c>
      <c r="W1387">
        <v>4370.75</v>
      </c>
      <c r="X1387" t="s">
        <v>73</v>
      </c>
      <c r="Y1387" t="s">
        <v>68</v>
      </c>
      <c r="Z1387" t="s">
        <v>158</v>
      </c>
      <c r="AA1387" t="s">
        <v>170</v>
      </c>
      <c r="AB1387">
        <v>4.2</v>
      </c>
      <c r="AC1387">
        <v>50</v>
      </c>
      <c r="AD1387">
        <v>937.26</v>
      </c>
      <c r="AE1387">
        <f t="shared" si="42"/>
        <v>3383.49</v>
      </c>
      <c r="AF1387" t="str">
        <f t="shared" si="43"/>
        <v>2025-06</v>
      </c>
      <c r="AG1387">
        <f>SUBTOTAL(103,A1387)</f>
        <v>1</v>
      </c>
    </row>
    <row r="1388" spans="1:33" x14ac:dyDescent="0.3">
      <c r="A1388" t="s">
        <v>4003</v>
      </c>
      <c r="B1388" s="13">
        <v>45834</v>
      </c>
      <c r="C1388">
        <v>2025</v>
      </c>
      <c r="D1388">
        <v>6</v>
      </c>
      <c r="E1388" t="s">
        <v>3813</v>
      </c>
      <c r="F1388" t="s">
        <v>3329</v>
      </c>
      <c r="G1388" t="s">
        <v>1027</v>
      </c>
      <c r="H1388" t="s">
        <v>1028</v>
      </c>
      <c r="I1388" t="s">
        <v>85</v>
      </c>
      <c r="J1388">
        <v>45</v>
      </c>
      <c r="K1388" t="s">
        <v>82</v>
      </c>
      <c r="L1388" t="s">
        <v>98</v>
      </c>
      <c r="M1388" t="s">
        <v>55</v>
      </c>
      <c r="N1388" t="s">
        <v>2644</v>
      </c>
      <c r="O1388" t="s">
        <v>126</v>
      </c>
      <c r="P1388" t="s">
        <v>50</v>
      </c>
      <c r="Q1388" t="s">
        <v>145</v>
      </c>
      <c r="R1388">
        <v>1</v>
      </c>
      <c r="S1388">
        <v>1799</v>
      </c>
      <c r="T1388">
        <v>0.05</v>
      </c>
      <c r="U1388">
        <v>1709.05</v>
      </c>
      <c r="V1388">
        <v>950</v>
      </c>
      <c r="W1388">
        <v>759.05</v>
      </c>
      <c r="X1388" t="s">
        <v>75</v>
      </c>
      <c r="Y1388" t="s">
        <v>68</v>
      </c>
      <c r="Z1388" t="s">
        <v>162</v>
      </c>
      <c r="AA1388" t="s">
        <v>167</v>
      </c>
      <c r="AB1388">
        <v>3</v>
      </c>
      <c r="AC1388">
        <v>50</v>
      </c>
      <c r="AD1388">
        <v>52.98</v>
      </c>
      <c r="AE1388">
        <f t="shared" si="42"/>
        <v>656.06999999999994</v>
      </c>
      <c r="AF1388" t="str">
        <f t="shared" si="43"/>
        <v>2025-06</v>
      </c>
      <c r="AG1388">
        <f>SUBTOTAL(103,A1388)</f>
        <v>1</v>
      </c>
    </row>
    <row r="1389" spans="1:33" x14ac:dyDescent="0.3">
      <c r="A1389" t="s">
        <v>4004</v>
      </c>
      <c r="B1389" s="13">
        <v>45834</v>
      </c>
      <c r="C1389">
        <v>2025</v>
      </c>
      <c r="D1389">
        <v>6</v>
      </c>
      <c r="E1389" t="s">
        <v>3813</v>
      </c>
      <c r="F1389" t="s">
        <v>3329</v>
      </c>
      <c r="G1389" t="s">
        <v>2309</v>
      </c>
      <c r="H1389" t="s">
        <v>2310</v>
      </c>
      <c r="I1389" t="s">
        <v>85</v>
      </c>
      <c r="J1389">
        <v>42</v>
      </c>
      <c r="K1389" t="s">
        <v>82</v>
      </c>
      <c r="L1389" t="s">
        <v>2589</v>
      </c>
      <c r="M1389" t="s">
        <v>61</v>
      </c>
      <c r="N1389" t="s">
        <v>2574</v>
      </c>
      <c r="O1389" t="s">
        <v>130</v>
      </c>
      <c r="P1389" t="s">
        <v>50</v>
      </c>
      <c r="Q1389" t="s">
        <v>53</v>
      </c>
      <c r="R1389">
        <v>5</v>
      </c>
      <c r="S1389">
        <v>1199</v>
      </c>
      <c r="T1389">
        <v>0.2</v>
      </c>
      <c r="U1389">
        <v>4796</v>
      </c>
      <c r="V1389">
        <v>2750</v>
      </c>
      <c r="W1389">
        <v>2046</v>
      </c>
      <c r="X1389" t="s">
        <v>75</v>
      </c>
      <c r="Y1389" t="s">
        <v>68</v>
      </c>
      <c r="Z1389" t="s">
        <v>158</v>
      </c>
      <c r="AA1389" t="s">
        <v>169</v>
      </c>
      <c r="AB1389">
        <v>5</v>
      </c>
      <c r="AC1389">
        <v>60</v>
      </c>
      <c r="AD1389">
        <v>565.09</v>
      </c>
      <c r="AE1389">
        <f t="shared" si="42"/>
        <v>1420.9099999999999</v>
      </c>
      <c r="AF1389" t="str">
        <f t="shared" si="43"/>
        <v>2025-06</v>
      </c>
      <c r="AG1389">
        <f>SUBTOTAL(103,A1389)</f>
        <v>1</v>
      </c>
    </row>
    <row r="1390" spans="1:33" x14ac:dyDescent="0.3">
      <c r="A1390" t="s">
        <v>4005</v>
      </c>
      <c r="B1390" s="13">
        <v>45834</v>
      </c>
      <c r="C1390">
        <v>2025</v>
      </c>
      <c r="D1390">
        <v>6</v>
      </c>
      <c r="E1390" t="s">
        <v>3813</v>
      </c>
      <c r="F1390" t="s">
        <v>3329</v>
      </c>
      <c r="G1390" t="s">
        <v>1377</v>
      </c>
      <c r="H1390" t="s">
        <v>1378</v>
      </c>
      <c r="I1390" t="s">
        <v>86</v>
      </c>
      <c r="J1390">
        <v>32</v>
      </c>
      <c r="K1390" t="s">
        <v>81</v>
      </c>
      <c r="L1390" t="s">
        <v>2646</v>
      </c>
      <c r="M1390" t="s">
        <v>63</v>
      </c>
      <c r="N1390" t="s">
        <v>2630</v>
      </c>
      <c r="O1390" t="s">
        <v>123</v>
      </c>
      <c r="P1390" t="s">
        <v>52</v>
      </c>
      <c r="Q1390" t="s">
        <v>146</v>
      </c>
      <c r="R1390">
        <v>1</v>
      </c>
      <c r="S1390">
        <v>2499</v>
      </c>
      <c r="T1390">
        <v>0.15</v>
      </c>
      <c r="U1390">
        <v>2124.15</v>
      </c>
      <c r="V1390">
        <v>1400</v>
      </c>
      <c r="W1390">
        <v>724.15</v>
      </c>
      <c r="X1390" t="s">
        <v>75</v>
      </c>
      <c r="Y1390" t="s">
        <v>68</v>
      </c>
      <c r="Z1390" t="s">
        <v>162</v>
      </c>
      <c r="AA1390" t="s">
        <v>166</v>
      </c>
      <c r="AB1390">
        <v>4</v>
      </c>
      <c r="AC1390">
        <v>100</v>
      </c>
      <c r="AD1390">
        <v>207.58</v>
      </c>
      <c r="AE1390">
        <f t="shared" si="42"/>
        <v>416.56999999999994</v>
      </c>
      <c r="AF1390" t="str">
        <f t="shared" si="43"/>
        <v>2025-06</v>
      </c>
      <c r="AG1390">
        <f>SUBTOTAL(103,A1390)</f>
        <v>1</v>
      </c>
    </row>
    <row r="1391" spans="1:33" x14ac:dyDescent="0.3">
      <c r="A1391" t="s">
        <v>4006</v>
      </c>
      <c r="B1391" s="13">
        <v>45834</v>
      </c>
      <c r="C1391">
        <v>2025</v>
      </c>
      <c r="D1391">
        <v>6</v>
      </c>
      <c r="E1391" t="s">
        <v>3813</v>
      </c>
      <c r="F1391" t="s">
        <v>3329</v>
      </c>
      <c r="G1391" t="s">
        <v>2239</v>
      </c>
      <c r="H1391" t="s">
        <v>2240</v>
      </c>
      <c r="I1391" t="s">
        <v>85</v>
      </c>
      <c r="J1391">
        <v>54</v>
      </c>
      <c r="K1391" t="s">
        <v>83</v>
      </c>
      <c r="L1391" t="s">
        <v>2579</v>
      </c>
      <c r="M1391" t="s">
        <v>56</v>
      </c>
      <c r="N1391" t="s">
        <v>2577</v>
      </c>
      <c r="O1391" t="s">
        <v>129</v>
      </c>
      <c r="P1391" t="s">
        <v>49</v>
      </c>
      <c r="Q1391" t="s">
        <v>149</v>
      </c>
      <c r="R1391">
        <v>4</v>
      </c>
      <c r="S1391">
        <v>1299</v>
      </c>
      <c r="T1391">
        <v>0.15</v>
      </c>
      <c r="U1391">
        <v>4416.6000000000004</v>
      </c>
      <c r="V1391">
        <v>2600</v>
      </c>
      <c r="W1391">
        <v>1816.6</v>
      </c>
      <c r="X1391" t="s">
        <v>74</v>
      </c>
      <c r="Y1391" t="s">
        <v>68</v>
      </c>
      <c r="Z1391" t="s">
        <v>163</v>
      </c>
      <c r="AA1391" t="s">
        <v>169</v>
      </c>
      <c r="AB1391">
        <v>3.5</v>
      </c>
      <c r="AC1391">
        <v>60</v>
      </c>
      <c r="AD1391">
        <v>335.89</v>
      </c>
      <c r="AE1391">
        <f t="shared" si="42"/>
        <v>1420.71</v>
      </c>
      <c r="AF1391" t="str">
        <f t="shared" si="43"/>
        <v>2025-06</v>
      </c>
      <c r="AG1391">
        <f>SUBTOTAL(103,A1391)</f>
        <v>1</v>
      </c>
    </row>
    <row r="1392" spans="1:33" x14ac:dyDescent="0.3">
      <c r="A1392" t="s">
        <v>4007</v>
      </c>
      <c r="B1392" s="13">
        <v>45834</v>
      </c>
      <c r="C1392">
        <v>2025</v>
      </c>
      <c r="D1392">
        <v>6</v>
      </c>
      <c r="E1392" t="s">
        <v>3813</v>
      </c>
      <c r="F1392" t="s">
        <v>3329</v>
      </c>
      <c r="G1392" t="s">
        <v>315</v>
      </c>
      <c r="H1392" t="s">
        <v>316</v>
      </c>
      <c r="I1392" t="s">
        <v>85</v>
      </c>
      <c r="J1392">
        <v>35</v>
      </c>
      <c r="K1392" t="s">
        <v>81</v>
      </c>
      <c r="L1392" t="s">
        <v>95</v>
      </c>
      <c r="M1392" t="s">
        <v>56</v>
      </c>
      <c r="N1392" t="s">
        <v>2601</v>
      </c>
      <c r="O1392" t="s">
        <v>117</v>
      </c>
      <c r="P1392" t="s">
        <v>49</v>
      </c>
      <c r="Q1392" t="s">
        <v>139</v>
      </c>
      <c r="R1392">
        <v>2</v>
      </c>
      <c r="S1392">
        <v>6999</v>
      </c>
      <c r="T1392">
        <v>0.15</v>
      </c>
      <c r="U1392">
        <v>11898.3</v>
      </c>
      <c r="V1392">
        <v>8600</v>
      </c>
      <c r="W1392">
        <v>3298.3</v>
      </c>
      <c r="X1392" t="s">
        <v>73</v>
      </c>
      <c r="Y1392" t="s">
        <v>68</v>
      </c>
      <c r="Z1392" t="s">
        <v>158</v>
      </c>
      <c r="AA1392" t="s">
        <v>166</v>
      </c>
      <c r="AB1392">
        <v>3.9</v>
      </c>
      <c r="AC1392">
        <v>80</v>
      </c>
      <c r="AD1392">
        <v>659.45</v>
      </c>
      <c r="AE1392">
        <f t="shared" si="42"/>
        <v>2558.8500000000004</v>
      </c>
      <c r="AF1392" t="str">
        <f t="shared" si="43"/>
        <v>2025-06</v>
      </c>
      <c r="AG1392">
        <f>SUBTOTAL(103,A1392)</f>
        <v>1</v>
      </c>
    </row>
    <row r="1393" spans="1:33" x14ac:dyDescent="0.3">
      <c r="A1393" t="s">
        <v>4008</v>
      </c>
      <c r="B1393" s="13">
        <v>45834</v>
      </c>
      <c r="C1393">
        <v>2025</v>
      </c>
      <c r="D1393">
        <v>6</v>
      </c>
      <c r="E1393" t="s">
        <v>3813</v>
      </c>
      <c r="F1393" t="s">
        <v>3329</v>
      </c>
      <c r="G1393" t="s">
        <v>1577</v>
      </c>
      <c r="H1393" t="s">
        <v>1578</v>
      </c>
      <c r="I1393" t="s">
        <v>86</v>
      </c>
      <c r="J1393">
        <v>33</v>
      </c>
      <c r="K1393" t="s">
        <v>81</v>
      </c>
      <c r="L1393" t="s">
        <v>93</v>
      </c>
      <c r="M1393" t="s">
        <v>55</v>
      </c>
      <c r="N1393" t="s">
        <v>2596</v>
      </c>
      <c r="O1393" t="s">
        <v>124</v>
      </c>
      <c r="P1393" t="s">
        <v>51</v>
      </c>
      <c r="Q1393" t="s">
        <v>147</v>
      </c>
      <c r="R1393">
        <v>5</v>
      </c>
      <c r="S1393">
        <v>2299</v>
      </c>
      <c r="T1393">
        <v>0.05</v>
      </c>
      <c r="U1393">
        <v>10920.25</v>
      </c>
      <c r="V1393">
        <v>6000</v>
      </c>
      <c r="W1393">
        <v>4920.25</v>
      </c>
      <c r="X1393" t="s">
        <v>75</v>
      </c>
      <c r="Y1393" t="s">
        <v>68</v>
      </c>
      <c r="Z1393" t="s">
        <v>163</v>
      </c>
      <c r="AA1393" t="s">
        <v>166</v>
      </c>
      <c r="AB1393">
        <v>4.2</v>
      </c>
      <c r="AC1393">
        <v>50</v>
      </c>
      <c r="AD1393">
        <v>276.85000000000002</v>
      </c>
      <c r="AE1393">
        <f t="shared" si="42"/>
        <v>4593.3999999999996</v>
      </c>
      <c r="AF1393" t="str">
        <f t="shared" si="43"/>
        <v>2025-06</v>
      </c>
      <c r="AG1393">
        <f>SUBTOTAL(103,A1393)</f>
        <v>1</v>
      </c>
    </row>
    <row r="1394" spans="1:33" x14ac:dyDescent="0.3">
      <c r="A1394" t="s">
        <v>4009</v>
      </c>
      <c r="B1394" s="13">
        <v>45834</v>
      </c>
      <c r="C1394">
        <v>2025</v>
      </c>
      <c r="D1394">
        <v>6</v>
      </c>
      <c r="E1394" t="s">
        <v>3813</v>
      </c>
      <c r="F1394" t="s">
        <v>3329</v>
      </c>
      <c r="G1394" t="s">
        <v>2287</v>
      </c>
      <c r="H1394" t="s">
        <v>2288</v>
      </c>
      <c r="I1394" t="s">
        <v>85</v>
      </c>
      <c r="J1394">
        <v>45</v>
      </c>
      <c r="K1394" t="s">
        <v>82</v>
      </c>
      <c r="L1394" t="s">
        <v>2637</v>
      </c>
      <c r="M1394" t="s">
        <v>64</v>
      </c>
      <c r="N1394" t="s">
        <v>2644</v>
      </c>
      <c r="O1394" t="s">
        <v>126</v>
      </c>
      <c r="P1394" t="s">
        <v>50</v>
      </c>
      <c r="Q1394" t="s">
        <v>145</v>
      </c>
      <c r="R1394">
        <v>1</v>
      </c>
      <c r="S1394">
        <v>1799</v>
      </c>
      <c r="T1394">
        <v>0.1</v>
      </c>
      <c r="U1394">
        <v>1619.1</v>
      </c>
      <c r="V1394">
        <v>950</v>
      </c>
      <c r="W1394">
        <v>669.1</v>
      </c>
      <c r="X1394" t="s">
        <v>75</v>
      </c>
      <c r="Y1394" t="s">
        <v>68</v>
      </c>
      <c r="Z1394" t="s">
        <v>158</v>
      </c>
      <c r="AA1394" t="s">
        <v>167</v>
      </c>
      <c r="AB1394">
        <v>4.3</v>
      </c>
      <c r="AC1394">
        <v>60</v>
      </c>
      <c r="AD1394">
        <v>170.62</v>
      </c>
      <c r="AE1394">
        <f t="shared" si="42"/>
        <v>438.48</v>
      </c>
      <c r="AF1394" t="str">
        <f t="shared" si="43"/>
        <v>2025-06</v>
      </c>
      <c r="AG1394">
        <f>SUBTOTAL(103,A1394)</f>
        <v>1</v>
      </c>
    </row>
    <row r="1395" spans="1:33" x14ac:dyDescent="0.3">
      <c r="A1395" t="s">
        <v>4010</v>
      </c>
      <c r="B1395" s="13">
        <v>45834</v>
      </c>
      <c r="C1395">
        <v>2025</v>
      </c>
      <c r="D1395">
        <v>6</v>
      </c>
      <c r="E1395" t="s">
        <v>3813</v>
      </c>
      <c r="F1395" t="s">
        <v>3329</v>
      </c>
      <c r="G1395" t="s">
        <v>1121</v>
      </c>
      <c r="H1395" t="s">
        <v>1122</v>
      </c>
      <c r="I1395" t="s">
        <v>85</v>
      </c>
      <c r="J1395">
        <v>38</v>
      </c>
      <c r="K1395" t="s">
        <v>82</v>
      </c>
      <c r="L1395" t="s">
        <v>100</v>
      </c>
      <c r="M1395" t="s">
        <v>56</v>
      </c>
      <c r="N1395" t="s">
        <v>2606</v>
      </c>
      <c r="O1395" t="s">
        <v>120</v>
      </c>
      <c r="P1395" t="s">
        <v>49</v>
      </c>
      <c r="Q1395" t="s">
        <v>140</v>
      </c>
      <c r="R1395">
        <v>3</v>
      </c>
      <c r="S1395">
        <v>2799</v>
      </c>
      <c r="T1395">
        <v>0.05</v>
      </c>
      <c r="U1395">
        <v>7977.15</v>
      </c>
      <c r="V1395">
        <v>4950</v>
      </c>
      <c r="W1395">
        <v>3027.15</v>
      </c>
      <c r="X1395" t="s">
        <v>74</v>
      </c>
      <c r="Y1395" t="s">
        <v>68</v>
      </c>
      <c r="Z1395" t="s">
        <v>161</v>
      </c>
      <c r="AA1395" t="s">
        <v>166</v>
      </c>
      <c r="AB1395">
        <v>4</v>
      </c>
      <c r="AC1395">
        <v>60</v>
      </c>
      <c r="AD1395">
        <v>635.11</v>
      </c>
      <c r="AE1395">
        <f t="shared" si="42"/>
        <v>2332.04</v>
      </c>
      <c r="AF1395" t="str">
        <f t="shared" si="43"/>
        <v>2025-06</v>
      </c>
      <c r="AG1395">
        <f>SUBTOTAL(103,A1395)</f>
        <v>1</v>
      </c>
    </row>
    <row r="1396" spans="1:33" x14ac:dyDescent="0.3">
      <c r="A1396" t="s">
        <v>4011</v>
      </c>
      <c r="B1396" s="13">
        <v>45835</v>
      </c>
      <c r="C1396">
        <v>2025</v>
      </c>
      <c r="D1396">
        <v>6</v>
      </c>
      <c r="E1396" t="s">
        <v>3813</v>
      </c>
      <c r="F1396" t="s">
        <v>3329</v>
      </c>
      <c r="G1396" t="s">
        <v>1475</v>
      </c>
      <c r="H1396" t="s">
        <v>1476</v>
      </c>
      <c r="I1396" t="s">
        <v>86</v>
      </c>
      <c r="J1396">
        <v>57</v>
      </c>
      <c r="K1396" t="s">
        <v>83</v>
      </c>
      <c r="L1396" t="s">
        <v>95</v>
      </c>
      <c r="M1396" t="s">
        <v>56</v>
      </c>
      <c r="N1396" t="s">
        <v>2606</v>
      </c>
      <c r="O1396" t="s">
        <v>120</v>
      </c>
      <c r="P1396" t="s">
        <v>49</v>
      </c>
      <c r="Q1396" t="s">
        <v>140</v>
      </c>
      <c r="R1396">
        <v>1</v>
      </c>
      <c r="S1396">
        <v>2799</v>
      </c>
      <c r="T1396">
        <v>0</v>
      </c>
      <c r="U1396">
        <v>2799</v>
      </c>
      <c r="V1396">
        <v>1650</v>
      </c>
      <c r="W1396">
        <v>1149</v>
      </c>
      <c r="X1396" t="s">
        <v>76</v>
      </c>
      <c r="Y1396" t="s">
        <v>70</v>
      </c>
      <c r="Z1396" t="s">
        <v>159</v>
      </c>
      <c r="AA1396" t="s">
        <v>169</v>
      </c>
      <c r="AB1396">
        <v>3.9</v>
      </c>
      <c r="AC1396">
        <v>100</v>
      </c>
      <c r="AD1396">
        <v>135.91</v>
      </c>
      <c r="AE1396">
        <f t="shared" si="42"/>
        <v>913.09</v>
      </c>
      <c r="AF1396" t="str">
        <f t="shared" si="43"/>
        <v>2025-06</v>
      </c>
      <c r="AG1396">
        <f>SUBTOTAL(103,A1396)</f>
        <v>1</v>
      </c>
    </row>
    <row r="1397" spans="1:33" x14ac:dyDescent="0.3">
      <c r="A1397" t="s">
        <v>4012</v>
      </c>
      <c r="B1397" s="13">
        <v>45835</v>
      </c>
      <c r="C1397">
        <v>2025</v>
      </c>
      <c r="D1397">
        <v>6</v>
      </c>
      <c r="E1397" t="s">
        <v>3813</v>
      </c>
      <c r="F1397" t="s">
        <v>3329</v>
      </c>
      <c r="G1397" t="s">
        <v>1121</v>
      </c>
      <c r="H1397" t="s">
        <v>1122</v>
      </c>
      <c r="I1397" t="s">
        <v>85</v>
      </c>
      <c r="J1397">
        <v>38</v>
      </c>
      <c r="K1397" t="s">
        <v>82</v>
      </c>
      <c r="L1397" t="s">
        <v>100</v>
      </c>
      <c r="M1397" t="s">
        <v>56</v>
      </c>
      <c r="N1397" t="s">
        <v>2594</v>
      </c>
      <c r="O1397" t="s">
        <v>131</v>
      </c>
      <c r="P1397" t="s">
        <v>53</v>
      </c>
      <c r="Q1397" t="s">
        <v>143</v>
      </c>
      <c r="R1397">
        <v>1</v>
      </c>
      <c r="S1397">
        <v>999</v>
      </c>
      <c r="T1397">
        <v>0.1</v>
      </c>
      <c r="U1397">
        <v>899.1</v>
      </c>
      <c r="V1397">
        <v>520</v>
      </c>
      <c r="W1397">
        <v>379.1</v>
      </c>
      <c r="X1397" t="s">
        <v>73</v>
      </c>
      <c r="Y1397" t="s">
        <v>68</v>
      </c>
      <c r="Z1397" t="s">
        <v>159</v>
      </c>
      <c r="AA1397" t="s">
        <v>168</v>
      </c>
      <c r="AB1397">
        <v>4.5999999999999996</v>
      </c>
      <c r="AC1397">
        <v>80</v>
      </c>
      <c r="AD1397">
        <v>44.51</v>
      </c>
      <c r="AE1397">
        <f t="shared" si="42"/>
        <v>254.59000000000003</v>
      </c>
      <c r="AF1397" t="str">
        <f t="shared" si="43"/>
        <v>2025-06</v>
      </c>
      <c r="AG1397">
        <f>SUBTOTAL(103,A1397)</f>
        <v>1</v>
      </c>
    </row>
    <row r="1398" spans="1:33" x14ac:dyDescent="0.3">
      <c r="A1398" t="s">
        <v>4013</v>
      </c>
      <c r="B1398" s="13">
        <v>45835</v>
      </c>
      <c r="C1398">
        <v>2025</v>
      </c>
      <c r="D1398">
        <v>6</v>
      </c>
      <c r="E1398" t="s">
        <v>3813</v>
      </c>
      <c r="F1398" t="s">
        <v>3329</v>
      </c>
      <c r="G1398" t="s">
        <v>1447</v>
      </c>
      <c r="H1398" t="s">
        <v>1448</v>
      </c>
      <c r="I1398" t="s">
        <v>86</v>
      </c>
      <c r="J1398">
        <v>20</v>
      </c>
      <c r="K1398" t="s">
        <v>80</v>
      </c>
      <c r="L1398" t="s">
        <v>2623</v>
      </c>
      <c r="M1398" t="s">
        <v>61</v>
      </c>
      <c r="N1398" t="s">
        <v>2665</v>
      </c>
      <c r="O1398" t="s">
        <v>128</v>
      </c>
      <c r="P1398" t="s">
        <v>53</v>
      </c>
      <c r="Q1398" t="s">
        <v>143</v>
      </c>
      <c r="R1398">
        <v>5</v>
      </c>
      <c r="S1398">
        <v>1499</v>
      </c>
      <c r="T1398">
        <v>0.1</v>
      </c>
      <c r="U1398">
        <v>6745.5</v>
      </c>
      <c r="V1398">
        <v>4000</v>
      </c>
      <c r="W1398">
        <v>2745.5</v>
      </c>
      <c r="X1398" t="s">
        <v>74</v>
      </c>
      <c r="Y1398" t="s">
        <v>68</v>
      </c>
      <c r="Z1398" t="s">
        <v>162</v>
      </c>
      <c r="AA1398" t="s">
        <v>168</v>
      </c>
      <c r="AB1398">
        <v>4.5</v>
      </c>
      <c r="AC1398">
        <v>100</v>
      </c>
      <c r="AD1398">
        <v>489.99</v>
      </c>
      <c r="AE1398">
        <f t="shared" si="42"/>
        <v>2155.5100000000002</v>
      </c>
      <c r="AF1398" t="str">
        <f t="shared" si="43"/>
        <v>2025-06</v>
      </c>
      <c r="AG1398">
        <f>SUBTOTAL(103,A1398)</f>
        <v>1</v>
      </c>
    </row>
    <row r="1399" spans="1:33" x14ac:dyDescent="0.3">
      <c r="A1399" t="s">
        <v>4014</v>
      </c>
      <c r="B1399" s="13">
        <v>45835</v>
      </c>
      <c r="C1399">
        <v>2025</v>
      </c>
      <c r="D1399">
        <v>6</v>
      </c>
      <c r="E1399" t="s">
        <v>3813</v>
      </c>
      <c r="F1399" t="s">
        <v>3329</v>
      </c>
      <c r="G1399" t="s">
        <v>1325</v>
      </c>
      <c r="H1399" t="s">
        <v>1326</v>
      </c>
      <c r="I1399" t="s">
        <v>86</v>
      </c>
      <c r="J1399">
        <v>47</v>
      </c>
      <c r="K1399" t="s">
        <v>83</v>
      </c>
      <c r="L1399" t="s">
        <v>98</v>
      </c>
      <c r="M1399" t="s">
        <v>55</v>
      </c>
      <c r="N1399" t="s">
        <v>2590</v>
      </c>
      <c r="O1399" t="s">
        <v>127</v>
      </c>
      <c r="P1399" t="s">
        <v>51</v>
      </c>
      <c r="Q1399" t="s">
        <v>148</v>
      </c>
      <c r="R1399">
        <v>3</v>
      </c>
      <c r="S1399">
        <v>1599</v>
      </c>
      <c r="T1399">
        <v>0.05</v>
      </c>
      <c r="U1399">
        <v>4557.1499999999996</v>
      </c>
      <c r="V1399">
        <v>2400</v>
      </c>
      <c r="W1399">
        <v>2157.15</v>
      </c>
      <c r="X1399" t="s">
        <v>73</v>
      </c>
      <c r="Y1399" t="s">
        <v>68</v>
      </c>
      <c r="Z1399" t="s">
        <v>162</v>
      </c>
      <c r="AA1399" t="s">
        <v>169</v>
      </c>
      <c r="AB1399">
        <v>3.5</v>
      </c>
      <c r="AC1399">
        <v>40</v>
      </c>
      <c r="AD1399">
        <v>312.99</v>
      </c>
      <c r="AE1399">
        <f t="shared" si="42"/>
        <v>1804.16</v>
      </c>
      <c r="AF1399" t="str">
        <f t="shared" si="43"/>
        <v>2025-06</v>
      </c>
      <c r="AG1399">
        <f>SUBTOTAL(103,A1399)</f>
        <v>1</v>
      </c>
    </row>
    <row r="1400" spans="1:33" x14ac:dyDescent="0.3">
      <c r="A1400" t="s">
        <v>4015</v>
      </c>
      <c r="B1400" s="13">
        <v>45835</v>
      </c>
      <c r="C1400">
        <v>2025</v>
      </c>
      <c r="D1400">
        <v>6</v>
      </c>
      <c r="E1400" t="s">
        <v>3813</v>
      </c>
      <c r="F1400" t="s">
        <v>3329</v>
      </c>
      <c r="G1400" t="s">
        <v>379</v>
      </c>
      <c r="H1400" t="s">
        <v>380</v>
      </c>
      <c r="I1400" t="s">
        <v>86</v>
      </c>
      <c r="J1400">
        <v>42</v>
      </c>
      <c r="K1400" t="s">
        <v>82</v>
      </c>
      <c r="L1400" t="s">
        <v>91</v>
      </c>
      <c r="M1400" t="s">
        <v>55</v>
      </c>
      <c r="N1400" t="s">
        <v>2647</v>
      </c>
      <c r="O1400" t="s">
        <v>133</v>
      </c>
      <c r="P1400" t="s">
        <v>50</v>
      </c>
      <c r="Q1400" t="s">
        <v>145</v>
      </c>
      <c r="R1400">
        <v>2</v>
      </c>
      <c r="S1400">
        <v>799</v>
      </c>
      <c r="T1400">
        <v>0.05</v>
      </c>
      <c r="U1400">
        <v>1518.1</v>
      </c>
      <c r="V1400">
        <v>780</v>
      </c>
      <c r="W1400">
        <v>738.1</v>
      </c>
      <c r="X1400" t="s">
        <v>75</v>
      </c>
      <c r="Y1400" t="s">
        <v>68</v>
      </c>
      <c r="Z1400" t="s">
        <v>160</v>
      </c>
      <c r="AA1400" t="s">
        <v>166</v>
      </c>
      <c r="AB1400">
        <v>4</v>
      </c>
      <c r="AC1400">
        <v>40</v>
      </c>
      <c r="AD1400">
        <v>39.39</v>
      </c>
      <c r="AE1400">
        <f t="shared" si="42"/>
        <v>658.71</v>
      </c>
      <c r="AF1400" t="str">
        <f t="shared" si="43"/>
        <v>2025-06</v>
      </c>
      <c r="AG1400">
        <f>SUBTOTAL(103,A1400)</f>
        <v>1</v>
      </c>
    </row>
    <row r="1401" spans="1:33" x14ac:dyDescent="0.3">
      <c r="A1401" t="s">
        <v>4016</v>
      </c>
      <c r="B1401" s="13">
        <v>45835</v>
      </c>
      <c r="C1401">
        <v>2025</v>
      </c>
      <c r="D1401">
        <v>6</v>
      </c>
      <c r="E1401" t="s">
        <v>3813</v>
      </c>
      <c r="F1401" t="s">
        <v>3329</v>
      </c>
      <c r="G1401" t="s">
        <v>429</v>
      </c>
      <c r="H1401" t="s">
        <v>430</v>
      </c>
      <c r="I1401" t="s">
        <v>86</v>
      </c>
      <c r="J1401">
        <v>50</v>
      </c>
      <c r="K1401" t="s">
        <v>83</v>
      </c>
      <c r="L1401" t="s">
        <v>93</v>
      </c>
      <c r="M1401" t="s">
        <v>55</v>
      </c>
      <c r="N1401" t="s">
        <v>2582</v>
      </c>
      <c r="O1401" t="s">
        <v>119</v>
      </c>
      <c r="P1401" t="s">
        <v>49</v>
      </c>
      <c r="Q1401" t="s">
        <v>140</v>
      </c>
      <c r="R1401">
        <v>1</v>
      </c>
      <c r="S1401">
        <v>3499</v>
      </c>
      <c r="T1401">
        <v>0.05</v>
      </c>
      <c r="U1401">
        <v>3324.05</v>
      </c>
      <c r="V1401">
        <v>2100</v>
      </c>
      <c r="W1401">
        <v>1224.05</v>
      </c>
      <c r="X1401" t="s">
        <v>74</v>
      </c>
      <c r="Y1401" t="s">
        <v>68</v>
      </c>
      <c r="Z1401" t="s">
        <v>163</v>
      </c>
      <c r="AA1401" t="s">
        <v>170</v>
      </c>
      <c r="AB1401">
        <v>4</v>
      </c>
      <c r="AC1401">
        <v>80</v>
      </c>
      <c r="AD1401">
        <v>337.81</v>
      </c>
      <c r="AE1401">
        <f t="shared" si="42"/>
        <v>806.24</v>
      </c>
      <c r="AF1401" t="str">
        <f t="shared" si="43"/>
        <v>2025-06</v>
      </c>
      <c r="AG1401">
        <f>SUBTOTAL(103,A1401)</f>
        <v>1</v>
      </c>
    </row>
    <row r="1402" spans="1:33" x14ac:dyDescent="0.3">
      <c r="A1402" t="s">
        <v>4017</v>
      </c>
      <c r="B1402" s="13">
        <v>45835</v>
      </c>
      <c r="C1402">
        <v>2025</v>
      </c>
      <c r="D1402">
        <v>6</v>
      </c>
      <c r="E1402" t="s">
        <v>3813</v>
      </c>
      <c r="F1402" t="s">
        <v>3329</v>
      </c>
      <c r="G1402" t="s">
        <v>345</v>
      </c>
      <c r="H1402" t="s">
        <v>346</v>
      </c>
      <c r="I1402" t="s">
        <v>85</v>
      </c>
      <c r="J1402">
        <v>34</v>
      </c>
      <c r="K1402" t="s">
        <v>81</v>
      </c>
      <c r="L1402" t="s">
        <v>96</v>
      </c>
      <c r="M1402" t="s">
        <v>55</v>
      </c>
      <c r="N1402" t="s">
        <v>2582</v>
      </c>
      <c r="O1402" t="s">
        <v>119</v>
      </c>
      <c r="P1402" t="s">
        <v>49</v>
      </c>
      <c r="Q1402" t="s">
        <v>140</v>
      </c>
      <c r="R1402">
        <v>4</v>
      </c>
      <c r="S1402">
        <v>3499</v>
      </c>
      <c r="T1402">
        <v>0.05</v>
      </c>
      <c r="U1402">
        <v>13296.2</v>
      </c>
      <c r="V1402">
        <v>8400</v>
      </c>
      <c r="W1402">
        <v>4896.2</v>
      </c>
      <c r="X1402" t="s">
        <v>76</v>
      </c>
      <c r="Y1402" t="s">
        <v>68</v>
      </c>
      <c r="Z1402" t="s">
        <v>158</v>
      </c>
      <c r="AA1402" t="s">
        <v>166</v>
      </c>
      <c r="AB1402">
        <v>3.8</v>
      </c>
      <c r="AC1402">
        <v>60</v>
      </c>
      <c r="AD1402">
        <v>1579.05</v>
      </c>
      <c r="AE1402">
        <f t="shared" si="42"/>
        <v>3257.1499999999996</v>
      </c>
      <c r="AF1402" t="str">
        <f t="shared" si="43"/>
        <v>2025-06</v>
      </c>
      <c r="AG1402">
        <f>SUBTOTAL(103,A1402)</f>
        <v>1</v>
      </c>
    </row>
    <row r="1403" spans="1:33" x14ac:dyDescent="0.3">
      <c r="A1403" t="s">
        <v>4018</v>
      </c>
      <c r="B1403" s="13">
        <v>45835</v>
      </c>
      <c r="C1403">
        <v>2025</v>
      </c>
      <c r="D1403">
        <v>6</v>
      </c>
      <c r="E1403" t="s">
        <v>3813</v>
      </c>
      <c r="F1403" t="s">
        <v>3329</v>
      </c>
      <c r="G1403" t="s">
        <v>1695</v>
      </c>
      <c r="H1403" t="s">
        <v>1696</v>
      </c>
      <c r="I1403" t="s">
        <v>86</v>
      </c>
      <c r="J1403">
        <v>52</v>
      </c>
      <c r="K1403" t="s">
        <v>83</v>
      </c>
      <c r="L1403" t="s">
        <v>2599</v>
      </c>
      <c r="M1403" t="s">
        <v>62</v>
      </c>
      <c r="N1403" t="s">
        <v>2584</v>
      </c>
      <c r="O1403" t="s">
        <v>121</v>
      </c>
      <c r="P1403" t="s">
        <v>50</v>
      </c>
      <c r="Q1403" t="s">
        <v>144</v>
      </c>
      <c r="R1403">
        <v>1</v>
      </c>
      <c r="S1403">
        <v>2999</v>
      </c>
      <c r="T1403">
        <v>0.25</v>
      </c>
      <c r="U1403">
        <v>2249.25</v>
      </c>
      <c r="V1403">
        <v>1700</v>
      </c>
      <c r="W1403">
        <v>549.25</v>
      </c>
      <c r="X1403" t="s">
        <v>73</v>
      </c>
      <c r="Y1403" t="s">
        <v>68</v>
      </c>
      <c r="Z1403" t="s">
        <v>158</v>
      </c>
      <c r="AA1403" t="s">
        <v>168</v>
      </c>
      <c r="AB1403">
        <v>3.6</v>
      </c>
      <c r="AC1403">
        <v>120</v>
      </c>
      <c r="AD1403">
        <v>193.05</v>
      </c>
      <c r="AE1403">
        <f t="shared" si="42"/>
        <v>236.2</v>
      </c>
      <c r="AF1403" t="str">
        <f t="shared" si="43"/>
        <v>2025-06</v>
      </c>
      <c r="AG1403">
        <f>SUBTOTAL(103,A1403)</f>
        <v>1</v>
      </c>
    </row>
    <row r="1404" spans="1:33" x14ac:dyDescent="0.3">
      <c r="A1404" t="s">
        <v>4019</v>
      </c>
      <c r="B1404" s="13">
        <v>45836</v>
      </c>
      <c r="C1404">
        <v>2025</v>
      </c>
      <c r="D1404">
        <v>6</v>
      </c>
      <c r="E1404" t="s">
        <v>3813</v>
      </c>
      <c r="F1404" t="s">
        <v>3329</v>
      </c>
      <c r="G1404" t="s">
        <v>1107</v>
      </c>
      <c r="H1404" t="s">
        <v>1108</v>
      </c>
      <c r="I1404" t="s">
        <v>85</v>
      </c>
      <c r="J1404">
        <v>54</v>
      </c>
      <c r="K1404" t="s">
        <v>83</v>
      </c>
      <c r="L1404" t="s">
        <v>2661</v>
      </c>
      <c r="M1404" t="s">
        <v>58</v>
      </c>
      <c r="N1404" t="s">
        <v>2590</v>
      </c>
      <c r="O1404" t="s">
        <v>127</v>
      </c>
      <c r="P1404" t="s">
        <v>51</v>
      </c>
      <c r="Q1404" t="s">
        <v>148</v>
      </c>
      <c r="R1404">
        <v>1</v>
      </c>
      <c r="S1404">
        <v>1599</v>
      </c>
      <c r="T1404">
        <v>0.05</v>
      </c>
      <c r="U1404">
        <v>1519.05</v>
      </c>
      <c r="V1404">
        <v>800</v>
      </c>
      <c r="W1404">
        <v>719.05</v>
      </c>
      <c r="X1404" t="s">
        <v>77</v>
      </c>
      <c r="Y1404" t="s">
        <v>68</v>
      </c>
      <c r="Z1404" t="s">
        <v>162</v>
      </c>
      <c r="AA1404" t="s">
        <v>166</v>
      </c>
      <c r="AB1404">
        <v>3</v>
      </c>
      <c r="AC1404">
        <v>60</v>
      </c>
      <c r="AD1404">
        <v>120.59</v>
      </c>
      <c r="AE1404">
        <f t="shared" si="42"/>
        <v>538.45999999999992</v>
      </c>
      <c r="AF1404" t="str">
        <f t="shared" si="43"/>
        <v>2025-06</v>
      </c>
      <c r="AG1404">
        <f>SUBTOTAL(103,A1404)</f>
        <v>1</v>
      </c>
    </row>
    <row r="1405" spans="1:33" x14ac:dyDescent="0.3">
      <c r="A1405" t="s">
        <v>4020</v>
      </c>
      <c r="B1405" s="13">
        <v>45836</v>
      </c>
      <c r="C1405">
        <v>2025</v>
      </c>
      <c r="D1405">
        <v>6</v>
      </c>
      <c r="E1405" t="s">
        <v>3813</v>
      </c>
      <c r="F1405" t="s">
        <v>3329</v>
      </c>
      <c r="G1405" t="s">
        <v>1889</v>
      </c>
      <c r="H1405" t="s">
        <v>1890</v>
      </c>
      <c r="I1405" t="s">
        <v>85</v>
      </c>
      <c r="J1405">
        <v>29</v>
      </c>
      <c r="K1405" t="s">
        <v>81</v>
      </c>
      <c r="L1405" t="s">
        <v>2637</v>
      </c>
      <c r="M1405" t="s">
        <v>64</v>
      </c>
      <c r="N1405" t="s">
        <v>2577</v>
      </c>
      <c r="O1405" t="s">
        <v>129</v>
      </c>
      <c r="P1405" t="s">
        <v>49</v>
      </c>
      <c r="Q1405" t="s">
        <v>149</v>
      </c>
      <c r="R1405">
        <v>2</v>
      </c>
      <c r="S1405">
        <v>1299</v>
      </c>
      <c r="T1405">
        <v>0.1</v>
      </c>
      <c r="U1405">
        <v>2338.1999999999998</v>
      </c>
      <c r="V1405">
        <v>1300</v>
      </c>
      <c r="W1405">
        <v>1038.2</v>
      </c>
      <c r="X1405" t="s">
        <v>76</v>
      </c>
      <c r="Y1405" t="s">
        <v>68</v>
      </c>
      <c r="Z1405" t="s">
        <v>162</v>
      </c>
      <c r="AA1405" t="s">
        <v>167</v>
      </c>
      <c r="AB1405">
        <v>4</v>
      </c>
      <c r="AC1405">
        <v>80</v>
      </c>
      <c r="AD1405">
        <v>119.04</v>
      </c>
      <c r="AE1405">
        <f t="shared" si="42"/>
        <v>839.16000000000008</v>
      </c>
      <c r="AF1405" t="str">
        <f t="shared" si="43"/>
        <v>2025-06</v>
      </c>
      <c r="AG1405">
        <f>SUBTOTAL(103,A1405)</f>
        <v>1</v>
      </c>
    </row>
    <row r="1406" spans="1:33" x14ac:dyDescent="0.3">
      <c r="A1406" t="s">
        <v>4021</v>
      </c>
      <c r="B1406" s="13">
        <v>45836</v>
      </c>
      <c r="C1406">
        <v>2025</v>
      </c>
      <c r="D1406">
        <v>6</v>
      </c>
      <c r="E1406" t="s">
        <v>3813</v>
      </c>
      <c r="F1406" t="s">
        <v>3329</v>
      </c>
      <c r="G1406" t="s">
        <v>2153</v>
      </c>
      <c r="H1406" t="s">
        <v>2154</v>
      </c>
      <c r="I1406" t="s">
        <v>85</v>
      </c>
      <c r="J1406">
        <v>21</v>
      </c>
      <c r="K1406" t="s">
        <v>80</v>
      </c>
      <c r="L1406" t="s">
        <v>91</v>
      </c>
      <c r="M1406" t="s">
        <v>55</v>
      </c>
      <c r="N1406" t="s">
        <v>2577</v>
      </c>
      <c r="O1406" t="s">
        <v>129</v>
      </c>
      <c r="P1406" t="s">
        <v>49</v>
      </c>
      <c r="Q1406" t="s">
        <v>149</v>
      </c>
      <c r="R1406">
        <v>2</v>
      </c>
      <c r="S1406">
        <v>1299</v>
      </c>
      <c r="T1406">
        <v>0.05</v>
      </c>
      <c r="U1406">
        <v>0</v>
      </c>
      <c r="V1406">
        <v>0</v>
      </c>
      <c r="W1406">
        <v>0</v>
      </c>
      <c r="X1406" t="s">
        <v>73</v>
      </c>
      <c r="Y1406" t="s">
        <v>71</v>
      </c>
      <c r="Z1406" t="s">
        <v>158</v>
      </c>
      <c r="AA1406" t="s">
        <v>169</v>
      </c>
      <c r="AB1406">
        <v>2.7</v>
      </c>
      <c r="AC1406">
        <v>50</v>
      </c>
      <c r="AD1406">
        <v>221.73</v>
      </c>
      <c r="AE1406">
        <f t="shared" si="42"/>
        <v>-271.73</v>
      </c>
      <c r="AF1406" t="str">
        <f t="shared" si="43"/>
        <v>2025-06</v>
      </c>
      <c r="AG1406">
        <f>SUBTOTAL(103,A1406)</f>
        <v>1</v>
      </c>
    </row>
    <row r="1407" spans="1:33" x14ac:dyDescent="0.3">
      <c r="A1407" t="s">
        <v>4022</v>
      </c>
      <c r="B1407" s="13">
        <v>45836</v>
      </c>
      <c r="C1407">
        <v>2025</v>
      </c>
      <c r="D1407">
        <v>6</v>
      </c>
      <c r="E1407" t="s">
        <v>3813</v>
      </c>
      <c r="F1407" t="s">
        <v>3329</v>
      </c>
      <c r="G1407" t="s">
        <v>1333</v>
      </c>
      <c r="H1407" t="s">
        <v>1334</v>
      </c>
      <c r="I1407" t="s">
        <v>85</v>
      </c>
      <c r="J1407">
        <v>57</v>
      </c>
      <c r="K1407" t="s">
        <v>83</v>
      </c>
      <c r="L1407" t="s">
        <v>2610</v>
      </c>
      <c r="M1407" t="s">
        <v>64</v>
      </c>
      <c r="N1407" t="s">
        <v>2603</v>
      </c>
      <c r="O1407" t="s">
        <v>122</v>
      </c>
      <c r="P1407" t="s">
        <v>48</v>
      </c>
      <c r="Q1407" t="s">
        <v>141</v>
      </c>
      <c r="R1407">
        <v>3</v>
      </c>
      <c r="S1407">
        <v>2499</v>
      </c>
      <c r="T1407">
        <v>0.05</v>
      </c>
      <c r="U1407">
        <v>7122.15</v>
      </c>
      <c r="V1407">
        <v>4350</v>
      </c>
      <c r="W1407">
        <v>2772.15</v>
      </c>
      <c r="X1407" t="s">
        <v>74</v>
      </c>
      <c r="Y1407" t="s">
        <v>68</v>
      </c>
      <c r="Z1407" t="s">
        <v>161</v>
      </c>
      <c r="AA1407" t="s">
        <v>167</v>
      </c>
      <c r="AB1407">
        <v>4.3</v>
      </c>
      <c r="AC1407">
        <v>40</v>
      </c>
      <c r="AD1407">
        <v>575.94000000000005</v>
      </c>
      <c r="AE1407">
        <f t="shared" si="42"/>
        <v>2156.21</v>
      </c>
      <c r="AF1407" t="str">
        <f t="shared" si="43"/>
        <v>2025-06</v>
      </c>
      <c r="AG1407">
        <f>SUBTOTAL(103,A1407)</f>
        <v>1</v>
      </c>
    </row>
    <row r="1408" spans="1:33" x14ac:dyDescent="0.3">
      <c r="A1408" t="s">
        <v>4023</v>
      </c>
      <c r="B1408" s="13">
        <v>45836</v>
      </c>
      <c r="C1408">
        <v>2025</v>
      </c>
      <c r="D1408">
        <v>6</v>
      </c>
      <c r="E1408" t="s">
        <v>3813</v>
      </c>
      <c r="F1408" t="s">
        <v>3329</v>
      </c>
      <c r="G1408" t="s">
        <v>487</v>
      </c>
      <c r="H1408" t="s">
        <v>488</v>
      </c>
      <c r="I1408" t="s">
        <v>86</v>
      </c>
      <c r="J1408">
        <v>53</v>
      </c>
      <c r="K1408" t="s">
        <v>83</v>
      </c>
      <c r="L1408" t="s">
        <v>59</v>
      </c>
      <c r="M1408" t="s">
        <v>59</v>
      </c>
      <c r="N1408" t="s">
        <v>2592</v>
      </c>
      <c r="O1408" t="s">
        <v>115</v>
      </c>
      <c r="P1408" t="s">
        <v>48</v>
      </c>
      <c r="Q1408" t="s">
        <v>137</v>
      </c>
      <c r="R1408">
        <v>2</v>
      </c>
      <c r="S1408">
        <v>12999</v>
      </c>
      <c r="T1408">
        <v>0.1</v>
      </c>
      <c r="U1408">
        <v>23398.2</v>
      </c>
      <c r="V1408">
        <v>18000</v>
      </c>
      <c r="W1408">
        <v>5398.2</v>
      </c>
      <c r="X1408" t="s">
        <v>75</v>
      </c>
      <c r="Y1408" t="s">
        <v>68</v>
      </c>
      <c r="Z1408" t="s">
        <v>159</v>
      </c>
      <c r="AA1408" t="s">
        <v>166</v>
      </c>
      <c r="AB1408">
        <v>3.8</v>
      </c>
      <c r="AC1408">
        <v>50</v>
      </c>
      <c r="AD1408">
        <v>1508.48</v>
      </c>
      <c r="AE1408">
        <f t="shared" si="42"/>
        <v>3839.72</v>
      </c>
      <c r="AF1408" t="str">
        <f t="shared" si="43"/>
        <v>2025-06</v>
      </c>
      <c r="AG1408">
        <f>SUBTOTAL(103,A1408)</f>
        <v>1</v>
      </c>
    </row>
    <row r="1409" spans="1:33" x14ac:dyDescent="0.3">
      <c r="A1409" t="s">
        <v>4024</v>
      </c>
      <c r="B1409" s="13">
        <v>45836</v>
      </c>
      <c r="C1409">
        <v>2025</v>
      </c>
      <c r="D1409">
        <v>6</v>
      </c>
      <c r="E1409" t="s">
        <v>3813</v>
      </c>
      <c r="F1409" t="s">
        <v>3329</v>
      </c>
      <c r="G1409" t="s">
        <v>1757</v>
      </c>
      <c r="H1409" t="s">
        <v>1758</v>
      </c>
      <c r="I1409" t="s">
        <v>85</v>
      </c>
      <c r="J1409">
        <v>22</v>
      </c>
      <c r="K1409" t="s">
        <v>80</v>
      </c>
      <c r="L1409" t="s">
        <v>2687</v>
      </c>
      <c r="M1409" t="s">
        <v>57</v>
      </c>
      <c r="N1409" t="s">
        <v>2644</v>
      </c>
      <c r="O1409" t="s">
        <v>126</v>
      </c>
      <c r="P1409" t="s">
        <v>50</v>
      </c>
      <c r="Q1409" t="s">
        <v>145</v>
      </c>
      <c r="R1409">
        <v>3</v>
      </c>
      <c r="S1409">
        <v>1799</v>
      </c>
      <c r="T1409">
        <v>0.15</v>
      </c>
      <c r="U1409">
        <v>4587.45</v>
      </c>
      <c r="V1409">
        <v>2850</v>
      </c>
      <c r="W1409">
        <v>1737.45</v>
      </c>
      <c r="X1409" t="s">
        <v>73</v>
      </c>
      <c r="Y1409" t="s">
        <v>68</v>
      </c>
      <c r="Z1409" t="s">
        <v>159</v>
      </c>
      <c r="AA1409" t="s">
        <v>170</v>
      </c>
      <c r="AB1409">
        <v>5</v>
      </c>
      <c r="AC1409">
        <v>50</v>
      </c>
      <c r="AD1409">
        <v>278.3</v>
      </c>
      <c r="AE1409">
        <f t="shared" si="42"/>
        <v>1409.15</v>
      </c>
      <c r="AF1409" t="str">
        <f t="shared" si="43"/>
        <v>2025-06</v>
      </c>
      <c r="AG1409">
        <f>SUBTOTAL(103,A1409)</f>
        <v>1</v>
      </c>
    </row>
    <row r="1410" spans="1:33" x14ac:dyDescent="0.3">
      <c r="A1410" t="s">
        <v>4025</v>
      </c>
      <c r="B1410" s="13">
        <v>45836</v>
      </c>
      <c r="C1410">
        <v>2025</v>
      </c>
      <c r="D1410">
        <v>6</v>
      </c>
      <c r="E1410" t="s">
        <v>3813</v>
      </c>
      <c r="F1410" t="s">
        <v>3329</v>
      </c>
      <c r="G1410" t="s">
        <v>1091</v>
      </c>
      <c r="H1410" t="s">
        <v>1092</v>
      </c>
      <c r="I1410" t="s">
        <v>86</v>
      </c>
      <c r="J1410">
        <v>48</v>
      </c>
      <c r="K1410" t="s">
        <v>83</v>
      </c>
      <c r="L1410" t="s">
        <v>2599</v>
      </c>
      <c r="M1410" t="s">
        <v>62</v>
      </c>
      <c r="N1410" t="s">
        <v>2630</v>
      </c>
      <c r="O1410" t="s">
        <v>123</v>
      </c>
      <c r="P1410" t="s">
        <v>52</v>
      </c>
      <c r="Q1410" t="s">
        <v>146</v>
      </c>
      <c r="R1410">
        <v>2</v>
      </c>
      <c r="S1410">
        <v>2499</v>
      </c>
      <c r="T1410">
        <v>0</v>
      </c>
      <c r="U1410">
        <v>4998</v>
      </c>
      <c r="V1410">
        <v>2800</v>
      </c>
      <c r="W1410">
        <v>2198</v>
      </c>
      <c r="X1410" t="s">
        <v>77</v>
      </c>
      <c r="Y1410" t="s">
        <v>69</v>
      </c>
      <c r="Z1410" t="s">
        <v>160</v>
      </c>
      <c r="AA1410" t="s">
        <v>170</v>
      </c>
      <c r="AB1410">
        <v>3.8</v>
      </c>
      <c r="AC1410">
        <v>50</v>
      </c>
      <c r="AD1410">
        <v>450.83</v>
      </c>
      <c r="AE1410">
        <f t="shared" ref="AE1410:AE1473" si="44">W1410-AC1410-AD1410</f>
        <v>1697.17</v>
      </c>
      <c r="AF1410" t="str">
        <f t="shared" ref="AF1410:AF1473" si="45">C1410&amp;"-"&amp;TEXT(D1410,"00")</f>
        <v>2025-06</v>
      </c>
      <c r="AG1410">
        <f>SUBTOTAL(103,A1410)</f>
        <v>1</v>
      </c>
    </row>
    <row r="1411" spans="1:33" x14ac:dyDescent="0.3">
      <c r="A1411" t="s">
        <v>4026</v>
      </c>
      <c r="B1411" s="13">
        <v>45836</v>
      </c>
      <c r="C1411">
        <v>2025</v>
      </c>
      <c r="D1411">
        <v>6</v>
      </c>
      <c r="E1411" t="s">
        <v>3813</v>
      </c>
      <c r="F1411" t="s">
        <v>3329</v>
      </c>
      <c r="G1411" t="s">
        <v>793</v>
      </c>
      <c r="H1411" t="s">
        <v>794</v>
      </c>
      <c r="I1411" t="s">
        <v>85</v>
      </c>
      <c r="J1411">
        <v>32</v>
      </c>
      <c r="K1411" t="s">
        <v>81</v>
      </c>
      <c r="L1411" t="s">
        <v>59</v>
      </c>
      <c r="M1411" t="s">
        <v>59</v>
      </c>
      <c r="N1411" t="s">
        <v>2592</v>
      </c>
      <c r="O1411" t="s">
        <v>115</v>
      </c>
      <c r="P1411" t="s">
        <v>48</v>
      </c>
      <c r="Q1411" t="s">
        <v>137</v>
      </c>
      <c r="R1411">
        <v>1</v>
      </c>
      <c r="S1411">
        <v>12999</v>
      </c>
      <c r="T1411">
        <v>0.15</v>
      </c>
      <c r="U1411">
        <v>11049.15</v>
      </c>
      <c r="V1411">
        <v>9000</v>
      </c>
      <c r="W1411">
        <v>2049.15</v>
      </c>
      <c r="X1411" t="s">
        <v>74</v>
      </c>
      <c r="Y1411" t="s">
        <v>68</v>
      </c>
      <c r="Z1411" t="s">
        <v>161</v>
      </c>
      <c r="AA1411" t="s">
        <v>169</v>
      </c>
      <c r="AB1411">
        <v>3.9</v>
      </c>
      <c r="AC1411">
        <v>100</v>
      </c>
      <c r="AD1411">
        <v>925.03</v>
      </c>
      <c r="AE1411">
        <f t="shared" si="44"/>
        <v>1024.1200000000001</v>
      </c>
      <c r="AF1411" t="str">
        <f t="shared" si="45"/>
        <v>2025-06</v>
      </c>
      <c r="AG1411">
        <f>SUBTOTAL(103,A1411)</f>
        <v>1</v>
      </c>
    </row>
    <row r="1412" spans="1:33" x14ac:dyDescent="0.3">
      <c r="A1412" t="s">
        <v>4027</v>
      </c>
      <c r="B1412" s="13">
        <v>45836</v>
      </c>
      <c r="C1412">
        <v>2025</v>
      </c>
      <c r="D1412">
        <v>6</v>
      </c>
      <c r="E1412" t="s">
        <v>3813</v>
      </c>
      <c r="F1412" t="s">
        <v>3329</v>
      </c>
      <c r="G1412" t="s">
        <v>265</v>
      </c>
      <c r="H1412" t="s">
        <v>266</v>
      </c>
      <c r="I1412" t="s">
        <v>85</v>
      </c>
      <c r="J1412">
        <v>35</v>
      </c>
      <c r="K1412" t="s">
        <v>81</v>
      </c>
      <c r="L1412" t="s">
        <v>93</v>
      </c>
      <c r="M1412" t="s">
        <v>55</v>
      </c>
      <c r="N1412" t="s">
        <v>2594</v>
      </c>
      <c r="O1412" t="s">
        <v>131</v>
      </c>
      <c r="P1412" t="s">
        <v>53</v>
      </c>
      <c r="Q1412" t="s">
        <v>143</v>
      </c>
      <c r="R1412">
        <v>2</v>
      </c>
      <c r="S1412">
        <v>999</v>
      </c>
      <c r="T1412">
        <v>0.1</v>
      </c>
      <c r="U1412">
        <v>1798.2</v>
      </c>
      <c r="V1412">
        <v>1040</v>
      </c>
      <c r="W1412">
        <v>758.2</v>
      </c>
      <c r="X1412" t="s">
        <v>73</v>
      </c>
      <c r="Y1412" t="s">
        <v>68</v>
      </c>
      <c r="Z1412" t="s">
        <v>158</v>
      </c>
      <c r="AA1412" t="s">
        <v>166</v>
      </c>
      <c r="AB1412">
        <v>4.4000000000000004</v>
      </c>
      <c r="AC1412">
        <v>60</v>
      </c>
      <c r="AD1412">
        <v>63.86</v>
      </c>
      <c r="AE1412">
        <f t="shared" si="44"/>
        <v>634.34</v>
      </c>
      <c r="AF1412" t="str">
        <f t="shared" si="45"/>
        <v>2025-06</v>
      </c>
      <c r="AG1412">
        <f>SUBTOTAL(103,A1412)</f>
        <v>1</v>
      </c>
    </row>
    <row r="1413" spans="1:33" x14ac:dyDescent="0.3">
      <c r="A1413" t="s">
        <v>4028</v>
      </c>
      <c r="B1413" s="13">
        <v>45836</v>
      </c>
      <c r="C1413">
        <v>2025</v>
      </c>
      <c r="D1413">
        <v>6</v>
      </c>
      <c r="E1413" t="s">
        <v>3813</v>
      </c>
      <c r="F1413" t="s">
        <v>3329</v>
      </c>
      <c r="G1413" t="s">
        <v>529</v>
      </c>
      <c r="H1413" t="s">
        <v>530</v>
      </c>
      <c r="I1413" t="s">
        <v>85</v>
      </c>
      <c r="J1413">
        <v>33</v>
      </c>
      <c r="K1413" t="s">
        <v>81</v>
      </c>
      <c r="L1413" t="s">
        <v>94</v>
      </c>
      <c r="M1413" t="s">
        <v>57</v>
      </c>
      <c r="N1413" t="s">
        <v>2580</v>
      </c>
      <c r="O1413" t="s">
        <v>118</v>
      </c>
      <c r="P1413" t="s">
        <v>48</v>
      </c>
      <c r="Q1413" t="s">
        <v>142</v>
      </c>
      <c r="R1413">
        <v>4</v>
      </c>
      <c r="S1413">
        <v>3999</v>
      </c>
      <c r="T1413">
        <v>0.2</v>
      </c>
      <c r="U1413">
        <v>12796.8</v>
      </c>
      <c r="V1413">
        <v>9600</v>
      </c>
      <c r="W1413">
        <v>3196.8</v>
      </c>
      <c r="X1413" t="s">
        <v>73</v>
      </c>
      <c r="Y1413" t="s">
        <v>68</v>
      </c>
      <c r="Z1413" t="s">
        <v>160</v>
      </c>
      <c r="AA1413" t="s">
        <v>166</v>
      </c>
      <c r="AB1413">
        <v>3.4</v>
      </c>
      <c r="AC1413">
        <v>50</v>
      </c>
      <c r="AD1413">
        <v>616.36</v>
      </c>
      <c r="AE1413">
        <f t="shared" si="44"/>
        <v>2530.44</v>
      </c>
      <c r="AF1413" t="str">
        <f t="shared" si="45"/>
        <v>2025-06</v>
      </c>
      <c r="AG1413">
        <f>SUBTOTAL(103,A1413)</f>
        <v>1</v>
      </c>
    </row>
    <row r="1414" spans="1:33" x14ac:dyDescent="0.3">
      <c r="A1414" t="s">
        <v>4029</v>
      </c>
      <c r="B1414" s="13">
        <v>45837</v>
      </c>
      <c r="C1414">
        <v>2025</v>
      </c>
      <c r="D1414">
        <v>6</v>
      </c>
      <c r="E1414" t="s">
        <v>3813</v>
      </c>
      <c r="F1414" t="s">
        <v>3329</v>
      </c>
      <c r="G1414" t="s">
        <v>1065</v>
      </c>
      <c r="H1414" t="s">
        <v>1066</v>
      </c>
      <c r="I1414" t="s">
        <v>85</v>
      </c>
      <c r="J1414">
        <v>57</v>
      </c>
      <c r="K1414" t="s">
        <v>83</v>
      </c>
      <c r="L1414" t="s">
        <v>96</v>
      </c>
      <c r="M1414" t="s">
        <v>55</v>
      </c>
      <c r="N1414" t="s">
        <v>2630</v>
      </c>
      <c r="O1414" t="s">
        <v>123</v>
      </c>
      <c r="P1414" t="s">
        <v>52</v>
      </c>
      <c r="Q1414" t="s">
        <v>146</v>
      </c>
      <c r="R1414">
        <v>2</v>
      </c>
      <c r="S1414">
        <v>2499</v>
      </c>
      <c r="T1414">
        <v>0</v>
      </c>
      <c r="U1414">
        <v>4998</v>
      </c>
      <c r="V1414">
        <v>2800</v>
      </c>
      <c r="W1414">
        <v>2198</v>
      </c>
      <c r="X1414" t="s">
        <v>73</v>
      </c>
      <c r="Y1414" t="s">
        <v>69</v>
      </c>
      <c r="Z1414" t="s">
        <v>162</v>
      </c>
      <c r="AA1414" t="s">
        <v>166</v>
      </c>
      <c r="AB1414">
        <v>4.2</v>
      </c>
      <c r="AC1414">
        <v>60</v>
      </c>
      <c r="AD1414">
        <v>169.53</v>
      </c>
      <c r="AE1414">
        <f t="shared" si="44"/>
        <v>1968.47</v>
      </c>
      <c r="AF1414" t="str">
        <f t="shared" si="45"/>
        <v>2025-06</v>
      </c>
      <c r="AG1414">
        <f>SUBTOTAL(103,A1414)</f>
        <v>1</v>
      </c>
    </row>
    <row r="1415" spans="1:33" x14ac:dyDescent="0.3">
      <c r="A1415" t="s">
        <v>4030</v>
      </c>
      <c r="B1415" s="13">
        <v>45837</v>
      </c>
      <c r="C1415">
        <v>2025</v>
      </c>
      <c r="D1415">
        <v>6</v>
      </c>
      <c r="E1415" t="s">
        <v>3813</v>
      </c>
      <c r="F1415" t="s">
        <v>3329</v>
      </c>
      <c r="G1415" t="s">
        <v>623</v>
      </c>
      <c r="H1415" t="s">
        <v>624</v>
      </c>
      <c r="I1415" t="s">
        <v>86</v>
      </c>
      <c r="J1415">
        <v>59</v>
      </c>
      <c r="K1415" t="s">
        <v>83</v>
      </c>
      <c r="L1415" t="s">
        <v>2586</v>
      </c>
      <c r="M1415" t="s">
        <v>62</v>
      </c>
      <c r="N1415" t="s">
        <v>2590</v>
      </c>
      <c r="O1415" t="s">
        <v>127</v>
      </c>
      <c r="P1415" t="s">
        <v>51</v>
      </c>
      <c r="Q1415" t="s">
        <v>148</v>
      </c>
      <c r="R1415">
        <v>3</v>
      </c>
      <c r="S1415">
        <v>1599</v>
      </c>
      <c r="T1415">
        <v>0</v>
      </c>
      <c r="U1415">
        <v>4797</v>
      </c>
      <c r="V1415">
        <v>2400</v>
      </c>
      <c r="W1415">
        <v>2397</v>
      </c>
      <c r="X1415" t="s">
        <v>74</v>
      </c>
      <c r="Y1415" t="s">
        <v>68</v>
      </c>
      <c r="Z1415" t="s">
        <v>161</v>
      </c>
      <c r="AA1415" t="s">
        <v>171</v>
      </c>
      <c r="AB1415">
        <v>5</v>
      </c>
      <c r="AC1415">
        <v>40</v>
      </c>
      <c r="AD1415">
        <v>118.66</v>
      </c>
      <c r="AE1415">
        <f t="shared" si="44"/>
        <v>2238.34</v>
      </c>
      <c r="AF1415" t="str">
        <f t="shared" si="45"/>
        <v>2025-06</v>
      </c>
      <c r="AG1415">
        <f>SUBTOTAL(103,A1415)</f>
        <v>1</v>
      </c>
    </row>
    <row r="1416" spans="1:33" x14ac:dyDescent="0.3">
      <c r="A1416" t="s">
        <v>4031</v>
      </c>
      <c r="B1416" s="13">
        <v>45837</v>
      </c>
      <c r="C1416">
        <v>2025</v>
      </c>
      <c r="D1416">
        <v>6</v>
      </c>
      <c r="E1416" t="s">
        <v>3813</v>
      </c>
      <c r="F1416" t="s">
        <v>3329</v>
      </c>
      <c r="G1416" t="s">
        <v>2371</v>
      </c>
      <c r="H1416" t="s">
        <v>2372</v>
      </c>
      <c r="I1416" t="s">
        <v>86</v>
      </c>
      <c r="J1416">
        <v>28</v>
      </c>
      <c r="K1416" t="s">
        <v>81</v>
      </c>
      <c r="L1416" t="s">
        <v>2623</v>
      </c>
      <c r="M1416" t="s">
        <v>61</v>
      </c>
      <c r="N1416" t="s">
        <v>2594</v>
      </c>
      <c r="O1416" t="s">
        <v>131</v>
      </c>
      <c r="P1416" t="s">
        <v>53</v>
      </c>
      <c r="Q1416" t="s">
        <v>143</v>
      </c>
      <c r="R1416">
        <v>1</v>
      </c>
      <c r="S1416">
        <v>999</v>
      </c>
      <c r="T1416">
        <v>0.25</v>
      </c>
      <c r="U1416">
        <v>749.25</v>
      </c>
      <c r="V1416">
        <v>520</v>
      </c>
      <c r="W1416">
        <v>229.25</v>
      </c>
      <c r="X1416" t="s">
        <v>73</v>
      </c>
      <c r="Y1416" t="s">
        <v>68</v>
      </c>
      <c r="Z1416" t="s">
        <v>163</v>
      </c>
      <c r="AA1416" t="s">
        <v>168</v>
      </c>
      <c r="AB1416">
        <v>3.8</v>
      </c>
      <c r="AC1416">
        <v>40</v>
      </c>
      <c r="AD1416">
        <v>58.59</v>
      </c>
      <c r="AE1416">
        <f t="shared" si="44"/>
        <v>130.66</v>
      </c>
      <c r="AF1416" t="str">
        <f t="shared" si="45"/>
        <v>2025-06</v>
      </c>
      <c r="AG1416">
        <f>SUBTOTAL(103,A1416)</f>
        <v>1</v>
      </c>
    </row>
    <row r="1417" spans="1:33" x14ac:dyDescent="0.3">
      <c r="A1417" t="s">
        <v>4032</v>
      </c>
      <c r="B1417" s="13">
        <v>45837</v>
      </c>
      <c r="C1417">
        <v>2025</v>
      </c>
      <c r="D1417">
        <v>6</v>
      </c>
      <c r="E1417" t="s">
        <v>3813</v>
      </c>
      <c r="F1417" t="s">
        <v>3329</v>
      </c>
      <c r="G1417" t="s">
        <v>267</v>
      </c>
      <c r="H1417" t="s">
        <v>268</v>
      </c>
      <c r="I1417" t="s">
        <v>86</v>
      </c>
      <c r="J1417">
        <v>39</v>
      </c>
      <c r="K1417" t="s">
        <v>82</v>
      </c>
      <c r="L1417" t="s">
        <v>92</v>
      </c>
      <c r="M1417" t="s">
        <v>59</v>
      </c>
      <c r="N1417" t="s">
        <v>2582</v>
      </c>
      <c r="O1417" t="s">
        <v>119</v>
      </c>
      <c r="P1417" t="s">
        <v>49</v>
      </c>
      <c r="Q1417" t="s">
        <v>140</v>
      </c>
      <c r="R1417">
        <v>3</v>
      </c>
      <c r="S1417">
        <v>3499</v>
      </c>
      <c r="T1417">
        <v>0.15</v>
      </c>
      <c r="U1417">
        <v>8922.4500000000007</v>
      </c>
      <c r="V1417">
        <v>6300</v>
      </c>
      <c r="W1417">
        <v>2622.45</v>
      </c>
      <c r="X1417" t="s">
        <v>75</v>
      </c>
      <c r="Y1417" t="s">
        <v>68</v>
      </c>
      <c r="Z1417" t="s">
        <v>160</v>
      </c>
      <c r="AA1417" t="s">
        <v>170</v>
      </c>
      <c r="AB1417">
        <v>4.9000000000000004</v>
      </c>
      <c r="AC1417">
        <v>50</v>
      </c>
      <c r="AD1417">
        <v>381.09</v>
      </c>
      <c r="AE1417">
        <f t="shared" si="44"/>
        <v>2191.3599999999997</v>
      </c>
      <c r="AF1417" t="str">
        <f t="shared" si="45"/>
        <v>2025-06</v>
      </c>
      <c r="AG1417">
        <f>SUBTOTAL(103,A1417)</f>
        <v>1</v>
      </c>
    </row>
    <row r="1418" spans="1:33" x14ac:dyDescent="0.3">
      <c r="A1418" t="s">
        <v>4033</v>
      </c>
      <c r="B1418" s="13">
        <v>45837</v>
      </c>
      <c r="C1418">
        <v>2025</v>
      </c>
      <c r="D1418">
        <v>6</v>
      </c>
      <c r="E1418" t="s">
        <v>3813</v>
      </c>
      <c r="F1418" t="s">
        <v>3329</v>
      </c>
      <c r="G1418" t="s">
        <v>529</v>
      </c>
      <c r="H1418" t="s">
        <v>530</v>
      </c>
      <c r="I1418" t="s">
        <v>85</v>
      </c>
      <c r="J1418">
        <v>33</v>
      </c>
      <c r="K1418" t="s">
        <v>81</v>
      </c>
      <c r="L1418" t="s">
        <v>94</v>
      </c>
      <c r="M1418" t="s">
        <v>57</v>
      </c>
      <c r="N1418" t="s">
        <v>2594</v>
      </c>
      <c r="O1418" t="s">
        <v>131</v>
      </c>
      <c r="P1418" t="s">
        <v>53</v>
      </c>
      <c r="Q1418" t="s">
        <v>143</v>
      </c>
      <c r="R1418">
        <v>2</v>
      </c>
      <c r="S1418">
        <v>999</v>
      </c>
      <c r="T1418">
        <v>0.1</v>
      </c>
      <c r="U1418">
        <v>1798.2</v>
      </c>
      <c r="V1418">
        <v>1040</v>
      </c>
      <c r="W1418">
        <v>758.2</v>
      </c>
      <c r="X1418" t="s">
        <v>73</v>
      </c>
      <c r="Y1418" t="s">
        <v>68</v>
      </c>
      <c r="Z1418" t="s">
        <v>161</v>
      </c>
      <c r="AA1418" t="s">
        <v>170</v>
      </c>
      <c r="AB1418">
        <v>5</v>
      </c>
      <c r="AC1418">
        <v>50</v>
      </c>
      <c r="AD1418">
        <v>95.28</v>
      </c>
      <c r="AE1418">
        <f t="shared" si="44"/>
        <v>612.92000000000007</v>
      </c>
      <c r="AF1418" t="str">
        <f t="shared" si="45"/>
        <v>2025-06</v>
      </c>
      <c r="AG1418">
        <f>SUBTOTAL(103,A1418)</f>
        <v>1</v>
      </c>
    </row>
    <row r="1419" spans="1:33" x14ac:dyDescent="0.3">
      <c r="A1419" t="s">
        <v>4034</v>
      </c>
      <c r="B1419" s="13">
        <v>45837</v>
      </c>
      <c r="C1419">
        <v>2025</v>
      </c>
      <c r="D1419">
        <v>6</v>
      </c>
      <c r="E1419" t="s">
        <v>3813</v>
      </c>
      <c r="F1419" t="s">
        <v>3329</v>
      </c>
      <c r="G1419" t="s">
        <v>1171</v>
      </c>
      <c r="H1419" t="s">
        <v>1172</v>
      </c>
      <c r="I1419" t="s">
        <v>86</v>
      </c>
      <c r="J1419">
        <v>52</v>
      </c>
      <c r="K1419" t="s">
        <v>83</v>
      </c>
      <c r="L1419" t="s">
        <v>92</v>
      </c>
      <c r="M1419" t="s">
        <v>59</v>
      </c>
      <c r="N1419" t="s">
        <v>2665</v>
      </c>
      <c r="O1419" t="s">
        <v>128</v>
      </c>
      <c r="P1419" t="s">
        <v>53</v>
      </c>
      <c r="Q1419" t="s">
        <v>143</v>
      </c>
      <c r="R1419">
        <v>2</v>
      </c>
      <c r="S1419">
        <v>1499</v>
      </c>
      <c r="T1419">
        <v>0.2</v>
      </c>
      <c r="U1419">
        <v>2398.4</v>
      </c>
      <c r="V1419">
        <v>1600</v>
      </c>
      <c r="W1419">
        <v>798.4</v>
      </c>
      <c r="X1419" t="s">
        <v>75</v>
      </c>
      <c r="Y1419" t="s">
        <v>69</v>
      </c>
      <c r="Z1419" t="s">
        <v>158</v>
      </c>
      <c r="AA1419" t="s">
        <v>170</v>
      </c>
      <c r="AB1419">
        <v>4.2</v>
      </c>
      <c r="AC1419">
        <v>60</v>
      </c>
      <c r="AD1419">
        <v>249.8</v>
      </c>
      <c r="AE1419">
        <f t="shared" si="44"/>
        <v>488.59999999999997</v>
      </c>
      <c r="AF1419" t="str">
        <f t="shared" si="45"/>
        <v>2025-06</v>
      </c>
      <c r="AG1419">
        <f>SUBTOTAL(103,A1419)</f>
        <v>1</v>
      </c>
    </row>
    <row r="1420" spans="1:33" x14ac:dyDescent="0.3">
      <c r="A1420" t="s">
        <v>4035</v>
      </c>
      <c r="B1420" s="13">
        <v>45837</v>
      </c>
      <c r="C1420">
        <v>2025</v>
      </c>
      <c r="D1420">
        <v>6</v>
      </c>
      <c r="E1420" t="s">
        <v>3813</v>
      </c>
      <c r="F1420" t="s">
        <v>3329</v>
      </c>
      <c r="G1420" t="s">
        <v>1217</v>
      </c>
      <c r="H1420" t="s">
        <v>1218</v>
      </c>
      <c r="I1420" t="s">
        <v>85</v>
      </c>
      <c r="J1420">
        <v>46</v>
      </c>
      <c r="K1420" t="s">
        <v>83</v>
      </c>
      <c r="L1420" t="s">
        <v>95</v>
      </c>
      <c r="M1420" t="s">
        <v>56</v>
      </c>
      <c r="N1420" t="s">
        <v>2592</v>
      </c>
      <c r="O1420" t="s">
        <v>115</v>
      </c>
      <c r="P1420" t="s">
        <v>48</v>
      </c>
      <c r="Q1420" t="s">
        <v>137</v>
      </c>
      <c r="R1420">
        <v>1</v>
      </c>
      <c r="S1420">
        <v>12999</v>
      </c>
      <c r="T1420">
        <v>0</v>
      </c>
      <c r="U1420">
        <v>12999</v>
      </c>
      <c r="V1420">
        <v>9000</v>
      </c>
      <c r="W1420">
        <v>3999</v>
      </c>
      <c r="X1420" t="s">
        <v>76</v>
      </c>
      <c r="Y1420" t="s">
        <v>68</v>
      </c>
      <c r="Z1420" t="s">
        <v>160</v>
      </c>
      <c r="AA1420" t="s">
        <v>167</v>
      </c>
      <c r="AB1420">
        <v>5</v>
      </c>
      <c r="AC1420">
        <v>60</v>
      </c>
      <c r="AD1420">
        <v>1539.38</v>
      </c>
      <c r="AE1420">
        <f t="shared" si="44"/>
        <v>2399.62</v>
      </c>
      <c r="AF1420" t="str">
        <f t="shared" si="45"/>
        <v>2025-06</v>
      </c>
      <c r="AG1420">
        <f>SUBTOTAL(103,A1420)</f>
        <v>1</v>
      </c>
    </row>
    <row r="1421" spans="1:33" x14ac:dyDescent="0.3">
      <c r="A1421" t="s">
        <v>4036</v>
      </c>
      <c r="B1421" s="13">
        <v>45837</v>
      </c>
      <c r="C1421">
        <v>2025</v>
      </c>
      <c r="D1421">
        <v>6</v>
      </c>
      <c r="E1421" t="s">
        <v>3813</v>
      </c>
      <c r="F1421" t="s">
        <v>3329</v>
      </c>
      <c r="G1421" t="s">
        <v>289</v>
      </c>
      <c r="H1421" t="s">
        <v>290</v>
      </c>
      <c r="I1421" t="s">
        <v>86</v>
      </c>
      <c r="J1421">
        <v>24</v>
      </c>
      <c r="K1421" t="s">
        <v>80</v>
      </c>
      <c r="L1421" t="s">
        <v>2579</v>
      </c>
      <c r="M1421" t="s">
        <v>56</v>
      </c>
      <c r="N1421" t="s">
        <v>2657</v>
      </c>
      <c r="O1421" t="s">
        <v>134</v>
      </c>
      <c r="P1421" t="s">
        <v>49</v>
      </c>
      <c r="Q1421" t="s">
        <v>140</v>
      </c>
      <c r="R1421">
        <v>2</v>
      </c>
      <c r="S1421">
        <v>599</v>
      </c>
      <c r="T1421">
        <v>0.2</v>
      </c>
      <c r="U1421">
        <v>958.4</v>
      </c>
      <c r="V1421">
        <v>500</v>
      </c>
      <c r="W1421">
        <v>458.4</v>
      </c>
      <c r="X1421" t="s">
        <v>73</v>
      </c>
      <c r="Y1421" t="s">
        <v>68</v>
      </c>
      <c r="Z1421" t="s">
        <v>161</v>
      </c>
      <c r="AA1421" t="s">
        <v>171</v>
      </c>
      <c r="AB1421">
        <v>3.9</v>
      </c>
      <c r="AC1421">
        <v>50</v>
      </c>
      <c r="AD1421">
        <v>51.04</v>
      </c>
      <c r="AE1421">
        <f t="shared" si="44"/>
        <v>357.35999999999996</v>
      </c>
      <c r="AF1421" t="str">
        <f t="shared" si="45"/>
        <v>2025-06</v>
      </c>
      <c r="AG1421">
        <f>SUBTOTAL(103,A1421)</f>
        <v>1</v>
      </c>
    </row>
    <row r="1422" spans="1:33" x14ac:dyDescent="0.3">
      <c r="A1422" t="s">
        <v>4037</v>
      </c>
      <c r="B1422" s="13">
        <v>45838</v>
      </c>
      <c r="C1422">
        <v>2025</v>
      </c>
      <c r="D1422">
        <v>6</v>
      </c>
      <c r="E1422" t="s">
        <v>3813</v>
      </c>
      <c r="F1422" t="s">
        <v>3329</v>
      </c>
      <c r="G1422" t="s">
        <v>2389</v>
      </c>
      <c r="H1422" t="s">
        <v>2390</v>
      </c>
      <c r="I1422" t="s">
        <v>85</v>
      </c>
      <c r="J1422">
        <v>19</v>
      </c>
      <c r="K1422" t="s">
        <v>80</v>
      </c>
      <c r="L1422" t="s">
        <v>2637</v>
      </c>
      <c r="M1422" t="s">
        <v>64</v>
      </c>
      <c r="N1422" t="s">
        <v>2653</v>
      </c>
      <c r="O1422" t="s">
        <v>132</v>
      </c>
      <c r="P1422" t="s">
        <v>52</v>
      </c>
      <c r="Q1422" t="s">
        <v>150</v>
      </c>
      <c r="R1422">
        <v>1</v>
      </c>
      <c r="S1422">
        <v>899</v>
      </c>
      <c r="T1422">
        <v>0.05</v>
      </c>
      <c r="U1422">
        <v>854.05</v>
      </c>
      <c r="V1422">
        <v>420</v>
      </c>
      <c r="W1422">
        <v>434.05</v>
      </c>
      <c r="X1422" t="s">
        <v>75</v>
      </c>
      <c r="Y1422" t="s">
        <v>68</v>
      </c>
      <c r="Z1422" t="s">
        <v>161</v>
      </c>
      <c r="AA1422" t="s">
        <v>167</v>
      </c>
      <c r="AB1422">
        <v>4.9000000000000004</v>
      </c>
      <c r="AC1422">
        <v>40</v>
      </c>
      <c r="AD1422">
        <v>56.05</v>
      </c>
      <c r="AE1422">
        <f t="shared" si="44"/>
        <v>338</v>
      </c>
      <c r="AF1422" t="str">
        <f t="shared" si="45"/>
        <v>2025-06</v>
      </c>
      <c r="AG1422">
        <f>SUBTOTAL(103,A1422)</f>
        <v>1</v>
      </c>
    </row>
    <row r="1423" spans="1:33" x14ac:dyDescent="0.3">
      <c r="A1423" t="s">
        <v>4038</v>
      </c>
      <c r="B1423" s="13">
        <v>45838</v>
      </c>
      <c r="C1423">
        <v>2025</v>
      </c>
      <c r="D1423">
        <v>6</v>
      </c>
      <c r="E1423" t="s">
        <v>3813</v>
      </c>
      <c r="F1423" t="s">
        <v>3329</v>
      </c>
      <c r="G1423" t="s">
        <v>1353</v>
      </c>
      <c r="H1423" t="s">
        <v>1354</v>
      </c>
      <c r="I1423" t="s">
        <v>86</v>
      </c>
      <c r="J1423">
        <v>35</v>
      </c>
      <c r="K1423" t="s">
        <v>81</v>
      </c>
      <c r="L1423" t="s">
        <v>2573</v>
      </c>
      <c r="M1423" t="s">
        <v>63</v>
      </c>
      <c r="N1423" t="s">
        <v>2603</v>
      </c>
      <c r="O1423" t="s">
        <v>122</v>
      </c>
      <c r="P1423" t="s">
        <v>48</v>
      </c>
      <c r="Q1423" t="s">
        <v>141</v>
      </c>
      <c r="R1423">
        <v>1</v>
      </c>
      <c r="S1423">
        <v>2499</v>
      </c>
      <c r="T1423">
        <v>0.1</v>
      </c>
      <c r="U1423">
        <v>2249.1</v>
      </c>
      <c r="V1423">
        <v>1450</v>
      </c>
      <c r="W1423">
        <v>799.1</v>
      </c>
      <c r="X1423" t="s">
        <v>76</v>
      </c>
      <c r="Y1423" t="s">
        <v>68</v>
      </c>
      <c r="Z1423" t="s">
        <v>158</v>
      </c>
      <c r="AA1423" t="s">
        <v>169</v>
      </c>
      <c r="AB1423">
        <v>4.9000000000000004</v>
      </c>
      <c r="AC1423">
        <v>50</v>
      </c>
      <c r="AD1423">
        <v>151.91</v>
      </c>
      <c r="AE1423">
        <f t="shared" si="44"/>
        <v>597.19000000000005</v>
      </c>
      <c r="AF1423" t="str">
        <f t="shared" si="45"/>
        <v>2025-06</v>
      </c>
      <c r="AG1423">
        <f>SUBTOTAL(103,A1423)</f>
        <v>1</v>
      </c>
    </row>
    <row r="1424" spans="1:33" x14ac:dyDescent="0.3">
      <c r="A1424" t="s">
        <v>4039</v>
      </c>
      <c r="B1424" s="13">
        <v>45838</v>
      </c>
      <c r="C1424">
        <v>2025</v>
      </c>
      <c r="D1424">
        <v>6</v>
      </c>
      <c r="E1424" t="s">
        <v>3813</v>
      </c>
      <c r="F1424" t="s">
        <v>3329</v>
      </c>
      <c r="G1424" t="s">
        <v>639</v>
      </c>
      <c r="H1424" t="s">
        <v>640</v>
      </c>
      <c r="I1424" t="s">
        <v>85</v>
      </c>
      <c r="J1424">
        <v>59</v>
      </c>
      <c r="K1424" t="s">
        <v>83</v>
      </c>
      <c r="L1424" t="s">
        <v>2605</v>
      </c>
      <c r="M1424" t="s">
        <v>60</v>
      </c>
      <c r="N1424" t="s">
        <v>2584</v>
      </c>
      <c r="O1424" t="s">
        <v>121</v>
      </c>
      <c r="P1424" t="s">
        <v>50</v>
      </c>
      <c r="Q1424" t="s">
        <v>144</v>
      </c>
      <c r="R1424">
        <v>1</v>
      </c>
      <c r="S1424">
        <v>2999</v>
      </c>
      <c r="T1424">
        <v>0.05</v>
      </c>
      <c r="U1424">
        <v>2849.05</v>
      </c>
      <c r="V1424">
        <v>1700</v>
      </c>
      <c r="W1424">
        <v>1149.05</v>
      </c>
      <c r="X1424" t="s">
        <v>74</v>
      </c>
      <c r="Y1424" t="s">
        <v>68</v>
      </c>
      <c r="Z1424" t="s">
        <v>162</v>
      </c>
      <c r="AA1424" t="s">
        <v>167</v>
      </c>
      <c r="AB1424">
        <v>3.3</v>
      </c>
      <c r="AC1424">
        <v>80</v>
      </c>
      <c r="AD1424">
        <v>309.23</v>
      </c>
      <c r="AE1424">
        <f t="shared" si="44"/>
        <v>759.81999999999994</v>
      </c>
      <c r="AF1424" t="str">
        <f t="shared" si="45"/>
        <v>2025-06</v>
      </c>
      <c r="AG1424">
        <f>SUBTOTAL(103,A1424)</f>
        <v>1</v>
      </c>
    </row>
    <row r="1425" spans="1:33" x14ac:dyDescent="0.3">
      <c r="A1425" t="s">
        <v>4040</v>
      </c>
      <c r="B1425" s="13">
        <v>45838</v>
      </c>
      <c r="C1425">
        <v>2025</v>
      </c>
      <c r="D1425">
        <v>6</v>
      </c>
      <c r="E1425" t="s">
        <v>3813</v>
      </c>
      <c r="F1425" t="s">
        <v>3329</v>
      </c>
      <c r="G1425" t="s">
        <v>645</v>
      </c>
      <c r="H1425" t="s">
        <v>646</v>
      </c>
      <c r="I1425" t="s">
        <v>86</v>
      </c>
      <c r="J1425">
        <v>20</v>
      </c>
      <c r="K1425" t="s">
        <v>80</v>
      </c>
      <c r="L1425" t="s">
        <v>2599</v>
      </c>
      <c r="M1425" t="s">
        <v>62</v>
      </c>
      <c r="N1425" t="s">
        <v>2644</v>
      </c>
      <c r="O1425" t="s">
        <v>126</v>
      </c>
      <c r="P1425" t="s">
        <v>50</v>
      </c>
      <c r="Q1425" t="s">
        <v>145</v>
      </c>
      <c r="R1425">
        <v>4</v>
      </c>
      <c r="S1425">
        <v>1799</v>
      </c>
      <c r="T1425">
        <v>0.15</v>
      </c>
      <c r="U1425">
        <v>6116.6</v>
      </c>
      <c r="V1425">
        <v>3800</v>
      </c>
      <c r="W1425">
        <v>2316.6</v>
      </c>
      <c r="X1425" t="s">
        <v>76</v>
      </c>
      <c r="Y1425" t="s">
        <v>68</v>
      </c>
      <c r="Z1425" t="s">
        <v>161</v>
      </c>
      <c r="AA1425" t="s">
        <v>170</v>
      </c>
      <c r="AB1425">
        <v>3.3</v>
      </c>
      <c r="AC1425">
        <v>80</v>
      </c>
      <c r="AD1425">
        <v>497.79</v>
      </c>
      <c r="AE1425">
        <f t="shared" si="44"/>
        <v>1738.81</v>
      </c>
      <c r="AF1425" t="str">
        <f t="shared" si="45"/>
        <v>2025-06</v>
      </c>
      <c r="AG1425">
        <f>SUBTOTAL(103,A1425)</f>
        <v>1</v>
      </c>
    </row>
    <row r="1426" spans="1:33" x14ac:dyDescent="0.3">
      <c r="A1426" t="s">
        <v>4041</v>
      </c>
      <c r="B1426" s="13">
        <v>45838</v>
      </c>
      <c r="C1426">
        <v>2025</v>
      </c>
      <c r="D1426">
        <v>6</v>
      </c>
      <c r="E1426" t="s">
        <v>3813</v>
      </c>
      <c r="F1426" t="s">
        <v>3329</v>
      </c>
      <c r="G1426" t="s">
        <v>1135</v>
      </c>
      <c r="H1426" t="s">
        <v>1136</v>
      </c>
      <c r="I1426" t="s">
        <v>85</v>
      </c>
      <c r="J1426">
        <v>56</v>
      </c>
      <c r="K1426" t="s">
        <v>83</v>
      </c>
      <c r="L1426" t="s">
        <v>98</v>
      </c>
      <c r="M1426" t="s">
        <v>55</v>
      </c>
      <c r="N1426" t="s">
        <v>2596</v>
      </c>
      <c r="O1426" t="s">
        <v>124</v>
      </c>
      <c r="P1426" t="s">
        <v>51</v>
      </c>
      <c r="Q1426" t="s">
        <v>147</v>
      </c>
      <c r="R1426">
        <v>3</v>
      </c>
      <c r="S1426">
        <v>2299</v>
      </c>
      <c r="T1426">
        <v>0.1</v>
      </c>
      <c r="U1426">
        <v>6207.3</v>
      </c>
      <c r="V1426">
        <v>3600</v>
      </c>
      <c r="W1426">
        <v>2607.3000000000002</v>
      </c>
      <c r="X1426" t="s">
        <v>75</v>
      </c>
      <c r="Y1426" t="s">
        <v>68</v>
      </c>
      <c r="Z1426" t="s">
        <v>158</v>
      </c>
      <c r="AA1426" t="s">
        <v>170</v>
      </c>
      <c r="AB1426">
        <v>4.9000000000000004</v>
      </c>
      <c r="AC1426">
        <v>50</v>
      </c>
      <c r="AD1426">
        <v>738.28</v>
      </c>
      <c r="AE1426">
        <f t="shared" si="44"/>
        <v>1819.0200000000002</v>
      </c>
      <c r="AF1426" t="str">
        <f t="shared" si="45"/>
        <v>2025-06</v>
      </c>
      <c r="AG1426">
        <f>SUBTOTAL(103,A1426)</f>
        <v>1</v>
      </c>
    </row>
    <row r="1427" spans="1:33" x14ac:dyDescent="0.3">
      <c r="A1427" t="s">
        <v>4042</v>
      </c>
      <c r="B1427" s="13">
        <v>45838</v>
      </c>
      <c r="C1427">
        <v>2025</v>
      </c>
      <c r="D1427">
        <v>6</v>
      </c>
      <c r="E1427" t="s">
        <v>3813</v>
      </c>
      <c r="F1427" t="s">
        <v>3329</v>
      </c>
      <c r="G1427" t="s">
        <v>813</v>
      </c>
      <c r="H1427" t="s">
        <v>814</v>
      </c>
      <c r="I1427" t="s">
        <v>86</v>
      </c>
      <c r="J1427">
        <v>60</v>
      </c>
      <c r="K1427" t="s">
        <v>83</v>
      </c>
      <c r="L1427" t="s">
        <v>99</v>
      </c>
      <c r="M1427" t="s">
        <v>58</v>
      </c>
      <c r="N1427" t="s">
        <v>2584</v>
      </c>
      <c r="O1427" t="s">
        <v>121</v>
      </c>
      <c r="P1427" t="s">
        <v>50</v>
      </c>
      <c r="Q1427" t="s">
        <v>144</v>
      </c>
      <c r="R1427">
        <v>4</v>
      </c>
      <c r="S1427">
        <v>2999</v>
      </c>
      <c r="T1427">
        <v>0</v>
      </c>
      <c r="U1427">
        <v>11996</v>
      </c>
      <c r="V1427">
        <v>6800</v>
      </c>
      <c r="W1427">
        <v>5196</v>
      </c>
      <c r="X1427" t="s">
        <v>74</v>
      </c>
      <c r="Y1427" t="s">
        <v>68</v>
      </c>
      <c r="Z1427" t="s">
        <v>163</v>
      </c>
      <c r="AA1427" t="s">
        <v>166</v>
      </c>
      <c r="AB1427">
        <v>3.9</v>
      </c>
      <c r="AC1427">
        <v>40</v>
      </c>
      <c r="AD1427">
        <v>1065.1199999999999</v>
      </c>
      <c r="AE1427">
        <f t="shared" si="44"/>
        <v>4090.88</v>
      </c>
      <c r="AF1427" t="str">
        <f t="shared" si="45"/>
        <v>2025-06</v>
      </c>
      <c r="AG1427">
        <f>SUBTOTAL(103,A1427)</f>
        <v>1</v>
      </c>
    </row>
    <row r="1428" spans="1:33" x14ac:dyDescent="0.3">
      <c r="A1428" t="s">
        <v>4043</v>
      </c>
      <c r="B1428" s="13">
        <v>45838</v>
      </c>
      <c r="C1428">
        <v>2025</v>
      </c>
      <c r="D1428">
        <v>6</v>
      </c>
      <c r="E1428" t="s">
        <v>3813</v>
      </c>
      <c r="F1428" t="s">
        <v>3329</v>
      </c>
      <c r="G1428" t="s">
        <v>1801</v>
      </c>
      <c r="H1428" t="s">
        <v>1802</v>
      </c>
      <c r="I1428" t="s">
        <v>85</v>
      </c>
      <c r="J1428">
        <v>39</v>
      </c>
      <c r="K1428" t="s">
        <v>82</v>
      </c>
      <c r="L1428" t="s">
        <v>2623</v>
      </c>
      <c r="M1428" t="s">
        <v>61</v>
      </c>
      <c r="N1428" t="s">
        <v>2582</v>
      </c>
      <c r="O1428" t="s">
        <v>119</v>
      </c>
      <c r="P1428" t="s">
        <v>49</v>
      </c>
      <c r="Q1428" t="s">
        <v>140</v>
      </c>
      <c r="R1428">
        <v>3</v>
      </c>
      <c r="S1428">
        <v>3499</v>
      </c>
      <c r="T1428">
        <v>0.15</v>
      </c>
      <c r="U1428">
        <v>8922.4500000000007</v>
      </c>
      <c r="V1428">
        <v>6300</v>
      </c>
      <c r="W1428">
        <v>2622.45</v>
      </c>
      <c r="X1428" t="s">
        <v>76</v>
      </c>
      <c r="Y1428" t="s">
        <v>68</v>
      </c>
      <c r="Z1428" t="s">
        <v>162</v>
      </c>
      <c r="AA1428" t="s">
        <v>167</v>
      </c>
      <c r="AB1428">
        <v>5</v>
      </c>
      <c r="AC1428">
        <v>50</v>
      </c>
      <c r="AD1428">
        <v>901.34</v>
      </c>
      <c r="AE1428">
        <f t="shared" si="44"/>
        <v>1671.1099999999997</v>
      </c>
      <c r="AF1428" t="str">
        <f t="shared" si="45"/>
        <v>2025-06</v>
      </c>
      <c r="AG1428">
        <f>SUBTOTAL(103,A1428)</f>
        <v>1</v>
      </c>
    </row>
    <row r="1429" spans="1:33" x14ac:dyDescent="0.3">
      <c r="A1429" t="s">
        <v>4044</v>
      </c>
      <c r="B1429" s="13">
        <v>45838</v>
      </c>
      <c r="C1429">
        <v>2025</v>
      </c>
      <c r="D1429">
        <v>6</v>
      </c>
      <c r="E1429" t="s">
        <v>3813</v>
      </c>
      <c r="F1429" t="s">
        <v>3329</v>
      </c>
      <c r="G1429" t="s">
        <v>205</v>
      </c>
      <c r="H1429" t="s">
        <v>206</v>
      </c>
      <c r="I1429" t="s">
        <v>86</v>
      </c>
      <c r="J1429">
        <v>39</v>
      </c>
      <c r="K1429" t="s">
        <v>82</v>
      </c>
      <c r="L1429" t="s">
        <v>92</v>
      </c>
      <c r="M1429" t="s">
        <v>59</v>
      </c>
      <c r="N1429" t="s">
        <v>2653</v>
      </c>
      <c r="O1429" t="s">
        <v>132</v>
      </c>
      <c r="P1429" t="s">
        <v>52</v>
      </c>
      <c r="Q1429" t="s">
        <v>150</v>
      </c>
      <c r="R1429">
        <v>3</v>
      </c>
      <c r="S1429">
        <v>899</v>
      </c>
      <c r="T1429">
        <v>0.1</v>
      </c>
      <c r="U1429">
        <v>2427.3000000000002</v>
      </c>
      <c r="V1429">
        <v>1260</v>
      </c>
      <c r="W1429">
        <v>1167.3</v>
      </c>
      <c r="X1429" t="s">
        <v>76</v>
      </c>
      <c r="Y1429" t="s">
        <v>69</v>
      </c>
      <c r="Z1429" t="s">
        <v>158</v>
      </c>
      <c r="AA1429" t="s">
        <v>166</v>
      </c>
      <c r="AB1429">
        <v>4.8</v>
      </c>
      <c r="AC1429">
        <v>50</v>
      </c>
      <c r="AD1429">
        <v>257.29000000000002</v>
      </c>
      <c r="AE1429">
        <f t="shared" si="44"/>
        <v>860.01</v>
      </c>
      <c r="AF1429" t="str">
        <f t="shared" si="45"/>
        <v>2025-06</v>
      </c>
      <c r="AG1429">
        <f>SUBTOTAL(103,A1429)</f>
        <v>1</v>
      </c>
    </row>
    <row r="1430" spans="1:33" x14ac:dyDescent="0.3">
      <c r="A1430" t="s">
        <v>4045</v>
      </c>
      <c r="B1430" s="13">
        <v>45839</v>
      </c>
      <c r="C1430">
        <v>2025</v>
      </c>
      <c r="D1430">
        <v>7</v>
      </c>
      <c r="E1430" t="s">
        <v>4046</v>
      </c>
      <c r="F1430" t="s">
        <v>4047</v>
      </c>
      <c r="G1430" t="s">
        <v>2421</v>
      </c>
      <c r="H1430" t="s">
        <v>2422</v>
      </c>
      <c r="I1430" t="s">
        <v>86</v>
      </c>
      <c r="J1430">
        <v>58</v>
      </c>
      <c r="K1430" t="s">
        <v>83</v>
      </c>
      <c r="L1430" t="s">
        <v>100</v>
      </c>
      <c r="M1430" t="s">
        <v>56</v>
      </c>
      <c r="N1430" t="s">
        <v>2594</v>
      </c>
      <c r="O1430" t="s">
        <v>131</v>
      </c>
      <c r="P1430" t="s">
        <v>53</v>
      </c>
      <c r="Q1430" t="s">
        <v>143</v>
      </c>
      <c r="R1430">
        <v>1</v>
      </c>
      <c r="S1430">
        <v>999</v>
      </c>
      <c r="T1430">
        <v>0.2</v>
      </c>
      <c r="U1430">
        <v>799.2</v>
      </c>
      <c r="V1430">
        <v>520</v>
      </c>
      <c r="W1430">
        <v>279.2</v>
      </c>
      <c r="X1430" t="s">
        <v>76</v>
      </c>
      <c r="Y1430" t="s">
        <v>68</v>
      </c>
      <c r="Z1430" t="s">
        <v>160</v>
      </c>
      <c r="AA1430" t="s">
        <v>166</v>
      </c>
      <c r="AB1430">
        <v>3.6</v>
      </c>
      <c r="AC1430">
        <v>50</v>
      </c>
      <c r="AD1430">
        <v>71.92</v>
      </c>
      <c r="AE1430">
        <f t="shared" si="44"/>
        <v>157.27999999999997</v>
      </c>
      <c r="AF1430" t="str">
        <f t="shared" si="45"/>
        <v>2025-07</v>
      </c>
      <c r="AG1430">
        <f>SUBTOTAL(103,A1430)</f>
        <v>1</v>
      </c>
    </row>
    <row r="1431" spans="1:33" x14ac:dyDescent="0.3">
      <c r="A1431" t="s">
        <v>4048</v>
      </c>
      <c r="B1431" s="13">
        <v>45839</v>
      </c>
      <c r="C1431">
        <v>2025</v>
      </c>
      <c r="D1431">
        <v>7</v>
      </c>
      <c r="E1431" t="s">
        <v>4046</v>
      </c>
      <c r="F1431" t="s">
        <v>4047</v>
      </c>
      <c r="G1431" t="s">
        <v>1147</v>
      </c>
      <c r="H1431" t="s">
        <v>1148</v>
      </c>
      <c r="I1431" t="s">
        <v>85</v>
      </c>
      <c r="J1431">
        <v>55</v>
      </c>
      <c r="K1431" t="s">
        <v>83</v>
      </c>
      <c r="L1431" t="s">
        <v>97</v>
      </c>
      <c r="M1431" t="s">
        <v>57</v>
      </c>
      <c r="N1431" t="s">
        <v>2574</v>
      </c>
      <c r="O1431" t="s">
        <v>130</v>
      </c>
      <c r="P1431" t="s">
        <v>50</v>
      </c>
      <c r="Q1431" t="s">
        <v>53</v>
      </c>
      <c r="R1431">
        <v>1</v>
      </c>
      <c r="S1431">
        <v>1199</v>
      </c>
      <c r="T1431">
        <v>0.1</v>
      </c>
      <c r="U1431">
        <v>1079.0999999999999</v>
      </c>
      <c r="V1431">
        <v>550</v>
      </c>
      <c r="W1431">
        <v>529.1</v>
      </c>
      <c r="X1431" t="s">
        <v>73</v>
      </c>
      <c r="Y1431" t="s">
        <v>68</v>
      </c>
      <c r="Z1431" t="s">
        <v>159</v>
      </c>
      <c r="AA1431" t="s">
        <v>171</v>
      </c>
      <c r="AB1431">
        <v>4.0999999999999996</v>
      </c>
      <c r="AC1431">
        <v>40</v>
      </c>
      <c r="AD1431">
        <v>58.13</v>
      </c>
      <c r="AE1431">
        <f t="shared" si="44"/>
        <v>430.97</v>
      </c>
      <c r="AF1431" t="str">
        <f t="shared" si="45"/>
        <v>2025-07</v>
      </c>
      <c r="AG1431">
        <f>SUBTOTAL(103,A1431)</f>
        <v>1</v>
      </c>
    </row>
    <row r="1432" spans="1:33" x14ac:dyDescent="0.3">
      <c r="A1432" t="s">
        <v>4049</v>
      </c>
      <c r="B1432" s="13">
        <v>45839</v>
      </c>
      <c r="C1432">
        <v>2025</v>
      </c>
      <c r="D1432">
        <v>7</v>
      </c>
      <c r="E1432" t="s">
        <v>4046</v>
      </c>
      <c r="F1432" t="s">
        <v>4047</v>
      </c>
      <c r="G1432" t="s">
        <v>1347</v>
      </c>
      <c r="H1432" t="s">
        <v>1348</v>
      </c>
      <c r="I1432" t="s">
        <v>85</v>
      </c>
      <c r="J1432">
        <v>39</v>
      </c>
      <c r="K1432" t="s">
        <v>82</v>
      </c>
      <c r="L1432" t="s">
        <v>2616</v>
      </c>
      <c r="M1432" t="s">
        <v>62</v>
      </c>
      <c r="N1432" t="s">
        <v>2644</v>
      </c>
      <c r="O1432" t="s">
        <v>126</v>
      </c>
      <c r="P1432" t="s">
        <v>50</v>
      </c>
      <c r="Q1432" t="s">
        <v>145</v>
      </c>
      <c r="R1432">
        <v>4</v>
      </c>
      <c r="S1432">
        <v>1799</v>
      </c>
      <c r="T1432">
        <v>0</v>
      </c>
      <c r="U1432">
        <v>7196</v>
      </c>
      <c r="V1432">
        <v>3800</v>
      </c>
      <c r="W1432">
        <v>3396</v>
      </c>
      <c r="X1432" t="s">
        <v>75</v>
      </c>
      <c r="Y1432" t="s">
        <v>68</v>
      </c>
      <c r="Z1432" t="s">
        <v>161</v>
      </c>
      <c r="AA1432" t="s">
        <v>166</v>
      </c>
      <c r="AB1432">
        <v>5</v>
      </c>
      <c r="AC1432">
        <v>40</v>
      </c>
      <c r="AD1432">
        <v>244.86</v>
      </c>
      <c r="AE1432">
        <f t="shared" si="44"/>
        <v>3111.14</v>
      </c>
      <c r="AF1432" t="str">
        <f t="shared" si="45"/>
        <v>2025-07</v>
      </c>
      <c r="AG1432">
        <f>SUBTOTAL(103,A1432)</f>
        <v>1</v>
      </c>
    </row>
    <row r="1433" spans="1:33" x14ac:dyDescent="0.3">
      <c r="A1433" t="s">
        <v>4050</v>
      </c>
      <c r="B1433" s="13">
        <v>45839</v>
      </c>
      <c r="C1433">
        <v>2025</v>
      </c>
      <c r="D1433">
        <v>7</v>
      </c>
      <c r="E1433" t="s">
        <v>4046</v>
      </c>
      <c r="F1433" t="s">
        <v>4047</v>
      </c>
      <c r="G1433" t="s">
        <v>247</v>
      </c>
      <c r="H1433" t="s">
        <v>248</v>
      </c>
      <c r="I1433" t="s">
        <v>85</v>
      </c>
      <c r="J1433">
        <v>58</v>
      </c>
      <c r="K1433" t="s">
        <v>83</v>
      </c>
      <c r="L1433" t="s">
        <v>95</v>
      </c>
      <c r="M1433" t="s">
        <v>56</v>
      </c>
      <c r="N1433" t="s">
        <v>2592</v>
      </c>
      <c r="O1433" t="s">
        <v>115</v>
      </c>
      <c r="P1433" t="s">
        <v>48</v>
      </c>
      <c r="Q1433" t="s">
        <v>137</v>
      </c>
      <c r="R1433">
        <v>2</v>
      </c>
      <c r="S1433">
        <v>12999</v>
      </c>
      <c r="T1433">
        <v>0.2</v>
      </c>
      <c r="U1433">
        <v>20798.400000000001</v>
      </c>
      <c r="V1433">
        <v>18000</v>
      </c>
      <c r="W1433">
        <v>2798.4</v>
      </c>
      <c r="X1433" t="s">
        <v>73</v>
      </c>
      <c r="Y1433" t="s">
        <v>68</v>
      </c>
      <c r="Z1433" t="s">
        <v>162</v>
      </c>
      <c r="AA1433" t="s">
        <v>166</v>
      </c>
      <c r="AB1433">
        <v>4.0999999999999996</v>
      </c>
      <c r="AC1433">
        <v>80</v>
      </c>
      <c r="AD1433">
        <v>2095.27</v>
      </c>
      <c r="AE1433">
        <f t="shared" si="44"/>
        <v>623.13000000000011</v>
      </c>
      <c r="AF1433" t="str">
        <f t="shared" si="45"/>
        <v>2025-07</v>
      </c>
      <c r="AG1433">
        <f>SUBTOTAL(103,A1433)</f>
        <v>1</v>
      </c>
    </row>
    <row r="1434" spans="1:33" x14ac:dyDescent="0.3">
      <c r="A1434" t="s">
        <v>4051</v>
      </c>
      <c r="B1434" s="13">
        <v>45839</v>
      </c>
      <c r="C1434">
        <v>2025</v>
      </c>
      <c r="D1434">
        <v>7</v>
      </c>
      <c r="E1434" t="s">
        <v>4046</v>
      </c>
      <c r="F1434" t="s">
        <v>4047</v>
      </c>
      <c r="G1434" t="s">
        <v>2399</v>
      </c>
      <c r="H1434" t="s">
        <v>2400</v>
      </c>
      <c r="I1434" t="s">
        <v>85</v>
      </c>
      <c r="J1434">
        <v>46</v>
      </c>
      <c r="K1434" t="s">
        <v>83</v>
      </c>
      <c r="L1434" t="s">
        <v>59</v>
      </c>
      <c r="M1434" t="s">
        <v>59</v>
      </c>
      <c r="N1434" t="s">
        <v>2594</v>
      </c>
      <c r="O1434" t="s">
        <v>131</v>
      </c>
      <c r="P1434" t="s">
        <v>53</v>
      </c>
      <c r="Q1434" t="s">
        <v>143</v>
      </c>
      <c r="R1434">
        <v>4</v>
      </c>
      <c r="S1434">
        <v>999</v>
      </c>
      <c r="T1434">
        <v>0.2</v>
      </c>
      <c r="U1434">
        <v>3196.8</v>
      </c>
      <c r="V1434">
        <v>2080</v>
      </c>
      <c r="W1434">
        <v>1116.8</v>
      </c>
      <c r="X1434" t="s">
        <v>74</v>
      </c>
      <c r="Y1434" t="s">
        <v>69</v>
      </c>
      <c r="Z1434" t="s">
        <v>158</v>
      </c>
      <c r="AA1434" t="s">
        <v>171</v>
      </c>
      <c r="AB1434">
        <v>4.2</v>
      </c>
      <c r="AC1434">
        <v>60</v>
      </c>
      <c r="AD1434">
        <v>311.39999999999998</v>
      </c>
      <c r="AE1434">
        <f t="shared" si="44"/>
        <v>745.4</v>
      </c>
      <c r="AF1434" t="str">
        <f t="shared" si="45"/>
        <v>2025-07</v>
      </c>
      <c r="AG1434">
        <f>SUBTOTAL(103,A1434)</f>
        <v>1</v>
      </c>
    </row>
    <row r="1435" spans="1:33" x14ac:dyDescent="0.3">
      <c r="A1435" t="s">
        <v>4052</v>
      </c>
      <c r="B1435" s="13">
        <v>45839</v>
      </c>
      <c r="C1435">
        <v>2025</v>
      </c>
      <c r="D1435">
        <v>7</v>
      </c>
      <c r="E1435" t="s">
        <v>4046</v>
      </c>
      <c r="F1435" t="s">
        <v>4047</v>
      </c>
      <c r="G1435" t="s">
        <v>1513</v>
      </c>
      <c r="H1435" t="s">
        <v>1514</v>
      </c>
      <c r="I1435" t="s">
        <v>85</v>
      </c>
      <c r="J1435">
        <v>53</v>
      </c>
      <c r="K1435" t="s">
        <v>83</v>
      </c>
      <c r="L1435" t="s">
        <v>59</v>
      </c>
      <c r="M1435" t="s">
        <v>59</v>
      </c>
      <c r="N1435" t="s">
        <v>2582</v>
      </c>
      <c r="O1435" t="s">
        <v>119</v>
      </c>
      <c r="P1435" t="s">
        <v>49</v>
      </c>
      <c r="Q1435" t="s">
        <v>140</v>
      </c>
      <c r="R1435">
        <v>2</v>
      </c>
      <c r="S1435">
        <v>3499</v>
      </c>
      <c r="T1435">
        <v>0</v>
      </c>
      <c r="U1435">
        <v>6998</v>
      </c>
      <c r="V1435">
        <v>4200</v>
      </c>
      <c r="W1435">
        <v>2798</v>
      </c>
      <c r="X1435" t="s">
        <v>73</v>
      </c>
      <c r="Y1435" t="s">
        <v>68</v>
      </c>
      <c r="Z1435" t="s">
        <v>158</v>
      </c>
      <c r="AA1435" t="s">
        <v>167</v>
      </c>
      <c r="AB1435">
        <v>4.5999999999999996</v>
      </c>
      <c r="AC1435">
        <v>60</v>
      </c>
      <c r="AD1435">
        <v>282.55</v>
      </c>
      <c r="AE1435">
        <f t="shared" si="44"/>
        <v>2455.4499999999998</v>
      </c>
      <c r="AF1435" t="str">
        <f t="shared" si="45"/>
        <v>2025-07</v>
      </c>
      <c r="AG1435">
        <f>SUBTOTAL(103,A1435)</f>
        <v>1</v>
      </c>
    </row>
    <row r="1436" spans="1:33" x14ac:dyDescent="0.3">
      <c r="A1436" t="s">
        <v>4053</v>
      </c>
      <c r="B1436" s="13">
        <v>45839</v>
      </c>
      <c r="C1436">
        <v>2025</v>
      </c>
      <c r="D1436">
        <v>7</v>
      </c>
      <c r="E1436" t="s">
        <v>4046</v>
      </c>
      <c r="F1436" t="s">
        <v>4047</v>
      </c>
      <c r="G1436" t="s">
        <v>269</v>
      </c>
      <c r="H1436" t="s">
        <v>270</v>
      </c>
      <c r="I1436" t="s">
        <v>85</v>
      </c>
      <c r="J1436">
        <v>35</v>
      </c>
      <c r="K1436" t="s">
        <v>81</v>
      </c>
      <c r="L1436" t="s">
        <v>97</v>
      </c>
      <c r="M1436" t="s">
        <v>57</v>
      </c>
      <c r="N1436" t="s">
        <v>2592</v>
      </c>
      <c r="O1436" t="s">
        <v>115</v>
      </c>
      <c r="P1436" t="s">
        <v>48</v>
      </c>
      <c r="Q1436" t="s">
        <v>137</v>
      </c>
      <c r="R1436">
        <v>3</v>
      </c>
      <c r="S1436">
        <v>12999</v>
      </c>
      <c r="T1436">
        <v>0.1</v>
      </c>
      <c r="U1436">
        <v>35097.300000000003</v>
      </c>
      <c r="V1436">
        <v>27000</v>
      </c>
      <c r="W1436">
        <v>8097.3</v>
      </c>
      <c r="X1436" t="s">
        <v>73</v>
      </c>
      <c r="Y1436" t="s">
        <v>68</v>
      </c>
      <c r="Z1436" t="s">
        <v>158</v>
      </c>
      <c r="AA1436" t="s">
        <v>171</v>
      </c>
      <c r="AB1436">
        <v>3.5</v>
      </c>
      <c r="AC1436">
        <v>60</v>
      </c>
      <c r="AD1436">
        <v>3969.65</v>
      </c>
      <c r="AE1436">
        <f t="shared" si="44"/>
        <v>4067.65</v>
      </c>
      <c r="AF1436" t="str">
        <f t="shared" si="45"/>
        <v>2025-07</v>
      </c>
      <c r="AG1436">
        <f>SUBTOTAL(103,A1436)</f>
        <v>1</v>
      </c>
    </row>
    <row r="1437" spans="1:33" x14ac:dyDescent="0.3">
      <c r="A1437" t="s">
        <v>4054</v>
      </c>
      <c r="B1437" s="13">
        <v>45839</v>
      </c>
      <c r="C1437">
        <v>2025</v>
      </c>
      <c r="D1437">
        <v>7</v>
      </c>
      <c r="E1437" t="s">
        <v>4046</v>
      </c>
      <c r="F1437" t="s">
        <v>4047</v>
      </c>
      <c r="G1437" t="s">
        <v>1959</v>
      </c>
      <c r="H1437" t="s">
        <v>1960</v>
      </c>
      <c r="I1437" t="s">
        <v>85</v>
      </c>
      <c r="J1437">
        <v>22</v>
      </c>
      <c r="K1437" t="s">
        <v>80</v>
      </c>
      <c r="L1437" t="s">
        <v>95</v>
      </c>
      <c r="M1437" t="s">
        <v>56</v>
      </c>
      <c r="N1437" t="s">
        <v>2596</v>
      </c>
      <c r="O1437" t="s">
        <v>124</v>
      </c>
      <c r="P1437" t="s">
        <v>51</v>
      </c>
      <c r="Q1437" t="s">
        <v>147</v>
      </c>
      <c r="R1437">
        <v>2</v>
      </c>
      <c r="S1437">
        <v>2299</v>
      </c>
      <c r="T1437">
        <v>0.2</v>
      </c>
      <c r="U1437">
        <v>3678.4</v>
      </c>
      <c r="V1437">
        <v>2400</v>
      </c>
      <c r="W1437">
        <v>1278.4000000000001</v>
      </c>
      <c r="X1437" t="s">
        <v>76</v>
      </c>
      <c r="Y1437" t="s">
        <v>68</v>
      </c>
      <c r="Z1437" t="s">
        <v>158</v>
      </c>
      <c r="AA1437" t="s">
        <v>167</v>
      </c>
      <c r="AB1437">
        <v>4.9000000000000004</v>
      </c>
      <c r="AC1437">
        <v>60</v>
      </c>
      <c r="AD1437">
        <v>287.83</v>
      </c>
      <c r="AE1437">
        <f t="shared" si="44"/>
        <v>930.57000000000016</v>
      </c>
      <c r="AF1437" t="str">
        <f t="shared" si="45"/>
        <v>2025-07</v>
      </c>
      <c r="AG1437">
        <f>SUBTOTAL(103,A1437)</f>
        <v>1</v>
      </c>
    </row>
    <row r="1438" spans="1:33" x14ac:dyDescent="0.3">
      <c r="A1438" t="s">
        <v>4055</v>
      </c>
      <c r="B1438" s="13">
        <v>45840</v>
      </c>
      <c r="C1438">
        <v>2025</v>
      </c>
      <c r="D1438">
        <v>7</v>
      </c>
      <c r="E1438" t="s">
        <v>4046</v>
      </c>
      <c r="F1438" t="s">
        <v>4047</v>
      </c>
      <c r="G1438" t="s">
        <v>415</v>
      </c>
      <c r="H1438" t="s">
        <v>416</v>
      </c>
      <c r="I1438" t="s">
        <v>86</v>
      </c>
      <c r="J1438">
        <v>35</v>
      </c>
      <c r="K1438" t="s">
        <v>81</v>
      </c>
      <c r="L1438" t="s">
        <v>95</v>
      </c>
      <c r="M1438" t="s">
        <v>56</v>
      </c>
      <c r="N1438" t="s">
        <v>2592</v>
      </c>
      <c r="O1438" t="s">
        <v>115</v>
      </c>
      <c r="P1438" t="s">
        <v>48</v>
      </c>
      <c r="Q1438" t="s">
        <v>137</v>
      </c>
      <c r="R1438">
        <v>5</v>
      </c>
      <c r="S1438">
        <v>12999</v>
      </c>
      <c r="T1438">
        <v>0.15</v>
      </c>
      <c r="U1438">
        <v>55245.75</v>
      </c>
      <c r="V1438">
        <v>45000</v>
      </c>
      <c r="W1438">
        <v>10245.75</v>
      </c>
      <c r="X1438" t="s">
        <v>77</v>
      </c>
      <c r="Y1438" t="s">
        <v>68</v>
      </c>
      <c r="Z1438" t="s">
        <v>161</v>
      </c>
      <c r="AA1438" t="s">
        <v>168</v>
      </c>
      <c r="AB1438">
        <v>4.5</v>
      </c>
      <c r="AC1438">
        <v>100</v>
      </c>
      <c r="AD1438">
        <v>6527.86</v>
      </c>
      <c r="AE1438">
        <f t="shared" si="44"/>
        <v>3617.8900000000003</v>
      </c>
      <c r="AF1438" t="str">
        <f t="shared" si="45"/>
        <v>2025-07</v>
      </c>
      <c r="AG1438">
        <f>SUBTOTAL(103,A1438)</f>
        <v>1</v>
      </c>
    </row>
    <row r="1439" spans="1:33" x14ac:dyDescent="0.3">
      <c r="A1439" t="s">
        <v>4056</v>
      </c>
      <c r="B1439" s="13">
        <v>45840</v>
      </c>
      <c r="C1439">
        <v>2025</v>
      </c>
      <c r="D1439">
        <v>7</v>
      </c>
      <c r="E1439" t="s">
        <v>4046</v>
      </c>
      <c r="F1439" t="s">
        <v>4047</v>
      </c>
      <c r="G1439" t="s">
        <v>2031</v>
      </c>
      <c r="H1439" t="s">
        <v>2032</v>
      </c>
      <c r="I1439" t="s">
        <v>85</v>
      </c>
      <c r="J1439">
        <v>42</v>
      </c>
      <c r="K1439" t="s">
        <v>82</v>
      </c>
      <c r="L1439" t="s">
        <v>59</v>
      </c>
      <c r="M1439" t="s">
        <v>59</v>
      </c>
      <c r="N1439" t="s">
        <v>2590</v>
      </c>
      <c r="O1439" t="s">
        <v>127</v>
      </c>
      <c r="P1439" t="s">
        <v>51</v>
      </c>
      <c r="Q1439" t="s">
        <v>148</v>
      </c>
      <c r="R1439">
        <v>2</v>
      </c>
      <c r="S1439">
        <v>1599</v>
      </c>
      <c r="T1439">
        <v>0.2</v>
      </c>
      <c r="U1439">
        <v>2558.4</v>
      </c>
      <c r="V1439">
        <v>1600</v>
      </c>
      <c r="W1439">
        <v>958.4</v>
      </c>
      <c r="X1439" t="s">
        <v>73</v>
      </c>
      <c r="Y1439" t="s">
        <v>68</v>
      </c>
      <c r="Z1439" t="s">
        <v>159</v>
      </c>
      <c r="AA1439" t="s">
        <v>169</v>
      </c>
      <c r="AB1439">
        <v>3.1</v>
      </c>
      <c r="AC1439">
        <v>60</v>
      </c>
      <c r="AD1439">
        <v>278.73</v>
      </c>
      <c r="AE1439">
        <f t="shared" si="44"/>
        <v>619.66999999999996</v>
      </c>
      <c r="AF1439" t="str">
        <f t="shared" si="45"/>
        <v>2025-07</v>
      </c>
      <c r="AG1439">
        <f>SUBTOTAL(103,A1439)</f>
        <v>1</v>
      </c>
    </row>
    <row r="1440" spans="1:33" x14ac:dyDescent="0.3">
      <c r="A1440" t="s">
        <v>4057</v>
      </c>
      <c r="B1440" s="13">
        <v>45840</v>
      </c>
      <c r="C1440">
        <v>2025</v>
      </c>
      <c r="D1440">
        <v>7</v>
      </c>
      <c r="E1440" t="s">
        <v>4046</v>
      </c>
      <c r="F1440" t="s">
        <v>4047</v>
      </c>
      <c r="G1440" t="s">
        <v>1891</v>
      </c>
      <c r="H1440" t="s">
        <v>1892</v>
      </c>
      <c r="I1440" t="s">
        <v>85</v>
      </c>
      <c r="J1440">
        <v>35</v>
      </c>
      <c r="K1440" t="s">
        <v>81</v>
      </c>
      <c r="L1440" t="s">
        <v>2573</v>
      </c>
      <c r="M1440" t="s">
        <v>63</v>
      </c>
      <c r="N1440" t="s">
        <v>2574</v>
      </c>
      <c r="O1440" t="s">
        <v>130</v>
      </c>
      <c r="P1440" t="s">
        <v>50</v>
      </c>
      <c r="Q1440" t="s">
        <v>53</v>
      </c>
      <c r="R1440">
        <v>5</v>
      </c>
      <c r="S1440">
        <v>1199</v>
      </c>
      <c r="T1440">
        <v>0.1</v>
      </c>
      <c r="U1440">
        <v>5395.5</v>
      </c>
      <c r="V1440">
        <v>2750</v>
      </c>
      <c r="W1440">
        <v>2645.5</v>
      </c>
      <c r="X1440" t="s">
        <v>76</v>
      </c>
      <c r="Y1440" t="s">
        <v>68</v>
      </c>
      <c r="Z1440" t="s">
        <v>162</v>
      </c>
      <c r="AA1440" t="s">
        <v>166</v>
      </c>
      <c r="AB1440">
        <v>4</v>
      </c>
      <c r="AC1440">
        <v>60</v>
      </c>
      <c r="AD1440">
        <v>370.86</v>
      </c>
      <c r="AE1440">
        <f t="shared" si="44"/>
        <v>2214.64</v>
      </c>
      <c r="AF1440" t="str">
        <f t="shared" si="45"/>
        <v>2025-07</v>
      </c>
      <c r="AG1440">
        <f>SUBTOTAL(103,A1440)</f>
        <v>1</v>
      </c>
    </row>
    <row r="1441" spans="1:33" x14ac:dyDescent="0.3">
      <c r="A1441" t="s">
        <v>4058</v>
      </c>
      <c r="B1441" s="13">
        <v>45840</v>
      </c>
      <c r="C1441">
        <v>2025</v>
      </c>
      <c r="D1441">
        <v>7</v>
      </c>
      <c r="E1441" t="s">
        <v>4046</v>
      </c>
      <c r="F1441" t="s">
        <v>4047</v>
      </c>
      <c r="G1441" t="s">
        <v>1389</v>
      </c>
      <c r="H1441" t="s">
        <v>1390</v>
      </c>
      <c r="I1441" t="s">
        <v>85</v>
      </c>
      <c r="J1441">
        <v>50</v>
      </c>
      <c r="K1441" t="s">
        <v>83</v>
      </c>
      <c r="L1441" t="s">
        <v>97</v>
      </c>
      <c r="M1441" t="s">
        <v>57</v>
      </c>
      <c r="N1441" t="s">
        <v>2592</v>
      </c>
      <c r="O1441" t="s">
        <v>115</v>
      </c>
      <c r="P1441" t="s">
        <v>48</v>
      </c>
      <c r="Q1441" t="s">
        <v>137</v>
      </c>
      <c r="R1441">
        <v>1</v>
      </c>
      <c r="S1441">
        <v>12999</v>
      </c>
      <c r="T1441">
        <v>0.15</v>
      </c>
      <c r="U1441">
        <v>11049.15</v>
      </c>
      <c r="V1441">
        <v>9000</v>
      </c>
      <c r="W1441">
        <v>2049.15</v>
      </c>
      <c r="X1441" t="s">
        <v>73</v>
      </c>
      <c r="Y1441" t="s">
        <v>68</v>
      </c>
      <c r="Z1441" t="s">
        <v>162</v>
      </c>
      <c r="AA1441" t="s">
        <v>170</v>
      </c>
      <c r="AB1441">
        <v>3.6</v>
      </c>
      <c r="AC1441">
        <v>50</v>
      </c>
      <c r="AD1441">
        <v>1113.56</v>
      </c>
      <c r="AE1441">
        <f t="shared" si="44"/>
        <v>885.59000000000015</v>
      </c>
      <c r="AF1441" t="str">
        <f t="shared" si="45"/>
        <v>2025-07</v>
      </c>
      <c r="AG1441">
        <f>SUBTOTAL(103,A1441)</f>
        <v>1</v>
      </c>
    </row>
    <row r="1442" spans="1:33" x14ac:dyDescent="0.3">
      <c r="A1442" t="s">
        <v>4059</v>
      </c>
      <c r="B1442" s="13">
        <v>45840</v>
      </c>
      <c r="C1442">
        <v>2025</v>
      </c>
      <c r="D1442">
        <v>7</v>
      </c>
      <c r="E1442" t="s">
        <v>4046</v>
      </c>
      <c r="F1442" t="s">
        <v>4047</v>
      </c>
      <c r="G1442" t="s">
        <v>477</v>
      </c>
      <c r="H1442" t="s">
        <v>478</v>
      </c>
      <c r="I1442" t="s">
        <v>86</v>
      </c>
      <c r="J1442">
        <v>59</v>
      </c>
      <c r="K1442" t="s">
        <v>83</v>
      </c>
      <c r="L1442" t="s">
        <v>99</v>
      </c>
      <c r="M1442" t="s">
        <v>58</v>
      </c>
      <c r="N1442" t="s">
        <v>2653</v>
      </c>
      <c r="O1442" t="s">
        <v>132</v>
      </c>
      <c r="P1442" t="s">
        <v>52</v>
      </c>
      <c r="Q1442" t="s">
        <v>150</v>
      </c>
      <c r="R1442">
        <v>2</v>
      </c>
      <c r="S1442">
        <v>899</v>
      </c>
      <c r="T1442">
        <v>0.05</v>
      </c>
      <c r="U1442">
        <v>1708.1</v>
      </c>
      <c r="V1442">
        <v>840</v>
      </c>
      <c r="W1442">
        <v>868.1</v>
      </c>
      <c r="X1442" t="s">
        <v>77</v>
      </c>
      <c r="Y1442" t="s">
        <v>68</v>
      </c>
      <c r="Z1442" t="s">
        <v>159</v>
      </c>
      <c r="AA1442" t="s">
        <v>168</v>
      </c>
      <c r="AB1442">
        <v>4.8</v>
      </c>
      <c r="AC1442">
        <v>60</v>
      </c>
      <c r="AD1442">
        <v>91.06</v>
      </c>
      <c r="AE1442">
        <f t="shared" si="44"/>
        <v>717.04</v>
      </c>
      <c r="AF1442" t="str">
        <f t="shared" si="45"/>
        <v>2025-07</v>
      </c>
      <c r="AG1442">
        <f>SUBTOTAL(103,A1442)</f>
        <v>1</v>
      </c>
    </row>
    <row r="1443" spans="1:33" x14ac:dyDescent="0.3">
      <c r="A1443" t="s">
        <v>4060</v>
      </c>
      <c r="B1443" s="13">
        <v>45840</v>
      </c>
      <c r="C1443">
        <v>2025</v>
      </c>
      <c r="D1443">
        <v>7</v>
      </c>
      <c r="E1443" t="s">
        <v>4046</v>
      </c>
      <c r="F1443" t="s">
        <v>4047</v>
      </c>
      <c r="G1443" t="s">
        <v>1655</v>
      </c>
      <c r="H1443" t="s">
        <v>1656</v>
      </c>
      <c r="I1443" t="s">
        <v>86</v>
      </c>
      <c r="J1443">
        <v>33</v>
      </c>
      <c r="K1443" t="s">
        <v>81</v>
      </c>
      <c r="L1443" t="s">
        <v>2646</v>
      </c>
      <c r="M1443" t="s">
        <v>63</v>
      </c>
      <c r="N1443" t="s">
        <v>2657</v>
      </c>
      <c r="O1443" t="s">
        <v>134</v>
      </c>
      <c r="P1443" t="s">
        <v>49</v>
      </c>
      <c r="Q1443" t="s">
        <v>140</v>
      </c>
      <c r="R1443">
        <v>1</v>
      </c>
      <c r="S1443">
        <v>599</v>
      </c>
      <c r="T1443">
        <v>0.05</v>
      </c>
      <c r="U1443">
        <v>0</v>
      </c>
      <c r="V1443">
        <v>0</v>
      </c>
      <c r="W1443">
        <v>0</v>
      </c>
      <c r="X1443" t="s">
        <v>74</v>
      </c>
      <c r="Y1443" t="s">
        <v>71</v>
      </c>
      <c r="Z1443" t="s">
        <v>163</v>
      </c>
      <c r="AA1443" t="s">
        <v>167</v>
      </c>
      <c r="AB1443">
        <v>4</v>
      </c>
      <c r="AC1443">
        <v>80</v>
      </c>
      <c r="AD1443">
        <v>20</v>
      </c>
      <c r="AE1443">
        <f t="shared" si="44"/>
        <v>-100</v>
      </c>
      <c r="AF1443" t="str">
        <f t="shared" si="45"/>
        <v>2025-07</v>
      </c>
      <c r="AG1443">
        <f>SUBTOTAL(103,A1443)</f>
        <v>1</v>
      </c>
    </row>
    <row r="1444" spans="1:33" x14ac:dyDescent="0.3">
      <c r="A1444" t="s">
        <v>4061</v>
      </c>
      <c r="B1444" s="13">
        <v>45840</v>
      </c>
      <c r="C1444">
        <v>2025</v>
      </c>
      <c r="D1444">
        <v>7</v>
      </c>
      <c r="E1444" t="s">
        <v>4046</v>
      </c>
      <c r="F1444" t="s">
        <v>4047</v>
      </c>
      <c r="G1444" t="s">
        <v>1725</v>
      </c>
      <c r="H1444" t="s">
        <v>1726</v>
      </c>
      <c r="I1444" t="s">
        <v>86</v>
      </c>
      <c r="J1444">
        <v>28</v>
      </c>
      <c r="K1444" t="s">
        <v>81</v>
      </c>
      <c r="L1444" t="s">
        <v>2687</v>
      </c>
      <c r="M1444" t="s">
        <v>57</v>
      </c>
      <c r="N1444" t="s">
        <v>2596</v>
      </c>
      <c r="O1444" t="s">
        <v>124</v>
      </c>
      <c r="P1444" t="s">
        <v>51</v>
      </c>
      <c r="Q1444" t="s">
        <v>147</v>
      </c>
      <c r="R1444">
        <v>2</v>
      </c>
      <c r="S1444">
        <v>2299</v>
      </c>
      <c r="T1444">
        <v>0.15</v>
      </c>
      <c r="U1444">
        <v>0</v>
      </c>
      <c r="V1444">
        <v>0</v>
      </c>
      <c r="W1444">
        <v>0</v>
      </c>
      <c r="X1444" t="s">
        <v>74</v>
      </c>
      <c r="Y1444" t="s">
        <v>71</v>
      </c>
      <c r="Z1444" t="s">
        <v>160</v>
      </c>
      <c r="AA1444" t="s">
        <v>168</v>
      </c>
      <c r="AB1444">
        <v>4.7</v>
      </c>
      <c r="AC1444">
        <v>80</v>
      </c>
      <c r="AD1444">
        <v>419.51</v>
      </c>
      <c r="AE1444">
        <f t="shared" si="44"/>
        <v>-499.51</v>
      </c>
      <c r="AF1444" t="str">
        <f t="shared" si="45"/>
        <v>2025-07</v>
      </c>
      <c r="AG1444">
        <f>SUBTOTAL(103,A1444)</f>
        <v>1</v>
      </c>
    </row>
    <row r="1445" spans="1:33" x14ac:dyDescent="0.3">
      <c r="A1445" t="s">
        <v>4062</v>
      </c>
      <c r="B1445" s="13">
        <v>45841</v>
      </c>
      <c r="C1445">
        <v>2025</v>
      </c>
      <c r="D1445">
        <v>7</v>
      </c>
      <c r="E1445" t="s">
        <v>4046</v>
      </c>
      <c r="F1445" t="s">
        <v>4047</v>
      </c>
      <c r="G1445" t="s">
        <v>1661</v>
      </c>
      <c r="H1445" t="s">
        <v>1662</v>
      </c>
      <c r="I1445" t="s">
        <v>86</v>
      </c>
      <c r="J1445">
        <v>26</v>
      </c>
      <c r="K1445" t="s">
        <v>81</v>
      </c>
      <c r="L1445" t="s">
        <v>2623</v>
      </c>
      <c r="M1445" t="s">
        <v>61</v>
      </c>
      <c r="N1445" t="s">
        <v>2577</v>
      </c>
      <c r="O1445" t="s">
        <v>129</v>
      </c>
      <c r="P1445" t="s">
        <v>49</v>
      </c>
      <c r="Q1445" t="s">
        <v>149</v>
      </c>
      <c r="R1445">
        <v>5</v>
      </c>
      <c r="S1445">
        <v>1299</v>
      </c>
      <c r="T1445">
        <v>0.05</v>
      </c>
      <c r="U1445">
        <v>6170.25</v>
      </c>
      <c r="V1445">
        <v>3250</v>
      </c>
      <c r="W1445">
        <v>2920.25</v>
      </c>
      <c r="X1445" t="s">
        <v>74</v>
      </c>
      <c r="Y1445" t="s">
        <v>70</v>
      </c>
      <c r="Z1445" t="s">
        <v>160</v>
      </c>
      <c r="AA1445" t="s">
        <v>168</v>
      </c>
      <c r="AB1445">
        <v>3.5</v>
      </c>
      <c r="AC1445">
        <v>80</v>
      </c>
      <c r="AD1445">
        <v>456.39</v>
      </c>
      <c r="AE1445">
        <f t="shared" si="44"/>
        <v>2383.86</v>
      </c>
      <c r="AF1445" t="str">
        <f t="shared" si="45"/>
        <v>2025-07</v>
      </c>
      <c r="AG1445">
        <f>SUBTOTAL(103,A1445)</f>
        <v>1</v>
      </c>
    </row>
    <row r="1446" spans="1:33" x14ac:dyDescent="0.3">
      <c r="A1446" t="s">
        <v>4063</v>
      </c>
      <c r="B1446" s="13">
        <v>45841</v>
      </c>
      <c r="C1446">
        <v>2025</v>
      </c>
      <c r="D1446">
        <v>7</v>
      </c>
      <c r="E1446" t="s">
        <v>4046</v>
      </c>
      <c r="F1446" t="s">
        <v>4047</v>
      </c>
      <c r="G1446" t="s">
        <v>2059</v>
      </c>
      <c r="H1446" t="s">
        <v>2060</v>
      </c>
      <c r="I1446" t="s">
        <v>86</v>
      </c>
      <c r="J1446">
        <v>32</v>
      </c>
      <c r="K1446" t="s">
        <v>81</v>
      </c>
      <c r="L1446" t="s">
        <v>94</v>
      </c>
      <c r="M1446" t="s">
        <v>57</v>
      </c>
      <c r="N1446" t="s">
        <v>2577</v>
      </c>
      <c r="O1446" t="s">
        <v>129</v>
      </c>
      <c r="P1446" t="s">
        <v>49</v>
      </c>
      <c r="Q1446" t="s">
        <v>149</v>
      </c>
      <c r="R1446">
        <v>2</v>
      </c>
      <c r="S1446">
        <v>1299</v>
      </c>
      <c r="T1446">
        <v>0.05</v>
      </c>
      <c r="U1446">
        <v>2468.1</v>
      </c>
      <c r="V1446">
        <v>1300</v>
      </c>
      <c r="W1446">
        <v>1168.0999999999999</v>
      </c>
      <c r="X1446" t="s">
        <v>74</v>
      </c>
      <c r="Y1446" t="s">
        <v>68</v>
      </c>
      <c r="Z1446" t="s">
        <v>161</v>
      </c>
      <c r="AA1446" t="s">
        <v>170</v>
      </c>
      <c r="AB1446">
        <v>3.1</v>
      </c>
      <c r="AC1446">
        <v>40</v>
      </c>
      <c r="AD1446">
        <v>72.41</v>
      </c>
      <c r="AE1446">
        <f t="shared" si="44"/>
        <v>1055.6899999999998</v>
      </c>
      <c r="AF1446" t="str">
        <f t="shared" si="45"/>
        <v>2025-07</v>
      </c>
      <c r="AG1446">
        <f>SUBTOTAL(103,A1446)</f>
        <v>1</v>
      </c>
    </row>
    <row r="1447" spans="1:33" x14ac:dyDescent="0.3">
      <c r="A1447" t="s">
        <v>4064</v>
      </c>
      <c r="B1447" s="13">
        <v>45841</v>
      </c>
      <c r="C1447">
        <v>2025</v>
      </c>
      <c r="D1447">
        <v>7</v>
      </c>
      <c r="E1447" t="s">
        <v>4046</v>
      </c>
      <c r="F1447" t="s">
        <v>4047</v>
      </c>
      <c r="G1447" t="s">
        <v>347</v>
      </c>
      <c r="H1447" t="s">
        <v>348</v>
      </c>
      <c r="I1447" t="s">
        <v>86</v>
      </c>
      <c r="J1447">
        <v>33</v>
      </c>
      <c r="K1447" t="s">
        <v>81</v>
      </c>
      <c r="L1447" t="s">
        <v>96</v>
      </c>
      <c r="M1447" t="s">
        <v>55</v>
      </c>
      <c r="N1447" t="s">
        <v>2653</v>
      </c>
      <c r="O1447" t="s">
        <v>132</v>
      </c>
      <c r="P1447" t="s">
        <v>52</v>
      </c>
      <c r="Q1447" t="s">
        <v>150</v>
      </c>
      <c r="R1447">
        <v>2</v>
      </c>
      <c r="S1447">
        <v>899</v>
      </c>
      <c r="T1447">
        <v>0.2</v>
      </c>
      <c r="U1447">
        <v>1438.4</v>
      </c>
      <c r="V1447">
        <v>840</v>
      </c>
      <c r="W1447">
        <v>598.4</v>
      </c>
      <c r="X1447" t="s">
        <v>75</v>
      </c>
      <c r="Y1447" t="s">
        <v>68</v>
      </c>
      <c r="Z1447" t="s">
        <v>158</v>
      </c>
      <c r="AA1447" t="s">
        <v>166</v>
      </c>
      <c r="AB1447">
        <v>3.9</v>
      </c>
      <c r="AC1447">
        <v>60</v>
      </c>
      <c r="AD1447">
        <v>78.58</v>
      </c>
      <c r="AE1447">
        <f t="shared" si="44"/>
        <v>459.82</v>
      </c>
      <c r="AF1447" t="str">
        <f t="shared" si="45"/>
        <v>2025-07</v>
      </c>
      <c r="AG1447">
        <f>SUBTOTAL(103,A1447)</f>
        <v>1</v>
      </c>
    </row>
    <row r="1448" spans="1:33" x14ac:dyDescent="0.3">
      <c r="A1448" t="s">
        <v>4065</v>
      </c>
      <c r="B1448" s="13">
        <v>45841</v>
      </c>
      <c r="C1448">
        <v>2025</v>
      </c>
      <c r="D1448">
        <v>7</v>
      </c>
      <c r="E1448" t="s">
        <v>4046</v>
      </c>
      <c r="F1448" t="s">
        <v>4047</v>
      </c>
      <c r="G1448" t="s">
        <v>2025</v>
      </c>
      <c r="H1448" t="s">
        <v>2026</v>
      </c>
      <c r="I1448" t="s">
        <v>85</v>
      </c>
      <c r="J1448">
        <v>19</v>
      </c>
      <c r="K1448" t="s">
        <v>80</v>
      </c>
      <c r="L1448" t="s">
        <v>2623</v>
      </c>
      <c r="M1448" t="s">
        <v>61</v>
      </c>
      <c r="N1448" t="s">
        <v>2582</v>
      </c>
      <c r="O1448" t="s">
        <v>119</v>
      </c>
      <c r="P1448" t="s">
        <v>49</v>
      </c>
      <c r="Q1448" t="s">
        <v>140</v>
      </c>
      <c r="R1448">
        <v>2</v>
      </c>
      <c r="S1448">
        <v>3499</v>
      </c>
      <c r="T1448">
        <v>0.1</v>
      </c>
      <c r="U1448">
        <v>6298.2</v>
      </c>
      <c r="V1448">
        <v>4200</v>
      </c>
      <c r="W1448">
        <v>2098.1999999999998</v>
      </c>
      <c r="X1448" t="s">
        <v>74</v>
      </c>
      <c r="Y1448" t="s">
        <v>68</v>
      </c>
      <c r="Z1448" t="s">
        <v>161</v>
      </c>
      <c r="AA1448" t="s">
        <v>169</v>
      </c>
      <c r="AB1448">
        <v>3.8</v>
      </c>
      <c r="AC1448">
        <v>100</v>
      </c>
      <c r="AD1448">
        <v>711.52</v>
      </c>
      <c r="AE1448">
        <f t="shared" si="44"/>
        <v>1286.6799999999998</v>
      </c>
      <c r="AF1448" t="str">
        <f t="shared" si="45"/>
        <v>2025-07</v>
      </c>
      <c r="AG1448">
        <f>SUBTOTAL(103,A1448)</f>
        <v>1</v>
      </c>
    </row>
    <row r="1449" spans="1:33" x14ac:dyDescent="0.3">
      <c r="A1449" t="s">
        <v>4066</v>
      </c>
      <c r="B1449" s="13">
        <v>45841</v>
      </c>
      <c r="C1449">
        <v>2025</v>
      </c>
      <c r="D1449">
        <v>7</v>
      </c>
      <c r="E1449" t="s">
        <v>4046</v>
      </c>
      <c r="F1449" t="s">
        <v>4047</v>
      </c>
      <c r="G1449" t="s">
        <v>727</v>
      </c>
      <c r="H1449" t="s">
        <v>728</v>
      </c>
      <c r="I1449" t="s">
        <v>86</v>
      </c>
      <c r="J1449">
        <v>57</v>
      </c>
      <c r="K1449" t="s">
        <v>83</v>
      </c>
      <c r="L1449" t="s">
        <v>2661</v>
      </c>
      <c r="M1449" t="s">
        <v>58</v>
      </c>
      <c r="N1449" t="s">
        <v>2590</v>
      </c>
      <c r="O1449" t="s">
        <v>127</v>
      </c>
      <c r="P1449" t="s">
        <v>51</v>
      </c>
      <c r="Q1449" t="s">
        <v>148</v>
      </c>
      <c r="R1449">
        <v>1</v>
      </c>
      <c r="S1449">
        <v>1599</v>
      </c>
      <c r="T1449">
        <v>0.05</v>
      </c>
      <c r="U1449">
        <v>1519.05</v>
      </c>
      <c r="V1449">
        <v>800</v>
      </c>
      <c r="W1449">
        <v>719.05</v>
      </c>
      <c r="X1449" t="s">
        <v>73</v>
      </c>
      <c r="Y1449" t="s">
        <v>68</v>
      </c>
      <c r="Z1449" t="s">
        <v>161</v>
      </c>
      <c r="AA1449" t="s">
        <v>166</v>
      </c>
      <c r="AB1449">
        <v>5</v>
      </c>
      <c r="AC1449">
        <v>40</v>
      </c>
      <c r="AD1449">
        <v>141.5</v>
      </c>
      <c r="AE1449">
        <f t="shared" si="44"/>
        <v>537.54999999999995</v>
      </c>
      <c r="AF1449" t="str">
        <f t="shared" si="45"/>
        <v>2025-07</v>
      </c>
      <c r="AG1449">
        <f>SUBTOTAL(103,A1449)</f>
        <v>1</v>
      </c>
    </row>
    <row r="1450" spans="1:33" x14ac:dyDescent="0.3">
      <c r="A1450" t="s">
        <v>4067</v>
      </c>
      <c r="B1450" s="13">
        <v>45841</v>
      </c>
      <c r="C1450">
        <v>2025</v>
      </c>
      <c r="D1450">
        <v>7</v>
      </c>
      <c r="E1450" t="s">
        <v>4046</v>
      </c>
      <c r="F1450" t="s">
        <v>4047</v>
      </c>
      <c r="G1450" t="s">
        <v>1331</v>
      </c>
      <c r="H1450" t="s">
        <v>1332</v>
      </c>
      <c r="I1450" t="s">
        <v>85</v>
      </c>
      <c r="J1450">
        <v>45</v>
      </c>
      <c r="K1450" t="s">
        <v>82</v>
      </c>
      <c r="L1450" t="s">
        <v>93</v>
      </c>
      <c r="M1450" t="s">
        <v>55</v>
      </c>
      <c r="N1450" t="s">
        <v>2626</v>
      </c>
      <c r="O1450" t="s">
        <v>125</v>
      </c>
      <c r="P1450" t="s">
        <v>48</v>
      </c>
      <c r="Q1450" t="s">
        <v>141</v>
      </c>
      <c r="R1450">
        <v>1</v>
      </c>
      <c r="S1450">
        <v>1999</v>
      </c>
      <c r="T1450">
        <v>0</v>
      </c>
      <c r="U1450">
        <v>1999</v>
      </c>
      <c r="V1450">
        <v>1150</v>
      </c>
      <c r="W1450">
        <v>849</v>
      </c>
      <c r="X1450" t="s">
        <v>73</v>
      </c>
      <c r="Y1450" t="s">
        <v>68</v>
      </c>
      <c r="Z1450" t="s">
        <v>158</v>
      </c>
      <c r="AA1450" t="s">
        <v>167</v>
      </c>
      <c r="AB1450">
        <v>3.3</v>
      </c>
      <c r="AC1450">
        <v>80</v>
      </c>
      <c r="AD1450">
        <v>198.18</v>
      </c>
      <c r="AE1450">
        <f t="shared" si="44"/>
        <v>570.81999999999994</v>
      </c>
      <c r="AF1450" t="str">
        <f t="shared" si="45"/>
        <v>2025-07</v>
      </c>
      <c r="AG1450">
        <f>SUBTOTAL(103,A1450)</f>
        <v>1</v>
      </c>
    </row>
    <row r="1451" spans="1:33" x14ac:dyDescent="0.3">
      <c r="A1451" t="s">
        <v>4068</v>
      </c>
      <c r="B1451" s="13">
        <v>45842</v>
      </c>
      <c r="C1451">
        <v>2025</v>
      </c>
      <c r="D1451">
        <v>7</v>
      </c>
      <c r="E1451" t="s">
        <v>4046</v>
      </c>
      <c r="F1451" t="s">
        <v>4047</v>
      </c>
      <c r="G1451" t="s">
        <v>2131</v>
      </c>
      <c r="H1451" t="s">
        <v>2132</v>
      </c>
      <c r="I1451" t="s">
        <v>85</v>
      </c>
      <c r="J1451">
        <v>21</v>
      </c>
      <c r="K1451" t="s">
        <v>80</v>
      </c>
      <c r="L1451" t="s">
        <v>2687</v>
      </c>
      <c r="M1451" t="s">
        <v>57</v>
      </c>
      <c r="N1451" t="s">
        <v>2606</v>
      </c>
      <c r="O1451" t="s">
        <v>120</v>
      </c>
      <c r="P1451" t="s">
        <v>49</v>
      </c>
      <c r="Q1451" t="s">
        <v>140</v>
      </c>
      <c r="R1451">
        <v>1</v>
      </c>
      <c r="S1451">
        <v>2799</v>
      </c>
      <c r="T1451">
        <v>0</v>
      </c>
      <c r="U1451">
        <v>2799</v>
      </c>
      <c r="V1451">
        <v>1650</v>
      </c>
      <c r="W1451">
        <v>1149</v>
      </c>
      <c r="X1451" t="s">
        <v>77</v>
      </c>
      <c r="Y1451" t="s">
        <v>68</v>
      </c>
      <c r="Z1451" t="s">
        <v>159</v>
      </c>
      <c r="AA1451" t="s">
        <v>170</v>
      </c>
      <c r="AB1451">
        <v>3.5</v>
      </c>
      <c r="AC1451">
        <v>100</v>
      </c>
      <c r="AD1451">
        <v>331.17</v>
      </c>
      <c r="AE1451">
        <f t="shared" si="44"/>
        <v>717.82999999999993</v>
      </c>
      <c r="AF1451" t="str">
        <f t="shared" si="45"/>
        <v>2025-07</v>
      </c>
      <c r="AG1451">
        <f>SUBTOTAL(103,A1451)</f>
        <v>1</v>
      </c>
    </row>
    <row r="1452" spans="1:33" x14ac:dyDescent="0.3">
      <c r="A1452" t="s">
        <v>4069</v>
      </c>
      <c r="B1452" s="13">
        <v>45842</v>
      </c>
      <c r="C1452">
        <v>2025</v>
      </c>
      <c r="D1452">
        <v>7</v>
      </c>
      <c r="E1452" t="s">
        <v>4046</v>
      </c>
      <c r="F1452" t="s">
        <v>4047</v>
      </c>
      <c r="G1452" t="s">
        <v>791</v>
      </c>
      <c r="H1452" t="s">
        <v>792</v>
      </c>
      <c r="I1452" t="s">
        <v>86</v>
      </c>
      <c r="J1452">
        <v>28</v>
      </c>
      <c r="K1452" t="s">
        <v>81</v>
      </c>
      <c r="L1452" t="s">
        <v>2579</v>
      </c>
      <c r="M1452" t="s">
        <v>56</v>
      </c>
      <c r="N1452" t="s">
        <v>2665</v>
      </c>
      <c r="O1452" t="s">
        <v>128</v>
      </c>
      <c r="P1452" t="s">
        <v>53</v>
      </c>
      <c r="Q1452" t="s">
        <v>143</v>
      </c>
      <c r="R1452">
        <v>3</v>
      </c>
      <c r="S1452">
        <v>1499</v>
      </c>
      <c r="T1452">
        <v>0.05</v>
      </c>
      <c r="U1452">
        <v>4272.1499999999996</v>
      </c>
      <c r="V1452">
        <v>2400</v>
      </c>
      <c r="W1452">
        <v>1872.15</v>
      </c>
      <c r="X1452" t="s">
        <v>74</v>
      </c>
      <c r="Y1452" t="s">
        <v>70</v>
      </c>
      <c r="Z1452" t="s">
        <v>160</v>
      </c>
      <c r="AA1452" t="s">
        <v>168</v>
      </c>
      <c r="AB1452">
        <v>3.4</v>
      </c>
      <c r="AC1452">
        <v>100</v>
      </c>
      <c r="AD1452">
        <v>175.41</v>
      </c>
      <c r="AE1452">
        <f t="shared" si="44"/>
        <v>1596.74</v>
      </c>
      <c r="AF1452" t="str">
        <f t="shared" si="45"/>
        <v>2025-07</v>
      </c>
      <c r="AG1452">
        <f>SUBTOTAL(103,A1452)</f>
        <v>1</v>
      </c>
    </row>
    <row r="1453" spans="1:33" x14ac:dyDescent="0.3">
      <c r="A1453" t="s">
        <v>4070</v>
      </c>
      <c r="B1453" s="13">
        <v>45843</v>
      </c>
      <c r="C1453">
        <v>2025</v>
      </c>
      <c r="D1453">
        <v>7</v>
      </c>
      <c r="E1453" t="s">
        <v>4046</v>
      </c>
      <c r="F1453" t="s">
        <v>4047</v>
      </c>
      <c r="G1453" t="s">
        <v>727</v>
      </c>
      <c r="H1453" t="s">
        <v>728</v>
      </c>
      <c r="I1453" t="s">
        <v>86</v>
      </c>
      <c r="J1453">
        <v>57</v>
      </c>
      <c r="K1453" t="s">
        <v>83</v>
      </c>
      <c r="L1453" t="s">
        <v>2661</v>
      </c>
      <c r="M1453" t="s">
        <v>58</v>
      </c>
      <c r="N1453" t="s">
        <v>2574</v>
      </c>
      <c r="O1453" t="s">
        <v>130</v>
      </c>
      <c r="P1453" t="s">
        <v>50</v>
      </c>
      <c r="Q1453" t="s">
        <v>53</v>
      </c>
      <c r="R1453">
        <v>3</v>
      </c>
      <c r="S1453">
        <v>1199</v>
      </c>
      <c r="T1453">
        <v>0.1</v>
      </c>
      <c r="U1453">
        <v>3237.3</v>
      </c>
      <c r="V1453">
        <v>1650</v>
      </c>
      <c r="W1453">
        <v>1587.3</v>
      </c>
      <c r="X1453" t="s">
        <v>73</v>
      </c>
      <c r="Y1453" t="s">
        <v>68</v>
      </c>
      <c r="Z1453" t="s">
        <v>161</v>
      </c>
      <c r="AA1453" t="s">
        <v>166</v>
      </c>
      <c r="AB1453">
        <v>4.5</v>
      </c>
      <c r="AC1453">
        <v>80</v>
      </c>
      <c r="AD1453">
        <v>113.51</v>
      </c>
      <c r="AE1453">
        <f t="shared" si="44"/>
        <v>1393.79</v>
      </c>
      <c r="AF1453" t="str">
        <f t="shared" si="45"/>
        <v>2025-07</v>
      </c>
      <c r="AG1453">
        <f>SUBTOTAL(103,A1453)</f>
        <v>1</v>
      </c>
    </row>
    <row r="1454" spans="1:33" x14ac:dyDescent="0.3">
      <c r="A1454" t="s">
        <v>4071</v>
      </c>
      <c r="B1454" s="13">
        <v>45843</v>
      </c>
      <c r="C1454">
        <v>2025</v>
      </c>
      <c r="D1454">
        <v>7</v>
      </c>
      <c r="E1454" t="s">
        <v>4046</v>
      </c>
      <c r="F1454" t="s">
        <v>4047</v>
      </c>
      <c r="G1454" t="s">
        <v>477</v>
      </c>
      <c r="H1454" t="s">
        <v>478</v>
      </c>
      <c r="I1454" t="s">
        <v>86</v>
      </c>
      <c r="J1454">
        <v>59</v>
      </c>
      <c r="K1454" t="s">
        <v>83</v>
      </c>
      <c r="L1454" t="s">
        <v>99</v>
      </c>
      <c r="M1454" t="s">
        <v>58</v>
      </c>
      <c r="N1454" t="s">
        <v>2587</v>
      </c>
      <c r="O1454" t="s">
        <v>116</v>
      </c>
      <c r="P1454" t="s">
        <v>48</v>
      </c>
      <c r="Q1454" t="s">
        <v>138</v>
      </c>
      <c r="R1454">
        <v>2</v>
      </c>
      <c r="S1454">
        <v>14999</v>
      </c>
      <c r="T1454">
        <v>0.1</v>
      </c>
      <c r="U1454">
        <v>26998.2</v>
      </c>
      <c r="V1454">
        <v>22400</v>
      </c>
      <c r="W1454">
        <v>4598.2</v>
      </c>
      <c r="X1454" t="s">
        <v>74</v>
      </c>
      <c r="Y1454" t="s">
        <v>68</v>
      </c>
      <c r="Z1454" t="s">
        <v>159</v>
      </c>
      <c r="AA1454" t="s">
        <v>170</v>
      </c>
      <c r="AB1454">
        <v>4.0999999999999996</v>
      </c>
      <c r="AC1454">
        <v>80</v>
      </c>
      <c r="AD1454">
        <v>1059.23</v>
      </c>
      <c r="AE1454">
        <f t="shared" si="44"/>
        <v>3458.97</v>
      </c>
      <c r="AF1454" t="str">
        <f t="shared" si="45"/>
        <v>2025-07</v>
      </c>
      <c r="AG1454">
        <f>SUBTOTAL(103,A1454)</f>
        <v>1</v>
      </c>
    </row>
    <row r="1455" spans="1:33" x14ac:dyDescent="0.3">
      <c r="A1455" t="s">
        <v>4072</v>
      </c>
      <c r="B1455" s="13">
        <v>45843</v>
      </c>
      <c r="C1455">
        <v>2025</v>
      </c>
      <c r="D1455">
        <v>7</v>
      </c>
      <c r="E1455" t="s">
        <v>4046</v>
      </c>
      <c r="F1455" t="s">
        <v>4047</v>
      </c>
      <c r="G1455" t="s">
        <v>783</v>
      </c>
      <c r="H1455" t="s">
        <v>784</v>
      </c>
      <c r="I1455" t="s">
        <v>86</v>
      </c>
      <c r="J1455">
        <v>21</v>
      </c>
      <c r="K1455" t="s">
        <v>80</v>
      </c>
      <c r="L1455" t="s">
        <v>2674</v>
      </c>
      <c r="M1455" t="s">
        <v>58</v>
      </c>
      <c r="N1455" t="s">
        <v>2606</v>
      </c>
      <c r="O1455" t="s">
        <v>120</v>
      </c>
      <c r="P1455" t="s">
        <v>49</v>
      </c>
      <c r="Q1455" t="s">
        <v>140</v>
      </c>
      <c r="R1455">
        <v>2</v>
      </c>
      <c r="S1455">
        <v>2799</v>
      </c>
      <c r="T1455">
        <v>0.1</v>
      </c>
      <c r="U1455">
        <v>5038.2</v>
      </c>
      <c r="V1455">
        <v>3300</v>
      </c>
      <c r="W1455">
        <v>1738.2</v>
      </c>
      <c r="X1455" t="s">
        <v>73</v>
      </c>
      <c r="Y1455" t="s">
        <v>68</v>
      </c>
      <c r="Z1455" t="s">
        <v>159</v>
      </c>
      <c r="AA1455" t="s">
        <v>168</v>
      </c>
      <c r="AB1455">
        <v>4.9000000000000004</v>
      </c>
      <c r="AC1455">
        <v>80</v>
      </c>
      <c r="AD1455">
        <v>329.02</v>
      </c>
      <c r="AE1455">
        <f t="shared" si="44"/>
        <v>1329.18</v>
      </c>
      <c r="AF1455" t="str">
        <f t="shared" si="45"/>
        <v>2025-07</v>
      </c>
      <c r="AG1455">
        <f>SUBTOTAL(103,A1455)</f>
        <v>1</v>
      </c>
    </row>
    <row r="1456" spans="1:33" x14ac:dyDescent="0.3">
      <c r="A1456" t="s">
        <v>4073</v>
      </c>
      <c r="B1456" s="13">
        <v>45843</v>
      </c>
      <c r="C1456">
        <v>2025</v>
      </c>
      <c r="D1456">
        <v>7</v>
      </c>
      <c r="E1456" t="s">
        <v>4046</v>
      </c>
      <c r="F1456" t="s">
        <v>4047</v>
      </c>
      <c r="G1456" t="s">
        <v>695</v>
      </c>
      <c r="H1456" t="s">
        <v>696</v>
      </c>
      <c r="I1456" t="s">
        <v>85</v>
      </c>
      <c r="J1456">
        <v>43</v>
      </c>
      <c r="K1456" t="s">
        <v>82</v>
      </c>
      <c r="L1456" t="s">
        <v>100</v>
      </c>
      <c r="M1456" t="s">
        <v>56</v>
      </c>
      <c r="N1456" t="s">
        <v>2644</v>
      </c>
      <c r="O1456" t="s">
        <v>126</v>
      </c>
      <c r="P1456" t="s">
        <v>50</v>
      </c>
      <c r="Q1456" t="s">
        <v>145</v>
      </c>
      <c r="R1456">
        <v>3</v>
      </c>
      <c r="S1456">
        <v>1799</v>
      </c>
      <c r="T1456">
        <v>0.1</v>
      </c>
      <c r="U1456">
        <v>4857.3</v>
      </c>
      <c r="V1456">
        <v>2850</v>
      </c>
      <c r="W1456">
        <v>2007.3</v>
      </c>
      <c r="X1456" t="s">
        <v>73</v>
      </c>
      <c r="Y1456" t="s">
        <v>68</v>
      </c>
      <c r="Z1456" t="s">
        <v>159</v>
      </c>
      <c r="AA1456" t="s">
        <v>169</v>
      </c>
      <c r="AB1456">
        <v>4.4000000000000004</v>
      </c>
      <c r="AC1456">
        <v>80</v>
      </c>
      <c r="AD1456">
        <v>231.97</v>
      </c>
      <c r="AE1456">
        <f t="shared" si="44"/>
        <v>1695.33</v>
      </c>
      <c r="AF1456" t="str">
        <f t="shared" si="45"/>
        <v>2025-07</v>
      </c>
      <c r="AG1456">
        <f>SUBTOTAL(103,A1456)</f>
        <v>1</v>
      </c>
    </row>
    <row r="1457" spans="1:33" x14ac:dyDescent="0.3">
      <c r="A1457" t="s">
        <v>4074</v>
      </c>
      <c r="B1457" s="13">
        <v>45843</v>
      </c>
      <c r="C1457">
        <v>2025</v>
      </c>
      <c r="D1457">
        <v>7</v>
      </c>
      <c r="E1457" t="s">
        <v>4046</v>
      </c>
      <c r="F1457" t="s">
        <v>4047</v>
      </c>
      <c r="G1457" t="s">
        <v>291</v>
      </c>
      <c r="H1457" t="s">
        <v>292</v>
      </c>
      <c r="I1457" t="s">
        <v>87</v>
      </c>
      <c r="J1457">
        <v>21</v>
      </c>
      <c r="K1457" t="s">
        <v>80</v>
      </c>
      <c r="L1457" t="s">
        <v>98</v>
      </c>
      <c r="M1457" t="s">
        <v>55</v>
      </c>
      <c r="N1457" t="s">
        <v>2587</v>
      </c>
      <c r="O1457" t="s">
        <v>116</v>
      </c>
      <c r="P1457" t="s">
        <v>48</v>
      </c>
      <c r="Q1457" t="s">
        <v>138</v>
      </c>
      <c r="R1457">
        <v>4</v>
      </c>
      <c r="S1457">
        <v>14999</v>
      </c>
      <c r="T1457">
        <v>0.05</v>
      </c>
      <c r="U1457">
        <v>56996.2</v>
      </c>
      <c r="V1457">
        <v>44800</v>
      </c>
      <c r="W1457">
        <v>12196.2</v>
      </c>
      <c r="X1457" t="s">
        <v>75</v>
      </c>
      <c r="Y1457" t="s">
        <v>70</v>
      </c>
      <c r="Z1457" t="s">
        <v>159</v>
      </c>
      <c r="AA1457" t="s">
        <v>168</v>
      </c>
      <c r="AB1457">
        <v>5</v>
      </c>
      <c r="AC1457">
        <v>50</v>
      </c>
      <c r="AD1457">
        <v>5376.02</v>
      </c>
      <c r="AE1457">
        <f t="shared" si="44"/>
        <v>6770.18</v>
      </c>
      <c r="AF1457" t="str">
        <f t="shared" si="45"/>
        <v>2025-07</v>
      </c>
      <c r="AG1457">
        <f>SUBTOTAL(103,A1457)</f>
        <v>1</v>
      </c>
    </row>
    <row r="1458" spans="1:33" x14ac:dyDescent="0.3">
      <c r="A1458" t="s">
        <v>4075</v>
      </c>
      <c r="B1458" s="13">
        <v>45843</v>
      </c>
      <c r="C1458">
        <v>2025</v>
      </c>
      <c r="D1458">
        <v>7</v>
      </c>
      <c r="E1458" t="s">
        <v>4046</v>
      </c>
      <c r="F1458" t="s">
        <v>4047</v>
      </c>
      <c r="G1458" t="s">
        <v>1455</v>
      </c>
      <c r="H1458" t="s">
        <v>1456</v>
      </c>
      <c r="I1458" t="s">
        <v>86</v>
      </c>
      <c r="J1458">
        <v>58</v>
      </c>
      <c r="K1458" t="s">
        <v>83</v>
      </c>
      <c r="L1458" t="s">
        <v>2634</v>
      </c>
      <c r="M1458" t="s">
        <v>56</v>
      </c>
      <c r="N1458" t="s">
        <v>2630</v>
      </c>
      <c r="O1458" t="s">
        <v>123</v>
      </c>
      <c r="P1458" t="s">
        <v>52</v>
      </c>
      <c r="Q1458" t="s">
        <v>146</v>
      </c>
      <c r="R1458">
        <v>3</v>
      </c>
      <c r="S1458">
        <v>2499</v>
      </c>
      <c r="T1458">
        <v>0.15</v>
      </c>
      <c r="U1458">
        <v>6372.45</v>
      </c>
      <c r="V1458">
        <v>4200</v>
      </c>
      <c r="W1458">
        <v>2172.4499999999998</v>
      </c>
      <c r="X1458" t="s">
        <v>74</v>
      </c>
      <c r="Y1458" t="s">
        <v>68</v>
      </c>
      <c r="Z1458" t="s">
        <v>160</v>
      </c>
      <c r="AA1458" t="s">
        <v>168</v>
      </c>
      <c r="AB1458">
        <v>5</v>
      </c>
      <c r="AC1458">
        <v>80</v>
      </c>
      <c r="AD1458">
        <v>392.76</v>
      </c>
      <c r="AE1458">
        <f t="shared" si="44"/>
        <v>1699.6899999999998</v>
      </c>
      <c r="AF1458" t="str">
        <f t="shared" si="45"/>
        <v>2025-07</v>
      </c>
      <c r="AG1458">
        <f>SUBTOTAL(103,A1458)</f>
        <v>1</v>
      </c>
    </row>
    <row r="1459" spans="1:33" x14ac:dyDescent="0.3">
      <c r="A1459" t="s">
        <v>4076</v>
      </c>
      <c r="B1459" s="13">
        <v>45843</v>
      </c>
      <c r="C1459">
        <v>2025</v>
      </c>
      <c r="D1459">
        <v>7</v>
      </c>
      <c r="E1459" t="s">
        <v>4046</v>
      </c>
      <c r="F1459" t="s">
        <v>4047</v>
      </c>
      <c r="G1459" t="s">
        <v>265</v>
      </c>
      <c r="H1459" t="s">
        <v>266</v>
      </c>
      <c r="I1459" t="s">
        <v>85</v>
      </c>
      <c r="J1459">
        <v>35</v>
      </c>
      <c r="K1459" t="s">
        <v>81</v>
      </c>
      <c r="L1459" t="s">
        <v>93</v>
      </c>
      <c r="M1459" t="s">
        <v>55</v>
      </c>
      <c r="N1459" t="s">
        <v>2580</v>
      </c>
      <c r="O1459" t="s">
        <v>118</v>
      </c>
      <c r="P1459" t="s">
        <v>48</v>
      </c>
      <c r="Q1459" t="s">
        <v>142</v>
      </c>
      <c r="R1459">
        <v>2</v>
      </c>
      <c r="S1459">
        <v>3999</v>
      </c>
      <c r="T1459">
        <v>0.05</v>
      </c>
      <c r="U1459">
        <v>7598.1</v>
      </c>
      <c r="V1459">
        <v>4800</v>
      </c>
      <c r="W1459">
        <v>2798.1</v>
      </c>
      <c r="X1459" t="s">
        <v>73</v>
      </c>
      <c r="Y1459" t="s">
        <v>68</v>
      </c>
      <c r="Z1459" t="s">
        <v>158</v>
      </c>
      <c r="AA1459" t="s">
        <v>168</v>
      </c>
      <c r="AB1459">
        <v>3.2</v>
      </c>
      <c r="AC1459">
        <v>40</v>
      </c>
      <c r="AD1459">
        <v>598.07000000000005</v>
      </c>
      <c r="AE1459">
        <f t="shared" si="44"/>
        <v>2160.0299999999997</v>
      </c>
      <c r="AF1459" t="str">
        <f t="shared" si="45"/>
        <v>2025-07</v>
      </c>
      <c r="AG1459">
        <f>SUBTOTAL(103,A1459)</f>
        <v>1</v>
      </c>
    </row>
    <row r="1460" spans="1:33" x14ac:dyDescent="0.3">
      <c r="A1460" t="s">
        <v>4077</v>
      </c>
      <c r="B1460" s="13">
        <v>45843</v>
      </c>
      <c r="C1460">
        <v>2025</v>
      </c>
      <c r="D1460">
        <v>7</v>
      </c>
      <c r="E1460" t="s">
        <v>4046</v>
      </c>
      <c r="F1460" t="s">
        <v>4047</v>
      </c>
      <c r="G1460" t="s">
        <v>1683</v>
      </c>
      <c r="H1460" t="s">
        <v>1684</v>
      </c>
      <c r="I1460" t="s">
        <v>86</v>
      </c>
      <c r="J1460">
        <v>45</v>
      </c>
      <c r="K1460" t="s">
        <v>82</v>
      </c>
      <c r="L1460" t="s">
        <v>94</v>
      </c>
      <c r="M1460" t="s">
        <v>57</v>
      </c>
      <c r="N1460" t="s">
        <v>2594</v>
      </c>
      <c r="O1460" t="s">
        <v>131</v>
      </c>
      <c r="P1460" t="s">
        <v>53</v>
      </c>
      <c r="Q1460" t="s">
        <v>143</v>
      </c>
      <c r="R1460">
        <v>4</v>
      </c>
      <c r="S1460">
        <v>999</v>
      </c>
      <c r="T1460">
        <v>0</v>
      </c>
      <c r="U1460">
        <v>0</v>
      </c>
      <c r="V1460">
        <v>0</v>
      </c>
      <c r="W1460">
        <v>0</v>
      </c>
      <c r="X1460" t="s">
        <v>73</v>
      </c>
      <c r="Y1460" t="s">
        <v>71</v>
      </c>
      <c r="Z1460" t="s">
        <v>162</v>
      </c>
      <c r="AA1460" t="s">
        <v>167</v>
      </c>
      <c r="AB1460">
        <v>3.8</v>
      </c>
      <c r="AC1460">
        <v>50</v>
      </c>
      <c r="AD1460">
        <v>465.82</v>
      </c>
      <c r="AE1460">
        <f t="shared" si="44"/>
        <v>-515.81999999999994</v>
      </c>
      <c r="AF1460" t="str">
        <f t="shared" si="45"/>
        <v>2025-07</v>
      </c>
      <c r="AG1460">
        <f>SUBTOTAL(103,A1460)</f>
        <v>1</v>
      </c>
    </row>
    <row r="1461" spans="1:33" x14ac:dyDescent="0.3">
      <c r="A1461" t="s">
        <v>4078</v>
      </c>
      <c r="B1461" s="13">
        <v>45843</v>
      </c>
      <c r="C1461">
        <v>2025</v>
      </c>
      <c r="D1461">
        <v>7</v>
      </c>
      <c r="E1461" t="s">
        <v>4046</v>
      </c>
      <c r="F1461" t="s">
        <v>4047</v>
      </c>
      <c r="G1461" t="s">
        <v>897</v>
      </c>
      <c r="H1461" t="s">
        <v>898</v>
      </c>
      <c r="I1461" t="s">
        <v>85</v>
      </c>
      <c r="J1461">
        <v>43</v>
      </c>
      <c r="K1461" t="s">
        <v>82</v>
      </c>
      <c r="L1461" t="s">
        <v>59</v>
      </c>
      <c r="M1461" t="s">
        <v>59</v>
      </c>
      <c r="N1461" t="s">
        <v>2601</v>
      </c>
      <c r="O1461" t="s">
        <v>117</v>
      </c>
      <c r="P1461" t="s">
        <v>49</v>
      </c>
      <c r="Q1461" t="s">
        <v>139</v>
      </c>
      <c r="R1461">
        <v>1</v>
      </c>
      <c r="S1461">
        <v>6999</v>
      </c>
      <c r="T1461">
        <v>0.25</v>
      </c>
      <c r="U1461">
        <v>5249.25</v>
      </c>
      <c r="V1461">
        <v>4300</v>
      </c>
      <c r="W1461">
        <v>949.25</v>
      </c>
      <c r="X1461" t="s">
        <v>75</v>
      </c>
      <c r="Y1461" t="s">
        <v>68</v>
      </c>
      <c r="Z1461" t="s">
        <v>158</v>
      </c>
      <c r="AA1461" t="s">
        <v>168</v>
      </c>
      <c r="AB1461">
        <v>3.8</v>
      </c>
      <c r="AC1461">
        <v>50</v>
      </c>
      <c r="AD1461">
        <v>541.62</v>
      </c>
      <c r="AE1461">
        <f t="shared" si="44"/>
        <v>357.63</v>
      </c>
      <c r="AF1461" t="str">
        <f t="shared" si="45"/>
        <v>2025-07</v>
      </c>
      <c r="AG1461">
        <f>SUBTOTAL(103,A1461)</f>
        <v>1</v>
      </c>
    </row>
    <row r="1462" spans="1:33" x14ac:dyDescent="0.3">
      <c r="A1462" t="s">
        <v>4079</v>
      </c>
      <c r="B1462" s="13">
        <v>45844</v>
      </c>
      <c r="C1462">
        <v>2025</v>
      </c>
      <c r="D1462">
        <v>7</v>
      </c>
      <c r="E1462" t="s">
        <v>4046</v>
      </c>
      <c r="F1462" t="s">
        <v>4047</v>
      </c>
      <c r="G1462" t="s">
        <v>1945</v>
      </c>
      <c r="H1462" t="s">
        <v>1946</v>
      </c>
      <c r="I1462" t="s">
        <v>85</v>
      </c>
      <c r="J1462">
        <v>57</v>
      </c>
      <c r="K1462" t="s">
        <v>83</v>
      </c>
      <c r="L1462" t="s">
        <v>90</v>
      </c>
      <c r="M1462" t="s">
        <v>55</v>
      </c>
      <c r="N1462" t="s">
        <v>2644</v>
      </c>
      <c r="O1462" t="s">
        <v>126</v>
      </c>
      <c r="P1462" t="s">
        <v>50</v>
      </c>
      <c r="Q1462" t="s">
        <v>145</v>
      </c>
      <c r="R1462">
        <v>2</v>
      </c>
      <c r="S1462">
        <v>1799</v>
      </c>
      <c r="T1462">
        <v>0</v>
      </c>
      <c r="U1462">
        <v>3598</v>
      </c>
      <c r="V1462">
        <v>1900</v>
      </c>
      <c r="W1462">
        <v>1698</v>
      </c>
      <c r="X1462" t="s">
        <v>74</v>
      </c>
      <c r="Y1462" t="s">
        <v>68</v>
      </c>
      <c r="Z1462" t="s">
        <v>163</v>
      </c>
      <c r="AA1462" t="s">
        <v>166</v>
      </c>
      <c r="AB1462">
        <v>3.4</v>
      </c>
      <c r="AC1462">
        <v>50</v>
      </c>
      <c r="AD1462">
        <v>359.5</v>
      </c>
      <c r="AE1462">
        <f t="shared" si="44"/>
        <v>1288.5</v>
      </c>
      <c r="AF1462" t="str">
        <f t="shared" si="45"/>
        <v>2025-07</v>
      </c>
      <c r="AG1462">
        <f>SUBTOTAL(103,A1462)</f>
        <v>1</v>
      </c>
    </row>
    <row r="1463" spans="1:33" x14ac:dyDescent="0.3">
      <c r="A1463" t="s">
        <v>4080</v>
      </c>
      <c r="B1463" s="13">
        <v>45844</v>
      </c>
      <c r="C1463">
        <v>2025</v>
      </c>
      <c r="D1463">
        <v>7</v>
      </c>
      <c r="E1463" t="s">
        <v>4046</v>
      </c>
      <c r="F1463" t="s">
        <v>4047</v>
      </c>
      <c r="G1463" t="s">
        <v>1347</v>
      </c>
      <c r="H1463" t="s">
        <v>1348</v>
      </c>
      <c r="I1463" t="s">
        <v>85</v>
      </c>
      <c r="J1463">
        <v>39</v>
      </c>
      <c r="K1463" t="s">
        <v>82</v>
      </c>
      <c r="L1463" t="s">
        <v>2616</v>
      </c>
      <c r="M1463" t="s">
        <v>62</v>
      </c>
      <c r="N1463" t="s">
        <v>2582</v>
      </c>
      <c r="O1463" t="s">
        <v>119</v>
      </c>
      <c r="P1463" t="s">
        <v>49</v>
      </c>
      <c r="Q1463" t="s">
        <v>140</v>
      </c>
      <c r="R1463">
        <v>1</v>
      </c>
      <c r="S1463">
        <v>3499</v>
      </c>
      <c r="T1463">
        <v>0.15</v>
      </c>
      <c r="U1463">
        <v>0</v>
      </c>
      <c r="V1463">
        <v>0</v>
      </c>
      <c r="W1463">
        <v>0</v>
      </c>
      <c r="X1463" t="s">
        <v>74</v>
      </c>
      <c r="Y1463" t="s">
        <v>71</v>
      </c>
      <c r="Z1463" t="s">
        <v>158</v>
      </c>
      <c r="AA1463" t="s">
        <v>169</v>
      </c>
      <c r="AB1463">
        <v>3.5</v>
      </c>
      <c r="AC1463">
        <v>80</v>
      </c>
      <c r="AD1463">
        <v>134.02000000000001</v>
      </c>
      <c r="AE1463">
        <f t="shared" si="44"/>
        <v>-214.02</v>
      </c>
      <c r="AF1463" t="str">
        <f t="shared" si="45"/>
        <v>2025-07</v>
      </c>
      <c r="AG1463">
        <f>SUBTOTAL(103,A1463)</f>
        <v>1</v>
      </c>
    </row>
    <row r="1464" spans="1:33" x14ac:dyDescent="0.3">
      <c r="A1464" t="s">
        <v>4081</v>
      </c>
      <c r="B1464" s="13">
        <v>45844</v>
      </c>
      <c r="C1464">
        <v>2025</v>
      </c>
      <c r="D1464">
        <v>7</v>
      </c>
      <c r="E1464" t="s">
        <v>4046</v>
      </c>
      <c r="F1464" t="s">
        <v>4047</v>
      </c>
      <c r="G1464" t="s">
        <v>1331</v>
      </c>
      <c r="H1464" t="s">
        <v>1332</v>
      </c>
      <c r="I1464" t="s">
        <v>85</v>
      </c>
      <c r="J1464">
        <v>45</v>
      </c>
      <c r="K1464" t="s">
        <v>82</v>
      </c>
      <c r="L1464" t="s">
        <v>93</v>
      </c>
      <c r="M1464" t="s">
        <v>55</v>
      </c>
      <c r="N1464" t="s">
        <v>2596</v>
      </c>
      <c r="O1464" t="s">
        <v>124</v>
      </c>
      <c r="P1464" t="s">
        <v>51</v>
      </c>
      <c r="Q1464" t="s">
        <v>147</v>
      </c>
      <c r="R1464">
        <v>1</v>
      </c>
      <c r="S1464">
        <v>2299</v>
      </c>
      <c r="T1464">
        <v>0.1</v>
      </c>
      <c r="U1464">
        <v>0</v>
      </c>
      <c r="V1464">
        <v>0</v>
      </c>
      <c r="W1464">
        <v>0</v>
      </c>
      <c r="X1464" t="s">
        <v>75</v>
      </c>
      <c r="Y1464" t="s">
        <v>71</v>
      </c>
      <c r="Z1464" t="s">
        <v>160</v>
      </c>
      <c r="AA1464" t="s">
        <v>168</v>
      </c>
      <c r="AB1464">
        <v>4.8</v>
      </c>
      <c r="AC1464">
        <v>60</v>
      </c>
      <c r="AD1464">
        <v>169.54</v>
      </c>
      <c r="AE1464">
        <f t="shared" si="44"/>
        <v>-229.54</v>
      </c>
      <c r="AF1464" t="str">
        <f t="shared" si="45"/>
        <v>2025-07</v>
      </c>
      <c r="AG1464">
        <f>SUBTOTAL(103,A1464)</f>
        <v>1</v>
      </c>
    </row>
    <row r="1465" spans="1:33" x14ac:dyDescent="0.3">
      <c r="A1465" t="s">
        <v>4082</v>
      </c>
      <c r="B1465" s="13">
        <v>45844</v>
      </c>
      <c r="C1465">
        <v>2025</v>
      </c>
      <c r="D1465">
        <v>7</v>
      </c>
      <c r="E1465" t="s">
        <v>4046</v>
      </c>
      <c r="F1465" t="s">
        <v>4047</v>
      </c>
      <c r="G1465" t="s">
        <v>363</v>
      </c>
      <c r="H1465" t="s">
        <v>364</v>
      </c>
      <c r="I1465" t="s">
        <v>85</v>
      </c>
      <c r="J1465">
        <v>43</v>
      </c>
      <c r="K1465" t="s">
        <v>82</v>
      </c>
      <c r="L1465" t="s">
        <v>93</v>
      </c>
      <c r="M1465" t="s">
        <v>55</v>
      </c>
      <c r="N1465" t="s">
        <v>2582</v>
      </c>
      <c r="O1465" t="s">
        <v>119</v>
      </c>
      <c r="P1465" t="s">
        <v>49</v>
      </c>
      <c r="Q1465" t="s">
        <v>140</v>
      </c>
      <c r="R1465">
        <v>5</v>
      </c>
      <c r="S1465">
        <v>3499</v>
      </c>
      <c r="T1465">
        <v>0.15</v>
      </c>
      <c r="U1465">
        <v>14870.75</v>
      </c>
      <c r="V1465">
        <v>10500</v>
      </c>
      <c r="W1465">
        <v>4370.75</v>
      </c>
      <c r="X1465" t="s">
        <v>73</v>
      </c>
      <c r="Y1465" t="s">
        <v>68</v>
      </c>
      <c r="Z1465" t="s">
        <v>163</v>
      </c>
      <c r="AA1465" t="s">
        <v>167</v>
      </c>
      <c r="AB1465">
        <v>4.7</v>
      </c>
      <c r="AC1465">
        <v>80</v>
      </c>
      <c r="AD1465">
        <v>665.51</v>
      </c>
      <c r="AE1465">
        <f t="shared" si="44"/>
        <v>3625.24</v>
      </c>
      <c r="AF1465" t="str">
        <f t="shared" si="45"/>
        <v>2025-07</v>
      </c>
      <c r="AG1465">
        <f>SUBTOTAL(103,A1465)</f>
        <v>1</v>
      </c>
    </row>
    <row r="1466" spans="1:33" x14ac:dyDescent="0.3">
      <c r="A1466" t="s">
        <v>4083</v>
      </c>
      <c r="B1466" s="13">
        <v>45844</v>
      </c>
      <c r="C1466">
        <v>2025</v>
      </c>
      <c r="D1466">
        <v>7</v>
      </c>
      <c r="E1466" t="s">
        <v>4046</v>
      </c>
      <c r="F1466" t="s">
        <v>4047</v>
      </c>
      <c r="G1466" t="s">
        <v>701</v>
      </c>
      <c r="H1466" t="s">
        <v>702</v>
      </c>
      <c r="I1466" t="s">
        <v>86</v>
      </c>
      <c r="J1466">
        <v>45</v>
      </c>
      <c r="K1466" t="s">
        <v>82</v>
      </c>
      <c r="L1466" t="s">
        <v>2679</v>
      </c>
      <c r="M1466" t="s">
        <v>60</v>
      </c>
      <c r="N1466" t="s">
        <v>2574</v>
      </c>
      <c r="O1466" t="s">
        <v>130</v>
      </c>
      <c r="P1466" t="s">
        <v>50</v>
      </c>
      <c r="Q1466" t="s">
        <v>53</v>
      </c>
      <c r="R1466">
        <v>5</v>
      </c>
      <c r="S1466">
        <v>1199</v>
      </c>
      <c r="T1466">
        <v>0.05</v>
      </c>
      <c r="U1466">
        <v>5695.25</v>
      </c>
      <c r="V1466">
        <v>2750</v>
      </c>
      <c r="W1466">
        <v>2945.25</v>
      </c>
      <c r="X1466" t="s">
        <v>74</v>
      </c>
      <c r="Y1466" t="s">
        <v>68</v>
      </c>
      <c r="Z1466" t="s">
        <v>161</v>
      </c>
      <c r="AA1466" t="s">
        <v>166</v>
      </c>
      <c r="AB1466">
        <v>4.8</v>
      </c>
      <c r="AC1466">
        <v>50</v>
      </c>
      <c r="AD1466">
        <v>660.32</v>
      </c>
      <c r="AE1466">
        <f t="shared" si="44"/>
        <v>2234.9299999999998</v>
      </c>
      <c r="AF1466" t="str">
        <f t="shared" si="45"/>
        <v>2025-07</v>
      </c>
      <c r="AG1466">
        <f>SUBTOTAL(103,A1466)</f>
        <v>1</v>
      </c>
    </row>
    <row r="1467" spans="1:33" x14ac:dyDescent="0.3">
      <c r="A1467" t="s">
        <v>4084</v>
      </c>
      <c r="B1467" s="13">
        <v>45844</v>
      </c>
      <c r="C1467">
        <v>2025</v>
      </c>
      <c r="D1467">
        <v>7</v>
      </c>
      <c r="E1467" t="s">
        <v>4046</v>
      </c>
      <c r="F1467" t="s">
        <v>4047</v>
      </c>
      <c r="G1467" t="s">
        <v>365</v>
      </c>
      <c r="H1467" t="s">
        <v>366</v>
      </c>
      <c r="I1467" t="s">
        <v>86</v>
      </c>
      <c r="J1467">
        <v>22</v>
      </c>
      <c r="K1467" t="s">
        <v>80</v>
      </c>
      <c r="L1467" t="s">
        <v>91</v>
      </c>
      <c r="M1467" t="s">
        <v>55</v>
      </c>
      <c r="N1467" t="s">
        <v>2594</v>
      </c>
      <c r="O1467" t="s">
        <v>131</v>
      </c>
      <c r="P1467" t="s">
        <v>53</v>
      </c>
      <c r="Q1467" t="s">
        <v>143</v>
      </c>
      <c r="R1467">
        <v>1</v>
      </c>
      <c r="S1467">
        <v>999</v>
      </c>
      <c r="T1467">
        <v>0</v>
      </c>
      <c r="U1467">
        <v>999</v>
      </c>
      <c r="V1467">
        <v>520</v>
      </c>
      <c r="W1467">
        <v>479</v>
      </c>
      <c r="X1467" t="s">
        <v>77</v>
      </c>
      <c r="Y1467" t="s">
        <v>68</v>
      </c>
      <c r="Z1467" t="s">
        <v>161</v>
      </c>
      <c r="AA1467" t="s">
        <v>167</v>
      </c>
      <c r="AB1467">
        <v>4</v>
      </c>
      <c r="AC1467">
        <v>40</v>
      </c>
      <c r="AD1467">
        <v>113.48</v>
      </c>
      <c r="AE1467">
        <f t="shared" si="44"/>
        <v>325.52</v>
      </c>
      <c r="AF1467" t="str">
        <f t="shared" si="45"/>
        <v>2025-07</v>
      </c>
      <c r="AG1467">
        <f>SUBTOTAL(103,A1467)</f>
        <v>1</v>
      </c>
    </row>
    <row r="1468" spans="1:33" x14ac:dyDescent="0.3">
      <c r="A1468" t="s">
        <v>4085</v>
      </c>
      <c r="B1468" s="13">
        <v>45844</v>
      </c>
      <c r="C1468">
        <v>2025</v>
      </c>
      <c r="D1468">
        <v>7</v>
      </c>
      <c r="E1468" t="s">
        <v>4046</v>
      </c>
      <c r="F1468" t="s">
        <v>4047</v>
      </c>
      <c r="G1468" t="s">
        <v>2357</v>
      </c>
      <c r="H1468" t="s">
        <v>2358</v>
      </c>
      <c r="I1468" t="s">
        <v>86</v>
      </c>
      <c r="J1468">
        <v>21</v>
      </c>
      <c r="K1468" t="s">
        <v>80</v>
      </c>
      <c r="L1468" t="s">
        <v>97</v>
      </c>
      <c r="M1468" t="s">
        <v>57</v>
      </c>
      <c r="N1468" t="s">
        <v>2584</v>
      </c>
      <c r="O1468" t="s">
        <v>121</v>
      </c>
      <c r="P1468" t="s">
        <v>50</v>
      </c>
      <c r="Q1468" t="s">
        <v>144</v>
      </c>
      <c r="R1468">
        <v>2</v>
      </c>
      <c r="S1468">
        <v>2999</v>
      </c>
      <c r="T1468">
        <v>0.1</v>
      </c>
      <c r="U1468">
        <v>0</v>
      </c>
      <c r="V1468">
        <v>0</v>
      </c>
      <c r="W1468">
        <v>0</v>
      </c>
      <c r="X1468" t="s">
        <v>75</v>
      </c>
      <c r="Y1468" t="s">
        <v>71</v>
      </c>
      <c r="Z1468" t="s">
        <v>162</v>
      </c>
      <c r="AA1468" t="s">
        <v>169</v>
      </c>
      <c r="AB1468">
        <v>4.0999999999999996</v>
      </c>
      <c r="AC1468">
        <v>100</v>
      </c>
      <c r="AD1468">
        <v>299.26</v>
      </c>
      <c r="AE1468">
        <f t="shared" si="44"/>
        <v>-399.26</v>
      </c>
      <c r="AF1468" t="str">
        <f t="shared" si="45"/>
        <v>2025-07</v>
      </c>
      <c r="AG1468">
        <f>SUBTOTAL(103,A1468)</f>
        <v>1</v>
      </c>
    </row>
    <row r="1469" spans="1:33" x14ac:dyDescent="0.3">
      <c r="A1469" t="s">
        <v>4086</v>
      </c>
      <c r="B1469" s="13">
        <v>45844</v>
      </c>
      <c r="C1469">
        <v>2025</v>
      </c>
      <c r="D1469">
        <v>7</v>
      </c>
      <c r="E1469" t="s">
        <v>4046</v>
      </c>
      <c r="F1469" t="s">
        <v>4047</v>
      </c>
      <c r="G1469" t="s">
        <v>1899</v>
      </c>
      <c r="H1469" t="s">
        <v>1900</v>
      </c>
      <c r="I1469" t="s">
        <v>86</v>
      </c>
      <c r="J1469">
        <v>30</v>
      </c>
      <c r="K1469" t="s">
        <v>81</v>
      </c>
      <c r="L1469" t="s">
        <v>2646</v>
      </c>
      <c r="M1469" t="s">
        <v>63</v>
      </c>
      <c r="N1469" t="s">
        <v>2577</v>
      </c>
      <c r="O1469" t="s">
        <v>129</v>
      </c>
      <c r="P1469" t="s">
        <v>49</v>
      </c>
      <c r="Q1469" t="s">
        <v>149</v>
      </c>
      <c r="R1469">
        <v>1</v>
      </c>
      <c r="S1469">
        <v>1299</v>
      </c>
      <c r="T1469">
        <v>0</v>
      </c>
      <c r="U1469">
        <v>1299</v>
      </c>
      <c r="V1469">
        <v>650</v>
      </c>
      <c r="W1469">
        <v>649</v>
      </c>
      <c r="X1469" t="s">
        <v>73</v>
      </c>
      <c r="Y1469" t="s">
        <v>68</v>
      </c>
      <c r="Z1469" t="s">
        <v>163</v>
      </c>
      <c r="AA1469" t="s">
        <v>166</v>
      </c>
      <c r="AB1469">
        <v>4.2</v>
      </c>
      <c r="AC1469">
        <v>40</v>
      </c>
      <c r="AD1469">
        <v>67.069999999999993</v>
      </c>
      <c r="AE1469">
        <f t="shared" si="44"/>
        <v>541.93000000000006</v>
      </c>
      <c r="AF1469" t="str">
        <f t="shared" si="45"/>
        <v>2025-07</v>
      </c>
      <c r="AG1469">
        <f>SUBTOTAL(103,A1469)</f>
        <v>1</v>
      </c>
    </row>
    <row r="1470" spans="1:33" x14ac:dyDescent="0.3">
      <c r="A1470" t="s">
        <v>4087</v>
      </c>
      <c r="B1470" s="13">
        <v>45845</v>
      </c>
      <c r="C1470">
        <v>2025</v>
      </c>
      <c r="D1470">
        <v>7</v>
      </c>
      <c r="E1470" t="s">
        <v>4046</v>
      </c>
      <c r="F1470" t="s">
        <v>4047</v>
      </c>
      <c r="G1470" t="s">
        <v>301</v>
      </c>
      <c r="H1470" t="s">
        <v>302</v>
      </c>
      <c r="I1470" t="s">
        <v>86</v>
      </c>
      <c r="J1470">
        <v>18</v>
      </c>
      <c r="K1470" t="s">
        <v>80</v>
      </c>
      <c r="L1470" t="s">
        <v>2610</v>
      </c>
      <c r="M1470" t="s">
        <v>64</v>
      </c>
      <c r="N1470" t="s">
        <v>2603</v>
      </c>
      <c r="O1470" t="s">
        <v>122</v>
      </c>
      <c r="P1470" t="s">
        <v>48</v>
      </c>
      <c r="Q1470" t="s">
        <v>141</v>
      </c>
      <c r="R1470">
        <v>1</v>
      </c>
      <c r="S1470">
        <v>2499</v>
      </c>
      <c r="T1470">
        <v>0.25</v>
      </c>
      <c r="U1470">
        <v>1874.25</v>
      </c>
      <c r="V1470">
        <v>1450</v>
      </c>
      <c r="W1470">
        <v>424.25</v>
      </c>
      <c r="X1470" t="s">
        <v>74</v>
      </c>
      <c r="Y1470" t="s">
        <v>69</v>
      </c>
      <c r="Z1470" t="s">
        <v>159</v>
      </c>
      <c r="AA1470" t="s">
        <v>171</v>
      </c>
      <c r="AB1470">
        <v>4.5999999999999996</v>
      </c>
      <c r="AC1470">
        <v>80</v>
      </c>
      <c r="AD1470">
        <v>116.08</v>
      </c>
      <c r="AE1470">
        <f t="shared" si="44"/>
        <v>228.17000000000002</v>
      </c>
      <c r="AF1470" t="str">
        <f t="shared" si="45"/>
        <v>2025-07</v>
      </c>
      <c r="AG1470">
        <f>SUBTOTAL(103,A1470)</f>
        <v>1</v>
      </c>
    </row>
    <row r="1471" spans="1:33" x14ac:dyDescent="0.3">
      <c r="A1471" t="s">
        <v>4088</v>
      </c>
      <c r="B1471" s="13">
        <v>45845</v>
      </c>
      <c r="C1471">
        <v>2025</v>
      </c>
      <c r="D1471">
        <v>7</v>
      </c>
      <c r="E1471" t="s">
        <v>4046</v>
      </c>
      <c r="F1471" t="s">
        <v>4047</v>
      </c>
      <c r="G1471" t="s">
        <v>527</v>
      </c>
      <c r="H1471" t="s">
        <v>528</v>
      </c>
      <c r="I1471" t="s">
        <v>86</v>
      </c>
      <c r="J1471">
        <v>39</v>
      </c>
      <c r="K1471" t="s">
        <v>82</v>
      </c>
      <c r="L1471" t="s">
        <v>100</v>
      </c>
      <c r="M1471" t="s">
        <v>56</v>
      </c>
      <c r="N1471" t="s">
        <v>2601</v>
      </c>
      <c r="O1471" t="s">
        <v>117</v>
      </c>
      <c r="P1471" t="s">
        <v>49</v>
      </c>
      <c r="Q1471" t="s">
        <v>139</v>
      </c>
      <c r="R1471">
        <v>2</v>
      </c>
      <c r="S1471">
        <v>6999</v>
      </c>
      <c r="T1471">
        <v>0.1</v>
      </c>
      <c r="U1471">
        <v>12598.2</v>
      </c>
      <c r="V1471">
        <v>8600</v>
      </c>
      <c r="W1471">
        <v>3998.2</v>
      </c>
      <c r="X1471" t="s">
        <v>74</v>
      </c>
      <c r="Y1471" t="s">
        <v>68</v>
      </c>
      <c r="Z1471" t="s">
        <v>161</v>
      </c>
      <c r="AA1471" t="s">
        <v>167</v>
      </c>
      <c r="AB1471">
        <v>2.8</v>
      </c>
      <c r="AC1471">
        <v>40</v>
      </c>
      <c r="AD1471">
        <v>792.02</v>
      </c>
      <c r="AE1471">
        <f t="shared" si="44"/>
        <v>3166.18</v>
      </c>
      <c r="AF1471" t="str">
        <f t="shared" si="45"/>
        <v>2025-07</v>
      </c>
      <c r="AG1471">
        <f>SUBTOTAL(103,A1471)</f>
        <v>1</v>
      </c>
    </row>
    <row r="1472" spans="1:33" x14ac:dyDescent="0.3">
      <c r="A1472" t="s">
        <v>4089</v>
      </c>
      <c r="B1472" s="13">
        <v>45845</v>
      </c>
      <c r="C1472">
        <v>2025</v>
      </c>
      <c r="D1472">
        <v>7</v>
      </c>
      <c r="E1472" t="s">
        <v>4046</v>
      </c>
      <c r="F1472" t="s">
        <v>4047</v>
      </c>
      <c r="G1472" t="s">
        <v>935</v>
      </c>
      <c r="H1472" t="s">
        <v>936</v>
      </c>
      <c r="I1472" t="s">
        <v>86</v>
      </c>
      <c r="J1472">
        <v>27</v>
      </c>
      <c r="K1472" t="s">
        <v>81</v>
      </c>
      <c r="L1472" t="s">
        <v>2589</v>
      </c>
      <c r="M1472" t="s">
        <v>61</v>
      </c>
      <c r="N1472" t="s">
        <v>2665</v>
      </c>
      <c r="O1472" t="s">
        <v>128</v>
      </c>
      <c r="P1472" t="s">
        <v>53</v>
      </c>
      <c r="Q1472" t="s">
        <v>143</v>
      </c>
      <c r="R1472">
        <v>1</v>
      </c>
      <c r="S1472">
        <v>1499</v>
      </c>
      <c r="T1472">
        <v>0</v>
      </c>
      <c r="U1472">
        <v>1499</v>
      </c>
      <c r="V1472">
        <v>800</v>
      </c>
      <c r="W1472">
        <v>699</v>
      </c>
      <c r="X1472" t="s">
        <v>76</v>
      </c>
      <c r="Y1472" t="s">
        <v>68</v>
      </c>
      <c r="Z1472" t="s">
        <v>163</v>
      </c>
      <c r="AA1472" t="s">
        <v>166</v>
      </c>
      <c r="AB1472">
        <v>3.4</v>
      </c>
      <c r="AC1472">
        <v>50</v>
      </c>
      <c r="AD1472">
        <v>162.47999999999999</v>
      </c>
      <c r="AE1472">
        <f t="shared" si="44"/>
        <v>486.52</v>
      </c>
      <c r="AF1472" t="str">
        <f t="shared" si="45"/>
        <v>2025-07</v>
      </c>
      <c r="AG1472">
        <f>SUBTOTAL(103,A1472)</f>
        <v>1</v>
      </c>
    </row>
    <row r="1473" spans="1:33" x14ac:dyDescent="0.3">
      <c r="A1473" t="s">
        <v>4090</v>
      </c>
      <c r="B1473" s="13">
        <v>45845</v>
      </c>
      <c r="C1473">
        <v>2025</v>
      </c>
      <c r="D1473">
        <v>7</v>
      </c>
      <c r="E1473" t="s">
        <v>4046</v>
      </c>
      <c r="F1473" t="s">
        <v>4047</v>
      </c>
      <c r="G1473" t="s">
        <v>199</v>
      </c>
      <c r="H1473" t="s">
        <v>200</v>
      </c>
      <c r="I1473" t="s">
        <v>86</v>
      </c>
      <c r="J1473">
        <v>52</v>
      </c>
      <c r="K1473" t="s">
        <v>83</v>
      </c>
      <c r="L1473" t="s">
        <v>96</v>
      </c>
      <c r="M1473" t="s">
        <v>55</v>
      </c>
      <c r="N1473" t="s">
        <v>2647</v>
      </c>
      <c r="O1473" t="s">
        <v>133</v>
      </c>
      <c r="P1473" t="s">
        <v>50</v>
      </c>
      <c r="Q1473" t="s">
        <v>145</v>
      </c>
      <c r="R1473">
        <v>2</v>
      </c>
      <c r="S1473">
        <v>799</v>
      </c>
      <c r="T1473">
        <v>0.1</v>
      </c>
      <c r="U1473">
        <v>1438.2</v>
      </c>
      <c r="V1473">
        <v>780</v>
      </c>
      <c r="W1473">
        <v>658.2</v>
      </c>
      <c r="X1473" t="s">
        <v>77</v>
      </c>
      <c r="Y1473" t="s">
        <v>70</v>
      </c>
      <c r="Z1473" t="s">
        <v>161</v>
      </c>
      <c r="AA1473" t="s">
        <v>170</v>
      </c>
      <c r="AB1473">
        <v>4.7</v>
      </c>
      <c r="AC1473">
        <v>120</v>
      </c>
      <c r="AD1473">
        <v>79.8</v>
      </c>
      <c r="AE1473">
        <f t="shared" si="44"/>
        <v>458.40000000000003</v>
      </c>
      <c r="AF1473" t="str">
        <f t="shared" si="45"/>
        <v>2025-07</v>
      </c>
      <c r="AG1473">
        <f>SUBTOTAL(103,A1473)</f>
        <v>1</v>
      </c>
    </row>
    <row r="1474" spans="1:33" x14ac:dyDescent="0.3">
      <c r="A1474" t="s">
        <v>4091</v>
      </c>
      <c r="B1474" s="13">
        <v>45845</v>
      </c>
      <c r="C1474">
        <v>2025</v>
      </c>
      <c r="D1474">
        <v>7</v>
      </c>
      <c r="E1474" t="s">
        <v>4046</v>
      </c>
      <c r="F1474" t="s">
        <v>4047</v>
      </c>
      <c r="G1474" t="s">
        <v>493</v>
      </c>
      <c r="H1474" t="s">
        <v>494</v>
      </c>
      <c r="I1474" t="s">
        <v>86</v>
      </c>
      <c r="J1474">
        <v>43</v>
      </c>
      <c r="K1474" t="s">
        <v>82</v>
      </c>
      <c r="L1474" t="s">
        <v>95</v>
      </c>
      <c r="M1474" t="s">
        <v>56</v>
      </c>
      <c r="N1474" t="s">
        <v>2626</v>
      </c>
      <c r="O1474" t="s">
        <v>125</v>
      </c>
      <c r="P1474" t="s">
        <v>48</v>
      </c>
      <c r="Q1474" t="s">
        <v>141</v>
      </c>
      <c r="R1474">
        <v>1</v>
      </c>
      <c r="S1474">
        <v>1999</v>
      </c>
      <c r="T1474">
        <v>0.15</v>
      </c>
      <c r="U1474">
        <v>1699.15</v>
      </c>
      <c r="V1474">
        <v>1150</v>
      </c>
      <c r="W1474">
        <v>549.15</v>
      </c>
      <c r="X1474" t="s">
        <v>75</v>
      </c>
      <c r="Y1474" t="s">
        <v>68</v>
      </c>
      <c r="Z1474" t="s">
        <v>163</v>
      </c>
      <c r="AA1474" t="s">
        <v>168</v>
      </c>
      <c r="AB1474">
        <v>2.9</v>
      </c>
      <c r="AC1474">
        <v>80</v>
      </c>
      <c r="AD1474">
        <v>96.27</v>
      </c>
      <c r="AE1474">
        <f t="shared" ref="AE1474:AE1537" si="46">W1474-AC1474-AD1474</f>
        <v>372.88</v>
      </c>
      <c r="AF1474" t="str">
        <f t="shared" ref="AF1474:AF1537" si="47">C1474&amp;"-"&amp;TEXT(D1474,"00")</f>
        <v>2025-07</v>
      </c>
      <c r="AG1474">
        <f>SUBTOTAL(103,A1474)</f>
        <v>1</v>
      </c>
    </row>
    <row r="1475" spans="1:33" x14ac:dyDescent="0.3">
      <c r="A1475" t="s">
        <v>4092</v>
      </c>
      <c r="B1475" s="13">
        <v>45845</v>
      </c>
      <c r="C1475">
        <v>2025</v>
      </c>
      <c r="D1475">
        <v>7</v>
      </c>
      <c r="E1475" t="s">
        <v>4046</v>
      </c>
      <c r="F1475" t="s">
        <v>4047</v>
      </c>
      <c r="G1475" t="s">
        <v>1899</v>
      </c>
      <c r="H1475" t="s">
        <v>1900</v>
      </c>
      <c r="I1475" t="s">
        <v>86</v>
      </c>
      <c r="J1475">
        <v>30</v>
      </c>
      <c r="K1475" t="s">
        <v>81</v>
      </c>
      <c r="L1475" t="s">
        <v>2646</v>
      </c>
      <c r="M1475" t="s">
        <v>63</v>
      </c>
      <c r="N1475" t="s">
        <v>2653</v>
      </c>
      <c r="O1475" t="s">
        <v>132</v>
      </c>
      <c r="P1475" t="s">
        <v>52</v>
      </c>
      <c r="Q1475" t="s">
        <v>150</v>
      </c>
      <c r="R1475">
        <v>1</v>
      </c>
      <c r="S1475">
        <v>899</v>
      </c>
      <c r="T1475">
        <v>0.15</v>
      </c>
      <c r="U1475">
        <v>764.15</v>
      </c>
      <c r="V1475">
        <v>420</v>
      </c>
      <c r="W1475">
        <v>344.15</v>
      </c>
      <c r="X1475" t="s">
        <v>74</v>
      </c>
      <c r="Y1475" t="s">
        <v>68</v>
      </c>
      <c r="Z1475" t="s">
        <v>158</v>
      </c>
      <c r="AA1475" t="s">
        <v>166</v>
      </c>
      <c r="AB1475">
        <v>4.2</v>
      </c>
      <c r="AC1475">
        <v>50</v>
      </c>
      <c r="AD1475">
        <v>20</v>
      </c>
      <c r="AE1475">
        <f t="shared" si="46"/>
        <v>274.14999999999998</v>
      </c>
      <c r="AF1475" t="str">
        <f t="shared" si="47"/>
        <v>2025-07</v>
      </c>
      <c r="AG1475">
        <f>SUBTOTAL(103,A1475)</f>
        <v>1</v>
      </c>
    </row>
    <row r="1476" spans="1:33" x14ac:dyDescent="0.3">
      <c r="A1476" t="s">
        <v>4093</v>
      </c>
      <c r="B1476" s="13">
        <v>45845</v>
      </c>
      <c r="C1476">
        <v>2025</v>
      </c>
      <c r="D1476">
        <v>7</v>
      </c>
      <c r="E1476" t="s">
        <v>4046</v>
      </c>
      <c r="F1476" t="s">
        <v>4047</v>
      </c>
      <c r="G1476" t="s">
        <v>1165</v>
      </c>
      <c r="H1476" t="s">
        <v>1166</v>
      </c>
      <c r="I1476" t="s">
        <v>86</v>
      </c>
      <c r="J1476">
        <v>21</v>
      </c>
      <c r="K1476" t="s">
        <v>80</v>
      </c>
      <c r="L1476" t="s">
        <v>93</v>
      </c>
      <c r="M1476" t="s">
        <v>55</v>
      </c>
      <c r="N1476" t="s">
        <v>2587</v>
      </c>
      <c r="O1476" t="s">
        <v>116</v>
      </c>
      <c r="P1476" t="s">
        <v>48</v>
      </c>
      <c r="Q1476" t="s">
        <v>138</v>
      </c>
      <c r="R1476">
        <v>1</v>
      </c>
      <c r="S1476">
        <v>14999</v>
      </c>
      <c r="T1476">
        <v>0.05</v>
      </c>
      <c r="U1476">
        <v>14249.05</v>
      </c>
      <c r="V1476">
        <v>11200</v>
      </c>
      <c r="W1476">
        <v>3049.05</v>
      </c>
      <c r="X1476" t="s">
        <v>73</v>
      </c>
      <c r="Y1476" t="s">
        <v>68</v>
      </c>
      <c r="Z1476" t="s">
        <v>161</v>
      </c>
      <c r="AA1476" t="s">
        <v>166</v>
      </c>
      <c r="AB1476">
        <v>2.9</v>
      </c>
      <c r="AC1476">
        <v>80</v>
      </c>
      <c r="AD1476">
        <v>734.94</v>
      </c>
      <c r="AE1476">
        <f t="shared" si="46"/>
        <v>2234.11</v>
      </c>
      <c r="AF1476" t="str">
        <f t="shared" si="47"/>
        <v>2025-07</v>
      </c>
      <c r="AG1476">
        <f>SUBTOTAL(103,A1476)</f>
        <v>1</v>
      </c>
    </row>
    <row r="1477" spans="1:33" x14ac:dyDescent="0.3">
      <c r="A1477" t="s">
        <v>4094</v>
      </c>
      <c r="B1477" s="13">
        <v>45845</v>
      </c>
      <c r="C1477">
        <v>2025</v>
      </c>
      <c r="D1477">
        <v>7</v>
      </c>
      <c r="E1477" t="s">
        <v>4046</v>
      </c>
      <c r="F1477" t="s">
        <v>4047</v>
      </c>
      <c r="G1477" t="s">
        <v>793</v>
      </c>
      <c r="H1477" t="s">
        <v>794</v>
      </c>
      <c r="I1477" t="s">
        <v>85</v>
      </c>
      <c r="J1477">
        <v>32</v>
      </c>
      <c r="K1477" t="s">
        <v>81</v>
      </c>
      <c r="L1477" t="s">
        <v>59</v>
      </c>
      <c r="M1477" t="s">
        <v>59</v>
      </c>
      <c r="N1477" t="s">
        <v>2587</v>
      </c>
      <c r="O1477" t="s">
        <v>116</v>
      </c>
      <c r="P1477" t="s">
        <v>48</v>
      </c>
      <c r="Q1477" t="s">
        <v>138</v>
      </c>
      <c r="R1477">
        <v>1</v>
      </c>
      <c r="S1477">
        <v>14999</v>
      </c>
      <c r="T1477">
        <v>0.15</v>
      </c>
      <c r="U1477">
        <v>12749.15</v>
      </c>
      <c r="V1477">
        <v>11200</v>
      </c>
      <c r="W1477">
        <v>1549.15</v>
      </c>
      <c r="X1477" t="s">
        <v>73</v>
      </c>
      <c r="Y1477" t="s">
        <v>68</v>
      </c>
      <c r="Z1477" t="s">
        <v>158</v>
      </c>
      <c r="AA1477" t="s">
        <v>166</v>
      </c>
      <c r="AB1477">
        <v>4.9000000000000004</v>
      </c>
      <c r="AC1477">
        <v>80</v>
      </c>
      <c r="AD1477">
        <v>390.45</v>
      </c>
      <c r="AE1477">
        <f t="shared" si="46"/>
        <v>1078.7</v>
      </c>
      <c r="AF1477" t="str">
        <f t="shared" si="47"/>
        <v>2025-07</v>
      </c>
      <c r="AG1477">
        <f>SUBTOTAL(103,A1477)</f>
        <v>1</v>
      </c>
    </row>
    <row r="1478" spans="1:33" x14ac:dyDescent="0.3">
      <c r="A1478" t="s">
        <v>4095</v>
      </c>
      <c r="B1478" s="13">
        <v>45845</v>
      </c>
      <c r="C1478">
        <v>2025</v>
      </c>
      <c r="D1478">
        <v>7</v>
      </c>
      <c r="E1478" t="s">
        <v>4046</v>
      </c>
      <c r="F1478" t="s">
        <v>4047</v>
      </c>
      <c r="G1478" t="s">
        <v>1299</v>
      </c>
      <c r="H1478" t="s">
        <v>1300</v>
      </c>
      <c r="I1478" t="s">
        <v>86</v>
      </c>
      <c r="J1478">
        <v>20</v>
      </c>
      <c r="K1478" t="s">
        <v>80</v>
      </c>
      <c r="L1478" t="s">
        <v>2687</v>
      </c>
      <c r="M1478" t="s">
        <v>57</v>
      </c>
      <c r="N1478" t="s">
        <v>2647</v>
      </c>
      <c r="O1478" t="s">
        <v>133</v>
      </c>
      <c r="P1478" t="s">
        <v>50</v>
      </c>
      <c r="Q1478" t="s">
        <v>145</v>
      </c>
      <c r="R1478">
        <v>1</v>
      </c>
      <c r="S1478">
        <v>799</v>
      </c>
      <c r="T1478">
        <v>0.1</v>
      </c>
      <c r="U1478">
        <v>719.1</v>
      </c>
      <c r="V1478">
        <v>390</v>
      </c>
      <c r="W1478">
        <v>329.1</v>
      </c>
      <c r="X1478" t="s">
        <v>74</v>
      </c>
      <c r="Y1478" t="s">
        <v>68</v>
      </c>
      <c r="Z1478" t="s">
        <v>159</v>
      </c>
      <c r="AA1478" t="s">
        <v>171</v>
      </c>
      <c r="AB1478">
        <v>4.4000000000000004</v>
      </c>
      <c r="AC1478">
        <v>80</v>
      </c>
      <c r="AD1478">
        <v>20</v>
      </c>
      <c r="AE1478">
        <f t="shared" si="46"/>
        <v>229.10000000000002</v>
      </c>
      <c r="AF1478" t="str">
        <f t="shared" si="47"/>
        <v>2025-07</v>
      </c>
      <c r="AG1478">
        <f>SUBTOTAL(103,A1478)</f>
        <v>1</v>
      </c>
    </row>
    <row r="1479" spans="1:33" x14ac:dyDescent="0.3">
      <c r="A1479" t="s">
        <v>4096</v>
      </c>
      <c r="B1479" s="13">
        <v>45845</v>
      </c>
      <c r="C1479">
        <v>2025</v>
      </c>
      <c r="D1479">
        <v>7</v>
      </c>
      <c r="E1479" t="s">
        <v>4046</v>
      </c>
      <c r="F1479" t="s">
        <v>4047</v>
      </c>
      <c r="G1479" t="s">
        <v>2009</v>
      </c>
      <c r="H1479" t="s">
        <v>2010</v>
      </c>
      <c r="I1479" t="s">
        <v>85</v>
      </c>
      <c r="J1479">
        <v>34</v>
      </c>
      <c r="K1479" t="s">
        <v>81</v>
      </c>
      <c r="L1479" t="s">
        <v>91</v>
      </c>
      <c r="M1479" t="s">
        <v>55</v>
      </c>
      <c r="N1479" t="s">
        <v>2574</v>
      </c>
      <c r="O1479" t="s">
        <v>130</v>
      </c>
      <c r="P1479" t="s">
        <v>50</v>
      </c>
      <c r="Q1479" t="s">
        <v>53</v>
      </c>
      <c r="R1479">
        <v>1</v>
      </c>
      <c r="S1479">
        <v>1199</v>
      </c>
      <c r="T1479">
        <v>0.2</v>
      </c>
      <c r="U1479">
        <v>959.2</v>
      </c>
      <c r="V1479">
        <v>550</v>
      </c>
      <c r="W1479">
        <v>409.2</v>
      </c>
      <c r="X1479" t="s">
        <v>74</v>
      </c>
      <c r="Y1479" t="s">
        <v>68</v>
      </c>
      <c r="Z1479" t="s">
        <v>158</v>
      </c>
      <c r="AA1479" t="s">
        <v>168</v>
      </c>
      <c r="AB1479">
        <v>4</v>
      </c>
      <c r="AC1479">
        <v>60</v>
      </c>
      <c r="AD1479">
        <v>71.709999999999994</v>
      </c>
      <c r="AE1479">
        <f t="shared" si="46"/>
        <v>277.49</v>
      </c>
      <c r="AF1479" t="str">
        <f t="shared" si="47"/>
        <v>2025-07</v>
      </c>
      <c r="AG1479">
        <f>SUBTOTAL(103,A1479)</f>
        <v>1</v>
      </c>
    </row>
    <row r="1480" spans="1:33" x14ac:dyDescent="0.3">
      <c r="A1480" t="s">
        <v>4097</v>
      </c>
      <c r="B1480" s="13">
        <v>45845</v>
      </c>
      <c r="C1480">
        <v>2025</v>
      </c>
      <c r="D1480">
        <v>7</v>
      </c>
      <c r="E1480" t="s">
        <v>4046</v>
      </c>
      <c r="F1480" t="s">
        <v>4047</v>
      </c>
      <c r="G1480" t="s">
        <v>903</v>
      </c>
      <c r="H1480" t="s">
        <v>904</v>
      </c>
      <c r="I1480" t="s">
        <v>86</v>
      </c>
      <c r="J1480">
        <v>59</v>
      </c>
      <c r="K1480" t="s">
        <v>83</v>
      </c>
      <c r="L1480" t="s">
        <v>93</v>
      </c>
      <c r="M1480" t="s">
        <v>55</v>
      </c>
      <c r="N1480" t="s">
        <v>2582</v>
      </c>
      <c r="O1480" t="s">
        <v>119</v>
      </c>
      <c r="P1480" t="s">
        <v>49</v>
      </c>
      <c r="Q1480" t="s">
        <v>140</v>
      </c>
      <c r="R1480">
        <v>1</v>
      </c>
      <c r="S1480">
        <v>3499</v>
      </c>
      <c r="T1480">
        <v>0.2</v>
      </c>
      <c r="U1480">
        <v>2799.2</v>
      </c>
      <c r="V1480">
        <v>2100</v>
      </c>
      <c r="W1480">
        <v>699.2</v>
      </c>
      <c r="X1480" t="s">
        <v>74</v>
      </c>
      <c r="Y1480" t="s">
        <v>68</v>
      </c>
      <c r="Z1480" t="s">
        <v>158</v>
      </c>
      <c r="AA1480" t="s">
        <v>169</v>
      </c>
      <c r="AB1480">
        <v>4</v>
      </c>
      <c r="AC1480">
        <v>100</v>
      </c>
      <c r="AD1480">
        <v>282.08999999999997</v>
      </c>
      <c r="AE1480">
        <f t="shared" si="46"/>
        <v>317.11000000000007</v>
      </c>
      <c r="AF1480" t="str">
        <f t="shared" si="47"/>
        <v>2025-07</v>
      </c>
      <c r="AG1480">
        <f>SUBTOTAL(103,A1480)</f>
        <v>1</v>
      </c>
    </row>
    <row r="1481" spans="1:33" x14ac:dyDescent="0.3">
      <c r="A1481" t="s">
        <v>4098</v>
      </c>
      <c r="B1481" s="13">
        <v>45846</v>
      </c>
      <c r="C1481">
        <v>2025</v>
      </c>
      <c r="D1481">
        <v>7</v>
      </c>
      <c r="E1481" t="s">
        <v>4046</v>
      </c>
      <c r="F1481" t="s">
        <v>4047</v>
      </c>
      <c r="G1481" t="s">
        <v>1743</v>
      </c>
      <c r="H1481" t="s">
        <v>1744</v>
      </c>
      <c r="I1481" t="s">
        <v>86</v>
      </c>
      <c r="J1481">
        <v>28</v>
      </c>
      <c r="K1481" t="s">
        <v>81</v>
      </c>
      <c r="L1481" t="s">
        <v>2616</v>
      </c>
      <c r="M1481" t="s">
        <v>62</v>
      </c>
      <c r="N1481" t="s">
        <v>2603</v>
      </c>
      <c r="O1481" t="s">
        <v>122</v>
      </c>
      <c r="P1481" t="s">
        <v>48</v>
      </c>
      <c r="Q1481" t="s">
        <v>141</v>
      </c>
      <c r="R1481">
        <v>3</v>
      </c>
      <c r="S1481">
        <v>2499</v>
      </c>
      <c r="T1481">
        <v>0.2</v>
      </c>
      <c r="U1481">
        <v>5997.6</v>
      </c>
      <c r="V1481">
        <v>4350</v>
      </c>
      <c r="W1481">
        <v>1647.6</v>
      </c>
      <c r="X1481" t="s">
        <v>73</v>
      </c>
      <c r="Y1481" t="s">
        <v>68</v>
      </c>
      <c r="Z1481" t="s">
        <v>159</v>
      </c>
      <c r="AA1481" t="s">
        <v>167</v>
      </c>
      <c r="AB1481">
        <v>3.6</v>
      </c>
      <c r="AC1481">
        <v>40</v>
      </c>
      <c r="AD1481">
        <v>276.29000000000002</v>
      </c>
      <c r="AE1481">
        <f t="shared" si="46"/>
        <v>1331.31</v>
      </c>
      <c r="AF1481" t="str">
        <f t="shared" si="47"/>
        <v>2025-07</v>
      </c>
      <c r="AG1481">
        <f>SUBTOTAL(103,A1481)</f>
        <v>1</v>
      </c>
    </row>
    <row r="1482" spans="1:33" x14ac:dyDescent="0.3">
      <c r="A1482" t="s">
        <v>4099</v>
      </c>
      <c r="B1482" s="13">
        <v>45846</v>
      </c>
      <c r="C1482">
        <v>2025</v>
      </c>
      <c r="D1482">
        <v>7</v>
      </c>
      <c r="E1482" t="s">
        <v>4046</v>
      </c>
      <c r="F1482" t="s">
        <v>4047</v>
      </c>
      <c r="G1482" t="s">
        <v>1357</v>
      </c>
      <c r="H1482" t="s">
        <v>1358</v>
      </c>
      <c r="I1482" t="s">
        <v>85</v>
      </c>
      <c r="J1482">
        <v>41</v>
      </c>
      <c r="K1482" t="s">
        <v>82</v>
      </c>
      <c r="L1482" t="s">
        <v>2634</v>
      </c>
      <c r="M1482" t="s">
        <v>56</v>
      </c>
      <c r="N1482" t="s">
        <v>2592</v>
      </c>
      <c r="O1482" t="s">
        <v>115</v>
      </c>
      <c r="P1482" t="s">
        <v>48</v>
      </c>
      <c r="Q1482" t="s">
        <v>137</v>
      </c>
      <c r="R1482">
        <v>1</v>
      </c>
      <c r="S1482">
        <v>12999</v>
      </c>
      <c r="T1482">
        <v>0.15</v>
      </c>
      <c r="U1482">
        <v>11049.15</v>
      </c>
      <c r="V1482">
        <v>9000</v>
      </c>
      <c r="W1482">
        <v>2049.15</v>
      </c>
      <c r="X1482" t="s">
        <v>73</v>
      </c>
      <c r="Y1482" t="s">
        <v>68</v>
      </c>
      <c r="Z1482" t="s">
        <v>160</v>
      </c>
      <c r="AA1482" t="s">
        <v>170</v>
      </c>
      <c r="AB1482">
        <v>4.2</v>
      </c>
      <c r="AC1482">
        <v>120</v>
      </c>
      <c r="AD1482">
        <v>276.7</v>
      </c>
      <c r="AE1482">
        <f t="shared" si="46"/>
        <v>1652.45</v>
      </c>
      <c r="AF1482" t="str">
        <f t="shared" si="47"/>
        <v>2025-07</v>
      </c>
      <c r="AG1482">
        <f>SUBTOTAL(103,A1482)</f>
        <v>1</v>
      </c>
    </row>
    <row r="1483" spans="1:33" x14ac:dyDescent="0.3">
      <c r="A1483" t="s">
        <v>4100</v>
      </c>
      <c r="B1483" s="13">
        <v>45846</v>
      </c>
      <c r="C1483">
        <v>2025</v>
      </c>
      <c r="D1483">
        <v>7</v>
      </c>
      <c r="E1483" t="s">
        <v>4046</v>
      </c>
      <c r="F1483" t="s">
        <v>4047</v>
      </c>
      <c r="G1483" t="s">
        <v>1425</v>
      </c>
      <c r="H1483" t="s">
        <v>1426</v>
      </c>
      <c r="I1483" t="s">
        <v>86</v>
      </c>
      <c r="J1483">
        <v>19</v>
      </c>
      <c r="K1483" t="s">
        <v>80</v>
      </c>
      <c r="L1483" t="s">
        <v>2573</v>
      </c>
      <c r="M1483" t="s">
        <v>63</v>
      </c>
      <c r="N1483" t="s">
        <v>2596</v>
      </c>
      <c r="O1483" t="s">
        <v>124</v>
      </c>
      <c r="P1483" t="s">
        <v>51</v>
      </c>
      <c r="Q1483" t="s">
        <v>147</v>
      </c>
      <c r="R1483">
        <v>5</v>
      </c>
      <c r="S1483">
        <v>2299</v>
      </c>
      <c r="T1483">
        <v>0</v>
      </c>
      <c r="U1483">
        <v>11495</v>
      </c>
      <c r="V1483">
        <v>6000</v>
      </c>
      <c r="W1483">
        <v>5495</v>
      </c>
      <c r="X1483" t="s">
        <v>73</v>
      </c>
      <c r="Y1483" t="s">
        <v>69</v>
      </c>
      <c r="Z1483" t="s">
        <v>160</v>
      </c>
      <c r="AA1483" t="s">
        <v>166</v>
      </c>
      <c r="AB1483">
        <v>4</v>
      </c>
      <c r="AC1483">
        <v>120</v>
      </c>
      <c r="AD1483">
        <v>809.9</v>
      </c>
      <c r="AE1483">
        <f t="shared" si="46"/>
        <v>4565.1000000000004</v>
      </c>
      <c r="AF1483" t="str">
        <f t="shared" si="47"/>
        <v>2025-07</v>
      </c>
      <c r="AG1483">
        <f>SUBTOTAL(103,A1483)</f>
        <v>1</v>
      </c>
    </row>
    <row r="1484" spans="1:33" x14ac:dyDescent="0.3">
      <c r="A1484" t="s">
        <v>4101</v>
      </c>
      <c r="B1484" s="13">
        <v>45846</v>
      </c>
      <c r="C1484">
        <v>2025</v>
      </c>
      <c r="D1484">
        <v>7</v>
      </c>
      <c r="E1484" t="s">
        <v>4046</v>
      </c>
      <c r="F1484" t="s">
        <v>4047</v>
      </c>
      <c r="G1484" t="s">
        <v>1781</v>
      </c>
      <c r="H1484" t="s">
        <v>1782</v>
      </c>
      <c r="I1484" t="s">
        <v>85</v>
      </c>
      <c r="J1484">
        <v>29</v>
      </c>
      <c r="K1484" t="s">
        <v>81</v>
      </c>
      <c r="L1484" t="s">
        <v>90</v>
      </c>
      <c r="M1484" t="s">
        <v>55</v>
      </c>
      <c r="N1484" t="s">
        <v>2657</v>
      </c>
      <c r="O1484" t="s">
        <v>134</v>
      </c>
      <c r="P1484" t="s">
        <v>49</v>
      </c>
      <c r="Q1484" t="s">
        <v>140</v>
      </c>
      <c r="R1484">
        <v>1</v>
      </c>
      <c r="S1484">
        <v>599</v>
      </c>
      <c r="T1484">
        <v>0.1</v>
      </c>
      <c r="U1484">
        <v>539.1</v>
      </c>
      <c r="V1484">
        <v>250</v>
      </c>
      <c r="W1484">
        <v>289.10000000000002</v>
      </c>
      <c r="X1484" t="s">
        <v>73</v>
      </c>
      <c r="Y1484" t="s">
        <v>68</v>
      </c>
      <c r="Z1484" t="s">
        <v>161</v>
      </c>
      <c r="AA1484" t="s">
        <v>167</v>
      </c>
      <c r="AB1484">
        <v>4.3</v>
      </c>
      <c r="AC1484">
        <v>80</v>
      </c>
      <c r="AD1484">
        <v>55.09</v>
      </c>
      <c r="AE1484">
        <f t="shared" si="46"/>
        <v>154.01000000000002</v>
      </c>
      <c r="AF1484" t="str">
        <f t="shared" si="47"/>
        <v>2025-07</v>
      </c>
      <c r="AG1484">
        <f>SUBTOTAL(103,A1484)</f>
        <v>1</v>
      </c>
    </row>
    <row r="1485" spans="1:33" x14ac:dyDescent="0.3">
      <c r="A1485" t="s">
        <v>4102</v>
      </c>
      <c r="B1485" s="13">
        <v>45846</v>
      </c>
      <c r="C1485">
        <v>2025</v>
      </c>
      <c r="D1485">
        <v>7</v>
      </c>
      <c r="E1485" t="s">
        <v>4046</v>
      </c>
      <c r="F1485" t="s">
        <v>4047</v>
      </c>
      <c r="G1485" t="s">
        <v>1697</v>
      </c>
      <c r="H1485" t="s">
        <v>1698</v>
      </c>
      <c r="I1485" t="s">
        <v>85</v>
      </c>
      <c r="J1485">
        <v>50</v>
      </c>
      <c r="K1485" t="s">
        <v>83</v>
      </c>
      <c r="L1485" t="s">
        <v>97</v>
      </c>
      <c r="M1485" t="s">
        <v>57</v>
      </c>
      <c r="N1485" t="s">
        <v>2601</v>
      </c>
      <c r="O1485" t="s">
        <v>117</v>
      </c>
      <c r="P1485" t="s">
        <v>49</v>
      </c>
      <c r="Q1485" t="s">
        <v>139</v>
      </c>
      <c r="R1485">
        <v>2</v>
      </c>
      <c r="S1485">
        <v>6999</v>
      </c>
      <c r="T1485">
        <v>0.15</v>
      </c>
      <c r="U1485">
        <v>11898.3</v>
      </c>
      <c r="V1485">
        <v>8600</v>
      </c>
      <c r="W1485">
        <v>3298.3</v>
      </c>
      <c r="X1485" t="s">
        <v>75</v>
      </c>
      <c r="Y1485" t="s">
        <v>68</v>
      </c>
      <c r="Z1485" t="s">
        <v>158</v>
      </c>
      <c r="AA1485" t="s">
        <v>167</v>
      </c>
      <c r="AB1485">
        <v>3.4</v>
      </c>
      <c r="AC1485">
        <v>50</v>
      </c>
      <c r="AD1485">
        <v>785.74</v>
      </c>
      <c r="AE1485">
        <f t="shared" si="46"/>
        <v>2462.5600000000004</v>
      </c>
      <c r="AF1485" t="str">
        <f t="shared" si="47"/>
        <v>2025-07</v>
      </c>
      <c r="AG1485">
        <f>SUBTOTAL(103,A1485)</f>
        <v>1</v>
      </c>
    </row>
    <row r="1486" spans="1:33" x14ac:dyDescent="0.3">
      <c r="A1486" t="s">
        <v>4103</v>
      </c>
      <c r="B1486" s="13">
        <v>45846</v>
      </c>
      <c r="C1486">
        <v>2025</v>
      </c>
      <c r="D1486">
        <v>7</v>
      </c>
      <c r="E1486" t="s">
        <v>4046</v>
      </c>
      <c r="F1486" t="s">
        <v>4047</v>
      </c>
      <c r="G1486" t="s">
        <v>1541</v>
      </c>
      <c r="H1486" t="s">
        <v>1542</v>
      </c>
      <c r="I1486" t="s">
        <v>86</v>
      </c>
      <c r="J1486">
        <v>31</v>
      </c>
      <c r="K1486" t="s">
        <v>81</v>
      </c>
      <c r="L1486" t="s">
        <v>91</v>
      </c>
      <c r="M1486" t="s">
        <v>55</v>
      </c>
      <c r="N1486" t="s">
        <v>2644</v>
      </c>
      <c r="O1486" t="s">
        <v>126</v>
      </c>
      <c r="P1486" t="s">
        <v>50</v>
      </c>
      <c r="Q1486" t="s">
        <v>145</v>
      </c>
      <c r="R1486">
        <v>2</v>
      </c>
      <c r="S1486">
        <v>1799</v>
      </c>
      <c r="T1486">
        <v>0.25</v>
      </c>
      <c r="U1486">
        <v>2698.5</v>
      </c>
      <c r="V1486">
        <v>1900</v>
      </c>
      <c r="W1486">
        <v>798.5</v>
      </c>
      <c r="X1486" t="s">
        <v>73</v>
      </c>
      <c r="Y1486" t="s">
        <v>68</v>
      </c>
      <c r="Z1486" t="s">
        <v>161</v>
      </c>
      <c r="AA1486" t="s">
        <v>166</v>
      </c>
      <c r="AB1486">
        <v>3.4</v>
      </c>
      <c r="AC1486">
        <v>80</v>
      </c>
      <c r="AD1486">
        <v>200.29</v>
      </c>
      <c r="AE1486">
        <f t="shared" si="46"/>
        <v>518.21</v>
      </c>
      <c r="AF1486" t="str">
        <f t="shared" si="47"/>
        <v>2025-07</v>
      </c>
      <c r="AG1486">
        <f>SUBTOTAL(103,A1486)</f>
        <v>1</v>
      </c>
    </row>
    <row r="1487" spans="1:33" x14ac:dyDescent="0.3">
      <c r="A1487" t="s">
        <v>4104</v>
      </c>
      <c r="B1487" s="13">
        <v>45846</v>
      </c>
      <c r="C1487">
        <v>2025</v>
      </c>
      <c r="D1487">
        <v>7</v>
      </c>
      <c r="E1487" t="s">
        <v>4046</v>
      </c>
      <c r="F1487" t="s">
        <v>4047</v>
      </c>
      <c r="G1487" t="s">
        <v>1761</v>
      </c>
      <c r="H1487" t="s">
        <v>1762</v>
      </c>
      <c r="I1487" t="s">
        <v>85</v>
      </c>
      <c r="J1487">
        <v>40</v>
      </c>
      <c r="K1487" t="s">
        <v>82</v>
      </c>
      <c r="L1487" t="s">
        <v>2623</v>
      </c>
      <c r="M1487" t="s">
        <v>61</v>
      </c>
      <c r="N1487" t="s">
        <v>2603</v>
      </c>
      <c r="O1487" t="s">
        <v>122</v>
      </c>
      <c r="P1487" t="s">
        <v>48</v>
      </c>
      <c r="Q1487" t="s">
        <v>141</v>
      </c>
      <c r="R1487">
        <v>2</v>
      </c>
      <c r="S1487">
        <v>2499</v>
      </c>
      <c r="T1487">
        <v>0.05</v>
      </c>
      <c r="U1487">
        <v>4748.1000000000004</v>
      </c>
      <c r="V1487">
        <v>2900</v>
      </c>
      <c r="W1487">
        <v>1848.1</v>
      </c>
      <c r="X1487" t="s">
        <v>73</v>
      </c>
      <c r="Y1487" t="s">
        <v>68</v>
      </c>
      <c r="Z1487" t="s">
        <v>161</v>
      </c>
      <c r="AA1487" t="s">
        <v>167</v>
      </c>
      <c r="AB1487">
        <v>5</v>
      </c>
      <c r="AC1487">
        <v>100</v>
      </c>
      <c r="AD1487">
        <v>523.89</v>
      </c>
      <c r="AE1487">
        <f t="shared" si="46"/>
        <v>1224.21</v>
      </c>
      <c r="AF1487" t="str">
        <f t="shared" si="47"/>
        <v>2025-07</v>
      </c>
      <c r="AG1487">
        <f>SUBTOTAL(103,A1487)</f>
        <v>1</v>
      </c>
    </row>
    <row r="1488" spans="1:33" x14ac:dyDescent="0.3">
      <c r="A1488" t="s">
        <v>4105</v>
      </c>
      <c r="B1488" s="13">
        <v>45846</v>
      </c>
      <c r="C1488">
        <v>2025</v>
      </c>
      <c r="D1488">
        <v>7</v>
      </c>
      <c r="E1488" t="s">
        <v>4046</v>
      </c>
      <c r="F1488" t="s">
        <v>4047</v>
      </c>
      <c r="G1488" t="s">
        <v>1657</v>
      </c>
      <c r="H1488" t="s">
        <v>1658</v>
      </c>
      <c r="I1488" t="s">
        <v>85</v>
      </c>
      <c r="J1488">
        <v>38</v>
      </c>
      <c r="K1488" t="s">
        <v>82</v>
      </c>
      <c r="L1488" t="s">
        <v>2674</v>
      </c>
      <c r="M1488" t="s">
        <v>58</v>
      </c>
      <c r="N1488" t="s">
        <v>2657</v>
      </c>
      <c r="O1488" t="s">
        <v>134</v>
      </c>
      <c r="P1488" t="s">
        <v>49</v>
      </c>
      <c r="Q1488" t="s">
        <v>140</v>
      </c>
      <c r="R1488">
        <v>1</v>
      </c>
      <c r="S1488">
        <v>599</v>
      </c>
      <c r="T1488">
        <v>0.05</v>
      </c>
      <c r="U1488">
        <v>569.04999999999995</v>
      </c>
      <c r="V1488">
        <v>250</v>
      </c>
      <c r="W1488">
        <v>319.05</v>
      </c>
      <c r="X1488" t="s">
        <v>76</v>
      </c>
      <c r="Y1488" t="s">
        <v>68</v>
      </c>
      <c r="Z1488" t="s">
        <v>158</v>
      </c>
      <c r="AA1488" t="s">
        <v>169</v>
      </c>
      <c r="AB1488">
        <v>4.5999999999999996</v>
      </c>
      <c r="AC1488">
        <v>50</v>
      </c>
      <c r="AD1488">
        <v>45.76</v>
      </c>
      <c r="AE1488">
        <f t="shared" si="46"/>
        <v>223.29000000000002</v>
      </c>
      <c r="AF1488" t="str">
        <f t="shared" si="47"/>
        <v>2025-07</v>
      </c>
      <c r="AG1488">
        <f>SUBTOTAL(103,A1488)</f>
        <v>1</v>
      </c>
    </row>
    <row r="1489" spans="1:33" x14ac:dyDescent="0.3">
      <c r="A1489" t="s">
        <v>4106</v>
      </c>
      <c r="B1489" s="13">
        <v>45846</v>
      </c>
      <c r="C1489">
        <v>2025</v>
      </c>
      <c r="D1489">
        <v>7</v>
      </c>
      <c r="E1489" t="s">
        <v>4046</v>
      </c>
      <c r="F1489" t="s">
        <v>4047</v>
      </c>
      <c r="G1489" t="s">
        <v>1475</v>
      </c>
      <c r="H1489" t="s">
        <v>1476</v>
      </c>
      <c r="I1489" t="s">
        <v>86</v>
      </c>
      <c r="J1489">
        <v>57</v>
      </c>
      <c r="K1489" t="s">
        <v>83</v>
      </c>
      <c r="L1489" t="s">
        <v>95</v>
      </c>
      <c r="M1489" t="s">
        <v>56</v>
      </c>
      <c r="N1489" t="s">
        <v>2606</v>
      </c>
      <c r="O1489" t="s">
        <v>120</v>
      </c>
      <c r="P1489" t="s">
        <v>49</v>
      </c>
      <c r="Q1489" t="s">
        <v>140</v>
      </c>
      <c r="R1489">
        <v>3</v>
      </c>
      <c r="S1489">
        <v>2799</v>
      </c>
      <c r="T1489">
        <v>0.2</v>
      </c>
      <c r="U1489">
        <v>6717.6</v>
      </c>
      <c r="V1489">
        <v>4950</v>
      </c>
      <c r="W1489">
        <v>1767.6</v>
      </c>
      <c r="X1489" t="s">
        <v>76</v>
      </c>
      <c r="Y1489" t="s">
        <v>68</v>
      </c>
      <c r="Z1489" t="s">
        <v>159</v>
      </c>
      <c r="AA1489" t="s">
        <v>171</v>
      </c>
      <c r="AB1489">
        <v>2.8</v>
      </c>
      <c r="AC1489">
        <v>50</v>
      </c>
      <c r="AD1489">
        <v>362.3</v>
      </c>
      <c r="AE1489">
        <f t="shared" si="46"/>
        <v>1355.3</v>
      </c>
      <c r="AF1489" t="str">
        <f t="shared" si="47"/>
        <v>2025-07</v>
      </c>
      <c r="AG1489">
        <f>SUBTOTAL(103,A1489)</f>
        <v>1</v>
      </c>
    </row>
    <row r="1490" spans="1:33" x14ac:dyDescent="0.3">
      <c r="A1490" t="s">
        <v>4107</v>
      </c>
      <c r="B1490" s="13">
        <v>45846</v>
      </c>
      <c r="C1490">
        <v>2025</v>
      </c>
      <c r="D1490">
        <v>7</v>
      </c>
      <c r="E1490" t="s">
        <v>4046</v>
      </c>
      <c r="F1490" t="s">
        <v>4047</v>
      </c>
      <c r="G1490" t="s">
        <v>1939</v>
      </c>
      <c r="H1490" t="s">
        <v>1940</v>
      </c>
      <c r="I1490" t="s">
        <v>85</v>
      </c>
      <c r="J1490">
        <v>22</v>
      </c>
      <c r="K1490" t="s">
        <v>80</v>
      </c>
      <c r="L1490" t="s">
        <v>2599</v>
      </c>
      <c r="M1490" t="s">
        <v>62</v>
      </c>
      <c r="N1490" t="s">
        <v>2577</v>
      </c>
      <c r="O1490" t="s">
        <v>129</v>
      </c>
      <c r="P1490" t="s">
        <v>49</v>
      </c>
      <c r="Q1490" t="s">
        <v>149</v>
      </c>
      <c r="R1490">
        <v>3</v>
      </c>
      <c r="S1490">
        <v>1299</v>
      </c>
      <c r="T1490">
        <v>0.1</v>
      </c>
      <c r="U1490">
        <v>3507.3</v>
      </c>
      <c r="V1490">
        <v>1950</v>
      </c>
      <c r="W1490">
        <v>1557.3</v>
      </c>
      <c r="X1490" t="s">
        <v>75</v>
      </c>
      <c r="Y1490" t="s">
        <v>68</v>
      </c>
      <c r="Z1490" t="s">
        <v>159</v>
      </c>
      <c r="AA1490" t="s">
        <v>166</v>
      </c>
      <c r="AB1490">
        <v>3.7</v>
      </c>
      <c r="AC1490">
        <v>50</v>
      </c>
      <c r="AD1490">
        <v>322.79000000000002</v>
      </c>
      <c r="AE1490">
        <f t="shared" si="46"/>
        <v>1184.51</v>
      </c>
      <c r="AF1490" t="str">
        <f t="shared" si="47"/>
        <v>2025-07</v>
      </c>
      <c r="AG1490">
        <f>SUBTOTAL(103,A1490)</f>
        <v>1</v>
      </c>
    </row>
    <row r="1491" spans="1:33" x14ac:dyDescent="0.3">
      <c r="A1491" t="s">
        <v>4108</v>
      </c>
      <c r="B1491" s="13">
        <v>45846</v>
      </c>
      <c r="C1491">
        <v>2025</v>
      </c>
      <c r="D1491">
        <v>7</v>
      </c>
      <c r="E1491" t="s">
        <v>4046</v>
      </c>
      <c r="F1491" t="s">
        <v>4047</v>
      </c>
      <c r="G1491" t="s">
        <v>639</v>
      </c>
      <c r="H1491" t="s">
        <v>640</v>
      </c>
      <c r="I1491" t="s">
        <v>85</v>
      </c>
      <c r="J1491">
        <v>59</v>
      </c>
      <c r="K1491" t="s">
        <v>83</v>
      </c>
      <c r="L1491" t="s">
        <v>2605</v>
      </c>
      <c r="M1491" t="s">
        <v>60</v>
      </c>
      <c r="N1491" t="s">
        <v>2647</v>
      </c>
      <c r="O1491" t="s">
        <v>133</v>
      </c>
      <c r="P1491" t="s">
        <v>50</v>
      </c>
      <c r="Q1491" t="s">
        <v>145</v>
      </c>
      <c r="R1491">
        <v>4</v>
      </c>
      <c r="S1491">
        <v>799</v>
      </c>
      <c r="T1491">
        <v>0.1</v>
      </c>
      <c r="U1491">
        <v>2876.4</v>
      </c>
      <c r="V1491">
        <v>1560</v>
      </c>
      <c r="W1491">
        <v>1316.4</v>
      </c>
      <c r="X1491" t="s">
        <v>73</v>
      </c>
      <c r="Y1491" t="s">
        <v>68</v>
      </c>
      <c r="Z1491" t="s">
        <v>160</v>
      </c>
      <c r="AA1491" t="s">
        <v>167</v>
      </c>
      <c r="AB1491">
        <v>4.9000000000000004</v>
      </c>
      <c r="AC1491">
        <v>50</v>
      </c>
      <c r="AD1491">
        <v>315.57</v>
      </c>
      <c r="AE1491">
        <f t="shared" si="46"/>
        <v>950.83000000000015</v>
      </c>
      <c r="AF1491" t="str">
        <f t="shared" si="47"/>
        <v>2025-07</v>
      </c>
      <c r="AG1491">
        <f>SUBTOTAL(103,A1491)</f>
        <v>1</v>
      </c>
    </row>
    <row r="1492" spans="1:33" x14ac:dyDescent="0.3">
      <c r="A1492" t="s">
        <v>4109</v>
      </c>
      <c r="B1492" s="13">
        <v>45846</v>
      </c>
      <c r="C1492">
        <v>2025</v>
      </c>
      <c r="D1492">
        <v>7</v>
      </c>
      <c r="E1492" t="s">
        <v>4046</v>
      </c>
      <c r="F1492" t="s">
        <v>4047</v>
      </c>
      <c r="G1492" t="s">
        <v>2375</v>
      </c>
      <c r="H1492" t="s">
        <v>2376</v>
      </c>
      <c r="I1492" t="s">
        <v>86</v>
      </c>
      <c r="J1492">
        <v>49</v>
      </c>
      <c r="K1492" t="s">
        <v>83</v>
      </c>
      <c r="L1492" t="s">
        <v>2586</v>
      </c>
      <c r="M1492" t="s">
        <v>62</v>
      </c>
      <c r="N1492" t="s">
        <v>2580</v>
      </c>
      <c r="O1492" t="s">
        <v>118</v>
      </c>
      <c r="P1492" t="s">
        <v>48</v>
      </c>
      <c r="Q1492" t="s">
        <v>142</v>
      </c>
      <c r="R1492">
        <v>1</v>
      </c>
      <c r="S1492">
        <v>3999</v>
      </c>
      <c r="T1492">
        <v>0.25</v>
      </c>
      <c r="U1492">
        <v>2999.25</v>
      </c>
      <c r="V1492">
        <v>2400</v>
      </c>
      <c r="W1492">
        <v>599.25</v>
      </c>
      <c r="X1492" t="s">
        <v>76</v>
      </c>
      <c r="Y1492" t="s">
        <v>68</v>
      </c>
      <c r="Z1492" t="s">
        <v>160</v>
      </c>
      <c r="AA1492" t="s">
        <v>166</v>
      </c>
      <c r="AB1492">
        <v>4.5</v>
      </c>
      <c r="AC1492">
        <v>40</v>
      </c>
      <c r="AD1492">
        <v>104.72</v>
      </c>
      <c r="AE1492">
        <f t="shared" si="46"/>
        <v>454.53</v>
      </c>
      <c r="AF1492" t="str">
        <f t="shared" si="47"/>
        <v>2025-07</v>
      </c>
      <c r="AG1492">
        <f>SUBTOTAL(103,A1492)</f>
        <v>1</v>
      </c>
    </row>
    <row r="1493" spans="1:33" x14ac:dyDescent="0.3">
      <c r="A1493" t="s">
        <v>4110</v>
      </c>
      <c r="B1493" s="13">
        <v>45847</v>
      </c>
      <c r="C1493">
        <v>2025</v>
      </c>
      <c r="D1493">
        <v>7</v>
      </c>
      <c r="E1493" t="s">
        <v>4046</v>
      </c>
      <c r="F1493" t="s">
        <v>4047</v>
      </c>
      <c r="G1493" t="s">
        <v>1753</v>
      </c>
      <c r="H1493" t="s">
        <v>1754</v>
      </c>
      <c r="I1493" t="s">
        <v>85</v>
      </c>
      <c r="J1493">
        <v>40</v>
      </c>
      <c r="K1493" t="s">
        <v>82</v>
      </c>
      <c r="L1493" t="s">
        <v>2634</v>
      </c>
      <c r="M1493" t="s">
        <v>56</v>
      </c>
      <c r="N1493" t="s">
        <v>2644</v>
      </c>
      <c r="O1493" t="s">
        <v>126</v>
      </c>
      <c r="P1493" t="s">
        <v>50</v>
      </c>
      <c r="Q1493" t="s">
        <v>145</v>
      </c>
      <c r="R1493">
        <v>2</v>
      </c>
      <c r="S1493">
        <v>1799</v>
      </c>
      <c r="T1493">
        <v>0.15</v>
      </c>
      <c r="U1493">
        <v>3058.3</v>
      </c>
      <c r="V1493">
        <v>1900</v>
      </c>
      <c r="W1493">
        <v>1158.3</v>
      </c>
      <c r="X1493" t="s">
        <v>73</v>
      </c>
      <c r="Y1493" t="s">
        <v>68</v>
      </c>
      <c r="Z1493" t="s">
        <v>161</v>
      </c>
      <c r="AA1493" t="s">
        <v>169</v>
      </c>
      <c r="AB1493">
        <v>4.3</v>
      </c>
      <c r="AC1493">
        <v>80</v>
      </c>
      <c r="AD1493">
        <v>115.18</v>
      </c>
      <c r="AE1493">
        <f t="shared" si="46"/>
        <v>963.11999999999989</v>
      </c>
      <c r="AF1493" t="str">
        <f t="shared" si="47"/>
        <v>2025-07</v>
      </c>
      <c r="AG1493">
        <f>SUBTOTAL(103,A1493)</f>
        <v>1</v>
      </c>
    </row>
    <row r="1494" spans="1:33" x14ac:dyDescent="0.3">
      <c r="A1494" t="s">
        <v>4111</v>
      </c>
      <c r="B1494" s="13">
        <v>45847</v>
      </c>
      <c r="C1494">
        <v>2025</v>
      </c>
      <c r="D1494">
        <v>7</v>
      </c>
      <c r="E1494" t="s">
        <v>4046</v>
      </c>
      <c r="F1494" t="s">
        <v>4047</v>
      </c>
      <c r="G1494" t="s">
        <v>425</v>
      </c>
      <c r="H1494" t="s">
        <v>426</v>
      </c>
      <c r="I1494" t="s">
        <v>86</v>
      </c>
      <c r="J1494">
        <v>20</v>
      </c>
      <c r="K1494" t="s">
        <v>80</v>
      </c>
      <c r="L1494" t="s">
        <v>96</v>
      </c>
      <c r="M1494" t="s">
        <v>55</v>
      </c>
      <c r="N1494" t="s">
        <v>2601</v>
      </c>
      <c r="O1494" t="s">
        <v>117</v>
      </c>
      <c r="P1494" t="s">
        <v>49</v>
      </c>
      <c r="Q1494" t="s">
        <v>139</v>
      </c>
      <c r="R1494">
        <v>4</v>
      </c>
      <c r="S1494">
        <v>6999</v>
      </c>
      <c r="T1494">
        <v>0.05</v>
      </c>
      <c r="U1494">
        <v>26596.2</v>
      </c>
      <c r="V1494">
        <v>17200</v>
      </c>
      <c r="W1494">
        <v>9396.2000000000007</v>
      </c>
      <c r="X1494" t="s">
        <v>75</v>
      </c>
      <c r="Y1494" t="s">
        <v>68</v>
      </c>
      <c r="Z1494" t="s">
        <v>161</v>
      </c>
      <c r="AA1494" t="s">
        <v>170</v>
      </c>
      <c r="AB1494">
        <v>4</v>
      </c>
      <c r="AC1494">
        <v>40</v>
      </c>
      <c r="AD1494">
        <v>1986.38</v>
      </c>
      <c r="AE1494">
        <f t="shared" si="46"/>
        <v>7369.8200000000006</v>
      </c>
      <c r="AF1494" t="str">
        <f t="shared" si="47"/>
        <v>2025-07</v>
      </c>
      <c r="AG1494">
        <f>SUBTOTAL(103,A1494)</f>
        <v>1</v>
      </c>
    </row>
    <row r="1495" spans="1:33" x14ac:dyDescent="0.3">
      <c r="A1495" t="s">
        <v>4112</v>
      </c>
      <c r="B1495" s="13">
        <v>45847</v>
      </c>
      <c r="C1495">
        <v>2025</v>
      </c>
      <c r="D1495">
        <v>7</v>
      </c>
      <c r="E1495" t="s">
        <v>4046</v>
      </c>
      <c r="F1495" t="s">
        <v>4047</v>
      </c>
      <c r="G1495" t="s">
        <v>429</v>
      </c>
      <c r="H1495" t="s">
        <v>430</v>
      </c>
      <c r="I1495" t="s">
        <v>86</v>
      </c>
      <c r="J1495">
        <v>50</v>
      </c>
      <c r="K1495" t="s">
        <v>83</v>
      </c>
      <c r="L1495" t="s">
        <v>93</v>
      </c>
      <c r="M1495" t="s">
        <v>55</v>
      </c>
      <c r="N1495" t="s">
        <v>2653</v>
      </c>
      <c r="O1495" t="s">
        <v>132</v>
      </c>
      <c r="P1495" t="s">
        <v>52</v>
      </c>
      <c r="Q1495" t="s">
        <v>150</v>
      </c>
      <c r="R1495">
        <v>2</v>
      </c>
      <c r="S1495">
        <v>899</v>
      </c>
      <c r="T1495">
        <v>0.1</v>
      </c>
      <c r="U1495">
        <v>1618.2</v>
      </c>
      <c r="V1495">
        <v>840</v>
      </c>
      <c r="W1495">
        <v>778.2</v>
      </c>
      <c r="X1495" t="s">
        <v>76</v>
      </c>
      <c r="Y1495" t="s">
        <v>68</v>
      </c>
      <c r="Z1495" t="s">
        <v>161</v>
      </c>
      <c r="AA1495" t="s">
        <v>167</v>
      </c>
      <c r="AB1495">
        <v>4.8</v>
      </c>
      <c r="AC1495">
        <v>50</v>
      </c>
      <c r="AD1495">
        <v>47.74</v>
      </c>
      <c r="AE1495">
        <f t="shared" si="46"/>
        <v>680.46</v>
      </c>
      <c r="AF1495" t="str">
        <f t="shared" si="47"/>
        <v>2025-07</v>
      </c>
      <c r="AG1495">
        <f>SUBTOTAL(103,A1495)</f>
        <v>1</v>
      </c>
    </row>
    <row r="1496" spans="1:33" x14ac:dyDescent="0.3">
      <c r="A1496" t="s">
        <v>4113</v>
      </c>
      <c r="B1496" s="13">
        <v>45847</v>
      </c>
      <c r="C1496">
        <v>2025</v>
      </c>
      <c r="D1496">
        <v>7</v>
      </c>
      <c r="E1496" t="s">
        <v>4046</v>
      </c>
      <c r="F1496" t="s">
        <v>4047</v>
      </c>
      <c r="G1496" t="s">
        <v>2225</v>
      </c>
      <c r="H1496" t="s">
        <v>2226</v>
      </c>
      <c r="I1496" t="s">
        <v>86</v>
      </c>
      <c r="J1496">
        <v>52</v>
      </c>
      <c r="K1496" t="s">
        <v>83</v>
      </c>
      <c r="L1496" t="s">
        <v>90</v>
      </c>
      <c r="M1496" t="s">
        <v>55</v>
      </c>
      <c r="N1496" t="s">
        <v>2574</v>
      </c>
      <c r="O1496" t="s">
        <v>130</v>
      </c>
      <c r="P1496" t="s">
        <v>50</v>
      </c>
      <c r="Q1496" t="s">
        <v>53</v>
      </c>
      <c r="R1496">
        <v>3</v>
      </c>
      <c r="S1496">
        <v>1199</v>
      </c>
      <c r="T1496">
        <v>0.15</v>
      </c>
      <c r="U1496">
        <v>0</v>
      </c>
      <c r="V1496">
        <v>0</v>
      </c>
      <c r="W1496">
        <v>0</v>
      </c>
      <c r="X1496" t="s">
        <v>75</v>
      </c>
      <c r="Y1496" t="s">
        <v>71</v>
      </c>
      <c r="Z1496" t="s">
        <v>158</v>
      </c>
      <c r="AA1496" t="s">
        <v>166</v>
      </c>
      <c r="AB1496">
        <v>4.3</v>
      </c>
      <c r="AC1496">
        <v>80</v>
      </c>
      <c r="AD1496">
        <v>108.91</v>
      </c>
      <c r="AE1496">
        <f t="shared" si="46"/>
        <v>-188.91</v>
      </c>
      <c r="AF1496" t="str">
        <f t="shared" si="47"/>
        <v>2025-07</v>
      </c>
      <c r="AG1496">
        <f>SUBTOTAL(103,A1496)</f>
        <v>1</v>
      </c>
    </row>
    <row r="1497" spans="1:33" x14ac:dyDescent="0.3">
      <c r="A1497" t="s">
        <v>4114</v>
      </c>
      <c r="B1497" s="13">
        <v>45848</v>
      </c>
      <c r="C1497">
        <v>2025</v>
      </c>
      <c r="D1497">
        <v>7</v>
      </c>
      <c r="E1497" t="s">
        <v>4046</v>
      </c>
      <c r="F1497" t="s">
        <v>4047</v>
      </c>
      <c r="G1497" t="s">
        <v>377</v>
      </c>
      <c r="H1497" t="s">
        <v>378</v>
      </c>
      <c r="I1497" t="s">
        <v>85</v>
      </c>
      <c r="J1497">
        <v>23</v>
      </c>
      <c r="K1497" t="s">
        <v>80</v>
      </c>
      <c r="L1497" t="s">
        <v>2674</v>
      </c>
      <c r="M1497" t="s">
        <v>58</v>
      </c>
      <c r="N1497" t="s">
        <v>2665</v>
      </c>
      <c r="O1497" t="s">
        <v>128</v>
      </c>
      <c r="P1497" t="s">
        <v>53</v>
      </c>
      <c r="Q1497" t="s">
        <v>143</v>
      </c>
      <c r="R1497">
        <v>2</v>
      </c>
      <c r="S1497">
        <v>1499</v>
      </c>
      <c r="T1497">
        <v>0.15</v>
      </c>
      <c r="U1497">
        <v>2548.3000000000002</v>
      </c>
      <c r="V1497">
        <v>1600</v>
      </c>
      <c r="W1497">
        <v>948.3</v>
      </c>
      <c r="X1497" t="s">
        <v>73</v>
      </c>
      <c r="Y1497" t="s">
        <v>68</v>
      </c>
      <c r="Z1497" t="s">
        <v>158</v>
      </c>
      <c r="AA1497" t="s">
        <v>171</v>
      </c>
      <c r="AB1497">
        <v>4.2</v>
      </c>
      <c r="AC1497">
        <v>50</v>
      </c>
      <c r="AD1497">
        <v>218.97</v>
      </c>
      <c r="AE1497">
        <f t="shared" si="46"/>
        <v>679.32999999999993</v>
      </c>
      <c r="AF1497" t="str">
        <f t="shared" si="47"/>
        <v>2025-07</v>
      </c>
      <c r="AG1497">
        <f>SUBTOTAL(103,A1497)</f>
        <v>1</v>
      </c>
    </row>
    <row r="1498" spans="1:33" x14ac:dyDescent="0.3">
      <c r="A1498" t="s">
        <v>4115</v>
      </c>
      <c r="B1498" s="13">
        <v>45848</v>
      </c>
      <c r="C1498">
        <v>2025</v>
      </c>
      <c r="D1498">
        <v>7</v>
      </c>
      <c r="E1498" t="s">
        <v>4046</v>
      </c>
      <c r="F1498" t="s">
        <v>4047</v>
      </c>
      <c r="G1498" t="s">
        <v>253</v>
      </c>
      <c r="H1498" t="s">
        <v>254</v>
      </c>
      <c r="I1498" t="s">
        <v>86</v>
      </c>
      <c r="J1498">
        <v>42</v>
      </c>
      <c r="K1498" t="s">
        <v>82</v>
      </c>
      <c r="L1498" t="s">
        <v>2661</v>
      </c>
      <c r="M1498" t="s">
        <v>58</v>
      </c>
      <c r="N1498" t="s">
        <v>2587</v>
      </c>
      <c r="O1498" t="s">
        <v>116</v>
      </c>
      <c r="P1498" t="s">
        <v>48</v>
      </c>
      <c r="Q1498" t="s">
        <v>138</v>
      </c>
      <c r="R1498">
        <v>1</v>
      </c>
      <c r="S1498">
        <v>14999</v>
      </c>
      <c r="T1498">
        <v>0.1</v>
      </c>
      <c r="U1498">
        <v>13499.1</v>
      </c>
      <c r="V1498">
        <v>11200</v>
      </c>
      <c r="W1498">
        <v>2299.1</v>
      </c>
      <c r="X1498" t="s">
        <v>74</v>
      </c>
      <c r="Y1498" t="s">
        <v>68</v>
      </c>
      <c r="Z1498" t="s">
        <v>158</v>
      </c>
      <c r="AA1498" t="s">
        <v>169</v>
      </c>
      <c r="AB1498">
        <v>3.7</v>
      </c>
      <c r="AC1498">
        <v>50</v>
      </c>
      <c r="AD1498">
        <v>1270.3900000000001</v>
      </c>
      <c r="AE1498">
        <f t="shared" si="46"/>
        <v>978.70999999999981</v>
      </c>
      <c r="AF1498" t="str">
        <f t="shared" si="47"/>
        <v>2025-07</v>
      </c>
      <c r="AG1498">
        <f>SUBTOTAL(103,A1498)</f>
        <v>1</v>
      </c>
    </row>
    <row r="1499" spans="1:33" x14ac:dyDescent="0.3">
      <c r="A1499" t="s">
        <v>4116</v>
      </c>
      <c r="B1499" s="13">
        <v>45848</v>
      </c>
      <c r="C1499">
        <v>2025</v>
      </c>
      <c r="D1499">
        <v>7</v>
      </c>
      <c r="E1499" t="s">
        <v>4046</v>
      </c>
      <c r="F1499" t="s">
        <v>4047</v>
      </c>
      <c r="G1499" t="s">
        <v>651</v>
      </c>
      <c r="H1499" t="s">
        <v>652</v>
      </c>
      <c r="I1499" t="s">
        <v>86</v>
      </c>
      <c r="J1499">
        <v>23</v>
      </c>
      <c r="K1499" t="s">
        <v>80</v>
      </c>
      <c r="L1499" t="s">
        <v>90</v>
      </c>
      <c r="M1499" t="s">
        <v>55</v>
      </c>
      <c r="N1499" t="s">
        <v>2630</v>
      </c>
      <c r="O1499" t="s">
        <v>123</v>
      </c>
      <c r="P1499" t="s">
        <v>52</v>
      </c>
      <c r="Q1499" t="s">
        <v>146</v>
      </c>
      <c r="R1499">
        <v>3</v>
      </c>
      <c r="S1499">
        <v>2499</v>
      </c>
      <c r="T1499">
        <v>0.1</v>
      </c>
      <c r="U1499">
        <v>6747.3</v>
      </c>
      <c r="V1499">
        <v>4200</v>
      </c>
      <c r="W1499">
        <v>2547.3000000000002</v>
      </c>
      <c r="X1499" t="s">
        <v>73</v>
      </c>
      <c r="Y1499" t="s">
        <v>68</v>
      </c>
      <c r="Z1499" t="s">
        <v>159</v>
      </c>
      <c r="AA1499" t="s">
        <v>169</v>
      </c>
      <c r="AB1499">
        <v>3</v>
      </c>
      <c r="AC1499">
        <v>60</v>
      </c>
      <c r="AD1499">
        <v>149.86000000000001</v>
      </c>
      <c r="AE1499">
        <f t="shared" si="46"/>
        <v>2337.44</v>
      </c>
      <c r="AF1499" t="str">
        <f t="shared" si="47"/>
        <v>2025-07</v>
      </c>
      <c r="AG1499">
        <f>SUBTOTAL(103,A1499)</f>
        <v>1</v>
      </c>
    </row>
    <row r="1500" spans="1:33" x14ac:dyDescent="0.3">
      <c r="A1500" t="s">
        <v>4117</v>
      </c>
      <c r="B1500" s="13">
        <v>45848</v>
      </c>
      <c r="C1500">
        <v>2025</v>
      </c>
      <c r="D1500">
        <v>7</v>
      </c>
      <c r="E1500" t="s">
        <v>4046</v>
      </c>
      <c r="F1500" t="s">
        <v>4047</v>
      </c>
      <c r="G1500" t="s">
        <v>2295</v>
      </c>
      <c r="H1500" t="s">
        <v>2296</v>
      </c>
      <c r="I1500" t="s">
        <v>86</v>
      </c>
      <c r="J1500">
        <v>37</v>
      </c>
      <c r="K1500" t="s">
        <v>82</v>
      </c>
      <c r="L1500" t="s">
        <v>93</v>
      </c>
      <c r="M1500" t="s">
        <v>55</v>
      </c>
      <c r="N1500" t="s">
        <v>2647</v>
      </c>
      <c r="O1500" t="s">
        <v>133</v>
      </c>
      <c r="P1500" t="s">
        <v>50</v>
      </c>
      <c r="Q1500" t="s">
        <v>145</v>
      </c>
      <c r="R1500">
        <v>1</v>
      </c>
      <c r="S1500">
        <v>799</v>
      </c>
      <c r="T1500">
        <v>0.1</v>
      </c>
      <c r="U1500">
        <v>719.1</v>
      </c>
      <c r="V1500">
        <v>390</v>
      </c>
      <c r="W1500">
        <v>329.1</v>
      </c>
      <c r="X1500" t="s">
        <v>76</v>
      </c>
      <c r="Y1500" t="s">
        <v>68</v>
      </c>
      <c r="Z1500" t="s">
        <v>159</v>
      </c>
      <c r="AA1500" t="s">
        <v>170</v>
      </c>
      <c r="AB1500">
        <v>3.6</v>
      </c>
      <c r="AC1500">
        <v>120</v>
      </c>
      <c r="AD1500">
        <v>76.64</v>
      </c>
      <c r="AE1500">
        <f t="shared" si="46"/>
        <v>132.46000000000004</v>
      </c>
      <c r="AF1500" t="str">
        <f t="shared" si="47"/>
        <v>2025-07</v>
      </c>
      <c r="AG1500">
        <f>SUBTOTAL(103,A1500)</f>
        <v>1</v>
      </c>
    </row>
    <row r="1501" spans="1:33" x14ac:dyDescent="0.3">
      <c r="A1501" t="s">
        <v>4118</v>
      </c>
      <c r="B1501" s="13">
        <v>45848</v>
      </c>
      <c r="C1501">
        <v>2025</v>
      </c>
      <c r="D1501">
        <v>7</v>
      </c>
      <c r="E1501" t="s">
        <v>4046</v>
      </c>
      <c r="F1501" t="s">
        <v>4047</v>
      </c>
      <c r="G1501" t="s">
        <v>2123</v>
      </c>
      <c r="H1501" t="s">
        <v>2124</v>
      </c>
      <c r="I1501" t="s">
        <v>85</v>
      </c>
      <c r="J1501">
        <v>39</v>
      </c>
      <c r="K1501" t="s">
        <v>82</v>
      </c>
      <c r="L1501" t="s">
        <v>2610</v>
      </c>
      <c r="M1501" t="s">
        <v>64</v>
      </c>
      <c r="N1501" t="s">
        <v>2590</v>
      </c>
      <c r="O1501" t="s">
        <v>127</v>
      </c>
      <c r="P1501" t="s">
        <v>51</v>
      </c>
      <c r="Q1501" t="s">
        <v>148</v>
      </c>
      <c r="R1501">
        <v>2</v>
      </c>
      <c r="S1501">
        <v>1599</v>
      </c>
      <c r="T1501">
        <v>0.05</v>
      </c>
      <c r="U1501">
        <v>3038.1</v>
      </c>
      <c r="V1501">
        <v>1600</v>
      </c>
      <c r="W1501">
        <v>1438.1</v>
      </c>
      <c r="X1501" t="s">
        <v>73</v>
      </c>
      <c r="Y1501" t="s">
        <v>68</v>
      </c>
      <c r="Z1501" t="s">
        <v>162</v>
      </c>
      <c r="AA1501" t="s">
        <v>167</v>
      </c>
      <c r="AB1501">
        <v>4.0999999999999996</v>
      </c>
      <c r="AC1501">
        <v>60</v>
      </c>
      <c r="AD1501">
        <v>288.88</v>
      </c>
      <c r="AE1501">
        <f t="shared" si="46"/>
        <v>1089.2199999999998</v>
      </c>
      <c r="AF1501" t="str">
        <f t="shared" si="47"/>
        <v>2025-07</v>
      </c>
      <c r="AG1501">
        <f>SUBTOTAL(103,A1501)</f>
        <v>1</v>
      </c>
    </row>
    <row r="1502" spans="1:33" x14ac:dyDescent="0.3">
      <c r="A1502" t="s">
        <v>4119</v>
      </c>
      <c r="B1502" s="13">
        <v>45848</v>
      </c>
      <c r="C1502">
        <v>2025</v>
      </c>
      <c r="D1502">
        <v>7</v>
      </c>
      <c r="E1502" t="s">
        <v>4046</v>
      </c>
      <c r="F1502" t="s">
        <v>4047</v>
      </c>
      <c r="G1502" t="s">
        <v>1153</v>
      </c>
      <c r="H1502" t="s">
        <v>1154</v>
      </c>
      <c r="I1502" t="s">
        <v>85</v>
      </c>
      <c r="J1502">
        <v>24</v>
      </c>
      <c r="K1502" t="s">
        <v>80</v>
      </c>
      <c r="L1502" t="s">
        <v>2634</v>
      </c>
      <c r="M1502" t="s">
        <v>56</v>
      </c>
      <c r="N1502" t="s">
        <v>2606</v>
      </c>
      <c r="O1502" t="s">
        <v>120</v>
      </c>
      <c r="P1502" t="s">
        <v>49</v>
      </c>
      <c r="Q1502" t="s">
        <v>140</v>
      </c>
      <c r="R1502">
        <v>2</v>
      </c>
      <c r="S1502">
        <v>2799</v>
      </c>
      <c r="T1502">
        <v>0.1</v>
      </c>
      <c r="U1502">
        <v>5038.2</v>
      </c>
      <c r="V1502">
        <v>3300</v>
      </c>
      <c r="W1502">
        <v>1738.2</v>
      </c>
      <c r="X1502" t="s">
        <v>73</v>
      </c>
      <c r="Y1502" t="s">
        <v>68</v>
      </c>
      <c r="Z1502" t="s">
        <v>160</v>
      </c>
      <c r="AA1502" t="s">
        <v>169</v>
      </c>
      <c r="AB1502">
        <v>4.4000000000000004</v>
      </c>
      <c r="AC1502">
        <v>50</v>
      </c>
      <c r="AD1502">
        <v>228.36</v>
      </c>
      <c r="AE1502">
        <f t="shared" si="46"/>
        <v>1459.8400000000001</v>
      </c>
      <c r="AF1502" t="str">
        <f t="shared" si="47"/>
        <v>2025-07</v>
      </c>
      <c r="AG1502">
        <f>SUBTOTAL(103,A1502)</f>
        <v>1</v>
      </c>
    </row>
    <row r="1503" spans="1:33" x14ac:dyDescent="0.3">
      <c r="A1503" t="s">
        <v>4120</v>
      </c>
      <c r="B1503" s="13">
        <v>45848</v>
      </c>
      <c r="C1503">
        <v>2025</v>
      </c>
      <c r="D1503">
        <v>7</v>
      </c>
      <c r="E1503" t="s">
        <v>4046</v>
      </c>
      <c r="F1503" t="s">
        <v>4047</v>
      </c>
      <c r="G1503" t="s">
        <v>467</v>
      </c>
      <c r="H1503" t="s">
        <v>468</v>
      </c>
      <c r="I1503" t="s">
        <v>85</v>
      </c>
      <c r="J1503">
        <v>42</v>
      </c>
      <c r="K1503" t="s">
        <v>82</v>
      </c>
      <c r="L1503" t="s">
        <v>2616</v>
      </c>
      <c r="M1503" t="s">
        <v>62</v>
      </c>
      <c r="N1503" t="s">
        <v>2657</v>
      </c>
      <c r="O1503" t="s">
        <v>134</v>
      </c>
      <c r="P1503" t="s">
        <v>49</v>
      </c>
      <c r="Q1503" t="s">
        <v>140</v>
      </c>
      <c r="R1503">
        <v>4</v>
      </c>
      <c r="S1503">
        <v>599</v>
      </c>
      <c r="T1503">
        <v>0.05</v>
      </c>
      <c r="U1503">
        <v>2276.1999999999998</v>
      </c>
      <c r="V1503">
        <v>1000</v>
      </c>
      <c r="W1503">
        <v>1276.2</v>
      </c>
      <c r="X1503" t="s">
        <v>73</v>
      </c>
      <c r="Y1503" t="s">
        <v>68</v>
      </c>
      <c r="Z1503" t="s">
        <v>159</v>
      </c>
      <c r="AA1503" t="s">
        <v>166</v>
      </c>
      <c r="AB1503">
        <v>3.4</v>
      </c>
      <c r="AC1503">
        <v>60</v>
      </c>
      <c r="AD1503">
        <v>190.22</v>
      </c>
      <c r="AE1503">
        <f t="shared" si="46"/>
        <v>1025.98</v>
      </c>
      <c r="AF1503" t="str">
        <f t="shared" si="47"/>
        <v>2025-07</v>
      </c>
      <c r="AG1503">
        <f>SUBTOTAL(103,A1503)</f>
        <v>1</v>
      </c>
    </row>
    <row r="1504" spans="1:33" x14ac:dyDescent="0.3">
      <c r="A1504" t="s">
        <v>4121</v>
      </c>
      <c r="B1504" s="13">
        <v>45848</v>
      </c>
      <c r="C1504">
        <v>2025</v>
      </c>
      <c r="D1504">
        <v>7</v>
      </c>
      <c r="E1504" t="s">
        <v>4046</v>
      </c>
      <c r="F1504" t="s">
        <v>4047</v>
      </c>
      <c r="G1504" t="s">
        <v>1207</v>
      </c>
      <c r="H1504" t="s">
        <v>1208</v>
      </c>
      <c r="I1504" t="s">
        <v>85</v>
      </c>
      <c r="J1504">
        <v>35</v>
      </c>
      <c r="K1504" t="s">
        <v>81</v>
      </c>
      <c r="L1504" t="s">
        <v>91</v>
      </c>
      <c r="M1504" t="s">
        <v>55</v>
      </c>
      <c r="N1504" t="s">
        <v>2603</v>
      </c>
      <c r="O1504" t="s">
        <v>122</v>
      </c>
      <c r="P1504" t="s">
        <v>48</v>
      </c>
      <c r="Q1504" t="s">
        <v>141</v>
      </c>
      <c r="R1504">
        <v>3</v>
      </c>
      <c r="S1504">
        <v>2499</v>
      </c>
      <c r="T1504">
        <v>0.05</v>
      </c>
      <c r="U1504">
        <v>7122.15</v>
      </c>
      <c r="V1504">
        <v>4350</v>
      </c>
      <c r="W1504">
        <v>2772.15</v>
      </c>
      <c r="X1504" t="s">
        <v>75</v>
      </c>
      <c r="Y1504" t="s">
        <v>68</v>
      </c>
      <c r="Z1504" t="s">
        <v>158</v>
      </c>
      <c r="AA1504" t="s">
        <v>169</v>
      </c>
      <c r="AB1504">
        <v>4.4000000000000004</v>
      </c>
      <c r="AC1504">
        <v>60</v>
      </c>
      <c r="AD1504">
        <v>345.75</v>
      </c>
      <c r="AE1504">
        <f t="shared" si="46"/>
        <v>2366.4</v>
      </c>
      <c r="AF1504" t="str">
        <f t="shared" si="47"/>
        <v>2025-07</v>
      </c>
      <c r="AG1504">
        <f>SUBTOTAL(103,A1504)</f>
        <v>1</v>
      </c>
    </row>
    <row r="1505" spans="1:33" x14ac:dyDescent="0.3">
      <c r="A1505" t="s">
        <v>4122</v>
      </c>
      <c r="B1505" s="13">
        <v>45848</v>
      </c>
      <c r="C1505">
        <v>2025</v>
      </c>
      <c r="D1505">
        <v>7</v>
      </c>
      <c r="E1505" t="s">
        <v>4046</v>
      </c>
      <c r="F1505" t="s">
        <v>4047</v>
      </c>
      <c r="G1505" t="s">
        <v>687</v>
      </c>
      <c r="H1505" t="s">
        <v>688</v>
      </c>
      <c r="I1505" t="s">
        <v>86</v>
      </c>
      <c r="J1505">
        <v>45</v>
      </c>
      <c r="K1505" t="s">
        <v>82</v>
      </c>
      <c r="L1505" t="s">
        <v>91</v>
      </c>
      <c r="M1505" t="s">
        <v>55</v>
      </c>
      <c r="N1505" t="s">
        <v>2603</v>
      </c>
      <c r="O1505" t="s">
        <v>122</v>
      </c>
      <c r="P1505" t="s">
        <v>48</v>
      </c>
      <c r="Q1505" t="s">
        <v>141</v>
      </c>
      <c r="R1505">
        <v>4</v>
      </c>
      <c r="S1505">
        <v>2499</v>
      </c>
      <c r="T1505">
        <v>0.2</v>
      </c>
      <c r="U1505">
        <v>7996.8</v>
      </c>
      <c r="V1505">
        <v>5800</v>
      </c>
      <c r="W1505">
        <v>2196.8000000000002</v>
      </c>
      <c r="X1505" t="s">
        <v>76</v>
      </c>
      <c r="Y1505" t="s">
        <v>68</v>
      </c>
      <c r="Z1505" t="s">
        <v>161</v>
      </c>
      <c r="AA1505" t="s">
        <v>166</v>
      </c>
      <c r="AB1505">
        <v>3.4</v>
      </c>
      <c r="AC1505">
        <v>60</v>
      </c>
      <c r="AD1505">
        <v>552.76</v>
      </c>
      <c r="AE1505">
        <f t="shared" si="46"/>
        <v>1584.0400000000002</v>
      </c>
      <c r="AF1505" t="str">
        <f t="shared" si="47"/>
        <v>2025-07</v>
      </c>
      <c r="AG1505">
        <f>SUBTOTAL(103,A1505)</f>
        <v>1</v>
      </c>
    </row>
    <row r="1506" spans="1:33" x14ac:dyDescent="0.3">
      <c r="A1506" t="s">
        <v>4123</v>
      </c>
      <c r="B1506" s="13">
        <v>45849</v>
      </c>
      <c r="C1506">
        <v>2025</v>
      </c>
      <c r="D1506">
        <v>7</v>
      </c>
      <c r="E1506" t="s">
        <v>4046</v>
      </c>
      <c r="F1506" t="s">
        <v>4047</v>
      </c>
      <c r="G1506" t="s">
        <v>363</v>
      </c>
      <c r="H1506" t="s">
        <v>364</v>
      </c>
      <c r="I1506" t="s">
        <v>85</v>
      </c>
      <c r="J1506">
        <v>43</v>
      </c>
      <c r="K1506" t="s">
        <v>82</v>
      </c>
      <c r="L1506" t="s">
        <v>93</v>
      </c>
      <c r="M1506" t="s">
        <v>55</v>
      </c>
      <c r="N1506" t="s">
        <v>2626</v>
      </c>
      <c r="O1506" t="s">
        <v>125</v>
      </c>
      <c r="P1506" t="s">
        <v>48</v>
      </c>
      <c r="Q1506" t="s">
        <v>141</v>
      </c>
      <c r="R1506">
        <v>3</v>
      </c>
      <c r="S1506">
        <v>1999</v>
      </c>
      <c r="T1506">
        <v>0.25</v>
      </c>
      <c r="U1506">
        <v>4497.75</v>
      </c>
      <c r="V1506">
        <v>3450</v>
      </c>
      <c r="W1506">
        <v>1047.75</v>
      </c>
      <c r="X1506" t="s">
        <v>76</v>
      </c>
      <c r="Y1506" t="s">
        <v>68</v>
      </c>
      <c r="Z1506" t="s">
        <v>160</v>
      </c>
      <c r="AA1506" t="s">
        <v>170</v>
      </c>
      <c r="AB1506">
        <v>4.2</v>
      </c>
      <c r="AC1506">
        <v>40</v>
      </c>
      <c r="AD1506">
        <v>413.02</v>
      </c>
      <c r="AE1506">
        <f t="shared" si="46"/>
        <v>594.73</v>
      </c>
      <c r="AF1506" t="str">
        <f t="shared" si="47"/>
        <v>2025-07</v>
      </c>
      <c r="AG1506">
        <f>SUBTOTAL(103,A1506)</f>
        <v>1</v>
      </c>
    </row>
    <row r="1507" spans="1:33" x14ac:dyDescent="0.3">
      <c r="A1507" t="s">
        <v>4124</v>
      </c>
      <c r="B1507" s="13">
        <v>45849</v>
      </c>
      <c r="C1507">
        <v>2025</v>
      </c>
      <c r="D1507">
        <v>7</v>
      </c>
      <c r="E1507" t="s">
        <v>4046</v>
      </c>
      <c r="F1507" t="s">
        <v>4047</v>
      </c>
      <c r="G1507" t="s">
        <v>1605</v>
      </c>
      <c r="H1507" t="s">
        <v>1606</v>
      </c>
      <c r="I1507" t="s">
        <v>86</v>
      </c>
      <c r="J1507">
        <v>37</v>
      </c>
      <c r="K1507" t="s">
        <v>82</v>
      </c>
      <c r="L1507" t="s">
        <v>2612</v>
      </c>
      <c r="M1507" t="s">
        <v>64</v>
      </c>
      <c r="N1507" t="s">
        <v>2584</v>
      </c>
      <c r="O1507" t="s">
        <v>121</v>
      </c>
      <c r="P1507" t="s">
        <v>50</v>
      </c>
      <c r="Q1507" t="s">
        <v>144</v>
      </c>
      <c r="R1507">
        <v>2</v>
      </c>
      <c r="S1507">
        <v>2999</v>
      </c>
      <c r="T1507">
        <v>0.05</v>
      </c>
      <c r="U1507">
        <v>5698.1</v>
      </c>
      <c r="V1507">
        <v>3400</v>
      </c>
      <c r="W1507">
        <v>2298.1</v>
      </c>
      <c r="X1507" t="s">
        <v>74</v>
      </c>
      <c r="Y1507" t="s">
        <v>68</v>
      </c>
      <c r="Z1507" t="s">
        <v>159</v>
      </c>
      <c r="AA1507" t="s">
        <v>169</v>
      </c>
      <c r="AB1507">
        <v>3.1</v>
      </c>
      <c r="AC1507">
        <v>80</v>
      </c>
      <c r="AD1507">
        <v>128.02000000000001</v>
      </c>
      <c r="AE1507">
        <f t="shared" si="46"/>
        <v>2090.08</v>
      </c>
      <c r="AF1507" t="str">
        <f t="shared" si="47"/>
        <v>2025-07</v>
      </c>
      <c r="AG1507">
        <f>SUBTOTAL(103,A1507)</f>
        <v>1</v>
      </c>
    </row>
    <row r="1508" spans="1:33" x14ac:dyDescent="0.3">
      <c r="A1508" t="s">
        <v>4125</v>
      </c>
      <c r="B1508" s="13">
        <v>45849</v>
      </c>
      <c r="C1508">
        <v>2025</v>
      </c>
      <c r="D1508">
        <v>7</v>
      </c>
      <c r="E1508" t="s">
        <v>4046</v>
      </c>
      <c r="F1508" t="s">
        <v>4047</v>
      </c>
      <c r="G1508" t="s">
        <v>631</v>
      </c>
      <c r="H1508" t="s">
        <v>632</v>
      </c>
      <c r="I1508" t="s">
        <v>85</v>
      </c>
      <c r="J1508">
        <v>22</v>
      </c>
      <c r="K1508" t="s">
        <v>80</v>
      </c>
      <c r="L1508" t="s">
        <v>92</v>
      </c>
      <c r="M1508" t="s">
        <v>59</v>
      </c>
      <c r="N1508" t="s">
        <v>2584</v>
      </c>
      <c r="O1508" t="s">
        <v>121</v>
      </c>
      <c r="P1508" t="s">
        <v>50</v>
      </c>
      <c r="Q1508" t="s">
        <v>144</v>
      </c>
      <c r="R1508">
        <v>1</v>
      </c>
      <c r="S1508">
        <v>2999</v>
      </c>
      <c r="T1508">
        <v>0.2</v>
      </c>
      <c r="U1508">
        <v>2399.1999999999998</v>
      </c>
      <c r="V1508">
        <v>1700</v>
      </c>
      <c r="W1508">
        <v>699.2</v>
      </c>
      <c r="X1508" t="s">
        <v>73</v>
      </c>
      <c r="Y1508" t="s">
        <v>68</v>
      </c>
      <c r="Z1508" t="s">
        <v>163</v>
      </c>
      <c r="AA1508" t="s">
        <v>166</v>
      </c>
      <c r="AB1508">
        <v>3.6</v>
      </c>
      <c r="AC1508">
        <v>50</v>
      </c>
      <c r="AD1508">
        <v>259.83999999999997</v>
      </c>
      <c r="AE1508">
        <f t="shared" si="46"/>
        <v>389.36000000000007</v>
      </c>
      <c r="AF1508" t="str">
        <f t="shared" si="47"/>
        <v>2025-07</v>
      </c>
      <c r="AG1508">
        <f>SUBTOTAL(103,A1508)</f>
        <v>1</v>
      </c>
    </row>
    <row r="1509" spans="1:33" x14ac:dyDescent="0.3">
      <c r="A1509" t="s">
        <v>4126</v>
      </c>
      <c r="B1509" s="13">
        <v>45849</v>
      </c>
      <c r="C1509">
        <v>2025</v>
      </c>
      <c r="D1509">
        <v>7</v>
      </c>
      <c r="E1509" t="s">
        <v>4046</v>
      </c>
      <c r="F1509" t="s">
        <v>4047</v>
      </c>
      <c r="G1509" t="s">
        <v>2047</v>
      </c>
      <c r="H1509" t="s">
        <v>2048</v>
      </c>
      <c r="I1509" t="s">
        <v>85</v>
      </c>
      <c r="J1509">
        <v>18</v>
      </c>
      <c r="K1509" t="s">
        <v>80</v>
      </c>
      <c r="L1509" t="s">
        <v>2690</v>
      </c>
      <c r="M1509" t="s">
        <v>63</v>
      </c>
      <c r="N1509" t="s">
        <v>2630</v>
      </c>
      <c r="O1509" t="s">
        <v>123</v>
      </c>
      <c r="P1509" t="s">
        <v>52</v>
      </c>
      <c r="Q1509" t="s">
        <v>146</v>
      </c>
      <c r="R1509">
        <v>1</v>
      </c>
      <c r="S1509">
        <v>2499</v>
      </c>
      <c r="T1509">
        <v>0.05</v>
      </c>
      <c r="U1509">
        <v>2374.0500000000002</v>
      </c>
      <c r="V1509">
        <v>1400</v>
      </c>
      <c r="W1509">
        <v>974.05</v>
      </c>
      <c r="X1509" t="s">
        <v>73</v>
      </c>
      <c r="Y1509" t="s">
        <v>68</v>
      </c>
      <c r="Z1509" t="s">
        <v>162</v>
      </c>
      <c r="AA1509" t="s">
        <v>169</v>
      </c>
      <c r="AB1509">
        <v>4.2</v>
      </c>
      <c r="AC1509">
        <v>50</v>
      </c>
      <c r="AD1509">
        <v>107.93</v>
      </c>
      <c r="AE1509">
        <f t="shared" si="46"/>
        <v>816.11999999999989</v>
      </c>
      <c r="AF1509" t="str">
        <f t="shared" si="47"/>
        <v>2025-07</v>
      </c>
      <c r="AG1509">
        <f>SUBTOTAL(103,A1509)</f>
        <v>1</v>
      </c>
    </row>
    <row r="1510" spans="1:33" x14ac:dyDescent="0.3">
      <c r="A1510" t="s">
        <v>4127</v>
      </c>
      <c r="B1510" s="13">
        <v>45849</v>
      </c>
      <c r="C1510">
        <v>2025</v>
      </c>
      <c r="D1510">
        <v>7</v>
      </c>
      <c r="E1510" t="s">
        <v>4046</v>
      </c>
      <c r="F1510" t="s">
        <v>4047</v>
      </c>
      <c r="G1510" t="s">
        <v>277</v>
      </c>
      <c r="H1510" t="s">
        <v>278</v>
      </c>
      <c r="I1510" t="s">
        <v>85</v>
      </c>
      <c r="J1510">
        <v>59</v>
      </c>
      <c r="K1510" t="s">
        <v>83</v>
      </c>
      <c r="L1510" t="s">
        <v>2576</v>
      </c>
      <c r="M1510" t="s">
        <v>60</v>
      </c>
      <c r="N1510" t="s">
        <v>2601</v>
      </c>
      <c r="O1510" t="s">
        <v>117</v>
      </c>
      <c r="P1510" t="s">
        <v>49</v>
      </c>
      <c r="Q1510" t="s">
        <v>139</v>
      </c>
      <c r="R1510">
        <v>3</v>
      </c>
      <c r="S1510">
        <v>6999</v>
      </c>
      <c r="T1510">
        <v>0</v>
      </c>
      <c r="U1510">
        <v>20997</v>
      </c>
      <c r="V1510">
        <v>12900</v>
      </c>
      <c r="W1510">
        <v>8097</v>
      </c>
      <c r="X1510" t="s">
        <v>73</v>
      </c>
      <c r="Y1510" t="s">
        <v>68</v>
      </c>
      <c r="Z1510" t="s">
        <v>158</v>
      </c>
      <c r="AA1510" t="s">
        <v>171</v>
      </c>
      <c r="AB1510">
        <v>5</v>
      </c>
      <c r="AC1510">
        <v>40</v>
      </c>
      <c r="AD1510">
        <v>1868.74</v>
      </c>
      <c r="AE1510">
        <f t="shared" si="46"/>
        <v>6188.26</v>
      </c>
      <c r="AF1510" t="str">
        <f t="shared" si="47"/>
        <v>2025-07</v>
      </c>
      <c r="AG1510">
        <f>SUBTOTAL(103,A1510)</f>
        <v>1</v>
      </c>
    </row>
    <row r="1511" spans="1:33" x14ac:dyDescent="0.3">
      <c r="A1511" t="s">
        <v>4128</v>
      </c>
      <c r="B1511" s="13">
        <v>45849</v>
      </c>
      <c r="C1511">
        <v>2025</v>
      </c>
      <c r="D1511">
        <v>7</v>
      </c>
      <c r="E1511" t="s">
        <v>4046</v>
      </c>
      <c r="F1511" t="s">
        <v>4047</v>
      </c>
      <c r="G1511" t="s">
        <v>1559</v>
      </c>
      <c r="H1511" t="s">
        <v>1560</v>
      </c>
      <c r="I1511" t="s">
        <v>85</v>
      </c>
      <c r="J1511">
        <v>56</v>
      </c>
      <c r="K1511" t="s">
        <v>83</v>
      </c>
      <c r="L1511" t="s">
        <v>100</v>
      </c>
      <c r="M1511" t="s">
        <v>56</v>
      </c>
      <c r="N1511" t="s">
        <v>2606</v>
      </c>
      <c r="O1511" t="s">
        <v>120</v>
      </c>
      <c r="P1511" t="s">
        <v>49</v>
      </c>
      <c r="Q1511" t="s">
        <v>140</v>
      </c>
      <c r="R1511">
        <v>2</v>
      </c>
      <c r="S1511">
        <v>2799</v>
      </c>
      <c r="T1511">
        <v>0.15</v>
      </c>
      <c r="U1511">
        <v>4758.3</v>
      </c>
      <c r="V1511">
        <v>3300</v>
      </c>
      <c r="W1511">
        <v>1458.3</v>
      </c>
      <c r="X1511" t="s">
        <v>74</v>
      </c>
      <c r="Y1511" t="s">
        <v>69</v>
      </c>
      <c r="Z1511" t="s">
        <v>158</v>
      </c>
      <c r="AA1511" t="s">
        <v>168</v>
      </c>
      <c r="AB1511">
        <v>3.5</v>
      </c>
      <c r="AC1511">
        <v>60</v>
      </c>
      <c r="AD1511">
        <v>325.24</v>
      </c>
      <c r="AE1511">
        <f t="shared" si="46"/>
        <v>1073.06</v>
      </c>
      <c r="AF1511" t="str">
        <f t="shared" si="47"/>
        <v>2025-07</v>
      </c>
      <c r="AG1511">
        <f>SUBTOTAL(103,A1511)</f>
        <v>1</v>
      </c>
    </row>
    <row r="1512" spans="1:33" x14ac:dyDescent="0.3">
      <c r="A1512" t="s">
        <v>4129</v>
      </c>
      <c r="B1512" s="13">
        <v>45849</v>
      </c>
      <c r="C1512">
        <v>2025</v>
      </c>
      <c r="D1512">
        <v>7</v>
      </c>
      <c r="E1512" t="s">
        <v>4046</v>
      </c>
      <c r="F1512" t="s">
        <v>4047</v>
      </c>
      <c r="G1512" t="s">
        <v>675</v>
      </c>
      <c r="H1512" t="s">
        <v>676</v>
      </c>
      <c r="I1512" t="s">
        <v>85</v>
      </c>
      <c r="J1512">
        <v>33</v>
      </c>
      <c r="K1512" t="s">
        <v>81</v>
      </c>
      <c r="L1512" t="s">
        <v>2605</v>
      </c>
      <c r="M1512" t="s">
        <v>60</v>
      </c>
      <c r="N1512" t="s">
        <v>2574</v>
      </c>
      <c r="O1512" t="s">
        <v>130</v>
      </c>
      <c r="P1512" t="s">
        <v>50</v>
      </c>
      <c r="Q1512" t="s">
        <v>53</v>
      </c>
      <c r="R1512">
        <v>2</v>
      </c>
      <c r="S1512">
        <v>1199</v>
      </c>
      <c r="T1512">
        <v>0.15</v>
      </c>
      <c r="U1512">
        <v>2038.3</v>
      </c>
      <c r="V1512">
        <v>1100</v>
      </c>
      <c r="W1512">
        <v>938.3</v>
      </c>
      <c r="X1512" t="s">
        <v>73</v>
      </c>
      <c r="Y1512" t="s">
        <v>68</v>
      </c>
      <c r="Z1512" t="s">
        <v>159</v>
      </c>
      <c r="AA1512" t="s">
        <v>171</v>
      </c>
      <c r="AB1512">
        <v>3.9</v>
      </c>
      <c r="AC1512">
        <v>60</v>
      </c>
      <c r="AD1512">
        <v>182.51</v>
      </c>
      <c r="AE1512">
        <f t="shared" si="46"/>
        <v>695.79</v>
      </c>
      <c r="AF1512" t="str">
        <f t="shared" si="47"/>
        <v>2025-07</v>
      </c>
      <c r="AG1512">
        <f>SUBTOTAL(103,A1512)</f>
        <v>1</v>
      </c>
    </row>
    <row r="1513" spans="1:33" x14ac:dyDescent="0.3">
      <c r="A1513" t="s">
        <v>4130</v>
      </c>
      <c r="B1513" s="13">
        <v>45849</v>
      </c>
      <c r="C1513">
        <v>2025</v>
      </c>
      <c r="D1513">
        <v>7</v>
      </c>
      <c r="E1513" t="s">
        <v>4046</v>
      </c>
      <c r="F1513" t="s">
        <v>4047</v>
      </c>
      <c r="G1513" t="s">
        <v>745</v>
      </c>
      <c r="H1513" t="s">
        <v>746</v>
      </c>
      <c r="I1513" t="s">
        <v>85</v>
      </c>
      <c r="J1513">
        <v>30</v>
      </c>
      <c r="K1513" t="s">
        <v>81</v>
      </c>
      <c r="L1513" t="s">
        <v>2637</v>
      </c>
      <c r="M1513" t="s">
        <v>64</v>
      </c>
      <c r="N1513" t="s">
        <v>2594</v>
      </c>
      <c r="O1513" t="s">
        <v>131</v>
      </c>
      <c r="P1513" t="s">
        <v>53</v>
      </c>
      <c r="Q1513" t="s">
        <v>143</v>
      </c>
      <c r="R1513">
        <v>5</v>
      </c>
      <c r="S1513">
        <v>999</v>
      </c>
      <c r="T1513">
        <v>0.05</v>
      </c>
      <c r="U1513">
        <v>4745.25</v>
      </c>
      <c r="V1513">
        <v>2600</v>
      </c>
      <c r="W1513">
        <v>2145.25</v>
      </c>
      <c r="X1513" t="s">
        <v>76</v>
      </c>
      <c r="Y1513" t="s">
        <v>68</v>
      </c>
      <c r="Z1513" t="s">
        <v>158</v>
      </c>
      <c r="AA1513" t="s">
        <v>166</v>
      </c>
      <c r="AB1513">
        <v>3.3</v>
      </c>
      <c r="AC1513">
        <v>80</v>
      </c>
      <c r="AD1513">
        <v>507.91</v>
      </c>
      <c r="AE1513">
        <f t="shared" si="46"/>
        <v>1557.34</v>
      </c>
      <c r="AF1513" t="str">
        <f t="shared" si="47"/>
        <v>2025-07</v>
      </c>
      <c r="AG1513">
        <f>SUBTOTAL(103,A1513)</f>
        <v>1</v>
      </c>
    </row>
    <row r="1514" spans="1:33" x14ac:dyDescent="0.3">
      <c r="A1514" t="s">
        <v>4131</v>
      </c>
      <c r="B1514" s="13">
        <v>45849</v>
      </c>
      <c r="C1514">
        <v>2025</v>
      </c>
      <c r="D1514">
        <v>7</v>
      </c>
      <c r="E1514" t="s">
        <v>4046</v>
      </c>
      <c r="F1514" t="s">
        <v>4047</v>
      </c>
      <c r="G1514" t="s">
        <v>2273</v>
      </c>
      <c r="H1514" t="s">
        <v>2274</v>
      </c>
      <c r="I1514" t="s">
        <v>86</v>
      </c>
      <c r="J1514">
        <v>21</v>
      </c>
      <c r="K1514" t="s">
        <v>80</v>
      </c>
      <c r="L1514" t="s">
        <v>91</v>
      </c>
      <c r="M1514" t="s">
        <v>55</v>
      </c>
      <c r="N1514" t="s">
        <v>2603</v>
      </c>
      <c r="O1514" t="s">
        <v>122</v>
      </c>
      <c r="P1514" t="s">
        <v>48</v>
      </c>
      <c r="Q1514" t="s">
        <v>141</v>
      </c>
      <c r="R1514">
        <v>2</v>
      </c>
      <c r="S1514">
        <v>2499</v>
      </c>
      <c r="T1514">
        <v>0.15</v>
      </c>
      <c r="U1514">
        <v>4248.3</v>
      </c>
      <c r="V1514">
        <v>2900</v>
      </c>
      <c r="W1514">
        <v>1348.3</v>
      </c>
      <c r="X1514" t="s">
        <v>77</v>
      </c>
      <c r="Y1514" t="s">
        <v>68</v>
      </c>
      <c r="Z1514" t="s">
        <v>160</v>
      </c>
      <c r="AA1514" t="s">
        <v>167</v>
      </c>
      <c r="AB1514">
        <v>3.7</v>
      </c>
      <c r="AC1514">
        <v>80</v>
      </c>
      <c r="AD1514">
        <v>445.31</v>
      </c>
      <c r="AE1514">
        <f t="shared" si="46"/>
        <v>822.99</v>
      </c>
      <c r="AF1514" t="str">
        <f t="shared" si="47"/>
        <v>2025-07</v>
      </c>
      <c r="AG1514">
        <f>SUBTOTAL(103,A1514)</f>
        <v>1</v>
      </c>
    </row>
    <row r="1515" spans="1:33" x14ac:dyDescent="0.3">
      <c r="A1515" t="s">
        <v>4132</v>
      </c>
      <c r="B1515" s="13">
        <v>45849</v>
      </c>
      <c r="C1515">
        <v>2025</v>
      </c>
      <c r="D1515">
        <v>7</v>
      </c>
      <c r="E1515" t="s">
        <v>4046</v>
      </c>
      <c r="F1515" t="s">
        <v>4047</v>
      </c>
      <c r="G1515" t="s">
        <v>201</v>
      </c>
      <c r="H1515" t="s">
        <v>202</v>
      </c>
      <c r="I1515" t="s">
        <v>86</v>
      </c>
      <c r="J1515">
        <v>47</v>
      </c>
      <c r="K1515" t="s">
        <v>83</v>
      </c>
      <c r="L1515" t="s">
        <v>100</v>
      </c>
      <c r="M1515" t="s">
        <v>56</v>
      </c>
      <c r="N1515" t="s">
        <v>2590</v>
      </c>
      <c r="O1515" t="s">
        <v>127</v>
      </c>
      <c r="P1515" t="s">
        <v>51</v>
      </c>
      <c r="Q1515" t="s">
        <v>148</v>
      </c>
      <c r="R1515">
        <v>1</v>
      </c>
      <c r="S1515">
        <v>1599</v>
      </c>
      <c r="T1515">
        <v>0.05</v>
      </c>
      <c r="U1515">
        <v>1519.05</v>
      </c>
      <c r="V1515">
        <v>800</v>
      </c>
      <c r="W1515">
        <v>719.05</v>
      </c>
      <c r="X1515" t="s">
        <v>74</v>
      </c>
      <c r="Y1515" t="s">
        <v>68</v>
      </c>
      <c r="Z1515" t="s">
        <v>162</v>
      </c>
      <c r="AA1515" t="s">
        <v>168</v>
      </c>
      <c r="AB1515">
        <v>3.9</v>
      </c>
      <c r="AC1515">
        <v>60</v>
      </c>
      <c r="AD1515">
        <v>75.040000000000006</v>
      </c>
      <c r="AE1515">
        <f t="shared" si="46"/>
        <v>584.01</v>
      </c>
      <c r="AF1515" t="str">
        <f t="shared" si="47"/>
        <v>2025-07</v>
      </c>
      <c r="AG1515">
        <f>SUBTOTAL(103,A1515)</f>
        <v>1</v>
      </c>
    </row>
    <row r="1516" spans="1:33" x14ac:dyDescent="0.3">
      <c r="A1516" t="s">
        <v>4133</v>
      </c>
      <c r="B1516" s="13">
        <v>45849</v>
      </c>
      <c r="C1516">
        <v>2025</v>
      </c>
      <c r="D1516">
        <v>7</v>
      </c>
      <c r="E1516" t="s">
        <v>4046</v>
      </c>
      <c r="F1516" t="s">
        <v>4047</v>
      </c>
      <c r="G1516" t="s">
        <v>1225</v>
      </c>
      <c r="H1516" t="s">
        <v>1226</v>
      </c>
      <c r="I1516" t="s">
        <v>85</v>
      </c>
      <c r="J1516">
        <v>54</v>
      </c>
      <c r="K1516" t="s">
        <v>83</v>
      </c>
      <c r="L1516" t="s">
        <v>59</v>
      </c>
      <c r="M1516" t="s">
        <v>59</v>
      </c>
      <c r="N1516" t="s">
        <v>2582</v>
      </c>
      <c r="O1516" t="s">
        <v>119</v>
      </c>
      <c r="P1516" t="s">
        <v>49</v>
      </c>
      <c r="Q1516" t="s">
        <v>140</v>
      </c>
      <c r="R1516">
        <v>3</v>
      </c>
      <c r="S1516">
        <v>3499</v>
      </c>
      <c r="T1516">
        <v>0.15</v>
      </c>
      <c r="U1516">
        <v>8922.4500000000007</v>
      </c>
      <c r="V1516">
        <v>6300</v>
      </c>
      <c r="W1516">
        <v>2622.45</v>
      </c>
      <c r="X1516" t="s">
        <v>77</v>
      </c>
      <c r="Y1516" t="s">
        <v>68</v>
      </c>
      <c r="Z1516" t="s">
        <v>161</v>
      </c>
      <c r="AA1516" t="s">
        <v>166</v>
      </c>
      <c r="AB1516">
        <v>3.3</v>
      </c>
      <c r="AC1516">
        <v>60</v>
      </c>
      <c r="AD1516">
        <v>1049.52</v>
      </c>
      <c r="AE1516">
        <f t="shared" si="46"/>
        <v>1512.9299999999998</v>
      </c>
      <c r="AF1516" t="str">
        <f t="shared" si="47"/>
        <v>2025-07</v>
      </c>
      <c r="AG1516">
        <f>SUBTOTAL(103,A1516)</f>
        <v>1</v>
      </c>
    </row>
    <row r="1517" spans="1:33" x14ac:dyDescent="0.3">
      <c r="A1517" t="s">
        <v>4134</v>
      </c>
      <c r="B1517" s="13">
        <v>45850</v>
      </c>
      <c r="C1517">
        <v>2025</v>
      </c>
      <c r="D1517">
        <v>7</v>
      </c>
      <c r="E1517" t="s">
        <v>4046</v>
      </c>
      <c r="F1517" t="s">
        <v>4047</v>
      </c>
      <c r="G1517" t="s">
        <v>2113</v>
      </c>
      <c r="H1517" t="s">
        <v>2114</v>
      </c>
      <c r="I1517" t="s">
        <v>86</v>
      </c>
      <c r="J1517">
        <v>39</v>
      </c>
      <c r="K1517" t="s">
        <v>82</v>
      </c>
      <c r="L1517" t="s">
        <v>92</v>
      </c>
      <c r="M1517" t="s">
        <v>59</v>
      </c>
      <c r="N1517" t="s">
        <v>2574</v>
      </c>
      <c r="O1517" t="s">
        <v>130</v>
      </c>
      <c r="P1517" t="s">
        <v>50</v>
      </c>
      <c r="Q1517" t="s">
        <v>53</v>
      </c>
      <c r="R1517">
        <v>1</v>
      </c>
      <c r="S1517">
        <v>1199</v>
      </c>
      <c r="T1517">
        <v>0.2</v>
      </c>
      <c r="U1517">
        <v>959.2</v>
      </c>
      <c r="V1517">
        <v>550</v>
      </c>
      <c r="W1517">
        <v>409.2</v>
      </c>
      <c r="X1517" t="s">
        <v>73</v>
      </c>
      <c r="Y1517" t="s">
        <v>68</v>
      </c>
      <c r="Z1517" t="s">
        <v>158</v>
      </c>
      <c r="AA1517" t="s">
        <v>171</v>
      </c>
      <c r="AB1517">
        <v>4.4000000000000004</v>
      </c>
      <c r="AC1517">
        <v>60</v>
      </c>
      <c r="AD1517">
        <v>92.34</v>
      </c>
      <c r="AE1517">
        <f t="shared" si="46"/>
        <v>256.86</v>
      </c>
      <c r="AF1517" t="str">
        <f t="shared" si="47"/>
        <v>2025-07</v>
      </c>
      <c r="AG1517">
        <f>SUBTOTAL(103,A1517)</f>
        <v>1</v>
      </c>
    </row>
    <row r="1518" spans="1:33" x14ac:dyDescent="0.3">
      <c r="A1518" t="s">
        <v>4135</v>
      </c>
      <c r="B1518" s="13">
        <v>45850</v>
      </c>
      <c r="C1518">
        <v>2025</v>
      </c>
      <c r="D1518">
        <v>7</v>
      </c>
      <c r="E1518" t="s">
        <v>4046</v>
      </c>
      <c r="F1518" t="s">
        <v>4047</v>
      </c>
      <c r="G1518" t="s">
        <v>493</v>
      </c>
      <c r="H1518" t="s">
        <v>494</v>
      </c>
      <c r="I1518" t="s">
        <v>86</v>
      </c>
      <c r="J1518">
        <v>43</v>
      </c>
      <c r="K1518" t="s">
        <v>82</v>
      </c>
      <c r="L1518" t="s">
        <v>95</v>
      </c>
      <c r="M1518" t="s">
        <v>56</v>
      </c>
      <c r="N1518" t="s">
        <v>2580</v>
      </c>
      <c r="O1518" t="s">
        <v>118</v>
      </c>
      <c r="P1518" t="s">
        <v>48</v>
      </c>
      <c r="Q1518" t="s">
        <v>142</v>
      </c>
      <c r="R1518">
        <v>3</v>
      </c>
      <c r="S1518">
        <v>3999</v>
      </c>
      <c r="T1518">
        <v>0.05</v>
      </c>
      <c r="U1518">
        <v>11397.15</v>
      </c>
      <c r="V1518">
        <v>7200</v>
      </c>
      <c r="W1518">
        <v>4197.1499999999996</v>
      </c>
      <c r="X1518" t="s">
        <v>77</v>
      </c>
      <c r="Y1518" t="s">
        <v>68</v>
      </c>
      <c r="Z1518" t="s">
        <v>158</v>
      </c>
      <c r="AA1518" t="s">
        <v>166</v>
      </c>
      <c r="AB1518">
        <v>3.7</v>
      </c>
      <c r="AC1518">
        <v>40</v>
      </c>
      <c r="AD1518">
        <v>824.26</v>
      </c>
      <c r="AE1518">
        <f t="shared" si="46"/>
        <v>3332.8899999999994</v>
      </c>
      <c r="AF1518" t="str">
        <f t="shared" si="47"/>
        <v>2025-07</v>
      </c>
      <c r="AG1518">
        <f>SUBTOTAL(103,A1518)</f>
        <v>1</v>
      </c>
    </row>
    <row r="1519" spans="1:33" x14ac:dyDescent="0.3">
      <c r="A1519" t="s">
        <v>4136</v>
      </c>
      <c r="B1519" s="13">
        <v>45850</v>
      </c>
      <c r="C1519">
        <v>2025</v>
      </c>
      <c r="D1519">
        <v>7</v>
      </c>
      <c r="E1519" t="s">
        <v>4046</v>
      </c>
      <c r="F1519" t="s">
        <v>4047</v>
      </c>
      <c r="G1519" t="s">
        <v>757</v>
      </c>
      <c r="H1519" t="s">
        <v>758</v>
      </c>
      <c r="I1519" t="s">
        <v>86</v>
      </c>
      <c r="J1519">
        <v>55</v>
      </c>
      <c r="K1519" t="s">
        <v>83</v>
      </c>
      <c r="L1519" t="s">
        <v>2690</v>
      </c>
      <c r="M1519" t="s">
        <v>63</v>
      </c>
      <c r="N1519" t="s">
        <v>2630</v>
      </c>
      <c r="O1519" t="s">
        <v>123</v>
      </c>
      <c r="P1519" t="s">
        <v>52</v>
      </c>
      <c r="Q1519" t="s">
        <v>146</v>
      </c>
      <c r="R1519">
        <v>4</v>
      </c>
      <c r="S1519">
        <v>2499</v>
      </c>
      <c r="T1519">
        <v>0.2</v>
      </c>
      <c r="U1519">
        <v>7996.8</v>
      </c>
      <c r="V1519">
        <v>5600</v>
      </c>
      <c r="W1519">
        <v>2396.8000000000002</v>
      </c>
      <c r="X1519" t="s">
        <v>75</v>
      </c>
      <c r="Y1519" t="s">
        <v>68</v>
      </c>
      <c r="Z1519" t="s">
        <v>162</v>
      </c>
      <c r="AA1519" t="s">
        <v>166</v>
      </c>
      <c r="AB1519">
        <v>3.8</v>
      </c>
      <c r="AC1519">
        <v>50</v>
      </c>
      <c r="AD1519">
        <v>785.2</v>
      </c>
      <c r="AE1519">
        <f t="shared" si="46"/>
        <v>1561.6000000000001</v>
      </c>
      <c r="AF1519" t="str">
        <f t="shared" si="47"/>
        <v>2025-07</v>
      </c>
      <c r="AG1519">
        <f>SUBTOTAL(103,A1519)</f>
        <v>1</v>
      </c>
    </row>
    <row r="1520" spans="1:33" x14ac:dyDescent="0.3">
      <c r="A1520" t="s">
        <v>4137</v>
      </c>
      <c r="B1520" s="13">
        <v>45850</v>
      </c>
      <c r="C1520">
        <v>2025</v>
      </c>
      <c r="D1520">
        <v>7</v>
      </c>
      <c r="E1520" t="s">
        <v>4046</v>
      </c>
      <c r="F1520" t="s">
        <v>4047</v>
      </c>
      <c r="G1520" t="s">
        <v>1931</v>
      </c>
      <c r="H1520" t="s">
        <v>1932</v>
      </c>
      <c r="I1520" t="s">
        <v>86</v>
      </c>
      <c r="J1520">
        <v>37</v>
      </c>
      <c r="K1520" t="s">
        <v>82</v>
      </c>
      <c r="L1520" t="s">
        <v>94</v>
      </c>
      <c r="M1520" t="s">
        <v>57</v>
      </c>
      <c r="N1520" t="s">
        <v>2574</v>
      </c>
      <c r="O1520" t="s">
        <v>130</v>
      </c>
      <c r="P1520" t="s">
        <v>50</v>
      </c>
      <c r="Q1520" t="s">
        <v>53</v>
      </c>
      <c r="R1520">
        <v>3</v>
      </c>
      <c r="S1520">
        <v>1199</v>
      </c>
      <c r="T1520">
        <v>0</v>
      </c>
      <c r="U1520">
        <v>3597</v>
      </c>
      <c r="V1520">
        <v>1650</v>
      </c>
      <c r="W1520">
        <v>1947</v>
      </c>
      <c r="X1520" t="s">
        <v>73</v>
      </c>
      <c r="Y1520" t="s">
        <v>68</v>
      </c>
      <c r="Z1520" t="s">
        <v>162</v>
      </c>
      <c r="AA1520" t="s">
        <v>171</v>
      </c>
      <c r="AB1520">
        <v>3.8</v>
      </c>
      <c r="AC1520">
        <v>60</v>
      </c>
      <c r="AD1520">
        <v>135.94999999999999</v>
      </c>
      <c r="AE1520">
        <f t="shared" si="46"/>
        <v>1751.05</v>
      </c>
      <c r="AF1520" t="str">
        <f t="shared" si="47"/>
        <v>2025-07</v>
      </c>
      <c r="AG1520">
        <f>SUBTOTAL(103,A1520)</f>
        <v>1</v>
      </c>
    </row>
    <row r="1521" spans="1:33" x14ac:dyDescent="0.3">
      <c r="A1521" t="s">
        <v>4138</v>
      </c>
      <c r="B1521" s="13">
        <v>45850</v>
      </c>
      <c r="C1521">
        <v>2025</v>
      </c>
      <c r="D1521">
        <v>7</v>
      </c>
      <c r="E1521" t="s">
        <v>4046</v>
      </c>
      <c r="F1521" t="s">
        <v>4047</v>
      </c>
      <c r="G1521" t="s">
        <v>701</v>
      </c>
      <c r="H1521" t="s">
        <v>702</v>
      </c>
      <c r="I1521" t="s">
        <v>86</v>
      </c>
      <c r="J1521">
        <v>45</v>
      </c>
      <c r="K1521" t="s">
        <v>82</v>
      </c>
      <c r="L1521" t="s">
        <v>2679</v>
      </c>
      <c r="M1521" t="s">
        <v>60</v>
      </c>
      <c r="N1521" t="s">
        <v>2590</v>
      </c>
      <c r="O1521" t="s">
        <v>127</v>
      </c>
      <c r="P1521" t="s">
        <v>51</v>
      </c>
      <c r="Q1521" t="s">
        <v>148</v>
      </c>
      <c r="R1521">
        <v>2</v>
      </c>
      <c r="S1521">
        <v>1599</v>
      </c>
      <c r="T1521">
        <v>0</v>
      </c>
      <c r="U1521">
        <v>3198</v>
      </c>
      <c r="V1521">
        <v>1600</v>
      </c>
      <c r="W1521">
        <v>1598</v>
      </c>
      <c r="X1521" t="s">
        <v>77</v>
      </c>
      <c r="Y1521" t="s">
        <v>70</v>
      </c>
      <c r="Z1521" t="s">
        <v>162</v>
      </c>
      <c r="AA1521" t="s">
        <v>166</v>
      </c>
      <c r="AB1521">
        <v>4</v>
      </c>
      <c r="AC1521">
        <v>50</v>
      </c>
      <c r="AD1521">
        <v>189.13</v>
      </c>
      <c r="AE1521">
        <f t="shared" si="46"/>
        <v>1358.87</v>
      </c>
      <c r="AF1521" t="str">
        <f t="shared" si="47"/>
        <v>2025-07</v>
      </c>
      <c r="AG1521">
        <f>SUBTOTAL(103,A1521)</f>
        <v>1</v>
      </c>
    </row>
    <row r="1522" spans="1:33" x14ac:dyDescent="0.3">
      <c r="A1522" t="s">
        <v>4139</v>
      </c>
      <c r="B1522" s="13">
        <v>45850</v>
      </c>
      <c r="C1522">
        <v>2025</v>
      </c>
      <c r="D1522">
        <v>7</v>
      </c>
      <c r="E1522" t="s">
        <v>4046</v>
      </c>
      <c r="F1522" t="s">
        <v>4047</v>
      </c>
      <c r="G1522" t="s">
        <v>1999</v>
      </c>
      <c r="H1522" t="s">
        <v>2000</v>
      </c>
      <c r="I1522" t="s">
        <v>85</v>
      </c>
      <c r="J1522">
        <v>25</v>
      </c>
      <c r="K1522" t="s">
        <v>80</v>
      </c>
      <c r="L1522" t="s">
        <v>2661</v>
      </c>
      <c r="M1522" t="s">
        <v>58</v>
      </c>
      <c r="N1522" t="s">
        <v>2657</v>
      </c>
      <c r="O1522" t="s">
        <v>134</v>
      </c>
      <c r="P1522" t="s">
        <v>49</v>
      </c>
      <c r="Q1522" t="s">
        <v>140</v>
      </c>
      <c r="R1522">
        <v>1</v>
      </c>
      <c r="S1522">
        <v>599</v>
      </c>
      <c r="T1522">
        <v>0.1</v>
      </c>
      <c r="U1522">
        <v>0</v>
      </c>
      <c r="V1522">
        <v>0</v>
      </c>
      <c r="W1522">
        <v>0</v>
      </c>
      <c r="X1522" t="s">
        <v>76</v>
      </c>
      <c r="Y1522" t="s">
        <v>71</v>
      </c>
      <c r="Z1522" t="s">
        <v>159</v>
      </c>
      <c r="AA1522" t="s">
        <v>171</v>
      </c>
      <c r="AB1522">
        <v>3.4</v>
      </c>
      <c r="AC1522">
        <v>60</v>
      </c>
      <c r="AD1522">
        <v>20</v>
      </c>
      <c r="AE1522">
        <f t="shared" si="46"/>
        <v>-80</v>
      </c>
      <c r="AF1522" t="str">
        <f t="shared" si="47"/>
        <v>2025-07</v>
      </c>
      <c r="AG1522">
        <f>SUBTOTAL(103,A1522)</f>
        <v>1</v>
      </c>
    </row>
    <row r="1523" spans="1:33" x14ac:dyDescent="0.3">
      <c r="A1523" t="s">
        <v>4140</v>
      </c>
      <c r="B1523" s="13">
        <v>45851</v>
      </c>
      <c r="C1523">
        <v>2025</v>
      </c>
      <c r="D1523">
        <v>7</v>
      </c>
      <c r="E1523" t="s">
        <v>4046</v>
      </c>
      <c r="F1523" t="s">
        <v>4047</v>
      </c>
      <c r="G1523" t="s">
        <v>189</v>
      </c>
      <c r="H1523" t="s">
        <v>190</v>
      </c>
      <c r="I1523" t="s">
        <v>85</v>
      </c>
      <c r="J1523">
        <v>58</v>
      </c>
      <c r="K1523" t="s">
        <v>83</v>
      </c>
      <c r="L1523" t="s">
        <v>2616</v>
      </c>
      <c r="M1523" t="s">
        <v>62</v>
      </c>
      <c r="N1523" t="s">
        <v>2592</v>
      </c>
      <c r="O1523" t="s">
        <v>115</v>
      </c>
      <c r="P1523" t="s">
        <v>48</v>
      </c>
      <c r="Q1523" t="s">
        <v>137</v>
      </c>
      <c r="R1523">
        <v>2</v>
      </c>
      <c r="S1523">
        <v>12999</v>
      </c>
      <c r="T1523">
        <v>0.05</v>
      </c>
      <c r="U1523">
        <v>24698.1</v>
      </c>
      <c r="V1523">
        <v>18000</v>
      </c>
      <c r="W1523">
        <v>6698.1</v>
      </c>
      <c r="X1523" t="s">
        <v>73</v>
      </c>
      <c r="Y1523" t="s">
        <v>68</v>
      </c>
      <c r="Z1523" t="s">
        <v>162</v>
      </c>
      <c r="AA1523" t="s">
        <v>171</v>
      </c>
      <c r="AB1523">
        <v>3.8</v>
      </c>
      <c r="AC1523">
        <v>50</v>
      </c>
      <c r="AD1523">
        <v>1354.31</v>
      </c>
      <c r="AE1523">
        <f t="shared" si="46"/>
        <v>5293.7900000000009</v>
      </c>
      <c r="AF1523" t="str">
        <f t="shared" si="47"/>
        <v>2025-07</v>
      </c>
      <c r="AG1523">
        <f>SUBTOTAL(103,A1523)</f>
        <v>1</v>
      </c>
    </row>
    <row r="1524" spans="1:33" x14ac:dyDescent="0.3">
      <c r="A1524" t="s">
        <v>4141</v>
      </c>
      <c r="B1524" s="13">
        <v>45851</v>
      </c>
      <c r="C1524">
        <v>2025</v>
      </c>
      <c r="D1524">
        <v>7</v>
      </c>
      <c r="E1524" t="s">
        <v>4046</v>
      </c>
      <c r="F1524" t="s">
        <v>4047</v>
      </c>
      <c r="G1524" t="s">
        <v>391</v>
      </c>
      <c r="H1524" t="s">
        <v>392</v>
      </c>
      <c r="I1524" t="s">
        <v>85</v>
      </c>
      <c r="J1524">
        <v>40</v>
      </c>
      <c r="K1524" t="s">
        <v>82</v>
      </c>
      <c r="L1524" t="s">
        <v>2589</v>
      </c>
      <c r="M1524" t="s">
        <v>61</v>
      </c>
      <c r="N1524" t="s">
        <v>2596</v>
      </c>
      <c r="O1524" t="s">
        <v>124</v>
      </c>
      <c r="P1524" t="s">
        <v>51</v>
      </c>
      <c r="Q1524" t="s">
        <v>147</v>
      </c>
      <c r="R1524">
        <v>3</v>
      </c>
      <c r="S1524">
        <v>2299</v>
      </c>
      <c r="T1524">
        <v>0</v>
      </c>
      <c r="U1524">
        <v>6897</v>
      </c>
      <c r="V1524">
        <v>3600</v>
      </c>
      <c r="W1524">
        <v>3297</v>
      </c>
      <c r="X1524" t="s">
        <v>73</v>
      </c>
      <c r="Y1524" t="s">
        <v>68</v>
      </c>
      <c r="Z1524" t="s">
        <v>161</v>
      </c>
      <c r="AA1524" t="s">
        <v>166</v>
      </c>
      <c r="AB1524">
        <v>3.9</v>
      </c>
      <c r="AC1524">
        <v>80</v>
      </c>
      <c r="AD1524">
        <v>587.04</v>
      </c>
      <c r="AE1524">
        <f t="shared" si="46"/>
        <v>2629.96</v>
      </c>
      <c r="AF1524" t="str">
        <f t="shared" si="47"/>
        <v>2025-07</v>
      </c>
      <c r="AG1524">
        <f>SUBTOTAL(103,A1524)</f>
        <v>1</v>
      </c>
    </row>
    <row r="1525" spans="1:33" x14ac:dyDescent="0.3">
      <c r="A1525" t="s">
        <v>4142</v>
      </c>
      <c r="B1525" s="13">
        <v>45851</v>
      </c>
      <c r="C1525">
        <v>2025</v>
      </c>
      <c r="D1525">
        <v>7</v>
      </c>
      <c r="E1525" t="s">
        <v>4046</v>
      </c>
      <c r="F1525" t="s">
        <v>4047</v>
      </c>
      <c r="G1525" t="s">
        <v>401</v>
      </c>
      <c r="H1525" t="s">
        <v>402</v>
      </c>
      <c r="I1525" t="s">
        <v>86</v>
      </c>
      <c r="J1525">
        <v>48</v>
      </c>
      <c r="K1525" t="s">
        <v>83</v>
      </c>
      <c r="L1525" t="s">
        <v>2579</v>
      </c>
      <c r="M1525" t="s">
        <v>56</v>
      </c>
      <c r="N1525" t="s">
        <v>2596</v>
      </c>
      <c r="O1525" t="s">
        <v>124</v>
      </c>
      <c r="P1525" t="s">
        <v>51</v>
      </c>
      <c r="Q1525" t="s">
        <v>147</v>
      </c>
      <c r="R1525">
        <v>5</v>
      </c>
      <c r="S1525">
        <v>2299</v>
      </c>
      <c r="T1525">
        <v>0.2</v>
      </c>
      <c r="U1525">
        <v>9196</v>
      </c>
      <c r="V1525">
        <v>6000</v>
      </c>
      <c r="W1525">
        <v>3196</v>
      </c>
      <c r="X1525" t="s">
        <v>74</v>
      </c>
      <c r="Y1525" t="s">
        <v>68</v>
      </c>
      <c r="Z1525" t="s">
        <v>160</v>
      </c>
      <c r="AA1525" t="s">
        <v>166</v>
      </c>
      <c r="AB1525">
        <v>3.9</v>
      </c>
      <c r="AC1525">
        <v>50</v>
      </c>
      <c r="AD1525">
        <v>308.52</v>
      </c>
      <c r="AE1525">
        <f t="shared" si="46"/>
        <v>2837.48</v>
      </c>
      <c r="AF1525" t="str">
        <f t="shared" si="47"/>
        <v>2025-07</v>
      </c>
      <c r="AG1525">
        <f>SUBTOTAL(103,A1525)</f>
        <v>1</v>
      </c>
    </row>
    <row r="1526" spans="1:33" x14ac:dyDescent="0.3">
      <c r="A1526" t="s">
        <v>4143</v>
      </c>
      <c r="B1526" s="13">
        <v>45851</v>
      </c>
      <c r="C1526">
        <v>2025</v>
      </c>
      <c r="D1526">
        <v>7</v>
      </c>
      <c r="E1526" t="s">
        <v>4046</v>
      </c>
      <c r="F1526" t="s">
        <v>4047</v>
      </c>
      <c r="G1526" t="s">
        <v>219</v>
      </c>
      <c r="H1526" t="s">
        <v>220</v>
      </c>
      <c r="I1526" t="s">
        <v>86</v>
      </c>
      <c r="J1526">
        <v>42</v>
      </c>
      <c r="K1526" t="s">
        <v>82</v>
      </c>
      <c r="L1526" t="s">
        <v>91</v>
      </c>
      <c r="M1526" t="s">
        <v>55</v>
      </c>
      <c r="N1526" t="s">
        <v>2601</v>
      </c>
      <c r="O1526" t="s">
        <v>117</v>
      </c>
      <c r="P1526" t="s">
        <v>49</v>
      </c>
      <c r="Q1526" t="s">
        <v>139</v>
      </c>
      <c r="R1526">
        <v>2</v>
      </c>
      <c r="S1526">
        <v>6999</v>
      </c>
      <c r="T1526">
        <v>0.15</v>
      </c>
      <c r="U1526">
        <v>11898.3</v>
      </c>
      <c r="V1526">
        <v>8600</v>
      </c>
      <c r="W1526">
        <v>3298.3</v>
      </c>
      <c r="X1526" t="s">
        <v>73</v>
      </c>
      <c r="Y1526" t="s">
        <v>68</v>
      </c>
      <c r="Z1526" t="s">
        <v>158</v>
      </c>
      <c r="AA1526" t="s">
        <v>171</v>
      </c>
      <c r="AB1526">
        <v>4.3</v>
      </c>
      <c r="AC1526">
        <v>60</v>
      </c>
      <c r="AD1526">
        <v>1119.68</v>
      </c>
      <c r="AE1526">
        <f t="shared" si="46"/>
        <v>2118.62</v>
      </c>
      <c r="AF1526" t="str">
        <f t="shared" si="47"/>
        <v>2025-07</v>
      </c>
      <c r="AG1526">
        <f>SUBTOTAL(103,A1526)</f>
        <v>1</v>
      </c>
    </row>
    <row r="1527" spans="1:33" x14ac:dyDescent="0.3">
      <c r="A1527" t="s">
        <v>4144</v>
      </c>
      <c r="B1527" s="13">
        <v>45851</v>
      </c>
      <c r="C1527">
        <v>2025</v>
      </c>
      <c r="D1527">
        <v>7</v>
      </c>
      <c r="E1527" t="s">
        <v>4046</v>
      </c>
      <c r="F1527" t="s">
        <v>4047</v>
      </c>
      <c r="G1527" t="s">
        <v>1753</v>
      </c>
      <c r="H1527" t="s">
        <v>1754</v>
      </c>
      <c r="I1527" t="s">
        <v>85</v>
      </c>
      <c r="J1527">
        <v>40</v>
      </c>
      <c r="K1527" t="s">
        <v>82</v>
      </c>
      <c r="L1527" t="s">
        <v>2634</v>
      </c>
      <c r="M1527" t="s">
        <v>56</v>
      </c>
      <c r="N1527" t="s">
        <v>2580</v>
      </c>
      <c r="O1527" t="s">
        <v>118</v>
      </c>
      <c r="P1527" t="s">
        <v>48</v>
      </c>
      <c r="Q1527" t="s">
        <v>142</v>
      </c>
      <c r="R1527">
        <v>1</v>
      </c>
      <c r="S1527">
        <v>3999</v>
      </c>
      <c r="T1527">
        <v>0.1</v>
      </c>
      <c r="U1527">
        <v>3599.1</v>
      </c>
      <c r="V1527">
        <v>2400</v>
      </c>
      <c r="W1527">
        <v>1199.0999999999999</v>
      </c>
      <c r="X1527" t="s">
        <v>73</v>
      </c>
      <c r="Y1527" t="s">
        <v>68</v>
      </c>
      <c r="Z1527" t="s">
        <v>158</v>
      </c>
      <c r="AA1527" t="s">
        <v>166</v>
      </c>
      <c r="AB1527">
        <v>3.3</v>
      </c>
      <c r="AC1527">
        <v>80</v>
      </c>
      <c r="AD1527">
        <v>422.6</v>
      </c>
      <c r="AE1527">
        <f t="shared" si="46"/>
        <v>696.49999999999989</v>
      </c>
      <c r="AF1527" t="str">
        <f t="shared" si="47"/>
        <v>2025-07</v>
      </c>
      <c r="AG1527">
        <f>SUBTOTAL(103,A1527)</f>
        <v>1</v>
      </c>
    </row>
    <row r="1528" spans="1:33" x14ac:dyDescent="0.3">
      <c r="A1528" t="s">
        <v>4145</v>
      </c>
      <c r="B1528" s="13">
        <v>45852</v>
      </c>
      <c r="C1528">
        <v>2025</v>
      </c>
      <c r="D1528">
        <v>7</v>
      </c>
      <c r="E1528" t="s">
        <v>4046</v>
      </c>
      <c r="F1528" t="s">
        <v>4047</v>
      </c>
      <c r="G1528" t="s">
        <v>1935</v>
      </c>
      <c r="H1528" t="s">
        <v>1936</v>
      </c>
      <c r="I1528" t="s">
        <v>86</v>
      </c>
      <c r="J1528">
        <v>59</v>
      </c>
      <c r="K1528" t="s">
        <v>83</v>
      </c>
      <c r="L1528" t="s">
        <v>100</v>
      </c>
      <c r="M1528" t="s">
        <v>56</v>
      </c>
      <c r="N1528" t="s">
        <v>2647</v>
      </c>
      <c r="O1528" t="s">
        <v>133</v>
      </c>
      <c r="P1528" t="s">
        <v>50</v>
      </c>
      <c r="Q1528" t="s">
        <v>145</v>
      </c>
      <c r="R1528">
        <v>1</v>
      </c>
      <c r="S1528">
        <v>799</v>
      </c>
      <c r="T1528">
        <v>0.05</v>
      </c>
      <c r="U1528">
        <v>759.05</v>
      </c>
      <c r="V1528">
        <v>390</v>
      </c>
      <c r="W1528">
        <v>369.05</v>
      </c>
      <c r="X1528" t="s">
        <v>73</v>
      </c>
      <c r="Y1528" t="s">
        <v>68</v>
      </c>
      <c r="Z1528" t="s">
        <v>158</v>
      </c>
      <c r="AA1528" t="s">
        <v>168</v>
      </c>
      <c r="AB1528">
        <v>3.6</v>
      </c>
      <c r="AC1528">
        <v>60</v>
      </c>
      <c r="AD1528">
        <v>88.63</v>
      </c>
      <c r="AE1528">
        <f t="shared" si="46"/>
        <v>220.42000000000002</v>
      </c>
      <c r="AF1528" t="str">
        <f t="shared" si="47"/>
        <v>2025-07</v>
      </c>
      <c r="AG1528">
        <f>SUBTOTAL(103,A1528)</f>
        <v>1</v>
      </c>
    </row>
    <row r="1529" spans="1:33" x14ac:dyDescent="0.3">
      <c r="A1529" t="s">
        <v>4146</v>
      </c>
      <c r="B1529" s="13">
        <v>45852</v>
      </c>
      <c r="C1529">
        <v>2025</v>
      </c>
      <c r="D1529">
        <v>7</v>
      </c>
      <c r="E1529" t="s">
        <v>4046</v>
      </c>
      <c r="F1529" t="s">
        <v>4047</v>
      </c>
      <c r="G1529" t="s">
        <v>1035</v>
      </c>
      <c r="H1529" t="s">
        <v>1036</v>
      </c>
      <c r="I1529" t="s">
        <v>86</v>
      </c>
      <c r="J1529">
        <v>47</v>
      </c>
      <c r="K1529" t="s">
        <v>83</v>
      </c>
      <c r="L1529" t="s">
        <v>2586</v>
      </c>
      <c r="M1529" t="s">
        <v>62</v>
      </c>
      <c r="N1529" t="s">
        <v>2590</v>
      </c>
      <c r="O1529" t="s">
        <v>127</v>
      </c>
      <c r="P1529" t="s">
        <v>51</v>
      </c>
      <c r="Q1529" t="s">
        <v>148</v>
      </c>
      <c r="R1529">
        <v>4</v>
      </c>
      <c r="S1529">
        <v>1599</v>
      </c>
      <c r="T1529">
        <v>0</v>
      </c>
      <c r="U1529">
        <v>6396</v>
      </c>
      <c r="V1529">
        <v>3200</v>
      </c>
      <c r="W1529">
        <v>3196</v>
      </c>
      <c r="X1529" t="s">
        <v>74</v>
      </c>
      <c r="Y1529" t="s">
        <v>68</v>
      </c>
      <c r="Z1529" t="s">
        <v>162</v>
      </c>
      <c r="AA1529" t="s">
        <v>167</v>
      </c>
      <c r="AB1529">
        <v>5</v>
      </c>
      <c r="AC1529">
        <v>50</v>
      </c>
      <c r="AD1529">
        <v>712.49</v>
      </c>
      <c r="AE1529">
        <f t="shared" si="46"/>
        <v>2433.5100000000002</v>
      </c>
      <c r="AF1529" t="str">
        <f t="shared" si="47"/>
        <v>2025-07</v>
      </c>
      <c r="AG1529">
        <f>SUBTOTAL(103,A1529)</f>
        <v>1</v>
      </c>
    </row>
    <row r="1530" spans="1:33" x14ac:dyDescent="0.3">
      <c r="A1530" t="s">
        <v>4147</v>
      </c>
      <c r="B1530" s="13">
        <v>45852</v>
      </c>
      <c r="C1530">
        <v>2025</v>
      </c>
      <c r="D1530">
        <v>7</v>
      </c>
      <c r="E1530" t="s">
        <v>4046</v>
      </c>
      <c r="F1530" t="s">
        <v>4047</v>
      </c>
      <c r="G1530" t="s">
        <v>1569</v>
      </c>
      <c r="H1530" t="s">
        <v>1570</v>
      </c>
      <c r="I1530" t="s">
        <v>86</v>
      </c>
      <c r="J1530">
        <v>49</v>
      </c>
      <c r="K1530" t="s">
        <v>83</v>
      </c>
      <c r="L1530" t="s">
        <v>2623</v>
      </c>
      <c r="M1530" t="s">
        <v>61</v>
      </c>
      <c r="N1530" t="s">
        <v>2647</v>
      </c>
      <c r="O1530" t="s">
        <v>133</v>
      </c>
      <c r="P1530" t="s">
        <v>50</v>
      </c>
      <c r="Q1530" t="s">
        <v>145</v>
      </c>
      <c r="R1530">
        <v>1</v>
      </c>
      <c r="S1530">
        <v>799</v>
      </c>
      <c r="T1530">
        <v>0.15</v>
      </c>
      <c r="U1530">
        <v>679.15</v>
      </c>
      <c r="V1530">
        <v>390</v>
      </c>
      <c r="W1530">
        <v>289.14999999999998</v>
      </c>
      <c r="X1530" t="s">
        <v>74</v>
      </c>
      <c r="Y1530" t="s">
        <v>68</v>
      </c>
      <c r="Z1530" t="s">
        <v>161</v>
      </c>
      <c r="AA1530" t="s">
        <v>166</v>
      </c>
      <c r="AB1530">
        <v>4</v>
      </c>
      <c r="AC1530">
        <v>40</v>
      </c>
      <c r="AD1530">
        <v>58.48</v>
      </c>
      <c r="AE1530">
        <f t="shared" si="46"/>
        <v>190.67</v>
      </c>
      <c r="AF1530" t="str">
        <f t="shared" si="47"/>
        <v>2025-07</v>
      </c>
      <c r="AG1530">
        <f>SUBTOTAL(103,A1530)</f>
        <v>1</v>
      </c>
    </row>
    <row r="1531" spans="1:33" x14ac:dyDescent="0.3">
      <c r="A1531" t="s">
        <v>4148</v>
      </c>
      <c r="B1531" s="13">
        <v>45852</v>
      </c>
      <c r="C1531">
        <v>2025</v>
      </c>
      <c r="D1531">
        <v>7</v>
      </c>
      <c r="E1531" t="s">
        <v>4046</v>
      </c>
      <c r="F1531" t="s">
        <v>4047</v>
      </c>
      <c r="G1531" t="s">
        <v>1805</v>
      </c>
      <c r="H1531" t="s">
        <v>1806</v>
      </c>
      <c r="I1531" t="s">
        <v>85</v>
      </c>
      <c r="J1531">
        <v>29</v>
      </c>
      <c r="K1531" t="s">
        <v>81</v>
      </c>
      <c r="L1531" t="s">
        <v>91</v>
      </c>
      <c r="M1531" t="s">
        <v>55</v>
      </c>
      <c r="N1531" t="s">
        <v>2647</v>
      </c>
      <c r="O1531" t="s">
        <v>133</v>
      </c>
      <c r="P1531" t="s">
        <v>50</v>
      </c>
      <c r="Q1531" t="s">
        <v>145</v>
      </c>
      <c r="R1531">
        <v>2</v>
      </c>
      <c r="S1531">
        <v>799</v>
      </c>
      <c r="T1531">
        <v>0.2</v>
      </c>
      <c r="U1531">
        <v>1278.4000000000001</v>
      </c>
      <c r="V1531">
        <v>780</v>
      </c>
      <c r="W1531">
        <v>498.4</v>
      </c>
      <c r="X1531" t="s">
        <v>75</v>
      </c>
      <c r="Y1531" t="s">
        <v>68</v>
      </c>
      <c r="Z1531" t="s">
        <v>163</v>
      </c>
      <c r="AA1531" t="s">
        <v>167</v>
      </c>
      <c r="AB1531">
        <v>4.7</v>
      </c>
      <c r="AC1531">
        <v>40</v>
      </c>
      <c r="AD1531">
        <v>127.02</v>
      </c>
      <c r="AE1531">
        <f t="shared" si="46"/>
        <v>331.38</v>
      </c>
      <c r="AF1531" t="str">
        <f t="shared" si="47"/>
        <v>2025-07</v>
      </c>
      <c r="AG1531">
        <f>SUBTOTAL(103,A1531)</f>
        <v>1</v>
      </c>
    </row>
    <row r="1532" spans="1:33" x14ac:dyDescent="0.3">
      <c r="A1532" t="s">
        <v>4149</v>
      </c>
      <c r="B1532" s="13">
        <v>45852</v>
      </c>
      <c r="C1532">
        <v>2025</v>
      </c>
      <c r="D1532">
        <v>7</v>
      </c>
      <c r="E1532" t="s">
        <v>4046</v>
      </c>
      <c r="F1532" t="s">
        <v>4047</v>
      </c>
      <c r="G1532" t="s">
        <v>935</v>
      </c>
      <c r="H1532" t="s">
        <v>936</v>
      </c>
      <c r="I1532" t="s">
        <v>86</v>
      </c>
      <c r="J1532">
        <v>27</v>
      </c>
      <c r="K1532" t="s">
        <v>81</v>
      </c>
      <c r="L1532" t="s">
        <v>2589</v>
      </c>
      <c r="M1532" t="s">
        <v>61</v>
      </c>
      <c r="N1532" t="s">
        <v>2630</v>
      </c>
      <c r="O1532" t="s">
        <v>123</v>
      </c>
      <c r="P1532" t="s">
        <v>52</v>
      </c>
      <c r="Q1532" t="s">
        <v>146</v>
      </c>
      <c r="R1532">
        <v>3</v>
      </c>
      <c r="S1532">
        <v>2499</v>
      </c>
      <c r="T1532">
        <v>0.05</v>
      </c>
      <c r="U1532">
        <v>7122.15</v>
      </c>
      <c r="V1532">
        <v>4200</v>
      </c>
      <c r="W1532">
        <v>2922.15</v>
      </c>
      <c r="X1532" t="s">
        <v>76</v>
      </c>
      <c r="Y1532" t="s">
        <v>68</v>
      </c>
      <c r="Z1532" t="s">
        <v>161</v>
      </c>
      <c r="AA1532" t="s">
        <v>166</v>
      </c>
      <c r="AB1532">
        <v>4.2</v>
      </c>
      <c r="AC1532">
        <v>60</v>
      </c>
      <c r="AD1532">
        <v>508.51</v>
      </c>
      <c r="AE1532">
        <f t="shared" si="46"/>
        <v>2353.6400000000003</v>
      </c>
      <c r="AF1532" t="str">
        <f t="shared" si="47"/>
        <v>2025-07</v>
      </c>
      <c r="AG1532">
        <f>SUBTOTAL(103,A1532)</f>
        <v>1</v>
      </c>
    </row>
    <row r="1533" spans="1:33" x14ac:dyDescent="0.3">
      <c r="A1533" t="s">
        <v>4150</v>
      </c>
      <c r="B1533" s="13">
        <v>45852</v>
      </c>
      <c r="C1533">
        <v>2025</v>
      </c>
      <c r="D1533">
        <v>7</v>
      </c>
      <c r="E1533" t="s">
        <v>4046</v>
      </c>
      <c r="F1533" t="s">
        <v>4047</v>
      </c>
      <c r="G1533" t="s">
        <v>1401</v>
      </c>
      <c r="H1533" t="s">
        <v>1402</v>
      </c>
      <c r="I1533" t="s">
        <v>86</v>
      </c>
      <c r="J1533">
        <v>22</v>
      </c>
      <c r="K1533" t="s">
        <v>80</v>
      </c>
      <c r="L1533" t="s">
        <v>2610</v>
      </c>
      <c r="M1533" t="s">
        <v>64</v>
      </c>
      <c r="N1533" t="s">
        <v>2603</v>
      </c>
      <c r="O1533" t="s">
        <v>122</v>
      </c>
      <c r="P1533" t="s">
        <v>48</v>
      </c>
      <c r="Q1533" t="s">
        <v>141</v>
      </c>
      <c r="R1533">
        <v>5</v>
      </c>
      <c r="S1533">
        <v>2499</v>
      </c>
      <c r="T1533">
        <v>0</v>
      </c>
      <c r="U1533">
        <v>12495</v>
      </c>
      <c r="V1533">
        <v>7250</v>
      </c>
      <c r="W1533">
        <v>5245</v>
      </c>
      <c r="X1533" t="s">
        <v>74</v>
      </c>
      <c r="Y1533" t="s">
        <v>68</v>
      </c>
      <c r="Z1533" t="s">
        <v>159</v>
      </c>
      <c r="AA1533" t="s">
        <v>167</v>
      </c>
      <c r="AB1533">
        <v>3.9</v>
      </c>
      <c r="AC1533">
        <v>80</v>
      </c>
      <c r="AD1533">
        <v>1292.6199999999999</v>
      </c>
      <c r="AE1533">
        <f t="shared" si="46"/>
        <v>3872.38</v>
      </c>
      <c r="AF1533" t="str">
        <f t="shared" si="47"/>
        <v>2025-07</v>
      </c>
      <c r="AG1533">
        <f>SUBTOTAL(103,A1533)</f>
        <v>1</v>
      </c>
    </row>
    <row r="1534" spans="1:33" x14ac:dyDescent="0.3">
      <c r="A1534" t="s">
        <v>4151</v>
      </c>
      <c r="B1534" s="13">
        <v>45852</v>
      </c>
      <c r="C1534">
        <v>2025</v>
      </c>
      <c r="D1534">
        <v>7</v>
      </c>
      <c r="E1534" t="s">
        <v>4046</v>
      </c>
      <c r="F1534" t="s">
        <v>4047</v>
      </c>
      <c r="G1534" t="s">
        <v>915</v>
      </c>
      <c r="H1534" t="s">
        <v>916</v>
      </c>
      <c r="I1534" t="s">
        <v>85</v>
      </c>
      <c r="J1534">
        <v>20</v>
      </c>
      <c r="K1534" t="s">
        <v>80</v>
      </c>
      <c r="L1534" t="s">
        <v>2634</v>
      </c>
      <c r="M1534" t="s">
        <v>56</v>
      </c>
      <c r="N1534" t="s">
        <v>2582</v>
      </c>
      <c r="O1534" t="s">
        <v>119</v>
      </c>
      <c r="P1534" t="s">
        <v>49</v>
      </c>
      <c r="Q1534" t="s">
        <v>140</v>
      </c>
      <c r="R1534">
        <v>2</v>
      </c>
      <c r="S1534">
        <v>3499</v>
      </c>
      <c r="T1534">
        <v>0.1</v>
      </c>
      <c r="U1534">
        <v>6298.2</v>
      </c>
      <c r="V1534">
        <v>4200</v>
      </c>
      <c r="W1534">
        <v>2098.1999999999998</v>
      </c>
      <c r="X1534" t="s">
        <v>74</v>
      </c>
      <c r="Y1534" t="s">
        <v>68</v>
      </c>
      <c r="Z1534" t="s">
        <v>158</v>
      </c>
      <c r="AA1534" t="s">
        <v>167</v>
      </c>
      <c r="AB1534">
        <v>3.6</v>
      </c>
      <c r="AC1534">
        <v>50</v>
      </c>
      <c r="AD1534">
        <v>596.16</v>
      </c>
      <c r="AE1534">
        <f t="shared" si="46"/>
        <v>1452.04</v>
      </c>
      <c r="AF1534" t="str">
        <f t="shared" si="47"/>
        <v>2025-07</v>
      </c>
      <c r="AG1534">
        <f>SUBTOTAL(103,A1534)</f>
        <v>1</v>
      </c>
    </row>
    <row r="1535" spans="1:33" x14ac:dyDescent="0.3">
      <c r="A1535" t="s">
        <v>4152</v>
      </c>
      <c r="B1535" s="13">
        <v>45853</v>
      </c>
      <c r="C1535">
        <v>2025</v>
      </c>
      <c r="D1535">
        <v>7</v>
      </c>
      <c r="E1535" t="s">
        <v>4046</v>
      </c>
      <c r="F1535" t="s">
        <v>4047</v>
      </c>
      <c r="G1535" t="s">
        <v>1269</v>
      </c>
      <c r="H1535" t="s">
        <v>1270</v>
      </c>
      <c r="I1535" t="s">
        <v>85</v>
      </c>
      <c r="J1535">
        <v>58</v>
      </c>
      <c r="K1535" t="s">
        <v>83</v>
      </c>
      <c r="L1535" t="s">
        <v>2599</v>
      </c>
      <c r="M1535" t="s">
        <v>62</v>
      </c>
      <c r="N1535" t="s">
        <v>2590</v>
      </c>
      <c r="O1535" t="s">
        <v>127</v>
      </c>
      <c r="P1535" t="s">
        <v>51</v>
      </c>
      <c r="Q1535" t="s">
        <v>148</v>
      </c>
      <c r="R1535">
        <v>3</v>
      </c>
      <c r="S1535">
        <v>1599</v>
      </c>
      <c r="T1535">
        <v>0</v>
      </c>
      <c r="U1535">
        <v>0</v>
      </c>
      <c r="V1535">
        <v>0</v>
      </c>
      <c r="W1535">
        <v>0</v>
      </c>
      <c r="X1535" t="s">
        <v>73</v>
      </c>
      <c r="Y1535" t="s">
        <v>71</v>
      </c>
      <c r="Z1535" t="s">
        <v>160</v>
      </c>
      <c r="AA1535" t="s">
        <v>167</v>
      </c>
      <c r="AB1535">
        <v>4</v>
      </c>
      <c r="AC1535">
        <v>100</v>
      </c>
      <c r="AD1535">
        <v>216.26</v>
      </c>
      <c r="AE1535">
        <f t="shared" si="46"/>
        <v>-316.26</v>
      </c>
      <c r="AF1535" t="str">
        <f t="shared" si="47"/>
        <v>2025-07</v>
      </c>
      <c r="AG1535">
        <f>SUBTOTAL(103,A1535)</f>
        <v>1</v>
      </c>
    </row>
    <row r="1536" spans="1:33" x14ac:dyDescent="0.3">
      <c r="A1536" t="s">
        <v>4153</v>
      </c>
      <c r="B1536" s="13">
        <v>45853</v>
      </c>
      <c r="C1536">
        <v>2025</v>
      </c>
      <c r="D1536">
        <v>7</v>
      </c>
      <c r="E1536" t="s">
        <v>4046</v>
      </c>
      <c r="F1536" t="s">
        <v>4047</v>
      </c>
      <c r="G1536" t="s">
        <v>811</v>
      </c>
      <c r="H1536" t="s">
        <v>812</v>
      </c>
      <c r="I1536" t="s">
        <v>85</v>
      </c>
      <c r="J1536">
        <v>47</v>
      </c>
      <c r="K1536" t="s">
        <v>83</v>
      </c>
      <c r="L1536" t="s">
        <v>92</v>
      </c>
      <c r="M1536" t="s">
        <v>59</v>
      </c>
      <c r="N1536" t="s">
        <v>2601</v>
      </c>
      <c r="O1536" t="s">
        <v>117</v>
      </c>
      <c r="P1536" t="s">
        <v>49</v>
      </c>
      <c r="Q1536" t="s">
        <v>139</v>
      </c>
      <c r="R1536">
        <v>4</v>
      </c>
      <c r="S1536">
        <v>6999</v>
      </c>
      <c r="T1536">
        <v>0</v>
      </c>
      <c r="U1536">
        <v>27996</v>
      </c>
      <c r="V1536">
        <v>17200</v>
      </c>
      <c r="W1536">
        <v>10796</v>
      </c>
      <c r="X1536" t="s">
        <v>74</v>
      </c>
      <c r="Y1536" t="s">
        <v>68</v>
      </c>
      <c r="Z1536" t="s">
        <v>162</v>
      </c>
      <c r="AA1536" t="s">
        <v>171</v>
      </c>
      <c r="AB1536">
        <v>2.8</v>
      </c>
      <c r="AC1536">
        <v>60</v>
      </c>
      <c r="AD1536">
        <v>2279.1999999999998</v>
      </c>
      <c r="AE1536">
        <f t="shared" si="46"/>
        <v>8456.7999999999993</v>
      </c>
      <c r="AF1536" t="str">
        <f t="shared" si="47"/>
        <v>2025-07</v>
      </c>
      <c r="AG1536">
        <f>SUBTOTAL(103,A1536)</f>
        <v>1</v>
      </c>
    </row>
    <row r="1537" spans="1:33" x14ac:dyDescent="0.3">
      <c r="A1537" t="s">
        <v>4154</v>
      </c>
      <c r="B1537" s="13">
        <v>45853</v>
      </c>
      <c r="C1537">
        <v>2025</v>
      </c>
      <c r="D1537">
        <v>7</v>
      </c>
      <c r="E1537" t="s">
        <v>4046</v>
      </c>
      <c r="F1537" t="s">
        <v>4047</v>
      </c>
      <c r="G1537" t="s">
        <v>547</v>
      </c>
      <c r="H1537" t="s">
        <v>548</v>
      </c>
      <c r="I1537" t="s">
        <v>85</v>
      </c>
      <c r="J1537">
        <v>34</v>
      </c>
      <c r="K1537" t="s">
        <v>81</v>
      </c>
      <c r="L1537" t="s">
        <v>91</v>
      </c>
      <c r="M1537" t="s">
        <v>55</v>
      </c>
      <c r="N1537" t="s">
        <v>2590</v>
      </c>
      <c r="O1537" t="s">
        <v>127</v>
      </c>
      <c r="P1537" t="s">
        <v>51</v>
      </c>
      <c r="Q1537" t="s">
        <v>148</v>
      </c>
      <c r="R1537">
        <v>1</v>
      </c>
      <c r="S1537">
        <v>1599</v>
      </c>
      <c r="T1537">
        <v>0.1</v>
      </c>
      <c r="U1537">
        <v>1439.1</v>
      </c>
      <c r="V1537">
        <v>800</v>
      </c>
      <c r="W1537">
        <v>639.1</v>
      </c>
      <c r="X1537" t="s">
        <v>76</v>
      </c>
      <c r="Y1537" t="s">
        <v>68</v>
      </c>
      <c r="Z1537" t="s">
        <v>162</v>
      </c>
      <c r="AA1537" t="s">
        <v>167</v>
      </c>
      <c r="AB1537">
        <v>3.8</v>
      </c>
      <c r="AC1537">
        <v>60</v>
      </c>
      <c r="AD1537">
        <v>139.91999999999999</v>
      </c>
      <c r="AE1537">
        <f t="shared" si="46"/>
        <v>439.18000000000006</v>
      </c>
      <c r="AF1537" t="str">
        <f t="shared" si="47"/>
        <v>2025-07</v>
      </c>
      <c r="AG1537">
        <f>SUBTOTAL(103,A1537)</f>
        <v>1</v>
      </c>
    </row>
    <row r="1538" spans="1:33" x14ac:dyDescent="0.3">
      <c r="A1538" t="s">
        <v>4155</v>
      </c>
      <c r="B1538" s="13">
        <v>45853</v>
      </c>
      <c r="C1538">
        <v>2025</v>
      </c>
      <c r="D1538">
        <v>7</v>
      </c>
      <c r="E1538" t="s">
        <v>4046</v>
      </c>
      <c r="F1538" t="s">
        <v>4047</v>
      </c>
      <c r="G1538" t="s">
        <v>2197</v>
      </c>
      <c r="H1538" t="s">
        <v>2198</v>
      </c>
      <c r="I1538" t="s">
        <v>86</v>
      </c>
      <c r="J1538">
        <v>46</v>
      </c>
      <c r="K1538" t="s">
        <v>83</v>
      </c>
      <c r="L1538" t="s">
        <v>2573</v>
      </c>
      <c r="M1538" t="s">
        <v>63</v>
      </c>
      <c r="N1538" t="s">
        <v>2582</v>
      </c>
      <c r="O1538" t="s">
        <v>119</v>
      </c>
      <c r="P1538" t="s">
        <v>49</v>
      </c>
      <c r="Q1538" t="s">
        <v>140</v>
      </c>
      <c r="R1538">
        <v>2</v>
      </c>
      <c r="S1538">
        <v>3499</v>
      </c>
      <c r="T1538">
        <v>0.2</v>
      </c>
      <c r="U1538">
        <v>5598.4</v>
      </c>
      <c r="V1538">
        <v>4200</v>
      </c>
      <c r="W1538">
        <v>1398.4</v>
      </c>
      <c r="X1538" t="s">
        <v>73</v>
      </c>
      <c r="Y1538" t="s">
        <v>68</v>
      </c>
      <c r="Z1538" t="s">
        <v>158</v>
      </c>
      <c r="AA1538" t="s">
        <v>171</v>
      </c>
      <c r="AB1538">
        <v>4.5999999999999996</v>
      </c>
      <c r="AC1538">
        <v>40</v>
      </c>
      <c r="AD1538">
        <v>662.6</v>
      </c>
      <c r="AE1538">
        <f t="shared" ref="AE1538:AE1601" si="48">W1538-AC1538-AD1538</f>
        <v>695.80000000000007</v>
      </c>
      <c r="AF1538" t="str">
        <f t="shared" ref="AF1538:AF1601" si="49">C1538&amp;"-"&amp;TEXT(D1538,"00")</f>
        <v>2025-07</v>
      </c>
      <c r="AG1538">
        <f>SUBTOTAL(103,A1538)</f>
        <v>1</v>
      </c>
    </row>
    <row r="1539" spans="1:33" x14ac:dyDescent="0.3">
      <c r="A1539" t="s">
        <v>4156</v>
      </c>
      <c r="B1539" s="13">
        <v>45853</v>
      </c>
      <c r="C1539">
        <v>2025</v>
      </c>
      <c r="D1539">
        <v>7</v>
      </c>
      <c r="E1539" t="s">
        <v>4046</v>
      </c>
      <c r="F1539" t="s">
        <v>4047</v>
      </c>
      <c r="G1539" t="s">
        <v>615</v>
      </c>
      <c r="H1539" t="s">
        <v>616</v>
      </c>
      <c r="I1539" t="s">
        <v>86</v>
      </c>
      <c r="J1539">
        <v>51</v>
      </c>
      <c r="K1539" t="s">
        <v>83</v>
      </c>
      <c r="L1539" t="s">
        <v>97</v>
      </c>
      <c r="M1539" t="s">
        <v>57</v>
      </c>
      <c r="N1539" t="s">
        <v>2584</v>
      </c>
      <c r="O1539" t="s">
        <v>121</v>
      </c>
      <c r="P1539" t="s">
        <v>50</v>
      </c>
      <c r="Q1539" t="s">
        <v>144</v>
      </c>
      <c r="R1539">
        <v>2</v>
      </c>
      <c r="S1539">
        <v>2999</v>
      </c>
      <c r="T1539">
        <v>0.1</v>
      </c>
      <c r="U1539">
        <v>5398.2</v>
      </c>
      <c r="V1539">
        <v>3400</v>
      </c>
      <c r="W1539">
        <v>1998.2</v>
      </c>
      <c r="X1539" t="s">
        <v>75</v>
      </c>
      <c r="Y1539" t="s">
        <v>68</v>
      </c>
      <c r="Z1539" t="s">
        <v>160</v>
      </c>
      <c r="AA1539" t="s">
        <v>170</v>
      </c>
      <c r="AB1539">
        <v>3.1</v>
      </c>
      <c r="AC1539">
        <v>50</v>
      </c>
      <c r="AD1539">
        <v>282.75</v>
      </c>
      <c r="AE1539">
        <f t="shared" si="48"/>
        <v>1665.45</v>
      </c>
      <c r="AF1539" t="str">
        <f t="shared" si="49"/>
        <v>2025-07</v>
      </c>
      <c r="AG1539">
        <f>SUBTOTAL(103,A1539)</f>
        <v>1</v>
      </c>
    </row>
    <row r="1540" spans="1:33" x14ac:dyDescent="0.3">
      <c r="A1540" t="s">
        <v>4157</v>
      </c>
      <c r="B1540" s="13">
        <v>45853</v>
      </c>
      <c r="C1540">
        <v>2025</v>
      </c>
      <c r="D1540">
        <v>7</v>
      </c>
      <c r="E1540" t="s">
        <v>4046</v>
      </c>
      <c r="F1540" t="s">
        <v>4047</v>
      </c>
      <c r="G1540" t="s">
        <v>1599</v>
      </c>
      <c r="H1540" t="s">
        <v>1600</v>
      </c>
      <c r="I1540" t="s">
        <v>85</v>
      </c>
      <c r="J1540">
        <v>51</v>
      </c>
      <c r="K1540" t="s">
        <v>83</v>
      </c>
      <c r="L1540" t="s">
        <v>2687</v>
      </c>
      <c r="M1540" t="s">
        <v>57</v>
      </c>
      <c r="N1540" t="s">
        <v>2584</v>
      </c>
      <c r="O1540" t="s">
        <v>121</v>
      </c>
      <c r="P1540" t="s">
        <v>50</v>
      </c>
      <c r="Q1540" t="s">
        <v>144</v>
      </c>
      <c r="R1540">
        <v>1</v>
      </c>
      <c r="S1540">
        <v>2999</v>
      </c>
      <c r="T1540">
        <v>0</v>
      </c>
      <c r="U1540">
        <v>2999</v>
      </c>
      <c r="V1540">
        <v>1700</v>
      </c>
      <c r="W1540">
        <v>1299</v>
      </c>
      <c r="X1540" t="s">
        <v>75</v>
      </c>
      <c r="Y1540" t="s">
        <v>68</v>
      </c>
      <c r="Z1540" t="s">
        <v>160</v>
      </c>
      <c r="AA1540" t="s">
        <v>169</v>
      </c>
      <c r="AB1540">
        <v>4.7</v>
      </c>
      <c r="AC1540">
        <v>50</v>
      </c>
      <c r="AD1540">
        <v>295.39999999999998</v>
      </c>
      <c r="AE1540">
        <f t="shared" si="48"/>
        <v>953.6</v>
      </c>
      <c r="AF1540" t="str">
        <f t="shared" si="49"/>
        <v>2025-07</v>
      </c>
      <c r="AG1540">
        <f>SUBTOTAL(103,A1540)</f>
        <v>1</v>
      </c>
    </row>
    <row r="1541" spans="1:33" x14ac:dyDescent="0.3">
      <c r="A1541" t="s">
        <v>4158</v>
      </c>
      <c r="B1541" s="13">
        <v>45853</v>
      </c>
      <c r="C1541">
        <v>2025</v>
      </c>
      <c r="D1541">
        <v>7</v>
      </c>
      <c r="E1541" t="s">
        <v>4046</v>
      </c>
      <c r="F1541" t="s">
        <v>4047</v>
      </c>
      <c r="G1541" t="s">
        <v>2227</v>
      </c>
      <c r="H1541" t="s">
        <v>2228</v>
      </c>
      <c r="I1541" t="s">
        <v>85</v>
      </c>
      <c r="J1541">
        <v>36</v>
      </c>
      <c r="K1541" t="s">
        <v>82</v>
      </c>
      <c r="L1541" t="s">
        <v>90</v>
      </c>
      <c r="M1541" t="s">
        <v>55</v>
      </c>
      <c r="N1541" t="s">
        <v>2630</v>
      </c>
      <c r="O1541" t="s">
        <v>123</v>
      </c>
      <c r="P1541" t="s">
        <v>52</v>
      </c>
      <c r="Q1541" t="s">
        <v>146</v>
      </c>
      <c r="R1541">
        <v>2</v>
      </c>
      <c r="S1541">
        <v>2499</v>
      </c>
      <c r="T1541">
        <v>0.05</v>
      </c>
      <c r="U1541">
        <v>0</v>
      </c>
      <c r="V1541">
        <v>0</v>
      </c>
      <c r="W1541">
        <v>0</v>
      </c>
      <c r="X1541" t="s">
        <v>73</v>
      </c>
      <c r="Y1541" t="s">
        <v>71</v>
      </c>
      <c r="Z1541" t="s">
        <v>158</v>
      </c>
      <c r="AA1541" t="s">
        <v>171</v>
      </c>
      <c r="AB1541">
        <v>4.2</v>
      </c>
      <c r="AC1541">
        <v>50</v>
      </c>
      <c r="AD1541">
        <v>423.58</v>
      </c>
      <c r="AE1541">
        <f t="shared" si="48"/>
        <v>-473.58</v>
      </c>
      <c r="AF1541" t="str">
        <f t="shared" si="49"/>
        <v>2025-07</v>
      </c>
      <c r="AG1541">
        <f>SUBTOTAL(103,A1541)</f>
        <v>1</v>
      </c>
    </row>
    <row r="1542" spans="1:33" x14ac:dyDescent="0.3">
      <c r="A1542" t="s">
        <v>4159</v>
      </c>
      <c r="B1542" s="13">
        <v>45853</v>
      </c>
      <c r="C1542">
        <v>2025</v>
      </c>
      <c r="D1542">
        <v>7</v>
      </c>
      <c r="E1542" t="s">
        <v>4046</v>
      </c>
      <c r="F1542" t="s">
        <v>4047</v>
      </c>
      <c r="G1542" t="s">
        <v>1139</v>
      </c>
      <c r="H1542" t="s">
        <v>1140</v>
      </c>
      <c r="I1542" t="s">
        <v>86</v>
      </c>
      <c r="J1542">
        <v>25</v>
      </c>
      <c r="K1542" t="s">
        <v>80</v>
      </c>
      <c r="L1542" t="s">
        <v>2687</v>
      </c>
      <c r="M1542" t="s">
        <v>57</v>
      </c>
      <c r="N1542" t="s">
        <v>2582</v>
      </c>
      <c r="O1542" t="s">
        <v>119</v>
      </c>
      <c r="P1542" t="s">
        <v>49</v>
      </c>
      <c r="Q1542" t="s">
        <v>140</v>
      </c>
      <c r="R1542">
        <v>3</v>
      </c>
      <c r="S1542">
        <v>3499</v>
      </c>
      <c r="T1542">
        <v>0</v>
      </c>
      <c r="U1542">
        <v>10497</v>
      </c>
      <c r="V1542">
        <v>6300</v>
      </c>
      <c r="W1542">
        <v>4197</v>
      </c>
      <c r="X1542" t="s">
        <v>73</v>
      </c>
      <c r="Y1542" t="s">
        <v>68</v>
      </c>
      <c r="Z1542" t="s">
        <v>162</v>
      </c>
      <c r="AA1542" t="s">
        <v>166</v>
      </c>
      <c r="AB1542">
        <v>3</v>
      </c>
      <c r="AC1542">
        <v>60</v>
      </c>
      <c r="AD1542">
        <v>619.92999999999995</v>
      </c>
      <c r="AE1542">
        <f t="shared" si="48"/>
        <v>3517.07</v>
      </c>
      <c r="AF1542" t="str">
        <f t="shared" si="49"/>
        <v>2025-07</v>
      </c>
      <c r="AG1542">
        <f>SUBTOTAL(103,A1542)</f>
        <v>1</v>
      </c>
    </row>
    <row r="1543" spans="1:33" x14ac:dyDescent="0.3">
      <c r="A1543" t="s">
        <v>4160</v>
      </c>
      <c r="B1543" s="13">
        <v>45854</v>
      </c>
      <c r="C1543">
        <v>2025</v>
      </c>
      <c r="D1543">
        <v>7</v>
      </c>
      <c r="E1543" t="s">
        <v>4046</v>
      </c>
      <c r="F1543" t="s">
        <v>4047</v>
      </c>
      <c r="G1543" t="s">
        <v>381</v>
      </c>
      <c r="H1543" t="s">
        <v>382</v>
      </c>
      <c r="I1543" t="s">
        <v>85</v>
      </c>
      <c r="J1543">
        <v>46</v>
      </c>
      <c r="K1543" t="s">
        <v>83</v>
      </c>
      <c r="L1543" t="s">
        <v>2616</v>
      </c>
      <c r="M1543" t="s">
        <v>62</v>
      </c>
      <c r="N1543" t="s">
        <v>2574</v>
      </c>
      <c r="O1543" t="s">
        <v>130</v>
      </c>
      <c r="P1543" t="s">
        <v>50</v>
      </c>
      <c r="Q1543" t="s">
        <v>53</v>
      </c>
      <c r="R1543">
        <v>1</v>
      </c>
      <c r="S1543">
        <v>1199</v>
      </c>
      <c r="T1543">
        <v>0</v>
      </c>
      <c r="U1543">
        <v>1199</v>
      </c>
      <c r="V1543">
        <v>550</v>
      </c>
      <c r="W1543">
        <v>649</v>
      </c>
      <c r="X1543" t="s">
        <v>75</v>
      </c>
      <c r="Y1543" t="s">
        <v>68</v>
      </c>
      <c r="Z1543" t="s">
        <v>158</v>
      </c>
      <c r="AA1543" t="s">
        <v>166</v>
      </c>
      <c r="AB1543">
        <v>4.0999999999999996</v>
      </c>
      <c r="AC1543">
        <v>60</v>
      </c>
      <c r="AD1543">
        <v>88.68</v>
      </c>
      <c r="AE1543">
        <f t="shared" si="48"/>
        <v>500.32</v>
      </c>
      <c r="AF1543" t="str">
        <f t="shared" si="49"/>
        <v>2025-07</v>
      </c>
      <c r="AG1543">
        <f>SUBTOTAL(103,A1543)</f>
        <v>1</v>
      </c>
    </row>
    <row r="1544" spans="1:33" x14ac:dyDescent="0.3">
      <c r="A1544" t="s">
        <v>4161</v>
      </c>
      <c r="B1544" s="13">
        <v>45854</v>
      </c>
      <c r="C1544">
        <v>2025</v>
      </c>
      <c r="D1544">
        <v>7</v>
      </c>
      <c r="E1544" t="s">
        <v>4046</v>
      </c>
      <c r="F1544" t="s">
        <v>4047</v>
      </c>
      <c r="G1544" t="s">
        <v>2297</v>
      </c>
      <c r="H1544" t="s">
        <v>2298</v>
      </c>
      <c r="I1544" t="s">
        <v>86</v>
      </c>
      <c r="J1544">
        <v>31</v>
      </c>
      <c r="K1544" t="s">
        <v>81</v>
      </c>
      <c r="L1544" t="s">
        <v>98</v>
      </c>
      <c r="M1544" t="s">
        <v>55</v>
      </c>
      <c r="N1544" t="s">
        <v>2603</v>
      </c>
      <c r="O1544" t="s">
        <v>122</v>
      </c>
      <c r="P1544" t="s">
        <v>48</v>
      </c>
      <c r="Q1544" t="s">
        <v>141</v>
      </c>
      <c r="R1544">
        <v>1</v>
      </c>
      <c r="S1544">
        <v>2499</v>
      </c>
      <c r="T1544">
        <v>0.05</v>
      </c>
      <c r="U1544">
        <v>2374.0500000000002</v>
      </c>
      <c r="V1544">
        <v>1450</v>
      </c>
      <c r="W1544">
        <v>924.05</v>
      </c>
      <c r="X1544" t="s">
        <v>73</v>
      </c>
      <c r="Y1544" t="s">
        <v>68</v>
      </c>
      <c r="Z1544" t="s">
        <v>162</v>
      </c>
      <c r="AA1544" t="s">
        <v>169</v>
      </c>
      <c r="AB1544">
        <v>4.8</v>
      </c>
      <c r="AC1544">
        <v>50</v>
      </c>
      <c r="AD1544">
        <v>191.37</v>
      </c>
      <c r="AE1544">
        <f t="shared" si="48"/>
        <v>682.68</v>
      </c>
      <c r="AF1544" t="str">
        <f t="shared" si="49"/>
        <v>2025-07</v>
      </c>
      <c r="AG1544">
        <f>SUBTOTAL(103,A1544)</f>
        <v>1</v>
      </c>
    </row>
    <row r="1545" spans="1:33" x14ac:dyDescent="0.3">
      <c r="A1545" t="s">
        <v>4162</v>
      </c>
      <c r="B1545" s="13">
        <v>45854</v>
      </c>
      <c r="C1545">
        <v>2025</v>
      </c>
      <c r="D1545">
        <v>7</v>
      </c>
      <c r="E1545" t="s">
        <v>4046</v>
      </c>
      <c r="F1545" t="s">
        <v>4047</v>
      </c>
      <c r="G1545" t="s">
        <v>289</v>
      </c>
      <c r="H1545" t="s">
        <v>290</v>
      </c>
      <c r="I1545" t="s">
        <v>86</v>
      </c>
      <c r="J1545">
        <v>24</v>
      </c>
      <c r="K1545" t="s">
        <v>80</v>
      </c>
      <c r="L1545" t="s">
        <v>2579</v>
      </c>
      <c r="M1545" t="s">
        <v>56</v>
      </c>
      <c r="N1545" t="s">
        <v>2584</v>
      </c>
      <c r="O1545" t="s">
        <v>121</v>
      </c>
      <c r="P1545" t="s">
        <v>50</v>
      </c>
      <c r="Q1545" t="s">
        <v>144</v>
      </c>
      <c r="R1545">
        <v>2</v>
      </c>
      <c r="S1545">
        <v>2999</v>
      </c>
      <c r="T1545">
        <v>0.1</v>
      </c>
      <c r="U1545">
        <v>5398.2</v>
      </c>
      <c r="V1545">
        <v>3400</v>
      </c>
      <c r="W1545">
        <v>1998.2</v>
      </c>
      <c r="X1545" t="s">
        <v>75</v>
      </c>
      <c r="Y1545" t="s">
        <v>68</v>
      </c>
      <c r="Z1545" t="s">
        <v>160</v>
      </c>
      <c r="AA1545" t="s">
        <v>171</v>
      </c>
      <c r="AB1545">
        <v>3.8</v>
      </c>
      <c r="AC1545">
        <v>50</v>
      </c>
      <c r="AD1545">
        <v>397.49</v>
      </c>
      <c r="AE1545">
        <f t="shared" si="48"/>
        <v>1550.71</v>
      </c>
      <c r="AF1545" t="str">
        <f t="shared" si="49"/>
        <v>2025-07</v>
      </c>
      <c r="AG1545">
        <f>SUBTOTAL(103,A1545)</f>
        <v>1</v>
      </c>
    </row>
    <row r="1546" spans="1:33" x14ac:dyDescent="0.3">
      <c r="A1546" t="s">
        <v>4163</v>
      </c>
      <c r="B1546" s="13">
        <v>45854</v>
      </c>
      <c r="C1546">
        <v>2025</v>
      </c>
      <c r="D1546">
        <v>7</v>
      </c>
      <c r="E1546" t="s">
        <v>4046</v>
      </c>
      <c r="F1546" t="s">
        <v>4047</v>
      </c>
      <c r="G1546" t="s">
        <v>477</v>
      </c>
      <c r="H1546" t="s">
        <v>478</v>
      </c>
      <c r="I1546" t="s">
        <v>86</v>
      </c>
      <c r="J1546">
        <v>59</v>
      </c>
      <c r="K1546" t="s">
        <v>83</v>
      </c>
      <c r="L1546" t="s">
        <v>99</v>
      </c>
      <c r="M1546" t="s">
        <v>58</v>
      </c>
      <c r="N1546" t="s">
        <v>2657</v>
      </c>
      <c r="O1546" t="s">
        <v>134</v>
      </c>
      <c r="P1546" t="s">
        <v>49</v>
      </c>
      <c r="Q1546" t="s">
        <v>140</v>
      </c>
      <c r="R1546">
        <v>4</v>
      </c>
      <c r="S1546">
        <v>599</v>
      </c>
      <c r="T1546">
        <v>0.05</v>
      </c>
      <c r="U1546">
        <v>2276.1999999999998</v>
      </c>
      <c r="V1546">
        <v>1000</v>
      </c>
      <c r="W1546">
        <v>1276.2</v>
      </c>
      <c r="X1546" t="s">
        <v>74</v>
      </c>
      <c r="Y1546" t="s">
        <v>70</v>
      </c>
      <c r="Z1546" t="s">
        <v>158</v>
      </c>
      <c r="AA1546" t="s">
        <v>166</v>
      </c>
      <c r="AB1546">
        <v>3.9</v>
      </c>
      <c r="AC1546">
        <v>50</v>
      </c>
      <c r="AD1546">
        <v>243.53</v>
      </c>
      <c r="AE1546">
        <f t="shared" si="48"/>
        <v>982.67000000000007</v>
      </c>
      <c r="AF1546" t="str">
        <f t="shared" si="49"/>
        <v>2025-07</v>
      </c>
      <c r="AG1546">
        <f>SUBTOTAL(103,A1546)</f>
        <v>1</v>
      </c>
    </row>
    <row r="1547" spans="1:33" x14ac:dyDescent="0.3">
      <c r="A1547" t="s">
        <v>4164</v>
      </c>
      <c r="B1547" s="13">
        <v>45854</v>
      </c>
      <c r="C1547">
        <v>2025</v>
      </c>
      <c r="D1547">
        <v>7</v>
      </c>
      <c r="E1547" t="s">
        <v>4046</v>
      </c>
      <c r="F1547" t="s">
        <v>4047</v>
      </c>
      <c r="G1547" t="s">
        <v>1291</v>
      </c>
      <c r="H1547" t="s">
        <v>1292</v>
      </c>
      <c r="I1547" t="s">
        <v>85</v>
      </c>
      <c r="J1547">
        <v>42</v>
      </c>
      <c r="K1547" t="s">
        <v>82</v>
      </c>
      <c r="L1547" t="s">
        <v>98</v>
      </c>
      <c r="M1547" t="s">
        <v>55</v>
      </c>
      <c r="N1547" t="s">
        <v>2665</v>
      </c>
      <c r="O1547" t="s">
        <v>128</v>
      </c>
      <c r="P1547" t="s">
        <v>53</v>
      </c>
      <c r="Q1547" t="s">
        <v>143</v>
      </c>
      <c r="R1547">
        <v>2</v>
      </c>
      <c r="S1547">
        <v>1499</v>
      </c>
      <c r="T1547">
        <v>0</v>
      </c>
      <c r="U1547">
        <v>2998</v>
      </c>
      <c r="V1547">
        <v>1600</v>
      </c>
      <c r="W1547">
        <v>1398</v>
      </c>
      <c r="X1547" t="s">
        <v>74</v>
      </c>
      <c r="Y1547" t="s">
        <v>68</v>
      </c>
      <c r="Z1547" t="s">
        <v>159</v>
      </c>
      <c r="AA1547" t="s">
        <v>166</v>
      </c>
      <c r="AB1547">
        <v>4.5</v>
      </c>
      <c r="AC1547">
        <v>80</v>
      </c>
      <c r="AD1547">
        <v>239.85</v>
      </c>
      <c r="AE1547">
        <f t="shared" si="48"/>
        <v>1078.1500000000001</v>
      </c>
      <c r="AF1547" t="str">
        <f t="shared" si="49"/>
        <v>2025-07</v>
      </c>
      <c r="AG1547">
        <f>SUBTOTAL(103,A1547)</f>
        <v>1</v>
      </c>
    </row>
    <row r="1548" spans="1:33" x14ac:dyDescent="0.3">
      <c r="A1548" t="s">
        <v>4165</v>
      </c>
      <c r="B1548" s="13">
        <v>45854</v>
      </c>
      <c r="C1548">
        <v>2025</v>
      </c>
      <c r="D1548">
        <v>7</v>
      </c>
      <c r="E1548" t="s">
        <v>4046</v>
      </c>
      <c r="F1548" t="s">
        <v>4047</v>
      </c>
      <c r="G1548" t="s">
        <v>319</v>
      </c>
      <c r="H1548" t="s">
        <v>320</v>
      </c>
      <c r="I1548" t="s">
        <v>85</v>
      </c>
      <c r="J1548">
        <v>31</v>
      </c>
      <c r="K1548" t="s">
        <v>81</v>
      </c>
      <c r="L1548" t="s">
        <v>96</v>
      </c>
      <c r="M1548" t="s">
        <v>55</v>
      </c>
      <c r="N1548" t="s">
        <v>2601</v>
      </c>
      <c r="O1548" t="s">
        <v>117</v>
      </c>
      <c r="P1548" t="s">
        <v>49</v>
      </c>
      <c r="Q1548" t="s">
        <v>139</v>
      </c>
      <c r="R1548">
        <v>1</v>
      </c>
      <c r="S1548">
        <v>6999</v>
      </c>
      <c r="T1548">
        <v>0.15</v>
      </c>
      <c r="U1548">
        <v>5949.15</v>
      </c>
      <c r="V1548">
        <v>4300</v>
      </c>
      <c r="W1548">
        <v>1649.15</v>
      </c>
      <c r="X1548" t="s">
        <v>73</v>
      </c>
      <c r="Y1548" t="s">
        <v>68</v>
      </c>
      <c r="Z1548" t="s">
        <v>161</v>
      </c>
      <c r="AA1548" t="s">
        <v>166</v>
      </c>
      <c r="AB1548">
        <v>5</v>
      </c>
      <c r="AC1548">
        <v>40</v>
      </c>
      <c r="AD1548">
        <v>644.23</v>
      </c>
      <c r="AE1548">
        <f t="shared" si="48"/>
        <v>964.92000000000007</v>
      </c>
      <c r="AF1548" t="str">
        <f t="shared" si="49"/>
        <v>2025-07</v>
      </c>
      <c r="AG1548">
        <f>SUBTOTAL(103,A1548)</f>
        <v>1</v>
      </c>
    </row>
    <row r="1549" spans="1:33" x14ac:dyDescent="0.3">
      <c r="A1549" t="s">
        <v>4166</v>
      </c>
      <c r="B1549" s="13">
        <v>45854</v>
      </c>
      <c r="C1549">
        <v>2025</v>
      </c>
      <c r="D1549">
        <v>7</v>
      </c>
      <c r="E1549" t="s">
        <v>4046</v>
      </c>
      <c r="F1549" t="s">
        <v>4047</v>
      </c>
      <c r="G1549" t="s">
        <v>871</v>
      </c>
      <c r="H1549" t="s">
        <v>872</v>
      </c>
      <c r="I1549" t="s">
        <v>85</v>
      </c>
      <c r="J1549">
        <v>45</v>
      </c>
      <c r="K1549" t="s">
        <v>82</v>
      </c>
      <c r="L1549" t="s">
        <v>2646</v>
      </c>
      <c r="M1549" t="s">
        <v>63</v>
      </c>
      <c r="N1549" t="s">
        <v>2574</v>
      </c>
      <c r="O1549" t="s">
        <v>130</v>
      </c>
      <c r="P1549" t="s">
        <v>50</v>
      </c>
      <c r="Q1549" t="s">
        <v>53</v>
      </c>
      <c r="R1549">
        <v>1</v>
      </c>
      <c r="S1549">
        <v>1199</v>
      </c>
      <c r="T1549">
        <v>0.2</v>
      </c>
      <c r="U1549">
        <v>959.2</v>
      </c>
      <c r="V1549">
        <v>550</v>
      </c>
      <c r="W1549">
        <v>409.2</v>
      </c>
      <c r="X1549" t="s">
        <v>73</v>
      </c>
      <c r="Y1549" t="s">
        <v>68</v>
      </c>
      <c r="Z1549" t="s">
        <v>160</v>
      </c>
      <c r="AA1549" t="s">
        <v>167</v>
      </c>
      <c r="AB1549">
        <v>3.9</v>
      </c>
      <c r="AC1549">
        <v>50</v>
      </c>
      <c r="AD1549">
        <v>82.21</v>
      </c>
      <c r="AE1549">
        <f t="shared" si="48"/>
        <v>276.99</v>
      </c>
      <c r="AF1549" t="str">
        <f t="shared" si="49"/>
        <v>2025-07</v>
      </c>
      <c r="AG1549">
        <f>SUBTOTAL(103,A1549)</f>
        <v>1</v>
      </c>
    </row>
    <row r="1550" spans="1:33" x14ac:dyDescent="0.3">
      <c r="A1550" t="s">
        <v>4167</v>
      </c>
      <c r="B1550" s="13">
        <v>45854</v>
      </c>
      <c r="C1550">
        <v>2025</v>
      </c>
      <c r="D1550">
        <v>7</v>
      </c>
      <c r="E1550" t="s">
        <v>4046</v>
      </c>
      <c r="F1550" t="s">
        <v>4047</v>
      </c>
      <c r="G1550" t="s">
        <v>1599</v>
      </c>
      <c r="H1550" t="s">
        <v>1600</v>
      </c>
      <c r="I1550" t="s">
        <v>85</v>
      </c>
      <c r="J1550">
        <v>51</v>
      </c>
      <c r="K1550" t="s">
        <v>83</v>
      </c>
      <c r="L1550" t="s">
        <v>2687</v>
      </c>
      <c r="M1550" t="s">
        <v>57</v>
      </c>
      <c r="N1550" t="s">
        <v>2647</v>
      </c>
      <c r="O1550" t="s">
        <v>133</v>
      </c>
      <c r="P1550" t="s">
        <v>50</v>
      </c>
      <c r="Q1550" t="s">
        <v>145</v>
      </c>
      <c r="R1550">
        <v>2</v>
      </c>
      <c r="S1550">
        <v>799</v>
      </c>
      <c r="T1550">
        <v>0.2</v>
      </c>
      <c r="U1550">
        <v>1278.4000000000001</v>
      </c>
      <c r="V1550">
        <v>780</v>
      </c>
      <c r="W1550">
        <v>498.4</v>
      </c>
      <c r="X1550" t="s">
        <v>76</v>
      </c>
      <c r="Y1550" t="s">
        <v>68</v>
      </c>
      <c r="Z1550" t="s">
        <v>162</v>
      </c>
      <c r="AA1550" t="s">
        <v>166</v>
      </c>
      <c r="AB1550">
        <v>5</v>
      </c>
      <c r="AC1550">
        <v>40</v>
      </c>
      <c r="AD1550">
        <v>105.53</v>
      </c>
      <c r="AE1550">
        <f t="shared" si="48"/>
        <v>352.87</v>
      </c>
      <c r="AF1550" t="str">
        <f t="shared" si="49"/>
        <v>2025-07</v>
      </c>
      <c r="AG1550">
        <f>SUBTOTAL(103,A1550)</f>
        <v>1</v>
      </c>
    </row>
    <row r="1551" spans="1:33" x14ac:dyDescent="0.3">
      <c r="A1551" t="s">
        <v>4168</v>
      </c>
      <c r="B1551" s="13">
        <v>45854</v>
      </c>
      <c r="C1551">
        <v>2025</v>
      </c>
      <c r="D1551">
        <v>7</v>
      </c>
      <c r="E1551" t="s">
        <v>4046</v>
      </c>
      <c r="F1551" t="s">
        <v>4047</v>
      </c>
      <c r="G1551" t="s">
        <v>1043</v>
      </c>
      <c r="H1551" t="s">
        <v>1044</v>
      </c>
      <c r="I1551" t="s">
        <v>85</v>
      </c>
      <c r="J1551">
        <v>25</v>
      </c>
      <c r="K1551" t="s">
        <v>80</v>
      </c>
      <c r="L1551" t="s">
        <v>94</v>
      </c>
      <c r="M1551" t="s">
        <v>57</v>
      </c>
      <c r="N1551" t="s">
        <v>2647</v>
      </c>
      <c r="O1551" t="s">
        <v>133</v>
      </c>
      <c r="P1551" t="s">
        <v>50</v>
      </c>
      <c r="Q1551" t="s">
        <v>145</v>
      </c>
      <c r="R1551">
        <v>1</v>
      </c>
      <c r="S1551">
        <v>799</v>
      </c>
      <c r="T1551">
        <v>0.15</v>
      </c>
      <c r="U1551">
        <v>0</v>
      </c>
      <c r="V1551">
        <v>0</v>
      </c>
      <c r="W1551">
        <v>0</v>
      </c>
      <c r="X1551" t="s">
        <v>73</v>
      </c>
      <c r="Y1551" t="s">
        <v>71</v>
      </c>
      <c r="Z1551" t="s">
        <v>159</v>
      </c>
      <c r="AA1551" t="s">
        <v>169</v>
      </c>
      <c r="AB1551">
        <v>4.3</v>
      </c>
      <c r="AC1551">
        <v>60</v>
      </c>
      <c r="AD1551">
        <v>20.38</v>
      </c>
      <c r="AE1551">
        <f t="shared" si="48"/>
        <v>-80.38</v>
      </c>
      <c r="AF1551" t="str">
        <f t="shared" si="49"/>
        <v>2025-07</v>
      </c>
      <c r="AG1551">
        <f>SUBTOTAL(103,A1551)</f>
        <v>1</v>
      </c>
    </row>
    <row r="1552" spans="1:33" x14ac:dyDescent="0.3">
      <c r="A1552" t="s">
        <v>4169</v>
      </c>
      <c r="B1552" s="13">
        <v>45855</v>
      </c>
      <c r="C1552">
        <v>2025</v>
      </c>
      <c r="D1552">
        <v>7</v>
      </c>
      <c r="E1552" t="s">
        <v>4046</v>
      </c>
      <c r="F1552" t="s">
        <v>4047</v>
      </c>
      <c r="G1552" t="s">
        <v>1351</v>
      </c>
      <c r="H1552" t="s">
        <v>1352</v>
      </c>
      <c r="I1552" t="s">
        <v>85</v>
      </c>
      <c r="J1552">
        <v>55</v>
      </c>
      <c r="K1552" t="s">
        <v>83</v>
      </c>
      <c r="L1552" t="s">
        <v>2687</v>
      </c>
      <c r="M1552" t="s">
        <v>57</v>
      </c>
      <c r="N1552" t="s">
        <v>2626</v>
      </c>
      <c r="O1552" t="s">
        <v>125</v>
      </c>
      <c r="P1552" t="s">
        <v>48</v>
      </c>
      <c r="Q1552" t="s">
        <v>141</v>
      </c>
      <c r="R1552">
        <v>3</v>
      </c>
      <c r="S1552">
        <v>1999</v>
      </c>
      <c r="T1552">
        <v>0.2</v>
      </c>
      <c r="U1552">
        <v>4797.6000000000004</v>
      </c>
      <c r="V1552">
        <v>3450</v>
      </c>
      <c r="W1552">
        <v>1347.6</v>
      </c>
      <c r="X1552" t="s">
        <v>73</v>
      </c>
      <c r="Y1552" t="s">
        <v>68</v>
      </c>
      <c r="Z1552" t="s">
        <v>160</v>
      </c>
      <c r="AA1552" t="s">
        <v>170</v>
      </c>
      <c r="AB1552">
        <v>3.8</v>
      </c>
      <c r="AC1552">
        <v>100</v>
      </c>
      <c r="AD1552">
        <v>567.92999999999995</v>
      </c>
      <c r="AE1552">
        <f t="shared" si="48"/>
        <v>679.67</v>
      </c>
      <c r="AF1552" t="str">
        <f t="shared" si="49"/>
        <v>2025-07</v>
      </c>
      <c r="AG1552">
        <f>SUBTOTAL(103,A1552)</f>
        <v>1</v>
      </c>
    </row>
    <row r="1553" spans="1:33" x14ac:dyDescent="0.3">
      <c r="A1553" t="s">
        <v>4170</v>
      </c>
      <c r="B1553" s="13">
        <v>45855</v>
      </c>
      <c r="C1553">
        <v>2025</v>
      </c>
      <c r="D1553">
        <v>7</v>
      </c>
      <c r="E1553" t="s">
        <v>4046</v>
      </c>
      <c r="F1553" t="s">
        <v>4047</v>
      </c>
      <c r="G1553" t="s">
        <v>1921</v>
      </c>
      <c r="H1553" t="s">
        <v>1922</v>
      </c>
      <c r="I1553" t="s">
        <v>86</v>
      </c>
      <c r="J1553">
        <v>49</v>
      </c>
      <c r="K1553" t="s">
        <v>83</v>
      </c>
      <c r="L1553" t="s">
        <v>2637</v>
      </c>
      <c r="M1553" t="s">
        <v>64</v>
      </c>
      <c r="N1553" t="s">
        <v>2606</v>
      </c>
      <c r="O1553" t="s">
        <v>120</v>
      </c>
      <c r="P1553" t="s">
        <v>49</v>
      </c>
      <c r="Q1553" t="s">
        <v>140</v>
      </c>
      <c r="R1553">
        <v>2</v>
      </c>
      <c r="S1553">
        <v>2799</v>
      </c>
      <c r="T1553">
        <v>0.05</v>
      </c>
      <c r="U1553">
        <v>5318.1</v>
      </c>
      <c r="V1553">
        <v>3300</v>
      </c>
      <c r="W1553">
        <v>2018.1</v>
      </c>
      <c r="X1553" t="s">
        <v>76</v>
      </c>
      <c r="Y1553" t="s">
        <v>68</v>
      </c>
      <c r="Z1553" t="s">
        <v>161</v>
      </c>
      <c r="AA1553" t="s">
        <v>166</v>
      </c>
      <c r="AB1553">
        <v>3.7</v>
      </c>
      <c r="AC1553">
        <v>60</v>
      </c>
      <c r="AD1553">
        <v>277.37</v>
      </c>
      <c r="AE1553">
        <f t="shared" si="48"/>
        <v>1680.73</v>
      </c>
      <c r="AF1553" t="str">
        <f t="shared" si="49"/>
        <v>2025-07</v>
      </c>
      <c r="AG1553">
        <f>SUBTOTAL(103,A1553)</f>
        <v>1</v>
      </c>
    </row>
    <row r="1554" spans="1:33" x14ac:dyDescent="0.3">
      <c r="A1554" t="s">
        <v>4171</v>
      </c>
      <c r="B1554" s="13">
        <v>45855</v>
      </c>
      <c r="C1554">
        <v>2025</v>
      </c>
      <c r="D1554">
        <v>7</v>
      </c>
      <c r="E1554" t="s">
        <v>4046</v>
      </c>
      <c r="F1554" t="s">
        <v>4047</v>
      </c>
      <c r="G1554" t="s">
        <v>685</v>
      </c>
      <c r="H1554" t="s">
        <v>686</v>
      </c>
      <c r="I1554" t="s">
        <v>85</v>
      </c>
      <c r="J1554">
        <v>35</v>
      </c>
      <c r="K1554" t="s">
        <v>81</v>
      </c>
      <c r="L1554" t="s">
        <v>92</v>
      </c>
      <c r="M1554" t="s">
        <v>59</v>
      </c>
      <c r="N1554" t="s">
        <v>2577</v>
      </c>
      <c r="O1554" t="s">
        <v>129</v>
      </c>
      <c r="P1554" t="s">
        <v>49</v>
      </c>
      <c r="Q1554" t="s">
        <v>149</v>
      </c>
      <c r="R1554">
        <v>1</v>
      </c>
      <c r="S1554">
        <v>1299</v>
      </c>
      <c r="T1554">
        <v>0.05</v>
      </c>
      <c r="U1554">
        <v>1234.05</v>
      </c>
      <c r="V1554">
        <v>650</v>
      </c>
      <c r="W1554">
        <v>584.04999999999995</v>
      </c>
      <c r="X1554" t="s">
        <v>73</v>
      </c>
      <c r="Y1554" t="s">
        <v>68</v>
      </c>
      <c r="Z1554" t="s">
        <v>159</v>
      </c>
      <c r="AA1554" t="s">
        <v>166</v>
      </c>
      <c r="AB1554">
        <v>4.9000000000000004</v>
      </c>
      <c r="AC1554">
        <v>40</v>
      </c>
      <c r="AD1554">
        <v>134.26</v>
      </c>
      <c r="AE1554">
        <f t="shared" si="48"/>
        <v>409.78999999999996</v>
      </c>
      <c r="AF1554" t="str">
        <f t="shared" si="49"/>
        <v>2025-07</v>
      </c>
      <c r="AG1554">
        <f>SUBTOTAL(103,A1554)</f>
        <v>1</v>
      </c>
    </row>
    <row r="1555" spans="1:33" x14ac:dyDescent="0.3">
      <c r="A1555" t="s">
        <v>4172</v>
      </c>
      <c r="B1555" s="13">
        <v>45855</v>
      </c>
      <c r="C1555">
        <v>2025</v>
      </c>
      <c r="D1555">
        <v>7</v>
      </c>
      <c r="E1555" t="s">
        <v>4046</v>
      </c>
      <c r="F1555" t="s">
        <v>4047</v>
      </c>
      <c r="G1555" t="s">
        <v>2407</v>
      </c>
      <c r="H1555" t="s">
        <v>2408</v>
      </c>
      <c r="I1555" t="s">
        <v>85</v>
      </c>
      <c r="J1555">
        <v>52</v>
      </c>
      <c r="K1555" t="s">
        <v>83</v>
      </c>
      <c r="L1555" t="s">
        <v>2679</v>
      </c>
      <c r="M1555" t="s">
        <v>60</v>
      </c>
      <c r="N1555" t="s">
        <v>2626</v>
      </c>
      <c r="O1555" t="s">
        <v>125</v>
      </c>
      <c r="P1555" t="s">
        <v>48</v>
      </c>
      <c r="Q1555" t="s">
        <v>141</v>
      </c>
      <c r="R1555">
        <v>1</v>
      </c>
      <c r="S1555">
        <v>1999</v>
      </c>
      <c r="T1555">
        <v>0.15</v>
      </c>
      <c r="U1555">
        <v>1699.15</v>
      </c>
      <c r="V1555">
        <v>1150</v>
      </c>
      <c r="W1555">
        <v>549.15</v>
      </c>
      <c r="X1555" t="s">
        <v>73</v>
      </c>
      <c r="Y1555" t="s">
        <v>68</v>
      </c>
      <c r="Z1555" t="s">
        <v>160</v>
      </c>
      <c r="AA1555" t="s">
        <v>169</v>
      </c>
      <c r="AB1555">
        <v>3.3</v>
      </c>
      <c r="AC1555">
        <v>50</v>
      </c>
      <c r="AD1555">
        <v>81.44</v>
      </c>
      <c r="AE1555">
        <f t="shared" si="48"/>
        <v>417.71</v>
      </c>
      <c r="AF1555" t="str">
        <f t="shared" si="49"/>
        <v>2025-07</v>
      </c>
      <c r="AG1555">
        <f>SUBTOTAL(103,A1555)</f>
        <v>1</v>
      </c>
    </row>
    <row r="1556" spans="1:33" x14ac:dyDescent="0.3">
      <c r="A1556" t="s">
        <v>4173</v>
      </c>
      <c r="B1556" s="13">
        <v>45855</v>
      </c>
      <c r="C1556">
        <v>2025</v>
      </c>
      <c r="D1556">
        <v>7</v>
      </c>
      <c r="E1556" t="s">
        <v>4046</v>
      </c>
      <c r="F1556" t="s">
        <v>4047</v>
      </c>
      <c r="G1556" t="s">
        <v>985</v>
      </c>
      <c r="H1556" t="s">
        <v>986</v>
      </c>
      <c r="I1556" t="s">
        <v>85</v>
      </c>
      <c r="J1556">
        <v>36</v>
      </c>
      <c r="K1556" t="s">
        <v>82</v>
      </c>
      <c r="L1556" t="s">
        <v>97</v>
      </c>
      <c r="M1556" t="s">
        <v>57</v>
      </c>
      <c r="N1556" t="s">
        <v>2596</v>
      </c>
      <c r="O1556" t="s">
        <v>124</v>
      </c>
      <c r="P1556" t="s">
        <v>51</v>
      </c>
      <c r="Q1556" t="s">
        <v>147</v>
      </c>
      <c r="R1556">
        <v>5</v>
      </c>
      <c r="S1556">
        <v>2299</v>
      </c>
      <c r="T1556">
        <v>0</v>
      </c>
      <c r="U1556">
        <v>11495</v>
      </c>
      <c r="V1556">
        <v>6000</v>
      </c>
      <c r="W1556">
        <v>5495</v>
      </c>
      <c r="X1556" t="s">
        <v>73</v>
      </c>
      <c r="Y1556" t="s">
        <v>68</v>
      </c>
      <c r="Z1556" t="s">
        <v>159</v>
      </c>
      <c r="AA1556" t="s">
        <v>171</v>
      </c>
      <c r="AB1556">
        <v>4.4000000000000004</v>
      </c>
      <c r="AC1556">
        <v>50</v>
      </c>
      <c r="AD1556">
        <v>1146.53</v>
      </c>
      <c r="AE1556">
        <f t="shared" si="48"/>
        <v>4298.47</v>
      </c>
      <c r="AF1556" t="str">
        <f t="shared" si="49"/>
        <v>2025-07</v>
      </c>
      <c r="AG1556">
        <f>SUBTOTAL(103,A1556)</f>
        <v>1</v>
      </c>
    </row>
    <row r="1557" spans="1:33" x14ac:dyDescent="0.3">
      <c r="A1557" t="s">
        <v>4174</v>
      </c>
      <c r="B1557" s="13">
        <v>45855</v>
      </c>
      <c r="C1557">
        <v>2025</v>
      </c>
      <c r="D1557">
        <v>7</v>
      </c>
      <c r="E1557" t="s">
        <v>4046</v>
      </c>
      <c r="F1557" t="s">
        <v>4047</v>
      </c>
      <c r="G1557" t="s">
        <v>1741</v>
      </c>
      <c r="H1557" t="s">
        <v>1742</v>
      </c>
      <c r="I1557" t="s">
        <v>85</v>
      </c>
      <c r="J1557">
        <v>18</v>
      </c>
      <c r="K1557" t="s">
        <v>80</v>
      </c>
      <c r="L1557" t="s">
        <v>97</v>
      </c>
      <c r="M1557" t="s">
        <v>57</v>
      </c>
      <c r="N1557" t="s">
        <v>2665</v>
      </c>
      <c r="O1557" t="s">
        <v>128</v>
      </c>
      <c r="P1557" t="s">
        <v>53</v>
      </c>
      <c r="Q1557" t="s">
        <v>143</v>
      </c>
      <c r="R1557">
        <v>2</v>
      </c>
      <c r="S1557">
        <v>1499</v>
      </c>
      <c r="T1557">
        <v>0.05</v>
      </c>
      <c r="U1557">
        <v>2848.1</v>
      </c>
      <c r="V1557">
        <v>1600</v>
      </c>
      <c r="W1557">
        <v>1248.0999999999999</v>
      </c>
      <c r="X1557" t="s">
        <v>75</v>
      </c>
      <c r="Y1557" t="s">
        <v>70</v>
      </c>
      <c r="Z1557" t="s">
        <v>160</v>
      </c>
      <c r="AA1557" t="s">
        <v>167</v>
      </c>
      <c r="AB1557">
        <v>4.0999999999999996</v>
      </c>
      <c r="AC1557">
        <v>100</v>
      </c>
      <c r="AD1557">
        <v>120.79</v>
      </c>
      <c r="AE1557">
        <f t="shared" si="48"/>
        <v>1027.31</v>
      </c>
      <c r="AF1557" t="str">
        <f t="shared" si="49"/>
        <v>2025-07</v>
      </c>
      <c r="AG1557">
        <f>SUBTOTAL(103,A1557)</f>
        <v>1</v>
      </c>
    </row>
    <row r="1558" spans="1:33" x14ac:dyDescent="0.3">
      <c r="A1558" t="s">
        <v>4175</v>
      </c>
      <c r="B1558" s="13">
        <v>45855</v>
      </c>
      <c r="C1558">
        <v>2025</v>
      </c>
      <c r="D1558">
        <v>7</v>
      </c>
      <c r="E1558" t="s">
        <v>4046</v>
      </c>
      <c r="F1558" t="s">
        <v>4047</v>
      </c>
      <c r="G1558" t="s">
        <v>505</v>
      </c>
      <c r="H1558" t="s">
        <v>506</v>
      </c>
      <c r="I1558" t="s">
        <v>85</v>
      </c>
      <c r="J1558">
        <v>25</v>
      </c>
      <c r="K1558" t="s">
        <v>80</v>
      </c>
      <c r="L1558" t="s">
        <v>92</v>
      </c>
      <c r="M1558" t="s">
        <v>59</v>
      </c>
      <c r="N1558" t="s">
        <v>2592</v>
      </c>
      <c r="O1558" t="s">
        <v>115</v>
      </c>
      <c r="P1558" t="s">
        <v>48</v>
      </c>
      <c r="Q1558" t="s">
        <v>137</v>
      </c>
      <c r="R1558">
        <v>1</v>
      </c>
      <c r="S1558">
        <v>12999</v>
      </c>
      <c r="T1558">
        <v>0.1</v>
      </c>
      <c r="U1558">
        <v>11699.1</v>
      </c>
      <c r="V1558">
        <v>9000</v>
      </c>
      <c r="W1558">
        <v>2699.1</v>
      </c>
      <c r="X1558" t="s">
        <v>74</v>
      </c>
      <c r="Y1558" t="s">
        <v>68</v>
      </c>
      <c r="Z1558" t="s">
        <v>161</v>
      </c>
      <c r="AA1558" t="s">
        <v>166</v>
      </c>
      <c r="AB1558">
        <v>3.1</v>
      </c>
      <c r="AC1558">
        <v>40</v>
      </c>
      <c r="AD1558">
        <v>1023.94</v>
      </c>
      <c r="AE1558">
        <f t="shared" si="48"/>
        <v>1635.1599999999999</v>
      </c>
      <c r="AF1558" t="str">
        <f t="shared" si="49"/>
        <v>2025-07</v>
      </c>
      <c r="AG1558">
        <f>SUBTOTAL(103,A1558)</f>
        <v>1</v>
      </c>
    </row>
    <row r="1559" spans="1:33" x14ac:dyDescent="0.3">
      <c r="A1559" t="s">
        <v>4176</v>
      </c>
      <c r="B1559" s="13">
        <v>45855</v>
      </c>
      <c r="C1559">
        <v>2025</v>
      </c>
      <c r="D1559">
        <v>7</v>
      </c>
      <c r="E1559" t="s">
        <v>4046</v>
      </c>
      <c r="F1559" t="s">
        <v>4047</v>
      </c>
      <c r="G1559" t="s">
        <v>827</v>
      </c>
      <c r="H1559" t="s">
        <v>828</v>
      </c>
      <c r="I1559" t="s">
        <v>85</v>
      </c>
      <c r="J1559">
        <v>30</v>
      </c>
      <c r="K1559" t="s">
        <v>81</v>
      </c>
      <c r="L1559" t="s">
        <v>99</v>
      </c>
      <c r="M1559" t="s">
        <v>58</v>
      </c>
      <c r="N1559" t="s">
        <v>2587</v>
      </c>
      <c r="O1559" t="s">
        <v>116</v>
      </c>
      <c r="P1559" t="s">
        <v>48</v>
      </c>
      <c r="Q1559" t="s">
        <v>138</v>
      </c>
      <c r="R1559">
        <v>1</v>
      </c>
      <c r="S1559">
        <v>14999</v>
      </c>
      <c r="T1559">
        <v>0.05</v>
      </c>
      <c r="U1559">
        <v>14249.05</v>
      </c>
      <c r="V1559">
        <v>11200</v>
      </c>
      <c r="W1559">
        <v>3049.05</v>
      </c>
      <c r="X1559" t="s">
        <v>75</v>
      </c>
      <c r="Y1559" t="s">
        <v>68</v>
      </c>
      <c r="Z1559" t="s">
        <v>160</v>
      </c>
      <c r="AA1559" t="s">
        <v>171</v>
      </c>
      <c r="AB1559">
        <v>3.4</v>
      </c>
      <c r="AC1559">
        <v>60</v>
      </c>
      <c r="AD1559">
        <v>514.4</v>
      </c>
      <c r="AE1559">
        <f t="shared" si="48"/>
        <v>2474.65</v>
      </c>
      <c r="AF1559" t="str">
        <f t="shared" si="49"/>
        <v>2025-07</v>
      </c>
      <c r="AG1559">
        <f>SUBTOTAL(103,A1559)</f>
        <v>1</v>
      </c>
    </row>
    <row r="1560" spans="1:33" x14ac:dyDescent="0.3">
      <c r="A1560" t="s">
        <v>4177</v>
      </c>
      <c r="B1560" s="13">
        <v>45856</v>
      </c>
      <c r="C1560">
        <v>2025</v>
      </c>
      <c r="D1560">
        <v>7</v>
      </c>
      <c r="E1560" t="s">
        <v>4046</v>
      </c>
      <c r="F1560" t="s">
        <v>4047</v>
      </c>
      <c r="G1560" t="s">
        <v>973</v>
      </c>
      <c r="H1560" t="s">
        <v>974</v>
      </c>
      <c r="I1560" t="s">
        <v>85</v>
      </c>
      <c r="J1560">
        <v>39</v>
      </c>
      <c r="K1560" t="s">
        <v>82</v>
      </c>
      <c r="L1560" t="s">
        <v>2612</v>
      </c>
      <c r="M1560" t="s">
        <v>64</v>
      </c>
      <c r="N1560" t="s">
        <v>2577</v>
      </c>
      <c r="O1560" t="s">
        <v>129</v>
      </c>
      <c r="P1560" t="s">
        <v>49</v>
      </c>
      <c r="Q1560" t="s">
        <v>149</v>
      </c>
      <c r="R1560">
        <v>3</v>
      </c>
      <c r="S1560">
        <v>1299</v>
      </c>
      <c r="T1560">
        <v>0.15</v>
      </c>
      <c r="U1560">
        <v>3312.45</v>
      </c>
      <c r="V1560">
        <v>1950</v>
      </c>
      <c r="W1560">
        <v>1362.45</v>
      </c>
      <c r="X1560" t="s">
        <v>74</v>
      </c>
      <c r="Y1560" t="s">
        <v>68</v>
      </c>
      <c r="Z1560" t="s">
        <v>159</v>
      </c>
      <c r="AA1560" t="s">
        <v>170</v>
      </c>
      <c r="AB1560">
        <v>4.7</v>
      </c>
      <c r="AC1560">
        <v>60</v>
      </c>
      <c r="AD1560">
        <v>220.77</v>
      </c>
      <c r="AE1560">
        <f t="shared" si="48"/>
        <v>1081.68</v>
      </c>
      <c r="AF1560" t="str">
        <f t="shared" si="49"/>
        <v>2025-07</v>
      </c>
      <c r="AG1560">
        <f>SUBTOTAL(103,A1560)</f>
        <v>1</v>
      </c>
    </row>
    <row r="1561" spans="1:33" x14ac:dyDescent="0.3">
      <c r="A1561" t="s">
        <v>4178</v>
      </c>
      <c r="B1561" s="13">
        <v>45856</v>
      </c>
      <c r="C1561">
        <v>2025</v>
      </c>
      <c r="D1561">
        <v>7</v>
      </c>
      <c r="E1561" t="s">
        <v>4046</v>
      </c>
      <c r="F1561" t="s">
        <v>4047</v>
      </c>
      <c r="G1561" t="s">
        <v>495</v>
      </c>
      <c r="H1561" t="s">
        <v>496</v>
      </c>
      <c r="I1561" t="s">
        <v>85</v>
      </c>
      <c r="J1561">
        <v>19</v>
      </c>
      <c r="K1561" t="s">
        <v>80</v>
      </c>
      <c r="L1561" t="s">
        <v>2579</v>
      </c>
      <c r="M1561" t="s">
        <v>56</v>
      </c>
      <c r="N1561" t="s">
        <v>2630</v>
      </c>
      <c r="O1561" t="s">
        <v>123</v>
      </c>
      <c r="P1561" t="s">
        <v>52</v>
      </c>
      <c r="Q1561" t="s">
        <v>146</v>
      </c>
      <c r="R1561">
        <v>2</v>
      </c>
      <c r="S1561">
        <v>2499</v>
      </c>
      <c r="T1561">
        <v>0.15</v>
      </c>
      <c r="U1561">
        <v>4248.3</v>
      </c>
      <c r="V1561">
        <v>2800</v>
      </c>
      <c r="W1561">
        <v>1448.3</v>
      </c>
      <c r="X1561" t="s">
        <v>73</v>
      </c>
      <c r="Y1561" t="s">
        <v>68</v>
      </c>
      <c r="Z1561" t="s">
        <v>160</v>
      </c>
      <c r="AA1561" t="s">
        <v>166</v>
      </c>
      <c r="AB1561">
        <v>4.9000000000000004</v>
      </c>
      <c r="AC1561">
        <v>60</v>
      </c>
      <c r="AD1561">
        <v>297.66000000000003</v>
      </c>
      <c r="AE1561">
        <f t="shared" si="48"/>
        <v>1090.6399999999999</v>
      </c>
      <c r="AF1561" t="str">
        <f t="shared" si="49"/>
        <v>2025-07</v>
      </c>
      <c r="AG1561">
        <f>SUBTOTAL(103,A1561)</f>
        <v>1</v>
      </c>
    </row>
    <row r="1562" spans="1:33" x14ac:dyDescent="0.3">
      <c r="A1562" t="s">
        <v>4179</v>
      </c>
      <c r="B1562" s="13">
        <v>45856</v>
      </c>
      <c r="C1562">
        <v>2025</v>
      </c>
      <c r="D1562">
        <v>7</v>
      </c>
      <c r="E1562" t="s">
        <v>4046</v>
      </c>
      <c r="F1562" t="s">
        <v>4047</v>
      </c>
      <c r="G1562" t="s">
        <v>335</v>
      </c>
      <c r="H1562" t="s">
        <v>336</v>
      </c>
      <c r="I1562" t="s">
        <v>86</v>
      </c>
      <c r="J1562">
        <v>26</v>
      </c>
      <c r="K1562" t="s">
        <v>81</v>
      </c>
      <c r="L1562" t="s">
        <v>2605</v>
      </c>
      <c r="M1562" t="s">
        <v>60</v>
      </c>
      <c r="N1562" t="s">
        <v>2587</v>
      </c>
      <c r="O1562" t="s">
        <v>116</v>
      </c>
      <c r="P1562" t="s">
        <v>48</v>
      </c>
      <c r="Q1562" t="s">
        <v>138</v>
      </c>
      <c r="R1562">
        <v>2</v>
      </c>
      <c r="S1562">
        <v>14999</v>
      </c>
      <c r="T1562">
        <v>0.15</v>
      </c>
      <c r="U1562">
        <v>25498.3</v>
      </c>
      <c r="V1562">
        <v>22400</v>
      </c>
      <c r="W1562">
        <v>3098.3</v>
      </c>
      <c r="X1562" t="s">
        <v>74</v>
      </c>
      <c r="Y1562" t="s">
        <v>68</v>
      </c>
      <c r="Z1562" t="s">
        <v>158</v>
      </c>
      <c r="AA1562" t="s">
        <v>169</v>
      </c>
      <c r="AB1562">
        <v>5</v>
      </c>
      <c r="AC1562">
        <v>60</v>
      </c>
      <c r="AD1562">
        <v>565</v>
      </c>
      <c r="AE1562">
        <f t="shared" si="48"/>
        <v>2473.3000000000002</v>
      </c>
      <c r="AF1562" t="str">
        <f t="shared" si="49"/>
        <v>2025-07</v>
      </c>
      <c r="AG1562">
        <f>SUBTOTAL(103,A1562)</f>
        <v>1</v>
      </c>
    </row>
    <row r="1563" spans="1:33" x14ac:dyDescent="0.3">
      <c r="A1563" t="s">
        <v>4180</v>
      </c>
      <c r="B1563" s="13">
        <v>45856</v>
      </c>
      <c r="C1563">
        <v>2025</v>
      </c>
      <c r="D1563">
        <v>7</v>
      </c>
      <c r="E1563" t="s">
        <v>4046</v>
      </c>
      <c r="F1563" t="s">
        <v>4047</v>
      </c>
      <c r="G1563" t="s">
        <v>1663</v>
      </c>
      <c r="H1563" t="s">
        <v>1664</v>
      </c>
      <c r="I1563" t="s">
        <v>86</v>
      </c>
      <c r="J1563">
        <v>25</v>
      </c>
      <c r="K1563" t="s">
        <v>80</v>
      </c>
      <c r="L1563" t="s">
        <v>2661</v>
      </c>
      <c r="M1563" t="s">
        <v>58</v>
      </c>
      <c r="N1563" t="s">
        <v>2657</v>
      </c>
      <c r="O1563" t="s">
        <v>134</v>
      </c>
      <c r="P1563" t="s">
        <v>49</v>
      </c>
      <c r="Q1563" t="s">
        <v>140</v>
      </c>
      <c r="R1563">
        <v>1</v>
      </c>
      <c r="S1563">
        <v>599</v>
      </c>
      <c r="T1563">
        <v>0.1</v>
      </c>
      <c r="U1563">
        <v>539.1</v>
      </c>
      <c r="V1563">
        <v>250</v>
      </c>
      <c r="W1563">
        <v>289.10000000000002</v>
      </c>
      <c r="X1563" t="s">
        <v>74</v>
      </c>
      <c r="Y1563" t="s">
        <v>68</v>
      </c>
      <c r="Z1563" t="s">
        <v>160</v>
      </c>
      <c r="AA1563" t="s">
        <v>170</v>
      </c>
      <c r="AB1563">
        <v>4.2</v>
      </c>
      <c r="AC1563">
        <v>120</v>
      </c>
      <c r="AD1563">
        <v>59.87</v>
      </c>
      <c r="AE1563">
        <f t="shared" si="48"/>
        <v>109.23000000000002</v>
      </c>
      <c r="AF1563" t="str">
        <f t="shared" si="49"/>
        <v>2025-07</v>
      </c>
      <c r="AG1563">
        <f>SUBTOTAL(103,A1563)</f>
        <v>1</v>
      </c>
    </row>
    <row r="1564" spans="1:33" x14ac:dyDescent="0.3">
      <c r="A1564" t="s">
        <v>4181</v>
      </c>
      <c r="B1564" s="13">
        <v>45856</v>
      </c>
      <c r="C1564">
        <v>2025</v>
      </c>
      <c r="D1564">
        <v>7</v>
      </c>
      <c r="E1564" t="s">
        <v>4046</v>
      </c>
      <c r="F1564" t="s">
        <v>4047</v>
      </c>
      <c r="G1564" t="s">
        <v>1137</v>
      </c>
      <c r="H1564" t="s">
        <v>1138</v>
      </c>
      <c r="I1564" t="s">
        <v>86</v>
      </c>
      <c r="J1564">
        <v>44</v>
      </c>
      <c r="K1564" t="s">
        <v>82</v>
      </c>
      <c r="L1564" t="s">
        <v>100</v>
      </c>
      <c r="M1564" t="s">
        <v>56</v>
      </c>
      <c r="N1564" t="s">
        <v>2657</v>
      </c>
      <c r="O1564" t="s">
        <v>134</v>
      </c>
      <c r="P1564" t="s">
        <v>49</v>
      </c>
      <c r="Q1564" t="s">
        <v>140</v>
      </c>
      <c r="R1564">
        <v>1</v>
      </c>
      <c r="S1564">
        <v>599</v>
      </c>
      <c r="T1564">
        <v>0</v>
      </c>
      <c r="U1564">
        <v>599</v>
      </c>
      <c r="V1564">
        <v>250</v>
      </c>
      <c r="W1564">
        <v>349</v>
      </c>
      <c r="X1564" t="s">
        <v>75</v>
      </c>
      <c r="Y1564" t="s">
        <v>68</v>
      </c>
      <c r="Z1564" t="s">
        <v>162</v>
      </c>
      <c r="AA1564" t="s">
        <v>169</v>
      </c>
      <c r="AB1564">
        <v>4</v>
      </c>
      <c r="AC1564">
        <v>40</v>
      </c>
      <c r="AD1564">
        <v>24.71</v>
      </c>
      <c r="AE1564">
        <f t="shared" si="48"/>
        <v>284.29000000000002</v>
      </c>
      <c r="AF1564" t="str">
        <f t="shared" si="49"/>
        <v>2025-07</v>
      </c>
      <c r="AG1564">
        <f>SUBTOTAL(103,A1564)</f>
        <v>1</v>
      </c>
    </row>
    <row r="1565" spans="1:33" x14ac:dyDescent="0.3">
      <c r="A1565" t="s">
        <v>4182</v>
      </c>
      <c r="B1565" s="13">
        <v>45856</v>
      </c>
      <c r="C1565">
        <v>2025</v>
      </c>
      <c r="D1565">
        <v>7</v>
      </c>
      <c r="E1565" t="s">
        <v>4046</v>
      </c>
      <c r="F1565" t="s">
        <v>4047</v>
      </c>
      <c r="G1565" t="s">
        <v>585</v>
      </c>
      <c r="H1565" t="s">
        <v>586</v>
      </c>
      <c r="I1565" t="s">
        <v>86</v>
      </c>
      <c r="J1565">
        <v>48</v>
      </c>
      <c r="K1565" t="s">
        <v>83</v>
      </c>
      <c r="L1565" t="s">
        <v>99</v>
      </c>
      <c r="M1565" t="s">
        <v>58</v>
      </c>
      <c r="N1565" t="s">
        <v>2587</v>
      </c>
      <c r="O1565" t="s">
        <v>116</v>
      </c>
      <c r="P1565" t="s">
        <v>48</v>
      </c>
      <c r="Q1565" t="s">
        <v>138</v>
      </c>
      <c r="R1565">
        <v>3</v>
      </c>
      <c r="S1565">
        <v>14999</v>
      </c>
      <c r="T1565">
        <v>0.1</v>
      </c>
      <c r="U1565">
        <v>40497.300000000003</v>
      </c>
      <c r="V1565">
        <v>33600</v>
      </c>
      <c r="W1565">
        <v>6897.3</v>
      </c>
      <c r="X1565" t="s">
        <v>73</v>
      </c>
      <c r="Y1565" t="s">
        <v>69</v>
      </c>
      <c r="Z1565" t="s">
        <v>159</v>
      </c>
      <c r="AA1565" t="s">
        <v>167</v>
      </c>
      <c r="AB1565">
        <v>4.5999999999999996</v>
      </c>
      <c r="AC1565">
        <v>50</v>
      </c>
      <c r="AD1565">
        <v>4314.5</v>
      </c>
      <c r="AE1565">
        <f t="shared" si="48"/>
        <v>2532.8000000000002</v>
      </c>
      <c r="AF1565" t="str">
        <f t="shared" si="49"/>
        <v>2025-07</v>
      </c>
      <c r="AG1565">
        <f>SUBTOTAL(103,A1565)</f>
        <v>1</v>
      </c>
    </row>
    <row r="1566" spans="1:33" x14ac:dyDescent="0.3">
      <c r="A1566" t="s">
        <v>4183</v>
      </c>
      <c r="B1566" s="13">
        <v>45856</v>
      </c>
      <c r="C1566">
        <v>2025</v>
      </c>
      <c r="D1566">
        <v>7</v>
      </c>
      <c r="E1566" t="s">
        <v>4046</v>
      </c>
      <c r="F1566" t="s">
        <v>4047</v>
      </c>
      <c r="G1566" t="s">
        <v>999</v>
      </c>
      <c r="H1566" t="s">
        <v>1000</v>
      </c>
      <c r="I1566" t="s">
        <v>86</v>
      </c>
      <c r="J1566">
        <v>25</v>
      </c>
      <c r="K1566" t="s">
        <v>80</v>
      </c>
      <c r="L1566" t="s">
        <v>59</v>
      </c>
      <c r="M1566" t="s">
        <v>59</v>
      </c>
      <c r="N1566" t="s">
        <v>2577</v>
      </c>
      <c r="O1566" t="s">
        <v>129</v>
      </c>
      <c r="P1566" t="s">
        <v>49</v>
      </c>
      <c r="Q1566" t="s">
        <v>149</v>
      </c>
      <c r="R1566">
        <v>4</v>
      </c>
      <c r="S1566">
        <v>1299</v>
      </c>
      <c r="T1566">
        <v>0.1</v>
      </c>
      <c r="U1566">
        <v>4676.3999999999996</v>
      </c>
      <c r="V1566">
        <v>2600</v>
      </c>
      <c r="W1566">
        <v>2076.4</v>
      </c>
      <c r="X1566" t="s">
        <v>75</v>
      </c>
      <c r="Y1566" t="s">
        <v>68</v>
      </c>
      <c r="Z1566" t="s">
        <v>161</v>
      </c>
      <c r="AA1566" t="s">
        <v>171</v>
      </c>
      <c r="AB1566">
        <v>4.3</v>
      </c>
      <c r="AC1566">
        <v>60</v>
      </c>
      <c r="AD1566">
        <v>399.25</v>
      </c>
      <c r="AE1566">
        <f t="shared" si="48"/>
        <v>1617.15</v>
      </c>
      <c r="AF1566" t="str">
        <f t="shared" si="49"/>
        <v>2025-07</v>
      </c>
      <c r="AG1566">
        <f>SUBTOTAL(103,A1566)</f>
        <v>1</v>
      </c>
    </row>
    <row r="1567" spans="1:33" x14ac:dyDescent="0.3">
      <c r="A1567" t="s">
        <v>4184</v>
      </c>
      <c r="B1567" s="13">
        <v>45856</v>
      </c>
      <c r="C1567">
        <v>2025</v>
      </c>
      <c r="D1567">
        <v>7</v>
      </c>
      <c r="E1567" t="s">
        <v>4046</v>
      </c>
      <c r="F1567" t="s">
        <v>4047</v>
      </c>
      <c r="G1567" t="s">
        <v>1011</v>
      </c>
      <c r="H1567" t="s">
        <v>1012</v>
      </c>
      <c r="I1567" t="s">
        <v>85</v>
      </c>
      <c r="J1567">
        <v>33</v>
      </c>
      <c r="K1567" t="s">
        <v>81</v>
      </c>
      <c r="L1567" t="s">
        <v>2586</v>
      </c>
      <c r="M1567" t="s">
        <v>62</v>
      </c>
      <c r="N1567" t="s">
        <v>2626</v>
      </c>
      <c r="O1567" t="s">
        <v>125</v>
      </c>
      <c r="P1567" t="s">
        <v>48</v>
      </c>
      <c r="Q1567" t="s">
        <v>141</v>
      </c>
      <c r="R1567">
        <v>4</v>
      </c>
      <c r="S1567">
        <v>1999</v>
      </c>
      <c r="T1567">
        <v>0</v>
      </c>
      <c r="U1567">
        <v>7996</v>
      </c>
      <c r="V1567">
        <v>4600</v>
      </c>
      <c r="W1567">
        <v>3396</v>
      </c>
      <c r="X1567" t="s">
        <v>76</v>
      </c>
      <c r="Y1567" t="s">
        <v>68</v>
      </c>
      <c r="Z1567" t="s">
        <v>159</v>
      </c>
      <c r="AA1567" t="s">
        <v>169</v>
      </c>
      <c r="AB1567">
        <v>4.0999999999999996</v>
      </c>
      <c r="AC1567">
        <v>60</v>
      </c>
      <c r="AD1567">
        <v>171.16</v>
      </c>
      <c r="AE1567">
        <f t="shared" si="48"/>
        <v>3164.84</v>
      </c>
      <c r="AF1567" t="str">
        <f t="shared" si="49"/>
        <v>2025-07</v>
      </c>
      <c r="AG1567">
        <f>SUBTOTAL(103,A1567)</f>
        <v>1</v>
      </c>
    </row>
    <row r="1568" spans="1:33" x14ac:dyDescent="0.3">
      <c r="A1568" t="s">
        <v>4185</v>
      </c>
      <c r="B1568" s="13">
        <v>45857</v>
      </c>
      <c r="C1568">
        <v>2025</v>
      </c>
      <c r="D1568">
        <v>7</v>
      </c>
      <c r="E1568" t="s">
        <v>4046</v>
      </c>
      <c r="F1568" t="s">
        <v>4047</v>
      </c>
      <c r="G1568" t="s">
        <v>2243</v>
      </c>
      <c r="H1568" t="s">
        <v>2244</v>
      </c>
      <c r="I1568" t="s">
        <v>85</v>
      </c>
      <c r="J1568">
        <v>51</v>
      </c>
      <c r="K1568" t="s">
        <v>83</v>
      </c>
      <c r="L1568" t="s">
        <v>93</v>
      </c>
      <c r="M1568" t="s">
        <v>55</v>
      </c>
      <c r="N1568" t="s">
        <v>2577</v>
      </c>
      <c r="O1568" t="s">
        <v>129</v>
      </c>
      <c r="P1568" t="s">
        <v>49</v>
      </c>
      <c r="Q1568" t="s">
        <v>149</v>
      </c>
      <c r="R1568">
        <v>1</v>
      </c>
      <c r="S1568">
        <v>1299</v>
      </c>
      <c r="T1568">
        <v>0.1</v>
      </c>
      <c r="U1568">
        <v>1169.0999999999999</v>
      </c>
      <c r="V1568">
        <v>650</v>
      </c>
      <c r="W1568">
        <v>519.1</v>
      </c>
      <c r="X1568" t="s">
        <v>73</v>
      </c>
      <c r="Y1568" t="s">
        <v>69</v>
      </c>
      <c r="Z1568" t="s">
        <v>159</v>
      </c>
      <c r="AA1568" t="s">
        <v>170</v>
      </c>
      <c r="AB1568">
        <v>3.1</v>
      </c>
      <c r="AC1568">
        <v>40</v>
      </c>
      <c r="AD1568">
        <v>109.49</v>
      </c>
      <c r="AE1568">
        <f t="shared" si="48"/>
        <v>369.61</v>
      </c>
      <c r="AF1568" t="str">
        <f t="shared" si="49"/>
        <v>2025-07</v>
      </c>
      <c r="AG1568">
        <f>SUBTOTAL(103,A1568)</f>
        <v>1</v>
      </c>
    </row>
    <row r="1569" spans="1:33" x14ac:dyDescent="0.3">
      <c r="A1569" t="s">
        <v>4186</v>
      </c>
      <c r="B1569" s="13">
        <v>45857</v>
      </c>
      <c r="C1569">
        <v>2025</v>
      </c>
      <c r="D1569">
        <v>7</v>
      </c>
      <c r="E1569" t="s">
        <v>4046</v>
      </c>
      <c r="F1569" t="s">
        <v>4047</v>
      </c>
      <c r="G1569" t="s">
        <v>1025</v>
      </c>
      <c r="H1569" t="s">
        <v>1026</v>
      </c>
      <c r="I1569" t="s">
        <v>86</v>
      </c>
      <c r="J1569">
        <v>23</v>
      </c>
      <c r="K1569" t="s">
        <v>80</v>
      </c>
      <c r="L1569" t="s">
        <v>59</v>
      </c>
      <c r="M1569" t="s">
        <v>59</v>
      </c>
      <c r="N1569" t="s">
        <v>2657</v>
      </c>
      <c r="O1569" t="s">
        <v>134</v>
      </c>
      <c r="P1569" t="s">
        <v>49</v>
      </c>
      <c r="Q1569" t="s">
        <v>140</v>
      </c>
      <c r="R1569">
        <v>1</v>
      </c>
      <c r="S1569">
        <v>599</v>
      </c>
      <c r="T1569">
        <v>0.25</v>
      </c>
      <c r="U1569">
        <v>449.25</v>
      </c>
      <c r="V1569">
        <v>250</v>
      </c>
      <c r="W1569">
        <v>199.25</v>
      </c>
      <c r="X1569" t="s">
        <v>74</v>
      </c>
      <c r="Y1569" t="s">
        <v>68</v>
      </c>
      <c r="Z1569" t="s">
        <v>161</v>
      </c>
      <c r="AA1569" t="s">
        <v>166</v>
      </c>
      <c r="AB1569">
        <v>3.8</v>
      </c>
      <c r="AC1569">
        <v>50</v>
      </c>
      <c r="AD1569">
        <v>50.93</v>
      </c>
      <c r="AE1569">
        <f t="shared" si="48"/>
        <v>98.32</v>
      </c>
      <c r="AF1569" t="str">
        <f t="shared" si="49"/>
        <v>2025-07</v>
      </c>
      <c r="AG1569">
        <f>SUBTOTAL(103,A1569)</f>
        <v>1</v>
      </c>
    </row>
    <row r="1570" spans="1:33" x14ac:dyDescent="0.3">
      <c r="A1570" t="s">
        <v>4187</v>
      </c>
      <c r="B1570" s="13">
        <v>45857</v>
      </c>
      <c r="C1570">
        <v>2025</v>
      </c>
      <c r="D1570">
        <v>7</v>
      </c>
      <c r="E1570" t="s">
        <v>4046</v>
      </c>
      <c r="F1570" t="s">
        <v>4047</v>
      </c>
      <c r="G1570" t="s">
        <v>621</v>
      </c>
      <c r="H1570" t="s">
        <v>622</v>
      </c>
      <c r="I1570" t="s">
        <v>85</v>
      </c>
      <c r="J1570">
        <v>54</v>
      </c>
      <c r="K1570" t="s">
        <v>83</v>
      </c>
      <c r="L1570" t="s">
        <v>100</v>
      </c>
      <c r="M1570" t="s">
        <v>56</v>
      </c>
      <c r="N1570" t="s">
        <v>2587</v>
      </c>
      <c r="O1570" t="s">
        <v>116</v>
      </c>
      <c r="P1570" t="s">
        <v>48</v>
      </c>
      <c r="Q1570" t="s">
        <v>138</v>
      </c>
      <c r="R1570">
        <v>1</v>
      </c>
      <c r="S1570">
        <v>14999</v>
      </c>
      <c r="T1570">
        <v>0.1</v>
      </c>
      <c r="U1570">
        <v>13499.1</v>
      </c>
      <c r="V1570">
        <v>11200</v>
      </c>
      <c r="W1570">
        <v>2299.1</v>
      </c>
      <c r="X1570" t="s">
        <v>73</v>
      </c>
      <c r="Y1570" t="s">
        <v>68</v>
      </c>
      <c r="Z1570" t="s">
        <v>162</v>
      </c>
      <c r="AA1570" t="s">
        <v>167</v>
      </c>
      <c r="AB1570">
        <v>4.0999999999999996</v>
      </c>
      <c r="AC1570">
        <v>50</v>
      </c>
      <c r="AD1570">
        <v>278.5</v>
      </c>
      <c r="AE1570">
        <f t="shared" si="48"/>
        <v>1970.6</v>
      </c>
      <c r="AF1570" t="str">
        <f t="shared" si="49"/>
        <v>2025-07</v>
      </c>
      <c r="AG1570">
        <f>SUBTOTAL(103,A1570)</f>
        <v>1</v>
      </c>
    </row>
    <row r="1571" spans="1:33" x14ac:dyDescent="0.3">
      <c r="A1571" t="s">
        <v>4188</v>
      </c>
      <c r="B1571" s="13">
        <v>45857</v>
      </c>
      <c r="C1571">
        <v>2025</v>
      </c>
      <c r="D1571">
        <v>7</v>
      </c>
      <c r="E1571" t="s">
        <v>4046</v>
      </c>
      <c r="F1571" t="s">
        <v>4047</v>
      </c>
      <c r="G1571" t="s">
        <v>409</v>
      </c>
      <c r="H1571" t="s">
        <v>410</v>
      </c>
      <c r="I1571" t="s">
        <v>85</v>
      </c>
      <c r="J1571">
        <v>31</v>
      </c>
      <c r="K1571" t="s">
        <v>81</v>
      </c>
      <c r="L1571" t="s">
        <v>2573</v>
      </c>
      <c r="M1571" t="s">
        <v>63</v>
      </c>
      <c r="N1571" t="s">
        <v>2587</v>
      </c>
      <c r="O1571" t="s">
        <v>116</v>
      </c>
      <c r="P1571" t="s">
        <v>48</v>
      </c>
      <c r="Q1571" t="s">
        <v>138</v>
      </c>
      <c r="R1571">
        <v>2</v>
      </c>
      <c r="S1571">
        <v>14999</v>
      </c>
      <c r="T1571">
        <v>0.25</v>
      </c>
      <c r="U1571">
        <v>22498.5</v>
      </c>
      <c r="V1571">
        <v>22400</v>
      </c>
      <c r="W1571">
        <v>98.5</v>
      </c>
      <c r="X1571" t="s">
        <v>75</v>
      </c>
      <c r="Y1571" t="s">
        <v>68</v>
      </c>
      <c r="Z1571" t="s">
        <v>158</v>
      </c>
      <c r="AA1571" t="s">
        <v>167</v>
      </c>
      <c r="AB1571">
        <v>5</v>
      </c>
      <c r="AC1571">
        <v>60</v>
      </c>
      <c r="AD1571">
        <v>1207.3</v>
      </c>
      <c r="AE1571">
        <f t="shared" si="48"/>
        <v>-1168.8</v>
      </c>
      <c r="AF1571" t="str">
        <f t="shared" si="49"/>
        <v>2025-07</v>
      </c>
      <c r="AG1571">
        <f>SUBTOTAL(103,A1571)</f>
        <v>1</v>
      </c>
    </row>
    <row r="1572" spans="1:33" x14ac:dyDescent="0.3">
      <c r="A1572" t="s">
        <v>4189</v>
      </c>
      <c r="B1572" s="13">
        <v>45857</v>
      </c>
      <c r="C1572">
        <v>2025</v>
      </c>
      <c r="D1572">
        <v>7</v>
      </c>
      <c r="E1572" t="s">
        <v>4046</v>
      </c>
      <c r="F1572" t="s">
        <v>4047</v>
      </c>
      <c r="G1572" t="s">
        <v>1859</v>
      </c>
      <c r="H1572" t="s">
        <v>1860</v>
      </c>
      <c r="I1572" t="s">
        <v>85</v>
      </c>
      <c r="J1572">
        <v>59</v>
      </c>
      <c r="K1572" t="s">
        <v>83</v>
      </c>
      <c r="L1572" t="s">
        <v>94</v>
      </c>
      <c r="M1572" t="s">
        <v>57</v>
      </c>
      <c r="N1572" t="s">
        <v>2626</v>
      </c>
      <c r="O1572" t="s">
        <v>125</v>
      </c>
      <c r="P1572" t="s">
        <v>48</v>
      </c>
      <c r="Q1572" t="s">
        <v>141</v>
      </c>
      <c r="R1572">
        <v>2</v>
      </c>
      <c r="S1572">
        <v>1999</v>
      </c>
      <c r="T1572">
        <v>0.1</v>
      </c>
      <c r="U1572">
        <v>3598.2</v>
      </c>
      <c r="V1572">
        <v>2300</v>
      </c>
      <c r="W1572">
        <v>1298.2</v>
      </c>
      <c r="X1572" t="s">
        <v>76</v>
      </c>
      <c r="Y1572" t="s">
        <v>68</v>
      </c>
      <c r="Z1572" t="s">
        <v>161</v>
      </c>
      <c r="AA1572" t="s">
        <v>169</v>
      </c>
      <c r="AB1572">
        <v>3.6</v>
      </c>
      <c r="AC1572">
        <v>80</v>
      </c>
      <c r="AD1572">
        <v>290.13</v>
      </c>
      <c r="AE1572">
        <f t="shared" si="48"/>
        <v>928.07</v>
      </c>
      <c r="AF1572" t="str">
        <f t="shared" si="49"/>
        <v>2025-07</v>
      </c>
      <c r="AG1572">
        <f>SUBTOTAL(103,A1572)</f>
        <v>1</v>
      </c>
    </row>
    <row r="1573" spans="1:33" x14ac:dyDescent="0.3">
      <c r="A1573" t="s">
        <v>4190</v>
      </c>
      <c r="B1573" s="13">
        <v>45857</v>
      </c>
      <c r="C1573">
        <v>2025</v>
      </c>
      <c r="D1573">
        <v>7</v>
      </c>
      <c r="E1573" t="s">
        <v>4046</v>
      </c>
      <c r="F1573" t="s">
        <v>4047</v>
      </c>
      <c r="G1573" t="s">
        <v>763</v>
      </c>
      <c r="H1573" t="s">
        <v>764</v>
      </c>
      <c r="I1573" t="s">
        <v>85</v>
      </c>
      <c r="J1573">
        <v>58</v>
      </c>
      <c r="K1573" t="s">
        <v>83</v>
      </c>
      <c r="L1573" t="s">
        <v>2634</v>
      </c>
      <c r="M1573" t="s">
        <v>56</v>
      </c>
      <c r="N1573" t="s">
        <v>2657</v>
      </c>
      <c r="O1573" t="s">
        <v>134</v>
      </c>
      <c r="P1573" t="s">
        <v>49</v>
      </c>
      <c r="Q1573" t="s">
        <v>140</v>
      </c>
      <c r="R1573">
        <v>3</v>
      </c>
      <c r="S1573">
        <v>599</v>
      </c>
      <c r="T1573">
        <v>0.1</v>
      </c>
      <c r="U1573">
        <v>1617.3</v>
      </c>
      <c r="V1573">
        <v>750</v>
      </c>
      <c r="W1573">
        <v>867.3</v>
      </c>
      <c r="X1573" t="s">
        <v>75</v>
      </c>
      <c r="Y1573" t="s">
        <v>68</v>
      </c>
      <c r="Z1573" t="s">
        <v>161</v>
      </c>
      <c r="AA1573" t="s">
        <v>167</v>
      </c>
      <c r="AB1573">
        <v>5</v>
      </c>
      <c r="AC1573">
        <v>50</v>
      </c>
      <c r="AD1573">
        <v>119.39</v>
      </c>
      <c r="AE1573">
        <f t="shared" si="48"/>
        <v>697.91</v>
      </c>
      <c r="AF1573" t="str">
        <f t="shared" si="49"/>
        <v>2025-07</v>
      </c>
      <c r="AG1573">
        <f>SUBTOTAL(103,A1573)</f>
        <v>1</v>
      </c>
    </row>
    <row r="1574" spans="1:33" x14ac:dyDescent="0.3">
      <c r="A1574" t="s">
        <v>4191</v>
      </c>
      <c r="B1574" s="13">
        <v>45857</v>
      </c>
      <c r="C1574">
        <v>2025</v>
      </c>
      <c r="D1574">
        <v>7</v>
      </c>
      <c r="E1574" t="s">
        <v>4046</v>
      </c>
      <c r="F1574" t="s">
        <v>4047</v>
      </c>
      <c r="G1574" t="s">
        <v>1705</v>
      </c>
      <c r="H1574" t="s">
        <v>1706</v>
      </c>
      <c r="I1574" t="s">
        <v>85</v>
      </c>
      <c r="J1574">
        <v>48</v>
      </c>
      <c r="K1574" t="s">
        <v>83</v>
      </c>
      <c r="L1574" t="s">
        <v>92</v>
      </c>
      <c r="M1574" t="s">
        <v>59</v>
      </c>
      <c r="N1574" t="s">
        <v>2577</v>
      </c>
      <c r="O1574" t="s">
        <v>129</v>
      </c>
      <c r="P1574" t="s">
        <v>49</v>
      </c>
      <c r="Q1574" t="s">
        <v>149</v>
      </c>
      <c r="R1574">
        <v>3</v>
      </c>
      <c r="S1574">
        <v>1299</v>
      </c>
      <c r="T1574">
        <v>0.2</v>
      </c>
      <c r="U1574">
        <v>3117.6</v>
      </c>
      <c r="V1574">
        <v>1950</v>
      </c>
      <c r="W1574">
        <v>1167.5999999999999</v>
      </c>
      <c r="X1574" t="s">
        <v>73</v>
      </c>
      <c r="Y1574" t="s">
        <v>68</v>
      </c>
      <c r="Z1574" t="s">
        <v>158</v>
      </c>
      <c r="AA1574" t="s">
        <v>168</v>
      </c>
      <c r="AB1574">
        <v>4</v>
      </c>
      <c r="AC1574">
        <v>100</v>
      </c>
      <c r="AD1574">
        <v>259.72000000000003</v>
      </c>
      <c r="AE1574">
        <f t="shared" si="48"/>
        <v>807.87999999999988</v>
      </c>
      <c r="AF1574" t="str">
        <f t="shared" si="49"/>
        <v>2025-07</v>
      </c>
      <c r="AG1574">
        <f>SUBTOTAL(103,A1574)</f>
        <v>1</v>
      </c>
    </row>
    <row r="1575" spans="1:33" x14ac:dyDescent="0.3">
      <c r="A1575" t="s">
        <v>4192</v>
      </c>
      <c r="B1575" s="13">
        <v>45857</v>
      </c>
      <c r="C1575">
        <v>2025</v>
      </c>
      <c r="D1575">
        <v>7</v>
      </c>
      <c r="E1575" t="s">
        <v>4046</v>
      </c>
      <c r="F1575" t="s">
        <v>4047</v>
      </c>
      <c r="G1575" t="s">
        <v>1651</v>
      </c>
      <c r="H1575" t="s">
        <v>1652</v>
      </c>
      <c r="I1575" t="s">
        <v>86</v>
      </c>
      <c r="J1575">
        <v>36</v>
      </c>
      <c r="K1575" t="s">
        <v>82</v>
      </c>
      <c r="L1575" t="s">
        <v>2661</v>
      </c>
      <c r="M1575" t="s">
        <v>58</v>
      </c>
      <c r="N1575" t="s">
        <v>2647</v>
      </c>
      <c r="O1575" t="s">
        <v>133</v>
      </c>
      <c r="P1575" t="s">
        <v>50</v>
      </c>
      <c r="Q1575" t="s">
        <v>145</v>
      </c>
      <c r="R1575">
        <v>1</v>
      </c>
      <c r="S1575">
        <v>799</v>
      </c>
      <c r="T1575">
        <v>0.1</v>
      </c>
      <c r="U1575">
        <v>719.1</v>
      </c>
      <c r="V1575">
        <v>390</v>
      </c>
      <c r="W1575">
        <v>329.1</v>
      </c>
      <c r="X1575" t="s">
        <v>73</v>
      </c>
      <c r="Y1575" t="s">
        <v>68</v>
      </c>
      <c r="Z1575" t="s">
        <v>163</v>
      </c>
      <c r="AA1575" t="s">
        <v>170</v>
      </c>
      <c r="AB1575">
        <v>4.5</v>
      </c>
      <c r="AC1575">
        <v>40</v>
      </c>
      <c r="AD1575">
        <v>49.29</v>
      </c>
      <c r="AE1575">
        <f t="shared" si="48"/>
        <v>239.81000000000003</v>
      </c>
      <c r="AF1575" t="str">
        <f t="shared" si="49"/>
        <v>2025-07</v>
      </c>
      <c r="AG1575">
        <f>SUBTOTAL(103,A1575)</f>
        <v>1</v>
      </c>
    </row>
    <row r="1576" spans="1:33" x14ac:dyDescent="0.3">
      <c r="A1576" t="s">
        <v>4193</v>
      </c>
      <c r="B1576" s="13">
        <v>45857</v>
      </c>
      <c r="C1576">
        <v>2025</v>
      </c>
      <c r="D1576">
        <v>7</v>
      </c>
      <c r="E1576" t="s">
        <v>4046</v>
      </c>
      <c r="F1576" t="s">
        <v>4047</v>
      </c>
      <c r="G1576" t="s">
        <v>1195</v>
      </c>
      <c r="H1576" t="s">
        <v>1196</v>
      </c>
      <c r="I1576" t="s">
        <v>85</v>
      </c>
      <c r="J1576">
        <v>36</v>
      </c>
      <c r="K1576" t="s">
        <v>82</v>
      </c>
      <c r="L1576" t="s">
        <v>2679</v>
      </c>
      <c r="M1576" t="s">
        <v>60</v>
      </c>
      <c r="N1576" t="s">
        <v>2574</v>
      </c>
      <c r="O1576" t="s">
        <v>130</v>
      </c>
      <c r="P1576" t="s">
        <v>50</v>
      </c>
      <c r="Q1576" t="s">
        <v>53</v>
      </c>
      <c r="R1576">
        <v>1</v>
      </c>
      <c r="S1576">
        <v>1199</v>
      </c>
      <c r="T1576">
        <v>0</v>
      </c>
      <c r="U1576">
        <v>1199</v>
      </c>
      <c r="V1576">
        <v>550</v>
      </c>
      <c r="W1576">
        <v>649</v>
      </c>
      <c r="X1576" t="s">
        <v>75</v>
      </c>
      <c r="Y1576" t="s">
        <v>68</v>
      </c>
      <c r="Z1576" t="s">
        <v>159</v>
      </c>
      <c r="AA1576" t="s">
        <v>167</v>
      </c>
      <c r="AB1576">
        <v>3.3</v>
      </c>
      <c r="AC1576">
        <v>100</v>
      </c>
      <c r="AD1576">
        <v>81.88</v>
      </c>
      <c r="AE1576">
        <f t="shared" si="48"/>
        <v>467.12</v>
      </c>
      <c r="AF1576" t="str">
        <f t="shared" si="49"/>
        <v>2025-07</v>
      </c>
      <c r="AG1576">
        <f>SUBTOTAL(103,A1576)</f>
        <v>1</v>
      </c>
    </row>
    <row r="1577" spans="1:33" x14ac:dyDescent="0.3">
      <c r="A1577" t="s">
        <v>4194</v>
      </c>
      <c r="B1577" s="13">
        <v>45857</v>
      </c>
      <c r="C1577">
        <v>2025</v>
      </c>
      <c r="D1577">
        <v>7</v>
      </c>
      <c r="E1577" t="s">
        <v>4046</v>
      </c>
      <c r="F1577" t="s">
        <v>4047</v>
      </c>
      <c r="G1577" t="s">
        <v>1875</v>
      </c>
      <c r="H1577" t="s">
        <v>1876</v>
      </c>
      <c r="I1577" t="s">
        <v>85</v>
      </c>
      <c r="J1577">
        <v>35</v>
      </c>
      <c r="K1577" t="s">
        <v>81</v>
      </c>
      <c r="L1577" t="s">
        <v>2605</v>
      </c>
      <c r="M1577" t="s">
        <v>60</v>
      </c>
      <c r="N1577" t="s">
        <v>2577</v>
      </c>
      <c r="O1577" t="s">
        <v>129</v>
      </c>
      <c r="P1577" t="s">
        <v>49</v>
      </c>
      <c r="Q1577" t="s">
        <v>149</v>
      </c>
      <c r="R1577">
        <v>2</v>
      </c>
      <c r="S1577">
        <v>1299</v>
      </c>
      <c r="T1577">
        <v>0.05</v>
      </c>
      <c r="U1577">
        <v>2468.1</v>
      </c>
      <c r="V1577">
        <v>1300</v>
      </c>
      <c r="W1577">
        <v>1168.0999999999999</v>
      </c>
      <c r="X1577" t="s">
        <v>76</v>
      </c>
      <c r="Y1577" t="s">
        <v>68</v>
      </c>
      <c r="Z1577" t="s">
        <v>161</v>
      </c>
      <c r="AA1577" t="s">
        <v>167</v>
      </c>
      <c r="AB1577">
        <v>4.2</v>
      </c>
      <c r="AC1577">
        <v>60</v>
      </c>
      <c r="AD1577">
        <v>125.63</v>
      </c>
      <c r="AE1577">
        <f t="shared" si="48"/>
        <v>982.46999999999991</v>
      </c>
      <c r="AF1577" t="str">
        <f t="shared" si="49"/>
        <v>2025-07</v>
      </c>
      <c r="AG1577">
        <f>SUBTOTAL(103,A1577)</f>
        <v>1</v>
      </c>
    </row>
    <row r="1578" spans="1:33" x14ac:dyDescent="0.3">
      <c r="A1578" t="s">
        <v>4195</v>
      </c>
      <c r="B1578" s="13">
        <v>45857</v>
      </c>
      <c r="C1578">
        <v>2025</v>
      </c>
      <c r="D1578">
        <v>7</v>
      </c>
      <c r="E1578" t="s">
        <v>4046</v>
      </c>
      <c r="F1578" t="s">
        <v>4047</v>
      </c>
      <c r="G1578" t="s">
        <v>2063</v>
      </c>
      <c r="H1578" t="s">
        <v>2064</v>
      </c>
      <c r="I1578" t="s">
        <v>85</v>
      </c>
      <c r="J1578">
        <v>30</v>
      </c>
      <c r="K1578" t="s">
        <v>81</v>
      </c>
      <c r="L1578" t="s">
        <v>95</v>
      </c>
      <c r="M1578" t="s">
        <v>56</v>
      </c>
      <c r="N1578" t="s">
        <v>2657</v>
      </c>
      <c r="O1578" t="s">
        <v>134</v>
      </c>
      <c r="P1578" t="s">
        <v>49</v>
      </c>
      <c r="Q1578" t="s">
        <v>140</v>
      </c>
      <c r="R1578">
        <v>4</v>
      </c>
      <c r="S1578">
        <v>599</v>
      </c>
      <c r="T1578">
        <v>0.2</v>
      </c>
      <c r="U1578">
        <v>1916.8</v>
      </c>
      <c r="V1578">
        <v>1000</v>
      </c>
      <c r="W1578">
        <v>916.8</v>
      </c>
      <c r="X1578" t="s">
        <v>73</v>
      </c>
      <c r="Y1578" t="s">
        <v>68</v>
      </c>
      <c r="Z1578" t="s">
        <v>158</v>
      </c>
      <c r="AA1578" t="s">
        <v>167</v>
      </c>
      <c r="AB1578">
        <v>4.0999999999999996</v>
      </c>
      <c r="AC1578">
        <v>100</v>
      </c>
      <c r="AD1578">
        <v>61.75</v>
      </c>
      <c r="AE1578">
        <f t="shared" si="48"/>
        <v>755.05</v>
      </c>
      <c r="AF1578" t="str">
        <f t="shared" si="49"/>
        <v>2025-07</v>
      </c>
      <c r="AG1578">
        <f>SUBTOTAL(103,A1578)</f>
        <v>1</v>
      </c>
    </row>
    <row r="1579" spans="1:33" x14ac:dyDescent="0.3">
      <c r="A1579" t="s">
        <v>4196</v>
      </c>
      <c r="B1579" s="13">
        <v>45858</v>
      </c>
      <c r="C1579">
        <v>2025</v>
      </c>
      <c r="D1579">
        <v>7</v>
      </c>
      <c r="E1579" t="s">
        <v>4046</v>
      </c>
      <c r="F1579" t="s">
        <v>4047</v>
      </c>
      <c r="G1579" t="s">
        <v>1025</v>
      </c>
      <c r="H1579" t="s">
        <v>1026</v>
      </c>
      <c r="I1579" t="s">
        <v>86</v>
      </c>
      <c r="J1579">
        <v>23</v>
      </c>
      <c r="K1579" t="s">
        <v>80</v>
      </c>
      <c r="L1579" t="s">
        <v>59</v>
      </c>
      <c r="M1579" t="s">
        <v>59</v>
      </c>
      <c r="N1579" t="s">
        <v>2582</v>
      </c>
      <c r="O1579" t="s">
        <v>119</v>
      </c>
      <c r="P1579" t="s">
        <v>49</v>
      </c>
      <c r="Q1579" t="s">
        <v>140</v>
      </c>
      <c r="R1579">
        <v>2</v>
      </c>
      <c r="S1579">
        <v>3499</v>
      </c>
      <c r="T1579">
        <v>0.05</v>
      </c>
      <c r="U1579">
        <v>6648.1</v>
      </c>
      <c r="V1579">
        <v>4200</v>
      </c>
      <c r="W1579">
        <v>2448.1</v>
      </c>
      <c r="X1579" t="s">
        <v>73</v>
      </c>
      <c r="Y1579" t="s">
        <v>70</v>
      </c>
      <c r="Z1579" t="s">
        <v>158</v>
      </c>
      <c r="AA1579" t="s">
        <v>166</v>
      </c>
      <c r="AB1579">
        <v>4.0999999999999996</v>
      </c>
      <c r="AC1579">
        <v>100</v>
      </c>
      <c r="AD1579">
        <v>416.93</v>
      </c>
      <c r="AE1579">
        <f t="shared" si="48"/>
        <v>1931.1699999999998</v>
      </c>
      <c r="AF1579" t="str">
        <f t="shared" si="49"/>
        <v>2025-07</v>
      </c>
      <c r="AG1579">
        <f>SUBTOTAL(103,A1579)</f>
        <v>1</v>
      </c>
    </row>
    <row r="1580" spans="1:33" x14ac:dyDescent="0.3">
      <c r="A1580" t="s">
        <v>4197</v>
      </c>
      <c r="B1580" s="13">
        <v>45858</v>
      </c>
      <c r="C1580">
        <v>2025</v>
      </c>
      <c r="D1580">
        <v>7</v>
      </c>
      <c r="E1580" t="s">
        <v>4046</v>
      </c>
      <c r="F1580" t="s">
        <v>4047</v>
      </c>
      <c r="G1580" t="s">
        <v>641</v>
      </c>
      <c r="H1580" t="s">
        <v>642</v>
      </c>
      <c r="I1580" t="s">
        <v>85</v>
      </c>
      <c r="J1580">
        <v>36</v>
      </c>
      <c r="K1580" t="s">
        <v>82</v>
      </c>
      <c r="L1580" t="s">
        <v>2674</v>
      </c>
      <c r="M1580" t="s">
        <v>58</v>
      </c>
      <c r="N1580" t="s">
        <v>2606</v>
      </c>
      <c r="O1580" t="s">
        <v>120</v>
      </c>
      <c r="P1580" t="s">
        <v>49</v>
      </c>
      <c r="Q1580" t="s">
        <v>140</v>
      </c>
      <c r="R1580">
        <v>3</v>
      </c>
      <c r="S1580">
        <v>2799</v>
      </c>
      <c r="T1580">
        <v>0.2</v>
      </c>
      <c r="U1580">
        <v>6717.6</v>
      </c>
      <c r="V1580">
        <v>4950</v>
      </c>
      <c r="W1580">
        <v>1767.6</v>
      </c>
      <c r="X1580" t="s">
        <v>75</v>
      </c>
      <c r="Y1580" t="s">
        <v>69</v>
      </c>
      <c r="Z1580" t="s">
        <v>158</v>
      </c>
      <c r="AA1580" t="s">
        <v>168</v>
      </c>
      <c r="AB1580">
        <v>4</v>
      </c>
      <c r="AC1580">
        <v>100</v>
      </c>
      <c r="AD1580">
        <v>279.64999999999998</v>
      </c>
      <c r="AE1580">
        <f t="shared" si="48"/>
        <v>1387.9499999999998</v>
      </c>
      <c r="AF1580" t="str">
        <f t="shared" si="49"/>
        <v>2025-07</v>
      </c>
      <c r="AG1580">
        <f>SUBTOTAL(103,A1580)</f>
        <v>1</v>
      </c>
    </row>
    <row r="1581" spans="1:33" x14ac:dyDescent="0.3">
      <c r="A1581" t="s">
        <v>4198</v>
      </c>
      <c r="B1581" s="13">
        <v>45858</v>
      </c>
      <c r="C1581">
        <v>2025</v>
      </c>
      <c r="D1581">
        <v>7</v>
      </c>
      <c r="E1581" t="s">
        <v>4046</v>
      </c>
      <c r="F1581" t="s">
        <v>4047</v>
      </c>
      <c r="G1581" t="s">
        <v>901</v>
      </c>
      <c r="H1581" t="s">
        <v>902</v>
      </c>
      <c r="I1581" t="s">
        <v>86</v>
      </c>
      <c r="J1581">
        <v>44</v>
      </c>
      <c r="K1581" t="s">
        <v>82</v>
      </c>
      <c r="L1581" t="s">
        <v>2687</v>
      </c>
      <c r="M1581" t="s">
        <v>57</v>
      </c>
      <c r="N1581" t="s">
        <v>2603</v>
      </c>
      <c r="O1581" t="s">
        <v>122</v>
      </c>
      <c r="P1581" t="s">
        <v>48</v>
      </c>
      <c r="Q1581" t="s">
        <v>141</v>
      </c>
      <c r="R1581">
        <v>4</v>
      </c>
      <c r="S1581">
        <v>2499</v>
      </c>
      <c r="T1581">
        <v>0.2</v>
      </c>
      <c r="U1581">
        <v>7996.8</v>
      </c>
      <c r="V1581">
        <v>5800</v>
      </c>
      <c r="W1581">
        <v>2196.8000000000002</v>
      </c>
      <c r="X1581" t="s">
        <v>75</v>
      </c>
      <c r="Y1581" t="s">
        <v>69</v>
      </c>
      <c r="Z1581" t="s">
        <v>161</v>
      </c>
      <c r="AA1581" t="s">
        <v>167</v>
      </c>
      <c r="AB1581">
        <v>4.3</v>
      </c>
      <c r="AC1581">
        <v>100</v>
      </c>
      <c r="AD1581">
        <v>189.26</v>
      </c>
      <c r="AE1581">
        <f t="shared" si="48"/>
        <v>1907.5400000000002</v>
      </c>
      <c r="AF1581" t="str">
        <f t="shared" si="49"/>
        <v>2025-07</v>
      </c>
      <c r="AG1581">
        <f>SUBTOTAL(103,A1581)</f>
        <v>1</v>
      </c>
    </row>
    <row r="1582" spans="1:33" x14ac:dyDescent="0.3">
      <c r="A1582" t="s">
        <v>4199</v>
      </c>
      <c r="B1582" s="13">
        <v>45858</v>
      </c>
      <c r="C1582">
        <v>2025</v>
      </c>
      <c r="D1582">
        <v>7</v>
      </c>
      <c r="E1582" t="s">
        <v>4046</v>
      </c>
      <c r="F1582" t="s">
        <v>4047</v>
      </c>
      <c r="G1582" t="s">
        <v>349</v>
      </c>
      <c r="H1582" t="s">
        <v>350</v>
      </c>
      <c r="I1582" t="s">
        <v>85</v>
      </c>
      <c r="J1582">
        <v>39</v>
      </c>
      <c r="K1582" t="s">
        <v>82</v>
      </c>
      <c r="L1582" t="s">
        <v>91</v>
      </c>
      <c r="M1582" t="s">
        <v>55</v>
      </c>
      <c r="N1582" t="s">
        <v>2577</v>
      </c>
      <c r="O1582" t="s">
        <v>129</v>
      </c>
      <c r="P1582" t="s">
        <v>49</v>
      </c>
      <c r="Q1582" t="s">
        <v>149</v>
      </c>
      <c r="R1582">
        <v>5</v>
      </c>
      <c r="S1582">
        <v>1299</v>
      </c>
      <c r="T1582">
        <v>0.1</v>
      </c>
      <c r="U1582">
        <v>5845.5</v>
      </c>
      <c r="V1582">
        <v>3250</v>
      </c>
      <c r="W1582">
        <v>2595.5</v>
      </c>
      <c r="X1582" t="s">
        <v>73</v>
      </c>
      <c r="Y1582" t="s">
        <v>68</v>
      </c>
      <c r="Z1582" t="s">
        <v>163</v>
      </c>
      <c r="AA1582" t="s">
        <v>166</v>
      </c>
      <c r="AB1582">
        <v>3.9</v>
      </c>
      <c r="AC1582">
        <v>40</v>
      </c>
      <c r="AD1582">
        <v>603.22</v>
      </c>
      <c r="AE1582">
        <f t="shared" si="48"/>
        <v>1952.28</v>
      </c>
      <c r="AF1582" t="str">
        <f t="shared" si="49"/>
        <v>2025-07</v>
      </c>
      <c r="AG1582">
        <f>SUBTOTAL(103,A1582)</f>
        <v>1</v>
      </c>
    </row>
    <row r="1583" spans="1:33" x14ac:dyDescent="0.3">
      <c r="A1583" t="s">
        <v>4200</v>
      </c>
      <c r="B1583" s="13">
        <v>45858</v>
      </c>
      <c r="C1583">
        <v>2025</v>
      </c>
      <c r="D1583">
        <v>7</v>
      </c>
      <c r="E1583" t="s">
        <v>4046</v>
      </c>
      <c r="F1583" t="s">
        <v>4047</v>
      </c>
      <c r="G1583" t="s">
        <v>1157</v>
      </c>
      <c r="H1583" t="s">
        <v>1158</v>
      </c>
      <c r="I1583" t="s">
        <v>85</v>
      </c>
      <c r="J1583">
        <v>60</v>
      </c>
      <c r="K1583" t="s">
        <v>83</v>
      </c>
      <c r="L1583" t="s">
        <v>2674</v>
      </c>
      <c r="M1583" t="s">
        <v>58</v>
      </c>
      <c r="N1583" t="s">
        <v>2653</v>
      </c>
      <c r="O1583" t="s">
        <v>132</v>
      </c>
      <c r="P1583" t="s">
        <v>52</v>
      </c>
      <c r="Q1583" t="s">
        <v>150</v>
      </c>
      <c r="R1583">
        <v>4</v>
      </c>
      <c r="S1583">
        <v>899</v>
      </c>
      <c r="T1583">
        <v>0.1</v>
      </c>
      <c r="U1583">
        <v>3236.4</v>
      </c>
      <c r="V1583">
        <v>1680</v>
      </c>
      <c r="W1583">
        <v>1556.4</v>
      </c>
      <c r="X1583" t="s">
        <v>75</v>
      </c>
      <c r="Y1583" t="s">
        <v>68</v>
      </c>
      <c r="Z1583" t="s">
        <v>158</v>
      </c>
      <c r="AA1583" t="s">
        <v>171</v>
      </c>
      <c r="AB1583">
        <v>4.9000000000000004</v>
      </c>
      <c r="AC1583">
        <v>40</v>
      </c>
      <c r="AD1583">
        <v>326.02999999999997</v>
      </c>
      <c r="AE1583">
        <f t="shared" si="48"/>
        <v>1190.3700000000001</v>
      </c>
      <c r="AF1583" t="str">
        <f t="shared" si="49"/>
        <v>2025-07</v>
      </c>
      <c r="AG1583">
        <f>SUBTOTAL(103,A1583)</f>
        <v>1</v>
      </c>
    </row>
    <row r="1584" spans="1:33" x14ac:dyDescent="0.3">
      <c r="A1584" t="s">
        <v>4201</v>
      </c>
      <c r="B1584" s="13">
        <v>45858</v>
      </c>
      <c r="C1584">
        <v>2025</v>
      </c>
      <c r="D1584">
        <v>7</v>
      </c>
      <c r="E1584" t="s">
        <v>4046</v>
      </c>
      <c r="F1584" t="s">
        <v>4047</v>
      </c>
      <c r="G1584" t="s">
        <v>333</v>
      </c>
      <c r="H1584" t="s">
        <v>334</v>
      </c>
      <c r="I1584" t="s">
        <v>85</v>
      </c>
      <c r="J1584">
        <v>52</v>
      </c>
      <c r="K1584" t="s">
        <v>83</v>
      </c>
      <c r="L1584" t="s">
        <v>94</v>
      </c>
      <c r="M1584" t="s">
        <v>57</v>
      </c>
      <c r="N1584" t="s">
        <v>2584</v>
      </c>
      <c r="O1584" t="s">
        <v>121</v>
      </c>
      <c r="P1584" t="s">
        <v>50</v>
      </c>
      <c r="Q1584" t="s">
        <v>144</v>
      </c>
      <c r="R1584">
        <v>2</v>
      </c>
      <c r="S1584">
        <v>2999</v>
      </c>
      <c r="T1584">
        <v>0.1</v>
      </c>
      <c r="U1584">
        <v>5398.2</v>
      </c>
      <c r="V1584">
        <v>3400</v>
      </c>
      <c r="W1584">
        <v>1998.2</v>
      </c>
      <c r="X1584" t="s">
        <v>75</v>
      </c>
      <c r="Y1584" t="s">
        <v>69</v>
      </c>
      <c r="Z1584" t="s">
        <v>161</v>
      </c>
      <c r="AA1584" t="s">
        <v>167</v>
      </c>
      <c r="AB1584">
        <v>3.5</v>
      </c>
      <c r="AC1584">
        <v>40</v>
      </c>
      <c r="AD1584">
        <v>225.86</v>
      </c>
      <c r="AE1584">
        <f t="shared" si="48"/>
        <v>1732.3400000000001</v>
      </c>
      <c r="AF1584" t="str">
        <f t="shared" si="49"/>
        <v>2025-07</v>
      </c>
      <c r="AG1584">
        <f>SUBTOTAL(103,A1584)</f>
        <v>1</v>
      </c>
    </row>
    <row r="1585" spans="1:33" x14ac:dyDescent="0.3">
      <c r="A1585" t="s">
        <v>4202</v>
      </c>
      <c r="B1585" s="13">
        <v>45859</v>
      </c>
      <c r="C1585">
        <v>2025</v>
      </c>
      <c r="D1585">
        <v>7</v>
      </c>
      <c r="E1585" t="s">
        <v>4046</v>
      </c>
      <c r="F1585" t="s">
        <v>4047</v>
      </c>
      <c r="G1585" t="s">
        <v>1307</v>
      </c>
      <c r="H1585" t="s">
        <v>1308</v>
      </c>
      <c r="I1585" t="s">
        <v>85</v>
      </c>
      <c r="J1585">
        <v>18</v>
      </c>
      <c r="K1585" t="s">
        <v>80</v>
      </c>
      <c r="L1585" t="s">
        <v>92</v>
      </c>
      <c r="M1585" t="s">
        <v>59</v>
      </c>
      <c r="N1585" t="s">
        <v>2592</v>
      </c>
      <c r="O1585" t="s">
        <v>115</v>
      </c>
      <c r="P1585" t="s">
        <v>48</v>
      </c>
      <c r="Q1585" t="s">
        <v>137</v>
      </c>
      <c r="R1585">
        <v>1</v>
      </c>
      <c r="S1585">
        <v>12999</v>
      </c>
      <c r="T1585">
        <v>0.25</v>
      </c>
      <c r="U1585">
        <v>9749.25</v>
      </c>
      <c r="V1585">
        <v>9000</v>
      </c>
      <c r="W1585">
        <v>749.25</v>
      </c>
      <c r="X1585" t="s">
        <v>75</v>
      </c>
      <c r="Y1585" t="s">
        <v>68</v>
      </c>
      <c r="Z1585" t="s">
        <v>158</v>
      </c>
      <c r="AA1585" t="s">
        <v>167</v>
      </c>
      <c r="AB1585">
        <v>4.3</v>
      </c>
      <c r="AC1585">
        <v>50</v>
      </c>
      <c r="AD1585">
        <v>517.05999999999995</v>
      </c>
      <c r="AE1585">
        <f t="shared" si="48"/>
        <v>182.19000000000005</v>
      </c>
      <c r="AF1585" t="str">
        <f t="shared" si="49"/>
        <v>2025-07</v>
      </c>
      <c r="AG1585">
        <f>SUBTOTAL(103,A1585)</f>
        <v>1</v>
      </c>
    </row>
    <row r="1586" spans="1:33" x14ac:dyDescent="0.3">
      <c r="A1586" t="s">
        <v>4203</v>
      </c>
      <c r="B1586" s="13">
        <v>45859</v>
      </c>
      <c r="C1586">
        <v>2025</v>
      </c>
      <c r="D1586">
        <v>7</v>
      </c>
      <c r="E1586" t="s">
        <v>4046</v>
      </c>
      <c r="F1586" t="s">
        <v>4047</v>
      </c>
      <c r="G1586" t="s">
        <v>1607</v>
      </c>
      <c r="H1586" t="s">
        <v>1608</v>
      </c>
      <c r="I1586" t="s">
        <v>86</v>
      </c>
      <c r="J1586">
        <v>52</v>
      </c>
      <c r="K1586" t="s">
        <v>83</v>
      </c>
      <c r="L1586" t="s">
        <v>91</v>
      </c>
      <c r="M1586" t="s">
        <v>55</v>
      </c>
      <c r="N1586" t="s">
        <v>2657</v>
      </c>
      <c r="O1586" t="s">
        <v>134</v>
      </c>
      <c r="P1586" t="s">
        <v>49</v>
      </c>
      <c r="Q1586" t="s">
        <v>140</v>
      </c>
      <c r="R1586">
        <v>1</v>
      </c>
      <c r="S1586">
        <v>599</v>
      </c>
      <c r="T1586">
        <v>0.15</v>
      </c>
      <c r="U1586">
        <v>0</v>
      </c>
      <c r="V1586">
        <v>0</v>
      </c>
      <c r="W1586">
        <v>0</v>
      </c>
      <c r="X1586" t="s">
        <v>74</v>
      </c>
      <c r="Y1586" t="s">
        <v>71</v>
      </c>
      <c r="Z1586" t="s">
        <v>161</v>
      </c>
      <c r="AA1586" t="s">
        <v>171</v>
      </c>
      <c r="AB1586">
        <v>4.5</v>
      </c>
      <c r="AC1586">
        <v>40</v>
      </c>
      <c r="AD1586">
        <v>20</v>
      </c>
      <c r="AE1586">
        <f t="shared" si="48"/>
        <v>-60</v>
      </c>
      <c r="AF1586" t="str">
        <f t="shared" si="49"/>
        <v>2025-07</v>
      </c>
      <c r="AG1586">
        <f>SUBTOTAL(103,A1586)</f>
        <v>1</v>
      </c>
    </row>
    <row r="1587" spans="1:33" x14ac:dyDescent="0.3">
      <c r="A1587" t="s">
        <v>4204</v>
      </c>
      <c r="B1587" s="13">
        <v>45859</v>
      </c>
      <c r="C1587">
        <v>2025</v>
      </c>
      <c r="D1587">
        <v>7</v>
      </c>
      <c r="E1587" t="s">
        <v>4046</v>
      </c>
      <c r="F1587" t="s">
        <v>4047</v>
      </c>
      <c r="G1587" t="s">
        <v>1889</v>
      </c>
      <c r="H1587" t="s">
        <v>1890</v>
      </c>
      <c r="I1587" t="s">
        <v>85</v>
      </c>
      <c r="J1587">
        <v>29</v>
      </c>
      <c r="K1587" t="s">
        <v>81</v>
      </c>
      <c r="L1587" t="s">
        <v>2637</v>
      </c>
      <c r="M1587" t="s">
        <v>64</v>
      </c>
      <c r="N1587" t="s">
        <v>2606</v>
      </c>
      <c r="O1587" t="s">
        <v>120</v>
      </c>
      <c r="P1587" t="s">
        <v>49</v>
      </c>
      <c r="Q1587" t="s">
        <v>140</v>
      </c>
      <c r="R1587">
        <v>1</v>
      </c>
      <c r="S1587">
        <v>2799</v>
      </c>
      <c r="T1587">
        <v>0.15</v>
      </c>
      <c r="U1587">
        <v>2379.15</v>
      </c>
      <c r="V1587">
        <v>1650</v>
      </c>
      <c r="W1587">
        <v>729.15</v>
      </c>
      <c r="X1587" t="s">
        <v>73</v>
      </c>
      <c r="Y1587" t="s">
        <v>68</v>
      </c>
      <c r="Z1587" t="s">
        <v>160</v>
      </c>
      <c r="AA1587" t="s">
        <v>166</v>
      </c>
      <c r="AB1587">
        <v>4</v>
      </c>
      <c r="AC1587">
        <v>60</v>
      </c>
      <c r="AD1587">
        <v>132.79</v>
      </c>
      <c r="AE1587">
        <f t="shared" si="48"/>
        <v>536.36</v>
      </c>
      <c r="AF1587" t="str">
        <f t="shared" si="49"/>
        <v>2025-07</v>
      </c>
      <c r="AG1587">
        <f>SUBTOTAL(103,A1587)</f>
        <v>1</v>
      </c>
    </row>
    <row r="1588" spans="1:33" x14ac:dyDescent="0.3">
      <c r="A1588" t="s">
        <v>4205</v>
      </c>
      <c r="B1588" s="13">
        <v>45859</v>
      </c>
      <c r="C1588">
        <v>2025</v>
      </c>
      <c r="D1588">
        <v>7</v>
      </c>
      <c r="E1588" t="s">
        <v>4046</v>
      </c>
      <c r="F1588" t="s">
        <v>4047</v>
      </c>
      <c r="G1588" t="s">
        <v>1857</v>
      </c>
      <c r="H1588" t="s">
        <v>1858</v>
      </c>
      <c r="I1588" t="s">
        <v>86</v>
      </c>
      <c r="J1588">
        <v>32</v>
      </c>
      <c r="K1588" t="s">
        <v>81</v>
      </c>
      <c r="L1588" t="s">
        <v>2599</v>
      </c>
      <c r="M1588" t="s">
        <v>62</v>
      </c>
      <c r="N1588" t="s">
        <v>2582</v>
      </c>
      <c r="O1588" t="s">
        <v>119</v>
      </c>
      <c r="P1588" t="s">
        <v>49</v>
      </c>
      <c r="Q1588" t="s">
        <v>140</v>
      </c>
      <c r="R1588">
        <v>1</v>
      </c>
      <c r="S1588">
        <v>3499</v>
      </c>
      <c r="T1588">
        <v>0.2</v>
      </c>
      <c r="U1588">
        <v>2799.2</v>
      </c>
      <c r="V1588">
        <v>2100</v>
      </c>
      <c r="W1588">
        <v>699.2</v>
      </c>
      <c r="X1588" t="s">
        <v>73</v>
      </c>
      <c r="Y1588" t="s">
        <v>69</v>
      </c>
      <c r="Z1588" t="s">
        <v>159</v>
      </c>
      <c r="AA1588" t="s">
        <v>170</v>
      </c>
      <c r="AB1588">
        <v>3.7</v>
      </c>
      <c r="AC1588">
        <v>50</v>
      </c>
      <c r="AD1588">
        <v>272.12</v>
      </c>
      <c r="AE1588">
        <f t="shared" si="48"/>
        <v>377.08000000000004</v>
      </c>
      <c r="AF1588" t="str">
        <f t="shared" si="49"/>
        <v>2025-07</v>
      </c>
      <c r="AG1588">
        <f>SUBTOTAL(103,A1588)</f>
        <v>1</v>
      </c>
    </row>
    <row r="1589" spans="1:33" x14ac:dyDescent="0.3">
      <c r="A1589" t="s">
        <v>4206</v>
      </c>
      <c r="B1589" s="13">
        <v>45859</v>
      </c>
      <c r="C1589">
        <v>2025</v>
      </c>
      <c r="D1589">
        <v>7</v>
      </c>
      <c r="E1589" t="s">
        <v>4046</v>
      </c>
      <c r="F1589" t="s">
        <v>4047</v>
      </c>
      <c r="G1589" t="s">
        <v>211</v>
      </c>
      <c r="H1589" t="s">
        <v>212</v>
      </c>
      <c r="I1589" t="s">
        <v>85</v>
      </c>
      <c r="J1589">
        <v>31</v>
      </c>
      <c r="K1589" t="s">
        <v>81</v>
      </c>
      <c r="L1589" t="s">
        <v>2610</v>
      </c>
      <c r="M1589" t="s">
        <v>64</v>
      </c>
      <c r="N1589" t="s">
        <v>2580</v>
      </c>
      <c r="O1589" t="s">
        <v>118</v>
      </c>
      <c r="P1589" t="s">
        <v>48</v>
      </c>
      <c r="Q1589" t="s">
        <v>142</v>
      </c>
      <c r="R1589">
        <v>1</v>
      </c>
      <c r="S1589">
        <v>3999</v>
      </c>
      <c r="T1589">
        <v>0.05</v>
      </c>
      <c r="U1589">
        <v>3799.05</v>
      </c>
      <c r="V1589">
        <v>2400</v>
      </c>
      <c r="W1589">
        <v>1399.05</v>
      </c>
      <c r="X1589" t="s">
        <v>74</v>
      </c>
      <c r="Y1589" t="s">
        <v>68</v>
      </c>
      <c r="Z1589" t="s">
        <v>158</v>
      </c>
      <c r="AA1589" t="s">
        <v>168</v>
      </c>
      <c r="AB1589">
        <v>3.5</v>
      </c>
      <c r="AC1589">
        <v>50</v>
      </c>
      <c r="AD1589">
        <v>300.98</v>
      </c>
      <c r="AE1589">
        <f t="shared" si="48"/>
        <v>1048.07</v>
      </c>
      <c r="AF1589" t="str">
        <f t="shared" si="49"/>
        <v>2025-07</v>
      </c>
      <c r="AG1589">
        <f>SUBTOTAL(103,A1589)</f>
        <v>1</v>
      </c>
    </row>
    <row r="1590" spans="1:33" x14ac:dyDescent="0.3">
      <c r="A1590" t="s">
        <v>4207</v>
      </c>
      <c r="B1590" s="13">
        <v>45860</v>
      </c>
      <c r="C1590">
        <v>2025</v>
      </c>
      <c r="D1590">
        <v>7</v>
      </c>
      <c r="E1590" t="s">
        <v>4046</v>
      </c>
      <c r="F1590" t="s">
        <v>4047</v>
      </c>
      <c r="G1590" t="s">
        <v>943</v>
      </c>
      <c r="H1590" t="s">
        <v>944</v>
      </c>
      <c r="I1590" t="s">
        <v>85</v>
      </c>
      <c r="J1590">
        <v>29</v>
      </c>
      <c r="K1590" t="s">
        <v>81</v>
      </c>
      <c r="L1590" t="s">
        <v>2661</v>
      </c>
      <c r="M1590" t="s">
        <v>58</v>
      </c>
      <c r="N1590" t="s">
        <v>2582</v>
      </c>
      <c r="O1590" t="s">
        <v>119</v>
      </c>
      <c r="P1590" t="s">
        <v>49</v>
      </c>
      <c r="Q1590" t="s">
        <v>140</v>
      </c>
      <c r="R1590">
        <v>3</v>
      </c>
      <c r="S1590">
        <v>3499</v>
      </c>
      <c r="T1590">
        <v>0.05</v>
      </c>
      <c r="U1590">
        <v>9972.15</v>
      </c>
      <c r="V1590">
        <v>6300</v>
      </c>
      <c r="W1590">
        <v>3672.15</v>
      </c>
      <c r="X1590" t="s">
        <v>76</v>
      </c>
      <c r="Y1590" t="s">
        <v>68</v>
      </c>
      <c r="Z1590" t="s">
        <v>160</v>
      </c>
      <c r="AA1590" t="s">
        <v>171</v>
      </c>
      <c r="AB1590">
        <v>4.4000000000000004</v>
      </c>
      <c r="AC1590">
        <v>80</v>
      </c>
      <c r="AD1590">
        <v>729.97</v>
      </c>
      <c r="AE1590">
        <f t="shared" si="48"/>
        <v>2862.1800000000003</v>
      </c>
      <c r="AF1590" t="str">
        <f t="shared" si="49"/>
        <v>2025-07</v>
      </c>
      <c r="AG1590">
        <f>SUBTOTAL(103,A1590)</f>
        <v>1</v>
      </c>
    </row>
    <row r="1591" spans="1:33" x14ac:dyDescent="0.3">
      <c r="A1591" t="s">
        <v>4208</v>
      </c>
      <c r="B1591" s="13">
        <v>45860</v>
      </c>
      <c r="C1591">
        <v>2025</v>
      </c>
      <c r="D1591">
        <v>7</v>
      </c>
      <c r="E1591" t="s">
        <v>4046</v>
      </c>
      <c r="F1591" t="s">
        <v>4047</v>
      </c>
      <c r="G1591" t="s">
        <v>1735</v>
      </c>
      <c r="H1591" t="s">
        <v>1736</v>
      </c>
      <c r="I1591" t="s">
        <v>86</v>
      </c>
      <c r="J1591">
        <v>23</v>
      </c>
      <c r="K1591" t="s">
        <v>80</v>
      </c>
      <c r="L1591" t="s">
        <v>2637</v>
      </c>
      <c r="M1591" t="s">
        <v>64</v>
      </c>
      <c r="N1591" t="s">
        <v>2653</v>
      </c>
      <c r="O1591" t="s">
        <v>132</v>
      </c>
      <c r="P1591" t="s">
        <v>52</v>
      </c>
      <c r="Q1591" t="s">
        <v>150</v>
      </c>
      <c r="R1591">
        <v>3</v>
      </c>
      <c r="S1591">
        <v>899</v>
      </c>
      <c r="T1591">
        <v>0</v>
      </c>
      <c r="U1591">
        <v>2697</v>
      </c>
      <c r="V1591">
        <v>1260</v>
      </c>
      <c r="W1591">
        <v>1437</v>
      </c>
      <c r="X1591" t="s">
        <v>77</v>
      </c>
      <c r="Y1591" t="s">
        <v>68</v>
      </c>
      <c r="Z1591" t="s">
        <v>160</v>
      </c>
      <c r="AA1591" t="s">
        <v>168</v>
      </c>
      <c r="AB1591">
        <v>3.7</v>
      </c>
      <c r="AC1591">
        <v>60</v>
      </c>
      <c r="AD1591">
        <v>277.48</v>
      </c>
      <c r="AE1591">
        <f t="shared" si="48"/>
        <v>1099.52</v>
      </c>
      <c r="AF1591" t="str">
        <f t="shared" si="49"/>
        <v>2025-07</v>
      </c>
      <c r="AG1591">
        <f>SUBTOTAL(103,A1591)</f>
        <v>1</v>
      </c>
    </row>
    <row r="1592" spans="1:33" x14ac:dyDescent="0.3">
      <c r="A1592" t="s">
        <v>4209</v>
      </c>
      <c r="B1592" s="13">
        <v>45860</v>
      </c>
      <c r="C1592">
        <v>2025</v>
      </c>
      <c r="D1592">
        <v>7</v>
      </c>
      <c r="E1592" t="s">
        <v>4046</v>
      </c>
      <c r="F1592" t="s">
        <v>4047</v>
      </c>
      <c r="G1592" t="s">
        <v>203</v>
      </c>
      <c r="H1592" t="s">
        <v>204</v>
      </c>
      <c r="I1592" t="s">
        <v>85</v>
      </c>
      <c r="J1592">
        <v>45</v>
      </c>
      <c r="K1592" t="s">
        <v>82</v>
      </c>
      <c r="L1592" t="s">
        <v>98</v>
      </c>
      <c r="M1592" t="s">
        <v>55</v>
      </c>
      <c r="N1592" t="s">
        <v>2601</v>
      </c>
      <c r="O1592" t="s">
        <v>117</v>
      </c>
      <c r="P1592" t="s">
        <v>49</v>
      </c>
      <c r="Q1592" t="s">
        <v>139</v>
      </c>
      <c r="R1592">
        <v>3</v>
      </c>
      <c r="S1592">
        <v>6999</v>
      </c>
      <c r="T1592">
        <v>0.05</v>
      </c>
      <c r="U1592">
        <v>19947.150000000001</v>
      </c>
      <c r="V1592">
        <v>12900</v>
      </c>
      <c r="W1592">
        <v>7047.15</v>
      </c>
      <c r="X1592" t="s">
        <v>74</v>
      </c>
      <c r="Y1592" t="s">
        <v>68</v>
      </c>
      <c r="Z1592" t="s">
        <v>159</v>
      </c>
      <c r="AA1592" t="s">
        <v>169</v>
      </c>
      <c r="AB1592">
        <v>5</v>
      </c>
      <c r="AC1592">
        <v>60</v>
      </c>
      <c r="AD1592">
        <v>619.01</v>
      </c>
      <c r="AE1592">
        <f t="shared" si="48"/>
        <v>6368.1399999999994</v>
      </c>
      <c r="AF1592" t="str">
        <f t="shared" si="49"/>
        <v>2025-07</v>
      </c>
      <c r="AG1592">
        <f>SUBTOTAL(103,A1592)</f>
        <v>1</v>
      </c>
    </row>
    <row r="1593" spans="1:33" x14ac:dyDescent="0.3">
      <c r="A1593" t="s">
        <v>4210</v>
      </c>
      <c r="B1593" s="13">
        <v>45860</v>
      </c>
      <c r="C1593">
        <v>2025</v>
      </c>
      <c r="D1593">
        <v>7</v>
      </c>
      <c r="E1593" t="s">
        <v>4046</v>
      </c>
      <c r="F1593" t="s">
        <v>4047</v>
      </c>
      <c r="G1593" t="s">
        <v>437</v>
      </c>
      <c r="H1593" t="s">
        <v>438</v>
      </c>
      <c r="I1593" t="s">
        <v>86</v>
      </c>
      <c r="J1593">
        <v>55</v>
      </c>
      <c r="K1593" t="s">
        <v>83</v>
      </c>
      <c r="L1593" t="s">
        <v>94</v>
      </c>
      <c r="M1593" t="s">
        <v>57</v>
      </c>
      <c r="N1593" t="s">
        <v>2653</v>
      </c>
      <c r="O1593" t="s">
        <v>132</v>
      </c>
      <c r="P1593" t="s">
        <v>52</v>
      </c>
      <c r="Q1593" t="s">
        <v>150</v>
      </c>
      <c r="R1593">
        <v>1</v>
      </c>
      <c r="S1593">
        <v>899</v>
      </c>
      <c r="T1593">
        <v>0.15</v>
      </c>
      <c r="U1593">
        <v>764.15</v>
      </c>
      <c r="V1593">
        <v>420</v>
      </c>
      <c r="W1593">
        <v>344.15</v>
      </c>
      <c r="X1593" t="s">
        <v>73</v>
      </c>
      <c r="Y1593" t="s">
        <v>68</v>
      </c>
      <c r="Z1593" t="s">
        <v>161</v>
      </c>
      <c r="AA1593" t="s">
        <v>166</v>
      </c>
      <c r="AB1593">
        <v>4.0999999999999996</v>
      </c>
      <c r="AC1593">
        <v>50</v>
      </c>
      <c r="AD1593">
        <v>35.01</v>
      </c>
      <c r="AE1593">
        <f t="shared" si="48"/>
        <v>259.14</v>
      </c>
      <c r="AF1593" t="str">
        <f t="shared" si="49"/>
        <v>2025-07</v>
      </c>
      <c r="AG1593">
        <f>SUBTOTAL(103,A1593)</f>
        <v>1</v>
      </c>
    </row>
    <row r="1594" spans="1:33" x14ac:dyDescent="0.3">
      <c r="A1594" t="s">
        <v>4211</v>
      </c>
      <c r="B1594" s="13">
        <v>45860</v>
      </c>
      <c r="C1594">
        <v>2025</v>
      </c>
      <c r="D1594">
        <v>7</v>
      </c>
      <c r="E1594" t="s">
        <v>4046</v>
      </c>
      <c r="F1594" t="s">
        <v>4047</v>
      </c>
      <c r="G1594" t="s">
        <v>1557</v>
      </c>
      <c r="H1594" t="s">
        <v>1558</v>
      </c>
      <c r="I1594" t="s">
        <v>86</v>
      </c>
      <c r="J1594">
        <v>56</v>
      </c>
      <c r="K1594" t="s">
        <v>83</v>
      </c>
      <c r="L1594" t="s">
        <v>90</v>
      </c>
      <c r="M1594" t="s">
        <v>55</v>
      </c>
      <c r="N1594" t="s">
        <v>2594</v>
      </c>
      <c r="O1594" t="s">
        <v>131</v>
      </c>
      <c r="P1594" t="s">
        <v>53</v>
      </c>
      <c r="Q1594" t="s">
        <v>143</v>
      </c>
      <c r="R1594">
        <v>1</v>
      </c>
      <c r="S1594">
        <v>999</v>
      </c>
      <c r="T1594">
        <v>0.1</v>
      </c>
      <c r="U1594">
        <v>899.1</v>
      </c>
      <c r="V1594">
        <v>520</v>
      </c>
      <c r="W1594">
        <v>379.1</v>
      </c>
      <c r="X1594" t="s">
        <v>75</v>
      </c>
      <c r="Y1594" t="s">
        <v>70</v>
      </c>
      <c r="Z1594" t="s">
        <v>160</v>
      </c>
      <c r="AA1594" t="s">
        <v>167</v>
      </c>
      <c r="AB1594">
        <v>3.7</v>
      </c>
      <c r="AC1594">
        <v>60</v>
      </c>
      <c r="AD1594">
        <v>57.53</v>
      </c>
      <c r="AE1594">
        <f t="shared" si="48"/>
        <v>261.57000000000005</v>
      </c>
      <c r="AF1594" t="str">
        <f t="shared" si="49"/>
        <v>2025-07</v>
      </c>
      <c r="AG1594">
        <f>SUBTOTAL(103,A1594)</f>
        <v>1</v>
      </c>
    </row>
    <row r="1595" spans="1:33" x14ac:dyDescent="0.3">
      <c r="A1595" t="s">
        <v>4212</v>
      </c>
      <c r="B1595" s="13">
        <v>45860</v>
      </c>
      <c r="C1595">
        <v>2025</v>
      </c>
      <c r="D1595">
        <v>7</v>
      </c>
      <c r="E1595" t="s">
        <v>4046</v>
      </c>
      <c r="F1595" t="s">
        <v>4047</v>
      </c>
      <c r="G1595" t="s">
        <v>693</v>
      </c>
      <c r="H1595" t="s">
        <v>694</v>
      </c>
      <c r="I1595" t="s">
        <v>86</v>
      </c>
      <c r="J1595">
        <v>36</v>
      </c>
      <c r="K1595" t="s">
        <v>82</v>
      </c>
      <c r="L1595" t="s">
        <v>2586</v>
      </c>
      <c r="M1595" t="s">
        <v>62</v>
      </c>
      <c r="N1595" t="s">
        <v>2653</v>
      </c>
      <c r="O1595" t="s">
        <v>132</v>
      </c>
      <c r="P1595" t="s">
        <v>52</v>
      </c>
      <c r="Q1595" t="s">
        <v>150</v>
      </c>
      <c r="R1595">
        <v>2</v>
      </c>
      <c r="S1595">
        <v>899</v>
      </c>
      <c r="T1595">
        <v>0.1</v>
      </c>
      <c r="U1595">
        <v>1618.2</v>
      </c>
      <c r="V1595">
        <v>840</v>
      </c>
      <c r="W1595">
        <v>778.2</v>
      </c>
      <c r="X1595" t="s">
        <v>73</v>
      </c>
      <c r="Y1595" t="s">
        <v>68</v>
      </c>
      <c r="Z1595" t="s">
        <v>158</v>
      </c>
      <c r="AA1595" t="s">
        <v>168</v>
      </c>
      <c r="AB1595">
        <v>4.5</v>
      </c>
      <c r="AC1595">
        <v>120</v>
      </c>
      <c r="AD1595">
        <v>85.46</v>
      </c>
      <c r="AE1595">
        <f t="shared" si="48"/>
        <v>572.74</v>
      </c>
      <c r="AF1595" t="str">
        <f t="shared" si="49"/>
        <v>2025-07</v>
      </c>
      <c r="AG1595">
        <f>SUBTOTAL(103,A1595)</f>
        <v>1</v>
      </c>
    </row>
    <row r="1596" spans="1:33" x14ac:dyDescent="0.3">
      <c r="A1596" t="s">
        <v>4213</v>
      </c>
      <c r="B1596" s="13">
        <v>45860</v>
      </c>
      <c r="C1596">
        <v>2025</v>
      </c>
      <c r="D1596">
        <v>7</v>
      </c>
      <c r="E1596" t="s">
        <v>4046</v>
      </c>
      <c r="F1596" t="s">
        <v>4047</v>
      </c>
      <c r="G1596" t="s">
        <v>2369</v>
      </c>
      <c r="H1596" t="s">
        <v>2370</v>
      </c>
      <c r="I1596" t="s">
        <v>85</v>
      </c>
      <c r="J1596">
        <v>31</v>
      </c>
      <c r="K1596" t="s">
        <v>81</v>
      </c>
      <c r="L1596" t="s">
        <v>2661</v>
      </c>
      <c r="M1596" t="s">
        <v>58</v>
      </c>
      <c r="N1596" t="s">
        <v>2665</v>
      </c>
      <c r="O1596" t="s">
        <v>128</v>
      </c>
      <c r="P1596" t="s">
        <v>53</v>
      </c>
      <c r="Q1596" t="s">
        <v>143</v>
      </c>
      <c r="R1596">
        <v>3</v>
      </c>
      <c r="S1596">
        <v>1499</v>
      </c>
      <c r="T1596">
        <v>0.2</v>
      </c>
      <c r="U1596">
        <v>3597.6</v>
      </c>
      <c r="V1596">
        <v>2400</v>
      </c>
      <c r="W1596">
        <v>1197.5999999999999</v>
      </c>
      <c r="X1596" t="s">
        <v>73</v>
      </c>
      <c r="Y1596" t="s">
        <v>68</v>
      </c>
      <c r="Z1596" t="s">
        <v>161</v>
      </c>
      <c r="AA1596" t="s">
        <v>167</v>
      </c>
      <c r="AB1596">
        <v>4.4000000000000004</v>
      </c>
      <c r="AC1596">
        <v>100</v>
      </c>
      <c r="AD1596">
        <v>149.77000000000001</v>
      </c>
      <c r="AE1596">
        <f t="shared" si="48"/>
        <v>947.82999999999993</v>
      </c>
      <c r="AF1596" t="str">
        <f t="shared" si="49"/>
        <v>2025-07</v>
      </c>
      <c r="AG1596">
        <f>SUBTOTAL(103,A1596)</f>
        <v>1</v>
      </c>
    </row>
    <row r="1597" spans="1:33" x14ac:dyDescent="0.3">
      <c r="A1597" t="s">
        <v>4214</v>
      </c>
      <c r="B1597" s="13">
        <v>45861</v>
      </c>
      <c r="C1597">
        <v>2025</v>
      </c>
      <c r="D1597">
        <v>7</v>
      </c>
      <c r="E1597" t="s">
        <v>4046</v>
      </c>
      <c r="F1597" t="s">
        <v>4047</v>
      </c>
      <c r="G1597" t="s">
        <v>655</v>
      </c>
      <c r="H1597" t="s">
        <v>656</v>
      </c>
      <c r="I1597" t="s">
        <v>85</v>
      </c>
      <c r="J1597">
        <v>28</v>
      </c>
      <c r="K1597" t="s">
        <v>81</v>
      </c>
      <c r="L1597" t="s">
        <v>99</v>
      </c>
      <c r="M1597" t="s">
        <v>58</v>
      </c>
      <c r="N1597" t="s">
        <v>2594</v>
      </c>
      <c r="O1597" t="s">
        <v>131</v>
      </c>
      <c r="P1597" t="s">
        <v>53</v>
      </c>
      <c r="Q1597" t="s">
        <v>143</v>
      </c>
      <c r="R1597">
        <v>2</v>
      </c>
      <c r="S1597">
        <v>999</v>
      </c>
      <c r="T1597">
        <v>0.1</v>
      </c>
      <c r="U1597">
        <v>1798.2</v>
      </c>
      <c r="V1597">
        <v>1040</v>
      </c>
      <c r="W1597">
        <v>758.2</v>
      </c>
      <c r="X1597" t="s">
        <v>73</v>
      </c>
      <c r="Y1597" t="s">
        <v>68</v>
      </c>
      <c r="Z1597" t="s">
        <v>158</v>
      </c>
      <c r="AA1597" t="s">
        <v>166</v>
      </c>
      <c r="AB1597">
        <v>3.9</v>
      </c>
      <c r="AC1597">
        <v>80</v>
      </c>
      <c r="AD1597">
        <v>104.75</v>
      </c>
      <c r="AE1597">
        <f t="shared" si="48"/>
        <v>573.45000000000005</v>
      </c>
      <c r="AF1597" t="str">
        <f t="shared" si="49"/>
        <v>2025-07</v>
      </c>
      <c r="AG1597">
        <f>SUBTOTAL(103,A1597)</f>
        <v>1</v>
      </c>
    </row>
    <row r="1598" spans="1:33" x14ac:dyDescent="0.3">
      <c r="A1598" t="s">
        <v>4215</v>
      </c>
      <c r="B1598" s="13">
        <v>45861</v>
      </c>
      <c r="C1598">
        <v>2025</v>
      </c>
      <c r="D1598">
        <v>7</v>
      </c>
      <c r="E1598" t="s">
        <v>4046</v>
      </c>
      <c r="F1598" t="s">
        <v>4047</v>
      </c>
      <c r="G1598" t="s">
        <v>1679</v>
      </c>
      <c r="H1598" t="s">
        <v>1680</v>
      </c>
      <c r="I1598" t="s">
        <v>85</v>
      </c>
      <c r="J1598">
        <v>54</v>
      </c>
      <c r="K1598" t="s">
        <v>83</v>
      </c>
      <c r="L1598" t="s">
        <v>97</v>
      </c>
      <c r="M1598" t="s">
        <v>57</v>
      </c>
      <c r="N1598" t="s">
        <v>2577</v>
      </c>
      <c r="O1598" t="s">
        <v>129</v>
      </c>
      <c r="P1598" t="s">
        <v>49</v>
      </c>
      <c r="Q1598" t="s">
        <v>149</v>
      </c>
      <c r="R1598">
        <v>2</v>
      </c>
      <c r="S1598">
        <v>1299</v>
      </c>
      <c r="T1598">
        <v>0.05</v>
      </c>
      <c r="U1598">
        <v>2468.1</v>
      </c>
      <c r="V1598">
        <v>1300</v>
      </c>
      <c r="W1598">
        <v>1168.0999999999999</v>
      </c>
      <c r="X1598" t="s">
        <v>73</v>
      </c>
      <c r="Y1598" t="s">
        <v>68</v>
      </c>
      <c r="Z1598" t="s">
        <v>163</v>
      </c>
      <c r="AA1598" t="s">
        <v>166</v>
      </c>
      <c r="AB1598">
        <v>3.1</v>
      </c>
      <c r="AC1598">
        <v>60</v>
      </c>
      <c r="AD1598">
        <v>191.88</v>
      </c>
      <c r="AE1598">
        <f t="shared" si="48"/>
        <v>916.21999999999991</v>
      </c>
      <c r="AF1598" t="str">
        <f t="shared" si="49"/>
        <v>2025-07</v>
      </c>
      <c r="AG1598">
        <f>SUBTOTAL(103,A1598)</f>
        <v>1</v>
      </c>
    </row>
    <row r="1599" spans="1:33" x14ac:dyDescent="0.3">
      <c r="A1599" t="s">
        <v>4216</v>
      </c>
      <c r="B1599" s="13">
        <v>45861</v>
      </c>
      <c r="C1599">
        <v>2025</v>
      </c>
      <c r="D1599">
        <v>7</v>
      </c>
      <c r="E1599" t="s">
        <v>4046</v>
      </c>
      <c r="F1599" t="s">
        <v>4047</v>
      </c>
      <c r="G1599" t="s">
        <v>2429</v>
      </c>
      <c r="H1599" t="s">
        <v>2430</v>
      </c>
      <c r="I1599" t="s">
        <v>86</v>
      </c>
      <c r="J1599">
        <v>36</v>
      </c>
      <c r="K1599" t="s">
        <v>82</v>
      </c>
      <c r="L1599" t="s">
        <v>2586</v>
      </c>
      <c r="M1599" t="s">
        <v>62</v>
      </c>
      <c r="N1599" t="s">
        <v>2594</v>
      </c>
      <c r="O1599" t="s">
        <v>131</v>
      </c>
      <c r="P1599" t="s">
        <v>53</v>
      </c>
      <c r="Q1599" t="s">
        <v>143</v>
      </c>
      <c r="R1599">
        <v>1</v>
      </c>
      <c r="S1599">
        <v>999</v>
      </c>
      <c r="T1599">
        <v>0</v>
      </c>
      <c r="U1599">
        <v>999</v>
      </c>
      <c r="V1599">
        <v>520</v>
      </c>
      <c r="W1599">
        <v>479</v>
      </c>
      <c r="X1599" t="s">
        <v>75</v>
      </c>
      <c r="Y1599" t="s">
        <v>68</v>
      </c>
      <c r="Z1599" t="s">
        <v>158</v>
      </c>
      <c r="AA1599" t="s">
        <v>168</v>
      </c>
      <c r="AB1599">
        <v>4</v>
      </c>
      <c r="AC1599">
        <v>50</v>
      </c>
      <c r="AD1599">
        <v>113.36</v>
      </c>
      <c r="AE1599">
        <f t="shared" si="48"/>
        <v>315.64</v>
      </c>
      <c r="AF1599" t="str">
        <f t="shared" si="49"/>
        <v>2025-07</v>
      </c>
      <c r="AG1599">
        <f>SUBTOTAL(103,A1599)</f>
        <v>1</v>
      </c>
    </row>
    <row r="1600" spans="1:33" x14ac:dyDescent="0.3">
      <c r="A1600" t="s">
        <v>4217</v>
      </c>
      <c r="B1600" s="13">
        <v>45861</v>
      </c>
      <c r="C1600">
        <v>2025</v>
      </c>
      <c r="D1600">
        <v>7</v>
      </c>
      <c r="E1600" t="s">
        <v>4046</v>
      </c>
      <c r="F1600" t="s">
        <v>4047</v>
      </c>
      <c r="G1600" t="s">
        <v>2023</v>
      </c>
      <c r="H1600" t="s">
        <v>2024</v>
      </c>
      <c r="I1600" t="s">
        <v>85</v>
      </c>
      <c r="J1600">
        <v>25</v>
      </c>
      <c r="K1600" t="s">
        <v>80</v>
      </c>
      <c r="L1600" t="s">
        <v>2573</v>
      </c>
      <c r="M1600" t="s">
        <v>63</v>
      </c>
      <c r="N1600" t="s">
        <v>2644</v>
      </c>
      <c r="O1600" t="s">
        <v>126</v>
      </c>
      <c r="P1600" t="s">
        <v>50</v>
      </c>
      <c r="Q1600" t="s">
        <v>145</v>
      </c>
      <c r="R1600">
        <v>1</v>
      </c>
      <c r="S1600">
        <v>1799</v>
      </c>
      <c r="T1600">
        <v>0.2</v>
      </c>
      <c r="U1600">
        <v>1439.2</v>
      </c>
      <c r="V1600">
        <v>950</v>
      </c>
      <c r="W1600">
        <v>489.2</v>
      </c>
      <c r="X1600" t="s">
        <v>77</v>
      </c>
      <c r="Y1600" t="s">
        <v>68</v>
      </c>
      <c r="Z1600" t="s">
        <v>160</v>
      </c>
      <c r="AA1600" t="s">
        <v>167</v>
      </c>
      <c r="AB1600">
        <v>3.1</v>
      </c>
      <c r="AC1600">
        <v>60</v>
      </c>
      <c r="AD1600">
        <v>158.22</v>
      </c>
      <c r="AE1600">
        <f t="shared" si="48"/>
        <v>270.98</v>
      </c>
      <c r="AF1600" t="str">
        <f t="shared" si="49"/>
        <v>2025-07</v>
      </c>
      <c r="AG1600">
        <f>SUBTOTAL(103,A1600)</f>
        <v>1</v>
      </c>
    </row>
    <row r="1601" spans="1:33" x14ac:dyDescent="0.3">
      <c r="A1601" t="s">
        <v>4218</v>
      </c>
      <c r="B1601" s="13">
        <v>45861</v>
      </c>
      <c r="C1601">
        <v>2025</v>
      </c>
      <c r="D1601">
        <v>7</v>
      </c>
      <c r="E1601" t="s">
        <v>4046</v>
      </c>
      <c r="F1601" t="s">
        <v>4047</v>
      </c>
      <c r="G1601" t="s">
        <v>427</v>
      </c>
      <c r="H1601" t="s">
        <v>428</v>
      </c>
      <c r="I1601" t="s">
        <v>85</v>
      </c>
      <c r="J1601">
        <v>36</v>
      </c>
      <c r="K1601" t="s">
        <v>82</v>
      </c>
      <c r="L1601" t="s">
        <v>90</v>
      </c>
      <c r="M1601" t="s">
        <v>55</v>
      </c>
      <c r="N1601" t="s">
        <v>2592</v>
      </c>
      <c r="O1601" t="s">
        <v>115</v>
      </c>
      <c r="P1601" t="s">
        <v>48</v>
      </c>
      <c r="Q1601" t="s">
        <v>137</v>
      </c>
      <c r="R1601">
        <v>2</v>
      </c>
      <c r="S1601">
        <v>12999</v>
      </c>
      <c r="T1601">
        <v>0.05</v>
      </c>
      <c r="U1601">
        <v>24698.1</v>
      </c>
      <c r="V1601">
        <v>18000</v>
      </c>
      <c r="W1601">
        <v>6698.1</v>
      </c>
      <c r="X1601" t="s">
        <v>76</v>
      </c>
      <c r="Y1601" t="s">
        <v>68</v>
      </c>
      <c r="Z1601" t="s">
        <v>159</v>
      </c>
      <c r="AA1601" t="s">
        <v>166</v>
      </c>
      <c r="AB1601">
        <v>4.3</v>
      </c>
      <c r="AC1601">
        <v>60</v>
      </c>
      <c r="AD1601">
        <v>1376.79</v>
      </c>
      <c r="AE1601">
        <f t="shared" si="48"/>
        <v>5261.31</v>
      </c>
      <c r="AF1601" t="str">
        <f t="shared" si="49"/>
        <v>2025-07</v>
      </c>
      <c r="AG1601">
        <f>SUBTOTAL(103,A1601)</f>
        <v>1</v>
      </c>
    </row>
    <row r="1602" spans="1:33" x14ac:dyDescent="0.3">
      <c r="A1602" t="s">
        <v>4219</v>
      </c>
      <c r="B1602" s="13">
        <v>45861</v>
      </c>
      <c r="C1602">
        <v>2025</v>
      </c>
      <c r="D1602">
        <v>7</v>
      </c>
      <c r="E1602" t="s">
        <v>4046</v>
      </c>
      <c r="F1602" t="s">
        <v>4047</v>
      </c>
      <c r="G1602" t="s">
        <v>419</v>
      </c>
      <c r="H1602" t="s">
        <v>420</v>
      </c>
      <c r="I1602" t="s">
        <v>87</v>
      </c>
      <c r="J1602">
        <v>55</v>
      </c>
      <c r="K1602" t="s">
        <v>83</v>
      </c>
      <c r="L1602" t="s">
        <v>2679</v>
      </c>
      <c r="M1602" t="s">
        <v>60</v>
      </c>
      <c r="N1602" t="s">
        <v>2630</v>
      </c>
      <c r="O1602" t="s">
        <v>123</v>
      </c>
      <c r="P1602" t="s">
        <v>52</v>
      </c>
      <c r="Q1602" t="s">
        <v>146</v>
      </c>
      <c r="R1602">
        <v>3</v>
      </c>
      <c r="S1602">
        <v>2499</v>
      </c>
      <c r="T1602">
        <v>0</v>
      </c>
      <c r="U1602">
        <v>7497</v>
      </c>
      <c r="V1602">
        <v>4200</v>
      </c>
      <c r="W1602">
        <v>3297</v>
      </c>
      <c r="X1602" t="s">
        <v>76</v>
      </c>
      <c r="Y1602" t="s">
        <v>68</v>
      </c>
      <c r="Z1602" t="s">
        <v>159</v>
      </c>
      <c r="AA1602" t="s">
        <v>167</v>
      </c>
      <c r="AB1602">
        <v>2.8</v>
      </c>
      <c r="AC1602">
        <v>50</v>
      </c>
      <c r="AD1602">
        <v>744.87</v>
      </c>
      <c r="AE1602">
        <f t="shared" ref="AE1602:AE1665" si="50">W1602-AC1602-AD1602</f>
        <v>2502.13</v>
      </c>
      <c r="AF1602" t="str">
        <f t="shared" ref="AF1602:AF1665" si="51">C1602&amp;"-"&amp;TEXT(D1602,"00")</f>
        <v>2025-07</v>
      </c>
      <c r="AG1602">
        <f>SUBTOTAL(103,A1602)</f>
        <v>1</v>
      </c>
    </row>
    <row r="1603" spans="1:33" x14ac:dyDescent="0.3">
      <c r="A1603" t="s">
        <v>4220</v>
      </c>
      <c r="B1603" s="13">
        <v>45861</v>
      </c>
      <c r="C1603">
        <v>2025</v>
      </c>
      <c r="D1603">
        <v>7</v>
      </c>
      <c r="E1603" t="s">
        <v>4046</v>
      </c>
      <c r="F1603" t="s">
        <v>4047</v>
      </c>
      <c r="G1603" t="s">
        <v>1141</v>
      </c>
      <c r="H1603" t="s">
        <v>1142</v>
      </c>
      <c r="I1603" t="s">
        <v>85</v>
      </c>
      <c r="J1603">
        <v>53</v>
      </c>
      <c r="K1603" t="s">
        <v>83</v>
      </c>
      <c r="L1603" t="s">
        <v>90</v>
      </c>
      <c r="M1603" t="s">
        <v>55</v>
      </c>
      <c r="N1603" t="s">
        <v>2574</v>
      </c>
      <c r="O1603" t="s">
        <v>130</v>
      </c>
      <c r="P1603" t="s">
        <v>50</v>
      </c>
      <c r="Q1603" t="s">
        <v>53</v>
      </c>
      <c r="R1603">
        <v>1</v>
      </c>
      <c r="S1603">
        <v>1199</v>
      </c>
      <c r="T1603">
        <v>0.05</v>
      </c>
      <c r="U1603">
        <v>1139.05</v>
      </c>
      <c r="V1603">
        <v>550</v>
      </c>
      <c r="W1603">
        <v>589.04999999999995</v>
      </c>
      <c r="X1603" t="s">
        <v>74</v>
      </c>
      <c r="Y1603" t="s">
        <v>68</v>
      </c>
      <c r="Z1603" t="s">
        <v>162</v>
      </c>
      <c r="AA1603" t="s">
        <v>170</v>
      </c>
      <c r="AB1603">
        <v>4.4000000000000004</v>
      </c>
      <c r="AC1603">
        <v>60</v>
      </c>
      <c r="AD1603">
        <v>127.94</v>
      </c>
      <c r="AE1603">
        <f t="shared" si="50"/>
        <v>401.10999999999996</v>
      </c>
      <c r="AF1603" t="str">
        <f t="shared" si="51"/>
        <v>2025-07</v>
      </c>
      <c r="AG1603">
        <f>SUBTOTAL(103,A1603)</f>
        <v>1</v>
      </c>
    </row>
    <row r="1604" spans="1:33" x14ac:dyDescent="0.3">
      <c r="A1604" t="s">
        <v>4221</v>
      </c>
      <c r="B1604" s="13">
        <v>45861</v>
      </c>
      <c r="C1604">
        <v>2025</v>
      </c>
      <c r="D1604">
        <v>7</v>
      </c>
      <c r="E1604" t="s">
        <v>4046</v>
      </c>
      <c r="F1604" t="s">
        <v>4047</v>
      </c>
      <c r="G1604" t="s">
        <v>943</v>
      </c>
      <c r="H1604" t="s">
        <v>944</v>
      </c>
      <c r="I1604" t="s">
        <v>85</v>
      </c>
      <c r="J1604">
        <v>29</v>
      </c>
      <c r="K1604" t="s">
        <v>81</v>
      </c>
      <c r="L1604" t="s">
        <v>2661</v>
      </c>
      <c r="M1604" t="s">
        <v>58</v>
      </c>
      <c r="N1604" t="s">
        <v>2580</v>
      </c>
      <c r="O1604" t="s">
        <v>118</v>
      </c>
      <c r="P1604" t="s">
        <v>48</v>
      </c>
      <c r="Q1604" t="s">
        <v>142</v>
      </c>
      <c r="R1604">
        <v>2</v>
      </c>
      <c r="S1604">
        <v>3999</v>
      </c>
      <c r="T1604">
        <v>0.15</v>
      </c>
      <c r="U1604">
        <v>6798.3</v>
      </c>
      <c r="V1604">
        <v>4800</v>
      </c>
      <c r="W1604">
        <v>1998.3</v>
      </c>
      <c r="X1604" t="s">
        <v>76</v>
      </c>
      <c r="Y1604" t="s">
        <v>68</v>
      </c>
      <c r="Z1604" t="s">
        <v>161</v>
      </c>
      <c r="AA1604" t="s">
        <v>166</v>
      </c>
      <c r="AB1604">
        <v>4</v>
      </c>
      <c r="AC1604">
        <v>60</v>
      </c>
      <c r="AD1604">
        <v>435.35</v>
      </c>
      <c r="AE1604">
        <f t="shared" si="50"/>
        <v>1502.9499999999998</v>
      </c>
      <c r="AF1604" t="str">
        <f t="shared" si="51"/>
        <v>2025-07</v>
      </c>
      <c r="AG1604">
        <f>SUBTOTAL(103,A1604)</f>
        <v>1</v>
      </c>
    </row>
    <row r="1605" spans="1:33" x14ac:dyDescent="0.3">
      <c r="A1605" t="s">
        <v>4222</v>
      </c>
      <c r="B1605" s="13">
        <v>45861</v>
      </c>
      <c r="C1605">
        <v>2025</v>
      </c>
      <c r="D1605">
        <v>7</v>
      </c>
      <c r="E1605" t="s">
        <v>4046</v>
      </c>
      <c r="F1605" t="s">
        <v>4047</v>
      </c>
      <c r="G1605" t="s">
        <v>2133</v>
      </c>
      <c r="H1605" t="s">
        <v>2134</v>
      </c>
      <c r="I1605" t="s">
        <v>85</v>
      </c>
      <c r="J1605">
        <v>52</v>
      </c>
      <c r="K1605" t="s">
        <v>83</v>
      </c>
      <c r="L1605" t="s">
        <v>2573</v>
      </c>
      <c r="M1605" t="s">
        <v>63</v>
      </c>
      <c r="N1605" t="s">
        <v>2582</v>
      </c>
      <c r="O1605" t="s">
        <v>119</v>
      </c>
      <c r="P1605" t="s">
        <v>49</v>
      </c>
      <c r="Q1605" t="s">
        <v>140</v>
      </c>
      <c r="R1605">
        <v>2</v>
      </c>
      <c r="S1605">
        <v>3499</v>
      </c>
      <c r="T1605">
        <v>0.05</v>
      </c>
      <c r="U1605">
        <v>6648.1</v>
      </c>
      <c r="V1605">
        <v>4200</v>
      </c>
      <c r="W1605">
        <v>2448.1</v>
      </c>
      <c r="X1605" t="s">
        <v>75</v>
      </c>
      <c r="Y1605" t="s">
        <v>68</v>
      </c>
      <c r="Z1605" t="s">
        <v>158</v>
      </c>
      <c r="AA1605" t="s">
        <v>166</v>
      </c>
      <c r="AB1605">
        <v>4.3</v>
      </c>
      <c r="AC1605">
        <v>40</v>
      </c>
      <c r="AD1605">
        <v>718.85</v>
      </c>
      <c r="AE1605">
        <f t="shared" si="50"/>
        <v>1689.25</v>
      </c>
      <c r="AF1605" t="str">
        <f t="shared" si="51"/>
        <v>2025-07</v>
      </c>
      <c r="AG1605">
        <f>SUBTOTAL(103,A1605)</f>
        <v>1</v>
      </c>
    </row>
    <row r="1606" spans="1:33" x14ac:dyDescent="0.3">
      <c r="A1606" t="s">
        <v>4223</v>
      </c>
      <c r="B1606" s="13">
        <v>45861</v>
      </c>
      <c r="C1606">
        <v>2025</v>
      </c>
      <c r="D1606">
        <v>7</v>
      </c>
      <c r="E1606" t="s">
        <v>4046</v>
      </c>
      <c r="F1606" t="s">
        <v>4047</v>
      </c>
      <c r="G1606" t="s">
        <v>1087</v>
      </c>
      <c r="H1606" t="s">
        <v>1088</v>
      </c>
      <c r="I1606" t="s">
        <v>85</v>
      </c>
      <c r="J1606">
        <v>18</v>
      </c>
      <c r="K1606" t="s">
        <v>80</v>
      </c>
      <c r="L1606" t="s">
        <v>96</v>
      </c>
      <c r="M1606" t="s">
        <v>55</v>
      </c>
      <c r="N1606" t="s">
        <v>2606</v>
      </c>
      <c r="O1606" t="s">
        <v>120</v>
      </c>
      <c r="P1606" t="s">
        <v>49</v>
      </c>
      <c r="Q1606" t="s">
        <v>140</v>
      </c>
      <c r="R1606">
        <v>3</v>
      </c>
      <c r="S1606">
        <v>2799</v>
      </c>
      <c r="T1606">
        <v>0.05</v>
      </c>
      <c r="U1606">
        <v>7977.15</v>
      </c>
      <c r="V1606">
        <v>4950</v>
      </c>
      <c r="W1606">
        <v>3027.15</v>
      </c>
      <c r="X1606" t="s">
        <v>73</v>
      </c>
      <c r="Y1606" t="s">
        <v>68</v>
      </c>
      <c r="Z1606" t="s">
        <v>161</v>
      </c>
      <c r="AA1606" t="s">
        <v>166</v>
      </c>
      <c r="AB1606">
        <v>4.2</v>
      </c>
      <c r="AC1606">
        <v>80</v>
      </c>
      <c r="AD1606">
        <v>179.56</v>
      </c>
      <c r="AE1606">
        <f t="shared" si="50"/>
        <v>2767.59</v>
      </c>
      <c r="AF1606" t="str">
        <f t="shared" si="51"/>
        <v>2025-07</v>
      </c>
      <c r="AG1606">
        <f>SUBTOTAL(103,A1606)</f>
        <v>1</v>
      </c>
    </row>
    <row r="1607" spans="1:33" x14ac:dyDescent="0.3">
      <c r="A1607" t="s">
        <v>4224</v>
      </c>
      <c r="B1607" s="13">
        <v>45861</v>
      </c>
      <c r="C1607">
        <v>2025</v>
      </c>
      <c r="D1607">
        <v>7</v>
      </c>
      <c r="E1607" t="s">
        <v>4046</v>
      </c>
      <c r="F1607" t="s">
        <v>4047</v>
      </c>
      <c r="G1607" t="s">
        <v>1643</v>
      </c>
      <c r="H1607" t="s">
        <v>1644</v>
      </c>
      <c r="I1607" t="s">
        <v>85</v>
      </c>
      <c r="J1607">
        <v>59</v>
      </c>
      <c r="K1607" t="s">
        <v>83</v>
      </c>
      <c r="L1607" t="s">
        <v>2687</v>
      </c>
      <c r="M1607" t="s">
        <v>57</v>
      </c>
      <c r="N1607" t="s">
        <v>2606</v>
      </c>
      <c r="O1607" t="s">
        <v>120</v>
      </c>
      <c r="P1607" t="s">
        <v>49</v>
      </c>
      <c r="Q1607" t="s">
        <v>140</v>
      </c>
      <c r="R1607">
        <v>1</v>
      </c>
      <c r="S1607">
        <v>2799</v>
      </c>
      <c r="T1607">
        <v>0.1</v>
      </c>
      <c r="U1607">
        <v>2519.1</v>
      </c>
      <c r="V1607">
        <v>1650</v>
      </c>
      <c r="W1607">
        <v>869.1</v>
      </c>
      <c r="X1607" t="s">
        <v>73</v>
      </c>
      <c r="Y1607" t="s">
        <v>68</v>
      </c>
      <c r="Z1607" t="s">
        <v>161</v>
      </c>
      <c r="AA1607" t="s">
        <v>168</v>
      </c>
      <c r="AB1607">
        <v>3.8</v>
      </c>
      <c r="AC1607">
        <v>100</v>
      </c>
      <c r="AD1607">
        <v>145.41999999999999</v>
      </c>
      <c r="AE1607">
        <f t="shared" si="50"/>
        <v>623.68000000000006</v>
      </c>
      <c r="AF1607" t="str">
        <f t="shared" si="51"/>
        <v>2025-07</v>
      </c>
      <c r="AG1607">
        <f>SUBTOTAL(103,A1607)</f>
        <v>1</v>
      </c>
    </row>
    <row r="1608" spans="1:33" x14ac:dyDescent="0.3">
      <c r="A1608" t="s">
        <v>4225</v>
      </c>
      <c r="B1608" s="13">
        <v>45862</v>
      </c>
      <c r="C1608">
        <v>2025</v>
      </c>
      <c r="D1608">
        <v>7</v>
      </c>
      <c r="E1608" t="s">
        <v>4046</v>
      </c>
      <c r="F1608" t="s">
        <v>4047</v>
      </c>
      <c r="G1608" t="s">
        <v>1221</v>
      </c>
      <c r="H1608" t="s">
        <v>1222</v>
      </c>
      <c r="I1608" t="s">
        <v>86</v>
      </c>
      <c r="J1608">
        <v>58</v>
      </c>
      <c r="K1608" t="s">
        <v>83</v>
      </c>
      <c r="L1608" t="s">
        <v>98</v>
      </c>
      <c r="M1608" t="s">
        <v>55</v>
      </c>
      <c r="N1608" t="s">
        <v>2626</v>
      </c>
      <c r="O1608" t="s">
        <v>125</v>
      </c>
      <c r="P1608" t="s">
        <v>48</v>
      </c>
      <c r="Q1608" t="s">
        <v>141</v>
      </c>
      <c r="R1608">
        <v>3</v>
      </c>
      <c r="S1608">
        <v>1999</v>
      </c>
      <c r="T1608">
        <v>0.2</v>
      </c>
      <c r="U1608">
        <v>4797.6000000000004</v>
      </c>
      <c r="V1608">
        <v>3450</v>
      </c>
      <c r="W1608">
        <v>1347.6</v>
      </c>
      <c r="X1608" t="s">
        <v>76</v>
      </c>
      <c r="Y1608" t="s">
        <v>68</v>
      </c>
      <c r="Z1608" t="s">
        <v>159</v>
      </c>
      <c r="AA1608" t="s">
        <v>167</v>
      </c>
      <c r="AB1608">
        <v>5</v>
      </c>
      <c r="AC1608">
        <v>80</v>
      </c>
      <c r="AD1608">
        <v>172.67</v>
      </c>
      <c r="AE1608">
        <f t="shared" si="50"/>
        <v>1094.9299999999998</v>
      </c>
      <c r="AF1608" t="str">
        <f t="shared" si="51"/>
        <v>2025-07</v>
      </c>
      <c r="AG1608">
        <f>SUBTOTAL(103,A1608)</f>
        <v>1</v>
      </c>
    </row>
    <row r="1609" spans="1:33" x14ac:dyDescent="0.3">
      <c r="A1609" t="s">
        <v>4226</v>
      </c>
      <c r="B1609" s="13">
        <v>45862</v>
      </c>
      <c r="C1609">
        <v>2025</v>
      </c>
      <c r="D1609">
        <v>7</v>
      </c>
      <c r="E1609" t="s">
        <v>4046</v>
      </c>
      <c r="F1609" t="s">
        <v>4047</v>
      </c>
      <c r="G1609" t="s">
        <v>601</v>
      </c>
      <c r="H1609" t="s">
        <v>602</v>
      </c>
      <c r="I1609" t="s">
        <v>86</v>
      </c>
      <c r="J1609">
        <v>18</v>
      </c>
      <c r="K1609" t="s">
        <v>80</v>
      </c>
      <c r="L1609" t="s">
        <v>2661</v>
      </c>
      <c r="M1609" t="s">
        <v>58</v>
      </c>
      <c r="N1609" t="s">
        <v>2626</v>
      </c>
      <c r="O1609" t="s">
        <v>125</v>
      </c>
      <c r="P1609" t="s">
        <v>48</v>
      </c>
      <c r="Q1609" t="s">
        <v>141</v>
      </c>
      <c r="R1609">
        <v>3</v>
      </c>
      <c r="S1609">
        <v>1999</v>
      </c>
      <c r="T1609">
        <v>0.05</v>
      </c>
      <c r="U1609">
        <v>0</v>
      </c>
      <c r="V1609">
        <v>0</v>
      </c>
      <c r="W1609">
        <v>0</v>
      </c>
      <c r="X1609" t="s">
        <v>74</v>
      </c>
      <c r="Y1609" t="s">
        <v>71</v>
      </c>
      <c r="Z1609" t="s">
        <v>160</v>
      </c>
      <c r="AA1609" t="s">
        <v>166</v>
      </c>
      <c r="AB1609">
        <v>4.9000000000000004</v>
      </c>
      <c r="AC1609">
        <v>80</v>
      </c>
      <c r="AD1609">
        <v>190.13</v>
      </c>
      <c r="AE1609">
        <f t="shared" si="50"/>
        <v>-270.13</v>
      </c>
      <c r="AF1609" t="str">
        <f t="shared" si="51"/>
        <v>2025-07</v>
      </c>
      <c r="AG1609">
        <f>SUBTOTAL(103,A1609)</f>
        <v>1</v>
      </c>
    </row>
    <row r="1610" spans="1:33" x14ac:dyDescent="0.3">
      <c r="A1610" t="s">
        <v>4227</v>
      </c>
      <c r="B1610" s="13">
        <v>45862</v>
      </c>
      <c r="C1610">
        <v>2025</v>
      </c>
      <c r="D1610">
        <v>7</v>
      </c>
      <c r="E1610" t="s">
        <v>4046</v>
      </c>
      <c r="F1610" t="s">
        <v>4047</v>
      </c>
      <c r="G1610" t="s">
        <v>1727</v>
      </c>
      <c r="H1610" t="s">
        <v>1728</v>
      </c>
      <c r="I1610" t="s">
        <v>86</v>
      </c>
      <c r="J1610">
        <v>41</v>
      </c>
      <c r="K1610" t="s">
        <v>82</v>
      </c>
      <c r="L1610" t="s">
        <v>100</v>
      </c>
      <c r="M1610" t="s">
        <v>56</v>
      </c>
      <c r="N1610" t="s">
        <v>2582</v>
      </c>
      <c r="O1610" t="s">
        <v>119</v>
      </c>
      <c r="P1610" t="s">
        <v>49</v>
      </c>
      <c r="Q1610" t="s">
        <v>140</v>
      </c>
      <c r="R1610">
        <v>3</v>
      </c>
      <c r="S1610">
        <v>3499</v>
      </c>
      <c r="T1610">
        <v>0.2</v>
      </c>
      <c r="U1610">
        <v>8397.6</v>
      </c>
      <c r="V1610">
        <v>6300</v>
      </c>
      <c r="W1610">
        <v>2097.6</v>
      </c>
      <c r="X1610" t="s">
        <v>75</v>
      </c>
      <c r="Y1610" t="s">
        <v>69</v>
      </c>
      <c r="Z1610" t="s">
        <v>163</v>
      </c>
      <c r="AA1610" t="s">
        <v>169</v>
      </c>
      <c r="AB1610">
        <v>3</v>
      </c>
      <c r="AC1610">
        <v>120</v>
      </c>
      <c r="AD1610">
        <v>472.16</v>
      </c>
      <c r="AE1610">
        <f t="shared" si="50"/>
        <v>1505.4399999999998</v>
      </c>
      <c r="AF1610" t="str">
        <f t="shared" si="51"/>
        <v>2025-07</v>
      </c>
      <c r="AG1610">
        <f>SUBTOTAL(103,A1610)</f>
        <v>1</v>
      </c>
    </row>
    <row r="1611" spans="1:33" x14ac:dyDescent="0.3">
      <c r="A1611" t="s">
        <v>4228</v>
      </c>
      <c r="B1611" s="13">
        <v>45862</v>
      </c>
      <c r="C1611">
        <v>2025</v>
      </c>
      <c r="D1611">
        <v>7</v>
      </c>
      <c r="E1611" t="s">
        <v>4046</v>
      </c>
      <c r="F1611" t="s">
        <v>4047</v>
      </c>
      <c r="G1611" t="s">
        <v>1105</v>
      </c>
      <c r="H1611" t="s">
        <v>1106</v>
      </c>
      <c r="I1611" t="s">
        <v>85</v>
      </c>
      <c r="J1611">
        <v>49</v>
      </c>
      <c r="K1611" t="s">
        <v>83</v>
      </c>
      <c r="L1611" t="s">
        <v>2616</v>
      </c>
      <c r="M1611" t="s">
        <v>62</v>
      </c>
      <c r="N1611" t="s">
        <v>2596</v>
      </c>
      <c r="O1611" t="s">
        <v>124</v>
      </c>
      <c r="P1611" t="s">
        <v>51</v>
      </c>
      <c r="Q1611" t="s">
        <v>147</v>
      </c>
      <c r="R1611">
        <v>2</v>
      </c>
      <c r="S1611">
        <v>2299</v>
      </c>
      <c r="T1611">
        <v>0.1</v>
      </c>
      <c r="U1611">
        <v>4138.2</v>
      </c>
      <c r="V1611">
        <v>2400</v>
      </c>
      <c r="W1611">
        <v>1738.2</v>
      </c>
      <c r="X1611" t="s">
        <v>74</v>
      </c>
      <c r="Y1611" t="s">
        <v>68</v>
      </c>
      <c r="Z1611" t="s">
        <v>159</v>
      </c>
      <c r="AA1611" t="s">
        <v>167</v>
      </c>
      <c r="AB1611">
        <v>4.3</v>
      </c>
      <c r="AC1611">
        <v>60</v>
      </c>
      <c r="AD1611">
        <v>279.95</v>
      </c>
      <c r="AE1611">
        <f t="shared" si="50"/>
        <v>1398.25</v>
      </c>
      <c r="AF1611" t="str">
        <f t="shared" si="51"/>
        <v>2025-07</v>
      </c>
      <c r="AG1611">
        <f>SUBTOTAL(103,A1611)</f>
        <v>1</v>
      </c>
    </row>
    <row r="1612" spans="1:33" x14ac:dyDescent="0.3">
      <c r="A1612" t="s">
        <v>4229</v>
      </c>
      <c r="B1612" s="13">
        <v>45862</v>
      </c>
      <c r="C1612">
        <v>2025</v>
      </c>
      <c r="D1612">
        <v>7</v>
      </c>
      <c r="E1612" t="s">
        <v>4046</v>
      </c>
      <c r="F1612" t="s">
        <v>4047</v>
      </c>
      <c r="G1612" t="s">
        <v>443</v>
      </c>
      <c r="H1612" t="s">
        <v>444</v>
      </c>
      <c r="I1612" t="s">
        <v>86</v>
      </c>
      <c r="J1612">
        <v>25</v>
      </c>
      <c r="K1612" t="s">
        <v>80</v>
      </c>
      <c r="L1612" t="s">
        <v>2637</v>
      </c>
      <c r="M1612" t="s">
        <v>64</v>
      </c>
      <c r="N1612" t="s">
        <v>2592</v>
      </c>
      <c r="O1612" t="s">
        <v>115</v>
      </c>
      <c r="P1612" t="s">
        <v>48</v>
      </c>
      <c r="Q1612" t="s">
        <v>137</v>
      </c>
      <c r="R1612">
        <v>3</v>
      </c>
      <c r="S1612">
        <v>12999</v>
      </c>
      <c r="T1612">
        <v>0.05</v>
      </c>
      <c r="U1612">
        <v>37047.15</v>
      </c>
      <c r="V1612">
        <v>27000</v>
      </c>
      <c r="W1612">
        <v>10047.15</v>
      </c>
      <c r="X1612" t="s">
        <v>77</v>
      </c>
      <c r="Y1612" t="s">
        <v>68</v>
      </c>
      <c r="Z1612" t="s">
        <v>162</v>
      </c>
      <c r="AA1612" t="s">
        <v>166</v>
      </c>
      <c r="AB1612">
        <v>4.9000000000000004</v>
      </c>
      <c r="AC1612">
        <v>60</v>
      </c>
      <c r="AD1612">
        <v>1947.96</v>
      </c>
      <c r="AE1612">
        <f t="shared" si="50"/>
        <v>8039.19</v>
      </c>
      <c r="AF1612" t="str">
        <f t="shared" si="51"/>
        <v>2025-07</v>
      </c>
      <c r="AG1612">
        <f>SUBTOTAL(103,A1612)</f>
        <v>1</v>
      </c>
    </row>
    <row r="1613" spans="1:33" x14ac:dyDescent="0.3">
      <c r="A1613" t="s">
        <v>4230</v>
      </c>
      <c r="B1613" s="13">
        <v>45862</v>
      </c>
      <c r="C1613">
        <v>2025</v>
      </c>
      <c r="D1613">
        <v>7</v>
      </c>
      <c r="E1613" t="s">
        <v>4046</v>
      </c>
      <c r="F1613" t="s">
        <v>4047</v>
      </c>
      <c r="G1613" t="s">
        <v>769</v>
      </c>
      <c r="H1613" t="s">
        <v>770</v>
      </c>
      <c r="I1613" t="s">
        <v>85</v>
      </c>
      <c r="J1613">
        <v>47</v>
      </c>
      <c r="K1613" t="s">
        <v>83</v>
      </c>
      <c r="L1613" t="s">
        <v>2573</v>
      </c>
      <c r="M1613" t="s">
        <v>63</v>
      </c>
      <c r="N1613" t="s">
        <v>2587</v>
      </c>
      <c r="O1613" t="s">
        <v>116</v>
      </c>
      <c r="P1613" t="s">
        <v>48</v>
      </c>
      <c r="Q1613" t="s">
        <v>138</v>
      </c>
      <c r="R1613">
        <v>2</v>
      </c>
      <c r="S1613">
        <v>14999</v>
      </c>
      <c r="T1613">
        <v>0</v>
      </c>
      <c r="U1613">
        <v>29998</v>
      </c>
      <c r="V1613">
        <v>22400</v>
      </c>
      <c r="W1613">
        <v>7598</v>
      </c>
      <c r="X1613" t="s">
        <v>75</v>
      </c>
      <c r="Y1613" t="s">
        <v>68</v>
      </c>
      <c r="Z1613" t="s">
        <v>161</v>
      </c>
      <c r="AA1613" t="s">
        <v>166</v>
      </c>
      <c r="AB1613">
        <v>3.3</v>
      </c>
      <c r="AC1613">
        <v>100</v>
      </c>
      <c r="AD1613">
        <v>2290.5700000000002</v>
      </c>
      <c r="AE1613">
        <f t="shared" si="50"/>
        <v>5207.43</v>
      </c>
      <c r="AF1613" t="str">
        <f t="shared" si="51"/>
        <v>2025-07</v>
      </c>
      <c r="AG1613">
        <f>SUBTOTAL(103,A1613)</f>
        <v>1</v>
      </c>
    </row>
    <row r="1614" spans="1:33" x14ac:dyDescent="0.3">
      <c r="A1614" t="s">
        <v>4231</v>
      </c>
      <c r="B1614" s="13">
        <v>45862</v>
      </c>
      <c r="C1614">
        <v>2025</v>
      </c>
      <c r="D1614">
        <v>7</v>
      </c>
      <c r="E1614" t="s">
        <v>4046</v>
      </c>
      <c r="F1614" t="s">
        <v>4047</v>
      </c>
      <c r="G1614" t="s">
        <v>2297</v>
      </c>
      <c r="H1614" t="s">
        <v>2298</v>
      </c>
      <c r="I1614" t="s">
        <v>86</v>
      </c>
      <c r="J1614">
        <v>31</v>
      </c>
      <c r="K1614" t="s">
        <v>81</v>
      </c>
      <c r="L1614" t="s">
        <v>98</v>
      </c>
      <c r="M1614" t="s">
        <v>55</v>
      </c>
      <c r="N1614" t="s">
        <v>2653</v>
      </c>
      <c r="O1614" t="s">
        <v>132</v>
      </c>
      <c r="P1614" t="s">
        <v>52</v>
      </c>
      <c r="Q1614" t="s">
        <v>150</v>
      </c>
      <c r="R1614">
        <v>1</v>
      </c>
      <c r="S1614">
        <v>899</v>
      </c>
      <c r="T1614">
        <v>0</v>
      </c>
      <c r="U1614">
        <v>899</v>
      </c>
      <c r="V1614">
        <v>420</v>
      </c>
      <c r="W1614">
        <v>479</v>
      </c>
      <c r="X1614" t="s">
        <v>74</v>
      </c>
      <c r="Y1614" t="s">
        <v>68</v>
      </c>
      <c r="Z1614" t="s">
        <v>158</v>
      </c>
      <c r="AA1614" t="s">
        <v>166</v>
      </c>
      <c r="AB1614">
        <v>4.5</v>
      </c>
      <c r="AC1614">
        <v>40</v>
      </c>
      <c r="AD1614">
        <v>77.760000000000005</v>
      </c>
      <c r="AE1614">
        <f t="shared" si="50"/>
        <v>361.24</v>
      </c>
      <c r="AF1614" t="str">
        <f t="shared" si="51"/>
        <v>2025-07</v>
      </c>
      <c r="AG1614">
        <f>SUBTOTAL(103,A1614)</f>
        <v>1</v>
      </c>
    </row>
    <row r="1615" spans="1:33" x14ac:dyDescent="0.3">
      <c r="A1615" t="s">
        <v>4232</v>
      </c>
      <c r="B1615" s="13">
        <v>45862</v>
      </c>
      <c r="C1615">
        <v>2025</v>
      </c>
      <c r="D1615">
        <v>7</v>
      </c>
      <c r="E1615" t="s">
        <v>4046</v>
      </c>
      <c r="F1615" t="s">
        <v>4047</v>
      </c>
      <c r="G1615" t="s">
        <v>739</v>
      </c>
      <c r="H1615" t="s">
        <v>740</v>
      </c>
      <c r="I1615" t="s">
        <v>86</v>
      </c>
      <c r="J1615">
        <v>21</v>
      </c>
      <c r="K1615" t="s">
        <v>80</v>
      </c>
      <c r="L1615" t="s">
        <v>96</v>
      </c>
      <c r="M1615" t="s">
        <v>55</v>
      </c>
      <c r="N1615" t="s">
        <v>2603</v>
      </c>
      <c r="O1615" t="s">
        <v>122</v>
      </c>
      <c r="P1615" t="s">
        <v>48</v>
      </c>
      <c r="Q1615" t="s">
        <v>141</v>
      </c>
      <c r="R1615">
        <v>1</v>
      </c>
      <c r="S1615">
        <v>2499</v>
      </c>
      <c r="T1615">
        <v>0.05</v>
      </c>
      <c r="U1615">
        <v>2374.0500000000002</v>
      </c>
      <c r="V1615">
        <v>1450</v>
      </c>
      <c r="W1615">
        <v>924.05</v>
      </c>
      <c r="X1615" t="s">
        <v>73</v>
      </c>
      <c r="Y1615" t="s">
        <v>68</v>
      </c>
      <c r="Z1615" t="s">
        <v>161</v>
      </c>
      <c r="AA1615" t="s">
        <v>167</v>
      </c>
      <c r="AB1615">
        <v>4.4000000000000004</v>
      </c>
      <c r="AC1615">
        <v>40</v>
      </c>
      <c r="AD1615">
        <v>178.36</v>
      </c>
      <c r="AE1615">
        <f t="shared" si="50"/>
        <v>705.68999999999994</v>
      </c>
      <c r="AF1615" t="str">
        <f t="shared" si="51"/>
        <v>2025-07</v>
      </c>
      <c r="AG1615">
        <f>SUBTOTAL(103,A1615)</f>
        <v>1</v>
      </c>
    </row>
    <row r="1616" spans="1:33" x14ac:dyDescent="0.3">
      <c r="A1616" t="s">
        <v>4233</v>
      </c>
      <c r="B1616" s="13">
        <v>45862</v>
      </c>
      <c r="C1616">
        <v>2025</v>
      </c>
      <c r="D1616">
        <v>7</v>
      </c>
      <c r="E1616" t="s">
        <v>4046</v>
      </c>
      <c r="F1616" t="s">
        <v>4047</v>
      </c>
      <c r="G1616" t="s">
        <v>1221</v>
      </c>
      <c r="H1616" t="s">
        <v>1222</v>
      </c>
      <c r="I1616" t="s">
        <v>86</v>
      </c>
      <c r="J1616">
        <v>58</v>
      </c>
      <c r="K1616" t="s">
        <v>83</v>
      </c>
      <c r="L1616" t="s">
        <v>98</v>
      </c>
      <c r="M1616" t="s">
        <v>55</v>
      </c>
      <c r="N1616" t="s">
        <v>2630</v>
      </c>
      <c r="O1616" t="s">
        <v>123</v>
      </c>
      <c r="P1616" t="s">
        <v>52</v>
      </c>
      <c r="Q1616" t="s">
        <v>146</v>
      </c>
      <c r="R1616">
        <v>1</v>
      </c>
      <c r="S1616">
        <v>2499</v>
      </c>
      <c r="T1616">
        <v>0.05</v>
      </c>
      <c r="U1616">
        <v>2374.0500000000002</v>
      </c>
      <c r="V1616">
        <v>1400</v>
      </c>
      <c r="W1616">
        <v>974.05</v>
      </c>
      <c r="X1616" t="s">
        <v>74</v>
      </c>
      <c r="Y1616" t="s">
        <v>68</v>
      </c>
      <c r="Z1616" t="s">
        <v>162</v>
      </c>
      <c r="AA1616" t="s">
        <v>169</v>
      </c>
      <c r="AB1616">
        <v>3.8</v>
      </c>
      <c r="AC1616">
        <v>60</v>
      </c>
      <c r="AD1616">
        <v>50</v>
      </c>
      <c r="AE1616">
        <f t="shared" si="50"/>
        <v>864.05</v>
      </c>
      <c r="AF1616" t="str">
        <f t="shared" si="51"/>
        <v>2025-07</v>
      </c>
      <c r="AG1616">
        <f>SUBTOTAL(103,A1616)</f>
        <v>1</v>
      </c>
    </row>
    <row r="1617" spans="1:33" x14ac:dyDescent="0.3">
      <c r="A1617" t="s">
        <v>4234</v>
      </c>
      <c r="B1617" s="13">
        <v>45863</v>
      </c>
      <c r="C1617">
        <v>2025</v>
      </c>
      <c r="D1617">
        <v>7</v>
      </c>
      <c r="E1617" t="s">
        <v>4046</v>
      </c>
      <c r="F1617" t="s">
        <v>4047</v>
      </c>
      <c r="G1617" t="s">
        <v>293</v>
      </c>
      <c r="H1617" t="s">
        <v>294</v>
      </c>
      <c r="I1617" t="s">
        <v>86</v>
      </c>
      <c r="J1617">
        <v>30</v>
      </c>
      <c r="K1617" t="s">
        <v>81</v>
      </c>
      <c r="L1617" t="s">
        <v>98</v>
      </c>
      <c r="M1617" t="s">
        <v>55</v>
      </c>
      <c r="N1617" t="s">
        <v>2587</v>
      </c>
      <c r="O1617" t="s">
        <v>116</v>
      </c>
      <c r="P1617" t="s">
        <v>48</v>
      </c>
      <c r="Q1617" t="s">
        <v>138</v>
      </c>
      <c r="R1617">
        <v>4</v>
      </c>
      <c r="S1617">
        <v>14999</v>
      </c>
      <c r="T1617">
        <v>0.05</v>
      </c>
      <c r="U1617">
        <v>56996.2</v>
      </c>
      <c r="V1617">
        <v>44800</v>
      </c>
      <c r="W1617">
        <v>12196.2</v>
      </c>
      <c r="X1617" t="s">
        <v>76</v>
      </c>
      <c r="Y1617" t="s">
        <v>68</v>
      </c>
      <c r="Z1617" t="s">
        <v>159</v>
      </c>
      <c r="AA1617" t="s">
        <v>167</v>
      </c>
      <c r="AB1617">
        <v>3.7</v>
      </c>
      <c r="AC1617">
        <v>120</v>
      </c>
      <c r="AD1617">
        <v>5824.56</v>
      </c>
      <c r="AE1617">
        <f t="shared" si="50"/>
        <v>6251.64</v>
      </c>
      <c r="AF1617" t="str">
        <f t="shared" si="51"/>
        <v>2025-07</v>
      </c>
      <c r="AG1617">
        <f>SUBTOTAL(103,A1617)</f>
        <v>1</v>
      </c>
    </row>
    <row r="1618" spans="1:33" x14ac:dyDescent="0.3">
      <c r="A1618" t="s">
        <v>4235</v>
      </c>
      <c r="B1618" s="13">
        <v>45863</v>
      </c>
      <c r="C1618">
        <v>2025</v>
      </c>
      <c r="D1618">
        <v>7</v>
      </c>
      <c r="E1618" t="s">
        <v>4046</v>
      </c>
      <c r="F1618" t="s">
        <v>4047</v>
      </c>
      <c r="G1618" t="s">
        <v>1863</v>
      </c>
      <c r="H1618" t="s">
        <v>1864</v>
      </c>
      <c r="I1618" t="s">
        <v>85</v>
      </c>
      <c r="J1618">
        <v>37</v>
      </c>
      <c r="K1618" t="s">
        <v>82</v>
      </c>
      <c r="L1618" t="s">
        <v>95</v>
      </c>
      <c r="M1618" t="s">
        <v>56</v>
      </c>
      <c r="N1618" t="s">
        <v>2665</v>
      </c>
      <c r="O1618" t="s">
        <v>128</v>
      </c>
      <c r="P1618" t="s">
        <v>53</v>
      </c>
      <c r="Q1618" t="s">
        <v>143</v>
      </c>
      <c r="R1618">
        <v>1</v>
      </c>
      <c r="S1618">
        <v>1499</v>
      </c>
      <c r="T1618">
        <v>0.1</v>
      </c>
      <c r="U1618">
        <v>1349.1</v>
      </c>
      <c r="V1618">
        <v>800</v>
      </c>
      <c r="W1618">
        <v>549.1</v>
      </c>
      <c r="X1618" t="s">
        <v>74</v>
      </c>
      <c r="Y1618" t="s">
        <v>68</v>
      </c>
      <c r="Z1618" t="s">
        <v>161</v>
      </c>
      <c r="AA1618" t="s">
        <v>171</v>
      </c>
      <c r="AB1618">
        <v>4.2</v>
      </c>
      <c r="AC1618">
        <v>100</v>
      </c>
      <c r="AD1618">
        <v>147.29</v>
      </c>
      <c r="AE1618">
        <f t="shared" si="50"/>
        <v>301.81000000000006</v>
      </c>
      <c r="AF1618" t="str">
        <f t="shared" si="51"/>
        <v>2025-07</v>
      </c>
      <c r="AG1618">
        <f>SUBTOTAL(103,A1618)</f>
        <v>1</v>
      </c>
    </row>
    <row r="1619" spans="1:33" x14ac:dyDescent="0.3">
      <c r="A1619" t="s">
        <v>4236</v>
      </c>
      <c r="B1619" s="13">
        <v>45863</v>
      </c>
      <c r="C1619">
        <v>2025</v>
      </c>
      <c r="D1619">
        <v>7</v>
      </c>
      <c r="E1619" t="s">
        <v>4046</v>
      </c>
      <c r="F1619" t="s">
        <v>4047</v>
      </c>
      <c r="G1619" t="s">
        <v>1683</v>
      </c>
      <c r="H1619" t="s">
        <v>1684</v>
      </c>
      <c r="I1619" t="s">
        <v>86</v>
      </c>
      <c r="J1619">
        <v>45</v>
      </c>
      <c r="K1619" t="s">
        <v>82</v>
      </c>
      <c r="L1619" t="s">
        <v>94</v>
      </c>
      <c r="M1619" t="s">
        <v>57</v>
      </c>
      <c r="N1619" t="s">
        <v>2582</v>
      </c>
      <c r="O1619" t="s">
        <v>119</v>
      </c>
      <c r="P1619" t="s">
        <v>49</v>
      </c>
      <c r="Q1619" t="s">
        <v>140</v>
      </c>
      <c r="R1619">
        <v>2</v>
      </c>
      <c r="S1619">
        <v>3499</v>
      </c>
      <c r="T1619">
        <v>0</v>
      </c>
      <c r="U1619">
        <v>0</v>
      </c>
      <c r="V1619">
        <v>0</v>
      </c>
      <c r="W1619">
        <v>0</v>
      </c>
      <c r="X1619" t="s">
        <v>76</v>
      </c>
      <c r="Y1619" t="s">
        <v>71</v>
      </c>
      <c r="Z1619" t="s">
        <v>158</v>
      </c>
      <c r="AA1619" t="s">
        <v>170</v>
      </c>
      <c r="AB1619">
        <v>3.7</v>
      </c>
      <c r="AC1619">
        <v>80</v>
      </c>
      <c r="AD1619">
        <v>534.97</v>
      </c>
      <c r="AE1619">
        <f t="shared" si="50"/>
        <v>-614.97</v>
      </c>
      <c r="AF1619" t="str">
        <f t="shared" si="51"/>
        <v>2025-07</v>
      </c>
      <c r="AG1619">
        <f>SUBTOTAL(103,A1619)</f>
        <v>1</v>
      </c>
    </row>
    <row r="1620" spans="1:33" x14ac:dyDescent="0.3">
      <c r="A1620" t="s">
        <v>4237</v>
      </c>
      <c r="B1620" s="13">
        <v>45863</v>
      </c>
      <c r="C1620">
        <v>2025</v>
      </c>
      <c r="D1620">
        <v>7</v>
      </c>
      <c r="E1620" t="s">
        <v>4046</v>
      </c>
      <c r="F1620" t="s">
        <v>4047</v>
      </c>
      <c r="G1620" t="s">
        <v>1839</v>
      </c>
      <c r="H1620" t="s">
        <v>1840</v>
      </c>
      <c r="I1620" t="s">
        <v>85</v>
      </c>
      <c r="J1620">
        <v>34</v>
      </c>
      <c r="K1620" t="s">
        <v>81</v>
      </c>
      <c r="L1620" t="s">
        <v>90</v>
      </c>
      <c r="M1620" t="s">
        <v>55</v>
      </c>
      <c r="N1620" t="s">
        <v>2594</v>
      </c>
      <c r="O1620" t="s">
        <v>131</v>
      </c>
      <c r="P1620" t="s">
        <v>53</v>
      </c>
      <c r="Q1620" t="s">
        <v>143</v>
      </c>
      <c r="R1620">
        <v>1</v>
      </c>
      <c r="S1620">
        <v>999</v>
      </c>
      <c r="T1620">
        <v>0</v>
      </c>
      <c r="U1620">
        <v>999</v>
      </c>
      <c r="V1620">
        <v>520</v>
      </c>
      <c r="W1620">
        <v>479</v>
      </c>
      <c r="X1620" t="s">
        <v>77</v>
      </c>
      <c r="Y1620" t="s">
        <v>68</v>
      </c>
      <c r="Z1620" t="s">
        <v>161</v>
      </c>
      <c r="AA1620" t="s">
        <v>168</v>
      </c>
      <c r="AB1620">
        <v>4.8</v>
      </c>
      <c r="AC1620">
        <v>80</v>
      </c>
      <c r="AD1620">
        <v>28.89</v>
      </c>
      <c r="AE1620">
        <f t="shared" si="50"/>
        <v>370.11</v>
      </c>
      <c r="AF1620" t="str">
        <f t="shared" si="51"/>
        <v>2025-07</v>
      </c>
      <c r="AG1620">
        <f>SUBTOTAL(103,A1620)</f>
        <v>1</v>
      </c>
    </row>
    <row r="1621" spans="1:33" x14ac:dyDescent="0.3">
      <c r="A1621" t="s">
        <v>4238</v>
      </c>
      <c r="B1621" s="13">
        <v>45863</v>
      </c>
      <c r="C1621">
        <v>2025</v>
      </c>
      <c r="D1621">
        <v>7</v>
      </c>
      <c r="E1621" t="s">
        <v>4046</v>
      </c>
      <c r="F1621" t="s">
        <v>4047</v>
      </c>
      <c r="G1621" t="s">
        <v>505</v>
      </c>
      <c r="H1621" t="s">
        <v>506</v>
      </c>
      <c r="I1621" t="s">
        <v>85</v>
      </c>
      <c r="J1621">
        <v>25</v>
      </c>
      <c r="K1621" t="s">
        <v>80</v>
      </c>
      <c r="L1621" t="s">
        <v>92</v>
      </c>
      <c r="M1621" t="s">
        <v>59</v>
      </c>
      <c r="N1621" t="s">
        <v>2644</v>
      </c>
      <c r="O1621" t="s">
        <v>126</v>
      </c>
      <c r="P1621" t="s">
        <v>50</v>
      </c>
      <c r="Q1621" t="s">
        <v>145</v>
      </c>
      <c r="R1621">
        <v>2</v>
      </c>
      <c r="S1621">
        <v>1799</v>
      </c>
      <c r="T1621">
        <v>0.15</v>
      </c>
      <c r="U1621">
        <v>3058.3</v>
      </c>
      <c r="V1621">
        <v>1900</v>
      </c>
      <c r="W1621">
        <v>1158.3</v>
      </c>
      <c r="X1621" t="s">
        <v>76</v>
      </c>
      <c r="Y1621" t="s">
        <v>68</v>
      </c>
      <c r="Z1621" t="s">
        <v>163</v>
      </c>
      <c r="AA1621" t="s">
        <v>169</v>
      </c>
      <c r="AB1621">
        <v>4.5</v>
      </c>
      <c r="AC1621">
        <v>50</v>
      </c>
      <c r="AD1621">
        <v>199.32</v>
      </c>
      <c r="AE1621">
        <f t="shared" si="50"/>
        <v>908.98</v>
      </c>
      <c r="AF1621" t="str">
        <f t="shared" si="51"/>
        <v>2025-07</v>
      </c>
      <c r="AG1621">
        <f>SUBTOTAL(103,A1621)</f>
        <v>1</v>
      </c>
    </row>
    <row r="1622" spans="1:33" x14ac:dyDescent="0.3">
      <c r="A1622" t="s">
        <v>4239</v>
      </c>
      <c r="B1622" s="13">
        <v>45863</v>
      </c>
      <c r="C1622">
        <v>2025</v>
      </c>
      <c r="D1622">
        <v>7</v>
      </c>
      <c r="E1622" t="s">
        <v>4046</v>
      </c>
      <c r="F1622" t="s">
        <v>4047</v>
      </c>
      <c r="G1622" t="s">
        <v>1113</v>
      </c>
      <c r="H1622" t="s">
        <v>1114</v>
      </c>
      <c r="I1622" t="s">
        <v>86</v>
      </c>
      <c r="J1622">
        <v>19</v>
      </c>
      <c r="K1622" t="s">
        <v>80</v>
      </c>
      <c r="L1622" t="s">
        <v>2634</v>
      </c>
      <c r="M1622" t="s">
        <v>56</v>
      </c>
      <c r="N1622" t="s">
        <v>2603</v>
      </c>
      <c r="O1622" t="s">
        <v>122</v>
      </c>
      <c r="P1622" t="s">
        <v>48</v>
      </c>
      <c r="Q1622" t="s">
        <v>141</v>
      </c>
      <c r="R1622">
        <v>4</v>
      </c>
      <c r="S1622">
        <v>2499</v>
      </c>
      <c r="T1622">
        <v>0</v>
      </c>
      <c r="U1622">
        <v>9996</v>
      </c>
      <c r="V1622">
        <v>5800</v>
      </c>
      <c r="W1622">
        <v>4196</v>
      </c>
      <c r="X1622" t="s">
        <v>74</v>
      </c>
      <c r="Y1622" t="s">
        <v>68</v>
      </c>
      <c r="Z1622" t="s">
        <v>161</v>
      </c>
      <c r="AA1622" t="s">
        <v>166</v>
      </c>
      <c r="AB1622">
        <v>4.2</v>
      </c>
      <c r="AC1622">
        <v>50</v>
      </c>
      <c r="AD1622">
        <v>412.1</v>
      </c>
      <c r="AE1622">
        <f t="shared" si="50"/>
        <v>3733.9</v>
      </c>
      <c r="AF1622" t="str">
        <f t="shared" si="51"/>
        <v>2025-07</v>
      </c>
      <c r="AG1622">
        <f>SUBTOTAL(103,A1622)</f>
        <v>1</v>
      </c>
    </row>
    <row r="1623" spans="1:33" x14ac:dyDescent="0.3">
      <c r="A1623" t="s">
        <v>4240</v>
      </c>
      <c r="B1623" s="13">
        <v>45864</v>
      </c>
      <c r="C1623">
        <v>2025</v>
      </c>
      <c r="D1623">
        <v>7</v>
      </c>
      <c r="E1623" t="s">
        <v>4046</v>
      </c>
      <c r="F1623" t="s">
        <v>4047</v>
      </c>
      <c r="G1623" t="s">
        <v>743</v>
      </c>
      <c r="H1623" t="s">
        <v>744</v>
      </c>
      <c r="I1623" t="s">
        <v>86</v>
      </c>
      <c r="J1623">
        <v>41</v>
      </c>
      <c r="K1623" t="s">
        <v>82</v>
      </c>
      <c r="L1623" t="s">
        <v>95</v>
      </c>
      <c r="M1623" t="s">
        <v>56</v>
      </c>
      <c r="N1623" t="s">
        <v>2592</v>
      </c>
      <c r="O1623" t="s">
        <v>115</v>
      </c>
      <c r="P1623" t="s">
        <v>48</v>
      </c>
      <c r="Q1623" t="s">
        <v>137</v>
      </c>
      <c r="R1623">
        <v>2</v>
      </c>
      <c r="S1623">
        <v>12999</v>
      </c>
      <c r="T1623">
        <v>0.1</v>
      </c>
      <c r="U1623">
        <v>23398.2</v>
      </c>
      <c r="V1623">
        <v>18000</v>
      </c>
      <c r="W1623">
        <v>5398.2</v>
      </c>
      <c r="X1623" t="s">
        <v>73</v>
      </c>
      <c r="Y1623" t="s">
        <v>68</v>
      </c>
      <c r="Z1623" t="s">
        <v>160</v>
      </c>
      <c r="AA1623" t="s">
        <v>169</v>
      </c>
      <c r="AB1623">
        <v>4.0999999999999996</v>
      </c>
      <c r="AC1623">
        <v>120</v>
      </c>
      <c r="AD1623">
        <v>1097.5999999999999</v>
      </c>
      <c r="AE1623">
        <f t="shared" si="50"/>
        <v>4180.6000000000004</v>
      </c>
      <c r="AF1623" t="str">
        <f t="shared" si="51"/>
        <v>2025-07</v>
      </c>
      <c r="AG1623">
        <f>SUBTOTAL(103,A1623)</f>
        <v>1</v>
      </c>
    </row>
    <row r="1624" spans="1:33" x14ac:dyDescent="0.3">
      <c r="A1624" t="s">
        <v>4241</v>
      </c>
      <c r="B1624" s="13">
        <v>45864</v>
      </c>
      <c r="C1624">
        <v>2025</v>
      </c>
      <c r="D1624">
        <v>7</v>
      </c>
      <c r="E1624" t="s">
        <v>4046</v>
      </c>
      <c r="F1624" t="s">
        <v>4047</v>
      </c>
      <c r="G1624" t="s">
        <v>1831</v>
      </c>
      <c r="H1624" t="s">
        <v>1832</v>
      </c>
      <c r="I1624" t="s">
        <v>86</v>
      </c>
      <c r="J1624">
        <v>34</v>
      </c>
      <c r="K1624" t="s">
        <v>81</v>
      </c>
      <c r="L1624" t="s">
        <v>91</v>
      </c>
      <c r="M1624" t="s">
        <v>55</v>
      </c>
      <c r="N1624" t="s">
        <v>2584</v>
      </c>
      <c r="O1624" t="s">
        <v>121</v>
      </c>
      <c r="P1624" t="s">
        <v>50</v>
      </c>
      <c r="Q1624" t="s">
        <v>144</v>
      </c>
      <c r="R1624">
        <v>2</v>
      </c>
      <c r="S1624">
        <v>2999</v>
      </c>
      <c r="T1624">
        <v>0</v>
      </c>
      <c r="U1624">
        <v>5998</v>
      </c>
      <c r="V1624">
        <v>3400</v>
      </c>
      <c r="W1624">
        <v>2598</v>
      </c>
      <c r="X1624" t="s">
        <v>76</v>
      </c>
      <c r="Y1624" t="s">
        <v>68</v>
      </c>
      <c r="Z1624" t="s">
        <v>162</v>
      </c>
      <c r="AA1624" t="s">
        <v>170</v>
      </c>
      <c r="AB1624">
        <v>3.3</v>
      </c>
      <c r="AC1624">
        <v>50</v>
      </c>
      <c r="AD1624">
        <v>530.86</v>
      </c>
      <c r="AE1624">
        <f t="shared" si="50"/>
        <v>2017.1399999999999</v>
      </c>
      <c r="AF1624" t="str">
        <f t="shared" si="51"/>
        <v>2025-07</v>
      </c>
      <c r="AG1624">
        <f>SUBTOTAL(103,A1624)</f>
        <v>1</v>
      </c>
    </row>
    <row r="1625" spans="1:33" x14ac:dyDescent="0.3">
      <c r="A1625" t="s">
        <v>4242</v>
      </c>
      <c r="B1625" s="13">
        <v>45864</v>
      </c>
      <c r="C1625">
        <v>2025</v>
      </c>
      <c r="D1625">
        <v>7</v>
      </c>
      <c r="E1625" t="s">
        <v>4046</v>
      </c>
      <c r="F1625" t="s">
        <v>4047</v>
      </c>
      <c r="G1625" t="s">
        <v>619</v>
      </c>
      <c r="H1625" t="s">
        <v>620</v>
      </c>
      <c r="I1625" t="s">
        <v>85</v>
      </c>
      <c r="J1625">
        <v>32</v>
      </c>
      <c r="K1625" t="s">
        <v>81</v>
      </c>
      <c r="L1625" t="s">
        <v>90</v>
      </c>
      <c r="M1625" t="s">
        <v>55</v>
      </c>
      <c r="N1625" t="s">
        <v>2580</v>
      </c>
      <c r="O1625" t="s">
        <v>118</v>
      </c>
      <c r="P1625" t="s">
        <v>48</v>
      </c>
      <c r="Q1625" t="s">
        <v>142</v>
      </c>
      <c r="R1625">
        <v>1</v>
      </c>
      <c r="S1625">
        <v>3999</v>
      </c>
      <c r="T1625">
        <v>0.2</v>
      </c>
      <c r="U1625">
        <v>3199.2</v>
      </c>
      <c r="V1625">
        <v>2400</v>
      </c>
      <c r="W1625">
        <v>799.2</v>
      </c>
      <c r="X1625" t="s">
        <v>77</v>
      </c>
      <c r="Y1625" t="s">
        <v>70</v>
      </c>
      <c r="Z1625" t="s">
        <v>160</v>
      </c>
      <c r="AA1625" t="s">
        <v>166</v>
      </c>
      <c r="AB1625">
        <v>3.3</v>
      </c>
      <c r="AC1625">
        <v>60</v>
      </c>
      <c r="AD1625">
        <v>99.42</v>
      </c>
      <c r="AE1625">
        <f t="shared" si="50"/>
        <v>639.78000000000009</v>
      </c>
      <c r="AF1625" t="str">
        <f t="shared" si="51"/>
        <v>2025-07</v>
      </c>
      <c r="AG1625">
        <f>SUBTOTAL(103,A1625)</f>
        <v>1</v>
      </c>
    </row>
    <row r="1626" spans="1:33" x14ac:dyDescent="0.3">
      <c r="A1626" t="s">
        <v>4243</v>
      </c>
      <c r="B1626" s="13">
        <v>45864</v>
      </c>
      <c r="C1626">
        <v>2025</v>
      </c>
      <c r="D1626">
        <v>7</v>
      </c>
      <c r="E1626" t="s">
        <v>4046</v>
      </c>
      <c r="F1626" t="s">
        <v>4047</v>
      </c>
      <c r="G1626" t="s">
        <v>2003</v>
      </c>
      <c r="H1626" t="s">
        <v>2004</v>
      </c>
      <c r="I1626" t="s">
        <v>86</v>
      </c>
      <c r="J1626">
        <v>32</v>
      </c>
      <c r="K1626" t="s">
        <v>81</v>
      </c>
      <c r="L1626" t="s">
        <v>2690</v>
      </c>
      <c r="M1626" t="s">
        <v>63</v>
      </c>
      <c r="N1626" t="s">
        <v>2644</v>
      </c>
      <c r="O1626" t="s">
        <v>126</v>
      </c>
      <c r="P1626" t="s">
        <v>50</v>
      </c>
      <c r="Q1626" t="s">
        <v>145</v>
      </c>
      <c r="R1626">
        <v>2</v>
      </c>
      <c r="S1626">
        <v>1799</v>
      </c>
      <c r="T1626">
        <v>0.1</v>
      </c>
      <c r="U1626">
        <v>3238.2</v>
      </c>
      <c r="V1626">
        <v>1900</v>
      </c>
      <c r="W1626">
        <v>1338.2</v>
      </c>
      <c r="X1626" t="s">
        <v>73</v>
      </c>
      <c r="Y1626" t="s">
        <v>68</v>
      </c>
      <c r="Z1626" t="s">
        <v>159</v>
      </c>
      <c r="AA1626" t="s">
        <v>166</v>
      </c>
      <c r="AB1626">
        <v>3.8</v>
      </c>
      <c r="AC1626">
        <v>60</v>
      </c>
      <c r="AD1626">
        <v>210.46</v>
      </c>
      <c r="AE1626">
        <f t="shared" si="50"/>
        <v>1067.74</v>
      </c>
      <c r="AF1626" t="str">
        <f t="shared" si="51"/>
        <v>2025-07</v>
      </c>
      <c r="AG1626">
        <f>SUBTOTAL(103,A1626)</f>
        <v>1</v>
      </c>
    </row>
    <row r="1627" spans="1:33" x14ac:dyDescent="0.3">
      <c r="A1627" t="s">
        <v>4244</v>
      </c>
      <c r="B1627" s="13">
        <v>45864</v>
      </c>
      <c r="C1627">
        <v>2025</v>
      </c>
      <c r="D1627">
        <v>7</v>
      </c>
      <c r="E1627" t="s">
        <v>4046</v>
      </c>
      <c r="F1627" t="s">
        <v>4047</v>
      </c>
      <c r="G1627" t="s">
        <v>421</v>
      </c>
      <c r="H1627" t="s">
        <v>422</v>
      </c>
      <c r="I1627" t="s">
        <v>86</v>
      </c>
      <c r="J1627">
        <v>47</v>
      </c>
      <c r="K1627" t="s">
        <v>83</v>
      </c>
      <c r="L1627" t="s">
        <v>2589</v>
      </c>
      <c r="M1627" t="s">
        <v>61</v>
      </c>
      <c r="N1627" t="s">
        <v>2665</v>
      </c>
      <c r="O1627" t="s">
        <v>128</v>
      </c>
      <c r="P1627" t="s">
        <v>53</v>
      </c>
      <c r="Q1627" t="s">
        <v>143</v>
      </c>
      <c r="R1627">
        <v>3</v>
      </c>
      <c r="S1627">
        <v>1499</v>
      </c>
      <c r="T1627">
        <v>0.05</v>
      </c>
      <c r="U1627">
        <v>4272.1499999999996</v>
      </c>
      <c r="V1627">
        <v>2400</v>
      </c>
      <c r="W1627">
        <v>1872.15</v>
      </c>
      <c r="X1627" t="s">
        <v>75</v>
      </c>
      <c r="Y1627" t="s">
        <v>68</v>
      </c>
      <c r="Z1627" t="s">
        <v>161</v>
      </c>
      <c r="AA1627" t="s">
        <v>168</v>
      </c>
      <c r="AB1627">
        <v>5</v>
      </c>
      <c r="AC1627">
        <v>80</v>
      </c>
      <c r="AD1627">
        <v>355.93</v>
      </c>
      <c r="AE1627">
        <f t="shared" si="50"/>
        <v>1436.22</v>
      </c>
      <c r="AF1627" t="str">
        <f t="shared" si="51"/>
        <v>2025-07</v>
      </c>
      <c r="AG1627">
        <f>SUBTOTAL(103,A1627)</f>
        <v>1</v>
      </c>
    </row>
    <row r="1628" spans="1:33" x14ac:dyDescent="0.3">
      <c r="A1628" t="s">
        <v>4245</v>
      </c>
      <c r="B1628" s="13">
        <v>45864</v>
      </c>
      <c r="C1628">
        <v>2025</v>
      </c>
      <c r="D1628">
        <v>7</v>
      </c>
      <c r="E1628" t="s">
        <v>4046</v>
      </c>
      <c r="F1628" t="s">
        <v>4047</v>
      </c>
      <c r="G1628" t="s">
        <v>1781</v>
      </c>
      <c r="H1628" t="s">
        <v>1782</v>
      </c>
      <c r="I1628" t="s">
        <v>85</v>
      </c>
      <c r="J1628">
        <v>29</v>
      </c>
      <c r="K1628" t="s">
        <v>81</v>
      </c>
      <c r="L1628" t="s">
        <v>90</v>
      </c>
      <c r="M1628" t="s">
        <v>55</v>
      </c>
      <c r="N1628" t="s">
        <v>2596</v>
      </c>
      <c r="O1628" t="s">
        <v>124</v>
      </c>
      <c r="P1628" t="s">
        <v>51</v>
      </c>
      <c r="Q1628" t="s">
        <v>147</v>
      </c>
      <c r="R1628">
        <v>2</v>
      </c>
      <c r="S1628">
        <v>2299</v>
      </c>
      <c r="T1628">
        <v>0.15</v>
      </c>
      <c r="U1628">
        <v>3908.3</v>
      </c>
      <c r="V1628">
        <v>2400</v>
      </c>
      <c r="W1628">
        <v>1508.3</v>
      </c>
      <c r="X1628" t="s">
        <v>76</v>
      </c>
      <c r="Y1628" t="s">
        <v>68</v>
      </c>
      <c r="Z1628" t="s">
        <v>161</v>
      </c>
      <c r="AA1628" t="s">
        <v>169</v>
      </c>
      <c r="AB1628">
        <v>4.2</v>
      </c>
      <c r="AC1628">
        <v>50</v>
      </c>
      <c r="AD1628">
        <v>343.65</v>
      </c>
      <c r="AE1628">
        <f t="shared" si="50"/>
        <v>1114.6500000000001</v>
      </c>
      <c r="AF1628" t="str">
        <f t="shared" si="51"/>
        <v>2025-07</v>
      </c>
      <c r="AG1628">
        <f>SUBTOTAL(103,A1628)</f>
        <v>1</v>
      </c>
    </row>
    <row r="1629" spans="1:33" x14ac:dyDescent="0.3">
      <c r="A1629" t="s">
        <v>4246</v>
      </c>
      <c r="B1629" s="13">
        <v>45864</v>
      </c>
      <c r="C1629">
        <v>2025</v>
      </c>
      <c r="D1629">
        <v>7</v>
      </c>
      <c r="E1629" t="s">
        <v>4046</v>
      </c>
      <c r="F1629" t="s">
        <v>4047</v>
      </c>
      <c r="G1629" t="s">
        <v>959</v>
      </c>
      <c r="H1629" t="s">
        <v>960</v>
      </c>
      <c r="I1629" t="s">
        <v>86</v>
      </c>
      <c r="J1629">
        <v>26</v>
      </c>
      <c r="K1629" t="s">
        <v>81</v>
      </c>
      <c r="L1629" t="s">
        <v>2679</v>
      </c>
      <c r="M1629" t="s">
        <v>60</v>
      </c>
      <c r="N1629" t="s">
        <v>2601</v>
      </c>
      <c r="O1629" t="s">
        <v>117</v>
      </c>
      <c r="P1629" t="s">
        <v>49</v>
      </c>
      <c r="Q1629" t="s">
        <v>139</v>
      </c>
      <c r="R1629">
        <v>1</v>
      </c>
      <c r="S1629">
        <v>6999</v>
      </c>
      <c r="T1629">
        <v>0.05</v>
      </c>
      <c r="U1629">
        <v>6649.05</v>
      </c>
      <c r="V1629">
        <v>4300</v>
      </c>
      <c r="W1629">
        <v>2349.0500000000002</v>
      </c>
      <c r="X1629" t="s">
        <v>73</v>
      </c>
      <c r="Y1629" t="s">
        <v>68</v>
      </c>
      <c r="Z1629" t="s">
        <v>159</v>
      </c>
      <c r="AA1629" t="s">
        <v>166</v>
      </c>
      <c r="AB1629">
        <v>5</v>
      </c>
      <c r="AC1629">
        <v>40</v>
      </c>
      <c r="AD1629">
        <v>390.28</v>
      </c>
      <c r="AE1629">
        <f t="shared" si="50"/>
        <v>1918.7700000000002</v>
      </c>
      <c r="AF1629" t="str">
        <f t="shared" si="51"/>
        <v>2025-07</v>
      </c>
      <c r="AG1629">
        <f>SUBTOTAL(103,A1629)</f>
        <v>1</v>
      </c>
    </row>
    <row r="1630" spans="1:33" x14ac:dyDescent="0.3">
      <c r="A1630" t="s">
        <v>4247</v>
      </c>
      <c r="B1630" s="13">
        <v>45864</v>
      </c>
      <c r="C1630">
        <v>2025</v>
      </c>
      <c r="D1630">
        <v>7</v>
      </c>
      <c r="E1630" t="s">
        <v>4046</v>
      </c>
      <c r="F1630" t="s">
        <v>4047</v>
      </c>
      <c r="G1630" t="s">
        <v>851</v>
      </c>
      <c r="H1630" t="s">
        <v>852</v>
      </c>
      <c r="I1630" t="s">
        <v>86</v>
      </c>
      <c r="J1630">
        <v>23</v>
      </c>
      <c r="K1630" t="s">
        <v>80</v>
      </c>
      <c r="L1630" t="s">
        <v>59</v>
      </c>
      <c r="M1630" t="s">
        <v>59</v>
      </c>
      <c r="N1630" t="s">
        <v>2580</v>
      </c>
      <c r="O1630" t="s">
        <v>118</v>
      </c>
      <c r="P1630" t="s">
        <v>48</v>
      </c>
      <c r="Q1630" t="s">
        <v>142</v>
      </c>
      <c r="R1630">
        <v>1</v>
      </c>
      <c r="S1630">
        <v>3999</v>
      </c>
      <c r="T1630">
        <v>0.1</v>
      </c>
      <c r="U1630">
        <v>3599.1</v>
      </c>
      <c r="V1630">
        <v>2400</v>
      </c>
      <c r="W1630">
        <v>1199.0999999999999</v>
      </c>
      <c r="X1630" t="s">
        <v>74</v>
      </c>
      <c r="Y1630" t="s">
        <v>68</v>
      </c>
      <c r="Z1630" t="s">
        <v>161</v>
      </c>
      <c r="AA1630" t="s">
        <v>168</v>
      </c>
      <c r="AB1630">
        <v>4.0999999999999996</v>
      </c>
      <c r="AC1630">
        <v>80</v>
      </c>
      <c r="AD1630">
        <v>297.37</v>
      </c>
      <c r="AE1630">
        <f t="shared" si="50"/>
        <v>821.7299999999999</v>
      </c>
      <c r="AF1630" t="str">
        <f t="shared" si="51"/>
        <v>2025-07</v>
      </c>
      <c r="AG1630">
        <f>SUBTOTAL(103,A1630)</f>
        <v>1</v>
      </c>
    </row>
    <row r="1631" spans="1:33" x14ac:dyDescent="0.3">
      <c r="A1631" t="s">
        <v>4248</v>
      </c>
      <c r="B1631" s="13">
        <v>45864</v>
      </c>
      <c r="C1631">
        <v>2025</v>
      </c>
      <c r="D1631">
        <v>7</v>
      </c>
      <c r="E1631" t="s">
        <v>4046</v>
      </c>
      <c r="F1631" t="s">
        <v>4047</v>
      </c>
      <c r="G1631" t="s">
        <v>769</v>
      </c>
      <c r="H1631" t="s">
        <v>770</v>
      </c>
      <c r="I1631" t="s">
        <v>85</v>
      </c>
      <c r="J1631">
        <v>47</v>
      </c>
      <c r="K1631" t="s">
        <v>83</v>
      </c>
      <c r="L1631" t="s">
        <v>2573</v>
      </c>
      <c r="M1631" t="s">
        <v>63</v>
      </c>
      <c r="N1631" t="s">
        <v>2626</v>
      </c>
      <c r="O1631" t="s">
        <v>125</v>
      </c>
      <c r="P1631" t="s">
        <v>48</v>
      </c>
      <c r="Q1631" t="s">
        <v>141</v>
      </c>
      <c r="R1631">
        <v>1</v>
      </c>
      <c r="S1631">
        <v>1999</v>
      </c>
      <c r="T1631">
        <v>0.05</v>
      </c>
      <c r="U1631">
        <v>1899.05</v>
      </c>
      <c r="V1631">
        <v>1150</v>
      </c>
      <c r="W1631">
        <v>749.05</v>
      </c>
      <c r="X1631" t="s">
        <v>73</v>
      </c>
      <c r="Y1631" t="s">
        <v>68</v>
      </c>
      <c r="Z1631" t="s">
        <v>158</v>
      </c>
      <c r="AA1631" t="s">
        <v>168</v>
      </c>
      <c r="AB1631">
        <v>4.9000000000000004</v>
      </c>
      <c r="AC1631">
        <v>40</v>
      </c>
      <c r="AD1631">
        <v>94.48</v>
      </c>
      <c r="AE1631">
        <f t="shared" si="50"/>
        <v>614.56999999999994</v>
      </c>
      <c r="AF1631" t="str">
        <f t="shared" si="51"/>
        <v>2025-07</v>
      </c>
      <c r="AG1631">
        <f>SUBTOTAL(103,A1631)</f>
        <v>1</v>
      </c>
    </row>
    <row r="1632" spans="1:33" x14ac:dyDescent="0.3">
      <c r="A1632" t="s">
        <v>4249</v>
      </c>
      <c r="B1632" s="13">
        <v>45865</v>
      </c>
      <c r="C1632">
        <v>2025</v>
      </c>
      <c r="D1632">
        <v>7</v>
      </c>
      <c r="E1632" t="s">
        <v>4046</v>
      </c>
      <c r="F1632" t="s">
        <v>4047</v>
      </c>
      <c r="G1632" t="s">
        <v>2009</v>
      </c>
      <c r="H1632" t="s">
        <v>2010</v>
      </c>
      <c r="I1632" t="s">
        <v>85</v>
      </c>
      <c r="J1632">
        <v>34</v>
      </c>
      <c r="K1632" t="s">
        <v>81</v>
      </c>
      <c r="L1632" t="s">
        <v>91</v>
      </c>
      <c r="M1632" t="s">
        <v>55</v>
      </c>
      <c r="N1632" t="s">
        <v>2582</v>
      </c>
      <c r="O1632" t="s">
        <v>119</v>
      </c>
      <c r="P1632" t="s">
        <v>49</v>
      </c>
      <c r="Q1632" t="s">
        <v>140</v>
      </c>
      <c r="R1632">
        <v>1</v>
      </c>
      <c r="S1632">
        <v>3499</v>
      </c>
      <c r="T1632">
        <v>0.1</v>
      </c>
      <c r="U1632">
        <v>3149.1</v>
      </c>
      <c r="V1632">
        <v>2100</v>
      </c>
      <c r="W1632">
        <v>1049.0999999999999</v>
      </c>
      <c r="X1632" t="s">
        <v>74</v>
      </c>
      <c r="Y1632" t="s">
        <v>68</v>
      </c>
      <c r="Z1632" t="s">
        <v>160</v>
      </c>
      <c r="AA1632" t="s">
        <v>166</v>
      </c>
      <c r="AB1632">
        <v>5</v>
      </c>
      <c r="AC1632">
        <v>60</v>
      </c>
      <c r="AD1632">
        <v>117.54</v>
      </c>
      <c r="AE1632">
        <f t="shared" si="50"/>
        <v>871.56</v>
      </c>
      <c r="AF1632" t="str">
        <f t="shared" si="51"/>
        <v>2025-07</v>
      </c>
      <c r="AG1632">
        <f>SUBTOTAL(103,A1632)</f>
        <v>1</v>
      </c>
    </row>
    <row r="1633" spans="1:33" x14ac:dyDescent="0.3">
      <c r="A1633" t="s">
        <v>4250</v>
      </c>
      <c r="B1633" s="13">
        <v>45865</v>
      </c>
      <c r="C1633">
        <v>2025</v>
      </c>
      <c r="D1633">
        <v>7</v>
      </c>
      <c r="E1633" t="s">
        <v>4046</v>
      </c>
      <c r="F1633" t="s">
        <v>4047</v>
      </c>
      <c r="G1633" t="s">
        <v>1415</v>
      </c>
      <c r="H1633" t="s">
        <v>1416</v>
      </c>
      <c r="I1633" t="s">
        <v>85</v>
      </c>
      <c r="J1633">
        <v>32</v>
      </c>
      <c r="K1633" t="s">
        <v>81</v>
      </c>
      <c r="L1633" t="s">
        <v>2687</v>
      </c>
      <c r="M1633" t="s">
        <v>57</v>
      </c>
      <c r="N1633" t="s">
        <v>2577</v>
      </c>
      <c r="O1633" t="s">
        <v>129</v>
      </c>
      <c r="P1633" t="s">
        <v>49</v>
      </c>
      <c r="Q1633" t="s">
        <v>149</v>
      </c>
      <c r="R1633">
        <v>3</v>
      </c>
      <c r="S1633">
        <v>1299</v>
      </c>
      <c r="T1633">
        <v>0.1</v>
      </c>
      <c r="U1633">
        <v>3507.3</v>
      </c>
      <c r="V1633">
        <v>1950</v>
      </c>
      <c r="W1633">
        <v>1557.3</v>
      </c>
      <c r="X1633" t="s">
        <v>74</v>
      </c>
      <c r="Y1633" t="s">
        <v>68</v>
      </c>
      <c r="Z1633" t="s">
        <v>158</v>
      </c>
      <c r="AA1633" t="s">
        <v>166</v>
      </c>
      <c r="AB1633">
        <v>4.4000000000000004</v>
      </c>
      <c r="AC1633">
        <v>100</v>
      </c>
      <c r="AD1633">
        <v>94.97</v>
      </c>
      <c r="AE1633">
        <f t="shared" si="50"/>
        <v>1362.33</v>
      </c>
      <c r="AF1633" t="str">
        <f t="shared" si="51"/>
        <v>2025-07</v>
      </c>
      <c r="AG1633">
        <f>SUBTOTAL(103,A1633)</f>
        <v>1</v>
      </c>
    </row>
    <row r="1634" spans="1:33" x14ac:dyDescent="0.3">
      <c r="A1634" t="s">
        <v>4251</v>
      </c>
      <c r="B1634" s="13">
        <v>45865</v>
      </c>
      <c r="C1634">
        <v>2025</v>
      </c>
      <c r="D1634">
        <v>7</v>
      </c>
      <c r="E1634" t="s">
        <v>4046</v>
      </c>
      <c r="F1634" t="s">
        <v>4047</v>
      </c>
      <c r="G1634" t="s">
        <v>603</v>
      </c>
      <c r="H1634" t="s">
        <v>604</v>
      </c>
      <c r="I1634" t="s">
        <v>86</v>
      </c>
      <c r="J1634">
        <v>47</v>
      </c>
      <c r="K1634" t="s">
        <v>83</v>
      </c>
      <c r="L1634" t="s">
        <v>92</v>
      </c>
      <c r="M1634" t="s">
        <v>59</v>
      </c>
      <c r="N1634" t="s">
        <v>2665</v>
      </c>
      <c r="O1634" t="s">
        <v>128</v>
      </c>
      <c r="P1634" t="s">
        <v>53</v>
      </c>
      <c r="Q1634" t="s">
        <v>143</v>
      </c>
      <c r="R1634">
        <v>4</v>
      </c>
      <c r="S1634">
        <v>1499</v>
      </c>
      <c r="T1634">
        <v>0.15</v>
      </c>
      <c r="U1634">
        <v>5096.6000000000004</v>
      </c>
      <c r="V1634">
        <v>3200</v>
      </c>
      <c r="W1634">
        <v>1896.6</v>
      </c>
      <c r="X1634" t="s">
        <v>73</v>
      </c>
      <c r="Y1634" t="s">
        <v>68</v>
      </c>
      <c r="Z1634" t="s">
        <v>161</v>
      </c>
      <c r="AA1634" t="s">
        <v>171</v>
      </c>
      <c r="AB1634">
        <v>5</v>
      </c>
      <c r="AC1634">
        <v>40</v>
      </c>
      <c r="AD1634">
        <v>214.88</v>
      </c>
      <c r="AE1634">
        <f t="shared" si="50"/>
        <v>1641.7199999999998</v>
      </c>
      <c r="AF1634" t="str">
        <f t="shared" si="51"/>
        <v>2025-07</v>
      </c>
      <c r="AG1634">
        <f>SUBTOTAL(103,A1634)</f>
        <v>1</v>
      </c>
    </row>
    <row r="1635" spans="1:33" x14ac:dyDescent="0.3">
      <c r="A1635" t="s">
        <v>4252</v>
      </c>
      <c r="B1635" s="13">
        <v>45865</v>
      </c>
      <c r="C1635">
        <v>2025</v>
      </c>
      <c r="D1635">
        <v>7</v>
      </c>
      <c r="E1635" t="s">
        <v>4046</v>
      </c>
      <c r="F1635" t="s">
        <v>4047</v>
      </c>
      <c r="G1635" t="s">
        <v>1403</v>
      </c>
      <c r="H1635" t="s">
        <v>1404</v>
      </c>
      <c r="I1635" t="s">
        <v>86</v>
      </c>
      <c r="J1635">
        <v>43</v>
      </c>
      <c r="K1635" t="s">
        <v>82</v>
      </c>
      <c r="L1635" t="s">
        <v>95</v>
      </c>
      <c r="M1635" t="s">
        <v>56</v>
      </c>
      <c r="N1635" t="s">
        <v>2584</v>
      </c>
      <c r="O1635" t="s">
        <v>121</v>
      </c>
      <c r="P1635" t="s">
        <v>50</v>
      </c>
      <c r="Q1635" t="s">
        <v>144</v>
      </c>
      <c r="R1635">
        <v>3</v>
      </c>
      <c r="S1635">
        <v>2999</v>
      </c>
      <c r="T1635">
        <v>0.1</v>
      </c>
      <c r="U1635">
        <v>8097.3</v>
      </c>
      <c r="V1635">
        <v>5100</v>
      </c>
      <c r="W1635">
        <v>2997.3</v>
      </c>
      <c r="X1635" t="s">
        <v>73</v>
      </c>
      <c r="Y1635" t="s">
        <v>70</v>
      </c>
      <c r="Z1635" t="s">
        <v>158</v>
      </c>
      <c r="AA1635" t="s">
        <v>169</v>
      </c>
      <c r="AB1635">
        <v>4.0999999999999996</v>
      </c>
      <c r="AC1635">
        <v>80</v>
      </c>
      <c r="AD1635">
        <v>401.88</v>
      </c>
      <c r="AE1635">
        <f t="shared" si="50"/>
        <v>2515.42</v>
      </c>
      <c r="AF1635" t="str">
        <f t="shared" si="51"/>
        <v>2025-07</v>
      </c>
      <c r="AG1635">
        <f>SUBTOTAL(103,A1635)</f>
        <v>1</v>
      </c>
    </row>
    <row r="1636" spans="1:33" x14ac:dyDescent="0.3">
      <c r="A1636" t="s">
        <v>4253</v>
      </c>
      <c r="B1636" s="13">
        <v>45865</v>
      </c>
      <c r="C1636">
        <v>2025</v>
      </c>
      <c r="D1636">
        <v>7</v>
      </c>
      <c r="E1636" t="s">
        <v>4046</v>
      </c>
      <c r="F1636" t="s">
        <v>4047</v>
      </c>
      <c r="G1636" t="s">
        <v>1751</v>
      </c>
      <c r="H1636" t="s">
        <v>1752</v>
      </c>
      <c r="I1636" t="s">
        <v>86</v>
      </c>
      <c r="J1636">
        <v>29</v>
      </c>
      <c r="K1636" t="s">
        <v>81</v>
      </c>
      <c r="L1636" t="s">
        <v>94</v>
      </c>
      <c r="M1636" t="s">
        <v>57</v>
      </c>
      <c r="N1636" t="s">
        <v>2653</v>
      </c>
      <c r="O1636" t="s">
        <v>132</v>
      </c>
      <c r="P1636" t="s">
        <v>52</v>
      </c>
      <c r="Q1636" t="s">
        <v>150</v>
      </c>
      <c r="R1636">
        <v>1</v>
      </c>
      <c r="S1636">
        <v>899</v>
      </c>
      <c r="T1636">
        <v>0.05</v>
      </c>
      <c r="U1636">
        <v>854.05</v>
      </c>
      <c r="V1636">
        <v>420</v>
      </c>
      <c r="W1636">
        <v>434.05</v>
      </c>
      <c r="X1636" t="s">
        <v>73</v>
      </c>
      <c r="Y1636" t="s">
        <v>68</v>
      </c>
      <c r="Z1636" t="s">
        <v>162</v>
      </c>
      <c r="AA1636" t="s">
        <v>166</v>
      </c>
      <c r="AB1636">
        <v>3.8</v>
      </c>
      <c r="AC1636">
        <v>60</v>
      </c>
      <c r="AD1636">
        <v>88.51</v>
      </c>
      <c r="AE1636">
        <f t="shared" si="50"/>
        <v>285.54000000000002</v>
      </c>
      <c r="AF1636" t="str">
        <f t="shared" si="51"/>
        <v>2025-07</v>
      </c>
      <c r="AG1636">
        <f>SUBTOTAL(103,A1636)</f>
        <v>1</v>
      </c>
    </row>
    <row r="1637" spans="1:33" x14ac:dyDescent="0.3">
      <c r="A1637" t="s">
        <v>4254</v>
      </c>
      <c r="B1637" s="13">
        <v>45865</v>
      </c>
      <c r="C1637">
        <v>2025</v>
      </c>
      <c r="D1637">
        <v>7</v>
      </c>
      <c r="E1637" t="s">
        <v>4046</v>
      </c>
      <c r="F1637" t="s">
        <v>4047</v>
      </c>
      <c r="G1637" t="s">
        <v>2277</v>
      </c>
      <c r="H1637" t="s">
        <v>2278</v>
      </c>
      <c r="I1637" t="s">
        <v>86</v>
      </c>
      <c r="J1637">
        <v>47</v>
      </c>
      <c r="K1637" t="s">
        <v>83</v>
      </c>
      <c r="L1637" t="s">
        <v>94</v>
      </c>
      <c r="M1637" t="s">
        <v>57</v>
      </c>
      <c r="N1637" t="s">
        <v>2603</v>
      </c>
      <c r="O1637" t="s">
        <v>122</v>
      </c>
      <c r="P1637" t="s">
        <v>48</v>
      </c>
      <c r="Q1637" t="s">
        <v>141</v>
      </c>
      <c r="R1637">
        <v>1</v>
      </c>
      <c r="S1637">
        <v>2499</v>
      </c>
      <c r="T1637">
        <v>0.1</v>
      </c>
      <c r="U1637">
        <v>2249.1</v>
      </c>
      <c r="V1637">
        <v>1450</v>
      </c>
      <c r="W1637">
        <v>799.1</v>
      </c>
      <c r="X1637" t="s">
        <v>76</v>
      </c>
      <c r="Y1637" t="s">
        <v>68</v>
      </c>
      <c r="Z1637" t="s">
        <v>162</v>
      </c>
      <c r="AA1637" t="s">
        <v>167</v>
      </c>
      <c r="AB1637">
        <v>4.4000000000000004</v>
      </c>
      <c r="AC1637">
        <v>60</v>
      </c>
      <c r="AD1637">
        <v>258.73</v>
      </c>
      <c r="AE1637">
        <f t="shared" si="50"/>
        <v>480.37</v>
      </c>
      <c r="AF1637" t="str">
        <f t="shared" si="51"/>
        <v>2025-07</v>
      </c>
      <c r="AG1637">
        <f>SUBTOTAL(103,A1637)</f>
        <v>1</v>
      </c>
    </row>
    <row r="1638" spans="1:33" x14ac:dyDescent="0.3">
      <c r="A1638" t="s">
        <v>4255</v>
      </c>
      <c r="B1638" s="13">
        <v>45865</v>
      </c>
      <c r="C1638">
        <v>2025</v>
      </c>
      <c r="D1638">
        <v>7</v>
      </c>
      <c r="E1638" t="s">
        <v>4046</v>
      </c>
      <c r="F1638" t="s">
        <v>4047</v>
      </c>
      <c r="G1638" t="s">
        <v>469</v>
      </c>
      <c r="H1638" t="s">
        <v>470</v>
      </c>
      <c r="I1638" t="s">
        <v>85</v>
      </c>
      <c r="J1638">
        <v>57</v>
      </c>
      <c r="K1638" t="s">
        <v>83</v>
      </c>
      <c r="L1638" t="s">
        <v>94</v>
      </c>
      <c r="M1638" t="s">
        <v>57</v>
      </c>
      <c r="N1638" t="s">
        <v>2606</v>
      </c>
      <c r="O1638" t="s">
        <v>120</v>
      </c>
      <c r="P1638" t="s">
        <v>49</v>
      </c>
      <c r="Q1638" t="s">
        <v>140</v>
      </c>
      <c r="R1638">
        <v>2</v>
      </c>
      <c r="S1638">
        <v>2799</v>
      </c>
      <c r="T1638">
        <v>0.15</v>
      </c>
      <c r="U1638">
        <v>4758.3</v>
      </c>
      <c r="V1638">
        <v>3300</v>
      </c>
      <c r="W1638">
        <v>1458.3</v>
      </c>
      <c r="X1638" t="s">
        <v>73</v>
      </c>
      <c r="Y1638" t="s">
        <v>68</v>
      </c>
      <c r="Z1638" t="s">
        <v>159</v>
      </c>
      <c r="AA1638" t="s">
        <v>167</v>
      </c>
      <c r="AB1638">
        <v>4</v>
      </c>
      <c r="AC1638">
        <v>80</v>
      </c>
      <c r="AD1638">
        <v>513.36</v>
      </c>
      <c r="AE1638">
        <f t="shared" si="50"/>
        <v>864.93999999999994</v>
      </c>
      <c r="AF1638" t="str">
        <f t="shared" si="51"/>
        <v>2025-07</v>
      </c>
      <c r="AG1638">
        <f>SUBTOTAL(103,A1638)</f>
        <v>1</v>
      </c>
    </row>
    <row r="1639" spans="1:33" x14ac:dyDescent="0.3">
      <c r="A1639" t="s">
        <v>4256</v>
      </c>
      <c r="B1639" s="13">
        <v>45865</v>
      </c>
      <c r="C1639">
        <v>2025</v>
      </c>
      <c r="D1639">
        <v>7</v>
      </c>
      <c r="E1639" t="s">
        <v>4046</v>
      </c>
      <c r="F1639" t="s">
        <v>4047</v>
      </c>
      <c r="G1639" t="s">
        <v>235</v>
      </c>
      <c r="H1639" t="s">
        <v>236</v>
      </c>
      <c r="I1639" t="s">
        <v>85</v>
      </c>
      <c r="J1639">
        <v>27</v>
      </c>
      <c r="K1639" t="s">
        <v>81</v>
      </c>
      <c r="L1639" t="s">
        <v>59</v>
      </c>
      <c r="M1639" t="s">
        <v>59</v>
      </c>
      <c r="N1639" t="s">
        <v>2594</v>
      </c>
      <c r="O1639" t="s">
        <v>131</v>
      </c>
      <c r="P1639" t="s">
        <v>53</v>
      </c>
      <c r="Q1639" t="s">
        <v>143</v>
      </c>
      <c r="R1639">
        <v>3</v>
      </c>
      <c r="S1639">
        <v>999</v>
      </c>
      <c r="T1639">
        <v>0</v>
      </c>
      <c r="U1639">
        <v>2997</v>
      </c>
      <c r="V1639">
        <v>1560</v>
      </c>
      <c r="W1639">
        <v>1437</v>
      </c>
      <c r="X1639" t="s">
        <v>73</v>
      </c>
      <c r="Y1639" t="s">
        <v>69</v>
      </c>
      <c r="Z1639" t="s">
        <v>158</v>
      </c>
      <c r="AA1639" t="s">
        <v>167</v>
      </c>
      <c r="AB1639">
        <v>4.4000000000000004</v>
      </c>
      <c r="AC1639">
        <v>80</v>
      </c>
      <c r="AD1639">
        <v>111.89</v>
      </c>
      <c r="AE1639">
        <f t="shared" si="50"/>
        <v>1245.1099999999999</v>
      </c>
      <c r="AF1639" t="str">
        <f t="shared" si="51"/>
        <v>2025-07</v>
      </c>
      <c r="AG1639">
        <f>SUBTOTAL(103,A1639)</f>
        <v>1</v>
      </c>
    </row>
    <row r="1640" spans="1:33" x14ac:dyDescent="0.3">
      <c r="A1640" t="s">
        <v>4257</v>
      </c>
      <c r="B1640" s="13">
        <v>45865</v>
      </c>
      <c r="C1640">
        <v>2025</v>
      </c>
      <c r="D1640">
        <v>7</v>
      </c>
      <c r="E1640" t="s">
        <v>4046</v>
      </c>
      <c r="F1640" t="s">
        <v>4047</v>
      </c>
      <c r="G1640" t="s">
        <v>1445</v>
      </c>
      <c r="H1640" t="s">
        <v>1446</v>
      </c>
      <c r="I1640" t="s">
        <v>85</v>
      </c>
      <c r="J1640">
        <v>34</v>
      </c>
      <c r="K1640" t="s">
        <v>81</v>
      </c>
      <c r="L1640" t="s">
        <v>97</v>
      </c>
      <c r="M1640" t="s">
        <v>57</v>
      </c>
      <c r="N1640" t="s">
        <v>2582</v>
      </c>
      <c r="O1640" t="s">
        <v>119</v>
      </c>
      <c r="P1640" t="s">
        <v>49</v>
      </c>
      <c r="Q1640" t="s">
        <v>140</v>
      </c>
      <c r="R1640">
        <v>2</v>
      </c>
      <c r="S1640">
        <v>3499</v>
      </c>
      <c r="T1640">
        <v>0.2</v>
      </c>
      <c r="U1640">
        <v>5598.4</v>
      </c>
      <c r="V1640">
        <v>4200</v>
      </c>
      <c r="W1640">
        <v>1398.4</v>
      </c>
      <c r="X1640" t="s">
        <v>75</v>
      </c>
      <c r="Y1640" t="s">
        <v>68</v>
      </c>
      <c r="Z1640" t="s">
        <v>161</v>
      </c>
      <c r="AA1640" t="s">
        <v>171</v>
      </c>
      <c r="AB1640">
        <v>3.2</v>
      </c>
      <c r="AC1640">
        <v>60</v>
      </c>
      <c r="AD1640">
        <v>160.24</v>
      </c>
      <c r="AE1640">
        <f t="shared" si="50"/>
        <v>1178.1600000000001</v>
      </c>
      <c r="AF1640" t="str">
        <f t="shared" si="51"/>
        <v>2025-07</v>
      </c>
      <c r="AG1640">
        <f>SUBTOTAL(103,A1640)</f>
        <v>1</v>
      </c>
    </row>
    <row r="1641" spans="1:33" x14ac:dyDescent="0.3">
      <c r="A1641" t="s">
        <v>4258</v>
      </c>
      <c r="B1641" s="13">
        <v>45865</v>
      </c>
      <c r="C1641">
        <v>2025</v>
      </c>
      <c r="D1641">
        <v>7</v>
      </c>
      <c r="E1641" t="s">
        <v>4046</v>
      </c>
      <c r="F1641" t="s">
        <v>4047</v>
      </c>
      <c r="G1641" t="s">
        <v>801</v>
      </c>
      <c r="H1641" t="s">
        <v>802</v>
      </c>
      <c r="I1641" t="s">
        <v>85</v>
      </c>
      <c r="J1641">
        <v>32</v>
      </c>
      <c r="K1641" t="s">
        <v>81</v>
      </c>
      <c r="L1641" t="s">
        <v>2589</v>
      </c>
      <c r="M1641" t="s">
        <v>61</v>
      </c>
      <c r="N1641" t="s">
        <v>2653</v>
      </c>
      <c r="O1641" t="s">
        <v>132</v>
      </c>
      <c r="P1641" t="s">
        <v>52</v>
      </c>
      <c r="Q1641" t="s">
        <v>150</v>
      </c>
      <c r="R1641">
        <v>2</v>
      </c>
      <c r="S1641">
        <v>899</v>
      </c>
      <c r="T1641">
        <v>0.05</v>
      </c>
      <c r="U1641">
        <v>1708.1</v>
      </c>
      <c r="V1641">
        <v>840</v>
      </c>
      <c r="W1641">
        <v>868.1</v>
      </c>
      <c r="X1641" t="s">
        <v>76</v>
      </c>
      <c r="Y1641" t="s">
        <v>68</v>
      </c>
      <c r="Z1641" t="s">
        <v>159</v>
      </c>
      <c r="AA1641" t="s">
        <v>166</v>
      </c>
      <c r="AB1641">
        <v>4.0999999999999996</v>
      </c>
      <c r="AC1641">
        <v>100</v>
      </c>
      <c r="AD1641">
        <v>145.37</v>
      </c>
      <c r="AE1641">
        <f t="shared" si="50"/>
        <v>622.73</v>
      </c>
      <c r="AF1641" t="str">
        <f t="shared" si="51"/>
        <v>2025-07</v>
      </c>
      <c r="AG1641">
        <f>SUBTOTAL(103,A1641)</f>
        <v>1</v>
      </c>
    </row>
    <row r="1642" spans="1:33" x14ac:dyDescent="0.3">
      <c r="A1642" t="s">
        <v>4259</v>
      </c>
      <c r="B1642" s="13">
        <v>45865</v>
      </c>
      <c r="C1642">
        <v>2025</v>
      </c>
      <c r="D1642">
        <v>7</v>
      </c>
      <c r="E1642" t="s">
        <v>4046</v>
      </c>
      <c r="F1642" t="s">
        <v>4047</v>
      </c>
      <c r="G1642" t="s">
        <v>701</v>
      </c>
      <c r="H1642" t="s">
        <v>702</v>
      </c>
      <c r="I1642" t="s">
        <v>86</v>
      </c>
      <c r="J1642">
        <v>45</v>
      </c>
      <c r="K1642" t="s">
        <v>82</v>
      </c>
      <c r="L1642" t="s">
        <v>2679</v>
      </c>
      <c r="M1642" t="s">
        <v>60</v>
      </c>
      <c r="N1642" t="s">
        <v>2603</v>
      </c>
      <c r="O1642" t="s">
        <v>122</v>
      </c>
      <c r="P1642" t="s">
        <v>48</v>
      </c>
      <c r="Q1642" t="s">
        <v>141</v>
      </c>
      <c r="R1642">
        <v>5</v>
      </c>
      <c r="S1642">
        <v>2499</v>
      </c>
      <c r="T1642">
        <v>0.05</v>
      </c>
      <c r="U1642">
        <v>11870.25</v>
      </c>
      <c r="V1642">
        <v>7250</v>
      </c>
      <c r="W1642">
        <v>4620.25</v>
      </c>
      <c r="X1642" t="s">
        <v>73</v>
      </c>
      <c r="Y1642" t="s">
        <v>68</v>
      </c>
      <c r="Z1642" t="s">
        <v>160</v>
      </c>
      <c r="AA1642" t="s">
        <v>170</v>
      </c>
      <c r="AB1642">
        <v>3.7</v>
      </c>
      <c r="AC1642">
        <v>100</v>
      </c>
      <c r="AD1642">
        <v>1056.92</v>
      </c>
      <c r="AE1642">
        <f t="shared" si="50"/>
        <v>3463.33</v>
      </c>
      <c r="AF1642" t="str">
        <f t="shared" si="51"/>
        <v>2025-07</v>
      </c>
      <c r="AG1642">
        <f>SUBTOTAL(103,A1642)</f>
        <v>1</v>
      </c>
    </row>
    <row r="1643" spans="1:33" x14ac:dyDescent="0.3">
      <c r="A1643" t="s">
        <v>4260</v>
      </c>
      <c r="B1643" s="13">
        <v>45866</v>
      </c>
      <c r="C1643">
        <v>2025</v>
      </c>
      <c r="D1643">
        <v>7</v>
      </c>
      <c r="E1643" t="s">
        <v>4046</v>
      </c>
      <c r="F1643" t="s">
        <v>4047</v>
      </c>
      <c r="G1643" t="s">
        <v>489</v>
      </c>
      <c r="H1643" t="s">
        <v>490</v>
      </c>
      <c r="I1643" t="s">
        <v>86</v>
      </c>
      <c r="J1643">
        <v>29</v>
      </c>
      <c r="K1643" t="s">
        <v>81</v>
      </c>
      <c r="L1643" t="s">
        <v>2612</v>
      </c>
      <c r="M1643" t="s">
        <v>64</v>
      </c>
      <c r="N1643" t="s">
        <v>2580</v>
      </c>
      <c r="O1643" t="s">
        <v>118</v>
      </c>
      <c r="P1643" t="s">
        <v>48</v>
      </c>
      <c r="Q1643" t="s">
        <v>142</v>
      </c>
      <c r="R1643">
        <v>3</v>
      </c>
      <c r="S1643">
        <v>3999</v>
      </c>
      <c r="T1643">
        <v>0</v>
      </c>
      <c r="U1643">
        <v>11997</v>
      </c>
      <c r="V1643">
        <v>7200</v>
      </c>
      <c r="W1643">
        <v>4797</v>
      </c>
      <c r="X1643" t="s">
        <v>73</v>
      </c>
      <c r="Y1643" t="s">
        <v>68</v>
      </c>
      <c r="Z1643" t="s">
        <v>162</v>
      </c>
      <c r="AA1643" t="s">
        <v>170</v>
      </c>
      <c r="AB1643">
        <v>4.3</v>
      </c>
      <c r="AC1643">
        <v>60</v>
      </c>
      <c r="AD1643">
        <v>1166.9100000000001</v>
      </c>
      <c r="AE1643">
        <f t="shared" si="50"/>
        <v>3570.09</v>
      </c>
      <c r="AF1643" t="str">
        <f t="shared" si="51"/>
        <v>2025-07</v>
      </c>
      <c r="AG1643">
        <f>SUBTOTAL(103,A1643)</f>
        <v>1</v>
      </c>
    </row>
    <row r="1644" spans="1:33" x14ac:dyDescent="0.3">
      <c r="A1644" t="s">
        <v>4261</v>
      </c>
      <c r="B1644" s="13">
        <v>45866</v>
      </c>
      <c r="C1644">
        <v>2025</v>
      </c>
      <c r="D1644">
        <v>7</v>
      </c>
      <c r="E1644" t="s">
        <v>4046</v>
      </c>
      <c r="F1644" t="s">
        <v>4047</v>
      </c>
      <c r="G1644" t="s">
        <v>213</v>
      </c>
      <c r="H1644" t="s">
        <v>214</v>
      </c>
      <c r="I1644" t="s">
        <v>85</v>
      </c>
      <c r="J1644">
        <v>38</v>
      </c>
      <c r="K1644" t="s">
        <v>82</v>
      </c>
      <c r="L1644" t="s">
        <v>97</v>
      </c>
      <c r="M1644" t="s">
        <v>57</v>
      </c>
      <c r="N1644" t="s">
        <v>2574</v>
      </c>
      <c r="O1644" t="s">
        <v>130</v>
      </c>
      <c r="P1644" t="s">
        <v>50</v>
      </c>
      <c r="Q1644" t="s">
        <v>53</v>
      </c>
      <c r="R1644">
        <v>2</v>
      </c>
      <c r="S1644">
        <v>1199</v>
      </c>
      <c r="T1644">
        <v>0</v>
      </c>
      <c r="U1644">
        <v>2398</v>
      </c>
      <c r="V1644">
        <v>1100</v>
      </c>
      <c r="W1644">
        <v>1298</v>
      </c>
      <c r="X1644" t="s">
        <v>73</v>
      </c>
      <c r="Y1644" t="s">
        <v>68</v>
      </c>
      <c r="Z1644" t="s">
        <v>158</v>
      </c>
      <c r="AA1644" t="s">
        <v>166</v>
      </c>
      <c r="AB1644">
        <v>3.4</v>
      </c>
      <c r="AC1644">
        <v>60</v>
      </c>
      <c r="AD1644">
        <v>212.57</v>
      </c>
      <c r="AE1644">
        <f t="shared" si="50"/>
        <v>1025.43</v>
      </c>
      <c r="AF1644" t="str">
        <f t="shared" si="51"/>
        <v>2025-07</v>
      </c>
      <c r="AG1644">
        <f>SUBTOTAL(103,A1644)</f>
        <v>1</v>
      </c>
    </row>
    <row r="1645" spans="1:33" x14ac:dyDescent="0.3">
      <c r="A1645" t="s">
        <v>4262</v>
      </c>
      <c r="B1645" s="13">
        <v>45866</v>
      </c>
      <c r="C1645">
        <v>2025</v>
      </c>
      <c r="D1645">
        <v>7</v>
      </c>
      <c r="E1645" t="s">
        <v>4046</v>
      </c>
      <c r="F1645" t="s">
        <v>4047</v>
      </c>
      <c r="G1645" t="s">
        <v>601</v>
      </c>
      <c r="H1645" t="s">
        <v>602</v>
      </c>
      <c r="I1645" t="s">
        <v>86</v>
      </c>
      <c r="J1645">
        <v>18</v>
      </c>
      <c r="K1645" t="s">
        <v>80</v>
      </c>
      <c r="L1645" t="s">
        <v>2661</v>
      </c>
      <c r="M1645" t="s">
        <v>58</v>
      </c>
      <c r="N1645" t="s">
        <v>2626</v>
      </c>
      <c r="O1645" t="s">
        <v>125</v>
      </c>
      <c r="P1645" t="s">
        <v>48</v>
      </c>
      <c r="Q1645" t="s">
        <v>141</v>
      </c>
      <c r="R1645">
        <v>3</v>
      </c>
      <c r="S1645">
        <v>1999</v>
      </c>
      <c r="T1645">
        <v>0.2</v>
      </c>
      <c r="U1645">
        <v>4797.6000000000004</v>
      </c>
      <c r="V1645">
        <v>3450</v>
      </c>
      <c r="W1645">
        <v>1347.6</v>
      </c>
      <c r="X1645" t="s">
        <v>77</v>
      </c>
      <c r="Y1645" t="s">
        <v>68</v>
      </c>
      <c r="Z1645" t="s">
        <v>161</v>
      </c>
      <c r="AA1645" t="s">
        <v>168</v>
      </c>
      <c r="AB1645">
        <v>3.4</v>
      </c>
      <c r="AC1645">
        <v>100</v>
      </c>
      <c r="AD1645">
        <v>495.25</v>
      </c>
      <c r="AE1645">
        <f t="shared" si="50"/>
        <v>752.34999999999991</v>
      </c>
      <c r="AF1645" t="str">
        <f t="shared" si="51"/>
        <v>2025-07</v>
      </c>
      <c r="AG1645">
        <f>SUBTOTAL(103,A1645)</f>
        <v>1</v>
      </c>
    </row>
    <row r="1646" spans="1:33" x14ac:dyDescent="0.3">
      <c r="A1646" t="s">
        <v>4263</v>
      </c>
      <c r="B1646" s="13">
        <v>45866</v>
      </c>
      <c r="C1646">
        <v>2025</v>
      </c>
      <c r="D1646">
        <v>7</v>
      </c>
      <c r="E1646" t="s">
        <v>4046</v>
      </c>
      <c r="F1646" t="s">
        <v>4047</v>
      </c>
      <c r="G1646" t="s">
        <v>857</v>
      </c>
      <c r="H1646" t="s">
        <v>858</v>
      </c>
      <c r="I1646" t="s">
        <v>86</v>
      </c>
      <c r="J1646">
        <v>54</v>
      </c>
      <c r="K1646" t="s">
        <v>83</v>
      </c>
      <c r="L1646" t="s">
        <v>95</v>
      </c>
      <c r="M1646" t="s">
        <v>56</v>
      </c>
      <c r="N1646" t="s">
        <v>2580</v>
      </c>
      <c r="O1646" t="s">
        <v>118</v>
      </c>
      <c r="P1646" t="s">
        <v>48</v>
      </c>
      <c r="Q1646" t="s">
        <v>142</v>
      </c>
      <c r="R1646">
        <v>4</v>
      </c>
      <c r="S1646">
        <v>3999</v>
      </c>
      <c r="T1646">
        <v>0</v>
      </c>
      <c r="U1646">
        <v>15996</v>
      </c>
      <c r="V1646">
        <v>9600</v>
      </c>
      <c r="W1646">
        <v>6396</v>
      </c>
      <c r="X1646" t="s">
        <v>74</v>
      </c>
      <c r="Y1646" t="s">
        <v>68</v>
      </c>
      <c r="Z1646" t="s">
        <v>160</v>
      </c>
      <c r="AA1646" t="s">
        <v>166</v>
      </c>
      <c r="AB1646">
        <v>5</v>
      </c>
      <c r="AC1646">
        <v>50</v>
      </c>
      <c r="AD1646">
        <v>450.51</v>
      </c>
      <c r="AE1646">
        <f t="shared" si="50"/>
        <v>5895.49</v>
      </c>
      <c r="AF1646" t="str">
        <f t="shared" si="51"/>
        <v>2025-07</v>
      </c>
      <c r="AG1646">
        <f>SUBTOTAL(103,A1646)</f>
        <v>1</v>
      </c>
    </row>
    <row r="1647" spans="1:33" x14ac:dyDescent="0.3">
      <c r="A1647" t="s">
        <v>4264</v>
      </c>
      <c r="B1647" s="13">
        <v>45866</v>
      </c>
      <c r="C1647">
        <v>2025</v>
      </c>
      <c r="D1647">
        <v>7</v>
      </c>
      <c r="E1647" t="s">
        <v>4046</v>
      </c>
      <c r="F1647" t="s">
        <v>4047</v>
      </c>
      <c r="G1647" t="s">
        <v>485</v>
      </c>
      <c r="H1647" t="s">
        <v>486</v>
      </c>
      <c r="I1647" t="s">
        <v>86</v>
      </c>
      <c r="J1647">
        <v>49</v>
      </c>
      <c r="K1647" t="s">
        <v>83</v>
      </c>
      <c r="L1647" t="s">
        <v>90</v>
      </c>
      <c r="M1647" t="s">
        <v>55</v>
      </c>
      <c r="N1647" t="s">
        <v>2584</v>
      </c>
      <c r="O1647" t="s">
        <v>121</v>
      </c>
      <c r="P1647" t="s">
        <v>50</v>
      </c>
      <c r="Q1647" t="s">
        <v>144</v>
      </c>
      <c r="R1647">
        <v>1</v>
      </c>
      <c r="S1647">
        <v>2999</v>
      </c>
      <c r="T1647">
        <v>0.15</v>
      </c>
      <c r="U1647">
        <v>2549.15</v>
      </c>
      <c r="V1647">
        <v>1700</v>
      </c>
      <c r="W1647">
        <v>849.15</v>
      </c>
      <c r="X1647" t="s">
        <v>75</v>
      </c>
      <c r="Y1647" t="s">
        <v>68</v>
      </c>
      <c r="Z1647" t="s">
        <v>161</v>
      </c>
      <c r="AA1647" t="s">
        <v>170</v>
      </c>
      <c r="AB1647">
        <v>3.7</v>
      </c>
      <c r="AC1647">
        <v>120</v>
      </c>
      <c r="AD1647">
        <v>276.70999999999998</v>
      </c>
      <c r="AE1647">
        <f t="shared" si="50"/>
        <v>452.44</v>
      </c>
      <c r="AF1647" t="str">
        <f t="shared" si="51"/>
        <v>2025-07</v>
      </c>
      <c r="AG1647">
        <f>SUBTOTAL(103,A1647)</f>
        <v>1</v>
      </c>
    </row>
    <row r="1648" spans="1:33" x14ac:dyDescent="0.3">
      <c r="A1648" t="s">
        <v>4265</v>
      </c>
      <c r="B1648" s="13">
        <v>45866</v>
      </c>
      <c r="C1648">
        <v>2025</v>
      </c>
      <c r="D1648">
        <v>7</v>
      </c>
      <c r="E1648" t="s">
        <v>4046</v>
      </c>
      <c r="F1648" t="s">
        <v>4047</v>
      </c>
      <c r="G1648" t="s">
        <v>379</v>
      </c>
      <c r="H1648" t="s">
        <v>380</v>
      </c>
      <c r="I1648" t="s">
        <v>86</v>
      </c>
      <c r="J1648">
        <v>42</v>
      </c>
      <c r="K1648" t="s">
        <v>82</v>
      </c>
      <c r="L1648" t="s">
        <v>91</v>
      </c>
      <c r="M1648" t="s">
        <v>55</v>
      </c>
      <c r="N1648" t="s">
        <v>2574</v>
      </c>
      <c r="O1648" t="s">
        <v>130</v>
      </c>
      <c r="P1648" t="s">
        <v>50</v>
      </c>
      <c r="Q1648" t="s">
        <v>53</v>
      </c>
      <c r="R1648">
        <v>1</v>
      </c>
      <c r="S1648">
        <v>1199</v>
      </c>
      <c r="T1648">
        <v>0.05</v>
      </c>
      <c r="U1648">
        <v>1139.05</v>
      </c>
      <c r="V1648">
        <v>550</v>
      </c>
      <c r="W1648">
        <v>589.04999999999995</v>
      </c>
      <c r="X1648" t="s">
        <v>75</v>
      </c>
      <c r="Y1648" t="s">
        <v>70</v>
      </c>
      <c r="Z1648" t="s">
        <v>160</v>
      </c>
      <c r="AA1648" t="s">
        <v>169</v>
      </c>
      <c r="AB1648">
        <v>3</v>
      </c>
      <c r="AC1648">
        <v>50</v>
      </c>
      <c r="AD1648">
        <v>94.24</v>
      </c>
      <c r="AE1648">
        <f t="shared" si="50"/>
        <v>444.80999999999995</v>
      </c>
      <c r="AF1648" t="str">
        <f t="shared" si="51"/>
        <v>2025-07</v>
      </c>
      <c r="AG1648">
        <f>SUBTOTAL(103,A1648)</f>
        <v>1</v>
      </c>
    </row>
    <row r="1649" spans="1:33" x14ac:dyDescent="0.3">
      <c r="A1649" t="s">
        <v>4266</v>
      </c>
      <c r="B1649" s="13">
        <v>45866</v>
      </c>
      <c r="C1649">
        <v>2025</v>
      </c>
      <c r="D1649">
        <v>7</v>
      </c>
      <c r="E1649" t="s">
        <v>4046</v>
      </c>
      <c r="F1649" t="s">
        <v>4047</v>
      </c>
      <c r="G1649" t="s">
        <v>1361</v>
      </c>
      <c r="H1649" t="s">
        <v>1362</v>
      </c>
      <c r="I1649" t="s">
        <v>85</v>
      </c>
      <c r="J1649">
        <v>38</v>
      </c>
      <c r="K1649" t="s">
        <v>82</v>
      </c>
      <c r="L1649" t="s">
        <v>95</v>
      </c>
      <c r="M1649" t="s">
        <v>56</v>
      </c>
      <c r="N1649" t="s">
        <v>2574</v>
      </c>
      <c r="O1649" t="s">
        <v>130</v>
      </c>
      <c r="P1649" t="s">
        <v>50</v>
      </c>
      <c r="Q1649" t="s">
        <v>53</v>
      </c>
      <c r="R1649">
        <v>2</v>
      </c>
      <c r="S1649">
        <v>1199</v>
      </c>
      <c r="T1649">
        <v>0</v>
      </c>
      <c r="U1649">
        <v>2398</v>
      </c>
      <c r="V1649">
        <v>1100</v>
      </c>
      <c r="W1649">
        <v>1298</v>
      </c>
      <c r="X1649" t="s">
        <v>75</v>
      </c>
      <c r="Y1649" t="s">
        <v>68</v>
      </c>
      <c r="Z1649" t="s">
        <v>160</v>
      </c>
      <c r="AA1649" t="s">
        <v>166</v>
      </c>
      <c r="AB1649">
        <v>4.8</v>
      </c>
      <c r="AC1649">
        <v>50</v>
      </c>
      <c r="AD1649">
        <v>272.74</v>
      </c>
      <c r="AE1649">
        <f t="shared" si="50"/>
        <v>975.26</v>
      </c>
      <c r="AF1649" t="str">
        <f t="shared" si="51"/>
        <v>2025-07</v>
      </c>
      <c r="AG1649">
        <f>SUBTOTAL(103,A1649)</f>
        <v>1</v>
      </c>
    </row>
    <row r="1650" spans="1:33" x14ac:dyDescent="0.3">
      <c r="A1650" t="s">
        <v>4267</v>
      </c>
      <c r="B1650" s="13">
        <v>45866</v>
      </c>
      <c r="C1650">
        <v>2025</v>
      </c>
      <c r="D1650">
        <v>7</v>
      </c>
      <c r="E1650" t="s">
        <v>4046</v>
      </c>
      <c r="F1650" t="s">
        <v>4047</v>
      </c>
      <c r="G1650" t="s">
        <v>1033</v>
      </c>
      <c r="H1650" t="s">
        <v>1034</v>
      </c>
      <c r="I1650" t="s">
        <v>86</v>
      </c>
      <c r="J1650">
        <v>19</v>
      </c>
      <c r="K1650" t="s">
        <v>80</v>
      </c>
      <c r="L1650" t="s">
        <v>2586</v>
      </c>
      <c r="M1650" t="s">
        <v>62</v>
      </c>
      <c r="N1650" t="s">
        <v>2582</v>
      </c>
      <c r="O1650" t="s">
        <v>119</v>
      </c>
      <c r="P1650" t="s">
        <v>49</v>
      </c>
      <c r="Q1650" t="s">
        <v>140</v>
      </c>
      <c r="R1650">
        <v>4</v>
      </c>
      <c r="S1650">
        <v>3499</v>
      </c>
      <c r="T1650">
        <v>0.05</v>
      </c>
      <c r="U1650">
        <v>13296.2</v>
      </c>
      <c r="V1650">
        <v>8400</v>
      </c>
      <c r="W1650">
        <v>4896.2</v>
      </c>
      <c r="X1650" t="s">
        <v>74</v>
      </c>
      <c r="Y1650" t="s">
        <v>68</v>
      </c>
      <c r="Z1650" t="s">
        <v>158</v>
      </c>
      <c r="AA1650" t="s">
        <v>170</v>
      </c>
      <c r="AB1650">
        <v>5</v>
      </c>
      <c r="AC1650">
        <v>50</v>
      </c>
      <c r="AD1650">
        <v>1253.1500000000001</v>
      </c>
      <c r="AE1650">
        <f t="shared" si="50"/>
        <v>3593.0499999999997</v>
      </c>
      <c r="AF1650" t="str">
        <f t="shared" si="51"/>
        <v>2025-07</v>
      </c>
      <c r="AG1650">
        <f>SUBTOTAL(103,A1650)</f>
        <v>1</v>
      </c>
    </row>
    <row r="1651" spans="1:33" x14ac:dyDescent="0.3">
      <c r="A1651" t="s">
        <v>4268</v>
      </c>
      <c r="B1651" s="13">
        <v>45866</v>
      </c>
      <c r="C1651">
        <v>2025</v>
      </c>
      <c r="D1651">
        <v>7</v>
      </c>
      <c r="E1651" t="s">
        <v>4046</v>
      </c>
      <c r="F1651" t="s">
        <v>4047</v>
      </c>
      <c r="G1651" t="s">
        <v>2449</v>
      </c>
      <c r="H1651" t="s">
        <v>2450</v>
      </c>
      <c r="I1651" t="s">
        <v>85</v>
      </c>
      <c r="J1651">
        <v>22</v>
      </c>
      <c r="K1651" t="s">
        <v>80</v>
      </c>
      <c r="L1651" t="s">
        <v>2589</v>
      </c>
      <c r="M1651" t="s">
        <v>61</v>
      </c>
      <c r="N1651" t="s">
        <v>2580</v>
      </c>
      <c r="O1651" t="s">
        <v>118</v>
      </c>
      <c r="P1651" t="s">
        <v>48</v>
      </c>
      <c r="Q1651" t="s">
        <v>142</v>
      </c>
      <c r="R1651">
        <v>1</v>
      </c>
      <c r="S1651">
        <v>3999</v>
      </c>
      <c r="T1651">
        <v>0.05</v>
      </c>
      <c r="U1651">
        <v>0</v>
      </c>
      <c r="V1651">
        <v>0</v>
      </c>
      <c r="W1651">
        <v>0</v>
      </c>
      <c r="X1651" t="s">
        <v>73</v>
      </c>
      <c r="Y1651" t="s">
        <v>71</v>
      </c>
      <c r="Z1651" t="s">
        <v>160</v>
      </c>
      <c r="AA1651" t="s">
        <v>170</v>
      </c>
      <c r="AB1651">
        <v>3.9</v>
      </c>
      <c r="AC1651">
        <v>40</v>
      </c>
      <c r="AD1651">
        <v>416.57</v>
      </c>
      <c r="AE1651">
        <f t="shared" si="50"/>
        <v>-456.57</v>
      </c>
      <c r="AF1651" t="str">
        <f t="shared" si="51"/>
        <v>2025-07</v>
      </c>
      <c r="AG1651">
        <f>SUBTOTAL(103,A1651)</f>
        <v>1</v>
      </c>
    </row>
    <row r="1652" spans="1:33" x14ac:dyDescent="0.3">
      <c r="A1652" t="s">
        <v>4269</v>
      </c>
      <c r="B1652" s="13">
        <v>45866</v>
      </c>
      <c r="C1652">
        <v>2025</v>
      </c>
      <c r="D1652">
        <v>7</v>
      </c>
      <c r="E1652" t="s">
        <v>4046</v>
      </c>
      <c r="F1652" t="s">
        <v>4047</v>
      </c>
      <c r="G1652" t="s">
        <v>2339</v>
      </c>
      <c r="H1652" t="s">
        <v>2340</v>
      </c>
      <c r="I1652" t="s">
        <v>85</v>
      </c>
      <c r="J1652">
        <v>59</v>
      </c>
      <c r="K1652" t="s">
        <v>83</v>
      </c>
      <c r="L1652" t="s">
        <v>2586</v>
      </c>
      <c r="M1652" t="s">
        <v>62</v>
      </c>
      <c r="N1652" t="s">
        <v>2590</v>
      </c>
      <c r="O1652" t="s">
        <v>127</v>
      </c>
      <c r="P1652" t="s">
        <v>51</v>
      </c>
      <c r="Q1652" t="s">
        <v>148</v>
      </c>
      <c r="R1652">
        <v>1</v>
      </c>
      <c r="S1652">
        <v>1599</v>
      </c>
      <c r="T1652">
        <v>0</v>
      </c>
      <c r="U1652">
        <v>1599</v>
      </c>
      <c r="V1652">
        <v>800</v>
      </c>
      <c r="W1652">
        <v>799</v>
      </c>
      <c r="X1652" t="s">
        <v>73</v>
      </c>
      <c r="Y1652" t="s">
        <v>68</v>
      </c>
      <c r="Z1652" t="s">
        <v>162</v>
      </c>
      <c r="AA1652" t="s">
        <v>166</v>
      </c>
      <c r="AB1652">
        <v>4.5999999999999996</v>
      </c>
      <c r="AC1652">
        <v>40</v>
      </c>
      <c r="AD1652">
        <v>164.61</v>
      </c>
      <c r="AE1652">
        <f t="shared" si="50"/>
        <v>594.39</v>
      </c>
      <c r="AF1652" t="str">
        <f t="shared" si="51"/>
        <v>2025-07</v>
      </c>
      <c r="AG1652">
        <f>SUBTOTAL(103,A1652)</f>
        <v>1</v>
      </c>
    </row>
    <row r="1653" spans="1:33" x14ac:dyDescent="0.3">
      <c r="A1653" t="s">
        <v>4270</v>
      </c>
      <c r="B1653" s="13">
        <v>45867</v>
      </c>
      <c r="C1653">
        <v>2025</v>
      </c>
      <c r="D1653">
        <v>7</v>
      </c>
      <c r="E1653" t="s">
        <v>4046</v>
      </c>
      <c r="F1653" t="s">
        <v>4047</v>
      </c>
      <c r="G1653" t="s">
        <v>907</v>
      </c>
      <c r="H1653" t="s">
        <v>908</v>
      </c>
      <c r="I1653" t="s">
        <v>85</v>
      </c>
      <c r="J1653">
        <v>60</v>
      </c>
      <c r="K1653" t="s">
        <v>83</v>
      </c>
      <c r="L1653" t="s">
        <v>2586</v>
      </c>
      <c r="M1653" t="s">
        <v>62</v>
      </c>
      <c r="N1653" t="s">
        <v>2590</v>
      </c>
      <c r="O1653" t="s">
        <v>127</v>
      </c>
      <c r="P1653" t="s">
        <v>51</v>
      </c>
      <c r="Q1653" t="s">
        <v>148</v>
      </c>
      <c r="R1653">
        <v>1</v>
      </c>
      <c r="S1653">
        <v>1599</v>
      </c>
      <c r="T1653">
        <v>0.05</v>
      </c>
      <c r="U1653">
        <v>1519.05</v>
      </c>
      <c r="V1653">
        <v>800</v>
      </c>
      <c r="W1653">
        <v>719.05</v>
      </c>
      <c r="X1653" t="s">
        <v>75</v>
      </c>
      <c r="Y1653" t="s">
        <v>68</v>
      </c>
      <c r="Z1653" t="s">
        <v>163</v>
      </c>
      <c r="AA1653" t="s">
        <v>168</v>
      </c>
      <c r="AB1653">
        <v>3</v>
      </c>
      <c r="AC1653">
        <v>80</v>
      </c>
      <c r="AD1653">
        <v>41.69</v>
      </c>
      <c r="AE1653">
        <f t="shared" si="50"/>
        <v>597.3599999999999</v>
      </c>
      <c r="AF1653" t="str">
        <f t="shared" si="51"/>
        <v>2025-07</v>
      </c>
      <c r="AG1653">
        <f>SUBTOTAL(103,A1653)</f>
        <v>1</v>
      </c>
    </row>
    <row r="1654" spans="1:33" x14ac:dyDescent="0.3">
      <c r="A1654" t="s">
        <v>4271</v>
      </c>
      <c r="B1654" s="13">
        <v>45867</v>
      </c>
      <c r="C1654">
        <v>2025</v>
      </c>
      <c r="D1654">
        <v>7</v>
      </c>
      <c r="E1654" t="s">
        <v>4046</v>
      </c>
      <c r="F1654" t="s">
        <v>4047</v>
      </c>
      <c r="G1654" t="s">
        <v>1273</v>
      </c>
      <c r="H1654" t="s">
        <v>1274</v>
      </c>
      <c r="I1654" t="s">
        <v>86</v>
      </c>
      <c r="J1654">
        <v>28</v>
      </c>
      <c r="K1654" t="s">
        <v>81</v>
      </c>
      <c r="L1654" t="s">
        <v>59</v>
      </c>
      <c r="M1654" t="s">
        <v>59</v>
      </c>
      <c r="N1654" t="s">
        <v>2603</v>
      </c>
      <c r="O1654" t="s">
        <v>122</v>
      </c>
      <c r="P1654" t="s">
        <v>48</v>
      </c>
      <c r="Q1654" t="s">
        <v>141</v>
      </c>
      <c r="R1654">
        <v>4</v>
      </c>
      <c r="S1654">
        <v>2499</v>
      </c>
      <c r="T1654">
        <v>0</v>
      </c>
      <c r="U1654">
        <v>9996</v>
      </c>
      <c r="V1654">
        <v>5800</v>
      </c>
      <c r="W1654">
        <v>4196</v>
      </c>
      <c r="X1654" t="s">
        <v>73</v>
      </c>
      <c r="Y1654" t="s">
        <v>70</v>
      </c>
      <c r="Z1654" t="s">
        <v>159</v>
      </c>
      <c r="AA1654" t="s">
        <v>168</v>
      </c>
      <c r="AB1654">
        <v>4.7</v>
      </c>
      <c r="AC1654">
        <v>40</v>
      </c>
      <c r="AD1654">
        <v>354.29</v>
      </c>
      <c r="AE1654">
        <f t="shared" si="50"/>
        <v>3801.71</v>
      </c>
      <c r="AF1654" t="str">
        <f t="shared" si="51"/>
        <v>2025-07</v>
      </c>
      <c r="AG1654">
        <f>SUBTOTAL(103,A1654)</f>
        <v>1</v>
      </c>
    </row>
    <row r="1655" spans="1:33" x14ac:dyDescent="0.3">
      <c r="A1655" t="s">
        <v>4272</v>
      </c>
      <c r="B1655" s="13">
        <v>45867</v>
      </c>
      <c r="C1655">
        <v>2025</v>
      </c>
      <c r="D1655">
        <v>7</v>
      </c>
      <c r="E1655" t="s">
        <v>4046</v>
      </c>
      <c r="F1655" t="s">
        <v>4047</v>
      </c>
      <c r="G1655" t="s">
        <v>815</v>
      </c>
      <c r="H1655" t="s">
        <v>816</v>
      </c>
      <c r="I1655" t="s">
        <v>85</v>
      </c>
      <c r="J1655">
        <v>47</v>
      </c>
      <c r="K1655" t="s">
        <v>83</v>
      </c>
      <c r="L1655" t="s">
        <v>95</v>
      </c>
      <c r="M1655" t="s">
        <v>56</v>
      </c>
      <c r="N1655" t="s">
        <v>2606</v>
      </c>
      <c r="O1655" t="s">
        <v>120</v>
      </c>
      <c r="P1655" t="s">
        <v>49</v>
      </c>
      <c r="Q1655" t="s">
        <v>140</v>
      </c>
      <c r="R1655">
        <v>5</v>
      </c>
      <c r="S1655">
        <v>2799</v>
      </c>
      <c r="T1655">
        <v>0</v>
      </c>
      <c r="U1655">
        <v>13995</v>
      </c>
      <c r="V1655">
        <v>8250</v>
      </c>
      <c r="W1655">
        <v>5745</v>
      </c>
      <c r="X1655" t="s">
        <v>76</v>
      </c>
      <c r="Y1655" t="s">
        <v>68</v>
      </c>
      <c r="Z1655" t="s">
        <v>163</v>
      </c>
      <c r="AA1655" t="s">
        <v>167</v>
      </c>
      <c r="AB1655">
        <v>5</v>
      </c>
      <c r="AC1655">
        <v>50</v>
      </c>
      <c r="AD1655">
        <v>873.4</v>
      </c>
      <c r="AE1655">
        <f t="shared" si="50"/>
        <v>4821.6000000000004</v>
      </c>
      <c r="AF1655" t="str">
        <f t="shared" si="51"/>
        <v>2025-07</v>
      </c>
      <c r="AG1655">
        <f>SUBTOTAL(103,A1655)</f>
        <v>1</v>
      </c>
    </row>
    <row r="1656" spans="1:33" x14ac:dyDescent="0.3">
      <c r="A1656" t="s">
        <v>4273</v>
      </c>
      <c r="B1656" s="13">
        <v>45867</v>
      </c>
      <c r="C1656">
        <v>2025</v>
      </c>
      <c r="D1656">
        <v>7</v>
      </c>
      <c r="E1656" t="s">
        <v>4046</v>
      </c>
      <c r="F1656" t="s">
        <v>4047</v>
      </c>
      <c r="G1656" t="s">
        <v>1581</v>
      </c>
      <c r="H1656" t="s">
        <v>1582</v>
      </c>
      <c r="I1656" t="s">
        <v>85</v>
      </c>
      <c r="J1656">
        <v>20</v>
      </c>
      <c r="K1656" t="s">
        <v>80</v>
      </c>
      <c r="L1656" t="s">
        <v>2579</v>
      </c>
      <c r="M1656" t="s">
        <v>56</v>
      </c>
      <c r="N1656" t="s">
        <v>2584</v>
      </c>
      <c r="O1656" t="s">
        <v>121</v>
      </c>
      <c r="P1656" t="s">
        <v>50</v>
      </c>
      <c r="Q1656" t="s">
        <v>144</v>
      </c>
      <c r="R1656">
        <v>1</v>
      </c>
      <c r="S1656">
        <v>2999</v>
      </c>
      <c r="T1656">
        <v>0.1</v>
      </c>
      <c r="U1656">
        <v>2699.1</v>
      </c>
      <c r="V1656">
        <v>1700</v>
      </c>
      <c r="W1656">
        <v>999.1</v>
      </c>
      <c r="X1656" t="s">
        <v>73</v>
      </c>
      <c r="Y1656" t="s">
        <v>68</v>
      </c>
      <c r="Z1656" t="s">
        <v>158</v>
      </c>
      <c r="AA1656" t="s">
        <v>171</v>
      </c>
      <c r="AB1656">
        <v>5</v>
      </c>
      <c r="AC1656">
        <v>60</v>
      </c>
      <c r="AD1656">
        <v>248.85</v>
      </c>
      <c r="AE1656">
        <f t="shared" si="50"/>
        <v>690.25</v>
      </c>
      <c r="AF1656" t="str">
        <f t="shared" si="51"/>
        <v>2025-07</v>
      </c>
      <c r="AG1656">
        <f>SUBTOTAL(103,A1656)</f>
        <v>1</v>
      </c>
    </row>
    <row r="1657" spans="1:33" x14ac:dyDescent="0.3">
      <c r="A1657" t="s">
        <v>4274</v>
      </c>
      <c r="B1657" s="13">
        <v>45867</v>
      </c>
      <c r="C1657">
        <v>2025</v>
      </c>
      <c r="D1657">
        <v>7</v>
      </c>
      <c r="E1657" t="s">
        <v>4046</v>
      </c>
      <c r="F1657" t="s">
        <v>4047</v>
      </c>
      <c r="G1657" t="s">
        <v>323</v>
      </c>
      <c r="H1657" t="s">
        <v>324</v>
      </c>
      <c r="I1657" t="s">
        <v>86</v>
      </c>
      <c r="J1657">
        <v>25</v>
      </c>
      <c r="K1657" t="s">
        <v>80</v>
      </c>
      <c r="L1657" t="s">
        <v>59</v>
      </c>
      <c r="M1657" t="s">
        <v>59</v>
      </c>
      <c r="N1657" t="s">
        <v>2574</v>
      </c>
      <c r="O1657" t="s">
        <v>130</v>
      </c>
      <c r="P1657" t="s">
        <v>50</v>
      </c>
      <c r="Q1657" t="s">
        <v>53</v>
      </c>
      <c r="R1657">
        <v>4</v>
      </c>
      <c r="S1657">
        <v>1199</v>
      </c>
      <c r="T1657">
        <v>0</v>
      </c>
      <c r="U1657">
        <v>4796</v>
      </c>
      <c r="V1657">
        <v>2200</v>
      </c>
      <c r="W1657">
        <v>2596</v>
      </c>
      <c r="X1657" t="s">
        <v>77</v>
      </c>
      <c r="Y1657" t="s">
        <v>68</v>
      </c>
      <c r="Z1657" t="s">
        <v>158</v>
      </c>
      <c r="AA1657" t="s">
        <v>166</v>
      </c>
      <c r="AB1657">
        <v>3.5</v>
      </c>
      <c r="AC1657">
        <v>80</v>
      </c>
      <c r="AD1657">
        <v>248.23</v>
      </c>
      <c r="AE1657">
        <f t="shared" si="50"/>
        <v>2267.77</v>
      </c>
      <c r="AF1657" t="str">
        <f t="shared" si="51"/>
        <v>2025-07</v>
      </c>
      <c r="AG1657">
        <f>SUBTOTAL(103,A1657)</f>
        <v>1</v>
      </c>
    </row>
    <row r="1658" spans="1:33" x14ac:dyDescent="0.3">
      <c r="A1658" t="s">
        <v>4275</v>
      </c>
      <c r="B1658" s="13">
        <v>45867</v>
      </c>
      <c r="C1658">
        <v>2025</v>
      </c>
      <c r="D1658">
        <v>7</v>
      </c>
      <c r="E1658" t="s">
        <v>4046</v>
      </c>
      <c r="F1658" t="s">
        <v>4047</v>
      </c>
      <c r="G1658" t="s">
        <v>1777</v>
      </c>
      <c r="H1658" t="s">
        <v>1778</v>
      </c>
      <c r="I1658" t="s">
        <v>86</v>
      </c>
      <c r="J1658">
        <v>34</v>
      </c>
      <c r="K1658" t="s">
        <v>81</v>
      </c>
      <c r="L1658" t="s">
        <v>2589</v>
      </c>
      <c r="M1658" t="s">
        <v>61</v>
      </c>
      <c r="N1658" t="s">
        <v>2577</v>
      </c>
      <c r="O1658" t="s">
        <v>129</v>
      </c>
      <c r="P1658" t="s">
        <v>49</v>
      </c>
      <c r="Q1658" t="s">
        <v>149</v>
      </c>
      <c r="R1658">
        <v>1</v>
      </c>
      <c r="S1658">
        <v>1299</v>
      </c>
      <c r="T1658">
        <v>0.1</v>
      </c>
      <c r="U1658">
        <v>1169.0999999999999</v>
      </c>
      <c r="V1658">
        <v>650</v>
      </c>
      <c r="W1658">
        <v>519.1</v>
      </c>
      <c r="X1658" t="s">
        <v>74</v>
      </c>
      <c r="Y1658" t="s">
        <v>68</v>
      </c>
      <c r="Z1658" t="s">
        <v>158</v>
      </c>
      <c r="AA1658" t="s">
        <v>169</v>
      </c>
      <c r="AB1658">
        <v>4.3</v>
      </c>
      <c r="AC1658">
        <v>60</v>
      </c>
      <c r="AD1658">
        <v>113.09</v>
      </c>
      <c r="AE1658">
        <f t="shared" si="50"/>
        <v>346.01</v>
      </c>
      <c r="AF1658" t="str">
        <f t="shared" si="51"/>
        <v>2025-07</v>
      </c>
      <c r="AG1658">
        <f>SUBTOTAL(103,A1658)</f>
        <v>1</v>
      </c>
    </row>
    <row r="1659" spans="1:33" x14ac:dyDescent="0.3">
      <c r="A1659" t="s">
        <v>4276</v>
      </c>
      <c r="B1659" s="13">
        <v>45867</v>
      </c>
      <c r="C1659">
        <v>2025</v>
      </c>
      <c r="D1659">
        <v>7</v>
      </c>
      <c r="E1659" t="s">
        <v>4046</v>
      </c>
      <c r="F1659" t="s">
        <v>4047</v>
      </c>
      <c r="G1659" t="s">
        <v>235</v>
      </c>
      <c r="H1659" t="s">
        <v>236</v>
      </c>
      <c r="I1659" t="s">
        <v>85</v>
      </c>
      <c r="J1659">
        <v>27</v>
      </c>
      <c r="K1659" t="s">
        <v>81</v>
      </c>
      <c r="L1659" t="s">
        <v>59</v>
      </c>
      <c r="M1659" t="s">
        <v>59</v>
      </c>
      <c r="N1659" t="s">
        <v>2592</v>
      </c>
      <c r="O1659" t="s">
        <v>115</v>
      </c>
      <c r="P1659" t="s">
        <v>48</v>
      </c>
      <c r="Q1659" t="s">
        <v>137</v>
      </c>
      <c r="R1659">
        <v>5</v>
      </c>
      <c r="S1659">
        <v>12999</v>
      </c>
      <c r="T1659">
        <v>0.15</v>
      </c>
      <c r="U1659">
        <v>55245.75</v>
      </c>
      <c r="V1659">
        <v>45000</v>
      </c>
      <c r="W1659">
        <v>10245.75</v>
      </c>
      <c r="X1659" t="s">
        <v>77</v>
      </c>
      <c r="Y1659" t="s">
        <v>68</v>
      </c>
      <c r="Z1659" t="s">
        <v>161</v>
      </c>
      <c r="AA1659" t="s">
        <v>168</v>
      </c>
      <c r="AB1659">
        <v>5</v>
      </c>
      <c r="AC1659">
        <v>80</v>
      </c>
      <c r="AD1659">
        <v>6364.5</v>
      </c>
      <c r="AE1659">
        <f t="shared" si="50"/>
        <v>3801.25</v>
      </c>
      <c r="AF1659" t="str">
        <f t="shared" si="51"/>
        <v>2025-07</v>
      </c>
      <c r="AG1659">
        <f>SUBTOTAL(103,A1659)</f>
        <v>1</v>
      </c>
    </row>
    <row r="1660" spans="1:33" x14ac:dyDescent="0.3">
      <c r="A1660" t="s">
        <v>4277</v>
      </c>
      <c r="B1660" s="13">
        <v>45867</v>
      </c>
      <c r="C1660">
        <v>2025</v>
      </c>
      <c r="D1660">
        <v>7</v>
      </c>
      <c r="E1660" t="s">
        <v>4046</v>
      </c>
      <c r="F1660" t="s">
        <v>4047</v>
      </c>
      <c r="G1660" t="s">
        <v>2207</v>
      </c>
      <c r="H1660" t="s">
        <v>2208</v>
      </c>
      <c r="I1660" t="s">
        <v>85</v>
      </c>
      <c r="J1660">
        <v>27</v>
      </c>
      <c r="K1660" t="s">
        <v>81</v>
      </c>
      <c r="L1660" t="s">
        <v>2674</v>
      </c>
      <c r="M1660" t="s">
        <v>58</v>
      </c>
      <c r="N1660" t="s">
        <v>2582</v>
      </c>
      <c r="O1660" t="s">
        <v>119</v>
      </c>
      <c r="P1660" t="s">
        <v>49</v>
      </c>
      <c r="Q1660" t="s">
        <v>140</v>
      </c>
      <c r="R1660">
        <v>2</v>
      </c>
      <c r="S1660">
        <v>3499</v>
      </c>
      <c r="T1660">
        <v>0.2</v>
      </c>
      <c r="U1660">
        <v>5598.4</v>
      </c>
      <c r="V1660">
        <v>4200</v>
      </c>
      <c r="W1660">
        <v>1398.4</v>
      </c>
      <c r="X1660" t="s">
        <v>75</v>
      </c>
      <c r="Y1660" t="s">
        <v>70</v>
      </c>
      <c r="Z1660" t="s">
        <v>161</v>
      </c>
      <c r="AA1660" t="s">
        <v>167</v>
      </c>
      <c r="AB1660">
        <v>3.6</v>
      </c>
      <c r="AC1660">
        <v>80</v>
      </c>
      <c r="AD1660">
        <v>415.83</v>
      </c>
      <c r="AE1660">
        <f t="shared" si="50"/>
        <v>902.57000000000016</v>
      </c>
      <c r="AF1660" t="str">
        <f t="shared" si="51"/>
        <v>2025-07</v>
      </c>
      <c r="AG1660">
        <f>SUBTOTAL(103,A1660)</f>
        <v>1</v>
      </c>
    </row>
    <row r="1661" spans="1:33" x14ac:dyDescent="0.3">
      <c r="A1661" t="s">
        <v>4278</v>
      </c>
      <c r="B1661" s="13">
        <v>45867</v>
      </c>
      <c r="C1661">
        <v>2025</v>
      </c>
      <c r="D1661">
        <v>7</v>
      </c>
      <c r="E1661" t="s">
        <v>4046</v>
      </c>
      <c r="F1661" t="s">
        <v>4047</v>
      </c>
      <c r="G1661" t="s">
        <v>305</v>
      </c>
      <c r="H1661" t="s">
        <v>306</v>
      </c>
      <c r="I1661" t="s">
        <v>86</v>
      </c>
      <c r="J1661">
        <v>33</v>
      </c>
      <c r="K1661" t="s">
        <v>81</v>
      </c>
      <c r="L1661" t="s">
        <v>2616</v>
      </c>
      <c r="M1661" t="s">
        <v>62</v>
      </c>
      <c r="N1661" t="s">
        <v>2644</v>
      </c>
      <c r="O1661" t="s">
        <v>126</v>
      </c>
      <c r="P1661" t="s">
        <v>50</v>
      </c>
      <c r="Q1661" t="s">
        <v>145</v>
      </c>
      <c r="R1661">
        <v>5</v>
      </c>
      <c r="S1661">
        <v>1799</v>
      </c>
      <c r="T1661">
        <v>0.15</v>
      </c>
      <c r="U1661">
        <v>7645.75</v>
      </c>
      <c r="V1661">
        <v>4750</v>
      </c>
      <c r="W1661">
        <v>2895.75</v>
      </c>
      <c r="X1661" t="s">
        <v>75</v>
      </c>
      <c r="Y1661" t="s">
        <v>68</v>
      </c>
      <c r="Z1661" t="s">
        <v>162</v>
      </c>
      <c r="AA1661" t="s">
        <v>166</v>
      </c>
      <c r="AB1661">
        <v>5</v>
      </c>
      <c r="AC1661">
        <v>60</v>
      </c>
      <c r="AD1661">
        <v>540.42999999999995</v>
      </c>
      <c r="AE1661">
        <f t="shared" si="50"/>
        <v>2295.3200000000002</v>
      </c>
      <c r="AF1661" t="str">
        <f t="shared" si="51"/>
        <v>2025-07</v>
      </c>
      <c r="AG1661">
        <f>SUBTOTAL(103,A1661)</f>
        <v>1</v>
      </c>
    </row>
    <row r="1662" spans="1:33" x14ac:dyDescent="0.3">
      <c r="A1662" t="s">
        <v>4279</v>
      </c>
      <c r="B1662" s="13">
        <v>45867</v>
      </c>
      <c r="C1662">
        <v>2025</v>
      </c>
      <c r="D1662">
        <v>7</v>
      </c>
      <c r="E1662" t="s">
        <v>4046</v>
      </c>
      <c r="F1662" t="s">
        <v>4047</v>
      </c>
      <c r="G1662" t="s">
        <v>1073</v>
      </c>
      <c r="H1662" t="s">
        <v>1074</v>
      </c>
      <c r="I1662" t="s">
        <v>87</v>
      </c>
      <c r="J1662">
        <v>30</v>
      </c>
      <c r="K1662" t="s">
        <v>81</v>
      </c>
      <c r="L1662" t="s">
        <v>90</v>
      </c>
      <c r="M1662" t="s">
        <v>55</v>
      </c>
      <c r="N1662" t="s">
        <v>2647</v>
      </c>
      <c r="O1662" t="s">
        <v>133</v>
      </c>
      <c r="P1662" t="s">
        <v>50</v>
      </c>
      <c r="Q1662" t="s">
        <v>145</v>
      </c>
      <c r="R1662">
        <v>2</v>
      </c>
      <c r="S1662">
        <v>799</v>
      </c>
      <c r="T1662">
        <v>0</v>
      </c>
      <c r="U1662">
        <v>1598</v>
      </c>
      <c r="V1662">
        <v>780</v>
      </c>
      <c r="W1662">
        <v>818</v>
      </c>
      <c r="X1662" t="s">
        <v>75</v>
      </c>
      <c r="Y1662" t="s">
        <v>68</v>
      </c>
      <c r="Z1662" t="s">
        <v>161</v>
      </c>
      <c r="AA1662" t="s">
        <v>169</v>
      </c>
      <c r="AB1662">
        <v>4.4000000000000004</v>
      </c>
      <c r="AC1662">
        <v>120</v>
      </c>
      <c r="AD1662">
        <v>166.21</v>
      </c>
      <c r="AE1662">
        <f t="shared" si="50"/>
        <v>531.79</v>
      </c>
      <c r="AF1662" t="str">
        <f t="shared" si="51"/>
        <v>2025-07</v>
      </c>
      <c r="AG1662">
        <f>SUBTOTAL(103,A1662)</f>
        <v>1</v>
      </c>
    </row>
    <row r="1663" spans="1:33" x14ac:dyDescent="0.3">
      <c r="A1663" t="s">
        <v>4280</v>
      </c>
      <c r="B1663" s="13">
        <v>45868</v>
      </c>
      <c r="C1663">
        <v>2025</v>
      </c>
      <c r="D1663">
        <v>7</v>
      </c>
      <c r="E1663" t="s">
        <v>4046</v>
      </c>
      <c r="F1663" t="s">
        <v>4047</v>
      </c>
      <c r="G1663" t="s">
        <v>341</v>
      </c>
      <c r="H1663" t="s">
        <v>342</v>
      </c>
      <c r="I1663" t="s">
        <v>85</v>
      </c>
      <c r="J1663">
        <v>34</v>
      </c>
      <c r="K1663" t="s">
        <v>81</v>
      </c>
      <c r="L1663" t="s">
        <v>2679</v>
      </c>
      <c r="M1663" t="s">
        <v>60</v>
      </c>
      <c r="N1663" t="s">
        <v>2606</v>
      </c>
      <c r="O1663" t="s">
        <v>120</v>
      </c>
      <c r="P1663" t="s">
        <v>49</v>
      </c>
      <c r="Q1663" t="s">
        <v>140</v>
      </c>
      <c r="R1663">
        <v>2</v>
      </c>
      <c r="S1663">
        <v>2799</v>
      </c>
      <c r="T1663">
        <v>0.1</v>
      </c>
      <c r="U1663">
        <v>5038.2</v>
      </c>
      <c r="V1663">
        <v>3300</v>
      </c>
      <c r="W1663">
        <v>1738.2</v>
      </c>
      <c r="X1663" t="s">
        <v>73</v>
      </c>
      <c r="Y1663" t="s">
        <v>68</v>
      </c>
      <c r="Z1663" t="s">
        <v>160</v>
      </c>
      <c r="AA1663" t="s">
        <v>170</v>
      </c>
      <c r="AB1663">
        <v>4.7</v>
      </c>
      <c r="AC1663">
        <v>40</v>
      </c>
      <c r="AD1663">
        <v>596.34</v>
      </c>
      <c r="AE1663">
        <f t="shared" si="50"/>
        <v>1101.8600000000001</v>
      </c>
      <c r="AF1663" t="str">
        <f t="shared" si="51"/>
        <v>2025-07</v>
      </c>
      <c r="AG1663">
        <f>SUBTOTAL(103,A1663)</f>
        <v>1</v>
      </c>
    </row>
    <row r="1664" spans="1:33" x14ac:dyDescent="0.3">
      <c r="A1664" t="s">
        <v>4281</v>
      </c>
      <c r="B1664" s="13">
        <v>45868</v>
      </c>
      <c r="C1664">
        <v>2025</v>
      </c>
      <c r="D1664">
        <v>7</v>
      </c>
      <c r="E1664" t="s">
        <v>4046</v>
      </c>
      <c r="F1664" t="s">
        <v>4047</v>
      </c>
      <c r="G1664" t="s">
        <v>2119</v>
      </c>
      <c r="H1664" t="s">
        <v>2120</v>
      </c>
      <c r="I1664" t="s">
        <v>85</v>
      </c>
      <c r="J1664">
        <v>28</v>
      </c>
      <c r="K1664" t="s">
        <v>81</v>
      </c>
      <c r="L1664" t="s">
        <v>98</v>
      </c>
      <c r="M1664" t="s">
        <v>55</v>
      </c>
      <c r="N1664" t="s">
        <v>2574</v>
      </c>
      <c r="O1664" t="s">
        <v>130</v>
      </c>
      <c r="P1664" t="s">
        <v>50</v>
      </c>
      <c r="Q1664" t="s">
        <v>53</v>
      </c>
      <c r="R1664">
        <v>1</v>
      </c>
      <c r="S1664">
        <v>1199</v>
      </c>
      <c r="T1664">
        <v>0.05</v>
      </c>
      <c r="U1664">
        <v>1139.05</v>
      </c>
      <c r="V1664">
        <v>550</v>
      </c>
      <c r="W1664">
        <v>589.04999999999995</v>
      </c>
      <c r="X1664" t="s">
        <v>75</v>
      </c>
      <c r="Y1664" t="s">
        <v>68</v>
      </c>
      <c r="Z1664" t="s">
        <v>158</v>
      </c>
      <c r="AA1664" t="s">
        <v>168</v>
      </c>
      <c r="AB1664">
        <v>5</v>
      </c>
      <c r="AC1664">
        <v>60</v>
      </c>
      <c r="AD1664">
        <v>118.8</v>
      </c>
      <c r="AE1664">
        <f t="shared" si="50"/>
        <v>410.24999999999994</v>
      </c>
      <c r="AF1664" t="str">
        <f t="shared" si="51"/>
        <v>2025-07</v>
      </c>
      <c r="AG1664">
        <f>SUBTOTAL(103,A1664)</f>
        <v>1</v>
      </c>
    </row>
    <row r="1665" spans="1:33" x14ac:dyDescent="0.3">
      <c r="A1665" t="s">
        <v>4282</v>
      </c>
      <c r="B1665" s="13">
        <v>45868</v>
      </c>
      <c r="C1665">
        <v>2025</v>
      </c>
      <c r="D1665">
        <v>7</v>
      </c>
      <c r="E1665" t="s">
        <v>4046</v>
      </c>
      <c r="F1665" t="s">
        <v>4047</v>
      </c>
      <c r="G1665" t="s">
        <v>225</v>
      </c>
      <c r="H1665" t="s">
        <v>226</v>
      </c>
      <c r="I1665" t="s">
        <v>86</v>
      </c>
      <c r="J1665">
        <v>38</v>
      </c>
      <c r="K1665" t="s">
        <v>82</v>
      </c>
      <c r="L1665" t="s">
        <v>59</v>
      </c>
      <c r="M1665" t="s">
        <v>59</v>
      </c>
      <c r="N1665" t="s">
        <v>2577</v>
      </c>
      <c r="O1665" t="s">
        <v>129</v>
      </c>
      <c r="P1665" t="s">
        <v>49</v>
      </c>
      <c r="Q1665" t="s">
        <v>149</v>
      </c>
      <c r="R1665">
        <v>3</v>
      </c>
      <c r="S1665">
        <v>1299</v>
      </c>
      <c r="T1665">
        <v>0</v>
      </c>
      <c r="U1665">
        <v>3897</v>
      </c>
      <c r="V1665">
        <v>1950</v>
      </c>
      <c r="W1665">
        <v>1947</v>
      </c>
      <c r="X1665" t="s">
        <v>75</v>
      </c>
      <c r="Y1665" t="s">
        <v>68</v>
      </c>
      <c r="Z1665" t="s">
        <v>163</v>
      </c>
      <c r="AA1665" t="s">
        <v>169</v>
      </c>
      <c r="AB1665">
        <v>4.3</v>
      </c>
      <c r="AC1665">
        <v>40</v>
      </c>
      <c r="AD1665">
        <v>390.74</v>
      </c>
      <c r="AE1665">
        <f t="shared" si="50"/>
        <v>1516.26</v>
      </c>
      <c r="AF1665" t="str">
        <f t="shared" si="51"/>
        <v>2025-07</v>
      </c>
      <c r="AG1665">
        <f>SUBTOTAL(103,A1665)</f>
        <v>1</v>
      </c>
    </row>
    <row r="1666" spans="1:33" x14ac:dyDescent="0.3">
      <c r="A1666" t="s">
        <v>4283</v>
      </c>
      <c r="B1666" s="13">
        <v>45868</v>
      </c>
      <c r="C1666">
        <v>2025</v>
      </c>
      <c r="D1666">
        <v>7</v>
      </c>
      <c r="E1666" t="s">
        <v>4046</v>
      </c>
      <c r="F1666" t="s">
        <v>4047</v>
      </c>
      <c r="G1666" t="s">
        <v>2171</v>
      </c>
      <c r="H1666" t="s">
        <v>2172</v>
      </c>
      <c r="I1666" t="s">
        <v>86</v>
      </c>
      <c r="J1666">
        <v>53</v>
      </c>
      <c r="K1666" t="s">
        <v>83</v>
      </c>
      <c r="L1666" t="s">
        <v>2589</v>
      </c>
      <c r="M1666" t="s">
        <v>61</v>
      </c>
      <c r="N1666" t="s">
        <v>2580</v>
      </c>
      <c r="O1666" t="s">
        <v>118</v>
      </c>
      <c r="P1666" t="s">
        <v>48</v>
      </c>
      <c r="Q1666" t="s">
        <v>142</v>
      </c>
      <c r="R1666">
        <v>1</v>
      </c>
      <c r="S1666">
        <v>3999</v>
      </c>
      <c r="T1666">
        <v>0.15</v>
      </c>
      <c r="U1666">
        <v>3399.15</v>
      </c>
      <c r="V1666">
        <v>2400</v>
      </c>
      <c r="W1666">
        <v>999.15</v>
      </c>
      <c r="X1666" t="s">
        <v>74</v>
      </c>
      <c r="Y1666" t="s">
        <v>68</v>
      </c>
      <c r="Z1666" t="s">
        <v>160</v>
      </c>
      <c r="AA1666" t="s">
        <v>167</v>
      </c>
      <c r="AB1666">
        <v>4.9000000000000004</v>
      </c>
      <c r="AC1666">
        <v>60</v>
      </c>
      <c r="AD1666">
        <v>366.23</v>
      </c>
      <c r="AE1666">
        <f t="shared" ref="AE1666:AE1729" si="52">W1666-AC1666-AD1666</f>
        <v>572.91999999999996</v>
      </c>
      <c r="AF1666" t="str">
        <f t="shared" ref="AF1666:AF1729" si="53">C1666&amp;"-"&amp;TEXT(D1666,"00")</f>
        <v>2025-07</v>
      </c>
      <c r="AG1666">
        <f>SUBTOTAL(103,A1666)</f>
        <v>1</v>
      </c>
    </row>
    <row r="1667" spans="1:33" x14ac:dyDescent="0.3">
      <c r="A1667" t="s">
        <v>4284</v>
      </c>
      <c r="B1667" s="13">
        <v>45868</v>
      </c>
      <c r="C1667">
        <v>2025</v>
      </c>
      <c r="D1667">
        <v>7</v>
      </c>
      <c r="E1667" t="s">
        <v>4046</v>
      </c>
      <c r="F1667" t="s">
        <v>4047</v>
      </c>
      <c r="G1667" t="s">
        <v>1491</v>
      </c>
      <c r="H1667" t="s">
        <v>1492</v>
      </c>
      <c r="I1667" t="s">
        <v>85</v>
      </c>
      <c r="J1667">
        <v>49</v>
      </c>
      <c r="K1667" t="s">
        <v>83</v>
      </c>
      <c r="L1667" t="s">
        <v>92</v>
      </c>
      <c r="M1667" t="s">
        <v>59</v>
      </c>
      <c r="N1667" t="s">
        <v>2577</v>
      </c>
      <c r="O1667" t="s">
        <v>129</v>
      </c>
      <c r="P1667" t="s">
        <v>49</v>
      </c>
      <c r="Q1667" t="s">
        <v>149</v>
      </c>
      <c r="R1667">
        <v>1</v>
      </c>
      <c r="S1667">
        <v>1299</v>
      </c>
      <c r="T1667">
        <v>0.05</v>
      </c>
      <c r="U1667">
        <v>1234.05</v>
      </c>
      <c r="V1667">
        <v>650</v>
      </c>
      <c r="W1667">
        <v>584.04999999999995</v>
      </c>
      <c r="X1667" t="s">
        <v>76</v>
      </c>
      <c r="Y1667" t="s">
        <v>68</v>
      </c>
      <c r="Z1667" t="s">
        <v>161</v>
      </c>
      <c r="AA1667" t="s">
        <v>166</v>
      </c>
      <c r="AB1667">
        <v>5</v>
      </c>
      <c r="AC1667">
        <v>100</v>
      </c>
      <c r="AD1667">
        <v>118.82</v>
      </c>
      <c r="AE1667">
        <f t="shared" si="52"/>
        <v>365.22999999999996</v>
      </c>
      <c r="AF1667" t="str">
        <f t="shared" si="53"/>
        <v>2025-07</v>
      </c>
      <c r="AG1667">
        <f>SUBTOTAL(103,A1667)</f>
        <v>1</v>
      </c>
    </row>
    <row r="1668" spans="1:33" x14ac:dyDescent="0.3">
      <c r="A1668" t="s">
        <v>4285</v>
      </c>
      <c r="B1668" s="13">
        <v>45868</v>
      </c>
      <c r="C1668">
        <v>2025</v>
      </c>
      <c r="D1668">
        <v>7</v>
      </c>
      <c r="E1668" t="s">
        <v>4046</v>
      </c>
      <c r="F1668" t="s">
        <v>4047</v>
      </c>
      <c r="G1668" t="s">
        <v>2047</v>
      </c>
      <c r="H1668" t="s">
        <v>2048</v>
      </c>
      <c r="I1668" t="s">
        <v>85</v>
      </c>
      <c r="J1668">
        <v>18</v>
      </c>
      <c r="K1668" t="s">
        <v>80</v>
      </c>
      <c r="L1668" t="s">
        <v>2690</v>
      </c>
      <c r="M1668" t="s">
        <v>63</v>
      </c>
      <c r="N1668" t="s">
        <v>2574</v>
      </c>
      <c r="O1668" t="s">
        <v>130</v>
      </c>
      <c r="P1668" t="s">
        <v>50</v>
      </c>
      <c r="Q1668" t="s">
        <v>53</v>
      </c>
      <c r="R1668">
        <v>3</v>
      </c>
      <c r="S1668">
        <v>1199</v>
      </c>
      <c r="T1668">
        <v>0.15</v>
      </c>
      <c r="U1668">
        <v>3057.45</v>
      </c>
      <c r="V1668">
        <v>1650</v>
      </c>
      <c r="W1668">
        <v>1407.45</v>
      </c>
      <c r="X1668" t="s">
        <v>74</v>
      </c>
      <c r="Y1668" t="s">
        <v>68</v>
      </c>
      <c r="Z1668" t="s">
        <v>158</v>
      </c>
      <c r="AA1668" t="s">
        <v>168</v>
      </c>
      <c r="AB1668">
        <v>2.6</v>
      </c>
      <c r="AC1668">
        <v>80</v>
      </c>
      <c r="AD1668">
        <v>88.21</v>
      </c>
      <c r="AE1668">
        <f t="shared" si="52"/>
        <v>1239.24</v>
      </c>
      <c r="AF1668" t="str">
        <f t="shared" si="53"/>
        <v>2025-07</v>
      </c>
      <c r="AG1668">
        <f>SUBTOTAL(103,A1668)</f>
        <v>1</v>
      </c>
    </row>
    <row r="1669" spans="1:33" x14ac:dyDescent="0.3">
      <c r="A1669" t="s">
        <v>4286</v>
      </c>
      <c r="B1669" s="13">
        <v>45868</v>
      </c>
      <c r="C1669">
        <v>2025</v>
      </c>
      <c r="D1669">
        <v>7</v>
      </c>
      <c r="E1669" t="s">
        <v>4046</v>
      </c>
      <c r="F1669" t="s">
        <v>4047</v>
      </c>
      <c r="G1669" t="s">
        <v>925</v>
      </c>
      <c r="H1669" t="s">
        <v>926</v>
      </c>
      <c r="I1669" t="s">
        <v>85</v>
      </c>
      <c r="J1669">
        <v>34</v>
      </c>
      <c r="K1669" t="s">
        <v>81</v>
      </c>
      <c r="L1669" t="s">
        <v>2616</v>
      </c>
      <c r="M1669" t="s">
        <v>62</v>
      </c>
      <c r="N1669" t="s">
        <v>2603</v>
      </c>
      <c r="O1669" t="s">
        <v>122</v>
      </c>
      <c r="P1669" t="s">
        <v>48</v>
      </c>
      <c r="Q1669" t="s">
        <v>141</v>
      </c>
      <c r="R1669">
        <v>3</v>
      </c>
      <c r="S1669">
        <v>2499</v>
      </c>
      <c r="T1669">
        <v>0.1</v>
      </c>
      <c r="U1669">
        <v>6747.3</v>
      </c>
      <c r="V1669">
        <v>4350</v>
      </c>
      <c r="W1669">
        <v>2397.3000000000002</v>
      </c>
      <c r="X1669" t="s">
        <v>76</v>
      </c>
      <c r="Y1669" t="s">
        <v>68</v>
      </c>
      <c r="Z1669" t="s">
        <v>158</v>
      </c>
      <c r="AA1669" t="s">
        <v>171</v>
      </c>
      <c r="AB1669">
        <v>4.8</v>
      </c>
      <c r="AC1669">
        <v>80</v>
      </c>
      <c r="AD1669">
        <v>280.87</v>
      </c>
      <c r="AE1669">
        <f t="shared" si="52"/>
        <v>2036.4300000000003</v>
      </c>
      <c r="AF1669" t="str">
        <f t="shared" si="53"/>
        <v>2025-07</v>
      </c>
      <c r="AG1669">
        <f>SUBTOTAL(103,A1669)</f>
        <v>1</v>
      </c>
    </row>
    <row r="1670" spans="1:33" x14ac:dyDescent="0.3">
      <c r="A1670" t="s">
        <v>4287</v>
      </c>
      <c r="B1670" s="13">
        <v>45868</v>
      </c>
      <c r="C1670">
        <v>2025</v>
      </c>
      <c r="D1670">
        <v>7</v>
      </c>
      <c r="E1670" t="s">
        <v>4046</v>
      </c>
      <c r="F1670" t="s">
        <v>4047</v>
      </c>
      <c r="G1670" t="s">
        <v>1005</v>
      </c>
      <c r="H1670" t="s">
        <v>1006</v>
      </c>
      <c r="I1670" t="s">
        <v>85</v>
      </c>
      <c r="J1670">
        <v>47</v>
      </c>
      <c r="K1670" t="s">
        <v>83</v>
      </c>
      <c r="L1670" t="s">
        <v>97</v>
      </c>
      <c r="M1670" t="s">
        <v>57</v>
      </c>
      <c r="N1670" t="s">
        <v>2603</v>
      </c>
      <c r="O1670" t="s">
        <v>122</v>
      </c>
      <c r="P1670" t="s">
        <v>48</v>
      </c>
      <c r="Q1670" t="s">
        <v>141</v>
      </c>
      <c r="R1670">
        <v>2</v>
      </c>
      <c r="S1670">
        <v>2499</v>
      </c>
      <c r="T1670">
        <v>0.1</v>
      </c>
      <c r="U1670">
        <v>4498.2</v>
      </c>
      <c r="V1670">
        <v>2900</v>
      </c>
      <c r="W1670">
        <v>1598.2</v>
      </c>
      <c r="X1670" t="s">
        <v>73</v>
      </c>
      <c r="Y1670" t="s">
        <v>68</v>
      </c>
      <c r="Z1670" t="s">
        <v>159</v>
      </c>
      <c r="AA1670" t="s">
        <v>168</v>
      </c>
      <c r="AB1670">
        <v>5</v>
      </c>
      <c r="AC1670">
        <v>80</v>
      </c>
      <c r="AD1670">
        <v>222.53</v>
      </c>
      <c r="AE1670">
        <f t="shared" si="52"/>
        <v>1295.67</v>
      </c>
      <c r="AF1670" t="str">
        <f t="shared" si="53"/>
        <v>2025-07</v>
      </c>
      <c r="AG1670">
        <f>SUBTOTAL(103,A1670)</f>
        <v>1</v>
      </c>
    </row>
    <row r="1671" spans="1:33" x14ac:dyDescent="0.3">
      <c r="A1671" t="s">
        <v>4288</v>
      </c>
      <c r="B1671" s="13">
        <v>45868</v>
      </c>
      <c r="C1671">
        <v>2025</v>
      </c>
      <c r="D1671">
        <v>7</v>
      </c>
      <c r="E1671" t="s">
        <v>4046</v>
      </c>
      <c r="F1671" t="s">
        <v>4047</v>
      </c>
      <c r="G1671" t="s">
        <v>1759</v>
      </c>
      <c r="H1671" t="s">
        <v>1760</v>
      </c>
      <c r="I1671" t="s">
        <v>85</v>
      </c>
      <c r="J1671">
        <v>60</v>
      </c>
      <c r="K1671" t="s">
        <v>83</v>
      </c>
      <c r="L1671" t="s">
        <v>92</v>
      </c>
      <c r="M1671" t="s">
        <v>59</v>
      </c>
      <c r="N1671" t="s">
        <v>2590</v>
      </c>
      <c r="O1671" t="s">
        <v>127</v>
      </c>
      <c r="P1671" t="s">
        <v>51</v>
      </c>
      <c r="Q1671" t="s">
        <v>148</v>
      </c>
      <c r="R1671">
        <v>3</v>
      </c>
      <c r="S1671">
        <v>1599</v>
      </c>
      <c r="T1671">
        <v>0.05</v>
      </c>
      <c r="U1671">
        <v>4557.1499999999996</v>
      </c>
      <c r="V1671">
        <v>2400</v>
      </c>
      <c r="W1671">
        <v>2157.15</v>
      </c>
      <c r="X1671" t="s">
        <v>75</v>
      </c>
      <c r="Y1671" t="s">
        <v>68</v>
      </c>
      <c r="Z1671" t="s">
        <v>158</v>
      </c>
      <c r="AA1671" t="s">
        <v>169</v>
      </c>
      <c r="AB1671">
        <v>4.7</v>
      </c>
      <c r="AC1671">
        <v>80</v>
      </c>
      <c r="AD1671">
        <v>419.05</v>
      </c>
      <c r="AE1671">
        <f t="shared" si="52"/>
        <v>1658.1000000000001</v>
      </c>
      <c r="AF1671" t="str">
        <f t="shared" si="53"/>
        <v>2025-07</v>
      </c>
      <c r="AG1671">
        <f>SUBTOTAL(103,A1671)</f>
        <v>1</v>
      </c>
    </row>
    <row r="1672" spans="1:33" x14ac:dyDescent="0.3">
      <c r="A1672" t="s">
        <v>4289</v>
      </c>
      <c r="B1672" s="13">
        <v>45868</v>
      </c>
      <c r="C1672">
        <v>2025</v>
      </c>
      <c r="D1672">
        <v>7</v>
      </c>
      <c r="E1672" t="s">
        <v>4046</v>
      </c>
      <c r="F1672" t="s">
        <v>4047</v>
      </c>
      <c r="G1672" t="s">
        <v>513</v>
      </c>
      <c r="H1672" t="s">
        <v>514</v>
      </c>
      <c r="I1672" t="s">
        <v>85</v>
      </c>
      <c r="J1672">
        <v>48</v>
      </c>
      <c r="K1672" t="s">
        <v>83</v>
      </c>
      <c r="L1672" t="s">
        <v>2616</v>
      </c>
      <c r="M1672" t="s">
        <v>62</v>
      </c>
      <c r="N1672" t="s">
        <v>2587</v>
      </c>
      <c r="O1672" t="s">
        <v>116</v>
      </c>
      <c r="P1672" t="s">
        <v>48</v>
      </c>
      <c r="Q1672" t="s">
        <v>138</v>
      </c>
      <c r="R1672">
        <v>2</v>
      </c>
      <c r="S1672">
        <v>14999</v>
      </c>
      <c r="T1672">
        <v>0.1</v>
      </c>
      <c r="U1672">
        <v>26998.2</v>
      </c>
      <c r="V1672">
        <v>22400</v>
      </c>
      <c r="W1672">
        <v>4598.2</v>
      </c>
      <c r="X1672" t="s">
        <v>76</v>
      </c>
      <c r="Y1672" t="s">
        <v>68</v>
      </c>
      <c r="Z1672" t="s">
        <v>158</v>
      </c>
      <c r="AA1672" t="s">
        <v>169</v>
      </c>
      <c r="AB1672">
        <v>3.7</v>
      </c>
      <c r="AC1672">
        <v>40</v>
      </c>
      <c r="AD1672">
        <v>2058.5700000000002</v>
      </c>
      <c r="AE1672">
        <f t="shared" si="52"/>
        <v>2499.6299999999997</v>
      </c>
      <c r="AF1672" t="str">
        <f t="shared" si="53"/>
        <v>2025-07</v>
      </c>
      <c r="AG1672">
        <f>SUBTOTAL(103,A1672)</f>
        <v>1</v>
      </c>
    </row>
    <row r="1673" spans="1:33" x14ac:dyDescent="0.3">
      <c r="A1673" t="s">
        <v>4290</v>
      </c>
      <c r="B1673" s="13">
        <v>45868</v>
      </c>
      <c r="C1673">
        <v>2025</v>
      </c>
      <c r="D1673">
        <v>7</v>
      </c>
      <c r="E1673" t="s">
        <v>4046</v>
      </c>
      <c r="F1673" t="s">
        <v>4047</v>
      </c>
      <c r="G1673" t="s">
        <v>931</v>
      </c>
      <c r="H1673" t="s">
        <v>932</v>
      </c>
      <c r="I1673" t="s">
        <v>86</v>
      </c>
      <c r="J1673">
        <v>39</v>
      </c>
      <c r="K1673" t="s">
        <v>82</v>
      </c>
      <c r="L1673" t="s">
        <v>2579</v>
      </c>
      <c r="M1673" t="s">
        <v>56</v>
      </c>
      <c r="N1673" t="s">
        <v>2577</v>
      </c>
      <c r="O1673" t="s">
        <v>129</v>
      </c>
      <c r="P1673" t="s">
        <v>49</v>
      </c>
      <c r="Q1673" t="s">
        <v>149</v>
      </c>
      <c r="R1673">
        <v>1</v>
      </c>
      <c r="S1673">
        <v>1299</v>
      </c>
      <c r="T1673">
        <v>0.05</v>
      </c>
      <c r="U1673">
        <v>1234.05</v>
      </c>
      <c r="V1673">
        <v>650</v>
      </c>
      <c r="W1673">
        <v>584.04999999999995</v>
      </c>
      <c r="X1673" t="s">
        <v>73</v>
      </c>
      <c r="Y1673" t="s">
        <v>68</v>
      </c>
      <c r="Z1673" t="s">
        <v>162</v>
      </c>
      <c r="AA1673" t="s">
        <v>166</v>
      </c>
      <c r="AB1673">
        <v>3.1</v>
      </c>
      <c r="AC1673">
        <v>50</v>
      </c>
      <c r="AD1673">
        <v>78.95</v>
      </c>
      <c r="AE1673">
        <f t="shared" si="52"/>
        <v>455.09999999999997</v>
      </c>
      <c r="AF1673" t="str">
        <f t="shared" si="53"/>
        <v>2025-07</v>
      </c>
      <c r="AG1673">
        <f>SUBTOTAL(103,A1673)</f>
        <v>1</v>
      </c>
    </row>
    <row r="1674" spans="1:33" x14ac:dyDescent="0.3">
      <c r="A1674" t="s">
        <v>4291</v>
      </c>
      <c r="B1674" s="13">
        <v>45868</v>
      </c>
      <c r="C1674">
        <v>2025</v>
      </c>
      <c r="D1674">
        <v>7</v>
      </c>
      <c r="E1674" t="s">
        <v>4046</v>
      </c>
      <c r="F1674" t="s">
        <v>4047</v>
      </c>
      <c r="G1674" t="s">
        <v>747</v>
      </c>
      <c r="H1674" t="s">
        <v>748</v>
      </c>
      <c r="I1674" t="s">
        <v>86</v>
      </c>
      <c r="J1674">
        <v>31</v>
      </c>
      <c r="K1674" t="s">
        <v>81</v>
      </c>
      <c r="L1674" t="s">
        <v>2634</v>
      </c>
      <c r="M1674" t="s">
        <v>56</v>
      </c>
      <c r="N1674" t="s">
        <v>2590</v>
      </c>
      <c r="O1674" t="s">
        <v>127</v>
      </c>
      <c r="P1674" t="s">
        <v>51</v>
      </c>
      <c r="Q1674" t="s">
        <v>148</v>
      </c>
      <c r="R1674">
        <v>1</v>
      </c>
      <c r="S1674">
        <v>1599</v>
      </c>
      <c r="T1674">
        <v>0</v>
      </c>
      <c r="U1674">
        <v>1599</v>
      </c>
      <c r="V1674">
        <v>800</v>
      </c>
      <c r="W1674">
        <v>799</v>
      </c>
      <c r="X1674" t="s">
        <v>77</v>
      </c>
      <c r="Y1674" t="s">
        <v>68</v>
      </c>
      <c r="Z1674" t="s">
        <v>162</v>
      </c>
      <c r="AA1674" t="s">
        <v>169</v>
      </c>
      <c r="AB1674">
        <v>3.4</v>
      </c>
      <c r="AC1674">
        <v>40</v>
      </c>
      <c r="AD1674">
        <v>87.72</v>
      </c>
      <c r="AE1674">
        <f t="shared" si="52"/>
        <v>671.28</v>
      </c>
      <c r="AF1674" t="str">
        <f t="shared" si="53"/>
        <v>2025-07</v>
      </c>
      <c r="AG1674">
        <f>SUBTOTAL(103,A1674)</f>
        <v>1</v>
      </c>
    </row>
    <row r="1675" spans="1:33" x14ac:dyDescent="0.3">
      <c r="A1675" t="s">
        <v>4292</v>
      </c>
      <c r="B1675" s="13">
        <v>45868</v>
      </c>
      <c r="C1675">
        <v>2025</v>
      </c>
      <c r="D1675">
        <v>7</v>
      </c>
      <c r="E1675" t="s">
        <v>4046</v>
      </c>
      <c r="F1675" t="s">
        <v>4047</v>
      </c>
      <c r="G1675" t="s">
        <v>321</v>
      </c>
      <c r="H1675" t="s">
        <v>322</v>
      </c>
      <c r="I1675" t="s">
        <v>85</v>
      </c>
      <c r="J1675">
        <v>59</v>
      </c>
      <c r="K1675" t="s">
        <v>83</v>
      </c>
      <c r="L1675" t="s">
        <v>95</v>
      </c>
      <c r="M1675" t="s">
        <v>56</v>
      </c>
      <c r="N1675" t="s">
        <v>2594</v>
      </c>
      <c r="O1675" t="s">
        <v>131</v>
      </c>
      <c r="P1675" t="s">
        <v>53</v>
      </c>
      <c r="Q1675" t="s">
        <v>143</v>
      </c>
      <c r="R1675">
        <v>3</v>
      </c>
      <c r="S1675">
        <v>999</v>
      </c>
      <c r="T1675">
        <v>0</v>
      </c>
      <c r="U1675">
        <v>2997</v>
      </c>
      <c r="V1675">
        <v>1560</v>
      </c>
      <c r="W1675">
        <v>1437</v>
      </c>
      <c r="X1675" t="s">
        <v>73</v>
      </c>
      <c r="Y1675" t="s">
        <v>68</v>
      </c>
      <c r="Z1675" t="s">
        <v>163</v>
      </c>
      <c r="AA1675" t="s">
        <v>171</v>
      </c>
      <c r="AB1675">
        <v>4</v>
      </c>
      <c r="AC1675">
        <v>80</v>
      </c>
      <c r="AD1675">
        <v>61.35</v>
      </c>
      <c r="AE1675">
        <f t="shared" si="52"/>
        <v>1295.6500000000001</v>
      </c>
      <c r="AF1675" t="str">
        <f t="shared" si="53"/>
        <v>2025-07</v>
      </c>
      <c r="AG1675">
        <f>SUBTOTAL(103,A1675)</f>
        <v>1</v>
      </c>
    </row>
    <row r="1676" spans="1:33" x14ac:dyDescent="0.3">
      <c r="A1676" t="s">
        <v>4293</v>
      </c>
      <c r="B1676" s="13">
        <v>45869</v>
      </c>
      <c r="C1676">
        <v>2025</v>
      </c>
      <c r="D1676">
        <v>7</v>
      </c>
      <c r="E1676" t="s">
        <v>4046</v>
      </c>
      <c r="F1676" t="s">
        <v>4047</v>
      </c>
      <c r="G1676" t="s">
        <v>1763</v>
      </c>
      <c r="H1676" t="s">
        <v>1764</v>
      </c>
      <c r="I1676" t="s">
        <v>85</v>
      </c>
      <c r="J1676">
        <v>24</v>
      </c>
      <c r="K1676" t="s">
        <v>80</v>
      </c>
      <c r="L1676" t="s">
        <v>90</v>
      </c>
      <c r="M1676" t="s">
        <v>55</v>
      </c>
      <c r="N1676" t="s">
        <v>2630</v>
      </c>
      <c r="O1676" t="s">
        <v>123</v>
      </c>
      <c r="P1676" t="s">
        <v>52</v>
      </c>
      <c r="Q1676" t="s">
        <v>146</v>
      </c>
      <c r="R1676">
        <v>2</v>
      </c>
      <c r="S1676">
        <v>2499</v>
      </c>
      <c r="T1676">
        <v>0.05</v>
      </c>
      <c r="U1676">
        <v>4748.1000000000004</v>
      </c>
      <c r="V1676">
        <v>2800</v>
      </c>
      <c r="W1676">
        <v>1948.1</v>
      </c>
      <c r="X1676" t="s">
        <v>73</v>
      </c>
      <c r="Y1676" t="s">
        <v>68</v>
      </c>
      <c r="Z1676" t="s">
        <v>161</v>
      </c>
      <c r="AA1676" t="s">
        <v>166</v>
      </c>
      <c r="AB1676">
        <v>4.4000000000000004</v>
      </c>
      <c r="AC1676">
        <v>80</v>
      </c>
      <c r="AD1676">
        <v>569.52</v>
      </c>
      <c r="AE1676">
        <f t="shared" si="52"/>
        <v>1298.58</v>
      </c>
      <c r="AF1676" t="str">
        <f t="shared" si="53"/>
        <v>2025-07</v>
      </c>
      <c r="AG1676">
        <f>SUBTOTAL(103,A1676)</f>
        <v>1</v>
      </c>
    </row>
    <row r="1677" spans="1:33" x14ac:dyDescent="0.3">
      <c r="A1677" t="s">
        <v>4294</v>
      </c>
      <c r="B1677" s="13">
        <v>45869</v>
      </c>
      <c r="C1677">
        <v>2025</v>
      </c>
      <c r="D1677">
        <v>7</v>
      </c>
      <c r="E1677" t="s">
        <v>4046</v>
      </c>
      <c r="F1677" t="s">
        <v>4047</v>
      </c>
      <c r="G1677" t="s">
        <v>1685</v>
      </c>
      <c r="H1677" t="s">
        <v>1686</v>
      </c>
      <c r="I1677" t="s">
        <v>86</v>
      </c>
      <c r="J1677">
        <v>37</v>
      </c>
      <c r="K1677" t="s">
        <v>82</v>
      </c>
      <c r="L1677" t="s">
        <v>2586</v>
      </c>
      <c r="M1677" t="s">
        <v>62</v>
      </c>
      <c r="N1677" t="s">
        <v>2653</v>
      </c>
      <c r="O1677" t="s">
        <v>132</v>
      </c>
      <c r="P1677" t="s">
        <v>52</v>
      </c>
      <c r="Q1677" t="s">
        <v>150</v>
      </c>
      <c r="R1677">
        <v>3</v>
      </c>
      <c r="S1677">
        <v>899</v>
      </c>
      <c r="T1677">
        <v>0.1</v>
      </c>
      <c r="U1677">
        <v>2427.3000000000002</v>
      </c>
      <c r="V1677">
        <v>1260</v>
      </c>
      <c r="W1677">
        <v>1167.3</v>
      </c>
      <c r="X1677" t="s">
        <v>73</v>
      </c>
      <c r="Y1677" t="s">
        <v>68</v>
      </c>
      <c r="Z1677" t="s">
        <v>158</v>
      </c>
      <c r="AA1677" t="s">
        <v>171</v>
      </c>
      <c r="AB1677">
        <v>3.9</v>
      </c>
      <c r="AC1677">
        <v>40</v>
      </c>
      <c r="AD1677">
        <v>191.38</v>
      </c>
      <c r="AE1677">
        <f t="shared" si="52"/>
        <v>935.92</v>
      </c>
      <c r="AF1677" t="str">
        <f t="shared" si="53"/>
        <v>2025-07</v>
      </c>
      <c r="AG1677">
        <f>SUBTOTAL(103,A1677)</f>
        <v>1</v>
      </c>
    </row>
    <row r="1678" spans="1:33" x14ac:dyDescent="0.3">
      <c r="A1678" t="s">
        <v>4295</v>
      </c>
      <c r="B1678" s="13">
        <v>45869</v>
      </c>
      <c r="C1678">
        <v>2025</v>
      </c>
      <c r="D1678">
        <v>7</v>
      </c>
      <c r="E1678" t="s">
        <v>4046</v>
      </c>
      <c r="F1678" t="s">
        <v>4047</v>
      </c>
      <c r="G1678" t="s">
        <v>2039</v>
      </c>
      <c r="H1678" t="s">
        <v>2040</v>
      </c>
      <c r="I1678" t="s">
        <v>86</v>
      </c>
      <c r="J1678">
        <v>40</v>
      </c>
      <c r="K1678" t="s">
        <v>82</v>
      </c>
      <c r="L1678" t="s">
        <v>97</v>
      </c>
      <c r="M1678" t="s">
        <v>57</v>
      </c>
      <c r="N1678" t="s">
        <v>2603</v>
      </c>
      <c r="O1678" t="s">
        <v>122</v>
      </c>
      <c r="P1678" t="s">
        <v>48</v>
      </c>
      <c r="Q1678" t="s">
        <v>141</v>
      </c>
      <c r="R1678">
        <v>1</v>
      </c>
      <c r="S1678">
        <v>2499</v>
      </c>
      <c r="T1678">
        <v>0.1</v>
      </c>
      <c r="U1678">
        <v>2249.1</v>
      </c>
      <c r="V1678">
        <v>1450</v>
      </c>
      <c r="W1678">
        <v>799.1</v>
      </c>
      <c r="X1678" t="s">
        <v>73</v>
      </c>
      <c r="Y1678" t="s">
        <v>68</v>
      </c>
      <c r="Z1678" t="s">
        <v>161</v>
      </c>
      <c r="AA1678" t="s">
        <v>166</v>
      </c>
      <c r="AB1678">
        <v>5</v>
      </c>
      <c r="AC1678">
        <v>60</v>
      </c>
      <c r="AD1678">
        <v>161.22999999999999</v>
      </c>
      <c r="AE1678">
        <f t="shared" si="52"/>
        <v>577.87</v>
      </c>
      <c r="AF1678" t="str">
        <f t="shared" si="53"/>
        <v>2025-07</v>
      </c>
      <c r="AG1678">
        <f>SUBTOTAL(103,A1678)</f>
        <v>1</v>
      </c>
    </row>
    <row r="1679" spans="1:33" x14ac:dyDescent="0.3">
      <c r="A1679" t="s">
        <v>4296</v>
      </c>
      <c r="B1679" s="13">
        <v>45869</v>
      </c>
      <c r="C1679">
        <v>2025</v>
      </c>
      <c r="D1679">
        <v>7</v>
      </c>
      <c r="E1679" t="s">
        <v>4046</v>
      </c>
      <c r="F1679" t="s">
        <v>4047</v>
      </c>
      <c r="G1679" t="s">
        <v>483</v>
      </c>
      <c r="H1679" t="s">
        <v>484</v>
      </c>
      <c r="I1679" t="s">
        <v>85</v>
      </c>
      <c r="J1679">
        <v>32</v>
      </c>
      <c r="K1679" t="s">
        <v>81</v>
      </c>
      <c r="L1679" t="s">
        <v>2605</v>
      </c>
      <c r="M1679" t="s">
        <v>60</v>
      </c>
      <c r="N1679" t="s">
        <v>2587</v>
      </c>
      <c r="O1679" t="s">
        <v>116</v>
      </c>
      <c r="P1679" t="s">
        <v>48</v>
      </c>
      <c r="Q1679" t="s">
        <v>138</v>
      </c>
      <c r="R1679">
        <v>3</v>
      </c>
      <c r="S1679">
        <v>14999</v>
      </c>
      <c r="T1679">
        <v>0.15</v>
      </c>
      <c r="U1679">
        <v>0</v>
      </c>
      <c r="V1679">
        <v>0</v>
      </c>
      <c r="W1679">
        <v>0</v>
      </c>
      <c r="X1679" t="s">
        <v>76</v>
      </c>
      <c r="Y1679" t="s">
        <v>71</v>
      </c>
      <c r="Z1679" t="s">
        <v>158</v>
      </c>
      <c r="AA1679" t="s">
        <v>170</v>
      </c>
      <c r="AB1679">
        <v>4.4000000000000004</v>
      </c>
      <c r="AC1679">
        <v>60</v>
      </c>
      <c r="AD1679">
        <v>1287.03</v>
      </c>
      <c r="AE1679">
        <f t="shared" si="52"/>
        <v>-1347.03</v>
      </c>
      <c r="AF1679" t="str">
        <f t="shared" si="53"/>
        <v>2025-07</v>
      </c>
      <c r="AG1679">
        <f>SUBTOTAL(103,A1679)</f>
        <v>1</v>
      </c>
    </row>
    <row r="1680" spans="1:33" x14ac:dyDescent="0.3">
      <c r="A1680" t="s">
        <v>4297</v>
      </c>
      <c r="B1680" s="13">
        <v>45869</v>
      </c>
      <c r="C1680">
        <v>2025</v>
      </c>
      <c r="D1680">
        <v>7</v>
      </c>
      <c r="E1680" t="s">
        <v>4046</v>
      </c>
      <c r="F1680" t="s">
        <v>4047</v>
      </c>
      <c r="G1680" t="s">
        <v>885</v>
      </c>
      <c r="H1680" t="s">
        <v>886</v>
      </c>
      <c r="I1680" t="s">
        <v>86</v>
      </c>
      <c r="J1680">
        <v>28</v>
      </c>
      <c r="K1680" t="s">
        <v>81</v>
      </c>
      <c r="L1680" t="s">
        <v>2623</v>
      </c>
      <c r="M1680" t="s">
        <v>61</v>
      </c>
      <c r="N1680" t="s">
        <v>2596</v>
      </c>
      <c r="O1680" t="s">
        <v>124</v>
      </c>
      <c r="P1680" t="s">
        <v>51</v>
      </c>
      <c r="Q1680" t="s">
        <v>147</v>
      </c>
      <c r="R1680">
        <v>2</v>
      </c>
      <c r="S1680">
        <v>2299</v>
      </c>
      <c r="T1680">
        <v>0.05</v>
      </c>
      <c r="U1680">
        <v>4368.1000000000004</v>
      </c>
      <c r="V1680">
        <v>2400</v>
      </c>
      <c r="W1680">
        <v>1968.1</v>
      </c>
      <c r="X1680" t="s">
        <v>75</v>
      </c>
      <c r="Y1680" t="s">
        <v>68</v>
      </c>
      <c r="Z1680" t="s">
        <v>160</v>
      </c>
      <c r="AA1680" t="s">
        <v>171</v>
      </c>
      <c r="AB1680">
        <v>4.4000000000000004</v>
      </c>
      <c r="AC1680">
        <v>80</v>
      </c>
      <c r="AD1680">
        <v>244.06</v>
      </c>
      <c r="AE1680">
        <f t="shared" si="52"/>
        <v>1644.04</v>
      </c>
      <c r="AF1680" t="str">
        <f t="shared" si="53"/>
        <v>2025-07</v>
      </c>
      <c r="AG1680">
        <f>SUBTOTAL(103,A1680)</f>
        <v>1</v>
      </c>
    </row>
    <row r="1681" spans="1:33" x14ac:dyDescent="0.3">
      <c r="A1681" t="s">
        <v>4298</v>
      </c>
      <c r="B1681" s="13">
        <v>45869</v>
      </c>
      <c r="C1681">
        <v>2025</v>
      </c>
      <c r="D1681">
        <v>7</v>
      </c>
      <c r="E1681" t="s">
        <v>4046</v>
      </c>
      <c r="F1681" t="s">
        <v>4047</v>
      </c>
      <c r="G1681" t="s">
        <v>573</v>
      </c>
      <c r="H1681" t="s">
        <v>574</v>
      </c>
      <c r="I1681" t="s">
        <v>85</v>
      </c>
      <c r="J1681">
        <v>57</v>
      </c>
      <c r="K1681" t="s">
        <v>83</v>
      </c>
      <c r="L1681" t="s">
        <v>2623</v>
      </c>
      <c r="M1681" t="s">
        <v>61</v>
      </c>
      <c r="N1681" t="s">
        <v>2647</v>
      </c>
      <c r="O1681" t="s">
        <v>133</v>
      </c>
      <c r="P1681" t="s">
        <v>50</v>
      </c>
      <c r="Q1681" t="s">
        <v>145</v>
      </c>
      <c r="R1681">
        <v>2</v>
      </c>
      <c r="S1681">
        <v>799</v>
      </c>
      <c r="T1681">
        <v>0.1</v>
      </c>
      <c r="U1681">
        <v>1438.2</v>
      </c>
      <c r="V1681">
        <v>780</v>
      </c>
      <c r="W1681">
        <v>658.2</v>
      </c>
      <c r="X1681" t="s">
        <v>75</v>
      </c>
      <c r="Y1681" t="s">
        <v>69</v>
      </c>
      <c r="Z1681" t="s">
        <v>160</v>
      </c>
      <c r="AA1681" t="s">
        <v>170</v>
      </c>
      <c r="AB1681">
        <v>3.6</v>
      </c>
      <c r="AC1681">
        <v>80</v>
      </c>
      <c r="AD1681">
        <v>93.81</v>
      </c>
      <c r="AE1681">
        <f t="shared" si="52"/>
        <v>484.39000000000004</v>
      </c>
      <c r="AF1681" t="str">
        <f t="shared" si="53"/>
        <v>2025-07</v>
      </c>
      <c r="AG1681">
        <f>SUBTOTAL(103,A1681)</f>
        <v>1</v>
      </c>
    </row>
    <row r="1682" spans="1:33" x14ac:dyDescent="0.3">
      <c r="A1682" t="s">
        <v>4299</v>
      </c>
      <c r="B1682" s="13">
        <v>45869</v>
      </c>
      <c r="C1682">
        <v>2025</v>
      </c>
      <c r="D1682">
        <v>7</v>
      </c>
      <c r="E1682" t="s">
        <v>4046</v>
      </c>
      <c r="F1682" t="s">
        <v>4047</v>
      </c>
      <c r="G1682" t="s">
        <v>227</v>
      </c>
      <c r="H1682" t="s">
        <v>228</v>
      </c>
      <c r="I1682" t="s">
        <v>87</v>
      </c>
      <c r="J1682">
        <v>38</v>
      </c>
      <c r="K1682" t="s">
        <v>82</v>
      </c>
      <c r="L1682" t="s">
        <v>2634</v>
      </c>
      <c r="M1682" t="s">
        <v>56</v>
      </c>
      <c r="N1682" t="s">
        <v>2657</v>
      </c>
      <c r="O1682" t="s">
        <v>134</v>
      </c>
      <c r="P1682" t="s">
        <v>49</v>
      </c>
      <c r="Q1682" t="s">
        <v>140</v>
      </c>
      <c r="R1682">
        <v>2</v>
      </c>
      <c r="S1682">
        <v>599</v>
      </c>
      <c r="T1682">
        <v>0</v>
      </c>
      <c r="U1682">
        <v>0</v>
      </c>
      <c r="V1682">
        <v>0</v>
      </c>
      <c r="W1682">
        <v>0</v>
      </c>
      <c r="X1682" t="s">
        <v>74</v>
      </c>
      <c r="Y1682" t="s">
        <v>71</v>
      </c>
      <c r="Z1682" t="s">
        <v>159</v>
      </c>
      <c r="AA1682" t="s">
        <v>168</v>
      </c>
      <c r="AB1682">
        <v>5</v>
      </c>
      <c r="AC1682">
        <v>80</v>
      </c>
      <c r="AD1682">
        <v>35.03</v>
      </c>
      <c r="AE1682">
        <f t="shared" si="52"/>
        <v>-115.03</v>
      </c>
      <c r="AF1682" t="str">
        <f t="shared" si="53"/>
        <v>2025-07</v>
      </c>
      <c r="AG1682">
        <f>SUBTOTAL(103,A1682)</f>
        <v>1</v>
      </c>
    </row>
    <row r="1683" spans="1:33" x14ac:dyDescent="0.3">
      <c r="A1683" t="s">
        <v>4300</v>
      </c>
      <c r="B1683" s="13">
        <v>45870</v>
      </c>
      <c r="C1683">
        <v>2025</v>
      </c>
      <c r="D1683">
        <v>8</v>
      </c>
      <c r="E1683" t="s">
        <v>4301</v>
      </c>
      <c r="F1683" t="s">
        <v>4047</v>
      </c>
      <c r="G1683" t="s">
        <v>1155</v>
      </c>
      <c r="H1683" t="s">
        <v>1156</v>
      </c>
      <c r="I1683" t="s">
        <v>85</v>
      </c>
      <c r="J1683">
        <v>18</v>
      </c>
      <c r="K1683" t="s">
        <v>80</v>
      </c>
      <c r="L1683" t="s">
        <v>2579</v>
      </c>
      <c r="M1683" t="s">
        <v>56</v>
      </c>
      <c r="N1683" t="s">
        <v>2582</v>
      </c>
      <c r="O1683" t="s">
        <v>119</v>
      </c>
      <c r="P1683" t="s">
        <v>49</v>
      </c>
      <c r="Q1683" t="s">
        <v>140</v>
      </c>
      <c r="R1683">
        <v>2</v>
      </c>
      <c r="S1683">
        <v>3499</v>
      </c>
      <c r="T1683">
        <v>0.25</v>
      </c>
      <c r="U1683">
        <v>5248.5</v>
      </c>
      <c r="V1683">
        <v>4200</v>
      </c>
      <c r="W1683">
        <v>1048.5</v>
      </c>
      <c r="X1683" t="s">
        <v>74</v>
      </c>
      <c r="Y1683" t="s">
        <v>68</v>
      </c>
      <c r="Z1683" t="s">
        <v>162</v>
      </c>
      <c r="AA1683" t="s">
        <v>166</v>
      </c>
      <c r="AB1683">
        <v>4.3</v>
      </c>
      <c r="AC1683">
        <v>80</v>
      </c>
      <c r="AD1683">
        <v>310.60000000000002</v>
      </c>
      <c r="AE1683">
        <f t="shared" si="52"/>
        <v>657.9</v>
      </c>
      <c r="AF1683" t="str">
        <f t="shared" si="53"/>
        <v>2025-08</v>
      </c>
      <c r="AG1683">
        <f>SUBTOTAL(103,A1683)</f>
        <v>1</v>
      </c>
    </row>
    <row r="1684" spans="1:33" x14ac:dyDescent="0.3">
      <c r="A1684" t="s">
        <v>4302</v>
      </c>
      <c r="B1684" s="13">
        <v>45870</v>
      </c>
      <c r="C1684">
        <v>2025</v>
      </c>
      <c r="D1684">
        <v>8</v>
      </c>
      <c r="E1684" t="s">
        <v>4301</v>
      </c>
      <c r="F1684" t="s">
        <v>4047</v>
      </c>
      <c r="G1684" t="s">
        <v>921</v>
      </c>
      <c r="H1684" t="s">
        <v>922</v>
      </c>
      <c r="I1684" t="s">
        <v>85</v>
      </c>
      <c r="J1684">
        <v>38</v>
      </c>
      <c r="K1684" t="s">
        <v>82</v>
      </c>
      <c r="L1684" t="s">
        <v>96</v>
      </c>
      <c r="M1684" t="s">
        <v>55</v>
      </c>
      <c r="N1684" t="s">
        <v>2606</v>
      </c>
      <c r="O1684" t="s">
        <v>120</v>
      </c>
      <c r="P1684" t="s">
        <v>49</v>
      </c>
      <c r="Q1684" t="s">
        <v>140</v>
      </c>
      <c r="R1684">
        <v>1</v>
      </c>
      <c r="S1684">
        <v>2799</v>
      </c>
      <c r="T1684">
        <v>0.25</v>
      </c>
      <c r="U1684">
        <v>2099.25</v>
      </c>
      <c r="V1684">
        <v>1650</v>
      </c>
      <c r="W1684">
        <v>449.25</v>
      </c>
      <c r="X1684" t="s">
        <v>73</v>
      </c>
      <c r="Y1684" t="s">
        <v>69</v>
      </c>
      <c r="Z1684" t="s">
        <v>160</v>
      </c>
      <c r="AA1684" t="s">
        <v>168</v>
      </c>
      <c r="AB1684">
        <v>4.2</v>
      </c>
      <c r="AC1684">
        <v>100</v>
      </c>
      <c r="AD1684">
        <v>154.93</v>
      </c>
      <c r="AE1684">
        <f t="shared" si="52"/>
        <v>194.32</v>
      </c>
      <c r="AF1684" t="str">
        <f t="shared" si="53"/>
        <v>2025-08</v>
      </c>
      <c r="AG1684">
        <f>SUBTOTAL(103,A1684)</f>
        <v>1</v>
      </c>
    </row>
    <row r="1685" spans="1:33" x14ac:dyDescent="0.3">
      <c r="A1685" t="s">
        <v>4303</v>
      </c>
      <c r="B1685" s="13">
        <v>45870</v>
      </c>
      <c r="C1685">
        <v>2025</v>
      </c>
      <c r="D1685">
        <v>8</v>
      </c>
      <c r="E1685" t="s">
        <v>4301</v>
      </c>
      <c r="F1685" t="s">
        <v>4047</v>
      </c>
      <c r="G1685" t="s">
        <v>1261</v>
      </c>
      <c r="H1685" t="s">
        <v>1262</v>
      </c>
      <c r="I1685" t="s">
        <v>86</v>
      </c>
      <c r="J1685">
        <v>60</v>
      </c>
      <c r="K1685" t="s">
        <v>83</v>
      </c>
      <c r="L1685" t="s">
        <v>96</v>
      </c>
      <c r="M1685" t="s">
        <v>55</v>
      </c>
      <c r="N1685" t="s">
        <v>2596</v>
      </c>
      <c r="O1685" t="s">
        <v>124</v>
      </c>
      <c r="P1685" t="s">
        <v>51</v>
      </c>
      <c r="Q1685" t="s">
        <v>147</v>
      </c>
      <c r="R1685">
        <v>4</v>
      </c>
      <c r="S1685">
        <v>2299</v>
      </c>
      <c r="T1685">
        <v>0.05</v>
      </c>
      <c r="U1685">
        <v>8736.2000000000007</v>
      </c>
      <c r="V1685">
        <v>4800</v>
      </c>
      <c r="W1685">
        <v>3936.2</v>
      </c>
      <c r="X1685" t="s">
        <v>76</v>
      </c>
      <c r="Y1685" t="s">
        <v>68</v>
      </c>
      <c r="Z1685" t="s">
        <v>162</v>
      </c>
      <c r="AA1685" t="s">
        <v>166</v>
      </c>
      <c r="AB1685">
        <v>4.2</v>
      </c>
      <c r="AC1685">
        <v>120</v>
      </c>
      <c r="AD1685">
        <v>544.55999999999995</v>
      </c>
      <c r="AE1685">
        <f t="shared" si="52"/>
        <v>3271.64</v>
      </c>
      <c r="AF1685" t="str">
        <f t="shared" si="53"/>
        <v>2025-08</v>
      </c>
      <c r="AG1685">
        <f>SUBTOTAL(103,A1685)</f>
        <v>1</v>
      </c>
    </row>
    <row r="1686" spans="1:33" x14ac:dyDescent="0.3">
      <c r="A1686" t="s">
        <v>4304</v>
      </c>
      <c r="B1686" s="13">
        <v>45870</v>
      </c>
      <c r="C1686">
        <v>2025</v>
      </c>
      <c r="D1686">
        <v>8</v>
      </c>
      <c r="E1686" t="s">
        <v>4301</v>
      </c>
      <c r="F1686" t="s">
        <v>4047</v>
      </c>
      <c r="G1686" t="s">
        <v>575</v>
      </c>
      <c r="H1686" t="s">
        <v>576</v>
      </c>
      <c r="I1686" t="s">
        <v>86</v>
      </c>
      <c r="J1686">
        <v>40</v>
      </c>
      <c r="K1686" t="s">
        <v>82</v>
      </c>
      <c r="L1686" t="s">
        <v>100</v>
      </c>
      <c r="M1686" t="s">
        <v>56</v>
      </c>
      <c r="N1686" t="s">
        <v>2606</v>
      </c>
      <c r="O1686" t="s">
        <v>120</v>
      </c>
      <c r="P1686" t="s">
        <v>49</v>
      </c>
      <c r="Q1686" t="s">
        <v>140</v>
      </c>
      <c r="R1686">
        <v>2</v>
      </c>
      <c r="S1686">
        <v>2799</v>
      </c>
      <c r="T1686">
        <v>0</v>
      </c>
      <c r="U1686">
        <v>5598</v>
      </c>
      <c r="V1686">
        <v>3300</v>
      </c>
      <c r="W1686">
        <v>2298</v>
      </c>
      <c r="X1686" t="s">
        <v>75</v>
      </c>
      <c r="Y1686" t="s">
        <v>68</v>
      </c>
      <c r="Z1686" t="s">
        <v>159</v>
      </c>
      <c r="AA1686" t="s">
        <v>166</v>
      </c>
      <c r="AB1686">
        <v>4.8</v>
      </c>
      <c r="AC1686">
        <v>100</v>
      </c>
      <c r="AD1686">
        <v>443.29</v>
      </c>
      <c r="AE1686">
        <f t="shared" si="52"/>
        <v>1754.71</v>
      </c>
      <c r="AF1686" t="str">
        <f t="shared" si="53"/>
        <v>2025-08</v>
      </c>
      <c r="AG1686">
        <f>SUBTOTAL(103,A1686)</f>
        <v>1</v>
      </c>
    </row>
    <row r="1687" spans="1:33" x14ac:dyDescent="0.3">
      <c r="A1687" t="s">
        <v>4305</v>
      </c>
      <c r="B1687" s="13">
        <v>45870</v>
      </c>
      <c r="C1687">
        <v>2025</v>
      </c>
      <c r="D1687">
        <v>8</v>
      </c>
      <c r="E1687" t="s">
        <v>4301</v>
      </c>
      <c r="F1687" t="s">
        <v>4047</v>
      </c>
      <c r="G1687" t="s">
        <v>517</v>
      </c>
      <c r="H1687" t="s">
        <v>518</v>
      </c>
      <c r="I1687" t="s">
        <v>85</v>
      </c>
      <c r="J1687">
        <v>27</v>
      </c>
      <c r="K1687" t="s">
        <v>81</v>
      </c>
      <c r="L1687" t="s">
        <v>96</v>
      </c>
      <c r="M1687" t="s">
        <v>55</v>
      </c>
      <c r="N1687" t="s">
        <v>2601</v>
      </c>
      <c r="O1687" t="s">
        <v>117</v>
      </c>
      <c r="P1687" t="s">
        <v>49</v>
      </c>
      <c r="Q1687" t="s">
        <v>139</v>
      </c>
      <c r="R1687">
        <v>3</v>
      </c>
      <c r="S1687">
        <v>6999</v>
      </c>
      <c r="T1687">
        <v>0.05</v>
      </c>
      <c r="U1687">
        <v>19947.150000000001</v>
      </c>
      <c r="V1687">
        <v>12900</v>
      </c>
      <c r="W1687">
        <v>7047.15</v>
      </c>
      <c r="X1687" t="s">
        <v>75</v>
      </c>
      <c r="Y1687" t="s">
        <v>68</v>
      </c>
      <c r="Z1687" t="s">
        <v>163</v>
      </c>
      <c r="AA1687" t="s">
        <v>170</v>
      </c>
      <c r="AB1687">
        <v>2.6</v>
      </c>
      <c r="AC1687">
        <v>60</v>
      </c>
      <c r="AD1687">
        <v>471.01</v>
      </c>
      <c r="AE1687">
        <f t="shared" si="52"/>
        <v>6516.1399999999994</v>
      </c>
      <c r="AF1687" t="str">
        <f t="shared" si="53"/>
        <v>2025-08</v>
      </c>
      <c r="AG1687">
        <f>SUBTOTAL(103,A1687)</f>
        <v>1</v>
      </c>
    </row>
    <row r="1688" spans="1:33" x14ac:dyDescent="0.3">
      <c r="A1688" t="s">
        <v>4306</v>
      </c>
      <c r="B1688" s="13">
        <v>45870</v>
      </c>
      <c r="C1688">
        <v>2025</v>
      </c>
      <c r="D1688">
        <v>8</v>
      </c>
      <c r="E1688" t="s">
        <v>4301</v>
      </c>
      <c r="F1688" t="s">
        <v>4047</v>
      </c>
      <c r="G1688" t="s">
        <v>511</v>
      </c>
      <c r="H1688" t="s">
        <v>512</v>
      </c>
      <c r="I1688" t="s">
        <v>86</v>
      </c>
      <c r="J1688">
        <v>49</v>
      </c>
      <c r="K1688" t="s">
        <v>83</v>
      </c>
      <c r="L1688" t="s">
        <v>94</v>
      </c>
      <c r="M1688" t="s">
        <v>57</v>
      </c>
      <c r="N1688" t="s">
        <v>2647</v>
      </c>
      <c r="O1688" t="s">
        <v>133</v>
      </c>
      <c r="P1688" t="s">
        <v>50</v>
      </c>
      <c r="Q1688" t="s">
        <v>145</v>
      </c>
      <c r="R1688">
        <v>3</v>
      </c>
      <c r="S1688">
        <v>799</v>
      </c>
      <c r="T1688">
        <v>0.2</v>
      </c>
      <c r="U1688">
        <v>1917.6</v>
      </c>
      <c r="V1688">
        <v>1170</v>
      </c>
      <c r="W1688">
        <v>747.6</v>
      </c>
      <c r="X1688" t="s">
        <v>76</v>
      </c>
      <c r="Y1688" t="s">
        <v>68</v>
      </c>
      <c r="Z1688" t="s">
        <v>158</v>
      </c>
      <c r="AA1688" t="s">
        <v>171</v>
      </c>
      <c r="AB1688">
        <v>3.5</v>
      </c>
      <c r="AC1688">
        <v>80</v>
      </c>
      <c r="AD1688">
        <v>156.72</v>
      </c>
      <c r="AE1688">
        <f t="shared" si="52"/>
        <v>510.88</v>
      </c>
      <c r="AF1688" t="str">
        <f t="shared" si="53"/>
        <v>2025-08</v>
      </c>
      <c r="AG1688">
        <f>SUBTOTAL(103,A1688)</f>
        <v>1</v>
      </c>
    </row>
    <row r="1689" spans="1:33" x14ac:dyDescent="0.3">
      <c r="A1689" t="s">
        <v>4307</v>
      </c>
      <c r="B1689" s="13">
        <v>45870</v>
      </c>
      <c r="C1689">
        <v>2025</v>
      </c>
      <c r="D1689">
        <v>8</v>
      </c>
      <c r="E1689" t="s">
        <v>4301</v>
      </c>
      <c r="F1689" t="s">
        <v>4047</v>
      </c>
      <c r="G1689" t="s">
        <v>831</v>
      </c>
      <c r="H1689" t="s">
        <v>832</v>
      </c>
      <c r="I1689" t="s">
        <v>85</v>
      </c>
      <c r="J1689">
        <v>40</v>
      </c>
      <c r="K1689" t="s">
        <v>82</v>
      </c>
      <c r="L1689" t="s">
        <v>93</v>
      </c>
      <c r="M1689" t="s">
        <v>55</v>
      </c>
      <c r="N1689" t="s">
        <v>2592</v>
      </c>
      <c r="O1689" t="s">
        <v>115</v>
      </c>
      <c r="P1689" t="s">
        <v>48</v>
      </c>
      <c r="Q1689" t="s">
        <v>137</v>
      </c>
      <c r="R1689">
        <v>1</v>
      </c>
      <c r="S1689">
        <v>12999</v>
      </c>
      <c r="T1689">
        <v>0.05</v>
      </c>
      <c r="U1689">
        <v>12349.05</v>
      </c>
      <c r="V1689">
        <v>9000</v>
      </c>
      <c r="W1689">
        <v>3349.05</v>
      </c>
      <c r="X1689" t="s">
        <v>73</v>
      </c>
      <c r="Y1689" t="s">
        <v>68</v>
      </c>
      <c r="Z1689" t="s">
        <v>159</v>
      </c>
      <c r="AA1689" t="s">
        <v>166</v>
      </c>
      <c r="AB1689">
        <v>3.1</v>
      </c>
      <c r="AC1689">
        <v>80</v>
      </c>
      <c r="AD1689">
        <v>1157.9100000000001</v>
      </c>
      <c r="AE1689">
        <f t="shared" si="52"/>
        <v>2111.1400000000003</v>
      </c>
      <c r="AF1689" t="str">
        <f t="shared" si="53"/>
        <v>2025-08</v>
      </c>
      <c r="AG1689">
        <f>SUBTOTAL(103,A1689)</f>
        <v>1</v>
      </c>
    </row>
    <row r="1690" spans="1:33" x14ac:dyDescent="0.3">
      <c r="A1690" t="s">
        <v>4308</v>
      </c>
      <c r="B1690" s="13">
        <v>45871</v>
      </c>
      <c r="C1690">
        <v>2025</v>
      </c>
      <c r="D1690">
        <v>8</v>
      </c>
      <c r="E1690" t="s">
        <v>4301</v>
      </c>
      <c r="F1690" t="s">
        <v>4047</v>
      </c>
      <c r="G1690" t="s">
        <v>973</v>
      </c>
      <c r="H1690" t="s">
        <v>974</v>
      </c>
      <c r="I1690" t="s">
        <v>85</v>
      </c>
      <c r="J1690">
        <v>39</v>
      </c>
      <c r="K1690" t="s">
        <v>82</v>
      </c>
      <c r="L1690" t="s">
        <v>2612</v>
      </c>
      <c r="M1690" t="s">
        <v>64</v>
      </c>
      <c r="N1690" t="s">
        <v>2580</v>
      </c>
      <c r="O1690" t="s">
        <v>118</v>
      </c>
      <c r="P1690" t="s">
        <v>48</v>
      </c>
      <c r="Q1690" t="s">
        <v>142</v>
      </c>
      <c r="R1690">
        <v>4</v>
      </c>
      <c r="S1690">
        <v>3999</v>
      </c>
      <c r="T1690">
        <v>0</v>
      </c>
      <c r="U1690">
        <v>15996</v>
      </c>
      <c r="V1690">
        <v>9600</v>
      </c>
      <c r="W1690">
        <v>6396</v>
      </c>
      <c r="X1690" t="s">
        <v>74</v>
      </c>
      <c r="Y1690" t="s">
        <v>68</v>
      </c>
      <c r="Z1690" t="s">
        <v>158</v>
      </c>
      <c r="AA1690" t="s">
        <v>171</v>
      </c>
      <c r="AB1690">
        <v>3</v>
      </c>
      <c r="AC1690">
        <v>80</v>
      </c>
      <c r="AD1690">
        <v>947.58</v>
      </c>
      <c r="AE1690">
        <f t="shared" si="52"/>
        <v>5368.42</v>
      </c>
      <c r="AF1690" t="str">
        <f t="shared" si="53"/>
        <v>2025-08</v>
      </c>
      <c r="AG1690">
        <f>SUBTOTAL(103,A1690)</f>
        <v>1</v>
      </c>
    </row>
    <row r="1691" spans="1:33" x14ac:dyDescent="0.3">
      <c r="A1691" t="s">
        <v>4309</v>
      </c>
      <c r="B1691" s="13">
        <v>45871</v>
      </c>
      <c r="C1691">
        <v>2025</v>
      </c>
      <c r="D1691">
        <v>8</v>
      </c>
      <c r="E1691" t="s">
        <v>4301</v>
      </c>
      <c r="F1691" t="s">
        <v>4047</v>
      </c>
      <c r="G1691" t="s">
        <v>781</v>
      </c>
      <c r="H1691" t="s">
        <v>782</v>
      </c>
      <c r="I1691" t="s">
        <v>85</v>
      </c>
      <c r="J1691">
        <v>37</v>
      </c>
      <c r="K1691" t="s">
        <v>82</v>
      </c>
      <c r="L1691" t="s">
        <v>2674</v>
      </c>
      <c r="M1691" t="s">
        <v>58</v>
      </c>
      <c r="N1691" t="s">
        <v>2574</v>
      </c>
      <c r="O1691" t="s">
        <v>130</v>
      </c>
      <c r="P1691" t="s">
        <v>50</v>
      </c>
      <c r="Q1691" t="s">
        <v>53</v>
      </c>
      <c r="R1691">
        <v>2</v>
      </c>
      <c r="S1691">
        <v>1199</v>
      </c>
      <c r="T1691">
        <v>0</v>
      </c>
      <c r="U1691">
        <v>2398</v>
      </c>
      <c r="V1691">
        <v>1100</v>
      </c>
      <c r="W1691">
        <v>1298</v>
      </c>
      <c r="X1691" t="s">
        <v>73</v>
      </c>
      <c r="Y1691" t="s">
        <v>68</v>
      </c>
      <c r="Z1691" t="s">
        <v>158</v>
      </c>
      <c r="AA1691" t="s">
        <v>166</v>
      </c>
      <c r="AB1691">
        <v>3.3</v>
      </c>
      <c r="AC1691">
        <v>50</v>
      </c>
      <c r="AD1691">
        <v>190.15</v>
      </c>
      <c r="AE1691">
        <f t="shared" si="52"/>
        <v>1057.8499999999999</v>
      </c>
      <c r="AF1691" t="str">
        <f t="shared" si="53"/>
        <v>2025-08</v>
      </c>
      <c r="AG1691">
        <f>SUBTOTAL(103,A1691)</f>
        <v>1</v>
      </c>
    </row>
    <row r="1692" spans="1:33" x14ac:dyDescent="0.3">
      <c r="A1692" t="s">
        <v>4310</v>
      </c>
      <c r="B1692" s="13">
        <v>45871</v>
      </c>
      <c r="C1692">
        <v>2025</v>
      </c>
      <c r="D1692">
        <v>8</v>
      </c>
      <c r="E1692" t="s">
        <v>4301</v>
      </c>
      <c r="F1692" t="s">
        <v>4047</v>
      </c>
      <c r="G1692" t="s">
        <v>1011</v>
      </c>
      <c r="H1692" t="s">
        <v>1012</v>
      </c>
      <c r="I1692" t="s">
        <v>85</v>
      </c>
      <c r="J1692">
        <v>33</v>
      </c>
      <c r="K1692" t="s">
        <v>81</v>
      </c>
      <c r="L1692" t="s">
        <v>2586</v>
      </c>
      <c r="M1692" t="s">
        <v>62</v>
      </c>
      <c r="N1692" t="s">
        <v>2596</v>
      </c>
      <c r="O1692" t="s">
        <v>124</v>
      </c>
      <c r="P1692" t="s">
        <v>51</v>
      </c>
      <c r="Q1692" t="s">
        <v>147</v>
      </c>
      <c r="R1692">
        <v>2</v>
      </c>
      <c r="S1692">
        <v>2299</v>
      </c>
      <c r="T1692">
        <v>0.05</v>
      </c>
      <c r="U1692">
        <v>4368.1000000000004</v>
      </c>
      <c r="V1692">
        <v>2400</v>
      </c>
      <c r="W1692">
        <v>1968.1</v>
      </c>
      <c r="X1692" t="s">
        <v>73</v>
      </c>
      <c r="Y1692" t="s">
        <v>68</v>
      </c>
      <c r="Z1692" t="s">
        <v>158</v>
      </c>
      <c r="AA1692" t="s">
        <v>170</v>
      </c>
      <c r="AB1692">
        <v>3.5</v>
      </c>
      <c r="AC1692">
        <v>40</v>
      </c>
      <c r="AD1692">
        <v>117.13</v>
      </c>
      <c r="AE1692">
        <f t="shared" si="52"/>
        <v>1810.9699999999998</v>
      </c>
      <c r="AF1692" t="str">
        <f t="shared" si="53"/>
        <v>2025-08</v>
      </c>
      <c r="AG1692">
        <f>SUBTOTAL(103,A1692)</f>
        <v>1</v>
      </c>
    </row>
    <row r="1693" spans="1:33" x14ac:dyDescent="0.3">
      <c r="A1693" t="s">
        <v>4311</v>
      </c>
      <c r="B1693" s="13">
        <v>45871</v>
      </c>
      <c r="C1693">
        <v>2025</v>
      </c>
      <c r="D1693">
        <v>8</v>
      </c>
      <c r="E1693" t="s">
        <v>4301</v>
      </c>
      <c r="F1693" t="s">
        <v>4047</v>
      </c>
      <c r="G1693" t="s">
        <v>1955</v>
      </c>
      <c r="H1693" t="s">
        <v>1956</v>
      </c>
      <c r="I1693" t="s">
        <v>85</v>
      </c>
      <c r="J1693">
        <v>24</v>
      </c>
      <c r="K1693" t="s">
        <v>80</v>
      </c>
      <c r="L1693" t="s">
        <v>59</v>
      </c>
      <c r="M1693" t="s">
        <v>59</v>
      </c>
      <c r="N1693" t="s">
        <v>2653</v>
      </c>
      <c r="O1693" t="s">
        <v>132</v>
      </c>
      <c r="P1693" t="s">
        <v>52</v>
      </c>
      <c r="Q1693" t="s">
        <v>150</v>
      </c>
      <c r="R1693">
        <v>3</v>
      </c>
      <c r="S1693">
        <v>899</v>
      </c>
      <c r="T1693">
        <v>0.2</v>
      </c>
      <c r="U1693">
        <v>2157.6</v>
      </c>
      <c r="V1693">
        <v>1260</v>
      </c>
      <c r="W1693">
        <v>897.6</v>
      </c>
      <c r="X1693" t="s">
        <v>77</v>
      </c>
      <c r="Y1693" t="s">
        <v>69</v>
      </c>
      <c r="Z1693" t="s">
        <v>161</v>
      </c>
      <c r="AA1693" t="s">
        <v>168</v>
      </c>
      <c r="AB1693">
        <v>3.8</v>
      </c>
      <c r="AC1693">
        <v>50</v>
      </c>
      <c r="AD1693">
        <v>240.36</v>
      </c>
      <c r="AE1693">
        <f t="shared" si="52"/>
        <v>607.24</v>
      </c>
      <c r="AF1693" t="str">
        <f t="shared" si="53"/>
        <v>2025-08</v>
      </c>
      <c r="AG1693">
        <f>SUBTOTAL(103,A1693)</f>
        <v>1</v>
      </c>
    </row>
    <row r="1694" spans="1:33" x14ac:dyDescent="0.3">
      <c r="A1694" t="s">
        <v>4312</v>
      </c>
      <c r="B1694" s="13">
        <v>45871</v>
      </c>
      <c r="C1694">
        <v>2025</v>
      </c>
      <c r="D1694">
        <v>8</v>
      </c>
      <c r="E1694" t="s">
        <v>4301</v>
      </c>
      <c r="F1694" t="s">
        <v>4047</v>
      </c>
      <c r="G1694" t="s">
        <v>1301</v>
      </c>
      <c r="H1694" t="s">
        <v>1302</v>
      </c>
      <c r="I1694" t="s">
        <v>85</v>
      </c>
      <c r="J1694">
        <v>19</v>
      </c>
      <c r="K1694" t="s">
        <v>80</v>
      </c>
      <c r="L1694" t="s">
        <v>92</v>
      </c>
      <c r="M1694" t="s">
        <v>59</v>
      </c>
      <c r="N1694" t="s">
        <v>2606</v>
      </c>
      <c r="O1694" t="s">
        <v>120</v>
      </c>
      <c r="P1694" t="s">
        <v>49</v>
      </c>
      <c r="Q1694" t="s">
        <v>140</v>
      </c>
      <c r="R1694">
        <v>1</v>
      </c>
      <c r="S1694">
        <v>2799</v>
      </c>
      <c r="T1694">
        <v>0.1</v>
      </c>
      <c r="U1694">
        <v>2519.1</v>
      </c>
      <c r="V1694">
        <v>1650</v>
      </c>
      <c r="W1694">
        <v>869.1</v>
      </c>
      <c r="X1694" t="s">
        <v>76</v>
      </c>
      <c r="Y1694" t="s">
        <v>68</v>
      </c>
      <c r="Z1694" t="s">
        <v>158</v>
      </c>
      <c r="AA1694" t="s">
        <v>169</v>
      </c>
      <c r="AB1694">
        <v>3.5</v>
      </c>
      <c r="AC1694">
        <v>50</v>
      </c>
      <c r="AD1694">
        <v>112.3</v>
      </c>
      <c r="AE1694">
        <f t="shared" si="52"/>
        <v>706.80000000000007</v>
      </c>
      <c r="AF1694" t="str">
        <f t="shared" si="53"/>
        <v>2025-08</v>
      </c>
      <c r="AG1694">
        <f>SUBTOTAL(103,A1694)</f>
        <v>1</v>
      </c>
    </row>
    <row r="1695" spans="1:33" x14ac:dyDescent="0.3">
      <c r="A1695" t="s">
        <v>4313</v>
      </c>
      <c r="B1695" s="13">
        <v>45871</v>
      </c>
      <c r="C1695">
        <v>2025</v>
      </c>
      <c r="D1695">
        <v>8</v>
      </c>
      <c r="E1695" t="s">
        <v>4301</v>
      </c>
      <c r="F1695" t="s">
        <v>4047</v>
      </c>
      <c r="G1695" t="s">
        <v>1935</v>
      </c>
      <c r="H1695" t="s">
        <v>1936</v>
      </c>
      <c r="I1695" t="s">
        <v>86</v>
      </c>
      <c r="J1695">
        <v>59</v>
      </c>
      <c r="K1695" t="s">
        <v>83</v>
      </c>
      <c r="L1695" t="s">
        <v>100</v>
      </c>
      <c r="M1695" t="s">
        <v>56</v>
      </c>
      <c r="N1695" t="s">
        <v>2574</v>
      </c>
      <c r="O1695" t="s">
        <v>130</v>
      </c>
      <c r="P1695" t="s">
        <v>50</v>
      </c>
      <c r="Q1695" t="s">
        <v>53</v>
      </c>
      <c r="R1695">
        <v>2</v>
      </c>
      <c r="S1695">
        <v>1199</v>
      </c>
      <c r="T1695">
        <v>0.1</v>
      </c>
      <c r="U1695">
        <v>2158.1999999999998</v>
      </c>
      <c r="V1695">
        <v>1100</v>
      </c>
      <c r="W1695">
        <v>1058.2</v>
      </c>
      <c r="X1695" t="s">
        <v>73</v>
      </c>
      <c r="Y1695" t="s">
        <v>68</v>
      </c>
      <c r="Z1695" t="s">
        <v>162</v>
      </c>
      <c r="AA1695" t="s">
        <v>166</v>
      </c>
      <c r="AB1695">
        <v>3.5</v>
      </c>
      <c r="AC1695">
        <v>100</v>
      </c>
      <c r="AD1695">
        <v>164.64</v>
      </c>
      <c r="AE1695">
        <f t="shared" si="52"/>
        <v>793.56000000000006</v>
      </c>
      <c r="AF1695" t="str">
        <f t="shared" si="53"/>
        <v>2025-08</v>
      </c>
      <c r="AG1695">
        <f>SUBTOTAL(103,A1695)</f>
        <v>1</v>
      </c>
    </row>
    <row r="1696" spans="1:33" x14ac:dyDescent="0.3">
      <c r="A1696" t="s">
        <v>4314</v>
      </c>
      <c r="B1696" s="13">
        <v>45871</v>
      </c>
      <c r="C1696">
        <v>2025</v>
      </c>
      <c r="D1696">
        <v>8</v>
      </c>
      <c r="E1696" t="s">
        <v>4301</v>
      </c>
      <c r="F1696" t="s">
        <v>4047</v>
      </c>
      <c r="G1696" t="s">
        <v>579</v>
      </c>
      <c r="H1696" t="s">
        <v>580</v>
      </c>
      <c r="I1696" t="s">
        <v>85</v>
      </c>
      <c r="J1696">
        <v>31</v>
      </c>
      <c r="K1696" t="s">
        <v>81</v>
      </c>
      <c r="L1696" t="s">
        <v>90</v>
      </c>
      <c r="M1696" t="s">
        <v>55</v>
      </c>
      <c r="N1696" t="s">
        <v>2594</v>
      </c>
      <c r="O1696" t="s">
        <v>131</v>
      </c>
      <c r="P1696" t="s">
        <v>53</v>
      </c>
      <c r="Q1696" t="s">
        <v>143</v>
      </c>
      <c r="R1696">
        <v>3</v>
      </c>
      <c r="S1696">
        <v>999</v>
      </c>
      <c r="T1696">
        <v>0</v>
      </c>
      <c r="U1696">
        <v>2997</v>
      </c>
      <c r="V1696">
        <v>1560</v>
      </c>
      <c r="W1696">
        <v>1437</v>
      </c>
      <c r="X1696" t="s">
        <v>73</v>
      </c>
      <c r="Y1696" t="s">
        <v>68</v>
      </c>
      <c r="Z1696" t="s">
        <v>159</v>
      </c>
      <c r="AA1696" t="s">
        <v>166</v>
      </c>
      <c r="AB1696">
        <v>4.8</v>
      </c>
      <c r="AC1696">
        <v>50</v>
      </c>
      <c r="AD1696">
        <v>179.2</v>
      </c>
      <c r="AE1696">
        <f t="shared" si="52"/>
        <v>1207.8</v>
      </c>
      <c r="AF1696" t="str">
        <f t="shared" si="53"/>
        <v>2025-08</v>
      </c>
      <c r="AG1696">
        <f>SUBTOTAL(103,A1696)</f>
        <v>1</v>
      </c>
    </row>
    <row r="1697" spans="1:33" x14ac:dyDescent="0.3">
      <c r="A1697" t="s">
        <v>4315</v>
      </c>
      <c r="B1697" s="13">
        <v>45871</v>
      </c>
      <c r="C1697">
        <v>2025</v>
      </c>
      <c r="D1697">
        <v>8</v>
      </c>
      <c r="E1697" t="s">
        <v>4301</v>
      </c>
      <c r="F1697" t="s">
        <v>4047</v>
      </c>
      <c r="G1697" t="s">
        <v>1353</v>
      </c>
      <c r="H1697" t="s">
        <v>1354</v>
      </c>
      <c r="I1697" t="s">
        <v>86</v>
      </c>
      <c r="J1697">
        <v>35</v>
      </c>
      <c r="K1697" t="s">
        <v>81</v>
      </c>
      <c r="L1697" t="s">
        <v>2573</v>
      </c>
      <c r="M1697" t="s">
        <v>63</v>
      </c>
      <c r="N1697" t="s">
        <v>2580</v>
      </c>
      <c r="O1697" t="s">
        <v>118</v>
      </c>
      <c r="P1697" t="s">
        <v>48</v>
      </c>
      <c r="Q1697" t="s">
        <v>142</v>
      </c>
      <c r="R1697">
        <v>2</v>
      </c>
      <c r="S1697">
        <v>3999</v>
      </c>
      <c r="T1697">
        <v>0.05</v>
      </c>
      <c r="U1697">
        <v>7598.1</v>
      </c>
      <c r="V1697">
        <v>4800</v>
      </c>
      <c r="W1697">
        <v>2798.1</v>
      </c>
      <c r="X1697" t="s">
        <v>76</v>
      </c>
      <c r="Y1697" t="s">
        <v>68</v>
      </c>
      <c r="Z1697" t="s">
        <v>158</v>
      </c>
      <c r="AA1697" t="s">
        <v>169</v>
      </c>
      <c r="AB1697">
        <v>2.8</v>
      </c>
      <c r="AC1697">
        <v>80</v>
      </c>
      <c r="AD1697">
        <v>432.13</v>
      </c>
      <c r="AE1697">
        <f t="shared" si="52"/>
        <v>2285.9699999999998</v>
      </c>
      <c r="AF1697" t="str">
        <f t="shared" si="53"/>
        <v>2025-08</v>
      </c>
      <c r="AG1697">
        <f>SUBTOTAL(103,A1697)</f>
        <v>1</v>
      </c>
    </row>
    <row r="1698" spans="1:33" x14ac:dyDescent="0.3">
      <c r="A1698" t="s">
        <v>4316</v>
      </c>
      <c r="B1698" s="13">
        <v>45871</v>
      </c>
      <c r="C1698">
        <v>2025</v>
      </c>
      <c r="D1698">
        <v>8</v>
      </c>
      <c r="E1698" t="s">
        <v>4301</v>
      </c>
      <c r="F1698" t="s">
        <v>4047</v>
      </c>
      <c r="G1698" t="s">
        <v>1515</v>
      </c>
      <c r="H1698" t="s">
        <v>1516</v>
      </c>
      <c r="I1698" t="s">
        <v>85</v>
      </c>
      <c r="J1698">
        <v>34</v>
      </c>
      <c r="K1698" t="s">
        <v>81</v>
      </c>
      <c r="L1698" t="s">
        <v>2576</v>
      </c>
      <c r="M1698" t="s">
        <v>60</v>
      </c>
      <c r="N1698" t="s">
        <v>2644</v>
      </c>
      <c r="O1698" t="s">
        <v>126</v>
      </c>
      <c r="P1698" t="s">
        <v>50</v>
      </c>
      <c r="Q1698" t="s">
        <v>145</v>
      </c>
      <c r="R1698">
        <v>4</v>
      </c>
      <c r="S1698">
        <v>1799</v>
      </c>
      <c r="T1698">
        <v>0.1</v>
      </c>
      <c r="U1698">
        <v>6476.4</v>
      </c>
      <c r="V1698">
        <v>3800</v>
      </c>
      <c r="W1698">
        <v>2676.4</v>
      </c>
      <c r="X1698" t="s">
        <v>74</v>
      </c>
      <c r="Y1698" t="s">
        <v>68</v>
      </c>
      <c r="Z1698" t="s">
        <v>160</v>
      </c>
      <c r="AA1698" t="s">
        <v>166</v>
      </c>
      <c r="AB1698">
        <v>5</v>
      </c>
      <c r="AC1698">
        <v>60</v>
      </c>
      <c r="AD1698">
        <v>726.79</v>
      </c>
      <c r="AE1698">
        <f t="shared" si="52"/>
        <v>1889.6100000000001</v>
      </c>
      <c r="AF1698" t="str">
        <f t="shared" si="53"/>
        <v>2025-08</v>
      </c>
      <c r="AG1698">
        <f>SUBTOTAL(103,A1698)</f>
        <v>1</v>
      </c>
    </row>
    <row r="1699" spans="1:33" x14ac:dyDescent="0.3">
      <c r="A1699" t="s">
        <v>4317</v>
      </c>
      <c r="B1699" s="13">
        <v>45871</v>
      </c>
      <c r="C1699">
        <v>2025</v>
      </c>
      <c r="D1699">
        <v>8</v>
      </c>
      <c r="E1699" t="s">
        <v>4301</v>
      </c>
      <c r="F1699" t="s">
        <v>4047</v>
      </c>
      <c r="G1699" t="s">
        <v>1829</v>
      </c>
      <c r="H1699" t="s">
        <v>1830</v>
      </c>
      <c r="I1699" t="s">
        <v>85</v>
      </c>
      <c r="J1699">
        <v>50</v>
      </c>
      <c r="K1699" t="s">
        <v>83</v>
      </c>
      <c r="L1699" t="s">
        <v>2674</v>
      </c>
      <c r="M1699" t="s">
        <v>58</v>
      </c>
      <c r="N1699" t="s">
        <v>2582</v>
      </c>
      <c r="O1699" t="s">
        <v>119</v>
      </c>
      <c r="P1699" t="s">
        <v>49</v>
      </c>
      <c r="Q1699" t="s">
        <v>140</v>
      </c>
      <c r="R1699">
        <v>1</v>
      </c>
      <c r="S1699">
        <v>3499</v>
      </c>
      <c r="T1699">
        <v>0.15</v>
      </c>
      <c r="U1699">
        <v>2974.15</v>
      </c>
      <c r="V1699">
        <v>2100</v>
      </c>
      <c r="W1699">
        <v>874.15</v>
      </c>
      <c r="X1699" t="s">
        <v>75</v>
      </c>
      <c r="Y1699" t="s">
        <v>68</v>
      </c>
      <c r="Z1699" t="s">
        <v>159</v>
      </c>
      <c r="AA1699" t="s">
        <v>168</v>
      </c>
      <c r="AB1699">
        <v>4</v>
      </c>
      <c r="AC1699">
        <v>80</v>
      </c>
      <c r="AD1699">
        <v>250.63</v>
      </c>
      <c r="AE1699">
        <f t="shared" si="52"/>
        <v>543.52</v>
      </c>
      <c r="AF1699" t="str">
        <f t="shared" si="53"/>
        <v>2025-08</v>
      </c>
      <c r="AG1699">
        <f>SUBTOTAL(103,A1699)</f>
        <v>1</v>
      </c>
    </row>
    <row r="1700" spans="1:33" x14ac:dyDescent="0.3">
      <c r="A1700" t="s">
        <v>4318</v>
      </c>
      <c r="B1700" s="13">
        <v>45871</v>
      </c>
      <c r="C1700">
        <v>2025</v>
      </c>
      <c r="D1700">
        <v>8</v>
      </c>
      <c r="E1700" t="s">
        <v>4301</v>
      </c>
      <c r="F1700" t="s">
        <v>4047</v>
      </c>
      <c r="G1700" t="s">
        <v>1527</v>
      </c>
      <c r="H1700" t="s">
        <v>1528</v>
      </c>
      <c r="I1700" t="s">
        <v>87</v>
      </c>
      <c r="J1700">
        <v>53</v>
      </c>
      <c r="K1700" t="s">
        <v>83</v>
      </c>
      <c r="L1700" t="s">
        <v>2612</v>
      </c>
      <c r="M1700" t="s">
        <v>64</v>
      </c>
      <c r="N1700" t="s">
        <v>2574</v>
      </c>
      <c r="O1700" t="s">
        <v>130</v>
      </c>
      <c r="P1700" t="s">
        <v>50</v>
      </c>
      <c r="Q1700" t="s">
        <v>53</v>
      </c>
      <c r="R1700">
        <v>1</v>
      </c>
      <c r="S1700">
        <v>1199</v>
      </c>
      <c r="T1700">
        <v>0.05</v>
      </c>
      <c r="U1700">
        <v>1139.05</v>
      </c>
      <c r="V1700">
        <v>550</v>
      </c>
      <c r="W1700">
        <v>589.04999999999995</v>
      </c>
      <c r="X1700" t="s">
        <v>73</v>
      </c>
      <c r="Y1700" t="s">
        <v>68</v>
      </c>
      <c r="Z1700" t="s">
        <v>159</v>
      </c>
      <c r="AA1700" t="s">
        <v>169</v>
      </c>
      <c r="AB1700">
        <v>3.3</v>
      </c>
      <c r="AC1700">
        <v>80</v>
      </c>
      <c r="AD1700">
        <v>122.22</v>
      </c>
      <c r="AE1700">
        <f t="shared" si="52"/>
        <v>386.82999999999993</v>
      </c>
      <c r="AF1700" t="str">
        <f t="shared" si="53"/>
        <v>2025-08</v>
      </c>
      <c r="AG1700">
        <f>SUBTOTAL(103,A1700)</f>
        <v>1</v>
      </c>
    </row>
    <row r="1701" spans="1:33" x14ac:dyDescent="0.3">
      <c r="A1701" t="s">
        <v>4319</v>
      </c>
      <c r="B1701" s="13">
        <v>45871</v>
      </c>
      <c r="C1701">
        <v>2025</v>
      </c>
      <c r="D1701">
        <v>8</v>
      </c>
      <c r="E1701" t="s">
        <v>4301</v>
      </c>
      <c r="F1701" t="s">
        <v>4047</v>
      </c>
      <c r="G1701" t="s">
        <v>1609</v>
      </c>
      <c r="H1701" t="s">
        <v>1610</v>
      </c>
      <c r="I1701" t="s">
        <v>86</v>
      </c>
      <c r="J1701">
        <v>36</v>
      </c>
      <c r="K1701" t="s">
        <v>82</v>
      </c>
      <c r="L1701" t="s">
        <v>2674</v>
      </c>
      <c r="M1701" t="s">
        <v>58</v>
      </c>
      <c r="N1701" t="s">
        <v>2630</v>
      </c>
      <c r="O1701" t="s">
        <v>123</v>
      </c>
      <c r="P1701" t="s">
        <v>52</v>
      </c>
      <c r="Q1701" t="s">
        <v>146</v>
      </c>
      <c r="R1701">
        <v>1</v>
      </c>
      <c r="S1701">
        <v>2499</v>
      </c>
      <c r="T1701">
        <v>0.1</v>
      </c>
      <c r="U1701">
        <v>2249.1</v>
      </c>
      <c r="V1701">
        <v>1400</v>
      </c>
      <c r="W1701">
        <v>849.1</v>
      </c>
      <c r="X1701" t="s">
        <v>75</v>
      </c>
      <c r="Y1701" t="s">
        <v>68</v>
      </c>
      <c r="Z1701" t="s">
        <v>162</v>
      </c>
      <c r="AA1701" t="s">
        <v>166</v>
      </c>
      <c r="AB1701">
        <v>3.3</v>
      </c>
      <c r="AC1701">
        <v>100</v>
      </c>
      <c r="AD1701">
        <v>62</v>
      </c>
      <c r="AE1701">
        <f t="shared" si="52"/>
        <v>687.1</v>
      </c>
      <c r="AF1701" t="str">
        <f t="shared" si="53"/>
        <v>2025-08</v>
      </c>
      <c r="AG1701">
        <f>SUBTOTAL(103,A1701)</f>
        <v>1</v>
      </c>
    </row>
    <row r="1702" spans="1:33" x14ac:dyDescent="0.3">
      <c r="A1702" t="s">
        <v>4320</v>
      </c>
      <c r="B1702" s="13">
        <v>45872</v>
      </c>
      <c r="C1702">
        <v>2025</v>
      </c>
      <c r="D1702">
        <v>8</v>
      </c>
      <c r="E1702" t="s">
        <v>4301</v>
      </c>
      <c r="F1702" t="s">
        <v>4047</v>
      </c>
      <c r="G1702" t="s">
        <v>877</v>
      </c>
      <c r="H1702" t="s">
        <v>878</v>
      </c>
      <c r="I1702" t="s">
        <v>85</v>
      </c>
      <c r="J1702">
        <v>21</v>
      </c>
      <c r="K1702" t="s">
        <v>80</v>
      </c>
      <c r="L1702" t="s">
        <v>59</v>
      </c>
      <c r="M1702" t="s">
        <v>59</v>
      </c>
      <c r="N1702" t="s">
        <v>2582</v>
      </c>
      <c r="O1702" t="s">
        <v>119</v>
      </c>
      <c r="P1702" t="s">
        <v>49</v>
      </c>
      <c r="Q1702" t="s">
        <v>140</v>
      </c>
      <c r="R1702">
        <v>1</v>
      </c>
      <c r="S1702">
        <v>3499</v>
      </c>
      <c r="T1702">
        <v>0.1</v>
      </c>
      <c r="U1702">
        <v>3149.1</v>
      </c>
      <c r="V1702">
        <v>2100</v>
      </c>
      <c r="W1702">
        <v>1049.0999999999999</v>
      </c>
      <c r="X1702" t="s">
        <v>75</v>
      </c>
      <c r="Y1702" t="s">
        <v>68</v>
      </c>
      <c r="Z1702" t="s">
        <v>162</v>
      </c>
      <c r="AA1702" t="s">
        <v>169</v>
      </c>
      <c r="AB1702">
        <v>3.2</v>
      </c>
      <c r="AC1702">
        <v>80</v>
      </c>
      <c r="AD1702">
        <v>156.52000000000001</v>
      </c>
      <c r="AE1702">
        <f t="shared" si="52"/>
        <v>812.57999999999993</v>
      </c>
      <c r="AF1702" t="str">
        <f t="shared" si="53"/>
        <v>2025-08</v>
      </c>
      <c r="AG1702">
        <f>SUBTOTAL(103,A1702)</f>
        <v>1</v>
      </c>
    </row>
    <row r="1703" spans="1:33" x14ac:dyDescent="0.3">
      <c r="A1703" t="s">
        <v>4321</v>
      </c>
      <c r="B1703" s="13">
        <v>45872</v>
      </c>
      <c r="C1703">
        <v>2025</v>
      </c>
      <c r="D1703">
        <v>8</v>
      </c>
      <c r="E1703" t="s">
        <v>4301</v>
      </c>
      <c r="F1703" t="s">
        <v>4047</v>
      </c>
      <c r="G1703" t="s">
        <v>189</v>
      </c>
      <c r="H1703" t="s">
        <v>190</v>
      </c>
      <c r="I1703" t="s">
        <v>85</v>
      </c>
      <c r="J1703">
        <v>58</v>
      </c>
      <c r="K1703" t="s">
        <v>83</v>
      </c>
      <c r="L1703" t="s">
        <v>2616</v>
      </c>
      <c r="M1703" t="s">
        <v>62</v>
      </c>
      <c r="N1703" t="s">
        <v>2587</v>
      </c>
      <c r="O1703" t="s">
        <v>116</v>
      </c>
      <c r="P1703" t="s">
        <v>48</v>
      </c>
      <c r="Q1703" t="s">
        <v>138</v>
      </c>
      <c r="R1703">
        <v>2</v>
      </c>
      <c r="S1703">
        <v>14999</v>
      </c>
      <c r="T1703">
        <v>0.1</v>
      </c>
      <c r="U1703">
        <v>26998.2</v>
      </c>
      <c r="V1703">
        <v>22400</v>
      </c>
      <c r="W1703">
        <v>4598.2</v>
      </c>
      <c r="X1703" t="s">
        <v>73</v>
      </c>
      <c r="Y1703" t="s">
        <v>68</v>
      </c>
      <c r="Z1703" t="s">
        <v>159</v>
      </c>
      <c r="AA1703" t="s">
        <v>168</v>
      </c>
      <c r="AB1703">
        <v>4.5</v>
      </c>
      <c r="AC1703">
        <v>40</v>
      </c>
      <c r="AD1703">
        <v>1845.65</v>
      </c>
      <c r="AE1703">
        <f t="shared" si="52"/>
        <v>2712.5499999999997</v>
      </c>
      <c r="AF1703" t="str">
        <f t="shared" si="53"/>
        <v>2025-08</v>
      </c>
      <c r="AG1703">
        <f>SUBTOTAL(103,A1703)</f>
        <v>1</v>
      </c>
    </row>
    <row r="1704" spans="1:33" x14ac:dyDescent="0.3">
      <c r="A1704" t="s">
        <v>4322</v>
      </c>
      <c r="B1704" s="13">
        <v>45872</v>
      </c>
      <c r="C1704">
        <v>2025</v>
      </c>
      <c r="D1704">
        <v>8</v>
      </c>
      <c r="E1704" t="s">
        <v>4301</v>
      </c>
      <c r="F1704" t="s">
        <v>4047</v>
      </c>
      <c r="G1704" t="s">
        <v>1045</v>
      </c>
      <c r="H1704" t="s">
        <v>1046</v>
      </c>
      <c r="I1704" t="s">
        <v>86</v>
      </c>
      <c r="J1704">
        <v>33</v>
      </c>
      <c r="K1704" t="s">
        <v>81</v>
      </c>
      <c r="L1704" t="s">
        <v>96</v>
      </c>
      <c r="M1704" t="s">
        <v>55</v>
      </c>
      <c r="N1704" t="s">
        <v>2596</v>
      </c>
      <c r="O1704" t="s">
        <v>124</v>
      </c>
      <c r="P1704" t="s">
        <v>51</v>
      </c>
      <c r="Q1704" t="s">
        <v>147</v>
      </c>
      <c r="R1704">
        <v>2</v>
      </c>
      <c r="S1704">
        <v>2299</v>
      </c>
      <c r="T1704">
        <v>0.25</v>
      </c>
      <c r="U1704">
        <v>3448.5</v>
      </c>
      <c r="V1704">
        <v>2400</v>
      </c>
      <c r="W1704">
        <v>1048.5</v>
      </c>
      <c r="X1704" t="s">
        <v>73</v>
      </c>
      <c r="Y1704" t="s">
        <v>68</v>
      </c>
      <c r="Z1704" t="s">
        <v>159</v>
      </c>
      <c r="AA1704" t="s">
        <v>171</v>
      </c>
      <c r="AB1704">
        <v>4.7</v>
      </c>
      <c r="AC1704">
        <v>40</v>
      </c>
      <c r="AD1704">
        <v>201.61</v>
      </c>
      <c r="AE1704">
        <f t="shared" si="52"/>
        <v>806.89</v>
      </c>
      <c r="AF1704" t="str">
        <f t="shared" si="53"/>
        <v>2025-08</v>
      </c>
      <c r="AG1704">
        <f>SUBTOTAL(103,A1704)</f>
        <v>1</v>
      </c>
    </row>
    <row r="1705" spans="1:33" x14ac:dyDescent="0.3">
      <c r="A1705" t="s">
        <v>4323</v>
      </c>
      <c r="B1705" s="13">
        <v>45872</v>
      </c>
      <c r="C1705">
        <v>2025</v>
      </c>
      <c r="D1705">
        <v>8</v>
      </c>
      <c r="E1705" t="s">
        <v>4301</v>
      </c>
      <c r="F1705" t="s">
        <v>4047</v>
      </c>
      <c r="G1705" t="s">
        <v>2221</v>
      </c>
      <c r="H1705" t="s">
        <v>2222</v>
      </c>
      <c r="I1705" t="s">
        <v>85</v>
      </c>
      <c r="J1705">
        <v>52</v>
      </c>
      <c r="K1705" t="s">
        <v>83</v>
      </c>
      <c r="L1705" t="s">
        <v>2579</v>
      </c>
      <c r="M1705" t="s">
        <v>56</v>
      </c>
      <c r="N1705" t="s">
        <v>2594</v>
      </c>
      <c r="O1705" t="s">
        <v>131</v>
      </c>
      <c r="P1705" t="s">
        <v>53</v>
      </c>
      <c r="Q1705" t="s">
        <v>143</v>
      </c>
      <c r="R1705">
        <v>3</v>
      </c>
      <c r="S1705">
        <v>999</v>
      </c>
      <c r="T1705">
        <v>0.1</v>
      </c>
      <c r="U1705">
        <v>2697.3</v>
      </c>
      <c r="V1705">
        <v>1560</v>
      </c>
      <c r="W1705">
        <v>1137.3</v>
      </c>
      <c r="X1705" t="s">
        <v>76</v>
      </c>
      <c r="Y1705" t="s">
        <v>68</v>
      </c>
      <c r="Z1705" t="s">
        <v>158</v>
      </c>
      <c r="AA1705" t="s">
        <v>166</v>
      </c>
      <c r="AB1705">
        <v>4.5999999999999996</v>
      </c>
      <c r="AC1705">
        <v>80</v>
      </c>
      <c r="AD1705">
        <v>287.05</v>
      </c>
      <c r="AE1705">
        <f t="shared" si="52"/>
        <v>770.25</v>
      </c>
      <c r="AF1705" t="str">
        <f t="shared" si="53"/>
        <v>2025-08</v>
      </c>
      <c r="AG1705">
        <f>SUBTOTAL(103,A1705)</f>
        <v>1</v>
      </c>
    </row>
    <row r="1706" spans="1:33" x14ac:dyDescent="0.3">
      <c r="A1706" t="s">
        <v>4324</v>
      </c>
      <c r="B1706" s="13">
        <v>45872</v>
      </c>
      <c r="C1706">
        <v>2025</v>
      </c>
      <c r="D1706">
        <v>8</v>
      </c>
      <c r="E1706" t="s">
        <v>4301</v>
      </c>
      <c r="F1706" t="s">
        <v>4047</v>
      </c>
      <c r="G1706" t="s">
        <v>2219</v>
      </c>
      <c r="H1706" t="s">
        <v>2220</v>
      </c>
      <c r="I1706" t="s">
        <v>86</v>
      </c>
      <c r="J1706">
        <v>27</v>
      </c>
      <c r="K1706" t="s">
        <v>81</v>
      </c>
      <c r="L1706" t="s">
        <v>94</v>
      </c>
      <c r="M1706" t="s">
        <v>57</v>
      </c>
      <c r="N1706" t="s">
        <v>2626</v>
      </c>
      <c r="O1706" t="s">
        <v>125</v>
      </c>
      <c r="P1706" t="s">
        <v>48</v>
      </c>
      <c r="Q1706" t="s">
        <v>141</v>
      </c>
      <c r="R1706">
        <v>1</v>
      </c>
      <c r="S1706">
        <v>1999</v>
      </c>
      <c r="T1706">
        <v>0.05</v>
      </c>
      <c r="U1706">
        <v>1899.05</v>
      </c>
      <c r="V1706">
        <v>1150</v>
      </c>
      <c r="W1706">
        <v>749.05</v>
      </c>
      <c r="X1706" t="s">
        <v>73</v>
      </c>
      <c r="Y1706" t="s">
        <v>68</v>
      </c>
      <c r="Z1706" t="s">
        <v>158</v>
      </c>
      <c r="AA1706" t="s">
        <v>166</v>
      </c>
      <c r="AB1706">
        <v>5</v>
      </c>
      <c r="AC1706">
        <v>50</v>
      </c>
      <c r="AD1706">
        <v>106.09</v>
      </c>
      <c r="AE1706">
        <f t="shared" si="52"/>
        <v>592.95999999999992</v>
      </c>
      <c r="AF1706" t="str">
        <f t="shared" si="53"/>
        <v>2025-08</v>
      </c>
      <c r="AG1706">
        <f>SUBTOTAL(103,A1706)</f>
        <v>1</v>
      </c>
    </row>
    <row r="1707" spans="1:33" x14ac:dyDescent="0.3">
      <c r="A1707" t="s">
        <v>4325</v>
      </c>
      <c r="B1707" s="13">
        <v>45872</v>
      </c>
      <c r="C1707">
        <v>2025</v>
      </c>
      <c r="D1707">
        <v>8</v>
      </c>
      <c r="E1707" t="s">
        <v>4301</v>
      </c>
      <c r="F1707" t="s">
        <v>4047</v>
      </c>
      <c r="G1707" t="s">
        <v>1567</v>
      </c>
      <c r="H1707" t="s">
        <v>1568</v>
      </c>
      <c r="I1707" t="s">
        <v>85</v>
      </c>
      <c r="J1707">
        <v>33</v>
      </c>
      <c r="K1707" t="s">
        <v>81</v>
      </c>
      <c r="L1707" t="s">
        <v>90</v>
      </c>
      <c r="M1707" t="s">
        <v>55</v>
      </c>
      <c r="N1707" t="s">
        <v>2630</v>
      </c>
      <c r="O1707" t="s">
        <v>123</v>
      </c>
      <c r="P1707" t="s">
        <v>52</v>
      </c>
      <c r="Q1707" t="s">
        <v>146</v>
      </c>
      <c r="R1707">
        <v>1</v>
      </c>
      <c r="S1707">
        <v>2499</v>
      </c>
      <c r="T1707">
        <v>0.15</v>
      </c>
      <c r="U1707">
        <v>2124.15</v>
      </c>
      <c r="V1707">
        <v>1400</v>
      </c>
      <c r="W1707">
        <v>724.15</v>
      </c>
      <c r="X1707" t="s">
        <v>73</v>
      </c>
      <c r="Y1707" t="s">
        <v>68</v>
      </c>
      <c r="Z1707" t="s">
        <v>159</v>
      </c>
      <c r="AA1707" t="s">
        <v>169</v>
      </c>
      <c r="AB1707">
        <v>4</v>
      </c>
      <c r="AC1707">
        <v>60</v>
      </c>
      <c r="AD1707">
        <v>164.93</v>
      </c>
      <c r="AE1707">
        <f t="shared" si="52"/>
        <v>499.21999999999997</v>
      </c>
      <c r="AF1707" t="str">
        <f t="shared" si="53"/>
        <v>2025-08</v>
      </c>
      <c r="AG1707">
        <f>SUBTOTAL(103,A1707)</f>
        <v>1</v>
      </c>
    </row>
    <row r="1708" spans="1:33" x14ac:dyDescent="0.3">
      <c r="A1708" t="s">
        <v>4326</v>
      </c>
      <c r="B1708" s="13">
        <v>45872</v>
      </c>
      <c r="C1708">
        <v>2025</v>
      </c>
      <c r="D1708">
        <v>8</v>
      </c>
      <c r="E1708" t="s">
        <v>4301</v>
      </c>
      <c r="F1708" t="s">
        <v>4047</v>
      </c>
      <c r="G1708" t="s">
        <v>1313</v>
      </c>
      <c r="H1708" t="s">
        <v>1314</v>
      </c>
      <c r="I1708" t="s">
        <v>85</v>
      </c>
      <c r="J1708">
        <v>48</v>
      </c>
      <c r="K1708" t="s">
        <v>83</v>
      </c>
      <c r="L1708" t="s">
        <v>2687</v>
      </c>
      <c r="M1708" t="s">
        <v>57</v>
      </c>
      <c r="N1708" t="s">
        <v>2603</v>
      </c>
      <c r="O1708" t="s">
        <v>122</v>
      </c>
      <c r="P1708" t="s">
        <v>48</v>
      </c>
      <c r="Q1708" t="s">
        <v>141</v>
      </c>
      <c r="R1708">
        <v>2</v>
      </c>
      <c r="S1708">
        <v>2499</v>
      </c>
      <c r="T1708">
        <v>0.05</v>
      </c>
      <c r="U1708">
        <v>4748.1000000000004</v>
      </c>
      <c r="V1708">
        <v>2900</v>
      </c>
      <c r="W1708">
        <v>1848.1</v>
      </c>
      <c r="X1708" t="s">
        <v>74</v>
      </c>
      <c r="Y1708" t="s">
        <v>68</v>
      </c>
      <c r="Z1708" t="s">
        <v>160</v>
      </c>
      <c r="AA1708" t="s">
        <v>169</v>
      </c>
      <c r="AB1708">
        <v>3.5</v>
      </c>
      <c r="AC1708">
        <v>50</v>
      </c>
      <c r="AD1708">
        <v>349.05</v>
      </c>
      <c r="AE1708">
        <f t="shared" si="52"/>
        <v>1449.05</v>
      </c>
      <c r="AF1708" t="str">
        <f t="shared" si="53"/>
        <v>2025-08</v>
      </c>
      <c r="AG1708">
        <f>SUBTOTAL(103,A1708)</f>
        <v>1</v>
      </c>
    </row>
    <row r="1709" spans="1:33" x14ac:dyDescent="0.3">
      <c r="A1709" t="s">
        <v>4327</v>
      </c>
      <c r="B1709" s="13">
        <v>45872</v>
      </c>
      <c r="C1709">
        <v>2025</v>
      </c>
      <c r="D1709">
        <v>8</v>
      </c>
      <c r="E1709" t="s">
        <v>4301</v>
      </c>
      <c r="F1709" t="s">
        <v>4047</v>
      </c>
      <c r="G1709" t="s">
        <v>213</v>
      </c>
      <c r="H1709" t="s">
        <v>214</v>
      </c>
      <c r="I1709" t="s">
        <v>85</v>
      </c>
      <c r="J1709">
        <v>38</v>
      </c>
      <c r="K1709" t="s">
        <v>82</v>
      </c>
      <c r="L1709" t="s">
        <v>97</v>
      </c>
      <c r="M1709" t="s">
        <v>57</v>
      </c>
      <c r="N1709" t="s">
        <v>2594</v>
      </c>
      <c r="O1709" t="s">
        <v>131</v>
      </c>
      <c r="P1709" t="s">
        <v>53</v>
      </c>
      <c r="Q1709" t="s">
        <v>143</v>
      </c>
      <c r="R1709">
        <v>2</v>
      </c>
      <c r="S1709">
        <v>999</v>
      </c>
      <c r="T1709">
        <v>0.05</v>
      </c>
      <c r="U1709">
        <v>1898.1</v>
      </c>
      <c r="V1709">
        <v>1040</v>
      </c>
      <c r="W1709">
        <v>858.1</v>
      </c>
      <c r="X1709" t="s">
        <v>77</v>
      </c>
      <c r="Y1709" t="s">
        <v>68</v>
      </c>
      <c r="Z1709" t="s">
        <v>158</v>
      </c>
      <c r="AA1709" t="s">
        <v>167</v>
      </c>
      <c r="AB1709">
        <v>3.6</v>
      </c>
      <c r="AC1709">
        <v>80</v>
      </c>
      <c r="AD1709">
        <v>103.85</v>
      </c>
      <c r="AE1709">
        <f t="shared" si="52"/>
        <v>674.25</v>
      </c>
      <c r="AF1709" t="str">
        <f t="shared" si="53"/>
        <v>2025-08</v>
      </c>
      <c r="AG1709">
        <f>SUBTOTAL(103,A1709)</f>
        <v>1</v>
      </c>
    </row>
    <row r="1710" spans="1:33" x14ac:dyDescent="0.3">
      <c r="A1710" t="s">
        <v>4328</v>
      </c>
      <c r="B1710" s="13">
        <v>45872</v>
      </c>
      <c r="C1710">
        <v>2025</v>
      </c>
      <c r="D1710">
        <v>8</v>
      </c>
      <c r="E1710" t="s">
        <v>4301</v>
      </c>
      <c r="F1710" t="s">
        <v>4047</v>
      </c>
      <c r="G1710" t="s">
        <v>2163</v>
      </c>
      <c r="H1710" t="s">
        <v>2164</v>
      </c>
      <c r="I1710" t="s">
        <v>86</v>
      </c>
      <c r="J1710">
        <v>52</v>
      </c>
      <c r="K1710" t="s">
        <v>83</v>
      </c>
      <c r="L1710" t="s">
        <v>2610</v>
      </c>
      <c r="M1710" t="s">
        <v>64</v>
      </c>
      <c r="N1710" t="s">
        <v>2594</v>
      </c>
      <c r="O1710" t="s">
        <v>131</v>
      </c>
      <c r="P1710" t="s">
        <v>53</v>
      </c>
      <c r="Q1710" t="s">
        <v>143</v>
      </c>
      <c r="R1710">
        <v>2</v>
      </c>
      <c r="S1710">
        <v>999</v>
      </c>
      <c r="T1710">
        <v>0</v>
      </c>
      <c r="U1710">
        <v>1998</v>
      </c>
      <c r="V1710">
        <v>1040</v>
      </c>
      <c r="W1710">
        <v>958</v>
      </c>
      <c r="X1710" t="s">
        <v>75</v>
      </c>
      <c r="Y1710" t="s">
        <v>68</v>
      </c>
      <c r="Z1710" t="s">
        <v>158</v>
      </c>
      <c r="AA1710" t="s">
        <v>166</v>
      </c>
      <c r="AB1710">
        <v>3.2</v>
      </c>
      <c r="AC1710">
        <v>40</v>
      </c>
      <c r="AD1710">
        <v>45.09</v>
      </c>
      <c r="AE1710">
        <f t="shared" si="52"/>
        <v>872.91</v>
      </c>
      <c r="AF1710" t="str">
        <f t="shared" si="53"/>
        <v>2025-08</v>
      </c>
      <c r="AG1710">
        <f>SUBTOTAL(103,A1710)</f>
        <v>1</v>
      </c>
    </row>
    <row r="1711" spans="1:33" x14ac:dyDescent="0.3">
      <c r="A1711" t="s">
        <v>4329</v>
      </c>
      <c r="B1711" s="13">
        <v>45872</v>
      </c>
      <c r="C1711">
        <v>2025</v>
      </c>
      <c r="D1711">
        <v>8</v>
      </c>
      <c r="E1711" t="s">
        <v>4301</v>
      </c>
      <c r="F1711" t="s">
        <v>4047</v>
      </c>
      <c r="G1711" t="s">
        <v>1867</v>
      </c>
      <c r="H1711" t="s">
        <v>1868</v>
      </c>
      <c r="I1711" t="s">
        <v>86</v>
      </c>
      <c r="J1711">
        <v>54</v>
      </c>
      <c r="K1711" t="s">
        <v>83</v>
      </c>
      <c r="L1711" t="s">
        <v>2605</v>
      </c>
      <c r="M1711" t="s">
        <v>60</v>
      </c>
      <c r="N1711" t="s">
        <v>2574</v>
      </c>
      <c r="O1711" t="s">
        <v>130</v>
      </c>
      <c r="P1711" t="s">
        <v>50</v>
      </c>
      <c r="Q1711" t="s">
        <v>53</v>
      </c>
      <c r="R1711">
        <v>1</v>
      </c>
      <c r="S1711">
        <v>1199</v>
      </c>
      <c r="T1711">
        <v>0.1</v>
      </c>
      <c r="U1711">
        <v>1079.0999999999999</v>
      </c>
      <c r="V1711">
        <v>550</v>
      </c>
      <c r="W1711">
        <v>529.1</v>
      </c>
      <c r="X1711" t="s">
        <v>73</v>
      </c>
      <c r="Y1711" t="s">
        <v>68</v>
      </c>
      <c r="Z1711" t="s">
        <v>158</v>
      </c>
      <c r="AA1711" t="s">
        <v>166</v>
      </c>
      <c r="AB1711">
        <v>3.7</v>
      </c>
      <c r="AC1711">
        <v>80</v>
      </c>
      <c r="AD1711">
        <v>109.28</v>
      </c>
      <c r="AE1711">
        <f t="shared" si="52"/>
        <v>339.82000000000005</v>
      </c>
      <c r="AF1711" t="str">
        <f t="shared" si="53"/>
        <v>2025-08</v>
      </c>
      <c r="AG1711">
        <f>SUBTOTAL(103,A1711)</f>
        <v>1</v>
      </c>
    </row>
    <row r="1712" spans="1:33" x14ac:dyDescent="0.3">
      <c r="A1712" t="s">
        <v>4330</v>
      </c>
      <c r="B1712" s="13">
        <v>45872</v>
      </c>
      <c r="C1712">
        <v>2025</v>
      </c>
      <c r="D1712">
        <v>8</v>
      </c>
      <c r="E1712" t="s">
        <v>4301</v>
      </c>
      <c r="F1712" t="s">
        <v>4047</v>
      </c>
      <c r="G1712" t="s">
        <v>1427</v>
      </c>
      <c r="H1712" t="s">
        <v>1428</v>
      </c>
      <c r="I1712" t="s">
        <v>86</v>
      </c>
      <c r="J1712">
        <v>45</v>
      </c>
      <c r="K1712" t="s">
        <v>82</v>
      </c>
      <c r="L1712" t="s">
        <v>93</v>
      </c>
      <c r="M1712" t="s">
        <v>55</v>
      </c>
      <c r="N1712" t="s">
        <v>2590</v>
      </c>
      <c r="O1712" t="s">
        <v>127</v>
      </c>
      <c r="P1712" t="s">
        <v>51</v>
      </c>
      <c r="Q1712" t="s">
        <v>148</v>
      </c>
      <c r="R1712">
        <v>4</v>
      </c>
      <c r="S1712">
        <v>1599</v>
      </c>
      <c r="T1712">
        <v>0</v>
      </c>
      <c r="U1712">
        <v>6396</v>
      </c>
      <c r="V1712">
        <v>3200</v>
      </c>
      <c r="W1712">
        <v>3196</v>
      </c>
      <c r="X1712" t="s">
        <v>74</v>
      </c>
      <c r="Y1712" t="s">
        <v>68</v>
      </c>
      <c r="Z1712" t="s">
        <v>163</v>
      </c>
      <c r="AA1712" t="s">
        <v>170</v>
      </c>
      <c r="AB1712">
        <v>3.3</v>
      </c>
      <c r="AC1712">
        <v>80</v>
      </c>
      <c r="AD1712">
        <v>616.95000000000005</v>
      </c>
      <c r="AE1712">
        <f t="shared" si="52"/>
        <v>2499.0500000000002</v>
      </c>
      <c r="AF1712" t="str">
        <f t="shared" si="53"/>
        <v>2025-08</v>
      </c>
      <c r="AG1712">
        <f>SUBTOTAL(103,A1712)</f>
        <v>1</v>
      </c>
    </row>
    <row r="1713" spans="1:33" x14ac:dyDescent="0.3">
      <c r="A1713" t="s">
        <v>4331</v>
      </c>
      <c r="B1713" s="13">
        <v>45873</v>
      </c>
      <c r="C1713">
        <v>2025</v>
      </c>
      <c r="D1713">
        <v>8</v>
      </c>
      <c r="E1713" t="s">
        <v>4301</v>
      </c>
      <c r="F1713" t="s">
        <v>4047</v>
      </c>
      <c r="G1713" t="s">
        <v>2331</v>
      </c>
      <c r="H1713" t="s">
        <v>2332</v>
      </c>
      <c r="I1713" t="s">
        <v>85</v>
      </c>
      <c r="J1713">
        <v>37</v>
      </c>
      <c r="K1713" t="s">
        <v>82</v>
      </c>
      <c r="L1713" t="s">
        <v>97</v>
      </c>
      <c r="M1713" t="s">
        <v>57</v>
      </c>
      <c r="N1713" t="s">
        <v>2653</v>
      </c>
      <c r="O1713" t="s">
        <v>132</v>
      </c>
      <c r="P1713" t="s">
        <v>52</v>
      </c>
      <c r="Q1713" t="s">
        <v>150</v>
      </c>
      <c r="R1713">
        <v>1</v>
      </c>
      <c r="S1713">
        <v>899</v>
      </c>
      <c r="T1713">
        <v>0.05</v>
      </c>
      <c r="U1713">
        <v>854.05</v>
      </c>
      <c r="V1713">
        <v>420</v>
      </c>
      <c r="W1713">
        <v>434.05</v>
      </c>
      <c r="X1713" t="s">
        <v>73</v>
      </c>
      <c r="Y1713" t="s">
        <v>68</v>
      </c>
      <c r="Z1713" t="s">
        <v>162</v>
      </c>
      <c r="AA1713" t="s">
        <v>166</v>
      </c>
      <c r="AB1713">
        <v>4</v>
      </c>
      <c r="AC1713">
        <v>60</v>
      </c>
      <c r="AD1713">
        <v>44.6</v>
      </c>
      <c r="AE1713">
        <f t="shared" si="52"/>
        <v>329.45</v>
      </c>
      <c r="AF1713" t="str">
        <f t="shared" si="53"/>
        <v>2025-08</v>
      </c>
      <c r="AG1713">
        <f>SUBTOTAL(103,A1713)</f>
        <v>1</v>
      </c>
    </row>
    <row r="1714" spans="1:33" x14ac:dyDescent="0.3">
      <c r="A1714" t="s">
        <v>4332</v>
      </c>
      <c r="B1714" s="13">
        <v>45873</v>
      </c>
      <c r="C1714">
        <v>2025</v>
      </c>
      <c r="D1714">
        <v>8</v>
      </c>
      <c r="E1714" t="s">
        <v>4301</v>
      </c>
      <c r="F1714" t="s">
        <v>4047</v>
      </c>
      <c r="G1714" t="s">
        <v>529</v>
      </c>
      <c r="H1714" t="s">
        <v>530</v>
      </c>
      <c r="I1714" t="s">
        <v>85</v>
      </c>
      <c r="J1714">
        <v>33</v>
      </c>
      <c r="K1714" t="s">
        <v>81</v>
      </c>
      <c r="L1714" t="s">
        <v>94</v>
      </c>
      <c r="M1714" t="s">
        <v>57</v>
      </c>
      <c r="N1714" t="s">
        <v>2647</v>
      </c>
      <c r="O1714" t="s">
        <v>133</v>
      </c>
      <c r="P1714" t="s">
        <v>50</v>
      </c>
      <c r="Q1714" t="s">
        <v>145</v>
      </c>
      <c r="R1714">
        <v>2</v>
      </c>
      <c r="S1714">
        <v>799</v>
      </c>
      <c r="T1714">
        <v>0.1</v>
      </c>
      <c r="U1714">
        <v>1438.2</v>
      </c>
      <c r="V1714">
        <v>780</v>
      </c>
      <c r="W1714">
        <v>658.2</v>
      </c>
      <c r="X1714" t="s">
        <v>77</v>
      </c>
      <c r="Y1714" t="s">
        <v>68</v>
      </c>
      <c r="Z1714" t="s">
        <v>159</v>
      </c>
      <c r="AA1714" t="s">
        <v>168</v>
      </c>
      <c r="AB1714">
        <v>3.2</v>
      </c>
      <c r="AC1714">
        <v>120</v>
      </c>
      <c r="AD1714">
        <v>86.94</v>
      </c>
      <c r="AE1714">
        <f t="shared" si="52"/>
        <v>451.26000000000005</v>
      </c>
      <c r="AF1714" t="str">
        <f t="shared" si="53"/>
        <v>2025-08</v>
      </c>
      <c r="AG1714">
        <f>SUBTOTAL(103,A1714)</f>
        <v>1</v>
      </c>
    </row>
    <row r="1715" spans="1:33" x14ac:dyDescent="0.3">
      <c r="A1715" t="s">
        <v>4333</v>
      </c>
      <c r="B1715" s="13">
        <v>45873</v>
      </c>
      <c r="C1715">
        <v>2025</v>
      </c>
      <c r="D1715">
        <v>8</v>
      </c>
      <c r="E1715" t="s">
        <v>4301</v>
      </c>
      <c r="F1715" t="s">
        <v>4047</v>
      </c>
      <c r="G1715" t="s">
        <v>297</v>
      </c>
      <c r="H1715" t="s">
        <v>298</v>
      </c>
      <c r="I1715" t="s">
        <v>86</v>
      </c>
      <c r="J1715">
        <v>33</v>
      </c>
      <c r="K1715" t="s">
        <v>81</v>
      </c>
      <c r="L1715" t="s">
        <v>90</v>
      </c>
      <c r="M1715" t="s">
        <v>55</v>
      </c>
      <c r="N1715" t="s">
        <v>2603</v>
      </c>
      <c r="O1715" t="s">
        <v>122</v>
      </c>
      <c r="P1715" t="s">
        <v>48</v>
      </c>
      <c r="Q1715" t="s">
        <v>141</v>
      </c>
      <c r="R1715">
        <v>1</v>
      </c>
      <c r="S1715">
        <v>2499</v>
      </c>
      <c r="T1715">
        <v>0.05</v>
      </c>
      <c r="U1715">
        <v>2374.0500000000002</v>
      </c>
      <c r="V1715">
        <v>1450</v>
      </c>
      <c r="W1715">
        <v>924.05</v>
      </c>
      <c r="X1715" t="s">
        <v>74</v>
      </c>
      <c r="Y1715" t="s">
        <v>68</v>
      </c>
      <c r="Z1715" t="s">
        <v>162</v>
      </c>
      <c r="AA1715" t="s">
        <v>166</v>
      </c>
      <c r="AB1715">
        <v>4.2</v>
      </c>
      <c r="AC1715">
        <v>40</v>
      </c>
      <c r="AD1715">
        <v>170.36</v>
      </c>
      <c r="AE1715">
        <f t="shared" si="52"/>
        <v>713.68999999999994</v>
      </c>
      <c r="AF1715" t="str">
        <f t="shared" si="53"/>
        <v>2025-08</v>
      </c>
      <c r="AG1715">
        <f>SUBTOTAL(103,A1715)</f>
        <v>1</v>
      </c>
    </row>
    <row r="1716" spans="1:33" x14ac:dyDescent="0.3">
      <c r="A1716" t="s">
        <v>4334</v>
      </c>
      <c r="B1716" s="13">
        <v>45873</v>
      </c>
      <c r="C1716">
        <v>2025</v>
      </c>
      <c r="D1716">
        <v>8</v>
      </c>
      <c r="E1716" t="s">
        <v>4301</v>
      </c>
      <c r="F1716" t="s">
        <v>4047</v>
      </c>
      <c r="G1716" t="s">
        <v>803</v>
      </c>
      <c r="H1716" t="s">
        <v>804</v>
      </c>
      <c r="I1716" t="s">
        <v>86</v>
      </c>
      <c r="J1716">
        <v>38</v>
      </c>
      <c r="K1716" t="s">
        <v>82</v>
      </c>
      <c r="L1716" t="s">
        <v>100</v>
      </c>
      <c r="M1716" t="s">
        <v>56</v>
      </c>
      <c r="N1716" t="s">
        <v>2606</v>
      </c>
      <c r="O1716" t="s">
        <v>120</v>
      </c>
      <c r="P1716" t="s">
        <v>49</v>
      </c>
      <c r="Q1716" t="s">
        <v>140</v>
      </c>
      <c r="R1716">
        <v>1</v>
      </c>
      <c r="S1716">
        <v>2799</v>
      </c>
      <c r="T1716">
        <v>0</v>
      </c>
      <c r="U1716">
        <v>2799</v>
      </c>
      <c r="V1716">
        <v>1650</v>
      </c>
      <c r="W1716">
        <v>1149</v>
      </c>
      <c r="X1716" t="s">
        <v>76</v>
      </c>
      <c r="Y1716" t="s">
        <v>68</v>
      </c>
      <c r="Z1716" t="s">
        <v>158</v>
      </c>
      <c r="AA1716" t="s">
        <v>167</v>
      </c>
      <c r="AB1716">
        <v>5</v>
      </c>
      <c r="AC1716">
        <v>100</v>
      </c>
      <c r="AD1716">
        <v>227.14</v>
      </c>
      <c r="AE1716">
        <f t="shared" si="52"/>
        <v>821.86</v>
      </c>
      <c r="AF1716" t="str">
        <f t="shared" si="53"/>
        <v>2025-08</v>
      </c>
      <c r="AG1716">
        <f>SUBTOTAL(103,A1716)</f>
        <v>1</v>
      </c>
    </row>
    <row r="1717" spans="1:33" x14ac:dyDescent="0.3">
      <c r="A1717" t="s">
        <v>4335</v>
      </c>
      <c r="B1717" s="13">
        <v>45873</v>
      </c>
      <c r="C1717">
        <v>2025</v>
      </c>
      <c r="D1717">
        <v>8</v>
      </c>
      <c r="E1717" t="s">
        <v>4301</v>
      </c>
      <c r="F1717" t="s">
        <v>4047</v>
      </c>
      <c r="G1717" t="s">
        <v>1583</v>
      </c>
      <c r="H1717" t="s">
        <v>1584</v>
      </c>
      <c r="I1717" t="s">
        <v>86</v>
      </c>
      <c r="J1717">
        <v>23</v>
      </c>
      <c r="K1717" t="s">
        <v>80</v>
      </c>
      <c r="L1717" t="s">
        <v>2646</v>
      </c>
      <c r="M1717" t="s">
        <v>63</v>
      </c>
      <c r="N1717" t="s">
        <v>2577</v>
      </c>
      <c r="O1717" t="s">
        <v>129</v>
      </c>
      <c r="P1717" t="s">
        <v>49</v>
      </c>
      <c r="Q1717" t="s">
        <v>149</v>
      </c>
      <c r="R1717">
        <v>1</v>
      </c>
      <c r="S1717">
        <v>1299</v>
      </c>
      <c r="T1717">
        <v>0.15</v>
      </c>
      <c r="U1717">
        <v>1104.1500000000001</v>
      </c>
      <c r="V1717">
        <v>650</v>
      </c>
      <c r="W1717">
        <v>454.15</v>
      </c>
      <c r="X1717" t="s">
        <v>73</v>
      </c>
      <c r="Y1717" t="s">
        <v>68</v>
      </c>
      <c r="Z1717" t="s">
        <v>158</v>
      </c>
      <c r="AA1717" t="s">
        <v>168</v>
      </c>
      <c r="AB1717">
        <v>3.8</v>
      </c>
      <c r="AC1717">
        <v>100</v>
      </c>
      <c r="AD1717">
        <v>99.05</v>
      </c>
      <c r="AE1717">
        <f t="shared" si="52"/>
        <v>255.09999999999997</v>
      </c>
      <c r="AF1717" t="str">
        <f t="shared" si="53"/>
        <v>2025-08</v>
      </c>
      <c r="AG1717">
        <f>SUBTOTAL(103,A1717)</f>
        <v>1</v>
      </c>
    </row>
    <row r="1718" spans="1:33" x14ac:dyDescent="0.3">
      <c r="A1718" t="s">
        <v>4336</v>
      </c>
      <c r="B1718" s="13">
        <v>45873</v>
      </c>
      <c r="C1718">
        <v>2025</v>
      </c>
      <c r="D1718">
        <v>8</v>
      </c>
      <c r="E1718" t="s">
        <v>4301</v>
      </c>
      <c r="F1718" t="s">
        <v>4047</v>
      </c>
      <c r="G1718" t="s">
        <v>871</v>
      </c>
      <c r="H1718" t="s">
        <v>872</v>
      </c>
      <c r="I1718" t="s">
        <v>85</v>
      </c>
      <c r="J1718">
        <v>45</v>
      </c>
      <c r="K1718" t="s">
        <v>82</v>
      </c>
      <c r="L1718" t="s">
        <v>2646</v>
      </c>
      <c r="M1718" t="s">
        <v>63</v>
      </c>
      <c r="N1718" t="s">
        <v>2630</v>
      </c>
      <c r="O1718" t="s">
        <v>123</v>
      </c>
      <c r="P1718" t="s">
        <v>52</v>
      </c>
      <c r="Q1718" t="s">
        <v>146</v>
      </c>
      <c r="R1718">
        <v>5</v>
      </c>
      <c r="S1718">
        <v>2499</v>
      </c>
      <c r="T1718">
        <v>0.1</v>
      </c>
      <c r="U1718">
        <v>11245.5</v>
      </c>
      <c r="V1718">
        <v>7000</v>
      </c>
      <c r="W1718">
        <v>4245.5</v>
      </c>
      <c r="X1718" t="s">
        <v>74</v>
      </c>
      <c r="Y1718" t="s">
        <v>68</v>
      </c>
      <c r="Z1718" t="s">
        <v>159</v>
      </c>
      <c r="AA1718" t="s">
        <v>171</v>
      </c>
      <c r="AB1718">
        <v>4.7</v>
      </c>
      <c r="AC1718">
        <v>80</v>
      </c>
      <c r="AD1718">
        <v>459.96</v>
      </c>
      <c r="AE1718">
        <f t="shared" si="52"/>
        <v>3705.54</v>
      </c>
      <c r="AF1718" t="str">
        <f t="shared" si="53"/>
        <v>2025-08</v>
      </c>
      <c r="AG1718">
        <f>SUBTOTAL(103,A1718)</f>
        <v>1</v>
      </c>
    </row>
    <row r="1719" spans="1:33" x14ac:dyDescent="0.3">
      <c r="A1719" t="s">
        <v>4337</v>
      </c>
      <c r="B1719" s="13">
        <v>45873</v>
      </c>
      <c r="C1719">
        <v>2025</v>
      </c>
      <c r="D1719">
        <v>8</v>
      </c>
      <c r="E1719" t="s">
        <v>4301</v>
      </c>
      <c r="F1719" t="s">
        <v>4047</v>
      </c>
      <c r="G1719" t="s">
        <v>1683</v>
      </c>
      <c r="H1719" t="s">
        <v>1684</v>
      </c>
      <c r="I1719" t="s">
        <v>86</v>
      </c>
      <c r="J1719">
        <v>45</v>
      </c>
      <c r="K1719" t="s">
        <v>82</v>
      </c>
      <c r="L1719" t="s">
        <v>94</v>
      </c>
      <c r="M1719" t="s">
        <v>57</v>
      </c>
      <c r="N1719" t="s">
        <v>2626</v>
      </c>
      <c r="O1719" t="s">
        <v>125</v>
      </c>
      <c r="P1719" t="s">
        <v>48</v>
      </c>
      <c r="Q1719" t="s">
        <v>141</v>
      </c>
      <c r="R1719">
        <v>2</v>
      </c>
      <c r="S1719">
        <v>1999</v>
      </c>
      <c r="T1719">
        <v>0</v>
      </c>
      <c r="U1719">
        <v>3998</v>
      </c>
      <c r="V1719">
        <v>2300</v>
      </c>
      <c r="W1719">
        <v>1698</v>
      </c>
      <c r="X1719" t="s">
        <v>73</v>
      </c>
      <c r="Y1719" t="s">
        <v>68</v>
      </c>
      <c r="Z1719" t="s">
        <v>158</v>
      </c>
      <c r="AA1719" t="s">
        <v>166</v>
      </c>
      <c r="AB1719">
        <v>5</v>
      </c>
      <c r="AC1719">
        <v>120</v>
      </c>
      <c r="AD1719">
        <v>186.44</v>
      </c>
      <c r="AE1719">
        <f t="shared" si="52"/>
        <v>1391.56</v>
      </c>
      <c r="AF1719" t="str">
        <f t="shared" si="53"/>
        <v>2025-08</v>
      </c>
      <c r="AG1719">
        <f>SUBTOTAL(103,A1719)</f>
        <v>1</v>
      </c>
    </row>
    <row r="1720" spans="1:33" x14ac:dyDescent="0.3">
      <c r="A1720" t="s">
        <v>4338</v>
      </c>
      <c r="B1720" s="13">
        <v>45873</v>
      </c>
      <c r="C1720">
        <v>2025</v>
      </c>
      <c r="D1720">
        <v>8</v>
      </c>
      <c r="E1720" t="s">
        <v>4301</v>
      </c>
      <c r="F1720" t="s">
        <v>4047</v>
      </c>
      <c r="G1720" t="s">
        <v>2121</v>
      </c>
      <c r="H1720" t="s">
        <v>2122</v>
      </c>
      <c r="I1720" t="s">
        <v>85</v>
      </c>
      <c r="J1720">
        <v>49</v>
      </c>
      <c r="K1720" t="s">
        <v>83</v>
      </c>
      <c r="L1720" t="s">
        <v>92</v>
      </c>
      <c r="M1720" t="s">
        <v>59</v>
      </c>
      <c r="N1720" t="s">
        <v>2603</v>
      </c>
      <c r="O1720" t="s">
        <v>122</v>
      </c>
      <c r="P1720" t="s">
        <v>48</v>
      </c>
      <c r="Q1720" t="s">
        <v>141</v>
      </c>
      <c r="R1720">
        <v>1</v>
      </c>
      <c r="S1720">
        <v>2499</v>
      </c>
      <c r="T1720">
        <v>0.15</v>
      </c>
      <c r="U1720">
        <v>2124.15</v>
      </c>
      <c r="V1720">
        <v>1450</v>
      </c>
      <c r="W1720">
        <v>674.15</v>
      </c>
      <c r="X1720" t="s">
        <v>76</v>
      </c>
      <c r="Y1720" t="s">
        <v>70</v>
      </c>
      <c r="Z1720" t="s">
        <v>159</v>
      </c>
      <c r="AA1720" t="s">
        <v>170</v>
      </c>
      <c r="AB1720">
        <v>5</v>
      </c>
      <c r="AC1720">
        <v>60</v>
      </c>
      <c r="AD1720">
        <v>252.65</v>
      </c>
      <c r="AE1720">
        <f t="shared" si="52"/>
        <v>361.5</v>
      </c>
      <c r="AF1720" t="str">
        <f t="shared" si="53"/>
        <v>2025-08</v>
      </c>
      <c r="AG1720">
        <f>SUBTOTAL(103,A1720)</f>
        <v>1</v>
      </c>
    </row>
    <row r="1721" spans="1:33" x14ac:dyDescent="0.3">
      <c r="A1721" t="s">
        <v>4339</v>
      </c>
      <c r="B1721" s="13">
        <v>45873</v>
      </c>
      <c r="C1721">
        <v>2025</v>
      </c>
      <c r="D1721">
        <v>8</v>
      </c>
      <c r="E1721" t="s">
        <v>4301</v>
      </c>
      <c r="F1721" t="s">
        <v>4047</v>
      </c>
      <c r="G1721" t="s">
        <v>469</v>
      </c>
      <c r="H1721" t="s">
        <v>470</v>
      </c>
      <c r="I1721" t="s">
        <v>85</v>
      </c>
      <c r="J1721">
        <v>57</v>
      </c>
      <c r="K1721" t="s">
        <v>83</v>
      </c>
      <c r="L1721" t="s">
        <v>94</v>
      </c>
      <c r="M1721" t="s">
        <v>57</v>
      </c>
      <c r="N1721" t="s">
        <v>2594</v>
      </c>
      <c r="O1721" t="s">
        <v>131</v>
      </c>
      <c r="P1721" t="s">
        <v>53</v>
      </c>
      <c r="Q1721" t="s">
        <v>143</v>
      </c>
      <c r="R1721">
        <v>1</v>
      </c>
      <c r="S1721">
        <v>999</v>
      </c>
      <c r="T1721">
        <v>0</v>
      </c>
      <c r="U1721">
        <v>999</v>
      </c>
      <c r="V1721">
        <v>520</v>
      </c>
      <c r="W1721">
        <v>479</v>
      </c>
      <c r="X1721" t="s">
        <v>73</v>
      </c>
      <c r="Y1721" t="s">
        <v>68</v>
      </c>
      <c r="Z1721" t="s">
        <v>158</v>
      </c>
      <c r="AA1721" t="s">
        <v>167</v>
      </c>
      <c r="AB1721">
        <v>3</v>
      </c>
      <c r="AC1721">
        <v>50</v>
      </c>
      <c r="AD1721">
        <v>42.9</v>
      </c>
      <c r="AE1721">
        <f t="shared" si="52"/>
        <v>386.1</v>
      </c>
      <c r="AF1721" t="str">
        <f t="shared" si="53"/>
        <v>2025-08</v>
      </c>
      <c r="AG1721">
        <f>SUBTOTAL(103,A1721)</f>
        <v>1</v>
      </c>
    </row>
    <row r="1722" spans="1:33" x14ac:dyDescent="0.3">
      <c r="A1722" t="s">
        <v>4340</v>
      </c>
      <c r="B1722" s="13">
        <v>45874</v>
      </c>
      <c r="C1722">
        <v>2025</v>
      </c>
      <c r="D1722">
        <v>8</v>
      </c>
      <c r="E1722" t="s">
        <v>4301</v>
      </c>
      <c r="F1722" t="s">
        <v>4047</v>
      </c>
      <c r="G1722" t="s">
        <v>765</v>
      </c>
      <c r="H1722" t="s">
        <v>766</v>
      </c>
      <c r="I1722" t="s">
        <v>86</v>
      </c>
      <c r="J1722">
        <v>36</v>
      </c>
      <c r="K1722" t="s">
        <v>82</v>
      </c>
      <c r="L1722" t="s">
        <v>96</v>
      </c>
      <c r="M1722" t="s">
        <v>55</v>
      </c>
      <c r="N1722" t="s">
        <v>2587</v>
      </c>
      <c r="O1722" t="s">
        <v>116</v>
      </c>
      <c r="P1722" t="s">
        <v>48</v>
      </c>
      <c r="Q1722" t="s">
        <v>138</v>
      </c>
      <c r="R1722">
        <v>2</v>
      </c>
      <c r="S1722">
        <v>14999</v>
      </c>
      <c r="T1722">
        <v>0</v>
      </c>
      <c r="U1722">
        <v>29998</v>
      </c>
      <c r="V1722">
        <v>22400</v>
      </c>
      <c r="W1722">
        <v>7598</v>
      </c>
      <c r="X1722" t="s">
        <v>73</v>
      </c>
      <c r="Y1722" t="s">
        <v>68</v>
      </c>
      <c r="Z1722" t="s">
        <v>160</v>
      </c>
      <c r="AA1722" t="s">
        <v>166</v>
      </c>
      <c r="AB1722">
        <v>4</v>
      </c>
      <c r="AC1722">
        <v>50</v>
      </c>
      <c r="AD1722">
        <v>1462.8</v>
      </c>
      <c r="AE1722">
        <f t="shared" si="52"/>
        <v>6085.2</v>
      </c>
      <c r="AF1722" t="str">
        <f t="shared" si="53"/>
        <v>2025-08</v>
      </c>
      <c r="AG1722">
        <f>SUBTOTAL(103,A1722)</f>
        <v>1</v>
      </c>
    </row>
    <row r="1723" spans="1:33" x14ac:dyDescent="0.3">
      <c r="A1723" t="s">
        <v>4341</v>
      </c>
      <c r="B1723" s="13">
        <v>45874</v>
      </c>
      <c r="C1723">
        <v>2025</v>
      </c>
      <c r="D1723">
        <v>8</v>
      </c>
      <c r="E1723" t="s">
        <v>4301</v>
      </c>
      <c r="F1723" t="s">
        <v>4047</v>
      </c>
      <c r="G1723" t="s">
        <v>933</v>
      </c>
      <c r="H1723" t="s">
        <v>934</v>
      </c>
      <c r="I1723" t="s">
        <v>85</v>
      </c>
      <c r="J1723">
        <v>30</v>
      </c>
      <c r="K1723" t="s">
        <v>81</v>
      </c>
      <c r="L1723" t="s">
        <v>96</v>
      </c>
      <c r="M1723" t="s">
        <v>55</v>
      </c>
      <c r="N1723" t="s">
        <v>2592</v>
      </c>
      <c r="O1723" t="s">
        <v>115</v>
      </c>
      <c r="P1723" t="s">
        <v>48</v>
      </c>
      <c r="Q1723" t="s">
        <v>137</v>
      </c>
      <c r="R1723">
        <v>1</v>
      </c>
      <c r="S1723">
        <v>12999</v>
      </c>
      <c r="T1723">
        <v>0.15</v>
      </c>
      <c r="U1723">
        <v>11049.15</v>
      </c>
      <c r="V1723">
        <v>9000</v>
      </c>
      <c r="W1723">
        <v>2049.15</v>
      </c>
      <c r="X1723" t="s">
        <v>73</v>
      </c>
      <c r="Y1723" t="s">
        <v>68</v>
      </c>
      <c r="Z1723" t="s">
        <v>161</v>
      </c>
      <c r="AA1723" t="s">
        <v>170</v>
      </c>
      <c r="AB1723">
        <v>4.5</v>
      </c>
      <c r="AC1723">
        <v>120</v>
      </c>
      <c r="AD1723">
        <v>536.38</v>
      </c>
      <c r="AE1723">
        <f t="shared" si="52"/>
        <v>1392.77</v>
      </c>
      <c r="AF1723" t="str">
        <f t="shared" si="53"/>
        <v>2025-08</v>
      </c>
      <c r="AG1723">
        <f>SUBTOTAL(103,A1723)</f>
        <v>1</v>
      </c>
    </row>
    <row r="1724" spans="1:33" x14ac:dyDescent="0.3">
      <c r="A1724" t="s">
        <v>4342</v>
      </c>
      <c r="B1724" s="13">
        <v>45874</v>
      </c>
      <c r="C1724">
        <v>2025</v>
      </c>
      <c r="D1724">
        <v>8</v>
      </c>
      <c r="E1724" t="s">
        <v>4301</v>
      </c>
      <c r="F1724" t="s">
        <v>4047</v>
      </c>
      <c r="G1724" t="s">
        <v>1583</v>
      </c>
      <c r="H1724" t="s">
        <v>1584</v>
      </c>
      <c r="I1724" t="s">
        <v>86</v>
      </c>
      <c r="J1724">
        <v>23</v>
      </c>
      <c r="K1724" t="s">
        <v>80</v>
      </c>
      <c r="L1724" t="s">
        <v>2646</v>
      </c>
      <c r="M1724" t="s">
        <v>63</v>
      </c>
      <c r="N1724" t="s">
        <v>2596</v>
      </c>
      <c r="O1724" t="s">
        <v>124</v>
      </c>
      <c r="P1724" t="s">
        <v>51</v>
      </c>
      <c r="Q1724" t="s">
        <v>147</v>
      </c>
      <c r="R1724">
        <v>2</v>
      </c>
      <c r="S1724">
        <v>2299</v>
      </c>
      <c r="T1724">
        <v>0.05</v>
      </c>
      <c r="U1724">
        <v>4368.1000000000004</v>
      </c>
      <c r="V1724">
        <v>2400</v>
      </c>
      <c r="W1724">
        <v>1968.1</v>
      </c>
      <c r="X1724" t="s">
        <v>73</v>
      </c>
      <c r="Y1724" t="s">
        <v>68</v>
      </c>
      <c r="Z1724" t="s">
        <v>163</v>
      </c>
      <c r="AA1724" t="s">
        <v>166</v>
      </c>
      <c r="AB1724">
        <v>4.9000000000000004</v>
      </c>
      <c r="AC1724">
        <v>120</v>
      </c>
      <c r="AD1724">
        <v>134.49</v>
      </c>
      <c r="AE1724">
        <f t="shared" si="52"/>
        <v>1713.61</v>
      </c>
      <c r="AF1724" t="str">
        <f t="shared" si="53"/>
        <v>2025-08</v>
      </c>
      <c r="AG1724">
        <f>SUBTOTAL(103,A1724)</f>
        <v>1</v>
      </c>
    </row>
    <row r="1725" spans="1:33" x14ac:dyDescent="0.3">
      <c r="A1725" t="s">
        <v>4343</v>
      </c>
      <c r="B1725" s="13">
        <v>45874</v>
      </c>
      <c r="C1725">
        <v>2025</v>
      </c>
      <c r="D1725">
        <v>8</v>
      </c>
      <c r="E1725" t="s">
        <v>4301</v>
      </c>
      <c r="F1725" t="s">
        <v>4047</v>
      </c>
      <c r="G1725" t="s">
        <v>555</v>
      </c>
      <c r="H1725" t="s">
        <v>556</v>
      </c>
      <c r="I1725" t="s">
        <v>85</v>
      </c>
      <c r="J1725">
        <v>47</v>
      </c>
      <c r="K1725" t="s">
        <v>83</v>
      </c>
      <c r="L1725" t="s">
        <v>2576</v>
      </c>
      <c r="M1725" t="s">
        <v>60</v>
      </c>
      <c r="N1725" t="s">
        <v>2587</v>
      </c>
      <c r="O1725" t="s">
        <v>116</v>
      </c>
      <c r="P1725" t="s">
        <v>48</v>
      </c>
      <c r="Q1725" t="s">
        <v>138</v>
      </c>
      <c r="R1725">
        <v>1</v>
      </c>
      <c r="S1725">
        <v>14999</v>
      </c>
      <c r="T1725">
        <v>0.05</v>
      </c>
      <c r="U1725">
        <v>14249.05</v>
      </c>
      <c r="V1725">
        <v>11200</v>
      </c>
      <c r="W1725">
        <v>3049.05</v>
      </c>
      <c r="X1725" t="s">
        <v>75</v>
      </c>
      <c r="Y1725" t="s">
        <v>68</v>
      </c>
      <c r="Z1725" t="s">
        <v>162</v>
      </c>
      <c r="AA1725" t="s">
        <v>170</v>
      </c>
      <c r="AB1725">
        <v>3.9</v>
      </c>
      <c r="AC1725">
        <v>100</v>
      </c>
      <c r="AD1725">
        <v>651.35</v>
      </c>
      <c r="AE1725">
        <f t="shared" si="52"/>
        <v>2297.7000000000003</v>
      </c>
      <c r="AF1725" t="str">
        <f t="shared" si="53"/>
        <v>2025-08</v>
      </c>
      <c r="AG1725">
        <f>SUBTOTAL(103,A1725)</f>
        <v>1</v>
      </c>
    </row>
    <row r="1726" spans="1:33" x14ac:dyDescent="0.3">
      <c r="A1726" t="s">
        <v>4344</v>
      </c>
      <c r="B1726" s="13">
        <v>45874</v>
      </c>
      <c r="C1726">
        <v>2025</v>
      </c>
      <c r="D1726">
        <v>8</v>
      </c>
      <c r="E1726" t="s">
        <v>4301</v>
      </c>
      <c r="F1726" t="s">
        <v>4047</v>
      </c>
      <c r="G1726" t="s">
        <v>229</v>
      </c>
      <c r="H1726" t="s">
        <v>230</v>
      </c>
      <c r="I1726" t="s">
        <v>86</v>
      </c>
      <c r="J1726">
        <v>21</v>
      </c>
      <c r="K1726" t="s">
        <v>80</v>
      </c>
      <c r="L1726" t="s">
        <v>98</v>
      </c>
      <c r="M1726" t="s">
        <v>55</v>
      </c>
      <c r="N1726" t="s">
        <v>2587</v>
      </c>
      <c r="O1726" t="s">
        <v>116</v>
      </c>
      <c r="P1726" t="s">
        <v>48</v>
      </c>
      <c r="Q1726" t="s">
        <v>138</v>
      </c>
      <c r="R1726">
        <v>1</v>
      </c>
      <c r="S1726">
        <v>14999</v>
      </c>
      <c r="T1726">
        <v>0</v>
      </c>
      <c r="U1726">
        <v>14999</v>
      </c>
      <c r="V1726">
        <v>11200</v>
      </c>
      <c r="W1726">
        <v>3799</v>
      </c>
      <c r="X1726" t="s">
        <v>76</v>
      </c>
      <c r="Y1726" t="s">
        <v>68</v>
      </c>
      <c r="Z1726" t="s">
        <v>161</v>
      </c>
      <c r="AA1726" t="s">
        <v>170</v>
      </c>
      <c r="AB1726">
        <v>4.9000000000000004</v>
      </c>
      <c r="AC1726">
        <v>60</v>
      </c>
      <c r="AD1726">
        <v>706.74</v>
      </c>
      <c r="AE1726">
        <f t="shared" si="52"/>
        <v>3032.26</v>
      </c>
      <c r="AF1726" t="str">
        <f t="shared" si="53"/>
        <v>2025-08</v>
      </c>
      <c r="AG1726">
        <f>SUBTOTAL(103,A1726)</f>
        <v>1</v>
      </c>
    </row>
    <row r="1727" spans="1:33" x14ac:dyDescent="0.3">
      <c r="A1727" t="s">
        <v>4345</v>
      </c>
      <c r="B1727" s="13">
        <v>45874</v>
      </c>
      <c r="C1727">
        <v>2025</v>
      </c>
      <c r="D1727">
        <v>8</v>
      </c>
      <c r="E1727" t="s">
        <v>4301</v>
      </c>
      <c r="F1727" t="s">
        <v>4047</v>
      </c>
      <c r="G1727" t="s">
        <v>679</v>
      </c>
      <c r="H1727" t="s">
        <v>680</v>
      </c>
      <c r="I1727" t="s">
        <v>86</v>
      </c>
      <c r="J1727">
        <v>26</v>
      </c>
      <c r="K1727" t="s">
        <v>81</v>
      </c>
      <c r="L1727" t="s">
        <v>2623</v>
      </c>
      <c r="M1727" t="s">
        <v>61</v>
      </c>
      <c r="N1727" t="s">
        <v>2577</v>
      </c>
      <c r="O1727" t="s">
        <v>129</v>
      </c>
      <c r="P1727" t="s">
        <v>49</v>
      </c>
      <c r="Q1727" t="s">
        <v>149</v>
      </c>
      <c r="R1727">
        <v>3</v>
      </c>
      <c r="S1727">
        <v>1299</v>
      </c>
      <c r="T1727">
        <v>0.15</v>
      </c>
      <c r="U1727">
        <v>0</v>
      </c>
      <c r="V1727">
        <v>0</v>
      </c>
      <c r="W1727">
        <v>0</v>
      </c>
      <c r="X1727" t="s">
        <v>73</v>
      </c>
      <c r="Y1727" t="s">
        <v>71</v>
      </c>
      <c r="Z1727" t="s">
        <v>163</v>
      </c>
      <c r="AA1727" t="s">
        <v>169</v>
      </c>
      <c r="AB1727">
        <v>3.4</v>
      </c>
      <c r="AC1727">
        <v>60</v>
      </c>
      <c r="AD1727">
        <v>127.21</v>
      </c>
      <c r="AE1727">
        <f t="shared" si="52"/>
        <v>-187.20999999999998</v>
      </c>
      <c r="AF1727" t="str">
        <f t="shared" si="53"/>
        <v>2025-08</v>
      </c>
      <c r="AG1727">
        <f>SUBTOTAL(103,A1727)</f>
        <v>1</v>
      </c>
    </row>
    <row r="1728" spans="1:33" x14ac:dyDescent="0.3">
      <c r="A1728" t="s">
        <v>4346</v>
      </c>
      <c r="B1728" s="13">
        <v>45874</v>
      </c>
      <c r="C1728">
        <v>2025</v>
      </c>
      <c r="D1728">
        <v>8</v>
      </c>
      <c r="E1728" t="s">
        <v>4301</v>
      </c>
      <c r="F1728" t="s">
        <v>4047</v>
      </c>
      <c r="G1728" t="s">
        <v>553</v>
      </c>
      <c r="H1728" t="s">
        <v>554</v>
      </c>
      <c r="I1728" t="s">
        <v>85</v>
      </c>
      <c r="J1728">
        <v>29</v>
      </c>
      <c r="K1728" t="s">
        <v>81</v>
      </c>
      <c r="L1728" t="s">
        <v>100</v>
      </c>
      <c r="M1728" t="s">
        <v>56</v>
      </c>
      <c r="N1728" t="s">
        <v>2577</v>
      </c>
      <c r="O1728" t="s">
        <v>129</v>
      </c>
      <c r="P1728" t="s">
        <v>49</v>
      </c>
      <c r="Q1728" t="s">
        <v>149</v>
      </c>
      <c r="R1728">
        <v>2</v>
      </c>
      <c r="S1728">
        <v>1299</v>
      </c>
      <c r="T1728">
        <v>0.2</v>
      </c>
      <c r="U1728">
        <v>2078.4</v>
      </c>
      <c r="V1728">
        <v>1300</v>
      </c>
      <c r="W1728">
        <v>778.4</v>
      </c>
      <c r="X1728" t="s">
        <v>74</v>
      </c>
      <c r="Y1728" t="s">
        <v>68</v>
      </c>
      <c r="Z1728" t="s">
        <v>161</v>
      </c>
      <c r="AA1728" t="s">
        <v>167</v>
      </c>
      <c r="AB1728">
        <v>3.2</v>
      </c>
      <c r="AC1728">
        <v>60</v>
      </c>
      <c r="AD1728">
        <v>50.14</v>
      </c>
      <c r="AE1728">
        <f t="shared" si="52"/>
        <v>668.26</v>
      </c>
      <c r="AF1728" t="str">
        <f t="shared" si="53"/>
        <v>2025-08</v>
      </c>
      <c r="AG1728">
        <f>SUBTOTAL(103,A1728)</f>
        <v>1</v>
      </c>
    </row>
    <row r="1729" spans="1:33" x14ac:dyDescent="0.3">
      <c r="A1729" t="s">
        <v>4347</v>
      </c>
      <c r="B1729" s="13">
        <v>45874</v>
      </c>
      <c r="C1729">
        <v>2025</v>
      </c>
      <c r="D1729">
        <v>8</v>
      </c>
      <c r="E1729" t="s">
        <v>4301</v>
      </c>
      <c r="F1729" t="s">
        <v>4047</v>
      </c>
      <c r="G1729" t="s">
        <v>1119</v>
      </c>
      <c r="H1729" t="s">
        <v>1120</v>
      </c>
      <c r="I1729" t="s">
        <v>85</v>
      </c>
      <c r="J1729">
        <v>51</v>
      </c>
      <c r="K1729" t="s">
        <v>83</v>
      </c>
      <c r="L1729" t="s">
        <v>2679</v>
      </c>
      <c r="M1729" t="s">
        <v>60</v>
      </c>
      <c r="N1729" t="s">
        <v>2582</v>
      </c>
      <c r="O1729" t="s">
        <v>119</v>
      </c>
      <c r="P1729" t="s">
        <v>49</v>
      </c>
      <c r="Q1729" t="s">
        <v>140</v>
      </c>
      <c r="R1729">
        <v>3</v>
      </c>
      <c r="S1729">
        <v>3499</v>
      </c>
      <c r="T1729">
        <v>0.15</v>
      </c>
      <c r="U1729">
        <v>8922.4500000000007</v>
      </c>
      <c r="V1729">
        <v>6300</v>
      </c>
      <c r="W1729">
        <v>2622.45</v>
      </c>
      <c r="X1729" t="s">
        <v>76</v>
      </c>
      <c r="Y1729" t="s">
        <v>68</v>
      </c>
      <c r="Z1729" t="s">
        <v>160</v>
      </c>
      <c r="AA1729" t="s">
        <v>168</v>
      </c>
      <c r="AB1729">
        <v>3.8</v>
      </c>
      <c r="AC1729">
        <v>60</v>
      </c>
      <c r="AD1729">
        <v>1056.33</v>
      </c>
      <c r="AE1729">
        <f t="shared" si="52"/>
        <v>1506.12</v>
      </c>
      <c r="AF1729" t="str">
        <f t="shared" si="53"/>
        <v>2025-08</v>
      </c>
      <c r="AG1729">
        <f>SUBTOTAL(103,A1729)</f>
        <v>1</v>
      </c>
    </row>
    <row r="1730" spans="1:33" x14ac:dyDescent="0.3">
      <c r="A1730" t="s">
        <v>4348</v>
      </c>
      <c r="B1730" s="13">
        <v>45875</v>
      </c>
      <c r="C1730">
        <v>2025</v>
      </c>
      <c r="D1730">
        <v>8</v>
      </c>
      <c r="E1730" t="s">
        <v>4301</v>
      </c>
      <c r="F1730" t="s">
        <v>4047</v>
      </c>
      <c r="G1730" t="s">
        <v>589</v>
      </c>
      <c r="H1730" t="s">
        <v>590</v>
      </c>
      <c r="I1730" t="s">
        <v>85</v>
      </c>
      <c r="J1730">
        <v>23</v>
      </c>
      <c r="K1730" t="s">
        <v>80</v>
      </c>
      <c r="L1730" t="s">
        <v>98</v>
      </c>
      <c r="M1730" t="s">
        <v>55</v>
      </c>
      <c r="N1730" t="s">
        <v>2647</v>
      </c>
      <c r="O1730" t="s">
        <v>133</v>
      </c>
      <c r="P1730" t="s">
        <v>50</v>
      </c>
      <c r="Q1730" t="s">
        <v>145</v>
      </c>
      <c r="R1730">
        <v>3</v>
      </c>
      <c r="S1730">
        <v>799</v>
      </c>
      <c r="T1730">
        <v>0</v>
      </c>
      <c r="U1730">
        <v>2397</v>
      </c>
      <c r="V1730">
        <v>1170</v>
      </c>
      <c r="W1730">
        <v>1227</v>
      </c>
      <c r="X1730" t="s">
        <v>75</v>
      </c>
      <c r="Y1730" t="s">
        <v>68</v>
      </c>
      <c r="Z1730" t="s">
        <v>159</v>
      </c>
      <c r="AA1730" t="s">
        <v>170</v>
      </c>
      <c r="AB1730">
        <v>3.1</v>
      </c>
      <c r="AC1730">
        <v>40</v>
      </c>
      <c r="AD1730">
        <v>123.09</v>
      </c>
      <c r="AE1730">
        <f t="shared" ref="AE1730:AE1793" si="54">W1730-AC1730-AD1730</f>
        <v>1063.9100000000001</v>
      </c>
      <c r="AF1730" t="str">
        <f t="shared" ref="AF1730:AF1793" si="55">C1730&amp;"-"&amp;TEXT(D1730,"00")</f>
        <v>2025-08</v>
      </c>
      <c r="AG1730">
        <f>SUBTOTAL(103,A1730)</f>
        <v>1</v>
      </c>
    </row>
    <row r="1731" spans="1:33" x14ac:dyDescent="0.3">
      <c r="A1731" t="s">
        <v>4349</v>
      </c>
      <c r="B1731" s="13">
        <v>45875</v>
      </c>
      <c r="C1731">
        <v>2025</v>
      </c>
      <c r="D1731">
        <v>8</v>
      </c>
      <c r="E1731" t="s">
        <v>4301</v>
      </c>
      <c r="F1731" t="s">
        <v>4047</v>
      </c>
      <c r="G1731" t="s">
        <v>1385</v>
      </c>
      <c r="H1731" t="s">
        <v>1386</v>
      </c>
      <c r="I1731" t="s">
        <v>86</v>
      </c>
      <c r="J1731">
        <v>39</v>
      </c>
      <c r="K1731" t="s">
        <v>82</v>
      </c>
      <c r="L1731" t="s">
        <v>91</v>
      </c>
      <c r="M1731" t="s">
        <v>55</v>
      </c>
      <c r="N1731" t="s">
        <v>2582</v>
      </c>
      <c r="O1731" t="s">
        <v>119</v>
      </c>
      <c r="P1731" t="s">
        <v>49</v>
      </c>
      <c r="Q1731" t="s">
        <v>140</v>
      </c>
      <c r="R1731">
        <v>1</v>
      </c>
      <c r="S1731">
        <v>3499</v>
      </c>
      <c r="T1731">
        <v>0.15</v>
      </c>
      <c r="U1731">
        <v>2974.15</v>
      </c>
      <c r="V1731">
        <v>2100</v>
      </c>
      <c r="W1731">
        <v>874.15</v>
      </c>
      <c r="X1731" t="s">
        <v>77</v>
      </c>
      <c r="Y1731" t="s">
        <v>68</v>
      </c>
      <c r="Z1731" t="s">
        <v>161</v>
      </c>
      <c r="AA1731" t="s">
        <v>171</v>
      </c>
      <c r="AB1731">
        <v>3.3</v>
      </c>
      <c r="AC1731">
        <v>120</v>
      </c>
      <c r="AD1731">
        <v>89.62</v>
      </c>
      <c r="AE1731">
        <f t="shared" si="54"/>
        <v>664.53</v>
      </c>
      <c r="AF1731" t="str">
        <f t="shared" si="55"/>
        <v>2025-08</v>
      </c>
      <c r="AG1731">
        <f>SUBTOTAL(103,A1731)</f>
        <v>1</v>
      </c>
    </row>
    <row r="1732" spans="1:33" x14ac:dyDescent="0.3">
      <c r="A1732" t="s">
        <v>4350</v>
      </c>
      <c r="B1732" s="13">
        <v>45875</v>
      </c>
      <c r="C1732">
        <v>2025</v>
      </c>
      <c r="D1732">
        <v>8</v>
      </c>
      <c r="E1732" t="s">
        <v>4301</v>
      </c>
      <c r="F1732" t="s">
        <v>4047</v>
      </c>
      <c r="G1732" t="s">
        <v>501</v>
      </c>
      <c r="H1732" t="s">
        <v>502</v>
      </c>
      <c r="I1732" t="s">
        <v>86</v>
      </c>
      <c r="J1732">
        <v>43</v>
      </c>
      <c r="K1732" t="s">
        <v>82</v>
      </c>
      <c r="L1732" t="s">
        <v>2573</v>
      </c>
      <c r="M1732" t="s">
        <v>63</v>
      </c>
      <c r="N1732" t="s">
        <v>2596</v>
      </c>
      <c r="O1732" t="s">
        <v>124</v>
      </c>
      <c r="P1732" t="s">
        <v>51</v>
      </c>
      <c r="Q1732" t="s">
        <v>147</v>
      </c>
      <c r="R1732">
        <v>1</v>
      </c>
      <c r="S1732">
        <v>2299</v>
      </c>
      <c r="T1732">
        <v>0.05</v>
      </c>
      <c r="U1732">
        <v>2184.0500000000002</v>
      </c>
      <c r="V1732">
        <v>1200</v>
      </c>
      <c r="W1732">
        <v>984.05</v>
      </c>
      <c r="X1732" t="s">
        <v>73</v>
      </c>
      <c r="Y1732" t="s">
        <v>68</v>
      </c>
      <c r="Z1732" t="s">
        <v>158</v>
      </c>
      <c r="AA1732" t="s">
        <v>166</v>
      </c>
      <c r="AB1732">
        <v>3.6</v>
      </c>
      <c r="AC1732">
        <v>60</v>
      </c>
      <c r="AD1732">
        <v>131.80000000000001</v>
      </c>
      <c r="AE1732">
        <f t="shared" si="54"/>
        <v>792.25</v>
      </c>
      <c r="AF1732" t="str">
        <f t="shared" si="55"/>
        <v>2025-08</v>
      </c>
      <c r="AG1732">
        <f>SUBTOTAL(103,A1732)</f>
        <v>1</v>
      </c>
    </row>
    <row r="1733" spans="1:33" x14ac:dyDescent="0.3">
      <c r="A1733" t="s">
        <v>4351</v>
      </c>
      <c r="B1733" s="13">
        <v>45875</v>
      </c>
      <c r="C1733">
        <v>2025</v>
      </c>
      <c r="D1733">
        <v>8</v>
      </c>
      <c r="E1733" t="s">
        <v>4301</v>
      </c>
      <c r="F1733" t="s">
        <v>4047</v>
      </c>
      <c r="G1733" t="s">
        <v>321</v>
      </c>
      <c r="H1733" t="s">
        <v>322</v>
      </c>
      <c r="I1733" t="s">
        <v>85</v>
      </c>
      <c r="J1733">
        <v>59</v>
      </c>
      <c r="K1733" t="s">
        <v>83</v>
      </c>
      <c r="L1733" t="s">
        <v>95</v>
      </c>
      <c r="M1733" t="s">
        <v>56</v>
      </c>
      <c r="N1733" t="s">
        <v>2587</v>
      </c>
      <c r="O1733" t="s">
        <v>116</v>
      </c>
      <c r="P1733" t="s">
        <v>48</v>
      </c>
      <c r="Q1733" t="s">
        <v>138</v>
      </c>
      <c r="R1733">
        <v>3</v>
      </c>
      <c r="S1733">
        <v>14999</v>
      </c>
      <c r="T1733">
        <v>0.1</v>
      </c>
      <c r="U1733">
        <v>40497.300000000003</v>
      </c>
      <c r="V1733">
        <v>33600</v>
      </c>
      <c r="W1733">
        <v>6897.3</v>
      </c>
      <c r="X1733" t="s">
        <v>74</v>
      </c>
      <c r="Y1733" t="s">
        <v>68</v>
      </c>
      <c r="Z1733" t="s">
        <v>158</v>
      </c>
      <c r="AA1733" t="s">
        <v>171</v>
      </c>
      <c r="AB1733">
        <v>3.9</v>
      </c>
      <c r="AC1733">
        <v>50</v>
      </c>
      <c r="AD1733">
        <v>4328.4799999999996</v>
      </c>
      <c r="AE1733">
        <f t="shared" si="54"/>
        <v>2518.8200000000006</v>
      </c>
      <c r="AF1733" t="str">
        <f t="shared" si="55"/>
        <v>2025-08</v>
      </c>
      <c r="AG1733">
        <f>SUBTOTAL(103,A1733)</f>
        <v>1</v>
      </c>
    </row>
    <row r="1734" spans="1:33" x14ac:dyDescent="0.3">
      <c r="A1734" t="s">
        <v>4352</v>
      </c>
      <c r="B1734" s="13">
        <v>45875</v>
      </c>
      <c r="C1734">
        <v>2025</v>
      </c>
      <c r="D1734">
        <v>8</v>
      </c>
      <c r="E1734" t="s">
        <v>4301</v>
      </c>
      <c r="F1734" t="s">
        <v>4047</v>
      </c>
      <c r="G1734" t="s">
        <v>1845</v>
      </c>
      <c r="H1734" t="s">
        <v>1846</v>
      </c>
      <c r="I1734" t="s">
        <v>85</v>
      </c>
      <c r="J1734">
        <v>42</v>
      </c>
      <c r="K1734" t="s">
        <v>82</v>
      </c>
      <c r="L1734" t="s">
        <v>2589</v>
      </c>
      <c r="M1734" t="s">
        <v>61</v>
      </c>
      <c r="N1734" t="s">
        <v>2582</v>
      </c>
      <c r="O1734" t="s">
        <v>119</v>
      </c>
      <c r="P1734" t="s">
        <v>49</v>
      </c>
      <c r="Q1734" t="s">
        <v>140</v>
      </c>
      <c r="R1734">
        <v>1</v>
      </c>
      <c r="S1734">
        <v>3499</v>
      </c>
      <c r="T1734">
        <v>0</v>
      </c>
      <c r="U1734">
        <v>3499</v>
      </c>
      <c r="V1734">
        <v>2100</v>
      </c>
      <c r="W1734">
        <v>1399</v>
      </c>
      <c r="X1734" t="s">
        <v>74</v>
      </c>
      <c r="Y1734" t="s">
        <v>68</v>
      </c>
      <c r="Z1734" t="s">
        <v>159</v>
      </c>
      <c r="AA1734" t="s">
        <v>166</v>
      </c>
      <c r="AB1734">
        <v>3.9</v>
      </c>
      <c r="AC1734">
        <v>50</v>
      </c>
      <c r="AD1734">
        <v>216.51</v>
      </c>
      <c r="AE1734">
        <f t="shared" si="54"/>
        <v>1132.49</v>
      </c>
      <c r="AF1734" t="str">
        <f t="shared" si="55"/>
        <v>2025-08</v>
      </c>
      <c r="AG1734">
        <f>SUBTOTAL(103,A1734)</f>
        <v>1</v>
      </c>
    </row>
    <row r="1735" spans="1:33" x14ac:dyDescent="0.3">
      <c r="A1735" t="s">
        <v>4353</v>
      </c>
      <c r="B1735" s="13">
        <v>45875</v>
      </c>
      <c r="C1735">
        <v>2025</v>
      </c>
      <c r="D1735">
        <v>8</v>
      </c>
      <c r="E1735" t="s">
        <v>4301</v>
      </c>
      <c r="F1735" t="s">
        <v>4047</v>
      </c>
      <c r="G1735" t="s">
        <v>225</v>
      </c>
      <c r="H1735" t="s">
        <v>226</v>
      </c>
      <c r="I1735" t="s">
        <v>86</v>
      </c>
      <c r="J1735">
        <v>38</v>
      </c>
      <c r="K1735" t="s">
        <v>82</v>
      </c>
      <c r="L1735" t="s">
        <v>59</v>
      </c>
      <c r="M1735" t="s">
        <v>59</v>
      </c>
      <c r="N1735" t="s">
        <v>2596</v>
      </c>
      <c r="O1735" t="s">
        <v>124</v>
      </c>
      <c r="P1735" t="s">
        <v>51</v>
      </c>
      <c r="Q1735" t="s">
        <v>147</v>
      </c>
      <c r="R1735">
        <v>1</v>
      </c>
      <c r="S1735">
        <v>2299</v>
      </c>
      <c r="T1735">
        <v>0.2</v>
      </c>
      <c r="U1735">
        <v>1839.2</v>
      </c>
      <c r="V1735">
        <v>1200</v>
      </c>
      <c r="W1735">
        <v>639.20000000000005</v>
      </c>
      <c r="X1735" t="s">
        <v>74</v>
      </c>
      <c r="Y1735" t="s">
        <v>68</v>
      </c>
      <c r="Z1735" t="s">
        <v>159</v>
      </c>
      <c r="AA1735" t="s">
        <v>168</v>
      </c>
      <c r="AB1735">
        <v>4</v>
      </c>
      <c r="AC1735">
        <v>60</v>
      </c>
      <c r="AD1735">
        <v>151.16999999999999</v>
      </c>
      <c r="AE1735">
        <f t="shared" si="54"/>
        <v>428.03000000000009</v>
      </c>
      <c r="AF1735" t="str">
        <f t="shared" si="55"/>
        <v>2025-08</v>
      </c>
      <c r="AG1735">
        <f>SUBTOTAL(103,A1735)</f>
        <v>1</v>
      </c>
    </row>
    <row r="1736" spans="1:33" x14ac:dyDescent="0.3">
      <c r="A1736" t="s">
        <v>4354</v>
      </c>
      <c r="B1736" s="13">
        <v>45875</v>
      </c>
      <c r="C1736">
        <v>2025</v>
      </c>
      <c r="D1736">
        <v>8</v>
      </c>
      <c r="E1736" t="s">
        <v>4301</v>
      </c>
      <c r="F1736" t="s">
        <v>4047</v>
      </c>
      <c r="G1736" t="s">
        <v>841</v>
      </c>
      <c r="H1736" t="s">
        <v>842</v>
      </c>
      <c r="I1736" t="s">
        <v>86</v>
      </c>
      <c r="J1736">
        <v>49</v>
      </c>
      <c r="K1736" t="s">
        <v>83</v>
      </c>
      <c r="L1736" t="s">
        <v>2661</v>
      </c>
      <c r="M1736" t="s">
        <v>58</v>
      </c>
      <c r="N1736" t="s">
        <v>2603</v>
      </c>
      <c r="O1736" t="s">
        <v>122</v>
      </c>
      <c r="P1736" t="s">
        <v>48</v>
      </c>
      <c r="Q1736" t="s">
        <v>141</v>
      </c>
      <c r="R1736">
        <v>4</v>
      </c>
      <c r="S1736">
        <v>2499</v>
      </c>
      <c r="T1736">
        <v>0.1</v>
      </c>
      <c r="U1736">
        <v>8996.4</v>
      </c>
      <c r="V1736">
        <v>5800</v>
      </c>
      <c r="W1736">
        <v>3196.4</v>
      </c>
      <c r="X1736" t="s">
        <v>75</v>
      </c>
      <c r="Y1736" t="s">
        <v>68</v>
      </c>
      <c r="Z1736" t="s">
        <v>162</v>
      </c>
      <c r="AA1736" t="s">
        <v>170</v>
      </c>
      <c r="AB1736">
        <v>3.7</v>
      </c>
      <c r="AC1736">
        <v>60</v>
      </c>
      <c r="AD1736">
        <v>723.46</v>
      </c>
      <c r="AE1736">
        <f t="shared" si="54"/>
        <v>2412.94</v>
      </c>
      <c r="AF1736" t="str">
        <f t="shared" si="55"/>
        <v>2025-08</v>
      </c>
      <c r="AG1736">
        <f>SUBTOTAL(103,A1736)</f>
        <v>1</v>
      </c>
    </row>
    <row r="1737" spans="1:33" x14ac:dyDescent="0.3">
      <c r="A1737" t="s">
        <v>4355</v>
      </c>
      <c r="B1737" s="13">
        <v>45875</v>
      </c>
      <c r="C1737">
        <v>2025</v>
      </c>
      <c r="D1737">
        <v>8</v>
      </c>
      <c r="E1737" t="s">
        <v>4301</v>
      </c>
      <c r="F1737" t="s">
        <v>4047</v>
      </c>
      <c r="G1737" t="s">
        <v>1613</v>
      </c>
      <c r="H1737" t="s">
        <v>1614</v>
      </c>
      <c r="I1737" t="s">
        <v>86</v>
      </c>
      <c r="J1737">
        <v>44</v>
      </c>
      <c r="K1737" t="s">
        <v>82</v>
      </c>
      <c r="L1737" t="s">
        <v>2616</v>
      </c>
      <c r="M1737" t="s">
        <v>62</v>
      </c>
      <c r="N1737" t="s">
        <v>2601</v>
      </c>
      <c r="O1737" t="s">
        <v>117</v>
      </c>
      <c r="P1737" t="s">
        <v>49</v>
      </c>
      <c r="Q1737" t="s">
        <v>139</v>
      </c>
      <c r="R1737">
        <v>1</v>
      </c>
      <c r="S1737">
        <v>6999</v>
      </c>
      <c r="T1737">
        <v>0.1</v>
      </c>
      <c r="U1737">
        <v>6299.1</v>
      </c>
      <c r="V1737">
        <v>4300</v>
      </c>
      <c r="W1737">
        <v>1999.1</v>
      </c>
      <c r="X1737" t="s">
        <v>73</v>
      </c>
      <c r="Y1737" t="s">
        <v>68</v>
      </c>
      <c r="Z1737" t="s">
        <v>158</v>
      </c>
      <c r="AA1737" t="s">
        <v>166</v>
      </c>
      <c r="AB1737">
        <v>3.8</v>
      </c>
      <c r="AC1737">
        <v>60</v>
      </c>
      <c r="AD1737">
        <v>669.52</v>
      </c>
      <c r="AE1737">
        <f t="shared" si="54"/>
        <v>1269.58</v>
      </c>
      <c r="AF1737" t="str">
        <f t="shared" si="55"/>
        <v>2025-08</v>
      </c>
      <c r="AG1737">
        <f>SUBTOTAL(103,A1737)</f>
        <v>1</v>
      </c>
    </row>
    <row r="1738" spans="1:33" x14ac:dyDescent="0.3">
      <c r="A1738" t="s">
        <v>4356</v>
      </c>
      <c r="B1738" s="13">
        <v>45876</v>
      </c>
      <c r="C1738">
        <v>2025</v>
      </c>
      <c r="D1738">
        <v>8</v>
      </c>
      <c r="E1738" t="s">
        <v>4301</v>
      </c>
      <c r="F1738" t="s">
        <v>4047</v>
      </c>
      <c r="G1738" t="s">
        <v>689</v>
      </c>
      <c r="H1738" t="s">
        <v>690</v>
      </c>
      <c r="I1738" t="s">
        <v>85</v>
      </c>
      <c r="J1738">
        <v>36</v>
      </c>
      <c r="K1738" t="s">
        <v>82</v>
      </c>
      <c r="L1738" t="s">
        <v>2637</v>
      </c>
      <c r="M1738" t="s">
        <v>64</v>
      </c>
      <c r="N1738" t="s">
        <v>2587</v>
      </c>
      <c r="O1738" t="s">
        <v>116</v>
      </c>
      <c r="P1738" t="s">
        <v>48</v>
      </c>
      <c r="Q1738" t="s">
        <v>138</v>
      </c>
      <c r="R1738">
        <v>1</v>
      </c>
      <c r="S1738">
        <v>14999</v>
      </c>
      <c r="T1738">
        <v>0.05</v>
      </c>
      <c r="U1738">
        <v>14249.05</v>
      </c>
      <c r="V1738">
        <v>11200</v>
      </c>
      <c r="W1738">
        <v>3049.05</v>
      </c>
      <c r="X1738" t="s">
        <v>73</v>
      </c>
      <c r="Y1738" t="s">
        <v>68</v>
      </c>
      <c r="Z1738" t="s">
        <v>158</v>
      </c>
      <c r="AA1738" t="s">
        <v>168</v>
      </c>
      <c r="AB1738">
        <v>5</v>
      </c>
      <c r="AC1738">
        <v>40</v>
      </c>
      <c r="AD1738">
        <v>1476.04</v>
      </c>
      <c r="AE1738">
        <f t="shared" si="54"/>
        <v>1533.0100000000002</v>
      </c>
      <c r="AF1738" t="str">
        <f t="shared" si="55"/>
        <v>2025-08</v>
      </c>
      <c r="AG1738">
        <f>SUBTOTAL(103,A1738)</f>
        <v>1</v>
      </c>
    </row>
    <row r="1739" spans="1:33" x14ac:dyDescent="0.3">
      <c r="A1739" t="s">
        <v>4357</v>
      </c>
      <c r="B1739" s="13">
        <v>45876</v>
      </c>
      <c r="C1739">
        <v>2025</v>
      </c>
      <c r="D1739">
        <v>8</v>
      </c>
      <c r="E1739" t="s">
        <v>4301</v>
      </c>
      <c r="F1739" t="s">
        <v>4047</v>
      </c>
      <c r="G1739" t="s">
        <v>453</v>
      </c>
      <c r="H1739" t="s">
        <v>454</v>
      </c>
      <c r="I1739" t="s">
        <v>85</v>
      </c>
      <c r="J1739">
        <v>35</v>
      </c>
      <c r="K1739" t="s">
        <v>81</v>
      </c>
      <c r="L1739" t="s">
        <v>59</v>
      </c>
      <c r="M1739" t="s">
        <v>59</v>
      </c>
      <c r="N1739" t="s">
        <v>2580</v>
      </c>
      <c r="O1739" t="s">
        <v>118</v>
      </c>
      <c r="P1739" t="s">
        <v>48</v>
      </c>
      <c r="Q1739" t="s">
        <v>142</v>
      </c>
      <c r="R1739">
        <v>1</v>
      </c>
      <c r="S1739">
        <v>3999</v>
      </c>
      <c r="T1739">
        <v>0.15</v>
      </c>
      <c r="U1739">
        <v>3399.15</v>
      </c>
      <c r="V1739">
        <v>2400</v>
      </c>
      <c r="W1739">
        <v>999.15</v>
      </c>
      <c r="X1739" t="s">
        <v>73</v>
      </c>
      <c r="Y1739" t="s">
        <v>68</v>
      </c>
      <c r="Z1739" t="s">
        <v>160</v>
      </c>
      <c r="AA1739" t="s">
        <v>166</v>
      </c>
      <c r="AB1739">
        <v>3.5</v>
      </c>
      <c r="AC1739">
        <v>80</v>
      </c>
      <c r="AD1739">
        <v>206.05</v>
      </c>
      <c r="AE1739">
        <f t="shared" si="54"/>
        <v>713.09999999999991</v>
      </c>
      <c r="AF1739" t="str">
        <f t="shared" si="55"/>
        <v>2025-08</v>
      </c>
      <c r="AG1739">
        <f>SUBTOTAL(103,A1739)</f>
        <v>1</v>
      </c>
    </row>
    <row r="1740" spans="1:33" x14ac:dyDescent="0.3">
      <c r="A1740" t="s">
        <v>4358</v>
      </c>
      <c r="B1740" s="13">
        <v>45876</v>
      </c>
      <c r="C1740">
        <v>2025</v>
      </c>
      <c r="D1740">
        <v>8</v>
      </c>
      <c r="E1740" t="s">
        <v>4301</v>
      </c>
      <c r="F1740" t="s">
        <v>4047</v>
      </c>
      <c r="G1740" t="s">
        <v>1375</v>
      </c>
      <c r="H1740" t="s">
        <v>1376</v>
      </c>
      <c r="I1740" t="s">
        <v>86</v>
      </c>
      <c r="J1740">
        <v>60</v>
      </c>
      <c r="K1740" t="s">
        <v>83</v>
      </c>
      <c r="L1740" t="s">
        <v>98</v>
      </c>
      <c r="M1740" t="s">
        <v>55</v>
      </c>
      <c r="N1740" t="s">
        <v>2590</v>
      </c>
      <c r="O1740" t="s">
        <v>127</v>
      </c>
      <c r="P1740" t="s">
        <v>51</v>
      </c>
      <c r="Q1740" t="s">
        <v>148</v>
      </c>
      <c r="R1740">
        <v>5</v>
      </c>
      <c r="S1740">
        <v>1599</v>
      </c>
      <c r="T1740">
        <v>0.05</v>
      </c>
      <c r="U1740">
        <v>7595.25</v>
      </c>
      <c r="V1740">
        <v>4000</v>
      </c>
      <c r="W1740">
        <v>3595.25</v>
      </c>
      <c r="X1740" t="s">
        <v>77</v>
      </c>
      <c r="Y1740" t="s">
        <v>68</v>
      </c>
      <c r="Z1740" t="s">
        <v>158</v>
      </c>
      <c r="AA1740" t="s">
        <v>166</v>
      </c>
      <c r="AB1740">
        <v>4.5999999999999996</v>
      </c>
      <c r="AC1740">
        <v>120</v>
      </c>
      <c r="AD1740">
        <v>628.46</v>
      </c>
      <c r="AE1740">
        <f t="shared" si="54"/>
        <v>2846.79</v>
      </c>
      <c r="AF1740" t="str">
        <f t="shared" si="55"/>
        <v>2025-08</v>
      </c>
      <c r="AG1740">
        <f>SUBTOTAL(103,A1740)</f>
        <v>1</v>
      </c>
    </row>
    <row r="1741" spans="1:33" x14ac:dyDescent="0.3">
      <c r="A1741" t="s">
        <v>4359</v>
      </c>
      <c r="B1741" s="13">
        <v>45876</v>
      </c>
      <c r="C1741">
        <v>2025</v>
      </c>
      <c r="D1741">
        <v>8</v>
      </c>
      <c r="E1741" t="s">
        <v>4301</v>
      </c>
      <c r="F1741" t="s">
        <v>4047</v>
      </c>
      <c r="G1741" t="s">
        <v>1137</v>
      </c>
      <c r="H1741" t="s">
        <v>1138</v>
      </c>
      <c r="I1741" t="s">
        <v>86</v>
      </c>
      <c r="J1741">
        <v>44</v>
      </c>
      <c r="K1741" t="s">
        <v>82</v>
      </c>
      <c r="L1741" t="s">
        <v>100</v>
      </c>
      <c r="M1741" t="s">
        <v>56</v>
      </c>
      <c r="N1741" t="s">
        <v>2601</v>
      </c>
      <c r="O1741" t="s">
        <v>117</v>
      </c>
      <c r="P1741" t="s">
        <v>49</v>
      </c>
      <c r="Q1741" t="s">
        <v>139</v>
      </c>
      <c r="R1741">
        <v>2</v>
      </c>
      <c r="S1741">
        <v>6999</v>
      </c>
      <c r="T1741">
        <v>0</v>
      </c>
      <c r="U1741">
        <v>13998</v>
      </c>
      <c r="V1741">
        <v>8600</v>
      </c>
      <c r="W1741">
        <v>5398</v>
      </c>
      <c r="X1741" t="s">
        <v>73</v>
      </c>
      <c r="Y1741" t="s">
        <v>68</v>
      </c>
      <c r="Z1741" t="s">
        <v>162</v>
      </c>
      <c r="AA1741" t="s">
        <v>167</v>
      </c>
      <c r="AB1741">
        <v>3.2</v>
      </c>
      <c r="AC1741">
        <v>60</v>
      </c>
      <c r="AD1741">
        <v>450.72</v>
      </c>
      <c r="AE1741">
        <f t="shared" si="54"/>
        <v>4887.28</v>
      </c>
      <c r="AF1741" t="str">
        <f t="shared" si="55"/>
        <v>2025-08</v>
      </c>
      <c r="AG1741">
        <f>SUBTOTAL(103,A1741)</f>
        <v>1</v>
      </c>
    </row>
    <row r="1742" spans="1:33" x14ac:dyDescent="0.3">
      <c r="A1742" t="s">
        <v>4360</v>
      </c>
      <c r="B1742" s="13">
        <v>45876</v>
      </c>
      <c r="C1742">
        <v>2025</v>
      </c>
      <c r="D1742">
        <v>8</v>
      </c>
      <c r="E1742" t="s">
        <v>4301</v>
      </c>
      <c r="F1742" t="s">
        <v>4047</v>
      </c>
      <c r="G1742" t="s">
        <v>2201</v>
      </c>
      <c r="H1742" t="s">
        <v>2202</v>
      </c>
      <c r="I1742" t="s">
        <v>85</v>
      </c>
      <c r="J1742">
        <v>46</v>
      </c>
      <c r="K1742" t="s">
        <v>83</v>
      </c>
      <c r="L1742" t="s">
        <v>2586</v>
      </c>
      <c r="M1742" t="s">
        <v>62</v>
      </c>
      <c r="N1742" t="s">
        <v>2590</v>
      </c>
      <c r="O1742" t="s">
        <v>127</v>
      </c>
      <c r="P1742" t="s">
        <v>51</v>
      </c>
      <c r="Q1742" t="s">
        <v>148</v>
      </c>
      <c r="R1742">
        <v>2</v>
      </c>
      <c r="S1742">
        <v>1599</v>
      </c>
      <c r="T1742">
        <v>0.05</v>
      </c>
      <c r="U1742">
        <v>3038.1</v>
      </c>
      <c r="V1742">
        <v>1600</v>
      </c>
      <c r="W1742">
        <v>1438.1</v>
      </c>
      <c r="X1742" t="s">
        <v>74</v>
      </c>
      <c r="Y1742" t="s">
        <v>68</v>
      </c>
      <c r="Z1742" t="s">
        <v>158</v>
      </c>
      <c r="AA1742" t="s">
        <v>167</v>
      </c>
      <c r="AB1742">
        <v>5</v>
      </c>
      <c r="AC1742">
        <v>50</v>
      </c>
      <c r="AD1742">
        <v>119.78</v>
      </c>
      <c r="AE1742">
        <f t="shared" si="54"/>
        <v>1268.32</v>
      </c>
      <c r="AF1742" t="str">
        <f t="shared" si="55"/>
        <v>2025-08</v>
      </c>
      <c r="AG1742">
        <f>SUBTOTAL(103,A1742)</f>
        <v>1</v>
      </c>
    </row>
    <row r="1743" spans="1:33" x14ac:dyDescent="0.3">
      <c r="A1743" t="s">
        <v>4361</v>
      </c>
      <c r="B1743" s="13">
        <v>45876</v>
      </c>
      <c r="C1743">
        <v>2025</v>
      </c>
      <c r="D1743">
        <v>8</v>
      </c>
      <c r="E1743" t="s">
        <v>4301</v>
      </c>
      <c r="F1743" t="s">
        <v>4047</v>
      </c>
      <c r="G1743" t="s">
        <v>1395</v>
      </c>
      <c r="H1743" t="s">
        <v>1396</v>
      </c>
      <c r="I1743" t="s">
        <v>85</v>
      </c>
      <c r="J1743">
        <v>39</v>
      </c>
      <c r="K1743" t="s">
        <v>82</v>
      </c>
      <c r="L1743" t="s">
        <v>2679</v>
      </c>
      <c r="M1743" t="s">
        <v>60</v>
      </c>
      <c r="N1743" t="s">
        <v>2657</v>
      </c>
      <c r="O1743" t="s">
        <v>134</v>
      </c>
      <c r="P1743" t="s">
        <v>49</v>
      </c>
      <c r="Q1743" t="s">
        <v>140</v>
      </c>
      <c r="R1743">
        <v>2</v>
      </c>
      <c r="S1743">
        <v>599</v>
      </c>
      <c r="T1743">
        <v>0.2</v>
      </c>
      <c r="U1743">
        <v>958.4</v>
      </c>
      <c r="V1743">
        <v>500</v>
      </c>
      <c r="W1743">
        <v>458.4</v>
      </c>
      <c r="X1743" t="s">
        <v>77</v>
      </c>
      <c r="Y1743" t="s">
        <v>68</v>
      </c>
      <c r="Z1743" t="s">
        <v>162</v>
      </c>
      <c r="AA1743" t="s">
        <v>170</v>
      </c>
      <c r="AB1743">
        <v>4.2</v>
      </c>
      <c r="AC1743">
        <v>60</v>
      </c>
      <c r="AD1743">
        <v>39.29</v>
      </c>
      <c r="AE1743">
        <f t="shared" si="54"/>
        <v>359.10999999999996</v>
      </c>
      <c r="AF1743" t="str">
        <f t="shared" si="55"/>
        <v>2025-08</v>
      </c>
      <c r="AG1743">
        <f>SUBTOTAL(103,A1743)</f>
        <v>1</v>
      </c>
    </row>
    <row r="1744" spans="1:33" x14ac:dyDescent="0.3">
      <c r="A1744" t="s">
        <v>4362</v>
      </c>
      <c r="B1744" s="13">
        <v>45876</v>
      </c>
      <c r="C1744">
        <v>2025</v>
      </c>
      <c r="D1744">
        <v>8</v>
      </c>
      <c r="E1744" t="s">
        <v>4301</v>
      </c>
      <c r="F1744" t="s">
        <v>4047</v>
      </c>
      <c r="G1744" t="s">
        <v>2059</v>
      </c>
      <c r="H1744" t="s">
        <v>2060</v>
      </c>
      <c r="I1744" t="s">
        <v>86</v>
      </c>
      <c r="J1744">
        <v>32</v>
      </c>
      <c r="K1744" t="s">
        <v>81</v>
      </c>
      <c r="L1744" t="s">
        <v>94</v>
      </c>
      <c r="M1744" t="s">
        <v>57</v>
      </c>
      <c r="N1744" t="s">
        <v>2594</v>
      </c>
      <c r="O1744" t="s">
        <v>131</v>
      </c>
      <c r="P1744" t="s">
        <v>53</v>
      </c>
      <c r="Q1744" t="s">
        <v>143</v>
      </c>
      <c r="R1744">
        <v>2</v>
      </c>
      <c r="S1744">
        <v>999</v>
      </c>
      <c r="T1744">
        <v>0.2</v>
      </c>
      <c r="U1744">
        <v>1598.4</v>
      </c>
      <c r="V1744">
        <v>1040</v>
      </c>
      <c r="W1744">
        <v>558.4</v>
      </c>
      <c r="X1744" t="s">
        <v>75</v>
      </c>
      <c r="Y1744" t="s">
        <v>68</v>
      </c>
      <c r="Z1744" t="s">
        <v>160</v>
      </c>
      <c r="AA1744" t="s">
        <v>170</v>
      </c>
      <c r="AB1744">
        <v>4.2</v>
      </c>
      <c r="AC1744">
        <v>60</v>
      </c>
      <c r="AD1744">
        <v>188.58</v>
      </c>
      <c r="AE1744">
        <f t="shared" si="54"/>
        <v>309.81999999999994</v>
      </c>
      <c r="AF1744" t="str">
        <f t="shared" si="55"/>
        <v>2025-08</v>
      </c>
      <c r="AG1744">
        <f>SUBTOTAL(103,A1744)</f>
        <v>1</v>
      </c>
    </row>
    <row r="1745" spans="1:33" x14ac:dyDescent="0.3">
      <c r="A1745" t="s">
        <v>4363</v>
      </c>
      <c r="B1745" s="13">
        <v>45877</v>
      </c>
      <c r="C1745">
        <v>2025</v>
      </c>
      <c r="D1745">
        <v>8</v>
      </c>
      <c r="E1745" t="s">
        <v>4301</v>
      </c>
      <c r="F1745" t="s">
        <v>4047</v>
      </c>
      <c r="G1745" t="s">
        <v>667</v>
      </c>
      <c r="H1745" t="s">
        <v>668</v>
      </c>
      <c r="I1745" t="s">
        <v>85</v>
      </c>
      <c r="J1745">
        <v>60</v>
      </c>
      <c r="K1745" t="s">
        <v>83</v>
      </c>
      <c r="L1745" t="s">
        <v>95</v>
      </c>
      <c r="M1745" t="s">
        <v>56</v>
      </c>
      <c r="N1745" t="s">
        <v>2665</v>
      </c>
      <c r="O1745" t="s">
        <v>128</v>
      </c>
      <c r="P1745" t="s">
        <v>53</v>
      </c>
      <c r="Q1745" t="s">
        <v>143</v>
      </c>
      <c r="R1745">
        <v>3</v>
      </c>
      <c r="S1745">
        <v>1499</v>
      </c>
      <c r="T1745">
        <v>0</v>
      </c>
      <c r="U1745">
        <v>4497</v>
      </c>
      <c r="V1745">
        <v>2400</v>
      </c>
      <c r="W1745">
        <v>2097</v>
      </c>
      <c r="X1745" t="s">
        <v>76</v>
      </c>
      <c r="Y1745" t="s">
        <v>68</v>
      </c>
      <c r="Z1745" t="s">
        <v>160</v>
      </c>
      <c r="AA1745" t="s">
        <v>170</v>
      </c>
      <c r="AB1745">
        <v>3.7</v>
      </c>
      <c r="AC1745">
        <v>100</v>
      </c>
      <c r="AD1745">
        <v>453.57</v>
      </c>
      <c r="AE1745">
        <f t="shared" si="54"/>
        <v>1543.43</v>
      </c>
      <c r="AF1745" t="str">
        <f t="shared" si="55"/>
        <v>2025-08</v>
      </c>
      <c r="AG1745">
        <f>SUBTOTAL(103,A1745)</f>
        <v>1</v>
      </c>
    </row>
    <row r="1746" spans="1:33" x14ac:dyDescent="0.3">
      <c r="A1746" t="s">
        <v>4364</v>
      </c>
      <c r="B1746" s="13">
        <v>45877</v>
      </c>
      <c r="C1746">
        <v>2025</v>
      </c>
      <c r="D1746">
        <v>8</v>
      </c>
      <c r="E1746" t="s">
        <v>4301</v>
      </c>
      <c r="F1746" t="s">
        <v>4047</v>
      </c>
      <c r="G1746" t="s">
        <v>1419</v>
      </c>
      <c r="H1746" t="s">
        <v>1420</v>
      </c>
      <c r="I1746" t="s">
        <v>85</v>
      </c>
      <c r="J1746">
        <v>60</v>
      </c>
      <c r="K1746" t="s">
        <v>83</v>
      </c>
      <c r="L1746" t="s">
        <v>97</v>
      </c>
      <c r="M1746" t="s">
        <v>57</v>
      </c>
      <c r="N1746" t="s">
        <v>2630</v>
      </c>
      <c r="O1746" t="s">
        <v>123</v>
      </c>
      <c r="P1746" t="s">
        <v>52</v>
      </c>
      <c r="Q1746" t="s">
        <v>146</v>
      </c>
      <c r="R1746">
        <v>1</v>
      </c>
      <c r="S1746">
        <v>2499</v>
      </c>
      <c r="T1746">
        <v>0.05</v>
      </c>
      <c r="U1746">
        <v>2374.0500000000002</v>
      </c>
      <c r="V1746">
        <v>1400</v>
      </c>
      <c r="W1746">
        <v>974.05</v>
      </c>
      <c r="X1746" t="s">
        <v>77</v>
      </c>
      <c r="Y1746" t="s">
        <v>68</v>
      </c>
      <c r="Z1746" t="s">
        <v>158</v>
      </c>
      <c r="AA1746" t="s">
        <v>169</v>
      </c>
      <c r="AB1746">
        <v>2.4</v>
      </c>
      <c r="AC1746">
        <v>100</v>
      </c>
      <c r="AD1746">
        <v>186.82</v>
      </c>
      <c r="AE1746">
        <f t="shared" si="54"/>
        <v>687.23</v>
      </c>
      <c r="AF1746" t="str">
        <f t="shared" si="55"/>
        <v>2025-08</v>
      </c>
      <c r="AG1746">
        <f>SUBTOTAL(103,A1746)</f>
        <v>1</v>
      </c>
    </row>
    <row r="1747" spans="1:33" x14ac:dyDescent="0.3">
      <c r="A1747" t="s">
        <v>4365</v>
      </c>
      <c r="B1747" s="13">
        <v>45877</v>
      </c>
      <c r="C1747">
        <v>2025</v>
      </c>
      <c r="D1747">
        <v>8</v>
      </c>
      <c r="E1747" t="s">
        <v>4301</v>
      </c>
      <c r="F1747" t="s">
        <v>4047</v>
      </c>
      <c r="G1747" t="s">
        <v>1507</v>
      </c>
      <c r="H1747" t="s">
        <v>1508</v>
      </c>
      <c r="I1747" t="s">
        <v>86</v>
      </c>
      <c r="J1747">
        <v>59</v>
      </c>
      <c r="K1747" t="s">
        <v>83</v>
      </c>
      <c r="L1747" t="s">
        <v>98</v>
      </c>
      <c r="M1747" t="s">
        <v>55</v>
      </c>
      <c r="N1747" t="s">
        <v>2582</v>
      </c>
      <c r="O1747" t="s">
        <v>119</v>
      </c>
      <c r="P1747" t="s">
        <v>49</v>
      </c>
      <c r="Q1747" t="s">
        <v>140</v>
      </c>
      <c r="R1747">
        <v>1</v>
      </c>
      <c r="S1747">
        <v>3499</v>
      </c>
      <c r="T1747">
        <v>0.05</v>
      </c>
      <c r="U1747">
        <v>3324.05</v>
      </c>
      <c r="V1747">
        <v>2100</v>
      </c>
      <c r="W1747">
        <v>1224.05</v>
      </c>
      <c r="X1747" t="s">
        <v>77</v>
      </c>
      <c r="Y1747" t="s">
        <v>68</v>
      </c>
      <c r="Z1747" t="s">
        <v>159</v>
      </c>
      <c r="AA1747" t="s">
        <v>170</v>
      </c>
      <c r="AB1747">
        <v>5</v>
      </c>
      <c r="AC1747">
        <v>60</v>
      </c>
      <c r="AD1747">
        <v>178.73</v>
      </c>
      <c r="AE1747">
        <f t="shared" si="54"/>
        <v>985.31999999999994</v>
      </c>
      <c r="AF1747" t="str">
        <f t="shared" si="55"/>
        <v>2025-08</v>
      </c>
      <c r="AG1747">
        <f>SUBTOTAL(103,A1747)</f>
        <v>1</v>
      </c>
    </row>
    <row r="1748" spans="1:33" x14ac:dyDescent="0.3">
      <c r="A1748" t="s">
        <v>4366</v>
      </c>
      <c r="B1748" s="13">
        <v>45877</v>
      </c>
      <c r="C1748">
        <v>2025</v>
      </c>
      <c r="D1748">
        <v>8</v>
      </c>
      <c r="E1748" t="s">
        <v>4301</v>
      </c>
      <c r="F1748" t="s">
        <v>4047</v>
      </c>
      <c r="G1748" t="s">
        <v>999</v>
      </c>
      <c r="H1748" t="s">
        <v>1000</v>
      </c>
      <c r="I1748" t="s">
        <v>86</v>
      </c>
      <c r="J1748">
        <v>25</v>
      </c>
      <c r="K1748" t="s">
        <v>80</v>
      </c>
      <c r="L1748" t="s">
        <v>59</v>
      </c>
      <c r="M1748" t="s">
        <v>59</v>
      </c>
      <c r="N1748" t="s">
        <v>2603</v>
      </c>
      <c r="O1748" t="s">
        <v>122</v>
      </c>
      <c r="P1748" t="s">
        <v>48</v>
      </c>
      <c r="Q1748" t="s">
        <v>141</v>
      </c>
      <c r="R1748">
        <v>1</v>
      </c>
      <c r="S1748">
        <v>2499</v>
      </c>
      <c r="T1748">
        <v>0</v>
      </c>
      <c r="U1748">
        <v>2499</v>
      </c>
      <c r="V1748">
        <v>1450</v>
      </c>
      <c r="W1748">
        <v>1049</v>
      </c>
      <c r="X1748" t="s">
        <v>77</v>
      </c>
      <c r="Y1748" t="s">
        <v>68</v>
      </c>
      <c r="Z1748" t="s">
        <v>158</v>
      </c>
      <c r="AA1748" t="s">
        <v>167</v>
      </c>
      <c r="AB1748">
        <v>3.6</v>
      </c>
      <c r="AC1748">
        <v>40</v>
      </c>
      <c r="AD1748">
        <v>149.43</v>
      </c>
      <c r="AE1748">
        <f t="shared" si="54"/>
        <v>859.56999999999994</v>
      </c>
      <c r="AF1748" t="str">
        <f t="shared" si="55"/>
        <v>2025-08</v>
      </c>
      <c r="AG1748">
        <f>SUBTOTAL(103,A1748)</f>
        <v>1</v>
      </c>
    </row>
    <row r="1749" spans="1:33" x14ac:dyDescent="0.3">
      <c r="A1749" t="s">
        <v>4367</v>
      </c>
      <c r="B1749" s="13">
        <v>45877</v>
      </c>
      <c r="C1749">
        <v>2025</v>
      </c>
      <c r="D1749">
        <v>8</v>
      </c>
      <c r="E1749" t="s">
        <v>4301</v>
      </c>
      <c r="F1749" t="s">
        <v>4047</v>
      </c>
      <c r="G1749" t="s">
        <v>929</v>
      </c>
      <c r="H1749" t="s">
        <v>930</v>
      </c>
      <c r="I1749" t="s">
        <v>85</v>
      </c>
      <c r="J1749">
        <v>18</v>
      </c>
      <c r="K1749" t="s">
        <v>80</v>
      </c>
      <c r="L1749" t="s">
        <v>2605</v>
      </c>
      <c r="M1749" t="s">
        <v>60</v>
      </c>
      <c r="N1749" t="s">
        <v>2592</v>
      </c>
      <c r="O1749" t="s">
        <v>115</v>
      </c>
      <c r="P1749" t="s">
        <v>48</v>
      </c>
      <c r="Q1749" t="s">
        <v>137</v>
      </c>
      <c r="R1749">
        <v>1</v>
      </c>
      <c r="S1749">
        <v>12999</v>
      </c>
      <c r="T1749">
        <v>0</v>
      </c>
      <c r="U1749">
        <v>12999</v>
      </c>
      <c r="V1749">
        <v>9000</v>
      </c>
      <c r="W1749">
        <v>3999</v>
      </c>
      <c r="X1749" t="s">
        <v>74</v>
      </c>
      <c r="Y1749" t="s">
        <v>68</v>
      </c>
      <c r="Z1749" t="s">
        <v>160</v>
      </c>
      <c r="AA1749" t="s">
        <v>166</v>
      </c>
      <c r="AB1749">
        <v>4.5</v>
      </c>
      <c r="AC1749">
        <v>60</v>
      </c>
      <c r="AD1749">
        <v>1508.65</v>
      </c>
      <c r="AE1749">
        <f t="shared" si="54"/>
        <v>2430.35</v>
      </c>
      <c r="AF1749" t="str">
        <f t="shared" si="55"/>
        <v>2025-08</v>
      </c>
      <c r="AG1749">
        <f>SUBTOTAL(103,A1749)</f>
        <v>1</v>
      </c>
    </row>
    <row r="1750" spans="1:33" x14ac:dyDescent="0.3">
      <c r="A1750" t="s">
        <v>4368</v>
      </c>
      <c r="B1750" s="13">
        <v>45878</v>
      </c>
      <c r="C1750">
        <v>2025</v>
      </c>
      <c r="D1750">
        <v>8</v>
      </c>
      <c r="E1750" t="s">
        <v>4301</v>
      </c>
      <c r="F1750" t="s">
        <v>4047</v>
      </c>
      <c r="G1750" t="s">
        <v>1637</v>
      </c>
      <c r="H1750" t="s">
        <v>1638</v>
      </c>
      <c r="I1750" t="s">
        <v>86</v>
      </c>
      <c r="J1750">
        <v>48</v>
      </c>
      <c r="K1750" t="s">
        <v>83</v>
      </c>
      <c r="L1750" t="s">
        <v>2661</v>
      </c>
      <c r="M1750" t="s">
        <v>58</v>
      </c>
      <c r="N1750" t="s">
        <v>2587</v>
      </c>
      <c r="O1750" t="s">
        <v>116</v>
      </c>
      <c r="P1750" t="s">
        <v>48</v>
      </c>
      <c r="Q1750" t="s">
        <v>138</v>
      </c>
      <c r="R1750">
        <v>1</v>
      </c>
      <c r="S1750">
        <v>14999</v>
      </c>
      <c r="T1750">
        <v>0.15</v>
      </c>
      <c r="U1750">
        <v>12749.15</v>
      </c>
      <c r="V1750">
        <v>11200</v>
      </c>
      <c r="W1750">
        <v>1549.15</v>
      </c>
      <c r="X1750" t="s">
        <v>77</v>
      </c>
      <c r="Y1750" t="s">
        <v>68</v>
      </c>
      <c r="Z1750" t="s">
        <v>159</v>
      </c>
      <c r="AA1750" t="s">
        <v>166</v>
      </c>
      <c r="AB1750">
        <v>4</v>
      </c>
      <c r="AC1750">
        <v>80</v>
      </c>
      <c r="AD1750">
        <v>1114.01</v>
      </c>
      <c r="AE1750">
        <f t="shared" si="54"/>
        <v>355.1400000000001</v>
      </c>
      <c r="AF1750" t="str">
        <f t="shared" si="55"/>
        <v>2025-08</v>
      </c>
      <c r="AG1750">
        <f>SUBTOTAL(103,A1750)</f>
        <v>1</v>
      </c>
    </row>
    <row r="1751" spans="1:33" x14ac:dyDescent="0.3">
      <c r="A1751" t="s">
        <v>4369</v>
      </c>
      <c r="B1751" s="13">
        <v>45878</v>
      </c>
      <c r="C1751">
        <v>2025</v>
      </c>
      <c r="D1751">
        <v>8</v>
      </c>
      <c r="E1751" t="s">
        <v>4301</v>
      </c>
      <c r="F1751" t="s">
        <v>4047</v>
      </c>
      <c r="G1751" t="s">
        <v>1423</v>
      </c>
      <c r="H1751" t="s">
        <v>1424</v>
      </c>
      <c r="I1751" t="s">
        <v>86</v>
      </c>
      <c r="J1751">
        <v>23</v>
      </c>
      <c r="K1751" t="s">
        <v>80</v>
      </c>
      <c r="L1751" t="s">
        <v>2612</v>
      </c>
      <c r="M1751" t="s">
        <v>64</v>
      </c>
      <c r="N1751" t="s">
        <v>2596</v>
      </c>
      <c r="O1751" t="s">
        <v>124</v>
      </c>
      <c r="P1751" t="s">
        <v>51</v>
      </c>
      <c r="Q1751" t="s">
        <v>147</v>
      </c>
      <c r="R1751">
        <v>2</v>
      </c>
      <c r="S1751">
        <v>2299</v>
      </c>
      <c r="T1751">
        <v>0.1</v>
      </c>
      <c r="U1751">
        <v>4138.2</v>
      </c>
      <c r="V1751">
        <v>2400</v>
      </c>
      <c r="W1751">
        <v>1738.2</v>
      </c>
      <c r="X1751" t="s">
        <v>73</v>
      </c>
      <c r="Y1751" t="s">
        <v>68</v>
      </c>
      <c r="Z1751" t="s">
        <v>160</v>
      </c>
      <c r="AA1751" t="s">
        <v>166</v>
      </c>
      <c r="AB1751">
        <v>2.1</v>
      </c>
      <c r="AC1751">
        <v>80</v>
      </c>
      <c r="AD1751">
        <v>204.99</v>
      </c>
      <c r="AE1751">
        <f t="shared" si="54"/>
        <v>1453.21</v>
      </c>
      <c r="AF1751" t="str">
        <f t="shared" si="55"/>
        <v>2025-08</v>
      </c>
      <c r="AG1751">
        <f>SUBTOTAL(103,A1751)</f>
        <v>1</v>
      </c>
    </row>
    <row r="1752" spans="1:33" x14ac:dyDescent="0.3">
      <c r="A1752" t="s">
        <v>4370</v>
      </c>
      <c r="B1752" s="13">
        <v>45878</v>
      </c>
      <c r="C1752">
        <v>2025</v>
      </c>
      <c r="D1752">
        <v>8</v>
      </c>
      <c r="E1752" t="s">
        <v>4301</v>
      </c>
      <c r="F1752" t="s">
        <v>4047</v>
      </c>
      <c r="G1752" t="s">
        <v>1301</v>
      </c>
      <c r="H1752" t="s">
        <v>1302</v>
      </c>
      <c r="I1752" t="s">
        <v>85</v>
      </c>
      <c r="J1752">
        <v>19</v>
      </c>
      <c r="K1752" t="s">
        <v>80</v>
      </c>
      <c r="L1752" t="s">
        <v>92</v>
      </c>
      <c r="M1752" t="s">
        <v>59</v>
      </c>
      <c r="N1752" t="s">
        <v>2647</v>
      </c>
      <c r="O1752" t="s">
        <v>133</v>
      </c>
      <c r="P1752" t="s">
        <v>50</v>
      </c>
      <c r="Q1752" t="s">
        <v>145</v>
      </c>
      <c r="R1752">
        <v>1</v>
      </c>
      <c r="S1752">
        <v>799</v>
      </c>
      <c r="T1752">
        <v>0</v>
      </c>
      <c r="U1752">
        <v>799</v>
      </c>
      <c r="V1752">
        <v>390</v>
      </c>
      <c r="W1752">
        <v>409</v>
      </c>
      <c r="X1752" t="s">
        <v>74</v>
      </c>
      <c r="Y1752" t="s">
        <v>68</v>
      </c>
      <c r="Z1752" t="s">
        <v>160</v>
      </c>
      <c r="AA1752" t="s">
        <v>167</v>
      </c>
      <c r="AB1752">
        <v>3.5</v>
      </c>
      <c r="AC1752">
        <v>100</v>
      </c>
      <c r="AD1752">
        <v>91.05</v>
      </c>
      <c r="AE1752">
        <f t="shared" si="54"/>
        <v>217.95</v>
      </c>
      <c r="AF1752" t="str">
        <f t="shared" si="55"/>
        <v>2025-08</v>
      </c>
      <c r="AG1752">
        <f>SUBTOTAL(103,A1752)</f>
        <v>1</v>
      </c>
    </row>
    <row r="1753" spans="1:33" x14ac:dyDescent="0.3">
      <c r="A1753" t="s">
        <v>4371</v>
      </c>
      <c r="B1753" s="13">
        <v>45878</v>
      </c>
      <c r="C1753">
        <v>2025</v>
      </c>
      <c r="D1753">
        <v>8</v>
      </c>
      <c r="E1753" t="s">
        <v>4301</v>
      </c>
      <c r="F1753" t="s">
        <v>4047</v>
      </c>
      <c r="G1753" t="s">
        <v>1937</v>
      </c>
      <c r="H1753" t="s">
        <v>1938</v>
      </c>
      <c r="I1753" t="s">
        <v>85</v>
      </c>
      <c r="J1753">
        <v>34</v>
      </c>
      <c r="K1753" t="s">
        <v>81</v>
      </c>
      <c r="L1753" t="s">
        <v>95</v>
      </c>
      <c r="M1753" t="s">
        <v>56</v>
      </c>
      <c r="N1753" t="s">
        <v>2644</v>
      </c>
      <c r="O1753" t="s">
        <v>126</v>
      </c>
      <c r="P1753" t="s">
        <v>50</v>
      </c>
      <c r="Q1753" t="s">
        <v>145</v>
      </c>
      <c r="R1753">
        <v>2</v>
      </c>
      <c r="S1753">
        <v>1799</v>
      </c>
      <c r="T1753">
        <v>0.05</v>
      </c>
      <c r="U1753">
        <v>3418.1</v>
      </c>
      <c r="V1753">
        <v>1900</v>
      </c>
      <c r="W1753">
        <v>1518.1</v>
      </c>
      <c r="X1753" t="s">
        <v>73</v>
      </c>
      <c r="Y1753" t="s">
        <v>68</v>
      </c>
      <c r="Z1753" t="s">
        <v>159</v>
      </c>
      <c r="AA1753" t="s">
        <v>167</v>
      </c>
      <c r="AB1753">
        <v>4</v>
      </c>
      <c r="AC1753">
        <v>60</v>
      </c>
      <c r="AD1753">
        <v>320.79000000000002</v>
      </c>
      <c r="AE1753">
        <f t="shared" si="54"/>
        <v>1137.31</v>
      </c>
      <c r="AF1753" t="str">
        <f t="shared" si="55"/>
        <v>2025-08</v>
      </c>
      <c r="AG1753">
        <f>SUBTOTAL(103,A1753)</f>
        <v>1</v>
      </c>
    </row>
    <row r="1754" spans="1:33" x14ac:dyDescent="0.3">
      <c r="A1754" t="s">
        <v>4372</v>
      </c>
      <c r="B1754" s="13">
        <v>45878</v>
      </c>
      <c r="C1754">
        <v>2025</v>
      </c>
      <c r="D1754">
        <v>8</v>
      </c>
      <c r="E1754" t="s">
        <v>4301</v>
      </c>
      <c r="F1754" t="s">
        <v>4047</v>
      </c>
      <c r="G1754" t="s">
        <v>545</v>
      </c>
      <c r="H1754" t="s">
        <v>546</v>
      </c>
      <c r="I1754" t="s">
        <v>86</v>
      </c>
      <c r="J1754">
        <v>25</v>
      </c>
      <c r="K1754" t="s">
        <v>80</v>
      </c>
      <c r="L1754" t="s">
        <v>2634</v>
      </c>
      <c r="M1754" t="s">
        <v>56</v>
      </c>
      <c r="N1754" t="s">
        <v>2587</v>
      </c>
      <c r="O1754" t="s">
        <v>116</v>
      </c>
      <c r="P1754" t="s">
        <v>48</v>
      </c>
      <c r="Q1754" t="s">
        <v>138</v>
      </c>
      <c r="R1754">
        <v>2</v>
      </c>
      <c r="S1754">
        <v>14999</v>
      </c>
      <c r="T1754">
        <v>0.2</v>
      </c>
      <c r="U1754">
        <v>23998.400000000001</v>
      </c>
      <c r="V1754">
        <v>22400</v>
      </c>
      <c r="W1754">
        <v>1598.4</v>
      </c>
      <c r="X1754" t="s">
        <v>73</v>
      </c>
      <c r="Y1754" t="s">
        <v>68</v>
      </c>
      <c r="Z1754" t="s">
        <v>158</v>
      </c>
      <c r="AA1754" t="s">
        <v>170</v>
      </c>
      <c r="AB1754">
        <v>3.9</v>
      </c>
      <c r="AC1754">
        <v>40</v>
      </c>
      <c r="AD1754">
        <v>2218.52</v>
      </c>
      <c r="AE1754">
        <f t="shared" si="54"/>
        <v>-660.11999999999989</v>
      </c>
      <c r="AF1754" t="str">
        <f t="shared" si="55"/>
        <v>2025-08</v>
      </c>
      <c r="AG1754">
        <f>SUBTOTAL(103,A1754)</f>
        <v>1</v>
      </c>
    </row>
    <row r="1755" spans="1:33" x14ac:dyDescent="0.3">
      <c r="A1755" t="s">
        <v>4373</v>
      </c>
      <c r="B1755" s="13">
        <v>45878</v>
      </c>
      <c r="C1755">
        <v>2025</v>
      </c>
      <c r="D1755">
        <v>8</v>
      </c>
      <c r="E1755" t="s">
        <v>4301</v>
      </c>
      <c r="F1755" t="s">
        <v>4047</v>
      </c>
      <c r="G1755" t="s">
        <v>1655</v>
      </c>
      <c r="H1755" t="s">
        <v>1656</v>
      </c>
      <c r="I1755" t="s">
        <v>86</v>
      </c>
      <c r="J1755">
        <v>33</v>
      </c>
      <c r="K1755" t="s">
        <v>81</v>
      </c>
      <c r="L1755" t="s">
        <v>2646</v>
      </c>
      <c r="M1755" t="s">
        <v>63</v>
      </c>
      <c r="N1755" t="s">
        <v>2582</v>
      </c>
      <c r="O1755" t="s">
        <v>119</v>
      </c>
      <c r="P1755" t="s">
        <v>49</v>
      </c>
      <c r="Q1755" t="s">
        <v>140</v>
      </c>
      <c r="R1755">
        <v>4</v>
      </c>
      <c r="S1755">
        <v>3499</v>
      </c>
      <c r="T1755">
        <v>0.05</v>
      </c>
      <c r="U1755">
        <v>13296.2</v>
      </c>
      <c r="V1755">
        <v>8400</v>
      </c>
      <c r="W1755">
        <v>4896.2</v>
      </c>
      <c r="X1755" t="s">
        <v>73</v>
      </c>
      <c r="Y1755" t="s">
        <v>68</v>
      </c>
      <c r="Z1755" t="s">
        <v>159</v>
      </c>
      <c r="AA1755" t="s">
        <v>167</v>
      </c>
      <c r="AB1755">
        <v>5</v>
      </c>
      <c r="AC1755">
        <v>60</v>
      </c>
      <c r="AD1755">
        <v>1322.97</v>
      </c>
      <c r="AE1755">
        <f t="shared" si="54"/>
        <v>3513.2299999999996</v>
      </c>
      <c r="AF1755" t="str">
        <f t="shared" si="55"/>
        <v>2025-08</v>
      </c>
      <c r="AG1755">
        <f>SUBTOTAL(103,A1755)</f>
        <v>1</v>
      </c>
    </row>
    <row r="1756" spans="1:33" x14ac:dyDescent="0.3">
      <c r="A1756" t="s">
        <v>4374</v>
      </c>
      <c r="B1756" s="13">
        <v>45878</v>
      </c>
      <c r="C1756">
        <v>2025</v>
      </c>
      <c r="D1756">
        <v>8</v>
      </c>
      <c r="E1756" t="s">
        <v>4301</v>
      </c>
      <c r="F1756" t="s">
        <v>4047</v>
      </c>
      <c r="G1756" t="s">
        <v>455</v>
      </c>
      <c r="H1756" t="s">
        <v>456</v>
      </c>
      <c r="I1756" t="s">
        <v>86</v>
      </c>
      <c r="J1756">
        <v>18</v>
      </c>
      <c r="K1756" t="s">
        <v>80</v>
      </c>
      <c r="L1756" t="s">
        <v>97</v>
      </c>
      <c r="M1756" t="s">
        <v>57</v>
      </c>
      <c r="N1756" t="s">
        <v>2626</v>
      </c>
      <c r="O1756" t="s">
        <v>125</v>
      </c>
      <c r="P1756" t="s">
        <v>48</v>
      </c>
      <c r="Q1756" t="s">
        <v>141</v>
      </c>
      <c r="R1756">
        <v>5</v>
      </c>
      <c r="S1756">
        <v>1999</v>
      </c>
      <c r="T1756">
        <v>0.1</v>
      </c>
      <c r="U1756">
        <v>8995.5</v>
      </c>
      <c r="V1756">
        <v>5750</v>
      </c>
      <c r="W1756">
        <v>3245.5</v>
      </c>
      <c r="X1756" t="s">
        <v>74</v>
      </c>
      <c r="Y1756" t="s">
        <v>68</v>
      </c>
      <c r="Z1756" t="s">
        <v>163</v>
      </c>
      <c r="AA1756" t="s">
        <v>169</v>
      </c>
      <c r="AB1756">
        <v>3.8</v>
      </c>
      <c r="AC1756">
        <v>50</v>
      </c>
      <c r="AD1756">
        <v>746.97</v>
      </c>
      <c r="AE1756">
        <f t="shared" si="54"/>
        <v>2448.5299999999997</v>
      </c>
      <c r="AF1756" t="str">
        <f t="shared" si="55"/>
        <v>2025-08</v>
      </c>
      <c r="AG1756">
        <f>SUBTOTAL(103,A1756)</f>
        <v>1</v>
      </c>
    </row>
    <row r="1757" spans="1:33" x14ac:dyDescent="0.3">
      <c r="A1757" t="s">
        <v>4375</v>
      </c>
      <c r="B1757" s="13">
        <v>45878</v>
      </c>
      <c r="C1757">
        <v>2025</v>
      </c>
      <c r="D1757">
        <v>8</v>
      </c>
      <c r="E1757" t="s">
        <v>4301</v>
      </c>
      <c r="F1757" t="s">
        <v>4047</v>
      </c>
      <c r="G1757" t="s">
        <v>321</v>
      </c>
      <c r="H1757" t="s">
        <v>322</v>
      </c>
      <c r="I1757" t="s">
        <v>85</v>
      </c>
      <c r="J1757">
        <v>59</v>
      </c>
      <c r="K1757" t="s">
        <v>83</v>
      </c>
      <c r="L1757" t="s">
        <v>95</v>
      </c>
      <c r="M1757" t="s">
        <v>56</v>
      </c>
      <c r="N1757" t="s">
        <v>2584</v>
      </c>
      <c r="O1757" t="s">
        <v>121</v>
      </c>
      <c r="P1757" t="s">
        <v>50</v>
      </c>
      <c r="Q1757" t="s">
        <v>144</v>
      </c>
      <c r="R1757">
        <v>2</v>
      </c>
      <c r="S1757">
        <v>2999</v>
      </c>
      <c r="T1757">
        <v>0.1</v>
      </c>
      <c r="U1757">
        <v>5398.2</v>
      </c>
      <c r="V1757">
        <v>3400</v>
      </c>
      <c r="W1757">
        <v>1998.2</v>
      </c>
      <c r="X1757" t="s">
        <v>73</v>
      </c>
      <c r="Y1757" t="s">
        <v>68</v>
      </c>
      <c r="Z1757" t="s">
        <v>158</v>
      </c>
      <c r="AA1757" t="s">
        <v>167</v>
      </c>
      <c r="AB1757">
        <v>2.6</v>
      </c>
      <c r="AC1757">
        <v>50</v>
      </c>
      <c r="AD1757">
        <v>608</v>
      </c>
      <c r="AE1757">
        <f t="shared" si="54"/>
        <v>1340.2</v>
      </c>
      <c r="AF1757" t="str">
        <f t="shared" si="55"/>
        <v>2025-08</v>
      </c>
      <c r="AG1757">
        <f>SUBTOTAL(103,A1757)</f>
        <v>1</v>
      </c>
    </row>
    <row r="1758" spans="1:33" x14ac:dyDescent="0.3">
      <c r="A1758" t="s">
        <v>4376</v>
      </c>
      <c r="B1758" s="13">
        <v>45878</v>
      </c>
      <c r="C1758">
        <v>2025</v>
      </c>
      <c r="D1758">
        <v>8</v>
      </c>
      <c r="E1758" t="s">
        <v>4301</v>
      </c>
      <c r="F1758" t="s">
        <v>4047</v>
      </c>
      <c r="G1758" t="s">
        <v>491</v>
      </c>
      <c r="H1758" t="s">
        <v>492</v>
      </c>
      <c r="I1758" t="s">
        <v>86</v>
      </c>
      <c r="J1758">
        <v>40</v>
      </c>
      <c r="K1758" t="s">
        <v>82</v>
      </c>
      <c r="L1758" t="s">
        <v>2589</v>
      </c>
      <c r="M1758" t="s">
        <v>61</v>
      </c>
      <c r="N1758" t="s">
        <v>2584</v>
      </c>
      <c r="O1758" t="s">
        <v>121</v>
      </c>
      <c r="P1758" t="s">
        <v>50</v>
      </c>
      <c r="Q1758" t="s">
        <v>144</v>
      </c>
      <c r="R1758">
        <v>2</v>
      </c>
      <c r="S1758">
        <v>2999</v>
      </c>
      <c r="T1758">
        <v>0.15</v>
      </c>
      <c r="U1758">
        <v>5098.3</v>
      </c>
      <c r="V1758">
        <v>3400</v>
      </c>
      <c r="W1758">
        <v>1698.3</v>
      </c>
      <c r="X1758" t="s">
        <v>74</v>
      </c>
      <c r="Y1758" t="s">
        <v>68</v>
      </c>
      <c r="Z1758" t="s">
        <v>158</v>
      </c>
      <c r="AA1758" t="s">
        <v>168</v>
      </c>
      <c r="AB1758">
        <v>3.9</v>
      </c>
      <c r="AC1758">
        <v>50</v>
      </c>
      <c r="AD1758">
        <v>588.64</v>
      </c>
      <c r="AE1758">
        <f t="shared" si="54"/>
        <v>1059.6599999999999</v>
      </c>
      <c r="AF1758" t="str">
        <f t="shared" si="55"/>
        <v>2025-08</v>
      </c>
      <c r="AG1758">
        <f>SUBTOTAL(103,A1758)</f>
        <v>1</v>
      </c>
    </row>
    <row r="1759" spans="1:33" x14ac:dyDescent="0.3">
      <c r="A1759" t="s">
        <v>4377</v>
      </c>
      <c r="B1759" s="13">
        <v>45878</v>
      </c>
      <c r="C1759">
        <v>2025</v>
      </c>
      <c r="D1759">
        <v>8</v>
      </c>
      <c r="E1759" t="s">
        <v>4301</v>
      </c>
      <c r="F1759" t="s">
        <v>4047</v>
      </c>
      <c r="G1759" t="s">
        <v>899</v>
      </c>
      <c r="H1759" t="s">
        <v>900</v>
      </c>
      <c r="I1759" t="s">
        <v>86</v>
      </c>
      <c r="J1759">
        <v>29</v>
      </c>
      <c r="K1759" t="s">
        <v>81</v>
      </c>
      <c r="L1759" t="s">
        <v>2623</v>
      </c>
      <c r="M1759" t="s">
        <v>61</v>
      </c>
      <c r="N1759" t="s">
        <v>2594</v>
      </c>
      <c r="O1759" t="s">
        <v>131</v>
      </c>
      <c r="P1759" t="s">
        <v>53</v>
      </c>
      <c r="Q1759" t="s">
        <v>143</v>
      </c>
      <c r="R1759">
        <v>3</v>
      </c>
      <c r="S1759">
        <v>999</v>
      </c>
      <c r="T1759">
        <v>0.05</v>
      </c>
      <c r="U1759">
        <v>2847.15</v>
      </c>
      <c r="V1759">
        <v>1560</v>
      </c>
      <c r="W1759">
        <v>1287.1500000000001</v>
      </c>
      <c r="X1759" t="s">
        <v>77</v>
      </c>
      <c r="Y1759" t="s">
        <v>68</v>
      </c>
      <c r="Z1759" t="s">
        <v>162</v>
      </c>
      <c r="AA1759" t="s">
        <v>167</v>
      </c>
      <c r="AB1759">
        <v>4.9000000000000004</v>
      </c>
      <c r="AC1759">
        <v>50</v>
      </c>
      <c r="AD1759">
        <v>304.55</v>
      </c>
      <c r="AE1759">
        <f t="shared" si="54"/>
        <v>932.60000000000014</v>
      </c>
      <c r="AF1759" t="str">
        <f t="shared" si="55"/>
        <v>2025-08</v>
      </c>
      <c r="AG1759">
        <f>SUBTOTAL(103,A1759)</f>
        <v>1</v>
      </c>
    </row>
    <row r="1760" spans="1:33" x14ac:dyDescent="0.3">
      <c r="A1760" t="s">
        <v>4378</v>
      </c>
      <c r="B1760" s="13">
        <v>45878</v>
      </c>
      <c r="C1760">
        <v>2025</v>
      </c>
      <c r="D1760">
        <v>8</v>
      </c>
      <c r="E1760" t="s">
        <v>4301</v>
      </c>
      <c r="F1760" t="s">
        <v>4047</v>
      </c>
      <c r="G1760" t="s">
        <v>787</v>
      </c>
      <c r="H1760" t="s">
        <v>788</v>
      </c>
      <c r="I1760" t="s">
        <v>86</v>
      </c>
      <c r="J1760">
        <v>48</v>
      </c>
      <c r="K1760" t="s">
        <v>83</v>
      </c>
      <c r="L1760" t="s">
        <v>2623</v>
      </c>
      <c r="M1760" t="s">
        <v>61</v>
      </c>
      <c r="N1760" t="s">
        <v>2626</v>
      </c>
      <c r="O1760" t="s">
        <v>125</v>
      </c>
      <c r="P1760" t="s">
        <v>48</v>
      </c>
      <c r="Q1760" t="s">
        <v>141</v>
      </c>
      <c r="R1760">
        <v>2</v>
      </c>
      <c r="S1760">
        <v>1999</v>
      </c>
      <c r="T1760">
        <v>0</v>
      </c>
      <c r="U1760">
        <v>3998</v>
      </c>
      <c r="V1760">
        <v>2300</v>
      </c>
      <c r="W1760">
        <v>1698</v>
      </c>
      <c r="X1760" t="s">
        <v>75</v>
      </c>
      <c r="Y1760" t="s">
        <v>68</v>
      </c>
      <c r="Z1760" t="s">
        <v>158</v>
      </c>
      <c r="AA1760" t="s">
        <v>169</v>
      </c>
      <c r="AB1760">
        <v>3.7</v>
      </c>
      <c r="AC1760">
        <v>80</v>
      </c>
      <c r="AD1760">
        <v>256.83</v>
      </c>
      <c r="AE1760">
        <f t="shared" si="54"/>
        <v>1361.17</v>
      </c>
      <c r="AF1760" t="str">
        <f t="shared" si="55"/>
        <v>2025-08</v>
      </c>
      <c r="AG1760">
        <f>SUBTOTAL(103,A1760)</f>
        <v>1</v>
      </c>
    </row>
    <row r="1761" spans="1:33" x14ac:dyDescent="0.3">
      <c r="A1761" t="s">
        <v>4379</v>
      </c>
      <c r="B1761" s="13">
        <v>45878</v>
      </c>
      <c r="C1761">
        <v>2025</v>
      </c>
      <c r="D1761">
        <v>8</v>
      </c>
      <c r="E1761" t="s">
        <v>4301</v>
      </c>
      <c r="F1761" t="s">
        <v>4047</v>
      </c>
      <c r="G1761" t="s">
        <v>1659</v>
      </c>
      <c r="H1761" t="s">
        <v>1660</v>
      </c>
      <c r="I1761" t="s">
        <v>85</v>
      </c>
      <c r="J1761">
        <v>54</v>
      </c>
      <c r="K1761" t="s">
        <v>83</v>
      </c>
      <c r="L1761" t="s">
        <v>99</v>
      </c>
      <c r="M1761" t="s">
        <v>58</v>
      </c>
      <c r="N1761" t="s">
        <v>2653</v>
      </c>
      <c r="O1761" t="s">
        <v>132</v>
      </c>
      <c r="P1761" t="s">
        <v>52</v>
      </c>
      <c r="Q1761" t="s">
        <v>150</v>
      </c>
      <c r="R1761">
        <v>3</v>
      </c>
      <c r="S1761">
        <v>899</v>
      </c>
      <c r="T1761">
        <v>0.05</v>
      </c>
      <c r="U1761">
        <v>2562.15</v>
      </c>
      <c r="V1761">
        <v>1260</v>
      </c>
      <c r="W1761">
        <v>1302.1500000000001</v>
      </c>
      <c r="X1761" t="s">
        <v>74</v>
      </c>
      <c r="Y1761" t="s">
        <v>68</v>
      </c>
      <c r="Z1761" t="s">
        <v>158</v>
      </c>
      <c r="AA1761" t="s">
        <v>169</v>
      </c>
      <c r="AB1761">
        <v>4.0999999999999996</v>
      </c>
      <c r="AC1761">
        <v>60</v>
      </c>
      <c r="AD1761">
        <v>156.29</v>
      </c>
      <c r="AE1761">
        <f t="shared" si="54"/>
        <v>1085.8600000000001</v>
      </c>
      <c r="AF1761" t="str">
        <f t="shared" si="55"/>
        <v>2025-08</v>
      </c>
      <c r="AG1761">
        <f>SUBTOTAL(103,A1761)</f>
        <v>1</v>
      </c>
    </row>
    <row r="1762" spans="1:33" x14ac:dyDescent="0.3">
      <c r="A1762" t="s">
        <v>4380</v>
      </c>
      <c r="B1762" s="13">
        <v>45878</v>
      </c>
      <c r="C1762">
        <v>2025</v>
      </c>
      <c r="D1762">
        <v>8</v>
      </c>
      <c r="E1762" t="s">
        <v>4301</v>
      </c>
      <c r="F1762" t="s">
        <v>4047</v>
      </c>
      <c r="G1762" t="s">
        <v>401</v>
      </c>
      <c r="H1762" t="s">
        <v>402</v>
      </c>
      <c r="I1762" t="s">
        <v>86</v>
      </c>
      <c r="J1762">
        <v>48</v>
      </c>
      <c r="K1762" t="s">
        <v>83</v>
      </c>
      <c r="L1762" t="s">
        <v>2579</v>
      </c>
      <c r="M1762" t="s">
        <v>56</v>
      </c>
      <c r="N1762" t="s">
        <v>2580</v>
      </c>
      <c r="O1762" t="s">
        <v>118</v>
      </c>
      <c r="P1762" t="s">
        <v>48</v>
      </c>
      <c r="Q1762" t="s">
        <v>142</v>
      </c>
      <c r="R1762">
        <v>2</v>
      </c>
      <c r="S1762">
        <v>3999</v>
      </c>
      <c r="T1762">
        <v>0.1</v>
      </c>
      <c r="U1762">
        <v>0</v>
      </c>
      <c r="V1762">
        <v>0</v>
      </c>
      <c r="W1762">
        <v>0</v>
      </c>
      <c r="X1762" t="s">
        <v>73</v>
      </c>
      <c r="Y1762" t="s">
        <v>71</v>
      </c>
      <c r="Z1762" t="s">
        <v>163</v>
      </c>
      <c r="AA1762" t="s">
        <v>169</v>
      </c>
      <c r="AB1762">
        <v>4.8</v>
      </c>
      <c r="AC1762">
        <v>60</v>
      </c>
      <c r="AD1762">
        <v>421.58</v>
      </c>
      <c r="AE1762">
        <f t="shared" si="54"/>
        <v>-481.58</v>
      </c>
      <c r="AF1762" t="str">
        <f t="shared" si="55"/>
        <v>2025-08</v>
      </c>
      <c r="AG1762">
        <f>SUBTOTAL(103,A1762)</f>
        <v>1</v>
      </c>
    </row>
    <row r="1763" spans="1:33" x14ac:dyDescent="0.3">
      <c r="A1763" t="s">
        <v>4381</v>
      </c>
      <c r="B1763" s="13">
        <v>45878</v>
      </c>
      <c r="C1763">
        <v>2025</v>
      </c>
      <c r="D1763">
        <v>8</v>
      </c>
      <c r="E1763" t="s">
        <v>4301</v>
      </c>
      <c r="F1763" t="s">
        <v>4047</v>
      </c>
      <c r="G1763" t="s">
        <v>1765</v>
      </c>
      <c r="H1763" t="s">
        <v>1766</v>
      </c>
      <c r="I1763" t="s">
        <v>86</v>
      </c>
      <c r="J1763">
        <v>56</v>
      </c>
      <c r="K1763" t="s">
        <v>83</v>
      </c>
      <c r="L1763" t="s">
        <v>2679</v>
      </c>
      <c r="M1763" t="s">
        <v>60</v>
      </c>
      <c r="N1763" t="s">
        <v>2582</v>
      </c>
      <c r="O1763" t="s">
        <v>119</v>
      </c>
      <c r="P1763" t="s">
        <v>49</v>
      </c>
      <c r="Q1763" t="s">
        <v>140</v>
      </c>
      <c r="R1763">
        <v>2</v>
      </c>
      <c r="S1763">
        <v>3499</v>
      </c>
      <c r="T1763">
        <v>0</v>
      </c>
      <c r="U1763">
        <v>6998</v>
      </c>
      <c r="V1763">
        <v>4200</v>
      </c>
      <c r="W1763">
        <v>2798</v>
      </c>
      <c r="X1763" t="s">
        <v>74</v>
      </c>
      <c r="Y1763" t="s">
        <v>68</v>
      </c>
      <c r="Z1763" t="s">
        <v>161</v>
      </c>
      <c r="AA1763" t="s">
        <v>166</v>
      </c>
      <c r="AB1763">
        <v>3</v>
      </c>
      <c r="AC1763">
        <v>50</v>
      </c>
      <c r="AD1763">
        <v>678.04</v>
      </c>
      <c r="AE1763">
        <f t="shared" si="54"/>
        <v>2069.96</v>
      </c>
      <c r="AF1763" t="str">
        <f t="shared" si="55"/>
        <v>2025-08</v>
      </c>
      <c r="AG1763">
        <f>SUBTOTAL(103,A1763)</f>
        <v>1</v>
      </c>
    </row>
    <row r="1764" spans="1:33" x14ac:dyDescent="0.3">
      <c r="A1764" t="s">
        <v>4382</v>
      </c>
      <c r="B1764" s="13">
        <v>45879</v>
      </c>
      <c r="C1764">
        <v>2025</v>
      </c>
      <c r="D1764">
        <v>8</v>
      </c>
      <c r="E1764" t="s">
        <v>4301</v>
      </c>
      <c r="F1764" t="s">
        <v>4047</v>
      </c>
      <c r="G1764" t="s">
        <v>1493</v>
      </c>
      <c r="H1764" t="s">
        <v>1494</v>
      </c>
      <c r="I1764" t="s">
        <v>86</v>
      </c>
      <c r="J1764">
        <v>34</v>
      </c>
      <c r="K1764" t="s">
        <v>81</v>
      </c>
      <c r="L1764" t="s">
        <v>2589</v>
      </c>
      <c r="M1764" t="s">
        <v>61</v>
      </c>
      <c r="N1764" t="s">
        <v>2653</v>
      </c>
      <c r="O1764" t="s">
        <v>132</v>
      </c>
      <c r="P1764" t="s">
        <v>52</v>
      </c>
      <c r="Q1764" t="s">
        <v>150</v>
      </c>
      <c r="R1764">
        <v>2</v>
      </c>
      <c r="S1764">
        <v>899</v>
      </c>
      <c r="T1764">
        <v>0.2</v>
      </c>
      <c r="U1764">
        <v>1438.4</v>
      </c>
      <c r="V1764">
        <v>840</v>
      </c>
      <c r="W1764">
        <v>598.4</v>
      </c>
      <c r="X1764" t="s">
        <v>73</v>
      </c>
      <c r="Y1764" t="s">
        <v>68</v>
      </c>
      <c r="Z1764" t="s">
        <v>158</v>
      </c>
      <c r="AA1764" t="s">
        <v>167</v>
      </c>
      <c r="AB1764">
        <v>5</v>
      </c>
      <c r="AC1764">
        <v>60</v>
      </c>
      <c r="AD1764">
        <v>29.73</v>
      </c>
      <c r="AE1764">
        <f t="shared" si="54"/>
        <v>508.66999999999996</v>
      </c>
      <c r="AF1764" t="str">
        <f t="shared" si="55"/>
        <v>2025-08</v>
      </c>
      <c r="AG1764">
        <f>SUBTOTAL(103,A1764)</f>
        <v>1</v>
      </c>
    </row>
    <row r="1765" spans="1:33" x14ac:dyDescent="0.3">
      <c r="A1765" t="s">
        <v>4383</v>
      </c>
      <c r="B1765" s="13">
        <v>45879</v>
      </c>
      <c r="C1765">
        <v>2025</v>
      </c>
      <c r="D1765">
        <v>8</v>
      </c>
      <c r="E1765" t="s">
        <v>4301</v>
      </c>
      <c r="F1765" t="s">
        <v>4047</v>
      </c>
      <c r="G1765" t="s">
        <v>847</v>
      </c>
      <c r="H1765" t="s">
        <v>848</v>
      </c>
      <c r="I1765" t="s">
        <v>85</v>
      </c>
      <c r="J1765">
        <v>41</v>
      </c>
      <c r="K1765" t="s">
        <v>82</v>
      </c>
      <c r="L1765" t="s">
        <v>91</v>
      </c>
      <c r="M1765" t="s">
        <v>55</v>
      </c>
      <c r="N1765" t="s">
        <v>2606</v>
      </c>
      <c r="O1765" t="s">
        <v>120</v>
      </c>
      <c r="P1765" t="s">
        <v>49</v>
      </c>
      <c r="Q1765" t="s">
        <v>140</v>
      </c>
      <c r="R1765">
        <v>2</v>
      </c>
      <c r="S1765">
        <v>2799</v>
      </c>
      <c r="T1765">
        <v>0.1</v>
      </c>
      <c r="U1765">
        <v>5038.2</v>
      </c>
      <c r="V1765">
        <v>3300</v>
      </c>
      <c r="W1765">
        <v>1738.2</v>
      </c>
      <c r="X1765" t="s">
        <v>76</v>
      </c>
      <c r="Y1765" t="s">
        <v>68</v>
      </c>
      <c r="Z1765" t="s">
        <v>160</v>
      </c>
      <c r="AA1765" t="s">
        <v>169</v>
      </c>
      <c r="AB1765">
        <v>4.3</v>
      </c>
      <c r="AC1765">
        <v>80</v>
      </c>
      <c r="AD1765">
        <v>366.81</v>
      </c>
      <c r="AE1765">
        <f t="shared" si="54"/>
        <v>1291.3900000000001</v>
      </c>
      <c r="AF1765" t="str">
        <f t="shared" si="55"/>
        <v>2025-08</v>
      </c>
      <c r="AG1765">
        <f>SUBTOTAL(103,A1765)</f>
        <v>1</v>
      </c>
    </row>
    <row r="1766" spans="1:33" x14ac:dyDescent="0.3">
      <c r="A1766" t="s">
        <v>4384</v>
      </c>
      <c r="B1766" s="13">
        <v>45879</v>
      </c>
      <c r="C1766">
        <v>2025</v>
      </c>
      <c r="D1766">
        <v>8</v>
      </c>
      <c r="E1766" t="s">
        <v>4301</v>
      </c>
      <c r="F1766" t="s">
        <v>4047</v>
      </c>
      <c r="G1766" t="s">
        <v>1039</v>
      </c>
      <c r="H1766" t="s">
        <v>1040</v>
      </c>
      <c r="I1766" t="s">
        <v>85</v>
      </c>
      <c r="J1766">
        <v>37</v>
      </c>
      <c r="K1766" t="s">
        <v>82</v>
      </c>
      <c r="L1766" t="s">
        <v>99</v>
      </c>
      <c r="M1766" t="s">
        <v>58</v>
      </c>
      <c r="N1766" t="s">
        <v>2584</v>
      </c>
      <c r="O1766" t="s">
        <v>121</v>
      </c>
      <c r="P1766" t="s">
        <v>50</v>
      </c>
      <c r="Q1766" t="s">
        <v>144</v>
      </c>
      <c r="R1766">
        <v>3</v>
      </c>
      <c r="S1766">
        <v>2999</v>
      </c>
      <c r="T1766">
        <v>0</v>
      </c>
      <c r="U1766">
        <v>8997</v>
      </c>
      <c r="V1766">
        <v>5100</v>
      </c>
      <c r="W1766">
        <v>3897</v>
      </c>
      <c r="X1766" t="s">
        <v>75</v>
      </c>
      <c r="Y1766" t="s">
        <v>68</v>
      </c>
      <c r="Z1766" t="s">
        <v>160</v>
      </c>
      <c r="AA1766" t="s">
        <v>167</v>
      </c>
      <c r="AB1766">
        <v>4.5999999999999996</v>
      </c>
      <c r="AC1766">
        <v>60</v>
      </c>
      <c r="AD1766">
        <v>551.65</v>
      </c>
      <c r="AE1766">
        <f t="shared" si="54"/>
        <v>3285.35</v>
      </c>
      <c r="AF1766" t="str">
        <f t="shared" si="55"/>
        <v>2025-08</v>
      </c>
      <c r="AG1766">
        <f>SUBTOTAL(103,A1766)</f>
        <v>1</v>
      </c>
    </row>
    <row r="1767" spans="1:33" x14ac:dyDescent="0.3">
      <c r="A1767" t="s">
        <v>4385</v>
      </c>
      <c r="B1767" s="13">
        <v>45879</v>
      </c>
      <c r="C1767">
        <v>2025</v>
      </c>
      <c r="D1767">
        <v>8</v>
      </c>
      <c r="E1767" t="s">
        <v>4301</v>
      </c>
      <c r="F1767" t="s">
        <v>4047</v>
      </c>
      <c r="G1767" t="s">
        <v>517</v>
      </c>
      <c r="H1767" t="s">
        <v>518</v>
      </c>
      <c r="I1767" t="s">
        <v>85</v>
      </c>
      <c r="J1767">
        <v>27</v>
      </c>
      <c r="K1767" t="s">
        <v>81</v>
      </c>
      <c r="L1767" t="s">
        <v>96</v>
      </c>
      <c r="M1767" t="s">
        <v>55</v>
      </c>
      <c r="N1767" t="s">
        <v>2606</v>
      </c>
      <c r="O1767" t="s">
        <v>120</v>
      </c>
      <c r="P1767" t="s">
        <v>49</v>
      </c>
      <c r="Q1767" t="s">
        <v>140</v>
      </c>
      <c r="R1767">
        <v>1</v>
      </c>
      <c r="S1767">
        <v>2799</v>
      </c>
      <c r="T1767">
        <v>0.15</v>
      </c>
      <c r="U1767">
        <v>2379.15</v>
      </c>
      <c r="V1767">
        <v>1650</v>
      </c>
      <c r="W1767">
        <v>729.15</v>
      </c>
      <c r="X1767" t="s">
        <v>73</v>
      </c>
      <c r="Y1767" t="s">
        <v>68</v>
      </c>
      <c r="Z1767" t="s">
        <v>160</v>
      </c>
      <c r="AA1767" t="s">
        <v>166</v>
      </c>
      <c r="AB1767">
        <v>4</v>
      </c>
      <c r="AC1767">
        <v>60</v>
      </c>
      <c r="AD1767">
        <v>258.32</v>
      </c>
      <c r="AE1767">
        <f t="shared" si="54"/>
        <v>410.83</v>
      </c>
      <c r="AF1767" t="str">
        <f t="shared" si="55"/>
        <v>2025-08</v>
      </c>
      <c r="AG1767">
        <f>SUBTOTAL(103,A1767)</f>
        <v>1</v>
      </c>
    </row>
    <row r="1768" spans="1:33" x14ac:dyDescent="0.3">
      <c r="A1768" t="s">
        <v>4386</v>
      </c>
      <c r="B1768" s="13">
        <v>45879</v>
      </c>
      <c r="C1768">
        <v>2025</v>
      </c>
      <c r="D1768">
        <v>8</v>
      </c>
      <c r="E1768" t="s">
        <v>4301</v>
      </c>
      <c r="F1768" t="s">
        <v>4047</v>
      </c>
      <c r="G1768" t="s">
        <v>1501</v>
      </c>
      <c r="H1768" t="s">
        <v>1502</v>
      </c>
      <c r="I1768" t="s">
        <v>85</v>
      </c>
      <c r="J1768">
        <v>39</v>
      </c>
      <c r="K1768" t="s">
        <v>82</v>
      </c>
      <c r="L1768" t="s">
        <v>92</v>
      </c>
      <c r="M1768" t="s">
        <v>59</v>
      </c>
      <c r="N1768" t="s">
        <v>2630</v>
      </c>
      <c r="O1768" t="s">
        <v>123</v>
      </c>
      <c r="P1768" t="s">
        <v>52</v>
      </c>
      <c r="Q1768" t="s">
        <v>146</v>
      </c>
      <c r="R1768">
        <v>2</v>
      </c>
      <c r="S1768">
        <v>2499</v>
      </c>
      <c r="T1768">
        <v>0.1</v>
      </c>
      <c r="U1768">
        <v>4498.2</v>
      </c>
      <c r="V1768">
        <v>2800</v>
      </c>
      <c r="W1768">
        <v>1698.2</v>
      </c>
      <c r="X1768" t="s">
        <v>76</v>
      </c>
      <c r="Y1768" t="s">
        <v>68</v>
      </c>
      <c r="Z1768" t="s">
        <v>163</v>
      </c>
      <c r="AA1768" t="s">
        <v>171</v>
      </c>
      <c r="AB1768">
        <v>4.9000000000000004</v>
      </c>
      <c r="AC1768">
        <v>80</v>
      </c>
      <c r="AD1768">
        <v>230.39</v>
      </c>
      <c r="AE1768">
        <f t="shared" si="54"/>
        <v>1387.81</v>
      </c>
      <c r="AF1768" t="str">
        <f t="shared" si="55"/>
        <v>2025-08</v>
      </c>
      <c r="AG1768">
        <f>SUBTOTAL(103,A1768)</f>
        <v>1</v>
      </c>
    </row>
    <row r="1769" spans="1:33" x14ac:dyDescent="0.3">
      <c r="A1769" t="s">
        <v>4387</v>
      </c>
      <c r="B1769" s="13">
        <v>45879</v>
      </c>
      <c r="C1769">
        <v>2025</v>
      </c>
      <c r="D1769">
        <v>8</v>
      </c>
      <c r="E1769" t="s">
        <v>4301</v>
      </c>
      <c r="F1769" t="s">
        <v>4047</v>
      </c>
      <c r="G1769" t="s">
        <v>619</v>
      </c>
      <c r="H1769" t="s">
        <v>620</v>
      </c>
      <c r="I1769" t="s">
        <v>85</v>
      </c>
      <c r="J1769">
        <v>32</v>
      </c>
      <c r="K1769" t="s">
        <v>81</v>
      </c>
      <c r="L1769" t="s">
        <v>90</v>
      </c>
      <c r="M1769" t="s">
        <v>55</v>
      </c>
      <c r="N1769" t="s">
        <v>2603</v>
      </c>
      <c r="O1769" t="s">
        <v>122</v>
      </c>
      <c r="P1769" t="s">
        <v>48</v>
      </c>
      <c r="Q1769" t="s">
        <v>141</v>
      </c>
      <c r="R1769">
        <v>1</v>
      </c>
      <c r="S1769">
        <v>2499</v>
      </c>
      <c r="T1769">
        <v>0.1</v>
      </c>
      <c r="U1769">
        <v>2249.1</v>
      </c>
      <c r="V1769">
        <v>1450</v>
      </c>
      <c r="W1769">
        <v>799.1</v>
      </c>
      <c r="X1769" t="s">
        <v>73</v>
      </c>
      <c r="Y1769" t="s">
        <v>68</v>
      </c>
      <c r="Z1769" t="s">
        <v>163</v>
      </c>
      <c r="AA1769" t="s">
        <v>170</v>
      </c>
      <c r="AB1769">
        <v>4.5999999999999996</v>
      </c>
      <c r="AC1769">
        <v>50</v>
      </c>
      <c r="AD1769">
        <v>72.73</v>
      </c>
      <c r="AE1769">
        <f t="shared" si="54"/>
        <v>676.37</v>
      </c>
      <c r="AF1769" t="str">
        <f t="shared" si="55"/>
        <v>2025-08</v>
      </c>
      <c r="AG1769">
        <f>SUBTOTAL(103,A1769)</f>
        <v>1</v>
      </c>
    </row>
    <row r="1770" spans="1:33" x14ac:dyDescent="0.3">
      <c r="A1770" t="s">
        <v>4388</v>
      </c>
      <c r="B1770" s="13">
        <v>45879</v>
      </c>
      <c r="C1770">
        <v>2025</v>
      </c>
      <c r="D1770">
        <v>8</v>
      </c>
      <c r="E1770" t="s">
        <v>4301</v>
      </c>
      <c r="F1770" t="s">
        <v>4047</v>
      </c>
      <c r="G1770" t="s">
        <v>993</v>
      </c>
      <c r="H1770" t="s">
        <v>994</v>
      </c>
      <c r="I1770" t="s">
        <v>86</v>
      </c>
      <c r="J1770">
        <v>25</v>
      </c>
      <c r="K1770" t="s">
        <v>80</v>
      </c>
      <c r="L1770" t="s">
        <v>91</v>
      </c>
      <c r="M1770" t="s">
        <v>55</v>
      </c>
      <c r="N1770" t="s">
        <v>2644</v>
      </c>
      <c r="O1770" t="s">
        <v>126</v>
      </c>
      <c r="P1770" t="s">
        <v>50</v>
      </c>
      <c r="Q1770" t="s">
        <v>145</v>
      </c>
      <c r="R1770">
        <v>2</v>
      </c>
      <c r="S1770">
        <v>1799</v>
      </c>
      <c r="T1770">
        <v>0</v>
      </c>
      <c r="U1770">
        <v>3598</v>
      </c>
      <c r="V1770">
        <v>1900</v>
      </c>
      <c r="W1770">
        <v>1698</v>
      </c>
      <c r="X1770" t="s">
        <v>73</v>
      </c>
      <c r="Y1770" t="s">
        <v>68</v>
      </c>
      <c r="Z1770" t="s">
        <v>160</v>
      </c>
      <c r="AA1770" t="s">
        <v>167</v>
      </c>
      <c r="AB1770">
        <v>3.4</v>
      </c>
      <c r="AC1770">
        <v>80</v>
      </c>
      <c r="AD1770">
        <v>91.7</v>
      </c>
      <c r="AE1770">
        <f t="shared" si="54"/>
        <v>1526.3</v>
      </c>
      <c r="AF1770" t="str">
        <f t="shared" si="55"/>
        <v>2025-08</v>
      </c>
      <c r="AG1770">
        <f>SUBTOTAL(103,A1770)</f>
        <v>1</v>
      </c>
    </row>
    <row r="1771" spans="1:33" x14ac:dyDescent="0.3">
      <c r="A1771" t="s">
        <v>4389</v>
      </c>
      <c r="B1771" s="13">
        <v>45880</v>
      </c>
      <c r="C1771">
        <v>2025</v>
      </c>
      <c r="D1771">
        <v>8</v>
      </c>
      <c r="E1771" t="s">
        <v>4301</v>
      </c>
      <c r="F1771" t="s">
        <v>4047</v>
      </c>
      <c r="G1771" t="s">
        <v>547</v>
      </c>
      <c r="H1771" t="s">
        <v>548</v>
      </c>
      <c r="I1771" t="s">
        <v>85</v>
      </c>
      <c r="J1771">
        <v>34</v>
      </c>
      <c r="K1771" t="s">
        <v>81</v>
      </c>
      <c r="L1771" t="s">
        <v>91</v>
      </c>
      <c r="M1771" t="s">
        <v>55</v>
      </c>
      <c r="N1771" t="s">
        <v>2647</v>
      </c>
      <c r="O1771" t="s">
        <v>133</v>
      </c>
      <c r="P1771" t="s">
        <v>50</v>
      </c>
      <c r="Q1771" t="s">
        <v>145</v>
      </c>
      <c r="R1771">
        <v>1</v>
      </c>
      <c r="S1771">
        <v>799</v>
      </c>
      <c r="T1771">
        <v>0.1</v>
      </c>
      <c r="U1771">
        <v>719.1</v>
      </c>
      <c r="V1771">
        <v>390</v>
      </c>
      <c r="W1771">
        <v>329.1</v>
      </c>
      <c r="X1771" t="s">
        <v>75</v>
      </c>
      <c r="Y1771" t="s">
        <v>68</v>
      </c>
      <c r="Z1771" t="s">
        <v>162</v>
      </c>
      <c r="AA1771" t="s">
        <v>171</v>
      </c>
      <c r="AB1771">
        <v>3.5</v>
      </c>
      <c r="AC1771">
        <v>60</v>
      </c>
      <c r="AD1771">
        <v>27.64</v>
      </c>
      <c r="AE1771">
        <f t="shared" si="54"/>
        <v>241.46000000000004</v>
      </c>
      <c r="AF1771" t="str">
        <f t="shared" si="55"/>
        <v>2025-08</v>
      </c>
      <c r="AG1771">
        <f>SUBTOTAL(103,A1771)</f>
        <v>1</v>
      </c>
    </row>
    <row r="1772" spans="1:33" x14ac:dyDescent="0.3">
      <c r="A1772" t="s">
        <v>4390</v>
      </c>
      <c r="B1772" s="13">
        <v>45880</v>
      </c>
      <c r="C1772">
        <v>2025</v>
      </c>
      <c r="D1772">
        <v>8</v>
      </c>
      <c r="E1772" t="s">
        <v>4301</v>
      </c>
      <c r="F1772" t="s">
        <v>4047</v>
      </c>
      <c r="G1772" t="s">
        <v>2071</v>
      </c>
      <c r="H1772" t="s">
        <v>2072</v>
      </c>
      <c r="I1772" t="s">
        <v>85</v>
      </c>
      <c r="J1772">
        <v>22</v>
      </c>
      <c r="K1772" t="s">
        <v>80</v>
      </c>
      <c r="L1772" t="s">
        <v>59</v>
      </c>
      <c r="M1772" t="s">
        <v>59</v>
      </c>
      <c r="N1772" t="s">
        <v>2644</v>
      </c>
      <c r="O1772" t="s">
        <v>126</v>
      </c>
      <c r="P1772" t="s">
        <v>50</v>
      </c>
      <c r="Q1772" t="s">
        <v>145</v>
      </c>
      <c r="R1772">
        <v>1</v>
      </c>
      <c r="S1772">
        <v>1799</v>
      </c>
      <c r="T1772">
        <v>0.15</v>
      </c>
      <c r="U1772">
        <v>1529.15</v>
      </c>
      <c r="V1772">
        <v>950</v>
      </c>
      <c r="W1772">
        <v>579.15</v>
      </c>
      <c r="X1772" t="s">
        <v>74</v>
      </c>
      <c r="Y1772" t="s">
        <v>68</v>
      </c>
      <c r="Z1772" t="s">
        <v>158</v>
      </c>
      <c r="AA1772" t="s">
        <v>171</v>
      </c>
      <c r="AB1772">
        <v>3.1</v>
      </c>
      <c r="AC1772">
        <v>40</v>
      </c>
      <c r="AD1772">
        <v>78.099999999999994</v>
      </c>
      <c r="AE1772">
        <f t="shared" si="54"/>
        <v>461.04999999999995</v>
      </c>
      <c r="AF1772" t="str">
        <f t="shared" si="55"/>
        <v>2025-08</v>
      </c>
      <c r="AG1772">
        <f>SUBTOTAL(103,A1772)</f>
        <v>1</v>
      </c>
    </row>
    <row r="1773" spans="1:33" x14ac:dyDescent="0.3">
      <c r="A1773" t="s">
        <v>4391</v>
      </c>
      <c r="B1773" s="13">
        <v>45880</v>
      </c>
      <c r="C1773">
        <v>2025</v>
      </c>
      <c r="D1773">
        <v>8</v>
      </c>
      <c r="E1773" t="s">
        <v>4301</v>
      </c>
      <c r="F1773" t="s">
        <v>4047</v>
      </c>
      <c r="G1773" t="s">
        <v>1213</v>
      </c>
      <c r="H1773" t="s">
        <v>1214</v>
      </c>
      <c r="I1773" t="s">
        <v>86</v>
      </c>
      <c r="J1773">
        <v>25</v>
      </c>
      <c r="K1773" t="s">
        <v>80</v>
      </c>
      <c r="L1773" t="s">
        <v>92</v>
      </c>
      <c r="M1773" t="s">
        <v>59</v>
      </c>
      <c r="N1773" t="s">
        <v>2574</v>
      </c>
      <c r="O1773" t="s">
        <v>130</v>
      </c>
      <c r="P1773" t="s">
        <v>50</v>
      </c>
      <c r="Q1773" t="s">
        <v>53</v>
      </c>
      <c r="R1773">
        <v>2</v>
      </c>
      <c r="S1773">
        <v>1199</v>
      </c>
      <c r="T1773">
        <v>0</v>
      </c>
      <c r="U1773">
        <v>0</v>
      </c>
      <c r="V1773">
        <v>0</v>
      </c>
      <c r="W1773">
        <v>0</v>
      </c>
      <c r="X1773" t="s">
        <v>74</v>
      </c>
      <c r="Y1773" t="s">
        <v>71</v>
      </c>
      <c r="Z1773" t="s">
        <v>158</v>
      </c>
      <c r="AA1773" t="s">
        <v>166</v>
      </c>
      <c r="AB1773">
        <v>4.0999999999999996</v>
      </c>
      <c r="AC1773">
        <v>100</v>
      </c>
      <c r="AD1773">
        <v>125.61</v>
      </c>
      <c r="AE1773">
        <f t="shared" si="54"/>
        <v>-225.61</v>
      </c>
      <c r="AF1773" t="str">
        <f t="shared" si="55"/>
        <v>2025-08</v>
      </c>
      <c r="AG1773">
        <f>SUBTOTAL(103,A1773)</f>
        <v>1</v>
      </c>
    </row>
    <row r="1774" spans="1:33" x14ac:dyDescent="0.3">
      <c r="A1774" t="s">
        <v>4392</v>
      </c>
      <c r="B1774" s="13">
        <v>45880</v>
      </c>
      <c r="C1774">
        <v>2025</v>
      </c>
      <c r="D1774">
        <v>8</v>
      </c>
      <c r="E1774" t="s">
        <v>4301</v>
      </c>
      <c r="F1774" t="s">
        <v>4047</v>
      </c>
      <c r="G1774" t="s">
        <v>187</v>
      </c>
      <c r="H1774" t="s">
        <v>188</v>
      </c>
      <c r="I1774" t="s">
        <v>85</v>
      </c>
      <c r="J1774">
        <v>30</v>
      </c>
      <c r="K1774" t="s">
        <v>81</v>
      </c>
      <c r="L1774" t="s">
        <v>95</v>
      </c>
      <c r="M1774" t="s">
        <v>56</v>
      </c>
      <c r="N1774" t="s">
        <v>2657</v>
      </c>
      <c r="O1774" t="s">
        <v>134</v>
      </c>
      <c r="P1774" t="s">
        <v>49</v>
      </c>
      <c r="Q1774" t="s">
        <v>140</v>
      </c>
      <c r="R1774">
        <v>5</v>
      </c>
      <c r="S1774">
        <v>599</v>
      </c>
      <c r="T1774">
        <v>0</v>
      </c>
      <c r="U1774">
        <v>2995</v>
      </c>
      <c r="V1774">
        <v>1250</v>
      </c>
      <c r="W1774">
        <v>1745</v>
      </c>
      <c r="X1774" t="s">
        <v>75</v>
      </c>
      <c r="Y1774" t="s">
        <v>68</v>
      </c>
      <c r="Z1774" t="s">
        <v>161</v>
      </c>
      <c r="AA1774" t="s">
        <v>168</v>
      </c>
      <c r="AB1774">
        <v>4.7</v>
      </c>
      <c r="AC1774">
        <v>60</v>
      </c>
      <c r="AD1774">
        <v>86.8</v>
      </c>
      <c r="AE1774">
        <f t="shared" si="54"/>
        <v>1598.2</v>
      </c>
      <c r="AF1774" t="str">
        <f t="shared" si="55"/>
        <v>2025-08</v>
      </c>
      <c r="AG1774">
        <f>SUBTOTAL(103,A1774)</f>
        <v>1</v>
      </c>
    </row>
    <row r="1775" spans="1:33" x14ac:dyDescent="0.3">
      <c r="A1775" t="s">
        <v>4393</v>
      </c>
      <c r="B1775" s="13">
        <v>45881</v>
      </c>
      <c r="C1775">
        <v>2025</v>
      </c>
      <c r="D1775">
        <v>8</v>
      </c>
      <c r="E1775" t="s">
        <v>4301</v>
      </c>
      <c r="F1775" t="s">
        <v>4047</v>
      </c>
      <c r="G1775" t="s">
        <v>1157</v>
      </c>
      <c r="H1775" t="s">
        <v>1158</v>
      </c>
      <c r="I1775" t="s">
        <v>85</v>
      </c>
      <c r="J1775">
        <v>60</v>
      </c>
      <c r="K1775" t="s">
        <v>83</v>
      </c>
      <c r="L1775" t="s">
        <v>2674</v>
      </c>
      <c r="M1775" t="s">
        <v>58</v>
      </c>
      <c r="N1775" t="s">
        <v>2580</v>
      </c>
      <c r="O1775" t="s">
        <v>118</v>
      </c>
      <c r="P1775" t="s">
        <v>48</v>
      </c>
      <c r="Q1775" t="s">
        <v>142</v>
      </c>
      <c r="R1775">
        <v>1</v>
      </c>
      <c r="S1775">
        <v>3999</v>
      </c>
      <c r="T1775">
        <v>0.05</v>
      </c>
      <c r="U1775">
        <v>3799.05</v>
      </c>
      <c r="V1775">
        <v>2400</v>
      </c>
      <c r="W1775">
        <v>1399.05</v>
      </c>
      <c r="X1775" t="s">
        <v>73</v>
      </c>
      <c r="Y1775" t="s">
        <v>68</v>
      </c>
      <c r="Z1775" t="s">
        <v>158</v>
      </c>
      <c r="AA1775" t="s">
        <v>168</v>
      </c>
      <c r="AB1775">
        <v>5</v>
      </c>
      <c r="AC1775">
        <v>80</v>
      </c>
      <c r="AD1775">
        <v>186.99</v>
      </c>
      <c r="AE1775">
        <f t="shared" si="54"/>
        <v>1132.06</v>
      </c>
      <c r="AF1775" t="str">
        <f t="shared" si="55"/>
        <v>2025-08</v>
      </c>
      <c r="AG1775">
        <f>SUBTOTAL(103,A1775)</f>
        <v>1</v>
      </c>
    </row>
    <row r="1776" spans="1:33" x14ac:dyDescent="0.3">
      <c r="A1776" t="s">
        <v>4394</v>
      </c>
      <c r="B1776" s="13">
        <v>45881</v>
      </c>
      <c r="C1776">
        <v>2025</v>
      </c>
      <c r="D1776">
        <v>8</v>
      </c>
      <c r="E1776" t="s">
        <v>4301</v>
      </c>
      <c r="F1776" t="s">
        <v>4047</v>
      </c>
      <c r="G1776" t="s">
        <v>1059</v>
      </c>
      <c r="H1776" t="s">
        <v>1060</v>
      </c>
      <c r="I1776" t="s">
        <v>85</v>
      </c>
      <c r="J1776">
        <v>31</v>
      </c>
      <c r="K1776" t="s">
        <v>81</v>
      </c>
      <c r="L1776" t="s">
        <v>98</v>
      </c>
      <c r="M1776" t="s">
        <v>55</v>
      </c>
      <c r="N1776" t="s">
        <v>2577</v>
      </c>
      <c r="O1776" t="s">
        <v>129</v>
      </c>
      <c r="P1776" t="s">
        <v>49</v>
      </c>
      <c r="Q1776" t="s">
        <v>149</v>
      </c>
      <c r="R1776">
        <v>3</v>
      </c>
      <c r="S1776">
        <v>1299</v>
      </c>
      <c r="T1776">
        <v>0.1</v>
      </c>
      <c r="U1776">
        <v>3507.3</v>
      </c>
      <c r="V1776">
        <v>1950</v>
      </c>
      <c r="W1776">
        <v>1557.3</v>
      </c>
      <c r="X1776" t="s">
        <v>73</v>
      </c>
      <c r="Y1776" t="s">
        <v>68</v>
      </c>
      <c r="Z1776" t="s">
        <v>163</v>
      </c>
      <c r="AA1776" t="s">
        <v>166</v>
      </c>
      <c r="AB1776">
        <v>3.4</v>
      </c>
      <c r="AC1776">
        <v>80</v>
      </c>
      <c r="AD1776">
        <v>159.94999999999999</v>
      </c>
      <c r="AE1776">
        <f t="shared" si="54"/>
        <v>1317.35</v>
      </c>
      <c r="AF1776" t="str">
        <f t="shared" si="55"/>
        <v>2025-08</v>
      </c>
      <c r="AG1776">
        <f>SUBTOTAL(103,A1776)</f>
        <v>1</v>
      </c>
    </row>
    <row r="1777" spans="1:33" x14ac:dyDescent="0.3">
      <c r="A1777" t="s">
        <v>4395</v>
      </c>
      <c r="B1777" s="13">
        <v>45881</v>
      </c>
      <c r="C1777">
        <v>2025</v>
      </c>
      <c r="D1777">
        <v>8</v>
      </c>
      <c r="E1777" t="s">
        <v>4301</v>
      </c>
      <c r="F1777" t="s">
        <v>4047</v>
      </c>
      <c r="G1777" t="s">
        <v>1381</v>
      </c>
      <c r="H1777" t="s">
        <v>1382</v>
      </c>
      <c r="I1777" t="s">
        <v>85</v>
      </c>
      <c r="J1777">
        <v>25</v>
      </c>
      <c r="K1777" t="s">
        <v>80</v>
      </c>
      <c r="L1777" t="s">
        <v>92</v>
      </c>
      <c r="M1777" t="s">
        <v>59</v>
      </c>
      <c r="N1777" t="s">
        <v>2657</v>
      </c>
      <c r="O1777" t="s">
        <v>134</v>
      </c>
      <c r="P1777" t="s">
        <v>49</v>
      </c>
      <c r="Q1777" t="s">
        <v>140</v>
      </c>
      <c r="R1777">
        <v>3</v>
      </c>
      <c r="S1777">
        <v>599</v>
      </c>
      <c r="T1777">
        <v>0</v>
      </c>
      <c r="U1777">
        <v>1797</v>
      </c>
      <c r="V1777">
        <v>750</v>
      </c>
      <c r="W1777">
        <v>1047</v>
      </c>
      <c r="X1777" t="s">
        <v>77</v>
      </c>
      <c r="Y1777" t="s">
        <v>68</v>
      </c>
      <c r="Z1777" t="s">
        <v>163</v>
      </c>
      <c r="AA1777" t="s">
        <v>166</v>
      </c>
      <c r="AB1777">
        <v>3.8</v>
      </c>
      <c r="AC1777">
        <v>60</v>
      </c>
      <c r="AD1777">
        <v>101.5</v>
      </c>
      <c r="AE1777">
        <f t="shared" si="54"/>
        <v>885.5</v>
      </c>
      <c r="AF1777" t="str">
        <f t="shared" si="55"/>
        <v>2025-08</v>
      </c>
      <c r="AG1777">
        <f>SUBTOTAL(103,A1777)</f>
        <v>1</v>
      </c>
    </row>
    <row r="1778" spans="1:33" x14ac:dyDescent="0.3">
      <c r="A1778" t="s">
        <v>4396</v>
      </c>
      <c r="B1778" s="13">
        <v>45881</v>
      </c>
      <c r="C1778">
        <v>2025</v>
      </c>
      <c r="D1778">
        <v>8</v>
      </c>
      <c r="E1778" t="s">
        <v>4301</v>
      </c>
      <c r="F1778" t="s">
        <v>4047</v>
      </c>
      <c r="G1778" t="s">
        <v>1503</v>
      </c>
      <c r="H1778" t="s">
        <v>1504</v>
      </c>
      <c r="I1778" t="s">
        <v>86</v>
      </c>
      <c r="J1778">
        <v>34</v>
      </c>
      <c r="K1778" t="s">
        <v>81</v>
      </c>
      <c r="L1778" t="s">
        <v>2576</v>
      </c>
      <c r="M1778" t="s">
        <v>60</v>
      </c>
      <c r="N1778" t="s">
        <v>2665</v>
      </c>
      <c r="O1778" t="s">
        <v>128</v>
      </c>
      <c r="P1778" t="s">
        <v>53</v>
      </c>
      <c r="Q1778" t="s">
        <v>143</v>
      </c>
      <c r="R1778">
        <v>1</v>
      </c>
      <c r="S1778">
        <v>1499</v>
      </c>
      <c r="T1778">
        <v>0</v>
      </c>
      <c r="U1778">
        <v>1499</v>
      </c>
      <c r="V1778">
        <v>800</v>
      </c>
      <c r="W1778">
        <v>699</v>
      </c>
      <c r="X1778" t="s">
        <v>73</v>
      </c>
      <c r="Y1778" t="s">
        <v>68</v>
      </c>
      <c r="Z1778" t="s">
        <v>159</v>
      </c>
      <c r="AA1778" t="s">
        <v>166</v>
      </c>
      <c r="AB1778">
        <v>5</v>
      </c>
      <c r="AC1778">
        <v>100</v>
      </c>
      <c r="AD1778">
        <v>121.45</v>
      </c>
      <c r="AE1778">
        <f t="shared" si="54"/>
        <v>477.55</v>
      </c>
      <c r="AF1778" t="str">
        <f t="shared" si="55"/>
        <v>2025-08</v>
      </c>
      <c r="AG1778">
        <f>SUBTOTAL(103,A1778)</f>
        <v>1</v>
      </c>
    </row>
    <row r="1779" spans="1:33" x14ac:dyDescent="0.3">
      <c r="A1779" t="s">
        <v>4397</v>
      </c>
      <c r="B1779" s="13">
        <v>45881</v>
      </c>
      <c r="C1779">
        <v>2025</v>
      </c>
      <c r="D1779">
        <v>8</v>
      </c>
      <c r="E1779" t="s">
        <v>4301</v>
      </c>
      <c r="F1779" t="s">
        <v>4047</v>
      </c>
      <c r="G1779" t="s">
        <v>1051</v>
      </c>
      <c r="H1779" t="s">
        <v>1052</v>
      </c>
      <c r="I1779" t="s">
        <v>85</v>
      </c>
      <c r="J1779">
        <v>25</v>
      </c>
      <c r="K1779" t="s">
        <v>80</v>
      </c>
      <c r="L1779" t="s">
        <v>2579</v>
      </c>
      <c r="M1779" t="s">
        <v>56</v>
      </c>
      <c r="N1779" t="s">
        <v>2594</v>
      </c>
      <c r="O1779" t="s">
        <v>131</v>
      </c>
      <c r="P1779" t="s">
        <v>53</v>
      </c>
      <c r="Q1779" t="s">
        <v>143</v>
      </c>
      <c r="R1779">
        <v>3</v>
      </c>
      <c r="S1779">
        <v>999</v>
      </c>
      <c r="T1779">
        <v>0.1</v>
      </c>
      <c r="U1779">
        <v>2697.3</v>
      </c>
      <c r="V1779">
        <v>1560</v>
      </c>
      <c r="W1779">
        <v>1137.3</v>
      </c>
      <c r="X1779" t="s">
        <v>76</v>
      </c>
      <c r="Y1779" t="s">
        <v>68</v>
      </c>
      <c r="Z1779" t="s">
        <v>160</v>
      </c>
      <c r="AA1779" t="s">
        <v>166</v>
      </c>
      <c r="AB1779">
        <v>3.9</v>
      </c>
      <c r="AC1779">
        <v>60</v>
      </c>
      <c r="AD1779">
        <v>116.78</v>
      </c>
      <c r="AE1779">
        <f t="shared" si="54"/>
        <v>960.52</v>
      </c>
      <c r="AF1779" t="str">
        <f t="shared" si="55"/>
        <v>2025-08</v>
      </c>
      <c r="AG1779">
        <f>SUBTOTAL(103,A1779)</f>
        <v>1</v>
      </c>
    </row>
    <row r="1780" spans="1:33" x14ac:dyDescent="0.3">
      <c r="A1780" t="s">
        <v>4398</v>
      </c>
      <c r="B1780" s="13">
        <v>45882</v>
      </c>
      <c r="C1780">
        <v>2025</v>
      </c>
      <c r="D1780">
        <v>8</v>
      </c>
      <c r="E1780" t="s">
        <v>4301</v>
      </c>
      <c r="F1780" t="s">
        <v>4047</v>
      </c>
      <c r="G1780" t="s">
        <v>2197</v>
      </c>
      <c r="H1780" t="s">
        <v>2198</v>
      </c>
      <c r="I1780" t="s">
        <v>86</v>
      </c>
      <c r="J1780">
        <v>46</v>
      </c>
      <c r="K1780" t="s">
        <v>83</v>
      </c>
      <c r="L1780" t="s">
        <v>2573</v>
      </c>
      <c r="M1780" t="s">
        <v>63</v>
      </c>
      <c r="N1780" t="s">
        <v>2577</v>
      </c>
      <c r="O1780" t="s">
        <v>129</v>
      </c>
      <c r="P1780" t="s">
        <v>49</v>
      </c>
      <c r="Q1780" t="s">
        <v>149</v>
      </c>
      <c r="R1780">
        <v>1</v>
      </c>
      <c r="S1780">
        <v>1299</v>
      </c>
      <c r="T1780">
        <v>0</v>
      </c>
      <c r="U1780">
        <v>1299</v>
      </c>
      <c r="V1780">
        <v>650</v>
      </c>
      <c r="W1780">
        <v>649</v>
      </c>
      <c r="X1780" t="s">
        <v>76</v>
      </c>
      <c r="Y1780" t="s">
        <v>68</v>
      </c>
      <c r="Z1780" t="s">
        <v>161</v>
      </c>
      <c r="AA1780" t="s">
        <v>167</v>
      </c>
      <c r="AB1780">
        <v>3.9</v>
      </c>
      <c r="AC1780">
        <v>60</v>
      </c>
      <c r="AD1780">
        <v>131.05000000000001</v>
      </c>
      <c r="AE1780">
        <f t="shared" si="54"/>
        <v>457.95</v>
      </c>
      <c r="AF1780" t="str">
        <f t="shared" si="55"/>
        <v>2025-08</v>
      </c>
      <c r="AG1780">
        <f>SUBTOTAL(103,A1780)</f>
        <v>1</v>
      </c>
    </row>
    <row r="1781" spans="1:33" x14ac:dyDescent="0.3">
      <c r="A1781" t="s">
        <v>4399</v>
      </c>
      <c r="B1781" s="13">
        <v>45882</v>
      </c>
      <c r="C1781">
        <v>2025</v>
      </c>
      <c r="D1781">
        <v>8</v>
      </c>
      <c r="E1781" t="s">
        <v>4301</v>
      </c>
      <c r="F1781" t="s">
        <v>4047</v>
      </c>
      <c r="G1781" t="s">
        <v>1421</v>
      </c>
      <c r="H1781" t="s">
        <v>1422</v>
      </c>
      <c r="I1781" t="s">
        <v>86</v>
      </c>
      <c r="J1781">
        <v>57</v>
      </c>
      <c r="K1781" t="s">
        <v>83</v>
      </c>
      <c r="L1781" t="s">
        <v>91</v>
      </c>
      <c r="M1781" t="s">
        <v>55</v>
      </c>
      <c r="N1781" t="s">
        <v>2601</v>
      </c>
      <c r="O1781" t="s">
        <v>117</v>
      </c>
      <c r="P1781" t="s">
        <v>49</v>
      </c>
      <c r="Q1781" t="s">
        <v>139</v>
      </c>
      <c r="R1781">
        <v>1</v>
      </c>
      <c r="S1781">
        <v>6999</v>
      </c>
      <c r="T1781">
        <v>0.15</v>
      </c>
      <c r="U1781">
        <v>5949.15</v>
      </c>
      <c r="V1781">
        <v>4300</v>
      </c>
      <c r="W1781">
        <v>1649.15</v>
      </c>
      <c r="X1781" t="s">
        <v>77</v>
      </c>
      <c r="Y1781" t="s">
        <v>68</v>
      </c>
      <c r="Z1781" t="s">
        <v>161</v>
      </c>
      <c r="AA1781" t="s">
        <v>168</v>
      </c>
      <c r="AB1781">
        <v>4.5</v>
      </c>
      <c r="AC1781">
        <v>80</v>
      </c>
      <c r="AD1781">
        <v>677.95</v>
      </c>
      <c r="AE1781">
        <f t="shared" si="54"/>
        <v>891.2</v>
      </c>
      <c r="AF1781" t="str">
        <f t="shared" si="55"/>
        <v>2025-08</v>
      </c>
      <c r="AG1781">
        <f>SUBTOTAL(103,A1781)</f>
        <v>1</v>
      </c>
    </row>
    <row r="1782" spans="1:33" x14ac:dyDescent="0.3">
      <c r="A1782" t="s">
        <v>4400</v>
      </c>
      <c r="B1782" s="13">
        <v>45882</v>
      </c>
      <c r="C1782">
        <v>2025</v>
      </c>
      <c r="D1782">
        <v>8</v>
      </c>
      <c r="E1782" t="s">
        <v>4301</v>
      </c>
      <c r="F1782" t="s">
        <v>4047</v>
      </c>
      <c r="G1782" t="s">
        <v>1341</v>
      </c>
      <c r="H1782" t="s">
        <v>1342</v>
      </c>
      <c r="I1782" t="s">
        <v>85</v>
      </c>
      <c r="J1782">
        <v>32</v>
      </c>
      <c r="K1782" t="s">
        <v>81</v>
      </c>
      <c r="L1782" t="s">
        <v>97</v>
      </c>
      <c r="M1782" t="s">
        <v>57</v>
      </c>
      <c r="N1782" t="s">
        <v>2626</v>
      </c>
      <c r="O1782" t="s">
        <v>125</v>
      </c>
      <c r="P1782" t="s">
        <v>48</v>
      </c>
      <c r="Q1782" t="s">
        <v>141</v>
      </c>
      <c r="R1782">
        <v>3</v>
      </c>
      <c r="S1782">
        <v>1999</v>
      </c>
      <c r="T1782">
        <v>0.05</v>
      </c>
      <c r="U1782">
        <v>5697.15</v>
      </c>
      <c r="V1782">
        <v>3450</v>
      </c>
      <c r="W1782">
        <v>2247.15</v>
      </c>
      <c r="X1782" t="s">
        <v>74</v>
      </c>
      <c r="Y1782" t="s">
        <v>68</v>
      </c>
      <c r="Z1782" t="s">
        <v>162</v>
      </c>
      <c r="AA1782" t="s">
        <v>171</v>
      </c>
      <c r="AB1782">
        <v>3.9</v>
      </c>
      <c r="AC1782">
        <v>100</v>
      </c>
      <c r="AD1782">
        <v>293.70999999999998</v>
      </c>
      <c r="AE1782">
        <f t="shared" si="54"/>
        <v>1853.44</v>
      </c>
      <c r="AF1782" t="str">
        <f t="shared" si="55"/>
        <v>2025-08</v>
      </c>
      <c r="AG1782">
        <f>SUBTOTAL(103,A1782)</f>
        <v>1</v>
      </c>
    </row>
    <row r="1783" spans="1:33" x14ac:dyDescent="0.3">
      <c r="A1783" t="s">
        <v>4401</v>
      </c>
      <c r="B1783" s="13">
        <v>45882</v>
      </c>
      <c r="C1783">
        <v>2025</v>
      </c>
      <c r="D1783">
        <v>8</v>
      </c>
      <c r="E1783" t="s">
        <v>4301</v>
      </c>
      <c r="F1783" t="s">
        <v>4047</v>
      </c>
      <c r="G1783" t="s">
        <v>641</v>
      </c>
      <c r="H1783" t="s">
        <v>642</v>
      </c>
      <c r="I1783" t="s">
        <v>85</v>
      </c>
      <c r="J1783">
        <v>36</v>
      </c>
      <c r="K1783" t="s">
        <v>82</v>
      </c>
      <c r="L1783" t="s">
        <v>2674</v>
      </c>
      <c r="M1783" t="s">
        <v>58</v>
      </c>
      <c r="N1783" t="s">
        <v>2601</v>
      </c>
      <c r="O1783" t="s">
        <v>117</v>
      </c>
      <c r="P1783" t="s">
        <v>49</v>
      </c>
      <c r="Q1783" t="s">
        <v>139</v>
      </c>
      <c r="R1783">
        <v>4</v>
      </c>
      <c r="S1783">
        <v>6999</v>
      </c>
      <c r="T1783">
        <v>0.15</v>
      </c>
      <c r="U1783">
        <v>0</v>
      </c>
      <c r="V1783">
        <v>0</v>
      </c>
      <c r="W1783">
        <v>0</v>
      </c>
      <c r="X1783" t="s">
        <v>76</v>
      </c>
      <c r="Y1783" t="s">
        <v>71</v>
      </c>
      <c r="Z1783" t="s">
        <v>162</v>
      </c>
      <c r="AA1783" t="s">
        <v>171</v>
      </c>
      <c r="AB1783">
        <v>5</v>
      </c>
      <c r="AC1783">
        <v>50</v>
      </c>
      <c r="AD1783">
        <v>2289.7199999999998</v>
      </c>
      <c r="AE1783">
        <f t="shared" si="54"/>
        <v>-2339.7199999999998</v>
      </c>
      <c r="AF1783" t="str">
        <f t="shared" si="55"/>
        <v>2025-08</v>
      </c>
      <c r="AG1783">
        <f>SUBTOTAL(103,A1783)</f>
        <v>1</v>
      </c>
    </row>
    <row r="1784" spans="1:33" x14ac:dyDescent="0.3">
      <c r="A1784" t="s">
        <v>4402</v>
      </c>
      <c r="B1784" s="13">
        <v>45882</v>
      </c>
      <c r="C1784">
        <v>2025</v>
      </c>
      <c r="D1784">
        <v>8</v>
      </c>
      <c r="E1784" t="s">
        <v>4301</v>
      </c>
      <c r="F1784" t="s">
        <v>4047</v>
      </c>
      <c r="G1784" t="s">
        <v>2295</v>
      </c>
      <c r="H1784" t="s">
        <v>2296</v>
      </c>
      <c r="I1784" t="s">
        <v>86</v>
      </c>
      <c r="J1784">
        <v>37</v>
      </c>
      <c r="K1784" t="s">
        <v>82</v>
      </c>
      <c r="L1784" t="s">
        <v>93</v>
      </c>
      <c r="M1784" t="s">
        <v>55</v>
      </c>
      <c r="N1784" t="s">
        <v>2577</v>
      </c>
      <c r="O1784" t="s">
        <v>129</v>
      </c>
      <c r="P1784" t="s">
        <v>49</v>
      </c>
      <c r="Q1784" t="s">
        <v>149</v>
      </c>
      <c r="R1784">
        <v>2</v>
      </c>
      <c r="S1784">
        <v>1299</v>
      </c>
      <c r="T1784">
        <v>0.1</v>
      </c>
      <c r="U1784">
        <v>2338.1999999999998</v>
      </c>
      <c r="V1784">
        <v>1300</v>
      </c>
      <c r="W1784">
        <v>1038.2</v>
      </c>
      <c r="X1784" t="s">
        <v>74</v>
      </c>
      <c r="Y1784" t="s">
        <v>68</v>
      </c>
      <c r="Z1784" t="s">
        <v>159</v>
      </c>
      <c r="AA1784" t="s">
        <v>167</v>
      </c>
      <c r="AB1784">
        <v>4.4000000000000004</v>
      </c>
      <c r="AC1784">
        <v>80</v>
      </c>
      <c r="AD1784">
        <v>132.61000000000001</v>
      </c>
      <c r="AE1784">
        <f t="shared" si="54"/>
        <v>825.59</v>
      </c>
      <c r="AF1784" t="str">
        <f t="shared" si="55"/>
        <v>2025-08</v>
      </c>
      <c r="AG1784">
        <f>SUBTOTAL(103,A1784)</f>
        <v>1</v>
      </c>
    </row>
    <row r="1785" spans="1:33" x14ac:dyDescent="0.3">
      <c r="A1785" t="s">
        <v>4403</v>
      </c>
      <c r="B1785" s="13">
        <v>45882</v>
      </c>
      <c r="C1785">
        <v>2025</v>
      </c>
      <c r="D1785">
        <v>8</v>
      </c>
      <c r="E1785" t="s">
        <v>4301</v>
      </c>
      <c r="F1785" t="s">
        <v>4047</v>
      </c>
      <c r="G1785" t="s">
        <v>1783</v>
      </c>
      <c r="H1785" t="s">
        <v>1784</v>
      </c>
      <c r="I1785" t="s">
        <v>85</v>
      </c>
      <c r="J1785">
        <v>53</v>
      </c>
      <c r="K1785" t="s">
        <v>83</v>
      </c>
      <c r="L1785" t="s">
        <v>97</v>
      </c>
      <c r="M1785" t="s">
        <v>57</v>
      </c>
      <c r="N1785" t="s">
        <v>2626</v>
      </c>
      <c r="O1785" t="s">
        <v>125</v>
      </c>
      <c r="P1785" t="s">
        <v>48</v>
      </c>
      <c r="Q1785" t="s">
        <v>141</v>
      </c>
      <c r="R1785">
        <v>3</v>
      </c>
      <c r="S1785">
        <v>1999</v>
      </c>
      <c r="T1785">
        <v>0</v>
      </c>
      <c r="U1785">
        <v>5997</v>
      </c>
      <c r="V1785">
        <v>3450</v>
      </c>
      <c r="W1785">
        <v>2547</v>
      </c>
      <c r="X1785" t="s">
        <v>74</v>
      </c>
      <c r="Y1785" t="s">
        <v>68</v>
      </c>
      <c r="Z1785" t="s">
        <v>160</v>
      </c>
      <c r="AA1785" t="s">
        <v>168</v>
      </c>
      <c r="AB1785">
        <v>4.5</v>
      </c>
      <c r="AC1785">
        <v>60</v>
      </c>
      <c r="AD1785">
        <v>185.17</v>
      </c>
      <c r="AE1785">
        <f t="shared" si="54"/>
        <v>2301.83</v>
      </c>
      <c r="AF1785" t="str">
        <f t="shared" si="55"/>
        <v>2025-08</v>
      </c>
      <c r="AG1785">
        <f>SUBTOTAL(103,A1785)</f>
        <v>1</v>
      </c>
    </row>
    <row r="1786" spans="1:33" x14ac:dyDescent="0.3">
      <c r="A1786" t="s">
        <v>4404</v>
      </c>
      <c r="B1786" s="13">
        <v>45882</v>
      </c>
      <c r="C1786">
        <v>2025</v>
      </c>
      <c r="D1786">
        <v>8</v>
      </c>
      <c r="E1786" t="s">
        <v>4301</v>
      </c>
      <c r="F1786" t="s">
        <v>4047</v>
      </c>
      <c r="G1786" t="s">
        <v>1095</v>
      </c>
      <c r="H1786" t="s">
        <v>1096</v>
      </c>
      <c r="I1786" t="s">
        <v>86</v>
      </c>
      <c r="J1786">
        <v>34</v>
      </c>
      <c r="K1786" t="s">
        <v>81</v>
      </c>
      <c r="L1786" t="s">
        <v>2674</v>
      </c>
      <c r="M1786" t="s">
        <v>58</v>
      </c>
      <c r="N1786" t="s">
        <v>2601</v>
      </c>
      <c r="O1786" t="s">
        <v>117</v>
      </c>
      <c r="P1786" t="s">
        <v>49</v>
      </c>
      <c r="Q1786" t="s">
        <v>139</v>
      </c>
      <c r="R1786">
        <v>3</v>
      </c>
      <c r="S1786">
        <v>6999</v>
      </c>
      <c r="T1786">
        <v>0</v>
      </c>
      <c r="U1786">
        <v>20997</v>
      </c>
      <c r="V1786">
        <v>12900</v>
      </c>
      <c r="W1786">
        <v>8097</v>
      </c>
      <c r="X1786" t="s">
        <v>76</v>
      </c>
      <c r="Y1786" t="s">
        <v>69</v>
      </c>
      <c r="Z1786" t="s">
        <v>163</v>
      </c>
      <c r="AA1786" t="s">
        <v>166</v>
      </c>
      <c r="AB1786">
        <v>4</v>
      </c>
      <c r="AC1786">
        <v>60</v>
      </c>
      <c r="AD1786">
        <v>1990.09</v>
      </c>
      <c r="AE1786">
        <f t="shared" si="54"/>
        <v>6046.91</v>
      </c>
      <c r="AF1786" t="str">
        <f t="shared" si="55"/>
        <v>2025-08</v>
      </c>
      <c r="AG1786">
        <f>SUBTOTAL(103,A1786)</f>
        <v>1</v>
      </c>
    </row>
    <row r="1787" spans="1:33" x14ac:dyDescent="0.3">
      <c r="A1787" t="s">
        <v>4405</v>
      </c>
      <c r="B1787" s="13">
        <v>45882</v>
      </c>
      <c r="C1787">
        <v>2025</v>
      </c>
      <c r="D1787">
        <v>8</v>
      </c>
      <c r="E1787" t="s">
        <v>4301</v>
      </c>
      <c r="F1787" t="s">
        <v>4047</v>
      </c>
      <c r="G1787" t="s">
        <v>1619</v>
      </c>
      <c r="H1787" t="s">
        <v>1620</v>
      </c>
      <c r="I1787" t="s">
        <v>86</v>
      </c>
      <c r="J1787">
        <v>38</v>
      </c>
      <c r="K1787" t="s">
        <v>82</v>
      </c>
      <c r="L1787" t="s">
        <v>2687</v>
      </c>
      <c r="M1787" t="s">
        <v>57</v>
      </c>
      <c r="N1787" t="s">
        <v>2653</v>
      </c>
      <c r="O1787" t="s">
        <v>132</v>
      </c>
      <c r="P1787" t="s">
        <v>52</v>
      </c>
      <c r="Q1787" t="s">
        <v>150</v>
      </c>
      <c r="R1787">
        <v>2</v>
      </c>
      <c r="S1787">
        <v>899</v>
      </c>
      <c r="T1787">
        <v>0.15</v>
      </c>
      <c r="U1787">
        <v>1528.3</v>
      </c>
      <c r="V1787">
        <v>840</v>
      </c>
      <c r="W1787">
        <v>688.3</v>
      </c>
      <c r="X1787" t="s">
        <v>73</v>
      </c>
      <c r="Y1787" t="s">
        <v>68</v>
      </c>
      <c r="Z1787" t="s">
        <v>161</v>
      </c>
      <c r="AA1787" t="s">
        <v>171</v>
      </c>
      <c r="AB1787">
        <v>4.9000000000000004</v>
      </c>
      <c r="AC1787">
        <v>80</v>
      </c>
      <c r="AD1787">
        <v>55.96</v>
      </c>
      <c r="AE1787">
        <f t="shared" si="54"/>
        <v>552.33999999999992</v>
      </c>
      <c r="AF1787" t="str">
        <f t="shared" si="55"/>
        <v>2025-08</v>
      </c>
      <c r="AG1787">
        <f>SUBTOTAL(103,A1787)</f>
        <v>1</v>
      </c>
    </row>
    <row r="1788" spans="1:33" x14ac:dyDescent="0.3">
      <c r="A1788" t="s">
        <v>4406</v>
      </c>
      <c r="B1788" s="13">
        <v>45882</v>
      </c>
      <c r="C1788">
        <v>2025</v>
      </c>
      <c r="D1788">
        <v>8</v>
      </c>
      <c r="E1788" t="s">
        <v>4301</v>
      </c>
      <c r="F1788" t="s">
        <v>4047</v>
      </c>
      <c r="G1788" t="s">
        <v>847</v>
      </c>
      <c r="H1788" t="s">
        <v>848</v>
      </c>
      <c r="I1788" t="s">
        <v>85</v>
      </c>
      <c r="J1788">
        <v>41</v>
      </c>
      <c r="K1788" t="s">
        <v>82</v>
      </c>
      <c r="L1788" t="s">
        <v>91</v>
      </c>
      <c r="M1788" t="s">
        <v>55</v>
      </c>
      <c r="N1788" t="s">
        <v>2587</v>
      </c>
      <c r="O1788" t="s">
        <v>116</v>
      </c>
      <c r="P1788" t="s">
        <v>48</v>
      </c>
      <c r="Q1788" t="s">
        <v>138</v>
      </c>
      <c r="R1788">
        <v>2</v>
      </c>
      <c r="S1788">
        <v>14999</v>
      </c>
      <c r="T1788">
        <v>0.05</v>
      </c>
      <c r="U1788">
        <v>28498.1</v>
      </c>
      <c r="V1788">
        <v>22400</v>
      </c>
      <c r="W1788">
        <v>6098.1</v>
      </c>
      <c r="X1788" t="s">
        <v>73</v>
      </c>
      <c r="Y1788" t="s">
        <v>68</v>
      </c>
      <c r="Z1788" t="s">
        <v>158</v>
      </c>
      <c r="AA1788" t="s">
        <v>170</v>
      </c>
      <c r="AB1788">
        <v>4.3</v>
      </c>
      <c r="AC1788">
        <v>60</v>
      </c>
      <c r="AD1788">
        <v>1992.29</v>
      </c>
      <c r="AE1788">
        <f t="shared" si="54"/>
        <v>4045.8100000000004</v>
      </c>
      <c r="AF1788" t="str">
        <f t="shared" si="55"/>
        <v>2025-08</v>
      </c>
      <c r="AG1788">
        <f>SUBTOTAL(103,A1788)</f>
        <v>1</v>
      </c>
    </row>
    <row r="1789" spans="1:33" x14ac:dyDescent="0.3">
      <c r="A1789" t="s">
        <v>4407</v>
      </c>
      <c r="B1789" s="13">
        <v>45883</v>
      </c>
      <c r="C1789">
        <v>2025</v>
      </c>
      <c r="D1789">
        <v>8</v>
      </c>
      <c r="E1789" t="s">
        <v>4301</v>
      </c>
      <c r="F1789" t="s">
        <v>4047</v>
      </c>
      <c r="G1789" t="s">
        <v>2059</v>
      </c>
      <c r="H1789" t="s">
        <v>2060</v>
      </c>
      <c r="I1789" t="s">
        <v>86</v>
      </c>
      <c r="J1789">
        <v>32</v>
      </c>
      <c r="K1789" t="s">
        <v>81</v>
      </c>
      <c r="L1789" t="s">
        <v>94</v>
      </c>
      <c r="M1789" t="s">
        <v>57</v>
      </c>
      <c r="N1789" t="s">
        <v>2606</v>
      </c>
      <c r="O1789" t="s">
        <v>120</v>
      </c>
      <c r="P1789" t="s">
        <v>49</v>
      </c>
      <c r="Q1789" t="s">
        <v>140</v>
      </c>
      <c r="R1789">
        <v>1</v>
      </c>
      <c r="S1789">
        <v>2799</v>
      </c>
      <c r="T1789">
        <v>0.1</v>
      </c>
      <c r="U1789">
        <v>2519.1</v>
      </c>
      <c r="V1789">
        <v>1650</v>
      </c>
      <c r="W1789">
        <v>869.1</v>
      </c>
      <c r="X1789" t="s">
        <v>73</v>
      </c>
      <c r="Y1789" t="s">
        <v>68</v>
      </c>
      <c r="Z1789" t="s">
        <v>162</v>
      </c>
      <c r="AA1789" t="s">
        <v>168</v>
      </c>
      <c r="AB1789">
        <v>3.8</v>
      </c>
      <c r="AC1789">
        <v>50</v>
      </c>
      <c r="AD1789">
        <v>208.38</v>
      </c>
      <c r="AE1789">
        <f t="shared" si="54"/>
        <v>610.72</v>
      </c>
      <c r="AF1789" t="str">
        <f t="shared" si="55"/>
        <v>2025-08</v>
      </c>
      <c r="AG1789">
        <f>SUBTOTAL(103,A1789)</f>
        <v>1</v>
      </c>
    </row>
    <row r="1790" spans="1:33" x14ac:dyDescent="0.3">
      <c r="A1790" t="s">
        <v>4408</v>
      </c>
      <c r="B1790" s="13">
        <v>45883</v>
      </c>
      <c r="C1790">
        <v>2025</v>
      </c>
      <c r="D1790">
        <v>8</v>
      </c>
      <c r="E1790" t="s">
        <v>4301</v>
      </c>
      <c r="F1790" t="s">
        <v>4047</v>
      </c>
      <c r="G1790" t="s">
        <v>945</v>
      </c>
      <c r="H1790" t="s">
        <v>946</v>
      </c>
      <c r="I1790" t="s">
        <v>85</v>
      </c>
      <c r="J1790">
        <v>20</v>
      </c>
      <c r="K1790" t="s">
        <v>80</v>
      </c>
      <c r="L1790" t="s">
        <v>97</v>
      </c>
      <c r="M1790" t="s">
        <v>57</v>
      </c>
      <c r="N1790" t="s">
        <v>2657</v>
      </c>
      <c r="O1790" t="s">
        <v>134</v>
      </c>
      <c r="P1790" t="s">
        <v>49</v>
      </c>
      <c r="Q1790" t="s">
        <v>140</v>
      </c>
      <c r="R1790">
        <v>1</v>
      </c>
      <c r="S1790">
        <v>599</v>
      </c>
      <c r="T1790">
        <v>0.05</v>
      </c>
      <c r="U1790">
        <v>569.04999999999995</v>
      </c>
      <c r="V1790">
        <v>250</v>
      </c>
      <c r="W1790">
        <v>319.05</v>
      </c>
      <c r="X1790" t="s">
        <v>74</v>
      </c>
      <c r="Y1790" t="s">
        <v>68</v>
      </c>
      <c r="Z1790" t="s">
        <v>158</v>
      </c>
      <c r="AA1790" t="s">
        <v>167</v>
      </c>
      <c r="AB1790">
        <v>3.4</v>
      </c>
      <c r="AC1790">
        <v>50</v>
      </c>
      <c r="AD1790">
        <v>20</v>
      </c>
      <c r="AE1790">
        <f t="shared" si="54"/>
        <v>249.05</v>
      </c>
      <c r="AF1790" t="str">
        <f t="shared" si="55"/>
        <v>2025-08</v>
      </c>
      <c r="AG1790">
        <f>SUBTOTAL(103,A1790)</f>
        <v>1</v>
      </c>
    </row>
    <row r="1791" spans="1:33" x14ac:dyDescent="0.3">
      <c r="A1791" t="s">
        <v>4409</v>
      </c>
      <c r="B1791" s="13">
        <v>45883</v>
      </c>
      <c r="C1791">
        <v>2025</v>
      </c>
      <c r="D1791">
        <v>8</v>
      </c>
      <c r="E1791" t="s">
        <v>4301</v>
      </c>
      <c r="F1791" t="s">
        <v>4047</v>
      </c>
      <c r="G1791" t="s">
        <v>1017</v>
      </c>
      <c r="H1791" t="s">
        <v>1018</v>
      </c>
      <c r="I1791" t="s">
        <v>87</v>
      </c>
      <c r="J1791">
        <v>60</v>
      </c>
      <c r="K1791" t="s">
        <v>83</v>
      </c>
      <c r="L1791" t="s">
        <v>93</v>
      </c>
      <c r="M1791" t="s">
        <v>55</v>
      </c>
      <c r="N1791" t="s">
        <v>2647</v>
      </c>
      <c r="O1791" t="s">
        <v>133</v>
      </c>
      <c r="P1791" t="s">
        <v>50</v>
      </c>
      <c r="Q1791" t="s">
        <v>145</v>
      </c>
      <c r="R1791">
        <v>2</v>
      </c>
      <c r="S1791">
        <v>799</v>
      </c>
      <c r="T1791">
        <v>0.05</v>
      </c>
      <c r="U1791">
        <v>1518.1</v>
      </c>
      <c r="V1791">
        <v>780</v>
      </c>
      <c r="W1791">
        <v>738.1</v>
      </c>
      <c r="X1791" t="s">
        <v>77</v>
      </c>
      <c r="Y1791" t="s">
        <v>68</v>
      </c>
      <c r="Z1791" t="s">
        <v>162</v>
      </c>
      <c r="AA1791" t="s">
        <v>169</v>
      </c>
      <c r="AB1791">
        <v>3.9</v>
      </c>
      <c r="AC1791">
        <v>50</v>
      </c>
      <c r="AD1791">
        <v>56.25</v>
      </c>
      <c r="AE1791">
        <f t="shared" si="54"/>
        <v>631.85</v>
      </c>
      <c r="AF1791" t="str">
        <f t="shared" si="55"/>
        <v>2025-08</v>
      </c>
      <c r="AG1791">
        <f>SUBTOTAL(103,A1791)</f>
        <v>1</v>
      </c>
    </row>
    <row r="1792" spans="1:33" x14ac:dyDescent="0.3">
      <c r="A1792" t="s">
        <v>4410</v>
      </c>
      <c r="B1792" s="13">
        <v>45883</v>
      </c>
      <c r="C1792">
        <v>2025</v>
      </c>
      <c r="D1792">
        <v>8</v>
      </c>
      <c r="E1792" t="s">
        <v>4301</v>
      </c>
      <c r="F1792" t="s">
        <v>4047</v>
      </c>
      <c r="G1792" t="s">
        <v>705</v>
      </c>
      <c r="H1792" t="s">
        <v>706</v>
      </c>
      <c r="I1792" t="s">
        <v>85</v>
      </c>
      <c r="J1792">
        <v>31</v>
      </c>
      <c r="K1792" t="s">
        <v>81</v>
      </c>
      <c r="L1792" t="s">
        <v>2573</v>
      </c>
      <c r="M1792" t="s">
        <v>63</v>
      </c>
      <c r="N1792" t="s">
        <v>2580</v>
      </c>
      <c r="O1792" t="s">
        <v>118</v>
      </c>
      <c r="P1792" t="s">
        <v>48</v>
      </c>
      <c r="Q1792" t="s">
        <v>142</v>
      </c>
      <c r="R1792">
        <v>2</v>
      </c>
      <c r="S1792">
        <v>3999</v>
      </c>
      <c r="T1792">
        <v>0.15</v>
      </c>
      <c r="U1792">
        <v>6798.3</v>
      </c>
      <c r="V1792">
        <v>4800</v>
      </c>
      <c r="W1792">
        <v>1998.3</v>
      </c>
      <c r="X1792" t="s">
        <v>76</v>
      </c>
      <c r="Y1792" t="s">
        <v>68</v>
      </c>
      <c r="Z1792" t="s">
        <v>160</v>
      </c>
      <c r="AA1792" t="s">
        <v>170</v>
      </c>
      <c r="AB1792">
        <v>3.2</v>
      </c>
      <c r="AC1792">
        <v>120</v>
      </c>
      <c r="AD1792">
        <v>258.72000000000003</v>
      </c>
      <c r="AE1792">
        <f t="shared" si="54"/>
        <v>1619.58</v>
      </c>
      <c r="AF1792" t="str">
        <f t="shared" si="55"/>
        <v>2025-08</v>
      </c>
      <c r="AG1792">
        <f>SUBTOTAL(103,A1792)</f>
        <v>1</v>
      </c>
    </row>
    <row r="1793" spans="1:33" x14ac:dyDescent="0.3">
      <c r="A1793" t="s">
        <v>4411</v>
      </c>
      <c r="B1793" s="13">
        <v>45883</v>
      </c>
      <c r="C1793">
        <v>2025</v>
      </c>
      <c r="D1793">
        <v>8</v>
      </c>
      <c r="E1793" t="s">
        <v>4301</v>
      </c>
      <c r="F1793" t="s">
        <v>4047</v>
      </c>
      <c r="G1793" t="s">
        <v>2147</v>
      </c>
      <c r="H1793" t="s">
        <v>2148</v>
      </c>
      <c r="I1793" t="s">
        <v>86</v>
      </c>
      <c r="J1793">
        <v>59</v>
      </c>
      <c r="K1793" t="s">
        <v>83</v>
      </c>
      <c r="L1793" t="s">
        <v>100</v>
      </c>
      <c r="M1793" t="s">
        <v>56</v>
      </c>
      <c r="N1793" t="s">
        <v>2594</v>
      </c>
      <c r="O1793" t="s">
        <v>131</v>
      </c>
      <c r="P1793" t="s">
        <v>53</v>
      </c>
      <c r="Q1793" t="s">
        <v>143</v>
      </c>
      <c r="R1793">
        <v>3</v>
      </c>
      <c r="S1793">
        <v>999</v>
      </c>
      <c r="T1793">
        <v>0.15</v>
      </c>
      <c r="U1793">
        <v>2547.4499999999998</v>
      </c>
      <c r="V1793">
        <v>1560</v>
      </c>
      <c r="W1793">
        <v>987.45</v>
      </c>
      <c r="X1793" t="s">
        <v>73</v>
      </c>
      <c r="Y1793" t="s">
        <v>68</v>
      </c>
      <c r="Z1793" t="s">
        <v>159</v>
      </c>
      <c r="AA1793" t="s">
        <v>170</v>
      </c>
      <c r="AB1793">
        <v>3.7</v>
      </c>
      <c r="AC1793">
        <v>60</v>
      </c>
      <c r="AD1793">
        <v>262.51</v>
      </c>
      <c r="AE1793">
        <f t="shared" si="54"/>
        <v>664.94</v>
      </c>
      <c r="AF1793" t="str">
        <f t="shared" si="55"/>
        <v>2025-08</v>
      </c>
      <c r="AG1793">
        <f>SUBTOTAL(103,A1793)</f>
        <v>1</v>
      </c>
    </row>
    <row r="1794" spans="1:33" x14ac:dyDescent="0.3">
      <c r="A1794" t="s">
        <v>4412</v>
      </c>
      <c r="B1794" s="13">
        <v>45883</v>
      </c>
      <c r="C1794">
        <v>2025</v>
      </c>
      <c r="D1794">
        <v>8</v>
      </c>
      <c r="E1794" t="s">
        <v>4301</v>
      </c>
      <c r="F1794" t="s">
        <v>4047</v>
      </c>
      <c r="G1794" t="s">
        <v>327</v>
      </c>
      <c r="H1794" t="s">
        <v>328</v>
      </c>
      <c r="I1794" t="s">
        <v>86</v>
      </c>
      <c r="J1794">
        <v>29</v>
      </c>
      <c r="K1794" t="s">
        <v>81</v>
      </c>
      <c r="L1794" t="s">
        <v>93</v>
      </c>
      <c r="M1794" t="s">
        <v>55</v>
      </c>
      <c r="N1794" t="s">
        <v>2580</v>
      </c>
      <c r="O1794" t="s">
        <v>118</v>
      </c>
      <c r="P1794" t="s">
        <v>48</v>
      </c>
      <c r="Q1794" t="s">
        <v>142</v>
      </c>
      <c r="R1794">
        <v>1</v>
      </c>
      <c r="S1794">
        <v>3999</v>
      </c>
      <c r="T1794">
        <v>0</v>
      </c>
      <c r="U1794">
        <v>3999</v>
      </c>
      <c r="V1794">
        <v>2400</v>
      </c>
      <c r="W1794">
        <v>1599</v>
      </c>
      <c r="X1794" t="s">
        <v>74</v>
      </c>
      <c r="Y1794" t="s">
        <v>68</v>
      </c>
      <c r="Z1794" t="s">
        <v>160</v>
      </c>
      <c r="AA1794" t="s">
        <v>171</v>
      </c>
      <c r="AB1794">
        <v>3.9</v>
      </c>
      <c r="AC1794">
        <v>50</v>
      </c>
      <c r="AD1794">
        <v>309.89999999999998</v>
      </c>
      <c r="AE1794">
        <f t="shared" ref="AE1794:AE1857" si="56">W1794-AC1794-AD1794</f>
        <v>1239.0999999999999</v>
      </c>
      <c r="AF1794" t="str">
        <f t="shared" ref="AF1794:AF1857" si="57">C1794&amp;"-"&amp;TEXT(D1794,"00")</f>
        <v>2025-08</v>
      </c>
      <c r="AG1794">
        <f>SUBTOTAL(103,A1794)</f>
        <v>1</v>
      </c>
    </row>
    <row r="1795" spans="1:33" x14ac:dyDescent="0.3">
      <c r="A1795" t="s">
        <v>4413</v>
      </c>
      <c r="B1795" s="13">
        <v>45883</v>
      </c>
      <c r="C1795">
        <v>2025</v>
      </c>
      <c r="D1795">
        <v>8</v>
      </c>
      <c r="E1795" t="s">
        <v>4301</v>
      </c>
      <c r="F1795" t="s">
        <v>4047</v>
      </c>
      <c r="G1795" t="s">
        <v>2525</v>
      </c>
      <c r="H1795" t="s">
        <v>2526</v>
      </c>
      <c r="I1795" t="s">
        <v>86</v>
      </c>
      <c r="J1795">
        <v>57</v>
      </c>
      <c r="K1795" t="s">
        <v>83</v>
      </c>
      <c r="L1795" t="s">
        <v>2610</v>
      </c>
      <c r="M1795" t="s">
        <v>64</v>
      </c>
      <c r="N1795" t="s">
        <v>2657</v>
      </c>
      <c r="O1795" t="s">
        <v>134</v>
      </c>
      <c r="P1795" t="s">
        <v>49</v>
      </c>
      <c r="Q1795" t="s">
        <v>140</v>
      </c>
      <c r="R1795">
        <v>2</v>
      </c>
      <c r="S1795">
        <v>599</v>
      </c>
      <c r="T1795">
        <v>0.1</v>
      </c>
      <c r="U1795">
        <v>1078.2</v>
      </c>
      <c r="V1795">
        <v>500</v>
      </c>
      <c r="W1795">
        <v>578.20000000000005</v>
      </c>
      <c r="X1795" t="s">
        <v>73</v>
      </c>
      <c r="Y1795" t="s">
        <v>68</v>
      </c>
      <c r="Z1795" t="s">
        <v>159</v>
      </c>
      <c r="AA1795" t="s">
        <v>168</v>
      </c>
      <c r="AB1795">
        <v>4.8</v>
      </c>
      <c r="AC1795">
        <v>50</v>
      </c>
      <c r="AD1795">
        <v>64.12</v>
      </c>
      <c r="AE1795">
        <f t="shared" si="56"/>
        <v>464.08000000000004</v>
      </c>
      <c r="AF1795" t="str">
        <f t="shared" si="57"/>
        <v>2025-08</v>
      </c>
      <c r="AG1795">
        <f>SUBTOTAL(103,A1795)</f>
        <v>1</v>
      </c>
    </row>
    <row r="1796" spans="1:33" x14ac:dyDescent="0.3">
      <c r="A1796" t="s">
        <v>4414</v>
      </c>
      <c r="B1796" s="13">
        <v>45883</v>
      </c>
      <c r="C1796">
        <v>2025</v>
      </c>
      <c r="D1796">
        <v>8</v>
      </c>
      <c r="E1796" t="s">
        <v>4301</v>
      </c>
      <c r="F1796" t="s">
        <v>4047</v>
      </c>
      <c r="G1796" t="s">
        <v>185</v>
      </c>
      <c r="H1796" t="s">
        <v>186</v>
      </c>
      <c r="I1796" t="s">
        <v>86</v>
      </c>
      <c r="J1796">
        <v>19</v>
      </c>
      <c r="K1796" t="s">
        <v>80</v>
      </c>
      <c r="L1796" t="s">
        <v>96</v>
      </c>
      <c r="M1796" t="s">
        <v>55</v>
      </c>
      <c r="N1796" t="s">
        <v>2584</v>
      </c>
      <c r="O1796" t="s">
        <v>121</v>
      </c>
      <c r="P1796" t="s">
        <v>50</v>
      </c>
      <c r="Q1796" t="s">
        <v>144</v>
      </c>
      <c r="R1796">
        <v>1</v>
      </c>
      <c r="S1796">
        <v>2999</v>
      </c>
      <c r="T1796">
        <v>0.05</v>
      </c>
      <c r="U1796">
        <v>2849.05</v>
      </c>
      <c r="V1796">
        <v>1700</v>
      </c>
      <c r="W1796">
        <v>1149.05</v>
      </c>
      <c r="X1796" t="s">
        <v>73</v>
      </c>
      <c r="Y1796" t="s">
        <v>68</v>
      </c>
      <c r="Z1796" t="s">
        <v>159</v>
      </c>
      <c r="AA1796" t="s">
        <v>166</v>
      </c>
      <c r="AB1796">
        <v>3.8</v>
      </c>
      <c r="AC1796">
        <v>100</v>
      </c>
      <c r="AD1796">
        <v>102.23</v>
      </c>
      <c r="AE1796">
        <f t="shared" si="56"/>
        <v>946.81999999999994</v>
      </c>
      <c r="AF1796" t="str">
        <f t="shared" si="57"/>
        <v>2025-08</v>
      </c>
      <c r="AG1796">
        <f>SUBTOTAL(103,A1796)</f>
        <v>1</v>
      </c>
    </row>
    <row r="1797" spans="1:33" x14ac:dyDescent="0.3">
      <c r="A1797" t="s">
        <v>4415</v>
      </c>
      <c r="B1797" s="13">
        <v>45883</v>
      </c>
      <c r="C1797">
        <v>2025</v>
      </c>
      <c r="D1797">
        <v>8</v>
      </c>
      <c r="E1797" t="s">
        <v>4301</v>
      </c>
      <c r="F1797" t="s">
        <v>4047</v>
      </c>
      <c r="G1797" t="s">
        <v>1469</v>
      </c>
      <c r="H1797" t="s">
        <v>1470</v>
      </c>
      <c r="I1797" t="s">
        <v>86</v>
      </c>
      <c r="J1797">
        <v>41</v>
      </c>
      <c r="K1797" t="s">
        <v>82</v>
      </c>
      <c r="L1797" t="s">
        <v>2687</v>
      </c>
      <c r="M1797" t="s">
        <v>57</v>
      </c>
      <c r="N1797" t="s">
        <v>2644</v>
      </c>
      <c r="O1797" t="s">
        <v>126</v>
      </c>
      <c r="P1797" t="s">
        <v>50</v>
      </c>
      <c r="Q1797" t="s">
        <v>145</v>
      </c>
      <c r="R1797">
        <v>3</v>
      </c>
      <c r="S1797">
        <v>1799</v>
      </c>
      <c r="T1797">
        <v>0.25</v>
      </c>
      <c r="U1797">
        <v>4047.75</v>
      </c>
      <c r="V1797">
        <v>2850</v>
      </c>
      <c r="W1797">
        <v>1197.75</v>
      </c>
      <c r="X1797" t="s">
        <v>74</v>
      </c>
      <c r="Y1797" t="s">
        <v>68</v>
      </c>
      <c r="Z1797" t="s">
        <v>163</v>
      </c>
      <c r="AA1797" t="s">
        <v>166</v>
      </c>
      <c r="AB1797">
        <v>4.5999999999999996</v>
      </c>
      <c r="AC1797">
        <v>40</v>
      </c>
      <c r="AD1797">
        <v>479.52</v>
      </c>
      <c r="AE1797">
        <f t="shared" si="56"/>
        <v>678.23</v>
      </c>
      <c r="AF1797" t="str">
        <f t="shared" si="57"/>
        <v>2025-08</v>
      </c>
      <c r="AG1797">
        <f>SUBTOTAL(103,A1797)</f>
        <v>1</v>
      </c>
    </row>
    <row r="1798" spans="1:33" x14ac:dyDescent="0.3">
      <c r="A1798" t="s">
        <v>4416</v>
      </c>
      <c r="B1798" s="13">
        <v>45883</v>
      </c>
      <c r="C1798">
        <v>2025</v>
      </c>
      <c r="D1798">
        <v>8</v>
      </c>
      <c r="E1798" t="s">
        <v>4301</v>
      </c>
      <c r="F1798" t="s">
        <v>4047</v>
      </c>
      <c r="G1798" t="s">
        <v>1771</v>
      </c>
      <c r="H1798" t="s">
        <v>1772</v>
      </c>
      <c r="I1798" t="s">
        <v>86</v>
      </c>
      <c r="J1798">
        <v>59</v>
      </c>
      <c r="K1798" t="s">
        <v>83</v>
      </c>
      <c r="L1798" t="s">
        <v>91</v>
      </c>
      <c r="M1798" t="s">
        <v>55</v>
      </c>
      <c r="N1798" t="s">
        <v>2657</v>
      </c>
      <c r="O1798" t="s">
        <v>134</v>
      </c>
      <c r="P1798" t="s">
        <v>49</v>
      </c>
      <c r="Q1798" t="s">
        <v>140</v>
      </c>
      <c r="R1798">
        <v>3</v>
      </c>
      <c r="S1798">
        <v>599</v>
      </c>
      <c r="T1798">
        <v>0.15</v>
      </c>
      <c r="U1798">
        <v>1527.45</v>
      </c>
      <c r="V1798">
        <v>750</v>
      </c>
      <c r="W1798">
        <v>777.45</v>
      </c>
      <c r="X1798" t="s">
        <v>73</v>
      </c>
      <c r="Y1798" t="s">
        <v>68</v>
      </c>
      <c r="Z1798" t="s">
        <v>159</v>
      </c>
      <c r="AA1798" t="s">
        <v>166</v>
      </c>
      <c r="AB1798">
        <v>4.9000000000000004</v>
      </c>
      <c r="AC1798">
        <v>40</v>
      </c>
      <c r="AD1798">
        <v>80.010000000000005</v>
      </c>
      <c r="AE1798">
        <f t="shared" si="56"/>
        <v>657.44</v>
      </c>
      <c r="AF1798" t="str">
        <f t="shared" si="57"/>
        <v>2025-08</v>
      </c>
      <c r="AG1798">
        <f>SUBTOTAL(103,A1798)</f>
        <v>1</v>
      </c>
    </row>
    <row r="1799" spans="1:33" x14ac:dyDescent="0.3">
      <c r="A1799" t="s">
        <v>4417</v>
      </c>
      <c r="B1799" s="13">
        <v>45883</v>
      </c>
      <c r="C1799">
        <v>2025</v>
      </c>
      <c r="D1799">
        <v>8</v>
      </c>
      <c r="E1799" t="s">
        <v>4301</v>
      </c>
      <c r="F1799" t="s">
        <v>4047</v>
      </c>
      <c r="G1799" t="s">
        <v>327</v>
      </c>
      <c r="H1799" t="s">
        <v>328</v>
      </c>
      <c r="I1799" t="s">
        <v>86</v>
      </c>
      <c r="J1799">
        <v>29</v>
      </c>
      <c r="K1799" t="s">
        <v>81</v>
      </c>
      <c r="L1799" t="s">
        <v>93</v>
      </c>
      <c r="M1799" t="s">
        <v>55</v>
      </c>
      <c r="N1799" t="s">
        <v>2587</v>
      </c>
      <c r="O1799" t="s">
        <v>116</v>
      </c>
      <c r="P1799" t="s">
        <v>48</v>
      </c>
      <c r="Q1799" t="s">
        <v>138</v>
      </c>
      <c r="R1799">
        <v>1</v>
      </c>
      <c r="S1799">
        <v>14999</v>
      </c>
      <c r="T1799">
        <v>0.15</v>
      </c>
      <c r="U1799">
        <v>12749.15</v>
      </c>
      <c r="V1799">
        <v>11200</v>
      </c>
      <c r="W1799">
        <v>1549.15</v>
      </c>
      <c r="X1799" t="s">
        <v>73</v>
      </c>
      <c r="Y1799" t="s">
        <v>68</v>
      </c>
      <c r="Z1799" t="s">
        <v>161</v>
      </c>
      <c r="AA1799" t="s">
        <v>166</v>
      </c>
      <c r="AB1799">
        <v>3.5</v>
      </c>
      <c r="AC1799">
        <v>40</v>
      </c>
      <c r="AD1799">
        <v>1269.3</v>
      </c>
      <c r="AE1799">
        <f t="shared" si="56"/>
        <v>239.85000000000014</v>
      </c>
      <c r="AF1799" t="str">
        <f t="shared" si="57"/>
        <v>2025-08</v>
      </c>
      <c r="AG1799">
        <f>SUBTOTAL(103,A1799)</f>
        <v>1</v>
      </c>
    </row>
    <row r="1800" spans="1:33" x14ac:dyDescent="0.3">
      <c r="A1800" t="s">
        <v>4418</v>
      </c>
      <c r="B1800" s="13">
        <v>45883</v>
      </c>
      <c r="C1800">
        <v>2025</v>
      </c>
      <c r="D1800">
        <v>8</v>
      </c>
      <c r="E1800" t="s">
        <v>4301</v>
      </c>
      <c r="F1800" t="s">
        <v>4047</v>
      </c>
      <c r="G1800" t="s">
        <v>1671</v>
      </c>
      <c r="H1800" t="s">
        <v>1672</v>
      </c>
      <c r="I1800" t="s">
        <v>85</v>
      </c>
      <c r="J1800">
        <v>47</v>
      </c>
      <c r="K1800" t="s">
        <v>83</v>
      </c>
      <c r="L1800" t="s">
        <v>94</v>
      </c>
      <c r="M1800" t="s">
        <v>57</v>
      </c>
      <c r="N1800" t="s">
        <v>2584</v>
      </c>
      <c r="O1800" t="s">
        <v>121</v>
      </c>
      <c r="P1800" t="s">
        <v>50</v>
      </c>
      <c r="Q1800" t="s">
        <v>144</v>
      </c>
      <c r="R1800">
        <v>2</v>
      </c>
      <c r="S1800">
        <v>2999</v>
      </c>
      <c r="T1800">
        <v>0.2</v>
      </c>
      <c r="U1800">
        <v>4798.3999999999996</v>
      </c>
      <c r="V1800">
        <v>3400</v>
      </c>
      <c r="W1800">
        <v>1398.4</v>
      </c>
      <c r="X1800" t="s">
        <v>75</v>
      </c>
      <c r="Y1800" t="s">
        <v>68</v>
      </c>
      <c r="Z1800" t="s">
        <v>158</v>
      </c>
      <c r="AA1800" t="s">
        <v>169</v>
      </c>
      <c r="AB1800">
        <v>3.6</v>
      </c>
      <c r="AC1800">
        <v>50</v>
      </c>
      <c r="AD1800">
        <v>452.46</v>
      </c>
      <c r="AE1800">
        <f t="shared" si="56"/>
        <v>895.94</v>
      </c>
      <c r="AF1800" t="str">
        <f t="shared" si="57"/>
        <v>2025-08</v>
      </c>
      <c r="AG1800">
        <f>SUBTOTAL(103,A1800)</f>
        <v>1</v>
      </c>
    </row>
    <row r="1801" spans="1:33" x14ac:dyDescent="0.3">
      <c r="A1801" t="s">
        <v>4419</v>
      </c>
      <c r="B1801" s="13">
        <v>45884</v>
      </c>
      <c r="C1801">
        <v>2025</v>
      </c>
      <c r="D1801">
        <v>8</v>
      </c>
      <c r="E1801" t="s">
        <v>4301</v>
      </c>
      <c r="F1801" t="s">
        <v>4047</v>
      </c>
      <c r="G1801" t="s">
        <v>209</v>
      </c>
      <c r="H1801" t="s">
        <v>210</v>
      </c>
      <c r="I1801" t="s">
        <v>85</v>
      </c>
      <c r="J1801">
        <v>46</v>
      </c>
      <c r="K1801" t="s">
        <v>83</v>
      </c>
      <c r="L1801" t="s">
        <v>91</v>
      </c>
      <c r="M1801" t="s">
        <v>55</v>
      </c>
      <c r="N1801" t="s">
        <v>2665</v>
      </c>
      <c r="O1801" t="s">
        <v>128</v>
      </c>
      <c r="P1801" t="s">
        <v>53</v>
      </c>
      <c r="Q1801" t="s">
        <v>143</v>
      </c>
      <c r="R1801">
        <v>1</v>
      </c>
      <c r="S1801">
        <v>1499</v>
      </c>
      <c r="T1801">
        <v>0.15</v>
      </c>
      <c r="U1801">
        <v>1274.1500000000001</v>
      </c>
      <c r="V1801">
        <v>800</v>
      </c>
      <c r="W1801">
        <v>474.15</v>
      </c>
      <c r="X1801" t="s">
        <v>74</v>
      </c>
      <c r="Y1801" t="s">
        <v>68</v>
      </c>
      <c r="Z1801" t="s">
        <v>158</v>
      </c>
      <c r="AA1801" t="s">
        <v>171</v>
      </c>
      <c r="AB1801">
        <v>4.5999999999999996</v>
      </c>
      <c r="AC1801">
        <v>50</v>
      </c>
      <c r="AD1801">
        <v>50.14</v>
      </c>
      <c r="AE1801">
        <f t="shared" si="56"/>
        <v>374.01</v>
      </c>
      <c r="AF1801" t="str">
        <f t="shared" si="57"/>
        <v>2025-08</v>
      </c>
      <c r="AG1801">
        <f>SUBTOTAL(103,A1801)</f>
        <v>1</v>
      </c>
    </row>
    <row r="1802" spans="1:33" x14ac:dyDescent="0.3">
      <c r="A1802" t="s">
        <v>4420</v>
      </c>
      <c r="B1802" s="13">
        <v>45884</v>
      </c>
      <c r="C1802">
        <v>2025</v>
      </c>
      <c r="D1802">
        <v>8</v>
      </c>
      <c r="E1802" t="s">
        <v>4301</v>
      </c>
      <c r="F1802" t="s">
        <v>4047</v>
      </c>
      <c r="G1802" t="s">
        <v>517</v>
      </c>
      <c r="H1802" t="s">
        <v>518</v>
      </c>
      <c r="I1802" t="s">
        <v>85</v>
      </c>
      <c r="J1802">
        <v>27</v>
      </c>
      <c r="K1802" t="s">
        <v>81</v>
      </c>
      <c r="L1802" t="s">
        <v>96</v>
      </c>
      <c r="M1802" t="s">
        <v>55</v>
      </c>
      <c r="N1802" t="s">
        <v>2657</v>
      </c>
      <c r="O1802" t="s">
        <v>134</v>
      </c>
      <c r="P1802" t="s">
        <v>49</v>
      </c>
      <c r="Q1802" t="s">
        <v>140</v>
      </c>
      <c r="R1802">
        <v>3</v>
      </c>
      <c r="S1802">
        <v>599</v>
      </c>
      <c r="T1802">
        <v>0.1</v>
      </c>
      <c r="U1802">
        <v>1617.3</v>
      </c>
      <c r="V1802">
        <v>750</v>
      </c>
      <c r="W1802">
        <v>867.3</v>
      </c>
      <c r="X1802" t="s">
        <v>73</v>
      </c>
      <c r="Y1802" t="s">
        <v>68</v>
      </c>
      <c r="Z1802" t="s">
        <v>159</v>
      </c>
      <c r="AA1802" t="s">
        <v>171</v>
      </c>
      <c r="AB1802">
        <v>4.3</v>
      </c>
      <c r="AC1802">
        <v>40</v>
      </c>
      <c r="AD1802">
        <v>136.52000000000001</v>
      </c>
      <c r="AE1802">
        <f t="shared" si="56"/>
        <v>690.78</v>
      </c>
      <c r="AF1802" t="str">
        <f t="shared" si="57"/>
        <v>2025-08</v>
      </c>
      <c r="AG1802">
        <f>SUBTOTAL(103,A1802)</f>
        <v>1</v>
      </c>
    </row>
    <row r="1803" spans="1:33" x14ac:dyDescent="0.3">
      <c r="A1803" t="s">
        <v>4421</v>
      </c>
      <c r="B1803" s="13">
        <v>45884</v>
      </c>
      <c r="C1803">
        <v>2025</v>
      </c>
      <c r="D1803">
        <v>8</v>
      </c>
      <c r="E1803" t="s">
        <v>4301</v>
      </c>
      <c r="F1803" t="s">
        <v>4047</v>
      </c>
      <c r="G1803" t="s">
        <v>1541</v>
      </c>
      <c r="H1803" t="s">
        <v>1542</v>
      </c>
      <c r="I1803" t="s">
        <v>86</v>
      </c>
      <c r="J1803">
        <v>31</v>
      </c>
      <c r="K1803" t="s">
        <v>81</v>
      </c>
      <c r="L1803" t="s">
        <v>91</v>
      </c>
      <c r="M1803" t="s">
        <v>55</v>
      </c>
      <c r="N1803" t="s">
        <v>2630</v>
      </c>
      <c r="O1803" t="s">
        <v>123</v>
      </c>
      <c r="P1803" t="s">
        <v>52</v>
      </c>
      <c r="Q1803" t="s">
        <v>146</v>
      </c>
      <c r="R1803">
        <v>1</v>
      </c>
      <c r="S1803">
        <v>2499</v>
      </c>
      <c r="T1803">
        <v>0.1</v>
      </c>
      <c r="U1803">
        <v>2249.1</v>
      </c>
      <c r="V1803">
        <v>1400</v>
      </c>
      <c r="W1803">
        <v>849.1</v>
      </c>
      <c r="X1803" t="s">
        <v>74</v>
      </c>
      <c r="Y1803" t="s">
        <v>68</v>
      </c>
      <c r="Z1803" t="s">
        <v>161</v>
      </c>
      <c r="AA1803" t="s">
        <v>171</v>
      </c>
      <c r="AB1803">
        <v>4</v>
      </c>
      <c r="AC1803">
        <v>40</v>
      </c>
      <c r="AD1803">
        <v>101.89</v>
      </c>
      <c r="AE1803">
        <f t="shared" si="56"/>
        <v>707.21</v>
      </c>
      <c r="AF1803" t="str">
        <f t="shared" si="57"/>
        <v>2025-08</v>
      </c>
      <c r="AG1803">
        <f>SUBTOTAL(103,A1803)</f>
        <v>1</v>
      </c>
    </row>
    <row r="1804" spans="1:33" x14ac:dyDescent="0.3">
      <c r="A1804" t="s">
        <v>4422</v>
      </c>
      <c r="B1804" s="13">
        <v>45884</v>
      </c>
      <c r="C1804">
        <v>2025</v>
      </c>
      <c r="D1804">
        <v>8</v>
      </c>
      <c r="E1804" t="s">
        <v>4301</v>
      </c>
      <c r="F1804" t="s">
        <v>4047</v>
      </c>
      <c r="G1804" t="s">
        <v>567</v>
      </c>
      <c r="H1804" t="s">
        <v>568</v>
      </c>
      <c r="I1804" t="s">
        <v>86</v>
      </c>
      <c r="J1804">
        <v>34</v>
      </c>
      <c r="K1804" t="s">
        <v>81</v>
      </c>
      <c r="L1804" t="s">
        <v>2589</v>
      </c>
      <c r="M1804" t="s">
        <v>61</v>
      </c>
      <c r="N1804" t="s">
        <v>2592</v>
      </c>
      <c r="O1804" t="s">
        <v>115</v>
      </c>
      <c r="P1804" t="s">
        <v>48</v>
      </c>
      <c r="Q1804" t="s">
        <v>137</v>
      </c>
      <c r="R1804">
        <v>2</v>
      </c>
      <c r="S1804">
        <v>12999</v>
      </c>
      <c r="T1804">
        <v>0</v>
      </c>
      <c r="U1804">
        <v>25998</v>
      </c>
      <c r="V1804">
        <v>18000</v>
      </c>
      <c r="W1804">
        <v>7998</v>
      </c>
      <c r="X1804" t="s">
        <v>76</v>
      </c>
      <c r="Y1804" t="s">
        <v>68</v>
      </c>
      <c r="Z1804" t="s">
        <v>160</v>
      </c>
      <c r="AA1804" t="s">
        <v>170</v>
      </c>
      <c r="AB1804">
        <v>4.8</v>
      </c>
      <c r="AC1804">
        <v>50</v>
      </c>
      <c r="AD1804">
        <v>1146.73</v>
      </c>
      <c r="AE1804">
        <f t="shared" si="56"/>
        <v>6801.27</v>
      </c>
      <c r="AF1804" t="str">
        <f t="shared" si="57"/>
        <v>2025-08</v>
      </c>
      <c r="AG1804">
        <f>SUBTOTAL(103,A1804)</f>
        <v>1</v>
      </c>
    </row>
    <row r="1805" spans="1:33" x14ac:dyDescent="0.3">
      <c r="A1805" t="s">
        <v>4423</v>
      </c>
      <c r="B1805" s="13">
        <v>45884</v>
      </c>
      <c r="C1805">
        <v>2025</v>
      </c>
      <c r="D1805">
        <v>8</v>
      </c>
      <c r="E1805" t="s">
        <v>4301</v>
      </c>
      <c r="F1805" t="s">
        <v>4047</v>
      </c>
      <c r="G1805" t="s">
        <v>2275</v>
      </c>
      <c r="H1805" t="s">
        <v>2276</v>
      </c>
      <c r="I1805" t="s">
        <v>86</v>
      </c>
      <c r="J1805">
        <v>39</v>
      </c>
      <c r="K1805" t="s">
        <v>82</v>
      </c>
      <c r="L1805" t="s">
        <v>2573</v>
      </c>
      <c r="M1805" t="s">
        <v>63</v>
      </c>
      <c r="N1805" t="s">
        <v>2606</v>
      </c>
      <c r="O1805" t="s">
        <v>120</v>
      </c>
      <c r="P1805" t="s">
        <v>49</v>
      </c>
      <c r="Q1805" t="s">
        <v>140</v>
      </c>
      <c r="R1805">
        <v>1</v>
      </c>
      <c r="S1805">
        <v>2799</v>
      </c>
      <c r="T1805">
        <v>0.05</v>
      </c>
      <c r="U1805">
        <v>2659.05</v>
      </c>
      <c r="V1805">
        <v>1650</v>
      </c>
      <c r="W1805">
        <v>1009.05</v>
      </c>
      <c r="X1805" t="s">
        <v>76</v>
      </c>
      <c r="Y1805" t="s">
        <v>68</v>
      </c>
      <c r="Z1805" t="s">
        <v>159</v>
      </c>
      <c r="AA1805" t="s">
        <v>166</v>
      </c>
      <c r="AB1805">
        <v>4.0999999999999996</v>
      </c>
      <c r="AC1805">
        <v>100</v>
      </c>
      <c r="AD1805">
        <v>249.76</v>
      </c>
      <c r="AE1805">
        <f t="shared" si="56"/>
        <v>659.29</v>
      </c>
      <c r="AF1805" t="str">
        <f t="shared" si="57"/>
        <v>2025-08</v>
      </c>
      <c r="AG1805">
        <f>SUBTOTAL(103,A1805)</f>
        <v>1</v>
      </c>
    </row>
    <row r="1806" spans="1:33" x14ac:dyDescent="0.3">
      <c r="A1806" t="s">
        <v>4424</v>
      </c>
      <c r="B1806" s="13">
        <v>45885</v>
      </c>
      <c r="C1806">
        <v>2025</v>
      </c>
      <c r="D1806">
        <v>8</v>
      </c>
      <c r="E1806" t="s">
        <v>4301</v>
      </c>
      <c r="F1806" t="s">
        <v>4047</v>
      </c>
      <c r="G1806" t="s">
        <v>1367</v>
      </c>
      <c r="H1806" t="s">
        <v>1368</v>
      </c>
      <c r="I1806" t="s">
        <v>86</v>
      </c>
      <c r="J1806">
        <v>33</v>
      </c>
      <c r="K1806" t="s">
        <v>81</v>
      </c>
      <c r="L1806" t="s">
        <v>2690</v>
      </c>
      <c r="M1806" t="s">
        <v>63</v>
      </c>
      <c r="N1806" t="s">
        <v>2584</v>
      </c>
      <c r="O1806" t="s">
        <v>121</v>
      </c>
      <c r="P1806" t="s">
        <v>50</v>
      </c>
      <c r="Q1806" t="s">
        <v>144</v>
      </c>
      <c r="R1806">
        <v>2</v>
      </c>
      <c r="S1806">
        <v>2999</v>
      </c>
      <c r="T1806">
        <v>0.15</v>
      </c>
      <c r="U1806">
        <v>5098.3</v>
      </c>
      <c r="V1806">
        <v>3400</v>
      </c>
      <c r="W1806">
        <v>1698.3</v>
      </c>
      <c r="X1806" t="s">
        <v>73</v>
      </c>
      <c r="Y1806" t="s">
        <v>68</v>
      </c>
      <c r="Z1806" t="s">
        <v>159</v>
      </c>
      <c r="AA1806" t="s">
        <v>171</v>
      </c>
      <c r="AB1806">
        <v>4</v>
      </c>
      <c r="AC1806">
        <v>40</v>
      </c>
      <c r="AD1806">
        <v>493.69</v>
      </c>
      <c r="AE1806">
        <f t="shared" si="56"/>
        <v>1164.6099999999999</v>
      </c>
      <c r="AF1806" t="str">
        <f t="shared" si="57"/>
        <v>2025-08</v>
      </c>
      <c r="AG1806">
        <f>SUBTOTAL(103,A1806)</f>
        <v>1</v>
      </c>
    </row>
    <row r="1807" spans="1:33" x14ac:dyDescent="0.3">
      <c r="A1807" t="s">
        <v>4425</v>
      </c>
      <c r="B1807" s="13">
        <v>45885</v>
      </c>
      <c r="C1807">
        <v>2025</v>
      </c>
      <c r="D1807">
        <v>8</v>
      </c>
      <c r="E1807" t="s">
        <v>4301</v>
      </c>
      <c r="F1807" t="s">
        <v>4047</v>
      </c>
      <c r="G1807" t="s">
        <v>2205</v>
      </c>
      <c r="H1807" t="s">
        <v>2206</v>
      </c>
      <c r="I1807" t="s">
        <v>86</v>
      </c>
      <c r="J1807">
        <v>32</v>
      </c>
      <c r="K1807" t="s">
        <v>81</v>
      </c>
      <c r="L1807" t="s">
        <v>94</v>
      </c>
      <c r="M1807" t="s">
        <v>57</v>
      </c>
      <c r="N1807" t="s">
        <v>2577</v>
      </c>
      <c r="O1807" t="s">
        <v>129</v>
      </c>
      <c r="P1807" t="s">
        <v>49</v>
      </c>
      <c r="Q1807" t="s">
        <v>149</v>
      </c>
      <c r="R1807">
        <v>4</v>
      </c>
      <c r="S1807">
        <v>1299</v>
      </c>
      <c r="T1807">
        <v>0.15</v>
      </c>
      <c r="U1807">
        <v>4416.6000000000004</v>
      </c>
      <c r="V1807">
        <v>2600</v>
      </c>
      <c r="W1807">
        <v>1816.6</v>
      </c>
      <c r="X1807" t="s">
        <v>73</v>
      </c>
      <c r="Y1807" t="s">
        <v>68</v>
      </c>
      <c r="Z1807" t="s">
        <v>161</v>
      </c>
      <c r="AA1807" t="s">
        <v>166</v>
      </c>
      <c r="AB1807">
        <v>4.9000000000000004</v>
      </c>
      <c r="AC1807">
        <v>60</v>
      </c>
      <c r="AD1807">
        <v>348.89</v>
      </c>
      <c r="AE1807">
        <f t="shared" si="56"/>
        <v>1407.71</v>
      </c>
      <c r="AF1807" t="str">
        <f t="shared" si="57"/>
        <v>2025-08</v>
      </c>
      <c r="AG1807">
        <f>SUBTOTAL(103,A1807)</f>
        <v>1</v>
      </c>
    </row>
    <row r="1808" spans="1:33" x14ac:dyDescent="0.3">
      <c r="A1808" t="s">
        <v>4426</v>
      </c>
      <c r="B1808" s="13">
        <v>45885</v>
      </c>
      <c r="C1808">
        <v>2025</v>
      </c>
      <c r="D1808">
        <v>8</v>
      </c>
      <c r="E1808" t="s">
        <v>4301</v>
      </c>
      <c r="F1808" t="s">
        <v>4047</v>
      </c>
      <c r="G1808" t="s">
        <v>1333</v>
      </c>
      <c r="H1808" t="s">
        <v>1334</v>
      </c>
      <c r="I1808" t="s">
        <v>85</v>
      </c>
      <c r="J1808">
        <v>57</v>
      </c>
      <c r="K1808" t="s">
        <v>83</v>
      </c>
      <c r="L1808" t="s">
        <v>2610</v>
      </c>
      <c r="M1808" t="s">
        <v>64</v>
      </c>
      <c r="N1808" t="s">
        <v>2601</v>
      </c>
      <c r="O1808" t="s">
        <v>117</v>
      </c>
      <c r="P1808" t="s">
        <v>49</v>
      </c>
      <c r="Q1808" t="s">
        <v>139</v>
      </c>
      <c r="R1808">
        <v>1</v>
      </c>
      <c r="S1808">
        <v>6999</v>
      </c>
      <c r="T1808">
        <v>0</v>
      </c>
      <c r="U1808">
        <v>6999</v>
      </c>
      <c r="V1808">
        <v>4300</v>
      </c>
      <c r="W1808">
        <v>2699</v>
      </c>
      <c r="X1808" t="s">
        <v>76</v>
      </c>
      <c r="Y1808" t="s">
        <v>69</v>
      </c>
      <c r="Z1808" t="s">
        <v>159</v>
      </c>
      <c r="AA1808" t="s">
        <v>166</v>
      </c>
      <c r="AB1808">
        <v>4</v>
      </c>
      <c r="AC1808">
        <v>50</v>
      </c>
      <c r="AD1808">
        <v>830.6</v>
      </c>
      <c r="AE1808">
        <f t="shared" si="56"/>
        <v>1818.4</v>
      </c>
      <c r="AF1808" t="str">
        <f t="shared" si="57"/>
        <v>2025-08</v>
      </c>
      <c r="AG1808">
        <f>SUBTOTAL(103,A1808)</f>
        <v>1</v>
      </c>
    </row>
    <row r="1809" spans="1:33" x14ac:dyDescent="0.3">
      <c r="A1809" t="s">
        <v>4427</v>
      </c>
      <c r="B1809" s="13">
        <v>45885</v>
      </c>
      <c r="C1809">
        <v>2025</v>
      </c>
      <c r="D1809">
        <v>8</v>
      </c>
      <c r="E1809" t="s">
        <v>4301</v>
      </c>
      <c r="F1809" t="s">
        <v>4047</v>
      </c>
      <c r="G1809" t="s">
        <v>1619</v>
      </c>
      <c r="H1809" t="s">
        <v>1620</v>
      </c>
      <c r="I1809" t="s">
        <v>86</v>
      </c>
      <c r="J1809">
        <v>38</v>
      </c>
      <c r="K1809" t="s">
        <v>82</v>
      </c>
      <c r="L1809" t="s">
        <v>2687</v>
      </c>
      <c r="M1809" t="s">
        <v>57</v>
      </c>
      <c r="N1809" t="s">
        <v>2630</v>
      </c>
      <c r="O1809" t="s">
        <v>123</v>
      </c>
      <c r="P1809" t="s">
        <v>52</v>
      </c>
      <c r="Q1809" t="s">
        <v>146</v>
      </c>
      <c r="R1809">
        <v>1</v>
      </c>
      <c r="S1809">
        <v>2499</v>
      </c>
      <c r="T1809">
        <v>0.1</v>
      </c>
      <c r="U1809">
        <v>2249.1</v>
      </c>
      <c r="V1809">
        <v>1400</v>
      </c>
      <c r="W1809">
        <v>849.1</v>
      </c>
      <c r="X1809" t="s">
        <v>74</v>
      </c>
      <c r="Y1809" t="s">
        <v>68</v>
      </c>
      <c r="Z1809" t="s">
        <v>162</v>
      </c>
      <c r="AA1809" t="s">
        <v>170</v>
      </c>
      <c r="AB1809">
        <v>4.2</v>
      </c>
      <c r="AC1809">
        <v>50</v>
      </c>
      <c r="AD1809">
        <v>259.95</v>
      </c>
      <c r="AE1809">
        <f t="shared" si="56"/>
        <v>539.15000000000009</v>
      </c>
      <c r="AF1809" t="str">
        <f t="shared" si="57"/>
        <v>2025-08</v>
      </c>
      <c r="AG1809">
        <f>SUBTOTAL(103,A1809)</f>
        <v>1</v>
      </c>
    </row>
    <row r="1810" spans="1:33" x14ac:dyDescent="0.3">
      <c r="A1810" t="s">
        <v>4428</v>
      </c>
      <c r="B1810" s="13">
        <v>45885</v>
      </c>
      <c r="C1810">
        <v>2025</v>
      </c>
      <c r="D1810">
        <v>8</v>
      </c>
      <c r="E1810" t="s">
        <v>4301</v>
      </c>
      <c r="F1810" t="s">
        <v>4047</v>
      </c>
      <c r="G1810" t="s">
        <v>925</v>
      </c>
      <c r="H1810" t="s">
        <v>926</v>
      </c>
      <c r="I1810" t="s">
        <v>85</v>
      </c>
      <c r="J1810">
        <v>34</v>
      </c>
      <c r="K1810" t="s">
        <v>81</v>
      </c>
      <c r="L1810" t="s">
        <v>2616</v>
      </c>
      <c r="M1810" t="s">
        <v>62</v>
      </c>
      <c r="N1810" t="s">
        <v>2590</v>
      </c>
      <c r="O1810" t="s">
        <v>127</v>
      </c>
      <c r="P1810" t="s">
        <v>51</v>
      </c>
      <c r="Q1810" t="s">
        <v>148</v>
      </c>
      <c r="R1810">
        <v>2</v>
      </c>
      <c r="S1810">
        <v>1599</v>
      </c>
      <c r="T1810">
        <v>0.05</v>
      </c>
      <c r="U1810">
        <v>3038.1</v>
      </c>
      <c r="V1810">
        <v>1600</v>
      </c>
      <c r="W1810">
        <v>1438.1</v>
      </c>
      <c r="X1810" t="s">
        <v>73</v>
      </c>
      <c r="Y1810" t="s">
        <v>68</v>
      </c>
      <c r="Z1810" t="s">
        <v>159</v>
      </c>
      <c r="AA1810" t="s">
        <v>171</v>
      </c>
      <c r="AB1810">
        <v>3.4</v>
      </c>
      <c r="AC1810">
        <v>80</v>
      </c>
      <c r="AD1810">
        <v>270.74</v>
      </c>
      <c r="AE1810">
        <f t="shared" si="56"/>
        <v>1087.3599999999999</v>
      </c>
      <c r="AF1810" t="str">
        <f t="shared" si="57"/>
        <v>2025-08</v>
      </c>
      <c r="AG1810">
        <f>SUBTOTAL(103,A1810)</f>
        <v>1</v>
      </c>
    </row>
    <row r="1811" spans="1:33" x14ac:dyDescent="0.3">
      <c r="A1811" t="s">
        <v>4429</v>
      </c>
      <c r="B1811" s="13">
        <v>45885</v>
      </c>
      <c r="C1811">
        <v>2025</v>
      </c>
      <c r="D1811">
        <v>8</v>
      </c>
      <c r="E1811" t="s">
        <v>4301</v>
      </c>
      <c r="F1811" t="s">
        <v>4047</v>
      </c>
      <c r="G1811" t="s">
        <v>1453</v>
      </c>
      <c r="H1811" t="s">
        <v>1454</v>
      </c>
      <c r="I1811" t="s">
        <v>85</v>
      </c>
      <c r="J1811">
        <v>33</v>
      </c>
      <c r="K1811" t="s">
        <v>81</v>
      </c>
      <c r="L1811" t="s">
        <v>2646</v>
      </c>
      <c r="M1811" t="s">
        <v>63</v>
      </c>
      <c r="N1811" t="s">
        <v>2594</v>
      </c>
      <c r="O1811" t="s">
        <v>131</v>
      </c>
      <c r="P1811" t="s">
        <v>53</v>
      </c>
      <c r="Q1811" t="s">
        <v>143</v>
      </c>
      <c r="R1811">
        <v>4</v>
      </c>
      <c r="S1811">
        <v>999</v>
      </c>
      <c r="T1811">
        <v>0.1</v>
      </c>
      <c r="U1811">
        <v>3596.4</v>
      </c>
      <c r="V1811">
        <v>2080</v>
      </c>
      <c r="W1811">
        <v>1516.4</v>
      </c>
      <c r="X1811" t="s">
        <v>77</v>
      </c>
      <c r="Y1811" t="s">
        <v>68</v>
      </c>
      <c r="Z1811" t="s">
        <v>159</v>
      </c>
      <c r="AA1811" t="s">
        <v>171</v>
      </c>
      <c r="AB1811">
        <v>3.3</v>
      </c>
      <c r="AC1811">
        <v>80</v>
      </c>
      <c r="AD1811">
        <v>379.44</v>
      </c>
      <c r="AE1811">
        <f t="shared" si="56"/>
        <v>1056.96</v>
      </c>
      <c r="AF1811" t="str">
        <f t="shared" si="57"/>
        <v>2025-08</v>
      </c>
      <c r="AG1811">
        <f>SUBTOTAL(103,A1811)</f>
        <v>1</v>
      </c>
    </row>
    <row r="1812" spans="1:33" x14ac:dyDescent="0.3">
      <c r="A1812" t="s">
        <v>4430</v>
      </c>
      <c r="B1812" s="13">
        <v>45886</v>
      </c>
      <c r="C1812">
        <v>2025</v>
      </c>
      <c r="D1812">
        <v>8</v>
      </c>
      <c r="E1812" t="s">
        <v>4301</v>
      </c>
      <c r="F1812" t="s">
        <v>4047</v>
      </c>
      <c r="G1812" t="s">
        <v>193</v>
      </c>
      <c r="H1812" t="s">
        <v>194</v>
      </c>
      <c r="I1812" t="s">
        <v>86</v>
      </c>
      <c r="J1812">
        <v>46</v>
      </c>
      <c r="K1812" t="s">
        <v>83</v>
      </c>
      <c r="L1812" t="s">
        <v>94</v>
      </c>
      <c r="M1812" t="s">
        <v>57</v>
      </c>
      <c r="N1812" t="s">
        <v>2587</v>
      </c>
      <c r="O1812" t="s">
        <v>116</v>
      </c>
      <c r="P1812" t="s">
        <v>48</v>
      </c>
      <c r="Q1812" t="s">
        <v>138</v>
      </c>
      <c r="R1812">
        <v>1</v>
      </c>
      <c r="S1812">
        <v>14999</v>
      </c>
      <c r="T1812">
        <v>0</v>
      </c>
      <c r="U1812">
        <v>14999</v>
      </c>
      <c r="V1812">
        <v>11200</v>
      </c>
      <c r="W1812">
        <v>3799</v>
      </c>
      <c r="X1812" t="s">
        <v>74</v>
      </c>
      <c r="Y1812" t="s">
        <v>68</v>
      </c>
      <c r="Z1812" t="s">
        <v>158</v>
      </c>
      <c r="AA1812" t="s">
        <v>168</v>
      </c>
      <c r="AB1812">
        <v>3.9</v>
      </c>
      <c r="AC1812">
        <v>50</v>
      </c>
      <c r="AD1812">
        <v>1544.67</v>
      </c>
      <c r="AE1812">
        <f t="shared" si="56"/>
        <v>2204.33</v>
      </c>
      <c r="AF1812" t="str">
        <f t="shared" si="57"/>
        <v>2025-08</v>
      </c>
      <c r="AG1812">
        <f>SUBTOTAL(103,A1812)</f>
        <v>1</v>
      </c>
    </row>
    <row r="1813" spans="1:33" x14ac:dyDescent="0.3">
      <c r="A1813" t="s">
        <v>4431</v>
      </c>
      <c r="B1813" s="13">
        <v>45886</v>
      </c>
      <c r="C1813">
        <v>2025</v>
      </c>
      <c r="D1813">
        <v>8</v>
      </c>
      <c r="E1813" t="s">
        <v>4301</v>
      </c>
      <c r="F1813" t="s">
        <v>4047</v>
      </c>
      <c r="G1813" t="s">
        <v>1395</v>
      </c>
      <c r="H1813" t="s">
        <v>1396</v>
      </c>
      <c r="I1813" t="s">
        <v>85</v>
      </c>
      <c r="J1813">
        <v>39</v>
      </c>
      <c r="K1813" t="s">
        <v>82</v>
      </c>
      <c r="L1813" t="s">
        <v>2679</v>
      </c>
      <c r="M1813" t="s">
        <v>60</v>
      </c>
      <c r="N1813" t="s">
        <v>2582</v>
      </c>
      <c r="O1813" t="s">
        <v>119</v>
      </c>
      <c r="P1813" t="s">
        <v>49</v>
      </c>
      <c r="Q1813" t="s">
        <v>140</v>
      </c>
      <c r="R1813">
        <v>2</v>
      </c>
      <c r="S1813">
        <v>3499</v>
      </c>
      <c r="T1813">
        <v>0</v>
      </c>
      <c r="U1813">
        <v>6998</v>
      </c>
      <c r="V1813">
        <v>4200</v>
      </c>
      <c r="W1813">
        <v>2798</v>
      </c>
      <c r="X1813" t="s">
        <v>75</v>
      </c>
      <c r="Y1813" t="s">
        <v>68</v>
      </c>
      <c r="Z1813" t="s">
        <v>158</v>
      </c>
      <c r="AA1813" t="s">
        <v>168</v>
      </c>
      <c r="AB1813">
        <v>4.5</v>
      </c>
      <c r="AC1813">
        <v>50</v>
      </c>
      <c r="AD1813">
        <v>220.67</v>
      </c>
      <c r="AE1813">
        <f t="shared" si="56"/>
        <v>2527.33</v>
      </c>
      <c r="AF1813" t="str">
        <f t="shared" si="57"/>
        <v>2025-08</v>
      </c>
      <c r="AG1813">
        <f>SUBTOTAL(103,A1813)</f>
        <v>1</v>
      </c>
    </row>
    <row r="1814" spans="1:33" x14ac:dyDescent="0.3">
      <c r="A1814" t="s">
        <v>4432</v>
      </c>
      <c r="B1814" s="13">
        <v>45886</v>
      </c>
      <c r="C1814">
        <v>2025</v>
      </c>
      <c r="D1814">
        <v>8</v>
      </c>
      <c r="E1814" t="s">
        <v>4301</v>
      </c>
      <c r="F1814" t="s">
        <v>4047</v>
      </c>
      <c r="G1814" t="s">
        <v>1227</v>
      </c>
      <c r="H1814" t="s">
        <v>1228</v>
      </c>
      <c r="I1814" t="s">
        <v>86</v>
      </c>
      <c r="J1814">
        <v>55</v>
      </c>
      <c r="K1814" t="s">
        <v>83</v>
      </c>
      <c r="L1814" t="s">
        <v>2634</v>
      </c>
      <c r="M1814" t="s">
        <v>56</v>
      </c>
      <c r="N1814" t="s">
        <v>2596</v>
      </c>
      <c r="O1814" t="s">
        <v>124</v>
      </c>
      <c r="P1814" t="s">
        <v>51</v>
      </c>
      <c r="Q1814" t="s">
        <v>147</v>
      </c>
      <c r="R1814">
        <v>2</v>
      </c>
      <c r="S1814">
        <v>2299</v>
      </c>
      <c r="T1814">
        <v>0.1</v>
      </c>
      <c r="U1814">
        <v>4138.2</v>
      </c>
      <c r="V1814">
        <v>2400</v>
      </c>
      <c r="W1814">
        <v>1738.2</v>
      </c>
      <c r="X1814" t="s">
        <v>73</v>
      </c>
      <c r="Y1814" t="s">
        <v>68</v>
      </c>
      <c r="Z1814" t="s">
        <v>162</v>
      </c>
      <c r="AA1814" t="s">
        <v>166</v>
      </c>
      <c r="AB1814">
        <v>4.7</v>
      </c>
      <c r="AC1814">
        <v>50</v>
      </c>
      <c r="AD1814">
        <v>225.47</v>
      </c>
      <c r="AE1814">
        <f t="shared" si="56"/>
        <v>1462.73</v>
      </c>
      <c r="AF1814" t="str">
        <f t="shared" si="57"/>
        <v>2025-08</v>
      </c>
      <c r="AG1814">
        <f>SUBTOTAL(103,A1814)</f>
        <v>1</v>
      </c>
    </row>
    <row r="1815" spans="1:33" x14ac:dyDescent="0.3">
      <c r="A1815" t="s">
        <v>4433</v>
      </c>
      <c r="B1815" s="13">
        <v>45886</v>
      </c>
      <c r="C1815">
        <v>2025</v>
      </c>
      <c r="D1815">
        <v>8</v>
      </c>
      <c r="E1815" t="s">
        <v>4301</v>
      </c>
      <c r="F1815" t="s">
        <v>4047</v>
      </c>
      <c r="G1815" t="s">
        <v>1383</v>
      </c>
      <c r="H1815" t="s">
        <v>1384</v>
      </c>
      <c r="I1815" t="s">
        <v>86</v>
      </c>
      <c r="J1815">
        <v>57</v>
      </c>
      <c r="K1815" t="s">
        <v>83</v>
      </c>
      <c r="L1815" t="s">
        <v>96</v>
      </c>
      <c r="M1815" t="s">
        <v>55</v>
      </c>
      <c r="N1815" t="s">
        <v>2626</v>
      </c>
      <c r="O1815" t="s">
        <v>125</v>
      </c>
      <c r="P1815" t="s">
        <v>48</v>
      </c>
      <c r="Q1815" t="s">
        <v>141</v>
      </c>
      <c r="R1815">
        <v>1</v>
      </c>
      <c r="S1815">
        <v>1999</v>
      </c>
      <c r="T1815">
        <v>0</v>
      </c>
      <c r="U1815">
        <v>1999</v>
      </c>
      <c r="V1815">
        <v>1150</v>
      </c>
      <c r="W1815">
        <v>849</v>
      </c>
      <c r="X1815" t="s">
        <v>73</v>
      </c>
      <c r="Y1815" t="s">
        <v>68</v>
      </c>
      <c r="Z1815" t="s">
        <v>158</v>
      </c>
      <c r="AA1815" t="s">
        <v>167</v>
      </c>
      <c r="AB1815">
        <v>4.4000000000000004</v>
      </c>
      <c r="AC1815">
        <v>80</v>
      </c>
      <c r="AD1815">
        <v>44.52</v>
      </c>
      <c r="AE1815">
        <f t="shared" si="56"/>
        <v>724.48</v>
      </c>
      <c r="AF1815" t="str">
        <f t="shared" si="57"/>
        <v>2025-08</v>
      </c>
      <c r="AG1815">
        <f>SUBTOTAL(103,A1815)</f>
        <v>1</v>
      </c>
    </row>
    <row r="1816" spans="1:33" x14ac:dyDescent="0.3">
      <c r="A1816" t="s">
        <v>4434</v>
      </c>
      <c r="B1816" s="13">
        <v>45886</v>
      </c>
      <c r="C1816">
        <v>2025</v>
      </c>
      <c r="D1816">
        <v>8</v>
      </c>
      <c r="E1816" t="s">
        <v>4301</v>
      </c>
      <c r="F1816" t="s">
        <v>4047</v>
      </c>
      <c r="G1816" t="s">
        <v>949</v>
      </c>
      <c r="H1816" t="s">
        <v>950</v>
      </c>
      <c r="I1816" t="s">
        <v>86</v>
      </c>
      <c r="J1816">
        <v>30</v>
      </c>
      <c r="K1816" t="s">
        <v>81</v>
      </c>
      <c r="L1816" t="s">
        <v>2690</v>
      </c>
      <c r="M1816" t="s">
        <v>63</v>
      </c>
      <c r="N1816" t="s">
        <v>2577</v>
      </c>
      <c r="O1816" t="s">
        <v>129</v>
      </c>
      <c r="P1816" t="s">
        <v>49</v>
      </c>
      <c r="Q1816" t="s">
        <v>149</v>
      </c>
      <c r="R1816">
        <v>2</v>
      </c>
      <c r="S1816">
        <v>1299</v>
      </c>
      <c r="T1816">
        <v>0.15</v>
      </c>
      <c r="U1816">
        <v>2208.3000000000002</v>
      </c>
      <c r="V1816">
        <v>1300</v>
      </c>
      <c r="W1816">
        <v>908.3</v>
      </c>
      <c r="X1816" t="s">
        <v>73</v>
      </c>
      <c r="Y1816" t="s">
        <v>68</v>
      </c>
      <c r="Z1816" t="s">
        <v>162</v>
      </c>
      <c r="AA1816" t="s">
        <v>169</v>
      </c>
      <c r="AB1816">
        <v>3.8</v>
      </c>
      <c r="AC1816">
        <v>50</v>
      </c>
      <c r="AD1816">
        <v>200.13</v>
      </c>
      <c r="AE1816">
        <f t="shared" si="56"/>
        <v>658.17</v>
      </c>
      <c r="AF1816" t="str">
        <f t="shared" si="57"/>
        <v>2025-08</v>
      </c>
      <c r="AG1816">
        <f>SUBTOTAL(103,A1816)</f>
        <v>1</v>
      </c>
    </row>
    <row r="1817" spans="1:33" x14ac:dyDescent="0.3">
      <c r="A1817" t="s">
        <v>4435</v>
      </c>
      <c r="B1817" s="13">
        <v>45886</v>
      </c>
      <c r="C1817">
        <v>2025</v>
      </c>
      <c r="D1817">
        <v>8</v>
      </c>
      <c r="E1817" t="s">
        <v>4301</v>
      </c>
      <c r="F1817" t="s">
        <v>4047</v>
      </c>
      <c r="G1817" t="s">
        <v>399</v>
      </c>
      <c r="H1817" t="s">
        <v>400</v>
      </c>
      <c r="I1817" t="s">
        <v>86</v>
      </c>
      <c r="J1817">
        <v>29</v>
      </c>
      <c r="K1817" t="s">
        <v>81</v>
      </c>
      <c r="L1817" t="s">
        <v>2679</v>
      </c>
      <c r="M1817" t="s">
        <v>60</v>
      </c>
      <c r="N1817" t="s">
        <v>2596</v>
      </c>
      <c r="O1817" t="s">
        <v>124</v>
      </c>
      <c r="P1817" t="s">
        <v>51</v>
      </c>
      <c r="Q1817" t="s">
        <v>147</v>
      </c>
      <c r="R1817">
        <v>3</v>
      </c>
      <c r="S1817">
        <v>2299</v>
      </c>
      <c r="T1817">
        <v>0.2</v>
      </c>
      <c r="U1817">
        <v>5517.6</v>
      </c>
      <c r="V1817">
        <v>3600</v>
      </c>
      <c r="W1817">
        <v>1917.6</v>
      </c>
      <c r="X1817" t="s">
        <v>73</v>
      </c>
      <c r="Y1817" t="s">
        <v>69</v>
      </c>
      <c r="Z1817" t="s">
        <v>161</v>
      </c>
      <c r="AA1817" t="s">
        <v>169</v>
      </c>
      <c r="AB1817">
        <v>4</v>
      </c>
      <c r="AC1817">
        <v>40</v>
      </c>
      <c r="AD1817">
        <v>322.45</v>
      </c>
      <c r="AE1817">
        <f t="shared" si="56"/>
        <v>1555.1499999999999</v>
      </c>
      <c r="AF1817" t="str">
        <f t="shared" si="57"/>
        <v>2025-08</v>
      </c>
      <c r="AG1817">
        <f>SUBTOTAL(103,A1817)</f>
        <v>1</v>
      </c>
    </row>
    <row r="1818" spans="1:33" x14ac:dyDescent="0.3">
      <c r="A1818" t="s">
        <v>4436</v>
      </c>
      <c r="B1818" s="13">
        <v>45886</v>
      </c>
      <c r="C1818">
        <v>2025</v>
      </c>
      <c r="D1818">
        <v>8</v>
      </c>
      <c r="E1818" t="s">
        <v>4301</v>
      </c>
      <c r="F1818" t="s">
        <v>4047</v>
      </c>
      <c r="G1818" t="s">
        <v>945</v>
      </c>
      <c r="H1818" t="s">
        <v>946</v>
      </c>
      <c r="I1818" t="s">
        <v>85</v>
      </c>
      <c r="J1818">
        <v>20</v>
      </c>
      <c r="K1818" t="s">
        <v>80</v>
      </c>
      <c r="L1818" t="s">
        <v>97</v>
      </c>
      <c r="M1818" t="s">
        <v>57</v>
      </c>
      <c r="N1818" t="s">
        <v>2584</v>
      </c>
      <c r="O1818" t="s">
        <v>121</v>
      </c>
      <c r="P1818" t="s">
        <v>50</v>
      </c>
      <c r="Q1818" t="s">
        <v>144</v>
      </c>
      <c r="R1818">
        <v>1</v>
      </c>
      <c r="S1818">
        <v>2999</v>
      </c>
      <c r="T1818">
        <v>0.2</v>
      </c>
      <c r="U1818">
        <v>2399.1999999999998</v>
      </c>
      <c r="V1818">
        <v>1700</v>
      </c>
      <c r="W1818">
        <v>699.2</v>
      </c>
      <c r="X1818" t="s">
        <v>73</v>
      </c>
      <c r="Y1818" t="s">
        <v>68</v>
      </c>
      <c r="Z1818" t="s">
        <v>163</v>
      </c>
      <c r="AA1818" t="s">
        <v>169</v>
      </c>
      <c r="AB1818">
        <v>5</v>
      </c>
      <c r="AC1818">
        <v>60</v>
      </c>
      <c r="AD1818">
        <v>264.23</v>
      </c>
      <c r="AE1818">
        <f t="shared" si="56"/>
        <v>374.97</v>
      </c>
      <c r="AF1818" t="str">
        <f t="shared" si="57"/>
        <v>2025-08</v>
      </c>
      <c r="AG1818">
        <f>SUBTOTAL(103,A1818)</f>
        <v>1</v>
      </c>
    </row>
    <row r="1819" spans="1:33" x14ac:dyDescent="0.3">
      <c r="A1819" t="s">
        <v>4437</v>
      </c>
      <c r="B1819" s="13">
        <v>45886</v>
      </c>
      <c r="C1819">
        <v>2025</v>
      </c>
      <c r="D1819">
        <v>8</v>
      </c>
      <c r="E1819" t="s">
        <v>4301</v>
      </c>
      <c r="F1819" t="s">
        <v>4047</v>
      </c>
      <c r="G1819" t="s">
        <v>1349</v>
      </c>
      <c r="H1819" t="s">
        <v>1350</v>
      </c>
      <c r="I1819" t="s">
        <v>85</v>
      </c>
      <c r="J1819">
        <v>51</v>
      </c>
      <c r="K1819" t="s">
        <v>83</v>
      </c>
      <c r="L1819" t="s">
        <v>2661</v>
      </c>
      <c r="M1819" t="s">
        <v>58</v>
      </c>
      <c r="N1819" t="s">
        <v>2647</v>
      </c>
      <c r="O1819" t="s">
        <v>133</v>
      </c>
      <c r="P1819" t="s">
        <v>50</v>
      </c>
      <c r="Q1819" t="s">
        <v>145</v>
      </c>
      <c r="R1819">
        <v>1</v>
      </c>
      <c r="S1819">
        <v>799</v>
      </c>
      <c r="T1819">
        <v>0.05</v>
      </c>
      <c r="U1819">
        <v>759.05</v>
      </c>
      <c r="V1819">
        <v>390</v>
      </c>
      <c r="W1819">
        <v>369.05</v>
      </c>
      <c r="X1819" t="s">
        <v>73</v>
      </c>
      <c r="Y1819" t="s">
        <v>68</v>
      </c>
      <c r="Z1819" t="s">
        <v>160</v>
      </c>
      <c r="AA1819" t="s">
        <v>171</v>
      </c>
      <c r="AB1819">
        <v>3.7</v>
      </c>
      <c r="AC1819">
        <v>80</v>
      </c>
      <c r="AD1819">
        <v>21.21</v>
      </c>
      <c r="AE1819">
        <f t="shared" si="56"/>
        <v>267.84000000000003</v>
      </c>
      <c r="AF1819" t="str">
        <f t="shared" si="57"/>
        <v>2025-08</v>
      </c>
      <c r="AG1819">
        <f>SUBTOTAL(103,A1819)</f>
        <v>1</v>
      </c>
    </row>
    <row r="1820" spans="1:33" x14ac:dyDescent="0.3">
      <c r="A1820" t="s">
        <v>4438</v>
      </c>
      <c r="B1820" s="13">
        <v>45886</v>
      </c>
      <c r="C1820">
        <v>2025</v>
      </c>
      <c r="D1820">
        <v>8</v>
      </c>
      <c r="E1820" t="s">
        <v>4301</v>
      </c>
      <c r="F1820" t="s">
        <v>4047</v>
      </c>
      <c r="G1820" t="s">
        <v>1299</v>
      </c>
      <c r="H1820" t="s">
        <v>1300</v>
      </c>
      <c r="I1820" t="s">
        <v>86</v>
      </c>
      <c r="J1820">
        <v>20</v>
      </c>
      <c r="K1820" t="s">
        <v>80</v>
      </c>
      <c r="L1820" t="s">
        <v>2687</v>
      </c>
      <c r="M1820" t="s">
        <v>57</v>
      </c>
      <c r="N1820" t="s">
        <v>2582</v>
      </c>
      <c r="O1820" t="s">
        <v>119</v>
      </c>
      <c r="P1820" t="s">
        <v>49</v>
      </c>
      <c r="Q1820" t="s">
        <v>140</v>
      </c>
      <c r="R1820">
        <v>4</v>
      </c>
      <c r="S1820">
        <v>3499</v>
      </c>
      <c r="T1820">
        <v>0</v>
      </c>
      <c r="U1820">
        <v>13996</v>
      </c>
      <c r="V1820">
        <v>8400</v>
      </c>
      <c r="W1820">
        <v>5596</v>
      </c>
      <c r="X1820" t="s">
        <v>75</v>
      </c>
      <c r="Y1820" t="s">
        <v>69</v>
      </c>
      <c r="Z1820" t="s">
        <v>158</v>
      </c>
      <c r="AA1820" t="s">
        <v>169</v>
      </c>
      <c r="AB1820">
        <v>3.4</v>
      </c>
      <c r="AC1820">
        <v>100</v>
      </c>
      <c r="AD1820">
        <v>1396.66</v>
      </c>
      <c r="AE1820">
        <f t="shared" si="56"/>
        <v>4099.34</v>
      </c>
      <c r="AF1820" t="str">
        <f t="shared" si="57"/>
        <v>2025-08</v>
      </c>
      <c r="AG1820">
        <f>SUBTOTAL(103,A1820)</f>
        <v>1</v>
      </c>
    </row>
    <row r="1821" spans="1:33" x14ac:dyDescent="0.3">
      <c r="A1821" t="s">
        <v>4439</v>
      </c>
      <c r="B1821" s="13">
        <v>45886</v>
      </c>
      <c r="C1821">
        <v>2025</v>
      </c>
      <c r="D1821">
        <v>8</v>
      </c>
      <c r="E1821" t="s">
        <v>4301</v>
      </c>
      <c r="F1821" t="s">
        <v>4047</v>
      </c>
      <c r="G1821" t="s">
        <v>675</v>
      </c>
      <c r="H1821" t="s">
        <v>676</v>
      </c>
      <c r="I1821" t="s">
        <v>85</v>
      </c>
      <c r="J1821">
        <v>33</v>
      </c>
      <c r="K1821" t="s">
        <v>81</v>
      </c>
      <c r="L1821" t="s">
        <v>2605</v>
      </c>
      <c r="M1821" t="s">
        <v>60</v>
      </c>
      <c r="N1821" t="s">
        <v>2603</v>
      </c>
      <c r="O1821" t="s">
        <v>122</v>
      </c>
      <c r="P1821" t="s">
        <v>48</v>
      </c>
      <c r="Q1821" t="s">
        <v>141</v>
      </c>
      <c r="R1821">
        <v>5</v>
      </c>
      <c r="S1821">
        <v>2499</v>
      </c>
      <c r="T1821">
        <v>0.1</v>
      </c>
      <c r="U1821">
        <v>11245.5</v>
      </c>
      <c r="V1821">
        <v>7250</v>
      </c>
      <c r="W1821">
        <v>3995.5</v>
      </c>
      <c r="X1821" t="s">
        <v>76</v>
      </c>
      <c r="Y1821" t="s">
        <v>68</v>
      </c>
      <c r="Z1821" t="s">
        <v>161</v>
      </c>
      <c r="AA1821" t="s">
        <v>169</v>
      </c>
      <c r="AB1821">
        <v>4.3</v>
      </c>
      <c r="AC1821">
        <v>80</v>
      </c>
      <c r="AD1821">
        <v>402.55</v>
      </c>
      <c r="AE1821">
        <f t="shared" si="56"/>
        <v>3512.95</v>
      </c>
      <c r="AF1821" t="str">
        <f t="shared" si="57"/>
        <v>2025-08</v>
      </c>
      <c r="AG1821">
        <f>SUBTOTAL(103,A1821)</f>
        <v>1</v>
      </c>
    </row>
    <row r="1822" spans="1:33" x14ac:dyDescent="0.3">
      <c r="A1822" t="s">
        <v>4440</v>
      </c>
      <c r="B1822" s="13">
        <v>45886</v>
      </c>
      <c r="C1822">
        <v>2025</v>
      </c>
      <c r="D1822">
        <v>8</v>
      </c>
      <c r="E1822" t="s">
        <v>4301</v>
      </c>
      <c r="F1822" t="s">
        <v>4047</v>
      </c>
      <c r="G1822" t="s">
        <v>415</v>
      </c>
      <c r="H1822" t="s">
        <v>416</v>
      </c>
      <c r="I1822" t="s">
        <v>86</v>
      </c>
      <c r="J1822">
        <v>35</v>
      </c>
      <c r="K1822" t="s">
        <v>81</v>
      </c>
      <c r="L1822" t="s">
        <v>95</v>
      </c>
      <c r="M1822" t="s">
        <v>56</v>
      </c>
      <c r="N1822" t="s">
        <v>2596</v>
      </c>
      <c r="O1822" t="s">
        <v>124</v>
      </c>
      <c r="P1822" t="s">
        <v>51</v>
      </c>
      <c r="Q1822" t="s">
        <v>147</v>
      </c>
      <c r="R1822">
        <v>1</v>
      </c>
      <c r="S1822">
        <v>2299</v>
      </c>
      <c r="T1822">
        <v>0.1</v>
      </c>
      <c r="U1822">
        <v>2069.1</v>
      </c>
      <c r="V1822">
        <v>1200</v>
      </c>
      <c r="W1822">
        <v>869.1</v>
      </c>
      <c r="X1822" t="s">
        <v>74</v>
      </c>
      <c r="Y1822" t="s">
        <v>68</v>
      </c>
      <c r="Z1822" t="s">
        <v>161</v>
      </c>
      <c r="AA1822" t="s">
        <v>166</v>
      </c>
      <c r="AB1822">
        <v>4.7</v>
      </c>
      <c r="AC1822">
        <v>40</v>
      </c>
      <c r="AD1822">
        <v>247.74</v>
      </c>
      <c r="AE1822">
        <f t="shared" si="56"/>
        <v>581.36</v>
      </c>
      <c r="AF1822" t="str">
        <f t="shared" si="57"/>
        <v>2025-08</v>
      </c>
      <c r="AG1822">
        <f>SUBTOTAL(103,A1822)</f>
        <v>1</v>
      </c>
    </row>
    <row r="1823" spans="1:33" x14ac:dyDescent="0.3">
      <c r="A1823" t="s">
        <v>4441</v>
      </c>
      <c r="B1823" s="13">
        <v>45886</v>
      </c>
      <c r="C1823">
        <v>2025</v>
      </c>
      <c r="D1823">
        <v>8</v>
      </c>
      <c r="E1823" t="s">
        <v>4301</v>
      </c>
      <c r="F1823" t="s">
        <v>4047</v>
      </c>
      <c r="G1823" t="s">
        <v>1193</v>
      </c>
      <c r="H1823" t="s">
        <v>1194</v>
      </c>
      <c r="I1823" t="s">
        <v>85</v>
      </c>
      <c r="J1823">
        <v>49</v>
      </c>
      <c r="K1823" t="s">
        <v>83</v>
      </c>
      <c r="L1823" t="s">
        <v>59</v>
      </c>
      <c r="M1823" t="s">
        <v>59</v>
      </c>
      <c r="N1823" t="s">
        <v>2606</v>
      </c>
      <c r="O1823" t="s">
        <v>120</v>
      </c>
      <c r="P1823" t="s">
        <v>49</v>
      </c>
      <c r="Q1823" t="s">
        <v>140</v>
      </c>
      <c r="R1823">
        <v>3</v>
      </c>
      <c r="S1823">
        <v>2799</v>
      </c>
      <c r="T1823">
        <v>0.1</v>
      </c>
      <c r="U1823">
        <v>7557.3</v>
      </c>
      <c r="V1823">
        <v>4950</v>
      </c>
      <c r="W1823">
        <v>2607.3000000000002</v>
      </c>
      <c r="X1823" t="s">
        <v>75</v>
      </c>
      <c r="Y1823" t="s">
        <v>68</v>
      </c>
      <c r="Z1823" t="s">
        <v>163</v>
      </c>
      <c r="AA1823" t="s">
        <v>168</v>
      </c>
      <c r="AB1823">
        <v>4.2</v>
      </c>
      <c r="AC1823">
        <v>60</v>
      </c>
      <c r="AD1823">
        <v>888.22</v>
      </c>
      <c r="AE1823">
        <f t="shared" si="56"/>
        <v>1659.0800000000002</v>
      </c>
      <c r="AF1823" t="str">
        <f t="shared" si="57"/>
        <v>2025-08</v>
      </c>
      <c r="AG1823">
        <f>SUBTOTAL(103,A1823)</f>
        <v>1</v>
      </c>
    </row>
    <row r="1824" spans="1:33" x14ac:dyDescent="0.3">
      <c r="A1824" t="s">
        <v>4442</v>
      </c>
      <c r="B1824" s="13">
        <v>45886</v>
      </c>
      <c r="C1824">
        <v>2025</v>
      </c>
      <c r="D1824">
        <v>8</v>
      </c>
      <c r="E1824" t="s">
        <v>4301</v>
      </c>
      <c r="F1824" t="s">
        <v>4047</v>
      </c>
      <c r="G1824" t="s">
        <v>1079</v>
      </c>
      <c r="H1824" t="s">
        <v>1080</v>
      </c>
      <c r="I1824" t="s">
        <v>85</v>
      </c>
      <c r="J1824">
        <v>52</v>
      </c>
      <c r="K1824" t="s">
        <v>83</v>
      </c>
      <c r="L1824" t="s">
        <v>92</v>
      </c>
      <c r="M1824" t="s">
        <v>59</v>
      </c>
      <c r="N1824" t="s">
        <v>2577</v>
      </c>
      <c r="O1824" t="s">
        <v>129</v>
      </c>
      <c r="P1824" t="s">
        <v>49</v>
      </c>
      <c r="Q1824" t="s">
        <v>149</v>
      </c>
      <c r="R1824">
        <v>1</v>
      </c>
      <c r="S1824">
        <v>1299</v>
      </c>
      <c r="T1824">
        <v>0.05</v>
      </c>
      <c r="U1824">
        <v>1234.05</v>
      </c>
      <c r="V1824">
        <v>650</v>
      </c>
      <c r="W1824">
        <v>584.04999999999995</v>
      </c>
      <c r="X1824" t="s">
        <v>75</v>
      </c>
      <c r="Y1824" t="s">
        <v>68</v>
      </c>
      <c r="Z1824" t="s">
        <v>161</v>
      </c>
      <c r="AA1824" t="s">
        <v>166</v>
      </c>
      <c r="AB1824">
        <v>4.5</v>
      </c>
      <c r="AC1824">
        <v>50</v>
      </c>
      <c r="AD1824">
        <v>133.83000000000001</v>
      </c>
      <c r="AE1824">
        <f t="shared" si="56"/>
        <v>400.21999999999991</v>
      </c>
      <c r="AF1824" t="str">
        <f t="shared" si="57"/>
        <v>2025-08</v>
      </c>
      <c r="AG1824">
        <f>SUBTOTAL(103,A1824)</f>
        <v>1</v>
      </c>
    </row>
    <row r="1825" spans="1:33" x14ac:dyDescent="0.3">
      <c r="A1825" t="s">
        <v>4443</v>
      </c>
      <c r="B1825" s="13">
        <v>45886</v>
      </c>
      <c r="C1825">
        <v>2025</v>
      </c>
      <c r="D1825">
        <v>8</v>
      </c>
      <c r="E1825" t="s">
        <v>4301</v>
      </c>
      <c r="F1825" t="s">
        <v>4047</v>
      </c>
      <c r="G1825" t="s">
        <v>279</v>
      </c>
      <c r="H1825" t="s">
        <v>280</v>
      </c>
      <c r="I1825" t="s">
        <v>85</v>
      </c>
      <c r="J1825">
        <v>40</v>
      </c>
      <c r="K1825" t="s">
        <v>82</v>
      </c>
      <c r="L1825" t="s">
        <v>2674</v>
      </c>
      <c r="M1825" t="s">
        <v>58</v>
      </c>
      <c r="N1825" t="s">
        <v>2592</v>
      </c>
      <c r="O1825" t="s">
        <v>115</v>
      </c>
      <c r="P1825" t="s">
        <v>48</v>
      </c>
      <c r="Q1825" t="s">
        <v>137</v>
      </c>
      <c r="R1825">
        <v>5</v>
      </c>
      <c r="S1825">
        <v>12999</v>
      </c>
      <c r="T1825">
        <v>0.05</v>
      </c>
      <c r="U1825">
        <v>61745.25</v>
      </c>
      <c r="V1825">
        <v>45000</v>
      </c>
      <c r="W1825">
        <v>16745.25</v>
      </c>
      <c r="X1825" t="s">
        <v>74</v>
      </c>
      <c r="Y1825" t="s">
        <v>68</v>
      </c>
      <c r="Z1825" t="s">
        <v>159</v>
      </c>
      <c r="AA1825" t="s">
        <v>166</v>
      </c>
      <c r="AB1825">
        <v>4.0999999999999996</v>
      </c>
      <c r="AC1825">
        <v>60</v>
      </c>
      <c r="AD1825">
        <v>3749.2</v>
      </c>
      <c r="AE1825">
        <f t="shared" si="56"/>
        <v>12936.05</v>
      </c>
      <c r="AF1825" t="str">
        <f t="shared" si="57"/>
        <v>2025-08</v>
      </c>
      <c r="AG1825">
        <f>SUBTOTAL(103,A1825)</f>
        <v>1</v>
      </c>
    </row>
    <row r="1826" spans="1:33" x14ac:dyDescent="0.3">
      <c r="A1826" t="s">
        <v>4444</v>
      </c>
      <c r="B1826" s="13">
        <v>45886</v>
      </c>
      <c r="C1826">
        <v>2025</v>
      </c>
      <c r="D1826">
        <v>8</v>
      </c>
      <c r="E1826" t="s">
        <v>4301</v>
      </c>
      <c r="F1826" t="s">
        <v>4047</v>
      </c>
      <c r="G1826" t="s">
        <v>1385</v>
      </c>
      <c r="H1826" t="s">
        <v>1386</v>
      </c>
      <c r="I1826" t="s">
        <v>86</v>
      </c>
      <c r="J1826">
        <v>39</v>
      </c>
      <c r="K1826" t="s">
        <v>82</v>
      </c>
      <c r="L1826" t="s">
        <v>91</v>
      </c>
      <c r="M1826" t="s">
        <v>55</v>
      </c>
      <c r="N1826" t="s">
        <v>2590</v>
      </c>
      <c r="O1826" t="s">
        <v>127</v>
      </c>
      <c r="P1826" t="s">
        <v>51</v>
      </c>
      <c r="Q1826" t="s">
        <v>148</v>
      </c>
      <c r="R1826">
        <v>4</v>
      </c>
      <c r="S1826">
        <v>1599</v>
      </c>
      <c r="T1826">
        <v>0</v>
      </c>
      <c r="U1826">
        <v>6396</v>
      </c>
      <c r="V1826">
        <v>3200</v>
      </c>
      <c r="W1826">
        <v>3196</v>
      </c>
      <c r="X1826" t="s">
        <v>76</v>
      </c>
      <c r="Y1826" t="s">
        <v>68</v>
      </c>
      <c r="Z1826" t="s">
        <v>159</v>
      </c>
      <c r="AA1826" t="s">
        <v>171</v>
      </c>
      <c r="AB1826">
        <v>3.8</v>
      </c>
      <c r="AC1826">
        <v>100</v>
      </c>
      <c r="AD1826">
        <v>380.83</v>
      </c>
      <c r="AE1826">
        <f t="shared" si="56"/>
        <v>2715.17</v>
      </c>
      <c r="AF1826" t="str">
        <f t="shared" si="57"/>
        <v>2025-08</v>
      </c>
      <c r="AG1826">
        <f>SUBTOTAL(103,A1826)</f>
        <v>1</v>
      </c>
    </row>
    <row r="1827" spans="1:33" x14ac:dyDescent="0.3">
      <c r="A1827" t="s">
        <v>4445</v>
      </c>
      <c r="B1827" s="13">
        <v>45887</v>
      </c>
      <c r="C1827">
        <v>2025</v>
      </c>
      <c r="D1827">
        <v>8</v>
      </c>
      <c r="E1827" t="s">
        <v>4301</v>
      </c>
      <c r="F1827" t="s">
        <v>4047</v>
      </c>
      <c r="G1827" t="s">
        <v>1489</v>
      </c>
      <c r="H1827" t="s">
        <v>1490</v>
      </c>
      <c r="I1827" t="s">
        <v>86</v>
      </c>
      <c r="J1827">
        <v>27</v>
      </c>
      <c r="K1827" t="s">
        <v>81</v>
      </c>
      <c r="L1827" t="s">
        <v>90</v>
      </c>
      <c r="M1827" t="s">
        <v>55</v>
      </c>
      <c r="N1827" t="s">
        <v>2574</v>
      </c>
      <c r="O1827" t="s">
        <v>130</v>
      </c>
      <c r="P1827" t="s">
        <v>50</v>
      </c>
      <c r="Q1827" t="s">
        <v>53</v>
      </c>
      <c r="R1827">
        <v>3</v>
      </c>
      <c r="S1827">
        <v>1199</v>
      </c>
      <c r="T1827">
        <v>0</v>
      </c>
      <c r="U1827">
        <v>3597</v>
      </c>
      <c r="V1827">
        <v>1650</v>
      </c>
      <c r="W1827">
        <v>1947</v>
      </c>
      <c r="X1827" t="s">
        <v>73</v>
      </c>
      <c r="Y1827" t="s">
        <v>68</v>
      </c>
      <c r="Z1827" t="s">
        <v>159</v>
      </c>
      <c r="AA1827" t="s">
        <v>169</v>
      </c>
      <c r="AB1827">
        <v>5</v>
      </c>
      <c r="AC1827">
        <v>80</v>
      </c>
      <c r="AD1827">
        <v>163.28</v>
      </c>
      <c r="AE1827">
        <f t="shared" si="56"/>
        <v>1703.72</v>
      </c>
      <c r="AF1827" t="str">
        <f t="shared" si="57"/>
        <v>2025-08</v>
      </c>
      <c r="AG1827">
        <f>SUBTOTAL(103,A1827)</f>
        <v>1</v>
      </c>
    </row>
    <row r="1828" spans="1:33" x14ac:dyDescent="0.3">
      <c r="A1828" t="s">
        <v>4446</v>
      </c>
      <c r="B1828" s="13">
        <v>45887</v>
      </c>
      <c r="C1828">
        <v>2025</v>
      </c>
      <c r="D1828">
        <v>8</v>
      </c>
      <c r="E1828" t="s">
        <v>4301</v>
      </c>
      <c r="F1828" t="s">
        <v>4047</v>
      </c>
      <c r="G1828" t="s">
        <v>1269</v>
      </c>
      <c r="H1828" t="s">
        <v>1270</v>
      </c>
      <c r="I1828" t="s">
        <v>85</v>
      </c>
      <c r="J1828">
        <v>58</v>
      </c>
      <c r="K1828" t="s">
        <v>83</v>
      </c>
      <c r="L1828" t="s">
        <v>2599</v>
      </c>
      <c r="M1828" t="s">
        <v>62</v>
      </c>
      <c r="N1828" t="s">
        <v>2590</v>
      </c>
      <c r="O1828" t="s">
        <v>127</v>
      </c>
      <c r="P1828" t="s">
        <v>51</v>
      </c>
      <c r="Q1828" t="s">
        <v>148</v>
      </c>
      <c r="R1828">
        <v>3</v>
      </c>
      <c r="S1828">
        <v>1599</v>
      </c>
      <c r="T1828">
        <v>0.2</v>
      </c>
      <c r="U1828">
        <v>3837.6</v>
      </c>
      <c r="V1828">
        <v>2400</v>
      </c>
      <c r="W1828">
        <v>1437.6</v>
      </c>
      <c r="X1828" t="s">
        <v>75</v>
      </c>
      <c r="Y1828" t="s">
        <v>68</v>
      </c>
      <c r="Z1828" t="s">
        <v>163</v>
      </c>
      <c r="AA1828" t="s">
        <v>167</v>
      </c>
      <c r="AB1828">
        <v>3.9</v>
      </c>
      <c r="AC1828">
        <v>40</v>
      </c>
      <c r="AD1828">
        <v>137.08000000000001</v>
      </c>
      <c r="AE1828">
        <f t="shared" si="56"/>
        <v>1260.52</v>
      </c>
      <c r="AF1828" t="str">
        <f t="shared" si="57"/>
        <v>2025-08</v>
      </c>
      <c r="AG1828">
        <f>SUBTOTAL(103,A1828)</f>
        <v>1</v>
      </c>
    </row>
    <row r="1829" spans="1:33" x14ac:dyDescent="0.3">
      <c r="A1829" t="s">
        <v>4447</v>
      </c>
      <c r="B1829" s="13">
        <v>45887</v>
      </c>
      <c r="C1829">
        <v>2025</v>
      </c>
      <c r="D1829">
        <v>8</v>
      </c>
      <c r="E1829" t="s">
        <v>4301</v>
      </c>
      <c r="F1829" t="s">
        <v>4047</v>
      </c>
      <c r="G1829" t="s">
        <v>591</v>
      </c>
      <c r="H1829" t="s">
        <v>592</v>
      </c>
      <c r="I1829" t="s">
        <v>86</v>
      </c>
      <c r="J1829">
        <v>43</v>
      </c>
      <c r="K1829" t="s">
        <v>82</v>
      </c>
      <c r="L1829" t="s">
        <v>2623</v>
      </c>
      <c r="M1829" t="s">
        <v>61</v>
      </c>
      <c r="N1829" t="s">
        <v>2630</v>
      </c>
      <c r="O1829" t="s">
        <v>123</v>
      </c>
      <c r="P1829" t="s">
        <v>52</v>
      </c>
      <c r="Q1829" t="s">
        <v>146</v>
      </c>
      <c r="R1829">
        <v>5</v>
      </c>
      <c r="S1829">
        <v>2499</v>
      </c>
      <c r="T1829">
        <v>0.15</v>
      </c>
      <c r="U1829">
        <v>10620.75</v>
      </c>
      <c r="V1829">
        <v>7000</v>
      </c>
      <c r="W1829">
        <v>3620.75</v>
      </c>
      <c r="X1829" t="s">
        <v>75</v>
      </c>
      <c r="Y1829" t="s">
        <v>68</v>
      </c>
      <c r="Z1829" t="s">
        <v>160</v>
      </c>
      <c r="AA1829" t="s">
        <v>171</v>
      </c>
      <c r="AB1829">
        <v>3.5</v>
      </c>
      <c r="AC1829">
        <v>50</v>
      </c>
      <c r="AD1829">
        <v>1173.5999999999999</v>
      </c>
      <c r="AE1829">
        <f t="shared" si="56"/>
        <v>2397.15</v>
      </c>
      <c r="AF1829" t="str">
        <f t="shared" si="57"/>
        <v>2025-08</v>
      </c>
      <c r="AG1829">
        <f>SUBTOTAL(103,A1829)</f>
        <v>1</v>
      </c>
    </row>
    <row r="1830" spans="1:33" x14ac:dyDescent="0.3">
      <c r="A1830" t="s">
        <v>4448</v>
      </c>
      <c r="B1830" s="13">
        <v>45887</v>
      </c>
      <c r="C1830">
        <v>2025</v>
      </c>
      <c r="D1830">
        <v>8</v>
      </c>
      <c r="E1830" t="s">
        <v>4301</v>
      </c>
      <c r="F1830" t="s">
        <v>4047</v>
      </c>
      <c r="G1830" t="s">
        <v>1351</v>
      </c>
      <c r="H1830" t="s">
        <v>1352</v>
      </c>
      <c r="I1830" t="s">
        <v>85</v>
      </c>
      <c r="J1830">
        <v>55</v>
      </c>
      <c r="K1830" t="s">
        <v>83</v>
      </c>
      <c r="L1830" t="s">
        <v>2687</v>
      </c>
      <c r="M1830" t="s">
        <v>57</v>
      </c>
      <c r="N1830" t="s">
        <v>2596</v>
      </c>
      <c r="O1830" t="s">
        <v>124</v>
      </c>
      <c r="P1830" t="s">
        <v>51</v>
      </c>
      <c r="Q1830" t="s">
        <v>147</v>
      </c>
      <c r="R1830">
        <v>5</v>
      </c>
      <c r="S1830">
        <v>2299</v>
      </c>
      <c r="T1830">
        <v>0.15</v>
      </c>
      <c r="U1830">
        <v>9770.75</v>
      </c>
      <c r="V1830">
        <v>6000</v>
      </c>
      <c r="W1830">
        <v>3770.75</v>
      </c>
      <c r="X1830" t="s">
        <v>73</v>
      </c>
      <c r="Y1830" t="s">
        <v>68</v>
      </c>
      <c r="Z1830" t="s">
        <v>163</v>
      </c>
      <c r="AA1830" t="s">
        <v>169</v>
      </c>
      <c r="AB1830">
        <v>4</v>
      </c>
      <c r="AC1830">
        <v>40</v>
      </c>
      <c r="AD1830">
        <v>369.66</v>
      </c>
      <c r="AE1830">
        <f t="shared" si="56"/>
        <v>3361.09</v>
      </c>
      <c r="AF1830" t="str">
        <f t="shared" si="57"/>
        <v>2025-08</v>
      </c>
      <c r="AG1830">
        <f>SUBTOTAL(103,A1830)</f>
        <v>1</v>
      </c>
    </row>
    <row r="1831" spans="1:33" x14ac:dyDescent="0.3">
      <c r="A1831" t="s">
        <v>4449</v>
      </c>
      <c r="B1831" s="13">
        <v>45887</v>
      </c>
      <c r="C1831">
        <v>2025</v>
      </c>
      <c r="D1831">
        <v>8</v>
      </c>
      <c r="E1831" t="s">
        <v>4301</v>
      </c>
      <c r="F1831" t="s">
        <v>4047</v>
      </c>
      <c r="G1831" t="s">
        <v>1405</v>
      </c>
      <c r="H1831" t="s">
        <v>1406</v>
      </c>
      <c r="I1831" t="s">
        <v>85</v>
      </c>
      <c r="J1831">
        <v>51</v>
      </c>
      <c r="K1831" t="s">
        <v>83</v>
      </c>
      <c r="L1831" t="s">
        <v>2646</v>
      </c>
      <c r="M1831" t="s">
        <v>63</v>
      </c>
      <c r="N1831" t="s">
        <v>2606</v>
      </c>
      <c r="O1831" t="s">
        <v>120</v>
      </c>
      <c r="P1831" t="s">
        <v>49</v>
      </c>
      <c r="Q1831" t="s">
        <v>140</v>
      </c>
      <c r="R1831">
        <v>1</v>
      </c>
      <c r="S1831">
        <v>2799</v>
      </c>
      <c r="T1831">
        <v>0.1</v>
      </c>
      <c r="U1831">
        <v>2519.1</v>
      </c>
      <c r="V1831">
        <v>1650</v>
      </c>
      <c r="W1831">
        <v>869.1</v>
      </c>
      <c r="X1831" t="s">
        <v>75</v>
      </c>
      <c r="Y1831" t="s">
        <v>68</v>
      </c>
      <c r="Z1831" t="s">
        <v>160</v>
      </c>
      <c r="AA1831" t="s">
        <v>171</v>
      </c>
      <c r="AB1831">
        <v>4.0999999999999996</v>
      </c>
      <c r="AC1831">
        <v>50</v>
      </c>
      <c r="AD1831">
        <v>289.51</v>
      </c>
      <c r="AE1831">
        <f t="shared" si="56"/>
        <v>529.59</v>
      </c>
      <c r="AF1831" t="str">
        <f t="shared" si="57"/>
        <v>2025-08</v>
      </c>
      <c r="AG1831">
        <f>SUBTOTAL(103,A1831)</f>
        <v>1</v>
      </c>
    </row>
    <row r="1832" spans="1:33" x14ac:dyDescent="0.3">
      <c r="A1832" t="s">
        <v>4450</v>
      </c>
      <c r="B1832" s="13">
        <v>45887</v>
      </c>
      <c r="C1832">
        <v>2025</v>
      </c>
      <c r="D1832">
        <v>8</v>
      </c>
      <c r="E1832" t="s">
        <v>4301</v>
      </c>
      <c r="F1832" t="s">
        <v>4047</v>
      </c>
      <c r="G1832" t="s">
        <v>1803</v>
      </c>
      <c r="H1832" t="s">
        <v>1804</v>
      </c>
      <c r="I1832" t="s">
        <v>85</v>
      </c>
      <c r="J1832">
        <v>45</v>
      </c>
      <c r="K1832" t="s">
        <v>82</v>
      </c>
      <c r="L1832" t="s">
        <v>98</v>
      </c>
      <c r="M1832" t="s">
        <v>55</v>
      </c>
      <c r="N1832" t="s">
        <v>2601</v>
      </c>
      <c r="O1832" t="s">
        <v>117</v>
      </c>
      <c r="P1832" t="s">
        <v>49</v>
      </c>
      <c r="Q1832" t="s">
        <v>139</v>
      </c>
      <c r="R1832">
        <v>1</v>
      </c>
      <c r="S1832">
        <v>6999</v>
      </c>
      <c r="T1832">
        <v>0.15</v>
      </c>
      <c r="U1832">
        <v>5949.15</v>
      </c>
      <c r="V1832">
        <v>4300</v>
      </c>
      <c r="W1832">
        <v>1649.15</v>
      </c>
      <c r="X1832" t="s">
        <v>76</v>
      </c>
      <c r="Y1832" t="s">
        <v>68</v>
      </c>
      <c r="Z1832" t="s">
        <v>162</v>
      </c>
      <c r="AA1832" t="s">
        <v>171</v>
      </c>
      <c r="AB1832">
        <v>3</v>
      </c>
      <c r="AC1832">
        <v>60</v>
      </c>
      <c r="AD1832">
        <v>628.82000000000005</v>
      </c>
      <c r="AE1832">
        <f t="shared" si="56"/>
        <v>960.33</v>
      </c>
      <c r="AF1832" t="str">
        <f t="shared" si="57"/>
        <v>2025-08</v>
      </c>
      <c r="AG1832">
        <f>SUBTOTAL(103,A1832)</f>
        <v>1</v>
      </c>
    </row>
    <row r="1833" spans="1:33" x14ac:dyDescent="0.3">
      <c r="A1833" t="s">
        <v>4451</v>
      </c>
      <c r="B1833" s="13">
        <v>45887</v>
      </c>
      <c r="C1833">
        <v>2025</v>
      </c>
      <c r="D1833">
        <v>8</v>
      </c>
      <c r="E1833" t="s">
        <v>4301</v>
      </c>
      <c r="F1833" t="s">
        <v>4047</v>
      </c>
      <c r="G1833" t="s">
        <v>361</v>
      </c>
      <c r="H1833" t="s">
        <v>362</v>
      </c>
      <c r="I1833" t="s">
        <v>86</v>
      </c>
      <c r="J1833">
        <v>23</v>
      </c>
      <c r="K1833" t="s">
        <v>80</v>
      </c>
      <c r="L1833" t="s">
        <v>95</v>
      </c>
      <c r="M1833" t="s">
        <v>56</v>
      </c>
      <c r="N1833" t="s">
        <v>2577</v>
      </c>
      <c r="O1833" t="s">
        <v>129</v>
      </c>
      <c r="P1833" t="s">
        <v>49</v>
      </c>
      <c r="Q1833" t="s">
        <v>149</v>
      </c>
      <c r="R1833">
        <v>3</v>
      </c>
      <c r="S1833">
        <v>1299</v>
      </c>
      <c r="T1833">
        <v>0.05</v>
      </c>
      <c r="U1833">
        <v>3702.15</v>
      </c>
      <c r="V1833">
        <v>1950</v>
      </c>
      <c r="W1833">
        <v>1752.15</v>
      </c>
      <c r="X1833" t="s">
        <v>74</v>
      </c>
      <c r="Y1833" t="s">
        <v>68</v>
      </c>
      <c r="Z1833" t="s">
        <v>160</v>
      </c>
      <c r="AA1833" t="s">
        <v>169</v>
      </c>
      <c r="AB1833">
        <v>4.3</v>
      </c>
      <c r="AC1833">
        <v>50</v>
      </c>
      <c r="AD1833">
        <v>232.34</v>
      </c>
      <c r="AE1833">
        <f t="shared" si="56"/>
        <v>1469.8100000000002</v>
      </c>
      <c r="AF1833" t="str">
        <f t="shared" si="57"/>
        <v>2025-08</v>
      </c>
      <c r="AG1833">
        <f>SUBTOTAL(103,A1833)</f>
        <v>1</v>
      </c>
    </row>
    <row r="1834" spans="1:33" x14ac:dyDescent="0.3">
      <c r="A1834" t="s">
        <v>4452</v>
      </c>
      <c r="B1834" s="13">
        <v>45887</v>
      </c>
      <c r="C1834">
        <v>2025</v>
      </c>
      <c r="D1834">
        <v>8</v>
      </c>
      <c r="E1834" t="s">
        <v>4301</v>
      </c>
      <c r="F1834" t="s">
        <v>4047</v>
      </c>
      <c r="G1834" t="s">
        <v>761</v>
      </c>
      <c r="H1834" t="s">
        <v>762</v>
      </c>
      <c r="I1834" t="s">
        <v>86</v>
      </c>
      <c r="J1834">
        <v>34</v>
      </c>
      <c r="K1834" t="s">
        <v>81</v>
      </c>
      <c r="L1834" t="s">
        <v>90</v>
      </c>
      <c r="M1834" t="s">
        <v>55</v>
      </c>
      <c r="N1834" t="s">
        <v>2601</v>
      </c>
      <c r="O1834" t="s">
        <v>117</v>
      </c>
      <c r="P1834" t="s">
        <v>49</v>
      </c>
      <c r="Q1834" t="s">
        <v>139</v>
      </c>
      <c r="R1834">
        <v>2</v>
      </c>
      <c r="S1834">
        <v>6999</v>
      </c>
      <c r="T1834">
        <v>0.1</v>
      </c>
      <c r="U1834">
        <v>12598.2</v>
      </c>
      <c r="V1834">
        <v>8600</v>
      </c>
      <c r="W1834">
        <v>3998.2</v>
      </c>
      <c r="X1834" t="s">
        <v>73</v>
      </c>
      <c r="Y1834" t="s">
        <v>68</v>
      </c>
      <c r="Z1834" t="s">
        <v>158</v>
      </c>
      <c r="AA1834" t="s">
        <v>167</v>
      </c>
      <c r="AB1834">
        <v>4.0999999999999996</v>
      </c>
      <c r="AC1834">
        <v>50</v>
      </c>
      <c r="AD1834">
        <v>415.36</v>
      </c>
      <c r="AE1834">
        <f t="shared" si="56"/>
        <v>3532.8399999999997</v>
      </c>
      <c r="AF1834" t="str">
        <f t="shared" si="57"/>
        <v>2025-08</v>
      </c>
      <c r="AG1834">
        <f>SUBTOTAL(103,A1834)</f>
        <v>1</v>
      </c>
    </row>
    <row r="1835" spans="1:33" x14ac:dyDescent="0.3">
      <c r="A1835" t="s">
        <v>4453</v>
      </c>
      <c r="B1835" s="13">
        <v>45888</v>
      </c>
      <c r="C1835">
        <v>2025</v>
      </c>
      <c r="D1835">
        <v>8</v>
      </c>
      <c r="E1835" t="s">
        <v>4301</v>
      </c>
      <c r="F1835" t="s">
        <v>4047</v>
      </c>
      <c r="G1835" t="s">
        <v>1077</v>
      </c>
      <c r="H1835" t="s">
        <v>1078</v>
      </c>
      <c r="I1835" t="s">
        <v>86</v>
      </c>
      <c r="J1835">
        <v>40</v>
      </c>
      <c r="K1835" t="s">
        <v>82</v>
      </c>
      <c r="L1835" t="s">
        <v>2589</v>
      </c>
      <c r="M1835" t="s">
        <v>61</v>
      </c>
      <c r="N1835" t="s">
        <v>2584</v>
      </c>
      <c r="O1835" t="s">
        <v>121</v>
      </c>
      <c r="P1835" t="s">
        <v>50</v>
      </c>
      <c r="Q1835" t="s">
        <v>144</v>
      </c>
      <c r="R1835">
        <v>4</v>
      </c>
      <c r="S1835">
        <v>2999</v>
      </c>
      <c r="T1835">
        <v>0.2</v>
      </c>
      <c r="U1835">
        <v>9596.7999999999993</v>
      </c>
      <c r="V1835">
        <v>6800</v>
      </c>
      <c r="W1835">
        <v>2796.8</v>
      </c>
      <c r="X1835" t="s">
        <v>74</v>
      </c>
      <c r="Y1835" t="s">
        <v>68</v>
      </c>
      <c r="Z1835" t="s">
        <v>160</v>
      </c>
      <c r="AA1835" t="s">
        <v>169</v>
      </c>
      <c r="AB1835">
        <v>3.3</v>
      </c>
      <c r="AC1835">
        <v>60</v>
      </c>
      <c r="AD1835">
        <v>448.15</v>
      </c>
      <c r="AE1835">
        <f t="shared" si="56"/>
        <v>2288.65</v>
      </c>
      <c r="AF1835" t="str">
        <f t="shared" si="57"/>
        <v>2025-08</v>
      </c>
      <c r="AG1835">
        <f>SUBTOTAL(103,A1835)</f>
        <v>1</v>
      </c>
    </row>
    <row r="1836" spans="1:33" x14ac:dyDescent="0.3">
      <c r="A1836" t="s">
        <v>4454</v>
      </c>
      <c r="B1836" s="13">
        <v>45888</v>
      </c>
      <c r="C1836">
        <v>2025</v>
      </c>
      <c r="D1836">
        <v>8</v>
      </c>
      <c r="E1836" t="s">
        <v>4301</v>
      </c>
      <c r="F1836" t="s">
        <v>4047</v>
      </c>
      <c r="G1836" t="s">
        <v>675</v>
      </c>
      <c r="H1836" t="s">
        <v>676</v>
      </c>
      <c r="I1836" t="s">
        <v>85</v>
      </c>
      <c r="J1836">
        <v>33</v>
      </c>
      <c r="K1836" t="s">
        <v>81</v>
      </c>
      <c r="L1836" t="s">
        <v>2605</v>
      </c>
      <c r="M1836" t="s">
        <v>60</v>
      </c>
      <c r="N1836" t="s">
        <v>2592</v>
      </c>
      <c r="O1836" t="s">
        <v>115</v>
      </c>
      <c r="P1836" t="s">
        <v>48</v>
      </c>
      <c r="Q1836" t="s">
        <v>137</v>
      </c>
      <c r="R1836">
        <v>2</v>
      </c>
      <c r="S1836">
        <v>12999</v>
      </c>
      <c r="T1836">
        <v>0.1</v>
      </c>
      <c r="U1836">
        <v>0</v>
      </c>
      <c r="V1836">
        <v>0</v>
      </c>
      <c r="W1836">
        <v>0</v>
      </c>
      <c r="X1836" t="s">
        <v>73</v>
      </c>
      <c r="Y1836" t="s">
        <v>71</v>
      </c>
      <c r="Z1836" t="s">
        <v>161</v>
      </c>
      <c r="AA1836" t="s">
        <v>171</v>
      </c>
      <c r="AB1836">
        <v>3.6</v>
      </c>
      <c r="AC1836">
        <v>120</v>
      </c>
      <c r="AD1836">
        <v>1029.51</v>
      </c>
      <c r="AE1836">
        <f t="shared" si="56"/>
        <v>-1149.51</v>
      </c>
      <c r="AF1836" t="str">
        <f t="shared" si="57"/>
        <v>2025-08</v>
      </c>
      <c r="AG1836">
        <f>SUBTOTAL(103,A1836)</f>
        <v>1</v>
      </c>
    </row>
    <row r="1837" spans="1:33" x14ac:dyDescent="0.3">
      <c r="A1837" t="s">
        <v>4455</v>
      </c>
      <c r="B1837" s="13">
        <v>45888</v>
      </c>
      <c r="C1837">
        <v>2025</v>
      </c>
      <c r="D1837">
        <v>8</v>
      </c>
      <c r="E1837" t="s">
        <v>4301</v>
      </c>
      <c r="F1837" t="s">
        <v>4047</v>
      </c>
      <c r="G1837" t="s">
        <v>1823</v>
      </c>
      <c r="H1837" t="s">
        <v>1824</v>
      </c>
      <c r="I1837" t="s">
        <v>86</v>
      </c>
      <c r="J1837">
        <v>47</v>
      </c>
      <c r="K1837" t="s">
        <v>83</v>
      </c>
      <c r="L1837" t="s">
        <v>96</v>
      </c>
      <c r="M1837" t="s">
        <v>55</v>
      </c>
      <c r="N1837" t="s">
        <v>2603</v>
      </c>
      <c r="O1837" t="s">
        <v>122</v>
      </c>
      <c r="P1837" t="s">
        <v>48</v>
      </c>
      <c r="Q1837" t="s">
        <v>141</v>
      </c>
      <c r="R1837">
        <v>2</v>
      </c>
      <c r="S1837">
        <v>2499</v>
      </c>
      <c r="T1837">
        <v>0</v>
      </c>
      <c r="U1837">
        <v>4998</v>
      </c>
      <c r="V1837">
        <v>2900</v>
      </c>
      <c r="W1837">
        <v>2098</v>
      </c>
      <c r="X1837" t="s">
        <v>73</v>
      </c>
      <c r="Y1837" t="s">
        <v>68</v>
      </c>
      <c r="Z1837" t="s">
        <v>161</v>
      </c>
      <c r="AA1837" t="s">
        <v>167</v>
      </c>
      <c r="AB1837">
        <v>3.1</v>
      </c>
      <c r="AC1837">
        <v>50</v>
      </c>
      <c r="AD1837">
        <v>128.04</v>
      </c>
      <c r="AE1837">
        <f t="shared" si="56"/>
        <v>1919.96</v>
      </c>
      <c r="AF1837" t="str">
        <f t="shared" si="57"/>
        <v>2025-08</v>
      </c>
      <c r="AG1837">
        <f>SUBTOTAL(103,A1837)</f>
        <v>1</v>
      </c>
    </row>
    <row r="1838" spans="1:33" x14ac:dyDescent="0.3">
      <c r="A1838" t="s">
        <v>4456</v>
      </c>
      <c r="B1838" s="13">
        <v>45888</v>
      </c>
      <c r="C1838">
        <v>2025</v>
      </c>
      <c r="D1838">
        <v>8</v>
      </c>
      <c r="E1838" t="s">
        <v>4301</v>
      </c>
      <c r="F1838" t="s">
        <v>4047</v>
      </c>
      <c r="G1838" t="s">
        <v>731</v>
      </c>
      <c r="H1838" t="s">
        <v>732</v>
      </c>
      <c r="I1838" t="s">
        <v>85</v>
      </c>
      <c r="J1838">
        <v>31</v>
      </c>
      <c r="K1838" t="s">
        <v>81</v>
      </c>
      <c r="L1838" t="s">
        <v>93</v>
      </c>
      <c r="M1838" t="s">
        <v>55</v>
      </c>
      <c r="N1838" t="s">
        <v>2644</v>
      </c>
      <c r="O1838" t="s">
        <v>126</v>
      </c>
      <c r="P1838" t="s">
        <v>50</v>
      </c>
      <c r="Q1838" t="s">
        <v>145</v>
      </c>
      <c r="R1838">
        <v>4</v>
      </c>
      <c r="S1838">
        <v>1799</v>
      </c>
      <c r="T1838">
        <v>0.1</v>
      </c>
      <c r="U1838">
        <v>6476.4</v>
      </c>
      <c r="V1838">
        <v>3800</v>
      </c>
      <c r="W1838">
        <v>2676.4</v>
      </c>
      <c r="X1838" t="s">
        <v>76</v>
      </c>
      <c r="Y1838" t="s">
        <v>68</v>
      </c>
      <c r="Z1838" t="s">
        <v>162</v>
      </c>
      <c r="AA1838" t="s">
        <v>170</v>
      </c>
      <c r="AB1838">
        <v>5</v>
      </c>
      <c r="AC1838">
        <v>80</v>
      </c>
      <c r="AD1838">
        <v>535.82000000000005</v>
      </c>
      <c r="AE1838">
        <f t="shared" si="56"/>
        <v>2060.58</v>
      </c>
      <c r="AF1838" t="str">
        <f t="shared" si="57"/>
        <v>2025-08</v>
      </c>
      <c r="AG1838">
        <f>SUBTOTAL(103,A1838)</f>
        <v>1</v>
      </c>
    </row>
    <row r="1839" spans="1:33" x14ac:dyDescent="0.3">
      <c r="A1839" t="s">
        <v>4457</v>
      </c>
      <c r="B1839" s="13">
        <v>45888</v>
      </c>
      <c r="C1839">
        <v>2025</v>
      </c>
      <c r="D1839">
        <v>8</v>
      </c>
      <c r="E1839" t="s">
        <v>4301</v>
      </c>
      <c r="F1839" t="s">
        <v>4047</v>
      </c>
      <c r="G1839" t="s">
        <v>1111</v>
      </c>
      <c r="H1839" t="s">
        <v>1112</v>
      </c>
      <c r="I1839" t="s">
        <v>85</v>
      </c>
      <c r="J1839">
        <v>36</v>
      </c>
      <c r="K1839" t="s">
        <v>82</v>
      </c>
      <c r="L1839" t="s">
        <v>96</v>
      </c>
      <c r="M1839" t="s">
        <v>55</v>
      </c>
      <c r="N1839" t="s">
        <v>2644</v>
      </c>
      <c r="O1839" t="s">
        <v>126</v>
      </c>
      <c r="P1839" t="s">
        <v>50</v>
      </c>
      <c r="Q1839" t="s">
        <v>145</v>
      </c>
      <c r="R1839">
        <v>3</v>
      </c>
      <c r="S1839">
        <v>1799</v>
      </c>
      <c r="T1839">
        <v>0.2</v>
      </c>
      <c r="U1839">
        <v>0</v>
      </c>
      <c r="V1839">
        <v>0</v>
      </c>
      <c r="W1839">
        <v>0</v>
      </c>
      <c r="X1839" t="s">
        <v>77</v>
      </c>
      <c r="Y1839" t="s">
        <v>71</v>
      </c>
      <c r="Z1839" t="s">
        <v>159</v>
      </c>
      <c r="AA1839" t="s">
        <v>167</v>
      </c>
      <c r="AB1839">
        <v>5</v>
      </c>
      <c r="AC1839">
        <v>120</v>
      </c>
      <c r="AD1839">
        <v>243.03</v>
      </c>
      <c r="AE1839">
        <f t="shared" si="56"/>
        <v>-363.03</v>
      </c>
      <c r="AF1839" t="str">
        <f t="shared" si="57"/>
        <v>2025-08</v>
      </c>
      <c r="AG1839">
        <f>SUBTOTAL(103,A1839)</f>
        <v>1</v>
      </c>
    </row>
    <row r="1840" spans="1:33" x14ac:dyDescent="0.3">
      <c r="A1840" t="s">
        <v>4458</v>
      </c>
      <c r="B1840" s="13">
        <v>45888</v>
      </c>
      <c r="C1840">
        <v>2025</v>
      </c>
      <c r="D1840">
        <v>8</v>
      </c>
      <c r="E1840" t="s">
        <v>4301</v>
      </c>
      <c r="F1840" t="s">
        <v>4047</v>
      </c>
      <c r="G1840" t="s">
        <v>1213</v>
      </c>
      <c r="H1840" t="s">
        <v>1214</v>
      </c>
      <c r="I1840" t="s">
        <v>86</v>
      </c>
      <c r="J1840">
        <v>25</v>
      </c>
      <c r="K1840" t="s">
        <v>80</v>
      </c>
      <c r="L1840" t="s">
        <v>92</v>
      </c>
      <c r="M1840" t="s">
        <v>59</v>
      </c>
      <c r="N1840" t="s">
        <v>2630</v>
      </c>
      <c r="O1840" t="s">
        <v>123</v>
      </c>
      <c r="P1840" t="s">
        <v>52</v>
      </c>
      <c r="Q1840" t="s">
        <v>146</v>
      </c>
      <c r="R1840">
        <v>4</v>
      </c>
      <c r="S1840">
        <v>2499</v>
      </c>
      <c r="T1840">
        <v>0.05</v>
      </c>
      <c r="U1840">
        <v>9496.2000000000007</v>
      </c>
      <c r="V1840">
        <v>5600</v>
      </c>
      <c r="W1840">
        <v>3896.2</v>
      </c>
      <c r="X1840" t="s">
        <v>74</v>
      </c>
      <c r="Y1840" t="s">
        <v>68</v>
      </c>
      <c r="Z1840" t="s">
        <v>158</v>
      </c>
      <c r="AA1840" t="s">
        <v>166</v>
      </c>
      <c r="AB1840">
        <v>3.2</v>
      </c>
      <c r="AC1840">
        <v>80</v>
      </c>
      <c r="AD1840">
        <v>300.95</v>
      </c>
      <c r="AE1840">
        <f t="shared" si="56"/>
        <v>3515.25</v>
      </c>
      <c r="AF1840" t="str">
        <f t="shared" si="57"/>
        <v>2025-08</v>
      </c>
      <c r="AG1840">
        <f>SUBTOTAL(103,A1840)</f>
        <v>1</v>
      </c>
    </row>
    <row r="1841" spans="1:33" x14ac:dyDescent="0.3">
      <c r="A1841" t="s">
        <v>4459</v>
      </c>
      <c r="B1841" s="13">
        <v>45889</v>
      </c>
      <c r="C1841">
        <v>2025</v>
      </c>
      <c r="D1841">
        <v>8</v>
      </c>
      <c r="E1841" t="s">
        <v>4301</v>
      </c>
      <c r="F1841" t="s">
        <v>4047</v>
      </c>
      <c r="G1841" t="s">
        <v>779</v>
      </c>
      <c r="H1841" t="s">
        <v>780</v>
      </c>
      <c r="I1841" t="s">
        <v>85</v>
      </c>
      <c r="J1841">
        <v>19</v>
      </c>
      <c r="K1841" t="s">
        <v>80</v>
      </c>
      <c r="L1841" t="s">
        <v>96</v>
      </c>
      <c r="M1841" t="s">
        <v>55</v>
      </c>
      <c r="N1841" t="s">
        <v>2577</v>
      </c>
      <c r="O1841" t="s">
        <v>129</v>
      </c>
      <c r="P1841" t="s">
        <v>49</v>
      </c>
      <c r="Q1841" t="s">
        <v>149</v>
      </c>
      <c r="R1841">
        <v>4</v>
      </c>
      <c r="S1841">
        <v>1299</v>
      </c>
      <c r="T1841">
        <v>0.15</v>
      </c>
      <c r="U1841">
        <v>4416.6000000000004</v>
      </c>
      <c r="V1841">
        <v>2600</v>
      </c>
      <c r="W1841">
        <v>1816.6</v>
      </c>
      <c r="X1841" t="s">
        <v>76</v>
      </c>
      <c r="Y1841" t="s">
        <v>68</v>
      </c>
      <c r="Z1841" t="s">
        <v>162</v>
      </c>
      <c r="AA1841" t="s">
        <v>169</v>
      </c>
      <c r="AB1841">
        <v>3.8</v>
      </c>
      <c r="AC1841">
        <v>100</v>
      </c>
      <c r="AD1841">
        <v>218.87</v>
      </c>
      <c r="AE1841">
        <f t="shared" si="56"/>
        <v>1497.73</v>
      </c>
      <c r="AF1841" t="str">
        <f t="shared" si="57"/>
        <v>2025-08</v>
      </c>
      <c r="AG1841">
        <f>SUBTOTAL(103,A1841)</f>
        <v>1</v>
      </c>
    </row>
    <row r="1842" spans="1:33" x14ac:dyDescent="0.3">
      <c r="A1842" t="s">
        <v>4460</v>
      </c>
      <c r="B1842" s="13">
        <v>45889</v>
      </c>
      <c r="C1842">
        <v>2025</v>
      </c>
      <c r="D1842">
        <v>8</v>
      </c>
      <c r="E1842" t="s">
        <v>4301</v>
      </c>
      <c r="F1842" t="s">
        <v>4047</v>
      </c>
      <c r="G1842" t="s">
        <v>1327</v>
      </c>
      <c r="H1842" t="s">
        <v>1328</v>
      </c>
      <c r="I1842" t="s">
        <v>85</v>
      </c>
      <c r="J1842">
        <v>44</v>
      </c>
      <c r="K1842" t="s">
        <v>82</v>
      </c>
      <c r="L1842" t="s">
        <v>2610</v>
      </c>
      <c r="M1842" t="s">
        <v>64</v>
      </c>
      <c r="N1842" t="s">
        <v>2590</v>
      </c>
      <c r="O1842" t="s">
        <v>127</v>
      </c>
      <c r="P1842" t="s">
        <v>51</v>
      </c>
      <c r="Q1842" t="s">
        <v>148</v>
      </c>
      <c r="R1842">
        <v>2</v>
      </c>
      <c r="S1842">
        <v>1599</v>
      </c>
      <c r="T1842">
        <v>0</v>
      </c>
      <c r="U1842">
        <v>3198</v>
      </c>
      <c r="V1842">
        <v>1600</v>
      </c>
      <c r="W1842">
        <v>1598</v>
      </c>
      <c r="X1842" t="s">
        <v>73</v>
      </c>
      <c r="Y1842" t="s">
        <v>68</v>
      </c>
      <c r="Z1842" t="s">
        <v>158</v>
      </c>
      <c r="AA1842" t="s">
        <v>166</v>
      </c>
      <c r="AB1842">
        <v>4</v>
      </c>
      <c r="AC1842">
        <v>80</v>
      </c>
      <c r="AD1842">
        <v>83.73</v>
      </c>
      <c r="AE1842">
        <f t="shared" si="56"/>
        <v>1434.27</v>
      </c>
      <c r="AF1842" t="str">
        <f t="shared" si="57"/>
        <v>2025-08</v>
      </c>
      <c r="AG1842">
        <f>SUBTOTAL(103,A1842)</f>
        <v>1</v>
      </c>
    </row>
    <row r="1843" spans="1:33" x14ac:dyDescent="0.3">
      <c r="A1843" t="s">
        <v>4461</v>
      </c>
      <c r="B1843" s="13">
        <v>45889</v>
      </c>
      <c r="C1843">
        <v>2025</v>
      </c>
      <c r="D1843">
        <v>8</v>
      </c>
      <c r="E1843" t="s">
        <v>4301</v>
      </c>
      <c r="F1843" t="s">
        <v>4047</v>
      </c>
      <c r="G1843" t="s">
        <v>2285</v>
      </c>
      <c r="H1843" t="s">
        <v>2286</v>
      </c>
      <c r="I1843" t="s">
        <v>85</v>
      </c>
      <c r="J1843">
        <v>59</v>
      </c>
      <c r="K1843" t="s">
        <v>83</v>
      </c>
      <c r="L1843" t="s">
        <v>2679</v>
      </c>
      <c r="M1843" t="s">
        <v>60</v>
      </c>
      <c r="N1843" t="s">
        <v>2601</v>
      </c>
      <c r="O1843" t="s">
        <v>117</v>
      </c>
      <c r="P1843" t="s">
        <v>49</v>
      </c>
      <c r="Q1843" t="s">
        <v>139</v>
      </c>
      <c r="R1843">
        <v>1</v>
      </c>
      <c r="S1843">
        <v>6999</v>
      </c>
      <c r="T1843">
        <v>0.05</v>
      </c>
      <c r="U1843">
        <v>0</v>
      </c>
      <c r="V1843">
        <v>0</v>
      </c>
      <c r="W1843">
        <v>0</v>
      </c>
      <c r="X1843" t="s">
        <v>73</v>
      </c>
      <c r="Y1843" t="s">
        <v>71</v>
      </c>
      <c r="Z1843" t="s">
        <v>159</v>
      </c>
      <c r="AA1843" t="s">
        <v>168</v>
      </c>
      <c r="AB1843">
        <v>4.9000000000000004</v>
      </c>
      <c r="AC1843">
        <v>60</v>
      </c>
      <c r="AD1843">
        <v>385.34</v>
      </c>
      <c r="AE1843">
        <f t="shared" si="56"/>
        <v>-445.34</v>
      </c>
      <c r="AF1843" t="str">
        <f t="shared" si="57"/>
        <v>2025-08</v>
      </c>
      <c r="AG1843">
        <f>SUBTOTAL(103,A1843)</f>
        <v>1</v>
      </c>
    </row>
    <row r="1844" spans="1:33" x14ac:dyDescent="0.3">
      <c r="A1844" t="s">
        <v>4462</v>
      </c>
      <c r="B1844" s="13">
        <v>45889</v>
      </c>
      <c r="C1844">
        <v>2025</v>
      </c>
      <c r="D1844">
        <v>8</v>
      </c>
      <c r="E1844" t="s">
        <v>4301</v>
      </c>
      <c r="F1844" t="s">
        <v>4047</v>
      </c>
      <c r="G1844" t="s">
        <v>1901</v>
      </c>
      <c r="H1844" t="s">
        <v>1902</v>
      </c>
      <c r="I1844" t="s">
        <v>86</v>
      </c>
      <c r="J1844">
        <v>34</v>
      </c>
      <c r="K1844" t="s">
        <v>81</v>
      </c>
      <c r="L1844" t="s">
        <v>2612</v>
      </c>
      <c r="M1844" t="s">
        <v>64</v>
      </c>
      <c r="N1844" t="s">
        <v>2606</v>
      </c>
      <c r="O1844" t="s">
        <v>120</v>
      </c>
      <c r="P1844" t="s">
        <v>49</v>
      </c>
      <c r="Q1844" t="s">
        <v>140</v>
      </c>
      <c r="R1844">
        <v>2</v>
      </c>
      <c r="S1844">
        <v>2799</v>
      </c>
      <c r="T1844">
        <v>0.1</v>
      </c>
      <c r="U1844">
        <v>5038.2</v>
      </c>
      <c r="V1844">
        <v>3300</v>
      </c>
      <c r="W1844">
        <v>1738.2</v>
      </c>
      <c r="X1844" t="s">
        <v>77</v>
      </c>
      <c r="Y1844" t="s">
        <v>70</v>
      </c>
      <c r="Z1844" t="s">
        <v>159</v>
      </c>
      <c r="AA1844" t="s">
        <v>166</v>
      </c>
      <c r="AB1844">
        <v>4.0999999999999996</v>
      </c>
      <c r="AC1844">
        <v>50</v>
      </c>
      <c r="AD1844">
        <v>437.87</v>
      </c>
      <c r="AE1844">
        <f t="shared" si="56"/>
        <v>1250.33</v>
      </c>
      <c r="AF1844" t="str">
        <f t="shared" si="57"/>
        <v>2025-08</v>
      </c>
      <c r="AG1844">
        <f>SUBTOTAL(103,A1844)</f>
        <v>1</v>
      </c>
    </row>
    <row r="1845" spans="1:33" x14ac:dyDescent="0.3">
      <c r="A1845" t="s">
        <v>4463</v>
      </c>
      <c r="B1845" s="13">
        <v>45889</v>
      </c>
      <c r="C1845">
        <v>2025</v>
      </c>
      <c r="D1845">
        <v>8</v>
      </c>
      <c r="E1845" t="s">
        <v>4301</v>
      </c>
      <c r="F1845" t="s">
        <v>4047</v>
      </c>
      <c r="G1845" t="s">
        <v>227</v>
      </c>
      <c r="H1845" t="s">
        <v>228</v>
      </c>
      <c r="I1845" t="s">
        <v>87</v>
      </c>
      <c r="J1845">
        <v>38</v>
      </c>
      <c r="K1845" t="s">
        <v>82</v>
      </c>
      <c r="L1845" t="s">
        <v>2634</v>
      </c>
      <c r="M1845" t="s">
        <v>56</v>
      </c>
      <c r="N1845" t="s">
        <v>2626</v>
      </c>
      <c r="O1845" t="s">
        <v>125</v>
      </c>
      <c r="P1845" t="s">
        <v>48</v>
      </c>
      <c r="Q1845" t="s">
        <v>141</v>
      </c>
      <c r="R1845">
        <v>3</v>
      </c>
      <c r="S1845">
        <v>1999</v>
      </c>
      <c r="T1845">
        <v>0</v>
      </c>
      <c r="U1845">
        <v>5997</v>
      </c>
      <c r="V1845">
        <v>3450</v>
      </c>
      <c r="W1845">
        <v>2547</v>
      </c>
      <c r="X1845" t="s">
        <v>75</v>
      </c>
      <c r="Y1845" t="s">
        <v>68</v>
      </c>
      <c r="Z1845" t="s">
        <v>162</v>
      </c>
      <c r="AA1845" t="s">
        <v>166</v>
      </c>
      <c r="AB1845">
        <v>3.9</v>
      </c>
      <c r="AC1845">
        <v>50</v>
      </c>
      <c r="AD1845">
        <v>718.94</v>
      </c>
      <c r="AE1845">
        <f t="shared" si="56"/>
        <v>1778.06</v>
      </c>
      <c r="AF1845" t="str">
        <f t="shared" si="57"/>
        <v>2025-08</v>
      </c>
      <c r="AG1845">
        <f>SUBTOTAL(103,A1845)</f>
        <v>1</v>
      </c>
    </row>
    <row r="1846" spans="1:33" x14ac:dyDescent="0.3">
      <c r="A1846" t="s">
        <v>4464</v>
      </c>
      <c r="B1846" s="13">
        <v>45889</v>
      </c>
      <c r="C1846">
        <v>2025</v>
      </c>
      <c r="D1846">
        <v>8</v>
      </c>
      <c r="E1846" t="s">
        <v>4301</v>
      </c>
      <c r="F1846" t="s">
        <v>4047</v>
      </c>
      <c r="G1846" t="s">
        <v>907</v>
      </c>
      <c r="H1846" t="s">
        <v>908</v>
      </c>
      <c r="I1846" t="s">
        <v>85</v>
      </c>
      <c r="J1846">
        <v>60</v>
      </c>
      <c r="K1846" t="s">
        <v>83</v>
      </c>
      <c r="L1846" t="s">
        <v>2586</v>
      </c>
      <c r="M1846" t="s">
        <v>62</v>
      </c>
      <c r="N1846" t="s">
        <v>2647</v>
      </c>
      <c r="O1846" t="s">
        <v>133</v>
      </c>
      <c r="P1846" t="s">
        <v>50</v>
      </c>
      <c r="Q1846" t="s">
        <v>145</v>
      </c>
      <c r="R1846">
        <v>1</v>
      </c>
      <c r="S1846">
        <v>799</v>
      </c>
      <c r="T1846">
        <v>0.1</v>
      </c>
      <c r="U1846">
        <v>719.1</v>
      </c>
      <c r="V1846">
        <v>390</v>
      </c>
      <c r="W1846">
        <v>329.1</v>
      </c>
      <c r="X1846" t="s">
        <v>76</v>
      </c>
      <c r="Y1846" t="s">
        <v>68</v>
      </c>
      <c r="Z1846" t="s">
        <v>160</v>
      </c>
      <c r="AA1846" t="s">
        <v>166</v>
      </c>
      <c r="AB1846">
        <v>4.2</v>
      </c>
      <c r="AC1846">
        <v>40</v>
      </c>
      <c r="AD1846">
        <v>75.53</v>
      </c>
      <c r="AE1846">
        <f t="shared" si="56"/>
        <v>213.57000000000002</v>
      </c>
      <c r="AF1846" t="str">
        <f t="shared" si="57"/>
        <v>2025-08</v>
      </c>
      <c r="AG1846">
        <f>SUBTOTAL(103,A1846)</f>
        <v>1</v>
      </c>
    </row>
    <row r="1847" spans="1:33" x14ac:dyDescent="0.3">
      <c r="A1847" t="s">
        <v>4465</v>
      </c>
      <c r="B1847" s="13">
        <v>45889</v>
      </c>
      <c r="C1847">
        <v>2025</v>
      </c>
      <c r="D1847">
        <v>8</v>
      </c>
      <c r="E1847" t="s">
        <v>4301</v>
      </c>
      <c r="F1847" t="s">
        <v>4047</v>
      </c>
      <c r="G1847" t="s">
        <v>1891</v>
      </c>
      <c r="H1847" t="s">
        <v>1892</v>
      </c>
      <c r="I1847" t="s">
        <v>85</v>
      </c>
      <c r="J1847">
        <v>35</v>
      </c>
      <c r="K1847" t="s">
        <v>81</v>
      </c>
      <c r="L1847" t="s">
        <v>2573</v>
      </c>
      <c r="M1847" t="s">
        <v>63</v>
      </c>
      <c r="N1847" t="s">
        <v>2606</v>
      </c>
      <c r="O1847" t="s">
        <v>120</v>
      </c>
      <c r="P1847" t="s">
        <v>49</v>
      </c>
      <c r="Q1847" t="s">
        <v>140</v>
      </c>
      <c r="R1847">
        <v>2</v>
      </c>
      <c r="S1847">
        <v>2799</v>
      </c>
      <c r="T1847">
        <v>0.1</v>
      </c>
      <c r="U1847">
        <v>0</v>
      </c>
      <c r="V1847">
        <v>0</v>
      </c>
      <c r="W1847">
        <v>0</v>
      </c>
      <c r="X1847" t="s">
        <v>75</v>
      </c>
      <c r="Y1847" t="s">
        <v>71</v>
      </c>
      <c r="Z1847" t="s">
        <v>161</v>
      </c>
      <c r="AA1847" t="s">
        <v>168</v>
      </c>
      <c r="AB1847">
        <v>5</v>
      </c>
      <c r="AC1847">
        <v>60</v>
      </c>
      <c r="AD1847">
        <v>471.21</v>
      </c>
      <c r="AE1847">
        <f t="shared" si="56"/>
        <v>-531.21</v>
      </c>
      <c r="AF1847" t="str">
        <f t="shared" si="57"/>
        <v>2025-08</v>
      </c>
      <c r="AG1847">
        <f>SUBTOTAL(103,A1847)</f>
        <v>1</v>
      </c>
    </row>
    <row r="1848" spans="1:33" x14ac:dyDescent="0.3">
      <c r="A1848" t="s">
        <v>4466</v>
      </c>
      <c r="B1848" s="13">
        <v>45889</v>
      </c>
      <c r="C1848">
        <v>2025</v>
      </c>
      <c r="D1848">
        <v>8</v>
      </c>
      <c r="E1848" t="s">
        <v>4301</v>
      </c>
      <c r="F1848" t="s">
        <v>4047</v>
      </c>
      <c r="G1848" t="s">
        <v>1443</v>
      </c>
      <c r="H1848" t="s">
        <v>1444</v>
      </c>
      <c r="I1848" t="s">
        <v>86</v>
      </c>
      <c r="J1848">
        <v>28</v>
      </c>
      <c r="K1848" t="s">
        <v>81</v>
      </c>
      <c r="L1848" t="s">
        <v>95</v>
      </c>
      <c r="M1848" t="s">
        <v>56</v>
      </c>
      <c r="N1848" t="s">
        <v>2582</v>
      </c>
      <c r="O1848" t="s">
        <v>119</v>
      </c>
      <c r="P1848" t="s">
        <v>49</v>
      </c>
      <c r="Q1848" t="s">
        <v>140</v>
      </c>
      <c r="R1848">
        <v>4</v>
      </c>
      <c r="S1848">
        <v>3499</v>
      </c>
      <c r="T1848">
        <v>0.1</v>
      </c>
      <c r="U1848">
        <v>12596.4</v>
      </c>
      <c r="V1848">
        <v>8400</v>
      </c>
      <c r="W1848">
        <v>4196.3999999999996</v>
      </c>
      <c r="X1848" t="s">
        <v>76</v>
      </c>
      <c r="Y1848" t="s">
        <v>68</v>
      </c>
      <c r="Z1848" t="s">
        <v>158</v>
      </c>
      <c r="AA1848" t="s">
        <v>170</v>
      </c>
      <c r="AB1848">
        <v>3.1</v>
      </c>
      <c r="AC1848">
        <v>50</v>
      </c>
      <c r="AD1848">
        <v>778.06</v>
      </c>
      <c r="AE1848">
        <f t="shared" si="56"/>
        <v>3368.3399999999997</v>
      </c>
      <c r="AF1848" t="str">
        <f t="shared" si="57"/>
        <v>2025-08</v>
      </c>
      <c r="AG1848">
        <f>SUBTOTAL(103,A1848)</f>
        <v>1</v>
      </c>
    </row>
    <row r="1849" spans="1:33" x14ac:dyDescent="0.3">
      <c r="A1849" t="s">
        <v>4467</v>
      </c>
      <c r="B1849" s="13">
        <v>45889</v>
      </c>
      <c r="C1849">
        <v>2025</v>
      </c>
      <c r="D1849">
        <v>8</v>
      </c>
      <c r="E1849" t="s">
        <v>4301</v>
      </c>
      <c r="F1849" t="s">
        <v>4047</v>
      </c>
      <c r="G1849" t="s">
        <v>1247</v>
      </c>
      <c r="H1849" t="s">
        <v>1248</v>
      </c>
      <c r="I1849" t="s">
        <v>85</v>
      </c>
      <c r="J1849">
        <v>53</v>
      </c>
      <c r="K1849" t="s">
        <v>83</v>
      </c>
      <c r="L1849" t="s">
        <v>2679</v>
      </c>
      <c r="M1849" t="s">
        <v>60</v>
      </c>
      <c r="N1849" t="s">
        <v>2596</v>
      </c>
      <c r="O1849" t="s">
        <v>124</v>
      </c>
      <c r="P1849" t="s">
        <v>51</v>
      </c>
      <c r="Q1849" t="s">
        <v>147</v>
      </c>
      <c r="R1849">
        <v>3</v>
      </c>
      <c r="S1849">
        <v>2299</v>
      </c>
      <c r="T1849">
        <v>0.05</v>
      </c>
      <c r="U1849">
        <v>6552.15</v>
      </c>
      <c r="V1849">
        <v>3600</v>
      </c>
      <c r="W1849">
        <v>2952.15</v>
      </c>
      <c r="X1849" t="s">
        <v>74</v>
      </c>
      <c r="Y1849" t="s">
        <v>68</v>
      </c>
      <c r="Z1849" t="s">
        <v>161</v>
      </c>
      <c r="AA1849" t="s">
        <v>168</v>
      </c>
      <c r="AB1849">
        <v>3.3</v>
      </c>
      <c r="AC1849">
        <v>40</v>
      </c>
      <c r="AD1849">
        <v>263.06</v>
      </c>
      <c r="AE1849">
        <f t="shared" si="56"/>
        <v>2649.09</v>
      </c>
      <c r="AF1849" t="str">
        <f t="shared" si="57"/>
        <v>2025-08</v>
      </c>
      <c r="AG1849">
        <f>SUBTOTAL(103,A1849)</f>
        <v>1</v>
      </c>
    </row>
    <row r="1850" spans="1:33" x14ac:dyDescent="0.3">
      <c r="A1850" t="s">
        <v>4468</v>
      </c>
      <c r="B1850" s="13">
        <v>45889</v>
      </c>
      <c r="C1850">
        <v>2025</v>
      </c>
      <c r="D1850">
        <v>8</v>
      </c>
      <c r="E1850" t="s">
        <v>4301</v>
      </c>
      <c r="F1850" t="s">
        <v>4047</v>
      </c>
      <c r="G1850" t="s">
        <v>939</v>
      </c>
      <c r="H1850" t="s">
        <v>940</v>
      </c>
      <c r="I1850" t="s">
        <v>85</v>
      </c>
      <c r="J1850">
        <v>35</v>
      </c>
      <c r="K1850" t="s">
        <v>81</v>
      </c>
      <c r="L1850" t="s">
        <v>97</v>
      </c>
      <c r="M1850" t="s">
        <v>57</v>
      </c>
      <c r="N1850" t="s">
        <v>2590</v>
      </c>
      <c r="O1850" t="s">
        <v>127</v>
      </c>
      <c r="P1850" t="s">
        <v>51</v>
      </c>
      <c r="Q1850" t="s">
        <v>148</v>
      </c>
      <c r="R1850">
        <v>3</v>
      </c>
      <c r="S1850">
        <v>1599</v>
      </c>
      <c r="T1850">
        <v>0.1</v>
      </c>
      <c r="U1850">
        <v>4317.3</v>
      </c>
      <c r="V1850">
        <v>2400</v>
      </c>
      <c r="W1850">
        <v>1917.3</v>
      </c>
      <c r="X1850" t="s">
        <v>73</v>
      </c>
      <c r="Y1850" t="s">
        <v>68</v>
      </c>
      <c r="Z1850" t="s">
        <v>162</v>
      </c>
      <c r="AA1850" t="s">
        <v>167</v>
      </c>
      <c r="AB1850">
        <v>3.4</v>
      </c>
      <c r="AC1850">
        <v>50</v>
      </c>
      <c r="AD1850">
        <v>236.81</v>
      </c>
      <c r="AE1850">
        <f t="shared" si="56"/>
        <v>1630.49</v>
      </c>
      <c r="AF1850" t="str">
        <f t="shared" si="57"/>
        <v>2025-08</v>
      </c>
      <c r="AG1850">
        <f>SUBTOTAL(103,A1850)</f>
        <v>1</v>
      </c>
    </row>
    <row r="1851" spans="1:33" x14ac:dyDescent="0.3">
      <c r="A1851" t="s">
        <v>4469</v>
      </c>
      <c r="B1851" s="13">
        <v>45889</v>
      </c>
      <c r="C1851">
        <v>2025</v>
      </c>
      <c r="D1851">
        <v>8</v>
      </c>
      <c r="E1851" t="s">
        <v>4301</v>
      </c>
      <c r="F1851" t="s">
        <v>4047</v>
      </c>
      <c r="G1851" t="s">
        <v>1241</v>
      </c>
      <c r="H1851" t="s">
        <v>1242</v>
      </c>
      <c r="I1851" t="s">
        <v>85</v>
      </c>
      <c r="J1851">
        <v>25</v>
      </c>
      <c r="K1851" t="s">
        <v>80</v>
      </c>
      <c r="L1851" t="s">
        <v>2576</v>
      </c>
      <c r="M1851" t="s">
        <v>60</v>
      </c>
      <c r="N1851" t="s">
        <v>2606</v>
      </c>
      <c r="O1851" t="s">
        <v>120</v>
      </c>
      <c r="P1851" t="s">
        <v>49</v>
      </c>
      <c r="Q1851" t="s">
        <v>140</v>
      </c>
      <c r="R1851">
        <v>2</v>
      </c>
      <c r="S1851">
        <v>2799</v>
      </c>
      <c r="T1851">
        <v>0.1</v>
      </c>
      <c r="U1851">
        <v>5038.2</v>
      </c>
      <c r="V1851">
        <v>3300</v>
      </c>
      <c r="W1851">
        <v>1738.2</v>
      </c>
      <c r="X1851" t="s">
        <v>75</v>
      </c>
      <c r="Y1851" t="s">
        <v>69</v>
      </c>
      <c r="Z1851" t="s">
        <v>158</v>
      </c>
      <c r="AA1851" t="s">
        <v>170</v>
      </c>
      <c r="AB1851">
        <v>5</v>
      </c>
      <c r="AC1851">
        <v>50</v>
      </c>
      <c r="AD1851">
        <v>481.97</v>
      </c>
      <c r="AE1851">
        <f t="shared" si="56"/>
        <v>1206.23</v>
      </c>
      <c r="AF1851" t="str">
        <f t="shared" si="57"/>
        <v>2025-08</v>
      </c>
      <c r="AG1851">
        <f>SUBTOTAL(103,A1851)</f>
        <v>1</v>
      </c>
    </row>
    <row r="1852" spans="1:33" x14ac:dyDescent="0.3">
      <c r="A1852" t="s">
        <v>4470</v>
      </c>
      <c r="B1852" s="13">
        <v>45890</v>
      </c>
      <c r="C1852">
        <v>2025</v>
      </c>
      <c r="D1852">
        <v>8</v>
      </c>
      <c r="E1852" t="s">
        <v>4301</v>
      </c>
      <c r="F1852" t="s">
        <v>4047</v>
      </c>
      <c r="G1852" t="s">
        <v>1647</v>
      </c>
      <c r="H1852" t="s">
        <v>1648</v>
      </c>
      <c r="I1852" t="s">
        <v>86</v>
      </c>
      <c r="J1852">
        <v>21</v>
      </c>
      <c r="K1852" t="s">
        <v>80</v>
      </c>
      <c r="L1852" t="s">
        <v>2637</v>
      </c>
      <c r="M1852" t="s">
        <v>64</v>
      </c>
      <c r="N1852" t="s">
        <v>2630</v>
      </c>
      <c r="O1852" t="s">
        <v>123</v>
      </c>
      <c r="P1852" t="s">
        <v>52</v>
      </c>
      <c r="Q1852" t="s">
        <v>146</v>
      </c>
      <c r="R1852">
        <v>1</v>
      </c>
      <c r="S1852">
        <v>2499</v>
      </c>
      <c r="T1852">
        <v>0.1</v>
      </c>
      <c r="U1852">
        <v>2249.1</v>
      </c>
      <c r="V1852">
        <v>1400</v>
      </c>
      <c r="W1852">
        <v>849.1</v>
      </c>
      <c r="X1852" t="s">
        <v>74</v>
      </c>
      <c r="Y1852" t="s">
        <v>68</v>
      </c>
      <c r="Z1852" t="s">
        <v>161</v>
      </c>
      <c r="AA1852" t="s">
        <v>167</v>
      </c>
      <c r="AB1852">
        <v>2.7</v>
      </c>
      <c r="AC1852">
        <v>50</v>
      </c>
      <c r="AD1852">
        <v>112.35</v>
      </c>
      <c r="AE1852">
        <f t="shared" si="56"/>
        <v>686.75</v>
      </c>
      <c r="AF1852" t="str">
        <f t="shared" si="57"/>
        <v>2025-08</v>
      </c>
      <c r="AG1852">
        <f>SUBTOTAL(103,A1852)</f>
        <v>1</v>
      </c>
    </row>
    <row r="1853" spans="1:33" x14ac:dyDescent="0.3">
      <c r="A1853" t="s">
        <v>4471</v>
      </c>
      <c r="B1853" s="13">
        <v>45890</v>
      </c>
      <c r="C1853">
        <v>2025</v>
      </c>
      <c r="D1853">
        <v>8</v>
      </c>
      <c r="E1853" t="s">
        <v>4301</v>
      </c>
      <c r="F1853" t="s">
        <v>4047</v>
      </c>
      <c r="G1853" t="s">
        <v>1977</v>
      </c>
      <c r="H1853" t="s">
        <v>1978</v>
      </c>
      <c r="I1853" t="s">
        <v>86</v>
      </c>
      <c r="J1853">
        <v>51</v>
      </c>
      <c r="K1853" t="s">
        <v>83</v>
      </c>
      <c r="L1853" t="s">
        <v>2623</v>
      </c>
      <c r="M1853" t="s">
        <v>61</v>
      </c>
      <c r="N1853" t="s">
        <v>2647</v>
      </c>
      <c r="O1853" t="s">
        <v>133</v>
      </c>
      <c r="P1853" t="s">
        <v>50</v>
      </c>
      <c r="Q1853" t="s">
        <v>145</v>
      </c>
      <c r="R1853">
        <v>5</v>
      </c>
      <c r="S1853">
        <v>799</v>
      </c>
      <c r="T1853">
        <v>0</v>
      </c>
      <c r="U1853">
        <v>3995</v>
      </c>
      <c r="V1853">
        <v>1950</v>
      </c>
      <c r="W1853">
        <v>2045</v>
      </c>
      <c r="X1853" t="s">
        <v>73</v>
      </c>
      <c r="Y1853" t="s">
        <v>68</v>
      </c>
      <c r="Z1853" t="s">
        <v>161</v>
      </c>
      <c r="AA1853" t="s">
        <v>170</v>
      </c>
      <c r="AB1853">
        <v>5</v>
      </c>
      <c r="AC1853">
        <v>50</v>
      </c>
      <c r="AD1853">
        <v>194.73</v>
      </c>
      <c r="AE1853">
        <f t="shared" si="56"/>
        <v>1800.27</v>
      </c>
      <c r="AF1853" t="str">
        <f t="shared" si="57"/>
        <v>2025-08</v>
      </c>
      <c r="AG1853">
        <f>SUBTOTAL(103,A1853)</f>
        <v>1</v>
      </c>
    </row>
    <row r="1854" spans="1:33" x14ac:dyDescent="0.3">
      <c r="A1854" t="s">
        <v>4472</v>
      </c>
      <c r="B1854" s="13">
        <v>45890</v>
      </c>
      <c r="C1854">
        <v>2025</v>
      </c>
      <c r="D1854">
        <v>8</v>
      </c>
      <c r="E1854" t="s">
        <v>4301</v>
      </c>
      <c r="F1854" t="s">
        <v>4047</v>
      </c>
      <c r="G1854" t="s">
        <v>579</v>
      </c>
      <c r="H1854" t="s">
        <v>580</v>
      </c>
      <c r="I1854" t="s">
        <v>85</v>
      </c>
      <c r="J1854">
        <v>31</v>
      </c>
      <c r="K1854" t="s">
        <v>81</v>
      </c>
      <c r="L1854" t="s">
        <v>90</v>
      </c>
      <c r="M1854" t="s">
        <v>55</v>
      </c>
      <c r="N1854" t="s">
        <v>2665</v>
      </c>
      <c r="O1854" t="s">
        <v>128</v>
      </c>
      <c r="P1854" t="s">
        <v>53</v>
      </c>
      <c r="Q1854" t="s">
        <v>143</v>
      </c>
      <c r="R1854">
        <v>1</v>
      </c>
      <c r="S1854">
        <v>1499</v>
      </c>
      <c r="T1854">
        <v>0.1</v>
      </c>
      <c r="U1854">
        <v>1349.1</v>
      </c>
      <c r="V1854">
        <v>800</v>
      </c>
      <c r="W1854">
        <v>549.1</v>
      </c>
      <c r="X1854" t="s">
        <v>73</v>
      </c>
      <c r="Y1854" t="s">
        <v>68</v>
      </c>
      <c r="Z1854" t="s">
        <v>158</v>
      </c>
      <c r="AA1854" t="s">
        <v>171</v>
      </c>
      <c r="AB1854">
        <v>4.4000000000000004</v>
      </c>
      <c r="AC1854">
        <v>60</v>
      </c>
      <c r="AD1854">
        <v>50.58</v>
      </c>
      <c r="AE1854">
        <f t="shared" si="56"/>
        <v>438.52000000000004</v>
      </c>
      <c r="AF1854" t="str">
        <f t="shared" si="57"/>
        <v>2025-08</v>
      </c>
      <c r="AG1854">
        <f>SUBTOTAL(103,A1854)</f>
        <v>1</v>
      </c>
    </row>
    <row r="1855" spans="1:33" x14ac:dyDescent="0.3">
      <c r="A1855" t="s">
        <v>4473</v>
      </c>
      <c r="B1855" s="13">
        <v>45890</v>
      </c>
      <c r="C1855">
        <v>2025</v>
      </c>
      <c r="D1855">
        <v>8</v>
      </c>
      <c r="E1855" t="s">
        <v>4301</v>
      </c>
      <c r="F1855" t="s">
        <v>4047</v>
      </c>
      <c r="G1855" t="s">
        <v>611</v>
      </c>
      <c r="H1855" t="s">
        <v>612</v>
      </c>
      <c r="I1855" t="s">
        <v>85</v>
      </c>
      <c r="J1855">
        <v>20</v>
      </c>
      <c r="K1855" t="s">
        <v>80</v>
      </c>
      <c r="L1855" t="s">
        <v>2623</v>
      </c>
      <c r="M1855" t="s">
        <v>61</v>
      </c>
      <c r="N1855" t="s">
        <v>2630</v>
      </c>
      <c r="O1855" t="s">
        <v>123</v>
      </c>
      <c r="P1855" t="s">
        <v>52</v>
      </c>
      <c r="Q1855" t="s">
        <v>146</v>
      </c>
      <c r="R1855">
        <v>2</v>
      </c>
      <c r="S1855">
        <v>2499</v>
      </c>
      <c r="T1855">
        <v>0.1</v>
      </c>
      <c r="U1855">
        <v>4498.2</v>
      </c>
      <c r="V1855">
        <v>2800</v>
      </c>
      <c r="W1855">
        <v>1698.2</v>
      </c>
      <c r="X1855" t="s">
        <v>73</v>
      </c>
      <c r="Y1855" t="s">
        <v>68</v>
      </c>
      <c r="Z1855" t="s">
        <v>158</v>
      </c>
      <c r="AA1855" t="s">
        <v>171</v>
      </c>
      <c r="AB1855">
        <v>4.3</v>
      </c>
      <c r="AC1855">
        <v>80</v>
      </c>
      <c r="AD1855">
        <v>391.03</v>
      </c>
      <c r="AE1855">
        <f t="shared" si="56"/>
        <v>1227.17</v>
      </c>
      <c r="AF1855" t="str">
        <f t="shared" si="57"/>
        <v>2025-08</v>
      </c>
      <c r="AG1855">
        <f>SUBTOTAL(103,A1855)</f>
        <v>1</v>
      </c>
    </row>
    <row r="1856" spans="1:33" x14ac:dyDescent="0.3">
      <c r="A1856" t="s">
        <v>4474</v>
      </c>
      <c r="B1856" s="13">
        <v>45890</v>
      </c>
      <c r="C1856">
        <v>2025</v>
      </c>
      <c r="D1856">
        <v>8</v>
      </c>
      <c r="E1856" t="s">
        <v>4301</v>
      </c>
      <c r="F1856" t="s">
        <v>4047</v>
      </c>
      <c r="G1856" t="s">
        <v>2225</v>
      </c>
      <c r="H1856" t="s">
        <v>2226</v>
      </c>
      <c r="I1856" t="s">
        <v>86</v>
      </c>
      <c r="J1856">
        <v>52</v>
      </c>
      <c r="K1856" t="s">
        <v>83</v>
      </c>
      <c r="L1856" t="s">
        <v>90</v>
      </c>
      <c r="M1856" t="s">
        <v>55</v>
      </c>
      <c r="N1856" t="s">
        <v>2665</v>
      </c>
      <c r="O1856" t="s">
        <v>128</v>
      </c>
      <c r="P1856" t="s">
        <v>53</v>
      </c>
      <c r="Q1856" t="s">
        <v>143</v>
      </c>
      <c r="R1856">
        <v>1</v>
      </c>
      <c r="S1856">
        <v>1499</v>
      </c>
      <c r="T1856">
        <v>0</v>
      </c>
      <c r="U1856">
        <v>1499</v>
      </c>
      <c r="V1856">
        <v>800</v>
      </c>
      <c r="W1856">
        <v>699</v>
      </c>
      <c r="X1856" t="s">
        <v>75</v>
      </c>
      <c r="Y1856" t="s">
        <v>68</v>
      </c>
      <c r="Z1856" t="s">
        <v>159</v>
      </c>
      <c r="AA1856" t="s">
        <v>167</v>
      </c>
      <c r="AB1856">
        <v>3.5</v>
      </c>
      <c r="AC1856">
        <v>50</v>
      </c>
      <c r="AD1856">
        <v>115.06</v>
      </c>
      <c r="AE1856">
        <f t="shared" si="56"/>
        <v>533.94000000000005</v>
      </c>
      <c r="AF1856" t="str">
        <f t="shared" si="57"/>
        <v>2025-08</v>
      </c>
      <c r="AG1856">
        <f>SUBTOTAL(103,A1856)</f>
        <v>1</v>
      </c>
    </row>
    <row r="1857" spans="1:33" x14ac:dyDescent="0.3">
      <c r="A1857" t="s">
        <v>4475</v>
      </c>
      <c r="B1857" s="13">
        <v>45890</v>
      </c>
      <c r="C1857">
        <v>2025</v>
      </c>
      <c r="D1857">
        <v>8</v>
      </c>
      <c r="E1857" t="s">
        <v>4301</v>
      </c>
      <c r="F1857" t="s">
        <v>4047</v>
      </c>
      <c r="G1857" t="s">
        <v>739</v>
      </c>
      <c r="H1857" t="s">
        <v>740</v>
      </c>
      <c r="I1857" t="s">
        <v>86</v>
      </c>
      <c r="J1857">
        <v>21</v>
      </c>
      <c r="K1857" t="s">
        <v>80</v>
      </c>
      <c r="L1857" t="s">
        <v>96</v>
      </c>
      <c r="M1857" t="s">
        <v>55</v>
      </c>
      <c r="N1857" t="s">
        <v>2580</v>
      </c>
      <c r="O1857" t="s">
        <v>118</v>
      </c>
      <c r="P1857" t="s">
        <v>48</v>
      </c>
      <c r="Q1857" t="s">
        <v>142</v>
      </c>
      <c r="R1857">
        <v>2</v>
      </c>
      <c r="S1857">
        <v>3999</v>
      </c>
      <c r="T1857">
        <v>0.15</v>
      </c>
      <c r="U1857">
        <v>6798.3</v>
      </c>
      <c r="V1857">
        <v>4800</v>
      </c>
      <c r="W1857">
        <v>1998.3</v>
      </c>
      <c r="X1857" t="s">
        <v>75</v>
      </c>
      <c r="Y1857" t="s">
        <v>68</v>
      </c>
      <c r="Z1857" t="s">
        <v>159</v>
      </c>
      <c r="AA1857" t="s">
        <v>166</v>
      </c>
      <c r="AB1857">
        <v>4.4000000000000004</v>
      </c>
      <c r="AC1857">
        <v>80</v>
      </c>
      <c r="AD1857">
        <v>692.5</v>
      </c>
      <c r="AE1857">
        <f t="shared" si="56"/>
        <v>1225.8</v>
      </c>
      <c r="AF1857" t="str">
        <f t="shared" si="57"/>
        <v>2025-08</v>
      </c>
      <c r="AG1857">
        <f>SUBTOTAL(103,A1857)</f>
        <v>1</v>
      </c>
    </row>
    <row r="1858" spans="1:33" x14ac:dyDescent="0.3">
      <c r="A1858" t="s">
        <v>4476</v>
      </c>
      <c r="B1858" s="13">
        <v>45890</v>
      </c>
      <c r="C1858">
        <v>2025</v>
      </c>
      <c r="D1858">
        <v>8</v>
      </c>
      <c r="E1858" t="s">
        <v>4301</v>
      </c>
      <c r="F1858" t="s">
        <v>4047</v>
      </c>
      <c r="G1858" t="s">
        <v>497</v>
      </c>
      <c r="H1858" t="s">
        <v>498</v>
      </c>
      <c r="I1858" t="s">
        <v>87</v>
      </c>
      <c r="J1858">
        <v>33</v>
      </c>
      <c r="K1858" t="s">
        <v>81</v>
      </c>
      <c r="L1858" t="s">
        <v>98</v>
      </c>
      <c r="M1858" t="s">
        <v>55</v>
      </c>
      <c r="N1858" t="s">
        <v>2587</v>
      </c>
      <c r="O1858" t="s">
        <v>116</v>
      </c>
      <c r="P1858" t="s">
        <v>48</v>
      </c>
      <c r="Q1858" t="s">
        <v>138</v>
      </c>
      <c r="R1858">
        <v>3</v>
      </c>
      <c r="S1858">
        <v>14999</v>
      </c>
      <c r="T1858">
        <v>0.15</v>
      </c>
      <c r="U1858">
        <v>38247.449999999997</v>
      </c>
      <c r="V1858">
        <v>33600</v>
      </c>
      <c r="W1858">
        <v>4647.45</v>
      </c>
      <c r="X1858" t="s">
        <v>73</v>
      </c>
      <c r="Y1858" t="s">
        <v>68</v>
      </c>
      <c r="Z1858" t="s">
        <v>160</v>
      </c>
      <c r="AA1858" t="s">
        <v>167</v>
      </c>
      <c r="AB1858">
        <v>4.8</v>
      </c>
      <c r="AC1858">
        <v>60</v>
      </c>
      <c r="AD1858">
        <v>2161.4</v>
      </c>
      <c r="AE1858">
        <f t="shared" ref="AE1858:AE1921" si="58">W1858-AC1858-AD1858</f>
        <v>2426.0499999999997</v>
      </c>
      <c r="AF1858" t="str">
        <f t="shared" ref="AF1858:AF1921" si="59">C1858&amp;"-"&amp;TEXT(D1858,"00")</f>
        <v>2025-08</v>
      </c>
      <c r="AG1858">
        <f>SUBTOTAL(103,A1858)</f>
        <v>1</v>
      </c>
    </row>
    <row r="1859" spans="1:33" x14ac:dyDescent="0.3">
      <c r="A1859" t="s">
        <v>4477</v>
      </c>
      <c r="B1859" s="13">
        <v>45891</v>
      </c>
      <c r="C1859">
        <v>2025</v>
      </c>
      <c r="D1859">
        <v>8</v>
      </c>
      <c r="E1859" t="s">
        <v>4301</v>
      </c>
      <c r="F1859" t="s">
        <v>4047</v>
      </c>
      <c r="G1859" t="s">
        <v>2085</v>
      </c>
      <c r="H1859" t="s">
        <v>2086</v>
      </c>
      <c r="I1859" t="s">
        <v>85</v>
      </c>
      <c r="J1859">
        <v>60</v>
      </c>
      <c r="K1859" t="s">
        <v>83</v>
      </c>
      <c r="L1859" t="s">
        <v>92</v>
      </c>
      <c r="M1859" t="s">
        <v>59</v>
      </c>
      <c r="N1859" t="s">
        <v>2596</v>
      </c>
      <c r="O1859" t="s">
        <v>124</v>
      </c>
      <c r="P1859" t="s">
        <v>51</v>
      </c>
      <c r="Q1859" t="s">
        <v>147</v>
      </c>
      <c r="R1859">
        <v>2</v>
      </c>
      <c r="S1859">
        <v>2299</v>
      </c>
      <c r="T1859">
        <v>0.15</v>
      </c>
      <c r="U1859">
        <v>3908.3</v>
      </c>
      <c r="V1859">
        <v>2400</v>
      </c>
      <c r="W1859">
        <v>1508.3</v>
      </c>
      <c r="X1859" t="s">
        <v>73</v>
      </c>
      <c r="Y1859" t="s">
        <v>69</v>
      </c>
      <c r="Z1859" t="s">
        <v>160</v>
      </c>
      <c r="AA1859" t="s">
        <v>169</v>
      </c>
      <c r="AB1859">
        <v>3.9</v>
      </c>
      <c r="AC1859">
        <v>100</v>
      </c>
      <c r="AD1859">
        <v>147.25</v>
      </c>
      <c r="AE1859">
        <f t="shared" si="58"/>
        <v>1261.05</v>
      </c>
      <c r="AF1859" t="str">
        <f t="shared" si="59"/>
        <v>2025-08</v>
      </c>
      <c r="AG1859">
        <f>SUBTOTAL(103,A1859)</f>
        <v>1</v>
      </c>
    </row>
    <row r="1860" spans="1:33" x14ac:dyDescent="0.3">
      <c r="A1860" t="s">
        <v>4478</v>
      </c>
      <c r="B1860" s="13">
        <v>45891</v>
      </c>
      <c r="C1860">
        <v>2025</v>
      </c>
      <c r="D1860">
        <v>8</v>
      </c>
      <c r="E1860" t="s">
        <v>4301</v>
      </c>
      <c r="F1860" t="s">
        <v>4047</v>
      </c>
      <c r="G1860" t="s">
        <v>1471</v>
      </c>
      <c r="H1860" t="s">
        <v>1472</v>
      </c>
      <c r="I1860" t="s">
        <v>86</v>
      </c>
      <c r="J1860">
        <v>45</v>
      </c>
      <c r="K1860" t="s">
        <v>82</v>
      </c>
      <c r="L1860" t="s">
        <v>2661</v>
      </c>
      <c r="M1860" t="s">
        <v>58</v>
      </c>
      <c r="N1860" t="s">
        <v>2590</v>
      </c>
      <c r="O1860" t="s">
        <v>127</v>
      </c>
      <c r="P1860" t="s">
        <v>51</v>
      </c>
      <c r="Q1860" t="s">
        <v>148</v>
      </c>
      <c r="R1860">
        <v>5</v>
      </c>
      <c r="S1860">
        <v>1599</v>
      </c>
      <c r="T1860">
        <v>0</v>
      </c>
      <c r="U1860">
        <v>7995</v>
      </c>
      <c r="V1860">
        <v>4000</v>
      </c>
      <c r="W1860">
        <v>3995</v>
      </c>
      <c r="X1860" t="s">
        <v>75</v>
      </c>
      <c r="Y1860" t="s">
        <v>68</v>
      </c>
      <c r="Z1860" t="s">
        <v>160</v>
      </c>
      <c r="AA1860" t="s">
        <v>169</v>
      </c>
      <c r="AB1860">
        <v>3</v>
      </c>
      <c r="AC1860">
        <v>50</v>
      </c>
      <c r="AD1860">
        <v>333.73</v>
      </c>
      <c r="AE1860">
        <f t="shared" si="58"/>
        <v>3611.27</v>
      </c>
      <c r="AF1860" t="str">
        <f t="shared" si="59"/>
        <v>2025-08</v>
      </c>
      <c r="AG1860">
        <f>SUBTOTAL(103,A1860)</f>
        <v>1</v>
      </c>
    </row>
    <row r="1861" spans="1:33" x14ac:dyDescent="0.3">
      <c r="A1861" t="s">
        <v>4479</v>
      </c>
      <c r="B1861" s="13">
        <v>45891</v>
      </c>
      <c r="C1861">
        <v>2025</v>
      </c>
      <c r="D1861">
        <v>8</v>
      </c>
      <c r="E1861" t="s">
        <v>4301</v>
      </c>
      <c r="F1861" t="s">
        <v>4047</v>
      </c>
      <c r="G1861" t="s">
        <v>329</v>
      </c>
      <c r="H1861" t="s">
        <v>330</v>
      </c>
      <c r="I1861" t="s">
        <v>86</v>
      </c>
      <c r="J1861">
        <v>18</v>
      </c>
      <c r="K1861" t="s">
        <v>80</v>
      </c>
      <c r="L1861" t="s">
        <v>90</v>
      </c>
      <c r="M1861" t="s">
        <v>55</v>
      </c>
      <c r="N1861" t="s">
        <v>2582</v>
      </c>
      <c r="O1861" t="s">
        <v>119</v>
      </c>
      <c r="P1861" t="s">
        <v>49</v>
      </c>
      <c r="Q1861" t="s">
        <v>140</v>
      </c>
      <c r="R1861">
        <v>1</v>
      </c>
      <c r="S1861">
        <v>3499</v>
      </c>
      <c r="T1861">
        <v>0.15</v>
      </c>
      <c r="U1861">
        <v>2974.15</v>
      </c>
      <c r="V1861">
        <v>2100</v>
      </c>
      <c r="W1861">
        <v>874.15</v>
      </c>
      <c r="X1861" t="s">
        <v>75</v>
      </c>
      <c r="Y1861" t="s">
        <v>68</v>
      </c>
      <c r="Z1861" t="s">
        <v>158</v>
      </c>
      <c r="AA1861" t="s">
        <v>169</v>
      </c>
      <c r="AB1861">
        <v>4.7</v>
      </c>
      <c r="AC1861">
        <v>80</v>
      </c>
      <c r="AD1861">
        <v>145.05000000000001</v>
      </c>
      <c r="AE1861">
        <f t="shared" si="58"/>
        <v>649.09999999999991</v>
      </c>
      <c r="AF1861" t="str">
        <f t="shared" si="59"/>
        <v>2025-08</v>
      </c>
      <c r="AG1861">
        <f>SUBTOTAL(103,A1861)</f>
        <v>1</v>
      </c>
    </row>
    <row r="1862" spans="1:33" x14ac:dyDescent="0.3">
      <c r="A1862" t="s">
        <v>4480</v>
      </c>
      <c r="B1862" s="13">
        <v>45891</v>
      </c>
      <c r="C1862">
        <v>2025</v>
      </c>
      <c r="D1862">
        <v>8</v>
      </c>
      <c r="E1862" t="s">
        <v>4301</v>
      </c>
      <c r="F1862" t="s">
        <v>4047</v>
      </c>
      <c r="G1862" t="s">
        <v>651</v>
      </c>
      <c r="H1862" t="s">
        <v>652</v>
      </c>
      <c r="I1862" t="s">
        <v>86</v>
      </c>
      <c r="J1862">
        <v>23</v>
      </c>
      <c r="K1862" t="s">
        <v>80</v>
      </c>
      <c r="L1862" t="s">
        <v>90</v>
      </c>
      <c r="M1862" t="s">
        <v>55</v>
      </c>
      <c r="N1862" t="s">
        <v>2584</v>
      </c>
      <c r="O1862" t="s">
        <v>121</v>
      </c>
      <c r="P1862" t="s">
        <v>50</v>
      </c>
      <c r="Q1862" t="s">
        <v>144</v>
      </c>
      <c r="R1862">
        <v>3</v>
      </c>
      <c r="S1862">
        <v>2999</v>
      </c>
      <c r="T1862">
        <v>0.1</v>
      </c>
      <c r="U1862">
        <v>8097.3</v>
      </c>
      <c r="V1862">
        <v>5100</v>
      </c>
      <c r="W1862">
        <v>2997.3</v>
      </c>
      <c r="X1862" t="s">
        <v>73</v>
      </c>
      <c r="Y1862" t="s">
        <v>68</v>
      </c>
      <c r="Z1862" t="s">
        <v>161</v>
      </c>
      <c r="AA1862" t="s">
        <v>167</v>
      </c>
      <c r="AB1862">
        <v>3.9</v>
      </c>
      <c r="AC1862">
        <v>120</v>
      </c>
      <c r="AD1862">
        <v>379.13</v>
      </c>
      <c r="AE1862">
        <f t="shared" si="58"/>
        <v>2498.17</v>
      </c>
      <c r="AF1862" t="str">
        <f t="shared" si="59"/>
        <v>2025-08</v>
      </c>
      <c r="AG1862">
        <f>SUBTOTAL(103,A1862)</f>
        <v>1</v>
      </c>
    </row>
    <row r="1863" spans="1:33" x14ac:dyDescent="0.3">
      <c r="A1863" t="s">
        <v>4481</v>
      </c>
      <c r="B1863" s="13">
        <v>45891</v>
      </c>
      <c r="C1863">
        <v>2025</v>
      </c>
      <c r="D1863">
        <v>8</v>
      </c>
      <c r="E1863" t="s">
        <v>4301</v>
      </c>
      <c r="F1863" t="s">
        <v>4047</v>
      </c>
      <c r="G1863" t="s">
        <v>207</v>
      </c>
      <c r="H1863" t="s">
        <v>208</v>
      </c>
      <c r="I1863" t="s">
        <v>85</v>
      </c>
      <c r="J1863">
        <v>19</v>
      </c>
      <c r="K1863" t="s">
        <v>80</v>
      </c>
      <c r="L1863" t="s">
        <v>100</v>
      </c>
      <c r="M1863" t="s">
        <v>56</v>
      </c>
      <c r="N1863" t="s">
        <v>2587</v>
      </c>
      <c r="O1863" t="s">
        <v>116</v>
      </c>
      <c r="P1863" t="s">
        <v>48</v>
      </c>
      <c r="Q1863" t="s">
        <v>138</v>
      </c>
      <c r="R1863">
        <v>2</v>
      </c>
      <c r="S1863">
        <v>14999</v>
      </c>
      <c r="T1863">
        <v>0.05</v>
      </c>
      <c r="U1863">
        <v>28498.1</v>
      </c>
      <c r="V1863">
        <v>22400</v>
      </c>
      <c r="W1863">
        <v>6098.1</v>
      </c>
      <c r="X1863" t="s">
        <v>73</v>
      </c>
      <c r="Y1863" t="s">
        <v>69</v>
      </c>
      <c r="Z1863" t="s">
        <v>161</v>
      </c>
      <c r="AA1863" t="s">
        <v>166</v>
      </c>
      <c r="AB1863">
        <v>3.5</v>
      </c>
      <c r="AC1863">
        <v>50</v>
      </c>
      <c r="AD1863">
        <v>1665.81</v>
      </c>
      <c r="AE1863">
        <f t="shared" si="58"/>
        <v>4382.2900000000009</v>
      </c>
      <c r="AF1863" t="str">
        <f t="shared" si="59"/>
        <v>2025-08</v>
      </c>
      <c r="AG1863">
        <f>SUBTOTAL(103,A1863)</f>
        <v>1</v>
      </c>
    </row>
    <row r="1864" spans="1:33" x14ac:dyDescent="0.3">
      <c r="A1864" t="s">
        <v>4482</v>
      </c>
      <c r="B1864" s="13">
        <v>45891</v>
      </c>
      <c r="C1864">
        <v>2025</v>
      </c>
      <c r="D1864">
        <v>8</v>
      </c>
      <c r="E1864" t="s">
        <v>4301</v>
      </c>
      <c r="F1864" t="s">
        <v>4047</v>
      </c>
      <c r="G1864" t="s">
        <v>1513</v>
      </c>
      <c r="H1864" t="s">
        <v>1514</v>
      </c>
      <c r="I1864" t="s">
        <v>85</v>
      </c>
      <c r="J1864">
        <v>53</v>
      </c>
      <c r="K1864" t="s">
        <v>83</v>
      </c>
      <c r="L1864" t="s">
        <v>59</v>
      </c>
      <c r="M1864" t="s">
        <v>59</v>
      </c>
      <c r="N1864" t="s">
        <v>2653</v>
      </c>
      <c r="O1864" t="s">
        <v>132</v>
      </c>
      <c r="P1864" t="s">
        <v>52</v>
      </c>
      <c r="Q1864" t="s">
        <v>150</v>
      </c>
      <c r="R1864">
        <v>1</v>
      </c>
      <c r="S1864">
        <v>899</v>
      </c>
      <c r="T1864">
        <v>0.15</v>
      </c>
      <c r="U1864">
        <v>764.15</v>
      </c>
      <c r="V1864">
        <v>420</v>
      </c>
      <c r="W1864">
        <v>344.15</v>
      </c>
      <c r="X1864" t="s">
        <v>76</v>
      </c>
      <c r="Y1864" t="s">
        <v>68</v>
      </c>
      <c r="Z1864" t="s">
        <v>161</v>
      </c>
      <c r="AA1864" t="s">
        <v>166</v>
      </c>
      <c r="AB1864">
        <v>4.3</v>
      </c>
      <c r="AC1864">
        <v>100</v>
      </c>
      <c r="AD1864">
        <v>71.260000000000005</v>
      </c>
      <c r="AE1864">
        <f t="shared" si="58"/>
        <v>172.89</v>
      </c>
      <c r="AF1864" t="str">
        <f t="shared" si="59"/>
        <v>2025-08</v>
      </c>
      <c r="AG1864">
        <f>SUBTOTAL(103,A1864)</f>
        <v>1</v>
      </c>
    </row>
    <row r="1865" spans="1:33" x14ac:dyDescent="0.3">
      <c r="A1865" t="s">
        <v>4483</v>
      </c>
      <c r="B1865" s="13">
        <v>45891</v>
      </c>
      <c r="C1865">
        <v>2025</v>
      </c>
      <c r="D1865">
        <v>8</v>
      </c>
      <c r="E1865" t="s">
        <v>4301</v>
      </c>
      <c r="F1865" t="s">
        <v>4047</v>
      </c>
      <c r="G1865" t="s">
        <v>1007</v>
      </c>
      <c r="H1865" t="s">
        <v>1008</v>
      </c>
      <c r="I1865" t="s">
        <v>86</v>
      </c>
      <c r="J1865">
        <v>50</v>
      </c>
      <c r="K1865" t="s">
        <v>83</v>
      </c>
      <c r="L1865" t="s">
        <v>90</v>
      </c>
      <c r="M1865" t="s">
        <v>55</v>
      </c>
      <c r="N1865" t="s">
        <v>2590</v>
      </c>
      <c r="O1865" t="s">
        <v>127</v>
      </c>
      <c r="P1865" t="s">
        <v>51</v>
      </c>
      <c r="Q1865" t="s">
        <v>148</v>
      </c>
      <c r="R1865">
        <v>1</v>
      </c>
      <c r="S1865">
        <v>1599</v>
      </c>
      <c r="T1865">
        <v>0.1</v>
      </c>
      <c r="U1865">
        <v>1439.1</v>
      </c>
      <c r="V1865">
        <v>800</v>
      </c>
      <c r="W1865">
        <v>639.1</v>
      </c>
      <c r="X1865" t="s">
        <v>76</v>
      </c>
      <c r="Y1865" t="s">
        <v>68</v>
      </c>
      <c r="Z1865" t="s">
        <v>159</v>
      </c>
      <c r="AA1865" t="s">
        <v>169</v>
      </c>
      <c r="AB1865">
        <v>4.9000000000000004</v>
      </c>
      <c r="AC1865">
        <v>120</v>
      </c>
      <c r="AD1865">
        <v>81.16</v>
      </c>
      <c r="AE1865">
        <f t="shared" si="58"/>
        <v>437.94000000000005</v>
      </c>
      <c r="AF1865" t="str">
        <f t="shared" si="59"/>
        <v>2025-08</v>
      </c>
      <c r="AG1865">
        <f>SUBTOTAL(103,A1865)</f>
        <v>1</v>
      </c>
    </row>
    <row r="1866" spans="1:33" x14ac:dyDescent="0.3">
      <c r="A1866" t="s">
        <v>4484</v>
      </c>
      <c r="B1866" s="13">
        <v>45892</v>
      </c>
      <c r="C1866">
        <v>2025</v>
      </c>
      <c r="D1866">
        <v>8</v>
      </c>
      <c r="E1866" t="s">
        <v>4301</v>
      </c>
      <c r="F1866" t="s">
        <v>4047</v>
      </c>
      <c r="G1866" t="s">
        <v>1275</v>
      </c>
      <c r="H1866" t="s">
        <v>1276</v>
      </c>
      <c r="I1866" t="s">
        <v>85</v>
      </c>
      <c r="J1866">
        <v>56</v>
      </c>
      <c r="K1866" t="s">
        <v>83</v>
      </c>
      <c r="L1866" t="s">
        <v>2634</v>
      </c>
      <c r="M1866" t="s">
        <v>56</v>
      </c>
      <c r="N1866" t="s">
        <v>2574</v>
      </c>
      <c r="O1866" t="s">
        <v>130</v>
      </c>
      <c r="P1866" t="s">
        <v>50</v>
      </c>
      <c r="Q1866" t="s">
        <v>53</v>
      </c>
      <c r="R1866">
        <v>2</v>
      </c>
      <c r="S1866">
        <v>1199</v>
      </c>
      <c r="T1866">
        <v>0.05</v>
      </c>
      <c r="U1866">
        <v>2278.1</v>
      </c>
      <c r="V1866">
        <v>1100</v>
      </c>
      <c r="W1866">
        <v>1178.0999999999999</v>
      </c>
      <c r="X1866" t="s">
        <v>73</v>
      </c>
      <c r="Y1866" t="s">
        <v>68</v>
      </c>
      <c r="Z1866" t="s">
        <v>158</v>
      </c>
      <c r="AA1866" t="s">
        <v>168</v>
      </c>
      <c r="AB1866">
        <v>4.5</v>
      </c>
      <c r="AC1866">
        <v>50</v>
      </c>
      <c r="AD1866">
        <v>168.86</v>
      </c>
      <c r="AE1866">
        <f t="shared" si="58"/>
        <v>959.2399999999999</v>
      </c>
      <c r="AF1866" t="str">
        <f t="shared" si="59"/>
        <v>2025-08</v>
      </c>
      <c r="AG1866">
        <f>SUBTOTAL(103,A1866)</f>
        <v>1</v>
      </c>
    </row>
    <row r="1867" spans="1:33" x14ac:dyDescent="0.3">
      <c r="A1867" t="s">
        <v>4485</v>
      </c>
      <c r="B1867" s="13">
        <v>45892</v>
      </c>
      <c r="C1867">
        <v>2025</v>
      </c>
      <c r="D1867">
        <v>8</v>
      </c>
      <c r="E1867" t="s">
        <v>4301</v>
      </c>
      <c r="F1867" t="s">
        <v>4047</v>
      </c>
      <c r="G1867" t="s">
        <v>1931</v>
      </c>
      <c r="H1867" t="s">
        <v>1932</v>
      </c>
      <c r="I1867" t="s">
        <v>86</v>
      </c>
      <c r="J1867">
        <v>37</v>
      </c>
      <c r="K1867" t="s">
        <v>82</v>
      </c>
      <c r="L1867" t="s">
        <v>94</v>
      </c>
      <c r="M1867" t="s">
        <v>57</v>
      </c>
      <c r="N1867" t="s">
        <v>2606</v>
      </c>
      <c r="O1867" t="s">
        <v>120</v>
      </c>
      <c r="P1867" t="s">
        <v>49</v>
      </c>
      <c r="Q1867" t="s">
        <v>140</v>
      </c>
      <c r="R1867">
        <v>1</v>
      </c>
      <c r="S1867">
        <v>2799</v>
      </c>
      <c r="T1867">
        <v>0.1</v>
      </c>
      <c r="U1867">
        <v>2519.1</v>
      </c>
      <c r="V1867">
        <v>1650</v>
      </c>
      <c r="W1867">
        <v>869.1</v>
      </c>
      <c r="X1867" t="s">
        <v>74</v>
      </c>
      <c r="Y1867" t="s">
        <v>68</v>
      </c>
      <c r="Z1867" t="s">
        <v>163</v>
      </c>
      <c r="AA1867" t="s">
        <v>166</v>
      </c>
      <c r="AB1867">
        <v>5</v>
      </c>
      <c r="AC1867">
        <v>80</v>
      </c>
      <c r="AD1867">
        <v>199.26</v>
      </c>
      <c r="AE1867">
        <f t="shared" si="58"/>
        <v>589.84</v>
      </c>
      <c r="AF1867" t="str">
        <f t="shared" si="59"/>
        <v>2025-08</v>
      </c>
      <c r="AG1867">
        <f>SUBTOTAL(103,A1867)</f>
        <v>1</v>
      </c>
    </row>
    <row r="1868" spans="1:33" x14ac:dyDescent="0.3">
      <c r="A1868" t="s">
        <v>4486</v>
      </c>
      <c r="B1868" s="13">
        <v>45892</v>
      </c>
      <c r="C1868">
        <v>2025</v>
      </c>
      <c r="D1868">
        <v>8</v>
      </c>
      <c r="E1868" t="s">
        <v>4301</v>
      </c>
      <c r="F1868" t="s">
        <v>4047</v>
      </c>
      <c r="G1868" t="s">
        <v>1787</v>
      </c>
      <c r="H1868" t="s">
        <v>1788</v>
      </c>
      <c r="I1868" t="s">
        <v>85</v>
      </c>
      <c r="J1868">
        <v>55</v>
      </c>
      <c r="K1868" t="s">
        <v>83</v>
      </c>
      <c r="L1868" t="s">
        <v>59</v>
      </c>
      <c r="M1868" t="s">
        <v>59</v>
      </c>
      <c r="N1868" t="s">
        <v>2594</v>
      </c>
      <c r="O1868" t="s">
        <v>131</v>
      </c>
      <c r="P1868" t="s">
        <v>53</v>
      </c>
      <c r="Q1868" t="s">
        <v>143</v>
      </c>
      <c r="R1868">
        <v>1</v>
      </c>
      <c r="S1868">
        <v>999</v>
      </c>
      <c r="T1868">
        <v>0</v>
      </c>
      <c r="U1868">
        <v>999</v>
      </c>
      <c r="V1868">
        <v>520</v>
      </c>
      <c r="W1868">
        <v>479</v>
      </c>
      <c r="X1868" t="s">
        <v>76</v>
      </c>
      <c r="Y1868" t="s">
        <v>68</v>
      </c>
      <c r="Z1868" t="s">
        <v>158</v>
      </c>
      <c r="AA1868" t="s">
        <v>170</v>
      </c>
      <c r="AB1868">
        <v>4.0999999999999996</v>
      </c>
      <c r="AC1868">
        <v>80</v>
      </c>
      <c r="AD1868">
        <v>94.93</v>
      </c>
      <c r="AE1868">
        <f t="shared" si="58"/>
        <v>304.07</v>
      </c>
      <c r="AF1868" t="str">
        <f t="shared" si="59"/>
        <v>2025-08</v>
      </c>
      <c r="AG1868">
        <f>SUBTOTAL(103,A1868)</f>
        <v>1</v>
      </c>
    </row>
    <row r="1869" spans="1:33" x14ac:dyDescent="0.3">
      <c r="A1869" t="s">
        <v>4487</v>
      </c>
      <c r="B1869" s="13">
        <v>45892</v>
      </c>
      <c r="C1869">
        <v>2025</v>
      </c>
      <c r="D1869">
        <v>8</v>
      </c>
      <c r="E1869" t="s">
        <v>4301</v>
      </c>
      <c r="F1869" t="s">
        <v>4047</v>
      </c>
      <c r="G1869" t="s">
        <v>343</v>
      </c>
      <c r="H1869" t="s">
        <v>344</v>
      </c>
      <c r="I1869" t="s">
        <v>86</v>
      </c>
      <c r="J1869">
        <v>55</v>
      </c>
      <c r="K1869" t="s">
        <v>83</v>
      </c>
      <c r="L1869" t="s">
        <v>91</v>
      </c>
      <c r="M1869" t="s">
        <v>55</v>
      </c>
      <c r="N1869" t="s">
        <v>2582</v>
      </c>
      <c r="O1869" t="s">
        <v>119</v>
      </c>
      <c r="P1869" t="s">
        <v>49</v>
      </c>
      <c r="Q1869" t="s">
        <v>140</v>
      </c>
      <c r="R1869">
        <v>2</v>
      </c>
      <c r="S1869">
        <v>3499</v>
      </c>
      <c r="T1869">
        <v>0.15</v>
      </c>
      <c r="U1869">
        <v>5948.3</v>
      </c>
      <c r="V1869">
        <v>4200</v>
      </c>
      <c r="W1869">
        <v>1748.3</v>
      </c>
      <c r="X1869" t="s">
        <v>77</v>
      </c>
      <c r="Y1869" t="s">
        <v>68</v>
      </c>
      <c r="Z1869" t="s">
        <v>161</v>
      </c>
      <c r="AA1869" t="s">
        <v>167</v>
      </c>
      <c r="AB1869">
        <v>3.8</v>
      </c>
      <c r="AC1869">
        <v>40</v>
      </c>
      <c r="AD1869">
        <v>706.27</v>
      </c>
      <c r="AE1869">
        <f t="shared" si="58"/>
        <v>1002.03</v>
      </c>
      <c r="AF1869" t="str">
        <f t="shared" si="59"/>
        <v>2025-08</v>
      </c>
      <c r="AG1869">
        <f>SUBTOTAL(103,A1869)</f>
        <v>1</v>
      </c>
    </row>
    <row r="1870" spans="1:33" x14ac:dyDescent="0.3">
      <c r="A1870" t="s">
        <v>4488</v>
      </c>
      <c r="B1870" s="13">
        <v>45892</v>
      </c>
      <c r="C1870">
        <v>2025</v>
      </c>
      <c r="D1870">
        <v>8</v>
      </c>
      <c r="E1870" t="s">
        <v>4301</v>
      </c>
      <c r="F1870" t="s">
        <v>4047</v>
      </c>
      <c r="G1870" t="s">
        <v>2533</v>
      </c>
      <c r="H1870" t="s">
        <v>2534</v>
      </c>
      <c r="I1870" t="s">
        <v>85</v>
      </c>
      <c r="J1870">
        <v>56</v>
      </c>
      <c r="K1870" t="s">
        <v>83</v>
      </c>
      <c r="L1870" t="s">
        <v>2589</v>
      </c>
      <c r="M1870" t="s">
        <v>61</v>
      </c>
      <c r="N1870" t="s">
        <v>2653</v>
      </c>
      <c r="O1870" t="s">
        <v>132</v>
      </c>
      <c r="P1870" t="s">
        <v>52</v>
      </c>
      <c r="Q1870" t="s">
        <v>150</v>
      </c>
      <c r="R1870">
        <v>1</v>
      </c>
      <c r="S1870">
        <v>899</v>
      </c>
      <c r="T1870">
        <v>0.25</v>
      </c>
      <c r="U1870">
        <v>674.25</v>
      </c>
      <c r="V1870">
        <v>420</v>
      </c>
      <c r="W1870">
        <v>254.25</v>
      </c>
      <c r="X1870" t="s">
        <v>74</v>
      </c>
      <c r="Y1870" t="s">
        <v>68</v>
      </c>
      <c r="Z1870" t="s">
        <v>158</v>
      </c>
      <c r="AA1870" t="s">
        <v>168</v>
      </c>
      <c r="AB1870">
        <v>4.7</v>
      </c>
      <c r="AC1870">
        <v>100</v>
      </c>
      <c r="AD1870">
        <v>27.01</v>
      </c>
      <c r="AE1870">
        <f t="shared" si="58"/>
        <v>127.24</v>
      </c>
      <c r="AF1870" t="str">
        <f t="shared" si="59"/>
        <v>2025-08</v>
      </c>
      <c r="AG1870">
        <f>SUBTOTAL(103,A1870)</f>
        <v>1</v>
      </c>
    </row>
    <row r="1871" spans="1:33" x14ac:dyDescent="0.3">
      <c r="A1871" t="s">
        <v>4489</v>
      </c>
      <c r="B1871" s="13">
        <v>45892</v>
      </c>
      <c r="C1871">
        <v>2025</v>
      </c>
      <c r="D1871">
        <v>8</v>
      </c>
      <c r="E1871" t="s">
        <v>4301</v>
      </c>
      <c r="F1871" t="s">
        <v>4047</v>
      </c>
      <c r="G1871" t="s">
        <v>619</v>
      </c>
      <c r="H1871" t="s">
        <v>620</v>
      </c>
      <c r="I1871" t="s">
        <v>85</v>
      </c>
      <c r="J1871">
        <v>32</v>
      </c>
      <c r="K1871" t="s">
        <v>81</v>
      </c>
      <c r="L1871" t="s">
        <v>90</v>
      </c>
      <c r="M1871" t="s">
        <v>55</v>
      </c>
      <c r="N1871" t="s">
        <v>2592</v>
      </c>
      <c r="O1871" t="s">
        <v>115</v>
      </c>
      <c r="P1871" t="s">
        <v>48</v>
      </c>
      <c r="Q1871" t="s">
        <v>137</v>
      </c>
      <c r="R1871">
        <v>2</v>
      </c>
      <c r="S1871">
        <v>12999</v>
      </c>
      <c r="T1871">
        <v>0.05</v>
      </c>
      <c r="U1871">
        <v>24698.1</v>
      </c>
      <c r="V1871">
        <v>18000</v>
      </c>
      <c r="W1871">
        <v>6698.1</v>
      </c>
      <c r="X1871" t="s">
        <v>76</v>
      </c>
      <c r="Y1871" t="s">
        <v>68</v>
      </c>
      <c r="Z1871" t="s">
        <v>159</v>
      </c>
      <c r="AA1871" t="s">
        <v>168</v>
      </c>
      <c r="AB1871">
        <v>3.3</v>
      </c>
      <c r="AC1871">
        <v>80</v>
      </c>
      <c r="AD1871">
        <v>1881.3</v>
      </c>
      <c r="AE1871">
        <f t="shared" si="58"/>
        <v>4736.8</v>
      </c>
      <c r="AF1871" t="str">
        <f t="shared" si="59"/>
        <v>2025-08</v>
      </c>
      <c r="AG1871">
        <f>SUBTOTAL(103,A1871)</f>
        <v>1</v>
      </c>
    </row>
    <row r="1872" spans="1:33" x14ac:dyDescent="0.3">
      <c r="A1872" t="s">
        <v>4490</v>
      </c>
      <c r="B1872" s="13">
        <v>45892</v>
      </c>
      <c r="C1872">
        <v>2025</v>
      </c>
      <c r="D1872">
        <v>8</v>
      </c>
      <c r="E1872" t="s">
        <v>4301</v>
      </c>
      <c r="F1872" t="s">
        <v>4047</v>
      </c>
      <c r="G1872" t="s">
        <v>803</v>
      </c>
      <c r="H1872" t="s">
        <v>804</v>
      </c>
      <c r="I1872" t="s">
        <v>86</v>
      </c>
      <c r="J1872">
        <v>38</v>
      </c>
      <c r="K1872" t="s">
        <v>82</v>
      </c>
      <c r="L1872" t="s">
        <v>100</v>
      </c>
      <c r="M1872" t="s">
        <v>56</v>
      </c>
      <c r="N1872" t="s">
        <v>2657</v>
      </c>
      <c r="O1872" t="s">
        <v>134</v>
      </c>
      <c r="P1872" t="s">
        <v>49</v>
      </c>
      <c r="Q1872" t="s">
        <v>140</v>
      </c>
      <c r="R1872">
        <v>2</v>
      </c>
      <c r="S1872">
        <v>599</v>
      </c>
      <c r="T1872">
        <v>0.15</v>
      </c>
      <c r="U1872">
        <v>1018.3</v>
      </c>
      <c r="V1872">
        <v>500</v>
      </c>
      <c r="W1872">
        <v>518.29999999999995</v>
      </c>
      <c r="X1872" t="s">
        <v>76</v>
      </c>
      <c r="Y1872" t="s">
        <v>68</v>
      </c>
      <c r="Z1872" t="s">
        <v>159</v>
      </c>
      <c r="AA1872" t="s">
        <v>167</v>
      </c>
      <c r="AB1872">
        <v>4.9000000000000004</v>
      </c>
      <c r="AC1872">
        <v>50</v>
      </c>
      <c r="AD1872">
        <v>116.78</v>
      </c>
      <c r="AE1872">
        <f t="shared" si="58"/>
        <v>351.52</v>
      </c>
      <c r="AF1872" t="str">
        <f t="shared" si="59"/>
        <v>2025-08</v>
      </c>
      <c r="AG1872">
        <f>SUBTOTAL(103,A1872)</f>
        <v>1</v>
      </c>
    </row>
    <row r="1873" spans="1:33" x14ac:dyDescent="0.3">
      <c r="A1873" t="s">
        <v>4491</v>
      </c>
      <c r="B1873" s="13">
        <v>45892</v>
      </c>
      <c r="C1873">
        <v>2025</v>
      </c>
      <c r="D1873">
        <v>8</v>
      </c>
      <c r="E1873" t="s">
        <v>4301</v>
      </c>
      <c r="F1873" t="s">
        <v>4047</v>
      </c>
      <c r="G1873" t="s">
        <v>1089</v>
      </c>
      <c r="H1873" t="s">
        <v>1090</v>
      </c>
      <c r="I1873" t="s">
        <v>85</v>
      </c>
      <c r="J1873">
        <v>36</v>
      </c>
      <c r="K1873" t="s">
        <v>82</v>
      </c>
      <c r="L1873" t="s">
        <v>2616</v>
      </c>
      <c r="M1873" t="s">
        <v>62</v>
      </c>
      <c r="N1873" t="s">
        <v>2606</v>
      </c>
      <c r="O1873" t="s">
        <v>120</v>
      </c>
      <c r="P1873" t="s">
        <v>49</v>
      </c>
      <c r="Q1873" t="s">
        <v>140</v>
      </c>
      <c r="R1873">
        <v>1</v>
      </c>
      <c r="S1873">
        <v>2799</v>
      </c>
      <c r="T1873">
        <v>0.15</v>
      </c>
      <c r="U1873">
        <v>2379.15</v>
      </c>
      <c r="V1873">
        <v>1650</v>
      </c>
      <c r="W1873">
        <v>729.15</v>
      </c>
      <c r="X1873" t="s">
        <v>76</v>
      </c>
      <c r="Y1873" t="s">
        <v>68</v>
      </c>
      <c r="Z1873" t="s">
        <v>162</v>
      </c>
      <c r="AA1873" t="s">
        <v>168</v>
      </c>
      <c r="AB1873">
        <v>5</v>
      </c>
      <c r="AC1873">
        <v>50</v>
      </c>
      <c r="AD1873">
        <v>273.47000000000003</v>
      </c>
      <c r="AE1873">
        <f t="shared" si="58"/>
        <v>405.67999999999995</v>
      </c>
      <c r="AF1873" t="str">
        <f t="shared" si="59"/>
        <v>2025-08</v>
      </c>
      <c r="AG1873">
        <f>SUBTOTAL(103,A1873)</f>
        <v>1</v>
      </c>
    </row>
    <row r="1874" spans="1:33" x14ac:dyDescent="0.3">
      <c r="A1874" t="s">
        <v>4492</v>
      </c>
      <c r="B1874" s="13">
        <v>45892</v>
      </c>
      <c r="C1874">
        <v>2025</v>
      </c>
      <c r="D1874">
        <v>8</v>
      </c>
      <c r="E1874" t="s">
        <v>4301</v>
      </c>
      <c r="F1874" t="s">
        <v>4047</v>
      </c>
      <c r="G1874" t="s">
        <v>427</v>
      </c>
      <c r="H1874" t="s">
        <v>428</v>
      </c>
      <c r="I1874" t="s">
        <v>85</v>
      </c>
      <c r="J1874">
        <v>36</v>
      </c>
      <c r="K1874" t="s">
        <v>82</v>
      </c>
      <c r="L1874" t="s">
        <v>90</v>
      </c>
      <c r="M1874" t="s">
        <v>55</v>
      </c>
      <c r="N1874" t="s">
        <v>2601</v>
      </c>
      <c r="O1874" t="s">
        <v>117</v>
      </c>
      <c r="P1874" t="s">
        <v>49</v>
      </c>
      <c r="Q1874" t="s">
        <v>139</v>
      </c>
      <c r="R1874">
        <v>5</v>
      </c>
      <c r="S1874">
        <v>6999</v>
      </c>
      <c r="T1874">
        <v>0.1</v>
      </c>
      <c r="U1874">
        <v>31495.5</v>
      </c>
      <c r="V1874">
        <v>21500</v>
      </c>
      <c r="W1874">
        <v>9995.5</v>
      </c>
      <c r="X1874" t="s">
        <v>77</v>
      </c>
      <c r="Y1874" t="s">
        <v>68</v>
      </c>
      <c r="Z1874" t="s">
        <v>158</v>
      </c>
      <c r="AA1874" t="s">
        <v>166</v>
      </c>
      <c r="AB1874">
        <v>4.9000000000000004</v>
      </c>
      <c r="AC1874">
        <v>60</v>
      </c>
      <c r="AD1874">
        <v>2363.9899999999998</v>
      </c>
      <c r="AE1874">
        <f t="shared" si="58"/>
        <v>7571.51</v>
      </c>
      <c r="AF1874" t="str">
        <f t="shared" si="59"/>
        <v>2025-08</v>
      </c>
      <c r="AG1874">
        <f>SUBTOTAL(103,A1874)</f>
        <v>1</v>
      </c>
    </row>
    <row r="1875" spans="1:33" x14ac:dyDescent="0.3">
      <c r="A1875" t="s">
        <v>4493</v>
      </c>
      <c r="B1875" s="13">
        <v>45892</v>
      </c>
      <c r="C1875">
        <v>2025</v>
      </c>
      <c r="D1875">
        <v>8</v>
      </c>
      <c r="E1875" t="s">
        <v>4301</v>
      </c>
      <c r="F1875" t="s">
        <v>4047</v>
      </c>
      <c r="G1875" t="s">
        <v>725</v>
      </c>
      <c r="H1875" t="s">
        <v>726</v>
      </c>
      <c r="I1875" t="s">
        <v>85</v>
      </c>
      <c r="J1875">
        <v>22</v>
      </c>
      <c r="K1875" t="s">
        <v>80</v>
      </c>
      <c r="L1875" t="s">
        <v>2612</v>
      </c>
      <c r="M1875" t="s">
        <v>64</v>
      </c>
      <c r="N1875" t="s">
        <v>2577</v>
      </c>
      <c r="O1875" t="s">
        <v>129</v>
      </c>
      <c r="P1875" t="s">
        <v>49</v>
      </c>
      <c r="Q1875" t="s">
        <v>149</v>
      </c>
      <c r="R1875">
        <v>3</v>
      </c>
      <c r="S1875">
        <v>1299</v>
      </c>
      <c r="T1875">
        <v>0.05</v>
      </c>
      <c r="U1875">
        <v>3702.15</v>
      </c>
      <c r="V1875">
        <v>1950</v>
      </c>
      <c r="W1875">
        <v>1752.15</v>
      </c>
      <c r="X1875" t="s">
        <v>74</v>
      </c>
      <c r="Y1875" t="s">
        <v>68</v>
      </c>
      <c r="Z1875" t="s">
        <v>159</v>
      </c>
      <c r="AA1875" t="s">
        <v>171</v>
      </c>
      <c r="AB1875">
        <v>4.9000000000000004</v>
      </c>
      <c r="AC1875">
        <v>80</v>
      </c>
      <c r="AD1875">
        <v>307.39999999999998</v>
      </c>
      <c r="AE1875">
        <f t="shared" si="58"/>
        <v>1364.75</v>
      </c>
      <c r="AF1875" t="str">
        <f t="shared" si="59"/>
        <v>2025-08</v>
      </c>
      <c r="AG1875">
        <f>SUBTOTAL(103,A1875)</f>
        <v>1</v>
      </c>
    </row>
    <row r="1876" spans="1:33" x14ac:dyDescent="0.3">
      <c r="A1876" t="s">
        <v>4494</v>
      </c>
      <c r="B1876" s="13">
        <v>45893</v>
      </c>
      <c r="C1876">
        <v>2025</v>
      </c>
      <c r="D1876">
        <v>8</v>
      </c>
      <c r="E1876" t="s">
        <v>4301</v>
      </c>
      <c r="F1876" t="s">
        <v>4047</v>
      </c>
      <c r="G1876" t="s">
        <v>1987</v>
      </c>
      <c r="H1876" t="s">
        <v>1988</v>
      </c>
      <c r="I1876" t="s">
        <v>86</v>
      </c>
      <c r="J1876">
        <v>26</v>
      </c>
      <c r="K1876" t="s">
        <v>81</v>
      </c>
      <c r="L1876" t="s">
        <v>90</v>
      </c>
      <c r="M1876" t="s">
        <v>55</v>
      </c>
      <c r="N1876" t="s">
        <v>2574</v>
      </c>
      <c r="O1876" t="s">
        <v>130</v>
      </c>
      <c r="P1876" t="s">
        <v>50</v>
      </c>
      <c r="Q1876" t="s">
        <v>53</v>
      </c>
      <c r="R1876">
        <v>1</v>
      </c>
      <c r="S1876">
        <v>1199</v>
      </c>
      <c r="T1876">
        <v>0.05</v>
      </c>
      <c r="U1876">
        <v>1139.05</v>
      </c>
      <c r="V1876">
        <v>550</v>
      </c>
      <c r="W1876">
        <v>589.04999999999995</v>
      </c>
      <c r="X1876" t="s">
        <v>73</v>
      </c>
      <c r="Y1876" t="s">
        <v>68</v>
      </c>
      <c r="Z1876" t="s">
        <v>159</v>
      </c>
      <c r="AA1876" t="s">
        <v>169</v>
      </c>
      <c r="AB1876">
        <v>4</v>
      </c>
      <c r="AC1876">
        <v>80</v>
      </c>
      <c r="AD1876">
        <v>92.16</v>
      </c>
      <c r="AE1876">
        <f t="shared" si="58"/>
        <v>416.89</v>
      </c>
      <c r="AF1876" t="str">
        <f t="shared" si="59"/>
        <v>2025-08</v>
      </c>
      <c r="AG1876">
        <f>SUBTOTAL(103,A1876)</f>
        <v>1</v>
      </c>
    </row>
    <row r="1877" spans="1:33" x14ac:dyDescent="0.3">
      <c r="A1877" t="s">
        <v>4495</v>
      </c>
      <c r="B1877" s="13">
        <v>45893</v>
      </c>
      <c r="C1877">
        <v>2025</v>
      </c>
      <c r="D1877">
        <v>8</v>
      </c>
      <c r="E1877" t="s">
        <v>4301</v>
      </c>
      <c r="F1877" t="s">
        <v>4047</v>
      </c>
      <c r="G1877" t="s">
        <v>259</v>
      </c>
      <c r="H1877" t="s">
        <v>260</v>
      </c>
      <c r="I1877" t="s">
        <v>86</v>
      </c>
      <c r="J1877">
        <v>31</v>
      </c>
      <c r="K1877" t="s">
        <v>81</v>
      </c>
      <c r="L1877" t="s">
        <v>2661</v>
      </c>
      <c r="M1877" t="s">
        <v>58</v>
      </c>
      <c r="N1877" t="s">
        <v>2582</v>
      </c>
      <c r="O1877" t="s">
        <v>119</v>
      </c>
      <c r="P1877" t="s">
        <v>49</v>
      </c>
      <c r="Q1877" t="s">
        <v>140</v>
      </c>
      <c r="R1877">
        <v>5</v>
      </c>
      <c r="S1877">
        <v>3499</v>
      </c>
      <c r="T1877">
        <v>0.05</v>
      </c>
      <c r="U1877">
        <v>16620.25</v>
      </c>
      <c r="V1877">
        <v>10500</v>
      </c>
      <c r="W1877">
        <v>6120.25</v>
      </c>
      <c r="X1877" t="s">
        <v>73</v>
      </c>
      <c r="Y1877" t="s">
        <v>68</v>
      </c>
      <c r="Z1877" t="s">
        <v>159</v>
      </c>
      <c r="AA1877" t="s">
        <v>166</v>
      </c>
      <c r="AB1877">
        <v>4.5999999999999996</v>
      </c>
      <c r="AC1877">
        <v>50</v>
      </c>
      <c r="AD1877">
        <v>516.85</v>
      </c>
      <c r="AE1877">
        <f t="shared" si="58"/>
        <v>5553.4</v>
      </c>
      <c r="AF1877" t="str">
        <f t="shared" si="59"/>
        <v>2025-08</v>
      </c>
      <c r="AG1877">
        <f>SUBTOTAL(103,A1877)</f>
        <v>1</v>
      </c>
    </row>
    <row r="1878" spans="1:33" x14ac:dyDescent="0.3">
      <c r="A1878" t="s">
        <v>4496</v>
      </c>
      <c r="B1878" s="13">
        <v>45893</v>
      </c>
      <c r="C1878">
        <v>2025</v>
      </c>
      <c r="D1878">
        <v>8</v>
      </c>
      <c r="E1878" t="s">
        <v>4301</v>
      </c>
      <c r="F1878" t="s">
        <v>4047</v>
      </c>
      <c r="G1878" t="s">
        <v>801</v>
      </c>
      <c r="H1878" t="s">
        <v>802</v>
      </c>
      <c r="I1878" t="s">
        <v>85</v>
      </c>
      <c r="J1878">
        <v>32</v>
      </c>
      <c r="K1878" t="s">
        <v>81</v>
      </c>
      <c r="L1878" t="s">
        <v>2589</v>
      </c>
      <c r="M1878" t="s">
        <v>61</v>
      </c>
      <c r="N1878" t="s">
        <v>2647</v>
      </c>
      <c r="O1878" t="s">
        <v>133</v>
      </c>
      <c r="P1878" t="s">
        <v>50</v>
      </c>
      <c r="Q1878" t="s">
        <v>145</v>
      </c>
      <c r="R1878">
        <v>3</v>
      </c>
      <c r="S1878">
        <v>799</v>
      </c>
      <c r="T1878">
        <v>0.05</v>
      </c>
      <c r="U1878">
        <v>2277.15</v>
      </c>
      <c r="V1878">
        <v>1170</v>
      </c>
      <c r="W1878">
        <v>1107.1500000000001</v>
      </c>
      <c r="X1878" t="s">
        <v>73</v>
      </c>
      <c r="Y1878" t="s">
        <v>68</v>
      </c>
      <c r="Z1878" t="s">
        <v>159</v>
      </c>
      <c r="AA1878" t="s">
        <v>168</v>
      </c>
      <c r="AB1878">
        <v>4</v>
      </c>
      <c r="AC1878">
        <v>50</v>
      </c>
      <c r="AD1878">
        <v>246.48</v>
      </c>
      <c r="AE1878">
        <f t="shared" si="58"/>
        <v>810.67000000000007</v>
      </c>
      <c r="AF1878" t="str">
        <f t="shared" si="59"/>
        <v>2025-08</v>
      </c>
      <c r="AG1878">
        <f>SUBTOTAL(103,A1878)</f>
        <v>1</v>
      </c>
    </row>
    <row r="1879" spans="1:33" x14ac:dyDescent="0.3">
      <c r="A1879" t="s">
        <v>4497</v>
      </c>
      <c r="B1879" s="13">
        <v>45893</v>
      </c>
      <c r="C1879">
        <v>2025</v>
      </c>
      <c r="D1879">
        <v>8</v>
      </c>
      <c r="E1879" t="s">
        <v>4301</v>
      </c>
      <c r="F1879" t="s">
        <v>4047</v>
      </c>
      <c r="G1879" t="s">
        <v>1411</v>
      </c>
      <c r="H1879" t="s">
        <v>1412</v>
      </c>
      <c r="I1879" t="s">
        <v>86</v>
      </c>
      <c r="J1879">
        <v>60</v>
      </c>
      <c r="K1879" t="s">
        <v>83</v>
      </c>
      <c r="L1879" t="s">
        <v>2576</v>
      </c>
      <c r="M1879" t="s">
        <v>60</v>
      </c>
      <c r="N1879" t="s">
        <v>2580</v>
      </c>
      <c r="O1879" t="s">
        <v>118</v>
      </c>
      <c r="P1879" t="s">
        <v>48</v>
      </c>
      <c r="Q1879" t="s">
        <v>142</v>
      </c>
      <c r="R1879">
        <v>2</v>
      </c>
      <c r="S1879">
        <v>3999</v>
      </c>
      <c r="T1879">
        <v>0.15</v>
      </c>
      <c r="U1879">
        <v>6798.3</v>
      </c>
      <c r="V1879">
        <v>4800</v>
      </c>
      <c r="W1879">
        <v>1998.3</v>
      </c>
      <c r="X1879" t="s">
        <v>74</v>
      </c>
      <c r="Y1879" t="s">
        <v>68</v>
      </c>
      <c r="Z1879" t="s">
        <v>162</v>
      </c>
      <c r="AA1879" t="s">
        <v>166</v>
      </c>
      <c r="AB1879">
        <v>4.0999999999999996</v>
      </c>
      <c r="AC1879">
        <v>120</v>
      </c>
      <c r="AD1879">
        <v>763.23</v>
      </c>
      <c r="AE1879">
        <f t="shared" si="58"/>
        <v>1115.07</v>
      </c>
      <c r="AF1879" t="str">
        <f t="shared" si="59"/>
        <v>2025-08</v>
      </c>
      <c r="AG1879">
        <f>SUBTOTAL(103,A1879)</f>
        <v>1</v>
      </c>
    </row>
    <row r="1880" spans="1:33" x14ac:dyDescent="0.3">
      <c r="A1880" t="s">
        <v>4498</v>
      </c>
      <c r="B1880" s="13">
        <v>45893</v>
      </c>
      <c r="C1880">
        <v>2025</v>
      </c>
      <c r="D1880">
        <v>8</v>
      </c>
      <c r="E1880" t="s">
        <v>4301</v>
      </c>
      <c r="F1880" t="s">
        <v>4047</v>
      </c>
      <c r="G1880" t="s">
        <v>851</v>
      </c>
      <c r="H1880" t="s">
        <v>852</v>
      </c>
      <c r="I1880" t="s">
        <v>86</v>
      </c>
      <c r="J1880">
        <v>23</v>
      </c>
      <c r="K1880" t="s">
        <v>80</v>
      </c>
      <c r="L1880" t="s">
        <v>59</v>
      </c>
      <c r="M1880" t="s">
        <v>59</v>
      </c>
      <c r="N1880" t="s">
        <v>2592</v>
      </c>
      <c r="O1880" t="s">
        <v>115</v>
      </c>
      <c r="P1880" t="s">
        <v>48</v>
      </c>
      <c r="Q1880" t="s">
        <v>137</v>
      </c>
      <c r="R1880">
        <v>1</v>
      </c>
      <c r="S1880">
        <v>12999</v>
      </c>
      <c r="T1880">
        <v>0</v>
      </c>
      <c r="U1880">
        <v>12999</v>
      </c>
      <c r="V1880">
        <v>9000</v>
      </c>
      <c r="W1880">
        <v>3999</v>
      </c>
      <c r="X1880" t="s">
        <v>75</v>
      </c>
      <c r="Y1880" t="s">
        <v>68</v>
      </c>
      <c r="Z1880" t="s">
        <v>163</v>
      </c>
      <c r="AA1880" t="s">
        <v>166</v>
      </c>
      <c r="AB1880">
        <v>2.8</v>
      </c>
      <c r="AC1880">
        <v>60</v>
      </c>
      <c r="AD1880">
        <v>695.21</v>
      </c>
      <c r="AE1880">
        <f t="shared" si="58"/>
        <v>3243.79</v>
      </c>
      <c r="AF1880" t="str">
        <f t="shared" si="59"/>
        <v>2025-08</v>
      </c>
      <c r="AG1880">
        <f>SUBTOTAL(103,A1880)</f>
        <v>1</v>
      </c>
    </row>
    <row r="1881" spans="1:33" x14ac:dyDescent="0.3">
      <c r="A1881" t="s">
        <v>4499</v>
      </c>
      <c r="B1881" s="13">
        <v>45893</v>
      </c>
      <c r="C1881">
        <v>2025</v>
      </c>
      <c r="D1881">
        <v>8</v>
      </c>
      <c r="E1881" t="s">
        <v>4301</v>
      </c>
      <c r="F1881" t="s">
        <v>4047</v>
      </c>
      <c r="G1881" t="s">
        <v>1259</v>
      </c>
      <c r="H1881" t="s">
        <v>1260</v>
      </c>
      <c r="I1881" t="s">
        <v>86</v>
      </c>
      <c r="J1881">
        <v>29</v>
      </c>
      <c r="K1881" t="s">
        <v>81</v>
      </c>
      <c r="L1881" t="s">
        <v>99</v>
      </c>
      <c r="M1881" t="s">
        <v>58</v>
      </c>
      <c r="N1881" t="s">
        <v>2596</v>
      </c>
      <c r="O1881" t="s">
        <v>124</v>
      </c>
      <c r="P1881" t="s">
        <v>51</v>
      </c>
      <c r="Q1881" t="s">
        <v>147</v>
      </c>
      <c r="R1881">
        <v>2</v>
      </c>
      <c r="S1881">
        <v>2299</v>
      </c>
      <c r="T1881">
        <v>0</v>
      </c>
      <c r="U1881">
        <v>4598</v>
      </c>
      <c r="V1881">
        <v>2400</v>
      </c>
      <c r="W1881">
        <v>2198</v>
      </c>
      <c r="X1881" t="s">
        <v>76</v>
      </c>
      <c r="Y1881" t="s">
        <v>68</v>
      </c>
      <c r="Z1881" t="s">
        <v>158</v>
      </c>
      <c r="AA1881" t="s">
        <v>168</v>
      </c>
      <c r="AB1881">
        <v>2.2000000000000002</v>
      </c>
      <c r="AC1881">
        <v>60</v>
      </c>
      <c r="AD1881">
        <v>471.21</v>
      </c>
      <c r="AE1881">
        <f t="shared" si="58"/>
        <v>1666.79</v>
      </c>
      <c r="AF1881" t="str">
        <f t="shared" si="59"/>
        <v>2025-08</v>
      </c>
      <c r="AG1881">
        <f>SUBTOTAL(103,A1881)</f>
        <v>1</v>
      </c>
    </row>
    <row r="1882" spans="1:33" x14ac:dyDescent="0.3">
      <c r="A1882" t="s">
        <v>4500</v>
      </c>
      <c r="B1882" s="13">
        <v>45893</v>
      </c>
      <c r="C1882">
        <v>2025</v>
      </c>
      <c r="D1882">
        <v>8</v>
      </c>
      <c r="E1882" t="s">
        <v>4301</v>
      </c>
      <c r="F1882" t="s">
        <v>4047</v>
      </c>
      <c r="G1882" t="s">
        <v>1559</v>
      </c>
      <c r="H1882" t="s">
        <v>1560</v>
      </c>
      <c r="I1882" t="s">
        <v>85</v>
      </c>
      <c r="J1882">
        <v>56</v>
      </c>
      <c r="K1882" t="s">
        <v>83</v>
      </c>
      <c r="L1882" t="s">
        <v>100</v>
      </c>
      <c r="M1882" t="s">
        <v>56</v>
      </c>
      <c r="N1882" t="s">
        <v>2574</v>
      </c>
      <c r="O1882" t="s">
        <v>130</v>
      </c>
      <c r="P1882" t="s">
        <v>50</v>
      </c>
      <c r="Q1882" t="s">
        <v>53</v>
      </c>
      <c r="R1882">
        <v>1</v>
      </c>
      <c r="S1882">
        <v>1199</v>
      </c>
      <c r="T1882">
        <v>0.05</v>
      </c>
      <c r="U1882">
        <v>1139.05</v>
      </c>
      <c r="V1882">
        <v>550</v>
      </c>
      <c r="W1882">
        <v>589.04999999999995</v>
      </c>
      <c r="X1882" t="s">
        <v>76</v>
      </c>
      <c r="Y1882" t="s">
        <v>69</v>
      </c>
      <c r="Z1882" t="s">
        <v>159</v>
      </c>
      <c r="AA1882" t="s">
        <v>169</v>
      </c>
      <c r="AB1882">
        <v>3.9</v>
      </c>
      <c r="AC1882">
        <v>80</v>
      </c>
      <c r="AD1882">
        <v>54.19</v>
      </c>
      <c r="AE1882">
        <f t="shared" si="58"/>
        <v>454.85999999999996</v>
      </c>
      <c r="AF1882" t="str">
        <f t="shared" si="59"/>
        <v>2025-08</v>
      </c>
      <c r="AG1882">
        <f>SUBTOTAL(103,A1882)</f>
        <v>1</v>
      </c>
    </row>
    <row r="1883" spans="1:33" x14ac:dyDescent="0.3">
      <c r="A1883" t="s">
        <v>4501</v>
      </c>
      <c r="B1883" s="13">
        <v>45893</v>
      </c>
      <c r="C1883">
        <v>2025</v>
      </c>
      <c r="D1883">
        <v>8</v>
      </c>
      <c r="E1883" t="s">
        <v>4301</v>
      </c>
      <c r="F1883" t="s">
        <v>4047</v>
      </c>
      <c r="G1883" t="s">
        <v>1837</v>
      </c>
      <c r="H1883" t="s">
        <v>1838</v>
      </c>
      <c r="I1883" t="s">
        <v>86</v>
      </c>
      <c r="J1883">
        <v>52</v>
      </c>
      <c r="K1883" t="s">
        <v>83</v>
      </c>
      <c r="L1883" t="s">
        <v>2586</v>
      </c>
      <c r="M1883" t="s">
        <v>62</v>
      </c>
      <c r="N1883" t="s">
        <v>2647</v>
      </c>
      <c r="O1883" t="s">
        <v>133</v>
      </c>
      <c r="P1883" t="s">
        <v>50</v>
      </c>
      <c r="Q1883" t="s">
        <v>145</v>
      </c>
      <c r="R1883">
        <v>2</v>
      </c>
      <c r="S1883">
        <v>799</v>
      </c>
      <c r="T1883">
        <v>0.2</v>
      </c>
      <c r="U1883">
        <v>1278.4000000000001</v>
      </c>
      <c r="V1883">
        <v>780</v>
      </c>
      <c r="W1883">
        <v>498.4</v>
      </c>
      <c r="X1883" t="s">
        <v>75</v>
      </c>
      <c r="Y1883" t="s">
        <v>68</v>
      </c>
      <c r="Z1883" t="s">
        <v>161</v>
      </c>
      <c r="AA1883" t="s">
        <v>170</v>
      </c>
      <c r="AB1883">
        <v>4.4000000000000004</v>
      </c>
      <c r="AC1883">
        <v>80</v>
      </c>
      <c r="AD1883">
        <v>114.11</v>
      </c>
      <c r="AE1883">
        <f t="shared" si="58"/>
        <v>304.28999999999996</v>
      </c>
      <c r="AF1883" t="str">
        <f t="shared" si="59"/>
        <v>2025-08</v>
      </c>
      <c r="AG1883">
        <f>SUBTOTAL(103,A1883)</f>
        <v>1</v>
      </c>
    </row>
    <row r="1884" spans="1:33" x14ac:dyDescent="0.3">
      <c r="A1884" t="s">
        <v>4502</v>
      </c>
      <c r="B1884" s="13">
        <v>45893</v>
      </c>
      <c r="C1884">
        <v>2025</v>
      </c>
      <c r="D1884">
        <v>8</v>
      </c>
      <c r="E1884" t="s">
        <v>4301</v>
      </c>
      <c r="F1884" t="s">
        <v>4047</v>
      </c>
      <c r="G1884" t="s">
        <v>857</v>
      </c>
      <c r="H1884" t="s">
        <v>858</v>
      </c>
      <c r="I1884" t="s">
        <v>86</v>
      </c>
      <c r="J1884">
        <v>54</v>
      </c>
      <c r="K1884" t="s">
        <v>83</v>
      </c>
      <c r="L1884" t="s">
        <v>95</v>
      </c>
      <c r="M1884" t="s">
        <v>56</v>
      </c>
      <c r="N1884" t="s">
        <v>2626</v>
      </c>
      <c r="O1884" t="s">
        <v>125</v>
      </c>
      <c r="P1884" t="s">
        <v>48</v>
      </c>
      <c r="Q1884" t="s">
        <v>141</v>
      </c>
      <c r="R1884">
        <v>1</v>
      </c>
      <c r="S1884">
        <v>1999</v>
      </c>
      <c r="T1884">
        <v>0.15</v>
      </c>
      <c r="U1884">
        <v>1699.15</v>
      </c>
      <c r="V1884">
        <v>1150</v>
      </c>
      <c r="W1884">
        <v>549.15</v>
      </c>
      <c r="X1884" t="s">
        <v>76</v>
      </c>
      <c r="Y1884" t="s">
        <v>68</v>
      </c>
      <c r="Z1884" t="s">
        <v>159</v>
      </c>
      <c r="AA1884" t="s">
        <v>166</v>
      </c>
      <c r="AB1884">
        <v>4.2</v>
      </c>
      <c r="AC1884">
        <v>80</v>
      </c>
      <c r="AD1884">
        <v>93.33</v>
      </c>
      <c r="AE1884">
        <f t="shared" si="58"/>
        <v>375.82</v>
      </c>
      <c r="AF1884" t="str">
        <f t="shared" si="59"/>
        <v>2025-08</v>
      </c>
      <c r="AG1884">
        <f>SUBTOTAL(103,A1884)</f>
        <v>1</v>
      </c>
    </row>
    <row r="1885" spans="1:33" x14ac:dyDescent="0.3">
      <c r="A1885" t="s">
        <v>4503</v>
      </c>
      <c r="B1885" s="13">
        <v>45893</v>
      </c>
      <c r="C1885">
        <v>2025</v>
      </c>
      <c r="D1885">
        <v>8</v>
      </c>
      <c r="E1885" t="s">
        <v>4301</v>
      </c>
      <c r="F1885" t="s">
        <v>4047</v>
      </c>
      <c r="G1885" t="s">
        <v>505</v>
      </c>
      <c r="H1885" t="s">
        <v>506</v>
      </c>
      <c r="I1885" t="s">
        <v>85</v>
      </c>
      <c r="J1885">
        <v>25</v>
      </c>
      <c r="K1885" t="s">
        <v>80</v>
      </c>
      <c r="L1885" t="s">
        <v>92</v>
      </c>
      <c r="M1885" t="s">
        <v>59</v>
      </c>
      <c r="N1885" t="s">
        <v>2594</v>
      </c>
      <c r="O1885" t="s">
        <v>131</v>
      </c>
      <c r="P1885" t="s">
        <v>53</v>
      </c>
      <c r="Q1885" t="s">
        <v>143</v>
      </c>
      <c r="R1885">
        <v>1</v>
      </c>
      <c r="S1885">
        <v>999</v>
      </c>
      <c r="T1885">
        <v>0.1</v>
      </c>
      <c r="U1885">
        <v>899.1</v>
      </c>
      <c r="V1885">
        <v>520</v>
      </c>
      <c r="W1885">
        <v>379.1</v>
      </c>
      <c r="X1885" t="s">
        <v>74</v>
      </c>
      <c r="Y1885" t="s">
        <v>68</v>
      </c>
      <c r="Z1885" t="s">
        <v>158</v>
      </c>
      <c r="AA1885" t="s">
        <v>171</v>
      </c>
      <c r="AB1885">
        <v>3.7</v>
      </c>
      <c r="AC1885">
        <v>60</v>
      </c>
      <c r="AD1885">
        <v>21.25</v>
      </c>
      <c r="AE1885">
        <f t="shared" si="58"/>
        <v>297.85000000000002</v>
      </c>
      <c r="AF1885" t="str">
        <f t="shared" si="59"/>
        <v>2025-08</v>
      </c>
      <c r="AG1885">
        <f>SUBTOTAL(103,A1885)</f>
        <v>1</v>
      </c>
    </row>
    <row r="1886" spans="1:33" x14ac:dyDescent="0.3">
      <c r="A1886" t="s">
        <v>4504</v>
      </c>
      <c r="B1886" s="13">
        <v>45893</v>
      </c>
      <c r="C1886">
        <v>2025</v>
      </c>
      <c r="D1886">
        <v>8</v>
      </c>
      <c r="E1886" t="s">
        <v>4301</v>
      </c>
      <c r="F1886" t="s">
        <v>4047</v>
      </c>
      <c r="G1886" t="s">
        <v>1315</v>
      </c>
      <c r="H1886" t="s">
        <v>1316</v>
      </c>
      <c r="I1886" t="s">
        <v>85</v>
      </c>
      <c r="J1886">
        <v>30</v>
      </c>
      <c r="K1886" t="s">
        <v>81</v>
      </c>
      <c r="L1886" t="s">
        <v>2690</v>
      </c>
      <c r="M1886" t="s">
        <v>63</v>
      </c>
      <c r="N1886" t="s">
        <v>2580</v>
      </c>
      <c r="O1886" t="s">
        <v>118</v>
      </c>
      <c r="P1886" t="s">
        <v>48</v>
      </c>
      <c r="Q1886" t="s">
        <v>142</v>
      </c>
      <c r="R1886">
        <v>1</v>
      </c>
      <c r="S1886">
        <v>3999</v>
      </c>
      <c r="T1886">
        <v>0.2</v>
      </c>
      <c r="U1886">
        <v>3199.2</v>
      </c>
      <c r="V1886">
        <v>2400</v>
      </c>
      <c r="W1886">
        <v>799.2</v>
      </c>
      <c r="X1886" t="s">
        <v>73</v>
      </c>
      <c r="Y1886" t="s">
        <v>68</v>
      </c>
      <c r="Z1886" t="s">
        <v>159</v>
      </c>
      <c r="AA1886" t="s">
        <v>166</v>
      </c>
      <c r="AB1886">
        <v>4.7</v>
      </c>
      <c r="AC1886">
        <v>50</v>
      </c>
      <c r="AD1886">
        <v>189.17</v>
      </c>
      <c r="AE1886">
        <f t="shared" si="58"/>
        <v>560.03000000000009</v>
      </c>
      <c r="AF1886" t="str">
        <f t="shared" si="59"/>
        <v>2025-08</v>
      </c>
      <c r="AG1886">
        <f>SUBTOTAL(103,A1886)</f>
        <v>1</v>
      </c>
    </row>
    <row r="1887" spans="1:33" x14ac:dyDescent="0.3">
      <c r="A1887" t="s">
        <v>4505</v>
      </c>
      <c r="B1887" s="13">
        <v>45894</v>
      </c>
      <c r="C1887">
        <v>2025</v>
      </c>
      <c r="D1887">
        <v>8</v>
      </c>
      <c r="E1887" t="s">
        <v>4301</v>
      </c>
      <c r="F1887" t="s">
        <v>4047</v>
      </c>
      <c r="G1887" t="s">
        <v>285</v>
      </c>
      <c r="H1887" t="s">
        <v>286</v>
      </c>
      <c r="I1887" t="s">
        <v>85</v>
      </c>
      <c r="J1887">
        <v>20</v>
      </c>
      <c r="K1887" t="s">
        <v>80</v>
      </c>
      <c r="L1887" t="s">
        <v>2589</v>
      </c>
      <c r="M1887" t="s">
        <v>61</v>
      </c>
      <c r="N1887" t="s">
        <v>2647</v>
      </c>
      <c r="O1887" t="s">
        <v>133</v>
      </c>
      <c r="P1887" t="s">
        <v>50</v>
      </c>
      <c r="Q1887" t="s">
        <v>145</v>
      </c>
      <c r="R1887">
        <v>2</v>
      </c>
      <c r="S1887">
        <v>799</v>
      </c>
      <c r="T1887">
        <v>0.05</v>
      </c>
      <c r="U1887">
        <v>1518.1</v>
      </c>
      <c r="V1887">
        <v>780</v>
      </c>
      <c r="W1887">
        <v>738.1</v>
      </c>
      <c r="X1887" t="s">
        <v>74</v>
      </c>
      <c r="Y1887" t="s">
        <v>68</v>
      </c>
      <c r="Z1887" t="s">
        <v>161</v>
      </c>
      <c r="AA1887" t="s">
        <v>168</v>
      </c>
      <c r="AB1887">
        <v>2.7</v>
      </c>
      <c r="AC1887">
        <v>50</v>
      </c>
      <c r="AD1887">
        <v>99.19</v>
      </c>
      <c r="AE1887">
        <f t="shared" si="58"/>
        <v>588.91000000000008</v>
      </c>
      <c r="AF1887" t="str">
        <f t="shared" si="59"/>
        <v>2025-08</v>
      </c>
      <c r="AG1887">
        <f>SUBTOTAL(103,A1887)</f>
        <v>1</v>
      </c>
    </row>
    <row r="1888" spans="1:33" x14ac:dyDescent="0.3">
      <c r="A1888" t="s">
        <v>4506</v>
      </c>
      <c r="B1888" s="13">
        <v>45894</v>
      </c>
      <c r="C1888">
        <v>2025</v>
      </c>
      <c r="D1888">
        <v>8</v>
      </c>
      <c r="E1888" t="s">
        <v>4301</v>
      </c>
      <c r="F1888" t="s">
        <v>4047</v>
      </c>
      <c r="G1888" t="s">
        <v>879</v>
      </c>
      <c r="H1888" t="s">
        <v>880</v>
      </c>
      <c r="I1888" t="s">
        <v>85</v>
      </c>
      <c r="J1888">
        <v>42</v>
      </c>
      <c r="K1888" t="s">
        <v>82</v>
      </c>
      <c r="L1888" t="s">
        <v>92</v>
      </c>
      <c r="M1888" t="s">
        <v>59</v>
      </c>
      <c r="N1888" t="s">
        <v>2577</v>
      </c>
      <c r="O1888" t="s">
        <v>129</v>
      </c>
      <c r="P1888" t="s">
        <v>49</v>
      </c>
      <c r="Q1888" t="s">
        <v>149</v>
      </c>
      <c r="R1888">
        <v>4</v>
      </c>
      <c r="S1888">
        <v>1299</v>
      </c>
      <c r="T1888">
        <v>0.05</v>
      </c>
      <c r="U1888">
        <v>4936.2</v>
      </c>
      <c r="V1888">
        <v>2600</v>
      </c>
      <c r="W1888">
        <v>2336.1999999999998</v>
      </c>
      <c r="X1888" t="s">
        <v>76</v>
      </c>
      <c r="Y1888" t="s">
        <v>68</v>
      </c>
      <c r="Z1888" t="s">
        <v>163</v>
      </c>
      <c r="AA1888" t="s">
        <v>171</v>
      </c>
      <c r="AB1888">
        <v>3.8</v>
      </c>
      <c r="AC1888">
        <v>60</v>
      </c>
      <c r="AD1888">
        <v>369.24</v>
      </c>
      <c r="AE1888">
        <f t="shared" si="58"/>
        <v>1906.9599999999998</v>
      </c>
      <c r="AF1888" t="str">
        <f t="shared" si="59"/>
        <v>2025-08</v>
      </c>
      <c r="AG1888">
        <f>SUBTOTAL(103,A1888)</f>
        <v>1</v>
      </c>
    </row>
    <row r="1889" spans="1:33" x14ac:dyDescent="0.3">
      <c r="A1889" t="s">
        <v>4507</v>
      </c>
      <c r="B1889" s="13">
        <v>45894</v>
      </c>
      <c r="C1889">
        <v>2025</v>
      </c>
      <c r="D1889">
        <v>8</v>
      </c>
      <c r="E1889" t="s">
        <v>4301</v>
      </c>
      <c r="F1889" t="s">
        <v>4047</v>
      </c>
      <c r="G1889" t="s">
        <v>2259</v>
      </c>
      <c r="H1889" t="s">
        <v>2260</v>
      </c>
      <c r="I1889" t="s">
        <v>86</v>
      </c>
      <c r="J1889">
        <v>57</v>
      </c>
      <c r="K1889" t="s">
        <v>83</v>
      </c>
      <c r="L1889" t="s">
        <v>2579</v>
      </c>
      <c r="M1889" t="s">
        <v>56</v>
      </c>
      <c r="N1889" t="s">
        <v>2626</v>
      </c>
      <c r="O1889" t="s">
        <v>125</v>
      </c>
      <c r="P1889" t="s">
        <v>48</v>
      </c>
      <c r="Q1889" t="s">
        <v>141</v>
      </c>
      <c r="R1889">
        <v>2</v>
      </c>
      <c r="S1889">
        <v>1999</v>
      </c>
      <c r="T1889">
        <v>0.1</v>
      </c>
      <c r="U1889">
        <v>3598.2</v>
      </c>
      <c r="V1889">
        <v>2300</v>
      </c>
      <c r="W1889">
        <v>1298.2</v>
      </c>
      <c r="X1889" t="s">
        <v>73</v>
      </c>
      <c r="Y1889" t="s">
        <v>68</v>
      </c>
      <c r="Z1889" t="s">
        <v>162</v>
      </c>
      <c r="AA1889" t="s">
        <v>167</v>
      </c>
      <c r="AB1889">
        <v>4.2</v>
      </c>
      <c r="AC1889">
        <v>60</v>
      </c>
      <c r="AD1889">
        <v>170.16</v>
      </c>
      <c r="AE1889">
        <f t="shared" si="58"/>
        <v>1068.04</v>
      </c>
      <c r="AF1889" t="str">
        <f t="shared" si="59"/>
        <v>2025-08</v>
      </c>
      <c r="AG1889">
        <f>SUBTOTAL(103,A1889)</f>
        <v>1</v>
      </c>
    </row>
    <row r="1890" spans="1:33" x14ac:dyDescent="0.3">
      <c r="A1890" t="s">
        <v>4508</v>
      </c>
      <c r="B1890" s="13">
        <v>45894</v>
      </c>
      <c r="C1890">
        <v>2025</v>
      </c>
      <c r="D1890">
        <v>8</v>
      </c>
      <c r="E1890" t="s">
        <v>4301</v>
      </c>
      <c r="F1890" t="s">
        <v>4047</v>
      </c>
      <c r="G1890" t="s">
        <v>1725</v>
      </c>
      <c r="H1890" t="s">
        <v>1726</v>
      </c>
      <c r="I1890" t="s">
        <v>86</v>
      </c>
      <c r="J1890">
        <v>28</v>
      </c>
      <c r="K1890" t="s">
        <v>81</v>
      </c>
      <c r="L1890" t="s">
        <v>2687</v>
      </c>
      <c r="M1890" t="s">
        <v>57</v>
      </c>
      <c r="N1890" t="s">
        <v>2596</v>
      </c>
      <c r="O1890" t="s">
        <v>124</v>
      </c>
      <c r="P1890" t="s">
        <v>51</v>
      </c>
      <c r="Q1890" t="s">
        <v>147</v>
      </c>
      <c r="R1890">
        <v>5</v>
      </c>
      <c r="S1890">
        <v>2299</v>
      </c>
      <c r="T1890">
        <v>0.1</v>
      </c>
      <c r="U1890">
        <v>10345.5</v>
      </c>
      <c r="V1890">
        <v>6000</v>
      </c>
      <c r="W1890">
        <v>4345.5</v>
      </c>
      <c r="X1890" t="s">
        <v>73</v>
      </c>
      <c r="Y1890" t="s">
        <v>68</v>
      </c>
      <c r="Z1890" t="s">
        <v>162</v>
      </c>
      <c r="AA1890" t="s">
        <v>167</v>
      </c>
      <c r="AB1890">
        <v>3.9</v>
      </c>
      <c r="AC1890">
        <v>80</v>
      </c>
      <c r="AD1890">
        <v>1075.3900000000001</v>
      </c>
      <c r="AE1890">
        <f t="shared" si="58"/>
        <v>3190.1099999999997</v>
      </c>
      <c r="AF1890" t="str">
        <f t="shared" si="59"/>
        <v>2025-08</v>
      </c>
      <c r="AG1890">
        <f>SUBTOTAL(103,A1890)</f>
        <v>1</v>
      </c>
    </row>
    <row r="1891" spans="1:33" x14ac:dyDescent="0.3">
      <c r="A1891" t="s">
        <v>4509</v>
      </c>
      <c r="B1891" s="13">
        <v>45894</v>
      </c>
      <c r="C1891">
        <v>2025</v>
      </c>
      <c r="D1891">
        <v>8</v>
      </c>
      <c r="E1891" t="s">
        <v>4301</v>
      </c>
      <c r="F1891" t="s">
        <v>4047</v>
      </c>
      <c r="G1891" t="s">
        <v>1515</v>
      </c>
      <c r="H1891" t="s">
        <v>1516</v>
      </c>
      <c r="I1891" t="s">
        <v>85</v>
      </c>
      <c r="J1891">
        <v>34</v>
      </c>
      <c r="K1891" t="s">
        <v>81</v>
      </c>
      <c r="L1891" t="s">
        <v>2576</v>
      </c>
      <c r="M1891" t="s">
        <v>60</v>
      </c>
      <c r="N1891" t="s">
        <v>2606</v>
      </c>
      <c r="O1891" t="s">
        <v>120</v>
      </c>
      <c r="P1891" t="s">
        <v>49</v>
      </c>
      <c r="Q1891" t="s">
        <v>140</v>
      </c>
      <c r="R1891">
        <v>1</v>
      </c>
      <c r="S1891">
        <v>2799</v>
      </c>
      <c r="T1891">
        <v>0.05</v>
      </c>
      <c r="U1891">
        <v>2659.05</v>
      </c>
      <c r="V1891">
        <v>1650</v>
      </c>
      <c r="W1891">
        <v>1009.05</v>
      </c>
      <c r="X1891" t="s">
        <v>73</v>
      </c>
      <c r="Y1891" t="s">
        <v>68</v>
      </c>
      <c r="Z1891" t="s">
        <v>162</v>
      </c>
      <c r="AA1891" t="s">
        <v>166</v>
      </c>
      <c r="AB1891">
        <v>4</v>
      </c>
      <c r="AC1891">
        <v>60</v>
      </c>
      <c r="AD1891">
        <v>135.32</v>
      </c>
      <c r="AE1891">
        <f t="shared" si="58"/>
        <v>813.73</v>
      </c>
      <c r="AF1891" t="str">
        <f t="shared" si="59"/>
        <v>2025-08</v>
      </c>
      <c r="AG1891">
        <f>SUBTOTAL(103,A1891)</f>
        <v>1</v>
      </c>
    </row>
    <row r="1892" spans="1:33" x14ac:dyDescent="0.3">
      <c r="A1892" t="s">
        <v>4510</v>
      </c>
      <c r="B1892" s="13">
        <v>45894</v>
      </c>
      <c r="C1892">
        <v>2025</v>
      </c>
      <c r="D1892">
        <v>8</v>
      </c>
      <c r="E1892" t="s">
        <v>4301</v>
      </c>
      <c r="F1892" t="s">
        <v>4047</v>
      </c>
      <c r="G1892" t="s">
        <v>1325</v>
      </c>
      <c r="H1892" t="s">
        <v>1326</v>
      </c>
      <c r="I1892" t="s">
        <v>86</v>
      </c>
      <c r="J1892">
        <v>47</v>
      </c>
      <c r="K1892" t="s">
        <v>83</v>
      </c>
      <c r="L1892" t="s">
        <v>98</v>
      </c>
      <c r="M1892" t="s">
        <v>55</v>
      </c>
      <c r="N1892" t="s">
        <v>2582</v>
      </c>
      <c r="O1892" t="s">
        <v>119</v>
      </c>
      <c r="P1892" t="s">
        <v>49</v>
      </c>
      <c r="Q1892" t="s">
        <v>140</v>
      </c>
      <c r="R1892">
        <v>2</v>
      </c>
      <c r="S1892">
        <v>3499</v>
      </c>
      <c r="T1892">
        <v>0.1</v>
      </c>
      <c r="U1892">
        <v>6298.2</v>
      </c>
      <c r="V1892">
        <v>4200</v>
      </c>
      <c r="W1892">
        <v>2098.1999999999998</v>
      </c>
      <c r="X1892" t="s">
        <v>73</v>
      </c>
      <c r="Y1892" t="s">
        <v>68</v>
      </c>
      <c r="Z1892" t="s">
        <v>162</v>
      </c>
      <c r="AA1892" t="s">
        <v>169</v>
      </c>
      <c r="AB1892">
        <v>5</v>
      </c>
      <c r="AC1892">
        <v>80</v>
      </c>
      <c r="AD1892">
        <v>564.71</v>
      </c>
      <c r="AE1892">
        <f t="shared" si="58"/>
        <v>1453.4899999999998</v>
      </c>
      <c r="AF1892" t="str">
        <f t="shared" si="59"/>
        <v>2025-08</v>
      </c>
      <c r="AG1892">
        <f>SUBTOTAL(103,A1892)</f>
        <v>1</v>
      </c>
    </row>
    <row r="1893" spans="1:33" x14ac:dyDescent="0.3">
      <c r="A1893" t="s">
        <v>4511</v>
      </c>
      <c r="B1893" s="13">
        <v>45894</v>
      </c>
      <c r="C1893">
        <v>2025</v>
      </c>
      <c r="D1893">
        <v>8</v>
      </c>
      <c r="E1893" t="s">
        <v>4301</v>
      </c>
      <c r="F1893" t="s">
        <v>4047</v>
      </c>
      <c r="G1893" t="s">
        <v>1847</v>
      </c>
      <c r="H1893" t="s">
        <v>1848</v>
      </c>
      <c r="I1893" t="s">
        <v>85</v>
      </c>
      <c r="J1893">
        <v>49</v>
      </c>
      <c r="K1893" t="s">
        <v>83</v>
      </c>
      <c r="L1893" t="s">
        <v>94</v>
      </c>
      <c r="M1893" t="s">
        <v>57</v>
      </c>
      <c r="N1893" t="s">
        <v>2657</v>
      </c>
      <c r="O1893" t="s">
        <v>134</v>
      </c>
      <c r="P1893" t="s">
        <v>49</v>
      </c>
      <c r="Q1893" t="s">
        <v>140</v>
      </c>
      <c r="R1893">
        <v>3</v>
      </c>
      <c r="S1893">
        <v>599</v>
      </c>
      <c r="T1893">
        <v>0.05</v>
      </c>
      <c r="U1893">
        <v>1707.15</v>
      </c>
      <c r="V1893">
        <v>750</v>
      </c>
      <c r="W1893">
        <v>957.15</v>
      </c>
      <c r="X1893" t="s">
        <v>76</v>
      </c>
      <c r="Y1893" t="s">
        <v>68</v>
      </c>
      <c r="Z1893" t="s">
        <v>158</v>
      </c>
      <c r="AA1893" t="s">
        <v>166</v>
      </c>
      <c r="AB1893">
        <v>4.0999999999999996</v>
      </c>
      <c r="AC1893">
        <v>60</v>
      </c>
      <c r="AD1893">
        <v>67.23</v>
      </c>
      <c r="AE1893">
        <f t="shared" si="58"/>
        <v>829.92</v>
      </c>
      <c r="AF1893" t="str">
        <f t="shared" si="59"/>
        <v>2025-08</v>
      </c>
      <c r="AG1893">
        <f>SUBTOTAL(103,A1893)</f>
        <v>1</v>
      </c>
    </row>
    <row r="1894" spans="1:33" x14ac:dyDescent="0.3">
      <c r="A1894" t="s">
        <v>4512</v>
      </c>
      <c r="B1894" s="13">
        <v>45894</v>
      </c>
      <c r="C1894">
        <v>2025</v>
      </c>
      <c r="D1894">
        <v>8</v>
      </c>
      <c r="E1894" t="s">
        <v>4301</v>
      </c>
      <c r="F1894" t="s">
        <v>4047</v>
      </c>
      <c r="G1894" t="s">
        <v>447</v>
      </c>
      <c r="H1894" t="s">
        <v>448</v>
      </c>
      <c r="I1894" t="s">
        <v>85</v>
      </c>
      <c r="J1894">
        <v>32</v>
      </c>
      <c r="K1894" t="s">
        <v>81</v>
      </c>
      <c r="L1894" t="s">
        <v>90</v>
      </c>
      <c r="M1894" t="s">
        <v>55</v>
      </c>
      <c r="N1894" t="s">
        <v>2574</v>
      </c>
      <c r="O1894" t="s">
        <v>130</v>
      </c>
      <c r="P1894" t="s">
        <v>50</v>
      </c>
      <c r="Q1894" t="s">
        <v>53</v>
      </c>
      <c r="R1894">
        <v>1</v>
      </c>
      <c r="S1894">
        <v>1199</v>
      </c>
      <c r="T1894">
        <v>0.05</v>
      </c>
      <c r="U1894">
        <v>1139.05</v>
      </c>
      <c r="V1894">
        <v>550</v>
      </c>
      <c r="W1894">
        <v>589.04999999999995</v>
      </c>
      <c r="X1894" t="s">
        <v>73</v>
      </c>
      <c r="Y1894" t="s">
        <v>68</v>
      </c>
      <c r="Z1894" t="s">
        <v>160</v>
      </c>
      <c r="AA1894" t="s">
        <v>168</v>
      </c>
      <c r="AB1894">
        <v>3.6</v>
      </c>
      <c r="AC1894">
        <v>50</v>
      </c>
      <c r="AD1894">
        <v>134.41</v>
      </c>
      <c r="AE1894">
        <f t="shared" si="58"/>
        <v>404.64</v>
      </c>
      <c r="AF1894" t="str">
        <f t="shared" si="59"/>
        <v>2025-08</v>
      </c>
      <c r="AG1894">
        <f>SUBTOTAL(103,A1894)</f>
        <v>1</v>
      </c>
    </row>
    <row r="1895" spans="1:33" x14ac:dyDescent="0.3">
      <c r="A1895" t="s">
        <v>4513</v>
      </c>
      <c r="B1895" s="13">
        <v>45894</v>
      </c>
      <c r="C1895">
        <v>2025</v>
      </c>
      <c r="D1895">
        <v>8</v>
      </c>
      <c r="E1895" t="s">
        <v>4301</v>
      </c>
      <c r="F1895" t="s">
        <v>4047</v>
      </c>
      <c r="G1895" t="s">
        <v>1257</v>
      </c>
      <c r="H1895" t="s">
        <v>1258</v>
      </c>
      <c r="I1895" t="s">
        <v>85</v>
      </c>
      <c r="J1895">
        <v>46</v>
      </c>
      <c r="K1895" t="s">
        <v>83</v>
      </c>
      <c r="L1895" t="s">
        <v>100</v>
      </c>
      <c r="M1895" t="s">
        <v>56</v>
      </c>
      <c r="N1895" t="s">
        <v>2582</v>
      </c>
      <c r="O1895" t="s">
        <v>119</v>
      </c>
      <c r="P1895" t="s">
        <v>49</v>
      </c>
      <c r="Q1895" t="s">
        <v>140</v>
      </c>
      <c r="R1895">
        <v>1</v>
      </c>
      <c r="S1895">
        <v>3499</v>
      </c>
      <c r="T1895">
        <v>0.1</v>
      </c>
      <c r="U1895">
        <v>3149.1</v>
      </c>
      <c r="V1895">
        <v>2100</v>
      </c>
      <c r="W1895">
        <v>1049.0999999999999</v>
      </c>
      <c r="X1895" t="s">
        <v>76</v>
      </c>
      <c r="Y1895" t="s">
        <v>68</v>
      </c>
      <c r="Z1895" t="s">
        <v>160</v>
      </c>
      <c r="AA1895" t="s">
        <v>166</v>
      </c>
      <c r="AB1895">
        <v>4.8</v>
      </c>
      <c r="AC1895">
        <v>60</v>
      </c>
      <c r="AD1895">
        <v>147.52000000000001</v>
      </c>
      <c r="AE1895">
        <f t="shared" si="58"/>
        <v>841.57999999999993</v>
      </c>
      <c r="AF1895" t="str">
        <f t="shared" si="59"/>
        <v>2025-08</v>
      </c>
      <c r="AG1895">
        <f>SUBTOTAL(103,A1895)</f>
        <v>1</v>
      </c>
    </row>
    <row r="1896" spans="1:33" x14ac:dyDescent="0.3">
      <c r="A1896" t="s">
        <v>4514</v>
      </c>
      <c r="B1896" s="13">
        <v>45894</v>
      </c>
      <c r="C1896">
        <v>2025</v>
      </c>
      <c r="D1896">
        <v>8</v>
      </c>
      <c r="E1896" t="s">
        <v>4301</v>
      </c>
      <c r="F1896" t="s">
        <v>4047</v>
      </c>
      <c r="G1896" t="s">
        <v>211</v>
      </c>
      <c r="H1896" t="s">
        <v>212</v>
      </c>
      <c r="I1896" t="s">
        <v>85</v>
      </c>
      <c r="J1896">
        <v>31</v>
      </c>
      <c r="K1896" t="s">
        <v>81</v>
      </c>
      <c r="L1896" t="s">
        <v>2610</v>
      </c>
      <c r="M1896" t="s">
        <v>64</v>
      </c>
      <c r="N1896" t="s">
        <v>2644</v>
      </c>
      <c r="O1896" t="s">
        <v>126</v>
      </c>
      <c r="P1896" t="s">
        <v>50</v>
      </c>
      <c r="Q1896" t="s">
        <v>145</v>
      </c>
      <c r="R1896">
        <v>3</v>
      </c>
      <c r="S1896">
        <v>1799</v>
      </c>
      <c r="T1896">
        <v>0.05</v>
      </c>
      <c r="U1896">
        <v>5127.1499999999996</v>
      </c>
      <c r="V1896">
        <v>2850</v>
      </c>
      <c r="W1896">
        <v>2277.15</v>
      </c>
      <c r="X1896" t="s">
        <v>75</v>
      </c>
      <c r="Y1896" t="s">
        <v>68</v>
      </c>
      <c r="Z1896" t="s">
        <v>158</v>
      </c>
      <c r="AA1896" t="s">
        <v>169</v>
      </c>
      <c r="AB1896">
        <v>5</v>
      </c>
      <c r="AC1896">
        <v>100</v>
      </c>
      <c r="AD1896">
        <v>264.11</v>
      </c>
      <c r="AE1896">
        <f t="shared" si="58"/>
        <v>1913.04</v>
      </c>
      <c r="AF1896" t="str">
        <f t="shared" si="59"/>
        <v>2025-08</v>
      </c>
      <c r="AG1896">
        <f>SUBTOTAL(103,A1896)</f>
        <v>1</v>
      </c>
    </row>
    <row r="1897" spans="1:33" x14ac:dyDescent="0.3">
      <c r="A1897" t="s">
        <v>4515</v>
      </c>
      <c r="B1897" s="13">
        <v>45894</v>
      </c>
      <c r="C1897">
        <v>2025</v>
      </c>
      <c r="D1897">
        <v>8</v>
      </c>
      <c r="E1897" t="s">
        <v>4301</v>
      </c>
      <c r="F1897" t="s">
        <v>4047</v>
      </c>
      <c r="G1897" t="s">
        <v>2217</v>
      </c>
      <c r="H1897" t="s">
        <v>2218</v>
      </c>
      <c r="I1897" t="s">
        <v>86</v>
      </c>
      <c r="J1897">
        <v>19</v>
      </c>
      <c r="K1897" t="s">
        <v>80</v>
      </c>
      <c r="L1897" t="s">
        <v>2579</v>
      </c>
      <c r="M1897" t="s">
        <v>56</v>
      </c>
      <c r="N1897" t="s">
        <v>2594</v>
      </c>
      <c r="O1897" t="s">
        <v>131</v>
      </c>
      <c r="P1897" t="s">
        <v>53</v>
      </c>
      <c r="Q1897" t="s">
        <v>143</v>
      </c>
      <c r="R1897">
        <v>1</v>
      </c>
      <c r="S1897">
        <v>999</v>
      </c>
      <c r="T1897">
        <v>0.15</v>
      </c>
      <c r="U1897">
        <v>849.15</v>
      </c>
      <c r="V1897">
        <v>520</v>
      </c>
      <c r="W1897">
        <v>329.15</v>
      </c>
      <c r="X1897" t="s">
        <v>74</v>
      </c>
      <c r="Y1897" t="s">
        <v>69</v>
      </c>
      <c r="Z1897" t="s">
        <v>161</v>
      </c>
      <c r="AA1897" t="s">
        <v>168</v>
      </c>
      <c r="AB1897">
        <v>3.9</v>
      </c>
      <c r="AC1897">
        <v>40</v>
      </c>
      <c r="AD1897">
        <v>25.35</v>
      </c>
      <c r="AE1897">
        <f t="shared" si="58"/>
        <v>263.79999999999995</v>
      </c>
      <c r="AF1897" t="str">
        <f t="shared" si="59"/>
        <v>2025-08</v>
      </c>
      <c r="AG1897">
        <f>SUBTOTAL(103,A1897)</f>
        <v>1</v>
      </c>
    </row>
    <row r="1898" spans="1:33" x14ac:dyDescent="0.3">
      <c r="A1898" t="s">
        <v>4516</v>
      </c>
      <c r="B1898" s="13">
        <v>45895</v>
      </c>
      <c r="C1898">
        <v>2025</v>
      </c>
      <c r="D1898">
        <v>8</v>
      </c>
      <c r="E1898" t="s">
        <v>4301</v>
      </c>
      <c r="F1898" t="s">
        <v>4047</v>
      </c>
      <c r="G1898" t="s">
        <v>359</v>
      </c>
      <c r="H1898" t="s">
        <v>360</v>
      </c>
      <c r="I1898" t="s">
        <v>85</v>
      </c>
      <c r="J1898">
        <v>40</v>
      </c>
      <c r="K1898" t="s">
        <v>82</v>
      </c>
      <c r="L1898" t="s">
        <v>91</v>
      </c>
      <c r="M1898" t="s">
        <v>55</v>
      </c>
      <c r="N1898" t="s">
        <v>2582</v>
      </c>
      <c r="O1898" t="s">
        <v>119</v>
      </c>
      <c r="P1898" t="s">
        <v>49</v>
      </c>
      <c r="Q1898" t="s">
        <v>140</v>
      </c>
      <c r="R1898">
        <v>2</v>
      </c>
      <c r="S1898">
        <v>3499</v>
      </c>
      <c r="T1898">
        <v>0</v>
      </c>
      <c r="U1898">
        <v>6998</v>
      </c>
      <c r="V1898">
        <v>4200</v>
      </c>
      <c r="W1898">
        <v>2798</v>
      </c>
      <c r="X1898" t="s">
        <v>73</v>
      </c>
      <c r="Y1898" t="s">
        <v>68</v>
      </c>
      <c r="Z1898" t="s">
        <v>161</v>
      </c>
      <c r="AA1898" t="s">
        <v>171</v>
      </c>
      <c r="AB1898">
        <v>4.0999999999999996</v>
      </c>
      <c r="AC1898">
        <v>80</v>
      </c>
      <c r="AD1898">
        <v>806.83</v>
      </c>
      <c r="AE1898">
        <f t="shared" si="58"/>
        <v>1911.17</v>
      </c>
      <c r="AF1898" t="str">
        <f t="shared" si="59"/>
        <v>2025-08</v>
      </c>
      <c r="AG1898">
        <f>SUBTOTAL(103,A1898)</f>
        <v>1</v>
      </c>
    </row>
    <row r="1899" spans="1:33" x14ac:dyDescent="0.3">
      <c r="A1899" t="s">
        <v>4517</v>
      </c>
      <c r="B1899" s="13">
        <v>45895</v>
      </c>
      <c r="C1899">
        <v>2025</v>
      </c>
      <c r="D1899">
        <v>8</v>
      </c>
      <c r="E1899" t="s">
        <v>4301</v>
      </c>
      <c r="F1899" t="s">
        <v>4047</v>
      </c>
      <c r="G1899" t="s">
        <v>633</v>
      </c>
      <c r="H1899" t="s">
        <v>634</v>
      </c>
      <c r="I1899" t="s">
        <v>85</v>
      </c>
      <c r="J1899">
        <v>25</v>
      </c>
      <c r="K1899" t="s">
        <v>80</v>
      </c>
      <c r="L1899" t="s">
        <v>2661</v>
      </c>
      <c r="M1899" t="s">
        <v>58</v>
      </c>
      <c r="N1899" t="s">
        <v>2657</v>
      </c>
      <c r="O1899" t="s">
        <v>134</v>
      </c>
      <c r="P1899" t="s">
        <v>49</v>
      </c>
      <c r="Q1899" t="s">
        <v>140</v>
      </c>
      <c r="R1899">
        <v>1</v>
      </c>
      <c r="S1899">
        <v>599</v>
      </c>
      <c r="T1899">
        <v>0.1</v>
      </c>
      <c r="U1899">
        <v>539.1</v>
      </c>
      <c r="V1899">
        <v>250</v>
      </c>
      <c r="W1899">
        <v>289.10000000000002</v>
      </c>
      <c r="X1899" t="s">
        <v>73</v>
      </c>
      <c r="Y1899" t="s">
        <v>68</v>
      </c>
      <c r="Z1899" t="s">
        <v>163</v>
      </c>
      <c r="AA1899" t="s">
        <v>166</v>
      </c>
      <c r="AB1899">
        <v>4.5</v>
      </c>
      <c r="AC1899">
        <v>80</v>
      </c>
      <c r="AD1899">
        <v>37.799999999999997</v>
      </c>
      <c r="AE1899">
        <f t="shared" si="58"/>
        <v>171.3</v>
      </c>
      <c r="AF1899" t="str">
        <f t="shared" si="59"/>
        <v>2025-08</v>
      </c>
      <c r="AG1899">
        <f>SUBTOTAL(103,A1899)</f>
        <v>1</v>
      </c>
    </row>
    <row r="1900" spans="1:33" x14ac:dyDescent="0.3">
      <c r="A1900" t="s">
        <v>4518</v>
      </c>
      <c r="B1900" s="13">
        <v>45895</v>
      </c>
      <c r="C1900">
        <v>2025</v>
      </c>
      <c r="D1900">
        <v>8</v>
      </c>
      <c r="E1900" t="s">
        <v>4301</v>
      </c>
      <c r="F1900" t="s">
        <v>4047</v>
      </c>
      <c r="G1900" t="s">
        <v>321</v>
      </c>
      <c r="H1900" t="s">
        <v>322</v>
      </c>
      <c r="I1900" t="s">
        <v>85</v>
      </c>
      <c r="J1900">
        <v>59</v>
      </c>
      <c r="K1900" t="s">
        <v>83</v>
      </c>
      <c r="L1900" t="s">
        <v>95</v>
      </c>
      <c r="M1900" t="s">
        <v>56</v>
      </c>
      <c r="N1900" t="s">
        <v>2594</v>
      </c>
      <c r="O1900" t="s">
        <v>131</v>
      </c>
      <c r="P1900" t="s">
        <v>53</v>
      </c>
      <c r="Q1900" t="s">
        <v>143</v>
      </c>
      <c r="R1900">
        <v>2</v>
      </c>
      <c r="S1900">
        <v>999</v>
      </c>
      <c r="T1900">
        <v>0.05</v>
      </c>
      <c r="U1900">
        <v>1898.1</v>
      </c>
      <c r="V1900">
        <v>1040</v>
      </c>
      <c r="W1900">
        <v>858.1</v>
      </c>
      <c r="X1900" t="s">
        <v>76</v>
      </c>
      <c r="Y1900" t="s">
        <v>68</v>
      </c>
      <c r="Z1900" t="s">
        <v>159</v>
      </c>
      <c r="AA1900" t="s">
        <v>168</v>
      </c>
      <c r="AB1900">
        <v>3.1</v>
      </c>
      <c r="AC1900">
        <v>50</v>
      </c>
      <c r="AD1900">
        <v>51.47</v>
      </c>
      <c r="AE1900">
        <f t="shared" si="58"/>
        <v>756.63</v>
      </c>
      <c r="AF1900" t="str">
        <f t="shared" si="59"/>
        <v>2025-08</v>
      </c>
      <c r="AG1900">
        <f>SUBTOTAL(103,A1900)</f>
        <v>1</v>
      </c>
    </row>
    <row r="1901" spans="1:33" x14ac:dyDescent="0.3">
      <c r="A1901" t="s">
        <v>4519</v>
      </c>
      <c r="B1901" s="13">
        <v>45895</v>
      </c>
      <c r="C1901">
        <v>2025</v>
      </c>
      <c r="D1901">
        <v>8</v>
      </c>
      <c r="E1901" t="s">
        <v>4301</v>
      </c>
      <c r="F1901" t="s">
        <v>4047</v>
      </c>
      <c r="G1901" t="s">
        <v>393</v>
      </c>
      <c r="H1901" t="s">
        <v>394</v>
      </c>
      <c r="I1901" t="s">
        <v>85</v>
      </c>
      <c r="J1901">
        <v>33</v>
      </c>
      <c r="K1901" t="s">
        <v>81</v>
      </c>
      <c r="L1901" t="s">
        <v>99</v>
      </c>
      <c r="M1901" t="s">
        <v>58</v>
      </c>
      <c r="N1901" t="s">
        <v>2653</v>
      </c>
      <c r="O1901" t="s">
        <v>132</v>
      </c>
      <c r="P1901" t="s">
        <v>52</v>
      </c>
      <c r="Q1901" t="s">
        <v>150</v>
      </c>
      <c r="R1901">
        <v>1</v>
      </c>
      <c r="S1901">
        <v>899</v>
      </c>
      <c r="T1901">
        <v>0.05</v>
      </c>
      <c r="U1901">
        <v>854.05</v>
      </c>
      <c r="V1901">
        <v>420</v>
      </c>
      <c r="W1901">
        <v>434.05</v>
      </c>
      <c r="X1901" t="s">
        <v>74</v>
      </c>
      <c r="Y1901" t="s">
        <v>68</v>
      </c>
      <c r="Z1901" t="s">
        <v>158</v>
      </c>
      <c r="AA1901" t="s">
        <v>170</v>
      </c>
      <c r="AB1901">
        <v>4.4000000000000004</v>
      </c>
      <c r="AC1901">
        <v>100</v>
      </c>
      <c r="AD1901">
        <v>82.59</v>
      </c>
      <c r="AE1901">
        <f t="shared" si="58"/>
        <v>251.46</v>
      </c>
      <c r="AF1901" t="str">
        <f t="shared" si="59"/>
        <v>2025-08</v>
      </c>
      <c r="AG1901">
        <f>SUBTOTAL(103,A1901)</f>
        <v>1</v>
      </c>
    </row>
    <row r="1902" spans="1:33" x14ac:dyDescent="0.3">
      <c r="A1902" t="s">
        <v>4520</v>
      </c>
      <c r="B1902" s="13">
        <v>45895</v>
      </c>
      <c r="C1902">
        <v>2025</v>
      </c>
      <c r="D1902">
        <v>8</v>
      </c>
      <c r="E1902" t="s">
        <v>4301</v>
      </c>
      <c r="F1902" t="s">
        <v>4047</v>
      </c>
      <c r="G1902" t="s">
        <v>1723</v>
      </c>
      <c r="H1902" t="s">
        <v>1724</v>
      </c>
      <c r="I1902" t="s">
        <v>85</v>
      </c>
      <c r="J1902">
        <v>22</v>
      </c>
      <c r="K1902" t="s">
        <v>80</v>
      </c>
      <c r="L1902" t="s">
        <v>2674</v>
      </c>
      <c r="M1902" t="s">
        <v>58</v>
      </c>
      <c r="N1902" t="s">
        <v>2590</v>
      </c>
      <c r="O1902" t="s">
        <v>127</v>
      </c>
      <c r="P1902" t="s">
        <v>51</v>
      </c>
      <c r="Q1902" t="s">
        <v>148</v>
      </c>
      <c r="R1902">
        <v>3</v>
      </c>
      <c r="S1902">
        <v>1599</v>
      </c>
      <c r="T1902">
        <v>0</v>
      </c>
      <c r="U1902">
        <v>4797</v>
      </c>
      <c r="V1902">
        <v>2400</v>
      </c>
      <c r="W1902">
        <v>2397</v>
      </c>
      <c r="X1902" t="s">
        <v>76</v>
      </c>
      <c r="Y1902" t="s">
        <v>68</v>
      </c>
      <c r="Z1902" t="s">
        <v>163</v>
      </c>
      <c r="AA1902" t="s">
        <v>167</v>
      </c>
      <c r="AB1902">
        <v>4</v>
      </c>
      <c r="AC1902">
        <v>120</v>
      </c>
      <c r="AD1902">
        <v>524.91999999999996</v>
      </c>
      <c r="AE1902">
        <f t="shared" si="58"/>
        <v>1752.08</v>
      </c>
      <c r="AF1902" t="str">
        <f t="shared" si="59"/>
        <v>2025-08</v>
      </c>
      <c r="AG1902">
        <f>SUBTOTAL(103,A1902)</f>
        <v>1</v>
      </c>
    </row>
    <row r="1903" spans="1:33" x14ac:dyDescent="0.3">
      <c r="A1903" t="s">
        <v>4521</v>
      </c>
      <c r="B1903" s="13">
        <v>45895</v>
      </c>
      <c r="C1903">
        <v>2025</v>
      </c>
      <c r="D1903">
        <v>8</v>
      </c>
      <c r="E1903" t="s">
        <v>4301</v>
      </c>
      <c r="F1903" t="s">
        <v>4047</v>
      </c>
      <c r="G1903" t="s">
        <v>1701</v>
      </c>
      <c r="H1903" t="s">
        <v>1702</v>
      </c>
      <c r="I1903" t="s">
        <v>85</v>
      </c>
      <c r="J1903">
        <v>42</v>
      </c>
      <c r="K1903" t="s">
        <v>82</v>
      </c>
      <c r="L1903" t="s">
        <v>96</v>
      </c>
      <c r="M1903" t="s">
        <v>55</v>
      </c>
      <c r="N1903" t="s">
        <v>2603</v>
      </c>
      <c r="O1903" t="s">
        <v>122</v>
      </c>
      <c r="P1903" t="s">
        <v>48</v>
      </c>
      <c r="Q1903" t="s">
        <v>141</v>
      </c>
      <c r="R1903">
        <v>3</v>
      </c>
      <c r="S1903">
        <v>2499</v>
      </c>
      <c r="T1903">
        <v>0.25</v>
      </c>
      <c r="U1903">
        <v>0</v>
      </c>
      <c r="V1903">
        <v>0</v>
      </c>
      <c r="W1903">
        <v>0</v>
      </c>
      <c r="X1903" t="s">
        <v>73</v>
      </c>
      <c r="Y1903" t="s">
        <v>71</v>
      </c>
      <c r="Z1903" t="s">
        <v>159</v>
      </c>
      <c r="AA1903" t="s">
        <v>167</v>
      </c>
      <c r="AB1903">
        <v>4</v>
      </c>
      <c r="AC1903">
        <v>50</v>
      </c>
      <c r="AD1903">
        <v>228.61</v>
      </c>
      <c r="AE1903">
        <f t="shared" si="58"/>
        <v>-278.61</v>
      </c>
      <c r="AF1903" t="str">
        <f t="shared" si="59"/>
        <v>2025-08</v>
      </c>
      <c r="AG1903">
        <f>SUBTOTAL(103,A1903)</f>
        <v>1</v>
      </c>
    </row>
    <row r="1904" spans="1:33" x14ac:dyDescent="0.3">
      <c r="A1904" t="s">
        <v>4522</v>
      </c>
      <c r="B1904" s="13">
        <v>45896</v>
      </c>
      <c r="C1904">
        <v>2025</v>
      </c>
      <c r="D1904">
        <v>8</v>
      </c>
      <c r="E1904" t="s">
        <v>4301</v>
      </c>
      <c r="F1904" t="s">
        <v>4047</v>
      </c>
      <c r="G1904" t="s">
        <v>1983</v>
      </c>
      <c r="H1904" t="s">
        <v>1984</v>
      </c>
      <c r="I1904" t="s">
        <v>86</v>
      </c>
      <c r="J1904">
        <v>39</v>
      </c>
      <c r="K1904" t="s">
        <v>82</v>
      </c>
      <c r="L1904" t="s">
        <v>2687</v>
      </c>
      <c r="M1904" t="s">
        <v>57</v>
      </c>
      <c r="N1904" t="s">
        <v>2582</v>
      </c>
      <c r="O1904" t="s">
        <v>119</v>
      </c>
      <c r="P1904" t="s">
        <v>49</v>
      </c>
      <c r="Q1904" t="s">
        <v>140</v>
      </c>
      <c r="R1904">
        <v>1</v>
      </c>
      <c r="S1904">
        <v>3499</v>
      </c>
      <c r="T1904">
        <v>0.1</v>
      </c>
      <c r="U1904">
        <v>3149.1</v>
      </c>
      <c r="V1904">
        <v>2100</v>
      </c>
      <c r="W1904">
        <v>1049.0999999999999</v>
      </c>
      <c r="X1904" t="s">
        <v>77</v>
      </c>
      <c r="Y1904" t="s">
        <v>68</v>
      </c>
      <c r="Z1904" t="s">
        <v>163</v>
      </c>
      <c r="AA1904" t="s">
        <v>171</v>
      </c>
      <c r="AB1904">
        <v>4.4000000000000004</v>
      </c>
      <c r="AC1904">
        <v>40</v>
      </c>
      <c r="AD1904">
        <v>180.12</v>
      </c>
      <c r="AE1904">
        <f t="shared" si="58"/>
        <v>828.9799999999999</v>
      </c>
      <c r="AF1904" t="str">
        <f t="shared" si="59"/>
        <v>2025-08</v>
      </c>
      <c r="AG1904">
        <f>SUBTOTAL(103,A1904)</f>
        <v>1</v>
      </c>
    </row>
    <row r="1905" spans="1:33" x14ac:dyDescent="0.3">
      <c r="A1905" t="s">
        <v>4523</v>
      </c>
      <c r="B1905" s="13">
        <v>45896</v>
      </c>
      <c r="C1905">
        <v>2025</v>
      </c>
      <c r="D1905">
        <v>8</v>
      </c>
      <c r="E1905" t="s">
        <v>4301</v>
      </c>
      <c r="F1905" t="s">
        <v>4047</v>
      </c>
      <c r="G1905" t="s">
        <v>1073</v>
      </c>
      <c r="H1905" t="s">
        <v>1074</v>
      </c>
      <c r="I1905" t="s">
        <v>87</v>
      </c>
      <c r="J1905">
        <v>30</v>
      </c>
      <c r="K1905" t="s">
        <v>81</v>
      </c>
      <c r="L1905" t="s">
        <v>90</v>
      </c>
      <c r="M1905" t="s">
        <v>55</v>
      </c>
      <c r="N1905" t="s">
        <v>2647</v>
      </c>
      <c r="O1905" t="s">
        <v>133</v>
      </c>
      <c r="P1905" t="s">
        <v>50</v>
      </c>
      <c r="Q1905" t="s">
        <v>145</v>
      </c>
      <c r="R1905">
        <v>5</v>
      </c>
      <c r="S1905">
        <v>799</v>
      </c>
      <c r="T1905">
        <v>0.1</v>
      </c>
      <c r="U1905">
        <v>3595.5</v>
      </c>
      <c r="V1905">
        <v>1950</v>
      </c>
      <c r="W1905">
        <v>1645.5</v>
      </c>
      <c r="X1905" t="s">
        <v>73</v>
      </c>
      <c r="Y1905" t="s">
        <v>68</v>
      </c>
      <c r="Z1905" t="s">
        <v>158</v>
      </c>
      <c r="AA1905" t="s">
        <v>171</v>
      </c>
      <c r="AB1905">
        <v>2.6</v>
      </c>
      <c r="AC1905">
        <v>40</v>
      </c>
      <c r="AD1905">
        <v>87.59</v>
      </c>
      <c r="AE1905">
        <f t="shared" si="58"/>
        <v>1517.91</v>
      </c>
      <c r="AF1905" t="str">
        <f t="shared" si="59"/>
        <v>2025-08</v>
      </c>
      <c r="AG1905">
        <f>SUBTOTAL(103,A1905)</f>
        <v>1</v>
      </c>
    </row>
    <row r="1906" spans="1:33" x14ac:dyDescent="0.3">
      <c r="A1906" t="s">
        <v>4524</v>
      </c>
      <c r="B1906" s="13">
        <v>45896</v>
      </c>
      <c r="C1906">
        <v>2025</v>
      </c>
      <c r="D1906">
        <v>8</v>
      </c>
      <c r="E1906" t="s">
        <v>4301</v>
      </c>
      <c r="F1906" t="s">
        <v>4047</v>
      </c>
      <c r="G1906" t="s">
        <v>1807</v>
      </c>
      <c r="H1906" t="s">
        <v>1808</v>
      </c>
      <c r="I1906" t="s">
        <v>86</v>
      </c>
      <c r="J1906">
        <v>26</v>
      </c>
      <c r="K1906" t="s">
        <v>81</v>
      </c>
      <c r="L1906" t="s">
        <v>2616</v>
      </c>
      <c r="M1906" t="s">
        <v>62</v>
      </c>
      <c r="N1906" t="s">
        <v>2657</v>
      </c>
      <c r="O1906" t="s">
        <v>134</v>
      </c>
      <c r="P1906" t="s">
        <v>49</v>
      </c>
      <c r="Q1906" t="s">
        <v>140</v>
      </c>
      <c r="R1906">
        <v>2</v>
      </c>
      <c r="S1906">
        <v>599</v>
      </c>
      <c r="T1906">
        <v>0</v>
      </c>
      <c r="U1906">
        <v>1198</v>
      </c>
      <c r="V1906">
        <v>500</v>
      </c>
      <c r="W1906">
        <v>698</v>
      </c>
      <c r="X1906" t="s">
        <v>73</v>
      </c>
      <c r="Y1906" t="s">
        <v>68</v>
      </c>
      <c r="Z1906" t="s">
        <v>162</v>
      </c>
      <c r="AA1906" t="s">
        <v>169</v>
      </c>
      <c r="AB1906">
        <v>4.3</v>
      </c>
      <c r="AC1906">
        <v>80</v>
      </c>
      <c r="AD1906">
        <v>53.82</v>
      </c>
      <c r="AE1906">
        <f t="shared" si="58"/>
        <v>564.17999999999995</v>
      </c>
      <c r="AF1906" t="str">
        <f t="shared" si="59"/>
        <v>2025-08</v>
      </c>
      <c r="AG1906">
        <f>SUBTOTAL(103,A1906)</f>
        <v>1</v>
      </c>
    </row>
    <row r="1907" spans="1:33" x14ac:dyDescent="0.3">
      <c r="A1907" t="s">
        <v>4525</v>
      </c>
      <c r="B1907" s="13">
        <v>45896</v>
      </c>
      <c r="C1907">
        <v>2025</v>
      </c>
      <c r="D1907">
        <v>8</v>
      </c>
      <c r="E1907" t="s">
        <v>4301</v>
      </c>
      <c r="F1907" t="s">
        <v>4047</v>
      </c>
      <c r="G1907" t="s">
        <v>1913</v>
      </c>
      <c r="H1907" t="s">
        <v>1914</v>
      </c>
      <c r="I1907" t="s">
        <v>86</v>
      </c>
      <c r="J1907">
        <v>32</v>
      </c>
      <c r="K1907" t="s">
        <v>81</v>
      </c>
      <c r="L1907" t="s">
        <v>2586</v>
      </c>
      <c r="M1907" t="s">
        <v>62</v>
      </c>
      <c r="N1907" t="s">
        <v>2574</v>
      </c>
      <c r="O1907" t="s">
        <v>130</v>
      </c>
      <c r="P1907" t="s">
        <v>50</v>
      </c>
      <c r="Q1907" t="s">
        <v>53</v>
      </c>
      <c r="R1907">
        <v>2</v>
      </c>
      <c r="S1907">
        <v>1199</v>
      </c>
      <c r="T1907">
        <v>0.15</v>
      </c>
      <c r="U1907">
        <v>2038.3</v>
      </c>
      <c r="V1907">
        <v>1100</v>
      </c>
      <c r="W1907">
        <v>938.3</v>
      </c>
      <c r="X1907" t="s">
        <v>73</v>
      </c>
      <c r="Y1907" t="s">
        <v>68</v>
      </c>
      <c r="Z1907" t="s">
        <v>160</v>
      </c>
      <c r="AA1907" t="s">
        <v>166</v>
      </c>
      <c r="AB1907">
        <v>3.4</v>
      </c>
      <c r="AC1907">
        <v>40</v>
      </c>
      <c r="AD1907">
        <v>81.72</v>
      </c>
      <c r="AE1907">
        <f t="shared" si="58"/>
        <v>816.57999999999993</v>
      </c>
      <c r="AF1907" t="str">
        <f t="shared" si="59"/>
        <v>2025-08</v>
      </c>
      <c r="AG1907">
        <f>SUBTOTAL(103,A1907)</f>
        <v>1</v>
      </c>
    </row>
    <row r="1908" spans="1:33" x14ac:dyDescent="0.3">
      <c r="A1908" t="s">
        <v>4526</v>
      </c>
      <c r="B1908" s="13">
        <v>45896</v>
      </c>
      <c r="C1908">
        <v>2025</v>
      </c>
      <c r="D1908">
        <v>8</v>
      </c>
      <c r="E1908" t="s">
        <v>4301</v>
      </c>
      <c r="F1908" t="s">
        <v>4047</v>
      </c>
      <c r="G1908" t="s">
        <v>1971</v>
      </c>
      <c r="H1908" t="s">
        <v>1972</v>
      </c>
      <c r="I1908" t="s">
        <v>85</v>
      </c>
      <c r="J1908">
        <v>56</v>
      </c>
      <c r="K1908" t="s">
        <v>83</v>
      </c>
      <c r="L1908" t="s">
        <v>99</v>
      </c>
      <c r="M1908" t="s">
        <v>58</v>
      </c>
      <c r="N1908" t="s">
        <v>2647</v>
      </c>
      <c r="O1908" t="s">
        <v>133</v>
      </c>
      <c r="P1908" t="s">
        <v>50</v>
      </c>
      <c r="Q1908" t="s">
        <v>145</v>
      </c>
      <c r="R1908">
        <v>3</v>
      </c>
      <c r="S1908">
        <v>799</v>
      </c>
      <c r="T1908">
        <v>0.1</v>
      </c>
      <c r="U1908">
        <v>2157.3000000000002</v>
      </c>
      <c r="V1908">
        <v>1170</v>
      </c>
      <c r="W1908">
        <v>987.3</v>
      </c>
      <c r="X1908" t="s">
        <v>73</v>
      </c>
      <c r="Y1908" t="s">
        <v>68</v>
      </c>
      <c r="Z1908" t="s">
        <v>158</v>
      </c>
      <c r="AA1908" t="s">
        <v>169</v>
      </c>
      <c r="AB1908">
        <v>4.7</v>
      </c>
      <c r="AC1908">
        <v>80</v>
      </c>
      <c r="AD1908">
        <v>90.72</v>
      </c>
      <c r="AE1908">
        <f t="shared" si="58"/>
        <v>816.57999999999993</v>
      </c>
      <c r="AF1908" t="str">
        <f t="shared" si="59"/>
        <v>2025-08</v>
      </c>
      <c r="AG1908">
        <f>SUBTOTAL(103,A1908)</f>
        <v>1</v>
      </c>
    </row>
    <row r="1909" spans="1:33" x14ac:dyDescent="0.3">
      <c r="A1909" t="s">
        <v>4527</v>
      </c>
      <c r="B1909" s="13">
        <v>45896</v>
      </c>
      <c r="C1909">
        <v>2025</v>
      </c>
      <c r="D1909">
        <v>8</v>
      </c>
      <c r="E1909" t="s">
        <v>4301</v>
      </c>
      <c r="F1909" t="s">
        <v>4047</v>
      </c>
      <c r="G1909" t="s">
        <v>1549</v>
      </c>
      <c r="H1909" t="s">
        <v>1550</v>
      </c>
      <c r="I1909" t="s">
        <v>86</v>
      </c>
      <c r="J1909">
        <v>45</v>
      </c>
      <c r="K1909" t="s">
        <v>82</v>
      </c>
      <c r="L1909" t="s">
        <v>95</v>
      </c>
      <c r="M1909" t="s">
        <v>56</v>
      </c>
      <c r="N1909" t="s">
        <v>2653</v>
      </c>
      <c r="O1909" t="s">
        <v>132</v>
      </c>
      <c r="P1909" t="s">
        <v>52</v>
      </c>
      <c r="Q1909" t="s">
        <v>150</v>
      </c>
      <c r="R1909">
        <v>3</v>
      </c>
      <c r="S1909">
        <v>899</v>
      </c>
      <c r="T1909">
        <v>0.2</v>
      </c>
      <c r="U1909">
        <v>2157.6</v>
      </c>
      <c r="V1909">
        <v>1260</v>
      </c>
      <c r="W1909">
        <v>897.6</v>
      </c>
      <c r="X1909" t="s">
        <v>75</v>
      </c>
      <c r="Y1909" t="s">
        <v>68</v>
      </c>
      <c r="Z1909" t="s">
        <v>161</v>
      </c>
      <c r="AA1909" t="s">
        <v>168</v>
      </c>
      <c r="AB1909">
        <v>5</v>
      </c>
      <c r="AC1909">
        <v>100</v>
      </c>
      <c r="AD1909">
        <v>95.71</v>
      </c>
      <c r="AE1909">
        <f t="shared" si="58"/>
        <v>701.89</v>
      </c>
      <c r="AF1909" t="str">
        <f t="shared" si="59"/>
        <v>2025-08</v>
      </c>
      <c r="AG1909">
        <f>SUBTOTAL(103,A1909)</f>
        <v>1</v>
      </c>
    </row>
    <row r="1910" spans="1:33" x14ac:dyDescent="0.3">
      <c r="A1910" t="s">
        <v>4528</v>
      </c>
      <c r="B1910" s="13">
        <v>45896</v>
      </c>
      <c r="C1910">
        <v>2025</v>
      </c>
      <c r="D1910">
        <v>8</v>
      </c>
      <c r="E1910" t="s">
        <v>4301</v>
      </c>
      <c r="F1910" t="s">
        <v>4047</v>
      </c>
      <c r="G1910" t="s">
        <v>1939</v>
      </c>
      <c r="H1910" t="s">
        <v>1940</v>
      </c>
      <c r="I1910" t="s">
        <v>85</v>
      </c>
      <c r="J1910">
        <v>22</v>
      </c>
      <c r="K1910" t="s">
        <v>80</v>
      </c>
      <c r="L1910" t="s">
        <v>2599</v>
      </c>
      <c r="M1910" t="s">
        <v>62</v>
      </c>
      <c r="N1910" t="s">
        <v>2574</v>
      </c>
      <c r="O1910" t="s">
        <v>130</v>
      </c>
      <c r="P1910" t="s">
        <v>50</v>
      </c>
      <c r="Q1910" t="s">
        <v>53</v>
      </c>
      <c r="R1910">
        <v>1</v>
      </c>
      <c r="S1910">
        <v>1199</v>
      </c>
      <c r="T1910">
        <v>0.2</v>
      </c>
      <c r="U1910">
        <v>959.2</v>
      </c>
      <c r="V1910">
        <v>550</v>
      </c>
      <c r="W1910">
        <v>409.2</v>
      </c>
      <c r="X1910" t="s">
        <v>74</v>
      </c>
      <c r="Y1910" t="s">
        <v>68</v>
      </c>
      <c r="Z1910" t="s">
        <v>160</v>
      </c>
      <c r="AA1910" t="s">
        <v>169</v>
      </c>
      <c r="AB1910">
        <v>4.5999999999999996</v>
      </c>
      <c r="AC1910">
        <v>40</v>
      </c>
      <c r="AD1910">
        <v>55.12</v>
      </c>
      <c r="AE1910">
        <f t="shared" si="58"/>
        <v>314.08</v>
      </c>
      <c r="AF1910" t="str">
        <f t="shared" si="59"/>
        <v>2025-08</v>
      </c>
      <c r="AG1910">
        <f>SUBTOTAL(103,A1910)</f>
        <v>1</v>
      </c>
    </row>
    <row r="1911" spans="1:33" x14ac:dyDescent="0.3">
      <c r="A1911" t="s">
        <v>4529</v>
      </c>
      <c r="B1911" s="13">
        <v>45897</v>
      </c>
      <c r="C1911">
        <v>2025</v>
      </c>
      <c r="D1911">
        <v>8</v>
      </c>
      <c r="E1911" t="s">
        <v>4301</v>
      </c>
      <c r="F1911" t="s">
        <v>4047</v>
      </c>
      <c r="G1911" t="s">
        <v>361</v>
      </c>
      <c r="H1911" t="s">
        <v>362</v>
      </c>
      <c r="I1911" t="s">
        <v>86</v>
      </c>
      <c r="J1911">
        <v>23</v>
      </c>
      <c r="K1911" t="s">
        <v>80</v>
      </c>
      <c r="L1911" t="s">
        <v>95</v>
      </c>
      <c r="M1911" t="s">
        <v>56</v>
      </c>
      <c r="N1911" t="s">
        <v>2657</v>
      </c>
      <c r="O1911" t="s">
        <v>134</v>
      </c>
      <c r="P1911" t="s">
        <v>49</v>
      </c>
      <c r="Q1911" t="s">
        <v>140</v>
      </c>
      <c r="R1911">
        <v>3</v>
      </c>
      <c r="S1911">
        <v>599</v>
      </c>
      <c r="T1911">
        <v>0</v>
      </c>
      <c r="U1911">
        <v>1797</v>
      </c>
      <c r="V1911">
        <v>750</v>
      </c>
      <c r="W1911">
        <v>1047</v>
      </c>
      <c r="X1911" t="s">
        <v>73</v>
      </c>
      <c r="Y1911" t="s">
        <v>70</v>
      </c>
      <c r="Z1911" t="s">
        <v>158</v>
      </c>
      <c r="AA1911" t="s">
        <v>166</v>
      </c>
      <c r="AB1911">
        <v>4.5999999999999996</v>
      </c>
      <c r="AC1911">
        <v>120</v>
      </c>
      <c r="AD1911">
        <v>197.48</v>
      </c>
      <c r="AE1911">
        <f t="shared" si="58"/>
        <v>729.52</v>
      </c>
      <c r="AF1911" t="str">
        <f t="shared" si="59"/>
        <v>2025-08</v>
      </c>
      <c r="AG1911">
        <f>SUBTOTAL(103,A1911)</f>
        <v>1</v>
      </c>
    </row>
    <row r="1912" spans="1:33" x14ac:dyDescent="0.3">
      <c r="A1912" t="s">
        <v>4530</v>
      </c>
      <c r="B1912" s="13">
        <v>45897</v>
      </c>
      <c r="C1912">
        <v>2025</v>
      </c>
      <c r="D1912">
        <v>8</v>
      </c>
      <c r="E1912" t="s">
        <v>4301</v>
      </c>
      <c r="F1912" t="s">
        <v>4047</v>
      </c>
      <c r="G1912" t="s">
        <v>1241</v>
      </c>
      <c r="H1912" t="s">
        <v>1242</v>
      </c>
      <c r="I1912" t="s">
        <v>85</v>
      </c>
      <c r="J1912">
        <v>25</v>
      </c>
      <c r="K1912" t="s">
        <v>80</v>
      </c>
      <c r="L1912" t="s">
        <v>2576</v>
      </c>
      <c r="M1912" t="s">
        <v>60</v>
      </c>
      <c r="N1912" t="s">
        <v>2601</v>
      </c>
      <c r="O1912" t="s">
        <v>117</v>
      </c>
      <c r="P1912" t="s">
        <v>49</v>
      </c>
      <c r="Q1912" t="s">
        <v>139</v>
      </c>
      <c r="R1912">
        <v>3</v>
      </c>
      <c r="S1912">
        <v>6999</v>
      </c>
      <c r="T1912">
        <v>0.15</v>
      </c>
      <c r="U1912">
        <v>17847.45</v>
      </c>
      <c r="V1912">
        <v>12900</v>
      </c>
      <c r="W1912">
        <v>4947.45</v>
      </c>
      <c r="X1912" t="s">
        <v>74</v>
      </c>
      <c r="Y1912" t="s">
        <v>68</v>
      </c>
      <c r="Z1912" t="s">
        <v>162</v>
      </c>
      <c r="AA1912" t="s">
        <v>166</v>
      </c>
      <c r="AB1912">
        <v>3.2</v>
      </c>
      <c r="AC1912">
        <v>50</v>
      </c>
      <c r="AD1912">
        <v>662.06</v>
      </c>
      <c r="AE1912">
        <f t="shared" si="58"/>
        <v>4235.3899999999994</v>
      </c>
      <c r="AF1912" t="str">
        <f t="shared" si="59"/>
        <v>2025-08</v>
      </c>
      <c r="AG1912">
        <f>SUBTOTAL(103,A1912)</f>
        <v>1</v>
      </c>
    </row>
    <row r="1913" spans="1:33" x14ac:dyDescent="0.3">
      <c r="A1913" t="s">
        <v>4531</v>
      </c>
      <c r="B1913" s="13">
        <v>45897</v>
      </c>
      <c r="C1913">
        <v>2025</v>
      </c>
      <c r="D1913">
        <v>8</v>
      </c>
      <c r="E1913" t="s">
        <v>4301</v>
      </c>
      <c r="F1913" t="s">
        <v>4047</v>
      </c>
      <c r="G1913" t="s">
        <v>1061</v>
      </c>
      <c r="H1913" t="s">
        <v>1062</v>
      </c>
      <c r="I1913" t="s">
        <v>85</v>
      </c>
      <c r="J1913">
        <v>44</v>
      </c>
      <c r="K1913" t="s">
        <v>82</v>
      </c>
      <c r="L1913" t="s">
        <v>100</v>
      </c>
      <c r="M1913" t="s">
        <v>56</v>
      </c>
      <c r="N1913" t="s">
        <v>2594</v>
      </c>
      <c r="O1913" t="s">
        <v>131</v>
      </c>
      <c r="P1913" t="s">
        <v>53</v>
      </c>
      <c r="Q1913" t="s">
        <v>143</v>
      </c>
      <c r="R1913">
        <v>1</v>
      </c>
      <c r="S1913">
        <v>999</v>
      </c>
      <c r="T1913">
        <v>0.05</v>
      </c>
      <c r="U1913">
        <v>949.05</v>
      </c>
      <c r="V1913">
        <v>520</v>
      </c>
      <c r="W1913">
        <v>429.05</v>
      </c>
      <c r="X1913" t="s">
        <v>73</v>
      </c>
      <c r="Y1913" t="s">
        <v>68</v>
      </c>
      <c r="Z1913" t="s">
        <v>161</v>
      </c>
      <c r="AA1913" t="s">
        <v>166</v>
      </c>
      <c r="AB1913">
        <v>3.9</v>
      </c>
      <c r="AC1913">
        <v>60</v>
      </c>
      <c r="AD1913">
        <v>39.229999999999997</v>
      </c>
      <c r="AE1913">
        <f t="shared" si="58"/>
        <v>329.82</v>
      </c>
      <c r="AF1913" t="str">
        <f t="shared" si="59"/>
        <v>2025-08</v>
      </c>
      <c r="AG1913">
        <f>SUBTOTAL(103,A1913)</f>
        <v>1</v>
      </c>
    </row>
    <row r="1914" spans="1:33" x14ac:dyDescent="0.3">
      <c r="A1914" t="s">
        <v>4532</v>
      </c>
      <c r="B1914" s="13">
        <v>45897</v>
      </c>
      <c r="C1914">
        <v>2025</v>
      </c>
      <c r="D1914">
        <v>8</v>
      </c>
      <c r="E1914" t="s">
        <v>4301</v>
      </c>
      <c r="F1914" t="s">
        <v>4047</v>
      </c>
      <c r="G1914" t="s">
        <v>1569</v>
      </c>
      <c r="H1914" t="s">
        <v>1570</v>
      </c>
      <c r="I1914" t="s">
        <v>86</v>
      </c>
      <c r="J1914">
        <v>49</v>
      </c>
      <c r="K1914" t="s">
        <v>83</v>
      </c>
      <c r="L1914" t="s">
        <v>2623</v>
      </c>
      <c r="M1914" t="s">
        <v>61</v>
      </c>
      <c r="N1914" t="s">
        <v>2657</v>
      </c>
      <c r="O1914" t="s">
        <v>134</v>
      </c>
      <c r="P1914" t="s">
        <v>49</v>
      </c>
      <c r="Q1914" t="s">
        <v>140</v>
      </c>
      <c r="R1914">
        <v>3</v>
      </c>
      <c r="S1914">
        <v>599</v>
      </c>
      <c r="T1914">
        <v>0.05</v>
      </c>
      <c r="U1914">
        <v>1707.15</v>
      </c>
      <c r="V1914">
        <v>750</v>
      </c>
      <c r="W1914">
        <v>957.15</v>
      </c>
      <c r="X1914" t="s">
        <v>73</v>
      </c>
      <c r="Y1914" t="s">
        <v>68</v>
      </c>
      <c r="Z1914" t="s">
        <v>159</v>
      </c>
      <c r="AA1914" t="s">
        <v>166</v>
      </c>
      <c r="AB1914">
        <v>4.9000000000000004</v>
      </c>
      <c r="AC1914">
        <v>40</v>
      </c>
      <c r="AD1914">
        <v>165.05</v>
      </c>
      <c r="AE1914">
        <f t="shared" si="58"/>
        <v>752.09999999999991</v>
      </c>
      <c r="AF1914" t="str">
        <f t="shared" si="59"/>
        <v>2025-08</v>
      </c>
      <c r="AG1914">
        <f>SUBTOTAL(103,A1914)</f>
        <v>1</v>
      </c>
    </row>
    <row r="1915" spans="1:33" x14ac:dyDescent="0.3">
      <c r="A1915" t="s">
        <v>4533</v>
      </c>
      <c r="B1915" s="13">
        <v>45897</v>
      </c>
      <c r="C1915">
        <v>2025</v>
      </c>
      <c r="D1915">
        <v>8</v>
      </c>
      <c r="E1915" t="s">
        <v>4301</v>
      </c>
      <c r="F1915" t="s">
        <v>4047</v>
      </c>
      <c r="G1915" t="s">
        <v>463</v>
      </c>
      <c r="H1915" t="s">
        <v>464</v>
      </c>
      <c r="I1915" t="s">
        <v>86</v>
      </c>
      <c r="J1915">
        <v>40</v>
      </c>
      <c r="K1915" t="s">
        <v>82</v>
      </c>
      <c r="L1915" t="s">
        <v>100</v>
      </c>
      <c r="M1915" t="s">
        <v>56</v>
      </c>
      <c r="N1915" t="s">
        <v>2577</v>
      </c>
      <c r="O1915" t="s">
        <v>129</v>
      </c>
      <c r="P1915" t="s">
        <v>49</v>
      </c>
      <c r="Q1915" t="s">
        <v>149</v>
      </c>
      <c r="R1915">
        <v>2</v>
      </c>
      <c r="S1915">
        <v>1299</v>
      </c>
      <c r="T1915">
        <v>0</v>
      </c>
      <c r="U1915">
        <v>2598</v>
      </c>
      <c r="V1915">
        <v>1300</v>
      </c>
      <c r="W1915">
        <v>1298</v>
      </c>
      <c r="X1915" t="s">
        <v>73</v>
      </c>
      <c r="Y1915" t="s">
        <v>68</v>
      </c>
      <c r="Z1915" t="s">
        <v>161</v>
      </c>
      <c r="AA1915" t="s">
        <v>169</v>
      </c>
      <c r="AB1915">
        <v>4.3</v>
      </c>
      <c r="AC1915">
        <v>40</v>
      </c>
      <c r="AD1915">
        <v>196.58</v>
      </c>
      <c r="AE1915">
        <f t="shared" si="58"/>
        <v>1061.42</v>
      </c>
      <c r="AF1915" t="str">
        <f t="shared" si="59"/>
        <v>2025-08</v>
      </c>
      <c r="AG1915">
        <f>SUBTOTAL(103,A1915)</f>
        <v>1</v>
      </c>
    </row>
    <row r="1916" spans="1:33" x14ac:dyDescent="0.3">
      <c r="A1916" t="s">
        <v>4534</v>
      </c>
      <c r="B1916" s="13">
        <v>45897</v>
      </c>
      <c r="C1916">
        <v>2025</v>
      </c>
      <c r="D1916">
        <v>8</v>
      </c>
      <c r="E1916" t="s">
        <v>4301</v>
      </c>
      <c r="F1916" t="s">
        <v>4047</v>
      </c>
      <c r="G1916" t="s">
        <v>1491</v>
      </c>
      <c r="H1916" t="s">
        <v>1492</v>
      </c>
      <c r="I1916" t="s">
        <v>85</v>
      </c>
      <c r="J1916">
        <v>49</v>
      </c>
      <c r="K1916" t="s">
        <v>83</v>
      </c>
      <c r="L1916" t="s">
        <v>92</v>
      </c>
      <c r="M1916" t="s">
        <v>59</v>
      </c>
      <c r="N1916" t="s">
        <v>2584</v>
      </c>
      <c r="O1916" t="s">
        <v>121</v>
      </c>
      <c r="P1916" t="s">
        <v>50</v>
      </c>
      <c r="Q1916" t="s">
        <v>144</v>
      </c>
      <c r="R1916">
        <v>2</v>
      </c>
      <c r="S1916">
        <v>2999</v>
      </c>
      <c r="T1916">
        <v>0.15</v>
      </c>
      <c r="U1916">
        <v>0</v>
      </c>
      <c r="V1916">
        <v>0</v>
      </c>
      <c r="W1916">
        <v>0</v>
      </c>
      <c r="X1916" t="s">
        <v>77</v>
      </c>
      <c r="Y1916" t="s">
        <v>71</v>
      </c>
      <c r="Z1916" t="s">
        <v>160</v>
      </c>
      <c r="AA1916" t="s">
        <v>166</v>
      </c>
      <c r="AB1916">
        <v>3.9</v>
      </c>
      <c r="AC1916">
        <v>60</v>
      </c>
      <c r="AD1916">
        <v>404.71</v>
      </c>
      <c r="AE1916">
        <f t="shared" si="58"/>
        <v>-464.71</v>
      </c>
      <c r="AF1916" t="str">
        <f t="shared" si="59"/>
        <v>2025-08</v>
      </c>
      <c r="AG1916">
        <f>SUBTOTAL(103,A1916)</f>
        <v>1</v>
      </c>
    </row>
    <row r="1917" spans="1:33" x14ac:dyDescent="0.3">
      <c r="A1917" t="s">
        <v>4535</v>
      </c>
      <c r="B1917" s="13">
        <v>45897</v>
      </c>
      <c r="C1917">
        <v>2025</v>
      </c>
      <c r="D1917">
        <v>8</v>
      </c>
      <c r="E1917" t="s">
        <v>4301</v>
      </c>
      <c r="F1917" t="s">
        <v>4047</v>
      </c>
      <c r="G1917" t="s">
        <v>1115</v>
      </c>
      <c r="H1917" t="s">
        <v>1116</v>
      </c>
      <c r="I1917" t="s">
        <v>85</v>
      </c>
      <c r="J1917">
        <v>54</v>
      </c>
      <c r="K1917" t="s">
        <v>83</v>
      </c>
      <c r="L1917" t="s">
        <v>92</v>
      </c>
      <c r="M1917" t="s">
        <v>59</v>
      </c>
      <c r="N1917" t="s">
        <v>2580</v>
      </c>
      <c r="O1917" t="s">
        <v>118</v>
      </c>
      <c r="P1917" t="s">
        <v>48</v>
      </c>
      <c r="Q1917" t="s">
        <v>142</v>
      </c>
      <c r="R1917">
        <v>1</v>
      </c>
      <c r="S1917">
        <v>3999</v>
      </c>
      <c r="T1917">
        <v>0.05</v>
      </c>
      <c r="U1917">
        <v>3799.05</v>
      </c>
      <c r="V1917">
        <v>2400</v>
      </c>
      <c r="W1917">
        <v>1399.05</v>
      </c>
      <c r="X1917" t="s">
        <v>74</v>
      </c>
      <c r="Y1917" t="s">
        <v>68</v>
      </c>
      <c r="Z1917" t="s">
        <v>162</v>
      </c>
      <c r="AA1917" t="s">
        <v>169</v>
      </c>
      <c r="AB1917">
        <v>4.9000000000000004</v>
      </c>
      <c r="AC1917">
        <v>60</v>
      </c>
      <c r="AD1917">
        <v>344.47</v>
      </c>
      <c r="AE1917">
        <f t="shared" si="58"/>
        <v>994.57999999999993</v>
      </c>
      <c r="AF1917" t="str">
        <f t="shared" si="59"/>
        <v>2025-08</v>
      </c>
      <c r="AG1917">
        <f>SUBTOTAL(103,A1917)</f>
        <v>1</v>
      </c>
    </row>
    <row r="1918" spans="1:33" x14ac:dyDescent="0.3">
      <c r="A1918" t="s">
        <v>4536</v>
      </c>
      <c r="B1918" s="13">
        <v>45898</v>
      </c>
      <c r="C1918">
        <v>2025</v>
      </c>
      <c r="D1918">
        <v>8</v>
      </c>
      <c r="E1918" t="s">
        <v>4301</v>
      </c>
      <c r="F1918" t="s">
        <v>4047</v>
      </c>
      <c r="G1918" t="s">
        <v>2465</v>
      </c>
      <c r="H1918" t="s">
        <v>2466</v>
      </c>
      <c r="I1918" t="s">
        <v>85</v>
      </c>
      <c r="J1918">
        <v>53</v>
      </c>
      <c r="K1918" t="s">
        <v>83</v>
      </c>
      <c r="L1918" t="s">
        <v>93</v>
      </c>
      <c r="M1918" t="s">
        <v>55</v>
      </c>
      <c r="N1918" t="s">
        <v>2653</v>
      </c>
      <c r="O1918" t="s">
        <v>132</v>
      </c>
      <c r="P1918" t="s">
        <v>52</v>
      </c>
      <c r="Q1918" t="s">
        <v>150</v>
      </c>
      <c r="R1918">
        <v>3</v>
      </c>
      <c r="S1918">
        <v>899</v>
      </c>
      <c r="T1918">
        <v>0.25</v>
      </c>
      <c r="U1918">
        <v>2022.75</v>
      </c>
      <c r="V1918">
        <v>1260</v>
      </c>
      <c r="W1918">
        <v>762.75</v>
      </c>
      <c r="X1918" t="s">
        <v>76</v>
      </c>
      <c r="Y1918" t="s">
        <v>68</v>
      </c>
      <c r="Z1918" t="s">
        <v>159</v>
      </c>
      <c r="AA1918" t="s">
        <v>169</v>
      </c>
      <c r="AB1918">
        <v>3.8</v>
      </c>
      <c r="AC1918">
        <v>50</v>
      </c>
      <c r="AD1918">
        <v>80.06</v>
      </c>
      <c r="AE1918">
        <f t="shared" si="58"/>
        <v>632.69000000000005</v>
      </c>
      <c r="AF1918" t="str">
        <f t="shared" si="59"/>
        <v>2025-08</v>
      </c>
      <c r="AG1918">
        <f>SUBTOTAL(103,A1918)</f>
        <v>1</v>
      </c>
    </row>
    <row r="1919" spans="1:33" x14ac:dyDescent="0.3">
      <c r="A1919" t="s">
        <v>4537</v>
      </c>
      <c r="B1919" s="13">
        <v>45898</v>
      </c>
      <c r="C1919">
        <v>2025</v>
      </c>
      <c r="D1919">
        <v>8</v>
      </c>
      <c r="E1919" t="s">
        <v>4301</v>
      </c>
      <c r="F1919" t="s">
        <v>4047</v>
      </c>
      <c r="G1919" t="s">
        <v>869</v>
      </c>
      <c r="H1919" t="s">
        <v>870</v>
      </c>
      <c r="I1919" t="s">
        <v>86</v>
      </c>
      <c r="J1919">
        <v>28</v>
      </c>
      <c r="K1919" t="s">
        <v>81</v>
      </c>
      <c r="L1919" t="s">
        <v>95</v>
      </c>
      <c r="M1919" t="s">
        <v>56</v>
      </c>
      <c r="N1919" t="s">
        <v>2647</v>
      </c>
      <c r="O1919" t="s">
        <v>133</v>
      </c>
      <c r="P1919" t="s">
        <v>50</v>
      </c>
      <c r="Q1919" t="s">
        <v>145</v>
      </c>
      <c r="R1919">
        <v>2</v>
      </c>
      <c r="S1919">
        <v>799</v>
      </c>
      <c r="T1919">
        <v>0</v>
      </c>
      <c r="U1919">
        <v>1598</v>
      </c>
      <c r="V1919">
        <v>780</v>
      </c>
      <c r="W1919">
        <v>818</v>
      </c>
      <c r="X1919" t="s">
        <v>76</v>
      </c>
      <c r="Y1919" t="s">
        <v>68</v>
      </c>
      <c r="Z1919" t="s">
        <v>159</v>
      </c>
      <c r="AA1919" t="s">
        <v>170</v>
      </c>
      <c r="AB1919">
        <v>5</v>
      </c>
      <c r="AC1919">
        <v>120</v>
      </c>
      <c r="AD1919">
        <v>81.56</v>
      </c>
      <c r="AE1919">
        <f t="shared" si="58"/>
        <v>616.44000000000005</v>
      </c>
      <c r="AF1919" t="str">
        <f t="shared" si="59"/>
        <v>2025-08</v>
      </c>
      <c r="AG1919">
        <f>SUBTOTAL(103,A1919)</f>
        <v>1</v>
      </c>
    </row>
    <row r="1920" spans="1:33" x14ac:dyDescent="0.3">
      <c r="A1920" t="s">
        <v>4538</v>
      </c>
      <c r="B1920" s="13">
        <v>45898</v>
      </c>
      <c r="C1920">
        <v>2025</v>
      </c>
      <c r="D1920">
        <v>8</v>
      </c>
      <c r="E1920" t="s">
        <v>4301</v>
      </c>
      <c r="F1920" t="s">
        <v>4047</v>
      </c>
      <c r="G1920" t="s">
        <v>1275</v>
      </c>
      <c r="H1920" t="s">
        <v>1276</v>
      </c>
      <c r="I1920" t="s">
        <v>85</v>
      </c>
      <c r="J1920">
        <v>56</v>
      </c>
      <c r="K1920" t="s">
        <v>83</v>
      </c>
      <c r="L1920" t="s">
        <v>2634</v>
      </c>
      <c r="M1920" t="s">
        <v>56</v>
      </c>
      <c r="N1920" t="s">
        <v>2574</v>
      </c>
      <c r="O1920" t="s">
        <v>130</v>
      </c>
      <c r="P1920" t="s">
        <v>50</v>
      </c>
      <c r="Q1920" t="s">
        <v>53</v>
      </c>
      <c r="R1920">
        <v>2</v>
      </c>
      <c r="S1920">
        <v>1199</v>
      </c>
      <c r="T1920">
        <v>0.1</v>
      </c>
      <c r="U1920">
        <v>2158.1999999999998</v>
      </c>
      <c r="V1920">
        <v>1100</v>
      </c>
      <c r="W1920">
        <v>1058.2</v>
      </c>
      <c r="X1920" t="s">
        <v>74</v>
      </c>
      <c r="Y1920" t="s">
        <v>68</v>
      </c>
      <c r="Z1920" t="s">
        <v>160</v>
      </c>
      <c r="AA1920" t="s">
        <v>170</v>
      </c>
      <c r="AB1920">
        <v>3.4</v>
      </c>
      <c r="AC1920">
        <v>40</v>
      </c>
      <c r="AD1920">
        <v>144.62</v>
      </c>
      <c r="AE1920">
        <f t="shared" si="58"/>
        <v>873.58</v>
      </c>
      <c r="AF1920" t="str">
        <f t="shared" si="59"/>
        <v>2025-08</v>
      </c>
      <c r="AG1920">
        <f>SUBTOTAL(103,A1920)</f>
        <v>1</v>
      </c>
    </row>
    <row r="1921" spans="1:33" x14ac:dyDescent="0.3">
      <c r="A1921" t="s">
        <v>4539</v>
      </c>
      <c r="B1921" s="13">
        <v>45898</v>
      </c>
      <c r="C1921">
        <v>2025</v>
      </c>
      <c r="D1921">
        <v>8</v>
      </c>
      <c r="E1921" t="s">
        <v>4301</v>
      </c>
      <c r="F1921" t="s">
        <v>4047</v>
      </c>
      <c r="G1921" t="s">
        <v>545</v>
      </c>
      <c r="H1921" t="s">
        <v>546</v>
      </c>
      <c r="I1921" t="s">
        <v>86</v>
      </c>
      <c r="J1921">
        <v>25</v>
      </c>
      <c r="K1921" t="s">
        <v>80</v>
      </c>
      <c r="L1921" t="s">
        <v>2634</v>
      </c>
      <c r="M1921" t="s">
        <v>56</v>
      </c>
      <c r="N1921" t="s">
        <v>2653</v>
      </c>
      <c r="O1921" t="s">
        <v>132</v>
      </c>
      <c r="P1921" t="s">
        <v>52</v>
      </c>
      <c r="Q1921" t="s">
        <v>150</v>
      </c>
      <c r="R1921">
        <v>5</v>
      </c>
      <c r="S1921">
        <v>899</v>
      </c>
      <c r="T1921">
        <v>0.05</v>
      </c>
      <c r="U1921">
        <v>4270.25</v>
      </c>
      <c r="V1921">
        <v>2100</v>
      </c>
      <c r="W1921">
        <v>2170.25</v>
      </c>
      <c r="X1921" t="s">
        <v>74</v>
      </c>
      <c r="Y1921" t="s">
        <v>68</v>
      </c>
      <c r="Z1921" t="s">
        <v>160</v>
      </c>
      <c r="AA1921" t="s">
        <v>166</v>
      </c>
      <c r="AB1921">
        <v>4.0999999999999996</v>
      </c>
      <c r="AC1921">
        <v>60</v>
      </c>
      <c r="AD1921">
        <v>191.67</v>
      </c>
      <c r="AE1921">
        <f t="shared" si="58"/>
        <v>1918.58</v>
      </c>
      <c r="AF1921" t="str">
        <f t="shared" si="59"/>
        <v>2025-08</v>
      </c>
      <c r="AG1921">
        <f>SUBTOTAL(103,A1921)</f>
        <v>1</v>
      </c>
    </row>
    <row r="1922" spans="1:33" x14ac:dyDescent="0.3">
      <c r="A1922" t="s">
        <v>4540</v>
      </c>
      <c r="B1922" s="13">
        <v>45898</v>
      </c>
      <c r="C1922">
        <v>2025</v>
      </c>
      <c r="D1922">
        <v>8</v>
      </c>
      <c r="E1922" t="s">
        <v>4301</v>
      </c>
      <c r="F1922" t="s">
        <v>4047</v>
      </c>
      <c r="G1922" t="s">
        <v>315</v>
      </c>
      <c r="H1922" t="s">
        <v>316</v>
      </c>
      <c r="I1922" t="s">
        <v>85</v>
      </c>
      <c r="J1922">
        <v>35</v>
      </c>
      <c r="K1922" t="s">
        <v>81</v>
      </c>
      <c r="L1922" t="s">
        <v>95</v>
      </c>
      <c r="M1922" t="s">
        <v>56</v>
      </c>
      <c r="N1922" t="s">
        <v>2596</v>
      </c>
      <c r="O1922" t="s">
        <v>124</v>
      </c>
      <c r="P1922" t="s">
        <v>51</v>
      </c>
      <c r="Q1922" t="s">
        <v>147</v>
      </c>
      <c r="R1922">
        <v>1</v>
      </c>
      <c r="S1922">
        <v>2299</v>
      </c>
      <c r="T1922">
        <v>0</v>
      </c>
      <c r="U1922">
        <v>2299</v>
      </c>
      <c r="V1922">
        <v>1200</v>
      </c>
      <c r="W1922">
        <v>1099</v>
      </c>
      <c r="X1922" t="s">
        <v>73</v>
      </c>
      <c r="Y1922" t="s">
        <v>68</v>
      </c>
      <c r="Z1922" t="s">
        <v>158</v>
      </c>
      <c r="AA1922" t="s">
        <v>171</v>
      </c>
      <c r="AB1922">
        <v>5</v>
      </c>
      <c r="AC1922">
        <v>80</v>
      </c>
      <c r="AD1922">
        <v>207.88</v>
      </c>
      <c r="AE1922">
        <f t="shared" ref="AE1922:AE1985" si="60">W1922-AC1922-AD1922</f>
        <v>811.12</v>
      </c>
      <c r="AF1922" t="str">
        <f t="shared" ref="AF1922:AF1985" si="61">C1922&amp;"-"&amp;TEXT(D1922,"00")</f>
        <v>2025-08</v>
      </c>
      <c r="AG1922">
        <f>SUBTOTAL(103,A1922)</f>
        <v>1</v>
      </c>
    </row>
    <row r="1923" spans="1:33" x14ac:dyDescent="0.3">
      <c r="A1923" t="s">
        <v>4541</v>
      </c>
      <c r="B1923" s="13">
        <v>45898</v>
      </c>
      <c r="C1923">
        <v>2025</v>
      </c>
      <c r="D1923">
        <v>8</v>
      </c>
      <c r="E1923" t="s">
        <v>4301</v>
      </c>
      <c r="F1923" t="s">
        <v>4047</v>
      </c>
      <c r="G1923" t="s">
        <v>235</v>
      </c>
      <c r="H1923" t="s">
        <v>236</v>
      </c>
      <c r="I1923" t="s">
        <v>85</v>
      </c>
      <c r="J1923">
        <v>27</v>
      </c>
      <c r="K1923" t="s">
        <v>81</v>
      </c>
      <c r="L1923" t="s">
        <v>59</v>
      </c>
      <c r="M1923" t="s">
        <v>59</v>
      </c>
      <c r="N1923" t="s">
        <v>2626</v>
      </c>
      <c r="O1923" t="s">
        <v>125</v>
      </c>
      <c r="P1923" t="s">
        <v>48</v>
      </c>
      <c r="Q1923" t="s">
        <v>141</v>
      </c>
      <c r="R1923">
        <v>3</v>
      </c>
      <c r="S1923">
        <v>1999</v>
      </c>
      <c r="T1923">
        <v>0.15</v>
      </c>
      <c r="U1923">
        <v>5097.45</v>
      </c>
      <c r="V1923">
        <v>3450</v>
      </c>
      <c r="W1923">
        <v>1647.45</v>
      </c>
      <c r="X1923" t="s">
        <v>73</v>
      </c>
      <c r="Y1923" t="s">
        <v>68</v>
      </c>
      <c r="Z1923" t="s">
        <v>161</v>
      </c>
      <c r="AA1923" t="s">
        <v>166</v>
      </c>
      <c r="AB1923">
        <v>5</v>
      </c>
      <c r="AC1923">
        <v>60</v>
      </c>
      <c r="AD1923">
        <v>535.76</v>
      </c>
      <c r="AE1923">
        <f t="shared" si="60"/>
        <v>1051.69</v>
      </c>
      <c r="AF1923" t="str">
        <f t="shared" si="61"/>
        <v>2025-08</v>
      </c>
      <c r="AG1923">
        <f>SUBTOTAL(103,A1923)</f>
        <v>1</v>
      </c>
    </row>
    <row r="1924" spans="1:33" x14ac:dyDescent="0.3">
      <c r="A1924" t="s">
        <v>4542</v>
      </c>
      <c r="B1924" s="13">
        <v>45899</v>
      </c>
      <c r="C1924">
        <v>2025</v>
      </c>
      <c r="D1924">
        <v>8</v>
      </c>
      <c r="E1924" t="s">
        <v>4301</v>
      </c>
      <c r="F1924" t="s">
        <v>4047</v>
      </c>
      <c r="G1924" t="s">
        <v>567</v>
      </c>
      <c r="H1924" t="s">
        <v>568</v>
      </c>
      <c r="I1924" t="s">
        <v>86</v>
      </c>
      <c r="J1924">
        <v>34</v>
      </c>
      <c r="K1924" t="s">
        <v>81</v>
      </c>
      <c r="L1924" t="s">
        <v>2589</v>
      </c>
      <c r="M1924" t="s">
        <v>61</v>
      </c>
      <c r="N1924" t="s">
        <v>2582</v>
      </c>
      <c r="O1924" t="s">
        <v>119</v>
      </c>
      <c r="P1924" t="s">
        <v>49</v>
      </c>
      <c r="Q1924" t="s">
        <v>140</v>
      </c>
      <c r="R1924">
        <v>4</v>
      </c>
      <c r="S1924">
        <v>3499</v>
      </c>
      <c r="T1924">
        <v>0.25</v>
      </c>
      <c r="U1924">
        <v>10497</v>
      </c>
      <c r="V1924">
        <v>8400</v>
      </c>
      <c r="W1924">
        <v>2097</v>
      </c>
      <c r="X1924" t="s">
        <v>77</v>
      </c>
      <c r="Y1924" t="s">
        <v>68</v>
      </c>
      <c r="Z1924" t="s">
        <v>161</v>
      </c>
      <c r="AA1924" t="s">
        <v>166</v>
      </c>
      <c r="AB1924">
        <v>5</v>
      </c>
      <c r="AC1924">
        <v>40</v>
      </c>
      <c r="AD1924">
        <v>1157.73</v>
      </c>
      <c r="AE1924">
        <f t="shared" si="60"/>
        <v>899.27</v>
      </c>
      <c r="AF1924" t="str">
        <f t="shared" si="61"/>
        <v>2025-08</v>
      </c>
      <c r="AG1924">
        <f>SUBTOTAL(103,A1924)</f>
        <v>1</v>
      </c>
    </row>
    <row r="1925" spans="1:33" x14ac:dyDescent="0.3">
      <c r="A1925" t="s">
        <v>4543</v>
      </c>
      <c r="B1925" s="13">
        <v>45899</v>
      </c>
      <c r="C1925">
        <v>2025</v>
      </c>
      <c r="D1925">
        <v>8</v>
      </c>
      <c r="E1925" t="s">
        <v>4301</v>
      </c>
      <c r="F1925" t="s">
        <v>4047</v>
      </c>
      <c r="G1925" t="s">
        <v>789</v>
      </c>
      <c r="H1925" t="s">
        <v>790</v>
      </c>
      <c r="I1925" t="s">
        <v>85</v>
      </c>
      <c r="J1925">
        <v>45</v>
      </c>
      <c r="K1925" t="s">
        <v>82</v>
      </c>
      <c r="L1925" t="s">
        <v>2661</v>
      </c>
      <c r="M1925" t="s">
        <v>58</v>
      </c>
      <c r="N1925" t="s">
        <v>2647</v>
      </c>
      <c r="O1925" t="s">
        <v>133</v>
      </c>
      <c r="P1925" t="s">
        <v>50</v>
      </c>
      <c r="Q1925" t="s">
        <v>145</v>
      </c>
      <c r="R1925">
        <v>3</v>
      </c>
      <c r="S1925">
        <v>799</v>
      </c>
      <c r="T1925">
        <v>0.1</v>
      </c>
      <c r="U1925">
        <v>2157.3000000000002</v>
      </c>
      <c r="V1925">
        <v>1170</v>
      </c>
      <c r="W1925">
        <v>987.3</v>
      </c>
      <c r="X1925" t="s">
        <v>74</v>
      </c>
      <c r="Y1925" t="s">
        <v>68</v>
      </c>
      <c r="Z1925" t="s">
        <v>159</v>
      </c>
      <c r="AA1925" t="s">
        <v>169</v>
      </c>
      <c r="AB1925">
        <v>4.4000000000000004</v>
      </c>
      <c r="AC1925">
        <v>80</v>
      </c>
      <c r="AD1925">
        <v>239.53</v>
      </c>
      <c r="AE1925">
        <f t="shared" si="60"/>
        <v>667.77</v>
      </c>
      <c r="AF1925" t="str">
        <f t="shared" si="61"/>
        <v>2025-08</v>
      </c>
      <c r="AG1925">
        <f>SUBTOTAL(103,A1925)</f>
        <v>1</v>
      </c>
    </row>
    <row r="1926" spans="1:33" x14ac:dyDescent="0.3">
      <c r="A1926" t="s">
        <v>4544</v>
      </c>
      <c r="B1926" s="13">
        <v>45899</v>
      </c>
      <c r="C1926">
        <v>2025</v>
      </c>
      <c r="D1926">
        <v>8</v>
      </c>
      <c r="E1926" t="s">
        <v>4301</v>
      </c>
      <c r="F1926" t="s">
        <v>4047</v>
      </c>
      <c r="G1926" t="s">
        <v>395</v>
      </c>
      <c r="H1926" t="s">
        <v>396</v>
      </c>
      <c r="I1926" t="s">
        <v>85</v>
      </c>
      <c r="J1926">
        <v>60</v>
      </c>
      <c r="K1926" t="s">
        <v>83</v>
      </c>
      <c r="L1926" t="s">
        <v>98</v>
      </c>
      <c r="M1926" t="s">
        <v>55</v>
      </c>
      <c r="N1926" t="s">
        <v>2644</v>
      </c>
      <c r="O1926" t="s">
        <v>126</v>
      </c>
      <c r="P1926" t="s">
        <v>50</v>
      </c>
      <c r="Q1926" t="s">
        <v>145</v>
      </c>
      <c r="R1926">
        <v>2</v>
      </c>
      <c r="S1926">
        <v>1799</v>
      </c>
      <c r="T1926">
        <v>0</v>
      </c>
      <c r="U1926">
        <v>3598</v>
      </c>
      <c r="V1926">
        <v>1900</v>
      </c>
      <c r="W1926">
        <v>1698</v>
      </c>
      <c r="X1926" t="s">
        <v>77</v>
      </c>
      <c r="Y1926" t="s">
        <v>68</v>
      </c>
      <c r="Z1926" t="s">
        <v>162</v>
      </c>
      <c r="AA1926" t="s">
        <v>166</v>
      </c>
      <c r="AB1926">
        <v>3.4</v>
      </c>
      <c r="AC1926">
        <v>60</v>
      </c>
      <c r="AD1926">
        <v>193.19</v>
      </c>
      <c r="AE1926">
        <f t="shared" si="60"/>
        <v>1444.81</v>
      </c>
      <c r="AF1926" t="str">
        <f t="shared" si="61"/>
        <v>2025-08</v>
      </c>
      <c r="AG1926">
        <f>SUBTOTAL(103,A1926)</f>
        <v>1</v>
      </c>
    </row>
    <row r="1927" spans="1:33" x14ac:dyDescent="0.3">
      <c r="A1927" t="s">
        <v>4545</v>
      </c>
      <c r="B1927" s="13">
        <v>45900</v>
      </c>
      <c r="C1927">
        <v>2025</v>
      </c>
      <c r="D1927">
        <v>8</v>
      </c>
      <c r="E1927" t="s">
        <v>4301</v>
      </c>
      <c r="F1927" t="s">
        <v>4047</v>
      </c>
      <c r="G1927" t="s">
        <v>1073</v>
      </c>
      <c r="H1927" t="s">
        <v>1074</v>
      </c>
      <c r="I1927" t="s">
        <v>87</v>
      </c>
      <c r="J1927">
        <v>30</v>
      </c>
      <c r="K1927" t="s">
        <v>81</v>
      </c>
      <c r="L1927" t="s">
        <v>90</v>
      </c>
      <c r="M1927" t="s">
        <v>55</v>
      </c>
      <c r="N1927" t="s">
        <v>2582</v>
      </c>
      <c r="O1927" t="s">
        <v>119</v>
      </c>
      <c r="P1927" t="s">
        <v>49</v>
      </c>
      <c r="Q1927" t="s">
        <v>140</v>
      </c>
      <c r="R1927">
        <v>1</v>
      </c>
      <c r="S1927">
        <v>3499</v>
      </c>
      <c r="T1927">
        <v>0.2</v>
      </c>
      <c r="U1927">
        <v>2799.2</v>
      </c>
      <c r="V1927">
        <v>2100</v>
      </c>
      <c r="W1927">
        <v>699.2</v>
      </c>
      <c r="X1927" t="s">
        <v>76</v>
      </c>
      <c r="Y1927" t="s">
        <v>69</v>
      </c>
      <c r="Z1927" t="s">
        <v>159</v>
      </c>
      <c r="AA1927" t="s">
        <v>170</v>
      </c>
      <c r="AB1927">
        <v>4</v>
      </c>
      <c r="AC1927">
        <v>60</v>
      </c>
      <c r="AD1927">
        <v>177.26</v>
      </c>
      <c r="AE1927">
        <f t="shared" si="60"/>
        <v>461.94000000000005</v>
      </c>
      <c r="AF1927" t="str">
        <f t="shared" si="61"/>
        <v>2025-08</v>
      </c>
      <c r="AG1927">
        <f>SUBTOTAL(103,A1927)</f>
        <v>1</v>
      </c>
    </row>
    <row r="1928" spans="1:33" x14ac:dyDescent="0.3">
      <c r="A1928" t="s">
        <v>4546</v>
      </c>
      <c r="B1928" s="13">
        <v>45900</v>
      </c>
      <c r="C1928">
        <v>2025</v>
      </c>
      <c r="D1928">
        <v>8</v>
      </c>
      <c r="E1928" t="s">
        <v>4301</v>
      </c>
      <c r="F1928" t="s">
        <v>4047</v>
      </c>
      <c r="G1928" t="s">
        <v>2249</v>
      </c>
      <c r="H1928" t="s">
        <v>2250</v>
      </c>
      <c r="I1928" t="s">
        <v>85</v>
      </c>
      <c r="J1928">
        <v>47</v>
      </c>
      <c r="K1928" t="s">
        <v>83</v>
      </c>
      <c r="L1928" t="s">
        <v>92</v>
      </c>
      <c r="M1928" t="s">
        <v>59</v>
      </c>
      <c r="N1928" t="s">
        <v>2590</v>
      </c>
      <c r="O1928" t="s">
        <v>127</v>
      </c>
      <c r="P1928" t="s">
        <v>51</v>
      </c>
      <c r="Q1928" t="s">
        <v>148</v>
      </c>
      <c r="R1928">
        <v>2</v>
      </c>
      <c r="S1928">
        <v>1599</v>
      </c>
      <c r="T1928">
        <v>0.1</v>
      </c>
      <c r="U1928">
        <v>2878.2</v>
      </c>
      <c r="V1928">
        <v>1600</v>
      </c>
      <c r="W1928">
        <v>1278.2</v>
      </c>
      <c r="X1928" t="s">
        <v>74</v>
      </c>
      <c r="Y1928" t="s">
        <v>68</v>
      </c>
      <c r="Z1928" t="s">
        <v>158</v>
      </c>
      <c r="AA1928" t="s">
        <v>166</v>
      </c>
      <c r="AB1928">
        <v>3.9</v>
      </c>
      <c r="AC1928">
        <v>100</v>
      </c>
      <c r="AD1928">
        <v>285.01</v>
      </c>
      <c r="AE1928">
        <f t="shared" si="60"/>
        <v>893.19</v>
      </c>
      <c r="AF1928" t="str">
        <f t="shared" si="61"/>
        <v>2025-08</v>
      </c>
      <c r="AG1928">
        <f>SUBTOTAL(103,A1928)</f>
        <v>1</v>
      </c>
    </row>
    <row r="1929" spans="1:33" x14ac:dyDescent="0.3">
      <c r="A1929" t="s">
        <v>4547</v>
      </c>
      <c r="B1929" s="13">
        <v>45900</v>
      </c>
      <c r="C1929">
        <v>2025</v>
      </c>
      <c r="D1929">
        <v>8</v>
      </c>
      <c r="E1929" t="s">
        <v>4301</v>
      </c>
      <c r="F1929" t="s">
        <v>4047</v>
      </c>
      <c r="G1929" t="s">
        <v>2349</v>
      </c>
      <c r="H1929" t="s">
        <v>2350</v>
      </c>
      <c r="I1929" t="s">
        <v>86</v>
      </c>
      <c r="J1929">
        <v>49</v>
      </c>
      <c r="K1929" t="s">
        <v>83</v>
      </c>
      <c r="L1929" t="s">
        <v>2589</v>
      </c>
      <c r="M1929" t="s">
        <v>61</v>
      </c>
      <c r="N1929" t="s">
        <v>2594</v>
      </c>
      <c r="O1929" t="s">
        <v>131</v>
      </c>
      <c r="P1929" t="s">
        <v>53</v>
      </c>
      <c r="Q1929" t="s">
        <v>143</v>
      </c>
      <c r="R1929">
        <v>1</v>
      </c>
      <c r="S1929">
        <v>999</v>
      </c>
      <c r="T1929">
        <v>0.2</v>
      </c>
      <c r="U1929">
        <v>799.2</v>
      </c>
      <c r="V1929">
        <v>520</v>
      </c>
      <c r="W1929">
        <v>279.2</v>
      </c>
      <c r="X1929" t="s">
        <v>74</v>
      </c>
      <c r="Y1929" t="s">
        <v>68</v>
      </c>
      <c r="Z1929" t="s">
        <v>158</v>
      </c>
      <c r="AA1929" t="s">
        <v>171</v>
      </c>
      <c r="AB1929">
        <v>3.4</v>
      </c>
      <c r="AC1929">
        <v>60</v>
      </c>
      <c r="AD1929">
        <v>32.42</v>
      </c>
      <c r="AE1929">
        <f t="shared" si="60"/>
        <v>186.77999999999997</v>
      </c>
      <c r="AF1929" t="str">
        <f t="shared" si="61"/>
        <v>2025-08</v>
      </c>
      <c r="AG1929">
        <f>SUBTOTAL(103,A1929)</f>
        <v>1</v>
      </c>
    </row>
    <row r="1930" spans="1:33" x14ac:dyDescent="0.3">
      <c r="A1930" t="s">
        <v>4548</v>
      </c>
      <c r="B1930" s="13">
        <v>45900</v>
      </c>
      <c r="C1930">
        <v>2025</v>
      </c>
      <c r="D1930">
        <v>8</v>
      </c>
      <c r="E1930" t="s">
        <v>4301</v>
      </c>
      <c r="F1930" t="s">
        <v>4047</v>
      </c>
      <c r="G1930" t="s">
        <v>323</v>
      </c>
      <c r="H1930" t="s">
        <v>324</v>
      </c>
      <c r="I1930" t="s">
        <v>86</v>
      </c>
      <c r="J1930">
        <v>25</v>
      </c>
      <c r="K1930" t="s">
        <v>80</v>
      </c>
      <c r="L1930" t="s">
        <v>59</v>
      </c>
      <c r="M1930" t="s">
        <v>59</v>
      </c>
      <c r="N1930" t="s">
        <v>2592</v>
      </c>
      <c r="O1930" t="s">
        <v>115</v>
      </c>
      <c r="P1930" t="s">
        <v>48</v>
      </c>
      <c r="Q1930" t="s">
        <v>137</v>
      </c>
      <c r="R1930">
        <v>5</v>
      </c>
      <c r="S1930">
        <v>12999</v>
      </c>
      <c r="T1930">
        <v>0.25</v>
      </c>
      <c r="U1930">
        <v>48746.25</v>
      </c>
      <c r="V1930">
        <v>45000</v>
      </c>
      <c r="W1930">
        <v>3746.25</v>
      </c>
      <c r="X1930" t="s">
        <v>76</v>
      </c>
      <c r="Y1930" t="s">
        <v>68</v>
      </c>
      <c r="Z1930" t="s">
        <v>159</v>
      </c>
      <c r="AA1930" t="s">
        <v>169</v>
      </c>
      <c r="AB1930">
        <v>4.3</v>
      </c>
      <c r="AC1930">
        <v>60</v>
      </c>
      <c r="AD1930">
        <v>5425.58</v>
      </c>
      <c r="AE1930">
        <f t="shared" si="60"/>
        <v>-1739.33</v>
      </c>
      <c r="AF1930" t="str">
        <f t="shared" si="61"/>
        <v>2025-08</v>
      </c>
      <c r="AG1930">
        <f>SUBTOTAL(103,A1930)</f>
        <v>1</v>
      </c>
    </row>
    <row r="1931" spans="1:33" x14ac:dyDescent="0.3">
      <c r="A1931" t="s">
        <v>4549</v>
      </c>
      <c r="B1931" s="13">
        <v>45900</v>
      </c>
      <c r="C1931">
        <v>2025</v>
      </c>
      <c r="D1931">
        <v>8</v>
      </c>
      <c r="E1931" t="s">
        <v>4301</v>
      </c>
      <c r="F1931" t="s">
        <v>4047</v>
      </c>
      <c r="G1931" t="s">
        <v>523</v>
      </c>
      <c r="H1931" t="s">
        <v>524</v>
      </c>
      <c r="I1931" t="s">
        <v>85</v>
      </c>
      <c r="J1931">
        <v>26</v>
      </c>
      <c r="K1931" t="s">
        <v>81</v>
      </c>
      <c r="L1931" t="s">
        <v>2679</v>
      </c>
      <c r="M1931" t="s">
        <v>60</v>
      </c>
      <c r="N1931" t="s">
        <v>2657</v>
      </c>
      <c r="O1931" t="s">
        <v>134</v>
      </c>
      <c r="P1931" t="s">
        <v>49</v>
      </c>
      <c r="Q1931" t="s">
        <v>140</v>
      </c>
      <c r="R1931">
        <v>2</v>
      </c>
      <c r="S1931">
        <v>599</v>
      </c>
      <c r="T1931">
        <v>0.15</v>
      </c>
      <c r="U1931">
        <v>1018.3</v>
      </c>
      <c r="V1931">
        <v>500</v>
      </c>
      <c r="W1931">
        <v>518.29999999999995</v>
      </c>
      <c r="X1931" t="s">
        <v>75</v>
      </c>
      <c r="Y1931" t="s">
        <v>68</v>
      </c>
      <c r="Z1931" t="s">
        <v>160</v>
      </c>
      <c r="AA1931" t="s">
        <v>170</v>
      </c>
      <c r="AB1931">
        <v>3.3</v>
      </c>
      <c r="AC1931">
        <v>80</v>
      </c>
      <c r="AD1931">
        <v>93.1</v>
      </c>
      <c r="AE1931">
        <f t="shared" si="60"/>
        <v>345.19999999999993</v>
      </c>
      <c r="AF1931" t="str">
        <f t="shared" si="61"/>
        <v>2025-08</v>
      </c>
      <c r="AG1931">
        <f>SUBTOTAL(103,A1931)</f>
        <v>1</v>
      </c>
    </row>
    <row r="1932" spans="1:33" x14ac:dyDescent="0.3">
      <c r="A1932" t="s">
        <v>4550</v>
      </c>
      <c r="B1932" s="13">
        <v>45900</v>
      </c>
      <c r="C1932">
        <v>2025</v>
      </c>
      <c r="D1932">
        <v>8</v>
      </c>
      <c r="E1932" t="s">
        <v>4301</v>
      </c>
      <c r="F1932" t="s">
        <v>4047</v>
      </c>
      <c r="G1932" t="s">
        <v>1367</v>
      </c>
      <c r="H1932" t="s">
        <v>1368</v>
      </c>
      <c r="I1932" t="s">
        <v>86</v>
      </c>
      <c r="J1932">
        <v>33</v>
      </c>
      <c r="K1932" t="s">
        <v>81</v>
      </c>
      <c r="L1932" t="s">
        <v>2690</v>
      </c>
      <c r="M1932" t="s">
        <v>63</v>
      </c>
      <c r="N1932" t="s">
        <v>2594</v>
      </c>
      <c r="O1932" t="s">
        <v>131</v>
      </c>
      <c r="P1932" t="s">
        <v>53</v>
      </c>
      <c r="Q1932" t="s">
        <v>143</v>
      </c>
      <c r="R1932">
        <v>1</v>
      </c>
      <c r="S1932">
        <v>999</v>
      </c>
      <c r="T1932">
        <v>0.2</v>
      </c>
      <c r="U1932">
        <v>799.2</v>
      </c>
      <c r="V1932">
        <v>520</v>
      </c>
      <c r="W1932">
        <v>279.2</v>
      </c>
      <c r="X1932" t="s">
        <v>73</v>
      </c>
      <c r="Y1932" t="s">
        <v>68</v>
      </c>
      <c r="Z1932" t="s">
        <v>163</v>
      </c>
      <c r="AA1932" t="s">
        <v>169</v>
      </c>
      <c r="AB1932">
        <v>4.8</v>
      </c>
      <c r="AC1932">
        <v>80</v>
      </c>
      <c r="AD1932">
        <v>51.55</v>
      </c>
      <c r="AE1932">
        <f t="shared" si="60"/>
        <v>147.64999999999998</v>
      </c>
      <c r="AF1932" t="str">
        <f t="shared" si="61"/>
        <v>2025-08</v>
      </c>
      <c r="AG1932">
        <f>SUBTOTAL(103,A1932)</f>
        <v>1</v>
      </c>
    </row>
    <row r="1933" spans="1:33" x14ac:dyDescent="0.3">
      <c r="A1933" t="s">
        <v>4551</v>
      </c>
      <c r="B1933" s="13">
        <v>45901</v>
      </c>
      <c r="C1933">
        <v>2025</v>
      </c>
      <c r="D1933">
        <v>9</v>
      </c>
      <c r="E1933" t="s">
        <v>4552</v>
      </c>
      <c r="F1933" t="s">
        <v>4047</v>
      </c>
      <c r="G1933" t="s">
        <v>257</v>
      </c>
      <c r="H1933" t="s">
        <v>258</v>
      </c>
      <c r="I1933" t="s">
        <v>85</v>
      </c>
      <c r="J1933">
        <v>36</v>
      </c>
      <c r="K1933" t="s">
        <v>82</v>
      </c>
      <c r="L1933" t="s">
        <v>2589</v>
      </c>
      <c r="M1933" t="s">
        <v>61</v>
      </c>
      <c r="N1933" t="s">
        <v>2574</v>
      </c>
      <c r="O1933" t="s">
        <v>130</v>
      </c>
      <c r="P1933" t="s">
        <v>50</v>
      </c>
      <c r="Q1933" t="s">
        <v>53</v>
      </c>
      <c r="R1933">
        <v>1</v>
      </c>
      <c r="S1933">
        <v>1199</v>
      </c>
      <c r="T1933">
        <v>0.25</v>
      </c>
      <c r="U1933">
        <v>899.25</v>
      </c>
      <c r="V1933">
        <v>550</v>
      </c>
      <c r="W1933">
        <v>349.25</v>
      </c>
      <c r="X1933" t="s">
        <v>73</v>
      </c>
      <c r="Y1933" t="s">
        <v>69</v>
      </c>
      <c r="Z1933" t="s">
        <v>159</v>
      </c>
      <c r="AA1933" t="s">
        <v>169</v>
      </c>
      <c r="AB1933">
        <v>3.3</v>
      </c>
      <c r="AC1933">
        <v>60</v>
      </c>
      <c r="AD1933">
        <v>57.93</v>
      </c>
      <c r="AE1933">
        <f t="shared" si="60"/>
        <v>231.32</v>
      </c>
      <c r="AF1933" t="str">
        <f t="shared" si="61"/>
        <v>2025-09</v>
      </c>
      <c r="AG1933">
        <f>SUBTOTAL(103,A1933)</f>
        <v>1</v>
      </c>
    </row>
    <row r="1934" spans="1:33" x14ac:dyDescent="0.3">
      <c r="A1934" t="s">
        <v>4553</v>
      </c>
      <c r="B1934" s="13">
        <v>45901</v>
      </c>
      <c r="C1934">
        <v>2025</v>
      </c>
      <c r="D1934">
        <v>9</v>
      </c>
      <c r="E1934" t="s">
        <v>4552</v>
      </c>
      <c r="F1934" t="s">
        <v>4047</v>
      </c>
      <c r="G1934" t="s">
        <v>501</v>
      </c>
      <c r="H1934" t="s">
        <v>502</v>
      </c>
      <c r="I1934" t="s">
        <v>86</v>
      </c>
      <c r="J1934">
        <v>43</v>
      </c>
      <c r="K1934" t="s">
        <v>82</v>
      </c>
      <c r="L1934" t="s">
        <v>2573</v>
      </c>
      <c r="M1934" t="s">
        <v>63</v>
      </c>
      <c r="N1934" t="s">
        <v>2584</v>
      </c>
      <c r="O1934" t="s">
        <v>121</v>
      </c>
      <c r="P1934" t="s">
        <v>50</v>
      </c>
      <c r="Q1934" t="s">
        <v>144</v>
      </c>
      <c r="R1934">
        <v>4</v>
      </c>
      <c r="S1934">
        <v>2999</v>
      </c>
      <c r="T1934">
        <v>0</v>
      </c>
      <c r="U1934">
        <v>11996</v>
      </c>
      <c r="V1934">
        <v>6800</v>
      </c>
      <c r="W1934">
        <v>5196</v>
      </c>
      <c r="X1934" t="s">
        <v>75</v>
      </c>
      <c r="Y1934" t="s">
        <v>69</v>
      </c>
      <c r="Z1934" t="s">
        <v>163</v>
      </c>
      <c r="AA1934" t="s">
        <v>170</v>
      </c>
      <c r="AB1934">
        <v>3.5</v>
      </c>
      <c r="AC1934">
        <v>50</v>
      </c>
      <c r="AD1934">
        <v>1127.52</v>
      </c>
      <c r="AE1934">
        <f t="shared" si="60"/>
        <v>4018.48</v>
      </c>
      <c r="AF1934" t="str">
        <f t="shared" si="61"/>
        <v>2025-09</v>
      </c>
      <c r="AG1934">
        <f>SUBTOTAL(103,A1934)</f>
        <v>1</v>
      </c>
    </row>
    <row r="1935" spans="1:33" x14ac:dyDescent="0.3">
      <c r="A1935" t="s">
        <v>4554</v>
      </c>
      <c r="B1935" s="13">
        <v>45901</v>
      </c>
      <c r="C1935">
        <v>2025</v>
      </c>
      <c r="D1935">
        <v>9</v>
      </c>
      <c r="E1935" t="s">
        <v>4552</v>
      </c>
      <c r="F1935" t="s">
        <v>4047</v>
      </c>
      <c r="G1935" t="s">
        <v>1635</v>
      </c>
      <c r="H1935" t="s">
        <v>1636</v>
      </c>
      <c r="I1935" t="s">
        <v>86</v>
      </c>
      <c r="J1935">
        <v>47</v>
      </c>
      <c r="K1935" t="s">
        <v>83</v>
      </c>
      <c r="L1935" t="s">
        <v>2679</v>
      </c>
      <c r="M1935" t="s">
        <v>60</v>
      </c>
      <c r="N1935" t="s">
        <v>2594</v>
      </c>
      <c r="O1935" t="s">
        <v>131</v>
      </c>
      <c r="P1935" t="s">
        <v>53</v>
      </c>
      <c r="Q1935" t="s">
        <v>143</v>
      </c>
      <c r="R1935">
        <v>2</v>
      </c>
      <c r="S1935">
        <v>999</v>
      </c>
      <c r="T1935">
        <v>0.05</v>
      </c>
      <c r="U1935">
        <v>1898.1</v>
      </c>
      <c r="V1935">
        <v>1040</v>
      </c>
      <c r="W1935">
        <v>858.1</v>
      </c>
      <c r="X1935" t="s">
        <v>73</v>
      </c>
      <c r="Y1935" t="s">
        <v>69</v>
      </c>
      <c r="Z1935" t="s">
        <v>159</v>
      </c>
      <c r="AA1935" t="s">
        <v>167</v>
      </c>
      <c r="AB1935">
        <v>3.5</v>
      </c>
      <c r="AC1935">
        <v>80</v>
      </c>
      <c r="AD1935">
        <v>208.55</v>
      </c>
      <c r="AE1935">
        <f t="shared" si="60"/>
        <v>569.54999999999995</v>
      </c>
      <c r="AF1935" t="str">
        <f t="shared" si="61"/>
        <v>2025-09</v>
      </c>
      <c r="AG1935">
        <f>SUBTOTAL(103,A1935)</f>
        <v>1</v>
      </c>
    </row>
    <row r="1936" spans="1:33" x14ac:dyDescent="0.3">
      <c r="A1936" t="s">
        <v>4555</v>
      </c>
      <c r="B1936" s="13">
        <v>45901</v>
      </c>
      <c r="C1936">
        <v>2025</v>
      </c>
      <c r="D1936">
        <v>9</v>
      </c>
      <c r="E1936" t="s">
        <v>4552</v>
      </c>
      <c r="F1936" t="s">
        <v>4047</v>
      </c>
      <c r="G1936" t="s">
        <v>1701</v>
      </c>
      <c r="H1936" t="s">
        <v>1702</v>
      </c>
      <c r="I1936" t="s">
        <v>85</v>
      </c>
      <c r="J1936">
        <v>42</v>
      </c>
      <c r="K1936" t="s">
        <v>82</v>
      </c>
      <c r="L1936" t="s">
        <v>96</v>
      </c>
      <c r="M1936" t="s">
        <v>55</v>
      </c>
      <c r="N1936" t="s">
        <v>2594</v>
      </c>
      <c r="O1936" t="s">
        <v>131</v>
      </c>
      <c r="P1936" t="s">
        <v>53</v>
      </c>
      <c r="Q1936" t="s">
        <v>143</v>
      </c>
      <c r="R1936">
        <v>1</v>
      </c>
      <c r="S1936">
        <v>999</v>
      </c>
      <c r="T1936">
        <v>0.1</v>
      </c>
      <c r="U1936">
        <v>899.1</v>
      </c>
      <c r="V1936">
        <v>520</v>
      </c>
      <c r="W1936">
        <v>379.1</v>
      </c>
      <c r="X1936" t="s">
        <v>74</v>
      </c>
      <c r="Y1936" t="s">
        <v>68</v>
      </c>
      <c r="Z1936" t="s">
        <v>160</v>
      </c>
      <c r="AA1936" t="s">
        <v>170</v>
      </c>
      <c r="AB1936">
        <v>4.5</v>
      </c>
      <c r="AC1936">
        <v>80</v>
      </c>
      <c r="AD1936">
        <v>55.42</v>
      </c>
      <c r="AE1936">
        <f t="shared" si="60"/>
        <v>243.68</v>
      </c>
      <c r="AF1936" t="str">
        <f t="shared" si="61"/>
        <v>2025-09</v>
      </c>
      <c r="AG1936">
        <f>SUBTOTAL(103,A1936)</f>
        <v>1</v>
      </c>
    </row>
    <row r="1937" spans="1:33" x14ac:dyDescent="0.3">
      <c r="A1937" t="s">
        <v>4556</v>
      </c>
      <c r="B1937" s="13">
        <v>45901</v>
      </c>
      <c r="C1937">
        <v>2025</v>
      </c>
      <c r="D1937">
        <v>9</v>
      </c>
      <c r="E1937" t="s">
        <v>4552</v>
      </c>
      <c r="F1937" t="s">
        <v>4047</v>
      </c>
      <c r="G1937" t="s">
        <v>1097</v>
      </c>
      <c r="H1937" t="s">
        <v>1098</v>
      </c>
      <c r="I1937" t="s">
        <v>86</v>
      </c>
      <c r="J1937">
        <v>59</v>
      </c>
      <c r="K1937" t="s">
        <v>83</v>
      </c>
      <c r="L1937" t="s">
        <v>2674</v>
      </c>
      <c r="M1937" t="s">
        <v>58</v>
      </c>
      <c r="N1937" t="s">
        <v>2630</v>
      </c>
      <c r="O1937" t="s">
        <v>123</v>
      </c>
      <c r="P1937" t="s">
        <v>52</v>
      </c>
      <c r="Q1937" t="s">
        <v>146</v>
      </c>
      <c r="R1937">
        <v>3</v>
      </c>
      <c r="S1937">
        <v>2499</v>
      </c>
      <c r="T1937">
        <v>0</v>
      </c>
      <c r="U1937">
        <v>7497</v>
      </c>
      <c r="V1937">
        <v>4200</v>
      </c>
      <c r="W1937">
        <v>3297</v>
      </c>
      <c r="X1937" t="s">
        <v>76</v>
      </c>
      <c r="Y1937" t="s">
        <v>70</v>
      </c>
      <c r="Z1937" t="s">
        <v>163</v>
      </c>
      <c r="AA1937" t="s">
        <v>168</v>
      </c>
      <c r="AB1937">
        <v>3.8</v>
      </c>
      <c r="AC1937">
        <v>60</v>
      </c>
      <c r="AD1937">
        <v>395.19</v>
      </c>
      <c r="AE1937">
        <f t="shared" si="60"/>
        <v>2841.81</v>
      </c>
      <c r="AF1937" t="str">
        <f t="shared" si="61"/>
        <v>2025-09</v>
      </c>
      <c r="AG1937">
        <f>SUBTOTAL(103,A1937)</f>
        <v>1</v>
      </c>
    </row>
    <row r="1938" spans="1:33" x14ac:dyDescent="0.3">
      <c r="A1938" t="s">
        <v>4557</v>
      </c>
      <c r="B1938" s="13">
        <v>45902</v>
      </c>
      <c r="C1938">
        <v>2025</v>
      </c>
      <c r="D1938">
        <v>9</v>
      </c>
      <c r="E1938" t="s">
        <v>4552</v>
      </c>
      <c r="F1938" t="s">
        <v>4047</v>
      </c>
      <c r="G1938" t="s">
        <v>1555</v>
      </c>
      <c r="H1938" t="s">
        <v>1556</v>
      </c>
      <c r="I1938" t="s">
        <v>86</v>
      </c>
      <c r="J1938">
        <v>38</v>
      </c>
      <c r="K1938" t="s">
        <v>82</v>
      </c>
      <c r="L1938" t="s">
        <v>2646</v>
      </c>
      <c r="M1938" t="s">
        <v>63</v>
      </c>
      <c r="N1938" t="s">
        <v>2584</v>
      </c>
      <c r="O1938" t="s">
        <v>121</v>
      </c>
      <c r="P1938" t="s">
        <v>50</v>
      </c>
      <c r="Q1938" t="s">
        <v>144</v>
      </c>
      <c r="R1938">
        <v>4</v>
      </c>
      <c r="S1938">
        <v>2999</v>
      </c>
      <c r="T1938">
        <v>0.05</v>
      </c>
      <c r="U1938">
        <v>11396.2</v>
      </c>
      <c r="V1938">
        <v>6800</v>
      </c>
      <c r="W1938">
        <v>4596.2</v>
      </c>
      <c r="X1938" t="s">
        <v>75</v>
      </c>
      <c r="Y1938" t="s">
        <v>68</v>
      </c>
      <c r="Z1938" t="s">
        <v>159</v>
      </c>
      <c r="AA1938" t="s">
        <v>170</v>
      </c>
      <c r="AB1938">
        <v>2.2999999999999998</v>
      </c>
      <c r="AC1938">
        <v>50</v>
      </c>
      <c r="AD1938">
        <v>1224.04</v>
      </c>
      <c r="AE1938">
        <f t="shared" si="60"/>
        <v>3322.16</v>
      </c>
      <c r="AF1938" t="str">
        <f t="shared" si="61"/>
        <v>2025-09</v>
      </c>
      <c r="AG1938">
        <f>SUBTOTAL(103,A1938)</f>
        <v>1</v>
      </c>
    </row>
    <row r="1939" spans="1:33" x14ac:dyDescent="0.3">
      <c r="A1939" t="s">
        <v>4558</v>
      </c>
      <c r="B1939" s="13">
        <v>45902</v>
      </c>
      <c r="C1939">
        <v>2025</v>
      </c>
      <c r="D1939">
        <v>9</v>
      </c>
      <c r="E1939" t="s">
        <v>4552</v>
      </c>
      <c r="F1939" t="s">
        <v>4047</v>
      </c>
      <c r="G1939" t="s">
        <v>1069</v>
      </c>
      <c r="H1939" t="s">
        <v>1070</v>
      </c>
      <c r="I1939" t="s">
        <v>87</v>
      </c>
      <c r="J1939">
        <v>24</v>
      </c>
      <c r="K1939" t="s">
        <v>80</v>
      </c>
      <c r="L1939" t="s">
        <v>98</v>
      </c>
      <c r="M1939" t="s">
        <v>55</v>
      </c>
      <c r="N1939" t="s">
        <v>2630</v>
      </c>
      <c r="O1939" t="s">
        <v>123</v>
      </c>
      <c r="P1939" t="s">
        <v>52</v>
      </c>
      <c r="Q1939" t="s">
        <v>146</v>
      </c>
      <c r="R1939">
        <v>2</v>
      </c>
      <c r="S1939">
        <v>2499</v>
      </c>
      <c r="T1939">
        <v>0.05</v>
      </c>
      <c r="U1939">
        <v>4748.1000000000004</v>
      </c>
      <c r="V1939">
        <v>2800</v>
      </c>
      <c r="W1939">
        <v>1948.1</v>
      </c>
      <c r="X1939" t="s">
        <v>73</v>
      </c>
      <c r="Y1939" t="s">
        <v>68</v>
      </c>
      <c r="Z1939" t="s">
        <v>160</v>
      </c>
      <c r="AA1939" t="s">
        <v>170</v>
      </c>
      <c r="AB1939">
        <v>4.4000000000000004</v>
      </c>
      <c r="AC1939">
        <v>40</v>
      </c>
      <c r="AD1939">
        <v>562.47</v>
      </c>
      <c r="AE1939">
        <f t="shared" si="60"/>
        <v>1345.6299999999999</v>
      </c>
      <c r="AF1939" t="str">
        <f t="shared" si="61"/>
        <v>2025-09</v>
      </c>
      <c r="AG1939">
        <f>SUBTOTAL(103,A1939)</f>
        <v>1</v>
      </c>
    </row>
    <row r="1940" spans="1:33" x14ac:dyDescent="0.3">
      <c r="A1940" t="s">
        <v>4559</v>
      </c>
      <c r="B1940" s="13">
        <v>45902</v>
      </c>
      <c r="C1940">
        <v>2025</v>
      </c>
      <c r="D1940">
        <v>9</v>
      </c>
      <c r="E1940" t="s">
        <v>4552</v>
      </c>
      <c r="F1940" t="s">
        <v>4047</v>
      </c>
      <c r="G1940" t="s">
        <v>917</v>
      </c>
      <c r="H1940" t="s">
        <v>918</v>
      </c>
      <c r="I1940" t="s">
        <v>85</v>
      </c>
      <c r="J1940">
        <v>49</v>
      </c>
      <c r="K1940" t="s">
        <v>83</v>
      </c>
      <c r="L1940" t="s">
        <v>92</v>
      </c>
      <c r="M1940" t="s">
        <v>59</v>
      </c>
      <c r="N1940" t="s">
        <v>2584</v>
      </c>
      <c r="O1940" t="s">
        <v>121</v>
      </c>
      <c r="P1940" t="s">
        <v>50</v>
      </c>
      <c r="Q1940" t="s">
        <v>144</v>
      </c>
      <c r="R1940">
        <v>1</v>
      </c>
      <c r="S1940">
        <v>2999</v>
      </c>
      <c r="T1940">
        <v>0.25</v>
      </c>
      <c r="U1940">
        <v>2249.25</v>
      </c>
      <c r="V1940">
        <v>1700</v>
      </c>
      <c r="W1940">
        <v>549.25</v>
      </c>
      <c r="X1940" t="s">
        <v>73</v>
      </c>
      <c r="Y1940" t="s">
        <v>68</v>
      </c>
      <c r="Z1940" t="s">
        <v>158</v>
      </c>
      <c r="AA1940" t="s">
        <v>167</v>
      </c>
      <c r="AB1940">
        <v>3.2</v>
      </c>
      <c r="AC1940">
        <v>60</v>
      </c>
      <c r="AD1940">
        <v>219.19</v>
      </c>
      <c r="AE1940">
        <f t="shared" si="60"/>
        <v>270.06</v>
      </c>
      <c r="AF1940" t="str">
        <f t="shared" si="61"/>
        <v>2025-09</v>
      </c>
      <c r="AG1940">
        <f>SUBTOTAL(103,A1940)</f>
        <v>1</v>
      </c>
    </row>
    <row r="1941" spans="1:33" x14ac:dyDescent="0.3">
      <c r="A1941" t="s">
        <v>4560</v>
      </c>
      <c r="B1941" s="13">
        <v>45902</v>
      </c>
      <c r="C1941">
        <v>2025</v>
      </c>
      <c r="D1941">
        <v>9</v>
      </c>
      <c r="E1941" t="s">
        <v>4552</v>
      </c>
      <c r="F1941" t="s">
        <v>4047</v>
      </c>
      <c r="G1941" t="s">
        <v>621</v>
      </c>
      <c r="H1941" t="s">
        <v>622</v>
      </c>
      <c r="I1941" t="s">
        <v>85</v>
      </c>
      <c r="J1941">
        <v>54</v>
      </c>
      <c r="K1941" t="s">
        <v>83</v>
      </c>
      <c r="L1941" t="s">
        <v>100</v>
      </c>
      <c r="M1941" t="s">
        <v>56</v>
      </c>
      <c r="N1941" t="s">
        <v>2596</v>
      </c>
      <c r="O1941" t="s">
        <v>124</v>
      </c>
      <c r="P1941" t="s">
        <v>51</v>
      </c>
      <c r="Q1941" t="s">
        <v>147</v>
      </c>
      <c r="R1941">
        <v>1</v>
      </c>
      <c r="S1941">
        <v>2299</v>
      </c>
      <c r="T1941">
        <v>0</v>
      </c>
      <c r="U1941">
        <v>2299</v>
      </c>
      <c r="V1941">
        <v>1200</v>
      </c>
      <c r="W1941">
        <v>1099</v>
      </c>
      <c r="X1941" t="s">
        <v>74</v>
      </c>
      <c r="Y1941" t="s">
        <v>68</v>
      </c>
      <c r="Z1941" t="s">
        <v>163</v>
      </c>
      <c r="AA1941" t="s">
        <v>168</v>
      </c>
      <c r="AB1941">
        <v>4.5</v>
      </c>
      <c r="AC1941">
        <v>40</v>
      </c>
      <c r="AD1941">
        <v>156.27000000000001</v>
      </c>
      <c r="AE1941">
        <f t="shared" si="60"/>
        <v>902.73</v>
      </c>
      <c r="AF1941" t="str">
        <f t="shared" si="61"/>
        <v>2025-09</v>
      </c>
      <c r="AG1941">
        <f>SUBTOTAL(103,A1941)</f>
        <v>1</v>
      </c>
    </row>
    <row r="1942" spans="1:33" x14ac:dyDescent="0.3">
      <c r="A1942" t="s">
        <v>4561</v>
      </c>
      <c r="B1942" s="13">
        <v>45903</v>
      </c>
      <c r="C1942">
        <v>2025</v>
      </c>
      <c r="D1942">
        <v>9</v>
      </c>
      <c r="E1942" t="s">
        <v>4552</v>
      </c>
      <c r="F1942" t="s">
        <v>4047</v>
      </c>
      <c r="G1942" t="s">
        <v>399</v>
      </c>
      <c r="H1942" t="s">
        <v>400</v>
      </c>
      <c r="I1942" t="s">
        <v>86</v>
      </c>
      <c r="J1942">
        <v>29</v>
      </c>
      <c r="K1942" t="s">
        <v>81</v>
      </c>
      <c r="L1942" t="s">
        <v>2679</v>
      </c>
      <c r="M1942" t="s">
        <v>60</v>
      </c>
      <c r="N1942" t="s">
        <v>2606</v>
      </c>
      <c r="O1942" t="s">
        <v>120</v>
      </c>
      <c r="P1942" t="s">
        <v>49</v>
      </c>
      <c r="Q1942" t="s">
        <v>140</v>
      </c>
      <c r="R1942">
        <v>1</v>
      </c>
      <c r="S1942">
        <v>2799</v>
      </c>
      <c r="T1942">
        <v>0</v>
      </c>
      <c r="U1942">
        <v>2799</v>
      </c>
      <c r="V1942">
        <v>1650</v>
      </c>
      <c r="W1942">
        <v>1149</v>
      </c>
      <c r="X1942" t="s">
        <v>73</v>
      </c>
      <c r="Y1942" t="s">
        <v>68</v>
      </c>
      <c r="Z1942" t="s">
        <v>158</v>
      </c>
      <c r="AA1942" t="s">
        <v>171</v>
      </c>
      <c r="AB1942">
        <v>4.4000000000000004</v>
      </c>
      <c r="AC1942">
        <v>120</v>
      </c>
      <c r="AD1942">
        <v>204.93</v>
      </c>
      <c r="AE1942">
        <f t="shared" si="60"/>
        <v>824.06999999999994</v>
      </c>
      <c r="AF1942" t="str">
        <f t="shared" si="61"/>
        <v>2025-09</v>
      </c>
      <c r="AG1942">
        <f>SUBTOTAL(103,A1942)</f>
        <v>1</v>
      </c>
    </row>
    <row r="1943" spans="1:33" x14ac:dyDescent="0.3">
      <c r="A1943" t="s">
        <v>4562</v>
      </c>
      <c r="B1943" s="13">
        <v>45903</v>
      </c>
      <c r="C1943">
        <v>2025</v>
      </c>
      <c r="D1943">
        <v>9</v>
      </c>
      <c r="E1943" t="s">
        <v>4552</v>
      </c>
      <c r="F1943" t="s">
        <v>4047</v>
      </c>
      <c r="G1943" t="s">
        <v>911</v>
      </c>
      <c r="H1943" t="s">
        <v>912</v>
      </c>
      <c r="I1943" t="s">
        <v>86</v>
      </c>
      <c r="J1943">
        <v>35</v>
      </c>
      <c r="K1943" t="s">
        <v>81</v>
      </c>
      <c r="L1943" t="s">
        <v>99</v>
      </c>
      <c r="M1943" t="s">
        <v>58</v>
      </c>
      <c r="N1943" t="s">
        <v>2596</v>
      </c>
      <c r="O1943" t="s">
        <v>124</v>
      </c>
      <c r="P1943" t="s">
        <v>51</v>
      </c>
      <c r="Q1943" t="s">
        <v>147</v>
      </c>
      <c r="R1943">
        <v>1</v>
      </c>
      <c r="S1943">
        <v>2299</v>
      </c>
      <c r="T1943">
        <v>0.1</v>
      </c>
      <c r="U1943">
        <v>2069.1</v>
      </c>
      <c r="V1943">
        <v>1200</v>
      </c>
      <c r="W1943">
        <v>869.1</v>
      </c>
      <c r="X1943" t="s">
        <v>74</v>
      </c>
      <c r="Y1943" t="s">
        <v>68</v>
      </c>
      <c r="Z1943" t="s">
        <v>163</v>
      </c>
      <c r="AA1943" t="s">
        <v>166</v>
      </c>
      <c r="AB1943">
        <v>4.2</v>
      </c>
      <c r="AC1943">
        <v>60</v>
      </c>
      <c r="AD1943">
        <v>164.58</v>
      </c>
      <c r="AE1943">
        <f t="shared" si="60"/>
        <v>644.52</v>
      </c>
      <c r="AF1943" t="str">
        <f t="shared" si="61"/>
        <v>2025-09</v>
      </c>
      <c r="AG1943">
        <f>SUBTOTAL(103,A1943)</f>
        <v>1</v>
      </c>
    </row>
    <row r="1944" spans="1:33" x14ac:dyDescent="0.3">
      <c r="A1944" t="s">
        <v>4563</v>
      </c>
      <c r="B1944" s="13">
        <v>45903</v>
      </c>
      <c r="C1944">
        <v>2025</v>
      </c>
      <c r="D1944">
        <v>9</v>
      </c>
      <c r="E1944" t="s">
        <v>4552</v>
      </c>
      <c r="F1944" t="s">
        <v>4047</v>
      </c>
      <c r="G1944" t="s">
        <v>1105</v>
      </c>
      <c r="H1944" t="s">
        <v>1106</v>
      </c>
      <c r="I1944" t="s">
        <v>85</v>
      </c>
      <c r="J1944">
        <v>49</v>
      </c>
      <c r="K1944" t="s">
        <v>83</v>
      </c>
      <c r="L1944" t="s">
        <v>2616</v>
      </c>
      <c r="M1944" t="s">
        <v>62</v>
      </c>
      <c r="N1944" t="s">
        <v>2587</v>
      </c>
      <c r="O1944" t="s">
        <v>116</v>
      </c>
      <c r="P1944" t="s">
        <v>48</v>
      </c>
      <c r="Q1944" t="s">
        <v>138</v>
      </c>
      <c r="R1944">
        <v>1</v>
      </c>
      <c r="S1944">
        <v>14999</v>
      </c>
      <c r="T1944">
        <v>0</v>
      </c>
      <c r="U1944">
        <v>14999</v>
      </c>
      <c r="V1944">
        <v>11200</v>
      </c>
      <c r="W1944">
        <v>3799</v>
      </c>
      <c r="X1944" t="s">
        <v>75</v>
      </c>
      <c r="Y1944" t="s">
        <v>68</v>
      </c>
      <c r="Z1944" t="s">
        <v>161</v>
      </c>
      <c r="AA1944" t="s">
        <v>167</v>
      </c>
      <c r="AB1944">
        <v>3.7</v>
      </c>
      <c r="AC1944">
        <v>80</v>
      </c>
      <c r="AD1944">
        <v>1610.24</v>
      </c>
      <c r="AE1944">
        <f t="shared" si="60"/>
        <v>2108.7600000000002</v>
      </c>
      <c r="AF1944" t="str">
        <f t="shared" si="61"/>
        <v>2025-09</v>
      </c>
      <c r="AG1944">
        <f>SUBTOTAL(103,A1944)</f>
        <v>1</v>
      </c>
    </row>
    <row r="1945" spans="1:33" x14ac:dyDescent="0.3">
      <c r="A1945" t="s">
        <v>4564</v>
      </c>
      <c r="B1945" s="13">
        <v>45903</v>
      </c>
      <c r="C1945">
        <v>2025</v>
      </c>
      <c r="D1945">
        <v>9</v>
      </c>
      <c r="E1945" t="s">
        <v>4552</v>
      </c>
      <c r="F1945" t="s">
        <v>4047</v>
      </c>
      <c r="G1945" t="s">
        <v>245</v>
      </c>
      <c r="H1945" t="s">
        <v>246</v>
      </c>
      <c r="I1945" t="s">
        <v>85</v>
      </c>
      <c r="J1945">
        <v>53</v>
      </c>
      <c r="K1945" t="s">
        <v>83</v>
      </c>
      <c r="L1945" t="s">
        <v>90</v>
      </c>
      <c r="M1945" t="s">
        <v>55</v>
      </c>
      <c r="N1945" t="s">
        <v>2626</v>
      </c>
      <c r="O1945" t="s">
        <v>125</v>
      </c>
      <c r="P1945" t="s">
        <v>48</v>
      </c>
      <c r="Q1945" t="s">
        <v>141</v>
      </c>
      <c r="R1945">
        <v>1</v>
      </c>
      <c r="S1945">
        <v>1999</v>
      </c>
      <c r="T1945">
        <v>0</v>
      </c>
      <c r="U1945">
        <v>1999</v>
      </c>
      <c r="V1945">
        <v>1150</v>
      </c>
      <c r="W1945">
        <v>849</v>
      </c>
      <c r="X1945" t="s">
        <v>73</v>
      </c>
      <c r="Y1945" t="s">
        <v>68</v>
      </c>
      <c r="Z1945" t="s">
        <v>162</v>
      </c>
      <c r="AA1945" t="s">
        <v>168</v>
      </c>
      <c r="AB1945">
        <v>4.9000000000000004</v>
      </c>
      <c r="AC1945">
        <v>120</v>
      </c>
      <c r="AD1945">
        <v>63.83</v>
      </c>
      <c r="AE1945">
        <f t="shared" si="60"/>
        <v>665.17</v>
      </c>
      <c r="AF1945" t="str">
        <f t="shared" si="61"/>
        <v>2025-09</v>
      </c>
      <c r="AG1945">
        <f>SUBTOTAL(103,A1945)</f>
        <v>1</v>
      </c>
    </row>
    <row r="1946" spans="1:33" x14ac:dyDescent="0.3">
      <c r="A1946" t="s">
        <v>4565</v>
      </c>
      <c r="B1946" s="13">
        <v>45903</v>
      </c>
      <c r="C1946">
        <v>2025</v>
      </c>
      <c r="D1946">
        <v>9</v>
      </c>
      <c r="E1946" t="s">
        <v>4552</v>
      </c>
      <c r="F1946" t="s">
        <v>4047</v>
      </c>
      <c r="G1946" t="s">
        <v>973</v>
      </c>
      <c r="H1946" t="s">
        <v>974</v>
      </c>
      <c r="I1946" t="s">
        <v>85</v>
      </c>
      <c r="J1946">
        <v>39</v>
      </c>
      <c r="K1946" t="s">
        <v>82</v>
      </c>
      <c r="L1946" t="s">
        <v>2612</v>
      </c>
      <c r="M1946" t="s">
        <v>64</v>
      </c>
      <c r="N1946" t="s">
        <v>2590</v>
      </c>
      <c r="O1946" t="s">
        <v>127</v>
      </c>
      <c r="P1946" t="s">
        <v>51</v>
      </c>
      <c r="Q1946" t="s">
        <v>148</v>
      </c>
      <c r="R1946">
        <v>3</v>
      </c>
      <c r="S1946">
        <v>1599</v>
      </c>
      <c r="T1946">
        <v>0.2</v>
      </c>
      <c r="U1946">
        <v>3837.6</v>
      </c>
      <c r="V1946">
        <v>2400</v>
      </c>
      <c r="W1946">
        <v>1437.6</v>
      </c>
      <c r="X1946" t="s">
        <v>77</v>
      </c>
      <c r="Y1946" t="s">
        <v>68</v>
      </c>
      <c r="Z1946" t="s">
        <v>160</v>
      </c>
      <c r="AA1946" t="s">
        <v>170</v>
      </c>
      <c r="AB1946">
        <v>4.4000000000000004</v>
      </c>
      <c r="AC1946">
        <v>60</v>
      </c>
      <c r="AD1946">
        <v>180.08</v>
      </c>
      <c r="AE1946">
        <f t="shared" si="60"/>
        <v>1197.52</v>
      </c>
      <c r="AF1946" t="str">
        <f t="shared" si="61"/>
        <v>2025-09</v>
      </c>
      <c r="AG1946">
        <f>SUBTOTAL(103,A1946)</f>
        <v>1</v>
      </c>
    </row>
    <row r="1947" spans="1:33" x14ac:dyDescent="0.3">
      <c r="A1947" t="s">
        <v>4566</v>
      </c>
      <c r="B1947" s="13">
        <v>45903</v>
      </c>
      <c r="C1947">
        <v>2025</v>
      </c>
      <c r="D1947">
        <v>9</v>
      </c>
      <c r="E1947" t="s">
        <v>4552</v>
      </c>
      <c r="F1947" t="s">
        <v>4047</v>
      </c>
      <c r="G1947" t="s">
        <v>939</v>
      </c>
      <c r="H1947" t="s">
        <v>940</v>
      </c>
      <c r="I1947" t="s">
        <v>85</v>
      </c>
      <c r="J1947">
        <v>35</v>
      </c>
      <c r="K1947" t="s">
        <v>81</v>
      </c>
      <c r="L1947" t="s">
        <v>97</v>
      </c>
      <c r="M1947" t="s">
        <v>57</v>
      </c>
      <c r="N1947" t="s">
        <v>2644</v>
      </c>
      <c r="O1947" t="s">
        <v>126</v>
      </c>
      <c r="P1947" t="s">
        <v>50</v>
      </c>
      <c r="Q1947" t="s">
        <v>145</v>
      </c>
      <c r="R1947">
        <v>5</v>
      </c>
      <c r="S1947">
        <v>1799</v>
      </c>
      <c r="T1947">
        <v>0.15</v>
      </c>
      <c r="U1947">
        <v>7645.75</v>
      </c>
      <c r="V1947">
        <v>4750</v>
      </c>
      <c r="W1947">
        <v>2895.75</v>
      </c>
      <c r="X1947" t="s">
        <v>74</v>
      </c>
      <c r="Y1947" t="s">
        <v>68</v>
      </c>
      <c r="Z1947" t="s">
        <v>162</v>
      </c>
      <c r="AA1947" t="s">
        <v>168</v>
      </c>
      <c r="AB1947">
        <v>3.5</v>
      </c>
      <c r="AC1947">
        <v>80</v>
      </c>
      <c r="AD1947">
        <v>710.22</v>
      </c>
      <c r="AE1947">
        <f t="shared" si="60"/>
        <v>2105.5299999999997</v>
      </c>
      <c r="AF1947" t="str">
        <f t="shared" si="61"/>
        <v>2025-09</v>
      </c>
      <c r="AG1947">
        <f>SUBTOTAL(103,A1947)</f>
        <v>1</v>
      </c>
    </row>
    <row r="1948" spans="1:33" x14ac:dyDescent="0.3">
      <c r="A1948" t="s">
        <v>4567</v>
      </c>
      <c r="B1948" s="13">
        <v>45903</v>
      </c>
      <c r="C1948">
        <v>2025</v>
      </c>
      <c r="D1948">
        <v>9</v>
      </c>
      <c r="E1948" t="s">
        <v>4552</v>
      </c>
      <c r="F1948" t="s">
        <v>4047</v>
      </c>
      <c r="G1948" t="s">
        <v>671</v>
      </c>
      <c r="H1948" t="s">
        <v>672</v>
      </c>
      <c r="I1948" t="s">
        <v>85</v>
      </c>
      <c r="J1948">
        <v>42</v>
      </c>
      <c r="K1948" t="s">
        <v>82</v>
      </c>
      <c r="L1948" t="s">
        <v>96</v>
      </c>
      <c r="M1948" t="s">
        <v>55</v>
      </c>
      <c r="N1948" t="s">
        <v>2606</v>
      </c>
      <c r="O1948" t="s">
        <v>120</v>
      </c>
      <c r="P1948" t="s">
        <v>49</v>
      </c>
      <c r="Q1948" t="s">
        <v>140</v>
      </c>
      <c r="R1948">
        <v>1</v>
      </c>
      <c r="S1948">
        <v>2799</v>
      </c>
      <c r="T1948">
        <v>0.15</v>
      </c>
      <c r="U1948">
        <v>2379.15</v>
      </c>
      <c r="V1948">
        <v>1650</v>
      </c>
      <c r="W1948">
        <v>729.15</v>
      </c>
      <c r="X1948" t="s">
        <v>74</v>
      </c>
      <c r="Y1948" t="s">
        <v>68</v>
      </c>
      <c r="Z1948" t="s">
        <v>159</v>
      </c>
      <c r="AA1948" t="s">
        <v>166</v>
      </c>
      <c r="AB1948">
        <v>3.8</v>
      </c>
      <c r="AC1948">
        <v>120</v>
      </c>
      <c r="AD1948">
        <v>126.7</v>
      </c>
      <c r="AE1948">
        <f t="shared" si="60"/>
        <v>482.45</v>
      </c>
      <c r="AF1948" t="str">
        <f t="shared" si="61"/>
        <v>2025-09</v>
      </c>
      <c r="AG1948">
        <f>SUBTOTAL(103,A1948)</f>
        <v>1</v>
      </c>
    </row>
    <row r="1949" spans="1:33" x14ac:dyDescent="0.3">
      <c r="A1949" t="s">
        <v>4568</v>
      </c>
      <c r="B1949" s="13">
        <v>45903</v>
      </c>
      <c r="C1949">
        <v>2025</v>
      </c>
      <c r="D1949">
        <v>9</v>
      </c>
      <c r="E1949" t="s">
        <v>4552</v>
      </c>
      <c r="F1949" t="s">
        <v>4047</v>
      </c>
      <c r="G1949" t="s">
        <v>1567</v>
      </c>
      <c r="H1949" t="s">
        <v>1568</v>
      </c>
      <c r="I1949" t="s">
        <v>85</v>
      </c>
      <c r="J1949">
        <v>33</v>
      </c>
      <c r="K1949" t="s">
        <v>81</v>
      </c>
      <c r="L1949" t="s">
        <v>90</v>
      </c>
      <c r="M1949" t="s">
        <v>55</v>
      </c>
      <c r="N1949" t="s">
        <v>2647</v>
      </c>
      <c r="O1949" t="s">
        <v>133</v>
      </c>
      <c r="P1949" t="s">
        <v>50</v>
      </c>
      <c r="Q1949" t="s">
        <v>145</v>
      </c>
      <c r="R1949">
        <v>2</v>
      </c>
      <c r="S1949">
        <v>799</v>
      </c>
      <c r="T1949">
        <v>0.05</v>
      </c>
      <c r="U1949">
        <v>1518.1</v>
      </c>
      <c r="V1949">
        <v>780</v>
      </c>
      <c r="W1949">
        <v>738.1</v>
      </c>
      <c r="X1949" t="s">
        <v>76</v>
      </c>
      <c r="Y1949" t="s">
        <v>68</v>
      </c>
      <c r="Z1949" t="s">
        <v>158</v>
      </c>
      <c r="AA1949" t="s">
        <v>167</v>
      </c>
      <c r="AB1949">
        <v>3.9</v>
      </c>
      <c r="AC1949">
        <v>40</v>
      </c>
      <c r="AD1949">
        <v>44.97</v>
      </c>
      <c r="AE1949">
        <f t="shared" si="60"/>
        <v>653.13</v>
      </c>
      <c r="AF1949" t="str">
        <f t="shared" si="61"/>
        <v>2025-09</v>
      </c>
      <c r="AG1949">
        <f>SUBTOTAL(103,A1949)</f>
        <v>1</v>
      </c>
    </row>
    <row r="1950" spans="1:33" x14ac:dyDescent="0.3">
      <c r="A1950" t="s">
        <v>4569</v>
      </c>
      <c r="B1950" s="13">
        <v>45903</v>
      </c>
      <c r="C1950">
        <v>2025</v>
      </c>
      <c r="D1950">
        <v>9</v>
      </c>
      <c r="E1950" t="s">
        <v>4552</v>
      </c>
      <c r="F1950" t="s">
        <v>4047</v>
      </c>
      <c r="G1950" t="s">
        <v>1941</v>
      </c>
      <c r="H1950" t="s">
        <v>1942</v>
      </c>
      <c r="I1950" t="s">
        <v>86</v>
      </c>
      <c r="J1950">
        <v>57</v>
      </c>
      <c r="K1950" t="s">
        <v>83</v>
      </c>
      <c r="L1950" t="s">
        <v>100</v>
      </c>
      <c r="M1950" t="s">
        <v>56</v>
      </c>
      <c r="N1950" t="s">
        <v>2647</v>
      </c>
      <c r="O1950" t="s">
        <v>133</v>
      </c>
      <c r="P1950" t="s">
        <v>50</v>
      </c>
      <c r="Q1950" t="s">
        <v>145</v>
      </c>
      <c r="R1950">
        <v>2</v>
      </c>
      <c r="S1950">
        <v>799</v>
      </c>
      <c r="T1950">
        <v>0.1</v>
      </c>
      <c r="U1950">
        <v>1438.2</v>
      </c>
      <c r="V1950">
        <v>780</v>
      </c>
      <c r="W1950">
        <v>658.2</v>
      </c>
      <c r="X1950" t="s">
        <v>75</v>
      </c>
      <c r="Y1950" t="s">
        <v>68</v>
      </c>
      <c r="Z1950" t="s">
        <v>163</v>
      </c>
      <c r="AA1950" t="s">
        <v>166</v>
      </c>
      <c r="AB1950">
        <v>4.0999999999999996</v>
      </c>
      <c r="AC1950">
        <v>60</v>
      </c>
      <c r="AD1950">
        <v>59.06</v>
      </c>
      <c r="AE1950">
        <f t="shared" si="60"/>
        <v>539.1400000000001</v>
      </c>
      <c r="AF1950" t="str">
        <f t="shared" si="61"/>
        <v>2025-09</v>
      </c>
      <c r="AG1950">
        <f>SUBTOTAL(103,A1950)</f>
        <v>1</v>
      </c>
    </row>
    <row r="1951" spans="1:33" x14ac:dyDescent="0.3">
      <c r="A1951" t="s">
        <v>4570</v>
      </c>
      <c r="B1951" s="13">
        <v>45903</v>
      </c>
      <c r="C1951">
        <v>2025</v>
      </c>
      <c r="D1951">
        <v>9</v>
      </c>
      <c r="E1951" t="s">
        <v>4552</v>
      </c>
      <c r="F1951" t="s">
        <v>4047</v>
      </c>
      <c r="G1951" t="s">
        <v>1053</v>
      </c>
      <c r="H1951" t="s">
        <v>1054</v>
      </c>
      <c r="I1951" t="s">
        <v>86</v>
      </c>
      <c r="J1951">
        <v>22</v>
      </c>
      <c r="K1951" t="s">
        <v>80</v>
      </c>
      <c r="L1951" t="s">
        <v>2589</v>
      </c>
      <c r="M1951" t="s">
        <v>61</v>
      </c>
      <c r="N1951" t="s">
        <v>2594</v>
      </c>
      <c r="O1951" t="s">
        <v>131</v>
      </c>
      <c r="P1951" t="s">
        <v>53</v>
      </c>
      <c r="Q1951" t="s">
        <v>143</v>
      </c>
      <c r="R1951">
        <v>3</v>
      </c>
      <c r="S1951">
        <v>999</v>
      </c>
      <c r="T1951">
        <v>0.1</v>
      </c>
      <c r="U1951">
        <v>2697.3</v>
      </c>
      <c r="V1951">
        <v>1560</v>
      </c>
      <c r="W1951">
        <v>1137.3</v>
      </c>
      <c r="X1951" t="s">
        <v>75</v>
      </c>
      <c r="Y1951" t="s">
        <v>68</v>
      </c>
      <c r="Z1951" t="s">
        <v>158</v>
      </c>
      <c r="AA1951" t="s">
        <v>169</v>
      </c>
      <c r="AB1951">
        <v>4.3</v>
      </c>
      <c r="AC1951">
        <v>50</v>
      </c>
      <c r="AD1951">
        <v>200.29</v>
      </c>
      <c r="AE1951">
        <f t="shared" si="60"/>
        <v>887.01</v>
      </c>
      <c r="AF1951" t="str">
        <f t="shared" si="61"/>
        <v>2025-09</v>
      </c>
      <c r="AG1951">
        <f>SUBTOTAL(103,A1951)</f>
        <v>1</v>
      </c>
    </row>
    <row r="1952" spans="1:33" x14ac:dyDescent="0.3">
      <c r="A1952" t="s">
        <v>4571</v>
      </c>
      <c r="B1952" s="13">
        <v>45904</v>
      </c>
      <c r="C1952">
        <v>2025</v>
      </c>
      <c r="D1952">
        <v>9</v>
      </c>
      <c r="E1952" t="s">
        <v>4552</v>
      </c>
      <c r="F1952" t="s">
        <v>4047</v>
      </c>
      <c r="G1952" t="s">
        <v>1925</v>
      </c>
      <c r="H1952" t="s">
        <v>1926</v>
      </c>
      <c r="I1952" t="s">
        <v>85</v>
      </c>
      <c r="J1952">
        <v>57</v>
      </c>
      <c r="K1952" t="s">
        <v>83</v>
      </c>
      <c r="L1952" t="s">
        <v>100</v>
      </c>
      <c r="M1952" t="s">
        <v>56</v>
      </c>
      <c r="N1952" t="s">
        <v>2665</v>
      </c>
      <c r="O1952" t="s">
        <v>128</v>
      </c>
      <c r="P1952" t="s">
        <v>53</v>
      </c>
      <c r="Q1952" t="s">
        <v>143</v>
      </c>
      <c r="R1952">
        <v>1</v>
      </c>
      <c r="S1952">
        <v>1499</v>
      </c>
      <c r="T1952">
        <v>0.15</v>
      </c>
      <c r="U1952">
        <v>1274.1500000000001</v>
      </c>
      <c r="V1952">
        <v>800</v>
      </c>
      <c r="W1952">
        <v>474.15</v>
      </c>
      <c r="X1952" t="s">
        <v>74</v>
      </c>
      <c r="Y1952" t="s">
        <v>68</v>
      </c>
      <c r="Z1952" t="s">
        <v>159</v>
      </c>
      <c r="AA1952" t="s">
        <v>166</v>
      </c>
      <c r="AB1952">
        <v>4</v>
      </c>
      <c r="AC1952">
        <v>50</v>
      </c>
      <c r="AD1952">
        <v>126.96</v>
      </c>
      <c r="AE1952">
        <f t="shared" si="60"/>
        <v>297.19</v>
      </c>
      <c r="AF1952" t="str">
        <f t="shared" si="61"/>
        <v>2025-09</v>
      </c>
      <c r="AG1952">
        <f>SUBTOTAL(103,A1952)</f>
        <v>1</v>
      </c>
    </row>
    <row r="1953" spans="1:33" x14ac:dyDescent="0.3">
      <c r="A1953" t="s">
        <v>4572</v>
      </c>
      <c r="B1953" s="13">
        <v>45904</v>
      </c>
      <c r="C1953">
        <v>2025</v>
      </c>
      <c r="D1953">
        <v>9</v>
      </c>
      <c r="E1953" t="s">
        <v>4552</v>
      </c>
      <c r="F1953" t="s">
        <v>4047</v>
      </c>
      <c r="G1953" t="s">
        <v>857</v>
      </c>
      <c r="H1953" t="s">
        <v>858</v>
      </c>
      <c r="I1953" t="s">
        <v>86</v>
      </c>
      <c r="J1953">
        <v>54</v>
      </c>
      <c r="K1953" t="s">
        <v>83</v>
      </c>
      <c r="L1953" t="s">
        <v>95</v>
      </c>
      <c r="M1953" t="s">
        <v>56</v>
      </c>
      <c r="N1953" t="s">
        <v>2657</v>
      </c>
      <c r="O1953" t="s">
        <v>134</v>
      </c>
      <c r="P1953" t="s">
        <v>49</v>
      </c>
      <c r="Q1953" t="s">
        <v>140</v>
      </c>
      <c r="R1953">
        <v>2</v>
      </c>
      <c r="S1953">
        <v>599</v>
      </c>
      <c r="T1953">
        <v>0.05</v>
      </c>
      <c r="U1953">
        <v>1138.0999999999999</v>
      </c>
      <c r="V1953">
        <v>500</v>
      </c>
      <c r="W1953">
        <v>638.1</v>
      </c>
      <c r="X1953" t="s">
        <v>76</v>
      </c>
      <c r="Y1953" t="s">
        <v>68</v>
      </c>
      <c r="Z1953" t="s">
        <v>160</v>
      </c>
      <c r="AA1953" t="s">
        <v>170</v>
      </c>
      <c r="AB1953">
        <v>3.9</v>
      </c>
      <c r="AC1953">
        <v>50</v>
      </c>
      <c r="AD1953">
        <v>116.26</v>
      </c>
      <c r="AE1953">
        <f t="shared" si="60"/>
        <v>471.84000000000003</v>
      </c>
      <c r="AF1953" t="str">
        <f t="shared" si="61"/>
        <v>2025-09</v>
      </c>
      <c r="AG1953">
        <f>SUBTOTAL(103,A1953)</f>
        <v>1</v>
      </c>
    </row>
    <row r="1954" spans="1:33" x14ac:dyDescent="0.3">
      <c r="A1954" t="s">
        <v>4573</v>
      </c>
      <c r="B1954" s="13">
        <v>45904</v>
      </c>
      <c r="C1954">
        <v>2025</v>
      </c>
      <c r="D1954">
        <v>9</v>
      </c>
      <c r="E1954" t="s">
        <v>4552</v>
      </c>
      <c r="F1954" t="s">
        <v>4047</v>
      </c>
      <c r="G1954" t="s">
        <v>805</v>
      </c>
      <c r="H1954" t="s">
        <v>806</v>
      </c>
      <c r="I1954" t="s">
        <v>86</v>
      </c>
      <c r="J1954">
        <v>37</v>
      </c>
      <c r="K1954" t="s">
        <v>82</v>
      </c>
      <c r="L1954" t="s">
        <v>91</v>
      </c>
      <c r="M1954" t="s">
        <v>55</v>
      </c>
      <c r="N1954" t="s">
        <v>2626</v>
      </c>
      <c r="O1954" t="s">
        <v>125</v>
      </c>
      <c r="P1954" t="s">
        <v>48</v>
      </c>
      <c r="Q1954" t="s">
        <v>141</v>
      </c>
      <c r="R1954">
        <v>2</v>
      </c>
      <c r="S1954">
        <v>1999</v>
      </c>
      <c r="T1954">
        <v>0.05</v>
      </c>
      <c r="U1954">
        <v>3798.1</v>
      </c>
      <c r="V1954">
        <v>2300</v>
      </c>
      <c r="W1954">
        <v>1498.1</v>
      </c>
      <c r="X1954" t="s">
        <v>74</v>
      </c>
      <c r="Y1954" t="s">
        <v>68</v>
      </c>
      <c r="Z1954" t="s">
        <v>158</v>
      </c>
      <c r="AA1954" t="s">
        <v>169</v>
      </c>
      <c r="AB1954">
        <v>3.8</v>
      </c>
      <c r="AC1954">
        <v>100</v>
      </c>
      <c r="AD1954">
        <v>438</v>
      </c>
      <c r="AE1954">
        <f t="shared" si="60"/>
        <v>960.09999999999991</v>
      </c>
      <c r="AF1954" t="str">
        <f t="shared" si="61"/>
        <v>2025-09</v>
      </c>
      <c r="AG1954">
        <f>SUBTOTAL(103,A1954)</f>
        <v>1</v>
      </c>
    </row>
    <row r="1955" spans="1:33" x14ac:dyDescent="0.3">
      <c r="A1955" t="s">
        <v>4574</v>
      </c>
      <c r="B1955" s="13">
        <v>45904</v>
      </c>
      <c r="C1955">
        <v>2025</v>
      </c>
      <c r="D1955">
        <v>9</v>
      </c>
      <c r="E1955" t="s">
        <v>4552</v>
      </c>
      <c r="F1955" t="s">
        <v>4047</v>
      </c>
      <c r="G1955" t="s">
        <v>1263</v>
      </c>
      <c r="H1955" t="s">
        <v>1264</v>
      </c>
      <c r="I1955" t="s">
        <v>85</v>
      </c>
      <c r="J1955">
        <v>30</v>
      </c>
      <c r="K1955" t="s">
        <v>81</v>
      </c>
      <c r="L1955" t="s">
        <v>93</v>
      </c>
      <c r="M1955" t="s">
        <v>55</v>
      </c>
      <c r="N1955" t="s">
        <v>2653</v>
      </c>
      <c r="O1955" t="s">
        <v>132</v>
      </c>
      <c r="P1955" t="s">
        <v>52</v>
      </c>
      <c r="Q1955" t="s">
        <v>150</v>
      </c>
      <c r="R1955">
        <v>2</v>
      </c>
      <c r="S1955">
        <v>899</v>
      </c>
      <c r="T1955">
        <v>0.05</v>
      </c>
      <c r="U1955">
        <v>1708.1</v>
      </c>
      <c r="V1955">
        <v>840</v>
      </c>
      <c r="W1955">
        <v>868.1</v>
      </c>
      <c r="X1955" t="s">
        <v>76</v>
      </c>
      <c r="Y1955" t="s">
        <v>68</v>
      </c>
      <c r="Z1955" t="s">
        <v>160</v>
      </c>
      <c r="AA1955" t="s">
        <v>171</v>
      </c>
      <c r="AB1955">
        <v>4.0999999999999996</v>
      </c>
      <c r="AC1955">
        <v>60</v>
      </c>
      <c r="AD1955">
        <v>48.19</v>
      </c>
      <c r="AE1955">
        <f t="shared" si="60"/>
        <v>759.91000000000008</v>
      </c>
      <c r="AF1955" t="str">
        <f t="shared" si="61"/>
        <v>2025-09</v>
      </c>
      <c r="AG1955">
        <f>SUBTOTAL(103,A1955)</f>
        <v>1</v>
      </c>
    </row>
    <row r="1956" spans="1:33" x14ac:dyDescent="0.3">
      <c r="A1956" t="s">
        <v>4575</v>
      </c>
      <c r="B1956" s="13">
        <v>45904</v>
      </c>
      <c r="C1956">
        <v>2025</v>
      </c>
      <c r="D1956">
        <v>9</v>
      </c>
      <c r="E1956" t="s">
        <v>4552</v>
      </c>
      <c r="F1956" t="s">
        <v>4047</v>
      </c>
      <c r="G1956" t="s">
        <v>749</v>
      </c>
      <c r="H1956" t="s">
        <v>750</v>
      </c>
      <c r="I1956" t="s">
        <v>85</v>
      </c>
      <c r="J1956">
        <v>56</v>
      </c>
      <c r="K1956" t="s">
        <v>83</v>
      </c>
      <c r="L1956" t="s">
        <v>97</v>
      </c>
      <c r="M1956" t="s">
        <v>57</v>
      </c>
      <c r="N1956" t="s">
        <v>2665</v>
      </c>
      <c r="O1956" t="s">
        <v>128</v>
      </c>
      <c r="P1956" t="s">
        <v>53</v>
      </c>
      <c r="Q1956" t="s">
        <v>143</v>
      </c>
      <c r="R1956">
        <v>2</v>
      </c>
      <c r="S1956">
        <v>1499</v>
      </c>
      <c r="T1956">
        <v>0.05</v>
      </c>
      <c r="U1956">
        <v>2848.1</v>
      </c>
      <c r="V1956">
        <v>1600</v>
      </c>
      <c r="W1956">
        <v>1248.0999999999999</v>
      </c>
      <c r="X1956" t="s">
        <v>73</v>
      </c>
      <c r="Y1956" t="s">
        <v>68</v>
      </c>
      <c r="Z1956" t="s">
        <v>163</v>
      </c>
      <c r="AA1956" t="s">
        <v>166</v>
      </c>
      <c r="AB1956">
        <v>3.9</v>
      </c>
      <c r="AC1956">
        <v>80</v>
      </c>
      <c r="AD1956">
        <v>108.09</v>
      </c>
      <c r="AE1956">
        <f t="shared" si="60"/>
        <v>1060.01</v>
      </c>
      <c r="AF1956" t="str">
        <f t="shared" si="61"/>
        <v>2025-09</v>
      </c>
      <c r="AG1956">
        <f>SUBTOTAL(103,A1956)</f>
        <v>1</v>
      </c>
    </row>
    <row r="1957" spans="1:33" x14ac:dyDescent="0.3">
      <c r="A1957" t="s">
        <v>4576</v>
      </c>
      <c r="B1957" s="13">
        <v>45904</v>
      </c>
      <c r="C1957">
        <v>2025</v>
      </c>
      <c r="D1957">
        <v>9</v>
      </c>
      <c r="E1957" t="s">
        <v>4552</v>
      </c>
      <c r="F1957" t="s">
        <v>4047</v>
      </c>
      <c r="G1957" t="s">
        <v>1875</v>
      </c>
      <c r="H1957" t="s">
        <v>1876</v>
      </c>
      <c r="I1957" t="s">
        <v>85</v>
      </c>
      <c r="J1957">
        <v>35</v>
      </c>
      <c r="K1957" t="s">
        <v>81</v>
      </c>
      <c r="L1957" t="s">
        <v>2605</v>
      </c>
      <c r="M1957" t="s">
        <v>60</v>
      </c>
      <c r="N1957" t="s">
        <v>2580</v>
      </c>
      <c r="O1957" t="s">
        <v>118</v>
      </c>
      <c r="P1957" t="s">
        <v>48</v>
      </c>
      <c r="Q1957" t="s">
        <v>142</v>
      </c>
      <c r="R1957">
        <v>1</v>
      </c>
      <c r="S1957">
        <v>3999</v>
      </c>
      <c r="T1957">
        <v>0.05</v>
      </c>
      <c r="U1957">
        <v>3799.05</v>
      </c>
      <c r="V1957">
        <v>2400</v>
      </c>
      <c r="W1957">
        <v>1399.05</v>
      </c>
      <c r="X1957" t="s">
        <v>73</v>
      </c>
      <c r="Y1957" t="s">
        <v>68</v>
      </c>
      <c r="Z1957" t="s">
        <v>163</v>
      </c>
      <c r="AA1957" t="s">
        <v>166</v>
      </c>
      <c r="AB1957">
        <v>4.7</v>
      </c>
      <c r="AC1957">
        <v>60</v>
      </c>
      <c r="AD1957">
        <v>241.54</v>
      </c>
      <c r="AE1957">
        <f t="shared" si="60"/>
        <v>1097.51</v>
      </c>
      <c r="AF1957" t="str">
        <f t="shared" si="61"/>
        <v>2025-09</v>
      </c>
      <c r="AG1957">
        <f>SUBTOTAL(103,A1957)</f>
        <v>1</v>
      </c>
    </row>
    <row r="1958" spans="1:33" x14ac:dyDescent="0.3">
      <c r="A1958" t="s">
        <v>4577</v>
      </c>
      <c r="B1958" s="13">
        <v>45905</v>
      </c>
      <c r="C1958">
        <v>2025</v>
      </c>
      <c r="D1958">
        <v>9</v>
      </c>
      <c r="E1958" t="s">
        <v>4552</v>
      </c>
      <c r="F1958" t="s">
        <v>4047</v>
      </c>
      <c r="G1958" t="s">
        <v>383</v>
      </c>
      <c r="H1958" t="s">
        <v>384</v>
      </c>
      <c r="I1958" t="s">
        <v>86</v>
      </c>
      <c r="J1958">
        <v>36</v>
      </c>
      <c r="K1958" t="s">
        <v>82</v>
      </c>
      <c r="L1958" t="s">
        <v>2634</v>
      </c>
      <c r="M1958" t="s">
        <v>56</v>
      </c>
      <c r="N1958" t="s">
        <v>2630</v>
      </c>
      <c r="O1958" t="s">
        <v>123</v>
      </c>
      <c r="P1958" t="s">
        <v>52</v>
      </c>
      <c r="Q1958" t="s">
        <v>146</v>
      </c>
      <c r="R1958">
        <v>1</v>
      </c>
      <c r="S1958">
        <v>2499</v>
      </c>
      <c r="T1958">
        <v>0.2</v>
      </c>
      <c r="U1958">
        <v>1999.2</v>
      </c>
      <c r="V1958">
        <v>1400</v>
      </c>
      <c r="W1958">
        <v>599.20000000000005</v>
      </c>
      <c r="X1958" t="s">
        <v>77</v>
      </c>
      <c r="Y1958" t="s">
        <v>68</v>
      </c>
      <c r="Z1958" t="s">
        <v>160</v>
      </c>
      <c r="AA1958" t="s">
        <v>167</v>
      </c>
      <c r="AB1958">
        <v>3.6</v>
      </c>
      <c r="AC1958">
        <v>80</v>
      </c>
      <c r="AD1958">
        <v>188.16</v>
      </c>
      <c r="AE1958">
        <f t="shared" si="60"/>
        <v>331.04000000000008</v>
      </c>
      <c r="AF1958" t="str">
        <f t="shared" si="61"/>
        <v>2025-09</v>
      </c>
      <c r="AG1958">
        <f>SUBTOTAL(103,A1958)</f>
        <v>1</v>
      </c>
    </row>
    <row r="1959" spans="1:33" x14ac:dyDescent="0.3">
      <c r="A1959" t="s">
        <v>4578</v>
      </c>
      <c r="B1959" s="13">
        <v>45905</v>
      </c>
      <c r="C1959">
        <v>2025</v>
      </c>
      <c r="D1959">
        <v>9</v>
      </c>
      <c r="E1959" t="s">
        <v>4552</v>
      </c>
      <c r="F1959" t="s">
        <v>4047</v>
      </c>
      <c r="G1959" t="s">
        <v>2107</v>
      </c>
      <c r="H1959" t="s">
        <v>2108</v>
      </c>
      <c r="I1959" t="s">
        <v>86</v>
      </c>
      <c r="J1959">
        <v>28</v>
      </c>
      <c r="K1959" t="s">
        <v>81</v>
      </c>
      <c r="L1959" t="s">
        <v>2610</v>
      </c>
      <c r="M1959" t="s">
        <v>64</v>
      </c>
      <c r="N1959" t="s">
        <v>2626</v>
      </c>
      <c r="O1959" t="s">
        <v>125</v>
      </c>
      <c r="P1959" t="s">
        <v>48</v>
      </c>
      <c r="Q1959" t="s">
        <v>141</v>
      </c>
      <c r="R1959">
        <v>2</v>
      </c>
      <c r="S1959">
        <v>1999</v>
      </c>
      <c r="T1959">
        <v>0.05</v>
      </c>
      <c r="U1959">
        <v>3798.1</v>
      </c>
      <c r="V1959">
        <v>2300</v>
      </c>
      <c r="W1959">
        <v>1498.1</v>
      </c>
      <c r="X1959" t="s">
        <v>75</v>
      </c>
      <c r="Y1959" t="s">
        <v>69</v>
      </c>
      <c r="Z1959" t="s">
        <v>158</v>
      </c>
      <c r="AA1959" t="s">
        <v>167</v>
      </c>
      <c r="AB1959">
        <v>4.0999999999999996</v>
      </c>
      <c r="AC1959">
        <v>120</v>
      </c>
      <c r="AD1959">
        <v>265.23</v>
      </c>
      <c r="AE1959">
        <f t="shared" si="60"/>
        <v>1112.8699999999999</v>
      </c>
      <c r="AF1959" t="str">
        <f t="shared" si="61"/>
        <v>2025-09</v>
      </c>
      <c r="AG1959">
        <f>SUBTOTAL(103,A1959)</f>
        <v>1</v>
      </c>
    </row>
    <row r="1960" spans="1:33" x14ac:dyDescent="0.3">
      <c r="A1960" t="s">
        <v>4579</v>
      </c>
      <c r="B1960" s="13">
        <v>45905</v>
      </c>
      <c r="C1960">
        <v>2025</v>
      </c>
      <c r="D1960">
        <v>9</v>
      </c>
      <c r="E1960" t="s">
        <v>4552</v>
      </c>
      <c r="F1960" t="s">
        <v>4047</v>
      </c>
      <c r="G1960" t="s">
        <v>535</v>
      </c>
      <c r="H1960" t="s">
        <v>536</v>
      </c>
      <c r="I1960" t="s">
        <v>85</v>
      </c>
      <c r="J1960">
        <v>52</v>
      </c>
      <c r="K1960" t="s">
        <v>83</v>
      </c>
      <c r="L1960" t="s">
        <v>2661</v>
      </c>
      <c r="M1960" t="s">
        <v>58</v>
      </c>
      <c r="N1960" t="s">
        <v>2630</v>
      </c>
      <c r="O1960" t="s">
        <v>123</v>
      </c>
      <c r="P1960" t="s">
        <v>52</v>
      </c>
      <c r="Q1960" t="s">
        <v>146</v>
      </c>
      <c r="R1960">
        <v>1</v>
      </c>
      <c r="S1960">
        <v>2499</v>
      </c>
      <c r="T1960">
        <v>0.05</v>
      </c>
      <c r="U1960">
        <v>2374.0500000000002</v>
      </c>
      <c r="V1960">
        <v>1400</v>
      </c>
      <c r="W1960">
        <v>974.05</v>
      </c>
      <c r="X1960" t="s">
        <v>76</v>
      </c>
      <c r="Y1960" t="s">
        <v>69</v>
      </c>
      <c r="Z1960" t="s">
        <v>158</v>
      </c>
      <c r="AA1960" t="s">
        <v>166</v>
      </c>
      <c r="AB1960">
        <v>4.3</v>
      </c>
      <c r="AC1960">
        <v>40</v>
      </c>
      <c r="AD1960">
        <v>87.84</v>
      </c>
      <c r="AE1960">
        <f t="shared" si="60"/>
        <v>846.20999999999992</v>
      </c>
      <c r="AF1960" t="str">
        <f t="shared" si="61"/>
        <v>2025-09</v>
      </c>
      <c r="AG1960">
        <f>SUBTOTAL(103,A1960)</f>
        <v>1</v>
      </c>
    </row>
    <row r="1961" spans="1:33" x14ac:dyDescent="0.3">
      <c r="A1961" t="s">
        <v>4580</v>
      </c>
      <c r="B1961" s="13">
        <v>45905</v>
      </c>
      <c r="C1961">
        <v>2025</v>
      </c>
      <c r="D1961">
        <v>9</v>
      </c>
      <c r="E1961" t="s">
        <v>4552</v>
      </c>
      <c r="F1961" t="s">
        <v>4047</v>
      </c>
      <c r="G1961" t="s">
        <v>2009</v>
      </c>
      <c r="H1961" t="s">
        <v>2010</v>
      </c>
      <c r="I1961" t="s">
        <v>85</v>
      </c>
      <c r="J1961">
        <v>34</v>
      </c>
      <c r="K1961" t="s">
        <v>81</v>
      </c>
      <c r="L1961" t="s">
        <v>91</v>
      </c>
      <c r="M1961" t="s">
        <v>55</v>
      </c>
      <c r="N1961" t="s">
        <v>2653</v>
      </c>
      <c r="O1961" t="s">
        <v>132</v>
      </c>
      <c r="P1961" t="s">
        <v>52</v>
      </c>
      <c r="Q1961" t="s">
        <v>150</v>
      </c>
      <c r="R1961">
        <v>1</v>
      </c>
      <c r="S1961">
        <v>899</v>
      </c>
      <c r="T1961">
        <v>0</v>
      </c>
      <c r="U1961">
        <v>899</v>
      </c>
      <c r="V1961">
        <v>420</v>
      </c>
      <c r="W1961">
        <v>479</v>
      </c>
      <c r="X1961" t="s">
        <v>75</v>
      </c>
      <c r="Y1961" t="s">
        <v>68</v>
      </c>
      <c r="Z1961" t="s">
        <v>162</v>
      </c>
      <c r="AA1961" t="s">
        <v>168</v>
      </c>
      <c r="AB1961">
        <v>4.8</v>
      </c>
      <c r="AC1961">
        <v>50</v>
      </c>
      <c r="AD1961">
        <v>23.54</v>
      </c>
      <c r="AE1961">
        <f t="shared" si="60"/>
        <v>405.46</v>
      </c>
      <c r="AF1961" t="str">
        <f t="shared" si="61"/>
        <v>2025-09</v>
      </c>
      <c r="AG1961">
        <f>SUBTOTAL(103,A1961)</f>
        <v>1</v>
      </c>
    </row>
    <row r="1962" spans="1:33" x14ac:dyDescent="0.3">
      <c r="A1962" t="s">
        <v>4581</v>
      </c>
      <c r="B1962" s="13">
        <v>45905</v>
      </c>
      <c r="C1962">
        <v>2025</v>
      </c>
      <c r="D1962">
        <v>9</v>
      </c>
      <c r="E1962" t="s">
        <v>4552</v>
      </c>
      <c r="F1962" t="s">
        <v>4047</v>
      </c>
      <c r="G1962" t="s">
        <v>633</v>
      </c>
      <c r="H1962" t="s">
        <v>634</v>
      </c>
      <c r="I1962" t="s">
        <v>85</v>
      </c>
      <c r="J1962">
        <v>25</v>
      </c>
      <c r="K1962" t="s">
        <v>80</v>
      </c>
      <c r="L1962" t="s">
        <v>2661</v>
      </c>
      <c r="M1962" t="s">
        <v>58</v>
      </c>
      <c r="N1962" t="s">
        <v>2653</v>
      </c>
      <c r="O1962" t="s">
        <v>132</v>
      </c>
      <c r="P1962" t="s">
        <v>52</v>
      </c>
      <c r="Q1962" t="s">
        <v>150</v>
      </c>
      <c r="R1962">
        <v>3</v>
      </c>
      <c r="S1962">
        <v>899</v>
      </c>
      <c r="T1962">
        <v>0.2</v>
      </c>
      <c r="U1962">
        <v>2157.6</v>
      </c>
      <c r="V1962">
        <v>1260</v>
      </c>
      <c r="W1962">
        <v>897.6</v>
      </c>
      <c r="X1962" t="s">
        <v>76</v>
      </c>
      <c r="Y1962" t="s">
        <v>68</v>
      </c>
      <c r="Z1962" t="s">
        <v>162</v>
      </c>
      <c r="AA1962" t="s">
        <v>167</v>
      </c>
      <c r="AB1962">
        <v>4.0999999999999996</v>
      </c>
      <c r="AC1962">
        <v>50</v>
      </c>
      <c r="AD1962">
        <v>149.81</v>
      </c>
      <c r="AE1962">
        <f t="shared" si="60"/>
        <v>697.79</v>
      </c>
      <c r="AF1962" t="str">
        <f t="shared" si="61"/>
        <v>2025-09</v>
      </c>
      <c r="AG1962">
        <f>SUBTOTAL(103,A1962)</f>
        <v>1</v>
      </c>
    </row>
    <row r="1963" spans="1:33" x14ac:dyDescent="0.3">
      <c r="A1963" t="s">
        <v>4582</v>
      </c>
      <c r="B1963" s="13">
        <v>45905</v>
      </c>
      <c r="C1963">
        <v>2025</v>
      </c>
      <c r="D1963">
        <v>9</v>
      </c>
      <c r="E1963" t="s">
        <v>4552</v>
      </c>
      <c r="F1963" t="s">
        <v>4047</v>
      </c>
      <c r="G1963" t="s">
        <v>941</v>
      </c>
      <c r="H1963" t="s">
        <v>942</v>
      </c>
      <c r="I1963" t="s">
        <v>86</v>
      </c>
      <c r="J1963">
        <v>35</v>
      </c>
      <c r="K1963" t="s">
        <v>81</v>
      </c>
      <c r="L1963" t="s">
        <v>93</v>
      </c>
      <c r="M1963" t="s">
        <v>55</v>
      </c>
      <c r="N1963" t="s">
        <v>2603</v>
      </c>
      <c r="O1963" t="s">
        <v>122</v>
      </c>
      <c r="P1963" t="s">
        <v>48</v>
      </c>
      <c r="Q1963" t="s">
        <v>141</v>
      </c>
      <c r="R1963">
        <v>2</v>
      </c>
      <c r="S1963">
        <v>2499</v>
      </c>
      <c r="T1963">
        <v>0.05</v>
      </c>
      <c r="U1963">
        <v>0</v>
      </c>
      <c r="V1963">
        <v>0</v>
      </c>
      <c r="W1963">
        <v>0</v>
      </c>
      <c r="X1963" t="s">
        <v>73</v>
      </c>
      <c r="Y1963" t="s">
        <v>71</v>
      </c>
      <c r="Z1963" t="s">
        <v>163</v>
      </c>
      <c r="AA1963" t="s">
        <v>169</v>
      </c>
      <c r="AB1963">
        <v>4.5</v>
      </c>
      <c r="AC1963">
        <v>80</v>
      </c>
      <c r="AD1963">
        <v>317.41000000000003</v>
      </c>
      <c r="AE1963">
        <f t="shared" si="60"/>
        <v>-397.41</v>
      </c>
      <c r="AF1963" t="str">
        <f t="shared" si="61"/>
        <v>2025-09</v>
      </c>
      <c r="AG1963">
        <f>SUBTOTAL(103,A1963)</f>
        <v>1</v>
      </c>
    </row>
    <row r="1964" spans="1:33" x14ac:dyDescent="0.3">
      <c r="A1964" t="s">
        <v>4583</v>
      </c>
      <c r="B1964" s="13">
        <v>45906</v>
      </c>
      <c r="C1964">
        <v>2025</v>
      </c>
      <c r="D1964">
        <v>9</v>
      </c>
      <c r="E1964" t="s">
        <v>4552</v>
      </c>
      <c r="F1964" t="s">
        <v>4047</v>
      </c>
      <c r="G1964" t="s">
        <v>2151</v>
      </c>
      <c r="H1964" t="s">
        <v>2152</v>
      </c>
      <c r="I1964" t="s">
        <v>85</v>
      </c>
      <c r="J1964">
        <v>28</v>
      </c>
      <c r="K1964" t="s">
        <v>81</v>
      </c>
      <c r="L1964" t="s">
        <v>100</v>
      </c>
      <c r="M1964" t="s">
        <v>56</v>
      </c>
      <c r="N1964" t="s">
        <v>2580</v>
      </c>
      <c r="O1964" t="s">
        <v>118</v>
      </c>
      <c r="P1964" t="s">
        <v>48</v>
      </c>
      <c r="Q1964" t="s">
        <v>142</v>
      </c>
      <c r="R1964">
        <v>2</v>
      </c>
      <c r="S1964">
        <v>3999</v>
      </c>
      <c r="T1964">
        <v>0.05</v>
      </c>
      <c r="U1964">
        <v>7598.1</v>
      </c>
      <c r="V1964">
        <v>4800</v>
      </c>
      <c r="W1964">
        <v>2798.1</v>
      </c>
      <c r="X1964" t="s">
        <v>73</v>
      </c>
      <c r="Y1964" t="s">
        <v>68</v>
      </c>
      <c r="Z1964" t="s">
        <v>161</v>
      </c>
      <c r="AA1964" t="s">
        <v>170</v>
      </c>
      <c r="AB1964">
        <v>4.7</v>
      </c>
      <c r="AC1964">
        <v>50</v>
      </c>
      <c r="AD1964">
        <v>577.80999999999995</v>
      </c>
      <c r="AE1964">
        <f t="shared" si="60"/>
        <v>2170.29</v>
      </c>
      <c r="AF1964" t="str">
        <f t="shared" si="61"/>
        <v>2025-09</v>
      </c>
      <c r="AG1964">
        <f>SUBTOTAL(103,A1964)</f>
        <v>1</v>
      </c>
    </row>
    <row r="1965" spans="1:33" x14ac:dyDescent="0.3">
      <c r="A1965" t="s">
        <v>4584</v>
      </c>
      <c r="B1965" s="13">
        <v>45906</v>
      </c>
      <c r="C1965">
        <v>2025</v>
      </c>
      <c r="D1965">
        <v>9</v>
      </c>
      <c r="E1965" t="s">
        <v>4552</v>
      </c>
      <c r="F1965" t="s">
        <v>4047</v>
      </c>
      <c r="G1965" t="s">
        <v>613</v>
      </c>
      <c r="H1965" t="s">
        <v>614</v>
      </c>
      <c r="I1965" t="s">
        <v>85</v>
      </c>
      <c r="J1965">
        <v>55</v>
      </c>
      <c r="K1965" t="s">
        <v>83</v>
      </c>
      <c r="L1965" t="s">
        <v>93</v>
      </c>
      <c r="M1965" t="s">
        <v>55</v>
      </c>
      <c r="N1965" t="s">
        <v>2582</v>
      </c>
      <c r="O1965" t="s">
        <v>119</v>
      </c>
      <c r="P1965" t="s">
        <v>49</v>
      </c>
      <c r="Q1965" t="s">
        <v>140</v>
      </c>
      <c r="R1965">
        <v>1</v>
      </c>
      <c r="S1965">
        <v>3499</v>
      </c>
      <c r="T1965">
        <v>0</v>
      </c>
      <c r="U1965">
        <v>3499</v>
      </c>
      <c r="V1965">
        <v>2100</v>
      </c>
      <c r="W1965">
        <v>1399</v>
      </c>
      <c r="X1965" t="s">
        <v>73</v>
      </c>
      <c r="Y1965" t="s">
        <v>68</v>
      </c>
      <c r="Z1965" t="s">
        <v>158</v>
      </c>
      <c r="AA1965" t="s">
        <v>169</v>
      </c>
      <c r="AB1965">
        <v>5</v>
      </c>
      <c r="AC1965">
        <v>50</v>
      </c>
      <c r="AD1965">
        <v>157.66</v>
      </c>
      <c r="AE1965">
        <f t="shared" si="60"/>
        <v>1191.3399999999999</v>
      </c>
      <c r="AF1965" t="str">
        <f t="shared" si="61"/>
        <v>2025-09</v>
      </c>
      <c r="AG1965">
        <f>SUBTOTAL(103,A1965)</f>
        <v>1</v>
      </c>
    </row>
    <row r="1966" spans="1:33" x14ac:dyDescent="0.3">
      <c r="A1966" t="s">
        <v>4585</v>
      </c>
      <c r="B1966" s="13">
        <v>45906</v>
      </c>
      <c r="C1966">
        <v>2025</v>
      </c>
      <c r="D1966">
        <v>9</v>
      </c>
      <c r="E1966" t="s">
        <v>4552</v>
      </c>
      <c r="F1966" t="s">
        <v>4047</v>
      </c>
      <c r="G1966" t="s">
        <v>1577</v>
      </c>
      <c r="H1966" t="s">
        <v>1578</v>
      </c>
      <c r="I1966" t="s">
        <v>86</v>
      </c>
      <c r="J1966">
        <v>33</v>
      </c>
      <c r="K1966" t="s">
        <v>81</v>
      </c>
      <c r="L1966" t="s">
        <v>93</v>
      </c>
      <c r="M1966" t="s">
        <v>55</v>
      </c>
      <c r="N1966" t="s">
        <v>2626</v>
      </c>
      <c r="O1966" t="s">
        <v>125</v>
      </c>
      <c r="P1966" t="s">
        <v>48</v>
      </c>
      <c r="Q1966" t="s">
        <v>141</v>
      </c>
      <c r="R1966">
        <v>3</v>
      </c>
      <c r="S1966">
        <v>1999</v>
      </c>
      <c r="T1966">
        <v>0.1</v>
      </c>
      <c r="U1966">
        <v>5397.3</v>
      </c>
      <c r="V1966">
        <v>3450</v>
      </c>
      <c r="W1966">
        <v>1947.3</v>
      </c>
      <c r="X1966" t="s">
        <v>73</v>
      </c>
      <c r="Y1966" t="s">
        <v>68</v>
      </c>
      <c r="Z1966" t="s">
        <v>161</v>
      </c>
      <c r="AA1966" t="s">
        <v>168</v>
      </c>
      <c r="AB1966">
        <v>3.4</v>
      </c>
      <c r="AC1966">
        <v>80</v>
      </c>
      <c r="AD1966">
        <v>481.75</v>
      </c>
      <c r="AE1966">
        <f t="shared" si="60"/>
        <v>1385.55</v>
      </c>
      <c r="AF1966" t="str">
        <f t="shared" si="61"/>
        <v>2025-09</v>
      </c>
      <c r="AG1966">
        <f>SUBTOTAL(103,A1966)</f>
        <v>1</v>
      </c>
    </row>
    <row r="1967" spans="1:33" x14ac:dyDescent="0.3">
      <c r="A1967" t="s">
        <v>4586</v>
      </c>
      <c r="B1967" s="13">
        <v>45906</v>
      </c>
      <c r="C1967">
        <v>2025</v>
      </c>
      <c r="D1967">
        <v>9</v>
      </c>
      <c r="E1967" t="s">
        <v>4552</v>
      </c>
      <c r="F1967" t="s">
        <v>4047</v>
      </c>
      <c r="G1967" t="s">
        <v>703</v>
      </c>
      <c r="H1967" t="s">
        <v>704</v>
      </c>
      <c r="I1967" t="s">
        <v>86</v>
      </c>
      <c r="J1967">
        <v>49</v>
      </c>
      <c r="K1967" t="s">
        <v>83</v>
      </c>
      <c r="L1967" t="s">
        <v>99</v>
      </c>
      <c r="M1967" t="s">
        <v>58</v>
      </c>
      <c r="N1967" t="s">
        <v>2577</v>
      </c>
      <c r="O1967" t="s">
        <v>129</v>
      </c>
      <c r="P1967" t="s">
        <v>49</v>
      </c>
      <c r="Q1967" t="s">
        <v>149</v>
      </c>
      <c r="R1967">
        <v>5</v>
      </c>
      <c r="S1967">
        <v>1299</v>
      </c>
      <c r="T1967">
        <v>0.1</v>
      </c>
      <c r="U1967">
        <v>5845.5</v>
      </c>
      <c r="V1967">
        <v>3250</v>
      </c>
      <c r="W1967">
        <v>2595.5</v>
      </c>
      <c r="X1967" t="s">
        <v>73</v>
      </c>
      <c r="Y1967" t="s">
        <v>68</v>
      </c>
      <c r="Z1967" t="s">
        <v>161</v>
      </c>
      <c r="AA1967" t="s">
        <v>166</v>
      </c>
      <c r="AB1967">
        <v>4.3</v>
      </c>
      <c r="AC1967">
        <v>60</v>
      </c>
      <c r="AD1967">
        <v>593.4</v>
      </c>
      <c r="AE1967">
        <f t="shared" si="60"/>
        <v>1942.1</v>
      </c>
      <c r="AF1967" t="str">
        <f t="shared" si="61"/>
        <v>2025-09</v>
      </c>
      <c r="AG1967">
        <f>SUBTOTAL(103,A1967)</f>
        <v>1</v>
      </c>
    </row>
    <row r="1968" spans="1:33" x14ac:dyDescent="0.3">
      <c r="A1968" t="s">
        <v>4587</v>
      </c>
      <c r="B1968" s="13">
        <v>45906</v>
      </c>
      <c r="C1968">
        <v>2025</v>
      </c>
      <c r="D1968">
        <v>9</v>
      </c>
      <c r="E1968" t="s">
        <v>4552</v>
      </c>
      <c r="F1968" t="s">
        <v>4047</v>
      </c>
      <c r="G1968" t="s">
        <v>1457</v>
      </c>
      <c r="H1968" t="s">
        <v>1458</v>
      </c>
      <c r="I1968" t="s">
        <v>85</v>
      </c>
      <c r="J1968">
        <v>33</v>
      </c>
      <c r="K1968" t="s">
        <v>81</v>
      </c>
      <c r="L1968" t="s">
        <v>97</v>
      </c>
      <c r="M1968" t="s">
        <v>57</v>
      </c>
      <c r="N1968" t="s">
        <v>2580</v>
      </c>
      <c r="O1968" t="s">
        <v>118</v>
      </c>
      <c r="P1968" t="s">
        <v>48</v>
      </c>
      <c r="Q1968" t="s">
        <v>142</v>
      </c>
      <c r="R1968">
        <v>4</v>
      </c>
      <c r="S1968">
        <v>3999</v>
      </c>
      <c r="T1968">
        <v>0.15</v>
      </c>
      <c r="U1968">
        <v>13596.6</v>
      </c>
      <c r="V1968">
        <v>9600</v>
      </c>
      <c r="W1968">
        <v>3996.6</v>
      </c>
      <c r="X1968" t="s">
        <v>74</v>
      </c>
      <c r="Y1968" t="s">
        <v>68</v>
      </c>
      <c r="Z1968" t="s">
        <v>161</v>
      </c>
      <c r="AA1968" t="s">
        <v>166</v>
      </c>
      <c r="AB1968">
        <v>4.0999999999999996</v>
      </c>
      <c r="AC1968">
        <v>80</v>
      </c>
      <c r="AD1968">
        <v>1513.41</v>
      </c>
      <c r="AE1968">
        <f t="shared" si="60"/>
        <v>2403.1899999999996</v>
      </c>
      <c r="AF1968" t="str">
        <f t="shared" si="61"/>
        <v>2025-09</v>
      </c>
      <c r="AG1968">
        <f>SUBTOTAL(103,A1968)</f>
        <v>1</v>
      </c>
    </row>
    <row r="1969" spans="1:33" x14ac:dyDescent="0.3">
      <c r="A1969" t="s">
        <v>4588</v>
      </c>
      <c r="B1969" s="13">
        <v>45906</v>
      </c>
      <c r="C1969">
        <v>2025</v>
      </c>
      <c r="D1969">
        <v>9</v>
      </c>
      <c r="E1969" t="s">
        <v>4552</v>
      </c>
      <c r="F1969" t="s">
        <v>4047</v>
      </c>
      <c r="G1969" t="s">
        <v>1999</v>
      </c>
      <c r="H1969" t="s">
        <v>2000</v>
      </c>
      <c r="I1969" t="s">
        <v>85</v>
      </c>
      <c r="J1969">
        <v>25</v>
      </c>
      <c r="K1969" t="s">
        <v>80</v>
      </c>
      <c r="L1969" t="s">
        <v>2661</v>
      </c>
      <c r="M1969" t="s">
        <v>58</v>
      </c>
      <c r="N1969" t="s">
        <v>2582</v>
      </c>
      <c r="O1969" t="s">
        <v>119</v>
      </c>
      <c r="P1969" t="s">
        <v>49</v>
      </c>
      <c r="Q1969" t="s">
        <v>140</v>
      </c>
      <c r="R1969">
        <v>1</v>
      </c>
      <c r="S1969">
        <v>3499</v>
      </c>
      <c r="T1969">
        <v>0.1</v>
      </c>
      <c r="U1969">
        <v>3149.1</v>
      </c>
      <c r="V1969">
        <v>2100</v>
      </c>
      <c r="W1969">
        <v>1049.0999999999999</v>
      </c>
      <c r="X1969" t="s">
        <v>73</v>
      </c>
      <c r="Y1969" t="s">
        <v>68</v>
      </c>
      <c r="Z1969" t="s">
        <v>158</v>
      </c>
      <c r="AA1969" t="s">
        <v>166</v>
      </c>
      <c r="AB1969">
        <v>4</v>
      </c>
      <c r="AC1969">
        <v>120</v>
      </c>
      <c r="AD1969">
        <v>281.56</v>
      </c>
      <c r="AE1969">
        <f t="shared" si="60"/>
        <v>647.54</v>
      </c>
      <c r="AF1969" t="str">
        <f t="shared" si="61"/>
        <v>2025-09</v>
      </c>
      <c r="AG1969">
        <f>SUBTOTAL(103,A1969)</f>
        <v>1</v>
      </c>
    </row>
    <row r="1970" spans="1:33" x14ac:dyDescent="0.3">
      <c r="A1970" t="s">
        <v>4589</v>
      </c>
      <c r="B1970" s="13">
        <v>45906</v>
      </c>
      <c r="C1970">
        <v>2025</v>
      </c>
      <c r="D1970">
        <v>9</v>
      </c>
      <c r="E1970" t="s">
        <v>4552</v>
      </c>
      <c r="F1970" t="s">
        <v>4047</v>
      </c>
      <c r="G1970" t="s">
        <v>477</v>
      </c>
      <c r="H1970" t="s">
        <v>478</v>
      </c>
      <c r="I1970" t="s">
        <v>86</v>
      </c>
      <c r="J1970">
        <v>59</v>
      </c>
      <c r="K1970" t="s">
        <v>83</v>
      </c>
      <c r="L1970" t="s">
        <v>99</v>
      </c>
      <c r="M1970" t="s">
        <v>58</v>
      </c>
      <c r="N1970" t="s">
        <v>2582</v>
      </c>
      <c r="O1970" t="s">
        <v>119</v>
      </c>
      <c r="P1970" t="s">
        <v>49</v>
      </c>
      <c r="Q1970" t="s">
        <v>140</v>
      </c>
      <c r="R1970">
        <v>1</v>
      </c>
      <c r="S1970">
        <v>3499</v>
      </c>
      <c r="T1970">
        <v>0.05</v>
      </c>
      <c r="U1970">
        <v>3324.05</v>
      </c>
      <c r="V1970">
        <v>2100</v>
      </c>
      <c r="W1970">
        <v>1224.05</v>
      </c>
      <c r="X1970" t="s">
        <v>77</v>
      </c>
      <c r="Y1970" t="s">
        <v>68</v>
      </c>
      <c r="Z1970" t="s">
        <v>159</v>
      </c>
      <c r="AA1970" t="s">
        <v>168</v>
      </c>
      <c r="AB1970">
        <v>4.0999999999999996</v>
      </c>
      <c r="AC1970">
        <v>50</v>
      </c>
      <c r="AD1970">
        <v>321.88</v>
      </c>
      <c r="AE1970">
        <f t="shared" si="60"/>
        <v>852.17</v>
      </c>
      <c r="AF1970" t="str">
        <f t="shared" si="61"/>
        <v>2025-09</v>
      </c>
      <c r="AG1970">
        <f>SUBTOTAL(103,A1970)</f>
        <v>1</v>
      </c>
    </row>
    <row r="1971" spans="1:33" x14ac:dyDescent="0.3">
      <c r="A1971" t="s">
        <v>4590</v>
      </c>
      <c r="B1971" s="13">
        <v>45906</v>
      </c>
      <c r="C1971">
        <v>2025</v>
      </c>
      <c r="D1971">
        <v>9</v>
      </c>
      <c r="E1971" t="s">
        <v>4552</v>
      </c>
      <c r="F1971" t="s">
        <v>4047</v>
      </c>
      <c r="G1971" t="s">
        <v>1569</v>
      </c>
      <c r="H1971" t="s">
        <v>1570</v>
      </c>
      <c r="I1971" t="s">
        <v>86</v>
      </c>
      <c r="J1971">
        <v>49</v>
      </c>
      <c r="K1971" t="s">
        <v>83</v>
      </c>
      <c r="L1971" t="s">
        <v>2623</v>
      </c>
      <c r="M1971" t="s">
        <v>61</v>
      </c>
      <c r="N1971" t="s">
        <v>2630</v>
      </c>
      <c r="O1971" t="s">
        <v>123</v>
      </c>
      <c r="P1971" t="s">
        <v>52</v>
      </c>
      <c r="Q1971" t="s">
        <v>146</v>
      </c>
      <c r="R1971">
        <v>4</v>
      </c>
      <c r="S1971">
        <v>2499</v>
      </c>
      <c r="T1971">
        <v>0.2</v>
      </c>
      <c r="U1971">
        <v>7996.8</v>
      </c>
      <c r="V1971">
        <v>5600</v>
      </c>
      <c r="W1971">
        <v>2396.8000000000002</v>
      </c>
      <c r="X1971" t="s">
        <v>73</v>
      </c>
      <c r="Y1971" t="s">
        <v>68</v>
      </c>
      <c r="Z1971" t="s">
        <v>158</v>
      </c>
      <c r="AA1971" t="s">
        <v>170</v>
      </c>
      <c r="AB1971">
        <v>4.8</v>
      </c>
      <c r="AC1971">
        <v>60</v>
      </c>
      <c r="AD1971">
        <v>293.06</v>
      </c>
      <c r="AE1971">
        <f t="shared" si="60"/>
        <v>2043.7400000000002</v>
      </c>
      <c r="AF1971" t="str">
        <f t="shared" si="61"/>
        <v>2025-09</v>
      </c>
      <c r="AG1971">
        <f>SUBTOTAL(103,A1971)</f>
        <v>1</v>
      </c>
    </row>
    <row r="1972" spans="1:33" x14ac:dyDescent="0.3">
      <c r="A1972" t="s">
        <v>4591</v>
      </c>
      <c r="B1972" s="13">
        <v>45906</v>
      </c>
      <c r="C1972">
        <v>2025</v>
      </c>
      <c r="D1972">
        <v>9</v>
      </c>
      <c r="E1972" t="s">
        <v>4552</v>
      </c>
      <c r="F1972" t="s">
        <v>4047</v>
      </c>
      <c r="G1972" t="s">
        <v>405</v>
      </c>
      <c r="H1972" t="s">
        <v>406</v>
      </c>
      <c r="I1972" t="s">
        <v>86</v>
      </c>
      <c r="J1972">
        <v>55</v>
      </c>
      <c r="K1972" t="s">
        <v>83</v>
      </c>
      <c r="L1972" t="s">
        <v>2646</v>
      </c>
      <c r="M1972" t="s">
        <v>63</v>
      </c>
      <c r="N1972" t="s">
        <v>2592</v>
      </c>
      <c r="O1972" t="s">
        <v>115</v>
      </c>
      <c r="P1972" t="s">
        <v>48</v>
      </c>
      <c r="Q1972" t="s">
        <v>137</v>
      </c>
      <c r="R1972">
        <v>3</v>
      </c>
      <c r="S1972">
        <v>12999</v>
      </c>
      <c r="T1972">
        <v>0.1</v>
      </c>
      <c r="U1972">
        <v>35097.300000000003</v>
      </c>
      <c r="V1972">
        <v>27000</v>
      </c>
      <c r="W1972">
        <v>8097.3</v>
      </c>
      <c r="X1972" t="s">
        <v>73</v>
      </c>
      <c r="Y1972" t="s">
        <v>68</v>
      </c>
      <c r="Z1972" t="s">
        <v>163</v>
      </c>
      <c r="AA1972" t="s">
        <v>170</v>
      </c>
      <c r="AB1972">
        <v>4.0999999999999996</v>
      </c>
      <c r="AC1972">
        <v>60</v>
      </c>
      <c r="AD1972">
        <v>3683.25</v>
      </c>
      <c r="AE1972">
        <f t="shared" si="60"/>
        <v>4354.05</v>
      </c>
      <c r="AF1972" t="str">
        <f t="shared" si="61"/>
        <v>2025-09</v>
      </c>
      <c r="AG1972">
        <f>SUBTOTAL(103,A1972)</f>
        <v>1</v>
      </c>
    </row>
    <row r="1973" spans="1:33" x14ac:dyDescent="0.3">
      <c r="A1973" t="s">
        <v>4592</v>
      </c>
      <c r="B1973" s="13">
        <v>45906</v>
      </c>
      <c r="C1973">
        <v>2025</v>
      </c>
      <c r="D1973">
        <v>9</v>
      </c>
      <c r="E1973" t="s">
        <v>4552</v>
      </c>
      <c r="F1973" t="s">
        <v>4047</v>
      </c>
      <c r="G1973" t="s">
        <v>1795</v>
      </c>
      <c r="H1973" t="s">
        <v>1796</v>
      </c>
      <c r="I1973" t="s">
        <v>86</v>
      </c>
      <c r="J1973">
        <v>48</v>
      </c>
      <c r="K1973" t="s">
        <v>83</v>
      </c>
      <c r="L1973" t="s">
        <v>96</v>
      </c>
      <c r="M1973" t="s">
        <v>55</v>
      </c>
      <c r="N1973" t="s">
        <v>2606</v>
      </c>
      <c r="O1973" t="s">
        <v>120</v>
      </c>
      <c r="P1973" t="s">
        <v>49</v>
      </c>
      <c r="Q1973" t="s">
        <v>140</v>
      </c>
      <c r="R1973">
        <v>2</v>
      </c>
      <c r="S1973">
        <v>2799</v>
      </c>
      <c r="T1973">
        <v>0.1</v>
      </c>
      <c r="U1973">
        <v>5038.2</v>
      </c>
      <c r="V1973">
        <v>3300</v>
      </c>
      <c r="W1973">
        <v>1738.2</v>
      </c>
      <c r="X1973" t="s">
        <v>75</v>
      </c>
      <c r="Y1973" t="s">
        <v>68</v>
      </c>
      <c r="Z1973" t="s">
        <v>159</v>
      </c>
      <c r="AA1973" t="s">
        <v>171</v>
      </c>
      <c r="AB1973">
        <v>3.7</v>
      </c>
      <c r="AC1973">
        <v>60</v>
      </c>
      <c r="AD1973">
        <v>345.38</v>
      </c>
      <c r="AE1973">
        <f t="shared" si="60"/>
        <v>1332.8200000000002</v>
      </c>
      <c r="AF1973" t="str">
        <f t="shared" si="61"/>
        <v>2025-09</v>
      </c>
      <c r="AG1973">
        <f>SUBTOTAL(103,A1973)</f>
        <v>1</v>
      </c>
    </row>
    <row r="1974" spans="1:33" x14ac:dyDescent="0.3">
      <c r="A1974" t="s">
        <v>4593</v>
      </c>
      <c r="B1974" s="13">
        <v>45907</v>
      </c>
      <c r="C1974">
        <v>2025</v>
      </c>
      <c r="D1974">
        <v>9</v>
      </c>
      <c r="E1974" t="s">
        <v>4552</v>
      </c>
      <c r="F1974" t="s">
        <v>4047</v>
      </c>
      <c r="G1974" t="s">
        <v>1601</v>
      </c>
      <c r="H1974" t="s">
        <v>1602</v>
      </c>
      <c r="I1974" t="s">
        <v>86</v>
      </c>
      <c r="J1974">
        <v>33</v>
      </c>
      <c r="K1974" t="s">
        <v>81</v>
      </c>
      <c r="L1974" t="s">
        <v>2674</v>
      </c>
      <c r="M1974" t="s">
        <v>58</v>
      </c>
      <c r="N1974" t="s">
        <v>2577</v>
      </c>
      <c r="O1974" t="s">
        <v>129</v>
      </c>
      <c r="P1974" t="s">
        <v>49</v>
      </c>
      <c r="Q1974" t="s">
        <v>149</v>
      </c>
      <c r="R1974">
        <v>4</v>
      </c>
      <c r="S1974">
        <v>1299</v>
      </c>
      <c r="T1974">
        <v>0.2</v>
      </c>
      <c r="U1974">
        <v>4156.8</v>
      </c>
      <c r="V1974">
        <v>2600</v>
      </c>
      <c r="W1974">
        <v>1556.8</v>
      </c>
      <c r="X1974" t="s">
        <v>73</v>
      </c>
      <c r="Y1974" t="s">
        <v>68</v>
      </c>
      <c r="Z1974" t="s">
        <v>160</v>
      </c>
      <c r="AA1974" t="s">
        <v>166</v>
      </c>
      <c r="AB1974">
        <v>4</v>
      </c>
      <c r="AC1974">
        <v>100</v>
      </c>
      <c r="AD1974">
        <v>345.29</v>
      </c>
      <c r="AE1974">
        <f t="shared" si="60"/>
        <v>1111.51</v>
      </c>
      <c r="AF1974" t="str">
        <f t="shared" si="61"/>
        <v>2025-09</v>
      </c>
      <c r="AG1974">
        <f>SUBTOTAL(103,A1974)</f>
        <v>1</v>
      </c>
    </row>
    <row r="1975" spans="1:33" x14ac:dyDescent="0.3">
      <c r="A1975" t="s">
        <v>4594</v>
      </c>
      <c r="B1975" s="13">
        <v>45907</v>
      </c>
      <c r="C1975">
        <v>2025</v>
      </c>
      <c r="D1975">
        <v>9</v>
      </c>
      <c r="E1975" t="s">
        <v>4552</v>
      </c>
      <c r="F1975" t="s">
        <v>4047</v>
      </c>
      <c r="G1975" t="s">
        <v>503</v>
      </c>
      <c r="H1975" t="s">
        <v>504</v>
      </c>
      <c r="I1975" t="s">
        <v>86</v>
      </c>
      <c r="J1975">
        <v>42</v>
      </c>
      <c r="K1975" t="s">
        <v>82</v>
      </c>
      <c r="L1975" t="s">
        <v>92</v>
      </c>
      <c r="M1975" t="s">
        <v>59</v>
      </c>
      <c r="N1975" t="s">
        <v>2601</v>
      </c>
      <c r="O1975" t="s">
        <v>117</v>
      </c>
      <c r="P1975" t="s">
        <v>49</v>
      </c>
      <c r="Q1975" t="s">
        <v>139</v>
      </c>
      <c r="R1975">
        <v>3</v>
      </c>
      <c r="S1975">
        <v>6999</v>
      </c>
      <c r="T1975">
        <v>0.15</v>
      </c>
      <c r="U1975">
        <v>17847.45</v>
      </c>
      <c r="V1975">
        <v>12900</v>
      </c>
      <c r="W1975">
        <v>4947.45</v>
      </c>
      <c r="X1975" t="s">
        <v>73</v>
      </c>
      <c r="Y1975" t="s">
        <v>68</v>
      </c>
      <c r="Z1975" t="s">
        <v>161</v>
      </c>
      <c r="AA1975" t="s">
        <v>168</v>
      </c>
      <c r="AB1975">
        <v>3.6</v>
      </c>
      <c r="AC1975">
        <v>80</v>
      </c>
      <c r="AD1975">
        <v>694.12</v>
      </c>
      <c r="AE1975">
        <f t="shared" si="60"/>
        <v>4173.33</v>
      </c>
      <c r="AF1975" t="str">
        <f t="shared" si="61"/>
        <v>2025-09</v>
      </c>
      <c r="AG1975">
        <f>SUBTOTAL(103,A1975)</f>
        <v>1</v>
      </c>
    </row>
    <row r="1976" spans="1:33" x14ac:dyDescent="0.3">
      <c r="A1976" t="s">
        <v>4595</v>
      </c>
      <c r="B1976" s="13">
        <v>45907</v>
      </c>
      <c r="C1976">
        <v>2025</v>
      </c>
      <c r="D1976">
        <v>9</v>
      </c>
      <c r="E1976" t="s">
        <v>4552</v>
      </c>
      <c r="F1976" t="s">
        <v>4047</v>
      </c>
      <c r="G1976" t="s">
        <v>377</v>
      </c>
      <c r="H1976" t="s">
        <v>378</v>
      </c>
      <c r="I1976" t="s">
        <v>85</v>
      </c>
      <c r="J1976">
        <v>23</v>
      </c>
      <c r="K1976" t="s">
        <v>80</v>
      </c>
      <c r="L1976" t="s">
        <v>2674</v>
      </c>
      <c r="M1976" t="s">
        <v>58</v>
      </c>
      <c r="N1976" t="s">
        <v>2601</v>
      </c>
      <c r="O1976" t="s">
        <v>117</v>
      </c>
      <c r="P1976" t="s">
        <v>49</v>
      </c>
      <c r="Q1976" t="s">
        <v>139</v>
      </c>
      <c r="R1976">
        <v>4</v>
      </c>
      <c r="S1976">
        <v>6999</v>
      </c>
      <c r="T1976">
        <v>0</v>
      </c>
      <c r="U1976">
        <v>27996</v>
      </c>
      <c r="V1976">
        <v>17200</v>
      </c>
      <c r="W1976">
        <v>10796</v>
      </c>
      <c r="X1976" t="s">
        <v>73</v>
      </c>
      <c r="Y1976" t="s">
        <v>68</v>
      </c>
      <c r="Z1976" t="s">
        <v>158</v>
      </c>
      <c r="AA1976" t="s">
        <v>169</v>
      </c>
      <c r="AB1976">
        <v>3.2</v>
      </c>
      <c r="AC1976">
        <v>100</v>
      </c>
      <c r="AD1976">
        <v>1419.27</v>
      </c>
      <c r="AE1976">
        <f t="shared" si="60"/>
        <v>9276.73</v>
      </c>
      <c r="AF1976" t="str">
        <f t="shared" si="61"/>
        <v>2025-09</v>
      </c>
      <c r="AG1976">
        <f>SUBTOTAL(103,A1976)</f>
        <v>1</v>
      </c>
    </row>
    <row r="1977" spans="1:33" x14ac:dyDescent="0.3">
      <c r="A1977" t="s">
        <v>4596</v>
      </c>
      <c r="B1977" s="13">
        <v>45908</v>
      </c>
      <c r="C1977">
        <v>2025</v>
      </c>
      <c r="D1977">
        <v>9</v>
      </c>
      <c r="E1977" t="s">
        <v>4552</v>
      </c>
      <c r="F1977" t="s">
        <v>4047</v>
      </c>
      <c r="G1977" t="s">
        <v>265</v>
      </c>
      <c r="H1977" t="s">
        <v>266</v>
      </c>
      <c r="I1977" t="s">
        <v>85</v>
      </c>
      <c r="J1977">
        <v>35</v>
      </c>
      <c r="K1977" t="s">
        <v>81</v>
      </c>
      <c r="L1977" t="s">
        <v>93</v>
      </c>
      <c r="M1977" t="s">
        <v>55</v>
      </c>
      <c r="N1977" t="s">
        <v>2592</v>
      </c>
      <c r="O1977" t="s">
        <v>115</v>
      </c>
      <c r="P1977" t="s">
        <v>48</v>
      </c>
      <c r="Q1977" t="s">
        <v>137</v>
      </c>
      <c r="R1977">
        <v>4</v>
      </c>
      <c r="S1977">
        <v>12999</v>
      </c>
      <c r="T1977">
        <v>0.15</v>
      </c>
      <c r="U1977">
        <v>44196.6</v>
      </c>
      <c r="V1977">
        <v>36000</v>
      </c>
      <c r="W1977">
        <v>8196.6</v>
      </c>
      <c r="X1977" t="s">
        <v>75</v>
      </c>
      <c r="Y1977" t="s">
        <v>68</v>
      </c>
      <c r="Z1977" t="s">
        <v>158</v>
      </c>
      <c r="AA1977" t="s">
        <v>170</v>
      </c>
      <c r="AB1977">
        <v>4.4000000000000004</v>
      </c>
      <c r="AC1977">
        <v>100</v>
      </c>
      <c r="AD1977">
        <v>2455.5500000000002</v>
      </c>
      <c r="AE1977">
        <f t="shared" si="60"/>
        <v>5641.05</v>
      </c>
      <c r="AF1977" t="str">
        <f t="shared" si="61"/>
        <v>2025-09</v>
      </c>
      <c r="AG1977">
        <f>SUBTOTAL(103,A1977)</f>
        <v>1</v>
      </c>
    </row>
    <row r="1978" spans="1:33" x14ac:dyDescent="0.3">
      <c r="A1978" t="s">
        <v>4597</v>
      </c>
      <c r="B1978" s="13">
        <v>45908</v>
      </c>
      <c r="C1978">
        <v>2025</v>
      </c>
      <c r="D1978">
        <v>9</v>
      </c>
      <c r="E1978" t="s">
        <v>4552</v>
      </c>
      <c r="F1978" t="s">
        <v>4047</v>
      </c>
      <c r="G1978" t="s">
        <v>2057</v>
      </c>
      <c r="H1978" t="s">
        <v>2058</v>
      </c>
      <c r="I1978" t="s">
        <v>85</v>
      </c>
      <c r="J1978">
        <v>34</v>
      </c>
      <c r="K1978" t="s">
        <v>81</v>
      </c>
      <c r="L1978" t="s">
        <v>2623</v>
      </c>
      <c r="M1978" t="s">
        <v>61</v>
      </c>
      <c r="N1978" t="s">
        <v>2590</v>
      </c>
      <c r="O1978" t="s">
        <v>127</v>
      </c>
      <c r="P1978" t="s">
        <v>51</v>
      </c>
      <c r="Q1978" t="s">
        <v>148</v>
      </c>
      <c r="R1978">
        <v>3</v>
      </c>
      <c r="S1978">
        <v>1599</v>
      </c>
      <c r="T1978">
        <v>0</v>
      </c>
      <c r="U1978">
        <v>4797</v>
      </c>
      <c r="V1978">
        <v>2400</v>
      </c>
      <c r="W1978">
        <v>2397</v>
      </c>
      <c r="X1978" t="s">
        <v>73</v>
      </c>
      <c r="Y1978" t="s">
        <v>68</v>
      </c>
      <c r="Z1978" t="s">
        <v>162</v>
      </c>
      <c r="AA1978" t="s">
        <v>170</v>
      </c>
      <c r="AB1978">
        <v>4</v>
      </c>
      <c r="AC1978">
        <v>60</v>
      </c>
      <c r="AD1978">
        <v>511.57</v>
      </c>
      <c r="AE1978">
        <f t="shared" si="60"/>
        <v>1825.43</v>
      </c>
      <c r="AF1978" t="str">
        <f t="shared" si="61"/>
        <v>2025-09</v>
      </c>
      <c r="AG1978">
        <f>SUBTOTAL(103,A1978)</f>
        <v>1</v>
      </c>
    </row>
    <row r="1979" spans="1:33" x14ac:dyDescent="0.3">
      <c r="A1979" t="s">
        <v>4598</v>
      </c>
      <c r="B1979" s="13">
        <v>45908</v>
      </c>
      <c r="C1979">
        <v>2025</v>
      </c>
      <c r="D1979">
        <v>9</v>
      </c>
      <c r="E1979" t="s">
        <v>4552</v>
      </c>
      <c r="F1979" t="s">
        <v>4047</v>
      </c>
      <c r="G1979" t="s">
        <v>705</v>
      </c>
      <c r="H1979" t="s">
        <v>706</v>
      </c>
      <c r="I1979" t="s">
        <v>85</v>
      </c>
      <c r="J1979">
        <v>31</v>
      </c>
      <c r="K1979" t="s">
        <v>81</v>
      </c>
      <c r="L1979" t="s">
        <v>2573</v>
      </c>
      <c r="M1979" t="s">
        <v>63</v>
      </c>
      <c r="N1979" t="s">
        <v>2601</v>
      </c>
      <c r="O1979" t="s">
        <v>117</v>
      </c>
      <c r="P1979" t="s">
        <v>49</v>
      </c>
      <c r="Q1979" t="s">
        <v>139</v>
      </c>
      <c r="R1979">
        <v>3</v>
      </c>
      <c r="S1979">
        <v>6999</v>
      </c>
      <c r="T1979">
        <v>0.05</v>
      </c>
      <c r="U1979">
        <v>19947.150000000001</v>
      </c>
      <c r="V1979">
        <v>12900</v>
      </c>
      <c r="W1979">
        <v>7047.15</v>
      </c>
      <c r="X1979" t="s">
        <v>75</v>
      </c>
      <c r="Y1979" t="s">
        <v>68</v>
      </c>
      <c r="Z1979" t="s">
        <v>161</v>
      </c>
      <c r="AA1979" t="s">
        <v>169</v>
      </c>
      <c r="AB1979">
        <v>3.7</v>
      </c>
      <c r="AC1979">
        <v>120</v>
      </c>
      <c r="AD1979">
        <v>1453.53</v>
      </c>
      <c r="AE1979">
        <f t="shared" si="60"/>
        <v>5473.62</v>
      </c>
      <c r="AF1979" t="str">
        <f t="shared" si="61"/>
        <v>2025-09</v>
      </c>
      <c r="AG1979">
        <f>SUBTOTAL(103,A1979)</f>
        <v>1</v>
      </c>
    </row>
    <row r="1980" spans="1:33" x14ac:dyDescent="0.3">
      <c r="A1980" t="s">
        <v>4599</v>
      </c>
      <c r="B1980" s="13">
        <v>45908</v>
      </c>
      <c r="C1980">
        <v>2025</v>
      </c>
      <c r="D1980">
        <v>9</v>
      </c>
      <c r="E1980" t="s">
        <v>4552</v>
      </c>
      <c r="F1980" t="s">
        <v>4047</v>
      </c>
      <c r="G1980" t="s">
        <v>677</v>
      </c>
      <c r="H1980" t="s">
        <v>678</v>
      </c>
      <c r="I1980" t="s">
        <v>86</v>
      </c>
      <c r="J1980">
        <v>59</v>
      </c>
      <c r="K1980" t="s">
        <v>83</v>
      </c>
      <c r="L1980" t="s">
        <v>92</v>
      </c>
      <c r="M1980" t="s">
        <v>59</v>
      </c>
      <c r="N1980" t="s">
        <v>2647</v>
      </c>
      <c r="O1980" t="s">
        <v>133</v>
      </c>
      <c r="P1980" t="s">
        <v>50</v>
      </c>
      <c r="Q1980" t="s">
        <v>145</v>
      </c>
      <c r="R1980">
        <v>2</v>
      </c>
      <c r="S1980">
        <v>799</v>
      </c>
      <c r="T1980">
        <v>0.1</v>
      </c>
      <c r="U1980">
        <v>1438.2</v>
      </c>
      <c r="V1980">
        <v>780</v>
      </c>
      <c r="W1980">
        <v>658.2</v>
      </c>
      <c r="X1980" t="s">
        <v>77</v>
      </c>
      <c r="Y1980" t="s">
        <v>68</v>
      </c>
      <c r="Z1980" t="s">
        <v>162</v>
      </c>
      <c r="AA1980" t="s">
        <v>168</v>
      </c>
      <c r="AB1980">
        <v>2.6</v>
      </c>
      <c r="AC1980">
        <v>60</v>
      </c>
      <c r="AD1980">
        <v>121.09</v>
      </c>
      <c r="AE1980">
        <f t="shared" si="60"/>
        <v>477.11</v>
      </c>
      <c r="AF1980" t="str">
        <f t="shared" si="61"/>
        <v>2025-09</v>
      </c>
      <c r="AG1980">
        <f>SUBTOTAL(103,A1980)</f>
        <v>1</v>
      </c>
    </row>
    <row r="1981" spans="1:33" x14ac:dyDescent="0.3">
      <c r="A1981" t="s">
        <v>4600</v>
      </c>
      <c r="B1981" s="13">
        <v>45908</v>
      </c>
      <c r="C1981">
        <v>2025</v>
      </c>
      <c r="D1981">
        <v>9</v>
      </c>
      <c r="E1981" t="s">
        <v>4552</v>
      </c>
      <c r="F1981" t="s">
        <v>4047</v>
      </c>
      <c r="G1981" t="s">
        <v>785</v>
      </c>
      <c r="H1981" t="s">
        <v>786</v>
      </c>
      <c r="I1981" t="s">
        <v>85</v>
      </c>
      <c r="J1981">
        <v>51</v>
      </c>
      <c r="K1981" t="s">
        <v>83</v>
      </c>
      <c r="L1981" t="s">
        <v>98</v>
      </c>
      <c r="M1981" t="s">
        <v>55</v>
      </c>
      <c r="N1981" t="s">
        <v>2653</v>
      </c>
      <c r="O1981" t="s">
        <v>132</v>
      </c>
      <c r="P1981" t="s">
        <v>52</v>
      </c>
      <c r="Q1981" t="s">
        <v>150</v>
      </c>
      <c r="R1981">
        <v>4</v>
      </c>
      <c r="S1981">
        <v>899</v>
      </c>
      <c r="T1981">
        <v>0.05</v>
      </c>
      <c r="U1981">
        <v>3416.2</v>
      </c>
      <c r="V1981">
        <v>1680</v>
      </c>
      <c r="W1981">
        <v>1736.2</v>
      </c>
      <c r="X1981" t="s">
        <v>73</v>
      </c>
      <c r="Y1981" t="s">
        <v>68</v>
      </c>
      <c r="Z1981" t="s">
        <v>158</v>
      </c>
      <c r="AA1981" t="s">
        <v>169</v>
      </c>
      <c r="AB1981">
        <v>3.6</v>
      </c>
      <c r="AC1981">
        <v>80</v>
      </c>
      <c r="AD1981">
        <v>156.59</v>
      </c>
      <c r="AE1981">
        <f t="shared" si="60"/>
        <v>1499.6100000000001</v>
      </c>
      <c r="AF1981" t="str">
        <f t="shared" si="61"/>
        <v>2025-09</v>
      </c>
      <c r="AG1981">
        <f>SUBTOTAL(103,A1981)</f>
        <v>1</v>
      </c>
    </row>
    <row r="1982" spans="1:33" x14ac:dyDescent="0.3">
      <c r="A1982" t="s">
        <v>4601</v>
      </c>
      <c r="B1982" s="13">
        <v>45908</v>
      </c>
      <c r="C1982">
        <v>2025</v>
      </c>
      <c r="D1982">
        <v>9</v>
      </c>
      <c r="E1982" t="s">
        <v>4552</v>
      </c>
      <c r="F1982" t="s">
        <v>4047</v>
      </c>
      <c r="G1982" t="s">
        <v>245</v>
      </c>
      <c r="H1982" t="s">
        <v>246</v>
      </c>
      <c r="I1982" t="s">
        <v>85</v>
      </c>
      <c r="J1982">
        <v>53</v>
      </c>
      <c r="K1982" t="s">
        <v>83</v>
      </c>
      <c r="L1982" t="s">
        <v>90</v>
      </c>
      <c r="M1982" t="s">
        <v>55</v>
      </c>
      <c r="N1982" t="s">
        <v>2596</v>
      </c>
      <c r="O1982" t="s">
        <v>124</v>
      </c>
      <c r="P1982" t="s">
        <v>51</v>
      </c>
      <c r="Q1982" t="s">
        <v>147</v>
      </c>
      <c r="R1982">
        <v>2</v>
      </c>
      <c r="S1982">
        <v>2299</v>
      </c>
      <c r="T1982">
        <v>0.15</v>
      </c>
      <c r="U1982">
        <v>3908.3</v>
      </c>
      <c r="V1982">
        <v>2400</v>
      </c>
      <c r="W1982">
        <v>1508.3</v>
      </c>
      <c r="X1982" t="s">
        <v>73</v>
      </c>
      <c r="Y1982" t="s">
        <v>68</v>
      </c>
      <c r="Z1982" t="s">
        <v>158</v>
      </c>
      <c r="AA1982" t="s">
        <v>166</v>
      </c>
      <c r="AB1982">
        <v>2.9</v>
      </c>
      <c r="AC1982">
        <v>60</v>
      </c>
      <c r="AD1982">
        <v>229.92</v>
      </c>
      <c r="AE1982">
        <f t="shared" si="60"/>
        <v>1218.3799999999999</v>
      </c>
      <c r="AF1982" t="str">
        <f t="shared" si="61"/>
        <v>2025-09</v>
      </c>
      <c r="AG1982">
        <f>SUBTOTAL(103,A1982)</f>
        <v>1</v>
      </c>
    </row>
    <row r="1983" spans="1:33" x14ac:dyDescent="0.3">
      <c r="A1983" t="s">
        <v>4602</v>
      </c>
      <c r="B1983" s="13">
        <v>45909</v>
      </c>
      <c r="C1983">
        <v>2025</v>
      </c>
      <c r="D1983">
        <v>9</v>
      </c>
      <c r="E1983" t="s">
        <v>4552</v>
      </c>
      <c r="F1983" t="s">
        <v>4047</v>
      </c>
      <c r="G1983" t="s">
        <v>1713</v>
      </c>
      <c r="H1983" t="s">
        <v>1714</v>
      </c>
      <c r="I1983" t="s">
        <v>87</v>
      </c>
      <c r="J1983">
        <v>54</v>
      </c>
      <c r="K1983" t="s">
        <v>83</v>
      </c>
      <c r="L1983" t="s">
        <v>2690</v>
      </c>
      <c r="M1983" t="s">
        <v>63</v>
      </c>
      <c r="N1983" t="s">
        <v>2594</v>
      </c>
      <c r="O1983" t="s">
        <v>131</v>
      </c>
      <c r="P1983" t="s">
        <v>53</v>
      </c>
      <c r="Q1983" t="s">
        <v>143</v>
      </c>
      <c r="R1983">
        <v>2</v>
      </c>
      <c r="S1983">
        <v>999</v>
      </c>
      <c r="T1983">
        <v>0</v>
      </c>
      <c r="U1983">
        <v>1998</v>
      </c>
      <c r="V1983">
        <v>1040</v>
      </c>
      <c r="W1983">
        <v>958</v>
      </c>
      <c r="X1983" t="s">
        <v>76</v>
      </c>
      <c r="Y1983" t="s">
        <v>68</v>
      </c>
      <c r="Z1983" t="s">
        <v>158</v>
      </c>
      <c r="AA1983" t="s">
        <v>167</v>
      </c>
      <c r="AB1983">
        <v>4.2</v>
      </c>
      <c r="AC1983">
        <v>40</v>
      </c>
      <c r="AD1983">
        <v>110.78</v>
      </c>
      <c r="AE1983">
        <f t="shared" si="60"/>
        <v>807.22</v>
      </c>
      <c r="AF1983" t="str">
        <f t="shared" si="61"/>
        <v>2025-09</v>
      </c>
      <c r="AG1983">
        <f>SUBTOTAL(103,A1983)</f>
        <v>1</v>
      </c>
    </row>
    <row r="1984" spans="1:33" x14ac:dyDescent="0.3">
      <c r="A1984" t="s">
        <v>4603</v>
      </c>
      <c r="B1984" s="13">
        <v>45909</v>
      </c>
      <c r="C1984">
        <v>2025</v>
      </c>
      <c r="D1984">
        <v>9</v>
      </c>
      <c r="E1984" t="s">
        <v>4552</v>
      </c>
      <c r="F1984" t="s">
        <v>4047</v>
      </c>
      <c r="G1984" t="s">
        <v>335</v>
      </c>
      <c r="H1984" t="s">
        <v>336</v>
      </c>
      <c r="I1984" t="s">
        <v>86</v>
      </c>
      <c r="J1984">
        <v>26</v>
      </c>
      <c r="K1984" t="s">
        <v>81</v>
      </c>
      <c r="L1984" t="s">
        <v>2605</v>
      </c>
      <c r="M1984" t="s">
        <v>60</v>
      </c>
      <c r="N1984" t="s">
        <v>2601</v>
      </c>
      <c r="O1984" t="s">
        <v>117</v>
      </c>
      <c r="P1984" t="s">
        <v>49</v>
      </c>
      <c r="Q1984" t="s">
        <v>139</v>
      </c>
      <c r="R1984">
        <v>3</v>
      </c>
      <c r="S1984">
        <v>6999</v>
      </c>
      <c r="T1984">
        <v>0</v>
      </c>
      <c r="U1984">
        <v>20997</v>
      </c>
      <c r="V1984">
        <v>12900</v>
      </c>
      <c r="W1984">
        <v>8097</v>
      </c>
      <c r="X1984" t="s">
        <v>73</v>
      </c>
      <c r="Y1984" t="s">
        <v>68</v>
      </c>
      <c r="Z1984" t="s">
        <v>162</v>
      </c>
      <c r="AA1984" t="s">
        <v>167</v>
      </c>
      <c r="AB1984">
        <v>3.3</v>
      </c>
      <c r="AC1984">
        <v>60</v>
      </c>
      <c r="AD1984">
        <v>422.16</v>
      </c>
      <c r="AE1984">
        <f t="shared" si="60"/>
        <v>7614.84</v>
      </c>
      <c r="AF1984" t="str">
        <f t="shared" si="61"/>
        <v>2025-09</v>
      </c>
      <c r="AG1984">
        <f>SUBTOTAL(103,A1984)</f>
        <v>1</v>
      </c>
    </row>
    <row r="1985" spans="1:33" x14ac:dyDescent="0.3">
      <c r="A1985" t="s">
        <v>4604</v>
      </c>
      <c r="B1985" s="13">
        <v>45910</v>
      </c>
      <c r="C1985">
        <v>2025</v>
      </c>
      <c r="D1985">
        <v>9</v>
      </c>
      <c r="E1985" t="s">
        <v>4552</v>
      </c>
      <c r="F1985" t="s">
        <v>4047</v>
      </c>
      <c r="G1985" t="s">
        <v>1005</v>
      </c>
      <c r="H1985" t="s">
        <v>1006</v>
      </c>
      <c r="I1985" t="s">
        <v>85</v>
      </c>
      <c r="J1985">
        <v>47</v>
      </c>
      <c r="K1985" t="s">
        <v>83</v>
      </c>
      <c r="L1985" t="s">
        <v>97</v>
      </c>
      <c r="M1985" t="s">
        <v>57</v>
      </c>
      <c r="N1985" t="s">
        <v>2606</v>
      </c>
      <c r="O1985" t="s">
        <v>120</v>
      </c>
      <c r="P1985" t="s">
        <v>49</v>
      </c>
      <c r="Q1985" t="s">
        <v>140</v>
      </c>
      <c r="R1985">
        <v>3</v>
      </c>
      <c r="S1985">
        <v>2799</v>
      </c>
      <c r="T1985">
        <v>0.25</v>
      </c>
      <c r="U1985">
        <v>6297.75</v>
      </c>
      <c r="V1985">
        <v>4950</v>
      </c>
      <c r="W1985">
        <v>1347.75</v>
      </c>
      <c r="X1985" t="s">
        <v>73</v>
      </c>
      <c r="Y1985" t="s">
        <v>68</v>
      </c>
      <c r="Z1985" t="s">
        <v>158</v>
      </c>
      <c r="AA1985" t="s">
        <v>171</v>
      </c>
      <c r="AB1985">
        <v>4.8</v>
      </c>
      <c r="AC1985">
        <v>50</v>
      </c>
      <c r="AD1985">
        <v>563.35</v>
      </c>
      <c r="AE1985">
        <f t="shared" si="60"/>
        <v>734.4</v>
      </c>
      <c r="AF1985" t="str">
        <f t="shared" si="61"/>
        <v>2025-09</v>
      </c>
      <c r="AG1985">
        <f>SUBTOTAL(103,A1985)</f>
        <v>1</v>
      </c>
    </row>
    <row r="1986" spans="1:33" x14ac:dyDescent="0.3">
      <c r="A1986" t="s">
        <v>4605</v>
      </c>
      <c r="B1986" s="13">
        <v>45910</v>
      </c>
      <c r="C1986">
        <v>2025</v>
      </c>
      <c r="D1986">
        <v>9</v>
      </c>
      <c r="E1986" t="s">
        <v>4552</v>
      </c>
      <c r="F1986" t="s">
        <v>4047</v>
      </c>
      <c r="G1986" t="s">
        <v>799</v>
      </c>
      <c r="H1986" t="s">
        <v>800</v>
      </c>
      <c r="I1986" t="s">
        <v>85</v>
      </c>
      <c r="J1986">
        <v>19</v>
      </c>
      <c r="K1986" t="s">
        <v>80</v>
      </c>
      <c r="L1986" t="s">
        <v>2579</v>
      </c>
      <c r="M1986" t="s">
        <v>56</v>
      </c>
      <c r="N1986" t="s">
        <v>2657</v>
      </c>
      <c r="O1986" t="s">
        <v>134</v>
      </c>
      <c r="P1986" t="s">
        <v>49</v>
      </c>
      <c r="Q1986" t="s">
        <v>140</v>
      </c>
      <c r="R1986">
        <v>1</v>
      </c>
      <c r="S1986">
        <v>599</v>
      </c>
      <c r="T1986">
        <v>0.2</v>
      </c>
      <c r="U1986">
        <v>479.2</v>
      </c>
      <c r="V1986">
        <v>250</v>
      </c>
      <c r="W1986">
        <v>229.2</v>
      </c>
      <c r="X1986" t="s">
        <v>75</v>
      </c>
      <c r="Y1986" t="s">
        <v>68</v>
      </c>
      <c r="Z1986" t="s">
        <v>160</v>
      </c>
      <c r="AA1986" t="s">
        <v>166</v>
      </c>
      <c r="AB1986">
        <v>3.6</v>
      </c>
      <c r="AC1986">
        <v>120</v>
      </c>
      <c r="AD1986">
        <v>26.26</v>
      </c>
      <c r="AE1986">
        <f t="shared" ref="AE1986:AE2049" si="62">W1986-AC1986-AD1986</f>
        <v>82.939999999999984</v>
      </c>
      <c r="AF1986" t="str">
        <f t="shared" ref="AF1986:AF2049" si="63">C1986&amp;"-"&amp;TEXT(D1986,"00")</f>
        <v>2025-09</v>
      </c>
      <c r="AG1986">
        <f>SUBTOTAL(103,A1986)</f>
        <v>1</v>
      </c>
    </row>
    <row r="1987" spans="1:33" x14ac:dyDescent="0.3">
      <c r="A1987" t="s">
        <v>4606</v>
      </c>
      <c r="B1987" s="13">
        <v>45910</v>
      </c>
      <c r="C1987">
        <v>2025</v>
      </c>
      <c r="D1987">
        <v>9</v>
      </c>
      <c r="E1987" t="s">
        <v>4552</v>
      </c>
      <c r="F1987" t="s">
        <v>4047</v>
      </c>
      <c r="G1987" t="s">
        <v>1593</v>
      </c>
      <c r="H1987" t="s">
        <v>1594</v>
      </c>
      <c r="I1987" t="s">
        <v>86</v>
      </c>
      <c r="J1987">
        <v>33</v>
      </c>
      <c r="K1987" t="s">
        <v>81</v>
      </c>
      <c r="L1987" t="s">
        <v>2674</v>
      </c>
      <c r="M1987" t="s">
        <v>58</v>
      </c>
      <c r="N1987" t="s">
        <v>2603</v>
      </c>
      <c r="O1987" t="s">
        <v>122</v>
      </c>
      <c r="P1987" t="s">
        <v>48</v>
      </c>
      <c r="Q1987" t="s">
        <v>141</v>
      </c>
      <c r="R1987">
        <v>4</v>
      </c>
      <c r="S1987">
        <v>2499</v>
      </c>
      <c r="T1987">
        <v>0.2</v>
      </c>
      <c r="U1987">
        <v>0</v>
      </c>
      <c r="V1987">
        <v>0</v>
      </c>
      <c r="W1987">
        <v>0</v>
      </c>
      <c r="X1987" t="s">
        <v>73</v>
      </c>
      <c r="Y1987" t="s">
        <v>71</v>
      </c>
      <c r="Z1987" t="s">
        <v>163</v>
      </c>
      <c r="AA1987" t="s">
        <v>167</v>
      </c>
      <c r="AB1987">
        <v>3.7</v>
      </c>
      <c r="AC1987">
        <v>80</v>
      </c>
      <c r="AD1987">
        <v>825.66</v>
      </c>
      <c r="AE1987">
        <f t="shared" si="62"/>
        <v>-905.66</v>
      </c>
      <c r="AF1987" t="str">
        <f t="shared" si="63"/>
        <v>2025-09</v>
      </c>
      <c r="AG1987">
        <f>SUBTOTAL(103,A1987)</f>
        <v>1</v>
      </c>
    </row>
    <row r="1988" spans="1:33" x14ac:dyDescent="0.3">
      <c r="A1988" t="s">
        <v>4607</v>
      </c>
      <c r="B1988" s="13">
        <v>45910</v>
      </c>
      <c r="C1988">
        <v>2025</v>
      </c>
      <c r="D1988">
        <v>9</v>
      </c>
      <c r="E1988" t="s">
        <v>4552</v>
      </c>
      <c r="F1988" t="s">
        <v>4047</v>
      </c>
      <c r="G1988" t="s">
        <v>1467</v>
      </c>
      <c r="H1988" t="s">
        <v>1468</v>
      </c>
      <c r="I1988" t="s">
        <v>86</v>
      </c>
      <c r="J1988">
        <v>43</v>
      </c>
      <c r="K1988" t="s">
        <v>82</v>
      </c>
      <c r="L1988" t="s">
        <v>2599</v>
      </c>
      <c r="M1988" t="s">
        <v>62</v>
      </c>
      <c r="N1988" t="s">
        <v>2577</v>
      </c>
      <c r="O1988" t="s">
        <v>129</v>
      </c>
      <c r="P1988" t="s">
        <v>49</v>
      </c>
      <c r="Q1988" t="s">
        <v>149</v>
      </c>
      <c r="R1988">
        <v>2</v>
      </c>
      <c r="S1988">
        <v>1299</v>
      </c>
      <c r="T1988">
        <v>0</v>
      </c>
      <c r="U1988">
        <v>2598</v>
      </c>
      <c r="V1988">
        <v>1300</v>
      </c>
      <c r="W1988">
        <v>1298</v>
      </c>
      <c r="X1988" t="s">
        <v>73</v>
      </c>
      <c r="Y1988" t="s">
        <v>68</v>
      </c>
      <c r="Z1988" t="s">
        <v>161</v>
      </c>
      <c r="AA1988" t="s">
        <v>166</v>
      </c>
      <c r="AB1988">
        <v>4.2</v>
      </c>
      <c r="AC1988">
        <v>50</v>
      </c>
      <c r="AD1988">
        <v>247.16</v>
      </c>
      <c r="AE1988">
        <f t="shared" si="62"/>
        <v>1000.84</v>
      </c>
      <c r="AF1988" t="str">
        <f t="shared" si="63"/>
        <v>2025-09</v>
      </c>
      <c r="AG1988">
        <f>SUBTOTAL(103,A1988)</f>
        <v>1</v>
      </c>
    </row>
    <row r="1989" spans="1:33" x14ac:dyDescent="0.3">
      <c r="A1989" t="s">
        <v>4608</v>
      </c>
      <c r="B1989" s="13">
        <v>45910</v>
      </c>
      <c r="C1989">
        <v>2025</v>
      </c>
      <c r="D1989">
        <v>9</v>
      </c>
      <c r="E1989" t="s">
        <v>4552</v>
      </c>
      <c r="F1989" t="s">
        <v>4047</v>
      </c>
      <c r="G1989" t="s">
        <v>743</v>
      </c>
      <c r="H1989" t="s">
        <v>744</v>
      </c>
      <c r="I1989" t="s">
        <v>86</v>
      </c>
      <c r="J1989">
        <v>41</v>
      </c>
      <c r="K1989" t="s">
        <v>82</v>
      </c>
      <c r="L1989" t="s">
        <v>95</v>
      </c>
      <c r="M1989" t="s">
        <v>56</v>
      </c>
      <c r="N1989" t="s">
        <v>2580</v>
      </c>
      <c r="O1989" t="s">
        <v>118</v>
      </c>
      <c r="P1989" t="s">
        <v>48</v>
      </c>
      <c r="Q1989" t="s">
        <v>142</v>
      </c>
      <c r="R1989">
        <v>2</v>
      </c>
      <c r="S1989">
        <v>3999</v>
      </c>
      <c r="T1989">
        <v>0.05</v>
      </c>
      <c r="U1989">
        <v>7598.1</v>
      </c>
      <c r="V1989">
        <v>4800</v>
      </c>
      <c r="W1989">
        <v>2798.1</v>
      </c>
      <c r="X1989" t="s">
        <v>74</v>
      </c>
      <c r="Y1989" t="s">
        <v>68</v>
      </c>
      <c r="Z1989" t="s">
        <v>159</v>
      </c>
      <c r="AA1989" t="s">
        <v>168</v>
      </c>
      <c r="AB1989">
        <v>4.9000000000000004</v>
      </c>
      <c r="AC1989">
        <v>50</v>
      </c>
      <c r="AD1989">
        <v>673.01</v>
      </c>
      <c r="AE1989">
        <f t="shared" si="62"/>
        <v>2075.09</v>
      </c>
      <c r="AF1989" t="str">
        <f t="shared" si="63"/>
        <v>2025-09</v>
      </c>
      <c r="AG1989">
        <f>SUBTOTAL(103,A1989)</f>
        <v>1</v>
      </c>
    </row>
    <row r="1990" spans="1:33" x14ac:dyDescent="0.3">
      <c r="A1990" t="s">
        <v>4609</v>
      </c>
      <c r="B1990" s="13">
        <v>45910</v>
      </c>
      <c r="C1990">
        <v>2025</v>
      </c>
      <c r="D1990">
        <v>9</v>
      </c>
      <c r="E1990" t="s">
        <v>4552</v>
      </c>
      <c r="F1990" t="s">
        <v>4047</v>
      </c>
      <c r="G1990" t="s">
        <v>939</v>
      </c>
      <c r="H1990" t="s">
        <v>940</v>
      </c>
      <c r="I1990" t="s">
        <v>85</v>
      </c>
      <c r="J1990">
        <v>35</v>
      </c>
      <c r="K1990" t="s">
        <v>81</v>
      </c>
      <c r="L1990" t="s">
        <v>97</v>
      </c>
      <c r="M1990" t="s">
        <v>57</v>
      </c>
      <c r="N1990" t="s">
        <v>2653</v>
      </c>
      <c r="O1990" t="s">
        <v>132</v>
      </c>
      <c r="P1990" t="s">
        <v>52</v>
      </c>
      <c r="Q1990" t="s">
        <v>150</v>
      </c>
      <c r="R1990">
        <v>1</v>
      </c>
      <c r="S1990">
        <v>899</v>
      </c>
      <c r="T1990">
        <v>0.05</v>
      </c>
      <c r="U1990">
        <v>854.05</v>
      </c>
      <c r="V1990">
        <v>420</v>
      </c>
      <c r="W1990">
        <v>434.05</v>
      </c>
      <c r="X1990" t="s">
        <v>73</v>
      </c>
      <c r="Y1990" t="s">
        <v>68</v>
      </c>
      <c r="Z1990" t="s">
        <v>159</v>
      </c>
      <c r="AA1990" t="s">
        <v>168</v>
      </c>
      <c r="AB1990">
        <v>4</v>
      </c>
      <c r="AC1990">
        <v>120</v>
      </c>
      <c r="AD1990">
        <v>71.12</v>
      </c>
      <c r="AE1990">
        <f t="shared" si="62"/>
        <v>242.93</v>
      </c>
      <c r="AF1990" t="str">
        <f t="shared" si="63"/>
        <v>2025-09</v>
      </c>
      <c r="AG1990">
        <f>SUBTOTAL(103,A1990)</f>
        <v>1</v>
      </c>
    </row>
    <row r="1991" spans="1:33" x14ac:dyDescent="0.3">
      <c r="A1991" t="s">
        <v>4610</v>
      </c>
      <c r="B1991" s="13">
        <v>45910</v>
      </c>
      <c r="C1991">
        <v>2025</v>
      </c>
      <c r="D1991">
        <v>9</v>
      </c>
      <c r="E1991" t="s">
        <v>4552</v>
      </c>
      <c r="F1991" t="s">
        <v>4047</v>
      </c>
      <c r="G1991" t="s">
        <v>1575</v>
      </c>
      <c r="H1991" t="s">
        <v>1576</v>
      </c>
      <c r="I1991" t="s">
        <v>86</v>
      </c>
      <c r="J1991">
        <v>30</v>
      </c>
      <c r="K1991" t="s">
        <v>81</v>
      </c>
      <c r="L1991" t="s">
        <v>2599</v>
      </c>
      <c r="M1991" t="s">
        <v>62</v>
      </c>
      <c r="N1991" t="s">
        <v>2657</v>
      </c>
      <c r="O1991" t="s">
        <v>134</v>
      </c>
      <c r="P1991" t="s">
        <v>49</v>
      </c>
      <c r="Q1991" t="s">
        <v>140</v>
      </c>
      <c r="R1991">
        <v>2</v>
      </c>
      <c r="S1991">
        <v>599</v>
      </c>
      <c r="T1991">
        <v>0.1</v>
      </c>
      <c r="U1991">
        <v>1078.2</v>
      </c>
      <c r="V1991">
        <v>500</v>
      </c>
      <c r="W1991">
        <v>578.20000000000005</v>
      </c>
      <c r="X1991" t="s">
        <v>76</v>
      </c>
      <c r="Y1991" t="s">
        <v>68</v>
      </c>
      <c r="Z1991" t="s">
        <v>163</v>
      </c>
      <c r="AA1991" t="s">
        <v>170</v>
      </c>
      <c r="AB1991">
        <v>3.9</v>
      </c>
      <c r="AC1991">
        <v>80</v>
      </c>
      <c r="AD1991">
        <v>27.71</v>
      </c>
      <c r="AE1991">
        <f t="shared" si="62"/>
        <v>470.49000000000007</v>
      </c>
      <c r="AF1991" t="str">
        <f t="shared" si="63"/>
        <v>2025-09</v>
      </c>
      <c r="AG1991">
        <f>SUBTOTAL(103,A1991)</f>
        <v>1</v>
      </c>
    </row>
    <row r="1992" spans="1:33" x14ac:dyDescent="0.3">
      <c r="A1992" t="s">
        <v>4611</v>
      </c>
      <c r="B1992" s="13">
        <v>45910</v>
      </c>
      <c r="C1992">
        <v>2025</v>
      </c>
      <c r="D1992">
        <v>9</v>
      </c>
      <c r="E1992" t="s">
        <v>4552</v>
      </c>
      <c r="F1992" t="s">
        <v>4047</v>
      </c>
      <c r="G1992" t="s">
        <v>2177</v>
      </c>
      <c r="H1992" t="s">
        <v>2178</v>
      </c>
      <c r="I1992" t="s">
        <v>86</v>
      </c>
      <c r="J1992">
        <v>43</v>
      </c>
      <c r="K1992" t="s">
        <v>82</v>
      </c>
      <c r="L1992" t="s">
        <v>93</v>
      </c>
      <c r="M1992" t="s">
        <v>55</v>
      </c>
      <c r="N1992" t="s">
        <v>2603</v>
      </c>
      <c r="O1992" t="s">
        <v>122</v>
      </c>
      <c r="P1992" t="s">
        <v>48</v>
      </c>
      <c r="Q1992" t="s">
        <v>141</v>
      </c>
      <c r="R1992">
        <v>2</v>
      </c>
      <c r="S1992">
        <v>2499</v>
      </c>
      <c r="T1992">
        <v>0.15</v>
      </c>
      <c r="U1992">
        <v>4248.3</v>
      </c>
      <c r="V1992">
        <v>2900</v>
      </c>
      <c r="W1992">
        <v>1348.3</v>
      </c>
      <c r="X1992" t="s">
        <v>74</v>
      </c>
      <c r="Y1992" t="s">
        <v>68</v>
      </c>
      <c r="Z1992" t="s">
        <v>161</v>
      </c>
      <c r="AA1992" t="s">
        <v>170</v>
      </c>
      <c r="AB1992">
        <v>4.5999999999999996</v>
      </c>
      <c r="AC1992">
        <v>80</v>
      </c>
      <c r="AD1992">
        <v>479.33</v>
      </c>
      <c r="AE1992">
        <f t="shared" si="62"/>
        <v>788.97</v>
      </c>
      <c r="AF1992" t="str">
        <f t="shared" si="63"/>
        <v>2025-09</v>
      </c>
      <c r="AG1992">
        <f>SUBTOTAL(103,A1992)</f>
        <v>1</v>
      </c>
    </row>
    <row r="1993" spans="1:33" x14ac:dyDescent="0.3">
      <c r="A1993" t="s">
        <v>4612</v>
      </c>
      <c r="B1993" s="13">
        <v>45910</v>
      </c>
      <c r="C1993">
        <v>2025</v>
      </c>
      <c r="D1993">
        <v>9</v>
      </c>
      <c r="E1993" t="s">
        <v>4552</v>
      </c>
      <c r="F1993" t="s">
        <v>4047</v>
      </c>
      <c r="G1993" t="s">
        <v>1621</v>
      </c>
      <c r="H1993" t="s">
        <v>1622</v>
      </c>
      <c r="I1993" t="s">
        <v>85</v>
      </c>
      <c r="J1993">
        <v>56</v>
      </c>
      <c r="K1993" t="s">
        <v>83</v>
      </c>
      <c r="L1993" t="s">
        <v>93</v>
      </c>
      <c r="M1993" t="s">
        <v>55</v>
      </c>
      <c r="N1993" t="s">
        <v>2647</v>
      </c>
      <c r="O1993" t="s">
        <v>133</v>
      </c>
      <c r="P1993" t="s">
        <v>50</v>
      </c>
      <c r="Q1993" t="s">
        <v>145</v>
      </c>
      <c r="R1993">
        <v>1</v>
      </c>
      <c r="S1993">
        <v>799</v>
      </c>
      <c r="T1993">
        <v>0</v>
      </c>
      <c r="U1993">
        <v>799</v>
      </c>
      <c r="V1993">
        <v>390</v>
      </c>
      <c r="W1993">
        <v>409</v>
      </c>
      <c r="X1993" t="s">
        <v>74</v>
      </c>
      <c r="Y1993" t="s">
        <v>68</v>
      </c>
      <c r="Z1993" t="s">
        <v>161</v>
      </c>
      <c r="AA1993" t="s">
        <v>166</v>
      </c>
      <c r="AB1993">
        <v>4.3</v>
      </c>
      <c r="AC1993">
        <v>60</v>
      </c>
      <c r="AD1993">
        <v>79.14</v>
      </c>
      <c r="AE1993">
        <f t="shared" si="62"/>
        <v>269.86</v>
      </c>
      <c r="AF1993" t="str">
        <f t="shared" si="63"/>
        <v>2025-09</v>
      </c>
      <c r="AG1993">
        <f>SUBTOTAL(103,A1993)</f>
        <v>1</v>
      </c>
    </row>
    <row r="1994" spans="1:33" x14ac:dyDescent="0.3">
      <c r="A1994" t="s">
        <v>4613</v>
      </c>
      <c r="B1994" s="13">
        <v>45910</v>
      </c>
      <c r="C1994">
        <v>2025</v>
      </c>
      <c r="D1994">
        <v>9</v>
      </c>
      <c r="E1994" t="s">
        <v>4552</v>
      </c>
      <c r="F1994" t="s">
        <v>4047</v>
      </c>
      <c r="G1994" t="s">
        <v>2517</v>
      </c>
      <c r="H1994" t="s">
        <v>2518</v>
      </c>
      <c r="I1994" t="s">
        <v>85</v>
      </c>
      <c r="J1994">
        <v>45</v>
      </c>
      <c r="K1994" t="s">
        <v>82</v>
      </c>
      <c r="L1994" t="s">
        <v>2573</v>
      </c>
      <c r="M1994" t="s">
        <v>63</v>
      </c>
      <c r="N1994" t="s">
        <v>2574</v>
      </c>
      <c r="O1994" t="s">
        <v>130</v>
      </c>
      <c r="P1994" t="s">
        <v>50</v>
      </c>
      <c r="Q1994" t="s">
        <v>53</v>
      </c>
      <c r="R1994">
        <v>1</v>
      </c>
      <c r="S1994">
        <v>1199</v>
      </c>
      <c r="T1994">
        <v>0</v>
      </c>
      <c r="U1994">
        <v>1199</v>
      </c>
      <c r="V1994">
        <v>550</v>
      </c>
      <c r="W1994">
        <v>649</v>
      </c>
      <c r="X1994" t="s">
        <v>77</v>
      </c>
      <c r="Y1994" t="s">
        <v>69</v>
      </c>
      <c r="Z1994" t="s">
        <v>159</v>
      </c>
      <c r="AA1994" t="s">
        <v>167</v>
      </c>
      <c r="AB1994">
        <v>4.8</v>
      </c>
      <c r="AC1994">
        <v>60</v>
      </c>
      <c r="AD1994">
        <v>52.64</v>
      </c>
      <c r="AE1994">
        <f t="shared" si="62"/>
        <v>536.36</v>
      </c>
      <c r="AF1994" t="str">
        <f t="shared" si="63"/>
        <v>2025-09</v>
      </c>
      <c r="AG1994">
        <f>SUBTOTAL(103,A1994)</f>
        <v>1</v>
      </c>
    </row>
    <row r="1995" spans="1:33" x14ac:dyDescent="0.3">
      <c r="A1995" t="s">
        <v>4614</v>
      </c>
      <c r="B1995" s="13">
        <v>45910</v>
      </c>
      <c r="C1995">
        <v>2025</v>
      </c>
      <c r="D1995">
        <v>9</v>
      </c>
      <c r="E1995" t="s">
        <v>4552</v>
      </c>
      <c r="F1995" t="s">
        <v>4047</v>
      </c>
      <c r="G1995" t="s">
        <v>1461</v>
      </c>
      <c r="H1995" t="s">
        <v>1462</v>
      </c>
      <c r="I1995" t="s">
        <v>86</v>
      </c>
      <c r="J1995">
        <v>40</v>
      </c>
      <c r="K1995" t="s">
        <v>82</v>
      </c>
      <c r="L1995" t="s">
        <v>91</v>
      </c>
      <c r="M1995" t="s">
        <v>55</v>
      </c>
      <c r="N1995" t="s">
        <v>2644</v>
      </c>
      <c r="O1995" t="s">
        <v>126</v>
      </c>
      <c r="P1995" t="s">
        <v>50</v>
      </c>
      <c r="Q1995" t="s">
        <v>145</v>
      </c>
      <c r="R1995">
        <v>1</v>
      </c>
      <c r="S1995">
        <v>1799</v>
      </c>
      <c r="T1995">
        <v>0.05</v>
      </c>
      <c r="U1995">
        <v>1709.05</v>
      </c>
      <c r="V1995">
        <v>950</v>
      </c>
      <c r="W1995">
        <v>759.05</v>
      </c>
      <c r="X1995" t="s">
        <v>75</v>
      </c>
      <c r="Y1995" t="s">
        <v>69</v>
      </c>
      <c r="Z1995" t="s">
        <v>158</v>
      </c>
      <c r="AA1995" t="s">
        <v>166</v>
      </c>
      <c r="AB1995">
        <v>4.9000000000000004</v>
      </c>
      <c r="AC1995">
        <v>50</v>
      </c>
      <c r="AD1995">
        <v>150.35</v>
      </c>
      <c r="AE1995">
        <f t="shared" si="62"/>
        <v>558.69999999999993</v>
      </c>
      <c r="AF1995" t="str">
        <f t="shared" si="63"/>
        <v>2025-09</v>
      </c>
      <c r="AG1995">
        <f>SUBTOTAL(103,A1995)</f>
        <v>1</v>
      </c>
    </row>
    <row r="1996" spans="1:33" x14ac:dyDescent="0.3">
      <c r="A1996" t="s">
        <v>4615</v>
      </c>
      <c r="B1996" s="13">
        <v>45910</v>
      </c>
      <c r="C1996">
        <v>2025</v>
      </c>
      <c r="D1996">
        <v>9</v>
      </c>
      <c r="E1996" t="s">
        <v>4552</v>
      </c>
      <c r="F1996" t="s">
        <v>4047</v>
      </c>
      <c r="G1996" t="s">
        <v>479</v>
      </c>
      <c r="H1996" t="s">
        <v>480</v>
      </c>
      <c r="I1996" t="s">
        <v>86</v>
      </c>
      <c r="J1996">
        <v>41</v>
      </c>
      <c r="K1996" t="s">
        <v>82</v>
      </c>
      <c r="L1996" t="s">
        <v>98</v>
      </c>
      <c r="M1996" t="s">
        <v>55</v>
      </c>
      <c r="N1996" t="s">
        <v>2587</v>
      </c>
      <c r="O1996" t="s">
        <v>116</v>
      </c>
      <c r="P1996" t="s">
        <v>48</v>
      </c>
      <c r="Q1996" t="s">
        <v>138</v>
      </c>
      <c r="R1996">
        <v>3</v>
      </c>
      <c r="S1996">
        <v>14999</v>
      </c>
      <c r="T1996">
        <v>0</v>
      </c>
      <c r="U1996">
        <v>44997</v>
      </c>
      <c r="V1996">
        <v>33600</v>
      </c>
      <c r="W1996">
        <v>11397</v>
      </c>
      <c r="X1996" t="s">
        <v>73</v>
      </c>
      <c r="Y1996" t="s">
        <v>69</v>
      </c>
      <c r="Z1996" t="s">
        <v>159</v>
      </c>
      <c r="AA1996" t="s">
        <v>170</v>
      </c>
      <c r="AB1996">
        <v>4.9000000000000004</v>
      </c>
      <c r="AC1996">
        <v>60</v>
      </c>
      <c r="AD1996">
        <v>1265.8399999999999</v>
      </c>
      <c r="AE1996">
        <f t="shared" si="62"/>
        <v>10071.16</v>
      </c>
      <c r="AF1996" t="str">
        <f t="shared" si="63"/>
        <v>2025-09</v>
      </c>
      <c r="AG1996">
        <f>SUBTOTAL(103,A1996)</f>
        <v>1</v>
      </c>
    </row>
    <row r="1997" spans="1:33" x14ac:dyDescent="0.3">
      <c r="A1997" t="s">
        <v>4616</v>
      </c>
      <c r="B1997" s="13">
        <v>45910</v>
      </c>
      <c r="C1997">
        <v>2025</v>
      </c>
      <c r="D1997">
        <v>9</v>
      </c>
      <c r="E1997" t="s">
        <v>4552</v>
      </c>
      <c r="F1997" t="s">
        <v>4047</v>
      </c>
      <c r="G1997" t="s">
        <v>2229</v>
      </c>
      <c r="H1997" t="s">
        <v>2230</v>
      </c>
      <c r="I1997" t="s">
        <v>85</v>
      </c>
      <c r="J1997">
        <v>38</v>
      </c>
      <c r="K1997" t="s">
        <v>82</v>
      </c>
      <c r="L1997" t="s">
        <v>98</v>
      </c>
      <c r="M1997" t="s">
        <v>55</v>
      </c>
      <c r="N1997" t="s">
        <v>2665</v>
      </c>
      <c r="O1997" t="s">
        <v>128</v>
      </c>
      <c r="P1997" t="s">
        <v>53</v>
      </c>
      <c r="Q1997" t="s">
        <v>143</v>
      </c>
      <c r="R1997">
        <v>1</v>
      </c>
      <c r="S1997">
        <v>1499</v>
      </c>
      <c r="T1997">
        <v>0.05</v>
      </c>
      <c r="U1997">
        <v>1424.05</v>
      </c>
      <c r="V1997">
        <v>800</v>
      </c>
      <c r="W1997">
        <v>624.04999999999995</v>
      </c>
      <c r="X1997" t="s">
        <v>73</v>
      </c>
      <c r="Y1997" t="s">
        <v>69</v>
      </c>
      <c r="Z1997" t="s">
        <v>161</v>
      </c>
      <c r="AA1997" t="s">
        <v>166</v>
      </c>
      <c r="AB1997">
        <v>3.7</v>
      </c>
      <c r="AC1997">
        <v>120</v>
      </c>
      <c r="AD1997">
        <v>145.41</v>
      </c>
      <c r="AE1997">
        <f t="shared" si="62"/>
        <v>358.64</v>
      </c>
      <c r="AF1997" t="str">
        <f t="shared" si="63"/>
        <v>2025-09</v>
      </c>
      <c r="AG1997">
        <f>SUBTOTAL(103,A1997)</f>
        <v>1</v>
      </c>
    </row>
    <row r="1998" spans="1:33" x14ac:dyDescent="0.3">
      <c r="A1998" t="s">
        <v>4617</v>
      </c>
      <c r="B1998" s="13">
        <v>45910</v>
      </c>
      <c r="C1998">
        <v>2025</v>
      </c>
      <c r="D1998">
        <v>9</v>
      </c>
      <c r="E1998" t="s">
        <v>4552</v>
      </c>
      <c r="F1998" t="s">
        <v>4047</v>
      </c>
      <c r="G1998" t="s">
        <v>1231</v>
      </c>
      <c r="H1998" t="s">
        <v>1232</v>
      </c>
      <c r="I1998" t="s">
        <v>86</v>
      </c>
      <c r="J1998">
        <v>39</v>
      </c>
      <c r="K1998" t="s">
        <v>82</v>
      </c>
      <c r="L1998" t="s">
        <v>91</v>
      </c>
      <c r="M1998" t="s">
        <v>55</v>
      </c>
      <c r="N1998" t="s">
        <v>2606</v>
      </c>
      <c r="O1998" t="s">
        <v>120</v>
      </c>
      <c r="P1998" t="s">
        <v>49</v>
      </c>
      <c r="Q1998" t="s">
        <v>140</v>
      </c>
      <c r="R1998">
        <v>4</v>
      </c>
      <c r="S1998">
        <v>2799</v>
      </c>
      <c r="T1998">
        <v>0.05</v>
      </c>
      <c r="U1998">
        <v>10636.2</v>
      </c>
      <c r="V1998">
        <v>6600</v>
      </c>
      <c r="W1998">
        <v>4036.2</v>
      </c>
      <c r="X1998" t="s">
        <v>76</v>
      </c>
      <c r="Y1998" t="s">
        <v>68</v>
      </c>
      <c r="Z1998" t="s">
        <v>162</v>
      </c>
      <c r="AA1998" t="s">
        <v>166</v>
      </c>
      <c r="AB1998">
        <v>3.3</v>
      </c>
      <c r="AC1998">
        <v>50</v>
      </c>
      <c r="AD1998">
        <v>546.9</v>
      </c>
      <c r="AE1998">
        <f t="shared" si="62"/>
        <v>3439.2999999999997</v>
      </c>
      <c r="AF1998" t="str">
        <f t="shared" si="63"/>
        <v>2025-09</v>
      </c>
      <c r="AG1998">
        <f>SUBTOTAL(103,A1998)</f>
        <v>1</v>
      </c>
    </row>
    <row r="1999" spans="1:33" x14ac:dyDescent="0.3">
      <c r="A1999" t="s">
        <v>4618</v>
      </c>
      <c r="B1999" s="13">
        <v>45911</v>
      </c>
      <c r="C1999">
        <v>2025</v>
      </c>
      <c r="D1999">
        <v>9</v>
      </c>
      <c r="E1999" t="s">
        <v>4552</v>
      </c>
      <c r="F1999" t="s">
        <v>4047</v>
      </c>
      <c r="G1999" t="s">
        <v>911</v>
      </c>
      <c r="H1999" t="s">
        <v>912</v>
      </c>
      <c r="I1999" t="s">
        <v>86</v>
      </c>
      <c r="J1999">
        <v>35</v>
      </c>
      <c r="K1999" t="s">
        <v>81</v>
      </c>
      <c r="L1999" t="s">
        <v>99</v>
      </c>
      <c r="M1999" t="s">
        <v>58</v>
      </c>
      <c r="N1999" t="s">
        <v>2596</v>
      </c>
      <c r="O1999" t="s">
        <v>124</v>
      </c>
      <c r="P1999" t="s">
        <v>51</v>
      </c>
      <c r="Q1999" t="s">
        <v>147</v>
      </c>
      <c r="R1999">
        <v>1</v>
      </c>
      <c r="S1999">
        <v>2299</v>
      </c>
      <c r="T1999">
        <v>0.1</v>
      </c>
      <c r="U1999">
        <v>2069.1</v>
      </c>
      <c r="V1999">
        <v>1200</v>
      </c>
      <c r="W1999">
        <v>869.1</v>
      </c>
      <c r="X1999" t="s">
        <v>76</v>
      </c>
      <c r="Y1999" t="s">
        <v>68</v>
      </c>
      <c r="Z1999" t="s">
        <v>163</v>
      </c>
      <c r="AA1999" t="s">
        <v>169</v>
      </c>
      <c r="AB1999">
        <v>3.2</v>
      </c>
      <c r="AC1999">
        <v>60</v>
      </c>
      <c r="AD1999">
        <v>118.21</v>
      </c>
      <c r="AE1999">
        <f t="shared" si="62"/>
        <v>690.89</v>
      </c>
      <c r="AF1999" t="str">
        <f t="shared" si="63"/>
        <v>2025-09</v>
      </c>
      <c r="AG1999">
        <f>SUBTOTAL(103,A1999)</f>
        <v>1</v>
      </c>
    </row>
    <row r="2000" spans="1:33" x14ac:dyDescent="0.3">
      <c r="A2000" t="s">
        <v>4619</v>
      </c>
      <c r="B2000" s="13">
        <v>45911</v>
      </c>
      <c r="C2000">
        <v>2025</v>
      </c>
      <c r="D2000">
        <v>9</v>
      </c>
      <c r="E2000" t="s">
        <v>4552</v>
      </c>
      <c r="F2000" t="s">
        <v>4047</v>
      </c>
      <c r="G2000" t="s">
        <v>1167</v>
      </c>
      <c r="H2000" t="s">
        <v>1168</v>
      </c>
      <c r="I2000" t="s">
        <v>85</v>
      </c>
      <c r="J2000">
        <v>48</v>
      </c>
      <c r="K2000" t="s">
        <v>83</v>
      </c>
      <c r="L2000" t="s">
        <v>2661</v>
      </c>
      <c r="M2000" t="s">
        <v>58</v>
      </c>
      <c r="N2000" t="s">
        <v>2577</v>
      </c>
      <c r="O2000" t="s">
        <v>129</v>
      </c>
      <c r="P2000" t="s">
        <v>49</v>
      </c>
      <c r="Q2000" t="s">
        <v>149</v>
      </c>
      <c r="R2000">
        <v>3</v>
      </c>
      <c r="S2000">
        <v>1299</v>
      </c>
      <c r="T2000">
        <v>0.2</v>
      </c>
      <c r="U2000">
        <v>3117.6</v>
      </c>
      <c r="V2000">
        <v>1950</v>
      </c>
      <c r="W2000">
        <v>1167.5999999999999</v>
      </c>
      <c r="X2000" t="s">
        <v>73</v>
      </c>
      <c r="Y2000" t="s">
        <v>68</v>
      </c>
      <c r="Z2000" t="s">
        <v>161</v>
      </c>
      <c r="AA2000" t="s">
        <v>169</v>
      </c>
      <c r="AB2000">
        <v>4.2</v>
      </c>
      <c r="AC2000">
        <v>50</v>
      </c>
      <c r="AD2000">
        <v>123.83</v>
      </c>
      <c r="AE2000">
        <f t="shared" si="62"/>
        <v>993.76999999999987</v>
      </c>
      <c r="AF2000" t="str">
        <f t="shared" si="63"/>
        <v>2025-09</v>
      </c>
      <c r="AG2000">
        <f>SUBTOTAL(103,A2000)</f>
        <v>1</v>
      </c>
    </row>
    <row r="2001" spans="1:33" x14ac:dyDescent="0.3">
      <c r="A2001" t="s">
        <v>4620</v>
      </c>
      <c r="B2001" s="13">
        <v>45911</v>
      </c>
      <c r="C2001">
        <v>2025</v>
      </c>
      <c r="D2001">
        <v>9</v>
      </c>
      <c r="E2001" t="s">
        <v>4552</v>
      </c>
      <c r="F2001" t="s">
        <v>4047</v>
      </c>
      <c r="G2001" t="s">
        <v>1943</v>
      </c>
      <c r="H2001" t="s">
        <v>1944</v>
      </c>
      <c r="I2001" t="s">
        <v>86</v>
      </c>
      <c r="J2001">
        <v>37</v>
      </c>
      <c r="K2001" t="s">
        <v>82</v>
      </c>
      <c r="L2001" t="s">
        <v>59</v>
      </c>
      <c r="M2001" t="s">
        <v>59</v>
      </c>
      <c r="N2001" t="s">
        <v>2626</v>
      </c>
      <c r="O2001" t="s">
        <v>125</v>
      </c>
      <c r="P2001" t="s">
        <v>48</v>
      </c>
      <c r="Q2001" t="s">
        <v>141</v>
      </c>
      <c r="R2001">
        <v>2</v>
      </c>
      <c r="S2001">
        <v>1999</v>
      </c>
      <c r="T2001">
        <v>0.05</v>
      </c>
      <c r="U2001">
        <v>3798.1</v>
      </c>
      <c r="V2001">
        <v>2300</v>
      </c>
      <c r="W2001">
        <v>1498.1</v>
      </c>
      <c r="X2001" t="s">
        <v>73</v>
      </c>
      <c r="Y2001" t="s">
        <v>68</v>
      </c>
      <c r="Z2001" t="s">
        <v>161</v>
      </c>
      <c r="AA2001" t="s">
        <v>166</v>
      </c>
      <c r="AB2001">
        <v>3.3</v>
      </c>
      <c r="AC2001">
        <v>80</v>
      </c>
      <c r="AD2001">
        <v>185.45</v>
      </c>
      <c r="AE2001">
        <f t="shared" si="62"/>
        <v>1232.6499999999999</v>
      </c>
      <c r="AF2001" t="str">
        <f t="shared" si="63"/>
        <v>2025-09</v>
      </c>
      <c r="AG2001">
        <f>SUBTOTAL(103,A2001)</f>
        <v>1</v>
      </c>
    </row>
    <row r="2002" spans="1:33" x14ac:dyDescent="0.3">
      <c r="A2002" t="s">
        <v>4621</v>
      </c>
      <c r="B2002" s="13">
        <v>45911</v>
      </c>
      <c r="C2002">
        <v>2025</v>
      </c>
      <c r="D2002">
        <v>9</v>
      </c>
      <c r="E2002" t="s">
        <v>4552</v>
      </c>
      <c r="F2002" t="s">
        <v>4047</v>
      </c>
      <c r="G2002" t="s">
        <v>471</v>
      </c>
      <c r="H2002" t="s">
        <v>472</v>
      </c>
      <c r="I2002" t="s">
        <v>85</v>
      </c>
      <c r="J2002">
        <v>45</v>
      </c>
      <c r="K2002" t="s">
        <v>82</v>
      </c>
      <c r="L2002" t="s">
        <v>2599</v>
      </c>
      <c r="M2002" t="s">
        <v>62</v>
      </c>
      <c r="N2002" t="s">
        <v>2647</v>
      </c>
      <c r="O2002" t="s">
        <v>133</v>
      </c>
      <c r="P2002" t="s">
        <v>50</v>
      </c>
      <c r="Q2002" t="s">
        <v>145</v>
      </c>
      <c r="R2002">
        <v>4</v>
      </c>
      <c r="S2002">
        <v>799</v>
      </c>
      <c r="T2002">
        <v>0.1</v>
      </c>
      <c r="U2002">
        <v>2876.4</v>
      </c>
      <c r="V2002">
        <v>1560</v>
      </c>
      <c r="W2002">
        <v>1316.4</v>
      </c>
      <c r="X2002" t="s">
        <v>77</v>
      </c>
      <c r="Y2002" t="s">
        <v>68</v>
      </c>
      <c r="Z2002" t="s">
        <v>159</v>
      </c>
      <c r="AA2002" t="s">
        <v>171</v>
      </c>
      <c r="AB2002">
        <v>5</v>
      </c>
      <c r="AC2002">
        <v>80</v>
      </c>
      <c r="AD2002">
        <v>254.12</v>
      </c>
      <c r="AE2002">
        <f t="shared" si="62"/>
        <v>982.28000000000009</v>
      </c>
      <c r="AF2002" t="str">
        <f t="shared" si="63"/>
        <v>2025-09</v>
      </c>
      <c r="AG2002">
        <f>SUBTOTAL(103,A2002)</f>
        <v>1</v>
      </c>
    </row>
    <row r="2003" spans="1:33" x14ac:dyDescent="0.3">
      <c r="A2003" t="s">
        <v>4622</v>
      </c>
      <c r="B2003" s="13">
        <v>45911</v>
      </c>
      <c r="C2003">
        <v>2025</v>
      </c>
      <c r="D2003">
        <v>9</v>
      </c>
      <c r="E2003" t="s">
        <v>4552</v>
      </c>
      <c r="F2003" t="s">
        <v>4047</v>
      </c>
      <c r="G2003" t="s">
        <v>317</v>
      </c>
      <c r="H2003" t="s">
        <v>318</v>
      </c>
      <c r="I2003" t="s">
        <v>85</v>
      </c>
      <c r="J2003">
        <v>56</v>
      </c>
      <c r="K2003" t="s">
        <v>83</v>
      </c>
      <c r="L2003" t="s">
        <v>97</v>
      </c>
      <c r="M2003" t="s">
        <v>57</v>
      </c>
      <c r="N2003" t="s">
        <v>2657</v>
      </c>
      <c r="O2003" t="s">
        <v>134</v>
      </c>
      <c r="P2003" t="s">
        <v>49</v>
      </c>
      <c r="Q2003" t="s">
        <v>140</v>
      </c>
      <c r="R2003">
        <v>1</v>
      </c>
      <c r="S2003">
        <v>599</v>
      </c>
      <c r="T2003">
        <v>0.1</v>
      </c>
      <c r="U2003">
        <v>539.1</v>
      </c>
      <c r="V2003">
        <v>250</v>
      </c>
      <c r="W2003">
        <v>289.10000000000002</v>
      </c>
      <c r="X2003" t="s">
        <v>76</v>
      </c>
      <c r="Y2003" t="s">
        <v>68</v>
      </c>
      <c r="Z2003" t="s">
        <v>159</v>
      </c>
      <c r="AA2003" t="s">
        <v>169</v>
      </c>
      <c r="AB2003">
        <v>3.7</v>
      </c>
      <c r="AC2003">
        <v>100</v>
      </c>
      <c r="AD2003">
        <v>22.12</v>
      </c>
      <c r="AE2003">
        <f t="shared" si="62"/>
        <v>166.98000000000002</v>
      </c>
      <c r="AF2003" t="str">
        <f t="shared" si="63"/>
        <v>2025-09</v>
      </c>
      <c r="AG2003">
        <f>SUBTOTAL(103,A2003)</f>
        <v>1</v>
      </c>
    </row>
    <row r="2004" spans="1:33" x14ac:dyDescent="0.3">
      <c r="A2004" t="s">
        <v>4623</v>
      </c>
      <c r="B2004" s="13">
        <v>45912</v>
      </c>
      <c r="C2004">
        <v>2025</v>
      </c>
      <c r="D2004">
        <v>9</v>
      </c>
      <c r="E2004" t="s">
        <v>4552</v>
      </c>
      <c r="F2004" t="s">
        <v>4047</v>
      </c>
      <c r="G2004" t="s">
        <v>1459</v>
      </c>
      <c r="H2004" t="s">
        <v>1460</v>
      </c>
      <c r="I2004" t="s">
        <v>85</v>
      </c>
      <c r="J2004">
        <v>59</v>
      </c>
      <c r="K2004" t="s">
        <v>83</v>
      </c>
      <c r="L2004" t="s">
        <v>2605</v>
      </c>
      <c r="M2004" t="s">
        <v>60</v>
      </c>
      <c r="N2004" t="s">
        <v>2644</v>
      </c>
      <c r="O2004" t="s">
        <v>126</v>
      </c>
      <c r="P2004" t="s">
        <v>50</v>
      </c>
      <c r="Q2004" t="s">
        <v>145</v>
      </c>
      <c r="R2004">
        <v>2</v>
      </c>
      <c r="S2004">
        <v>1799</v>
      </c>
      <c r="T2004">
        <v>0.05</v>
      </c>
      <c r="U2004">
        <v>3418.1</v>
      </c>
      <c r="V2004">
        <v>1900</v>
      </c>
      <c r="W2004">
        <v>1518.1</v>
      </c>
      <c r="X2004" t="s">
        <v>74</v>
      </c>
      <c r="Y2004" t="s">
        <v>68</v>
      </c>
      <c r="Z2004" t="s">
        <v>162</v>
      </c>
      <c r="AA2004" t="s">
        <v>167</v>
      </c>
      <c r="AB2004">
        <v>4.3</v>
      </c>
      <c r="AC2004">
        <v>80</v>
      </c>
      <c r="AD2004">
        <v>116.58</v>
      </c>
      <c r="AE2004">
        <f t="shared" si="62"/>
        <v>1321.52</v>
      </c>
      <c r="AF2004" t="str">
        <f t="shared" si="63"/>
        <v>2025-09</v>
      </c>
      <c r="AG2004">
        <f>SUBTOTAL(103,A2004)</f>
        <v>1</v>
      </c>
    </row>
    <row r="2005" spans="1:33" x14ac:dyDescent="0.3">
      <c r="A2005" t="s">
        <v>4624</v>
      </c>
      <c r="B2005" s="13">
        <v>45912</v>
      </c>
      <c r="C2005">
        <v>2025</v>
      </c>
      <c r="D2005">
        <v>9</v>
      </c>
      <c r="E2005" t="s">
        <v>4552</v>
      </c>
      <c r="F2005" t="s">
        <v>4047</v>
      </c>
      <c r="G2005" t="s">
        <v>1931</v>
      </c>
      <c r="H2005" t="s">
        <v>1932</v>
      </c>
      <c r="I2005" t="s">
        <v>86</v>
      </c>
      <c r="J2005">
        <v>37</v>
      </c>
      <c r="K2005" t="s">
        <v>82</v>
      </c>
      <c r="L2005" t="s">
        <v>94</v>
      </c>
      <c r="M2005" t="s">
        <v>57</v>
      </c>
      <c r="N2005" t="s">
        <v>2653</v>
      </c>
      <c r="O2005" t="s">
        <v>132</v>
      </c>
      <c r="P2005" t="s">
        <v>52</v>
      </c>
      <c r="Q2005" t="s">
        <v>150</v>
      </c>
      <c r="R2005">
        <v>2</v>
      </c>
      <c r="S2005">
        <v>899</v>
      </c>
      <c r="T2005">
        <v>0</v>
      </c>
      <c r="U2005">
        <v>1798</v>
      </c>
      <c r="V2005">
        <v>840</v>
      </c>
      <c r="W2005">
        <v>958</v>
      </c>
      <c r="X2005" t="s">
        <v>73</v>
      </c>
      <c r="Y2005" t="s">
        <v>68</v>
      </c>
      <c r="Z2005" t="s">
        <v>158</v>
      </c>
      <c r="AA2005" t="s">
        <v>171</v>
      </c>
      <c r="AB2005">
        <v>4.2</v>
      </c>
      <c r="AC2005">
        <v>60</v>
      </c>
      <c r="AD2005">
        <v>164.33</v>
      </c>
      <c r="AE2005">
        <f t="shared" si="62"/>
        <v>733.67</v>
      </c>
      <c r="AF2005" t="str">
        <f t="shared" si="63"/>
        <v>2025-09</v>
      </c>
      <c r="AG2005">
        <f>SUBTOTAL(103,A2005)</f>
        <v>1</v>
      </c>
    </row>
    <row r="2006" spans="1:33" x14ac:dyDescent="0.3">
      <c r="A2006" t="s">
        <v>4625</v>
      </c>
      <c r="B2006" s="13">
        <v>45912</v>
      </c>
      <c r="C2006">
        <v>2025</v>
      </c>
      <c r="D2006">
        <v>9</v>
      </c>
      <c r="E2006" t="s">
        <v>4552</v>
      </c>
      <c r="F2006" t="s">
        <v>4047</v>
      </c>
      <c r="G2006" t="s">
        <v>481</v>
      </c>
      <c r="H2006" t="s">
        <v>482</v>
      </c>
      <c r="I2006" t="s">
        <v>85</v>
      </c>
      <c r="J2006">
        <v>52</v>
      </c>
      <c r="K2006" t="s">
        <v>83</v>
      </c>
      <c r="L2006" t="s">
        <v>99</v>
      </c>
      <c r="M2006" t="s">
        <v>58</v>
      </c>
      <c r="N2006" t="s">
        <v>2647</v>
      </c>
      <c r="O2006" t="s">
        <v>133</v>
      </c>
      <c r="P2006" t="s">
        <v>50</v>
      </c>
      <c r="Q2006" t="s">
        <v>145</v>
      </c>
      <c r="R2006">
        <v>5</v>
      </c>
      <c r="S2006">
        <v>799</v>
      </c>
      <c r="T2006">
        <v>0.15</v>
      </c>
      <c r="U2006">
        <v>3395.75</v>
      </c>
      <c r="V2006">
        <v>1950</v>
      </c>
      <c r="W2006">
        <v>1445.75</v>
      </c>
      <c r="X2006" t="s">
        <v>73</v>
      </c>
      <c r="Y2006" t="s">
        <v>68</v>
      </c>
      <c r="Z2006" t="s">
        <v>159</v>
      </c>
      <c r="AA2006" t="s">
        <v>168</v>
      </c>
      <c r="AB2006">
        <v>4.2</v>
      </c>
      <c r="AC2006">
        <v>50</v>
      </c>
      <c r="AD2006">
        <v>230.77</v>
      </c>
      <c r="AE2006">
        <f t="shared" si="62"/>
        <v>1164.98</v>
      </c>
      <c r="AF2006" t="str">
        <f t="shared" si="63"/>
        <v>2025-09</v>
      </c>
      <c r="AG2006">
        <f>SUBTOTAL(103,A2006)</f>
        <v>1</v>
      </c>
    </row>
    <row r="2007" spans="1:33" x14ac:dyDescent="0.3">
      <c r="A2007" t="s">
        <v>4626</v>
      </c>
      <c r="B2007" s="13">
        <v>45912</v>
      </c>
      <c r="C2007">
        <v>2025</v>
      </c>
      <c r="D2007">
        <v>9</v>
      </c>
      <c r="E2007" t="s">
        <v>4552</v>
      </c>
      <c r="F2007" t="s">
        <v>4047</v>
      </c>
      <c r="G2007" t="s">
        <v>381</v>
      </c>
      <c r="H2007" t="s">
        <v>382</v>
      </c>
      <c r="I2007" t="s">
        <v>85</v>
      </c>
      <c r="J2007">
        <v>46</v>
      </c>
      <c r="K2007" t="s">
        <v>83</v>
      </c>
      <c r="L2007" t="s">
        <v>2616</v>
      </c>
      <c r="M2007" t="s">
        <v>62</v>
      </c>
      <c r="N2007" t="s">
        <v>2587</v>
      </c>
      <c r="O2007" t="s">
        <v>116</v>
      </c>
      <c r="P2007" t="s">
        <v>48</v>
      </c>
      <c r="Q2007" t="s">
        <v>138</v>
      </c>
      <c r="R2007">
        <v>4</v>
      </c>
      <c r="S2007">
        <v>14999</v>
      </c>
      <c r="T2007">
        <v>0.25</v>
      </c>
      <c r="U2007">
        <v>44997</v>
      </c>
      <c r="V2007">
        <v>44800</v>
      </c>
      <c r="W2007">
        <v>197</v>
      </c>
      <c r="X2007" t="s">
        <v>73</v>
      </c>
      <c r="Y2007" t="s">
        <v>70</v>
      </c>
      <c r="Z2007" t="s">
        <v>158</v>
      </c>
      <c r="AA2007" t="s">
        <v>170</v>
      </c>
      <c r="AB2007">
        <v>4.5999999999999996</v>
      </c>
      <c r="AC2007">
        <v>60</v>
      </c>
      <c r="AD2007">
        <v>5064.5600000000004</v>
      </c>
      <c r="AE2007">
        <f t="shared" si="62"/>
        <v>-4927.5600000000004</v>
      </c>
      <c r="AF2007" t="str">
        <f t="shared" si="63"/>
        <v>2025-09</v>
      </c>
      <c r="AG2007">
        <f>SUBTOTAL(103,A2007)</f>
        <v>1</v>
      </c>
    </row>
    <row r="2008" spans="1:33" x14ac:dyDescent="0.3">
      <c r="A2008" t="s">
        <v>4627</v>
      </c>
      <c r="B2008" s="13">
        <v>45912</v>
      </c>
      <c r="C2008">
        <v>2025</v>
      </c>
      <c r="D2008">
        <v>9</v>
      </c>
      <c r="E2008" t="s">
        <v>4552</v>
      </c>
      <c r="F2008" t="s">
        <v>4047</v>
      </c>
      <c r="G2008" t="s">
        <v>2167</v>
      </c>
      <c r="H2008" t="s">
        <v>2168</v>
      </c>
      <c r="I2008" t="s">
        <v>85</v>
      </c>
      <c r="J2008">
        <v>48</v>
      </c>
      <c r="K2008" t="s">
        <v>83</v>
      </c>
      <c r="L2008" t="s">
        <v>2679</v>
      </c>
      <c r="M2008" t="s">
        <v>60</v>
      </c>
      <c r="N2008" t="s">
        <v>2606</v>
      </c>
      <c r="O2008" t="s">
        <v>120</v>
      </c>
      <c r="P2008" t="s">
        <v>49</v>
      </c>
      <c r="Q2008" t="s">
        <v>140</v>
      </c>
      <c r="R2008">
        <v>1</v>
      </c>
      <c r="S2008">
        <v>2799</v>
      </c>
      <c r="T2008">
        <v>0.2</v>
      </c>
      <c r="U2008">
        <v>0</v>
      </c>
      <c r="V2008">
        <v>0</v>
      </c>
      <c r="W2008">
        <v>0</v>
      </c>
      <c r="X2008" t="s">
        <v>74</v>
      </c>
      <c r="Y2008" t="s">
        <v>71</v>
      </c>
      <c r="Z2008" t="s">
        <v>160</v>
      </c>
      <c r="AA2008" t="s">
        <v>170</v>
      </c>
      <c r="AB2008">
        <v>3.9</v>
      </c>
      <c r="AC2008">
        <v>80</v>
      </c>
      <c r="AD2008">
        <v>84.31</v>
      </c>
      <c r="AE2008">
        <f t="shared" si="62"/>
        <v>-164.31</v>
      </c>
      <c r="AF2008" t="str">
        <f t="shared" si="63"/>
        <v>2025-09</v>
      </c>
      <c r="AG2008">
        <f>SUBTOTAL(103,A2008)</f>
        <v>1</v>
      </c>
    </row>
    <row r="2009" spans="1:33" x14ac:dyDescent="0.3">
      <c r="A2009" t="s">
        <v>4628</v>
      </c>
      <c r="B2009" s="13">
        <v>45912</v>
      </c>
      <c r="C2009">
        <v>2025</v>
      </c>
      <c r="D2009">
        <v>9</v>
      </c>
      <c r="E2009" t="s">
        <v>4552</v>
      </c>
      <c r="F2009" t="s">
        <v>4047</v>
      </c>
      <c r="G2009" t="s">
        <v>717</v>
      </c>
      <c r="H2009" t="s">
        <v>718</v>
      </c>
      <c r="I2009" t="s">
        <v>85</v>
      </c>
      <c r="J2009">
        <v>39</v>
      </c>
      <c r="K2009" t="s">
        <v>82</v>
      </c>
      <c r="L2009" t="s">
        <v>2612</v>
      </c>
      <c r="M2009" t="s">
        <v>64</v>
      </c>
      <c r="N2009" t="s">
        <v>2580</v>
      </c>
      <c r="O2009" t="s">
        <v>118</v>
      </c>
      <c r="P2009" t="s">
        <v>48</v>
      </c>
      <c r="Q2009" t="s">
        <v>142</v>
      </c>
      <c r="R2009">
        <v>2</v>
      </c>
      <c r="S2009">
        <v>3999</v>
      </c>
      <c r="T2009">
        <v>0</v>
      </c>
      <c r="U2009">
        <v>7998</v>
      </c>
      <c r="V2009">
        <v>4800</v>
      </c>
      <c r="W2009">
        <v>3198</v>
      </c>
      <c r="X2009" t="s">
        <v>73</v>
      </c>
      <c r="Y2009" t="s">
        <v>68</v>
      </c>
      <c r="Z2009" t="s">
        <v>159</v>
      </c>
      <c r="AA2009" t="s">
        <v>171</v>
      </c>
      <c r="AB2009">
        <v>3.4</v>
      </c>
      <c r="AC2009">
        <v>40</v>
      </c>
      <c r="AD2009">
        <v>553.91999999999996</v>
      </c>
      <c r="AE2009">
        <f t="shared" si="62"/>
        <v>2604.08</v>
      </c>
      <c r="AF2009" t="str">
        <f t="shared" si="63"/>
        <v>2025-09</v>
      </c>
      <c r="AG2009">
        <f>SUBTOTAL(103,A2009)</f>
        <v>1</v>
      </c>
    </row>
    <row r="2010" spans="1:33" x14ac:dyDescent="0.3">
      <c r="A2010" t="s">
        <v>4629</v>
      </c>
      <c r="B2010" s="13">
        <v>45912</v>
      </c>
      <c r="C2010">
        <v>2025</v>
      </c>
      <c r="D2010">
        <v>9</v>
      </c>
      <c r="E2010" t="s">
        <v>4552</v>
      </c>
      <c r="F2010" t="s">
        <v>4047</v>
      </c>
      <c r="G2010" t="s">
        <v>1859</v>
      </c>
      <c r="H2010" t="s">
        <v>1860</v>
      </c>
      <c r="I2010" t="s">
        <v>85</v>
      </c>
      <c r="J2010">
        <v>59</v>
      </c>
      <c r="K2010" t="s">
        <v>83</v>
      </c>
      <c r="L2010" t="s">
        <v>94</v>
      </c>
      <c r="M2010" t="s">
        <v>57</v>
      </c>
      <c r="N2010" t="s">
        <v>2630</v>
      </c>
      <c r="O2010" t="s">
        <v>123</v>
      </c>
      <c r="P2010" t="s">
        <v>52</v>
      </c>
      <c r="Q2010" t="s">
        <v>146</v>
      </c>
      <c r="R2010">
        <v>2</v>
      </c>
      <c r="S2010">
        <v>2499</v>
      </c>
      <c r="T2010">
        <v>0.1</v>
      </c>
      <c r="U2010">
        <v>4498.2</v>
      </c>
      <c r="V2010">
        <v>2800</v>
      </c>
      <c r="W2010">
        <v>1698.2</v>
      </c>
      <c r="X2010" t="s">
        <v>75</v>
      </c>
      <c r="Y2010" t="s">
        <v>68</v>
      </c>
      <c r="Z2010" t="s">
        <v>158</v>
      </c>
      <c r="AA2010" t="s">
        <v>167</v>
      </c>
      <c r="AB2010">
        <v>4.5</v>
      </c>
      <c r="AC2010">
        <v>60</v>
      </c>
      <c r="AD2010">
        <v>289.70999999999998</v>
      </c>
      <c r="AE2010">
        <f t="shared" si="62"/>
        <v>1348.49</v>
      </c>
      <c r="AF2010" t="str">
        <f t="shared" si="63"/>
        <v>2025-09</v>
      </c>
      <c r="AG2010">
        <f>SUBTOTAL(103,A2010)</f>
        <v>1</v>
      </c>
    </row>
    <row r="2011" spans="1:33" x14ac:dyDescent="0.3">
      <c r="A2011" t="s">
        <v>4630</v>
      </c>
      <c r="B2011" s="13">
        <v>45912</v>
      </c>
      <c r="C2011">
        <v>2025</v>
      </c>
      <c r="D2011">
        <v>9</v>
      </c>
      <c r="E2011" t="s">
        <v>4552</v>
      </c>
      <c r="F2011" t="s">
        <v>4047</v>
      </c>
      <c r="G2011" t="s">
        <v>1739</v>
      </c>
      <c r="H2011" t="s">
        <v>1740</v>
      </c>
      <c r="I2011" t="s">
        <v>86</v>
      </c>
      <c r="J2011">
        <v>28</v>
      </c>
      <c r="K2011" t="s">
        <v>81</v>
      </c>
      <c r="L2011" t="s">
        <v>91</v>
      </c>
      <c r="M2011" t="s">
        <v>55</v>
      </c>
      <c r="N2011" t="s">
        <v>2577</v>
      </c>
      <c r="O2011" t="s">
        <v>129</v>
      </c>
      <c r="P2011" t="s">
        <v>49</v>
      </c>
      <c r="Q2011" t="s">
        <v>149</v>
      </c>
      <c r="R2011">
        <v>1</v>
      </c>
      <c r="S2011">
        <v>1299</v>
      </c>
      <c r="T2011">
        <v>0.05</v>
      </c>
      <c r="U2011">
        <v>1234.05</v>
      </c>
      <c r="V2011">
        <v>650</v>
      </c>
      <c r="W2011">
        <v>584.04999999999995</v>
      </c>
      <c r="X2011" t="s">
        <v>76</v>
      </c>
      <c r="Y2011" t="s">
        <v>69</v>
      </c>
      <c r="Z2011" t="s">
        <v>161</v>
      </c>
      <c r="AA2011" t="s">
        <v>169</v>
      </c>
      <c r="AB2011">
        <v>3.1</v>
      </c>
      <c r="AC2011">
        <v>50</v>
      </c>
      <c r="AD2011">
        <v>98.41</v>
      </c>
      <c r="AE2011">
        <f t="shared" si="62"/>
        <v>435.64</v>
      </c>
      <c r="AF2011" t="str">
        <f t="shared" si="63"/>
        <v>2025-09</v>
      </c>
      <c r="AG2011">
        <f>SUBTOTAL(103,A2011)</f>
        <v>1</v>
      </c>
    </row>
    <row r="2012" spans="1:33" x14ac:dyDescent="0.3">
      <c r="A2012" t="s">
        <v>4631</v>
      </c>
      <c r="B2012" s="13">
        <v>45912</v>
      </c>
      <c r="C2012">
        <v>2025</v>
      </c>
      <c r="D2012">
        <v>9</v>
      </c>
      <c r="E2012" t="s">
        <v>4552</v>
      </c>
      <c r="F2012" t="s">
        <v>4047</v>
      </c>
      <c r="G2012" t="s">
        <v>817</v>
      </c>
      <c r="H2012" t="s">
        <v>818</v>
      </c>
      <c r="I2012" t="s">
        <v>86</v>
      </c>
      <c r="J2012">
        <v>49</v>
      </c>
      <c r="K2012" t="s">
        <v>83</v>
      </c>
      <c r="L2012" t="s">
        <v>90</v>
      </c>
      <c r="M2012" t="s">
        <v>55</v>
      </c>
      <c r="N2012" t="s">
        <v>2644</v>
      </c>
      <c r="O2012" t="s">
        <v>126</v>
      </c>
      <c r="P2012" t="s">
        <v>50</v>
      </c>
      <c r="Q2012" t="s">
        <v>145</v>
      </c>
      <c r="R2012">
        <v>3</v>
      </c>
      <c r="S2012">
        <v>1799</v>
      </c>
      <c r="T2012">
        <v>0.1</v>
      </c>
      <c r="U2012">
        <v>4857.3</v>
      </c>
      <c r="V2012">
        <v>2850</v>
      </c>
      <c r="W2012">
        <v>2007.3</v>
      </c>
      <c r="X2012" t="s">
        <v>75</v>
      </c>
      <c r="Y2012" t="s">
        <v>68</v>
      </c>
      <c r="Z2012" t="s">
        <v>162</v>
      </c>
      <c r="AA2012" t="s">
        <v>170</v>
      </c>
      <c r="AB2012">
        <v>3.1</v>
      </c>
      <c r="AC2012">
        <v>80</v>
      </c>
      <c r="AD2012">
        <v>117.41</v>
      </c>
      <c r="AE2012">
        <f t="shared" si="62"/>
        <v>1809.8899999999999</v>
      </c>
      <c r="AF2012" t="str">
        <f t="shared" si="63"/>
        <v>2025-09</v>
      </c>
      <c r="AG2012">
        <f>SUBTOTAL(103,A2012)</f>
        <v>1</v>
      </c>
    </row>
    <row r="2013" spans="1:33" x14ac:dyDescent="0.3">
      <c r="A2013" t="s">
        <v>4632</v>
      </c>
      <c r="B2013" s="13">
        <v>45912</v>
      </c>
      <c r="C2013">
        <v>2025</v>
      </c>
      <c r="D2013">
        <v>9</v>
      </c>
      <c r="E2013" t="s">
        <v>4552</v>
      </c>
      <c r="F2013" t="s">
        <v>4047</v>
      </c>
      <c r="G2013" t="s">
        <v>2097</v>
      </c>
      <c r="H2013" t="s">
        <v>2098</v>
      </c>
      <c r="I2013" t="s">
        <v>85</v>
      </c>
      <c r="J2013">
        <v>26</v>
      </c>
      <c r="K2013" t="s">
        <v>81</v>
      </c>
      <c r="L2013" t="s">
        <v>2646</v>
      </c>
      <c r="M2013" t="s">
        <v>63</v>
      </c>
      <c r="N2013" t="s">
        <v>2594</v>
      </c>
      <c r="O2013" t="s">
        <v>131</v>
      </c>
      <c r="P2013" t="s">
        <v>53</v>
      </c>
      <c r="Q2013" t="s">
        <v>143</v>
      </c>
      <c r="R2013">
        <v>3</v>
      </c>
      <c r="S2013">
        <v>999</v>
      </c>
      <c r="T2013">
        <v>0.1</v>
      </c>
      <c r="U2013">
        <v>2697.3</v>
      </c>
      <c r="V2013">
        <v>1560</v>
      </c>
      <c r="W2013">
        <v>1137.3</v>
      </c>
      <c r="X2013" t="s">
        <v>74</v>
      </c>
      <c r="Y2013" t="s">
        <v>69</v>
      </c>
      <c r="Z2013" t="s">
        <v>163</v>
      </c>
      <c r="AA2013" t="s">
        <v>171</v>
      </c>
      <c r="AB2013">
        <v>2.6</v>
      </c>
      <c r="AC2013">
        <v>50</v>
      </c>
      <c r="AD2013">
        <v>294.94</v>
      </c>
      <c r="AE2013">
        <f t="shared" si="62"/>
        <v>792.3599999999999</v>
      </c>
      <c r="AF2013" t="str">
        <f t="shared" si="63"/>
        <v>2025-09</v>
      </c>
      <c r="AG2013">
        <f>SUBTOTAL(103,A2013)</f>
        <v>1</v>
      </c>
    </row>
    <row r="2014" spans="1:33" x14ac:dyDescent="0.3">
      <c r="A2014" t="s">
        <v>4633</v>
      </c>
      <c r="B2014" s="13">
        <v>45912</v>
      </c>
      <c r="C2014">
        <v>2025</v>
      </c>
      <c r="D2014">
        <v>9</v>
      </c>
      <c r="E2014" t="s">
        <v>4552</v>
      </c>
      <c r="F2014" t="s">
        <v>4047</v>
      </c>
      <c r="G2014" t="s">
        <v>1547</v>
      </c>
      <c r="H2014" t="s">
        <v>1548</v>
      </c>
      <c r="I2014" t="s">
        <v>86</v>
      </c>
      <c r="J2014">
        <v>46</v>
      </c>
      <c r="K2014" t="s">
        <v>83</v>
      </c>
      <c r="L2014" t="s">
        <v>90</v>
      </c>
      <c r="M2014" t="s">
        <v>55</v>
      </c>
      <c r="N2014" t="s">
        <v>2584</v>
      </c>
      <c r="O2014" t="s">
        <v>121</v>
      </c>
      <c r="P2014" t="s">
        <v>50</v>
      </c>
      <c r="Q2014" t="s">
        <v>144</v>
      </c>
      <c r="R2014">
        <v>1</v>
      </c>
      <c r="S2014">
        <v>2999</v>
      </c>
      <c r="T2014">
        <v>0.1</v>
      </c>
      <c r="U2014">
        <v>2699.1</v>
      </c>
      <c r="V2014">
        <v>1700</v>
      </c>
      <c r="W2014">
        <v>999.1</v>
      </c>
      <c r="X2014" t="s">
        <v>77</v>
      </c>
      <c r="Y2014" t="s">
        <v>68</v>
      </c>
      <c r="Z2014" t="s">
        <v>158</v>
      </c>
      <c r="AA2014" t="s">
        <v>171</v>
      </c>
      <c r="AB2014">
        <v>3.1</v>
      </c>
      <c r="AC2014">
        <v>100</v>
      </c>
      <c r="AD2014">
        <v>279.58999999999997</v>
      </c>
      <c r="AE2014">
        <f t="shared" si="62"/>
        <v>619.51</v>
      </c>
      <c r="AF2014" t="str">
        <f t="shared" si="63"/>
        <v>2025-09</v>
      </c>
      <c r="AG2014">
        <f>SUBTOTAL(103,A2014)</f>
        <v>1</v>
      </c>
    </row>
    <row r="2015" spans="1:33" x14ac:dyDescent="0.3">
      <c r="A2015" t="s">
        <v>4634</v>
      </c>
      <c r="B2015" s="13">
        <v>45912</v>
      </c>
      <c r="C2015">
        <v>2025</v>
      </c>
      <c r="D2015">
        <v>9</v>
      </c>
      <c r="E2015" t="s">
        <v>4552</v>
      </c>
      <c r="F2015" t="s">
        <v>4047</v>
      </c>
      <c r="G2015" t="s">
        <v>763</v>
      </c>
      <c r="H2015" t="s">
        <v>764</v>
      </c>
      <c r="I2015" t="s">
        <v>85</v>
      </c>
      <c r="J2015">
        <v>58</v>
      </c>
      <c r="K2015" t="s">
        <v>83</v>
      </c>
      <c r="L2015" t="s">
        <v>2634</v>
      </c>
      <c r="M2015" t="s">
        <v>56</v>
      </c>
      <c r="N2015" t="s">
        <v>2603</v>
      </c>
      <c r="O2015" t="s">
        <v>122</v>
      </c>
      <c r="P2015" t="s">
        <v>48</v>
      </c>
      <c r="Q2015" t="s">
        <v>141</v>
      </c>
      <c r="R2015">
        <v>2</v>
      </c>
      <c r="S2015">
        <v>2499</v>
      </c>
      <c r="T2015">
        <v>0.1</v>
      </c>
      <c r="U2015">
        <v>4498.2</v>
      </c>
      <c r="V2015">
        <v>2900</v>
      </c>
      <c r="W2015">
        <v>1598.2</v>
      </c>
      <c r="X2015" t="s">
        <v>76</v>
      </c>
      <c r="Y2015" t="s">
        <v>68</v>
      </c>
      <c r="Z2015" t="s">
        <v>158</v>
      </c>
      <c r="AA2015" t="s">
        <v>167</v>
      </c>
      <c r="AB2015">
        <v>3.4</v>
      </c>
      <c r="AC2015">
        <v>40</v>
      </c>
      <c r="AD2015">
        <v>298.75</v>
      </c>
      <c r="AE2015">
        <f t="shared" si="62"/>
        <v>1259.45</v>
      </c>
      <c r="AF2015" t="str">
        <f t="shared" si="63"/>
        <v>2025-09</v>
      </c>
      <c r="AG2015">
        <f>SUBTOTAL(103,A2015)</f>
        <v>1</v>
      </c>
    </row>
    <row r="2016" spans="1:33" x14ac:dyDescent="0.3">
      <c r="A2016" t="s">
        <v>4635</v>
      </c>
      <c r="B2016" s="13">
        <v>45912</v>
      </c>
      <c r="C2016">
        <v>2025</v>
      </c>
      <c r="D2016">
        <v>9</v>
      </c>
      <c r="E2016" t="s">
        <v>4552</v>
      </c>
      <c r="F2016" t="s">
        <v>4047</v>
      </c>
      <c r="G2016" t="s">
        <v>2295</v>
      </c>
      <c r="H2016" t="s">
        <v>2296</v>
      </c>
      <c r="I2016" t="s">
        <v>86</v>
      </c>
      <c r="J2016">
        <v>37</v>
      </c>
      <c r="K2016" t="s">
        <v>82</v>
      </c>
      <c r="L2016" t="s">
        <v>93</v>
      </c>
      <c r="M2016" t="s">
        <v>55</v>
      </c>
      <c r="N2016" t="s">
        <v>2574</v>
      </c>
      <c r="O2016" t="s">
        <v>130</v>
      </c>
      <c r="P2016" t="s">
        <v>50</v>
      </c>
      <c r="Q2016" t="s">
        <v>53</v>
      </c>
      <c r="R2016">
        <v>2</v>
      </c>
      <c r="S2016">
        <v>1199</v>
      </c>
      <c r="T2016">
        <v>0.1</v>
      </c>
      <c r="U2016">
        <v>2158.1999999999998</v>
      </c>
      <c r="V2016">
        <v>1100</v>
      </c>
      <c r="W2016">
        <v>1058.2</v>
      </c>
      <c r="X2016" t="s">
        <v>74</v>
      </c>
      <c r="Y2016" t="s">
        <v>68</v>
      </c>
      <c r="Z2016" t="s">
        <v>161</v>
      </c>
      <c r="AA2016" t="s">
        <v>170</v>
      </c>
      <c r="AB2016">
        <v>4.5</v>
      </c>
      <c r="AC2016">
        <v>40</v>
      </c>
      <c r="AD2016">
        <v>93.93</v>
      </c>
      <c r="AE2016">
        <f t="shared" si="62"/>
        <v>924.27</v>
      </c>
      <c r="AF2016" t="str">
        <f t="shared" si="63"/>
        <v>2025-09</v>
      </c>
      <c r="AG2016">
        <f>SUBTOTAL(103,A2016)</f>
        <v>1</v>
      </c>
    </row>
    <row r="2017" spans="1:33" x14ac:dyDescent="0.3">
      <c r="A2017" t="s">
        <v>4636</v>
      </c>
      <c r="B2017" s="13">
        <v>45913</v>
      </c>
      <c r="C2017">
        <v>2025</v>
      </c>
      <c r="D2017">
        <v>9</v>
      </c>
      <c r="E2017" t="s">
        <v>4552</v>
      </c>
      <c r="F2017" t="s">
        <v>4047</v>
      </c>
      <c r="G2017" t="s">
        <v>1015</v>
      </c>
      <c r="H2017" t="s">
        <v>1016</v>
      </c>
      <c r="I2017" t="s">
        <v>85</v>
      </c>
      <c r="J2017">
        <v>37</v>
      </c>
      <c r="K2017" t="s">
        <v>82</v>
      </c>
      <c r="L2017" t="s">
        <v>94</v>
      </c>
      <c r="M2017" t="s">
        <v>57</v>
      </c>
      <c r="N2017" t="s">
        <v>2653</v>
      </c>
      <c r="O2017" t="s">
        <v>132</v>
      </c>
      <c r="P2017" t="s">
        <v>52</v>
      </c>
      <c r="Q2017" t="s">
        <v>150</v>
      </c>
      <c r="R2017">
        <v>4</v>
      </c>
      <c r="S2017">
        <v>899</v>
      </c>
      <c r="T2017">
        <v>0.15</v>
      </c>
      <c r="U2017">
        <v>3056.6</v>
      </c>
      <c r="V2017">
        <v>1680</v>
      </c>
      <c r="W2017">
        <v>1376.6</v>
      </c>
      <c r="X2017" t="s">
        <v>75</v>
      </c>
      <c r="Y2017" t="s">
        <v>69</v>
      </c>
      <c r="Z2017" t="s">
        <v>158</v>
      </c>
      <c r="AA2017" t="s">
        <v>167</v>
      </c>
      <c r="AB2017">
        <v>4.2</v>
      </c>
      <c r="AC2017">
        <v>60</v>
      </c>
      <c r="AD2017">
        <v>347.95</v>
      </c>
      <c r="AE2017">
        <f t="shared" si="62"/>
        <v>968.64999999999986</v>
      </c>
      <c r="AF2017" t="str">
        <f t="shared" si="63"/>
        <v>2025-09</v>
      </c>
      <c r="AG2017">
        <f>SUBTOTAL(103,A2017)</f>
        <v>1</v>
      </c>
    </row>
    <row r="2018" spans="1:33" x14ac:dyDescent="0.3">
      <c r="A2018" t="s">
        <v>4637</v>
      </c>
      <c r="B2018" s="13">
        <v>45913</v>
      </c>
      <c r="C2018">
        <v>2025</v>
      </c>
      <c r="D2018">
        <v>9</v>
      </c>
      <c r="E2018" t="s">
        <v>4552</v>
      </c>
      <c r="F2018" t="s">
        <v>4047</v>
      </c>
      <c r="G2018" t="s">
        <v>309</v>
      </c>
      <c r="H2018" t="s">
        <v>310</v>
      </c>
      <c r="I2018" t="s">
        <v>86</v>
      </c>
      <c r="J2018">
        <v>22</v>
      </c>
      <c r="K2018" t="s">
        <v>80</v>
      </c>
      <c r="L2018" t="s">
        <v>2573</v>
      </c>
      <c r="M2018" t="s">
        <v>63</v>
      </c>
      <c r="N2018" t="s">
        <v>2587</v>
      </c>
      <c r="O2018" t="s">
        <v>116</v>
      </c>
      <c r="P2018" t="s">
        <v>48</v>
      </c>
      <c r="Q2018" t="s">
        <v>138</v>
      </c>
      <c r="R2018">
        <v>2</v>
      </c>
      <c r="S2018">
        <v>14999</v>
      </c>
      <c r="T2018">
        <v>0.25</v>
      </c>
      <c r="U2018">
        <v>22498.5</v>
      </c>
      <c r="V2018">
        <v>22400</v>
      </c>
      <c r="W2018">
        <v>98.5</v>
      </c>
      <c r="X2018" t="s">
        <v>73</v>
      </c>
      <c r="Y2018" t="s">
        <v>68</v>
      </c>
      <c r="Z2018" t="s">
        <v>162</v>
      </c>
      <c r="AA2018" t="s">
        <v>167</v>
      </c>
      <c r="AB2018">
        <v>4.2</v>
      </c>
      <c r="AC2018">
        <v>60</v>
      </c>
      <c r="AD2018">
        <v>630.39</v>
      </c>
      <c r="AE2018">
        <f t="shared" si="62"/>
        <v>-591.89</v>
      </c>
      <c r="AF2018" t="str">
        <f t="shared" si="63"/>
        <v>2025-09</v>
      </c>
      <c r="AG2018">
        <f>SUBTOTAL(103,A2018)</f>
        <v>1</v>
      </c>
    </row>
    <row r="2019" spans="1:33" x14ac:dyDescent="0.3">
      <c r="A2019" t="s">
        <v>4638</v>
      </c>
      <c r="B2019" s="13">
        <v>45913</v>
      </c>
      <c r="C2019">
        <v>2025</v>
      </c>
      <c r="D2019">
        <v>9</v>
      </c>
      <c r="E2019" t="s">
        <v>4552</v>
      </c>
      <c r="F2019" t="s">
        <v>4047</v>
      </c>
      <c r="G2019" t="s">
        <v>547</v>
      </c>
      <c r="H2019" t="s">
        <v>548</v>
      </c>
      <c r="I2019" t="s">
        <v>85</v>
      </c>
      <c r="J2019">
        <v>34</v>
      </c>
      <c r="K2019" t="s">
        <v>81</v>
      </c>
      <c r="L2019" t="s">
        <v>91</v>
      </c>
      <c r="M2019" t="s">
        <v>55</v>
      </c>
      <c r="N2019" t="s">
        <v>2601</v>
      </c>
      <c r="O2019" t="s">
        <v>117</v>
      </c>
      <c r="P2019" t="s">
        <v>49</v>
      </c>
      <c r="Q2019" t="s">
        <v>139</v>
      </c>
      <c r="R2019">
        <v>5</v>
      </c>
      <c r="S2019">
        <v>6999</v>
      </c>
      <c r="T2019">
        <v>0.05</v>
      </c>
      <c r="U2019">
        <v>33245.25</v>
      </c>
      <c r="V2019">
        <v>21500</v>
      </c>
      <c r="W2019">
        <v>11745.25</v>
      </c>
      <c r="X2019" t="s">
        <v>76</v>
      </c>
      <c r="Y2019" t="s">
        <v>68</v>
      </c>
      <c r="Z2019" t="s">
        <v>160</v>
      </c>
      <c r="AA2019" t="s">
        <v>168</v>
      </c>
      <c r="AB2019">
        <v>4.3</v>
      </c>
      <c r="AC2019">
        <v>40</v>
      </c>
      <c r="AD2019">
        <v>3985.7</v>
      </c>
      <c r="AE2019">
        <f t="shared" si="62"/>
        <v>7719.55</v>
      </c>
      <c r="AF2019" t="str">
        <f t="shared" si="63"/>
        <v>2025-09</v>
      </c>
      <c r="AG2019">
        <f>SUBTOTAL(103,A2019)</f>
        <v>1</v>
      </c>
    </row>
    <row r="2020" spans="1:33" x14ac:dyDescent="0.3">
      <c r="A2020" t="s">
        <v>4639</v>
      </c>
      <c r="B2020" s="13">
        <v>45913</v>
      </c>
      <c r="C2020">
        <v>2025</v>
      </c>
      <c r="D2020">
        <v>9</v>
      </c>
      <c r="E2020" t="s">
        <v>4552</v>
      </c>
      <c r="F2020" t="s">
        <v>4047</v>
      </c>
      <c r="G2020" t="s">
        <v>639</v>
      </c>
      <c r="H2020" t="s">
        <v>640</v>
      </c>
      <c r="I2020" t="s">
        <v>85</v>
      </c>
      <c r="J2020">
        <v>59</v>
      </c>
      <c r="K2020" t="s">
        <v>83</v>
      </c>
      <c r="L2020" t="s">
        <v>2605</v>
      </c>
      <c r="M2020" t="s">
        <v>60</v>
      </c>
      <c r="N2020" t="s">
        <v>2594</v>
      </c>
      <c r="O2020" t="s">
        <v>131</v>
      </c>
      <c r="P2020" t="s">
        <v>53</v>
      </c>
      <c r="Q2020" t="s">
        <v>143</v>
      </c>
      <c r="R2020">
        <v>2</v>
      </c>
      <c r="S2020">
        <v>999</v>
      </c>
      <c r="T2020">
        <v>0.1</v>
      </c>
      <c r="U2020">
        <v>1798.2</v>
      </c>
      <c r="V2020">
        <v>1040</v>
      </c>
      <c r="W2020">
        <v>758.2</v>
      </c>
      <c r="X2020" t="s">
        <v>74</v>
      </c>
      <c r="Y2020" t="s">
        <v>68</v>
      </c>
      <c r="Z2020" t="s">
        <v>160</v>
      </c>
      <c r="AA2020" t="s">
        <v>169</v>
      </c>
      <c r="AB2020">
        <v>4.5999999999999996</v>
      </c>
      <c r="AC2020">
        <v>40</v>
      </c>
      <c r="AD2020">
        <v>189.41</v>
      </c>
      <c r="AE2020">
        <f t="shared" si="62"/>
        <v>528.79000000000008</v>
      </c>
      <c r="AF2020" t="str">
        <f t="shared" si="63"/>
        <v>2025-09</v>
      </c>
      <c r="AG2020">
        <f>SUBTOTAL(103,A2020)</f>
        <v>1</v>
      </c>
    </row>
    <row r="2021" spans="1:33" x14ac:dyDescent="0.3">
      <c r="A2021" t="s">
        <v>4640</v>
      </c>
      <c r="B2021" s="13">
        <v>45914</v>
      </c>
      <c r="C2021">
        <v>2025</v>
      </c>
      <c r="D2021">
        <v>9</v>
      </c>
      <c r="E2021" t="s">
        <v>4552</v>
      </c>
      <c r="F2021" t="s">
        <v>4047</v>
      </c>
      <c r="G2021" t="s">
        <v>1895</v>
      </c>
      <c r="H2021" t="s">
        <v>1896</v>
      </c>
      <c r="I2021" t="s">
        <v>86</v>
      </c>
      <c r="J2021">
        <v>33</v>
      </c>
      <c r="K2021" t="s">
        <v>81</v>
      </c>
      <c r="L2021" t="s">
        <v>2579</v>
      </c>
      <c r="M2021" t="s">
        <v>56</v>
      </c>
      <c r="N2021" t="s">
        <v>2647</v>
      </c>
      <c r="O2021" t="s">
        <v>133</v>
      </c>
      <c r="P2021" t="s">
        <v>50</v>
      </c>
      <c r="Q2021" t="s">
        <v>145</v>
      </c>
      <c r="R2021">
        <v>1</v>
      </c>
      <c r="S2021">
        <v>799</v>
      </c>
      <c r="T2021">
        <v>0.15</v>
      </c>
      <c r="U2021">
        <v>679.15</v>
      </c>
      <c r="V2021">
        <v>390</v>
      </c>
      <c r="W2021">
        <v>289.14999999999998</v>
      </c>
      <c r="X2021" t="s">
        <v>74</v>
      </c>
      <c r="Y2021" t="s">
        <v>68</v>
      </c>
      <c r="Z2021" t="s">
        <v>158</v>
      </c>
      <c r="AA2021" t="s">
        <v>171</v>
      </c>
      <c r="AB2021">
        <v>4.9000000000000004</v>
      </c>
      <c r="AC2021">
        <v>50</v>
      </c>
      <c r="AD2021">
        <v>20</v>
      </c>
      <c r="AE2021">
        <f t="shared" si="62"/>
        <v>219.14999999999998</v>
      </c>
      <c r="AF2021" t="str">
        <f t="shared" si="63"/>
        <v>2025-09</v>
      </c>
      <c r="AG2021">
        <f>SUBTOTAL(103,A2021)</f>
        <v>1</v>
      </c>
    </row>
    <row r="2022" spans="1:33" x14ac:dyDescent="0.3">
      <c r="A2022" t="s">
        <v>4641</v>
      </c>
      <c r="B2022" s="13">
        <v>45914</v>
      </c>
      <c r="C2022">
        <v>2025</v>
      </c>
      <c r="D2022">
        <v>9</v>
      </c>
      <c r="E2022" t="s">
        <v>4552</v>
      </c>
      <c r="F2022" t="s">
        <v>4047</v>
      </c>
      <c r="G2022" t="s">
        <v>243</v>
      </c>
      <c r="H2022" t="s">
        <v>244</v>
      </c>
      <c r="I2022" t="s">
        <v>85</v>
      </c>
      <c r="J2022">
        <v>56</v>
      </c>
      <c r="K2022" t="s">
        <v>83</v>
      </c>
      <c r="L2022" t="s">
        <v>2576</v>
      </c>
      <c r="M2022" t="s">
        <v>60</v>
      </c>
      <c r="N2022" t="s">
        <v>2587</v>
      </c>
      <c r="O2022" t="s">
        <v>116</v>
      </c>
      <c r="P2022" t="s">
        <v>48</v>
      </c>
      <c r="Q2022" t="s">
        <v>138</v>
      </c>
      <c r="R2022">
        <v>4</v>
      </c>
      <c r="S2022">
        <v>14999</v>
      </c>
      <c r="T2022">
        <v>0</v>
      </c>
      <c r="U2022">
        <v>59996</v>
      </c>
      <c r="V2022">
        <v>44800</v>
      </c>
      <c r="W2022">
        <v>15196</v>
      </c>
      <c r="X2022" t="s">
        <v>73</v>
      </c>
      <c r="Y2022" t="s">
        <v>68</v>
      </c>
      <c r="Z2022" t="s">
        <v>158</v>
      </c>
      <c r="AA2022" t="s">
        <v>168</v>
      </c>
      <c r="AB2022">
        <v>4.4000000000000004</v>
      </c>
      <c r="AC2022">
        <v>80</v>
      </c>
      <c r="AD2022">
        <v>4229.22</v>
      </c>
      <c r="AE2022">
        <f t="shared" si="62"/>
        <v>10886.779999999999</v>
      </c>
      <c r="AF2022" t="str">
        <f t="shared" si="63"/>
        <v>2025-09</v>
      </c>
      <c r="AG2022">
        <f>SUBTOTAL(103,A2022)</f>
        <v>1</v>
      </c>
    </row>
    <row r="2023" spans="1:33" x14ac:dyDescent="0.3">
      <c r="A2023" t="s">
        <v>4642</v>
      </c>
      <c r="B2023" s="13">
        <v>45914</v>
      </c>
      <c r="C2023">
        <v>2025</v>
      </c>
      <c r="D2023">
        <v>9</v>
      </c>
      <c r="E2023" t="s">
        <v>4552</v>
      </c>
      <c r="F2023" t="s">
        <v>4047</v>
      </c>
      <c r="G2023" t="s">
        <v>1557</v>
      </c>
      <c r="H2023" t="s">
        <v>1558</v>
      </c>
      <c r="I2023" t="s">
        <v>86</v>
      </c>
      <c r="J2023">
        <v>56</v>
      </c>
      <c r="K2023" t="s">
        <v>83</v>
      </c>
      <c r="L2023" t="s">
        <v>90</v>
      </c>
      <c r="M2023" t="s">
        <v>55</v>
      </c>
      <c r="N2023" t="s">
        <v>2601</v>
      </c>
      <c r="O2023" t="s">
        <v>117</v>
      </c>
      <c r="P2023" t="s">
        <v>49</v>
      </c>
      <c r="Q2023" t="s">
        <v>139</v>
      </c>
      <c r="R2023">
        <v>1</v>
      </c>
      <c r="S2023">
        <v>6999</v>
      </c>
      <c r="T2023">
        <v>0.05</v>
      </c>
      <c r="U2023">
        <v>6649.05</v>
      </c>
      <c r="V2023">
        <v>4300</v>
      </c>
      <c r="W2023">
        <v>2349.0500000000002</v>
      </c>
      <c r="X2023" t="s">
        <v>76</v>
      </c>
      <c r="Y2023" t="s">
        <v>69</v>
      </c>
      <c r="Z2023" t="s">
        <v>158</v>
      </c>
      <c r="AA2023" t="s">
        <v>166</v>
      </c>
      <c r="AB2023">
        <v>3.8</v>
      </c>
      <c r="AC2023">
        <v>40</v>
      </c>
      <c r="AD2023">
        <v>280</v>
      </c>
      <c r="AE2023">
        <f t="shared" si="62"/>
        <v>2029.0500000000002</v>
      </c>
      <c r="AF2023" t="str">
        <f t="shared" si="63"/>
        <v>2025-09</v>
      </c>
      <c r="AG2023">
        <f>SUBTOTAL(103,A2023)</f>
        <v>1</v>
      </c>
    </row>
    <row r="2024" spans="1:33" x14ac:dyDescent="0.3">
      <c r="A2024" t="s">
        <v>4643</v>
      </c>
      <c r="B2024" s="13">
        <v>45914</v>
      </c>
      <c r="C2024">
        <v>2025</v>
      </c>
      <c r="D2024">
        <v>9</v>
      </c>
      <c r="E2024" t="s">
        <v>4552</v>
      </c>
      <c r="F2024" t="s">
        <v>4047</v>
      </c>
      <c r="G2024" t="s">
        <v>509</v>
      </c>
      <c r="H2024" t="s">
        <v>510</v>
      </c>
      <c r="I2024" t="s">
        <v>87</v>
      </c>
      <c r="J2024">
        <v>60</v>
      </c>
      <c r="K2024" t="s">
        <v>83</v>
      </c>
      <c r="L2024" t="s">
        <v>2576</v>
      </c>
      <c r="M2024" t="s">
        <v>60</v>
      </c>
      <c r="N2024" t="s">
        <v>2582</v>
      </c>
      <c r="O2024" t="s">
        <v>119</v>
      </c>
      <c r="P2024" t="s">
        <v>49</v>
      </c>
      <c r="Q2024" t="s">
        <v>140</v>
      </c>
      <c r="R2024">
        <v>1</v>
      </c>
      <c r="S2024">
        <v>3499</v>
      </c>
      <c r="T2024">
        <v>0.2</v>
      </c>
      <c r="U2024">
        <v>2799.2</v>
      </c>
      <c r="V2024">
        <v>2100</v>
      </c>
      <c r="W2024">
        <v>699.2</v>
      </c>
      <c r="X2024" t="s">
        <v>74</v>
      </c>
      <c r="Y2024" t="s">
        <v>68</v>
      </c>
      <c r="Z2024" t="s">
        <v>163</v>
      </c>
      <c r="AA2024" t="s">
        <v>166</v>
      </c>
      <c r="AB2024">
        <v>4.7</v>
      </c>
      <c r="AC2024">
        <v>80</v>
      </c>
      <c r="AD2024">
        <v>319.85000000000002</v>
      </c>
      <c r="AE2024">
        <f t="shared" si="62"/>
        <v>299.35000000000002</v>
      </c>
      <c r="AF2024" t="str">
        <f t="shared" si="63"/>
        <v>2025-09</v>
      </c>
      <c r="AG2024">
        <f>SUBTOTAL(103,A2024)</f>
        <v>1</v>
      </c>
    </row>
    <row r="2025" spans="1:33" x14ac:dyDescent="0.3">
      <c r="A2025" t="s">
        <v>4644</v>
      </c>
      <c r="B2025" s="13">
        <v>45914</v>
      </c>
      <c r="C2025">
        <v>2025</v>
      </c>
      <c r="D2025">
        <v>9</v>
      </c>
      <c r="E2025" t="s">
        <v>4552</v>
      </c>
      <c r="F2025" t="s">
        <v>4047</v>
      </c>
      <c r="G2025" t="s">
        <v>621</v>
      </c>
      <c r="H2025" t="s">
        <v>622</v>
      </c>
      <c r="I2025" t="s">
        <v>85</v>
      </c>
      <c r="J2025">
        <v>54</v>
      </c>
      <c r="K2025" t="s">
        <v>83</v>
      </c>
      <c r="L2025" t="s">
        <v>100</v>
      </c>
      <c r="M2025" t="s">
        <v>56</v>
      </c>
      <c r="N2025" t="s">
        <v>2601</v>
      </c>
      <c r="O2025" t="s">
        <v>117</v>
      </c>
      <c r="P2025" t="s">
        <v>49</v>
      </c>
      <c r="Q2025" t="s">
        <v>139</v>
      </c>
      <c r="R2025">
        <v>1</v>
      </c>
      <c r="S2025">
        <v>6999</v>
      </c>
      <c r="T2025">
        <v>0.05</v>
      </c>
      <c r="U2025">
        <v>6649.05</v>
      </c>
      <c r="V2025">
        <v>4300</v>
      </c>
      <c r="W2025">
        <v>2349.0500000000002</v>
      </c>
      <c r="X2025" t="s">
        <v>73</v>
      </c>
      <c r="Y2025" t="s">
        <v>68</v>
      </c>
      <c r="Z2025" t="s">
        <v>158</v>
      </c>
      <c r="AA2025" t="s">
        <v>169</v>
      </c>
      <c r="AB2025">
        <v>5</v>
      </c>
      <c r="AC2025">
        <v>60</v>
      </c>
      <c r="AD2025">
        <v>514.66</v>
      </c>
      <c r="AE2025">
        <f t="shared" si="62"/>
        <v>1774.3900000000003</v>
      </c>
      <c r="AF2025" t="str">
        <f t="shared" si="63"/>
        <v>2025-09</v>
      </c>
      <c r="AG2025">
        <f>SUBTOTAL(103,A2025)</f>
        <v>1</v>
      </c>
    </row>
    <row r="2026" spans="1:33" x14ac:dyDescent="0.3">
      <c r="A2026" t="s">
        <v>4645</v>
      </c>
      <c r="B2026" s="13">
        <v>45914</v>
      </c>
      <c r="C2026">
        <v>2025</v>
      </c>
      <c r="D2026">
        <v>9</v>
      </c>
      <c r="E2026" t="s">
        <v>4552</v>
      </c>
      <c r="F2026" t="s">
        <v>4047</v>
      </c>
      <c r="G2026" t="s">
        <v>1197</v>
      </c>
      <c r="H2026" t="s">
        <v>1198</v>
      </c>
      <c r="I2026" t="s">
        <v>86</v>
      </c>
      <c r="J2026">
        <v>45</v>
      </c>
      <c r="K2026" t="s">
        <v>82</v>
      </c>
      <c r="L2026" t="s">
        <v>93</v>
      </c>
      <c r="M2026" t="s">
        <v>55</v>
      </c>
      <c r="N2026" t="s">
        <v>2647</v>
      </c>
      <c r="O2026" t="s">
        <v>133</v>
      </c>
      <c r="P2026" t="s">
        <v>50</v>
      </c>
      <c r="Q2026" t="s">
        <v>145</v>
      </c>
      <c r="R2026">
        <v>1</v>
      </c>
      <c r="S2026">
        <v>799</v>
      </c>
      <c r="T2026">
        <v>0.15</v>
      </c>
      <c r="U2026">
        <v>679.15</v>
      </c>
      <c r="V2026">
        <v>390</v>
      </c>
      <c r="W2026">
        <v>289.14999999999998</v>
      </c>
      <c r="X2026" t="s">
        <v>73</v>
      </c>
      <c r="Y2026" t="s">
        <v>68</v>
      </c>
      <c r="Z2026" t="s">
        <v>163</v>
      </c>
      <c r="AA2026" t="s">
        <v>171</v>
      </c>
      <c r="AB2026">
        <v>4.8</v>
      </c>
      <c r="AC2026">
        <v>100</v>
      </c>
      <c r="AD2026">
        <v>79.08</v>
      </c>
      <c r="AE2026">
        <f t="shared" si="62"/>
        <v>110.06999999999998</v>
      </c>
      <c r="AF2026" t="str">
        <f t="shared" si="63"/>
        <v>2025-09</v>
      </c>
      <c r="AG2026">
        <f>SUBTOTAL(103,A2026)</f>
        <v>1</v>
      </c>
    </row>
    <row r="2027" spans="1:33" x14ac:dyDescent="0.3">
      <c r="A2027" t="s">
        <v>4646</v>
      </c>
      <c r="B2027" s="13">
        <v>45914</v>
      </c>
      <c r="C2027">
        <v>2025</v>
      </c>
      <c r="D2027">
        <v>9</v>
      </c>
      <c r="E2027" t="s">
        <v>4552</v>
      </c>
      <c r="F2027" t="s">
        <v>4047</v>
      </c>
      <c r="G2027" t="s">
        <v>505</v>
      </c>
      <c r="H2027" t="s">
        <v>506</v>
      </c>
      <c r="I2027" t="s">
        <v>85</v>
      </c>
      <c r="J2027">
        <v>25</v>
      </c>
      <c r="K2027" t="s">
        <v>80</v>
      </c>
      <c r="L2027" t="s">
        <v>92</v>
      </c>
      <c r="M2027" t="s">
        <v>59</v>
      </c>
      <c r="N2027" t="s">
        <v>2601</v>
      </c>
      <c r="O2027" t="s">
        <v>117</v>
      </c>
      <c r="P2027" t="s">
        <v>49</v>
      </c>
      <c r="Q2027" t="s">
        <v>139</v>
      </c>
      <c r="R2027">
        <v>1</v>
      </c>
      <c r="S2027">
        <v>6999</v>
      </c>
      <c r="T2027">
        <v>0.05</v>
      </c>
      <c r="U2027">
        <v>6649.05</v>
      </c>
      <c r="V2027">
        <v>4300</v>
      </c>
      <c r="W2027">
        <v>2349.0500000000002</v>
      </c>
      <c r="X2027" t="s">
        <v>73</v>
      </c>
      <c r="Y2027" t="s">
        <v>68</v>
      </c>
      <c r="Z2027" t="s">
        <v>162</v>
      </c>
      <c r="AA2027" t="s">
        <v>170</v>
      </c>
      <c r="AB2027">
        <v>4.4000000000000004</v>
      </c>
      <c r="AC2027">
        <v>50</v>
      </c>
      <c r="AD2027">
        <v>216.96</v>
      </c>
      <c r="AE2027">
        <f t="shared" si="62"/>
        <v>2082.09</v>
      </c>
      <c r="AF2027" t="str">
        <f t="shared" si="63"/>
        <v>2025-09</v>
      </c>
      <c r="AG2027">
        <f>SUBTOTAL(103,A2027)</f>
        <v>1</v>
      </c>
    </row>
    <row r="2028" spans="1:33" x14ac:dyDescent="0.3">
      <c r="A2028" t="s">
        <v>4647</v>
      </c>
      <c r="B2028" s="13">
        <v>45914</v>
      </c>
      <c r="C2028">
        <v>2025</v>
      </c>
      <c r="D2028">
        <v>9</v>
      </c>
      <c r="E2028" t="s">
        <v>4552</v>
      </c>
      <c r="F2028" t="s">
        <v>4047</v>
      </c>
      <c r="G2028" t="s">
        <v>1863</v>
      </c>
      <c r="H2028" t="s">
        <v>1864</v>
      </c>
      <c r="I2028" t="s">
        <v>85</v>
      </c>
      <c r="J2028">
        <v>37</v>
      </c>
      <c r="K2028" t="s">
        <v>82</v>
      </c>
      <c r="L2028" t="s">
        <v>95</v>
      </c>
      <c r="M2028" t="s">
        <v>56</v>
      </c>
      <c r="N2028" t="s">
        <v>2647</v>
      </c>
      <c r="O2028" t="s">
        <v>133</v>
      </c>
      <c r="P2028" t="s">
        <v>50</v>
      </c>
      <c r="Q2028" t="s">
        <v>145</v>
      </c>
      <c r="R2028">
        <v>1</v>
      </c>
      <c r="S2028">
        <v>799</v>
      </c>
      <c r="T2028">
        <v>0.1</v>
      </c>
      <c r="U2028">
        <v>719.1</v>
      </c>
      <c r="V2028">
        <v>390</v>
      </c>
      <c r="W2028">
        <v>329.1</v>
      </c>
      <c r="X2028" t="s">
        <v>74</v>
      </c>
      <c r="Y2028" t="s">
        <v>68</v>
      </c>
      <c r="Z2028" t="s">
        <v>158</v>
      </c>
      <c r="AA2028" t="s">
        <v>166</v>
      </c>
      <c r="AB2028">
        <v>5</v>
      </c>
      <c r="AC2028">
        <v>60</v>
      </c>
      <c r="AD2028">
        <v>62.78</v>
      </c>
      <c r="AE2028">
        <f t="shared" si="62"/>
        <v>206.32000000000002</v>
      </c>
      <c r="AF2028" t="str">
        <f t="shared" si="63"/>
        <v>2025-09</v>
      </c>
      <c r="AG2028">
        <f>SUBTOTAL(103,A2028)</f>
        <v>1</v>
      </c>
    </row>
    <row r="2029" spans="1:33" x14ac:dyDescent="0.3">
      <c r="A2029" t="s">
        <v>4648</v>
      </c>
      <c r="B2029" s="13">
        <v>45914</v>
      </c>
      <c r="C2029">
        <v>2025</v>
      </c>
      <c r="D2029">
        <v>9</v>
      </c>
      <c r="E2029" t="s">
        <v>4552</v>
      </c>
      <c r="F2029" t="s">
        <v>4047</v>
      </c>
      <c r="G2029" t="s">
        <v>375</v>
      </c>
      <c r="H2029" t="s">
        <v>376</v>
      </c>
      <c r="I2029" t="s">
        <v>85</v>
      </c>
      <c r="J2029">
        <v>37</v>
      </c>
      <c r="K2029" t="s">
        <v>82</v>
      </c>
      <c r="L2029" t="s">
        <v>2576</v>
      </c>
      <c r="M2029" t="s">
        <v>60</v>
      </c>
      <c r="N2029" t="s">
        <v>2587</v>
      </c>
      <c r="O2029" t="s">
        <v>116</v>
      </c>
      <c r="P2029" t="s">
        <v>48</v>
      </c>
      <c r="Q2029" t="s">
        <v>138</v>
      </c>
      <c r="R2029">
        <v>4</v>
      </c>
      <c r="S2029">
        <v>14999</v>
      </c>
      <c r="T2029">
        <v>0.2</v>
      </c>
      <c r="U2029">
        <v>47996.800000000003</v>
      </c>
      <c r="V2029">
        <v>44800</v>
      </c>
      <c r="W2029">
        <v>3196.8</v>
      </c>
      <c r="X2029" t="s">
        <v>75</v>
      </c>
      <c r="Y2029" t="s">
        <v>68</v>
      </c>
      <c r="Z2029" t="s">
        <v>162</v>
      </c>
      <c r="AA2029" t="s">
        <v>169</v>
      </c>
      <c r="AB2029">
        <v>4</v>
      </c>
      <c r="AC2029">
        <v>50</v>
      </c>
      <c r="AD2029">
        <v>3193.51</v>
      </c>
      <c r="AE2029">
        <f t="shared" si="62"/>
        <v>-46.710000000000036</v>
      </c>
      <c r="AF2029" t="str">
        <f t="shared" si="63"/>
        <v>2025-09</v>
      </c>
      <c r="AG2029">
        <f>SUBTOTAL(103,A2029)</f>
        <v>1</v>
      </c>
    </row>
    <row r="2030" spans="1:33" x14ac:dyDescent="0.3">
      <c r="A2030" t="s">
        <v>4649</v>
      </c>
      <c r="B2030" s="13">
        <v>45914</v>
      </c>
      <c r="C2030">
        <v>2025</v>
      </c>
      <c r="D2030">
        <v>9</v>
      </c>
      <c r="E2030" t="s">
        <v>4552</v>
      </c>
      <c r="F2030" t="s">
        <v>4047</v>
      </c>
      <c r="G2030" t="s">
        <v>1253</v>
      </c>
      <c r="H2030" t="s">
        <v>1254</v>
      </c>
      <c r="I2030" t="s">
        <v>86</v>
      </c>
      <c r="J2030">
        <v>26</v>
      </c>
      <c r="K2030" t="s">
        <v>81</v>
      </c>
      <c r="L2030" t="s">
        <v>97</v>
      </c>
      <c r="M2030" t="s">
        <v>57</v>
      </c>
      <c r="N2030" t="s">
        <v>2644</v>
      </c>
      <c r="O2030" t="s">
        <v>126</v>
      </c>
      <c r="P2030" t="s">
        <v>50</v>
      </c>
      <c r="Q2030" t="s">
        <v>145</v>
      </c>
      <c r="R2030">
        <v>3</v>
      </c>
      <c r="S2030">
        <v>1799</v>
      </c>
      <c r="T2030">
        <v>0.1</v>
      </c>
      <c r="U2030">
        <v>4857.3</v>
      </c>
      <c r="V2030">
        <v>2850</v>
      </c>
      <c r="W2030">
        <v>2007.3</v>
      </c>
      <c r="X2030" t="s">
        <v>75</v>
      </c>
      <c r="Y2030" t="s">
        <v>68</v>
      </c>
      <c r="Z2030" t="s">
        <v>158</v>
      </c>
      <c r="AA2030" t="s">
        <v>170</v>
      </c>
      <c r="AB2030">
        <v>3.9</v>
      </c>
      <c r="AC2030">
        <v>60</v>
      </c>
      <c r="AD2030">
        <v>155.96</v>
      </c>
      <c r="AE2030">
        <f t="shared" si="62"/>
        <v>1791.34</v>
      </c>
      <c r="AF2030" t="str">
        <f t="shared" si="63"/>
        <v>2025-09</v>
      </c>
      <c r="AG2030">
        <f>SUBTOTAL(103,A2030)</f>
        <v>1</v>
      </c>
    </row>
    <row r="2031" spans="1:33" x14ac:dyDescent="0.3">
      <c r="A2031" t="s">
        <v>4650</v>
      </c>
      <c r="B2031" s="13">
        <v>45915</v>
      </c>
      <c r="C2031">
        <v>2025</v>
      </c>
      <c r="D2031">
        <v>9</v>
      </c>
      <c r="E2031" t="s">
        <v>4552</v>
      </c>
      <c r="F2031" t="s">
        <v>4047</v>
      </c>
      <c r="G2031" t="s">
        <v>561</v>
      </c>
      <c r="H2031" t="s">
        <v>562</v>
      </c>
      <c r="I2031" t="s">
        <v>85</v>
      </c>
      <c r="J2031">
        <v>56</v>
      </c>
      <c r="K2031" t="s">
        <v>83</v>
      </c>
      <c r="L2031" t="s">
        <v>93</v>
      </c>
      <c r="M2031" t="s">
        <v>55</v>
      </c>
      <c r="N2031" t="s">
        <v>2606</v>
      </c>
      <c r="O2031" t="s">
        <v>120</v>
      </c>
      <c r="P2031" t="s">
        <v>49</v>
      </c>
      <c r="Q2031" t="s">
        <v>140</v>
      </c>
      <c r="R2031">
        <v>3</v>
      </c>
      <c r="S2031">
        <v>2799</v>
      </c>
      <c r="T2031">
        <v>0.15</v>
      </c>
      <c r="U2031">
        <v>7137.45</v>
      </c>
      <c r="V2031">
        <v>4950</v>
      </c>
      <c r="W2031">
        <v>2187.4499999999998</v>
      </c>
      <c r="X2031" t="s">
        <v>75</v>
      </c>
      <c r="Y2031" t="s">
        <v>68</v>
      </c>
      <c r="Z2031" t="s">
        <v>163</v>
      </c>
      <c r="AA2031" t="s">
        <v>170</v>
      </c>
      <c r="AB2031">
        <v>3.5</v>
      </c>
      <c r="AC2031">
        <v>80</v>
      </c>
      <c r="AD2031">
        <v>748.02</v>
      </c>
      <c r="AE2031">
        <f t="shared" si="62"/>
        <v>1359.4299999999998</v>
      </c>
      <c r="AF2031" t="str">
        <f t="shared" si="63"/>
        <v>2025-09</v>
      </c>
      <c r="AG2031">
        <f>SUBTOTAL(103,A2031)</f>
        <v>1</v>
      </c>
    </row>
    <row r="2032" spans="1:33" x14ac:dyDescent="0.3">
      <c r="A2032" t="s">
        <v>4651</v>
      </c>
      <c r="B2032" s="13">
        <v>45915</v>
      </c>
      <c r="C2032">
        <v>2025</v>
      </c>
      <c r="D2032">
        <v>9</v>
      </c>
      <c r="E2032" t="s">
        <v>4552</v>
      </c>
      <c r="F2032" t="s">
        <v>4047</v>
      </c>
      <c r="G2032" t="s">
        <v>411</v>
      </c>
      <c r="H2032" t="s">
        <v>412</v>
      </c>
      <c r="I2032" t="s">
        <v>86</v>
      </c>
      <c r="J2032">
        <v>39</v>
      </c>
      <c r="K2032" t="s">
        <v>82</v>
      </c>
      <c r="L2032" t="s">
        <v>2586</v>
      </c>
      <c r="M2032" t="s">
        <v>62</v>
      </c>
      <c r="N2032" t="s">
        <v>2582</v>
      </c>
      <c r="O2032" t="s">
        <v>119</v>
      </c>
      <c r="P2032" t="s">
        <v>49</v>
      </c>
      <c r="Q2032" t="s">
        <v>140</v>
      </c>
      <c r="R2032">
        <v>3</v>
      </c>
      <c r="S2032">
        <v>3499</v>
      </c>
      <c r="T2032">
        <v>0.1</v>
      </c>
      <c r="U2032">
        <v>0</v>
      </c>
      <c r="V2032">
        <v>0</v>
      </c>
      <c r="W2032">
        <v>0</v>
      </c>
      <c r="X2032" t="s">
        <v>76</v>
      </c>
      <c r="Y2032" t="s">
        <v>71</v>
      </c>
      <c r="Z2032" t="s">
        <v>158</v>
      </c>
      <c r="AA2032" t="s">
        <v>169</v>
      </c>
      <c r="AB2032">
        <v>2.9</v>
      </c>
      <c r="AC2032">
        <v>40</v>
      </c>
      <c r="AD2032">
        <v>664.67</v>
      </c>
      <c r="AE2032">
        <f t="shared" si="62"/>
        <v>-704.67</v>
      </c>
      <c r="AF2032" t="str">
        <f t="shared" si="63"/>
        <v>2025-09</v>
      </c>
      <c r="AG2032">
        <f>SUBTOTAL(103,A2032)</f>
        <v>1</v>
      </c>
    </row>
    <row r="2033" spans="1:33" x14ac:dyDescent="0.3">
      <c r="A2033" t="s">
        <v>4652</v>
      </c>
      <c r="B2033" s="13">
        <v>45915</v>
      </c>
      <c r="C2033">
        <v>2025</v>
      </c>
      <c r="D2033">
        <v>9</v>
      </c>
      <c r="E2033" t="s">
        <v>4552</v>
      </c>
      <c r="F2033" t="s">
        <v>4047</v>
      </c>
      <c r="G2033" t="s">
        <v>515</v>
      </c>
      <c r="H2033" t="s">
        <v>516</v>
      </c>
      <c r="I2033" t="s">
        <v>85</v>
      </c>
      <c r="J2033">
        <v>22</v>
      </c>
      <c r="K2033" t="s">
        <v>80</v>
      </c>
      <c r="L2033" t="s">
        <v>2634</v>
      </c>
      <c r="M2033" t="s">
        <v>56</v>
      </c>
      <c r="N2033" t="s">
        <v>2580</v>
      </c>
      <c r="O2033" t="s">
        <v>118</v>
      </c>
      <c r="P2033" t="s">
        <v>48</v>
      </c>
      <c r="Q2033" t="s">
        <v>142</v>
      </c>
      <c r="R2033">
        <v>3</v>
      </c>
      <c r="S2033">
        <v>3999</v>
      </c>
      <c r="T2033">
        <v>0.05</v>
      </c>
      <c r="U2033">
        <v>11397.15</v>
      </c>
      <c r="V2033">
        <v>7200</v>
      </c>
      <c r="W2033">
        <v>4197.1499999999996</v>
      </c>
      <c r="X2033" t="s">
        <v>73</v>
      </c>
      <c r="Y2033" t="s">
        <v>68</v>
      </c>
      <c r="Z2033" t="s">
        <v>160</v>
      </c>
      <c r="AA2033" t="s">
        <v>170</v>
      </c>
      <c r="AB2033">
        <v>3.1</v>
      </c>
      <c r="AC2033">
        <v>80</v>
      </c>
      <c r="AD2033">
        <v>988.84</v>
      </c>
      <c r="AE2033">
        <f t="shared" si="62"/>
        <v>3128.3099999999995</v>
      </c>
      <c r="AF2033" t="str">
        <f t="shared" si="63"/>
        <v>2025-09</v>
      </c>
      <c r="AG2033">
        <f>SUBTOTAL(103,A2033)</f>
        <v>1</v>
      </c>
    </row>
    <row r="2034" spans="1:33" x14ac:dyDescent="0.3">
      <c r="A2034" t="s">
        <v>4653</v>
      </c>
      <c r="B2034" s="13">
        <v>45915</v>
      </c>
      <c r="C2034">
        <v>2025</v>
      </c>
      <c r="D2034">
        <v>9</v>
      </c>
      <c r="E2034" t="s">
        <v>4552</v>
      </c>
      <c r="F2034" t="s">
        <v>4047</v>
      </c>
      <c r="G2034" t="s">
        <v>1367</v>
      </c>
      <c r="H2034" t="s">
        <v>1368</v>
      </c>
      <c r="I2034" t="s">
        <v>86</v>
      </c>
      <c r="J2034">
        <v>33</v>
      </c>
      <c r="K2034" t="s">
        <v>81</v>
      </c>
      <c r="L2034" t="s">
        <v>2690</v>
      </c>
      <c r="M2034" t="s">
        <v>63</v>
      </c>
      <c r="N2034" t="s">
        <v>2580</v>
      </c>
      <c r="O2034" t="s">
        <v>118</v>
      </c>
      <c r="P2034" t="s">
        <v>48</v>
      </c>
      <c r="Q2034" t="s">
        <v>142</v>
      </c>
      <c r="R2034">
        <v>1</v>
      </c>
      <c r="S2034">
        <v>3999</v>
      </c>
      <c r="T2034">
        <v>0</v>
      </c>
      <c r="U2034">
        <v>3999</v>
      </c>
      <c r="V2034">
        <v>2400</v>
      </c>
      <c r="W2034">
        <v>1599</v>
      </c>
      <c r="X2034" t="s">
        <v>75</v>
      </c>
      <c r="Y2034" t="s">
        <v>68</v>
      </c>
      <c r="Z2034" t="s">
        <v>160</v>
      </c>
      <c r="AA2034" t="s">
        <v>166</v>
      </c>
      <c r="AB2034">
        <v>4.2</v>
      </c>
      <c r="AC2034">
        <v>60</v>
      </c>
      <c r="AD2034">
        <v>139.51</v>
      </c>
      <c r="AE2034">
        <f t="shared" si="62"/>
        <v>1399.49</v>
      </c>
      <c r="AF2034" t="str">
        <f t="shared" si="63"/>
        <v>2025-09</v>
      </c>
      <c r="AG2034">
        <f>SUBTOTAL(103,A2034)</f>
        <v>1</v>
      </c>
    </row>
    <row r="2035" spans="1:33" x14ac:dyDescent="0.3">
      <c r="A2035" t="s">
        <v>4654</v>
      </c>
      <c r="B2035" s="13">
        <v>45915</v>
      </c>
      <c r="C2035">
        <v>2025</v>
      </c>
      <c r="D2035">
        <v>9</v>
      </c>
      <c r="E2035" t="s">
        <v>4552</v>
      </c>
      <c r="F2035" t="s">
        <v>4047</v>
      </c>
      <c r="G2035" t="s">
        <v>887</v>
      </c>
      <c r="H2035" t="s">
        <v>888</v>
      </c>
      <c r="I2035" t="s">
        <v>85</v>
      </c>
      <c r="J2035">
        <v>26</v>
      </c>
      <c r="K2035" t="s">
        <v>81</v>
      </c>
      <c r="L2035" t="s">
        <v>100</v>
      </c>
      <c r="M2035" t="s">
        <v>56</v>
      </c>
      <c r="N2035" t="s">
        <v>2594</v>
      </c>
      <c r="O2035" t="s">
        <v>131</v>
      </c>
      <c r="P2035" t="s">
        <v>53</v>
      </c>
      <c r="Q2035" t="s">
        <v>143</v>
      </c>
      <c r="R2035">
        <v>5</v>
      </c>
      <c r="S2035">
        <v>999</v>
      </c>
      <c r="T2035">
        <v>0.15</v>
      </c>
      <c r="U2035">
        <v>4245.75</v>
      </c>
      <c r="V2035">
        <v>2600</v>
      </c>
      <c r="W2035">
        <v>1645.75</v>
      </c>
      <c r="X2035" t="s">
        <v>74</v>
      </c>
      <c r="Y2035" t="s">
        <v>68</v>
      </c>
      <c r="Z2035" t="s">
        <v>162</v>
      </c>
      <c r="AA2035" t="s">
        <v>167</v>
      </c>
      <c r="AB2035">
        <v>4.5999999999999996</v>
      </c>
      <c r="AC2035">
        <v>60</v>
      </c>
      <c r="AD2035">
        <v>157.77000000000001</v>
      </c>
      <c r="AE2035">
        <f t="shared" si="62"/>
        <v>1427.98</v>
      </c>
      <c r="AF2035" t="str">
        <f t="shared" si="63"/>
        <v>2025-09</v>
      </c>
      <c r="AG2035">
        <f>SUBTOTAL(103,A2035)</f>
        <v>1</v>
      </c>
    </row>
    <row r="2036" spans="1:33" x14ac:dyDescent="0.3">
      <c r="A2036" t="s">
        <v>4655</v>
      </c>
      <c r="B2036" s="13">
        <v>45915</v>
      </c>
      <c r="C2036">
        <v>2025</v>
      </c>
      <c r="D2036">
        <v>9</v>
      </c>
      <c r="E2036" t="s">
        <v>4552</v>
      </c>
      <c r="F2036" t="s">
        <v>4047</v>
      </c>
      <c r="G2036" t="s">
        <v>1975</v>
      </c>
      <c r="H2036" t="s">
        <v>1976</v>
      </c>
      <c r="I2036" t="s">
        <v>86</v>
      </c>
      <c r="J2036">
        <v>50</v>
      </c>
      <c r="K2036" t="s">
        <v>83</v>
      </c>
      <c r="L2036" t="s">
        <v>2616</v>
      </c>
      <c r="M2036" t="s">
        <v>62</v>
      </c>
      <c r="N2036" t="s">
        <v>2596</v>
      </c>
      <c r="O2036" t="s">
        <v>124</v>
      </c>
      <c r="P2036" t="s">
        <v>51</v>
      </c>
      <c r="Q2036" t="s">
        <v>147</v>
      </c>
      <c r="R2036">
        <v>1</v>
      </c>
      <c r="S2036">
        <v>2299</v>
      </c>
      <c r="T2036">
        <v>0.1</v>
      </c>
      <c r="U2036">
        <v>2069.1</v>
      </c>
      <c r="V2036">
        <v>1200</v>
      </c>
      <c r="W2036">
        <v>869.1</v>
      </c>
      <c r="X2036" t="s">
        <v>74</v>
      </c>
      <c r="Y2036" t="s">
        <v>68</v>
      </c>
      <c r="Z2036" t="s">
        <v>159</v>
      </c>
      <c r="AA2036" t="s">
        <v>169</v>
      </c>
      <c r="AB2036">
        <v>5</v>
      </c>
      <c r="AC2036">
        <v>80</v>
      </c>
      <c r="AD2036">
        <v>212.42</v>
      </c>
      <c r="AE2036">
        <f t="shared" si="62"/>
        <v>576.68000000000006</v>
      </c>
      <c r="AF2036" t="str">
        <f t="shared" si="63"/>
        <v>2025-09</v>
      </c>
      <c r="AG2036">
        <f>SUBTOTAL(103,A2036)</f>
        <v>1</v>
      </c>
    </row>
    <row r="2037" spans="1:33" x14ac:dyDescent="0.3">
      <c r="A2037" t="s">
        <v>4656</v>
      </c>
      <c r="B2037" s="13">
        <v>45915</v>
      </c>
      <c r="C2037">
        <v>2025</v>
      </c>
      <c r="D2037">
        <v>9</v>
      </c>
      <c r="E2037" t="s">
        <v>4552</v>
      </c>
      <c r="F2037" t="s">
        <v>4047</v>
      </c>
      <c r="G2037" t="s">
        <v>659</v>
      </c>
      <c r="H2037" t="s">
        <v>660</v>
      </c>
      <c r="I2037" t="s">
        <v>85</v>
      </c>
      <c r="J2037">
        <v>59</v>
      </c>
      <c r="K2037" t="s">
        <v>83</v>
      </c>
      <c r="L2037" t="s">
        <v>2674</v>
      </c>
      <c r="M2037" t="s">
        <v>58</v>
      </c>
      <c r="N2037" t="s">
        <v>2601</v>
      </c>
      <c r="O2037" t="s">
        <v>117</v>
      </c>
      <c r="P2037" t="s">
        <v>49</v>
      </c>
      <c r="Q2037" t="s">
        <v>139</v>
      </c>
      <c r="R2037">
        <v>3</v>
      </c>
      <c r="S2037">
        <v>6999</v>
      </c>
      <c r="T2037">
        <v>0.2</v>
      </c>
      <c r="U2037">
        <v>16797.599999999999</v>
      </c>
      <c r="V2037">
        <v>12900</v>
      </c>
      <c r="W2037">
        <v>3897.6</v>
      </c>
      <c r="X2037" t="s">
        <v>73</v>
      </c>
      <c r="Y2037" t="s">
        <v>68</v>
      </c>
      <c r="Z2037" t="s">
        <v>159</v>
      </c>
      <c r="AA2037" t="s">
        <v>166</v>
      </c>
      <c r="AB2037">
        <v>4.2</v>
      </c>
      <c r="AC2037">
        <v>40</v>
      </c>
      <c r="AD2037">
        <v>1582.6</v>
      </c>
      <c r="AE2037">
        <f t="shared" si="62"/>
        <v>2275</v>
      </c>
      <c r="AF2037" t="str">
        <f t="shared" si="63"/>
        <v>2025-09</v>
      </c>
      <c r="AG2037">
        <f>SUBTOTAL(103,A2037)</f>
        <v>1</v>
      </c>
    </row>
    <row r="2038" spans="1:33" x14ac:dyDescent="0.3">
      <c r="A2038" t="s">
        <v>4657</v>
      </c>
      <c r="B2038" s="13">
        <v>45916</v>
      </c>
      <c r="C2038">
        <v>2025</v>
      </c>
      <c r="D2038">
        <v>9</v>
      </c>
      <c r="E2038" t="s">
        <v>4552</v>
      </c>
      <c r="F2038" t="s">
        <v>4047</v>
      </c>
      <c r="G2038" t="s">
        <v>403</v>
      </c>
      <c r="H2038" t="s">
        <v>404</v>
      </c>
      <c r="I2038" t="s">
        <v>85</v>
      </c>
      <c r="J2038">
        <v>29</v>
      </c>
      <c r="K2038" t="s">
        <v>81</v>
      </c>
      <c r="L2038" t="s">
        <v>90</v>
      </c>
      <c r="M2038" t="s">
        <v>55</v>
      </c>
      <c r="N2038" t="s">
        <v>2603</v>
      </c>
      <c r="O2038" t="s">
        <v>122</v>
      </c>
      <c r="P2038" t="s">
        <v>48</v>
      </c>
      <c r="Q2038" t="s">
        <v>141</v>
      </c>
      <c r="R2038">
        <v>1</v>
      </c>
      <c r="S2038">
        <v>2499</v>
      </c>
      <c r="T2038">
        <v>0.15</v>
      </c>
      <c r="U2038">
        <v>2124.15</v>
      </c>
      <c r="V2038">
        <v>1450</v>
      </c>
      <c r="W2038">
        <v>674.15</v>
      </c>
      <c r="X2038" t="s">
        <v>75</v>
      </c>
      <c r="Y2038" t="s">
        <v>68</v>
      </c>
      <c r="Z2038" t="s">
        <v>158</v>
      </c>
      <c r="AA2038" t="s">
        <v>166</v>
      </c>
      <c r="AB2038">
        <v>4.7</v>
      </c>
      <c r="AC2038">
        <v>50</v>
      </c>
      <c r="AD2038">
        <v>58.54</v>
      </c>
      <c r="AE2038">
        <f t="shared" si="62"/>
        <v>565.61</v>
      </c>
      <c r="AF2038" t="str">
        <f t="shared" si="63"/>
        <v>2025-09</v>
      </c>
      <c r="AG2038">
        <f>SUBTOTAL(103,A2038)</f>
        <v>1</v>
      </c>
    </row>
    <row r="2039" spans="1:33" x14ac:dyDescent="0.3">
      <c r="A2039" t="s">
        <v>4658</v>
      </c>
      <c r="B2039" s="13">
        <v>45916</v>
      </c>
      <c r="C2039">
        <v>2025</v>
      </c>
      <c r="D2039">
        <v>9</v>
      </c>
      <c r="E2039" t="s">
        <v>4552</v>
      </c>
      <c r="F2039" t="s">
        <v>4047</v>
      </c>
      <c r="G2039" t="s">
        <v>941</v>
      </c>
      <c r="H2039" t="s">
        <v>942</v>
      </c>
      <c r="I2039" t="s">
        <v>86</v>
      </c>
      <c r="J2039">
        <v>35</v>
      </c>
      <c r="K2039" t="s">
        <v>81</v>
      </c>
      <c r="L2039" t="s">
        <v>93</v>
      </c>
      <c r="M2039" t="s">
        <v>55</v>
      </c>
      <c r="N2039" t="s">
        <v>2601</v>
      </c>
      <c r="O2039" t="s">
        <v>117</v>
      </c>
      <c r="P2039" t="s">
        <v>49</v>
      </c>
      <c r="Q2039" t="s">
        <v>139</v>
      </c>
      <c r="R2039">
        <v>4</v>
      </c>
      <c r="S2039">
        <v>6999</v>
      </c>
      <c r="T2039">
        <v>0.1</v>
      </c>
      <c r="U2039">
        <v>25196.400000000001</v>
      </c>
      <c r="V2039">
        <v>17200</v>
      </c>
      <c r="W2039">
        <v>7996.4</v>
      </c>
      <c r="X2039" t="s">
        <v>75</v>
      </c>
      <c r="Y2039" t="s">
        <v>68</v>
      </c>
      <c r="Z2039" t="s">
        <v>160</v>
      </c>
      <c r="AA2039" t="s">
        <v>169</v>
      </c>
      <c r="AB2039">
        <v>3.7</v>
      </c>
      <c r="AC2039">
        <v>100</v>
      </c>
      <c r="AD2039">
        <v>1493.49</v>
      </c>
      <c r="AE2039">
        <f t="shared" si="62"/>
        <v>6402.91</v>
      </c>
      <c r="AF2039" t="str">
        <f t="shared" si="63"/>
        <v>2025-09</v>
      </c>
      <c r="AG2039">
        <f>SUBTOTAL(103,A2039)</f>
        <v>1</v>
      </c>
    </row>
    <row r="2040" spans="1:33" x14ac:dyDescent="0.3">
      <c r="A2040" t="s">
        <v>4659</v>
      </c>
      <c r="B2040" s="13">
        <v>45916</v>
      </c>
      <c r="C2040">
        <v>2025</v>
      </c>
      <c r="D2040">
        <v>9</v>
      </c>
      <c r="E2040" t="s">
        <v>4552</v>
      </c>
      <c r="F2040" t="s">
        <v>4047</v>
      </c>
      <c r="G2040" t="s">
        <v>751</v>
      </c>
      <c r="H2040" t="s">
        <v>752</v>
      </c>
      <c r="I2040" t="s">
        <v>85</v>
      </c>
      <c r="J2040">
        <v>25</v>
      </c>
      <c r="K2040" t="s">
        <v>80</v>
      </c>
      <c r="L2040" t="s">
        <v>94</v>
      </c>
      <c r="M2040" t="s">
        <v>57</v>
      </c>
      <c r="N2040" t="s">
        <v>2590</v>
      </c>
      <c r="O2040" t="s">
        <v>127</v>
      </c>
      <c r="P2040" t="s">
        <v>51</v>
      </c>
      <c r="Q2040" t="s">
        <v>148</v>
      </c>
      <c r="R2040">
        <v>1</v>
      </c>
      <c r="S2040">
        <v>1599</v>
      </c>
      <c r="T2040">
        <v>0.2</v>
      </c>
      <c r="U2040">
        <v>1279.2</v>
      </c>
      <c r="V2040">
        <v>800</v>
      </c>
      <c r="W2040">
        <v>479.2</v>
      </c>
      <c r="X2040" t="s">
        <v>76</v>
      </c>
      <c r="Y2040" t="s">
        <v>68</v>
      </c>
      <c r="Z2040" t="s">
        <v>160</v>
      </c>
      <c r="AA2040" t="s">
        <v>167</v>
      </c>
      <c r="AB2040">
        <v>3.2</v>
      </c>
      <c r="AC2040">
        <v>60</v>
      </c>
      <c r="AD2040">
        <v>77.02</v>
      </c>
      <c r="AE2040">
        <f t="shared" si="62"/>
        <v>342.18</v>
      </c>
      <c r="AF2040" t="str">
        <f t="shared" si="63"/>
        <v>2025-09</v>
      </c>
      <c r="AG2040">
        <f>SUBTOTAL(103,A2040)</f>
        <v>1</v>
      </c>
    </row>
    <row r="2041" spans="1:33" x14ac:dyDescent="0.3">
      <c r="A2041" t="s">
        <v>4660</v>
      </c>
      <c r="B2041" s="13">
        <v>45916</v>
      </c>
      <c r="C2041">
        <v>2025</v>
      </c>
      <c r="D2041">
        <v>9</v>
      </c>
      <c r="E2041" t="s">
        <v>4552</v>
      </c>
      <c r="F2041" t="s">
        <v>4047</v>
      </c>
      <c r="G2041" t="s">
        <v>2075</v>
      </c>
      <c r="H2041" t="s">
        <v>2076</v>
      </c>
      <c r="I2041" t="s">
        <v>85</v>
      </c>
      <c r="J2041">
        <v>42</v>
      </c>
      <c r="K2041" t="s">
        <v>82</v>
      </c>
      <c r="L2041" t="s">
        <v>96</v>
      </c>
      <c r="M2041" t="s">
        <v>55</v>
      </c>
      <c r="N2041" t="s">
        <v>2653</v>
      </c>
      <c r="O2041" t="s">
        <v>132</v>
      </c>
      <c r="P2041" t="s">
        <v>52</v>
      </c>
      <c r="Q2041" t="s">
        <v>150</v>
      </c>
      <c r="R2041">
        <v>3</v>
      </c>
      <c r="S2041">
        <v>899</v>
      </c>
      <c r="T2041">
        <v>0.05</v>
      </c>
      <c r="U2041">
        <v>2562.15</v>
      </c>
      <c r="V2041">
        <v>1260</v>
      </c>
      <c r="W2041">
        <v>1302.1500000000001</v>
      </c>
      <c r="X2041" t="s">
        <v>74</v>
      </c>
      <c r="Y2041" t="s">
        <v>68</v>
      </c>
      <c r="Z2041" t="s">
        <v>160</v>
      </c>
      <c r="AA2041" t="s">
        <v>171</v>
      </c>
      <c r="AB2041">
        <v>4.4000000000000004</v>
      </c>
      <c r="AC2041">
        <v>50</v>
      </c>
      <c r="AD2041">
        <v>157.22</v>
      </c>
      <c r="AE2041">
        <f t="shared" si="62"/>
        <v>1094.93</v>
      </c>
      <c r="AF2041" t="str">
        <f t="shared" si="63"/>
        <v>2025-09</v>
      </c>
      <c r="AG2041">
        <f>SUBTOTAL(103,A2041)</f>
        <v>1</v>
      </c>
    </row>
    <row r="2042" spans="1:33" x14ac:dyDescent="0.3">
      <c r="A2042" t="s">
        <v>4661</v>
      </c>
      <c r="B2042" s="13">
        <v>45916</v>
      </c>
      <c r="C2042">
        <v>2025</v>
      </c>
      <c r="D2042">
        <v>9</v>
      </c>
      <c r="E2042" t="s">
        <v>4552</v>
      </c>
      <c r="F2042" t="s">
        <v>4047</v>
      </c>
      <c r="G2042" t="s">
        <v>433</v>
      </c>
      <c r="H2042" t="s">
        <v>434</v>
      </c>
      <c r="I2042" t="s">
        <v>86</v>
      </c>
      <c r="J2042">
        <v>27</v>
      </c>
      <c r="K2042" t="s">
        <v>81</v>
      </c>
      <c r="L2042" t="s">
        <v>2679</v>
      </c>
      <c r="M2042" t="s">
        <v>60</v>
      </c>
      <c r="N2042" t="s">
        <v>2626</v>
      </c>
      <c r="O2042" t="s">
        <v>125</v>
      </c>
      <c r="P2042" t="s">
        <v>48</v>
      </c>
      <c r="Q2042" t="s">
        <v>141</v>
      </c>
      <c r="R2042">
        <v>2</v>
      </c>
      <c r="S2042">
        <v>1999</v>
      </c>
      <c r="T2042">
        <v>0.15</v>
      </c>
      <c r="U2042">
        <v>3398.3</v>
      </c>
      <c r="V2042">
        <v>2300</v>
      </c>
      <c r="W2042">
        <v>1098.3</v>
      </c>
      <c r="X2042" t="s">
        <v>74</v>
      </c>
      <c r="Y2042" t="s">
        <v>68</v>
      </c>
      <c r="Z2042" t="s">
        <v>159</v>
      </c>
      <c r="AA2042" t="s">
        <v>166</v>
      </c>
      <c r="AB2042">
        <v>3.5</v>
      </c>
      <c r="AC2042">
        <v>50</v>
      </c>
      <c r="AD2042">
        <v>274.86</v>
      </c>
      <c r="AE2042">
        <f t="shared" si="62"/>
        <v>773.43999999999994</v>
      </c>
      <c r="AF2042" t="str">
        <f t="shared" si="63"/>
        <v>2025-09</v>
      </c>
      <c r="AG2042">
        <f>SUBTOTAL(103,A2042)</f>
        <v>1</v>
      </c>
    </row>
    <row r="2043" spans="1:33" x14ac:dyDescent="0.3">
      <c r="A2043" t="s">
        <v>4662</v>
      </c>
      <c r="B2043" s="13">
        <v>45916</v>
      </c>
      <c r="C2043">
        <v>2025</v>
      </c>
      <c r="D2043">
        <v>9</v>
      </c>
      <c r="E2043" t="s">
        <v>4552</v>
      </c>
      <c r="F2043" t="s">
        <v>4047</v>
      </c>
      <c r="G2043" t="s">
        <v>383</v>
      </c>
      <c r="H2043" t="s">
        <v>384</v>
      </c>
      <c r="I2043" t="s">
        <v>86</v>
      </c>
      <c r="J2043">
        <v>36</v>
      </c>
      <c r="K2043" t="s">
        <v>82</v>
      </c>
      <c r="L2043" t="s">
        <v>2634</v>
      </c>
      <c r="M2043" t="s">
        <v>56</v>
      </c>
      <c r="N2043" t="s">
        <v>2590</v>
      </c>
      <c r="O2043" t="s">
        <v>127</v>
      </c>
      <c r="P2043" t="s">
        <v>51</v>
      </c>
      <c r="Q2043" t="s">
        <v>148</v>
      </c>
      <c r="R2043">
        <v>2</v>
      </c>
      <c r="S2043">
        <v>1599</v>
      </c>
      <c r="T2043">
        <v>0</v>
      </c>
      <c r="U2043">
        <v>3198</v>
      </c>
      <c r="V2043">
        <v>1600</v>
      </c>
      <c r="W2043">
        <v>1598</v>
      </c>
      <c r="X2043" t="s">
        <v>75</v>
      </c>
      <c r="Y2043" t="s">
        <v>68</v>
      </c>
      <c r="Z2043" t="s">
        <v>161</v>
      </c>
      <c r="AA2043" t="s">
        <v>167</v>
      </c>
      <c r="AB2043">
        <v>3.9</v>
      </c>
      <c r="AC2043">
        <v>50</v>
      </c>
      <c r="AD2043">
        <v>192.73</v>
      </c>
      <c r="AE2043">
        <f t="shared" si="62"/>
        <v>1355.27</v>
      </c>
      <c r="AF2043" t="str">
        <f t="shared" si="63"/>
        <v>2025-09</v>
      </c>
      <c r="AG2043">
        <f>SUBTOTAL(103,A2043)</f>
        <v>1</v>
      </c>
    </row>
    <row r="2044" spans="1:33" x14ac:dyDescent="0.3">
      <c r="A2044" t="s">
        <v>4663</v>
      </c>
      <c r="B2044" s="13">
        <v>45916</v>
      </c>
      <c r="C2044">
        <v>2025</v>
      </c>
      <c r="D2044">
        <v>9</v>
      </c>
      <c r="E2044" t="s">
        <v>4552</v>
      </c>
      <c r="F2044" t="s">
        <v>4047</v>
      </c>
      <c r="G2044" t="s">
        <v>489</v>
      </c>
      <c r="H2044" t="s">
        <v>490</v>
      </c>
      <c r="I2044" t="s">
        <v>86</v>
      </c>
      <c r="J2044">
        <v>29</v>
      </c>
      <c r="K2044" t="s">
        <v>81</v>
      </c>
      <c r="L2044" t="s">
        <v>2612</v>
      </c>
      <c r="M2044" t="s">
        <v>64</v>
      </c>
      <c r="N2044" t="s">
        <v>2601</v>
      </c>
      <c r="O2044" t="s">
        <v>117</v>
      </c>
      <c r="P2044" t="s">
        <v>49</v>
      </c>
      <c r="Q2044" t="s">
        <v>139</v>
      </c>
      <c r="R2044">
        <v>4</v>
      </c>
      <c r="S2044">
        <v>6999</v>
      </c>
      <c r="T2044">
        <v>0.1</v>
      </c>
      <c r="U2044">
        <v>25196.400000000001</v>
      </c>
      <c r="V2044">
        <v>17200</v>
      </c>
      <c r="W2044">
        <v>7996.4</v>
      </c>
      <c r="X2044" t="s">
        <v>73</v>
      </c>
      <c r="Y2044" t="s">
        <v>68</v>
      </c>
      <c r="Z2044" t="s">
        <v>161</v>
      </c>
      <c r="AA2044" t="s">
        <v>170</v>
      </c>
      <c r="AB2044">
        <v>2.9</v>
      </c>
      <c r="AC2044">
        <v>50</v>
      </c>
      <c r="AD2044">
        <v>3005.32</v>
      </c>
      <c r="AE2044">
        <f t="shared" si="62"/>
        <v>4941.08</v>
      </c>
      <c r="AF2044" t="str">
        <f t="shared" si="63"/>
        <v>2025-09</v>
      </c>
      <c r="AG2044">
        <f>SUBTOTAL(103,A2044)</f>
        <v>1</v>
      </c>
    </row>
    <row r="2045" spans="1:33" x14ac:dyDescent="0.3">
      <c r="A2045" t="s">
        <v>4664</v>
      </c>
      <c r="B2045" s="13">
        <v>45916</v>
      </c>
      <c r="C2045">
        <v>2025</v>
      </c>
      <c r="D2045">
        <v>9</v>
      </c>
      <c r="E2045" t="s">
        <v>4552</v>
      </c>
      <c r="F2045" t="s">
        <v>4047</v>
      </c>
      <c r="G2045" t="s">
        <v>1037</v>
      </c>
      <c r="H2045" t="s">
        <v>1038</v>
      </c>
      <c r="I2045" t="s">
        <v>86</v>
      </c>
      <c r="J2045">
        <v>25</v>
      </c>
      <c r="K2045" t="s">
        <v>80</v>
      </c>
      <c r="L2045" t="s">
        <v>2634</v>
      </c>
      <c r="M2045" t="s">
        <v>56</v>
      </c>
      <c r="N2045" t="s">
        <v>2590</v>
      </c>
      <c r="O2045" t="s">
        <v>127</v>
      </c>
      <c r="P2045" t="s">
        <v>51</v>
      </c>
      <c r="Q2045" t="s">
        <v>148</v>
      </c>
      <c r="R2045">
        <v>1</v>
      </c>
      <c r="S2045">
        <v>1599</v>
      </c>
      <c r="T2045">
        <v>0.05</v>
      </c>
      <c r="U2045">
        <v>1519.05</v>
      </c>
      <c r="V2045">
        <v>800</v>
      </c>
      <c r="W2045">
        <v>719.05</v>
      </c>
      <c r="X2045" t="s">
        <v>73</v>
      </c>
      <c r="Y2045" t="s">
        <v>69</v>
      </c>
      <c r="Z2045" t="s">
        <v>162</v>
      </c>
      <c r="AA2045" t="s">
        <v>166</v>
      </c>
      <c r="AB2045">
        <v>4.2</v>
      </c>
      <c r="AC2045">
        <v>40</v>
      </c>
      <c r="AD2045">
        <v>68.849999999999994</v>
      </c>
      <c r="AE2045">
        <f t="shared" si="62"/>
        <v>610.19999999999993</v>
      </c>
      <c r="AF2045" t="str">
        <f t="shared" si="63"/>
        <v>2025-09</v>
      </c>
      <c r="AG2045">
        <f>SUBTOTAL(103,A2045)</f>
        <v>1</v>
      </c>
    </row>
    <row r="2046" spans="1:33" x14ac:dyDescent="0.3">
      <c r="A2046" t="s">
        <v>4665</v>
      </c>
      <c r="B2046" s="13">
        <v>45916</v>
      </c>
      <c r="C2046">
        <v>2025</v>
      </c>
      <c r="D2046">
        <v>9</v>
      </c>
      <c r="E2046" t="s">
        <v>4552</v>
      </c>
      <c r="F2046" t="s">
        <v>4047</v>
      </c>
      <c r="G2046" t="s">
        <v>459</v>
      </c>
      <c r="H2046" t="s">
        <v>460</v>
      </c>
      <c r="I2046" t="s">
        <v>85</v>
      </c>
      <c r="J2046">
        <v>48</v>
      </c>
      <c r="K2046" t="s">
        <v>83</v>
      </c>
      <c r="L2046" t="s">
        <v>98</v>
      </c>
      <c r="M2046" t="s">
        <v>55</v>
      </c>
      <c r="N2046" t="s">
        <v>2580</v>
      </c>
      <c r="O2046" t="s">
        <v>118</v>
      </c>
      <c r="P2046" t="s">
        <v>48</v>
      </c>
      <c r="Q2046" t="s">
        <v>142</v>
      </c>
      <c r="R2046">
        <v>1</v>
      </c>
      <c r="S2046">
        <v>3999</v>
      </c>
      <c r="T2046">
        <v>0.1</v>
      </c>
      <c r="U2046">
        <v>3599.1</v>
      </c>
      <c r="V2046">
        <v>2400</v>
      </c>
      <c r="W2046">
        <v>1199.0999999999999</v>
      </c>
      <c r="X2046" t="s">
        <v>73</v>
      </c>
      <c r="Y2046" t="s">
        <v>68</v>
      </c>
      <c r="Z2046" t="s">
        <v>160</v>
      </c>
      <c r="AA2046" t="s">
        <v>166</v>
      </c>
      <c r="AB2046">
        <v>4.7</v>
      </c>
      <c r="AC2046">
        <v>50</v>
      </c>
      <c r="AD2046">
        <v>325.37</v>
      </c>
      <c r="AE2046">
        <f t="shared" si="62"/>
        <v>823.7299999999999</v>
      </c>
      <c r="AF2046" t="str">
        <f t="shared" si="63"/>
        <v>2025-09</v>
      </c>
      <c r="AG2046">
        <f>SUBTOTAL(103,A2046)</f>
        <v>1</v>
      </c>
    </row>
    <row r="2047" spans="1:33" x14ac:dyDescent="0.3">
      <c r="A2047" t="s">
        <v>4666</v>
      </c>
      <c r="B2047" s="13">
        <v>45917</v>
      </c>
      <c r="C2047">
        <v>2025</v>
      </c>
      <c r="D2047">
        <v>9</v>
      </c>
      <c r="E2047" t="s">
        <v>4552</v>
      </c>
      <c r="F2047" t="s">
        <v>4047</v>
      </c>
      <c r="G2047" t="s">
        <v>985</v>
      </c>
      <c r="H2047" t="s">
        <v>986</v>
      </c>
      <c r="I2047" t="s">
        <v>85</v>
      </c>
      <c r="J2047">
        <v>36</v>
      </c>
      <c r="K2047" t="s">
        <v>82</v>
      </c>
      <c r="L2047" t="s">
        <v>97</v>
      </c>
      <c r="M2047" t="s">
        <v>57</v>
      </c>
      <c r="N2047" t="s">
        <v>2626</v>
      </c>
      <c r="O2047" t="s">
        <v>125</v>
      </c>
      <c r="P2047" t="s">
        <v>48</v>
      </c>
      <c r="Q2047" t="s">
        <v>141</v>
      </c>
      <c r="R2047">
        <v>2</v>
      </c>
      <c r="S2047">
        <v>1999</v>
      </c>
      <c r="T2047">
        <v>0.05</v>
      </c>
      <c r="U2047">
        <v>3798.1</v>
      </c>
      <c r="V2047">
        <v>2300</v>
      </c>
      <c r="W2047">
        <v>1498.1</v>
      </c>
      <c r="X2047" t="s">
        <v>75</v>
      </c>
      <c r="Y2047" t="s">
        <v>68</v>
      </c>
      <c r="Z2047" t="s">
        <v>160</v>
      </c>
      <c r="AA2047" t="s">
        <v>169</v>
      </c>
      <c r="AB2047">
        <v>4.9000000000000004</v>
      </c>
      <c r="AC2047">
        <v>60</v>
      </c>
      <c r="AD2047">
        <v>144.26</v>
      </c>
      <c r="AE2047">
        <f t="shared" si="62"/>
        <v>1293.8399999999999</v>
      </c>
      <c r="AF2047" t="str">
        <f t="shared" si="63"/>
        <v>2025-09</v>
      </c>
      <c r="AG2047">
        <f>SUBTOTAL(103,A2047)</f>
        <v>1</v>
      </c>
    </row>
    <row r="2048" spans="1:33" x14ac:dyDescent="0.3">
      <c r="A2048" t="s">
        <v>4667</v>
      </c>
      <c r="B2048" s="13">
        <v>45917</v>
      </c>
      <c r="C2048">
        <v>2025</v>
      </c>
      <c r="D2048">
        <v>9</v>
      </c>
      <c r="E2048" t="s">
        <v>4552</v>
      </c>
      <c r="F2048" t="s">
        <v>4047</v>
      </c>
      <c r="G2048" t="s">
        <v>1715</v>
      </c>
      <c r="H2048" t="s">
        <v>1716</v>
      </c>
      <c r="I2048" t="s">
        <v>85</v>
      </c>
      <c r="J2048">
        <v>57</v>
      </c>
      <c r="K2048" t="s">
        <v>83</v>
      </c>
      <c r="L2048" t="s">
        <v>2616</v>
      </c>
      <c r="M2048" t="s">
        <v>62</v>
      </c>
      <c r="N2048" t="s">
        <v>2594</v>
      </c>
      <c r="O2048" t="s">
        <v>131</v>
      </c>
      <c r="P2048" t="s">
        <v>53</v>
      </c>
      <c r="Q2048" t="s">
        <v>143</v>
      </c>
      <c r="R2048">
        <v>3</v>
      </c>
      <c r="S2048">
        <v>999</v>
      </c>
      <c r="T2048">
        <v>0.05</v>
      </c>
      <c r="U2048">
        <v>2847.15</v>
      </c>
      <c r="V2048">
        <v>1560</v>
      </c>
      <c r="W2048">
        <v>1287.1500000000001</v>
      </c>
      <c r="X2048" t="s">
        <v>73</v>
      </c>
      <c r="Y2048" t="s">
        <v>70</v>
      </c>
      <c r="Z2048" t="s">
        <v>158</v>
      </c>
      <c r="AA2048" t="s">
        <v>169</v>
      </c>
      <c r="AB2048">
        <v>3.6</v>
      </c>
      <c r="AC2048">
        <v>80</v>
      </c>
      <c r="AD2048">
        <v>281.16000000000003</v>
      </c>
      <c r="AE2048">
        <f t="shared" si="62"/>
        <v>925.99</v>
      </c>
      <c r="AF2048" t="str">
        <f t="shared" si="63"/>
        <v>2025-09</v>
      </c>
      <c r="AG2048">
        <f>SUBTOTAL(103,A2048)</f>
        <v>1</v>
      </c>
    </row>
    <row r="2049" spans="1:33" x14ac:dyDescent="0.3">
      <c r="A2049" t="s">
        <v>4668</v>
      </c>
      <c r="B2049" s="13">
        <v>45917</v>
      </c>
      <c r="C2049">
        <v>2025</v>
      </c>
      <c r="D2049">
        <v>9</v>
      </c>
      <c r="E2049" t="s">
        <v>4552</v>
      </c>
      <c r="F2049" t="s">
        <v>4047</v>
      </c>
      <c r="G2049" t="s">
        <v>805</v>
      </c>
      <c r="H2049" t="s">
        <v>806</v>
      </c>
      <c r="I2049" t="s">
        <v>86</v>
      </c>
      <c r="J2049">
        <v>37</v>
      </c>
      <c r="K2049" t="s">
        <v>82</v>
      </c>
      <c r="L2049" t="s">
        <v>91</v>
      </c>
      <c r="M2049" t="s">
        <v>55</v>
      </c>
      <c r="N2049" t="s">
        <v>2630</v>
      </c>
      <c r="O2049" t="s">
        <v>123</v>
      </c>
      <c r="P2049" t="s">
        <v>52</v>
      </c>
      <c r="Q2049" t="s">
        <v>146</v>
      </c>
      <c r="R2049">
        <v>5</v>
      </c>
      <c r="S2049">
        <v>2499</v>
      </c>
      <c r="T2049">
        <v>0.1</v>
      </c>
      <c r="U2049">
        <v>11245.5</v>
      </c>
      <c r="V2049">
        <v>7000</v>
      </c>
      <c r="W2049">
        <v>4245.5</v>
      </c>
      <c r="X2049" t="s">
        <v>74</v>
      </c>
      <c r="Y2049" t="s">
        <v>68</v>
      </c>
      <c r="Z2049" t="s">
        <v>162</v>
      </c>
      <c r="AA2049" t="s">
        <v>169</v>
      </c>
      <c r="AB2049">
        <v>4.7</v>
      </c>
      <c r="AC2049">
        <v>50</v>
      </c>
      <c r="AD2049">
        <v>637.08000000000004</v>
      </c>
      <c r="AE2049">
        <f t="shared" si="62"/>
        <v>3558.42</v>
      </c>
      <c r="AF2049" t="str">
        <f t="shared" si="63"/>
        <v>2025-09</v>
      </c>
      <c r="AG2049">
        <f>SUBTOTAL(103,A2049)</f>
        <v>1</v>
      </c>
    </row>
    <row r="2050" spans="1:33" x14ac:dyDescent="0.3">
      <c r="A2050" t="s">
        <v>4669</v>
      </c>
      <c r="B2050" s="13">
        <v>45917</v>
      </c>
      <c r="C2050">
        <v>2025</v>
      </c>
      <c r="D2050">
        <v>9</v>
      </c>
      <c r="E2050" t="s">
        <v>4552</v>
      </c>
      <c r="F2050" t="s">
        <v>4047</v>
      </c>
      <c r="G2050" t="s">
        <v>645</v>
      </c>
      <c r="H2050" t="s">
        <v>646</v>
      </c>
      <c r="I2050" t="s">
        <v>86</v>
      </c>
      <c r="J2050">
        <v>20</v>
      </c>
      <c r="K2050" t="s">
        <v>80</v>
      </c>
      <c r="L2050" t="s">
        <v>2599</v>
      </c>
      <c r="M2050" t="s">
        <v>62</v>
      </c>
      <c r="N2050" t="s">
        <v>2592</v>
      </c>
      <c r="O2050" t="s">
        <v>115</v>
      </c>
      <c r="P2050" t="s">
        <v>48</v>
      </c>
      <c r="Q2050" t="s">
        <v>137</v>
      </c>
      <c r="R2050">
        <v>2</v>
      </c>
      <c r="S2050">
        <v>12999</v>
      </c>
      <c r="T2050">
        <v>0.1</v>
      </c>
      <c r="U2050">
        <v>23398.2</v>
      </c>
      <c r="V2050">
        <v>18000</v>
      </c>
      <c r="W2050">
        <v>5398.2</v>
      </c>
      <c r="X2050" t="s">
        <v>73</v>
      </c>
      <c r="Y2050" t="s">
        <v>68</v>
      </c>
      <c r="Z2050" t="s">
        <v>160</v>
      </c>
      <c r="AA2050" t="s">
        <v>169</v>
      </c>
      <c r="AB2050">
        <v>4.4000000000000004</v>
      </c>
      <c r="AC2050">
        <v>60</v>
      </c>
      <c r="AD2050">
        <v>1841.08</v>
      </c>
      <c r="AE2050">
        <f t="shared" ref="AE2050:AE2113" si="64">W2050-AC2050-AD2050</f>
        <v>3497.12</v>
      </c>
      <c r="AF2050" t="str">
        <f t="shared" ref="AF2050:AF2113" si="65">C2050&amp;"-"&amp;TEXT(D2050,"00")</f>
        <v>2025-09</v>
      </c>
      <c r="AG2050">
        <f>SUBTOTAL(103,A2050)</f>
        <v>1</v>
      </c>
    </row>
    <row r="2051" spans="1:33" x14ac:dyDescent="0.3">
      <c r="A2051" t="s">
        <v>4670</v>
      </c>
      <c r="B2051" s="13">
        <v>45917</v>
      </c>
      <c r="C2051">
        <v>2025</v>
      </c>
      <c r="D2051">
        <v>9</v>
      </c>
      <c r="E2051" t="s">
        <v>4552</v>
      </c>
      <c r="F2051" t="s">
        <v>4047</v>
      </c>
      <c r="G2051" t="s">
        <v>1381</v>
      </c>
      <c r="H2051" t="s">
        <v>1382</v>
      </c>
      <c r="I2051" t="s">
        <v>85</v>
      </c>
      <c r="J2051">
        <v>25</v>
      </c>
      <c r="K2051" t="s">
        <v>80</v>
      </c>
      <c r="L2051" t="s">
        <v>92</v>
      </c>
      <c r="M2051" t="s">
        <v>59</v>
      </c>
      <c r="N2051" t="s">
        <v>2630</v>
      </c>
      <c r="O2051" t="s">
        <v>123</v>
      </c>
      <c r="P2051" t="s">
        <v>52</v>
      </c>
      <c r="Q2051" t="s">
        <v>146</v>
      </c>
      <c r="R2051">
        <v>2</v>
      </c>
      <c r="S2051">
        <v>2499</v>
      </c>
      <c r="T2051">
        <v>0.05</v>
      </c>
      <c r="U2051">
        <v>4748.1000000000004</v>
      </c>
      <c r="V2051">
        <v>2800</v>
      </c>
      <c r="W2051">
        <v>1948.1</v>
      </c>
      <c r="X2051" t="s">
        <v>75</v>
      </c>
      <c r="Y2051" t="s">
        <v>68</v>
      </c>
      <c r="Z2051" t="s">
        <v>161</v>
      </c>
      <c r="AA2051" t="s">
        <v>167</v>
      </c>
      <c r="AB2051">
        <v>5</v>
      </c>
      <c r="AC2051">
        <v>120</v>
      </c>
      <c r="AD2051">
        <v>267.83</v>
      </c>
      <c r="AE2051">
        <f t="shared" si="64"/>
        <v>1560.27</v>
      </c>
      <c r="AF2051" t="str">
        <f t="shared" si="65"/>
        <v>2025-09</v>
      </c>
      <c r="AG2051">
        <f>SUBTOTAL(103,A2051)</f>
        <v>1</v>
      </c>
    </row>
    <row r="2052" spans="1:33" x14ac:dyDescent="0.3">
      <c r="A2052" t="s">
        <v>4671</v>
      </c>
      <c r="B2052" s="13">
        <v>45917</v>
      </c>
      <c r="C2052">
        <v>2025</v>
      </c>
      <c r="D2052">
        <v>9</v>
      </c>
      <c r="E2052" t="s">
        <v>4552</v>
      </c>
      <c r="F2052" t="s">
        <v>4047</v>
      </c>
      <c r="G2052" t="s">
        <v>2079</v>
      </c>
      <c r="H2052" t="s">
        <v>2080</v>
      </c>
      <c r="I2052" t="s">
        <v>86</v>
      </c>
      <c r="J2052">
        <v>56</v>
      </c>
      <c r="K2052" t="s">
        <v>83</v>
      </c>
      <c r="L2052" t="s">
        <v>93</v>
      </c>
      <c r="M2052" t="s">
        <v>55</v>
      </c>
      <c r="N2052" t="s">
        <v>2647</v>
      </c>
      <c r="O2052" t="s">
        <v>133</v>
      </c>
      <c r="P2052" t="s">
        <v>50</v>
      </c>
      <c r="Q2052" t="s">
        <v>145</v>
      </c>
      <c r="R2052">
        <v>1</v>
      </c>
      <c r="S2052">
        <v>799</v>
      </c>
      <c r="T2052">
        <v>0.2</v>
      </c>
      <c r="U2052">
        <v>639.20000000000005</v>
      </c>
      <c r="V2052">
        <v>390</v>
      </c>
      <c r="W2052">
        <v>249.2</v>
      </c>
      <c r="X2052" t="s">
        <v>73</v>
      </c>
      <c r="Y2052" t="s">
        <v>68</v>
      </c>
      <c r="Z2052" t="s">
        <v>161</v>
      </c>
      <c r="AA2052" t="s">
        <v>166</v>
      </c>
      <c r="AB2052">
        <v>4.0999999999999996</v>
      </c>
      <c r="AC2052">
        <v>40</v>
      </c>
      <c r="AD2052">
        <v>35.58</v>
      </c>
      <c r="AE2052">
        <f t="shared" si="64"/>
        <v>173.62</v>
      </c>
      <c r="AF2052" t="str">
        <f t="shared" si="65"/>
        <v>2025-09</v>
      </c>
      <c r="AG2052">
        <f>SUBTOTAL(103,A2052)</f>
        <v>1</v>
      </c>
    </row>
    <row r="2053" spans="1:33" x14ac:dyDescent="0.3">
      <c r="A2053" t="s">
        <v>4672</v>
      </c>
      <c r="B2053" s="13">
        <v>45917</v>
      </c>
      <c r="C2053">
        <v>2025</v>
      </c>
      <c r="D2053">
        <v>9</v>
      </c>
      <c r="E2053" t="s">
        <v>4552</v>
      </c>
      <c r="F2053" t="s">
        <v>4047</v>
      </c>
      <c r="G2053" t="s">
        <v>1075</v>
      </c>
      <c r="H2053" t="s">
        <v>1076</v>
      </c>
      <c r="I2053" t="s">
        <v>85</v>
      </c>
      <c r="J2053">
        <v>49</v>
      </c>
      <c r="K2053" t="s">
        <v>83</v>
      </c>
      <c r="L2053" t="s">
        <v>99</v>
      </c>
      <c r="M2053" t="s">
        <v>58</v>
      </c>
      <c r="N2053" t="s">
        <v>2630</v>
      </c>
      <c r="O2053" t="s">
        <v>123</v>
      </c>
      <c r="P2053" t="s">
        <v>52</v>
      </c>
      <c r="Q2053" t="s">
        <v>146</v>
      </c>
      <c r="R2053">
        <v>2</v>
      </c>
      <c r="S2053">
        <v>2499</v>
      </c>
      <c r="T2053">
        <v>0.05</v>
      </c>
      <c r="U2053">
        <v>4748.1000000000004</v>
      </c>
      <c r="V2053">
        <v>2800</v>
      </c>
      <c r="W2053">
        <v>1948.1</v>
      </c>
      <c r="X2053" t="s">
        <v>75</v>
      </c>
      <c r="Y2053" t="s">
        <v>68</v>
      </c>
      <c r="Z2053" t="s">
        <v>160</v>
      </c>
      <c r="AA2053" t="s">
        <v>169</v>
      </c>
      <c r="AB2053">
        <v>4.3</v>
      </c>
      <c r="AC2053">
        <v>50</v>
      </c>
      <c r="AD2053">
        <v>553.37</v>
      </c>
      <c r="AE2053">
        <f t="shared" si="64"/>
        <v>1344.73</v>
      </c>
      <c r="AF2053" t="str">
        <f t="shared" si="65"/>
        <v>2025-09</v>
      </c>
      <c r="AG2053">
        <f>SUBTOTAL(103,A2053)</f>
        <v>1</v>
      </c>
    </row>
    <row r="2054" spans="1:33" x14ac:dyDescent="0.3">
      <c r="A2054" t="s">
        <v>4673</v>
      </c>
      <c r="B2054" s="13">
        <v>45917</v>
      </c>
      <c r="C2054">
        <v>2025</v>
      </c>
      <c r="D2054">
        <v>9</v>
      </c>
      <c r="E2054" t="s">
        <v>4552</v>
      </c>
      <c r="F2054" t="s">
        <v>4047</v>
      </c>
      <c r="G2054" t="s">
        <v>469</v>
      </c>
      <c r="H2054" t="s">
        <v>470</v>
      </c>
      <c r="I2054" t="s">
        <v>85</v>
      </c>
      <c r="J2054">
        <v>57</v>
      </c>
      <c r="K2054" t="s">
        <v>83</v>
      </c>
      <c r="L2054" t="s">
        <v>94</v>
      </c>
      <c r="M2054" t="s">
        <v>57</v>
      </c>
      <c r="N2054" t="s">
        <v>2596</v>
      </c>
      <c r="O2054" t="s">
        <v>124</v>
      </c>
      <c r="P2054" t="s">
        <v>51</v>
      </c>
      <c r="Q2054" t="s">
        <v>147</v>
      </c>
      <c r="R2054">
        <v>1</v>
      </c>
      <c r="S2054">
        <v>2299</v>
      </c>
      <c r="T2054">
        <v>0.1</v>
      </c>
      <c r="U2054">
        <v>2069.1</v>
      </c>
      <c r="V2054">
        <v>1200</v>
      </c>
      <c r="W2054">
        <v>869.1</v>
      </c>
      <c r="X2054" t="s">
        <v>73</v>
      </c>
      <c r="Y2054" t="s">
        <v>68</v>
      </c>
      <c r="Z2054" t="s">
        <v>158</v>
      </c>
      <c r="AA2054" t="s">
        <v>167</v>
      </c>
      <c r="AB2054">
        <v>4.5</v>
      </c>
      <c r="AC2054">
        <v>80</v>
      </c>
      <c r="AD2054">
        <v>152.13999999999999</v>
      </c>
      <c r="AE2054">
        <f t="shared" si="64"/>
        <v>636.96</v>
      </c>
      <c r="AF2054" t="str">
        <f t="shared" si="65"/>
        <v>2025-09</v>
      </c>
      <c r="AG2054">
        <f>SUBTOTAL(103,A2054)</f>
        <v>1</v>
      </c>
    </row>
    <row r="2055" spans="1:33" x14ac:dyDescent="0.3">
      <c r="A2055" t="s">
        <v>4674</v>
      </c>
      <c r="B2055" s="13">
        <v>45917</v>
      </c>
      <c r="C2055">
        <v>2025</v>
      </c>
      <c r="D2055">
        <v>9</v>
      </c>
      <c r="E2055" t="s">
        <v>4552</v>
      </c>
      <c r="F2055" t="s">
        <v>4047</v>
      </c>
      <c r="G2055" t="s">
        <v>937</v>
      </c>
      <c r="H2055" t="s">
        <v>938</v>
      </c>
      <c r="I2055" t="s">
        <v>86</v>
      </c>
      <c r="J2055">
        <v>22</v>
      </c>
      <c r="K2055" t="s">
        <v>80</v>
      </c>
      <c r="L2055" t="s">
        <v>99</v>
      </c>
      <c r="M2055" t="s">
        <v>58</v>
      </c>
      <c r="N2055" t="s">
        <v>2606</v>
      </c>
      <c r="O2055" t="s">
        <v>120</v>
      </c>
      <c r="P2055" t="s">
        <v>49</v>
      </c>
      <c r="Q2055" t="s">
        <v>140</v>
      </c>
      <c r="R2055">
        <v>1</v>
      </c>
      <c r="S2055">
        <v>2799</v>
      </c>
      <c r="T2055">
        <v>0.15</v>
      </c>
      <c r="U2055">
        <v>2379.15</v>
      </c>
      <c r="V2055">
        <v>1650</v>
      </c>
      <c r="W2055">
        <v>729.15</v>
      </c>
      <c r="X2055" t="s">
        <v>73</v>
      </c>
      <c r="Y2055" t="s">
        <v>68</v>
      </c>
      <c r="Z2055" t="s">
        <v>160</v>
      </c>
      <c r="AA2055" t="s">
        <v>167</v>
      </c>
      <c r="AB2055">
        <v>4.4000000000000004</v>
      </c>
      <c r="AC2055">
        <v>60</v>
      </c>
      <c r="AD2055">
        <v>137.13999999999999</v>
      </c>
      <c r="AE2055">
        <f t="shared" si="64"/>
        <v>532.01</v>
      </c>
      <c r="AF2055" t="str">
        <f t="shared" si="65"/>
        <v>2025-09</v>
      </c>
      <c r="AG2055">
        <f>SUBTOTAL(103,A2055)</f>
        <v>1</v>
      </c>
    </row>
    <row r="2056" spans="1:33" x14ac:dyDescent="0.3">
      <c r="A2056" t="s">
        <v>4675</v>
      </c>
      <c r="B2056" s="13">
        <v>45918</v>
      </c>
      <c r="C2056">
        <v>2025</v>
      </c>
      <c r="D2056">
        <v>9</v>
      </c>
      <c r="E2056" t="s">
        <v>4552</v>
      </c>
      <c r="F2056" t="s">
        <v>4047</v>
      </c>
      <c r="G2056" t="s">
        <v>757</v>
      </c>
      <c r="H2056" t="s">
        <v>758</v>
      </c>
      <c r="I2056" t="s">
        <v>86</v>
      </c>
      <c r="J2056">
        <v>55</v>
      </c>
      <c r="K2056" t="s">
        <v>83</v>
      </c>
      <c r="L2056" t="s">
        <v>2690</v>
      </c>
      <c r="M2056" t="s">
        <v>63</v>
      </c>
      <c r="N2056" t="s">
        <v>2647</v>
      </c>
      <c r="O2056" t="s">
        <v>133</v>
      </c>
      <c r="P2056" t="s">
        <v>50</v>
      </c>
      <c r="Q2056" t="s">
        <v>145</v>
      </c>
      <c r="R2056">
        <v>2</v>
      </c>
      <c r="S2056">
        <v>799</v>
      </c>
      <c r="T2056">
        <v>0.05</v>
      </c>
      <c r="U2056">
        <v>1518.1</v>
      </c>
      <c r="V2056">
        <v>780</v>
      </c>
      <c r="W2056">
        <v>738.1</v>
      </c>
      <c r="X2056" t="s">
        <v>77</v>
      </c>
      <c r="Y2056" t="s">
        <v>68</v>
      </c>
      <c r="Z2056" t="s">
        <v>159</v>
      </c>
      <c r="AA2056" t="s">
        <v>166</v>
      </c>
      <c r="AB2056">
        <v>4.0999999999999996</v>
      </c>
      <c r="AC2056">
        <v>40</v>
      </c>
      <c r="AD2056">
        <v>148.88999999999999</v>
      </c>
      <c r="AE2056">
        <f t="shared" si="64"/>
        <v>549.21</v>
      </c>
      <c r="AF2056" t="str">
        <f t="shared" si="65"/>
        <v>2025-09</v>
      </c>
      <c r="AG2056">
        <f>SUBTOTAL(103,A2056)</f>
        <v>1</v>
      </c>
    </row>
    <row r="2057" spans="1:33" x14ac:dyDescent="0.3">
      <c r="A2057" t="s">
        <v>4676</v>
      </c>
      <c r="B2057" s="13">
        <v>45918</v>
      </c>
      <c r="C2057">
        <v>2025</v>
      </c>
      <c r="D2057">
        <v>9</v>
      </c>
      <c r="E2057" t="s">
        <v>4552</v>
      </c>
      <c r="F2057" t="s">
        <v>4047</v>
      </c>
      <c r="G2057" t="s">
        <v>1945</v>
      </c>
      <c r="H2057" t="s">
        <v>1946</v>
      </c>
      <c r="I2057" t="s">
        <v>85</v>
      </c>
      <c r="J2057">
        <v>57</v>
      </c>
      <c r="K2057" t="s">
        <v>83</v>
      </c>
      <c r="L2057" t="s">
        <v>90</v>
      </c>
      <c r="M2057" t="s">
        <v>55</v>
      </c>
      <c r="N2057" t="s">
        <v>2665</v>
      </c>
      <c r="O2057" t="s">
        <v>128</v>
      </c>
      <c r="P2057" t="s">
        <v>53</v>
      </c>
      <c r="Q2057" t="s">
        <v>143</v>
      </c>
      <c r="R2057">
        <v>2</v>
      </c>
      <c r="S2057">
        <v>1499</v>
      </c>
      <c r="T2057">
        <v>0.05</v>
      </c>
      <c r="U2057">
        <v>2848.1</v>
      </c>
      <c r="V2057">
        <v>1600</v>
      </c>
      <c r="W2057">
        <v>1248.0999999999999</v>
      </c>
      <c r="X2057" t="s">
        <v>73</v>
      </c>
      <c r="Y2057" t="s">
        <v>68</v>
      </c>
      <c r="Z2057" t="s">
        <v>161</v>
      </c>
      <c r="AA2057" t="s">
        <v>168</v>
      </c>
      <c r="AB2057">
        <v>4.5999999999999996</v>
      </c>
      <c r="AC2057">
        <v>50</v>
      </c>
      <c r="AD2057">
        <v>286.89999999999998</v>
      </c>
      <c r="AE2057">
        <f t="shared" si="64"/>
        <v>911.19999999999993</v>
      </c>
      <c r="AF2057" t="str">
        <f t="shared" si="65"/>
        <v>2025-09</v>
      </c>
      <c r="AG2057">
        <f>SUBTOTAL(103,A2057)</f>
        <v>1</v>
      </c>
    </row>
    <row r="2058" spans="1:33" x14ac:dyDescent="0.3">
      <c r="A2058" t="s">
        <v>4677</v>
      </c>
      <c r="B2058" s="13">
        <v>45918</v>
      </c>
      <c r="C2058">
        <v>2025</v>
      </c>
      <c r="D2058">
        <v>9</v>
      </c>
      <c r="E2058" t="s">
        <v>4552</v>
      </c>
      <c r="F2058" t="s">
        <v>4047</v>
      </c>
      <c r="G2058" t="s">
        <v>387</v>
      </c>
      <c r="H2058" t="s">
        <v>388</v>
      </c>
      <c r="I2058" t="s">
        <v>86</v>
      </c>
      <c r="J2058">
        <v>30</v>
      </c>
      <c r="K2058" t="s">
        <v>81</v>
      </c>
      <c r="L2058" t="s">
        <v>2579</v>
      </c>
      <c r="M2058" t="s">
        <v>56</v>
      </c>
      <c r="N2058" t="s">
        <v>2580</v>
      </c>
      <c r="O2058" t="s">
        <v>118</v>
      </c>
      <c r="P2058" t="s">
        <v>48</v>
      </c>
      <c r="Q2058" t="s">
        <v>142</v>
      </c>
      <c r="R2058">
        <v>4</v>
      </c>
      <c r="S2058">
        <v>3999</v>
      </c>
      <c r="T2058">
        <v>0.2</v>
      </c>
      <c r="U2058">
        <v>12796.8</v>
      </c>
      <c r="V2058">
        <v>9600</v>
      </c>
      <c r="W2058">
        <v>3196.8</v>
      </c>
      <c r="X2058" t="s">
        <v>75</v>
      </c>
      <c r="Y2058" t="s">
        <v>68</v>
      </c>
      <c r="Z2058" t="s">
        <v>159</v>
      </c>
      <c r="AA2058" t="s">
        <v>167</v>
      </c>
      <c r="AB2058">
        <v>4.3</v>
      </c>
      <c r="AC2058">
        <v>60</v>
      </c>
      <c r="AD2058">
        <v>1095.6400000000001</v>
      </c>
      <c r="AE2058">
        <f t="shared" si="64"/>
        <v>2041.16</v>
      </c>
      <c r="AF2058" t="str">
        <f t="shared" si="65"/>
        <v>2025-09</v>
      </c>
      <c r="AG2058">
        <f>SUBTOTAL(103,A2058)</f>
        <v>1</v>
      </c>
    </row>
    <row r="2059" spans="1:33" x14ac:dyDescent="0.3">
      <c r="A2059" t="s">
        <v>4678</v>
      </c>
      <c r="B2059" s="13">
        <v>45918</v>
      </c>
      <c r="C2059">
        <v>2025</v>
      </c>
      <c r="D2059">
        <v>9</v>
      </c>
      <c r="E2059" t="s">
        <v>4552</v>
      </c>
      <c r="F2059" t="s">
        <v>4047</v>
      </c>
      <c r="G2059" t="s">
        <v>639</v>
      </c>
      <c r="H2059" t="s">
        <v>640</v>
      </c>
      <c r="I2059" t="s">
        <v>85</v>
      </c>
      <c r="J2059">
        <v>59</v>
      </c>
      <c r="K2059" t="s">
        <v>83</v>
      </c>
      <c r="L2059" t="s">
        <v>2605</v>
      </c>
      <c r="M2059" t="s">
        <v>60</v>
      </c>
      <c r="N2059" t="s">
        <v>2582</v>
      </c>
      <c r="O2059" t="s">
        <v>119</v>
      </c>
      <c r="P2059" t="s">
        <v>49</v>
      </c>
      <c r="Q2059" t="s">
        <v>140</v>
      </c>
      <c r="R2059">
        <v>2</v>
      </c>
      <c r="S2059">
        <v>3499</v>
      </c>
      <c r="T2059">
        <v>0</v>
      </c>
      <c r="U2059">
        <v>6998</v>
      </c>
      <c r="V2059">
        <v>4200</v>
      </c>
      <c r="W2059">
        <v>2798</v>
      </c>
      <c r="X2059" t="s">
        <v>74</v>
      </c>
      <c r="Y2059" t="s">
        <v>68</v>
      </c>
      <c r="Z2059" t="s">
        <v>160</v>
      </c>
      <c r="AA2059" t="s">
        <v>166</v>
      </c>
      <c r="AB2059">
        <v>4.5999999999999996</v>
      </c>
      <c r="AC2059">
        <v>60</v>
      </c>
      <c r="AD2059">
        <v>556.83000000000004</v>
      </c>
      <c r="AE2059">
        <f t="shared" si="64"/>
        <v>2181.17</v>
      </c>
      <c r="AF2059" t="str">
        <f t="shared" si="65"/>
        <v>2025-09</v>
      </c>
      <c r="AG2059">
        <f>SUBTOTAL(103,A2059)</f>
        <v>1</v>
      </c>
    </row>
    <row r="2060" spans="1:33" x14ac:dyDescent="0.3">
      <c r="A2060" t="s">
        <v>4679</v>
      </c>
      <c r="B2060" s="13">
        <v>45918</v>
      </c>
      <c r="C2060">
        <v>2025</v>
      </c>
      <c r="D2060">
        <v>9</v>
      </c>
      <c r="E2060" t="s">
        <v>4552</v>
      </c>
      <c r="F2060" t="s">
        <v>4047</v>
      </c>
      <c r="G2060" t="s">
        <v>559</v>
      </c>
      <c r="H2060" t="s">
        <v>560</v>
      </c>
      <c r="I2060" t="s">
        <v>86</v>
      </c>
      <c r="J2060">
        <v>54</v>
      </c>
      <c r="K2060" t="s">
        <v>83</v>
      </c>
      <c r="L2060" t="s">
        <v>95</v>
      </c>
      <c r="M2060" t="s">
        <v>56</v>
      </c>
      <c r="N2060" t="s">
        <v>2644</v>
      </c>
      <c r="O2060" t="s">
        <v>126</v>
      </c>
      <c r="P2060" t="s">
        <v>50</v>
      </c>
      <c r="Q2060" t="s">
        <v>145</v>
      </c>
      <c r="R2060">
        <v>2</v>
      </c>
      <c r="S2060">
        <v>1799</v>
      </c>
      <c r="T2060">
        <v>0</v>
      </c>
      <c r="U2060">
        <v>3598</v>
      </c>
      <c r="V2060">
        <v>1900</v>
      </c>
      <c r="W2060">
        <v>1698</v>
      </c>
      <c r="X2060" t="s">
        <v>77</v>
      </c>
      <c r="Y2060" t="s">
        <v>68</v>
      </c>
      <c r="Z2060" t="s">
        <v>163</v>
      </c>
      <c r="AA2060" t="s">
        <v>166</v>
      </c>
      <c r="AB2060">
        <v>4.5999999999999996</v>
      </c>
      <c r="AC2060">
        <v>100</v>
      </c>
      <c r="AD2060">
        <v>93.24</v>
      </c>
      <c r="AE2060">
        <f t="shared" si="64"/>
        <v>1504.76</v>
      </c>
      <c r="AF2060" t="str">
        <f t="shared" si="65"/>
        <v>2025-09</v>
      </c>
      <c r="AG2060">
        <f>SUBTOTAL(103,A2060)</f>
        <v>1</v>
      </c>
    </row>
    <row r="2061" spans="1:33" x14ac:dyDescent="0.3">
      <c r="A2061" t="s">
        <v>4680</v>
      </c>
      <c r="B2061" s="13">
        <v>45918</v>
      </c>
      <c r="C2061">
        <v>2025</v>
      </c>
      <c r="D2061">
        <v>9</v>
      </c>
      <c r="E2061" t="s">
        <v>4552</v>
      </c>
      <c r="F2061" t="s">
        <v>4047</v>
      </c>
      <c r="G2061" t="s">
        <v>471</v>
      </c>
      <c r="H2061" t="s">
        <v>472</v>
      </c>
      <c r="I2061" t="s">
        <v>85</v>
      </c>
      <c r="J2061">
        <v>45</v>
      </c>
      <c r="K2061" t="s">
        <v>82</v>
      </c>
      <c r="L2061" t="s">
        <v>2599</v>
      </c>
      <c r="M2061" t="s">
        <v>62</v>
      </c>
      <c r="N2061" t="s">
        <v>2582</v>
      </c>
      <c r="O2061" t="s">
        <v>119</v>
      </c>
      <c r="P2061" t="s">
        <v>49</v>
      </c>
      <c r="Q2061" t="s">
        <v>140</v>
      </c>
      <c r="R2061">
        <v>1</v>
      </c>
      <c r="S2061">
        <v>3499</v>
      </c>
      <c r="T2061">
        <v>0.05</v>
      </c>
      <c r="U2061">
        <v>3324.05</v>
      </c>
      <c r="V2061">
        <v>2100</v>
      </c>
      <c r="W2061">
        <v>1224.05</v>
      </c>
      <c r="X2061" t="s">
        <v>76</v>
      </c>
      <c r="Y2061" t="s">
        <v>69</v>
      </c>
      <c r="Z2061" t="s">
        <v>159</v>
      </c>
      <c r="AA2061" t="s">
        <v>171</v>
      </c>
      <c r="AB2061">
        <v>4.7</v>
      </c>
      <c r="AC2061">
        <v>100</v>
      </c>
      <c r="AD2061">
        <v>286.33</v>
      </c>
      <c r="AE2061">
        <f t="shared" si="64"/>
        <v>837.72</v>
      </c>
      <c r="AF2061" t="str">
        <f t="shared" si="65"/>
        <v>2025-09</v>
      </c>
      <c r="AG2061">
        <f>SUBTOTAL(103,A2061)</f>
        <v>1</v>
      </c>
    </row>
    <row r="2062" spans="1:33" x14ac:dyDescent="0.3">
      <c r="A2062" t="s">
        <v>4681</v>
      </c>
      <c r="B2062" s="13">
        <v>45919</v>
      </c>
      <c r="C2062">
        <v>2025</v>
      </c>
      <c r="D2062">
        <v>9</v>
      </c>
      <c r="E2062" t="s">
        <v>4552</v>
      </c>
      <c r="F2062" t="s">
        <v>4047</v>
      </c>
      <c r="G2062" t="s">
        <v>1291</v>
      </c>
      <c r="H2062" t="s">
        <v>1292</v>
      </c>
      <c r="I2062" t="s">
        <v>85</v>
      </c>
      <c r="J2062">
        <v>42</v>
      </c>
      <c r="K2062" t="s">
        <v>82</v>
      </c>
      <c r="L2062" t="s">
        <v>98</v>
      </c>
      <c r="M2062" t="s">
        <v>55</v>
      </c>
      <c r="N2062" t="s">
        <v>2606</v>
      </c>
      <c r="O2062" t="s">
        <v>120</v>
      </c>
      <c r="P2062" t="s">
        <v>49</v>
      </c>
      <c r="Q2062" t="s">
        <v>140</v>
      </c>
      <c r="R2062">
        <v>1</v>
      </c>
      <c r="S2062">
        <v>2799</v>
      </c>
      <c r="T2062">
        <v>0</v>
      </c>
      <c r="U2062">
        <v>2799</v>
      </c>
      <c r="V2062">
        <v>1650</v>
      </c>
      <c r="W2062">
        <v>1149</v>
      </c>
      <c r="X2062" t="s">
        <v>74</v>
      </c>
      <c r="Y2062" t="s">
        <v>68</v>
      </c>
      <c r="Z2062" t="s">
        <v>159</v>
      </c>
      <c r="AA2062" t="s">
        <v>170</v>
      </c>
      <c r="AB2062">
        <v>3.4</v>
      </c>
      <c r="AC2062">
        <v>100</v>
      </c>
      <c r="AD2062">
        <v>264.41000000000003</v>
      </c>
      <c r="AE2062">
        <f t="shared" si="64"/>
        <v>784.58999999999992</v>
      </c>
      <c r="AF2062" t="str">
        <f t="shared" si="65"/>
        <v>2025-09</v>
      </c>
      <c r="AG2062">
        <f>SUBTOTAL(103,A2062)</f>
        <v>1</v>
      </c>
    </row>
    <row r="2063" spans="1:33" x14ac:dyDescent="0.3">
      <c r="A2063" t="s">
        <v>4682</v>
      </c>
      <c r="B2063" s="13">
        <v>45919</v>
      </c>
      <c r="C2063">
        <v>2025</v>
      </c>
      <c r="D2063">
        <v>9</v>
      </c>
      <c r="E2063" t="s">
        <v>4552</v>
      </c>
      <c r="F2063" t="s">
        <v>4047</v>
      </c>
      <c r="G2063" t="s">
        <v>921</v>
      </c>
      <c r="H2063" t="s">
        <v>922</v>
      </c>
      <c r="I2063" t="s">
        <v>85</v>
      </c>
      <c r="J2063">
        <v>38</v>
      </c>
      <c r="K2063" t="s">
        <v>82</v>
      </c>
      <c r="L2063" t="s">
        <v>96</v>
      </c>
      <c r="M2063" t="s">
        <v>55</v>
      </c>
      <c r="N2063" t="s">
        <v>2590</v>
      </c>
      <c r="O2063" t="s">
        <v>127</v>
      </c>
      <c r="P2063" t="s">
        <v>51</v>
      </c>
      <c r="Q2063" t="s">
        <v>148</v>
      </c>
      <c r="R2063">
        <v>4</v>
      </c>
      <c r="S2063">
        <v>1599</v>
      </c>
      <c r="T2063">
        <v>0.15</v>
      </c>
      <c r="U2063">
        <v>5436.6</v>
      </c>
      <c r="V2063">
        <v>3200</v>
      </c>
      <c r="W2063">
        <v>2236.6</v>
      </c>
      <c r="X2063" t="s">
        <v>77</v>
      </c>
      <c r="Y2063" t="s">
        <v>68</v>
      </c>
      <c r="Z2063" t="s">
        <v>162</v>
      </c>
      <c r="AA2063" t="s">
        <v>166</v>
      </c>
      <c r="AB2063">
        <v>5</v>
      </c>
      <c r="AC2063">
        <v>100</v>
      </c>
      <c r="AD2063">
        <v>454.41</v>
      </c>
      <c r="AE2063">
        <f t="shared" si="64"/>
        <v>1682.1899999999998</v>
      </c>
      <c r="AF2063" t="str">
        <f t="shared" si="65"/>
        <v>2025-09</v>
      </c>
      <c r="AG2063">
        <f>SUBTOTAL(103,A2063)</f>
        <v>1</v>
      </c>
    </row>
    <row r="2064" spans="1:33" x14ac:dyDescent="0.3">
      <c r="A2064" t="s">
        <v>4683</v>
      </c>
      <c r="B2064" s="13">
        <v>45919</v>
      </c>
      <c r="C2064">
        <v>2025</v>
      </c>
      <c r="D2064">
        <v>9</v>
      </c>
      <c r="E2064" t="s">
        <v>4552</v>
      </c>
      <c r="F2064" t="s">
        <v>4047</v>
      </c>
      <c r="G2064" t="s">
        <v>673</v>
      </c>
      <c r="H2064" t="s">
        <v>674</v>
      </c>
      <c r="I2064" t="s">
        <v>86</v>
      </c>
      <c r="J2064">
        <v>43</v>
      </c>
      <c r="K2064" t="s">
        <v>82</v>
      </c>
      <c r="L2064" t="s">
        <v>97</v>
      </c>
      <c r="M2064" t="s">
        <v>57</v>
      </c>
      <c r="N2064" t="s">
        <v>2606</v>
      </c>
      <c r="O2064" t="s">
        <v>120</v>
      </c>
      <c r="P2064" t="s">
        <v>49</v>
      </c>
      <c r="Q2064" t="s">
        <v>140</v>
      </c>
      <c r="R2064">
        <v>1</v>
      </c>
      <c r="S2064">
        <v>2799</v>
      </c>
      <c r="T2064">
        <v>0.25</v>
      </c>
      <c r="U2064">
        <v>2099.25</v>
      </c>
      <c r="V2064">
        <v>1650</v>
      </c>
      <c r="W2064">
        <v>449.25</v>
      </c>
      <c r="X2064" t="s">
        <v>73</v>
      </c>
      <c r="Y2064" t="s">
        <v>68</v>
      </c>
      <c r="Z2064" t="s">
        <v>163</v>
      </c>
      <c r="AA2064" t="s">
        <v>170</v>
      </c>
      <c r="AB2064">
        <v>3.4</v>
      </c>
      <c r="AC2064">
        <v>50</v>
      </c>
      <c r="AD2064">
        <v>234.49</v>
      </c>
      <c r="AE2064">
        <f t="shared" si="64"/>
        <v>164.76</v>
      </c>
      <c r="AF2064" t="str">
        <f t="shared" si="65"/>
        <v>2025-09</v>
      </c>
      <c r="AG2064">
        <f>SUBTOTAL(103,A2064)</f>
        <v>1</v>
      </c>
    </row>
    <row r="2065" spans="1:33" x14ac:dyDescent="0.3">
      <c r="A2065" t="s">
        <v>4684</v>
      </c>
      <c r="B2065" s="13">
        <v>45919</v>
      </c>
      <c r="C2065">
        <v>2025</v>
      </c>
      <c r="D2065">
        <v>9</v>
      </c>
      <c r="E2065" t="s">
        <v>4552</v>
      </c>
      <c r="F2065" t="s">
        <v>4047</v>
      </c>
      <c r="G2065" t="s">
        <v>927</v>
      </c>
      <c r="H2065" t="s">
        <v>928</v>
      </c>
      <c r="I2065" t="s">
        <v>86</v>
      </c>
      <c r="J2065">
        <v>49</v>
      </c>
      <c r="K2065" t="s">
        <v>83</v>
      </c>
      <c r="L2065" t="s">
        <v>2674</v>
      </c>
      <c r="M2065" t="s">
        <v>58</v>
      </c>
      <c r="N2065" t="s">
        <v>2644</v>
      </c>
      <c r="O2065" t="s">
        <v>126</v>
      </c>
      <c r="P2065" t="s">
        <v>50</v>
      </c>
      <c r="Q2065" t="s">
        <v>145</v>
      </c>
      <c r="R2065">
        <v>4</v>
      </c>
      <c r="S2065">
        <v>1799</v>
      </c>
      <c r="T2065">
        <v>0.15</v>
      </c>
      <c r="U2065">
        <v>6116.6</v>
      </c>
      <c r="V2065">
        <v>3800</v>
      </c>
      <c r="W2065">
        <v>2316.6</v>
      </c>
      <c r="X2065" t="s">
        <v>74</v>
      </c>
      <c r="Y2065" t="s">
        <v>68</v>
      </c>
      <c r="Z2065" t="s">
        <v>161</v>
      </c>
      <c r="AA2065" t="s">
        <v>168</v>
      </c>
      <c r="AB2065">
        <v>3.5</v>
      </c>
      <c r="AC2065">
        <v>60</v>
      </c>
      <c r="AD2065">
        <v>188.89</v>
      </c>
      <c r="AE2065">
        <f t="shared" si="64"/>
        <v>2067.71</v>
      </c>
      <c r="AF2065" t="str">
        <f t="shared" si="65"/>
        <v>2025-09</v>
      </c>
      <c r="AG2065">
        <f>SUBTOTAL(103,A2065)</f>
        <v>1</v>
      </c>
    </row>
    <row r="2066" spans="1:33" x14ac:dyDescent="0.3">
      <c r="A2066" t="s">
        <v>4685</v>
      </c>
      <c r="B2066" s="13">
        <v>45919</v>
      </c>
      <c r="C2066">
        <v>2025</v>
      </c>
      <c r="D2066">
        <v>9</v>
      </c>
      <c r="E2066" t="s">
        <v>4552</v>
      </c>
      <c r="F2066" t="s">
        <v>4047</v>
      </c>
      <c r="G2066" t="s">
        <v>745</v>
      </c>
      <c r="H2066" t="s">
        <v>746</v>
      </c>
      <c r="I2066" t="s">
        <v>85</v>
      </c>
      <c r="J2066">
        <v>30</v>
      </c>
      <c r="K2066" t="s">
        <v>81</v>
      </c>
      <c r="L2066" t="s">
        <v>2637</v>
      </c>
      <c r="M2066" t="s">
        <v>64</v>
      </c>
      <c r="N2066" t="s">
        <v>2601</v>
      </c>
      <c r="O2066" t="s">
        <v>117</v>
      </c>
      <c r="P2066" t="s">
        <v>49</v>
      </c>
      <c r="Q2066" t="s">
        <v>139</v>
      </c>
      <c r="R2066">
        <v>3</v>
      </c>
      <c r="S2066">
        <v>6999</v>
      </c>
      <c r="T2066">
        <v>0.15</v>
      </c>
      <c r="U2066">
        <v>17847.45</v>
      </c>
      <c r="V2066">
        <v>12900</v>
      </c>
      <c r="W2066">
        <v>4947.45</v>
      </c>
      <c r="X2066" t="s">
        <v>73</v>
      </c>
      <c r="Y2066" t="s">
        <v>68</v>
      </c>
      <c r="Z2066" t="s">
        <v>159</v>
      </c>
      <c r="AA2066" t="s">
        <v>169</v>
      </c>
      <c r="AB2066">
        <v>3.7</v>
      </c>
      <c r="AC2066">
        <v>50</v>
      </c>
      <c r="AD2066">
        <v>942.92</v>
      </c>
      <c r="AE2066">
        <f t="shared" si="64"/>
        <v>3954.5299999999997</v>
      </c>
      <c r="AF2066" t="str">
        <f t="shared" si="65"/>
        <v>2025-09</v>
      </c>
      <c r="AG2066">
        <f>SUBTOTAL(103,A2066)</f>
        <v>1</v>
      </c>
    </row>
    <row r="2067" spans="1:33" x14ac:dyDescent="0.3">
      <c r="A2067" t="s">
        <v>4686</v>
      </c>
      <c r="B2067" s="13">
        <v>45919</v>
      </c>
      <c r="C2067">
        <v>2025</v>
      </c>
      <c r="D2067">
        <v>9</v>
      </c>
      <c r="E2067" t="s">
        <v>4552</v>
      </c>
      <c r="F2067" t="s">
        <v>4047</v>
      </c>
      <c r="G2067" t="s">
        <v>2241</v>
      </c>
      <c r="H2067" t="s">
        <v>2242</v>
      </c>
      <c r="I2067" t="s">
        <v>85</v>
      </c>
      <c r="J2067">
        <v>56</v>
      </c>
      <c r="K2067" t="s">
        <v>83</v>
      </c>
      <c r="L2067" t="s">
        <v>2573</v>
      </c>
      <c r="M2067" t="s">
        <v>63</v>
      </c>
      <c r="N2067" t="s">
        <v>2653</v>
      </c>
      <c r="O2067" t="s">
        <v>132</v>
      </c>
      <c r="P2067" t="s">
        <v>52</v>
      </c>
      <c r="Q2067" t="s">
        <v>150</v>
      </c>
      <c r="R2067">
        <v>3</v>
      </c>
      <c r="S2067">
        <v>899</v>
      </c>
      <c r="T2067">
        <v>0.05</v>
      </c>
      <c r="U2067">
        <v>2562.15</v>
      </c>
      <c r="V2067">
        <v>1260</v>
      </c>
      <c r="W2067">
        <v>1302.1500000000001</v>
      </c>
      <c r="X2067" t="s">
        <v>74</v>
      </c>
      <c r="Y2067" t="s">
        <v>68</v>
      </c>
      <c r="Z2067" t="s">
        <v>161</v>
      </c>
      <c r="AA2067" t="s">
        <v>171</v>
      </c>
      <c r="AB2067">
        <v>4.7</v>
      </c>
      <c r="AC2067">
        <v>40</v>
      </c>
      <c r="AD2067">
        <v>130.72999999999999</v>
      </c>
      <c r="AE2067">
        <f t="shared" si="64"/>
        <v>1131.42</v>
      </c>
      <c r="AF2067" t="str">
        <f t="shared" si="65"/>
        <v>2025-09</v>
      </c>
      <c r="AG2067">
        <f>SUBTOTAL(103,A2067)</f>
        <v>1</v>
      </c>
    </row>
    <row r="2068" spans="1:33" x14ac:dyDescent="0.3">
      <c r="A2068" t="s">
        <v>4687</v>
      </c>
      <c r="B2068" s="13">
        <v>45920</v>
      </c>
      <c r="C2068">
        <v>2025</v>
      </c>
      <c r="D2068">
        <v>9</v>
      </c>
      <c r="E2068" t="s">
        <v>4552</v>
      </c>
      <c r="F2068" t="s">
        <v>4047</v>
      </c>
      <c r="G2068" t="s">
        <v>233</v>
      </c>
      <c r="H2068" t="s">
        <v>234</v>
      </c>
      <c r="I2068" t="s">
        <v>86</v>
      </c>
      <c r="J2068">
        <v>55</v>
      </c>
      <c r="K2068" t="s">
        <v>83</v>
      </c>
      <c r="L2068" t="s">
        <v>90</v>
      </c>
      <c r="M2068" t="s">
        <v>55</v>
      </c>
      <c r="N2068" t="s">
        <v>2657</v>
      </c>
      <c r="O2068" t="s">
        <v>134</v>
      </c>
      <c r="P2068" t="s">
        <v>49</v>
      </c>
      <c r="Q2068" t="s">
        <v>140</v>
      </c>
      <c r="R2068">
        <v>2</v>
      </c>
      <c r="S2068">
        <v>599</v>
      </c>
      <c r="T2068">
        <v>0</v>
      </c>
      <c r="U2068">
        <v>1198</v>
      </c>
      <c r="V2068">
        <v>500</v>
      </c>
      <c r="W2068">
        <v>698</v>
      </c>
      <c r="X2068" t="s">
        <v>75</v>
      </c>
      <c r="Y2068" t="s">
        <v>68</v>
      </c>
      <c r="Z2068" t="s">
        <v>162</v>
      </c>
      <c r="AA2068" t="s">
        <v>171</v>
      </c>
      <c r="AB2068">
        <v>3.5</v>
      </c>
      <c r="AC2068">
        <v>80</v>
      </c>
      <c r="AD2068">
        <v>98.75</v>
      </c>
      <c r="AE2068">
        <f t="shared" si="64"/>
        <v>519.25</v>
      </c>
      <c r="AF2068" t="str">
        <f t="shared" si="65"/>
        <v>2025-09</v>
      </c>
      <c r="AG2068">
        <f>SUBTOTAL(103,A2068)</f>
        <v>1</v>
      </c>
    </row>
    <row r="2069" spans="1:33" x14ac:dyDescent="0.3">
      <c r="A2069" t="s">
        <v>4688</v>
      </c>
      <c r="B2069" s="13">
        <v>45920</v>
      </c>
      <c r="C2069">
        <v>2025</v>
      </c>
      <c r="D2069">
        <v>9</v>
      </c>
      <c r="E2069" t="s">
        <v>4552</v>
      </c>
      <c r="F2069" t="s">
        <v>4047</v>
      </c>
      <c r="G2069" t="s">
        <v>187</v>
      </c>
      <c r="H2069" t="s">
        <v>188</v>
      </c>
      <c r="I2069" t="s">
        <v>85</v>
      </c>
      <c r="J2069">
        <v>30</v>
      </c>
      <c r="K2069" t="s">
        <v>81</v>
      </c>
      <c r="L2069" t="s">
        <v>95</v>
      </c>
      <c r="M2069" t="s">
        <v>56</v>
      </c>
      <c r="N2069" t="s">
        <v>2584</v>
      </c>
      <c r="O2069" t="s">
        <v>121</v>
      </c>
      <c r="P2069" t="s">
        <v>50</v>
      </c>
      <c r="Q2069" t="s">
        <v>144</v>
      </c>
      <c r="R2069">
        <v>2</v>
      </c>
      <c r="S2069">
        <v>2999</v>
      </c>
      <c r="T2069">
        <v>0.1</v>
      </c>
      <c r="U2069">
        <v>5398.2</v>
      </c>
      <c r="V2069">
        <v>3400</v>
      </c>
      <c r="W2069">
        <v>1998.2</v>
      </c>
      <c r="X2069" t="s">
        <v>75</v>
      </c>
      <c r="Y2069" t="s">
        <v>68</v>
      </c>
      <c r="Z2069" t="s">
        <v>163</v>
      </c>
      <c r="AA2069" t="s">
        <v>170</v>
      </c>
      <c r="AB2069">
        <v>3.9</v>
      </c>
      <c r="AC2069">
        <v>80</v>
      </c>
      <c r="AD2069">
        <v>331.08</v>
      </c>
      <c r="AE2069">
        <f t="shared" si="64"/>
        <v>1587.1200000000001</v>
      </c>
      <c r="AF2069" t="str">
        <f t="shared" si="65"/>
        <v>2025-09</v>
      </c>
      <c r="AG2069">
        <f>SUBTOTAL(103,A2069)</f>
        <v>1</v>
      </c>
    </row>
    <row r="2070" spans="1:33" x14ac:dyDescent="0.3">
      <c r="A2070" t="s">
        <v>4689</v>
      </c>
      <c r="B2070" s="13">
        <v>45921</v>
      </c>
      <c r="C2070">
        <v>2025</v>
      </c>
      <c r="D2070">
        <v>9</v>
      </c>
      <c r="E2070" t="s">
        <v>4552</v>
      </c>
      <c r="F2070" t="s">
        <v>4047</v>
      </c>
      <c r="G2070" t="s">
        <v>257</v>
      </c>
      <c r="H2070" t="s">
        <v>258</v>
      </c>
      <c r="I2070" t="s">
        <v>85</v>
      </c>
      <c r="J2070">
        <v>36</v>
      </c>
      <c r="K2070" t="s">
        <v>82</v>
      </c>
      <c r="L2070" t="s">
        <v>2589</v>
      </c>
      <c r="M2070" t="s">
        <v>61</v>
      </c>
      <c r="N2070" t="s">
        <v>2584</v>
      </c>
      <c r="O2070" t="s">
        <v>121</v>
      </c>
      <c r="P2070" t="s">
        <v>50</v>
      </c>
      <c r="Q2070" t="s">
        <v>144</v>
      </c>
      <c r="R2070">
        <v>2</v>
      </c>
      <c r="S2070">
        <v>2999</v>
      </c>
      <c r="T2070">
        <v>0.05</v>
      </c>
      <c r="U2070">
        <v>5698.1</v>
      </c>
      <c r="V2070">
        <v>3400</v>
      </c>
      <c r="W2070">
        <v>2298.1</v>
      </c>
      <c r="X2070" t="s">
        <v>76</v>
      </c>
      <c r="Y2070" t="s">
        <v>70</v>
      </c>
      <c r="Z2070" t="s">
        <v>161</v>
      </c>
      <c r="AA2070" t="s">
        <v>168</v>
      </c>
      <c r="AB2070">
        <v>4.7</v>
      </c>
      <c r="AC2070">
        <v>40</v>
      </c>
      <c r="AD2070">
        <v>656.13</v>
      </c>
      <c r="AE2070">
        <f t="shared" si="64"/>
        <v>1601.9699999999998</v>
      </c>
      <c r="AF2070" t="str">
        <f t="shared" si="65"/>
        <v>2025-09</v>
      </c>
      <c r="AG2070">
        <f>SUBTOTAL(103,A2070)</f>
        <v>1</v>
      </c>
    </row>
    <row r="2071" spans="1:33" x14ac:dyDescent="0.3">
      <c r="A2071" t="s">
        <v>4690</v>
      </c>
      <c r="B2071" s="13">
        <v>45921</v>
      </c>
      <c r="C2071">
        <v>2025</v>
      </c>
      <c r="D2071">
        <v>9</v>
      </c>
      <c r="E2071" t="s">
        <v>4552</v>
      </c>
      <c r="F2071" t="s">
        <v>4047</v>
      </c>
      <c r="G2071" t="s">
        <v>1499</v>
      </c>
      <c r="H2071" t="s">
        <v>1500</v>
      </c>
      <c r="I2071" t="s">
        <v>86</v>
      </c>
      <c r="J2071">
        <v>29</v>
      </c>
      <c r="K2071" t="s">
        <v>81</v>
      </c>
      <c r="L2071" t="s">
        <v>2589</v>
      </c>
      <c r="M2071" t="s">
        <v>61</v>
      </c>
      <c r="N2071" t="s">
        <v>2653</v>
      </c>
      <c r="O2071" t="s">
        <v>132</v>
      </c>
      <c r="P2071" t="s">
        <v>52</v>
      </c>
      <c r="Q2071" t="s">
        <v>150</v>
      </c>
      <c r="R2071">
        <v>1</v>
      </c>
      <c r="S2071">
        <v>899</v>
      </c>
      <c r="T2071">
        <v>0.05</v>
      </c>
      <c r="U2071">
        <v>854.05</v>
      </c>
      <c r="V2071">
        <v>420</v>
      </c>
      <c r="W2071">
        <v>434.05</v>
      </c>
      <c r="X2071" t="s">
        <v>73</v>
      </c>
      <c r="Y2071" t="s">
        <v>68</v>
      </c>
      <c r="Z2071" t="s">
        <v>160</v>
      </c>
      <c r="AA2071" t="s">
        <v>171</v>
      </c>
      <c r="AB2071">
        <v>4.7</v>
      </c>
      <c r="AC2071">
        <v>80</v>
      </c>
      <c r="AD2071">
        <v>84.53</v>
      </c>
      <c r="AE2071">
        <f t="shared" si="64"/>
        <v>269.52</v>
      </c>
      <c r="AF2071" t="str">
        <f t="shared" si="65"/>
        <v>2025-09</v>
      </c>
      <c r="AG2071">
        <f>SUBTOTAL(103,A2071)</f>
        <v>1</v>
      </c>
    </row>
    <row r="2072" spans="1:33" x14ac:dyDescent="0.3">
      <c r="A2072" t="s">
        <v>4691</v>
      </c>
      <c r="B2072" s="13">
        <v>45921</v>
      </c>
      <c r="C2072">
        <v>2025</v>
      </c>
      <c r="D2072">
        <v>9</v>
      </c>
      <c r="E2072" t="s">
        <v>4552</v>
      </c>
      <c r="F2072" t="s">
        <v>4047</v>
      </c>
      <c r="G2072" t="s">
        <v>1741</v>
      </c>
      <c r="H2072" t="s">
        <v>1742</v>
      </c>
      <c r="I2072" t="s">
        <v>85</v>
      </c>
      <c r="J2072">
        <v>18</v>
      </c>
      <c r="K2072" t="s">
        <v>80</v>
      </c>
      <c r="L2072" t="s">
        <v>97</v>
      </c>
      <c r="M2072" t="s">
        <v>57</v>
      </c>
      <c r="N2072" t="s">
        <v>2647</v>
      </c>
      <c r="O2072" t="s">
        <v>133</v>
      </c>
      <c r="P2072" t="s">
        <v>50</v>
      </c>
      <c r="Q2072" t="s">
        <v>145</v>
      </c>
      <c r="R2072">
        <v>1</v>
      </c>
      <c r="S2072">
        <v>799</v>
      </c>
      <c r="T2072">
        <v>0.1</v>
      </c>
      <c r="U2072">
        <v>719.1</v>
      </c>
      <c r="V2072">
        <v>390</v>
      </c>
      <c r="W2072">
        <v>329.1</v>
      </c>
      <c r="X2072" t="s">
        <v>77</v>
      </c>
      <c r="Y2072" t="s">
        <v>69</v>
      </c>
      <c r="Z2072" t="s">
        <v>163</v>
      </c>
      <c r="AA2072" t="s">
        <v>170</v>
      </c>
      <c r="AB2072">
        <v>4.5</v>
      </c>
      <c r="AC2072">
        <v>100</v>
      </c>
      <c r="AD2072">
        <v>63.75</v>
      </c>
      <c r="AE2072">
        <f t="shared" si="64"/>
        <v>165.35000000000002</v>
      </c>
      <c r="AF2072" t="str">
        <f t="shared" si="65"/>
        <v>2025-09</v>
      </c>
      <c r="AG2072">
        <f>SUBTOTAL(103,A2072)</f>
        <v>1</v>
      </c>
    </row>
    <row r="2073" spans="1:33" x14ac:dyDescent="0.3">
      <c r="A2073" t="s">
        <v>4692</v>
      </c>
      <c r="B2073" s="13">
        <v>45921</v>
      </c>
      <c r="C2073">
        <v>2025</v>
      </c>
      <c r="D2073">
        <v>9</v>
      </c>
      <c r="E2073" t="s">
        <v>4552</v>
      </c>
      <c r="F2073" t="s">
        <v>4047</v>
      </c>
      <c r="G2073" t="s">
        <v>683</v>
      </c>
      <c r="H2073" t="s">
        <v>684</v>
      </c>
      <c r="I2073" t="s">
        <v>86</v>
      </c>
      <c r="J2073">
        <v>42</v>
      </c>
      <c r="K2073" t="s">
        <v>82</v>
      </c>
      <c r="L2073" t="s">
        <v>59</v>
      </c>
      <c r="M2073" t="s">
        <v>59</v>
      </c>
      <c r="N2073" t="s">
        <v>2577</v>
      </c>
      <c r="O2073" t="s">
        <v>129</v>
      </c>
      <c r="P2073" t="s">
        <v>49</v>
      </c>
      <c r="Q2073" t="s">
        <v>149</v>
      </c>
      <c r="R2073">
        <v>4</v>
      </c>
      <c r="S2073">
        <v>1299</v>
      </c>
      <c r="T2073">
        <v>0.15</v>
      </c>
      <c r="U2073">
        <v>4416.6000000000004</v>
      </c>
      <c r="V2073">
        <v>2600</v>
      </c>
      <c r="W2073">
        <v>1816.6</v>
      </c>
      <c r="X2073" t="s">
        <v>76</v>
      </c>
      <c r="Y2073" t="s">
        <v>68</v>
      </c>
      <c r="Z2073" t="s">
        <v>161</v>
      </c>
      <c r="AA2073" t="s">
        <v>169</v>
      </c>
      <c r="AB2073">
        <v>4.2</v>
      </c>
      <c r="AC2073">
        <v>50</v>
      </c>
      <c r="AD2073">
        <v>494.85</v>
      </c>
      <c r="AE2073">
        <f t="shared" si="64"/>
        <v>1271.75</v>
      </c>
      <c r="AF2073" t="str">
        <f t="shared" si="65"/>
        <v>2025-09</v>
      </c>
      <c r="AG2073">
        <f>SUBTOTAL(103,A2073)</f>
        <v>1</v>
      </c>
    </row>
    <row r="2074" spans="1:33" x14ac:dyDescent="0.3">
      <c r="A2074" t="s">
        <v>4693</v>
      </c>
      <c r="B2074" s="13">
        <v>45921</v>
      </c>
      <c r="C2074">
        <v>2025</v>
      </c>
      <c r="D2074">
        <v>9</v>
      </c>
      <c r="E2074" t="s">
        <v>4552</v>
      </c>
      <c r="F2074" t="s">
        <v>4047</v>
      </c>
      <c r="G2074" t="s">
        <v>271</v>
      </c>
      <c r="H2074" t="s">
        <v>272</v>
      </c>
      <c r="I2074" t="s">
        <v>86</v>
      </c>
      <c r="J2074">
        <v>51</v>
      </c>
      <c r="K2074" t="s">
        <v>83</v>
      </c>
      <c r="L2074" t="s">
        <v>92</v>
      </c>
      <c r="M2074" t="s">
        <v>59</v>
      </c>
      <c r="N2074" t="s">
        <v>2587</v>
      </c>
      <c r="O2074" t="s">
        <v>116</v>
      </c>
      <c r="P2074" t="s">
        <v>48</v>
      </c>
      <c r="Q2074" t="s">
        <v>138</v>
      </c>
      <c r="R2074">
        <v>3</v>
      </c>
      <c r="S2074">
        <v>14999</v>
      </c>
      <c r="T2074">
        <v>0</v>
      </c>
      <c r="U2074">
        <v>44997</v>
      </c>
      <c r="V2074">
        <v>33600</v>
      </c>
      <c r="W2074">
        <v>11397</v>
      </c>
      <c r="X2074" t="s">
        <v>77</v>
      </c>
      <c r="Y2074" t="s">
        <v>68</v>
      </c>
      <c r="Z2074" t="s">
        <v>161</v>
      </c>
      <c r="AA2074" t="s">
        <v>168</v>
      </c>
      <c r="AB2074">
        <v>4.5999999999999996</v>
      </c>
      <c r="AC2074">
        <v>100</v>
      </c>
      <c r="AD2074">
        <v>3066.36</v>
      </c>
      <c r="AE2074">
        <f t="shared" si="64"/>
        <v>8230.64</v>
      </c>
      <c r="AF2074" t="str">
        <f t="shared" si="65"/>
        <v>2025-09</v>
      </c>
      <c r="AG2074">
        <f>SUBTOTAL(103,A2074)</f>
        <v>1</v>
      </c>
    </row>
    <row r="2075" spans="1:33" x14ac:dyDescent="0.3">
      <c r="A2075" t="s">
        <v>4694</v>
      </c>
      <c r="B2075" s="13">
        <v>45921</v>
      </c>
      <c r="C2075">
        <v>2025</v>
      </c>
      <c r="D2075">
        <v>9</v>
      </c>
      <c r="E2075" t="s">
        <v>4552</v>
      </c>
      <c r="F2075" t="s">
        <v>4047</v>
      </c>
      <c r="G2075" t="s">
        <v>1367</v>
      </c>
      <c r="H2075" t="s">
        <v>1368</v>
      </c>
      <c r="I2075" t="s">
        <v>86</v>
      </c>
      <c r="J2075">
        <v>33</v>
      </c>
      <c r="K2075" t="s">
        <v>81</v>
      </c>
      <c r="L2075" t="s">
        <v>2690</v>
      </c>
      <c r="M2075" t="s">
        <v>63</v>
      </c>
      <c r="N2075" t="s">
        <v>2596</v>
      </c>
      <c r="O2075" t="s">
        <v>124</v>
      </c>
      <c r="P2075" t="s">
        <v>51</v>
      </c>
      <c r="Q2075" t="s">
        <v>147</v>
      </c>
      <c r="R2075">
        <v>4</v>
      </c>
      <c r="S2075">
        <v>2299</v>
      </c>
      <c r="T2075">
        <v>0.25</v>
      </c>
      <c r="U2075">
        <v>6897</v>
      </c>
      <c r="V2075">
        <v>4800</v>
      </c>
      <c r="W2075">
        <v>2097</v>
      </c>
      <c r="X2075" t="s">
        <v>75</v>
      </c>
      <c r="Y2075" t="s">
        <v>68</v>
      </c>
      <c r="Z2075" t="s">
        <v>159</v>
      </c>
      <c r="AA2075" t="s">
        <v>167</v>
      </c>
      <c r="AB2075">
        <v>3.7</v>
      </c>
      <c r="AC2075">
        <v>60</v>
      </c>
      <c r="AD2075">
        <v>173.82</v>
      </c>
      <c r="AE2075">
        <f t="shared" si="64"/>
        <v>1863.18</v>
      </c>
      <c r="AF2075" t="str">
        <f t="shared" si="65"/>
        <v>2025-09</v>
      </c>
      <c r="AG2075">
        <f>SUBTOTAL(103,A2075)</f>
        <v>1</v>
      </c>
    </row>
    <row r="2076" spans="1:33" x14ac:dyDescent="0.3">
      <c r="A2076" t="s">
        <v>4695</v>
      </c>
      <c r="B2076" s="13">
        <v>45922</v>
      </c>
      <c r="C2076">
        <v>2025</v>
      </c>
      <c r="D2076">
        <v>9</v>
      </c>
      <c r="E2076" t="s">
        <v>4552</v>
      </c>
      <c r="F2076" t="s">
        <v>4047</v>
      </c>
      <c r="G2076" t="s">
        <v>2193</v>
      </c>
      <c r="H2076" t="s">
        <v>2194</v>
      </c>
      <c r="I2076" t="s">
        <v>85</v>
      </c>
      <c r="J2076">
        <v>49</v>
      </c>
      <c r="K2076" t="s">
        <v>83</v>
      </c>
      <c r="L2076" t="s">
        <v>93</v>
      </c>
      <c r="M2076" t="s">
        <v>55</v>
      </c>
      <c r="N2076" t="s">
        <v>2594</v>
      </c>
      <c r="O2076" t="s">
        <v>131</v>
      </c>
      <c r="P2076" t="s">
        <v>53</v>
      </c>
      <c r="Q2076" t="s">
        <v>143</v>
      </c>
      <c r="R2076">
        <v>2</v>
      </c>
      <c r="S2076">
        <v>999</v>
      </c>
      <c r="T2076">
        <v>0.05</v>
      </c>
      <c r="U2076">
        <v>1898.1</v>
      </c>
      <c r="V2076">
        <v>1040</v>
      </c>
      <c r="W2076">
        <v>858.1</v>
      </c>
      <c r="X2076" t="s">
        <v>75</v>
      </c>
      <c r="Y2076" t="s">
        <v>68</v>
      </c>
      <c r="Z2076" t="s">
        <v>158</v>
      </c>
      <c r="AA2076" t="s">
        <v>169</v>
      </c>
      <c r="AB2076">
        <v>4.4000000000000004</v>
      </c>
      <c r="AC2076">
        <v>50</v>
      </c>
      <c r="AD2076">
        <v>155.12</v>
      </c>
      <c r="AE2076">
        <f t="shared" si="64"/>
        <v>652.98</v>
      </c>
      <c r="AF2076" t="str">
        <f t="shared" si="65"/>
        <v>2025-09</v>
      </c>
      <c r="AG2076">
        <f>SUBTOTAL(103,A2076)</f>
        <v>1</v>
      </c>
    </row>
    <row r="2077" spans="1:33" x14ac:dyDescent="0.3">
      <c r="A2077" t="s">
        <v>4696</v>
      </c>
      <c r="B2077" s="13">
        <v>45922</v>
      </c>
      <c r="C2077">
        <v>2025</v>
      </c>
      <c r="D2077">
        <v>9</v>
      </c>
      <c r="E2077" t="s">
        <v>4552</v>
      </c>
      <c r="F2077" t="s">
        <v>4047</v>
      </c>
      <c r="G2077" t="s">
        <v>1765</v>
      </c>
      <c r="H2077" t="s">
        <v>1766</v>
      </c>
      <c r="I2077" t="s">
        <v>86</v>
      </c>
      <c r="J2077">
        <v>56</v>
      </c>
      <c r="K2077" t="s">
        <v>83</v>
      </c>
      <c r="L2077" t="s">
        <v>2679</v>
      </c>
      <c r="M2077" t="s">
        <v>60</v>
      </c>
      <c r="N2077" t="s">
        <v>2665</v>
      </c>
      <c r="O2077" t="s">
        <v>128</v>
      </c>
      <c r="P2077" t="s">
        <v>53</v>
      </c>
      <c r="Q2077" t="s">
        <v>143</v>
      </c>
      <c r="R2077">
        <v>3</v>
      </c>
      <c r="S2077">
        <v>1499</v>
      </c>
      <c r="T2077">
        <v>0.15</v>
      </c>
      <c r="U2077">
        <v>3822.45</v>
      </c>
      <c r="V2077">
        <v>2400</v>
      </c>
      <c r="W2077">
        <v>1422.45</v>
      </c>
      <c r="X2077" t="s">
        <v>74</v>
      </c>
      <c r="Y2077" t="s">
        <v>68</v>
      </c>
      <c r="Z2077" t="s">
        <v>163</v>
      </c>
      <c r="AA2077" t="s">
        <v>168</v>
      </c>
      <c r="AB2077">
        <v>3.3</v>
      </c>
      <c r="AC2077">
        <v>100</v>
      </c>
      <c r="AD2077">
        <v>174.1</v>
      </c>
      <c r="AE2077">
        <f t="shared" si="64"/>
        <v>1148.3500000000001</v>
      </c>
      <c r="AF2077" t="str">
        <f t="shared" si="65"/>
        <v>2025-09</v>
      </c>
      <c r="AG2077">
        <f>SUBTOTAL(103,A2077)</f>
        <v>1</v>
      </c>
    </row>
    <row r="2078" spans="1:33" x14ac:dyDescent="0.3">
      <c r="A2078" t="s">
        <v>4697</v>
      </c>
      <c r="B2078" s="13">
        <v>45922</v>
      </c>
      <c r="C2078">
        <v>2025</v>
      </c>
      <c r="D2078">
        <v>9</v>
      </c>
      <c r="E2078" t="s">
        <v>4552</v>
      </c>
      <c r="F2078" t="s">
        <v>4047</v>
      </c>
      <c r="G2078" t="s">
        <v>839</v>
      </c>
      <c r="H2078" t="s">
        <v>840</v>
      </c>
      <c r="I2078" t="s">
        <v>86</v>
      </c>
      <c r="J2078">
        <v>28</v>
      </c>
      <c r="K2078" t="s">
        <v>81</v>
      </c>
      <c r="L2078" t="s">
        <v>2661</v>
      </c>
      <c r="M2078" t="s">
        <v>58</v>
      </c>
      <c r="N2078" t="s">
        <v>2587</v>
      </c>
      <c r="O2078" t="s">
        <v>116</v>
      </c>
      <c r="P2078" t="s">
        <v>48</v>
      </c>
      <c r="Q2078" t="s">
        <v>138</v>
      </c>
      <c r="R2078">
        <v>2</v>
      </c>
      <c r="S2078">
        <v>14999</v>
      </c>
      <c r="T2078">
        <v>0.05</v>
      </c>
      <c r="U2078">
        <v>28498.1</v>
      </c>
      <c r="V2078">
        <v>22400</v>
      </c>
      <c r="W2078">
        <v>6098.1</v>
      </c>
      <c r="X2078" t="s">
        <v>74</v>
      </c>
      <c r="Y2078" t="s">
        <v>68</v>
      </c>
      <c r="Z2078" t="s">
        <v>161</v>
      </c>
      <c r="AA2078" t="s">
        <v>166</v>
      </c>
      <c r="AB2078">
        <v>4.4000000000000004</v>
      </c>
      <c r="AC2078">
        <v>50</v>
      </c>
      <c r="AD2078">
        <v>2736.61</v>
      </c>
      <c r="AE2078">
        <f t="shared" si="64"/>
        <v>3311.4900000000002</v>
      </c>
      <c r="AF2078" t="str">
        <f t="shared" si="65"/>
        <v>2025-09</v>
      </c>
      <c r="AG2078">
        <f>SUBTOTAL(103,A2078)</f>
        <v>1</v>
      </c>
    </row>
    <row r="2079" spans="1:33" x14ac:dyDescent="0.3">
      <c r="A2079" t="s">
        <v>4698</v>
      </c>
      <c r="B2079" s="13">
        <v>45922</v>
      </c>
      <c r="C2079">
        <v>2025</v>
      </c>
      <c r="D2079">
        <v>9</v>
      </c>
      <c r="E2079" t="s">
        <v>4552</v>
      </c>
      <c r="F2079" t="s">
        <v>4047</v>
      </c>
      <c r="G2079" t="s">
        <v>211</v>
      </c>
      <c r="H2079" t="s">
        <v>212</v>
      </c>
      <c r="I2079" t="s">
        <v>85</v>
      </c>
      <c r="J2079">
        <v>31</v>
      </c>
      <c r="K2079" t="s">
        <v>81</v>
      </c>
      <c r="L2079" t="s">
        <v>2610</v>
      </c>
      <c r="M2079" t="s">
        <v>64</v>
      </c>
      <c r="N2079" t="s">
        <v>2574</v>
      </c>
      <c r="O2079" t="s">
        <v>130</v>
      </c>
      <c r="P2079" t="s">
        <v>50</v>
      </c>
      <c r="Q2079" t="s">
        <v>53</v>
      </c>
      <c r="R2079">
        <v>2</v>
      </c>
      <c r="S2079">
        <v>1199</v>
      </c>
      <c r="T2079">
        <v>0.2</v>
      </c>
      <c r="U2079">
        <v>1918.4</v>
      </c>
      <c r="V2079">
        <v>1100</v>
      </c>
      <c r="W2079">
        <v>818.4</v>
      </c>
      <c r="X2079" t="s">
        <v>77</v>
      </c>
      <c r="Y2079" t="s">
        <v>68</v>
      </c>
      <c r="Z2079" t="s">
        <v>161</v>
      </c>
      <c r="AA2079" t="s">
        <v>170</v>
      </c>
      <c r="AB2079">
        <v>4.4000000000000004</v>
      </c>
      <c r="AC2079">
        <v>80</v>
      </c>
      <c r="AD2079">
        <v>166.05</v>
      </c>
      <c r="AE2079">
        <f t="shared" si="64"/>
        <v>572.34999999999991</v>
      </c>
      <c r="AF2079" t="str">
        <f t="shared" si="65"/>
        <v>2025-09</v>
      </c>
      <c r="AG2079">
        <f>SUBTOTAL(103,A2079)</f>
        <v>1</v>
      </c>
    </row>
    <row r="2080" spans="1:33" x14ac:dyDescent="0.3">
      <c r="A2080" t="s">
        <v>4699</v>
      </c>
      <c r="B2080" s="13">
        <v>45922</v>
      </c>
      <c r="C2080">
        <v>2025</v>
      </c>
      <c r="D2080">
        <v>9</v>
      </c>
      <c r="E2080" t="s">
        <v>4552</v>
      </c>
      <c r="F2080" t="s">
        <v>4047</v>
      </c>
      <c r="G2080" t="s">
        <v>1447</v>
      </c>
      <c r="H2080" t="s">
        <v>1448</v>
      </c>
      <c r="I2080" t="s">
        <v>86</v>
      </c>
      <c r="J2080">
        <v>20</v>
      </c>
      <c r="K2080" t="s">
        <v>80</v>
      </c>
      <c r="L2080" t="s">
        <v>2623</v>
      </c>
      <c r="M2080" t="s">
        <v>61</v>
      </c>
      <c r="N2080" t="s">
        <v>2594</v>
      </c>
      <c r="O2080" t="s">
        <v>131</v>
      </c>
      <c r="P2080" t="s">
        <v>53</v>
      </c>
      <c r="Q2080" t="s">
        <v>143</v>
      </c>
      <c r="R2080">
        <v>3</v>
      </c>
      <c r="S2080">
        <v>999</v>
      </c>
      <c r="T2080">
        <v>0</v>
      </c>
      <c r="U2080">
        <v>2997</v>
      </c>
      <c r="V2080">
        <v>1560</v>
      </c>
      <c r="W2080">
        <v>1437</v>
      </c>
      <c r="X2080" t="s">
        <v>73</v>
      </c>
      <c r="Y2080" t="s">
        <v>68</v>
      </c>
      <c r="Z2080" t="s">
        <v>163</v>
      </c>
      <c r="AA2080" t="s">
        <v>167</v>
      </c>
      <c r="AB2080">
        <v>4.4000000000000004</v>
      </c>
      <c r="AC2080">
        <v>80</v>
      </c>
      <c r="AD2080">
        <v>212.4</v>
      </c>
      <c r="AE2080">
        <f t="shared" si="64"/>
        <v>1144.5999999999999</v>
      </c>
      <c r="AF2080" t="str">
        <f t="shared" si="65"/>
        <v>2025-09</v>
      </c>
      <c r="AG2080">
        <f>SUBTOTAL(103,A2080)</f>
        <v>1</v>
      </c>
    </row>
    <row r="2081" spans="1:33" x14ac:dyDescent="0.3">
      <c r="A2081" t="s">
        <v>4700</v>
      </c>
      <c r="B2081" s="13">
        <v>45922</v>
      </c>
      <c r="C2081">
        <v>2025</v>
      </c>
      <c r="D2081">
        <v>9</v>
      </c>
      <c r="E2081" t="s">
        <v>4552</v>
      </c>
      <c r="F2081" t="s">
        <v>4047</v>
      </c>
      <c r="G2081" t="s">
        <v>775</v>
      </c>
      <c r="H2081" t="s">
        <v>776</v>
      </c>
      <c r="I2081" t="s">
        <v>86</v>
      </c>
      <c r="J2081">
        <v>29</v>
      </c>
      <c r="K2081" t="s">
        <v>81</v>
      </c>
      <c r="L2081" t="s">
        <v>97</v>
      </c>
      <c r="M2081" t="s">
        <v>57</v>
      </c>
      <c r="N2081" t="s">
        <v>2587</v>
      </c>
      <c r="O2081" t="s">
        <v>116</v>
      </c>
      <c r="P2081" t="s">
        <v>48</v>
      </c>
      <c r="Q2081" t="s">
        <v>138</v>
      </c>
      <c r="R2081">
        <v>2</v>
      </c>
      <c r="S2081">
        <v>14999</v>
      </c>
      <c r="T2081">
        <v>0</v>
      </c>
      <c r="U2081">
        <v>29998</v>
      </c>
      <c r="V2081">
        <v>22400</v>
      </c>
      <c r="W2081">
        <v>7598</v>
      </c>
      <c r="X2081" t="s">
        <v>75</v>
      </c>
      <c r="Y2081" t="s">
        <v>68</v>
      </c>
      <c r="Z2081" t="s">
        <v>160</v>
      </c>
      <c r="AA2081" t="s">
        <v>171</v>
      </c>
      <c r="AB2081">
        <v>4.3</v>
      </c>
      <c r="AC2081">
        <v>50</v>
      </c>
      <c r="AD2081">
        <v>2508.4</v>
      </c>
      <c r="AE2081">
        <f t="shared" si="64"/>
        <v>5039.6000000000004</v>
      </c>
      <c r="AF2081" t="str">
        <f t="shared" si="65"/>
        <v>2025-09</v>
      </c>
      <c r="AG2081">
        <f>SUBTOTAL(103,A2081)</f>
        <v>1</v>
      </c>
    </row>
    <row r="2082" spans="1:33" x14ac:dyDescent="0.3">
      <c r="A2082" t="s">
        <v>4701</v>
      </c>
      <c r="B2082" s="13">
        <v>45922</v>
      </c>
      <c r="C2082">
        <v>2025</v>
      </c>
      <c r="D2082">
        <v>9</v>
      </c>
      <c r="E2082" t="s">
        <v>4552</v>
      </c>
      <c r="F2082" t="s">
        <v>4047</v>
      </c>
      <c r="G2082" t="s">
        <v>2125</v>
      </c>
      <c r="H2082" t="s">
        <v>2126</v>
      </c>
      <c r="I2082" t="s">
        <v>85</v>
      </c>
      <c r="J2082">
        <v>54</v>
      </c>
      <c r="K2082" t="s">
        <v>83</v>
      </c>
      <c r="L2082" t="s">
        <v>100</v>
      </c>
      <c r="M2082" t="s">
        <v>56</v>
      </c>
      <c r="N2082" t="s">
        <v>2626</v>
      </c>
      <c r="O2082" t="s">
        <v>125</v>
      </c>
      <c r="P2082" t="s">
        <v>48</v>
      </c>
      <c r="Q2082" t="s">
        <v>141</v>
      </c>
      <c r="R2082">
        <v>1</v>
      </c>
      <c r="S2082">
        <v>1999</v>
      </c>
      <c r="T2082">
        <v>0.15</v>
      </c>
      <c r="U2082">
        <v>1699.15</v>
      </c>
      <c r="V2082">
        <v>1150</v>
      </c>
      <c r="W2082">
        <v>549.15</v>
      </c>
      <c r="X2082" t="s">
        <v>73</v>
      </c>
      <c r="Y2082" t="s">
        <v>68</v>
      </c>
      <c r="Z2082" t="s">
        <v>159</v>
      </c>
      <c r="AA2082" t="s">
        <v>166</v>
      </c>
      <c r="AB2082">
        <v>4.5</v>
      </c>
      <c r="AC2082">
        <v>100</v>
      </c>
      <c r="AD2082">
        <v>173.77</v>
      </c>
      <c r="AE2082">
        <f t="shared" si="64"/>
        <v>275.38</v>
      </c>
      <c r="AF2082" t="str">
        <f t="shared" si="65"/>
        <v>2025-09</v>
      </c>
      <c r="AG2082">
        <f>SUBTOTAL(103,A2082)</f>
        <v>1</v>
      </c>
    </row>
    <row r="2083" spans="1:33" x14ac:dyDescent="0.3">
      <c r="A2083" t="s">
        <v>4702</v>
      </c>
      <c r="B2083" s="13">
        <v>45922</v>
      </c>
      <c r="C2083">
        <v>2025</v>
      </c>
      <c r="D2083">
        <v>9</v>
      </c>
      <c r="E2083" t="s">
        <v>4552</v>
      </c>
      <c r="F2083" t="s">
        <v>4047</v>
      </c>
      <c r="G2083" t="s">
        <v>1087</v>
      </c>
      <c r="H2083" t="s">
        <v>1088</v>
      </c>
      <c r="I2083" t="s">
        <v>85</v>
      </c>
      <c r="J2083">
        <v>18</v>
      </c>
      <c r="K2083" t="s">
        <v>80</v>
      </c>
      <c r="L2083" t="s">
        <v>96</v>
      </c>
      <c r="M2083" t="s">
        <v>55</v>
      </c>
      <c r="N2083" t="s">
        <v>2630</v>
      </c>
      <c r="O2083" t="s">
        <v>123</v>
      </c>
      <c r="P2083" t="s">
        <v>52</v>
      </c>
      <c r="Q2083" t="s">
        <v>146</v>
      </c>
      <c r="R2083">
        <v>2</v>
      </c>
      <c r="S2083">
        <v>2499</v>
      </c>
      <c r="T2083">
        <v>0.05</v>
      </c>
      <c r="U2083">
        <v>4748.1000000000004</v>
      </c>
      <c r="V2083">
        <v>2800</v>
      </c>
      <c r="W2083">
        <v>1948.1</v>
      </c>
      <c r="X2083" t="s">
        <v>73</v>
      </c>
      <c r="Y2083" t="s">
        <v>68</v>
      </c>
      <c r="Z2083" t="s">
        <v>159</v>
      </c>
      <c r="AA2083" t="s">
        <v>167</v>
      </c>
      <c r="AB2083">
        <v>4.3</v>
      </c>
      <c r="AC2083">
        <v>40</v>
      </c>
      <c r="AD2083">
        <v>154.33000000000001</v>
      </c>
      <c r="AE2083">
        <f t="shared" si="64"/>
        <v>1753.77</v>
      </c>
      <c r="AF2083" t="str">
        <f t="shared" si="65"/>
        <v>2025-09</v>
      </c>
      <c r="AG2083">
        <f>SUBTOTAL(103,A2083)</f>
        <v>1</v>
      </c>
    </row>
    <row r="2084" spans="1:33" x14ac:dyDescent="0.3">
      <c r="A2084" t="s">
        <v>4703</v>
      </c>
      <c r="B2084" s="13">
        <v>45923</v>
      </c>
      <c r="C2084">
        <v>2025</v>
      </c>
      <c r="D2084">
        <v>9</v>
      </c>
      <c r="E2084" t="s">
        <v>4552</v>
      </c>
      <c r="F2084" t="s">
        <v>4047</v>
      </c>
      <c r="G2084" t="s">
        <v>1389</v>
      </c>
      <c r="H2084" t="s">
        <v>1390</v>
      </c>
      <c r="I2084" t="s">
        <v>85</v>
      </c>
      <c r="J2084">
        <v>50</v>
      </c>
      <c r="K2084" t="s">
        <v>83</v>
      </c>
      <c r="L2084" t="s">
        <v>97</v>
      </c>
      <c r="M2084" t="s">
        <v>57</v>
      </c>
      <c r="N2084" t="s">
        <v>2601</v>
      </c>
      <c r="O2084" t="s">
        <v>117</v>
      </c>
      <c r="P2084" t="s">
        <v>49</v>
      </c>
      <c r="Q2084" t="s">
        <v>139</v>
      </c>
      <c r="R2084">
        <v>1</v>
      </c>
      <c r="S2084">
        <v>6999</v>
      </c>
      <c r="T2084">
        <v>0.25</v>
      </c>
      <c r="U2084">
        <v>5249.25</v>
      </c>
      <c r="V2084">
        <v>4300</v>
      </c>
      <c r="W2084">
        <v>949.25</v>
      </c>
      <c r="X2084" t="s">
        <v>73</v>
      </c>
      <c r="Y2084" t="s">
        <v>68</v>
      </c>
      <c r="Z2084" t="s">
        <v>158</v>
      </c>
      <c r="AA2084" t="s">
        <v>166</v>
      </c>
      <c r="AB2084">
        <v>3.7</v>
      </c>
      <c r="AC2084">
        <v>100</v>
      </c>
      <c r="AD2084">
        <v>330.55</v>
      </c>
      <c r="AE2084">
        <f t="shared" si="64"/>
        <v>518.70000000000005</v>
      </c>
      <c r="AF2084" t="str">
        <f t="shared" si="65"/>
        <v>2025-09</v>
      </c>
      <c r="AG2084">
        <f>SUBTOTAL(103,A2084)</f>
        <v>1</v>
      </c>
    </row>
    <row r="2085" spans="1:33" x14ac:dyDescent="0.3">
      <c r="A2085" t="s">
        <v>4704</v>
      </c>
      <c r="B2085" s="13">
        <v>45923</v>
      </c>
      <c r="C2085">
        <v>2025</v>
      </c>
      <c r="D2085">
        <v>9</v>
      </c>
      <c r="E2085" t="s">
        <v>4552</v>
      </c>
      <c r="F2085" t="s">
        <v>4047</v>
      </c>
      <c r="G2085" t="s">
        <v>1677</v>
      </c>
      <c r="H2085" t="s">
        <v>1678</v>
      </c>
      <c r="I2085" t="s">
        <v>85</v>
      </c>
      <c r="J2085">
        <v>20</v>
      </c>
      <c r="K2085" t="s">
        <v>80</v>
      </c>
      <c r="L2085" t="s">
        <v>2605</v>
      </c>
      <c r="M2085" t="s">
        <v>60</v>
      </c>
      <c r="N2085" t="s">
        <v>2580</v>
      </c>
      <c r="O2085" t="s">
        <v>118</v>
      </c>
      <c r="P2085" t="s">
        <v>48</v>
      </c>
      <c r="Q2085" t="s">
        <v>142</v>
      </c>
      <c r="R2085">
        <v>1</v>
      </c>
      <c r="S2085">
        <v>3999</v>
      </c>
      <c r="T2085">
        <v>0</v>
      </c>
      <c r="U2085">
        <v>3999</v>
      </c>
      <c r="V2085">
        <v>2400</v>
      </c>
      <c r="W2085">
        <v>1599</v>
      </c>
      <c r="X2085" t="s">
        <v>76</v>
      </c>
      <c r="Y2085" t="s">
        <v>68</v>
      </c>
      <c r="Z2085" t="s">
        <v>162</v>
      </c>
      <c r="AA2085" t="s">
        <v>167</v>
      </c>
      <c r="AB2085">
        <v>5</v>
      </c>
      <c r="AC2085">
        <v>40</v>
      </c>
      <c r="AD2085">
        <v>322.79000000000002</v>
      </c>
      <c r="AE2085">
        <f t="shared" si="64"/>
        <v>1236.21</v>
      </c>
      <c r="AF2085" t="str">
        <f t="shared" si="65"/>
        <v>2025-09</v>
      </c>
      <c r="AG2085">
        <f>SUBTOTAL(103,A2085)</f>
        <v>1</v>
      </c>
    </row>
    <row r="2086" spans="1:33" x14ac:dyDescent="0.3">
      <c r="A2086" t="s">
        <v>4705</v>
      </c>
      <c r="B2086" s="13">
        <v>45923</v>
      </c>
      <c r="C2086">
        <v>2025</v>
      </c>
      <c r="D2086">
        <v>9</v>
      </c>
      <c r="E2086" t="s">
        <v>4552</v>
      </c>
      <c r="F2086" t="s">
        <v>4047</v>
      </c>
      <c r="G2086" t="s">
        <v>1307</v>
      </c>
      <c r="H2086" t="s">
        <v>1308</v>
      </c>
      <c r="I2086" t="s">
        <v>85</v>
      </c>
      <c r="J2086">
        <v>18</v>
      </c>
      <c r="K2086" t="s">
        <v>80</v>
      </c>
      <c r="L2086" t="s">
        <v>92</v>
      </c>
      <c r="M2086" t="s">
        <v>59</v>
      </c>
      <c r="N2086" t="s">
        <v>2582</v>
      </c>
      <c r="O2086" t="s">
        <v>119</v>
      </c>
      <c r="P2086" t="s">
        <v>49</v>
      </c>
      <c r="Q2086" t="s">
        <v>140</v>
      </c>
      <c r="R2086">
        <v>1</v>
      </c>
      <c r="S2086">
        <v>3499</v>
      </c>
      <c r="T2086">
        <v>0.25</v>
      </c>
      <c r="U2086">
        <v>2624.25</v>
      </c>
      <c r="V2086">
        <v>2100</v>
      </c>
      <c r="W2086">
        <v>524.25</v>
      </c>
      <c r="X2086" t="s">
        <v>77</v>
      </c>
      <c r="Y2086" t="s">
        <v>68</v>
      </c>
      <c r="Z2086" t="s">
        <v>161</v>
      </c>
      <c r="AA2086" t="s">
        <v>171</v>
      </c>
      <c r="AB2086">
        <v>3.7</v>
      </c>
      <c r="AC2086">
        <v>100</v>
      </c>
      <c r="AD2086">
        <v>136.93</v>
      </c>
      <c r="AE2086">
        <f t="shared" si="64"/>
        <v>287.32</v>
      </c>
      <c r="AF2086" t="str">
        <f t="shared" si="65"/>
        <v>2025-09</v>
      </c>
      <c r="AG2086">
        <f>SUBTOTAL(103,A2086)</f>
        <v>1</v>
      </c>
    </row>
    <row r="2087" spans="1:33" x14ac:dyDescent="0.3">
      <c r="A2087" t="s">
        <v>4706</v>
      </c>
      <c r="B2087" s="13">
        <v>45923</v>
      </c>
      <c r="C2087">
        <v>2025</v>
      </c>
      <c r="D2087">
        <v>9</v>
      </c>
      <c r="E2087" t="s">
        <v>4552</v>
      </c>
      <c r="F2087" t="s">
        <v>4047</v>
      </c>
      <c r="G2087" t="s">
        <v>373</v>
      </c>
      <c r="H2087" t="s">
        <v>374</v>
      </c>
      <c r="I2087" t="s">
        <v>85</v>
      </c>
      <c r="J2087">
        <v>40</v>
      </c>
      <c r="K2087" t="s">
        <v>82</v>
      </c>
      <c r="L2087" t="s">
        <v>91</v>
      </c>
      <c r="M2087" t="s">
        <v>55</v>
      </c>
      <c r="N2087" t="s">
        <v>2584</v>
      </c>
      <c r="O2087" t="s">
        <v>121</v>
      </c>
      <c r="P2087" t="s">
        <v>50</v>
      </c>
      <c r="Q2087" t="s">
        <v>144</v>
      </c>
      <c r="R2087">
        <v>4</v>
      </c>
      <c r="S2087">
        <v>2999</v>
      </c>
      <c r="T2087">
        <v>0</v>
      </c>
      <c r="U2087">
        <v>11996</v>
      </c>
      <c r="V2087">
        <v>6800</v>
      </c>
      <c r="W2087">
        <v>5196</v>
      </c>
      <c r="X2087" t="s">
        <v>76</v>
      </c>
      <c r="Y2087" t="s">
        <v>68</v>
      </c>
      <c r="Z2087" t="s">
        <v>163</v>
      </c>
      <c r="AA2087" t="s">
        <v>169</v>
      </c>
      <c r="AB2087">
        <v>4.7</v>
      </c>
      <c r="AC2087">
        <v>60</v>
      </c>
      <c r="AD2087">
        <v>663.29</v>
      </c>
      <c r="AE2087">
        <f t="shared" si="64"/>
        <v>4472.71</v>
      </c>
      <c r="AF2087" t="str">
        <f t="shared" si="65"/>
        <v>2025-09</v>
      </c>
      <c r="AG2087">
        <f>SUBTOTAL(103,A2087)</f>
        <v>1</v>
      </c>
    </row>
    <row r="2088" spans="1:33" x14ac:dyDescent="0.3">
      <c r="A2088" t="s">
        <v>4707</v>
      </c>
      <c r="B2088" s="13">
        <v>45923</v>
      </c>
      <c r="C2088">
        <v>2025</v>
      </c>
      <c r="D2088">
        <v>9</v>
      </c>
      <c r="E2088" t="s">
        <v>4552</v>
      </c>
      <c r="F2088" t="s">
        <v>4047</v>
      </c>
      <c r="G2088" t="s">
        <v>209</v>
      </c>
      <c r="H2088" t="s">
        <v>210</v>
      </c>
      <c r="I2088" t="s">
        <v>85</v>
      </c>
      <c r="J2088">
        <v>46</v>
      </c>
      <c r="K2088" t="s">
        <v>83</v>
      </c>
      <c r="L2088" t="s">
        <v>91</v>
      </c>
      <c r="M2088" t="s">
        <v>55</v>
      </c>
      <c r="N2088" t="s">
        <v>2592</v>
      </c>
      <c r="O2088" t="s">
        <v>115</v>
      </c>
      <c r="P2088" t="s">
        <v>48</v>
      </c>
      <c r="Q2088" t="s">
        <v>137</v>
      </c>
      <c r="R2088">
        <v>3</v>
      </c>
      <c r="S2088">
        <v>12999</v>
      </c>
      <c r="T2088">
        <v>0.1</v>
      </c>
      <c r="U2088">
        <v>35097.300000000003</v>
      </c>
      <c r="V2088">
        <v>27000</v>
      </c>
      <c r="W2088">
        <v>8097.3</v>
      </c>
      <c r="X2088" t="s">
        <v>73</v>
      </c>
      <c r="Y2088" t="s">
        <v>68</v>
      </c>
      <c r="Z2088" t="s">
        <v>159</v>
      </c>
      <c r="AA2088" t="s">
        <v>169</v>
      </c>
      <c r="AB2088">
        <v>4.4000000000000004</v>
      </c>
      <c r="AC2088">
        <v>40</v>
      </c>
      <c r="AD2088">
        <v>730.83</v>
      </c>
      <c r="AE2088">
        <f t="shared" si="64"/>
        <v>7326.47</v>
      </c>
      <c r="AF2088" t="str">
        <f t="shared" si="65"/>
        <v>2025-09</v>
      </c>
      <c r="AG2088">
        <f>SUBTOTAL(103,A2088)</f>
        <v>1</v>
      </c>
    </row>
    <row r="2089" spans="1:33" x14ac:dyDescent="0.3">
      <c r="A2089" t="s">
        <v>4708</v>
      </c>
      <c r="B2089" s="13">
        <v>45923</v>
      </c>
      <c r="C2089">
        <v>2025</v>
      </c>
      <c r="D2089">
        <v>9</v>
      </c>
      <c r="E2089" t="s">
        <v>4552</v>
      </c>
      <c r="F2089" t="s">
        <v>4047</v>
      </c>
      <c r="G2089" t="s">
        <v>2013</v>
      </c>
      <c r="H2089" t="s">
        <v>2014</v>
      </c>
      <c r="I2089" t="s">
        <v>86</v>
      </c>
      <c r="J2089">
        <v>18</v>
      </c>
      <c r="K2089" t="s">
        <v>80</v>
      </c>
      <c r="L2089" t="s">
        <v>2616</v>
      </c>
      <c r="M2089" t="s">
        <v>62</v>
      </c>
      <c r="N2089" t="s">
        <v>2596</v>
      </c>
      <c r="O2089" t="s">
        <v>124</v>
      </c>
      <c r="P2089" t="s">
        <v>51</v>
      </c>
      <c r="Q2089" t="s">
        <v>147</v>
      </c>
      <c r="R2089">
        <v>1</v>
      </c>
      <c r="S2089">
        <v>2299</v>
      </c>
      <c r="T2089">
        <v>0.05</v>
      </c>
      <c r="U2089">
        <v>2184.0500000000002</v>
      </c>
      <c r="V2089">
        <v>1200</v>
      </c>
      <c r="W2089">
        <v>984.05</v>
      </c>
      <c r="X2089" t="s">
        <v>74</v>
      </c>
      <c r="Y2089" t="s">
        <v>69</v>
      </c>
      <c r="Z2089" t="s">
        <v>160</v>
      </c>
      <c r="AA2089" t="s">
        <v>166</v>
      </c>
      <c r="AB2089">
        <v>4.7</v>
      </c>
      <c r="AC2089">
        <v>50</v>
      </c>
      <c r="AD2089">
        <v>260.24</v>
      </c>
      <c r="AE2089">
        <f t="shared" si="64"/>
        <v>673.81</v>
      </c>
      <c r="AF2089" t="str">
        <f t="shared" si="65"/>
        <v>2025-09</v>
      </c>
      <c r="AG2089">
        <f>SUBTOTAL(103,A2089)</f>
        <v>1</v>
      </c>
    </row>
    <row r="2090" spans="1:33" x14ac:dyDescent="0.3">
      <c r="A2090" t="s">
        <v>4709</v>
      </c>
      <c r="B2090" s="13">
        <v>45923</v>
      </c>
      <c r="C2090">
        <v>2025</v>
      </c>
      <c r="D2090">
        <v>9</v>
      </c>
      <c r="E2090" t="s">
        <v>4552</v>
      </c>
      <c r="F2090" t="s">
        <v>4047</v>
      </c>
      <c r="G2090" t="s">
        <v>379</v>
      </c>
      <c r="H2090" t="s">
        <v>380</v>
      </c>
      <c r="I2090" t="s">
        <v>86</v>
      </c>
      <c r="J2090">
        <v>42</v>
      </c>
      <c r="K2090" t="s">
        <v>82</v>
      </c>
      <c r="L2090" t="s">
        <v>91</v>
      </c>
      <c r="M2090" t="s">
        <v>55</v>
      </c>
      <c r="N2090" t="s">
        <v>2592</v>
      </c>
      <c r="O2090" t="s">
        <v>115</v>
      </c>
      <c r="P2090" t="s">
        <v>48</v>
      </c>
      <c r="Q2090" t="s">
        <v>137</v>
      </c>
      <c r="R2090">
        <v>1</v>
      </c>
      <c r="S2090">
        <v>12999</v>
      </c>
      <c r="T2090">
        <v>0.2</v>
      </c>
      <c r="U2090">
        <v>10399.200000000001</v>
      </c>
      <c r="V2090">
        <v>9000</v>
      </c>
      <c r="W2090">
        <v>1399.2</v>
      </c>
      <c r="X2090" t="s">
        <v>76</v>
      </c>
      <c r="Y2090" t="s">
        <v>68</v>
      </c>
      <c r="Z2090" t="s">
        <v>159</v>
      </c>
      <c r="AA2090" t="s">
        <v>168</v>
      </c>
      <c r="AB2090">
        <v>4.8</v>
      </c>
      <c r="AC2090">
        <v>50</v>
      </c>
      <c r="AD2090">
        <v>769.48</v>
      </c>
      <c r="AE2090">
        <f t="shared" si="64"/>
        <v>579.72</v>
      </c>
      <c r="AF2090" t="str">
        <f t="shared" si="65"/>
        <v>2025-09</v>
      </c>
      <c r="AG2090">
        <f>SUBTOTAL(103,A2090)</f>
        <v>1</v>
      </c>
    </row>
    <row r="2091" spans="1:33" x14ac:dyDescent="0.3">
      <c r="A2091" t="s">
        <v>4710</v>
      </c>
      <c r="B2091" s="13">
        <v>45923</v>
      </c>
      <c r="C2091">
        <v>2025</v>
      </c>
      <c r="D2091">
        <v>9</v>
      </c>
      <c r="E2091" t="s">
        <v>4552</v>
      </c>
      <c r="F2091" t="s">
        <v>4047</v>
      </c>
      <c r="G2091" t="s">
        <v>1845</v>
      </c>
      <c r="H2091" t="s">
        <v>1846</v>
      </c>
      <c r="I2091" t="s">
        <v>85</v>
      </c>
      <c r="J2091">
        <v>42</v>
      </c>
      <c r="K2091" t="s">
        <v>82</v>
      </c>
      <c r="L2091" t="s">
        <v>2589</v>
      </c>
      <c r="M2091" t="s">
        <v>61</v>
      </c>
      <c r="N2091" t="s">
        <v>2630</v>
      </c>
      <c r="O2091" t="s">
        <v>123</v>
      </c>
      <c r="P2091" t="s">
        <v>52</v>
      </c>
      <c r="Q2091" t="s">
        <v>146</v>
      </c>
      <c r="R2091">
        <v>2</v>
      </c>
      <c r="S2091">
        <v>2499</v>
      </c>
      <c r="T2091">
        <v>0.15</v>
      </c>
      <c r="U2091">
        <v>4248.3</v>
      </c>
      <c r="V2091">
        <v>2800</v>
      </c>
      <c r="W2091">
        <v>1448.3</v>
      </c>
      <c r="X2091" t="s">
        <v>76</v>
      </c>
      <c r="Y2091" t="s">
        <v>68</v>
      </c>
      <c r="Z2091" t="s">
        <v>158</v>
      </c>
      <c r="AA2091" t="s">
        <v>166</v>
      </c>
      <c r="AB2091">
        <v>3</v>
      </c>
      <c r="AC2091">
        <v>60</v>
      </c>
      <c r="AD2091">
        <v>212.73</v>
      </c>
      <c r="AE2091">
        <f t="shared" si="64"/>
        <v>1175.57</v>
      </c>
      <c r="AF2091" t="str">
        <f t="shared" si="65"/>
        <v>2025-09</v>
      </c>
      <c r="AG2091">
        <f>SUBTOTAL(103,A2091)</f>
        <v>1</v>
      </c>
    </row>
    <row r="2092" spans="1:33" x14ac:dyDescent="0.3">
      <c r="A2092" t="s">
        <v>4711</v>
      </c>
      <c r="B2092" s="13">
        <v>45924</v>
      </c>
      <c r="C2092">
        <v>2025</v>
      </c>
      <c r="D2092">
        <v>9</v>
      </c>
      <c r="E2092" t="s">
        <v>4552</v>
      </c>
      <c r="F2092" t="s">
        <v>4047</v>
      </c>
      <c r="G2092" t="s">
        <v>1209</v>
      </c>
      <c r="H2092" t="s">
        <v>1210</v>
      </c>
      <c r="I2092" t="s">
        <v>85</v>
      </c>
      <c r="J2092">
        <v>32</v>
      </c>
      <c r="K2092" t="s">
        <v>81</v>
      </c>
      <c r="L2092" t="s">
        <v>99</v>
      </c>
      <c r="M2092" t="s">
        <v>58</v>
      </c>
      <c r="N2092" t="s">
        <v>2580</v>
      </c>
      <c r="O2092" t="s">
        <v>118</v>
      </c>
      <c r="P2092" t="s">
        <v>48</v>
      </c>
      <c r="Q2092" t="s">
        <v>142</v>
      </c>
      <c r="R2092">
        <v>2</v>
      </c>
      <c r="S2092">
        <v>3999</v>
      </c>
      <c r="T2092">
        <v>0.25</v>
      </c>
      <c r="U2092">
        <v>5998.5</v>
      </c>
      <c r="V2092">
        <v>4800</v>
      </c>
      <c r="W2092">
        <v>1198.5</v>
      </c>
      <c r="X2092" t="s">
        <v>73</v>
      </c>
      <c r="Y2092" t="s">
        <v>70</v>
      </c>
      <c r="Z2092" t="s">
        <v>159</v>
      </c>
      <c r="AA2092" t="s">
        <v>168</v>
      </c>
      <c r="AB2092">
        <v>3.5</v>
      </c>
      <c r="AC2092">
        <v>100</v>
      </c>
      <c r="AD2092">
        <v>439.45</v>
      </c>
      <c r="AE2092">
        <f t="shared" si="64"/>
        <v>659.05</v>
      </c>
      <c r="AF2092" t="str">
        <f t="shared" si="65"/>
        <v>2025-09</v>
      </c>
      <c r="AG2092">
        <f>SUBTOTAL(103,A2092)</f>
        <v>1</v>
      </c>
    </row>
    <row r="2093" spans="1:33" x14ac:dyDescent="0.3">
      <c r="A2093" t="s">
        <v>4712</v>
      </c>
      <c r="B2093" s="13">
        <v>45924</v>
      </c>
      <c r="C2093">
        <v>2025</v>
      </c>
      <c r="D2093">
        <v>9</v>
      </c>
      <c r="E2093" t="s">
        <v>4552</v>
      </c>
      <c r="F2093" t="s">
        <v>4047</v>
      </c>
      <c r="G2093" t="s">
        <v>1207</v>
      </c>
      <c r="H2093" t="s">
        <v>1208</v>
      </c>
      <c r="I2093" t="s">
        <v>85</v>
      </c>
      <c r="J2093">
        <v>35</v>
      </c>
      <c r="K2093" t="s">
        <v>81</v>
      </c>
      <c r="L2093" t="s">
        <v>91</v>
      </c>
      <c r="M2093" t="s">
        <v>55</v>
      </c>
      <c r="N2093" t="s">
        <v>2594</v>
      </c>
      <c r="O2093" t="s">
        <v>131</v>
      </c>
      <c r="P2093" t="s">
        <v>53</v>
      </c>
      <c r="Q2093" t="s">
        <v>143</v>
      </c>
      <c r="R2093">
        <v>1</v>
      </c>
      <c r="S2093">
        <v>999</v>
      </c>
      <c r="T2093">
        <v>0</v>
      </c>
      <c r="U2093">
        <v>999</v>
      </c>
      <c r="V2093">
        <v>520</v>
      </c>
      <c r="W2093">
        <v>479</v>
      </c>
      <c r="X2093" t="s">
        <v>76</v>
      </c>
      <c r="Y2093" t="s">
        <v>68</v>
      </c>
      <c r="Z2093" t="s">
        <v>160</v>
      </c>
      <c r="AA2093" t="s">
        <v>166</v>
      </c>
      <c r="AB2093">
        <v>3.7</v>
      </c>
      <c r="AC2093">
        <v>80</v>
      </c>
      <c r="AD2093">
        <v>65.56</v>
      </c>
      <c r="AE2093">
        <f t="shared" si="64"/>
        <v>333.44</v>
      </c>
      <c r="AF2093" t="str">
        <f t="shared" si="65"/>
        <v>2025-09</v>
      </c>
      <c r="AG2093">
        <f>SUBTOTAL(103,A2093)</f>
        <v>1</v>
      </c>
    </row>
    <row r="2094" spans="1:33" x14ac:dyDescent="0.3">
      <c r="A2094" t="s">
        <v>4713</v>
      </c>
      <c r="B2094" s="13">
        <v>45924</v>
      </c>
      <c r="C2094">
        <v>2025</v>
      </c>
      <c r="D2094">
        <v>9</v>
      </c>
      <c r="E2094" t="s">
        <v>4552</v>
      </c>
      <c r="F2094" t="s">
        <v>4047</v>
      </c>
      <c r="G2094" t="s">
        <v>2121</v>
      </c>
      <c r="H2094" t="s">
        <v>2122</v>
      </c>
      <c r="I2094" t="s">
        <v>85</v>
      </c>
      <c r="J2094">
        <v>49</v>
      </c>
      <c r="K2094" t="s">
        <v>83</v>
      </c>
      <c r="L2094" t="s">
        <v>92</v>
      </c>
      <c r="M2094" t="s">
        <v>59</v>
      </c>
      <c r="N2094" t="s">
        <v>2574</v>
      </c>
      <c r="O2094" t="s">
        <v>130</v>
      </c>
      <c r="P2094" t="s">
        <v>50</v>
      </c>
      <c r="Q2094" t="s">
        <v>53</v>
      </c>
      <c r="R2094">
        <v>2</v>
      </c>
      <c r="S2094">
        <v>1199</v>
      </c>
      <c r="T2094">
        <v>0.1</v>
      </c>
      <c r="U2094">
        <v>0</v>
      </c>
      <c r="V2094">
        <v>0</v>
      </c>
      <c r="W2094">
        <v>0</v>
      </c>
      <c r="X2094" t="s">
        <v>73</v>
      </c>
      <c r="Y2094" t="s">
        <v>71</v>
      </c>
      <c r="Z2094" t="s">
        <v>163</v>
      </c>
      <c r="AA2094" t="s">
        <v>168</v>
      </c>
      <c r="AB2094">
        <v>3.8</v>
      </c>
      <c r="AC2094">
        <v>50</v>
      </c>
      <c r="AD2094">
        <v>56.19</v>
      </c>
      <c r="AE2094">
        <f t="shared" si="64"/>
        <v>-106.19</v>
      </c>
      <c r="AF2094" t="str">
        <f t="shared" si="65"/>
        <v>2025-09</v>
      </c>
      <c r="AG2094">
        <f>SUBTOTAL(103,A2094)</f>
        <v>1</v>
      </c>
    </row>
    <row r="2095" spans="1:33" x14ac:dyDescent="0.3">
      <c r="A2095" t="s">
        <v>4714</v>
      </c>
      <c r="B2095" s="13">
        <v>45924</v>
      </c>
      <c r="C2095">
        <v>2025</v>
      </c>
      <c r="D2095">
        <v>9</v>
      </c>
      <c r="E2095" t="s">
        <v>4552</v>
      </c>
      <c r="F2095" t="s">
        <v>4047</v>
      </c>
      <c r="G2095" t="s">
        <v>299</v>
      </c>
      <c r="H2095" t="s">
        <v>300</v>
      </c>
      <c r="I2095" t="s">
        <v>85</v>
      </c>
      <c r="J2095">
        <v>21</v>
      </c>
      <c r="K2095" t="s">
        <v>80</v>
      </c>
      <c r="L2095" t="s">
        <v>2687</v>
      </c>
      <c r="M2095" t="s">
        <v>57</v>
      </c>
      <c r="N2095" t="s">
        <v>2584</v>
      </c>
      <c r="O2095" t="s">
        <v>121</v>
      </c>
      <c r="P2095" t="s">
        <v>50</v>
      </c>
      <c r="Q2095" t="s">
        <v>144</v>
      </c>
      <c r="R2095">
        <v>5</v>
      </c>
      <c r="S2095">
        <v>2999</v>
      </c>
      <c r="T2095">
        <v>0</v>
      </c>
      <c r="U2095">
        <v>14995</v>
      </c>
      <c r="V2095">
        <v>8500</v>
      </c>
      <c r="W2095">
        <v>6495</v>
      </c>
      <c r="X2095" t="s">
        <v>73</v>
      </c>
      <c r="Y2095" t="s">
        <v>68</v>
      </c>
      <c r="Z2095" t="s">
        <v>158</v>
      </c>
      <c r="AA2095" t="s">
        <v>169</v>
      </c>
      <c r="AB2095">
        <v>4.9000000000000004</v>
      </c>
      <c r="AC2095">
        <v>80</v>
      </c>
      <c r="AD2095">
        <v>517.05999999999995</v>
      </c>
      <c r="AE2095">
        <f t="shared" si="64"/>
        <v>5897.9400000000005</v>
      </c>
      <c r="AF2095" t="str">
        <f t="shared" si="65"/>
        <v>2025-09</v>
      </c>
      <c r="AG2095">
        <f>SUBTOTAL(103,A2095)</f>
        <v>1</v>
      </c>
    </row>
    <row r="2096" spans="1:33" x14ac:dyDescent="0.3">
      <c r="A2096" t="s">
        <v>4715</v>
      </c>
      <c r="B2096" s="13">
        <v>45924</v>
      </c>
      <c r="C2096">
        <v>2025</v>
      </c>
      <c r="D2096">
        <v>9</v>
      </c>
      <c r="E2096" t="s">
        <v>4552</v>
      </c>
      <c r="F2096" t="s">
        <v>4047</v>
      </c>
      <c r="G2096" t="s">
        <v>359</v>
      </c>
      <c r="H2096" t="s">
        <v>360</v>
      </c>
      <c r="I2096" t="s">
        <v>85</v>
      </c>
      <c r="J2096">
        <v>40</v>
      </c>
      <c r="K2096" t="s">
        <v>82</v>
      </c>
      <c r="L2096" t="s">
        <v>91</v>
      </c>
      <c r="M2096" t="s">
        <v>55</v>
      </c>
      <c r="N2096" t="s">
        <v>2574</v>
      </c>
      <c r="O2096" t="s">
        <v>130</v>
      </c>
      <c r="P2096" t="s">
        <v>50</v>
      </c>
      <c r="Q2096" t="s">
        <v>53</v>
      </c>
      <c r="R2096">
        <v>1</v>
      </c>
      <c r="S2096">
        <v>1199</v>
      </c>
      <c r="T2096">
        <v>0.05</v>
      </c>
      <c r="U2096">
        <v>0</v>
      </c>
      <c r="V2096">
        <v>0</v>
      </c>
      <c r="W2096">
        <v>0</v>
      </c>
      <c r="X2096" t="s">
        <v>75</v>
      </c>
      <c r="Y2096" t="s">
        <v>71</v>
      </c>
      <c r="Z2096" t="s">
        <v>159</v>
      </c>
      <c r="AA2096" t="s">
        <v>170</v>
      </c>
      <c r="AB2096">
        <v>5</v>
      </c>
      <c r="AC2096">
        <v>40</v>
      </c>
      <c r="AD2096">
        <v>131.41999999999999</v>
      </c>
      <c r="AE2096">
        <f t="shared" si="64"/>
        <v>-171.42</v>
      </c>
      <c r="AF2096" t="str">
        <f t="shared" si="65"/>
        <v>2025-09</v>
      </c>
      <c r="AG2096">
        <f>SUBTOTAL(103,A2096)</f>
        <v>1</v>
      </c>
    </row>
    <row r="2097" spans="1:33" x14ac:dyDescent="0.3">
      <c r="A2097" t="s">
        <v>4716</v>
      </c>
      <c r="B2097" s="13">
        <v>45924</v>
      </c>
      <c r="C2097">
        <v>2025</v>
      </c>
      <c r="D2097">
        <v>9</v>
      </c>
      <c r="E2097" t="s">
        <v>4552</v>
      </c>
      <c r="F2097" t="s">
        <v>4047</v>
      </c>
      <c r="G2097" t="s">
        <v>627</v>
      </c>
      <c r="H2097" t="s">
        <v>628</v>
      </c>
      <c r="I2097" t="s">
        <v>86</v>
      </c>
      <c r="J2097">
        <v>46</v>
      </c>
      <c r="K2097" t="s">
        <v>83</v>
      </c>
      <c r="L2097" t="s">
        <v>94</v>
      </c>
      <c r="M2097" t="s">
        <v>57</v>
      </c>
      <c r="N2097" t="s">
        <v>2601</v>
      </c>
      <c r="O2097" t="s">
        <v>117</v>
      </c>
      <c r="P2097" t="s">
        <v>49</v>
      </c>
      <c r="Q2097" t="s">
        <v>139</v>
      </c>
      <c r="R2097">
        <v>2</v>
      </c>
      <c r="S2097">
        <v>6999</v>
      </c>
      <c r="T2097">
        <v>0.1</v>
      </c>
      <c r="U2097">
        <v>12598.2</v>
      </c>
      <c r="V2097">
        <v>8600</v>
      </c>
      <c r="W2097">
        <v>3998.2</v>
      </c>
      <c r="X2097" t="s">
        <v>74</v>
      </c>
      <c r="Y2097" t="s">
        <v>69</v>
      </c>
      <c r="Z2097" t="s">
        <v>158</v>
      </c>
      <c r="AA2097" t="s">
        <v>167</v>
      </c>
      <c r="AB2097">
        <v>4.7</v>
      </c>
      <c r="AC2097">
        <v>60</v>
      </c>
      <c r="AD2097">
        <v>768.79</v>
      </c>
      <c r="AE2097">
        <f t="shared" si="64"/>
        <v>3169.41</v>
      </c>
      <c r="AF2097" t="str">
        <f t="shared" si="65"/>
        <v>2025-09</v>
      </c>
      <c r="AG2097">
        <f>SUBTOTAL(103,A2097)</f>
        <v>1</v>
      </c>
    </row>
    <row r="2098" spans="1:33" x14ac:dyDescent="0.3">
      <c r="A2098" t="s">
        <v>4717</v>
      </c>
      <c r="B2098" s="13">
        <v>45924</v>
      </c>
      <c r="C2098">
        <v>2025</v>
      </c>
      <c r="D2098">
        <v>9</v>
      </c>
      <c r="E2098" t="s">
        <v>4552</v>
      </c>
      <c r="F2098" t="s">
        <v>4047</v>
      </c>
      <c r="G2098" t="s">
        <v>387</v>
      </c>
      <c r="H2098" t="s">
        <v>388</v>
      </c>
      <c r="I2098" t="s">
        <v>86</v>
      </c>
      <c r="J2098">
        <v>30</v>
      </c>
      <c r="K2098" t="s">
        <v>81</v>
      </c>
      <c r="L2098" t="s">
        <v>2579</v>
      </c>
      <c r="M2098" t="s">
        <v>56</v>
      </c>
      <c r="N2098" t="s">
        <v>2580</v>
      </c>
      <c r="O2098" t="s">
        <v>118</v>
      </c>
      <c r="P2098" t="s">
        <v>48</v>
      </c>
      <c r="Q2098" t="s">
        <v>142</v>
      </c>
      <c r="R2098">
        <v>3</v>
      </c>
      <c r="S2098">
        <v>3999</v>
      </c>
      <c r="T2098">
        <v>0.05</v>
      </c>
      <c r="U2098">
        <v>11397.15</v>
      </c>
      <c r="V2098">
        <v>7200</v>
      </c>
      <c r="W2098">
        <v>4197.1499999999996</v>
      </c>
      <c r="X2098" t="s">
        <v>74</v>
      </c>
      <c r="Y2098" t="s">
        <v>69</v>
      </c>
      <c r="Z2098" t="s">
        <v>161</v>
      </c>
      <c r="AA2098" t="s">
        <v>166</v>
      </c>
      <c r="AB2098">
        <v>5</v>
      </c>
      <c r="AC2098">
        <v>40</v>
      </c>
      <c r="AD2098">
        <v>704.24</v>
      </c>
      <c r="AE2098">
        <f t="shared" si="64"/>
        <v>3452.91</v>
      </c>
      <c r="AF2098" t="str">
        <f t="shared" si="65"/>
        <v>2025-09</v>
      </c>
      <c r="AG2098">
        <f>SUBTOTAL(103,A2098)</f>
        <v>1</v>
      </c>
    </row>
    <row r="2099" spans="1:33" x14ac:dyDescent="0.3">
      <c r="A2099" t="s">
        <v>4718</v>
      </c>
      <c r="B2099" s="13">
        <v>45924</v>
      </c>
      <c r="C2099">
        <v>2025</v>
      </c>
      <c r="D2099">
        <v>9</v>
      </c>
      <c r="E2099" t="s">
        <v>4552</v>
      </c>
      <c r="F2099" t="s">
        <v>4047</v>
      </c>
      <c r="G2099" t="s">
        <v>395</v>
      </c>
      <c r="H2099" t="s">
        <v>396</v>
      </c>
      <c r="I2099" t="s">
        <v>85</v>
      </c>
      <c r="J2099">
        <v>60</v>
      </c>
      <c r="K2099" t="s">
        <v>83</v>
      </c>
      <c r="L2099" t="s">
        <v>98</v>
      </c>
      <c r="M2099" t="s">
        <v>55</v>
      </c>
      <c r="N2099" t="s">
        <v>2653</v>
      </c>
      <c r="O2099" t="s">
        <v>132</v>
      </c>
      <c r="P2099" t="s">
        <v>52</v>
      </c>
      <c r="Q2099" t="s">
        <v>150</v>
      </c>
      <c r="R2099">
        <v>1</v>
      </c>
      <c r="S2099">
        <v>899</v>
      </c>
      <c r="T2099">
        <v>0.1</v>
      </c>
      <c r="U2099">
        <v>809.1</v>
      </c>
      <c r="V2099">
        <v>420</v>
      </c>
      <c r="W2099">
        <v>389.1</v>
      </c>
      <c r="X2099" t="s">
        <v>76</v>
      </c>
      <c r="Y2099" t="s">
        <v>68</v>
      </c>
      <c r="Z2099" t="s">
        <v>162</v>
      </c>
      <c r="AA2099" t="s">
        <v>169</v>
      </c>
      <c r="AB2099">
        <v>4.3</v>
      </c>
      <c r="AC2099">
        <v>60</v>
      </c>
      <c r="AD2099">
        <v>65.38</v>
      </c>
      <c r="AE2099">
        <f t="shared" si="64"/>
        <v>263.72000000000003</v>
      </c>
      <c r="AF2099" t="str">
        <f t="shared" si="65"/>
        <v>2025-09</v>
      </c>
      <c r="AG2099">
        <f>SUBTOTAL(103,A2099)</f>
        <v>1</v>
      </c>
    </row>
    <row r="2100" spans="1:33" x14ac:dyDescent="0.3">
      <c r="A2100" t="s">
        <v>4719</v>
      </c>
      <c r="B2100" s="13">
        <v>45925</v>
      </c>
      <c r="C2100">
        <v>2025</v>
      </c>
      <c r="D2100">
        <v>9</v>
      </c>
      <c r="E2100" t="s">
        <v>4552</v>
      </c>
      <c r="F2100" t="s">
        <v>4047</v>
      </c>
      <c r="G2100" t="s">
        <v>2415</v>
      </c>
      <c r="H2100" t="s">
        <v>2416</v>
      </c>
      <c r="I2100" t="s">
        <v>85</v>
      </c>
      <c r="J2100">
        <v>46</v>
      </c>
      <c r="K2100" t="s">
        <v>83</v>
      </c>
      <c r="L2100" t="s">
        <v>2690</v>
      </c>
      <c r="M2100" t="s">
        <v>63</v>
      </c>
      <c r="N2100" t="s">
        <v>2594</v>
      </c>
      <c r="O2100" t="s">
        <v>131</v>
      </c>
      <c r="P2100" t="s">
        <v>53</v>
      </c>
      <c r="Q2100" t="s">
        <v>143</v>
      </c>
      <c r="R2100">
        <v>3</v>
      </c>
      <c r="S2100">
        <v>999</v>
      </c>
      <c r="T2100">
        <v>0</v>
      </c>
      <c r="U2100">
        <v>2997</v>
      </c>
      <c r="V2100">
        <v>1560</v>
      </c>
      <c r="W2100">
        <v>1437</v>
      </c>
      <c r="X2100" t="s">
        <v>77</v>
      </c>
      <c r="Y2100" t="s">
        <v>68</v>
      </c>
      <c r="Z2100" t="s">
        <v>161</v>
      </c>
      <c r="AA2100" t="s">
        <v>169</v>
      </c>
      <c r="AB2100">
        <v>3.6</v>
      </c>
      <c r="AC2100">
        <v>60</v>
      </c>
      <c r="AD2100">
        <v>64.010000000000005</v>
      </c>
      <c r="AE2100">
        <f t="shared" si="64"/>
        <v>1312.99</v>
      </c>
      <c r="AF2100" t="str">
        <f t="shared" si="65"/>
        <v>2025-09</v>
      </c>
      <c r="AG2100">
        <f>SUBTOTAL(103,A2100)</f>
        <v>1</v>
      </c>
    </row>
    <row r="2101" spans="1:33" x14ac:dyDescent="0.3">
      <c r="A2101" t="s">
        <v>4720</v>
      </c>
      <c r="B2101" s="13">
        <v>45925</v>
      </c>
      <c r="C2101">
        <v>2025</v>
      </c>
      <c r="D2101">
        <v>9</v>
      </c>
      <c r="E2101" t="s">
        <v>4552</v>
      </c>
      <c r="F2101" t="s">
        <v>4047</v>
      </c>
      <c r="G2101" t="s">
        <v>205</v>
      </c>
      <c r="H2101" t="s">
        <v>206</v>
      </c>
      <c r="I2101" t="s">
        <v>86</v>
      </c>
      <c r="J2101">
        <v>39</v>
      </c>
      <c r="K2101" t="s">
        <v>82</v>
      </c>
      <c r="L2101" t="s">
        <v>92</v>
      </c>
      <c r="M2101" t="s">
        <v>59</v>
      </c>
      <c r="N2101" t="s">
        <v>2580</v>
      </c>
      <c r="O2101" t="s">
        <v>118</v>
      </c>
      <c r="P2101" t="s">
        <v>48</v>
      </c>
      <c r="Q2101" t="s">
        <v>142</v>
      </c>
      <c r="R2101">
        <v>5</v>
      </c>
      <c r="S2101">
        <v>3999</v>
      </c>
      <c r="T2101">
        <v>0.15</v>
      </c>
      <c r="U2101">
        <v>16995.75</v>
      </c>
      <c r="V2101">
        <v>12000</v>
      </c>
      <c r="W2101">
        <v>4995.75</v>
      </c>
      <c r="X2101" t="s">
        <v>74</v>
      </c>
      <c r="Y2101" t="s">
        <v>68</v>
      </c>
      <c r="Z2101" t="s">
        <v>162</v>
      </c>
      <c r="AA2101" t="s">
        <v>166</v>
      </c>
      <c r="AB2101">
        <v>4.9000000000000004</v>
      </c>
      <c r="AC2101">
        <v>50</v>
      </c>
      <c r="AD2101">
        <v>1432.38</v>
      </c>
      <c r="AE2101">
        <f t="shared" si="64"/>
        <v>3513.37</v>
      </c>
      <c r="AF2101" t="str">
        <f t="shared" si="65"/>
        <v>2025-09</v>
      </c>
      <c r="AG2101">
        <f>SUBTOTAL(103,A2101)</f>
        <v>1</v>
      </c>
    </row>
    <row r="2102" spans="1:33" x14ac:dyDescent="0.3">
      <c r="A2102" t="s">
        <v>4721</v>
      </c>
      <c r="B2102" s="13">
        <v>45925</v>
      </c>
      <c r="C2102">
        <v>2025</v>
      </c>
      <c r="D2102">
        <v>9</v>
      </c>
      <c r="E2102" t="s">
        <v>4552</v>
      </c>
      <c r="F2102" t="s">
        <v>4047</v>
      </c>
      <c r="G2102" t="s">
        <v>323</v>
      </c>
      <c r="H2102" t="s">
        <v>324</v>
      </c>
      <c r="I2102" t="s">
        <v>86</v>
      </c>
      <c r="J2102">
        <v>25</v>
      </c>
      <c r="K2102" t="s">
        <v>80</v>
      </c>
      <c r="L2102" t="s">
        <v>59</v>
      </c>
      <c r="M2102" t="s">
        <v>59</v>
      </c>
      <c r="N2102" t="s">
        <v>2657</v>
      </c>
      <c r="O2102" t="s">
        <v>134</v>
      </c>
      <c r="P2102" t="s">
        <v>49</v>
      </c>
      <c r="Q2102" t="s">
        <v>140</v>
      </c>
      <c r="R2102">
        <v>1</v>
      </c>
      <c r="S2102">
        <v>599</v>
      </c>
      <c r="T2102">
        <v>0.05</v>
      </c>
      <c r="U2102">
        <v>569.04999999999995</v>
      </c>
      <c r="V2102">
        <v>250</v>
      </c>
      <c r="W2102">
        <v>319.05</v>
      </c>
      <c r="X2102" t="s">
        <v>75</v>
      </c>
      <c r="Y2102" t="s">
        <v>68</v>
      </c>
      <c r="Z2102" t="s">
        <v>159</v>
      </c>
      <c r="AA2102" t="s">
        <v>166</v>
      </c>
      <c r="AB2102">
        <v>4.7</v>
      </c>
      <c r="AC2102">
        <v>100</v>
      </c>
      <c r="AD2102">
        <v>54.51</v>
      </c>
      <c r="AE2102">
        <f t="shared" si="64"/>
        <v>164.54000000000002</v>
      </c>
      <c r="AF2102" t="str">
        <f t="shared" si="65"/>
        <v>2025-09</v>
      </c>
      <c r="AG2102">
        <f>SUBTOTAL(103,A2102)</f>
        <v>1</v>
      </c>
    </row>
    <row r="2103" spans="1:33" x14ac:dyDescent="0.3">
      <c r="A2103" t="s">
        <v>4722</v>
      </c>
      <c r="B2103" s="13">
        <v>45925</v>
      </c>
      <c r="C2103">
        <v>2025</v>
      </c>
      <c r="D2103">
        <v>9</v>
      </c>
      <c r="E2103" t="s">
        <v>4552</v>
      </c>
      <c r="F2103" t="s">
        <v>4047</v>
      </c>
      <c r="G2103" t="s">
        <v>745</v>
      </c>
      <c r="H2103" t="s">
        <v>746</v>
      </c>
      <c r="I2103" t="s">
        <v>85</v>
      </c>
      <c r="J2103">
        <v>30</v>
      </c>
      <c r="K2103" t="s">
        <v>81</v>
      </c>
      <c r="L2103" t="s">
        <v>2637</v>
      </c>
      <c r="M2103" t="s">
        <v>64</v>
      </c>
      <c r="N2103" t="s">
        <v>2596</v>
      </c>
      <c r="O2103" t="s">
        <v>124</v>
      </c>
      <c r="P2103" t="s">
        <v>51</v>
      </c>
      <c r="Q2103" t="s">
        <v>147</v>
      </c>
      <c r="R2103">
        <v>3</v>
      </c>
      <c r="S2103">
        <v>2299</v>
      </c>
      <c r="T2103">
        <v>0.15</v>
      </c>
      <c r="U2103">
        <v>5862.45</v>
      </c>
      <c r="V2103">
        <v>3600</v>
      </c>
      <c r="W2103">
        <v>2262.4499999999998</v>
      </c>
      <c r="X2103" t="s">
        <v>75</v>
      </c>
      <c r="Y2103" t="s">
        <v>68</v>
      </c>
      <c r="Z2103" t="s">
        <v>159</v>
      </c>
      <c r="AA2103" t="s">
        <v>166</v>
      </c>
      <c r="AB2103">
        <v>3.2</v>
      </c>
      <c r="AC2103">
        <v>50</v>
      </c>
      <c r="AD2103">
        <v>559.54999999999995</v>
      </c>
      <c r="AE2103">
        <f t="shared" si="64"/>
        <v>1652.8999999999999</v>
      </c>
      <c r="AF2103" t="str">
        <f t="shared" si="65"/>
        <v>2025-09</v>
      </c>
      <c r="AG2103">
        <f>SUBTOTAL(103,A2103)</f>
        <v>1</v>
      </c>
    </row>
    <row r="2104" spans="1:33" x14ac:dyDescent="0.3">
      <c r="A2104" t="s">
        <v>4723</v>
      </c>
      <c r="B2104" s="13">
        <v>45925</v>
      </c>
      <c r="C2104">
        <v>2025</v>
      </c>
      <c r="D2104">
        <v>9</v>
      </c>
      <c r="E2104" t="s">
        <v>4552</v>
      </c>
      <c r="F2104" t="s">
        <v>4047</v>
      </c>
      <c r="G2104" t="s">
        <v>327</v>
      </c>
      <c r="H2104" t="s">
        <v>328</v>
      </c>
      <c r="I2104" t="s">
        <v>86</v>
      </c>
      <c r="J2104">
        <v>29</v>
      </c>
      <c r="K2104" t="s">
        <v>81</v>
      </c>
      <c r="L2104" t="s">
        <v>93</v>
      </c>
      <c r="M2104" t="s">
        <v>55</v>
      </c>
      <c r="N2104" t="s">
        <v>2582</v>
      </c>
      <c r="O2104" t="s">
        <v>119</v>
      </c>
      <c r="P2104" t="s">
        <v>49</v>
      </c>
      <c r="Q2104" t="s">
        <v>140</v>
      </c>
      <c r="R2104">
        <v>2</v>
      </c>
      <c r="S2104">
        <v>3499</v>
      </c>
      <c r="T2104">
        <v>0.2</v>
      </c>
      <c r="U2104">
        <v>5598.4</v>
      </c>
      <c r="V2104">
        <v>4200</v>
      </c>
      <c r="W2104">
        <v>1398.4</v>
      </c>
      <c r="X2104" t="s">
        <v>75</v>
      </c>
      <c r="Y2104" t="s">
        <v>68</v>
      </c>
      <c r="Z2104" t="s">
        <v>162</v>
      </c>
      <c r="AA2104" t="s">
        <v>167</v>
      </c>
      <c r="AB2104">
        <v>4.4000000000000004</v>
      </c>
      <c r="AC2104">
        <v>100</v>
      </c>
      <c r="AD2104">
        <v>587.20000000000005</v>
      </c>
      <c r="AE2104">
        <f t="shared" si="64"/>
        <v>711.2</v>
      </c>
      <c r="AF2104" t="str">
        <f t="shared" si="65"/>
        <v>2025-09</v>
      </c>
      <c r="AG2104">
        <f>SUBTOTAL(103,A2104)</f>
        <v>1</v>
      </c>
    </row>
    <row r="2105" spans="1:33" x14ac:dyDescent="0.3">
      <c r="A2105" t="s">
        <v>4724</v>
      </c>
      <c r="B2105" s="13">
        <v>45925</v>
      </c>
      <c r="C2105">
        <v>2025</v>
      </c>
      <c r="D2105">
        <v>9</v>
      </c>
      <c r="E2105" t="s">
        <v>4552</v>
      </c>
      <c r="F2105" t="s">
        <v>4047</v>
      </c>
      <c r="G2105" t="s">
        <v>763</v>
      </c>
      <c r="H2105" t="s">
        <v>764</v>
      </c>
      <c r="I2105" t="s">
        <v>85</v>
      </c>
      <c r="J2105">
        <v>58</v>
      </c>
      <c r="K2105" t="s">
        <v>83</v>
      </c>
      <c r="L2105" t="s">
        <v>2634</v>
      </c>
      <c r="M2105" t="s">
        <v>56</v>
      </c>
      <c r="N2105" t="s">
        <v>2584</v>
      </c>
      <c r="O2105" t="s">
        <v>121</v>
      </c>
      <c r="P2105" t="s">
        <v>50</v>
      </c>
      <c r="Q2105" t="s">
        <v>144</v>
      </c>
      <c r="R2105">
        <v>3</v>
      </c>
      <c r="S2105">
        <v>2999</v>
      </c>
      <c r="T2105">
        <v>0</v>
      </c>
      <c r="U2105">
        <v>8997</v>
      </c>
      <c r="V2105">
        <v>5100</v>
      </c>
      <c r="W2105">
        <v>3897</v>
      </c>
      <c r="X2105" t="s">
        <v>76</v>
      </c>
      <c r="Y2105" t="s">
        <v>69</v>
      </c>
      <c r="Z2105" t="s">
        <v>160</v>
      </c>
      <c r="AA2105" t="s">
        <v>166</v>
      </c>
      <c r="AB2105">
        <v>3.4</v>
      </c>
      <c r="AC2105">
        <v>50</v>
      </c>
      <c r="AD2105">
        <v>645.5</v>
      </c>
      <c r="AE2105">
        <f t="shared" si="64"/>
        <v>3201.5</v>
      </c>
      <c r="AF2105" t="str">
        <f t="shared" si="65"/>
        <v>2025-09</v>
      </c>
      <c r="AG2105">
        <f>SUBTOTAL(103,A2105)</f>
        <v>1</v>
      </c>
    </row>
    <row r="2106" spans="1:33" x14ac:dyDescent="0.3">
      <c r="A2106" t="s">
        <v>4725</v>
      </c>
      <c r="B2106" s="13">
        <v>45925</v>
      </c>
      <c r="C2106">
        <v>2025</v>
      </c>
      <c r="D2106">
        <v>9</v>
      </c>
      <c r="E2106" t="s">
        <v>4552</v>
      </c>
      <c r="F2106" t="s">
        <v>4047</v>
      </c>
      <c r="G2106" t="s">
        <v>1105</v>
      </c>
      <c r="H2106" t="s">
        <v>1106</v>
      </c>
      <c r="I2106" t="s">
        <v>85</v>
      </c>
      <c r="J2106">
        <v>49</v>
      </c>
      <c r="K2106" t="s">
        <v>83</v>
      </c>
      <c r="L2106" t="s">
        <v>2616</v>
      </c>
      <c r="M2106" t="s">
        <v>62</v>
      </c>
      <c r="N2106" t="s">
        <v>2590</v>
      </c>
      <c r="O2106" t="s">
        <v>127</v>
      </c>
      <c r="P2106" t="s">
        <v>51</v>
      </c>
      <c r="Q2106" t="s">
        <v>148</v>
      </c>
      <c r="R2106">
        <v>2</v>
      </c>
      <c r="S2106">
        <v>1599</v>
      </c>
      <c r="T2106">
        <v>0</v>
      </c>
      <c r="U2106">
        <v>3198</v>
      </c>
      <c r="V2106">
        <v>1600</v>
      </c>
      <c r="W2106">
        <v>1598</v>
      </c>
      <c r="X2106" t="s">
        <v>75</v>
      </c>
      <c r="Y2106" t="s">
        <v>68</v>
      </c>
      <c r="Z2106" t="s">
        <v>159</v>
      </c>
      <c r="AA2106" t="s">
        <v>167</v>
      </c>
      <c r="AB2106">
        <v>3</v>
      </c>
      <c r="AC2106">
        <v>40</v>
      </c>
      <c r="AD2106">
        <v>311.66000000000003</v>
      </c>
      <c r="AE2106">
        <f t="shared" si="64"/>
        <v>1246.3399999999999</v>
      </c>
      <c r="AF2106" t="str">
        <f t="shared" si="65"/>
        <v>2025-09</v>
      </c>
      <c r="AG2106">
        <f>SUBTOTAL(103,A2106)</f>
        <v>1</v>
      </c>
    </row>
    <row r="2107" spans="1:33" x14ac:dyDescent="0.3">
      <c r="A2107" t="s">
        <v>4726</v>
      </c>
      <c r="B2107" s="13">
        <v>45925</v>
      </c>
      <c r="C2107">
        <v>2025</v>
      </c>
      <c r="D2107">
        <v>9</v>
      </c>
      <c r="E2107" t="s">
        <v>4552</v>
      </c>
      <c r="F2107" t="s">
        <v>4047</v>
      </c>
      <c r="G2107" t="s">
        <v>1293</v>
      </c>
      <c r="H2107" t="s">
        <v>1294</v>
      </c>
      <c r="I2107" t="s">
        <v>85</v>
      </c>
      <c r="J2107">
        <v>38</v>
      </c>
      <c r="K2107" t="s">
        <v>82</v>
      </c>
      <c r="L2107" t="s">
        <v>2690</v>
      </c>
      <c r="M2107" t="s">
        <v>63</v>
      </c>
      <c r="N2107" t="s">
        <v>2584</v>
      </c>
      <c r="O2107" t="s">
        <v>121</v>
      </c>
      <c r="P2107" t="s">
        <v>50</v>
      </c>
      <c r="Q2107" t="s">
        <v>144</v>
      </c>
      <c r="R2107">
        <v>1</v>
      </c>
      <c r="S2107">
        <v>2999</v>
      </c>
      <c r="T2107">
        <v>0</v>
      </c>
      <c r="U2107">
        <v>2999</v>
      </c>
      <c r="V2107">
        <v>1700</v>
      </c>
      <c r="W2107">
        <v>1299</v>
      </c>
      <c r="X2107" t="s">
        <v>73</v>
      </c>
      <c r="Y2107" t="s">
        <v>69</v>
      </c>
      <c r="Z2107" t="s">
        <v>162</v>
      </c>
      <c r="AA2107" t="s">
        <v>169</v>
      </c>
      <c r="AB2107">
        <v>5</v>
      </c>
      <c r="AC2107">
        <v>100</v>
      </c>
      <c r="AD2107">
        <v>222.12</v>
      </c>
      <c r="AE2107">
        <f t="shared" si="64"/>
        <v>976.88</v>
      </c>
      <c r="AF2107" t="str">
        <f t="shared" si="65"/>
        <v>2025-09</v>
      </c>
      <c r="AG2107">
        <f>SUBTOTAL(103,A2107)</f>
        <v>1</v>
      </c>
    </row>
    <row r="2108" spans="1:33" x14ac:dyDescent="0.3">
      <c r="A2108" t="s">
        <v>4727</v>
      </c>
      <c r="B2108" s="13">
        <v>45925</v>
      </c>
      <c r="C2108">
        <v>2025</v>
      </c>
      <c r="D2108">
        <v>9</v>
      </c>
      <c r="E2108" t="s">
        <v>4552</v>
      </c>
      <c r="F2108" t="s">
        <v>4047</v>
      </c>
      <c r="G2108" t="s">
        <v>683</v>
      </c>
      <c r="H2108" t="s">
        <v>684</v>
      </c>
      <c r="I2108" t="s">
        <v>86</v>
      </c>
      <c r="J2108">
        <v>42</v>
      </c>
      <c r="K2108" t="s">
        <v>82</v>
      </c>
      <c r="L2108" t="s">
        <v>59</v>
      </c>
      <c r="M2108" t="s">
        <v>59</v>
      </c>
      <c r="N2108" t="s">
        <v>2630</v>
      </c>
      <c r="O2108" t="s">
        <v>123</v>
      </c>
      <c r="P2108" t="s">
        <v>52</v>
      </c>
      <c r="Q2108" t="s">
        <v>146</v>
      </c>
      <c r="R2108">
        <v>3</v>
      </c>
      <c r="S2108">
        <v>2499</v>
      </c>
      <c r="T2108">
        <v>0.1</v>
      </c>
      <c r="U2108">
        <v>6747.3</v>
      </c>
      <c r="V2108">
        <v>4200</v>
      </c>
      <c r="W2108">
        <v>2547.3000000000002</v>
      </c>
      <c r="X2108" t="s">
        <v>73</v>
      </c>
      <c r="Y2108" t="s">
        <v>68</v>
      </c>
      <c r="Z2108" t="s">
        <v>158</v>
      </c>
      <c r="AA2108" t="s">
        <v>171</v>
      </c>
      <c r="AB2108">
        <v>3.8</v>
      </c>
      <c r="AC2108">
        <v>80</v>
      </c>
      <c r="AD2108">
        <v>749.74</v>
      </c>
      <c r="AE2108">
        <f t="shared" si="64"/>
        <v>1717.5600000000002</v>
      </c>
      <c r="AF2108" t="str">
        <f t="shared" si="65"/>
        <v>2025-09</v>
      </c>
      <c r="AG2108">
        <f>SUBTOTAL(103,A2108)</f>
        <v>1</v>
      </c>
    </row>
    <row r="2109" spans="1:33" x14ac:dyDescent="0.3">
      <c r="A2109" t="s">
        <v>4728</v>
      </c>
      <c r="B2109" s="13">
        <v>45925</v>
      </c>
      <c r="C2109">
        <v>2025</v>
      </c>
      <c r="D2109">
        <v>9</v>
      </c>
      <c r="E2109" t="s">
        <v>4552</v>
      </c>
      <c r="F2109" t="s">
        <v>4047</v>
      </c>
      <c r="G2109" t="s">
        <v>1801</v>
      </c>
      <c r="H2109" t="s">
        <v>1802</v>
      </c>
      <c r="I2109" t="s">
        <v>85</v>
      </c>
      <c r="J2109">
        <v>39</v>
      </c>
      <c r="K2109" t="s">
        <v>82</v>
      </c>
      <c r="L2109" t="s">
        <v>2623</v>
      </c>
      <c r="M2109" t="s">
        <v>61</v>
      </c>
      <c r="N2109" t="s">
        <v>2657</v>
      </c>
      <c r="O2109" t="s">
        <v>134</v>
      </c>
      <c r="P2109" t="s">
        <v>49</v>
      </c>
      <c r="Q2109" t="s">
        <v>140</v>
      </c>
      <c r="R2109">
        <v>2</v>
      </c>
      <c r="S2109">
        <v>599</v>
      </c>
      <c r="T2109">
        <v>0.15</v>
      </c>
      <c r="U2109">
        <v>1018.3</v>
      </c>
      <c r="V2109">
        <v>500</v>
      </c>
      <c r="W2109">
        <v>518.29999999999995</v>
      </c>
      <c r="X2109" t="s">
        <v>76</v>
      </c>
      <c r="Y2109" t="s">
        <v>68</v>
      </c>
      <c r="Z2109" t="s">
        <v>160</v>
      </c>
      <c r="AA2109" t="s">
        <v>169</v>
      </c>
      <c r="AB2109">
        <v>4.5</v>
      </c>
      <c r="AC2109">
        <v>60</v>
      </c>
      <c r="AD2109">
        <v>116.62</v>
      </c>
      <c r="AE2109">
        <f t="shared" si="64"/>
        <v>341.67999999999995</v>
      </c>
      <c r="AF2109" t="str">
        <f t="shared" si="65"/>
        <v>2025-09</v>
      </c>
      <c r="AG2109">
        <f>SUBTOTAL(103,A2109)</f>
        <v>1</v>
      </c>
    </row>
    <row r="2110" spans="1:33" x14ac:dyDescent="0.3">
      <c r="A2110" t="s">
        <v>4729</v>
      </c>
      <c r="B2110" s="13">
        <v>45926</v>
      </c>
      <c r="C2110">
        <v>2025</v>
      </c>
      <c r="D2110">
        <v>9</v>
      </c>
      <c r="E2110" t="s">
        <v>4552</v>
      </c>
      <c r="F2110" t="s">
        <v>4047</v>
      </c>
      <c r="G2110" t="s">
        <v>1281</v>
      </c>
      <c r="H2110" t="s">
        <v>1282</v>
      </c>
      <c r="I2110" t="s">
        <v>85</v>
      </c>
      <c r="J2110">
        <v>30</v>
      </c>
      <c r="K2110" t="s">
        <v>81</v>
      </c>
      <c r="L2110" t="s">
        <v>2687</v>
      </c>
      <c r="M2110" t="s">
        <v>57</v>
      </c>
      <c r="N2110" t="s">
        <v>2577</v>
      </c>
      <c r="O2110" t="s">
        <v>129</v>
      </c>
      <c r="P2110" t="s">
        <v>49</v>
      </c>
      <c r="Q2110" t="s">
        <v>149</v>
      </c>
      <c r="R2110">
        <v>3</v>
      </c>
      <c r="S2110">
        <v>1299</v>
      </c>
      <c r="T2110">
        <v>0.2</v>
      </c>
      <c r="U2110">
        <v>3117.6</v>
      </c>
      <c r="V2110">
        <v>1950</v>
      </c>
      <c r="W2110">
        <v>1167.5999999999999</v>
      </c>
      <c r="X2110" t="s">
        <v>75</v>
      </c>
      <c r="Y2110" t="s">
        <v>68</v>
      </c>
      <c r="Z2110" t="s">
        <v>162</v>
      </c>
      <c r="AA2110" t="s">
        <v>169</v>
      </c>
      <c r="AB2110">
        <v>3.5</v>
      </c>
      <c r="AC2110">
        <v>60</v>
      </c>
      <c r="AD2110">
        <v>232.92</v>
      </c>
      <c r="AE2110">
        <f t="shared" si="64"/>
        <v>874.68</v>
      </c>
      <c r="AF2110" t="str">
        <f t="shared" si="65"/>
        <v>2025-09</v>
      </c>
      <c r="AG2110">
        <f>SUBTOTAL(103,A2110)</f>
        <v>1</v>
      </c>
    </row>
    <row r="2111" spans="1:33" x14ac:dyDescent="0.3">
      <c r="A2111" t="s">
        <v>4730</v>
      </c>
      <c r="B2111" s="13">
        <v>45926</v>
      </c>
      <c r="C2111">
        <v>2025</v>
      </c>
      <c r="D2111">
        <v>9</v>
      </c>
      <c r="E2111" t="s">
        <v>4552</v>
      </c>
      <c r="F2111" t="s">
        <v>4047</v>
      </c>
      <c r="G2111" t="s">
        <v>2027</v>
      </c>
      <c r="H2111" t="s">
        <v>2028</v>
      </c>
      <c r="I2111" t="s">
        <v>87</v>
      </c>
      <c r="J2111">
        <v>20</v>
      </c>
      <c r="K2111" t="s">
        <v>80</v>
      </c>
      <c r="L2111" t="s">
        <v>2589</v>
      </c>
      <c r="M2111" t="s">
        <v>61</v>
      </c>
      <c r="N2111" t="s">
        <v>2582</v>
      </c>
      <c r="O2111" t="s">
        <v>119</v>
      </c>
      <c r="P2111" t="s">
        <v>49</v>
      </c>
      <c r="Q2111" t="s">
        <v>140</v>
      </c>
      <c r="R2111">
        <v>1</v>
      </c>
      <c r="S2111">
        <v>3499</v>
      </c>
      <c r="T2111">
        <v>0.1</v>
      </c>
      <c r="U2111">
        <v>3149.1</v>
      </c>
      <c r="V2111">
        <v>2100</v>
      </c>
      <c r="W2111">
        <v>1049.0999999999999</v>
      </c>
      <c r="X2111" t="s">
        <v>73</v>
      </c>
      <c r="Y2111" t="s">
        <v>69</v>
      </c>
      <c r="Z2111" t="s">
        <v>159</v>
      </c>
      <c r="AA2111" t="s">
        <v>168</v>
      </c>
      <c r="AB2111">
        <v>3.4</v>
      </c>
      <c r="AC2111">
        <v>50</v>
      </c>
      <c r="AD2111">
        <v>365.88</v>
      </c>
      <c r="AE2111">
        <f t="shared" si="64"/>
        <v>633.21999999999991</v>
      </c>
      <c r="AF2111" t="str">
        <f t="shared" si="65"/>
        <v>2025-09</v>
      </c>
      <c r="AG2111">
        <f>SUBTOTAL(103,A2111)</f>
        <v>1</v>
      </c>
    </row>
    <row r="2112" spans="1:33" x14ac:dyDescent="0.3">
      <c r="A2112" t="s">
        <v>4731</v>
      </c>
      <c r="B2112" s="13">
        <v>45926</v>
      </c>
      <c r="C2112">
        <v>2025</v>
      </c>
      <c r="D2112">
        <v>9</v>
      </c>
      <c r="E2112" t="s">
        <v>4552</v>
      </c>
      <c r="F2112" t="s">
        <v>4047</v>
      </c>
      <c r="G2112" t="s">
        <v>877</v>
      </c>
      <c r="H2112" t="s">
        <v>878</v>
      </c>
      <c r="I2112" t="s">
        <v>85</v>
      </c>
      <c r="J2112">
        <v>21</v>
      </c>
      <c r="K2112" t="s">
        <v>80</v>
      </c>
      <c r="L2112" t="s">
        <v>59</v>
      </c>
      <c r="M2112" t="s">
        <v>59</v>
      </c>
      <c r="N2112" t="s">
        <v>2596</v>
      </c>
      <c r="O2112" t="s">
        <v>124</v>
      </c>
      <c r="P2112" t="s">
        <v>51</v>
      </c>
      <c r="Q2112" t="s">
        <v>147</v>
      </c>
      <c r="R2112">
        <v>2</v>
      </c>
      <c r="S2112">
        <v>2299</v>
      </c>
      <c r="T2112">
        <v>0</v>
      </c>
      <c r="U2112">
        <v>4598</v>
      </c>
      <c r="V2112">
        <v>2400</v>
      </c>
      <c r="W2112">
        <v>2198</v>
      </c>
      <c r="X2112" t="s">
        <v>73</v>
      </c>
      <c r="Y2112" t="s">
        <v>69</v>
      </c>
      <c r="Z2112" t="s">
        <v>163</v>
      </c>
      <c r="AA2112" t="s">
        <v>170</v>
      </c>
      <c r="AB2112">
        <v>3.9</v>
      </c>
      <c r="AC2112">
        <v>50</v>
      </c>
      <c r="AD2112">
        <v>240.04</v>
      </c>
      <c r="AE2112">
        <f t="shared" si="64"/>
        <v>1907.96</v>
      </c>
      <c r="AF2112" t="str">
        <f t="shared" si="65"/>
        <v>2025-09</v>
      </c>
      <c r="AG2112">
        <f>SUBTOTAL(103,A2112)</f>
        <v>1</v>
      </c>
    </row>
    <row r="2113" spans="1:33" x14ac:dyDescent="0.3">
      <c r="A2113" t="s">
        <v>4732</v>
      </c>
      <c r="B2113" s="13">
        <v>45926</v>
      </c>
      <c r="C2113">
        <v>2025</v>
      </c>
      <c r="D2113">
        <v>9</v>
      </c>
      <c r="E2113" t="s">
        <v>4552</v>
      </c>
      <c r="F2113" t="s">
        <v>4047</v>
      </c>
      <c r="G2113" t="s">
        <v>837</v>
      </c>
      <c r="H2113" t="s">
        <v>838</v>
      </c>
      <c r="I2113" t="s">
        <v>86</v>
      </c>
      <c r="J2113">
        <v>40</v>
      </c>
      <c r="K2113" t="s">
        <v>82</v>
      </c>
      <c r="L2113" t="s">
        <v>2576</v>
      </c>
      <c r="M2113" t="s">
        <v>60</v>
      </c>
      <c r="N2113" t="s">
        <v>2630</v>
      </c>
      <c r="O2113" t="s">
        <v>123</v>
      </c>
      <c r="P2113" t="s">
        <v>52</v>
      </c>
      <c r="Q2113" t="s">
        <v>146</v>
      </c>
      <c r="R2113">
        <v>4</v>
      </c>
      <c r="S2113">
        <v>2499</v>
      </c>
      <c r="T2113">
        <v>0.15</v>
      </c>
      <c r="U2113">
        <v>8496.6</v>
      </c>
      <c r="V2113">
        <v>5600</v>
      </c>
      <c r="W2113">
        <v>2896.6</v>
      </c>
      <c r="X2113" t="s">
        <v>73</v>
      </c>
      <c r="Y2113" t="s">
        <v>68</v>
      </c>
      <c r="Z2113" t="s">
        <v>161</v>
      </c>
      <c r="AA2113" t="s">
        <v>169</v>
      </c>
      <c r="AB2113">
        <v>4.2</v>
      </c>
      <c r="AC2113">
        <v>50</v>
      </c>
      <c r="AD2113">
        <v>336.21</v>
      </c>
      <c r="AE2113">
        <f t="shared" si="64"/>
        <v>2510.39</v>
      </c>
      <c r="AF2113" t="str">
        <f t="shared" si="65"/>
        <v>2025-09</v>
      </c>
      <c r="AG2113">
        <f>SUBTOTAL(103,A2113)</f>
        <v>1</v>
      </c>
    </row>
    <row r="2114" spans="1:33" x14ac:dyDescent="0.3">
      <c r="A2114" t="s">
        <v>4733</v>
      </c>
      <c r="B2114" s="13">
        <v>45926</v>
      </c>
      <c r="C2114">
        <v>2025</v>
      </c>
      <c r="D2114">
        <v>9</v>
      </c>
      <c r="E2114" t="s">
        <v>4552</v>
      </c>
      <c r="F2114" t="s">
        <v>4047</v>
      </c>
      <c r="G2114" t="s">
        <v>369</v>
      </c>
      <c r="H2114" t="s">
        <v>370</v>
      </c>
      <c r="I2114" t="s">
        <v>86</v>
      </c>
      <c r="J2114">
        <v>43</v>
      </c>
      <c r="K2114" t="s">
        <v>82</v>
      </c>
      <c r="L2114" t="s">
        <v>59</v>
      </c>
      <c r="M2114" t="s">
        <v>59</v>
      </c>
      <c r="N2114" t="s">
        <v>2594</v>
      </c>
      <c r="O2114" t="s">
        <v>131</v>
      </c>
      <c r="P2114" t="s">
        <v>53</v>
      </c>
      <c r="Q2114" t="s">
        <v>143</v>
      </c>
      <c r="R2114">
        <v>2</v>
      </c>
      <c r="S2114">
        <v>999</v>
      </c>
      <c r="T2114">
        <v>0.15</v>
      </c>
      <c r="U2114">
        <v>1698.3</v>
      </c>
      <c r="V2114">
        <v>1040</v>
      </c>
      <c r="W2114">
        <v>658.3</v>
      </c>
      <c r="X2114" t="s">
        <v>75</v>
      </c>
      <c r="Y2114" t="s">
        <v>70</v>
      </c>
      <c r="Z2114" t="s">
        <v>161</v>
      </c>
      <c r="AA2114" t="s">
        <v>168</v>
      </c>
      <c r="AB2114">
        <v>3.9</v>
      </c>
      <c r="AC2114">
        <v>40</v>
      </c>
      <c r="AD2114">
        <v>76.39</v>
      </c>
      <c r="AE2114">
        <f t="shared" ref="AE2114:AE2177" si="66">W2114-AC2114-AD2114</f>
        <v>541.91</v>
      </c>
      <c r="AF2114" t="str">
        <f t="shared" ref="AF2114:AF2177" si="67">C2114&amp;"-"&amp;TEXT(D2114,"00")</f>
        <v>2025-09</v>
      </c>
      <c r="AG2114">
        <f>SUBTOTAL(103,A2114)</f>
        <v>1</v>
      </c>
    </row>
    <row r="2115" spans="1:33" x14ac:dyDescent="0.3">
      <c r="A2115" t="s">
        <v>4734</v>
      </c>
      <c r="B2115" s="13">
        <v>45926</v>
      </c>
      <c r="C2115">
        <v>2025</v>
      </c>
      <c r="D2115">
        <v>9</v>
      </c>
      <c r="E2115" t="s">
        <v>4552</v>
      </c>
      <c r="F2115" t="s">
        <v>4047</v>
      </c>
      <c r="G2115" t="s">
        <v>1831</v>
      </c>
      <c r="H2115" t="s">
        <v>1832</v>
      </c>
      <c r="I2115" t="s">
        <v>86</v>
      </c>
      <c r="J2115">
        <v>34</v>
      </c>
      <c r="K2115" t="s">
        <v>81</v>
      </c>
      <c r="L2115" t="s">
        <v>91</v>
      </c>
      <c r="M2115" t="s">
        <v>55</v>
      </c>
      <c r="N2115" t="s">
        <v>2644</v>
      </c>
      <c r="O2115" t="s">
        <v>126</v>
      </c>
      <c r="P2115" t="s">
        <v>50</v>
      </c>
      <c r="Q2115" t="s">
        <v>145</v>
      </c>
      <c r="R2115">
        <v>2</v>
      </c>
      <c r="S2115">
        <v>1799</v>
      </c>
      <c r="T2115">
        <v>0.1</v>
      </c>
      <c r="U2115">
        <v>0</v>
      </c>
      <c r="V2115">
        <v>0</v>
      </c>
      <c r="W2115">
        <v>0</v>
      </c>
      <c r="X2115" t="s">
        <v>74</v>
      </c>
      <c r="Y2115" t="s">
        <v>71</v>
      </c>
      <c r="Z2115" t="s">
        <v>158</v>
      </c>
      <c r="AA2115" t="s">
        <v>168</v>
      </c>
      <c r="AB2115">
        <v>4.4000000000000004</v>
      </c>
      <c r="AC2115">
        <v>100</v>
      </c>
      <c r="AD2115">
        <v>114.38</v>
      </c>
      <c r="AE2115">
        <f t="shared" si="66"/>
        <v>-214.38</v>
      </c>
      <c r="AF2115" t="str">
        <f t="shared" si="67"/>
        <v>2025-09</v>
      </c>
      <c r="AG2115">
        <f>SUBTOTAL(103,A2115)</f>
        <v>1</v>
      </c>
    </row>
    <row r="2116" spans="1:33" x14ac:dyDescent="0.3">
      <c r="A2116" t="s">
        <v>4735</v>
      </c>
      <c r="B2116" s="13">
        <v>45926</v>
      </c>
      <c r="C2116">
        <v>2025</v>
      </c>
      <c r="D2116">
        <v>9</v>
      </c>
      <c r="E2116" t="s">
        <v>4552</v>
      </c>
      <c r="F2116" t="s">
        <v>4047</v>
      </c>
      <c r="G2116" t="s">
        <v>1985</v>
      </c>
      <c r="H2116" t="s">
        <v>1986</v>
      </c>
      <c r="I2116" t="s">
        <v>86</v>
      </c>
      <c r="J2116">
        <v>18</v>
      </c>
      <c r="K2116" t="s">
        <v>80</v>
      </c>
      <c r="L2116" t="s">
        <v>2623</v>
      </c>
      <c r="M2116" t="s">
        <v>61</v>
      </c>
      <c r="N2116" t="s">
        <v>2601</v>
      </c>
      <c r="O2116" t="s">
        <v>117</v>
      </c>
      <c r="P2116" t="s">
        <v>49</v>
      </c>
      <c r="Q2116" t="s">
        <v>139</v>
      </c>
      <c r="R2116">
        <v>1</v>
      </c>
      <c r="S2116">
        <v>6999</v>
      </c>
      <c r="T2116">
        <v>0.25</v>
      </c>
      <c r="U2116">
        <v>5249.25</v>
      </c>
      <c r="V2116">
        <v>4300</v>
      </c>
      <c r="W2116">
        <v>949.25</v>
      </c>
      <c r="X2116" t="s">
        <v>73</v>
      </c>
      <c r="Y2116" t="s">
        <v>68</v>
      </c>
      <c r="Z2116" t="s">
        <v>162</v>
      </c>
      <c r="AA2116" t="s">
        <v>168</v>
      </c>
      <c r="AB2116">
        <v>5</v>
      </c>
      <c r="AC2116">
        <v>50</v>
      </c>
      <c r="AD2116">
        <v>513.16</v>
      </c>
      <c r="AE2116">
        <f t="shared" si="66"/>
        <v>386.09000000000003</v>
      </c>
      <c r="AF2116" t="str">
        <f t="shared" si="67"/>
        <v>2025-09</v>
      </c>
      <c r="AG2116">
        <f>SUBTOTAL(103,A2116)</f>
        <v>1</v>
      </c>
    </row>
    <row r="2117" spans="1:33" x14ac:dyDescent="0.3">
      <c r="A2117" t="s">
        <v>4736</v>
      </c>
      <c r="B2117" s="13">
        <v>45926</v>
      </c>
      <c r="C2117">
        <v>2025</v>
      </c>
      <c r="D2117">
        <v>9</v>
      </c>
      <c r="E2117" t="s">
        <v>4552</v>
      </c>
      <c r="F2117" t="s">
        <v>4047</v>
      </c>
      <c r="G2117" t="s">
        <v>435</v>
      </c>
      <c r="H2117" t="s">
        <v>436</v>
      </c>
      <c r="I2117" t="s">
        <v>86</v>
      </c>
      <c r="J2117">
        <v>20</v>
      </c>
      <c r="K2117" t="s">
        <v>80</v>
      </c>
      <c r="L2117" t="s">
        <v>90</v>
      </c>
      <c r="M2117" t="s">
        <v>55</v>
      </c>
      <c r="N2117" t="s">
        <v>2582</v>
      </c>
      <c r="O2117" t="s">
        <v>119</v>
      </c>
      <c r="P2117" t="s">
        <v>49</v>
      </c>
      <c r="Q2117" t="s">
        <v>140</v>
      </c>
      <c r="R2117">
        <v>3</v>
      </c>
      <c r="S2117">
        <v>3499</v>
      </c>
      <c r="T2117">
        <v>0.05</v>
      </c>
      <c r="U2117">
        <v>9972.15</v>
      </c>
      <c r="V2117">
        <v>6300</v>
      </c>
      <c r="W2117">
        <v>3672.15</v>
      </c>
      <c r="X2117" t="s">
        <v>75</v>
      </c>
      <c r="Y2117" t="s">
        <v>68</v>
      </c>
      <c r="Z2117" t="s">
        <v>161</v>
      </c>
      <c r="AA2117" t="s">
        <v>171</v>
      </c>
      <c r="AB2117">
        <v>4.8</v>
      </c>
      <c r="AC2117">
        <v>50</v>
      </c>
      <c r="AD2117">
        <v>662.35</v>
      </c>
      <c r="AE2117">
        <f t="shared" si="66"/>
        <v>2959.8</v>
      </c>
      <c r="AF2117" t="str">
        <f t="shared" si="67"/>
        <v>2025-09</v>
      </c>
      <c r="AG2117">
        <f>SUBTOTAL(103,A2117)</f>
        <v>1</v>
      </c>
    </row>
    <row r="2118" spans="1:33" x14ac:dyDescent="0.3">
      <c r="A2118" t="s">
        <v>4737</v>
      </c>
      <c r="B2118" s="13">
        <v>45927</v>
      </c>
      <c r="C2118">
        <v>2025</v>
      </c>
      <c r="D2118">
        <v>9</v>
      </c>
      <c r="E2118" t="s">
        <v>4552</v>
      </c>
      <c r="F2118" t="s">
        <v>4047</v>
      </c>
      <c r="G2118" t="s">
        <v>1323</v>
      </c>
      <c r="H2118" t="s">
        <v>1324</v>
      </c>
      <c r="I2118" t="s">
        <v>86</v>
      </c>
      <c r="J2118">
        <v>55</v>
      </c>
      <c r="K2118" t="s">
        <v>83</v>
      </c>
      <c r="L2118" t="s">
        <v>91</v>
      </c>
      <c r="M2118" t="s">
        <v>55</v>
      </c>
      <c r="N2118" t="s">
        <v>2594</v>
      </c>
      <c r="O2118" t="s">
        <v>131</v>
      </c>
      <c r="P2118" t="s">
        <v>53</v>
      </c>
      <c r="Q2118" t="s">
        <v>143</v>
      </c>
      <c r="R2118">
        <v>3</v>
      </c>
      <c r="S2118">
        <v>999</v>
      </c>
      <c r="T2118">
        <v>0.1</v>
      </c>
      <c r="U2118">
        <v>2697.3</v>
      </c>
      <c r="V2118">
        <v>1560</v>
      </c>
      <c r="W2118">
        <v>1137.3</v>
      </c>
      <c r="X2118" t="s">
        <v>77</v>
      </c>
      <c r="Y2118" t="s">
        <v>68</v>
      </c>
      <c r="Z2118" t="s">
        <v>159</v>
      </c>
      <c r="AA2118" t="s">
        <v>169</v>
      </c>
      <c r="AB2118">
        <v>4.2</v>
      </c>
      <c r="AC2118">
        <v>50</v>
      </c>
      <c r="AD2118">
        <v>320.38</v>
      </c>
      <c r="AE2118">
        <f t="shared" si="66"/>
        <v>766.92</v>
      </c>
      <c r="AF2118" t="str">
        <f t="shared" si="67"/>
        <v>2025-09</v>
      </c>
      <c r="AG2118">
        <f>SUBTOTAL(103,A2118)</f>
        <v>1</v>
      </c>
    </row>
    <row r="2119" spans="1:33" x14ac:dyDescent="0.3">
      <c r="A2119" t="s">
        <v>4738</v>
      </c>
      <c r="B2119" s="13">
        <v>45927</v>
      </c>
      <c r="C2119">
        <v>2025</v>
      </c>
      <c r="D2119">
        <v>9</v>
      </c>
      <c r="E2119" t="s">
        <v>4552</v>
      </c>
      <c r="F2119" t="s">
        <v>4047</v>
      </c>
      <c r="G2119" t="s">
        <v>1019</v>
      </c>
      <c r="H2119" t="s">
        <v>1020</v>
      </c>
      <c r="I2119" t="s">
        <v>86</v>
      </c>
      <c r="J2119">
        <v>41</v>
      </c>
      <c r="K2119" t="s">
        <v>82</v>
      </c>
      <c r="L2119" t="s">
        <v>90</v>
      </c>
      <c r="M2119" t="s">
        <v>55</v>
      </c>
      <c r="N2119" t="s">
        <v>2584</v>
      </c>
      <c r="O2119" t="s">
        <v>121</v>
      </c>
      <c r="P2119" t="s">
        <v>50</v>
      </c>
      <c r="Q2119" t="s">
        <v>144</v>
      </c>
      <c r="R2119">
        <v>4</v>
      </c>
      <c r="S2119">
        <v>2999</v>
      </c>
      <c r="T2119">
        <v>0.1</v>
      </c>
      <c r="U2119">
        <v>10796.4</v>
      </c>
      <c r="V2119">
        <v>6800</v>
      </c>
      <c r="W2119">
        <v>3996.4</v>
      </c>
      <c r="X2119" t="s">
        <v>76</v>
      </c>
      <c r="Y2119" t="s">
        <v>68</v>
      </c>
      <c r="Z2119" t="s">
        <v>158</v>
      </c>
      <c r="AA2119" t="s">
        <v>168</v>
      </c>
      <c r="AB2119">
        <v>3.5</v>
      </c>
      <c r="AC2119">
        <v>60</v>
      </c>
      <c r="AD2119">
        <v>1262.93</v>
      </c>
      <c r="AE2119">
        <f t="shared" si="66"/>
        <v>2673.4700000000003</v>
      </c>
      <c r="AF2119" t="str">
        <f t="shared" si="67"/>
        <v>2025-09</v>
      </c>
      <c r="AG2119">
        <f>SUBTOTAL(103,A2119)</f>
        <v>1</v>
      </c>
    </row>
    <row r="2120" spans="1:33" x14ac:dyDescent="0.3">
      <c r="A2120" t="s">
        <v>4739</v>
      </c>
      <c r="B2120" s="13">
        <v>45927</v>
      </c>
      <c r="C2120">
        <v>2025</v>
      </c>
      <c r="D2120">
        <v>9</v>
      </c>
      <c r="E2120" t="s">
        <v>4552</v>
      </c>
      <c r="F2120" t="s">
        <v>4047</v>
      </c>
      <c r="G2120" t="s">
        <v>777</v>
      </c>
      <c r="H2120" t="s">
        <v>778</v>
      </c>
      <c r="I2120" t="s">
        <v>85</v>
      </c>
      <c r="J2120">
        <v>49</v>
      </c>
      <c r="K2120" t="s">
        <v>83</v>
      </c>
      <c r="L2120" t="s">
        <v>2687</v>
      </c>
      <c r="M2120" t="s">
        <v>57</v>
      </c>
      <c r="N2120" t="s">
        <v>2601</v>
      </c>
      <c r="O2120" t="s">
        <v>117</v>
      </c>
      <c r="P2120" t="s">
        <v>49</v>
      </c>
      <c r="Q2120" t="s">
        <v>139</v>
      </c>
      <c r="R2120">
        <v>2</v>
      </c>
      <c r="S2120">
        <v>6999</v>
      </c>
      <c r="T2120">
        <v>0.2</v>
      </c>
      <c r="U2120">
        <v>11198.4</v>
      </c>
      <c r="V2120">
        <v>8600</v>
      </c>
      <c r="W2120">
        <v>2598.4</v>
      </c>
      <c r="X2120" t="s">
        <v>77</v>
      </c>
      <c r="Y2120" t="s">
        <v>68</v>
      </c>
      <c r="Z2120" t="s">
        <v>158</v>
      </c>
      <c r="AA2120" t="s">
        <v>170</v>
      </c>
      <c r="AB2120">
        <v>3.3</v>
      </c>
      <c r="AC2120">
        <v>80</v>
      </c>
      <c r="AD2120">
        <v>1322.84</v>
      </c>
      <c r="AE2120">
        <f t="shared" si="66"/>
        <v>1195.5600000000002</v>
      </c>
      <c r="AF2120" t="str">
        <f t="shared" si="67"/>
        <v>2025-09</v>
      </c>
      <c r="AG2120">
        <f>SUBTOTAL(103,A2120)</f>
        <v>1</v>
      </c>
    </row>
    <row r="2121" spans="1:33" x14ac:dyDescent="0.3">
      <c r="A2121" t="s">
        <v>4740</v>
      </c>
      <c r="B2121" s="13">
        <v>45927</v>
      </c>
      <c r="C2121">
        <v>2025</v>
      </c>
      <c r="D2121">
        <v>9</v>
      </c>
      <c r="E2121" t="s">
        <v>4552</v>
      </c>
      <c r="F2121" t="s">
        <v>4047</v>
      </c>
      <c r="G2121" t="s">
        <v>2031</v>
      </c>
      <c r="H2121" t="s">
        <v>2032</v>
      </c>
      <c r="I2121" t="s">
        <v>85</v>
      </c>
      <c r="J2121">
        <v>42</v>
      </c>
      <c r="K2121" t="s">
        <v>82</v>
      </c>
      <c r="L2121" t="s">
        <v>59</v>
      </c>
      <c r="M2121" t="s">
        <v>59</v>
      </c>
      <c r="N2121" t="s">
        <v>2657</v>
      </c>
      <c r="O2121" t="s">
        <v>134</v>
      </c>
      <c r="P2121" t="s">
        <v>49</v>
      </c>
      <c r="Q2121" t="s">
        <v>140</v>
      </c>
      <c r="R2121">
        <v>1</v>
      </c>
      <c r="S2121">
        <v>599</v>
      </c>
      <c r="T2121">
        <v>0.2</v>
      </c>
      <c r="U2121">
        <v>479.2</v>
      </c>
      <c r="V2121">
        <v>250</v>
      </c>
      <c r="W2121">
        <v>229.2</v>
      </c>
      <c r="X2121" t="s">
        <v>73</v>
      </c>
      <c r="Y2121" t="s">
        <v>68</v>
      </c>
      <c r="Z2121" t="s">
        <v>160</v>
      </c>
      <c r="AA2121" t="s">
        <v>168</v>
      </c>
      <c r="AB2121">
        <v>3.7</v>
      </c>
      <c r="AC2121">
        <v>60</v>
      </c>
      <c r="AD2121">
        <v>20</v>
      </c>
      <c r="AE2121">
        <f t="shared" si="66"/>
        <v>149.19999999999999</v>
      </c>
      <c r="AF2121" t="str">
        <f t="shared" si="67"/>
        <v>2025-09</v>
      </c>
      <c r="AG2121">
        <f>SUBTOTAL(103,A2121)</f>
        <v>1</v>
      </c>
    </row>
    <row r="2122" spans="1:33" x14ac:dyDescent="0.3">
      <c r="A2122" t="s">
        <v>4741</v>
      </c>
      <c r="B2122" s="13">
        <v>45927</v>
      </c>
      <c r="C2122">
        <v>2025</v>
      </c>
      <c r="D2122">
        <v>9</v>
      </c>
      <c r="E2122" t="s">
        <v>4552</v>
      </c>
      <c r="F2122" t="s">
        <v>4047</v>
      </c>
      <c r="G2122" t="s">
        <v>813</v>
      </c>
      <c r="H2122" t="s">
        <v>814</v>
      </c>
      <c r="I2122" t="s">
        <v>86</v>
      </c>
      <c r="J2122">
        <v>60</v>
      </c>
      <c r="K2122" t="s">
        <v>83</v>
      </c>
      <c r="L2122" t="s">
        <v>99</v>
      </c>
      <c r="M2122" t="s">
        <v>58</v>
      </c>
      <c r="N2122" t="s">
        <v>2653</v>
      </c>
      <c r="O2122" t="s">
        <v>132</v>
      </c>
      <c r="P2122" t="s">
        <v>52</v>
      </c>
      <c r="Q2122" t="s">
        <v>150</v>
      </c>
      <c r="R2122">
        <v>1</v>
      </c>
      <c r="S2122">
        <v>899</v>
      </c>
      <c r="T2122">
        <v>0.15</v>
      </c>
      <c r="U2122">
        <v>764.15</v>
      </c>
      <c r="V2122">
        <v>420</v>
      </c>
      <c r="W2122">
        <v>344.15</v>
      </c>
      <c r="X2122" t="s">
        <v>73</v>
      </c>
      <c r="Y2122" t="s">
        <v>68</v>
      </c>
      <c r="Z2122" t="s">
        <v>158</v>
      </c>
      <c r="AA2122" t="s">
        <v>169</v>
      </c>
      <c r="AB2122">
        <v>5</v>
      </c>
      <c r="AC2122">
        <v>60</v>
      </c>
      <c r="AD2122">
        <v>85.38</v>
      </c>
      <c r="AE2122">
        <f t="shared" si="66"/>
        <v>198.76999999999998</v>
      </c>
      <c r="AF2122" t="str">
        <f t="shared" si="67"/>
        <v>2025-09</v>
      </c>
      <c r="AG2122">
        <f>SUBTOTAL(103,A2122)</f>
        <v>1</v>
      </c>
    </row>
    <row r="2123" spans="1:33" x14ac:dyDescent="0.3">
      <c r="A2123" t="s">
        <v>4742</v>
      </c>
      <c r="B2123" s="13">
        <v>45927</v>
      </c>
      <c r="C2123">
        <v>2025</v>
      </c>
      <c r="D2123">
        <v>9</v>
      </c>
      <c r="E2123" t="s">
        <v>4552</v>
      </c>
      <c r="F2123" t="s">
        <v>4047</v>
      </c>
      <c r="G2123" t="s">
        <v>2503</v>
      </c>
      <c r="H2123" t="s">
        <v>2504</v>
      </c>
      <c r="I2123" t="s">
        <v>85</v>
      </c>
      <c r="J2123">
        <v>37</v>
      </c>
      <c r="K2123" t="s">
        <v>82</v>
      </c>
      <c r="L2123" t="s">
        <v>97</v>
      </c>
      <c r="M2123" t="s">
        <v>57</v>
      </c>
      <c r="N2123" t="s">
        <v>2626</v>
      </c>
      <c r="O2123" t="s">
        <v>125</v>
      </c>
      <c r="P2123" t="s">
        <v>48</v>
      </c>
      <c r="Q2123" t="s">
        <v>141</v>
      </c>
      <c r="R2123">
        <v>1</v>
      </c>
      <c r="S2123">
        <v>1999</v>
      </c>
      <c r="T2123">
        <v>0.15</v>
      </c>
      <c r="U2123">
        <v>0</v>
      </c>
      <c r="V2123">
        <v>0</v>
      </c>
      <c r="W2123">
        <v>0</v>
      </c>
      <c r="X2123" t="s">
        <v>73</v>
      </c>
      <c r="Y2123" t="s">
        <v>71</v>
      </c>
      <c r="Z2123" t="s">
        <v>158</v>
      </c>
      <c r="AA2123" t="s">
        <v>167</v>
      </c>
      <c r="AB2123">
        <v>2.9</v>
      </c>
      <c r="AC2123">
        <v>80</v>
      </c>
      <c r="AD2123">
        <v>182.05</v>
      </c>
      <c r="AE2123">
        <f t="shared" si="66"/>
        <v>-262.05</v>
      </c>
      <c r="AF2123" t="str">
        <f t="shared" si="67"/>
        <v>2025-09</v>
      </c>
      <c r="AG2123">
        <f>SUBTOTAL(103,A2123)</f>
        <v>1</v>
      </c>
    </row>
    <row r="2124" spans="1:33" x14ac:dyDescent="0.3">
      <c r="A2124" t="s">
        <v>4743</v>
      </c>
      <c r="B2124" s="13">
        <v>45927</v>
      </c>
      <c r="C2124">
        <v>2025</v>
      </c>
      <c r="D2124">
        <v>9</v>
      </c>
      <c r="E2124" t="s">
        <v>4552</v>
      </c>
      <c r="F2124" t="s">
        <v>4047</v>
      </c>
      <c r="G2124" t="s">
        <v>1431</v>
      </c>
      <c r="H2124" t="s">
        <v>1432</v>
      </c>
      <c r="I2124" t="s">
        <v>86</v>
      </c>
      <c r="J2124">
        <v>23</v>
      </c>
      <c r="K2124" t="s">
        <v>80</v>
      </c>
      <c r="L2124" t="s">
        <v>59</v>
      </c>
      <c r="M2124" t="s">
        <v>59</v>
      </c>
      <c r="N2124" t="s">
        <v>2590</v>
      </c>
      <c r="O2124" t="s">
        <v>127</v>
      </c>
      <c r="P2124" t="s">
        <v>51</v>
      </c>
      <c r="Q2124" t="s">
        <v>148</v>
      </c>
      <c r="R2124">
        <v>4</v>
      </c>
      <c r="S2124">
        <v>1599</v>
      </c>
      <c r="T2124">
        <v>0.1</v>
      </c>
      <c r="U2124">
        <v>5756.4</v>
      </c>
      <c r="V2124">
        <v>3200</v>
      </c>
      <c r="W2124">
        <v>2556.4</v>
      </c>
      <c r="X2124" t="s">
        <v>75</v>
      </c>
      <c r="Y2124" t="s">
        <v>68</v>
      </c>
      <c r="Z2124" t="s">
        <v>158</v>
      </c>
      <c r="AA2124" t="s">
        <v>166</v>
      </c>
      <c r="AB2124">
        <v>2.9</v>
      </c>
      <c r="AC2124">
        <v>40</v>
      </c>
      <c r="AD2124">
        <v>626.4</v>
      </c>
      <c r="AE2124">
        <f t="shared" si="66"/>
        <v>1890</v>
      </c>
      <c r="AF2124" t="str">
        <f t="shared" si="67"/>
        <v>2025-09</v>
      </c>
      <c r="AG2124">
        <f>SUBTOTAL(103,A2124)</f>
        <v>1</v>
      </c>
    </row>
    <row r="2125" spans="1:33" x14ac:dyDescent="0.3">
      <c r="A2125" t="s">
        <v>4744</v>
      </c>
      <c r="B2125" s="13">
        <v>45927</v>
      </c>
      <c r="C2125">
        <v>2025</v>
      </c>
      <c r="D2125">
        <v>9</v>
      </c>
      <c r="E2125" t="s">
        <v>4552</v>
      </c>
      <c r="F2125" t="s">
        <v>4047</v>
      </c>
      <c r="G2125" t="s">
        <v>1989</v>
      </c>
      <c r="H2125" t="s">
        <v>1990</v>
      </c>
      <c r="I2125" t="s">
        <v>85</v>
      </c>
      <c r="J2125">
        <v>57</v>
      </c>
      <c r="K2125" t="s">
        <v>83</v>
      </c>
      <c r="L2125" t="s">
        <v>92</v>
      </c>
      <c r="M2125" t="s">
        <v>59</v>
      </c>
      <c r="N2125" t="s">
        <v>2584</v>
      </c>
      <c r="O2125" t="s">
        <v>121</v>
      </c>
      <c r="P2125" t="s">
        <v>50</v>
      </c>
      <c r="Q2125" t="s">
        <v>144</v>
      </c>
      <c r="R2125">
        <v>1</v>
      </c>
      <c r="S2125">
        <v>2999</v>
      </c>
      <c r="T2125">
        <v>0.15</v>
      </c>
      <c r="U2125">
        <v>2549.15</v>
      </c>
      <c r="V2125">
        <v>1700</v>
      </c>
      <c r="W2125">
        <v>849.15</v>
      </c>
      <c r="X2125" t="s">
        <v>73</v>
      </c>
      <c r="Y2125" t="s">
        <v>68</v>
      </c>
      <c r="Z2125" t="s">
        <v>161</v>
      </c>
      <c r="AA2125" t="s">
        <v>166</v>
      </c>
      <c r="AB2125">
        <v>4.3</v>
      </c>
      <c r="AC2125">
        <v>60</v>
      </c>
      <c r="AD2125">
        <v>115.05</v>
      </c>
      <c r="AE2125">
        <f t="shared" si="66"/>
        <v>674.1</v>
      </c>
      <c r="AF2125" t="str">
        <f t="shared" si="67"/>
        <v>2025-09</v>
      </c>
      <c r="AG2125">
        <f>SUBTOTAL(103,A2125)</f>
        <v>1</v>
      </c>
    </row>
    <row r="2126" spans="1:33" x14ac:dyDescent="0.3">
      <c r="A2126" t="s">
        <v>4745</v>
      </c>
      <c r="B2126" s="13">
        <v>45927</v>
      </c>
      <c r="C2126">
        <v>2025</v>
      </c>
      <c r="D2126">
        <v>9</v>
      </c>
      <c r="E2126" t="s">
        <v>4552</v>
      </c>
      <c r="F2126" t="s">
        <v>4047</v>
      </c>
      <c r="G2126" t="s">
        <v>327</v>
      </c>
      <c r="H2126" t="s">
        <v>328</v>
      </c>
      <c r="I2126" t="s">
        <v>86</v>
      </c>
      <c r="J2126">
        <v>29</v>
      </c>
      <c r="K2126" t="s">
        <v>81</v>
      </c>
      <c r="L2126" t="s">
        <v>93</v>
      </c>
      <c r="M2126" t="s">
        <v>55</v>
      </c>
      <c r="N2126" t="s">
        <v>2657</v>
      </c>
      <c r="O2126" t="s">
        <v>134</v>
      </c>
      <c r="P2126" t="s">
        <v>49</v>
      </c>
      <c r="Q2126" t="s">
        <v>140</v>
      </c>
      <c r="R2126">
        <v>1</v>
      </c>
      <c r="S2126">
        <v>599</v>
      </c>
      <c r="T2126">
        <v>0.15</v>
      </c>
      <c r="U2126">
        <v>509.15</v>
      </c>
      <c r="V2126">
        <v>250</v>
      </c>
      <c r="W2126">
        <v>259.14999999999998</v>
      </c>
      <c r="X2126" t="s">
        <v>75</v>
      </c>
      <c r="Y2126" t="s">
        <v>68</v>
      </c>
      <c r="Z2126" t="s">
        <v>161</v>
      </c>
      <c r="AA2126" t="s">
        <v>168</v>
      </c>
      <c r="AB2126">
        <v>3.3</v>
      </c>
      <c r="AC2126">
        <v>60</v>
      </c>
      <c r="AD2126">
        <v>39.590000000000003</v>
      </c>
      <c r="AE2126">
        <f t="shared" si="66"/>
        <v>159.55999999999997</v>
      </c>
      <c r="AF2126" t="str">
        <f t="shared" si="67"/>
        <v>2025-09</v>
      </c>
      <c r="AG2126">
        <f>SUBTOTAL(103,A2126)</f>
        <v>1</v>
      </c>
    </row>
    <row r="2127" spans="1:33" x14ac:dyDescent="0.3">
      <c r="A2127" t="s">
        <v>4746</v>
      </c>
      <c r="B2127" s="13">
        <v>45927</v>
      </c>
      <c r="C2127">
        <v>2025</v>
      </c>
      <c r="D2127">
        <v>9</v>
      </c>
      <c r="E2127" t="s">
        <v>4552</v>
      </c>
      <c r="F2127" t="s">
        <v>4047</v>
      </c>
      <c r="G2127" t="s">
        <v>1141</v>
      </c>
      <c r="H2127" t="s">
        <v>1142</v>
      </c>
      <c r="I2127" t="s">
        <v>85</v>
      </c>
      <c r="J2127">
        <v>53</v>
      </c>
      <c r="K2127" t="s">
        <v>83</v>
      </c>
      <c r="L2127" t="s">
        <v>90</v>
      </c>
      <c r="M2127" t="s">
        <v>55</v>
      </c>
      <c r="N2127" t="s">
        <v>2596</v>
      </c>
      <c r="O2127" t="s">
        <v>124</v>
      </c>
      <c r="P2127" t="s">
        <v>51</v>
      </c>
      <c r="Q2127" t="s">
        <v>147</v>
      </c>
      <c r="R2127">
        <v>2</v>
      </c>
      <c r="S2127">
        <v>2299</v>
      </c>
      <c r="T2127">
        <v>0.1</v>
      </c>
      <c r="U2127">
        <v>4138.2</v>
      </c>
      <c r="V2127">
        <v>2400</v>
      </c>
      <c r="W2127">
        <v>1738.2</v>
      </c>
      <c r="X2127" t="s">
        <v>76</v>
      </c>
      <c r="Y2127" t="s">
        <v>68</v>
      </c>
      <c r="Z2127" t="s">
        <v>160</v>
      </c>
      <c r="AA2127" t="s">
        <v>170</v>
      </c>
      <c r="AB2127">
        <v>4.2</v>
      </c>
      <c r="AC2127">
        <v>60</v>
      </c>
      <c r="AD2127">
        <v>379.51</v>
      </c>
      <c r="AE2127">
        <f t="shared" si="66"/>
        <v>1298.69</v>
      </c>
      <c r="AF2127" t="str">
        <f t="shared" si="67"/>
        <v>2025-09</v>
      </c>
      <c r="AG2127">
        <f>SUBTOTAL(103,A2127)</f>
        <v>1</v>
      </c>
    </row>
    <row r="2128" spans="1:33" x14ac:dyDescent="0.3">
      <c r="A2128" t="s">
        <v>4747</v>
      </c>
      <c r="B2128" s="13">
        <v>45927</v>
      </c>
      <c r="C2128">
        <v>2025</v>
      </c>
      <c r="D2128">
        <v>9</v>
      </c>
      <c r="E2128" t="s">
        <v>4552</v>
      </c>
      <c r="F2128" t="s">
        <v>4047</v>
      </c>
      <c r="G2128" t="s">
        <v>617</v>
      </c>
      <c r="H2128" t="s">
        <v>618</v>
      </c>
      <c r="I2128" t="s">
        <v>85</v>
      </c>
      <c r="J2128">
        <v>45</v>
      </c>
      <c r="K2128" t="s">
        <v>82</v>
      </c>
      <c r="L2128" t="s">
        <v>90</v>
      </c>
      <c r="M2128" t="s">
        <v>55</v>
      </c>
      <c r="N2128" t="s">
        <v>2584</v>
      </c>
      <c r="O2128" t="s">
        <v>121</v>
      </c>
      <c r="P2128" t="s">
        <v>50</v>
      </c>
      <c r="Q2128" t="s">
        <v>144</v>
      </c>
      <c r="R2128">
        <v>2</v>
      </c>
      <c r="S2128">
        <v>2999</v>
      </c>
      <c r="T2128">
        <v>0.25</v>
      </c>
      <c r="U2128">
        <v>4498.5</v>
      </c>
      <c r="V2128">
        <v>3400</v>
      </c>
      <c r="W2128">
        <v>1098.5</v>
      </c>
      <c r="X2128" t="s">
        <v>77</v>
      </c>
      <c r="Y2128" t="s">
        <v>68</v>
      </c>
      <c r="Z2128" t="s">
        <v>163</v>
      </c>
      <c r="AA2128" t="s">
        <v>171</v>
      </c>
      <c r="AB2128">
        <v>3.4</v>
      </c>
      <c r="AC2128">
        <v>40</v>
      </c>
      <c r="AD2128">
        <v>185.22</v>
      </c>
      <c r="AE2128">
        <f t="shared" si="66"/>
        <v>873.28</v>
      </c>
      <c r="AF2128" t="str">
        <f t="shared" si="67"/>
        <v>2025-09</v>
      </c>
      <c r="AG2128">
        <f>SUBTOTAL(103,A2128)</f>
        <v>1</v>
      </c>
    </row>
    <row r="2129" spans="1:33" x14ac:dyDescent="0.3">
      <c r="A2129" t="s">
        <v>4748</v>
      </c>
      <c r="B2129" s="13">
        <v>45928</v>
      </c>
      <c r="C2129">
        <v>2025</v>
      </c>
      <c r="D2129">
        <v>9</v>
      </c>
      <c r="E2129" t="s">
        <v>4552</v>
      </c>
      <c r="F2129" t="s">
        <v>4047</v>
      </c>
      <c r="G2129" t="s">
        <v>685</v>
      </c>
      <c r="H2129" t="s">
        <v>686</v>
      </c>
      <c r="I2129" t="s">
        <v>85</v>
      </c>
      <c r="J2129">
        <v>35</v>
      </c>
      <c r="K2129" t="s">
        <v>81</v>
      </c>
      <c r="L2129" t="s">
        <v>92</v>
      </c>
      <c r="M2129" t="s">
        <v>59</v>
      </c>
      <c r="N2129" t="s">
        <v>2580</v>
      </c>
      <c r="O2129" t="s">
        <v>118</v>
      </c>
      <c r="P2129" t="s">
        <v>48</v>
      </c>
      <c r="Q2129" t="s">
        <v>142</v>
      </c>
      <c r="R2129">
        <v>1</v>
      </c>
      <c r="S2129">
        <v>3999</v>
      </c>
      <c r="T2129">
        <v>0.15</v>
      </c>
      <c r="U2129">
        <v>3399.15</v>
      </c>
      <c r="V2129">
        <v>2400</v>
      </c>
      <c r="W2129">
        <v>999.15</v>
      </c>
      <c r="X2129" t="s">
        <v>76</v>
      </c>
      <c r="Y2129" t="s">
        <v>68</v>
      </c>
      <c r="Z2129" t="s">
        <v>158</v>
      </c>
      <c r="AA2129" t="s">
        <v>170</v>
      </c>
      <c r="AB2129">
        <v>4.9000000000000004</v>
      </c>
      <c r="AC2129">
        <v>80</v>
      </c>
      <c r="AD2129">
        <v>140.27000000000001</v>
      </c>
      <c r="AE2129">
        <f t="shared" si="66"/>
        <v>778.88</v>
      </c>
      <c r="AF2129" t="str">
        <f t="shared" si="67"/>
        <v>2025-09</v>
      </c>
      <c r="AG2129">
        <f>SUBTOTAL(103,A2129)</f>
        <v>1</v>
      </c>
    </row>
    <row r="2130" spans="1:33" x14ac:dyDescent="0.3">
      <c r="A2130" t="s">
        <v>4749</v>
      </c>
      <c r="B2130" s="13">
        <v>45928</v>
      </c>
      <c r="C2130">
        <v>2025</v>
      </c>
      <c r="D2130">
        <v>9</v>
      </c>
      <c r="E2130" t="s">
        <v>4552</v>
      </c>
      <c r="F2130" t="s">
        <v>4047</v>
      </c>
      <c r="G2130" t="s">
        <v>865</v>
      </c>
      <c r="H2130" t="s">
        <v>866</v>
      </c>
      <c r="I2130" t="s">
        <v>85</v>
      </c>
      <c r="J2130">
        <v>26</v>
      </c>
      <c r="K2130" t="s">
        <v>81</v>
      </c>
      <c r="L2130" t="s">
        <v>2623</v>
      </c>
      <c r="M2130" t="s">
        <v>61</v>
      </c>
      <c r="N2130" t="s">
        <v>2630</v>
      </c>
      <c r="O2130" t="s">
        <v>123</v>
      </c>
      <c r="P2130" t="s">
        <v>52</v>
      </c>
      <c r="Q2130" t="s">
        <v>146</v>
      </c>
      <c r="R2130">
        <v>5</v>
      </c>
      <c r="S2130">
        <v>2499</v>
      </c>
      <c r="T2130">
        <v>0</v>
      </c>
      <c r="U2130">
        <v>12495</v>
      </c>
      <c r="V2130">
        <v>7000</v>
      </c>
      <c r="W2130">
        <v>5495</v>
      </c>
      <c r="X2130" t="s">
        <v>75</v>
      </c>
      <c r="Y2130" t="s">
        <v>68</v>
      </c>
      <c r="Z2130" t="s">
        <v>162</v>
      </c>
      <c r="AA2130" t="s">
        <v>167</v>
      </c>
      <c r="AB2130">
        <v>4</v>
      </c>
      <c r="AC2130">
        <v>50</v>
      </c>
      <c r="AD2130">
        <v>666.1</v>
      </c>
      <c r="AE2130">
        <f t="shared" si="66"/>
        <v>4778.8999999999996</v>
      </c>
      <c r="AF2130" t="str">
        <f t="shared" si="67"/>
        <v>2025-09</v>
      </c>
      <c r="AG2130">
        <f>SUBTOTAL(103,A2130)</f>
        <v>1</v>
      </c>
    </row>
    <row r="2131" spans="1:33" x14ac:dyDescent="0.3">
      <c r="A2131" t="s">
        <v>4750</v>
      </c>
      <c r="B2131" s="13">
        <v>45928</v>
      </c>
      <c r="C2131">
        <v>2025</v>
      </c>
      <c r="D2131">
        <v>9</v>
      </c>
      <c r="E2131" t="s">
        <v>4552</v>
      </c>
      <c r="F2131" t="s">
        <v>4047</v>
      </c>
      <c r="G2131" t="s">
        <v>2131</v>
      </c>
      <c r="H2131" t="s">
        <v>2132</v>
      </c>
      <c r="I2131" t="s">
        <v>85</v>
      </c>
      <c r="J2131">
        <v>21</v>
      </c>
      <c r="K2131" t="s">
        <v>80</v>
      </c>
      <c r="L2131" t="s">
        <v>2687</v>
      </c>
      <c r="M2131" t="s">
        <v>57</v>
      </c>
      <c r="N2131" t="s">
        <v>2630</v>
      </c>
      <c r="O2131" t="s">
        <v>123</v>
      </c>
      <c r="P2131" t="s">
        <v>52</v>
      </c>
      <c r="Q2131" t="s">
        <v>146</v>
      </c>
      <c r="R2131">
        <v>2</v>
      </c>
      <c r="S2131">
        <v>2499</v>
      </c>
      <c r="T2131">
        <v>0.1</v>
      </c>
      <c r="U2131">
        <v>4498.2</v>
      </c>
      <c r="V2131">
        <v>2800</v>
      </c>
      <c r="W2131">
        <v>1698.2</v>
      </c>
      <c r="X2131" t="s">
        <v>73</v>
      </c>
      <c r="Y2131" t="s">
        <v>68</v>
      </c>
      <c r="Z2131" t="s">
        <v>158</v>
      </c>
      <c r="AA2131" t="s">
        <v>166</v>
      </c>
      <c r="AB2131">
        <v>4</v>
      </c>
      <c r="AC2131">
        <v>80</v>
      </c>
      <c r="AD2131">
        <v>412.91</v>
      </c>
      <c r="AE2131">
        <f t="shared" si="66"/>
        <v>1205.29</v>
      </c>
      <c r="AF2131" t="str">
        <f t="shared" si="67"/>
        <v>2025-09</v>
      </c>
      <c r="AG2131">
        <f>SUBTOTAL(103,A2131)</f>
        <v>1</v>
      </c>
    </row>
    <row r="2132" spans="1:33" x14ac:dyDescent="0.3">
      <c r="A2132" t="s">
        <v>4751</v>
      </c>
      <c r="B2132" s="13">
        <v>45928</v>
      </c>
      <c r="C2132">
        <v>2025</v>
      </c>
      <c r="D2132">
        <v>9</v>
      </c>
      <c r="E2132" t="s">
        <v>4552</v>
      </c>
      <c r="F2132" t="s">
        <v>4047</v>
      </c>
      <c r="G2132" t="s">
        <v>281</v>
      </c>
      <c r="H2132" t="s">
        <v>282</v>
      </c>
      <c r="I2132" t="s">
        <v>85</v>
      </c>
      <c r="J2132">
        <v>43</v>
      </c>
      <c r="K2132" t="s">
        <v>82</v>
      </c>
      <c r="L2132" t="s">
        <v>2616</v>
      </c>
      <c r="M2132" t="s">
        <v>62</v>
      </c>
      <c r="N2132" t="s">
        <v>2601</v>
      </c>
      <c r="O2132" t="s">
        <v>117</v>
      </c>
      <c r="P2132" t="s">
        <v>49</v>
      </c>
      <c r="Q2132" t="s">
        <v>139</v>
      </c>
      <c r="R2132">
        <v>2</v>
      </c>
      <c r="S2132">
        <v>6999</v>
      </c>
      <c r="T2132">
        <v>0.1</v>
      </c>
      <c r="U2132">
        <v>12598.2</v>
      </c>
      <c r="V2132">
        <v>8600</v>
      </c>
      <c r="W2132">
        <v>3998.2</v>
      </c>
      <c r="X2132" t="s">
        <v>77</v>
      </c>
      <c r="Y2132" t="s">
        <v>68</v>
      </c>
      <c r="Z2132" t="s">
        <v>163</v>
      </c>
      <c r="AA2132" t="s">
        <v>169</v>
      </c>
      <c r="AB2132">
        <v>2.7</v>
      </c>
      <c r="AC2132">
        <v>60</v>
      </c>
      <c r="AD2132">
        <v>922.73</v>
      </c>
      <c r="AE2132">
        <f t="shared" si="66"/>
        <v>3015.47</v>
      </c>
      <c r="AF2132" t="str">
        <f t="shared" si="67"/>
        <v>2025-09</v>
      </c>
      <c r="AG2132">
        <f>SUBTOTAL(103,A2132)</f>
        <v>1</v>
      </c>
    </row>
    <row r="2133" spans="1:33" x14ac:dyDescent="0.3">
      <c r="A2133" t="s">
        <v>4752</v>
      </c>
      <c r="B2133" s="13">
        <v>45928</v>
      </c>
      <c r="C2133">
        <v>2025</v>
      </c>
      <c r="D2133">
        <v>9</v>
      </c>
      <c r="E2133" t="s">
        <v>4552</v>
      </c>
      <c r="F2133" t="s">
        <v>4047</v>
      </c>
      <c r="G2133" t="s">
        <v>393</v>
      </c>
      <c r="H2133" t="s">
        <v>394</v>
      </c>
      <c r="I2133" t="s">
        <v>85</v>
      </c>
      <c r="J2133">
        <v>33</v>
      </c>
      <c r="K2133" t="s">
        <v>81</v>
      </c>
      <c r="L2133" t="s">
        <v>99</v>
      </c>
      <c r="M2133" t="s">
        <v>58</v>
      </c>
      <c r="N2133" t="s">
        <v>2630</v>
      </c>
      <c r="O2133" t="s">
        <v>123</v>
      </c>
      <c r="P2133" t="s">
        <v>52</v>
      </c>
      <c r="Q2133" t="s">
        <v>146</v>
      </c>
      <c r="R2133">
        <v>3</v>
      </c>
      <c r="S2133">
        <v>2499</v>
      </c>
      <c r="T2133">
        <v>0.05</v>
      </c>
      <c r="U2133">
        <v>7122.15</v>
      </c>
      <c r="V2133">
        <v>4200</v>
      </c>
      <c r="W2133">
        <v>2922.15</v>
      </c>
      <c r="X2133" t="s">
        <v>76</v>
      </c>
      <c r="Y2133" t="s">
        <v>68</v>
      </c>
      <c r="Z2133" t="s">
        <v>162</v>
      </c>
      <c r="AA2133" t="s">
        <v>169</v>
      </c>
      <c r="AB2133">
        <v>4.8</v>
      </c>
      <c r="AC2133">
        <v>60</v>
      </c>
      <c r="AD2133">
        <v>764.41</v>
      </c>
      <c r="AE2133">
        <f t="shared" si="66"/>
        <v>2097.7400000000002</v>
      </c>
      <c r="AF2133" t="str">
        <f t="shared" si="67"/>
        <v>2025-09</v>
      </c>
      <c r="AG2133">
        <f>SUBTOTAL(103,A2133)</f>
        <v>1</v>
      </c>
    </row>
    <row r="2134" spans="1:33" x14ac:dyDescent="0.3">
      <c r="A2134" t="s">
        <v>4753</v>
      </c>
      <c r="B2134" s="13">
        <v>45928</v>
      </c>
      <c r="C2134">
        <v>2025</v>
      </c>
      <c r="D2134">
        <v>9</v>
      </c>
      <c r="E2134" t="s">
        <v>4552</v>
      </c>
      <c r="F2134" t="s">
        <v>4047</v>
      </c>
      <c r="G2134" t="s">
        <v>1533</v>
      </c>
      <c r="H2134" t="s">
        <v>1534</v>
      </c>
      <c r="I2134" t="s">
        <v>86</v>
      </c>
      <c r="J2134">
        <v>19</v>
      </c>
      <c r="K2134" t="s">
        <v>80</v>
      </c>
      <c r="L2134" t="s">
        <v>2599</v>
      </c>
      <c r="M2134" t="s">
        <v>62</v>
      </c>
      <c r="N2134" t="s">
        <v>2606</v>
      </c>
      <c r="O2134" t="s">
        <v>120</v>
      </c>
      <c r="P2134" t="s">
        <v>49</v>
      </c>
      <c r="Q2134" t="s">
        <v>140</v>
      </c>
      <c r="R2134">
        <v>1</v>
      </c>
      <c r="S2134">
        <v>2799</v>
      </c>
      <c r="T2134">
        <v>0.1</v>
      </c>
      <c r="U2134">
        <v>2519.1</v>
      </c>
      <c r="V2134">
        <v>1650</v>
      </c>
      <c r="W2134">
        <v>869.1</v>
      </c>
      <c r="X2134" t="s">
        <v>77</v>
      </c>
      <c r="Y2134" t="s">
        <v>68</v>
      </c>
      <c r="Z2134" t="s">
        <v>159</v>
      </c>
      <c r="AA2134" t="s">
        <v>169</v>
      </c>
      <c r="AB2134">
        <v>3.7</v>
      </c>
      <c r="AC2134">
        <v>40</v>
      </c>
      <c r="AD2134">
        <v>178.56</v>
      </c>
      <c r="AE2134">
        <f t="shared" si="66"/>
        <v>650.54</v>
      </c>
      <c r="AF2134" t="str">
        <f t="shared" si="67"/>
        <v>2025-09</v>
      </c>
      <c r="AG2134">
        <f>SUBTOTAL(103,A2134)</f>
        <v>1</v>
      </c>
    </row>
    <row r="2135" spans="1:33" x14ac:dyDescent="0.3">
      <c r="A2135" t="s">
        <v>4754</v>
      </c>
      <c r="B2135" s="13">
        <v>45928</v>
      </c>
      <c r="C2135">
        <v>2025</v>
      </c>
      <c r="D2135">
        <v>9</v>
      </c>
      <c r="E2135" t="s">
        <v>4552</v>
      </c>
      <c r="F2135" t="s">
        <v>4047</v>
      </c>
      <c r="G2135" t="s">
        <v>721</v>
      </c>
      <c r="H2135" t="s">
        <v>722</v>
      </c>
      <c r="I2135" t="s">
        <v>85</v>
      </c>
      <c r="J2135">
        <v>37</v>
      </c>
      <c r="K2135" t="s">
        <v>82</v>
      </c>
      <c r="L2135" t="s">
        <v>94</v>
      </c>
      <c r="M2135" t="s">
        <v>57</v>
      </c>
      <c r="N2135" t="s">
        <v>2584</v>
      </c>
      <c r="O2135" t="s">
        <v>121</v>
      </c>
      <c r="P2135" t="s">
        <v>50</v>
      </c>
      <c r="Q2135" t="s">
        <v>144</v>
      </c>
      <c r="R2135">
        <v>2</v>
      </c>
      <c r="S2135">
        <v>2999</v>
      </c>
      <c r="T2135">
        <v>0.2</v>
      </c>
      <c r="U2135">
        <v>4798.3999999999996</v>
      </c>
      <c r="V2135">
        <v>3400</v>
      </c>
      <c r="W2135">
        <v>1398.4</v>
      </c>
      <c r="X2135" t="s">
        <v>73</v>
      </c>
      <c r="Y2135" t="s">
        <v>68</v>
      </c>
      <c r="Z2135" t="s">
        <v>158</v>
      </c>
      <c r="AA2135" t="s">
        <v>169</v>
      </c>
      <c r="AB2135">
        <v>3.6</v>
      </c>
      <c r="AC2135">
        <v>60</v>
      </c>
      <c r="AD2135">
        <v>143.63999999999999</v>
      </c>
      <c r="AE2135">
        <f t="shared" si="66"/>
        <v>1194.7600000000002</v>
      </c>
      <c r="AF2135" t="str">
        <f t="shared" si="67"/>
        <v>2025-09</v>
      </c>
      <c r="AG2135">
        <f>SUBTOTAL(103,A2135)</f>
        <v>1</v>
      </c>
    </row>
    <row r="2136" spans="1:33" x14ac:dyDescent="0.3">
      <c r="A2136" t="s">
        <v>4755</v>
      </c>
      <c r="B2136" s="13">
        <v>45928</v>
      </c>
      <c r="C2136">
        <v>2025</v>
      </c>
      <c r="D2136">
        <v>9</v>
      </c>
      <c r="E2136" t="s">
        <v>4552</v>
      </c>
      <c r="F2136" t="s">
        <v>4047</v>
      </c>
      <c r="G2136" t="s">
        <v>485</v>
      </c>
      <c r="H2136" t="s">
        <v>486</v>
      </c>
      <c r="I2136" t="s">
        <v>86</v>
      </c>
      <c r="J2136">
        <v>49</v>
      </c>
      <c r="K2136" t="s">
        <v>83</v>
      </c>
      <c r="L2136" t="s">
        <v>90</v>
      </c>
      <c r="M2136" t="s">
        <v>55</v>
      </c>
      <c r="N2136" t="s">
        <v>2596</v>
      </c>
      <c r="O2136" t="s">
        <v>124</v>
      </c>
      <c r="P2136" t="s">
        <v>51</v>
      </c>
      <c r="Q2136" t="s">
        <v>147</v>
      </c>
      <c r="R2136">
        <v>1</v>
      </c>
      <c r="S2136">
        <v>2299</v>
      </c>
      <c r="T2136">
        <v>0.15</v>
      </c>
      <c r="U2136">
        <v>1954.15</v>
      </c>
      <c r="V2136">
        <v>1200</v>
      </c>
      <c r="W2136">
        <v>754.15</v>
      </c>
      <c r="X2136" t="s">
        <v>74</v>
      </c>
      <c r="Y2136" t="s">
        <v>68</v>
      </c>
      <c r="Z2136" t="s">
        <v>158</v>
      </c>
      <c r="AA2136" t="s">
        <v>169</v>
      </c>
      <c r="AB2136">
        <v>2.7</v>
      </c>
      <c r="AC2136">
        <v>100</v>
      </c>
      <c r="AD2136">
        <v>103.56</v>
      </c>
      <c r="AE2136">
        <f t="shared" si="66"/>
        <v>550.58999999999992</v>
      </c>
      <c r="AF2136" t="str">
        <f t="shared" si="67"/>
        <v>2025-09</v>
      </c>
      <c r="AG2136">
        <f>SUBTOTAL(103,A2136)</f>
        <v>1</v>
      </c>
    </row>
    <row r="2137" spans="1:33" x14ac:dyDescent="0.3">
      <c r="A2137" t="s">
        <v>4756</v>
      </c>
      <c r="B2137" s="13">
        <v>45928</v>
      </c>
      <c r="C2137">
        <v>2025</v>
      </c>
      <c r="D2137">
        <v>9</v>
      </c>
      <c r="E2137" t="s">
        <v>4552</v>
      </c>
      <c r="F2137" t="s">
        <v>4047</v>
      </c>
      <c r="G2137" t="s">
        <v>771</v>
      </c>
      <c r="H2137" t="s">
        <v>772</v>
      </c>
      <c r="I2137" t="s">
        <v>85</v>
      </c>
      <c r="J2137">
        <v>44</v>
      </c>
      <c r="K2137" t="s">
        <v>82</v>
      </c>
      <c r="L2137" t="s">
        <v>2661</v>
      </c>
      <c r="M2137" t="s">
        <v>58</v>
      </c>
      <c r="N2137" t="s">
        <v>2592</v>
      </c>
      <c r="O2137" t="s">
        <v>115</v>
      </c>
      <c r="P2137" t="s">
        <v>48</v>
      </c>
      <c r="Q2137" t="s">
        <v>137</v>
      </c>
      <c r="R2137">
        <v>1</v>
      </c>
      <c r="S2137">
        <v>12999</v>
      </c>
      <c r="T2137">
        <v>0.1</v>
      </c>
      <c r="U2137">
        <v>11699.1</v>
      </c>
      <c r="V2137">
        <v>9000</v>
      </c>
      <c r="W2137">
        <v>2699.1</v>
      </c>
      <c r="X2137" t="s">
        <v>75</v>
      </c>
      <c r="Y2137" t="s">
        <v>68</v>
      </c>
      <c r="Z2137" t="s">
        <v>159</v>
      </c>
      <c r="AA2137" t="s">
        <v>169</v>
      </c>
      <c r="AB2137">
        <v>3</v>
      </c>
      <c r="AC2137">
        <v>60</v>
      </c>
      <c r="AD2137">
        <v>258.25</v>
      </c>
      <c r="AE2137">
        <f t="shared" si="66"/>
        <v>2380.85</v>
      </c>
      <c r="AF2137" t="str">
        <f t="shared" si="67"/>
        <v>2025-09</v>
      </c>
      <c r="AG2137">
        <f>SUBTOTAL(103,A2137)</f>
        <v>1</v>
      </c>
    </row>
    <row r="2138" spans="1:33" x14ac:dyDescent="0.3">
      <c r="A2138" t="s">
        <v>4757</v>
      </c>
      <c r="B2138" s="13">
        <v>45928</v>
      </c>
      <c r="C2138">
        <v>2025</v>
      </c>
      <c r="D2138">
        <v>9</v>
      </c>
      <c r="E2138" t="s">
        <v>4552</v>
      </c>
      <c r="F2138" t="s">
        <v>4047</v>
      </c>
      <c r="G2138" t="s">
        <v>687</v>
      </c>
      <c r="H2138" t="s">
        <v>688</v>
      </c>
      <c r="I2138" t="s">
        <v>86</v>
      </c>
      <c r="J2138">
        <v>45</v>
      </c>
      <c r="K2138" t="s">
        <v>82</v>
      </c>
      <c r="L2138" t="s">
        <v>91</v>
      </c>
      <c r="M2138" t="s">
        <v>55</v>
      </c>
      <c r="N2138" t="s">
        <v>2582</v>
      </c>
      <c r="O2138" t="s">
        <v>119</v>
      </c>
      <c r="P2138" t="s">
        <v>49</v>
      </c>
      <c r="Q2138" t="s">
        <v>140</v>
      </c>
      <c r="R2138">
        <v>4</v>
      </c>
      <c r="S2138">
        <v>3499</v>
      </c>
      <c r="T2138">
        <v>0.15</v>
      </c>
      <c r="U2138">
        <v>11896.6</v>
      </c>
      <c r="V2138">
        <v>8400</v>
      </c>
      <c r="W2138">
        <v>3496.6</v>
      </c>
      <c r="X2138" t="s">
        <v>74</v>
      </c>
      <c r="Y2138" t="s">
        <v>68</v>
      </c>
      <c r="Z2138" t="s">
        <v>159</v>
      </c>
      <c r="AA2138" t="s">
        <v>168</v>
      </c>
      <c r="AB2138">
        <v>3.9</v>
      </c>
      <c r="AC2138">
        <v>50</v>
      </c>
      <c r="AD2138">
        <v>578.03</v>
      </c>
      <c r="AE2138">
        <f t="shared" si="66"/>
        <v>2868.5699999999997</v>
      </c>
      <c r="AF2138" t="str">
        <f t="shared" si="67"/>
        <v>2025-09</v>
      </c>
      <c r="AG2138">
        <f>SUBTOTAL(103,A2138)</f>
        <v>1</v>
      </c>
    </row>
    <row r="2139" spans="1:33" x14ac:dyDescent="0.3">
      <c r="A2139" t="s">
        <v>4758</v>
      </c>
      <c r="B2139" s="13">
        <v>45928</v>
      </c>
      <c r="C2139">
        <v>2025</v>
      </c>
      <c r="D2139">
        <v>9</v>
      </c>
      <c r="E2139" t="s">
        <v>4552</v>
      </c>
      <c r="F2139" t="s">
        <v>4047</v>
      </c>
      <c r="G2139" t="s">
        <v>599</v>
      </c>
      <c r="H2139" t="s">
        <v>600</v>
      </c>
      <c r="I2139" t="s">
        <v>86</v>
      </c>
      <c r="J2139">
        <v>20</v>
      </c>
      <c r="K2139" t="s">
        <v>80</v>
      </c>
      <c r="L2139" t="s">
        <v>2674</v>
      </c>
      <c r="M2139" t="s">
        <v>58</v>
      </c>
      <c r="N2139" t="s">
        <v>2580</v>
      </c>
      <c r="O2139" t="s">
        <v>118</v>
      </c>
      <c r="P2139" t="s">
        <v>48</v>
      </c>
      <c r="Q2139" t="s">
        <v>142</v>
      </c>
      <c r="R2139">
        <v>1</v>
      </c>
      <c r="S2139">
        <v>3999</v>
      </c>
      <c r="T2139">
        <v>0</v>
      </c>
      <c r="U2139">
        <v>3999</v>
      </c>
      <c r="V2139">
        <v>2400</v>
      </c>
      <c r="W2139">
        <v>1599</v>
      </c>
      <c r="X2139" t="s">
        <v>73</v>
      </c>
      <c r="Y2139" t="s">
        <v>68</v>
      </c>
      <c r="Z2139" t="s">
        <v>161</v>
      </c>
      <c r="AA2139" t="s">
        <v>166</v>
      </c>
      <c r="AB2139">
        <v>4.2</v>
      </c>
      <c r="AC2139">
        <v>80</v>
      </c>
      <c r="AD2139">
        <v>354.18</v>
      </c>
      <c r="AE2139">
        <f t="shared" si="66"/>
        <v>1164.82</v>
      </c>
      <c r="AF2139" t="str">
        <f t="shared" si="67"/>
        <v>2025-09</v>
      </c>
      <c r="AG2139">
        <f>SUBTOTAL(103,A2139)</f>
        <v>1</v>
      </c>
    </row>
    <row r="2140" spans="1:33" x14ac:dyDescent="0.3">
      <c r="A2140" t="s">
        <v>4759</v>
      </c>
      <c r="B2140" s="13">
        <v>45928</v>
      </c>
      <c r="C2140">
        <v>2025</v>
      </c>
      <c r="D2140">
        <v>9</v>
      </c>
      <c r="E2140" t="s">
        <v>4552</v>
      </c>
      <c r="F2140" t="s">
        <v>4047</v>
      </c>
      <c r="G2140" t="s">
        <v>1259</v>
      </c>
      <c r="H2140" t="s">
        <v>1260</v>
      </c>
      <c r="I2140" t="s">
        <v>86</v>
      </c>
      <c r="J2140">
        <v>29</v>
      </c>
      <c r="K2140" t="s">
        <v>81</v>
      </c>
      <c r="L2140" t="s">
        <v>99</v>
      </c>
      <c r="M2140" t="s">
        <v>58</v>
      </c>
      <c r="N2140" t="s">
        <v>2657</v>
      </c>
      <c r="O2140" t="s">
        <v>134</v>
      </c>
      <c r="P2140" t="s">
        <v>49</v>
      </c>
      <c r="Q2140" t="s">
        <v>140</v>
      </c>
      <c r="R2140">
        <v>4</v>
      </c>
      <c r="S2140">
        <v>599</v>
      </c>
      <c r="T2140">
        <v>0.05</v>
      </c>
      <c r="U2140">
        <v>2276.1999999999998</v>
      </c>
      <c r="V2140">
        <v>1000</v>
      </c>
      <c r="W2140">
        <v>1276.2</v>
      </c>
      <c r="X2140" t="s">
        <v>73</v>
      </c>
      <c r="Y2140" t="s">
        <v>68</v>
      </c>
      <c r="Z2140" t="s">
        <v>161</v>
      </c>
      <c r="AA2140" t="s">
        <v>169</v>
      </c>
      <c r="AB2140">
        <v>4.8</v>
      </c>
      <c r="AC2140">
        <v>50</v>
      </c>
      <c r="AD2140">
        <v>158.29</v>
      </c>
      <c r="AE2140">
        <f t="shared" si="66"/>
        <v>1067.9100000000001</v>
      </c>
      <c r="AF2140" t="str">
        <f t="shared" si="67"/>
        <v>2025-09</v>
      </c>
      <c r="AG2140">
        <f>SUBTOTAL(103,A2140)</f>
        <v>1</v>
      </c>
    </row>
    <row r="2141" spans="1:33" x14ac:dyDescent="0.3">
      <c r="A2141" t="s">
        <v>4760</v>
      </c>
      <c r="B2141" s="13">
        <v>45928</v>
      </c>
      <c r="C2141">
        <v>2025</v>
      </c>
      <c r="D2141">
        <v>9</v>
      </c>
      <c r="E2141" t="s">
        <v>4552</v>
      </c>
      <c r="F2141" t="s">
        <v>4047</v>
      </c>
      <c r="G2141" t="s">
        <v>1677</v>
      </c>
      <c r="H2141" t="s">
        <v>1678</v>
      </c>
      <c r="I2141" t="s">
        <v>85</v>
      </c>
      <c r="J2141">
        <v>20</v>
      </c>
      <c r="K2141" t="s">
        <v>80</v>
      </c>
      <c r="L2141" t="s">
        <v>2605</v>
      </c>
      <c r="M2141" t="s">
        <v>60</v>
      </c>
      <c r="N2141" t="s">
        <v>2580</v>
      </c>
      <c r="O2141" t="s">
        <v>118</v>
      </c>
      <c r="P2141" t="s">
        <v>48</v>
      </c>
      <c r="Q2141" t="s">
        <v>142</v>
      </c>
      <c r="R2141">
        <v>2</v>
      </c>
      <c r="S2141">
        <v>3999</v>
      </c>
      <c r="T2141">
        <v>0</v>
      </c>
      <c r="U2141">
        <v>7998</v>
      </c>
      <c r="V2141">
        <v>4800</v>
      </c>
      <c r="W2141">
        <v>3198</v>
      </c>
      <c r="X2141" t="s">
        <v>75</v>
      </c>
      <c r="Y2141" t="s">
        <v>68</v>
      </c>
      <c r="Z2141" t="s">
        <v>159</v>
      </c>
      <c r="AA2141" t="s">
        <v>170</v>
      </c>
      <c r="AB2141">
        <v>4.7</v>
      </c>
      <c r="AC2141">
        <v>60</v>
      </c>
      <c r="AD2141">
        <v>936.41</v>
      </c>
      <c r="AE2141">
        <f t="shared" si="66"/>
        <v>2201.59</v>
      </c>
      <c r="AF2141" t="str">
        <f t="shared" si="67"/>
        <v>2025-09</v>
      </c>
      <c r="AG2141">
        <f>SUBTOTAL(103,A2141)</f>
        <v>1</v>
      </c>
    </row>
    <row r="2142" spans="1:33" x14ac:dyDescent="0.3">
      <c r="A2142" t="s">
        <v>4761</v>
      </c>
      <c r="B2142" s="13">
        <v>45928</v>
      </c>
      <c r="C2142">
        <v>2025</v>
      </c>
      <c r="D2142">
        <v>9</v>
      </c>
      <c r="E2142" t="s">
        <v>4552</v>
      </c>
      <c r="F2142" t="s">
        <v>4047</v>
      </c>
      <c r="G2142" t="s">
        <v>1703</v>
      </c>
      <c r="H2142" t="s">
        <v>1704</v>
      </c>
      <c r="I2142" t="s">
        <v>86</v>
      </c>
      <c r="J2142">
        <v>22</v>
      </c>
      <c r="K2142" t="s">
        <v>80</v>
      </c>
      <c r="L2142" t="s">
        <v>2610</v>
      </c>
      <c r="M2142" t="s">
        <v>64</v>
      </c>
      <c r="N2142" t="s">
        <v>2596</v>
      </c>
      <c r="O2142" t="s">
        <v>124</v>
      </c>
      <c r="P2142" t="s">
        <v>51</v>
      </c>
      <c r="Q2142" t="s">
        <v>147</v>
      </c>
      <c r="R2142">
        <v>2</v>
      </c>
      <c r="S2142">
        <v>2299</v>
      </c>
      <c r="T2142">
        <v>0.1</v>
      </c>
      <c r="U2142">
        <v>4138.2</v>
      </c>
      <c r="V2142">
        <v>2400</v>
      </c>
      <c r="W2142">
        <v>1738.2</v>
      </c>
      <c r="X2142" t="s">
        <v>77</v>
      </c>
      <c r="Y2142" t="s">
        <v>69</v>
      </c>
      <c r="Z2142" t="s">
        <v>162</v>
      </c>
      <c r="AA2142" t="s">
        <v>168</v>
      </c>
      <c r="AB2142">
        <v>5</v>
      </c>
      <c r="AC2142">
        <v>50</v>
      </c>
      <c r="AD2142">
        <v>311.16000000000003</v>
      </c>
      <c r="AE2142">
        <f t="shared" si="66"/>
        <v>1377.04</v>
      </c>
      <c r="AF2142" t="str">
        <f t="shared" si="67"/>
        <v>2025-09</v>
      </c>
      <c r="AG2142">
        <f>SUBTOTAL(103,A2142)</f>
        <v>1</v>
      </c>
    </row>
    <row r="2143" spans="1:33" x14ac:dyDescent="0.3">
      <c r="A2143" t="s">
        <v>4762</v>
      </c>
      <c r="B2143" s="13">
        <v>45928</v>
      </c>
      <c r="C2143">
        <v>2025</v>
      </c>
      <c r="D2143">
        <v>9</v>
      </c>
      <c r="E2143" t="s">
        <v>4552</v>
      </c>
      <c r="F2143" t="s">
        <v>4047</v>
      </c>
      <c r="G2143" t="s">
        <v>743</v>
      </c>
      <c r="H2143" t="s">
        <v>744</v>
      </c>
      <c r="I2143" t="s">
        <v>86</v>
      </c>
      <c r="J2143">
        <v>41</v>
      </c>
      <c r="K2143" t="s">
        <v>82</v>
      </c>
      <c r="L2143" t="s">
        <v>95</v>
      </c>
      <c r="M2143" t="s">
        <v>56</v>
      </c>
      <c r="N2143" t="s">
        <v>2601</v>
      </c>
      <c r="O2143" t="s">
        <v>117</v>
      </c>
      <c r="P2143" t="s">
        <v>49</v>
      </c>
      <c r="Q2143" t="s">
        <v>139</v>
      </c>
      <c r="R2143">
        <v>1</v>
      </c>
      <c r="S2143">
        <v>6999</v>
      </c>
      <c r="T2143">
        <v>0</v>
      </c>
      <c r="U2143">
        <v>6999</v>
      </c>
      <c r="V2143">
        <v>4300</v>
      </c>
      <c r="W2143">
        <v>2699</v>
      </c>
      <c r="X2143" t="s">
        <v>76</v>
      </c>
      <c r="Y2143" t="s">
        <v>68</v>
      </c>
      <c r="Z2143" t="s">
        <v>163</v>
      </c>
      <c r="AA2143" t="s">
        <v>166</v>
      </c>
      <c r="AB2143">
        <v>4.5999999999999996</v>
      </c>
      <c r="AC2143">
        <v>80</v>
      </c>
      <c r="AD2143">
        <v>639.20000000000005</v>
      </c>
      <c r="AE2143">
        <f t="shared" si="66"/>
        <v>1979.8</v>
      </c>
      <c r="AF2143" t="str">
        <f t="shared" si="67"/>
        <v>2025-09</v>
      </c>
      <c r="AG2143">
        <f>SUBTOTAL(103,A2143)</f>
        <v>1</v>
      </c>
    </row>
    <row r="2144" spans="1:33" x14ac:dyDescent="0.3">
      <c r="A2144" t="s">
        <v>4763</v>
      </c>
      <c r="B2144" s="13">
        <v>45929</v>
      </c>
      <c r="C2144">
        <v>2025</v>
      </c>
      <c r="D2144">
        <v>9</v>
      </c>
      <c r="E2144" t="s">
        <v>4552</v>
      </c>
      <c r="F2144" t="s">
        <v>4047</v>
      </c>
      <c r="G2144" t="s">
        <v>2439</v>
      </c>
      <c r="H2144" t="s">
        <v>2440</v>
      </c>
      <c r="I2144" t="s">
        <v>86</v>
      </c>
      <c r="J2144">
        <v>38</v>
      </c>
      <c r="K2144" t="s">
        <v>82</v>
      </c>
      <c r="L2144" t="s">
        <v>90</v>
      </c>
      <c r="M2144" t="s">
        <v>55</v>
      </c>
      <c r="N2144" t="s">
        <v>2594</v>
      </c>
      <c r="O2144" t="s">
        <v>131</v>
      </c>
      <c r="P2144" t="s">
        <v>53</v>
      </c>
      <c r="Q2144" t="s">
        <v>143</v>
      </c>
      <c r="R2144">
        <v>1</v>
      </c>
      <c r="S2144">
        <v>999</v>
      </c>
      <c r="T2144">
        <v>0.05</v>
      </c>
      <c r="U2144">
        <v>0</v>
      </c>
      <c r="V2144">
        <v>0</v>
      </c>
      <c r="W2144">
        <v>0</v>
      </c>
      <c r="X2144" t="s">
        <v>73</v>
      </c>
      <c r="Y2144" t="s">
        <v>71</v>
      </c>
      <c r="Z2144" t="s">
        <v>162</v>
      </c>
      <c r="AA2144" t="s">
        <v>170</v>
      </c>
      <c r="AB2144">
        <v>4.4000000000000004</v>
      </c>
      <c r="AC2144">
        <v>60</v>
      </c>
      <c r="AD2144">
        <v>111.58</v>
      </c>
      <c r="AE2144">
        <f t="shared" si="66"/>
        <v>-171.57999999999998</v>
      </c>
      <c r="AF2144" t="str">
        <f t="shared" si="67"/>
        <v>2025-09</v>
      </c>
      <c r="AG2144">
        <f>SUBTOTAL(103,A2144)</f>
        <v>1</v>
      </c>
    </row>
    <row r="2145" spans="1:33" x14ac:dyDescent="0.3">
      <c r="A2145" t="s">
        <v>4764</v>
      </c>
      <c r="B2145" s="13">
        <v>45929</v>
      </c>
      <c r="C2145">
        <v>2025</v>
      </c>
      <c r="D2145">
        <v>9</v>
      </c>
      <c r="E2145" t="s">
        <v>4552</v>
      </c>
      <c r="F2145" t="s">
        <v>4047</v>
      </c>
      <c r="G2145" t="s">
        <v>657</v>
      </c>
      <c r="H2145" t="s">
        <v>658</v>
      </c>
      <c r="I2145" t="s">
        <v>86</v>
      </c>
      <c r="J2145">
        <v>33</v>
      </c>
      <c r="K2145" t="s">
        <v>81</v>
      </c>
      <c r="L2145" t="s">
        <v>96</v>
      </c>
      <c r="M2145" t="s">
        <v>55</v>
      </c>
      <c r="N2145" t="s">
        <v>2626</v>
      </c>
      <c r="O2145" t="s">
        <v>125</v>
      </c>
      <c r="P2145" t="s">
        <v>48</v>
      </c>
      <c r="Q2145" t="s">
        <v>141</v>
      </c>
      <c r="R2145">
        <v>1</v>
      </c>
      <c r="S2145">
        <v>1999</v>
      </c>
      <c r="T2145">
        <v>0.05</v>
      </c>
      <c r="U2145">
        <v>1899.05</v>
      </c>
      <c r="V2145">
        <v>1150</v>
      </c>
      <c r="W2145">
        <v>749.05</v>
      </c>
      <c r="X2145" t="s">
        <v>76</v>
      </c>
      <c r="Y2145" t="s">
        <v>68</v>
      </c>
      <c r="Z2145" t="s">
        <v>161</v>
      </c>
      <c r="AA2145" t="s">
        <v>168</v>
      </c>
      <c r="AB2145">
        <v>4.2</v>
      </c>
      <c r="AC2145">
        <v>50</v>
      </c>
      <c r="AD2145">
        <v>45.32</v>
      </c>
      <c r="AE2145">
        <f t="shared" si="66"/>
        <v>653.7299999999999</v>
      </c>
      <c r="AF2145" t="str">
        <f t="shared" si="67"/>
        <v>2025-09</v>
      </c>
      <c r="AG2145">
        <f>SUBTOTAL(103,A2145)</f>
        <v>1</v>
      </c>
    </row>
    <row r="2146" spans="1:33" x14ac:dyDescent="0.3">
      <c r="A2146" t="s">
        <v>4765</v>
      </c>
      <c r="B2146" s="13">
        <v>45929</v>
      </c>
      <c r="C2146">
        <v>2025</v>
      </c>
      <c r="D2146">
        <v>9</v>
      </c>
      <c r="E2146" t="s">
        <v>4552</v>
      </c>
      <c r="F2146" t="s">
        <v>4047</v>
      </c>
      <c r="G2146" t="s">
        <v>2097</v>
      </c>
      <c r="H2146" t="s">
        <v>2098</v>
      </c>
      <c r="I2146" t="s">
        <v>85</v>
      </c>
      <c r="J2146">
        <v>26</v>
      </c>
      <c r="K2146" t="s">
        <v>81</v>
      </c>
      <c r="L2146" t="s">
        <v>2646</v>
      </c>
      <c r="M2146" t="s">
        <v>63</v>
      </c>
      <c r="N2146" t="s">
        <v>2630</v>
      </c>
      <c r="O2146" t="s">
        <v>123</v>
      </c>
      <c r="P2146" t="s">
        <v>52</v>
      </c>
      <c r="Q2146" t="s">
        <v>146</v>
      </c>
      <c r="R2146">
        <v>2</v>
      </c>
      <c r="S2146">
        <v>2499</v>
      </c>
      <c r="T2146">
        <v>0.1</v>
      </c>
      <c r="U2146">
        <v>4498.2</v>
      </c>
      <c r="V2146">
        <v>2800</v>
      </c>
      <c r="W2146">
        <v>1698.2</v>
      </c>
      <c r="X2146" t="s">
        <v>74</v>
      </c>
      <c r="Y2146" t="s">
        <v>68</v>
      </c>
      <c r="Z2146" t="s">
        <v>163</v>
      </c>
      <c r="AA2146" t="s">
        <v>168</v>
      </c>
      <c r="AB2146">
        <v>2.8</v>
      </c>
      <c r="AC2146">
        <v>100</v>
      </c>
      <c r="AD2146">
        <v>119.48</v>
      </c>
      <c r="AE2146">
        <f t="shared" si="66"/>
        <v>1478.72</v>
      </c>
      <c r="AF2146" t="str">
        <f t="shared" si="67"/>
        <v>2025-09</v>
      </c>
      <c r="AG2146">
        <f>SUBTOTAL(103,A2146)</f>
        <v>1</v>
      </c>
    </row>
    <row r="2147" spans="1:33" x14ac:dyDescent="0.3">
      <c r="A2147" t="s">
        <v>4766</v>
      </c>
      <c r="B2147" s="13">
        <v>45930</v>
      </c>
      <c r="C2147">
        <v>2025</v>
      </c>
      <c r="D2147">
        <v>9</v>
      </c>
      <c r="E2147" t="s">
        <v>4552</v>
      </c>
      <c r="F2147" t="s">
        <v>4047</v>
      </c>
      <c r="G2147" t="s">
        <v>2361</v>
      </c>
      <c r="H2147" t="s">
        <v>2362</v>
      </c>
      <c r="I2147" t="s">
        <v>86</v>
      </c>
      <c r="J2147">
        <v>19</v>
      </c>
      <c r="K2147" t="s">
        <v>80</v>
      </c>
      <c r="L2147" t="s">
        <v>92</v>
      </c>
      <c r="M2147" t="s">
        <v>59</v>
      </c>
      <c r="N2147" t="s">
        <v>2574</v>
      </c>
      <c r="O2147" t="s">
        <v>130</v>
      </c>
      <c r="P2147" t="s">
        <v>50</v>
      </c>
      <c r="Q2147" t="s">
        <v>53</v>
      </c>
      <c r="R2147">
        <v>2</v>
      </c>
      <c r="S2147">
        <v>1199</v>
      </c>
      <c r="T2147">
        <v>0.05</v>
      </c>
      <c r="U2147">
        <v>2278.1</v>
      </c>
      <c r="V2147">
        <v>1100</v>
      </c>
      <c r="W2147">
        <v>1178.0999999999999</v>
      </c>
      <c r="X2147" t="s">
        <v>73</v>
      </c>
      <c r="Y2147" t="s">
        <v>68</v>
      </c>
      <c r="Z2147" t="s">
        <v>161</v>
      </c>
      <c r="AA2147" t="s">
        <v>166</v>
      </c>
      <c r="AB2147">
        <v>4.5</v>
      </c>
      <c r="AC2147">
        <v>40</v>
      </c>
      <c r="AD2147">
        <v>271.22000000000003</v>
      </c>
      <c r="AE2147">
        <f t="shared" si="66"/>
        <v>866.87999999999988</v>
      </c>
      <c r="AF2147" t="str">
        <f t="shared" si="67"/>
        <v>2025-09</v>
      </c>
      <c r="AG2147">
        <f>SUBTOTAL(103,A2147)</f>
        <v>1</v>
      </c>
    </row>
    <row r="2148" spans="1:33" x14ac:dyDescent="0.3">
      <c r="A2148" t="s">
        <v>4767</v>
      </c>
      <c r="B2148" s="13">
        <v>45930</v>
      </c>
      <c r="C2148">
        <v>2025</v>
      </c>
      <c r="D2148">
        <v>9</v>
      </c>
      <c r="E2148" t="s">
        <v>4552</v>
      </c>
      <c r="F2148" t="s">
        <v>4047</v>
      </c>
      <c r="G2148" t="s">
        <v>1239</v>
      </c>
      <c r="H2148" t="s">
        <v>1240</v>
      </c>
      <c r="I2148" t="s">
        <v>85</v>
      </c>
      <c r="J2148">
        <v>26</v>
      </c>
      <c r="K2148" t="s">
        <v>81</v>
      </c>
      <c r="L2148" t="s">
        <v>2623</v>
      </c>
      <c r="M2148" t="s">
        <v>61</v>
      </c>
      <c r="N2148" t="s">
        <v>2653</v>
      </c>
      <c r="O2148" t="s">
        <v>132</v>
      </c>
      <c r="P2148" t="s">
        <v>52</v>
      </c>
      <c r="Q2148" t="s">
        <v>150</v>
      </c>
      <c r="R2148">
        <v>2</v>
      </c>
      <c r="S2148">
        <v>899</v>
      </c>
      <c r="T2148">
        <v>0.1</v>
      </c>
      <c r="U2148">
        <v>1618.2</v>
      </c>
      <c r="V2148">
        <v>840</v>
      </c>
      <c r="W2148">
        <v>778.2</v>
      </c>
      <c r="X2148" t="s">
        <v>73</v>
      </c>
      <c r="Y2148" t="s">
        <v>70</v>
      </c>
      <c r="Z2148" t="s">
        <v>158</v>
      </c>
      <c r="AA2148" t="s">
        <v>169</v>
      </c>
      <c r="AB2148">
        <v>4.2</v>
      </c>
      <c r="AC2148">
        <v>50</v>
      </c>
      <c r="AD2148">
        <v>68.77</v>
      </c>
      <c r="AE2148">
        <f t="shared" si="66"/>
        <v>659.43000000000006</v>
      </c>
      <c r="AF2148" t="str">
        <f t="shared" si="67"/>
        <v>2025-09</v>
      </c>
      <c r="AG2148">
        <f>SUBTOTAL(103,A2148)</f>
        <v>1</v>
      </c>
    </row>
    <row r="2149" spans="1:33" x14ac:dyDescent="0.3">
      <c r="A2149" t="s">
        <v>4768</v>
      </c>
      <c r="B2149" s="13">
        <v>45930</v>
      </c>
      <c r="C2149">
        <v>2025</v>
      </c>
      <c r="D2149">
        <v>9</v>
      </c>
      <c r="E2149" t="s">
        <v>4552</v>
      </c>
      <c r="F2149" t="s">
        <v>4047</v>
      </c>
      <c r="G2149" t="s">
        <v>1321</v>
      </c>
      <c r="H2149" t="s">
        <v>1322</v>
      </c>
      <c r="I2149" t="s">
        <v>86</v>
      </c>
      <c r="J2149">
        <v>19</v>
      </c>
      <c r="K2149" t="s">
        <v>80</v>
      </c>
      <c r="L2149" t="s">
        <v>2589</v>
      </c>
      <c r="M2149" t="s">
        <v>61</v>
      </c>
      <c r="N2149" t="s">
        <v>2590</v>
      </c>
      <c r="O2149" t="s">
        <v>127</v>
      </c>
      <c r="P2149" t="s">
        <v>51</v>
      </c>
      <c r="Q2149" t="s">
        <v>148</v>
      </c>
      <c r="R2149">
        <v>2</v>
      </c>
      <c r="S2149">
        <v>1599</v>
      </c>
      <c r="T2149">
        <v>0</v>
      </c>
      <c r="U2149">
        <v>3198</v>
      </c>
      <c r="V2149">
        <v>1600</v>
      </c>
      <c r="W2149">
        <v>1598</v>
      </c>
      <c r="X2149" t="s">
        <v>76</v>
      </c>
      <c r="Y2149" t="s">
        <v>68</v>
      </c>
      <c r="Z2149" t="s">
        <v>161</v>
      </c>
      <c r="AA2149" t="s">
        <v>166</v>
      </c>
      <c r="AB2149">
        <v>4.2</v>
      </c>
      <c r="AC2149">
        <v>80</v>
      </c>
      <c r="AD2149">
        <v>190.27</v>
      </c>
      <c r="AE2149">
        <f t="shared" si="66"/>
        <v>1327.73</v>
      </c>
      <c r="AF2149" t="str">
        <f t="shared" si="67"/>
        <v>2025-09</v>
      </c>
      <c r="AG2149">
        <f>SUBTOTAL(103,A2149)</f>
        <v>1</v>
      </c>
    </row>
    <row r="2150" spans="1:33" x14ac:dyDescent="0.3">
      <c r="A2150" t="s">
        <v>4769</v>
      </c>
      <c r="B2150" s="13">
        <v>45930</v>
      </c>
      <c r="C2150">
        <v>2025</v>
      </c>
      <c r="D2150">
        <v>9</v>
      </c>
      <c r="E2150" t="s">
        <v>4552</v>
      </c>
      <c r="F2150" t="s">
        <v>4047</v>
      </c>
      <c r="G2150" t="s">
        <v>1189</v>
      </c>
      <c r="H2150" t="s">
        <v>1190</v>
      </c>
      <c r="I2150" t="s">
        <v>85</v>
      </c>
      <c r="J2150">
        <v>45</v>
      </c>
      <c r="K2150" t="s">
        <v>82</v>
      </c>
      <c r="L2150" t="s">
        <v>2679</v>
      </c>
      <c r="M2150" t="s">
        <v>60</v>
      </c>
      <c r="N2150" t="s">
        <v>2644</v>
      </c>
      <c r="O2150" t="s">
        <v>126</v>
      </c>
      <c r="P2150" t="s">
        <v>50</v>
      </c>
      <c r="Q2150" t="s">
        <v>145</v>
      </c>
      <c r="R2150">
        <v>5</v>
      </c>
      <c r="S2150">
        <v>1799</v>
      </c>
      <c r="T2150">
        <v>0.05</v>
      </c>
      <c r="U2150">
        <v>8545.25</v>
      </c>
      <c r="V2150">
        <v>4750</v>
      </c>
      <c r="W2150">
        <v>3795.25</v>
      </c>
      <c r="X2150" t="s">
        <v>74</v>
      </c>
      <c r="Y2150" t="s">
        <v>68</v>
      </c>
      <c r="Z2150" t="s">
        <v>159</v>
      </c>
      <c r="AA2150" t="s">
        <v>169</v>
      </c>
      <c r="AB2150">
        <v>3.2</v>
      </c>
      <c r="AC2150">
        <v>120</v>
      </c>
      <c r="AD2150">
        <v>220.55</v>
      </c>
      <c r="AE2150">
        <f t="shared" si="66"/>
        <v>3454.7</v>
      </c>
      <c r="AF2150" t="str">
        <f t="shared" si="67"/>
        <v>2025-09</v>
      </c>
      <c r="AG2150">
        <f>SUBTOTAL(103,A2150)</f>
        <v>1</v>
      </c>
    </row>
    <row r="2151" spans="1:33" x14ac:dyDescent="0.3">
      <c r="A2151" t="s">
        <v>4770</v>
      </c>
      <c r="B2151" s="13">
        <v>45930</v>
      </c>
      <c r="C2151">
        <v>2025</v>
      </c>
      <c r="D2151">
        <v>9</v>
      </c>
      <c r="E2151" t="s">
        <v>4552</v>
      </c>
      <c r="F2151" t="s">
        <v>4047</v>
      </c>
      <c r="G2151" t="s">
        <v>2117</v>
      </c>
      <c r="H2151" t="s">
        <v>2118</v>
      </c>
      <c r="I2151" t="s">
        <v>85</v>
      </c>
      <c r="J2151">
        <v>39</v>
      </c>
      <c r="K2151" t="s">
        <v>82</v>
      </c>
      <c r="L2151" t="s">
        <v>2579</v>
      </c>
      <c r="M2151" t="s">
        <v>56</v>
      </c>
      <c r="N2151" t="s">
        <v>2653</v>
      </c>
      <c r="O2151" t="s">
        <v>132</v>
      </c>
      <c r="P2151" t="s">
        <v>52</v>
      </c>
      <c r="Q2151" t="s">
        <v>150</v>
      </c>
      <c r="R2151">
        <v>1</v>
      </c>
      <c r="S2151">
        <v>899</v>
      </c>
      <c r="T2151">
        <v>0.1</v>
      </c>
      <c r="U2151">
        <v>809.1</v>
      </c>
      <c r="V2151">
        <v>420</v>
      </c>
      <c r="W2151">
        <v>389.1</v>
      </c>
      <c r="X2151" t="s">
        <v>74</v>
      </c>
      <c r="Y2151" t="s">
        <v>68</v>
      </c>
      <c r="Z2151" t="s">
        <v>163</v>
      </c>
      <c r="AA2151" t="s">
        <v>166</v>
      </c>
      <c r="AB2151">
        <v>4.0999999999999996</v>
      </c>
      <c r="AC2151">
        <v>60</v>
      </c>
      <c r="AD2151">
        <v>89.64</v>
      </c>
      <c r="AE2151">
        <f t="shared" si="66"/>
        <v>239.46000000000004</v>
      </c>
      <c r="AF2151" t="str">
        <f t="shared" si="67"/>
        <v>2025-09</v>
      </c>
      <c r="AG2151">
        <f>SUBTOTAL(103,A2151)</f>
        <v>1</v>
      </c>
    </row>
    <row r="2152" spans="1:33" x14ac:dyDescent="0.3">
      <c r="A2152" t="s">
        <v>4771</v>
      </c>
      <c r="B2152" s="13">
        <v>45930</v>
      </c>
      <c r="C2152">
        <v>2025</v>
      </c>
      <c r="D2152">
        <v>9</v>
      </c>
      <c r="E2152" t="s">
        <v>4552</v>
      </c>
      <c r="F2152" t="s">
        <v>4047</v>
      </c>
      <c r="G2152" t="s">
        <v>459</v>
      </c>
      <c r="H2152" t="s">
        <v>460</v>
      </c>
      <c r="I2152" t="s">
        <v>85</v>
      </c>
      <c r="J2152">
        <v>48</v>
      </c>
      <c r="K2152" t="s">
        <v>83</v>
      </c>
      <c r="L2152" t="s">
        <v>98</v>
      </c>
      <c r="M2152" t="s">
        <v>55</v>
      </c>
      <c r="N2152" t="s">
        <v>2574</v>
      </c>
      <c r="O2152" t="s">
        <v>130</v>
      </c>
      <c r="P2152" t="s">
        <v>50</v>
      </c>
      <c r="Q2152" t="s">
        <v>53</v>
      </c>
      <c r="R2152">
        <v>3</v>
      </c>
      <c r="S2152">
        <v>1199</v>
      </c>
      <c r="T2152">
        <v>0.1</v>
      </c>
      <c r="U2152">
        <v>3237.3</v>
      </c>
      <c r="V2152">
        <v>1650</v>
      </c>
      <c r="W2152">
        <v>1587.3</v>
      </c>
      <c r="X2152" t="s">
        <v>76</v>
      </c>
      <c r="Y2152" t="s">
        <v>68</v>
      </c>
      <c r="Z2152" t="s">
        <v>162</v>
      </c>
      <c r="AA2152" t="s">
        <v>167</v>
      </c>
      <c r="AB2152">
        <v>3.5</v>
      </c>
      <c r="AC2152">
        <v>60</v>
      </c>
      <c r="AD2152">
        <v>130.65</v>
      </c>
      <c r="AE2152">
        <f t="shared" si="66"/>
        <v>1396.6499999999999</v>
      </c>
      <c r="AF2152" t="str">
        <f t="shared" si="67"/>
        <v>2025-09</v>
      </c>
      <c r="AG2152">
        <f>SUBTOTAL(103,A2152)</f>
        <v>1</v>
      </c>
    </row>
    <row r="2153" spans="1:33" x14ac:dyDescent="0.3">
      <c r="A2153" t="s">
        <v>4772</v>
      </c>
      <c r="B2153" s="13">
        <v>45930</v>
      </c>
      <c r="C2153">
        <v>2025</v>
      </c>
      <c r="D2153">
        <v>9</v>
      </c>
      <c r="E2153" t="s">
        <v>4552</v>
      </c>
      <c r="F2153" t="s">
        <v>4047</v>
      </c>
      <c r="G2153" t="s">
        <v>1029</v>
      </c>
      <c r="H2153" t="s">
        <v>1030</v>
      </c>
      <c r="I2153" t="s">
        <v>85</v>
      </c>
      <c r="J2153">
        <v>22</v>
      </c>
      <c r="K2153" t="s">
        <v>80</v>
      </c>
      <c r="L2153" t="s">
        <v>2637</v>
      </c>
      <c r="M2153" t="s">
        <v>64</v>
      </c>
      <c r="N2153" t="s">
        <v>2601</v>
      </c>
      <c r="O2153" t="s">
        <v>117</v>
      </c>
      <c r="P2153" t="s">
        <v>49</v>
      </c>
      <c r="Q2153" t="s">
        <v>139</v>
      </c>
      <c r="R2153">
        <v>2</v>
      </c>
      <c r="S2153">
        <v>6999</v>
      </c>
      <c r="T2153">
        <v>0.25</v>
      </c>
      <c r="U2153">
        <v>10498.5</v>
      </c>
      <c r="V2153">
        <v>8600</v>
      </c>
      <c r="W2153">
        <v>1898.5</v>
      </c>
      <c r="X2153" t="s">
        <v>77</v>
      </c>
      <c r="Y2153" t="s">
        <v>68</v>
      </c>
      <c r="Z2153" t="s">
        <v>160</v>
      </c>
      <c r="AA2153" t="s">
        <v>168</v>
      </c>
      <c r="AB2153">
        <v>3</v>
      </c>
      <c r="AC2153">
        <v>60</v>
      </c>
      <c r="AD2153">
        <v>1164.29</v>
      </c>
      <c r="AE2153">
        <f t="shared" si="66"/>
        <v>674.21</v>
      </c>
      <c r="AF2153" t="str">
        <f t="shared" si="67"/>
        <v>2025-09</v>
      </c>
      <c r="AG2153">
        <f>SUBTOTAL(103,A2153)</f>
        <v>1</v>
      </c>
    </row>
    <row r="2154" spans="1:33" x14ac:dyDescent="0.3">
      <c r="A2154" t="s">
        <v>4773</v>
      </c>
      <c r="B2154" s="13">
        <v>45930</v>
      </c>
      <c r="C2154">
        <v>2025</v>
      </c>
      <c r="D2154">
        <v>9</v>
      </c>
      <c r="E2154" t="s">
        <v>4552</v>
      </c>
      <c r="F2154" t="s">
        <v>4047</v>
      </c>
      <c r="G2154" t="s">
        <v>225</v>
      </c>
      <c r="H2154" t="s">
        <v>226</v>
      </c>
      <c r="I2154" t="s">
        <v>86</v>
      </c>
      <c r="J2154">
        <v>38</v>
      </c>
      <c r="K2154" t="s">
        <v>82</v>
      </c>
      <c r="L2154" t="s">
        <v>59</v>
      </c>
      <c r="M2154" t="s">
        <v>59</v>
      </c>
      <c r="N2154" t="s">
        <v>2577</v>
      </c>
      <c r="O2154" t="s">
        <v>129</v>
      </c>
      <c r="P2154" t="s">
        <v>49</v>
      </c>
      <c r="Q2154" t="s">
        <v>149</v>
      </c>
      <c r="R2154">
        <v>1</v>
      </c>
      <c r="S2154">
        <v>1299</v>
      </c>
      <c r="T2154">
        <v>0.15</v>
      </c>
      <c r="U2154">
        <v>1104.1500000000001</v>
      </c>
      <c r="V2154">
        <v>650</v>
      </c>
      <c r="W2154">
        <v>454.15</v>
      </c>
      <c r="X2154" t="s">
        <v>73</v>
      </c>
      <c r="Y2154" t="s">
        <v>70</v>
      </c>
      <c r="Z2154" t="s">
        <v>160</v>
      </c>
      <c r="AA2154" t="s">
        <v>170</v>
      </c>
      <c r="AB2154">
        <v>3.8</v>
      </c>
      <c r="AC2154">
        <v>40</v>
      </c>
      <c r="AD2154">
        <v>31.47</v>
      </c>
      <c r="AE2154">
        <f t="shared" si="66"/>
        <v>382.67999999999995</v>
      </c>
      <c r="AF2154" t="str">
        <f t="shared" si="67"/>
        <v>2025-09</v>
      </c>
      <c r="AG2154">
        <f>SUBTOTAL(103,A2154)</f>
        <v>1</v>
      </c>
    </row>
    <row r="2155" spans="1:33" x14ac:dyDescent="0.3">
      <c r="A2155" t="s">
        <v>4774</v>
      </c>
      <c r="B2155" s="13">
        <v>45930</v>
      </c>
      <c r="C2155">
        <v>2025</v>
      </c>
      <c r="D2155">
        <v>9</v>
      </c>
      <c r="E2155" t="s">
        <v>4552</v>
      </c>
      <c r="F2155" t="s">
        <v>4047</v>
      </c>
      <c r="G2155" t="s">
        <v>1771</v>
      </c>
      <c r="H2155" t="s">
        <v>1772</v>
      </c>
      <c r="I2155" t="s">
        <v>86</v>
      </c>
      <c r="J2155">
        <v>59</v>
      </c>
      <c r="K2155" t="s">
        <v>83</v>
      </c>
      <c r="L2155" t="s">
        <v>91</v>
      </c>
      <c r="M2155" t="s">
        <v>55</v>
      </c>
      <c r="N2155" t="s">
        <v>2665</v>
      </c>
      <c r="O2155" t="s">
        <v>128</v>
      </c>
      <c r="P2155" t="s">
        <v>53</v>
      </c>
      <c r="Q2155" t="s">
        <v>143</v>
      </c>
      <c r="R2155">
        <v>1</v>
      </c>
      <c r="S2155">
        <v>1499</v>
      </c>
      <c r="T2155">
        <v>0.15</v>
      </c>
      <c r="U2155">
        <v>1274.1500000000001</v>
      </c>
      <c r="V2155">
        <v>800</v>
      </c>
      <c r="W2155">
        <v>474.15</v>
      </c>
      <c r="X2155" t="s">
        <v>73</v>
      </c>
      <c r="Y2155" t="s">
        <v>68</v>
      </c>
      <c r="Z2155" t="s">
        <v>160</v>
      </c>
      <c r="AA2155" t="s">
        <v>170</v>
      </c>
      <c r="AB2155">
        <v>5</v>
      </c>
      <c r="AC2155">
        <v>120</v>
      </c>
      <c r="AD2155">
        <v>129.55000000000001</v>
      </c>
      <c r="AE2155">
        <f t="shared" si="66"/>
        <v>224.59999999999997</v>
      </c>
      <c r="AF2155" t="str">
        <f t="shared" si="67"/>
        <v>2025-09</v>
      </c>
      <c r="AG2155">
        <f>SUBTOTAL(103,A2155)</f>
        <v>1</v>
      </c>
    </row>
    <row r="2156" spans="1:33" x14ac:dyDescent="0.3">
      <c r="A2156" t="s">
        <v>4775</v>
      </c>
      <c r="B2156" s="13">
        <v>45930</v>
      </c>
      <c r="C2156">
        <v>2025</v>
      </c>
      <c r="D2156">
        <v>9</v>
      </c>
      <c r="E2156" t="s">
        <v>4552</v>
      </c>
      <c r="F2156" t="s">
        <v>4047</v>
      </c>
      <c r="G2156" t="s">
        <v>893</v>
      </c>
      <c r="H2156" t="s">
        <v>894</v>
      </c>
      <c r="I2156" t="s">
        <v>85</v>
      </c>
      <c r="J2156">
        <v>45</v>
      </c>
      <c r="K2156" t="s">
        <v>82</v>
      </c>
      <c r="L2156" t="s">
        <v>95</v>
      </c>
      <c r="M2156" t="s">
        <v>56</v>
      </c>
      <c r="N2156" t="s">
        <v>2601</v>
      </c>
      <c r="O2156" t="s">
        <v>117</v>
      </c>
      <c r="P2156" t="s">
        <v>49</v>
      </c>
      <c r="Q2156" t="s">
        <v>139</v>
      </c>
      <c r="R2156">
        <v>3</v>
      </c>
      <c r="S2156">
        <v>6999</v>
      </c>
      <c r="T2156">
        <v>0.1</v>
      </c>
      <c r="U2156">
        <v>18897.3</v>
      </c>
      <c r="V2156">
        <v>12900</v>
      </c>
      <c r="W2156">
        <v>5997.3</v>
      </c>
      <c r="X2156" t="s">
        <v>75</v>
      </c>
      <c r="Y2156" t="s">
        <v>68</v>
      </c>
      <c r="Z2156" t="s">
        <v>158</v>
      </c>
      <c r="AA2156" t="s">
        <v>167</v>
      </c>
      <c r="AB2156">
        <v>5</v>
      </c>
      <c r="AC2156">
        <v>50</v>
      </c>
      <c r="AD2156">
        <v>1998.89</v>
      </c>
      <c r="AE2156">
        <f t="shared" si="66"/>
        <v>3948.41</v>
      </c>
      <c r="AF2156" t="str">
        <f t="shared" si="67"/>
        <v>2025-09</v>
      </c>
      <c r="AG2156">
        <f>SUBTOTAL(103,A2156)</f>
        <v>1</v>
      </c>
    </row>
    <row r="2157" spans="1:33" x14ac:dyDescent="0.3">
      <c r="A2157" t="s">
        <v>4776</v>
      </c>
      <c r="B2157" s="13">
        <v>45930</v>
      </c>
      <c r="C2157">
        <v>2025</v>
      </c>
      <c r="D2157">
        <v>9</v>
      </c>
      <c r="E2157" t="s">
        <v>4552</v>
      </c>
      <c r="F2157" t="s">
        <v>4047</v>
      </c>
      <c r="G2157" t="s">
        <v>511</v>
      </c>
      <c r="H2157" t="s">
        <v>512</v>
      </c>
      <c r="I2157" t="s">
        <v>86</v>
      </c>
      <c r="J2157">
        <v>49</v>
      </c>
      <c r="K2157" t="s">
        <v>83</v>
      </c>
      <c r="L2157" t="s">
        <v>94</v>
      </c>
      <c r="M2157" t="s">
        <v>57</v>
      </c>
      <c r="N2157" t="s">
        <v>2647</v>
      </c>
      <c r="O2157" t="s">
        <v>133</v>
      </c>
      <c r="P2157" t="s">
        <v>50</v>
      </c>
      <c r="Q2157" t="s">
        <v>145</v>
      </c>
      <c r="R2157">
        <v>1</v>
      </c>
      <c r="S2157">
        <v>799</v>
      </c>
      <c r="T2157">
        <v>0</v>
      </c>
      <c r="U2157">
        <v>799</v>
      </c>
      <c r="V2157">
        <v>390</v>
      </c>
      <c r="W2157">
        <v>409</v>
      </c>
      <c r="X2157" t="s">
        <v>73</v>
      </c>
      <c r="Y2157" t="s">
        <v>68</v>
      </c>
      <c r="Z2157" t="s">
        <v>161</v>
      </c>
      <c r="AA2157" t="s">
        <v>170</v>
      </c>
      <c r="AB2157">
        <v>4.8</v>
      </c>
      <c r="AC2157">
        <v>60</v>
      </c>
      <c r="AD2157">
        <v>38.96</v>
      </c>
      <c r="AE2157">
        <f t="shared" si="66"/>
        <v>310.04000000000002</v>
      </c>
      <c r="AF2157" t="str">
        <f t="shared" si="67"/>
        <v>2025-09</v>
      </c>
      <c r="AG2157">
        <f>SUBTOTAL(103,A2157)</f>
        <v>1</v>
      </c>
    </row>
    <row r="2158" spans="1:33" x14ac:dyDescent="0.3">
      <c r="A2158" t="s">
        <v>4777</v>
      </c>
      <c r="B2158" s="13">
        <v>45930</v>
      </c>
      <c r="C2158">
        <v>2025</v>
      </c>
      <c r="D2158">
        <v>9</v>
      </c>
      <c r="E2158" t="s">
        <v>4552</v>
      </c>
      <c r="F2158" t="s">
        <v>4047</v>
      </c>
      <c r="G2158" t="s">
        <v>1259</v>
      </c>
      <c r="H2158" t="s">
        <v>1260</v>
      </c>
      <c r="I2158" t="s">
        <v>86</v>
      </c>
      <c r="J2158">
        <v>29</v>
      </c>
      <c r="K2158" t="s">
        <v>81</v>
      </c>
      <c r="L2158" t="s">
        <v>99</v>
      </c>
      <c r="M2158" t="s">
        <v>58</v>
      </c>
      <c r="N2158" t="s">
        <v>2647</v>
      </c>
      <c r="O2158" t="s">
        <v>133</v>
      </c>
      <c r="P2158" t="s">
        <v>50</v>
      </c>
      <c r="Q2158" t="s">
        <v>145</v>
      </c>
      <c r="R2158">
        <v>2</v>
      </c>
      <c r="S2158">
        <v>799</v>
      </c>
      <c r="T2158">
        <v>0.15</v>
      </c>
      <c r="U2158">
        <v>1358.3</v>
      </c>
      <c r="V2158">
        <v>780</v>
      </c>
      <c r="W2158">
        <v>578.29999999999995</v>
      </c>
      <c r="X2158" t="s">
        <v>77</v>
      </c>
      <c r="Y2158" t="s">
        <v>68</v>
      </c>
      <c r="Z2158" t="s">
        <v>159</v>
      </c>
      <c r="AA2158" t="s">
        <v>171</v>
      </c>
      <c r="AB2158">
        <v>4.2</v>
      </c>
      <c r="AC2158">
        <v>40</v>
      </c>
      <c r="AD2158">
        <v>131</v>
      </c>
      <c r="AE2158">
        <f t="shared" si="66"/>
        <v>407.29999999999995</v>
      </c>
      <c r="AF2158" t="str">
        <f t="shared" si="67"/>
        <v>2025-09</v>
      </c>
      <c r="AG2158">
        <f>SUBTOTAL(103,A2158)</f>
        <v>1</v>
      </c>
    </row>
    <row r="2159" spans="1:33" x14ac:dyDescent="0.3">
      <c r="A2159" t="s">
        <v>4778</v>
      </c>
      <c r="B2159" s="13">
        <v>45931</v>
      </c>
      <c r="C2159">
        <v>2025</v>
      </c>
      <c r="D2159">
        <v>10</v>
      </c>
      <c r="E2159" t="s">
        <v>4779</v>
      </c>
      <c r="F2159" t="s">
        <v>4780</v>
      </c>
      <c r="G2159" t="s">
        <v>1041</v>
      </c>
      <c r="H2159" t="s">
        <v>1042</v>
      </c>
      <c r="I2159" t="s">
        <v>85</v>
      </c>
      <c r="J2159">
        <v>39</v>
      </c>
      <c r="K2159" t="s">
        <v>82</v>
      </c>
      <c r="L2159" t="s">
        <v>2687</v>
      </c>
      <c r="M2159" t="s">
        <v>57</v>
      </c>
      <c r="N2159" t="s">
        <v>2594</v>
      </c>
      <c r="O2159" t="s">
        <v>131</v>
      </c>
      <c r="P2159" t="s">
        <v>53</v>
      </c>
      <c r="Q2159" t="s">
        <v>143</v>
      </c>
      <c r="R2159">
        <v>2</v>
      </c>
      <c r="S2159">
        <v>999</v>
      </c>
      <c r="T2159">
        <v>0.15</v>
      </c>
      <c r="U2159">
        <v>1698.3</v>
      </c>
      <c r="V2159">
        <v>1040</v>
      </c>
      <c r="W2159">
        <v>658.3</v>
      </c>
      <c r="X2159" t="s">
        <v>75</v>
      </c>
      <c r="Y2159" t="s">
        <v>68</v>
      </c>
      <c r="Z2159" t="s">
        <v>159</v>
      </c>
      <c r="AA2159" t="s">
        <v>169</v>
      </c>
      <c r="AB2159">
        <v>3.1</v>
      </c>
      <c r="AC2159">
        <v>60</v>
      </c>
      <c r="AD2159">
        <v>192.4</v>
      </c>
      <c r="AE2159">
        <f t="shared" si="66"/>
        <v>405.9</v>
      </c>
      <c r="AF2159" t="str">
        <f t="shared" si="67"/>
        <v>2025-10</v>
      </c>
      <c r="AG2159">
        <f>SUBTOTAL(103,A2159)</f>
        <v>1</v>
      </c>
    </row>
    <row r="2160" spans="1:33" x14ac:dyDescent="0.3">
      <c r="A2160" t="s">
        <v>4781</v>
      </c>
      <c r="B2160" s="13">
        <v>45931</v>
      </c>
      <c r="C2160">
        <v>2025</v>
      </c>
      <c r="D2160">
        <v>10</v>
      </c>
      <c r="E2160" t="s">
        <v>4779</v>
      </c>
      <c r="F2160" t="s">
        <v>4780</v>
      </c>
      <c r="G2160" t="s">
        <v>969</v>
      </c>
      <c r="H2160" t="s">
        <v>970</v>
      </c>
      <c r="I2160" t="s">
        <v>85</v>
      </c>
      <c r="J2160">
        <v>46</v>
      </c>
      <c r="K2160" t="s">
        <v>83</v>
      </c>
      <c r="L2160" t="s">
        <v>2599</v>
      </c>
      <c r="M2160" t="s">
        <v>62</v>
      </c>
      <c r="N2160" t="s">
        <v>2582</v>
      </c>
      <c r="O2160" t="s">
        <v>119</v>
      </c>
      <c r="P2160" t="s">
        <v>49</v>
      </c>
      <c r="Q2160" t="s">
        <v>140</v>
      </c>
      <c r="R2160">
        <v>4</v>
      </c>
      <c r="S2160">
        <v>3499</v>
      </c>
      <c r="T2160">
        <v>0</v>
      </c>
      <c r="U2160">
        <v>13996</v>
      </c>
      <c r="V2160">
        <v>8400</v>
      </c>
      <c r="W2160">
        <v>5596</v>
      </c>
      <c r="X2160" t="s">
        <v>73</v>
      </c>
      <c r="Y2160" t="s">
        <v>68</v>
      </c>
      <c r="Z2160" t="s">
        <v>158</v>
      </c>
      <c r="AA2160" t="s">
        <v>166</v>
      </c>
      <c r="AB2160">
        <v>4.0999999999999996</v>
      </c>
      <c r="AC2160">
        <v>50</v>
      </c>
      <c r="AD2160">
        <v>466.56</v>
      </c>
      <c r="AE2160">
        <f t="shared" si="66"/>
        <v>5079.4399999999996</v>
      </c>
      <c r="AF2160" t="str">
        <f t="shared" si="67"/>
        <v>2025-10</v>
      </c>
      <c r="AG2160">
        <f>SUBTOTAL(103,A2160)</f>
        <v>1</v>
      </c>
    </row>
    <row r="2161" spans="1:33" x14ac:dyDescent="0.3">
      <c r="A2161" t="s">
        <v>4782</v>
      </c>
      <c r="B2161" s="13">
        <v>45931</v>
      </c>
      <c r="C2161">
        <v>2025</v>
      </c>
      <c r="D2161">
        <v>10</v>
      </c>
      <c r="E2161" t="s">
        <v>4779</v>
      </c>
      <c r="F2161" t="s">
        <v>4780</v>
      </c>
      <c r="G2161" t="s">
        <v>1459</v>
      </c>
      <c r="H2161" t="s">
        <v>1460</v>
      </c>
      <c r="I2161" t="s">
        <v>85</v>
      </c>
      <c r="J2161">
        <v>59</v>
      </c>
      <c r="K2161" t="s">
        <v>83</v>
      </c>
      <c r="L2161" t="s">
        <v>2605</v>
      </c>
      <c r="M2161" t="s">
        <v>60</v>
      </c>
      <c r="N2161" t="s">
        <v>2606</v>
      </c>
      <c r="O2161" t="s">
        <v>120</v>
      </c>
      <c r="P2161" t="s">
        <v>49</v>
      </c>
      <c r="Q2161" t="s">
        <v>140</v>
      </c>
      <c r="R2161">
        <v>3</v>
      </c>
      <c r="S2161">
        <v>2799</v>
      </c>
      <c r="T2161">
        <v>0.2</v>
      </c>
      <c r="U2161">
        <v>6717.6</v>
      </c>
      <c r="V2161">
        <v>4950</v>
      </c>
      <c r="W2161">
        <v>1767.6</v>
      </c>
      <c r="X2161" t="s">
        <v>77</v>
      </c>
      <c r="Y2161" t="s">
        <v>70</v>
      </c>
      <c r="Z2161" t="s">
        <v>159</v>
      </c>
      <c r="AA2161" t="s">
        <v>168</v>
      </c>
      <c r="AB2161">
        <v>4.4000000000000004</v>
      </c>
      <c r="AC2161">
        <v>80</v>
      </c>
      <c r="AD2161">
        <v>648.77</v>
      </c>
      <c r="AE2161">
        <f t="shared" si="66"/>
        <v>1038.83</v>
      </c>
      <c r="AF2161" t="str">
        <f t="shared" si="67"/>
        <v>2025-10</v>
      </c>
      <c r="AG2161">
        <f>SUBTOTAL(103,A2161)</f>
        <v>1</v>
      </c>
    </row>
    <row r="2162" spans="1:33" x14ac:dyDescent="0.3">
      <c r="A2162" t="s">
        <v>4783</v>
      </c>
      <c r="B2162" s="13">
        <v>45931</v>
      </c>
      <c r="C2162">
        <v>2025</v>
      </c>
      <c r="D2162">
        <v>10</v>
      </c>
      <c r="E2162" t="s">
        <v>4779</v>
      </c>
      <c r="F2162" t="s">
        <v>4780</v>
      </c>
      <c r="G2162" t="s">
        <v>1687</v>
      </c>
      <c r="H2162" t="s">
        <v>1688</v>
      </c>
      <c r="I2162" t="s">
        <v>85</v>
      </c>
      <c r="J2162">
        <v>35</v>
      </c>
      <c r="K2162" t="s">
        <v>81</v>
      </c>
      <c r="L2162" t="s">
        <v>94</v>
      </c>
      <c r="M2162" t="s">
        <v>57</v>
      </c>
      <c r="N2162" t="s">
        <v>2644</v>
      </c>
      <c r="O2162" t="s">
        <v>126</v>
      </c>
      <c r="P2162" t="s">
        <v>50</v>
      </c>
      <c r="Q2162" t="s">
        <v>145</v>
      </c>
      <c r="R2162">
        <v>4</v>
      </c>
      <c r="S2162">
        <v>1799</v>
      </c>
      <c r="T2162">
        <v>0.15</v>
      </c>
      <c r="U2162">
        <v>6116.6</v>
      </c>
      <c r="V2162">
        <v>3800</v>
      </c>
      <c r="W2162">
        <v>2316.6</v>
      </c>
      <c r="X2162" t="s">
        <v>75</v>
      </c>
      <c r="Y2162" t="s">
        <v>68</v>
      </c>
      <c r="Z2162" t="s">
        <v>162</v>
      </c>
      <c r="AA2162" t="s">
        <v>170</v>
      </c>
      <c r="AB2162">
        <v>4.3</v>
      </c>
      <c r="AC2162">
        <v>60</v>
      </c>
      <c r="AD2162">
        <v>456.45</v>
      </c>
      <c r="AE2162">
        <f t="shared" si="66"/>
        <v>1800.1499999999999</v>
      </c>
      <c r="AF2162" t="str">
        <f t="shared" si="67"/>
        <v>2025-10</v>
      </c>
      <c r="AG2162">
        <f>SUBTOTAL(103,A2162)</f>
        <v>1</v>
      </c>
    </row>
    <row r="2163" spans="1:33" x14ac:dyDescent="0.3">
      <c r="A2163" t="s">
        <v>4784</v>
      </c>
      <c r="B2163" s="13">
        <v>45931</v>
      </c>
      <c r="C2163">
        <v>2025</v>
      </c>
      <c r="D2163">
        <v>10</v>
      </c>
      <c r="E2163" t="s">
        <v>4779</v>
      </c>
      <c r="F2163" t="s">
        <v>4780</v>
      </c>
      <c r="G2163" t="s">
        <v>199</v>
      </c>
      <c r="H2163" t="s">
        <v>200</v>
      </c>
      <c r="I2163" t="s">
        <v>86</v>
      </c>
      <c r="J2163">
        <v>52</v>
      </c>
      <c r="K2163" t="s">
        <v>83</v>
      </c>
      <c r="L2163" t="s">
        <v>96</v>
      </c>
      <c r="M2163" t="s">
        <v>55</v>
      </c>
      <c r="N2163" t="s">
        <v>2587</v>
      </c>
      <c r="O2163" t="s">
        <v>116</v>
      </c>
      <c r="P2163" t="s">
        <v>48</v>
      </c>
      <c r="Q2163" t="s">
        <v>138</v>
      </c>
      <c r="R2163">
        <v>2</v>
      </c>
      <c r="S2163">
        <v>14999</v>
      </c>
      <c r="T2163">
        <v>0.25</v>
      </c>
      <c r="U2163">
        <v>22498.5</v>
      </c>
      <c r="V2163">
        <v>22400</v>
      </c>
      <c r="W2163">
        <v>98.5</v>
      </c>
      <c r="X2163" t="s">
        <v>75</v>
      </c>
      <c r="Y2163" t="s">
        <v>68</v>
      </c>
      <c r="Z2163" t="s">
        <v>158</v>
      </c>
      <c r="AA2163" t="s">
        <v>166</v>
      </c>
      <c r="AB2163">
        <v>4.8</v>
      </c>
      <c r="AC2163">
        <v>100</v>
      </c>
      <c r="AD2163">
        <v>1788.59</v>
      </c>
      <c r="AE2163">
        <f t="shared" si="66"/>
        <v>-1790.09</v>
      </c>
      <c r="AF2163" t="str">
        <f t="shared" si="67"/>
        <v>2025-10</v>
      </c>
      <c r="AG2163">
        <f>SUBTOTAL(103,A2163)</f>
        <v>1</v>
      </c>
    </row>
    <row r="2164" spans="1:33" x14ac:dyDescent="0.3">
      <c r="A2164" t="s">
        <v>4785</v>
      </c>
      <c r="B2164" s="13">
        <v>45931</v>
      </c>
      <c r="C2164">
        <v>2025</v>
      </c>
      <c r="D2164">
        <v>10</v>
      </c>
      <c r="E2164" t="s">
        <v>4779</v>
      </c>
      <c r="F2164" t="s">
        <v>4780</v>
      </c>
      <c r="G2164" t="s">
        <v>1189</v>
      </c>
      <c r="H2164" t="s">
        <v>1190</v>
      </c>
      <c r="I2164" t="s">
        <v>85</v>
      </c>
      <c r="J2164">
        <v>45</v>
      </c>
      <c r="K2164" t="s">
        <v>82</v>
      </c>
      <c r="L2164" t="s">
        <v>2679</v>
      </c>
      <c r="M2164" t="s">
        <v>60</v>
      </c>
      <c r="N2164" t="s">
        <v>2596</v>
      </c>
      <c r="O2164" t="s">
        <v>124</v>
      </c>
      <c r="P2164" t="s">
        <v>51</v>
      </c>
      <c r="Q2164" t="s">
        <v>147</v>
      </c>
      <c r="R2164">
        <v>2</v>
      </c>
      <c r="S2164">
        <v>2299</v>
      </c>
      <c r="T2164">
        <v>0.15</v>
      </c>
      <c r="U2164">
        <v>3908.3</v>
      </c>
      <c r="V2164">
        <v>2400</v>
      </c>
      <c r="W2164">
        <v>1508.3</v>
      </c>
      <c r="X2164" t="s">
        <v>76</v>
      </c>
      <c r="Y2164" t="s">
        <v>68</v>
      </c>
      <c r="Z2164" t="s">
        <v>159</v>
      </c>
      <c r="AA2164" t="s">
        <v>169</v>
      </c>
      <c r="AB2164">
        <v>3.7</v>
      </c>
      <c r="AC2164">
        <v>60</v>
      </c>
      <c r="AD2164">
        <v>207.71</v>
      </c>
      <c r="AE2164">
        <f t="shared" si="66"/>
        <v>1240.5899999999999</v>
      </c>
      <c r="AF2164" t="str">
        <f t="shared" si="67"/>
        <v>2025-10</v>
      </c>
      <c r="AG2164">
        <f>SUBTOTAL(103,A2164)</f>
        <v>1</v>
      </c>
    </row>
    <row r="2165" spans="1:33" x14ac:dyDescent="0.3">
      <c r="A2165" t="s">
        <v>4786</v>
      </c>
      <c r="B2165" s="13">
        <v>45931</v>
      </c>
      <c r="C2165">
        <v>2025</v>
      </c>
      <c r="D2165">
        <v>10</v>
      </c>
      <c r="E2165" t="s">
        <v>4779</v>
      </c>
      <c r="F2165" t="s">
        <v>4780</v>
      </c>
      <c r="G2165" t="s">
        <v>1731</v>
      </c>
      <c r="H2165" t="s">
        <v>1732</v>
      </c>
      <c r="I2165" t="s">
        <v>86</v>
      </c>
      <c r="J2165">
        <v>25</v>
      </c>
      <c r="K2165" t="s">
        <v>80</v>
      </c>
      <c r="L2165" t="s">
        <v>94</v>
      </c>
      <c r="M2165" t="s">
        <v>57</v>
      </c>
      <c r="N2165" t="s">
        <v>2592</v>
      </c>
      <c r="O2165" t="s">
        <v>115</v>
      </c>
      <c r="P2165" t="s">
        <v>48</v>
      </c>
      <c r="Q2165" t="s">
        <v>137</v>
      </c>
      <c r="R2165">
        <v>1</v>
      </c>
      <c r="S2165">
        <v>12999</v>
      </c>
      <c r="T2165">
        <v>0.1</v>
      </c>
      <c r="U2165">
        <v>11699.1</v>
      </c>
      <c r="V2165">
        <v>9000</v>
      </c>
      <c r="W2165">
        <v>2699.1</v>
      </c>
      <c r="X2165" t="s">
        <v>74</v>
      </c>
      <c r="Y2165" t="s">
        <v>68</v>
      </c>
      <c r="Z2165" t="s">
        <v>158</v>
      </c>
      <c r="AA2165" t="s">
        <v>171</v>
      </c>
      <c r="AB2165">
        <v>4.9000000000000004</v>
      </c>
      <c r="AC2165">
        <v>100</v>
      </c>
      <c r="AD2165">
        <v>660.03</v>
      </c>
      <c r="AE2165">
        <f t="shared" si="66"/>
        <v>1939.07</v>
      </c>
      <c r="AF2165" t="str">
        <f t="shared" si="67"/>
        <v>2025-10</v>
      </c>
      <c r="AG2165">
        <f>SUBTOTAL(103,A2165)</f>
        <v>1</v>
      </c>
    </row>
    <row r="2166" spans="1:33" x14ac:dyDescent="0.3">
      <c r="A2166" t="s">
        <v>4787</v>
      </c>
      <c r="B2166" s="13">
        <v>45932</v>
      </c>
      <c r="C2166">
        <v>2025</v>
      </c>
      <c r="D2166">
        <v>10</v>
      </c>
      <c r="E2166" t="s">
        <v>4779</v>
      </c>
      <c r="F2166" t="s">
        <v>4780</v>
      </c>
      <c r="G2166" t="s">
        <v>553</v>
      </c>
      <c r="H2166" t="s">
        <v>554</v>
      </c>
      <c r="I2166" t="s">
        <v>85</v>
      </c>
      <c r="J2166">
        <v>29</v>
      </c>
      <c r="K2166" t="s">
        <v>81</v>
      </c>
      <c r="L2166" t="s">
        <v>100</v>
      </c>
      <c r="M2166" t="s">
        <v>56</v>
      </c>
      <c r="N2166" t="s">
        <v>2587</v>
      </c>
      <c r="O2166" t="s">
        <v>116</v>
      </c>
      <c r="P2166" t="s">
        <v>48</v>
      </c>
      <c r="Q2166" t="s">
        <v>138</v>
      </c>
      <c r="R2166">
        <v>1</v>
      </c>
      <c r="S2166">
        <v>14999</v>
      </c>
      <c r="T2166">
        <v>0.1</v>
      </c>
      <c r="U2166">
        <v>13499.1</v>
      </c>
      <c r="V2166">
        <v>11200</v>
      </c>
      <c r="W2166">
        <v>2299.1</v>
      </c>
      <c r="X2166" t="s">
        <v>73</v>
      </c>
      <c r="Y2166" t="s">
        <v>68</v>
      </c>
      <c r="Z2166" t="s">
        <v>158</v>
      </c>
      <c r="AA2166" t="s">
        <v>166</v>
      </c>
      <c r="AB2166">
        <v>3.9</v>
      </c>
      <c r="AC2166">
        <v>120</v>
      </c>
      <c r="AD2166">
        <v>440.94</v>
      </c>
      <c r="AE2166">
        <f t="shared" si="66"/>
        <v>1738.1599999999999</v>
      </c>
      <c r="AF2166" t="str">
        <f t="shared" si="67"/>
        <v>2025-10</v>
      </c>
      <c r="AG2166">
        <f>SUBTOTAL(103,A2166)</f>
        <v>1</v>
      </c>
    </row>
    <row r="2167" spans="1:33" x14ac:dyDescent="0.3">
      <c r="A2167" t="s">
        <v>4788</v>
      </c>
      <c r="B2167" s="13">
        <v>45932</v>
      </c>
      <c r="C2167">
        <v>2025</v>
      </c>
      <c r="D2167">
        <v>10</v>
      </c>
      <c r="E2167" t="s">
        <v>4779</v>
      </c>
      <c r="F2167" t="s">
        <v>4780</v>
      </c>
      <c r="G2167" t="s">
        <v>247</v>
      </c>
      <c r="H2167" t="s">
        <v>248</v>
      </c>
      <c r="I2167" t="s">
        <v>85</v>
      </c>
      <c r="J2167">
        <v>58</v>
      </c>
      <c r="K2167" t="s">
        <v>83</v>
      </c>
      <c r="L2167" t="s">
        <v>95</v>
      </c>
      <c r="M2167" t="s">
        <v>56</v>
      </c>
      <c r="N2167" t="s">
        <v>2587</v>
      </c>
      <c r="O2167" t="s">
        <v>116</v>
      </c>
      <c r="P2167" t="s">
        <v>48</v>
      </c>
      <c r="Q2167" t="s">
        <v>138</v>
      </c>
      <c r="R2167">
        <v>1</v>
      </c>
      <c r="S2167">
        <v>14999</v>
      </c>
      <c r="T2167">
        <v>0.05</v>
      </c>
      <c r="U2167">
        <v>14249.05</v>
      </c>
      <c r="V2167">
        <v>11200</v>
      </c>
      <c r="W2167">
        <v>3049.05</v>
      </c>
      <c r="X2167" t="s">
        <v>73</v>
      </c>
      <c r="Y2167" t="s">
        <v>68</v>
      </c>
      <c r="Z2167" t="s">
        <v>159</v>
      </c>
      <c r="AA2167" t="s">
        <v>170</v>
      </c>
      <c r="AB2167">
        <v>4.2</v>
      </c>
      <c r="AC2167">
        <v>60</v>
      </c>
      <c r="AD2167">
        <v>774.3</v>
      </c>
      <c r="AE2167">
        <f t="shared" si="66"/>
        <v>2214.75</v>
      </c>
      <c r="AF2167" t="str">
        <f t="shared" si="67"/>
        <v>2025-10</v>
      </c>
      <c r="AG2167">
        <f>SUBTOTAL(103,A2167)</f>
        <v>1</v>
      </c>
    </row>
    <row r="2168" spans="1:33" x14ac:dyDescent="0.3">
      <c r="A2168" t="s">
        <v>4789</v>
      </c>
      <c r="B2168" s="13">
        <v>45932</v>
      </c>
      <c r="C2168">
        <v>2025</v>
      </c>
      <c r="D2168">
        <v>10</v>
      </c>
      <c r="E2168" t="s">
        <v>4779</v>
      </c>
      <c r="F2168" t="s">
        <v>4780</v>
      </c>
      <c r="G2168" t="s">
        <v>977</v>
      </c>
      <c r="H2168" t="s">
        <v>978</v>
      </c>
      <c r="I2168" t="s">
        <v>85</v>
      </c>
      <c r="J2168">
        <v>23</v>
      </c>
      <c r="K2168" t="s">
        <v>80</v>
      </c>
      <c r="L2168" t="s">
        <v>2679</v>
      </c>
      <c r="M2168" t="s">
        <v>60</v>
      </c>
      <c r="N2168" t="s">
        <v>2665</v>
      </c>
      <c r="O2168" t="s">
        <v>128</v>
      </c>
      <c r="P2168" t="s">
        <v>53</v>
      </c>
      <c r="Q2168" t="s">
        <v>143</v>
      </c>
      <c r="R2168">
        <v>2</v>
      </c>
      <c r="S2168">
        <v>1499</v>
      </c>
      <c r="T2168">
        <v>0</v>
      </c>
      <c r="U2168">
        <v>2998</v>
      </c>
      <c r="V2168">
        <v>1600</v>
      </c>
      <c r="W2168">
        <v>1398</v>
      </c>
      <c r="X2168" t="s">
        <v>75</v>
      </c>
      <c r="Y2168" t="s">
        <v>69</v>
      </c>
      <c r="Z2168" t="s">
        <v>160</v>
      </c>
      <c r="AA2168" t="s">
        <v>171</v>
      </c>
      <c r="AB2168">
        <v>4.0999999999999996</v>
      </c>
      <c r="AC2168">
        <v>80</v>
      </c>
      <c r="AD2168">
        <v>343</v>
      </c>
      <c r="AE2168">
        <f t="shared" si="66"/>
        <v>975</v>
      </c>
      <c r="AF2168" t="str">
        <f t="shared" si="67"/>
        <v>2025-10</v>
      </c>
      <c r="AG2168">
        <f>SUBTOTAL(103,A2168)</f>
        <v>1</v>
      </c>
    </row>
    <row r="2169" spans="1:33" x14ac:dyDescent="0.3">
      <c r="A2169" t="s">
        <v>4790</v>
      </c>
      <c r="B2169" s="13">
        <v>45932</v>
      </c>
      <c r="C2169">
        <v>2025</v>
      </c>
      <c r="D2169">
        <v>10</v>
      </c>
      <c r="E2169" t="s">
        <v>4779</v>
      </c>
      <c r="F2169" t="s">
        <v>4780</v>
      </c>
      <c r="G2169" t="s">
        <v>1545</v>
      </c>
      <c r="H2169" t="s">
        <v>1546</v>
      </c>
      <c r="I2169" t="s">
        <v>85</v>
      </c>
      <c r="J2169">
        <v>39</v>
      </c>
      <c r="K2169" t="s">
        <v>82</v>
      </c>
      <c r="L2169" t="s">
        <v>2612</v>
      </c>
      <c r="M2169" t="s">
        <v>64</v>
      </c>
      <c r="N2169" t="s">
        <v>2592</v>
      </c>
      <c r="O2169" t="s">
        <v>115</v>
      </c>
      <c r="P2169" t="s">
        <v>48</v>
      </c>
      <c r="Q2169" t="s">
        <v>137</v>
      </c>
      <c r="R2169">
        <v>1</v>
      </c>
      <c r="S2169">
        <v>12999</v>
      </c>
      <c r="T2169">
        <v>0</v>
      </c>
      <c r="U2169">
        <v>12999</v>
      </c>
      <c r="V2169">
        <v>9000</v>
      </c>
      <c r="W2169">
        <v>3999</v>
      </c>
      <c r="X2169" t="s">
        <v>75</v>
      </c>
      <c r="Y2169" t="s">
        <v>68</v>
      </c>
      <c r="Z2169" t="s">
        <v>161</v>
      </c>
      <c r="AA2169" t="s">
        <v>170</v>
      </c>
      <c r="AB2169">
        <v>5</v>
      </c>
      <c r="AC2169">
        <v>60</v>
      </c>
      <c r="AD2169">
        <v>1141.51</v>
      </c>
      <c r="AE2169">
        <f t="shared" si="66"/>
        <v>2797.49</v>
      </c>
      <c r="AF2169" t="str">
        <f t="shared" si="67"/>
        <v>2025-10</v>
      </c>
      <c r="AG2169">
        <f>SUBTOTAL(103,A2169)</f>
        <v>1</v>
      </c>
    </row>
    <row r="2170" spans="1:33" x14ac:dyDescent="0.3">
      <c r="A2170" t="s">
        <v>4791</v>
      </c>
      <c r="B2170" s="13">
        <v>45932</v>
      </c>
      <c r="C2170">
        <v>2025</v>
      </c>
      <c r="D2170">
        <v>10</v>
      </c>
      <c r="E2170" t="s">
        <v>4779</v>
      </c>
      <c r="F2170" t="s">
        <v>4780</v>
      </c>
      <c r="G2170" t="s">
        <v>333</v>
      </c>
      <c r="H2170" t="s">
        <v>334</v>
      </c>
      <c r="I2170" t="s">
        <v>85</v>
      </c>
      <c r="J2170">
        <v>52</v>
      </c>
      <c r="K2170" t="s">
        <v>83</v>
      </c>
      <c r="L2170" t="s">
        <v>94</v>
      </c>
      <c r="M2170" t="s">
        <v>57</v>
      </c>
      <c r="N2170" t="s">
        <v>2580</v>
      </c>
      <c r="O2170" t="s">
        <v>118</v>
      </c>
      <c r="P2170" t="s">
        <v>48</v>
      </c>
      <c r="Q2170" t="s">
        <v>142</v>
      </c>
      <c r="R2170">
        <v>3</v>
      </c>
      <c r="S2170">
        <v>3999</v>
      </c>
      <c r="T2170">
        <v>0.15</v>
      </c>
      <c r="U2170">
        <v>10197.450000000001</v>
      </c>
      <c r="V2170">
        <v>7200</v>
      </c>
      <c r="W2170">
        <v>2997.45</v>
      </c>
      <c r="X2170" t="s">
        <v>75</v>
      </c>
      <c r="Y2170" t="s">
        <v>68</v>
      </c>
      <c r="Z2170" t="s">
        <v>162</v>
      </c>
      <c r="AA2170" t="s">
        <v>166</v>
      </c>
      <c r="AB2170">
        <v>3.2</v>
      </c>
      <c r="AC2170">
        <v>60</v>
      </c>
      <c r="AD2170">
        <v>1124.22</v>
      </c>
      <c r="AE2170">
        <f t="shared" si="66"/>
        <v>1813.2299999999998</v>
      </c>
      <c r="AF2170" t="str">
        <f t="shared" si="67"/>
        <v>2025-10</v>
      </c>
      <c r="AG2170">
        <f>SUBTOTAL(103,A2170)</f>
        <v>1</v>
      </c>
    </row>
    <row r="2171" spans="1:33" x14ac:dyDescent="0.3">
      <c r="A2171" t="s">
        <v>4792</v>
      </c>
      <c r="B2171" s="13">
        <v>45932</v>
      </c>
      <c r="C2171">
        <v>2025</v>
      </c>
      <c r="D2171">
        <v>10</v>
      </c>
      <c r="E2171" t="s">
        <v>4779</v>
      </c>
      <c r="F2171" t="s">
        <v>4780</v>
      </c>
      <c r="G2171" t="s">
        <v>329</v>
      </c>
      <c r="H2171" t="s">
        <v>330</v>
      </c>
      <c r="I2171" t="s">
        <v>86</v>
      </c>
      <c r="J2171">
        <v>18</v>
      </c>
      <c r="K2171" t="s">
        <v>80</v>
      </c>
      <c r="L2171" t="s">
        <v>90</v>
      </c>
      <c r="M2171" t="s">
        <v>55</v>
      </c>
      <c r="N2171" t="s">
        <v>2577</v>
      </c>
      <c r="O2171" t="s">
        <v>129</v>
      </c>
      <c r="P2171" t="s">
        <v>49</v>
      </c>
      <c r="Q2171" t="s">
        <v>149</v>
      </c>
      <c r="R2171">
        <v>5</v>
      </c>
      <c r="S2171">
        <v>1299</v>
      </c>
      <c r="T2171">
        <v>0.05</v>
      </c>
      <c r="U2171">
        <v>6170.25</v>
      </c>
      <c r="V2171">
        <v>3250</v>
      </c>
      <c r="W2171">
        <v>2920.25</v>
      </c>
      <c r="X2171" t="s">
        <v>73</v>
      </c>
      <c r="Y2171" t="s">
        <v>68</v>
      </c>
      <c r="Z2171" t="s">
        <v>161</v>
      </c>
      <c r="AA2171" t="s">
        <v>169</v>
      </c>
      <c r="AB2171">
        <v>4.3</v>
      </c>
      <c r="AC2171">
        <v>80</v>
      </c>
      <c r="AD2171">
        <v>607.1</v>
      </c>
      <c r="AE2171">
        <f t="shared" si="66"/>
        <v>2233.15</v>
      </c>
      <c r="AF2171" t="str">
        <f t="shared" si="67"/>
        <v>2025-10</v>
      </c>
      <c r="AG2171">
        <f>SUBTOTAL(103,A2171)</f>
        <v>1</v>
      </c>
    </row>
    <row r="2172" spans="1:33" x14ac:dyDescent="0.3">
      <c r="A2172" t="s">
        <v>4793</v>
      </c>
      <c r="B2172" s="13">
        <v>45932</v>
      </c>
      <c r="C2172">
        <v>2025</v>
      </c>
      <c r="D2172">
        <v>10</v>
      </c>
      <c r="E2172" t="s">
        <v>4779</v>
      </c>
      <c r="F2172" t="s">
        <v>4780</v>
      </c>
      <c r="G2172" t="s">
        <v>355</v>
      </c>
      <c r="H2172" t="s">
        <v>356</v>
      </c>
      <c r="I2172" t="s">
        <v>86</v>
      </c>
      <c r="J2172">
        <v>26</v>
      </c>
      <c r="K2172" t="s">
        <v>81</v>
      </c>
      <c r="L2172" t="s">
        <v>90</v>
      </c>
      <c r="M2172" t="s">
        <v>55</v>
      </c>
      <c r="N2172" t="s">
        <v>2592</v>
      </c>
      <c r="O2172" t="s">
        <v>115</v>
      </c>
      <c r="P2172" t="s">
        <v>48</v>
      </c>
      <c r="Q2172" t="s">
        <v>137</v>
      </c>
      <c r="R2172">
        <v>5</v>
      </c>
      <c r="S2172">
        <v>12999</v>
      </c>
      <c r="T2172">
        <v>0.1</v>
      </c>
      <c r="U2172">
        <v>58495.5</v>
      </c>
      <c r="V2172">
        <v>45000</v>
      </c>
      <c r="W2172">
        <v>13495.5</v>
      </c>
      <c r="X2172" t="s">
        <v>75</v>
      </c>
      <c r="Y2172" t="s">
        <v>70</v>
      </c>
      <c r="Z2172" t="s">
        <v>161</v>
      </c>
      <c r="AA2172" t="s">
        <v>167</v>
      </c>
      <c r="AB2172">
        <v>4.8</v>
      </c>
      <c r="AC2172">
        <v>120</v>
      </c>
      <c r="AD2172">
        <v>1611.43</v>
      </c>
      <c r="AE2172">
        <f t="shared" si="66"/>
        <v>11764.07</v>
      </c>
      <c r="AF2172" t="str">
        <f t="shared" si="67"/>
        <v>2025-10</v>
      </c>
      <c r="AG2172">
        <f>SUBTOTAL(103,A2172)</f>
        <v>1</v>
      </c>
    </row>
    <row r="2173" spans="1:33" x14ac:dyDescent="0.3">
      <c r="A2173" t="s">
        <v>4794</v>
      </c>
      <c r="B2173" s="13">
        <v>45932</v>
      </c>
      <c r="C2173">
        <v>2025</v>
      </c>
      <c r="D2173">
        <v>10</v>
      </c>
      <c r="E2173" t="s">
        <v>4779</v>
      </c>
      <c r="F2173" t="s">
        <v>4780</v>
      </c>
      <c r="G2173" t="s">
        <v>1319</v>
      </c>
      <c r="H2173" t="s">
        <v>1320</v>
      </c>
      <c r="I2173" t="s">
        <v>85</v>
      </c>
      <c r="J2173">
        <v>42</v>
      </c>
      <c r="K2173" t="s">
        <v>82</v>
      </c>
      <c r="L2173" t="s">
        <v>2623</v>
      </c>
      <c r="M2173" t="s">
        <v>61</v>
      </c>
      <c r="N2173" t="s">
        <v>2653</v>
      </c>
      <c r="O2173" t="s">
        <v>132</v>
      </c>
      <c r="P2173" t="s">
        <v>52</v>
      </c>
      <c r="Q2173" t="s">
        <v>150</v>
      </c>
      <c r="R2173">
        <v>4</v>
      </c>
      <c r="S2173">
        <v>899</v>
      </c>
      <c r="T2173">
        <v>0</v>
      </c>
      <c r="U2173">
        <v>3596</v>
      </c>
      <c r="V2173">
        <v>1680</v>
      </c>
      <c r="W2173">
        <v>1916</v>
      </c>
      <c r="X2173" t="s">
        <v>73</v>
      </c>
      <c r="Y2173" t="s">
        <v>70</v>
      </c>
      <c r="Z2173" t="s">
        <v>160</v>
      </c>
      <c r="AA2173" t="s">
        <v>171</v>
      </c>
      <c r="AB2173">
        <v>4.0999999999999996</v>
      </c>
      <c r="AC2173">
        <v>60</v>
      </c>
      <c r="AD2173">
        <v>365.34</v>
      </c>
      <c r="AE2173">
        <f t="shared" si="66"/>
        <v>1490.66</v>
      </c>
      <c r="AF2173" t="str">
        <f t="shared" si="67"/>
        <v>2025-10</v>
      </c>
      <c r="AG2173">
        <f>SUBTOTAL(103,A2173)</f>
        <v>1</v>
      </c>
    </row>
    <row r="2174" spans="1:33" x14ac:dyDescent="0.3">
      <c r="A2174" t="s">
        <v>4795</v>
      </c>
      <c r="B2174" s="13">
        <v>45932</v>
      </c>
      <c r="C2174">
        <v>2025</v>
      </c>
      <c r="D2174">
        <v>10</v>
      </c>
      <c r="E2174" t="s">
        <v>4779</v>
      </c>
      <c r="F2174" t="s">
        <v>4780</v>
      </c>
      <c r="G2174" t="s">
        <v>1091</v>
      </c>
      <c r="H2174" t="s">
        <v>1092</v>
      </c>
      <c r="I2174" t="s">
        <v>86</v>
      </c>
      <c r="J2174">
        <v>48</v>
      </c>
      <c r="K2174" t="s">
        <v>83</v>
      </c>
      <c r="L2174" t="s">
        <v>2599</v>
      </c>
      <c r="M2174" t="s">
        <v>62</v>
      </c>
      <c r="N2174" t="s">
        <v>2582</v>
      </c>
      <c r="O2174" t="s">
        <v>119</v>
      </c>
      <c r="P2174" t="s">
        <v>49</v>
      </c>
      <c r="Q2174" t="s">
        <v>140</v>
      </c>
      <c r="R2174">
        <v>2</v>
      </c>
      <c r="S2174">
        <v>3499</v>
      </c>
      <c r="T2174">
        <v>0.1</v>
      </c>
      <c r="U2174">
        <v>6298.2</v>
      </c>
      <c r="V2174">
        <v>4200</v>
      </c>
      <c r="W2174">
        <v>2098.1999999999998</v>
      </c>
      <c r="X2174" t="s">
        <v>75</v>
      </c>
      <c r="Y2174" t="s">
        <v>70</v>
      </c>
      <c r="Z2174" t="s">
        <v>161</v>
      </c>
      <c r="AA2174" t="s">
        <v>169</v>
      </c>
      <c r="AB2174">
        <v>5</v>
      </c>
      <c r="AC2174">
        <v>60</v>
      </c>
      <c r="AD2174">
        <v>177.56</v>
      </c>
      <c r="AE2174">
        <f t="shared" si="66"/>
        <v>1860.6399999999999</v>
      </c>
      <c r="AF2174" t="str">
        <f t="shared" si="67"/>
        <v>2025-10</v>
      </c>
      <c r="AG2174">
        <f>SUBTOTAL(103,A2174)</f>
        <v>1</v>
      </c>
    </row>
    <row r="2175" spans="1:33" x14ac:dyDescent="0.3">
      <c r="A2175" t="s">
        <v>4796</v>
      </c>
      <c r="B2175" s="13">
        <v>45932</v>
      </c>
      <c r="C2175">
        <v>2025</v>
      </c>
      <c r="D2175">
        <v>10</v>
      </c>
      <c r="E2175" t="s">
        <v>4779</v>
      </c>
      <c r="F2175" t="s">
        <v>4780</v>
      </c>
      <c r="G2175" t="s">
        <v>1933</v>
      </c>
      <c r="H2175" t="s">
        <v>1934</v>
      </c>
      <c r="I2175" t="s">
        <v>86</v>
      </c>
      <c r="J2175">
        <v>29</v>
      </c>
      <c r="K2175" t="s">
        <v>81</v>
      </c>
      <c r="L2175" t="s">
        <v>59</v>
      </c>
      <c r="M2175" t="s">
        <v>59</v>
      </c>
      <c r="N2175" t="s">
        <v>2647</v>
      </c>
      <c r="O2175" t="s">
        <v>133</v>
      </c>
      <c r="P2175" t="s">
        <v>50</v>
      </c>
      <c r="Q2175" t="s">
        <v>145</v>
      </c>
      <c r="R2175">
        <v>2</v>
      </c>
      <c r="S2175">
        <v>799</v>
      </c>
      <c r="T2175">
        <v>0.05</v>
      </c>
      <c r="U2175">
        <v>1518.1</v>
      </c>
      <c r="V2175">
        <v>780</v>
      </c>
      <c r="W2175">
        <v>738.1</v>
      </c>
      <c r="X2175" t="s">
        <v>73</v>
      </c>
      <c r="Y2175" t="s">
        <v>68</v>
      </c>
      <c r="Z2175" t="s">
        <v>163</v>
      </c>
      <c r="AA2175" t="s">
        <v>166</v>
      </c>
      <c r="AB2175">
        <v>3.6</v>
      </c>
      <c r="AC2175">
        <v>120</v>
      </c>
      <c r="AD2175">
        <v>59.02</v>
      </c>
      <c r="AE2175">
        <f t="shared" si="66"/>
        <v>559.08000000000004</v>
      </c>
      <c r="AF2175" t="str">
        <f t="shared" si="67"/>
        <v>2025-10</v>
      </c>
      <c r="AG2175">
        <f>SUBTOTAL(103,A2175)</f>
        <v>1</v>
      </c>
    </row>
    <row r="2176" spans="1:33" x14ac:dyDescent="0.3">
      <c r="A2176" t="s">
        <v>4797</v>
      </c>
      <c r="B2176" s="13">
        <v>45933</v>
      </c>
      <c r="C2176">
        <v>2025</v>
      </c>
      <c r="D2176">
        <v>10</v>
      </c>
      <c r="E2176" t="s">
        <v>4779</v>
      </c>
      <c r="F2176" t="s">
        <v>4780</v>
      </c>
      <c r="G2176" t="s">
        <v>185</v>
      </c>
      <c r="H2176" t="s">
        <v>186</v>
      </c>
      <c r="I2176" t="s">
        <v>86</v>
      </c>
      <c r="J2176">
        <v>19</v>
      </c>
      <c r="K2176" t="s">
        <v>80</v>
      </c>
      <c r="L2176" t="s">
        <v>96</v>
      </c>
      <c r="M2176" t="s">
        <v>55</v>
      </c>
      <c r="N2176" t="s">
        <v>2582</v>
      </c>
      <c r="O2176" t="s">
        <v>119</v>
      </c>
      <c r="P2176" t="s">
        <v>49</v>
      </c>
      <c r="Q2176" t="s">
        <v>140</v>
      </c>
      <c r="R2176">
        <v>3</v>
      </c>
      <c r="S2176">
        <v>3499</v>
      </c>
      <c r="T2176">
        <v>0</v>
      </c>
      <c r="U2176">
        <v>10497</v>
      </c>
      <c r="V2176">
        <v>6300</v>
      </c>
      <c r="W2176">
        <v>4197</v>
      </c>
      <c r="X2176" t="s">
        <v>73</v>
      </c>
      <c r="Y2176" t="s">
        <v>68</v>
      </c>
      <c r="Z2176" t="s">
        <v>158</v>
      </c>
      <c r="AA2176" t="s">
        <v>169</v>
      </c>
      <c r="AB2176">
        <v>4.5</v>
      </c>
      <c r="AC2176">
        <v>60</v>
      </c>
      <c r="AD2176">
        <v>779.79</v>
      </c>
      <c r="AE2176">
        <f t="shared" si="66"/>
        <v>3357.21</v>
      </c>
      <c r="AF2176" t="str">
        <f t="shared" si="67"/>
        <v>2025-10</v>
      </c>
      <c r="AG2176">
        <f>SUBTOTAL(103,A2176)</f>
        <v>1</v>
      </c>
    </row>
    <row r="2177" spans="1:33" x14ac:dyDescent="0.3">
      <c r="A2177" t="s">
        <v>4798</v>
      </c>
      <c r="B2177" s="13">
        <v>45933</v>
      </c>
      <c r="C2177">
        <v>2025</v>
      </c>
      <c r="D2177">
        <v>10</v>
      </c>
      <c r="E2177" t="s">
        <v>4779</v>
      </c>
      <c r="F2177" t="s">
        <v>4780</v>
      </c>
      <c r="G2177" t="s">
        <v>1905</v>
      </c>
      <c r="H2177" t="s">
        <v>1906</v>
      </c>
      <c r="I2177" t="s">
        <v>86</v>
      </c>
      <c r="J2177">
        <v>33</v>
      </c>
      <c r="K2177" t="s">
        <v>81</v>
      </c>
      <c r="L2177" t="s">
        <v>59</v>
      </c>
      <c r="M2177" t="s">
        <v>59</v>
      </c>
      <c r="N2177" t="s">
        <v>2582</v>
      </c>
      <c r="O2177" t="s">
        <v>119</v>
      </c>
      <c r="P2177" t="s">
        <v>49</v>
      </c>
      <c r="Q2177" t="s">
        <v>140</v>
      </c>
      <c r="R2177">
        <v>2</v>
      </c>
      <c r="S2177">
        <v>3499</v>
      </c>
      <c r="T2177">
        <v>0.05</v>
      </c>
      <c r="U2177">
        <v>6648.1</v>
      </c>
      <c r="V2177">
        <v>4200</v>
      </c>
      <c r="W2177">
        <v>2448.1</v>
      </c>
      <c r="X2177" t="s">
        <v>73</v>
      </c>
      <c r="Y2177" t="s">
        <v>68</v>
      </c>
      <c r="Z2177" t="s">
        <v>159</v>
      </c>
      <c r="AA2177" t="s">
        <v>166</v>
      </c>
      <c r="AB2177">
        <v>4</v>
      </c>
      <c r="AC2177">
        <v>50</v>
      </c>
      <c r="AD2177">
        <v>759.98</v>
      </c>
      <c r="AE2177">
        <f t="shared" si="66"/>
        <v>1638.12</v>
      </c>
      <c r="AF2177" t="str">
        <f t="shared" si="67"/>
        <v>2025-10</v>
      </c>
      <c r="AG2177">
        <f>SUBTOTAL(103,A2177)</f>
        <v>1</v>
      </c>
    </row>
    <row r="2178" spans="1:33" x14ac:dyDescent="0.3">
      <c r="A2178" t="s">
        <v>4799</v>
      </c>
      <c r="B2178" s="13">
        <v>45933</v>
      </c>
      <c r="C2178">
        <v>2025</v>
      </c>
      <c r="D2178">
        <v>10</v>
      </c>
      <c r="E2178" t="s">
        <v>4779</v>
      </c>
      <c r="F2178" t="s">
        <v>4780</v>
      </c>
      <c r="G2178" t="s">
        <v>421</v>
      </c>
      <c r="H2178" t="s">
        <v>422</v>
      </c>
      <c r="I2178" t="s">
        <v>86</v>
      </c>
      <c r="J2178">
        <v>47</v>
      </c>
      <c r="K2178" t="s">
        <v>83</v>
      </c>
      <c r="L2178" t="s">
        <v>2589</v>
      </c>
      <c r="M2178" t="s">
        <v>61</v>
      </c>
      <c r="N2178" t="s">
        <v>2592</v>
      </c>
      <c r="O2178" t="s">
        <v>115</v>
      </c>
      <c r="P2178" t="s">
        <v>48</v>
      </c>
      <c r="Q2178" t="s">
        <v>137</v>
      </c>
      <c r="R2178">
        <v>2</v>
      </c>
      <c r="S2178">
        <v>12999</v>
      </c>
      <c r="T2178">
        <v>0.15</v>
      </c>
      <c r="U2178">
        <v>22098.3</v>
      </c>
      <c r="V2178">
        <v>18000</v>
      </c>
      <c r="W2178">
        <v>4098.3</v>
      </c>
      <c r="X2178" t="s">
        <v>73</v>
      </c>
      <c r="Y2178" t="s">
        <v>69</v>
      </c>
      <c r="Z2178" t="s">
        <v>159</v>
      </c>
      <c r="AA2178" t="s">
        <v>167</v>
      </c>
      <c r="AB2178">
        <v>4.9000000000000004</v>
      </c>
      <c r="AC2178">
        <v>50</v>
      </c>
      <c r="AD2178">
        <v>1863.6</v>
      </c>
      <c r="AE2178">
        <f t="shared" ref="AE2178:AE2241" si="68">W2178-AC2178-AD2178</f>
        <v>2184.7000000000003</v>
      </c>
      <c r="AF2178" t="str">
        <f t="shared" ref="AF2178:AF2241" si="69">C2178&amp;"-"&amp;TEXT(D2178,"00")</f>
        <v>2025-10</v>
      </c>
      <c r="AG2178">
        <f>SUBTOTAL(103,A2178)</f>
        <v>1</v>
      </c>
    </row>
    <row r="2179" spans="1:33" x14ac:dyDescent="0.3">
      <c r="A2179" t="s">
        <v>4800</v>
      </c>
      <c r="B2179" s="13">
        <v>45933</v>
      </c>
      <c r="C2179">
        <v>2025</v>
      </c>
      <c r="D2179">
        <v>10</v>
      </c>
      <c r="E2179" t="s">
        <v>4779</v>
      </c>
      <c r="F2179" t="s">
        <v>4780</v>
      </c>
      <c r="G2179" t="s">
        <v>245</v>
      </c>
      <c r="H2179" t="s">
        <v>246</v>
      </c>
      <c r="I2179" t="s">
        <v>85</v>
      </c>
      <c r="J2179">
        <v>53</v>
      </c>
      <c r="K2179" t="s">
        <v>83</v>
      </c>
      <c r="L2179" t="s">
        <v>90</v>
      </c>
      <c r="M2179" t="s">
        <v>55</v>
      </c>
      <c r="N2179" t="s">
        <v>2601</v>
      </c>
      <c r="O2179" t="s">
        <v>117</v>
      </c>
      <c r="P2179" t="s">
        <v>49</v>
      </c>
      <c r="Q2179" t="s">
        <v>139</v>
      </c>
      <c r="R2179">
        <v>3</v>
      </c>
      <c r="S2179">
        <v>6999</v>
      </c>
      <c r="T2179">
        <v>0.15</v>
      </c>
      <c r="U2179">
        <v>17847.45</v>
      </c>
      <c r="V2179">
        <v>12900</v>
      </c>
      <c r="W2179">
        <v>4947.45</v>
      </c>
      <c r="X2179" t="s">
        <v>74</v>
      </c>
      <c r="Y2179" t="s">
        <v>68</v>
      </c>
      <c r="Z2179" t="s">
        <v>161</v>
      </c>
      <c r="AA2179" t="s">
        <v>170</v>
      </c>
      <c r="AB2179">
        <v>3.9</v>
      </c>
      <c r="AC2179">
        <v>80</v>
      </c>
      <c r="AD2179">
        <v>695.13</v>
      </c>
      <c r="AE2179">
        <f t="shared" si="68"/>
        <v>4172.32</v>
      </c>
      <c r="AF2179" t="str">
        <f t="shared" si="69"/>
        <v>2025-10</v>
      </c>
      <c r="AG2179">
        <f>SUBTOTAL(103,A2179)</f>
        <v>1</v>
      </c>
    </row>
    <row r="2180" spans="1:33" x14ac:dyDescent="0.3">
      <c r="A2180" t="s">
        <v>4801</v>
      </c>
      <c r="B2180" s="13">
        <v>45933</v>
      </c>
      <c r="C2180">
        <v>2025</v>
      </c>
      <c r="D2180">
        <v>10</v>
      </c>
      <c r="E2180" t="s">
        <v>4779</v>
      </c>
      <c r="F2180" t="s">
        <v>4780</v>
      </c>
      <c r="G2180" t="s">
        <v>997</v>
      </c>
      <c r="H2180" t="s">
        <v>998</v>
      </c>
      <c r="I2180" t="s">
        <v>86</v>
      </c>
      <c r="J2180">
        <v>22</v>
      </c>
      <c r="K2180" t="s">
        <v>80</v>
      </c>
      <c r="L2180" t="s">
        <v>92</v>
      </c>
      <c r="M2180" t="s">
        <v>59</v>
      </c>
      <c r="N2180" t="s">
        <v>2603</v>
      </c>
      <c r="O2180" t="s">
        <v>122</v>
      </c>
      <c r="P2180" t="s">
        <v>48</v>
      </c>
      <c r="Q2180" t="s">
        <v>141</v>
      </c>
      <c r="R2180">
        <v>4</v>
      </c>
      <c r="S2180">
        <v>2499</v>
      </c>
      <c r="T2180">
        <v>0.05</v>
      </c>
      <c r="U2180">
        <v>9496.2000000000007</v>
      </c>
      <c r="V2180">
        <v>5800</v>
      </c>
      <c r="W2180">
        <v>3696.2</v>
      </c>
      <c r="X2180" t="s">
        <v>73</v>
      </c>
      <c r="Y2180" t="s">
        <v>68</v>
      </c>
      <c r="Z2180" t="s">
        <v>160</v>
      </c>
      <c r="AA2180" t="s">
        <v>167</v>
      </c>
      <c r="AB2180">
        <v>4.4000000000000004</v>
      </c>
      <c r="AC2180">
        <v>80</v>
      </c>
      <c r="AD2180">
        <v>244.85</v>
      </c>
      <c r="AE2180">
        <f t="shared" si="68"/>
        <v>3371.35</v>
      </c>
      <c r="AF2180" t="str">
        <f t="shared" si="69"/>
        <v>2025-10</v>
      </c>
      <c r="AG2180">
        <f>SUBTOTAL(103,A2180)</f>
        <v>1</v>
      </c>
    </row>
    <row r="2181" spans="1:33" x14ac:dyDescent="0.3">
      <c r="A2181" t="s">
        <v>4802</v>
      </c>
      <c r="B2181" s="13">
        <v>45933</v>
      </c>
      <c r="C2181">
        <v>2025</v>
      </c>
      <c r="D2181">
        <v>10</v>
      </c>
      <c r="E2181" t="s">
        <v>4779</v>
      </c>
      <c r="F2181" t="s">
        <v>4780</v>
      </c>
      <c r="G2181" t="s">
        <v>905</v>
      </c>
      <c r="H2181" t="s">
        <v>906</v>
      </c>
      <c r="I2181" t="s">
        <v>85</v>
      </c>
      <c r="J2181">
        <v>40</v>
      </c>
      <c r="K2181" t="s">
        <v>82</v>
      </c>
      <c r="L2181" t="s">
        <v>2616</v>
      </c>
      <c r="M2181" t="s">
        <v>62</v>
      </c>
      <c r="N2181" t="s">
        <v>2603</v>
      </c>
      <c r="O2181" t="s">
        <v>122</v>
      </c>
      <c r="P2181" t="s">
        <v>48</v>
      </c>
      <c r="Q2181" t="s">
        <v>141</v>
      </c>
      <c r="R2181">
        <v>2</v>
      </c>
      <c r="S2181">
        <v>2499</v>
      </c>
      <c r="T2181">
        <v>0.05</v>
      </c>
      <c r="U2181">
        <v>4748.1000000000004</v>
      </c>
      <c r="V2181">
        <v>2900</v>
      </c>
      <c r="W2181">
        <v>1848.1</v>
      </c>
      <c r="X2181" t="s">
        <v>77</v>
      </c>
      <c r="Y2181" t="s">
        <v>68</v>
      </c>
      <c r="Z2181" t="s">
        <v>161</v>
      </c>
      <c r="AA2181" t="s">
        <v>169</v>
      </c>
      <c r="AB2181">
        <v>4</v>
      </c>
      <c r="AC2181">
        <v>80</v>
      </c>
      <c r="AD2181">
        <v>393.76</v>
      </c>
      <c r="AE2181">
        <f t="shared" si="68"/>
        <v>1374.34</v>
      </c>
      <c r="AF2181" t="str">
        <f t="shared" si="69"/>
        <v>2025-10</v>
      </c>
      <c r="AG2181">
        <f>SUBTOTAL(103,A2181)</f>
        <v>1</v>
      </c>
    </row>
    <row r="2182" spans="1:33" x14ac:dyDescent="0.3">
      <c r="A2182" t="s">
        <v>4803</v>
      </c>
      <c r="B2182" s="13">
        <v>45933</v>
      </c>
      <c r="C2182">
        <v>2025</v>
      </c>
      <c r="D2182">
        <v>10</v>
      </c>
      <c r="E2182" t="s">
        <v>4779</v>
      </c>
      <c r="F2182" t="s">
        <v>4780</v>
      </c>
      <c r="G2182" t="s">
        <v>2045</v>
      </c>
      <c r="H2182" t="s">
        <v>2046</v>
      </c>
      <c r="I2182" t="s">
        <v>86</v>
      </c>
      <c r="J2182">
        <v>57</v>
      </c>
      <c r="K2182" t="s">
        <v>83</v>
      </c>
      <c r="L2182" t="s">
        <v>2661</v>
      </c>
      <c r="M2182" t="s">
        <v>58</v>
      </c>
      <c r="N2182" t="s">
        <v>2630</v>
      </c>
      <c r="O2182" t="s">
        <v>123</v>
      </c>
      <c r="P2182" t="s">
        <v>52</v>
      </c>
      <c r="Q2182" t="s">
        <v>146</v>
      </c>
      <c r="R2182">
        <v>3</v>
      </c>
      <c r="S2182">
        <v>2499</v>
      </c>
      <c r="T2182">
        <v>0.05</v>
      </c>
      <c r="U2182">
        <v>7122.15</v>
      </c>
      <c r="V2182">
        <v>4200</v>
      </c>
      <c r="W2182">
        <v>2922.15</v>
      </c>
      <c r="X2182" t="s">
        <v>73</v>
      </c>
      <c r="Y2182" t="s">
        <v>68</v>
      </c>
      <c r="Z2182" t="s">
        <v>159</v>
      </c>
      <c r="AA2182" t="s">
        <v>171</v>
      </c>
      <c r="AB2182">
        <v>5</v>
      </c>
      <c r="AC2182">
        <v>60</v>
      </c>
      <c r="AD2182">
        <v>722.92</v>
      </c>
      <c r="AE2182">
        <f t="shared" si="68"/>
        <v>2139.23</v>
      </c>
      <c r="AF2182" t="str">
        <f t="shared" si="69"/>
        <v>2025-10</v>
      </c>
      <c r="AG2182">
        <f>SUBTOTAL(103,A2182)</f>
        <v>1</v>
      </c>
    </row>
    <row r="2183" spans="1:33" x14ac:dyDescent="0.3">
      <c r="A2183" t="s">
        <v>4804</v>
      </c>
      <c r="B2183" s="13">
        <v>45933</v>
      </c>
      <c r="C2183">
        <v>2025</v>
      </c>
      <c r="D2183">
        <v>10</v>
      </c>
      <c r="E2183" t="s">
        <v>4779</v>
      </c>
      <c r="F2183" t="s">
        <v>4780</v>
      </c>
      <c r="G2183" t="s">
        <v>1789</v>
      </c>
      <c r="H2183" t="s">
        <v>1790</v>
      </c>
      <c r="I2183" t="s">
        <v>86</v>
      </c>
      <c r="J2183">
        <v>54</v>
      </c>
      <c r="K2183" t="s">
        <v>83</v>
      </c>
      <c r="L2183" t="s">
        <v>100</v>
      </c>
      <c r="M2183" t="s">
        <v>56</v>
      </c>
      <c r="N2183" t="s">
        <v>2665</v>
      </c>
      <c r="O2183" t="s">
        <v>128</v>
      </c>
      <c r="P2183" t="s">
        <v>53</v>
      </c>
      <c r="Q2183" t="s">
        <v>143</v>
      </c>
      <c r="R2183">
        <v>2</v>
      </c>
      <c r="S2183">
        <v>1499</v>
      </c>
      <c r="T2183">
        <v>0.15</v>
      </c>
      <c r="U2183">
        <v>2548.3000000000002</v>
      </c>
      <c r="V2183">
        <v>1600</v>
      </c>
      <c r="W2183">
        <v>948.3</v>
      </c>
      <c r="X2183" t="s">
        <v>76</v>
      </c>
      <c r="Y2183" t="s">
        <v>68</v>
      </c>
      <c r="Z2183" t="s">
        <v>159</v>
      </c>
      <c r="AA2183" t="s">
        <v>168</v>
      </c>
      <c r="AB2183">
        <v>4.5</v>
      </c>
      <c r="AC2183">
        <v>80</v>
      </c>
      <c r="AD2183">
        <v>137.59</v>
      </c>
      <c r="AE2183">
        <f t="shared" si="68"/>
        <v>730.70999999999992</v>
      </c>
      <c r="AF2183" t="str">
        <f t="shared" si="69"/>
        <v>2025-10</v>
      </c>
      <c r="AG2183">
        <f>SUBTOTAL(103,A2183)</f>
        <v>1</v>
      </c>
    </row>
    <row r="2184" spans="1:33" x14ac:dyDescent="0.3">
      <c r="A2184" t="s">
        <v>4805</v>
      </c>
      <c r="B2184" s="13">
        <v>45933</v>
      </c>
      <c r="C2184">
        <v>2025</v>
      </c>
      <c r="D2184">
        <v>10</v>
      </c>
      <c r="E2184" t="s">
        <v>4779</v>
      </c>
      <c r="F2184" t="s">
        <v>4780</v>
      </c>
      <c r="G2184" t="s">
        <v>1365</v>
      </c>
      <c r="H2184" t="s">
        <v>1366</v>
      </c>
      <c r="I2184" t="s">
        <v>85</v>
      </c>
      <c r="J2184">
        <v>45</v>
      </c>
      <c r="K2184" t="s">
        <v>82</v>
      </c>
      <c r="L2184" t="s">
        <v>2646</v>
      </c>
      <c r="M2184" t="s">
        <v>63</v>
      </c>
      <c r="N2184" t="s">
        <v>2644</v>
      </c>
      <c r="O2184" t="s">
        <v>126</v>
      </c>
      <c r="P2184" t="s">
        <v>50</v>
      </c>
      <c r="Q2184" t="s">
        <v>145</v>
      </c>
      <c r="R2184">
        <v>1</v>
      </c>
      <c r="S2184">
        <v>1799</v>
      </c>
      <c r="T2184">
        <v>0.25</v>
      </c>
      <c r="U2184">
        <v>1349.25</v>
      </c>
      <c r="V2184">
        <v>950</v>
      </c>
      <c r="W2184">
        <v>399.25</v>
      </c>
      <c r="X2184" t="s">
        <v>75</v>
      </c>
      <c r="Y2184" t="s">
        <v>68</v>
      </c>
      <c r="Z2184" t="s">
        <v>159</v>
      </c>
      <c r="AA2184" t="s">
        <v>169</v>
      </c>
      <c r="AB2184">
        <v>4.8</v>
      </c>
      <c r="AC2184">
        <v>50</v>
      </c>
      <c r="AD2184">
        <v>142.32</v>
      </c>
      <c r="AE2184">
        <f t="shared" si="68"/>
        <v>206.93</v>
      </c>
      <c r="AF2184" t="str">
        <f t="shared" si="69"/>
        <v>2025-10</v>
      </c>
      <c r="AG2184">
        <f>SUBTOTAL(103,A2184)</f>
        <v>1</v>
      </c>
    </row>
    <row r="2185" spans="1:33" x14ac:dyDescent="0.3">
      <c r="A2185" t="s">
        <v>4806</v>
      </c>
      <c r="B2185" s="13">
        <v>45933</v>
      </c>
      <c r="C2185">
        <v>2025</v>
      </c>
      <c r="D2185">
        <v>10</v>
      </c>
      <c r="E2185" t="s">
        <v>4779</v>
      </c>
      <c r="F2185" t="s">
        <v>4780</v>
      </c>
      <c r="G2185" t="s">
        <v>1505</v>
      </c>
      <c r="H2185" t="s">
        <v>1506</v>
      </c>
      <c r="I2185" t="s">
        <v>86</v>
      </c>
      <c r="J2185">
        <v>41</v>
      </c>
      <c r="K2185" t="s">
        <v>82</v>
      </c>
      <c r="L2185" t="s">
        <v>59</v>
      </c>
      <c r="M2185" t="s">
        <v>59</v>
      </c>
      <c r="N2185" t="s">
        <v>2644</v>
      </c>
      <c r="O2185" t="s">
        <v>126</v>
      </c>
      <c r="P2185" t="s">
        <v>50</v>
      </c>
      <c r="Q2185" t="s">
        <v>145</v>
      </c>
      <c r="R2185">
        <v>2</v>
      </c>
      <c r="S2185">
        <v>1799</v>
      </c>
      <c r="T2185">
        <v>0.1</v>
      </c>
      <c r="U2185">
        <v>3238.2</v>
      </c>
      <c r="V2185">
        <v>1900</v>
      </c>
      <c r="W2185">
        <v>1338.2</v>
      </c>
      <c r="X2185" t="s">
        <v>76</v>
      </c>
      <c r="Y2185" t="s">
        <v>68</v>
      </c>
      <c r="Z2185" t="s">
        <v>163</v>
      </c>
      <c r="AA2185" t="s">
        <v>167</v>
      </c>
      <c r="AB2185">
        <v>3.6</v>
      </c>
      <c r="AC2185">
        <v>40</v>
      </c>
      <c r="AD2185">
        <v>368.38</v>
      </c>
      <c r="AE2185">
        <f t="shared" si="68"/>
        <v>929.82</v>
      </c>
      <c r="AF2185" t="str">
        <f t="shared" si="69"/>
        <v>2025-10</v>
      </c>
      <c r="AG2185">
        <f>SUBTOTAL(103,A2185)</f>
        <v>1</v>
      </c>
    </row>
    <row r="2186" spans="1:33" x14ac:dyDescent="0.3">
      <c r="A2186" t="s">
        <v>4807</v>
      </c>
      <c r="B2186" s="13">
        <v>45934</v>
      </c>
      <c r="C2186">
        <v>2025</v>
      </c>
      <c r="D2186">
        <v>10</v>
      </c>
      <c r="E2186" t="s">
        <v>4779</v>
      </c>
      <c r="F2186" t="s">
        <v>4780</v>
      </c>
      <c r="G2186" t="s">
        <v>1321</v>
      </c>
      <c r="H2186" t="s">
        <v>1322</v>
      </c>
      <c r="I2186" t="s">
        <v>86</v>
      </c>
      <c r="J2186">
        <v>19</v>
      </c>
      <c r="K2186" t="s">
        <v>80</v>
      </c>
      <c r="L2186" t="s">
        <v>2589</v>
      </c>
      <c r="M2186" t="s">
        <v>61</v>
      </c>
      <c r="N2186" t="s">
        <v>2657</v>
      </c>
      <c r="O2186" t="s">
        <v>134</v>
      </c>
      <c r="P2186" t="s">
        <v>49</v>
      </c>
      <c r="Q2186" t="s">
        <v>140</v>
      </c>
      <c r="R2186">
        <v>3</v>
      </c>
      <c r="S2186">
        <v>599</v>
      </c>
      <c r="T2186">
        <v>0</v>
      </c>
      <c r="U2186">
        <v>1797</v>
      </c>
      <c r="V2186">
        <v>750</v>
      </c>
      <c r="W2186">
        <v>1047</v>
      </c>
      <c r="X2186" t="s">
        <v>73</v>
      </c>
      <c r="Y2186" t="s">
        <v>68</v>
      </c>
      <c r="Z2186" t="s">
        <v>160</v>
      </c>
      <c r="AA2186" t="s">
        <v>170</v>
      </c>
      <c r="AB2186">
        <v>3.8</v>
      </c>
      <c r="AC2186">
        <v>80</v>
      </c>
      <c r="AD2186">
        <v>142.07</v>
      </c>
      <c r="AE2186">
        <f t="shared" si="68"/>
        <v>824.93000000000006</v>
      </c>
      <c r="AF2186" t="str">
        <f t="shared" si="69"/>
        <v>2025-10</v>
      </c>
      <c r="AG2186">
        <f>SUBTOTAL(103,A2186)</f>
        <v>1</v>
      </c>
    </row>
    <row r="2187" spans="1:33" x14ac:dyDescent="0.3">
      <c r="A2187" t="s">
        <v>4808</v>
      </c>
      <c r="B2187" s="13">
        <v>45934</v>
      </c>
      <c r="C2187">
        <v>2025</v>
      </c>
      <c r="D2187">
        <v>10</v>
      </c>
      <c r="E2187" t="s">
        <v>4779</v>
      </c>
      <c r="F2187" t="s">
        <v>4780</v>
      </c>
      <c r="G2187" t="s">
        <v>351</v>
      </c>
      <c r="H2187" t="s">
        <v>352</v>
      </c>
      <c r="I2187" t="s">
        <v>86</v>
      </c>
      <c r="J2187">
        <v>25</v>
      </c>
      <c r="K2187" t="s">
        <v>80</v>
      </c>
      <c r="L2187" t="s">
        <v>91</v>
      </c>
      <c r="M2187" t="s">
        <v>55</v>
      </c>
      <c r="N2187" t="s">
        <v>2590</v>
      </c>
      <c r="O2187" t="s">
        <v>127</v>
      </c>
      <c r="P2187" t="s">
        <v>51</v>
      </c>
      <c r="Q2187" t="s">
        <v>148</v>
      </c>
      <c r="R2187">
        <v>1</v>
      </c>
      <c r="S2187">
        <v>1599</v>
      </c>
      <c r="T2187">
        <v>0.1</v>
      </c>
      <c r="U2187">
        <v>1439.1</v>
      </c>
      <c r="V2187">
        <v>800</v>
      </c>
      <c r="W2187">
        <v>639.1</v>
      </c>
      <c r="X2187" t="s">
        <v>74</v>
      </c>
      <c r="Y2187" t="s">
        <v>68</v>
      </c>
      <c r="Z2187" t="s">
        <v>163</v>
      </c>
      <c r="AA2187" t="s">
        <v>170</v>
      </c>
      <c r="AB2187">
        <v>4.5999999999999996</v>
      </c>
      <c r="AC2187">
        <v>60</v>
      </c>
      <c r="AD2187">
        <v>128.35</v>
      </c>
      <c r="AE2187">
        <f t="shared" si="68"/>
        <v>450.75</v>
      </c>
      <c r="AF2187" t="str">
        <f t="shared" si="69"/>
        <v>2025-10</v>
      </c>
      <c r="AG2187">
        <f>SUBTOTAL(103,A2187)</f>
        <v>1</v>
      </c>
    </row>
    <row r="2188" spans="1:33" x14ac:dyDescent="0.3">
      <c r="A2188" t="s">
        <v>4809</v>
      </c>
      <c r="B2188" s="13">
        <v>45934</v>
      </c>
      <c r="C2188">
        <v>2025</v>
      </c>
      <c r="D2188">
        <v>10</v>
      </c>
      <c r="E2188" t="s">
        <v>4779</v>
      </c>
      <c r="F2188" t="s">
        <v>4780</v>
      </c>
      <c r="G2188" t="s">
        <v>249</v>
      </c>
      <c r="H2188" t="s">
        <v>250</v>
      </c>
      <c r="I2188" t="s">
        <v>86</v>
      </c>
      <c r="J2188">
        <v>41</v>
      </c>
      <c r="K2188" t="s">
        <v>82</v>
      </c>
      <c r="L2188" t="s">
        <v>2674</v>
      </c>
      <c r="M2188" t="s">
        <v>58</v>
      </c>
      <c r="N2188" t="s">
        <v>2580</v>
      </c>
      <c r="O2188" t="s">
        <v>118</v>
      </c>
      <c r="P2188" t="s">
        <v>48</v>
      </c>
      <c r="Q2188" t="s">
        <v>142</v>
      </c>
      <c r="R2188">
        <v>3</v>
      </c>
      <c r="S2188">
        <v>3999</v>
      </c>
      <c r="T2188">
        <v>0.15</v>
      </c>
      <c r="U2188">
        <v>10197.450000000001</v>
      </c>
      <c r="V2188">
        <v>7200</v>
      </c>
      <c r="W2188">
        <v>2997.45</v>
      </c>
      <c r="X2188" t="s">
        <v>75</v>
      </c>
      <c r="Y2188" t="s">
        <v>68</v>
      </c>
      <c r="Z2188" t="s">
        <v>161</v>
      </c>
      <c r="AA2188" t="s">
        <v>170</v>
      </c>
      <c r="AB2188">
        <v>4.9000000000000004</v>
      </c>
      <c r="AC2188">
        <v>50</v>
      </c>
      <c r="AD2188">
        <v>1140.67</v>
      </c>
      <c r="AE2188">
        <f t="shared" si="68"/>
        <v>1806.7799999999997</v>
      </c>
      <c r="AF2188" t="str">
        <f t="shared" si="69"/>
        <v>2025-10</v>
      </c>
      <c r="AG2188">
        <f>SUBTOTAL(103,A2188)</f>
        <v>1</v>
      </c>
    </row>
    <row r="2189" spans="1:33" x14ac:dyDescent="0.3">
      <c r="A2189" t="s">
        <v>4810</v>
      </c>
      <c r="B2189" s="13">
        <v>45934</v>
      </c>
      <c r="C2189">
        <v>2025</v>
      </c>
      <c r="D2189">
        <v>10</v>
      </c>
      <c r="E2189" t="s">
        <v>4779</v>
      </c>
      <c r="F2189" t="s">
        <v>4780</v>
      </c>
      <c r="G2189" t="s">
        <v>1561</v>
      </c>
      <c r="H2189" t="s">
        <v>1562</v>
      </c>
      <c r="I2189" t="s">
        <v>86</v>
      </c>
      <c r="J2189">
        <v>56</v>
      </c>
      <c r="K2189" t="s">
        <v>83</v>
      </c>
      <c r="L2189" t="s">
        <v>2599</v>
      </c>
      <c r="M2189" t="s">
        <v>62</v>
      </c>
      <c r="N2189" t="s">
        <v>2594</v>
      </c>
      <c r="O2189" t="s">
        <v>131</v>
      </c>
      <c r="P2189" t="s">
        <v>53</v>
      </c>
      <c r="Q2189" t="s">
        <v>143</v>
      </c>
      <c r="R2189">
        <v>3</v>
      </c>
      <c r="S2189">
        <v>999</v>
      </c>
      <c r="T2189">
        <v>0.05</v>
      </c>
      <c r="U2189">
        <v>2847.15</v>
      </c>
      <c r="V2189">
        <v>1560</v>
      </c>
      <c r="W2189">
        <v>1287.1500000000001</v>
      </c>
      <c r="X2189" t="s">
        <v>73</v>
      </c>
      <c r="Y2189" t="s">
        <v>68</v>
      </c>
      <c r="Z2189" t="s">
        <v>162</v>
      </c>
      <c r="AA2189" t="s">
        <v>169</v>
      </c>
      <c r="AB2189">
        <v>5</v>
      </c>
      <c r="AC2189">
        <v>80</v>
      </c>
      <c r="AD2189">
        <v>289.45999999999998</v>
      </c>
      <c r="AE2189">
        <f t="shared" si="68"/>
        <v>917.69</v>
      </c>
      <c r="AF2189" t="str">
        <f t="shared" si="69"/>
        <v>2025-10</v>
      </c>
      <c r="AG2189">
        <f>SUBTOTAL(103,A2189)</f>
        <v>1</v>
      </c>
    </row>
    <row r="2190" spans="1:33" x14ac:dyDescent="0.3">
      <c r="A2190" t="s">
        <v>4811</v>
      </c>
      <c r="B2190" s="13">
        <v>45935</v>
      </c>
      <c r="C2190">
        <v>2025</v>
      </c>
      <c r="D2190">
        <v>10</v>
      </c>
      <c r="E2190" t="s">
        <v>4779</v>
      </c>
      <c r="F2190" t="s">
        <v>4780</v>
      </c>
      <c r="G2190" t="s">
        <v>393</v>
      </c>
      <c r="H2190" t="s">
        <v>394</v>
      </c>
      <c r="I2190" t="s">
        <v>85</v>
      </c>
      <c r="J2190">
        <v>33</v>
      </c>
      <c r="K2190" t="s">
        <v>81</v>
      </c>
      <c r="L2190" t="s">
        <v>99</v>
      </c>
      <c r="M2190" t="s">
        <v>58</v>
      </c>
      <c r="N2190" t="s">
        <v>2647</v>
      </c>
      <c r="O2190" t="s">
        <v>133</v>
      </c>
      <c r="P2190" t="s">
        <v>50</v>
      </c>
      <c r="Q2190" t="s">
        <v>145</v>
      </c>
      <c r="R2190">
        <v>3</v>
      </c>
      <c r="S2190">
        <v>799</v>
      </c>
      <c r="T2190">
        <v>0</v>
      </c>
      <c r="U2190">
        <v>2397</v>
      </c>
      <c r="V2190">
        <v>1170</v>
      </c>
      <c r="W2190">
        <v>1227</v>
      </c>
      <c r="X2190" t="s">
        <v>74</v>
      </c>
      <c r="Y2190" t="s">
        <v>68</v>
      </c>
      <c r="Z2190" t="s">
        <v>159</v>
      </c>
      <c r="AA2190" t="s">
        <v>171</v>
      </c>
      <c r="AB2190">
        <v>3.7</v>
      </c>
      <c r="AC2190">
        <v>100</v>
      </c>
      <c r="AD2190">
        <v>105.22</v>
      </c>
      <c r="AE2190">
        <f t="shared" si="68"/>
        <v>1021.78</v>
      </c>
      <c r="AF2190" t="str">
        <f t="shared" si="69"/>
        <v>2025-10</v>
      </c>
      <c r="AG2190">
        <f>SUBTOTAL(103,A2190)</f>
        <v>1</v>
      </c>
    </row>
    <row r="2191" spans="1:33" x14ac:dyDescent="0.3">
      <c r="A2191" t="s">
        <v>4812</v>
      </c>
      <c r="B2191" s="13">
        <v>45935</v>
      </c>
      <c r="C2191">
        <v>2025</v>
      </c>
      <c r="D2191">
        <v>10</v>
      </c>
      <c r="E2191" t="s">
        <v>4779</v>
      </c>
      <c r="F2191" t="s">
        <v>4780</v>
      </c>
      <c r="G2191" t="s">
        <v>657</v>
      </c>
      <c r="H2191" t="s">
        <v>658</v>
      </c>
      <c r="I2191" t="s">
        <v>86</v>
      </c>
      <c r="J2191">
        <v>33</v>
      </c>
      <c r="K2191" t="s">
        <v>81</v>
      </c>
      <c r="L2191" t="s">
        <v>96</v>
      </c>
      <c r="M2191" t="s">
        <v>55</v>
      </c>
      <c r="N2191" t="s">
        <v>2601</v>
      </c>
      <c r="O2191" t="s">
        <v>117</v>
      </c>
      <c r="P2191" t="s">
        <v>49</v>
      </c>
      <c r="Q2191" t="s">
        <v>139</v>
      </c>
      <c r="R2191">
        <v>2</v>
      </c>
      <c r="S2191">
        <v>6999</v>
      </c>
      <c r="T2191">
        <v>0.1</v>
      </c>
      <c r="U2191">
        <v>12598.2</v>
      </c>
      <c r="V2191">
        <v>8600</v>
      </c>
      <c r="W2191">
        <v>3998.2</v>
      </c>
      <c r="X2191" t="s">
        <v>73</v>
      </c>
      <c r="Y2191" t="s">
        <v>68</v>
      </c>
      <c r="Z2191" t="s">
        <v>158</v>
      </c>
      <c r="AA2191" t="s">
        <v>168</v>
      </c>
      <c r="AB2191">
        <v>4.4000000000000004</v>
      </c>
      <c r="AC2191">
        <v>80</v>
      </c>
      <c r="AD2191">
        <v>1395.18</v>
      </c>
      <c r="AE2191">
        <f t="shared" si="68"/>
        <v>2523.0199999999995</v>
      </c>
      <c r="AF2191" t="str">
        <f t="shared" si="69"/>
        <v>2025-10</v>
      </c>
      <c r="AG2191">
        <f>SUBTOTAL(103,A2191)</f>
        <v>1</v>
      </c>
    </row>
    <row r="2192" spans="1:33" x14ac:dyDescent="0.3">
      <c r="A2192" t="s">
        <v>4813</v>
      </c>
      <c r="B2192" s="13">
        <v>45935</v>
      </c>
      <c r="C2192">
        <v>2025</v>
      </c>
      <c r="D2192">
        <v>10</v>
      </c>
      <c r="E2192" t="s">
        <v>4779</v>
      </c>
      <c r="F2192" t="s">
        <v>4780</v>
      </c>
      <c r="G2192" t="s">
        <v>717</v>
      </c>
      <c r="H2192" t="s">
        <v>718</v>
      </c>
      <c r="I2192" t="s">
        <v>85</v>
      </c>
      <c r="J2192">
        <v>39</v>
      </c>
      <c r="K2192" t="s">
        <v>82</v>
      </c>
      <c r="L2192" t="s">
        <v>2612</v>
      </c>
      <c r="M2192" t="s">
        <v>64</v>
      </c>
      <c r="N2192" t="s">
        <v>2587</v>
      </c>
      <c r="O2192" t="s">
        <v>116</v>
      </c>
      <c r="P2192" t="s">
        <v>48</v>
      </c>
      <c r="Q2192" t="s">
        <v>138</v>
      </c>
      <c r="R2192">
        <v>2</v>
      </c>
      <c r="S2192">
        <v>14999</v>
      </c>
      <c r="T2192">
        <v>0.1</v>
      </c>
      <c r="U2192">
        <v>26998.2</v>
      </c>
      <c r="V2192">
        <v>22400</v>
      </c>
      <c r="W2192">
        <v>4598.2</v>
      </c>
      <c r="X2192" t="s">
        <v>73</v>
      </c>
      <c r="Y2192" t="s">
        <v>68</v>
      </c>
      <c r="Z2192" t="s">
        <v>158</v>
      </c>
      <c r="AA2192" t="s">
        <v>167</v>
      </c>
      <c r="AB2192">
        <v>3.6</v>
      </c>
      <c r="AC2192">
        <v>50</v>
      </c>
      <c r="AD2192">
        <v>2169.94</v>
      </c>
      <c r="AE2192">
        <f t="shared" si="68"/>
        <v>2378.2599999999998</v>
      </c>
      <c r="AF2192" t="str">
        <f t="shared" si="69"/>
        <v>2025-10</v>
      </c>
      <c r="AG2192">
        <f>SUBTOTAL(103,A2192)</f>
        <v>1</v>
      </c>
    </row>
    <row r="2193" spans="1:33" x14ac:dyDescent="0.3">
      <c r="A2193" t="s">
        <v>4814</v>
      </c>
      <c r="B2193" s="13">
        <v>45935</v>
      </c>
      <c r="C2193">
        <v>2025</v>
      </c>
      <c r="D2193">
        <v>10</v>
      </c>
      <c r="E2193" t="s">
        <v>4779</v>
      </c>
      <c r="F2193" t="s">
        <v>4780</v>
      </c>
      <c r="G2193" t="s">
        <v>1163</v>
      </c>
      <c r="H2193" t="s">
        <v>1164</v>
      </c>
      <c r="I2193" t="s">
        <v>87</v>
      </c>
      <c r="J2193">
        <v>53</v>
      </c>
      <c r="K2193" t="s">
        <v>83</v>
      </c>
      <c r="L2193" t="s">
        <v>92</v>
      </c>
      <c r="M2193" t="s">
        <v>59</v>
      </c>
      <c r="N2193" t="s">
        <v>2596</v>
      </c>
      <c r="O2193" t="s">
        <v>124</v>
      </c>
      <c r="P2193" t="s">
        <v>51</v>
      </c>
      <c r="Q2193" t="s">
        <v>147</v>
      </c>
      <c r="R2193">
        <v>2</v>
      </c>
      <c r="S2193">
        <v>2299</v>
      </c>
      <c r="T2193">
        <v>0.25</v>
      </c>
      <c r="U2193">
        <v>3448.5</v>
      </c>
      <c r="V2193">
        <v>2400</v>
      </c>
      <c r="W2193">
        <v>1048.5</v>
      </c>
      <c r="X2193" t="s">
        <v>73</v>
      </c>
      <c r="Y2193" t="s">
        <v>68</v>
      </c>
      <c r="Z2193" t="s">
        <v>158</v>
      </c>
      <c r="AA2193" t="s">
        <v>166</v>
      </c>
      <c r="AB2193">
        <v>2.2999999999999998</v>
      </c>
      <c r="AC2193">
        <v>80</v>
      </c>
      <c r="AD2193">
        <v>289.51</v>
      </c>
      <c r="AE2193">
        <f t="shared" si="68"/>
        <v>678.99</v>
      </c>
      <c r="AF2193" t="str">
        <f t="shared" si="69"/>
        <v>2025-10</v>
      </c>
      <c r="AG2193">
        <f>SUBTOTAL(103,A2193)</f>
        <v>1</v>
      </c>
    </row>
    <row r="2194" spans="1:33" x14ac:dyDescent="0.3">
      <c r="A2194" t="s">
        <v>4815</v>
      </c>
      <c r="B2194" s="13">
        <v>45935</v>
      </c>
      <c r="C2194">
        <v>2025</v>
      </c>
      <c r="D2194">
        <v>10</v>
      </c>
      <c r="E2194" t="s">
        <v>4779</v>
      </c>
      <c r="F2194" t="s">
        <v>4780</v>
      </c>
      <c r="G2194" t="s">
        <v>903</v>
      </c>
      <c r="H2194" t="s">
        <v>904</v>
      </c>
      <c r="I2194" t="s">
        <v>86</v>
      </c>
      <c r="J2194">
        <v>59</v>
      </c>
      <c r="K2194" t="s">
        <v>83</v>
      </c>
      <c r="L2194" t="s">
        <v>93</v>
      </c>
      <c r="M2194" t="s">
        <v>55</v>
      </c>
      <c r="N2194" t="s">
        <v>2580</v>
      </c>
      <c r="O2194" t="s">
        <v>118</v>
      </c>
      <c r="P2194" t="s">
        <v>48</v>
      </c>
      <c r="Q2194" t="s">
        <v>142</v>
      </c>
      <c r="R2194">
        <v>4</v>
      </c>
      <c r="S2194">
        <v>3999</v>
      </c>
      <c r="T2194">
        <v>0.2</v>
      </c>
      <c r="U2194">
        <v>12796.8</v>
      </c>
      <c r="V2194">
        <v>9600</v>
      </c>
      <c r="W2194">
        <v>3196.8</v>
      </c>
      <c r="X2194" t="s">
        <v>74</v>
      </c>
      <c r="Y2194" t="s">
        <v>68</v>
      </c>
      <c r="Z2194" t="s">
        <v>159</v>
      </c>
      <c r="AA2194" t="s">
        <v>167</v>
      </c>
      <c r="AB2194">
        <v>3.9</v>
      </c>
      <c r="AC2194">
        <v>80</v>
      </c>
      <c r="AD2194">
        <v>1192.42</v>
      </c>
      <c r="AE2194">
        <f t="shared" si="68"/>
        <v>1924.38</v>
      </c>
      <c r="AF2194" t="str">
        <f t="shared" si="69"/>
        <v>2025-10</v>
      </c>
      <c r="AG2194">
        <f>SUBTOTAL(103,A2194)</f>
        <v>1</v>
      </c>
    </row>
    <row r="2195" spans="1:33" x14ac:dyDescent="0.3">
      <c r="A2195" t="s">
        <v>4816</v>
      </c>
      <c r="B2195" s="13">
        <v>45935</v>
      </c>
      <c r="C2195">
        <v>2025</v>
      </c>
      <c r="D2195">
        <v>10</v>
      </c>
      <c r="E2195" t="s">
        <v>4779</v>
      </c>
      <c r="F2195" t="s">
        <v>4780</v>
      </c>
      <c r="G2195" t="s">
        <v>627</v>
      </c>
      <c r="H2195" t="s">
        <v>628</v>
      </c>
      <c r="I2195" t="s">
        <v>86</v>
      </c>
      <c r="J2195">
        <v>46</v>
      </c>
      <c r="K2195" t="s">
        <v>83</v>
      </c>
      <c r="L2195" t="s">
        <v>94</v>
      </c>
      <c r="M2195" t="s">
        <v>57</v>
      </c>
      <c r="N2195" t="s">
        <v>2657</v>
      </c>
      <c r="O2195" t="s">
        <v>134</v>
      </c>
      <c r="P2195" t="s">
        <v>49</v>
      </c>
      <c r="Q2195" t="s">
        <v>140</v>
      </c>
      <c r="R2195">
        <v>2</v>
      </c>
      <c r="S2195">
        <v>599</v>
      </c>
      <c r="T2195">
        <v>0.2</v>
      </c>
      <c r="U2195">
        <v>958.4</v>
      </c>
      <c r="V2195">
        <v>500</v>
      </c>
      <c r="W2195">
        <v>458.4</v>
      </c>
      <c r="X2195" t="s">
        <v>77</v>
      </c>
      <c r="Y2195" t="s">
        <v>68</v>
      </c>
      <c r="Z2195" t="s">
        <v>163</v>
      </c>
      <c r="AA2195" t="s">
        <v>166</v>
      </c>
      <c r="AB2195">
        <v>4.5</v>
      </c>
      <c r="AC2195">
        <v>100</v>
      </c>
      <c r="AD2195">
        <v>105.12</v>
      </c>
      <c r="AE2195">
        <f t="shared" si="68"/>
        <v>253.27999999999997</v>
      </c>
      <c r="AF2195" t="str">
        <f t="shared" si="69"/>
        <v>2025-10</v>
      </c>
      <c r="AG2195">
        <f>SUBTOTAL(103,A2195)</f>
        <v>1</v>
      </c>
    </row>
    <row r="2196" spans="1:33" x14ac:dyDescent="0.3">
      <c r="A2196" t="s">
        <v>4817</v>
      </c>
      <c r="B2196" s="13">
        <v>45935</v>
      </c>
      <c r="C2196">
        <v>2025</v>
      </c>
      <c r="D2196">
        <v>10</v>
      </c>
      <c r="E2196" t="s">
        <v>4779</v>
      </c>
      <c r="F2196" t="s">
        <v>4780</v>
      </c>
      <c r="G2196" t="s">
        <v>915</v>
      </c>
      <c r="H2196" t="s">
        <v>916</v>
      </c>
      <c r="I2196" t="s">
        <v>85</v>
      </c>
      <c r="J2196">
        <v>20</v>
      </c>
      <c r="K2196" t="s">
        <v>80</v>
      </c>
      <c r="L2196" t="s">
        <v>2634</v>
      </c>
      <c r="M2196" t="s">
        <v>56</v>
      </c>
      <c r="N2196" t="s">
        <v>2594</v>
      </c>
      <c r="O2196" t="s">
        <v>131</v>
      </c>
      <c r="P2196" t="s">
        <v>53</v>
      </c>
      <c r="Q2196" t="s">
        <v>143</v>
      </c>
      <c r="R2196">
        <v>2</v>
      </c>
      <c r="S2196">
        <v>999</v>
      </c>
      <c r="T2196">
        <v>0.1</v>
      </c>
      <c r="U2196">
        <v>1798.2</v>
      </c>
      <c r="V2196">
        <v>1040</v>
      </c>
      <c r="W2196">
        <v>758.2</v>
      </c>
      <c r="X2196" t="s">
        <v>73</v>
      </c>
      <c r="Y2196" t="s">
        <v>68</v>
      </c>
      <c r="Z2196" t="s">
        <v>159</v>
      </c>
      <c r="AA2196" t="s">
        <v>169</v>
      </c>
      <c r="AB2196">
        <v>3.9</v>
      </c>
      <c r="AC2196">
        <v>60</v>
      </c>
      <c r="AD2196">
        <v>44.55</v>
      </c>
      <c r="AE2196">
        <f t="shared" si="68"/>
        <v>653.65000000000009</v>
      </c>
      <c r="AF2196" t="str">
        <f t="shared" si="69"/>
        <v>2025-10</v>
      </c>
      <c r="AG2196">
        <f>SUBTOTAL(103,A2196)</f>
        <v>1</v>
      </c>
    </row>
    <row r="2197" spans="1:33" x14ac:dyDescent="0.3">
      <c r="A2197" t="s">
        <v>4818</v>
      </c>
      <c r="B2197" s="13">
        <v>45935</v>
      </c>
      <c r="C2197">
        <v>2025</v>
      </c>
      <c r="D2197">
        <v>10</v>
      </c>
      <c r="E2197" t="s">
        <v>4779</v>
      </c>
      <c r="F2197" t="s">
        <v>4780</v>
      </c>
      <c r="G2197" t="s">
        <v>1667</v>
      </c>
      <c r="H2197" t="s">
        <v>1668</v>
      </c>
      <c r="I2197" t="s">
        <v>85</v>
      </c>
      <c r="J2197">
        <v>41</v>
      </c>
      <c r="K2197" t="s">
        <v>82</v>
      </c>
      <c r="L2197" t="s">
        <v>2623</v>
      </c>
      <c r="M2197" t="s">
        <v>61</v>
      </c>
      <c r="N2197" t="s">
        <v>2587</v>
      </c>
      <c r="O2197" t="s">
        <v>116</v>
      </c>
      <c r="P2197" t="s">
        <v>48</v>
      </c>
      <c r="Q2197" t="s">
        <v>138</v>
      </c>
      <c r="R2197">
        <v>1</v>
      </c>
      <c r="S2197">
        <v>14999</v>
      </c>
      <c r="T2197">
        <v>0.2</v>
      </c>
      <c r="U2197">
        <v>11999.2</v>
      </c>
      <c r="V2197">
        <v>11200</v>
      </c>
      <c r="W2197">
        <v>799.2</v>
      </c>
      <c r="X2197" t="s">
        <v>77</v>
      </c>
      <c r="Y2197" t="s">
        <v>68</v>
      </c>
      <c r="Z2197" t="s">
        <v>160</v>
      </c>
      <c r="AA2197" t="s">
        <v>166</v>
      </c>
      <c r="AB2197">
        <v>4.2</v>
      </c>
      <c r="AC2197">
        <v>40</v>
      </c>
      <c r="AD2197">
        <v>1431.86</v>
      </c>
      <c r="AE2197">
        <f t="shared" si="68"/>
        <v>-672.65999999999985</v>
      </c>
      <c r="AF2197" t="str">
        <f t="shared" si="69"/>
        <v>2025-10</v>
      </c>
      <c r="AG2197">
        <f>SUBTOTAL(103,A2197)</f>
        <v>1</v>
      </c>
    </row>
    <row r="2198" spans="1:33" x14ac:dyDescent="0.3">
      <c r="A2198" t="s">
        <v>4819</v>
      </c>
      <c r="B2198" s="13">
        <v>45935</v>
      </c>
      <c r="C2198">
        <v>2025</v>
      </c>
      <c r="D2198">
        <v>10</v>
      </c>
      <c r="E2198" t="s">
        <v>4779</v>
      </c>
      <c r="F2198" t="s">
        <v>4780</v>
      </c>
      <c r="G2198" t="s">
        <v>581</v>
      </c>
      <c r="H2198" t="s">
        <v>582</v>
      </c>
      <c r="I2198" t="s">
        <v>86</v>
      </c>
      <c r="J2198">
        <v>57</v>
      </c>
      <c r="K2198" t="s">
        <v>83</v>
      </c>
      <c r="L2198" t="s">
        <v>2610</v>
      </c>
      <c r="M2198" t="s">
        <v>64</v>
      </c>
      <c r="N2198" t="s">
        <v>2590</v>
      </c>
      <c r="O2198" t="s">
        <v>127</v>
      </c>
      <c r="P2198" t="s">
        <v>51</v>
      </c>
      <c r="Q2198" t="s">
        <v>148</v>
      </c>
      <c r="R2198">
        <v>3</v>
      </c>
      <c r="S2198">
        <v>1599</v>
      </c>
      <c r="T2198">
        <v>0</v>
      </c>
      <c r="U2198">
        <v>4797</v>
      </c>
      <c r="V2198">
        <v>2400</v>
      </c>
      <c r="W2198">
        <v>2397</v>
      </c>
      <c r="X2198" t="s">
        <v>74</v>
      </c>
      <c r="Y2198" t="s">
        <v>68</v>
      </c>
      <c r="Z2198" t="s">
        <v>158</v>
      </c>
      <c r="AA2198" t="s">
        <v>171</v>
      </c>
      <c r="AB2198">
        <v>3.9</v>
      </c>
      <c r="AC2198">
        <v>120</v>
      </c>
      <c r="AD2198">
        <v>234.46</v>
      </c>
      <c r="AE2198">
        <f t="shared" si="68"/>
        <v>2042.54</v>
      </c>
      <c r="AF2198" t="str">
        <f t="shared" si="69"/>
        <v>2025-10</v>
      </c>
      <c r="AG2198">
        <f>SUBTOTAL(103,A2198)</f>
        <v>1</v>
      </c>
    </row>
    <row r="2199" spans="1:33" x14ac:dyDescent="0.3">
      <c r="A2199" t="s">
        <v>4820</v>
      </c>
      <c r="B2199" s="13">
        <v>45935</v>
      </c>
      <c r="C2199">
        <v>2025</v>
      </c>
      <c r="D2199">
        <v>10</v>
      </c>
      <c r="E2199" t="s">
        <v>4779</v>
      </c>
      <c r="F2199" t="s">
        <v>4780</v>
      </c>
      <c r="G2199" t="s">
        <v>357</v>
      </c>
      <c r="H2199" t="s">
        <v>358</v>
      </c>
      <c r="I2199" t="s">
        <v>85</v>
      </c>
      <c r="J2199">
        <v>34</v>
      </c>
      <c r="K2199" t="s">
        <v>81</v>
      </c>
      <c r="L2199" t="s">
        <v>92</v>
      </c>
      <c r="M2199" t="s">
        <v>59</v>
      </c>
      <c r="N2199" t="s">
        <v>2587</v>
      </c>
      <c r="O2199" t="s">
        <v>116</v>
      </c>
      <c r="P2199" t="s">
        <v>48</v>
      </c>
      <c r="Q2199" t="s">
        <v>138</v>
      </c>
      <c r="R2199">
        <v>1</v>
      </c>
      <c r="S2199">
        <v>14999</v>
      </c>
      <c r="T2199">
        <v>0.05</v>
      </c>
      <c r="U2199">
        <v>14249.05</v>
      </c>
      <c r="V2199">
        <v>11200</v>
      </c>
      <c r="W2199">
        <v>3049.05</v>
      </c>
      <c r="X2199" t="s">
        <v>73</v>
      </c>
      <c r="Y2199" t="s">
        <v>68</v>
      </c>
      <c r="Z2199" t="s">
        <v>159</v>
      </c>
      <c r="AA2199" t="s">
        <v>166</v>
      </c>
      <c r="AB2199">
        <v>3.8</v>
      </c>
      <c r="AC2199">
        <v>80</v>
      </c>
      <c r="AD2199">
        <v>678.7</v>
      </c>
      <c r="AE2199">
        <f t="shared" si="68"/>
        <v>2290.3500000000004</v>
      </c>
      <c r="AF2199" t="str">
        <f t="shared" si="69"/>
        <v>2025-10</v>
      </c>
      <c r="AG2199">
        <f>SUBTOTAL(103,A2199)</f>
        <v>1</v>
      </c>
    </row>
    <row r="2200" spans="1:33" x14ac:dyDescent="0.3">
      <c r="A2200" t="s">
        <v>4821</v>
      </c>
      <c r="B2200" s="13">
        <v>45935</v>
      </c>
      <c r="C2200">
        <v>2025</v>
      </c>
      <c r="D2200">
        <v>10</v>
      </c>
      <c r="E2200" t="s">
        <v>4779</v>
      </c>
      <c r="F2200" t="s">
        <v>4780</v>
      </c>
      <c r="G2200" t="s">
        <v>891</v>
      </c>
      <c r="H2200" t="s">
        <v>892</v>
      </c>
      <c r="I2200" t="s">
        <v>85</v>
      </c>
      <c r="J2200">
        <v>49</v>
      </c>
      <c r="K2200" t="s">
        <v>83</v>
      </c>
      <c r="L2200" t="s">
        <v>2690</v>
      </c>
      <c r="M2200" t="s">
        <v>63</v>
      </c>
      <c r="N2200" t="s">
        <v>2626</v>
      </c>
      <c r="O2200" t="s">
        <v>125</v>
      </c>
      <c r="P2200" t="s">
        <v>48</v>
      </c>
      <c r="Q2200" t="s">
        <v>141</v>
      </c>
      <c r="R2200">
        <v>1</v>
      </c>
      <c r="S2200">
        <v>1999</v>
      </c>
      <c r="T2200">
        <v>0</v>
      </c>
      <c r="U2200">
        <v>1999</v>
      </c>
      <c r="V2200">
        <v>1150</v>
      </c>
      <c r="W2200">
        <v>849</v>
      </c>
      <c r="X2200" t="s">
        <v>74</v>
      </c>
      <c r="Y2200" t="s">
        <v>68</v>
      </c>
      <c r="Z2200" t="s">
        <v>163</v>
      </c>
      <c r="AA2200" t="s">
        <v>171</v>
      </c>
      <c r="AB2200">
        <v>3.6</v>
      </c>
      <c r="AC2200">
        <v>60</v>
      </c>
      <c r="AD2200">
        <v>196.99</v>
      </c>
      <c r="AE2200">
        <f t="shared" si="68"/>
        <v>592.01</v>
      </c>
      <c r="AF2200" t="str">
        <f t="shared" si="69"/>
        <v>2025-10</v>
      </c>
      <c r="AG2200">
        <f>SUBTOTAL(103,A2200)</f>
        <v>1</v>
      </c>
    </row>
    <row r="2201" spans="1:33" x14ac:dyDescent="0.3">
      <c r="A2201" t="s">
        <v>4822</v>
      </c>
      <c r="B2201" s="13">
        <v>45936</v>
      </c>
      <c r="C2201">
        <v>2025</v>
      </c>
      <c r="D2201">
        <v>10</v>
      </c>
      <c r="E2201" t="s">
        <v>4779</v>
      </c>
      <c r="F2201" t="s">
        <v>4780</v>
      </c>
      <c r="G2201" t="s">
        <v>1885</v>
      </c>
      <c r="H2201" t="s">
        <v>1886</v>
      </c>
      <c r="I2201" t="s">
        <v>86</v>
      </c>
      <c r="J2201">
        <v>49</v>
      </c>
      <c r="K2201" t="s">
        <v>83</v>
      </c>
      <c r="L2201" t="s">
        <v>2610</v>
      </c>
      <c r="M2201" t="s">
        <v>64</v>
      </c>
      <c r="N2201" t="s">
        <v>2644</v>
      </c>
      <c r="O2201" t="s">
        <v>126</v>
      </c>
      <c r="P2201" t="s">
        <v>50</v>
      </c>
      <c r="Q2201" t="s">
        <v>145</v>
      </c>
      <c r="R2201">
        <v>1</v>
      </c>
      <c r="S2201">
        <v>1799</v>
      </c>
      <c r="T2201">
        <v>0.05</v>
      </c>
      <c r="U2201">
        <v>1709.05</v>
      </c>
      <c r="V2201">
        <v>950</v>
      </c>
      <c r="W2201">
        <v>759.05</v>
      </c>
      <c r="X2201" t="s">
        <v>76</v>
      </c>
      <c r="Y2201" t="s">
        <v>68</v>
      </c>
      <c r="Z2201" t="s">
        <v>158</v>
      </c>
      <c r="AA2201" t="s">
        <v>166</v>
      </c>
      <c r="AB2201">
        <v>3.9</v>
      </c>
      <c r="AC2201">
        <v>40</v>
      </c>
      <c r="AD2201">
        <v>105.03</v>
      </c>
      <c r="AE2201">
        <f t="shared" si="68"/>
        <v>614.02</v>
      </c>
      <c r="AF2201" t="str">
        <f t="shared" si="69"/>
        <v>2025-10</v>
      </c>
      <c r="AG2201">
        <f>SUBTOTAL(103,A2201)</f>
        <v>1</v>
      </c>
    </row>
    <row r="2202" spans="1:33" x14ac:dyDescent="0.3">
      <c r="A2202" t="s">
        <v>4823</v>
      </c>
      <c r="B2202" s="13">
        <v>45936</v>
      </c>
      <c r="C2202">
        <v>2025</v>
      </c>
      <c r="D2202">
        <v>10</v>
      </c>
      <c r="E2202" t="s">
        <v>4779</v>
      </c>
      <c r="F2202" t="s">
        <v>4780</v>
      </c>
      <c r="G2202" t="s">
        <v>2187</v>
      </c>
      <c r="H2202" t="s">
        <v>2188</v>
      </c>
      <c r="I2202" t="s">
        <v>86</v>
      </c>
      <c r="J2202">
        <v>59</v>
      </c>
      <c r="K2202" t="s">
        <v>83</v>
      </c>
      <c r="L2202" t="s">
        <v>98</v>
      </c>
      <c r="M2202" t="s">
        <v>55</v>
      </c>
      <c r="N2202" t="s">
        <v>2590</v>
      </c>
      <c r="O2202" t="s">
        <v>127</v>
      </c>
      <c r="P2202" t="s">
        <v>51</v>
      </c>
      <c r="Q2202" t="s">
        <v>148</v>
      </c>
      <c r="R2202">
        <v>1</v>
      </c>
      <c r="S2202">
        <v>1599</v>
      </c>
      <c r="T2202">
        <v>0.05</v>
      </c>
      <c r="U2202">
        <v>1519.05</v>
      </c>
      <c r="V2202">
        <v>800</v>
      </c>
      <c r="W2202">
        <v>719.05</v>
      </c>
      <c r="X2202" t="s">
        <v>73</v>
      </c>
      <c r="Y2202" t="s">
        <v>68</v>
      </c>
      <c r="Z2202" t="s">
        <v>159</v>
      </c>
      <c r="AA2202" t="s">
        <v>167</v>
      </c>
      <c r="AB2202">
        <v>4.3</v>
      </c>
      <c r="AC2202">
        <v>60</v>
      </c>
      <c r="AD2202">
        <v>154.24</v>
      </c>
      <c r="AE2202">
        <f t="shared" si="68"/>
        <v>504.80999999999995</v>
      </c>
      <c r="AF2202" t="str">
        <f t="shared" si="69"/>
        <v>2025-10</v>
      </c>
      <c r="AG2202">
        <f>SUBTOTAL(103,A2202)</f>
        <v>1</v>
      </c>
    </row>
    <row r="2203" spans="1:33" x14ac:dyDescent="0.3">
      <c r="A2203" t="s">
        <v>4824</v>
      </c>
      <c r="B2203" s="13">
        <v>45936</v>
      </c>
      <c r="C2203">
        <v>2025</v>
      </c>
      <c r="D2203">
        <v>10</v>
      </c>
      <c r="E2203" t="s">
        <v>4779</v>
      </c>
      <c r="F2203" t="s">
        <v>4780</v>
      </c>
      <c r="G2203" t="s">
        <v>2283</v>
      </c>
      <c r="H2203" t="s">
        <v>2284</v>
      </c>
      <c r="I2203" t="s">
        <v>86</v>
      </c>
      <c r="J2203">
        <v>42</v>
      </c>
      <c r="K2203" t="s">
        <v>82</v>
      </c>
      <c r="L2203" t="s">
        <v>2634</v>
      </c>
      <c r="M2203" t="s">
        <v>56</v>
      </c>
      <c r="N2203" t="s">
        <v>2580</v>
      </c>
      <c r="O2203" t="s">
        <v>118</v>
      </c>
      <c r="P2203" t="s">
        <v>48</v>
      </c>
      <c r="Q2203" t="s">
        <v>142</v>
      </c>
      <c r="R2203">
        <v>1</v>
      </c>
      <c r="S2203">
        <v>3999</v>
      </c>
      <c r="T2203">
        <v>0.15</v>
      </c>
      <c r="U2203">
        <v>3399.15</v>
      </c>
      <c r="V2203">
        <v>2400</v>
      </c>
      <c r="W2203">
        <v>999.15</v>
      </c>
      <c r="X2203" t="s">
        <v>74</v>
      </c>
      <c r="Y2203" t="s">
        <v>68</v>
      </c>
      <c r="Z2203" t="s">
        <v>158</v>
      </c>
      <c r="AA2203" t="s">
        <v>166</v>
      </c>
      <c r="AB2203">
        <v>3.9</v>
      </c>
      <c r="AC2203">
        <v>120</v>
      </c>
      <c r="AD2203">
        <v>189.63</v>
      </c>
      <c r="AE2203">
        <f t="shared" si="68"/>
        <v>689.52</v>
      </c>
      <c r="AF2203" t="str">
        <f t="shared" si="69"/>
        <v>2025-10</v>
      </c>
      <c r="AG2203">
        <f>SUBTOTAL(103,A2203)</f>
        <v>1</v>
      </c>
    </row>
    <row r="2204" spans="1:33" x14ac:dyDescent="0.3">
      <c r="A2204" t="s">
        <v>4825</v>
      </c>
      <c r="B2204" s="13">
        <v>45936</v>
      </c>
      <c r="C2204">
        <v>2025</v>
      </c>
      <c r="D2204">
        <v>10</v>
      </c>
      <c r="E2204" t="s">
        <v>4779</v>
      </c>
      <c r="F2204" t="s">
        <v>4780</v>
      </c>
      <c r="G2204" t="s">
        <v>1237</v>
      </c>
      <c r="H2204" t="s">
        <v>1238</v>
      </c>
      <c r="I2204" t="s">
        <v>86</v>
      </c>
      <c r="J2204">
        <v>41</v>
      </c>
      <c r="K2204" t="s">
        <v>82</v>
      </c>
      <c r="L2204" t="s">
        <v>96</v>
      </c>
      <c r="M2204" t="s">
        <v>55</v>
      </c>
      <c r="N2204" t="s">
        <v>2590</v>
      </c>
      <c r="O2204" t="s">
        <v>127</v>
      </c>
      <c r="P2204" t="s">
        <v>51</v>
      </c>
      <c r="Q2204" t="s">
        <v>148</v>
      </c>
      <c r="R2204">
        <v>4</v>
      </c>
      <c r="S2204">
        <v>1599</v>
      </c>
      <c r="T2204">
        <v>0.1</v>
      </c>
      <c r="U2204">
        <v>5756.4</v>
      </c>
      <c r="V2204">
        <v>3200</v>
      </c>
      <c r="W2204">
        <v>2556.4</v>
      </c>
      <c r="X2204" t="s">
        <v>74</v>
      </c>
      <c r="Y2204" t="s">
        <v>68</v>
      </c>
      <c r="Z2204" t="s">
        <v>160</v>
      </c>
      <c r="AA2204" t="s">
        <v>169</v>
      </c>
      <c r="AB2204">
        <v>2.9</v>
      </c>
      <c r="AC2204">
        <v>50</v>
      </c>
      <c r="AD2204">
        <v>352.27</v>
      </c>
      <c r="AE2204">
        <f t="shared" si="68"/>
        <v>2154.13</v>
      </c>
      <c r="AF2204" t="str">
        <f t="shared" si="69"/>
        <v>2025-10</v>
      </c>
      <c r="AG2204">
        <f>SUBTOTAL(103,A2204)</f>
        <v>1</v>
      </c>
    </row>
    <row r="2205" spans="1:33" x14ac:dyDescent="0.3">
      <c r="A2205" t="s">
        <v>4826</v>
      </c>
      <c r="B2205" s="13">
        <v>45936</v>
      </c>
      <c r="C2205">
        <v>2025</v>
      </c>
      <c r="D2205">
        <v>10</v>
      </c>
      <c r="E2205" t="s">
        <v>4779</v>
      </c>
      <c r="F2205" t="s">
        <v>4780</v>
      </c>
      <c r="G2205" t="s">
        <v>451</v>
      </c>
      <c r="H2205" t="s">
        <v>452</v>
      </c>
      <c r="I2205" t="s">
        <v>86</v>
      </c>
      <c r="J2205">
        <v>30</v>
      </c>
      <c r="K2205" t="s">
        <v>81</v>
      </c>
      <c r="L2205" t="s">
        <v>2661</v>
      </c>
      <c r="M2205" t="s">
        <v>58</v>
      </c>
      <c r="N2205" t="s">
        <v>2582</v>
      </c>
      <c r="O2205" t="s">
        <v>119</v>
      </c>
      <c r="P2205" t="s">
        <v>49</v>
      </c>
      <c r="Q2205" t="s">
        <v>140</v>
      </c>
      <c r="R2205">
        <v>3</v>
      </c>
      <c r="S2205">
        <v>3499</v>
      </c>
      <c r="T2205">
        <v>0.05</v>
      </c>
      <c r="U2205">
        <v>9972.15</v>
      </c>
      <c r="V2205">
        <v>6300</v>
      </c>
      <c r="W2205">
        <v>3672.15</v>
      </c>
      <c r="X2205" t="s">
        <v>74</v>
      </c>
      <c r="Y2205" t="s">
        <v>68</v>
      </c>
      <c r="Z2205" t="s">
        <v>158</v>
      </c>
      <c r="AA2205" t="s">
        <v>166</v>
      </c>
      <c r="AB2205">
        <v>3.7</v>
      </c>
      <c r="AC2205">
        <v>50</v>
      </c>
      <c r="AD2205">
        <v>346.27</v>
      </c>
      <c r="AE2205">
        <f t="shared" si="68"/>
        <v>3275.88</v>
      </c>
      <c r="AF2205" t="str">
        <f t="shared" si="69"/>
        <v>2025-10</v>
      </c>
      <c r="AG2205">
        <f>SUBTOTAL(103,A2205)</f>
        <v>1</v>
      </c>
    </row>
    <row r="2206" spans="1:33" x14ac:dyDescent="0.3">
      <c r="A2206" t="s">
        <v>4827</v>
      </c>
      <c r="B2206" s="13">
        <v>45936</v>
      </c>
      <c r="C2206">
        <v>2025</v>
      </c>
      <c r="D2206">
        <v>10</v>
      </c>
      <c r="E2206" t="s">
        <v>4779</v>
      </c>
      <c r="F2206" t="s">
        <v>4780</v>
      </c>
      <c r="G2206" t="s">
        <v>671</v>
      </c>
      <c r="H2206" t="s">
        <v>672</v>
      </c>
      <c r="I2206" t="s">
        <v>85</v>
      </c>
      <c r="J2206">
        <v>42</v>
      </c>
      <c r="K2206" t="s">
        <v>82</v>
      </c>
      <c r="L2206" t="s">
        <v>96</v>
      </c>
      <c r="M2206" t="s">
        <v>55</v>
      </c>
      <c r="N2206" t="s">
        <v>2582</v>
      </c>
      <c r="O2206" t="s">
        <v>119</v>
      </c>
      <c r="P2206" t="s">
        <v>49</v>
      </c>
      <c r="Q2206" t="s">
        <v>140</v>
      </c>
      <c r="R2206">
        <v>2</v>
      </c>
      <c r="S2206">
        <v>3499</v>
      </c>
      <c r="T2206">
        <v>0.15</v>
      </c>
      <c r="U2206">
        <v>5948.3</v>
      </c>
      <c r="V2206">
        <v>4200</v>
      </c>
      <c r="W2206">
        <v>1748.3</v>
      </c>
      <c r="X2206" t="s">
        <v>75</v>
      </c>
      <c r="Y2206" t="s">
        <v>68</v>
      </c>
      <c r="Z2206" t="s">
        <v>158</v>
      </c>
      <c r="AA2206" t="s">
        <v>168</v>
      </c>
      <c r="AB2206">
        <v>3.7</v>
      </c>
      <c r="AC2206">
        <v>80</v>
      </c>
      <c r="AD2206">
        <v>602.02</v>
      </c>
      <c r="AE2206">
        <f t="shared" si="68"/>
        <v>1066.28</v>
      </c>
      <c r="AF2206" t="str">
        <f t="shared" si="69"/>
        <v>2025-10</v>
      </c>
      <c r="AG2206">
        <f>SUBTOTAL(103,A2206)</f>
        <v>1</v>
      </c>
    </row>
    <row r="2207" spans="1:33" x14ac:dyDescent="0.3">
      <c r="A2207" t="s">
        <v>4828</v>
      </c>
      <c r="B2207" s="13">
        <v>45936</v>
      </c>
      <c r="C2207">
        <v>2025</v>
      </c>
      <c r="D2207">
        <v>10</v>
      </c>
      <c r="E2207" t="s">
        <v>4779</v>
      </c>
      <c r="F2207" t="s">
        <v>4780</v>
      </c>
      <c r="G2207" t="s">
        <v>2037</v>
      </c>
      <c r="H2207" t="s">
        <v>2038</v>
      </c>
      <c r="I2207" t="s">
        <v>85</v>
      </c>
      <c r="J2207">
        <v>33</v>
      </c>
      <c r="K2207" t="s">
        <v>81</v>
      </c>
      <c r="L2207" t="s">
        <v>2573</v>
      </c>
      <c r="M2207" t="s">
        <v>63</v>
      </c>
      <c r="N2207" t="s">
        <v>2630</v>
      </c>
      <c r="O2207" t="s">
        <v>123</v>
      </c>
      <c r="P2207" t="s">
        <v>52</v>
      </c>
      <c r="Q2207" t="s">
        <v>146</v>
      </c>
      <c r="R2207">
        <v>1</v>
      </c>
      <c r="S2207">
        <v>2499</v>
      </c>
      <c r="T2207">
        <v>0</v>
      </c>
      <c r="U2207">
        <v>2499</v>
      </c>
      <c r="V2207">
        <v>1400</v>
      </c>
      <c r="W2207">
        <v>1099</v>
      </c>
      <c r="X2207" t="s">
        <v>74</v>
      </c>
      <c r="Y2207" t="s">
        <v>68</v>
      </c>
      <c r="Z2207" t="s">
        <v>163</v>
      </c>
      <c r="AA2207" t="s">
        <v>168</v>
      </c>
      <c r="AB2207">
        <v>3.6</v>
      </c>
      <c r="AC2207">
        <v>80</v>
      </c>
      <c r="AD2207">
        <v>279.04000000000002</v>
      </c>
      <c r="AE2207">
        <f t="shared" si="68"/>
        <v>739.96</v>
      </c>
      <c r="AF2207" t="str">
        <f t="shared" si="69"/>
        <v>2025-10</v>
      </c>
      <c r="AG2207">
        <f>SUBTOTAL(103,A2207)</f>
        <v>1</v>
      </c>
    </row>
    <row r="2208" spans="1:33" x14ac:dyDescent="0.3">
      <c r="A2208" t="s">
        <v>4829</v>
      </c>
      <c r="B2208" s="13">
        <v>45936</v>
      </c>
      <c r="C2208">
        <v>2025</v>
      </c>
      <c r="D2208">
        <v>10</v>
      </c>
      <c r="E2208" t="s">
        <v>4779</v>
      </c>
      <c r="F2208" t="s">
        <v>4780</v>
      </c>
      <c r="G2208" t="s">
        <v>425</v>
      </c>
      <c r="H2208" t="s">
        <v>426</v>
      </c>
      <c r="I2208" t="s">
        <v>86</v>
      </c>
      <c r="J2208">
        <v>20</v>
      </c>
      <c r="K2208" t="s">
        <v>80</v>
      </c>
      <c r="L2208" t="s">
        <v>96</v>
      </c>
      <c r="M2208" t="s">
        <v>55</v>
      </c>
      <c r="N2208" t="s">
        <v>2606</v>
      </c>
      <c r="O2208" t="s">
        <v>120</v>
      </c>
      <c r="P2208" t="s">
        <v>49</v>
      </c>
      <c r="Q2208" t="s">
        <v>140</v>
      </c>
      <c r="R2208">
        <v>5</v>
      </c>
      <c r="S2208">
        <v>2799</v>
      </c>
      <c r="T2208">
        <v>0</v>
      </c>
      <c r="U2208">
        <v>13995</v>
      </c>
      <c r="V2208">
        <v>8250</v>
      </c>
      <c r="W2208">
        <v>5745</v>
      </c>
      <c r="X2208" t="s">
        <v>73</v>
      </c>
      <c r="Y2208" t="s">
        <v>68</v>
      </c>
      <c r="Z2208" t="s">
        <v>160</v>
      </c>
      <c r="AA2208" t="s">
        <v>168</v>
      </c>
      <c r="AB2208">
        <v>4.4000000000000004</v>
      </c>
      <c r="AC2208">
        <v>50</v>
      </c>
      <c r="AD2208">
        <v>773.19</v>
      </c>
      <c r="AE2208">
        <f t="shared" si="68"/>
        <v>4921.8099999999995</v>
      </c>
      <c r="AF2208" t="str">
        <f t="shared" si="69"/>
        <v>2025-10</v>
      </c>
      <c r="AG2208">
        <f>SUBTOTAL(103,A2208)</f>
        <v>1</v>
      </c>
    </row>
    <row r="2209" spans="1:33" x14ac:dyDescent="0.3">
      <c r="A2209" t="s">
        <v>4830</v>
      </c>
      <c r="B2209" s="13">
        <v>45936</v>
      </c>
      <c r="C2209">
        <v>2025</v>
      </c>
      <c r="D2209">
        <v>10</v>
      </c>
      <c r="E2209" t="s">
        <v>4779</v>
      </c>
      <c r="F2209" t="s">
        <v>4780</v>
      </c>
      <c r="G2209" t="s">
        <v>1747</v>
      </c>
      <c r="H2209" t="s">
        <v>1748</v>
      </c>
      <c r="I2209" t="s">
        <v>85</v>
      </c>
      <c r="J2209">
        <v>49</v>
      </c>
      <c r="K2209" t="s">
        <v>83</v>
      </c>
      <c r="L2209" t="s">
        <v>95</v>
      </c>
      <c r="M2209" t="s">
        <v>56</v>
      </c>
      <c r="N2209" t="s">
        <v>2594</v>
      </c>
      <c r="O2209" t="s">
        <v>131</v>
      </c>
      <c r="P2209" t="s">
        <v>53</v>
      </c>
      <c r="Q2209" t="s">
        <v>143</v>
      </c>
      <c r="R2209">
        <v>3</v>
      </c>
      <c r="S2209">
        <v>999</v>
      </c>
      <c r="T2209">
        <v>0.05</v>
      </c>
      <c r="U2209">
        <v>0</v>
      </c>
      <c r="V2209">
        <v>0</v>
      </c>
      <c r="W2209">
        <v>0</v>
      </c>
      <c r="X2209" t="s">
        <v>77</v>
      </c>
      <c r="Y2209" t="s">
        <v>71</v>
      </c>
      <c r="Z2209" t="s">
        <v>162</v>
      </c>
      <c r="AA2209" t="s">
        <v>166</v>
      </c>
      <c r="AB2209">
        <v>4.8</v>
      </c>
      <c r="AC2209">
        <v>50</v>
      </c>
      <c r="AD2209">
        <v>326.58</v>
      </c>
      <c r="AE2209">
        <f t="shared" si="68"/>
        <v>-376.58</v>
      </c>
      <c r="AF2209" t="str">
        <f t="shared" si="69"/>
        <v>2025-10</v>
      </c>
      <c r="AG2209">
        <f>SUBTOTAL(103,A2209)</f>
        <v>1</v>
      </c>
    </row>
    <row r="2210" spans="1:33" x14ac:dyDescent="0.3">
      <c r="A2210" t="s">
        <v>4831</v>
      </c>
      <c r="B2210" s="13">
        <v>45937</v>
      </c>
      <c r="C2210">
        <v>2025</v>
      </c>
      <c r="D2210">
        <v>10</v>
      </c>
      <c r="E2210" t="s">
        <v>4779</v>
      </c>
      <c r="F2210" t="s">
        <v>4780</v>
      </c>
      <c r="G2210" t="s">
        <v>1759</v>
      </c>
      <c r="H2210" t="s">
        <v>1760</v>
      </c>
      <c r="I2210" t="s">
        <v>85</v>
      </c>
      <c r="J2210">
        <v>60</v>
      </c>
      <c r="K2210" t="s">
        <v>83</v>
      </c>
      <c r="L2210" t="s">
        <v>92</v>
      </c>
      <c r="M2210" t="s">
        <v>59</v>
      </c>
      <c r="N2210" t="s">
        <v>2644</v>
      </c>
      <c r="O2210" t="s">
        <v>126</v>
      </c>
      <c r="P2210" t="s">
        <v>50</v>
      </c>
      <c r="Q2210" t="s">
        <v>145</v>
      </c>
      <c r="R2210">
        <v>4</v>
      </c>
      <c r="S2210">
        <v>1799</v>
      </c>
      <c r="T2210">
        <v>0.15</v>
      </c>
      <c r="U2210">
        <v>6116.6</v>
      </c>
      <c r="V2210">
        <v>3800</v>
      </c>
      <c r="W2210">
        <v>2316.6</v>
      </c>
      <c r="X2210" t="s">
        <v>76</v>
      </c>
      <c r="Y2210" t="s">
        <v>68</v>
      </c>
      <c r="Z2210" t="s">
        <v>160</v>
      </c>
      <c r="AA2210" t="s">
        <v>170</v>
      </c>
      <c r="AB2210">
        <v>3.4</v>
      </c>
      <c r="AC2210">
        <v>60</v>
      </c>
      <c r="AD2210">
        <v>283.12</v>
      </c>
      <c r="AE2210">
        <f t="shared" si="68"/>
        <v>1973.48</v>
      </c>
      <c r="AF2210" t="str">
        <f t="shared" si="69"/>
        <v>2025-10</v>
      </c>
      <c r="AG2210">
        <f>SUBTOTAL(103,A2210)</f>
        <v>1</v>
      </c>
    </row>
    <row r="2211" spans="1:33" x14ac:dyDescent="0.3">
      <c r="A2211" t="s">
        <v>4832</v>
      </c>
      <c r="B2211" s="13">
        <v>45937</v>
      </c>
      <c r="C2211">
        <v>2025</v>
      </c>
      <c r="D2211">
        <v>10</v>
      </c>
      <c r="E2211" t="s">
        <v>4779</v>
      </c>
      <c r="F2211" t="s">
        <v>4780</v>
      </c>
      <c r="G2211" t="s">
        <v>2413</v>
      </c>
      <c r="H2211" t="s">
        <v>2414</v>
      </c>
      <c r="I2211" t="s">
        <v>86</v>
      </c>
      <c r="J2211">
        <v>48</v>
      </c>
      <c r="K2211" t="s">
        <v>83</v>
      </c>
      <c r="L2211" t="s">
        <v>92</v>
      </c>
      <c r="M2211" t="s">
        <v>59</v>
      </c>
      <c r="N2211" t="s">
        <v>2653</v>
      </c>
      <c r="O2211" t="s">
        <v>132</v>
      </c>
      <c r="P2211" t="s">
        <v>52</v>
      </c>
      <c r="Q2211" t="s">
        <v>150</v>
      </c>
      <c r="R2211">
        <v>4</v>
      </c>
      <c r="S2211">
        <v>899</v>
      </c>
      <c r="T2211">
        <v>0.15</v>
      </c>
      <c r="U2211">
        <v>3056.6</v>
      </c>
      <c r="V2211">
        <v>1680</v>
      </c>
      <c r="W2211">
        <v>1376.6</v>
      </c>
      <c r="X2211" t="s">
        <v>75</v>
      </c>
      <c r="Y2211" t="s">
        <v>68</v>
      </c>
      <c r="Z2211" t="s">
        <v>158</v>
      </c>
      <c r="AA2211" t="s">
        <v>166</v>
      </c>
      <c r="AB2211">
        <v>4.5999999999999996</v>
      </c>
      <c r="AC2211">
        <v>40</v>
      </c>
      <c r="AD2211">
        <v>167.02</v>
      </c>
      <c r="AE2211">
        <f t="shared" si="68"/>
        <v>1169.58</v>
      </c>
      <c r="AF2211" t="str">
        <f t="shared" si="69"/>
        <v>2025-10</v>
      </c>
      <c r="AG2211">
        <f>SUBTOTAL(103,A2211)</f>
        <v>1</v>
      </c>
    </row>
    <row r="2212" spans="1:33" x14ac:dyDescent="0.3">
      <c r="A2212" t="s">
        <v>4833</v>
      </c>
      <c r="B2212" s="13">
        <v>45937</v>
      </c>
      <c r="C2212">
        <v>2025</v>
      </c>
      <c r="D2212">
        <v>10</v>
      </c>
      <c r="E2212" t="s">
        <v>4779</v>
      </c>
      <c r="F2212" t="s">
        <v>4780</v>
      </c>
      <c r="G2212" t="s">
        <v>1059</v>
      </c>
      <c r="H2212" t="s">
        <v>1060</v>
      </c>
      <c r="I2212" t="s">
        <v>85</v>
      </c>
      <c r="J2212">
        <v>31</v>
      </c>
      <c r="K2212" t="s">
        <v>81</v>
      </c>
      <c r="L2212" t="s">
        <v>98</v>
      </c>
      <c r="M2212" t="s">
        <v>55</v>
      </c>
      <c r="N2212" t="s">
        <v>2603</v>
      </c>
      <c r="O2212" t="s">
        <v>122</v>
      </c>
      <c r="P2212" t="s">
        <v>48</v>
      </c>
      <c r="Q2212" t="s">
        <v>141</v>
      </c>
      <c r="R2212">
        <v>2</v>
      </c>
      <c r="S2212">
        <v>2499</v>
      </c>
      <c r="T2212">
        <v>0.15</v>
      </c>
      <c r="U2212">
        <v>4248.3</v>
      </c>
      <c r="V2212">
        <v>2900</v>
      </c>
      <c r="W2212">
        <v>1348.3</v>
      </c>
      <c r="X2212" t="s">
        <v>76</v>
      </c>
      <c r="Y2212" t="s">
        <v>68</v>
      </c>
      <c r="Z2212" t="s">
        <v>160</v>
      </c>
      <c r="AA2212" t="s">
        <v>170</v>
      </c>
      <c r="AB2212">
        <v>4.0999999999999996</v>
      </c>
      <c r="AC2212">
        <v>40</v>
      </c>
      <c r="AD2212">
        <v>160.19</v>
      </c>
      <c r="AE2212">
        <f t="shared" si="68"/>
        <v>1148.1099999999999</v>
      </c>
      <c r="AF2212" t="str">
        <f t="shared" si="69"/>
        <v>2025-10</v>
      </c>
      <c r="AG2212">
        <f>SUBTOTAL(103,A2212)</f>
        <v>1</v>
      </c>
    </row>
    <row r="2213" spans="1:33" x14ac:dyDescent="0.3">
      <c r="A2213" t="s">
        <v>4834</v>
      </c>
      <c r="B2213" s="13">
        <v>45937</v>
      </c>
      <c r="C2213">
        <v>2025</v>
      </c>
      <c r="D2213">
        <v>10</v>
      </c>
      <c r="E2213" t="s">
        <v>4779</v>
      </c>
      <c r="F2213" t="s">
        <v>4780</v>
      </c>
      <c r="G2213" t="s">
        <v>1101</v>
      </c>
      <c r="H2213" t="s">
        <v>1102</v>
      </c>
      <c r="I2213" t="s">
        <v>85</v>
      </c>
      <c r="J2213">
        <v>55</v>
      </c>
      <c r="K2213" t="s">
        <v>83</v>
      </c>
      <c r="L2213" t="s">
        <v>2579</v>
      </c>
      <c r="M2213" t="s">
        <v>56</v>
      </c>
      <c r="N2213" t="s">
        <v>2603</v>
      </c>
      <c r="O2213" t="s">
        <v>122</v>
      </c>
      <c r="P2213" t="s">
        <v>48</v>
      </c>
      <c r="Q2213" t="s">
        <v>141</v>
      </c>
      <c r="R2213">
        <v>1</v>
      </c>
      <c r="S2213">
        <v>2499</v>
      </c>
      <c r="T2213">
        <v>0</v>
      </c>
      <c r="U2213">
        <v>2499</v>
      </c>
      <c r="V2213">
        <v>1450</v>
      </c>
      <c r="W2213">
        <v>1049</v>
      </c>
      <c r="X2213" t="s">
        <v>73</v>
      </c>
      <c r="Y2213" t="s">
        <v>70</v>
      </c>
      <c r="Z2213" t="s">
        <v>161</v>
      </c>
      <c r="AA2213" t="s">
        <v>170</v>
      </c>
      <c r="AB2213">
        <v>4.5</v>
      </c>
      <c r="AC2213">
        <v>60</v>
      </c>
      <c r="AD2213">
        <v>89.28</v>
      </c>
      <c r="AE2213">
        <f t="shared" si="68"/>
        <v>899.72</v>
      </c>
      <c r="AF2213" t="str">
        <f t="shared" si="69"/>
        <v>2025-10</v>
      </c>
      <c r="AG2213">
        <f>SUBTOTAL(103,A2213)</f>
        <v>1</v>
      </c>
    </row>
    <row r="2214" spans="1:33" x14ac:dyDescent="0.3">
      <c r="A2214" t="s">
        <v>4835</v>
      </c>
      <c r="B2214" s="13">
        <v>45937</v>
      </c>
      <c r="C2214">
        <v>2025</v>
      </c>
      <c r="D2214">
        <v>10</v>
      </c>
      <c r="E2214" t="s">
        <v>4779</v>
      </c>
      <c r="F2214" t="s">
        <v>4780</v>
      </c>
      <c r="G2214" t="s">
        <v>481</v>
      </c>
      <c r="H2214" t="s">
        <v>482</v>
      </c>
      <c r="I2214" t="s">
        <v>85</v>
      </c>
      <c r="J2214">
        <v>52</v>
      </c>
      <c r="K2214" t="s">
        <v>83</v>
      </c>
      <c r="L2214" t="s">
        <v>99</v>
      </c>
      <c r="M2214" t="s">
        <v>58</v>
      </c>
      <c r="N2214" t="s">
        <v>2606</v>
      </c>
      <c r="O2214" t="s">
        <v>120</v>
      </c>
      <c r="P2214" t="s">
        <v>49</v>
      </c>
      <c r="Q2214" t="s">
        <v>140</v>
      </c>
      <c r="R2214">
        <v>1</v>
      </c>
      <c r="S2214">
        <v>2799</v>
      </c>
      <c r="T2214">
        <v>0.1</v>
      </c>
      <c r="U2214">
        <v>2519.1</v>
      </c>
      <c r="V2214">
        <v>1650</v>
      </c>
      <c r="W2214">
        <v>869.1</v>
      </c>
      <c r="X2214" t="s">
        <v>73</v>
      </c>
      <c r="Y2214" t="s">
        <v>69</v>
      </c>
      <c r="Z2214" t="s">
        <v>161</v>
      </c>
      <c r="AA2214" t="s">
        <v>167</v>
      </c>
      <c r="AB2214">
        <v>5</v>
      </c>
      <c r="AC2214">
        <v>60</v>
      </c>
      <c r="AD2214">
        <v>101.39</v>
      </c>
      <c r="AE2214">
        <f t="shared" si="68"/>
        <v>707.71</v>
      </c>
      <c r="AF2214" t="str">
        <f t="shared" si="69"/>
        <v>2025-10</v>
      </c>
      <c r="AG2214">
        <f>SUBTOTAL(103,A2214)</f>
        <v>1</v>
      </c>
    </row>
    <row r="2215" spans="1:33" x14ac:dyDescent="0.3">
      <c r="A2215" t="s">
        <v>4836</v>
      </c>
      <c r="B2215" s="13">
        <v>45937</v>
      </c>
      <c r="C2215">
        <v>2025</v>
      </c>
      <c r="D2215">
        <v>10</v>
      </c>
      <c r="E2215" t="s">
        <v>4779</v>
      </c>
      <c r="F2215" t="s">
        <v>4780</v>
      </c>
      <c r="G2215" t="s">
        <v>1555</v>
      </c>
      <c r="H2215" t="s">
        <v>1556</v>
      </c>
      <c r="I2215" t="s">
        <v>86</v>
      </c>
      <c r="J2215">
        <v>38</v>
      </c>
      <c r="K2215" t="s">
        <v>82</v>
      </c>
      <c r="L2215" t="s">
        <v>2646</v>
      </c>
      <c r="M2215" t="s">
        <v>63</v>
      </c>
      <c r="N2215" t="s">
        <v>2596</v>
      </c>
      <c r="O2215" t="s">
        <v>124</v>
      </c>
      <c r="P2215" t="s">
        <v>51</v>
      </c>
      <c r="Q2215" t="s">
        <v>147</v>
      </c>
      <c r="R2215">
        <v>1</v>
      </c>
      <c r="S2215">
        <v>2299</v>
      </c>
      <c r="T2215">
        <v>0.15</v>
      </c>
      <c r="U2215">
        <v>1954.15</v>
      </c>
      <c r="V2215">
        <v>1200</v>
      </c>
      <c r="W2215">
        <v>754.15</v>
      </c>
      <c r="X2215" t="s">
        <v>73</v>
      </c>
      <c r="Y2215" t="s">
        <v>68</v>
      </c>
      <c r="Z2215" t="s">
        <v>159</v>
      </c>
      <c r="AA2215" t="s">
        <v>167</v>
      </c>
      <c r="AB2215">
        <v>4.2</v>
      </c>
      <c r="AC2215">
        <v>60</v>
      </c>
      <c r="AD2215">
        <v>160.28</v>
      </c>
      <c r="AE2215">
        <f t="shared" si="68"/>
        <v>533.87</v>
      </c>
      <c r="AF2215" t="str">
        <f t="shared" si="69"/>
        <v>2025-10</v>
      </c>
      <c r="AG2215">
        <f>SUBTOTAL(103,A2215)</f>
        <v>1</v>
      </c>
    </row>
    <row r="2216" spans="1:33" x14ac:dyDescent="0.3">
      <c r="A2216" t="s">
        <v>4837</v>
      </c>
      <c r="B2216" s="13">
        <v>45938</v>
      </c>
      <c r="C2216">
        <v>2025</v>
      </c>
      <c r="D2216">
        <v>10</v>
      </c>
      <c r="E2216" t="s">
        <v>4779</v>
      </c>
      <c r="F2216" t="s">
        <v>4780</v>
      </c>
      <c r="G2216" t="s">
        <v>1231</v>
      </c>
      <c r="H2216" t="s">
        <v>1232</v>
      </c>
      <c r="I2216" t="s">
        <v>86</v>
      </c>
      <c r="J2216">
        <v>39</v>
      </c>
      <c r="K2216" t="s">
        <v>82</v>
      </c>
      <c r="L2216" t="s">
        <v>91</v>
      </c>
      <c r="M2216" t="s">
        <v>55</v>
      </c>
      <c r="N2216" t="s">
        <v>2665</v>
      </c>
      <c r="O2216" t="s">
        <v>128</v>
      </c>
      <c r="P2216" t="s">
        <v>53</v>
      </c>
      <c r="Q2216" t="s">
        <v>143</v>
      </c>
      <c r="R2216">
        <v>1</v>
      </c>
      <c r="S2216">
        <v>1499</v>
      </c>
      <c r="T2216">
        <v>0</v>
      </c>
      <c r="U2216">
        <v>1499</v>
      </c>
      <c r="V2216">
        <v>800</v>
      </c>
      <c r="W2216">
        <v>699</v>
      </c>
      <c r="X2216" t="s">
        <v>75</v>
      </c>
      <c r="Y2216" t="s">
        <v>68</v>
      </c>
      <c r="Z2216" t="s">
        <v>159</v>
      </c>
      <c r="AA2216" t="s">
        <v>166</v>
      </c>
      <c r="AB2216">
        <v>3.4</v>
      </c>
      <c r="AC2216">
        <v>120</v>
      </c>
      <c r="AD2216">
        <v>174.9</v>
      </c>
      <c r="AE2216">
        <f t="shared" si="68"/>
        <v>404.1</v>
      </c>
      <c r="AF2216" t="str">
        <f t="shared" si="69"/>
        <v>2025-10</v>
      </c>
      <c r="AG2216">
        <f>SUBTOTAL(103,A2216)</f>
        <v>1</v>
      </c>
    </row>
    <row r="2217" spans="1:33" x14ac:dyDescent="0.3">
      <c r="A2217" t="s">
        <v>4838</v>
      </c>
      <c r="B2217" s="13">
        <v>45938</v>
      </c>
      <c r="C2217">
        <v>2025</v>
      </c>
      <c r="D2217">
        <v>10</v>
      </c>
      <c r="E2217" t="s">
        <v>4779</v>
      </c>
      <c r="F2217" t="s">
        <v>4780</v>
      </c>
      <c r="G2217" t="s">
        <v>677</v>
      </c>
      <c r="H2217" t="s">
        <v>678</v>
      </c>
      <c r="I2217" t="s">
        <v>86</v>
      </c>
      <c r="J2217">
        <v>59</v>
      </c>
      <c r="K2217" t="s">
        <v>83</v>
      </c>
      <c r="L2217" t="s">
        <v>92</v>
      </c>
      <c r="M2217" t="s">
        <v>59</v>
      </c>
      <c r="N2217" t="s">
        <v>2603</v>
      </c>
      <c r="O2217" t="s">
        <v>122</v>
      </c>
      <c r="P2217" t="s">
        <v>48</v>
      </c>
      <c r="Q2217" t="s">
        <v>141</v>
      </c>
      <c r="R2217">
        <v>3</v>
      </c>
      <c r="S2217">
        <v>2499</v>
      </c>
      <c r="T2217">
        <v>0.2</v>
      </c>
      <c r="U2217">
        <v>5997.6</v>
      </c>
      <c r="V2217">
        <v>4350</v>
      </c>
      <c r="W2217">
        <v>1647.6</v>
      </c>
      <c r="X2217" t="s">
        <v>74</v>
      </c>
      <c r="Y2217" t="s">
        <v>68</v>
      </c>
      <c r="Z2217" t="s">
        <v>159</v>
      </c>
      <c r="AA2217" t="s">
        <v>168</v>
      </c>
      <c r="AB2217">
        <v>3.8</v>
      </c>
      <c r="AC2217">
        <v>120</v>
      </c>
      <c r="AD2217">
        <v>361.79</v>
      </c>
      <c r="AE2217">
        <f t="shared" si="68"/>
        <v>1165.81</v>
      </c>
      <c r="AF2217" t="str">
        <f t="shared" si="69"/>
        <v>2025-10</v>
      </c>
      <c r="AG2217">
        <f>SUBTOTAL(103,A2217)</f>
        <v>1</v>
      </c>
    </row>
    <row r="2218" spans="1:33" x14ac:dyDescent="0.3">
      <c r="A2218" t="s">
        <v>4839</v>
      </c>
      <c r="B2218" s="13">
        <v>45938</v>
      </c>
      <c r="C2218">
        <v>2025</v>
      </c>
      <c r="D2218">
        <v>10</v>
      </c>
      <c r="E2218" t="s">
        <v>4779</v>
      </c>
      <c r="F2218" t="s">
        <v>4780</v>
      </c>
      <c r="G2218" t="s">
        <v>1457</v>
      </c>
      <c r="H2218" t="s">
        <v>1458</v>
      </c>
      <c r="I2218" t="s">
        <v>85</v>
      </c>
      <c r="J2218">
        <v>33</v>
      </c>
      <c r="K2218" t="s">
        <v>81</v>
      </c>
      <c r="L2218" t="s">
        <v>97</v>
      </c>
      <c r="M2218" t="s">
        <v>57</v>
      </c>
      <c r="N2218" t="s">
        <v>2596</v>
      </c>
      <c r="O2218" t="s">
        <v>124</v>
      </c>
      <c r="P2218" t="s">
        <v>51</v>
      </c>
      <c r="Q2218" t="s">
        <v>147</v>
      </c>
      <c r="R2218">
        <v>1</v>
      </c>
      <c r="S2218">
        <v>2299</v>
      </c>
      <c r="T2218">
        <v>0.1</v>
      </c>
      <c r="U2218">
        <v>2069.1</v>
      </c>
      <c r="V2218">
        <v>1200</v>
      </c>
      <c r="W2218">
        <v>869.1</v>
      </c>
      <c r="X2218" t="s">
        <v>74</v>
      </c>
      <c r="Y2218" t="s">
        <v>69</v>
      </c>
      <c r="Z2218" t="s">
        <v>159</v>
      </c>
      <c r="AA2218" t="s">
        <v>169</v>
      </c>
      <c r="AB2218">
        <v>4.5999999999999996</v>
      </c>
      <c r="AC2218">
        <v>80</v>
      </c>
      <c r="AD2218">
        <v>215.27</v>
      </c>
      <c r="AE2218">
        <f t="shared" si="68"/>
        <v>573.83000000000004</v>
      </c>
      <c r="AF2218" t="str">
        <f t="shared" si="69"/>
        <v>2025-10</v>
      </c>
      <c r="AG2218">
        <f>SUBTOTAL(103,A2218)</f>
        <v>1</v>
      </c>
    </row>
    <row r="2219" spans="1:33" x14ac:dyDescent="0.3">
      <c r="A2219" t="s">
        <v>4840</v>
      </c>
      <c r="B2219" s="13">
        <v>45938</v>
      </c>
      <c r="C2219">
        <v>2025</v>
      </c>
      <c r="D2219">
        <v>10</v>
      </c>
      <c r="E2219" t="s">
        <v>4779</v>
      </c>
      <c r="F2219" t="s">
        <v>4780</v>
      </c>
      <c r="G2219" t="s">
        <v>1135</v>
      </c>
      <c r="H2219" t="s">
        <v>1136</v>
      </c>
      <c r="I2219" t="s">
        <v>85</v>
      </c>
      <c r="J2219">
        <v>56</v>
      </c>
      <c r="K2219" t="s">
        <v>83</v>
      </c>
      <c r="L2219" t="s">
        <v>98</v>
      </c>
      <c r="M2219" t="s">
        <v>55</v>
      </c>
      <c r="N2219" t="s">
        <v>2580</v>
      </c>
      <c r="O2219" t="s">
        <v>118</v>
      </c>
      <c r="P2219" t="s">
        <v>48</v>
      </c>
      <c r="Q2219" t="s">
        <v>142</v>
      </c>
      <c r="R2219">
        <v>1</v>
      </c>
      <c r="S2219">
        <v>3999</v>
      </c>
      <c r="T2219">
        <v>0.05</v>
      </c>
      <c r="U2219">
        <v>3799.05</v>
      </c>
      <c r="V2219">
        <v>2400</v>
      </c>
      <c r="W2219">
        <v>1399.05</v>
      </c>
      <c r="X2219" t="s">
        <v>74</v>
      </c>
      <c r="Y2219" t="s">
        <v>68</v>
      </c>
      <c r="Z2219" t="s">
        <v>161</v>
      </c>
      <c r="AA2219" t="s">
        <v>170</v>
      </c>
      <c r="AB2219">
        <v>4.4000000000000004</v>
      </c>
      <c r="AC2219">
        <v>120</v>
      </c>
      <c r="AD2219">
        <v>141.06</v>
      </c>
      <c r="AE2219">
        <f t="shared" si="68"/>
        <v>1137.99</v>
      </c>
      <c r="AF2219" t="str">
        <f t="shared" si="69"/>
        <v>2025-10</v>
      </c>
      <c r="AG2219">
        <f>SUBTOTAL(103,A2219)</f>
        <v>1</v>
      </c>
    </row>
    <row r="2220" spans="1:33" x14ac:dyDescent="0.3">
      <c r="A2220" t="s">
        <v>4841</v>
      </c>
      <c r="B2220" s="13">
        <v>45938</v>
      </c>
      <c r="C2220">
        <v>2025</v>
      </c>
      <c r="D2220">
        <v>10</v>
      </c>
      <c r="E2220" t="s">
        <v>4779</v>
      </c>
      <c r="F2220" t="s">
        <v>4780</v>
      </c>
      <c r="G2220" t="s">
        <v>351</v>
      </c>
      <c r="H2220" t="s">
        <v>352</v>
      </c>
      <c r="I2220" t="s">
        <v>86</v>
      </c>
      <c r="J2220">
        <v>25</v>
      </c>
      <c r="K2220" t="s">
        <v>80</v>
      </c>
      <c r="L2220" t="s">
        <v>91</v>
      </c>
      <c r="M2220" t="s">
        <v>55</v>
      </c>
      <c r="N2220" t="s">
        <v>2653</v>
      </c>
      <c r="O2220" t="s">
        <v>132</v>
      </c>
      <c r="P2220" t="s">
        <v>52</v>
      </c>
      <c r="Q2220" t="s">
        <v>150</v>
      </c>
      <c r="R2220">
        <v>5</v>
      </c>
      <c r="S2220">
        <v>899</v>
      </c>
      <c r="T2220">
        <v>0.05</v>
      </c>
      <c r="U2220">
        <v>4270.25</v>
      </c>
      <c r="V2220">
        <v>2100</v>
      </c>
      <c r="W2220">
        <v>2170.25</v>
      </c>
      <c r="X2220" t="s">
        <v>74</v>
      </c>
      <c r="Y2220" t="s">
        <v>68</v>
      </c>
      <c r="Z2220" t="s">
        <v>161</v>
      </c>
      <c r="AA2220" t="s">
        <v>168</v>
      </c>
      <c r="AB2220">
        <v>4.3</v>
      </c>
      <c r="AC2220">
        <v>60</v>
      </c>
      <c r="AD2220">
        <v>110.08</v>
      </c>
      <c r="AE2220">
        <f t="shared" si="68"/>
        <v>2000.17</v>
      </c>
      <c r="AF2220" t="str">
        <f t="shared" si="69"/>
        <v>2025-10</v>
      </c>
      <c r="AG2220">
        <f>SUBTOTAL(103,A2220)</f>
        <v>1</v>
      </c>
    </row>
    <row r="2221" spans="1:33" x14ac:dyDescent="0.3">
      <c r="A2221" t="s">
        <v>4842</v>
      </c>
      <c r="B2221" s="13">
        <v>45938</v>
      </c>
      <c r="C2221">
        <v>2025</v>
      </c>
      <c r="D2221">
        <v>10</v>
      </c>
      <c r="E2221" t="s">
        <v>4779</v>
      </c>
      <c r="F2221" t="s">
        <v>4780</v>
      </c>
      <c r="G2221" t="s">
        <v>1793</v>
      </c>
      <c r="H2221" t="s">
        <v>1794</v>
      </c>
      <c r="I2221" t="s">
        <v>86</v>
      </c>
      <c r="J2221">
        <v>28</v>
      </c>
      <c r="K2221" t="s">
        <v>81</v>
      </c>
      <c r="L2221" t="s">
        <v>2612</v>
      </c>
      <c r="M2221" t="s">
        <v>64</v>
      </c>
      <c r="N2221" t="s">
        <v>2665</v>
      </c>
      <c r="O2221" t="s">
        <v>128</v>
      </c>
      <c r="P2221" t="s">
        <v>53</v>
      </c>
      <c r="Q2221" t="s">
        <v>143</v>
      </c>
      <c r="R2221">
        <v>1</v>
      </c>
      <c r="S2221">
        <v>1499</v>
      </c>
      <c r="T2221">
        <v>0</v>
      </c>
      <c r="U2221">
        <v>1499</v>
      </c>
      <c r="V2221">
        <v>800</v>
      </c>
      <c r="W2221">
        <v>699</v>
      </c>
      <c r="X2221" t="s">
        <v>73</v>
      </c>
      <c r="Y2221" t="s">
        <v>68</v>
      </c>
      <c r="Z2221" t="s">
        <v>163</v>
      </c>
      <c r="AA2221" t="s">
        <v>166</v>
      </c>
      <c r="AB2221">
        <v>4.4000000000000004</v>
      </c>
      <c r="AC2221">
        <v>50</v>
      </c>
      <c r="AD2221">
        <v>160.79</v>
      </c>
      <c r="AE2221">
        <f t="shared" si="68"/>
        <v>488.21000000000004</v>
      </c>
      <c r="AF2221" t="str">
        <f t="shared" si="69"/>
        <v>2025-10</v>
      </c>
      <c r="AG2221">
        <f>SUBTOTAL(103,A2221)</f>
        <v>1</v>
      </c>
    </row>
    <row r="2222" spans="1:33" x14ac:dyDescent="0.3">
      <c r="A2222" t="s">
        <v>4843</v>
      </c>
      <c r="B2222" s="13">
        <v>45938</v>
      </c>
      <c r="C2222">
        <v>2025</v>
      </c>
      <c r="D2222">
        <v>10</v>
      </c>
      <c r="E2222" t="s">
        <v>4779</v>
      </c>
      <c r="F2222" t="s">
        <v>4780</v>
      </c>
      <c r="G2222" t="s">
        <v>339</v>
      </c>
      <c r="H2222" t="s">
        <v>340</v>
      </c>
      <c r="I2222" t="s">
        <v>86</v>
      </c>
      <c r="J2222">
        <v>32</v>
      </c>
      <c r="K2222" t="s">
        <v>81</v>
      </c>
      <c r="L2222" t="s">
        <v>59</v>
      </c>
      <c r="M2222" t="s">
        <v>59</v>
      </c>
      <c r="N2222" t="s">
        <v>2626</v>
      </c>
      <c r="O2222" t="s">
        <v>125</v>
      </c>
      <c r="P2222" t="s">
        <v>48</v>
      </c>
      <c r="Q2222" t="s">
        <v>141</v>
      </c>
      <c r="R2222">
        <v>2</v>
      </c>
      <c r="S2222">
        <v>1999</v>
      </c>
      <c r="T2222">
        <v>0</v>
      </c>
      <c r="U2222">
        <v>3998</v>
      </c>
      <c r="V2222">
        <v>2300</v>
      </c>
      <c r="W2222">
        <v>1698</v>
      </c>
      <c r="X2222" t="s">
        <v>74</v>
      </c>
      <c r="Y2222" t="s">
        <v>70</v>
      </c>
      <c r="Z2222" t="s">
        <v>160</v>
      </c>
      <c r="AA2222" t="s">
        <v>171</v>
      </c>
      <c r="AB2222">
        <v>3.1</v>
      </c>
      <c r="AC2222">
        <v>40</v>
      </c>
      <c r="AD2222">
        <v>380.07</v>
      </c>
      <c r="AE2222">
        <f t="shared" si="68"/>
        <v>1277.93</v>
      </c>
      <c r="AF2222" t="str">
        <f t="shared" si="69"/>
        <v>2025-10</v>
      </c>
      <c r="AG2222">
        <f>SUBTOTAL(103,A2222)</f>
        <v>1</v>
      </c>
    </row>
    <row r="2223" spans="1:33" x14ac:dyDescent="0.3">
      <c r="A2223" t="s">
        <v>4844</v>
      </c>
      <c r="B2223" s="13">
        <v>45938</v>
      </c>
      <c r="C2223">
        <v>2025</v>
      </c>
      <c r="D2223">
        <v>10</v>
      </c>
      <c r="E2223" t="s">
        <v>4779</v>
      </c>
      <c r="F2223" t="s">
        <v>4780</v>
      </c>
      <c r="G2223" t="s">
        <v>2417</v>
      </c>
      <c r="H2223" t="s">
        <v>2418</v>
      </c>
      <c r="I2223" t="s">
        <v>85</v>
      </c>
      <c r="J2223">
        <v>57</v>
      </c>
      <c r="K2223" t="s">
        <v>83</v>
      </c>
      <c r="L2223" t="s">
        <v>91</v>
      </c>
      <c r="M2223" t="s">
        <v>55</v>
      </c>
      <c r="N2223" t="s">
        <v>2647</v>
      </c>
      <c r="O2223" t="s">
        <v>133</v>
      </c>
      <c r="P2223" t="s">
        <v>50</v>
      </c>
      <c r="Q2223" t="s">
        <v>145</v>
      </c>
      <c r="R2223">
        <v>5</v>
      </c>
      <c r="S2223">
        <v>799</v>
      </c>
      <c r="T2223">
        <v>0.25</v>
      </c>
      <c r="U2223">
        <v>2996.25</v>
      </c>
      <c r="V2223">
        <v>1950</v>
      </c>
      <c r="W2223">
        <v>1046.25</v>
      </c>
      <c r="X2223" t="s">
        <v>76</v>
      </c>
      <c r="Y2223" t="s">
        <v>68</v>
      </c>
      <c r="Z2223" t="s">
        <v>159</v>
      </c>
      <c r="AA2223" t="s">
        <v>167</v>
      </c>
      <c r="AB2223">
        <v>3.6</v>
      </c>
      <c r="AC2223">
        <v>50</v>
      </c>
      <c r="AD2223">
        <v>84.28</v>
      </c>
      <c r="AE2223">
        <f t="shared" si="68"/>
        <v>911.97</v>
      </c>
      <c r="AF2223" t="str">
        <f t="shared" si="69"/>
        <v>2025-10</v>
      </c>
      <c r="AG2223">
        <f>SUBTOTAL(103,A2223)</f>
        <v>1</v>
      </c>
    </row>
    <row r="2224" spans="1:33" x14ac:dyDescent="0.3">
      <c r="A2224" t="s">
        <v>4845</v>
      </c>
      <c r="B2224" s="13">
        <v>45939</v>
      </c>
      <c r="C2224">
        <v>2025</v>
      </c>
      <c r="D2224">
        <v>10</v>
      </c>
      <c r="E2224" t="s">
        <v>4779</v>
      </c>
      <c r="F2224" t="s">
        <v>4780</v>
      </c>
      <c r="G2224" t="s">
        <v>1349</v>
      </c>
      <c r="H2224" t="s">
        <v>1350</v>
      </c>
      <c r="I2224" t="s">
        <v>85</v>
      </c>
      <c r="J2224">
        <v>51</v>
      </c>
      <c r="K2224" t="s">
        <v>83</v>
      </c>
      <c r="L2224" t="s">
        <v>2661</v>
      </c>
      <c r="M2224" t="s">
        <v>58</v>
      </c>
      <c r="N2224" t="s">
        <v>2587</v>
      </c>
      <c r="O2224" t="s">
        <v>116</v>
      </c>
      <c r="P2224" t="s">
        <v>48</v>
      </c>
      <c r="Q2224" t="s">
        <v>138</v>
      </c>
      <c r="R2224">
        <v>1</v>
      </c>
      <c r="S2224">
        <v>14999</v>
      </c>
      <c r="T2224">
        <v>0.15</v>
      </c>
      <c r="U2224">
        <v>12749.15</v>
      </c>
      <c r="V2224">
        <v>11200</v>
      </c>
      <c r="W2224">
        <v>1549.15</v>
      </c>
      <c r="X2224" t="s">
        <v>74</v>
      </c>
      <c r="Y2224" t="s">
        <v>68</v>
      </c>
      <c r="Z2224" t="s">
        <v>161</v>
      </c>
      <c r="AA2224" t="s">
        <v>166</v>
      </c>
      <c r="AB2224">
        <v>4.7</v>
      </c>
      <c r="AC2224">
        <v>40</v>
      </c>
      <c r="AD2224">
        <v>914.79</v>
      </c>
      <c r="AE2224">
        <f t="shared" si="68"/>
        <v>594.36000000000013</v>
      </c>
      <c r="AF2224" t="str">
        <f t="shared" si="69"/>
        <v>2025-10</v>
      </c>
      <c r="AG2224">
        <f>SUBTOTAL(103,A2224)</f>
        <v>1</v>
      </c>
    </row>
    <row r="2225" spans="1:33" x14ac:dyDescent="0.3">
      <c r="A2225" t="s">
        <v>4846</v>
      </c>
      <c r="B2225" s="13">
        <v>45939</v>
      </c>
      <c r="C2225">
        <v>2025</v>
      </c>
      <c r="D2225">
        <v>10</v>
      </c>
      <c r="E2225" t="s">
        <v>4779</v>
      </c>
      <c r="F2225" t="s">
        <v>4780</v>
      </c>
      <c r="G2225" t="s">
        <v>1493</v>
      </c>
      <c r="H2225" t="s">
        <v>1494</v>
      </c>
      <c r="I2225" t="s">
        <v>86</v>
      </c>
      <c r="J2225">
        <v>34</v>
      </c>
      <c r="K2225" t="s">
        <v>81</v>
      </c>
      <c r="L2225" t="s">
        <v>2589</v>
      </c>
      <c r="M2225" t="s">
        <v>61</v>
      </c>
      <c r="N2225" t="s">
        <v>2606</v>
      </c>
      <c r="O2225" t="s">
        <v>120</v>
      </c>
      <c r="P2225" t="s">
        <v>49</v>
      </c>
      <c r="Q2225" t="s">
        <v>140</v>
      </c>
      <c r="R2225">
        <v>3</v>
      </c>
      <c r="S2225">
        <v>2799</v>
      </c>
      <c r="T2225">
        <v>0</v>
      </c>
      <c r="U2225">
        <v>8397</v>
      </c>
      <c r="V2225">
        <v>4950</v>
      </c>
      <c r="W2225">
        <v>3447</v>
      </c>
      <c r="X2225" t="s">
        <v>75</v>
      </c>
      <c r="Y2225" t="s">
        <v>69</v>
      </c>
      <c r="Z2225" t="s">
        <v>159</v>
      </c>
      <c r="AA2225" t="s">
        <v>167</v>
      </c>
      <c r="AB2225">
        <v>4.0999999999999996</v>
      </c>
      <c r="AC2225">
        <v>60</v>
      </c>
      <c r="AD2225">
        <v>945.82</v>
      </c>
      <c r="AE2225">
        <f t="shared" si="68"/>
        <v>2441.1799999999998</v>
      </c>
      <c r="AF2225" t="str">
        <f t="shared" si="69"/>
        <v>2025-10</v>
      </c>
      <c r="AG2225">
        <f>SUBTOTAL(103,A2225)</f>
        <v>1</v>
      </c>
    </row>
    <row r="2226" spans="1:33" x14ac:dyDescent="0.3">
      <c r="A2226" t="s">
        <v>4847</v>
      </c>
      <c r="B2226" s="13">
        <v>45939</v>
      </c>
      <c r="C2226">
        <v>2025</v>
      </c>
      <c r="D2226">
        <v>10</v>
      </c>
      <c r="E2226" t="s">
        <v>4779</v>
      </c>
      <c r="F2226" t="s">
        <v>4780</v>
      </c>
      <c r="G2226" t="s">
        <v>1281</v>
      </c>
      <c r="H2226" t="s">
        <v>1282</v>
      </c>
      <c r="I2226" t="s">
        <v>85</v>
      </c>
      <c r="J2226">
        <v>30</v>
      </c>
      <c r="K2226" t="s">
        <v>81</v>
      </c>
      <c r="L2226" t="s">
        <v>2687</v>
      </c>
      <c r="M2226" t="s">
        <v>57</v>
      </c>
      <c r="N2226" t="s">
        <v>2630</v>
      </c>
      <c r="O2226" t="s">
        <v>123</v>
      </c>
      <c r="P2226" t="s">
        <v>52</v>
      </c>
      <c r="Q2226" t="s">
        <v>146</v>
      </c>
      <c r="R2226">
        <v>1</v>
      </c>
      <c r="S2226">
        <v>2499</v>
      </c>
      <c r="T2226">
        <v>0</v>
      </c>
      <c r="U2226">
        <v>2499</v>
      </c>
      <c r="V2226">
        <v>1400</v>
      </c>
      <c r="W2226">
        <v>1099</v>
      </c>
      <c r="X2226" t="s">
        <v>73</v>
      </c>
      <c r="Y2226" t="s">
        <v>68</v>
      </c>
      <c r="Z2226" t="s">
        <v>159</v>
      </c>
      <c r="AA2226" t="s">
        <v>168</v>
      </c>
      <c r="AB2226">
        <v>4</v>
      </c>
      <c r="AC2226">
        <v>50</v>
      </c>
      <c r="AD2226">
        <v>204.94</v>
      </c>
      <c r="AE2226">
        <f t="shared" si="68"/>
        <v>844.06</v>
      </c>
      <c r="AF2226" t="str">
        <f t="shared" si="69"/>
        <v>2025-10</v>
      </c>
      <c r="AG2226">
        <f>SUBTOTAL(103,A2226)</f>
        <v>1</v>
      </c>
    </row>
    <row r="2227" spans="1:33" x14ac:dyDescent="0.3">
      <c r="A2227" t="s">
        <v>4848</v>
      </c>
      <c r="B2227" s="13">
        <v>45939</v>
      </c>
      <c r="C2227">
        <v>2025</v>
      </c>
      <c r="D2227">
        <v>10</v>
      </c>
      <c r="E2227" t="s">
        <v>4779</v>
      </c>
      <c r="F2227" t="s">
        <v>4780</v>
      </c>
      <c r="G2227" t="s">
        <v>849</v>
      </c>
      <c r="H2227" t="s">
        <v>850</v>
      </c>
      <c r="I2227" t="s">
        <v>85</v>
      </c>
      <c r="J2227">
        <v>33</v>
      </c>
      <c r="K2227" t="s">
        <v>81</v>
      </c>
      <c r="L2227" t="s">
        <v>2605</v>
      </c>
      <c r="M2227" t="s">
        <v>60</v>
      </c>
      <c r="N2227" t="s">
        <v>2630</v>
      </c>
      <c r="O2227" t="s">
        <v>123</v>
      </c>
      <c r="P2227" t="s">
        <v>52</v>
      </c>
      <c r="Q2227" t="s">
        <v>146</v>
      </c>
      <c r="R2227">
        <v>1</v>
      </c>
      <c r="S2227">
        <v>2499</v>
      </c>
      <c r="T2227">
        <v>0.05</v>
      </c>
      <c r="U2227">
        <v>2374.0500000000002</v>
      </c>
      <c r="V2227">
        <v>1400</v>
      </c>
      <c r="W2227">
        <v>974.05</v>
      </c>
      <c r="X2227" t="s">
        <v>74</v>
      </c>
      <c r="Y2227" t="s">
        <v>68</v>
      </c>
      <c r="Z2227" t="s">
        <v>158</v>
      </c>
      <c r="AA2227" t="s">
        <v>171</v>
      </c>
      <c r="AB2227">
        <v>4.4000000000000004</v>
      </c>
      <c r="AC2227">
        <v>40</v>
      </c>
      <c r="AD2227">
        <v>146.84</v>
      </c>
      <c r="AE2227">
        <f t="shared" si="68"/>
        <v>787.20999999999992</v>
      </c>
      <c r="AF2227" t="str">
        <f t="shared" si="69"/>
        <v>2025-10</v>
      </c>
      <c r="AG2227">
        <f>SUBTOTAL(103,A2227)</f>
        <v>1</v>
      </c>
    </row>
    <row r="2228" spans="1:33" x14ac:dyDescent="0.3">
      <c r="A2228" t="s">
        <v>4849</v>
      </c>
      <c r="B2228" s="13">
        <v>45939</v>
      </c>
      <c r="C2228">
        <v>2025</v>
      </c>
      <c r="D2228">
        <v>10</v>
      </c>
      <c r="E2228" t="s">
        <v>4779</v>
      </c>
      <c r="F2228" t="s">
        <v>4780</v>
      </c>
      <c r="G2228" t="s">
        <v>705</v>
      </c>
      <c r="H2228" t="s">
        <v>706</v>
      </c>
      <c r="I2228" t="s">
        <v>85</v>
      </c>
      <c r="J2228">
        <v>31</v>
      </c>
      <c r="K2228" t="s">
        <v>81</v>
      </c>
      <c r="L2228" t="s">
        <v>2573</v>
      </c>
      <c r="M2228" t="s">
        <v>63</v>
      </c>
      <c r="N2228" t="s">
        <v>2590</v>
      </c>
      <c r="O2228" t="s">
        <v>127</v>
      </c>
      <c r="P2228" t="s">
        <v>51</v>
      </c>
      <c r="Q2228" t="s">
        <v>148</v>
      </c>
      <c r="R2228">
        <v>2</v>
      </c>
      <c r="S2228">
        <v>1599</v>
      </c>
      <c r="T2228">
        <v>0.15</v>
      </c>
      <c r="U2228">
        <v>2718.3</v>
      </c>
      <c r="V2228">
        <v>1600</v>
      </c>
      <c r="W2228">
        <v>1118.3</v>
      </c>
      <c r="X2228" t="s">
        <v>75</v>
      </c>
      <c r="Y2228" t="s">
        <v>69</v>
      </c>
      <c r="Z2228" t="s">
        <v>161</v>
      </c>
      <c r="AA2228" t="s">
        <v>167</v>
      </c>
      <c r="AB2228">
        <v>3.6</v>
      </c>
      <c r="AC2228">
        <v>120</v>
      </c>
      <c r="AD2228">
        <v>225.19</v>
      </c>
      <c r="AE2228">
        <f t="shared" si="68"/>
        <v>773.1099999999999</v>
      </c>
      <c r="AF2228" t="str">
        <f t="shared" si="69"/>
        <v>2025-10</v>
      </c>
      <c r="AG2228">
        <f>SUBTOTAL(103,A2228)</f>
        <v>1</v>
      </c>
    </row>
    <row r="2229" spans="1:33" x14ac:dyDescent="0.3">
      <c r="A2229" t="s">
        <v>4850</v>
      </c>
      <c r="B2229" s="13">
        <v>45939</v>
      </c>
      <c r="C2229">
        <v>2025</v>
      </c>
      <c r="D2229">
        <v>10</v>
      </c>
      <c r="E2229" t="s">
        <v>4779</v>
      </c>
      <c r="F2229" t="s">
        <v>4780</v>
      </c>
      <c r="G2229" t="s">
        <v>1155</v>
      </c>
      <c r="H2229" t="s">
        <v>1156</v>
      </c>
      <c r="I2229" t="s">
        <v>85</v>
      </c>
      <c r="J2229">
        <v>18</v>
      </c>
      <c r="K2229" t="s">
        <v>80</v>
      </c>
      <c r="L2229" t="s">
        <v>2579</v>
      </c>
      <c r="M2229" t="s">
        <v>56</v>
      </c>
      <c r="N2229" t="s">
        <v>2626</v>
      </c>
      <c r="O2229" t="s">
        <v>125</v>
      </c>
      <c r="P2229" t="s">
        <v>48</v>
      </c>
      <c r="Q2229" t="s">
        <v>141</v>
      </c>
      <c r="R2229">
        <v>2</v>
      </c>
      <c r="S2229">
        <v>1999</v>
      </c>
      <c r="T2229">
        <v>0.05</v>
      </c>
      <c r="U2229">
        <v>3798.1</v>
      </c>
      <c r="V2229">
        <v>2300</v>
      </c>
      <c r="W2229">
        <v>1498.1</v>
      </c>
      <c r="X2229" t="s">
        <v>75</v>
      </c>
      <c r="Y2229" t="s">
        <v>68</v>
      </c>
      <c r="Z2229" t="s">
        <v>160</v>
      </c>
      <c r="AA2229" t="s">
        <v>166</v>
      </c>
      <c r="AB2229">
        <v>4.8</v>
      </c>
      <c r="AC2229">
        <v>60</v>
      </c>
      <c r="AD2229">
        <v>393.42</v>
      </c>
      <c r="AE2229">
        <f t="shared" si="68"/>
        <v>1044.6799999999998</v>
      </c>
      <c r="AF2229" t="str">
        <f t="shared" si="69"/>
        <v>2025-10</v>
      </c>
      <c r="AG2229">
        <f>SUBTOTAL(103,A2229)</f>
        <v>1</v>
      </c>
    </row>
    <row r="2230" spans="1:33" x14ac:dyDescent="0.3">
      <c r="A2230" t="s">
        <v>4851</v>
      </c>
      <c r="B2230" s="13">
        <v>45940</v>
      </c>
      <c r="C2230">
        <v>2025</v>
      </c>
      <c r="D2230">
        <v>10</v>
      </c>
      <c r="E2230" t="s">
        <v>4779</v>
      </c>
      <c r="F2230" t="s">
        <v>4780</v>
      </c>
      <c r="G2230" t="s">
        <v>919</v>
      </c>
      <c r="H2230" t="s">
        <v>920</v>
      </c>
      <c r="I2230" t="s">
        <v>86</v>
      </c>
      <c r="J2230">
        <v>54</v>
      </c>
      <c r="K2230" t="s">
        <v>83</v>
      </c>
      <c r="L2230" t="s">
        <v>2576</v>
      </c>
      <c r="M2230" t="s">
        <v>60</v>
      </c>
      <c r="N2230" t="s">
        <v>2653</v>
      </c>
      <c r="O2230" t="s">
        <v>132</v>
      </c>
      <c r="P2230" t="s">
        <v>52</v>
      </c>
      <c r="Q2230" t="s">
        <v>150</v>
      </c>
      <c r="R2230">
        <v>3</v>
      </c>
      <c r="S2230">
        <v>899</v>
      </c>
      <c r="T2230">
        <v>0.05</v>
      </c>
      <c r="U2230">
        <v>2562.15</v>
      </c>
      <c r="V2230">
        <v>1260</v>
      </c>
      <c r="W2230">
        <v>1302.1500000000001</v>
      </c>
      <c r="X2230" t="s">
        <v>75</v>
      </c>
      <c r="Y2230" t="s">
        <v>68</v>
      </c>
      <c r="Z2230" t="s">
        <v>160</v>
      </c>
      <c r="AA2230" t="s">
        <v>170</v>
      </c>
      <c r="AB2230">
        <v>4</v>
      </c>
      <c r="AC2230">
        <v>100</v>
      </c>
      <c r="AD2230">
        <v>118.82</v>
      </c>
      <c r="AE2230">
        <f t="shared" si="68"/>
        <v>1083.3300000000002</v>
      </c>
      <c r="AF2230" t="str">
        <f t="shared" si="69"/>
        <v>2025-10</v>
      </c>
      <c r="AG2230">
        <f>SUBTOTAL(103,A2230)</f>
        <v>1</v>
      </c>
    </row>
    <row r="2231" spans="1:33" x14ac:dyDescent="0.3">
      <c r="A2231" t="s">
        <v>4852</v>
      </c>
      <c r="B2231" s="13">
        <v>45940</v>
      </c>
      <c r="C2231">
        <v>2025</v>
      </c>
      <c r="D2231">
        <v>10</v>
      </c>
      <c r="E2231" t="s">
        <v>4779</v>
      </c>
      <c r="F2231" t="s">
        <v>4780</v>
      </c>
      <c r="G2231" t="s">
        <v>1693</v>
      </c>
      <c r="H2231" t="s">
        <v>1694</v>
      </c>
      <c r="I2231" t="s">
        <v>85</v>
      </c>
      <c r="J2231">
        <v>21</v>
      </c>
      <c r="K2231" t="s">
        <v>80</v>
      </c>
      <c r="L2231" t="s">
        <v>93</v>
      </c>
      <c r="M2231" t="s">
        <v>55</v>
      </c>
      <c r="N2231" t="s">
        <v>2601</v>
      </c>
      <c r="O2231" t="s">
        <v>117</v>
      </c>
      <c r="P2231" t="s">
        <v>49</v>
      </c>
      <c r="Q2231" t="s">
        <v>139</v>
      </c>
      <c r="R2231">
        <v>2</v>
      </c>
      <c r="S2231">
        <v>6999</v>
      </c>
      <c r="T2231">
        <v>0.15</v>
      </c>
      <c r="U2231">
        <v>0</v>
      </c>
      <c r="V2231">
        <v>0</v>
      </c>
      <c r="W2231">
        <v>0</v>
      </c>
      <c r="X2231" t="s">
        <v>73</v>
      </c>
      <c r="Y2231" t="s">
        <v>71</v>
      </c>
      <c r="Z2231" t="s">
        <v>158</v>
      </c>
      <c r="AA2231" t="s">
        <v>166</v>
      </c>
      <c r="AB2231">
        <v>3.7</v>
      </c>
      <c r="AC2231">
        <v>50</v>
      </c>
      <c r="AD2231">
        <v>812.01</v>
      </c>
      <c r="AE2231">
        <f t="shared" si="68"/>
        <v>-862.01</v>
      </c>
      <c r="AF2231" t="str">
        <f t="shared" si="69"/>
        <v>2025-10</v>
      </c>
      <c r="AG2231">
        <f>SUBTOTAL(103,A2231)</f>
        <v>1</v>
      </c>
    </row>
    <row r="2232" spans="1:33" x14ac:dyDescent="0.3">
      <c r="A2232" t="s">
        <v>4853</v>
      </c>
      <c r="B2232" s="13">
        <v>45940</v>
      </c>
      <c r="C2232">
        <v>2025</v>
      </c>
      <c r="D2232">
        <v>10</v>
      </c>
      <c r="E2232" t="s">
        <v>4779</v>
      </c>
      <c r="F2232" t="s">
        <v>4780</v>
      </c>
      <c r="G2232" t="s">
        <v>757</v>
      </c>
      <c r="H2232" t="s">
        <v>758</v>
      </c>
      <c r="I2232" t="s">
        <v>86</v>
      </c>
      <c r="J2232">
        <v>55</v>
      </c>
      <c r="K2232" t="s">
        <v>83</v>
      </c>
      <c r="L2232" t="s">
        <v>2690</v>
      </c>
      <c r="M2232" t="s">
        <v>63</v>
      </c>
      <c r="N2232" t="s">
        <v>2644</v>
      </c>
      <c r="O2232" t="s">
        <v>126</v>
      </c>
      <c r="P2232" t="s">
        <v>50</v>
      </c>
      <c r="Q2232" t="s">
        <v>145</v>
      </c>
      <c r="R2232">
        <v>3</v>
      </c>
      <c r="S2232">
        <v>1799</v>
      </c>
      <c r="T2232">
        <v>0.1</v>
      </c>
      <c r="U2232">
        <v>4857.3</v>
      </c>
      <c r="V2232">
        <v>2850</v>
      </c>
      <c r="W2232">
        <v>2007.3</v>
      </c>
      <c r="X2232" t="s">
        <v>75</v>
      </c>
      <c r="Y2232" t="s">
        <v>68</v>
      </c>
      <c r="Z2232" t="s">
        <v>159</v>
      </c>
      <c r="AA2232" t="s">
        <v>169</v>
      </c>
      <c r="AB2232">
        <v>5</v>
      </c>
      <c r="AC2232">
        <v>40</v>
      </c>
      <c r="AD2232">
        <v>247.97</v>
      </c>
      <c r="AE2232">
        <f t="shared" si="68"/>
        <v>1719.33</v>
      </c>
      <c r="AF2232" t="str">
        <f t="shared" si="69"/>
        <v>2025-10</v>
      </c>
      <c r="AG2232">
        <f>SUBTOTAL(103,A2232)</f>
        <v>1</v>
      </c>
    </row>
    <row r="2233" spans="1:33" x14ac:dyDescent="0.3">
      <c r="A2233" t="s">
        <v>4854</v>
      </c>
      <c r="B2233" s="13">
        <v>45940</v>
      </c>
      <c r="C2233">
        <v>2025</v>
      </c>
      <c r="D2233">
        <v>10</v>
      </c>
      <c r="E2233" t="s">
        <v>4779</v>
      </c>
      <c r="F2233" t="s">
        <v>4780</v>
      </c>
      <c r="G2233" t="s">
        <v>1207</v>
      </c>
      <c r="H2233" t="s">
        <v>1208</v>
      </c>
      <c r="I2233" t="s">
        <v>85</v>
      </c>
      <c r="J2233">
        <v>35</v>
      </c>
      <c r="K2233" t="s">
        <v>81</v>
      </c>
      <c r="L2233" t="s">
        <v>91</v>
      </c>
      <c r="M2233" t="s">
        <v>55</v>
      </c>
      <c r="N2233" t="s">
        <v>2584</v>
      </c>
      <c r="O2233" t="s">
        <v>121</v>
      </c>
      <c r="P2233" t="s">
        <v>50</v>
      </c>
      <c r="Q2233" t="s">
        <v>144</v>
      </c>
      <c r="R2233">
        <v>4</v>
      </c>
      <c r="S2233">
        <v>2999</v>
      </c>
      <c r="T2233">
        <v>0.1</v>
      </c>
      <c r="U2233">
        <v>10796.4</v>
      </c>
      <c r="V2233">
        <v>6800</v>
      </c>
      <c r="W2233">
        <v>3996.4</v>
      </c>
      <c r="X2233" t="s">
        <v>77</v>
      </c>
      <c r="Y2233" t="s">
        <v>68</v>
      </c>
      <c r="Z2233" t="s">
        <v>160</v>
      </c>
      <c r="AA2233" t="s">
        <v>169</v>
      </c>
      <c r="AB2233">
        <v>4.3</v>
      </c>
      <c r="AC2233">
        <v>80</v>
      </c>
      <c r="AD2233">
        <v>1260.24</v>
      </c>
      <c r="AE2233">
        <f t="shared" si="68"/>
        <v>2656.16</v>
      </c>
      <c r="AF2233" t="str">
        <f t="shared" si="69"/>
        <v>2025-10</v>
      </c>
      <c r="AG2233">
        <f>SUBTOTAL(103,A2233)</f>
        <v>1</v>
      </c>
    </row>
    <row r="2234" spans="1:33" x14ac:dyDescent="0.3">
      <c r="A2234" t="s">
        <v>4855</v>
      </c>
      <c r="B2234" s="13">
        <v>45940</v>
      </c>
      <c r="C2234">
        <v>2025</v>
      </c>
      <c r="D2234">
        <v>10</v>
      </c>
      <c r="E2234" t="s">
        <v>4779</v>
      </c>
      <c r="F2234" t="s">
        <v>4780</v>
      </c>
      <c r="G2234" t="s">
        <v>2209</v>
      </c>
      <c r="H2234" t="s">
        <v>2210</v>
      </c>
      <c r="I2234" t="s">
        <v>86</v>
      </c>
      <c r="J2234">
        <v>32</v>
      </c>
      <c r="K2234" t="s">
        <v>81</v>
      </c>
      <c r="L2234" t="s">
        <v>2674</v>
      </c>
      <c r="M2234" t="s">
        <v>58</v>
      </c>
      <c r="N2234" t="s">
        <v>2603</v>
      </c>
      <c r="O2234" t="s">
        <v>122</v>
      </c>
      <c r="P2234" t="s">
        <v>48</v>
      </c>
      <c r="Q2234" t="s">
        <v>141</v>
      </c>
      <c r="R2234">
        <v>3</v>
      </c>
      <c r="S2234">
        <v>2499</v>
      </c>
      <c r="T2234">
        <v>0.1</v>
      </c>
      <c r="U2234">
        <v>6747.3</v>
      </c>
      <c r="V2234">
        <v>4350</v>
      </c>
      <c r="W2234">
        <v>2397.3000000000002</v>
      </c>
      <c r="X2234" t="s">
        <v>73</v>
      </c>
      <c r="Y2234" t="s">
        <v>68</v>
      </c>
      <c r="Z2234" t="s">
        <v>158</v>
      </c>
      <c r="AA2234" t="s">
        <v>167</v>
      </c>
      <c r="AB2234">
        <v>3.8</v>
      </c>
      <c r="AC2234">
        <v>50</v>
      </c>
      <c r="AD2234">
        <v>756.14</v>
      </c>
      <c r="AE2234">
        <f t="shared" si="68"/>
        <v>1591.1600000000003</v>
      </c>
      <c r="AF2234" t="str">
        <f t="shared" si="69"/>
        <v>2025-10</v>
      </c>
      <c r="AG2234">
        <f>SUBTOTAL(103,A2234)</f>
        <v>1</v>
      </c>
    </row>
    <row r="2235" spans="1:33" x14ac:dyDescent="0.3">
      <c r="A2235" t="s">
        <v>4856</v>
      </c>
      <c r="B2235" s="13">
        <v>45940</v>
      </c>
      <c r="C2235">
        <v>2025</v>
      </c>
      <c r="D2235">
        <v>10</v>
      </c>
      <c r="E2235" t="s">
        <v>4779</v>
      </c>
      <c r="F2235" t="s">
        <v>4780</v>
      </c>
      <c r="G2235" t="s">
        <v>575</v>
      </c>
      <c r="H2235" t="s">
        <v>576</v>
      </c>
      <c r="I2235" t="s">
        <v>86</v>
      </c>
      <c r="J2235">
        <v>40</v>
      </c>
      <c r="K2235" t="s">
        <v>82</v>
      </c>
      <c r="L2235" t="s">
        <v>100</v>
      </c>
      <c r="M2235" t="s">
        <v>56</v>
      </c>
      <c r="N2235" t="s">
        <v>2574</v>
      </c>
      <c r="O2235" t="s">
        <v>130</v>
      </c>
      <c r="P2235" t="s">
        <v>50</v>
      </c>
      <c r="Q2235" t="s">
        <v>53</v>
      </c>
      <c r="R2235">
        <v>1</v>
      </c>
      <c r="S2235">
        <v>1199</v>
      </c>
      <c r="T2235">
        <v>0.05</v>
      </c>
      <c r="U2235">
        <v>1139.05</v>
      </c>
      <c r="V2235">
        <v>550</v>
      </c>
      <c r="W2235">
        <v>589.04999999999995</v>
      </c>
      <c r="X2235" t="s">
        <v>74</v>
      </c>
      <c r="Y2235" t="s">
        <v>68</v>
      </c>
      <c r="Z2235" t="s">
        <v>163</v>
      </c>
      <c r="AA2235" t="s">
        <v>169</v>
      </c>
      <c r="AB2235">
        <v>3.7</v>
      </c>
      <c r="AC2235">
        <v>80</v>
      </c>
      <c r="AD2235">
        <v>58.57</v>
      </c>
      <c r="AE2235">
        <f t="shared" si="68"/>
        <v>450.47999999999996</v>
      </c>
      <c r="AF2235" t="str">
        <f t="shared" si="69"/>
        <v>2025-10</v>
      </c>
      <c r="AG2235">
        <f>SUBTOTAL(103,A2235)</f>
        <v>1</v>
      </c>
    </row>
    <row r="2236" spans="1:33" x14ac:dyDescent="0.3">
      <c r="A2236" t="s">
        <v>4857</v>
      </c>
      <c r="B2236" s="13">
        <v>45940</v>
      </c>
      <c r="C2236">
        <v>2025</v>
      </c>
      <c r="D2236">
        <v>10</v>
      </c>
      <c r="E2236" t="s">
        <v>4779</v>
      </c>
      <c r="F2236" t="s">
        <v>4780</v>
      </c>
      <c r="G2236" t="s">
        <v>345</v>
      </c>
      <c r="H2236" t="s">
        <v>346</v>
      </c>
      <c r="I2236" t="s">
        <v>85</v>
      </c>
      <c r="J2236">
        <v>34</v>
      </c>
      <c r="K2236" t="s">
        <v>81</v>
      </c>
      <c r="L2236" t="s">
        <v>96</v>
      </c>
      <c r="M2236" t="s">
        <v>55</v>
      </c>
      <c r="N2236" t="s">
        <v>2592</v>
      </c>
      <c r="O2236" t="s">
        <v>115</v>
      </c>
      <c r="P2236" t="s">
        <v>48</v>
      </c>
      <c r="Q2236" t="s">
        <v>137</v>
      </c>
      <c r="R2236">
        <v>1</v>
      </c>
      <c r="S2236">
        <v>12999</v>
      </c>
      <c r="T2236">
        <v>0.15</v>
      </c>
      <c r="U2236">
        <v>11049.15</v>
      </c>
      <c r="V2236">
        <v>9000</v>
      </c>
      <c r="W2236">
        <v>2049.15</v>
      </c>
      <c r="X2236" t="s">
        <v>77</v>
      </c>
      <c r="Y2236" t="s">
        <v>68</v>
      </c>
      <c r="Z2236" t="s">
        <v>161</v>
      </c>
      <c r="AA2236" t="s">
        <v>166</v>
      </c>
      <c r="AB2236">
        <v>3.7</v>
      </c>
      <c r="AC2236">
        <v>60</v>
      </c>
      <c r="AD2236">
        <v>1042.55</v>
      </c>
      <c r="AE2236">
        <f t="shared" si="68"/>
        <v>946.60000000000014</v>
      </c>
      <c r="AF2236" t="str">
        <f t="shared" si="69"/>
        <v>2025-10</v>
      </c>
      <c r="AG2236">
        <f>SUBTOTAL(103,A2236)</f>
        <v>1</v>
      </c>
    </row>
    <row r="2237" spans="1:33" x14ac:dyDescent="0.3">
      <c r="A2237" t="s">
        <v>4858</v>
      </c>
      <c r="B2237" s="13">
        <v>45940</v>
      </c>
      <c r="C2237">
        <v>2025</v>
      </c>
      <c r="D2237">
        <v>10</v>
      </c>
      <c r="E2237" t="s">
        <v>4779</v>
      </c>
      <c r="F2237" t="s">
        <v>4780</v>
      </c>
      <c r="G2237" t="s">
        <v>1097</v>
      </c>
      <c r="H2237" t="s">
        <v>1098</v>
      </c>
      <c r="I2237" t="s">
        <v>86</v>
      </c>
      <c r="J2237">
        <v>59</v>
      </c>
      <c r="K2237" t="s">
        <v>83</v>
      </c>
      <c r="L2237" t="s">
        <v>2674</v>
      </c>
      <c r="M2237" t="s">
        <v>58</v>
      </c>
      <c r="N2237" t="s">
        <v>2630</v>
      </c>
      <c r="O2237" t="s">
        <v>123</v>
      </c>
      <c r="P2237" t="s">
        <v>52</v>
      </c>
      <c r="Q2237" t="s">
        <v>146</v>
      </c>
      <c r="R2237">
        <v>4</v>
      </c>
      <c r="S2237">
        <v>2499</v>
      </c>
      <c r="T2237">
        <v>0</v>
      </c>
      <c r="U2237">
        <v>9996</v>
      </c>
      <c r="V2237">
        <v>5600</v>
      </c>
      <c r="W2237">
        <v>4396</v>
      </c>
      <c r="X2237" t="s">
        <v>73</v>
      </c>
      <c r="Y2237" t="s">
        <v>68</v>
      </c>
      <c r="Z2237" t="s">
        <v>160</v>
      </c>
      <c r="AA2237" t="s">
        <v>169</v>
      </c>
      <c r="AB2237">
        <v>3.5</v>
      </c>
      <c r="AC2237">
        <v>100</v>
      </c>
      <c r="AD2237">
        <v>216.7</v>
      </c>
      <c r="AE2237">
        <f t="shared" si="68"/>
        <v>4079.3</v>
      </c>
      <c r="AF2237" t="str">
        <f t="shared" si="69"/>
        <v>2025-10</v>
      </c>
      <c r="AG2237">
        <f>SUBTOTAL(103,A2237)</f>
        <v>1</v>
      </c>
    </row>
    <row r="2238" spans="1:33" x14ac:dyDescent="0.3">
      <c r="A2238" t="s">
        <v>4859</v>
      </c>
      <c r="B2238" s="13">
        <v>45940</v>
      </c>
      <c r="C2238">
        <v>2025</v>
      </c>
      <c r="D2238">
        <v>10</v>
      </c>
      <c r="E2238" t="s">
        <v>4779</v>
      </c>
      <c r="F2238" t="s">
        <v>4780</v>
      </c>
      <c r="G2238" t="s">
        <v>1409</v>
      </c>
      <c r="H2238" t="s">
        <v>1410</v>
      </c>
      <c r="I2238" t="s">
        <v>85</v>
      </c>
      <c r="J2238">
        <v>27</v>
      </c>
      <c r="K2238" t="s">
        <v>81</v>
      </c>
      <c r="L2238" t="s">
        <v>92</v>
      </c>
      <c r="M2238" t="s">
        <v>59</v>
      </c>
      <c r="N2238" t="s">
        <v>2644</v>
      </c>
      <c r="O2238" t="s">
        <v>126</v>
      </c>
      <c r="P2238" t="s">
        <v>50</v>
      </c>
      <c r="Q2238" t="s">
        <v>145</v>
      </c>
      <c r="R2238">
        <v>3</v>
      </c>
      <c r="S2238">
        <v>1799</v>
      </c>
      <c r="T2238">
        <v>0.1</v>
      </c>
      <c r="U2238">
        <v>0</v>
      </c>
      <c r="V2238">
        <v>0</v>
      </c>
      <c r="W2238">
        <v>0</v>
      </c>
      <c r="X2238" t="s">
        <v>74</v>
      </c>
      <c r="Y2238" t="s">
        <v>71</v>
      </c>
      <c r="Z2238" t="s">
        <v>162</v>
      </c>
      <c r="AA2238" t="s">
        <v>171</v>
      </c>
      <c r="AB2238">
        <v>3.8</v>
      </c>
      <c r="AC2238">
        <v>40</v>
      </c>
      <c r="AD2238">
        <v>234.45</v>
      </c>
      <c r="AE2238">
        <f t="shared" si="68"/>
        <v>-274.45</v>
      </c>
      <c r="AF2238" t="str">
        <f t="shared" si="69"/>
        <v>2025-10</v>
      </c>
      <c r="AG2238">
        <f>SUBTOTAL(103,A2238)</f>
        <v>1</v>
      </c>
    </row>
    <row r="2239" spans="1:33" x14ac:dyDescent="0.3">
      <c r="A2239" t="s">
        <v>4860</v>
      </c>
      <c r="B2239" s="13">
        <v>45940</v>
      </c>
      <c r="C2239">
        <v>2025</v>
      </c>
      <c r="D2239">
        <v>10</v>
      </c>
      <c r="E2239" t="s">
        <v>4779</v>
      </c>
      <c r="F2239" t="s">
        <v>4780</v>
      </c>
      <c r="G2239" t="s">
        <v>927</v>
      </c>
      <c r="H2239" t="s">
        <v>928</v>
      </c>
      <c r="I2239" t="s">
        <v>86</v>
      </c>
      <c r="J2239">
        <v>49</v>
      </c>
      <c r="K2239" t="s">
        <v>83</v>
      </c>
      <c r="L2239" t="s">
        <v>2674</v>
      </c>
      <c r="M2239" t="s">
        <v>58</v>
      </c>
      <c r="N2239" t="s">
        <v>2592</v>
      </c>
      <c r="O2239" t="s">
        <v>115</v>
      </c>
      <c r="P2239" t="s">
        <v>48</v>
      </c>
      <c r="Q2239" t="s">
        <v>137</v>
      </c>
      <c r="R2239">
        <v>2</v>
      </c>
      <c r="S2239">
        <v>12999</v>
      </c>
      <c r="T2239">
        <v>0.1</v>
      </c>
      <c r="U2239">
        <v>23398.2</v>
      </c>
      <c r="V2239">
        <v>18000</v>
      </c>
      <c r="W2239">
        <v>5398.2</v>
      </c>
      <c r="X2239" t="s">
        <v>73</v>
      </c>
      <c r="Y2239" t="s">
        <v>68</v>
      </c>
      <c r="Z2239" t="s">
        <v>161</v>
      </c>
      <c r="AA2239" t="s">
        <v>167</v>
      </c>
      <c r="AB2239">
        <v>4.3</v>
      </c>
      <c r="AC2239">
        <v>40</v>
      </c>
      <c r="AD2239">
        <v>2201.89</v>
      </c>
      <c r="AE2239">
        <f t="shared" si="68"/>
        <v>3156.31</v>
      </c>
      <c r="AF2239" t="str">
        <f t="shared" si="69"/>
        <v>2025-10</v>
      </c>
      <c r="AG2239">
        <f>SUBTOTAL(103,A2239)</f>
        <v>1</v>
      </c>
    </row>
    <row r="2240" spans="1:33" x14ac:dyDescent="0.3">
      <c r="A2240" t="s">
        <v>4861</v>
      </c>
      <c r="B2240" s="13">
        <v>45941</v>
      </c>
      <c r="C2240">
        <v>2025</v>
      </c>
      <c r="D2240">
        <v>10</v>
      </c>
      <c r="E2240" t="s">
        <v>4779</v>
      </c>
      <c r="F2240" t="s">
        <v>4780</v>
      </c>
      <c r="G2240" t="s">
        <v>545</v>
      </c>
      <c r="H2240" t="s">
        <v>546</v>
      </c>
      <c r="I2240" t="s">
        <v>86</v>
      </c>
      <c r="J2240">
        <v>25</v>
      </c>
      <c r="K2240" t="s">
        <v>80</v>
      </c>
      <c r="L2240" t="s">
        <v>2634</v>
      </c>
      <c r="M2240" t="s">
        <v>56</v>
      </c>
      <c r="N2240" t="s">
        <v>2577</v>
      </c>
      <c r="O2240" t="s">
        <v>129</v>
      </c>
      <c r="P2240" t="s">
        <v>49</v>
      </c>
      <c r="Q2240" t="s">
        <v>149</v>
      </c>
      <c r="R2240">
        <v>1</v>
      </c>
      <c r="S2240">
        <v>1299</v>
      </c>
      <c r="T2240">
        <v>0.05</v>
      </c>
      <c r="U2240">
        <v>1234.05</v>
      </c>
      <c r="V2240">
        <v>650</v>
      </c>
      <c r="W2240">
        <v>584.04999999999995</v>
      </c>
      <c r="X2240" t="s">
        <v>73</v>
      </c>
      <c r="Y2240" t="s">
        <v>68</v>
      </c>
      <c r="Z2240" t="s">
        <v>158</v>
      </c>
      <c r="AA2240" t="s">
        <v>171</v>
      </c>
      <c r="AB2240">
        <v>3.4</v>
      </c>
      <c r="AC2240">
        <v>60</v>
      </c>
      <c r="AD2240">
        <v>55.77</v>
      </c>
      <c r="AE2240">
        <f t="shared" si="68"/>
        <v>468.28</v>
      </c>
      <c r="AF2240" t="str">
        <f t="shared" si="69"/>
        <v>2025-10</v>
      </c>
      <c r="AG2240">
        <f>SUBTOTAL(103,A2240)</f>
        <v>1</v>
      </c>
    </row>
    <row r="2241" spans="1:33" x14ac:dyDescent="0.3">
      <c r="A2241" t="s">
        <v>4862</v>
      </c>
      <c r="B2241" s="13">
        <v>45941</v>
      </c>
      <c r="C2241">
        <v>2025</v>
      </c>
      <c r="D2241">
        <v>10</v>
      </c>
      <c r="E2241" t="s">
        <v>4779</v>
      </c>
      <c r="F2241" t="s">
        <v>4780</v>
      </c>
      <c r="G2241" t="s">
        <v>1523</v>
      </c>
      <c r="H2241" t="s">
        <v>1524</v>
      </c>
      <c r="I2241" t="s">
        <v>86</v>
      </c>
      <c r="J2241">
        <v>38</v>
      </c>
      <c r="K2241" t="s">
        <v>82</v>
      </c>
      <c r="L2241" t="s">
        <v>2616</v>
      </c>
      <c r="M2241" t="s">
        <v>62</v>
      </c>
      <c r="N2241" t="s">
        <v>2577</v>
      </c>
      <c r="O2241" t="s">
        <v>129</v>
      </c>
      <c r="P2241" t="s">
        <v>49</v>
      </c>
      <c r="Q2241" t="s">
        <v>149</v>
      </c>
      <c r="R2241">
        <v>2</v>
      </c>
      <c r="S2241">
        <v>1299</v>
      </c>
      <c r="T2241">
        <v>0</v>
      </c>
      <c r="U2241">
        <v>2598</v>
      </c>
      <c r="V2241">
        <v>1300</v>
      </c>
      <c r="W2241">
        <v>1298</v>
      </c>
      <c r="X2241" t="s">
        <v>74</v>
      </c>
      <c r="Y2241" t="s">
        <v>68</v>
      </c>
      <c r="Z2241" t="s">
        <v>158</v>
      </c>
      <c r="AA2241" t="s">
        <v>170</v>
      </c>
      <c r="AB2241">
        <v>4.4000000000000004</v>
      </c>
      <c r="AC2241">
        <v>100</v>
      </c>
      <c r="AD2241">
        <v>250.75</v>
      </c>
      <c r="AE2241">
        <f t="shared" si="68"/>
        <v>947.25</v>
      </c>
      <c r="AF2241" t="str">
        <f t="shared" si="69"/>
        <v>2025-10</v>
      </c>
      <c r="AG2241">
        <f>SUBTOTAL(103,A2241)</f>
        <v>1</v>
      </c>
    </row>
    <row r="2242" spans="1:33" x14ac:dyDescent="0.3">
      <c r="A2242" t="s">
        <v>4863</v>
      </c>
      <c r="B2242" s="13">
        <v>45941</v>
      </c>
      <c r="C2242">
        <v>2025</v>
      </c>
      <c r="D2242">
        <v>10</v>
      </c>
      <c r="E2242" t="s">
        <v>4779</v>
      </c>
      <c r="F2242" t="s">
        <v>4780</v>
      </c>
      <c r="G2242" t="s">
        <v>735</v>
      </c>
      <c r="H2242" t="s">
        <v>736</v>
      </c>
      <c r="I2242" t="s">
        <v>85</v>
      </c>
      <c r="J2242">
        <v>60</v>
      </c>
      <c r="K2242" t="s">
        <v>83</v>
      </c>
      <c r="L2242" t="s">
        <v>2634</v>
      </c>
      <c r="M2242" t="s">
        <v>56</v>
      </c>
      <c r="N2242" t="s">
        <v>2657</v>
      </c>
      <c r="O2242" t="s">
        <v>134</v>
      </c>
      <c r="P2242" t="s">
        <v>49</v>
      </c>
      <c r="Q2242" t="s">
        <v>140</v>
      </c>
      <c r="R2242">
        <v>3</v>
      </c>
      <c r="S2242">
        <v>599</v>
      </c>
      <c r="T2242">
        <v>0.1</v>
      </c>
      <c r="U2242">
        <v>1617.3</v>
      </c>
      <c r="V2242">
        <v>750</v>
      </c>
      <c r="W2242">
        <v>867.3</v>
      </c>
      <c r="X2242" t="s">
        <v>74</v>
      </c>
      <c r="Y2242" t="s">
        <v>68</v>
      </c>
      <c r="Z2242" t="s">
        <v>161</v>
      </c>
      <c r="AA2242" t="s">
        <v>167</v>
      </c>
      <c r="AB2242">
        <v>4.9000000000000004</v>
      </c>
      <c r="AC2242">
        <v>40</v>
      </c>
      <c r="AD2242">
        <v>82.18</v>
      </c>
      <c r="AE2242">
        <f t="shared" ref="AE2242:AE2305" si="70">W2242-AC2242-AD2242</f>
        <v>745.11999999999989</v>
      </c>
      <c r="AF2242" t="str">
        <f t="shared" ref="AF2242:AF2305" si="71">C2242&amp;"-"&amp;TEXT(D2242,"00")</f>
        <v>2025-10</v>
      </c>
      <c r="AG2242">
        <f>SUBTOTAL(103,A2242)</f>
        <v>1</v>
      </c>
    </row>
    <row r="2243" spans="1:33" x14ac:dyDescent="0.3">
      <c r="A2243" t="s">
        <v>4864</v>
      </c>
      <c r="B2243" s="13">
        <v>45941</v>
      </c>
      <c r="C2243">
        <v>2025</v>
      </c>
      <c r="D2243">
        <v>10</v>
      </c>
      <c r="E2243" t="s">
        <v>4779</v>
      </c>
      <c r="F2243" t="s">
        <v>4780</v>
      </c>
      <c r="G2243" t="s">
        <v>945</v>
      </c>
      <c r="H2243" t="s">
        <v>946</v>
      </c>
      <c r="I2243" t="s">
        <v>85</v>
      </c>
      <c r="J2243">
        <v>20</v>
      </c>
      <c r="K2243" t="s">
        <v>80</v>
      </c>
      <c r="L2243" t="s">
        <v>97</v>
      </c>
      <c r="M2243" t="s">
        <v>57</v>
      </c>
      <c r="N2243" t="s">
        <v>2653</v>
      </c>
      <c r="O2243" t="s">
        <v>132</v>
      </c>
      <c r="P2243" t="s">
        <v>52</v>
      </c>
      <c r="Q2243" t="s">
        <v>150</v>
      </c>
      <c r="R2243">
        <v>2</v>
      </c>
      <c r="S2243">
        <v>899</v>
      </c>
      <c r="T2243">
        <v>0.25</v>
      </c>
      <c r="U2243">
        <v>1348.5</v>
      </c>
      <c r="V2243">
        <v>840</v>
      </c>
      <c r="W2243">
        <v>508.5</v>
      </c>
      <c r="X2243" t="s">
        <v>74</v>
      </c>
      <c r="Y2243" t="s">
        <v>68</v>
      </c>
      <c r="Z2243" t="s">
        <v>162</v>
      </c>
      <c r="AA2243" t="s">
        <v>168</v>
      </c>
      <c r="AB2243">
        <v>3.7</v>
      </c>
      <c r="AC2243">
        <v>50</v>
      </c>
      <c r="AD2243">
        <v>43.4</v>
      </c>
      <c r="AE2243">
        <f t="shared" si="70"/>
        <v>415.1</v>
      </c>
      <c r="AF2243" t="str">
        <f t="shared" si="71"/>
        <v>2025-10</v>
      </c>
      <c r="AG2243">
        <f>SUBTOTAL(103,A2243)</f>
        <v>1</v>
      </c>
    </row>
    <row r="2244" spans="1:33" x14ac:dyDescent="0.3">
      <c r="A2244" t="s">
        <v>4865</v>
      </c>
      <c r="B2244" s="13">
        <v>45941</v>
      </c>
      <c r="C2244">
        <v>2025</v>
      </c>
      <c r="D2244">
        <v>10</v>
      </c>
      <c r="E2244" t="s">
        <v>4779</v>
      </c>
      <c r="F2244" t="s">
        <v>4780</v>
      </c>
      <c r="G2244" t="s">
        <v>345</v>
      </c>
      <c r="H2244" t="s">
        <v>346</v>
      </c>
      <c r="I2244" t="s">
        <v>85</v>
      </c>
      <c r="J2244">
        <v>34</v>
      </c>
      <c r="K2244" t="s">
        <v>81</v>
      </c>
      <c r="L2244" t="s">
        <v>96</v>
      </c>
      <c r="M2244" t="s">
        <v>55</v>
      </c>
      <c r="N2244" t="s">
        <v>2657</v>
      </c>
      <c r="O2244" t="s">
        <v>134</v>
      </c>
      <c r="P2244" t="s">
        <v>49</v>
      </c>
      <c r="Q2244" t="s">
        <v>140</v>
      </c>
      <c r="R2244">
        <v>4</v>
      </c>
      <c r="S2244">
        <v>599</v>
      </c>
      <c r="T2244">
        <v>0.1</v>
      </c>
      <c r="U2244">
        <v>2156.4</v>
      </c>
      <c r="V2244">
        <v>1000</v>
      </c>
      <c r="W2244">
        <v>1156.4000000000001</v>
      </c>
      <c r="X2244" t="s">
        <v>74</v>
      </c>
      <c r="Y2244" t="s">
        <v>69</v>
      </c>
      <c r="Z2244" t="s">
        <v>162</v>
      </c>
      <c r="AA2244" t="s">
        <v>167</v>
      </c>
      <c r="AB2244">
        <v>4.0999999999999996</v>
      </c>
      <c r="AC2244">
        <v>40</v>
      </c>
      <c r="AD2244">
        <v>230.6</v>
      </c>
      <c r="AE2244">
        <f t="shared" si="70"/>
        <v>885.80000000000007</v>
      </c>
      <c r="AF2244" t="str">
        <f t="shared" si="71"/>
        <v>2025-10</v>
      </c>
      <c r="AG2244">
        <f>SUBTOTAL(103,A2244)</f>
        <v>1</v>
      </c>
    </row>
    <row r="2245" spans="1:33" x14ac:dyDescent="0.3">
      <c r="A2245" t="s">
        <v>4866</v>
      </c>
      <c r="B2245" s="13">
        <v>45941</v>
      </c>
      <c r="C2245">
        <v>2025</v>
      </c>
      <c r="D2245">
        <v>10</v>
      </c>
      <c r="E2245" t="s">
        <v>4779</v>
      </c>
      <c r="F2245" t="s">
        <v>4780</v>
      </c>
      <c r="G2245" t="s">
        <v>609</v>
      </c>
      <c r="H2245" t="s">
        <v>610</v>
      </c>
      <c r="I2245" t="s">
        <v>86</v>
      </c>
      <c r="J2245">
        <v>29</v>
      </c>
      <c r="K2245" t="s">
        <v>81</v>
      </c>
      <c r="L2245" t="s">
        <v>97</v>
      </c>
      <c r="M2245" t="s">
        <v>57</v>
      </c>
      <c r="N2245" t="s">
        <v>2657</v>
      </c>
      <c r="O2245" t="s">
        <v>134</v>
      </c>
      <c r="P2245" t="s">
        <v>49</v>
      </c>
      <c r="Q2245" t="s">
        <v>140</v>
      </c>
      <c r="R2245">
        <v>1</v>
      </c>
      <c r="S2245">
        <v>599</v>
      </c>
      <c r="T2245">
        <v>0</v>
      </c>
      <c r="U2245">
        <v>599</v>
      </c>
      <c r="V2245">
        <v>250</v>
      </c>
      <c r="W2245">
        <v>349</v>
      </c>
      <c r="X2245" t="s">
        <v>74</v>
      </c>
      <c r="Y2245" t="s">
        <v>68</v>
      </c>
      <c r="Z2245" t="s">
        <v>159</v>
      </c>
      <c r="AA2245" t="s">
        <v>171</v>
      </c>
      <c r="AB2245">
        <v>4</v>
      </c>
      <c r="AC2245">
        <v>50</v>
      </c>
      <c r="AD2245">
        <v>66.91</v>
      </c>
      <c r="AE2245">
        <f t="shared" si="70"/>
        <v>232.09</v>
      </c>
      <c r="AF2245" t="str">
        <f t="shared" si="71"/>
        <v>2025-10</v>
      </c>
      <c r="AG2245">
        <f>SUBTOTAL(103,A2245)</f>
        <v>1</v>
      </c>
    </row>
    <row r="2246" spans="1:33" x14ac:dyDescent="0.3">
      <c r="A2246" t="s">
        <v>4867</v>
      </c>
      <c r="B2246" s="13">
        <v>45941</v>
      </c>
      <c r="C2246">
        <v>2025</v>
      </c>
      <c r="D2246">
        <v>10</v>
      </c>
      <c r="E2246" t="s">
        <v>4779</v>
      </c>
      <c r="F2246" t="s">
        <v>4780</v>
      </c>
      <c r="G2246" t="s">
        <v>393</v>
      </c>
      <c r="H2246" t="s">
        <v>394</v>
      </c>
      <c r="I2246" t="s">
        <v>85</v>
      </c>
      <c r="J2246">
        <v>33</v>
      </c>
      <c r="K2246" t="s">
        <v>81</v>
      </c>
      <c r="L2246" t="s">
        <v>99</v>
      </c>
      <c r="M2246" t="s">
        <v>58</v>
      </c>
      <c r="N2246" t="s">
        <v>2596</v>
      </c>
      <c r="O2246" t="s">
        <v>124</v>
      </c>
      <c r="P2246" t="s">
        <v>51</v>
      </c>
      <c r="Q2246" t="s">
        <v>147</v>
      </c>
      <c r="R2246">
        <v>4</v>
      </c>
      <c r="S2246">
        <v>2299</v>
      </c>
      <c r="T2246">
        <v>0.05</v>
      </c>
      <c r="U2246">
        <v>8736.2000000000007</v>
      </c>
      <c r="V2246">
        <v>4800</v>
      </c>
      <c r="W2246">
        <v>3936.2</v>
      </c>
      <c r="X2246" t="s">
        <v>73</v>
      </c>
      <c r="Y2246" t="s">
        <v>68</v>
      </c>
      <c r="Z2246" t="s">
        <v>159</v>
      </c>
      <c r="AA2246" t="s">
        <v>166</v>
      </c>
      <c r="AB2246">
        <v>4.5999999999999996</v>
      </c>
      <c r="AC2246">
        <v>80</v>
      </c>
      <c r="AD2246">
        <v>222.31</v>
      </c>
      <c r="AE2246">
        <f t="shared" si="70"/>
        <v>3633.89</v>
      </c>
      <c r="AF2246" t="str">
        <f t="shared" si="71"/>
        <v>2025-10</v>
      </c>
      <c r="AG2246">
        <f>SUBTOTAL(103,A2246)</f>
        <v>1</v>
      </c>
    </row>
    <row r="2247" spans="1:33" x14ac:dyDescent="0.3">
      <c r="A2247" t="s">
        <v>4868</v>
      </c>
      <c r="B2247" s="13">
        <v>45942</v>
      </c>
      <c r="C2247">
        <v>2025</v>
      </c>
      <c r="D2247">
        <v>10</v>
      </c>
      <c r="E2247" t="s">
        <v>4779</v>
      </c>
      <c r="F2247" t="s">
        <v>4780</v>
      </c>
      <c r="G2247" t="s">
        <v>265</v>
      </c>
      <c r="H2247" t="s">
        <v>266</v>
      </c>
      <c r="I2247" t="s">
        <v>85</v>
      </c>
      <c r="J2247">
        <v>35</v>
      </c>
      <c r="K2247" t="s">
        <v>81</v>
      </c>
      <c r="L2247" t="s">
        <v>93</v>
      </c>
      <c r="M2247" t="s">
        <v>55</v>
      </c>
      <c r="N2247" t="s">
        <v>2590</v>
      </c>
      <c r="O2247" t="s">
        <v>127</v>
      </c>
      <c r="P2247" t="s">
        <v>51</v>
      </c>
      <c r="Q2247" t="s">
        <v>148</v>
      </c>
      <c r="R2247">
        <v>4</v>
      </c>
      <c r="S2247">
        <v>1599</v>
      </c>
      <c r="T2247">
        <v>0.1</v>
      </c>
      <c r="U2247">
        <v>5756.4</v>
      </c>
      <c r="V2247">
        <v>3200</v>
      </c>
      <c r="W2247">
        <v>2556.4</v>
      </c>
      <c r="X2247" t="s">
        <v>73</v>
      </c>
      <c r="Y2247" t="s">
        <v>68</v>
      </c>
      <c r="Z2247" t="s">
        <v>162</v>
      </c>
      <c r="AA2247" t="s">
        <v>167</v>
      </c>
      <c r="AB2247">
        <v>4.5</v>
      </c>
      <c r="AC2247">
        <v>50</v>
      </c>
      <c r="AD2247">
        <v>294.01</v>
      </c>
      <c r="AE2247">
        <f t="shared" si="70"/>
        <v>2212.3900000000003</v>
      </c>
      <c r="AF2247" t="str">
        <f t="shared" si="71"/>
        <v>2025-10</v>
      </c>
      <c r="AG2247">
        <f>SUBTOTAL(103,A2247)</f>
        <v>1</v>
      </c>
    </row>
    <row r="2248" spans="1:33" x14ac:dyDescent="0.3">
      <c r="A2248" t="s">
        <v>4869</v>
      </c>
      <c r="B2248" s="13">
        <v>45942</v>
      </c>
      <c r="C2248">
        <v>2025</v>
      </c>
      <c r="D2248">
        <v>10</v>
      </c>
      <c r="E2248" t="s">
        <v>4779</v>
      </c>
      <c r="F2248" t="s">
        <v>4780</v>
      </c>
      <c r="G2248" t="s">
        <v>1557</v>
      </c>
      <c r="H2248" t="s">
        <v>1558</v>
      </c>
      <c r="I2248" t="s">
        <v>86</v>
      </c>
      <c r="J2248">
        <v>56</v>
      </c>
      <c r="K2248" t="s">
        <v>83</v>
      </c>
      <c r="L2248" t="s">
        <v>90</v>
      </c>
      <c r="M2248" t="s">
        <v>55</v>
      </c>
      <c r="N2248" t="s">
        <v>2644</v>
      </c>
      <c r="O2248" t="s">
        <v>126</v>
      </c>
      <c r="P2248" t="s">
        <v>50</v>
      </c>
      <c r="Q2248" t="s">
        <v>145</v>
      </c>
      <c r="R2248">
        <v>1</v>
      </c>
      <c r="S2248">
        <v>1799</v>
      </c>
      <c r="T2248">
        <v>0</v>
      </c>
      <c r="U2248">
        <v>1799</v>
      </c>
      <c r="V2248">
        <v>950</v>
      </c>
      <c r="W2248">
        <v>849</v>
      </c>
      <c r="X2248" t="s">
        <v>76</v>
      </c>
      <c r="Y2248" t="s">
        <v>68</v>
      </c>
      <c r="Z2248" t="s">
        <v>162</v>
      </c>
      <c r="AA2248" t="s">
        <v>166</v>
      </c>
      <c r="AB2248">
        <v>3.7</v>
      </c>
      <c r="AC2248">
        <v>40</v>
      </c>
      <c r="AD2248">
        <v>63.51</v>
      </c>
      <c r="AE2248">
        <f t="shared" si="70"/>
        <v>745.49</v>
      </c>
      <c r="AF2248" t="str">
        <f t="shared" si="71"/>
        <v>2025-10</v>
      </c>
      <c r="AG2248">
        <f>SUBTOTAL(103,A2248)</f>
        <v>1</v>
      </c>
    </row>
    <row r="2249" spans="1:33" x14ac:dyDescent="0.3">
      <c r="A2249" t="s">
        <v>4870</v>
      </c>
      <c r="B2249" s="13">
        <v>45942</v>
      </c>
      <c r="C2249">
        <v>2025</v>
      </c>
      <c r="D2249">
        <v>10</v>
      </c>
      <c r="E2249" t="s">
        <v>4779</v>
      </c>
      <c r="F2249" t="s">
        <v>4780</v>
      </c>
      <c r="G2249" t="s">
        <v>975</v>
      </c>
      <c r="H2249" t="s">
        <v>976</v>
      </c>
      <c r="I2249" t="s">
        <v>85</v>
      </c>
      <c r="J2249">
        <v>28</v>
      </c>
      <c r="K2249" t="s">
        <v>81</v>
      </c>
      <c r="L2249" t="s">
        <v>2661</v>
      </c>
      <c r="M2249" t="s">
        <v>58</v>
      </c>
      <c r="N2249" t="s">
        <v>2592</v>
      </c>
      <c r="O2249" t="s">
        <v>115</v>
      </c>
      <c r="P2249" t="s">
        <v>48</v>
      </c>
      <c r="Q2249" t="s">
        <v>137</v>
      </c>
      <c r="R2249">
        <v>1</v>
      </c>
      <c r="S2249">
        <v>12999</v>
      </c>
      <c r="T2249">
        <v>0.15</v>
      </c>
      <c r="U2249">
        <v>11049.15</v>
      </c>
      <c r="V2249">
        <v>9000</v>
      </c>
      <c r="W2249">
        <v>2049.15</v>
      </c>
      <c r="X2249" t="s">
        <v>75</v>
      </c>
      <c r="Y2249" t="s">
        <v>68</v>
      </c>
      <c r="Z2249" t="s">
        <v>158</v>
      </c>
      <c r="AA2249" t="s">
        <v>166</v>
      </c>
      <c r="AB2249">
        <v>4.3</v>
      </c>
      <c r="AC2249">
        <v>50</v>
      </c>
      <c r="AD2249">
        <v>293.33</v>
      </c>
      <c r="AE2249">
        <f t="shared" si="70"/>
        <v>1705.8200000000002</v>
      </c>
      <c r="AF2249" t="str">
        <f t="shared" si="71"/>
        <v>2025-10</v>
      </c>
      <c r="AG2249">
        <f>SUBTOTAL(103,A2249)</f>
        <v>1</v>
      </c>
    </row>
    <row r="2250" spans="1:33" x14ac:dyDescent="0.3">
      <c r="A2250" t="s">
        <v>4871</v>
      </c>
      <c r="B2250" s="13">
        <v>45942</v>
      </c>
      <c r="C2250">
        <v>2025</v>
      </c>
      <c r="D2250">
        <v>10</v>
      </c>
      <c r="E2250" t="s">
        <v>4779</v>
      </c>
      <c r="F2250" t="s">
        <v>4780</v>
      </c>
      <c r="G2250" t="s">
        <v>205</v>
      </c>
      <c r="H2250" t="s">
        <v>206</v>
      </c>
      <c r="I2250" t="s">
        <v>86</v>
      </c>
      <c r="J2250">
        <v>39</v>
      </c>
      <c r="K2250" t="s">
        <v>82</v>
      </c>
      <c r="L2250" t="s">
        <v>92</v>
      </c>
      <c r="M2250" t="s">
        <v>59</v>
      </c>
      <c r="N2250" t="s">
        <v>2587</v>
      </c>
      <c r="O2250" t="s">
        <v>116</v>
      </c>
      <c r="P2250" t="s">
        <v>48</v>
      </c>
      <c r="Q2250" t="s">
        <v>138</v>
      </c>
      <c r="R2250">
        <v>1</v>
      </c>
      <c r="S2250">
        <v>14999</v>
      </c>
      <c r="T2250">
        <v>0.2</v>
      </c>
      <c r="U2250">
        <v>11999.2</v>
      </c>
      <c r="V2250">
        <v>11200</v>
      </c>
      <c r="W2250">
        <v>799.2</v>
      </c>
      <c r="X2250" t="s">
        <v>74</v>
      </c>
      <c r="Y2250" t="s">
        <v>68</v>
      </c>
      <c r="Z2250" t="s">
        <v>159</v>
      </c>
      <c r="AA2250" t="s">
        <v>166</v>
      </c>
      <c r="AB2250">
        <v>4</v>
      </c>
      <c r="AC2250">
        <v>50</v>
      </c>
      <c r="AD2250">
        <v>329.04</v>
      </c>
      <c r="AE2250">
        <f t="shared" si="70"/>
        <v>420.16</v>
      </c>
      <c r="AF2250" t="str">
        <f t="shared" si="71"/>
        <v>2025-10</v>
      </c>
      <c r="AG2250">
        <f>SUBTOTAL(103,A2250)</f>
        <v>1</v>
      </c>
    </row>
    <row r="2251" spans="1:33" x14ac:dyDescent="0.3">
      <c r="A2251" t="s">
        <v>4872</v>
      </c>
      <c r="B2251" s="13">
        <v>45942</v>
      </c>
      <c r="C2251">
        <v>2025</v>
      </c>
      <c r="D2251">
        <v>10</v>
      </c>
      <c r="E2251" t="s">
        <v>4779</v>
      </c>
      <c r="F2251" t="s">
        <v>4780</v>
      </c>
      <c r="G2251" t="s">
        <v>1509</v>
      </c>
      <c r="H2251" t="s">
        <v>1510</v>
      </c>
      <c r="I2251" t="s">
        <v>85</v>
      </c>
      <c r="J2251">
        <v>42</v>
      </c>
      <c r="K2251" t="s">
        <v>82</v>
      </c>
      <c r="L2251" t="s">
        <v>2576</v>
      </c>
      <c r="M2251" t="s">
        <v>60</v>
      </c>
      <c r="N2251" t="s">
        <v>2603</v>
      </c>
      <c r="O2251" t="s">
        <v>122</v>
      </c>
      <c r="P2251" t="s">
        <v>48</v>
      </c>
      <c r="Q2251" t="s">
        <v>141</v>
      </c>
      <c r="R2251">
        <v>1</v>
      </c>
      <c r="S2251">
        <v>2499</v>
      </c>
      <c r="T2251">
        <v>0.15</v>
      </c>
      <c r="U2251">
        <v>2124.15</v>
      </c>
      <c r="V2251">
        <v>1450</v>
      </c>
      <c r="W2251">
        <v>674.15</v>
      </c>
      <c r="X2251" t="s">
        <v>75</v>
      </c>
      <c r="Y2251" t="s">
        <v>68</v>
      </c>
      <c r="Z2251" t="s">
        <v>163</v>
      </c>
      <c r="AA2251" t="s">
        <v>166</v>
      </c>
      <c r="AB2251">
        <v>5</v>
      </c>
      <c r="AC2251">
        <v>50</v>
      </c>
      <c r="AD2251">
        <v>63.69</v>
      </c>
      <c r="AE2251">
        <f t="shared" si="70"/>
        <v>560.46</v>
      </c>
      <c r="AF2251" t="str">
        <f t="shared" si="71"/>
        <v>2025-10</v>
      </c>
      <c r="AG2251">
        <f>SUBTOTAL(103,A2251)</f>
        <v>1</v>
      </c>
    </row>
    <row r="2252" spans="1:33" x14ac:dyDescent="0.3">
      <c r="A2252" t="s">
        <v>4873</v>
      </c>
      <c r="B2252" s="13">
        <v>45942</v>
      </c>
      <c r="C2252">
        <v>2025</v>
      </c>
      <c r="D2252">
        <v>10</v>
      </c>
      <c r="E2252" t="s">
        <v>4779</v>
      </c>
      <c r="F2252" t="s">
        <v>4780</v>
      </c>
      <c r="G2252" t="s">
        <v>543</v>
      </c>
      <c r="H2252" t="s">
        <v>544</v>
      </c>
      <c r="I2252" t="s">
        <v>86</v>
      </c>
      <c r="J2252">
        <v>37</v>
      </c>
      <c r="K2252" t="s">
        <v>82</v>
      </c>
      <c r="L2252" t="s">
        <v>2690</v>
      </c>
      <c r="M2252" t="s">
        <v>63</v>
      </c>
      <c r="N2252" t="s">
        <v>2657</v>
      </c>
      <c r="O2252" t="s">
        <v>134</v>
      </c>
      <c r="P2252" t="s">
        <v>49</v>
      </c>
      <c r="Q2252" t="s">
        <v>140</v>
      </c>
      <c r="R2252">
        <v>2</v>
      </c>
      <c r="S2252">
        <v>599</v>
      </c>
      <c r="T2252">
        <v>0.15</v>
      </c>
      <c r="U2252">
        <v>1018.3</v>
      </c>
      <c r="V2252">
        <v>500</v>
      </c>
      <c r="W2252">
        <v>518.29999999999995</v>
      </c>
      <c r="X2252" t="s">
        <v>76</v>
      </c>
      <c r="Y2252" t="s">
        <v>68</v>
      </c>
      <c r="Z2252" t="s">
        <v>159</v>
      </c>
      <c r="AA2252" t="s">
        <v>169</v>
      </c>
      <c r="AB2252">
        <v>4.0999999999999996</v>
      </c>
      <c r="AC2252">
        <v>40</v>
      </c>
      <c r="AD2252">
        <v>28.61</v>
      </c>
      <c r="AE2252">
        <f t="shared" si="70"/>
        <v>449.68999999999994</v>
      </c>
      <c r="AF2252" t="str">
        <f t="shared" si="71"/>
        <v>2025-10</v>
      </c>
      <c r="AG2252">
        <f>SUBTOTAL(103,A2252)</f>
        <v>1</v>
      </c>
    </row>
    <row r="2253" spans="1:33" x14ac:dyDescent="0.3">
      <c r="A2253" t="s">
        <v>4874</v>
      </c>
      <c r="B2253" s="13">
        <v>45942</v>
      </c>
      <c r="C2253">
        <v>2025</v>
      </c>
      <c r="D2253">
        <v>10</v>
      </c>
      <c r="E2253" t="s">
        <v>4779</v>
      </c>
      <c r="F2253" t="s">
        <v>4780</v>
      </c>
      <c r="G2253" t="s">
        <v>1579</v>
      </c>
      <c r="H2253" t="s">
        <v>1580</v>
      </c>
      <c r="I2253" t="s">
        <v>86</v>
      </c>
      <c r="J2253">
        <v>50</v>
      </c>
      <c r="K2253" t="s">
        <v>83</v>
      </c>
      <c r="L2253" t="s">
        <v>97</v>
      </c>
      <c r="M2253" t="s">
        <v>57</v>
      </c>
      <c r="N2253" t="s">
        <v>2574</v>
      </c>
      <c r="O2253" t="s">
        <v>130</v>
      </c>
      <c r="P2253" t="s">
        <v>50</v>
      </c>
      <c r="Q2253" t="s">
        <v>53</v>
      </c>
      <c r="R2253">
        <v>3</v>
      </c>
      <c r="S2253">
        <v>1199</v>
      </c>
      <c r="T2253">
        <v>0.1</v>
      </c>
      <c r="U2253">
        <v>3237.3</v>
      </c>
      <c r="V2253">
        <v>1650</v>
      </c>
      <c r="W2253">
        <v>1587.3</v>
      </c>
      <c r="X2253" t="s">
        <v>75</v>
      </c>
      <c r="Y2253" t="s">
        <v>68</v>
      </c>
      <c r="Z2253" t="s">
        <v>159</v>
      </c>
      <c r="AA2253" t="s">
        <v>170</v>
      </c>
      <c r="AB2253">
        <v>3.5</v>
      </c>
      <c r="AC2253">
        <v>60</v>
      </c>
      <c r="AD2253">
        <v>382.55</v>
      </c>
      <c r="AE2253">
        <f t="shared" si="70"/>
        <v>1144.75</v>
      </c>
      <c r="AF2253" t="str">
        <f t="shared" si="71"/>
        <v>2025-10</v>
      </c>
      <c r="AG2253">
        <f>SUBTOTAL(103,A2253)</f>
        <v>1</v>
      </c>
    </row>
    <row r="2254" spans="1:33" x14ac:dyDescent="0.3">
      <c r="A2254" t="s">
        <v>4875</v>
      </c>
      <c r="B2254" s="13">
        <v>45943</v>
      </c>
      <c r="C2254">
        <v>2025</v>
      </c>
      <c r="D2254">
        <v>10</v>
      </c>
      <c r="E2254" t="s">
        <v>4779</v>
      </c>
      <c r="F2254" t="s">
        <v>4780</v>
      </c>
      <c r="G2254" t="s">
        <v>607</v>
      </c>
      <c r="H2254" t="s">
        <v>608</v>
      </c>
      <c r="I2254" t="s">
        <v>85</v>
      </c>
      <c r="J2254">
        <v>32</v>
      </c>
      <c r="K2254" t="s">
        <v>81</v>
      </c>
      <c r="L2254" t="s">
        <v>2637</v>
      </c>
      <c r="M2254" t="s">
        <v>64</v>
      </c>
      <c r="N2254" t="s">
        <v>2626</v>
      </c>
      <c r="O2254" t="s">
        <v>125</v>
      </c>
      <c r="P2254" t="s">
        <v>48</v>
      </c>
      <c r="Q2254" t="s">
        <v>141</v>
      </c>
      <c r="R2254">
        <v>4</v>
      </c>
      <c r="S2254">
        <v>1999</v>
      </c>
      <c r="T2254">
        <v>0.25</v>
      </c>
      <c r="U2254">
        <v>5997</v>
      </c>
      <c r="V2254">
        <v>4600</v>
      </c>
      <c r="W2254">
        <v>1397</v>
      </c>
      <c r="X2254" t="s">
        <v>73</v>
      </c>
      <c r="Y2254" t="s">
        <v>68</v>
      </c>
      <c r="Z2254" t="s">
        <v>161</v>
      </c>
      <c r="AA2254" t="s">
        <v>169</v>
      </c>
      <c r="AB2254">
        <v>4.2</v>
      </c>
      <c r="AC2254">
        <v>40</v>
      </c>
      <c r="AD2254">
        <v>631.04999999999995</v>
      </c>
      <c r="AE2254">
        <f t="shared" si="70"/>
        <v>725.95</v>
      </c>
      <c r="AF2254" t="str">
        <f t="shared" si="71"/>
        <v>2025-10</v>
      </c>
      <c r="AG2254">
        <f>SUBTOTAL(103,A2254)</f>
        <v>1</v>
      </c>
    </row>
    <row r="2255" spans="1:33" x14ac:dyDescent="0.3">
      <c r="A2255" t="s">
        <v>4876</v>
      </c>
      <c r="B2255" s="13">
        <v>45943</v>
      </c>
      <c r="C2255">
        <v>2025</v>
      </c>
      <c r="D2255">
        <v>10</v>
      </c>
      <c r="E2255" t="s">
        <v>4779</v>
      </c>
      <c r="F2255" t="s">
        <v>4780</v>
      </c>
      <c r="G2255" t="s">
        <v>2451</v>
      </c>
      <c r="H2255" t="s">
        <v>2452</v>
      </c>
      <c r="I2255" t="s">
        <v>85</v>
      </c>
      <c r="J2255">
        <v>26</v>
      </c>
      <c r="K2255" t="s">
        <v>81</v>
      </c>
      <c r="L2255" t="s">
        <v>94</v>
      </c>
      <c r="M2255" t="s">
        <v>57</v>
      </c>
      <c r="N2255" t="s">
        <v>2647</v>
      </c>
      <c r="O2255" t="s">
        <v>133</v>
      </c>
      <c r="P2255" t="s">
        <v>50</v>
      </c>
      <c r="Q2255" t="s">
        <v>145</v>
      </c>
      <c r="R2255">
        <v>2</v>
      </c>
      <c r="S2255">
        <v>799</v>
      </c>
      <c r="T2255">
        <v>0.05</v>
      </c>
      <c r="U2255">
        <v>1518.1</v>
      </c>
      <c r="V2255">
        <v>780</v>
      </c>
      <c r="W2255">
        <v>738.1</v>
      </c>
      <c r="X2255" t="s">
        <v>73</v>
      </c>
      <c r="Y2255" t="s">
        <v>68</v>
      </c>
      <c r="Z2255" t="s">
        <v>161</v>
      </c>
      <c r="AA2255" t="s">
        <v>168</v>
      </c>
      <c r="AB2255">
        <v>3.7</v>
      </c>
      <c r="AC2255">
        <v>60</v>
      </c>
      <c r="AD2255">
        <v>42.09</v>
      </c>
      <c r="AE2255">
        <f t="shared" si="70"/>
        <v>636.01</v>
      </c>
      <c r="AF2255" t="str">
        <f t="shared" si="71"/>
        <v>2025-10</v>
      </c>
      <c r="AG2255">
        <f>SUBTOTAL(103,A2255)</f>
        <v>1</v>
      </c>
    </row>
    <row r="2256" spans="1:33" x14ac:dyDescent="0.3">
      <c r="A2256" t="s">
        <v>4877</v>
      </c>
      <c r="B2256" s="13">
        <v>45943</v>
      </c>
      <c r="C2256">
        <v>2025</v>
      </c>
      <c r="D2256">
        <v>10</v>
      </c>
      <c r="E2256" t="s">
        <v>4779</v>
      </c>
      <c r="F2256" t="s">
        <v>4780</v>
      </c>
      <c r="G2256" t="s">
        <v>485</v>
      </c>
      <c r="H2256" t="s">
        <v>486</v>
      </c>
      <c r="I2256" t="s">
        <v>86</v>
      </c>
      <c r="J2256">
        <v>49</v>
      </c>
      <c r="K2256" t="s">
        <v>83</v>
      </c>
      <c r="L2256" t="s">
        <v>90</v>
      </c>
      <c r="M2256" t="s">
        <v>55</v>
      </c>
      <c r="N2256" t="s">
        <v>2592</v>
      </c>
      <c r="O2256" t="s">
        <v>115</v>
      </c>
      <c r="P2256" t="s">
        <v>48</v>
      </c>
      <c r="Q2256" t="s">
        <v>137</v>
      </c>
      <c r="R2256">
        <v>2</v>
      </c>
      <c r="S2256">
        <v>12999</v>
      </c>
      <c r="T2256">
        <v>0</v>
      </c>
      <c r="U2256">
        <v>25998</v>
      </c>
      <c r="V2256">
        <v>18000</v>
      </c>
      <c r="W2256">
        <v>7998</v>
      </c>
      <c r="X2256" t="s">
        <v>75</v>
      </c>
      <c r="Y2256" t="s">
        <v>69</v>
      </c>
      <c r="Z2256" t="s">
        <v>160</v>
      </c>
      <c r="AA2256" t="s">
        <v>166</v>
      </c>
      <c r="AB2256">
        <v>5</v>
      </c>
      <c r="AC2256">
        <v>80</v>
      </c>
      <c r="AD2256">
        <v>655.96</v>
      </c>
      <c r="AE2256">
        <f t="shared" si="70"/>
        <v>7262.04</v>
      </c>
      <c r="AF2256" t="str">
        <f t="shared" si="71"/>
        <v>2025-10</v>
      </c>
      <c r="AG2256">
        <f>SUBTOTAL(103,A2256)</f>
        <v>1</v>
      </c>
    </row>
    <row r="2257" spans="1:33" x14ac:dyDescent="0.3">
      <c r="A2257" t="s">
        <v>4878</v>
      </c>
      <c r="B2257" s="13">
        <v>45943</v>
      </c>
      <c r="C2257">
        <v>2025</v>
      </c>
      <c r="D2257">
        <v>10</v>
      </c>
      <c r="E2257" t="s">
        <v>4779</v>
      </c>
      <c r="F2257" t="s">
        <v>4780</v>
      </c>
      <c r="G2257" t="s">
        <v>1141</v>
      </c>
      <c r="H2257" t="s">
        <v>1142</v>
      </c>
      <c r="I2257" t="s">
        <v>85</v>
      </c>
      <c r="J2257">
        <v>53</v>
      </c>
      <c r="K2257" t="s">
        <v>83</v>
      </c>
      <c r="L2257" t="s">
        <v>90</v>
      </c>
      <c r="M2257" t="s">
        <v>55</v>
      </c>
      <c r="N2257" t="s">
        <v>2590</v>
      </c>
      <c r="O2257" t="s">
        <v>127</v>
      </c>
      <c r="P2257" t="s">
        <v>51</v>
      </c>
      <c r="Q2257" t="s">
        <v>148</v>
      </c>
      <c r="R2257">
        <v>1</v>
      </c>
      <c r="S2257">
        <v>1599</v>
      </c>
      <c r="T2257">
        <v>0.1</v>
      </c>
      <c r="U2257">
        <v>1439.1</v>
      </c>
      <c r="V2257">
        <v>800</v>
      </c>
      <c r="W2257">
        <v>639.1</v>
      </c>
      <c r="X2257" t="s">
        <v>76</v>
      </c>
      <c r="Y2257" t="s">
        <v>68</v>
      </c>
      <c r="Z2257" t="s">
        <v>158</v>
      </c>
      <c r="AA2257" t="s">
        <v>171</v>
      </c>
      <c r="AB2257">
        <v>2.9</v>
      </c>
      <c r="AC2257">
        <v>50</v>
      </c>
      <c r="AD2257">
        <v>142.66999999999999</v>
      </c>
      <c r="AE2257">
        <f t="shared" si="70"/>
        <v>446.43000000000006</v>
      </c>
      <c r="AF2257" t="str">
        <f t="shared" si="71"/>
        <v>2025-10</v>
      </c>
      <c r="AG2257">
        <f>SUBTOTAL(103,A2257)</f>
        <v>1</v>
      </c>
    </row>
    <row r="2258" spans="1:33" x14ac:dyDescent="0.3">
      <c r="A2258" t="s">
        <v>4879</v>
      </c>
      <c r="B2258" s="13">
        <v>45943</v>
      </c>
      <c r="C2258">
        <v>2025</v>
      </c>
      <c r="D2258">
        <v>10</v>
      </c>
      <c r="E2258" t="s">
        <v>4779</v>
      </c>
      <c r="F2258" t="s">
        <v>4780</v>
      </c>
      <c r="G2258" t="s">
        <v>603</v>
      </c>
      <c r="H2258" t="s">
        <v>604</v>
      </c>
      <c r="I2258" t="s">
        <v>86</v>
      </c>
      <c r="J2258">
        <v>47</v>
      </c>
      <c r="K2258" t="s">
        <v>83</v>
      </c>
      <c r="L2258" t="s">
        <v>92</v>
      </c>
      <c r="M2258" t="s">
        <v>59</v>
      </c>
      <c r="N2258" t="s">
        <v>2587</v>
      </c>
      <c r="O2258" t="s">
        <v>116</v>
      </c>
      <c r="P2258" t="s">
        <v>48</v>
      </c>
      <c r="Q2258" t="s">
        <v>138</v>
      </c>
      <c r="R2258">
        <v>2</v>
      </c>
      <c r="S2258">
        <v>14999</v>
      </c>
      <c r="T2258">
        <v>0.05</v>
      </c>
      <c r="U2258">
        <v>28498.1</v>
      </c>
      <c r="V2258">
        <v>22400</v>
      </c>
      <c r="W2258">
        <v>6098.1</v>
      </c>
      <c r="X2258" t="s">
        <v>73</v>
      </c>
      <c r="Y2258" t="s">
        <v>68</v>
      </c>
      <c r="Z2258" t="s">
        <v>159</v>
      </c>
      <c r="AA2258" t="s">
        <v>167</v>
      </c>
      <c r="AB2258">
        <v>3.5</v>
      </c>
      <c r="AC2258">
        <v>100</v>
      </c>
      <c r="AD2258">
        <v>2877.56</v>
      </c>
      <c r="AE2258">
        <f t="shared" si="70"/>
        <v>3120.5400000000004</v>
      </c>
      <c r="AF2258" t="str">
        <f t="shared" si="71"/>
        <v>2025-10</v>
      </c>
      <c r="AG2258">
        <f>SUBTOTAL(103,A2258)</f>
        <v>1</v>
      </c>
    </row>
    <row r="2259" spans="1:33" x14ac:dyDescent="0.3">
      <c r="A2259" t="s">
        <v>4880</v>
      </c>
      <c r="B2259" s="13">
        <v>45943</v>
      </c>
      <c r="C2259">
        <v>2025</v>
      </c>
      <c r="D2259">
        <v>10</v>
      </c>
      <c r="E2259" t="s">
        <v>4779</v>
      </c>
      <c r="F2259" t="s">
        <v>4780</v>
      </c>
      <c r="G2259" t="s">
        <v>549</v>
      </c>
      <c r="H2259" t="s">
        <v>550</v>
      </c>
      <c r="I2259" t="s">
        <v>85</v>
      </c>
      <c r="J2259">
        <v>26</v>
      </c>
      <c r="K2259" t="s">
        <v>81</v>
      </c>
      <c r="L2259" t="s">
        <v>2589</v>
      </c>
      <c r="M2259" t="s">
        <v>61</v>
      </c>
      <c r="N2259" t="s">
        <v>2601</v>
      </c>
      <c r="O2259" t="s">
        <v>117</v>
      </c>
      <c r="P2259" t="s">
        <v>49</v>
      </c>
      <c r="Q2259" t="s">
        <v>139</v>
      </c>
      <c r="R2259">
        <v>5</v>
      </c>
      <c r="S2259">
        <v>6999</v>
      </c>
      <c r="T2259">
        <v>0.25</v>
      </c>
      <c r="U2259">
        <v>26246.25</v>
      </c>
      <c r="V2259">
        <v>21500</v>
      </c>
      <c r="W2259">
        <v>4746.25</v>
      </c>
      <c r="X2259" t="s">
        <v>73</v>
      </c>
      <c r="Y2259" t="s">
        <v>68</v>
      </c>
      <c r="Z2259" t="s">
        <v>160</v>
      </c>
      <c r="AA2259" t="s">
        <v>167</v>
      </c>
      <c r="AB2259">
        <v>3.8</v>
      </c>
      <c r="AC2259">
        <v>50</v>
      </c>
      <c r="AD2259">
        <v>2783.58</v>
      </c>
      <c r="AE2259">
        <f t="shared" si="70"/>
        <v>1912.67</v>
      </c>
      <c r="AF2259" t="str">
        <f t="shared" si="71"/>
        <v>2025-10</v>
      </c>
      <c r="AG2259">
        <f>SUBTOTAL(103,A2259)</f>
        <v>1</v>
      </c>
    </row>
    <row r="2260" spans="1:33" x14ac:dyDescent="0.3">
      <c r="A2260" t="s">
        <v>4881</v>
      </c>
      <c r="B2260" s="13">
        <v>45944</v>
      </c>
      <c r="C2260">
        <v>2025</v>
      </c>
      <c r="D2260">
        <v>10</v>
      </c>
      <c r="E2260" t="s">
        <v>4779</v>
      </c>
      <c r="F2260" t="s">
        <v>4780</v>
      </c>
      <c r="G2260" t="s">
        <v>1755</v>
      </c>
      <c r="H2260" t="s">
        <v>1756</v>
      </c>
      <c r="I2260" t="s">
        <v>86</v>
      </c>
      <c r="J2260">
        <v>23</v>
      </c>
      <c r="K2260" t="s">
        <v>80</v>
      </c>
      <c r="L2260" t="s">
        <v>98</v>
      </c>
      <c r="M2260" t="s">
        <v>55</v>
      </c>
      <c r="N2260" t="s">
        <v>2594</v>
      </c>
      <c r="O2260" t="s">
        <v>131</v>
      </c>
      <c r="P2260" t="s">
        <v>53</v>
      </c>
      <c r="Q2260" t="s">
        <v>143</v>
      </c>
      <c r="R2260">
        <v>2</v>
      </c>
      <c r="S2260">
        <v>999</v>
      </c>
      <c r="T2260">
        <v>0.1</v>
      </c>
      <c r="U2260">
        <v>1798.2</v>
      </c>
      <c r="V2260">
        <v>1040</v>
      </c>
      <c r="W2260">
        <v>758.2</v>
      </c>
      <c r="X2260" t="s">
        <v>73</v>
      </c>
      <c r="Y2260" t="s">
        <v>68</v>
      </c>
      <c r="Z2260" t="s">
        <v>158</v>
      </c>
      <c r="AA2260" t="s">
        <v>168</v>
      </c>
      <c r="AB2260">
        <v>3</v>
      </c>
      <c r="AC2260">
        <v>40</v>
      </c>
      <c r="AD2260">
        <v>190.06</v>
      </c>
      <c r="AE2260">
        <f t="shared" si="70"/>
        <v>528.1400000000001</v>
      </c>
      <c r="AF2260" t="str">
        <f t="shared" si="71"/>
        <v>2025-10</v>
      </c>
      <c r="AG2260">
        <f>SUBTOTAL(103,A2260)</f>
        <v>1</v>
      </c>
    </row>
    <row r="2261" spans="1:33" x14ac:dyDescent="0.3">
      <c r="A2261" t="s">
        <v>4882</v>
      </c>
      <c r="B2261" s="13">
        <v>45944</v>
      </c>
      <c r="C2261">
        <v>2025</v>
      </c>
      <c r="D2261">
        <v>10</v>
      </c>
      <c r="E2261" t="s">
        <v>4779</v>
      </c>
      <c r="F2261" t="s">
        <v>4780</v>
      </c>
      <c r="G2261" t="s">
        <v>1101</v>
      </c>
      <c r="H2261" t="s">
        <v>1102</v>
      </c>
      <c r="I2261" t="s">
        <v>85</v>
      </c>
      <c r="J2261">
        <v>55</v>
      </c>
      <c r="K2261" t="s">
        <v>83</v>
      </c>
      <c r="L2261" t="s">
        <v>2579</v>
      </c>
      <c r="M2261" t="s">
        <v>56</v>
      </c>
      <c r="N2261" t="s">
        <v>2574</v>
      </c>
      <c r="O2261" t="s">
        <v>130</v>
      </c>
      <c r="P2261" t="s">
        <v>50</v>
      </c>
      <c r="Q2261" t="s">
        <v>53</v>
      </c>
      <c r="R2261">
        <v>1</v>
      </c>
      <c r="S2261">
        <v>1199</v>
      </c>
      <c r="T2261">
        <v>0.05</v>
      </c>
      <c r="U2261">
        <v>1139.05</v>
      </c>
      <c r="V2261">
        <v>550</v>
      </c>
      <c r="W2261">
        <v>589.04999999999995</v>
      </c>
      <c r="X2261" t="s">
        <v>73</v>
      </c>
      <c r="Y2261" t="s">
        <v>68</v>
      </c>
      <c r="Z2261" t="s">
        <v>160</v>
      </c>
      <c r="AA2261" t="s">
        <v>169</v>
      </c>
      <c r="AB2261">
        <v>4.0999999999999996</v>
      </c>
      <c r="AC2261">
        <v>40</v>
      </c>
      <c r="AD2261">
        <v>102.94</v>
      </c>
      <c r="AE2261">
        <f t="shared" si="70"/>
        <v>446.10999999999996</v>
      </c>
      <c r="AF2261" t="str">
        <f t="shared" si="71"/>
        <v>2025-10</v>
      </c>
      <c r="AG2261">
        <f>SUBTOTAL(103,A2261)</f>
        <v>1</v>
      </c>
    </row>
    <row r="2262" spans="1:33" x14ac:dyDescent="0.3">
      <c r="A2262" t="s">
        <v>4883</v>
      </c>
      <c r="B2262" s="13">
        <v>45944</v>
      </c>
      <c r="C2262">
        <v>2025</v>
      </c>
      <c r="D2262">
        <v>10</v>
      </c>
      <c r="E2262" t="s">
        <v>4779</v>
      </c>
      <c r="F2262" t="s">
        <v>4780</v>
      </c>
      <c r="G2262" t="s">
        <v>1703</v>
      </c>
      <c r="H2262" t="s">
        <v>1704</v>
      </c>
      <c r="I2262" t="s">
        <v>86</v>
      </c>
      <c r="J2262">
        <v>22</v>
      </c>
      <c r="K2262" t="s">
        <v>80</v>
      </c>
      <c r="L2262" t="s">
        <v>2610</v>
      </c>
      <c r="M2262" t="s">
        <v>64</v>
      </c>
      <c r="N2262" t="s">
        <v>2577</v>
      </c>
      <c r="O2262" t="s">
        <v>129</v>
      </c>
      <c r="P2262" t="s">
        <v>49</v>
      </c>
      <c r="Q2262" t="s">
        <v>149</v>
      </c>
      <c r="R2262">
        <v>2</v>
      </c>
      <c r="S2262">
        <v>1299</v>
      </c>
      <c r="T2262">
        <v>0.15</v>
      </c>
      <c r="U2262">
        <v>2208.3000000000002</v>
      </c>
      <c r="V2262">
        <v>1300</v>
      </c>
      <c r="W2262">
        <v>908.3</v>
      </c>
      <c r="X2262" t="s">
        <v>76</v>
      </c>
      <c r="Y2262" t="s">
        <v>68</v>
      </c>
      <c r="Z2262" t="s">
        <v>158</v>
      </c>
      <c r="AA2262" t="s">
        <v>171</v>
      </c>
      <c r="AB2262">
        <v>3.9</v>
      </c>
      <c r="AC2262">
        <v>50</v>
      </c>
      <c r="AD2262">
        <v>82.7</v>
      </c>
      <c r="AE2262">
        <f t="shared" si="70"/>
        <v>775.59999999999991</v>
      </c>
      <c r="AF2262" t="str">
        <f t="shared" si="71"/>
        <v>2025-10</v>
      </c>
      <c r="AG2262">
        <f>SUBTOTAL(103,A2262)</f>
        <v>1</v>
      </c>
    </row>
    <row r="2263" spans="1:33" x14ac:dyDescent="0.3">
      <c r="A2263" t="s">
        <v>4884</v>
      </c>
      <c r="B2263" s="13">
        <v>45944</v>
      </c>
      <c r="C2263">
        <v>2025</v>
      </c>
      <c r="D2263">
        <v>10</v>
      </c>
      <c r="E2263" t="s">
        <v>4779</v>
      </c>
      <c r="F2263" t="s">
        <v>4780</v>
      </c>
      <c r="G2263" t="s">
        <v>1449</v>
      </c>
      <c r="H2263" t="s">
        <v>1450</v>
      </c>
      <c r="I2263" t="s">
        <v>87</v>
      </c>
      <c r="J2263">
        <v>52</v>
      </c>
      <c r="K2263" t="s">
        <v>83</v>
      </c>
      <c r="L2263" t="s">
        <v>93</v>
      </c>
      <c r="M2263" t="s">
        <v>55</v>
      </c>
      <c r="N2263" t="s">
        <v>2590</v>
      </c>
      <c r="O2263" t="s">
        <v>127</v>
      </c>
      <c r="P2263" t="s">
        <v>51</v>
      </c>
      <c r="Q2263" t="s">
        <v>148</v>
      </c>
      <c r="R2263">
        <v>2</v>
      </c>
      <c r="S2263">
        <v>1599</v>
      </c>
      <c r="T2263">
        <v>0.05</v>
      </c>
      <c r="U2263">
        <v>0</v>
      </c>
      <c r="V2263">
        <v>0</v>
      </c>
      <c r="W2263">
        <v>0</v>
      </c>
      <c r="X2263" t="s">
        <v>76</v>
      </c>
      <c r="Y2263" t="s">
        <v>71</v>
      </c>
      <c r="Z2263" t="s">
        <v>160</v>
      </c>
      <c r="AA2263" t="s">
        <v>166</v>
      </c>
      <c r="AB2263">
        <v>3.9</v>
      </c>
      <c r="AC2263">
        <v>60</v>
      </c>
      <c r="AD2263">
        <v>95.87</v>
      </c>
      <c r="AE2263">
        <f t="shared" si="70"/>
        <v>-155.87</v>
      </c>
      <c r="AF2263" t="str">
        <f t="shared" si="71"/>
        <v>2025-10</v>
      </c>
      <c r="AG2263">
        <f>SUBTOTAL(103,A2263)</f>
        <v>1</v>
      </c>
    </row>
    <row r="2264" spans="1:33" x14ac:dyDescent="0.3">
      <c r="A2264" t="s">
        <v>4885</v>
      </c>
      <c r="B2264" s="13">
        <v>45944</v>
      </c>
      <c r="C2264">
        <v>2025</v>
      </c>
      <c r="D2264">
        <v>10</v>
      </c>
      <c r="E2264" t="s">
        <v>4779</v>
      </c>
      <c r="F2264" t="s">
        <v>4780</v>
      </c>
      <c r="G2264" t="s">
        <v>413</v>
      </c>
      <c r="H2264" t="s">
        <v>414</v>
      </c>
      <c r="I2264" t="s">
        <v>85</v>
      </c>
      <c r="J2264">
        <v>20</v>
      </c>
      <c r="K2264" t="s">
        <v>80</v>
      </c>
      <c r="L2264" t="s">
        <v>2573</v>
      </c>
      <c r="M2264" t="s">
        <v>63</v>
      </c>
      <c r="N2264" t="s">
        <v>2577</v>
      </c>
      <c r="O2264" t="s">
        <v>129</v>
      </c>
      <c r="P2264" t="s">
        <v>49</v>
      </c>
      <c r="Q2264" t="s">
        <v>149</v>
      </c>
      <c r="R2264">
        <v>2</v>
      </c>
      <c r="S2264">
        <v>1299</v>
      </c>
      <c r="T2264">
        <v>0.1</v>
      </c>
      <c r="U2264">
        <v>2338.1999999999998</v>
      </c>
      <c r="V2264">
        <v>1300</v>
      </c>
      <c r="W2264">
        <v>1038.2</v>
      </c>
      <c r="X2264" t="s">
        <v>74</v>
      </c>
      <c r="Y2264" t="s">
        <v>68</v>
      </c>
      <c r="Z2264" t="s">
        <v>158</v>
      </c>
      <c r="AA2264" t="s">
        <v>167</v>
      </c>
      <c r="AB2264">
        <v>3</v>
      </c>
      <c r="AC2264">
        <v>40</v>
      </c>
      <c r="AD2264">
        <v>190.74</v>
      </c>
      <c r="AE2264">
        <f t="shared" si="70"/>
        <v>807.46</v>
      </c>
      <c r="AF2264" t="str">
        <f t="shared" si="71"/>
        <v>2025-10</v>
      </c>
      <c r="AG2264">
        <f>SUBTOTAL(103,A2264)</f>
        <v>1</v>
      </c>
    </row>
    <row r="2265" spans="1:33" x14ac:dyDescent="0.3">
      <c r="A2265" t="s">
        <v>4886</v>
      </c>
      <c r="B2265" s="13">
        <v>45944</v>
      </c>
      <c r="C2265">
        <v>2025</v>
      </c>
      <c r="D2265">
        <v>10</v>
      </c>
      <c r="E2265" t="s">
        <v>4779</v>
      </c>
      <c r="F2265" t="s">
        <v>4780</v>
      </c>
      <c r="G2265" t="s">
        <v>1047</v>
      </c>
      <c r="H2265" t="s">
        <v>1048</v>
      </c>
      <c r="I2265" t="s">
        <v>85</v>
      </c>
      <c r="J2265">
        <v>40</v>
      </c>
      <c r="K2265" t="s">
        <v>82</v>
      </c>
      <c r="L2265" t="s">
        <v>96</v>
      </c>
      <c r="M2265" t="s">
        <v>55</v>
      </c>
      <c r="N2265" t="s">
        <v>2596</v>
      </c>
      <c r="O2265" t="s">
        <v>124</v>
      </c>
      <c r="P2265" t="s">
        <v>51</v>
      </c>
      <c r="Q2265" t="s">
        <v>147</v>
      </c>
      <c r="R2265">
        <v>1</v>
      </c>
      <c r="S2265">
        <v>2299</v>
      </c>
      <c r="T2265">
        <v>0.2</v>
      </c>
      <c r="U2265">
        <v>1839.2</v>
      </c>
      <c r="V2265">
        <v>1200</v>
      </c>
      <c r="W2265">
        <v>639.20000000000005</v>
      </c>
      <c r="X2265" t="s">
        <v>77</v>
      </c>
      <c r="Y2265" t="s">
        <v>68</v>
      </c>
      <c r="Z2265" t="s">
        <v>159</v>
      </c>
      <c r="AA2265" t="s">
        <v>167</v>
      </c>
      <c r="AB2265">
        <v>3.5</v>
      </c>
      <c r="AC2265">
        <v>50</v>
      </c>
      <c r="AD2265">
        <v>37.81</v>
      </c>
      <c r="AE2265">
        <f t="shared" si="70"/>
        <v>551.3900000000001</v>
      </c>
      <c r="AF2265" t="str">
        <f t="shared" si="71"/>
        <v>2025-10</v>
      </c>
      <c r="AG2265">
        <f>SUBTOTAL(103,A2265)</f>
        <v>1</v>
      </c>
    </row>
    <row r="2266" spans="1:33" x14ac:dyDescent="0.3">
      <c r="A2266" t="s">
        <v>4887</v>
      </c>
      <c r="B2266" s="13">
        <v>45945</v>
      </c>
      <c r="C2266">
        <v>2025</v>
      </c>
      <c r="D2266">
        <v>10</v>
      </c>
      <c r="E2266" t="s">
        <v>4779</v>
      </c>
      <c r="F2266" t="s">
        <v>4780</v>
      </c>
      <c r="G2266" t="s">
        <v>1787</v>
      </c>
      <c r="H2266" t="s">
        <v>1788</v>
      </c>
      <c r="I2266" t="s">
        <v>85</v>
      </c>
      <c r="J2266">
        <v>55</v>
      </c>
      <c r="K2266" t="s">
        <v>83</v>
      </c>
      <c r="L2266" t="s">
        <v>59</v>
      </c>
      <c r="M2266" t="s">
        <v>59</v>
      </c>
      <c r="N2266" t="s">
        <v>2653</v>
      </c>
      <c r="O2266" t="s">
        <v>132</v>
      </c>
      <c r="P2266" t="s">
        <v>52</v>
      </c>
      <c r="Q2266" t="s">
        <v>150</v>
      </c>
      <c r="R2266">
        <v>2</v>
      </c>
      <c r="S2266">
        <v>899</v>
      </c>
      <c r="T2266">
        <v>0.15</v>
      </c>
      <c r="U2266">
        <v>1528.3</v>
      </c>
      <c r="V2266">
        <v>840</v>
      </c>
      <c r="W2266">
        <v>688.3</v>
      </c>
      <c r="X2266" t="s">
        <v>73</v>
      </c>
      <c r="Y2266" t="s">
        <v>68</v>
      </c>
      <c r="Z2266" t="s">
        <v>162</v>
      </c>
      <c r="AA2266" t="s">
        <v>167</v>
      </c>
      <c r="AB2266">
        <v>4.5</v>
      </c>
      <c r="AC2266">
        <v>60</v>
      </c>
      <c r="AD2266">
        <v>91.43</v>
      </c>
      <c r="AE2266">
        <f t="shared" si="70"/>
        <v>536.86999999999989</v>
      </c>
      <c r="AF2266" t="str">
        <f t="shared" si="71"/>
        <v>2025-10</v>
      </c>
      <c r="AG2266">
        <f>SUBTOTAL(103,A2266)</f>
        <v>1</v>
      </c>
    </row>
    <row r="2267" spans="1:33" x14ac:dyDescent="0.3">
      <c r="A2267" t="s">
        <v>4888</v>
      </c>
      <c r="B2267" s="13">
        <v>45945</v>
      </c>
      <c r="C2267">
        <v>2025</v>
      </c>
      <c r="D2267">
        <v>10</v>
      </c>
      <c r="E2267" t="s">
        <v>4779</v>
      </c>
      <c r="F2267" t="s">
        <v>4780</v>
      </c>
      <c r="G2267" t="s">
        <v>2123</v>
      </c>
      <c r="H2267" t="s">
        <v>2124</v>
      </c>
      <c r="I2267" t="s">
        <v>85</v>
      </c>
      <c r="J2267">
        <v>39</v>
      </c>
      <c r="K2267" t="s">
        <v>82</v>
      </c>
      <c r="L2267" t="s">
        <v>2610</v>
      </c>
      <c r="M2267" t="s">
        <v>64</v>
      </c>
      <c r="N2267" t="s">
        <v>2577</v>
      </c>
      <c r="O2267" t="s">
        <v>129</v>
      </c>
      <c r="P2267" t="s">
        <v>49</v>
      </c>
      <c r="Q2267" t="s">
        <v>149</v>
      </c>
      <c r="R2267">
        <v>1</v>
      </c>
      <c r="S2267">
        <v>1299</v>
      </c>
      <c r="T2267">
        <v>0.15</v>
      </c>
      <c r="U2267">
        <v>1104.1500000000001</v>
      </c>
      <c r="V2267">
        <v>650</v>
      </c>
      <c r="W2267">
        <v>454.15</v>
      </c>
      <c r="X2267" t="s">
        <v>73</v>
      </c>
      <c r="Y2267" t="s">
        <v>68</v>
      </c>
      <c r="Z2267" t="s">
        <v>160</v>
      </c>
      <c r="AA2267" t="s">
        <v>166</v>
      </c>
      <c r="AB2267">
        <v>2.9</v>
      </c>
      <c r="AC2267">
        <v>80</v>
      </c>
      <c r="AD2267">
        <v>46.01</v>
      </c>
      <c r="AE2267">
        <f t="shared" si="70"/>
        <v>328.14</v>
      </c>
      <c r="AF2267" t="str">
        <f t="shared" si="71"/>
        <v>2025-10</v>
      </c>
      <c r="AG2267">
        <f>SUBTOTAL(103,A2267)</f>
        <v>1</v>
      </c>
    </row>
    <row r="2268" spans="1:33" x14ac:dyDescent="0.3">
      <c r="A2268" t="s">
        <v>4889</v>
      </c>
      <c r="B2268" s="13">
        <v>45945</v>
      </c>
      <c r="C2268">
        <v>2025</v>
      </c>
      <c r="D2268">
        <v>10</v>
      </c>
      <c r="E2268" t="s">
        <v>4779</v>
      </c>
      <c r="F2268" t="s">
        <v>4780</v>
      </c>
      <c r="G2268" t="s">
        <v>939</v>
      </c>
      <c r="H2268" t="s">
        <v>940</v>
      </c>
      <c r="I2268" t="s">
        <v>85</v>
      </c>
      <c r="J2268">
        <v>35</v>
      </c>
      <c r="K2268" t="s">
        <v>81</v>
      </c>
      <c r="L2268" t="s">
        <v>97</v>
      </c>
      <c r="M2268" t="s">
        <v>57</v>
      </c>
      <c r="N2268" t="s">
        <v>2574</v>
      </c>
      <c r="O2268" t="s">
        <v>130</v>
      </c>
      <c r="P2268" t="s">
        <v>50</v>
      </c>
      <c r="Q2268" t="s">
        <v>53</v>
      </c>
      <c r="R2268">
        <v>4</v>
      </c>
      <c r="S2268">
        <v>1199</v>
      </c>
      <c r="T2268">
        <v>0.1</v>
      </c>
      <c r="U2268">
        <v>4316.3999999999996</v>
      </c>
      <c r="V2268">
        <v>2200</v>
      </c>
      <c r="W2268">
        <v>2116.4</v>
      </c>
      <c r="X2268" t="s">
        <v>73</v>
      </c>
      <c r="Y2268" t="s">
        <v>68</v>
      </c>
      <c r="Z2268" t="s">
        <v>162</v>
      </c>
      <c r="AA2268" t="s">
        <v>171</v>
      </c>
      <c r="AB2268">
        <v>4.9000000000000004</v>
      </c>
      <c r="AC2268">
        <v>120</v>
      </c>
      <c r="AD2268">
        <v>515.36</v>
      </c>
      <c r="AE2268">
        <f t="shared" si="70"/>
        <v>1481.04</v>
      </c>
      <c r="AF2268" t="str">
        <f t="shared" si="71"/>
        <v>2025-10</v>
      </c>
      <c r="AG2268">
        <f>SUBTOTAL(103,A2268)</f>
        <v>1</v>
      </c>
    </row>
    <row r="2269" spans="1:33" x14ac:dyDescent="0.3">
      <c r="A2269" t="s">
        <v>4890</v>
      </c>
      <c r="B2269" s="13">
        <v>45945</v>
      </c>
      <c r="C2269">
        <v>2025</v>
      </c>
      <c r="D2269">
        <v>10</v>
      </c>
      <c r="E2269" t="s">
        <v>4779</v>
      </c>
      <c r="F2269" t="s">
        <v>4780</v>
      </c>
      <c r="G2269" t="s">
        <v>741</v>
      </c>
      <c r="H2269" t="s">
        <v>742</v>
      </c>
      <c r="I2269" t="s">
        <v>85</v>
      </c>
      <c r="J2269">
        <v>30</v>
      </c>
      <c r="K2269" t="s">
        <v>81</v>
      </c>
      <c r="L2269" t="s">
        <v>2579</v>
      </c>
      <c r="M2269" t="s">
        <v>56</v>
      </c>
      <c r="N2269" t="s">
        <v>2630</v>
      </c>
      <c r="O2269" t="s">
        <v>123</v>
      </c>
      <c r="P2269" t="s">
        <v>52</v>
      </c>
      <c r="Q2269" t="s">
        <v>146</v>
      </c>
      <c r="R2269">
        <v>2</v>
      </c>
      <c r="S2269">
        <v>2499</v>
      </c>
      <c r="T2269">
        <v>0.05</v>
      </c>
      <c r="U2269">
        <v>4748.1000000000004</v>
      </c>
      <c r="V2269">
        <v>2800</v>
      </c>
      <c r="W2269">
        <v>1948.1</v>
      </c>
      <c r="X2269" t="s">
        <v>73</v>
      </c>
      <c r="Y2269" t="s">
        <v>68</v>
      </c>
      <c r="Z2269" t="s">
        <v>158</v>
      </c>
      <c r="AA2269" t="s">
        <v>168</v>
      </c>
      <c r="AB2269">
        <v>4.4000000000000004</v>
      </c>
      <c r="AC2269">
        <v>40</v>
      </c>
      <c r="AD2269">
        <v>342.49</v>
      </c>
      <c r="AE2269">
        <f t="shared" si="70"/>
        <v>1565.61</v>
      </c>
      <c r="AF2269" t="str">
        <f t="shared" si="71"/>
        <v>2025-10</v>
      </c>
      <c r="AG2269">
        <f>SUBTOTAL(103,A2269)</f>
        <v>1</v>
      </c>
    </row>
    <row r="2270" spans="1:33" x14ac:dyDescent="0.3">
      <c r="A2270" t="s">
        <v>4891</v>
      </c>
      <c r="B2270" s="13">
        <v>45945</v>
      </c>
      <c r="C2270">
        <v>2025</v>
      </c>
      <c r="D2270">
        <v>10</v>
      </c>
      <c r="E2270" t="s">
        <v>4779</v>
      </c>
      <c r="F2270" t="s">
        <v>4780</v>
      </c>
      <c r="G2270" t="s">
        <v>257</v>
      </c>
      <c r="H2270" t="s">
        <v>258</v>
      </c>
      <c r="I2270" t="s">
        <v>85</v>
      </c>
      <c r="J2270">
        <v>36</v>
      </c>
      <c r="K2270" t="s">
        <v>82</v>
      </c>
      <c r="L2270" t="s">
        <v>2589</v>
      </c>
      <c r="M2270" t="s">
        <v>61</v>
      </c>
      <c r="N2270" t="s">
        <v>2603</v>
      </c>
      <c r="O2270" t="s">
        <v>122</v>
      </c>
      <c r="P2270" t="s">
        <v>48</v>
      </c>
      <c r="Q2270" t="s">
        <v>141</v>
      </c>
      <c r="R2270">
        <v>4</v>
      </c>
      <c r="S2270">
        <v>2499</v>
      </c>
      <c r="T2270">
        <v>0.1</v>
      </c>
      <c r="U2270">
        <v>8996.4</v>
      </c>
      <c r="V2270">
        <v>5800</v>
      </c>
      <c r="W2270">
        <v>3196.4</v>
      </c>
      <c r="X2270" t="s">
        <v>73</v>
      </c>
      <c r="Y2270" t="s">
        <v>68</v>
      </c>
      <c r="Z2270" t="s">
        <v>158</v>
      </c>
      <c r="AA2270" t="s">
        <v>166</v>
      </c>
      <c r="AB2270">
        <v>3.8</v>
      </c>
      <c r="AC2270">
        <v>100</v>
      </c>
      <c r="AD2270">
        <v>226.33</v>
      </c>
      <c r="AE2270">
        <f t="shared" si="70"/>
        <v>2870.07</v>
      </c>
      <c r="AF2270" t="str">
        <f t="shared" si="71"/>
        <v>2025-10</v>
      </c>
      <c r="AG2270">
        <f>SUBTOTAL(103,A2270)</f>
        <v>1</v>
      </c>
    </row>
    <row r="2271" spans="1:33" x14ac:dyDescent="0.3">
      <c r="A2271" t="s">
        <v>4892</v>
      </c>
      <c r="B2271" s="13">
        <v>45945</v>
      </c>
      <c r="C2271">
        <v>2025</v>
      </c>
      <c r="D2271">
        <v>10</v>
      </c>
      <c r="E2271" t="s">
        <v>4779</v>
      </c>
      <c r="F2271" t="s">
        <v>4780</v>
      </c>
      <c r="G2271" t="s">
        <v>2231</v>
      </c>
      <c r="H2271" t="s">
        <v>2232</v>
      </c>
      <c r="I2271" t="s">
        <v>86</v>
      </c>
      <c r="J2271">
        <v>40</v>
      </c>
      <c r="K2271" t="s">
        <v>82</v>
      </c>
      <c r="L2271" t="s">
        <v>94</v>
      </c>
      <c r="M2271" t="s">
        <v>57</v>
      </c>
      <c r="N2271" t="s">
        <v>2601</v>
      </c>
      <c r="O2271" t="s">
        <v>117</v>
      </c>
      <c r="P2271" t="s">
        <v>49</v>
      </c>
      <c r="Q2271" t="s">
        <v>139</v>
      </c>
      <c r="R2271">
        <v>1</v>
      </c>
      <c r="S2271">
        <v>6999</v>
      </c>
      <c r="T2271">
        <v>0.1</v>
      </c>
      <c r="U2271">
        <v>6299.1</v>
      </c>
      <c r="V2271">
        <v>4300</v>
      </c>
      <c r="W2271">
        <v>1999.1</v>
      </c>
      <c r="X2271" t="s">
        <v>75</v>
      </c>
      <c r="Y2271" t="s">
        <v>68</v>
      </c>
      <c r="Z2271" t="s">
        <v>160</v>
      </c>
      <c r="AA2271" t="s">
        <v>169</v>
      </c>
      <c r="AB2271">
        <v>3.1</v>
      </c>
      <c r="AC2271">
        <v>50</v>
      </c>
      <c r="AD2271">
        <v>186.93</v>
      </c>
      <c r="AE2271">
        <f t="shared" si="70"/>
        <v>1762.1699999999998</v>
      </c>
      <c r="AF2271" t="str">
        <f t="shared" si="71"/>
        <v>2025-10</v>
      </c>
      <c r="AG2271">
        <f>SUBTOTAL(103,A2271)</f>
        <v>1</v>
      </c>
    </row>
    <row r="2272" spans="1:33" x14ac:dyDescent="0.3">
      <c r="A2272" t="s">
        <v>4893</v>
      </c>
      <c r="B2272" s="13">
        <v>45945</v>
      </c>
      <c r="C2272">
        <v>2025</v>
      </c>
      <c r="D2272">
        <v>10</v>
      </c>
      <c r="E2272" t="s">
        <v>4779</v>
      </c>
      <c r="F2272" t="s">
        <v>4780</v>
      </c>
      <c r="G2272" t="s">
        <v>333</v>
      </c>
      <c r="H2272" t="s">
        <v>334</v>
      </c>
      <c r="I2272" t="s">
        <v>85</v>
      </c>
      <c r="J2272">
        <v>52</v>
      </c>
      <c r="K2272" t="s">
        <v>83</v>
      </c>
      <c r="L2272" t="s">
        <v>94</v>
      </c>
      <c r="M2272" t="s">
        <v>57</v>
      </c>
      <c r="N2272" t="s">
        <v>2601</v>
      </c>
      <c r="O2272" t="s">
        <v>117</v>
      </c>
      <c r="P2272" t="s">
        <v>49</v>
      </c>
      <c r="Q2272" t="s">
        <v>139</v>
      </c>
      <c r="R2272">
        <v>2</v>
      </c>
      <c r="S2272">
        <v>6999</v>
      </c>
      <c r="T2272">
        <v>0</v>
      </c>
      <c r="U2272">
        <v>13998</v>
      </c>
      <c r="V2272">
        <v>8600</v>
      </c>
      <c r="W2272">
        <v>5398</v>
      </c>
      <c r="X2272" t="s">
        <v>75</v>
      </c>
      <c r="Y2272" t="s">
        <v>68</v>
      </c>
      <c r="Z2272" t="s">
        <v>158</v>
      </c>
      <c r="AA2272" t="s">
        <v>170</v>
      </c>
      <c r="AB2272">
        <v>2.6</v>
      </c>
      <c r="AC2272">
        <v>50</v>
      </c>
      <c r="AD2272">
        <v>1649.18</v>
      </c>
      <c r="AE2272">
        <f t="shared" si="70"/>
        <v>3698.8199999999997</v>
      </c>
      <c r="AF2272" t="str">
        <f t="shared" si="71"/>
        <v>2025-10</v>
      </c>
      <c r="AG2272">
        <f>SUBTOTAL(103,A2272)</f>
        <v>1</v>
      </c>
    </row>
    <row r="2273" spans="1:33" x14ac:dyDescent="0.3">
      <c r="A2273" t="s">
        <v>4894</v>
      </c>
      <c r="B2273" s="13">
        <v>45946</v>
      </c>
      <c r="C2273">
        <v>2025</v>
      </c>
      <c r="D2273">
        <v>10</v>
      </c>
      <c r="E2273" t="s">
        <v>4779</v>
      </c>
      <c r="F2273" t="s">
        <v>4780</v>
      </c>
      <c r="G2273" t="s">
        <v>1031</v>
      </c>
      <c r="H2273" t="s">
        <v>1032</v>
      </c>
      <c r="I2273" t="s">
        <v>85</v>
      </c>
      <c r="J2273">
        <v>42</v>
      </c>
      <c r="K2273" t="s">
        <v>82</v>
      </c>
      <c r="L2273" t="s">
        <v>2637</v>
      </c>
      <c r="M2273" t="s">
        <v>64</v>
      </c>
      <c r="N2273" t="s">
        <v>2590</v>
      </c>
      <c r="O2273" t="s">
        <v>127</v>
      </c>
      <c r="P2273" t="s">
        <v>51</v>
      </c>
      <c r="Q2273" t="s">
        <v>148</v>
      </c>
      <c r="R2273">
        <v>4</v>
      </c>
      <c r="S2273">
        <v>1599</v>
      </c>
      <c r="T2273">
        <v>0.15</v>
      </c>
      <c r="U2273">
        <v>5436.6</v>
      </c>
      <c r="V2273">
        <v>3200</v>
      </c>
      <c r="W2273">
        <v>2236.6</v>
      </c>
      <c r="X2273" t="s">
        <v>77</v>
      </c>
      <c r="Y2273" t="s">
        <v>69</v>
      </c>
      <c r="Z2273" t="s">
        <v>158</v>
      </c>
      <c r="AA2273" t="s">
        <v>169</v>
      </c>
      <c r="AB2273">
        <v>4</v>
      </c>
      <c r="AC2273">
        <v>60</v>
      </c>
      <c r="AD2273">
        <v>410.08</v>
      </c>
      <c r="AE2273">
        <f t="shared" si="70"/>
        <v>1766.52</v>
      </c>
      <c r="AF2273" t="str">
        <f t="shared" si="71"/>
        <v>2025-10</v>
      </c>
      <c r="AG2273">
        <f>SUBTOTAL(103,A2273)</f>
        <v>1</v>
      </c>
    </row>
    <row r="2274" spans="1:33" x14ac:dyDescent="0.3">
      <c r="A2274" t="s">
        <v>4895</v>
      </c>
      <c r="B2274" s="13">
        <v>45946</v>
      </c>
      <c r="C2274">
        <v>2025</v>
      </c>
      <c r="D2274">
        <v>10</v>
      </c>
      <c r="E2274" t="s">
        <v>4779</v>
      </c>
      <c r="F2274" t="s">
        <v>4780</v>
      </c>
      <c r="G2274" t="s">
        <v>951</v>
      </c>
      <c r="H2274" t="s">
        <v>952</v>
      </c>
      <c r="I2274" t="s">
        <v>85</v>
      </c>
      <c r="J2274">
        <v>49</v>
      </c>
      <c r="K2274" t="s">
        <v>83</v>
      </c>
      <c r="L2274" t="s">
        <v>90</v>
      </c>
      <c r="M2274" t="s">
        <v>55</v>
      </c>
      <c r="N2274" t="s">
        <v>2596</v>
      </c>
      <c r="O2274" t="s">
        <v>124</v>
      </c>
      <c r="P2274" t="s">
        <v>51</v>
      </c>
      <c r="Q2274" t="s">
        <v>147</v>
      </c>
      <c r="R2274">
        <v>1</v>
      </c>
      <c r="S2274">
        <v>2299</v>
      </c>
      <c r="T2274">
        <v>0.1</v>
      </c>
      <c r="U2274">
        <v>2069.1</v>
      </c>
      <c r="V2274">
        <v>1200</v>
      </c>
      <c r="W2274">
        <v>869.1</v>
      </c>
      <c r="X2274" t="s">
        <v>74</v>
      </c>
      <c r="Y2274" t="s">
        <v>68</v>
      </c>
      <c r="Z2274" t="s">
        <v>158</v>
      </c>
      <c r="AA2274" t="s">
        <v>167</v>
      </c>
      <c r="AB2274">
        <v>4.3</v>
      </c>
      <c r="AC2274">
        <v>60</v>
      </c>
      <c r="AD2274">
        <v>239.83</v>
      </c>
      <c r="AE2274">
        <f t="shared" si="70"/>
        <v>569.27</v>
      </c>
      <c r="AF2274" t="str">
        <f t="shared" si="71"/>
        <v>2025-10</v>
      </c>
      <c r="AG2274">
        <f>SUBTOTAL(103,A2274)</f>
        <v>1</v>
      </c>
    </row>
    <row r="2275" spans="1:33" x14ac:dyDescent="0.3">
      <c r="A2275" t="s">
        <v>4896</v>
      </c>
      <c r="B2275" s="13">
        <v>45946</v>
      </c>
      <c r="C2275">
        <v>2025</v>
      </c>
      <c r="D2275">
        <v>10</v>
      </c>
      <c r="E2275" t="s">
        <v>4779</v>
      </c>
      <c r="F2275" t="s">
        <v>4780</v>
      </c>
      <c r="G2275" t="s">
        <v>1301</v>
      </c>
      <c r="H2275" t="s">
        <v>1302</v>
      </c>
      <c r="I2275" t="s">
        <v>85</v>
      </c>
      <c r="J2275">
        <v>19</v>
      </c>
      <c r="K2275" t="s">
        <v>80</v>
      </c>
      <c r="L2275" t="s">
        <v>92</v>
      </c>
      <c r="M2275" t="s">
        <v>59</v>
      </c>
      <c r="N2275" t="s">
        <v>2653</v>
      </c>
      <c r="O2275" t="s">
        <v>132</v>
      </c>
      <c r="P2275" t="s">
        <v>52</v>
      </c>
      <c r="Q2275" t="s">
        <v>150</v>
      </c>
      <c r="R2275">
        <v>3</v>
      </c>
      <c r="S2275">
        <v>899</v>
      </c>
      <c r="T2275">
        <v>0.1</v>
      </c>
      <c r="U2275">
        <v>2427.3000000000002</v>
      </c>
      <c r="V2275">
        <v>1260</v>
      </c>
      <c r="W2275">
        <v>1167.3</v>
      </c>
      <c r="X2275" t="s">
        <v>74</v>
      </c>
      <c r="Y2275" t="s">
        <v>68</v>
      </c>
      <c r="Z2275" t="s">
        <v>159</v>
      </c>
      <c r="AA2275" t="s">
        <v>166</v>
      </c>
      <c r="AB2275">
        <v>4.9000000000000004</v>
      </c>
      <c r="AC2275">
        <v>100</v>
      </c>
      <c r="AD2275">
        <v>52.06</v>
      </c>
      <c r="AE2275">
        <f t="shared" si="70"/>
        <v>1015.24</v>
      </c>
      <c r="AF2275" t="str">
        <f t="shared" si="71"/>
        <v>2025-10</v>
      </c>
      <c r="AG2275">
        <f>SUBTOTAL(103,A2275)</f>
        <v>1</v>
      </c>
    </row>
    <row r="2276" spans="1:33" x14ac:dyDescent="0.3">
      <c r="A2276" t="s">
        <v>4897</v>
      </c>
      <c r="B2276" s="13">
        <v>45946</v>
      </c>
      <c r="C2276">
        <v>2025</v>
      </c>
      <c r="D2276">
        <v>10</v>
      </c>
      <c r="E2276" t="s">
        <v>4779</v>
      </c>
      <c r="F2276" t="s">
        <v>4780</v>
      </c>
      <c r="G2276" t="s">
        <v>1003</v>
      </c>
      <c r="H2276" t="s">
        <v>1004</v>
      </c>
      <c r="I2276" t="s">
        <v>86</v>
      </c>
      <c r="J2276">
        <v>60</v>
      </c>
      <c r="K2276" t="s">
        <v>83</v>
      </c>
      <c r="L2276" t="s">
        <v>2576</v>
      </c>
      <c r="M2276" t="s">
        <v>60</v>
      </c>
      <c r="N2276" t="s">
        <v>2587</v>
      </c>
      <c r="O2276" t="s">
        <v>116</v>
      </c>
      <c r="P2276" t="s">
        <v>48</v>
      </c>
      <c r="Q2276" t="s">
        <v>138</v>
      </c>
      <c r="R2276">
        <v>1</v>
      </c>
      <c r="S2276">
        <v>14999</v>
      </c>
      <c r="T2276">
        <v>0.05</v>
      </c>
      <c r="U2276">
        <v>14249.05</v>
      </c>
      <c r="V2276">
        <v>11200</v>
      </c>
      <c r="W2276">
        <v>3049.05</v>
      </c>
      <c r="X2276" t="s">
        <v>77</v>
      </c>
      <c r="Y2276" t="s">
        <v>68</v>
      </c>
      <c r="Z2276" t="s">
        <v>160</v>
      </c>
      <c r="AA2276" t="s">
        <v>169</v>
      </c>
      <c r="AB2276">
        <v>3.9</v>
      </c>
      <c r="AC2276">
        <v>80</v>
      </c>
      <c r="AD2276">
        <v>479.82</v>
      </c>
      <c r="AE2276">
        <f t="shared" si="70"/>
        <v>2489.23</v>
      </c>
      <c r="AF2276" t="str">
        <f t="shared" si="71"/>
        <v>2025-10</v>
      </c>
      <c r="AG2276">
        <f>SUBTOTAL(103,A2276)</f>
        <v>1</v>
      </c>
    </row>
    <row r="2277" spans="1:33" x14ac:dyDescent="0.3">
      <c r="A2277" t="s">
        <v>4898</v>
      </c>
      <c r="B2277" s="13">
        <v>45946</v>
      </c>
      <c r="C2277">
        <v>2025</v>
      </c>
      <c r="D2277">
        <v>10</v>
      </c>
      <c r="E2277" t="s">
        <v>4779</v>
      </c>
      <c r="F2277" t="s">
        <v>4780</v>
      </c>
      <c r="G2277" t="s">
        <v>429</v>
      </c>
      <c r="H2277" t="s">
        <v>430</v>
      </c>
      <c r="I2277" t="s">
        <v>86</v>
      </c>
      <c r="J2277">
        <v>50</v>
      </c>
      <c r="K2277" t="s">
        <v>83</v>
      </c>
      <c r="L2277" t="s">
        <v>93</v>
      </c>
      <c r="M2277" t="s">
        <v>55</v>
      </c>
      <c r="N2277" t="s">
        <v>2594</v>
      </c>
      <c r="O2277" t="s">
        <v>131</v>
      </c>
      <c r="P2277" t="s">
        <v>53</v>
      </c>
      <c r="Q2277" t="s">
        <v>143</v>
      </c>
      <c r="R2277">
        <v>1</v>
      </c>
      <c r="S2277">
        <v>999</v>
      </c>
      <c r="T2277">
        <v>0.05</v>
      </c>
      <c r="U2277">
        <v>949.05</v>
      </c>
      <c r="V2277">
        <v>520</v>
      </c>
      <c r="W2277">
        <v>429.05</v>
      </c>
      <c r="X2277" t="s">
        <v>73</v>
      </c>
      <c r="Y2277" t="s">
        <v>68</v>
      </c>
      <c r="Z2277" t="s">
        <v>159</v>
      </c>
      <c r="AA2277" t="s">
        <v>170</v>
      </c>
      <c r="AB2277">
        <v>4.0999999999999996</v>
      </c>
      <c r="AC2277">
        <v>40</v>
      </c>
      <c r="AD2277">
        <v>39.01</v>
      </c>
      <c r="AE2277">
        <f t="shared" si="70"/>
        <v>350.04</v>
      </c>
      <c r="AF2277" t="str">
        <f t="shared" si="71"/>
        <v>2025-10</v>
      </c>
      <c r="AG2277">
        <f>SUBTOTAL(103,A2277)</f>
        <v>1</v>
      </c>
    </row>
    <row r="2278" spans="1:33" x14ac:dyDescent="0.3">
      <c r="A2278" t="s">
        <v>4899</v>
      </c>
      <c r="B2278" s="13">
        <v>45946</v>
      </c>
      <c r="C2278">
        <v>2025</v>
      </c>
      <c r="D2278">
        <v>10</v>
      </c>
      <c r="E2278" t="s">
        <v>4779</v>
      </c>
      <c r="F2278" t="s">
        <v>4780</v>
      </c>
      <c r="G2278" t="s">
        <v>195</v>
      </c>
      <c r="H2278" t="s">
        <v>196</v>
      </c>
      <c r="I2278" t="s">
        <v>87</v>
      </c>
      <c r="J2278">
        <v>41</v>
      </c>
      <c r="K2278" t="s">
        <v>82</v>
      </c>
      <c r="L2278" t="s">
        <v>99</v>
      </c>
      <c r="M2278" t="s">
        <v>58</v>
      </c>
      <c r="N2278" t="s">
        <v>2665</v>
      </c>
      <c r="O2278" t="s">
        <v>128</v>
      </c>
      <c r="P2278" t="s">
        <v>53</v>
      </c>
      <c r="Q2278" t="s">
        <v>143</v>
      </c>
      <c r="R2278">
        <v>2</v>
      </c>
      <c r="S2278">
        <v>1499</v>
      </c>
      <c r="T2278">
        <v>0.2</v>
      </c>
      <c r="U2278">
        <v>2398.4</v>
      </c>
      <c r="V2278">
        <v>1600</v>
      </c>
      <c r="W2278">
        <v>798.4</v>
      </c>
      <c r="X2278" t="s">
        <v>75</v>
      </c>
      <c r="Y2278" t="s">
        <v>68</v>
      </c>
      <c r="Z2278" t="s">
        <v>160</v>
      </c>
      <c r="AA2278" t="s">
        <v>168</v>
      </c>
      <c r="AB2278">
        <v>4.5</v>
      </c>
      <c r="AC2278">
        <v>100</v>
      </c>
      <c r="AD2278">
        <v>178.77</v>
      </c>
      <c r="AE2278">
        <f t="shared" si="70"/>
        <v>519.63</v>
      </c>
      <c r="AF2278" t="str">
        <f t="shared" si="71"/>
        <v>2025-10</v>
      </c>
      <c r="AG2278">
        <f>SUBTOTAL(103,A2278)</f>
        <v>1</v>
      </c>
    </row>
    <row r="2279" spans="1:33" x14ac:dyDescent="0.3">
      <c r="A2279" t="s">
        <v>4900</v>
      </c>
      <c r="B2279" s="13">
        <v>45946</v>
      </c>
      <c r="C2279">
        <v>2025</v>
      </c>
      <c r="D2279">
        <v>10</v>
      </c>
      <c r="E2279" t="s">
        <v>4779</v>
      </c>
      <c r="F2279" t="s">
        <v>4780</v>
      </c>
      <c r="G2279" t="s">
        <v>697</v>
      </c>
      <c r="H2279" t="s">
        <v>698</v>
      </c>
      <c r="I2279" t="s">
        <v>86</v>
      </c>
      <c r="J2279">
        <v>37</v>
      </c>
      <c r="K2279" t="s">
        <v>82</v>
      </c>
      <c r="L2279" t="s">
        <v>59</v>
      </c>
      <c r="M2279" t="s">
        <v>59</v>
      </c>
      <c r="N2279" t="s">
        <v>2644</v>
      </c>
      <c r="O2279" t="s">
        <v>126</v>
      </c>
      <c r="P2279" t="s">
        <v>50</v>
      </c>
      <c r="Q2279" t="s">
        <v>145</v>
      </c>
      <c r="R2279">
        <v>2</v>
      </c>
      <c r="S2279">
        <v>1799</v>
      </c>
      <c r="T2279">
        <v>0.05</v>
      </c>
      <c r="U2279">
        <v>3418.1</v>
      </c>
      <c r="V2279">
        <v>1900</v>
      </c>
      <c r="W2279">
        <v>1518.1</v>
      </c>
      <c r="X2279" t="s">
        <v>73</v>
      </c>
      <c r="Y2279" t="s">
        <v>68</v>
      </c>
      <c r="Z2279" t="s">
        <v>161</v>
      </c>
      <c r="AA2279" t="s">
        <v>166</v>
      </c>
      <c r="AB2279">
        <v>3.4</v>
      </c>
      <c r="AC2279">
        <v>40</v>
      </c>
      <c r="AD2279">
        <v>265.39999999999998</v>
      </c>
      <c r="AE2279">
        <f t="shared" si="70"/>
        <v>1212.6999999999998</v>
      </c>
      <c r="AF2279" t="str">
        <f t="shared" si="71"/>
        <v>2025-10</v>
      </c>
      <c r="AG2279">
        <f>SUBTOTAL(103,A2279)</f>
        <v>1</v>
      </c>
    </row>
    <row r="2280" spans="1:33" x14ac:dyDescent="0.3">
      <c r="A2280" t="s">
        <v>4901</v>
      </c>
      <c r="B2280" s="13">
        <v>45946</v>
      </c>
      <c r="C2280">
        <v>2025</v>
      </c>
      <c r="D2280">
        <v>10</v>
      </c>
      <c r="E2280" t="s">
        <v>4779</v>
      </c>
      <c r="F2280" t="s">
        <v>4780</v>
      </c>
      <c r="G2280" t="s">
        <v>1263</v>
      </c>
      <c r="H2280" t="s">
        <v>1264</v>
      </c>
      <c r="I2280" t="s">
        <v>85</v>
      </c>
      <c r="J2280">
        <v>30</v>
      </c>
      <c r="K2280" t="s">
        <v>81</v>
      </c>
      <c r="L2280" t="s">
        <v>93</v>
      </c>
      <c r="M2280" t="s">
        <v>55</v>
      </c>
      <c r="N2280" t="s">
        <v>2587</v>
      </c>
      <c r="O2280" t="s">
        <v>116</v>
      </c>
      <c r="P2280" t="s">
        <v>48</v>
      </c>
      <c r="Q2280" t="s">
        <v>138</v>
      </c>
      <c r="R2280">
        <v>1</v>
      </c>
      <c r="S2280">
        <v>14999</v>
      </c>
      <c r="T2280">
        <v>0.15</v>
      </c>
      <c r="U2280">
        <v>12749.15</v>
      </c>
      <c r="V2280">
        <v>11200</v>
      </c>
      <c r="W2280">
        <v>1549.15</v>
      </c>
      <c r="X2280" t="s">
        <v>73</v>
      </c>
      <c r="Y2280" t="s">
        <v>68</v>
      </c>
      <c r="Z2280" t="s">
        <v>161</v>
      </c>
      <c r="AA2280" t="s">
        <v>167</v>
      </c>
      <c r="AB2280">
        <v>2.7</v>
      </c>
      <c r="AC2280">
        <v>60</v>
      </c>
      <c r="AD2280">
        <v>502.78</v>
      </c>
      <c r="AE2280">
        <f t="shared" si="70"/>
        <v>986.37000000000012</v>
      </c>
      <c r="AF2280" t="str">
        <f t="shared" si="71"/>
        <v>2025-10</v>
      </c>
      <c r="AG2280">
        <f>SUBTOTAL(103,A2280)</f>
        <v>1</v>
      </c>
    </row>
    <row r="2281" spans="1:33" x14ac:dyDescent="0.3">
      <c r="A2281" t="s">
        <v>4902</v>
      </c>
      <c r="B2281" s="13">
        <v>45946</v>
      </c>
      <c r="C2281">
        <v>2025</v>
      </c>
      <c r="D2281">
        <v>10</v>
      </c>
      <c r="E2281" t="s">
        <v>4779</v>
      </c>
      <c r="F2281" t="s">
        <v>4780</v>
      </c>
      <c r="G2281" t="s">
        <v>855</v>
      </c>
      <c r="H2281" t="s">
        <v>856</v>
      </c>
      <c r="I2281" t="s">
        <v>86</v>
      </c>
      <c r="J2281">
        <v>40</v>
      </c>
      <c r="K2281" t="s">
        <v>82</v>
      </c>
      <c r="L2281" t="s">
        <v>2589</v>
      </c>
      <c r="M2281" t="s">
        <v>61</v>
      </c>
      <c r="N2281" t="s">
        <v>2587</v>
      </c>
      <c r="O2281" t="s">
        <v>116</v>
      </c>
      <c r="P2281" t="s">
        <v>48</v>
      </c>
      <c r="Q2281" t="s">
        <v>138</v>
      </c>
      <c r="R2281">
        <v>2</v>
      </c>
      <c r="S2281">
        <v>14999</v>
      </c>
      <c r="T2281">
        <v>0.1</v>
      </c>
      <c r="U2281">
        <v>26998.2</v>
      </c>
      <c r="V2281">
        <v>22400</v>
      </c>
      <c r="W2281">
        <v>4598.2</v>
      </c>
      <c r="X2281" t="s">
        <v>73</v>
      </c>
      <c r="Y2281" t="s">
        <v>69</v>
      </c>
      <c r="Z2281" t="s">
        <v>159</v>
      </c>
      <c r="AA2281" t="s">
        <v>168</v>
      </c>
      <c r="AB2281">
        <v>4.8</v>
      </c>
      <c r="AC2281">
        <v>60</v>
      </c>
      <c r="AD2281">
        <v>1920.7</v>
      </c>
      <c r="AE2281">
        <f t="shared" si="70"/>
        <v>2617.5</v>
      </c>
      <c r="AF2281" t="str">
        <f t="shared" si="71"/>
        <v>2025-10</v>
      </c>
      <c r="AG2281">
        <f>SUBTOTAL(103,A2281)</f>
        <v>1</v>
      </c>
    </row>
    <row r="2282" spans="1:33" x14ac:dyDescent="0.3">
      <c r="A2282" t="s">
        <v>4903</v>
      </c>
      <c r="B2282" s="13">
        <v>45946</v>
      </c>
      <c r="C2282">
        <v>2025</v>
      </c>
      <c r="D2282">
        <v>10</v>
      </c>
      <c r="E2282" t="s">
        <v>4779</v>
      </c>
      <c r="F2282" t="s">
        <v>4780</v>
      </c>
      <c r="G2282" t="s">
        <v>553</v>
      </c>
      <c r="H2282" t="s">
        <v>554</v>
      </c>
      <c r="I2282" t="s">
        <v>85</v>
      </c>
      <c r="J2282">
        <v>29</v>
      </c>
      <c r="K2282" t="s">
        <v>81</v>
      </c>
      <c r="L2282" t="s">
        <v>100</v>
      </c>
      <c r="M2282" t="s">
        <v>56</v>
      </c>
      <c r="N2282" t="s">
        <v>2592</v>
      </c>
      <c r="O2282" t="s">
        <v>115</v>
      </c>
      <c r="P2282" t="s">
        <v>48</v>
      </c>
      <c r="Q2282" t="s">
        <v>137</v>
      </c>
      <c r="R2282">
        <v>2</v>
      </c>
      <c r="S2282">
        <v>12999</v>
      </c>
      <c r="T2282">
        <v>0.05</v>
      </c>
      <c r="U2282">
        <v>24698.1</v>
      </c>
      <c r="V2282">
        <v>18000</v>
      </c>
      <c r="W2282">
        <v>6698.1</v>
      </c>
      <c r="X2282" t="s">
        <v>73</v>
      </c>
      <c r="Y2282" t="s">
        <v>68</v>
      </c>
      <c r="Z2282" t="s">
        <v>159</v>
      </c>
      <c r="AA2282" t="s">
        <v>166</v>
      </c>
      <c r="AB2282">
        <v>3.9</v>
      </c>
      <c r="AC2282">
        <v>100</v>
      </c>
      <c r="AD2282">
        <v>1253.56</v>
      </c>
      <c r="AE2282">
        <f t="shared" si="70"/>
        <v>5344.5400000000009</v>
      </c>
      <c r="AF2282" t="str">
        <f t="shared" si="71"/>
        <v>2025-10</v>
      </c>
      <c r="AG2282">
        <f>SUBTOTAL(103,A2282)</f>
        <v>1</v>
      </c>
    </row>
    <row r="2283" spans="1:33" x14ac:dyDescent="0.3">
      <c r="A2283" t="s">
        <v>4904</v>
      </c>
      <c r="B2283" s="13">
        <v>45947</v>
      </c>
      <c r="C2283">
        <v>2025</v>
      </c>
      <c r="D2283">
        <v>10</v>
      </c>
      <c r="E2283" t="s">
        <v>4779</v>
      </c>
      <c r="F2283" t="s">
        <v>4780</v>
      </c>
      <c r="G2283" t="s">
        <v>1007</v>
      </c>
      <c r="H2283" t="s">
        <v>1008</v>
      </c>
      <c r="I2283" t="s">
        <v>86</v>
      </c>
      <c r="J2283">
        <v>50</v>
      </c>
      <c r="K2283" t="s">
        <v>83</v>
      </c>
      <c r="L2283" t="s">
        <v>90</v>
      </c>
      <c r="M2283" t="s">
        <v>55</v>
      </c>
      <c r="N2283" t="s">
        <v>2665</v>
      </c>
      <c r="O2283" t="s">
        <v>128</v>
      </c>
      <c r="P2283" t="s">
        <v>53</v>
      </c>
      <c r="Q2283" t="s">
        <v>143</v>
      </c>
      <c r="R2283">
        <v>1</v>
      </c>
      <c r="S2283">
        <v>1499</v>
      </c>
      <c r="T2283">
        <v>0.05</v>
      </c>
      <c r="U2283">
        <v>1424.05</v>
      </c>
      <c r="V2283">
        <v>800</v>
      </c>
      <c r="W2283">
        <v>624.04999999999995</v>
      </c>
      <c r="X2283" t="s">
        <v>76</v>
      </c>
      <c r="Y2283" t="s">
        <v>70</v>
      </c>
      <c r="Z2283" t="s">
        <v>158</v>
      </c>
      <c r="AA2283" t="s">
        <v>166</v>
      </c>
      <c r="AB2283">
        <v>4.4000000000000004</v>
      </c>
      <c r="AC2283">
        <v>80</v>
      </c>
      <c r="AD2283">
        <v>67.849999999999994</v>
      </c>
      <c r="AE2283">
        <f t="shared" si="70"/>
        <v>476.19999999999993</v>
      </c>
      <c r="AF2283" t="str">
        <f t="shared" si="71"/>
        <v>2025-10</v>
      </c>
      <c r="AG2283">
        <f>SUBTOTAL(103,A2283)</f>
        <v>1</v>
      </c>
    </row>
    <row r="2284" spans="1:33" x14ac:dyDescent="0.3">
      <c r="A2284" t="s">
        <v>4905</v>
      </c>
      <c r="B2284" s="13">
        <v>45947</v>
      </c>
      <c r="C2284">
        <v>2025</v>
      </c>
      <c r="D2284">
        <v>10</v>
      </c>
      <c r="E2284" t="s">
        <v>4779</v>
      </c>
      <c r="F2284" t="s">
        <v>4780</v>
      </c>
      <c r="G2284" t="s">
        <v>503</v>
      </c>
      <c r="H2284" t="s">
        <v>504</v>
      </c>
      <c r="I2284" t="s">
        <v>86</v>
      </c>
      <c r="J2284">
        <v>42</v>
      </c>
      <c r="K2284" t="s">
        <v>82</v>
      </c>
      <c r="L2284" t="s">
        <v>92</v>
      </c>
      <c r="M2284" t="s">
        <v>59</v>
      </c>
      <c r="N2284" t="s">
        <v>2601</v>
      </c>
      <c r="O2284" t="s">
        <v>117</v>
      </c>
      <c r="P2284" t="s">
        <v>49</v>
      </c>
      <c r="Q2284" t="s">
        <v>139</v>
      </c>
      <c r="R2284">
        <v>4</v>
      </c>
      <c r="S2284">
        <v>6999</v>
      </c>
      <c r="T2284">
        <v>0.15</v>
      </c>
      <c r="U2284">
        <v>23796.6</v>
      </c>
      <c r="V2284">
        <v>17200</v>
      </c>
      <c r="W2284">
        <v>6596.6</v>
      </c>
      <c r="X2284" t="s">
        <v>76</v>
      </c>
      <c r="Y2284" t="s">
        <v>68</v>
      </c>
      <c r="Z2284" t="s">
        <v>158</v>
      </c>
      <c r="AA2284" t="s">
        <v>170</v>
      </c>
      <c r="AB2284">
        <v>3.9</v>
      </c>
      <c r="AC2284">
        <v>60</v>
      </c>
      <c r="AD2284">
        <v>1055.25</v>
      </c>
      <c r="AE2284">
        <f t="shared" si="70"/>
        <v>5481.35</v>
      </c>
      <c r="AF2284" t="str">
        <f t="shared" si="71"/>
        <v>2025-10</v>
      </c>
      <c r="AG2284">
        <f>SUBTOTAL(103,A2284)</f>
        <v>1</v>
      </c>
    </row>
    <row r="2285" spans="1:33" x14ac:dyDescent="0.3">
      <c r="A2285" t="s">
        <v>4906</v>
      </c>
      <c r="B2285" s="13">
        <v>45947</v>
      </c>
      <c r="C2285">
        <v>2025</v>
      </c>
      <c r="D2285">
        <v>10</v>
      </c>
      <c r="E2285" t="s">
        <v>4779</v>
      </c>
      <c r="F2285" t="s">
        <v>4780</v>
      </c>
      <c r="G2285" t="s">
        <v>211</v>
      </c>
      <c r="H2285" t="s">
        <v>212</v>
      </c>
      <c r="I2285" t="s">
        <v>85</v>
      </c>
      <c r="J2285">
        <v>31</v>
      </c>
      <c r="K2285" t="s">
        <v>81</v>
      </c>
      <c r="L2285" t="s">
        <v>2610</v>
      </c>
      <c r="M2285" t="s">
        <v>64</v>
      </c>
      <c r="N2285" t="s">
        <v>2601</v>
      </c>
      <c r="O2285" t="s">
        <v>117</v>
      </c>
      <c r="P2285" t="s">
        <v>49</v>
      </c>
      <c r="Q2285" t="s">
        <v>139</v>
      </c>
      <c r="R2285">
        <v>1</v>
      </c>
      <c r="S2285">
        <v>6999</v>
      </c>
      <c r="T2285">
        <v>0.05</v>
      </c>
      <c r="U2285">
        <v>6649.05</v>
      </c>
      <c r="V2285">
        <v>4300</v>
      </c>
      <c r="W2285">
        <v>2349.0500000000002</v>
      </c>
      <c r="X2285" t="s">
        <v>73</v>
      </c>
      <c r="Y2285" t="s">
        <v>68</v>
      </c>
      <c r="Z2285" t="s">
        <v>161</v>
      </c>
      <c r="AA2285" t="s">
        <v>170</v>
      </c>
      <c r="AB2285">
        <v>3.6</v>
      </c>
      <c r="AC2285">
        <v>60</v>
      </c>
      <c r="AD2285">
        <v>651.79999999999995</v>
      </c>
      <c r="AE2285">
        <f t="shared" si="70"/>
        <v>1637.2500000000002</v>
      </c>
      <c r="AF2285" t="str">
        <f t="shared" si="71"/>
        <v>2025-10</v>
      </c>
      <c r="AG2285">
        <f>SUBTOTAL(103,A2285)</f>
        <v>1</v>
      </c>
    </row>
    <row r="2286" spans="1:33" x14ac:dyDescent="0.3">
      <c r="A2286" t="s">
        <v>4907</v>
      </c>
      <c r="B2286" s="13">
        <v>45947</v>
      </c>
      <c r="C2286">
        <v>2025</v>
      </c>
      <c r="D2286">
        <v>10</v>
      </c>
      <c r="E2286" t="s">
        <v>4779</v>
      </c>
      <c r="F2286" t="s">
        <v>4780</v>
      </c>
      <c r="G2286" t="s">
        <v>1787</v>
      </c>
      <c r="H2286" t="s">
        <v>1788</v>
      </c>
      <c r="I2286" t="s">
        <v>85</v>
      </c>
      <c r="J2286">
        <v>55</v>
      </c>
      <c r="K2286" t="s">
        <v>83</v>
      </c>
      <c r="L2286" t="s">
        <v>59</v>
      </c>
      <c r="M2286" t="s">
        <v>59</v>
      </c>
      <c r="N2286" t="s">
        <v>2594</v>
      </c>
      <c r="O2286" t="s">
        <v>131</v>
      </c>
      <c r="P2286" t="s">
        <v>53</v>
      </c>
      <c r="Q2286" t="s">
        <v>143</v>
      </c>
      <c r="R2286">
        <v>4</v>
      </c>
      <c r="S2286">
        <v>999</v>
      </c>
      <c r="T2286">
        <v>0.2</v>
      </c>
      <c r="U2286">
        <v>0</v>
      </c>
      <c r="V2286">
        <v>0</v>
      </c>
      <c r="W2286">
        <v>0</v>
      </c>
      <c r="X2286" t="s">
        <v>73</v>
      </c>
      <c r="Y2286" t="s">
        <v>71</v>
      </c>
      <c r="Z2286" t="s">
        <v>158</v>
      </c>
      <c r="AA2286" t="s">
        <v>171</v>
      </c>
      <c r="AB2286">
        <v>3.6</v>
      </c>
      <c r="AC2286">
        <v>80</v>
      </c>
      <c r="AD2286">
        <v>191.54</v>
      </c>
      <c r="AE2286">
        <f t="shared" si="70"/>
        <v>-271.53999999999996</v>
      </c>
      <c r="AF2286" t="str">
        <f t="shared" si="71"/>
        <v>2025-10</v>
      </c>
      <c r="AG2286">
        <f>SUBTOTAL(103,A2286)</f>
        <v>1</v>
      </c>
    </row>
    <row r="2287" spans="1:33" x14ac:dyDescent="0.3">
      <c r="A2287" t="s">
        <v>4908</v>
      </c>
      <c r="B2287" s="13">
        <v>45947</v>
      </c>
      <c r="C2287">
        <v>2025</v>
      </c>
      <c r="D2287">
        <v>10</v>
      </c>
      <c r="E2287" t="s">
        <v>4779</v>
      </c>
      <c r="F2287" t="s">
        <v>4780</v>
      </c>
      <c r="G2287" t="s">
        <v>671</v>
      </c>
      <c r="H2287" t="s">
        <v>672</v>
      </c>
      <c r="I2287" t="s">
        <v>85</v>
      </c>
      <c r="J2287">
        <v>42</v>
      </c>
      <c r="K2287" t="s">
        <v>82</v>
      </c>
      <c r="L2287" t="s">
        <v>96</v>
      </c>
      <c r="M2287" t="s">
        <v>55</v>
      </c>
      <c r="N2287" t="s">
        <v>2653</v>
      </c>
      <c r="O2287" t="s">
        <v>132</v>
      </c>
      <c r="P2287" t="s">
        <v>52</v>
      </c>
      <c r="Q2287" t="s">
        <v>150</v>
      </c>
      <c r="R2287">
        <v>2</v>
      </c>
      <c r="S2287">
        <v>899</v>
      </c>
      <c r="T2287">
        <v>0.1</v>
      </c>
      <c r="U2287">
        <v>1618.2</v>
      </c>
      <c r="V2287">
        <v>840</v>
      </c>
      <c r="W2287">
        <v>778.2</v>
      </c>
      <c r="X2287" t="s">
        <v>76</v>
      </c>
      <c r="Y2287" t="s">
        <v>68</v>
      </c>
      <c r="Z2287" t="s">
        <v>158</v>
      </c>
      <c r="AA2287" t="s">
        <v>166</v>
      </c>
      <c r="AB2287">
        <v>4.9000000000000004</v>
      </c>
      <c r="AC2287">
        <v>60</v>
      </c>
      <c r="AD2287">
        <v>79.16</v>
      </c>
      <c r="AE2287">
        <f t="shared" si="70"/>
        <v>639.04000000000008</v>
      </c>
      <c r="AF2287" t="str">
        <f t="shared" si="71"/>
        <v>2025-10</v>
      </c>
      <c r="AG2287">
        <f>SUBTOTAL(103,A2287)</f>
        <v>1</v>
      </c>
    </row>
    <row r="2288" spans="1:33" x14ac:dyDescent="0.3">
      <c r="A2288" t="s">
        <v>4909</v>
      </c>
      <c r="B2288" s="13">
        <v>45948</v>
      </c>
      <c r="C2288">
        <v>2025</v>
      </c>
      <c r="D2288">
        <v>10</v>
      </c>
      <c r="E2288" t="s">
        <v>4779</v>
      </c>
      <c r="F2288" t="s">
        <v>4780</v>
      </c>
      <c r="G2288" t="s">
        <v>2129</v>
      </c>
      <c r="H2288" t="s">
        <v>2130</v>
      </c>
      <c r="I2288" t="s">
        <v>85</v>
      </c>
      <c r="J2288">
        <v>44</v>
      </c>
      <c r="K2288" t="s">
        <v>82</v>
      </c>
      <c r="L2288" t="s">
        <v>2674</v>
      </c>
      <c r="M2288" t="s">
        <v>58</v>
      </c>
      <c r="N2288" t="s">
        <v>2665</v>
      </c>
      <c r="O2288" t="s">
        <v>128</v>
      </c>
      <c r="P2288" t="s">
        <v>53</v>
      </c>
      <c r="Q2288" t="s">
        <v>143</v>
      </c>
      <c r="R2288">
        <v>3</v>
      </c>
      <c r="S2288">
        <v>1499</v>
      </c>
      <c r="T2288">
        <v>0.2</v>
      </c>
      <c r="U2288">
        <v>3597.6</v>
      </c>
      <c r="V2288">
        <v>2400</v>
      </c>
      <c r="W2288">
        <v>1197.5999999999999</v>
      </c>
      <c r="X2288" t="s">
        <v>74</v>
      </c>
      <c r="Y2288" t="s">
        <v>68</v>
      </c>
      <c r="Z2288" t="s">
        <v>158</v>
      </c>
      <c r="AA2288" t="s">
        <v>167</v>
      </c>
      <c r="AB2288">
        <v>3</v>
      </c>
      <c r="AC2288">
        <v>40</v>
      </c>
      <c r="AD2288">
        <v>91.23</v>
      </c>
      <c r="AE2288">
        <f t="shared" si="70"/>
        <v>1066.3699999999999</v>
      </c>
      <c r="AF2288" t="str">
        <f t="shared" si="71"/>
        <v>2025-10</v>
      </c>
      <c r="AG2288">
        <f>SUBTOTAL(103,A2288)</f>
        <v>1</v>
      </c>
    </row>
    <row r="2289" spans="1:33" x14ac:dyDescent="0.3">
      <c r="A2289" t="s">
        <v>4910</v>
      </c>
      <c r="B2289" s="13">
        <v>45948</v>
      </c>
      <c r="C2289">
        <v>2025</v>
      </c>
      <c r="D2289">
        <v>10</v>
      </c>
      <c r="E2289" t="s">
        <v>4779</v>
      </c>
      <c r="F2289" t="s">
        <v>4780</v>
      </c>
      <c r="G2289" t="s">
        <v>1849</v>
      </c>
      <c r="H2289" t="s">
        <v>1850</v>
      </c>
      <c r="I2289" t="s">
        <v>85</v>
      </c>
      <c r="J2289">
        <v>23</v>
      </c>
      <c r="K2289" t="s">
        <v>80</v>
      </c>
      <c r="L2289" t="s">
        <v>59</v>
      </c>
      <c r="M2289" t="s">
        <v>59</v>
      </c>
      <c r="N2289" t="s">
        <v>2580</v>
      </c>
      <c r="O2289" t="s">
        <v>118</v>
      </c>
      <c r="P2289" t="s">
        <v>48</v>
      </c>
      <c r="Q2289" t="s">
        <v>142</v>
      </c>
      <c r="R2289">
        <v>2</v>
      </c>
      <c r="S2289">
        <v>3999</v>
      </c>
      <c r="T2289">
        <v>0</v>
      </c>
      <c r="U2289">
        <v>7998</v>
      </c>
      <c r="V2289">
        <v>4800</v>
      </c>
      <c r="W2289">
        <v>3198</v>
      </c>
      <c r="X2289" t="s">
        <v>74</v>
      </c>
      <c r="Y2289" t="s">
        <v>68</v>
      </c>
      <c r="Z2289" t="s">
        <v>158</v>
      </c>
      <c r="AA2289" t="s">
        <v>167</v>
      </c>
      <c r="AB2289">
        <v>3.5</v>
      </c>
      <c r="AC2289">
        <v>60</v>
      </c>
      <c r="AD2289">
        <v>760.02</v>
      </c>
      <c r="AE2289">
        <f t="shared" si="70"/>
        <v>2377.98</v>
      </c>
      <c r="AF2289" t="str">
        <f t="shared" si="71"/>
        <v>2025-10</v>
      </c>
      <c r="AG2289">
        <f>SUBTOTAL(103,A2289)</f>
        <v>1</v>
      </c>
    </row>
    <row r="2290" spans="1:33" x14ac:dyDescent="0.3">
      <c r="A2290" t="s">
        <v>4911</v>
      </c>
      <c r="B2290" s="13">
        <v>45948</v>
      </c>
      <c r="C2290">
        <v>2025</v>
      </c>
      <c r="D2290">
        <v>10</v>
      </c>
      <c r="E2290" t="s">
        <v>4779</v>
      </c>
      <c r="F2290" t="s">
        <v>4780</v>
      </c>
      <c r="G2290" t="s">
        <v>459</v>
      </c>
      <c r="H2290" t="s">
        <v>460</v>
      </c>
      <c r="I2290" t="s">
        <v>85</v>
      </c>
      <c r="J2290">
        <v>48</v>
      </c>
      <c r="K2290" t="s">
        <v>83</v>
      </c>
      <c r="L2290" t="s">
        <v>98</v>
      </c>
      <c r="M2290" t="s">
        <v>55</v>
      </c>
      <c r="N2290" t="s">
        <v>2582</v>
      </c>
      <c r="O2290" t="s">
        <v>119</v>
      </c>
      <c r="P2290" t="s">
        <v>49</v>
      </c>
      <c r="Q2290" t="s">
        <v>140</v>
      </c>
      <c r="R2290">
        <v>4</v>
      </c>
      <c r="S2290">
        <v>3499</v>
      </c>
      <c r="T2290">
        <v>0.15</v>
      </c>
      <c r="U2290">
        <v>11896.6</v>
      </c>
      <c r="V2290">
        <v>8400</v>
      </c>
      <c r="W2290">
        <v>3496.6</v>
      </c>
      <c r="X2290" t="s">
        <v>74</v>
      </c>
      <c r="Y2290" t="s">
        <v>68</v>
      </c>
      <c r="Z2290" t="s">
        <v>160</v>
      </c>
      <c r="AA2290" t="s">
        <v>171</v>
      </c>
      <c r="AB2290">
        <v>4.5</v>
      </c>
      <c r="AC2290">
        <v>80</v>
      </c>
      <c r="AD2290">
        <v>297.14999999999998</v>
      </c>
      <c r="AE2290">
        <f t="shared" si="70"/>
        <v>3119.45</v>
      </c>
      <c r="AF2290" t="str">
        <f t="shared" si="71"/>
        <v>2025-10</v>
      </c>
      <c r="AG2290">
        <f>SUBTOTAL(103,A2290)</f>
        <v>1</v>
      </c>
    </row>
    <row r="2291" spans="1:33" x14ac:dyDescent="0.3">
      <c r="A2291" t="s">
        <v>4912</v>
      </c>
      <c r="B2291" s="13">
        <v>45948</v>
      </c>
      <c r="C2291">
        <v>2025</v>
      </c>
      <c r="D2291">
        <v>10</v>
      </c>
      <c r="E2291" t="s">
        <v>4779</v>
      </c>
      <c r="F2291" t="s">
        <v>4780</v>
      </c>
      <c r="G2291" t="s">
        <v>2213</v>
      </c>
      <c r="H2291" t="s">
        <v>2214</v>
      </c>
      <c r="I2291" t="s">
        <v>86</v>
      </c>
      <c r="J2291">
        <v>52</v>
      </c>
      <c r="K2291" t="s">
        <v>83</v>
      </c>
      <c r="L2291" t="s">
        <v>59</v>
      </c>
      <c r="M2291" t="s">
        <v>59</v>
      </c>
      <c r="N2291" t="s">
        <v>2603</v>
      </c>
      <c r="O2291" t="s">
        <v>122</v>
      </c>
      <c r="P2291" t="s">
        <v>48</v>
      </c>
      <c r="Q2291" t="s">
        <v>141</v>
      </c>
      <c r="R2291">
        <v>2</v>
      </c>
      <c r="S2291">
        <v>2499</v>
      </c>
      <c r="T2291">
        <v>0.2</v>
      </c>
      <c r="U2291">
        <v>3998.4</v>
      </c>
      <c r="V2291">
        <v>2900</v>
      </c>
      <c r="W2291">
        <v>1098.4000000000001</v>
      </c>
      <c r="X2291" t="s">
        <v>73</v>
      </c>
      <c r="Y2291" t="s">
        <v>68</v>
      </c>
      <c r="Z2291" t="s">
        <v>161</v>
      </c>
      <c r="AA2291" t="s">
        <v>171</v>
      </c>
      <c r="AB2291">
        <v>3.1</v>
      </c>
      <c r="AC2291">
        <v>40</v>
      </c>
      <c r="AD2291">
        <v>89.26</v>
      </c>
      <c r="AE2291">
        <f t="shared" si="70"/>
        <v>969.1400000000001</v>
      </c>
      <c r="AF2291" t="str">
        <f t="shared" si="71"/>
        <v>2025-10</v>
      </c>
      <c r="AG2291">
        <f>SUBTOTAL(103,A2291)</f>
        <v>1</v>
      </c>
    </row>
    <row r="2292" spans="1:33" x14ac:dyDescent="0.3">
      <c r="A2292" t="s">
        <v>4913</v>
      </c>
      <c r="B2292" s="13">
        <v>45948</v>
      </c>
      <c r="C2292">
        <v>2025</v>
      </c>
      <c r="D2292">
        <v>10</v>
      </c>
      <c r="E2292" t="s">
        <v>4779</v>
      </c>
      <c r="F2292" t="s">
        <v>4780</v>
      </c>
      <c r="G2292" t="s">
        <v>2495</v>
      </c>
      <c r="H2292" t="s">
        <v>2496</v>
      </c>
      <c r="I2292" t="s">
        <v>86</v>
      </c>
      <c r="J2292">
        <v>28</v>
      </c>
      <c r="K2292" t="s">
        <v>81</v>
      </c>
      <c r="L2292" t="s">
        <v>2674</v>
      </c>
      <c r="M2292" t="s">
        <v>58</v>
      </c>
      <c r="N2292" t="s">
        <v>2647</v>
      </c>
      <c r="O2292" t="s">
        <v>133</v>
      </c>
      <c r="P2292" t="s">
        <v>50</v>
      </c>
      <c r="Q2292" t="s">
        <v>145</v>
      </c>
      <c r="R2292">
        <v>2</v>
      </c>
      <c r="S2292">
        <v>799</v>
      </c>
      <c r="T2292">
        <v>0</v>
      </c>
      <c r="U2292">
        <v>1598</v>
      </c>
      <c r="V2292">
        <v>780</v>
      </c>
      <c r="W2292">
        <v>818</v>
      </c>
      <c r="X2292" t="s">
        <v>73</v>
      </c>
      <c r="Y2292" t="s">
        <v>68</v>
      </c>
      <c r="Z2292" t="s">
        <v>159</v>
      </c>
      <c r="AA2292" t="s">
        <v>170</v>
      </c>
      <c r="AB2292">
        <v>3.8</v>
      </c>
      <c r="AC2292">
        <v>100</v>
      </c>
      <c r="AD2292">
        <v>122.92</v>
      </c>
      <c r="AE2292">
        <f t="shared" si="70"/>
        <v>595.08000000000004</v>
      </c>
      <c r="AF2292" t="str">
        <f t="shared" si="71"/>
        <v>2025-10</v>
      </c>
      <c r="AG2292">
        <f>SUBTOTAL(103,A2292)</f>
        <v>1</v>
      </c>
    </row>
    <row r="2293" spans="1:33" x14ac:dyDescent="0.3">
      <c r="A2293" t="s">
        <v>4914</v>
      </c>
      <c r="B2293" s="13">
        <v>45948</v>
      </c>
      <c r="C2293">
        <v>2025</v>
      </c>
      <c r="D2293">
        <v>10</v>
      </c>
      <c r="E2293" t="s">
        <v>4779</v>
      </c>
      <c r="F2293" t="s">
        <v>4780</v>
      </c>
      <c r="G2293" t="s">
        <v>331</v>
      </c>
      <c r="H2293" t="s">
        <v>332</v>
      </c>
      <c r="I2293" t="s">
        <v>86</v>
      </c>
      <c r="J2293">
        <v>32</v>
      </c>
      <c r="K2293" t="s">
        <v>81</v>
      </c>
      <c r="L2293" t="s">
        <v>2674</v>
      </c>
      <c r="M2293" t="s">
        <v>58</v>
      </c>
      <c r="N2293" t="s">
        <v>2626</v>
      </c>
      <c r="O2293" t="s">
        <v>125</v>
      </c>
      <c r="P2293" t="s">
        <v>48</v>
      </c>
      <c r="Q2293" t="s">
        <v>141</v>
      </c>
      <c r="R2293">
        <v>2</v>
      </c>
      <c r="S2293">
        <v>1999</v>
      </c>
      <c r="T2293">
        <v>0.1</v>
      </c>
      <c r="U2293">
        <v>3598.2</v>
      </c>
      <c r="V2293">
        <v>2300</v>
      </c>
      <c r="W2293">
        <v>1298.2</v>
      </c>
      <c r="X2293" t="s">
        <v>75</v>
      </c>
      <c r="Y2293" t="s">
        <v>68</v>
      </c>
      <c r="Z2293" t="s">
        <v>161</v>
      </c>
      <c r="AA2293" t="s">
        <v>166</v>
      </c>
      <c r="AB2293">
        <v>4.4000000000000004</v>
      </c>
      <c r="AC2293">
        <v>60</v>
      </c>
      <c r="AD2293">
        <v>160.94</v>
      </c>
      <c r="AE2293">
        <f t="shared" si="70"/>
        <v>1077.26</v>
      </c>
      <c r="AF2293" t="str">
        <f t="shared" si="71"/>
        <v>2025-10</v>
      </c>
      <c r="AG2293">
        <f>SUBTOTAL(103,A2293)</f>
        <v>1</v>
      </c>
    </row>
    <row r="2294" spans="1:33" x14ac:dyDescent="0.3">
      <c r="A2294" t="s">
        <v>4915</v>
      </c>
      <c r="B2294" s="13">
        <v>45948</v>
      </c>
      <c r="C2294">
        <v>2025</v>
      </c>
      <c r="D2294">
        <v>10</v>
      </c>
      <c r="E2294" t="s">
        <v>4779</v>
      </c>
      <c r="F2294" t="s">
        <v>4780</v>
      </c>
      <c r="G2294" t="s">
        <v>965</v>
      </c>
      <c r="H2294" t="s">
        <v>966</v>
      </c>
      <c r="I2294" t="s">
        <v>85</v>
      </c>
      <c r="J2294">
        <v>40</v>
      </c>
      <c r="K2294" t="s">
        <v>82</v>
      </c>
      <c r="L2294" t="s">
        <v>93</v>
      </c>
      <c r="M2294" t="s">
        <v>55</v>
      </c>
      <c r="N2294" t="s">
        <v>2582</v>
      </c>
      <c r="O2294" t="s">
        <v>119</v>
      </c>
      <c r="P2294" t="s">
        <v>49</v>
      </c>
      <c r="Q2294" t="s">
        <v>140</v>
      </c>
      <c r="R2294">
        <v>2</v>
      </c>
      <c r="S2294">
        <v>3499</v>
      </c>
      <c r="T2294">
        <v>0.1</v>
      </c>
      <c r="U2294">
        <v>6298.2</v>
      </c>
      <c r="V2294">
        <v>4200</v>
      </c>
      <c r="W2294">
        <v>2098.1999999999998</v>
      </c>
      <c r="X2294" t="s">
        <v>74</v>
      </c>
      <c r="Y2294" t="s">
        <v>68</v>
      </c>
      <c r="Z2294" t="s">
        <v>160</v>
      </c>
      <c r="AA2294" t="s">
        <v>166</v>
      </c>
      <c r="AB2294">
        <v>4.9000000000000004</v>
      </c>
      <c r="AC2294">
        <v>50</v>
      </c>
      <c r="AD2294">
        <v>717.5</v>
      </c>
      <c r="AE2294">
        <f t="shared" si="70"/>
        <v>1330.6999999999998</v>
      </c>
      <c r="AF2294" t="str">
        <f t="shared" si="71"/>
        <v>2025-10</v>
      </c>
      <c r="AG2294">
        <f>SUBTOTAL(103,A2294)</f>
        <v>1</v>
      </c>
    </row>
    <row r="2295" spans="1:33" x14ac:dyDescent="0.3">
      <c r="A2295" t="s">
        <v>4916</v>
      </c>
      <c r="B2295" s="13">
        <v>45949</v>
      </c>
      <c r="C2295">
        <v>2025</v>
      </c>
      <c r="D2295">
        <v>10</v>
      </c>
      <c r="E2295" t="s">
        <v>4779</v>
      </c>
      <c r="F2295" t="s">
        <v>4780</v>
      </c>
      <c r="G2295" t="s">
        <v>1839</v>
      </c>
      <c r="H2295" t="s">
        <v>1840</v>
      </c>
      <c r="I2295" t="s">
        <v>85</v>
      </c>
      <c r="J2295">
        <v>34</v>
      </c>
      <c r="K2295" t="s">
        <v>81</v>
      </c>
      <c r="L2295" t="s">
        <v>90</v>
      </c>
      <c r="M2295" t="s">
        <v>55</v>
      </c>
      <c r="N2295" t="s">
        <v>2626</v>
      </c>
      <c r="O2295" t="s">
        <v>125</v>
      </c>
      <c r="P2295" t="s">
        <v>48</v>
      </c>
      <c r="Q2295" t="s">
        <v>141</v>
      </c>
      <c r="R2295">
        <v>2</v>
      </c>
      <c r="S2295">
        <v>1999</v>
      </c>
      <c r="T2295">
        <v>0.05</v>
      </c>
      <c r="U2295">
        <v>3798.1</v>
      </c>
      <c r="V2295">
        <v>2300</v>
      </c>
      <c r="W2295">
        <v>1498.1</v>
      </c>
      <c r="X2295" t="s">
        <v>73</v>
      </c>
      <c r="Y2295" t="s">
        <v>68</v>
      </c>
      <c r="Z2295" t="s">
        <v>158</v>
      </c>
      <c r="AA2295" t="s">
        <v>168</v>
      </c>
      <c r="AB2295">
        <v>2.9</v>
      </c>
      <c r="AC2295">
        <v>50</v>
      </c>
      <c r="AD2295">
        <v>318.57</v>
      </c>
      <c r="AE2295">
        <f t="shared" si="70"/>
        <v>1129.53</v>
      </c>
      <c r="AF2295" t="str">
        <f t="shared" si="71"/>
        <v>2025-10</v>
      </c>
      <c r="AG2295">
        <f>SUBTOTAL(103,A2295)</f>
        <v>1</v>
      </c>
    </row>
    <row r="2296" spans="1:33" x14ac:dyDescent="0.3">
      <c r="A2296" t="s">
        <v>4917</v>
      </c>
      <c r="B2296" s="13">
        <v>45949</v>
      </c>
      <c r="C2296">
        <v>2025</v>
      </c>
      <c r="D2296">
        <v>10</v>
      </c>
      <c r="E2296" t="s">
        <v>4779</v>
      </c>
      <c r="F2296" t="s">
        <v>4780</v>
      </c>
      <c r="G2296" t="s">
        <v>421</v>
      </c>
      <c r="H2296" t="s">
        <v>422</v>
      </c>
      <c r="I2296" t="s">
        <v>86</v>
      </c>
      <c r="J2296">
        <v>47</v>
      </c>
      <c r="K2296" t="s">
        <v>83</v>
      </c>
      <c r="L2296" t="s">
        <v>2589</v>
      </c>
      <c r="M2296" t="s">
        <v>61</v>
      </c>
      <c r="N2296" t="s">
        <v>2603</v>
      </c>
      <c r="O2296" t="s">
        <v>122</v>
      </c>
      <c r="P2296" t="s">
        <v>48</v>
      </c>
      <c r="Q2296" t="s">
        <v>141</v>
      </c>
      <c r="R2296">
        <v>4</v>
      </c>
      <c r="S2296">
        <v>2499</v>
      </c>
      <c r="T2296">
        <v>0.15</v>
      </c>
      <c r="U2296">
        <v>8496.6</v>
      </c>
      <c r="V2296">
        <v>5800</v>
      </c>
      <c r="W2296">
        <v>2696.6</v>
      </c>
      <c r="X2296" t="s">
        <v>75</v>
      </c>
      <c r="Y2296" t="s">
        <v>68</v>
      </c>
      <c r="Z2296" t="s">
        <v>160</v>
      </c>
      <c r="AA2296" t="s">
        <v>171</v>
      </c>
      <c r="AB2296">
        <v>3.9</v>
      </c>
      <c r="AC2296">
        <v>80</v>
      </c>
      <c r="AD2296">
        <v>922.13</v>
      </c>
      <c r="AE2296">
        <f t="shared" si="70"/>
        <v>1694.4699999999998</v>
      </c>
      <c r="AF2296" t="str">
        <f t="shared" si="71"/>
        <v>2025-10</v>
      </c>
      <c r="AG2296">
        <f>SUBTOTAL(103,A2296)</f>
        <v>1</v>
      </c>
    </row>
    <row r="2297" spans="1:33" x14ac:dyDescent="0.3">
      <c r="A2297" t="s">
        <v>4918</v>
      </c>
      <c r="B2297" s="13">
        <v>45949</v>
      </c>
      <c r="C2297">
        <v>2025</v>
      </c>
      <c r="D2297">
        <v>10</v>
      </c>
      <c r="E2297" t="s">
        <v>4779</v>
      </c>
      <c r="F2297" t="s">
        <v>4780</v>
      </c>
      <c r="G2297" t="s">
        <v>965</v>
      </c>
      <c r="H2297" t="s">
        <v>966</v>
      </c>
      <c r="I2297" t="s">
        <v>85</v>
      </c>
      <c r="J2297">
        <v>40</v>
      </c>
      <c r="K2297" t="s">
        <v>82</v>
      </c>
      <c r="L2297" t="s">
        <v>93</v>
      </c>
      <c r="M2297" t="s">
        <v>55</v>
      </c>
      <c r="N2297" t="s">
        <v>2603</v>
      </c>
      <c r="O2297" t="s">
        <v>122</v>
      </c>
      <c r="P2297" t="s">
        <v>48</v>
      </c>
      <c r="Q2297" t="s">
        <v>141</v>
      </c>
      <c r="R2297">
        <v>3</v>
      </c>
      <c r="S2297">
        <v>2499</v>
      </c>
      <c r="T2297">
        <v>0.05</v>
      </c>
      <c r="U2297">
        <v>7122.15</v>
      </c>
      <c r="V2297">
        <v>4350</v>
      </c>
      <c r="W2297">
        <v>2772.15</v>
      </c>
      <c r="X2297" t="s">
        <v>76</v>
      </c>
      <c r="Y2297" t="s">
        <v>68</v>
      </c>
      <c r="Z2297" t="s">
        <v>159</v>
      </c>
      <c r="AA2297" t="s">
        <v>169</v>
      </c>
      <c r="AB2297">
        <v>4.5</v>
      </c>
      <c r="AC2297">
        <v>100</v>
      </c>
      <c r="AD2297">
        <v>329.63</v>
      </c>
      <c r="AE2297">
        <f t="shared" si="70"/>
        <v>2342.52</v>
      </c>
      <c r="AF2297" t="str">
        <f t="shared" si="71"/>
        <v>2025-10</v>
      </c>
      <c r="AG2297">
        <f>SUBTOTAL(103,A2297)</f>
        <v>1</v>
      </c>
    </row>
    <row r="2298" spans="1:33" x14ac:dyDescent="0.3">
      <c r="A2298" t="s">
        <v>4919</v>
      </c>
      <c r="B2298" s="13">
        <v>45949</v>
      </c>
      <c r="C2298">
        <v>2025</v>
      </c>
      <c r="D2298">
        <v>10</v>
      </c>
      <c r="E2298" t="s">
        <v>4779</v>
      </c>
      <c r="F2298" t="s">
        <v>4780</v>
      </c>
      <c r="G2298" t="s">
        <v>2123</v>
      </c>
      <c r="H2298" t="s">
        <v>2124</v>
      </c>
      <c r="I2298" t="s">
        <v>85</v>
      </c>
      <c r="J2298">
        <v>39</v>
      </c>
      <c r="K2298" t="s">
        <v>82</v>
      </c>
      <c r="L2298" t="s">
        <v>2610</v>
      </c>
      <c r="M2298" t="s">
        <v>64</v>
      </c>
      <c r="N2298" t="s">
        <v>2594</v>
      </c>
      <c r="O2298" t="s">
        <v>131</v>
      </c>
      <c r="P2298" t="s">
        <v>53</v>
      </c>
      <c r="Q2298" t="s">
        <v>143</v>
      </c>
      <c r="R2298">
        <v>1</v>
      </c>
      <c r="S2298">
        <v>999</v>
      </c>
      <c r="T2298">
        <v>0</v>
      </c>
      <c r="U2298">
        <v>999</v>
      </c>
      <c r="V2298">
        <v>520</v>
      </c>
      <c r="W2298">
        <v>479</v>
      </c>
      <c r="X2298" t="s">
        <v>73</v>
      </c>
      <c r="Y2298" t="s">
        <v>68</v>
      </c>
      <c r="Z2298" t="s">
        <v>159</v>
      </c>
      <c r="AA2298" t="s">
        <v>168</v>
      </c>
      <c r="AB2298">
        <v>3.7</v>
      </c>
      <c r="AC2298">
        <v>80</v>
      </c>
      <c r="AD2298">
        <v>37.14</v>
      </c>
      <c r="AE2298">
        <f t="shared" si="70"/>
        <v>361.86</v>
      </c>
      <c r="AF2298" t="str">
        <f t="shared" si="71"/>
        <v>2025-10</v>
      </c>
      <c r="AG2298">
        <f>SUBTOTAL(103,A2298)</f>
        <v>1</v>
      </c>
    </row>
    <row r="2299" spans="1:33" x14ac:dyDescent="0.3">
      <c r="A2299" t="s">
        <v>4920</v>
      </c>
      <c r="B2299" s="13">
        <v>45949</v>
      </c>
      <c r="C2299">
        <v>2025</v>
      </c>
      <c r="D2299">
        <v>10</v>
      </c>
      <c r="E2299" t="s">
        <v>4779</v>
      </c>
      <c r="F2299" t="s">
        <v>4780</v>
      </c>
      <c r="G2299" t="s">
        <v>1475</v>
      </c>
      <c r="H2299" t="s">
        <v>1476</v>
      </c>
      <c r="I2299" t="s">
        <v>86</v>
      </c>
      <c r="J2299">
        <v>57</v>
      </c>
      <c r="K2299" t="s">
        <v>83</v>
      </c>
      <c r="L2299" t="s">
        <v>95</v>
      </c>
      <c r="M2299" t="s">
        <v>56</v>
      </c>
      <c r="N2299" t="s">
        <v>2606</v>
      </c>
      <c r="O2299" t="s">
        <v>120</v>
      </c>
      <c r="P2299" t="s">
        <v>49</v>
      </c>
      <c r="Q2299" t="s">
        <v>140</v>
      </c>
      <c r="R2299">
        <v>3</v>
      </c>
      <c r="S2299">
        <v>2799</v>
      </c>
      <c r="T2299">
        <v>0.1</v>
      </c>
      <c r="U2299">
        <v>7557.3</v>
      </c>
      <c r="V2299">
        <v>4950</v>
      </c>
      <c r="W2299">
        <v>2607.3000000000002</v>
      </c>
      <c r="X2299" t="s">
        <v>74</v>
      </c>
      <c r="Y2299" t="s">
        <v>68</v>
      </c>
      <c r="Z2299" t="s">
        <v>160</v>
      </c>
      <c r="AA2299" t="s">
        <v>171</v>
      </c>
      <c r="AB2299">
        <v>4.5</v>
      </c>
      <c r="AC2299">
        <v>120</v>
      </c>
      <c r="AD2299">
        <v>671.03</v>
      </c>
      <c r="AE2299">
        <f t="shared" si="70"/>
        <v>1816.2700000000002</v>
      </c>
      <c r="AF2299" t="str">
        <f t="shared" si="71"/>
        <v>2025-10</v>
      </c>
      <c r="AG2299">
        <f>SUBTOTAL(103,A2299)</f>
        <v>1</v>
      </c>
    </row>
    <row r="2300" spans="1:33" x14ac:dyDescent="0.3">
      <c r="A2300" t="s">
        <v>4921</v>
      </c>
      <c r="B2300" s="13">
        <v>45949</v>
      </c>
      <c r="C2300">
        <v>2025</v>
      </c>
      <c r="D2300">
        <v>10</v>
      </c>
      <c r="E2300" t="s">
        <v>4779</v>
      </c>
      <c r="F2300" t="s">
        <v>4780</v>
      </c>
      <c r="G2300" t="s">
        <v>1911</v>
      </c>
      <c r="H2300" t="s">
        <v>1912</v>
      </c>
      <c r="I2300" t="s">
        <v>86</v>
      </c>
      <c r="J2300">
        <v>60</v>
      </c>
      <c r="K2300" t="s">
        <v>83</v>
      </c>
      <c r="L2300" t="s">
        <v>2661</v>
      </c>
      <c r="M2300" t="s">
        <v>58</v>
      </c>
      <c r="N2300" t="s">
        <v>2606</v>
      </c>
      <c r="O2300" t="s">
        <v>120</v>
      </c>
      <c r="P2300" t="s">
        <v>49</v>
      </c>
      <c r="Q2300" t="s">
        <v>140</v>
      </c>
      <c r="R2300">
        <v>3</v>
      </c>
      <c r="S2300">
        <v>2799</v>
      </c>
      <c r="T2300">
        <v>0.1</v>
      </c>
      <c r="U2300">
        <v>7557.3</v>
      </c>
      <c r="V2300">
        <v>4950</v>
      </c>
      <c r="W2300">
        <v>2607.3000000000002</v>
      </c>
      <c r="X2300" t="s">
        <v>74</v>
      </c>
      <c r="Y2300" t="s">
        <v>68</v>
      </c>
      <c r="Z2300" t="s">
        <v>160</v>
      </c>
      <c r="AA2300" t="s">
        <v>168</v>
      </c>
      <c r="AB2300">
        <v>4.5999999999999996</v>
      </c>
      <c r="AC2300">
        <v>50</v>
      </c>
      <c r="AD2300">
        <v>641.82000000000005</v>
      </c>
      <c r="AE2300">
        <f t="shared" si="70"/>
        <v>1915.48</v>
      </c>
      <c r="AF2300" t="str">
        <f t="shared" si="71"/>
        <v>2025-10</v>
      </c>
      <c r="AG2300">
        <f>SUBTOTAL(103,A2300)</f>
        <v>1</v>
      </c>
    </row>
    <row r="2301" spans="1:33" x14ac:dyDescent="0.3">
      <c r="A2301" t="s">
        <v>4922</v>
      </c>
      <c r="B2301" s="13">
        <v>45949</v>
      </c>
      <c r="C2301">
        <v>2025</v>
      </c>
      <c r="D2301">
        <v>10</v>
      </c>
      <c r="E2301" t="s">
        <v>4779</v>
      </c>
      <c r="F2301" t="s">
        <v>4780</v>
      </c>
      <c r="G2301" t="s">
        <v>1237</v>
      </c>
      <c r="H2301" t="s">
        <v>1238</v>
      </c>
      <c r="I2301" t="s">
        <v>86</v>
      </c>
      <c r="J2301">
        <v>41</v>
      </c>
      <c r="K2301" t="s">
        <v>82</v>
      </c>
      <c r="L2301" t="s">
        <v>96</v>
      </c>
      <c r="M2301" t="s">
        <v>55</v>
      </c>
      <c r="N2301" t="s">
        <v>2582</v>
      </c>
      <c r="O2301" t="s">
        <v>119</v>
      </c>
      <c r="P2301" t="s">
        <v>49</v>
      </c>
      <c r="Q2301" t="s">
        <v>140</v>
      </c>
      <c r="R2301">
        <v>5</v>
      </c>
      <c r="S2301">
        <v>3499</v>
      </c>
      <c r="T2301">
        <v>0.05</v>
      </c>
      <c r="U2301">
        <v>0</v>
      </c>
      <c r="V2301">
        <v>0</v>
      </c>
      <c r="W2301">
        <v>0</v>
      </c>
      <c r="X2301" t="s">
        <v>77</v>
      </c>
      <c r="Y2301" t="s">
        <v>71</v>
      </c>
      <c r="Z2301" t="s">
        <v>160</v>
      </c>
      <c r="AA2301" t="s">
        <v>166</v>
      </c>
      <c r="AB2301">
        <v>4.7</v>
      </c>
      <c r="AC2301">
        <v>60</v>
      </c>
      <c r="AD2301">
        <v>1778.92</v>
      </c>
      <c r="AE2301">
        <f t="shared" si="70"/>
        <v>-1838.92</v>
      </c>
      <c r="AF2301" t="str">
        <f t="shared" si="71"/>
        <v>2025-10</v>
      </c>
      <c r="AG2301">
        <f>SUBTOTAL(103,A2301)</f>
        <v>1</v>
      </c>
    </row>
    <row r="2302" spans="1:33" x14ac:dyDescent="0.3">
      <c r="A2302" t="s">
        <v>4923</v>
      </c>
      <c r="B2302" s="13">
        <v>45949</v>
      </c>
      <c r="C2302">
        <v>2025</v>
      </c>
      <c r="D2302">
        <v>10</v>
      </c>
      <c r="E2302" t="s">
        <v>4779</v>
      </c>
      <c r="F2302" t="s">
        <v>4780</v>
      </c>
      <c r="G2302" t="s">
        <v>2157</v>
      </c>
      <c r="H2302" t="s">
        <v>2158</v>
      </c>
      <c r="I2302" t="s">
        <v>86</v>
      </c>
      <c r="J2302">
        <v>25</v>
      </c>
      <c r="K2302" t="s">
        <v>80</v>
      </c>
      <c r="L2302" t="s">
        <v>99</v>
      </c>
      <c r="M2302" t="s">
        <v>58</v>
      </c>
      <c r="N2302" t="s">
        <v>2590</v>
      </c>
      <c r="O2302" t="s">
        <v>127</v>
      </c>
      <c r="P2302" t="s">
        <v>51</v>
      </c>
      <c r="Q2302" t="s">
        <v>148</v>
      </c>
      <c r="R2302">
        <v>2</v>
      </c>
      <c r="S2302">
        <v>1599</v>
      </c>
      <c r="T2302">
        <v>0.05</v>
      </c>
      <c r="U2302">
        <v>3038.1</v>
      </c>
      <c r="V2302">
        <v>1600</v>
      </c>
      <c r="W2302">
        <v>1438.1</v>
      </c>
      <c r="X2302" t="s">
        <v>75</v>
      </c>
      <c r="Y2302" t="s">
        <v>68</v>
      </c>
      <c r="Z2302" t="s">
        <v>158</v>
      </c>
      <c r="AA2302" t="s">
        <v>170</v>
      </c>
      <c r="AB2302">
        <v>3.6</v>
      </c>
      <c r="AC2302">
        <v>50</v>
      </c>
      <c r="AD2302">
        <v>322.95</v>
      </c>
      <c r="AE2302">
        <f t="shared" si="70"/>
        <v>1065.1499999999999</v>
      </c>
      <c r="AF2302" t="str">
        <f t="shared" si="71"/>
        <v>2025-10</v>
      </c>
      <c r="AG2302">
        <f>SUBTOTAL(103,A2302)</f>
        <v>1</v>
      </c>
    </row>
    <row r="2303" spans="1:33" x14ac:dyDescent="0.3">
      <c r="A2303" t="s">
        <v>4924</v>
      </c>
      <c r="B2303" s="13">
        <v>45949</v>
      </c>
      <c r="C2303">
        <v>2025</v>
      </c>
      <c r="D2303">
        <v>10</v>
      </c>
      <c r="E2303" t="s">
        <v>4779</v>
      </c>
      <c r="F2303" t="s">
        <v>4780</v>
      </c>
      <c r="G2303" t="s">
        <v>325</v>
      </c>
      <c r="H2303" t="s">
        <v>326</v>
      </c>
      <c r="I2303" t="s">
        <v>86</v>
      </c>
      <c r="J2303">
        <v>50</v>
      </c>
      <c r="K2303" t="s">
        <v>83</v>
      </c>
      <c r="L2303" t="s">
        <v>2687</v>
      </c>
      <c r="M2303" t="s">
        <v>57</v>
      </c>
      <c r="N2303" t="s">
        <v>2606</v>
      </c>
      <c r="O2303" t="s">
        <v>120</v>
      </c>
      <c r="P2303" t="s">
        <v>49</v>
      </c>
      <c r="Q2303" t="s">
        <v>140</v>
      </c>
      <c r="R2303">
        <v>1</v>
      </c>
      <c r="S2303">
        <v>2799</v>
      </c>
      <c r="T2303">
        <v>0.15</v>
      </c>
      <c r="U2303">
        <v>2379.15</v>
      </c>
      <c r="V2303">
        <v>1650</v>
      </c>
      <c r="W2303">
        <v>729.15</v>
      </c>
      <c r="X2303" t="s">
        <v>74</v>
      </c>
      <c r="Y2303" t="s">
        <v>68</v>
      </c>
      <c r="Z2303" t="s">
        <v>159</v>
      </c>
      <c r="AA2303" t="s">
        <v>169</v>
      </c>
      <c r="AB2303">
        <v>4.2</v>
      </c>
      <c r="AC2303">
        <v>60</v>
      </c>
      <c r="AD2303">
        <v>241.23</v>
      </c>
      <c r="AE2303">
        <f t="shared" si="70"/>
        <v>427.91999999999996</v>
      </c>
      <c r="AF2303" t="str">
        <f t="shared" si="71"/>
        <v>2025-10</v>
      </c>
      <c r="AG2303">
        <f>SUBTOTAL(103,A2303)</f>
        <v>1</v>
      </c>
    </row>
    <row r="2304" spans="1:33" x14ac:dyDescent="0.3">
      <c r="A2304" t="s">
        <v>4925</v>
      </c>
      <c r="B2304" s="13">
        <v>45949</v>
      </c>
      <c r="C2304">
        <v>2025</v>
      </c>
      <c r="D2304">
        <v>10</v>
      </c>
      <c r="E2304" t="s">
        <v>4779</v>
      </c>
      <c r="F2304" t="s">
        <v>4780</v>
      </c>
      <c r="G2304" t="s">
        <v>495</v>
      </c>
      <c r="H2304" t="s">
        <v>496</v>
      </c>
      <c r="I2304" t="s">
        <v>85</v>
      </c>
      <c r="J2304">
        <v>19</v>
      </c>
      <c r="K2304" t="s">
        <v>80</v>
      </c>
      <c r="L2304" t="s">
        <v>2579</v>
      </c>
      <c r="M2304" t="s">
        <v>56</v>
      </c>
      <c r="N2304" t="s">
        <v>2594</v>
      </c>
      <c r="O2304" t="s">
        <v>131</v>
      </c>
      <c r="P2304" t="s">
        <v>53</v>
      </c>
      <c r="Q2304" t="s">
        <v>143</v>
      </c>
      <c r="R2304">
        <v>1</v>
      </c>
      <c r="S2304">
        <v>999</v>
      </c>
      <c r="T2304">
        <v>0.15</v>
      </c>
      <c r="U2304">
        <v>849.15</v>
      </c>
      <c r="V2304">
        <v>520</v>
      </c>
      <c r="W2304">
        <v>329.15</v>
      </c>
      <c r="X2304" t="s">
        <v>73</v>
      </c>
      <c r="Y2304" t="s">
        <v>68</v>
      </c>
      <c r="Z2304" t="s">
        <v>159</v>
      </c>
      <c r="AA2304" t="s">
        <v>166</v>
      </c>
      <c r="AB2304">
        <v>4.4000000000000004</v>
      </c>
      <c r="AC2304">
        <v>80</v>
      </c>
      <c r="AD2304">
        <v>91.67</v>
      </c>
      <c r="AE2304">
        <f t="shared" si="70"/>
        <v>157.47999999999996</v>
      </c>
      <c r="AF2304" t="str">
        <f t="shared" si="71"/>
        <v>2025-10</v>
      </c>
      <c r="AG2304">
        <f>SUBTOTAL(103,A2304)</f>
        <v>1</v>
      </c>
    </row>
    <row r="2305" spans="1:33" x14ac:dyDescent="0.3">
      <c r="A2305" t="s">
        <v>4926</v>
      </c>
      <c r="B2305" s="13">
        <v>45950</v>
      </c>
      <c r="C2305">
        <v>2025</v>
      </c>
      <c r="D2305">
        <v>10</v>
      </c>
      <c r="E2305" t="s">
        <v>4779</v>
      </c>
      <c r="F2305" t="s">
        <v>4780</v>
      </c>
      <c r="G2305" t="s">
        <v>1195</v>
      </c>
      <c r="H2305" t="s">
        <v>1196</v>
      </c>
      <c r="I2305" t="s">
        <v>85</v>
      </c>
      <c r="J2305">
        <v>36</v>
      </c>
      <c r="K2305" t="s">
        <v>82</v>
      </c>
      <c r="L2305" t="s">
        <v>2679</v>
      </c>
      <c r="M2305" t="s">
        <v>60</v>
      </c>
      <c r="N2305" t="s">
        <v>2665</v>
      </c>
      <c r="O2305" t="s">
        <v>128</v>
      </c>
      <c r="P2305" t="s">
        <v>53</v>
      </c>
      <c r="Q2305" t="s">
        <v>143</v>
      </c>
      <c r="R2305">
        <v>3</v>
      </c>
      <c r="S2305">
        <v>1499</v>
      </c>
      <c r="T2305">
        <v>0.1</v>
      </c>
      <c r="U2305">
        <v>4047.3</v>
      </c>
      <c r="V2305">
        <v>2400</v>
      </c>
      <c r="W2305">
        <v>1647.3</v>
      </c>
      <c r="X2305" t="s">
        <v>75</v>
      </c>
      <c r="Y2305" t="s">
        <v>68</v>
      </c>
      <c r="Z2305" t="s">
        <v>159</v>
      </c>
      <c r="AA2305" t="s">
        <v>167</v>
      </c>
      <c r="AB2305">
        <v>2.7</v>
      </c>
      <c r="AC2305">
        <v>40</v>
      </c>
      <c r="AD2305">
        <v>150.18</v>
      </c>
      <c r="AE2305">
        <f t="shared" si="70"/>
        <v>1457.12</v>
      </c>
      <c r="AF2305" t="str">
        <f t="shared" si="71"/>
        <v>2025-10</v>
      </c>
      <c r="AG2305">
        <f>SUBTOTAL(103,A2305)</f>
        <v>1</v>
      </c>
    </row>
    <row r="2306" spans="1:33" x14ac:dyDescent="0.3">
      <c r="A2306" t="s">
        <v>4927</v>
      </c>
      <c r="B2306" s="13">
        <v>45950</v>
      </c>
      <c r="C2306">
        <v>2025</v>
      </c>
      <c r="D2306">
        <v>10</v>
      </c>
      <c r="E2306" t="s">
        <v>4779</v>
      </c>
      <c r="F2306" t="s">
        <v>4780</v>
      </c>
      <c r="G2306" t="s">
        <v>1881</v>
      </c>
      <c r="H2306" t="s">
        <v>1882</v>
      </c>
      <c r="I2306" t="s">
        <v>85</v>
      </c>
      <c r="J2306">
        <v>30</v>
      </c>
      <c r="K2306" t="s">
        <v>81</v>
      </c>
      <c r="L2306" t="s">
        <v>2661</v>
      </c>
      <c r="M2306" t="s">
        <v>58</v>
      </c>
      <c r="N2306" t="s">
        <v>2626</v>
      </c>
      <c r="O2306" t="s">
        <v>125</v>
      </c>
      <c r="P2306" t="s">
        <v>48</v>
      </c>
      <c r="Q2306" t="s">
        <v>141</v>
      </c>
      <c r="R2306">
        <v>1</v>
      </c>
      <c r="S2306">
        <v>1999</v>
      </c>
      <c r="T2306">
        <v>0.05</v>
      </c>
      <c r="U2306">
        <v>1899.05</v>
      </c>
      <c r="V2306">
        <v>1150</v>
      </c>
      <c r="W2306">
        <v>749.05</v>
      </c>
      <c r="X2306" t="s">
        <v>76</v>
      </c>
      <c r="Y2306" t="s">
        <v>68</v>
      </c>
      <c r="Z2306" t="s">
        <v>158</v>
      </c>
      <c r="AA2306" t="s">
        <v>169</v>
      </c>
      <c r="AB2306">
        <v>4.5999999999999996</v>
      </c>
      <c r="AC2306">
        <v>80</v>
      </c>
      <c r="AD2306">
        <v>155.13</v>
      </c>
      <c r="AE2306">
        <f t="shared" ref="AE2306:AE2369" si="72">W2306-AC2306-AD2306</f>
        <v>513.91999999999996</v>
      </c>
      <c r="AF2306" t="str">
        <f t="shared" ref="AF2306:AF2369" si="73">C2306&amp;"-"&amp;TEXT(D2306,"00")</f>
        <v>2025-10</v>
      </c>
      <c r="AG2306">
        <f>SUBTOTAL(103,A2306)</f>
        <v>1</v>
      </c>
    </row>
    <row r="2307" spans="1:33" x14ac:dyDescent="0.3">
      <c r="A2307" t="s">
        <v>4928</v>
      </c>
      <c r="B2307" s="13">
        <v>45950</v>
      </c>
      <c r="C2307">
        <v>2025</v>
      </c>
      <c r="D2307">
        <v>10</v>
      </c>
      <c r="E2307" t="s">
        <v>4779</v>
      </c>
      <c r="F2307" t="s">
        <v>4780</v>
      </c>
      <c r="G2307" t="s">
        <v>423</v>
      </c>
      <c r="H2307" t="s">
        <v>424</v>
      </c>
      <c r="I2307" t="s">
        <v>85</v>
      </c>
      <c r="J2307">
        <v>30</v>
      </c>
      <c r="K2307" t="s">
        <v>81</v>
      </c>
      <c r="L2307" t="s">
        <v>2623</v>
      </c>
      <c r="M2307" t="s">
        <v>61</v>
      </c>
      <c r="N2307" t="s">
        <v>2596</v>
      </c>
      <c r="O2307" t="s">
        <v>124</v>
      </c>
      <c r="P2307" t="s">
        <v>51</v>
      </c>
      <c r="Q2307" t="s">
        <v>147</v>
      </c>
      <c r="R2307">
        <v>1</v>
      </c>
      <c r="S2307">
        <v>2299</v>
      </c>
      <c r="T2307">
        <v>0.05</v>
      </c>
      <c r="U2307">
        <v>2184.0500000000002</v>
      </c>
      <c r="V2307">
        <v>1200</v>
      </c>
      <c r="W2307">
        <v>984.05</v>
      </c>
      <c r="X2307" t="s">
        <v>74</v>
      </c>
      <c r="Y2307" t="s">
        <v>68</v>
      </c>
      <c r="Z2307" t="s">
        <v>158</v>
      </c>
      <c r="AA2307" t="s">
        <v>171</v>
      </c>
      <c r="AB2307">
        <v>5</v>
      </c>
      <c r="AC2307">
        <v>80</v>
      </c>
      <c r="AD2307">
        <v>76.61</v>
      </c>
      <c r="AE2307">
        <f t="shared" si="72"/>
        <v>827.43999999999994</v>
      </c>
      <c r="AF2307" t="str">
        <f t="shared" si="73"/>
        <v>2025-10</v>
      </c>
      <c r="AG2307">
        <f>SUBTOTAL(103,A2307)</f>
        <v>1</v>
      </c>
    </row>
    <row r="2308" spans="1:33" x14ac:dyDescent="0.3">
      <c r="A2308" t="s">
        <v>4929</v>
      </c>
      <c r="B2308" s="13">
        <v>45950</v>
      </c>
      <c r="C2308">
        <v>2025</v>
      </c>
      <c r="D2308">
        <v>10</v>
      </c>
      <c r="E2308" t="s">
        <v>4779</v>
      </c>
      <c r="F2308" t="s">
        <v>4780</v>
      </c>
      <c r="G2308" t="s">
        <v>1799</v>
      </c>
      <c r="H2308" t="s">
        <v>1800</v>
      </c>
      <c r="I2308" t="s">
        <v>85</v>
      </c>
      <c r="J2308">
        <v>25</v>
      </c>
      <c r="K2308" t="s">
        <v>80</v>
      </c>
      <c r="L2308" t="s">
        <v>99</v>
      </c>
      <c r="M2308" t="s">
        <v>58</v>
      </c>
      <c r="N2308" t="s">
        <v>2590</v>
      </c>
      <c r="O2308" t="s">
        <v>127</v>
      </c>
      <c r="P2308" t="s">
        <v>51</v>
      </c>
      <c r="Q2308" t="s">
        <v>148</v>
      </c>
      <c r="R2308">
        <v>1</v>
      </c>
      <c r="S2308">
        <v>1599</v>
      </c>
      <c r="T2308">
        <v>0.2</v>
      </c>
      <c r="U2308">
        <v>1279.2</v>
      </c>
      <c r="V2308">
        <v>800</v>
      </c>
      <c r="W2308">
        <v>479.2</v>
      </c>
      <c r="X2308" t="s">
        <v>73</v>
      </c>
      <c r="Y2308" t="s">
        <v>68</v>
      </c>
      <c r="Z2308" t="s">
        <v>160</v>
      </c>
      <c r="AA2308" t="s">
        <v>166</v>
      </c>
      <c r="AB2308">
        <v>3.1</v>
      </c>
      <c r="AC2308">
        <v>60</v>
      </c>
      <c r="AD2308">
        <v>78.53</v>
      </c>
      <c r="AE2308">
        <f t="shared" si="72"/>
        <v>340.66999999999996</v>
      </c>
      <c r="AF2308" t="str">
        <f t="shared" si="73"/>
        <v>2025-10</v>
      </c>
      <c r="AG2308">
        <f>SUBTOTAL(103,A2308)</f>
        <v>1</v>
      </c>
    </row>
    <row r="2309" spans="1:33" x14ac:dyDescent="0.3">
      <c r="A2309" t="s">
        <v>4930</v>
      </c>
      <c r="B2309" s="13">
        <v>45950</v>
      </c>
      <c r="C2309">
        <v>2025</v>
      </c>
      <c r="D2309">
        <v>10</v>
      </c>
      <c r="E2309" t="s">
        <v>4779</v>
      </c>
      <c r="F2309" t="s">
        <v>4780</v>
      </c>
      <c r="G2309" t="s">
        <v>473</v>
      </c>
      <c r="H2309" t="s">
        <v>474</v>
      </c>
      <c r="I2309" t="s">
        <v>85</v>
      </c>
      <c r="J2309">
        <v>38</v>
      </c>
      <c r="K2309" t="s">
        <v>82</v>
      </c>
      <c r="L2309" t="s">
        <v>2599</v>
      </c>
      <c r="M2309" t="s">
        <v>62</v>
      </c>
      <c r="N2309" t="s">
        <v>2584</v>
      </c>
      <c r="O2309" t="s">
        <v>121</v>
      </c>
      <c r="P2309" t="s">
        <v>50</v>
      </c>
      <c r="Q2309" t="s">
        <v>144</v>
      </c>
      <c r="R2309">
        <v>4</v>
      </c>
      <c r="S2309">
        <v>2999</v>
      </c>
      <c r="T2309">
        <v>0.2</v>
      </c>
      <c r="U2309">
        <v>9596.7999999999993</v>
      </c>
      <c r="V2309">
        <v>6800</v>
      </c>
      <c r="W2309">
        <v>2796.8</v>
      </c>
      <c r="X2309" t="s">
        <v>73</v>
      </c>
      <c r="Y2309" t="s">
        <v>68</v>
      </c>
      <c r="Z2309" t="s">
        <v>159</v>
      </c>
      <c r="AA2309" t="s">
        <v>167</v>
      </c>
      <c r="AB2309">
        <v>3.4</v>
      </c>
      <c r="AC2309">
        <v>60</v>
      </c>
      <c r="AD2309">
        <v>849.31</v>
      </c>
      <c r="AE2309">
        <f t="shared" si="72"/>
        <v>1887.4900000000002</v>
      </c>
      <c r="AF2309" t="str">
        <f t="shared" si="73"/>
        <v>2025-10</v>
      </c>
      <c r="AG2309">
        <f>SUBTOTAL(103,A2309)</f>
        <v>1</v>
      </c>
    </row>
    <row r="2310" spans="1:33" x14ac:dyDescent="0.3">
      <c r="A2310" t="s">
        <v>4931</v>
      </c>
      <c r="B2310" s="13">
        <v>45950</v>
      </c>
      <c r="C2310">
        <v>2025</v>
      </c>
      <c r="D2310">
        <v>10</v>
      </c>
      <c r="E2310" t="s">
        <v>4779</v>
      </c>
      <c r="F2310" t="s">
        <v>4780</v>
      </c>
      <c r="G2310" t="s">
        <v>565</v>
      </c>
      <c r="H2310" t="s">
        <v>566</v>
      </c>
      <c r="I2310" t="s">
        <v>86</v>
      </c>
      <c r="J2310">
        <v>29</v>
      </c>
      <c r="K2310" t="s">
        <v>81</v>
      </c>
      <c r="L2310" t="s">
        <v>2610</v>
      </c>
      <c r="M2310" t="s">
        <v>64</v>
      </c>
      <c r="N2310" t="s">
        <v>2587</v>
      </c>
      <c r="O2310" t="s">
        <v>116</v>
      </c>
      <c r="P2310" t="s">
        <v>48</v>
      </c>
      <c r="Q2310" t="s">
        <v>138</v>
      </c>
      <c r="R2310">
        <v>3</v>
      </c>
      <c r="S2310">
        <v>14999</v>
      </c>
      <c r="T2310">
        <v>0.15</v>
      </c>
      <c r="U2310">
        <v>38247.449999999997</v>
      </c>
      <c r="V2310">
        <v>33600</v>
      </c>
      <c r="W2310">
        <v>4647.45</v>
      </c>
      <c r="X2310" t="s">
        <v>77</v>
      </c>
      <c r="Y2310" t="s">
        <v>68</v>
      </c>
      <c r="Z2310" t="s">
        <v>163</v>
      </c>
      <c r="AA2310" t="s">
        <v>166</v>
      </c>
      <c r="AB2310">
        <v>4.4000000000000004</v>
      </c>
      <c r="AC2310">
        <v>40</v>
      </c>
      <c r="AD2310">
        <v>921.15</v>
      </c>
      <c r="AE2310">
        <f t="shared" si="72"/>
        <v>3686.2999999999997</v>
      </c>
      <c r="AF2310" t="str">
        <f t="shared" si="73"/>
        <v>2025-10</v>
      </c>
      <c r="AG2310">
        <f>SUBTOTAL(103,A2310)</f>
        <v>1</v>
      </c>
    </row>
    <row r="2311" spans="1:33" x14ac:dyDescent="0.3">
      <c r="A2311" t="s">
        <v>4932</v>
      </c>
      <c r="B2311" s="13">
        <v>45950</v>
      </c>
      <c r="C2311">
        <v>2025</v>
      </c>
      <c r="D2311">
        <v>10</v>
      </c>
      <c r="E2311" t="s">
        <v>4779</v>
      </c>
      <c r="F2311" t="s">
        <v>4780</v>
      </c>
      <c r="G2311" t="s">
        <v>877</v>
      </c>
      <c r="H2311" t="s">
        <v>878</v>
      </c>
      <c r="I2311" t="s">
        <v>85</v>
      </c>
      <c r="J2311">
        <v>21</v>
      </c>
      <c r="K2311" t="s">
        <v>80</v>
      </c>
      <c r="L2311" t="s">
        <v>59</v>
      </c>
      <c r="M2311" t="s">
        <v>59</v>
      </c>
      <c r="N2311" t="s">
        <v>2603</v>
      </c>
      <c r="O2311" t="s">
        <v>122</v>
      </c>
      <c r="P2311" t="s">
        <v>48</v>
      </c>
      <c r="Q2311" t="s">
        <v>141</v>
      </c>
      <c r="R2311">
        <v>3</v>
      </c>
      <c r="S2311">
        <v>2499</v>
      </c>
      <c r="T2311">
        <v>0.15</v>
      </c>
      <c r="U2311">
        <v>6372.45</v>
      </c>
      <c r="V2311">
        <v>4350</v>
      </c>
      <c r="W2311">
        <v>2022.45</v>
      </c>
      <c r="X2311" t="s">
        <v>75</v>
      </c>
      <c r="Y2311" t="s">
        <v>68</v>
      </c>
      <c r="Z2311" t="s">
        <v>160</v>
      </c>
      <c r="AA2311" t="s">
        <v>169</v>
      </c>
      <c r="AB2311">
        <v>4.5999999999999996</v>
      </c>
      <c r="AC2311">
        <v>60</v>
      </c>
      <c r="AD2311">
        <v>653.33000000000004</v>
      </c>
      <c r="AE2311">
        <f t="shared" si="72"/>
        <v>1309.1199999999999</v>
      </c>
      <c r="AF2311" t="str">
        <f t="shared" si="73"/>
        <v>2025-10</v>
      </c>
      <c r="AG2311">
        <f>SUBTOTAL(103,A2311)</f>
        <v>1</v>
      </c>
    </row>
    <row r="2312" spans="1:33" x14ac:dyDescent="0.3">
      <c r="A2312" t="s">
        <v>4933</v>
      </c>
      <c r="B2312" s="13">
        <v>45950</v>
      </c>
      <c r="C2312">
        <v>2025</v>
      </c>
      <c r="D2312">
        <v>10</v>
      </c>
      <c r="E2312" t="s">
        <v>4779</v>
      </c>
      <c r="F2312" t="s">
        <v>4780</v>
      </c>
      <c r="G2312" t="s">
        <v>1317</v>
      </c>
      <c r="H2312" t="s">
        <v>1318</v>
      </c>
      <c r="I2312" t="s">
        <v>86</v>
      </c>
      <c r="J2312">
        <v>18</v>
      </c>
      <c r="K2312" t="s">
        <v>80</v>
      </c>
      <c r="L2312" t="s">
        <v>96</v>
      </c>
      <c r="M2312" t="s">
        <v>55</v>
      </c>
      <c r="N2312" t="s">
        <v>2580</v>
      </c>
      <c r="O2312" t="s">
        <v>118</v>
      </c>
      <c r="P2312" t="s">
        <v>48</v>
      </c>
      <c r="Q2312" t="s">
        <v>142</v>
      </c>
      <c r="R2312">
        <v>1</v>
      </c>
      <c r="S2312">
        <v>3999</v>
      </c>
      <c r="T2312">
        <v>0.15</v>
      </c>
      <c r="U2312">
        <v>3399.15</v>
      </c>
      <c r="V2312">
        <v>2400</v>
      </c>
      <c r="W2312">
        <v>999.15</v>
      </c>
      <c r="X2312" t="s">
        <v>73</v>
      </c>
      <c r="Y2312" t="s">
        <v>68</v>
      </c>
      <c r="Z2312" t="s">
        <v>158</v>
      </c>
      <c r="AA2312" t="s">
        <v>167</v>
      </c>
      <c r="AB2312">
        <v>4.3</v>
      </c>
      <c r="AC2312">
        <v>80</v>
      </c>
      <c r="AD2312">
        <v>153.57</v>
      </c>
      <c r="AE2312">
        <f t="shared" si="72"/>
        <v>765.57999999999993</v>
      </c>
      <c r="AF2312" t="str">
        <f t="shared" si="73"/>
        <v>2025-10</v>
      </c>
      <c r="AG2312">
        <f>SUBTOTAL(103,A2312)</f>
        <v>1</v>
      </c>
    </row>
    <row r="2313" spans="1:33" x14ac:dyDescent="0.3">
      <c r="A2313" t="s">
        <v>4934</v>
      </c>
      <c r="B2313" s="13">
        <v>45950</v>
      </c>
      <c r="C2313">
        <v>2025</v>
      </c>
      <c r="D2313">
        <v>10</v>
      </c>
      <c r="E2313" t="s">
        <v>4779</v>
      </c>
      <c r="F2313" t="s">
        <v>4780</v>
      </c>
      <c r="G2313" t="s">
        <v>1181</v>
      </c>
      <c r="H2313" t="s">
        <v>1182</v>
      </c>
      <c r="I2313" t="s">
        <v>85</v>
      </c>
      <c r="J2313">
        <v>57</v>
      </c>
      <c r="K2313" t="s">
        <v>83</v>
      </c>
      <c r="L2313" t="s">
        <v>2623</v>
      </c>
      <c r="M2313" t="s">
        <v>61</v>
      </c>
      <c r="N2313" t="s">
        <v>2601</v>
      </c>
      <c r="O2313" t="s">
        <v>117</v>
      </c>
      <c r="P2313" t="s">
        <v>49</v>
      </c>
      <c r="Q2313" t="s">
        <v>139</v>
      </c>
      <c r="R2313">
        <v>3</v>
      </c>
      <c r="S2313">
        <v>6999</v>
      </c>
      <c r="T2313">
        <v>0.15</v>
      </c>
      <c r="U2313">
        <v>17847.45</v>
      </c>
      <c r="V2313">
        <v>12900</v>
      </c>
      <c r="W2313">
        <v>4947.45</v>
      </c>
      <c r="X2313" t="s">
        <v>73</v>
      </c>
      <c r="Y2313" t="s">
        <v>68</v>
      </c>
      <c r="Z2313" t="s">
        <v>162</v>
      </c>
      <c r="AA2313" t="s">
        <v>169</v>
      </c>
      <c r="AB2313">
        <v>4.4000000000000004</v>
      </c>
      <c r="AC2313">
        <v>80</v>
      </c>
      <c r="AD2313">
        <v>1202.71</v>
      </c>
      <c r="AE2313">
        <f t="shared" si="72"/>
        <v>3664.74</v>
      </c>
      <c r="AF2313" t="str">
        <f t="shared" si="73"/>
        <v>2025-10</v>
      </c>
      <c r="AG2313">
        <f>SUBTOTAL(103,A2313)</f>
        <v>1</v>
      </c>
    </row>
    <row r="2314" spans="1:33" x14ac:dyDescent="0.3">
      <c r="A2314" t="s">
        <v>4935</v>
      </c>
      <c r="B2314" s="13">
        <v>45951</v>
      </c>
      <c r="C2314">
        <v>2025</v>
      </c>
      <c r="D2314">
        <v>10</v>
      </c>
      <c r="E2314" t="s">
        <v>4779</v>
      </c>
      <c r="F2314" t="s">
        <v>4780</v>
      </c>
      <c r="G2314" t="s">
        <v>1645</v>
      </c>
      <c r="H2314" t="s">
        <v>1646</v>
      </c>
      <c r="I2314" t="s">
        <v>86</v>
      </c>
      <c r="J2314">
        <v>56</v>
      </c>
      <c r="K2314" t="s">
        <v>83</v>
      </c>
      <c r="L2314" t="s">
        <v>94</v>
      </c>
      <c r="M2314" t="s">
        <v>57</v>
      </c>
      <c r="N2314" t="s">
        <v>2644</v>
      </c>
      <c r="O2314" t="s">
        <v>126</v>
      </c>
      <c r="P2314" t="s">
        <v>50</v>
      </c>
      <c r="Q2314" t="s">
        <v>145</v>
      </c>
      <c r="R2314">
        <v>2</v>
      </c>
      <c r="S2314">
        <v>1799</v>
      </c>
      <c r="T2314">
        <v>0.05</v>
      </c>
      <c r="U2314">
        <v>3418.1</v>
      </c>
      <c r="V2314">
        <v>1900</v>
      </c>
      <c r="W2314">
        <v>1518.1</v>
      </c>
      <c r="X2314" t="s">
        <v>76</v>
      </c>
      <c r="Y2314" t="s">
        <v>68</v>
      </c>
      <c r="Z2314" t="s">
        <v>159</v>
      </c>
      <c r="AA2314" t="s">
        <v>166</v>
      </c>
      <c r="AB2314">
        <v>3.2</v>
      </c>
      <c r="AC2314">
        <v>40</v>
      </c>
      <c r="AD2314">
        <v>95.52</v>
      </c>
      <c r="AE2314">
        <f t="shared" si="72"/>
        <v>1382.58</v>
      </c>
      <c r="AF2314" t="str">
        <f t="shared" si="73"/>
        <v>2025-10</v>
      </c>
      <c r="AG2314">
        <f>SUBTOTAL(103,A2314)</f>
        <v>1</v>
      </c>
    </row>
    <row r="2315" spans="1:33" x14ac:dyDescent="0.3">
      <c r="A2315" t="s">
        <v>4936</v>
      </c>
      <c r="B2315" s="13">
        <v>45951</v>
      </c>
      <c r="C2315">
        <v>2025</v>
      </c>
      <c r="D2315">
        <v>10</v>
      </c>
      <c r="E2315" t="s">
        <v>4779</v>
      </c>
      <c r="F2315" t="s">
        <v>4780</v>
      </c>
      <c r="G2315" t="s">
        <v>953</v>
      </c>
      <c r="H2315" t="s">
        <v>954</v>
      </c>
      <c r="I2315" t="s">
        <v>86</v>
      </c>
      <c r="J2315">
        <v>42</v>
      </c>
      <c r="K2315" t="s">
        <v>82</v>
      </c>
      <c r="L2315" t="s">
        <v>2687</v>
      </c>
      <c r="M2315" t="s">
        <v>57</v>
      </c>
      <c r="N2315" t="s">
        <v>2574</v>
      </c>
      <c r="O2315" t="s">
        <v>130</v>
      </c>
      <c r="P2315" t="s">
        <v>50</v>
      </c>
      <c r="Q2315" t="s">
        <v>53</v>
      </c>
      <c r="R2315">
        <v>2</v>
      </c>
      <c r="S2315">
        <v>1199</v>
      </c>
      <c r="T2315">
        <v>0.1</v>
      </c>
      <c r="U2315">
        <v>2158.1999999999998</v>
      </c>
      <c r="V2315">
        <v>1100</v>
      </c>
      <c r="W2315">
        <v>1058.2</v>
      </c>
      <c r="X2315" t="s">
        <v>77</v>
      </c>
      <c r="Y2315" t="s">
        <v>68</v>
      </c>
      <c r="Z2315" t="s">
        <v>161</v>
      </c>
      <c r="AA2315" t="s">
        <v>168</v>
      </c>
      <c r="AB2315">
        <v>4.8</v>
      </c>
      <c r="AC2315">
        <v>50</v>
      </c>
      <c r="AD2315">
        <v>147.30000000000001</v>
      </c>
      <c r="AE2315">
        <f t="shared" si="72"/>
        <v>860.90000000000009</v>
      </c>
      <c r="AF2315" t="str">
        <f t="shared" si="73"/>
        <v>2025-10</v>
      </c>
      <c r="AG2315">
        <f>SUBTOTAL(103,A2315)</f>
        <v>1</v>
      </c>
    </row>
    <row r="2316" spans="1:33" x14ac:dyDescent="0.3">
      <c r="A2316" t="s">
        <v>4937</v>
      </c>
      <c r="B2316" s="13">
        <v>45951</v>
      </c>
      <c r="C2316">
        <v>2025</v>
      </c>
      <c r="D2316">
        <v>10</v>
      </c>
      <c r="E2316" t="s">
        <v>4779</v>
      </c>
      <c r="F2316" t="s">
        <v>4780</v>
      </c>
      <c r="G2316" t="s">
        <v>653</v>
      </c>
      <c r="H2316" t="s">
        <v>654</v>
      </c>
      <c r="I2316" t="s">
        <v>85</v>
      </c>
      <c r="J2316">
        <v>32</v>
      </c>
      <c r="K2316" t="s">
        <v>81</v>
      </c>
      <c r="L2316" t="s">
        <v>2605</v>
      </c>
      <c r="M2316" t="s">
        <v>60</v>
      </c>
      <c r="N2316" t="s">
        <v>2587</v>
      </c>
      <c r="O2316" t="s">
        <v>116</v>
      </c>
      <c r="P2316" t="s">
        <v>48</v>
      </c>
      <c r="Q2316" t="s">
        <v>138</v>
      </c>
      <c r="R2316">
        <v>1</v>
      </c>
      <c r="S2316">
        <v>14999</v>
      </c>
      <c r="T2316">
        <v>0</v>
      </c>
      <c r="U2316">
        <v>14999</v>
      </c>
      <c r="V2316">
        <v>11200</v>
      </c>
      <c r="W2316">
        <v>3799</v>
      </c>
      <c r="X2316" t="s">
        <v>74</v>
      </c>
      <c r="Y2316" t="s">
        <v>68</v>
      </c>
      <c r="Z2316" t="s">
        <v>159</v>
      </c>
      <c r="AA2316" t="s">
        <v>171</v>
      </c>
      <c r="AB2316">
        <v>5</v>
      </c>
      <c r="AC2316">
        <v>40</v>
      </c>
      <c r="AD2316">
        <v>436.29</v>
      </c>
      <c r="AE2316">
        <f t="shared" si="72"/>
        <v>3322.71</v>
      </c>
      <c r="AF2316" t="str">
        <f t="shared" si="73"/>
        <v>2025-10</v>
      </c>
      <c r="AG2316">
        <f>SUBTOTAL(103,A2316)</f>
        <v>1</v>
      </c>
    </row>
    <row r="2317" spans="1:33" x14ac:dyDescent="0.3">
      <c r="A2317" t="s">
        <v>4938</v>
      </c>
      <c r="B2317" s="13">
        <v>45951</v>
      </c>
      <c r="C2317">
        <v>2025</v>
      </c>
      <c r="D2317">
        <v>10</v>
      </c>
      <c r="E2317" t="s">
        <v>4779</v>
      </c>
      <c r="F2317" t="s">
        <v>4780</v>
      </c>
      <c r="G2317" t="s">
        <v>2025</v>
      </c>
      <c r="H2317" t="s">
        <v>2026</v>
      </c>
      <c r="I2317" t="s">
        <v>85</v>
      </c>
      <c r="J2317">
        <v>19</v>
      </c>
      <c r="K2317" t="s">
        <v>80</v>
      </c>
      <c r="L2317" t="s">
        <v>2623</v>
      </c>
      <c r="M2317" t="s">
        <v>61</v>
      </c>
      <c r="N2317" t="s">
        <v>2584</v>
      </c>
      <c r="O2317" t="s">
        <v>121</v>
      </c>
      <c r="P2317" t="s">
        <v>50</v>
      </c>
      <c r="Q2317" t="s">
        <v>144</v>
      </c>
      <c r="R2317">
        <v>1</v>
      </c>
      <c r="S2317">
        <v>2999</v>
      </c>
      <c r="T2317">
        <v>0.05</v>
      </c>
      <c r="U2317">
        <v>2849.05</v>
      </c>
      <c r="V2317">
        <v>1700</v>
      </c>
      <c r="W2317">
        <v>1149.05</v>
      </c>
      <c r="X2317" t="s">
        <v>75</v>
      </c>
      <c r="Y2317" t="s">
        <v>68</v>
      </c>
      <c r="Z2317" t="s">
        <v>160</v>
      </c>
      <c r="AA2317" t="s">
        <v>166</v>
      </c>
      <c r="AB2317">
        <v>4.5</v>
      </c>
      <c r="AC2317">
        <v>40</v>
      </c>
      <c r="AD2317">
        <v>146.80000000000001</v>
      </c>
      <c r="AE2317">
        <f t="shared" si="72"/>
        <v>962.25</v>
      </c>
      <c r="AF2317" t="str">
        <f t="shared" si="73"/>
        <v>2025-10</v>
      </c>
      <c r="AG2317">
        <f>SUBTOTAL(103,A2317)</f>
        <v>1</v>
      </c>
    </row>
    <row r="2318" spans="1:33" x14ac:dyDescent="0.3">
      <c r="A2318" t="s">
        <v>4939</v>
      </c>
      <c r="B2318" s="13">
        <v>45951</v>
      </c>
      <c r="C2318">
        <v>2025</v>
      </c>
      <c r="D2318">
        <v>10</v>
      </c>
      <c r="E2318" t="s">
        <v>4779</v>
      </c>
      <c r="F2318" t="s">
        <v>4780</v>
      </c>
      <c r="G2318" t="s">
        <v>1087</v>
      </c>
      <c r="H2318" t="s">
        <v>1088</v>
      </c>
      <c r="I2318" t="s">
        <v>85</v>
      </c>
      <c r="J2318">
        <v>18</v>
      </c>
      <c r="K2318" t="s">
        <v>80</v>
      </c>
      <c r="L2318" t="s">
        <v>96</v>
      </c>
      <c r="M2318" t="s">
        <v>55</v>
      </c>
      <c r="N2318" t="s">
        <v>2590</v>
      </c>
      <c r="O2318" t="s">
        <v>127</v>
      </c>
      <c r="P2318" t="s">
        <v>51</v>
      </c>
      <c r="Q2318" t="s">
        <v>148</v>
      </c>
      <c r="R2318">
        <v>3</v>
      </c>
      <c r="S2318">
        <v>1599</v>
      </c>
      <c r="T2318">
        <v>0</v>
      </c>
      <c r="U2318">
        <v>4797</v>
      </c>
      <c r="V2318">
        <v>2400</v>
      </c>
      <c r="W2318">
        <v>2397</v>
      </c>
      <c r="X2318" t="s">
        <v>74</v>
      </c>
      <c r="Y2318" t="s">
        <v>68</v>
      </c>
      <c r="Z2318" t="s">
        <v>159</v>
      </c>
      <c r="AA2318" t="s">
        <v>168</v>
      </c>
      <c r="AB2318">
        <v>3.8</v>
      </c>
      <c r="AC2318">
        <v>40</v>
      </c>
      <c r="AD2318">
        <v>310.18</v>
      </c>
      <c r="AE2318">
        <f t="shared" si="72"/>
        <v>2046.82</v>
      </c>
      <c r="AF2318" t="str">
        <f t="shared" si="73"/>
        <v>2025-10</v>
      </c>
      <c r="AG2318">
        <f>SUBTOTAL(103,A2318)</f>
        <v>1</v>
      </c>
    </row>
    <row r="2319" spans="1:33" x14ac:dyDescent="0.3">
      <c r="A2319" t="s">
        <v>4940</v>
      </c>
      <c r="B2319" s="13">
        <v>45951</v>
      </c>
      <c r="C2319">
        <v>2025</v>
      </c>
      <c r="D2319">
        <v>10</v>
      </c>
      <c r="E2319" t="s">
        <v>4779</v>
      </c>
      <c r="F2319" t="s">
        <v>4780</v>
      </c>
      <c r="G2319" t="s">
        <v>593</v>
      </c>
      <c r="H2319" t="s">
        <v>594</v>
      </c>
      <c r="I2319" t="s">
        <v>86</v>
      </c>
      <c r="J2319">
        <v>36</v>
      </c>
      <c r="K2319" t="s">
        <v>82</v>
      </c>
      <c r="L2319" t="s">
        <v>93</v>
      </c>
      <c r="M2319" t="s">
        <v>55</v>
      </c>
      <c r="N2319" t="s">
        <v>2587</v>
      </c>
      <c r="O2319" t="s">
        <v>116</v>
      </c>
      <c r="P2319" t="s">
        <v>48</v>
      </c>
      <c r="Q2319" t="s">
        <v>138</v>
      </c>
      <c r="R2319">
        <v>1</v>
      </c>
      <c r="S2319">
        <v>14999</v>
      </c>
      <c r="T2319">
        <v>0</v>
      </c>
      <c r="U2319">
        <v>14999</v>
      </c>
      <c r="V2319">
        <v>11200</v>
      </c>
      <c r="W2319">
        <v>3799</v>
      </c>
      <c r="X2319" t="s">
        <v>76</v>
      </c>
      <c r="Y2319" t="s">
        <v>68</v>
      </c>
      <c r="Z2319" t="s">
        <v>159</v>
      </c>
      <c r="AA2319" t="s">
        <v>170</v>
      </c>
      <c r="AB2319">
        <v>4.5</v>
      </c>
      <c r="AC2319">
        <v>50</v>
      </c>
      <c r="AD2319">
        <v>1597.64</v>
      </c>
      <c r="AE2319">
        <f t="shared" si="72"/>
        <v>2151.3599999999997</v>
      </c>
      <c r="AF2319" t="str">
        <f t="shared" si="73"/>
        <v>2025-10</v>
      </c>
      <c r="AG2319">
        <f>SUBTOTAL(103,A2319)</f>
        <v>1</v>
      </c>
    </row>
    <row r="2320" spans="1:33" x14ac:dyDescent="0.3">
      <c r="A2320" t="s">
        <v>4941</v>
      </c>
      <c r="B2320" s="13">
        <v>45951</v>
      </c>
      <c r="C2320">
        <v>2025</v>
      </c>
      <c r="D2320">
        <v>10</v>
      </c>
      <c r="E2320" t="s">
        <v>4779</v>
      </c>
      <c r="F2320" t="s">
        <v>4780</v>
      </c>
      <c r="G2320" t="s">
        <v>773</v>
      </c>
      <c r="H2320" t="s">
        <v>774</v>
      </c>
      <c r="I2320" t="s">
        <v>85</v>
      </c>
      <c r="J2320">
        <v>29</v>
      </c>
      <c r="K2320" t="s">
        <v>81</v>
      </c>
      <c r="L2320" t="s">
        <v>93</v>
      </c>
      <c r="M2320" t="s">
        <v>55</v>
      </c>
      <c r="N2320" t="s">
        <v>2587</v>
      </c>
      <c r="O2320" t="s">
        <v>116</v>
      </c>
      <c r="P2320" t="s">
        <v>48</v>
      </c>
      <c r="Q2320" t="s">
        <v>138</v>
      </c>
      <c r="R2320">
        <v>2</v>
      </c>
      <c r="S2320">
        <v>14999</v>
      </c>
      <c r="T2320">
        <v>0.1</v>
      </c>
      <c r="U2320">
        <v>26998.2</v>
      </c>
      <c r="V2320">
        <v>22400</v>
      </c>
      <c r="W2320">
        <v>4598.2</v>
      </c>
      <c r="X2320" t="s">
        <v>73</v>
      </c>
      <c r="Y2320" t="s">
        <v>68</v>
      </c>
      <c r="Z2320" t="s">
        <v>159</v>
      </c>
      <c r="AA2320" t="s">
        <v>167</v>
      </c>
      <c r="AB2320">
        <v>4.5</v>
      </c>
      <c r="AC2320">
        <v>60</v>
      </c>
      <c r="AD2320">
        <v>2265.15</v>
      </c>
      <c r="AE2320">
        <f t="shared" si="72"/>
        <v>2273.0499999999997</v>
      </c>
      <c r="AF2320" t="str">
        <f t="shared" si="73"/>
        <v>2025-10</v>
      </c>
      <c r="AG2320">
        <f>SUBTOTAL(103,A2320)</f>
        <v>1</v>
      </c>
    </row>
    <row r="2321" spans="1:33" x14ac:dyDescent="0.3">
      <c r="A2321" t="s">
        <v>4942</v>
      </c>
      <c r="B2321" s="13">
        <v>45951</v>
      </c>
      <c r="C2321">
        <v>2025</v>
      </c>
      <c r="D2321">
        <v>10</v>
      </c>
      <c r="E2321" t="s">
        <v>4779</v>
      </c>
      <c r="F2321" t="s">
        <v>4780</v>
      </c>
      <c r="G2321" t="s">
        <v>795</v>
      </c>
      <c r="H2321" t="s">
        <v>796</v>
      </c>
      <c r="I2321" t="s">
        <v>85</v>
      </c>
      <c r="J2321">
        <v>33</v>
      </c>
      <c r="K2321" t="s">
        <v>81</v>
      </c>
      <c r="L2321" t="s">
        <v>93</v>
      </c>
      <c r="M2321" t="s">
        <v>55</v>
      </c>
      <c r="N2321" t="s">
        <v>2596</v>
      </c>
      <c r="O2321" t="s">
        <v>124</v>
      </c>
      <c r="P2321" t="s">
        <v>51</v>
      </c>
      <c r="Q2321" t="s">
        <v>147</v>
      </c>
      <c r="R2321">
        <v>3</v>
      </c>
      <c r="S2321">
        <v>2299</v>
      </c>
      <c r="T2321">
        <v>0.25</v>
      </c>
      <c r="U2321">
        <v>5172.75</v>
      </c>
      <c r="V2321">
        <v>3600</v>
      </c>
      <c r="W2321">
        <v>1572.75</v>
      </c>
      <c r="X2321" t="s">
        <v>74</v>
      </c>
      <c r="Y2321" t="s">
        <v>68</v>
      </c>
      <c r="Z2321" t="s">
        <v>163</v>
      </c>
      <c r="AA2321" t="s">
        <v>168</v>
      </c>
      <c r="AB2321">
        <v>3.5</v>
      </c>
      <c r="AC2321">
        <v>60</v>
      </c>
      <c r="AD2321">
        <v>590.84</v>
      </c>
      <c r="AE2321">
        <f t="shared" si="72"/>
        <v>921.91</v>
      </c>
      <c r="AF2321" t="str">
        <f t="shared" si="73"/>
        <v>2025-10</v>
      </c>
      <c r="AG2321">
        <f>SUBTOTAL(103,A2321)</f>
        <v>1</v>
      </c>
    </row>
    <row r="2322" spans="1:33" x14ac:dyDescent="0.3">
      <c r="A2322" t="s">
        <v>4943</v>
      </c>
      <c r="B2322" s="13">
        <v>45951</v>
      </c>
      <c r="C2322">
        <v>2025</v>
      </c>
      <c r="D2322">
        <v>10</v>
      </c>
      <c r="E2322" t="s">
        <v>4779</v>
      </c>
      <c r="F2322" t="s">
        <v>4780</v>
      </c>
      <c r="G2322" t="s">
        <v>497</v>
      </c>
      <c r="H2322" t="s">
        <v>498</v>
      </c>
      <c r="I2322" t="s">
        <v>87</v>
      </c>
      <c r="J2322">
        <v>33</v>
      </c>
      <c r="K2322" t="s">
        <v>81</v>
      </c>
      <c r="L2322" t="s">
        <v>98</v>
      </c>
      <c r="M2322" t="s">
        <v>55</v>
      </c>
      <c r="N2322" t="s">
        <v>2630</v>
      </c>
      <c r="O2322" t="s">
        <v>123</v>
      </c>
      <c r="P2322" t="s">
        <v>52</v>
      </c>
      <c r="Q2322" t="s">
        <v>146</v>
      </c>
      <c r="R2322">
        <v>2</v>
      </c>
      <c r="S2322">
        <v>2499</v>
      </c>
      <c r="T2322">
        <v>0.1</v>
      </c>
      <c r="U2322">
        <v>4498.2</v>
      </c>
      <c r="V2322">
        <v>2800</v>
      </c>
      <c r="W2322">
        <v>1698.2</v>
      </c>
      <c r="X2322" t="s">
        <v>77</v>
      </c>
      <c r="Y2322" t="s">
        <v>68</v>
      </c>
      <c r="Z2322" t="s">
        <v>159</v>
      </c>
      <c r="AA2322" t="s">
        <v>166</v>
      </c>
      <c r="AB2322">
        <v>3.4</v>
      </c>
      <c r="AC2322">
        <v>40</v>
      </c>
      <c r="AD2322">
        <v>377.95</v>
      </c>
      <c r="AE2322">
        <f t="shared" si="72"/>
        <v>1280.25</v>
      </c>
      <c r="AF2322" t="str">
        <f t="shared" si="73"/>
        <v>2025-10</v>
      </c>
      <c r="AG2322">
        <f>SUBTOTAL(103,A2322)</f>
        <v>1</v>
      </c>
    </row>
    <row r="2323" spans="1:33" x14ac:dyDescent="0.3">
      <c r="A2323" t="s">
        <v>4944</v>
      </c>
      <c r="B2323" s="13">
        <v>45952</v>
      </c>
      <c r="C2323">
        <v>2025</v>
      </c>
      <c r="D2323">
        <v>10</v>
      </c>
      <c r="E2323" t="s">
        <v>4779</v>
      </c>
      <c r="F2323" t="s">
        <v>4780</v>
      </c>
      <c r="G2323" t="s">
        <v>1007</v>
      </c>
      <c r="H2323" t="s">
        <v>1008</v>
      </c>
      <c r="I2323" t="s">
        <v>86</v>
      </c>
      <c r="J2323">
        <v>50</v>
      </c>
      <c r="K2323" t="s">
        <v>83</v>
      </c>
      <c r="L2323" t="s">
        <v>90</v>
      </c>
      <c r="M2323" t="s">
        <v>55</v>
      </c>
      <c r="N2323" t="s">
        <v>2601</v>
      </c>
      <c r="O2323" t="s">
        <v>117</v>
      </c>
      <c r="P2323" t="s">
        <v>49</v>
      </c>
      <c r="Q2323" t="s">
        <v>139</v>
      </c>
      <c r="R2323">
        <v>2</v>
      </c>
      <c r="S2323">
        <v>6999</v>
      </c>
      <c r="T2323">
        <v>0.1</v>
      </c>
      <c r="U2323">
        <v>12598.2</v>
      </c>
      <c r="V2323">
        <v>8600</v>
      </c>
      <c r="W2323">
        <v>3998.2</v>
      </c>
      <c r="X2323" t="s">
        <v>77</v>
      </c>
      <c r="Y2323" t="s">
        <v>68</v>
      </c>
      <c r="Z2323" t="s">
        <v>162</v>
      </c>
      <c r="AA2323" t="s">
        <v>166</v>
      </c>
      <c r="AB2323">
        <v>4</v>
      </c>
      <c r="AC2323">
        <v>50</v>
      </c>
      <c r="AD2323">
        <v>1045.51</v>
      </c>
      <c r="AE2323">
        <f t="shared" si="72"/>
        <v>2902.6899999999996</v>
      </c>
      <c r="AF2323" t="str">
        <f t="shared" si="73"/>
        <v>2025-10</v>
      </c>
      <c r="AG2323">
        <f>SUBTOTAL(103,A2323)</f>
        <v>1</v>
      </c>
    </row>
    <row r="2324" spans="1:33" x14ac:dyDescent="0.3">
      <c r="A2324" t="s">
        <v>4945</v>
      </c>
      <c r="B2324" s="13">
        <v>45952</v>
      </c>
      <c r="C2324">
        <v>2025</v>
      </c>
      <c r="D2324">
        <v>10</v>
      </c>
      <c r="E2324" t="s">
        <v>4779</v>
      </c>
      <c r="F2324" t="s">
        <v>4780</v>
      </c>
      <c r="G2324" t="s">
        <v>999</v>
      </c>
      <c r="H2324" t="s">
        <v>1000</v>
      </c>
      <c r="I2324" t="s">
        <v>86</v>
      </c>
      <c r="J2324">
        <v>25</v>
      </c>
      <c r="K2324" t="s">
        <v>80</v>
      </c>
      <c r="L2324" t="s">
        <v>59</v>
      </c>
      <c r="M2324" t="s">
        <v>59</v>
      </c>
      <c r="N2324" t="s">
        <v>2580</v>
      </c>
      <c r="O2324" t="s">
        <v>118</v>
      </c>
      <c r="P2324" t="s">
        <v>48</v>
      </c>
      <c r="Q2324" t="s">
        <v>142</v>
      </c>
      <c r="R2324">
        <v>1</v>
      </c>
      <c r="S2324">
        <v>3999</v>
      </c>
      <c r="T2324">
        <v>0.1</v>
      </c>
      <c r="U2324">
        <v>3599.1</v>
      </c>
      <c r="V2324">
        <v>2400</v>
      </c>
      <c r="W2324">
        <v>1199.0999999999999</v>
      </c>
      <c r="X2324" t="s">
        <v>76</v>
      </c>
      <c r="Y2324" t="s">
        <v>68</v>
      </c>
      <c r="Z2324" t="s">
        <v>161</v>
      </c>
      <c r="AA2324" t="s">
        <v>167</v>
      </c>
      <c r="AB2324">
        <v>3.2</v>
      </c>
      <c r="AC2324">
        <v>80</v>
      </c>
      <c r="AD2324">
        <v>355.71</v>
      </c>
      <c r="AE2324">
        <f t="shared" si="72"/>
        <v>763.38999999999987</v>
      </c>
      <c r="AF2324" t="str">
        <f t="shared" si="73"/>
        <v>2025-10</v>
      </c>
      <c r="AG2324">
        <f>SUBTOTAL(103,A2324)</f>
        <v>1</v>
      </c>
    </row>
    <row r="2325" spans="1:33" x14ac:dyDescent="0.3">
      <c r="A2325" t="s">
        <v>4946</v>
      </c>
      <c r="B2325" s="13">
        <v>45952</v>
      </c>
      <c r="C2325">
        <v>2025</v>
      </c>
      <c r="D2325">
        <v>10</v>
      </c>
      <c r="E2325" t="s">
        <v>4779</v>
      </c>
      <c r="F2325" t="s">
        <v>4780</v>
      </c>
      <c r="G2325" t="s">
        <v>1781</v>
      </c>
      <c r="H2325" t="s">
        <v>1782</v>
      </c>
      <c r="I2325" t="s">
        <v>85</v>
      </c>
      <c r="J2325">
        <v>29</v>
      </c>
      <c r="K2325" t="s">
        <v>81</v>
      </c>
      <c r="L2325" t="s">
        <v>90</v>
      </c>
      <c r="M2325" t="s">
        <v>55</v>
      </c>
      <c r="N2325" t="s">
        <v>2665</v>
      </c>
      <c r="O2325" t="s">
        <v>128</v>
      </c>
      <c r="P2325" t="s">
        <v>53</v>
      </c>
      <c r="Q2325" t="s">
        <v>143</v>
      </c>
      <c r="R2325">
        <v>2</v>
      </c>
      <c r="S2325">
        <v>1499</v>
      </c>
      <c r="T2325">
        <v>0.15</v>
      </c>
      <c r="U2325">
        <v>2548.3000000000002</v>
      </c>
      <c r="V2325">
        <v>1600</v>
      </c>
      <c r="W2325">
        <v>948.3</v>
      </c>
      <c r="X2325" t="s">
        <v>73</v>
      </c>
      <c r="Y2325" t="s">
        <v>68</v>
      </c>
      <c r="Z2325" t="s">
        <v>162</v>
      </c>
      <c r="AA2325" t="s">
        <v>170</v>
      </c>
      <c r="AB2325">
        <v>4.8</v>
      </c>
      <c r="AC2325">
        <v>100</v>
      </c>
      <c r="AD2325">
        <v>120.21</v>
      </c>
      <c r="AE2325">
        <f t="shared" si="72"/>
        <v>728.08999999999992</v>
      </c>
      <c r="AF2325" t="str">
        <f t="shared" si="73"/>
        <v>2025-10</v>
      </c>
      <c r="AG2325">
        <f>SUBTOTAL(103,A2325)</f>
        <v>1</v>
      </c>
    </row>
    <row r="2326" spans="1:33" x14ac:dyDescent="0.3">
      <c r="A2326" t="s">
        <v>4947</v>
      </c>
      <c r="B2326" s="13">
        <v>45952</v>
      </c>
      <c r="C2326">
        <v>2025</v>
      </c>
      <c r="D2326">
        <v>10</v>
      </c>
      <c r="E2326" t="s">
        <v>4779</v>
      </c>
      <c r="F2326" t="s">
        <v>4780</v>
      </c>
      <c r="G2326" t="s">
        <v>673</v>
      </c>
      <c r="H2326" t="s">
        <v>674</v>
      </c>
      <c r="I2326" t="s">
        <v>86</v>
      </c>
      <c r="J2326">
        <v>43</v>
      </c>
      <c r="K2326" t="s">
        <v>82</v>
      </c>
      <c r="L2326" t="s">
        <v>97</v>
      </c>
      <c r="M2326" t="s">
        <v>57</v>
      </c>
      <c r="N2326" t="s">
        <v>2580</v>
      </c>
      <c r="O2326" t="s">
        <v>118</v>
      </c>
      <c r="P2326" t="s">
        <v>48</v>
      </c>
      <c r="Q2326" t="s">
        <v>142</v>
      </c>
      <c r="R2326">
        <v>4</v>
      </c>
      <c r="S2326">
        <v>3999</v>
      </c>
      <c r="T2326">
        <v>0.05</v>
      </c>
      <c r="U2326">
        <v>15196.2</v>
      </c>
      <c r="V2326">
        <v>9600</v>
      </c>
      <c r="W2326">
        <v>5596.2</v>
      </c>
      <c r="X2326" t="s">
        <v>73</v>
      </c>
      <c r="Y2326" t="s">
        <v>68</v>
      </c>
      <c r="Z2326" t="s">
        <v>158</v>
      </c>
      <c r="AA2326" t="s">
        <v>171</v>
      </c>
      <c r="AB2326">
        <v>4.5999999999999996</v>
      </c>
      <c r="AC2326">
        <v>40</v>
      </c>
      <c r="AD2326">
        <v>1804.2</v>
      </c>
      <c r="AE2326">
        <f t="shared" si="72"/>
        <v>3752</v>
      </c>
      <c r="AF2326" t="str">
        <f t="shared" si="73"/>
        <v>2025-10</v>
      </c>
      <c r="AG2326">
        <f>SUBTOTAL(103,A2326)</f>
        <v>1</v>
      </c>
    </row>
    <row r="2327" spans="1:33" x14ac:dyDescent="0.3">
      <c r="A2327" t="s">
        <v>4948</v>
      </c>
      <c r="B2327" s="13">
        <v>45952</v>
      </c>
      <c r="C2327">
        <v>2025</v>
      </c>
      <c r="D2327">
        <v>10</v>
      </c>
      <c r="E2327" t="s">
        <v>4779</v>
      </c>
      <c r="F2327" t="s">
        <v>4780</v>
      </c>
      <c r="G2327" t="s">
        <v>241</v>
      </c>
      <c r="H2327" t="s">
        <v>242</v>
      </c>
      <c r="I2327" t="s">
        <v>85</v>
      </c>
      <c r="J2327">
        <v>30</v>
      </c>
      <c r="K2327" t="s">
        <v>81</v>
      </c>
      <c r="L2327" t="s">
        <v>2599</v>
      </c>
      <c r="M2327" t="s">
        <v>62</v>
      </c>
      <c r="N2327" t="s">
        <v>2603</v>
      </c>
      <c r="O2327" t="s">
        <v>122</v>
      </c>
      <c r="P2327" t="s">
        <v>48</v>
      </c>
      <c r="Q2327" t="s">
        <v>141</v>
      </c>
      <c r="R2327">
        <v>5</v>
      </c>
      <c r="S2327">
        <v>2499</v>
      </c>
      <c r="T2327">
        <v>0.05</v>
      </c>
      <c r="U2327">
        <v>11870.25</v>
      </c>
      <c r="V2327">
        <v>7250</v>
      </c>
      <c r="W2327">
        <v>4620.25</v>
      </c>
      <c r="X2327" t="s">
        <v>75</v>
      </c>
      <c r="Y2327" t="s">
        <v>68</v>
      </c>
      <c r="Z2327" t="s">
        <v>161</v>
      </c>
      <c r="AA2327" t="s">
        <v>166</v>
      </c>
      <c r="AB2327">
        <v>3.5</v>
      </c>
      <c r="AC2327">
        <v>80</v>
      </c>
      <c r="AD2327">
        <v>969.82</v>
      </c>
      <c r="AE2327">
        <f t="shared" si="72"/>
        <v>3570.43</v>
      </c>
      <c r="AF2327" t="str">
        <f t="shared" si="73"/>
        <v>2025-10</v>
      </c>
      <c r="AG2327">
        <f>SUBTOTAL(103,A2327)</f>
        <v>1</v>
      </c>
    </row>
    <row r="2328" spans="1:33" x14ac:dyDescent="0.3">
      <c r="A2328" t="s">
        <v>4949</v>
      </c>
      <c r="B2328" s="13">
        <v>45953</v>
      </c>
      <c r="C2328">
        <v>2025</v>
      </c>
      <c r="D2328">
        <v>10</v>
      </c>
      <c r="E2328" t="s">
        <v>4779</v>
      </c>
      <c r="F2328" t="s">
        <v>4780</v>
      </c>
      <c r="G2328" t="s">
        <v>391</v>
      </c>
      <c r="H2328" t="s">
        <v>392</v>
      </c>
      <c r="I2328" t="s">
        <v>85</v>
      </c>
      <c r="J2328">
        <v>40</v>
      </c>
      <c r="K2328" t="s">
        <v>82</v>
      </c>
      <c r="L2328" t="s">
        <v>2589</v>
      </c>
      <c r="M2328" t="s">
        <v>61</v>
      </c>
      <c r="N2328" t="s">
        <v>2584</v>
      </c>
      <c r="O2328" t="s">
        <v>121</v>
      </c>
      <c r="P2328" t="s">
        <v>50</v>
      </c>
      <c r="Q2328" t="s">
        <v>144</v>
      </c>
      <c r="R2328">
        <v>3</v>
      </c>
      <c r="S2328">
        <v>2999</v>
      </c>
      <c r="T2328">
        <v>0.1</v>
      </c>
      <c r="U2328">
        <v>8097.3</v>
      </c>
      <c r="V2328">
        <v>5100</v>
      </c>
      <c r="W2328">
        <v>2997.3</v>
      </c>
      <c r="X2328" t="s">
        <v>76</v>
      </c>
      <c r="Y2328" t="s">
        <v>68</v>
      </c>
      <c r="Z2328" t="s">
        <v>159</v>
      </c>
      <c r="AA2328" t="s">
        <v>168</v>
      </c>
      <c r="AB2328">
        <v>5</v>
      </c>
      <c r="AC2328">
        <v>100</v>
      </c>
      <c r="AD2328">
        <v>736.73</v>
      </c>
      <c r="AE2328">
        <f t="shared" si="72"/>
        <v>2160.5700000000002</v>
      </c>
      <c r="AF2328" t="str">
        <f t="shared" si="73"/>
        <v>2025-10</v>
      </c>
      <c r="AG2328">
        <f>SUBTOTAL(103,A2328)</f>
        <v>1</v>
      </c>
    </row>
    <row r="2329" spans="1:33" x14ac:dyDescent="0.3">
      <c r="A2329" t="s">
        <v>4950</v>
      </c>
      <c r="B2329" s="13">
        <v>45953</v>
      </c>
      <c r="C2329">
        <v>2025</v>
      </c>
      <c r="D2329">
        <v>10</v>
      </c>
      <c r="E2329" t="s">
        <v>4779</v>
      </c>
      <c r="F2329" t="s">
        <v>4780</v>
      </c>
      <c r="G2329" t="s">
        <v>621</v>
      </c>
      <c r="H2329" t="s">
        <v>622</v>
      </c>
      <c r="I2329" t="s">
        <v>85</v>
      </c>
      <c r="J2329">
        <v>54</v>
      </c>
      <c r="K2329" t="s">
        <v>83</v>
      </c>
      <c r="L2329" t="s">
        <v>100</v>
      </c>
      <c r="M2329" t="s">
        <v>56</v>
      </c>
      <c r="N2329" t="s">
        <v>2653</v>
      </c>
      <c r="O2329" t="s">
        <v>132</v>
      </c>
      <c r="P2329" t="s">
        <v>52</v>
      </c>
      <c r="Q2329" t="s">
        <v>150</v>
      </c>
      <c r="R2329">
        <v>3</v>
      </c>
      <c r="S2329">
        <v>899</v>
      </c>
      <c r="T2329">
        <v>0.05</v>
      </c>
      <c r="U2329">
        <v>2562.15</v>
      </c>
      <c r="V2329">
        <v>1260</v>
      </c>
      <c r="W2329">
        <v>1302.1500000000001</v>
      </c>
      <c r="X2329" t="s">
        <v>74</v>
      </c>
      <c r="Y2329" t="s">
        <v>68</v>
      </c>
      <c r="Z2329" t="s">
        <v>158</v>
      </c>
      <c r="AA2329" t="s">
        <v>171</v>
      </c>
      <c r="AB2329">
        <v>4.7</v>
      </c>
      <c r="AC2329">
        <v>100</v>
      </c>
      <c r="AD2329">
        <v>174.8</v>
      </c>
      <c r="AE2329">
        <f t="shared" si="72"/>
        <v>1027.3500000000001</v>
      </c>
      <c r="AF2329" t="str">
        <f t="shared" si="73"/>
        <v>2025-10</v>
      </c>
      <c r="AG2329">
        <f>SUBTOTAL(103,A2329)</f>
        <v>1</v>
      </c>
    </row>
    <row r="2330" spans="1:33" x14ac:dyDescent="0.3">
      <c r="A2330" t="s">
        <v>4951</v>
      </c>
      <c r="B2330" s="13">
        <v>45953</v>
      </c>
      <c r="C2330">
        <v>2025</v>
      </c>
      <c r="D2330">
        <v>10</v>
      </c>
      <c r="E2330" t="s">
        <v>4779</v>
      </c>
      <c r="F2330" t="s">
        <v>4780</v>
      </c>
      <c r="G2330" t="s">
        <v>571</v>
      </c>
      <c r="H2330" t="s">
        <v>572</v>
      </c>
      <c r="I2330" t="s">
        <v>85</v>
      </c>
      <c r="J2330">
        <v>60</v>
      </c>
      <c r="K2330" t="s">
        <v>83</v>
      </c>
      <c r="L2330" t="s">
        <v>95</v>
      </c>
      <c r="M2330" t="s">
        <v>56</v>
      </c>
      <c r="N2330" t="s">
        <v>2606</v>
      </c>
      <c r="O2330" t="s">
        <v>120</v>
      </c>
      <c r="P2330" t="s">
        <v>49</v>
      </c>
      <c r="Q2330" t="s">
        <v>140</v>
      </c>
      <c r="R2330">
        <v>1</v>
      </c>
      <c r="S2330">
        <v>2799</v>
      </c>
      <c r="T2330">
        <v>0.2</v>
      </c>
      <c r="U2330">
        <v>2239.1999999999998</v>
      </c>
      <c r="V2330">
        <v>1650</v>
      </c>
      <c r="W2330">
        <v>589.20000000000005</v>
      </c>
      <c r="X2330" t="s">
        <v>74</v>
      </c>
      <c r="Y2330" t="s">
        <v>68</v>
      </c>
      <c r="Z2330" t="s">
        <v>158</v>
      </c>
      <c r="AA2330" t="s">
        <v>166</v>
      </c>
      <c r="AB2330">
        <v>3.8</v>
      </c>
      <c r="AC2330">
        <v>60</v>
      </c>
      <c r="AD2330">
        <v>55.44</v>
      </c>
      <c r="AE2330">
        <f t="shared" si="72"/>
        <v>473.76000000000005</v>
      </c>
      <c r="AF2330" t="str">
        <f t="shared" si="73"/>
        <v>2025-10</v>
      </c>
      <c r="AG2330">
        <f>SUBTOTAL(103,A2330)</f>
        <v>1</v>
      </c>
    </row>
    <row r="2331" spans="1:33" x14ac:dyDescent="0.3">
      <c r="A2331" t="s">
        <v>4952</v>
      </c>
      <c r="B2331" s="13">
        <v>45953</v>
      </c>
      <c r="C2331">
        <v>2025</v>
      </c>
      <c r="D2331">
        <v>10</v>
      </c>
      <c r="E2331" t="s">
        <v>4779</v>
      </c>
      <c r="F2331" t="s">
        <v>4780</v>
      </c>
      <c r="G2331" t="s">
        <v>1973</v>
      </c>
      <c r="H2331" t="s">
        <v>1974</v>
      </c>
      <c r="I2331" t="s">
        <v>85</v>
      </c>
      <c r="J2331">
        <v>19</v>
      </c>
      <c r="K2331" t="s">
        <v>80</v>
      </c>
      <c r="L2331" t="s">
        <v>59</v>
      </c>
      <c r="M2331" t="s">
        <v>59</v>
      </c>
      <c r="N2331" t="s">
        <v>2644</v>
      </c>
      <c r="O2331" t="s">
        <v>126</v>
      </c>
      <c r="P2331" t="s">
        <v>50</v>
      </c>
      <c r="Q2331" t="s">
        <v>145</v>
      </c>
      <c r="R2331">
        <v>1</v>
      </c>
      <c r="S2331">
        <v>1799</v>
      </c>
      <c r="T2331">
        <v>0.05</v>
      </c>
      <c r="U2331">
        <v>1709.05</v>
      </c>
      <c r="V2331">
        <v>950</v>
      </c>
      <c r="W2331">
        <v>759.05</v>
      </c>
      <c r="X2331" t="s">
        <v>74</v>
      </c>
      <c r="Y2331" t="s">
        <v>68</v>
      </c>
      <c r="Z2331" t="s">
        <v>161</v>
      </c>
      <c r="AA2331" t="s">
        <v>167</v>
      </c>
      <c r="AB2331">
        <v>2.6</v>
      </c>
      <c r="AC2331">
        <v>50</v>
      </c>
      <c r="AD2331">
        <v>106.57</v>
      </c>
      <c r="AE2331">
        <f t="shared" si="72"/>
        <v>602.48</v>
      </c>
      <c r="AF2331" t="str">
        <f t="shared" si="73"/>
        <v>2025-10</v>
      </c>
      <c r="AG2331">
        <f>SUBTOTAL(103,A2331)</f>
        <v>1</v>
      </c>
    </row>
    <row r="2332" spans="1:33" x14ac:dyDescent="0.3">
      <c r="A2332" t="s">
        <v>4953</v>
      </c>
      <c r="B2332" s="13">
        <v>45953</v>
      </c>
      <c r="C2332">
        <v>2025</v>
      </c>
      <c r="D2332">
        <v>10</v>
      </c>
      <c r="E2332" t="s">
        <v>4779</v>
      </c>
      <c r="F2332" t="s">
        <v>4780</v>
      </c>
      <c r="G2332" t="s">
        <v>2203</v>
      </c>
      <c r="H2332" t="s">
        <v>2204</v>
      </c>
      <c r="I2332" t="s">
        <v>85</v>
      </c>
      <c r="J2332">
        <v>60</v>
      </c>
      <c r="K2332" t="s">
        <v>83</v>
      </c>
      <c r="L2332" t="s">
        <v>2589</v>
      </c>
      <c r="M2332" t="s">
        <v>61</v>
      </c>
      <c r="N2332" t="s">
        <v>2590</v>
      </c>
      <c r="O2332" t="s">
        <v>127</v>
      </c>
      <c r="P2332" t="s">
        <v>51</v>
      </c>
      <c r="Q2332" t="s">
        <v>148</v>
      </c>
      <c r="R2332">
        <v>1</v>
      </c>
      <c r="S2332">
        <v>1599</v>
      </c>
      <c r="T2332">
        <v>0</v>
      </c>
      <c r="U2332">
        <v>1599</v>
      </c>
      <c r="V2332">
        <v>800</v>
      </c>
      <c r="W2332">
        <v>799</v>
      </c>
      <c r="X2332" t="s">
        <v>74</v>
      </c>
      <c r="Y2332" t="s">
        <v>68</v>
      </c>
      <c r="Z2332" t="s">
        <v>159</v>
      </c>
      <c r="AA2332" t="s">
        <v>167</v>
      </c>
      <c r="AB2332">
        <v>5</v>
      </c>
      <c r="AC2332">
        <v>60</v>
      </c>
      <c r="AD2332">
        <v>34.880000000000003</v>
      </c>
      <c r="AE2332">
        <f t="shared" si="72"/>
        <v>704.12</v>
      </c>
      <c r="AF2332" t="str">
        <f t="shared" si="73"/>
        <v>2025-10</v>
      </c>
      <c r="AG2332">
        <f>SUBTOTAL(103,A2332)</f>
        <v>1</v>
      </c>
    </row>
    <row r="2333" spans="1:33" x14ac:dyDescent="0.3">
      <c r="A2333" t="s">
        <v>4954</v>
      </c>
      <c r="B2333" s="13">
        <v>45953</v>
      </c>
      <c r="C2333">
        <v>2025</v>
      </c>
      <c r="D2333">
        <v>10</v>
      </c>
      <c r="E2333" t="s">
        <v>4779</v>
      </c>
      <c r="F2333" t="s">
        <v>4780</v>
      </c>
      <c r="G2333" t="s">
        <v>369</v>
      </c>
      <c r="H2333" t="s">
        <v>370</v>
      </c>
      <c r="I2333" t="s">
        <v>86</v>
      </c>
      <c r="J2333">
        <v>43</v>
      </c>
      <c r="K2333" t="s">
        <v>82</v>
      </c>
      <c r="L2333" t="s">
        <v>59</v>
      </c>
      <c r="M2333" t="s">
        <v>59</v>
      </c>
      <c r="N2333" t="s">
        <v>2587</v>
      </c>
      <c r="O2333" t="s">
        <v>116</v>
      </c>
      <c r="P2333" t="s">
        <v>48</v>
      </c>
      <c r="Q2333" t="s">
        <v>138</v>
      </c>
      <c r="R2333">
        <v>3</v>
      </c>
      <c r="S2333">
        <v>14999</v>
      </c>
      <c r="T2333">
        <v>0.1</v>
      </c>
      <c r="U2333">
        <v>40497.300000000003</v>
      </c>
      <c r="V2333">
        <v>33600</v>
      </c>
      <c r="W2333">
        <v>6897.3</v>
      </c>
      <c r="X2333" t="s">
        <v>73</v>
      </c>
      <c r="Y2333" t="s">
        <v>68</v>
      </c>
      <c r="Z2333" t="s">
        <v>160</v>
      </c>
      <c r="AA2333" t="s">
        <v>169</v>
      </c>
      <c r="AB2333">
        <v>3.8</v>
      </c>
      <c r="AC2333">
        <v>40</v>
      </c>
      <c r="AD2333">
        <v>3798.97</v>
      </c>
      <c r="AE2333">
        <f t="shared" si="72"/>
        <v>3058.3300000000004</v>
      </c>
      <c r="AF2333" t="str">
        <f t="shared" si="73"/>
        <v>2025-10</v>
      </c>
      <c r="AG2333">
        <f>SUBTOTAL(103,A2333)</f>
        <v>1</v>
      </c>
    </row>
    <row r="2334" spans="1:33" x14ac:dyDescent="0.3">
      <c r="A2334" t="s">
        <v>4955</v>
      </c>
      <c r="B2334" s="13">
        <v>45953</v>
      </c>
      <c r="C2334">
        <v>2025</v>
      </c>
      <c r="D2334">
        <v>10</v>
      </c>
      <c r="E2334" t="s">
        <v>4779</v>
      </c>
      <c r="F2334" t="s">
        <v>4780</v>
      </c>
      <c r="G2334" t="s">
        <v>821</v>
      </c>
      <c r="H2334" t="s">
        <v>822</v>
      </c>
      <c r="I2334" t="s">
        <v>86</v>
      </c>
      <c r="J2334">
        <v>60</v>
      </c>
      <c r="K2334" t="s">
        <v>83</v>
      </c>
      <c r="L2334" t="s">
        <v>100</v>
      </c>
      <c r="M2334" t="s">
        <v>56</v>
      </c>
      <c r="N2334" t="s">
        <v>2601</v>
      </c>
      <c r="O2334" t="s">
        <v>117</v>
      </c>
      <c r="P2334" t="s">
        <v>49</v>
      </c>
      <c r="Q2334" t="s">
        <v>139</v>
      </c>
      <c r="R2334">
        <v>1</v>
      </c>
      <c r="S2334">
        <v>6999</v>
      </c>
      <c r="T2334">
        <v>0</v>
      </c>
      <c r="U2334">
        <v>6999</v>
      </c>
      <c r="V2334">
        <v>4300</v>
      </c>
      <c r="W2334">
        <v>2699</v>
      </c>
      <c r="X2334" t="s">
        <v>76</v>
      </c>
      <c r="Y2334" t="s">
        <v>68</v>
      </c>
      <c r="Z2334" t="s">
        <v>161</v>
      </c>
      <c r="AA2334" t="s">
        <v>167</v>
      </c>
      <c r="AB2334">
        <v>4.8</v>
      </c>
      <c r="AC2334">
        <v>60</v>
      </c>
      <c r="AD2334">
        <v>441.17</v>
      </c>
      <c r="AE2334">
        <f t="shared" si="72"/>
        <v>2197.83</v>
      </c>
      <c r="AF2334" t="str">
        <f t="shared" si="73"/>
        <v>2025-10</v>
      </c>
      <c r="AG2334">
        <f>SUBTOTAL(103,A2334)</f>
        <v>1</v>
      </c>
    </row>
    <row r="2335" spans="1:33" x14ac:dyDescent="0.3">
      <c r="A2335" t="s">
        <v>4956</v>
      </c>
      <c r="B2335" s="13">
        <v>45953</v>
      </c>
      <c r="C2335">
        <v>2025</v>
      </c>
      <c r="D2335">
        <v>10</v>
      </c>
      <c r="E2335" t="s">
        <v>4779</v>
      </c>
      <c r="F2335" t="s">
        <v>4780</v>
      </c>
      <c r="G2335" t="s">
        <v>1305</v>
      </c>
      <c r="H2335" t="s">
        <v>1306</v>
      </c>
      <c r="I2335" t="s">
        <v>86</v>
      </c>
      <c r="J2335">
        <v>57</v>
      </c>
      <c r="K2335" t="s">
        <v>83</v>
      </c>
      <c r="L2335" t="s">
        <v>2599</v>
      </c>
      <c r="M2335" t="s">
        <v>62</v>
      </c>
      <c r="N2335" t="s">
        <v>2657</v>
      </c>
      <c r="O2335" t="s">
        <v>134</v>
      </c>
      <c r="P2335" t="s">
        <v>49</v>
      </c>
      <c r="Q2335" t="s">
        <v>140</v>
      </c>
      <c r="R2335">
        <v>1</v>
      </c>
      <c r="S2335">
        <v>599</v>
      </c>
      <c r="T2335">
        <v>0</v>
      </c>
      <c r="U2335">
        <v>599</v>
      </c>
      <c r="V2335">
        <v>250</v>
      </c>
      <c r="W2335">
        <v>349</v>
      </c>
      <c r="X2335" t="s">
        <v>75</v>
      </c>
      <c r="Y2335" t="s">
        <v>68</v>
      </c>
      <c r="Z2335" t="s">
        <v>159</v>
      </c>
      <c r="AA2335" t="s">
        <v>168</v>
      </c>
      <c r="AB2335">
        <v>3.7</v>
      </c>
      <c r="AC2335">
        <v>60</v>
      </c>
      <c r="AD2335">
        <v>29.71</v>
      </c>
      <c r="AE2335">
        <f t="shared" si="72"/>
        <v>259.29000000000002</v>
      </c>
      <c r="AF2335" t="str">
        <f t="shared" si="73"/>
        <v>2025-10</v>
      </c>
      <c r="AG2335">
        <f>SUBTOTAL(103,A2335)</f>
        <v>1</v>
      </c>
    </row>
    <row r="2336" spans="1:33" x14ac:dyDescent="0.3">
      <c r="A2336" t="s">
        <v>4957</v>
      </c>
      <c r="B2336" s="13">
        <v>45954</v>
      </c>
      <c r="C2336">
        <v>2025</v>
      </c>
      <c r="D2336">
        <v>10</v>
      </c>
      <c r="E2336" t="s">
        <v>4779</v>
      </c>
      <c r="F2336" t="s">
        <v>4780</v>
      </c>
      <c r="G2336" t="s">
        <v>1341</v>
      </c>
      <c r="H2336" t="s">
        <v>1342</v>
      </c>
      <c r="I2336" t="s">
        <v>85</v>
      </c>
      <c r="J2336">
        <v>32</v>
      </c>
      <c r="K2336" t="s">
        <v>81</v>
      </c>
      <c r="L2336" t="s">
        <v>97</v>
      </c>
      <c r="M2336" t="s">
        <v>57</v>
      </c>
      <c r="N2336" t="s">
        <v>2590</v>
      </c>
      <c r="O2336" t="s">
        <v>127</v>
      </c>
      <c r="P2336" t="s">
        <v>51</v>
      </c>
      <c r="Q2336" t="s">
        <v>148</v>
      </c>
      <c r="R2336">
        <v>1</v>
      </c>
      <c r="S2336">
        <v>1599</v>
      </c>
      <c r="T2336">
        <v>0.1</v>
      </c>
      <c r="U2336">
        <v>1439.1</v>
      </c>
      <c r="V2336">
        <v>800</v>
      </c>
      <c r="W2336">
        <v>639.1</v>
      </c>
      <c r="X2336" t="s">
        <v>74</v>
      </c>
      <c r="Y2336" t="s">
        <v>68</v>
      </c>
      <c r="Z2336" t="s">
        <v>162</v>
      </c>
      <c r="AA2336" t="s">
        <v>166</v>
      </c>
      <c r="AB2336">
        <v>5</v>
      </c>
      <c r="AC2336">
        <v>60</v>
      </c>
      <c r="AD2336">
        <v>138.1</v>
      </c>
      <c r="AE2336">
        <f t="shared" si="72"/>
        <v>441</v>
      </c>
      <c r="AF2336" t="str">
        <f t="shared" si="73"/>
        <v>2025-10</v>
      </c>
      <c r="AG2336">
        <f>SUBTOTAL(103,A2336)</f>
        <v>1</v>
      </c>
    </row>
    <row r="2337" spans="1:33" x14ac:dyDescent="0.3">
      <c r="A2337" t="s">
        <v>4958</v>
      </c>
      <c r="B2337" s="13">
        <v>45954</v>
      </c>
      <c r="C2337">
        <v>2025</v>
      </c>
      <c r="D2337">
        <v>10</v>
      </c>
      <c r="E2337" t="s">
        <v>4779</v>
      </c>
      <c r="F2337" t="s">
        <v>4780</v>
      </c>
      <c r="G2337" t="s">
        <v>2075</v>
      </c>
      <c r="H2337" t="s">
        <v>2076</v>
      </c>
      <c r="I2337" t="s">
        <v>85</v>
      </c>
      <c r="J2337">
        <v>42</v>
      </c>
      <c r="K2337" t="s">
        <v>82</v>
      </c>
      <c r="L2337" t="s">
        <v>96</v>
      </c>
      <c r="M2337" t="s">
        <v>55</v>
      </c>
      <c r="N2337" t="s">
        <v>2574</v>
      </c>
      <c r="O2337" t="s">
        <v>130</v>
      </c>
      <c r="P2337" t="s">
        <v>50</v>
      </c>
      <c r="Q2337" t="s">
        <v>53</v>
      </c>
      <c r="R2337">
        <v>5</v>
      </c>
      <c r="S2337">
        <v>1199</v>
      </c>
      <c r="T2337">
        <v>0</v>
      </c>
      <c r="U2337">
        <v>5995</v>
      </c>
      <c r="V2337">
        <v>2750</v>
      </c>
      <c r="W2337">
        <v>3245</v>
      </c>
      <c r="X2337" t="s">
        <v>73</v>
      </c>
      <c r="Y2337" t="s">
        <v>68</v>
      </c>
      <c r="Z2337" t="s">
        <v>161</v>
      </c>
      <c r="AA2337" t="s">
        <v>166</v>
      </c>
      <c r="AB2337">
        <v>4.2</v>
      </c>
      <c r="AC2337">
        <v>50</v>
      </c>
      <c r="AD2337">
        <v>596.22</v>
      </c>
      <c r="AE2337">
        <f t="shared" si="72"/>
        <v>2598.7799999999997</v>
      </c>
      <c r="AF2337" t="str">
        <f t="shared" si="73"/>
        <v>2025-10</v>
      </c>
      <c r="AG2337">
        <f>SUBTOTAL(103,A2337)</f>
        <v>1</v>
      </c>
    </row>
    <row r="2338" spans="1:33" x14ac:dyDescent="0.3">
      <c r="A2338" t="s">
        <v>4959</v>
      </c>
      <c r="B2338" s="13">
        <v>45954</v>
      </c>
      <c r="C2338">
        <v>2025</v>
      </c>
      <c r="D2338">
        <v>10</v>
      </c>
      <c r="E2338" t="s">
        <v>4779</v>
      </c>
      <c r="F2338" t="s">
        <v>4780</v>
      </c>
      <c r="G2338" t="s">
        <v>467</v>
      </c>
      <c r="H2338" t="s">
        <v>468</v>
      </c>
      <c r="I2338" t="s">
        <v>85</v>
      </c>
      <c r="J2338">
        <v>42</v>
      </c>
      <c r="K2338" t="s">
        <v>82</v>
      </c>
      <c r="L2338" t="s">
        <v>2616</v>
      </c>
      <c r="M2338" t="s">
        <v>62</v>
      </c>
      <c r="N2338" t="s">
        <v>2574</v>
      </c>
      <c r="O2338" t="s">
        <v>130</v>
      </c>
      <c r="P2338" t="s">
        <v>50</v>
      </c>
      <c r="Q2338" t="s">
        <v>53</v>
      </c>
      <c r="R2338">
        <v>1</v>
      </c>
      <c r="S2338">
        <v>1199</v>
      </c>
      <c r="T2338">
        <v>0</v>
      </c>
      <c r="U2338">
        <v>1199</v>
      </c>
      <c r="V2338">
        <v>550</v>
      </c>
      <c r="W2338">
        <v>649</v>
      </c>
      <c r="X2338" t="s">
        <v>76</v>
      </c>
      <c r="Y2338" t="s">
        <v>69</v>
      </c>
      <c r="Z2338" t="s">
        <v>159</v>
      </c>
      <c r="AA2338" t="s">
        <v>170</v>
      </c>
      <c r="AB2338">
        <v>3.6</v>
      </c>
      <c r="AC2338">
        <v>120</v>
      </c>
      <c r="AD2338">
        <v>119.08</v>
      </c>
      <c r="AE2338">
        <f t="shared" si="72"/>
        <v>409.92</v>
      </c>
      <c r="AF2338" t="str">
        <f t="shared" si="73"/>
        <v>2025-10</v>
      </c>
      <c r="AG2338">
        <f>SUBTOTAL(103,A2338)</f>
        <v>1</v>
      </c>
    </row>
    <row r="2339" spans="1:33" x14ac:dyDescent="0.3">
      <c r="A2339" t="s">
        <v>4960</v>
      </c>
      <c r="B2339" s="13">
        <v>45954</v>
      </c>
      <c r="C2339">
        <v>2025</v>
      </c>
      <c r="D2339">
        <v>10</v>
      </c>
      <c r="E2339" t="s">
        <v>4779</v>
      </c>
      <c r="F2339" t="s">
        <v>4780</v>
      </c>
      <c r="G2339" t="s">
        <v>1193</v>
      </c>
      <c r="H2339" t="s">
        <v>1194</v>
      </c>
      <c r="I2339" t="s">
        <v>85</v>
      </c>
      <c r="J2339">
        <v>49</v>
      </c>
      <c r="K2339" t="s">
        <v>83</v>
      </c>
      <c r="L2339" t="s">
        <v>59</v>
      </c>
      <c r="M2339" t="s">
        <v>59</v>
      </c>
      <c r="N2339" t="s">
        <v>2630</v>
      </c>
      <c r="O2339" t="s">
        <v>123</v>
      </c>
      <c r="P2339" t="s">
        <v>52</v>
      </c>
      <c r="Q2339" t="s">
        <v>146</v>
      </c>
      <c r="R2339">
        <v>3</v>
      </c>
      <c r="S2339">
        <v>2499</v>
      </c>
      <c r="T2339">
        <v>0.15</v>
      </c>
      <c r="U2339">
        <v>6372.45</v>
      </c>
      <c r="V2339">
        <v>4200</v>
      </c>
      <c r="W2339">
        <v>2172.4499999999998</v>
      </c>
      <c r="X2339" t="s">
        <v>75</v>
      </c>
      <c r="Y2339" t="s">
        <v>68</v>
      </c>
      <c r="Z2339" t="s">
        <v>163</v>
      </c>
      <c r="AA2339" t="s">
        <v>167</v>
      </c>
      <c r="AB2339">
        <v>3.7</v>
      </c>
      <c r="AC2339">
        <v>50</v>
      </c>
      <c r="AD2339">
        <v>294.85000000000002</v>
      </c>
      <c r="AE2339">
        <f t="shared" si="72"/>
        <v>1827.6</v>
      </c>
      <c r="AF2339" t="str">
        <f t="shared" si="73"/>
        <v>2025-10</v>
      </c>
      <c r="AG2339">
        <f>SUBTOTAL(103,A2339)</f>
        <v>1</v>
      </c>
    </row>
    <row r="2340" spans="1:33" x14ac:dyDescent="0.3">
      <c r="A2340" t="s">
        <v>4961</v>
      </c>
      <c r="B2340" s="13">
        <v>45954</v>
      </c>
      <c r="C2340">
        <v>2025</v>
      </c>
      <c r="D2340">
        <v>10</v>
      </c>
      <c r="E2340" t="s">
        <v>4779</v>
      </c>
      <c r="F2340" t="s">
        <v>4780</v>
      </c>
      <c r="G2340" t="s">
        <v>345</v>
      </c>
      <c r="H2340" t="s">
        <v>346</v>
      </c>
      <c r="I2340" t="s">
        <v>85</v>
      </c>
      <c r="J2340">
        <v>34</v>
      </c>
      <c r="K2340" t="s">
        <v>81</v>
      </c>
      <c r="L2340" t="s">
        <v>96</v>
      </c>
      <c r="M2340" t="s">
        <v>55</v>
      </c>
      <c r="N2340" t="s">
        <v>2647</v>
      </c>
      <c r="O2340" t="s">
        <v>133</v>
      </c>
      <c r="P2340" t="s">
        <v>50</v>
      </c>
      <c r="Q2340" t="s">
        <v>145</v>
      </c>
      <c r="R2340">
        <v>4</v>
      </c>
      <c r="S2340">
        <v>799</v>
      </c>
      <c r="T2340">
        <v>0</v>
      </c>
      <c r="U2340">
        <v>3196</v>
      </c>
      <c r="V2340">
        <v>1560</v>
      </c>
      <c r="W2340">
        <v>1636</v>
      </c>
      <c r="X2340" t="s">
        <v>75</v>
      </c>
      <c r="Y2340" t="s">
        <v>68</v>
      </c>
      <c r="Z2340" t="s">
        <v>158</v>
      </c>
      <c r="AA2340" t="s">
        <v>169</v>
      </c>
      <c r="AB2340">
        <v>4.3</v>
      </c>
      <c r="AC2340">
        <v>80</v>
      </c>
      <c r="AD2340">
        <v>381</v>
      </c>
      <c r="AE2340">
        <f t="shared" si="72"/>
        <v>1175</v>
      </c>
      <c r="AF2340" t="str">
        <f t="shared" si="73"/>
        <v>2025-10</v>
      </c>
      <c r="AG2340">
        <f>SUBTOTAL(103,A2340)</f>
        <v>1</v>
      </c>
    </row>
    <row r="2341" spans="1:33" x14ac:dyDescent="0.3">
      <c r="A2341" t="s">
        <v>4962</v>
      </c>
      <c r="B2341" s="13">
        <v>45954</v>
      </c>
      <c r="C2341">
        <v>2025</v>
      </c>
      <c r="D2341">
        <v>10</v>
      </c>
      <c r="E2341" t="s">
        <v>4779</v>
      </c>
      <c r="F2341" t="s">
        <v>4780</v>
      </c>
      <c r="G2341" t="s">
        <v>975</v>
      </c>
      <c r="H2341" t="s">
        <v>976</v>
      </c>
      <c r="I2341" t="s">
        <v>85</v>
      </c>
      <c r="J2341">
        <v>28</v>
      </c>
      <c r="K2341" t="s">
        <v>81</v>
      </c>
      <c r="L2341" t="s">
        <v>2661</v>
      </c>
      <c r="M2341" t="s">
        <v>58</v>
      </c>
      <c r="N2341" t="s">
        <v>2657</v>
      </c>
      <c r="O2341" t="s">
        <v>134</v>
      </c>
      <c r="P2341" t="s">
        <v>49</v>
      </c>
      <c r="Q2341" t="s">
        <v>140</v>
      </c>
      <c r="R2341">
        <v>2</v>
      </c>
      <c r="S2341">
        <v>599</v>
      </c>
      <c r="T2341">
        <v>0.05</v>
      </c>
      <c r="U2341">
        <v>1138.0999999999999</v>
      </c>
      <c r="V2341">
        <v>500</v>
      </c>
      <c r="W2341">
        <v>638.1</v>
      </c>
      <c r="X2341" t="s">
        <v>76</v>
      </c>
      <c r="Y2341" t="s">
        <v>68</v>
      </c>
      <c r="Z2341" t="s">
        <v>161</v>
      </c>
      <c r="AA2341" t="s">
        <v>168</v>
      </c>
      <c r="AB2341">
        <v>4</v>
      </c>
      <c r="AC2341">
        <v>40</v>
      </c>
      <c r="AD2341">
        <v>85.66</v>
      </c>
      <c r="AE2341">
        <f t="shared" si="72"/>
        <v>512.44000000000005</v>
      </c>
      <c r="AF2341" t="str">
        <f t="shared" si="73"/>
        <v>2025-10</v>
      </c>
      <c r="AG2341">
        <f>SUBTOTAL(103,A2341)</f>
        <v>1</v>
      </c>
    </row>
    <row r="2342" spans="1:33" x14ac:dyDescent="0.3">
      <c r="A2342" t="s">
        <v>4963</v>
      </c>
      <c r="B2342" s="13">
        <v>45954</v>
      </c>
      <c r="C2342">
        <v>2025</v>
      </c>
      <c r="D2342">
        <v>10</v>
      </c>
      <c r="E2342" t="s">
        <v>4779</v>
      </c>
      <c r="F2342" t="s">
        <v>4780</v>
      </c>
      <c r="G2342" t="s">
        <v>2099</v>
      </c>
      <c r="H2342" t="s">
        <v>2100</v>
      </c>
      <c r="I2342" t="s">
        <v>85</v>
      </c>
      <c r="J2342">
        <v>30</v>
      </c>
      <c r="K2342" t="s">
        <v>81</v>
      </c>
      <c r="L2342" t="s">
        <v>2605</v>
      </c>
      <c r="M2342" t="s">
        <v>60</v>
      </c>
      <c r="N2342" t="s">
        <v>2590</v>
      </c>
      <c r="O2342" t="s">
        <v>127</v>
      </c>
      <c r="P2342" t="s">
        <v>51</v>
      </c>
      <c r="Q2342" t="s">
        <v>148</v>
      </c>
      <c r="R2342">
        <v>2</v>
      </c>
      <c r="S2342">
        <v>1599</v>
      </c>
      <c r="T2342">
        <v>0.05</v>
      </c>
      <c r="U2342">
        <v>3038.1</v>
      </c>
      <c r="V2342">
        <v>1600</v>
      </c>
      <c r="W2342">
        <v>1438.1</v>
      </c>
      <c r="X2342" t="s">
        <v>76</v>
      </c>
      <c r="Y2342" t="s">
        <v>68</v>
      </c>
      <c r="Z2342" t="s">
        <v>159</v>
      </c>
      <c r="AA2342" t="s">
        <v>166</v>
      </c>
      <c r="AB2342">
        <v>4.4000000000000004</v>
      </c>
      <c r="AC2342">
        <v>120</v>
      </c>
      <c r="AD2342">
        <v>226.48</v>
      </c>
      <c r="AE2342">
        <f t="shared" si="72"/>
        <v>1091.6199999999999</v>
      </c>
      <c r="AF2342" t="str">
        <f t="shared" si="73"/>
        <v>2025-10</v>
      </c>
      <c r="AG2342">
        <f>SUBTOTAL(103,A2342)</f>
        <v>1</v>
      </c>
    </row>
    <row r="2343" spans="1:33" x14ac:dyDescent="0.3">
      <c r="A2343" t="s">
        <v>4964</v>
      </c>
      <c r="B2343" s="13">
        <v>45954</v>
      </c>
      <c r="C2343">
        <v>2025</v>
      </c>
      <c r="D2343">
        <v>10</v>
      </c>
      <c r="E2343" t="s">
        <v>4779</v>
      </c>
      <c r="F2343" t="s">
        <v>4780</v>
      </c>
      <c r="G2343" t="s">
        <v>1289</v>
      </c>
      <c r="H2343" t="s">
        <v>1290</v>
      </c>
      <c r="I2343" t="s">
        <v>85</v>
      </c>
      <c r="J2343">
        <v>49</v>
      </c>
      <c r="K2343" t="s">
        <v>83</v>
      </c>
      <c r="L2343" t="s">
        <v>94</v>
      </c>
      <c r="M2343" t="s">
        <v>57</v>
      </c>
      <c r="N2343" t="s">
        <v>2574</v>
      </c>
      <c r="O2343" t="s">
        <v>130</v>
      </c>
      <c r="P2343" t="s">
        <v>50</v>
      </c>
      <c r="Q2343" t="s">
        <v>53</v>
      </c>
      <c r="R2343">
        <v>3</v>
      </c>
      <c r="S2343">
        <v>1199</v>
      </c>
      <c r="T2343">
        <v>0</v>
      </c>
      <c r="U2343">
        <v>3597</v>
      </c>
      <c r="V2343">
        <v>1650</v>
      </c>
      <c r="W2343">
        <v>1947</v>
      </c>
      <c r="X2343" t="s">
        <v>76</v>
      </c>
      <c r="Y2343" t="s">
        <v>68</v>
      </c>
      <c r="Z2343" t="s">
        <v>161</v>
      </c>
      <c r="AA2343" t="s">
        <v>171</v>
      </c>
      <c r="AB2343">
        <v>5</v>
      </c>
      <c r="AC2343">
        <v>100</v>
      </c>
      <c r="AD2343">
        <v>196.44</v>
      </c>
      <c r="AE2343">
        <f t="shared" si="72"/>
        <v>1650.56</v>
      </c>
      <c r="AF2343" t="str">
        <f t="shared" si="73"/>
        <v>2025-10</v>
      </c>
      <c r="AG2343">
        <f>SUBTOTAL(103,A2343)</f>
        <v>1</v>
      </c>
    </row>
    <row r="2344" spans="1:33" x14ac:dyDescent="0.3">
      <c r="A2344" t="s">
        <v>4965</v>
      </c>
      <c r="B2344" s="13">
        <v>45954</v>
      </c>
      <c r="C2344">
        <v>2025</v>
      </c>
      <c r="D2344">
        <v>10</v>
      </c>
      <c r="E2344" t="s">
        <v>4779</v>
      </c>
      <c r="F2344" t="s">
        <v>4780</v>
      </c>
      <c r="G2344" t="s">
        <v>455</v>
      </c>
      <c r="H2344" t="s">
        <v>456</v>
      </c>
      <c r="I2344" t="s">
        <v>86</v>
      </c>
      <c r="J2344">
        <v>18</v>
      </c>
      <c r="K2344" t="s">
        <v>80</v>
      </c>
      <c r="L2344" t="s">
        <v>97</v>
      </c>
      <c r="M2344" t="s">
        <v>57</v>
      </c>
      <c r="N2344" t="s">
        <v>2630</v>
      </c>
      <c r="O2344" t="s">
        <v>123</v>
      </c>
      <c r="P2344" t="s">
        <v>52</v>
      </c>
      <c r="Q2344" t="s">
        <v>146</v>
      </c>
      <c r="R2344">
        <v>3</v>
      </c>
      <c r="S2344">
        <v>2499</v>
      </c>
      <c r="T2344">
        <v>0.1</v>
      </c>
      <c r="U2344">
        <v>6747.3</v>
      </c>
      <c r="V2344">
        <v>4200</v>
      </c>
      <c r="W2344">
        <v>2547.3000000000002</v>
      </c>
      <c r="X2344" t="s">
        <v>73</v>
      </c>
      <c r="Y2344" t="s">
        <v>68</v>
      </c>
      <c r="Z2344" t="s">
        <v>159</v>
      </c>
      <c r="AA2344" t="s">
        <v>170</v>
      </c>
      <c r="AB2344">
        <v>3.6</v>
      </c>
      <c r="AC2344">
        <v>40</v>
      </c>
      <c r="AD2344">
        <v>330.95</v>
      </c>
      <c r="AE2344">
        <f t="shared" si="72"/>
        <v>2176.3500000000004</v>
      </c>
      <c r="AF2344" t="str">
        <f t="shared" si="73"/>
        <v>2025-10</v>
      </c>
      <c r="AG2344">
        <f>SUBTOTAL(103,A2344)</f>
        <v>1</v>
      </c>
    </row>
    <row r="2345" spans="1:33" x14ac:dyDescent="0.3">
      <c r="A2345" t="s">
        <v>4966</v>
      </c>
      <c r="B2345" s="13">
        <v>45955</v>
      </c>
      <c r="C2345">
        <v>2025</v>
      </c>
      <c r="D2345">
        <v>10</v>
      </c>
      <c r="E2345" t="s">
        <v>4779</v>
      </c>
      <c r="F2345" t="s">
        <v>4780</v>
      </c>
      <c r="G2345" t="s">
        <v>1349</v>
      </c>
      <c r="H2345" t="s">
        <v>1350</v>
      </c>
      <c r="I2345" t="s">
        <v>85</v>
      </c>
      <c r="J2345">
        <v>51</v>
      </c>
      <c r="K2345" t="s">
        <v>83</v>
      </c>
      <c r="L2345" t="s">
        <v>2661</v>
      </c>
      <c r="M2345" t="s">
        <v>58</v>
      </c>
      <c r="N2345" t="s">
        <v>2653</v>
      </c>
      <c r="O2345" t="s">
        <v>132</v>
      </c>
      <c r="P2345" t="s">
        <v>52</v>
      </c>
      <c r="Q2345" t="s">
        <v>150</v>
      </c>
      <c r="R2345">
        <v>3</v>
      </c>
      <c r="S2345">
        <v>899</v>
      </c>
      <c r="T2345">
        <v>0.15</v>
      </c>
      <c r="U2345">
        <v>2292.4499999999998</v>
      </c>
      <c r="V2345">
        <v>1260</v>
      </c>
      <c r="W2345">
        <v>1032.45</v>
      </c>
      <c r="X2345" t="s">
        <v>73</v>
      </c>
      <c r="Y2345" t="s">
        <v>70</v>
      </c>
      <c r="Z2345" t="s">
        <v>161</v>
      </c>
      <c r="AA2345" t="s">
        <v>166</v>
      </c>
      <c r="AB2345">
        <v>4.0999999999999996</v>
      </c>
      <c r="AC2345">
        <v>50</v>
      </c>
      <c r="AD2345">
        <v>242.48</v>
      </c>
      <c r="AE2345">
        <f t="shared" si="72"/>
        <v>739.97</v>
      </c>
      <c r="AF2345" t="str">
        <f t="shared" si="73"/>
        <v>2025-10</v>
      </c>
      <c r="AG2345">
        <f>SUBTOTAL(103,A2345)</f>
        <v>1</v>
      </c>
    </row>
    <row r="2346" spans="1:33" x14ac:dyDescent="0.3">
      <c r="A2346" t="s">
        <v>4967</v>
      </c>
      <c r="B2346" s="13">
        <v>45955</v>
      </c>
      <c r="C2346">
        <v>2025</v>
      </c>
      <c r="D2346">
        <v>10</v>
      </c>
      <c r="E2346" t="s">
        <v>4779</v>
      </c>
      <c r="F2346" t="s">
        <v>4780</v>
      </c>
      <c r="G2346" t="s">
        <v>1323</v>
      </c>
      <c r="H2346" t="s">
        <v>1324</v>
      </c>
      <c r="I2346" t="s">
        <v>86</v>
      </c>
      <c r="J2346">
        <v>55</v>
      </c>
      <c r="K2346" t="s">
        <v>83</v>
      </c>
      <c r="L2346" t="s">
        <v>91</v>
      </c>
      <c r="M2346" t="s">
        <v>55</v>
      </c>
      <c r="N2346" t="s">
        <v>2601</v>
      </c>
      <c r="O2346" t="s">
        <v>117</v>
      </c>
      <c r="P2346" t="s">
        <v>49</v>
      </c>
      <c r="Q2346" t="s">
        <v>139</v>
      </c>
      <c r="R2346">
        <v>1</v>
      </c>
      <c r="S2346">
        <v>6999</v>
      </c>
      <c r="T2346">
        <v>0</v>
      </c>
      <c r="U2346">
        <v>6999</v>
      </c>
      <c r="V2346">
        <v>4300</v>
      </c>
      <c r="W2346">
        <v>2699</v>
      </c>
      <c r="X2346" t="s">
        <v>73</v>
      </c>
      <c r="Y2346" t="s">
        <v>68</v>
      </c>
      <c r="Z2346" t="s">
        <v>159</v>
      </c>
      <c r="AA2346" t="s">
        <v>171</v>
      </c>
      <c r="AB2346">
        <v>3.5</v>
      </c>
      <c r="AC2346">
        <v>80</v>
      </c>
      <c r="AD2346">
        <v>537.49</v>
      </c>
      <c r="AE2346">
        <f t="shared" si="72"/>
        <v>2081.5100000000002</v>
      </c>
      <c r="AF2346" t="str">
        <f t="shared" si="73"/>
        <v>2025-10</v>
      </c>
      <c r="AG2346">
        <f>SUBTOTAL(103,A2346)</f>
        <v>1</v>
      </c>
    </row>
    <row r="2347" spans="1:33" x14ac:dyDescent="0.3">
      <c r="A2347" t="s">
        <v>4968</v>
      </c>
      <c r="B2347" s="13">
        <v>45955</v>
      </c>
      <c r="C2347">
        <v>2025</v>
      </c>
      <c r="D2347">
        <v>10</v>
      </c>
      <c r="E2347" t="s">
        <v>4779</v>
      </c>
      <c r="F2347" t="s">
        <v>4780</v>
      </c>
      <c r="G2347" t="s">
        <v>2045</v>
      </c>
      <c r="H2347" t="s">
        <v>2046</v>
      </c>
      <c r="I2347" t="s">
        <v>86</v>
      </c>
      <c r="J2347">
        <v>57</v>
      </c>
      <c r="K2347" t="s">
        <v>83</v>
      </c>
      <c r="L2347" t="s">
        <v>2661</v>
      </c>
      <c r="M2347" t="s">
        <v>58</v>
      </c>
      <c r="N2347" t="s">
        <v>2577</v>
      </c>
      <c r="O2347" t="s">
        <v>129</v>
      </c>
      <c r="P2347" t="s">
        <v>49</v>
      </c>
      <c r="Q2347" t="s">
        <v>149</v>
      </c>
      <c r="R2347">
        <v>1</v>
      </c>
      <c r="S2347">
        <v>1299</v>
      </c>
      <c r="T2347">
        <v>0.1</v>
      </c>
      <c r="U2347">
        <v>1169.0999999999999</v>
      </c>
      <c r="V2347">
        <v>650</v>
      </c>
      <c r="W2347">
        <v>519.1</v>
      </c>
      <c r="X2347" t="s">
        <v>77</v>
      </c>
      <c r="Y2347" t="s">
        <v>68</v>
      </c>
      <c r="Z2347" t="s">
        <v>162</v>
      </c>
      <c r="AA2347" t="s">
        <v>170</v>
      </c>
      <c r="AB2347">
        <v>3.6</v>
      </c>
      <c r="AC2347">
        <v>80</v>
      </c>
      <c r="AD2347">
        <v>114.48</v>
      </c>
      <c r="AE2347">
        <f t="shared" si="72"/>
        <v>324.62</v>
      </c>
      <c r="AF2347" t="str">
        <f t="shared" si="73"/>
        <v>2025-10</v>
      </c>
      <c r="AG2347">
        <f>SUBTOTAL(103,A2347)</f>
        <v>1</v>
      </c>
    </row>
    <row r="2348" spans="1:33" x14ac:dyDescent="0.3">
      <c r="A2348" t="s">
        <v>4969</v>
      </c>
      <c r="B2348" s="13">
        <v>45955</v>
      </c>
      <c r="C2348">
        <v>2025</v>
      </c>
      <c r="D2348">
        <v>10</v>
      </c>
      <c r="E2348" t="s">
        <v>4779</v>
      </c>
      <c r="F2348" t="s">
        <v>4780</v>
      </c>
      <c r="G2348" t="s">
        <v>1769</v>
      </c>
      <c r="H2348" t="s">
        <v>1770</v>
      </c>
      <c r="I2348" t="s">
        <v>85</v>
      </c>
      <c r="J2348">
        <v>35</v>
      </c>
      <c r="K2348" t="s">
        <v>81</v>
      </c>
      <c r="L2348" t="s">
        <v>96</v>
      </c>
      <c r="M2348" t="s">
        <v>55</v>
      </c>
      <c r="N2348" t="s">
        <v>2603</v>
      </c>
      <c r="O2348" t="s">
        <v>122</v>
      </c>
      <c r="P2348" t="s">
        <v>48</v>
      </c>
      <c r="Q2348" t="s">
        <v>141</v>
      </c>
      <c r="R2348">
        <v>2</v>
      </c>
      <c r="S2348">
        <v>2499</v>
      </c>
      <c r="T2348">
        <v>0</v>
      </c>
      <c r="U2348">
        <v>4998</v>
      </c>
      <c r="V2348">
        <v>2900</v>
      </c>
      <c r="W2348">
        <v>2098</v>
      </c>
      <c r="X2348" t="s">
        <v>73</v>
      </c>
      <c r="Y2348" t="s">
        <v>68</v>
      </c>
      <c r="Z2348" t="s">
        <v>159</v>
      </c>
      <c r="AA2348" t="s">
        <v>166</v>
      </c>
      <c r="AB2348">
        <v>4</v>
      </c>
      <c r="AC2348">
        <v>60</v>
      </c>
      <c r="AD2348">
        <v>203.03</v>
      </c>
      <c r="AE2348">
        <f t="shared" si="72"/>
        <v>1834.97</v>
      </c>
      <c r="AF2348" t="str">
        <f t="shared" si="73"/>
        <v>2025-10</v>
      </c>
      <c r="AG2348">
        <f>SUBTOTAL(103,A2348)</f>
        <v>1</v>
      </c>
    </row>
    <row r="2349" spans="1:33" x14ac:dyDescent="0.3">
      <c r="A2349" t="s">
        <v>4970</v>
      </c>
      <c r="B2349" s="13">
        <v>45955</v>
      </c>
      <c r="C2349">
        <v>2025</v>
      </c>
      <c r="D2349">
        <v>10</v>
      </c>
      <c r="E2349" t="s">
        <v>4779</v>
      </c>
      <c r="F2349" t="s">
        <v>4780</v>
      </c>
      <c r="G2349" t="s">
        <v>2093</v>
      </c>
      <c r="H2349" t="s">
        <v>2094</v>
      </c>
      <c r="I2349" t="s">
        <v>86</v>
      </c>
      <c r="J2349">
        <v>27</v>
      </c>
      <c r="K2349" t="s">
        <v>81</v>
      </c>
      <c r="L2349" t="s">
        <v>96</v>
      </c>
      <c r="M2349" t="s">
        <v>55</v>
      </c>
      <c r="N2349" t="s">
        <v>2574</v>
      </c>
      <c r="O2349" t="s">
        <v>130</v>
      </c>
      <c r="P2349" t="s">
        <v>50</v>
      </c>
      <c r="Q2349" t="s">
        <v>53</v>
      </c>
      <c r="R2349">
        <v>1</v>
      </c>
      <c r="S2349">
        <v>1199</v>
      </c>
      <c r="T2349">
        <v>0</v>
      </c>
      <c r="U2349">
        <v>1199</v>
      </c>
      <c r="V2349">
        <v>550</v>
      </c>
      <c r="W2349">
        <v>649</v>
      </c>
      <c r="X2349" t="s">
        <v>73</v>
      </c>
      <c r="Y2349" t="s">
        <v>68</v>
      </c>
      <c r="Z2349" t="s">
        <v>162</v>
      </c>
      <c r="AA2349" t="s">
        <v>171</v>
      </c>
      <c r="AB2349">
        <v>4.0999999999999996</v>
      </c>
      <c r="AC2349">
        <v>40</v>
      </c>
      <c r="AD2349">
        <v>138.72999999999999</v>
      </c>
      <c r="AE2349">
        <f t="shared" si="72"/>
        <v>470.27</v>
      </c>
      <c r="AF2349" t="str">
        <f t="shared" si="73"/>
        <v>2025-10</v>
      </c>
      <c r="AG2349">
        <f>SUBTOTAL(103,A2349)</f>
        <v>1</v>
      </c>
    </row>
    <row r="2350" spans="1:33" x14ac:dyDescent="0.3">
      <c r="A2350" t="s">
        <v>4971</v>
      </c>
      <c r="B2350" s="13">
        <v>45955</v>
      </c>
      <c r="C2350">
        <v>2025</v>
      </c>
      <c r="D2350">
        <v>10</v>
      </c>
      <c r="E2350" t="s">
        <v>4779</v>
      </c>
      <c r="F2350" t="s">
        <v>4780</v>
      </c>
      <c r="G2350" t="s">
        <v>1027</v>
      </c>
      <c r="H2350" t="s">
        <v>1028</v>
      </c>
      <c r="I2350" t="s">
        <v>85</v>
      </c>
      <c r="J2350">
        <v>45</v>
      </c>
      <c r="K2350" t="s">
        <v>82</v>
      </c>
      <c r="L2350" t="s">
        <v>98</v>
      </c>
      <c r="M2350" t="s">
        <v>55</v>
      </c>
      <c r="N2350" t="s">
        <v>2657</v>
      </c>
      <c r="O2350" t="s">
        <v>134</v>
      </c>
      <c r="P2350" t="s">
        <v>49</v>
      </c>
      <c r="Q2350" t="s">
        <v>140</v>
      </c>
      <c r="R2350">
        <v>1</v>
      </c>
      <c r="S2350">
        <v>599</v>
      </c>
      <c r="T2350">
        <v>0.1</v>
      </c>
      <c r="U2350">
        <v>539.1</v>
      </c>
      <c r="V2350">
        <v>250</v>
      </c>
      <c r="W2350">
        <v>289.10000000000002</v>
      </c>
      <c r="X2350" t="s">
        <v>77</v>
      </c>
      <c r="Y2350" t="s">
        <v>68</v>
      </c>
      <c r="Z2350" t="s">
        <v>160</v>
      </c>
      <c r="AA2350" t="s">
        <v>166</v>
      </c>
      <c r="AB2350">
        <v>3.4</v>
      </c>
      <c r="AC2350">
        <v>40</v>
      </c>
      <c r="AD2350">
        <v>39.81</v>
      </c>
      <c r="AE2350">
        <f t="shared" si="72"/>
        <v>209.29000000000002</v>
      </c>
      <c r="AF2350" t="str">
        <f t="shared" si="73"/>
        <v>2025-10</v>
      </c>
      <c r="AG2350">
        <f>SUBTOTAL(103,A2350)</f>
        <v>1</v>
      </c>
    </row>
    <row r="2351" spans="1:33" x14ac:dyDescent="0.3">
      <c r="A2351" t="s">
        <v>4972</v>
      </c>
      <c r="B2351" s="13">
        <v>45956</v>
      </c>
      <c r="C2351">
        <v>2025</v>
      </c>
      <c r="D2351">
        <v>10</v>
      </c>
      <c r="E2351" t="s">
        <v>4779</v>
      </c>
      <c r="F2351" t="s">
        <v>4780</v>
      </c>
      <c r="G2351" t="s">
        <v>287</v>
      </c>
      <c r="H2351" t="s">
        <v>288</v>
      </c>
      <c r="I2351" t="s">
        <v>86</v>
      </c>
      <c r="J2351">
        <v>56</v>
      </c>
      <c r="K2351" t="s">
        <v>83</v>
      </c>
      <c r="L2351" t="s">
        <v>2616</v>
      </c>
      <c r="M2351" t="s">
        <v>62</v>
      </c>
      <c r="N2351" t="s">
        <v>2587</v>
      </c>
      <c r="O2351" t="s">
        <v>116</v>
      </c>
      <c r="P2351" t="s">
        <v>48</v>
      </c>
      <c r="Q2351" t="s">
        <v>138</v>
      </c>
      <c r="R2351">
        <v>1</v>
      </c>
      <c r="S2351">
        <v>14999</v>
      </c>
      <c r="T2351">
        <v>0.1</v>
      </c>
      <c r="U2351">
        <v>13499.1</v>
      </c>
      <c r="V2351">
        <v>11200</v>
      </c>
      <c r="W2351">
        <v>2299.1</v>
      </c>
      <c r="X2351" t="s">
        <v>73</v>
      </c>
      <c r="Y2351" t="s">
        <v>68</v>
      </c>
      <c r="Z2351" t="s">
        <v>161</v>
      </c>
      <c r="AA2351" t="s">
        <v>167</v>
      </c>
      <c r="AB2351">
        <v>4.3</v>
      </c>
      <c r="AC2351">
        <v>40</v>
      </c>
      <c r="AD2351">
        <v>356.9</v>
      </c>
      <c r="AE2351">
        <f t="shared" si="72"/>
        <v>1902.1999999999998</v>
      </c>
      <c r="AF2351" t="str">
        <f t="shared" si="73"/>
        <v>2025-10</v>
      </c>
      <c r="AG2351">
        <f>SUBTOTAL(103,A2351)</f>
        <v>1</v>
      </c>
    </row>
    <row r="2352" spans="1:33" x14ac:dyDescent="0.3">
      <c r="A2352" t="s">
        <v>4973</v>
      </c>
      <c r="B2352" s="13">
        <v>45956</v>
      </c>
      <c r="C2352">
        <v>2025</v>
      </c>
      <c r="D2352">
        <v>10</v>
      </c>
      <c r="E2352" t="s">
        <v>4779</v>
      </c>
      <c r="F2352" t="s">
        <v>4780</v>
      </c>
      <c r="G2352" t="s">
        <v>1849</v>
      </c>
      <c r="H2352" t="s">
        <v>1850</v>
      </c>
      <c r="I2352" t="s">
        <v>85</v>
      </c>
      <c r="J2352">
        <v>23</v>
      </c>
      <c r="K2352" t="s">
        <v>80</v>
      </c>
      <c r="L2352" t="s">
        <v>59</v>
      </c>
      <c r="M2352" t="s">
        <v>59</v>
      </c>
      <c r="N2352" t="s">
        <v>2653</v>
      </c>
      <c r="O2352" t="s">
        <v>132</v>
      </c>
      <c r="P2352" t="s">
        <v>52</v>
      </c>
      <c r="Q2352" t="s">
        <v>150</v>
      </c>
      <c r="R2352">
        <v>2</v>
      </c>
      <c r="S2352">
        <v>899</v>
      </c>
      <c r="T2352">
        <v>0.25</v>
      </c>
      <c r="U2352">
        <v>1348.5</v>
      </c>
      <c r="V2352">
        <v>840</v>
      </c>
      <c r="W2352">
        <v>508.5</v>
      </c>
      <c r="X2352" t="s">
        <v>76</v>
      </c>
      <c r="Y2352" t="s">
        <v>68</v>
      </c>
      <c r="Z2352" t="s">
        <v>161</v>
      </c>
      <c r="AA2352" t="s">
        <v>169</v>
      </c>
      <c r="AB2352">
        <v>4.2</v>
      </c>
      <c r="AC2352">
        <v>80</v>
      </c>
      <c r="AD2352">
        <v>94.03</v>
      </c>
      <c r="AE2352">
        <f t="shared" si="72"/>
        <v>334.47</v>
      </c>
      <c r="AF2352" t="str">
        <f t="shared" si="73"/>
        <v>2025-10</v>
      </c>
      <c r="AG2352">
        <f>SUBTOTAL(103,A2352)</f>
        <v>1</v>
      </c>
    </row>
    <row r="2353" spans="1:33" x14ac:dyDescent="0.3">
      <c r="A2353" t="s">
        <v>4974</v>
      </c>
      <c r="B2353" s="13">
        <v>45956</v>
      </c>
      <c r="C2353">
        <v>2025</v>
      </c>
      <c r="D2353">
        <v>10</v>
      </c>
      <c r="E2353" t="s">
        <v>4779</v>
      </c>
      <c r="F2353" t="s">
        <v>4780</v>
      </c>
      <c r="G2353" t="s">
        <v>977</v>
      </c>
      <c r="H2353" t="s">
        <v>978</v>
      </c>
      <c r="I2353" t="s">
        <v>85</v>
      </c>
      <c r="J2353">
        <v>23</v>
      </c>
      <c r="K2353" t="s">
        <v>80</v>
      </c>
      <c r="L2353" t="s">
        <v>2679</v>
      </c>
      <c r="M2353" t="s">
        <v>60</v>
      </c>
      <c r="N2353" t="s">
        <v>2653</v>
      </c>
      <c r="O2353" t="s">
        <v>132</v>
      </c>
      <c r="P2353" t="s">
        <v>52</v>
      </c>
      <c r="Q2353" t="s">
        <v>150</v>
      </c>
      <c r="R2353">
        <v>3</v>
      </c>
      <c r="S2353">
        <v>899</v>
      </c>
      <c r="T2353">
        <v>0.15</v>
      </c>
      <c r="U2353">
        <v>2292.4499999999998</v>
      </c>
      <c r="V2353">
        <v>1260</v>
      </c>
      <c r="W2353">
        <v>1032.45</v>
      </c>
      <c r="X2353" t="s">
        <v>74</v>
      </c>
      <c r="Y2353" t="s">
        <v>68</v>
      </c>
      <c r="Z2353" t="s">
        <v>161</v>
      </c>
      <c r="AA2353" t="s">
        <v>168</v>
      </c>
      <c r="AB2353">
        <v>4.0999999999999996</v>
      </c>
      <c r="AC2353">
        <v>80</v>
      </c>
      <c r="AD2353">
        <v>216.44</v>
      </c>
      <c r="AE2353">
        <f t="shared" si="72"/>
        <v>736.01</v>
      </c>
      <c r="AF2353" t="str">
        <f t="shared" si="73"/>
        <v>2025-10</v>
      </c>
      <c r="AG2353">
        <f>SUBTOTAL(103,A2353)</f>
        <v>1</v>
      </c>
    </row>
    <row r="2354" spans="1:33" x14ac:dyDescent="0.3">
      <c r="A2354" t="s">
        <v>4975</v>
      </c>
      <c r="B2354" s="13">
        <v>45956</v>
      </c>
      <c r="C2354">
        <v>2025</v>
      </c>
      <c r="D2354">
        <v>10</v>
      </c>
      <c r="E2354" t="s">
        <v>4779</v>
      </c>
      <c r="F2354" t="s">
        <v>4780</v>
      </c>
      <c r="G2354" t="s">
        <v>1043</v>
      </c>
      <c r="H2354" t="s">
        <v>1044</v>
      </c>
      <c r="I2354" t="s">
        <v>85</v>
      </c>
      <c r="J2354">
        <v>25</v>
      </c>
      <c r="K2354" t="s">
        <v>80</v>
      </c>
      <c r="L2354" t="s">
        <v>94</v>
      </c>
      <c r="M2354" t="s">
        <v>57</v>
      </c>
      <c r="N2354" t="s">
        <v>2606</v>
      </c>
      <c r="O2354" t="s">
        <v>120</v>
      </c>
      <c r="P2354" t="s">
        <v>49</v>
      </c>
      <c r="Q2354" t="s">
        <v>140</v>
      </c>
      <c r="R2354">
        <v>2</v>
      </c>
      <c r="S2354">
        <v>2799</v>
      </c>
      <c r="T2354">
        <v>0.25</v>
      </c>
      <c r="U2354">
        <v>4198.5</v>
      </c>
      <c r="V2354">
        <v>3300</v>
      </c>
      <c r="W2354">
        <v>898.5</v>
      </c>
      <c r="X2354" t="s">
        <v>75</v>
      </c>
      <c r="Y2354" t="s">
        <v>70</v>
      </c>
      <c r="Z2354" t="s">
        <v>160</v>
      </c>
      <c r="AA2354" t="s">
        <v>168</v>
      </c>
      <c r="AB2354">
        <v>4.5</v>
      </c>
      <c r="AC2354">
        <v>60</v>
      </c>
      <c r="AD2354">
        <v>124.97</v>
      </c>
      <c r="AE2354">
        <f t="shared" si="72"/>
        <v>713.53</v>
      </c>
      <c r="AF2354" t="str">
        <f t="shared" si="73"/>
        <v>2025-10</v>
      </c>
      <c r="AG2354">
        <f>SUBTOTAL(103,A2354)</f>
        <v>1</v>
      </c>
    </row>
    <row r="2355" spans="1:33" x14ac:dyDescent="0.3">
      <c r="A2355" t="s">
        <v>4976</v>
      </c>
      <c r="B2355" s="13">
        <v>45956</v>
      </c>
      <c r="C2355">
        <v>2025</v>
      </c>
      <c r="D2355">
        <v>10</v>
      </c>
      <c r="E2355" t="s">
        <v>4779</v>
      </c>
      <c r="F2355" t="s">
        <v>4780</v>
      </c>
      <c r="G2355" t="s">
        <v>1045</v>
      </c>
      <c r="H2355" t="s">
        <v>1046</v>
      </c>
      <c r="I2355" t="s">
        <v>86</v>
      </c>
      <c r="J2355">
        <v>33</v>
      </c>
      <c r="K2355" t="s">
        <v>81</v>
      </c>
      <c r="L2355" t="s">
        <v>96</v>
      </c>
      <c r="M2355" t="s">
        <v>55</v>
      </c>
      <c r="N2355" t="s">
        <v>2603</v>
      </c>
      <c r="O2355" t="s">
        <v>122</v>
      </c>
      <c r="P2355" t="s">
        <v>48</v>
      </c>
      <c r="Q2355" t="s">
        <v>141</v>
      </c>
      <c r="R2355">
        <v>5</v>
      </c>
      <c r="S2355">
        <v>2499</v>
      </c>
      <c r="T2355">
        <v>0.25</v>
      </c>
      <c r="U2355">
        <v>9371.25</v>
      </c>
      <c r="V2355">
        <v>7250</v>
      </c>
      <c r="W2355">
        <v>2121.25</v>
      </c>
      <c r="X2355" t="s">
        <v>74</v>
      </c>
      <c r="Y2355" t="s">
        <v>68</v>
      </c>
      <c r="Z2355" t="s">
        <v>158</v>
      </c>
      <c r="AA2355" t="s">
        <v>167</v>
      </c>
      <c r="AB2355">
        <v>5</v>
      </c>
      <c r="AC2355">
        <v>40</v>
      </c>
      <c r="AD2355">
        <v>667.19</v>
      </c>
      <c r="AE2355">
        <f t="shared" si="72"/>
        <v>1414.06</v>
      </c>
      <c r="AF2355" t="str">
        <f t="shared" si="73"/>
        <v>2025-10</v>
      </c>
      <c r="AG2355">
        <f>SUBTOTAL(103,A2355)</f>
        <v>1</v>
      </c>
    </row>
    <row r="2356" spans="1:33" x14ac:dyDescent="0.3">
      <c r="A2356" t="s">
        <v>4977</v>
      </c>
      <c r="B2356" s="13">
        <v>45956</v>
      </c>
      <c r="C2356">
        <v>2025</v>
      </c>
      <c r="D2356">
        <v>10</v>
      </c>
      <c r="E2356" t="s">
        <v>4779</v>
      </c>
      <c r="F2356" t="s">
        <v>4780</v>
      </c>
      <c r="G2356" t="s">
        <v>1009</v>
      </c>
      <c r="H2356" t="s">
        <v>1010</v>
      </c>
      <c r="I2356" t="s">
        <v>86</v>
      </c>
      <c r="J2356">
        <v>41</v>
      </c>
      <c r="K2356" t="s">
        <v>82</v>
      </c>
      <c r="L2356" t="s">
        <v>100</v>
      </c>
      <c r="M2356" t="s">
        <v>56</v>
      </c>
      <c r="N2356" t="s">
        <v>2601</v>
      </c>
      <c r="O2356" t="s">
        <v>117</v>
      </c>
      <c r="P2356" t="s">
        <v>49</v>
      </c>
      <c r="Q2356" t="s">
        <v>139</v>
      </c>
      <c r="R2356">
        <v>1</v>
      </c>
      <c r="S2356">
        <v>6999</v>
      </c>
      <c r="T2356">
        <v>0.15</v>
      </c>
      <c r="U2356">
        <v>5949.15</v>
      </c>
      <c r="V2356">
        <v>4300</v>
      </c>
      <c r="W2356">
        <v>1649.15</v>
      </c>
      <c r="X2356" t="s">
        <v>75</v>
      </c>
      <c r="Y2356" t="s">
        <v>69</v>
      </c>
      <c r="Z2356" t="s">
        <v>161</v>
      </c>
      <c r="AA2356" t="s">
        <v>168</v>
      </c>
      <c r="AB2356">
        <v>5</v>
      </c>
      <c r="AC2356">
        <v>100</v>
      </c>
      <c r="AD2356">
        <v>650.72</v>
      </c>
      <c r="AE2356">
        <f t="shared" si="72"/>
        <v>898.43000000000006</v>
      </c>
      <c r="AF2356" t="str">
        <f t="shared" si="73"/>
        <v>2025-10</v>
      </c>
      <c r="AG2356">
        <f>SUBTOTAL(103,A2356)</f>
        <v>1</v>
      </c>
    </row>
    <row r="2357" spans="1:33" x14ac:dyDescent="0.3">
      <c r="A2357" t="s">
        <v>4978</v>
      </c>
      <c r="B2357" s="13">
        <v>45956</v>
      </c>
      <c r="C2357">
        <v>2025</v>
      </c>
      <c r="D2357">
        <v>10</v>
      </c>
      <c r="E2357" t="s">
        <v>4779</v>
      </c>
      <c r="F2357" t="s">
        <v>4780</v>
      </c>
      <c r="G2357" t="s">
        <v>1069</v>
      </c>
      <c r="H2357" t="s">
        <v>1070</v>
      </c>
      <c r="I2357" t="s">
        <v>87</v>
      </c>
      <c r="J2357">
        <v>24</v>
      </c>
      <c r="K2357" t="s">
        <v>80</v>
      </c>
      <c r="L2357" t="s">
        <v>98</v>
      </c>
      <c r="M2357" t="s">
        <v>55</v>
      </c>
      <c r="N2357" t="s">
        <v>2580</v>
      </c>
      <c r="O2357" t="s">
        <v>118</v>
      </c>
      <c r="P2357" t="s">
        <v>48</v>
      </c>
      <c r="Q2357" t="s">
        <v>142</v>
      </c>
      <c r="R2357">
        <v>1</v>
      </c>
      <c r="S2357">
        <v>3999</v>
      </c>
      <c r="T2357">
        <v>0</v>
      </c>
      <c r="U2357">
        <v>3999</v>
      </c>
      <c r="V2357">
        <v>2400</v>
      </c>
      <c r="W2357">
        <v>1599</v>
      </c>
      <c r="X2357" t="s">
        <v>75</v>
      </c>
      <c r="Y2357" t="s">
        <v>68</v>
      </c>
      <c r="Z2357" t="s">
        <v>159</v>
      </c>
      <c r="AA2357" t="s">
        <v>169</v>
      </c>
      <c r="AB2357">
        <v>4</v>
      </c>
      <c r="AC2357">
        <v>80</v>
      </c>
      <c r="AD2357">
        <v>228.46</v>
      </c>
      <c r="AE2357">
        <f t="shared" si="72"/>
        <v>1290.54</v>
      </c>
      <c r="AF2357" t="str">
        <f t="shared" si="73"/>
        <v>2025-10</v>
      </c>
      <c r="AG2357">
        <f>SUBTOTAL(103,A2357)</f>
        <v>1</v>
      </c>
    </row>
    <row r="2358" spans="1:33" x14ac:dyDescent="0.3">
      <c r="A2358" t="s">
        <v>4979</v>
      </c>
      <c r="B2358" s="13">
        <v>45956</v>
      </c>
      <c r="C2358">
        <v>2025</v>
      </c>
      <c r="D2358">
        <v>10</v>
      </c>
      <c r="E2358" t="s">
        <v>4779</v>
      </c>
      <c r="F2358" t="s">
        <v>4780</v>
      </c>
      <c r="G2358" t="s">
        <v>1875</v>
      </c>
      <c r="H2358" t="s">
        <v>1876</v>
      </c>
      <c r="I2358" t="s">
        <v>85</v>
      </c>
      <c r="J2358">
        <v>35</v>
      </c>
      <c r="K2358" t="s">
        <v>81</v>
      </c>
      <c r="L2358" t="s">
        <v>2605</v>
      </c>
      <c r="M2358" t="s">
        <v>60</v>
      </c>
      <c r="N2358" t="s">
        <v>2644</v>
      </c>
      <c r="O2358" t="s">
        <v>126</v>
      </c>
      <c r="P2358" t="s">
        <v>50</v>
      </c>
      <c r="Q2358" t="s">
        <v>145</v>
      </c>
      <c r="R2358">
        <v>2</v>
      </c>
      <c r="S2358">
        <v>1799</v>
      </c>
      <c r="T2358">
        <v>0.1</v>
      </c>
      <c r="U2358">
        <v>3238.2</v>
      </c>
      <c r="V2358">
        <v>1900</v>
      </c>
      <c r="W2358">
        <v>1338.2</v>
      </c>
      <c r="X2358" t="s">
        <v>77</v>
      </c>
      <c r="Y2358" t="s">
        <v>68</v>
      </c>
      <c r="Z2358" t="s">
        <v>159</v>
      </c>
      <c r="AA2358" t="s">
        <v>166</v>
      </c>
      <c r="AB2358">
        <v>4.7</v>
      </c>
      <c r="AC2358">
        <v>80</v>
      </c>
      <c r="AD2358">
        <v>274.76</v>
      </c>
      <c r="AE2358">
        <f t="shared" si="72"/>
        <v>983.44</v>
      </c>
      <c r="AF2358" t="str">
        <f t="shared" si="73"/>
        <v>2025-10</v>
      </c>
      <c r="AG2358">
        <f>SUBTOTAL(103,A2358)</f>
        <v>1</v>
      </c>
    </row>
    <row r="2359" spans="1:33" x14ac:dyDescent="0.3">
      <c r="A2359" t="s">
        <v>4980</v>
      </c>
      <c r="B2359" s="13">
        <v>45956</v>
      </c>
      <c r="C2359">
        <v>2025</v>
      </c>
      <c r="D2359">
        <v>10</v>
      </c>
      <c r="E2359" t="s">
        <v>4779</v>
      </c>
      <c r="F2359" t="s">
        <v>4780</v>
      </c>
      <c r="G2359" t="s">
        <v>2017</v>
      </c>
      <c r="H2359" t="s">
        <v>2018</v>
      </c>
      <c r="I2359" t="s">
        <v>86</v>
      </c>
      <c r="J2359">
        <v>23</v>
      </c>
      <c r="K2359" t="s">
        <v>80</v>
      </c>
      <c r="L2359" t="s">
        <v>2637</v>
      </c>
      <c r="M2359" t="s">
        <v>64</v>
      </c>
      <c r="N2359" t="s">
        <v>2657</v>
      </c>
      <c r="O2359" t="s">
        <v>134</v>
      </c>
      <c r="P2359" t="s">
        <v>49</v>
      </c>
      <c r="Q2359" t="s">
        <v>140</v>
      </c>
      <c r="R2359">
        <v>1</v>
      </c>
      <c r="S2359">
        <v>599</v>
      </c>
      <c r="T2359">
        <v>0.15</v>
      </c>
      <c r="U2359">
        <v>509.15</v>
      </c>
      <c r="V2359">
        <v>250</v>
      </c>
      <c r="W2359">
        <v>259.14999999999998</v>
      </c>
      <c r="X2359" t="s">
        <v>73</v>
      </c>
      <c r="Y2359" t="s">
        <v>68</v>
      </c>
      <c r="Z2359" t="s">
        <v>160</v>
      </c>
      <c r="AA2359" t="s">
        <v>170</v>
      </c>
      <c r="AB2359">
        <v>4.0999999999999996</v>
      </c>
      <c r="AC2359">
        <v>50</v>
      </c>
      <c r="AD2359">
        <v>20.25</v>
      </c>
      <c r="AE2359">
        <f t="shared" si="72"/>
        <v>188.89999999999998</v>
      </c>
      <c r="AF2359" t="str">
        <f t="shared" si="73"/>
        <v>2025-10</v>
      </c>
      <c r="AG2359">
        <f>SUBTOTAL(103,A2359)</f>
        <v>1</v>
      </c>
    </row>
    <row r="2360" spans="1:33" x14ac:dyDescent="0.3">
      <c r="A2360" t="s">
        <v>4981</v>
      </c>
      <c r="B2360" s="13">
        <v>45957</v>
      </c>
      <c r="C2360">
        <v>2025</v>
      </c>
      <c r="D2360">
        <v>10</v>
      </c>
      <c r="E2360" t="s">
        <v>4779</v>
      </c>
      <c r="F2360" t="s">
        <v>4780</v>
      </c>
      <c r="G2360" t="s">
        <v>701</v>
      </c>
      <c r="H2360" t="s">
        <v>702</v>
      </c>
      <c r="I2360" t="s">
        <v>86</v>
      </c>
      <c r="J2360">
        <v>45</v>
      </c>
      <c r="K2360" t="s">
        <v>82</v>
      </c>
      <c r="L2360" t="s">
        <v>2679</v>
      </c>
      <c r="M2360" t="s">
        <v>60</v>
      </c>
      <c r="N2360" t="s">
        <v>2587</v>
      </c>
      <c r="O2360" t="s">
        <v>116</v>
      </c>
      <c r="P2360" t="s">
        <v>48</v>
      </c>
      <c r="Q2360" t="s">
        <v>138</v>
      </c>
      <c r="R2360">
        <v>1</v>
      </c>
      <c r="S2360">
        <v>14999</v>
      </c>
      <c r="T2360">
        <v>0.15</v>
      </c>
      <c r="U2360">
        <v>12749.15</v>
      </c>
      <c r="V2360">
        <v>11200</v>
      </c>
      <c r="W2360">
        <v>1549.15</v>
      </c>
      <c r="X2360" t="s">
        <v>73</v>
      </c>
      <c r="Y2360" t="s">
        <v>70</v>
      </c>
      <c r="Z2360" t="s">
        <v>161</v>
      </c>
      <c r="AA2360" t="s">
        <v>169</v>
      </c>
      <c r="AB2360">
        <v>4</v>
      </c>
      <c r="AC2360">
        <v>50</v>
      </c>
      <c r="AD2360">
        <v>559.63</v>
      </c>
      <c r="AE2360">
        <f t="shared" si="72"/>
        <v>939.5200000000001</v>
      </c>
      <c r="AF2360" t="str">
        <f t="shared" si="73"/>
        <v>2025-10</v>
      </c>
      <c r="AG2360">
        <f>SUBTOTAL(103,A2360)</f>
        <v>1</v>
      </c>
    </row>
    <row r="2361" spans="1:33" x14ac:dyDescent="0.3">
      <c r="A2361" t="s">
        <v>4982</v>
      </c>
      <c r="B2361" s="13">
        <v>45957</v>
      </c>
      <c r="C2361">
        <v>2025</v>
      </c>
      <c r="D2361">
        <v>10</v>
      </c>
      <c r="E2361" t="s">
        <v>4779</v>
      </c>
      <c r="F2361" t="s">
        <v>4780</v>
      </c>
      <c r="G2361" t="s">
        <v>1847</v>
      </c>
      <c r="H2361" t="s">
        <v>1848</v>
      </c>
      <c r="I2361" t="s">
        <v>85</v>
      </c>
      <c r="J2361">
        <v>49</v>
      </c>
      <c r="K2361" t="s">
        <v>83</v>
      </c>
      <c r="L2361" t="s">
        <v>94</v>
      </c>
      <c r="M2361" t="s">
        <v>57</v>
      </c>
      <c r="N2361" t="s">
        <v>2574</v>
      </c>
      <c r="O2361" t="s">
        <v>130</v>
      </c>
      <c r="P2361" t="s">
        <v>50</v>
      </c>
      <c r="Q2361" t="s">
        <v>53</v>
      </c>
      <c r="R2361">
        <v>3</v>
      </c>
      <c r="S2361">
        <v>1199</v>
      </c>
      <c r="T2361">
        <v>0.1</v>
      </c>
      <c r="U2361">
        <v>3237.3</v>
      </c>
      <c r="V2361">
        <v>1650</v>
      </c>
      <c r="W2361">
        <v>1587.3</v>
      </c>
      <c r="X2361" t="s">
        <v>73</v>
      </c>
      <c r="Y2361" t="s">
        <v>68</v>
      </c>
      <c r="Z2361" t="s">
        <v>159</v>
      </c>
      <c r="AA2361" t="s">
        <v>166</v>
      </c>
      <c r="AB2361">
        <v>5</v>
      </c>
      <c r="AC2361">
        <v>80</v>
      </c>
      <c r="AD2361">
        <v>276.49</v>
      </c>
      <c r="AE2361">
        <f t="shared" si="72"/>
        <v>1230.81</v>
      </c>
      <c r="AF2361" t="str">
        <f t="shared" si="73"/>
        <v>2025-10</v>
      </c>
      <c r="AG2361">
        <f>SUBTOTAL(103,A2361)</f>
        <v>1</v>
      </c>
    </row>
    <row r="2362" spans="1:33" x14ac:dyDescent="0.3">
      <c r="A2362" t="s">
        <v>4983</v>
      </c>
      <c r="B2362" s="13">
        <v>45957</v>
      </c>
      <c r="C2362">
        <v>2025</v>
      </c>
      <c r="D2362">
        <v>10</v>
      </c>
      <c r="E2362" t="s">
        <v>4779</v>
      </c>
      <c r="F2362" t="s">
        <v>4780</v>
      </c>
      <c r="G2362" t="s">
        <v>1643</v>
      </c>
      <c r="H2362" t="s">
        <v>1644</v>
      </c>
      <c r="I2362" t="s">
        <v>85</v>
      </c>
      <c r="J2362">
        <v>59</v>
      </c>
      <c r="K2362" t="s">
        <v>83</v>
      </c>
      <c r="L2362" t="s">
        <v>2687</v>
      </c>
      <c r="M2362" t="s">
        <v>57</v>
      </c>
      <c r="N2362" t="s">
        <v>2596</v>
      </c>
      <c r="O2362" t="s">
        <v>124</v>
      </c>
      <c r="P2362" t="s">
        <v>51</v>
      </c>
      <c r="Q2362" t="s">
        <v>147</v>
      </c>
      <c r="R2362">
        <v>1</v>
      </c>
      <c r="S2362">
        <v>2299</v>
      </c>
      <c r="T2362">
        <v>0.05</v>
      </c>
      <c r="U2362">
        <v>2184.0500000000002</v>
      </c>
      <c r="V2362">
        <v>1200</v>
      </c>
      <c r="W2362">
        <v>984.05</v>
      </c>
      <c r="X2362" t="s">
        <v>73</v>
      </c>
      <c r="Y2362" t="s">
        <v>68</v>
      </c>
      <c r="Z2362" t="s">
        <v>159</v>
      </c>
      <c r="AA2362" t="s">
        <v>166</v>
      </c>
      <c r="AB2362">
        <v>4</v>
      </c>
      <c r="AC2362">
        <v>80</v>
      </c>
      <c r="AD2362">
        <v>212.86</v>
      </c>
      <c r="AE2362">
        <f t="shared" si="72"/>
        <v>691.18999999999994</v>
      </c>
      <c r="AF2362" t="str">
        <f t="shared" si="73"/>
        <v>2025-10</v>
      </c>
      <c r="AG2362">
        <f>SUBTOTAL(103,A2362)</f>
        <v>1</v>
      </c>
    </row>
    <row r="2363" spans="1:33" x14ac:dyDescent="0.3">
      <c r="A2363" t="s">
        <v>4984</v>
      </c>
      <c r="B2363" s="13">
        <v>45957</v>
      </c>
      <c r="C2363">
        <v>2025</v>
      </c>
      <c r="D2363">
        <v>10</v>
      </c>
      <c r="E2363" t="s">
        <v>4779</v>
      </c>
      <c r="F2363" t="s">
        <v>4780</v>
      </c>
      <c r="G2363" t="s">
        <v>371</v>
      </c>
      <c r="H2363" t="s">
        <v>372</v>
      </c>
      <c r="I2363" t="s">
        <v>86</v>
      </c>
      <c r="J2363">
        <v>28</v>
      </c>
      <c r="K2363" t="s">
        <v>81</v>
      </c>
      <c r="L2363" t="s">
        <v>92</v>
      </c>
      <c r="M2363" t="s">
        <v>59</v>
      </c>
      <c r="N2363" t="s">
        <v>2587</v>
      </c>
      <c r="O2363" t="s">
        <v>116</v>
      </c>
      <c r="P2363" t="s">
        <v>48</v>
      </c>
      <c r="Q2363" t="s">
        <v>138</v>
      </c>
      <c r="R2363">
        <v>4</v>
      </c>
      <c r="S2363">
        <v>14999</v>
      </c>
      <c r="T2363">
        <v>0</v>
      </c>
      <c r="U2363">
        <v>59996</v>
      </c>
      <c r="V2363">
        <v>44800</v>
      </c>
      <c r="W2363">
        <v>15196</v>
      </c>
      <c r="X2363" t="s">
        <v>73</v>
      </c>
      <c r="Y2363" t="s">
        <v>68</v>
      </c>
      <c r="Z2363" t="s">
        <v>161</v>
      </c>
      <c r="AA2363" t="s">
        <v>171</v>
      </c>
      <c r="AB2363">
        <v>4.3</v>
      </c>
      <c r="AC2363">
        <v>100</v>
      </c>
      <c r="AD2363">
        <v>3112.59</v>
      </c>
      <c r="AE2363">
        <f t="shared" si="72"/>
        <v>11983.41</v>
      </c>
      <c r="AF2363" t="str">
        <f t="shared" si="73"/>
        <v>2025-10</v>
      </c>
      <c r="AG2363">
        <f>SUBTOTAL(103,A2363)</f>
        <v>1</v>
      </c>
    </row>
    <row r="2364" spans="1:33" x14ac:dyDescent="0.3">
      <c r="A2364" t="s">
        <v>4985</v>
      </c>
      <c r="B2364" s="13">
        <v>45957</v>
      </c>
      <c r="C2364">
        <v>2025</v>
      </c>
      <c r="D2364">
        <v>10</v>
      </c>
      <c r="E2364" t="s">
        <v>4779</v>
      </c>
      <c r="F2364" t="s">
        <v>4780</v>
      </c>
      <c r="G2364" t="s">
        <v>333</v>
      </c>
      <c r="H2364" t="s">
        <v>334</v>
      </c>
      <c r="I2364" t="s">
        <v>85</v>
      </c>
      <c r="J2364">
        <v>52</v>
      </c>
      <c r="K2364" t="s">
        <v>83</v>
      </c>
      <c r="L2364" t="s">
        <v>94</v>
      </c>
      <c r="M2364" t="s">
        <v>57</v>
      </c>
      <c r="N2364" t="s">
        <v>2603</v>
      </c>
      <c r="O2364" t="s">
        <v>122</v>
      </c>
      <c r="P2364" t="s">
        <v>48</v>
      </c>
      <c r="Q2364" t="s">
        <v>141</v>
      </c>
      <c r="R2364">
        <v>1</v>
      </c>
      <c r="S2364">
        <v>2499</v>
      </c>
      <c r="T2364">
        <v>0</v>
      </c>
      <c r="U2364">
        <v>2499</v>
      </c>
      <c r="V2364">
        <v>1450</v>
      </c>
      <c r="W2364">
        <v>1049</v>
      </c>
      <c r="X2364" t="s">
        <v>77</v>
      </c>
      <c r="Y2364" t="s">
        <v>68</v>
      </c>
      <c r="Z2364" t="s">
        <v>161</v>
      </c>
      <c r="AA2364" t="s">
        <v>167</v>
      </c>
      <c r="AB2364">
        <v>3.1</v>
      </c>
      <c r="AC2364">
        <v>60</v>
      </c>
      <c r="AD2364">
        <v>55.41</v>
      </c>
      <c r="AE2364">
        <f t="shared" si="72"/>
        <v>933.59</v>
      </c>
      <c r="AF2364" t="str">
        <f t="shared" si="73"/>
        <v>2025-10</v>
      </c>
      <c r="AG2364">
        <f>SUBTOTAL(103,A2364)</f>
        <v>1</v>
      </c>
    </row>
    <row r="2365" spans="1:33" x14ac:dyDescent="0.3">
      <c r="A2365" t="s">
        <v>4986</v>
      </c>
      <c r="B2365" s="13">
        <v>45957</v>
      </c>
      <c r="C2365">
        <v>2025</v>
      </c>
      <c r="D2365">
        <v>10</v>
      </c>
      <c r="E2365" t="s">
        <v>4779</v>
      </c>
      <c r="F2365" t="s">
        <v>4780</v>
      </c>
      <c r="G2365" t="s">
        <v>1423</v>
      </c>
      <c r="H2365" t="s">
        <v>1424</v>
      </c>
      <c r="I2365" t="s">
        <v>86</v>
      </c>
      <c r="J2365">
        <v>23</v>
      </c>
      <c r="K2365" t="s">
        <v>80</v>
      </c>
      <c r="L2365" t="s">
        <v>2612</v>
      </c>
      <c r="M2365" t="s">
        <v>64</v>
      </c>
      <c r="N2365" t="s">
        <v>2580</v>
      </c>
      <c r="O2365" t="s">
        <v>118</v>
      </c>
      <c r="P2365" t="s">
        <v>48</v>
      </c>
      <c r="Q2365" t="s">
        <v>142</v>
      </c>
      <c r="R2365">
        <v>3</v>
      </c>
      <c r="S2365">
        <v>3999</v>
      </c>
      <c r="T2365">
        <v>0.15</v>
      </c>
      <c r="U2365">
        <v>10197.450000000001</v>
      </c>
      <c r="V2365">
        <v>7200</v>
      </c>
      <c r="W2365">
        <v>2997.45</v>
      </c>
      <c r="X2365" t="s">
        <v>77</v>
      </c>
      <c r="Y2365" t="s">
        <v>68</v>
      </c>
      <c r="Z2365" t="s">
        <v>160</v>
      </c>
      <c r="AA2365" t="s">
        <v>166</v>
      </c>
      <c r="AB2365">
        <v>3.7</v>
      </c>
      <c r="AC2365">
        <v>100</v>
      </c>
      <c r="AD2365">
        <v>536.17999999999995</v>
      </c>
      <c r="AE2365">
        <f t="shared" si="72"/>
        <v>2361.27</v>
      </c>
      <c r="AF2365" t="str">
        <f t="shared" si="73"/>
        <v>2025-10</v>
      </c>
      <c r="AG2365">
        <f>SUBTOTAL(103,A2365)</f>
        <v>1</v>
      </c>
    </row>
    <row r="2366" spans="1:33" x14ac:dyDescent="0.3">
      <c r="A2366" t="s">
        <v>4987</v>
      </c>
      <c r="B2366" s="13">
        <v>45958</v>
      </c>
      <c r="C2366">
        <v>2025</v>
      </c>
      <c r="D2366">
        <v>10</v>
      </c>
      <c r="E2366" t="s">
        <v>4779</v>
      </c>
      <c r="F2366" t="s">
        <v>4780</v>
      </c>
      <c r="G2366" t="s">
        <v>1015</v>
      </c>
      <c r="H2366" t="s">
        <v>1016</v>
      </c>
      <c r="I2366" t="s">
        <v>85</v>
      </c>
      <c r="J2366">
        <v>37</v>
      </c>
      <c r="K2366" t="s">
        <v>82</v>
      </c>
      <c r="L2366" t="s">
        <v>94</v>
      </c>
      <c r="M2366" t="s">
        <v>57</v>
      </c>
      <c r="N2366" t="s">
        <v>2587</v>
      </c>
      <c r="O2366" t="s">
        <v>116</v>
      </c>
      <c r="P2366" t="s">
        <v>48</v>
      </c>
      <c r="Q2366" t="s">
        <v>138</v>
      </c>
      <c r="R2366">
        <v>1</v>
      </c>
      <c r="S2366">
        <v>14999</v>
      </c>
      <c r="T2366">
        <v>0.1</v>
      </c>
      <c r="U2366">
        <v>13499.1</v>
      </c>
      <c r="V2366">
        <v>11200</v>
      </c>
      <c r="W2366">
        <v>2299.1</v>
      </c>
      <c r="X2366" t="s">
        <v>73</v>
      </c>
      <c r="Y2366" t="s">
        <v>68</v>
      </c>
      <c r="Z2366" t="s">
        <v>159</v>
      </c>
      <c r="AA2366" t="s">
        <v>171</v>
      </c>
      <c r="AB2366">
        <v>3.7</v>
      </c>
      <c r="AC2366">
        <v>60</v>
      </c>
      <c r="AD2366">
        <v>771.7</v>
      </c>
      <c r="AE2366">
        <f t="shared" si="72"/>
        <v>1467.3999999999999</v>
      </c>
      <c r="AF2366" t="str">
        <f t="shared" si="73"/>
        <v>2025-10</v>
      </c>
      <c r="AG2366">
        <f>SUBTOTAL(103,A2366)</f>
        <v>1</v>
      </c>
    </row>
    <row r="2367" spans="1:33" x14ac:dyDescent="0.3">
      <c r="A2367" t="s">
        <v>4988</v>
      </c>
      <c r="B2367" s="13">
        <v>45958</v>
      </c>
      <c r="C2367">
        <v>2025</v>
      </c>
      <c r="D2367">
        <v>10</v>
      </c>
      <c r="E2367" t="s">
        <v>4779</v>
      </c>
      <c r="F2367" t="s">
        <v>4780</v>
      </c>
      <c r="G2367" t="s">
        <v>1107</v>
      </c>
      <c r="H2367" t="s">
        <v>1108</v>
      </c>
      <c r="I2367" t="s">
        <v>85</v>
      </c>
      <c r="J2367">
        <v>54</v>
      </c>
      <c r="K2367" t="s">
        <v>83</v>
      </c>
      <c r="L2367" t="s">
        <v>2661</v>
      </c>
      <c r="M2367" t="s">
        <v>58</v>
      </c>
      <c r="N2367" t="s">
        <v>2584</v>
      </c>
      <c r="O2367" t="s">
        <v>121</v>
      </c>
      <c r="P2367" t="s">
        <v>50</v>
      </c>
      <c r="Q2367" t="s">
        <v>144</v>
      </c>
      <c r="R2367">
        <v>1</v>
      </c>
      <c r="S2367">
        <v>2999</v>
      </c>
      <c r="T2367">
        <v>0</v>
      </c>
      <c r="U2367">
        <v>2999</v>
      </c>
      <c r="V2367">
        <v>1700</v>
      </c>
      <c r="W2367">
        <v>1299</v>
      </c>
      <c r="X2367" t="s">
        <v>77</v>
      </c>
      <c r="Y2367" t="s">
        <v>69</v>
      </c>
      <c r="Z2367" t="s">
        <v>163</v>
      </c>
      <c r="AA2367" t="s">
        <v>167</v>
      </c>
      <c r="AB2367">
        <v>3.8</v>
      </c>
      <c r="AC2367">
        <v>50</v>
      </c>
      <c r="AD2367">
        <v>141.13999999999999</v>
      </c>
      <c r="AE2367">
        <f t="shared" si="72"/>
        <v>1107.8600000000001</v>
      </c>
      <c r="AF2367" t="str">
        <f t="shared" si="73"/>
        <v>2025-10</v>
      </c>
      <c r="AG2367">
        <f>SUBTOTAL(103,A2367)</f>
        <v>1</v>
      </c>
    </row>
    <row r="2368" spans="1:33" x14ac:dyDescent="0.3">
      <c r="A2368" t="s">
        <v>4989</v>
      </c>
      <c r="B2368" s="13">
        <v>45959</v>
      </c>
      <c r="C2368">
        <v>2025</v>
      </c>
      <c r="D2368">
        <v>10</v>
      </c>
      <c r="E2368" t="s">
        <v>4779</v>
      </c>
      <c r="F2368" t="s">
        <v>4780</v>
      </c>
      <c r="G2368" t="s">
        <v>295</v>
      </c>
      <c r="H2368" t="s">
        <v>296</v>
      </c>
      <c r="I2368" t="s">
        <v>85</v>
      </c>
      <c r="J2368">
        <v>34</v>
      </c>
      <c r="K2368" t="s">
        <v>81</v>
      </c>
      <c r="L2368" t="s">
        <v>2674</v>
      </c>
      <c r="M2368" t="s">
        <v>58</v>
      </c>
      <c r="N2368" t="s">
        <v>2594</v>
      </c>
      <c r="O2368" t="s">
        <v>131</v>
      </c>
      <c r="P2368" t="s">
        <v>53</v>
      </c>
      <c r="Q2368" t="s">
        <v>143</v>
      </c>
      <c r="R2368">
        <v>1</v>
      </c>
      <c r="S2368">
        <v>999</v>
      </c>
      <c r="T2368">
        <v>0.1</v>
      </c>
      <c r="U2368">
        <v>899.1</v>
      </c>
      <c r="V2368">
        <v>520</v>
      </c>
      <c r="W2368">
        <v>379.1</v>
      </c>
      <c r="X2368" t="s">
        <v>76</v>
      </c>
      <c r="Y2368" t="s">
        <v>68</v>
      </c>
      <c r="Z2368" t="s">
        <v>163</v>
      </c>
      <c r="AA2368" t="s">
        <v>166</v>
      </c>
      <c r="AB2368">
        <v>4.2</v>
      </c>
      <c r="AC2368">
        <v>50</v>
      </c>
      <c r="AD2368">
        <v>62.22</v>
      </c>
      <c r="AE2368">
        <f t="shared" si="72"/>
        <v>266.88</v>
      </c>
      <c r="AF2368" t="str">
        <f t="shared" si="73"/>
        <v>2025-10</v>
      </c>
      <c r="AG2368">
        <f>SUBTOTAL(103,A2368)</f>
        <v>1</v>
      </c>
    </row>
    <row r="2369" spans="1:33" x14ac:dyDescent="0.3">
      <c r="A2369" t="s">
        <v>4990</v>
      </c>
      <c r="B2369" s="13">
        <v>45959</v>
      </c>
      <c r="C2369">
        <v>2025</v>
      </c>
      <c r="D2369">
        <v>10</v>
      </c>
      <c r="E2369" t="s">
        <v>4779</v>
      </c>
      <c r="F2369" t="s">
        <v>4780</v>
      </c>
      <c r="G2369" t="s">
        <v>723</v>
      </c>
      <c r="H2369" t="s">
        <v>724</v>
      </c>
      <c r="I2369" t="s">
        <v>85</v>
      </c>
      <c r="J2369">
        <v>28</v>
      </c>
      <c r="K2369" t="s">
        <v>81</v>
      </c>
      <c r="L2369" t="s">
        <v>2610</v>
      </c>
      <c r="M2369" t="s">
        <v>64</v>
      </c>
      <c r="N2369" t="s">
        <v>2630</v>
      </c>
      <c r="O2369" t="s">
        <v>123</v>
      </c>
      <c r="P2369" t="s">
        <v>52</v>
      </c>
      <c r="Q2369" t="s">
        <v>146</v>
      </c>
      <c r="R2369">
        <v>2</v>
      </c>
      <c r="S2369">
        <v>2499</v>
      </c>
      <c r="T2369">
        <v>0</v>
      </c>
      <c r="U2369">
        <v>4998</v>
      </c>
      <c r="V2369">
        <v>2800</v>
      </c>
      <c r="W2369">
        <v>2198</v>
      </c>
      <c r="X2369" t="s">
        <v>74</v>
      </c>
      <c r="Y2369" t="s">
        <v>68</v>
      </c>
      <c r="Z2369" t="s">
        <v>161</v>
      </c>
      <c r="AA2369" t="s">
        <v>169</v>
      </c>
      <c r="AB2369">
        <v>3.8</v>
      </c>
      <c r="AC2369">
        <v>50</v>
      </c>
      <c r="AD2369">
        <v>301.91000000000003</v>
      </c>
      <c r="AE2369">
        <f t="shared" si="72"/>
        <v>1846.09</v>
      </c>
      <c r="AF2369" t="str">
        <f t="shared" si="73"/>
        <v>2025-10</v>
      </c>
      <c r="AG2369">
        <f>SUBTOTAL(103,A2369)</f>
        <v>1</v>
      </c>
    </row>
    <row r="2370" spans="1:33" x14ac:dyDescent="0.3">
      <c r="A2370" t="s">
        <v>4991</v>
      </c>
      <c r="B2370" s="13">
        <v>45959</v>
      </c>
      <c r="C2370">
        <v>2025</v>
      </c>
      <c r="D2370">
        <v>10</v>
      </c>
      <c r="E2370" t="s">
        <v>4779</v>
      </c>
      <c r="F2370" t="s">
        <v>4780</v>
      </c>
      <c r="G2370" t="s">
        <v>591</v>
      </c>
      <c r="H2370" t="s">
        <v>592</v>
      </c>
      <c r="I2370" t="s">
        <v>86</v>
      </c>
      <c r="J2370">
        <v>43</v>
      </c>
      <c r="K2370" t="s">
        <v>82</v>
      </c>
      <c r="L2370" t="s">
        <v>2623</v>
      </c>
      <c r="M2370" t="s">
        <v>61</v>
      </c>
      <c r="N2370" t="s">
        <v>2584</v>
      </c>
      <c r="O2370" t="s">
        <v>121</v>
      </c>
      <c r="P2370" t="s">
        <v>50</v>
      </c>
      <c r="Q2370" t="s">
        <v>144</v>
      </c>
      <c r="R2370">
        <v>1</v>
      </c>
      <c r="S2370">
        <v>2999</v>
      </c>
      <c r="T2370">
        <v>0.05</v>
      </c>
      <c r="U2370">
        <v>2849.05</v>
      </c>
      <c r="V2370">
        <v>1700</v>
      </c>
      <c r="W2370">
        <v>1149.05</v>
      </c>
      <c r="X2370" t="s">
        <v>73</v>
      </c>
      <c r="Y2370" t="s">
        <v>68</v>
      </c>
      <c r="Z2370" t="s">
        <v>159</v>
      </c>
      <c r="AA2370" t="s">
        <v>170</v>
      </c>
      <c r="AB2370">
        <v>5</v>
      </c>
      <c r="AC2370">
        <v>60</v>
      </c>
      <c r="AD2370">
        <v>88.68</v>
      </c>
      <c r="AE2370">
        <f t="shared" ref="AE2370:AE2433" si="74">W2370-AC2370-AD2370</f>
        <v>1000.3699999999999</v>
      </c>
      <c r="AF2370" t="str">
        <f t="shared" ref="AF2370:AF2433" si="75">C2370&amp;"-"&amp;TEXT(D2370,"00")</f>
        <v>2025-10</v>
      </c>
      <c r="AG2370">
        <f>SUBTOTAL(103,A2370)</f>
        <v>1</v>
      </c>
    </row>
    <row r="2371" spans="1:33" x14ac:dyDescent="0.3">
      <c r="A2371" t="s">
        <v>4992</v>
      </c>
      <c r="B2371" s="13">
        <v>45959</v>
      </c>
      <c r="C2371">
        <v>2025</v>
      </c>
      <c r="D2371">
        <v>10</v>
      </c>
      <c r="E2371" t="s">
        <v>4779</v>
      </c>
      <c r="F2371" t="s">
        <v>4780</v>
      </c>
      <c r="G2371" t="s">
        <v>461</v>
      </c>
      <c r="H2371" t="s">
        <v>462</v>
      </c>
      <c r="I2371" t="s">
        <v>85</v>
      </c>
      <c r="J2371">
        <v>56</v>
      </c>
      <c r="K2371" t="s">
        <v>83</v>
      </c>
      <c r="L2371" t="s">
        <v>99</v>
      </c>
      <c r="M2371" t="s">
        <v>58</v>
      </c>
      <c r="N2371" t="s">
        <v>2582</v>
      </c>
      <c r="O2371" t="s">
        <v>119</v>
      </c>
      <c r="P2371" t="s">
        <v>49</v>
      </c>
      <c r="Q2371" t="s">
        <v>140</v>
      </c>
      <c r="R2371">
        <v>1</v>
      </c>
      <c r="S2371">
        <v>3499</v>
      </c>
      <c r="T2371">
        <v>0.05</v>
      </c>
      <c r="U2371">
        <v>3324.05</v>
      </c>
      <c r="V2371">
        <v>2100</v>
      </c>
      <c r="W2371">
        <v>1224.05</v>
      </c>
      <c r="X2371" t="s">
        <v>77</v>
      </c>
      <c r="Y2371" t="s">
        <v>69</v>
      </c>
      <c r="Z2371" t="s">
        <v>158</v>
      </c>
      <c r="AA2371" t="s">
        <v>171</v>
      </c>
      <c r="AB2371">
        <v>4.9000000000000004</v>
      </c>
      <c r="AC2371">
        <v>60</v>
      </c>
      <c r="AD2371">
        <v>315.99</v>
      </c>
      <c r="AE2371">
        <f t="shared" si="74"/>
        <v>848.06</v>
      </c>
      <c r="AF2371" t="str">
        <f t="shared" si="75"/>
        <v>2025-10</v>
      </c>
      <c r="AG2371">
        <f>SUBTOTAL(103,A2371)</f>
        <v>1</v>
      </c>
    </row>
    <row r="2372" spans="1:33" x14ac:dyDescent="0.3">
      <c r="A2372" t="s">
        <v>4993</v>
      </c>
      <c r="B2372" s="13">
        <v>45959</v>
      </c>
      <c r="C2372">
        <v>2025</v>
      </c>
      <c r="D2372">
        <v>10</v>
      </c>
      <c r="E2372" t="s">
        <v>4779</v>
      </c>
      <c r="F2372" t="s">
        <v>4780</v>
      </c>
      <c r="G2372" t="s">
        <v>463</v>
      </c>
      <c r="H2372" t="s">
        <v>464</v>
      </c>
      <c r="I2372" t="s">
        <v>86</v>
      </c>
      <c r="J2372">
        <v>40</v>
      </c>
      <c r="K2372" t="s">
        <v>82</v>
      </c>
      <c r="L2372" t="s">
        <v>100</v>
      </c>
      <c r="M2372" t="s">
        <v>56</v>
      </c>
      <c r="N2372" t="s">
        <v>2626</v>
      </c>
      <c r="O2372" t="s">
        <v>125</v>
      </c>
      <c r="P2372" t="s">
        <v>48</v>
      </c>
      <c r="Q2372" t="s">
        <v>141</v>
      </c>
      <c r="R2372">
        <v>1</v>
      </c>
      <c r="S2372">
        <v>1999</v>
      </c>
      <c r="T2372">
        <v>0.2</v>
      </c>
      <c r="U2372">
        <v>1599.2</v>
      </c>
      <c r="V2372">
        <v>1150</v>
      </c>
      <c r="W2372">
        <v>449.2</v>
      </c>
      <c r="X2372" t="s">
        <v>73</v>
      </c>
      <c r="Y2372" t="s">
        <v>68</v>
      </c>
      <c r="Z2372" t="s">
        <v>160</v>
      </c>
      <c r="AA2372" t="s">
        <v>170</v>
      </c>
      <c r="AB2372">
        <v>4.4000000000000004</v>
      </c>
      <c r="AC2372">
        <v>60</v>
      </c>
      <c r="AD2372">
        <v>92.61</v>
      </c>
      <c r="AE2372">
        <f t="shared" si="74"/>
        <v>296.58999999999997</v>
      </c>
      <c r="AF2372" t="str">
        <f t="shared" si="75"/>
        <v>2025-10</v>
      </c>
      <c r="AG2372">
        <f>SUBTOTAL(103,A2372)</f>
        <v>1</v>
      </c>
    </row>
    <row r="2373" spans="1:33" x14ac:dyDescent="0.3">
      <c r="A2373" t="s">
        <v>4994</v>
      </c>
      <c r="B2373" s="13">
        <v>45959</v>
      </c>
      <c r="C2373">
        <v>2025</v>
      </c>
      <c r="D2373">
        <v>10</v>
      </c>
      <c r="E2373" t="s">
        <v>4779</v>
      </c>
      <c r="F2373" t="s">
        <v>4780</v>
      </c>
      <c r="G2373" t="s">
        <v>575</v>
      </c>
      <c r="H2373" t="s">
        <v>576</v>
      </c>
      <c r="I2373" t="s">
        <v>86</v>
      </c>
      <c r="J2373">
        <v>40</v>
      </c>
      <c r="K2373" t="s">
        <v>82</v>
      </c>
      <c r="L2373" t="s">
        <v>100</v>
      </c>
      <c r="M2373" t="s">
        <v>56</v>
      </c>
      <c r="N2373" t="s">
        <v>2596</v>
      </c>
      <c r="O2373" t="s">
        <v>124</v>
      </c>
      <c r="P2373" t="s">
        <v>51</v>
      </c>
      <c r="Q2373" t="s">
        <v>147</v>
      </c>
      <c r="R2373">
        <v>2</v>
      </c>
      <c r="S2373">
        <v>2299</v>
      </c>
      <c r="T2373">
        <v>0.15</v>
      </c>
      <c r="U2373">
        <v>3908.3</v>
      </c>
      <c r="V2373">
        <v>2400</v>
      </c>
      <c r="W2373">
        <v>1508.3</v>
      </c>
      <c r="X2373" t="s">
        <v>75</v>
      </c>
      <c r="Y2373" t="s">
        <v>68</v>
      </c>
      <c r="Z2373" t="s">
        <v>161</v>
      </c>
      <c r="AA2373" t="s">
        <v>167</v>
      </c>
      <c r="AB2373">
        <v>4.2</v>
      </c>
      <c r="AC2373">
        <v>50</v>
      </c>
      <c r="AD2373">
        <v>344.67</v>
      </c>
      <c r="AE2373">
        <f t="shared" si="74"/>
        <v>1113.6299999999999</v>
      </c>
      <c r="AF2373" t="str">
        <f t="shared" si="75"/>
        <v>2025-10</v>
      </c>
      <c r="AG2373">
        <f>SUBTOTAL(103,A2373)</f>
        <v>1</v>
      </c>
    </row>
    <row r="2374" spans="1:33" x14ac:dyDescent="0.3">
      <c r="A2374" t="s">
        <v>4995</v>
      </c>
      <c r="B2374" s="13">
        <v>45959</v>
      </c>
      <c r="C2374">
        <v>2025</v>
      </c>
      <c r="D2374">
        <v>10</v>
      </c>
      <c r="E2374" t="s">
        <v>4779</v>
      </c>
      <c r="F2374" t="s">
        <v>4780</v>
      </c>
      <c r="G2374" t="s">
        <v>425</v>
      </c>
      <c r="H2374" t="s">
        <v>426</v>
      </c>
      <c r="I2374" t="s">
        <v>86</v>
      </c>
      <c r="J2374">
        <v>20</v>
      </c>
      <c r="K2374" t="s">
        <v>80</v>
      </c>
      <c r="L2374" t="s">
        <v>96</v>
      </c>
      <c r="M2374" t="s">
        <v>55</v>
      </c>
      <c r="N2374" t="s">
        <v>2603</v>
      </c>
      <c r="O2374" t="s">
        <v>122</v>
      </c>
      <c r="P2374" t="s">
        <v>48</v>
      </c>
      <c r="Q2374" t="s">
        <v>141</v>
      </c>
      <c r="R2374">
        <v>5</v>
      </c>
      <c r="S2374">
        <v>2499</v>
      </c>
      <c r="T2374">
        <v>0.2</v>
      </c>
      <c r="U2374">
        <v>9996</v>
      </c>
      <c r="V2374">
        <v>7250</v>
      </c>
      <c r="W2374">
        <v>2746</v>
      </c>
      <c r="X2374" t="s">
        <v>76</v>
      </c>
      <c r="Y2374" t="s">
        <v>68</v>
      </c>
      <c r="Z2374" t="s">
        <v>161</v>
      </c>
      <c r="AA2374" t="s">
        <v>167</v>
      </c>
      <c r="AB2374">
        <v>4.8</v>
      </c>
      <c r="AC2374">
        <v>60</v>
      </c>
      <c r="AD2374">
        <v>506.38</v>
      </c>
      <c r="AE2374">
        <f t="shared" si="74"/>
        <v>2179.62</v>
      </c>
      <c r="AF2374" t="str">
        <f t="shared" si="75"/>
        <v>2025-10</v>
      </c>
      <c r="AG2374">
        <f>SUBTOTAL(103,A2374)</f>
        <v>1</v>
      </c>
    </row>
    <row r="2375" spans="1:33" x14ac:dyDescent="0.3">
      <c r="A2375" t="s">
        <v>4996</v>
      </c>
      <c r="B2375" s="13">
        <v>45959</v>
      </c>
      <c r="C2375">
        <v>2025</v>
      </c>
      <c r="D2375">
        <v>10</v>
      </c>
      <c r="E2375" t="s">
        <v>4779</v>
      </c>
      <c r="F2375" t="s">
        <v>4780</v>
      </c>
      <c r="G2375" t="s">
        <v>1671</v>
      </c>
      <c r="H2375" t="s">
        <v>1672</v>
      </c>
      <c r="I2375" t="s">
        <v>85</v>
      </c>
      <c r="J2375">
        <v>47</v>
      </c>
      <c r="K2375" t="s">
        <v>83</v>
      </c>
      <c r="L2375" t="s">
        <v>94</v>
      </c>
      <c r="M2375" t="s">
        <v>57</v>
      </c>
      <c r="N2375" t="s">
        <v>2590</v>
      </c>
      <c r="O2375" t="s">
        <v>127</v>
      </c>
      <c r="P2375" t="s">
        <v>51</v>
      </c>
      <c r="Q2375" t="s">
        <v>148</v>
      </c>
      <c r="R2375">
        <v>3</v>
      </c>
      <c r="S2375">
        <v>1599</v>
      </c>
      <c r="T2375">
        <v>0.1</v>
      </c>
      <c r="U2375">
        <v>4317.3</v>
      </c>
      <c r="V2375">
        <v>2400</v>
      </c>
      <c r="W2375">
        <v>1917.3</v>
      </c>
      <c r="X2375" t="s">
        <v>73</v>
      </c>
      <c r="Y2375" t="s">
        <v>68</v>
      </c>
      <c r="Z2375" t="s">
        <v>163</v>
      </c>
      <c r="AA2375" t="s">
        <v>170</v>
      </c>
      <c r="AB2375">
        <v>4.0999999999999996</v>
      </c>
      <c r="AC2375">
        <v>80</v>
      </c>
      <c r="AD2375">
        <v>428.23</v>
      </c>
      <c r="AE2375">
        <f t="shared" si="74"/>
        <v>1409.07</v>
      </c>
      <c r="AF2375" t="str">
        <f t="shared" si="75"/>
        <v>2025-10</v>
      </c>
      <c r="AG2375">
        <f>SUBTOTAL(103,A2375)</f>
        <v>1</v>
      </c>
    </row>
    <row r="2376" spans="1:33" x14ac:dyDescent="0.3">
      <c r="A2376" t="s">
        <v>4997</v>
      </c>
      <c r="B2376" s="13">
        <v>45960</v>
      </c>
      <c r="C2376">
        <v>2025</v>
      </c>
      <c r="D2376">
        <v>10</v>
      </c>
      <c r="E2376" t="s">
        <v>4779</v>
      </c>
      <c r="F2376" t="s">
        <v>4780</v>
      </c>
      <c r="G2376" t="s">
        <v>775</v>
      </c>
      <c r="H2376" t="s">
        <v>776</v>
      </c>
      <c r="I2376" t="s">
        <v>86</v>
      </c>
      <c r="J2376">
        <v>29</v>
      </c>
      <c r="K2376" t="s">
        <v>81</v>
      </c>
      <c r="L2376" t="s">
        <v>97</v>
      </c>
      <c r="M2376" t="s">
        <v>57</v>
      </c>
      <c r="N2376" t="s">
        <v>2657</v>
      </c>
      <c r="O2376" t="s">
        <v>134</v>
      </c>
      <c r="P2376" t="s">
        <v>49</v>
      </c>
      <c r="Q2376" t="s">
        <v>140</v>
      </c>
      <c r="R2376">
        <v>2</v>
      </c>
      <c r="S2376">
        <v>599</v>
      </c>
      <c r="T2376">
        <v>0.15</v>
      </c>
      <c r="U2376">
        <v>1018.3</v>
      </c>
      <c r="V2376">
        <v>500</v>
      </c>
      <c r="W2376">
        <v>518.29999999999995</v>
      </c>
      <c r="X2376" t="s">
        <v>74</v>
      </c>
      <c r="Y2376" t="s">
        <v>68</v>
      </c>
      <c r="Z2376" t="s">
        <v>160</v>
      </c>
      <c r="AA2376" t="s">
        <v>170</v>
      </c>
      <c r="AB2376">
        <v>4.3</v>
      </c>
      <c r="AC2376">
        <v>50</v>
      </c>
      <c r="AD2376">
        <v>114.47</v>
      </c>
      <c r="AE2376">
        <f t="shared" si="74"/>
        <v>353.82999999999993</v>
      </c>
      <c r="AF2376" t="str">
        <f t="shared" si="75"/>
        <v>2025-10</v>
      </c>
      <c r="AG2376">
        <f>SUBTOTAL(103,A2376)</f>
        <v>1</v>
      </c>
    </row>
    <row r="2377" spans="1:33" x14ac:dyDescent="0.3">
      <c r="A2377" t="s">
        <v>4998</v>
      </c>
      <c r="B2377" s="13">
        <v>45960</v>
      </c>
      <c r="C2377">
        <v>2025</v>
      </c>
      <c r="D2377">
        <v>10</v>
      </c>
      <c r="E2377" t="s">
        <v>4779</v>
      </c>
      <c r="F2377" t="s">
        <v>4780</v>
      </c>
      <c r="G2377" t="s">
        <v>465</v>
      </c>
      <c r="H2377" t="s">
        <v>466</v>
      </c>
      <c r="I2377" t="s">
        <v>86</v>
      </c>
      <c r="J2377">
        <v>53</v>
      </c>
      <c r="K2377" t="s">
        <v>83</v>
      </c>
      <c r="L2377" t="s">
        <v>94</v>
      </c>
      <c r="M2377" t="s">
        <v>57</v>
      </c>
      <c r="N2377" t="s">
        <v>2601</v>
      </c>
      <c r="O2377" t="s">
        <v>117</v>
      </c>
      <c r="P2377" t="s">
        <v>49</v>
      </c>
      <c r="Q2377" t="s">
        <v>139</v>
      </c>
      <c r="R2377">
        <v>1</v>
      </c>
      <c r="S2377">
        <v>6999</v>
      </c>
      <c r="T2377">
        <v>0.1</v>
      </c>
      <c r="U2377">
        <v>6299.1</v>
      </c>
      <c r="V2377">
        <v>4300</v>
      </c>
      <c r="W2377">
        <v>1999.1</v>
      </c>
      <c r="X2377" t="s">
        <v>74</v>
      </c>
      <c r="Y2377" t="s">
        <v>68</v>
      </c>
      <c r="Z2377" t="s">
        <v>160</v>
      </c>
      <c r="AA2377" t="s">
        <v>167</v>
      </c>
      <c r="AB2377">
        <v>4</v>
      </c>
      <c r="AC2377">
        <v>50</v>
      </c>
      <c r="AD2377">
        <v>495.19</v>
      </c>
      <c r="AE2377">
        <f t="shared" si="74"/>
        <v>1453.9099999999999</v>
      </c>
      <c r="AF2377" t="str">
        <f t="shared" si="75"/>
        <v>2025-10</v>
      </c>
      <c r="AG2377">
        <f>SUBTOTAL(103,A2377)</f>
        <v>1</v>
      </c>
    </row>
    <row r="2378" spans="1:33" x14ac:dyDescent="0.3">
      <c r="A2378" t="s">
        <v>4999</v>
      </c>
      <c r="B2378" s="13">
        <v>45960</v>
      </c>
      <c r="C2378">
        <v>2025</v>
      </c>
      <c r="D2378">
        <v>10</v>
      </c>
      <c r="E2378" t="s">
        <v>4779</v>
      </c>
      <c r="F2378" t="s">
        <v>4780</v>
      </c>
      <c r="G2378" t="s">
        <v>1107</v>
      </c>
      <c r="H2378" t="s">
        <v>1108</v>
      </c>
      <c r="I2378" t="s">
        <v>85</v>
      </c>
      <c r="J2378">
        <v>54</v>
      </c>
      <c r="K2378" t="s">
        <v>83</v>
      </c>
      <c r="L2378" t="s">
        <v>2661</v>
      </c>
      <c r="M2378" t="s">
        <v>58</v>
      </c>
      <c r="N2378" t="s">
        <v>2647</v>
      </c>
      <c r="O2378" t="s">
        <v>133</v>
      </c>
      <c r="P2378" t="s">
        <v>50</v>
      </c>
      <c r="Q2378" t="s">
        <v>145</v>
      </c>
      <c r="R2378">
        <v>3</v>
      </c>
      <c r="S2378">
        <v>799</v>
      </c>
      <c r="T2378">
        <v>0</v>
      </c>
      <c r="U2378">
        <v>2397</v>
      </c>
      <c r="V2378">
        <v>1170</v>
      </c>
      <c r="W2378">
        <v>1227</v>
      </c>
      <c r="X2378" t="s">
        <v>74</v>
      </c>
      <c r="Y2378" t="s">
        <v>68</v>
      </c>
      <c r="Z2378" t="s">
        <v>161</v>
      </c>
      <c r="AA2378" t="s">
        <v>167</v>
      </c>
      <c r="AB2378">
        <v>3.7</v>
      </c>
      <c r="AC2378">
        <v>80</v>
      </c>
      <c r="AD2378">
        <v>144.38999999999999</v>
      </c>
      <c r="AE2378">
        <f t="shared" si="74"/>
        <v>1002.61</v>
      </c>
      <c r="AF2378" t="str">
        <f t="shared" si="75"/>
        <v>2025-10</v>
      </c>
      <c r="AG2378">
        <f>SUBTOTAL(103,A2378)</f>
        <v>1</v>
      </c>
    </row>
    <row r="2379" spans="1:33" x14ac:dyDescent="0.3">
      <c r="A2379" t="s">
        <v>5000</v>
      </c>
      <c r="B2379" s="13">
        <v>45960</v>
      </c>
      <c r="C2379">
        <v>2025</v>
      </c>
      <c r="D2379">
        <v>10</v>
      </c>
      <c r="E2379" t="s">
        <v>4779</v>
      </c>
      <c r="F2379" t="s">
        <v>4780</v>
      </c>
      <c r="G2379" t="s">
        <v>1059</v>
      </c>
      <c r="H2379" t="s">
        <v>1060</v>
      </c>
      <c r="I2379" t="s">
        <v>85</v>
      </c>
      <c r="J2379">
        <v>31</v>
      </c>
      <c r="K2379" t="s">
        <v>81</v>
      </c>
      <c r="L2379" t="s">
        <v>98</v>
      </c>
      <c r="M2379" t="s">
        <v>55</v>
      </c>
      <c r="N2379" t="s">
        <v>2582</v>
      </c>
      <c r="O2379" t="s">
        <v>119</v>
      </c>
      <c r="P2379" t="s">
        <v>49</v>
      </c>
      <c r="Q2379" t="s">
        <v>140</v>
      </c>
      <c r="R2379">
        <v>4</v>
      </c>
      <c r="S2379">
        <v>3499</v>
      </c>
      <c r="T2379">
        <v>0.05</v>
      </c>
      <c r="U2379">
        <v>13296.2</v>
      </c>
      <c r="V2379">
        <v>8400</v>
      </c>
      <c r="W2379">
        <v>4896.2</v>
      </c>
      <c r="X2379" t="s">
        <v>73</v>
      </c>
      <c r="Y2379" t="s">
        <v>68</v>
      </c>
      <c r="Z2379" t="s">
        <v>160</v>
      </c>
      <c r="AA2379" t="s">
        <v>171</v>
      </c>
      <c r="AB2379">
        <v>4.7</v>
      </c>
      <c r="AC2379">
        <v>40</v>
      </c>
      <c r="AD2379">
        <v>936.54</v>
      </c>
      <c r="AE2379">
        <f t="shared" si="74"/>
        <v>3919.66</v>
      </c>
      <c r="AF2379" t="str">
        <f t="shared" si="75"/>
        <v>2025-10</v>
      </c>
      <c r="AG2379">
        <f>SUBTOTAL(103,A2379)</f>
        <v>1</v>
      </c>
    </row>
    <row r="2380" spans="1:33" x14ac:dyDescent="0.3">
      <c r="A2380" t="s">
        <v>5001</v>
      </c>
      <c r="B2380" s="13">
        <v>45960</v>
      </c>
      <c r="C2380">
        <v>2025</v>
      </c>
      <c r="D2380">
        <v>10</v>
      </c>
      <c r="E2380" t="s">
        <v>4779</v>
      </c>
      <c r="F2380" t="s">
        <v>4780</v>
      </c>
      <c r="G2380" t="s">
        <v>723</v>
      </c>
      <c r="H2380" t="s">
        <v>724</v>
      </c>
      <c r="I2380" t="s">
        <v>85</v>
      </c>
      <c r="J2380">
        <v>28</v>
      </c>
      <c r="K2380" t="s">
        <v>81</v>
      </c>
      <c r="L2380" t="s">
        <v>2610</v>
      </c>
      <c r="M2380" t="s">
        <v>64</v>
      </c>
      <c r="N2380" t="s">
        <v>2606</v>
      </c>
      <c r="O2380" t="s">
        <v>120</v>
      </c>
      <c r="P2380" t="s">
        <v>49</v>
      </c>
      <c r="Q2380" t="s">
        <v>140</v>
      </c>
      <c r="R2380">
        <v>5</v>
      </c>
      <c r="S2380">
        <v>2799</v>
      </c>
      <c r="T2380">
        <v>0</v>
      </c>
      <c r="U2380">
        <v>13995</v>
      </c>
      <c r="V2380">
        <v>8250</v>
      </c>
      <c r="W2380">
        <v>5745</v>
      </c>
      <c r="X2380" t="s">
        <v>76</v>
      </c>
      <c r="Y2380" t="s">
        <v>70</v>
      </c>
      <c r="Z2380" t="s">
        <v>158</v>
      </c>
      <c r="AA2380" t="s">
        <v>168</v>
      </c>
      <c r="AB2380">
        <v>5</v>
      </c>
      <c r="AC2380">
        <v>40</v>
      </c>
      <c r="AD2380">
        <v>862.34</v>
      </c>
      <c r="AE2380">
        <f t="shared" si="74"/>
        <v>4842.66</v>
      </c>
      <c r="AF2380" t="str">
        <f t="shared" si="75"/>
        <v>2025-10</v>
      </c>
      <c r="AG2380">
        <f>SUBTOTAL(103,A2380)</f>
        <v>1</v>
      </c>
    </row>
    <row r="2381" spans="1:33" x14ac:dyDescent="0.3">
      <c r="A2381" t="s">
        <v>5002</v>
      </c>
      <c r="B2381" s="13">
        <v>45961</v>
      </c>
      <c r="C2381">
        <v>2025</v>
      </c>
      <c r="D2381">
        <v>10</v>
      </c>
      <c r="E2381" t="s">
        <v>4779</v>
      </c>
      <c r="F2381" t="s">
        <v>4780</v>
      </c>
      <c r="G2381" t="s">
        <v>1309</v>
      </c>
      <c r="H2381" t="s">
        <v>1310</v>
      </c>
      <c r="I2381" t="s">
        <v>85</v>
      </c>
      <c r="J2381">
        <v>23</v>
      </c>
      <c r="K2381" t="s">
        <v>80</v>
      </c>
      <c r="L2381" t="s">
        <v>2679</v>
      </c>
      <c r="M2381" t="s">
        <v>60</v>
      </c>
      <c r="N2381" t="s">
        <v>2577</v>
      </c>
      <c r="O2381" t="s">
        <v>129</v>
      </c>
      <c r="P2381" t="s">
        <v>49</v>
      </c>
      <c r="Q2381" t="s">
        <v>149</v>
      </c>
      <c r="R2381">
        <v>1</v>
      </c>
      <c r="S2381">
        <v>1299</v>
      </c>
      <c r="T2381">
        <v>0.1</v>
      </c>
      <c r="U2381">
        <v>1169.0999999999999</v>
      </c>
      <c r="V2381">
        <v>650</v>
      </c>
      <c r="W2381">
        <v>519.1</v>
      </c>
      <c r="X2381" t="s">
        <v>75</v>
      </c>
      <c r="Y2381" t="s">
        <v>68</v>
      </c>
      <c r="Z2381" t="s">
        <v>159</v>
      </c>
      <c r="AA2381" t="s">
        <v>169</v>
      </c>
      <c r="AB2381">
        <v>4.0999999999999996</v>
      </c>
      <c r="AC2381">
        <v>60</v>
      </c>
      <c r="AD2381">
        <v>77.680000000000007</v>
      </c>
      <c r="AE2381">
        <f t="shared" si="74"/>
        <v>381.42</v>
      </c>
      <c r="AF2381" t="str">
        <f t="shared" si="75"/>
        <v>2025-10</v>
      </c>
      <c r="AG2381">
        <f>SUBTOTAL(103,A2381)</f>
        <v>1</v>
      </c>
    </row>
    <row r="2382" spans="1:33" x14ac:dyDescent="0.3">
      <c r="A2382" t="s">
        <v>5003</v>
      </c>
      <c r="B2382" s="13">
        <v>45961</v>
      </c>
      <c r="C2382">
        <v>2025</v>
      </c>
      <c r="D2382">
        <v>10</v>
      </c>
      <c r="E2382" t="s">
        <v>4779</v>
      </c>
      <c r="F2382" t="s">
        <v>4780</v>
      </c>
      <c r="G2382" t="s">
        <v>619</v>
      </c>
      <c r="H2382" t="s">
        <v>620</v>
      </c>
      <c r="I2382" t="s">
        <v>85</v>
      </c>
      <c r="J2382">
        <v>32</v>
      </c>
      <c r="K2382" t="s">
        <v>81</v>
      </c>
      <c r="L2382" t="s">
        <v>90</v>
      </c>
      <c r="M2382" t="s">
        <v>55</v>
      </c>
      <c r="N2382" t="s">
        <v>2596</v>
      </c>
      <c r="O2382" t="s">
        <v>124</v>
      </c>
      <c r="P2382" t="s">
        <v>51</v>
      </c>
      <c r="Q2382" t="s">
        <v>147</v>
      </c>
      <c r="R2382">
        <v>2</v>
      </c>
      <c r="S2382">
        <v>2299</v>
      </c>
      <c r="T2382">
        <v>0</v>
      </c>
      <c r="U2382">
        <v>4598</v>
      </c>
      <c r="V2382">
        <v>2400</v>
      </c>
      <c r="W2382">
        <v>2198</v>
      </c>
      <c r="X2382" t="s">
        <v>73</v>
      </c>
      <c r="Y2382" t="s">
        <v>68</v>
      </c>
      <c r="Z2382" t="s">
        <v>160</v>
      </c>
      <c r="AA2382" t="s">
        <v>171</v>
      </c>
      <c r="AB2382">
        <v>4.4000000000000004</v>
      </c>
      <c r="AC2382">
        <v>60</v>
      </c>
      <c r="AD2382">
        <v>547.85</v>
      </c>
      <c r="AE2382">
        <f t="shared" si="74"/>
        <v>1590.15</v>
      </c>
      <c r="AF2382" t="str">
        <f t="shared" si="75"/>
        <v>2025-10</v>
      </c>
      <c r="AG2382">
        <f>SUBTOTAL(103,A2382)</f>
        <v>1</v>
      </c>
    </row>
    <row r="2383" spans="1:33" x14ac:dyDescent="0.3">
      <c r="A2383" t="s">
        <v>5004</v>
      </c>
      <c r="B2383" s="13">
        <v>45961</v>
      </c>
      <c r="C2383">
        <v>2025</v>
      </c>
      <c r="D2383">
        <v>10</v>
      </c>
      <c r="E2383" t="s">
        <v>4779</v>
      </c>
      <c r="F2383" t="s">
        <v>4780</v>
      </c>
      <c r="G2383" t="s">
        <v>357</v>
      </c>
      <c r="H2383" t="s">
        <v>358</v>
      </c>
      <c r="I2383" t="s">
        <v>85</v>
      </c>
      <c r="J2383">
        <v>34</v>
      </c>
      <c r="K2383" t="s">
        <v>81</v>
      </c>
      <c r="L2383" t="s">
        <v>92</v>
      </c>
      <c r="M2383" t="s">
        <v>59</v>
      </c>
      <c r="N2383" t="s">
        <v>2606</v>
      </c>
      <c r="O2383" t="s">
        <v>120</v>
      </c>
      <c r="P2383" t="s">
        <v>49</v>
      </c>
      <c r="Q2383" t="s">
        <v>140</v>
      </c>
      <c r="R2383">
        <v>2</v>
      </c>
      <c r="S2383">
        <v>2799</v>
      </c>
      <c r="T2383">
        <v>0.15</v>
      </c>
      <c r="U2383">
        <v>4758.3</v>
      </c>
      <c r="V2383">
        <v>3300</v>
      </c>
      <c r="W2383">
        <v>1458.3</v>
      </c>
      <c r="X2383" t="s">
        <v>73</v>
      </c>
      <c r="Y2383" t="s">
        <v>69</v>
      </c>
      <c r="Z2383" t="s">
        <v>158</v>
      </c>
      <c r="AA2383" t="s">
        <v>166</v>
      </c>
      <c r="AB2383">
        <v>2.7</v>
      </c>
      <c r="AC2383">
        <v>50</v>
      </c>
      <c r="AD2383">
        <v>436.54</v>
      </c>
      <c r="AE2383">
        <f t="shared" si="74"/>
        <v>971.76</v>
      </c>
      <c r="AF2383" t="str">
        <f t="shared" si="75"/>
        <v>2025-10</v>
      </c>
      <c r="AG2383">
        <f>SUBTOTAL(103,A2383)</f>
        <v>1</v>
      </c>
    </row>
    <row r="2384" spans="1:33" x14ac:dyDescent="0.3">
      <c r="A2384" t="s">
        <v>5005</v>
      </c>
      <c r="B2384" s="13">
        <v>45961</v>
      </c>
      <c r="C2384">
        <v>2025</v>
      </c>
      <c r="D2384">
        <v>10</v>
      </c>
      <c r="E2384" t="s">
        <v>4779</v>
      </c>
      <c r="F2384" t="s">
        <v>4780</v>
      </c>
      <c r="G2384" t="s">
        <v>2193</v>
      </c>
      <c r="H2384" t="s">
        <v>2194</v>
      </c>
      <c r="I2384" t="s">
        <v>85</v>
      </c>
      <c r="J2384">
        <v>49</v>
      </c>
      <c r="K2384" t="s">
        <v>83</v>
      </c>
      <c r="L2384" t="s">
        <v>93</v>
      </c>
      <c r="M2384" t="s">
        <v>55</v>
      </c>
      <c r="N2384" t="s">
        <v>2603</v>
      </c>
      <c r="O2384" t="s">
        <v>122</v>
      </c>
      <c r="P2384" t="s">
        <v>48</v>
      </c>
      <c r="Q2384" t="s">
        <v>141</v>
      </c>
      <c r="R2384">
        <v>1</v>
      </c>
      <c r="S2384">
        <v>2499</v>
      </c>
      <c r="T2384">
        <v>0</v>
      </c>
      <c r="U2384">
        <v>2499</v>
      </c>
      <c r="V2384">
        <v>1450</v>
      </c>
      <c r="W2384">
        <v>1049</v>
      </c>
      <c r="X2384" t="s">
        <v>73</v>
      </c>
      <c r="Y2384" t="s">
        <v>68</v>
      </c>
      <c r="Z2384" t="s">
        <v>159</v>
      </c>
      <c r="AA2384" t="s">
        <v>171</v>
      </c>
      <c r="AB2384">
        <v>3.5</v>
      </c>
      <c r="AC2384">
        <v>60</v>
      </c>
      <c r="AD2384">
        <v>117.64</v>
      </c>
      <c r="AE2384">
        <f t="shared" si="74"/>
        <v>871.36</v>
      </c>
      <c r="AF2384" t="str">
        <f t="shared" si="75"/>
        <v>2025-10</v>
      </c>
      <c r="AG2384">
        <f>SUBTOTAL(103,A2384)</f>
        <v>1</v>
      </c>
    </row>
    <row r="2385" spans="1:33" x14ac:dyDescent="0.3">
      <c r="A2385" t="s">
        <v>5006</v>
      </c>
      <c r="B2385" s="13">
        <v>45962</v>
      </c>
      <c r="C2385">
        <v>2025</v>
      </c>
      <c r="D2385">
        <v>11</v>
      </c>
      <c r="E2385" t="s">
        <v>5007</v>
      </c>
      <c r="F2385" t="s">
        <v>4780</v>
      </c>
      <c r="G2385" t="s">
        <v>635</v>
      </c>
      <c r="H2385" t="s">
        <v>636</v>
      </c>
      <c r="I2385" t="s">
        <v>86</v>
      </c>
      <c r="J2385">
        <v>21</v>
      </c>
      <c r="K2385" t="s">
        <v>80</v>
      </c>
      <c r="L2385" t="s">
        <v>90</v>
      </c>
      <c r="M2385" t="s">
        <v>55</v>
      </c>
      <c r="N2385" t="s">
        <v>2596</v>
      </c>
      <c r="O2385" t="s">
        <v>124</v>
      </c>
      <c r="P2385" t="s">
        <v>51</v>
      </c>
      <c r="Q2385" t="s">
        <v>147</v>
      </c>
      <c r="R2385">
        <v>3</v>
      </c>
      <c r="S2385">
        <v>2299</v>
      </c>
      <c r="T2385">
        <v>0.15</v>
      </c>
      <c r="U2385">
        <v>5862.45</v>
      </c>
      <c r="V2385">
        <v>3600</v>
      </c>
      <c r="W2385">
        <v>2262.4499999999998</v>
      </c>
      <c r="X2385" t="s">
        <v>74</v>
      </c>
      <c r="Y2385" t="s">
        <v>68</v>
      </c>
      <c r="Z2385" t="s">
        <v>159</v>
      </c>
      <c r="AA2385" t="s">
        <v>170</v>
      </c>
      <c r="AB2385">
        <v>4</v>
      </c>
      <c r="AC2385">
        <v>100</v>
      </c>
      <c r="AD2385">
        <v>178.06</v>
      </c>
      <c r="AE2385">
        <f t="shared" si="74"/>
        <v>1984.3899999999999</v>
      </c>
      <c r="AF2385" t="str">
        <f t="shared" si="75"/>
        <v>2025-11</v>
      </c>
      <c r="AG2385">
        <f>SUBTOTAL(103,A2385)</f>
        <v>1</v>
      </c>
    </row>
    <row r="2386" spans="1:33" x14ac:dyDescent="0.3">
      <c r="A2386" t="s">
        <v>5008</v>
      </c>
      <c r="B2386" s="13">
        <v>45962</v>
      </c>
      <c r="C2386">
        <v>2025</v>
      </c>
      <c r="D2386">
        <v>11</v>
      </c>
      <c r="E2386" t="s">
        <v>5007</v>
      </c>
      <c r="F2386" t="s">
        <v>4780</v>
      </c>
      <c r="G2386" t="s">
        <v>299</v>
      </c>
      <c r="H2386" t="s">
        <v>300</v>
      </c>
      <c r="I2386" t="s">
        <v>85</v>
      </c>
      <c r="J2386">
        <v>21</v>
      </c>
      <c r="K2386" t="s">
        <v>80</v>
      </c>
      <c r="L2386" t="s">
        <v>2687</v>
      </c>
      <c r="M2386" t="s">
        <v>57</v>
      </c>
      <c r="N2386" t="s">
        <v>2592</v>
      </c>
      <c r="O2386" t="s">
        <v>115</v>
      </c>
      <c r="P2386" t="s">
        <v>48</v>
      </c>
      <c r="Q2386" t="s">
        <v>137</v>
      </c>
      <c r="R2386">
        <v>2</v>
      </c>
      <c r="S2386">
        <v>12999</v>
      </c>
      <c r="T2386">
        <v>0.05</v>
      </c>
      <c r="U2386">
        <v>24698.1</v>
      </c>
      <c r="V2386">
        <v>18000</v>
      </c>
      <c r="W2386">
        <v>6698.1</v>
      </c>
      <c r="X2386" t="s">
        <v>73</v>
      </c>
      <c r="Y2386" t="s">
        <v>68</v>
      </c>
      <c r="Z2386" t="s">
        <v>160</v>
      </c>
      <c r="AA2386" t="s">
        <v>171</v>
      </c>
      <c r="AB2386">
        <v>3.6</v>
      </c>
      <c r="AC2386">
        <v>80</v>
      </c>
      <c r="AD2386">
        <v>1266.3800000000001</v>
      </c>
      <c r="AE2386">
        <f t="shared" si="74"/>
        <v>5351.72</v>
      </c>
      <c r="AF2386" t="str">
        <f t="shared" si="75"/>
        <v>2025-11</v>
      </c>
      <c r="AG2386">
        <f>SUBTOTAL(103,A2386)</f>
        <v>1</v>
      </c>
    </row>
    <row r="2387" spans="1:33" x14ac:dyDescent="0.3">
      <c r="A2387" t="s">
        <v>5009</v>
      </c>
      <c r="B2387" s="13">
        <v>45962</v>
      </c>
      <c r="C2387">
        <v>2025</v>
      </c>
      <c r="D2387">
        <v>11</v>
      </c>
      <c r="E2387" t="s">
        <v>5007</v>
      </c>
      <c r="F2387" t="s">
        <v>4780</v>
      </c>
      <c r="G2387" t="s">
        <v>643</v>
      </c>
      <c r="H2387" t="s">
        <v>644</v>
      </c>
      <c r="I2387" t="s">
        <v>85</v>
      </c>
      <c r="J2387">
        <v>35</v>
      </c>
      <c r="K2387" t="s">
        <v>81</v>
      </c>
      <c r="L2387" t="s">
        <v>2623</v>
      </c>
      <c r="M2387" t="s">
        <v>61</v>
      </c>
      <c r="N2387" t="s">
        <v>2592</v>
      </c>
      <c r="O2387" t="s">
        <v>115</v>
      </c>
      <c r="P2387" t="s">
        <v>48</v>
      </c>
      <c r="Q2387" t="s">
        <v>137</v>
      </c>
      <c r="R2387">
        <v>3</v>
      </c>
      <c r="S2387">
        <v>12999</v>
      </c>
      <c r="T2387">
        <v>0.1</v>
      </c>
      <c r="U2387">
        <v>35097.300000000003</v>
      </c>
      <c r="V2387">
        <v>27000</v>
      </c>
      <c r="W2387">
        <v>8097.3</v>
      </c>
      <c r="X2387" t="s">
        <v>75</v>
      </c>
      <c r="Y2387" t="s">
        <v>68</v>
      </c>
      <c r="Z2387" t="s">
        <v>161</v>
      </c>
      <c r="AA2387" t="s">
        <v>170</v>
      </c>
      <c r="AB2387">
        <v>3.6</v>
      </c>
      <c r="AC2387">
        <v>120</v>
      </c>
      <c r="AD2387">
        <v>1525.52</v>
      </c>
      <c r="AE2387">
        <f t="shared" si="74"/>
        <v>6451.7800000000007</v>
      </c>
      <c r="AF2387" t="str">
        <f t="shared" si="75"/>
        <v>2025-11</v>
      </c>
      <c r="AG2387">
        <f>SUBTOTAL(103,A2387)</f>
        <v>1</v>
      </c>
    </row>
    <row r="2388" spans="1:33" x14ac:dyDescent="0.3">
      <c r="A2388" t="s">
        <v>5010</v>
      </c>
      <c r="B2388" s="13">
        <v>45962</v>
      </c>
      <c r="C2388">
        <v>2025</v>
      </c>
      <c r="D2388">
        <v>11</v>
      </c>
      <c r="E2388" t="s">
        <v>5007</v>
      </c>
      <c r="F2388" t="s">
        <v>4780</v>
      </c>
      <c r="G2388" t="s">
        <v>555</v>
      </c>
      <c r="H2388" t="s">
        <v>556</v>
      </c>
      <c r="I2388" t="s">
        <v>85</v>
      </c>
      <c r="J2388">
        <v>47</v>
      </c>
      <c r="K2388" t="s">
        <v>83</v>
      </c>
      <c r="L2388" t="s">
        <v>2576</v>
      </c>
      <c r="M2388" t="s">
        <v>60</v>
      </c>
      <c r="N2388" t="s">
        <v>2653</v>
      </c>
      <c r="O2388" t="s">
        <v>132</v>
      </c>
      <c r="P2388" t="s">
        <v>52</v>
      </c>
      <c r="Q2388" t="s">
        <v>150</v>
      </c>
      <c r="R2388">
        <v>1</v>
      </c>
      <c r="S2388">
        <v>899</v>
      </c>
      <c r="T2388">
        <v>0.15</v>
      </c>
      <c r="U2388">
        <v>764.15</v>
      </c>
      <c r="V2388">
        <v>420</v>
      </c>
      <c r="W2388">
        <v>344.15</v>
      </c>
      <c r="X2388" t="s">
        <v>73</v>
      </c>
      <c r="Y2388" t="s">
        <v>68</v>
      </c>
      <c r="Z2388" t="s">
        <v>158</v>
      </c>
      <c r="AA2388" t="s">
        <v>167</v>
      </c>
      <c r="AB2388">
        <v>3.5</v>
      </c>
      <c r="AC2388">
        <v>60</v>
      </c>
      <c r="AD2388">
        <v>28.54</v>
      </c>
      <c r="AE2388">
        <f t="shared" si="74"/>
        <v>255.60999999999999</v>
      </c>
      <c r="AF2388" t="str">
        <f t="shared" si="75"/>
        <v>2025-11</v>
      </c>
      <c r="AG2388">
        <f>SUBTOTAL(103,A2388)</f>
        <v>1</v>
      </c>
    </row>
    <row r="2389" spans="1:33" x14ac:dyDescent="0.3">
      <c r="A2389" t="s">
        <v>5011</v>
      </c>
      <c r="B2389" s="13">
        <v>45963</v>
      </c>
      <c r="C2389">
        <v>2025</v>
      </c>
      <c r="D2389">
        <v>11</v>
      </c>
      <c r="E2389" t="s">
        <v>5007</v>
      </c>
      <c r="F2389" t="s">
        <v>4780</v>
      </c>
      <c r="G2389" t="s">
        <v>843</v>
      </c>
      <c r="H2389" t="s">
        <v>844</v>
      </c>
      <c r="I2389" t="s">
        <v>85</v>
      </c>
      <c r="J2389">
        <v>39</v>
      </c>
      <c r="K2389" t="s">
        <v>82</v>
      </c>
      <c r="L2389" t="s">
        <v>93</v>
      </c>
      <c r="M2389" t="s">
        <v>55</v>
      </c>
      <c r="N2389" t="s">
        <v>2653</v>
      </c>
      <c r="O2389" t="s">
        <v>132</v>
      </c>
      <c r="P2389" t="s">
        <v>52</v>
      </c>
      <c r="Q2389" t="s">
        <v>150</v>
      </c>
      <c r="R2389">
        <v>2</v>
      </c>
      <c r="S2389">
        <v>899</v>
      </c>
      <c r="T2389">
        <v>0.15</v>
      </c>
      <c r="U2389">
        <v>0</v>
      </c>
      <c r="V2389">
        <v>0</v>
      </c>
      <c r="W2389">
        <v>0</v>
      </c>
      <c r="X2389" t="s">
        <v>73</v>
      </c>
      <c r="Y2389" t="s">
        <v>71</v>
      </c>
      <c r="Z2389" t="s">
        <v>163</v>
      </c>
      <c r="AA2389" t="s">
        <v>171</v>
      </c>
      <c r="AB2389">
        <v>4.5</v>
      </c>
      <c r="AC2389">
        <v>60</v>
      </c>
      <c r="AD2389">
        <v>119.89</v>
      </c>
      <c r="AE2389">
        <f t="shared" si="74"/>
        <v>-179.89</v>
      </c>
      <c r="AF2389" t="str">
        <f t="shared" si="75"/>
        <v>2025-11</v>
      </c>
      <c r="AG2389">
        <f>SUBTOTAL(103,A2389)</f>
        <v>1</v>
      </c>
    </row>
    <row r="2390" spans="1:33" x14ac:dyDescent="0.3">
      <c r="A2390" t="s">
        <v>5012</v>
      </c>
      <c r="B2390" s="13">
        <v>45963</v>
      </c>
      <c r="C2390">
        <v>2025</v>
      </c>
      <c r="D2390">
        <v>11</v>
      </c>
      <c r="E2390" t="s">
        <v>5007</v>
      </c>
      <c r="F2390" t="s">
        <v>4780</v>
      </c>
      <c r="G2390" t="s">
        <v>185</v>
      </c>
      <c r="H2390" t="s">
        <v>186</v>
      </c>
      <c r="I2390" t="s">
        <v>86</v>
      </c>
      <c r="J2390">
        <v>19</v>
      </c>
      <c r="K2390" t="s">
        <v>80</v>
      </c>
      <c r="L2390" t="s">
        <v>96</v>
      </c>
      <c r="M2390" t="s">
        <v>55</v>
      </c>
      <c r="N2390" t="s">
        <v>2606</v>
      </c>
      <c r="O2390" t="s">
        <v>120</v>
      </c>
      <c r="P2390" t="s">
        <v>49</v>
      </c>
      <c r="Q2390" t="s">
        <v>140</v>
      </c>
      <c r="R2390">
        <v>1</v>
      </c>
      <c r="S2390">
        <v>2799</v>
      </c>
      <c r="T2390">
        <v>0.15</v>
      </c>
      <c r="U2390">
        <v>2379.15</v>
      </c>
      <c r="V2390">
        <v>1650</v>
      </c>
      <c r="W2390">
        <v>729.15</v>
      </c>
      <c r="X2390" t="s">
        <v>74</v>
      </c>
      <c r="Y2390" t="s">
        <v>68</v>
      </c>
      <c r="Z2390" t="s">
        <v>163</v>
      </c>
      <c r="AA2390" t="s">
        <v>168</v>
      </c>
      <c r="AB2390">
        <v>4.7</v>
      </c>
      <c r="AC2390">
        <v>50</v>
      </c>
      <c r="AD2390">
        <v>254.75</v>
      </c>
      <c r="AE2390">
        <f t="shared" si="74"/>
        <v>424.4</v>
      </c>
      <c r="AF2390" t="str">
        <f t="shared" si="75"/>
        <v>2025-11</v>
      </c>
      <c r="AG2390">
        <f>SUBTOTAL(103,A2390)</f>
        <v>1</v>
      </c>
    </row>
    <row r="2391" spans="1:33" x14ac:dyDescent="0.3">
      <c r="A2391" t="s">
        <v>5013</v>
      </c>
      <c r="B2391" s="13">
        <v>45963</v>
      </c>
      <c r="C2391">
        <v>2025</v>
      </c>
      <c r="D2391">
        <v>11</v>
      </c>
      <c r="E2391" t="s">
        <v>5007</v>
      </c>
      <c r="F2391" t="s">
        <v>4780</v>
      </c>
      <c r="G2391" t="s">
        <v>449</v>
      </c>
      <c r="H2391" t="s">
        <v>450</v>
      </c>
      <c r="I2391" t="s">
        <v>85</v>
      </c>
      <c r="J2391">
        <v>47</v>
      </c>
      <c r="K2391" t="s">
        <v>83</v>
      </c>
      <c r="L2391" t="s">
        <v>91</v>
      </c>
      <c r="M2391" t="s">
        <v>55</v>
      </c>
      <c r="N2391" t="s">
        <v>2592</v>
      </c>
      <c r="O2391" t="s">
        <v>115</v>
      </c>
      <c r="P2391" t="s">
        <v>48</v>
      </c>
      <c r="Q2391" t="s">
        <v>137</v>
      </c>
      <c r="R2391">
        <v>4</v>
      </c>
      <c r="S2391">
        <v>12999</v>
      </c>
      <c r="T2391">
        <v>0</v>
      </c>
      <c r="U2391">
        <v>51996</v>
      </c>
      <c r="V2391">
        <v>36000</v>
      </c>
      <c r="W2391">
        <v>15996</v>
      </c>
      <c r="X2391" t="s">
        <v>73</v>
      </c>
      <c r="Y2391" t="s">
        <v>68</v>
      </c>
      <c r="Z2391" t="s">
        <v>159</v>
      </c>
      <c r="AA2391" t="s">
        <v>167</v>
      </c>
      <c r="AB2391">
        <v>3</v>
      </c>
      <c r="AC2391">
        <v>50</v>
      </c>
      <c r="AD2391">
        <v>2338.6799999999998</v>
      </c>
      <c r="AE2391">
        <f t="shared" si="74"/>
        <v>13607.32</v>
      </c>
      <c r="AF2391" t="str">
        <f t="shared" si="75"/>
        <v>2025-11</v>
      </c>
      <c r="AG2391">
        <f>SUBTOTAL(103,A2391)</f>
        <v>1</v>
      </c>
    </row>
    <row r="2392" spans="1:33" x14ac:dyDescent="0.3">
      <c r="A2392" t="s">
        <v>5014</v>
      </c>
      <c r="B2392" s="13">
        <v>45963</v>
      </c>
      <c r="C2392">
        <v>2025</v>
      </c>
      <c r="D2392">
        <v>11</v>
      </c>
      <c r="E2392" t="s">
        <v>5007</v>
      </c>
      <c r="F2392" t="s">
        <v>4780</v>
      </c>
      <c r="G2392" t="s">
        <v>603</v>
      </c>
      <c r="H2392" t="s">
        <v>604</v>
      </c>
      <c r="I2392" t="s">
        <v>86</v>
      </c>
      <c r="J2392">
        <v>47</v>
      </c>
      <c r="K2392" t="s">
        <v>83</v>
      </c>
      <c r="L2392" t="s">
        <v>92</v>
      </c>
      <c r="M2392" t="s">
        <v>59</v>
      </c>
      <c r="N2392" t="s">
        <v>2647</v>
      </c>
      <c r="O2392" t="s">
        <v>133</v>
      </c>
      <c r="P2392" t="s">
        <v>50</v>
      </c>
      <c r="Q2392" t="s">
        <v>145</v>
      </c>
      <c r="R2392">
        <v>4</v>
      </c>
      <c r="S2392">
        <v>799</v>
      </c>
      <c r="T2392">
        <v>0.1</v>
      </c>
      <c r="U2392">
        <v>2876.4</v>
      </c>
      <c r="V2392">
        <v>1560</v>
      </c>
      <c r="W2392">
        <v>1316.4</v>
      </c>
      <c r="X2392" t="s">
        <v>76</v>
      </c>
      <c r="Y2392" t="s">
        <v>68</v>
      </c>
      <c r="Z2392" t="s">
        <v>162</v>
      </c>
      <c r="AA2392" t="s">
        <v>171</v>
      </c>
      <c r="AB2392">
        <v>3.9</v>
      </c>
      <c r="AC2392">
        <v>50</v>
      </c>
      <c r="AD2392">
        <v>326.26</v>
      </c>
      <c r="AE2392">
        <f t="shared" si="74"/>
        <v>940.1400000000001</v>
      </c>
      <c r="AF2392" t="str">
        <f t="shared" si="75"/>
        <v>2025-11</v>
      </c>
      <c r="AG2392">
        <f>SUBTOTAL(103,A2392)</f>
        <v>1</v>
      </c>
    </row>
    <row r="2393" spans="1:33" x14ac:dyDescent="0.3">
      <c r="A2393" t="s">
        <v>5015</v>
      </c>
      <c r="B2393" s="13">
        <v>45963</v>
      </c>
      <c r="C2393">
        <v>2025</v>
      </c>
      <c r="D2393">
        <v>11</v>
      </c>
      <c r="E2393" t="s">
        <v>5007</v>
      </c>
      <c r="F2393" t="s">
        <v>4780</v>
      </c>
      <c r="G2393" t="s">
        <v>195</v>
      </c>
      <c r="H2393" t="s">
        <v>196</v>
      </c>
      <c r="I2393" t="s">
        <v>87</v>
      </c>
      <c r="J2393">
        <v>41</v>
      </c>
      <c r="K2393" t="s">
        <v>82</v>
      </c>
      <c r="L2393" t="s">
        <v>99</v>
      </c>
      <c r="M2393" t="s">
        <v>58</v>
      </c>
      <c r="N2393" t="s">
        <v>2574</v>
      </c>
      <c r="O2393" t="s">
        <v>130</v>
      </c>
      <c r="P2393" t="s">
        <v>50</v>
      </c>
      <c r="Q2393" t="s">
        <v>53</v>
      </c>
      <c r="R2393">
        <v>1</v>
      </c>
      <c r="S2393">
        <v>1199</v>
      </c>
      <c r="T2393">
        <v>0.05</v>
      </c>
      <c r="U2393">
        <v>1139.05</v>
      </c>
      <c r="V2393">
        <v>550</v>
      </c>
      <c r="W2393">
        <v>589.04999999999995</v>
      </c>
      <c r="X2393" t="s">
        <v>73</v>
      </c>
      <c r="Y2393" t="s">
        <v>68</v>
      </c>
      <c r="Z2393" t="s">
        <v>158</v>
      </c>
      <c r="AA2393" t="s">
        <v>167</v>
      </c>
      <c r="AB2393">
        <v>4.3</v>
      </c>
      <c r="AC2393">
        <v>60</v>
      </c>
      <c r="AD2393">
        <v>62.64</v>
      </c>
      <c r="AE2393">
        <f t="shared" si="74"/>
        <v>466.40999999999997</v>
      </c>
      <c r="AF2393" t="str">
        <f t="shared" si="75"/>
        <v>2025-11</v>
      </c>
      <c r="AG2393">
        <f>SUBTOTAL(103,A2393)</f>
        <v>1</v>
      </c>
    </row>
    <row r="2394" spans="1:33" x14ac:dyDescent="0.3">
      <c r="A2394" t="s">
        <v>5016</v>
      </c>
      <c r="B2394" s="13">
        <v>45963</v>
      </c>
      <c r="C2394">
        <v>2025</v>
      </c>
      <c r="D2394">
        <v>11</v>
      </c>
      <c r="E2394" t="s">
        <v>5007</v>
      </c>
      <c r="F2394" t="s">
        <v>4780</v>
      </c>
      <c r="G2394" t="s">
        <v>189</v>
      </c>
      <c r="H2394" t="s">
        <v>190</v>
      </c>
      <c r="I2394" t="s">
        <v>85</v>
      </c>
      <c r="J2394">
        <v>58</v>
      </c>
      <c r="K2394" t="s">
        <v>83</v>
      </c>
      <c r="L2394" t="s">
        <v>2616</v>
      </c>
      <c r="M2394" t="s">
        <v>62</v>
      </c>
      <c r="N2394" t="s">
        <v>2592</v>
      </c>
      <c r="O2394" t="s">
        <v>115</v>
      </c>
      <c r="P2394" t="s">
        <v>48</v>
      </c>
      <c r="Q2394" t="s">
        <v>137</v>
      </c>
      <c r="R2394">
        <v>2</v>
      </c>
      <c r="S2394">
        <v>12999</v>
      </c>
      <c r="T2394">
        <v>0</v>
      </c>
      <c r="U2394">
        <v>25998</v>
      </c>
      <c r="V2394">
        <v>18000</v>
      </c>
      <c r="W2394">
        <v>7998</v>
      </c>
      <c r="X2394" t="s">
        <v>76</v>
      </c>
      <c r="Y2394" t="s">
        <v>68</v>
      </c>
      <c r="Z2394" t="s">
        <v>160</v>
      </c>
      <c r="AA2394" t="s">
        <v>166</v>
      </c>
      <c r="AB2394">
        <v>5</v>
      </c>
      <c r="AC2394">
        <v>60</v>
      </c>
      <c r="AD2394">
        <v>2596.5</v>
      </c>
      <c r="AE2394">
        <f t="shared" si="74"/>
        <v>5341.5</v>
      </c>
      <c r="AF2394" t="str">
        <f t="shared" si="75"/>
        <v>2025-11</v>
      </c>
      <c r="AG2394">
        <f>SUBTOTAL(103,A2394)</f>
        <v>1</v>
      </c>
    </row>
    <row r="2395" spans="1:33" x14ac:dyDescent="0.3">
      <c r="A2395" t="s">
        <v>5017</v>
      </c>
      <c r="B2395" s="13">
        <v>45963</v>
      </c>
      <c r="C2395">
        <v>2025</v>
      </c>
      <c r="D2395">
        <v>11</v>
      </c>
      <c r="E2395" t="s">
        <v>5007</v>
      </c>
      <c r="F2395" t="s">
        <v>4780</v>
      </c>
      <c r="G2395" t="s">
        <v>947</v>
      </c>
      <c r="H2395" t="s">
        <v>948</v>
      </c>
      <c r="I2395" t="s">
        <v>85</v>
      </c>
      <c r="J2395">
        <v>36</v>
      </c>
      <c r="K2395" t="s">
        <v>82</v>
      </c>
      <c r="L2395" t="s">
        <v>99</v>
      </c>
      <c r="M2395" t="s">
        <v>58</v>
      </c>
      <c r="N2395" t="s">
        <v>2594</v>
      </c>
      <c r="O2395" t="s">
        <v>131</v>
      </c>
      <c r="P2395" t="s">
        <v>53</v>
      </c>
      <c r="Q2395" t="s">
        <v>143</v>
      </c>
      <c r="R2395">
        <v>3</v>
      </c>
      <c r="S2395">
        <v>999</v>
      </c>
      <c r="T2395">
        <v>0.05</v>
      </c>
      <c r="U2395">
        <v>2847.15</v>
      </c>
      <c r="V2395">
        <v>1560</v>
      </c>
      <c r="W2395">
        <v>1287.1500000000001</v>
      </c>
      <c r="X2395" t="s">
        <v>73</v>
      </c>
      <c r="Y2395" t="s">
        <v>69</v>
      </c>
      <c r="Z2395" t="s">
        <v>161</v>
      </c>
      <c r="AA2395" t="s">
        <v>166</v>
      </c>
      <c r="AB2395">
        <v>4.7</v>
      </c>
      <c r="AC2395">
        <v>60</v>
      </c>
      <c r="AD2395">
        <v>220.59</v>
      </c>
      <c r="AE2395">
        <f t="shared" si="74"/>
        <v>1006.5600000000001</v>
      </c>
      <c r="AF2395" t="str">
        <f t="shared" si="75"/>
        <v>2025-11</v>
      </c>
      <c r="AG2395">
        <f>SUBTOTAL(103,A2395)</f>
        <v>1</v>
      </c>
    </row>
    <row r="2396" spans="1:33" x14ac:dyDescent="0.3">
      <c r="A2396" t="s">
        <v>5018</v>
      </c>
      <c r="B2396" s="13">
        <v>45963</v>
      </c>
      <c r="C2396">
        <v>2025</v>
      </c>
      <c r="D2396">
        <v>11</v>
      </c>
      <c r="E2396" t="s">
        <v>5007</v>
      </c>
      <c r="F2396" t="s">
        <v>4780</v>
      </c>
      <c r="G2396" t="s">
        <v>555</v>
      </c>
      <c r="H2396" t="s">
        <v>556</v>
      </c>
      <c r="I2396" t="s">
        <v>85</v>
      </c>
      <c r="J2396">
        <v>47</v>
      </c>
      <c r="K2396" t="s">
        <v>83</v>
      </c>
      <c r="L2396" t="s">
        <v>2576</v>
      </c>
      <c r="M2396" t="s">
        <v>60</v>
      </c>
      <c r="N2396" t="s">
        <v>2584</v>
      </c>
      <c r="O2396" t="s">
        <v>121</v>
      </c>
      <c r="P2396" t="s">
        <v>50</v>
      </c>
      <c r="Q2396" t="s">
        <v>144</v>
      </c>
      <c r="R2396">
        <v>2</v>
      </c>
      <c r="S2396">
        <v>2999</v>
      </c>
      <c r="T2396">
        <v>0.25</v>
      </c>
      <c r="U2396">
        <v>4498.5</v>
      </c>
      <c r="V2396">
        <v>3400</v>
      </c>
      <c r="W2396">
        <v>1098.5</v>
      </c>
      <c r="X2396" t="s">
        <v>76</v>
      </c>
      <c r="Y2396" t="s">
        <v>68</v>
      </c>
      <c r="Z2396" t="s">
        <v>162</v>
      </c>
      <c r="AA2396" t="s">
        <v>168</v>
      </c>
      <c r="AB2396">
        <v>3.7</v>
      </c>
      <c r="AC2396">
        <v>80</v>
      </c>
      <c r="AD2396">
        <v>165.65</v>
      </c>
      <c r="AE2396">
        <f t="shared" si="74"/>
        <v>852.85</v>
      </c>
      <c r="AF2396" t="str">
        <f t="shared" si="75"/>
        <v>2025-11</v>
      </c>
      <c r="AG2396">
        <f>SUBTOTAL(103,A2396)</f>
        <v>1</v>
      </c>
    </row>
    <row r="2397" spans="1:33" x14ac:dyDescent="0.3">
      <c r="A2397" t="s">
        <v>5019</v>
      </c>
      <c r="B2397" s="13">
        <v>45963</v>
      </c>
      <c r="C2397">
        <v>2025</v>
      </c>
      <c r="D2397">
        <v>11</v>
      </c>
      <c r="E2397" t="s">
        <v>5007</v>
      </c>
      <c r="F2397" t="s">
        <v>4780</v>
      </c>
      <c r="G2397" t="s">
        <v>1559</v>
      </c>
      <c r="H2397" t="s">
        <v>1560</v>
      </c>
      <c r="I2397" t="s">
        <v>85</v>
      </c>
      <c r="J2397">
        <v>56</v>
      </c>
      <c r="K2397" t="s">
        <v>83</v>
      </c>
      <c r="L2397" t="s">
        <v>100</v>
      </c>
      <c r="M2397" t="s">
        <v>56</v>
      </c>
      <c r="N2397" t="s">
        <v>2574</v>
      </c>
      <c r="O2397" t="s">
        <v>130</v>
      </c>
      <c r="P2397" t="s">
        <v>50</v>
      </c>
      <c r="Q2397" t="s">
        <v>53</v>
      </c>
      <c r="R2397">
        <v>3</v>
      </c>
      <c r="S2397">
        <v>1199</v>
      </c>
      <c r="T2397">
        <v>0</v>
      </c>
      <c r="U2397">
        <v>3597</v>
      </c>
      <c r="V2397">
        <v>1650</v>
      </c>
      <c r="W2397">
        <v>1947</v>
      </c>
      <c r="X2397" t="s">
        <v>74</v>
      </c>
      <c r="Y2397" t="s">
        <v>68</v>
      </c>
      <c r="Z2397" t="s">
        <v>159</v>
      </c>
      <c r="AA2397" t="s">
        <v>171</v>
      </c>
      <c r="AB2397">
        <v>3.5</v>
      </c>
      <c r="AC2397">
        <v>40</v>
      </c>
      <c r="AD2397">
        <v>410.14</v>
      </c>
      <c r="AE2397">
        <f t="shared" si="74"/>
        <v>1496.8600000000001</v>
      </c>
      <c r="AF2397" t="str">
        <f t="shared" si="75"/>
        <v>2025-11</v>
      </c>
      <c r="AG2397">
        <f>SUBTOTAL(103,A2397)</f>
        <v>1</v>
      </c>
    </row>
    <row r="2398" spans="1:33" x14ac:dyDescent="0.3">
      <c r="A2398" t="s">
        <v>5020</v>
      </c>
      <c r="B2398" s="13">
        <v>45964</v>
      </c>
      <c r="C2398">
        <v>2025</v>
      </c>
      <c r="D2398">
        <v>11</v>
      </c>
      <c r="E2398" t="s">
        <v>5007</v>
      </c>
      <c r="F2398" t="s">
        <v>4780</v>
      </c>
      <c r="G2398" t="s">
        <v>447</v>
      </c>
      <c r="H2398" t="s">
        <v>448</v>
      </c>
      <c r="I2398" t="s">
        <v>85</v>
      </c>
      <c r="J2398">
        <v>32</v>
      </c>
      <c r="K2398" t="s">
        <v>81</v>
      </c>
      <c r="L2398" t="s">
        <v>90</v>
      </c>
      <c r="M2398" t="s">
        <v>55</v>
      </c>
      <c r="N2398" t="s">
        <v>2587</v>
      </c>
      <c r="O2398" t="s">
        <v>116</v>
      </c>
      <c r="P2398" t="s">
        <v>48</v>
      </c>
      <c r="Q2398" t="s">
        <v>138</v>
      </c>
      <c r="R2398">
        <v>3</v>
      </c>
      <c r="S2398">
        <v>14999</v>
      </c>
      <c r="T2398">
        <v>0.2</v>
      </c>
      <c r="U2398">
        <v>35997.599999999999</v>
      </c>
      <c r="V2398">
        <v>33600</v>
      </c>
      <c r="W2398">
        <v>2397.6</v>
      </c>
      <c r="X2398" t="s">
        <v>76</v>
      </c>
      <c r="Y2398" t="s">
        <v>68</v>
      </c>
      <c r="Z2398" t="s">
        <v>158</v>
      </c>
      <c r="AA2398" t="s">
        <v>170</v>
      </c>
      <c r="AB2398">
        <v>4</v>
      </c>
      <c r="AC2398">
        <v>40</v>
      </c>
      <c r="AD2398">
        <v>2022.68</v>
      </c>
      <c r="AE2398">
        <f t="shared" si="74"/>
        <v>334.91999999999985</v>
      </c>
      <c r="AF2398" t="str">
        <f t="shared" si="75"/>
        <v>2025-11</v>
      </c>
      <c r="AG2398">
        <f>SUBTOTAL(103,A2398)</f>
        <v>1</v>
      </c>
    </row>
    <row r="2399" spans="1:33" x14ac:dyDescent="0.3">
      <c r="A2399" t="s">
        <v>5021</v>
      </c>
      <c r="B2399" s="13">
        <v>45964</v>
      </c>
      <c r="C2399">
        <v>2025</v>
      </c>
      <c r="D2399">
        <v>11</v>
      </c>
      <c r="E2399" t="s">
        <v>5007</v>
      </c>
      <c r="F2399" t="s">
        <v>4780</v>
      </c>
      <c r="G2399" t="s">
        <v>1527</v>
      </c>
      <c r="H2399" t="s">
        <v>1528</v>
      </c>
      <c r="I2399" t="s">
        <v>87</v>
      </c>
      <c r="J2399">
        <v>53</v>
      </c>
      <c r="K2399" t="s">
        <v>83</v>
      </c>
      <c r="L2399" t="s">
        <v>2612</v>
      </c>
      <c r="M2399" t="s">
        <v>64</v>
      </c>
      <c r="N2399" t="s">
        <v>2665</v>
      </c>
      <c r="O2399" t="s">
        <v>128</v>
      </c>
      <c r="P2399" t="s">
        <v>53</v>
      </c>
      <c r="Q2399" t="s">
        <v>143</v>
      </c>
      <c r="R2399">
        <v>2</v>
      </c>
      <c r="S2399">
        <v>1499</v>
      </c>
      <c r="T2399">
        <v>0.15</v>
      </c>
      <c r="U2399">
        <v>2548.3000000000002</v>
      </c>
      <c r="V2399">
        <v>1600</v>
      </c>
      <c r="W2399">
        <v>948.3</v>
      </c>
      <c r="X2399" t="s">
        <v>77</v>
      </c>
      <c r="Y2399" t="s">
        <v>69</v>
      </c>
      <c r="Z2399" t="s">
        <v>163</v>
      </c>
      <c r="AA2399" t="s">
        <v>166</v>
      </c>
      <c r="AB2399">
        <v>5</v>
      </c>
      <c r="AC2399">
        <v>80</v>
      </c>
      <c r="AD2399">
        <v>273.95999999999998</v>
      </c>
      <c r="AE2399">
        <f t="shared" si="74"/>
        <v>594.33999999999992</v>
      </c>
      <c r="AF2399" t="str">
        <f t="shared" si="75"/>
        <v>2025-11</v>
      </c>
      <c r="AG2399">
        <f>SUBTOTAL(103,A2399)</f>
        <v>1</v>
      </c>
    </row>
    <row r="2400" spans="1:33" x14ac:dyDescent="0.3">
      <c r="A2400" t="s">
        <v>5022</v>
      </c>
      <c r="B2400" s="13">
        <v>45964</v>
      </c>
      <c r="C2400">
        <v>2025</v>
      </c>
      <c r="D2400">
        <v>11</v>
      </c>
      <c r="E2400" t="s">
        <v>5007</v>
      </c>
      <c r="F2400" t="s">
        <v>4780</v>
      </c>
      <c r="G2400" t="s">
        <v>1179</v>
      </c>
      <c r="H2400" t="s">
        <v>1180</v>
      </c>
      <c r="I2400" t="s">
        <v>85</v>
      </c>
      <c r="J2400">
        <v>43</v>
      </c>
      <c r="K2400" t="s">
        <v>82</v>
      </c>
      <c r="L2400" t="s">
        <v>2661</v>
      </c>
      <c r="M2400" t="s">
        <v>58</v>
      </c>
      <c r="N2400" t="s">
        <v>2584</v>
      </c>
      <c r="O2400" t="s">
        <v>121</v>
      </c>
      <c r="P2400" t="s">
        <v>50</v>
      </c>
      <c r="Q2400" t="s">
        <v>144</v>
      </c>
      <c r="R2400">
        <v>2</v>
      </c>
      <c r="S2400">
        <v>2999</v>
      </c>
      <c r="T2400">
        <v>0</v>
      </c>
      <c r="U2400">
        <v>5998</v>
      </c>
      <c r="V2400">
        <v>3400</v>
      </c>
      <c r="W2400">
        <v>2598</v>
      </c>
      <c r="X2400" t="s">
        <v>77</v>
      </c>
      <c r="Y2400" t="s">
        <v>68</v>
      </c>
      <c r="Z2400" t="s">
        <v>163</v>
      </c>
      <c r="AA2400" t="s">
        <v>171</v>
      </c>
      <c r="AB2400">
        <v>3.8</v>
      </c>
      <c r="AC2400">
        <v>80</v>
      </c>
      <c r="AD2400">
        <v>384.16</v>
      </c>
      <c r="AE2400">
        <f t="shared" si="74"/>
        <v>2133.84</v>
      </c>
      <c r="AF2400" t="str">
        <f t="shared" si="75"/>
        <v>2025-11</v>
      </c>
      <c r="AG2400">
        <f>SUBTOTAL(103,A2400)</f>
        <v>1</v>
      </c>
    </row>
    <row r="2401" spans="1:33" x14ac:dyDescent="0.3">
      <c r="A2401" t="s">
        <v>5023</v>
      </c>
      <c r="B2401" s="13">
        <v>45964</v>
      </c>
      <c r="C2401">
        <v>2025</v>
      </c>
      <c r="D2401">
        <v>11</v>
      </c>
      <c r="E2401" t="s">
        <v>5007</v>
      </c>
      <c r="F2401" t="s">
        <v>4780</v>
      </c>
      <c r="G2401" t="s">
        <v>525</v>
      </c>
      <c r="H2401" t="s">
        <v>526</v>
      </c>
      <c r="I2401" t="s">
        <v>86</v>
      </c>
      <c r="J2401">
        <v>24</v>
      </c>
      <c r="K2401" t="s">
        <v>80</v>
      </c>
      <c r="L2401" t="s">
        <v>2679</v>
      </c>
      <c r="M2401" t="s">
        <v>60</v>
      </c>
      <c r="N2401" t="s">
        <v>2647</v>
      </c>
      <c r="O2401" t="s">
        <v>133</v>
      </c>
      <c r="P2401" t="s">
        <v>50</v>
      </c>
      <c r="Q2401" t="s">
        <v>145</v>
      </c>
      <c r="R2401">
        <v>1</v>
      </c>
      <c r="S2401">
        <v>799</v>
      </c>
      <c r="T2401">
        <v>0.1</v>
      </c>
      <c r="U2401">
        <v>719.1</v>
      </c>
      <c r="V2401">
        <v>390</v>
      </c>
      <c r="W2401">
        <v>329.1</v>
      </c>
      <c r="X2401" t="s">
        <v>76</v>
      </c>
      <c r="Y2401" t="s">
        <v>68</v>
      </c>
      <c r="Z2401" t="s">
        <v>158</v>
      </c>
      <c r="AA2401" t="s">
        <v>167</v>
      </c>
      <c r="AB2401">
        <v>4.5999999999999996</v>
      </c>
      <c r="AC2401">
        <v>60</v>
      </c>
      <c r="AD2401">
        <v>41.4</v>
      </c>
      <c r="AE2401">
        <f t="shared" si="74"/>
        <v>227.70000000000002</v>
      </c>
      <c r="AF2401" t="str">
        <f t="shared" si="75"/>
        <v>2025-11</v>
      </c>
      <c r="AG2401">
        <f>SUBTOTAL(103,A2401)</f>
        <v>1</v>
      </c>
    </row>
    <row r="2402" spans="1:33" x14ac:dyDescent="0.3">
      <c r="A2402" t="s">
        <v>5024</v>
      </c>
      <c r="B2402" s="13">
        <v>45964</v>
      </c>
      <c r="C2402">
        <v>2025</v>
      </c>
      <c r="D2402">
        <v>11</v>
      </c>
      <c r="E2402" t="s">
        <v>5007</v>
      </c>
      <c r="F2402" t="s">
        <v>4780</v>
      </c>
      <c r="G2402" t="s">
        <v>887</v>
      </c>
      <c r="H2402" t="s">
        <v>888</v>
      </c>
      <c r="I2402" t="s">
        <v>85</v>
      </c>
      <c r="J2402">
        <v>26</v>
      </c>
      <c r="K2402" t="s">
        <v>81</v>
      </c>
      <c r="L2402" t="s">
        <v>100</v>
      </c>
      <c r="M2402" t="s">
        <v>56</v>
      </c>
      <c r="N2402" t="s">
        <v>2665</v>
      </c>
      <c r="O2402" t="s">
        <v>128</v>
      </c>
      <c r="P2402" t="s">
        <v>53</v>
      </c>
      <c r="Q2402" t="s">
        <v>143</v>
      </c>
      <c r="R2402">
        <v>3</v>
      </c>
      <c r="S2402">
        <v>1499</v>
      </c>
      <c r="T2402">
        <v>0.05</v>
      </c>
      <c r="U2402">
        <v>4272.1499999999996</v>
      </c>
      <c r="V2402">
        <v>2400</v>
      </c>
      <c r="W2402">
        <v>1872.15</v>
      </c>
      <c r="X2402" t="s">
        <v>75</v>
      </c>
      <c r="Y2402" t="s">
        <v>68</v>
      </c>
      <c r="Z2402" t="s">
        <v>158</v>
      </c>
      <c r="AA2402" t="s">
        <v>169</v>
      </c>
      <c r="AB2402">
        <v>4.2</v>
      </c>
      <c r="AC2402">
        <v>40</v>
      </c>
      <c r="AD2402">
        <v>109</v>
      </c>
      <c r="AE2402">
        <f t="shared" si="74"/>
        <v>1723.15</v>
      </c>
      <c r="AF2402" t="str">
        <f t="shared" si="75"/>
        <v>2025-11</v>
      </c>
      <c r="AG2402">
        <f>SUBTOTAL(103,A2402)</f>
        <v>1</v>
      </c>
    </row>
    <row r="2403" spans="1:33" x14ac:dyDescent="0.3">
      <c r="A2403" t="s">
        <v>5025</v>
      </c>
      <c r="B2403" s="13">
        <v>45964</v>
      </c>
      <c r="C2403">
        <v>2025</v>
      </c>
      <c r="D2403">
        <v>11</v>
      </c>
      <c r="E2403" t="s">
        <v>5007</v>
      </c>
      <c r="F2403" t="s">
        <v>4780</v>
      </c>
      <c r="G2403" t="s">
        <v>549</v>
      </c>
      <c r="H2403" t="s">
        <v>550</v>
      </c>
      <c r="I2403" t="s">
        <v>85</v>
      </c>
      <c r="J2403">
        <v>26</v>
      </c>
      <c r="K2403" t="s">
        <v>81</v>
      </c>
      <c r="L2403" t="s">
        <v>2589</v>
      </c>
      <c r="M2403" t="s">
        <v>61</v>
      </c>
      <c r="N2403" t="s">
        <v>2594</v>
      </c>
      <c r="O2403" t="s">
        <v>131</v>
      </c>
      <c r="P2403" t="s">
        <v>53</v>
      </c>
      <c r="Q2403" t="s">
        <v>143</v>
      </c>
      <c r="R2403">
        <v>4</v>
      </c>
      <c r="S2403">
        <v>999</v>
      </c>
      <c r="T2403">
        <v>0</v>
      </c>
      <c r="U2403">
        <v>3996</v>
      </c>
      <c r="V2403">
        <v>2080</v>
      </c>
      <c r="W2403">
        <v>1916</v>
      </c>
      <c r="X2403" t="s">
        <v>74</v>
      </c>
      <c r="Y2403" t="s">
        <v>68</v>
      </c>
      <c r="Z2403" t="s">
        <v>163</v>
      </c>
      <c r="AA2403" t="s">
        <v>167</v>
      </c>
      <c r="AB2403">
        <v>4.2</v>
      </c>
      <c r="AC2403">
        <v>60</v>
      </c>
      <c r="AD2403">
        <v>87.17</v>
      </c>
      <c r="AE2403">
        <f t="shared" si="74"/>
        <v>1768.83</v>
      </c>
      <c r="AF2403" t="str">
        <f t="shared" si="75"/>
        <v>2025-11</v>
      </c>
      <c r="AG2403">
        <f>SUBTOTAL(103,A2403)</f>
        <v>1</v>
      </c>
    </row>
    <row r="2404" spans="1:33" x14ac:dyDescent="0.3">
      <c r="A2404" t="s">
        <v>5026</v>
      </c>
      <c r="B2404" s="13">
        <v>45964</v>
      </c>
      <c r="C2404">
        <v>2025</v>
      </c>
      <c r="D2404">
        <v>11</v>
      </c>
      <c r="E2404" t="s">
        <v>5007</v>
      </c>
      <c r="F2404" t="s">
        <v>4780</v>
      </c>
      <c r="G2404" t="s">
        <v>2011</v>
      </c>
      <c r="H2404" t="s">
        <v>2012</v>
      </c>
      <c r="I2404" t="s">
        <v>85</v>
      </c>
      <c r="J2404">
        <v>42</v>
      </c>
      <c r="K2404" t="s">
        <v>82</v>
      </c>
      <c r="L2404" t="s">
        <v>90</v>
      </c>
      <c r="M2404" t="s">
        <v>55</v>
      </c>
      <c r="N2404" t="s">
        <v>2574</v>
      </c>
      <c r="O2404" t="s">
        <v>130</v>
      </c>
      <c r="P2404" t="s">
        <v>50</v>
      </c>
      <c r="Q2404" t="s">
        <v>53</v>
      </c>
      <c r="R2404">
        <v>2</v>
      </c>
      <c r="S2404">
        <v>1199</v>
      </c>
      <c r="T2404">
        <v>0.2</v>
      </c>
      <c r="U2404">
        <v>1918.4</v>
      </c>
      <c r="V2404">
        <v>1100</v>
      </c>
      <c r="W2404">
        <v>818.4</v>
      </c>
      <c r="X2404" t="s">
        <v>74</v>
      </c>
      <c r="Y2404" t="s">
        <v>68</v>
      </c>
      <c r="Z2404" t="s">
        <v>163</v>
      </c>
      <c r="AA2404" t="s">
        <v>171</v>
      </c>
      <c r="AB2404">
        <v>4.7</v>
      </c>
      <c r="AC2404">
        <v>50</v>
      </c>
      <c r="AD2404">
        <v>43.23</v>
      </c>
      <c r="AE2404">
        <f t="shared" si="74"/>
        <v>725.17</v>
      </c>
      <c r="AF2404" t="str">
        <f t="shared" si="75"/>
        <v>2025-11</v>
      </c>
      <c r="AG2404">
        <f>SUBTOTAL(103,A2404)</f>
        <v>1</v>
      </c>
    </row>
    <row r="2405" spans="1:33" x14ac:dyDescent="0.3">
      <c r="A2405" t="s">
        <v>5027</v>
      </c>
      <c r="B2405" s="13">
        <v>45964</v>
      </c>
      <c r="C2405">
        <v>2025</v>
      </c>
      <c r="D2405">
        <v>11</v>
      </c>
      <c r="E2405" t="s">
        <v>5007</v>
      </c>
      <c r="F2405" t="s">
        <v>4780</v>
      </c>
      <c r="G2405" t="s">
        <v>197</v>
      </c>
      <c r="H2405" t="s">
        <v>198</v>
      </c>
      <c r="I2405" t="s">
        <v>86</v>
      </c>
      <c r="J2405">
        <v>57</v>
      </c>
      <c r="K2405" t="s">
        <v>83</v>
      </c>
      <c r="L2405" t="s">
        <v>2690</v>
      </c>
      <c r="M2405" t="s">
        <v>63</v>
      </c>
      <c r="N2405" t="s">
        <v>2592</v>
      </c>
      <c r="O2405" t="s">
        <v>115</v>
      </c>
      <c r="P2405" t="s">
        <v>48</v>
      </c>
      <c r="Q2405" t="s">
        <v>137</v>
      </c>
      <c r="R2405">
        <v>5</v>
      </c>
      <c r="S2405">
        <v>12999</v>
      </c>
      <c r="T2405">
        <v>0</v>
      </c>
      <c r="U2405">
        <v>64995</v>
      </c>
      <c r="V2405">
        <v>45000</v>
      </c>
      <c r="W2405">
        <v>19995</v>
      </c>
      <c r="X2405" t="s">
        <v>73</v>
      </c>
      <c r="Y2405" t="s">
        <v>68</v>
      </c>
      <c r="Z2405" t="s">
        <v>161</v>
      </c>
      <c r="AA2405" t="s">
        <v>171</v>
      </c>
      <c r="AB2405">
        <v>4.5999999999999996</v>
      </c>
      <c r="AC2405">
        <v>50</v>
      </c>
      <c r="AD2405">
        <v>1663.02</v>
      </c>
      <c r="AE2405">
        <f t="shared" si="74"/>
        <v>18281.98</v>
      </c>
      <c r="AF2405" t="str">
        <f t="shared" si="75"/>
        <v>2025-11</v>
      </c>
      <c r="AG2405">
        <f>SUBTOTAL(103,A2405)</f>
        <v>1</v>
      </c>
    </row>
    <row r="2406" spans="1:33" x14ac:dyDescent="0.3">
      <c r="A2406" t="s">
        <v>5028</v>
      </c>
      <c r="B2406" s="13">
        <v>45964</v>
      </c>
      <c r="C2406">
        <v>2025</v>
      </c>
      <c r="D2406">
        <v>11</v>
      </c>
      <c r="E2406" t="s">
        <v>5007</v>
      </c>
      <c r="F2406" t="s">
        <v>4780</v>
      </c>
      <c r="G2406" t="s">
        <v>2295</v>
      </c>
      <c r="H2406" t="s">
        <v>2296</v>
      </c>
      <c r="I2406" t="s">
        <v>86</v>
      </c>
      <c r="J2406">
        <v>37</v>
      </c>
      <c r="K2406" t="s">
        <v>82</v>
      </c>
      <c r="L2406" t="s">
        <v>93</v>
      </c>
      <c r="M2406" t="s">
        <v>55</v>
      </c>
      <c r="N2406" t="s">
        <v>2580</v>
      </c>
      <c r="O2406" t="s">
        <v>118</v>
      </c>
      <c r="P2406" t="s">
        <v>48</v>
      </c>
      <c r="Q2406" t="s">
        <v>142</v>
      </c>
      <c r="R2406">
        <v>4</v>
      </c>
      <c r="S2406">
        <v>3999</v>
      </c>
      <c r="T2406">
        <v>0.05</v>
      </c>
      <c r="U2406">
        <v>0</v>
      </c>
      <c r="V2406">
        <v>0</v>
      </c>
      <c r="W2406">
        <v>0</v>
      </c>
      <c r="X2406" t="s">
        <v>73</v>
      </c>
      <c r="Y2406" t="s">
        <v>71</v>
      </c>
      <c r="Z2406" t="s">
        <v>158</v>
      </c>
      <c r="AA2406" t="s">
        <v>170</v>
      </c>
      <c r="AB2406">
        <v>5</v>
      </c>
      <c r="AC2406">
        <v>40</v>
      </c>
      <c r="AD2406">
        <v>385.36</v>
      </c>
      <c r="AE2406">
        <f t="shared" si="74"/>
        <v>-425.36</v>
      </c>
      <c r="AF2406" t="str">
        <f t="shared" si="75"/>
        <v>2025-11</v>
      </c>
      <c r="AG2406">
        <f>SUBTOTAL(103,A2406)</f>
        <v>1</v>
      </c>
    </row>
    <row r="2407" spans="1:33" x14ac:dyDescent="0.3">
      <c r="A2407" t="s">
        <v>5029</v>
      </c>
      <c r="B2407" s="13">
        <v>45964</v>
      </c>
      <c r="C2407">
        <v>2025</v>
      </c>
      <c r="D2407">
        <v>11</v>
      </c>
      <c r="E2407" t="s">
        <v>5007</v>
      </c>
      <c r="F2407" t="s">
        <v>4780</v>
      </c>
      <c r="G2407" t="s">
        <v>1459</v>
      </c>
      <c r="H2407" t="s">
        <v>1460</v>
      </c>
      <c r="I2407" t="s">
        <v>85</v>
      </c>
      <c r="J2407">
        <v>59</v>
      </c>
      <c r="K2407" t="s">
        <v>83</v>
      </c>
      <c r="L2407" t="s">
        <v>2605</v>
      </c>
      <c r="M2407" t="s">
        <v>60</v>
      </c>
      <c r="N2407" t="s">
        <v>2603</v>
      </c>
      <c r="O2407" t="s">
        <v>122</v>
      </c>
      <c r="P2407" t="s">
        <v>48</v>
      </c>
      <c r="Q2407" t="s">
        <v>141</v>
      </c>
      <c r="R2407">
        <v>1</v>
      </c>
      <c r="S2407">
        <v>2499</v>
      </c>
      <c r="T2407">
        <v>0.05</v>
      </c>
      <c r="U2407">
        <v>2374.0500000000002</v>
      </c>
      <c r="V2407">
        <v>1450</v>
      </c>
      <c r="W2407">
        <v>924.05</v>
      </c>
      <c r="X2407" t="s">
        <v>73</v>
      </c>
      <c r="Y2407" t="s">
        <v>68</v>
      </c>
      <c r="Z2407" t="s">
        <v>162</v>
      </c>
      <c r="AA2407" t="s">
        <v>166</v>
      </c>
      <c r="AB2407">
        <v>4.5999999999999996</v>
      </c>
      <c r="AC2407">
        <v>60</v>
      </c>
      <c r="AD2407">
        <v>112.88</v>
      </c>
      <c r="AE2407">
        <f t="shared" si="74"/>
        <v>751.17</v>
      </c>
      <c r="AF2407" t="str">
        <f t="shared" si="75"/>
        <v>2025-11</v>
      </c>
      <c r="AG2407">
        <f>SUBTOTAL(103,A2407)</f>
        <v>1</v>
      </c>
    </row>
    <row r="2408" spans="1:33" x14ac:dyDescent="0.3">
      <c r="A2408" t="s">
        <v>5030</v>
      </c>
      <c r="B2408" s="13">
        <v>45965</v>
      </c>
      <c r="C2408">
        <v>2025</v>
      </c>
      <c r="D2408">
        <v>11</v>
      </c>
      <c r="E2408" t="s">
        <v>5007</v>
      </c>
      <c r="F2408" t="s">
        <v>4780</v>
      </c>
      <c r="G2408" t="s">
        <v>1463</v>
      </c>
      <c r="H2408" t="s">
        <v>1464</v>
      </c>
      <c r="I2408" t="s">
        <v>86</v>
      </c>
      <c r="J2408">
        <v>50</v>
      </c>
      <c r="K2408" t="s">
        <v>83</v>
      </c>
      <c r="L2408" t="s">
        <v>94</v>
      </c>
      <c r="M2408" t="s">
        <v>57</v>
      </c>
      <c r="N2408" t="s">
        <v>2577</v>
      </c>
      <c r="O2408" t="s">
        <v>129</v>
      </c>
      <c r="P2408" t="s">
        <v>49</v>
      </c>
      <c r="Q2408" t="s">
        <v>149</v>
      </c>
      <c r="R2408">
        <v>2</v>
      </c>
      <c r="S2408">
        <v>1299</v>
      </c>
      <c r="T2408">
        <v>0.1</v>
      </c>
      <c r="U2408">
        <v>2338.1999999999998</v>
      </c>
      <c r="V2408">
        <v>1300</v>
      </c>
      <c r="W2408">
        <v>1038.2</v>
      </c>
      <c r="X2408" t="s">
        <v>77</v>
      </c>
      <c r="Y2408" t="s">
        <v>68</v>
      </c>
      <c r="Z2408" t="s">
        <v>159</v>
      </c>
      <c r="AA2408" t="s">
        <v>170</v>
      </c>
      <c r="AB2408">
        <v>4.0999999999999996</v>
      </c>
      <c r="AC2408">
        <v>60</v>
      </c>
      <c r="AD2408">
        <v>197.54</v>
      </c>
      <c r="AE2408">
        <f t="shared" si="74"/>
        <v>780.66000000000008</v>
      </c>
      <c r="AF2408" t="str">
        <f t="shared" si="75"/>
        <v>2025-11</v>
      </c>
      <c r="AG2408">
        <f>SUBTOTAL(103,A2408)</f>
        <v>1</v>
      </c>
    </row>
    <row r="2409" spans="1:33" x14ac:dyDescent="0.3">
      <c r="A2409" t="s">
        <v>5031</v>
      </c>
      <c r="B2409" s="13">
        <v>45965</v>
      </c>
      <c r="C2409">
        <v>2025</v>
      </c>
      <c r="D2409">
        <v>11</v>
      </c>
      <c r="E2409" t="s">
        <v>5007</v>
      </c>
      <c r="F2409" t="s">
        <v>4780</v>
      </c>
      <c r="G2409" t="s">
        <v>1965</v>
      </c>
      <c r="H2409" t="s">
        <v>1966</v>
      </c>
      <c r="I2409" t="s">
        <v>86</v>
      </c>
      <c r="J2409">
        <v>59</v>
      </c>
      <c r="K2409" t="s">
        <v>83</v>
      </c>
      <c r="L2409" t="s">
        <v>2674</v>
      </c>
      <c r="M2409" t="s">
        <v>58</v>
      </c>
      <c r="N2409" t="s">
        <v>2594</v>
      </c>
      <c r="O2409" t="s">
        <v>131</v>
      </c>
      <c r="P2409" t="s">
        <v>53</v>
      </c>
      <c r="Q2409" t="s">
        <v>143</v>
      </c>
      <c r="R2409">
        <v>3</v>
      </c>
      <c r="S2409">
        <v>999</v>
      </c>
      <c r="T2409">
        <v>0.2</v>
      </c>
      <c r="U2409">
        <v>2397.6</v>
      </c>
      <c r="V2409">
        <v>1560</v>
      </c>
      <c r="W2409">
        <v>837.6</v>
      </c>
      <c r="X2409" t="s">
        <v>75</v>
      </c>
      <c r="Y2409" t="s">
        <v>69</v>
      </c>
      <c r="Z2409" t="s">
        <v>160</v>
      </c>
      <c r="AA2409" t="s">
        <v>170</v>
      </c>
      <c r="AB2409">
        <v>5</v>
      </c>
      <c r="AC2409">
        <v>40</v>
      </c>
      <c r="AD2409">
        <v>237.51</v>
      </c>
      <c r="AE2409">
        <f t="shared" si="74"/>
        <v>560.09</v>
      </c>
      <c r="AF2409" t="str">
        <f t="shared" si="75"/>
        <v>2025-11</v>
      </c>
      <c r="AG2409">
        <f>SUBTOTAL(103,A2409)</f>
        <v>1</v>
      </c>
    </row>
    <row r="2410" spans="1:33" x14ac:dyDescent="0.3">
      <c r="A2410" t="s">
        <v>5032</v>
      </c>
      <c r="B2410" s="13">
        <v>45965</v>
      </c>
      <c r="C2410">
        <v>2025</v>
      </c>
      <c r="D2410">
        <v>11</v>
      </c>
      <c r="E2410" t="s">
        <v>5007</v>
      </c>
      <c r="F2410" t="s">
        <v>4780</v>
      </c>
      <c r="G2410" t="s">
        <v>671</v>
      </c>
      <c r="H2410" t="s">
        <v>672</v>
      </c>
      <c r="I2410" t="s">
        <v>85</v>
      </c>
      <c r="J2410">
        <v>42</v>
      </c>
      <c r="K2410" t="s">
        <v>82</v>
      </c>
      <c r="L2410" t="s">
        <v>96</v>
      </c>
      <c r="M2410" t="s">
        <v>55</v>
      </c>
      <c r="N2410" t="s">
        <v>2592</v>
      </c>
      <c r="O2410" t="s">
        <v>115</v>
      </c>
      <c r="P2410" t="s">
        <v>48</v>
      </c>
      <c r="Q2410" t="s">
        <v>137</v>
      </c>
      <c r="R2410">
        <v>2</v>
      </c>
      <c r="S2410">
        <v>12999</v>
      </c>
      <c r="T2410">
        <v>0.05</v>
      </c>
      <c r="U2410">
        <v>24698.1</v>
      </c>
      <c r="V2410">
        <v>18000</v>
      </c>
      <c r="W2410">
        <v>6698.1</v>
      </c>
      <c r="X2410" t="s">
        <v>74</v>
      </c>
      <c r="Y2410" t="s">
        <v>68</v>
      </c>
      <c r="Z2410" t="s">
        <v>159</v>
      </c>
      <c r="AA2410" t="s">
        <v>170</v>
      </c>
      <c r="AB2410">
        <v>4.0999999999999996</v>
      </c>
      <c r="AC2410">
        <v>120</v>
      </c>
      <c r="AD2410">
        <v>1271.1400000000001</v>
      </c>
      <c r="AE2410">
        <f t="shared" si="74"/>
        <v>5306.96</v>
      </c>
      <c r="AF2410" t="str">
        <f t="shared" si="75"/>
        <v>2025-11</v>
      </c>
      <c r="AG2410">
        <f>SUBTOTAL(103,A2410)</f>
        <v>1</v>
      </c>
    </row>
    <row r="2411" spans="1:33" x14ac:dyDescent="0.3">
      <c r="A2411" t="s">
        <v>5033</v>
      </c>
      <c r="B2411" s="13">
        <v>45965</v>
      </c>
      <c r="C2411">
        <v>2025</v>
      </c>
      <c r="D2411">
        <v>11</v>
      </c>
      <c r="E2411" t="s">
        <v>5007</v>
      </c>
      <c r="F2411" t="s">
        <v>4780</v>
      </c>
      <c r="G2411" t="s">
        <v>193</v>
      </c>
      <c r="H2411" t="s">
        <v>194</v>
      </c>
      <c r="I2411" t="s">
        <v>86</v>
      </c>
      <c r="J2411">
        <v>46</v>
      </c>
      <c r="K2411" t="s">
        <v>83</v>
      </c>
      <c r="L2411" t="s">
        <v>94</v>
      </c>
      <c r="M2411" t="s">
        <v>57</v>
      </c>
      <c r="N2411" t="s">
        <v>2592</v>
      </c>
      <c r="O2411" t="s">
        <v>115</v>
      </c>
      <c r="P2411" t="s">
        <v>48</v>
      </c>
      <c r="Q2411" t="s">
        <v>137</v>
      </c>
      <c r="R2411">
        <v>3</v>
      </c>
      <c r="S2411">
        <v>12999</v>
      </c>
      <c r="T2411">
        <v>0.15</v>
      </c>
      <c r="U2411">
        <v>33147.449999999997</v>
      </c>
      <c r="V2411">
        <v>27000</v>
      </c>
      <c r="W2411">
        <v>6147.45</v>
      </c>
      <c r="X2411" t="s">
        <v>73</v>
      </c>
      <c r="Y2411" t="s">
        <v>68</v>
      </c>
      <c r="Z2411" t="s">
        <v>158</v>
      </c>
      <c r="AA2411" t="s">
        <v>166</v>
      </c>
      <c r="AB2411">
        <v>4.7</v>
      </c>
      <c r="AC2411">
        <v>80</v>
      </c>
      <c r="AD2411">
        <v>718.26</v>
      </c>
      <c r="AE2411">
        <f t="shared" si="74"/>
        <v>5349.19</v>
      </c>
      <c r="AF2411" t="str">
        <f t="shared" si="75"/>
        <v>2025-11</v>
      </c>
      <c r="AG2411">
        <f>SUBTOTAL(103,A2411)</f>
        <v>1</v>
      </c>
    </row>
    <row r="2412" spans="1:33" x14ac:dyDescent="0.3">
      <c r="A2412" t="s">
        <v>5034</v>
      </c>
      <c r="B2412" s="13">
        <v>45965</v>
      </c>
      <c r="C2412">
        <v>2025</v>
      </c>
      <c r="D2412">
        <v>11</v>
      </c>
      <c r="E2412" t="s">
        <v>5007</v>
      </c>
      <c r="F2412" t="s">
        <v>4780</v>
      </c>
      <c r="G2412" t="s">
        <v>341</v>
      </c>
      <c r="H2412" t="s">
        <v>342</v>
      </c>
      <c r="I2412" t="s">
        <v>85</v>
      </c>
      <c r="J2412">
        <v>34</v>
      </c>
      <c r="K2412" t="s">
        <v>81</v>
      </c>
      <c r="L2412" t="s">
        <v>2679</v>
      </c>
      <c r="M2412" t="s">
        <v>60</v>
      </c>
      <c r="N2412" t="s">
        <v>2582</v>
      </c>
      <c r="O2412" t="s">
        <v>119</v>
      </c>
      <c r="P2412" t="s">
        <v>49</v>
      </c>
      <c r="Q2412" t="s">
        <v>140</v>
      </c>
      <c r="R2412">
        <v>4</v>
      </c>
      <c r="S2412">
        <v>3499</v>
      </c>
      <c r="T2412">
        <v>0.1</v>
      </c>
      <c r="U2412">
        <v>12596.4</v>
      </c>
      <c r="V2412">
        <v>8400</v>
      </c>
      <c r="W2412">
        <v>4196.3999999999996</v>
      </c>
      <c r="X2412" t="s">
        <v>76</v>
      </c>
      <c r="Y2412" t="s">
        <v>68</v>
      </c>
      <c r="Z2412" t="s">
        <v>161</v>
      </c>
      <c r="AA2412" t="s">
        <v>171</v>
      </c>
      <c r="AB2412">
        <v>4.5999999999999996</v>
      </c>
      <c r="AC2412">
        <v>60</v>
      </c>
      <c r="AD2412">
        <v>563.95000000000005</v>
      </c>
      <c r="AE2412">
        <f t="shared" si="74"/>
        <v>3572.45</v>
      </c>
      <c r="AF2412" t="str">
        <f t="shared" si="75"/>
        <v>2025-11</v>
      </c>
      <c r="AG2412">
        <f>SUBTOTAL(103,A2412)</f>
        <v>1</v>
      </c>
    </row>
    <row r="2413" spans="1:33" x14ac:dyDescent="0.3">
      <c r="A2413" t="s">
        <v>5035</v>
      </c>
      <c r="B2413" s="13">
        <v>45965</v>
      </c>
      <c r="C2413">
        <v>2025</v>
      </c>
      <c r="D2413">
        <v>11</v>
      </c>
      <c r="E2413" t="s">
        <v>5007</v>
      </c>
      <c r="F2413" t="s">
        <v>4780</v>
      </c>
      <c r="G2413" t="s">
        <v>1645</v>
      </c>
      <c r="H2413" t="s">
        <v>1646</v>
      </c>
      <c r="I2413" t="s">
        <v>86</v>
      </c>
      <c r="J2413">
        <v>56</v>
      </c>
      <c r="K2413" t="s">
        <v>83</v>
      </c>
      <c r="L2413" t="s">
        <v>94</v>
      </c>
      <c r="M2413" t="s">
        <v>57</v>
      </c>
      <c r="N2413" t="s">
        <v>2657</v>
      </c>
      <c r="O2413" t="s">
        <v>134</v>
      </c>
      <c r="P2413" t="s">
        <v>49</v>
      </c>
      <c r="Q2413" t="s">
        <v>140</v>
      </c>
      <c r="R2413">
        <v>1</v>
      </c>
      <c r="S2413">
        <v>599</v>
      </c>
      <c r="T2413">
        <v>0.15</v>
      </c>
      <c r="U2413">
        <v>509.15</v>
      </c>
      <c r="V2413">
        <v>250</v>
      </c>
      <c r="W2413">
        <v>259.14999999999998</v>
      </c>
      <c r="X2413" t="s">
        <v>74</v>
      </c>
      <c r="Y2413" t="s">
        <v>68</v>
      </c>
      <c r="Z2413" t="s">
        <v>159</v>
      </c>
      <c r="AA2413" t="s">
        <v>170</v>
      </c>
      <c r="AB2413">
        <v>3.6</v>
      </c>
      <c r="AC2413">
        <v>100</v>
      </c>
      <c r="AD2413">
        <v>46.53</v>
      </c>
      <c r="AE2413">
        <f t="shared" si="74"/>
        <v>112.61999999999998</v>
      </c>
      <c r="AF2413" t="str">
        <f t="shared" si="75"/>
        <v>2025-11</v>
      </c>
      <c r="AG2413">
        <f>SUBTOTAL(103,A2413)</f>
        <v>1</v>
      </c>
    </row>
    <row r="2414" spans="1:33" x14ac:dyDescent="0.3">
      <c r="A2414" t="s">
        <v>5036</v>
      </c>
      <c r="B2414" s="13">
        <v>45966</v>
      </c>
      <c r="C2414">
        <v>2025</v>
      </c>
      <c r="D2414">
        <v>11</v>
      </c>
      <c r="E2414" t="s">
        <v>5007</v>
      </c>
      <c r="F2414" t="s">
        <v>4780</v>
      </c>
      <c r="G2414" t="s">
        <v>1959</v>
      </c>
      <c r="H2414" t="s">
        <v>1960</v>
      </c>
      <c r="I2414" t="s">
        <v>85</v>
      </c>
      <c r="J2414">
        <v>22</v>
      </c>
      <c r="K2414" t="s">
        <v>80</v>
      </c>
      <c r="L2414" t="s">
        <v>95</v>
      </c>
      <c r="M2414" t="s">
        <v>56</v>
      </c>
      <c r="N2414" t="s">
        <v>2657</v>
      </c>
      <c r="O2414" t="s">
        <v>134</v>
      </c>
      <c r="P2414" t="s">
        <v>49</v>
      </c>
      <c r="Q2414" t="s">
        <v>140</v>
      </c>
      <c r="R2414">
        <v>4</v>
      </c>
      <c r="S2414">
        <v>599</v>
      </c>
      <c r="T2414">
        <v>0.05</v>
      </c>
      <c r="U2414">
        <v>2276.1999999999998</v>
      </c>
      <c r="V2414">
        <v>1000</v>
      </c>
      <c r="W2414">
        <v>1276.2</v>
      </c>
      <c r="X2414" t="s">
        <v>73</v>
      </c>
      <c r="Y2414" t="s">
        <v>68</v>
      </c>
      <c r="Z2414" t="s">
        <v>158</v>
      </c>
      <c r="AA2414" t="s">
        <v>166</v>
      </c>
      <c r="AB2414">
        <v>4.3</v>
      </c>
      <c r="AC2414">
        <v>50</v>
      </c>
      <c r="AD2414">
        <v>66.650000000000006</v>
      </c>
      <c r="AE2414">
        <f t="shared" si="74"/>
        <v>1159.55</v>
      </c>
      <c r="AF2414" t="str">
        <f t="shared" si="75"/>
        <v>2025-11</v>
      </c>
      <c r="AG2414">
        <f>SUBTOTAL(103,A2414)</f>
        <v>1</v>
      </c>
    </row>
    <row r="2415" spans="1:33" x14ac:dyDescent="0.3">
      <c r="A2415" t="s">
        <v>5037</v>
      </c>
      <c r="B2415" s="13">
        <v>45966</v>
      </c>
      <c r="C2415">
        <v>2025</v>
      </c>
      <c r="D2415">
        <v>11</v>
      </c>
      <c r="E2415" t="s">
        <v>5007</v>
      </c>
      <c r="F2415" t="s">
        <v>4780</v>
      </c>
      <c r="G2415" t="s">
        <v>2485</v>
      </c>
      <c r="H2415" t="s">
        <v>2486</v>
      </c>
      <c r="I2415" t="s">
        <v>85</v>
      </c>
      <c r="J2415">
        <v>30</v>
      </c>
      <c r="K2415" t="s">
        <v>81</v>
      </c>
      <c r="L2415" t="s">
        <v>2623</v>
      </c>
      <c r="M2415" t="s">
        <v>61</v>
      </c>
      <c r="N2415" t="s">
        <v>2653</v>
      </c>
      <c r="O2415" t="s">
        <v>132</v>
      </c>
      <c r="P2415" t="s">
        <v>52</v>
      </c>
      <c r="Q2415" t="s">
        <v>150</v>
      </c>
      <c r="R2415">
        <v>2</v>
      </c>
      <c r="S2415">
        <v>899</v>
      </c>
      <c r="T2415">
        <v>0.05</v>
      </c>
      <c r="U2415">
        <v>1708.1</v>
      </c>
      <c r="V2415">
        <v>840</v>
      </c>
      <c r="W2415">
        <v>868.1</v>
      </c>
      <c r="X2415" t="s">
        <v>73</v>
      </c>
      <c r="Y2415" t="s">
        <v>68</v>
      </c>
      <c r="Z2415" t="s">
        <v>158</v>
      </c>
      <c r="AA2415" t="s">
        <v>166</v>
      </c>
      <c r="AB2415">
        <v>4.4000000000000004</v>
      </c>
      <c r="AC2415">
        <v>50</v>
      </c>
      <c r="AD2415">
        <v>40.53</v>
      </c>
      <c r="AE2415">
        <f t="shared" si="74"/>
        <v>777.57</v>
      </c>
      <c r="AF2415" t="str">
        <f t="shared" si="75"/>
        <v>2025-11</v>
      </c>
      <c r="AG2415">
        <f>SUBTOTAL(103,A2415)</f>
        <v>1</v>
      </c>
    </row>
    <row r="2416" spans="1:33" x14ac:dyDescent="0.3">
      <c r="A2416" t="s">
        <v>5038</v>
      </c>
      <c r="B2416" s="13">
        <v>45966</v>
      </c>
      <c r="C2416">
        <v>2025</v>
      </c>
      <c r="D2416">
        <v>11</v>
      </c>
      <c r="E2416" t="s">
        <v>5007</v>
      </c>
      <c r="F2416" t="s">
        <v>4780</v>
      </c>
      <c r="G2416" t="s">
        <v>1121</v>
      </c>
      <c r="H2416" t="s">
        <v>1122</v>
      </c>
      <c r="I2416" t="s">
        <v>85</v>
      </c>
      <c r="J2416">
        <v>38</v>
      </c>
      <c r="K2416" t="s">
        <v>82</v>
      </c>
      <c r="L2416" t="s">
        <v>100</v>
      </c>
      <c r="M2416" t="s">
        <v>56</v>
      </c>
      <c r="N2416" t="s">
        <v>2601</v>
      </c>
      <c r="O2416" t="s">
        <v>117</v>
      </c>
      <c r="P2416" t="s">
        <v>49</v>
      </c>
      <c r="Q2416" t="s">
        <v>139</v>
      </c>
      <c r="R2416">
        <v>1</v>
      </c>
      <c r="S2416">
        <v>6999</v>
      </c>
      <c r="T2416">
        <v>0.05</v>
      </c>
      <c r="U2416">
        <v>6649.05</v>
      </c>
      <c r="V2416">
        <v>4300</v>
      </c>
      <c r="W2416">
        <v>2349.0500000000002</v>
      </c>
      <c r="X2416" t="s">
        <v>73</v>
      </c>
      <c r="Y2416" t="s">
        <v>68</v>
      </c>
      <c r="Z2416" t="s">
        <v>162</v>
      </c>
      <c r="AA2416" t="s">
        <v>167</v>
      </c>
      <c r="AB2416">
        <v>4.3</v>
      </c>
      <c r="AC2416">
        <v>50</v>
      </c>
      <c r="AD2416">
        <v>587.83000000000004</v>
      </c>
      <c r="AE2416">
        <f t="shared" si="74"/>
        <v>1711.2200000000003</v>
      </c>
      <c r="AF2416" t="str">
        <f t="shared" si="75"/>
        <v>2025-11</v>
      </c>
      <c r="AG2416">
        <f>SUBTOTAL(103,A2416)</f>
        <v>1</v>
      </c>
    </row>
    <row r="2417" spans="1:33" x14ac:dyDescent="0.3">
      <c r="A2417" t="s">
        <v>5039</v>
      </c>
      <c r="B2417" s="13">
        <v>45966</v>
      </c>
      <c r="C2417">
        <v>2025</v>
      </c>
      <c r="D2417">
        <v>11</v>
      </c>
      <c r="E2417" t="s">
        <v>5007</v>
      </c>
      <c r="F2417" t="s">
        <v>4780</v>
      </c>
      <c r="G2417" t="s">
        <v>1377</v>
      </c>
      <c r="H2417" t="s">
        <v>1378</v>
      </c>
      <c r="I2417" t="s">
        <v>86</v>
      </c>
      <c r="J2417">
        <v>32</v>
      </c>
      <c r="K2417" t="s">
        <v>81</v>
      </c>
      <c r="L2417" t="s">
        <v>2646</v>
      </c>
      <c r="M2417" t="s">
        <v>63</v>
      </c>
      <c r="N2417" t="s">
        <v>2606</v>
      </c>
      <c r="O2417" t="s">
        <v>120</v>
      </c>
      <c r="P2417" t="s">
        <v>49</v>
      </c>
      <c r="Q2417" t="s">
        <v>140</v>
      </c>
      <c r="R2417">
        <v>2</v>
      </c>
      <c r="S2417">
        <v>2799</v>
      </c>
      <c r="T2417">
        <v>0.1</v>
      </c>
      <c r="U2417">
        <v>5038.2</v>
      </c>
      <c r="V2417">
        <v>3300</v>
      </c>
      <c r="W2417">
        <v>1738.2</v>
      </c>
      <c r="X2417" t="s">
        <v>74</v>
      </c>
      <c r="Y2417" t="s">
        <v>68</v>
      </c>
      <c r="Z2417" t="s">
        <v>160</v>
      </c>
      <c r="AA2417" t="s">
        <v>166</v>
      </c>
      <c r="AB2417">
        <v>4</v>
      </c>
      <c r="AC2417">
        <v>50</v>
      </c>
      <c r="AD2417">
        <v>311.48</v>
      </c>
      <c r="AE2417">
        <f t="shared" si="74"/>
        <v>1376.72</v>
      </c>
      <c r="AF2417" t="str">
        <f t="shared" si="75"/>
        <v>2025-11</v>
      </c>
      <c r="AG2417">
        <f>SUBTOTAL(103,A2417)</f>
        <v>1</v>
      </c>
    </row>
    <row r="2418" spans="1:33" x14ac:dyDescent="0.3">
      <c r="A2418" t="s">
        <v>5040</v>
      </c>
      <c r="B2418" s="13">
        <v>45966</v>
      </c>
      <c r="C2418">
        <v>2025</v>
      </c>
      <c r="D2418">
        <v>11</v>
      </c>
      <c r="E2418" t="s">
        <v>5007</v>
      </c>
      <c r="F2418" t="s">
        <v>4780</v>
      </c>
      <c r="G2418" t="s">
        <v>1971</v>
      </c>
      <c r="H2418" t="s">
        <v>1972</v>
      </c>
      <c r="I2418" t="s">
        <v>85</v>
      </c>
      <c r="J2418">
        <v>56</v>
      </c>
      <c r="K2418" t="s">
        <v>83</v>
      </c>
      <c r="L2418" t="s">
        <v>99</v>
      </c>
      <c r="M2418" t="s">
        <v>58</v>
      </c>
      <c r="N2418" t="s">
        <v>2653</v>
      </c>
      <c r="O2418" t="s">
        <v>132</v>
      </c>
      <c r="P2418" t="s">
        <v>52</v>
      </c>
      <c r="Q2418" t="s">
        <v>150</v>
      </c>
      <c r="R2418">
        <v>2</v>
      </c>
      <c r="S2418">
        <v>899</v>
      </c>
      <c r="T2418">
        <v>0.05</v>
      </c>
      <c r="U2418">
        <v>1708.1</v>
      </c>
      <c r="V2418">
        <v>840</v>
      </c>
      <c r="W2418">
        <v>868.1</v>
      </c>
      <c r="X2418" t="s">
        <v>74</v>
      </c>
      <c r="Y2418" t="s">
        <v>68</v>
      </c>
      <c r="Z2418" t="s">
        <v>161</v>
      </c>
      <c r="AA2418" t="s">
        <v>166</v>
      </c>
      <c r="AB2418">
        <v>4.7</v>
      </c>
      <c r="AC2418">
        <v>100</v>
      </c>
      <c r="AD2418">
        <v>56.91</v>
      </c>
      <c r="AE2418">
        <f t="shared" si="74"/>
        <v>711.19</v>
      </c>
      <c r="AF2418" t="str">
        <f t="shared" si="75"/>
        <v>2025-11</v>
      </c>
      <c r="AG2418">
        <f>SUBTOTAL(103,A2418)</f>
        <v>1</v>
      </c>
    </row>
    <row r="2419" spans="1:33" x14ac:dyDescent="0.3">
      <c r="A2419" t="s">
        <v>5041</v>
      </c>
      <c r="B2419" s="13">
        <v>45966</v>
      </c>
      <c r="C2419">
        <v>2025</v>
      </c>
      <c r="D2419">
        <v>11</v>
      </c>
      <c r="E2419" t="s">
        <v>5007</v>
      </c>
      <c r="F2419" t="s">
        <v>4780</v>
      </c>
      <c r="G2419" t="s">
        <v>1321</v>
      </c>
      <c r="H2419" t="s">
        <v>1322</v>
      </c>
      <c r="I2419" t="s">
        <v>86</v>
      </c>
      <c r="J2419">
        <v>19</v>
      </c>
      <c r="K2419" t="s">
        <v>80</v>
      </c>
      <c r="L2419" t="s">
        <v>2589</v>
      </c>
      <c r="M2419" t="s">
        <v>61</v>
      </c>
      <c r="N2419" t="s">
        <v>2606</v>
      </c>
      <c r="O2419" t="s">
        <v>120</v>
      </c>
      <c r="P2419" t="s">
        <v>49</v>
      </c>
      <c r="Q2419" t="s">
        <v>140</v>
      </c>
      <c r="R2419">
        <v>1</v>
      </c>
      <c r="S2419">
        <v>2799</v>
      </c>
      <c r="T2419">
        <v>0.05</v>
      </c>
      <c r="U2419">
        <v>2659.05</v>
      </c>
      <c r="V2419">
        <v>1650</v>
      </c>
      <c r="W2419">
        <v>1009.05</v>
      </c>
      <c r="X2419" t="s">
        <v>73</v>
      </c>
      <c r="Y2419" t="s">
        <v>68</v>
      </c>
      <c r="Z2419" t="s">
        <v>163</v>
      </c>
      <c r="AA2419" t="s">
        <v>170</v>
      </c>
      <c r="AB2419">
        <v>3.1</v>
      </c>
      <c r="AC2419">
        <v>40</v>
      </c>
      <c r="AD2419">
        <v>133.19</v>
      </c>
      <c r="AE2419">
        <f t="shared" si="74"/>
        <v>835.8599999999999</v>
      </c>
      <c r="AF2419" t="str">
        <f t="shared" si="75"/>
        <v>2025-11</v>
      </c>
      <c r="AG2419">
        <f>SUBTOTAL(103,A2419)</f>
        <v>1</v>
      </c>
    </row>
    <row r="2420" spans="1:33" x14ac:dyDescent="0.3">
      <c r="A2420" t="s">
        <v>5042</v>
      </c>
      <c r="B2420" s="13">
        <v>45966</v>
      </c>
      <c r="C2420">
        <v>2025</v>
      </c>
      <c r="D2420">
        <v>11</v>
      </c>
      <c r="E2420" t="s">
        <v>5007</v>
      </c>
      <c r="F2420" t="s">
        <v>4780</v>
      </c>
      <c r="G2420" t="s">
        <v>307</v>
      </c>
      <c r="H2420" t="s">
        <v>308</v>
      </c>
      <c r="I2420" t="s">
        <v>86</v>
      </c>
      <c r="J2420">
        <v>54</v>
      </c>
      <c r="K2420" t="s">
        <v>83</v>
      </c>
      <c r="L2420" t="s">
        <v>2646</v>
      </c>
      <c r="M2420" t="s">
        <v>63</v>
      </c>
      <c r="N2420" t="s">
        <v>2592</v>
      </c>
      <c r="O2420" t="s">
        <v>115</v>
      </c>
      <c r="P2420" t="s">
        <v>48</v>
      </c>
      <c r="Q2420" t="s">
        <v>137</v>
      </c>
      <c r="R2420">
        <v>4</v>
      </c>
      <c r="S2420">
        <v>12999</v>
      </c>
      <c r="T2420">
        <v>0.1</v>
      </c>
      <c r="U2420">
        <v>46796.4</v>
      </c>
      <c r="V2420">
        <v>36000</v>
      </c>
      <c r="W2420">
        <v>10796.4</v>
      </c>
      <c r="X2420" t="s">
        <v>75</v>
      </c>
      <c r="Y2420" t="s">
        <v>68</v>
      </c>
      <c r="Z2420" t="s">
        <v>163</v>
      </c>
      <c r="AA2420" t="s">
        <v>166</v>
      </c>
      <c r="AB2420">
        <v>4</v>
      </c>
      <c r="AC2420">
        <v>40</v>
      </c>
      <c r="AD2420">
        <v>1958.38</v>
      </c>
      <c r="AE2420">
        <f t="shared" si="74"/>
        <v>8798.02</v>
      </c>
      <c r="AF2420" t="str">
        <f t="shared" si="75"/>
        <v>2025-11</v>
      </c>
      <c r="AG2420">
        <f>SUBTOTAL(103,A2420)</f>
        <v>1</v>
      </c>
    </row>
    <row r="2421" spans="1:33" x14ac:dyDescent="0.3">
      <c r="A2421" t="s">
        <v>5043</v>
      </c>
      <c r="B2421" s="13">
        <v>45967</v>
      </c>
      <c r="C2421">
        <v>2025</v>
      </c>
      <c r="D2421">
        <v>11</v>
      </c>
      <c r="E2421" t="s">
        <v>5007</v>
      </c>
      <c r="F2421" t="s">
        <v>4780</v>
      </c>
      <c r="G2421" t="s">
        <v>1145</v>
      </c>
      <c r="H2421" t="s">
        <v>1146</v>
      </c>
      <c r="I2421" t="s">
        <v>85</v>
      </c>
      <c r="J2421">
        <v>52</v>
      </c>
      <c r="K2421" t="s">
        <v>83</v>
      </c>
      <c r="L2421" t="s">
        <v>2634</v>
      </c>
      <c r="M2421" t="s">
        <v>56</v>
      </c>
      <c r="N2421" t="s">
        <v>2653</v>
      </c>
      <c r="O2421" t="s">
        <v>132</v>
      </c>
      <c r="P2421" t="s">
        <v>52</v>
      </c>
      <c r="Q2421" t="s">
        <v>150</v>
      </c>
      <c r="R2421">
        <v>3</v>
      </c>
      <c r="S2421">
        <v>899</v>
      </c>
      <c r="T2421">
        <v>0.15</v>
      </c>
      <c r="U2421">
        <v>2292.4499999999998</v>
      </c>
      <c r="V2421">
        <v>1260</v>
      </c>
      <c r="W2421">
        <v>1032.45</v>
      </c>
      <c r="X2421" t="s">
        <v>74</v>
      </c>
      <c r="Y2421" t="s">
        <v>68</v>
      </c>
      <c r="Z2421" t="s">
        <v>159</v>
      </c>
      <c r="AA2421" t="s">
        <v>171</v>
      </c>
      <c r="AB2421">
        <v>3.8</v>
      </c>
      <c r="AC2421">
        <v>40</v>
      </c>
      <c r="AD2421">
        <v>109.49</v>
      </c>
      <c r="AE2421">
        <f t="shared" si="74"/>
        <v>882.96</v>
      </c>
      <c r="AF2421" t="str">
        <f t="shared" si="75"/>
        <v>2025-11</v>
      </c>
      <c r="AG2421">
        <f>SUBTOTAL(103,A2421)</f>
        <v>1</v>
      </c>
    </row>
    <row r="2422" spans="1:33" x14ac:dyDescent="0.3">
      <c r="A2422" t="s">
        <v>5044</v>
      </c>
      <c r="B2422" s="13">
        <v>45967</v>
      </c>
      <c r="C2422">
        <v>2025</v>
      </c>
      <c r="D2422">
        <v>11</v>
      </c>
      <c r="E2422" t="s">
        <v>5007</v>
      </c>
      <c r="F2422" t="s">
        <v>4780</v>
      </c>
      <c r="G2422" t="s">
        <v>2119</v>
      </c>
      <c r="H2422" t="s">
        <v>2120</v>
      </c>
      <c r="I2422" t="s">
        <v>85</v>
      </c>
      <c r="J2422">
        <v>28</v>
      </c>
      <c r="K2422" t="s">
        <v>81</v>
      </c>
      <c r="L2422" t="s">
        <v>98</v>
      </c>
      <c r="M2422" t="s">
        <v>55</v>
      </c>
      <c r="N2422" t="s">
        <v>2577</v>
      </c>
      <c r="O2422" t="s">
        <v>129</v>
      </c>
      <c r="P2422" t="s">
        <v>49</v>
      </c>
      <c r="Q2422" t="s">
        <v>149</v>
      </c>
      <c r="R2422">
        <v>4</v>
      </c>
      <c r="S2422">
        <v>1299</v>
      </c>
      <c r="T2422">
        <v>0.1</v>
      </c>
      <c r="U2422">
        <v>4676.3999999999996</v>
      </c>
      <c r="V2422">
        <v>2600</v>
      </c>
      <c r="W2422">
        <v>2076.4</v>
      </c>
      <c r="X2422" t="s">
        <v>76</v>
      </c>
      <c r="Y2422" t="s">
        <v>68</v>
      </c>
      <c r="Z2422" t="s">
        <v>158</v>
      </c>
      <c r="AA2422" t="s">
        <v>166</v>
      </c>
      <c r="AB2422">
        <v>3.8</v>
      </c>
      <c r="AC2422">
        <v>50</v>
      </c>
      <c r="AD2422">
        <v>204.79</v>
      </c>
      <c r="AE2422">
        <f t="shared" si="74"/>
        <v>1821.6100000000001</v>
      </c>
      <c r="AF2422" t="str">
        <f t="shared" si="75"/>
        <v>2025-11</v>
      </c>
      <c r="AG2422">
        <f>SUBTOTAL(103,A2422)</f>
        <v>1</v>
      </c>
    </row>
    <row r="2423" spans="1:33" x14ac:dyDescent="0.3">
      <c r="A2423" t="s">
        <v>5045</v>
      </c>
      <c r="B2423" s="13">
        <v>45967</v>
      </c>
      <c r="C2423">
        <v>2025</v>
      </c>
      <c r="D2423">
        <v>11</v>
      </c>
      <c r="E2423" t="s">
        <v>5007</v>
      </c>
      <c r="F2423" t="s">
        <v>4780</v>
      </c>
      <c r="G2423" t="s">
        <v>1155</v>
      </c>
      <c r="H2423" t="s">
        <v>1156</v>
      </c>
      <c r="I2423" t="s">
        <v>85</v>
      </c>
      <c r="J2423">
        <v>18</v>
      </c>
      <c r="K2423" t="s">
        <v>80</v>
      </c>
      <c r="L2423" t="s">
        <v>2579</v>
      </c>
      <c r="M2423" t="s">
        <v>56</v>
      </c>
      <c r="N2423" t="s">
        <v>2665</v>
      </c>
      <c r="O2423" t="s">
        <v>128</v>
      </c>
      <c r="P2423" t="s">
        <v>53</v>
      </c>
      <c r="Q2423" t="s">
        <v>143</v>
      </c>
      <c r="R2423">
        <v>1</v>
      </c>
      <c r="S2423">
        <v>1499</v>
      </c>
      <c r="T2423">
        <v>0</v>
      </c>
      <c r="U2423">
        <v>1499</v>
      </c>
      <c r="V2423">
        <v>800</v>
      </c>
      <c r="W2423">
        <v>699</v>
      </c>
      <c r="X2423" t="s">
        <v>73</v>
      </c>
      <c r="Y2423" t="s">
        <v>68</v>
      </c>
      <c r="Z2423" t="s">
        <v>161</v>
      </c>
      <c r="AA2423" t="s">
        <v>168</v>
      </c>
      <c r="AB2423">
        <v>3.4</v>
      </c>
      <c r="AC2423">
        <v>40</v>
      </c>
      <c r="AD2423">
        <v>69.959999999999994</v>
      </c>
      <c r="AE2423">
        <f t="shared" si="74"/>
        <v>589.04</v>
      </c>
      <c r="AF2423" t="str">
        <f t="shared" si="75"/>
        <v>2025-11</v>
      </c>
      <c r="AG2423">
        <f>SUBTOTAL(103,A2423)</f>
        <v>1</v>
      </c>
    </row>
    <row r="2424" spans="1:33" x14ac:dyDescent="0.3">
      <c r="A2424" t="s">
        <v>5046</v>
      </c>
      <c r="B2424" s="13">
        <v>45967</v>
      </c>
      <c r="C2424">
        <v>2025</v>
      </c>
      <c r="D2424">
        <v>11</v>
      </c>
      <c r="E2424" t="s">
        <v>5007</v>
      </c>
      <c r="F2424" t="s">
        <v>4780</v>
      </c>
      <c r="G2424" t="s">
        <v>1247</v>
      </c>
      <c r="H2424" t="s">
        <v>1248</v>
      </c>
      <c r="I2424" t="s">
        <v>85</v>
      </c>
      <c r="J2424">
        <v>53</v>
      </c>
      <c r="K2424" t="s">
        <v>83</v>
      </c>
      <c r="L2424" t="s">
        <v>2679</v>
      </c>
      <c r="M2424" t="s">
        <v>60</v>
      </c>
      <c r="N2424" t="s">
        <v>2665</v>
      </c>
      <c r="O2424" t="s">
        <v>128</v>
      </c>
      <c r="P2424" t="s">
        <v>53</v>
      </c>
      <c r="Q2424" t="s">
        <v>143</v>
      </c>
      <c r="R2424">
        <v>3</v>
      </c>
      <c r="S2424">
        <v>1499</v>
      </c>
      <c r="T2424">
        <v>0.05</v>
      </c>
      <c r="U2424">
        <v>4272.1499999999996</v>
      </c>
      <c r="V2424">
        <v>2400</v>
      </c>
      <c r="W2424">
        <v>1872.15</v>
      </c>
      <c r="X2424" t="s">
        <v>74</v>
      </c>
      <c r="Y2424" t="s">
        <v>68</v>
      </c>
      <c r="Z2424" t="s">
        <v>159</v>
      </c>
      <c r="AA2424" t="s">
        <v>168</v>
      </c>
      <c r="AB2424">
        <v>4.5999999999999996</v>
      </c>
      <c r="AC2424">
        <v>60</v>
      </c>
      <c r="AD2424">
        <v>345.97</v>
      </c>
      <c r="AE2424">
        <f t="shared" si="74"/>
        <v>1466.18</v>
      </c>
      <c r="AF2424" t="str">
        <f t="shared" si="75"/>
        <v>2025-11</v>
      </c>
      <c r="AG2424">
        <f>SUBTOTAL(103,A2424)</f>
        <v>1</v>
      </c>
    </row>
    <row r="2425" spans="1:33" x14ac:dyDescent="0.3">
      <c r="A2425" t="s">
        <v>5047</v>
      </c>
      <c r="B2425" s="13">
        <v>45967</v>
      </c>
      <c r="C2425">
        <v>2025</v>
      </c>
      <c r="D2425">
        <v>11</v>
      </c>
      <c r="E2425" t="s">
        <v>5007</v>
      </c>
      <c r="F2425" t="s">
        <v>4780</v>
      </c>
      <c r="G2425" t="s">
        <v>2093</v>
      </c>
      <c r="H2425" t="s">
        <v>2094</v>
      </c>
      <c r="I2425" t="s">
        <v>86</v>
      </c>
      <c r="J2425">
        <v>27</v>
      </c>
      <c r="K2425" t="s">
        <v>81</v>
      </c>
      <c r="L2425" t="s">
        <v>96</v>
      </c>
      <c r="M2425" t="s">
        <v>55</v>
      </c>
      <c r="N2425" t="s">
        <v>2665</v>
      </c>
      <c r="O2425" t="s">
        <v>128</v>
      </c>
      <c r="P2425" t="s">
        <v>53</v>
      </c>
      <c r="Q2425" t="s">
        <v>143</v>
      </c>
      <c r="R2425">
        <v>3</v>
      </c>
      <c r="S2425">
        <v>1499</v>
      </c>
      <c r="T2425">
        <v>0.1</v>
      </c>
      <c r="U2425">
        <v>4047.3</v>
      </c>
      <c r="V2425">
        <v>2400</v>
      </c>
      <c r="W2425">
        <v>1647.3</v>
      </c>
      <c r="X2425" t="s">
        <v>76</v>
      </c>
      <c r="Y2425" t="s">
        <v>68</v>
      </c>
      <c r="Z2425" t="s">
        <v>163</v>
      </c>
      <c r="AA2425" t="s">
        <v>169</v>
      </c>
      <c r="AB2425">
        <v>4.2</v>
      </c>
      <c r="AC2425">
        <v>40</v>
      </c>
      <c r="AD2425">
        <v>94.56</v>
      </c>
      <c r="AE2425">
        <f t="shared" si="74"/>
        <v>1512.74</v>
      </c>
      <c r="AF2425" t="str">
        <f t="shared" si="75"/>
        <v>2025-11</v>
      </c>
      <c r="AG2425">
        <f>SUBTOTAL(103,A2425)</f>
        <v>1</v>
      </c>
    </row>
    <row r="2426" spans="1:33" x14ac:dyDescent="0.3">
      <c r="A2426" t="s">
        <v>5048</v>
      </c>
      <c r="B2426" s="13">
        <v>45967</v>
      </c>
      <c r="C2426">
        <v>2025</v>
      </c>
      <c r="D2426">
        <v>11</v>
      </c>
      <c r="E2426" t="s">
        <v>5007</v>
      </c>
      <c r="F2426" t="s">
        <v>4780</v>
      </c>
      <c r="G2426" t="s">
        <v>1535</v>
      </c>
      <c r="H2426" t="s">
        <v>1536</v>
      </c>
      <c r="I2426" t="s">
        <v>85</v>
      </c>
      <c r="J2426">
        <v>59</v>
      </c>
      <c r="K2426" t="s">
        <v>83</v>
      </c>
      <c r="L2426" t="s">
        <v>2599</v>
      </c>
      <c r="M2426" t="s">
        <v>62</v>
      </c>
      <c r="N2426" t="s">
        <v>2603</v>
      </c>
      <c r="O2426" t="s">
        <v>122</v>
      </c>
      <c r="P2426" t="s">
        <v>48</v>
      </c>
      <c r="Q2426" t="s">
        <v>141</v>
      </c>
      <c r="R2426">
        <v>1</v>
      </c>
      <c r="S2426">
        <v>2499</v>
      </c>
      <c r="T2426">
        <v>0.15</v>
      </c>
      <c r="U2426">
        <v>2124.15</v>
      </c>
      <c r="V2426">
        <v>1450</v>
      </c>
      <c r="W2426">
        <v>674.15</v>
      </c>
      <c r="X2426" t="s">
        <v>73</v>
      </c>
      <c r="Y2426" t="s">
        <v>68</v>
      </c>
      <c r="Z2426" t="s">
        <v>161</v>
      </c>
      <c r="AA2426" t="s">
        <v>166</v>
      </c>
      <c r="AB2426">
        <v>4.8</v>
      </c>
      <c r="AC2426">
        <v>40</v>
      </c>
      <c r="AD2426">
        <v>56.17</v>
      </c>
      <c r="AE2426">
        <f t="shared" si="74"/>
        <v>577.98</v>
      </c>
      <c r="AF2426" t="str">
        <f t="shared" si="75"/>
        <v>2025-11</v>
      </c>
      <c r="AG2426">
        <f>SUBTOTAL(103,A2426)</f>
        <v>1</v>
      </c>
    </row>
    <row r="2427" spans="1:33" x14ac:dyDescent="0.3">
      <c r="A2427" t="s">
        <v>5049</v>
      </c>
      <c r="B2427" s="13">
        <v>45967</v>
      </c>
      <c r="C2427">
        <v>2025</v>
      </c>
      <c r="D2427">
        <v>11</v>
      </c>
      <c r="E2427" t="s">
        <v>5007</v>
      </c>
      <c r="F2427" t="s">
        <v>4780</v>
      </c>
      <c r="G2427" t="s">
        <v>1157</v>
      </c>
      <c r="H2427" t="s">
        <v>1158</v>
      </c>
      <c r="I2427" t="s">
        <v>85</v>
      </c>
      <c r="J2427">
        <v>60</v>
      </c>
      <c r="K2427" t="s">
        <v>83</v>
      </c>
      <c r="L2427" t="s">
        <v>2674</v>
      </c>
      <c r="M2427" t="s">
        <v>58</v>
      </c>
      <c r="N2427" t="s">
        <v>2657</v>
      </c>
      <c r="O2427" t="s">
        <v>134</v>
      </c>
      <c r="P2427" t="s">
        <v>49</v>
      </c>
      <c r="Q2427" t="s">
        <v>140</v>
      </c>
      <c r="R2427">
        <v>3</v>
      </c>
      <c r="S2427">
        <v>599</v>
      </c>
      <c r="T2427">
        <v>0.05</v>
      </c>
      <c r="U2427">
        <v>1707.15</v>
      </c>
      <c r="V2427">
        <v>750</v>
      </c>
      <c r="W2427">
        <v>957.15</v>
      </c>
      <c r="X2427" t="s">
        <v>73</v>
      </c>
      <c r="Y2427" t="s">
        <v>68</v>
      </c>
      <c r="Z2427" t="s">
        <v>159</v>
      </c>
      <c r="AA2427" t="s">
        <v>166</v>
      </c>
      <c r="AB2427">
        <v>4.8</v>
      </c>
      <c r="AC2427">
        <v>60</v>
      </c>
      <c r="AD2427">
        <v>96.9</v>
      </c>
      <c r="AE2427">
        <f t="shared" si="74"/>
        <v>800.25</v>
      </c>
      <c r="AF2427" t="str">
        <f t="shared" si="75"/>
        <v>2025-11</v>
      </c>
      <c r="AG2427">
        <f>SUBTOTAL(103,A2427)</f>
        <v>1</v>
      </c>
    </row>
    <row r="2428" spans="1:33" x14ac:dyDescent="0.3">
      <c r="A2428" t="s">
        <v>5050</v>
      </c>
      <c r="B2428" s="13">
        <v>45967</v>
      </c>
      <c r="C2428">
        <v>2025</v>
      </c>
      <c r="D2428">
        <v>11</v>
      </c>
      <c r="E2428" t="s">
        <v>5007</v>
      </c>
      <c r="F2428" t="s">
        <v>4780</v>
      </c>
      <c r="G2428" t="s">
        <v>2069</v>
      </c>
      <c r="H2428" t="s">
        <v>2070</v>
      </c>
      <c r="I2428" t="s">
        <v>86</v>
      </c>
      <c r="J2428">
        <v>20</v>
      </c>
      <c r="K2428" t="s">
        <v>80</v>
      </c>
      <c r="L2428" t="s">
        <v>99</v>
      </c>
      <c r="M2428" t="s">
        <v>58</v>
      </c>
      <c r="N2428" t="s">
        <v>2626</v>
      </c>
      <c r="O2428" t="s">
        <v>125</v>
      </c>
      <c r="P2428" t="s">
        <v>48</v>
      </c>
      <c r="Q2428" t="s">
        <v>141</v>
      </c>
      <c r="R2428">
        <v>1</v>
      </c>
      <c r="S2428">
        <v>1999</v>
      </c>
      <c r="T2428">
        <v>0.1</v>
      </c>
      <c r="U2428">
        <v>1799.1</v>
      </c>
      <c r="V2428">
        <v>1150</v>
      </c>
      <c r="W2428">
        <v>649.1</v>
      </c>
      <c r="X2428" t="s">
        <v>75</v>
      </c>
      <c r="Y2428" t="s">
        <v>68</v>
      </c>
      <c r="Z2428" t="s">
        <v>158</v>
      </c>
      <c r="AA2428" t="s">
        <v>166</v>
      </c>
      <c r="AB2428">
        <v>4.8</v>
      </c>
      <c r="AC2428">
        <v>100</v>
      </c>
      <c r="AD2428">
        <v>193.45</v>
      </c>
      <c r="AE2428">
        <f t="shared" si="74"/>
        <v>355.65000000000003</v>
      </c>
      <c r="AF2428" t="str">
        <f t="shared" si="75"/>
        <v>2025-11</v>
      </c>
      <c r="AG2428">
        <f>SUBTOTAL(103,A2428)</f>
        <v>1</v>
      </c>
    </row>
    <row r="2429" spans="1:33" x14ac:dyDescent="0.3">
      <c r="A2429" t="s">
        <v>5051</v>
      </c>
      <c r="B2429" s="13">
        <v>45967</v>
      </c>
      <c r="C2429">
        <v>2025</v>
      </c>
      <c r="D2429">
        <v>11</v>
      </c>
      <c r="E2429" t="s">
        <v>5007</v>
      </c>
      <c r="F2429" t="s">
        <v>4780</v>
      </c>
      <c r="G2429" t="s">
        <v>1675</v>
      </c>
      <c r="H2429" t="s">
        <v>1676</v>
      </c>
      <c r="I2429" t="s">
        <v>85</v>
      </c>
      <c r="J2429">
        <v>24</v>
      </c>
      <c r="K2429" t="s">
        <v>80</v>
      </c>
      <c r="L2429" t="s">
        <v>2576</v>
      </c>
      <c r="M2429" t="s">
        <v>60</v>
      </c>
      <c r="N2429" t="s">
        <v>2590</v>
      </c>
      <c r="O2429" t="s">
        <v>127</v>
      </c>
      <c r="P2429" t="s">
        <v>51</v>
      </c>
      <c r="Q2429" t="s">
        <v>148</v>
      </c>
      <c r="R2429">
        <v>2</v>
      </c>
      <c r="S2429">
        <v>1599</v>
      </c>
      <c r="T2429">
        <v>0.05</v>
      </c>
      <c r="U2429">
        <v>3038.1</v>
      </c>
      <c r="V2429">
        <v>1600</v>
      </c>
      <c r="W2429">
        <v>1438.1</v>
      </c>
      <c r="X2429" t="s">
        <v>73</v>
      </c>
      <c r="Y2429" t="s">
        <v>68</v>
      </c>
      <c r="Z2429" t="s">
        <v>159</v>
      </c>
      <c r="AA2429" t="s">
        <v>166</v>
      </c>
      <c r="AB2429">
        <v>4.3</v>
      </c>
      <c r="AC2429">
        <v>40</v>
      </c>
      <c r="AD2429">
        <v>113.2</v>
      </c>
      <c r="AE2429">
        <f t="shared" si="74"/>
        <v>1284.8999999999999</v>
      </c>
      <c r="AF2429" t="str">
        <f t="shared" si="75"/>
        <v>2025-11</v>
      </c>
      <c r="AG2429">
        <f>SUBTOTAL(103,A2429)</f>
        <v>1</v>
      </c>
    </row>
    <row r="2430" spans="1:33" x14ac:dyDescent="0.3">
      <c r="A2430" t="s">
        <v>5052</v>
      </c>
      <c r="B2430" s="13">
        <v>45968</v>
      </c>
      <c r="C2430">
        <v>2025</v>
      </c>
      <c r="D2430">
        <v>11</v>
      </c>
      <c r="E2430" t="s">
        <v>5007</v>
      </c>
      <c r="F2430" t="s">
        <v>4780</v>
      </c>
      <c r="G2430" t="s">
        <v>1155</v>
      </c>
      <c r="H2430" t="s">
        <v>1156</v>
      </c>
      <c r="I2430" t="s">
        <v>85</v>
      </c>
      <c r="J2430">
        <v>18</v>
      </c>
      <c r="K2430" t="s">
        <v>80</v>
      </c>
      <c r="L2430" t="s">
        <v>2579</v>
      </c>
      <c r="M2430" t="s">
        <v>56</v>
      </c>
      <c r="N2430" t="s">
        <v>2577</v>
      </c>
      <c r="O2430" t="s">
        <v>129</v>
      </c>
      <c r="P2430" t="s">
        <v>49</v>
      </c>
      <c r="Q2430" t="s">
        <v>149</v>
      </c>
      <c r="R2430">
        <v>3</v>
      </c>
      <c r="S2430">
        <v>1299</v>
      </c>
      <c r="T2430">
        <v>0.05</v>
      </c>
      <c r="U2430">
        <v>0</v>
      </c>
      <c r="V2430">
        <v>0</v>
      </c>
      <c r="W2430">
        <v>0</v>
      </c>
      <c r="X2430" t="s">
        <v>76</v>
      </c>
      <c r="Y2430" t="s">
        <v>71</v>
      </c>
      <c r="Z2430" t="s">
        <v>160</v>
      </c>
      <c r="AA2430" t="s">
        <v>166</v>
      </c>
      <c r="AB2430">
        <v>5</v>
      </c>
      <c r="AC2430">
        <v>50</v>
      </c>
      <c r="AD2430">
        <v>440.67</v>
      </c>
      <c r="AE2430">
        <f t="shared" si="74"/>
        <v>-490.67</v>
      </c>
      <c r="AF2430" t="str">
        <f t="shared" si="75"/>
        <v>2025-11</v>
      </c>
      <c r="AG2430">
        <f>SUBTOTAL(103,A2430)</f>
        <v>1</v>
      </c>
    </row>
    <row r="2431" spans="1:33" x14ac:dyDescent="0.3">
      <c r="A2431" t="s">
        <v>5053</v>
      </c>
      <c r="B2431" s="13">
        <v>45968</v>
      </c>
      <c r="C2431">
        <v>2025</v>
      </c>
      <c r="D2431">
        <v>11</v>
      </c>
      <c r="E2431" t="s">
        <v>5007</v>
      </c>
      <c r="F2431" t="s">
        <v>4780</v>
      </c>
      <c r="G2431" t="s">
        <v>1431</v>
      </c>
      <c r="H2431" t="s">
        <v>1432</v>
      </c>
      <c r="I2431" t="s">
        <v>86</v>
      </c>
      <c r="J2431">
        <v>23</v>
      </c>
      <c r="K2431" t="s">
        <v>80</v>
      </c>
      <c r="L2431" t="s">
        <v>59</v>
      </c>
      <c r="M2431" t="s">
        <v>59</v>
      </c>
      <c r="N2431" t="s">
        <v>2603</v>
      </c>
      <c r="O2431" t="s">
        <v>122</v>
      </c>
      <c r="P2431" t="s">
        <v>48</v>
      </c>
      <c r="Q2431" t="s">
        <v>141</v>
      </c>
      <c r="R2431">
        <v>2</v>
      </c>
      <c r="S2431">
        <v>2499</v>
      </c>
      <c r="T2431">
        <v>0.1</v>
      </c>
      <c r="U2431">
        <v>4498.2</v>
      </c>
      <c r="V2431">
        <v>2900</v>
      </c>
      <c r="W2431">
        <v>1598.2</v>
      </c>
      <c r="X2431" t="s">
        <v>75</v>
      </c>
      <c r="Y2431" t="s">
        <v>68</v>
      </c>
      <c r="Z2431" t="s">
        <v>163</v>
      </c>
      <c r="AA2431" t="s">
        <v>171</v>
      </c>
      <c r="AB2431">
        <v>4.3</v>
      </c>
      <c r="AC2431">
        <v>100</v>
      </c>
      <c r="AD2431">
        <v>304.7</v>
      </c>
      <c r="AE2431">
        <f t="shared" si="74"/>
        <v>1193.5</v>
      </c>
      <c r="AF2431" t="str">
        <f t="shared" si="75"/>
        <v>2025-11</v>
      </c>
      <c r="AG2431">
        <f>SUBTOTAL(103,A2431)</f>
        <v>1</v>
      </c>
    </row>
    <row r="2432" spans="1:33" x14ac:dyDescent="0.3">
      <c r="A2432" t="s">
        <v>5054</v>
      </c>
      <c r="B2432" s="13">
        <v>45968</v>
      </c>
      <c r="C2432">
        <v>2025</v>
      </c>
      <c r="D2432">
        <v>11</v>
      </c>
      <c r="E2432" t="s">
        <v>5007</v>
      </c>
      <c r="F2432" t="s">
        <v>4780</v>
      </c>
      <c r="G2432" t="s">
        <v>1209</v>
      </c>
      <c r="H2432" t="s">
        <v>1210</v>
      </c>
      <c r="I2432" t="s">
        <v>85</v>
      </c>
      <c r="J2432">
        <v>32</v>
      </c>
      <c r="K2432" t="s">
        <v>81</v>
      </c>
      <c r="L2432" t="s">
        <v>99</v>
      </c>
      <c r="M2432" t="s">
        <v>58</v>
      </c>
      <c r="N2432" t="s">
        <v>2657</v>
      </c>
      <c r="O2432" t="s">
        <v>134</v>
      </c>
      <c r="P2432" t="s">
        <v>49</v>
      </c>
      <c r="Q2432" t="s">
        <v>140</v>
      </c>
      <c r="R2432">
        <v>4</v>
      </c>
      <c r="S2432">
        <v>599</v>
      </c>
      <c r="T2432">
        <v>0.1</v>
      </c>
      <c r="U2432">
        <v>2156.4</v>
      </c>
      <c r="V2432">
        <v>1000</v>
      </c>
      <c r="W2432">
        <v>1156.4000000000001</v>
      </c>
      <c r="X2432" t="s">
        <v>73</v>
      </c>
      <c r="Y2432" t="s">
        <v>68</v>
      </c>
      <c r="Z2432" t="s">
        <v>163</v>
      </c>
      <c r="AA2432" t="s">
        <v>166</v>
      </c>
      <c r="AB2432">
        <v>4.0999999999999996</v>
      </c>
      <c r="AC2432">
        <v>80</v>
      </c>
      <c r="AD2432">
        <v>202.06</v>
      </c>
      <c r="AE2432">
        <f t="shared" si="74"/>
        <v>874.34000000000015</v>
      </c>
      <c r="AF2432" t="str">
        <f t="shared" si="75"/>
        <v>2025-11</v>
      </c>
      <c r="AG2432">
        <f>SUBTOTAL(103,A2432)</f>
        <v>1</v>
      </c>
    </row>
    <row r="2433" spans="1:33" x14ac:dyDescent="0.3">
      <c r="A2433" t="s">
        <v>5055</v>
      </c>
      <c r="B2433" s="13">
        <v>45968</v>
      </c>
      <c r="C2433">
        <v>2025</v>
      </c>
      <c r="D2433">
        <v>11</v>
      </c>
      <c r="E2433" t="s">
        <v>5007</v>
      </c>
      <c r="F2433" t="s">
        <v>4780</v>
      </c>
      <c r="G2433" t="s">
        <v>1871</v>
      </c>
      <c r="H2433" t="s">
        <v>1872</v>
      </c>
      <c r="I2433" t="s">
        <v>86</v>
      </c>
      <c r="J2433">
        <v>36</v>
      </c>
      <c r="K2433" t="s">
        <v>82</v>
      </c>
      <c r="L2433" t="s">
        <v>2579</v>
      </c>
      <c r="M2433" t="s">
        <v>56</v>
      </c>
      <c r="N2433" t="s">
        <v>2574</v>
      </c>
      <c r="O2433" t="s">
        <v>130</v>
      </c>
      <c r="P2433" t="s">
        <v>50</v>
      </c>
      <c r="Q2433" t="s">
        <v>53</v>
      </c>
      <c r="R2433">
        <v>1</v>
      </c>
      <c r="S2433">
        <v>1199</v>
      </c>
      <c r="T2433">
        <v>0.05</v>
      </c>
      <c r="U2433">
        <v>1139.05</v>
      </c>
      <c r="V2433">
        <v>550</v>
      </c>
      <c r="W2433">
        <v>589.04999999999995</v>
      </c>
      <c r="X2433" t="s">
        <v>74</v>
      </c>
      <c r="Y2433" t="s">
        <v>68</v>
      </c>
      <c r="Z2433" t="s">
        <v>158</v>
      </c>
      <c r="AA2433" t="s">
        <v>169</v>
      </c>
      <c r="AB2433">
        <v>5</v>
      </c>
      <c r="AC2433">
        <v>60</v>
      </c>
      <c r="AD2433">
        <v>46.55</v>
      </c>
      <c r="AE2433">
        <f t="shared" si="74"/>
        <v>482.49999999999994</v>
      </c>
      <c r="AF2433" t="str">
        <f t="shared" si="75"/>
        <v>2025-11</v>
      </c>
      <c r="AG2433">
        <f>SUBTOTAL(103,A2433)</f>
        <v>1</v>
      </c>
    </row>
    <row r="2434" spans="1:33" x14ac:dyDescent="0.3">
      <c r="A2434" t="s">
        <v>5056</v>
      </c>
      <c r="B2434" s="13">
        <v>45968</v>
      </c>
      <c r="C2434">
        <v>2025</v>
      </c>
      <c r="D2434">
        <v>11</v>
      </c>
      <c r="E2434" t="s">
        <v>5007</v>
      </c>
      <c r="F2434" t="s">
        <v>4780</v>
      </c>
      <c r="G2434" t="s">
        <v>1223</v>
      </c>
      <c r="H2434" t="s">
        <v>1224</v>
      </c>
      <c r="I2434" t="s">
        <v>86</v>
      </c>
      <c r="J2434">
        <v>43</v>
      </c>
      <c r="K2434" t="s">
        <v>82</v>
      </c>
      <c r="L2434" t="s">
        <v>94</v>
      </c>
      <c r="M2434" t="s">
        <v>57</v>
      </c>
      <c r="N2434" t="s">
        <v>2603</v>
      </c>
      <c r="O2434" t="s">
        <v>122</v>
      </c>
      <c r="P2434" t="s">
        <v>48</v>
      </c>
      <c r="Q2434" t="s">
        <v>141</v>
      </c>
      <c r="R2434">
        <v>1</v>
      </c>
      <c r="S2434">
        <v>2499</v>
      </c>
      <c r="T2434">
        <v>0.1</v>
      </c>
      <c r="U2434">
        <v>2249.1</v>
      </c>
      <c r="V2434">
        <v>1450</v>
      </c>
      <c r="W2434">
        <v>799.1</v>
      </c>
      <c r="X2434" t="s">
        <v>74</v>
      </c>
      <c r="Y2434" t="s">
        <v>68</v>
      </c>
      <c r="Z2434" t="s">
        <v>162</v>
      </c>
      <c r="AA2434" t="s">
        <v>170</v>
      </c>
      <c r="AB2434">
        <v>4.0999999999999996</v>
      </c>
      <c r="AC2434">
        <v>60</v>
      </c>
      <c r="AD2434">
        <v>76.8</v>
      </c>
      <c r="AE2434">
        <f t="shared" ref="AE2434:AE2497" si="76">W2434-AC2434-AD2434</f>
        <v>662.30000000000007</v>
      </c>
      <c r="AF2434" t="str">
        <f t="shared" ref="AF2434:AF2497" si="77">C2434&amp;"-"&amp;TEXT(D2434,"00")</f>
        <v>2025-11</v>
      </c>
      <c r="AG2434">
        <f>SUBTOTAL(103,A2434)</f>
        <v>1</v>
      </c>
    </row>
    <row r="2435" spans="1:33" x14ac:dyDescent="0.3">
      <c r="A2435" t="s">
        <v>5057</v>
      </c>
      <c r="B2435" s="13">
        <v>45968</v>
      </c>
      <c r="C2435">
        <v>2025</v>
      </c>
      <c r="D2435">
        <v>11</v>
      </c>
      <c r="E2435" t="s">
        <v>5007</v>
      </c>
      <c r="F2435" t="s">
        <v>4780</v>
      </c>
      <c r="G2435" t="s">
        <v>1451</v>
      </c>
      <c r="H2435" t="s">
        <v>1452</v>
      </c>
      <c r="I2435" t="s">
        <v>86</v>
      </c>
      <c r="J2435">
        <v>46</v>
      </c>
      <c r="K2435" t="s">
        <v>83</v>
      </c>
      <c r="L2435" t="s">
        <v>2610</v>
      </c>
      <c r="M2435" t="s">
        <v>64</v>
      </c>
      <c r="N2435" t="s">
        <v>2580</v>
      </c>
      <c r="O2435" t="s">
        <v>118</v>
      </c>
      <c r="P2435" t="s">
        <v>48</v>
      </c>
      <c r="Q2435" t="s">
        <v>142</v>
      </c>
      <c r="R2435">
        <v>5</v>
      </c>
      <c r="S2435">
        <v>3999</v>
      </c>
      <c r="T2435">
        <v>0.15</v>
      </c>
      <c r="U2435">
        <v>16995.75</v>
      </c>
      <c r="V2435">
        <v>12000</v>
      </c>
      <c r="W2435">
        <v>4995.75</v>
      </c>
      <c r="X2435" t="s">
        <v>73</v>
      </c>
      <c r="Y2435" t="s">
        <v>68</v>
      </c>
      <c r="Z2435" t="s">
        <v>160</v>
      </c>
      <c r="AA2435" t="s">
        <v>168</v>
      </c>
      <c r="AB2435">
        <v>3.6</v>
      </c>
      <c r="AC2435">
        <v>60</v>
      </c>
      <c r="AD2435">
        <v>683.11</v>
      </c>
      <c r="AE2435">
        <f t="shared" si="76"/>
        <v>4252.6400000000003</v>
      </c>
      <c r="AF2435" t="str">
        <f t="shared" si="77"/>
        <v>2025-11</v>
      </c>
      <c r="AG2435">
        <f>SUBTOTAL(103,A2435)</f>
        <v>1</v>
      </c>
    </row>
    <row r="2436" spans="1:33" x14ac:dyDescent="0.3">
      <c r="A2436" t="s">
        <v>5058</v>
      </c>
      <c r="B2436" s="13">
        <v>45968</v>
      </c>
      <c r="C2436">
        <v>2025</v>
      </c>
      <c r="D2436">
        <v>11</v>
      </c>
      <c r="E2436" t="s">
        <v>5007</v>
      </c>
      <c r="F2436" t="s">
        <v>4780</v>
      </c>
      <c r="G2436" t="s">
        <v>941</v>
      </c>
      <c r="H2436" t="s">
        <v>942</v>
      </c>
      <c r="I2436" t="s">
        <v>86</v>
      </c>
      <c r="J2436">
        <v>35</v>
      </c>
      <c r="K2436" t="s">
        <v>81</v>
      </c>
      <c r="L2436" t="s">
        <v>93</v>
      </c>
      <c r="M2436" t="s">
        <v>55</v>
      </c>
      <c r="N2436" t="s">
        <v>2603</v>
      </c>
      <c r="O2436" t="s">
        <v>122</v>
      </c>
      <c r="P2436" t="s">
        <v>48</v>
      </c>
      <c r="Q2436" t="s">
        <v>141</v>
      </c>
      <c r="R2436">
        <v>2</v>
      </c>
      <c r="S2436">
        <v>2499</v>
      </c>
      <c r="T2436">
        <v>0.05</v>
      </c>
      <c r="U2436">
        <v>4748.1000000000004</v>
      </c>
      <c r="V2436">
        <v>2900</v>
      </c>
      <c r="W2436">
        <v>1848.1</v>
      </c>
      <c r="X2436" t="s">
        <v>73</v>
      </c>
      <c r="Y2436" t="s">
        <v>68</v>
      </c>
      <c r="Z2436" t="s">
        <v>163</v>
      </c>
      <c r="AA2436" t="s">
        <v>170</v>
      </c>
      <c r="AB2436">
        <v>4.4000000000000004</v>
      </c>
      <c r="AC2436">
        <v>100</v>
      </c>
      <c r="AD2436">
        <v>362.53</v>
      </c>
      <c r="AE2436">
        <f t="shared" si="76"/>
        <v>1385.57</v>
      </c>
      <c r="AF2436" t="str">
        <f t="shared" si="77"/>
        <v>2025-11</v>
      </c>
      <c r="AG2436">
        <f>SUBTOTAL(103,A2436)</f>
        <v>1</v>
      </c>
    </row>
    <row r="2437" spans="1:33" x14ac:dyDescent="0.3">
      <c r="A2437" t="s">
        <v>5059</v>
      </c>
      <c r="B2437" s="13">
        <v>45968</v>
      </c>
      <c r="C2437">
        <v>2025</v>
      </c>
      <c r="D2437">
        <v>11</v>
      </c>
      <c r="E2437" t="s">
        <v>5007</v>
      </c>
      <c r="F2437" t="s">
        <v>4780</v>
      </c>
      <c r="G2437" t="s">
        <v>657</v>
      </c>
      <c r="H2437" t="s">
        <v>658</v>
      </c>
      <c r="I2437" t="s">
        <v>86</v>
      </c>
      <c r="J2437">
        <v>33</v>
      </c>
      <c r="K2437" t="s">
        <v>81</v>
      </c>
      <c r="L2437" t="s">
        <v>96</v>
      </c>
      <c r="M2437" t="s">
        <v>55</v>
      </c>
      <c r="N2437" t="s">
        <v>2584</v>
      </c>
      <c r="O2437" t="s">
        <v>121</v>
      </c>
      <c r="P2437" t="s">
        <v>50</v>
      </c>
      <c r="Q2437" t="s">
        <v>144</v>
      </c>
      <c r="R2437">
        <v>4</v>
      </c>
      <c r="S2437">
        <v>2999</v>
      </c>
      <c r="T2437">
        <v>0.05</v>
      </c>
      <c r="U2437">
        <v>11396.2</v>
      </c>
      <c r="V2437">
        <v>6800</v>
      </c>
      <c r="W2437">
        <v>4596.2</v>
      </c>
      <c r="X2437" t="s">
        <v>73</v>
      </c>
      <c r="Y2437" t="s">
        <v>68</v>
      </c>
      <c r="Z2437" t="s">
        <v>160</v>
      </c>
      <c r="AA2437" t="s">
        <v>168</v>
      </c>
      <c r="AB2437">
        <v>3.1</v>
      </c>
      <c r="AC2437">
        <v>40</v>
      </c>
      <c r="AD2437">
        <v>879.17</v>
      </c>
      <c r="AE2437">
        <f t="shared" si="76"/>
        <v>3677.0299999999997</v>
      </c>
      <c r="AF2437" t="str">
        <f t="shared" si="77"/>
        <v>2025-11</v>
      </c>
      <c r="AG2437">
        <f>SUBTOTAL(103,A2437)</f>
        <v>1</v>
      </c>
    </row>
    <row r="2438" spans="1:33" x14ac:dyDescent="0.3">
      <c r="A2438" t="s">
        <v>5060</v>
      </c>
      <c r="B2438" s="13">
        <v>45968</v>
      </c>
      <c r="C2438">
        <v>2025</v>
      </c>
      <c r="D2438">
        <v>11</v>
      </c>
      <c r="E2438" t="s">
        <v>5007</v>
      </c>
      <c r="F2438" t="s">
        <v>4780</v>
      </c>
      <c r="G2438" t="s">
        <v>781</v>
      </c>
      <c r="H2438" t="s">
        <v>782</v>
      </c>
      <c r="I2438" t="s">
        <v>85</v>
      </c>
      <c r="J2438">
        <v>37</v>
      </c>
      <c r="K2438" t="s">
        <v>82</v>
      </c>
      <c r="L2438" t="s">
        <v>2674</v>
      </c>
      <c r="M2438" t="s">
        <v>58</v>
      </c>
      <c r="N2438" t="s">
        <v>2603</v>
      </c>
      <c r="O2438" t="s">
        <v>122</v>
      </c>
      <c r="P2438" t="s">
        <v>48</v>
      </c>
      <c r="Q2438" t="s">
        <v>141</v>
      </c>
      <c r="R2438">
        <v>2</v>
      </c>
      <c r="S2438">
        <v>2499</v>
      </c>
      <c r="T2438">
        <v>0.1</v>
      </c>
      <c r="U2438">
        <v>4498.2</v>
      </c>
      <c r="V2438">
        <v>2900</v>
      </c>
      <c r="W2438">
        <v>1598.2</v>
      </c>
      <c r="X2438" t="s">
        <v>74</v>
      </c>
      <c r="Y2438" t="s">
        <v>68</v>
      </c>
      <c r="Z2438" t="s">
        <v>160</v>
      </c>
      <c r="AA2438" t="s">
        <v>166</v>
      </c>
      <c r="AB2438">
        <v>4</v>
      </c>
      <c r="AC2438">
        <v>50</v>
      </c>
      <c r="AD2438">
        <v>489.46</v>
      </c>
      <c r="AE2438">
        <f t="shared" si="76"/>
        <v>1058.74</v>
      </c>
      <c r="AF2438" t="str">
        <f t="shared" si="77"/>
        <v>2025-11</v>
      </c>
      <c r="AG2438">
        <f>SUBTOTAL(103,A2438)</f>
        <v>1</v>
      </c>
    </row>
    <row r="2439" spans="1:33" x14ac:dyDescent="0.3">
      <c r="A2439" t="s">
        <v>5061</v>
      </c>
      <c r="B2439" s="13">
        <v>45969</v>
      </c>
      <c r="C2439">
        <v>2025</v>
      </c>
      <c r="D2439">
        <v>11</v>
      </c>
      <c r="E2439" t="s">
        <v>5007</v>
      </c>
      <c r="F2439" t="s">
        <v>4780</v>
      </c>
      <c r="G2439" t="s">
        <v>2501</v>
      </c>
      <c r="H2439" t="s">
        <v>2502</v>
      </c>
      <c r="I2439" t="s">
        <v>87</v>
      </c>
      <c r="J2439">
        <v>25</v>
      </c>
      <c r="K2439" t="s">
        <v>80</v>
      </c>
      <c r="L2439" t="s">
        <v>59</v>
      </c>
      <c r="M2439" t="s">
        <v>59</v>
      </c>
      <c r="N2439" t="s">
        <v>2590</v>
      </c>
      <c r="O2439" t="s">
        <v>127</v>
      </c>
      <c r="P2439" t="s">
        <v>51</v>
      </c>
      <c r="Q2439" t="s">
        <v>148</v>
      </c>
      <c r="R2439">
        <v>1</v>
      </c>
      <c r="S2439">
        <v>1599</v>
      </c>
      <c r="T2439">
        <v>0.05</v>
      </c>
      <c r="U2439">
        <v>1519.05</v>
      </c>
      <c r="V2439">
        <v>800</v>
      </c>
      <c r="W2439">
        <v>719.05</v>
      </c>
      <c r="X2439" t="s">
        <v>76</v>
      </c>
      <c r="Y2439" t="s">
        <v>68</v>
      </c>
      <c r="Z2439" t="s">
        <v>160</v>
      </c>
      <c r="AA2439" t="s">
        <v>169</v>
      </c>
      <c r="AB2439">
        <v>3.9</v>
      </c>
      <c r="AC2439">
        <v>50</v>
      </c>
      <c r="AD2439">
        <v>87.54</v>
      </c>
      <c r="AE2439">
        <f t="shared" si="76"/>
        <v>581.51</v>
      </c>
      <c r="AF2439" t="str">
        <f t="shared" si="77"/>
        <v>2025-11</v>
      </c>
      <c r="AG2439">
        <f>SUBTOTAL(103,A2439)</f>
        <v>1</v>
      </c>
    </row>
    <row r="2440" spans="1:33" x14ac:dyDescent="0.3">
      <c r="A2440" t="s">
        <v>5062</v>
      </c>
      <c r="B2440" s="13">
        <v>45969</v>
      </c>
      <c r="C2440">
        <v>2025</v>
      </c>
      <c r="D2440">
        <v>11</v>
      </c>
      <c r="E2440" t="s">
        <v>5007</v>
      </c>
      <c r="F2440" t="s">
        <v>4780</v>
      </c>
      <c r="G2440" t="s">
        <v>1157</v>
      </c>
      <c r="H2440" t="s">
        <v>1158</v>
      </c>
      <c r="I2440" t="s">
        <v>85</v>
      </c>
      <c r="J2440">
        <v>60</v>
      </c>
      <c r="K2440" t="s">
        <v>83</v>
      </c>
      <c r="L2440" t="s">
        <v>2674</v>
      </c>
      <c r="M2440" t="s">
        <v>58</v>
      </c>
      <c r="N2440" t="s">
        <v>2577</v>
      </c>
      <c r="O2440" t="s">
        <v>129</v>
      </c>
      <c r="P2440" t="s">
        <v>49</v>
      </c>
      <c r="Q2440" t="s">
        <v>149</v>
      </c>
      <c r="R2440">
        <v>2</v>
      </c>
      <c r="S2440">
        <v>1299</v>
      </c>
      <c r="T2440">
        <v>0.1</v>
      </c>
      <c r="U2440">
        <v>2338.1999999999998</v>
      </c>
      <c r="V2440">
        <v>1300</v>
      </c>
      <c r="W2440">
        <v>1038.2</v>
      </c>
      <c r="X2440" t="s">
        <v>73</v>
      </c>
      <c r="Y2440" t="s">
        <v>68</v>
      </c>
      <c r="Z2440" t="s">
        <v>160</v>
      </c>
      <c r="AA2440" t="s">
        <v>169</v>
      </c>
      <c r="AB2440">
        <v>4.8</v>
      </c>
      <c r="AC2440">
        <v>80</v>
      </c>
      <c r="AD2440">
        <v>174.22</v>
      </c>
      <c r="AE2440">
        <f t="shared" si="76"/>
        <v>783.98</v>
      </c>
      <c r="AF2440" t="str">
        <f t="shared" si="77"/>
        <v>2025-11</v>
      </c>
      <c r="AG2440">
        <f>SUBTOTAL(103,A2440)</f>
        <v>1</v>
      </c>
    </row>
    <row r="2441" spans="1:33" x14ac:dyDescent="0.3">
      <c r="A2441" t="s">
        <v>5063</v>
      </c>
      <c r="B2441" s="13">
        <v>45969</v>
      </c>
      <c r="C2441">
        <v>2025</v>
      </c>
      <c r="D2441">
        <v>11</v>
      </c>
      <c r="E2441" t="s">
        <v>5007</v>
      </c>
      <c r="F2441" t="s">
        <v>4780</v>
      </c>
      <c r="G2441" t="s">
        <v>1295</v>
      </c>
      <c r="H2441" t="s">
        <v>1296</v>
      </c>
      <c r="I2441" t="s">
        <v>85</v>
      </c>
      <c r="J2441">
        <v>29</v>
      </c>
      <c r="K2441" t="s">
        <v>81</v>
      </c>
      <c r="L2441" t="s">
        <v>59</v>
      </c>
      <c r="M2441" t="s">
        <v>59</v>
      </c>
      <c r="N2441" t="s">
        <v>2606</v>
      </c>
      <c r="O2441" t="s">
        <v>120</v>
      </c>
      <c r="P2441" t="s">
        <v>49</v>
      </c>
      <c r="Q2441" t="s">
        <v>140</v>
      </c>
      <c r="R2441">
        <v>5</v>
      </c>
      <c r="S2441">
        <v>2799</v>
      </c>
      <c r="T2441">
        <v>0.2</v>
      </c>
      <c r="U2441">
        <v>11196</v>
      </c>
      <c r="V2441">
        <v>8250</v>
      </c>
      <c r="W2441">
        <v>2946</v>
      </c>
      <c r="X2441" t="s">
        <v>73</v>
      </c>
      <c r="Y2441" t="s">
        <v>68</v>
      </c>
      <c r="Z2441" t="s">
        <v>160</v>
      </c>
      <c r="AA2441" t="s">
        <v>167</v>
      </c>
      <c r="AB2441">
        <v>4.3</v>
      </c>
      <c r="AC2441">
        <v>120</v>
      </c>
      <c r="AD2441">
        <v>1297.5899999999999</v>
      </c>
      <c r="AE2441">
        <f t="shared" si="76"/>
        <v>1528.41</v>
      </c>
      <c r="AF2441" t="str">
        <f t="shared" si="77"/>
        <v>2025-11</v>
      </c>
      <c r="AG2441">
        <f>SUBTOTAL(103,A2441)</f>
        <v>1</v>
      </c>
    </row>
    <row r="2442" spans="1:33" x14ac:dyDescent="0.3">
      <c r="A2442" t="s">
        <v>5064</v>
      </c>
      <c r="B2442" s="13">
        <v>45970</v>
      </c>
      <c r="C2442">
        <v>2025</v>
      </c>
      <c r="D2442">
        <v>11</v>
      </c>
      <c r="E2442" t="s">
        <v>5007</v>
      </c>
      <c r="F2442" t="s">
        <v>4780</v>
      </c>
      <c r="G2442" t="s">
        <v>871</v>
      </c>
      <c r="H2442" t="s">
        <v>872</v>
      </c>
      <c r="I2442" t="s">
        <v>85</v>
      </c>
      <c r="J2442">
        <v>45</v>
      </c>
      <c r="K2442" t="s">
        <v>82</v>
      </c>
      <c r="L2442" t="s">
        <v>2646</v>
      </c>
      <c r="M2442" t="s">
        <v>63</v>
      </c>
      <c r="N2442" t="s">
        <v>2626</v>
      </c>
      <c r="O2442" t="s">
        <v>125</v>
      </c>
      <c r="P2442" t="s">
        <v>48</v>
      </c>
      <c r="Q2442" t="s">
        <v>141</v>
      </c>
      <c r="R2442">
        <v>1</v>
      </c>
      <c r="S2442">
        <v>1999</v>
      </c>
      <c r="T2442">
        <v>0.15</v>
      </c>
      <c r="U2442">
        <v>1699.15</v>
      </c>
      <c r="V2442">
        <v>1150</v>
      </c>
      <c r="W2442">
        <v>549.15</v>
      </c>
      <c r="X2442" t="s">
        <v>74</v>
      </c>
      <c r="Y2442" t="s">
        <v>70</v>
      </c>
      <c r="Z2442" t="s">
        <v>160</v>
      </c>
      <c r="AA2442" t="s">
        <v>170</v>
      </c>
      <c r="AB2442">
        <v>4.7</v>
      </c>
      <c r="AC2442">
        <v>60</v>
      </c>
      <c r="AD2442">
        <v>151.16999999999999</v>
      </c>
      <c r="AE2442">
        <f t="shared" si="76"/>
        <v>337.98</v>
      </c>
      <c r="AF2442" t="str">
        <f t="shared" si="77"/>
        <v>2025-11</v>
      </c>
      <c r="AG2442">
        <f>SUBTOTAL(103,A2442)</f>
        <v>1</v>
      </c>
    </row>
    <row r="2443" spans="1:33" x14ac:dyDescent="0.3">
      <c r="A2443" t="s">
        <v>5065</v>
      </c>
      <c r="B2443" s="13">
        <v>45970</v>
      </c>
      <c r="C2443">
        <v>2025</v>
      </c>
      <c r="D2443">
        <v>11</v>
      </c>
      <c r="E2443" t="s">
        <v>5007</v>
      </c>
      <c r="F2443" t="s">
        <v>4780</v>
      </c>
      <c r="G2443" t="s">
        <v>1651</v>
      </c>
      <c r="H2443" t="s">
        <v>1652</v>
      </c>
      <c r="I2443" t="s">
        <v>86</v>
      </c>
      <c r="J2443">
        <v>36</v>
      </c>
      <c r="K2443" t="s">
        <v>82</v>
      </c>
      <c r="L2443" t="s">
        <v>2661</v>
      </c>
      <c r="M2443" t="s">
        <v>58</v>
      </c>
      <c r="N2443" t="s">
        <v>2657</v>
      </c>
      <c r="O2443" t="s">
        <v>134</v>
      </c>
      <c r="P2443" t="s">
        <v>49</v>
      </c>
      <c r="Q2443" t="s">
        <v>140</v>
      </c>
      <c r="R2443">
        <v>2</v>
      </c>
      <c r="S2443">
        <v>599</v>
      </c>
      <c r="T2443">
        <v>0.05</v>
      </c>
      <c r="U2443">
        <v>1138.0999999999999</v>
      </c>
      <c r="V2443">
        <v>500</v>
      </c>
      <c r="W2443">
        <v>638.1</v>
      </c>
      <c r="X2443" t="s">
        <v>73</v>
      </c>
      <c r="Y2443" t="s">
        <v>68</v>
      </c>
      <c r="Z2443" t="s">
        <v>161</v>
      </c>
      <c r="AA2443" t="s">
        <v>166</v>
      </c>
      <c r="AB2443">
        <v>4</v>
      </c>
      <c r="AC2443">
        <v>40</v>
      </c>
      <c r="AD2443">
        <v>71.09</v>
      </c>
      <c r="AE2443">
        <f t="shared" si="76"/>
        <v>527.01</v>
      </c>
      <c r="AF2443" t="str">
        <f t="shared" si="77"/>
        <v>2025-11</v>
      </c>
      <c r="AG2443">
        <f>SUBTOTAL(103,A2443)</f>
        <v>1</v>
      </c>
    </row>
    <row r="2444" spans="1:33" x14ac:dyDescent="0.3">
      <c r="A2444" t="s">
        <v>5066</v>
      </c>
      <c r="B2444" s="13">
        <v>45970</v>
      </c>
      <c r="C2444">
        <v>2025</v>
      </c>
      <c r="D2444">
        <v>11</v>
      </c>
      <c r="E2444" t="s">
        <v>5007</v>
      </c>
      <c r="F2444" t="s">
        <v>4780</v>
      </c>
      <c r="G2444" t="s">
        <v>2119</v>
      </c>
      <c r="H2444" t="s">
        <v>2120</v>
      </c>
      <c r="I2444" t="s">
        <v>85</v>
      </c>
      <c r="J2444">
        <v>28</v>
      </c>
      <c r="K2444" t="s">
        <v>81</v>
      </c>
      <c r="L2444" t="s">
        <v>98</v>
      </c>
      <c r="M2444" t="s">
        <v>55</v>
      </c>
      <c r="N2444" t="s">
        <v>2577</v>
      </c>
      <c r="O2444" t="s">
        <v>129</v>
      </c>
      <c r="P2444" t="s">
        <v>49</v>
      </c>
      <c r="Q2444" t="s">
        <v>149</v>
      </c>
      <c r="R2444">
        <v>2</v>
      </c>
      <c r="S2444">
        <v>1299</v>
      </c>
      <c r="T2444">
        <v>0.15</v>
      </c>
      <c r="U2444">
        <v>2208.3000000000002</v>
      </c>
      <c r="V2444">
        <v>1300</v>
      </c>
      <c r="W2444">
        <v>908.3</v>
      </c>
      <c r="X2444" t="s">
        <v>77</v>
      </c>
      <c r="Y2444" t="s">
        <v>68</v>
      </c>
      <c r="Z2444" t="s">
        <v>160</v>
      </c>
      <c r="AA2444" t="s">
        <v>168</v>
      </c>
      <c r="AB2444">
        <v>5</v>
      </c>
      <c r="AC2444">
        <v>60</v>
      </c>
      <c r="AD2444">
        <v>172.95</v>
      </c>
      <c r="AE2444">
        <f t="shared" si="76"/>
        <v>675.34999999999991</v>
      </c>
      <c r="AF2444" t="str">
        <f t="shared" si="77"/>
        <v>2025-11</v>
      </c>
      <c r="AG2444">
        <f>SUBTOTAL(103,A2444)</f>
        <v>1</v>
      </c>
    </row>
    <row r="2445" spans="1:33" x14ac:dyDescent="0.3">
      <c r="A2445" t="s">
        <v>5067</v>
      </c>
      <c r="B2445" s="13">
        <v>45970</v>
      </c>
      <c r="C2445">
        <v>2025</v>
      </c>
      <c r="D2445">
        <v>11</v>
      </c>
      <c r="E2445" t="s">
        <v>5007</v>
      </c>
      <c r="F2445" t="s">
        <v>4780</v>
      </c>
      <c r="G2445" t="s">
        <v>917</v>
      </c>
      <c r="H2445" t="s">
        <v>918</v>
      </c>
      <c r="I2445" t="s">
        <v>85</v>
      </c>
      <c r="J2445">
        <v>49</v>
      </c>
      <c r="K2445" t="s">
        <v>83</v>
      </c>
      <c r="L2445" t="s">
        <v>92</v>
      </c>
      <c r="M2445" t="s">
        <v>59</v>
      </c>
      <c r="N2445" t="s">
        <v>2601</v>
      </c>
      <c r="O2445" t="s">
        <v>117</v>
      </c>
      <c r="P2445" t="s">
        <v>49</v>
      </c>
      <c r="Q2445" t="s">
        <v>139</v>
      </c>
      <c r="R2445">
        <v>4</v>
      </c>
      <c r="S2445">
        <v>6999</v>
      </c>
      <c r="T2445">
        <v>0.1</v>
      </c>
      <c r="U2445">
        <v>25196.400000000001</v>
      </c>
      <c r="V2445">
        <v>17200</v>
      </c>
      <c r="W2445">
        <v>7996.4</v>
      </c>
      <c r="X2445" t="s">
        <v>73</v>
      </c>
      <c r="Y2445" t="s">
        <v>69</v>
      </c>
      <c r="Z2445" t="s">
        <v>163</v>
      </c>
      <c r="AA2445" t="s">
        <v>166</v>
      </c>
      <c r="AB2445">
        <v>3.6</v>
      </c>
      <c r="AC2445">
        <v>80</v>
      </c>
      <c r="AD2445">
        <v>2328.25</v>
      </c>
      <c r="AE2445">
        <f t="shared" si="76"/>
        <v>5588.15</v>
      </c>
      <c r="AF2445" t="str">
        <f t="shared" si="77"/>
        <v>2025-11</v>
      </c>
      <c r="AG2445">
        <f>SUBTOTAL(103,A2445)</f>
        <v>1</v>
      </c>
    </row>
    <row r="2446" spans="1:33" x14ac:dyDescent="0.3">
      <c r="A2446" t="s">
        <v>5068</v>
      </c>
      <c r="B2446" s="13">
        <v>45970</v>
      </c>
      <c r="C2446">
        <v>2025</v>
      </c>
      <c r="D2446">
        <v>11</v>
      </c>
      <c r="E2446" t="s">
        <v>5007</v>
      </c>
      <c r="F2446" t="s">
        <v>4780</v>
      </c>
      <c r="G2446" t="s">
        <v>1421</v>
      </c>
      <c r="H2446" t="s">
        <v>1422</v>
      </c>
      <c r="I2446" t="s">
        <v>86</v>
      </c>
      <c r="J2446">
        <v>57</v>
      </c>
      <c r="K2446" t="s">
        <v>83</v>
      </c>
      <c r="L2446" t="s">
        <v>91</v>
      </c>
      <c r="M2446" t="s">
        <v>55</v>
      </c>
      <c r="N2446" t="s">
        <v>2574</v>
      </c>
      <c r="O2446" t="s">
        <v>130</v>
      </c>
      <c r="P2446" t="s">
        <v>50</v>
      </c>
      <c r="Q2446" t="s">
        <v>53</v>
      </c>
      <c r="R2446">
        <v>2</v>
      </c>
      <c r="S2446">
        <v>1199</v>
      </c>
      <c r="T2446">
        <v>0.1</v>
      </c>
      <c r="U2446">
        <v>2158.1999999999998</v>
      </c>
      <c r="V2446">
        <v>1100</v>
      </c>
      <c r="W2446">
        <v>1058.2</v>
      </c>
      <c r="X2446" t="s">
        <v>76</v>
      </c>
      <c r="Y2446" t="s">
        <v>68</v>
      </c>
      <c r="Z2446" t="s">
        <v>162</v>
      </c>
      <c r="AA2446" t="s">
        <v>170</v>
      </c>
      <c r="AB2446">
        <v>4.4000000000000004</v>
      </c>
      <c r="AC2446">
        <v>50</v>
      </c>
      <c r="AD2446">
        <v>75.650000000000006</v>
      </c>
      <c r="AE2446">
        <f t="shared" si="76"/>
        <v>932.55000000000007</v>
      </c>
      <c r="AF2446" t="str">
        <f t="shared" si="77"/>
        <v>2025-11</v>
      </c>
      <c r="AG2446">
        <f>SUBTOTAL(103,A2446)</f>
        <v>1</v>
      </c>
    </row>
    <row r="2447" spans="1:33" x14ac:dyDescent="0.3">
      <c r="A2447" t="s">
        <v>5069</v>
      </c>
      <c r="B2447" s="13">
        <v>45970</v>
      </c>
      <c r="C2447">
        <v>2025</v>
      </c>
      <c r="D2447">
        <v>11</v>
      </c>
      <c r="E2447" t="s">
        <v>5007</v>
      </c>
      <c r="F2447" t="s">
        <v>4780</v>
      </c>
      <c r="G2447" t="s">
        <v>549</v>
      </c>
      <c r="H2447" t="s">
        <v>550</v>
      </c>
      <c r="I2447" t="s">
        <v>85</v>
      </c>
      <c r="J2447">
        <v>26</v>
      </c>
      <c r="K2447" t="s">
        <v>81</v>
      </c>
      <c r="L2447" t="s">
        <v>2589</v>
      </c>
      <c r="M2447" t="s">
        <v>61</v>
      </c>
      <c r="N2447" t="s">
        <v>2580</v>
      </c>
      <c r="O2447" t="s">
        <v>118</v>
      </c>
      <c r="P2447" t="s">
        <v>48</v>
      </c>
      <c r="Q2447" t="s">
        <v>142</v>
      </c>
      <c r="R2447">
        <v>4</v>
      </c>
      <c r="S2447">
        <v>3999</v>
      </c>
      <c r="T2447">
        <v>0.1</v>
      </c>
      <c r="U2447">
        <v>14396.4</v>
      </c>
      <c r="V2447">
        <v>9600</v>
      </c>
      <c r="W2447">
        <v>4796.3999999999996</v>
      </c>
      <c r="X2447" t="s">
        <v>73</v>
      </c>
      <c r="Y2447" t="s">
        <v>68</v>
      </c>
      <c r="Z2447" t="s">
        <v>159</v>
      </c>
      <c r="AA2447" t="s">
        <v>166</v>
      </c>
      <c r="AB2447">
        <v>3.1</v>
      </c>
      <c r="AC2447">
        <v>60</v>
      </c>
      <c r="AD2447">
        <v>1594.75</v>
      </c>
      <c r="AE2447">
        <f t="shared" si="76"/>
        <v>3141.6499999999996</v>
      </c>
      <c r="AF2447" t="str">
        <f t="shared" si="77"/>
        <v>2025-11</v>
      </c>
      <c r="AG2447">
        <f>SUBTOTAL(103,A2447)</f>
        <v>1</v>
      </c>
    </row>
    <row r="2448" spans="1:33" x14ac:dyDescent="0.3">
      <c r="A2448" t="s">
        <v>5070</v>
      </c>
      <c r="B2448" s="13">
        <v>45970</v>
      </c>
      <c r="C2448">
        <v>2025</v>
      </c>
      <c r="D2448">
        <v>11</v>
      </c>
      <c r="E2448" t="s">
        <v>5007</v>
      </c>
      <c r="F2448" t="s">
        <v>4780</v>
      </c>
      <c r="G2448" t="s">
        <v>2481</v>
      </c>
      <c r="H2448" t="s">
        <v>2482</v>
      </c>
      <c r="I2448" t="s">
        <v>85</v>
      </c>
      <c r="J2448">
        <v>24</v>
      </c>
      <c r="K2448" t="s">
        <v>80</v>
      </c>
      <c r="L2448" t="s">
        <v>2661</v>
      </c>
      <c r="M2448" t="s">
        <v>58</v>
      </c>
      <c r="N2448" t="s">
        <v>2626</v>
      </c>
      <c r="O2448" t="s">
        <v>125</v>
      </c>
      <c r="P2448" t="s">
        <v>48</v>
      </c>
      <c r="Q2448" t="s">
        <v>141</v>
      </c>
      <c r="R2448">
        <v>1</v>
      </c>
      <c r="S2448">
        <v>1999</v>
      </c>
      <c r="T2448">
        <v>0.1</v>
      </c>
      <c r="U2448">
        <v>1799.1</v>
      </c>
      <c r="V2448">
        <v>1150</v>
      </c>
      <c r="W2448">
        <v>649.1</v>
      </c>
      <c r="X2448" t="s">
        <v>73</v>
      </c>
      <c r="Y2448" t="s">
        <v>68</v>
      </c>
      <c r="Z2448" t="s">
        <v>162</v>
      </c>
      <c r="AA2448" t="s">
        <v>167</v>
      </c>
      <c r="AB2448">
        <v>4</v>
      </c>
      <c r="AC2448">
        <v>60</v>
      </c>
      <c r="AD2448">
        <v>69.17</v>
      </c>
      <c r="AE2448">
        <f t="shared" si="76"/>
        <v>519.93000000000006</v>
      </c>
      <c r="AF2448" t="str">
        <f t="shared" si="77"/>
        <v>2025-11</v>
      </c>
      <c r="AG2448">
        <f>SUBTOTAL(103,A2448)</f>
        <v>1</v>
      </c>
    </row>
    <row r="2449" spans="1:33" x14ac:dyDescent="0.3">
      <c r="A2449" t="s">
        <v>5071</v>
      </c>
      <c r="B2449" s="13">
        <v>45970</v>
      </c>
      <c r="C2449">
        <v>2025</v>
      </c>
      <c r="D2449">
        <v>11</v>
      </c>
      <c r="E2449" t="s">
        <v>5007</v>
      </c>
      <c r="F2449" t="s">
        <v>4780</v>
      </c>
      <c r="G2449" t="s">
        <v>1311</v>
      </c>
      <c r="H2449" t="s">
        <v>1312</v>
      </c>
      <c r="I2449" t="s">
        <v>85</v>
      </c>
      <c r="J2449">
        <v>49</v>
      </c>
      <c r="K2449" t="s">
        <v>83</v>
      </c>
      <c r="L2449" t="s">
        <v>90</v>
      </c>
      <c r="M2449" t="s">
        <v>55</v>
      </c>
      <c r="N2449" t="s">
        <v>2630</v>
      </c>
      <c r="O2449" t="s">
        <v>123</v>
      </c>
      <c r="P2449" t="s">
        <v>52</v>
      </c>
      <c r="Q2449" t="s">
        <v>146</v>
      </c>
      <c r="R2449">
        <v>4</v>
      </c>
      <c r="S2449">
        <v>2499</v>
      </c>
      <c r="T2449">
        <v>0.15</v>
      </c>
      <c r="U2449">
        <v>8496.6</v>
      </c>
      <c r="V2449">
        <v>5600</v>
      </c>
      <c r="W2449">
        <v>2896.6</v>
      </c>
      <c r="X2449" t="s">
        <v>74</v>
      </c>
      <c r="Y2449" t="s">
        <v>68</v>
      </c>
      <c r="Z2449" t="s">
        <v>158</v>
      </c>
      <c r="AA2449" t="s">
        <v>167</v>
      </c>
      <c r="AB2449">
        <v>3.5</v>
      </c>
      <c r="AC2449">
        <v>40</v>
      </c>
      <c r="AD2449">
        <v>509.75</v>
      </c>
      <c r="AE2449">
        <f t="shared" si="76"/>
        <v>2346.85</v>
      </c>
      <c r="AF2449" t="str">
        <f t="shared" si="77"/>
        <v>2025-11</v>
      </c>
      <c r="AG2449">
        <f>SUBTOTAL(103,A2449)</f>
        <v>1</v>
      </c>
    </row>
    <row r="2450" spans="1:33" x14ac:dyDescent="0.3">
      <c r="A2450" t="s">
        <v>5072</v>
      </c>
      <c r="B2450" s="13">
        <v>45971</v>
      </c>
      <c r="C2450">
        <v>2025</v>
      </c>
      <c r="D2450">
        <v>11</v>
      </c>
      <c r="E2450" t="s">
        <v>5007</v>
      </c>
      <c r="F2450" t="s">
        <v>4780</v>
      </c>
      <c r="G2450" t="s">
        <v>2013</v>
      </c>
      <c r="H2450" t="s">
        <v>2014</v>
      </c>
      <c r="I2450" t="s">
        <v>86</v>
      </c>
      <c r="J2450">
        <v>18</v>
      </c>
      <c r="K2450" t="s">
        <v>80</v>
      </c>
      <c r="L2450" t="s">
        <v>2616</v>
      </c>
      <c r="M2450" t="s">
        <v>62</v>
      </c>
      <c r="N2450" t="s">
        <v>2574</v>
      </c>
      <c r="O2450" t="s">
        <v>130</v>
      </c>
      <c r="P2450" t="s">
        <v>50</v>
      </c>
      <c r="Q2450" t="s">
        <v>53</v>
      </c>
      <c r="R2450">
        <v>1</v>
      </c>
      <c r="S2450">
        <v>1199</v>
      </c>
      <c r="T2450">
        <v>0</v>
      </c>
      <c r="U2450">
        <v>1199</v>
      </c>
      <c r="V2450">
        <v>550</v>
      </c>
      <c r="W2450">
        <v>649</v>
      </c>
      <c r="X2450" t="s">
        <v>73</v>
      </c>
      <c r="Y2450" t="s">
        <v>69</v>
      </c>
      <c r="Z2450" t="s">
        <v>158</v>
      </c>
      <c r="AA2450" t="s">
        <v>166</v>
      </c>
      <c r="AB2450">
        <v>3.8</v>
      </c>
      <c r="AC2450">
        <v>50</v>
      </c>
      <c r="AD2450">
        <v>41.3</v>
      </c>
      <c r="AE2450">
        <f t="shared" si="76"/>
        <v>557.70000000000005</v>
      </c>
      <c r="AF2450" t="str">
        <f t="shared" si="77"/>
        <v>2025-11</v>
      </c>
      <c r="AG2450">
        <f>SUBTOTAL(103,A2450)</f>
        <v>1</v>
      </c>
    </row>
    <row r="2451" spans="1:33" x14ac:dyDescent="0.3">
      <c r="A2451" t="s">
        <v>5073</v>
      </c>
      <c r="B2451" s="13">
        <v>45971</v>
      </c>
      <c r="C2451">
        <v>2025</v>
      </c>
      <c r="D2451">
        <v>11</v>
      </c>
      <c r="E2451" t="s">
        <v>5007</v>
      </c>
      <c r="F2451" t="s">
        <v>4780</v>
      </c>
      <c r="G2451" t="s">
        <v>2379</v>
      </c>
      <c r="H2451" t="s">
        <v>2380</v>
      </c>
      <c r="I2451" t="s">
        <v>85</v>
      </c>
      <c r="J2451">
        <v>51</v>
      </c>
      <c r="K2451" t="s">
        <v>83</v>
      </c>
      <c r="L2451" t="s">
        <v>93</v>
      </c>
      <c r="M2451" t="s">
        <v>55</v>
      </c>
      <c r="N2451" t="s">
        <v>2644</v>
      </c>
      <c r="O2451" t="s">
        <v>126</v>
      </c>
      <c r="P2451" t="s">
        <v>50</v>
      </c>
      <c r="Q2451" t="s">
        <v>145</v>
      </c>
      <c r="R2451">
        <v>1</v>
      </c>
      <c r="S2451">
        <v>1799</v>
      </c>
      <c r="T2451">
        <v>0.05</v>
      </c>
      <c r="U2451">
        <v>1709.05</v>
      </c>
      <c r="V2451">
        <v>950</v>
      </c>
      <c r="W2451">
        <v>759.05</v>
      </c>
      <c r="X2451" t="s">
        <v>77</v>
      </c>
      <c r="Y2451" t="s">
        <v>68</v>
      </c>
      <c r="Z2451" t="s">
        <v>158</v>
      </c>
      <c r="AA2451" t="s">
        <v>168</v>
      </c>
      <c r="AB2451">
        <v>4.4000000000000004</v>
      </c>
      <c r="AC2451">
        <v>80</v>
      </c>
      <c r="AD2451">
        <v>85.39</v>
      </c>
      <c r="AE2451">
        <f t="shared" si="76"/>
        <v>593.66</v>
      </c>
      <c r="AF2451" t="str">
        <f t="shared" si="77"/>
        <v>2025-11</v>
      </c>
      <c r="AG2451">
        <f>SUBTOTAL(103,A2451)</f>
        <v>1</v>
      </c>
    </row>
    <row r="2452" spans="1:33" x14ac:dyDescent="0.3">
      <c r="A2452" t="s">
        <v>5074</v>
      </c>
      <c r="B2452" s="13">
        <v>45971</v>
      </c>
      <c r="C2452">
        <v>2025</v>
      </c>
      <c r="D2452">
        <v>11</v>
      </c>
      <c r="E2452" t="s">
        <v>5007</v>
      </c>
      <c r="F2452" t="s">
        <v>4780</v>
      </c>
      <c r="G2452" t="s">
        <v>1411</v>
      </c>
      <c r="H2452" t="s">
        <v>1412</v>
      </c>
      <c r="I2452" t="s">
        <v>86</v>
      </c>
      <c r="J2452">
        <v>60</v>
      </c>
      <c r="K2452" t="s">
        <v>83</v>
      </c>
      <c r="L2452" t="s">
        <v>2576</v>
      </c>
      <c r="M2452" t="s">
        <v>60</v>
      </c>
      <c r="N2452" t="s">
        <v>2665</v>
      </c>
      <c r="O2452" t="s">
        <v>128</v>
      </c>
      <c r="P2452" t="s">
        <v>53</v>
      </c>
      <c r="Q2452" t="s">
        <v>143</v>
      </c>
      <c r="R2452">
        <v>1</v>
      </c>
      <c r="S2452">
        <v>1499</v>
      </c>
      <c r="T2452">
        <v>0.25</v>
      </c>
      <c r="U2452">
        <v>1124.25</v>
      </c>
      <c r="V2452">
        <v>800</v>
      </c>
      <c r="W2452">
        <v>324.25</v>
      </c>
      <c r="X2452" t="s">
        <v>74</v>
      </c>
      <c r="Y2452" t="s">
        <v>68</v>
      </c>
      <c r="Z2452" t="s">
        <v>160</v>
      </c>
      <c r="AA2452" t="s">
        <v>166</v>
      </c>
      <c r="AB2452">
        <v>3</v>
      </c>
      <c r="AC2452">
        <v>40</v>
      </c>
      <c r="AD2452">
        <v>76.680000000000007</v>
      </c>
      <c r="AE2452">
        <f t="shared" si="76"/>
        <v>207.57</v>
      </c>
      <c r="AF2452" t="str">
        <f t="shared" si="77"/>
        <v>2025-11</v>
      </c>
      <c r="AG2452">
        <f>SUBTOTAL(103,A2452)</f>
        <v>1</v>
      </c>
    </row>
    <row r="2453" spans="1:33" x14ac:dyDescent="0.3">
      <c r="A2453" t="s">
        <v>5075</v>
      </c>
      <c r="B2453" s="13">
        <v>45971</v>
      </c>
      <c r="C2453">
        <v>2025</v>
      </c>
      <c r="D2453">
        <v>11</v>
      </c>
      <c r="E2453" t="s">
        <v>5007</v>
      </c>
      <c r="F2453" t="s">
        <v>4780</v>
      </c>
      <c r="G2453" t="s">
        <v>1915</v>
      </c>
      <c r="H2453" t="s">
        <v>1916</v>
      </c>
      <c r="I2453" t="s">
        <v>86</v>
      </c>
      <c r="J2453">
        <v>26</v>
      </c>
      <c r="K2453" t="s">
        <v>81</v>
      </c>
      <c r="L2453" t="s">
        <v>90</v>
      </c>
      <c r="M2453" t="s">
        <v>55</v>
      </c>
      <c r="N2453" t="s">
        <v>2626</v>
      </c>
      <c r="O2453" t="s">
        <v>125</v>
      </c>
      <c r="P2453" t="s">
        <v>48</v>
      </c>
      <c r="Q2453" t="s">
        <v>141</v>
      </c>
      <c r="R2453">
        <v>2</v>
      </c>
      <c r="S2453">
        <v>1999</v>
      </c>
      <c r="T2453">
        <v>0</v>
      </c>
      <c r="U2453">
        <v>3998</v>
      </c>
      <c r="V2453">
        <v>2300</v>
      </c>
      <c r="W2453">
        <v>1698</v>
      </c>
      <c r="X2453" t="s">
        <v>75</v>
      </c>
      <c r="Y2453" t="s">
        <v>68</v>
      </c>
      <c r="Z2453" t="s">
        <v>160</v>
      </c>
      <c r="AA2453" t="s">
        <v>166</v>
      </c>
      <c r="AB2453">
        <v>4.5</v>
      </c>
      <c r="AC2453">
        <v>40</v>
      </c>
      <c r="AD2453">
        <v>98.3</v>
      </c>
      <c r="AE2453">
        <f t="shared" si="76"/>
        <v>1559.7</v>
      </c>
      <c r="AF2453" t="str">
        <f t="shared" si="77"/>
        <v>2025-11</v>
      </c>
      <c r="AG2453">
        <f>SUBTOTAL(103,A2453)</f>
        <v>1</v>
      </c>
    </row>
    <row r="2454" spans="1:33" x14ac:dyDescent="0.3">
      <c r="A2454" t="s">
        <v>5076</v>
      </c>
      <c r="B2454" s="13">
        <v>45971</v>
      </c>
      <c r="C2454">
        <v>2025</v>
      </c>
      <c r="D2454">
        <v>11</v>
      </c>
      <c r="E2454" t="s">
        <v>5007</v>
      </c>
      <c r="F2454" t="s">
        <v>4780</v>
      </c>
      <c r="G2454" t="s">
        <v>1759</v>
      </c>
      <c r="H2454" t="s">
        <v>1760</v>
      </c>
      <c r="I2454" t="s">
        <v>85</v>
      </c>
      <c r="J2454">
        <v>60</v>
      </c>
      <c r="K2454" t="s">
        <v>83</v>
      </c>
      <c r="L2454" t="s">
        <v>92</v>
      </c>
      <c r="M2454" t="s">
        <v>59</v>
      </c>
      <c r="N2454" t="s">
        <v>2603</v>
      </c>
      <c r="O2454" t="s">
        <v>122</v>
      </c>
      <c r="P2454" t="s">
        <v>48</v>
      </c>
      <c r="Q2454" t="s">
        <v>141</v>
      </c>
      <c r="R2454">
        <v>1</v>
      </c>
      <c r="S2454">
        <v>2499</v>
      </c>
      <c r="T2454">
        <v>0.1</v>
      </c>
      <c r="U2454">
        <v>2249.1</v>
      </c>
      <c r="V2454">
        <v>1450</v>
      </c>
      <c r="W2454">
        <v>799.1</v>
      </c>
      <c r="X2454" t="s">
        <v>74</v>
      </c>
      <c r="Y2454" t="s">
        <v>68</v>
      </c>
      <c r="Z2454" t="s">
        <v>159</v>
      </c>
      <c r="AA2454" t="s">
        <v>171</v>
      </c>
      <c r="AB2454">
        <v>4</v>
      </c>
      <c r="AC2454">
        <v>80</v>
      </c>
      <c r="AD2454">
        <v>90.41</v>
      </c>
      <c r="AE2454">
        <f t="shared" si="76"/>
        <v>628.69000000000005</v>
      </c>
      <c r="AF2454" t="str">
        <f t="shared" si="77"/>
        <v>2025-11</v>
      </c>
      <c r="AG2454">
        <f>SUBTOTAL(103,A2454)</f>
        <v>1</v>
      </c>
    </row>
    <row r="2455" spans="1:33" x14ac:dyDescent="0.3">
      <c r="A2455" t="s">
        <v>5077</v>
      </c>
      <c r="B2455" s="13">
        <v>45971</v>
      </c>
      <c r="C2455">
        <v>2025</v>
      </c>
      <c r="D2455">
        <v>11</v>
      </c>
      <c r="E2455" t="s">
        <v>5007</v>
      </c>
      <c r="F2455" t="s">
        <v>4780</v>
      </c>
      <c r="G2455" t="s">
        <v>1847</v>
      </c>
      <c r="H2455" t="s">
        <v>1848</v>
      </c>
      <c r="I2455" t="s">
        <v>85</v>
      </c>
      <c r="J2455">
        <v>49</v>
      </c>
      <c r="K2455" t="s">
        <v>83</v>
      </c>
      <c r="L2455" t="s">
        <v>94</v>
      </c>
      <c r="M2455" t="s">
        <v>57</v>
      </c>
      <c r="N2455" t="s">
        <v>2603</v>
      </c>
      <c r="O2455" t="s">
        <v>122</v>
      </c>
      <c r="P2455" t="s">
        <v>48</v>
      </c>
      <c r="Q2455" t="s">
        <v>141</v>
      </c>
      <c r="R2455">
        <v>1</v>
      </c>
      <c r="S2455">
        <v>2499</v>
      </c>
      <c r="T2455">
        <v>0</v>
      </c>
      <c r="U2455">
        <v>2499</v>
      </c>
      <c r="V2455">
        <v>1450</v>
      </c>
      <c r="W2455">
        <v>1049</v>
      </c>
      <c r="X2455" t="s">
        <v>77</v>
      </c>
      <c r="Y2455" t="s">
        <v>68</v>
      </c>
      <c r="Z2455" t="s">
        <v>158</v>
      </c>
      <c r="AA2455" t="s">
        <v>166</v>
      </c>
      <c r="AB2455">
        <v>4.3</v>
      </c>
      <c r="AC2455">
        <v>50</v>
      </c>
      <c r="AD2455">
        <v>94.55</v>
      </c>
      <c r="AE2455">
        <f t="shared" si="76"/>
        <v>904.45</v>
      </c>
      <c r="AF2455" t="str">
        <f t="shared" si="77"/>
        <v>2025-11</v>
      </c>
      <c r="AG2455">
        <f>SUBTOTAL(103,A2455)</f>
        <v>1</v>
      </c>
    </row>
    <row r="2456" spans="1:33" x14ac:dyDescent="0.3">
      <c r="A2456" t="s">
        <v>5078</v>
      </c>
      <c r="B2456" s="13">
        <v>45971</v>
      </c>
      <c r="C2456">
        <v>2025</v>
      </c>
      <c r="D2456">
        <v>11</v>
      </c>
      <c r="E2456" t="s">
        <v>5007</v>
      </c>
      <c r="F2456" t="s">
        <v>4780</v>
      </c>
      <c r="G2456" t="s">
        <v>1389</v>
      </c>
      <c r="H2456" t="s">
        <v>1390</v>
      </c>
      <c r="I2456" t="s">
        <v>85</v>
      </c>
      <c r="J2456">
        <v>50</v>
      </c>
      <c r="K2456" t="s">
        <v>83</v>
      </c>
      <c r="L2456" t="s">
        <v>97</v>
      </c>
      <c r="M2456" t="s">
        <v>57</v>
      </c>
      <c r="N2456" t="s">
        <v>2594</v>
      </c>
      <c r="O2456" t="s">
        <v>131</v>
      </c>
      <c r="P2456" t="s">
        <v>53</v>
      </c>
      <c r="Q2456" t="s">
        <v>143</v>
      </c>
      <c r="R2456">
        <v>2</v>
      </c>
      <c r="S2456">
        <v>999</v>
      </c>
      <c r="T2456">
        <v>0.15</v>
      </c>
      <c r="U2456">
        <v>1698.3</v>
      </c>
      <c r="V2456">
        <v>1040</v>
      </c>
      <c r="W2456">
        <v>658.3</v>
      </c>
      <c r="X2456" t="s">
        <v>74</v>
      </c>
      <c r="Y2456" t="s">
        <v>68</v>
      </c>
      <c r="Z2456" t="s">
        <v>163</v>
      </c>
      <c r="AA2456" t="s">
        <v>166</v>
      </c>
      <c r="AB2456">
        <v>3.8</v>
      </c>
      <c r="AC2456">
        <v>100</v>
      </c>
      <c r="AD2456">
        <v>50.36</v>
      </c>
      <c r="AE2456">
        <f t="shared" si="76"/>
        <v>507.93999999999994</v>
      </c>
      <c r="AF2456" t="str">
        <f t="shared" si="77"/>
        <v>2025-11</v>
      </c>
      <c r="AG2456">
        <f>SUBTOTAL(103,A2456)</f>
        <v>1</v>
      </c>
    </row>
    <row r="2457" spans="1:33" x14ac:dyDescent="0.3">
      <c r="A2457" t="s">
        <v>5079</v>
      </c>
      <c r="B2457" s="13">
        <v>45972</v>
      </c>
      <c r="C2457">
        <v>2025</v>
      </c>
      <c r="D2457">
        <v>11</v>
      </c>
      <c r="E2457" t="s">
        <v>5007</v>
      </c>
      <c r="F2457" t="s">
        <v>4780</v>
      </c>
      <c r="G2457" t="s">
        <v>409</v>
      </c>
      <c r="H2457" t="s">
        <v>410</v>
      </c>
      <c r="I2457" t="s">
        <v>85</v>
      </c>
      <c r="J2457">
        <v>31</v>
      </c>
      <c r="K2457" t="s">
        <v>81</v>
      </c>
      <c r="L2457" t="s">
        <v>2573</v>
      </c>
      <c r="M2457" t="s">
        <v>63</v>
      </c>
      <c r="N2457" t="s">
        <v>2582</v>
      </c>
      <c r="O2457" t="s">
        <v>119</v>
      </c>
      <c r="P2457" t="s">
        <v>49</v>
      </c>
      <c r="Q2457" t="s">
        <v>140</v>
      </c>
      <c r="R2457">
        <v>3</v>
      </c>
      <c r="S2457">
        <v>3499</v>
      </c>
      <c r="T2457">
        <v>0.15</v>
      </c>
      <c r="U2457">
        <v>8922.4500000000007</v>
      </c>
      <c r="V2457">
        <v>6300</v>
      </c>
      <c r="W2457">
        <v>2622.45</v>
      </c>
      <c r="X2457" t="s">
        <v>76</v>
      </c>
      <c r="Y2457" t="s">
        <v>68</v>
      </c>
      <c r="Z2457" t="s">
        <v>161</v>
      </c>
      <c r="AA2457" t="s">
        <v>170</v>
      </c>
      <c r="AB2457">
        <v>3.3</v>
      </c>
      <c r="AC2457">
        <v>100</v>
      </c>
      <c r="AD2457">
        <v>183</v>
      </c>
      <c r="AE2457">
        <f t="shared" si="76"/>
        <v>2339.4499999999998</v>
      </c>
      <c r="AF2457" t="str">
        <f t="shared" si="77"/>
        <v>2025-11</v>
      </c>
      <c r="AG2457">
        <f>SUBTOTAL(103,A2457)</f>
        <v>1</v>
      </c>
    </row>
    <row r="2458" spans="1:33" x14ac:dyDescent="0.3">
      <c r="A2458" t="s">
        <v>5080</v>
      </c>
      <c r="B2458" s="13">
        <v>45972</v>
      </c>
      <c r="C2458">
        <v>2025</v>
      </c>
      <c r="D2458">
        <v>11</v>
      </c>
      <c r="E2458" t="s">
        <v>5007</v>
      </c>
      <c r="F2458" t="s">
        <v>4780</v>
      </c>
      <c r="G2458" t="s">
        <v>1473</v>
      </c>
      <c r="H2458" t="s">
        <v>1474</v>
      </c>
      <c r="I2458" t="s">
        <v>85</v>
      </c>
      <c r="J2458">
        <v>21</v>
      </c>
      <c r="K2458" t="s">
        <v>80</v>
      </c>
      <c r="L2458" t="s">
        <v>2610</v>
      </c>
      <c r="M2458" t="s">
        <v>64</v>
      </c>
      <c r="N2458" t="s">
        <v>2590</v>
      </c>
      <c r="O2458" t="s">
        <v>127</v>
      </c>
      <c r="P2458" t="s">
        <v>51</v>
      </c>
      <c r="Q2458" t="s">
        <v>148</v>
      </c>
      <c r="R2458">
        <v>2</v>
      </c>
      <c r="S2458">
        <v>1599</v>
      </c>
      <c r="T2458">
        <v>0</v>
      </c>
      <c r="U2458">
        <v>3198</v>
      </c>
      <c r="V2458">
        <v>1600</v>
      </c>
      <c r="W2458">
        <v>1598</v>
      </c>
      <c r="X2458" t="s">
        <v>74</v>
      </c>
      <c r="Y2458" t="s">
        <v>68</v>
      </c>
      <c r="Z2458" t="s">
        <v>162</v>
      </c>
      <c r="AA2458" t="s">
        <v>167</v>
      </c>
      <c r="AB2458">
        <v>4.4000000000000004</v>
      </c>
      <c r="AC2458">
        <v>80</v>
      </c>
      <c r="AD2458">
        <v>161</v>
      </c>
      <c r="AE2458">
        <f t="shared" si="76"/>
        <v>1357</v>
      </c>
      <c r="AF2458" t="str">
        <f t="shared" si="77"/>
        <v>2025-11</v>
      </c>
      <c r="AG2458">
        <f>SUBTOTAL(103,A2458)</f>
        <v>1</v>
      </c>
    </row>
    <row r="2459" spans="1:33" x14ac:dyDescent="0.3">
      <c r="A2459" t="s">
        <v>5081</v>
      </c>
      <c r="B2459" s="13">
        <v>45972</v>
      </c>
      <c r="C2459">
        <v>2025</v>
      </c>
      <c r="D2459">
        <v>11</v>
      </c>
      <c r="E2459" t="s">
        <v>5007</v>
      </c>
      <c r="F2459" t="s">
        <v>4780</v>
      </c>
      <c r="G2459" t="s">
        <v>1151</v>
      </c>
      <c r="H2459" t="s">
        <v>1152</v>
      </c>
      <c r="I2459" t="s">
        <v>85</v>
      </c>
      <c r="J2459">
        <v>44</v>
      </c>
      <c r="K2459" t="s">
        <v>82</v>
      </c>
      <c r="L2459" t="s">
        <v>94</v>
      </c>
      <c r="M2459" t="s">
        <v>57</v>
      </c>
      <c r="N2459" t="s">
        <v>2601</v>
      </c>
      <c r="O2459" t="s">
        <v>117</v>
      </c>
      <c r="P2459" t="s">
        <v>49</v>
      </c>
      <c r="Q2459" t="s">
        <v>139</v>
      </c>
      <c r="R2459">
        <v>2</v>
      </c>
      <c r="S2459">
        <v>6999</v>
      </c>
      <c r="T2459">
        <v>0.05</v>
      </c>
      <c r="U2459">
        <v>0</v>
      </c>
      <c r="V2459">
        <v>0</v>
      </c>
      <c r="W2459">
        <v>0</v>
      </c>
      <c r="X2459" t="s">
        <v>74</v>
      </c>
      <c r="Y2459" t="s">
        <v>71</v>
      </c>
      <c r="Z2459" t="s">
        <v>159</v>
      </c>
      <c r="AA2459" t="s">
        <v>166</v>
      </c>
      <c r="AB2459">
        <v>4.5</v>
      </c>
      <c r="AC2459">
        <v>80</v>
      </c>
      <c r="AD2459">
        <v>545.65</v>
      </c>
      <c r="AE2459">
        <f t="shared" si="76"/>
        <v>-625.65</v>
      </c>
      <c r="AF2459" t="str">
        <f t="shared" si="77"/>
        <v>2025-11</v>
      </c>
      <c r="AG2459">
        <f>SUBTOTAL(103,A2459)</f>
        <v>1</v>
      </c>
    </row>
    <row r="2460" spans="1:33" x14ac:dyDescent="0.3">
      <c r="A2460" t="s">
        <v>5082</v>
      </c>
      <c r="B2460" s="13">
        <v>45972</v>
      </c>
      <c r="C2460">
        <v>2025</v>
      </c>
      <c r="D2460">
        <v>11</v>
      </c>
      <c r="E2460" t="s">
        <v>5007</v>
      </c>
      <c r="F2460" t="s">
        <v>4780</v>
      </c>
      <c r="G2460" t="s">
        <v>285</v>
      </c>
      <c r="H2460" t="s">
        <v>286</v>
      </c>
      <c r="I2460" t="s">
        <v>85</v>
      </c>
      <c r="J2460">
        <v>20</v>
      </c>
      <c r="K2460" t="s">
        <v>80</v>
      </c>
      <c r="L2460" t="s">
        <v>2589</v>
      </c>
      <c r="M2460" t="s">
        <v>61</v>
      </c>
      <c r="N2460" t="s">
        <v>2574</v>
      </c>
      <c r="O2460" t="s">
        <v>130</v>
      </c>
      <c r="P2460" t="s">
        <v>50</v>
      </c>
      <c r="Q2460" t="s">
        <v>53</v>
      </c>
      <c r="R2460">
        <v>3</v>
      </c>
      <c r="S2460">
        <v>1199</v>
      </c>
      <c r="T2460">
        <v>0.15</v>
      </c>
      <c r="U2460">
        <v>3057.45</v>
      </c>
      <c r="V2460">
        <v>1650</v>
      </c>
      <c r="W2460">
        <v>1407.45</v>
      </c>
      <c r="X2460" t="s">
        <v>75</v>
      </c>
      <c r="Y2460" t="s">
        <v>69</v>
      </c>
      <c r="Z2460" t="s">
        <v>160</v>
      </c>
      <c r="AA2460" t="s">
        <v>166</v>
      </c>
      <c r="AB2460">
        <v>2.2999999999999998</v>
      </c>
      <c r="AC2460">
        <v>50</v>
      </c>
      <c r="AD2460">
        <v>77.5</v>
      </c>
      <c r="AE2460">
        <f t="shared" si="76"/>
        <v>1279.95</v>
      </c>
      <c r="AF2460" t="str">
        <f t="shared" si="77"/>
        <v>2025-11</v>
      </c>
      <c r="AG2460">
        <f>SUBTOTAL(103,A2460)</f>
        <v>1</v>
      </c>
    </row>
    <row r="2461" spans="1:33" x14ac:dyDescent="0.3">
      <c r="A2461" t="s">
        <v>5083</v>
      </c>
      <c r="B2461" s="13">
        <v>45972</v>
      </c>
      <c r="C2461">
        <v>2025</v>
      </c>
      <c r="D2461">
        <v>11</v>
      </c>
      <c r="E2461" t="s">
        <v>5007</v>
      </c>
      <c r="F2461" t="s">
        <v>4780</v>
      </c>
      <c r="G2461" t="s">
        <v>2475</v>
      </c>
      <c r="H2461" t="s">
        <v>2476</v>
      </c>
      <c r="I2461" t="s">
        <v>86</v>
      </c>
      <c r="J2461">
        <v>59</v>
      </c>
      <c r="K2461" t="s">
        <v>83</v>
      </c>
      <c r="L2461" t="s">
        <v>2579</v>
      </c>
      <c r="M2461" t="s">
        <v>56</v>
      </c>
      <c r="N2461" t="s">
        <v>2594</v>
      </c>
      <c r="O2461" t="s">
        <v>131</v>
      </c>
      <c r="P2461" t="s">
        <v>53</v>
      </c>
      <c r="Q2461" t="s">
        <v>143</v>
      </c>
      <c r="R2461">
        <v>2</v>
      </c>
      <c r="S2461">
        <v>999</v>
      </c>
      <c r="T2461">
        <v>0.05</v>
      </c>
      <c r="U2461">
        <v>1898.1</v>
      </c>
      <c r="V2461">
        <v>1040</v>
      </c>
      <c r="W2461">
        <v>858.1</v>
      </c>
      <c r="X2461" t="s">
        <v>73</v>
      </c>
      <c r="Y2461" t="s">
        <v>68</v>
      </c>
      <c r="Z2461" t="s">
        <v>160</v>
      </c>
      <c r="AA2461" t="s">
        <v>166</v>
      </c>
      <c r="AB2461">
        <v>3.3</v>
      </c>
      <c r="AC2461">
        <v>50</v>
      </c>
      <c r="AD2461">
        <v>45.82</v>
      </c>
      <c r="AE2461">
        <f t="shared" si="76"/>
        <v>762.28</v>
      </c>
      <c r="AF2461" t="str">
        <f t="shared" si="77"/>
        <v>2025-11</v>
      </c>
      <c r="AG2461">
        <f>SUBTOTAL(103,A2461)</f>
        <v>1</v>
      </c>
    </row>
    <row r="2462" spans="1:33" x14ac:dyDescent="0.3">
      <c r="A2462" t="s">
        <v>5084</v>
      </c>
      <c r="B2462" s="13">
        <v>45972</v>
      </c>
      <c r="C2462">
        <v>2025</v>
      </c>
      <c r="D2462">
        <v>11</v>
      </c>
      <c r="E2462" t="s">
        <v>5007</v>
      </c>
      <c r="F2462" t="s">
        <v>4780</v>
      </c>
      <c r="G2462" t="s">
        <v>1963</v>
      </c>
      <c r="H2462" t="s">
        <v>1964</v>
      </c>
      <c r="I2462" t="s">
        <v>87</v>
      </c>
      <c r="J2462">
        <v>37</v>
      </c>
      <c r="K2462" t="s">
        <v>82</v>
      </c>
      <c r="L2462" t="s">
        <v>59</v>
      </c>
      <c r="M2462" t="s">
        <v>59</v>
      </c>
      <c r="N2462" t="s">
        <v>2580</v>
      </c>
      <c r="O2462" t="s">
        <v>118</v>
      </c>
      <c r="P2462" t="s">
        <v>48</v>
      </c>
      <c r="Q2462" t="s">
        <v>142</v>
      </c>
      <c r="R2462">
        <v>5</v>
      </c>
      <c r="S2462">
        <v>3999</v>
      </c>
      <c r="T2462">
        <v>0.2</v>
      </c>
      <c r="U2462">
        <v>0</v>
      </c>
      <c r="V2462">
        <v>0</v>
      </c>
      <c r="W2462">
        <v>0</v>
      </c>
      <c r="X2462" t="s">
        <v>74</v>
      </c>
      <c r="Y2462" t="s">
        <v>71</v>
      </c>
      <c r="Z2462" t="s">
        <v>161</v>
      </c>
      <c r="AA2462" t="s">
        <v>171</v>
      </c>
      <c r="AB2462">
        <v>4.3</v>
      </c>
      <c r="AC2462">
        <v>50</v>
      </c>
      <c r="AD2462">
        <v>398.05</v>
      </c>
      <c r="AE2462">
        <f t="shared" si="76"/>
        <v>-448.05</v>
      </c>
      <c r="AF2462" t="str">
        <f t="shared" si="77"/>
        <v>2025-11</v>
      </c>
      <c r="AG2462">
        <f>SUBTOTAL(103,A2462)</f>
        <v>1</v>
      </c>
    </row>
    <row r="2463" spans="1:33" x14ac:dyDescent="0.3">
      <c r="A2463" t="s">
        <v>5085</v>
      </c>
      <c r="B2463" s="13">
        <v>45973</v>
      </c>
      <c r="C2463">
        <v>2025</v>
      </c>
      <c r="D2463">
        <v>11</v>
      </c>
      <c r="E2463" t="s">
        <v>5007</v>
      </c>
      <c r="F2463" t="s">
        <v>4780</v>
      </c>
      <c r="G2463" t="s">
        <v>457</v>
      </c>
      <c r="H2463" t="s">
        <v>458</v>
      </c>
      <c r="I2463" t="s">
        <v>86</v>
      </c>
      <c r="J2463">
        <v>32</v>
      </c>
      <c r="K2463" t="s">
        <v>81</v>
      </c>
      <c r="L2463" t="s">
        <v>2616</v>
      </c>
      <c r="M2463" t="s">
        <v>62</v>
      </c>
      <c r="N2463" t="s">
        <v>2630</v>
      </c>
      <c r="O2463" t="s">
        <v>123</v>
      </c>
      <c r="P2463" t="s">
        <v>52</v>
      </c>
      <c r="Q2463" t="s">
        <v>146</v>
      </c>
      <c r="R2463">
        <v>1</v>
      </c>
      <c r="S2463">
        <v>2499</v>
      </c>
      <c r="T2463">
        <v>0.2</v>
      </c>
      <c r="U2463">
        <v>1999.2</v>
      </c>
      <c r="V2463">
        <v>1400</v>
      </c>
      <c r="W2463">
        <v>599.20000000000005</v>
      </c>
      <c r="X2463" t="s">
        <v>74</v>
      </c>
      <c r="Y2463" t="s">
        <v>68</v>
      </c>
      <c r="Z2463" t="s">
        <v>158</v>
      </c>
      <c r="AA2463" t="s">
        <v>168</v>
      </c>
      <c r="AB2463">
        <v>3.7</v>
      </c>
      <c r="AC2463">
        <v>100</v>
      </c>
      <c r="AD2463">
        <v>146.34</v>
      </c>
      <c r="AE2463">
        <f t="shared" si="76"/>
        <v>352.86</v>
      </c>
      <c r="AF2463" t="str">
        <f t="shared" si="77"/>
        <v>2025-11</v>
      </c>
      <c r="AG2463">
        <f>SUBTOTAL(103,A2463)</f>
        <v>1</v>
      </c>
    </row>
    <row r="2464" spans="1:33" x14ac:dyDescent="0.3">
      <c r="A2464" t="s">
        <v>5086</v>
      </c>
      <c r="B2464" s="13">
        <v>45973</v>
      </c>
      <c r="C2464">
        <v>2025</v>
      </c>
      <c r="D2464">
        <v>11</v>
      </c>
      <c r="E2464" t="s">
        <v>5007</v>
      </c>
      <c r="F2464" t="s">
        <v>4780</v>
      </c>
      <c r="G2464" t="s">
        <v>1615</v>
      </c>
      <c r="H2464" t="s">
        <v>1616</v>
      </c>
      <c r="I2464" t="s">
        <v>86</v>
      </c>
      <c r="J2464">
        <v>47</v>
      </c>
      <c r="K2464" t="s">
        <v>83</v>
      </c>
      <c r="L2464" t="s">
        <v>95</v>
      </c>
      <c r="M2464" t="s">
        <v>56</v>
      </c>
      <c r="N2464" t="s">
        <v>2584</v>
      </c>
      <c r="O2464" t="s">
        <v>121</v>
      </c>
      <c r="P2464" t="s">
        <v>50</v>
      </c>
      <c r="Q2464" t="s">
        <v>144</v>
      </c>
      <c r="R2464">
        <v>2</v>
      </c>
      <c r="S2464">
        <v>2999</v>
      </c>
      <c r="T2464">
        <v>0.05</v>
      </c>
      <c r="U2464">
        <v>5698.1</v>
      </c>
      <c r="V2464">
        <v>3400</v>
      </c>
      <c r="W2464">
        <v>2298.1</v>
      </c>
      <c r="X2464" t="s">
        <v>74</v>
      </c>
      <c r="Y2464" t="s">
        <v>68</v>
      </c>
      <c r="Z2464" t="s">
        <v>158</v>
      </c>
      <c r="AA2464" t="s">
        <v>166</v>
      </c>
      <c r="AB2464">
        <v>4.2</v>
      </c>
      <c r="AC2464">
        <v>60</v>
      </c>
      <c r="AD2464">
        <v>436.67</v>
      </c>
      <c r="AE2464">
        <f t="shared" si="76"/>
        <v>1801.4299999999998</v>
      </c>
      <c r="AF2464" t="str">
        <f t="shared" si="77"/>
        <v>2025-11</v>
      </c>
      <c r="AG2464">
        <f>SUBTOTAL(103,A2464)</f>
        <v>1</v>
      </c>
    </row>
    <row r="2465" spans="1:33" x14ac:dyDescent="0.3">
      <c r="A2465" t="s">
        <v>5087</v>
      </c>
      <c r="B2465" s="13">
        <v>45973</v>
      </c>
      <c r="C2465">
        <v>2025</v>
      </c>
      <c r="D2465">
        <v>11</v>
      </c>
      <c r="E2465" t="s">
        <v>5007</v>
      </c>
      <c r="F2465" t="s">
        <v>4780</v>
      </c>
      <c r="G2465" t="s">
        <v>975</v>
      </c>
      <c r="H2465" t="s">
        <v>976</v>
      </c>
      <c r="I2465" t="s">
        <v>85</v>
      </c>
      <c r="J2465">
        <v>28</v>
      </c>
      <c r="K2465" t="s">
        <v>81</v>
      </c>
      <c r="L2465" t="s">
        <v>2661</v>
      </c>
      <c r="M2465" t="s">
        <v>58</v>
      </c>
      <c r="N2465" t="s">
        <v>2582</v>
      </c>
      <c r="O2465" t="s">
        <v>119</v>
      </c>
      <c r="P2465" t="s">
        <v>49</v>
      </c>
      <c r="Q2465" t="s">
        <v>140</v>
      </c>
      <c r="R2465">
        <v>1</v>
      </c>
      <c r="S2465">
        <v>3499</v>
      </c>
      <c r="T2465">
        <v>0.05</v>
      </c>
      <c r="U2465">
        <v>3324.05</v>
      </c>
      <c r="V2465">
        <v>2100</v>
      </c>
      <c r="W2465">
        <v>1224.05</v>
      </c>
      <c r="X2465" t="s">
        <v>76</v>
      </c>
      <c r="Y2465" t="s">
        <v>68</v>
      </c>
      <c r="Z2465" t="s">
        <v>160</v>
      </c>
      <c r="AA2465" t="s">
        <v>167</v>
      </c>
      <c r="AB2465">
        <v>5</v>
      </c>
      <c r="AC2465">
        <v>80</v>
      </c>
      <c r="AD2465">
        <v>357.93</v>
      </c>
      <c r="AE2465">
        <f t="shared" si="76"/>
        <v>786.11999999999989</v>
      </c>
      <c r="AF2465" t="str">
        <f t="shared" si="77"/>
        <v>2025-11</v>
      </c>
      <c r="AG2465">
        <f>SUBTOTAL(103,A2465)</f>
        <v>1</v>
      </c>
    </row>
    <row r="2466" spans="1:33" x14ac:dyDescent="0.3">
      <c r="A2466" t="s">
        <v>5088</v>
      </c>
      <c r="B2466" s="13">
        <v>45974</v>
      </c>
      <c r="C2466">
        <v>2025</v>
      </c>
      <c r="D2466">
        <v>11</v>
      </c>
      <c r="E2466" t="s">
        <v>5007</v>
      </c>
      <c r="F2466" t="s">
        <v>4780</v>
      </c>
      <c r="G2466" t="s">
        <v>2067</v>
      </c>
      <c r="H2466" t="s">
        <v>2068</v>
      </c>
      <c r="I2466" t="s">
        <v>86</v>
      </c>
      <c r="J2466">
        <v>28</v>
      </c>
      <c r="K2466" t="s">
        <v>81</v>
      </c>
      <c r="L2466" t="s">
        <v>2674</v>
      </c>
      <c r="M2466" t="s">
        <v>58</v>
      </c>
      <c r="N2466" t="s">
        <v>2596</v>
      </c>
      <c r="O2466" t="s">
        <v>124</v>
      </c>
      <c r="P2466" t="s">
        <v>51</v>
      </c>
      <c r="Q2466" t="s">
        <v>147</v>
      </c>
      <c r="R2466">
        <v>3</v>
      </c>
      <c r="S2466">
        <v>2299</v>
      </c>
      <c r="T2466">
        <v>0.15</v>
      </c>
      <c r="U2466">
        <v>5862.45</v>
      </c>
      <c r="V2466">
        <v>3600</v>
      </c>
      <c r="W2466">
        <v>2262.4499999999998</v>
      </c>
      <c r="X2466" t="s">
        <v>75</v>
      </c>
      <c r="Y2466" t="s">
        <v>68</v>
      </c>
      <c r="Z2466" t="s">
        <v>160</v>
      </c>
      <c r="AA2466" t="s">
        <v>170</v>
      </c>
      <c r="AB2466">
        <v>3</v>
      </c>
      <c r="AC2466">
        <v>60</v>
      </c>
      <c r="AD2466">
        <v>611.70000000000005</v>
      </c>
      <c r="AE2466">
        <f t="shared" si="76"/>
        <v>1590.7499999999998</v>
      </c>
      <c r="AF2466" t="str">
        <f t="shared" si="77"/>
        <v>2025-11</v>
      </c>
      <c r="AG2466">
        <f>SUBTOTAL(103,A2466)</f>
        <v>1</v>
      </c>
    </row>
    <row r="2467" spans="1:33" x14ac:dyDescent="0.3">
      <c r="A2467" t="s">
        <v>5089</v>
      </c>
      <c r="B2467" s="13">
        <v>45974</v>
      </c>
      <c r="C2467">
        <v>2025</v>
      </c>
      <c r="D2467">
        <v>11</v>
      </c>
      <c r="E2467" t="s">
        <v>5007</v>
      </c>
      <c r="F2467" t="s">
        <v>4780</v>
      </c>
      <c r="G2467" t="s">
        <v>1755</v>
      </c>
      <c r="H2467" t="s">
        <v>1756</v>
      </c>
      <c r="I2467" t="s">
        <v>86</v>
      </c>
      <c r="J2467">
        <v>23</v>
      </c>
      <c r="K2467" t="s">
        <v>80</v>
      </c>
      <c r="L2467" t="s">
        <v>98</v>
      </c>
      <c r="M2467" t="s">
        <v>55</v>
      </c>
      <c r="N2467" t="s">
        <v>2647</v>
      </c>
      <c r="O2467" t="s">
        <v>133</v>
      </c>
      <c r="P2467" t="s">
        <v>50</v>
      </c>
      <c r="Q2467" t="s">
        <v>145</v>
      </c>
      <c r="R2467">
        <v>2</v>
      </c>
      <c r="S2467">
        <v>799</v>
      </c>
      <c r="T2467">
        <v>0</v>
      </c>
      <c r="U2467">
        <v>1598</v>
      </c>
      <c r="V2467">
        <v>780</v>
      </c>
      <c r="W2467">
        <v>818</v>
      </c>
      <c r="X2467" t="s">
        <v>74</v>
      </c>
      <c r="Y2467" t="s">
        <v>68</v>
      </c>
      <c r="Z2467" t="s">
        <v>159</v>
      </c>
      <c r="AA2467" t="s">
        <v>166</v>
      </c>
      <c r="AB2467">
        <v>5</v>
      </c>
      <c r="AC2467">
        <v>80</v>
      </c>
      <c r="AD2467">
        <v>132.74</v>
      </c>
      <c r="AE2467">
        <f t="shared" si="76"/>
        <v>605.26</v>
      </c>
      <c r="AF2467" t="str">
        <f t="shared" si="77"/>
        <v>2025-11</v>
      </c>
      <c r="AG2467">
        <f>SUBTOTAL(103,A2467)</f>
        <v>1</v>
      </c>
    </row>
    <row r="2468" spans="1:33" x14ac:dyDescent="0.3">
      <c r="A2468" t="s">
        <v>5090</v>
      </c>
      <c r="B2468" s="13">
        <v>45974</v>
      </c>
      <c r="C2468">
        <v>2025</v>
      </c>
      <c r="D2468">
        <v>11</v>
      </c>
      <c r="E2468" t="s">
        <v>5007</v>
      </c>
      <c r="F2468" t="s">
        <v>4780</v>
      </c>
      <c r="G2468" t="s">
        <v>217</v>
      </c>
      <c r="H2468" t="s">
        <v>218</v>
      </c>
      <c r="I2468" t="s">
        <v>85</v>
      </c>
      <c r="J2468">
        <v>42</v>
      </c>
      <c r="K2468" t="s">
        <v>82</v>
      </c>
      <c r="L2468" t="s">
        <v>94</v>
      </c>
      <c r="M2468" t="s">
        <v>57</v>
      </c>
      <c r="N2468" t="s">
        <v>2665</v>
      </c>
      <c r="O2468" t="s">
        <v>128</v>
      </c>
      <c r="P2468" t="s">
        <v>53</v>
      </c>
      <c r="Q2468" t="s">
        <v>143</v>
      </c>
      <c r="R2468">
        <v>2</v>
      </c>
      <c r="S2468">
        <v>1499</v>
      </c>
      <c r="T2468">
        <v>0</v>
      </c>
      <c r="U2468">
        <v>2998</v>
      </c>
      <c r="V2468">
        <v>1600</v>
      </c>
      <c r="W2468">
        <v>1398</v>
      </c>
      <c r="X2468" t="s">
        <v>76</v>
      </c>
      <c r="Y2468" t="s">
        <v>68</v>
      </c>
      <c r="Z2468" t="s">
        <v>158</v>
      </c>
      <c r="AA2468" t="s">
        <v>166</v>
      </c>
      <c r="AB2468">
        <v>2.9</v>
      </c>
      <c r="AC2468">
        <v>50</v>
      </c>
      <c r="AD2468">
        <v>142.13999999999999</v>
      </c>
      <c r="AE2468">
        <f t="shared" si="76"/>
        <v>1205.8600000000001</v>
      </c>
      <c r="AF2468" t="str">
        <f t="shared" si="77"/>
        <v>2025-11</v>
      </c>
      <c r="AG2468">
        <f>SUBTOTAL(103,A2468)</f>
        <v>1</v>
      </c>
    </row>
    <row r="2469" spans="1:33" x14ac:dyDescent="0.3">
      <c r="A2469" t="s">
        <v>5091</v>
      </c>
      <c r="B2469" s="13">
        <v>45974</v>
      </c>
      <c r="C2469">
        <v>2025</v>
      </c>
      <c r="D2469">
        <v>11</v>
      </c>
      <c r="E2469" t="s">
        <v>5007</v>
      </c>
      <c r="F2469" t="s">
        <v>4780</v>
      </c>
      <c r="G2469" t="s">
        <v>1337</v>
      </c>
      <c r="H2469" t="s">
        <v>1338</v>
      </c>
      <c r="I2469" t="s">
        <v>86</v>
      </c>
      <c r="J2469">
        <v>44</v>
      </c>
      <c r="K2469" t="s">
        <v>82</v>
      </c>
      <c r="L2469" t="s">
        <v>91</v>
      </c>
      <c r="M2469" t="s">
        <v>55</v>
      </c>
      <c r="N2469" t="s">
        <v>2644</v>
      </c>
      <c r="O2469" t="s">
        <v>126</v>
      </c>
      <c r="P2469" t="s">
        <v>50</v>
      </c>
      <c r="Q2469" t="s">
        <v>145</v>
      </c>
      <c r="R2469">
        <v>2</v>
      </c>
      <c r="S2469">
        <v>1799</v>
      </c>
      <c r="T2469">
        <v>0.2</v>
      </c>
      <c r="U2469">
        <v>2878.4</v>
      </c>
      <c r="V2469">
        <v>1900</v>
      </c>
      <c r="W2469">
        <v>978.4</v>
      </c>
      <c r="X2469" t="s">
        <v>75</v>
      </c>
      <c r="Y2469" t="s">
        <v>68</v>
      </c>
      <c r="Z2469" t="s">
        <v>160</v>
      </c>
      <c r="AA2469" t="s">
        <v>171</v>
      </c>
      <c r="AB2469">
        <v>3.8</v>
      </c>
      <c r="AC2469">
        <v>80</v>
      </c>
      <c r="AD2469">
        <v>229.43</v>
      </c>
      <c r="AE2469">
        <f t="shared" si="76"/>
        <v>668.97</v>
      </c>
      <c r="AF2469" t="str">
        <f t="shared" si="77"/>
        <v>2025-11</v>
      </c>
      <c r="AG2469">
        <f>SUBTOTAL(103,A2469)</f>
        <v>1</v>
      </c>
    </row>
    <row r="2470" spans="1:33" x14ac:dyDescent="0.3">
      <c r="A2470" t="s">
        <v>5092</v>
      </c>
      <c r="B2470" s="13">
        <v>45974</v>
      </c>
      <c r="C2470">
        <v>2025</v>
      </c>
      <c r="D2470">
        <v>11</v>
      </c>
      <c r="E2470" t="s">
        <v>5007</v>
      </c>
      <c r="F2470" t="s">
        <v>4780</v>
      </c>
      <c r="G2470" t="s">
        <v>391</v>
      </c>
      <c r="H2470" t="s">
        <v>392</v>
      </c>
      <c r="I2470" t="s">
        <v>85</v>
      </c>
      <c r="J2470">
        <v>40</v>
      </c>
      <c r="K2470" t="s">
        <v>82</v>
      </c>
      <c r="L2470" t="s">
        <v>2589</v>
      </c>
      <c r="M2470" t="s">
        <v>61</v>
      </c>
      <c r="N2470" t="s">
        <v>2606</v>
      </c>
      <c r="O2470" t="s">
        <v>120</v>
      </c>
      <c r="P2470" t="s">
        <v>49</v>
      </c>
      <c r="Q2470" t="s">
        <v>140</v>
      </c>
      <c r="R2470">
        <v>1</v>
      </c>
      <c r="S2470">
        <v>2799</v>
      </c>
      <c r="T2470">
        <v>0.1</v>
      </c>
      <c r="U2470">
        <v>2519.1</v>
      </c>
      <c r="V2470">
        <v>1650</v>
      </c>
      <c r="W2470">
        <v>869.1</v>
      </c>
      <c r="X2470" t="s">
        <v>73</v>
      </c>
      <c r="Y2470" t="s">
        <v>68</v>
      </c>
      <c r="Z2470" t="s">
        <v>162</v>
      </c>
      <c r="AA2470" t="s">
        <v>170</v>
      </c>
      <c r="AB2470">
        <v>3.9</v>
      </c>
      <c r="AC2470">
        <v>60</v>
      </c>
      <c r="AD2470">
        <v>61.7</v>
      </c>
      <c r="AE2470">
        <f t="shared" si="76"/>
        <v>747.4</v>
      </c>
      <c r="AF2470" t="str">
        <f t="shared" si="77"/>
        <v>2025-11</v>
      </c>
      <c r="AG2470">
        <f>SUBTOTAL(103,A2470)</f>
        <v>1</v>
      </c>
    </row>
    <row r="2471" spans="1:33" x14ac:dyDescent="0.3">
      <c r="A2471" t="s">
        <v>5093</v>
      </c>
      <c r="B2471" s="13">
        <v>45974</v>
      </c>
      <c r="C2471">
        <v>2025</v>
      </c>
      <c r="D2471">
        <v>11</v>
      </c>
      <c r="E2471" t="s">
        <v>5007</v>
      </c>
      <c r="F2471" t="s">
        <v>4780</v>
      </c>
      <c r="G2471" t="s">
        <v>819</v>
      </c>
      <c r="H2471" t="s">
        <v>820</v>
      </c>
      <c r="I2471" t="s">
        <v>85</v>
      </c>
      <c r="J2471">
        <v>33</v>
      </c>
      <c r="K2471" t="s">
        <v>81</v>
      </c>
      <c r="L2471" t="s">
        <v>92</v>
      </c>
      <c r="M2471" t="s">
        <v>59</v>
      </c>
      <c r="N2471" t="s">
        <v>2592</v>
      </c>
      <c r="O2471" t="s">
        <v>115</v>
      </c>
      <c r="P2471" t="s">
        <v>48</v>
      </c>
      <c r="Q2471" t="s">
        <v>137</v>
      </c>
      <c r="R2471">
        <v>2</v>
      </c>
      <c r="S2471">
        <v>12999</v>
      </c>
      <c r="T2471">
        <v>0.15</v>
      </c>
      <c r="U2471">
        <v>22098.3</v>
      </c>
      <c r="V2471">
        <v>18000</v>
      </c>
      <c r="W2471">
        <v>4098.3</v>
      </c>
      <c r="X2471" t="s">
        <v>76</v>
      </c>
      <c r="Y2471" t="s">
        <v>68</v>
      </c>
      <c r="Z2471" t="s">
        <v>160</v>
      </c>
      <c r="AA2471" t="s">
        <v>169</v>
      </c>
      <c r="AB2471">
        <v>4.3</v>
      </c>
      <c r="AC2471">
        <v>50</v>
      </c>
      <c r="AD2471">
        <v>1513.29</v>
      </c>
      <c r="AE2471">
        <f t="shared" si="76"/>
        <v>2535.0100000000002</v>
      </c>
      <c r="AF2471" t="str">
        <f t="shared" si="77"/>
        <v>2025-11</v>
      </c>
      <c r="AG2471">
        <f>SUBTOTAL(103,A2471)</f>
        <v>1</v>
      </c>
    </row>
    <row r="2472" spans="1:33" x14ac:dyDescent="0.3">
      <c r="A2472" t="s">
        <v>5094</v>
      </c>
      <c r="B2472" s="13">
        <v>45974</v>
      </c>
      <c r="C2472">
        <v>2025</v>
      </c>
      <c r="D2472">
        <v>11</v>
      </c>
      <c r="E2472" t="s">
        <v>5007</v>
      </c>
      <c r="F2472" t="s">
        <v>4780</v>
      </c>
      <c r="G2472" t="s">
        <v>1011</v>
      </c>
      <c r="H2472" t="s">
        <v>1012</v>
      </c>
      <c r="I2472" t="s">
        <v>85</v>
      </c>
      <c r="J2472">
        <v>33</v>
      </c>
      <c r="K2472" t="s">
        <v>81</v>
      </c>
      <c r="L2472" t="s">
        <v>2586</v>
      </c>
      <c r="M2472" t="s">
        <v>62</v>
      </c>
      <c r="N2472" t="s">
        <v>2647</v>
      </c>
      <c r="O2472" t="s">
        <v>133</v>
      </c>
      <c r="P2472" t="s">
        <v>50</v>
      </c>
      <c r="Q2472" t="s">
        <v>145</v>
      </c>
      <c r="R2472">
        <v>1</v>
      </c>
      <c r="S2472">
        <v>799</v>
      </c>
      <c r="T2472">
        <v>0</v>
      </c>
      <c r="U2472">
        <v>799</v>
      </c>
      <c r="V2472">
        <v>390</v>
      </c>
      <c r="W2472">
        <v>409</v>
      </c>
      <c r="X2472" t="s">
        <v>76</v>
      </c>
      <c r="Y2472" t="s">
        <v>68</v>
      </c>
      <c r="Z2472" t="s">
        <v>159</v>
      </c>
      <c r="AA2472" t="s">
        <v>168</v>
      </c>
      <c r="AB2472">
        <v>4.5</v>
      </c>
      <c r="AC2472">
        <v>100</v>
      </c>
      <c r="AD2472">
        <v>33.76</v>
      </c>
      <c r="AE2472">
        <f t="shared" si="76"/>
        <v>275.24</v>
      </c>
      <c r="AF2472" t="str">
        <f t="shared" si="77"/>
        <v>2025-11</v>
      </c>
      <c r="AG2472">
        <f>SUBTOTAL(103,A2472)</f>
        <v>1</v>
      </c>
    </row>
    <row r="2473" spans="1:33" x14ac:dyDescent="0.3">
      <c r="A2473" t="s">
        <v>5095</v>
      </c>
      <c r="B2473" s="13">
        <v>45974</v>
      </c>
      <c r="C2473">
        <v>2025</v>
      </c>
      <c r="D2473">
        <v>11</v>
      </c>
      <c r="E2473" t="s">
        <v>5007</v>
      </c>
      <c r="F2473" t="s">
        <v>4780</v>
      </c>
      <c r="G2473" t="s">
        <v>1617</v>
      </c>
      <c r="H2473" t="s">
        <v>1618</v>
      </c>
      <c r="I2473" t="s">
        <v>86</v>
      </c>
      <c r="J2473">
        <v>47</v>
      </c>
      <c r="K2473" t="s">
        <v>83</v>
      </c>
      <c r="L2473" t="s">
        <v>59</v>
      </c>
      <c r="M2473" t="s">
        <v>59</v>
      </c>
      <c r="N2473" t="s">
        <v>2577</v>
      </c>
      <c r="O2473" t="s">
        <v>129</v>
      </c>
      <c r="P2473" t="s">
        <v>49</v>
      </c>
      <c r="Q2473" t="s">
        <v>149</v>
      </c>
      <c r="R2473">
        <v>4</v>
      </c>
      <c r="S2473">
        <v>1299</v>
      </c>
      <c r="T2473">
        <v>0.15</v>
      </c>
      <c r="U2473">
        <v>4416.6000000000004</v>
      </c>
      <c r="V2473">
        <v>2600</v>
      </c>
      <c r="W2473">
        <v>1816.6</v>
      </c>
      <c r="X2473" t="s">
        <v>76</v>
      </c>
      <c r="Y2473" t="s">
        <v>69</v>
      </c>
      <c r="Z2473" t="s">
        <v>161</v>
      </c>
      <c r="AA2473" t="s">
        <v>169</v>
      </c>
      <c r="AB2473">
        <v>3.9</v>
      </c>
      <c r="AC2473">
        <v>60</v>
      </c>
      <c r="AD2473">
        <v>343.89</v>
      </c>
      <c r="AE2473">
        <f t="shared" si="76"/>
        <v>1412.71</v>
      </c>
      <c r="AF2473" t="str">
        <f t="shared" si="77"/>
        <v>2025-11</v>
      </c>
      <c r="AG2473">
        <f>SUBTOTAL(103,A2473)</f>
        <v>1</v>
      </c>
    </row>
    <row r="2474" spans="1:33" x14ac:dyDescent="0.3">
      <c r="A2474" t="s">
        <v>5096</v>
      </c>
      <c r="B2474" s="13">
        <v>45974</v>
      </c>
      <c r="C2474">
        <v>2025</v>
      </c>
      <c r="D2474">
        <v>11</v>
      </c>
      <c r="E2474" t="s">
        <v>5007</v>
      </c>
      <c r="F2474" t="s">
        <v>4780</v>
      </c>
      <c r="G2474" t="s">
        <v>855</v>
      </c>
      <c r="H2474" t="s">
        <v>856</v>
      </c>
      <c r="I2474" t="s">
        <v>86</v>
      </c>
      <c r="J2474">
        <v>40</v>
      </c>
      <c r="K2474" t="s">
        <v>82</v>
      </c>
      <c r="L2474" t="s">
        <v>2589</v>
      </c>
      <c r="M2474" t="s">
        <v>61</v>
      </c>
      <c r="N2474" t="s">
        <v>2580</v>
      </c>
      <c r="O2474" t="s">
        <v>118</v>
      </c>
      <c r="P2474" t="s">
        <v>48</v>
      </c>
      <c r="Q2474" t="s">
        <v>142</v>
      </c>
      <c r="R2474">
        <v>1</v>
      </c>
      <c r="S2474">
        <v>3999</v>
      </c>
      <c r="T2474">
        <v>0.25</v>
      </c>
      <c r="U2474">
        <v>2999.25</v>
      </c>
      <c r="V2474">
        <v>2400</v>
      </c>
      <c r="W2474">
        <v>599.25</v>
      </c>
      <c r="X2474" t="s">
        <v>77</v>
      </c>
      <c r="Y2474" t="s">
        <v>68</v>
      </c>
      <c r="Z2474" t="s">
        <v>159</v>
      </c>
      <c r="AA2474" t="s">
        <v>168</v>
      </c>
      <c r="AB2474">
        <v>3.4</v>
      </c>
      <c r="AC2474">
        <v>40</v>
      </c>
      <c r="AD2474">
        <v>354.3</v>
      </c>
      <c r="AE2474">
        <f t="shared" si="76"/>
        <v>204.95</v>
      </c>
      <c r="AF2474" t="str">
        <f t="shared" si="77"/>
        <v>2025-11</v>
      </c>
      <c r="AG2474">
        <f>SUBTOTAL(103,A2474)</f>
        <v>1</v>
      </c>
    </row>
    <row r="2475" spans="1:33" x14ac:dyDescent="0.3">
      <c r="A2475" t="s">
        <v>5097</v>
      </c>
      <c r="B2475" s="13">
        <v>45974</v>
      </c>
      <c r="C2475">
        <v>2025</v>
      </c>
      <c r="D2475">
        <v>11</v>
      </c>
      <c r="E2475" t="s">
        <v>5007</v>
      </c>
      <c r="F2475" t="s">
        <v>4780</v>
      </c>
      <c r="G2475" t="s">
        <v>1563</v>
      </c>
      <c r="H2475" t="s">
        <v>1564</v>
      </c>
      <c r="I2475" t="s">
        <v>85</v>
      </c>
      <c r="J2475">
        <v>55</v>
      </c>
      <c r="K2475" t="s">
        <v>83</v>
      </c>
      <c r="L2475" t="s">
        <v>99</v>
      </c>
      <c r="M2475" t="s">
        <v>58</v>
      </c>
      <c r="N2475" t="s">
        <v>2574</v>
      </c>
      <c r="O2475" t="s">
        <v>130</v>
      </c>
      <c r="P2475" t="s">
        <v>50</v>
      </c>
      <c r="Q2475" t="s">
        <v>53</v>
      </c>
      <c r="R2475">
        <v>5</v>
      </c>
      <c r="S2475">
        <v>1199</v>
      </c>
      <c r="T2475">
        <v>0.25</v>
      </c>
      <c r="U2475">
        <v>4496.25</v>
      </c>
      <c r="V2475">
        <v>2750</v>
      </c>
      <c r="W2475">
        <v>1746.25</v>
      </c>
      <c r="X2475" t="s">
        <v>75</v>
      </c>
      <c r="Y2475" t="s">
        <v>68</v>
      </c>
      <c r="Z2475" t="s">
        <v>159</v>
      </c>
      <c r="AA2475" t="s">
        <v>166</v>
      </c>
      <c r="AB2475">
        <v>4.8</v>
      </c>
      <c r="AC2475">
        <v>100</v>
      </c>
      <c r="AD2475">
        <v>156.81</v>
      </c>
      <c r="AE2475">
        <f t="shared" si="76"/>
        <v>1489.44</v>
      </c>
      <c r="AF2475" t="str">
        <f t="shared" si="77"/>
        <v>2025-11</v>
      </c>
      <c r="AG2475">
        <f>SUBTOTAL(103,A2475)</f>
        <v>1</v>
      </c>
    </row>
    <row r="2476" spans="1:33" x14ac:dyDescent="0.3">
      <c r="A2476" t="s">
        <v>5098</v>
      </c>
      <c r="B2476" s="13">
        <v>45974</v>
      </c>
      <c r="C2476">
        <v>2025</v>
      </c>
      <c r="D2476">
        <v>11</v>
      </c>
      <c r="E2476" t="s">
        <v>5007</v>
      </c>
      <c r="F2476" t="s">
        <v>4780</v>
      </c>
      <c r="G2476" t="s">
        <v>1031</v>
      </c>
      <c r="H2476" t="s">
        <v>1032</v>
      </c>
      <c r="I2476" t="s">
        <v>85</v>
      </c>
      <c r="J2476">
        <v>42</v>
      </c>
      <c r="K2476" t="s">
        <v>82</v>
      </c>
      <c r="L2476" t="s">
        <v>2637</v>
      </c>
      <c r="M2476" t="s">
        <v>64</v>
      </c>
      <c r="N2476" t="s">
        <v>2644</v>
      </c>
      <c r="O2476" t="s">
        <v>126</v>
      </c>
      <c r="P2476" t="s">
        <v>50</v>
      </c>
      <c r="Q2476" t="s">
        <v>145</v>
      </c>
      <c r="R2476">
        <v>2</v>
      </c>
      <c r="S2476">
        <v>1799</v>
      </c>
      <c r="T2476">
        <v>0</v>
      </c>
      <c r="U2476">
        <v>3598</v>
      </c>
      <c r="V2476">
        <v>1900</v>
      </c>
      <c r="W2476">
        <v>1698</v>
      </c>
      <c r="X2476" t="s">
        <v>77</v>
      </c>
      <c r="Y2476" t="s">
        <v>68</v>
      </c>
      <c r="Z2476" t="s">
        <v>159</v>
      </c>
      <c r="AA2476" t="s">
        <v>171</v>
      </c>
      <c r="AB2476">
        <v>3.6</v>
      </c>
      <c r="AC2476">
        <v>40</v>
      </c>
      <c r="AD2476">
        <v>420.67</v>
      </c>
      <c r="AE2476">
        <f t="shared" si="76"/>
        <v>1237.33</v>
      </c>
      <c r="AF2476" t="str">
        <f t="shared" si="77"/>
        <v>2025-11</v>
      </c>
      <c r="AG2476">
        <f>SUBTOTAL(103,A2476)</f>
        <v>1</v>
      </c>
    </row>
    <row r="2477" spans="1:33" x14ac:dyDescent="0.3">
      <c r="A2477" t="s">
        <v>5099</v>
      </c>
      <c r="B2477" s="13">
        <v>45974</v>
      </c>
      <c r="C2477">
        <v>2025</v>
      </c>
      <c r="D2477">
        <v>11</v>
      </c>
      <c r="E2477" t="s">
        <v>5007</v>
      </c>
      <c r="F2477" t="s">
        <v>4780</v>
      </c>
      <c r="G2477" t="s">
        <v>1613</v>
      </c>
      <c r="H2477" t="s">
        <v>1614</v>
      </c>
      <c r="I2477" t="s">
        <v>86</v>
      </c>
      <c r="J2477">
        <v>44</v>
      </c>
      <c r="K2477" t="s">
        <v>82</v>
      </c>
      <c r="L2477" t="s">
        <v>2616</v>
      </c>
      <c r="M2477" t="s">
        <v>62</v>
      </c>
      <c r="N2477" t="s">
        <v>2647</v>
      </c>
      <c r="O2477" t="s">
        <v>133</v>
      </c>
      <c r="P2477" t="s">
        <v>50</v>
      </c>
      <c r="Q2477" t="s">
        <v>145</v>
      </c>
      <c r="R2477">
        <v>5</v>
      </c>
      <c r="S2477">
        <v>799</v>
      </c>
      <c r="T2477">
        <v>0</v>
      </c>
      <c r="U2477">
        <v>3995</v>
      </c>
      <c r="V2477">
        <v>1950</v>
      </c>
      <c r="W2477">
        <v>2045</v>
      </c>
      <c r="X2477" t="s">
        <v>77</v>
      </c>
      <c r="Y2477" t="s">
        <v>68</v>
      </c>
      <c r="Z2477" t="s">
        <v>162</v>
      </c>
      <c r="AA2477" t="s">
        <v>170</v>
      </c>
      <c r="AB2477">
        <v>5</v>
      </c>
      <c r="AC2477">
        <v>40</v>
      </c>
      <c r="AD2477">
        <v>326.45999999999998</v>
      </c>
      <c r="AE2477">
        <f t="shared" si="76"/>
        <v>1678.54</v>
      </c>
      <c r="AF2477" t="str">
        <f t="shared" si="77"/>
        <v>2025-11</v>
      </c>
      <c r="AG2477">
        <f>SUBTOTAL(103,A2477)</f>
        <v>1</v>
      </c>
    </row>
    <row r="2478" spans="1:33" x14ac:dyDescent="0.3">
      <c r="A2478" t="s">
        <v>5100</v>
      </c>
      <c r="B2478" s="13">
        <v>45975</v>
      </c>
      <c r="C2478">
        <v>2025</v>
      </c>
      <c r="D2478">
        <v>11</v>
      </c>
      <c r="E2478" t="s">
        <v>5007</v>
      </c>
      <c r="F2478" t="s">
        <v>4780</v>
      </c>
      <c r="G2478" t="s">
        <v>361</v>
      </c>
      <c r="H2478" t="s">
        <v>362</v>
      </c>
      <c r="I2478" t="s">
        <v>86</v>
      </c>
      <c r="J2478">
        <v>23</v>
      </c>
      <c r="K2478" t="s">
        <v>80</v>
      </c>
      <c r="L2478" t="s">
        <v>95</v>
      </c>
      <c r="M2478" t="s">
        <v>56</v>
      </c>
      <c r="N2478" t="s">
        <v>2577</v>
      </c>
      <c r="O2478" t="s">
        <v>129</v>
      </c>
      <c r="P2478" t="s">
        <v>49</v>
      </c>
      <c r="Q2478" t="s">
        <v>149</v>
      </c>
      <c r="R2478">
        <v>1</v>
      </c>
      <c r="S2478">
        <v>1299</v>
      </c>
      <c r="T2478">
        <v>0</v>
      </c>
      <c r="U2478">
        <v>0</v>
      </c>
      <c r="V2478">
        <v>0</v>
      </c>
      <c r="W2478">
        <v>0</v>
      </c>
      <c r="X2478" t="s">
        <v>77</v>
      </c>
      <c r="Y2478" t="s">
        <v>71</v>
      </c>
      <c r="Z2478" t="s">
        <v>162</v>
      </c>
      <c r="AA2478" t="s">
        <v>168</v>
      </c>
      <c r="AB2478">
        <v>4.5999999999999996</v>
      </c>
      <c r="AC2478">
        <v>100</v>
      </c>
      <c r="AD2478">
        <v>27.07</v>
      </c>
      <c r="AE2478">
        <f t="shared" si="76"/>
        <v>-127.07</v>
      </c>
      <c r="AF2478" t="str">
        <f t="shared" si="77"/>
        <v>2025-11</v>
      </c>
      <c r="AG2478">
        <f>SUBTOTAL(103,A2478)</f>
        <v>1</v>
      </c>
    </row>
    <row r="2479" spans="1:33" x14ac:dyDescent="0.3">
      <c r="A2479" t="s">
        <v>5101</v>
      </c>
      <c r="B2479" s="13">
        <v>45975</v>
      </c>
      <c r="C2479">
        <v>2025</v>
      </c>
      <c r="D2479">
        <v>11</v>
      </c>
      <c r="E2479" t="s">
        <v>5007</v>
      </c>
      <c r="F2479" t="s">
        <v>4780</v>
      </c>
      <c r="G2479" t="s">
        <v>681</v>
      </c>
      <c r="H2479" t="s">
        <v>682</v>
      </c>
      <c r="I2479" t="s">
        <v>86</v>
      </c>
      <c r="J2479">
        <v>30</v>
      </c>
      <c r="K2479" t="s">
        <v>81</v>
      </c>
      <c r="L2479" t="s">
        <v>2589</v>
      </c>
      <c r="M2479" t="s">
        <v>61</v>
      </c>
      <c r="N2479" t="s">
        <v>2592</v>
      </c>
      <c r="O2479" t="s">
        <v>115</v>
      </c>
      <c r="P2479" t="s">
        <v>48</v>
      </c>
      <c r="Q2479" t="s">
        <v>137</v>
      </c>
      <c r="R2479">
        <v>3</v>
      </c>
      <c r="S2479">
        <v>12999</v>
      </c>
      <c r="T2479">
        <v>0.05</v>
      </c>
      <c r="U2479">
        <v>0</v>
      </c>
      <c r="V2479">
        <v>0</v>
      </c>
      <c r="W2479">
        <v>0</v>
      </c>
      <c r="X2479" t="s">
        <v>77</v>
      </c>
      <c r="Y2479" t="s">
        <v>71</v>
      </c>
      <c r="Z2479" t="s">
        <v>159</v>
      </c>
      <c r="AA2479" t="s">
        <v>166</v>
      </c>
      <c r="AB2479">
        <v>4.4000000000000004</v>
      </c>
      <c r="AC2479">
        <v>50</v>
      </c>
      <c r="AD2479">
        <v>4296.25</v>
      </c>
      <c r="AE2479">
        <f t="shared" si="76"/>
        <v>-4346.25</v>
      </c>
      <c r="AF2479" t="str">
        <f t="shared" si="77"/>
        <v>2025-11</v>
      </c>
      <c r="AG2479">
        <f>SUBTOTAL(103,A2479)</f>
        <v>1</v>
      </c>
    </row>
    <row r="2480" spans="1:33" x14ac:dyDescent="0.3">
      <c r="A2480" t="s">
        <v>5102</v>
      </c>
      <c r="B2480" s="13">
        <v>45975</v>
      </c>
      <c r="C2480">
        <v>2025</v>
      </c>
      <c r="D2480">
        <v>11</v>
      </c>
      <c r="E2480" t="s">
        <v>5007</v>
      </c>
      <c r="F2480" t="s">
        <v>4780</v>
      </c>
      <c r="G2480" t="s">
        <v>1205</v>
      </c>
      <c r="H2480" t="s">
        <v>1206</v>
      </c>
      <c r="I2480" t="s">
        <v>86</v>
      </c>
      <c r="J2480">
        <v>39</v>
      </c>
      <c r="K2480" t="s">
        <v>82</v>
      </c>
      <c r="L2480" t="s">
        <v>93</v>
      </c>
      <c r="M2480" t="s">
        <v>55</v>
      </c>
      <c r="N2480" t="s">
        <v>2653</v>
      </c>
      <c r="O2480" t="s">
        <v>132</v>
      </c>
      <c r="P2480" t="s">
        <v>52</v>
      </c>
      <c r="Q2480" t="s">
        <v>150</v>
      </c>
      <c r="R2480">
        <v>2</v>
      </c>
      <c r="S2480">
        <v>899</v>
      </c>
      <c r="T2480">
        <v>0</v>
      </c>
      <c r="U2480">
        <v>1798</v>
      </c>
      <c r="V2480">
        <v>840</v>
      </c>
      <c r="W2480">
        <v>958</v>
      </c>
      <c r="X2480" t="s">
        <v>73</v>
      </c>
      <c r="Y2480" t="s">
        <v>68</v>
      </c>
      <c r="Z2480" t="s">
        <v>158</v>
      </c>
      <c r="AA2480" t="s">
        <v>170</v>
      </c>
      <c r="AB2480">
        <v>3.7</v>
      </c>
      <c r="AC2480">
        <v>60</v>
      </c>
      <c r="AD2480">
        <v>119.37</v>
      </c>
      <c r="AE2480">
        <f t="shared" si="76"/>
        <v>778.63</v>
      </c>
      <c r="AF2480" t="str">
        <f t="shared" si="77"/>
        <v>2025-11</v>
      </c>
      <c r="AG2480">
        <f>SUBTOTAL(103,A2480)</f>
        <v>1</v>
      </c>
    </row>
    <row r="2481" spans="1:33" x14ac:dyDescent="0.3">
      <c r="A2481" t="s">
        <v>5103</v>
      </c>
      <c r="B2481" s="13">
        <v>45975</v>
      </c>
      <c r="C2481">
        <v>2025</v>
      </c>
      <c r="D2481">
        <v>11</v>
      </c>
      <c r="E2481" t="s">
        <v>5007</v>
      </c>
      <c r="F2481" t="s">
        <v>4780</v>
      </c>
      <c r="G2481" t="s">
        <v>617</v>
      </c>
      <c r="H2481" t="s">
        <v>618</v>
      </c>
      <c r="I2481" t="s">
        <v>85</v>
      </c>
      <c r="J2481">
        <v>45</v>
      </c>
      <c r="K2481" t="s">
        <v>82</v>
      </c>
      <c r="L2481" t="s">
        <v>90</v>
      </c>
      <c r="M2481" t="s">
        <v>55</v>
      </c>
      <c r="N2481" t="s">
        <v>2574</v>
      </c>
      <c r="O2481" t="s">
        <v>130</v>
      </c>
      <c r="P2481" t="s">
        <v>50</v>
      </c>
      <c r="Q2481" t="s">
        <v>53</v>
      </c>
      <c r="R2481">
        <v>4</v>
      </c>
      <c r="S2481">
        <v>1199</v>
      </c>
      <c r="T2481">
        <v>0.1</v>
      </c>
      <c r="U2481">
        <v>4316.3999999999996</v>
      </c>
      <c r="V2481">
        <v>2200</v>
      </c>
      <c r="W2481">
        <v>2116.4</v>
      </c>
      <c r="X2481" t="s">
        <v>73</v>
      </c>
      <c r="Y2481" t="s">
        <v>68</v>
      </c>
      <c r="Z2481" t="s">
        <v>159</v>
      </c>
      <c r="AA2481" t="s">
        <v>168</v>
      </c>
      <c r="AB2481">
        <v>3.7</v>
      </c>
      <c r="AC2481">
        <v>100</v>
      </c>
      <c r="AD2481">
        <v>275.81</v>
      </c>
      <c r="AE2481">
        <f t="shared" si="76"/>
        <v>1740.5900000000001</v>
      </c>
      <c r="AF2481" t="str">
        <f t="shared" si="77"/>
        <v>2025-11</v>
      </c>
      <c r="AG2481">
        <f>SUBTOTAL(103,A2481)</f>
        <v>1</v>
      </c>
    </row>
    <row r="2482" spans="1:33" x14ac:dyDescent="0.3">
      <c r="A2482" t="s">
        <v>5104</v>
      </c>
      <c r="B2482" s="13">
        <v>45975</v>
      </c>
      <c r="C2482">
        <v>2025</v>
      </c>
      <c r="D2482">
        <v>11</v>
      </c>
      <c r="E2482" t="s">
        <v>5007</v>
      </c>
      <c r="F2482" t="s">
        <v>4780</v>
      </c>
      <c r="G2482" t="s">
        <v>1077</v>
      </c>
      <c r="H2482" t="s">
        <v>1078</v>
      </c>
      <c r="I2482" t="s">
        <v>86</v>
      </c>
      <c r="J2482">
        <v>40</v>
      </c>
      <c r="K2482" t="s">
        <v>82</v>
      </c>
      <c r="L2482" t="s">
        <v>2589</v>
      </c>
      <c r="M2482" t="s">
        <v>61</v>
      </c>
      <c r="N2482" t="s">
        <v>2582</v>
      </c>
      <c r="O2482" t="s">
        <v>119</v>
      </c>
      <c r="P2482" t="s">
        <v>49</v>
      </c>
      <c r="Q2482" t="s">
        <v>140</v>
      </c>
      <c r="R2482">
        <v>1</v>
      </c>
      <c r="S2482">
        <v>3499</v>
      </c>
      <c r="T2482">
        <v>0.2</v>
      </c>
      <c r="U2482">
        <v>2799.2</v>
      </c>
      <c r="V2482">
        <v>2100</v>
      </c>
      <c r="W2482">
        <v>699.2</v>
      </c>
      <c r="X2482" t="s">
        <v>74</v>
      </c>
      <c r="Y2482" t="s">
        <v>68</v>
      </c>
      <c r="Z2482" t="s">
        <v>158</v>
      </c>
      <c r="AA2482" t="s">
        <v>166</v>
      </c>
      <c r="AB2482">
        <v>4.2</v>
      </c>
      <c r="AC2482">
        <v>80</v>
      </c>
      <c r="AD2482">
        <v>77.53</v>
      </c>
      <c r="AE2482">
        <f t="shared" si="76"/>
        <v>541.67000000000007</v>
      </c>
      <c r="AF2482" t="str">
        <f t="shared" si="77"/>
        <v>2025-11</v>
      </c>
      <c r="AG2482">
        <f>SUBTOTAL(103,A2482)</f>
        <v>1</v>
      </c>
    </row>
    <row r="2483" spans="1:33" x14ac:dyDescent="0.3">
      <c r="A2483" t="s">
        <v>5105</v>
      </c>
      <c r="B2483" s="13">
        <v>45975</v>
      </c>
      <c r="C2483">
        <v>2025</v>
      </c>
      <c r="D2483">
        <v>11</v>
      </c>
      <c r="E2483" t="s">
        <v>5007</v>
      </c>
      <c r="F2483" t="s">
        <v>4780</v>
      </c>
      <c r="G2483" t="s">
        <v>871</v>
      </c>
      <c r="H2483" t="s">
        <v>872</v>
      </c>
      <c r="I2483" t="s">
        <v>85</v>
      </c>
      <c r="J2483">
        <v>45</v>
      </c>
      <c r="K2483" t="s">
        <v>82</v>
      </c>
      <c r="L2483" t="s">
        <v>2646</v>
      </c>
      <c r="M2483" t="s">
        <v>63</v>
      </c>
      <c r="N2483" t="s">
        <v>2630</v>
      </c>
      <c r="O2483" t="s">
        <v>123</v>
      </c>
      <c r="P2483" t="s">
        <v>52</v>
      </c>
      <c r="Q2483" t="s">
        <v>146</v>
      </c>
      <c r="R2483">
        <v>1</v>
      </c>
      <c r="S2483">
        <v>2499</v>
      </c>
      <c r="T2483">
        <v>0.05</v>
      </c>
      <c r="U2483">
        <v>2374.0500000000002</v>
      </c>
      <c r="V2483">
        <v>1400</v>
      </c>
      <c r="W2483">
        <v>974.05</v>
      </c>
      <c r="X2483" t="s">
        <v>73</v>
      </c>
      <c r="Y2483" t="s">
        <v>69</v>
      </c>
      <c r="Z2483" t="s">
        <v>159</v>
      </c>
      <c r="AA2483" t="s">
        <v>166</v>
      </c>
      <c r="AB2483">
        <v>4.7</v>
      </c>
      <c r="AC2483">
        <v>50</v>
      </c>
      <c r="AD2483">
        <v>173.22</v>
      </c>
      <c r="AE2483">
        <f t="shared" si="76"/>
        <v>750.82999999999993</v>
      </c>
      <c r="AF2483" t="str">
        <f t="shared" si="77"/>
        <v>2025-11</v>
      </c>
      <c r="AG2483">
        <f>SUBTOTAL(103,A2483)</f>
        <v>1</v>
      </c>
    </row>
    <row r="2484" spans="1:33" x14ac:dyDescent="0.3">
      <c r="A2484" t="s">
        <v>5106</v>
      </c>
      <c r="B2484" s="13">
        <v>45975</v>
      </c>
      <c r="C2484">
        <v>2025</v>
      </c>
      <c r="D2484">
        <v>11</v>
      </c>
      <c r="E2484" t="s">
        <v>5007</v>
      </c>
      <c r="F2484" t="s">
        <v>4780</v>
      </c>
      <c r="G2484" t="s">
        <v>1013</v>
      </c>
      <c r="H2484" t="s">
        <v>1014</v>
      </c>
      <c r="I2484" t="s">
        <v>85</v>
      </c>
      <c r="J2484">
        <v>29</v>
      </c>
      <c r="K2484" t="s">
        <v>81</v>
      </c>
      <c r="L2484" t="s">
        <v>2637</v>
      </c>
      <c r="M2484" t="s">
        <v>64</v>
      </c>
      <c r="N2484" t="s">
        <v>2582</v>
      </c>
      <c r="O2484" t="s">
        <v>119</v>
      </c>
      <c r="P2484" t="s">
        <v>49</v>
      </c>
      <c r="Q2484" t="s">
        <v>140</v>
      </c>
      <c r="R2484">
        <v>1</v>
      </c>
      <c r="S2484">
        <v>3499</v>
      </c>
      <c r="T2484">
        <v>0</v>
      </c>
      <c r="U2484">
        <v>3499</v>
      </c>
      <c r="V2484">
        <v>2100</v>
      </c>
      <c r="W2484">
        <v>1399</v>
      </c>
      <c r="X2484" t="s">
        <v>75</v>
      </c>
      <c r="Y2484" t="s">
        <v>68</v>
      </c>
      <c r="Z2484" t="s">
        <v>161</v>
      </c>
      <c r="AA2484" t="s">
        <v>170</v>
      </c>
      <c r="AB2484">
        <v>4.5999999999999996</v>
      </c>
      <c r="AC2484">
        <v>50</v>
      </c>
      <c r="AD2484">
        <v>267.37</v>
      </c>
      <c r="AE2484">
        <f t="shared" si="76"/>
        <v>1081.6300000000001</v>
      </c>
      <c r="AF2484" t="str">
        <f t="shared" si="77"/>
        <v>2025-11</v>
      </c>
      <c r="AG2484">
        <f>SUBTOTAL(103,A2484)</f>
        <v>1</v>
      </c>
    </row>
    <row r="2485" spans="1:33" x14ac:dyDescent="0.3">
      <c r="A2485" t="s">
        <v>5107</v>
      </c>
      <c r="B2485" s="13">
        <v>45976</v>
      </c>
      <c r="C2485">
        <v>2025</v>
      </c>
      <c r="D2485">
        <v>11</v>
      </c>
      <c r="E2485" t="s">
        <v>5007</v>
      </c>
      <c r="F2485" t="s">
        <v>4780</v>
      </c>
      <c r="G2485" t="s">
        <v>555</v>
      </c>
      <c r="H2485" t="s">
        <v>556</v>
      </c>
      <c r="I2485" t="s">
        <v>85</v>
      </c>
      <c r="J2485">
        <v>47</v>
      </c>
      <c r="K2485" t="s">
        <v>83</v>
      </c>
      <c r="L2485" t="s">
        <v>2576</v>
      </c>
      <c r="M2485" t="s">
        <v>60</v>
      </c>
      <c r="N2485" t="s">
        <v>2584</v>
      </c>
      <c r="O2485" t="s">
        <v>121</v>
      </c>
      <c r="P2485" t="s">
        <v>50</v>
      </c>
      <c r="Q2485" t="s">
        <v>144</v>
      </c>
      <c r="R2485">
        <v>3</v>
      </c>
      <c r="S2485">
        <v>2999</v>
      </c>
      <c r="T2485">
        <v>0.1</v>
      </c>
      <c r="U2485">
        <v>8097.3</v>
      </c>
      <c r="V2485">
        <v>5100</v>
      </c>
      <c r="W2485">
        <v>2997.3</v>
      </c>
      <c r="X2485" t="s">
        <v>77</v>
      </c>
      <c r="Y2485" t="s">
        <v>68</v>
      </c>
      <c r="Z2485" t="s">
        <v>158</v>
      </c>
      <c r="AA2485" t="s">
        <v>169</v>
      </c>
      <c r="AB2485">
        <v>3.6</v>
      </c>
      <c r="AC2485">
        <v>120</v>
      </c>
      <c r="AD2485">
        <v>484.27</v>
      </c>
      <c r="AE2485">
        <f t="shared" si="76"/>
        <v>2393.0300000000002</v>
      </c>
      <c r="AF2485" t="str">
        <f t="shared" si="77"/>
        <v>2025-11</v>
      </c>
      <c r="AG2485">
        <f>SUBTOTAL(103,A2485)</f>
        <v>1</v>
      </c>
    </row>
    <row r="2486" spans="1:33" x14ac:dyDescent="0.3">
      <c r="A2486" t="s">
        <v>5108</v>
      </c>
      <c r="B2486" s="13">
        <v>45976</v>
      </c>
      <c r="C2486">
        <v>2025</v>
      </c>
      <c r="D2486">
        <v>11</v>
      </c>
      <c r="E2486" t="s">
        <v>5007</v>
      </c>
      <c r="F2486" t="s">
        <v>4780</v>
      </c>
      <c r="G2486" t="s">
        <v>1531</v>
      </c>
      <c r="H2486" t="s">
        <v>1532</v>
      </c>
      <c r="I2486" t="s">
        <v>85</v>
      </c>
      <c r="J2486">
        <v>36</v>
      </c>
      <c r="K2486" t="s">
        <v>82</v>
      </c>
      <c r="L2486" t="s">
        <v>2579</v>
      </c>
      <c r="M2486" t="s">
        <v>56</v>
      </c>
      <c r="N2486" t="s">
        <v>2574</v>
      </c>
      <c r="O2486" t="s">
        <v>130</v>
      </c>
      <c r="P2486" t="s">
        <v>50</v>
      </c>
      <c r="Q2486" t="s">
        <v>53</v>
      </c>
      <c r="R2486">
        <v>3</v>
      </c>
      <c r="S2486">
        <v>1199</v>
      </c>
      <c r="T2486">
        <v>0.15</v>
      </c>
      <c r="U2486">
        <v>3057.45</v>
      </c>
      <c r="V2486">
        <v>1650</v>
      </c>
      <c r="W2486">
        <v>1407.45</v>
      </c>
      <c r="X2486" t="s">
        <v>73</v>
      </c>
      <c r="Y2486" t="s">
        <v>68</v>
      </c>
      <c r="Z2486" t="s">
        <v>162</v>
      </c>
      <c r="AA2486" t="s">
        <v>167</v>
      </c>
      <c r="AB2486">
        <v>4.5999999999999996</v>
      </c>
      <c r="AC2486">
        <v>60</v>
      </c>
      <c r="AD2486">
        <v>331.11</v>
      </c>
      <c r="AE2486">
        <f t="shared" si="76"/>
        <v>1016.34</v>
      </c>
      <c r="AF2486" t="str">
        <f t="shared" si="77"/>
        <v>2025-11</v>
      </c>
      <c r="AG2486">
        <f>SUBTOTAL(103,A2486)</f>
        <v>1</v>
      </c>
    </row>
    <row r="2487" spans="1:33" x14ac:dyDescent="0.3">
      <c r="A2487" t="s">
        <v>5109</v>
      </c>
      <c r="B2487" s="13">
        <v>45976</v>
      </c>
      <c r="C2487">
        <v>2025</v>
      </c>
      <c r="D2487">
        <v>11</v>
      </c>
      <c r="E2487" t="s">
        <v>5007</v>
      </c>
      <c r="F2487" t="s">
        <v>4780</v>
      </c>
      <c r="G2487" t="s">
        <v>1181</v>
      </c>
      <c r="H2487" t="s">
        <v>1182</v>
      </c>
      <c r="I2487" t="s">
        <v>85</v>
      </c>
      <c r="J2487">
        <v>57</v>
      </c>
      <c r="K2487" t="s">
        <v>83</v>
      </c>
      <c r="L2487" t="s">
        <v>2623</v>
      </c>
      <c r="M2487" t="s">
        <v>61</v>
      </c>
      <c r="N2487" t="s">
        <v>2665</v>
      </c>
      <c r="O2487" t="s">
        <v>128</v>
      </c>
      <c r="P2487" t="s">
        <v>53</v>
      </c>
      <c r="Q2487" t="s">
        <v>143</v>
      </c>
      <c r="R2487">
        <v>1</v>
      </c>
      <c r="S2487">
        <v>1499</v>
      </c>
      <c r="T2487">
        <v>0.1</v>
      </c>
      <c r="U2487">
        <v>1349.1</v>
      </c>
      <c r="V2487">
        <v>800</v>
      </c>
      <c r="W2487">
        <v>549.1</v>
      </c>
      <c r="X2487" t="s">
        <v>73</v>
      </c>
      <c r="Y2487" t="s">
        <v>68</v>
      </c>
      <c r="Z2487" t="s">
        <v>158</v>
      </c>
      <c r="AA2487" t="s">
        <v>171</v>
      </c>
      <c r="AB2487">
        <v>3.8</v>
      </c>
      <c r="AC2487">
        <v>80</v>
      </c>
      <c r="AD2487">
        <v>161.68</v>
      </c>
      <c r="AE2487">
        <f t="shared" si="76"/>
        <v>307.42</v>
      </c>
      <c r="AF2487" t="str">
        <f t="shared" si="77"/>
        <v>2025-11</v>
      </c>
      <c r="AG2487">
        <f>SUBTOTAL(103,A2487)</f>
        <v>1</v>
      </c>
    </row>
    <row r="2488" spans="1:33" x14ac:dyDescent="0.3">
      <c r="A2488" t="s">
        <v>5110</v>
      </c>
      <c r="B2488" s="13">
        <v>45976</v>
      </c>
      <c r="C2488">
        <v>2025</v>
      </c>
      <c r="D2488">
        <v>11</v>
      </c>
      <c r="E2488" t="s">
        <v>5007</v>
      </c>
      <c r="F2488" t="s">
        <v>4780</v>
      </c>
      <c r="G2488" t="s">
        <v>1211</v>
      </c>
      <c r="H2488" t="s">
        <v>1212</v>
      </c>
      <c r="I2488" t="s">
        <v>86</v>
      </c>
      <c r="J2488">
        <v>48</v>
      </c>
      <c r="K2488" t="s">
        <v>83</v>
      </c>
      <c r="L2488" t="s">
        <v>98</v>
      </c>
      <c r="M2488" t="s">
        <v>55</v>
      </c>
      <c r="N2488" t="s">
        <v>2626</v>
      </c>
      <c r="O2488" t="s">
        <v>125</v>
      </c>
      <c r="P2488" t="s">
        <v>48</v>
      </c>
      <c r="Q2488" t="s">
        <v>141</v>
      </c>
      <c r="R2488">
        <v>3</v>
      </c>
      <c r="S2488">
        <v>1999</v>
      </c>
      <c r="T2488">
        <v>0.05</v>
      </c>
      <c r="U2488">
        <v>5697.15</v>
      </c>
      <c r="V2488">
        <v>3450</v>
      </c>
      <c r="W2488">
        <v>2247.15</v>
      </c>
      <c r="X2488" t="s">
        <v>75</v>
      </c>
      <c r="Y2488" t="s">
        <v>68</v>
      </c>
      <c r="Z2488" t="s">
        <v>158</v>
      </c>
      <c r="AA2488" t="s">
        <v>168</v>
      </c>
      <c r="AB2488">
        <v>3.6</v>
      </c>
      <c r="AC2488">
        <v>60</v>
      </c>
      <c r="AD2488">
        <v>397.98</v>
      </c>
      <c r="AE2488">
        <f t="shared" si="76"/>
        <v>1789.17</v>
      </c>
      <c r="AF2488" t="str">
        <f t="shared" si="77"/>
        <v>2025-11</v>
      </c>
      <c r="AG2488">
        <f>SUBTOTAL(103,A2488)</f>
        <v>1</v>
      </c>
    </row>
    <row r="2489" spans="1:33" x14ac:dyDescent="0.3">
      <c r="A2489" t="s">
        <v>5111</v>
      </c>
      <c r="B2489" s="13">
        <v>45977</v>
      </c>
      <c r="C2489">
        <v>2025</v>
      </c>
      <c r="D2489">
        <v>11</v>
      </c>
      <c r="E2489" t="s">
        <v>5007</v>
      </c>
      <c r="F2489" t="s">
        <v>4780</v>
      </c>
      <c r="G2489" t="s">
        <v>1717</v>
      </c>
      <c r="H2489" t="s">
        <v>1718</v>
      </c>
      <c r="I2489" t="s">
        <v>85</v>
      </c>
      <c r="J2489">
        <v>21</v>
      </c>
      <c r="K2489" t="s">
        <v>80</v>
      </c>
      <c r="L2489" t="s">
        <v>2576</v>
      </c>
      <c r="M2489" t="s">
        <v>60</v>
      </c>
      <c r="N2489" t="s">
        <v>2577</v>
      </c>
      <c r="O2489" t="s">
        <v>129</v>
      </c>
      <c r="P2489" t="s">
        <v>49</v>
      </c>
      <c r="Q2489" t="s">
        <v>149</v>
      </c>
      <c r="R2489">
        <v>1</v>
      </c>
      <c r="S2489">
        <v>1299</v>
      </c>
      <c r="T2489">
        <v>0.05</v>
      </c>
      <c r="U2489">
        <v>1234.05</v>
      </c>
      <c r="V2489">
        <v>650</v>
      </c>
      <c r="W2489">
        <v>584.04999999999995</v>
      </c>
      <c r="X2489" t="s">
        <v>77</v>
      </c>
      <c r="Y2489" t="s">
        <v>68</v>
      </c>
      <c r="Z2489" t="s">
        <v>158</v>
      </c>
      <c r="AA2489" t="s">
        <v>166</v>
      </c>
      <c r="AB2489">
        <v>3.6</v>
      </c>
      <c r="AC2489">
        <v>60</v>
      </c>
      <c r="AD2489">
        <v>133.99</v>
      </c>
      <c r="AE2489">
        <f t="shared" si="76"/>
        <v>390.05999999999995</v>
      </c>
      <c r="AF2489" t="str">
        <f t="shared" si="77"/>
        <v>2025-11</v>
      </c>
      <c r="AG2489">
        <f>SUBTOTAL(103,A2489)</f>
        <v>1</v>
      </c>
    </row>
    <row r="2490" spans="1:33" x14ac:dyDescent="0.3">
      <c r="A2490" t="s">
        <v>5112</v>
      </c>
      <c r="B2490" s="13">
        <v>45977</v>
      </c>
      <c r="C2490">
        <v>2025</v>
      </c>
      <c r="D2490">
        <v>11</v>
      </c>
      <c r="E2490" t="s">
        <v>5007</v>
      </c>
      <c r="F2490" t="s">
        <v>4780</v>
      </c>
      <c r="G2490" t="s">
        <v>1553</v>
      </c>
      <c r="H2490" t="s">
        <v>1554</v>
      </c>
      <c r="I2490" t="s">
        <v>86</v>
      </c>
      <c r="J2490">
        <v>29</v>
      </c>
      <c r="K2490" t="s">
        <v>81</v>
      </c>
      <c r="L2490" t="s">
        <v>93</v>
      </c>
      <c r="M2490" t="s">
        <v>55</v>
      </c>
      <c r="N2490" t="s">
        <v>2644</v>
      </c>
      <c r="O2490" t="s">
        <v>126</v>
      </c>
      <c r="P2490" t="s">
        <v>50</v>
      </c>
      <c r="Q2490" t="s">
        <v>145</v>
      </c>
      <c r="R2490">
        <v>3</v>
      </c>
      <c r="S2490">
        <v>1799</v>
      </c>
      <c r="T2490">
        <v>0</v>
      </c>
      <c r="U2490">
        <v>0</v>
      </c>
      <c r="V2490">
        <v>0</v>
      </c>
      <c r="W2490">
        <v>0</v>
      </c>
      <c r="X2490" t="s">
        <v>77</v>
      </c>
      <c r="Y2490" t="s">
        <v>71</v>
      </c>
      <c r="Z2490" t="s">
        <v>163</v>
      </c>
      <c r="AA2490" t="s">
        <v>168</v>
      </c>
      <c r="AB2490">
        <v>5</v>
      </c>
      <c r="AC2490">
        <v>60</v>
      </c>
      <c r="AD2490">
        <v>306.98</v>
      </c>
      <c r="AE2490">
        <f t="shared" si="76"/>
        <v>-366.98</v>
      </c>
      <c r="AF2490" t="str">
        <f t="shared" si="77"/>
        <v>2025-11</v>
      </c>
      <c r="AG2490">
        <f>SUBTOTAL(103,A2490)</f>
        <v>1</v>
      </c>
    </row>
    <row r="2491" spans="1:33" x14ac:dyDescent="0.3">
      <c r="A2491" t="s">
        <v>5113</v>
      </c>
      <c r="B2491" s="13">
        <v>45977</v>
      </c>
      <c r="C2491">
        <v>2025</v>
      </c>
      <c r="D2491">
        <v>11</v>
      </c>
      <c r="E2491" t="s">
        <v>5007</v>
      </c>
      <c r="F2491" t="s">
        <v>4780</v>
      </c>
      <c r="G2491" t="s">
        <v>499</v>
      </c>
      <c r="H2491" t="s">
        <v>500</v>
      </c>
      <c r="I2491" t="s">
        <v>86</v>
      </c>
      <c r="J2491">
        <v>45</v>
      </c>
      <c r="K2491" t="s">
        <v>82</v>
      </c>
      <c r="L2491" t="s">
        <v>2576</v>
      </c>
      <c r="M2491" t="s">
        <v>60</v>
      </c>
      <c r="N2491" t="s">
        <v>2584</v>
      </c>
      <c r="O2491" t="s">
        <v>121</v>
      </c>
      <c r="P2491" t="s">
        <v>50</v>
      </c>
      <c r="Q2491" t="s">
        <v>144</v>
      </c>
      <c r="R2491">
        <v>1</v>
      </c>
      <c r="S2491">
        <v>2999</v>
      </c>
      <c r="T2491">
        <v>0</v>
      </c>
      <c r="U2491">
        <v>2999</v>
      </c>
      <c r="V2491">
        <v>1700</v>
      </c>
      <c r="W2491">
        <v>1299</v>
      </c>
      <c r="X2491" t="s">
        <v>76</v>
      </c>
      <c r="Y2491" t="s">
        <v>68</v>
      </c>
      <c r="Z2491" t="s">
        <v>161</v>
      </c>
      <c r="AA2491" t="s">
        <v>168</v>
      </c>
      <c r="AB2491">
        <v>4.7</v>
      </c>
      <c r="AC2491">
        <v>60</v>
      </c>
      <c r="AD2491">
        <v>277.91000000000003</v>
      </c>
      <c r="AE2491">
        <f t="shared" si="76"/>
        <v>961.08999999999992</v>
      </c>
      <c r="AF2491" t="str">
        <f t="shared" si="77"/>
        <v>2025-11</v>
      </c>
      <c r="AG2491">
        <f>SUBTOTAL(103,A2491)</f>
        <v>1</v>
      </c>
    </row>
    <row r="2492" spans="1:33" x14ac:dyDescent="0.3">
      <c r="A2492" t="s">
        <v>5114</v>
      </c>
      <c r="B2492" s="13">
        <v>45977</v>
      </c>
      <c r="C2492">
        <v>2025</v>
      </c>
      <c r="D2492">
        <v>11</v>
      </c>
      <c r="E2492" t="s">
        <v>5007</v>
      </c>
      <c r="F2492" t="s">
        <v>4780</v>
      </c>
      <c r="G2492" t="s">
        <v>969</v>
      </c>
      <c r="H2492" t="s">
        <v>970</v>
      </c>
      <c r="I2492" t="s">
        <v>85</v>
      </c>
      <c r="J2492">
        <v>46</v>
      </c>
      <c r="K2492" t="s">
        <v>83</v>
      </c>
      <c r="L2492" t="s">
        <v>2599</v>
      </c>
      <c r="M2492" t="s">
        <v>62</v>
      </c>
      <c r="N2492" t="s">
        <v>2590</v>
      </c>
      <c r="O2492" t="s">
        <v>127</v>
      </c>
      <c r="P2492" t="s">
        <v>51</v>
      </c>
      <c r="Q2492" t="s">
        <v>148</v>
      </c>
      <c r="R2492">
        <v>1</v>
      </c>
      <c r="S2492">
        <v>1599</v>
      </c>
      <c r="T2492">
        <v>0</v>
      </c>
      <c r="U2492">
        <v>1599</v>
      </c>
      <c r="V2492">
        <v>800</v>
      </c>
      <c r="W2492">
        <v>799</v>
      </c>
      <c r="X2492" t="s">
        <v>73</v>
      </c>
      <c r="Y2492" t="s">
        <v>70</v>
      </c>
      <c r="Z2492" t="s">
        <v>159</v>
      </c>
      <c r="AA2492" t="s">
        <v>169</v>
      </c>
      <c r="AB2492">
        <v>4.2</v>
      </c>
      <c r="AC2492">
        <v>60</v>
      </c>
      <c r="AD2492">
        <v>177.47</v>
      </c>
      <c r="AE2492">
        <f t="shared" si="76"/>
        <v>561.53</v>
      </c>
      <c r="AF2492" t="str">
        <f t="shared" si="77"/>
        <v>2025-11</v>
      </c>
      <c r="AG2492">
        <f>SUBTOTAL(103,A2492)</f>
        <v>1</v>
      </c>
    </row>
    <row r="2493" spans="1:33" x14ac:dyDescent="0.3">
      <c r="A2493" t="s">
        <v>5115</v>
      </c>
      <c r="B2493" s="13">
        <v>45977</v>
      </c>
      <c r="C2493">
        <v>2025</v>
      </c>
      <c r="D2493">
        <v>11</v>
      </c>
      <c r="E2493" t="s">
        <v>5007</v>
      </c>
      <c r="F2493" t="s">
        <v>4780</v>
      </c>
      <c r="G2493" t="s">
        <v>1197</v>
      </c>
      <c r="H2493" t="s">
        <v>1198</v>
      </c>
      <c r="I2493" t="s">
        <v>86</v>
      </c>
      <c r="J2493">
        <v>45</v>
      </c>
      <c r="K2493" t="s">
        <v>82</v>
      </c>
      <c r="L2493" t="s">
        <v>93</v>
      </c>
      <c r="M2493" t="s">
        <v>55</v>
      </c>
      <c r="N2493" t="s">
        <v>2596</v>
      </c>
      <c r="O2493" t="s">
        <v>124</v>
      </c>
      <c r="P2493" t="s">
        <v>51</v>
      </c>
      <c r="Q2493" t="s">
        <v>147</v>
      </c>
      <c r="R2493">
        <v>1</v>
      </c>
      <c r="S2493">
        <v>2299</v>
      </c>
      <c r="T2493">
        <v>0.1</v>
      </c>
      <c r="U2493">
        <v>2069.1</v>
      </c>
      <c r="V2493">
        <v>1200</v>
      </c>
      <c r="W2493">
        <v>869.1</v>
      </c>
      <c r="X2493" t="s">
        <v>73</v>
      </c>
      <c r="Y2493" t="s">
        <v>68</v>
      </c>
      <c r="Z2493" t="s">
        <v>160</v>
      </c>
      <c r="AA2493" t="s">
        <v>167</v>
      </c>
      <c r="AB2493">
        <v>5</v>
      </c>
      <c r="AC2493">
        <v>50</v>
      </c>
      <c r="AD2493">
        <v>139.58000000000001</v>
      </c>
      <c r="AE2493">
        <f t="shared" si="76"/>
        <v>679.52</v>
      </c>
      <c r="AF2493" t="str">
        <f t="shared" si="77"/>
        <v>2025-11</v>
      </c>
      <c r="AG2493">
        <f>SUBTOTAL(103,A2493)</f>
        <v>1</v>
      </c>
    </row>
    <row r="2494" spans="1:33" x14ac:dyDescent="0.3">
      <c r="A2494" t="s">
        <v>5116</v>
      </c>
      <c r="B2494" s="13">
        <v>45977</v>
      </c>
      <c r="C2494">
        <v>2025</v>
      </c>
      <c r="D2494">
        <v>11</v>
      </c>
      <c r="E2494" t="s">
        <v>5007</v>
      </c>
      <c r="F2494" t="s">
        <v>4780</v>
      </c>
      <c r="G2494" t="s">
        <v>515</v>
      </c>
      <c r="H2494" t="s">
        <v>516</v>
      </c>
      <c r="I2494" t="s">
        <v>85</v>
      </c>
      <c r="J2494">
        <v>22</v>
      </c>
      <c r="K2494" t="s">
        <v>80</v>
      </c>
      <c r="L2494" t="s">
        <v>2634</v>
      </c>
      <c r="M2494" t="s">
        <v>56</v>
      </c>
      <c r="N2494" t="s">
        <v>2601</v>
      </c>
      <c r="O2494" t="s">
        <v>117</v>
      </c>
      <c r="P2494" t="s">
        <v>49</v>
      </c>
      <c r="Q2494" t="s">
        <v>139</v>
      </c>
      <c r="R2494">
        <v>1</v>
      </c>
      <c r="S2494">
        <v>6999</v>
      </c>
      <c r="T2494">
        <v>0.05</v>
      </c>
      <c r="U2494">
        <v>6649.05</v>
      </c>
      <c r="V2494">
        <v>4300</v>
      </c>
      <c r="W2494">
        <v>2349.0500000000002</v>
      </c>
      <c r="X2494" t="s">
        <v>76</v>
      </c>
      <c r="Y2494" t="s">
        <v>70</v>
      </c>
      <c r="Z2494" t="s">
        <v>158</v>
      </c>
      <c r="AA2494" t="s">
        <v>170</v>
      </c>
      <c r="AB2494">
        <v>3</v>
      </c>
      <c r="AC2494">
        <v>60</v>
      </c>
      <c r="AD2494">
        <v>685.1</v>
      </c>
      <c r="AE2494">
        <f t="shared" si="76"/>
        <v>1603.9500000000003</v>
      </c>
      <c r="AF2494" t="str">
        <f t="shared" si="77"/>
        <v>2025-11</v>
      </c>
      <c r="AG2494">
        <f>SUBTOTAL(103,A2494)</f>
        <v>1</v>
      </c>
    </row>
    <row r="2495" spans="1:33" x14ac:dyDescent="0.3">
      <c r="A2495" t="s">
        <v>5117</v>
      </c>
      <c r="B2495" s="13">
        <v>45977</v>
      </c>
      <c r="C2495">
        <v>2025</v>
      </c>
      <c r="D2495">
        <v>11</v>
      </c>
      <c r="E2495" t="s">
        <v>5007</v>
      </c>
      <c r="F2495" t="s">
        <v>4780</v>
      </c>
      <c r="G2495" t="s">
        <v>1625</v>
      </c>
      <c r="H2495" t="s">
        <v>1626</v>
      </c>
      <c r="I2495" t="s">
        <v>87</v>
      </c>
      <c r="J2495">
        <v>60</v>
      </c>
      <c r="K2495" t="s">
        <v>83</v>
      </c>
      <c r="L2495" t="s">
        <v>2623</v>
      </c>
      <c r="M2495" t="s">
        <v>61</v>
      </c>
      <c r="N2495" t="s">
        <v>2590</v>
      </c>
      <c r="O2495" t="s">
        <v>127</v>
      </c>
      <c r="P2495" t="s">
        <v>51</v>
      </c>
      <c r="Q2495" t="s">
        <v>148</v>
      </c>
      <c r="R2495">
        <v>1</v>
      </c>
      <c r="S2495">
        <v>1599</v>
      </c>
      <c r="T2495">
        <v>0.1</v>
      </c>
      <c r="U2495">
        <v>1439.1</v>
      </c>
      <c r="V2495">
        <v>800</v>
      </c>
      <c r="W2495">
        <v>639.1</v>
      </c>
      <c r="X2495" t="s">
        <v>74</v>
      </c>
      <c r="Y2495" t="s">
        <v>68</v>
      </c>
      <c r="Z2495" t="s">
        <v>160</v>
      </c>
      <c r="AA2495" t="s">
        <v>166</v>
      </c>
      <c r="AB2495">
        <v>4.0999999999999996</v>
      </c>
      <c r="AC2495">
        <v>60</v>
      </c>
      <c r="AD2495">
        <v>33.57</v>
      </c>
      <c r="AE2495">
        <f t="shared" si="76"/>
        <v>545.53</v>
      </c>
      <c r="AF2495" t="str">
        <f t="shared" si="77"/>
        <v>2025-11</v>
      </c>
      <c r="AG2495">
        <f>SUBTOTAL(103,A2495)</f>
        <v>1</v>
      </c>
    </row>
    <row r="2496" spans="1:33" x14ac:dyDescent="0.3">
      <c r="A2496" t="s">
        <v>5118</v>
      </c>
      <c r="B2496" s="13">
        <v>45977</v>
      </c>
      <c r="C2496">
        <v>2025</v>
      </c>
      <c r="D2496">
        <v>11</v>
      </c>
      <c r="E2496" t="s">
        <v>5007</v>
      </c>
      <c r="F2496" t="s">
        <v>4780</v>
      </c>
      <c r="G2496" t="s">
        <v>517</v>
      </c>
      <c r="H2496" t="s">
        <v>518</v>
      </c>
      <c r="I2496" t="s">
        <v>85</v>
      </c>
      <c r="J2496">
        <v>27</v>
      </c>
      <c r="K2496" t="s">
        <v>81</v>
      </c>
      <c r="L2496" t="s">
        <v>96</v>
      </c>
      <c r="M2496" t="s">
        <v>55</v>
      </c>
      <c r="N2496" t="s">
        <v>2584</v>
      </c>
      <c r="O2496" t="s">
        <v>121</v>
      </c>
      <c r="P2496" t="s">
        <v>50</v>
      </c>
      <c r="Q2496" t="s">
        <v>144</v>
      </c>
      <c r="R2496">
        <v>2</v>
      </c>
      <c r="S2496">
        <v>2999</v>
      </c>
      <c r="T2496">
        <v>0.05</v>
      </c>
      <c r="U2496">
        <v>5698.1</v>
      </c>
      <c r="V2496">
        <v>3400</v>
      </c>
      <c r="W2496">
        <v>2298.1</v>
      </c>
      <c r="X2496" t="s">
        <v>73</v>
      </c>
      <c r="Y2496" t="s">
        <v>68</v>
      </c>
      <c r="Z2496" t="s">
        <v>163</v>
      </c>
      <c r="AA2496" t="s">
        <v>170</v>
      </c>
      <c r="AB2496">
        <v>3.4</v>
      </c>
      <c r="AC2496">
        <v>40</v>
      </c>
      <c r="AD2496">
        <v>399.66</v>
      </c>
      <c r="AE2496">
        <f t="shared" si="76"/>
        <v>1858.4399999999998</v>
      </c>
      <c r="AF2496" t="str">
        <f t="shared" si="77"/>
        <v>2025-11</v>
      </c>
      <c r="AG2496">
        <f>SUBTOTAL(103,A2496)</f>
        <v>1</v>
      </c>
    </row>
    <row r="2497" spans="1:33" x14ac:dyDescent="0.3">
      <c r="A2497" t="s">
        <v>5119</v>
      </c>
      <c r="B2497" s="13">
        <v>45977</v>
      </c>
      <c r="C2497">
        <v>2025</v>
      </c>
      <c r="D2497">
        <v>11</v>
      </c>
      <c r="E2497" t="s">
        <v>5007</v>
      </c>
      <c r="F2497" t="s">
        <v>4780</v>
      </c>
      <c r="G2497" t="s">
        <v>1355</v>
      </c>
      <c r="H2497" t="s">
        <v>1356</v>
      </c>
      <c r="I2497" t="s">
        <v>86</v>
      </c>
      <c r="J2497">
        <v>41</v>
      </c>
      <c r="K2497" t="s">
        <v>82</v>
      </c>
      <c r="L2497" t="s">
        <v>2661</v>
      </c>
      <c r="M2497" t="s">
        <v>58</v>
      </c>
      <c r="N2497" t="s">
        <v>2665</v>
      </c>
      <c r="O2497" t="s">
        <v>128</v>
      </c>
      <c r="P2497" t="s">
        <v>53</v>
      </c>
      <c r="Q2497" t="s">
        <v>143</v>
      </c>
      <c r="R2497">
        <v>1</v>
      </c>
      <c r="S2497">
        <v>1499</v>
      </c>
      <c r="T2497">
        <v>0.15</v>
      </c>
      <c r="U2497">
        <v>1274.1500000000001</v>
      </c>
      <c r="V2497">
        <v>800</v>
      </c>
      <c r="W2497">
        <v>474.15</v>
      </c>
      <c r="X2497" t="s">
        <v>73</v>
      </c>
      <c r="Y2497" t="s">
        <v>68</v>
      </c>
      <c r="Z2497" t="s">
        <v>158</v>
      </c>
      <c r="AA2497" t="s">
        <v>166</v>
      </c>
      <c r="AB2497">
        <v>3.6</v>
      </c>
      <c r="AC2497">
        <v>60</v>
      </c>
      <c r="AD2497">
        <v>112.46</v>
      </c>
      <c r="AE2497">
        <f t="shared" si="76"/>
        <v>301.69</v>
      </c>
      <c r="AF2497" t="str">
        <f t="shared" si="77"/>
        <v>2025-11</v>
      </c>
      <c r="AG2497">
        <f>SUBTOTAL(103,A2497)</f>
        <v>1</v>
      </c>
    </row>
    <row r="2498" spans="1:33" x14ac:dyDescent="0.3">
      <c r="A2498" t="s">
        <v>5120</v>
      </c>
      <c r="B2498" s="13">
        <v>45977</v>
      </c>
      <c r="C2498">
        <v>2025</v>
      </c>
      <c r="D2498">
        <v>11</v>
      </c>
      <c r="E2498" t="s">
        <v>5007</v>
      </c>
      <c r="F2498" t="s">
        <v>4780</v>
      </c>
      <c r="G2498" t="s">
        <v>293</v>
      </c>
      <c r="H2498" t="s">
        <v>294</v>
      </c>
      <c r="I2498" t="s">
        <v>86</v>
      </c>
      <c r="J2498">
        <v>30</v>
      </c>
      <c r="K2498" t="s">
        <v>81</v>
      </c>
      <c r="L2498" t="s">
        <v>98</v>
      </c>
      <c r="M2498" t="s">
        <v>55</v>
      </c>
      <c r="N2498" t="s">
        <v>2594</v>
      </c>
      <c r="O2498" t="s">
        <v>131</v>
      </c>
      <c r="P2498" t="s">
        <v>53</v>
      </c>
      <c r="Q2498" t="s">
        <v>143</v>
      </c>
      <c r="R2498">
        <v>1</v>
      </c>
      <c r="S2498">
        <v>999</v>
      </c>
      <c r="T2498">
        <v>0.05</v>
      </c>
      <c r="U2498">
        <v>949.05</v>
      </c>
      <c r="V2498">
        <v>520</v>
      </c>
      <c r="W2498">
        <v>429.05</v>
      </c>
      <c r="X2498" t="s">
        <v>73</v>
      </c>
      <c r="Y2498" t="s">
        <v>68</v>
      </c>
      <c r="Z2498" t="s">
        <v>159</v>
      </c>
      <c r="AA2498" t="s">
        <v>166</v>
      </c>
      <c r="AB2498">
        <v>3.6</v>
      </c>
      <c r="AC2498">
        <v>100</v>
      </c>
      <c r="AD2498">
        <v>60.15</v>
      </c>
      <c r="AE2498">
        <f t="shared" ref="AE2498:AE2561" si="78">W2498-AC2498-AD2498</f>
        <v>268.90000000000003</v>
      </c>
      <c r="AF2498" t="str">
        <f t="shared" ref="AF2498:AF2561" si="79">C2498&amp;"-"&amp;TEXT(D2498,"00")</f>
        <v>2025-11</v>
      </c>
      <c r="AG2498">
        <f>SUBTOTAL(103,A2498)</f>
        <v>1</v>
      </c>
    </row>
    <row r="2499" spans="1:33" x14ac:dyDescent="0.3">
      <c r="A2499" t="s">
        <v>5121</v>
      </c>
      <c r="B2499" s="13">
        <v>45978</v>
      </c>
      <c r="C2499">
        <v>2025</v>
      </c>
      <c r="D2499">
        <v>11</v>
      </c>
      <c r="E2499" t="s">
        <v>5007</v>
      </c>
      <c r="F2499" t="s">
        <v>4780</v>
      </c>
      <c r="G2499" t="s">
        <v>465</v>
      </c>
      <c r="H2499" t="s">
        <v>466</v>
      </c>
      <c r="I2499" t="s">
        <v>86</v>
      </c>
      <c r="J2499">
        <v>53</v>
      </c>
      <c r="K2499" t="s">
        <v>83</v>
      </c>
      <c r="L2499" t="s">
        <v>94</v>
      </c>
      <c r="M2499" t="s">
        <v>57</v>
      </c>
      <c r="N2499" t="s">
        <v>2606</v>
      </c>
      <c r="O2499" t="s">
        <v>120</v>
      </c>
      <c r="P2499" t="s">
        <v>49</v>
      </c>
      <c r="Q2499" t="s">
        <v>140</v>
      </c>
      <c r="R2499">
        <v>5</v>
      </c>
      <c r="S2499">
        <v>2799</v>
      </c>
      <c r="T2499">
        <v>0</v>
      </c>
      <c r="U2499">
        <v>13995</v>
      </c>
      <c r="V2499">
        <v>8250</v>
      </c>
      <c r="W2499">
        <v>5745</v>
      </c>
      <c r="X2499" t="s">
        <v>77</v>
      </c>
      <c r="Y2499" t="s">
        <v>68</v>
      </c>
      <c r="Z2499" t="s">
        <v>160</v>
      </c>
      <c r="AA2499" t="s">
        <v>170</v>
      </c>
      <c r="AB2499">
        <v>3.9</v>
      </c>
      <c r="AC2499">
        <v>80</v>
      </c>
      <c r="AD2499">
        <v>452.1</v>
      </c>
      <c r="AE2499">
        <f t="shared" si="78"/>
        <v>5212.8999999999996</v>
      </c>
      <c r="AF2499" t="str">
        <f t="shared" si="79"/>
        <v>2025-11</v>
      </c>
      <c r="AG2499">
        <f>SUBTOTAL(103,A2499)</f>
        <v>1</v>
      </c>
    </row>
    <row r="2500" spans="1:33" x14ac:dyDescent="0.3">
      <c r="A2500" t="s">
        <v>5122</v>
      </c>
      <c r="B2500" s="13">
        <v>45978</v>
      </c>
      <c r="C2500">
        <v>2025</v>
      </c>
      <c r="D2500">
        <v>11</v>
      </c>
      <c r="E2500" t="s">
        <v>5007</v>
      </c>
      <c r="F2500" t="s">
        <v>4780</v>
      </c>
      <c r="G2500" t="s">
        <v>1663</v>
      </c>
      <c r="H2500" t="s">
        <v>1664</v>
      </c>
      <c r="I2500" t="s">
        <v>86</v>
      </c>
      <c r="J2500">
        <v>25</v>
      </c>
      <c r="K2500" t="s">
        <v>80</v>
      </c>
      <c r="L2500" t="s">
        <v>2661</v>
      </c>
      <c r="M2500" t="s">
        <v>58</v>
      </c>
      <c r="N2500" t="s">
        <v>2644</v>
      </c>
      <c r="O2500" t="s">
        <v>126</v>
      </c>
      <c r="P2500" t="s">
        <v>50</v>
      </c>
      <c r="Q2500" t="s">
        <v>145</v>
      </c>
      <c r="R2500">
        <v>1</v>
      </c>
      <c r="S2500">
        <v>1799</v>
      </c>
      <c r="T2500">
        <v>0.1</v>
      </c>
      <c r="U2500">
        <v>1619.1</v>
      </c>
      <c r="V2500">
        <v>950</v>
      </c>
      <c r="W2500">
        <v>669.1</v>
      </c>
      <c r="X2500" t="s">
        <v>75</v>
      </c>
      <c r="Y2500" t="s">
        <v>68</v>
      </c>
      <c r="Z2500" t="s">
        <v>160</v>
      </c>
      <c r="AA2500" t="s">
        <v>168</v>
      </c>
      <c r="AB2500">
        <v>4.4000000000000004</v>
      </c>
      <c r="AC2500">
        <v>50</v>
      </c>
      <c r="AD2500">
        <v>136.38</v>
      </c>
      <c r="AE2500">
        <f t="shared" si="78"/>
        <v>482.72</v>
      </c>
      <c r="AF2500" t="str">
        <f t="shared" si="79"/>
        <v>2025-11</v>
      </c>
      <c r="AG2500">
        <f>SUBTOTAL(103,A2500)</f>
        <v>1</v>
      </c>
    </row>
    <row r="2501" spans="1:33" x14ac:dyDescent="0.3">
      <c r="A2501" t="s">
        <v>5123</v>
      </c>
      <c r="B2501" s="13">
        <v>45978</v>
      </c>
      <c r="C2501">
        <v>2025</v>
      </c>
      <c r="D2501">
        <v>11</v>
      </c>
      <c r="E2501" t="s">
        <v>5007</v>
      </c>
      <c r="F2501" t="s">
        <v>4780</v>
      </c>
      <c r="G2501" t="s">
        <v>439</v>
      </c>
      <c r="H2501" t="s">
        <v>440</v>
      </c>
      <c r="I2501" t="s">
        <v>85</v>
      </c>
      <c r="J2501">
        <v>58</v>
      </c>
      <c r="K2501" t="s">
        <v>83</v>
      </c>
      <c r="L2501" t="s">
        <v>2599</v>
      </c>
      <c r="M2501" t="s">
        <v>62</v>
      </c>
      <c r="N2501" t="s">
        <v>2630</v>
      </c>
      <c r="O2501" t="s">
        <v>123</v>
      </c>
      <c r="P2501" t="s">
        <v>52</v>
      </c>
      <c r="Q2501" t="s">
        <v>146</v>
      </c>
      <c r="R2501">
        <v>5</v>
      </c>
      <c r="S2501">
        <v>2499</v>
      </c>
      <c r="T2501">
        <v>0.2</v>
      </c>
      <c r="U2501">
        <v>9996</v>
      </c>
      <c r="V2501">
        <v>7000</v>
      </c>
      <c r="W2501">
        <v>2996</v>
      </c>
      <c r="X2501" t="s">
        <v>74</v>
      </c>
      <c r="Y2501" t="s">
        <v>68</v>
      </c>
      <c r="Z2501" t="s">
        <v>159</v>
      </c>
      <c r="AA2501" t="s">
        <v>166</v>
      </c>
      <c r="AB2501">
        <v>3.4</v>
      </c>
      <c r="AC2501">
        <v>100</v>
      </c>
      <c r="AD2501">
        <v>805.09</v>
      </c>
      <c r="AE2501">
        <f t="shared" si="78"/>
        <v>2090.91</v>
      </c>
      <c r="AF2501" t="str">
        <f t="shared" si="79"/>
        <v>2025-11</v>
      </c>
      <c r="AG2501">
        <f>SUBTOTAL(103,A2501)</f>
        <v>1</v>
      </c>
    </row>
    <row r="2502" spans="1:33" x14ac:dyDescent="0.3">
      <c r="A2502" t="s">
        <v>5124</v>
      </c>
      <c r="B2502" s="13">
        <v>45978</v>
      </c>
      <c r="C2502">
        <v>2025</v>
      </c>
      <c r="D2502">
        <v>11</v>
      </c>
      <c r="E2502" t="s">
        <v>5007</v>
      </c>
      <c r="F2502" t="s">
        <v>4780</v>
      </c>
      <c r="G2502" t="s">
        <v>571</v>
      </c>
      <c r="H2502" t="s">
        <v>572</v>
      </c>
      <c r="I2502" t="s">
        <v>85</v>
      </c>
      <c r="J2502">
        <v>60</v>
      </c>
      <c r="K2502" t="s">
        <v>83</v>
      </c>
      <c r="L2502" t="s">
        <v>95</v>
      </c>
      <c r="M2502" t="s">
        <v>56</v>
      </c>
      <c r="N2502" t="s">
        <v>2580</v>
      </c>
      <c r="O2502" t="s">
        <v>118</v>
      </c>
      <c r="P2502" t="s">
        <v>48</v>
      </c>
      <c r="Q2502" t="s">
        <v>142</v>
      </c>
      <c r="R2502">
        <v>3</v>
      </c>
      <c r="S2502">
        <v>3999</v>
      </c>
      <c r="T2502">
        <v>0.2</v>
      </c>
      <c r="U2502">
        <v>9597.6</v>
      </c>
      <c r="V2502">
        <v>7200</v>
      </c>
      <c r="W2502">
        <v>2397.6</v>
      </c>
      <c r="X2502" t="s">
        <v>73</v>
      </c>
      <c r="Y2502" t="s">
        <v>68</v>
      </c>
      <c r="Z2502" t="s">
        <v>159</v>
      </c>
      <c r="AA2502" t="s">
        <v>166</v>
      </c>
      <c r="AB2502">
        <v>4.9000000000000004</v>
      </c>
      <c r="AC2502">
        <v>60</v>
      </c>
      <c r="AD2502">
        <v>371.84</v>
      </c>
      <c r="AE2502">
        <f t="shared" si="78"/>
        <v>1965.76</v>
      </c>
      <c r="AF2502" t="str">
        <f t="shared" si="79"/>
        <v>2025-11</v>
      </c>
      <c r="AG2502">
        <f>SUBTOTAL(103,A2502)</f>
        <v>1</v>
      </c>
    </row>
    <row r="2503" spans="1:33" x14ac:dyDescent="0.3">
      <c r="A2503" t="s">
        <v>5125</v>
      </c>
      <c r="B2503" s="13">
        <v>45978</v>
      </c>
      <c r="C2503">
        <v>2025</v>
      </c>
      <c r="D2503">
        <v>11</v>
      </c>
      <c r="E2503" t="s">
        <v>5007</v>
      </c>
      <c r="F2503" t="s">
        <v>4780</v>
      </c>
      <c r="G2503" t="s">
        <v>729</v>
      </c>
      <c r="H2503" t="s">
        <v>730</v>
      </c>
      <c r="I2503" t="s">
        <v>85</v>
      </c>
      <c r="J2503">
        <v>38</v>
      </c>
      <c r="K2503" t="s">
        <v>82</v>
      </c>
      <c r="L2503" t="s">
        <v>90</v>
      </c>
      <c r="M2503" t="s">
        <v>55</v>
      </c>
      <c r="N2503" t="s">
        <v>2594</v>
      </c>
      <c r="O2503" t="s">
        <v>131</v>
      </c>
      <c r="P2503" t="s">
        <v>53</v>
      </c>
      <c r="Q2503" t="s">
        <v>143</v>
      </c>
      <c r="R2503">
        <v>4</v>
      </c>
      <c r="S2503">
        <v>999</v>
      </c>
      <c r="T2503">
        <v>0.2</v>
      </c>
      <c r="U2503">
        <v>3196.8</v>
      </c>
      <c r="V2503">
        <v>2080</v>
      </c>
      <c r="W2503">
        <v>1116.8</v>
      </c>
      <c r="X2503" t="s">
        <v>74</v>
      </c>
      <c r="Y2503" t="s">
        <v>68</v>
      </c>
      <c r="Z2503" t="s">
        <v>162</v>
      </c>
      <c r="AA2503" t="s">
        <v>169</v>
      </c>
      <c r="AB2503">
        <v>3.6</v>
      </c>
      <c r="AC2503">
        <v>60</v>
      </c>
      <c r="AD2503">
        <v>93.43</v>
      </c>
      <c r="AE2503">
        <f t="shared" si="78"/>
        <v>963.36999999999989</v>
      </c>
      <c r="AF2503" t="str">
        <f t="shared" si="79"/>
        <v>2025-11</v>
      </c>
      <c r="AG2503">
        <f>SUBTOTAL(103,A2503)</f>
        <v>1</v>
      </c>
    </row>
    <row r="2504" spans="1:33" x14ac:dyDescent="0.3">
      <c r="A2504" t="s">
        <v>5126</v>
      </c>
      <c r="B2504" s="13">
        <v>45978</v>
      </c>
      <c r="C2504">
        <v>2025</v>
      </c>
      <c r="D2504">
        <v>11</v>
      </c>
      <c r="E2504" t="s">
        <v>5007</v>
      </c>
      <c r="F2504" t="s">
        <v>4780</v>
      </c>
      <c r="G2504" t="s">
        <v>227</v>
      </c>
      <c r="H2504" t="s">
        <v>228</v>
      </c>
      <c r="I2504" t="s">
        <v>87</v>
      </c>
      <c r="J2504">
        <v>38</v>
      </c>
      <c r="K2504" t="s">
        <v>82</v>
      </c>
      <c r="L2504" t="s">
        <v>2634</v>
      </c>
      <c r="M2504" t="s">
        <v>56</v>
      </c>
      <c r="N2504" t="s">
        <v>2574</v>
      </c>
      <c r="O2504" t="s">
        <v>130</v>
      </c>
      <c r="P2504" t="s">
        <v>50</v>
      </c>
      <c r="Q2504" t="s">
        <v>53</v>
      </c>
      <c r="R2504">
        <v>5</v>
      </c>
      <c r="S2504">
        <v>1199</v>
      </c>
      <c r="T2504">
        <v>0.1</v>
      </c>
      <c r="U2504">
        <v>5395.5</v>
      </c>
      <c r="V2504">
        <v>2750</v>
      </c>
      <c r="W2504">
        <v>2645.5</v>
      </c>
      <c r="X2504" t="s">
        <v>75</v>
      </c>
      <c r="Y2504" t="s">
        <v>68</v>
      </c>
      <c r="Z2504" t="s">
        <v>158</v>
      </c>
      <c r="AA2504" t="s">
        <v>168</v>
      </c>
      <c r="AB2504">
        <v>4.2</v>
      </c>
      <c r="AC2504">
        <v>60</v>
      </c>
      <c r="AD2504">
        <v>357.3</v>
      </c>
      <c r="AE2504">
        <f t="shared" si="78"/>
        <v>2228.1999999999998</v>
      </c>
      <c r="AF2504" t="str">
        <f t="shared" si="79"/>
        <v>2025-11</v>
      </c>
      <c r="AG2504">
        <f>SUBTOTAL(103,A2504)</f>
        <v>1</v>
      </c>
    </row>
    <row r="2505" spans="1:33" x14ac:dyDescent="0.3">
      <c r="A2505" t="s">
        <v>5127</v>
      </c>
      <c r="B2505" s="13">
        <v>45978</v>
      </c>
      <c r="C2505">
        <v>2025</v>
      </c>
      <c r="D2505">
        <v>11</v>
      </c>
      <c r="E2505" t="s">
        <v>5007</v>
      </c>
      <c r="F2505" t="s">
        <v>4780</v>
      </c>
      <c r="G2505" t="s">
        <v>685</v>
      </c>
      <c r="H2505" t="s">
        <v>686</v>
      </c>
      <c r="I2505" t="s">
        <v>85</v>
      </c>
      <c r="J2505">
        <v>35</v>
      </c>
      <c r="K2505" t="s">
        <v>81</v>
      </c>
      <c r="L2505" t="s">
        <v>92</v>
      </c>
      <c r="M2505" t="s">
        <v>59</v>
      </c>
      <c r="N2505" t="s">
        <v>2665</v>
      </c>
      <c r="O2505" t="s">
        <v>128</v>
      </c>
      <c r="P2505" t="s">
        <v>53</v>
      </c>
      <c r="Q2505" t="s">
        <v>143</v>
      </c>
      <c r="R2505">
        <v>1</v>
      </c>
      <c r="S2505">
        <v>1499</v>
      </c>
      <c r="T2505">
        <v>0</v>
      </c>
      <c r="U2505">
        <v>1499</v>
      </c>
      <c r="V2505">
        <v>800</v>
      </c>
      <c r="W2505">
        <v>699</v>
      </c>
      <c r="X2505" t="s">
        <v>73</v>
      </c>
      <c r="Y2505" t="s">
        <v>68</v>
      </c>
      <c r="Z2505" t="s">
        <v>158</v>
      </c>
      <c r="AA2505" t="s">
        <v>169</v>
      </c>
      <c r="AB2505">
        <v>4.4000000000000004</v>
      </c>
      <c r="AC2505">
        <v>100</v>
      </c>
      <c r="AD2505">
        <v>56.07</v>
      </c>
      <c r="AE2505">
        <f t="shared" si="78"/>
        <v>542.92999999999995</v>
      </c>
      <c r="AF2505" t="str">
        <f t="shared" si="79"/>
        <v>2025-11</v>
      </c>
      <c r="AG2505">
        <f>SUBTOTAL(103,A2505)</f>
        <v>1</v>
      </c>
    </row>
    <row r="2506" spans="1:33" x14ac:dyDescent="0.3">
      <c r="A2506" t="s">
        <v>5128</v>
      </c>
      <c r="B2506" s="13">
        <v>45978</v>
      </c>
      <c r="C2506">
        <v>2025</v>
      </c>
      <c r="D2506">
        <v>11</v>
      </c>
      <c r="E2506" t="s">
        <v>5007</v>
      </c>
      <c r="F2506" t="s">
        <v>4780</v>
      </c>
      <c r="G2506" t="s">
        <v>435</v>
      </c>
      <c r="H2506" t="s">
        <v>436</v>
      </c>
      <c r="I2506" t="s">
        <v>86</v>
      </c>
      <c r="J2506">
        <v>20</v>
      </c>
      <c r="K2506" t="s">
        <v>80</v>
      </c>
      <c r="L2506" t="s">
        <v>90</v>
      </c>
      <c r="M2506" t="s">
        <v>55</v>
      </c>
      <c r="N2506" t="s">
        <v>2592</v>
      </c>
      <c r="O2506" t="s">
        <v>115</v>
      </c>
      <c r="P2506" t="s">
        <v>48</v>
      </c>
      <c r="Q2506" t="s">
        <v>137</v>
      </c>
      <c r="R2506">
        <v>3</v>
      </c>
      <c r="S2506">
        <v>12999</v>
      </c>
      <c r="T2506">
        <v>0</v>
      </c>
      <c r="U2506">
        <v>38997</v>
      </c>
      <c r="V2506">
        <v>27000</v>
      </c>
      <c r="W2506">
        <v>11997</v>
      </c>
      <c r="X2506" t="s">
        <v>75</v>
      </c>
      <c r="Y2506" t="s">
        <v>68</v>
      </c>
      <c r="Z2506" t="s">
        <v>158</v>
      </c>
      <c r="AA2506" t="s">
        <v>166</v>
      </c>
      <c r="AB2506">
        <v>3.8</v>
      </c>
      <c r="AC2506">
        <v>50</v>
      </c>
      <c r="AD2506">
        <v>1755.14</v>
      </c>
      <c r="AE2506">
        <f t="shared" si="78"/>
        <v>10191.86</v>
      </c>
      <c r="AF2506" t="str">
        <f t="shared" si="79"/>
        <v>2025-11</v>
      </c>
      <c r="AG2506">
        <f>SUBTOTAL(103,A2506)</f>
        <v>1</v>
      </c>
    </row>
    <row r="2507" spans="1:33" x14ac:dyDescent="0.3">
      <c r="A2507" t="s">
        <v>5129</v>
      </c>
      <c r="B2507" s="13">
        <v>45979</v>
      </c>
      <c r="C2507">
        <v>2025</v>
      </c>
      <c r="D2507">
        <v>11</v>
      </c>
      <c r="E2507" t="s">
        <v>5007</v>
      </c>
      <c r="F2507" t="s">
        <v>4780</v>
      </c>
      <c r="G2507" t="s">
        <v>271</v>
      </c>
      <c r="H2507" t="s">
        <v>272</v>
      </c>
      <c r="I2507" t="s">
        <v>86</v>
      </c>
      <c r="J2507">
        <v>51</v>
      </c>
      <c r="K2507" t="s">
        <v>83</v>
      </c>
      <c r="L2507" t="s">
        <v>92</v>
      </c>
      <c r="M2507" t="s">
        <v>59</v>
      </c>
      <c r="N2507" t="s">
        <v>2580</v>
      </c>
      <c r="O2507" t="s">
        <v>118</v>
      </c>
      <c r="P2507" t="s">
        <v>48</v>
      </c>
      <c r="Q2507" t="s">
        <v>142</v>
      </c>
      <c r="R2507">
        <v>4</v>
      </c>
      <c r="S2507">
        <v>3999</v>
      </c>
      <c r="T2507">
        <v>0.15</v>
      </c>
      <c r="U2507">
        <v>13596.6</v>
      </c>
      <c r="V2507">
        <v>9600</v>
      </c>
      <c r="W2507">
        <v>3996.6</v>
      </c>
      <c r="X2507" t="s">
        <v>75</v>
      </c>
      <c r="Y2507" t="s">
        <v>68</v>
      </c>
      <c r="Z2507" t="s">
        <v>158</v>
      </c>
      <c r="AA2507" t="s">
        <v>169</v>
      </c>
      <c r="AB2507">
        <v>4</v>
      </c>
      <c r="AC2507">
        <v>50</v>
      </c>
      <c r="AD2507">
        <v>372.49</v>
      </c>
      <c r="AE2507">
        <f t="shared" si="78"/>
        <v>3574.1099999999997</v>
      </c>
      <c r="AF2507" t="str">
        <f t="shared" si="79"/>
        <v>2025-11</v>
      </c>
      <c r="AG2507">
        <f>SUBTOTAL(103,A2507)</f>
        <v>1</v>
      </c>
    </row>
    <row r="2508" spans="1:33" x14ac:dyDescent="0.3">
      <c r="A2508" t="s">
        <v>5130</v>
      </c>
      <c r="B2508" s="13">
        <v>45979</v>
      </c>
      <c r="C2508">
        <v>2025</v>
      </c>
      <c r="D2508">
        <v>11</v>
      </c>
      <c r="E2508" t="s">
        <v>5007</v>
      </c>
      <c r="F2508" t="s">
        <v>4780</v>
      </c>
      <c r="G2508" t="s">
        <v>2421</v>
      </c>
      <c r="H2508" t="s">
        <v>2422</v>
      </c>
      <c r="I2508" t="s">
        <v>86</v>
      </c>
      <c r="J2508">
        <v>58</v>
      </c>
      <c r="K2508" t="s">
        <v>83</v>
      </c>
      <c r="L2508" t="s">
        <v>100</v>
      </c>
      <c r="M2508" t="s">
        <v>56</v>
      </c>
      <c r="N2508" t="s">
        <v>2657</v>
      </c>
      <c r="O2508" t="s">
        <v>134</v>
      </c>
      <c r="P2508" t="s">
        <v>49</v>
      </c>
      <c r="Q2508" t="s">
        <v>140</v>
      </c>
      <c r="R2508">
        <v>1</v>
      </c>
      <c r="S2508">
        <v>599</v>
      </c>
      <c r="T2508">
        <v>0.05</v>
      </c>
      <c r="U2508">
        <v>569.04999999999995</v>
      </c>
      <c r="V2508">
        <v>250</v>
      </c>
      <c r="W2508">
        <v>319.05</v>
      </c>
      <c r="X2508" t="s">
        <v>74</v>
      </c>
      <c r="Y2508" t="s">
        <v>68</v>
      </c>
      <c r="Z2508" t="s">
        <v>159</v>
      </c>
      <c r="AA2508" t="s">
        <v>171</v>
      </c>
      <c r="AB2508">
        <v>4.0999999999999996</v>
      </c>
      <c r="AC2508">
        <v>80</v>
      </c>
      <c r="AD2508">
        <v>22.53</v>
      </c>
      <c r="AE2508">
        <f t="shared" si="78"/>
        <v>216.52</v>
      </c>
      <c r="AF2508" t="str">
        <f t="shared" si="79"/>
        <v>2025-11</v>
      </c>
      <c r="AG2508">
        <f>SUBTOTAL(103,A2508)</f>
        <v>1</v>
      </c>
    </row>
    <row r="2509" spans="1:33" x14ac:dyDescent="0.3">
      <c r="A2509" t="s">
        <v>5131</v>
      </c>
      <c r="B2509" s="13">
        <v>45979</v>
      </c>
      <c r="C2509">
        <v>2025</v>
      </c>
      <c r="D2509">
        <v>11</v>
      </c>
      <c r="E2509" t="s">
        <v>5007</v>
      </c>
      <c r="F2509" t="s">
        <v>4780</v>
      </c>
      <c r="G2509" t="s">
        <v>1879</v>
      </c>
      <c r="H2509" t="s">
        <v>1880</v>
      </c>
      <c r="I2509" t="s">
        <v>85</v>
      </c>
      <c r="J2509">
        <v>19</v>
      </c>
      <c r="K2509" t="s">
        <v>80</v>
      </c>
      <c r="L2509" t="s">
        <v>90</v>
      </c>
      <c r="M2509" t="s">
        <v>55</v>
      </c>
      <c r="N2509" t="s">
        <v>2657</v>
      </c>
      <c r="O2509" t="s">
        <v>134</v>
      </c>
      <c r="P2509" t="s">
        <v>49</v>
      </c>
      <c r="Q2509" t="s">
        <v>140</v>
      </c>
      <c r="R2509">
        <v>2</v>
      </c>
      <c r="S2509">
        <v>599</v>
      </c>
      <c r="T2509">
        <v>0.05</v>
      </c>
      <c r="U2509">
        <v>1138.0999999999999</v>
      </c>
      <c r="V2509">
        <v>500</v>
      </c>
      <c r="W2509">
        <v>638.1</v>
      </c>
      <c r="X2509" t="s">
        <v>75</v>
      </c>
      <c r="Y2509" t="s">
        <v>68</v>
      </c>
      <c r="Z2509" t="s">
        <v>161</v>
      </c>
      <c r="AA2509" t="s">
        <v>171</v>
      </c>
      <c r="AB2509">
        <v>4.2</v>
      </c>
      <c r="AC2509">
        <v>100</v>
      </c>
      <c r="AD2509">
        <v>109.71</v>
      </c>
      <c r="AE2509">
        <f t="shared" si="78"/>
        <v>428.39000000000004</v>
      </c>
      <c r="AF2509" t="str">
        <f t="shared" si="79"/>
        <v>2025-11</v>
      </c>
      <c r="AG2509">
        <f>SUBTOTAL(103,A2509)</f>
        <v>1</v>
      </c>
    </row>
    <row r="2510" spans="1:33" x14ac:dyDescent="0.3">
      <c r="A2510" t="s">
        <v>5132</v>
      </c>
      <c r="B2510" s="13">
        <v>45979</v>
      </c>
      <c r="C2510">
        <v>2025</v>
      </c>
      <c r="D2510">
        <v>11</v>
      </c>
      <c r="E2510" t="s">
        <v>5007</v>
      </c>
      <c r="F2510" t="s">
        <v>4780</v>
      </c>
      <c r="G2510" t="s">
        <v>1007</v>
      </c>
      <c r="H2510" t="s">
        <v>1008</v>
      </c>
      <c r="I2510" t="s">
        <v>86</v>
      </c>
      <c r="J2510">
        <v>50</v>
      </c>
      <c r="K2510" t="s">
        <v>83</v>
      </c>
      <c r="L2510" t="s">
        <v>90</v>
      </c>
      <c r="M2510" t="s">
        <v>55</v>
      </c>
      <c r="N2510" t="s">
        <v>2653</v>
      </c>
      <c r="O2510" t="s">
        <v>132</v>
      </c>
      <c r="P2510" t="s">
        <v>52</v>
      </c>
      <c r="Q2510" t="s">
        <v>150</v>
      </c>
      <c r="R2510">
        <v>1</v>
      </c>
      <c r="S2510">
        <v>899</v>
      </c>
      <c r="T2510">
        <v>0.2</v>
      </c>
      <c r="U2510">
        <v>0</v>
      </c>
      <c r="V2510">
        <v>0</v>
      </c>
      <c r="W2510">
        <v>0</v>
      </c>
      <c r="X2510" t="s">
        <v>74</v>
      </c>
      <c r="Y2510" t="s">
        <v>71</v>
      </c>
      <c r="Z2510" t="s">
        <v>159</v>
      </c>
      <c r="AA2510" t="s">
        <v>169</v>
      </c>
      <c r="AB2510">
        <v>5</v>
      </c>
      <c r="AC2510">
        <v>50</v>
      </c>
      <c r="AD2510">
        <v>44.7</v>
      </c>
      <c r="AE2510">
        <f t="shared" si="78"/>
        <v>-94.7</v>
      </c>
      <c r="AF2510" t="str">
        <f t="shared" si="79"/>
        <v>2025-11</v>
      </c>
      <c r="AG2510">
        <f>SUBTOTAL(103,A2510)</f>
        <v>1</v>
      </c>
    </row>
    <row r="2511" spans="1:33" x14ac:dyDescent="0.3">
      <c r="A2511" t="s">
        <v>5133</v>
      </c>
      <c r="B2511" s="13">
        <v>45980</v>
      </c>
      <c r="C2511">
        <v>2025</v>
      </c>
      <c r="D2511">
        <v>11</v>
      </c>
      <c r="E2511" t="s">
        <v>5007</v>
      </c>
      <c r="F2511" t="s">
        <v>4780</v>
      </c>
      <c r="G2511" t="s">
        <v>1739</v>
      </c>
      <c r="H2511" t="s">
        <v>1740</v>
      </c>
      <c r="I2511" t="s">
        <v>86</v>
      </c>
      <c r="J2511">
        <v>28</v>
      </c>
      <c r="K2511" t="s">
        <v>81</v>
      </c>
      <c r="L2511" t="s">
        <v>91</v>
      </c>
      <c r="M2511" t="s">
        <v>55</v>
      </c>
      <c r="N2511" t="s">
        <v>2596</v>
      </c>
      <c r="O2511" t="s">
        <v>124</v>
      </c>
      <c r="P2511" t="s">
        <v>51</v>
      </c>
      <c r="Q2511" t="s">
        <v>147</v>
      </c>
      <c r="R2511">
        <v>5</v>
      </c>
      <c r="S2511">
        <v>2299</v>
      </c>
      <c r="T2511">
        <v>0.2</v>
      </c>
      <c r="U2511">
        <v>9196</v>
      </c>
      <c r="V2511">
        <v>6000</v>
      </c>
      <c r="W2511">
        <v>3196</v>
      </c>
      <c r="X2511" t="s">
        <v>73</v>
      </c>
      <c r="Y2511" t="s">
        <v>68</v>
      </c>
      <c r="Z2511" t="s">
        <v>158</v>
      </c>
      <c r="AA2511" t="s">
        <v>166</v>
      </c>
      <c r="AB2511">
        <v>4.0999999999999996</v>
      </c>
      <c r="AC2511">
        <v>120</v>
      </c>
      <c r="AD2511">
        <v>326.70999999999998</v>
      </c>
      <c r="AE2511">
        <f t="shared" si="78"/>
        <v>2749.29</v>
      </c>
      <c r="AF2511" t="str">
        <f t="shared" si="79"/>
        <v>2025-11</v>
      </c>
      <c r="AG2511">
        <f>SUBTOTAL(103,A2511)</f>
        <v>1</v>
      </c>
    </row>
    <row r="2512" spans="1:33" x14ac:dyDescent="0.3">
      <c r="A2512" t="s">
        <v>5134</v>
      </c>
      <c r="B2512" s="13">
        <v>45980</v>
      </c>
      <c r="C2512">
        <v>2025</v>
      </c>
      <c r="D2512">
        <v>11</v>
      </c>
      <c r="E2512" t="s">
        <v>5007</v>
      </c>
      <c r="F2512" t="s">
        <v>4780</v>
      </c>
      <c r="G2512" t="s">
        <v>1045</v>
      </c>
      <c r="H2512" t="s">
        <v>1046</v>
      </c>
      <c r="I2512" t="s">
        <v>86</v>
      </c>
      <c r="J2512">
        <v>33</v>
      </c>
      <c r="K2512" t="s">
        <v>81</v>
      </c>
      <c r="L2512" t="s">
        <v>96</v>
      </c>
      <c r="M2512" t="s">
        <v>55</v>
      </c>
      <c r="N2512" t="s">
        <v>2582</v>
      </c>
      <c r="O2512" t="s">
        <v>119</v>
      </c>
      <c r="P2512" t="s">
        <v>49</v>
      </c>
      <c r="Q2512" t="s">
        <v>140</v>
      </c>
      <c r="R2512">
        <v>1</v>
      </c>
      <c r="S2512">
        <v>3499</v>
      </c>
      <c r="T2512">
        <v>0.05</v>
      </c>
      <c r="U2512">
        <v>3324.05</v>
      </c>
      <c r="V2512">
        <v>2100</v>
      </c>
      <c r="W2512">
        <v>1224.05</v>
      </c>
      <c r="X2512" t="s">
        <v>75</v>
      </c>
      <c r="Y2512" t="s">
        <v>69</v>
      </c>
      <c r="Z2512" t="s">
        <v>161</v>
      </c>
      <c r="AA2512" t="s">
        <v>166</v>
      </c>
      <c r="AB2512">
        <v>3</v>
      </c>
      <c r="AC2512">
        <v>100</v>
      </c>
      <c r="AD2512">
        <v>222.28</v>
      </c>
      <c r="AE2512">
        <f t="shared" si="78"/>
        <v>901.77</v>
      </c>
      <c r="AF2512" t="str">
        <f t="shared" si="79"/>
        <v>2025-11</v>
      </c>
      <c r="AG2512">
        <f>SUBTOTAL(103,A2512)</f>
        <v>1</v>
      </c>
    </row>
    <row r="2513" spans="1:33" x14ac:dyDescent="0.3">
      <c r="A2513" t="s">
        <v>5135</v>
      </c>
      <c r="B2513" s="13">
        <v>45980</v>
      </c>
      <c r="C2513">
        <v>2025</v>
      </c>
      <c r="D2513">
        <v>11</v>
      </c>
      <c r="E2513" t="s">
        <v>5007</v>
      </c>
      <c r="F2513" t="s">
        <v>4780</v>
      </c>
      <c r="G2513" t="s">
        <v>1651</v>
      </c>
      <c r="H2513" t="s">
        <v>1652</v>
      </c>
      <c r="I2513" t="s">
        <v>86</v>
      </c>
      <c r="J2513">
        <v>36</v>
      </c>
      <c r="K2513" t="s">
        <v>82</v>
      </c>
      <c r="L2513" t="s">
        <v>2661</v>
      </c>
      <c r="M2513" t="s">
        <v>58</v>
      </c>
      <c r="N2513" t="s">
        <v>2577</v>
      </c>
      <c r="O2513" t="s">
        <v>129</v>
      </c>
      <c r="P2513" t="s">
        <v>49</v>
      </c>
      <c r="Q2513" t="s">
        <v>149</v>
      </c>
      <c r="R2513">
        <v>3</v>
      </c>
      <c r="S2513">
        <v>1299</v>
      </c>
      <c r="T2513">
        <v>0.1</v>
      </c>
      <c r="U2513">
        <v>3507.3</v>
      </c>
      <c r="V2513">
        <v>1950</v>
      </c>
      <c r="W2513">
        <v>1557.3</v>
      </c>
      <c r="X2513" t="s">
        <v>73</v>
      </c>
      <c r="Y2513" t="s">
        <v>68</v>
      </c>
      <c r="Z2513" t="s">
        <v>161</v>
      </c>
      <c r="AA2513" t="s">
        <v>168</v>
      </c>
      <c r="AB2513">
        <v>4.7</v>
      </c>
      <c r="AC2513">
        <v>120</v>
      </c>
      <c r="AD2513">
        <v>293.05</v>
      </c>
      <c r="AE2513">
        <f t="shared" si="78"/>
        <v>1144.25</v>
      </c>
      <c r="AF2513" t="str">
        <f t="shared" si="79"/>
        <v>2025-11</v>
      </c>
      <c r="AG2513">
        <f>SUBTOTAL(103,A2513)</f>
        <v>1</v>
      </c>
    </row>
    <row r="2514" spans="1:33" x14ac:dyDescent="0.3">
      <c r="A2514" t="s">
        <v>5136</v>
      </c>
      <c r="B2514" s="13">
        <v>45980</v>
      </c>
      <c r="C2514">
        <v>2025</v>
      </c>
      <c r="D2514">
        <v>11</v>
      </c>
      <c r="E2514" t="s">
        <v>5007</v>
      </c>
      <c r="F2514" t="s">
        <v>4780</v>
      </c>
      <c r="G2514" t="s">
        <v>2005</v>
      </c>
      <c r="H2514" t="s">
        <v>2006</v>
      </c>
      <c r="I2514" t="s">
        <v>85</v>
      </c>
      <c r="J2514">
        <v>45</v>
      </c>
      <c r="K2514" t="s">
        <v>82</v>
      </c>
      <c r="L2514" t="s">
        <v>2623</v>
      </c>
      <c r="M2514" t="s">
        <v>61</v>
      </c>
      <c r="N2514" t="s">
        <v>2577</v>
      </c>
      <c r="O2514" t="s">
        <v>129</v>
      </c>
      <c r="P2514" t="s">
        <v>49</v>
      </c>
      <c r="Q2514" t="s">
        <v>149</v>
      </c>
      <c r="R2514">
        <v>1</v>
      </c>
      <c r="S2514">
        <v>1299</v>
      </c>
      <c r="T2514">
        <v>0.1</v>
      </c>
      <c r="U2514">
        <v>1169.0999999999999</v>
      </c>
      <c r="V2514">
        <v>650</v>
      </c>
      <c r="W2514">
        <v>519.1</v>
      </c>
      <c r="X2514" t="s">
        <v>75</v>
      </c>
      <c r="Y2514" t="s">
        <v>68</v>
      </c>
      <c r="Z2514" t="s">
        <v>159</v>
      </c>
      <c r="AA2514" t="s">
        <v>169</v>
      </c>
      <c r="AB2514">
        <v>4.5999999999999996</v>
      </c>
      <c r="AC2514">
        <v>80</v>
      </c>
      <c r="AD2514">
        <v>110.4</v>
      </c>
      <c r="AE2514">
        <f t="shared" si="78"/>
        <v>328.70000000000005</v>
      </c>
      <c r="AF2514" t="str">
        <f t="shared" si="79"/>
        <v>2025-11</v>
      </c>
      <c r="AG2514">
        <f>SUBTOTAL(103,A2514)</f>
        <v>1</v>
      </c>
    </row>
    <row r="2515" spans="1:33" x14ac:dyDescent="0.3">
      <c r="A2515" t="s">
        <v>5137</v>
      </c>
      <c r="B2515" s="13">
        <v>45980</v>
      </c>
      <c r="C2515">
        <v>2025</v>
      </c>
      <c r="D2515">
        <v>11</v>
      </c>
      <c r="E2515" t="s">
        <v>5007</v>
      </c>
      <c r="F2515" t="s">
        <v>4780</v>
      </c>
      <c r="G2515" t="s">
        <v>2353</v>
      </c>
      <c r="H2515" t="s">
        <v>2354</v>
      </c>
      <c r="I2515" t="s">
        <v>85</v>
      </c>
      <c r="J2515">
        <v>37</v>
      </c>
      <c r="K2515" t="s">
        <v>82</v>
      </c>
      <c r="L2515" t="s">
        <v>2586</v>
      </c>
      <c r="M2515" t="s">
        <v>62</v>
      </c>
      <c r="N2515" t="s">
        <v>2653</v>
      </c>
      <c r="O2515" t="s">
        <v>132</v>
      </c>
      <c r="P2515" t="s">
        <v>52</v>
      </c>
      <c r="Q2515" t="s">
        <v>150</v>
      </c>
      <c r="R2515">
        <v>1</v>
      </c>
      <c r="S2515">
        <v>899</v>
      </c>
      <c r="T2515">
        <v>0</v>
      </c>
      <c r="U2515">
        <v>899</v>
      </c>
      <c r="V2515">
        <v>420</v>
      </c>
      <c r="W2515">
        <v>479</v>
      </c>
      <c r="X2515" t="s">
        <v>73</v>
      </c>
      <c r="Y2515" t="s">
        <v>68</v>
      </c>
      <c r="Z2515" t="s">
        <v>162</v>
      </c>
      <c r="AA2515" t="s">
        <v>167</v>
      </c>
      <c r="AB2515">
        <v>3.4</v>
      </c>
      <c r="AC2515">
        <v>40</v>
      </c>
      <c r="AD2515">
        <v>27.37</v>
      </c>
      <c r="AE2515">
        <f t="shared" si="78"/>
        <v>411.63</v>
      </c>
      <c r="AF2515" t="str">
        <f t="shared" si="79"/>
        <v>2025-11</v>
      </c>
      <c r="AG2515">
        <f>SUBTOTAL(103,A2515)</f>
        <v>1</v>
      </c>
    </row>
    <row r="2516" spans="1:33" x14ac:dyDescent="0.3">
      <c r="A2516" t="s">
        <v>5138</v>
      </c>
      <c r="B2516" s="13">
        <v>45980</v>
      </c>
      <c r="C2516">
        <v>2025</v>
      </c>
      <c r="D2516">
        <v>11</v>
      </c>
      <c r="E2516" t="s">
        <v>5007</v>
      </c>
      <c r="F2516" t="s">
        <v>4780</v>
      </c>
      <c r="G2516" t="s">
        <v>347</v>
      </c>
      <c r="H2516" t="s">
        <v>348</v>
      </c>
      <c r="I2516" t="s">
        <v>86</v>
      </c>
      <c r="J2516">
        <v>33</v>
      </c>
      <c r="K2516" t="s">
        <v>81</v>
      </c>
      <c r="L2516" t="s">
        <v>96</v>
      </c>
      <c r="M2516" t="s">
        <v>55</v>
      </c>
      <c r="N2516" t="s">
        <v>2574</v>
      </c>
      <c r="O2516" t="s">
        <v>130</v>
      </c>
      <c r="P2516" t="s">
        <v>50</v>
      </c>
      <c r="Q2516" t="s">
        <v>53</v>
      </c>
      <c r="R2516">
        <v>3</v>
      </c>
      <c r="S2516">
        <v>1199</v>
      </c>
      <c r="T2516">
        <v>0</v>
      </c>
      <c r="U2516">
        <v>3597</v>
      </c>
      <c r="V2516">
        <v>1650</v>
      </c>
      <c r="W2516">
        <v>1947</v>
      </c>
      <c r="X2516" t="s">
        <v>75</v>
      </c>
      <c r="Y2516" t="s">
        <v>68</v>
      </c>
      <c r="Z2516" t="s">
        <v>162</v>
      </c>
      <c r="AA2516" t="s">
        <v>167</v>
      </c>
      <c r="AB2516">
        <v>4.4000000000000004</v>
      </c>
      <c r="AC2516">
        <v>100</v>
      </c>
      <c r="AD2516">
        <v>245.57</v>
      </c>
      <c r="AE2516">
        <f t="shared" si="78"/>
        <v>1601.43</v>
      </c>
      <c r="AF2516" t="str">
        <f t="shared" si="79"/>
        <v>2025-11</v>
      </c>
      <c r="AG2516">
        <f>SUBTOTAL(103,A2516)</f>
        <v>1</v>
      </c>
    </row>
    <row r="2517" spans="1:33" x14ac:dyDescent="0.3">
      <c r="A2517" t="s">
        <v>5139</v>
      </c>
      <c r="B2517" s="13">
        <v>45980</v>
      </c>
      <c r="C2517">
        <v>2025</v>
      </c>
      <c r="D2517">
        <v>11</v>
      </c>
      <c r="E2517" t="s">
        <v>5007</v>
      </c>
      <c r="F2517" t="s">
        <v>4780</v>
      </c>
      <c r="G2517" t="s">
        <v>267</v>
      </c>
      <c r="H2517" t="s">
        <v>268</v>
      </c>
      <c r="I2517" t="s">
        <v>86</v>
      </c>
      <c r="J2517">
        <v>39</v>
      </c>
      <c r="K2517" t="s">
        <v>82</v>
      </c>
      <c r="L2517" t="s">
        <v>92</v>
      </c>
      <c r="M2517" t="s">
        <v>59</v>
      </c>
      <c r="N2517" t="s">
        <v>2601</v>
      </c>
      <c r="O2517" t="s">
        <v>117</v>
      </c>
      <c r="P2517" t="s">
        <v>49</v>
      </c>
      <c r="Q2517" t="s">
        <v>139</v>
      </c>
      <c r="R2517">
        <v>3</v>
      </c>
      <c r="S2517">
        <v>6999</v>
      </c>
      <c r="T2517">
        <v>0</v>
      </c>
      <c r="U2517">
        <v>20997</v>
      </c>
      <c r="V2517">
        <v>12900</v>
      </c>
      <c r="W2517">
        <v>8097</v>
      </c>
      <c r="X2517" t="s">
        <v>74</v>
      </c>
      <c r="Y2517" t="s">
        <v>68</v>
      </c>
      <c r="Z2517" t="s">
        <v>162</v>
      </c>
      <c r="AA2517" t="s">
        <v>169</v>
      </c>
      <c r="AB2517">
        <v>3.8</v>
      </c>
      <c r="AC2517">
        <v>80</v>
      </c>
      <c r="AD2517">
        <v>1535.77</v>
      </c>
      <c r="AE2517">
        <f t="shared" si="78"/>
        <v>6481.23</v>
      </c>
      <c r="AF2517" t="str">
        <f t="shared" si="79"/>
        <v>2025-11</v>
      </c>
      <c r="AG2517">
        <f>SUBTOTAL(103,A2517)</f>
        <v>1</v>
      </c>
    </row>
    <row r="2518" spans="1:33" x14ac:dyDescent="0.3">
      <c r="A2518" t="s">
        <v>5140</v>
      </c>
      <c r="B2518" s="13">
        <v>45980</v>
      </c>
      <c r="C2518">
        <v>2025</v>
      </c>
      <c r="D2518">
        <v>11</v>
      </c>
      <c r="E2518" t="s">
        <v>5007</v>
      </c>
      <c r="F2518" t="s">
        <v>4780</v>
      </c>
      <c r="G2518" t="s">
        <v>2311</v>
      </c>
      <c r="H2518" t="s">
        <v>2312</v>
      </c>
      <c r="I2518" t="s">
        <v>85</v>
      </c>
      <c r="J2518">
        <v>35</v>
      </c>
      <c r="K2518" t="s">
        <v>81</v>
      </c>
      <c r="L2518" t="s">
        <v>2586</v>
      </c>
      <c r="M2518" t="s">
        <v>62</v>
      </c>
      <c r="N2518" t="s">
        <v>2594</v>
      </c>
      <c r="O2518" t="s">
        <v>131</v>
      </c>
      <c r="P2518" t="s">
        <v>53</v>
      </c>
      <c r="Q2518" t="s">
        <v>143</v>
      </c>
      <c r="R2518">
        <v>5</v>
      </c>
      <c r="S2518">
        <v>999</v>
      </c>
      <c r="T2518">
        <v>0.05</v>
      </c>
      <c r="U2518">
        <v>4745.25</v>
      </c>
      <c r="V2518">
        <v>2600</v>
      </c>
      <c r="W2518">
        <v>2145.25</v>
      </c>
      <c r="X2518" t="s">
        <v>73</v>
      </c>
      <c r="Y2518" t="s">
        <v>68</v>
      </c>
      <c r="Z2518" t="s">
        <v>160</v>
      </c>
      <c r="AA2518" t="s">
        <v>167</v>
      </c>
      <c r="AB2518">
        <v>2.2999999999999998</v>
      </c>
      <c r="AC2518">
        <v>60</v>
      </c>
      <c r="AD2518">
        <v>561.89</v>
      </c>
      <c r="AE2518">
        <f t="shared" si="78"/>
        <v>1523.3600000000001</v>
      </c>
      <c r="AF2518" t="str">
        <f t="shared" si="79"/>
        <v>2025-11</v>
      </c>
      <c r="AG2518">
        <f>SUBTOTAL(103,A2518)</f>
        <v>1</v>
      </c>
    </row>
    <row r="2519" spans="1:33" x14ac:dyDescent="0.3">
      <c r="A2519" t="s">
        <v>5141</v>
      </c>
      <c r="B2519" s="13">
        <v>45980</v>
      </c>
      <c r="C2519">
        <v>2025</v>
      </c>
      <c r="D2519">
        <v>11</v>
      </c>
      <c r="E2519" t="s">
        <v>5007</v>
      </c>
      <c r="F2519" t="s">
        <v>4780</v>
      </c>
      <c r="G2519" t="s">
        <v>1563</v>
      </c>
      <c r="H2519" t="s">
        <v>1564</v>
      </c>
      <c r="I2519" t="s">
        <v>85</v>
      </c>
      <c r="J2519">
        <v>55</v>
      </c>
      <c r="K2519" t="s">
        <v>83</v>
      </c>
      <c r="L2519" t="s">
        <v>99</v>
      </c>
      <c r="M2519" t="s">
        <v>58</v>
      </c>
      <c r="N2519" t="s">
        <v>2601</v>
      </c>
      <c r="O2519" t="s">
        <v>117</v>
      </c>
      <c r="P2519" t="s">
        <v>49</v>
      </c>
      <c r="Q2519" t="s">
        <v>139</v>
      </c>
      <c r="R2519">
        <v>2</v>
      </c>
      <c r="S2519">
        <v>6999</v>
      </c>
      <c r="T2519">
        <v>0.15</v>
      </c>
      <c r="U2519">
        <v>11898.3</v>
      </c>
      <c r="V2519">
        <v>8600</v>
      </c>
      <c r="W2519">
        <v>3298.3</v>
      </c>
      <c r="X2519" t="s">
        <v>75</v>
      </c>
      <c r="Y2519" t="s">
        <v>70</v>
      </c>
      <c r="Z2519" t="s">
        <v>159</v>
      </c>
      <c r="AA2519" t="s">
        <v>171</v>
      </c>
      <c r="AB2519">
        <v>5</v>
      </c>
      <c r="AC2519">
        <v>120</v>
      </c>
      <c r="AD2519">
        <v>592.07000000000005</v>
      </c>
      <c r="AE2519">
        <f t="shared" si="78"/>
        <v>2586.23</v>
      </c>
      <c r="AF2519" t="str">
        <f t="shared" si="79"/>
        <v>2025-11</v>
      </c>
      <c r="AG2519">
        <f>SUBTOTAL(103,A2519)</f>
        <v>1</v>
      </c>
    </row>
    <row r="2520" spans="1:33" x14ac:dyDescent="0.3">
      <c r="A2520" t="s">
        <v>5142</v>
      </c>
      <c r="B2520" s="13">
        <v>45981</v>
      </c>
      <c r="C2520">
        <v>2025</v>
      </c>
      <c r="D2520">
        <v>11</v>
      </c>
      <c r="E2520" t="s">
        <v>5007</v>
      </c>
      <c r="F2520" t="s">
        <v>4780</v>
      </c>
      <c r="G2520" t="s">
        <v>459</v>
      </c>
      <c r="H2520" t="s">
        <v>460</v>
      </c>
      <c r="I2520" t="s">
        <v>85</v>
      </c>
      <c r="J2520">
        <v>48</v>
      </c>
      <c r="K2520" t="s">
        <v>83</v>
      </c>
      <c r="L2520" t="s">
        <v>98</v>
      </c>
      <c r="M2520" t="s">
        <v>55</v>
      </c>
      <c r="N2520" t="s">
        <v>2630</v>
      </c>
      <c r="O2520" t="s">
        <v>123</v>
      </c>
      <c r="P2520" t="s">
        <v>52</v>
      </c>
      <c r="Q2520" t="s">
        <v>146</v>
      </c>
      <c r="R2520">
        <v>1</v>
      </c>
      <c r="S2520">
        <v>2499</v>
      </c>
      <c r="T2520">
        <v>0.1</v>
      </c>
      <c r="U2520">
        <v>2249.1</v>
      </c>
      <c r="V2520">
        <v>1400</v>
      </c>
      <c r="W2520">
        <v>849.1</v>
      </c>
      <c r="X2520" t="s">
        <v>74</v>
      </c>
      <c r="Y2520" t="s">
        <v>68</v>
      </c>
      <c r="Z2520" t="s">
        <v>159</v>
      </c>
      <c r="AA2520" t="s">
        <v>169</v>
      </c>
      <c r="AB2520">
        <v>4.2</v>
      </c>
      <c r="AC2520">
        <v>50</v>
      </c>
      <c r="AD2520">
        <v>254.02</v>
      </c>
      <c r="AE2520">
        <f t="shared" si="78"/>
        <v>545.08000000000004</v>
      </c>
      <c r="AF2520" t="str">
        <f t="shared" si="79"/>
        <v>2025-11</v>
      </c>
      <c r="AG2520">
        <f>SUBTOTAL(103,A2520)</f>
        <v>1</v>
      </c>
    </row>
    <row r="2521" spans="1:33" x14ac:dyDescent="0.3">
      <c r="A2521" t="s">
        <v>5143</v>
      </c>
      <c r="B2521" s="13">
        <v>45981</v>
      </c>
      <c r="C2521">
        <v>2025</v>
      </c>
      <c r="D2521">
        <v>11</v>
      </c>
      <c r="E2521" t="s">
        <v>5007</v>
      </c>
      <c r="F2521" t="s">
        <v>4780</v>
      </c>
      <c r="G2521" t="s">
        <v>833</v>
      </c>
      <c r="H2521" t="s">
        <v>834</v>
      </c>
      <c r="I2521" t="s">
        <v>85</v>
      </c>
      <c r="J2521">
        <v>30</v>
      </c>
      <c r="K2521" t="s">
        <v>81</v>
      </c>
      <c r="L2521" t="s">
        <v>2623</v>
      </c>
      <c r="M2521" t="s">
        <v>61</v>
      </c>
      <c r="N2521" t="s">
        <v>2594</v>
      </c>
      <c r="O2521" t="s">
        <v>131</v>
      </c>
      <c r="P2521" t="s">
        <v>53</v>
      </c>
      <c r="Q2521" t="s">
        <v>143</v>
      </c>
      <c r="R2521">
        <v>2</v>
      </c>
      <c r="S2521">
        <v>999</v>
      </c>
      <c r="T2521">
        <v>0.05</v>
      </c>
      <c r="U2521">
        <v>1898.1</v>
      </c>
      <c r="V2521">
        <v>1040</v>
      </c>
      <c r="W2521">
        <v>858.1</v>
      </c>
      <c r="X2521" t="s">
        <v>73</v>
      </c>
      <c r="Y2521" t="s">
        <v>68</v>
      </c>
      <c r="Z2521" t="s">
        <v>159</v>
      </c>
      <c r="AA2521" t="s">
        <v>166</v>
      </c>
      <c r="AB2521">
        <v>3</v>
      </c>
      <c r="AC2521">
        <v>40</v>
      </c>
      <c r="AD2521">
        <v>171.46</v>
      </c>
      <c r="AE2521">
        <f t="shared" si="78"/>
        <v>646.64</v>
      </c>
      <c r="AF2521" t="str">
        <f t="shared" si="79"/>
        <v>2025-11</v>
      </c>
      <c r="AG2521">
        <f>SUBTOTAL(103,A2521)</f>
        <v>1</v>
      </c>
    </row>
    <row r="2522" spans="1:33" x14ac:dyDescent="0.3">
      <c r="A2522" t="s">
        <v>5144</v>
      </c>
      <c r="B2522" s="13">
        <v>45981</v>
      </c>
      <c r="C2522">
        <v>2025</v>
      </c>
      <c r="D2522">
        <v>11</v>
      </c>
      <c r="E2522" t="s">
        <v>5007</v>
      </c>
      <c r="F2522" t="s">
        <v>4780</v>
      </c>
      <c r="G2522" t="s">
        <v>299</v>
      </c>
      <c r="H2522" t="s">
        <v>300</v>
      </c>
      <c r="I2522" t="s">
        <v>85</v>
      </c>
      <c r="J2522">
        <v>21</v>
      </c>
      <c r="K2522" t="s">
        <v>80</v>
      </c>
      <c r="L2522" t="s">
        <v>2687</v>
      </c>
      <c r="M2522" t="s">
        <v>57</v>
      </c>
      <c r="N2522" t="s">
        <v>2582</v>
      </c>
      <c r="O2522" t="s">
        <v>119</v>
      </c>
      <c r="P2522" t="s">
        <v>49</v>
      </c>
      <c r="Q2522" t="s">
        <v>140</v>
      </c>
      <c r="R2522">
        <v>1</v>
      </c>
      <c r="S2522">
        <v>3499</v>
      </c>
      <c r="T2522">
        <v>0</v>
      </c>
      <c r="U2522">
        <v>3499</v>
      </c>
      <c r="V2522">
        <v>2100</v>
      </c>
      <c r="W2522">
        <v>1399</v>
      </c>
      <c r="X2522" t="s">
        <v>74</v>
      </c>
      <c r="Y2522" t="s">
        <v>68</v>
      </c>
      <c r="Z2522" t="s">
        <v>159</v>
      </c>
      <c r="AA2522" t="s">
        <v>169</v>
      </c>
      <c r="AB2522">
        <v>3.5</v>
      </c>
      <c r="AC2522">
        <v>80</v>
      </c>
      <c r="AD2522">
        <v>109.38</v>
      </c>
      <c r="AE2522">
        <f t="shared" si="78"/>
        <v>1209.6199999999999</v>
      </c>
      <c r="AF2522" t="str">
        <f t="shared" si="79"/>
        <v>2025-11</v>
      </c>
      <c r="AG2522">
        <f>SUBTOTAL(103,A2522)</f>
        <v>1</v>
      </c>
    </row>
    <row r="2523" spans="1:33" x14ac:dyDescent="0.3">
      <c r="A2523" t="s">
        <v>5145</v>
      </c>
      <c r="B2523" s="13">
        <v>45981</v>
      </c>
      <c r="C2523">
        <v>2025</v>
      </c>
      <c r="D2523">
        <v>11</v>
      </c>
      <c r="E2523" t="s">
        <v>5007</v>
      </c>
      <c r="F2523" t="s">
        <v>4780</v>
      </c>
      <c r="G2523" t="s">
        <v>379</v>
      </c>
      <c r="H2523" t="s">
        <v>380</v>
      </c>
      <c r="I2523" t="s">
        <v>86</v>
      </c>
      <c r="J2523">
        <v>42</v>
      </c>
      <c r="K2523" t="s">
        <v>82</v>
      </c>
      <c r="L2523" t="s">
        <v>91</v>
      </c>
      <c r="M2523" t="s">
        <v>55</v>
      </c>
      <c r="N2523" t="s">
        <v>2647</v>
      </c>
      <c r="O2523" t="s">
        <v>133</v>
      </c>
      <c r="P2523" t="s">
        <v>50</v>
      </c>
      <c r="Q2523" t="s">
        <v>145</v>
      </c>
      <c r="R2523">
        <v>3</v>
      </c>
      <c r="S2523">
        <v>799</v>
      </c>
      <c r="T2523">
        <v>0.2</v>
      </c>
      <c r="U2523">
        <v>1917.6</v>
      </c>
      <c r="V2523">
        <v>1170</v>
      </c>
      <c r="W2523">
        <v>747.6</v>
      </c>
      <c r="X2523" t="s">
        <v>77</v>
      </c>
      <c r="Y2523" t="s">
        <v>68</v>
      </c>
      <c r="Z2523" t="s">
        <v>162</v>
      </c>
      <c r="AA2523" t="s">
        <v>166</v>
      </c>
      <c r="AB2523">
        <v>4.7</v>
      </c>
      <c r="AC2523">
        <v>60</v>
      </c>
      <c r="AD2523">
        <v>68.78</v>
      </c>
      <c r="AE2523">
        <f t="shared" si="78"/>
        <v>618.82000000000005</v>
      </c>
      <c r="AF2523" t="str">
        <f t="shared" si="79"/>
        <v>2025-11</v>
      </c>
      <c r="AG2523">
        <f>SUBTOTAL(103,A2523)</f>
        <v>1</v>
      </c>
    </row>
    <row r="2524" spans="1:33" x14ac:dyDescent="0.3">
      <c r="A2524" t="s">
        <v>5146</v>
      </c>
      <c r="B2524" s="13">
        <v>45981</v>
      </c>
      <c r="C2524">
        <v>2025</v>
      </c>
      <c r="D2524">
        <v>11</v>
      </c>
      <c r="E2524" t="s">
        <v>5007</v>
      </c>
      <c r="F2524" t="s">
        <v>4780</v>
      </c>
      <c r="G2524" t="s">
        <v>1739</v>
      </c>
      <c r="H2524" t="s">
        <v>1740</v>
      </c>
      <c r="I2524" t="s">
        <v>86</v>
      </c>
      <c r="J2524">
        <v>28</v>
      </c>
      <c r="K2524" t="s">
        <v>81</v>
      </c>
      <c r="L2524" t="s">
        <v>91</v>
      </c>
      <c r="M2524" t="s">
        <v>55</v>
      </c>
      <c r="N2524" t="s">
        <v>2606</v>
      </c>
      <c r="O2524" t="s">
        <v>120</v>
      </c>
      <c r="P2524" t="s">
        <v>49</v>
      </c>
      <c r="Q2524" t="s">
        <v>140</v>
      </c>
      <c r="R2524">
        <v>1</v>
      </c>
      <c r="S2524">
        <v>2799</v>
      </c>
      <c r="T2524">
        <v>0</v>
      </c>
      <c r="U2524">
        <v>2799</v>
      </c>
      <c r="V2524">
        <v>1650</v>
      </c>
      <c r="W2524">
        <v>1149</v>
      </c>
      <c r="X2524" t="s">
        <v>74</v>
      </c>
      <c r="Y2524" t="s">
        <v>68</v>
      </c>
      <c r="Z2524" t="s">
        <v>160</v>
      </c>
      <c r="AA2524" t="s">
        <v>166</v>
      </c>
      <c r="AB2524">
        <v>4.7</v>
      </c>
      <c r="AC2524">
        <v>80</v>
      </c>
      <c r="AD2524">
        <v>205.75</v>
      </c>
      <c r="AE2524">
        <f t="shared" si="78"/>
        <v>863.25</v>
      </c>
      <c r="AF2524" t="str">
        <f t="shared" si="79"/>
        <v>2025-11</v>
      </c>
      <c r="AG2524">
        <f>SUBTOTAL(103,A2524)</f>
        <v>1</v>
      </c>
    </row>
    <row r="2525" spans="1:33" x14ac:dyDescent="0.3">
      <c r="A2525" t="s">
        <v>5147</v>
      </c>
      <c r="B2525" s="13">
        <v>45981</v>
      </c>
      <c r="C2525">
        <v>2025</v>
      </c>
      <c r="D2525">
        <v>11</v>
      </c>
      <c r="E2525" t="s">
        <v>5007</v>
      </c>
      <c r="F2525" t="s">
        <v>4780</v>
      </c>
      <c r="G2525" t="s">
        <v>2405</v>
      </c>
      <c r="H2525" t="s">
        <v>2406</v>
      </c>
      <c r="I2525" t="s">
        <v>85</v>
      </c>
      <c r="J2525">
        <v>32</v>
      </c>
      <c r="K2525" t="s">
        <v>81</v>
      </c>
      <c r="L2525" t="s">
        <v>2579</v>
      </c>
      <c r="M2525" t="s">
        <v>56</v>
      </c>
      <c r="N2525" t="s">
        <v>2592</v>
      </c>
      <c r="O2525" t="s">
        <v>115</v>
      </c>
      <c r="P2525" t="s">
        <v>48</v>
      </c>
      <c r="Q2525" t="s">
        <v>137</v>
      </c>
      <c r="R2525">
        <v>4</v>
      </c>
      <c r="S2525">
        <v>12999</v>
      </c>
      <c r="T2525">
        <v>0.2</v>
      </c>
      <c r="U2525">
        <v>0</v>
      </c>
      <c r="V2525">
        <v>0</v>
      </c>
      <c r="W2525">
        <v>0</v>
      </c>
      <c r="X2525" t="s">
        <v>73</v>
      </c>
      <c r="Y2525" t="s">
        <v>71</v>
      </c>
      <c r="Z2525" t="s">
        <v>159</v>
      </c>
      <c r="AA2525" t="s">
        <v>166</v>
      </c>
      <c r="AB2525">
        <v>3.3</v>
      </c>
      <c r="AC2525">
        <v>40</v>
      </c>
      <c r="AD2525">
        <v>2800.08</v>
      </c>
      <c r="AE2525">
        <f t="shared" si="78"/>
        <v>-2840.08</v>
      </c>
      <c r="AF2525" t="str">
        <f t="shared" si="79"/>
        <v>2025-11</v>
      </c>
      <c r="AG2525">
        <f>SUBTOTAL(103,A2525)</f>
        <v>1</v>
      </c>
    </row>
    <row r="2526" spans="1:33" x14ac:dyDescent="0.3">
      <c r="A2526" t="s">
        <v>5148</v>
      </c>
      <c r="B2526" s="13">
        <v>45981</v>
      </c>
      <c r="C2526">
        <v>2025</v>
      </c>
      <c r="D2526">
        <v>11</v>
      </c>
      <c r="E2526" t="s">
        <v>5007</v>
      </c>
      <c r="F2526" t="s">
        <v>4780</v>
      </c>
      <c r="G2526" t="s">
        <v>653</v>
      </c>
      <c r="H2526" t="s">
        <v>654</v>
      </c>
      <c r="I2526" t="s">
        <v>85</v>
      </c>
      <c r="J2526">
        <v>32</v>
      </c>
      <c r="K2526" t="s">
        <v>81</v>
      </c>
      <c r="L2526" t="s">
        <v>2605</v>
      </c>
      <c r="M2526" t="s">
        <v>60</v>
      </c>
      <c r="N2526" t="s">
        <v>2601</v>
      </c>
      <c r="O2526" t="s">
        <v>117</v>
      </c>
      <c r="P2526" t="s">
        <v>49</v>
      </c>
      <c r="Q2526" t="s">
        <v>139</v>
      </c>
      <c r="R2526">
        <v>2</v>
      </c>
      <c r="S2526">
        <v>6999</v>
      </c>
      <c r="T2526">
        <v>0.2</v>
      </c>
      <c r="U2526">
        <v>11198.4</v>
      </c>
      <c r="V2526">
        <v>8600</v>
      </c>
      <c r="W2526">
        <v>2598.4</v>
      </c>
      <c r="X2526" t="s">
        <v>74</v>
      </c>
      <c r="Y2526" t="s">
        <v>68</v>
      </c>
      <c r="Z2526" t="s">
        <v>159</v>
      </c>
      <c r="AA2526" t="s">
        <v>166</v>
      </c>
      <c r="AB2526">
        <v>3.6</v>
      </c>
      <c r="AC2526">
        <v>80</v>
      </c>
      <c r="AD2526">
        <v>1343.45</v>
      </c>
      <c r="AE2526">
        <f t="shared" si="78"/>
        <v>1174.95</v>
      </c>
      <c r="AF2526" t="str">
        <f t="shared" si="79"/>
        <v>2025-11</v>
      </c>
      <c r="AG2526">
        <f>SUBTOTAL(103,A2526)</f>
        <v>1</v>
      </c>
    </row>
    <row r="2527" spans="1:33" x14ac:dyDescent="0.3">
      <c r="A2527" t="s">
        <v>5149</v>
      </c>
      <c r="B2527" s="13">
        <v>45981</v>
      </c>
      <c r="C2527">
        <v>2025</v>
      </c>
      <c r="D2527">
        <v>11</v>
      </c>
      <c r="E2527" t="s">
        <v>5007</v>
      </c>
      <c r="F2527" t="s">
        <v>4780</v>
      </c>
      <c r="G2527" t="s">
        <v>665</v>
      </c>
      <c r="H2527" t="s">
        <v>666</v>
      </c>
      <c r="I2527" t="s">
        <v>86</v>
      </c>
      <c r="J2527">
        <v>27</v>
      </c>
      <c r="K2527" t="s">
        <v>81</v>
      </c>
      <c r="L2527" t="s">
        <v>2634</v>
      </c>
      <c r="M2527" t="s">
        <v>56</v>
      </c>
      <c r="N2527" t="s">
        <v>2653</v>
      </c>
      <c r="O2527" t="s">
        <v>132</v>
      </c>
      <c r="P2527" t="s">
        <v>52</v>
      </c>
      <c r="Q2527" t="s">
        <v>150</v>
      </c>
      <c r="R2527">
        <v>4</v>
      </c>
      <c r="S2527">
        <v>899</v>
      </c>
      <c r="T2527">
        <v>0.1</v>
      </c>
      <c r="U2527">
        <v>3236.4</v>
      </c>
      <c r="V2527">
        <v>1680</v>
      </c>
      <c r="W2527">
        <v>1556.4</v>
      </c>
      <c r="X2527" t="s">
        <v>73</v>
      </c>
      <c r="Y2527" t="s">
        <v>68</v>
      </c>
      <c r="Z2527" t="s">
        <v>163</v>
      </c>
      <c r="AA2527" t="s">
        <v>166</v>
      </c>
      <c r="AB2527">
        <v>3.8</v>
      </c>
      <c r="AC2527">
        <v>100</v>
      </c>
      <c r="AD2527">
        <v>87.03</v>
      </c>
      <c r="AE2527">
        <f t="shared" si="78"/>
        <v>1369.3700000000001</v>
      </c>
      <c r="AF2527" t="str">
        <f t="shared" si="79"/>
        <v>2025-11</v>
      </c>
      <c r="AG2527">
        <f>SUBTOTAL(103,A2527)</f>
        <v>1</v>
      </c>
    </row>
    <row r="2528" spans="1:33" x14ac:dyDescent="0.3">
      <c r="A2528" t="s">
        <v>5150</v>
      </c>
      <c r="B2528" s="13">
        <v>45981</v>
      </c>
      <c r="C2528">
        <v>2025</v>
      </c>
      <c r="D2528">
        <v>11</v>
      </c>
      <c r="E2528" t="s">
        <v>5007</v>
      </c>
      <c r="F2528" t="s">
        <v>4780</v>
      </c>
      <c r="G2528" t="s">
        <v>461</v>
      </c>
      <c r="H2528" t="s">
        <v>462</v>
      </c>
      <c r="I2528" t="s">
        <v>85</v>
      </c>
      <c r="J2528">
        <v>56</v>
      </c>
      <c r="K2528" t="s">
        <v>83</v>
      </c>
      <c r="L2528" t="s">
        <v>99</v>
      </c>
      <c r="M2528" t="s">
        <v>58</v>
      </c>
      <c r="N2528" t="s">
        <v>2596</v>
      </c>
      <c r="O2528" t="s">
        <v>124</v>
      </c>
      <c r="P2528" t="s">
        <v>51</v>
      </c>
      <c r="Q2528" t="s">
        <v>147</v>
      </c>
      <c r="R2528">
        <v>1</v>
      </c>
      <c r="S2528">
        <v>2299</v>
      </c>
      <c r="T2528">
        <v>0</v>
      </c>
      <c r="U2528">
        <v>2299</v>
      </c>
      <c r="V2528">
        <v>1200</v>
      </c>
      <c r="W2528">
        <v>1099</v>
      </c>
      <c r="X2528" t="s">
        <v>73</v>
      </c>
      <c r="Y2528" t="s">
        <v>70</v>
      </c>
      <c r="Z2528" t="s">
        <v>158</v>
      </c>
      <c r="AA2528" t="s">
        <v>166</v>
      </c>
      <c r="AB2528">
        <v>4.7</v>
      </c>
      <c r="AC2528">
        <v>120</v>
      </c>
      <c r="AD2528">
        <v>180.4</v>
      </c>
      <c r="AE2528">
        <f t="shared" si="78"/>
        <v>798.6</v>
      </c>
      <c r="AF2528" t="str">
        <f t="shared" si="79"/>
        <v>2025-11</v>
      </c>
      <c r="AG2528">
        <f>SUBTOTAL(103,A2528)</f>
        <v>1</v>
      </c>
    </row>
    <row r="2529" spans="1:33" x14ac:dyDescent="0.3">
      <c r="A2529" t="s">
        <v>5151</v>
      </c>
      <c r="B2529" s="13">
        <v>45982</v>
      </c>
      <c r="C2529">
        <v>2025</v>
      </c>
      <c r="D2529">
        <v>11</v>
      </c>
      <c r="E2529" t="s">
        <v>5007</v>
      </c>
      <c r="F2529" t="s">
        <v>4780</v>
      </c>
      <c r="G2529" t="s">
        <v>2105</v>
      </c>
      <c r="H2529" t="s">
        <v>2106</v>
      </c>
      <c r="I2529" t="s">
        <v>85</v>
      </c>
      <c r="J2529">
        <v>46</v>
      </c>
      <c r="K2529" t="s">
        <v>83</v>
      </c>
      <c r="L2529" t="s">
        <v>94</v>
      </c>
      <c r="M2529" t="s">
        <v>57</v>
      </c>
      <c r="N2529" t="s">
        <v>2590</v>
      </c>
      <c r="O2529" t="s">
        <v>127</v>
      </c>
      <c r="P2529" t="s">
        <v>51</v>
      </c>
      <c r="Q2529" t="s">
        <v>148</v>
      </c>
      <c r="R2529">
        <v>1</v>
      </c>
      <c r="S2529">
        <v>1599</v>
      </c>
      <c r="T2529">
        <v>0.1</v>
      </c>
      <c r="U2529">
        <v>1439.1</v>
      </c>
      <c r="V2529">
        <v>800</v>
      </c>
      <c r="W2529">
        <v>639.1</v>
      </c>
      <c r="X2529" t="s">
        <v>74</v>
      </c>
      <c r="Y2529" t="s">
        <v>68</v>
      </c>
      <c r="Z2529" t="s">
        <v>162</v>
      </c>
      <c r="AA2529" t="s">
        <v>170</v>
      </c>
      <c r="AB2529">
        <v>4.7</v>
      </c>
      <c r="AC2529">
        <v>50</v>
      </c>
      <c r="AD2529">
        <v>121.48</v>
      </c>
      <c r="AE2529">
        <f t="shared" si="78"/>
        <v>467.62</v>
      </c>
      <c r="AF2529" t="str">
        <f t="shared" si="79"/>
        <v>2025-11</v>
      </c>
      <c r="AG2529">
        <f>SUBTOTAL(103,A2529)</f>
        <v>1</v>
      </c>
    </row>
    <row r="2530" spans="1:33" x14ac:dyDescent="0.3">
      <c r="A2530" t="s">
        <v>5152</v>
      </c>
      <c r="B2530" s="13">
        <v>45982</v>
      </c>
      <c r="C2530">
        <v>2025</v>
      </c>
      <c r="D2530">
        <v>11</v>
      </c>
      <c r="E2530" t="s">
        <v>5007</v>
      </c>
      <c r="F2530" t="s">
        <v>4780</v>
      </c>
      <c r="G2530" t="s">
        <v>1677</v>
      </c>
      <c r="H2530" t="s">
        <v>1678</v>
      </c>
      <c r="I2530" t="s">
        <v>85</v>
      </c>
      <c r="J2530">
        <v>20</v>
      </c>
      <c r="K2530" t="s">
        <v>80</v>
      </c>
      <c r="L2530" t="s">
        <v>2605</v>
      </c>
      <c r="M2530" t="s">
        <v>60</v>
      </c>
      <c r="N2530" t="s">
        <v>2577</v>
      </c>
      <c r="O2530" t="s">
        <v>129</v>
      </c>
      <c r="P2530" t="s">
        <v>49</v>
      </c>
      <c r="Q2530" t="s">
        <v>149</v>
      </c>
      <c r="R2530">
        <v>2</v>
      </c>
      <c r="S2530">
        <v>1299</v>
      </c>
      <c r="T2530">
        <v>0</v>
      </c>
      <c r="U2530">
        <v>2598</v>
      </c>
      <c r="V2530">
        <v>1300</v>
      </c>
      <c r="W2530">
        <v>1298</v>
      </c>
      <c r="X2530" t="s">
        <v>74</v>
      </c>
      <c r="Y2530" t="s">
        <v>68</v>
      </c>
      <c r="Z2530" t="s">
        <v>158</v>
      </c>
      <c r="AA2530" t="s">
        <v>166</v>
      </c>
      <c r="AB2530">
        <v>3.8</v>
      </c>
      <c r="AC2530">
        <v>80</v>
      </c>
      <c r="AD2530">
        <v>122.71</v>
      </c>
      <c r="AE2530">
        <f t="shared" si="78"/>
        <v>1095.29</v>
      </c>
      <c r="AF2530" t="str">
        <f t="shared" si="79"/>
        <v>2025-11</v>
      </c>
      <c r="AG2530">
        <f>SUBTOTAL(103,A2530)</f>
        <v>1</v>
      </c>
    </row>
    <row r="2531" spans="1:33" x14ac:dyDescent="0.3">
      <c r="A2531" t="s">
        <v>5153</v>
      </c>
      <c r="B2531" s="13">
        <v>45982</v>
      </c>
      <c r="C2531">
        <v>2025</v>
      </c>
      <c r="D2531">
        <v>11</v>
      </c>
      <c r="E2531" t="s">
        <v>5007</v>
      </c>
      <c r="F2531" t="s">
        <v>4780</v>
      </c>
      <c r="G2531" t="s">
        <v>1657</v>
      </c>
      <c r="H2531" t="s">
        <v>1658</v>
      </c>
      <c r="I2531" t="s">
        <v>85</v>
      </c>
      <c r="J2531">
        <v>38</v>
      </c>
      <c r="K2531" t="s">
        <v>82</v>
      </c>
      <c r="L2531" t="s">
        <v>2674</v>
      </c>
      <c r="M2531" t="s">
        <v>58</v>
      </c>
      <c r="N2531" t="s">
        <v>2577</v>
      </c>
      <c r="O2531" t="s">
        <v>129</v>
      </c>
      <c r="P2531" t="s">
        <v>49</v>
      </c>
      <c r="Q2531" t="s">
        <v>149</v>
      </c>
      <c r="R2531">
        <v>1</v>
      </c>
      <c r="S2531">
        <v>1299</v>
      </c>
      <c r="T2531">
        <v>0.1</v>
      </c>
      <c r="U2531">
        <v>1169.0999999999999</v>
      </c>
      <c r="V2531">
        <v>650</v>
      </c>
      <c r="W2531">
        <v>519.1</v>
      </c>
      <c r="X2531" t="s">
        <v>76</v>
      </c>
      <c r="Y2531" t="s">
        <v>68</v>
      </c>
      <c r="Z2531" t="s">
        <v>161</v>
      </c>
      <c r="AA2531" t="s">
        <v>168</v>
      </c>
      <c r="AB2531">
        <v>4.3</v>
      </c>
      <c r="AC2531">
        <v>80</v>
      </c>
      <c r="AD2531">
        <v>82.27</v>
      </c>
      <c r="AE2531">
        <f t="shared" si="78"/>
        <v>356.83000000000004</v>
      </c>
      <c r="AF2531" t="str">
        <f t="shared" si="79"/>
        <v>2025-11</v>
      </c>
      <c r="AG2531">
        <f>SUBTOTAL(103,A2531)</f>
        <v>1</v>
      </c>
    </row>
    <row r="2532" spans="1:33" x14ac:dyDescent="0.3">
      <c r="A2532" t="s">
        <v>5154</v>
      </c>
      <c r="B2532" s="13">
        <v>45982</v>
      </c>
      <c r="C2532">
        <v>2025</v>
      </c>
      <c r="D2532">
        <v>11</v>
      </c>
      <c r="E2532" t="s">
        <v>5007</v>
      </c>
      <c r="F2532" t="s">
        <v>4780</v>
      </c>
      <c r="G2532" t="s">
        <v>2387</v>
      </c>
      <c r="H2532" t="s">
        <v>2388</v>
      </c>
      <c r="I2532" t="s">
        <v>85</v>
      </c>
      <c r="J2532">
        <v>31</v>
      </c>
      <c r="K2532" t="s">
        <v>81</v>
      </c>
      <c r="L2532" t="s">
        <v>2579</v>
      </c>
      <c r="M2532" t="s">
        <v>56</v>
      </c>
      <c r="N2532" t="s">
        <v>2657</v>
      </c>
      <c r="O2532" t="s">
        <v>134</v>
      </c>
      <c r="P2532" t="s">
        <v>49</v>
      </c>
      <c r="Q2532" t="s">
        <v>140</v>
      </c>
      <c r="R2532">
        <v>3</v>
      </c>
      <c r="S2532">
        <v>599</v>
      </c>
      <c r="T2532">
        <v>0.15</v>
      </c>
      <c r="U2532">
        <v>1527.45</v>
      </c>
      <c r="V2532">
        <v>750</v>
      </c>
      <c r="W2532">
        <v>777.45</v>
      </c>
      <c r="X2532" t="s">
        <v>75</v>
      </c>
      <c r="Y2532" t="s">
        <v>68</v>
      </c>
      <c r="Z2532" t="s">
        <v>159</v>
      </c>
      <c r="AA2532" t="s">
        <v>169</v>
      </c>
      <c r="AB2532">
        <v>4.7</v>
      </c>
      <c r="AC2532">
        <v>50</v>
      </c>
      <c r="AD2532">
        <v>52.15</v>
      </c>
      <c r="AE2532">
        <f t="shared" si="78"/>
        <v>675.30000000000007</v>
      </c>
      <c r="AF2532" t="str">
        <f t="shared" si="79"/>
        <v>2025-11</v>
      </c>
      <c r="AG2532">
        <f>SUBTOTAL(103,A2532)</f>
        <v>1</v>
      </c>
    </row>
    <row r="2533" spans="1:33" x14ac:dyDescent="0.3">
      <c r="A2533" t="s">
        <v>5155</v>
      </c>
      <c r="B2533" s="13">
        <v>45982</v>
      </c>
      <c r="C2533">
        <v>2025</v>
      </c>
      <c r="D2533">
        <v>11</v>
      </c>
      <c r="E2533" t="s">
        <v>5007</v>
      </c>
      <c r="F2533" t="s">
        <v>4780</v>
      </c>
      <c r="G2533" t="s">
        <v>887</v>
      </c>
      <c r="H2533" t="s">
        <v>888</v>
      </c>
      <c r="I2533" t="s">
        <v>85</v>
      </c>
      <c r="J2533">
        <v>26</v>
      </c>
      <c r="K2533" t="s">
        <v>81</v>
      </c>
      <c r="L2533" t="s">
        <v>100</v>
      </c>
      <c r="M2533" t="s">
        <v>56</v>
      </c>
      <c r="N2533" t="s">
        <v>2653</v>
      </c>
      <c r="O2533" t="s">
        <v>132</v>
      </c>
      <c r="P2533" t="s">
        <v>52</v>
      </c>
      <c r="Q2533" t="s">
        <v>150</v>
      </c>
      <c r="R2533">
        <v>4</v>
      </c>
      <c r="S2533">
        <v>899</v>
      </c>
      <c r="T2533">
        <v>0</v>
      </c>
      <c r="U2533">
        <v>3596</v>
      </c>
      <c r="V2533">
        <v>1680</v>
      </c>
      <c r="W2533">
        <v>1916</v>
      </c>
      <c r="X2533" t="s">
        <v>73</v>
      </c>
      <c r="Y2533" t="s">
        <v>70</v>
      </c>
      <c r="Z2533" t="s">
        <v>159</v>
      </c>
      <c r="AA2533" t="s">
        <v>166</v>
      </c>
      <c r="AB2533">
        <v>4.2</v>
      </c>
      <c r="AC2533">
        <v>60</v>
      </c>
      <c r="AD2533">
        <v>335.74</v>
      </c>
      <c r="AE2533">
        <f t="shared" si="78"/>
        <v>1520.26</v>
      </c>
      <c r="AF2533" t="str">
        <f t="shared" si="79"/>
        <v>2025-11</v>
      </c>
      <c r="AG2533">
        <f>SUBTOTAL(103,A2533)</f>
        <v>1</v>
      </c>
    </row>
    <row r="2534" spans="1:33" x14ac:dyDescent="0.3">
      <c r="A2534" t="s">
        <v>5156</v>
      </c>
      <c r="B2534" s="13">
        <v>45982</v>
      </c>
      <c r="C2534">
        <v>2025</v>
      </c>
      <c r="D2534">
        <v>11</v>
      </c>
      <c r="E2534" t="s">
        <v>5007</v>
      </c>
      <c r="F2534" t="s">
        <v>4780</v>
      </c>
      <c r="G2534" t="s">
        <v>1357</v>
      </c>
      <c r="H2534" t="s">
        <v>1358</v>
      </c>
      <c r="I2534" t="s">
        <v>85</v>
      </c>
      <c r="J2534">
        <v>41</v>
      </c>
      <c r="K2534" t="s">
        <v>82</v>
      </c>
      <c r="L2534" t="s">
        <v>2634</v>
      </c>
      <c r="M2534" t="s">
        <v>56</v>
      </c>
      <c r="N2534" t="s">
        <v>2630</v>
      </c>
      <c r="O2534" t="s">
        <v>123</v>
      </c>
      <c r="P2534" t="s">
        <v>52</v>
      </c>
      <c r="Q2534" t="s">
        <v>146</v>
      </c>
      <c r="R2534">
        <v>2</v>
      </c>
      <c r="S2534">
        <v>2499</v>
      </c>
      <c r="T2534">
        <v>0</v>
      </c>
      <c r="U2534">
        <v>4998</v>
      </c>
      <c r="V2534">
        <v>2800</v>
      </c>
      <c r="W2534">
        <v>2198</v>
      </c>
      <c r="X2534" t="s">
        <v>73</v>
      </c>
      <c r="Y2534" t="s">
        <v>68</v>
      </c>
      <c r="Z2534" t="s">
        <v>162</v>
      </c>
      <c r="AA2534" t="s">
        <v>170</v>
      </c>
      <c r="AB2534">
        <v>2.9</v>
      </c>
      <c r="AC2534">
        <v>100</v>
      </c>
      <c r="AD2534">
        <v>420.47</v>
      </c>
      <c r="AE2534">
        <f t="shared" si="78"/>
        <v>1677.53</v>
      </c>
      <c r="AF2534" t="str">
        <f t="shared" si="79"/>
        <v>2025-11</v>
      </c>
      <c r="AG2534">
        <f>SUBTOTAL(103,A2534)</f>
        <v>1</v>
      </c>
    </row>
    <row r="2535" spans="1:33" x14ac:dyDescent="0.3">
      <c r="A2535" t="s">
        <v>5157</v>
      </c>
      <c r="B2535" s="13">
        <v>45982</v>
      </c>
      <c r="C2535">
        <v>2025</v>
      </c>
      <c r="D2535">
        <v>11</v>
      </c>
      <c r="E2535" t="s">
        <v>5007</v>
      </c>
      <c r="F2535" t="s">
        <v>4780</v>
      </c>
      <c r="G2535" t="s">
        <v>365</v>
      </c>
      <c r="H2535" t="s">
        <v>366</v>
      </c>
      <c r="I2535" t="s">
        <v>86</v>
      </c>
      <c r="J2535">
        <v>22</v>
      </c>
      <c r="K2535" t="s">
        <v>80</v>
      </c>
      <c r="L2535" t="s">
        <v>91</v>
      </c>
      <c r="M2535" t="s">
        <v>55</v>
      </c>
      <c r="N2535" t="s">
        <v>2644</v>
      </c>
      <c r="O2535" t="s">
        <v>126</v>
      </c>
      <c r="P2535" t="s">
        <v>50</v>
      </c>
      <c r="Q2535" t="s">
        <v>145</v>
      </c>
      <c r="R2535">
        <v>1</v>
      </c>
      <c r="S2535">
        <v>1799</v>
      </c>
      <c r="T2535">
        <v>0.05</v>
      </c>
      <c r="U2535">
        <v>1709.05</v>
      </c>
      <c r="V2535">
        <v>950</v>
      </c>
      <c r="W2535">
        <v>759.05</v>
      </c>
      <c r="X2535" t="s">
        <v>73</v>
      </c>
      <c r="Y2535" t="s">
        <v>68</v>
      </c>
      <c r="Z2535" t="s">
        <v>158</v>
      </c>
      <c r="AA2535" t="s">
        <v>167</v>
      </c>
      <c r="AB2535">
        <v>4.4000000000000004</v>
      </c>
      <c r="AC2535">
        <v>50</v>
      </c>
      <c r="AD2535">
        <v>108.35</v>
      </c>
      <c r="AE2535">
        <f t="shared" si="78"/>
        <v>600.69999999999993</v>
      </c>
      <c r="AF2535" t="str">
        <f t="shared" si="79"/>
        <v>2025-11</v>
      </c>
      <c r="AG2535">
        <f>SUBTOTAL(103,A2535)</f>
        <v>1</v>
      </c>
    </row>
    <row r="2536" spans="1:33" x14ac:dyDescent="0.3">
      <c r="A2536" t="s">
        <v>5158</v>
      </c>
      <c r="B2536" s="13">
        <v>45982</v>
      </c>
      <c r="C2536">
        <v>2025</v>
      </c>
      <c r="D2536">
        <v>11</v>
      </c>
      <c r="E2536" t="s">
        <v>5007</v>
      </c>
      <c r="F2536" t="s">
        <v>4780</v>
      </c>
      <c r="G2536" t="s">
        <v>593</v>
      </c>
      <c r="H2536" t="s">
        <v>594</v>
      </c>
      <c r="I2536" t="s">
        <v>86</v>
      </c>
      <c r="J2536">
        <v>36</v>
      </c>
      <c r="K2536" t="s">
        <v>82</v>
      </c>
      <c r="L2536" t="s">
        <v>93</v>
      </c>
      <c r="M2536" t="s">
        <v>55</v>
      </c>
      <c r="N2536" t="s">
        <v>2630</v>
      </c>
      <c r="O2536" t="s">
        <v>123</v>
      </c>
      <c r="P2536" t="s">
        <v>52</v>
      </c>
      <c r="Q2536" t="s">
        <v>146</v>
      </c>
      <c r="R2536">
        <v>1</v>
      </c>
      <c r="S2536">
        <v>2499</v>
      </c>
      <c r="T2536">
        <v>0.05</v>
      </c>
      <c r="U2536">
        <v>2374.0500000000002</v>
      </c>
      <c r="V2536">
        <v>1400</v>
      </c>
      <c r="W2536">
        <v>974.05</v>
      </c>
      <c r="X2536" t="s">
        <v>76</v>
      </c>
      <c r="Y2536" t="s">
        <v>68</v>
      </c>
      <c r="Z2536" t="s">
        <v>158</v>
      </c>
      <c r="AA2536" t="s">
        <v>167</v>
      </c>
      <c r="AB2536">
        <v>4.5</v>
      </c>
      <c r="AC2536">
        <v>50</v>
      </c>
      <c r="AD2536">
        <v>251.87</v>
      </c>
      <c r="AE2536">
        <f t="shared" si="78"/>
        <v>672.18</v>
      </c>
      <c r="AF2536" t="str">
        <f t="shared" si="79"/>
        <v>2025-11</v>
      </c>
      <c r="AG2536">
        <f>SUBTOTAL(103,A2536)</f>
        <v>1</v>
      </c>
    </row>
    <row r="2537" spans="1:33" x14ac:dyDescent="0.3">
      <c r="A2537" t="s">
        <v>5159</v>
      </c>
      <c r="B2537" s="13">
        <v>45982</v>
      </c>
      <c r="C2537">
        <v>2025</v>
      </c>
      <c r="D2537">
        <v>11</v>
      </c>
      <c r="E2537" t="s">
        <v>5007</v>
      </c>
      <c r="F2537" t="s">
        <v>4780</v>
      </c>
      <c r="G2537" t="s">
        <v>1287</v>
      </c>
      <c r="H2537" t="s">
        <v>1288</v>
      </c>
      <c r="I2537" t="s">
        <v>86</v>
      </c>
      <c r="J2537">
        <v>19</v>
      </c>
      <c r="K2537" t="s">
        <v>80</v>
      </c>
      <c r="L2537" t="s">
        <v>94</v>
      </c>
      <c r="M2537" t="s">
        <v>57</v>
      </c>
      <c r="N2537" t="s">
        <v>2577</v>
      </c>
      <c r="O2537" t="s">
        <v>129</v>
      </c>
      <c r="P2537" t="s">
        <v>49</v>
      </c>
      <c r="Q2537" t="s">
        <v>149</v>
      </c>
      <c r="R2537">
        <v>4</v>
      </c>
      <c r="S2537">
        <v>1299</v>
      </c>
      <c r="T2537">
        <v>0.2</v>
      </c>
      <c r="U2537">
        <v>4156.8</v>
      </c>
      <c r="V2537">
        <v>2600</v>
      </c>
      <c r="W2537">
        <v>1556.8</v>
      </c>
      <c r="X2537" t="s">
        <v>74</v>
      </c>
      <c r="Y2537" t="s">
        <v>68</v>
      </c>
      <c r="Z2537" t="s">
        <v>159</v>
      </c>
      <c r="AA2537" t="s">
        <v>167</v>
      </c>
      <c r="AB2537">
        <v>5</v>
      </c>
      <c r="AC2537">
        <v>50</v>
      </c>
      <c r="AD2537">
        <v>97.87</v>
      </c>
      <c r="AE2537">
        <f t="shared" si="78"/>
        <v>1408.9299999999998</v>
      </c>
      <c r="AF2537" t="str">
        <f t="shared" si="79"/>
        <v>2025-11</v>
      </c>
      <c r="AG2537">
        <f>SUBTOTAL(103,A2537)</f>
        <v>1</v>
      </c>
    </row>
    <row r="2538" spans="1:33" x14ac:dyDescent="0.3">
      <c r="A2538" t="s">
        <v>5160</v>
      </c>
      <c r="B2538" s="13">
        <v>45982</v>
      </c>
      <c r="C2538">
        <v>2025</v>
      </c>
      <c r="D2538">
        <v>11</v>
      </c>
      <c r="E2538" t="s">
        <v>5007</v>
      </c>
      <c r="F2538" t="s">
        <v>4780</v>
      </c>
      <c r="G2538" t="s">
        <v>1489</v>
      </c>
      <c r="H2538" t="s">
        <v>1490</v>
      </c>
      <c r="I2538" t="s">
        <v>86</v>
      </c>
      <c r="J2538">
        <v>27</v>
      </c>
      <c r="K2538" t="s">
        <v>81</v>
      </c>
      <c r="L2538" t="s">
        <v>90</v>
      </c>
      <c r="M2538" t="s">
        <v>55</v>
      </c>
      <c r="N2538" t="s">
        <v>2582</v>
      </c>
      <c r="O2538" t="s">
        <v>119</v>
      </c>
      <c r="P2538" t="s">
        <v>49</v>
      </c>
      <c r="Q2538" t="s">
        <v>140</v>
      </c>
      <c r="R2538">
        <v>2</v>
      </c>
      <c r="S2538">
        <v>3499</v>
      </c>
      <c r="T2538">
        <v>0.15</v>
      </c>
      <c r="U2538">
        <v>5948.3</v>
      </c>
      <c r="V2538">
        <v>4200</v>
      </c>
      <c r="W2538">
        <v>1748.3</v>
      </c>
      <c r="X2538" t="s">
        <v>73</v>
      </c>
      <c r="Y2538" t="s">
        <v>68</v>
      </c>
      <c r="Z2538" t="s">
        <v>160</v>
      </c>
      <c r="AA2538" t="s">
        <v>169</v>
      </c>
      <c r="AB2538">
        <v>2.9</v>
      </c>
      <c r="AC2538">
        <v>40</v>
      </c>
      <c r="AD2538">
        <v>376.26</v>
      </c>
      <c r="AE2538">
        <f t="shared" si="78"/>
        <v>1332.04</v>
      </c>
      <c r="AF2538" t="str">
        <f t="shared" si="79"/>
        <v>2025-11</v>
      </c>
      <c r="AG2538">
        <f>SUBTOTAL(103,A2538)</f>
        <v>1</v>
      </c>
    </row>
    <row r="2539" spans="1:33" x14ac:dyDescent="0.3">
      <c r="A2539" t="s">
        <v>5161</v>
      </c>
      <c r="B2539" s="13">
        <v>45982</v>
      </c>
      <c r="C2539">
        <v>2025</v>
      </c>
      <c r="D2539">
        <v>11</v>
      </c>
      <c r="E2539" t="s">
        <v>5007</v>
      </c>
      <c r="F2539" t="s">
        <v>4780</v>
      </c>
      <c r="G2539" t="s">
        <v>2235</v>
      </c>
      <c r="H2539" t="s">
        <v>2236</v>
      </c>
      <c r="I2539" t="s">
        <v>86</v>
      </c>
      <c r="J2539">
        <v>29</v>
      </c>
      <c r="K2539" t="s">
        <v>81</v>
      </c>
      <c r="L2539" t="s">
        <v>2634</v>
      </c>
      <c r="M2539" t="s">
        <v>56</v>
      </c>
      <c r="N2539" t="s">
        <v>2653</v>
      </c>
      <c r="O2539" t="s">
        <v>132</v>
      </c>
      <c r="P2539" t="s">
        <v>52</v>
      </c>
      <c r="Q2539" t="s">
        <v>150</v>
      </c>
      <c r="R2539">
        <v>2</v>
      </c>
      <c r="S2539">
        <v>899</v>
      </c>
      <c r="T2539">
        <v>0</v>
      </c>
      <c r="U2539">
        <v>1798</v>
      </c>
      <c r="V2539">
        <v>840</v>
      </c>
      <c r="W2539">
        <v>958</v>
      </c>
      <c r="X2539" t="s">
        <v>74</v>
      </c>
      <c r="Y2539" t="s">
        <v>68</v>
      </c>
      <c r="Z2539" t="s">
        <v>161</v>
      </c>
      <c r="AA2539" t="s">
        <v>166</v>
      </c>
      <c r="AB2539">
        <v>4.5999999999999996</v>
      </c>
      <c r="AC2539">
        <v>50</v>
      </c>
      <c r="AD2539">
        <v>136.97999999999999</v>
      </c>
      <c r="AE2539">
        <f t="shared" si="78"/>
        <v>771.02</v>
      </c>
      <c r="AF2539" t="str">
        <f t="shared" si="79"/>
        <v>2025-11</v>
      </c>
      <c r="AG2539">
        <f>SUBTOTAL(103,A2539)</f>
        <v>1</v>
      </c>
    </row>
    <row r="2540" spans="1:33" x14ac:dyDescent="0.3">
      <c r="A2540" t="s">
        <v>5162</v>
      </c>
      <c r="B2540" s="13">
        <v>45982</v>
      </c>
      <c r="C2540">
        <v>2025</v>
      </c>
      <c r="D2540">
        <v>11</v>
      </c>
      <c r="E2540" t="s">
        <v>5007</v>
      </c>
      <c r="F2540" t="s">
        <v>4780</v>
      </c>
      <c r="G2540" t="s">
        <v>253</v>
      </c>
      <c r="H2540" t="s">
        <v>254</v>
      </c>
      <c r="I2540" t="s">
        <v>86</v>
      </c>
      <c r="J2540">
        <v>42</v>
      </c>
      <c r="K2540" t="s">
        <v>82</v>
      </c>
      <c r="L2540" t="s">
        <v>2661</v>
      </c>
      <c r="M2540" t="s">
        <v>58</v>
      </c>
      <c r="N2540" t="s">
        <v>2590</v>
      </c>
      <c r="O2540" t="s">
        <v>127</v>
      </c>
      <c r="P2540" t="s">
        <v>51</v>
      </c>
      <c r="Q2540" t="s">
        <v>148</v>
      </c>
      <c r="R2540">
        <v>4</v>
      </c>
      <c r="S2540">
        <v>1599</v>
      </c>
      <c r="T2540">
        <v>0.05</v>
      </c>
      <c r="U2540">
        <v>0</v>
      </c>
      <c r="V2540">
        <v>0</v>
      </c>
      <c r="W2540">
        <v>0</v>
      </c>
      <c r="X2540" t="s">
        <v>75</v>
      </c>
      <c r="Y2540" t="s">
        <v>71</v>
      </c>
      <c r="Z2540" t="s">
        <v>158</v>
      </c>
      <c r="AA2540" t="s">
        <v>166</v>
      </c>
      <c r="AB2540">
        <v>4</v>
      </c>
      <c r="AC2540">
        <v>80</v>
      </c>
      <c r="AD2540">
        <v>372.6</v>
      </c>
      <c r="AE2540">
        <f t="shared" si="78"/>
        <v>-452.6</v>
      </c>
      <c r="AF2540" t="str">
        <f t="shared" si="79"/>
        <v>2025-11</v>
      </c>
      <c r="AG2540">
        <f>SUBTOTAL(103,A2540)</f>
        <v>1</v>
      </c>
    </row>
    <row r="2541" spans="1:33" x14ac:dyDescent="0.3">
      <c r="A2541" t="s">
        <v>5163</v>
      </c>
      <c r="B2541" s="13">
        <v>45983</v>
      </c>
      <c r="C2541">
        <v>2025</v>
      </c>
      <c r="D2541">
        <v>11</v>
      </c>
      <c r="E2541" t="s">
        <v>5007</v>
      </c>
      <c r="F2541" t="s">
        <v>4780</v>
      </c>
      <c r="G2541" t="s">
        <v>1647</v>
      </c>
      <c r="H2541" t="s">
        <v>1648</v>
      </c>
      <c r="I2541" t="s">
        <v>86</v>
      </c>
      <c r="J2541">
        <v>21</v>
      </c>
      <c r="K2541" t="s">
        <v>80</v>
      </c>
      <c r="L2541" t="s">
        <v>2637</v>
      </c>
      <c r="M2541" t="s">
        <v>64</v>
      </c>
      <c r="N2541" t="s">
        <v>2596</v>
      </c>
      <c r="O2541" t="s">
        <v>124</v>
      </c>
      <c r="P2541" t="s">
        <v>51</v>
      </c>
      <c r="Q2541" t="s">
        <v>147</v>
      </c>
      <c r="R2541">
        <v>1</v>
      </c>
      <c r="S2541">
        <v>2299</v>
      </c>
      <c r="T2541">
        <v>0.1</v>
      </c>
      <c r="U2541">
        <v>2069.1</v>
      </c>
      <c r="V2541">
        <v>1200</v>
      </c>
      <c r="W2541">
        <v>869.1</v>
      </c>
      <c r="X2541" t="s">
        <v>77</v>
      </c>
      <c r="Y2541" t="s">
        <v>68</v>
      </c>
      <c r="Z2541" t="s">
        <v>159</v>
      </c>
      <c r="AA2541" t="s">
        <v>166</v>
      </c>
      <c r="AB2541">
        <v>4.5999999999999996</v>
      </c>
      <c r="AC2541">
        <v>80</v>
      </c>
      <c r="AD2541">
        <v>106.5</v>
      </c>
      <c r="AE2541">
        <f t="shared" si="78"/>
        <v>682.6</v>
      </c>
      <c r="AF2541" t="str">
        <f t="shared" si="79"/>
        <v>2025-11</v>
      </c>
      <c r="AG2541">
        <f>SUBTOTAL(103,A2541)</f>
        <v>1</v>
      </c>
    </row>
    <row r="2542" spans="1:33" x14ac:dyDescent="0.3">
      <c r="A2542" t="s">
        <v>5164</v>
      </c>
      <c r="B2542" s="13">
        <v>45983</v>
      </c>
      <c r="C2542">
        <v>2025</v>
      </c>
      <c r="D2542">
        <v>11</v>
      </c>
      <c r="E2542" t="s">
        <v>5007</v>
      </c>
      <c r="F2542" t="s">
        <v>4780</v>
      </c>
      <c r="G2542" t="s">
        <v>1107</v>
      </c>
      <c r="H2542" t="s">
        <v>1108</v>
      </c>
      <c r="I2542" t="s">
        <v>85</v>
      </c>
      <c r="J2542">
        <v>54</v>
      </c>
      <c r="K2542" t="s">
        <v>83</v>
      </c>
      <c r="L2542" t="s">
        <v>2661</v>
      </c>
      <c r="M2542" t="s">
        <v>58</v>
      </c>
      <c r="N2542" t="s">
        <v>2582</v>
      </c>
      <c r="O2542" t="s">
        <v>119</v>
      </c>
      <c r="P2542" t="s">
        <v>49</v>
      </c>
      <c r="Q2542" t="s">
        <v>140</v>
      </c>
      <c r="R2542">
        <v>2</v>
      </c>
      <c r="S2542">
        <v>3499</v>
      </c>
      <c r="T2542">
        <v>0.15</v>
      </c>
      <c r="U2542">
        <v>5948.3</v>
      </c>
      <c r="V2542">
        <v>4200</v>
      </c>
      <c r="W2542">
        <v>1748.3</v>
      </c>
      <c r="X2542" t="s">
        <v>73</v>
      </c>
      <c r="Y2542" t="s">
        <v>68</v>
      </c>
      <c r="Z2542" t="s">
        <v>158</v>
      </c>
      <c r="AA2542" t="s">
        <v>166</v>
      </c>
      <c r="AB2542">
        <v>4.0999999999999996</v>
      </c>
      <c r="AC2542">
        <v>60</v>
      </c>
      <c r="AD2542">
        <v>353.94</v>
      </c>
      <c r="AE2542">
        <f t="shared" si="78"/>
        <v>1334.36</v>
      </c>
      <c r="AF2542" t="str">
        <f t="shared" si="79"/>
        <v>2025-11</v>
      </c>
      <c r="AG2542">
        <f>SUBTOTAL(103,A2542)</f>
        <v>1</v>
      </c>
    </row>
    <row r="2543" spans="1:33" x14ac:dyDescent="0.3">
      <c r="A2543" t="s">
        <v>5165</v>
      </c>
      <c r="B2543" s="13">
        <v>45983</v>
      </c>
      <c r="C2543">
        <v>2025</v>
      </c>
      <c r="D2543">
        <v>11</v>
      </c>
      <c r="E2543" t="s">
        <v>5007</v>
      </c>
      <c r="F2543" t="s">
        <v>4780</v>
      </c>
      <c r="G2543" t="s">
        <v>2027</v>
      </c>
      <c r="H2543" t="s">
        <v>2028</v>
      </c>
      <c r="I2543" t="s">
        <v>87</v>
      </c>
      <c r="J2543">
        <v>20</v>
      </c>
      <c r="K2543" t="s">
        <v>80</v>
      </c>
      <c r="L2543" t="s">
        <v>2589</v>
      </c>
      <c r="M2543" t="s">
        <v>61</v>
      </c>
      <c r="N2543" t="s">
        <v>2644</v>
      </c>
      <c r="O2543" t="s">
        <v>126</v>
      </c>
      <c r="P2543" t="s">
        <v>50</v>
      </c>
      <c r="Q2543" t="s">
        <v>145</v>
      </c>
      <c r="R2543">
        <v>1</v>
      </c>
      <c r="S2543">
        <v>1799</v>
      </c>
      <c r="T2543">
        <v>0.05</v>
      </c>
      <c r="U2543">
        <v>1709.05</v>
      </c>
      <c r="V2543">
        <v>950</v>
      </c>
      <c r="W2543">
        <v>759.05</v>
      </c>
      <c r="X2543" t="s">
        <v>77</v>
      </c>
      <c r="Y2543" t="s">
        <v>68</v>
      </c>
      <c r="Z2543" t="s">
        <v>158</v>
      </c>
      <c r="AA2543" t="s">
        <v>166</v>
      </c>
      <c r="AB2543">
        <v>4.4000000000000004</v>
      </c>
      <c r="AC2543">
        <v>80</v>
      </c>
      <c r="AD2543">
        <v>197.38</v>
      </c>
      <c r="AE2543">
        <f t="shared" si="78"/>
        <v>481.66999999999996</v>
      </c>
      <c r="AF2543" t="str">
        <f t="shared" si="79"/>
        <v>2025-11</v>
      </c>
      <c r="AG2543">
        <f>SUBTOTAL(103,A2543)</f>
        <v>1</v>
      </c>
    </row>
    <row r="2544" spans="1:33" x14ac:dyDescent="0.3">
      <c r="A2544" t="s">
        <v>5166</v>
      </c>
      <c r="B2544" s="13">
        <v>45983</v>
      </c>
      <c r="C2544">
        <v>2025</v>
      </c>
      <c r="D2544">
        <v>11</v>
      </c>
      <c r="E2544" t="s">
        <v>5007</v>
      </c>
      <c r="F2544" t="s">
        <v>4780</v>
      </c>
      <c r="G2544" t="s">
        <v>891</v>
      </c>
      <c r="H2544" t="s">
        <v>892</v>
      </c>
      <c r="I2544" t="s">
        <v>85</v>
      </c>
      <c r="J2544">
        <v>49</v>
      </c>
      <c r="K2544" t="s">
        <v>83</v>
      </c>
      <c r="L2544" t="s">
        <v>2690</v>
      </c>
      <c r="M2544" t="s">
        <v>63</v>
      </c>
      <c r="N2544" t="s">
        <v>2592</v>
      </c>
      <c r="O2544" t="s">
        <v>115</v>
      </c>
      <c r="P2544" t="s">
        <v>48</v>
      </c>
      <c r="Q2544" t="s">
        <v>137</v>
      </c>
      <c r="R2544">
        <v>1</v>
      </c>
      <c r="S2544">
        <v>12999</v>
      </c>
      <c r="T2544">
        <v>0.05</v>
      </c>
      <c r="U2544">
        <v>12349.05</v>
      </c>
      <c r="V2544">
        <v>9000</v>
      </c>
      <c r="W2544">
        <v>3349.05</v>
      </c>
      <c r="X2544" t="s">
        <v>77</v>
      </c>
      <c r="Y2544" t="s">
        <v>68</v>
      </c>
      <c r="Z2544" t="s">
        <v>158</v>
      </c>
      <c r="AA2544" t="s">
        <v>166</v>
      </c>
      <c r="AB2544">
        <v>4.2</v>
      </c>
      <c r="AC2544">
        <v>80</v>
      </c>
      <c r="AD2544">
        <v>542.27</v>
      </c>
      <c r="AE2544">
        <f t="shared" si="78"/>
        <v>2726.78</v>
      </c>
      <c r="AF2544" t="str">
        <f t="shared" si="79"/>
        <v>2025-11</v>
      </c>
      <c r="AG2544">
        <f>SUBTOTAL(103,A2544)</f>
        <v>1</v>
      </c>
    </row>
    <row r="2545" spans="1:33" x14ac:dyDescent="0.3">
      <c r="A2545" t="s">
        <v>5167</v>
      </c>
      <c r="B2545" s="13">
        <v>45983</v>
      </c>
      <c r="C2545">
        <v>2025</v>
      </c>
      <c r="D2545">
        <v>11</v>
      </c>
      <c r="E2545" t="s">
        <v>5007</v>
      </c>
      <c r="F2545" t="s">
        <v>4780</v>
      </c>
      <c r="G2545" t="s">
        <v>405</v>
      </c>
      <c r="H2545" t="s">
        <v>406</v>
      </c>
      <c r="I2545" t="s">
        <v>86</v>
      </c>
      <c r="J2545">
        <v>55</v>
      </c>
      <c r="K2545" t="s">
        <v>83</v>
      </c>
      <c r="L2545" t="s">
        <v>2646</v>
      </c>
      <c r="M2545" t="s">
        <v>63</v>
      </c>
      <c r="N2545" t="s">
        <v>2657</v>
      </c>
      <c r="O2545" t="s">
        <v>134</v>
      </c>
      <c r="P2545" t="s">
        <v>49</v>
      </c>
      <c r="Q2545" t="s">
        <v>140</v>
      </c>
      <c r="R2545">
        <v>1</v>
      </c>
      <c r="S2545">
        <v>599</v>
      </c>
      <c r="T2545">
        <v>0.1</v>
      </c>
      <c r="U2545">
        <v>539.1</v>
      </c>
      <c r="V2545">
        <v>250</v>
      </c>
      <c r="W2545">
        <v>289.10000000000002</v>
      </c>
      <c r="X2545" t="s">
        <v>76</v>
      </c>
      <c r="Y2545" t="s">
        <v>68</v>
      </c>
      <c r="Z2545" t="s">
        <v>162</v>
      </c>
      <c r="AA2545" t="s">
        <v>168</v>
      </c>
      <c r="AB2545">
        <v>4.7</v>
      </c>
      <c r="AC2545">
        <v>60</v>
      </c>
      <c r="AD2545">
        <v>57.88</v>
      </c>
      <c r="AE2545">
        <f t="shared" si="78"/>
        <v>171.22000000000003</v>
      </c>
      <c r="AF2545" t="str">
        <f t="shared" si="79"/>
        <v>2025-11</v>
      </c>
      <c r="AG2545">
        <f>SUBTOTAL(103,A2545)</f>
        <v>1</v>
      </c>
    </row>
    <row r="2546" spans="1:33" x14ac:dyDescent="0.3">
      <c r="A2546" t="s">
        <v>5168</v>
      </c>
      <c r="B2546" s="13">
        <v>45983</v>
      </c>
      <c r="C2546">
        <v>2025</v>
      </c>
      <c r="D2546">
        <v>11</v>
      </c>
      <c r="E2546" t="s">
        <v>5007</v>
      </c>
      <c r="F2546" t="s">
        <v>4780</v>
      </c>
      <c r="G2546" t="s">
        <v>251</v>
      </c>
      <c r="H2546" t="s">
        <v>252</v>
      </c>
      <c r="I2546" t="s">
        <v>85</v>
      </c>
      <c r="J2546">
        <v>53</v>
      </c>
      <c r="K2546" t="s">
        <v>83</v>
      </c>
      <c r="L2546" t="s">
        <v>94</v>
      </c>
      <c r="M2546" t="s">
        <v>57</v>
      </c>
      <c r="N2546" t="s">
        <v>2587</v>
      </c>
      <c r="O2546" t="s">
        <v>116</v>
      </c>
      <c r="P2546" t="s">
        <v>48</v>
      </c>
      <c r="Q2546" t="s">
        <v>138</v>
      </c>
      <c r="R2546">
        <v>3</v>
      </c>
      <c r="S2546">
        <v>14999</v>
      </c>
      <c r="T2546">
        <v>0.05</v>
      </c>
      <c r="U2546">
        <v>42747.15</v>
      </c>
      <c r="V2546">
        <v>33600</v>
      </c>
      <c r="W2546">
        <v>9147.15</v>
      </c>
      <c r="X2546" t="s">
        <v>76</v>
      </c>
      <c r="Y2546" t="s">
        <v>68</v>
      </c>
      <c r="Z2546" t="s">
        <v>163</v>
      </c>
      <c r="AA2546" t="s">
        <v>170</v>
      </c>
      <c r="AB2546">
        <v>4.9000000000000004</v>
      </c>
      <c r="AC2546">
        <v>60</v>
      </c>
      <c r="AD2546">
        <v>2325.35</v>
      </c>
      <c r="AE2546">
        <f t="shared" si="78"/>
        <v>6761.7999999999993</v>
      </c>
      <c r="AF2546" t="str">
        <f t="shared" si="79"/>
        <v>2025-11</v>
      </c>
      <c r="AG2546">
        <f>SUBTOTAL(103,A2546)</f>
        <v>1</v>
      </c>
    </row>
    <row r="2547" spans="1:33" x14ac:dyDescent="0.3">
      <c r="A2547" t="s">
        <v>5169</v>
      </c>
      <c r="B2547" s="13">
        <v>45983</v>
      </c>
      <c r="C2547">
        <v>2025</v>
      </c>
      <c r="D2547">
        <v>11</v>
      </c>
      <c r="E2547" t="s">
        <v>5007</v>
      </c>
      <c r="F2547" t="s">
        <v>4780</v>
      </c>
      <c r="G2547" t="s">
        <v>1767</v>
      </c>
      <c r="H2547" t="s">
        <v>1768</v>
      </c>
      <c r="I2547" t="s">
        <v>86</v>
      </c>
      <c r="J2547">
        <v>36</v>
      </c>
      <c r="K2547" t="s">
        <v>82</v>
      </c>
      <c r="L2547" t="s">
        <v>2573</v>
      </c>
      <c r="M2547" t="s">
        <v>63</v>
      </c>
      <c r="N2547" t="s">
        <v>2601</v>
      </c>
      <c r="O2547" t="s">
        <v>117</v>
      </c>
      <c r="P2547" t="s">
        <v>49</v>
      </c>
      <c r="Q2547" t="s">
        <v>139</v>
      </c>
      <c r="R2547">
        <v>1</v>
      </c>
      <c r="S2547">
        <v>6999</v>
      </c>
      <c r="T2547">
        <v>0.05</v>
      </c>
      <c r="U2547">
        <v>6649.05</v>
      </c>
      <c r="V2547">
        <v>4300</v>
      </c>
      <c r="W2547">
        <v>2349.0500000000002</v>
      </c>
      <c r="X2547" t="s">
        <v>76</v>
      </c>
      <c r="Y2547" t="s">
        <v>68</v>
      </c>
      <c r="Z2547" t="s">
        <v>158</v>
      </c>
      <c r="AA2547" t="s">
        <v>168</v>
      </c>
      <c r="AB2547">
        <v>3.3</v>
      </c>
      <c r="AC2547">
        <v>80</v>
      </c>
      <c r="AD2547">
        <v>463.2</v>
      </c>
      <c r="AE2547">
        <f t="shared" si="78"/>
        <v>1805.8500000000001</v>
      </c>
      <c r="AF2547" t="str">
        <f t="shared" si="79"/>
        <v>2025-11</v>
      </c>
      <c r="AG2547">
        <f>SUBTOTAL(103,A2547)</f>
        <v>1</v>
      </c>
    </row>
    <row r="2548" spans="1:33" x14ac:dyDescent="0.3">
      <c r="A2548" t="s">
        <v>5170</v>
      </c>
      <c r="B2548" s="13">
        <v>45983</v>
      </c>
      <c r="C2548">
        <v>2025</v>
      </c>
      <c r="D2548">
        <v>11</v>
      </c>
      <c r="E2548" t="s">
        <v>5007</v>
      </c>
      <c r="F2548" t="s">
        <v>4780</v>
      </c>
      <c r="G2548" t="s">
        <v>821</v>
      </c>
      <c r="H2548" t="s">
        <v>822</v>
      </c>
      <c r="I2548" t="s">
        <v>86</v>
      </c>
      <c r="J2548">
        <v>60</v>
      </c>
      <c r="K2548" t="s">
        <v>83</v>
      </c>
      <c r="L2548" t="s">
        <v>100</v>
      </c>
      <c r="M2548" t="s">
        <v>56</v>
      </c>
      <c r="N2548" t="s">
        <v>2657</v>
      </c>
      <c r="O2548" t="s">
        <v>134</v>
      </c>
      <c r="P2548" t="s">
        <v>49</v>
      </c>
      <c r="Q2548" t="s">
        <v>140</v>
      </c>
      <c r="R2548">
        <v>2</v>
      </c>
      <c r="S2548">
        <v>599</v>
      </c>
      <c r="T2548">
        <v>0</v>
      </c>
      <c r="U2548">
        <v>1198</v>
      </c>
      <c r="V2548">
        <v>500</v>
      </c>
      <c r="W2548">
        <v>698</v>
      </c>
      <c r="X2548" t="s">
        <v>73</v>
      </c>
      <c r="Y2548" t="s">
        <v>68</v>
      </c>
      <c r="Z2548" t="s">
        <v>161</v>
      </c>
      <c r="AA2548" t="s">
        <v>169</v>
      </c>
      <c r="AB2548">
        <v>3.9</v>
      </c>
      <c r="AC2548">
        <v>80</v>
      </c>
      <c r="AD2548">
        <v>82.95</v>
      </c>
      <c r="AE2548">
        <f t="shared" si="78"/>
        <v>535.04999999999995</v>
      </c>
      <c r="AF2548" t="str">
        <f t="shared" si="79"/>
        <v>2025-11</v>
      </c>
      <c r="AG2548">
        <f>SUBTOTAL(103,A2548)</f>
        <v>1</v>
      </c>
    </row>
    <row r="2549" spans="1:33" x14ac:dyDescent="0.3">
      <c r="A2549" t="s">
        <v>5171</v>
      </c>
      <c r="B2549" s="13">
        <v>45983</v>
      </c>
      <c r="C2549">
        <v>2025</v>
      </c>
      <c r="D2549">
        <v>11</v>
      </c>
      <c r="E2549" t="s">
        <v>5007</v>
      </c>
      <c r="F2549" t="s">
        <v>4780</v>
      </c>
      <c r="G2549" t="s">
        <v>229</v>
      </c>
      <c r="H2549" t="s">
        <v>230</v>
      </c>
      <c r="I2549" t="s">
        <v>86</v>
      </c>
      <c r="J2549">
        <v>21</v>
      </c>
      <c r="K2549" t="s">
        <v>80</v>
      </c>
      <c r="L2549" t="s">
        <v>98</v>
      </c>
      <c r="M2549" t="s">
        <v>55</v>
      </c>
      <c r="N2549" t="s">
        <v>2626</v>
      </c>
      <c r="O2549" t="s">
        <v>125</v>
      </c>
      <c r="P2549" t="s">
        <v>48</v>
      </c>
      <c r="Q2549" t="s">
        <v>141</v>
      </c>
      <c r="R2549">
        <v>1</v>
      </c>
      <c r="S2549">
        <v>1999</v>
      </c>
      <c r="T2549">
        <v>0</v>
      </c>
      <c r="U2549">
        <v>1999</v>
      </c>
      <c r="V2549">
        <v>1150</v>
      </c>
      <c r="W2549">
        <v>849</v>
      </c>
      <c r="X2549" t="s">
        <v>74</v>
      </c>
      <c r="Y2549" t="s">
        <v>68</v>
      </c>
      <c r="Z2549" t="s">
        <v>159</v>
      </c>
      <c r="AA2549" t="s">
        <v>166</v>
      </c>
      <c r="AB2549">
        <v>3.6</v>
      </c>
      <c r="AC2549">
        <v>80</v>
      </c>
      <c r="AD2549">
        <v>73.17</v>
      </c>
      <c r="AE2549">
        <f t="shared" si="78"/>
        <v>695.83</v>
      </c>
      <c r="AF2549" t="str">
        <f t="shared" si="79"/>
        <v>2025-11</v>
      </c>
      <c r="AG2549">
        <f>SUBTOTAL(103,A2549)</f>
        <v>1</v>
      </c>
    </row>
    <row r="2550" spans="1:33" x14ac:dyDescent="0.3">
      <c r="A2550" t="s">
        <v>5172</v>
      </c>
      <c r="B2550" s="13">
        <v>45983</v>
      </c>
      <c r="C2550">
        <v>2025</v>
      </c>
      <c r="D2550">
        <v>11</v>
      </c>
      <c r="E2550" t="s">
        <v>5007</v>
      </c>
      <c r="F2550" t="s">
        <v>4780</v>
      </c>
      <c r="G2550" t="s">
        <v>905</v>
      </c>
      <c r="H2550" t="s">
        <v>906</v>
      </c>
      <c r="I2550" t="s">
        <v>85</v>
      </c>
      <c r="J2550">
        <v>40</v>
      </c>
      <c r="K2550" t="s">
        <v>82</v>
      </c>
      <c r="L2550" t="s">
        <v>2616</v>
      </c>
      <c r="M2550" t="s">
        <v>62</v>
      </c>
      <c r="N2550" t="s">
        <v>2590</v>
      </c>
      <c r="O2550" t="s">
        <v>127</v>
      </c>
      <c r="P2550" t="s">
        <v>51</v>
      </c>
      <c r="Q2550" t="s">
        <v>148</v>
      </c>
      <c r="R2550">
        <v>4</v>
      </c>
      <c r="S2550">
        <v>1599</v>
      </c>
      <c r="T2550">
        <v>0</v>
      </c>
      <c r="U2550">
        <v>6396</v>
      </c>
      <c r="V2550">
        <v>3200</v>
      </c>
      <c r="W2550">
        <v>3196</v>
      </c>
      <c r="X2550" t="s">
        <v>73</v>
      </c>
      <c r="Y2550" t="s">
        <v>68</v>
      </c>
      <c r="Z2550" t="s">
        <v>161</v>
      </c>
      <c r="AA2550" t="s">
        <v>171</v>
      </c>
      <c r="AB2550">
        <v>3.8</v>
      </c>
      <c r="AC2550">
        <v>50</v>
      </c>
      <c r="AD2550">
        <v>594.66999999999996</v>
      </c>
      <c r="AE2550">
        <f t="shared" si="78"/>
        <v>2551.33</v>
      </c>
      <c r="AF2550" t="str">
        <f t="shared" si="79"/>
        <v>2025-11</v>
      </c>
      <c r="AG2550">
        <f>SUBTOTAL(103,A2550)</f>
        <v>1</v>
      </c>
    </row>
    <row r="2551" spans="1:33" x14ac:dyDescent="0.3">
      <c r="A2551" t="s">
        <v>5173</v>
      </c>
      <c r="B2551" s="13">
        <v>45983</v>
      </c>
      <c r="C2551">
        <v>2025</v>
      </c>
      <c r="D2551">
        <v>11</v>
      </c>
      <c r="E2551" t="s">
        <v>5007</v>
      </c>
      <c r="F2551" t="s">
        <v>4780</v>
      </c>
      <c r="G2551" t="s">
        <v>2543</v>
      </c>
      <c r="H2551" t="s">
        <v>2544</v>
      </c>
      <c r="I2551" t="s">
        <v>86</v>
      </c>
      <c r="J2551">
        <v>30</v>
      </c>
      <c r="K2551" t="s">
        <v>81</v>
      </c>
      <c r="L2551" t="s">
        <v>2623</v>
      </c>
      <c r="M2551" t="s">
        <v>61</v>
      </c>
      <c r="N2551" t="s">
        <v>2644</v>
      </c>
      <c r="O2551" t="s">
        <v>126</v>
      </c>
      <c r="P2551" t="s">
        <v>50</v>
      </c>
      <c r="Q2551" t="s">
        <v>145</v>
      </c>
      <c r="R2551">
        <v>3</v>
      </c>
      <c r="S2551">
        <v>1799</v>
      </c>
      <c r="T2551">
        <v>0.15</v>
      </c>
      <c r="U2551">
        <v>0</v>
      </c>
      <c r="V2551">
        <v>0</v>
      </c>
      <c r="W2551">
        <v>0</v>
      </c>
      <c r="X2551" t="s">
        <v>73</v>
      </c>
      <c r="Y2551" t="s">
        <v>71</v>
      </c>
      <c r="Z2551" t="s">
        <v>158</v>
      </c>
      <c r="AA2551" t="s">
        <v>166</v>
      </c>
      <c r="AB2551">
        <v>4.0999999999999996</v>
      </c>
      <c r="AC2551">
        <v>60</v>
      </c>
      <c r="AD2551">
        <v>538.66999999999996</v>
      </c>
      <c r="AE2551">
        <f t="shared" si="78"/>
        <v>-598.66999999999996</v>
      </c>
      <c r="AF2551" t="str">
        <f t="shared" si="79"/>
        <v>2025-11</v>
      </c>
      <c r="AG2551">
        <f>SUBTOTAL(103,A2551)</f>
        <v>1</v>
      </c>
    </row>
    <row r="2552" spans="1:33" x14ac:dyDescent="0.3">
      <c r="A2552" t="s">
        <v>5174</v>
      </c>
      <c r="B2552" s="13">
        <v>45983</v>
      </c>
      <c r="C2552">
        <v>2025</v>
      </c>
      <c r="D2552">
        <v>11</v>
      </c>
      <c r="E2552" t="s">
        <v>5007</v>
      </c>
      <c r="F2552" t="s">
        <v>4780</v>
      </c>
      <c r="G2552" t="s">
        <v>1407</v>
      </c>
      <c r="H2552" t="s">
        <v>1408</v>
      </c>
      <c r="I2552" t="s">
        <v>85</v>
      </c>
      <c r="J2552">
        <v>43</v>
      </c>
      <c r="K2552" t="s">
        <v>82</v>
      </c>
      <c r="L2552" t="s">
        <v>2674</v>
      </c>
      <c r="M2552" t="s">
        <v>58</v>
      </c>
      <c r="N2552" t="s">
        <v>2584</v>
      </c>
      <c r="O2552" t="s">
        <v>121</v>
      </c>
      <c r="P2552" t="s">
        <v>50</v>
      </c>
      <c r="Q2552" t="s">
        <v>144</v>
      </c>
      <c r="R2552">
        <v>2</v>
      </c>
      <c r="S2552">
        <v>2999</v>
      </c>
      <c r="T2552">
        <v>0</v>
      </c>
      <c r="U2552">
        <v>5998</v>
      </c>
      <c r="V2552">
        <v>3400</v>
      </c>
      <c r="W2552">
        <v>2598</v>
      </c>
      <c r="X2552" t="s">
        <v>73</v>
      </c>
      <c r="Y2552" t="s">
        <v>68</v>
      </c>
      <c r="Z2552" t="s">
        <v>159</v>
      </c>
      <c r="AA2552" t="s">
        <v>169</v>
      </c>
      <c r="AB2552">
        <v>3.9</v>
      </c>
      <c r="AC2552">
        <v>60</v>
      </c>
      <c r="AD2552">
        <v>372.52</v>
      </c>
      <c r="AE2552">
        <f t="shared" si="78"/>
        <v>2165.48</v>
      </c>
      <c r="AF2552" t="str">
        <f t="shared" si="79"/>
        <v>2025-11</v>
      </c>
      <c r="AG2552">
        <f>SUBTOTAL(103,A2552)</f>
        <v>1</v>
      </c>
    </row>
    <row r="2553" spans="1:33" x14ac:dyDescent="0.3">
      <c r="A2553" t="s">
        <v>5175</v>
      </c>
      <c r="B2553" s="13">
        <v>45984</v>
      </c>
      <c r="C2553">
        <v>2025</v>
      </c>
      <c r="D2553">
        <v>11</v>
      </c>
      <c r="E2553" t="s">
        <v>5007</v>
      </c>
      <c r="F2553" t="s">
        <v>4780</v>
      </c>
      <c r="G2553" t="s">
        <v>785</v>
      </c>
      <c r="H2553" t="s">
        <v>786</v>
      </c>
      <c r="I2553" t="s">
        <v>85</v>
      </c>
      <c r="J2553">
        <v>51</v>
      </c>
      <c r="K2553" t="s">
        <v>83</v>
      </c>
      <c r="L2553" t="s">
        <v>98</v>
      </c>
      <c r="M2553" t="s">
        <v>55</v>
      </c>
      <c r="N2553" t="s">
        <v>2584</v>
      </c>
      <c r="O2553" t="s">
        <v>121</v>
      </c>
      <c r="P2553" t="s">
        <v>50</v>
      </c>
      <c r="Q2553" t="s">
        <v>144</v>
      </c>
      <c r="R2553">
        <v>5</v>
      </c>
      <c r="S2553">
        <v>2999</v>
      </c>
      <c r="T2553">
        <v>0.2</v>
      </c>
      <c r="U2553">
        <v>11996</v>
      </c>
      <c r="V2553">
        <v>8500</v>
      </c>
      <c r="W2553">
        <v>3496</v>
      </c>
      <c r="X2553" t="s">
        <v>76</v>
      </c>
      <c r="Y2553" t="s">
        <v>68</v>
      </c>
      <c r="Z2553" t="s">
        <v>161</v>
      </c>
      <c r="AA2553" t="s">
        <v>167</v>
      </c>
      <c r="AB2553">
        <v>4.5</v>
      </c>
      <c r="AC2553">
        <v>60</v>
      </c>
      <c r="AD2553">
        <v>1320.97</v>
      </c>
      <c r="AE2553">
        <f t="shared" si="78"/>
        <v>2115.0299999999997</v>
      </c>
      <c r="AF2553" t="str">
        <f t="shared" si="79"/>
        <v>2025-11</v>
      </c>
      <c r="AG2553">
        <f>SUBTOTAL(103,A2553)</f>
        <v>1</v>
      </c>
    </row>
    <row r="2554" spans="1:33" x14ac:dyDescent="0.3">
      <c r="A2554" t="s">
        <v>5176</v>
      </c>
      <c r="B2554" s="13">
        <v>45984</v>
      </c>
      <c r="C2554">
        <v>2025</v>
      </c>
      <c r="D2554">
        <v>11</v>
      </c>
      <c r="E2554" t="s">
        <v>5007</v>
      </c>
      <c r="F2554" t="s">
        <v>4780</v>
      </c>
      <c r="G2554" t="s">
        <v>1825</v>
      </c>
      <c r="H2554" t="s">
        <v>1826</v>
      </c>
      <c r="I2554" t="s">
        <v>85</v>
      </c>
      <c r="J2554">
        <v>49</v>
      </c>
      <c r="K2554" t="s">
        <v>83</v>
      </c>
      <c r="L2554" t="s">
        <v>98</v>
      </c>
      <c r="M2554" t="s">
        <v>55</v>
      </c>
      <c r="N2554" t="s">
        <v>2665</v>
      </c>
      <c r="O2554" t="s">
        <v>128</v>
      </c>
      <c r="P2554" t="s">
        <v>53</v>
      </c>
      <c r="Q2554" t="s">
        <v>143</v>
      </c>
      <c r="R2554">
        <v>2</v>
      </c>
      <c r="S2554">
        <v>1499</v>
      </c>
      <c r="T2554">
        <v>0.15</v>
      </c>
      <c r="U2554">
        <v>2548.3000000000002</v>
      </c>
      <c r="V2554">
        <v>1600</v>
      </c>
      <c r="W2554">
        <v>948.3</v>
      </c>
      <c r="X2554" t="s">
        <v>76</v>
      </c>
      <c r="Y2554" t="s">
        <v>68</v>
      </c>
      <c r="Z2554" t="s">
        <v>159</v>
      </c>
      <c r="AA2554" t="s">
        <v>166</v>
      </c>
      <c r="AB2554">
        <v>4.5</v>
      </c>
      <c r="AC2554">
        <v>80</v>
      </c>
      <c r="AD2554">
        <v>252.6</v>
      </c>
      <c r="AE2554">
        <f t="shared" si="78"/>
        <v>615.69999999999993</v>
      </c>
      <c r="AF2554" t="str">
        <f t="shared" si="79"/>
        <v>2025-11</v>
      </c>
      <c r="AG2554">
        <f>SUBTOTAL(103,A2554)</f>
        <v>1</v>
      </c>
    </row>
    <row r="2555" spans="1:33" x14ac:dyDescent="0.3">
      <c r="A2555" t="s">
        <v>5177</v>
      </c>
      <c r="B2555" s="13">
        <v>45984</v>
      </c>
      <c r="C2555">
        <v>2025</v>
      </c>
      <c r="D2555">
        <v>11</v>
      </c>
      <c r="E2555" t="s">
        <v>5007</v>
      </c>
      <c r="F2555" t="s">
        <v>4780</v>
      </c>
      <c r="G2555" t="s">
        <v>1299</v>
      </c>
      <c r="H2555" t="s">
        <v>1300</v>
      </c>
      <c r="I2555" t="s">
        <v>86</v>
      </c>
      <c r="J2555">
        <v>20</v>
      </c>
      <c r="K2555" t="s">
        <v>80</v>
      </c>
      <c r="L2555" t="s">
        <v>2687</v>
      </c>
      <c r="M2555" t="s">
        <v>57</v>
      </c>
      <c r="N2555" t="s">
        <v>2580</v>
      </c>
      <c r="O2555" t="s">
        <v>118</v>
      </c>
      <c r="P2555" t="s">
        <v>48</v>
      </c>
      <c r="Q2555" t="s">
        <v>142</v>
      </c>
      <c r="R2555">
        <v>2</v>
      </c>
      <c r="S2555">
        <v>3999</v>
      </c>
      <c r="T2555">
        <v>0.1</v>
      </c>
      <c r="U2555">
        <v>7198.2</v>
      </c>
      <c r="V2555">
        <v>4800</v>
      </c>
      <c r="W2555">
        <v>2398.1999999999998</v>
      </c>
      <c r="X2555" t="s">
        <v>73</v>
      </c>
      <c r="Y2555" t="s">
        <v>68</v>
      </c>
      <c r="Z2555" t="s">
        <v>159</v>
      </c>
      <c r="AA2555" t="s">
        <v>168</v>
      </c>
      <c r="AB2555">
        <v>3.8</v>
      </c>
      <c r="AC2555">
        <v>50</v>
      </c>
      <c r="AD2555">
        <v>823.61</v>
      </c>
      <c r="AE2555">
        <f t="shared" si="78"/>
        <v>1524.5899999999997</v>
      </c>
      <c r="AF2555" t="str">
        <f t="shared" si="79"/>
        <v>2025-11</v>
      </c>
      <c r="AG2555">
        <f>SUBTOTAL(103,A2555)</f>
        <v>1</v>
      </c>
    </row>
    <row r="2556" spans="1:33" x14ac:dyDescent="0.3">
      <c r="A2556" t="s">
        <v>5178</v>
      </c>
      <c r="B2556" s="13">
        <v>45984</v>
      </c>
      <c r="C2556">
        <v>2025</v>
      </c>
      <c r="D2556">
        <v>11</v>
      </c>
      <c r="E2556" t="s">
        <v>5007</v>
      </c>
      <c r="F2556" t="s">
        <v>4780</v>
      </c>
      <c r="G2556" t="s">
        <v>1731</v>
      </c>
      <c r="H2556" t="s">
        <v>1732</v>
      </c>
      <c r="I2556" t="s">
        <v>86</v>
      </c>
      <c r="J2556">
        <v>25</v>
      </c>
      <c r="K2556" t="s">
        <v>80</v>
      </c>
      <c r="L2556" t="s">
        <v>94</v>
      </c>
      <c r="M2556" t="s">
        <v>57</v>
      </c>
      <c r="N2556" t="s">
        <v>2594</v>
      </c>
      <c r="O2556" t="s">
        <v>131</v>
      </c>
      <c r="P2556" t="s">
        <v>53</v>
      </c>
      <c r="Q2556" t="s">
        <v>143</v>
      </c>
      <c r="R2556">
        <v>1</v>
      </c>
      <c r="S2556">
        <v>999</v>
      </c>
      <c r="T2556">
        <v>0.15</v>
      </c>
      <c r="U2556">
        <v>849.15</v>
      </c>
      <c r="V2556">
        <v>520</v>
      </c>
      <c r="W2556">
        <v>329.15</v>
      </c>
      <c r="X2556" t="s">
        <v>76</v>
      </c>
      <c r="Y2556" t="s">
        <v>68</v>
      </c>
      <c r="Z2556" t="s">
        <v>159</v>
      </c>
      <c r="AA2556" t="s">
        <v>171</v>
      </c>
      <c r="AB2556">
        <v>3.9</v>
      </c>
      <c r="AC2556">
        <v>80</v>
      </c>
      <c r="AD2556">
        <v>53.82</v>
      </c>
      <c r="AE2556">
        <f t="shared" si="78"/>
        <v>195.32999999999998</v>
      </c>
      <c r="AF2556" t="str">
        <f t="shared" si="79"/>
        <v>2025-11</v>
      </c>
      <c r="AG2556">
        <f>SUBTOTAL(103,A2556)</f>
        <v>1</v>
      </c>
    </row>
    <row r="2557" spans="1:33" x14ac:dyDescent="0.3">
      <c r="A2557" t="s">
        <v>5179</v>
      </c>
      <c r="B2557" s="13">
        <v>45984</v>
      </c>
      <c r="C2557">
        <v>2025</v>
      </c>
      <c r="D2557">
        <v>11</v>
      </c>
      <c r="E2557" t="s">
        <v>5007</v>
      </c>
      <c r="F2557" t="s">
        <v>4780</v>
      </c>
      <c r="G2557" t="s">
        <v>611</v>
      </c>
      <c r="H2557" t="s">
        <v>612</v>
      </c>
      <c r="I2557" t="s">
        <v>85</v>
      </c>
      <c r="J2557">
        <v>20</v>
      </c>
      <c r="K2557" t="s">
        <v>80</v>
      </c>
      <c r="L2557" t="s">
        <v>2623</v>
      </c>
      <c r="M2557" t="s">
        <v>61</v>
      </c>
      <c r="N2557" t="s">
        <v>2601</v>
      </c>
      <c r="O2557" t="s">
        <v>117</v>
      </c>
      <c r="P2557" t="s">
        <v>49</v>
      </c>
      <c r="Q2557" t="s">
        <v>139</v>
      </c>
      <c r="R2557">
        <v>2</v>
      </c>
      <c r="S2557">
        <v>6999</v>
      </c>
      <c r="T2557">
        <v>0</v>
      </c>
      <c r="U2557">
        <v>13998</v>
      </c>
      <c r="V2557">
        <v>8600</v>
      </c>
      <c r="W2557">
        <v>5398</v>
      </c>
      <c r="X2557" t="s">
        <v>73</v>
      </c>
      <c r="Y2557" t="s">
        <v>68</v>
      </c>
      <c r="Z2557" t="s">
        <v>160</v>
      </c>
      <c r="AA2557" t="s">
        <v>167</v>
      </c>
      <c r="AB2557">
        <v>4.0999999999999996</v>
      </c>
      <c r="AC2557">
        <v>50</v>
      </c>
      <c r="AD2557">
        <v>1113.26</v>
      </c>
      <c r="AE2557">
        <f t="shared" si="78"/>
        <v>4234.74</v>
      </c>
      <c r="AF2557" t="str">
        <f t="shared" si="79"/>
        <v>2025-11</v>
      </c>
      <c r="AG2557">
        <f>SUBTOTAL(103,A2557)</f>
        <v>1</v>
      </c>
    </row>
    <row r="2558" spans="1:33" x14ac:dyDescent="0.3">
      <c r="A2558" t="s">
        <v>5180</v>
      </c>
      <c r="B2558" s="13">
        <v>45984</v>
      </c>
      <c r="C2558">
        <v>2025</v>
      </c>
      <c r="D2558">
        <v>11</v>
      </c>
      <c r="E2558" t="s">
        <v>5007</v>
      </c>
      <c r="F2558" t="s">
        <v>4780</v>
      </c>
      <c r="G2558" t="s">
        <v>1695</v>
      </c>
      <c r="H2558" t="s">
        <v>1696</v>
      </c>
      <c r="I2558" t="s">
        <v>86</v>
      </c>
      <c r="J2558">
        <v>52</v>
      </c>
      <c r="K2558" t="s">
        <v>83</v>
      </c>
      <c r="L2558" t="s">
        <v>2599</v>
      </c>
      <c r="M2558" t="s">
        <v>62</v>
      </c>
      <c r="N2558" t="s">
        <v>2601</v>
      </c>
      <c r="O2558" t="s">
        <v>117</v>
      </c>
      <c r="P2558" t="s">
        <v>49</v>
      </c>
      <c r="Q2558" t="s">
        <v>139</v>
      </c>
      <c r="R2558">
        <v>1</v>
      </c>
      <c r="S2558">
        <v>6999</v>
      </c>
      <c r="T2558">
        <v>0.1</v>
      </c>
      <c r="U2558">
        <v>6299.1</v>
      </c>
      <c r="V2558">
        <v>4300</v>
      </c>
      <c r="W2558">
        <v>1999.1</v>
      </c>
      <c r="X2558" t="s">
        <v>75</v>
      </c>
      <c r="Y2558" t="s">
        <v>68</v>
      </c>
      <c r="Z2558" t="s">
        <v>158</v>
      </c>
      <c r="AA2558" t="s">
        <v>170</v>
      </c>
      <c r="AB2558">
        <v>2.9</v>
      </c>
      <c r="AC2558">
        <v>60</v>
      </c>
      <c r="AD2558">
        <v>147.77000000000001</v>
      </c>
      <c r="AE2558">
        <f t="shared" si="78"/>
        <v>1791.33</v>
      </c>
      <c r="AF2558" t="str">
        <f t="shared" si="79"/>
        <v>2025-11</v>
      </c>
      <c r="AG2558">
        <f>SUBTOTAL(103,A2558)</f>
        <v>1</v>
      </c>
    </row>
    <row r="2559" spans="1:33" x14ac:dyDescent="0.3">
      <c r="A2559" t="s">
        <v>5181</v>
      </c>
      <c r="B2559" s="13">
        <v>45984</v>
      </c>
      <c r="C2559">
        <v>2025</v>
      </c>
      <c r="D2559">
        <v>11</v>
      </c>
      <c r="E2559" t="s">
        <v>5007</v>
      </c>
      <c r="F2559" t="s">
        <v>4780</v>
      </c>
      <c r="G2559" t="s">
        <v>523</v>
      </c>
      <c r="H2559" t="s">
        <v>524</v>
      </c>
      <c r="I2559" t="s">
        <v>85</v>
      </c>
      <c r="J2559">
        <v>26</v>
      </c>
      <c r="K2559" t="s">
        <v>81</v>
      </c>
      <c r="L2559" t="s">
        <v>2679</v>
      </c>
      <c r="M2559" t="s">
        <v>60</v>
      </c>
      <c r="N2559" t="s">
        <v>2592</v>
      </c>
      <c r="O2559" t="s">
        <v>115</v>
      </c>
      <c r="P2559" t="s">
        <v>48</v>
      </c>
      <c r="Q2559" t="s">
        <v>137</v>
      </c>
      <c r="R2559">
        <v>2</v>
      </c>
      <c r="S2559">
        <v>12999</v>
      </c>
      <c r="T2559">
        <v>0.05</v>
      </c>
      <c r="U2559">
        <v>24698.1</v>
      </c>
      <c r="V2559">
        <v>18000</v>
      </c>
      <c r="W2559">
        <v>6698.1</v>
      </c>
      <c r="X2559" t="s">
        <v>76</v>
      </c>
      <c r="Y2559" t="s">
        <v>68</v>
      </c>
      <c r="Z2559" t="s">
        <v>158</v>
      </c>
      <c r="AA2559" t="s">
        <v>166</v>
      </c>
      <c r="AB2559">
        <v>3.9</v>
      </c>
      <c r="AC2559">
        <v>50</v>
      </c>
      <c r="AD2559">
        <v>1460.53</v>
      </c>
      <c r="AE2559">
        <f t="shared" si="78"/>
        <v>5187.5700000000006</v>
      </c>
      <c r="AF2559" t="str">
        <f t="shared" si="79"/>
        <v>2025-11</v>
      </c>
      <c r="AG2559">
        <f>SUBTOTAL(103,A2559)</f>
        <v>1</v>
      </c>
    </row>
    <row r="2560" spans="1:33" x14ac:dyDescent="0.3">
      <c r="A2560" t="s">
        <v>5182</v>
      </c>
      <c r="B2560" s="13">
        <v>45984</v>
      </c>
      <c r="C2560">
        <v>2025</v>
      </c>
      <c r="D2560">
        <v>11</v>
      </c>
      <c r="E2560" t="s">
        <v>5007</v>
      </c>
      <c r="F2560" t="s">
        <v>4780</v>
      </c>
      <c r="G2560" t="s">
        <v>2169</v>
      </c>
      <c r="H2560" t="s">
        <v>2170</v>
      </c>
      <c r="I2560" t="s">
        <v>86</v>
      </c>
      <c r="J2560">
        <v>32</v>
      </c>
      <c r="K2560" t="s">
        <v>81</v>
      </c>
      <c r="L2560" t="s">
        <v>99</v>
      </c>
      <c r="M2560" t="s">
        <v>58</v>
      </c>
      <c r="N2560" t="s">
        <v>2647</v>
      </c>
      <c r="O2560" t="s">
        <v>133</v>
      </c>
      <c r="P2560" t="s">
        <v>50</v>
      </c>
      <c r="Q2560" t="s">
        <v>145</v>
      </c>
      <c r="R2560">
        <v>2</v>
      </c>
      <c r="S2560">
        <v>799</v>
      </c>
      <c r="T2560">
        <v>0.05</v>
      </c>
      <c r="U2560">
        <v>1518.1</v>
      </c>
      <c r="V2560">
        <v>780</v>
      </c>
      <c r="W2560">
        <v>738.1</v>
      </c>
      <c r="X2560" t="s">
        <v>76</v>
      </c>
      <c r="Y2560" t="s">
        <v>68</v>
      </c>
      <c r="Z2560" t="s">
        <v>161</v>
      </c>
      <c r="AA2560" t="s">
        <v>168</v>
      </c>
      <c r="AB2560">
        <v>3.5</v>
      </c>
      <c r="AC2560">
        <v>120</v>
      </c>
      <c r="AD2560">
        <v>120.1</v>
      </c>
      <c r="AE2560">
        <f t="shared" si="78"/>
        <v>498</v>
      </c>
      <c r="AF2560" t="str">
        <f t="shared" si="79"/>
        <v>2025-11</v>
      </c>
      <c r="AG2560">
        <f>SUBTOTAL(103,A2560)</f>
        <v>1</v>
      </c>
    </row>
    <row r="2561" spans="1:33" x14ac:dyDescent="0.3">
      <c r="A2561" t="s">
        <v>5183</v>
      </c>
      <c r="B2561" s="13">
        <v>45984</v>
      </c>
      <c r="C2561">
        <v>2025</v>
      </c>
      <c r="D2561">
        <v>11</v>
      </c>
      <c r="E2561" t="s">
        <v>5007</v>
      </c>
      <c r="F2561" t="s">
        <v>4780</v>
      </c>
      <c r="G2561" t="s">
        <v>1293</v>
      </c>
      <c r="H2561" t="s">
        <v>1294</v>
      </c>
      <c r="I2561" t="s">
        <v>85</v>
      </c>
      <c r="J2561">
        <v>38</v>
      </c>
      <c r="K2561" t="s">
        <v>82</v>
      </c>
      <c r="L2561" t="s">
        <v>2690</v>
      </c>
      <c r="M2561" t="s">
        <v>63</v>
      </c>
      <c r="N2561" t="s">
        <v>2644</v>
      </c>
      <c r="O2561" t="s">
        <v>126</v>
      </c>
      <c r="P2561" t="s">
        <v>50</v>
      </c>
      <c r="Q2561" t="s">
        <v>145</v>
      </c>
      <c r="R2561">
        <v>3</v>
      </c>
      <c r="S2561">
        <v>1799</v>
      </c>
      <c r="T2561">
        <v>0.05</v>
      </c>
      <c r="U2561">
        <v>5127.1499999999996</v>
      </c>
      <c r="V2561">
        <v>2850</v>
      </c>
      <c r="W2561">
        <v>2277.15</v>
      </c>
      <c r="X2561" t="s">
        <v>75</v>
      </c>
      <c r="Y2561" t="s">
        <v>69</v>
      </c>
      <c r="Z2561" t="s">
        <v>163</v>
      </c>
      <c r="AA2561" t="s">
        <v>166</v>
      </c>
      <c r="AB2561">
        <v>3.5</v>
      </c>
      <c r="AC2561">
        <v>100</v>
      </c>
      <c r="AD2561">
        <v>414.38</v>
      </c>
      <c r="AE2561">
        <f t="shared" si="78"/>
        <v>1762.77</v>
      </c>
      <c r="AF2561" t="str">
        <f t="shared" si="79"/>
        <v>2025-11</v>
      </c>
      <c r="AG2561">
        <f>SUBTOTAL(103,A2561)</f>
        <v>1</v>
      </c>
    </row>
    <row r="2562" spans="1:33" x14ac:dyDescent="0.3">
      <c r="A2562" t="s">
        <v>5184</v>
      </c>
      <c r="B2562" s="13">
        <v>45985</v>
      </c>
      <c r="C2562">
        <v>2025</v>
      </c>
      <c r="D2562">
        <v>11</v>
      </c>
      <c r="E2562" t="s">
        <v>5007</v>
      </c>
      <c r="F2562" t="s">
        <v>4780</v>
      </c>
      <c r="G2562" t="s">
        <v>729</v>
      </c>
      <c r="H2562" t="s">
        <v>730</v>
      </c>
      <c r="I2562" t="s">
        <v>85</v>
      </c>
      <c r="J2562">
        <v>38</v>
      </c>
      <c r="K2562" t="s">
        <v>82</v>
      </c>
      <c r="L2562" t="s">
        <v>90</v>
      </c>
      <c r="M2562" t="s">
        <v>55</v>
      </c>
      <c r="N2562" t="s">
        <v>2665</v>
      </c>
      <c r="O2562" t="s">
        <v>128</v>
      </c>
      <c r="P2562" t="s">
        <v>53</v>
      </c>
      <c r="Q2562" t="s">
        <v>143</v>
      </c>
      <c r="R2562">
        <v>4</v>
      </c>
      <c r="S2562">
        <v>1499</v>
      </c>
      <c r="T2562">
        <v>0</v>
      </c>
      <c r="U2562">
        <v>5996</v>
      </c>
      <c r="V2562">
        <v>3200</v>
      </c>
      <c r="W2562">
        <v>2796</v>
      </c>
      <c r="X2562" t="s">
        <v>74</v>
      </c>
      <c r="Y2562" t="s">
        <v>70</v>
      </c>
      <c r="Z2562" t="s">
        <v>158</v>
      </c>
      <c r="AA2562" t="s">
        <v>171</v>
      </c>
      <c r="AB2562">
        <v>3.4</v>
      </c>
      <c r="AC2562">
        <v>60</v>
      </c>
      <c r="AD2562">
        <v>617.41</v>
      </c>
      <c r="AE2562">
        <f t="shared" ref="AE2562:AE2625" si="80">W2562-AC2562-AD2562</f>
        <v>2118.59</v>
      </c>
      <c r="AF2562" t="str">
        <f t="shared" ref="AF2562:AF2625" si="81">C2562&amp;"-"&amp;TEXT(D2562,"00")</f>
        <v>2025-11</v>
      </c>
      <c r="AG2562">
        <f>SUBTOTAL(103,A2562)</f>
        <v>1</v>
      </c>
    </row>
    <row r="2563" spans="1:33" x14ac:dyDescent="0.3">
      <c r="A2563" t="s">
        <v>5185</v>
      </c>
      <c r="B2563" s="13">
        <v>45985</v>
      </c>
      <c r="C2563">
        <v>2025</v>
      </c>
      <c r="D2563">
        <v>11</v>
      </c>
      <c r="E2563" t="s">
        <v>5007</v>
      </c>
      <c r="F2563" t="s">
        <v>4780</v>
      </c>
      <c r="G2563" t="s">
        <v>2463</v>
      </c>
      <c r="H2563" t="s">
        <v>2464</v>
      </c>
      <c r="I2563" t="s">
        <v>85</v>
      </c>
      <c r="J2563">
        <v>20</v>
      </c>
      <c r="K2563" t="s">
        <v>80</v>
      </c>
      <c r="L2563" t="s">
        <v>2661</v>
      </c>
      <c r="M2563" t="s">
        <v>58</v>
      </c>
      <c r="N2563" t="s">
        <v>2647</v>
      </c>
      <c r="O2563" t="s">
        <v>133</v>
      </c>
      <c r="P2563" t="s">
        <v>50</v>
      </c>
      <c r="Q2563" t="s">
        <v>145</v>
      </c>
      <c r="R2563">
        <v>1</v>
      </c>
      <c r="S2563">
        <v>799</v>
      </c>
      <c r="T2563">
        <v>0.05</v>
      </c>
      <c r="U2563">
        <v>0</v>
      </c>
      <c r="V2563">
        <v>0</v>
      </c>
      <c r="W2563">
        <v>0</v>
      </c>
      <c r="X2563" t="s">
        <v>74</v>
      </c>
      <c r="Y2563" t="s">
        <v>71</v>
      </c>
      <c r="Z2563" t="s">
        <v>160</v>
      </c>
      <c r="AA2563" t="s">
        <v>169</v>
      </c>
      <c r="AB2563">
        <v>4.7</v>
      </c>
      <c r="AC2563">
        <v>80</v>
      </c>
      <c r="AD2563">
        <v>29.93</v>
      </c>
      <c r="AE2563">
        <f t="shared" si="80"/>
        <v>-109.93</v>
      </c>
      <c r="AF2563" t="str">
        <f t="shared" si="81"/>
        <v>2025-11</v>
      </c>
      <c r="AG2563">
        <f>SUBTOTAL(103,A2563)</f>
        <v>1</v>
      </c>
    </row>
    <row r="2564" spans="1:33" x14ac:dyDescent="0.3">
      <c r="A2564" t="s">
        <v>5186</v>
      </c>
      <c r="B2564" s="13">
        <v>45985</v>
      </c>
      <c r="C2564">
        <v>2025</v>
      </c>
      <c r="D2564">
        <v>11</v>
      </c>
      <c r="E2564" t="s">
        <v>5007</v>
      </c>
      <c r="F2564" t="s">
        <v>4780</v>
      </c>
      <c r="G2564" t="s">
        <v>1849</v>
      </c>
      <c r="H2564" t="s">
        <v>1850</v>
      </c>
      <c r="I2564" t="s">
        <v>85</v>
      </c>
      <c r="J2564">
        <v>23</v>
      </c>
      <c r="K2564" t="s">
        <v>80</v>
      </c>
      <c r="L2564" t="s">
        <v>59</v>
      </c>
      <c r="M2564" t="s">
        <v>59</v>
      </c>
      <c r="N2564" t="s">
        <v>2626</v>
      </c>
      <c r="O2564" t="s">
        <v>125</v>
      </c>
      <c r="P2564" t="s">
        <v>48</v>
      </c>
      <c r="Q2564" t="s">
        <v>141</v>
      </c>
      <c r="R2564">
        <v>1</v>
      </c>
      <c r="S2564">
        <v>1999</v>
      </c>
      <c r="T2564">
        <v>0</v>
      </c>
      <c r="U2564">
        <v>1999</v>
      </c>
      <c r="V2564">
        <v>1150</v>
      </c>
      <c r="W2564">
        <v>849</v>
      </c>
      <c r="X2564" t="s">
        <v>74</v>
      </c>
      <c r="Y2564" t="s">
        <v>68</v>
      </c>
      <c r="Z2564" t="s">
        <v>160</v>
      </c>
      <c r="AA2564" t="s">
        <v>167</v>
      </c>
      <c r="AB2564">
        <v>3.8</v>
      </c>
      <c r="AC2564">
        <v>50</v>
      </c>
      <c r="AD2564">
        <v>97.52</v>
      </c>
      <c r="AE2564">
        <f t="shared" si="80"/>
        <v>701.48</v>
      </c>
      <c r="AF2564" t="str">
        <f t="shared" si="81"/>
        <v>2025-11</v>
      </c>
      <c r="AG2564">
        <f>SUBTOTAL(103,A2564)</f>
        <v>1</v>
      </c>
    </row>
    <row r="2565" spans="1:33" x14ac:dyDescent="0.3">
      <c r="A2565" t="s">
        <v>5187</v>
      </c>
      <c r="B2565" s="13">
        <v>45985</v>
      </c>
      <c r="C2565">
        <v>2025</v>
      </c>
      <c r="D2565">
        <v>11</v>
      </c>
      <c r="E2565" t="s">
        <v>5007</v>
      </c>
      <c r="F2565" t="s">
        <v>4780</v>
      </c>
      <c r="G2565" t="s">
        <v>2433</v>
      </c>
      <c r="H2565" t="s">
        <v>2434</v>
      </c>
      <c r="I2565" t="s">
        <v>85</v>
      </c>
      <c r="J2565">
        <v>42</v>
      </c>
      <c r="K2565" t="s">
        <v>82</v>
      </c>
      <c r="L2565" t="s">
        <v>92</v>
      </c>
      <c r="M2565" t="s">
        <v>59</v>
      </c>
      <c r="N2565" t="s">
        <v>2606</v>
      </c>
      <c r="O2565" t="s">
        <v>120</v>
      </c>
      <c r="P2565" t="s">
        <v>49</v>
      </c>
      <c r="Q2565" t="s">
        <v>140</v>
      </c>
      <c r="R2565">
        <v>1</v>
      </c>
      <c r="S2565">
        <v>2799</v>
      </c>
      <c r="T2565">
        <v>0.1</v>
      </c>
      <c r="U2565">
        <v>2519.1</v>
      </c>
      <c r="V2565">
        <v>1650</v>
      </c>
      <c r="W2565">
        <v>869.1</v>
      </c>
      <c r="X2565" t="s">
        <v>73</v>
      </c>
      <c r="Y2565" t="s">
        <v>68</v>
      </c>
      <c r="Z2565" t="s">
        <v>159</v>
      </c>
      <c r="AA2565" t="s">
        <v>167</v>
      </c>
      <c r="AB2565">
        <v>4.5999999999999996</v>
      </c>
      <c r="AC2565">
        <v>50</v>
      </c>
      <c r="AD2565">
        <v>62.25</v>
      </c>
      <c r="AE2565">
        <f t="shared" si="80"/>
        <v>756.85</v>
      </c>
      <c r="AF2565" t="str">
        <f t="shared" si="81"/>
        <v>2025-11</v>
      </c>
      <c r="AG2565">
        <f>SUBTOTAL(103,A2565)</f>
        <v>1</v>
      </c>
    </row>
    <row r="2566" spans="1:33" x14ac:dyDescent="0.3">
      <c r="A2566" t="s">
        <v>5188</v>
      </c>
      <c r="B2566" s="13">
        <v>45985</v>
      </c>
      <c r="C2566">
        <v>2025</v>
      </c>
      <c r="D2566">
        <v>11</v>
      </c>
      <c r="E2566" t="s">
        <v>5007</v>
      </c>
      <c r="F2566" t="s">
        <v>4780</v>
      </c>
      <c r="G2566" t="s">
        <v>1657</v>
      </c>
      <c r="H2566" t="s">
        <v>1658</v>
      </c>
      <c r="I2566" t="s">
        <v>85</v>
      </c>
      <c r="J2566">
        <v>38</v>
      </c>
      <c r="K2566" t="s">
        <v>82</v>
      </c>
      <c r="L2566" t="s">
        <v>2674</v>
      </c>
      <c r="M2566" t="s">
        <v>58</v>
      </c>
      <c r="N2566" t="s">
        <v>2603</v>
      </c>
      <c r="O2566" t="s">
        <v>122</v>
      </c>
      <c r="P2566" t="s">
        <v>48</v>
      </c>
      <c r="Q2566" t="s">
        <v>141</v>
      </c>
      <c r="R2566">
        <v>2</v>
      </c>
      <c r="S2566">
        <v>2499</v>
      </c>
      <c r="T2566">
        <v>0.2</v>
      </c>
      <c r="U2566">
        <v>3998.4</v>
      </c>
      <c r="V2566">
        <v>2900</v>
      </c>
      <c r="W2566">
        <v>1098.4000000000001</v>
      </c>
      <c r="X2566" t="s">
        <v>73</v>
      </c>
      <c r="Y2566" t="s">
        <v>68</v>
      </c>
      <c r="Z2566" t="s">
        <v>159</v>
      </c>
      <c r="AA2566" t="s">
        <v>166</v>
      </c>
      <c r="AB2566">
        <v>4</v>
      </c>
      <c r="AC2566">
        <v>50</v>
      </c>
      <c r="AD2566">
        <v>478.82</v>
      </c>
      <c r="AE2566">
        <f t="shared" si="80"/>
        <v>569.58000000000015</v>
      </c>
      <c r="AF2566" t="str">
        <f t="shared" si="81"/>
        <v>2025-11</v>
      </c>
      <c r="AG2566">
        <f>SUBTOTAL(103,A2566)</f>
        <v>1</v>
      </c>
    </row>
    <row r="2567" spans="1:33" x14ac:dyDescent="0.3">
      <c r="A2567" t="s">
        <v>5189</v>
      </c>
      <c r="B2567" s="13">
        <v>45985</v>
      </c>
      <c r="C2567">
        <v>2025</v>
      </c>
      <c r="D2567">
        <v>11</v>
      </c>
      <c r="E2567" t="s">
        <v>5007</v>
      </c>
      <c r="F2567" t="s">
        <v>4780</v>
      </c>
      <c r="G2567" t="s">
        <v>645</v>
      </c>
      <c r="H2567" t="s">
        <v>646</v>
      </c>
      <c r="I2567" t="s">
        <v>86</v>
      </c>
      <c r="J2567">
        <v>20</v>
      </c>
      <c r="K2567" t="s">
        <v>80</v>
      </c>
      <c r="L2567" t="s">
        <v>2599</v>
      </c>
      <c r="M2567" t="s">
        <v>62</v>
      </c>
      <c r="N2567" t="s">
        <v>2596</v>
      </c>
      <c r="O2567" t="s">
        <v>124</v>
      </c>
      <c r="P2567" t="s">
        <v>51</v>
      </c>
      <c r="Q2567" t="s">
        <v>147</v>
      </c>
      <c r="R2567">
        <v>1</v>
      </c>
      <c r="S2567">
        <v>2299</v>
      </c>
      <c r="T2567">
        <v>0.15</v>
      </c>
      <c r="U2567">
        <v>0</v>
      </c>
      <c r="V2567">
        <v>0</v>
      </c>
      <c r="W2567">
        <v>0</v>
      </c>
      <c r="X2567" t="s">
        <v>73</v>
      </c>
      <c r="Y2567" t="s">
        <v>71</v>
      </c>
      <c r="Z2567" t="s">
        <v>163</v>
      </c>
      <c r="AA2567" t="s">
        <v>166</v>
      </c>
      <c r="AB2567">
        <v>4.5999999999999996</v>
      </c>
      <c r="AC2567">
        <v>50</v>
      </c>
      <c r="AD2567">
        <v>224.06</v>
      </c>
      <c r="AE2567">
        <f t="shared" si="80"/>
        <v>-274.06</v>
      </c>
      <c r="AF2567" t="str">
        <f t="shared" si="81"/>
        <v>2025-11</v>
      </c>
      <c r="AG2567">
        <f>SUBTOTAL(103,A2567)</f>
        <v>1</v>
      </c>
    </row>
    <row r="2568" spans="1:33" x14ac:dyDescent="0.3">
      <c r="A2568" t="s">
        <v>5190</v>
      </c>
      <c r="B2568" s="13">
        <v>45985</v>
      </c>
      <c r="C2568">
        <v>2025</v>
      </c>
      <c r="D2568">
        <v>11</v>
      </c>
      <c r="E2568" t="s">
        <v>5007</v>
      </c>
      <c r="F2568" t="s">
        <v>4780</v>
      </c>
      <c r="G2568" t="s">
        <v>397</v>
      </c>
      <c r="H2568" t="s">
        <v>398</v>
      </c>
      <c r="I2568" t="s">
        <v>86</v>
      </c>
      <c r="J2568">
        <v>55</v>
      </c>
      <c r="K2568" t="s">
        <v>83</v>
      </c>
      <c r="L2568" t="s">
        <v>2637</v>
      </c>
      <c r="M2568" t="s">
        <v>64</v>
      </c>
      <c r="N2568" t="s">
        <v>2665</v>
      </c>
      <c r="O2568" t="s">
        <v>128</v>
      </c>
      <c r="P2568" t="s">
        <v>53</v>
      </c>
      <c r="Q2568" t="s">
        <v>143</v>
      </c>
      <c r="R2568">
        <v>4</v>
      </c>
      <c r="S2568">
        <v>1499</v>
      </c>
      <c r="T2568">
        <v>0.05</v>
      </c>
      <c r="U2568">
        <v>5696.2</v>
      </c>
      <c r="V2568">
        <v>3200</v>
      </c>
      <c r="W2568">
        <v>2496.1999999999998</v>
      </c>
      <c r="X2568" t="s">
        <v>74</v>
      </c>
      <c r="Y2568" t="s">
        <v>68</v>
      </c>
      <c r="Z2568" t="s">
        <v>162</v>
      </c>
      <c r="AA2568" t="s">
        <v>166</v>
      </c>
      <c r="AB2568">
        <v>5</v>
      </c>
      <c r="AC2568">
        <v>50</v>
      </c>
      <c r="AD2568">
        <v>123.27</v>
      </c>
      <c r="AE2568">
        <f t="shared" si="80"/>
        <v>2322.9299999999998</v>
      </c>
      <c r="AF2568" t="str">
        <f t="shared" si="81"/>
        <v>2025-11</v>
      </c>
      <c r="AG2568">
        <f>SUBTOTAL(103,A2568)</f>
        <v>1</v>
      </c>
    </row>
    <row r="2569" spans="1:33" x14ac:dyDescent="0.3">
      <c r="A2569" t="s">
        <v>5191</v>
      </c>
      <c r="B2569" s="13">
        <v>45986</v>
      </c>
      <c r="C2569">
        <v>2025</v>
      </c>
      <c r="D2569">
        <v>11</v>
      </c>
      <c r="E2569" t="s">
        <v>5007</v>
      </c>
      <c r="F2569" t="s">
        <v>4780</v>
      </c>
      <c r="G2569" t="s">
        <v>313</v>
      </c>
      <c r="H2569" t="s">
        <v>314</v>
      </c>
      <c r="I2569" t="s">
        <v>86</v>
      </c>
      <c r="J2569">
        <v>55</v>
      </c>
      <c r="K2569" t="s">
        <v>83</v>
      </c>
      <c r="L2569" t="s">
        <v>95</v>
      </c>
      <c r="M2569" t="s">
        <v>56</v>
      </c>
      <c r="N2569" t="s">
        <v>2587</v>
      </c>
      <c r="O2569" t="s">
        <v>116</v>
      </c>
      <c r="P2569" t="s">
        <v>48</v>
      </c>
      <c r="Q2569" t="s">
        <v>138</v>
      </c>
      <c r="R2569">
        <v>1</v>
      </c>
      <c r="S2569">
        <v>14999</v>
      </c>
      <c r="T2569">
        <v>0.05</v>
      </c>
      <c r="U2569">
        <v>14249.05</v>
      </c>
      <c r="V2569">
        <v>11200</v>
      </c>
      <c r="W2569">
        <v>3049.05</v>
      </c>
      <c r="X2569" t="s">
        <v>75</v>
      </c>
      <c r="Y2569" t="s">
        <v>68</v>
      </c>
      <c r="Z2569" t="s">
        <v>160</v>
      </c>
      <c r="AA2569" t="s">
        <v>170</v>
      </c>
      <c r="AB2569">
        <v>3</v>
      </c>
      <c r="AC2569">
        <v>60</v>
      </c>
      <c r="AD2569">
        <v>781.39</v>
      </c>
      <c r="AE2569">
        <f t="shared" si="80"/>
        <v>2207.6600000000003</v>
      </c>
      <c r="AF2569" t="str">
        <f t="shared" si="81"/>
        <v>2025-11</v>
      </c>
      <c r="AG2569">
        <f>SUBTOTAL(103,A2569)</f>
        <v>1</v>
      </c>
    </row>
    <row r="2570" spans="1:33" x14ac:dyDescent="0.3">
      <c r="A2570" t="s">
        <v>5192</v>
      </c>
      <c r="B2570" s="13">
        <v>45986</v>
      </c>
      <c r="C2570">
        <v>2025</v>
      </c>
      <c r="D2570">
        <v>11</v>
      </c>
      <c r="E2570" t="s">
        <v>5007</v>
      </c>
      <c r="F2570" t="s">
        <v>4780</v>
      </c>
      <c r="G2570" t="s">
        <v>681</v>
      </c>
      <c r="H2570" t="s">
        <v>682</v>
      </c>
      <c r="I2570" t="s">
        <v>86</v>
      </c>
      <c r="J2570">
        <v>30</v>
      </c>
      <c r="K2570" t="s">
        <v>81</v>
      </c>
      <c r="L2570" t="s">
        <v>2589</v>
      </c>
      <c r="M2570" t="s">
        <v>61</v>
      </c>
      <c r="N2570" t="s">
        <v>2590</v>
      </c>
      <c r="O2570" t="s">
        <v>127</v>
      </c>
      <c r="P2570" t="s">
        <v>51</v>
      </c>
      <c r="Q2570" t="s">
        <v>148</v>
      </c>
      <c r="R2570">
        <v>3</v>
      </c>
      <c r="S2570">
        <v>1599</v>
      </c>
      <c r="T2570">
        <v>0.05</v>
      </c>
      <c r="U2570">
        <v>4557.1499999999996</v>
      </c>
      <c r="V2570">
        <v>2400</v>
      </c>
      <c r="W2570">
        <v>2157.15</v>
      </c>
      <c r="X2570" t="s">
        <v>75</v>
      </c>
      <c r="Y2570" t="s">
        <v>70</v>
      </c>
      <c r="Z2570" t="s">
        <v>158</v>
      </c>
      <c r="AA2570" t="s">
        <v>167</v>
      </c>
      <c r="AB2570">
        <v>3.9</v>
      </c>
      <c r="AC2570">
        <v>100</v>
      </c>
      <c r="AD2570">
        <v>484.48</v>
      </c>
      <c r="AE2570">
        <f t="shared" si="80"/>
        <v>1572.67</v>
      </c>
      <c r="AF2570" t="str">
        <f t="shared" si="81"/>
        <v>2025-11</v>
      </c>
      <c r="AG2570">
        <f>SUBTOTAL(103,A2570)</f>
        <v>1</v>
      </c>
    </row>
    <row r="2571" spans="1:33" x14ac:dyDescent="0.3">
      <c r="A2571" t="s">
        <v>5193</v>
      </c>
      <c r="B2571" s="13">
        <v>45986</v>
      </c>
      <c r="C2571">
        <v>2025</v>
      </c>
      <c r="D2571">
        <v>11</v>
      </c>
      <c r="E2571" t="s">
        <v>5007</v>
      </c>
      <c r="F2571" t="s">
        <v>4780</v>
      </c>
      <c r="G2571" t="s">
        <v>343</v>
      </c>
      <c r="H2571" t="s">
        <v>344</v>
      </c>
      <c r="I2571" t="s">
        <v>86</v>
      </c>
      <c r="J2571">
        <v>55</v>
      </c>
      <c r="K2571" t="s">
        <v>83</v>
      </c>
      <c r="L2571" t="s">
        <v>91</v>
      </c>
      <c r="M2571" t="s">
        <v>55</v>
      </c>
      <c r="N2571" t="s">
        <v>2592</v>
      </c>
      <c r="O2571" t="s">
        <v>115</v>
      </c>
      <c r="P2571" t="s">
        <v>48</v>
      </c>
      <c r="Q2571" t="s">
        <v>137</v>
      </c>
      <c r="R2571">
        <v>5</v>
      </c>
      <c r="S2571">
        <v>12999</v>
      </c>
      <c r="T2571">
        <v>0.15</v>
      </c>
      <c r="U2571">
        <v>55245.75</v>
      </c>
      <c r="V2571">
        <v>45000</v>
      </c>
      <c r="W2571">
        <v>10245.75</v>
      </c>
      <c r="X2571" t="s">
        <v>73</v>
      </c>
      <c r="Y2571" t="s">
        <v>70</v>
      </c>
      <c r="Z2571" t="s">
        <v>158</v>
      </c>
      <c r="AA2571" t="s">
        <v>171</v>
      </c>
      <c r="AB2571">
        <v>5</v>
      </c>
      <c r="AC2571">
        <v>80</v>
      </c>
      <c r="AD2571">
        <v>5564.86</v>
      </c>
      <c r="AE2571">
        <f t="shared" si="80"/>
        <v>4600.8900000000003</v>
      </c>
      <c r="AF2571" t="str">
        <f t="shared" si="81"/>
        <v>2025-11</v>
      </c>
      <c r="AG2571">
        <f>SUBTOTAL(103,A2571)</f>
        <v>1</v>
      </c>
    </row>
    <row r="2572" spans="1:33" x14ac:dyDescent="0.3">
      <c r="A2572" t="s">
        <v>5194</v>
      </c>
      <c r="B2572" s="13">
        <v>45986</v>
      </c>
      <c r="C2572">
        <v>2025</v>
      </c>
      <c r="D2572">
        <v>11</v>
      </c>
      <c r="E2572" t="s">
        <v>5007</v>
      </c>
      <c r="F2572" t="s">
        <v>4780</v>
      </c>
      <c r="G2572" t="s">
        <v>499</v>
      </c>
      <c r="H2572" t="s">
        <v>500</v>
      </c>
      <c r="I2572" t="s">
        <v>86</v>
      </c>
      <c r="J2572">
        <v>45</v>
      </c>
      <c r="K2572" t="s">
        <v>82</v>
      </c>
      <c r="L2572" t="s">
        <v>2576</v>
      </c>
      <c r="M2572" t="s">
        <v>60</v>
      </c>
      <c r="N2572" t="s">
        <v>2574</v>
      </c>
      <c r="O2572" t="s">
        <v>130</v>
      </c>
      <c r="P2572" t="s">
        <v>50</v>
      </c>
      <c r="Q2572" t="s">
        <v>53</v>
      </c>
      <c r="R2572">
        <v>3</v>
      </c>
      <c r="S2572">
        <v>1199</v>
      </c>
      <c r="T2572">
        <v>0</v>
      </c>
      <c r="U2572">
        <v>3597</v>
      </c>
      <c r="V2572">
        <v>1650</v>
      </c>
      <c r="W2572">
        <v>1947</v>
      </c>
      <c r="X2572" t="s">
        <v>73</v>
      </c>
      <c r="Y2572" t="s">
        <v>68</v>
      </c>
      <c r="Z2572" t="s">
        <v>160</v>
      </c>
      <c r="AA2572" t="s">
        <v>168</v>
      </c>
      <c r="AB2572">
        <v>4.0999999999999996</v>
      </c>
      <c r="AC2572">
        <v>50</v>
      </c>
      <c r="AD2572">
        <v>413.08</v>
      </c>
      <c r="AE2572">
        <f t="shared" si="80"/>
        <v>1483.92</v>
      </c>
      <c r="AF2572" t="str">
        <f t="shared" si="81"/>
        <v>2025-11</v>
      </c>
      <c r="AG2572">
        <f>SUBTOTAL(103,A2572)</f>
        <v>1</v>
      </c>
    </row>
    <row r="2573" spans="1:33" x14ac:dyDescent="0.3">
      <c r="A2573" t="s">
        <v>5195</v>
      </c>
      <c r="B2573" s="13">
        <v>45986</v>
      </c>
      <c r="C2573">
        <v>2025</v>
      </c>
      <c r="D2573">
        <v>11</v>
      </c>
      <c r="E2573" t="s">
        <v>5007</v>
      </c>
      <c r="F2573" t="s">
        <v>4780</v>
      </c>
      <c r="G2573" t="s">
        <v>889</v>
      </c>
      <c r="H2573" t="s">
        <v>890</v>
      </c>
      <c r="I2573" t="s">
        <v>86</v>
      </c>
      <c r="J2573">
        <v>27</v>
      </c>
      <c r="K2573" t="s">
        <v>81</v>
      </c>
      <c r="L2573" t="s">
        <v>98</v>
      </c>
      <c r="M2573" t="s">
        <v>55</v>
      </c>
      <c r="N2573" t="s">
        <v>2587</v>
      </c>
      <c r="O2573" t="s">
        <v>116</v>
      </c>
      <c r="P2573" t="s">
        <v>48</v>
      </c>
      <c r="Q2573" t="s">
        <v>138</v>
      </c>
      <c r="R2573">
        <v>2</v>
      </c>
      <c r="S2573">
        <v>14999</v>
      </c>
      <c r="T2573">
        <v>0.15</v>
      </c>
      <c r="U2573">
        <v>25498.3</v>
      </c>
      <c r="V2573">
        <v>22400</v>
      </c>
      <c r="W2573">
        <v>3098.3</v>
      </c>
      <c r="X2573" t="s">
        <v>74</v>
      </c>
      <c r="Y2573" t="s">
        <v>68</v>
      </c>
      <c r="Z2573" t="s">
        <v>160</v>
      </c>
      <c r="AA2573" t="s">
        <v>166</v>
      </c>
      <c r="AB2573">
        <v>4.2</v>
      </c>
      <c r="AC2573">
        <v>50</v>
      </c>
      <c r="AD2573">
        <v>2665.83</v>
      </c>
      <c r="AE2573">
        <f t="shared" si="80"/>
        <v>382.47000000000025</v>
      </c>
      <c r="AF2573" t="str">
        <f t="shared" si="81"/>
        <v>2025-11</v>
      </c>
      <c r="AG2573">
        <f>SUBTOTAL(103,A2573)</f>
        <v>1</v>
      </c>
    </row>
    <row r="2574" spans="1:33" x14ac:dyDescent="0.3">
      <c r="A2574" t="s">
        <v>5196</v>
      </c>
      <c r="B2574" s="13">
        <v>45986</v>
      </c>
      <c r="C2574">
        <v>2025</v>
      </c>
      <c r="D2574">
        <v>11</v>
      </c>
      <c r="E2574" t="s">
        <v>5007</v>
      </c>
      <c r="F2574" t="s">
        <v>4780</v>
      </c>
      <c r="G2574" t="s">
        <v>1775</v>
      </c>
      <c r="H2574" t="s">
        <v>1776</v>
      </c>
      <c r="I2574" t="s">
        <v>86</v>
      </c>
      <c r="J2574">
        <v>19</v>
      </c>
      <c r="K2574" t="s">
        <v>80</v>
      </c>
      <c r="L2574" t="s">
        <v>2586</v>
      </c>
      <c r="M2574" t="s">
        <v>62</v>
      </c>
      <c r="N2574" t="s">
        <v>2584</v>
      </c>
      <c r="O2574" t="s">
        <v>121</v>
      </c>
      <c r="P2574" t="s">
        <v>50</v>
      </c>
      <c r="Q2574" t="s">
        <v>144</v>
      </c>
      <c r="R2574">
        <v>2</v>
      </c>
      <c r="S2574">
        <v>2999</v>
      </c>
      <c r="T2574">
        <v>0.15</v>
      </c>
      <c r="U2574">
        <v>5098.3</v>
      </c>
      <c r="V2574">
        <v>3400</v>
      </c>
      <c r="W2574">
        <v>1698.3</v>
      </c>
      <c r="X2574" t="s">
        <v>76</v>
      </c>
      <c r="Y2574" t="s">
        <v>68</v>
      </c>
      <c r="Z2574" t="s">
        <v>159</v>
      </c>
      <c r="AA2574" t="s">
        <v>169</v>
      </c>
      <c r="AB2574">
        <v>3.6</v>
      </c>
      <c r="AC2574">
        <v>50</v>
      </c>
      <c r="AD2574">
        <v>209.31</v>
      </c>
      <c r="AE2574">
        <f t="shared" si="80"/>
        <v>1438.99</v>
      </c>
      <c r="AF2574" t="str">
        <f t="shared" si="81"/>
        <v>2025-11</v>
      </c>
      <c r="AG2574">
        <f>SUBTOTAL(103,A2574)</f>
        <v>1</v>
      </c>
    </row>
    <row r="2575" spans="1:33" x14ac:dyDescent="0.3">
      <c r="A2575" t="s">
        <v>5197</v>
      </c>
      <c r="B2575" s="13">
        <v>45986</v>
      </c>
      <c r="C2575">
        <v>2025</v>
      </c>
      <c r="D2575">
        <v>11</v>
      </c>
      <c r="E2575" t="s">
        <v>5007</v>
      </c>
      <c r="F2575" t="s">
        <v>4780</v>
      </c>
      <c r="G2575" t="s">
        <v>1103</v>
      </c>
      <c r="H2575" t="s">
        <v>1104</v>
      </c>
      <c r="I2575" t="s">
        <v>87</v>
      </c>
      <c r="J2575">
        <v>25</v>
      </c>
      <c r="K2575" t="s">
        <v>80</v>
      </c>
      <c r="L2575" t="s">
        <v>2589</v>
      </c>
      <c r="M2575" t="s">
        <v>61</v>
      </c>
      <c r="N2575" t="s">
        <v>2647</v>
      </c>
      <c r="O2575" t="s">
        <v>133</v>
      </c>
      <c r="P2575" t="s">
        <v>50</v>
      </c>
      <c r="Q2575" t="s">
        <v>145</v>
      </c>
      <c r="R2575">
        <v>2</v>
      </c>
      <c r="S2575">
        <v>799</v>
      </c>
      <c r="T2575">
        <v>0.1</v>
      </c>
      <c r="U2575">
        <v>1438.2</v>
      </c>
      <c r="V2575">
        <v>780</v>
      </c>
      <c r="W2575">
        <v>658.2</v>
      </c>
      <c r="X2575" t="s">
        <v>76</v>
      </c>
      <c r="Y2575" t="s">
        <v>68</v>
      </c>
      <c r="Z2575" t="s">
        <v>163</v>
      </c>
      <c r="AA2575" t="s">
        <v>168</v>
      </c>
      <c r="AB2575">
        <v>4.2</v>
      </c>
      <c r="AC2575">
        <v>120</v>
      </c>
      <c r="AD2575">
        <v>140.53</v>
      </c>
      <c r="AE2575">
        <f t="shared" si="80"/>
        <v>397.67000000000007</v>
      </c>
      <c r="AF2575" t="str">
        <f t="shared" si="81"/>
        <v>2025-11</v>
      </c>
      <c r="AG2575">
        <f>SUBTOTAL(103,A2575)</f>
        <v>1</v>
      </c>
    </row>
    <row r="2576" spans="1:33" x14ac:dyDescent="0.3">
      <c r="A2576" t="s">
        <v>5198</v>
      </c>
      <c r="B2576" s="13">
        <v>45986</v>
      </c>
      <c r="C2576">
        <v>2025</v>
      </c>
      <c r="D2576">
        <v>11</v>
      </c>
      <c r="E2576" t="s">
        <v>5007</v>
      </c>
      <c r="F2576" t="s">
        <v>4780</v>
      </c>
      <c r="G2576" t="s">
        <v>285</v>
      </c>
      <c r="H2576" t="s">
        <v>286</v>
      </c>
      <c r="I2576" t="s">
        <v>85</v>
      </c>
      <c r="J2576">
        <v>20</v>
      </c>
      <c r="K2576" t="s">
        <v>80</v>
      </c>
      <c r="L2576" t="s">
        <v>2589</v>
      </c>
      <c r="M2576" t="s">
        <v>61</v>
      </c>
      <c r="N2576" t="s">
        <v>2577</v>
      </c>
      <c r="O2576" t="s">
        <v>129</v>
      </c>
      <c r="P2576" t="s">
        <v>49</v>
      </c>
      <c r="Q2576" t="s">
        <v>149</v>
      </c>
      <c r="R2576">
        <v>2</v>
      </c>
      <c r="S2576">
        <v>1299</v>
      </c>
      <c r="T2576">
        <v>0</v>
      </c>
      <c r="U2576">
        <v>2598</v>
      </c>
      <c r="V2576">
        <v>1300</v>
      </c>
      <c r="W2576">
        <v>1298</v>
      </c>
      <c r="X2576" t="s">
        <v>76</v>
      </c>
      <c r="Y2576" t="s">
        <v>68</v>
      </c>
      <c r="Z2576" t="s">
        <v>158</v>
      </c>
      <c r="AA2576" t="s">
        <v>168</v>
      </c>
      <c r="AB2576">
        <v>4.5999999999999996</v>
      </c>
      <c r="AC2576">
        <v>100</v>
      </c>
      <c r="AD2576">
        <v>157.41999999999999</v>
      </c>
      <c r="AE2576">
        <f t="shared" si="80"/>
        <v>1040.58</v>
      </c>
      <c r="AF2576" t="str">
        <f t="shared" si="81"/>
        <v>2025-11</v>
      </c>
      <c r="AG2576">
        <f>SUBTOTAL(103,A2576)</f>
        <v>1</v>
      </c>
    </row>
    <row r="2577" spans="1:33" x14ac:dyDescent="0.3">
      <c r="A2577" t="s">
        <v>5199</v>
      </c>
      <c r="B2577" s="13">
        <v>45987</v>
      </c>
      <c r="C2577">
        <v>2025</v>
      </c>
      <c r="D2577">
        <v>11</v>
      </c>
      <c r="E2577" t="s">
        <v>5007</v>
      </c>
      <c r="F2577" t="s">
        <v>4780</v>
      </c>
      <c r="G2577" t="s">
        <v>783</v>
      </c>
      <c r="H2577" t="s">
        <v>784</v>
      </c>
      <c r="I2577" t="s">
        <v>86</v>
      </c>
      <c r="J2577">
        <v>21</v>
      </c>
      <c r="K2577" t="s">
        <v>80</v>
      </c>
      <c r="L2577" t="s">
        <v>2674</v>
      </c>
      <c r="M2577" t="s">
        <v>58</v>
      </c>
      <c r="N2577" t="s">
        <v>2590</v>
      </c>
      <c r="O2577" t="s">
        <v>127</v>
      </c>
      <c r="P2577" t="s">
        <v>51</v>
      </c>
      <c r="Q2577" t="s">
        <v>148</v>
      </c>
      <c r="R2577">
        <v>5</v>
      </c>
      <c r="S2577">
        <v>1599</v>
      </c>
      <c r="T2577">
        <v>0.05</v>
      </c>
      <c r="U2577">
        <v>7595.25</v>
      </c>
      <c r="V2577">
        <v>4000</v>
      </c>
      <c r="W2577">
        <v>3595.25</v>
      </c>
      <c r="X2577" t="s">
        <v>75</v>
      </c>
      <c r="Y2577" t="s">
        <v>68</v>
      </c>
      <c r="Z2577" t="s">
        <v>159</v>
      </c>
      <c r="AA2577" t="s">
        <v>168</v>
      </c>
      <c r="AB2577">
        <v>4.4000000000000004</v>
      </c>
      <c r="AC2577">
        <v>40</v>
      </c>
      <c r="AD2577">
        <v>281.86</v>
      </c>
      <c r="AE2577">
        <f t="shared" si="80"/>
        <v>3273.39</v>
      </c>
      <c r="AF2577" t="str">
        <f t="shared" si="81"/>
        <v>2025-11</v>
      </c>
      <c r="AG2577">
        <f>SUBTOTAL(103,A2577)</f>
        <v>1</v>
      </c>
    </row>
    <row r="2578" spans="1:33" x14ac:dyDescent="0.3">
      <c r="A2578" t="s">
        <v>5200</v>
      </c>
      <c r="B2578" s="13">
        <v>45987</v>
      </c>
      <c r="C2578">
        <v>2025</v>
      </c>
      <c r="D2578">
        <v>11</v>
      </c>
      <c r="E2578" t="s">
        <v>5007</v>
      </c>
      <c r="F2578" t="s">
        <v>4780</v>
      </c>
      <c r="G2578" t="s">
        <v>539</v>
      </c>
      <c r="H2578" t="s">
        <v>540</v>
      </c>
      <c r="I2578" t="s">
        <v>85</v>
      </c>
      <c r="J2578">
        <v>55</v>
      </c>
      <c r="K2578" t="s">
        <v>83</v>
      </c>
      <c r="L2578" t="s">
        <v>2687</v>
      </c>
      <c r="M2578" t="s">
        <v>57</v>
      </c>
      <c r="N2578" t="s">
        <v>2587</v>
      </c>
      <c r="O2578" t="s">
        <v>116</v>
      </c>
      <c r="P2578" t="s">
        <v>48</v>
      </c>
      <c r="Q2578" t="s">
        <v>138</v>
      </c>
      <c r="R2578">
        <v>3</v>
      </c>
      <c r="S2578">
        <v>14999</v>
      </c>
      <c r="T2578">
        <v>0.2</v>
      </c>
      <c r="U2578">
        <v>35997.599999999999</v>
      </c>
      <c r="V2578">
        <v>33600</v>
      </c>
      <c r="W2578">
        <v>2397.6</v>
      </c>
      <c r="X2578" t="s">
        <v>74</v>
      </c>
      <c r="Y2578" t="s">
        <v>68</v>
      </c>
      <c r="Z2578" t="s">
        <v>160</v>
      </c>
      <c r="AA2578" t="s">
        <v>170</v>
      </c>
      <c r="AB2578">
        <v>4.5999999999999996</v>
      </c>
      <c r="AC2578">
        <v>120</v>
      </c>
      <c r="AD2578">
        <v>1976.39</v>
      </c>
      <c r="AE2578">
        <f t="shared" si="80"/>
        <v>301.20999999999981</v>
      </c>
      <c r="AF2578" t="str">
        <f t="shared" si="81"/>
        <v>2025-11</v>
      </c>
      <c r="AG2578">
        <f>SUBTOTAL(103,A2578)</f>
        <v>1</v>
      </c>
    </row>
    <row r="2579" spans="1:33" x14ac:dyDescent="0.3">
      <c r="A2579" t="s">
        <v>5201</v>
      </c>
      <c r="B2579" s="13">
        <v>45987</v>
      </c>
      <c r="C2579">
        <v>2025</v>
      </c>
      <c r="D2579">
        <v>11</v>
      </c>
      <c r="E2579" t="s">
        <v>5007</v>
      </c>
      <c r="F2579" t="s">
        <v>4780</v>
      </c>
      <c r="G2579" t="s">
        <v>1449</v>
      </c>
      <c r="H2579" t="s">
        <v>1450</v>
      </c>
      <c r="I2579" t="s">
        <v>87</v>
      </c>
      <c r="J2579">
        <v>52</v>
      </c>
      <c r="K2579" t="s">
        <v>83</v>
      </c>
      <c r="L2579" t="s">
        <v>93</v>
      </c>
      <c r="M2579" t="s">
        <v>55</v>
      </c>
      <c r="N2579" t="s">
        <v>2596</v>
      </c>
      <c r="O2579" t="s">
        <v>124</v>
      </c>
      <c r="P2579" t="s">
        <v>51</v>
      </c>
      <c r="Q2579" t="s">
        <v>147</v>
      </c>
      <c r="R2579">
        <v>1</v>
      </c>
      <c r="S2579">
        <v>2299</v>
      </c>
      <c r="T2579">
        <v>0.2</v>
      </c>
      <c r="U2579">
        <v>1839.2</v>
      </c>
      <c r="V2579">
        <v>1200</v>
      </c>
      <c r="W2579">
        <v>639.20000000000005</v>
      </c>
      <c r="X2579" t="s">
        <v>75</v>
      </c>
      <c r="Y2579" t="s">
        <v>68</v>
      </c>
      <c r="Z2579" t="s">
        <v>161</v>
      </c>
      <c r="AA2579" t="s">
        <v>171</v>
      </c>
      <c r="AB2579">
        <v>5</v>
      </c>
      <c r="AC2579">
        <v>100</v>
      </c>
      <c r="AD2579">
        <v>134.44999999999999</v>
      </c>
      <c r="AE2579">
        <f t="shared" si="80"/>
        <v>404.75000000000006</v>
      </c>
      <c r="AF2579" t="str">
        <f t="shared" si="81"/>
        <v>2025-11</v>
      </c>
      <c r="AG2579">
        <f>SUBTOTAL(103,A2579)</f>
        <v>1</v>
      </c>
    </row>
    <row r="2580" spans="1:33" x14ac:dyDescent="0.3">
      <c r="A2580" t="s">
        <v>5202</v>
      </c>
      <c r="B2580" s="13">
        <v>45987</v>
      </c>
      <c r="C2580">
        <v>2025</v>
      </c>
      <c r="D2580">
        <v>11</v>
      </c>
      <c r="E2580" t="s">
        <v>5007</v>
      </c>
      <c r="F2580" t="s">
        <v>4780</v>
      </c>
      <c r="G2580" t="s">
        <v>1331</v>
      </c>
      <c r="H2580" t="s">
        <v>1332</v>
      </c>
      <c r="I2580" t="s">
        <v>85</v>
      </c>
      <c r="J2580">
        <v>45</v>
      </c>
      <c r="K2580" t="s">
        <v>82</v>
      </c>
      <c r="L2580" t="s">
        <v>93</v>
      </c>
      <c r="M2580" t="s">
        <v>55</v>
      </c>
      <c r="N2580" t="s">
        <v>2577</v>
      </c>
      <c r="O2580" t="s">
        <v>129</v>
      </c>
      <c r="P2580" t="s">
        <v>49</v>
      </c>
      <c r="Q2580" t="s">
        <v>149</v>
      </c>
      <c r="R2580">
        <v>4</v>
      </c>
      <c r="S2580">
        <v>1299</v>
      </c>
      <c r="T2580">
        <v>0.1</v>
      </c>
      <c r="U2580">
        <v>4676.3999999999996</v>
      </c>
      <c r="V2580">
        <v>2600</v>
      </c>
      <c r="W2580">
        <v>2076.4</v>
      </c>
      <c r="X2580" t="s">
        <v>77</v>
      </c>
      <c r="Y2580" t="s">
        <v>68</v>
      </c>
      <c r="Z2580" t="s">
        <v>160</v>
      </c>
      <c r="AA2580" t="s">
        <v>167</v>
      </c>
      <c r="AB2580">
        <v>4.3</v>
      </c>
      <c r="AC2580">
        <v>50</v>
      </c>
      <c r="AD2580">
        <v>280.19</v>
      </c>
      <c r="AE2580">
        <f t="shared" si="80"/>
        <v>1746.21</v>
      </c>
      <c r="AF2580" t="str">
        <f t="shared" si="81"/>
        <v>2025-11</v>
      </c>
      <c r="AG2580">
        <f>SUBTOTAL(103,A2580)</f>
        <v>1</v>
      </c>
    </row>
    <row r="2581" spans="1:33" x14ac:dyDescent="0.3">
      <c r="A2581" t="s">
        <v>5203</v>
      </c>
      <c r="B2581" s="13">
        <v>45987</v>
      </c>
      <c r="C2581">
        <v>2025</v>
      </c>
      <c r="D2581">
        <v>11</v>
      </c>
      <c r="E2581" t="s">
        <v>5007</v>
      </c>
      <c r="F2581" t="s">
        <v>4780</v>
      </c>
      <c r="G2581" t="s">
        <v>2203</v>
      </c>
      <c r="H2581" t="s">
        <v>2204</v>
      </c>
      <c r="I2581" t="s">
        <v>85</v>
      </c>
      <c r="J2581">
        <v>60</v>
      </c>
      <c r="K2581" t="s">
        <v>83</v>
      </c>
      <c r="L2581" t="s">
        <v>2589</v>
      </c>
      <c r="M2581" t="s">
        <v>61</v>
      </c>
      <c r="N2581" t="s">
        <v>2594</v>
      </c>
      <c r="O2581" t="s">
        <v>131</v>
      </c>
      <c r="P2581" t="s">
        <v>53</v>
      </c>
      <c r="Q2581" t="s">
        <v>143</v>
      </c>
      <c r="R2581">
        <v>2</v>
      </c>
      <c r="S2581">
        <v>999</v>
      </c>
      <c r="T2581">
        <v>0</v>
      </c>
      <c r="U2581">
        <v>1998</v>
      </c>
      <c r="V2581">
        <v>1040</v>
      </c>
      <c r="W2581">
        <v>958</v>
      </c>
      <c r="X2581" t="s">
        <v>73</v>
      </c>
      <c r="Y2581" t="s">
        <v>68</v>
      </c>
      <c r="Z2581" t="s">
        <v>159</v>
      </c>
      <c r="AA2581" t="s">
        <v>167</v>
      </c>
      <c r="AB2581">
        <v>5</v>
      </c>
      <c r="AC2581">
        <v>40</v>
      </c>
      <c r="AD2581">
        <v>181.4</v>
      </c>
      <c r="AE2581">
        <f t="shared" si="80"/>
        <v>736.6</v>
      </c>
      <c r="AF2581" t="str">
        <f t="shared" si="81"/>
        <v>2025-11</v>
      </c>
      <c r="AG2581">
        <f>SUBTOTAL(103,A2581)</f>
        <v>1</v>
      </c>
    </row>
    <row r="2582" spans="1:33" x14ac:dyDescent="0.3">
      <c r="A2582" t="s">
        <v>5204</v>
      </c>
      <c r="B2582" s="13">
        <v>45987</v>
      </c>
      <c r="C2582">
        <v>2025</v>
      </c>
      <c r="D2582">
        <v>11</v>
      </c>
      <c r="E2582" t="s">
        <v>5007</v>
      </c>
      <c r="F2582" t="s">
        <v>4780</v>
      </c>
      <c r="G2582" t="s">
        <v>1569</v>
      </c>
      <c r="H2582" t="s">
        <v>1570</v>
      </c>
      <c r="I2582" t="s">
        <v>86</v>
      </c>
      <c r="J2582">
        <v>49</v>
      </c>
      <c r="K2582" t="s">
        <v>83</v>
      </c>
      <c r="L2582" t="s">
        <v>2623</v>
      </c>
      <c r="M2582" t="s">
        <v>61</v>
      </c>
      <c r="N2582" t="s">
        <v>2657</v>
      </c>
      <c r="O2582" t="s">
        <v>134</v>
      </c>
      <c r="P2582" t="s">
        <v>49</v>
      </c>
      <c r="Q2582" t="s">
        <v>140</v>
      </c>
      <c r="R2582">
        <v>2</v>
      </c>
      <c r="S2582">
        <v>599</v>
      </c>
      <c r="T2582">
        <v>0.25</v>
      </c>
      <c r="U2582">
        <v>898.5</v>
      </c>
      <c r="V2582">
        <v>500</v>
      </c>
      <c r="W2582">
        <v>398.5</v>
      </c>
      <c r="X2582" t="s">
        <v>74</v>
      </c>
      <c r="Y2582" t="s">
        <v>68</v>
      </c>
      <c r="Z2582" t="s">
        <v>162</v>
      </c>
      <c r="AA2582" t="s">
        <v>168</v>
      </c>
      <c r="AB2582">
        <v>4</v>
      </c>
      <c r="AC2582">
        <v>40</v>
      </c>
      <c r="AD2582">
        <v>79.59</v>
      </c>
      <c r="AE2582">
        <f t="shared" si="80"/>
        <v>278.90999999999997</v>
      </c>
      <c r="AF2582" t="str">
        <f t="shared" si="81"/>
        <v>2025-11</v>
      </c>
      <c r="AG2582">
        <f>SUBTOTAL(103,A2582)</f>
        <v>1</v>
      </c>
    </row>
    <row r="2583" spans="1:33" x14ac:dyDescent="0.3">
      <c r="A2583" t="s">
        <v>5205</v>
      </c>
      <c r="B2583" s="13">
        <v>45987</v>
      </c>
      <c r="C2583">
        <v>2025</v>
      </c>
      <c r="D2583">
        <v>11</v>
      </c>
      <c r="E2583" t="s">
        <v>5007</v>
      </c>
      <c r="F2583" t="s">
        <v>4780</v>
      </c>
      <c r="G2583" t="s">
        <v>359</v>
      </c>
      <c r="H2583" t="s">
        <v>360</v>
      </c>
      <c r="I2583" t="s">
        <v>85</v>
      </c>
      <c r="J2583">
        <v>40</v>
      </c>
      <c r="K2583" t="s">
        <v>82</v>
      </c>
      <c r="L2583" t="s">
        <v>91</v>
      </c>
      <c r="M2583" t="s">
        <v>55</v>
      </c>
      <c r="N2583" t="s">
        <v>2594</v>
      </c>
      <c r="O2583" t="s">
        <v>131</v>
      </c>
      <c r="P2583" t="s">
        <v>53</v>
      </c>
      <c r="Q2583" t="s">
        <v>143</v>
      </c>
      <c r="R2583">
        <v>1</v>
      </c>
      <c r="S2583">
        <v>999</v>
      </c>
      <c r="T2583">
        <v>0.15</v>
      </c>
      <c r="U2583">
        <v>849.15</v>
      </c>
      <c r="V2583">
        <v>520</v>
      </c>
      <c r="W2583">
        <v>329.15</v>
      </c>
      <c r="X2583" t="s">
        <v>74</v>
      </c>
      <c r="Y2583" t="s">
        <v>68</v>
      </c>
      <c r="Z2583" t="s">
        <v>163</v>
      </c>
      <c r="AA2583" t="s">
        <v>169</v>
      </c>
      <c r="AB2583">
        <v>4.3</v>
      </c>
      <c r="AC2583">
        <v>100</v>
      </c>
      <c r="AD2583">
        <v>32.75</v>
      </c>
      <c r="AE2583">
        <f t="shared" si="80"/>
        <v>196.39999999999998</v>
      </c>
      <c r="AF2583" t="str">
        <f t="shared" si="81"/>
        <v>2025-11</v>
      </c>
      <c r="AG2583">
        <f>SUBTOTAL(103,A2583)</f>
        <v>1</v>
      </c>
    </row>
    <row r="2584" spans="1:33" x14ac:dyDescent="0.3">
      <c r="A2584" t="s">
        <v>5206</v>
      </c>
      <c r="B2584" s="13">
        <v>45987</v>
      </c>
      <c r="C2584">
        <v>2025</v>
      </c>
      <c r="D2584">
        <v>11</v>
      </c>
      <c r="E2584" t="s">
        <v>5007</v>
      </c>
      <c r="F2584" t="s">
        <v>4780</v>
      </c>
      <c r="G2584" t="s">
        <v>291</v>
      </c>
      <c r="H2584" t="s">
        <v>292</v>
      </c>
      <c r="I2584" t="s">
        <v>87</v>
      </c>
      <c r="J2584">
        <v>21</v>
      </c>
      <c r="K2584" t="s">
        <v>80</v>
      </c>
      <c r="L2584" t="s">
        <v>98</v>
      </c>
      <c r="M2584" t="s">
        <v>55</v>
      </c>
      <c r="N2584" t="s">
        <v>2594</v>
      </c>
      <c r="O2584" t="s">
        <v>131</v>
      </c>
      <c r="P2584" t="s">
        <v>53</v>
      </c>
      <c r="Q2584" t="s">
        <v>143</v>
      </c>
      <c r="R2584">
        <v>1</v>
      </c>
      <c r="S2584">
        <v>999</v>
      </c>
      <c r="T2584">
        <v>0.05</v>
      </c>
      <c r="U2584">
        <v>949.05</v>
      </c>
      <c r="V2584">
        <v>520</v>
      </c>
      <c r="W2584">
        <v>429.05</v>
      </c>
      <c r="X2584" t="s">
        <v>75</v>
      </c>
      <c r="Y2584" t="s">
        <v>68</v>
      </c>
      <c r="Z2584" t="s">
        <v>163</v>
      </c>
      <c r="AA2584" t="s">
        <v>166</v>
      </c>
      <c r="AB2584">
        <v>3.6</v>
      </c>
      <c r="AC2584">
        <v>60</v>
      </c>
      <c r="AD2584">
        <v>100.78</v>
      </c>
      <c r="AE2584">
        <f t="shared" si="80"/>
        <v>268.27</v>
      </c>
      <c r="AF2584" t="str">
        <f t="shared" si="81"/>
        <v>2025-11</v>
      </c>
      <c r="AG2584">
        <f>SUBTOTAL(103,A2584)</f>
        <v>1</v>
      </c>
    </row>
    <row r="2585" spans="1:33" x14ac:dyDescent="0.3">
      <c r="A2585" t="s">
        <v>5207</v>
      </c>
      <c r="B2585" s="13">
        <v>45987</v>
      </c>
      <c r="C2585">
        <v>2025</v>
      </c>
      <c r="D2585">
        <v>11</v>
      </c>
      <c r="E2585" t="s">
        <v>5007</v>
      </c>
      <c r="F2585" t="s">
        <v>4780</v>
      </c>
      <c r="G2585" t="s">
        <v>1515</v>
      </c>
      <c r="H2585" t="s">
        <v>1516</v>
      </c>
      <c r="I2585" t="s">
        <v>85</v>
      </c>
      <c r="J2585">
        <v>34</v>
      </c>
      <c r="K2585" t="s">
        <v>81</v>
      </c>
      <c r="L2585" t="s">
        <v>2576</v>
      </c>
      <c r="M2585" t="s">
        <v>60</v>
      </c>
      <c r="N2585" t="s">
        <v>2630</v>
      </c>
      <c r="O2585" t="s">
        <v>123</v>
      </c>
      <c r="P2585" t="s">
        <v>52</v>
      </c>
      <c r="Q2585" t="s">
        <v>146</v>
      </c>
      <c r="R2585">
        <v>2</v>
      </c>
      <c r="S2585">
        <v>2499</v>
      </c>
      <c r="T2585">
        <v>0.1</v>
      </c>
      <c r="U2585">
        <v>0</v>
      </c>
      <c r="V2585">
        <v>0</v>
      </c>
      <c r="W2585">
        <v>0</v>
      </c>
      <c r="X2585" t="s">
        <v>73</v>
      </c>
      <c r="Y2585" t="s">
        <v>71</v>
      </c>
      <c r="Z2585" t="s">
        <v>160</v>
      </c>
      <c r="AA2585" t="s">
        <v>166</v>
      </c>
      <c r="AB2585">
        <v>3</v>
      </c>
      <c r="AC2585">
        <v>40</v>
      </c>
      <c r="AD2585">
        <v>490.07</v>
      </c>
      <c r="AE2585">
        <f t="shared" si="80"/>
        <v>-530.06999999999994</v>
      </c>
      <c r="AF2585" t="str">
        <f t="shared" si="81"/>
        <v>2025-11</v>
      </c>
      <c r="AG2585">
        <f>SUBTOTAL(103,A2585)</f>
        <v>1</v>
      </c>
    </row>
    <row r="2586" spans="1:33" x14ac:dyDescent="0.3">
      <c r="A2586" t="s">
        <v>5208</v>
      </c>
      <c r="B2586" s="13">
        <v>45987</v>
      </c>
      <c r="C2586">
        <v>2025</v>
      </c>
      <c r="D2586">
        <v>11</v>
      </c>
      <c r="E2586" t="s">
        <v>5007</v>
      </c>
      <c r="F2586" t="s">
        <v>4780</v>
      </c>
      <c r="G2586" t="s">
        <v>1619</v>
      </c>
      <c r="H2586" t="s">
        <v>1620</v>
      </c>
      <c r="I2586" t="s">
        <v>86</v>
      </c>
      <c r="J2586">
        <v>38</v>
      </c>
      <c r="K2586" t="s">
        <v>82</v>
      </c>
      <c r="L2586" t="s">
        <v>2687</v>
      </c>
      <c r="M2586" t="s">
        <v>57</v>
      </c>
      <c r="N2586" t="s">
        <v>2584</v>
      </c>
      <c r="O2586" t="s">
        <v>121</v>
      </c>
      <c r="P2586" t="s">
        <v>50</v>
      </c>
      <c r="Q2586" t="s">
        <v>144</v>
      </c>
      <c r="R2586">
        <v>2</v>
      </c>
      <c r="S2586">
        <v>2999</v>
      </c>
      <c r="T2586">
        <v>0</v>
      </c>
      <c r="U2586">
        <v>0</v>
      </c>
      <c r="V2586">
        <v>0</v>
      </c>
      <c r="W2586">
        <v>0</v>
      </c>
      <c r="X2586" t="s">
        <v>77</v>
      </c>
      <c r="Y2586" t="s">
        <v>71</v>
      </c>
      <c r="Z2586" t="s">
        <v>159</v>
      </c>
      <c r="AA2586" t="s">
        <v>166</v>
      </c>
      <c r="AB2586">
        <v>4.3</v>
      </c>
      <c r="AC2586">
        <v>40</v>
      </c>
      <c r="AD2586">
        <v>357.88</v>
      </c>
      <c r="AE2586">
        <f t="shared" si="80"/>
        <v>-397.88</v>
      </c>
      <c r="AF2586" t="str">
        <f t="shared" si="81"/>
        <v>2025-11</v>
      </c>
      <c r="AG2586">
        <f>SUBTOTAL(103,A2586)</f>
        <v>1</v>
      </c>
    </row>
    <row r="2587" spans="1:33" x14ac:dyDescent="0.3">
      <c r="A2587" t="s">
        <v>5209</v>
      </c>
      <c r="B2587" s="13">
        <v>45987</v>
      </c>
      <c r="C2587">
        <v>2025</v>
      </c>
      <c r="D2587">
        <v>11</v>
      </c>
      <c r="E2587" t="s">
        <v>5007</v>
      </c>
      <c r="F2587" t="s">
        <v>4780</v>
      </c>
      <c r="G2587" t="s">
        <v>889</v>
      </c>
      <c r="H2587" t="s">
        <v>890</v>
      </c>
      <c r="I2587" t="s">
        <v>86</v>
      </c>
      <c r="J2587">
        <v>27</v>
      </c>
      <c r="K2587" t="s">
        <v>81</v>
      </c>
      <c r="L2587" t="s">
        <v>98</v>
      </c>
      <c r="M2587" t="s">
        <v>55</v>
      </c>
      <c r="N2587" t="s">
        <v>2653</v>
      </c>
      <c r="O2587" t="s">
        <v>132</v>
      </c>
      <c r="P2587" t="s">
        <v>52</v>
      </c>
      <c r="Q2587" t="s">
        <v>150</v>
      </c>
      <c r="R2587">
        <v>1</v>
      </c>
      <c r="S2587">
        <v>899</v>
      </c>
      <c r="T2587">
        <v>0.05</v>
      </c>
      <c r="U2587">
        <v>854.05</v>
      </c>
      <c r="V2587">
        <v>420</v>
      </c>
      <c r="W2587">
        <v>434.05</v>
      </c>
      <c r="X2587" t="s">
        <v>74</v>
      </c>
      <c r="Y2587" t="s">
        <v>68</v>
      </c>
      <c r="Z2587" t="s">
        <v>159</v>
      </c>
      <c r="AA2587" t="s">
        <v>167</v>
      </c>
      <c r="AB2587">
        <v>4.5999999999999996</v>
      </c>
      <c r="AC2587">
        <v>80</v>
      </c>
      <c r="AD2587">
        <v>102.01</v>
      </c>
      <c r="AE2587">
        <f t="shared" si="80"/>
        <v>252.04000000000002</v>
      </c>
      <c r="AF2587" t="str">
        <f t="shared" si="81"/>
        <v>2025-11</v>
      </c>
      <c r="AG2587">
        <f>SUBTOTAL(103,A2587)</f>
        <v>1</v>
      </c>
    </row>
    <row r="2588" spans="1:33" x14ac:dyDescent="0.3">
      <c r="A2588" t="s">
        <v>5210</v>
      </c>
      <c r="B2588" s="13">
        <v>45987</v>
      </c>
      <c r="C2588">
        <v>2025</v>
      </c>
      <c r="D2588">
        <v>11</v>
      </c>
      <c r="E2588" t="s">
        <v>5007</v>
      </c>
      <c r="F2588" t="s">
        <v>4780</v>
      </c>
      <c r="G2588" t="s">
        <v>1233</v>
      </c>
      <c r="H2588" t="s">
        <v>1234</v>
      </c>
      <c r="I2588" t="s">
        <v>85</v>
      </c>
      <c r="J2588">
        <v>34</v>
      </c>
      <c r="K2588" t="s">
        <v>81</v>
      </c>
      <c r="L2588" t="s">
        <v>99</v>
      </c>
      <c r="M2588" t="s">
        <v>58</v>
      </c>
      <c r="N2588" t="s">
        <v>2584</v>
      </c>
      <c r="O2588" t="s">
        <v>121</v>
      </c>
      <c r="P2588" t="s">
        <v>50</v>
      </c>
      <c r="Q2588" t="s">
        <v>144</v>
      </c>
      <c r="R2588">
        <v>3</v>
      </c>
      <c r="S2588">
        <v>2999</v>
      </c>
      <c r="T2588">
        <v>0.1</v>
      </c>
      <c r="U2588">
        <v>8097.3</v>
      </c>
      <c r="V2588">
        <v>5100</v>
      </c>
      <c r="W2588">
        <v>2997.3</v>
      </c>
      <c r="X2588" t="s">
        <v>74</v>
      </c>
      <c r="Y2588" t="s">
        <v>68</v>
      </c>
      <c r="Z2588" t="s">
        <v>160</v>
      </c>
      <c r="AA2588" t="s">
        <v>166</v>
      </c>
      <c r="AB2588">
        <v>3.6</v>
      </c>
      <c r="AC2588">
        <v>80</v>
      </c>
      <c r="AD2588">
        <v>343.91</v>
      </c>
      <c r="AE2588">
        <f t="shared" si="80"/>
        <v>2573.3900000000003</v>
      </c>
      <c r="AF2588" t="str">
        <f t="shared" si="81"/>
        <v>2025-11</v>
      </c>
      <c r="AG2588">
        <f>SUBTOTAL(103,A2588)</f>
        <v>1</v>
      </c>
    </row>
    <row r="2589" spans="1:33" x14ac:dyDescent="0.3">
      <c r="A2589" t="s">
        <v>5211</v>
      </c>
      <c r="B2589" s="13">
        <v>45988</v>
      </c>
      <c r="C2589">
        <v>2025</v>
      </c>
      <c r="D2589">
        <v>11</v>
      </c>
      <c r="E2589" t="s">
        <v>5007</v>
      </c>
      <c r="F2589" t="s">
        <v>4780</v>
      </c>
      <c r="G2589" t="s">
        <v>1595</v>
      </c>
      <c r="H2589" t="s">
        <v>1596</v>
      </c>
      <c r="I2589" t="s">
        <v>85</v>
      </c>
      <c r="J2589">
        <v>49</v>
      </c>
      <c r="K2589" t="s">
        <v>83</v>
      </c>
      <c r="L2589" t="s">
        <v>92</v>
      </c>
      <c r="M2589" t="s">
        <v>59</v>
      </c>
      <c r="N2589" t="s">
        <v>2594</v>
      </c>
      <c r="O2589" t="s">
        <v>131</v>
      </c>
      <c r="P2589" t="s">
        <v>53</v>
      </c>
      <c r="Q2589" t="s">
        <v>143</v>
      </c>
      <c r="R2589">
        <v>3</v>
      </c>
      <c r="S2589">
        <v>999</v>
      </c>
      <c r="T2589">
        <v>0.1</v>
      </c>
      <c r="U2589">
        <v>2697.3</v>
      </c>
      <c r="V2589">
        <v>1560</v>
      </c>
      <c r="W2589">
        <v>1137.3</v>
      </c>
      <c r="X2589" t="s">
        <v>73</v>
      </c>
      <c r="Y2589" t="s">
        <v>68</v>
      </c>
      <c r="Z2589" t="s">
        <v>163</v>
      </c>
      <c r="AA2589" t="s">
        <v>167</v>
      </c>
      <c r="AB2589">
        <v>4.9000000000000004</v>
      </c>
      <c r="AC2589">
        <v>60</v>
      </c>
      <c r="AD2589">
        <v>264.20999999999998</v>
      </c>
      <c r="AE2589">
        <f t="shared" si="80"/>
        <v>813.08999999999992</v>
      </c>
      <c r="AF2589" t="str">
        <f t="shared" si="81"/>
        <v>2025-11</v>
      </c>
      <c r="AG2589">
        <f>SUBTOTAL(103,A2589)</f>
        <v>1</v>
      </c>
    </row>
    <row r="2590" spans="1:33" x14ac:dyDescent="0.3">
      <c r="A2590" t="s">
        <v>5212</v>
      </c>
      <c r="B2590" s="13">
        <v>45988</v>
      </c>
      <c r="C2590">
        <v>2025</v>
      </c>
      <c r="D2590">
        <v>11</v>
      </c>
      <c r="E2590" t="s">
        <v>5007</v>
      </c>
      <c r="F2590" t="s">
        <v>4780</v>
      </c>
      <c r="G2590" t="s">
        <v>2505</v>
      </c>
      <c r="H2590" t="s">
        <v>2506</v>
      </c>
      <c r="I2590" t="s">
        <v>85</v>
      </c>
      <c r="J2590">
        <v>27</v>
      </c>
      <c r="K2590" t="s">
        <v>81</v>
      </c>
      <c r="L2590" t="s">
        <v>90</v>
      </c>
      <c r="M2590" t="s">
        <v>55</v>
      </c>
      <c r="N2590" t="s">
        <v>2590</v>
      </c>
      <c r="O2590" t="s">
        <v>127</v>
      </c>
      <c r="P2590" t="s">
        <v>51</v>
      </c>
      <c r="Q2590" t="s">
        <v>148</v>
      </c>
      <c r="R2590">
        <v>1</v>
      </c>
      <c r="S2590">
        <v>1599</v>
      </c>
      <c r="T2590">
        <v>0.05</v>
      </c>
      <c r="U2590">
        <v>1519.05</v>
      </c>
      <c r="V2590">
        <v>800</v>
      </c>
      <c r="W2590">
        <v>719.05</v>
      </c>
      <c r="X2590" t="s">
        <v>73</v>
      </c>
      <c r="Y2590" t="s">
        <v>68</v>
      </c>
      <c r="Z2590" t="s">
        <v>163</v>
      </c>
      <c r="AA2590" t="s">
        <v>170</v>
      </c>
      <c r="AB2590">
        <v>5</v>
      </c>
      <c r="AC2590">
        <v>100</v>
      </c>
      <c r="AD2590">
        <v>92.95</v>
      </c>
      <c r="AE2590">
        <f t="shared" si="80"/>
        <v>526.09999999999991</v>
      </c>
      <c r="AF2590" t="str">
        <f t="shared" si="81"/>
        <v>2025-11</v>
      </c>
      <c r="AG2590">
        <f>SUBTOTAL(103,A2590)</f>
        <v>1</v>
      </c>
    </row>
    <row r="2591" spans="1:33" x14ac:dyDescent="0.3">
      <c r="A2591" t="s">
        <v>5213</v>
      </c>
      <c r="B2591" s="13">
        <v>45988</v>
      </c>
      <c r="C2591">
        <v>2025</v>
      </c>
      <c r="D2591">
        <v>11</v>
      </c>
      <c r="E2591" t="s">
        <v>5007</v>
      </c>
      <c r="F2591" t="s">
        <v>4780</v>
      </c>
      <c r="G2591" t="s">
        <v>1071</v>
      </c>
      <c r="H2591" t="s">
        <v>1072</v>
      </c>
      <c r="I2591" t="s">
        <v>85</v>
      </c>
      <c r="J2591">
        <v>49</v>
      </c>
      <c r="K2591" t="s">
        <v>83</v>
      </c>
      <c r="L2591" t="s">
        <v>59</v>
      </c>
      <c r="M2591" t="s">
        <v>59</v>
      </c>
      <c r="N2591" t="s">
        <v>2601</v>
      </c>
      <c r="O2591" t="s">
        <v>117</v>
      </c>
      <c r="P2591" t="s">
        <v>49</v>
      </c>
      <c r="Q2591" t="s">
        <v>139</v>
      </c>
      <c r="R2591">
        <v>2</v>
      </c>
      <c r="S2591">
        <v>6999</v>
      </c>
      <c r="T2591">
        <v>0.15</v>
      </c>
      <c r="U2591">
        <v>11898.3</v>
      </c>
      <c r="V2591">
        <v>8600</v>
      </c>
      <c r="W2591">
        <v>3298.3</v>
      </c>
      <c r="X2591" t="s">
        <v>73</v>
      </c>
      <c r="Y2591" t="s">
        <v>68</v>
      </c>
      <c r="Z2591" t="s">
        <v>163</v>
      </c>
      <c r="AA2591" t="s">
        <v>167</v>
      </c>
      <c r="AB2591">
        <v>3.7</v>
      </c>
      <c r="AC2591">
        <v>50</v>
      </c>
      <c r="AD2591">
        <v>263.82</v>
      </c>
      <c r="AE2591">
        <f t="shared" si="80"/>
        <v>2984.48</v>
      </c>
      <c r="AF2591" t="str">
        <f t="shared" si="81"/>
        <v>2025-11</v>
      </c>
      <c r="AG2591">
        <f>SUBTOTAL(103,A2591)</f>
        <v>1</v>
      </c>
    </row>
    <row r="2592" spans="1:33" x14ac:dyDescent="0.3">
      <c r="A2592" t="s">
        <v>5214</v>
      </c>
      <c r="B2592" s="13">
        <v>45988</v>
      </c>
      <c r="C2592">
        <v>2025</v>
      </c>
      <c r="D2592">
        <v>11</v>
      </c>
      <c r="E2592" t="s">
        <v>5007</v>
      </c>
      <c r="F2592" t="s">
        <v>4780</v>
      </c>
      <c r="G2592" t="s">
        <v>893</v>
      </c>
      <c r="H2592" t="s">
        <v>894</v>
      </c>
      <c r="I2592" t="s">
        <v>85</v>
      </c>
      <c r="J2592">
        <v>45</v>
      </c>
      <c r="K2592" t="s">
        <v>82</v>
      </c>
      <c r="L2592" t="s">
        <v>95</v>
      </c>
      <c r="M2592" t="s">
        <v>56</v>
      </c>
      <c r="N2592" t="s">
        <v>2626</v>
      </c>
      <c r="O2592" t="s">
        <v>125</v>
      </c>
      <c r="P2592" t="s">
        <v>48</v>
      </c>
      <c r="Q2592" t="s">
        <v>141</v>
      </c>
      <c r="R2592">
        <v>2</v>
      </c>
      <c r="S2592">
        <v>1999</v>
      </c>
      <c r="T2592">
        <v>0.2</v>
      </c>
      <c r="U2592">
        <v>3198.4</v>
      </c>
      <c r="V2592">
        <v>2300</v>
      </c>
      <c r="W2592">
        <v>898.4</v>
      </c>
      <c r="X2592" t="s">
        <v>73</v>
      </c>
      <c r="Y2592" t="s">
        <v>68</v>
      </c>
      <c r="Z2592" t="s">
        <v>161</v>
      </c>
      <c r="AA2592" t="s">
        <v>169</v>
      </c>
      <c r="AB2592">
        <v>4.4000000000000004</v>
      </c>
      <c r="AC2592">
        <v>50</v>
      </c>
      <c r="AD2592">
        <v>372.35</v>
      </c>
      <c r="AE2592">
        <f t="shared" si="80"/>
        <v>476.04999999999995</v>
      </c>
      <c r="AF2592" t="str">
        <f t="shared" si="81"/>
        <v>2025-11</v>
      </c>
      <c r="AG2592">
        <f>SUBTOTAL(103,A2592)</f>
        <v>1</v>
      </c>
    </row>
    <row r="2593" spans="1:33" x14ac:dyDescent="0.3">
      <c r="A2593" t="s">
        <v>5215</v>
      </c>
      <c r="B2593" s="13">
        <v>45988</v>
      </c>
      <c r="C2593">
        <v>2025</v>
      </c>
      <c r="D2593">
        <v>11</v>
      </c>
      <c r="E2593" t="s">
        <v>5007</v>
      </c>
      <c r="F2593" t="s">
        <v>4780</v>
      </c>
      <c r="G2593" t="s">
        <v>1933</v>
      </c>
      <c r="H2593" t="s">
        <v>1934</v>
      </c>
      <c r="I2593" t="s">
        <v>86</v>
      </c>
      <c r="J2593">
        <v>29</v>
      </c>
      <c r="K2593" t="s">
        <v>81</v>
      </c>
      <c r="L2593" t="s">
        <v>59</v>
      </c>
      <c r="M2593" t="s">
        <v>59</v>
      </c>
      <c r="N2593" t="s">
        <v>2647</v>
      </c>
      <c r="O2593" t="s">
        <v>133</v>
      </c>
      <c r="P2593" t="s">
        <v>50</v>
      </c>
      <c r="Q2593" t="s">
        <v>145</v>
      </c>
      <c r="R2593">
        <v>4</v>
      </c>
      <c r="S2593">
        <v>799</v>
      </c>
      <c r="T2593">
        <v>0.1</v>
      </c>
      <c r="U2593">
        <v>2876.4</v>
      </c>
      <c r="V2593">
        <v>1560</v>
      </c>
      <c r="W2593">
        <v>1316.4</v>
      </c>
      <c r="X2593" t="s">
        <v>75</v>
      </c>
      <c r="Y2593" t="s">
        <v>68</v>
      </c>
      <c r="Z2593" t="s">
        <v>162</v>
      </c>
      <c r="AA2593" t="s">
        <v>167</v>
      </c>
      <c r="AB2593">
        <v>3.5</v>
      </c>
      <c r="AC2593">
        <v>60</v>
      </c>
      <c r="AD2593">
        <v>147.97999999999999</v>
      </c>
      <c r="AE2593">
        <f t="shared" si="80"/>
        <v>1108.42</v>
      </c>
      <c r="AF2593" t="str">
        <f t="shared" si="81"/>
        <v>2025-11</v>
      </c>
      <c r="AG2593">
        <f>SUBTOTAL(103,A2593)</f>
        <v>1</v>
      </c>
    </row>
    <row r="2594" spans="1:33" x14ac:dyDescent="0.3">
      <c r="A2594" t="s">
        <v>5216</v>
      </c>
      <c r="B2594" s="13">
        <v>45988</v>
      </c>
      <c r="C2594">
        <v>2025</v>
      </c>
      <c r="D2594">
        <v>11</v>
      </c>
      <c r="E2594" t="s">
        <v>5007</v>
      </c>
      <c r="F2594" t="s">
        <v>4780</v>
      </c>
      <c r="G2594" t="s">
        <v>1051</v>
      </c>
      <c r="H2594" t="s">
        <v>1052</v>
      </c>
      <c r="I2594" t="s">
        <v>85</v>
      </c>
      <c r="J2594">
        <v>25</v>
      </c>
      <c r="K2594" t="s">
        <v>80</v>
      </c>
      <c r="L2594" t="s">
        <v>2579</v>
      </c>
      <c r="M2594" t="s">
        <v>56</v>
      </c>
      <c r="N2594" t="s">
        <v>2626</v>
      </c>
      <c r="O2594" t="s">
        <v>125</v>
      </c>
      <c r="P2594" t="s">
        <v>48</v>
      </c>
      <c r="Q2594" t="s">
        <v>141</v>
      </c>
      <c r="R2594">
        <v>3</v>
      </c>
      <c r="S2594">
        <v>1999</v>
      </c>
      <c r="T2594">
        <v>0.05</v>
      </c>
      <c r="U2594">
        <v>5697.15</v>
      </c>
      <c r="V2594">
        <v>3450</v>
      </c>
      <c r="W2594">
        <v>2247.15</v>
      </c>
      <c r="X2594" t="s">
        <v>74</v>
      </c>
      <c r="Y2594" t="s">
        <v>68</v>
      </c>
      <c r="Z2594" t="s">
        <v>163</v>
      </c>
      <c r="AA2594" t="s">
        <v>170</v>
      </c>
      <c r="AB2594">
        <v>5</v>
      </c>
      <c r="AC2594">
        <v>50</v>
      </c>
      <c r="AD2594">
        <v>612.91999999999996</v>
      </c>
      <c r="AE2594">
        <f t="shared" si="80"/>
        <v>1584.23</v>
      </c>
      <c r="AF2594" t="str">
        <f t="shared" si="81"/>
        <v>2025-11</v>
      </c>
      <c r="AG2594">
        <f>SUBTOTAL(103,A2594)</f>
        <v>1</v>
      </c>
    </row>
    <row r="2595" spans="1:33" x14ac:dyDescent="0.3">
      <c r="A2595" t="s">
        <v>5217</v>
      </c>
      <c r="B2595" s="13">
        <v>45988</v>
      </c>
      <c r="C2595">
        <v>2025</v>
      </c>
      <c r="D2595">
        <v>11</v>
      </c>
      <c r="E2595" t="s">
        <v>5007</v>
      </c>
      <c r="F2595" t="s">
        <v>4780</v>
      </c>
      <c r="G2595" t="s">
        <v>2299</v>
      </c>
      <c r="H2595" t="s">
        <v>2300</v>
      </c>
      <c r="I2595" t="s">
        <v>85</v>
      </c>
      <c r="J2595">
        <v>44</v>
      </c>
      <c r="K2595" t="s">
        <v>82</v>
      </c>
      <c r="L2595" t="s">
        <v>91</v>
      </c>
      <c r="M2595" t="s">
        <v>55</v>
      </c>
      <c r="N2595" t="s">
        <v>2665</v>
      </c>
      <c r="O2595" t="s">
        <v>128</v>
      </c>
      <c r="P2595" t="s">
        <v>53</v>
      </c>
      <c r="Q2595" t="s">
        <v>143</v>
      </c>
      <c r="R2595">
        <v>4</v>
      </c>
      <c r="S2595">
        <v>1499</v>
      </c>
      <c r="T2595">
        <v>0.15</v>
      </c>
      <c r="U2595">
        <v>5096.6000000000004</v>
      </c>
      <c r="V2595">
        <v>3200</v>
      </c>
      <c r="W2595">
        <v>1896.6</v>
      </c>
      <c r="X2595" t="s">
        <v>76</v>
      </c>
      <c r="Y2595" t="s">
        <v>68</v>
      </c>
      <c r="Z2595" t="s">
        <v>163</v>
      </c>
      <c r="AA2595" t="s">
        <v>170</v>
      </c>
      <c r="AB2595">
        <v>3.7</v>
      </c>
      <c r="AC2595">
        <v>80</v>
      </c>
      <c r="AD2595">
        <v>609.41</v>
      </c>
      <c r="AE2595">
        <f t="shared" si="80"/>
        <v>1207.19</v>
      </c>
      <c r="AF2595" t="str">
        <f t="shared" si="81"/>
        <v>2025-11</v>
      </c>
      <c r="AG2595">
        <f>SUBTOTAL(103,A2595)</f>
        <v>1</v>
      </c>
    </row>
    <row r="2596" spans="1:33" x14ac:dyDescent="0.3">
      <c r="A2596" t="s">
        <v>5218</v>
      </c>
      <c r="B2596" s="13">
        <v>45988</v>
      </c>
      <c r="C2596">
        <v>2025</v>
      </c>
      <c r="D2596">
        <v>11</v>
      </c>
      <c r="E2596" t="s">
        <v>5007</v>
      </c>
      <c r="F2596" t="s">
        <v>4780</v>
      </c>
      <c r="G2596" t="s">
        <v>407</v>
      </c>
      <c r="H2596" t="s">
        <v>408</v>
      </c>
      <c r="I2596" t="s">
        <v>85</v>
      </c>
      <c r="J2596">
        <v>44</v>
      </c>
      <c r="K2596" t="s">
        <v>82</v>
      </c>
      <c r="L2596" t="s">
        <v>2573</v>
      </c>
      <c r="M2596" t="s">
        <v>63</v>
      </c>
      <c r="N2596" t="s">
        <v>2665</v>
      </c>
      <c r="O2596" t="s">
        <v>128</v>
      </c>
      <c r="P2596" t="s">
        <v>53</v>
      </c>
      <c r="Q2596" t="s">
        <v>143</v>
      </c>
      <c r="R2596">
        <v>3</v>
      </c>
      <c r="S2596">
        <v>1499</v>
      </c>
      <c r="T2596">
        <v>0</v>
      </c>
      <c r="U2596">
        <v>4497</v>
      </c>
      <c r="V2596">
        <v>2400</v>
      </c>
      <c r="W2596">
        <v>2097</v>
      </c>
      <c r="X2596" t="s">
        <v>76</v>
      </c>
      <c r="Y2596" t="s">
        <v>68</v>
      </c>
      <c r="Z2596" t="s">
        <v>161</v>
      </c>
      <c r="AA2596" t="s">
        <v>167</v>
      </c>
      <c r="AB2596">
        <v>3.6</v>
      </c>
      <c r="AC2596">
        <v>80</v>
      </c>
      <c r="AD2596">
        <v>202.87</v>
      </c>
      <c r="AE2596">
        <f t="shared" si="80"/>
        <v>1814.13</v>
      </c>
      <c r="AF2596" t="str">
        <f t="shared" si="81"/>
        <v>2025-11</v>
      </c>
      <c r="AG2596">
        <f>SUBTOTAL(103,A2596)</f>
        <v>1</v>
      </c>
    </row>
    <row r="2597" spans="1:33" x14ac:dyDescent="0.3">
      <c r="A2597" t="s">
        <v>5219</v>
      </c>
      <c r="B2597" s="13">
        <v>45989</v>
      </c>
      <c r="C2597">
        <v>2025</v>
      </c>
      <c r="D2597">
        <v>11</v>
      </c>
      <c r="E2597" t="s">
        <v>5007</v>
      </c>
      <c r="F2597" t="s">
        <v>4780</v>
      </c>
      <c r="G2597" t="s">
        <v>1227</v>
      </c>
      <c r="H2597" t="s">
        <v>1228</v>
      </c>
      <c r="I2597" t="s">
        <v>86</v>
      </c>
      <c r="J2597">
        <v>55</v>
      </c>
      <c r="K2597" t="s">
        <v>83</v>
      </c>
      <c r="L2597" t="s">
        <v>2634</v>
      </c>
      <c r="M2597" t="s">
        <v>56</v>
      </c>
      <c r="N2597" t="s">
        <v>2587</v>
      </c>
      <c r="O2597" t="s">
        <v>116</v>
      </c>
      <c r="P2597" t="s">
        <v>48</v>
      </c>
      <c r="Q2597" t="s">
        <v>138</v>
      </c>
      <c r="R2597">
        <v>1</v>
      </c>
      <c r="S2597">
        <v>14999</v>
      </c>
      <c r="T2597">
        <v>0.15</v>
      </c>
      <c r="U2597">
        <v>12749.15</v>
      </c>
      <c r="V2597">
        <v>11200</v>
      </c>
      <c r="W2597">
        <v>1549.15</v>
      </c>
      <c r="X2597" t="s">
        <v>75</v>
      </c>
      <c r="Y2597" t="s">
        <v>68</v>
      </c>
      <c r="Z2597" t="s">
        <v>158</v>
      </c>
      <c r="AA2597" t="s">
        <v>170</v>
      </c>
      <c r="AB2597">
        <v>3.3</v>
      </c>
      <c r="AC2597">
        <v>100</v>
      </c>
      <c r="AD2597">
        <v>1110.19</v>
      </c>
      <c r="AE2597">
        <f t="shared" si="80"/>
        <v>338.96000000000004</v>
      </c>
      <c r="AF2597" t="str">
        <f t="shared" si="81"/>
        <v>2025-11</v>
      </c>
      <c r="AG2597">
        <f>SUBTOTAL(103,A2597)</f>
        <v>1</v>
      </c>
    </row>
    <row r="2598" spans="1:33" x14ac:dyDescent="0.3">
      <c r="A2598" t="s">
        <v>5220</v>
      </c>
      <c r="B2598" s="13">
        <v>45989</v>
      </c>
      <c r="C2598">
        <v>2025</v>
      </c>
      <c r="D2598">
        <v>11</v>
      </c>
      <c r="E2598" t="s">
        <v>5007</v>
      </c>
      <c r="F2598" t="s">
        <v>4780</v>
      </c>
      <c r="G2598" t="s">
        <v>523</v>
      </c>
      <c r="H2598" t="s">
        <v>524</v>
      </c>
      <c r="I2598" t="s">
        <v>85</v>
      </c>
      <c r="J2598">
        <v>26</v>
      </c>
      <c r="K2598" t="s">
        <v>81</v>
      </c>
      <c r="L2598" t="s">
        <v>2679</v>
      </c>
      <c r="M2598" t="s">
        <v>60</v>
      </c>
      <c r="N2598" t="s">
        <v>2603</v>
      </c>
      <c r="O2598" t="s">
        <v>122</v>
      </c>
      <c r="P2598" t="s">
        <v>48</v>
      </c>
      <c r="Q2598" t="s">
        <v>141</v>
      </c>
      <c r="R2598">
        <v>3</v>
      </c>
      <c r="S2598">
        <v>2499</v>
      </c>
      <c r="T2598">
        <v>0.1</v>
      </c>
      <c r="U2598">
        <v>6747.3</v>
      </c>
      <c r="V2598">
        <v>4350</v>
      </c>
      <c r="W2598">
        <v>2397.3000000000002</v>
      </c>
      <c r="X2598" t="s">
        <v>73</v>
      </c>
      <c r="Y2598" t="s">
        <v>68</v>
      </c>
      <c r="Z2598" t="s">
        <v>158</v>
      </c>
      <c r="AA2598" t="s">
        <v>170</v>
      </c>
      <c r="AB2598">
        <v>4.8</v>
      </c>
      <c r="AC2598">
        <v>40</v>
      </c>
      <c r="AD2598">
        <v>158.69</v>
      </c>
      <c r="AE2598">
        <f t="shared" si="80"/>
        <v>2198.61</v>
      </c>
      <c r="AF2598" t="str">
        <f t="shared" si="81"/>
        <v>2025-11</v>
      </c>
      <c r="AG2598">
        <f>SUBTOTAL(103,A2598)</f>
        <v>1</v>
      </c>
    </row>
    <row r="2599" spans="1:33" x14ac:dyDescent="0.3">
      <c r="A2599" t="s">
        <v>5221</v>
      </c>
      <c r="B2599" s="13">
        <v>45989</v>
      </c>
      <c r="C2599">
        <v>2025</v>
      </c>
      <c r="D2599">
        <v>11</v>
      </c>
      <c r="E2599" t="s">
        <v>5007</v>
      </c>
      <c r="F2599" t="s">
        <v>4780</v>
      </c>
      <c r="G2599" t="s">
        <v>785</v>
      </c>
      <c r="H2599" t="s">
        <v>786</v>
      </c>
      <c r="I2599" t="s">
        <v>85</v>
      </c>
      <c r="J2599">
        <v>51</v>
      </c>
      <c r="K2599" t="s">
        <v>83</v>
      </c>
      <c r="L2599" t="s">
        <v>98</v>
      </c>
      <c r="M2599" t="s">
        <v>55</v>
      </c>
      <c r="N2599" t="s">
        <v>2594</v>
      </c>
      <c r="O2599" t="s">
        <v>131</v>
      </c>
      <c r="P2599" t="s">
        <v>53</v>
      </c>
      <c r="Q2599" t="s">
        <v>143</v>
      </c>
      <c r="R2599">
        <v>2</v>
      </c>
      <c r="S2599">
        <v>999</v>
      </c>
      <c r="T2599">
        <v>0.05</v>
      </c>
      <c r="U2599">
        <v>1898.1</v>
      </c>
      <c r="V2599">
        <v>1040</v>
      </c>
      <c r="W2599">
        <v>858.1</v>
      </c>
      <c r="X2599" t="s">
        <v>73</v>
      </c>
      <c r="Y2599" t="s">
        <v>68</v>
      </c>
      <c r="Z2599" t="s">
        <v>159</v>
      </c>
      <c r="AA2599" t="s">
        <v>166</v>
      </c>
      <c r="AB2599">
        <v>3.6</v>
      </c>
      <c r="AC2599">
        <v>120</v>
      </c>
      <c r="AD2599">
        <v>187.68</v>
      </c>
      <c r="AE2599">
        <f t="shared" si="80"/>
        <v>550.42000000000007</v>
      </c>
      <c r="AF2599" t="str">
        <f t="shared" si="81"/>
        <v>2025-11</v>
      </c>
      <c r="AG2599">
        <f>SUBTOTAL(103,A2599)</f>
        <v>1</v>
      </c>
    </row>
    <row r="2600" spans="1:33" x14ac:dyDescent="0.3">
      <c r="A2600" t="s">
        <v>5222</v>
      </c>
      <c r="B2600" s="13">
        <v>45989</v>
      </c>
      <c r="C2600">
        <v>2025</v>
      </c>
      <c r="D2600">
        <v>11</v>
      </c>
      <c r="E2600" t="s">
        <v>5007</v>
      </c>
      <c r="F2600" t="s">
        <v>4780</v>
      </c>
      <c r="G2600" t="s">
        <v>739</v>
      </c>
      <c r="H2600" t="s">
        <v>740</v>
      </c>
      <c r="I2600" t="s">
        <v>86</v>
      </c>
      <c r="J2600">
        <v>21</v>
      </c>
      <c r="K2600" t="s">
        <v>80</v>
      </c>
      <c r="L2600" t="s">
        <v>96</v>
      </c>
      <c r="M2600" t="s">
        <v>55</v>
      </c>
      <c r="N2600" t="s">
        <v>2644</v>
      </c>
      <c r="O2600" t="s">
        <v>126</v>
      </c>
      <c r="P2600" t="s">
        <v>50</v>
      </c>
      <c r="Q2600" t="s">
        <v>145</v>
      </c>
      <c r="R2600">
        <v>1</v>
      </c>
      <c r="S2600">
        <v>1799</v>
      </c>
      <c r="T2600">
        <v>0.15</v>
      </c>
      <c r="U2600">
        <v>1529.15</v>
      </c>
      <c r="V2600">
        <v>950</v>
      </c>
      <c r="W2600">
        <v>579.15</v>
      </c>
      <c r="X2600" t="s">
        <v>73</v>
      </c>
      <c r="Y2600" t="s">
        <v>68</v>
      </c>
      <c r="Z2600" t="s">
        <v>161</v>
      </c>
      <c r="AA2600" t="s">
        <v>166</v>
      </c>
      <c r="AB2600">
        <v>4.7</v>
      </c>
      <c r="AC2600">
        <v>100</v>
      </c>
      <c r="AD2600">
        <v>58.16</v>
      </c>
      <c r="AE2600">
        <f t="shared" si="80"/>
        <v>420.99</v>
      </c>
      <c r="AF2600" t="str">
        <f t="shared" si="81"/>
        <v>2025-11</v>
      </c>
      <c r="AG2600">
        <f>SUBTOTAL(103,A2600)</f>
        <v>1</v>
      </c>
    </row>
    <row r="2601" spans="1:33" x14ac:dyDescent="0.3">
      <c r="A2601" t="s">
        <v>5223</v>
      </c>
      <c r="B2601" s="13">
        <v>45989</v>
      </c>
      <c r="C2601">
        <v>2025</v>
      </c>
      <c r="D2601">
        <v>11</v>
      </c>
      <c r="E2601" t="s">
        <v>5007</v>
      </c>
      <c r="F2601" t="s">
        <v>4780</v>
      </c>
      <c r="G2601" t="s">
        <v>637</v>
      </c>
      <c r="H2601" t="s">
        <v>638</v>
      </c>
      <c r="I2601" t="s">
        <v>86</v>
      </c>
      <c r="J2601">
        <v>57</v>
      </c>
      <c r="K2601" t="s">
        <v>83</v>
      </c>
      <c r="L2601" t="s">
        <v>91</v>
      </c>
      <c r="M2601" t="s">
        <v>55</v>
      </c>
      <c r="N2601" t="s">
        <v>2647</v>
      </c>
      <c r="O2601" t="s">
        <v>133</v>
      </c>
      <c r="P2601" t="s">
        <v>50</v>
      </c>
      <c r="Q2601" t="s">
        <v>145</v>
      </c>
      <c r="R2601">
        <v>4</v>
      </c>
      <c r="S2601">
        <v>799</v>
      </c>
      <c r="T2601">
        <v>0.15</v>
      </c>
      <c r="U2601">
        <v>2716.6</v>
      </c>
      <c r="V2601">
        <v>1560</v>
      </c>
      <c r="W2601">
        <v>1156.5999999999999</v>
      </c>
      <c r="X2601" t="s">
        <v>77</v>
      </c>
      <c r="Y2601" t="s">
        <v>70</v>
      </c>
      <c r="Z2601" t="s">
        <v>160</v>
      </c>
      <c r="AA2601" t="s">
        <v>166</v>
      </c>
      <c r="AB2601">
        <v>4.0999999999999996</v>
      </c>
      <c r="AC2601">
        <v>50</v>
      </c>
      <c r="AD2601">
        <v>244.74</v>
      </c>
      <c r="AE2601">
        <f t="shared" si="80"/>
        <v>861.8599999999999</v>
      </c>
      <c r="AF2601" t="str">
        <f t="shared" si="81"/>
        <v>2025-11</v>
      </c>
      <c r="AG2601">
        <f>SUBTOTAL(103,A2601)</f>
        <v>1</v>
      </c>
    </row>
    <row r="2602" spans="1:33" x14ac:dyDescent="0.3">
      <c r="A2602" t="s">
        <v>5224</v>
      </c>
      <c r="B2602" s="13">
        <v>45989</v>
      </c>
      <c r="C2602">
        <v>2025</v>
      </c>
      <c r="D2602">
        <v>11</v>
      </c>
      <c r="E2602" t="s">
        <v>5007</v>
      </c>
      <c r="F2602" t="s">
        <v>4780</v>
      </c>
      <c r="G2602" t="s">
        <v>1553</v>
      </c>
      <c r="H2602" t="s">
        <v>1554</v>
      </c>
      <c r="I2602" t="s">
        <v>86</v>
      </c>
      <c r="J2602">
        <v>29</v>
      </c>
      <c r="K2602" t="s">
        <v>81</v>
      </c>
      <c r="L2602" t="s">
        <v>93</v>
      </c>
      <c r="M2602" t="s">
        <v>55</v>
      </c>
      <c r="N2602" t="s">
        <v>2596</v>
      </c>
      <c r="O2602" t="s">
        <v>124</v>
      </c>
      <c r="P2602" t="s">
        <v>51</v>
      </c>
      <c r="Q2602" t="s">
        <v>147</v>
      </c>
      <c r="R2602">
        <v>2</v>
      </c>
      <c r="S2602">
        <v>2299</v>
      </c>
      <c r="T2602">
        <v>0.05</v>
      </c>
      <c r="U2602">
        <v>4368.1000000000004</v>
      </c>
      <c r="V2602">
        <v>2400</v>
      </c>
      <c r="W2602">
        <v>1968.1</v>
      </c>
      <c r="X2602" t="s">
        <v>74</v>
      </c>
      <c r="Y2602" t="s">
        <v>68</v>
      </c>
      <c r="Z2602" t="s">
        <v>160</v>
      </c>
      <c r="AA2602" t="s">
        <v>167</v>
      </c>
      <c r="AB2602">
        <v>4.8</v>
      </c>
      <c r="AC2602">
        <v>80</v>
      </c>
      <c r="AD2602">
        <v>318.85000000000002</v>
      </c>
      <c r="AE2602">
        <f t="shared" si="80"/>
        <v>1569.25</v>
      </c>
      <c r="AF2602" t="str">
        <f t="shared" si="81"/>
        <v>2025-11</v>
      </c>
      <c r="AG2602">
        <f>SUBTOTAL(103,A2602)</f>
        <v>1</v>
      </c>
    </row>
    <row r="2603" spans="1:33" x14ac:dyDescent="0.3">
      <c r="A2603" t="s">
        <v>5225</v>
      </c>
      <c r="B2603" s="13">
        <v>45989</v>
      </c>
      <c r="C2603">
        <v>2025</v>
      </c>
      <c r="D2603">
        <v>11</v>
      </c>
      <c r="E2603" t="s">
        <v>5007</v>
      </c>
      <c r="F2603" t="s">
        <v>4780</v>
      </c>
      <c r="G2603" t="s">
        <v>467</v>
      </c>
      <c r="H2603" t="s">
        <v>468</v>
      </c>
      <c r="I2603" t="s">
        <v>85</v>
      </c>
      <c r="J2603">
        <v>42</v>
      </c>
      <c r="K2603" t="s">
        <v>82</v>
      </c>
      <c r="L2603" t="s">
        <v>2616</v>
      </c>
      <c r="M2603" t="s">
        <v>62</v>
      </c>
      <c r="N2603" t="s">
        <v>2587</v>
      </c>
      <c r="O2603" t="s">
        <v>116</v>
      </c>
      <c r="P2603" t="s">
        <v>48</v>
      </c>
      <c r="Q2603" t="s">
        <v>138</v>
      </c>
      <c r="R2603">
        <v>2</v>
      </c>
      <c r="S2603">
        <v>14999</v>
      </c>
      <c r="T2603">
        <v>0</v>
      </c>
      <c r="U2603">
        <v>29998</v>
      </c>
      <c r="V2603">
        <v>22400</v>
      </c>
      <c r="W2603">
        <v>7598</v>
      </c>
      <c r="X2603" t="s">
        <v>73</v>
      </c>
      <c r="Y2603" t="s">
        <v>68</v>
      </c>
      <c r="Z2603" t="s">
        <v>161</v>
      </c>
      <c r="AA2603" t="s">
        <v>171</v>
      </c>
      <c r="AB2603">
        <v>2.8</v>
      </c>
      <c r="AC2603">
        <v>120</v>
      </c>
      <c r="AD2603">
        <v>1507.81</v>
      </c>
      <c r="AE2603">
        <f t="shared" si="80"/>
        <v>5970.1900000000005</v>
      </c>
      <c r="AF2603" t="str">
        <f t="shared" si="81"/>
        <v>2025-11</v>
      </c>
      <c r="AG2603">
        <f>SUBTOTAL(103,A2603)</f>
        <v>1</v>
      </c>
    </row>
    <row r="2604" spans="1:33" x14ac:dyDescent="0.3">
      <c r="A2604" t="s">
        <v>5226</v>
      </c>
      <c r="B2604" s="13">
        <v>45989</v>
      </c>
      <c r="C2604">
        <v>2025</v>
      </c>
      <c r="D2604">
        <v>11</v>
      </c>
      <c r="E2604" t="s">
        <v>5007</v>
      </c>
      <c r="F2604" t="s">
        <v>4780</v>
      </c>
      <c r="G2604" t="s">
        <v>1847</v>
      </c>
      <c r="H2604" t="s">
        <v>1848</v>
      </c>
      <c r="I2604" t="s">
        <v>85</v>
      </c>
      <c r="J2604">
        <v>49</v>
      </c>
      <c r="K2604" t="s">
        <v>83</v>
      </c>
      <c r="L2604" t="s">
        <v>94</v>
      </c>
      <c r="M2604" t="s">
        <v>57</v>
      </c>
      <c r="N2604" t="s">
        <v>2647</v>
      </c>
      <c r="O2604" t="s">
        <v>133</v>
      </c>
      <c r="P2604" t="s">
        <v>50</v>
      </c>
      <c r="Q2604" t="s">
        <v>145</v>
      </c>
      <c r="R2604">
        <v>4</v>
      </c>
      <c r="S2604">
        <v>799</v>
      </c>
      <c r="T2604">
        <v>0</v>
      </c>
      <c r="U2604">
        <v>3196</v>
      </c>
      <c r="V2604">
        <v>1560</v>
      </c>
      <c r="W2604">
        <v>1636</v>
      </c>
      <c r="X2604" t="s">
        <v>74</v>
      </c>
      <c r="Y2604" t="s">
        <v>68</v>
      </c>
      <c r="Z2604" t="s">
        <v>160</v>
      </c>
      <c r="AA2604" t="s">
        <v>171</v>
      </c>
      <c r="AB2604">
        <v>3.8</v>
      </c>
      <c r="AC2604">
        <v>80</v>
      </c>
      <c r="AD2604">
        <v>289.75</v>
      </c>
      <c r="AE2604">
        <f t="shared" si="80"/>
        <v>1266.25</v>
      </c>
      <c r="AF2604" t="str">
        <f t="shared" si="81"/>
        <v>2025-11</v>
      </c>
      <c r="AG2604">
        <f>SUBTOTAL(103,A2604)</f>
        <v>1</v>
      </c>
    </row>
    <row r="2605" spans="1:33" x14ac:dyDescent="0.3">
      <c r="A2605" t="s">
        <v>5227</v>
      </c>
      <c r="B2605" s="13">
        <v>45990</v>
      </c>
      <c r="C2605">
        <v>2025</v>
      </c>
      <c r="D2605">
        <v>11</v>
      </c>
      <c r="E2605" t="s">
        <v>5007</v>
      </c>
      <c r="F2605" t="s">
        <v>4780</v>
      </c>
      <c r="G2605" t="s">
        <v>1625</v>
      </c>
      <c r="H2605" t="s">
        <v>1626</v>
      </c>
      <c r="I2605" t="s">
        <v>87</v>
      </c>
      <c r="J2605">
        <v>60</v>
      </c>
      <c r="K2605" t="s">
        <v>83</v>
      </c>
      <c r="L2605" t="s">
        <v>2623</v>
      </c>
      <c r="M2605" t="s">
        <v>61</v>
      </c>
      <c r="N2605" t="s">
        <v>2644</v>
      </c>
      <c r="O2605" t="s">
        <v>126</v>
      </c>
      <c r="P2605" t="s">
        <v>50</v>
      </c>
      <c r="Q2605" t="s">
        <v>145</v>
      </c>
      <c r="R2605">
        <v>2</v>
      </c>
      <c r="S2605">
        <v>1799</v>
      </c>
      <c r="T2605">
        <v>0.1</v>
      </c>
      <c r="U2605">
        <v>3238.2</v>
      </c>
      <c r="V2605">
        <v>1900</v>
      </c>
      <c r="W2605">
        <v>1338.2</v>
      </c>
      <c r="X2605" t="s">
        <v>75</v>
      </c>
      <c r="Y2605" t="s">
        <v>68</v>
      </c>
      <c r="Z2605" t="s">
        <v>161</v>
      </c>
      <c r="AA2605" t="s">
        <v>169</v>
      </c>
      <c r="AB2605">
        <v>3.7</v>
      </c>
      <c r="AC2605">
        <v>50</v>
      </c>
      <c r="AD2605">
        <v>155.36000000000001</v>
      </c>
      <c r="AE2605">
        <f t="shared" si="80"/>
        <v>1132.8400000000001</v>
      </c>
      <c r="AF2605" t="str">
        <f t="shared" si="81"/>
        <v>2025-11</v>
      </c>
      <c r="AG2605">
        <f>SUBTOTAL(103,A2605)</f>
        <v>1</v>
      </c>
    </row>
    <row r="2606" spans="1:33" x14ac:dyDescent="0.3">
      <c r="A2606" t="s">
        <v>5228</v>
      </c>
      <c r="B2606" s="13">
        <v>45990</v>
      </c>
      <c r="C2606">
        <v>2025</v>
      </c>
      <c r="D2606">
        <v>11</v>
      </c>
      <c r="E2606" t="s">
        <v>5007</v>
      </c>
      <c r="F2606" t="s">
        <v>4780</v>
      </c>
      <c r="G2606" t="s">
        <v>953</v>
      </c>
      <c r="H2606" t="s">
        <v>954</v>
      </c>
      <c r="I2606" t="s">
        <v>86</v>
      </c>
      <c r="J2606">
        <v>42</v>
      </c>
      <c r="K2606" t="s">
        <v>82</v>
      </c>
      <c r="L2606" t="s">
        <v>2687</v>
      </c>
      <c r="M2606" t="s">
        <v>57</v>
      </c>
      <c r="N2606" t="s">
        <v>2582</v>
      </c>
      <c r="O2606" t="s">
        <v>119</v>
      </c>
      <c r="P2606" t="s">
        <v>49</v>
      </c>
      <c r="Q2606" t="s">
        <v>140</v>
      </c>
      <c r="R2606">
        <v>1</v>
      </c>
      <c r="S2606">
        <v>3499</v>
      </c>
      <c r="T2606">
        <v>0</v>
      </c>
      <c r="U2606">
        <v>3499</v>
      </c>
      <c r="V2606">
        <v>2100</v>
      </c>
      <c r="W2606">
        <v>1399</v>
      </c>
      <c r="X2606" t="s">
        <v>76</v>
      </c>
      <c r="Y2606" t="s">
        <v>68</v>
      </c>
      <c r="Z2606" t="s">
        <v>158</v>
      </c>
      <c r="AA2606" t="s">
        <v>168</v>
      </c>
      <c r="AB2606">
        <v>3.8</v>
      </c>
      <c r="AC2606">
        <v>60</v>
      </c>
      <c r="AD2606">
        <v>338.93</v>
      </c>
      <c r="AE2606">
        <f t="shared" si="80"/>
        <v>1000.0699999999999</v>
      </c>
      <c r="AF2606" t="str">
        <f t="shared" si="81"/>
        <v>2025-11</v>
      </c>
      <c r="AG2606">
        <f>SUBTOTAL(103,A2606)</f>
        <v>1</v>
      </c>
    </row>
    <row r="2607" spans="1:33" x14ac:dyDescent="0.3">
      <c r="A2607" t="s">
        <v>5229</v>
      </c>
      <c r="B2607" s="13">
        <v>45990</v>
      </c>
      <c r="C2607">
        <v>2025</v>
      </c>
      <c r="D2607">
        <v>11</v>
      </c>
      <c r="E2607" t="s">
        <v>5007</v>
      </c>
      <c r="F2607" t="s">
        <v>4780</v>
      </c>
      <c r="G2607" t="s">
        <v>997</v>
      </c>
      <c r="H2607" t="s">
        <v>998</v>
      </c>
      <c r="I2607" t="s">
        <v>86</v>
      </c>
      <c r="J2607">
        <v>22</v>
      </c>
      <c r="K2607" t="s">
        <v>80</v>
      </c>
      <c r="L2607" t="s">
        <v>92</v>
      </c>
      <c r="M2607" t="s">
        <v>59</v>
      </c>
      <c r="N2607" t="s">
        <v>2580</v>
      </c>
      <c r="O2607" t="s">
        <v>118</v>
      </c>
      <c r="P2607" t="s">
        <v>48</v>
      </c>
      <c r="Q2607" t="s">
        <v>142</v>
      </c>
      <c r="R2607">
        <v>1</v>
      </c>
      <c r="S2607">
        <v>3999</v>
      </c>
      <c r="T2607">
        <v>0.05</v>
      </c>
      <c r="U2607">
        <v>3799.05</v>
      </c>
      <c r="V2607">
        <v>2400</v>
      </c>
      <c r="W2607">
        <v>1399.05</v>
      </c>
      <c r="X2607" t="s">
        <v>75</v>
      </c>
      <c r="Y2607" t="s">
        <v>68</v>
      </c>
      <c r="Z2607" t="s">
        <v>159</v>
      </c>
      <c r="AA2607" t="s">
        <v>166</v>
      </c>
      <c r="AB2607">
        <v>4.5999999999999996</v>
      </c>
      <c r="AC2607">
        <v>60</v>
      </c>
      <c r="AD2607">
        <v>89.69</v>
      </c>
      <c r="AE2607">
        <f t="shared" si="80"/>
        <v>1249.3599999999999</v>
      </c>
      <c r="AF2607" t="str">
        <f t="shared" si="81"/>
        <v>2025-11</v>
      </c>
      <c r="AG2607">
        <f>SUBTOTAL(103,A2607)</f>
        <v>1</v>
      </c>
    </row>
    <row r="2608" spans="1:33" x14ac:dyDescent="0.3">
      <c r="A2608" t="s">
        <v>5230</v>
      </c>
      <c r="B2608" s="13">
        <v>45990</v>
      </c>
      <c r="C2608">
        <v>2025</v>
      </c>
      <c r="D2608">
        <v>11</v>
      </c>
      <c r="E2608" t="s">
        <v>5007</v>
      </c>
      <c r="F2608" t="s">
        <v>4780</v>
      </c>
      <c r="G2608" t="s">
        <v>269</v>
      </c>
      <c r="H2608" t="s">
        <v>270</v>
      </c>
      <c r="I2608" t="s">
        <v>85</v>
      </c>
      <c r="J2608">
        <v>35</v>
      </c>
      <c r="K2608" t="s">
        <v>81</v>
      </c>
      <c r="L2608" t="s">
        <v>97</v>
      </c>
      <c r="M2608" t="s">
        <v>57</v>
      </c>
      <c r="N2608" t="s">
        <v>2657</v>
      </c>
      <c r="O2608" t="s">
        <v>134</v>
      </c>
      <c r="P2608" t="s">
        <v>49</v>
      </c>
      <c r="Q2608" t="s">
        <v>140</v>
      </c>
      <c r="R2608">
        <v>1</v>
      </c>
      <c r="S2608">
        <v>599</v>
      </c>
      <c r="T2608">
        <v>0</v>
      </c>
      <c r="U2608">
        <v>599</v>
      </c>
      <c r="V2608">
        <v>250</v>
      </c>
      <c r="W2608">
        <v>349</v>
      </c>
      <c r="X2608" t="s">
        <v>77</v>
      </c>
      <c r="Y2608" t="s">
        <v>68</v>
      </c>
      <c r="Z2608" t="s">
        <v>162</v>
      </c>
      <c r="AA2608" t="s">
        <v>171</v>
      </c>
      <c r="AB2608">
        <v>4.5</v>
      </c>
      <c r="AC2608">
        <v>80</v>
      </c>
      <c r="AD2608">
        <v>28.4</v>
      </c>
      <c r="AE2608">
        <f t="shared" si="80"/>
        <v>240.6</v>
      </c>
      <c r="AF2608" t="str">
        <f t="shared" si="81"/>
        <v>2025-11</v>
      </c>
      <c r="AG2608">
        <f>SUBTOTAL(103,A2608)</f>
        <v>1</v>
      </c>
    </row>
    <row r="2609" spans="1:33" x14ac:dyDescent="0.3">
      <c r="A2609" t="s">
        <v>5231</v>
      </c>
      <c r="B2609" s="13">
        <v>45990</v>
      </c>
      <c r="C2609">
        <v>2025</v>
      </c>
      <c r="D2609">
        <v>11</v>
      </c>
      <c r="E2609" t="s">
        <v>5007</v>
      </c>
      <c r="F2609" t="s">
        <v>4780</v>
      </c>
      <c r="G2609" t="s">
        <v>933</v>
      </c>
      <c r="H2609" t="s">
        <v>934</v>
      </c>
      <c r="I2609" t="s">
        <v>85</v>
      </c>
      <c r="J2609">
        <v>30</v>
      </c>
      <c r="K2609" t="s">
        <v>81</v>
      </c>
      <c r="L2609" t="s">
        <v>96</v>
      </c>
      <c r="M2609" t="s">
        <v>55</v>
      </c>
      <c r="N2609" t="s">
        <v>2606</v>
      </c>
      <c r="O2609" t="s">
        <v>120</v>
      </c>
      <c r="P2609" t="s">
        <v>49</v>
      </c>
      <c r="Q2609" t="s">
        <v>140</v>
      </c>
      <c r="R2609">
        <v>4</v>
      </c>
      <c r="S2609">
        <v>2799</v>
      </c>
      <c r="T2609">
        <v>0.05</v>
      </c>
      <c r="U2609">
        <v>10636.2</v>
      </c>
      <c r="V2609">
        <v>6600</v>
      </c>
      <c r="W2609">
        <v>4036.2</v>
      </c>
      <c r="X2609" t="s">
        <v>73</v>
      </c>
      <c r="Y2609" t="s">
        <v>68</v>
      </c>
      <c r="Z2609" t="s">
        <v>163</v>
      </c>
      <c r="AA2609" t="s">
        <v>166</v>
      </c>
      <c r="AB2609">
        <v>4.0999999999999996</v>
      </c>
      <c r="AC2609">
        <v>80</v>
      </c>
      <c r="AD2609">
        <v>391.04</v>
      </c>
      <c r="AE2609">
        <f t="shared" si="80"/>
        <v>3565.16</v>
      </c>
      <c r="AF2609" t="str">
        <f t="shared" si="81"/>
        <v>2025-11</v>
      </c>
      <c r="AG2609">
        <f>SUBTOTAL(103,A2609)</f>
        <v>1</v>
      </c>
    </row>
    <row r="2610" spans="1:33" x14ac:dyDescent="0.3">
      <c r="A2610" t="s">
        <v>5232</v>
      </c>
      <c r="B2610" s="13">
        <v>45990</v>
      </c>
      <c r="C2610">
        <v>2025</v>
      </c>
      <c r="D2610">
        <v>11</v>
      </c>
      <c r="E2610" t="s">
        <v>5007</v>
      </c>
      <c r="F2610" t="s">
        <v>4780</v>
      </c>
      <c r="G2610" t="s">
        <v>2333</v>
      </c>
      <c r="H2610" t="s">
        <v>2334</v>
      </c>
      <c r="I2610" t="s">
        <v>86</v>
      </c>
      <c r="J2610">
        <v>26</v>
      </c>
      <c r="K2610" t="s">
        <v>81</v>
      </c>
      <c r="L2610" t="s">
        <v>94</v>
      </c>
      <c r="M2610" t="s">
        <v>57</v>
      </c>
      <c r="N2610" t="s">
        <v>2574</v>
      </c>
      <c r="O2610" t="s">
        <v>130</v>
      </c>
      <c r="P2610" t="s">
        <v>50</v>
      </c>
      <c r="Q2610" t="s">
        <v>53</v>
      </c>
      <c r="R2610">
        <v>1</v>
      </c>
      <c r="S2610">
        <v>1199</v>
      </c>
      <c r="T2610">
        <v>0</v>
      </c>
      <c r="U2610">
        <v>1199</v>
      </c>
      <c r="V2610">
        <v>550</v>
      </c>
      <c r="W2610">
        <v>649</v>
      </c>
      <c r="X2610" t="s">
        <v>74</v>
      </c>
      <c r="Y2610" t="s">
        <v>68</v>
      </c>
      <c r="Z2610" t="s">
        <v>158</v>
      </c>
      <c r="AA2610" t="s">
        <v>167</v>
      </c>
      <c r="AB2610">
        <v>3.9</v>
      </c>
      <c r="AC2610">
        <v>100</v>
      </c>
      <c r="AD2610">
        <v>40.42</v>
      </c>
      <c r="AE2610">
        <f t="shared" si="80"/>
        <v>508.58</v>
      </c>
      <c r="AF2610" t="str">
        <f t="shared" si="81"/>
        <v>2025-11</v>
      </c>
      <c r="AG2610">
        <f>SUBTOTAL(103,A2610)</f>
        <v>1</v>
      </c>
    </row>
    <row r="2611" spans="1:33" x14ac:dyDescent="0.3">
      <c r="A2611" t="s">
        <v>5233</v>
      </c>
      <c r="B2611" s="13">
        <v>45990</v>
      </c>
      <c r="C2611">
        <v>2025</v>
      </c>
      <c r="D2611">
        <v>11</v>
      </c>
      <c r="E2611" t="s">
        <v>5007</v>
      </c>
      <c r="F2611" t="s">
        <v>4780</v>
      </c>
      <c r="G2611" t="s">
        <v>403</v>
      </c>
      <c r="H2611" t="s">
        <v>404</v>
      </c>
      <c r="I2611" t="s">
        <v>85</v>
      </c>
      <c r="J2611">
        <v>29</v>
      </c>
      <c r="K2611" t="s">
        <v>81</v>
      </c>
      <c r="L2611" t="s">
        <v>90</v>
      </c>
      <c r="M2611" t="s">
        <v>55</v>
      </c>
      <c r="N2611" t="s">
        <v>2592</v>
      </c>
      <c r="O2611" t="s">
        <v>115</v>
      </c>
      <c r="P2611" t="s">
        <v>48</v>
      </c>
      <c r="Q2611" t="s">
        <v>137</v>
      </c>
      <c r="R2611">
        <v>2</v>
      </c>
      <c r="S2611">
        <v>12999</v>
      </c>
      <c r="T2611">
        <v>0.2</v>
      </c>
      <c r="U2611">
        <v>20798.400000000001</v>
      </c>
      <c r="V2611">
        <v>18000</v>
      </c>
      <c r="W2611">
        <v>2798.4</v>
      </c>
      <c r="X2611" t="s">
        <v>73</v>
      </c>
      <c r="Y2611" t="s">
        <v>68</v>
      </c>
      <c r="Z2611" t="s">
        <v>163</v>
      </c>
      <c r="AA2611" t="s">
        <v>168</v>
      </c>
      <c r="AB2611">
        <v>3.9</v>
      </c>
      <c r="AC2611">
        <v>80</v>
      </c>
      <c r="AD2611">
        <v>1501.24</v>
      </c>
      <c r="AE2611">
        <f t="shared" si="80"/>
        <v>1217.1600000000001</v>
      </c>
      <c r="AF2611" t="str">
        <f t="shared" si="81"/>
        <v>2025-11</v>
      </c>
      <c r="AG2611">
        <f>SUBTOTAL(103,A2611)</f>
        <v>1</v>
      </c>
    </row>
    <row r="2612" spans="1:33" x14ac:dyDescent="0.3">
      <c r="A2612" t="s">
        <v>5234</v>
      </c>
      <c r="B2612" s="13">
        <v>45990</v>
      </c>
      <c r="C2612">
        <v>2025</v>
      </c>
      <c r="D2612">
        <v>11</v>
      </c>
      <c r="E2612" t="s">
        <v>5007</v>
      </c>
      <c r="F2612" t="s">
        <v>4780</v>
      </c>
      <c r="G2612" t="s">
        <v>939</v>
      </c>
      <c r="H2612" t="s">
        <v>940</v>
      </c>
      <c r="I2612" t="s">
        <v>85</v>
      </c>
      <c r="J2612">
        <v>35</v>
      </c>
      <c r="K2612" t="s">
        <v>81</v>
      </c>
      <c r="L2612" t="s">
        <v>97</v>
      </c>
      <c r="M2612" t="s">
        <v>57</v>
      </c>
      <c r="N2612" t="s">
        <v>2657</v>
      </c>
      <c r="O2612" t="s">
        <v>134</v>
      </c>
      <c r="P2612" t="s">
        <v>49</v>
      </c>
      <c r="Q2612" t="s">
        <v>140</v>
      </c>
      <c r="R2612">
        <v>1</v>
      </c>
      <c r="S2612">
        <v>599</v>
      </c>
      <c r="T2612">
        <v>0.2</v>
      </c>
      <c r="U2612">
        <v>479.2</v>
      </c>
      <c r="V2612">
        <v>250</v>
      </c>
      <c r="W2612">
        <v>229.2</v>
      </c>
      <c r="X2612" t="s">
        <v>74</v>
      </c>
      <c r="Y2612" t="s">
        <v>68</v>
      </c>
      <c r="Z2612" t="s">
        <v>158</v>
      </c>
      <c r="AA2612" t="s">
        <v>168</v>
      </c>
      <c r="AB2612">
        <v>3.5</v>
      </c>
      <c r="AC2612">
        <v>60</v>
      </c>
      <c r="AD2612">
        <v>49.55</v>
      </c>
      <c r="AE2612">
        <f t="shared" si="80"/>
        <v>119.64999999999999</v>
      </c>
      <c r="AF2612" t="str">
        <f t="shared" si="81"/>
        <v>2025-11</v>
      </c>
      <c r="AG2612">
        <f>SUBTOTAL(103,A2612)</f>
        <v>1</v>
      </c>
    </row>
    <row r="2613" spans="1:33" x14ac:dyDescent="0.3">
      <c r="A2613" t="s">
        <v>5235</v>
      </c>
      <c r="B2613" s="13">
        <v>45990</v>
      </c>
      <c r="C2613">
        <v>2025</v>
      </c>
      <c r="D2613">
        <v>11</v>
      </c>
      <c r="E2613" t="s">
        <v>5007</v>
      </c>
      <c r="F2613" t="s">
        <v>4780</v>
      </c>
      <c r="G2613" t="s">
        <v>1813</v>
      </c>
      <c r="H2613" t="s">
        <v>1814</v>
      </c>
      <c r="I2613" t="s">
        <v>86</v>
      </c>
      <c r="J2613">
        <v>23</v>
      </c>
      <c r="K2613" t="s">
        <v>80</v>
      </c>
      <c r="L2613" t="s">
        <v>2623</v>
      </c>
      <c r="M2613" t="s">
        <v>61</v>
      </c>
      <c r="N2613" t="s">
        <v>2582</v>
      </c>
      <c r="O2613" t="s">
        <v>119</v>
      </c>
      <c r="P2613" t="s">
        <v>49</v>
      </c>
      <c r="Q2613" t="s">
        <v>140</v>
      </c>
      <c r="R2613">
        <v>1</v>
      </c>
      <c r="S2613">
        <v>3499</v>
      </c>
      <c r="T2613">
        <v>0.1</v>
      </c>
      <c r="U2613">
        <v>3149.1</v>
      </c>
      <c r="V2613">
        <v>2100</v>
      </c>
      <c r="W2613">
        <v>1049.0999999999999</v>
      </c>
      <c r="X2613" t="s">
        <v>76</v>
      </c>
      <c r="Y2613" t="s">
        <v>68</v>
      </c>
      <c r="Z2613" t="s">
        <v>159</v>
      </c>
      <c r="AA2613" t="s">
        <v>168</v>
      </c>
      <c r="AB2613">
        <v>3.2</v>
      </c>
      <c r="AC2613">
        <v>60</v>
      </c>
      <c r="AD2613">
        <v>262.52999999999997</v>
      </c>
      <c r="AE2613">
        <f t="shared" si="80"/>
        <v>726.56999999999994</v>
      </c>
      <c r="AF2613" t="str">
        <f t="shared" si="81"/>
        <v>2025-11</v>
      </c>
      <c r="AG2613">
        <f>SUBTOTAL(103,A2613)</f>
        <v>1</v>
      </c>
    </row>
    <row r="2614" spans="1:33" x14ac:dyDescent="0.3">
      <c r="A2614" t="s">
        <v>5236</v>
      </c>
      <c r="B2614" s="13">
        <v>45990</v>
      </c>
      <c r="C2614">
        <v>2025</v>
      </c>
      <c r="D2614">
        <v>11</v>
      </c>
      <c r="E2614" t="s">
        <v>5007</v>
      </c>
      <c r="F2614" t="s">
        <v>4780</v>
      </c>
      <c r="G2614" t="s">
        <v>811</v>
      </c>
      <c r="H2614" t="s">
        <v>812</v>
      </c>
      <c r="I2614" t="s">
        <v>85</v>
      </c>
      <c r="J2614">
        <v>47</v>
      </c>
      <c r="K2614" t="s">
        <v>83</v>
      </c>
      <c r="L2614" t="s">
        <v>92</v>
      </c>
      <c r="M2614" t="s">
        <v>59</v>
      </c>
      <c r="N2614" t="s">
        <v>2626</v>
      </c>
      <c r="O2614" t="s">
        <v>125</v>
      </c>
      <c r="P2614" t="s">
        <v>48</v>
      </c>
      <c r="Q2614" t="s">
        <v>141</v>
      </c>
      <c r="R2614">
        <v>1</v>
      </c>
      <c r="S2614">
        <v>1999</v>
      </c>
      <c r="T2614">
        <v>0.25</v>
      </c>
      <c r="U2614">
        <v>1499.25</v>
      </c>
      <c r="V2614">
        <v>1150</v>
      </c>
      <c r="W2614">
        <v>349.25</v>
      </c>
      <c r="X2614" t="s">
        <v>75</v>
      </c>
      <c r="Y2614" t="s">
        <v>68</v>
      </c>
      <c r="Z2614" t="s">
        <v>160</v>
      </c>
      <c r="AA2614" t="s">
        <v>166</v>
      </c>
      <c r="AB2614">
        <v>5</v>
      </c>
      <c r="AC2614">
        <v>50</v>
      </c>
      <c r="AD2614">
        <v>140.44999999999999</v>
      </c>
      <c r="AE2614">
        <f t="shared" si="80"/>
        <v>158.80000000000001</v>
      </c>
      <c r="AF2614" t="str">
        <f t="shared" si="81"/>
        <v>2025-11</v>
      </c>
      <c r="AG2614">
        <f>SUBTOTAL(103,A2614)</f>
        <v>1</v>
      </c>
    </row>
    <row r="2615" spans="1:33" x14ac:dyDescent="0.3">
      <c r="A2615" t="s">
        <v>5237</v>
      </c>
      <c r="B2615" s="13">
        <v>45990</v>
      </c>
      <c r="C2615">
        <v>2025</v>
      </c>
      <c r="D2615">
        <v>11</v>
      </c>
      <c r="E2615" t="s">
        <v>5007</v>
      </c>
      <c r="F2615" t="s">
        <v>4780</v>
      </c>
      <c r="G2615" t="s">
        <v>663</v>
      </c>
      <c r="H2615" t="s">
        <v>664</v>
      </c>
      <c r="I2615" t="s">
        <v>86</v>
      </c>
      <c r="J2615">
        <v>49</v>
      </c>
      <c r="K2615" t="s">
        <v>83</v>
      </c>
      <c r="L2615" t="s">
        <v>98</v>
      </c>
      <c r="M2615" t="s">
        <v>55</v>
      </c>
      <c r="N2615" t="s">
        <v>2577</v>
      </c>
      <c r="O2615" t="s">
        <v>129</v>
      </c>
      <c r="P2615" t="s">
        <v>49</v>
      </c>
      <c r="Q2615" t="s">
        <v>149</v>
      </c>
      <c r="R2615">
        <v>2</v>
      </c>
      <c r="S2615">
        <v>1299</v>
      </c>
      <c r="T2615">
        <v>0.15</v>
      </c>
      <c r="U2615">
        <v>2208.3000000000002</v>
      </c>
      <c r="V2615">
        <v>1300</v>
      </c>
      <c r="W2615">
        <v>908.3</v>
      </c>
      <c r="X2615" t="s">
        <v>74</v>
      </c>
      <c r="Y2615" t="s">
        <v>68</v>
      </c>
      <c r="Z2615" t="s">
        <v>162</v>
      </c>
      <c r="AA2615" t="s">
        <v>167</v>
      </c>
      <c r="AB2615">
        <v>4.3</v>
      </c>
      <c r="AC2615">
        <v>40</v>
      </c>
      <c r="AD2615">
        <v>170.69</v>
      </c>
      <c r="AE2615">
        <f t="shared" si="80"/>
        <v>697.6099999999999</v>
      </c>
      <c r="AF2615" t="str">
        <f t="shared" si="81"/>
        <v>2025-11</v>
      </c>
      <c r="AG2615">
        <f>SUBTOTAL(103,A2615)</f>
        <v>1</v>
      </c>
    </row>
    <row r="2616" spans="1:33" x14ac:dyDescent="0.3">
      <c r="A2616" t="s">
        <v>5238</v>
      </c>
      <c r="B2616" s="13">
        <v>45990</v>
      </c>
      <c r="C2616">
        <v>2025</v>
      </c>
      <c r="D2616">
        <v>11</v>
      </c>
      <c r="E2616" t="s">
        <v>5007</v>
      </c>
      <c r="F2616" t="s">
        <v>4780</v>
      </c>
      <c r="G2616" t="s">
        <v>301</v>
      </c>
      <c r="H2616" t="s">
        <v>302</v>
      </c>
      <c r="I2616" t="s">
        <v>86</v>
      </c>
      <c r="J2616">
        <v>18</v>
      </c>
      <c r="K2616" t="s">
        <v>80</v>
      </c>
      <c r="L2616" t="s">
        <v>2610</v>
      </c>
      <c r="M2616" t="s">
        <v>64</v>
      </c>
      <c r="N2616" t="s">
        <v>2626</v>
      </c>
      <c r="O2616" t="s">
        <v>125</v>
      </c>
      <c r="P2616" t="s">
        <v>48</v>
      </c>
      <c r="Q2616" t="s">
        <v>141</v>
      </c>
      <c r="R2616">
        <v>1</v>
      </c>
      <c r="S2616">
        <v>1999</v>
      </c>
      <c r="T2616">
        <v>0.1</v>
      </c>
      <c r="U2616">
        <v>1799.1</v>
      </c>
      <c r="V2616">
        <v>1150</v>
      </c>
      <c r="W2616">
        <v>649.1</v>
      </c>
      <c r="X2616" t="s">
        <v>75</v>
      </c>
      <c r="Y2616" t="s">
        <v>69</v>
      </c>
      <c r="Z2616" t="s">
        <v>162</v>
      </c>
      <c r="AA2616" t="s">
        <v>168</v>
      </c>
      <c r="AB2616">
        <v>3.7</v>
      </c>
      <c r="AC2616">
        <v>120</v>
      </c>
      <c r="AD2616">
        <v>50.48</v>
      </c>
      <c r="AE2616">
        <f t="shared" si="80"/>
        <v>478.62</v>
      </c>
      <c r="AF2616" t="str">
        <f t="shared" si="81"/>
        <v>2025-11</v>
      </c>
      <c r="AG2616">
        <f>SUBTOTAL(103,A2616)</f>
        <v>1</v>
      </c>
    </row>
    <row r="2617" spans="1:33" x14ac:dyDescent="0.3">
      <c r="A2617" t="s">
        <v>5239</v>
      </c>
      <c r="B2617" s="13">
        <v>45991</v>
      </c>
      <c r="C2617">
        <v>2025</v>
      </c>
      <c r="D2617">
        <v>11</v>
      </c>
      <c r="E2617" t="s">
        <v>5007</v>
      </c>
      <c r="F2617" t="s">
        <v>4780</v>
      </c>
      <c r="G2617" t="s">
        <v>1115</v>
      </c>
      <c r="H2617" t="s">
        <v>1116</v>
      </c>
      <c r="I2617" t="s">
        <v>85</v>
      </c>
      <c r="J2617">
        <v>54</v>
      </c>
      <c r="K2617" t="s">
        <v>83</v>
      </c>
      <c r="L2617" t="s">
        <v>92</v>
      </c>
      <c r="M2617" t="s">
        <v>59</v>
      </c>
      <c r="N2617" t="s">
        <v>2577</v>
      </c>
      <c r="O2617" t="s">
        <v>129</v>
      </c>
      <c r="P2617" t="s">
        <v>49</v>
      </c>
      <c r="Q2617" t="s">
        <v>149</v>
      </c>
      <c r="R2617">
        <v>3</v>
      </c>
      <c r="S2617">
        <v>1299</v>
      </c>
      <c r="T2617">
        <v>0.15</v>
      </c>
      <c r="U2617">
        <v>3312.45</v>
      </c>
      <c r="V2617">
        <v>1950</v>
      </c>
      <c r="W2617">
        <v>1362.45</v>
      </c>
      <c r="X2617" t="s">
        <v>73</v>
      </c>
      <c r="Y2617" t="s">
        <v>68</v>
      </c>
      <c r="Z2617" t="s">
        <v>159</v>
      </c>
      <c r="AA2617" t="s">
        <v>167</v>
      </c>
      <c r="AB2617">
        <v>5</v>
      </c>
      <c r="AC2617">
        <v>100</v>
      </c>
      <c r="AD2617">
        <v>323.02999999999997</v>
      </c>
      <c r="AE2617">
        <f t="shared" si="80"/>
        <v>939.42000000000007</v>
      </c>
      <c r="AF2617" t="str">
        <f t="shared" si="81"/>
        <v>2025-11</v>
      </c>
      <c r="AG2617">
        <f>SUBTOTAL(103,A2617)</f>
        <v>1</v>
      </c>
    </row>
    <row r="2618" spans="1:33" x14ac:dyDescent="0.3">
      <c r="A2618" t="s">
        <v>5240</v>
      </c>
      <c r="B2618" s="13">
        <v>45991</v>
      </c>
      <c r="C2618">
        <v>2025</v>
      </c>
      <c r="D2618">
        <v>11</v>
      </c>
      <c r="E2618" t="s">
        <v>5007</v>
      </c>
      <c r="F2618" t="s">
        <v>4780</v>
      </c>
      <c r="G2618" t="s">
        <v>421</v>
      </c>
      <c r="H2618" t="s">
        <v>422</v>
      </c>
      <c r="I2618" t="s">
        <v>86</v>
      </c>
      <c r="J2618">
        <v>47</v>
      </c>
      <c r="K2618" t="s">
        <v>83</v>
      </c>
      <c r="L2618" t="s">
        <v>2589</v>
      </c>
      <c r="M2618" t="s">
        <v>61</v>
      </c>
      <c r="N2618" t="s">
        <v>2590</v>
      </c>
      <c r="O2618" t="s">
        <v>127</v>
      </c>
      <c r="P2618" t="s">
        <v>51</v>
      </c>
      <c r="Q2618" t="s">
        <v>148</v>
      </c>
      <c r="R2618">
        <v>1</v>
      </c>
      <c r="S2618">
        <v>1599</v>
      </c>
      <c r="T2618">
        <v>0.1</v>
      </c>
      <c r="U2618">
        <v>1439.1</v>
      </c>
      <c r="V2618">
        <v>800</v>
      </c>
      <c r="W2618">
        <v>639.1</v>
      </c>
      <c r="X2618" t="s">
        <v>74</v>
      </c>
      <c r="Y2618" t="s">
        <v>68</v>
      </c>
      <c r="Z2618" t="s">
        <v>159</v>
      </c>
      <c r="AA2618" t="s">
        <v>166</v>
      </c>
      <c r="AB2618">
        <v>4.4000000000000004</v>
      </c>
      <c r="AC2618">
        <v>80</v>
      </c>
      <c r="AD2618">
        <v>124.73</v>
      </c>
      <c r="AE2618">
        <f t="shared" si="80"/>
        <v>434.37</v>
      </c>
      <c r="AF2618" t="str">
        <f t="shared" si="81"/>
        <v>2025-11</v>
      </c>
      <c r="AG2618">
        <f>SUBTOTAL(103,A2618)</f>
        <v>1</v>
      </c>
    </row>
    <row r="2619" spans="1:33" x14ac:dyDescent="0.3">
      <c r="A2619" t="s">
        <v>5241</v>
      </c>
      <c r="B2619" s="13">
        <v>45991</v>
      </c>
      <c r="C2619">
        <v>2025</v>
      </c>
      <c r="D2619">
        <v>11</v>
      </c>
      <c r="E2619" t="s">
        <v>5007</v>
      </c>
      <c r="F2619" t="s">
        <v>4780</v>
      </c>
      <c r="G2619" t="s">
        <v>241</v>
      </c>
      <c r="H2619" t="s">
        <v>242</v>
      </c>
      <c r="I2619" t="s">
        <v>85</v>
      </c>
      <c r="J2619">
        <v>30</v>
      </c>
      <c r="K2619" t="s">
        <v>81</v>
      </c>
      <c r="L2619" t="s">
        <v>2599</v>
      </c>
      <c r="M2619" t="s">
        <v>62</v>
      </c>
      <c r="N2619" t="s">
        <v>2594</v>
      </c>
      <c r="O2619" t="s">
        <v>131</v>
      </c>
      <c r="P2619" t="s">
        <v>53</v>
      </c>
      <c r="Q2619" t="s">
        <v>143</v>
      </c>
      <c r="R2619">
        <v>1</v>
      </c>
      <c r="S2619">
        <v>999</v>
      </c>
      <c r="T2619">
        <v>0.15</v>
      </c>
      <c r="U2619">
        <v>849.15</v>
      </c>
      <c r="V2619">
        <v>520</v>
      </c>
      <c r="W2619">
        <v>329.15</v>
      </c>
      <c r="X2619" t="s">
        <v>75</v>
      </c>
      <c r="Y2619" t="s">
        <v>68</v>
      </c>
      <c r="Z2619" t="s">
        <v>160</v>
      </c>
      <c r="AA2619" t="s">
        <v>170</v>
      </c>
      <c r="AB2619">
        <v>4.5999999999999996</v>
      </c>
      <c r="AC2619">
        <v>50</v>
      </c>
      <c r="AD2619">
        <v>67.989999999999995</v>
      </c>
      <c r="AE2619">
        <f t="shared" si="80"/>
        <v>211.15999999999997</v>
      </c>
      <c r="AF2619" t="str">
        <f t="shared" si="81"/>
        <v>2025-11</v>
      </c>
      <c r="AG2619">
        <f>SUBTOTAL(103,A2619)</f>
        <v>1</v>
      </c>
    </row>
    <row r="2620" spans="1:33" x14ac:dyDescent="0.3">
      <c r="A2620" t="s">
        <v>5242</v>
      </c>
      <c r="B2620" s="13">
        <v>45991</v>
      </c>
      <c r="C2620">
        <v>2025</v>
      </c>
      <c r="D2620">
        <v>11</v>
      </c>
      <c r="E2620" t="s">
        <v>5007</v>
      </c>
      <c r="F2620" t="s">
        <v>4780</v>
      </c>
      <c r="G2620" t="s">
        <v>2105</v>
      </c>
      <c r="H2620" t="s">
        <v>2106</v>
      </c>
      <c r="I2620" t="s">
        <v>85</v>
      </c>
      <c r="J2620">
        <v>46</v>
      </c>
      <c r="K2620" t="s">
        <v>83</v>
      </c>
      <c r="L2620" t="s">
        <v>94</v>
      </c>
      <c r="M2620" t="s">
        <v>57</v>
      </c>
      <c r="N2620" t="s">
        <v>2630</v>
      </c>
      <c r="O2620" t="s">
        <v>123</v>
      </c>
      <c r="P2620" t="s">
        <v>52</v>
      </c>
      <c r="Q2620" t="s">
        <v>146</v>
      </c>
      <c r="R2620">
        <v>2</v>
      </c>
      <c r="S2620">
        <v>2499</v>
      </c>
      <c r="T2620">
        <v>0.15</v>
      </c>
      <c r="U2620">
        <v>4248.3</v>
      </c>
      <c r="V2620">
        <v>2800</v>
      </c>
      <c r="W2620">
        <v>1448.3</v>
      </c>
      <c r="X2620" t="s">
        <v>74</v>
      </c>
      <c r="Y2620" t="s">
        <v>68</v>
      </c>
      <c r="Z2620" t="s">
        <v>158</v>
      </c>
      <c r="AA2620" t="s">
        <v>171</v>
      </c>
      <c r="AB2620">
        <v>4.2</v>
      </c>
      <c r="AC2620">
        <v>60</v>
      </c>
      <c r="AD2620">
        <v>425.58</v>
      </c>
      <c r="AE2620">
        <f t="shared" si="80"/>
        <v>962.72</v>
      </c>
      <c r="AF2620" t="str">
        <f t="shared" si="81"/>
        <v>2025-11</v>
      </c>
      <c r="AG2620">
        <f>SUBTOTAL(103,A2620)</f>
        <v>1</v>
      </c>
    </row>
    <row r="2621" spans="1:33" x14ac:dyDescent="0.3">
      <c r="A2621" t="s">
        <v>5243</v>
      </c>
      <c r="B2621" s="13">
        <v>45991</v>
      </c>
      <c r="C2621">
        <v>2025</v>
      </c>
      <c r="D2621">
        <v>11</v>
      </c>
      <c r="E2621" t="s">
        <v>5007</v>
      </c>
      <c r="F2621" t="s">
        <v>4780</v>
      </c>
      <c r="G2621" t="s">
        <v>1869</v>
      </c>
      <c r="H2621" t="s">
        <v>1870</v>
      </c>
      <c r="I2621" t="s">
        <v>85</v>
      </c>
      <c r="J2621">
        <v>60</v>
      </c>
      <c r="K2621" t="s">
        <v>83</v>
      </c>
      <c r="L2621" t="s">
        <v>2610</v>
      </c>
      <c r="M2621" t="s">
        <v>64</v>
      </c>
      <c r="N2621" t="s">
        <v>2594</v>
      </c>
      <c r="O2621" t="s">
        <v>131</v>
      </c>
      <c r="P2621" t="s">
        <v>53</v>
      </c>
      <c r="Q2621" t="s">
        <v>143</v>
      </c>
      <c r="R2621">
        <v>1</v>
      </c>
      <c r="S2621">
        <v>999</v>
      </c>
      <c r="T2621">
        <v>0.25</v>
      </c>
      <c r="U2621">
        <v>749.25</v>
      </c>
      <c r="V2621">
        <v>520</v>
      </c>
      <c r="W2621">
        <v>229.25</v>
      </c>
      <c r="X2621" t="s">
        <v>77</v>
      </c>
      <c r="Y2621" t="s">
        <v>68</v>
      </c>
      <c r="Z2621" t="s">
        <v>159</v>
      </c>
      <c r="AA2621" t="s">
        <v>166</v>
      </c>
      <c r="AB2621">
        <v>3.1</v>
      </c>
      <c r="AC2621">
        <v>80</v>
      </c>
      <c r="AD2621">
        <v>20</v>
      </c>
      <c r="AE2621">
        <f t="shared" si="80"/>
        <v>129.25</v>
      </c>
      <c r="AF2621" t="str">
        <f t="shared" si="81"/>
        <v>2025-11</v>
      </c>
      <c r="AG2621">
        <f>SUBTOTAL(103,A2621)</f>
        <v>1</v>
      </c>
    </row>
    <row r="2622" spans="1:33" x14ac:dyDescent="0.3">
      <c r="A2622" t="s">
        <v>5244</v>
      </c>
      <c r="B2622" s="13">
        <v>45991</v>
      </c>
      <c r="C2622">
        <v>2025</v>
      </c>
      <c r="D2622">
        <v>11</v>
      </c>
      <c r="E2622" t="s">
        <v>5007</v>
      </c>
      <c r="F2622" t="s">
        <v>4780</v>
      </c>
      <c r="G2622" t="s">
        <v>807</v>
      </c>
      <c r="H2622" t="s">
        <v>808</v>
      </c>
      <c r="I2622" t="s">
        <v>85</v>
      </c>
      <c r="J2622">
        <v>21</v>
      </c>
      <c r="K2622" t="s">
        <v>80</v>
      </c>
      <c r="L2622" t="s">
        <v>90</v>
      </c>
      <c r="M2622" t="s">
        <v>55</v>
      </c>
      <c r="N2622" t="s">
        <v>2596</v>
      </c>
      <c r="O2622" t="s">
        <v>124</v>
      </c>
      <c r="P2622" t="s">
        <v>51</v>
      </c>
      <c r="Q2622" t="s">
        <v>147</v>
      </c>
      <c r="R2622">
        <v>1</v>
      </c>
      <c r="S2622">
        <v>2299</v>
      </c>
      <c r="T2622">
        <v>0.15</v>
      </c>
      <c r="U2622">
        <v>1954.15</v>
      </c>
      <c r="V2622">
        <v>1200</v>
      </c>
      <c r="W2622">
        <v>754.15</v>
      </c>
      <c r="X2622" t="s">
        <v>77</v>
      </c>
      <c r="Y2622" t="s">
        <v>68</v>
      </c>
      <c r="Z2622" t="s">
        <v>160</v>
      </c>
      <c r="AA2622" t="s">
        <v>169</v>
      </c>
      <c r="AB2622">
        <v>5</v>
      </c>
      <c r="AC2622">
        <v>80</v>
      </c>
      <c r="AD2622">
        <v>91.56</v>
      </c>
      <c r="AE2622">
        <f t="shared" si="80"/>
        <v>582.58999999999992</v>
      </c>
      <c r="AF2622" t="str">
        <f t="shared" si="81"/>
        <v>2025-11</v>
      </c>
      <c r="AG2622">
        <f>SUBTOTAL(103,A2622)</f>
        <v>1</v>
      </c>
    </row>
    <row r="2623" spans="1:33" x14ac:dyDescent="0.3">
      <c r="A2623" t="s">
        <v>5245</v>
      </c>
      <c r="B2623" s="13">
        <v>45991</v>
      </c>
      <c r="C2623">
        <v>2025</v>
      </c>
      <c r="D2623">
        <v>11</v>
      </c>
      <c r="E2623" t="s">
        <v>5007</v>
      </c>
      <c r="F2623" t="s">
        <v>4780</v>
      </c>
      <c r="G2623" t="s">
        <v>1783</v>
      </c>
      <c r="H2623" t="s">
        <v>1784</v>
      </c>
      <c r="I2623" t="s">
        <v>85</v>
      </c>
      <c r="J2623">
        <v>53</v>
      </c>
      <c r="K2623" t="s">
        <v>83</v>
      </c>
      <c r="L2623" t="s">
        <v>97</v>
      </c>
      <c r="M2623" t="s">
        <v>57</v>
      </c>
      <c r="N2623" t="s">
        <v>2644</v>
      </c>
      <c r="O2623" t="s">
        <v>126</v>
      </c>
      <c r="P2623" t="s">
        <v>50</v>
      </c>
      <c r="Q2623" t="s">
        <v>145</v>
      </c>
      <c r="R2623">
        <v>2</v>
      </c>
      <c r="S2623">
        <v>1799</v>
      </c>
      <c r="T2623">
        <v>0.15</v>
      </c>
      <c r="U2623">
        <v>3058.3</v>
      </c>
      <c r="V2623">
        <v>1900</v>
      </c>
      <c r="W2623">
        <v>1158.3</v>
      </c>
      <c r="X2623" t="s">
        <v>73</v>
      </c>
      <c r="Y2623" t="s">
        <v>68</v>
      </c>
      <c r="Z2623" t="s">
        <v>162</v>
      </c>
      <c r="AA2623" t="s">
        <v>166</v>
      </c>
      <c r="AB2623">
        <v>4.3</v>
      </c>
      <c r="AC2623">
        <v>40</v>
      </c>
      <c r="AD2623">
        <v>194.14</v>
      </c>
      <c r="AE2623">
        <f t="shared" si="80"/>
        <v>924.16</v>
      </c>
      <c r="AF2623" t="str">
        <f t="shared" si="81"/>
        <v>2025-11</v>
      </c>
      <c r="AG2623">
        <f>SUBTOTAL(103,A2623)</f>
        <v>1</v>
      </c>
    </row>
    <row r="2624" spans="1:33" x14ac:dyDescent="0.3">
      <c r="A2624" t="s">
        <v>5246</v>
      </c>
      <c r="B2624" s="13">
        <v>45991</v>
      </c>
      <c r="C2624">
        <v>2025</v>
      </c>
      <c r="D2624">
        <v>11</v>
      </c>
      <c r="E2624" t="s">
        <v>5007</v>
      </c>
      <c r="F2624" t="s">
        <v>4780</v>
      </c>
      <c r="G2624" t="s">
        <v>739</v>
      </c>
      <c r="H2624" t="s">
        <v>740</v>
      </c>
      <c r="I2624" t="s">
        <v>86</v>
      </c>
      <c r="J2624">
        <v>21</v>
      </c>
      <c r="K2624" t="s">
        <v>80</v>
      </c>
      <c r="L2624" t="s">
        <v>96</v>
      </c>
      <c r="M2624" t="s">
        <v>55</v>
      </c>
      <c r="N2624" t="s">
        <v>2594</v>
      </c>
      <c r="O2624" t="s">
        <v>131</v>
      </c>
      <c r="P2624" t="s">
        <v>53</v>
      </c>
      <c r="Q2624" t="s">
        <v>143</v>
      </c>
      <c r="R2624">
        <v>3</v>
      </c>
      <c r="S2624">
        <v>999</v>
      </c>
      <c r="T2624">
        <v>0.05</v>
      </c>
      <c r="U2624">
        <v>2847.15</v>
      </c>
      <c r="V2624">
        <v>1560</v>
      </c>
      <c r="W2624">
        <v>1287.1500000000001</v>
      </c>
      <c r="X2624" t="s">
        <v>73</v>
      </c>
      <c r="Y2624" t="s">
        <v>68</v>
      </c>
      <c r="Z2624" t="s">
        <v>158</v>
      </c>
      <c r="AA2624" t="s">
        <v>166</v>
      </c>
      <c r="AB2624">
        <v>3.8</v>
      </c>
      <c r="AC2624">
        <v>80</v>
      </c>
      <c r="AD2624">
        <v>78.02</v>
      </c>
      <c r="AE2624">
        <f t="shared" si="80"/>
        <v>1129.1300000000001</v>
      </c>
      <c r="AF2624" t="str">
        <f t="shared" si="81"/>
        <v>2025-11</v>
      </c>
      <c r="AG2624">
        <f>SUBTOTAL(103,A2624)</f>
        <v>1</v>
      </c>
    </row>
    <row r="2625" spans="1:33" x14ac:dyDescent="0.3">
      <c r="A2625" t="s">
        <v>5247</v>
      </c>
      <c r="B2625" s="13">
        <v>45991</v>
      </c>
      <c r="C2625">
        <v>2025</v>
      </c>
      <c r="D2625">
        <v>11</v>
      </c>
      <c r="E2625" t="s">
        <v>5007</v>
      </c>
      <c r="F2625" t="s">
        <v>4780</v>
      </c>
      <c r="G2625" t="s">
        <v>665</v>
      </c>
      <c r="H2625" t="s">
        <v>666</v>
      </c>
      <c r="I2625" t="s">
        <v>86</v>
      </c>
      <c r="J2625">
        <v>27</v>
      </c>
      <c r="K2625" t="s">
        <v>81</v>
      </c>
      <c r="L2625" t="s">
        <v>2634</v>
      </c>
      <c r="M2625" t="s">
        <v>56</v>
      </c>
      <c r="N2625" t="s">
        <v>2644</v>
      </c>
      <c r="O2625" t="s">
        <v>126</v>
      </c>
      <c r="P2625" t="s">
        <v>50</v>
      </c>
      <c r="Q2625" t="s">
        <v>145</v>
      </c>
      <c r="R2625">
        <v>4</v>
      </c>
      <c r="S2625">
        <v>1799</v>
      </c>
      <c r="T2625">
        <v>0.05</v>
      </c>
      <c r="U2625">
        <v>6836.2</v>
      </c>
      <c r="V2625">
        <v>3800</v>
      </c>
      <c r="W2625">
        <v>3036.2</v>
      </c>
      <c r="X2625" t="s">
        <v>76</v>
      </c>
      <c r="Y2625" t="s">
        <v>69</v>
      </c>
      <c r="Z2625" t="s">
        <v>162</v>
      </c>
      <c r="AA2625" t="s">
        <v>169</v>
      </c>
      <c r="AB2625">
        <v>2.8</v>
      </c>
      <c r="AC2625">
        <v>40</v>
      </c>
      <c r="AD2625">
        <v>279.47000000000003</v>
      </c>
      <c r="AE2625">
        <f t="shared" si="80"/>
        <v>2716.7299999999996</v>
      </c>
      <c r="AF2625" t="str">
        <f t="shared" si="81"/>
        <v>2025-11</v>
      </c>
      <c r="AG2625">
        <f>SUBTOTAL(103,A2625)</f>
        <v>1</v>
      </c>
    </row>
    <row r="2626" spans="1:33" x14ac:dyDescent="0.3">
      <c r="A2626" t="s">
        <v>5248</v>
      </c>
      <c r="B2626" s="13">
        <v>45991</v>
      </c>
      <c r="C2626">
        <v>2025</v>
      </c>
      <c r="D2626">
        <v>11</v>
      </c>
      <c r="E2626" t="s">
        <v>5007</v>
      </c>
      <c r="F2626" t="s">
        <v>4780</v>
      </c>
      <c r="G2626" t="s">
        <v>399</v>
      </c>
      <c r="H2626" t="s">
        <v>400</v>
      </c>
      <c r="I2626" t="s">
        <v>86</v>
      </c>
      <c r="J2626">
        <v>29</v>
      </c>
      <c r="K2626" t="s">
        <v>81</v>
      </c>
      <c r="L2626" t="s">
        <v>2679</v>
      </c>
      <c r="M2626" t="s">
        <v>60</v>
      </c>
      <c r="N2626" t="s">
        <v>2582</v>
      </c>
      <c r="O2626" t="s">
        <v>119</v>
      </c>
      <c r="P2626" t="s">
        <v>49</v>
      </c>
      <c r="Q2626" t="s">
        <v>140</v>
      </c>
      <c r="R2626">
        <v>4</v>
      </c>
      <c r="S2626">
        <v>3499</v>
      </c>
      <c r="T2626">
        <v>0.05</v>
      </c>
      <c r="U2626">
        <v>13296.2</v>
      </c>
      <c r="V2626">
        <v>8400</v>
      </c>
      <c r="W2626">
        <v>4896.2</v>
      </c>
      <c r="X2626" t="s">
        <v>73</v>
      </c>
      <c r="Y2626" t="s">
        <v>68</v>
      </c>
      <c r="Z2626" t="s">
        <v>163</v>
      </c>
      <c r="AA2626" t="s">
        <v>167</v>
      </c>
      <c r="AB2626">
        <v>5</v>
      </c>
      <c r="AC2626">
        <v>60</v>
      </c>
      <c r="AD2626">
        <v>935.79</v>
      </c>
      <c r="AE2626">
        <f t="shared" ref="AE2626:AE2689" si="82">W2626-AC2626-AD2626</f>
        <v>3900.41</v>
      </c>
      <c r="AF2626" t="str">
        <f t="shared" ref="AF2626:AF2689" si="83">C2626&amp;"-"&amp;TEXT(D2626,"00")</f>
        <v>2025-11</v>
      </c>
      <c r="AG2626">
        <f>SUBTOTAL(103,A2626)</f>
        <v>1</v>
      </c>
    </row>
    <row r="2627" spans="1:33" x14ac:dyDescent="0.3">
      <c r="A2627" t="s">
        <v>5249</v>
      </c>
      <c r="B2627" s="13">
        <v>45991</v>
      </c>
      <c r="C2627">
        <v>2025</v>
      </c>
      <c r="D2627">
        <v>11</v>
      </c>
      <c r="E2627" t="s">
        <v>5007</v>
      </c>
      <c r="F2627" t="s">
        <v>4780</v>
      </c>
      <c r="G2627" t="s">
        <v>2135</v>
      </c>
      <c r="H2627" t="s">
        <v>2136</v>
      </c>
      <c r="I2627" t="s">
        <v>86</v>
      </c>
      <c r="J2627">
        <v>20</v>
      </c>
      <c r="K2627" t="s">
        <v>80</v>
      </c>
      <c r="L2627" t="s">
        <v>95</v>
      </c>
      <c r="M2627" t="s">
        <v>56</v>
      </c>
      <c r="N2627" t="s">
        <v>2594</v>
      </c>
      <c r="O2627" t="s">
        <v>131</v>
      </c>
      <c r="P2627" t="s">
        <v>53</v>
      </c>
      <c r="Q2627" t="s">
        <v>143</v>
      </c>
      <c r="R2627">
        <v>1</v>
      </c>
      <c r="S2627">
        <v>999</v>
      </c>
      <c r="T2627">
        <v>0.25</v>
      </c>
      <c r="U2627">
        <v>749.25</v>
      </c>
      <c r="V2627">
        <v>520</v>
      </c>
      <c r="W2627">
        <v>229.25</v>
      </c>
      <c r="X2627" t="s">
        <v>73</v>
      </c>
      <c r="Y2627" t="s">
        <v>68</v>
      </c>
      <c r="Z2627" t="s">
        <v>161</v>
      </c>
      <c r="AA2627" t="s">
        <v>166</v>
      </c>
      <c r="AB2627">
        <v>3.5</v>
      </c>
      <c r="AC2627">
        <v>100</v>
      </c>
      <c r="AD2627">
        <v>21.17</v>
      </c>
      <c r="AE2627">
        <f t="shared" si="82"/>
        <v>108.08</v>
      </c>
      <c r="AF2627" t="str">
        <f t="shared" si="83"/>
        <v>2025-11</v>
      </c>
      <c r="AG2627">
        <f>SUBTOTAL(103,A2627)</f>
        <v>1</v>
      </c>
    </row>
    <row r="2628" spans="1:33" x14ac:dyDescent="0.3">
      <c r="A2628" t="s">
        <v>5250</v>
      </c>
      <c r="B2628" s="13">
        <v>45992</v>
      </c>
      <c r="C2628">
        <v>2025</v>
      </c>
      <c r="D2628">
        <v>12</v>
      </c>
      <c r="E2628" t="s">
        <v>5251</v>
      </c>
      <c r="F2628" t="s">
        <v>4780</v>
      </c>
      <c r="G2628" t="s">
        <v>559</v>
      </c>
      <c r="H2628" t="s">
        <v>560</v>
      </c>
      <c r="I2628" t="s">
        <v>86</v>
      </c>
      <c r="J2628">
        <v>54</v>
      </c>
      <c r="K2628" t="s">
        <v>83</v>
      </c>
      <c r="L2628" t="s">
        <v>95</v>
      </c>
      <c r="M2628" t="s">
        <v>56</v>
      </c>
      <c r="N2628" t="s">
        <v>2626</v>
      </c>
      <c r="O2628" t="s">
        <v>125</v>
      </c>
      <c r="P2628" t="s">
        <v>48</v>
      </c>
      <c r="Q2628" t="s">
        <v>141</v>
      </c>
      <c r="R2628">
        <v>2</v>
      </c>
      <c r="S2628">
        <v>1999</v>
      </c>
      <c r="T2628">
        <v>0.15</v>
      </c>
      <c r="U2628">
        <v>3398.3</v>
      </c>
      <c r="V2628">
        <v>2300</v>
      </c>
      <c r="W2628">
        <v>1098.3</v>
      </c>
      <c r="X2628" t="s">
        <v>76</v>
      </c>
      <c r="Y2628" t="s">
        <v>68</v>
      </c>
      <c r="Z2628" t="s">
        <v>159</v>
      </c>
      <c r="AA2628" t="s">
        <v>168</v>
      </c>
      <c r="AB2628">
        <v>3.7</v>
      </c>
      <c r="AC2628">
        <v>120</v>
      </c>
      <c r="AD2628">
        <v>148.75</v>
      </c>
      <c r="AE2628">
        <f t="shared" si="82"/>
        <v>829.55</v>
      </c>
      <c r="AF2628" t="str">
        <f t="shared" si="83"/>
        <v>2025-12</v>
      </c>
      <c r="AG2628">
        <f>SUBTOTAL(103,A2628)</f>
        <v>1</v>
      </c>
    </row>
    <row r="2629" spans="1:33" x14ac:dyDescent="0.3">
      <c r="A2629" t="s">
        <v>5252</v>
      </c>
      <c r="B2629" s="13">
        <v>45992</v>
      </c>
      <c r="C2629">
        <v>2025</v>
      </c>
      <c r="D2629">
        <v>12</v>
      </c>
      <c r="E2629" t="s">
        <v>5251</v>
      </c>
      <c r="F2629" t="s">
        <v>4780</v>
      </c>
      <c r="G2629" t="s">
        <v>1169</v>
      </c>
      <c r="H2629" t="s">
        <v>1170</v>
      </c>
      <c r="I2629" t="s">
        <v>85</v>
      </c>
      <c r="J2629">
        <v>47</v>
      </c>
      <c r="K2629" t="s">
        <v>83</v>
      </c>
      <c r="L2629" t="s">
        <v>2634</v>
      </c>
      <c r="M2629" t="s">
        <v>56</v>
      </c>
      <c r="N2629" t="s">
        <v>2594</v>
      </c>
      <c r="O2629" t="s">
        <v>131</v>
      </c>
      <c r="P2629" t="s">
        <v>53</v>
      </c>
      <c r="Q2629" t="s">
        <v>143</v>
      </c>
      <c r="R2629">
        <v>2</v>
      </c>
      <c r="S2629">
        <v>999</v>
      </c>
      <c r="T2629">
        <v>0.15</v>
      </c>
      <c r="U2629">
        <v>1698.3</v>
      </c>
      <c r="V2629">
        <v>1040</v>
      </c>
      <c r="W2629">
        <v>658.3</v>
      </c>
      <c r="X2629" t="s">
        <v>74</v>
      </c>
      <c r="Y2629" t="s">
        <v>68</v>
      </c>
      <c r="Z2629" t="s">
        <v>159</v>
      </c>
      <c r="AA2629" t="s">
        <v>170</v>
      </c>
      <c r="AB2629">
        <v>3.7</v>
      </c>
      <c r="AC2629">
        <v>60</v>
      </c>
      <c r="AD2629">
        <v>85.05</v>
      </c>
      <c r="AE2629">
        <f t="shared" si="82"/>
        <v>513.25</v>
      </c>
      <c r="AF2629" t="str">
        <f t="shared" si="83"/>
        <v>2025-12</v>
      </c>
      <c r="AG2629">
        <f>SUBTOTAL(103,A2629)</f>
        <v>1</v>
      </c>
    </row>
    <row r="2630" spans="1:33" x14ac:dyDescent="0.3">
      <c r="A2630" t="s">
        <v>5253</v>
      </c>
      <c r="B2630" s="13">
        <v>45992</v>
      </c>
      <c r="C2630">
        <v>2025</v>
      </c>
      <c r="D2630">
        <v>12</v>
      </c>
      <c r="E2630" t="s">
        <v>5251</v>
      </c>
      <c r="F2630" t="s">
        <v>4780</v>
      </c>
      <c r="G2630" t="s">
        <v>1317</v>
      </c>
      <c r="H2630" t="s">
        <v>1318</v>
      </c>
      <c r="I2630" t="s">
        <v>86</v>
      </c>
      <c r="J2630">
        <v>18</v>
      </c>
      <c r="K2630" t="s">
        <v>80</v>
      </c>
      <c r="L2630" t="s">
        <v>96</v>
      </c>
      <c r="M2630" t="s">
        <v>55</v>
      </c>
      <c r="N2630" t="s">
        <v>2582</v>
      </c>
      <c r="O2630" t="s">
        <v>119</v>
      </c>
      <c r="P2630" t="s">
        <v>49</v>
      </c>
      <c r="Q2630" t="s">
        <v>140</v>
      </c>
      <c r="R2630">
        <v>5</v>
      </c>
      <c r="S2630">
        <v>3499</v>
      </c>
      <c r="T2630">
        <v>0.25</v>
      </c>
      <c r="U2630">
        <v>13121.25</v>
      </c>
      <c r="V2630">
        <v>10500</v>
      </c>
      <c r="W2630">
        <v>2621.25</v>
      </c>
      <c r="X2630" t="s">
        <v>73</v>
      </c>
      <c r="Y2630" t="s">
        <v>68</v>
      </c>
      <c r="Z2630" t="s">
        <v>160</v>
      </c>
      <c r="AA2630" t="s">
        <v>167</v>
      </c>
      <c r="AB2630">
        <v>3.7</v>
      </c>
      <c r="AC2630">
        <v>60</v>
      </c>
      <c r="AD2630">
        <v>1144.33</v>
      </c>
      <c r="AE2630">
        <f t="shared" si="82"/>
        <v>1416.92</v>
      </c>
      <c r="AF2630" t="str">
        <f t="shared" si="83"/>
        <v>2025-12</v>
      </c>
      <c r="AG2630">
        <f>SUBTOTAL(103,A2630)</f>
        <v>1</v>
      </c>
    </row>
    <row r="2631" spans="1:33" x14ac:dyDescent="0.3">
      <c r="A2631" t="s">
        <v>5254</v>
      </c>
      <c r="B2631" s="13">
        <v>45992</v>
      </c>
      <c r="C2631">
        <v>2025</v>
      </c>
      <c r="D2631">
        <v>12</v>
      </c>
      <c r="E2631" t="s">
        <v>5251</v>
      </c>
      <c r="F2631" t="s">
        <v>4780</v>
      </c>
      <c r="G2631" t="s">
        <v>2063</v>
      </c>
      <c r="H2631" t="s">
        <v>2064</v>
      </c>
      <c r="I2631" t="s">
        <v>85</v>
      </c>
      <c r="J2631">
        <v>30</v>
      </c>
      <c r="K2631" t="s">
        <v>81</v>
      </c>
      <c r="L2631" t="s">
        <v>95</v>
      </c>
      <c r="M2631" t="s">
        <v>56</v>
      </c>
      <c r="N2631" t="s">
        <v>2590</v>
      </c>
      <c r="O2631" t="s">
        <v>127</v>
      </c>
      <c r="P2631" t="s">
        <v>51</v>
      </c>
      <c r="Q2631" t="s">
        <v>148</v>
      </c>
      <c r="R2631">
        <v>5</v>
      </c>
      <c r="S2631">
        <v>1599</v>
      </c>
      <c r="T2631">
        <v>0.15</v>
      </c>
      <c r="U2631">
        <v>6795.75</v>
      </c>
      <c r="V2631">
        <v>4000</v>
      </c>
      <c r="W2631">
        <v>2795.75</v>
      </c>
      <c r="X2631" t="s">
        <v>73</v>
      </c>
      <c r="Y2631" t="s">
        <v>68</v>
      </c>
      <c r="Z2631" t="s">
        <v>162</v>
      </c>
      <c r="AA2631" t="s">
        <v>166</v>
      </c>
      <c r="AB2631">
        <v>5</v>
      </c>
      <c r="AC2631">
        <v>40</v>
      </c>
      <c r="AD2631">
        <v>296.08</v>
      </c>
      <c r="AE2631">
        <f t="shared" si="82"/>
        <v>2459.67</v>
      </c>
      <c r="AF2631" t="str">
        <f t="shared" si="83"/>
        <v>2025-12</v>
      </c>
      <c r="AG2631">
        <f>SUBTOTAL(103,A2631)</f>
        <v>1</v>
      </c>
    </row>
    <row r="2632" spans="1:33" x14ac:dyDescent="0.3">
      <c r="A2632" t="s">
        <v>5255</v>
      </c>
      <c r="B2632" s="13">
        <v>45992</v>
      </c>
      <c r="C2632">
        <v>2025</v>
      </c>
      <c r="D2632">
        <v>12</v>
      </c>
      <c r="E2632" t="s">
        <v>5251</v>
      </c>
      <c r="F2632" t="s">
        <v>4780</v>
      </c>
      <c r="G2632" t="s">
        <v>1981</v>
      </c>
      <c r="H2632" t="s">
        <v>1982</v>
      </c>
      <c r="I2632" t="s">
        <v>86</v>
      </c>
      <c r="J2632">
        <v>60</v>
      </c>
      <c r="K2632" t="s">
        <v>83</v>
      </c>
      <c r="L2632" t="s">
        <v>91</v>
      </c>
      <c r="M2632" t="s">
        <v>55</v>
      </c>
      <c r="N2632" t="s">
        <v>2626</v>
      </c>
      <c r="O2632" t="s">
        <v>125</v>
      </c>
      <c r="P2632" t="s">
        <v>48</v>
      </c>
      <c r="Q2632" t="s">
        <v>141</v>
      </c>
      <c r="R2632">
        <v>3</v>
      </c>
      <c r="S2632">
        <v>1999</v>
      </c>
      <c r="T2632">
        <v>0.1</v>
      </c>
      <c r="U2632">
        <v>5397.3</v>
      </c>
      <c r="V2632">
        <v>3450</v>
      </c>
      <c r="W2632">
        <v>1947.3</v>
      </c>
      <c r="X2632" t="s">
        <v>75</v>
      </c>
      <c r="Y2632" t="s">
        <v>68</v>
      </c>
      <c r="Z2632" t="s">
        <v>161</v>
      </c>
      <c r="AA2632" t="s">
        <v>166</v>
      </c>
      <c r="AB2632">
        <v>3.4</v>
      </c>
      <c r="AC2632">
        <v>60</v>
      </c>
      <c r="AD2632">
        <v>453.7</v>
      </c>
      <c r="AE2632">
        <f t="shared" si="82"/>
        <v>1433.6</v>
      </c>
      <c r="AF2632" t="str">
        <f t="shared" si="83"/>
        <v>2025-12</v>
      </c>
      <c r="AG2632">
        <f>SUBTOTAL(103,A2632)</f>
        <v>1</v>
      </c>
    </row>
    <row r="2633" spans="1:33" x14ac:dyDescent="0.3">
      <c r="A2633" t="s">
        <v>5256</v>
      </c>
      <c r="B2633" s="13">
        <v>45992</v>
      </c>
      <c r="C2633">
        <v>2025</v>
      </c>
      <c r="D2633">
        <v>12</v>
      </c>
      <c r="E2633" t="s">
        <v>5251</v>
      </c>
      <c r="F2633" t="s">
        <v>4780</v>
      </c>
      <c r="G2633" t="s">
        <v>1267</v>
      </c>
      <c r="H2633" t="s">
        <v>1268</v>
      </c>
      <c r="I2633" t="s">
        <v>85</v>
      </c>
      <c r="J2633">
        <v>41</v>
      </c>
      <c r="K2633" t="s">
        <v>82</v>
      </c>
      <c r="L2633" t="s">
        <v>90</v>
      </c>
      <c r="M2633" t="s">
        <v>55</v>
      </c>
      <c r="N2633" t="s">
        <v>2574</v>
      </c>
      <c r="O2633" t="s">
        <v>130</v>
      </c>
      <c r="P2633" t="s">
        <v>50</v>
      </c>
      <c r="Q2633" t="s">
        <v>53</v>
      </c>
      <c r="R2633">
        <v>1</v>
      </c>
      <c r="S2633">
        <v>1199</v>
      </c>
      <c r="T2633">
        <v>0.2</v>
      </c>
      <c r="U2633">
        <v>959.2</v>
      </c>
      <c r="V2633">
        <v>550</v>
      </c>
      <c r="W2633">
        <v>409.2</v>
      </c>
      <c r="X2633" t="s">
        <v>76</v>
      </c>
      <c r="Y2633" t="s">
        <v>68</v>
      </c>
      <c r="Z2633" t="s">
        <v>161</v>
      </c>
      <c r="AA2633" t="s">
        <v>170</v>
      </c>
      <c r="AB2633">
        <v>3.3</v>
      </c>
      <c r="AC2633">
        <v>80</v>
      </c>
      <c r="AD2633">
        <v>90.56</v>
      </c>
      <c r="AE2633">
        <f t="shared" si="82"/>
        <v>238.64</v>
      </c>
      <c r="AF2633" t="str">
        <f t="shared" si="83"/>
        <v>2025-12</v>
      </c>
      <c r="AG2633">
        <f>SUBTOTAL(103,A2633)</f>
        <v>1</v>
      </c>
    </row>
    <row r="2634" spans="1:33" x14ac:dyDescent="0.3">
      <c r="A2634" t="s">
        <v>5257</v>
      </c>
      <c r="B2634" s="13">
        <v>45993</v>
      </c>
      <c r="C2634">
        <v>2025</v>
      </c>
      <c r="D2634">
        <v>12</v>
      </c>
      <c r="E2634" t="s">
        <v>5251</v>
      </c>
      <c r="F2634" t="s">
        <v>4780</v>
      </c>
      <c r="G2634" t="s">
        <v>335</v>
      </c>
      <c r="H2634" t="s">
        <v>336</v>
      </c>
      <c r="I2634" t="s">
        <v>86</v>
      </c>
      <c r="J2634">
        <v>26</v>
      </c>
      <c r="K2634" t="s">
        <v>81</v>
      </c>
      <c r="L2634" t="s">
        <v>2605</v>
      </c>
      <c r="M2634" t="s">
        <v>60</v>
      </c>
      <c r="N2634" t="s">
        <v>2657</v>
      </c>
      <c r="O2634" t="s">
        <v>134</v>
      </c>
      <c r="P2634" t="s">
        <v>49</v>
      </c>
      <c r="Q2634" t="s">
        <v>140</v>
      </c>
      <c r="R2634">
        <v>5</v>
      </c>
      <c r="S2634">
        <v>599</v>
      </c>
      <c r="T2634">
        <v>0.1</v>
      </c>
      <c r="U2634">
        <v>2695.5</v>
      </c>
      <c r="V2634">
        <v>1250</v>
      </c>
      <c r="W2634">
        <v>1445.5</v>
      </c>
      <c r="X2634" t="s">
        <v>75</v>
      </c>
      <c r="Y2634" t="s">
        <v>68</v>
      </c>
      <c r="Z2634" t="s">
        <v>160</v>
      </c>
      <c r="AA2634" t="s">
        <v>171</v>
      </c>
      <c r="AB2634">
        <v>4.5</v>
      </c>
      <c r="AC2634">
        <v>50</v>
      </c>
      <c r="AD2634">
        <v>131.04</v>
      </c>
      <c r="AE2634">
        <f t="shared" si="82"/>
        <v>1264.46</v>
      </c>
      <c r="AF2634" t="str">
        <f t="shared" si="83"/>
        <v>2025-12</v>
      </c>
      <c r="AG2634">
        <f>SUBTOTAL(103,A2634)</f>
        <v>1</v>
      </c>
    </row>
    <row r="2635" spans="1:33" x14ac:dyDescent="0.3">
      <c r="A2635" t="s">
        <v>5258</v>
      </c>
      <c r="B2635" s="13">
        <v>45993</v>
      </c>
      <c r="C2635">
        <v>2025</v>
      </c>
      <c r="D2635">
        <v>12</v>
      </c>
      <c r="E2635" t="s">
        <v>5251</v>
      </c>
      <c r="F2635" t="s">
        <v>4780</v>
      </c>
      <c r="G2635" t="s">
        <v>1937</v>
      </c>
      <c r="H2635" t="s">
        <v>1938</v>
      </c>
      <c r="I2635" t="s">
        <v>85</v>
      </c>
      <c r="J2635">
        <v>34</v>
      </c>
      <c r="K2635" t="s">
        <v>81</v>
      </c>
      <c r="L2635" t="s">
        <v>95</v>
      </c>
      <c r="M2635" t="s">
        <v>56</v>
      </c>
      <c r="N2635" t="s">
        <v>2644</v>
      </c>
      <c r="O2635" t="s">
        <v>126</v>
      </c>
      <c r="P2635" t="s">
        <v>50</v>
      </c>
      <c r="Q2635" t="s">
        <v>145</v>
      </c>
      <c r="R2635">
        <v>2</v>
      </c>
      <c r="S2635">
        <v>1799</v>
      </c>
      <c r="T2635">
        <v>0.1</v>
      </c>
      <c r="U2635">
        <v>3238.2</v>
      </c>
      <c r="V2635">
        <v>1900</v>
      </c>
      <c r="W2635">
        <v>1338.2</v>
      </c>
      <c r="X2635" t="s">
        <v>73</v>
      </c>
      <c r="Y2635" t="s">
        <v>68</v>
      </c>
      <c r="Z2635" t="s">
        <v>159</v>
      </c>
      <c r="AA2635" t="s">
        <v>168</v>
      </c>
      <c r="AB2635">
        <v>2.8</v>
      </c>
      <c r="AC2635">
        <v>120</v>
      </c>
      <c r="AD2635">
        <v>326.02999999999997</v>
      </c>
      <c r="AE2635">
        <f t="shared" si="82"/>
        <v>892.17000000000007</v>
      </c>
      <c r="AF2635" t="str">
        <f t="shared" si="83"/>
        <v>2025-12</v>
      </c>
      <c r="AG2635">
        <f>SUBTOTAL(103,A2635)</f>
        <v>1</v>
      </c>
    </row>
    <row r="2636" spans="1:33" x14ac:dyDescent="0.3">
      <c r="A2636" t="s">
        <v>5259</v>
      </c>
      <c r="B2636" s="13">
        <v>45993</v>
      </c>
      <c r="C2636">
        <v>2025</v>
      </c>
      <c r="D2636">
        <v>12</v>
      </c>
      <c r="E2636" t="s">
        <v>5251</v>
      </c>
      <c r="F2636" t="s">
        <v>4780</v>
      </c>
      <c r="G2636" t="s">
        <v>2155</v>
      </c>
      <c r="H2636" t="s">
        <v>2156</v>
      </c>
      <c r="I2636" t="s">
        <v>85</v>
      </c>
      <c r="J2636">
        <v>57</v>
      </c>
      <c r="K2636" t="s">
        <v>83</v>
      </c>
      <c r="L2636" t="s">
        <v>2579</v>
      </c>
      <c r="M2636" t="s">
        <v>56</v>
      </c>
      <c r="N2636" t="s">
        <v>2626</v>
      </c>
      <c r="O2636" t="s">
        <v>125</v>
      </c>
      <c r="P2636" t="s">
        <v>48</v>
      </c>
      <c r="Q2636" t="s">
        <v>141</v>
      </c>
      <c r="R2636">
        <v>1</v>
      </c>
      <c r="S2636">
        <v>1999</v>
      </c>
      <c r="T2636">
        <v>0.05</v>
      </c>
      <c r="U2636">
        <v>1899.05</v>
      </c>
      <c r="V2636">
        <v>1150</v>
      </c>
      <c r="W2636">
        <v>749.05</v>
      </c>
      <c r="X2636" t="s">
        <v>73</v>
      </c>
      <c r="Y2636" t="s">
        <v>68</v>
      </c>
      <c r="Z2636" t="s">
        <v>162</v>
      </c>
      <c r="AA2636" t="s">
        <v>170</v>
      </c>
      <c r="AB2636">
        <v>3.8</v>
      </c>
      <c r="AC2636">
        <v>80</v>
      </c>
      <c r="AD2636">
        <v>46.79</v>
      </c>
      <c r="AE2636">
        <f t="shared" si="82"/>
        <v>622.26</v>
      </c>
      <c r="AF2636" t="str">
        <f t="shared" si="83"/>
        <v>2025-12</v>
      </c>
      <c r="AG2636">
        <f>SUBTOTAL(103,A2636)</f>
        <v>1</v>
      </c>
    </row>
    <row r="2637" spans="1:33" x14ac:dyDescent="0.3">
      <c r="A2637" t="s">
        <v>5260</v>
      </c>
      <c r="B2637" s="13">
        <v>45993</v>
      </c>
      <c r="C2637">
        <v>2025</v>
      </c>
      <c r="D2637">
        <v>12</v>
      </c>
      <c r="E2637" t="s">
        <v>5251</v>
      </c>
      <c r="F2637" t="s">
        <v>4780</v>
      </c>
      <c r="G2637" t="s">
        <v>1925</v>
      </c>
      <c r="H2637" t="s">
        <v>1926</v>
      </c>
      <c r="I2637" t="s">
        <v>85</v>
      </c>
      <c r="J2637">
        <v>57</v>
      </c>
      <c r="K2637" t="s">
        <v>83</v>
      </c>
      <c r="L2637" t="s">
        <v>100</v>
      </c>
      <c r="M2637" t="s">
        <v>56</v>
      </c>
      <c r="N2637" t="s">
        <v>2653</v>
      </c>
      <c r="O2637" t="s">
        <v>132</v>
      </c>
      <c r="P2637" t="s">
        <v>52</v>
      </c>
      <c r="Q2637" t="s">
        <v>150</v>
      </c>
      <c r="R2637">
        <v>2</v>
      </c>
      <c r="S2637">
        <v>899</v>
      </c>
      <c r="T2637">
        <v>0.1</v>
      </c>
      <c r="U2637">
        <v>1618.2</v>
      </c>
      <c r="V2637">
        <v>840</v>
      </c>
      <c r="W2637">
        <v>778.2</v>
      </c>
      <c r="X2637" t="s">
        <v>73</v>
      </c>
      <c r="Y2637" t="s">
        <v>68</v>
      </c>
      <c r="Z2637" t="s">
        <v>158</v>
      </c>
      <c r="AA2637" t="s">
        <v>169</v>
      </c>
      <c r="AB2637">
        <v>4.5</v>
      </c>
      <c r="AC2637">
        <v>80</v>
      </c>
      <c r="AD2637">
        <v>76.02</v>
      </c>
      <c r="AE2637">
        <f t="shared" si="82"/>
        <v>622.18000000000006</v>
      </c>
      <c r="AF2637" t="str">
        <f t="shared" si="83"/>
        <v>2025-12</v>
      </c>
      <c r="AG2637">
        <f>SUBTOTAL(103,A2637)</f>
        <v>1</v>
      </c>
    </row>
    <row r="2638" spans="1:33" x14ac:dyDescent="0.3">
      <c r="A2638" t="s">
        <v>5261</v>
      </c>
      <c r="B2638" s="13">
        <v>45993</v>
      </c>
      <c r="C2638">
        <v>2025</v>
      </c>
      <c r="D2638">
        <v>12</v>
      </c>
      <c r="E2638" t="s">
        <v>5251</v>
      </c>
      <c r="F2638" t="s">
        <v>4780</v>
      </c>
      <c r="G2638" t="s">
        <v>851</v>
      </c>
      <c r="H2638" t="s">
        <v>852</v>
      </c>
      <c r="I2638" t="s">
        <v>86</v>
      </c>
      <c r="J2638">
        <v>23</v>
      </c>
      <c r="K2638" t="s">
        <v>80</v>
      </c>
      <c r="L2638" t="s">
        <v>59</v>
      </c>
      <c r="M2638" t="s">
        <v>59</v>
      </c>
      <c r="N2638" t="s">
        <v>2580</v>
      </c>
      <c r="O2638" t="s">
        <v>118</v>
      </c>
      <c r="P2638" t="s">
        <v>48</v>
      </c>
      <c r="Q2638" t="s">
        <v>142</v>
      </c>
      <c r="R2638">
        <v>2</v>
      </c>
      <c r="S2638">
        <v>3999</v>
      </c>
      <c r="T2638">
        <v>0.1</v>
      </c>
      <c r="U2638">
        <v>7198.2</v>
      </c>
      <c r="V2638">
        <v>4800</v>
      </c>
      <c r="W2638">
        <v>2398.1999999999998</v>
      </c>
      <c r="X2638" t="s">
        <v>76</v>
      </c>
      <c r="Y2638" t="s">
        <v>68</v>
      </c>
      <c r="Z2638" t="s">
        <v>159</v>
      </c>
      <c r="AA2638" t="s">
        <v>166</v>
      </c>
      <c r="AB2638">
        <v>3.2</v>
      </c>
      <c r="AC2638">
        <v>50</v>
      </c>
      <c r="AD2638">
        <v>503.81</v>
      </c>
      <c r="AE2638">
        <f t="shared" si="82"/>
        <v>1844.3899999999999</v>
      </c>
      <c r="AF2638" t="str">
        <f t="shared" si="83"/>
        <v>2025-12</v>
      </c>
      <c r="AG2638">
        <f>SUBTOTAL(103,A2638)</f>
        <v>1</v>
      </c>
    </row>
    <row r="2639" spans="1:33" x14ac:dyDescent="0.3">
      <c r="A2639" t="s">
        <v>5262</v>
      </c>
      <c r="B2639" s="13">
        <v>45993</v>
      </c>
      <c r="C2639">
        <v>2025</v>
      </c>
      <c r="D2639">
        <v>12</v>
      </c>
      <c r="E2639" t="s">
        <v>5251</v>
      </c>
      <c r="F2639" t="s">
        <v>4780</v>
      </c>
      <c r="G2639" t="s">
        <v>1319</v>
      </c>
      <c r="H2639" t="s">
        <v>1320</v>
      </c>
      <c r="I2639" t="s">
        <v>85</v>
      </c>
      <c r="J2639">
        <v>42</v>
      </c>
      <c r="K2639" t="s">
        <v>82</v>
      </c>
      <c r="L2639" t="s">
        <v>2623</v>
      </c>
      <c r="M2639" t="s">
        <v>61</v>
      </c>
      <c r="N2639" t="s">
        <v>2574</v>
      </c>
      <c r="O2639" t="s">
        <v>130</v>
      </c>
      <c r="P2639" t="s">
        <v>50</v>
      </c>
      <c r="Q2639" t="s">
        <v>53</v>
      </c>
      <c r="R2639">
        <v>3</v>
      </c>
      <c r="S2639">
        <v>1199</v>
      </c>
      <c r="T2639">
        <v>0.05</v>
      </c>
      <c r="U2639">
        <v>3417.15</v>
      </c>
      <c r="V2639">
        <v>1650</v>
      </c>
      <c r="W2639">
        <v>1767.15</v>
      </c>
      <c r="X2639" t="s">
        <v>76</v>
      </c>
      <c r="Y2639" t="s">
        <v>68</v>
      </c>
      <c r="Z2639" t="s">
        <v>161</v>
      </c>
      <c r="AA2639" t="s">
        <v>167</v>
      </c>
      <c r="AB2639">
        <v>3.5</v>
      </c>
      <c r="AC2639">
        <v>50</v>
      </c>
      <c r="AD2639">
        <v>327.14</v>
      </c>
      <c r="AE2639">
        <f t="shared" si="82"/>
        <v>1390.0100000000002</v>
      </c>
      <c r="AF2639" t="str">
        <f t="shared" si="83"/>
        <v>2025-12</v>
      </c>
      <c r="AG2639">
        <f>SUBTOTAL(103,A2639)</f>
        <v>1</v>
      </c>
    </row>
    <row r="2640" spans="1:33" x14ac:dyDescent="0.3">
      <c r="A2640" t="s">
        <v>5263</v>
      </c>
      <c r="B2640" s="13">
        <v>45993</v>
      </c>
      <c r="C2640">
        <v>2025</v>
      </c>
      <c r="D2640">
        <v>12</v>
      </c>
      <c r="E2640" t="s">
        <v>5251</v>
      </c>
      <c r="F2640" t="s">
        <v>4780</v>
      </c>
      <c r="G2640" t="s">
        <v>1415</v>
      </c>
      <c r="H2640" t="s">
        <v>1416</v>
      </c>
      <c r="I2640" t="s">
        <v>85</v>
      </c>
      <c r="J2640">
        <v>32</v>
      </c>
      <c r="K2640" t="s">
        <v>81</v>
      </c>
      <c r="L2640" t="s">
        <v>2687</v>
      </c>
      <c r="M2640" t="s">
        <v>57</v>
      </c>
      <c r="N2640" t="s">
        <v>2606</v>
      </c>
      <c r="O2640" t="s">
        <v>120</v>
      </c>
      <c r="P2640" t="s">
        <v>49</v>
      </c>
      <c r="Q2640" t="s">
        <v>140</v>
      </c>
      <c r="R2640">
        <v>1</v>
      </c>
      <c r="S2640">
        <v>2799</v>
      </c>
      <c r="T2640">
        <v>0.15</v>
      </c>
      <c r="U2640">
        <v>0</v>
      </c>
      <c r="V2640">
        <v>0</v>
      </c>
      <c r="W2640">
        <v>0</v>
      </c>
      <c r="X2640" t="s">
        <v>73</v>
      </c>
      <c r="Y2640" t="s">
        <v>71</v>
      </c>
      <c r="Z2640" t="s">
        <v>163</v>
      </c>
      <c r="AA2640" t="s">
        <v>166</v>
      </c>
      <c r="AB2640">
        <v>4.4000000000000004</v>
      </c>
      <c r="AC2640">
        <v>60</v>
      </c>
      <c r="AD2640">
        <v>122.11</v>
      </c>
      <c r="AE2640">
        <f t="shared" si="82"/>
        <v>-182.11</v>
      </c>
      <c r="AF2640" t="str">
        <f t="shared" si="83"/>
        <v>2025-12</v>
      </c>
      <c r="AG2640">
        <f>SUBTOTAL(103,A2640)</f>
        <v>1</v>
      </c>
    </row>
    <row r="2641" spans="1:33" x14ac:dyDescent="0.3">
      <c r="A2641" t="s">
        <v>5264</v>
      </c>
      <c r="B2641" s="13">
        <v>45993</v>
      </c>
      <c r="C2641">
        <v>2025</v>
      </c>
      <c r="D2641">
        <v>12</v>
      </c>
      <c r="E2641" t="s">
        <v>5251</v>
      </c>
      <c r="F2641" t="s">
        <v>4780</v>
      </c>
      <c r="G2641" t="s">
        <v>711</v>
      </c>
      <c r="H2641" t="s">
        <v>712</v>
      </c>
      <c r="I2641" t="s">
        <v>85</v>
      </c>
      <c r="J2641">
        <v>40</v>
      </c>
      <c r="K2641" t="s">
        <v>82</v>
      </c>
      <c r="L2641" t="s">
        <v>97</v>
      </c>
      <c r="M2641" t="s">
        <v>57</v>
      </c>
      <c r="N2641" t="s">
        <v>2626</v>
      </c>
      <c r="O2641" t="s">
        <v>125</v>
      </c>
      <c r="P2641" t="s">
        <v>48</v>
      </c>
      <c r="Q2641" t="s">
        <v>141</v>
      </c>
      <c r="R2641">
        <v>1</v>
      </c>
      <c r="S2641">
        <v>1999</v>
      </c>
      <c r="T2641">
        <v>0.05</v>
      </c>
      <c r="U2641">
        <v>1899.05</v>
      </c>
      <c r="V2641">
        <v>1150</v>
      </c>
      <c r="W2641">
        <v>749.05</v>
      </c>
      <c r="X2641" t="s">
        <v>76</v>
      </c>
      <c r="Y2641" t="s">
        <v>69</v>
      </c>
      <c r="Z2641" t="s">
        <v>160</v>
      </c>
      <c r="AA2641" t="s">
        <v>167</v>
      </c>
      <c r="AB2641">
        <v>5</v>
      </c>
      <c r="AC2641">
        <v>80</v>
      </c>
      <c r="AD2641">
        <v>89.04</v>
      </c>
      <c r="AE2641">
        <f t="shared" si="82"/>
        <v>580.01</v>
      </c>
      <c r="AF2641" t="str">
        <f t="shared" si="83"/>
        <v>2025-12</v>
      </c>
      <c r="AG2641">
        <f>SUBTOTAL(103,A2641)</f>
        <v>1</v>
      </c>
    </row>
    <row r="2642" spans="1:33" x14ac:dyDescent="0.3">
      <c r="A2642" t="s">
        <v>5265</v>
      </c>
      <c r="B2642" s="13">
        <v>45993</v>
      </c>
      <c r="C2642">
        <v>2025</v>
      </c>
      <c r="D2642">
        <v>12</v>
      </c>
      <c r="E2642" t="s">
        <v>5251</v>
      </c>
      <c r="F2642" t="s">
        <v>4780</v>
      </c>
      <c r="G2642" t="s">
        <v>1527</v>
      </c>
      <c r="H2642" t="s">
        <v>1528</v>
      </c>
      <c r="I2642" t="s">
        <v>87</v>
      </c>
      <c r="J2642">
        <v>53</v>
      </c>
      <c r="K2642" t="s">
        <v>83</v>
      </c>
      <c r="L2642" t="s">
        <v>2612</v>
      </c>
      <c r="M2642" t="s">
        <v>64</v>
      </c>
      <c r="N2642" t="s">
        <v>2665</v>
      </c>
      <c r="O2642" t="s">
        <v>128</v>
      </c>
      <c r="P2642" t="s">
        <v>53</v>
      </c>
      <c r="Q2642" t="s">
        <v>143</v>
      </c>
      <c r="R2642">
        <v>3</v>
      </c>
      <c r="S2642">
        <v>1499</v>
      </c>
      <c r="T2642">
        <v>0</v>
      </c>
      <c r="U2642">
        <v>4497</v>
      </c>
      <c r="V2642">
        <v>2400</v>
      </c>
      <c r="W2642">
        <v>2097</v>
      </c>
      <c r="X2642" t="s">
        <v>75</v>
      </c>
      <c r="Y2642" t="s">
        <v>68</v>
      </c>
      <c r="Z2642" t="s">
        <v>163</v>
      </c>
      <c r="AA2642" t="s">
        <v>167</v>
      </c>
      <c r="AB2642">
        <v>4</v>
      </c>
      <c r="AC2642">
        <v>60</v>
      </c>
      <c r="AD2642">
        <v>132.97</v>
      </c>
      <c r="AE2642">
        <f t="shared" si="82"/>
        <v>1904.03</v>
      </c>
      <c r="AF2642" t="str">
        <f t="shared" si="83"/>
        <v>2025-12</v>
      </c>
      <c r="AG2642">
        <f>SUBTOTAL(103,A2642)</f>
        <v>1</v>
      </c>
    </row>
    <row r="2643" spans="1:33" x14ac:dyDescent="0.3">
      <c r="A2643" t="s">
        <v>5266</v>
      </c>
      <c r="B2643" s="13">
        <v>45993</v>
      </c>
      <c r="C2643">
        <v>2025</v>
      </c>
      <c r="D2643">
        <v>12</v>
      </c>
      <c r="E2643" t="s">
        <v>5251</v>
      </c>
      <c r="F2643" t="s">
        <v>4780</v>
      </c>
      <c r="G2643" t="s">
        <v>577</v>
      </c>
      <c r="H2643" t="s">
        <v>578</v>
      </c>
      <c r="I2643" t="s">
        <v>85</v>
      </c>
      <c r="J2643">
        <v>41</v>
      </c>
      <c r="K2643" t="s">
        <v>82</v>
      </c>
      <c r="L2643" t="s">
        <v>100</v>
      </c>
      <c r="M2643" t="s">
        <v>56</v>
      </c>
      <c r="N2643" t="s">
        <v>2630</v>
      </c>
      <c r="O2643" t="s">
        <v>123</v>
      </c>
      <c r="P2643" t="s">
        <v>52</v>
      </c>
      <c r="Q2643" t="s">
        <v>146</v>
      </c>
      <c r="R2643">
        <v>4</v>
      </c>
      <c r="S2643">
        <v>2499</v>
      </c>
      <c r="T2643">
        <v>0.1</v>
      </c>
      <c r="U2643">
        <v>8996.4</v>
      </c>
      <c r="V2643">
        <v>5600</v>
      </c>
      <c r="W2643">
        <v>3396.4</v>
      </c>
      <c r="X2643" t="s">
        <v>77</v>
      </c>
      <c r="Y2643" t="s">
        <v>68</v>
      </c>
      <c r="Z2643" t="s">
        <v>160</v>
      </c>
      <c r="AA2643" t="s">
        <v>169</v>
      </c>
      <c r="AB2643">
        <v>4.0999999999999996</v>
      </c>
      <c r="AC2643">
        <v>60</v>
      </c>
      <c r="AD2643">
        <v>782.5</v>
      </c>
      <c r="AE2643">
        <f t="shared" si="82"/>
        <v>2553.9</v>
      </c>
      <c r="AF2643" t="str">
        <f t="shared" si="83"/>
        <v>2025-12</v>
      </c>
      <c r="AG2643">
        <f>SUBTOTAL(103,A2643)</f>
        <v>1</v>
      </c>
    </row>
    <row r="2644" spans="1:33" x14ac:dyDescent="0.3">
      <c r="A2644" t="s">
        <v>5267</v>
      </c>
      <c r="B2644" s="13">
        <v>45993</v>
      </c>
      <c r="C2644">
        <v>2025</v>
      </c>
      <c r="D2644">
        <v>12</v>
      </c>
      <c r="E2644" t="s">
        <v>5251</v>
      </c>
      <c r="F2644" t="s">
        <v>4780</v>
      </c>
      <c r="G2644" t="s">
        <v>703</v>
      </c>
      <c r="H2644" t="s">
        <v>704</v>
      </c>
      <c r="I2644" t="s">
        <v>86</v>
      </c>
      <c r="J2644">
        <v>49</v>
      </c>
      <c r="K2644" t="s">
        <v>83</v>
      </c>
      <c r="L2644" t="s">
        <v>99</v>
      </c>
      <c r="M2644" t="s">
        <v>58</v>
      </c>
      <c r="N2644" t="s">
        <v>2592</v>
      </c>
      <c r="O2644" t="s">
        <v>115</v>
      </c>
      <c r="P2644" t="s">
        <v>48</v>
      </c>
      <c r="Q2644" t="s">
        <v>137</v>
      </c>
      <c r="R2644">
        <v>3</v>
      </c>
      <c r="S2644">
        <v>12999</v>
      </c>
      <c r="T2644">
        <v>0.25</v>
      </c>
      <c r="U2644">
        <v>29247.75</v>
      </c>
      <c r="V2644">
        <v>27000</v>
      </c>
      <c r="W2644">
        <v>2247.75</v>
      </c>
      <c r="X2644" t="s">
        <v>76</v>
      </c>
      <c r="Y2644" t="s">
        <v>68</v>
      </c>
      <c r="Z2644" t="s">
        <v>159</v>
      </c>
      <c r="AA2644" t="s">
        <v>167</v>
      </c>
      <c r="AB2644">
        <v>4.2</v>
      </c>
      <c r="AC2644">
        <v>60</v>
      </c>
      <c r="AD2644">
        <v>2193.61</v>
      </c>
      <c r="AE2644">
        <f t="shared" si="82"/>
        <v>-5.8600000000001273</v>
      </c>
      <c r="AF2644" t="str">
        <f t="shared" si="83"/>
        <v>2025-12</v>
      </c>
      <c r="AG2644">
        <f>SUBTOTAL(103,A2644)</f>
        <v>1</v>
      </c>
    </row>
    <row r="2645" spans="1:33" x14ac:dyDescent="0.3">
      <c r="A2645" t="s">
        <v>5268</v>
      </c>
      <c r="B2645" s="13">
        <v>45993</v>
      </c>
      <c r="C2645">
        <v>2025</v>
      </c>
      <c r="D2645">
        <v>12</v>
      </c>
      <c r="E2645" t="s">
        <v>5251</v>
      </c>
      <c r="F2645" t="s">
        <v>4780</v>
      </c>
      <c r="G2645" t="s">
        <v>1005</v>
      </c>
      <c r="H2645" t="s">
        <v>1006</v>
      </c>
      <c r="I2645" t="s">
        <v>85</v>
      </c>
      <c r="J2645">
        <v>47</v>
      </c>
      <c r="K2645" t="s">
        <v>83</v>
      </c>
      <c r="L2645" t="s">
        <v>97</v>
      </c>
      <c r="M2645" t="s">
        <v>57</v>
      </c>
      <c r="N2645" t="s">
        <v>2665</v>
      </c>
      <c r="O2645" t="s">
        <v>128</v>
      </c>
      <c r="P2645" t="s">
        <v>53</v>
      </c>
      <c r="Q2645" t="s">
        <v>143</v>
      </c>
      <c r="R2645">
        <v>3</v>
      </c>
      <c r="S2645">
        <v>1499</v>
      </c>
      <c r="T2645">
        <v>0.1</v>
      </c>
      <c r="U2645">
        <v>4047.3</v>
      </c>
      <c r="V2645">
        <v>2400</v>
      </c>
      <c r="W2645">
        <v>1647.3</v>
      </c>
      <c r="X2645" t="s">
        <v>74</v>
      </c>
      <c r="Y2645" t="s">
        <v>68</v>
      </c>
      <c r="Z2645" t="s">
        <v>161</v>
      </c>
      <c r="AA2645" t="s">
        <v>166</v>
      </c>
      <c r="AB2645">
        <v>4.5999999999999996</v>
      </c>
      <c r="AC2645">
        <v>50</v>
      </c>
      <c r="AD2645">
        <v>411.76</v>
      </c>
      <c r="AE2645">
        <f t="shared" si="82"/>
        <v>1185.54</v>
      </c>
      <c r="AF2645" t="str">
        <f t="shared" si="83"/>
        <v>2025-12</v>
      </c>
      <c r="AG2645">
        <f>SUBTOTAL(103,A2645)</f>
        <v>1</v>
      </c>
    </row>
    <row r="2646" spans="1:33" x14ac:dyDescent="0.3">
      <c r="A2646" t="s">
        <v>5269</v>
      </c>
      <c r="B2646" s="13">
        <v>45994</v>
      </c>
      <c r="C2646">
        <v>2025</v>
      </c>
      <c r="D2646">
        <v>12</v>
      </c>
      <c r="E2646" t="s">
        <v>5251</v>
      </c>
      <c r="F2646" t="s">
        <v>4780</v>
      </c>
      <c r="G2646" t="s">
        <v>787</v>
      </c>
      <c r="H2646" t="s">
        <v>788</v>
      </c>
      <c r="I2646" t="s">
        <v>86</v>
      </c>
      <c r="J2646">
        <v>48</v>
      </c>
      <c r="K2646" t="s">
        <v>83</v>
      </c>
      <c r="L2646" t="s">
        <v>2623</v>
      </c>
      <c r="M2646" t="s">
        <v>61</v>
      </c>
      <c r="N2646" t="s">
        <v>2580</v>
      </c>
      <c r="O2646" t="s">
        <v>118</v>
      </c>
      <c r="P2646" t="s">
        <v>48</v>
      </c>
      <c r="Q2646" t="s">
        <v>142</v>
      </c>
      <c r="R2646">
        <v>3</v>
      </c>
      <c r="S2646">
        <v>3999</v>
      </c>
      <c r="T2646">
        <v>0</v>
      </c>
      <c r="U2646">
        <v>11997</v>
      </c>
      <c r="V2646">
        <v>7200</v>
      </c>
      <c r="W2646">
        <v>4797</v>
      </c>
      <c r="X2646" t="s">
        <v>74</v>
      </c>
      <c r="Y2646" t="s">
        <v>68</v>
      </c>
      <c r="Z2646" t="s">
        <v>158</v>
      </c>
      <c r="AA2646" t="s">
        <v>169</v>
      </c>
      <c r="AB2646">
        <v>3.7</v>
      </c>
      <c r="AC2646">
        <v>50</v>
      </c>
      <c r="AD2646">
        <v>670.89</v>
      </c>
      <c r="AE2646">
        <f t="shared" si="82"/>
        <v>4076.11</v>
      </c>
      <c r="AF2646" t="str">
        <f t="shared" si="83"/>
        <v>2025-12</v>
      </c>
      <c r="AG2646">
        <f>SUBTOTAL(103,A2646)</f>
        <v>1</v>
      </c>
    </row>
    <row r="2647" spans="1:33" x14ac:dyDescent="0.3">
      <c r="A2647" t="s">
        <v>5270</v>
      </c>
      <c r="B2647" s="13">
        <v>45994</v>
      </c>
      <c r="C2647">
        <v>2025</v>
      </c>
      <c r="D2647">
        <v>12</v>
      </c>
      <c r="E2647" t="s">
        <v>5251</v>
      </c>
      <c r="F2647" t="s">
        <v>4780</v>
      </c>
      <c r="G2647" t="s">
        <v>1627</v>
      </c>
      <c r="H2647" t="s">
        <v>1628</v>
      </c>
      <c r="I2647" t="s">
        <v>86</v>
      </c>
      <c r="J2647">
        <v>22</v>
      </c>
      <c r="K2647" t="s">
        <v>80</v>
      </c>
      <c r="L2647" t="s">
        <v>2661</v>
      </c>
      <c r="M2647" t="s">
        <v>58</v>
      </c>
      <c r="N2647" t="s">
        <v>2584</v>
      </c>
      <c r="O2647" t="s">
        <v>121</v>
      </c>
      <c r="P2647" t="s">
        <v>50</v>
      </c>
      <c r="Q2647" t="s">
        <v>144</v>
      </c>
      <c r="R2647">
        <v>2</v>
      </c>
      <c r="S2647">
        <v>2999</v>
      </c>
      <c r="T2647">
        <v>0.05</v>
      </c>
      <c r="U2647">
        <v>5698.1</v>
      </c>
      <c r="V2647">
        <v>3400</v>
      </c>
      <c r="W2647">
        <v>2298.1</v>
      </c>
      <c r="X2647" t="s">
        <v>76</v>
      </c>
      <c r="Y2647" t="s">
        <v>68</v>
      </c>
      <c r="Z2647" t="s">
        <v>158</v>
      </c>
      <c r="AA2647" t="s">
        <v>171</v>
      </c>
      <c r="AB2647">
        <v>3.7</v>
      </c>
      <c r="AC2647">
        <v>80</v>
      </c>
      <c r="AD2647">
        <v>476.95</v>
      </c>
      <c r="AE2647">
        <f t="shared" si="82"/>
        <v>1741.1499999999999</v>
      </c>
      <c r="AF2647" t="str">
        <f t="shared" si="83"/>
        <v>2025-12</v>
      </c>
      <c r="AG2647">
        <f>SUBTOTAL(103,A2647)</f>
        <v>1</v>
      </c>
    </row>
    <row r="2648" spans="1:33" x14ac:dyDescent="0.3">
      <c r="A2648" t="s">
        <v>5271</v>
      </c>
      <c r="B2648" s="13">
        <v>45994</v>
      </c>
      <c r="C2648">
        <v>2025</v>
      </c>
      <c r="D2648">
        <v>12</v>
      </c>
      <c r="E2648" t="s">
        <v>5251</v>
      </c>
      <c r="F2648" t="s">
        <v>4780</v>
      </c>
      <c r="G2648" t="s">
        <v>1011</v>
      </c>
      <c r="H2648" t="s">
        <v>1012</v>
      </c>
      <c r="I2648" t="s">
        <v>85</v>
      </c>
      <c r="J2648">
        <v>33</v>
      </c>
      <c r="K2648" t="s">
        <v>81</v>
      </c>
      <c r="L2648" t="s">
        <v>2586</v>
      </c>
      <c r="M2648" t="s">
        <v>62</v>
      </c>
      <c r="N2648" t="s">
        <v>2574</v>
      </c>
      <c r="O2648" t="s">
        <v>130</v>
      </c>
      <c r="P2648" t="s">
        <v>50</v>
      </c>
      <c r="Q2648" t="s">
        <v>53</v>
      </c>
      <c r="R2648">
        <v>2</v>
      </c>
      <c r="S2648">
        <v>1199</v>
      </c>
      <c r="T2648">
        <v>0</v>
      </c>
      <c r="U2648">
        <v>2398</v>
      </c>
      <c r="V2648">
        <v>1100</v>
      </c>
      <c r="W2648">
        <v>1298</v>
      </c>
      <c r="X2648" t="s">
        <v>75</v>
      </c>
      <c r="Y2648" t="s">
        <v>68</v>
      </c>
      <c r="Z2648" t="s">
        <v>159</v>
      </c>
      <c r="AA2648" t="s">
        <v>171</v>
      </c>
      <c r="AB2648">
        <v>4.4000000000000004</v>
      </c>
      <c r="AC2648">
        <v>80</v>
      </c>
      <c r="AD2648">
        <v>159.16999999999999</v>
      </c>
      <c r="AE2648">
        <f t="shared" si="82"/>
        <v>1058.83</v>
      </c>
      <c r="AF2648" t="str">
        <f t="shared" si="83"/>
        <v>2025-12</v>
      </c>
      <c r="AG2648">
        <f>SUBTOTAL(103,A2648)</f>
        <v>1</v>
      </c>
    </row>
    <row r="2649" spans="1:33" x14ac:dyDescent="0.3">
      <c r="A2649" t="s">
        <v>5272</v>
      </c>
      <c r="B2649" s="13">
        <v>45994</v>
      </c>
      <c r="C2649">
        <v>2025</v>
      </c>
      <c r="D2649">
        <v>12</v>
      </c>
      <c r="E2649" t="s">
        <v>5251</v>
      </c>
      <c r="F2649" t="s">
        <v>4780</v>
      </c>
      <c r="G2649" t="s">
        <v>833</v>
      </c>
      <c r="H2649" t="s">
        <v>834</v>
      </c>
      <c r="I2649" t="s">
        <v>85</v>
      </c>
      <c r="J2649">
        <v>30</v>
      </c>
      <c r="K2649" t="s">
        <v>81</v>
      </c>
      <c r="L2649" t="s">
        <v>2623</v>
      </c>
      <c r="M2649" t="s">
        <v>61</v>
      </c>
      <c r="N2649" t="s">
        <v>2606</v>
      </c>
      <c r="O2649" t="s">
        <v>120</v>
      </c>
      <c r="P2649" t="s">
        <v>49</v>
      </c>
      <c r="Q2649" t="s">
        <v>140</v>
      </c>
      <c r="R2649">
        <v>2</v>
      </c>
      <c r="S2649">
        <v>2799</v>
      </c>
      <c r="T2649">
        <v>0.15</v>
      </c>
      <c r="U2649">
        <v>4758.3</v>
      </c>
      <c r="V2649">
        <v>3300</v>
      </c>
      <c r="W2649">
        <v>1458.3</v>
      </c>
      <c r="X2649" t="s">
        <v>74</v>
      </c>
      <c r="Y2649" t="s">
        <v>68</v>
      </c>
      <c r="Z2649" t="s">
        <v>162</v>
      </c>
      <c r="AA2649" t="s">
        <v>166</v>
      </c>
      <c r="AB2649">
        <v>3.9</v>
      </c>
      <c r="AC2649">
        <v>60</v>
      </c>
      <c r="AD2649">
        <v>364.66</v>
      </c>
      <c r="AE2649">
        <f t="shared" si="82"/>
        <v>1033.6399999999999</v>
      </c>
      <c r="AF2649" t="str">
        <f t="shared" si="83"/>
        <v>2025-12</v>
      </c>
      <c r="AG2649">
        <f>SUBTOTAL(103,A2649)</f>
        <v>1</v>
      </c>
    </row>
    <row r="2650" spans="1:33" x14ac:dyDescent="0.3">
      <c r="A2650" t="s">
        <v>5273</v>
      </c>
      <c r="B2650" s="13">
        <v>45994</v>
      </c>
      <c r="C2650">
        <v>2025</v>
      </c>
      <c r="D2650">
        <v>12</v>
      </c>
      <c r="E2650" t="s">
        <v>5251</v>
      </c>
      <c r="F2650" t="s">
        <v>4780</v>
      </c>
      <c r="G2650" t="s">
        <v>623</v>
      </c>
      <c r="H2650" t="s">
        <v>624</v>
      </c>
      <c r="I2650" t="s">
        <v>86</v>
      </c>
      <c r="J2650">
        <v>59</v>
      </c>
      <c r="K2650" t="s">
        <v>83</v>
      </c>
      <c r="L2650" t="s">
        <v>2586</v>
      </c>
      <c r="M2650" t="s">
        <v>62</v>
      </c>
      <c r="N2650" t="s">
        <v>2644</v>
      </c>
      <c r="O2650" t="s">
        <v>126</v>
      </c>
      <c r="P2650" t="s">
        <v>50</v>
      </c>
      <c r="Q2650" t="s">
        <v>145</v>
      </c>
      <c r="R2650">
        <v>4</v>
      </c>
      <c r="S2650">
        <v>1799</v>
      </c>
      <c r="T2650">
        <v>0.1</v>
      </c>
      <c r="U2650">
        <v>6476.4</v>
      </c>
      <c r="V2650">
        <v>3800</v>
      </c>
      <c r="W2650">
        <v>2676.4</v>
      </c>
      <c r="X2650" t="s">
        <v>73</v>
      </c>
      <c r="Y2650" t="s">
        <v>68</v>
      </c>
      <c r="Z2650" t="s">
        <v>160</v>
      </c>
      <c r="AA2650" t="s">
        <v>166</v>
      </c>
      <c r="AB2650">
        <v>5</v>
      </c>
      <c r="AC2650">
        <v>50</v>
      </c>
      <c r="AD2650">
        <v>495.24</v>
      </c>
      <c r="AE2650">
        <f t="shared" si="82"/>
        <v>2131.16</v>
      </c>
      <c r="AF2650" t="str">
        <f t="shared" si="83"/>
        <v>2025-12</v>
      </c>
      <c r="AG2650">
        <f>SUBTOTAL(103,A2650)</f>
        <v>1</v>
      </c>
    </row>
    <row r="2651" spans="1:33" x14ac:dyDescent="0.3">
      <c r="A2651" t="s">
        <v>5274</v>
      </c>
      <c r="B2651" s="13">
        <v>45994</v>
      </c>
      <c r="C2651">
        <v>2025</v>
      </c>
      <c r="D2651">
        <v>12</v>
      </c>
      <c r="E2651" t="s">
        <v>5251</v>
      </c>
      <c r="F2651" t="s">
        <v>4780</v>
      </c>
      <c r="G2651" t="s">
        <v>679</v>
      </c>
      <c r="H2651" t="s">
        <v>680</v>
      </c>
      <c r="I2651" t="s">
        <v>86</v>
      </c>
      <c r="J2651">
        <v>26</v>
      </c>
      <c r="K2651" t="s">
        <v>81</v>
      </c>
      <c r="L2651" t="s">
        <v>2623</v>
      </c>
      <c r="M2651" t="s">
        <v>61</v>
      </c>
      <c r="N2651" t="s">
        <v>2606</v>
      </c>
      <c r="O2651" t="s">
        <v>120</v>
      </c>
      <c r="P2651" t="s">
        <v>49</v>
      </c>
      <c r="Q2651" t="s">
        <v>140</v>
      </c>
      <c r="R2651">
        <v>1</v>
      </c>
      <c r="S2651">
        <v>2799</v>
      </c>
      <c r="T2651">
        <v>0.05</v>
      </c>
      <c r="U2651">
        <v>2659.05</v>
      </c>
      <c r="V2651">
        <v>1650</v>
      </c>
      <c r="W2651">
        <v>1009.05</v>
      </c>
      <c r="X2651" t="s">
        <v>74</v>
      </c>
      <c r="Y2651" t="s">
        <v>68</v>
      </c>
      <c r="Z2651" t="s">
        <v>163</v>
      </c>
      <c r="AA2651" t="s">
        <v>169</v>
      </c>
      <c r="AB2651">
        <v>2.8</v>
      </c>
      <c r="AC2651">
        <v>50</v>
      </c>
      <c r="AD2651">
        <v>109.63</v>
      </c>
      <c r="AE2651">
        <f t="shared" si="82"/>
        <v>849.42</v>
      </c>
      <c r="AF2651" t="str">
        <f t="shared" si="83"/>
        <v>2025-12</v>
      </c>
      <c r="AG2651">
        <f>SUBTOTAL(103,A2651)</f>
        <v>1</v>
      </c>
    </row>
    <row r="2652" spans="1:33" x14ac:dyDescent="0.3">
      <c r="A2652" t="s">
        <v>5275</v>
      </c>
      <c r="B2652" s="13">
        <v>45994</v>
      </c>
      <c r="C2652">
        <v>2025</v>
      </c>
      <c r="D2652">
        <v>12</v>
      </c>
      <c r="E2652" t="s">
        <v>5251</v>
      </c>
      <c r="F2652" t="s">
        <v>4780</v>
      </c>
      <c r="G2652" t="s">
        <v>365</v>
      </c>
      <c r="H2652" t="s">
        <v>366</v>
      </c>
      <c r="I2652" t="s">
        <v>86</v>
      </c>
      <c r="J2652">
        <v>22</v>
      </c>
      <c r="K2652" t="s">
        <v>80</v>
      </c>
      <c r="L2652" t="s">
        <v>91</v>
      </c>
      <c r="M2652" t="s">
        <v>55</v>
      </c>
      <c r="N2652" t="s">
        <v>2594</v>
      </c>
      <c r="O2652" t="s">
        <v>131</v>
      </c>
      <c r="P2652" t="s">
        <v>53</v>
      </c>
      <c r="Q2652" t="s">
        <v>143</v>
      </c>
      <c r="R2652">
        <v>3</v>
      </c>
      <c r="S2652">
        <v>999</v>
      </c>
      <c r="T2652">
        <v>0.05</v>
      </c>
      <c r="U2652">
        <v>2847.15</v>
      </c>
      <c r="V2652">
        <v>1560</v>
      </c>
      <c r="W2652">
        <v>1287.1500000000001</v>
      </c>
      <c r="X2652" t="s">
        <v>75</v>
      </c>
      <c r="Y2652" t="s">
        <v>68</v>
      </c>
      <c r="Z2652" t="s">
        <v>160</v>
      </c>
      <c r="AA2652" t="s">
        <v>171</v>
      </c>
      <c r="AB2652">
        <v>2.7</v>
      </c>
      <c r="AC2652">
        <v>50</v>
      </c>
      <c r="AD2652">
        <v>300.54000000000002</v>
      </c>
      <c r="AE2652">
        <f t="shared" si="82"/>
        <v>936.61000000000013</v>
      </c>
      <c r="AF2652" t="str">
        <f t="shared" si="83"/>
        <v>2025-12</v>
      </c>
      <c r="AG2652">
        <f>SUBTOTAL(103,A2652)</f>
        <v>1</v>
      </c>
    </row>
    <row r="2653" spans="1:33" x14ac:dyDescent="0.3">
      <c r="A2653" t="s">
        <v>5276</v>
      </c>
      <c r="B2653" s="13">
        <v>45994</v>
      </c>
      <c r="C2653">
        <v>2025</v>
      </c>
      <c r="D2653">
        <v>12</v>
      </c>
      <c r="E2653" t="s">
        <v>5251</v>
      </c>
      <c r="F2653" t="s">
        <v>4780</v>
      </c>
      <c r="G2653" t="s">
        <v>1685</v>
      </c>
      <c r="H2653" t="s">
        <v>1686</v>
      </c>
      <c r="I2653" t="s">
        <v>86</v>
      </c>
      <c r="J2653">
        <v>37</v>
      </c>
      <c r="K2653" t="s">
        <v>82</v>
      </c>
      <c r="L2653" t="s">
        <v>2586</v>
      </c>
      <c r="M2653" t="s">
        <v>62</v>
      </c>
      <c r="N2653" t="s">
        <v>2657</v>
      </c>
      <c r="O2653" t="s">
        <v>134</v>
      </c>
      <c r="P2653" t="s">
        <v>49</v>
      </c>
      <c r="Q2653" t="s">
        <v>140</v>
      </c>
      <c r="R2653">
        <v>2</v>
      </c>
      <c r="S2653">
        <v>599</v>
      </c>
      <c r="T2653">
        <v>0</v>
      </c>
      <c r="U2653">
        <v>1198</v>
      </c>
      <c r="V2653">
        <v>500</v>
      </c>
      <c r="W2653">
        <v>698</v>
      </c>
      <c r="X2653" t="s">
        <v>75</v>
      </c>
      <c r="Y2653" t="s">
        <v>69</v>
      </c>
      <c r="Z2653" t="s">
        <v>160</v>
      </c>
      <c r="AA2653" t="s">
        <v>166</v>
      </c>
      <c r="AB2653">
        <v>3</v>
      </c>
      <c r="AC2653">
        <v>50</v>
      </c>
      <c r="AD2653">
        <v>90.57</v>
      </c>
      <c r="AE2653">
        <f t="shared" si="82"/>
        <v>557.43000000000006</v>
      </c>
      <c r="AF2653" t="str">
        <f t="shared" si="83"/>
        <v>2025-12</v>
      </c>
      <c r="AG2653">
        <f>SUBTOTAL(103,A2653)</f>
        <v>1</v>
      </c>
    </row>
    <row r="2654" spans="1:33" x14ac:dyDescent="0.3">
      <c r="A2654" t="s">
        <v>5277</v>
      </c>
      <c r="B2654" s="13">
        <v>45995</v>
      </c>
      <c r="C2654">
        <v>2025</v>
      </c>
      <c r="D2654">
        <v>12</v>
      </c>
      <c r="E2654" t="s">
        <v>5251</v>
      </c>
      <c r="F2654" t="s">
        <v>4780</v>
      </c>
      <c r="G2654" t="s">
        <v>409</v>
      </c>
      <c r="H2654" t="s">
        <v>410</v>
      </c>
      <c r="I2654" t="s">
        <v>85</v>
      </c>
      <c r="J2654">
        <v>31</v>
      </c>
      <c r="K2654" t="s">
        <v>81</v>
      </c>
      <c r="L2654" t="s">
        <v>2573</v>
      </c>
      <c r="M2654" t="s">
        <v>63</v>
      </c>
      <c r="N2654" t="s">
        <v>2587</v>
      </c>
      <c r="O2654" t="s">
        <v>116</v>
      </c>
      <c r="P2654" t="s">
        <v>48</v>
      </c>
      <c r="Q2654" t="s">
        <v>138</v>
      </c>
      <c r="R2654">
        <v>1</v>
      </c>
      <c r="S2654">
        <v>14999</v>
      </c>
      <c r="T2654">
        <v>0</v>
      </c>
      <c r="U2654">
        <v>14999</v>
      </c>
      <c r="V2654">
        <v>11200</v>
      </c>
      <c r="W2654">
        <v>3799</v>
      </c>
      <c r="X2654" t="s">
        <v>73</v>
      </c>
      <c r="Y2654" t="s">
        <v>68</v>
      </c>
      <c r="Z2654" t="s">
        <v>160</v>
      </c>
      <c r="AA2654" t="s">
        <v>166</v>
      </c>
      <c r="AB2654">
        <v>3.6</v>
      </c>
      <c r="AC2654">
        <v>50</v>
      </c>
      <c r="AD2654">
        <v>1755.7</v>
      </c>
      <c r="AE2654">
        <f t="shared" si="82"/>
        <v>1993.3</v>
      </c>
      <c r="AF2654" t="str">
        <f t="shared" si="83"/>
        <v>2025-12</v>
      </c>
      <c r="AG2654">
        <f>SUBTOTAL(103,A2654)</f>
        <v>1</v>
      </c>
    </row>
    <row r="2655" spans="1:33" x14ac:dyDescent="0.3">
      <c r="A2655" t="s">
        <v>5278</v>
      </c>
      <c r="B2655" s="13">
        <v>45995</v>
      </c>
      <c r="C2655">
        <v>2025</v>
      </c>
      <c r="D2655">
        <v>12</v>
      </c>
      <c r="E2655" t="s">
        <v>5251</v>
      </c>
      <c r="F2655" t="s">
        <v>4780</v>
      </c>
      <c r="G2655" t="s">
        <v>1065</v>
      </c>
      <c r="H2655" t="s">
        <v>1066</v>
      </c>
      <c r="I2655" t="s">
        <v>85</v>
      </c>
      <c r="J2655">
        <v>57</v>
      </c>
      <c r="K2655" t="s">
        <v>83</v>
      </c>
      <c r="L2655" t="s">
        <v>96</v>
      </c>
      <c r="M2655" t="s">
        <v>55</v>
      </c>
      <c r="N2655" t="s">
        <v>2592</v>
      </c>
      <c r="O2655" t="s">
        <v>115</v>
      </c>
      <c r="P2655" t="s">
        <v>48</v>
      </c>
      <c r="Q2655" t="s">
        <v>137</v>
      </c>
      <c r="R2655">
        <v>1</v>
      </c>
      <c r="S2655">
        <v>12999</v>
      </c>
      <c r="T2655">
        <v>0.05</v>
      </c>
      <c r="U2655">
        <v>12349.05</v>
      </c>
      <c r="V2655">
        <v>9000</v>
      </c>
      <c r="W2655">
        <v>3349.05</v>
      </c>
      <c r="X2655" t="s">
        <v>73</v>
      </c>
      <c r="Y2655" t="s">
        <v>68</v>
      </c>
      <c r="Z2655" t="s">
        <v>161</v>
      </c>
      <c r="AA2655" t="s">
        <v>167</v>
      </c>
      <c r="AB2655">
        <v>5</v>
      </c>
      <c r="AC2655">
        <v>40</v>
      </c>
      <c r="AD2655">
        <v>1133.8399999999999</v>
      </c>
      <c r="AE2655">
        <f t="shared" si="82"/>
        <v>2175.21</v>
      </c>
      <c r="AF2655" t="str">
        <f t="shared" si="83"/>
        <v>2025-12</v>
      </c>
      <c r="AG2655">
        <f>SUBTOTAL(103,A2655)</f>
        <v>1</v>
      </c>
    </row>
    <row r="2656" spans="1:33" x14ac:dyDescent="0.3">
      <c r="A2656" t="s">
        <v>5279</v>
      </c>
      <c r="B2656" s="13">
        <v>45995</v>
      </c>
      <c r="C2656">
        <v>2025</v>
      </c>
      <c r="D2656">
        <v>12</v>
      </c>
      <c r="E2656" t="s">
        <v>5251</v>
      </c>
      <c r="F2656" t="s">
        <v>4780</v>
      </c>
      <c r="G2656" t="s">
        <v>2243</v>
      </c>
      <c r="H2656" t="s">
        <v>2244</v>
      </c>
      <c r="I2656" t="s">
        <v>85</v>
      </c>
      <c r="J2656">
        <v>51</v>
      </c>
      <c r="K2656" t="s">
        <v>83</v>
      </c>
      <c r="L2656" t="s">
        <v>93</v>
      </c>
      <c r="M2656" t="s">
        <v>55</v>
      </c>
      <c r="N2656" t="s">
        <v>2657</v>
      </c>
      <c r="O2656" t="s">
        <v>134</v>
      </c>
      <c r="P2656" t="s">
        <v>49</v>
      </c>
      <c r="Q2656" t="s">
        <v>140</v>
      </c>
      <c r="R2656">
        <v>2</v>
      </c>
      <c r="S2656">
        <v>599</v>
      </c>
      <c r="T2656">
        <v>0.05</v>
      </c>
      <c r="U2656">
        <v>1138.0999999999999</v>
      </c>
      <c r="V2656">
        <v>500</v>
      </c>
      <c r="W2656">
        <v>638.1</v>
      </c>
      <c r="X2656" t="s">
        <v>75</v>
      </c>
      <c r="Y2656" t="s">
        <v>68</v>
      </c>
      <c r="Z2656" t="s">
        <v>163</v>
      </c>
      <c r="AA2656" t="s">
        <v>166</v>
      </c>
      <c r="AB2656">
        <v>4</v>
      </c>
      <c r="AC2656">
        <v>80</v>
      </c>
      <c r="AD2656">
        <v>47.79</v>
      </c>
      <c r="AE2656">
        <f t="shared" si="82"/>
        <v>510.31</v>
      </c>
      <c r="AF2656" t="str">
        <f t="shared" si="83"/>
        <v>2025-12</v>
      </c>
      <c r="AG2656">
        <f>SUBTOTAL(103,A2656)</f>
        <v>1</v>
      </c>
    </row>
    <row r="2657" spans="1:33" x14ac:dyDescent="0.3">
      <c r="A2657" t="s">
        <v>5280</v>
      </c>
      <c r="B2657" s="13">
        <v>45995</v>
      </c>
      <c r="C2657">
        <v>2025</v>
      </c>
      <c r="D2657">
        <v>12</v>
      </c>
      <c r="E2657" t="s">
        <v>5251</v>
      </c>
      <c r="F2657" t="s">
        <v>4780</v>
      </c>
      <c r="G2657" t="s">
        <v>2191</v>
      </c>
      <c r="H2657" t="s">
        <v>2192</v>
      </c>
      <c r="I2657" t="s">
        <v>86</v>
      </c>
      <c r="J2657">
        <v>21</v>
      </c>
      <c r="K2657" t="s">
        <v>80</v>
      </c>
      <c r="L2657" t="s">
        <v>96</v>
      </c>
      <c r="M2657" t="s">
        <v>55</v>
      </c>
      <c r="N2657" t="s">
        <v>2577</v>
      </c>
      <c r="O2657" t="s">
        <v>129</v>
      </c>
      <c r="P2657" t="s">
        <v>49</v>
      </c>
      <c r="Q2657" t="s">
        <v>149</v>
      </c>
      <c r="R2657">
        <v>1</v>
      </c>
      <c r="S2657">
        <v>1299</v>
      </c>
      <c r="T2657">
        <v>0</v>
      </c>
      <c r="U2657">
        <v>1299</v>
      </c>
      <c r="V2657">
        <v>650</v>
      </c>
      <c r="W2657">
        <v>649</v>
      </c>
      <c r="X2657" t="s">
        <v>73</v>
      </c>
      <c r="Y2657" t="s">
        <v>68</v>
      </c>
      <c r="Z2657" t="s">
        <v>161</v>
      </c>
      <c r="AA2657" t="s">
        <v>168</v>
      </c>
      <c r="AB2657">
        <v>4.3</v>
      </c>
      <c r="AC2657">
        <v>60</v>
      </c>
      <c r="AD2657">
        <v>51.44</v>
      </c>
      <c r="AE2657">
        <f t="shared" si="82"/>
        <v>537.55999999999995</v>
      </c>
      <c r="AF2657" t="str">
        <f t="shared" si="83"/>
        <v>2025-12</v>
      </c>
      <c r="AG2657">
        <f>SUBTOTAL(103,A2657)</f>
        <v>1</v>
      </c>
    </row>
    <row r="2658" spans="1:33" x14ac:dyDescent="0.3">
      <c r="A2658" t="s">
        <v>5281</v>
      </c>
      <c r="B2658" s="13">
        <v>45995</v>
      </c>
      <c r="C2658">
        <v>2025</v>
      </c>
      <c r="D2658">
        <v>12</v>
      </c>
      <c r="E2658" t="s">
        <v>5251</v>
      </c>
      <c r="F2658" t="s">
        <v>4780</v>
      </c>
      <c r="G2658" t="s">
        <v>999</v>
      </c>
      <c r="H2658" t="s">
        <v>1000</v>
      </c>
      <c r="I2658" t="s">
        <v>86</v>
      </c>
      <c r="J2658">
        <v>25</v>
      </c>
      <c r="K2658" t="s">
        <v>80</v>
      </c>
      <c r="L2658" t="s">
        <v>59</v>
      </c>
      <c r="M2658" t="s">
        <v>59</v>
      </c>
      <c r="N2658" t="s">
        <v>2590</v>
      </c>
      <c r="O2658" t="s">
        <v>127</v>
      </c>
      <c r="P2658" t="s">
        <v>51</v>
      </c>
      <c r="Q2658" t="s">
        <v>148</v>
      </c>
      <c r="R2658">
        <v>4</v>
      </c>
      <c r="S2658">
        <v>1599</v>
      </c>
      <c r="T2658">
        <v>0.2</v>
      </c>
      <c r="U2658">
        <v>5116.8</v>
      </c>
      <c r="V2658">
        <v>3200</v>
      </c>
      <c r="W2658">
        <v>1916.8</v>
      </c>
      <c r="X2658" t="s">
        <v>76</v>
      </c>
      <c r="Y2658" t="s">
        <v>68</v>
      </c>
      <c r="Z2658" t="s">
        <v>161</v>
      </c>
      <c r="AA2658" t="s">
        <v>168</v>
      </c>
      <c r="AB2658">
        <v>4.2</v>
      </c>
      <c r="AC2658">
        <v>80</v>
      </c>
      <c r="AD2658">
        <v>359.62</v>
      </c>
      <c r="AE2658">
        <f t="shared" si="82"/>
        <v>1477.1799999999998</v>
      </c>
      <c r="AF2658" t="str">
        <f t="shared" si="83"/>
        <v>2025-12</v>
      </c>
      <c r="AG2658">
        <f>SUBTOTAL(103,A2658)</f>
        <v>1</v>
      </c>
    </row>
    <row r="2659" spans="1:33" x14ac:dyDescent="0.3">
      <c r="A2659" t="s">
        <v>5282</v>
      </c>
      <c r="B2659" s="13">
        <v>45995</v>
      </c>
      <c r="C2659">
        <v>2025</v>
      </c>
      <c r="D2659">
        <v>12</v>
      </c>
      <c r="E2659" t="s">
        <v>5251</v>
      </c>
      <c r="F2659" t="s">
        <v>4780</v>
      </c>
      <c r="G2659" t="s">
        <v>187</v>
      </c>
      <c r="H2659" t="s">
        <v>188</v>
      </c>
      <c r="I2659" t="s">
        <v>85</v>
      </c>
      <c r="J2659">
        <v>30</v>
      </c>
      <c r="K2659" t="s">
        <v>81</v>
      </c>
      <c r="L2659" t="s">
        <v>95</v>
      </c>
      <c r="M2659" t="s">
        <v>56</v>
      </c>
      <c r="N2659" t="s">
        <v>2587</v>
      </c>
      <c r="O2659" t="s">
        <v>116</v>
      </c>
      <c r="P2659" t="s">
        <v>48</v>
      </c>
      <c r="Q2659" t="s">
        <v>138</v>
      </c>
      <c r="R2659">
        <v>3</v>
      </c>
      <c r="S2659">
        <v>14999</v>
      </c>
      <c r="T2659">
        <v>0.25</v>
      </c>
      <c r="U2659">
        <v>33747.75</v>
      </c>
      <c r="V2659">
        <v>33600</v>
      </c>
      <c r="W2659">
        <v>147.75</v>
      </c>
      <c r="X2659" t="s">
        <v>76</v>
      </c>
      <c r="Y2659" t="s">
        <v>68</v>
      </c>
      <c r="Z2659" t="s">
        <v>160</v>
      </c>
      <c r="AA2659" t="s">
        <v>168</v>
      </c>
      <c r="AB2659">
        <v>4.2</v>
      </c>
      <c r="AC2659">
        <v>40</v>
      </c>
      <c r="AD2659">
        <v>1213.33</v>
      </c>
      <c r="AE2659">
        <f t="shared" si="82"/>
        <v>-1105.58</v>
      </c>
      <c r="AF2659" t="str">
        <f t="shared" si="83"/>
        <v>2025-12</v>
      </c>
      <c r="AG2659">
        <f>SUBTOTAL(103,A2659)</f>
        <v>1</v>
      </c>
    </row>
    <row r="2660" spans="1:33" x14ac:dyDescent="0.3">
      <c r="A2660" t="s">
        <v>5283</v>
      </c>
      <c r="B2660" s="13">
        <v>45995</v>
      </c>
      <c r="C2660">
        <v>2025</v>
      </c>
      <c r="D2660">
        <v>12</v>
      </c>
      <c r="E2660" t="s">
        <v>5251</v>
      </c>
      <c r="F2660" t="s">
        <v>4780</v>
      </c>
      <c r="G2660" t="s">
        <v>817</v>
      </c>
      <c r="H2660" t="s">
        <v>818</v>
      </c>
      <c r="I2660" t="s">
        <v>86</v>
      </c>
      <c r="J2660">
        <v>49</v>
      </c>
      <c r="K2660" t="s">
        <v>83</v>
      </c>
      <c r="L2660" t="s">
        <v>90</v>
      </c>
      <c r="M2660" t="s">
        <v>55</v>
      </c>
      <c r="N2660" t="s">
        <v>2653</v>
      </c>
      <c r="O2660" t="s">
        <v>132</v>
      </c>
      <c r="P2660" t="s">
        <v>52</v>
      </c>
      <c r="Q2660" t="s">
        <v>150</v>
      </c>
      <c r="R2660">
        <v>1</v>
      </c>
      <c r="S2660">
        <v>899</v>
      </c>
      <c r="T2660">
        <v>0.05</v>
      </c>
      <c r="U2660">
        <v>854.05</v>
      </c>
      <c r="V2660">
        <v>420</v>
      </c>
      <c r="W2660">
        <v>434.05</v>
      </c>
      <c r="X2660" t="s">
        <v>76</v>
      </c>
      <c r="Y2660" t="s">
        <v>69</v>
      </c>
      <c r="Z2660" t="s">
        <v>159</v>
      </c>
      <c r="AA2660" t="s">
        <v>168</v>
      </c>
      <c r="AB2660">
        <v>3.8</v>
      </c>
      <c r="AC2660">
        <v>50</v>
      </c>
      <c r="AD2660">
        <v>45.15</v>
      </c>
      <c r="AE2660">
        <f t="shared" si="82"/>
        <v>338.90000000000003</v>
      </c>
      <c r="AF2660" t="str">
        <f t="shared" si="83"/>
        <v>2025-12</v>
      </c>
      <c r="AG2660">
        <f>SUBTOTAL(103,A2660)</f>
        <v>1</v>
      </c>
    </row>
    <row r="2661" spans="1:33" x14ac:dyDescent="0.3">
      <c r="A2661" t="s">
        <v>5284</v>
      </c>
      <c r="B2661" s="13">
        <v>45995</v>
      </c>
      <c r="C2661">
        <v>2025</v>
      </c>
      <c r="D2661">
        <v>12</v>
      </c>
      <c r="E2661" t="s">
        <v>5251</v>
      </c>
      <c r="F2661" t="s">
        <v>4780</v>
      </c>
      <c r="G2661" t="s">
        <v>2347</v>
      </c>
      <c r="H2661" t="s">
        <v>2348</v>
      </c>
      <c r="I2661" t="s">
        <v>85</v>
      </c>
      <c r="J2661">
        <v>26</v>
      </c>
      <c r="K2661" t="s">
        <v>81</v>
      </c>
      <c r="L2661" t="s">
        <v>90</v>
      </c>
      <c r="M2661" t="s">
        <v>55</v>
      </c>
      <c r="N2661" t="s">
        <v>2574</v>
      </c>
      <c r="O2661" t="s">
        <v>130</v>
      </c>
      <c r="P2661" t="s">
        <v>50</v>
      </c>
      <c r="Q2661" t="s">
        <v>53</v>
      </c>
      <c r="R2661">
        <v>1</v>
      </c>
      <c r="S2661">
        <v>1199</v>
      </c>
      <c r="T2661">
        <v>0.1</v>
      </c>
      <c r="U2661">
        <v>1079.0999999999999</v>
      </c>
      <c r="V2661">
        <v>550</v>
      </c>
      <c r="W2661">
        <v>529.1</v>
      </c>
      <c r="X2661" t="s">
        <v>74</v>
      </c>
      <c r="Y2661" t="s">
        <v>68</v>
      </c>
      <c r="Z2661" t="s">
        <v>158</v>
      </c>
      <c r="AA2661" t="s">
        <v>168</v>
      </c>
      <c r="AB2661">
        <v>3.8</v>
      </c>
      <c r="AC2661">
        <v>60</v>
      </c>
      <c r="AD2661">
        <v>46.78</v>
      </c>
      <c r="AE2661">
        <f t="shared" si="82"/>
        <v>422.32000000000005</v>
      </c>
      <c r="AF2661" t="str">
        <f t="shared" si="83"/>
        <v>2025-12</v>
      </c>
      <c r="AG2661">
        <f>SUBTOTAL(103,A2661)</f>
        <v>1</v>
      </c>
    </row>
    <row r="2662" spans="1:33" x14ac:dyDescent="0.3">
      <c r="A2662" t="s">
        <v>5285</v>
      </c>
      <c r="B2662" s="13">
        <v>45996</v>
      </c>
      <c r="C2662">
        <v>2025</v>
      </c>
      <c r="D2662">
        <v>12</v>
      </c>
      <c r="E2662" t="s">
        <v>5251</v>
      </c>
      <c r="F2662" t="s">
        <v>4780</v>
      </c>
      <c r="G2662" t="s">
        <v>1919</v>
      </c>
      <c r="H2662" t="s">
        <v>1920</v>
      </c>
      <c r="I2662" t="s">
        <v>86</v>
      </c>
      <c r="J2662">
        <v>52</v>
      </c>
      <c r="K2662" t="s">
        <v>83</v>
      </c>
      <c r="L2662" t="s">
        <v>2589</v>
      </c>
      <c r="M2662" t="s">
        <v>61</v>
      </c>
      <c r="N2662" t="s">
        <v>2665</v>
      </c>
      <c r="O2662" t="s">
        <v>128</v>
      </c>
      <c r="P2662" t="s">
        <v>53</v>
      </c>
      <c r="Q2662" t="s">
        <v>143</v>
      </c>
      <c r="R2662">
        <v>1</v>
      </c>
      <c r="S2662">
        <v>1499</v>
      </c>
      <c r="T2662">
        <v>0.1</v>
      </c>
      <c r="U2662">
        <v>1349.1</v>
      </c>
      <c r="V2662">
        <v>800</v>
      </c>
      <c r="W2662">
        <v>549.1</v>
      </c>
      <c r="X2662" t="s">
        <v>73</v>
      </c>
      <c r="Y2662" t="s">
        <v>68</v>
      </c>
      <c r="Z2662" t="s">
        <v>159</v>
      </c>
      <c r="AA2662" t="s">
        <v>166</v>
      </c>
      <c r="AB2662">
        <v>4.3</v>
      </c>
      <c r="AC2662">
        <v>60</v>
      </c>
      <c r="AD2662">
        <v>55.79</v>
      </c>
      <c r="AE2662">
        <f t="shared" si="82"/>
        <v>433.31</v>
      </c>
      <c r="AF2662" t="str">
        <f t="shared" si="83"/>
        <v>2025-12</v>
      </c>
      <c r="AG2662">
        <f>SUBTOTAL(103,A2662)</f>
        <v>1</v>
      </c>
    </row>
    <row r="2663" spans="1:33" x14ac:dyDescent="0.3">
      <c r="A2663" t="s">
        <v>5286</v>
      </c>
      <c r="B2663" s="13">
        <v>45996</v>
      </c>
      <c r="C2663">
        <v>2025</v>
      </c>
      <c r="D2663">
        <v>12</v>
      </c>
      <c r="E2663" t="s">
        <v>5251</v>
      </c>
      <c r="F2663" t="s">
        <v>4780</v>
      </c>
      <c r="G2663" t="s">
        <v>2535</v>
      </c>
      <c r="H2663" t="s">
        <v>2536</v>
      </c>
      <c r="I2663" t="s">
        <v>85</v>
      </c>
      <c r="J2663">
        <v>44</v>
      </c>
      <c r="K2663" t="s">
        <v>82</v>
      </c>
      <c r="L2663" t="s">
        <v>2616</v>
      </c>
      <c r="M2663" t="s">
        <v>62</v>
      </c>
      <c r="N2663" t="s">
        <v>2647</v>
      </c>
      <c r="O2663" t="s">
        <v>133</v>
      </c>
      <c r="P2663" t="s">
        <v>50</v>
      </c>
      <c r="Q2663" t="s">
        <v>145</v>
      </c>
      <c r="R2663">
        <v>1</v>
      </c>
      <c r="S2663">
        <v>799</v>
      </c>
      <c r="T2663">
        <v>0.2</v>
      </c>
      <c r="U2663">
        <v>639.20000000000005</v>
      </c>
      <c r="V2663">
        <v>390</v>
      </c>
      <c r="W2663">
        <v>249.2</v>
      </c>
      <c r="X2663" t="s">
        <v>73</v>
      </c>
      <c r="Y2663" t="s">
        <v>68</v>
      </c>
      <c r="Z2663" t="s">
        <v>162</v>
      </c>
      <c r="AA2663" t="s">
        <v>171</v>
      </c>
      <c r="AB2663">
        <v>4.2</v>
      </c>
      <c r="AC2663">
        <v>50</v>
      </c>
      <c r="AD2663">
        <v>20</v>
      </c>
      <c r="AE2663">
        <f t="shared" si="82"/>
        <v>179.2</v>
      </c>
      <c r="AF2663" t="str">
        <f t="shared" si="83"/>
        <v>2025-12</v>
      </c>
      <c r="AG2663">
        <f>SUBTOTAL(103,A2663)</f>
        <v>1</v>
      </c>
    </row>
    <row r="2664" spans="1:33" x14ac:dyDescent="0.3">
      <c r="A2664" t="s">
        <v>5287</v>
      </c>
      <c r="B2664" s="13">
        <v>45996</v>
      </c>
      <c r="C2664">
        <v>2025</v>
      </c>
      <c r="D2664">
        <v>12</v>
      </c>
      <c r="E2664" t="s">
        <v>5251</v>
      </c>
      <c r="F2664" t="s">
        <v>4780</v>
      </c>
      <c r="G2664" t="s">
        <v>1139</v>
      </c>
      <c r="H2664" t="s">
        <v>1140</v>
      </c>
      <c r="I2664" t="s">
        <v>86</v>
      </c>
      <c r="J2664">
        <v>25</v>
      </c>
      <c r="K2664" t="s">
        <v>80</v>
      </c>
      <c r="L2664" t="s">
        <v>2687</v>
      </c>
      <c r="M2664" t="s">
        <v>57</v>
      </c>
      <c r="N2664" t="s">
        <v>2580</v>
      </c>
      <c r="O2664" t="s">
        <v>118</v>
      </c>
      <c r="P2664" t="s">
        <v>48</v>
      </c>
      <c r="Q2664" t="s">
        <v>142</v>
      </c>
      <c r="R2664">
        <v>4</v>
      </c>
      <c r="S2664">
        <v>3999</v>
      </c>
      <c r="T2664">
        <v>0.1</v>
      </c>
      <c r="U2664">
        <v>14396.4</v>
      </c>
      <c r="V2664">
        <v>9600</v>
      </c>
      <c r="W2664">
        <v>4796.3999999999996</v>
      </c>
      <c r="X2664" t="s">
        <v>76</v>
      </c>
      <c r="Y2664" t="s">
        <v>68</v>
      </c>
      <c r="Z2664" t="s">
        <v>159</v>
      </c>
      <c r="AA2664" t="s">
        <v>171</v>
      </c>
      <c r="AB2664">
        <v>4.0999999999999996</v>
      </c>
      <c r="AC2664">
        <v>80</v>
      </c>
      <c r="AD2664">
        <v>1625.89</v>
      </c>
      <c r="AE2664">
        <f t="shared" si="82"/>
        <v>3090.5099999999993</v>
      </c>
      <c r="AF2664" t="str">
        <f t="shared" si="83"/>
        <v>2025-12</v>
      </c>
      <c r="AG2664">
        <f>SUBTOTAL(103,A2664)</f>
        <v>1</v>
      </c>
    </row>
    <row r="2665" spans="1:33" x14ac:dyDescent="0.3">
      <c r="A2665" t="s">
        <v>5288</v>
      </c>
      <c r="B2665" s="13">
        <v>45996</v>
      </c>
      <c r="C2665">
        <v>2025</v>
      </c>
      <c r="D2665">
        <v>12</v>
      </c>
      <c r="E2665" t="s">
        <v>5251</v>
      </c>
      <c r="F2665" t="s">
        <v>4780</v>
      </c>
      <c r="G2665" t="s">
        <v>1335</v>
      </c>
      <c r="H2665" t="s">
        <v>1336</v>
      </c>
      <c r="I2665" t="s">
        <v>85</v>
      </c>
      <c r="J2665">
        <v>59</v>
      </c>
      <c r="K2665" t="s">
        <v>83</v>
      </c>
      <c r="L2665" t="s">
        <v>2690</v>
      </c>
      <c r="M2665" t="s">
        <v>63</v>
      </c>
      <c r="N2665" t="s">
        <v>2647</v>
      </c>
      <c r="O2665" t="s">
        <v>133</v>
      </c>
      <c r="P2665" t="s">
        <v>50</v>
      </c>
      <c r="Q2665" t="s">
        <v>145</v>
      </c>
      <c r="R2665">
        <v>1</v>
      </c>
      <c r="S2665">
        <v>799</v>
      </c>
      <c r="T2665">
        <v>0.05</v>
      </c>
      <c r="U2665">
        <v>759.05</v>
      </c>
      <c r="V2665">
        <v>390</v>
      </c>
      <c r="W2665">
        <v>369.05</v>
      </c>
      <c r="X2665" t="s">
        <v>73</v>
      </c>
      <c r="Y2665" t="s">
        <v>68</v>
      </c>
      <c r="Z2665" t="s">
        <v>158</v>
      </c>
      <c r="AA2665" t="s">
        <v>167</v>
      </c>
      <c r="AB2665">
        <v>3.9</v>
      </c>
      <c r="AC2665">
        <v>50</v>
      </c>
      <c r="AD2665">
        <v>20</v>
      </c>
      <c r="AE2665">
        <f t="shared" si="82"/>
        <v>299.05</v>
      </c>
      <c r="AF2665" t="str">
        <f t="shared" si="83"/>
        <v>2025-12</v>
      </c>
      <c r="AG2665">
        <f>SUBTOTAL(103,A2665)</f>
        <v>1</v>
      </c>
    </row>
    <row r="2666" spans="1:33" x14ac:dyDescent="0.3">
      <c r="A2666" t="s">
        <v>5289</v>
      </c>
      <c r="B2666" s="13">
        <v>45996</v>
      </c>
      <c r="C2666">
        <v>2025</v>
      </c>
      <c r="D2666">
        <v>12</v>
      </c>
      <c r="E2666" t="s">
        <v>5251</v>
      </c>
      <c r="F2666" t="s">
        <v>4780</v>
      </c>
      <c r="G2666" t="s">
        <v>1315</v>
      </c>
      <c r="H2666" t="s">
        <v>1316</v>
      </c>
      <c r="I2666" t="s">
        <v>85</v>
      </c>
      <c r="J2666">
        <v>30</v>
      </c>
      <c r="K2666" t="s">
        <v>81</v>
      </c>
      <c r="L2666" t="s">
        <v>2690</v>
      </c>
      <c r="M2666" t="s">
        <v>63</v>
      </c>
      <c r="N2666" t="s">
        <v>2580</v>
      </c>
      <c r="O2666" t="s">
        <v>118</v>
      </c>
      <c r="P2666" t="s">
        <v>48</v>
      </c>
      <c r="Q2666" t="s">
        <v>142</v>
      </c>
      <c r="R2666">
        <v>4</v>
      </c>
      <c r="S2666">
        <v>3999</v>
      </c>
      <c r="T2666">
        <v>0.15</v>
      </c>
      <c r="U2666">
        <v>13596.6</v>
      </c>
      <c r="V2666">
        <v>9600</v>
      </c>
      <c r="W2666">
        <v>3996.6</v>
      </c>
      <c r="X2666" t="s">
        <v>77</v>
      </c>
      <c r="Y2666" t="s">
        <v>68</v>
      </c>
      <c r="Z2666" t="s">
        <v>159</v>
      </c>
      <c r="AA2666" t="s">
        <v>166</v>
      </c>
      <c r="AB2666">
        <v>4.5999999999999996</v>
      </c>
      <c r="AC2666">
        <v>50</v>
      </c>
      <c r="AD2666">
        <v>1210.3499999999999</v>
      </c>
      <c r="AE2666">
        <f t="shared" si="82"/>
        <v>2736.25</v>
      </c>
      <c r="AF2666" t="str">
        <f t="shared" si="83"/>
        <v>2025-12</v>
      </c>
      <c r="AG2666">
        <f>SUBTOTAL(103,A2666)</f>
        <v>1</v>
      </c>
    </row>
    <row r="2667" spans="1:33" x14ac:dyDescent="0.3">
      <c r="A2667" t="s">
        <v>5290</v>
      </c>
      <c r="B2667" s="13">
        <v>45996</v>
      </c>
      <c r="C2667">
        <v>2025</v>
      </c>
      <c r="D2667">
        <v>12</v>
      </c>
      <c r="E2667" t="s">
        <v>5251</v>
      </c>
      <c r="F2667" t="s">
        <v>4780</v>
      </c>
      <c r="G2667" t="s">
        <v>189</v>
      </c>
      <c r="H2667" t="s">
        <v>190</v>
      </c>
      <c r="I2667" t="s">
        <v>85</v>
      </c>
      <c r="J2667">
        <v>58</v>
      </c>
      <c r="K2667" t="s">
        <v>83</v>
      </c>
      <c r="L2667" t="s">
        <v>2616</v>
      </c>
      <c r="M2667" t="s">
        <v>62</v>
      </c>
      <c r="N2667" t="s">
        <v>2606</v>
      </c>
      <c r="O2667" t="s">
        <v>120</v>
      </c>
      <c r="P2667" t="s">
        <v>49</v>
      </c>
      <c r="Q2667" t="s">
        <v>140</v>
      </c>
      <c r="R2667">
        <v>3</v>
      </c>
      <c r="S2667">
        <v>2799</v>
      </c>
      <c r="T2667">
        <v>0.05</v>
      </c>
      <c r="U2667">
        <v>7977.15</v>
      </c>
      <c r="V2667">
        <v>4950</v>
      </c>
      <c r="W2667">
        <v>3027.15</v>
      </c>
      <c r="X2667" t="s">
        <v>76</v>
      </c>
      <c r="Y2667" t="s">
        <v>68</v>
      </c>
      <c r="Z2667" t="s">
        <v>159</v>
      </c>
      <c r="AA2667" t="s">
        <v>166</v>
      </c>
      <c r="AB2667">
        <v>3.8</v>
      </c>
      <c r="AC2667">
        <v>100</v>
      </c>
      <c r="AD2667">
        <v>848.83</v>
      </c>
      <c r="AE2667">
        <f t="shared" si="82"/>
        <v>2078.3200000000002</v>
      </c>
      <c r="AF2667" t="str">
        <f t="shared" si="83"/>
        <v>2025-12</v>
      </c>
      <c r="AG2667">
        <f>SUBTOTAL(103,A2667)</f>
        <v>1</v>
      </c>
    </row>
    <row r="2668" spans="1:33" x14ac:dyDescent="0.3">
      <c r="A2668" t="s">
        <v>5291</v>
      </c>
      <c r="B2668" s="13">
        <v>45996</v>
      </c>
      <c r="C2668">
        <v>2025</v>
      </c>
      <c r="D2668">
        <v>12</v>
      </c>
      <c r="E2668" t="s">
        <v>5251</v>
      </c>
      <c r="F2668" t="s">
        <v>4780</v>
      </c>
      <c r="G2668" t="s">
        <v>1381</v>
      </c>
      <c r="H2668" t="s">
        <v>1382</v>
      </c>
      <c r="I2668" t="s">
        <v>85</v>
      </c>
      <c r="J2668">
        <v>25</v>
      </c>
      <c r="K2668" t="s">
        <v>80</v>
      </c>
      <c r="L2668" t="s">
        <v>92</v>
      </c>
      <c r="M2668" t="s">
        <v>59</v>
      </c>
      <c r="N2668" t="s">
        <v>2606</v>
      </c>
      <c r="O2668" t="s">
        <v>120</v>
      </c>
      <c r="P2668" t="s">
        <v>49</v>
      </c>
      <c r="Q2668" t="s">
        <v>140</v>
      </c>
      <c r="R2668">
        <v>1</v>
      </c>
      <c r="S2668">
        <v>2799</v>
      </c>
      <c r="T2668">
        <v>0.15</v>
      </c>
      <c r="U2668">
        <v>2379.15</v>
      </c>
      <c r="V2668">
        <v>1650</v>
      </c>
      <c r="W2668">
        <v>729.15</v>
      </c>
      <c r="X2668" t="s">
        <v>76</v>
      </c>
      <c r="Y2668" t="s">
        <v>68</v>
      </c>
      <c r="Z2668" t="s">
        <v>161</v>
      </c>
      <c r="AA2668" t="s">
        <v>170</v>
      </c>
      <c r="AB2668">
        <v>5</v>
      </c>
      <c r="AC2668">
        <v>50</v>
      </c>
      <c r="AD2668">
        <v>159.96</v>
      </c>
      <c r="AE2668">
        <f t="shared" si="82"/>
        <v>519.18999999999994</v>
      </c>
      <c r="AF2668" t="str">
        <f t="shared" si="83"/>
        <v>2025-12</v>
      </c>
      <c r="AG2668">
        <f>SUBTOTAL(103,A2668)</f>
        <v>1</v>
      </c>
    </row>
    <row r="2669" spans="1:33" x14ac:dyDescent="0.3">
      <c r="A2669" t="s">
        <v>5292</v>
      </c>
      <c r="B2669" s="13">
        <v>45996</v>
      </c>
      <c r="C2669">
        <v>2025</v>
      </c>
      <c r="D2669">
        <v>12</v>
      </c>
      <c r="E2669" t="s">
        <v>5251</v>
      </c>
      <c r="F2669" t="s">
        <v>4780</v>
      </c>
      <c r="G2669" t="s">
        <v>591</v>
      </c>
      <c r="H2669" t="s">
        <v>592</v>
      </c>
      <c r="I2669" t="s">
        <v>86</v>
      </c>
      <c r="J2669">
        <v>43</v>
      </c>
      <c r="K2669" t="s">
        <v>82</v>
      </c>
      <c r="L2669" t="s">
        <v>2623</v>
      </c>
      <c r="M2669" t="s">
        <v>61</v>
      </c>
      <c r="N2669" t="s">
        <v>2601</v>
      </c>
      <c r="O2669" t="s">
        <v>117</v>
      </c>
      <c r="P2669" t="s">
        <v>49</v>
      </c>
      <c r="Q2669" t="s">
        <v>139</v>
      </c>
      <c r="R2669">
        <v>4</v>
      </c>
      <c r="S2669">
        <v>6999</v>
      </c>
      <c r="T2669">
        <v>0</v>
      </c>
      <c r="U2669">
        <v>27996</v>
      </c>
      <c r="V2669">
        <v>17200</v>
      </c>
      <c r="W2669">
        <v>10796</v>
      </c>
      <c r="X2669" t="s">
        <v>74</v>
      </c>
      <c r="Y2669" t="s">
        <v>68</v>
      </c>
      <c r="Z2669" t="s">
        <v>162</v>
      </c>
      <c r="AA2669" t="s">
        <v>169</v>
      </c>
      <c r="AB2669">
        <v>4.0999999999999996</v>
      </c>
      <c r="AC2669">
        <v>80</v>
      </c>
      <c r="AD2669">
        <v>2291.59</v>
      </c>
      <c r="AE2669">
        <f t="shared" si="82"/>
        <v>8424.41</v>
      </c>
      <c r="AF2669" t="str">
        <f t="shared" si="83"/>
        <v>2025-12</v>
      </c>
      <c r="AG2669">
        <f>SUBTOTAL(103,A2669)</f>
        <v>1</v>
      </c>
    </row>
    <row r="2670" spans="1:33" x14ac:dyDescent="0.3">
      <c r="A2670" t="s">
        <v>5293</v>
      </c>
      <c r="B2670" s="13">
        <v>45996</v>
      </c>
      <c r="C2670">
        <v>2025</v>
      </c>
      <c r="D2670">
        <v>12</v>
      </c>
      <c r="E2670" t="s">
        <v>5251</v>
      </c>
      <c r="F2670" t="s">
        <v>4780</v>
      </c>
      <c r="G2670" t="s">
        <v>1205</v>
      </c>
      <c r="H2670" t="s">
        <v>1206</v>
      </c>
      <c r="I2670" t="s">
        <v>86</v>
      </c>
      <c r="J2670">
        <v>39</v>
      </c>
      <c r="K2670" t="s">
        <v>82</v>
      </c>
      <c r="L2670" t="s">
        <v>93</v>
      </c>
      <c r="M2670" t="s">
        <v>55</v>
      </c>
      <c r="N2670" t="s">
        <v>2601</v>
      </c>
      <c r="O2670" t="s">
        <v>117</v>
      </c>
      <c r="P2670" t="s">
        <v>49</v>
      </c>
      <c r="Q2670" t="s">
        <v>139</v>
      </c>
      <c r="R2670">
        <v>2</v>
      </c>
      <c r="S2670">
        <v>6999</v>
      </c>
      <c r="T2670">
        <v>0.1</v>
      </c>
      <c r="U2670">
        <v>12598.2</v>
      </c>
      <c r="V2670">
        <v>8600</v>
      </c>
      <c r="W2670">
        <v>3998.2</v>
      </c>
      <c r="X2670" t="s">
        <v>73</v>
      </c>
      <c r="Y2670" t="s">
        <v>68</v>
      </c>
      <c r="Z2670" t="s">
        <v>162</v>
      </c>
      <c r="AA2670" t="s">
        <v>168</v>
      </c>
      <c r="AB2670">
        <v>3.9</v>
      </c>
      <c r="AC2670">
        <v>120</v>
      </c>
      <c r="AD2670">
        <v>1048.9000000000001</v>
      </c>
      <c r="AE2670">
        <f t="shared" si="82"/>
        <v>2829.2999999999997</v>
      </c>
      <c r="AF2670" t="str">
        <f t="shared" si="83"/>
        <v>2025-12</v>
      </c>
      <c r="AG2670">
        <f>SUBTOTAL(103,A2670)</f>
        <v>1</v>
      </c>
    </row>
    <row r="2671" spans="1:33" x14ac:dyDescent="0.3">
      <c r="A2671" t="s">
        <v>5294</v>
      </c>
      <c r="B2671" s="13">
        <v>45997</v>
      </c>
      <c r="C2671">
        <v>2025</v>
      </c>
      <c r="D2671">
        <v>12</v>
      </c>
      <c r="E2671" t="s">
        <v>5251</v>
      </c>
      <c r="F2671" t="s">
        <v>4780</v>
      </c>
      <c r="G2671" t="s">
        <v>1805</v>
      </c>
      <c r="H2671" t="s">
        <v>1806</v>
      </c>
      <c r="I2671" t="s">
        <v>85</v>
      </c>
      <c r="J2671">
        <v>29</v>
      </c>
      <c r="K2671" t="s">
        <v>81</v>
      </c>
      <c r="L2671" t="s">
        <v>91</v>
      </c>
      <c r="M2671" t="s">
        <v>55</v>
      </c>
      <c r="N2671" t="s">
        <v>2584</v>
      </c>
      <c r="O2671" t="s">
        <v>121</v>
      </c>
      <c r="P2671" t="s">
        <v>50</v>
      </c>
      <c r="Q2671" t="s">
        <v>144</v>
      </c>
      <c r="R2671">
        <v>3</v>
      </c>
      <c r="S2671">
        <v>2999</v>
      </c>
      <c r="T2671">
        <v>0.15</v>
      </c>
      <c r="U2671">
        <v>7647.45</v>
      </c>
      <c r="V2671">
        <v>5100</v>
      </c>
      <c r="W2671">
        <v>2547.4499999999998</v>
      </c>
      <c r="X2671" t="s">
        <v>73</v>
      </c>
      <c r="Y2671" t="s">
        <v>68</v>
      </c>
      <c r="Z2671" t="s">
        <v>158</v>
      </c>
      <c r="AA2671" t="s">
        <v>166</v>
      </c>
      <c r="AB2671">
        <v>3.1</v>
      </c>
      <c r="AC2671">
        <v>40</v>
      </c>
      <c r="AD2671">
        <v>372.92</v>
      </c>
      <c r="AE2671">
        <f t="shared" si="82"/>
        <v>2134.5299999999997</v>
      </c>
      <c r="AF2671" t="str">
        <f t="shared" si="83"/>
        <v>2025-12</v>
      </c>
      <c r="AG2671">
        <f>SUBTOTAL(103,A2671)</f>
        <v>1</v>
      </c>
    </row>
    <row r="2672" spans="1:33" x14ac:dyDescent="0.3">
      <c r="A2672" t="s">
        <v>5295</v>
      </c>
      <c r="B2672" s="13">
        <v>45997</v>
      </c>
      <c r="C2672">
        <v>2025</v>
      </c>
      <c r="D2672">
        <v>12</v>
      </c>
      <c r="E2672" t="s">
        <v>5251</v>
      </c>
      <c r="F2672" t="s">
        <v>4780</v>
      </c>
      <c r="G2672" t="s">
        <v>2165</v>
      </c>
      <c r="H2672" t="s">
        <v>2166</v>
      </c>
      <c r="I2672" t="s">
        <v>85</v>
      </c>
      <c r="J2672">
        <v>47</v>
      </c>
      <c r="K2672" t="s">
        <v>83</v>
      </c>
      <c r="L2672" t="s">
        <v>2634</v>
      </c>
      <c r="M2672" t="s">
        <v>56</v>
      </c>
      <c r="N2672" t="s">
        <v>2582</v>
      </c>
      <c r="O2672" t="s">
        <v>119</v>
      </c>
      <c r="P2672" t="s">
        <v>49</v>
      </c>
      <c r="Q2672" t="s">
        <v>140</v>
      </c>
      <c r="R2672">
        <v>2</v>
      </c>
      <c r="S2672">
        <v>3499</v>
      </c>
      <c r="T2672">
        <v>0.15</v>
      </c>
      <c r="U2672">
        <v>5948.3</v>
      </c>
      <c r="V2672">
        <v>4200</v>
      </c>
      <c r="W2672">
        <v>1748.3</v>
      </c>
      <c r="X2672" t="s">
        <v>73</v>
      </c>
      <c r="Y2672" t="s">
        <v>68</v>
      </c>
      <c r="Z2672" t="s">
        <v>159</v>
      </c>
      <c r="AA2672" t="s">
        <v>167</v>
      </c>
      <c r="AB2672">
        <v>5</v>
      </c>
      <c r="AC2672">
        <v>60</v>
      </c>
      <c r="AD2672">
        <v>300.26</v>
      </c>
      <c r="AE2672">
        <f t="shared" si="82"/>
        <v>1388.04</v>
      </c>
      <c r="AF2672" t="str">
        <f t="shared" si="83"/>
        <v>2025-12</v>
      </c>
      <c r="AG2672">
        <f>SUBTOTAL(103,A2672)</f>
        <v>1</v>
      </c>
    </row>
    <row r="2673" spans="1:33" x14ac:dyDescent="0.3">
      <c r="A2673" t="s">
        <v>5296</v>
      </c>
      <c r="B2673" s="13">
        <v>45997</v>
      </c>
      <c r="C2673">
        <v>2025</v>
      </c>
      <c r="D2673">
        <v>12</v>
      </c>
      <c r="E2673" t="s">
        <v>5251</v>
      </c>
      <c r="F2673" t="s">
        <v>4780</v>
      </c>
      <c r="G2673" t="s">
        <v>979</v>
      </c>
      <c r="H2673" t="s">
        <v>980</v>
      </c>
      <c r="I2673" t="s">
        <v>85</v>
      </c>
      <c r="J2673">
        <v>58</v>
      </c>
      <c r="K2673" t="s">
        <v>83</v>
      </c>
      <c r="L2673" t="s">
        <v>90</v>
      </c>
      <c r="M2673" t="s">
        <v>55</v>
      </c>
      <c r="N2673" t="s">
        <v>2665</v>
      </c>
      <c r="O2673" t="s">
        <v>128</v>
      </c>
      <c r="P2673" t="s">
        <v>53</v>
      </c>
      <c r="Q2673" t="s">
        <v>143</v>
      </c>
      <c r="R2673">
        <v>1</v>
      </c>
      <c r="S2673">
        <v>1499</v>
      </c>
      <c r="T2673">
        <v>0.05</v>
      </c>
      <c r="U2673">
        <v>1424.05</v>
      </c>
      <c r="V2673">
        <v>800</v>
      </c>
      <c r="W2673">
        <v>624.04999999999995</v>
      </c>
      <c r="X2673" t="s">
        <v>75</v>
      </c>
      <c r="Y2673" t="s">
        <v>68</v>
      </c>
      <c r="Z2673" t="s">
        <v>161</v>
      </c>
      <c r="AA2673" t="s">
        <v>168</v>
      </c>
      <c r="AB2673">
        <v>4.5</v>
      </c>
      <c r="AC2673">
        <v>60</v>
      </c>
      <c r="AD2673">
        <v>112.25</v>
      </c>
      <c r="AE2673">
        <f t="shared" si="82"/>
        <v>451.79999999999995</v>
      </c>
      <c r="AF2673" t="str">
        <f t="shared" si="83"/>
        <v>2025-12</v>
      </c>
      <c r="AG2673">
        <f>SUBTOTAL(103,A2673)</f>
        <v>1</v>
      </c>
    </row>
    <row r="2674" spans="1:33" x14ac:dyDescent="0.3">
      <c r="A2674" t="s">
        <v>5297</v>
      </c>
      <c r="B2674" s="13">
        <v>45997</v>
      </c>
      <c r="C2674">
        <v>2025</v>
      </c>
      <c r="D2674">
        <v>12</v>
      </c>
      <c r="E2674" t="s">
        <v>5251</v>
      </c>
      <c r="F2674" t="s">
        <v>4780</v>
      </c>
      <c r="G2674" t="s">
        <v>771</v>
      </c>
      <c r="H2674" t="s">
        <v>772</v>
      </c>
      <c r="I2674" t="s">
        <v>85</v>
      </c>
      <c r="J2674">
        <v>44</v>
      </c>
      <c r="K2674" t="s">
        <v>82</v>
      </c>
      <c r="L2674" t="s">
        <v>2661</v>
      </c>
      <c r="M2674" t="s">
        <v>58</v>
      </c>
      <c r="N2674" t="s">
        <v>2582</v>
      </c>
      <c r="O2674" t="s">
        <v>119</v>
      </c>
      <c r="P2674" t="s">
        <v>49</v>
      </c>
      <c r="Q2674" t="s">
        <v>140</v>
      </c>
      <c r="R2674">
        <v>4</v>
      </c>
      <c r="S2674">
        <v>3499</v>
      </c>
      <c r="T2674">
        <v>0.25</v>
      </c>
      <c r="U2674">
        <v>10497</v>
      </c>
      <c r="V2674">
        <v>8400</v>
      </c>
      <c r="W2674">
        <v>2097</v>
      </c>
      <c r="X2674" t="s">
        <v>75</v>
      </c>
      <c r="Y2674" t="s">
        <v>68</v>
      </c>
      <c r="Z2674" t="s">
        <v>160</v>
      </c>
      <c r="AA2674" t="s">
        <v>169</v>
      </c>
      <c r="AB2674">
        <v>5</v>
      </c>
      <c r="AC2674">
        <v>60</v>
      </c>
      <c r="AD2674">
        <v>257.27</v>
      </c>
      <c r="AE2674">
        <f t="shared" si="82"/>
        <v>1779.73</v>
      </c>
      <c r="AF2674" t="str">
        <f t="shared" si="83"/>
        <v>2025-12</v>
      </c>
      <c r="AG2674">
        <f>SUBTOTAL(103,A2674)</f>
        <v>1</v>
      </c>
    </row>
    <row r="2675" spans="1:33" x14ac:dyDescent="0.3">
      <c r="A2675" t="s">
        <v>5298</v>
      </c>
      <c r="B2675" s="13">
        <v>45997</v>
      </c>
      <c r="C2675">
        <v>2025</v>
      </c>
      <c r="D2675">
        <v>12</v>
      </c>
      <c r="E2675" t="s">
        <v>5251</v>
      </c>
      <c r="F2675" t="s">
        <v>4780</v>
      </c>
      <c r="G2675" t="s">
        <v>241</v>
      </c>
      <c r="H2675" t="s">
        <v>242</v>
      </c>
      <c r="I2675" t="s">
        <v>85</v>
      </c>
      <c r="J2675">
        <v>30</v>
      </c>
      <c r="K2675" t="s">
        <v>81</v>
      </c>
      <c r="L2675" t="s">
        <v>2599</v>
      </c>
      <c r="M2675" t="s">
        <v>62</v>
      </c>
      <c r="N2675" t="s">
        <v>2584</v>
      </c>
      <c r="O2675" t="s">
        <v>121</v>
      </c>
      <c r="P2675" t="s">
        <v>50</v>
      </c>
      <c r="Q2675" t="s">
        <v>144</v>
      </c>
      <c r="R2675">
        <v>2</v>
      </c>
      <c r="S2675">
        <v>2999</v>
      </c>
      <c r="T2675">
        <v>0.25</v>
      </c>
      <c r="U2675">
        <v>4498.5</v>
      </c>
      <c r="V2675">
        <v>3400</v>
      </c>
      <c r="W2675">
        <v>1098.5</v>
      </c>
      <c r="X2675" t="s">
        <v>74</v>
      </c>
      <c r="Y2675" t="s">
        <v>68</v>
      </c>
      <c r="Z2675" t="s">
        <v>159</v>
      </c>
      <c r="AA2675" t="s">
        <v>168</v>
      </c>
      <c r="AB2675">
        <v>4.9000000000000004</v>
      </c>
      <c r="AC2675">
        <v>60</v>
      </c>
      <c r="AD2675">
        <v>111.39</v>
      </c>
      <c r="AE2675">
        <f t="shared" si="82"/>
        <v>927.11</v>
      </c>
      <c r="AF2675" t="str">
        <f t="shared" si="83"/>
        <v>2025-12</v>
      </c>
      <c r="AG2675">
        <f>SUBTOTAL(103,A2675)</f>
        <v>1</v>
      </c>
    </row>
    <row r="2676" spans="1:33" x14ac:dyDescent="0.3">
      <c r="A2676" t="s">
        <v>5299</v>
      </c>
      <c r="B2676" s="13">
        <v>45997</v>
      </c>
      <c r="C2676">
        <v>2025</v>
      </c>
      <c r="D2676">
        <v>12</v>
      </c>
      <c r="E2676" t="s">
        <v>5251</v>
      </c>
      <c r="F2676" t="s">
        <v>4780</v>
      </c>
      <c r="G2676" t="s">
        <v>1055</v>
      </c>
      <c r="H2676" t="s">
        <v>1056</v>
      </c>
      <c r="I2676" t="s">
        <v>86</v>
      </c>
      <c r="J2676">
        <v>52</v>
      </c>
      <c r="K2676" t="s">
        <v>83</v>
      </c>
      <c r="L2676" t="s">
        <v>2612</v>
      </c>
      <c r="M2676" t="s">
        <v>64</v>
      </c>
      <c r="N2676" t="s">
        <v>2587</v>
      </c>
      <c r="O2676" t="s">
        <v>116</v>
      </c>
      <c r="P2676" t="s">
        <v>48</v>
      </c>
      <c r="Q2676" t="s">
        <v>138</v>
      </c>
      <c r="R2676">
        <v>1</v>
      </c>
      <c r="S2676">
        <v>14999</v>
      </c>
      <c r="T2676">
        <v>0.05</v>
      </c>
      <c r="U2676">
        <v>14249.05</v>
      </c>
      <c r="V2676">
        <v>11200</v>
      </c>
      <c r="W2676">
        <v>3049.05</v>
      </c>
      <c r="X2676" t="s">
        <v>75</v>
      </c>
      <c r="Y2676" t="s">
        <v>68</v>
      </c>
      <c r="Z2676" t="s">
        <v>162</v>
      </c>
      <c r="AA2676" t="s">
        <v>170</v>
      </c>
      <c r="AB2676">
        <v>4</v>
      </c>
      <c r="AC2676">
        <v>80</v>
      </c>
      <c r="AD2676">
        <v>999</v>
      </c>
      <c r="AE2676">
        <f t="shared" si="82"/>
        <v>1970.0500000000002</v>
      </c>
      <c r="AF2676" t="str">
        <f t="shared" si="83"/>
        <v>2025-12</v>
      </c>
      <c r="AG2676">
        <f>SUBTOTAL(103,A2676)</f>
        <v>1</v>
      </c>
    </row>
    <row r="2677" spans="1:33" x14ac:dyDescent="0.3">
      <c r="A2677" t="s">
        <v>5300</v>
      </c>
      <c r="B2677" s="13">
        <v>45997</v>
      </c>
      <c r="C2677">
        <v>2025</v>
      </c>
      <c r="D2677">
        <v>12</v>
      </c>
      <c r="E2677" t="s">
        <v>5251</v>
      </c>
      <c r="F2677" t="s">
        <v>4780</v>
      </c>
      <c r="G2677" t="s">
        <v>363</v>
      </c>
      <c r="H2677" t="s">
        <v>364</v>
      </c>
      <c r="I2677" t="s">
        <v>85</v>
      </c>
      <c r="J2677">
        <v>43</v>
      </c>
      <c r="K2677" t="s">
        <v>82</v>
      </c>
      <c r="L2677" t="s">
        <v>93</v>
      </c>
      <c r="M2677" t="s">
        <v>55</v>
      </c>
      <c r="N2677" t="s">
        <v>2584</v>
      </c>
      <c r="O2677" t="s">
        <v>121</v>
      </c>
      <c r="P2677" t="s">
        <v>50</v>
      </c>
      <c r="Q2677" t="s">
        <v>144</v>
      </c>
      <c r="R2677">
        <v>2</v>
      </c>
      <c r="S2677">
        <v>2999</v>
      </c>
      <c r="T2677">
        <v>0.15</v>
      </c>
      <c r="U2677">
        <v>5098.3</v>
      </c>
      <c r="V2677">
        <v>3400</v>
      </c>
      <c r="W2677">
        <v>1698.3</v>
      </c>
      <c r="X2677" t="s">
        <v>74</v>
      </c>
      <c r="Y2677" t="s">
        <v>68</v>
      </c>
      <c r="Z2677" t="s">
        <v>158</v>
      </c>
      <c r="AA2677" t="s">
        <v>166</v>
      </c>
      <c r="AB2677">
        <v>3.4</v>
      </c>
      <c r="AC2677">
        <v>40</v>
      </c>
      <c r="AD2677">
        <v>367.03</v>
      </c>
      <c r="AE2677">
        <f t="shared" si="82"/>
        <v>1291.27</v>
      </c>
      <c r="AF2677" t="str">
        <f t="shared" si="83"/>
        <v>2025-12</v>
      </c>
      <c r="AG2677">
        <f>SUBTOTAL(103,A2677)</f>
        <v>1</v>
      </c>
    </row>
    <row r="2678" spans="1:33" x14ac:dyDescent="0.3">
      <c r="A2678" t="s">
        <v>5301</v>
      </c>
      <c r="B2678" s="13">
        <v>45997</v>
      </c>
      <c r="C2678">
        <v>2025</v>
      </c>
      <c r="D2678">
        <v>12</v>
      </c>
      <c r="E2678" t="s">
        <v>5251</v>
      </c>
      <c r="F2678" t="s">
        <v>4780</v>
      </c>
      <c r="G2678" t="s">
        <v>2219</v>
      </c>
      <c r="H2678" t="s">
        <v>2220</v>
      </c>
      <c r="I2678" t="s">
        <v>86</v>
      </c>
      <c r="J2678">
        <v>27</v>
      </c>
      <c r="K2678" t="s">
        <v>81</v>
      </c>
      <c r="L2678" t="s">
        <v>94</v>
      </c>
      <c r="M2678" t="s">
        <v>57</v>
      </c>
      <c r="N2678" t="s">
        <v>2606</v>
      </c>
      <c r="O2678" t="s">
        <v>120</v>
      </c>
      <c r="P2678" t="s">
        <v>49</v>
      </c>
      <c r="Q2678" t="s">
        <v>140</v>
      </c>
      <c r="R2678">
        <v>2</v>
      </c>
      <c r="S2678">
        <v>2799</v>
      </c>
      <c r="T2678">
        <v>0.15</v>
      </c>
      <c r="U2678">
        <v>4758.3</v>
      </c>
      <c r="V2678">
        <v>3300</v>
      </c>
      <c r="W2678">
        <v>1458.3</v>
      </c>
      <c r="X2678" t="s">
        <v>73</v>
      </c>
      <c r="Y2678" t="s">
        <v>69</v>
      </c>
      <c r="Z2678" t="s">
        <v>163</v>
      </c>
      <c r="AA2678" t="s">
        <v>169</v>
      </c>
      <c r="AB2678">
        <v>4.9000000000000004</v>
      </c>
      <c r="AC2678">
        <v>40</v>
      </c>
      <c r="AD2678">
        <v>247.22</v>
      </c>
      <c r="AE2678">
        <f t="shared" si="82"/>
        <v>1171.08</v>
      </c>
      <c r="AF2678" t="str">
        <f t="shared" si="83"/>
        <v>2025-12</v>
      </c>
      <c r="AG2678">
        <f>SUBTOTAL(103,A2678)</f>
        <v>1</v>
      </c>
    </row>
    <row r="2679" spans="1:33" x14ac:dyDescent="0.3">
      <c r="A2679" t="s">
        <v>5302</v>
      </c>
      <c r="B2679" s="13">
        <v>45997</v>
      </c>
      <c r="C2679">
        <v>2025</v>
      </c>
      <c r="D2679">
        <v>12</v>
      </c>
      <c r="E2679" t="s">
        <v>5251</v>
      </c>
      <c r="F2679" t="s">
        <v>4780</v>
      </c>
      <c r="G2679" t="s">
        <v>1107</v>
      </c>
      <c r="H2679" t="s">
        <v>1108</v>
      </c>
      <c r="I2679" t="s">
        <v>85</v>
      </c>
      <c r="J2679">
        <v>54</v>
      </c>
      <c r="K2679" t="s">
        <v>83</v>
      </c>
      <c r="L2679" t="s">
        <v>2661</v>
      </c>
      <c r="M2679" t="s">
        <v>58</v>
      </c>
      <c r="N2679" t="s">
        <v>2630</v>
      </c>
      <c r="O2679" t="s">
        <v>123</v>
      </c>
      <c r="P2679" t="s">
        <v>52</v>
      </c>
      <c r="Q2679" t="s">
        <v>146</v>
      </c>
      <c r="R2679">
        <v>1</v>
      </c>
      <c r="S2679">
        <v>2499</v>
      </c>
      <c r="T2679">
        <v>0.05</v>
      </c>
      <c r="U2679">
        <v>2374.0500000000002</v>
      </c>
      <c r="V2679">
        <v>1400</v>
      </c>
      <c r="W2679">
        <v>974.05</v>
      </c>
      <c r="X2679" t="s">
        <v>74</v>
      </c>
      <c r="Y2679" t="s">
        <v>68</v>
      </c>
      <c r="Z2679" t="s">
        <v>162</v>
      </c>
      <c r="AA2679" t="s">
        <v>167</v>
      </c>
      <c r="AB2679">
        <v>3.2</v>
      </c>
      <c r="AC2679">
        <v>80</v>
      </c>
      <c r="AD2679">
        <v>193.94</v>
      </c>
      <c r="AE2679">
        <f t="shared" si="82"/>
        <v>700.1099999999999</v>
      </c>
      <c r="AF2679" t="str">
        <f t="shared" si="83"/>
        <v>2025-12</v>
      </c>
      <c r="AG2679">
        <f>SUBTOTAL(103,A2679)</f>
        <v>1</v>
      </c>
    </row>
    <row r="2680" spans="1:33" x14ac:dyDescent="0.3">
      <c r="A2680" t="s">
        <v>5303</v>
      </c>
      <c r="B2680" s="13">
        <v>45998</v>
      </c>
      <c r="C2680">
        <v>2025</v>
      </c>
      <c r="D2680">
        <v>12</v>
      </c>
      <c r="E2680" t="s">
        <v>5251</v>
      </c>
      <c r="F2680" t="s">
        <v>4780</v>
      </c>
      <c r="G2680" t="s">
        <v>2341</v>
      </c>
      <c r="H2680" t="s">
        <v>2342</v>
      </c>
      <c r="I2680" t="s">
        <v>86</v>
      </c>
      <c r="J2680">
        <v>20</v>
      </c>
      <c r="K2680" t="s">
        <v>80</v>
      </c>
      <c r="L2680" t="s">
        <v>2586</v>
      </c>
      <c r="M2680" t="s">
        <v>62</v>
      </c>
      <c r="N2680" t="s">
        <v>2596</v>
      </c>
      <c r="O2680" t="s">
        <v>124</v>
      </c>
      <c r="P2680" t="s">
        <v>51</v>
      </c>
      <c r="Q2680" t="s">
        <v>147</v>
      </c>
      <c r="R2680">
        <v>2</v>
      </c>
      <c r="S2680">
        <v>2299</v>
      </c>
      <c r="T2680">
        <v>0.1</v>
      </c>
      <c r="U2680">
        <v>4138.2</v>
      </c>
      <c r="V2680">
        <v>2400</v>
      </c>
      <c r="W2680">
        <v>1738.2</v>
      </c>
      <c r="X2680" t="s">
        <v>75</v>
      </c>
      <c r="Y2680" t="s">
        <v>68</v>
      </c>
      <c r="Z2680" t="s">
        <v>159</v>
      </c>
      <c r="AA2680" t="s">
        <v>166</v>
      </c>
      <c r="AB2680">
        <v>3.9</v>
      </c>
      <c r="AC2680">
        <v>40</v>
      </c>
      <c r="AD2680">
        <v>399.2</v>
      </c>
      <c r="AE2680">
        <f t="shared" si="82"/>
        <v>1299</v>
      </c>
      <c r="AF2680" t="str">
        <f t="shared" si="83"/>
        <v>2025-12</v>
      </c>
      <c r="AG2680">
        <f>SUBTOTAL(103,A2680)</f>
        <v>1</v>
      </c>
    </row>
    <row r="2681" spans="1:33" x14ac:dyDescent="0.3">
      <c r="A2681" t="s">
        <v>5304</v>
      </c>
      <c r="B2681" s="13">
        <v>45998</v>
      </c>
      <c r="C2681">
        <v>2025</v>
      </c>
      <c r="D2681">
        <v>12</v>
      </c>
      <c r="E2681" t="s">
        <v>5251</v>
      </c>
      <c r="F2681" t="s">
        <v>4780</v>
      </c>
      <c r="G2681" t="s">
        <v>789</v>
      </c>
      <c r="H2681" t="s">
        <v>790</v>
      </c>
      <c r="I2681" t="s">
        <v>85</v>
      </c>
      <c r="J2681">
        <v>45</v>
      </c>
      <c r="K2681" t="s">
        <v>82</v>
      </c>
      <c r="L2681" t="s">
        <v>2661</v>
      </c>
      <c r="M2681" t="s">
        <v>58</v>
      </c>
      <c r="N2681" t="s">
        <v>2630</v>
      </c>
      <c r="O2681" t="s">
        <v>123</v>
      </c>
      <c r="P2681" t="s">
        <v>52</v>
      </c>
      <c r="Q2681" t="s">
        <v>146</v>
      </c>
      <c r="R2681">
        <v>1</v>
      </c>
      <c r="S2681">
        <v>2499</v>
      </c>
      <c r="T2681">
        <v>0.05</v>
      </c>
      <c r="U2681">
        <v>2374.0500000000002</v>
      </c>
      <c r="V2681">
        <v>1400</v>
      </c>
      <c r="W2681">
        <v>974.05</v>
      </c>
      <c r="X2681" t="s">
        <v>73</v>
      </c>
      <c r="Y2681" t="s">
        <v>68</v>
      </c>
      <c r="Z2681" t="s">
        <v>160</v>
      </c>
      <c r="AA2681" t="s">
        <v>166</v>
      </c>
      <c r="AB2681">
        <v>4</v>
      </c>
      <c r="AC2681">
        <v>80</v>
      </c>
      <c r="AD2681">
        <v>230.87</v>
      </c>
      <c r="AE2681">
        <f t="shared" si="82"/>
        <v>663.18</v>
      </c>
      <c r="AF2681" t="str">
        <f t="shared" si="83"/>
        <v>2025-12</v>
      </c>
      <c r="AG2681">
        <f>SUBTOTAL(103,A2681)</f>
        <v>1</v>
      </c>
    </row>
    <row r="2682" spans="1:33" x14ac:dyDescent="0.3">
      <c r="A2682" t="s">
        <v>5305</v>
      </c>
      <c r="B2682" s="13">
        <v>45998</v>
      </c>
      <c r="C2682">
        <v>2025</v>
      </c>
      <c r="D2682">
        <v>12</v>
      </c>
      <c r="E2682" t="s">
        <v>5251</v>
      </c>
      <c r="F2682" t="s">
        <v>4780</v>
      </c>
      <c r="G2682" t="s">
        <v>725</v>
      </c>
      <c r="H2682" t="s">
        <v>726</v>
      </c>
      <c r="I2682" t="s">
        <v>85</v>
      </c>
      <c r="J2682">
        <v>22</v>
      </c>
      <c r="K2682" t="s">
        <v>80</v>
      </c>
      <c r="L2682" t="s">
        <v>2612</v>
      </c>
      <c r="M2682" t="s">
        <v>64</v>
      </c>
      <c r="N2682" t="s">
        <v>2601</v>
      </c>
      <c r="O2682" t="s">
        <v>117</v>
      </c>
      <c r="P2682" t="s">
        <v>49</v>
      </c>
      <c r="Q2682" t="s">
        <v>139</v>
      </c>
      <c r="R2682">
        <v>2</v>
      </c>
      <c r="S2682">
        <v>6999</v>
      </c>
      <c r="T2682">
        <v>0.1</v>
      </c>
      <c r="U2682">
        <v>12598.2</v>
      </c>
      <c r="V2682">
        <v>8600</v>
      </c>
      <c r="W2682">
        <v>3998.2</v>
      </c>
      <c r="X2682" t="s">
        <v>73</v>
      </c>
      <c r="Y2682" t="s">
        <v>68</v>
      </c>
      <c r="Z2682" t="s">
        <v>163</v>
      </c>
      <c r="AA2682" t="s">
        <v>169</v>
      </c>
      <c r="AB2682">
        <v>4.5</v>
      </c>
      <c r="AC2682">
        <v>50</v>
      </c>
      <c r="AD2682">
        <v>1312.05</v>
      </c>
      <c r="AE2682">
        <f t="shared" si="82"/>
        <v>2636.1499999999996</v>
      </c>
      <c r="AF2682" t="str">
        <f t="shared" si="83"/>
        <v>2025-12</v>
      </c>
      <c r="AG2682">
        <f>SUBTOTAL(103,A2682)</f>
        <v>1</v>
      </c>
    </row>
    <row r="2683" spans="1:33" x14ac:dyDescent="0.3">
      <c r="A2683" t="s">
        <v>5306</v>
      </c>
      <c r="B2683" s="13">
        <v>45998</v>
      </c>
      <c r="C2683">
        <v>2025</v>
      </c>
      <c r="D2683">
        <v>12</v>
      </c>
      <c r="E2683" t="s">
        <v>5251</v>
      </c>
      <c r="F2683" t="s">
        <v>4780</v>
      </c>
      <c r="G2683" t="s">
        <v>1119</v>
      </c>
      <c r="H2683" t="s">
        <v>1120</v>
      </c>
      <c r="I2683" t="s">
        <v>85</v>
      </c>
      <c r="J2683">
        <v>51</v>
      </c>
      <c r="K2683" t="s">
        <v>83</v>
      </c>
      <c r="L2683" t="s">
        <v>2679</v>
      </c>
      <c r="M2683" t="s">
        <v>60</v>
      </c>
      <c r="N2683" t="s">
        <v>2657</v>
      </c>
      <c r="O2683" t="s">
        <v>134</v>
      </c>
      <c r="P2683" t="s">
        <v>49</v>
      </c>
      <c r="Q2683" t="s">
        <v>140</v>
      </c>
      <c r="R2683">
        <v>1</v>
      </c>
      <c r="S2683">
        <v>599</v>
      </c>
      <c r="T2683">
        <v>0.1</v>
      </c>
      <c r="U2683">
        <v>539.1</v>
      </c>
      <c r="V2683">
        <v>250</v>
      </c>
      <c r="W2683">
        <v>289.10000000000002</v>
      </c>
      <c r="X2683" t="s">
        <v>75</v>
      </c>
      <c r="Y2683" t="s">
        <v>68</v>
      </c>
      <c r="Z2683" t="s">
        <v>163</v>
      </c>
      <c r="AA2683" t="s">
        <v>166</v>
      </c>
      <c r="AB2683">
        <v>4.9000000000000004</v>
      </c>
      <c r="AC2683">
        <v>80</v>
      </c>
      <c r="AD2683">
        <v>20</v>
      </c>
      <c r="AE2683">
        <f t="shared" si="82"/>
        <v>189.10000000000002</v>
      </c>
      <c r="AF2683" t="str">
        <f t="shared" si="83"/>
        <v>2025-12</v>
      </c>
      <c r="AG2683">
        <f>SUBTOTAL(103,A2683)</f>
        <v>1</v>
      </c>
    </row>
    <row r="2684" spans="1:33" x14ac:dyDescent="0.3">
      <c r="A2684" t="s">
        <v>5307</v>
      </c>
      <c r="B2684" s="13">
        <v>45999</v>
      </c>
      <c r="C2684">
        <v>2025</v>
      </c>
      <c r="D2684">
        <v>12</v>
      </c>
      <c r="E2684" t="s">
        <v>5251</v>
      </c>
      <c r="F2684" t="s">
        <v>4780</v>
      </c>
      <c r="G2684" t="s">
        <v>1383</v>
      </c>
      <c r="H2684" t="s">
        <v>1384</v>
      </c>
      <c r="I2684" t="s">
        <v>86</v>
      </c>
      <c r="J2684">
        <v>57</v>
      </c>
      <c r="K2684" t="s">
        <v>83</v>
      </c>
      <c r="L2684" t="s">
        <v>96</v>
      </c>
      <c r="M2684" t="s">
        <v>55</v>
      </c>
      <c r="N2684" t="s">
        <v>2665</v>
      </c>
      <c r="O2684" t="s">
        <v>128</v>
      </c>
      <c r="P2684" t="s">
        <v>53</v>
      </c>
      <c r="Q2684" t="s">
        <v>143</v>
      </c>
      <c r="R2684">
        <v>2</v>
      </c>
      <c r="S2684">
        <v>1499</v>
      </c>
      <c r="T2684">
        <v>0</v>
      </c>
      <c r="U2684">
        <v>2998</v>
      </c>
      <c r="V2684">
        <v>1600</v>
      </c>
      <c r="W2684">
        <v>1398</v>
      </c>
      <c r="X2684" t="s">
        <v>73</v>
      </c>
      <c r="Y2684" t="s">
        <v>68</v>
      </c>
      <c r="Z2684" t="s">
        <v>159</v>
      </c>
      <c r="AA2684" t="s">
        <v>171</v>
      </c>
      <c r="AB2684">
        <v>4.2</v>
      </c>
      <c r="AC2684">
        <v>50</v>
      </c>
      <c r="AD2684">
        <v>180.9</v>
      </c>
      <c r="AE2684">
        <f t="shared" si="82"/>
        <v>1167.0999999999999</v>
      </c>
      <c r="AF2684" t="str">
        <f t="shared" si="83"/>
        <v>2025-12</v>
      </c>
      <c r="AG2684">
        <f>SUBTOTAL(103,A2684)</f>
        <v>1</v>
      </c>
    </row>
    <row r="2685" spans="1:33" x14ac:dyDescent="0.3">
      <c r="A2685" t="s">
        <v>5308</v>
      </c>
      <c r="B2685" s="13">
        <v>45999</v>
      </c>
      <c r="C2685">
        <v>2025</v>
      </c>
      <c r="D2685">
        <v>12</v>
      </c>
      <c r="E2685" t="s">
        <v>5251</v>
      </c>
      <c r="F2685" t="s">
        <v>4780</v>
      </c>
      <c r="G2685" t="s">
        <v>875</v>
      </c>
      <c r="H2685" t="s">
        <v>876</v>
      </c>
      <c r="I2685" t="s">
        <v>85</v>
      </c>
      <c r="J2685">
        <v>45</v>
      </c>
      <c r="K2685" t="s">
        <v>82</v>
      </c>
      <c r="L2685" t="s">
        <v>2674</v>
      </c>
      <c r="M2685" t="s">
        <v>58</v>
      </c>
      <c r="N2685" t="s">
        <v>2590</v>
      </c>
      <c r="O2685" t="s">
        <v>127</v>
      </c>
      <c r="P2685" t="s">
        <v>51</v>
      </c>
      <c r="Q2685" t="s">
        <v>148</v>
      </c>
      <c r="R2685">
        <v>4</v>
      </c>
      <c r="S2685">
        <v>1599</v>
      </c>
      <c r="T2685">
        <v>0.05</v>
      </c>
      <c r="U2685">
        <v>6076.2</v>
      </c>
      <c r="V2685">
        <v>3200</v>
      </c>
      <c r="W2685">
        <v>2876.2</v>
      </c>
      <c r="X2685" t="s">
        <v>76</v>
      </c>
      <c r="Y2685" t="s">
        <v>68</v>
      </c>
      <c r="Z2685" t="s">
        <v>158</v>
      </c>
      <c r="AA2685" t="s">
        <v>168</v>
      </c>
      <c r="AB2685">
        <v>4.4000000000000004</v>
      </c>
      <c r="AC2685">
        <v>60</v>
      </c>
      <c r="AD2685">
        <v>149.27000000000001</v>
      </c>
      <c r="AE2685">
        <f t="shared" si="82"/>
        <v>2666.93</v>
      </c>
      <c r="AF2685" t="str">
        <f t="shared" si="83"/>
        <v>2025-12</v>
      </c>
      <c r="AG2685">
        <f>SUBTOTAL(103,A2685)</f>
        <v>1</v>
      </c>
    </row>
    <row r="2686" spans="1:33" x14ac:dyDescent="0.3">
      <c r="A2686" t="s">
        <v>5309</v>
      </c>
      <c r="B2686" s="13">
        <v>45999</v>
      </c>
      <c r="C2686">
        <v>2025</v>
      </c>
      <c r="D2686">
        <v>12</v>
      </c>
      <c r="E2686" t="s">
        <v>5251</v>
      </c>
      <c r="F2686" t="s">
        <v>4780</v>
      </c>
      <c r="G2686" t="s">
        <v>683</v>
      </c>
      <c r="H2686" t="s">
        <v>684</v>
      </c>
      <c r="I2686" t="s">
        <v>86</v>
      </c>
      <c r="J2686">
        <v>42</v>
      </c>
      <c r="K2686" t="s">
        <v>82</v>
      </c>
      <c r="L2686" t="s">
        <v>59</v>
      </c>
      <c r="M2686" t="s">
        <v>59</v>
      </c>
      <c r="N2686" t="s">
        <v>2647</v>
      </c>
      <c r="O2686" t="s">
        <v>133</v>
      </c>
      <c r="P2686" t="s">
        <v>50</v>
      </c>
      <c r="Q2686" t="s">
        <v>145</v>
      </c>
      <c r="R2686">
        <v>1</v>
      </c>
      <c r="S2686">
        <v>799</v>
      </c>
      <c r="T2686">
        <v>0.05</v>
      </c>
      <c r="U2686">
        <v>759.05</v>
      </c>
      <c r="V2686">
        <v>390</v>
      </c>
      <c r="W2686">
        <v>369.05</v>
      </c>
      <c r="X2686" t="s">
        <v>75</v>
      </c>
      <c r="Y2686" t="s">
        <v>68</v>
      </c>
      <c r="Z2686" t="s">
        <v>158</v>
      </c>
      <c r="AA2686" t="s">
        <v>167</v>
      </c>
      <c r="AB2686">
        <v>4.4000000000000004</v>
      </c>
      <c r="AC2686">
        <v>40</v>
      </c>
      <c r="AD2686">
        <v>27.06</v>
      </c>
      <c r="AE2686">
        <f t="shared" si="82"/>
        <v>301.99</v>
      </c>
      <c r="AF2686" t="str">
        <f t="shared" si="83"/>
        <v>2025-12</v>
      </c>
      <c r="AG2686">
        <f>SUBTOTAL(103,A2686)</f>
        <v>1</v>
      </c>
    </row>
    <row r="2687" spans="1:33" x14ac:dyDescent="0.3">
      <c r="A2687" t="s">
        <v>5310</v>
      </c>
      <c r="B2687" s="13">
        <v>45999</v>
      </c>
      <c r="C2687">
        <v>2025</v>
      </c>
      <c r="D2687">
        <v>12</v>
      </c>
      <c r="E2687" t="s">
        <v>5251</v>
      </c>
      <c r="F2687" t="s">
        <v>4780</v>
      </c>
      <c r="G2687" t="s">
        <v>2357</v>
      </c>
      <c r="H2687" t="s">
        <v>2358</v>
      </c>
      <c r="I2687" t="s">
        <v>86</v>
      </c>
      <c r="J2687">
        <v>21</v>
      </c>
      <c r="K2687" t="s">
        <v>80</v>
      </c>
      <c r="L2687" t="s">
        <v>97</v>
      </c>
      <c r="M2687" t="s">
        <v>57</v>
      </c>
      <c r="N2687" t="s">
        <v>2596</v>
      </c>
      <c r="O2687" t="s">
        <v>124</v>
      </c>
      <c r="P2687" t="s">
        <v>51</v>
      </c>
      <c r="Q2687" t="s">
        <v>147</v>
      </c>
      <c r="R2687">
        <v>2</v>
      </c>
      <c r="S2687">
        <v>2299</v>
      </c>
      <c r="T2687">
        <v>0.15</v>
      </c>
      <c r="U2687">
        <v>3908.3</v>
      </c>
      <c r="V2687">
        <v>2400</v>
      </c>
      <c r="W2687">
        <v>1508.3</v>
      </c>
      <c r="X2687" t="s">
        <v>73</v>
      </c>
      <c r="Y2687" t="s">
        <v>68</v>
      </c>
      <c r="Z2687" t="s">
        <v>161</v>
      </c>
      <c r="AA2687" t="s">
        <v>168</v>
      </c>
      <c r="AB2687">
        <v>2.7</v>
      </c>
      <c r="AC2687">
        <v>40</v>
      </c>
      <c r="AD2687">
        <v>242.7</v>
      </c>
      <c r="AE2687">
        <f t="shared" si="82"/>
        <v>1225.5999999999999</v>
      </c>
      <c r="AF2687" t="str">
        <f t="shared" si="83"/>
        <v>2025-12</v>
      </c>
      <c r="AG2687">
        <f>SUBTOTAL(103,A2687)</f>
        <v>1</v>
      </c>
    </row>
    <row r="2688" spans="1:33" x14ac:dyDescent="0.3">
      <c r="A2688" t="s">
        <v>5311</v>
      </c>
      <c r="B2688" s="13">
        <v>45999</v>
      </c>
      <c r="C2688">
        <v>2025</v>
      </c>
      <c r="D2688">
        <v>12</v>
      </c>
      <c r="E2688" t="s">
        <v>5251</v>
      </c>
      <c r="F2688" t="s">
        <v>4780</v>
      </c>
      <c r="G2688" t="s">
        <v>365</v>
      </c>
      <c r="H2688" t="s">
        <v>366</v>
      </c>
      <c r="I2688" t="s">
        <v>86</v>
      </c>
      <c r="J2688">
        <v>22</v>
      </c>
      <c r="K2688" t="s">
        <v>80</v>
      </c>
      <c r="L2688" t="s">
        <v>91</v>
      </c>
      <c r="M2688" t="s">
        <v>55</v>
      </c>
      <c r="N2688" t="s">
        <v>2657</v>
      </c>
      <c r="O2688" t="s">
        <v>134</v>
      </c>
      <c r="P2688" t="s">
        <v>49</v>
      </c>
      <c r="Q2688" t="s">
        <v>140</v>
      </c>
      <c r="R2688">
        <v>1</v>
      </c>
      <c r="S2688">
        <v>599</v>
      </c>
      <c r="T2688">
        <v>0.05</v>
      </c>
      <c r="U2688">
        <v>569.04999999999995</v>
      </c>
      <c r="V2688">
        <v>250</v>
      </c>
      <c r="W2688">
        <v>319.05</v>
      </c>
      <c r="X2688" t="s">
        <v>74</v>
      </c>
      <c r="Y2688" t="s">
        <v>68</v>
      </c>
      <c r="Z2688" t="s">
        <v>161</v>
      </c>
      <c r="AA2688" t="s">
        <v>168</v>
      </c>
      <c r="AB2688">
        <v>4.8</v>
      </c>
      <c r="AC2688">
        <v>80</v>
      </c>
      <c r="AD2688">
        <v>21.9</v>
      </c>
      <c r="AE2688">
        <f t="shared" si="82"/>
        <v>217.15</v>
      </c>
      <c r="AF2688" t="str">
        <f t="shared" si="83"/>
        <v>2025-12</v>
      </c>
      <c r="AG2688">
        <f>SUBTOTAL(103,A2688)</f>
        <v>1</v>
      </c>
    </row>
    <row r="2689" spans="1:33" x14ac:dyDescent="0.3">
      <c r="A2689" t="s">
        <v>5312</v>
      </c>
      <c r="B2689" s="13">
        <v>46000</v>
      </c>
      <c r="C2689">
        <v>2025</v>
      </c>
      <c r="D2689">
        <v>12</v>
      </c>
      <c r="E2689" t="s">
        <v>5251</v>
      </c>
      <c r="F2689" t="s">
        <v>4780</v>
      </c>
      <c r="G2689" t="s">
        <v>1103</v>
      </c>
      <c r="H2689" t="s">
        <v>1104</v>
      </c>
      <c r="I2689" t="s">
        <v>87</v>
      </c>
      <c r="J2689">
        <v>25</v>
      </c>
      <c r="K2689" t="s">
        <v>80</v>
      </c>
      <c r="L2689" t="s">
        <v>2589</v>
      </c>
      <c r="M2689" t="s">
        <v>61</v>
      </c>
      <c r="N2689" t="s">
        <v>2592</v>
      </c>
      <c r="O2689" t="s">
        <v>115</v>
      </c>
      <c r="P2689" t="s">
        <v>48</v>
      </c>
      <c r="Q2689" t="s">
        <v>137</v>
      </c>
      <c r="R2689">
        <v>2</v>
      </c>
      <c r="S2689">
        <v>12999</v>
      </c>
      <c r="T2689">
        <v>0.05</v>
      </c>
      <c r="U2689">
        <v>24698.1</v>
      </c>
      <c r="V2689">
        <v>18000</v>
      </c>
      <c r="W2689">
        <v>6698.1</v>
      </c>
      <c r="X2689" t="s">
        <v>73</v>
      </c>
      <c r="Y2689" t="s">
        <v>68</v>
      </c>
      <c r="Z2689" t="s">
        <v>160</v>
      </c>
      <c r="AA2689" t="s">
        <v>166</v>
      </c>
      <c r="AB2689">
        <v>4</v>
      </c>
      <c r="AC2689">
        <v>60</v>
      </c>
      <c r="AD2689">
        <v>2159.13</v>
      </c>
      <c r="AE2689">
        <f t="shared" si="82"/>
        <v>4478.97</v>
      </c>
      <c r="AF2689" t="str">
        <f t="shared" si="83"/>
        <v>2025-12</v>
      </c>
      <c r="AG2689">
        <f>SUBTOTAL(103,A2689)</f>
        <v>1</v>
      </c>
    </row>
    <row r="2690" spans="1:33" x14ac:dyDescent="0.3">
      <c r="A2690" t="s">
        <v>5313</v>
      </c>
      <c r="B2690" s="13">
        <v>46000</v>
      </c>
      <c r="C2690">
        <v>2025</v>
      </c>
      <c r="D2690">
        <v>12</v>
      </c>
      <c r="E2690" t="s">
        <v>5251</v>
      </c>
      <c r="F2690" t="s">
        <v>4780</v>
      </c>
      <c r="G2690" t="s">
        <v>1833</v>
      </c>
      <c r="H2690" t="s">
        <v>1834</v>
      </c>
      <c r="I2690" t="s">
        <v>85</v>
      </c>
      <c r="J2690">
        <v>30</v>
      </c>
      <c r="K2690" t="s">
        <v>81</v>
      </c>
      <c r="L2690" t="s">
        <v>94</v>
      </c>
      <c r="M2690" t="s">
        <v>57</v>
      </c>
      <c r="N2690" t="s">
        <v>2590</v>
      </c>
      <c r="O2690" t="s">
        <v>127</v>
      </c>
      <c r="P2690" t="s">
        <v>51</v>
      </c>
      <c r="Q2690" t="s">
        <v>148</v>
      </c>
      <c r="R2690">
        <v>2</v>
      </c>
      <c r="S2690">
        <v>1599</v>
      </c>
      <c r="T2690">
        <v>0</v>
      </c>
      <c r="U2690">
        <v>3198</v>
      </c>
      <c r="V2690">
        <v>1600</v>
      </c>
      <c r="W2690">
        <v>1598</v>
      </c>
      <c r="X2690" t="s">
        <v>73</v>
      </c>
      <c r="Y2690" t="s">
        <v>68</v>
      </c>
      <c r="Z2690" t="s">
        <v>160</v>
      </c>
      <c r="AA2690" t="s">
        <v>169</v>
      </c>
      <c r="AB2690">
        <v>4.4000000000000004</v>
      </c>
      <c r="AC2690">
        <v>100</v>
      </c>
      <c r="AD2690">
        <v>226.41</v>
      </c>
      <c r="AE2690">
        <f t="shared" ref="AE2690:AE2753" si="84">W2690-AC2690-AD2690</f>
        <v>1271.5899999999999</v>
      </c>
      <c r="AF2690" t="str">
        <f t="shared" ref="AF2690:AF2753" si="85">C2690&amp;"-"&amp;TEXT(D2690,"00")</f>
        <v>2025-12</v>
      </c>
      <c r="AG2690">
        <f>SUBTOTAL(103,A2690)</f>
        <v>1</v>
      </c>
    </row>
    <row r="2691" spans="1:33" x14ac:dyDescent="0.3">
      <c r="A2691" t="s">
        <v>5314</v>
      </c>
      <c r="B2691" s="13">
        <v>46000</v>
      </c>
      <c r="C2691">
        <v>2025</v>
      </c>
      <c r="D2691">
        <v>12</v>
      </c>
      <c r="E2691" t="s">
        <v>5251</v>
      </c>
      <c r="F2691" t="s">
        <v>4780</v>
      </c>
      <c r="G2691" t="s">
        <v>1489</v>
      </c>
      <c r="H2691" t="s">
        <v>1490</v>
      </c>
      <c r="I2691" t="s">
        <v>86</v>
      </c>
      <c r="J2691">
        <v>27</v>
      </c>
      <c r="K2691" t="s">
        <v>81</v>
      </c>
      <c r="L2691" t="s">
        <v>90</v>
      </c>
      <c r="M2691" t="s">
        <v>55</v>
      </c>
      <c r="N2691" t="s">
        <v>2577</v>
      </c>
      <c r="O2691" t="s">
        <v>129</v>
      </c>
      <c r="P2691" t="s">
        <v>49</v>
      </c>
      <c r="Q2691" t="s">
        <v>149</v>
      </c>
      <c r="R2691">
        <v>1</v>
      </c>
      <c r="S2691">
        <v>1299</v>
      </c>
      <c r="T2691">
        <v>0.1</v>
      </c>
      <c r="U2691">
        <v>1169.0999999999999</v>
      </c>
      <c r="V2691">
        <v>650</v>
      </c>
      <c r="W2691">
        <v>519.1</v>
      </c>
      <c r="X2691" t="s">
        <v>73</v>
      </c>
      <c r="Y2691" t="s">
        <v>68</v>
      </c>
      <c r="Z2691" t="s">
        <v>161</v>
      </c>
      <c r="AA2691" t="s">
        <v>170</v>
      </c>
      <c r="AB2691">
        <v>4.7</v>
      </c>
      <c r="AC2691">
        <v>80</v>
      </c>
      <c r="AD2691">
        <v>118.05</v>
      </c>
      <c r="AE2691">
        <f t="shared" si="84"/>
        <v>321.05</v>
      </c>
      <c r="AF2691" t="str">
        <f t="shared" si="85"/>
        <v>2025-12</v>
      </c>
      <c r="AG2691">
        <f>SUBTOTAL(103,A2691)</f>
        <v>1</v>
      </c>
    </row>
    <row r="2692" spans="1:33" x14ac:dyDescent="0.3">
      <c r="A2692" t="s">
        <v>5315</v>
      </c>
      <c r="B2692" s="13">
        <v>46000</v>
      </c>
      <c r="C2692">
        <v>2025</v>
      </c>
      <c r="D2692">
        <v>12</v>
      </c>
      <c r="E2692" t="s">
        <v>5251</v>
      </c>
      <c r="F2692" t="s">
        <v>4780</v>
      </c>
      <c r="G2692" t="s">
        <v>895</v>
      </c>
      <c r="H2692" t="s">
        <v>896</v>
      </c>
      <c r="I2692" t="s">
        <v>86</v>
      </c>
      <c r="J2692">
        <v>24</v>
      </c>
      <c r="K2692" t="s">
        <v>80</v>
      </c>
      <c r="L2692" t="s">
        <v>95</v>
      </c>
      <c r="M2692" t="s">
        <v>56</v>
      </c>
      <c r="N2692" t="s">
        <v>2582</v>
      </c>
      <c r="O2692" t="s">
        <v>119</v>
      </c>
      <c r="P2692" t="s">
        <v>49</v>
      </c>
      <c r="Q2692" t="s">
        <v>140</v>
      </c>
      <c r="R2692">
        <v>1</v>
      </c>
      <c r="S2692">
        <v>3499</v>
      </c>
      <c r="T2692">
        <v>0.1</v>
      </c>
      <c r="U2692">
        <v>3149.1</v>
      </c>
      <c r="V2692">
        <v>2100</v>
      </c>
      <c r="W2692">
        <v>1049.0999999999999</v>
      </c>
      <c r="X2692" t="s">
        <v>73</v>
      </c>
      <c r="Y2692" t="s">
        <v>68</v>
      </c>
      <c r="Z2692" t="s">
        <v>163</v>
      </c>
      <c r="AA2692" t="s">
        <v>166</v>
      </c>
      <c r="AB2692">
        <v>4.4000000000000004</v>
      </c>
      <c r="AC2692">
        <v>40</v>
      </c>
      <c r="AD2692">
        <v>138.4</v>
      </c>
      <c r="AE2692">
        <f t="shared" si="84"/>
        <v>870.69999999999993</v>
      </c>
      <c r="AF2692" t="str">
        <f t="shared" si="85"/>
        <v>2025-12</v>
      </c>
      <c r="AG2692">
        <f>SUBTOTAL(103,A2692)</f>
        <v>1</v>
      </c>
    </row>
    <row r="2693" spans="1:33" x14ac:dyDescent="0.3">
      <c r="A2693" t="s">
        <v>5316</v>
      </c>
      <c r="B2693" s="13">
        <v>46000</v>
      </c>
      <c r="C2693">
        <v>2025</v>
      </c>
      <c r="D2693">
        <v>12</v>
      </c>
      <c r="E2693" t="s">
        <v>5251</v>
      </c>
      <c r="F2693" t="s">
        <v>4780</v>
      </c>
      <c r="G2693" t="s">
        <v>965</v>
      </c>
      <c r="H2693" t="s">
        <v>966</v>
      </c>
      <c r="I2693" t="s">
        <v>85</v>
      </c>
      <c r="J2693">
        <v>40</v>
      </c>
      <c r="K2693" t="s">
        <v>82</v>
      </c>
      <c r="L2693" t="s">
        <v>93</v>
      </c>
      <c r="M2693" t="s">
        <v>55</v>
      </c>
      <c r="N2693" t="s">
        <v>2587</v>
      </c>
      <c r="O2693" t="s">
        <v>116</v>
      </c>
      <c r="P2693" t="s">
        <v>48</v>
      </c>
      <c r="Q2693" t="s">
        <v>138</v>
      </c>
      <c r="R2693">
        <v>1</v>
      </c>
      <c r="S2693">
        <v>14999</v>
      </c>
      <c r="T2693">
        <v>0.05</v>
      </c>
      <c r="U2693">
        <v>14249.05</v>
      </c>
      <c r="V2693">
        <v>11200</v>
      </c>
      <c r="W2693">
        <v>3049.05</v>
      </c>
      <c r="X2693" t="s">
        <v>76</v>
      </c>
      <c r="Y2693" t="s">
        <v>69</v>
      </c>
      <c r="Z2693" t="s">
        <v>163</v>
      </c>
      <c r="AA2693" t="s">
        <v>166</v>
      </c>
      <c r="AB2693">
        <v>4</v>
      </c>
      <c r="AC2693">
        <v>60</v>
      </c>
      <c r="AD2693">
        <v>1097.71</v>
      </c>
      <c r="AE2693">
        <f t="shared" si="84"/>
        <v>1891.3400000000001</v>
      </c>
      <c r="AF2693" t="str">
        <f t="shared" si="85"/>
        <v>2025-12</v>
      </c>
      <c r="AG2693">
        <f>SUBTOTAL(103,A2693)</f>
        <v>1</v>
      </c>
    </row>
    <row r="2694" spans="1:33" x14ac:dyDescent="0.3">
      <c r="A2694" t="s">
        <v>5317</v>
      </c>
      <c r="B2694" s="13">
        <v>46000</v>
      </c>
      <c r="C2694">
        <v>2025</v>
      </c>
      <c r="D2694">
        <v>12</v>
      </c>
      <c r="E2694" t="s">
        <v>5251</v>
      </c>
      <c r="F2694" t="s">
        <v>4780</v>
      </c>
      <c r="G2694" t="s">
        <v>807</v>
      </c>
      <c r="H2694" t="s">
        <v>808</v>
      </c>
      <c r="I2694" t="s">
        <v>85</v>
      </c>
      <c r="J2694">
        <v>21</v>
      </c>
      <c r="K2694" t="s">
        <v>80</v>
      </c>
      <c r="L2694" t="s">
        <v>90</v>
      </c>
      <c r="M2694" t="s">
        <v>55</v>
      </c>
      <c r="N2694" t="s">
        <v>2584</v>
      </c>
      <c r="O2694" t="s">
        <v>121</v>
      </c>
      <c r="P2694" t="s">
        <v>50</v>
      </c>
      <c r="Q2694" t="s">
        <v>144</v>
      </c>
      <c r="R2694">
        <v>5</v>
      </c>
      <c r="S2694">
        <v>2999</v>
      </c>
      <c r="T2694">
        <v>0.15</v>
      </c>
      <c r="U2694">
        <v>12745.75</v>
      </c>
      <c r="V2694">
        <v>8500</v>
      </c>
      <c r="W2694">
        <v>4245.75</v>
      </c>
      <c r="X2694" t="s">
        <v>76</v>
      </c>
      <c r="Y2694" t="s">
        <v>68</v>
      </c>
      <c r="Z2694" t="s">
        <v>160</v>
      </c>
      <c r="AA2694" t="s">
        <v>170</v>
      </c>
      <c r="AB2694">
        <v>3.8</v>
      </c>
      <c r="AC2694">
        <v>50</v>
      </c>
      <c r="AD2694">
        <v>713.77</v>
      </c>
      <c r="AE2694">
        <f t="shared" si="84"/>
        <v>3481.98</v>
      </c>
      <c r="AF2694" t="str">
        <f t="shared" si="85"/>
        <v>2025-12</v>
      </c>
      <c r="AG2694">
        <f>SUBTOTAL(103,A2694)</f>
        <v>1</v>
      </c>
    </row>
    <row r="2695" spans="1:33" x14ac:dyDescent="0.3">
      <c r="A2695" t="s">
        <v>5318</v>
      </c>
      <c r="B2695" s="13">
        <v>46000</v>
      </c>
      <c r="C2695">
        <v>2025</v>
      </c>
      <c r="D2695">
        <v>12</v>
      </c>
      <c r="E2695" t="s">
        <v>5251</v>
      </c>
      <c r="F2695" t="s">
        <v>4780</v>
      </c>
      <c r="G2695" t="s">
        <v>475</v>
      </c>
      <c r="H2695" t="s">
        <v>476</v>
      </c>
      <c r="I2695" t="s">
        <v>86</v>
      </c>
      <c r="J2695">
        <v>26</v>
      </c>
      <c r="K2695" t="s">
        <v>81</v>
      </c>
      <c r="L2695" t="s">
        <v>100</v>
      </c>
      <c r="M2695" t="s">
        <v>56</v>
      </c>
      <c r="N2695" t="s">
        <v>2592</v>
      </c>
      <c r="O2695" t="s">
        <v>115</v>
      </c>
      <c r="P2695" t="s">
        <v>48</v>
      </c>
      <c r="Q2695" t="s">
        <v>137</v>
      </c>
      <c r="R2695">
        <v>1</v>
      </c>
      <c r="S2695">
        <v>12999</v>
      </c>
      <c r="T2695">
        <v>0.1</v>
      </c>
      <c r="U2695">
        <v>11699.1</v>
      </c>
      <c r="V2695">
        <v>9000</v>
      </c>
      <c r="W2695">
        <v>2699.1</v>
      </c>
      <c r="X2695" t="s">
        <v>73</v>
      </c>
      <c r="Y2695" t="s">
        <v>68</v>
      </c>
      <c r="Z2695" t="s">
        <v>163</v>
      </c>
      <c r="AA2695" t="s">
        <v>171</v>
      </c>
      <c r="AB2695">
        <v>4</v>
      </c>
      <c r="AC2695">
        <v>50</v>
      </c>
      <c r="AD2695">
        <v>844.45</v>
      </c>
      <c r="AE2695">
        <f t="shared" si="84"/>
        <v>1804.6499999999999</v>
      </c>
      <c r="AF2695" t="str">
        <f t="shared" si="85"/>
        <v>2025-12</v>
      </c>
      <c r="AG2695">
        <f>SUBTOTAL(103,A2695)</f>
        <v>1</v>
      </c>
    </row>
    <row r="2696" spans="1:33" x14ac:dyDescent="0.3">
      <c r="A2696" t="s">
        <v>5319</v>
      </c>
      <c r="B2696" s="13">
        <v>46000</v>
      </c>
      <c r="C2696">
        <v>2025</v>
      </c>
      <c r="D2696">
        <v>12</v>
      </c>
      <c r="E2696" t="s">
        <v>5251</v>
      </c>
      <c r="F2696" t="s">
        <v>4780</v>
      </c>
      <c r="G2696" t="s">
        <v>377</v>
      </c>
      <c r="H2696" t="s">
        <v>378</v>
      </c>
      <c r="I2696" t="s">
        <v>85</v>
      </c>
      <c r="J2696">
        <v>23</v>
      </c>
      <c r="K2696" t="s">
        <v>80</v>
      </c>
      <c r="L2696" t="s">
        <v>2674</v>
      </c>
      <c r="M2696" t="s">
        <v>58</v>
      </c>
      <c r="N2696" t="s">
        <v>2644</v>
      </c>
      <c r="O2696" t="s">
        <v>126</v>
      </c>
      <c r="P2696" t="s">
        <v>50</v>
      </c>
      <c r="Q2696" t="s">
        <v>145</v>
      </c>
      <c r="R2696">
        <v>1</v>
      </c>
      <c r="S2696">
        <v>1799</v>
      </c>
      <c r="T2696">
        <v>0.1</v>
      </c>
      <c r="U2696">
        <v>1619.1</v>
      </c>
      <c r="V2696">
        <v>950</v>
      </c>
      <c r="W2696">
        <v>669.1</v>
      </c>
      <c r="X2696" t="s">
        <v>73</v>
      </c>
      <c r="Y2696" t="s">
        <v>68</v>
      </c>
      <c r="Z2696" t="s">
        <v>159</v>
      </c>
      <c r="AA2696" t="s">
        <v>167</v>
      </c>
      <c r="AB2696">
        <v>3.9</v>
      </c>
      <c r="AC2696">
        <v>80</v>
      </c>
      <c r="AD2696">
        <v>89.78</v>
      </c>
      <c r="AE2696">
        <f t="shared" si="84"/>
        <v>499.32000000000005</v>
      </c>
      <c r="AF2696" t="str">
        <f t="shared" si="85"/>
        <v>2025-12</v>
      </c>
      <c r="AG2696">
        <f>SUBTOTAL(103,A2696)</f>
        <v>1</v>
      </c>
    </row>
    <row r="2697" spans="1:33" x14ac:dyDescent="0.3">
      <c r="A2697" t="s">
        <v>5320</v>
      </c>
      <c r="B2697" s="13">
        <v>46001</v>
      </c>
      <c r="C2697">
        <v>2025</v>
      </c>
      <c r="D2697">
        <v>12</v>
      </c>
      <c r="E2697" t="s">
        <v>5251</v>
      </c>
      <c r="F2697" t="s">
        <v>4780</v>
      </c>
      <c r="G2697" t="s">
        <v>987</v>
      </c>
      <c r="H2697" t="s">
        <v>988</v>
      </c>
      <c r="I2697" t="s">
        <v>85</v>
      </c>
      <c r="J2697">
        <v>21</v>
      </c>
      <c r="K2697" t="s">
        <v>80</v>
      </c>
      <c r="L2697" t="s">
        <v>2573</v>
      </c>
      <c r="M2697" t="s">
        <v>63</v>
      </c>
      <c r="N2697" t="s">
        <v>2592</v>
      </c>
      <c r="O2697" t="s">
        <v>115</v>
      </c>
      <c r="P2697" t="s">
        <v>48</v>
      </c>
      <c r="Q2697" t="s">
        <v>137</v>
      </c>
      <c r="R2697">
        <v>2</v>
      </c>
      <c r="S2697">
        <v>12999</v>
      </c>
      <c r="T2697">
        <v>0.15</v>
      </c>
      <c r="U2697">
        <v>22098.3</v>
      </c>
      <c r="V2697">
        <v>18000</v>
      </c>
      <c r="W2697">
        <v>4098.3</v>
      </c>
      <c r="X2697" t="s">
        <v>73</v>
      </c>
      <c r="Y2697" t="s">
        <v>68</v>
      </c>
      <c r="Z2697" t="s">
        <v>162</v>
      </c>
      <c r="AA2697" t="s">
        <v>167</v>
      </c>
      <c r="AB2697">
        <v>5</v>
      </c>
      <c r="AC2697">
        <v>80</v>
      </c>
      <c r="AD2697">
        <v>1283.52</v>
      </c>
      <c r="AE2697">
        <f t="shared" si="84"/>
        <v>2734.78</v>
      </c>
      <c r="AF2697" t="str">
        <f t="shared" si="85"/>
        <v>2025-12</v>
      </c>
      <c r="AG2697">
        <f>SUBTOTAL(103,A2697)</f>
        <v>1</v>
      </c>
    </row>
    <row r="2698" spans="1:33" x14ac:dyDescent="0.3">
      <c r="A2698" t="s">
        <v>5321</v>
      </c>
      <c r="B2698" s="13">
        <v>46001</v>
      </c>
      <c r="C2698">
        <v>2025</v>
      </c>
      <c r="D2698">
        <v>12</v>
      </c>
      <c r="E2698" t="s">
        <v>5251</v>
      </c>
      <c r="F2698" t="s">
        <v>4780</v>
      </c>
      <c r="G2698" t="s">
        <v>1825</v>
      </c>
      <c r="H2698" t="s">
        <v>1826</v>
      </c>
      <c r="I2698" t="s">
        <v>85</v>
      </c>
      <c r="J2698">
        <v>49</v>
      </c>
      <c r="K2698" t="s">
        <v>83</v>
      </c>
      <c r="L2698" t="s">
        <v>98</v>
      </c>
      <c r="M2698" t="s">
        <v>55</v>
      </c>
      <c r="N2698" t="s">
        <v>2647</v>
      </c>
      <c r="O2698" t="s">
        <v>133</v>
      </c>
      <c r="P2698" t="s">
        <v>50</v>
      </c>
      <c r="Q2698" t="s">
        <v>145</v>
      </c>
      <c r="R2698">
        <v>3</v>
      </c>
      <c r="S2698">
        <v>799</v>
      </c>
      <c r="T2698">
        <v>0.1</v>
      </c>
      <c r="U2698">
        <v>2157.3000000000002</v>
      </c>
      <c r="V2698">
        <v>1170</v>
      </c>
      <c r="W2698">
        <v>987.3</v>
      </c>
      <c r="X2698" t="s">
        <v>76</v>
      </c>
      <c r="Y2698" t="s">
        <v>69</v>
      </c>
      <c r="Z2698" t="s">
        <v>160</v>
      </c>
      <c r="AA2698" t="s">
        <v>167</v>
      </c>
      <c r="AB2698">
        <v>3.4</v>
      </c>
      <c r="AC2698">
        <v>80</v>
      </c>
      <c r="AD2698">
        <v>202.48</v>
      </c>
      <c r="AE2698">
        <f t="shared" si="84"/>
        <v>704.81999999999994</v>
      </c>
      <c r="AF2698" t="str">
        <f t="shared" si="85"/>
        <v>2025-12</v>
      </c>
      <c r="AG2698">
        <f>SUBTOTAL(103,A2698)</f>
        <v>1</v>
      </c>
    </row>
    <row r="2699" spans="1:33" x14ac:dyDescent="0.3">
      <c r="A2699" t="s">
        <v>5322</v>
      </c>
      <c r="B2699" s="13">
        <v>46001</v>
      </c>
      <c r="C2699">
        <v>2025</v>
      </c>
      <c r="D2699">
        <v>12</v>
      </c>
      <c r="E2699" t="s">
        <v>5251</v>
      </c>
      <c r="F2699" t="s">
        <v>4780</v>
      </c>
      <c r="G2699" t="s">
        <v>327</v>
      </c>
      <c r="H2699" t="s">
        <v>328</v>
      </c>
      <c r="I2699" t="s">
        <v>86</v>
      </c>
      <c r="J2699">
        <v>29</v>
      </c>
      <c r="K2699" t="s">
        <v>81</v>
      </c>
      <c r="L2699" t="s">
        <v>93</v>
      </c>
      <c r="M2699" t="s">
        <v>55</v>
      </c>
      <c r="N2699" t="s">
        <v>2594</v>
      </c>
      <c r="O2699" t="s">
        <v>131</v>
      </c>
      <c r="P2699" t="s">
        <v>53</v>
      </c>
      <c r="Q2699" t="s">
        <v>143</v>
      </c>
      <c r="R2699">
        <v>3</v>
      </c>
      <c r="S2699">
        <v>999</v>
      </c>
      <c r="T2699">
        <v>0.15</v>
      </c>
      <c r="U2699">
        <v>2547.4499999999998</v>
      </c>
      <c r="V2699">
        <v>1560</v>
      </c>
      <c r="W2699">
        <v>987.45</v>
      </c>
      <c r="X2699" t="s">
        <v>75</v>
      </c>
      <c r="Y2699" t="s">
        <v>68</v>
      </c>
      <c r="Z2699" t="s">
        <v>158</v>
      </c>
      <c r="AA2699" t="s">
        <v>169</v>
      </c>
      <c r="AB2699">
        <v>3.6</v>
      </c>
      <c r="AC2699">
        <v>40</v>
      </c>
      <c r="AD2699">
        <v>176.86</v>
      </c>
      <c r="AE2699">
        <f t="shared" si="84"/>
        <v>770.59</v>
      </c>
      <c r="AF2699" t="str">
        <f t="shared" si="85"/>
        <v>2025-12</v>
      </c>
      <c r="AG2699">
        <f>SUBTOTAL(103,A2699)</f>
        <v>1</v>
      </c>
    </row>
    <row r="2700" spans="1:33" x14ac:dyDescent="0.3">
      <c r="A2700" t="s">
        <v>5323</v>
      </c>
      <c r="B2700" s="13">
        <v>46001</v>
      </c>
      <c r="C2700">
        <v>2025</v>
      </c>
      <c r="D2700">
        <v>12</v>
      </c>
      <c r="E2700" t="s">
        <v>5251</v>
      </c>
      <c r="F2700" t="s">
        <v>4780</v>
      </c>
      <c r="G2700" t="s">
        <v>1295</v>
      </c>
      <c r="H2700" t="s">
        <v>1296</v>
      </c>
      <c r="I2700" t="s">
        <v>85</v>
      </c>
      <c r="J2700">
        <v>29</v>
      </c>
      <c r="K2700" t="s">
        <v>81</v>
      </c>
      <c r="L2700" t="s">
        <v>59</v>
      </c>
      <c r="M2700" t="s">
        <v>59</v>
      </c>
      <c r="N2700" t="s">
        <v>2644</v>
      </c>
      <c r="O2700" t="s">
        <v>126</v>
      </c>
      <c r="P2700" t="s">
        <v>50</v>
      </c>
      <c r="Q2700" t="s">
        <v>145</v>
      </c>
      <c r="R2700">
        <v>3</v>
      </c>
      <c r="S2700">
        <v>1799</v>
      </c>
      <c r="T2700">
        <v>0</v>
      </c>
      <c r="U2700">
        <v>5397</v>
      </c>
      <c r="V2700">
        <v>2850</v>
      </c>
      <c r="W2700">
        <v>2547</v>
      </c>
      <c r="X2700" t="s">
        <v>73</v>
      </c>
      <c r="Y2700" t="s">
        <v>68</v>
      </c>
      <c r="Z2700" t="s">
        <v>160</v>
      </c>
      <c r="AA2700" t="s">
        <v>166</v>
      </c>
      <c r="AB2700">
        <v>3.9</v>
      </c>
      <c r="AC2700">
        <v>80</v>
      </c>
      <c r="AD2700">
        <v>314.79000000000002</v>
      </c>
      <c r="AE2700">
        <f t="shared" si="84"/>
        <v>2152.21</v>
      </c>
      <c r="AF2700" t="str">
        <f t="shared" si="85"/>
        <v>2025-12</v>
      </c>
      <c r="AG2700">
        <f>SUBTOTAL(103,A2700)</f>
        <v>1</v>
      </c>
    </row>
    <row r="2701" spans="1:33" x14ac:dyDescent="0.3">
      <c r="A2701" t="s">
        <v>5324</v>
      </c>
      <c r="B2701" s="13">
        <v>46001</v>
      </c>
      <c r="C2701">
        <v>2025</v>
      </c>
      <c r="D2701">
        <v>12</v>
      </c>
      <c r="E2701" t="s">
        <v>5251</v>
      </c>
      <c r="F2701" t="s">
        <v>4780</v>
      </c>
      <c r="G2701" t="s">
        <v>1907</v>
      </c>
      <c r="H2701" t="s">
        <v>1908</v>
      </c>
      <c r="I2701" t="s">
        <v>87</v>
      </c>
      <c r="J2701">
        <v>20</v>
      </c>
      <c r="K2701" t="s">
        <v>80</v>
      </c>
      <c r="L2701" t="s">
        <v>93</v>
      </c>
      <c r="M2701" t="s">
        <v>55</v>
      </c>
      <c r="N2701" t="s">
        <v>2657</v>
      </c>
      <c r="O2701" t="s">
        <v>134</v>
      </c>
      <c r="P2701" t="s">
        <v>49</v>
      </c>
      <c r="Q2701" t="s">
        <v>140</v>
      </c>
      <c r="R2701">
        <v>2</v>
      </c>
      <c r="S2701">
        <v>599</v>
      </c>
      <c r="T2701">
        <v>0.05</v>
      </c>
      <c r="U2701">
        <v>1138.0999999999999</v>
      </c>
      <c r="V2701">
        <v>500</v>
      </c>
      <c r="W2701">
        <v>638.1</v>
      </c>
      <c r="X2701" t="s">
        <v>74</v>
      </c>
      <c r="Y2701" t="s">
        <v>68</v>
      </c>
      <c r="Z2701" t="s">
        <v>161</v>
      </c>
      <c r="AA2701" t="s">
        <v>168</v>
      </c>
      <c r="AB2701">
        <v>4.2</v>
      </c>
      <c r="AC2701">
        <v>40</v>
      </c>
      <c r="AD2701">
        <v>125.16</v>
      </c>
      <c r="AE2701">
        <f t="shared" si="84"/>
        <v>472.94000000000005</v>
      </c>
      <c r="AF2701" t="str">
        <f t="shared" si="85"/>
        <v>2025-12</v>
      </c>
      <c r="AG2701">
        <f>SUBTOTAL(103,A2701)</f>
        <v>1</v>
      </c>
    </row>
    <row r="2702" spans="1:33" x14ac:dyDescent="0.3">
      <c r="A2702" t="s">
        <v>5325</v>
      </c>
      <c r="B2702" s="13">
        <v>46001</v>
      </c>
      <c r="C2702">
        <v>2025</v>
      </c>
      <c r="D2702">
        <v>12</v>
      </c>
      <c r="E2702" t="s">
        <v>5251</v>
      </c>
      <c r="F2702" t="s">
        <v>4780</v>
      </c>
      <c r="G2702" t="s">
        <v>1899</v>
      </c>
      <c r="H2702" t="s">
        <v>1900</v>
      </c>
      <c r="I2702" t="s">
        <v>86</v>
      </c>
      <c r="J2702">
        <v>30</v>
      </c>
      <c r="K2702" t="s">
        <v>81</v>
      </c>
      <c r="L2702" t="s">
        <v>2646</v>
      </c>
      <c r="M2702" t="s">
        <v>63</v>
      </c>
      <c r="N2702" t="s">
        <v>2582</v>
      </c>
      <c r="O2702" t="s">
        <v>119</v>
      </c>
      <c r="P2702" t="s">
        <v>49</v>
      </c>
      <c r="Q2702" t="s">
        <v>140</v>
      </c>
      <c r="R2702">
        <v>1</v>
      </c>
      <c r="S2702">
        <v>3499</v>
      </c>
      <c r="T2702">
        <v>0.1</v>
      </c>
      <c r="U2702">
        <v>3149.1</v>
      </c>
      <c r="V2702">
        <v>2100</v>
      </c>
      <c r="W2702">
        <v>1049.0999999999999</v>
      </c>
      <c r="X2702" t="s">
        <v>76</v>
      </c>
      <c r="Y2702" t="s">
        <v>68</v>
      </c>
      <c r="Z2702" t="s">
        <v>162</v>
      </c>
      <c r="AA2702" t="s">
        <v>170</v>
      </c>
      <c r="AB2702">
        <v>3.6</v>
      </c>
      <c r="AC2702">
        <v>60</v>
      </c>
      <c r="AD2702">
        <v>116.83</v>
      </c>
      <c r="AE2702">
        <f t="shared" si="84"/>
        <v>872.26999999999987</v>
      </c>
      <c r="AF2702" t="str">
        <f t="shared" si="85"/>
        <v>2025-12</v>
      </c>
      <c r="AG2702">
        <f>SUBTOTAL(103,A2702)</f>
        <v>1</v>
      </c>
    </row>
    <row r="2703" spans="1:33" x14ac:dyDescent="0.3">
      <c r="A2703" t="s">
        <v>5326</v>
      </c>
      <c r="B2703" s="13">
        <v>46001</v>
      </c>
      <c r="C2703">
        <v>2025</v>
      </c>
      <c r="D2703">
        <v>12</v>
      </c>
      <c r="E2703" t="s">
        <v>5251</v>
      </c>
      <c r="F2703" t="s">
        <v>4780</v>
      </c>
      <c r="G2703" t="s">
        <v>1169</v>
      </c>
      <c r="H2703" t="s">
        <v>1170</v>
      </c>
      <c r="I2703" t="s">
        <v>85</v>
      </c>
      <c r="J2703">
        <v>47</v>
      </c>
      <c r="K2703" t="s">
        <v>83</v>
      </c>
      <c r="L2703" t="s">
        <v>2634</v>
      </c>
      <c r="M2703" t="s">
        <v>56</v>
      </c>
      <c r="N2703" t="s">
        <v>2590</v>
      </c>
      <c r="O2703" t="s">
        <v>127</v>
      </c>
      <c r="P2703" t="s">
        <v>51</v>
      </c>
      <c r="Q2703" t="s">
        <v>148</v>
      </c>
      <c r="R2703">
        <v>2</v>
      </c>
      <c r="S2703">
        <v>1599</v>
      </c>
      <c r="T2703">
        <v>0.15</v>
      </c>
      <c r="U2703">
        <v>2718.3</v>
      </c>
      <c r="V2703">
        <v>1600</v>
      </c>
      <c r="W2703">
        <v>1118.3</v>
      </c>
      <c r="X2703" t="s">
        <v>74</v>
      </c>
      <c r="Y2703" t="s">
        <v>68</v>
      </c>
      <c r="Z2703" t="s">
        <v>160</v>
      </c>
      <c r="AA2703" t="s">
        <v>170</v>
      </c>
      <c r="AB2703">
        <v>5</v>
      </c>
      <c r="AC2703">
        <v>50</v>
      </c>
      <c r="AD2703">
        <v>142.04</v>
      </c>
      <c r="AE2703">
        <f t="shared" si="84"/>
        <v>926.26</v>
      </c>
      <c r="AF2703" t="str">
        <f t="shared" si="85"/>
        <v>2025-12</v>
      </c>
      <c r="AG2703">
        <f>SUBTOTAL(103,A2703)</f>
        <v>1</v>
      </c>
    </row>
    <row r="2704" spans="1:33" x14ac:dyDescent="0.3">
      <c r="A2704" t="s">
        <v>5327</v>
      </c>
      <c r="B2704" s="13">
        <v>46001</v>
      </c>
      <c r="C2704">
        <v>2025</v>
      </c>
      <c r="D2704">
        <v>12</v>
      </c>
      <c r="E2704" t="s">
        <v>5251</v>
      </c>
      <c r="F2704" t="s">
        <v>4780</v>
      </c>
      <c r="G2704" t="s">
        <v>825</v>
      </c>
      <c r="H2704" t="s">
        <v>826</v>
      </c>
      <c r="I2704" t="s">
        <v>85</v>
      </c>
      <c r="J2704">
        <v>39</v>
      </c>
      <c r="K2704" t="s">
        <v>82</v>
      </c>
      <c r="L2704" t="s">
        <v>2646</v>
      </c>
      <c r="M2704" t="s">
        <v>63</v>
      </c>
      <c r="N2704" t="s">
        <v>2592</v>
      </c>
      <c r="O2704" t="s">
        <v>115</v>
      </c>
      <c r="P2704" t="s">
        <v>48</v>
      </c>
      <c r="Q2704" t="s">
        <v>137</v>
      </c>
      <c r="R2704">
        <v>3</v>
      </c>
      <c r="S2704">
        <v>12999</v>
      </c>
      <c r="T2704">
        <v>0.15</v>
      </c>
      <c r="U2704">
        <v>33147.449999999997</v>
      </c>
      <c r="V2704">
        <v>27000</v>
      </c>
      <c r="W2704">
        <v>6147.45</v>
      </c>
      <c r="X2704" t="s">
        <v>75</v>
      </c>
      <c r="Y2704" t="s">
        <v>68</v>
      </c>
      <c r="Z2704" t="s">
        <v>159</v>
      </c>
      <c r="AA2704" t="s">
        <v>170</v>
      </c>
      <c r="AB2704">
        <v>4</v>
      </c>
      <c r="AC2704">
        <v>120</v>
      </c>
      <c r="AD2704">
        <v>1569.24</v>
      </c>
      <c r="AE2704">
        <f t="shared" si="84"/>
        <v>4458.21</v>
      </c>
      <c r="AF2704" t="str">
        <f t="shared" si="85"/>
        <v>2025-12</v>
      </c>
      <c r="AG2704">
        <f>SUBTOTAL(103,A2704)</f>
        <v>1</v>
      </c>
    </row>
    <row r="2705" spans="1:33" x14ac:dyDescent="0.3">
      <c r="A2705" t="s">
        <v>5328</v>
      </c>
      <c r="B2705" s="13">
        <v>46001</v>
      </c>
      <c r="C2705">
        <v>2025</v>
      </c>
      <c r="D2705">
        <v>12</v>
      </c>
      <c r="E2705" t="s">
        <v>5251</v>
      </c>
      <c r="F2705" t="s">
        <v>4780</v>
      </c>
      <c r="G2705" t="s">
        <v>495</v>
      </c>
      <c r="H2705" t="s">
        <v>496</v>
      </c>
      <c r="I2705" t="s">
        <v>85</v>
      </c>
      <c r="J2705">
        <v>19</v>
      </c>
      <c r="K2705" t="s">
        <v>80</v>
      </c>
      <c r="L2705" t="s">
        <v>2579</v>
      </c>
      <c r="M2705" t="s">
        <v>56</v>
      </c>
      <c r="N2705" t="s">
        <v>2653</v>
      </c>
      <c r="O2705" t="s">
        <v>132</v>
      </c>
      <c r="P2705" t="s">
        <v>52</v>
      </c>
      <c r="Q2705" t="s">
        <v>150</v>
      </c>
      <c r="R2705">
        <v>1</v>
      </c>
      <c r="S2705">
        <v>899</v>
      </c>
      <c r="T2705">
        <v>0.05</v>
      </c>
      <c r="U2705">
        <v>854.05</v>
      </c>
      <c r="V2705">
        <v>420</v>
      </c>
      <c r="W2705">
        <v>434.05</v>
      </c>
      <c r="X2705" t="s">
        <v>76</v>
      </c>
      <c r="Y2705" t="s">
        <v>68</v>
      </c>
      <c r="Z2705" t="s">
        <v>158</v>
      </c>
      <c r="AA2705" t="s">
        <v>167</v>
      </c>
      <c r="AB2705">
        <v>5</v>
      </c>
      <c r="AC2705">
        <v>50</v>
      </c>
      <c r="AD2705">
        <v>99.64</v>
      </c>
      <c r="AE2705">
        <f t="shared" si="84"/>
        <v>284.41000000000003</v>
      </c>
      <c r="AF2705" t="str">
        <f t="shared" si="85"/>
        <v>2025-12</v>
      </c>
      <c r="AG2705">
        <f>SUBTOTAL(103,A2705)</f>
        <v>1</v>
      </c>
    </row>
    <row r="2706" spans="1:33" x14ac:dyDescent="0.3">
      <c r="A2706" t="s">
        <v>5329</v>
      </c>
      <c r="B2706" s="13">
        <v>46001</v>
      </c>
      <c r="C2706">
        <v>2025</v>
      </c>
      <c r="D2706">
        <v>12</v>
      </c>
      <c r="E2706" t="s">
        <v>5251</v>
      </c>
      <c r="F2706" t="s">
        <v>4780</v>
      </c>
      <c r="G2706" t="s">
        <v>977</v>
      </c>
      <c r="H2706" t="s">
        <v>978</v>
      </c>
      <c r="I2706" t="s">
        <v>85</v>
      </c>
      <c r="J2706">
        <v>23</v>
      </c>
      <c r="K2706" t="s">
        <v>80</v>
      </c>
      <c r="L2706" t="s">
        <v>2679</v>
      </c>
      <c r="M2706" t="s">
        <v>60</v>
      </c>
      <c r="N2706" t="s">
        <v>2653</v>
      </c>
      <c r="O2706" t="s">
        <v>132</v>
      </c>
      <c r="P2706" t="s">
        <v>52</v>
      </c>
      <c r="Q2706" t="s">
        <v>150</v>
      </c>
      <c r="R2706">
        <v>3</v>
      </c>
      <c r="S2706">
        <v>899</v>
      </c>
      <c r="T2706">
        <v>0.05</v>
      </c>
      <c r="U2706">
        <v>0</v>
      </c>
      <c r="V2706">
        <v>0</v>
      </c>
      <c r="W2706">
        <v>0</v>
      </c>
      <c r="X2706" t="s">
        <v>75</v>
      </c>
      <c r="Y2706" t="s">
        <v>71</v>
      </c>
      <c r="Z2706" t="s">
        <v>158</v>
      </c>
      <c r="AA2706" t="s">
        <v>171</v>
      </c>
      <c r="AB2706">
        <v>3.6</v>
      </c>
      <c r="AC2706">
        <v>50</v>
      </c>
      <c r="AD2706">
        <v>110.91</v>
      </c>
      <c r="AE2706">
        <f t="shared" si="84"/>
        <v>-160.91</v>
      </c>
      <c r="AF2706" t="str">
        <f t="shared" si="85"/>
        <v>2025-12</v>
      </c>
      <c r="AG2706">
        <f>SUBTOTAL(103,A2706)</f>
        <v>1</v>
      </c>
    </row>
    <row r="2707" spans="1:33" x14ac:dyDescent="0.3">
      <c r="A2707" t="s">
        <v>5330</v>
      </c>
      <c r="B2707" s="13">
        <v>46002</v>
      </c>
      <c r="C2707">
        <v>2025</v>
      </c>
      <c r="D2707">
        <v>12</v>
      </c>
      <c r="E2707" t="s">
        <v>5251</v>
      </c>
      <c r="F2707" t="s">
        <v>4780</v>
      </c>
      <c r="G2707" t="s">
        <v>2023</v>
      </c>
      <c r="H2707" t="s">
        <v>2024</v>
      </c>
      <c r="I2707" t="s">
        <v>85</v>
      </c>
      <c r="J2707">
        <v>25</v>
      </c>
      <c r="K2707" t="s">
        <v>80</v>
      </c>
      <c r="L2707" t="s">
        <v>2573</v>
      </c>
      <c r="M2707" t="s">
        <v>63</v>
      </c>
      <c r="N2707" t="s">
        <v>2596</v>
      </c>
      <c r="O2707" t="s">
        <v>124</v>
      </c>
      <c r="P2707" t="s">
        <v>51</v>
      </c>
      <c r="Q2707" t="s">
        <v>147</v>
      </c>
      <c r="R2707">
        <v>2</v>
      </c>
      <c r="S2707">
        <v>2299</v>
      </c>
      <c r="T2707">
        <v>0</v>
      </c>
      <c r="U2707">
        <v>4598</v>
      </c>
      <c r="V2707">
        <v>2400</v>
      </c>
      <c r="W2707">
        <v>2198</v>
      </c>
      <c r="X2707" t="s">
        <v>73</v>
      </c>
      <c r="Y2707" t="s">
        <v>68</v>
      </c>
      <c r="Z2707" t="s">
        <v>159</v>
      </c>
      <c r="AA2707" t="s">
        <v>169</v>
      </c>
      <c r="AB2707">
        <v>4</v>
      </c>
      <c r="AC2707">
        <v>60</v>
      </c>
      <c r="AD2707">
        <v>106.99</v>
      </c>
      <c r="AE2707">
        <f t="shared" si="84"/>
        <v>2031.01</v>
      </c>
      <c r="AF2707" t="str">
        <f t="shared" si="85"/>
        <v>2025-12</v>
      </c>
      <c r="AG2707">
        <f>SUBTOTAL(103,A2707)</f>
        <v>1</v>
      </c>
    </row>
    <row r="2708" spans="1:33" x14ac:dyDescent="0.3">
      <c r="A2708" t="s">
        <v>5331</v>
      </c>
      <c r="B2708" s="13">
        <v>46002</v>
      </c>
      <c r="C2708">
        <v>2025</v>
      </c>
      <c r="D2708">
        <v>12</v>
      </c>
      <c r="E2708" t="s">
        <v>5251</v>
      </c>
      <c r="F2708" t="s">
        <v>4780</v>
      </c>
      <c r="G2708" t="s">
        <v>1141</v>
      </c>
      <c r="H2708" t="s">
        <v>1142</v>
      </c>
      <c r="I2708" t="s">
        <v>85</v>
      </c>
      <c r="J2708">
        <v>53</v>
      </c>
      <c r="K2708" t="s">
        <v>83</v>
      </c>
      <c r="L2708" t="s">
        <v>90</v>
      </c>
      <c r="M2708" t="s">
        <v>55</v>
      </c>
      <c r="N2708" t="s">
        <v>2590</v>
      </c>
      <c r="O2708" t="s">
        <v>127</v>
      </c>
      <c r="P2708" t="s">
        <v>51</v>
      </c>
      <c r="Q2708" t="s">
        <v>148</v>
      </c>
      <c r="R2708">
        <v>2</v>
      </c>
      <c r="S2708">
        <v>1599</v>
      </c>
      <c r="T2708">
        <v>0.05</v>
      </c>
      <c r="U2708">
        <v>3038.1</v>
      </c>
      <c r="V2708">
        <v>1600</v>
      </c>
      <c r="W2708">
        <v>1438.1</v>
      </c>
      <c r="X2708" t="s">
        <v>74</v>
      </c>
      <c r="Y2708" t="s">
        <v>68</v>
      </c>
      <c r="Z2708" t="s">
        <v>159</v>
      </c>
      <c r="AA2708" t="s">
        <v>171</v>
      </c>
      <c r="AB2708">
        <v>4</v>
      </c>
      <c r="AC2708">
        <v>80</v>
      </c>
      <c r="AD2708">
        <v>156.02000000000001</v>
      </c>
      <c r="AE2708">
        <f t="shared" si="84"/>
        <v>1202.08</v>
      </c>
      <c r="AF2708" t="str">
        <f t="shared" si="85"/>
        <v>2025-12</v>
      </c>
      <c r="AG2708">
        <f>SUBTOTAL(103,A2708)</f>
        <v>1</v>
      </c>
    </row>
    <row r="2709" spans="1:33" x14ac:dyDescent="0.3">
      <c r="A2709" t="s">
        <v>5332</v>
      </c>
      <c r="B2709" s="13">
        <v>46002</v>
      </c>
      <c r="C2709">
        <v>2025</v>
      </c>
      <c r="D2709">
        <v>12</v>
      </c>
      <c r="E2709" t="s">
        <v>5251</v>
      </c>
      <c r="F2709" t="s">
        <v>4780</v>
      </c>
      <c r="G2709" t="s">
        <v>1371</v>
      </c>
      <c r="H2709" t="s">
        <v>1372</v>
      </c>
      <c r="I2709" t="s">
        <v>87</v>
      </c>
      <c r="J2709">
        <v>31</v>
      </c>
      <c r="K2709" t="s">
        <v>81</v>
      </c>
      <c r="L2709" t="s">
        <v>2612</v>
      </c>
      <c r="M2709" t="s">
        <v>64</v>
      </c>
      <c r="N2709" t="s">
        <v>2584</v>
      </c>
      <c r="O2709" t="s">
        <v>121</v>
      </c>
      <c r="P2709" t="s">
        <v>50</v>
      </c>
      <c r="Q2709" t="s">
        <v>144</v>
      </c>
      <c r="R2709">
        <v>4</v>
      </c>
      <c r="S2709">
        <v>2999</v>
      </c>
      <c r="T2709">
        <v>0.15</v>
      </c>
      <c r="U2709">
        <v>10196.6</v>
      </c>
      <c r="V2709">
        <v>6800</v>
      </c>
      <c r="W2709">
        <v>3396.6</v>
      </c>
      <c r="X2709" t="s">
        <v>74</v>
      </c>
      <c r="Y2709" t="s">
        <v>68</v>
      </c>
      <c r="Z2709" t="s">
        <v>158</v>
      </c>
      <c r="AA2709" t="s">
        <v>166</v>
      </c>
      <c r="AB2709">
        <v>5</v>
      </c>
      <c r="AC2709">
        <v>50</v>
      </c>
      <c r="AD2709">
        <v>1188.33</v>
      </c>
      <c r="AE2709">
        <f t="shared" si="84"/>
        <v>2158.27</v>
      </c>
      <c r="AF2709" t="str">
        <f t="shared" si="85"/>
        <v>2025-12</v>
      </c>
      <c r="AG2709">
        <f>SUBTOTAL(103,A2709)</f>
        <v>1</v>
      </c>
    </row>
    <row r="2710" spans="1:33" x14ac:dyDescent="0.3">
      <c r="A2710" t="s">
        <v>5333</v>
      </c>
      <c r="B2710" s="13">
        <v>46002</v>
      </c>
      <c r="C2710">
        <v>2025</v>
      </c>
      <c r="D2710">
        <v>12</v>
      </c>
      <c r="E2710" t="s">
        <v>5251</v>
      </c>
      <c r="F2710" t="s">
        <v>4780</v>
      </c>
      <c r="G2710" t="s">
        <v>253</v>
      </c>
      <c r="H2710" t="s">
        <v>254</v>
      </c>
      <c r="I2710" t="s">
        <v>86</v>
      </c>
      <c r="J2710">
        <v>42</v>
      </c>
      <c r="K2710" t="s">
        <v>82</v>
      </c>
      <c r="L2710" t="s">
        <v>2661</v>
      </c>
      <c r="M2710" t="s">
        <v>58</v>
      </c>
      <c r="N2710" t="s">
        <v>2592</v>
      </c>
      <c r="O2710" t="s">
        <v>115</v>
      </c>
      <c r="P2710" t="s">
        <v>48</v>
      </c>
      <c r="Q2710" t="s">
        <v>137</v>
      </c>
      <c r="R2710">
        <v>5</v>
      </c>
      <c r="S2710">
        <v>12999</v>
      </c>
      <c r="T2710">
        <v>0.15</v>
      </c>
      <c r="U2710">
        <v>55245.75</v>
      </c>
      <c r="V2710">
        <v>45000</v>
      </c>
      <c r="W2710">
        <v>10245.75</v>
      </c>
      <c r="X2710" t="s">
        <v>74</v>
      </c>
      <c r="Y2710" t="s">
        <v>68</v>
      </c>
      <c r="Z2710" t="s">
        <v>159</v>
      </c>
      <c r="AA2710" t="s">
        <v>168</v>
      </c>
      <c r="AB2710">
        <v>4.5</v>
      </c>
      <c r="AC2710">
        <v>50</v>
      </c>
      <c r="AD2710">
        <v>6125.34</v>
      </c>
      <c r="AE2710">
        <f t="shared" si="84"/>
        <v>4070.41</v>
      </c>
      <c r="AF2710" t="str">
        <f t="shared" si="85"/>
        <v>2025-12</v>
      </c>
      <c r="AG2710">
        <f>SUBTOTAL(103,A2710)</f>
        <v>1</v>
      </c>
    </row>
    <row r="2711" spans="1:33" x14ac:dyDescent="0.3">
      <c r="A2711" t="s">
        <v>5334</v>
      </c>
      <c r="B2711" s="13">
        <v>46002</v>
      </c>
      <c r="C2711">
        <v>2025</v>
      </c>
      <c r="D2711">
        <v>12</v>
      </c>
      <c r="E2711" t="s">
        <v>5251</v>
      </c>
      <c r="F2711" t="s">
        <v>4780</v>
      </c>
      <c r="G2711" t="s">
        <v>939</v>
      </c>
      <c r="H2711" t="s">
        <v>940</v>
      </c>
      <c r="I2711" t="s">
        <v>85</v>
      </c>
      <c r="J2711">
        <v>35</v>
      </c>
      <c r="K2711" t="s">
        <v>81</v>
      </c>
      <c r="L2711" t="s">
        <v>97</v>
      </c>
      <c r="M2711" t="s">
        <v>57</v>
      </c>
      <c r="N2711" t="s">
        <v>2574</v>
      </c>
      <c r="O2711" t="s">
        <v>130</v>
      </c>
      <c r="P2711" t="s">
        <v>50</v>
      </c>
      <c r="Q2711" t="s">
        <v>53</v>
      </c>
      <c r="R2711">
        <v>2</v>
      </c>
      <c r="S2711">
        <v>1199</v>
      </c>
      <c r="T2711">
        <v>0.15</v>
      </c>
      <c r="U2711">
        <v>2038.3</v>
      </c>
      <c r="V2711">
        <v>1100</v>
      </c>
      <c r="W2711">
        <v>938.3</v>
      </c>
      <c r="X2711" t="s">
        <v>76</v>
      </c>
      <c r="Y2711" t="s">
        <v>68</v>
      </c>
      <c r="Z2711" t="s">
        <v>158</v>
      </c>
      <c r="AA2711" t="s">
        <v>166</v>
      </c>
      <c r="AB2711">
        <v>3.5</v>
      </c>
      <c r="AC2711">
        <v>60</v>
      </c>
      <c r="AD2711">
        <v>208.36</v>
      </c>
      <c r="AE2711">
        <f t="shared" si="84"/>
        <v>669.93999999999994</v>
      </c>
      <c r="AF2711" t="str">
        <f t="shared" si="85"/>
        <v>2025-12</v>
      </c>
      <c r="AG2711">
        <f>SUBTOTAL(103,A2711)</f>
        <v>1</v>
      </c>
    </row>
    <row r="2712" spans="1:33" x14ac:dyDescent="0.3">
      <c r="A2712" t="s">
        <v>5335</v>
      </c>
      <c r="B2712" s="13">
        <v>46002</v>
      </c>
      <c r="C2712">
        <v>2025</v>
      </c>
      <c r="D2712">
        <v>12</v>
      </c>
      <c r="E2712" t="s">
        <v>5251</v>
      </c>
      <c r="F2712" t="s">
        <v>4780</v>
      </c>
      <c r="G2712" t="s">
        <v>1545</v>
      </c>
      <c r="H2712" t="s">
        <v>1546</v>
      </c>
      <c r="I2712" t="s">
        <v>85</v>
      </c>
      <c r="J2712">
        <v>39</v>
      </c>
      <c r="K2712" t="s">
        <v>82</v>
      </c>
      <c r="L2712" t="s">
        <v>2612</v>
      </c>
      <c r="M2712" t="s">
        <v>64</v>
      </c>
      <c r="N2712" t="s">
        <v>2626</v>
      </c>
      <c r="O2712" t="s">
        <v>125</v>
      </c>
      <c r="P2712" t="s">
        <v>48</v>
      </c>
      <c r="Q2712" t="s">
        <v>141</v>
      </c>
      <c r="R2712">
        <v>1</v>
      </c>
      <c r="S2712">
        <v>1999</v>
      </c>
      <c r="T2712">
        <v>0.15</v>
      </c>
      <c r="U2712">
        <v>1699.15</v>
      </c>
      <c r="V2712">
        <v>1150</v>
      </c>
      <c r="W2712">
        <v>549.15</v>
      </c>
      <c r="X2712" t="s">
        <v>75</v>
      </c>
      <c r="Y2712" t="s">
        <v>69</v>
      </c>
      <c r="Z2712" t="s">
        <v>160</v>
      </c>
      <c r="AA2712" t="s">
        <v>169</v>
      </c>
      <c r="AB2712">
        <v>3.7</v>
      </c>
      <c r="AC2712">
        <v>80</v>
      </c>
      <c r="AD2712">
        <v>137.56</v>
      </c>
      <c r="AE2712">
        <f t="shared" si="84"/>
        <v>331.59</v>
      </c>
      <c r="AF2712" t="str">
        <f t="shared" si="85"/>
        <v>2025-12</v>
      </c>
      <c r="AG2712">
        <f>SUBTOTAL(103,A2712)</f>
        <v>1</v>
      </c>
    </row>
    <row r="2713" spans="1:33" x14ac:dyDescent="0.3">
      <c r="A2713" t="s">
        <v>5336</v>
      </c>
      <c r="B2713" s="13">
        <v>46002</v>
      </c>
      <c r="C2713">
        <v>2025</v>
      </c>
      <c r="D2713">
        <v>12</v>
      </c>
      <c r="E2713" t="s">
        <v>5251</v>
      </c>
      <c r="F2713" t="s">
        <v>4780</v>
      </c>
      <c r="G2713" t="s">
        <v>1223</v>
      </c>
      <c r="H2713" t="s">
        <v>1224</v>
      </c>
      <c r="I2713" t="s">
        <v>86</v>
      </c>
      <c r="J2713">
        <v>43</v>
      </c>
      <c r="K2713" t="s">
        <v>82</v>
      </c>
      <c r="L2713" t="s">
        <v>94</v>
      </c>
      <c r="M2713" t="s">
        <v>57</v>
      </c>
      <c r="N2713" t="s">
        <v>2584</v>
      </c>
      <c r="O2713" t="s">
        <v>121</v>
      </c>
      <c r="P2713" t="s">
        <v>50</v>
      </c>
      <c r="Q2713" t="s">
        <v>144</v>
      </c>
      <c r="R2713">
        <v>1</v>
      </c>
      <c r="S2713">
        <v>2999</v>
      </c>
      <c r="T2713">
        <v>0.15</v>
      </c>
      <c r="U2713">
        <v>2549.15</v>
      </c>
      <c r="V2713">
        <v>1700</v>
      </c>
      <c r="W2713">
        <v>849.15</v>
      </c>
      <c r="X2713" t="s">
        <v>74</v>
      </c>
      <c r="Y2713" t="s">
        <v>68</v>
      </c>
      <c r="Z2713" t="s">
        <v>160</v>
      </c>
      <c r="AA2713" t="s">
        <v>171</v>
      </c>
      <c r="AB2713">
        <v>3.4</v>
      </c>
      <c r="AC2713">
        <v>40</v>
      </c>
      <c r="AD2713">
        <v>242.5</v>
      </c>
      <c r="AE2713">
        <f t="shared" si="84"/>
        <v>566.65</v>
      </c>
      <c r="AF2713" t="str">
        <f t="shared" si="85"/>
        <v>2025-12</v>
      </c>
      <c r="AG2713">
        <f>SUBTOTAL(103,A2713)</f>
        <v>1</v>
      </c>
    </row>
    <row r="2714" spans="1:33" x14ac:dyDescent="0.3">
      <c r="A2714" t="s">
        <v>5337</v>
      </c>
      <c r="B2714" s="13">
        <v>46002</v>
      </c>
      <c r="C2714">
        <v>2025</v>
      </c>
      <c r="D2714">
        <v>12</v>
      </c>
      <c r="E2714" t="s">
        <v>5251</v>
      </c>
      <c r="F2714" t="s">
        <v>4780</v>
      </c>
      <c r="G2714" t="s">
        <v>815</v>
      </c>
      <c r="H2714" t="s">
        <v>816</v>
      </c>
      <c r="I2714" t="s">
        <v>85</v>
      </c>
      <c r="J2714">
        <v>47</v>
      </c>
      <c r="K2714" t="s">
        <v>83</v>
      </c>
      <c r="L2714" t="s">
        <v>95</v>
      </c>
      <c r="M2714" t="s">
        <v>56</v>
      </c>
      <c r="N2714" t="s">
        <v>2653</v>
      </c>
      <c r="O2714" t="s">
        <v>132</v>
      </c>
      <c r="P2714" t="s">
        <v>52</v>
      </c>
      <c r="Q2714" t="s">
        <v>150</v>
      </c>
      <c r="R2714">
        <v>5</v>
      </c>
      <c r="S2714">
        <v>899</v>
      </c>
      <c r="T2714">
        <v>0.05</v>
      </c>
      <c r="U2714">
        <v>4270.25</v>
      </c>
      <c r="V2714">
        <v>2100</v>
      </c>
      <c r="W2714">
        <v>2170.25</v>
      </c>
      <c r="X2714" t="s">
        <v>75</v>
      </c>
      <c r="Y2714" t="s">
        <v>68</v>
      </c>
      <c r="Z2714" t="s">
        <v>158</v>
      </c>
      <c r="AA2714" t="s">
        <v>171</v>
      </c>
      <c r="AB2714">
        <v>4.7</v>
      </c>
      <c r="AC2714">
        <v>40</v>
      </c>
      <c r="AD2714">
        <v>134.07</v>
      </c>
      <c r="AE2714">
        <f t="shared" si="84"/>
        <v>1996.18</v>
      </c>
      <c r="AF2714" t="str">
        <f t="shared" si="85"/>
        <v>2025-12</v>
      </c>
      <c r="AG2714">
        <f>SUBTOTAL(103,A2714)</f>
        <v>1</v>
      </c>
    </row>
    <row r="2715" spans="1:33" x14ac:dyDescent="0.3">
      <c r="A2715" t="s">
        <v>5338</v>
      </c>
      <c r="B2715" s="13">
        <v>46002</v>
      </c>
      <c r="C2715">
        <v>2025</v>
      </c>
      <c r="D2715">
        <v>12</v>
      </c>
      <c r="E2715" t="s">
        <v>5251</v>
      </c>
      <c r="F2715" t="s">
        <v>4780</v>
      </c>
      <c r="G2715" t="s">
        <v>823</v>
      </c>
      <c r="H2715" t="s">
        <v>824</v>
      </c>
      <c r="I2715" t="s">
        <v>86</v>
      </c>
      <c r="J2715">
        <v>33</v>
      </c>
      <c r="K2715" t="s">
        <v>81</v>
      </c>
      <c r="L2715" t="s">
        <v>2605</v>
      </c>
      <c r="M2715" t="s">
        <v>60</v>
      </c>
      <c r="N2715" t="s">
        <v>2603</v>
      </c>
      <c r="O2715" t="s">
        <v>122</v>
      </c>
      <c r="P2715" t="s">
        <v>48</v>
      </c>
      <c r="Q2715" t="s">
        <v>141</v>
      </c>
      <c r="R2715">
        <v>1</v>
      </c>
      <c r="S2715">
        <v>2499</v>
      </c>
      <c r="T2715">
        <v>0.1</v>
      </c>
      <c r="U2715">
        <v>2249.1</v>
      </c>
      <c r="V2715">
        <v>1450</v>
      </c>
      <c r="W2715">
        <v>799.1</v>
      </c>
      <c r="X2715" t="s">
        <v>76</v>
      </c>
      <c r="Y2715" t="s">
        <v>68</v>
      </c>
      <c r="Z2715" t="s">
        <v>159</v>
      </c>
      <c r="AA2715" t="s">
        <v>167</v>
      </c>
      <c r="AB2715">
        <v>5</v>
      </c>
      <c r="AC2715">
        <v>60</v>
      </c>
      <c r="AD2715">
        <v>261.98</v>
      </c>
      <c r="AE2715">
        <f t="shared" si="84"/>
        <v>477.12</v>
      </c>
      <c r="AF2715" t="str">
        <f t="shared" si="85"/>
        <v>2025-12</v>
      </c>
      <c r="AG2715">
        <f>SUBTOTAL(103,A2715)</f>
        <v>1</v>
      </c>
    </row>
    <row r="2716" spans="1:33" x14ac:dyDescent="0.3">
      <c r="A2716" t="s">
        <v>5339</v>
      </c>
      <c r="B2716" s="13">
        <v>46003</v>
      </c>
      <c r="C2716">
        <v>2025</v>
      </c>
      <c r="D2716">
        <v>12</v>
      </c>
      <c r="E2716" t="s">
        <v>5251</v>
      </c>
      <c r="F2716" t="s">
        <v>4780</v>
      </c>
      <c r="G2716" t="s">
        <v>1147</v>
      </c>
      <c r="H2716" t="s">
        <v>1148</v>
      </c>
      <c r="I2716" t="s">
        <v>85</v>
      </c>
      <c r="J2716">
        <v>55</v>
      </c>
      <c r="K2716" t="s">
        <v>83</v>
      </c>
      <c r="L2716" t="s">
        <v>97</v>
      </c>
      <c r="M2716" t="s">
        <v>57</v>
      </c>
      <c r="N2716" t="s">
        <v>2603</v>
      </c>
      <c r="O2716" t="s">
        <v>122</v>
      </c>
      <c r="P2716" t="s">
        <v>48</v>
      </c>
      <c r="Q2716" t="s">
        <v>141</v>
      </c>
      <c r="R2716">
        <v>2</v>
      </c>
      <c r="S2716">
        <v>2499</v>
      </c>
      <c r="T2716">
        <v>0.1</v>
      </c>
      <c r="U2716">
        <v>4498.2</v>
      </c>
      <c r="V2716">
        <v>2900</v>
      </c>
      <c r="W2716">
        <v>1598.2</v>
      </c>
      <c r="X2716" t="s">
        <v>73</v>
      </c>
      <c r="Y2716" t="s">
        <v>68</v>
      </c>
      <c r="Z2716" t="s">
        <v>159</v>
      </c>
      <c r="AA2716" t="s">
        <v>171</v>
      </c>
      <c r="AB2716">
        <v>4.4000000000000004</v>
      </c>
      <c r="AC2716">
        <v>80</v>
      </c>
      <c r="AD2716">
        <v>447.84</v>
      </c>
      <c r="AE2716">
        <f t="shared" si="84"/>
        <v>1070.3600000000001</v>
      </c>
      <c r="AF2716" t="str">
        <f t="shared" si="85"/>
        <v>2025-12</v>
      </c>
      <c r="AG2716">
        <f>SUBTOTAL(103,A2716)</f>
        <v>1</v>
      </c>
    </row>
    <row r="2717" spans="1:33" x14ac:dyDescent="0.3">
      <c r="A2717" t="s">
        <v>5340</v>
      </c>
      <c r="B2717" s="13">
        <v>46003</v>
      </c>
      <c r="C2717">
        <v>2025</v>
      </c>
      <c r="D2717">
        <v>12</v>
      </c>
      <c r="E2717" t="s">
        <v>5251</v>
      </c>
      <c r="F2717" t="s">
        <v>4780</v>
      </c>
      <c r="G2717" t="s">
        <v>283</v>
      </c>
      <c r="H2717" t="s">
        <v>284</v>
      </c>
      <c r="I2717" t="s">
        <v>85</v>
      </c>
      <c r="J2717">
        <v>20</v>
      </c>
      <c r="K2717" t="s">
        <v>80</v>
      </c>
      <c r="L2717" t="s">
        <v>2687</v>
      </c>
      <c r="M2717" t="s">
        <v>57</v>
      </c>
      <c r="N2717" t="s">
        <v>2653</v>
      </c>
      <c r="O2717" t="s">
        <v>132</v>
      </c>
      <c r="P2717" t="s">
        <v>52</v>
      </c>
      <c r="Q2717" t="s">
        <v>150</v>
      </c>
      <c r="R2717">
        <v>5</v>
      </c>
      <c r="S2717">
        <v>899</v>
      </c>
      <c r="T2717">
        <v>0.1</v>
      </c>
      <c r="U2717">
        <v>4045.5</v>
      </c>
      <c r="V2717">
        <v>2100</v>
      </c>
      <c r="W2717">
        <v>1945.5</v>
      </c>
      <c r="X2717" t="s">
        <v>73</v>
      </c>
      <c r="Y2717" t="s">
        <v>68</v>
      </c>
      <c r="Z2717" t="s">
        <v>162</v>
      </c>
      <c r="AA2717" t="s">
        <v>166</v>
      </c>
      <c r="AB2717">
        <v>4.8</v>
      </c>
      <c r="AC2717">
        <v>80</v>
      </c>
      <c r="AD2717">
        <v>143.44999999999999</v>
      </c>
      <c r="AE2717">
        <f t="shared" si="84"/>
        <v>1722.05</v>
      </c>
      <c r="AF2717" t="str">
        <f t="shared" si="85"/>
        <v>2025-12</v>
      </c>
      <c r="AG2717">
        <f>SUBTOTAL(103,A2717)</f>
        <v>1</v>
      </c>
    </row>
    <row r="2718" spans="1:33" x14ac:dyDescent="0.3">
      <c r="A2718" t="s">
        <v>5341</v>
      </c>
      <c r="B2718" s="13">
        <v>46003</v>
      </c>
      <c r="C2718">
        <v>2025</v>
      </c>
      <c r="D2718">
        <v>12</v>
      </c>
      <c r="E2718" t="s">
        <v>5251</v>
      </c>
      <c r="F2718" t="s">
        <v>4780</v>
      </c>
      <c r="G2718" t="s">
        <v>537</v>
      </c>
      <c r="H2718" t="s">
        <v>538</v>
      </c>
      <c r="I2718" t="s">
        <v>86</v>
      </c>
      <c r="J2718">
        <v>34</v>
      </c>
      <c r="K2718" t="s">
        <v>81</v>
      </c>
      <c r="L2718" t="s">
        <v>96</v>
      </c>
      <c r="M2718" t="s">
        <v>55</v>
      </c>
      <c r="N2718" t="s">
        <v>2657</v>
      </c>
      <c r="O2718" t="s">
        <v>134</v>
      </c>
      <c r="P2718" t="s">
        <v>49</v>
      </c>
      <c r="Q2718" t="s">
        <v>140</v>
      </c>
      <c r="R2718">
        <v>2</v>
      </c>
      <c r="S2718">
        <v>599</v>
      </c>
      <c r="T2718">
        <v>0.05</v>
      </c>
      <c r="U2718">
        <v>1138.0999999999999</v>
      </c>
      <c r="V2718">
        <v>500</v>
      </c>
      <c r="W2718">
        <v>638.1</v>
      </c>
      <c r="X2718" t="s">
        <v>73</v>
      </c>
      <c r="Y2718" t="s">
        <v>68</v>
      </c>
      <c r="Z2718" t="s">
        <v>159</v>
      </c>
      <c r="AA2718" t="s">
        <v>168</v>
      </c>
      <c r="AB2718">
        <v>4.7</v>
      </c>
      <c r="AC2718">
        <v>50</v>
      </c>
      <c r="AD2718">
        <v>62.91</v>
      </c>
      <c r="AE2718">
        <f t="shared" si="84"/>
        <v>525.19000000000005</v>
      </c>
      <c r="AF2718" t="str">
        <f t="shared" si="85"/>
        <v>2025-12</v>
      </c>
      <c r="AG2718">
        <f>SUBTOTAL(103,A2718)</f>
        <v>1</v>
      </c>
    </row>
    <row r="2719" spans="1:33" x14ac:dyDescent="0.3">
      <c r="A2719" t="s">
        <v>5342</v>
      </c>
      <c r="B2719" s="13">
        <v>46004</v>
      </c>
      <c r="C2719">
        <v>2025</v>
      </c>
      <c r="D2719">
        <v>12</v>
      </c>
      <c r="E2719" t="s">
        <v>5251</v>
      </c>
      <c r="F2719" t="s">
        <v>4780</v>
      </c>
      <c r="G2719" t="s">
        <v>393</v>
      </c>
      <c r="H2719" t="s">
        <v>394</v>
      </c>
      <c r="I2719" t="s">
        <v>85</v>
      </c>
      <c r="J2719">
        <v>33</v>
      </c>
      <c r="K2719" t="s">
        <v>81</v>
      </c>
      <c r="L2719" t="s">
        <v>99</v>
      </c>
      <c r="M2719" t="s">
        <v>58</v>
      </c>
      <c r="N2719" t="s">
        <v>2574</v>
      </c>
      <c r="O2719" t="s">
        <v>130</v>
      </c>
      <c r="P2719" t="s">
        <v>50</v>
      </c>
      <c r="Q2719" t="s">
        <v>53</v>
      </c>
      <c r="R2719">
        <v>3</v>
      </c>
      <c r="S2719">
        <v>1199</v>
      </c>
      <c r="T2719">
        <v>0.1</v>
      </c>
      <c r="U2719">
        <v>3237.3</v>
      </c>
      <c r="V2719">
        <v>1650</v>
      </c>
      <c r="W2719">
        <v>1587.3</v>
      </c>
      <c r="X2719" t="s">
        <v>73</v>
      </c>
      <c r="Y2719" t="s">
        <v>68</v>
      </c>
      <c r="Z2719" t="s">
        <v>160</v>
      </c>
      <c r="AA2719" t="s">
        <v>170</v>
      </c>
      <c r="AB2719">
        <v>3.9</v>
      </c>
      <c r="AC2719">
        <v>60</v>
      </c>
      <c r="AD2719">
        <v>89.51</v>
      </c>
      <c r="AE2719">
        <f t="shared" si="84"/>
        <v>1437.79</v>
      </c>
      <c r="AF2719" t="str">
        <f t="shared" si="85"/>
        <v>2025-12</v>
      </c>
      <c r="AG2719">
        <f>SUBTOTAL(103,A2719)</f>
        <v>1</v>
      </c>
    </row>
    <row r="2720" spans="1:33" x14ac:dyDescent="0.3">
      <c r="A2720" t="s">
        <v>5343</v>
      </c>
      <c r="B2720" s="13">
        <v>46004</v>
      </c>
      <c r="C2720">
        <v>2025</v>
      </c>
      <c r="D2720">
        <v>12</v>
      </c>
      <c r="E2720" t="s">
        <v>5251</v>
      </c>
      <c r="F2720" t="s">
        <v>4780</v>
      </c>
      <c r="G2720" t="s">
        <v>1277</v>
      </c>
      <c r="H2720" t="s">
        <v>1278</v>
      </c>
      <c r="I2720" t="s">
        <v>85</v>
      </c>
      <c r="J2720">
        <v>34</v>
      </c>
      <c r="K2720" t="s">
        <v>81</v>
      </c>
      <c r="L2720" t="s">
        <v>90</v>
      </c>
      <c r="M2720" t="s">
        <v>55</v>
      </c>
      <c r="N2720" t="s">
        <v>2626</v>
      </c>
      <c r="O2720" t="s">
        <v>125</v>
      </c>
      <c r="P2720" t="s">
        <v>48</v>
      </c>
      <c r="Q2720" t="s">
        <v>141</v>
      </c>
      <c r="R2720">
        <v>4</v>
      </c>
      <c r="S2720">
        <v>1999</v>
      </c>
      <c r="T2720">
        <v>0.15</v>
      </c>
      <c r="U2720">
        <v>6796.6</v>
      </c>
      <c r="V2720">
        <v>4600</v>
      </c>
      <c r="W2720">
        <v>2196.6</v>
      </c>
      <c r="X2720" t="s">
        <v>75</v>
      </c>
      <c r="Y2720" t="s">
        <v>68</v>
      </c>
      <c r="Z2720" t="s">
        <v>161</v>
      </c>
      <c r="AA2720" t="s">
        <v>168</v>
      </c>
      <c r="AB2720">
        <v>4.7</v>
      </c>
      <c r="AC2720">
        <v>50</v>
      </c>
      <c r="AD2720">
        <v>363.26</v>
      </c>
      <c r="AE2720">
        <f t="shared" si="84"/>
        <v>1783.34</v>
      </c>
      <c r="AF2720" t="str">
        <f t="shared" si="85"/>
        <v>2025-12</v>
      </c>
      <c r="AG2720">
        <f>SUBTOTAL(103,A2720)</f>
        <v>1</v>
      </c>
    </row>
    <row r="2721" spans="1:33" x14ac:dyDescent="0.3">
      <c r="A2721" t="s">
        <v>5344</v>
      </c>
      <c r="B2721" s="13">
        <v>46004</v>
      </c>
      <c r="C2721">
        <v>2025</v>
      </c>
      <c r="D2721">
        <v>12</v>
      </c>
      <c r="E2721" t="s">
        <v>5251</v>
      </c>
      <c r="F2721" t="s">
        <v>4780</v>
      </c>
      <c r="G2721" t="s">
        <v>451</v>
      </c>
      <c r="H2721" t="s">
        <v>452</v>
      </c>
      <c r="I2721" t="s">
        <v>86</v>
      </c>
      <c r="J2721">
        <v>30</v>
      </c>
      <c r="K2721" t="s">
        <v>81</v>
      </c>
      <c r="L2721" t="s">
        <v>2661</v>
      </c>
      <c r="M2721" t="s">
        <v>58</v>
      </c>
      <c r="N2721" t="s">
        <v>2665</v>
      </c>
      <c r="O2721" t="s">
        <v>128</v>
      </c>
      <c r="P2721" t="s">
        <v>53</v>
      </c>
      <c r="Q2721" t="s">
        <v>143</v>
      </c>
      <c r="R2721">
        <v>2</v>
      </c>
      <c r="S2721">
        <v>1499</v>
      </c>
      <c r="T2721">
        <v>0.2</v>
      </c>
      <c r="U2721">
        <v>2398.4</v>
      </c>
      <c r="V2721">
        <v>1600</v>
      </c>
      <c r="W2721">
        <v>798.4</v>
      </c>
      <c r="X2721" t="s">
        <v>76</v>
      </c>
      <c r="Y2721" t="s">
        <v>69</v>
      </c>
      <c r="Z2721" t="s">
        <v>160</v>
      </c>
      <c r="AA2721" t="s">
        <v>169</v>
      </c>
      <c r="AB2721">
        <v>4.4000000000000004</v>
      </c>
      <c r="AC2721">
        <v>60</v>
      </c>
      <c r="AD2721">
        <v>181.88</v>
      </c>
      <c r="AE2721">
        <f t="shared" si="84"/>
        <v>556.52</v>
      </c>
      <c r="AF2721" t="str">
        <f t="shared" si="85"/>
        <v>2025-12</v>
      </c>
      <c r="AG2721">
        <f>SUBTOTAL(103,A2721)</f>
        <v>1</v>
      </c>
    </row>
    <row r="2722" spans="1:33" x14ac:dyDescent="0.3">
      <c r="A2722" t="s">
        <v>5345</v>
      </c>
      <c r="B2722" s="13">
        <v>46004</v>
      </c>
      <c r="C2722">
        <v>2025</v>
      </c>
      <c r="D2722">
        <v>12</v>
      </c>
      <c r="E2722" t="s">
        <v>5251</v>
      </c>
      <c r="F2722" t="s">
        <v>4780</v>
      </c>
      <c r="G2722" t="s">
        <v>835</v>
      </c>
      <c r="H2722" t="s">
        <v>836</v>
      </c>
      <c r="I2722" t="s">
        <v>85</v>
      </c>
      <c r="J2722">
        <v>28</v>
      </c>
      <c r="K2722" t="s">
        <v>81</v>
      </c>
      <c r="L2722" t="s">
        <v>99</v>
      </c>
      <c r="M2722" t="s">
        <v>58</v>
      </c>
      <c r="N2722" t="s">
        <v>2644</v>
      </c>
      <c r="O2722" t="s">
        <v>126</v>
      </c>
      <c r="P2722" t="s">
        <v>50</v>
      </c>
      <c r="Q2722" t="s">
        <v>145</v>
      </c>
      <c r="R2722">
        <v>1</v>
      </c>
      <c r="S2722">
        <v>1799</v>
      </c>
      <c r="T2722">
        <v>0.05</v>
      </c>
      <c r="U2722">
        <v>1709.05</v>
      </c>
      <c r="V2722">
        <v>950</v>
      </c>
      <c r="W2722">
        <v>759.05</v>
      </c>
      <c r="X2722" t="s">
        <v>73</v>
      </c>
      <c r="Y2722" t="s">
        <v>68</v>
      </c>
      <c r="Z2722" t="s">
        <v>161</v>
      </c>
      <c r="AA2722" t="s">
        <v>168</v>
      </c>
      <c r="AB2722">
        <v>4.0999999999999996</v>
      </c>
      <c r="AC2722">
        <v>40</v>
      </c>
      <c r="AD2722">
        <v>63.83</v>
      </c>
      <c r="AE2722">
        <f t="shared" si="84"/>
        <v>655.21999999999991</v>
      </c>
      <c r="AF2722" t="str">
        <f t="shared" si="85"/>
        <v>2025-12</v>
      </c>
      <c r="AG2722">
        <f>SUBTOTAL(103,A2722)</f>
        <v>1</v>
      </c>
    </row>
    <row r="2723" spans="1:33" x14ac:dyDescent="0.3">
      <c r="A2723" t="s">
        <v>5346</v>
      </c>
      <c r="B2723" s="13">
        <v>46005</v>
      </c>
      <c r="C2723">
        <v>2025</v>
      </c>
      <c r="D2723">
        <v>12</v>
      </c>
      <c r="E2723" t="s">
        <v>5251</v>
      </c>
      <c r="F2723" t="s">
        <v>4780</v>
      </c>
      <c r="G2723" t="s">
        <v>1695</v>
      </c>
      <c r="H2723" t="s">
        <v>1696</v>
      </c>
      <c r="I2723" t="s">
        <v>86</v>
      </c>
      <c r="J2723">
        <v>52</v>
      </c>
      <c r="K2723" t="s">
        <v>83</v>
      </c>
      <c r="L2723" t="s">
        <v>2599</v>
      </c>
      <c r="M2723" t="s">
        <v>62</v>
      </c>
      <c r="N2723" t="s">
        <v>2606</v>
      </c>
      <c r="O2723" t="s">
        <v>120</v>
      </c>
      <c r="P2723" t="s">
        <v>49</v>
      </c>
      <c r="Q2723" t="s">
        <v>140</v>
      </c>
      <c r="R2723">
        <v>2</v>
      </c>
      <c r="S2723">
        <v>2799</v>
      </c>
      <c r="T2723">
        <v>0</v>
      </c>
      <c r="U2723">
        <v>5598</v>
      </c>
      <c r="V2723">
        <v>3300</v>
      </c>
      <c r="W2723">
        <v>2298</v>
      </c>
      <c r="X2723" t="s">
        <v>73</v>
      </c>
      <c r="Y2723" t="s">
        <v>68</v>
      </c>
      <c r="Z2723" t="s">
        <v>159</v>
      </c>
      <c r="AA2723" t="s">
        <v>167</v>
      </c>
      <c r="AB2723">
        <v>4.2</v>
      </c>
      <c r="AC2723">
        <v>80</v>
      </c>
      <c r="AD2723">
        <v>458.7</v>
      </c>
      <c r="AE2723">
        <f t="shared" si="84"/>
        <v>1759.3</v>
      </c>
      <c r="AF2723" t="str">
        <f t="shared" si="85"/>
        <v>2025-12</v>
      </c>
      <c r="AG2723">
        <f>SUBTOTAL(103,A2723)</f>
        <v>1</v>
      </c>
    </row>
    <row r="2724" spans="1:33" x14ac:dyDescent="0.3">
      <c r="A2724" t="s">
        <v>5347</v>
      </c>
      <c r="B2724" s="13">
        <v>46005</v>
      </c>
      <c r="C2724">
        <v>2025</v>
      </c>
      <c r="D2724">
        <v>12</v>
      </c>
      <c r="E2724" t="s">
        <v>5251</v>
      </c>
      <c r="F2724" t="s">
        <v>4780</v>
      </c>
      <c r="G2724" t="s">
        <v>1449</v>
      </c>
      <c r="H2724" t="s">
        <v>1450</v>
      </c>
      <c r="I2724" t="s">
        <v>87</v>
      </c>
      <c r="J2724">
        <v>52</v>
      </c>
      <c r="K2724" t="s">
        <v>83</v>
      </c>
      <c r="L2724" t="s">
        <v>93</v>
      </c>
      <c r="M2724" t="s">
        <v>55</v>
      </c>
      <c r="N2724" t="s">
        <v>2574</v>
      </c>
      <c r="O2724" t="s">
        <v>130</v>
      </c>
      <c r="P2724" t="s">
        <v>50</v>
      </c>
      <c r="Q2724" t="s">
        <v>53</v>
      </c>
      <c r="R2724">
        <v>2</v>
      </c>
      <c r="S2724">
        <v>1199</v>
      </c>
      <c r="T2724">
        <v>0.25</v>
      </c>
      <c r="U2724">
        <v>1798.5</v>
      </c>
      <c r="V2724">
        <v>1100</v>
      </c>
      <c r="W2724">
        <v>698.5</v>
      </c>
      <c r="X2724" t="s">
        <v>73</v>
      </c>
      <c r="Y2724" t="s">
        <v>68</v>
      </c>
      <c r="Z2724" t="s">
        <v>160</v>
      </c>
      <c r="AA2724" t="s">
        <v>168</v>
      </c>
      <c r="AB2724">
        <v>5</v>
      </c>
      <c r="AC2724">
        <v>60</v>
      </c>
      <c r="AD2724">
        <v>59.77</v>
      </c>
      <c r="AE2724">
        <f t="shared" si="84"/>
        <v>578.73</v>
      </c>
      <c r="AF2724" t="str">
        <f t="shared" si="85"/>
        <v>2025-12</v>
      </c>
      <c r="AG2724">
        <f>SUBTOTAL(103,A2724)</f>
        <v>1</v>
      </c>
    </row>
    <row r="2725" spans="1:33" x14ac:dyDescent="0.3">
      <c r="A2725" t="s">
        <v>5348</v>
      </c>
      <c r="B2725" s="13">
        <v>46005</v>
      </c>
      <c r="C2725">
        <v>2025</v>
      </c>
      <c r="D2725">
        <v>12</v>
      </c>
      <c r="E2725" t="s">
        <v>5251</v>
      </c>
      <c r="F2725" t="s">
        <v>4780</v>
      </c>
      <c r="G2725" t="s">
        <v>2157</v>
      </c>
      <c r="H2725" t="s">
        <v>2158</v>
      </c>
      <c r="I2725" t="s">
        <v>86</v>
      </c>
      <c r="J2725">
        <v>25</v>
      </c>
      <c r="K2725" t="s">
        <v>80</v>
      </c>
      <c r="L2725" t="s">
        <v>99</v>
      </c>
      <c r="M2725" t="s">
        <v>58</v>
      </c>
      <c r="N2725" t="s">
        <v>2574</v>
      </c>
      <c r="O2725" t="s">
        <v>130</v>
      </c>
      <c r="P2725" t="s">
        <v>50</v>
      </c>
      <c r="Q2725" t="s">
        <v>53</v>
      </c>
      <c r="R2725">
        <v>2</v>
      </c>
      <c r="S2725">
        <v>1199</v>
      </c>
      <c r="T2725">
        <v>0.05</v>
      </c>
      <c r="U2725">
        <v>2278.1</v>
      </c>
      <c r="V2725">
        <v>1100</v>
      </c>
      <c r="W2725">
        <v>1178.0999999999999</v>
      </c>
      <c r="X2725" t="s">
        <v>73</v>
      </c>
      <c r="Y2725" t="s">
        <v>68</v>
      </c>
      <c r="Z2725" t="s">
        <v>159</v>
      </c>
      <c r="AA2725" t="s">
        <v>166</v>
      </c>
      <c r="AB2725">
        <v>4.7</v>
      </c>
      <c r="AC2725">
        <v>60</v>
      </c>
      <c r="AD2725">
        <v>117.16</v>
      </c>
      <c r="AE2725">
        <f t="shared" si="84"/>
        <v>1000.9399999999999</v>
      </c>
      <c r="AF2725" t="str">
        <f t="shared" si="85"/>
        <v>2025-12</v>
      </c>
      <c r="AG2725">
        <f>SUBTOTAL(103,A2725)</f>
        <v>1</v>
      </c>
    </row>
    <row r="2726" spans="1:33" x14ac:dyDescent="0.3">
      <c r="A2726" t="s">
        <v>5349</v>
      </c>
      <c r="B2726" s="13">
        <v>46005</v>
      </c>
      <c r="C2726">
        <v>2025</v>
      </c>
      <c r="D2726">
        <v>12</v>
      </c>
      <c r="E2726" t="s">
        <v>5251</v>
      </c>
      <c r="F2726" t="s">
        <v>4780</v>
      </c>
      <c r="G2726" t="s">
        <v>1071</v>
      </c>
      <c r="H2726" t="s">
        <v>1072</v>
      </c>
      <c r="I2726" t="s">
        <v>85</v>
      </c>
      <c r="J2726">
        <v>49</v>
      </c>
      <c r="K2726" t="s">
        <v>83</v>
      </c>
      <c r="L2726" t="s">
        <v>59</v>
      </c>
      <c r="M2726" t="s">
        <v>59</v>
      </c>
      <c r="N2726" t="s">
        <v>2584</v>
      </c>
      <c r="O2726" t="s">
        <v>121</v>
      </c>
      <c r="P2726" t="s">
        <v>50</v>
      </c>
      <c r="Q2726" t="s">
        <v>144</v>
      </c>
      <c r="R2726">
        <v>1</v>
      </c>
      <c r="S2726">
        <v>2999</v>
      </c>
      <c r="T2726">
        <v>0.05</v>
      </c>
      <c r="U2726">
        <v>2849.05</v>
      </c>
      <c r="V2726">
        <v>1700</v>
      </c>
      <c r="W2726">
        <v>1149.05</v>
      </c>
      <c r="X2726" t="s">
        <v>77</v>
      </c>
      <c r="Y2726" t="s">
        <v>68</v>
      </c>
      <c r="Z2726" t="s">
        <v>159</v>
      </c>
      <c r="AA2726" t="s">
        <v>166</v>
      </c>
      <c r="AB2726">
        <v>4.2</v>
      </c>
      <c r="AC2726">
        <v>60</v>
      </c>
      <c r="AD2726">
        <v>300.61</v>
      </c>
      <c r="AE2726">
        <f t="shared" si="84"/>
        <v>788.43999999999994</v>
      </c>
      <c r="AF2726" t="str">
        <f t="shared" si="85"/>
        <v>2025-12</v>
      </c>
      <c r="AG2726">
        <f>SUBTOTAL(103,A2726)</f>
        <v>1</v>
      </c>
    </row>
    <row r="2727" spans="1:33" x14ac:dyDescent="0.3">
      <c r="A2727" t="s">
        <v>5350</v>
      </c>
      <c r="B2727" s="13">
        <v>46005</v>
      </c>
      <c r="C2727">
        <v>2025</v>
      </c>
      <c r="D2727">
        <v>12</v>
      </c>
      <c r="E2727" t="s">
        <v>5251</v>
      </c>
      <c r="F2727" t="s">
        <v>4780</v>
      </c>
      <c r="G2727" t="s">
        <v>599</v>
      </c>
      <c r="H2727" t="s">
        <v>600</v>
      </c>
      <c r="I2727" t="s">
        <v>86</v>
      </c>
      <c r="J2727">
        <v>20</v>
      </c>
      <c r="K2727" t="s">
        <v>80</v>
      </c>
      <c r="L2727" t="s">
        <v>2674</v>
      </c>
      <c r="M2727" t="s">
        <v>58</v>
      </c>
      <c r="N2727" t="s">
        <v>2594</v>
      </c>
      <c r="O2727" t="s">
        <v>131</v>
      </c>
      <c r="P2727" t="s">
        <v>53</v>
      </c>
      <c r="Q2727" t="s">
        <v>143</v>
      </c>
      <c r="R2727">
        <v>4</v>
      </c>
      <c r="S2727">
        <v>999</v>
      </c>
      <c r="T2727">
        <v>0</v>
      </c>
      <c r="U2727">
        <v>3996</v>
      </c>
      <c r="V2727">
        <v>2080</v>
      </c>
      <c r="W2727">
        <v>1916</v>
      </c>
      <c r="X2727" t="s">
        <v>74</v>
      </c>
      <c r="Y2727" t="s">
        <v>68</v>
      </c>
      <c r="Z2727" t="s">
        <v>161</v>
      </c>
      <c r="AA2727" t="s">
        <v>167</v>
      </c>
      <c r="AB2727">
        <v>4.0999999999999996</v>
      </c>
      <c r="AC2727">
        <v>50</v>
      </c>
      <c r="AD2727">
        <v>122.18</v>
      </c>
      <c r="AE2727">
        <f t="shared" si="84"/>
        <v>1743.82</v>
      </c>
      <c r="AF2727" t="str">
        <f t="shared" si="85"/>
        <v>2025-12</v>
      </c>
      <c r="AG2727">
        <f>SUBTOTAL(103,A2727)</f>
        <v>1</v>
      </c>
    </row>
    <row r="2728" spans="1:33" x14ac:dyDescent="0.3">
      <c r="A2728" t="s">
        <v>5351</v>
      </c>
      <c r="B2728" s="13">
        <v>46005</v>
      </c>
      <c r="C2728">
        <v>2025</v>
      </c>
      <c r="D2728">
        <v>12</v>
      </c>
      <c r="E2728" t="s">
        <v>5251</v>
      </c>
      <c r="F2728" t="s">
        <v>4780</v>
      </c>
      <c r="G2728" t="s">
        <v>2001</v>
      </c>
      <c r="H2728" t="s">
        <v>2002</v>
      </c>
      <c r="I2728" t="s">
        <v>86</v>
      </c>
      <c r="J2728">
        <v>28</v>
      </c>
      <c r="K2728" t="s">
        <v>81</v>
      </c>
      <c r="L2728" t="s">
        <v>2610</v>
      </c>
      <c r="M2728" t="s">
        <v>64</v>
      </c>
      <c r="N2728" t="s">
        <v>2577</v>
      </c>
      <c r="O2728" t="s">
        <v>129</v>
      </c>
      <c r="P2728" t="s">
        <v>49</v>
      </c>
      <c r="Q2728" t="s">
        <v>149</v>
      </c>
      <c r="R2728">
        <v>1</v>
      </c>
      <c r="S2728">
        <v>1299</v>
      </c>
      <c r="T2728">
        <v>0.05</v>
      </c>
      <c r="U2728">
        <v>1234.05</v>
      </c>
      <c r="V2728">
        <v>650</v>
      </c>
      <c r="W2728">
        <v>584.04999999999995</v>
      </c>
      <c r="X2728" t="s">
        <v>73</v>
      </c>
      <c r="Y2728" t="s">
        <v>68</v>
      </c>
      <c r="Z2728" t="s">
        <v>161</v>
      </c>
      <c r="AA2728" t="s">
        <v>168</v>
      </c>
      <c r="AB2728">
        <v>4.2</v>
      </c>
      <c r="AC2728">
        <v>80</v>
      </c>
      <c r="AD2728">
        <v>74.25</v>
      </c>
      <c r="AE2728">
        <f t="shared" si="84"/>
        <v>429.79999999999995</v>
      </c>
      <c r="AF2728" t="str">
        <f t="shared" si="85"/>
        <v>2025-12</v>
      </c>
      <c r="AG2728">
        <f>SUBTOTAL(103,A2728)</f>
        <v>1</v>
      </c>
    </row>
    <row r="2729" spans="1:33" x14ac:dyDescent="0.3">
      <c r="A2729" t="s">
        <v>5352</v>
      </c>
      <c r="B2729" s="13">
        <v>46006</v>
      </c>
      <c r="C2729">
        <v>2025</v>
      </c>
      <c r="D2729">
        <v>12</v>
      </c>
      <c r="E2729" t="s">
        <v>5251</v>
      </c>
      <c r="F2729" t="s">
        <v>4780</v>
      </c>
      <c r="G2729" t="s">
        <v>591</v>
      </c>
      <c r="H2729" t="s">
        <v>592</v>
      </c>
      <c r="I2729" t="s">
        <v>86</v>
      </c>
      <c r="J2729">
        <v>43</v>
      </c>
      <c r="K2729" t="s">
        <v>82</v>
      </c>
      <c r="L2729" t="s">
        <v>2623</v>
      </c>
      <c r="M2729" t="s">
        <v>61</v>
      </c>
      <c r="N2729" t="s">
        <v>2653</v>
      </c>
      <c r="O2729" t="s">
        <v>132</v>
      </c>
      <c r="P2729" t="s">
        <v>52</v>
      </c>
      <c r="Q2729" t="s">
        <v>150</v>
      </c>
      <c r="R2729">
        <v>1</v>
      </c>
      <c r="S2729">
        <v>899</v>
      </c>
      <c r="T2729">
        <v>0.15</v>
      </c>
      <c r="U2729">
        <v>764.15</v>
      </c>
      <c r="V2729">
        <v>420</v>
      </c>
      <c r="W2729">
        <v>344.15</v>
      </c>
      <c r="X2729" t="s">
        <v>74</v>
      </c>
      <c r="Y2729" t="s">
        <v>68</v>
      </c>
      <c r="Z2729" t="s">
        <v>162</v>
      </c>
      <c r="AA2729" t="s">
        <v>170</v>
      </c>
      <c r="AB2729">
        <v>4.3</v>
      </c>
      <c r="AC2729">
        <v>50</v>
      </c>
      <c r="AD2729">
        <v>36.380000000000003</v>
      </c>
      <c r="AE2729">
        <f t="shared" si="84"/>
        <v>257.77</v>
      </c>
      <c r="AF2729" t="str">
        <f t="shared" si="85"/>
        <v>2025-12</v>
      </c>
      <c r="AG2729">
        <f>SUBTOTAL(103,A2729)</f>
        <v>1</v>
      </c>
    </row>
    <row r="2730" spans="1:33" x14ac:dyDescent="0.3">
      <c r="A2730" t="s">
        <v>5353</v>
      </c>
      <c r="B2730" s="13">
        <v>46006</v>
      </c>
      <c r="C2730">
        <v>2025</v>
      </c>
      <c r="D2730">
        <v>12</v>
      </c>
      <c r="E2730" t="s">
        <v>5251</v>
      </c>
      <c r="F2730" t="s">
        <v>4780</v>
      </c>
      <c r="G2730" t="s">
        <v>905</v>
      </c>
      <c r="H2730" t="s">
        <v>906</v>
      </c>
      <c r="I2730" t="s">
        <v>85</v>
      </c>
      <c r="J2730">
        <v>40</v>
      </c>
      <c r="K2730" t="s">
        <v>82</v>
      </c>
      <c r="L2730" t="s">
        <v>2616</v>
      </c>
      <c r="M2730" t="s">
        <v>62</v>
      </c>
      <c r="N2730" t="s">
        <v>2665</v>
      </c>
      <c r="O2730" t="s">
        <v>128</v>
      </c>
      <c r="P2730" t="s">
        <v>53</v>
      </c>
      <c r="Q2730" t="s">
        <v>143</v>
      </c>
      <c r="R2730">
        <v>2</v>
      </c>
      <c r="S2730">
        <v>1499</v>
      </c>
      <c r="T2730">
        <v>0.15</v>
      </c>
      <c r="U2730">
        <v>0</v>
      </c>
      <c r="V2730">
        <v>0</v>
      </c>
      <c r="W2730">
        <v>0</v>
      </c>
      <c r="X2730" t="s">
        <v>73</v>
      </c>
      <c r="Y2730" t="s">
        <v>71</v>
      </c>
      <c r="Z2730" t="s">
        <v>160</v>
      </c>
      <c r="AA2730" t="s">
        <v>166</v>
      </c>
      <c r="AB2730">
        <v>4.4000000000000004</v>
      </c>
      <c r="AC2730">
        <v>80</v>
      </c>
      <c r="AD2730">
        <v>93.26</v>
      </c>
      <c r="AE2730">
        <f t="shared" si="84"/>
        <v>-173.26</v>
      </c>
      <c r="AF2730" t="str">
        <f t="shared" si="85"/>
        <v>2025-12</v>
      </c>
      <c r="AG2730">
        <f>SUBTOTAL(103,A2730)</f>
        <v>1</v>
      </c>
    </row>
    <row r="2731" spans="1:33" x14ac:dyDescent="0.3">
      <c r="A2731" t="s">
        <v>5354</v>
      </c>
      <c r="B2731" s="13">
        <v>46006</v>
      </c>
      <c r="C2731">
        <v>2025</v>
      </c>
      <c r="D2731">
        <v>12</v>
      </c>
      <c r="E2731" t="s">
        <v>5251</v>
      </c>
      <c r="F2731" t="s">
        <v>4780</v>
      </c>
      <c r="G2731" t="s">
        <v>367</v>
      </c>
      <c r="H2731" t="s">
        <v>368</v>
      </c>
      <c r="I2731" t="s">
        <v>85</v>
      </c>
      <c r="J2731">
        <v>53</v>
      </c>
      <c r="K2731" t="s">
        <v>83</v>
      </c>
      <c r="L2731" t="s">
        <v>91</v>
      </c>
      <c r="M2731" t="s">
        <v>55</v>
      </c>
      <c r="N2731" t="s">
        <v>2603</v>
      </c>
      <c r="O2731" t="s">
        <v>122</v>
      </c>
      <c r="P2731" t="s">
        <v>48</v>
      </c>
      <c r="Q2731" t="s">
        <v>141</v>
      </c>
      <c r="R2731">
        <v>4</v>
      </c>
      <c r="S2731">
        <v>2499</v>
      </c>
      <c r="T2731">
        <v>0.05</v>
      </c>
      <c r="U2731">
        <v>9496.2000000000007</v>
      </c>
      <c r="V2731">
        <v>5800</v>
      </c>
      <c r="W2731">
        <v>3696.2</v>
      </c>
      <c r="X2731" t="s">
        <v>75</v>
      </c>
      <c r="Y2731" t="s">
        <v>69</v>
      </c>
      <c r="Z2731" t="s">
        <v>160</v>
      </c>
      <c r="AA2731" t="s">
        <v>166</v>
      </c>
      <c r="AB2731">
        <v>4.4000000000000004</v>
      </c>
      <c r="AC2731">
        <v>80</v>
      </c>
      <c r="AD2731">
        <v>338.17</v>
      </c>
      <c r="AE2731">
        <f t="shared" si="84"/>
        <v>3278.0299999999997</v>
      </c>
      <c r="AF2731" t="str">
        <f t="shared" si="85"/>
        <v>2025-12</v>
      </c>
      <c r="AG2731">
        <f>SUBTOTAL(103,A2731)</f>
        <v>1</v>
      </c>
    </row>
    <row r="2732" spans="1:33" x14ac:dyDescent="0.3">
      <c r="A2732" t="s">
        <v>5355</v>
      </c>
      <c r="B2732" s="13">
        <v>46006</v>
      </c>
      <c r="C2732">
        <v>2025</v>
      </c>
      <c r="D2732">
        <v>12</v>
      </c>
      <c r="E2732" t="s">
        <v>5251</v>
      </c>
      <c r="F2732" t="s">
        <v>4780</v>
      </c>
      <c r="G2732" t="s">
        <v>1517</v>
      </c>
      <c r="H2732" t="s">
        <v>1518</v>
      </c>
      <c r="I2732" t="s">
        <v>86</v>
      </c>
      <c r="J2732">
        <v>38</v>
      </c>
      <c r="K2732" t="s">
        <v>82</v>
      </c>
      <c r="L2732" t="s">
        <v>2616</v>
      </c>
      <c r="M2732" t="s">
        <v>62</v>
      </c>
      <c r="N2732" t="s">
        <v>2582</v>
      </c>
      <c r="O2732" t="s">
        <v>119</v>
      </c>
      <c r="P2732" t="s">
        <v>49</v>
      </c>
      <c r="Q2732" t="s">
        <v>140</v>
      </c>
      <c r="R2732">
        <v>5</v>
      </c>
      <c r="S2732">
        <v>3499</v>
      </c>
      <c r="T2732">
        <v>0.05</v>
      </c>
      <c r="U2732">
        <v>16620.25</v>
      </c>
      <c r="V2732">
        <v>10500</v>
      </c>
      <c r="W2732">
        <v>6120.25</v>
      </c>
      <c r="X2732" t="s">
        <v>75</v>
      </c>
      <c r="Y2732" t="s">
        <v>68</v>
      </c>
      <c r="Z2732" t="s">
        <v>162</v>
      </c>
      <c r="AA2732" t="s">
        <v>166</v>
      </c>
      <c r="AB2732">
        <v>4.7</v>
      </c>
      <c r="AC2732">
        <v>80</v>
      </c>
      <c r="AD2732">
        <v>542.76</v>
      </c>
      <c r="AE2732">
        <f t="shared" si="84"/>
        <v>5497.49</v>
      </c>
      <c r="AF2732" t="str">
        <f t="shared" si="85"/>
        <v>2025-12</v>
      </c>
      <c r="AG2732">
        <f>SUBTOTAL(103,A2732)</f>
        <v>1</v>
      </c>
    </row>
    <row r="2733" spans="1:33" x14ac:dyDescent="0.3">
      <c r="A2733" t="s">
        <v>5356</v>
      </c>
      <c r="B2733" s="13">
        <v>46006</v>
      </c>
      <c r="C2733">
        <v>2025</v>
      </c>
      <c r="D2733">
        <v>12</v>
      </c>
      <c r="E2733" t="s">
        <v>5251</v>
      </c>
      <c r="F2733" t="s">
        <v>4780</v>
      </c>
      <c r="G2733" t="s">
        <v>223</v>
      </c>
      <c r="H2733" t="s">
        <v>224</v>
      </c>
      <c r="I2733" t="s">
        <v>85</v>
      </c>
      <c r="J2733">
        <v>34</v>
      </c>
      <c r="K2733" t="s">
        <v>81</v>
      </c>
      <c r="L2733" t="s">
        <v>97</v>
      </c>
      <c r="M2733" t="s">
        <v>57</v>
      </c>
      <c r="N2733" t="s">
        <v>2592</v>
      </c>
      <c r="O2733" t="s">
        <v>115</v>
      </c>
      <c r="P2733" t="s">
        <v>48</v>
      </c>
      <c r="Q2733" t="s">
        <v>137</v>
      </c>
      <c r="R2733">
        <v>2</v>
      </c>
      <c r="S2733">
        <v>12999</v>
      </c>
      <c r="T2733">
        <v>0.15</v>
      </c>
      <c r="U2733">
        <v>22098.3</v>
      </c>
      <c r="V2733">
        <v>18000</v>
      </c>
      <c r="W2733">
        <v>4098.3</v>
      </c>
      <c r="X2733" t="s">
        <v>73</v>
      </c>
      <c r="Y2733" t="s">
        <v>68</v>
      </c>
      <c r="Z2733" t="s">
        <v>162</v>
      </c>
      <c r="AA2733" t="s">
        <v>169</v>
      </c>
      <c r="AB2733">
        <v>4.7</v>
      </c>
      <c r="AC2733">
        <v>50</v>
      </c>
      <c r="AD2733">
        <v>991.17</v>
      </c>
      <c r="AE2733">
        <f t="shared" si="84"/>
        <v>3057.13</v>
      </c>
      <c r="AF2733" t="str">
        <f t="shared" si="85"/>
        <v>2025-12</v>
      </c>
      <c r="AG2733">
        <f>SUBTOTAL(103,A2733)</f>
        <v>1</v>
      </c>
    </row>
    <row r="2734" spans="1:33" x14ac:dyDescent="0.3">
      <c r="A2734" t="s">
        <v>5357</v>
      </c>
      <c r="B2734" s="13">
        <v>46006</v>
      </c>
      <c r="C2734">
        <v>2025</v>
      </c>
      <c r="D2734">
        <v>12</v>
      </c>
      <c r="E2734" t="s">
        <v>5251</v>
      </c>
      <c r="F2734" t="s">
        <v>4780</v>
      </c>
      <c r="G2734" t="s">
        <v>2013</v>
      </c>
      <c r="H2734" t="s">
        <v>2014</v>
      </c>
      <c r="I2734" t="s">
        <v>86</v>
      </c>
      <c r="J2734">
        <v>18</v>
      </c>
      <c r="K2734" t="s">
        <v>80</v>
      </c>
      <c r="L2734" t="s">
        <v>2616</v>
      </c>
      <c r="M2734" t="s">
        <v>62</v>
      </c>
      <c r="N2734" t="s">
        <v>2580</v>
      </c>
      <c r="O2734" t="s">
        <v>118</v>
      </c>
      <c r="P2734" t="s">
        <v>48</v>
      </c>
      <c r="Q2734" t="s">
        <v>142</v>
      </c>
      <c r="R2734">
        <v>1</v>
      </c>
      <c r="S2734">
        <v>3999</v>
      </c>
      <c r="T2734">
        <v>0.1</v>
      </c>
      <c r="U2734">
        <v>3599.1</v>
      </c>
      <c r="V2734">
        <v>2400</v>
      </c>
      <c r="W2734">
        <v>1199.0999999999999</v>
      </c>
      <c r="X2734" t="s">
        <v>74</v>
      </c>
      <c r="Y2734" t="s">
        <v>68</v>
      </c>
      <c r="Z2734" t="s">
        <v>158</v>
      </c>
      <c r="AA2734" t="s">
        <v>167</v>
      </c>
      <c r="AB2734">
        <v>4.2</v>
      </c>
      <c r="AC2734">
        <v>80</v>
      </c>
      <c r="AD2734">
        <v>339.67</v>
      </c>
      <c r="AE2734">
        <f t="shared" si="84"/>
        <v>779.42999999999984</v>
      </c>
      <c r="AF2734" t="str">
        <f t="shared" si="85"/>
        <v>2025-12</v>
      </c>
      <c r="AG2734">
        <f>SUBTOTAL(103,A2734)</f>
        <v>1</v>
      </c>
    </row>
    <row r="2735" spans="1:33" x14ac:dyDescent="0.3">
      <c r="A2735" t="s">
        <v>5358</v>
      </c>
      <c r="B2735" s="13">
        <v>46006</v>
      </c>
      <c r="C2735">
        <v>2025</v>
      </c>
      <c r="D2735">
        <v>12</v>
      </c>
      <c r="E2735" t="s">
        <v>5251</v>
      </c>
      <c r="F2735" t="s">
        <v>4780</v>
      </c>
      <c r="G2735" t="s">
        <v>1549</v>
      </c>
      <c r="H2735" t="s">
        <v>1550</v>
      </c>
      <c r="I2735" t="s">
        <v>86</v>
      </c>
      <c r="J2735">
        <v>45</v>
      </c>
      <c r="K2735" t="s">
        <v>82</v>
      </c>
      <c r="L2735" t="s">
        <v>95</v>
      </c>
      <c r="M2735" t="s">
        <v>56</v>
      </c>
      <c r="N2735" t="s">
        <v>2596</v>
      </c>
      <c r="O2735" t="s">
        <v>124</v>
      </c>
      <c r="P2735" t="s">
        <v>51</v>
      </c>
      <c r="Q2735" t="s">
        <v>147</v>
      </c>
      <c r="R2735">
        <v>3</v>
      </c>
      <c r="S2735">
        <v>2299</v>
      </c>
      <c r="T2735">
        <v>0.05</v>
      </c>
      <c r="U2735">
        <v>6552.15</v>
      </c>
      <c r="V2735">
        <v>3600</v>
      </c>
      <c r="W2735">
        <v>2952.15</v>
      </c>
      <c r="X2735" t="s">
        <v>73</v>
      </c>
      <c r="Y2735" t="s">
        <v>68</v>
      </c>
      <c r="Z2735" t="s">
        <v>163</v>
      </c>
      <c r="AA2735" t="s">
        <v>166</v>
      </c>
      <c r="AB2735">
        <v>4.5</v>
      </c>
      <c r="AC2735">
        <v>50</v>
      </c>
      <c r="AD2735">
        <v>299.64999999999998</v>
      </c>
      <c r="AE2735">
        <f t="shared" si="84"/>
        <v>2602.5</v>
      </c>
      <c r="AF2735" t="str">
        <f t="shared" si="85"/>
        <v>2025-12</v>
      </c>
      <c r="AG2735">
        <f>SUBTOTAL(103,A2735)</f>
        <v>1</v>
      </c>
    </row>
    <row r="2736" spans="1:33" x14ac:dyDescent="0.3">
      <c r="A2736" t="s">
        <v>5359</v>
      </c>
      <c r="B2736" s="13">
        <v>46006</v>
      </c>
      <c r="C2736">
        <v>2025</v>
      </c>
      <c r="D2736">
        <v>12</v>
      </c>
      <c r="E2736" t="s">
        <v>5251</v>
      </c>
      <c r="F2736" t="s">
        <v>4780</v>
      </c>
      <c r="G2736" t="s">
        <v>417</v>
      </c>
      <c r="H2736" t="s">
        <v>418</v>
      </c>
      <c r="I2736" t="s">
        <v>85</v>
      </c>
      <c r="J2736">
        <v>47</v>
      </c>
      <c r="K2736" t="s">
        <v>83</v>
      </c>
      <c r="L2736" t="s">
        <v>59</v>
      </c>
      <c r="M2736" t="s">
        <v>59</v>
      </c>
      <c r="N2736" t="s">
        <v>2630</v>
      </c>
      <c r="O2736" t="s">
        <v>123</v>
      </c>
      <c r="P2736" t="s">
        <v>52</v>
      </c>
      <c r="Q2736" t="s">
        <v>146</v>
      </c>
      <c r="R2736">
        <v>2</v>
      </c>
      <c r="S2736">
        <v>2499</v>
      </c>
      <c r="T2736">
        <v>0.2</v>
      </c>
      <c r="U2736">
        <v>3998.4</v>
      </c>
      <c r="V2736">
        <v>2800</v>
      </c>
      <c r="W2736">
        <v>1198.4000000000001</v>
      </c>
      <c r="X2736" t="s">
        <v>76</v>
      </c>
      <c r="Y2736" t="s">
        <v>68</v>
      </c>
      <c r="Z2736" t="s">
        <v>163</v>
      </c>
      <c r="AA2736" t="s">
        <v>170</v>
      </c>
      <c r="AB2736">
        <v>4.2</v>
      </c>
      <c r="AC2736">
        <v>40</v>
      </c>
      <c r="AD2736">
        <v>343.84</v>
      </c>
      <c r="AE2736">
        <f t="shared" si="84"/>
        <v>814.56000000000017</v>
      </c>
      <c r="AF2736" t="str">
        <f t="shared" si="85"/>
        <v>2025-12</v>
      </c>
      <c r="AG2736">
        <f>SUBTOTAL(103,A2736)</f>
        <v>1</v>
      </c>
    </row>
    <row r="2737" spans="1:33" x14ac:dyDescent="0.3">
      <c r="A2737" t="s">
        <v>5360</v>
      </c>
      <c r="B2737" s="13">
        <v>46007</v>
      </c>
      <c r="C2737">
        <v>2025</v>
      </c>
      <c r="D2737">
        <v>12</v>
      </c>
      <c r="E2737" t="s">
        <v>5251</v>
      </c>
      <c r="F2737" t="s">
        <v>4780</v>
      </c>
      <c r="G2737" t="s">
        <v>897</v>
      </c>
      <c r="H2737" t="s">
        <v>898</v>
      </c>
      <c r="I2737" t="s">
        <v>85</v>
      </c>
      <c r="J2737">
        <v>43</v>
      </c>
      <c r="K2737" t="s">
        <v>82</v>
      </c>
      <c r="L2737" t="s">
        <v>59</v>
      </c>
      <c r="M2737" t="s">
        <v>59</v>
      </c>
      <c r="N2737" t="s">
        <v>2592</v>
      </c>
      <c r="O2737" t="s">
        <v>115</v>
      </c>
      <c r="P2737" t="s">
        <v>48</v>
      </c>
      <c r="Q2737" t="s">
        <v>137</v>
      </c>
      <c r="R2737">
        <v>2</v>
      </c>
      <c r="S2737">
        <v>12999</v>
      </c>
      <c r="T2737">
        <v>0.05</v>
      </c>
      <c r="U2737">
        <v>24698.1</v>
      </c>
      <c r="V2737">
        <v>18000</v>
      </c>
      <c r="W2737">
        <v>6698.1</v>
      </c>
      <c r="X2737" t="s">
        <v>76</v>
      </c>
      <c r="Y2737" t="s">
        <v>68</v>
      </c>
      <c r="Z2737" t="s">
        <v>158</v>
      </c>
      <c r="AA2737" t="s">
        <v>166</v>
      </c>
      <c r="AB2737">
        <v>3.9</v>
      </c>
      <c r="AC2737">
        <v>50</v>
      </c>
      <c r="AD2737">
        <v>1752.67</v>
      </c>
      <c r="AE2737">
        <f t="shared" si="84"/>
        <v>4895.43</v>
      </c>
      <c r="AF2737" t="str">
        <f t="shared" si="85"/>
        <v>2025-12</v>
      </c>
      <c r="AG2737">
        <f>SUBTOTAL(103,A2737)</f>
        <v>1</v>
      </c>
    </row>
    <row r="2738" spans="1:33" x14ac:dyDescent="0.3">
      <c r="A2738" t="s">
        <v>5361</v>
      </c>
      <c r="B2738" s="13">
        <v>46007</v>
      </c>
      <c r="C2738">
        <v>2025</v>
      </c>
      <c r="D2738">
        <v>12</v>
      </c>
      <c r="E2738" t="s">
        <v>5251</v>
      </c>
      <c r="F2738" t="s">
        <v>4780</v>
      </c>
      <c r="G2738" t="s">
        <v>585</v>
      </c>
      <c r="H2738" t="s">
        <v>586</v>
      </c>
      <c r="I2738" t="s">
        <v>86</v>
      </c>
      <c r="J2738">
        <v>48</v>
      </c>
      <c r="K2738" t="s">
        <v>83</v>
      </c>
      <c r="L2738" t="s">
        <v>99</v>
      </c>
      <c r="M2738" t="s">
        <v>58</v>
      </c>
      <c r="N2738" t="s">
        <v>2626</v>
      </c>
      <c r="O2738" t="s">
        <v>125</v>
      </c>
      <c r="P2738" t="s">
        <v>48</v>
      </c>
      <c r="Q2738" t="s">
        <v>141</v>
      </c>
      <c r="R2738">
        <v>2</v>
      </c>
      <c r="S2738">
        <v>1999</v>
      </c>
      <c r="T2738">
        <v>0</v>
      </c>
      <c r="U2738">
        <v>0</v>
      </c>
      <c r="V2738">
        <v>0</v>
      </c>
      <c r="W2738">
        <v>0</v>
      </c>
      <c r="X2738" t="s">
        <v>76</v>
      </c>
      <c r="Y2738" t="s">
        <v>71</v>
      </c>
      <c r="Z2738" t="s">
        <v>161</v>
      </c>
      <c r="AA2738" t="s">
        <v>169</v>
      </c>
      <c r="AB2738">
        <v>5</v>
      </c>
      <c r="AC2738">
        <v>40</v>
      </c>
      <c r="AD2738">
        <v>363.07</v>
      </c>
      <c r="AE2738">
        <f t="shared" si="84"/>
        <v>-403.07</v>
      </c>
      <c r="AF2738" t="str">
        <f t="shared" si="85"/>
        <v>2025-12</v>
      </c>
      <c r="AG2738">
        <f>SUBTOTAL(103,A2738)</f>
        <v>1</v>
      </c>
    </row>
    <row r="2739" spans="1:33" x14ac:dyDescent="0.3">
      <c r="A2739" t="s">
        <v>5362</v>
      </c>
      <c r="B2739" s="13">
        <v>46007</v>
      </c>
      <c r="C2739">
        <v>2025</v>
      </c>
      <c r="D2739">
        <v>12</v>
      </c>
      <c r="E2739" t="s">
        <v>5251</v>
      </c>
      <c r="F2739" t="s">
        <v>4780</v>
      </c>
      <c r="G2739" t="s">
        <v>1921</v>
      </c>
      <c r="H2739" t="s">
        <v>1922</v>
      </c>
      <c r="I2739" t="s">
        <v>86</v>
      </c>
      <c r="J2739">
        <v>49</v>
      </c>
      <c r="K2739" t="s">
        <v>83</v>
      </c>
      <c r="L2739" t="s">
        <v>2637</v>
      </c>
      <c r="M2739" t="s">
        <v>64</v>
      </c>
      <c r="N2739" t="s">
        <v>2601</v>
      </c>
      <c r="O2739" t="s">
        <v>117</v>
      </c>
      <c r="P2739" t="s">
        <v>49</v>
      </c>
      <c r="Q2739" t="s">
        <v>139</v>
      </c>
      <c r="R2739">
        <v>1</v>
      </c>
      <c r="S2739">
        <v>6999</v>
      </c>
      <c r="T2739">
        <v>0.25</v>
      </c>
      <c r="U2739">
        <v>5249.25</v>
      </c>
      <c r="V2739">
        <v>4300</v>
      </c>
      <c r="W2739">
        <v>949.25</v>
      </c>
      <c r="X2739" t="s">
        <v>77</v>
      </c>
      <c r="Y2739" t="s">
        <v>68</v>
      </c>
      <c r="Z2739" t="s">
        <v>161</v>
      </c>
      <c r="AA2739" t="s">
        <v>167</v>
      </c>
      <c r="AB2739">
        <v>2.5</v>
      </c>
      <c r="AC2739">
        <v>50</v>
      </c>
      <c r="AD2739">
        <v>234.69</v>
      </c>
      <c r="AE2739">
        <f t="shared" si="84"/>
        <v>664.56</v>
      </c>
      <c r="AF2739" t="str">
        <f t="shared" si="85"/>
        <v>2025-12</v>
      </c>
      <c r="AG2739">
        <f>SUBTOTAL(103,A2739)</f>
        <v>1</v>
      </c>
    </row>
    <row r="2740" spans="1:33" x14ac:dyDescent="0.3">
      <c r="A2740" t="s">
        <v>5363</v>
      </c>
      <c r="B2740" s="13">
        <v>46008</v>
      </c>
      <c r="C2740">
        <v>2025</v>
      </c>
      <c r="D2740">
        <v>12</v>
      </c>
      <c r="E2740" t="s">
        <v>5251</v>
      </c>
      <c r="F2740" t="s">
        <v>4780</v>
      </c>
      <c r="G2740" t="s">
        <v>709</v>
      </c>
      <c r="H2740" t="s">
        <v>710</v>
      </c>
      <c r="I2740" t="s">
        <v>85</v>
      </c>
      <c r="J2740">
        <v>18</v>
      </c>
      <c r="K2740" t="s">
        <v>80</v>
      </c>
      <c r="L2740" t="s">
        <v>92</v>
      </c>
      <c r="M2740" t="s">
        <v>59</v>
      </c>
      <c r="N2740" t="s">
        <v>2626</v>
      </c>
      <c r="O2740" t="s">
        <v>125</v>
      </c>
      <c r="P2740" t="s">
        <v>48</v>
      </c>
      <c r="Q2740" t="s">
        <v>141</v>
      </c>
      <c r="R2740">
        <v>3</v>
      </c>
      <c r="S2740">
        <v>1999</v>
      </c>
      <c r="T2740">
        <v>0.1</v>
      </c>
      <c r="U2740">
        <v>0</v>
      </c>
      <c r="V2740">
        <v>0</v>
      </c>
      <c r="W2740">
        <v>0</v>
      </c>
      <c r="X2740" t="s">
        <v>73</v>
      </c>
      <c r="Y2740" t="s">
        <v>71</v>
      </c>
      <c r="Z2740" t="s">
        <v>158</v>
      </c>
      <c r="AA2740" t="s">
        <v>169</v>
      </c>
      <c r="AB2740">
        <v>4.2</v>
      </c>
      <c r="AC2740">
        <v>50</v>
      </c>
      <c r="AD2740">
        <v>226.24</v>
      </c>
      <c r="AE2740">
        <f t="shared" si="84"/>
        <v>-276.24</v>
      </c>
      <c r="AF2740" t="str">
        <f t="shared" si="85"/>
        <v>2025-12</v>
      </c>
      <c r="AG2740">
        <f>SUBTOTAL(103,A2740)</f>
        <v>1</v>
      </c>
    </row>
    <row r="2741" spans="1:33" x14ac:dyDescent="0.3">
      <c r="A2741" t="s">
        <v>5364</v>
      </c>
      <c r="B2741" s="13">
        <v>46008</v>
      </c>
      <c r="C2741">
        <v>2025</v>
      </c>
      <c r="D2741">
        <v>12</v>
      </c>
      <c r="E2741" t="s">
        <v>5251</v>
      </c>
      <c r="F2741" t="s">
        <v>4780</v>
      </c>
      <c r="G2741" t="s">
        <v>337</v>
      </c>
      <c r="H2741" t="s">
        <v>338</v>
      </c>
      <c r="I2741" t="s">
        <v>86</v>
      </c>
      <c r="J2741">
        <v>46</v>
      </c>
      <c r="K2741" t="s">
        <v>83</v>
      </c>
      <c r="L2741" t="s">
        <v>2634</v>
      </c>
      <c r="M2741" t="s">
        <v>56</v>
      </c>
      <c r="N2741" t="s">
        <v>2587</v>
      </c>
      <c r="O2741" t="s">
        <v>116</v>
      </c>
      <c r="P2741" t="s">
        <v>48</v>
      </c>
      <c r="Q2741" t="s">
        <v>138</v>
      </c>
      <c r="R2741">
        <v>2</v>
      </c>
      <c r="S2741">
        <v>14999</v>
      </c>
      <c r="T2741">
        <v>0.15</v>
      </c>
      <c r="U2741">
        <v>25498.3</v>
      </c>
      <c r="V2741">
        <v>22400</v>
      </c>
      <c r="W2741">
        <v>3098.3</v>
      </c>
      <c r="X2741" t="s">
        <v>74</v>
      </c>
      <c r="Y2741" t="s">
        <v>68</v>
      </c>
      <c r="Z2741" t="s">
        <v>161</v>
      </c>
      <c r="AA2741" t="s">
        <v>166</v>
      </c>
      <c r="AB2741">
        <v>5</v>
      </c>
      <c r="AC2741">
        <v>100</v>
      </c>
      <c r="AD2741">
        <v>1569</v>
      </c>
      <c r="AE2741">
        <f t="shared" si="84"/>
        <v>1429.3000000000002</v>
      </c>
      <c r="AF2741" t="str">
        <f t="shared" si="85"/>
        <v>2025-12</v>
      </c>
      <c r="AG2741">
        <f>SUBTOTAL(103,A2741)</f>
        <v>1</v>
      </c>
    </row>
    <row r="2742" spans="1:33" x14ac:dyDescent="0.3">
      <c r="A2742" t="s">
        <v>5365</v>
      </c>
      <c r="B2742" s="13">
        <v>46008</v>
      </c>
      <c r="C2742">
        <v>2025</v>
      </c>
      <c r="D2742">
        <v>12</v>
      </c>
      <c r="E2742" t="s">
        <v>5251</v>
      </c>
      <c r="F2742" t="s">
        <v>4780</v>
      </c>
      <c r="G2742" t="s">
        <v>637</v>
      </c>
      <c r="H2742" t="s">
        <v>638</v>
      </c>
      <c r="I2742" t="s">
        <v>86</v>
      </c>
      <c r="J2742">
        <v>57</v>
      </c>
      <c r="K2742" t="s">
        <v>83</v>
      </c>
      <c r="L2742" t="s">
        <v>91</v>
      </c>
      <c r="M2742" t="s">
        <v>55</v>
      </c>
      <c r="N2742" t="s">
        <v>2580</v>
      </c>
      <c r="O2742" t="s">
        <v>118</v>
      </c>
      <c r="P2742" t="s">
        <v>48</v>
      </c>
      <c r="Q2742" t="s">
        <v>142</v>
      </c>
      <c r="R2742">
        <v>2</v>
      </c>
      <c r="S2742">
        <v>3999</v>
      </c>
      <c r="T2742">
        <v>0.05</v>
      </c>
      <c r="U2742">
        <v>7598.1</v>
      </c>
      <c r="V2742">
        <v>4800</v>
      </c>
      <c r="W2742">
        <v>2798.1</v>
      </c>
      <c r="X2742" t="s">
        <v>75</v>
      </c>
      <c r="Y2742" t="s">
        <v>68</v>
      </c>
      <c r="Z2742" t="s">
        <v>158</v>
      </c>
      <c r="AA2742" t="s">
        <v>169</v>
      </c>
      <c r="AB2742">
        <v>4</v>
      </c>
      <c r="AC2742">
        <v>40</v>
      </c>
      <c r="AD2742">
        <v>878.8</v>
      </c>
      <c r="AE2742">
        <f t="shared" si="84"/>
        <v>1879.3</v>
      </c>
      <c r="AF2742" t="str">
        <f t="shared" si="85"/>
        <v>2025-12</v>
      </c>
      <c r="AG2742">
        <f>SUBTOTAL(103,A2742)</f>
        <v>1</v>
      </c>
    </row>
    <row r="2743" spans="1:33" x14ac:dyDescent="0.3">
      <c r="A2743" t="s">
        <v>5366</v>
      </c>
      <c r="B2743" s="13">
        <v>46008</v>
      </c>
      <c r="C2743">
        <v>2025</v>
      </c>
      <c r="D2743">
        <v>12</v>
      </c>
      <c r="E2743" t="s">
        <v>5251</v>
      </c>
      <c r="F2743" t="s">
        <v>4780</v>
      </c>
      <c r="G2743" t="s">
        <v>195</v>
      </c>
      <c r="H2743" t="s">
        <v>196</v>
      </c>
      <c r="I2743" t="s">
        <v>87</v>
      </c>
      <c r="J2743">
        <v>41</v>
      </c>
      <c r="K2743" t="s">
        <v>82</v>
      </c>
      <c r="L2743" t="s">
        <v>99</v>
      </c>
      <c r="M2743" t="s">
        <v>58</v>
      </c>
      <c r="N2743" t="s">
        <v>2644</v>
      </c>
      <c r="O2743" t="s">
        <v>126</v>
      </c>
      <c r="P2743" t="s">
        <v>50</v>
      </c>
      <c r="Q2743" t="s">
        <v>145</v>
      </c>
      <c r="R2743">
        <v>2</v>
      </c>
      <c r="S2743">
        <v>1799</v>
      </c>
      <c r="T2743">
        <v>0.15</v>
      </c>
      <c r="U2743">
        <v>3058.3</v>
      </c>
      <c r="V2743">
        <v>1900</v>
      </c>
      <c r="W2743">
        <v>1158.3</v>
      </c>
      <c r="X2743" t="s">
        <v>75</v>
      </c>
      <c r="Y2743" t="s">
        <v>68</v>
      </c>
      <c r="Z2743" t="s">
        <v>158</v>
      </c>
      <c r="AA2743" t="s">
        <v>170</v>
      </c>
      <c r="AB2743">
        <v>3.8</v>
      </c>
      <c r="AC2743">
        <v>80</v>
      </c>
      <c r="AD2743">
        <v>329.06</v>
      </c>
      <c r="AE2743">
        <f t="shared" si="84"/>
        <v>749.24</v>
      </c>
      <c r="AF2743" t="str">
        <f t="shared" si="85"/>
        <v>2025-12</v>
      </c>
      <c r="AG2743">
        <f>SUBTOTAL(103,A2743)</f>
        <v>1</v>
      </c>
    </row>
    <row r="2744" spans="1:33" x14ac:dyDescent="0.3">
      <c r="A2744" t="s">
        <v>5367</v>
      </c>
      <c r="B2744" s="13">
        <v>46008</v>
      </c>
      <c r="C2744">
        <v>2025</v>
      </c>
      <c r="D2744">
        <v>12</v>
      </c>
      <c r="E2744" t="s">
        <v>5251</v>
      </c>
      <c r="F2744" t="s">
        <v>4780</v>
      </c>
      <c r="G2744" t="s">
        <v>1665</v>
      </c>
      <c r="H2744" t="s">
        <v>1666</v>
      </c>
      <c r="I2744" t="s">
        <v>86</v>
      </c>
      <c r="J2744">
        <v>46</v>
      </c>
      <c r="K2744" t="s">
        <v>83</v>
      </c>
      <c r="L2744" t="s">
        <v>94</v>
      </c>
      <c r="M2744" t="s">
        <v>57</v>
      </c>
      <c r="N2744" t="s">
        <v>2596</v>
      </c>
      <c r="O2744" t="s">
        <v>124</v>
      </c>
      <c r="P2744" t="s">
        <v>51</v>
      </c>
      <c r="Q2744" t="s">
        <v>147</v>
      </c>
      <c r="R2744">
        <v>3</v>
      </c>
      <c r="S2744">
        <v>2299</v>
      </c>
      <c r="T2744">
        <v>0.1</v>
      </c>
      <c r="U2744">
        <v>6207.3</v>
      </c>
      <c r="V2744">
        <v>3600</v>
      </c>
      <c r="W2744">
        <v>2607.3000000000002</v>
      </c>
      <c r="X2744" t="s">
        <v>73</v>
      </c>
      <c r="Y2744" t="s">
        <v>68</v>
      </c>
      <c r="Z2744" t="s">
        <v>158</v>
      </c>
      <c r="AA2744" t="s">
        <v>167</v>
      </c>
      <c r="AB2744">
        <v>3.7</v>
      </c>
      <c r="AC2744">
        <v>40</v>
      </c>
      <c r="AD2744">
        <v>455.32</v>
      </c>
      <c r="AE2744">
        <f t="shared" si="84"/>
        <v>2111.98</v>
      </c>
      <c r="AF2744" t="str">
        <f t="shared" si="85"/>
        <v>2025-12</v>
      </c>
      <c r="AG2744">
        <f>SUBTOTAL(103,A2744)</f>
        <v>1</v>
      </c>
    </row>
    <row r="2745" spans="1:33" x14ac:dyDescent="0.3">
      <c r="A2745" t="s">
        <v>5368</v>
      </c>
      <c r="B2745" s="13">
        <v>46008</v>
      </c>
      <c r="C2745">
        <v>2025</v>
      </c>
      <c r="D2745">
        <v>12</v>
      </c>
      <c r="E2745" t="s">
        <v>5251</v>
      </c>
      <c r="F2745" t="s">
        <v>4780</v>
      </c>
      <c r="G2745" t="s">
        <v>2057</v>
      </c>
      <c r="H2745" t="s">
        <v>2058</v>
      </c>
      <c r="I2745" t="s">
        <v>85</v>
      </c>
      <c r="J2745">
        <v>34</v>
      </c>
      <c r="K2745" t="s">
        <v>81</v>
      </c>
      <c r="L2745" t="s">
        <v>2623</v>
      </c>
      <c r="M2745" t="s">
        <v>61</v>
      </c>
      <c r="N2745" t="s">
        <v>2580</v>
      </c>
      <c r="O2745" t="s">
        <v>118</v>
      </c>
      <c r="P2745" t="s">
        <v>48</v>
      </c>
      <c r="Q2745" t="s">
        <v>142</v>
      </c>
      <c r="R2745">
        <v>1</v>
      </c>
      <c r="S2745">
        <v>3999</v>
      </c>
      <c r="T2745">
        <v>0</v>
      </c>
      <c r="U2745">
        <v>3999</v>
      </c>
      <c r="V2745">
        <v>2400</v>
      </c>
      <c r="W2745">
        <v>1599</v>
      </c>
      <c r="X2745" t="s">
        <v>73</v>
      </c>
      <c r="Y2745" t="s">
        <v>68</v>
      </c>
      <c r="Z2745" t="s">
        <v>160</v>
      </c>
      <c r="AA2745" t="s">
        <v>167</v>
      </c>
      <c r="AB2745">
        <v>4</v>
      </c>
      <c r="AC2745">
        <v>80</v>
      </c>
      <c r="AD2745">
        <v>193.91</v>
      </c>
      <c r="AE2745">
        <f t="shared" si="84"/>
        <v>1325.09</v>
      </c>
      <c r="AF2745" t="str">
        <f t="shared" si="85"/>
        <v>2025-12</v>
      </c>
      <c r="AG2745">
        <f>SUBTOTAL(103,A2745)</f>
        <v>1</v>
      </c>
    </row>
    <row r="2746" spans="1:33" x14ac:dyDescent="0.3">
      <c r="A2746" t="s">
        <v>5369</v>
      </c>
      <c r="B2746" s="13">
        <v>46009</v>
      </c>
      <c r="C2746">
        <v>2025</v>
      </c>
      <c r="D2746">
        <v>12</v>
      </c>
      <c r="E2746" t="s">
        <v>5251</v>
      </c>
      <c r="F2746" t="s">
        <v>4780</v>
      </c>
      <c r="G2746" t="s">
        <v>1225</v>
      </c>
      <c r="H2746" t="s">
        <v>1226</v>
      </c>
      <c r="I2746" t="s">
        <v>85</v>
      </c>
      <c r="J2746">
        <v>54</v>
      </c>
      <c r="K2746" t="s">
        <v>83</v>
      </c>
      <c r="L2746" t="s">
        <v>59</v>
      </c>
      <c r="M2746" t="s">
        <v>59</v>
      </c>
      <c r="N2746" t="s">
        <v>2580</v>
      </c>
      <c r="O2746" t="s">
        <v>118</v>
      </c>
      <c r="P2746" t="s">
        <v>48</v>
      </c>
      <c r="Q2746" t="s">
        <v>142</v>
      </c>
      <c r="R2746">
        <v>1</v>
      </c>
      <c r="S2746">
        <v>3999</v>
      </c>
      <c r="T2746">
        <v>0.15</v>
      </c>
      <c r="U2746">
        <v>3399.15</v>
      </c>
      <c r="V2746">
        <v>2400</v>
      </c>
      <c r="W2746">
        <v>999.15</v>
      </c>
      <c r="X2746" t="s">
        <v>73</v>
      </c>
      <c r="Y2746" t="s">
        <v>68</v>
      </c>
      <c r="Z2746" t="s">
        <v>159</v>
      </c>
      <c r="AA2746" t="s">
        <v>166</v>
      </c>
      <c r="AB2746">
        <v>5</v>
      </c>
      <c r="AC2746">
        <v>40</v>
      </c>
      <c r="AD2746">
        <v>134.85</v>
      </c>
      <c r="AE2746">
        <f t="shared" si="84"/>
        <v>824.3</v>
      </c>
      <c r="AF2746" t="str">
        <f t="shared" si="85"/>
        <v>2025-12</v>
      </c>
      <c r="AG2746">
        <f>SUBTOTAL(103,A2746)</f>
        <v>1</v>
      </c>
    </row>
    <row r="2747" spans="1:33" x14ac:dyDescent="0.3">
      <c r="A2747" t="s">
        <v>5370</v>
      </c>
      <c r="B2747" s="13">
        <v>46009</v>
      </c>
      <c r="C2747">
        <v>2025</v>
      </c>
      <c r="D2747">
        <v>12</v>
      </c>
      <c r="E2747" t="s">
        <v>5251</v>
      </c>
      <c r="F2747" t="s">
        <v>4780</v>
      </c>
      <c r="G2747" t="s">
        <v>1983</v>
      </c>
      <c r="H2747" t="s">
        <v>1984</v>
      </c>
      <c r="I2747" t="s">
        <v>86</v>
      </c>
      <c r="J2747">
        <v>39</v>
      </c>
      <c r="K2747" t="s">
        <v>82</v>
      </c>
      <c r="L2747" t="s">
        <v>2687</v>
      </c>
      <c r="M2747" t="s">
        <v>57</v>
      </c>
      <c r="N2747" t="s">
        <v>2630</v>
      </c>
      <c r="O2747" t="s">
        <v>123</v>
      </c>
      <c r="P2747" t="s">
        <v>52</v>
      </c>
      <c r="Q2747" t="s">
        <v>146</v>
      </c>
      <c r="R2747">
        <v>1</v>
      </c>
      <c r="S2747">
        <v>2499</v>
      </c>
      <c r="T2747">
        <v>0.1</v>
      </c>
      <c r="U2747">
        <v>2249.1</v>
      </c>
      <c r="V2747">
        <v>1400</v>
      </c>
      <c r="W2747">
        <v>849.1</v>
      </c>
      <c r="X2747" t="s">
        <v>77</v>
      </c>
      <c r="Y2747" t="s">
        <v>68</v>
      </c>
      <c r="Z2747" t="s">
        <v>161</v>
      </c>
      <c r="AA2747" t="s">
        <v>166</v>
      </c>
      <c r="AB2747">
        <v>3.9</v>
      </c>
      <c r="AC2747">
        <v>60</v>
      </c>
      <c r="AD2747">
        <v>171.36</v>
      </c>
      <c r="AE2747">
        <f t="shared" si="84"/>
        <v>617.74</v>
      </c>
      <c r="AF2747" t="str">
        <f t="shared" si="85"/>
        <v>2025-12</v>
      </c>
      <c r="AG2747">
        <f>SUBTOTAL(103,A2747)</f>
        <v>1</v>
      </c>
    </row>
    <row r="2748" spans="1:33" x14ac:dyDescent="0.3">
      <c r="A2748" t="s">
        <v>5371</v>
      </c>
      <c r="B2748" s="13">
        <v>46009</v>
      </c>
      <c r="C2748">
        <v>2025</v>
      </c>
      <c r="D2748">
        <v>12</v>
      </c>
      <c r="E2748" t="s">
        <v>5251</v>
      </c>
      <c r="F2748" t="s">
        <v>4780</v>
      </c>
      <c r="G2748" t="s">
        <v>2167</v>
      </c>
      <c r="H2748" t="s">
        <v>2168</v>
      </c>
      <c r="I2748" t="s">
        <v>85</v>
      </c>
      <c r="J2748">
        <v>48</v>
      </c>
      <c r="K2748" t="s">
        <v>83</v>
      </c>
      <c r="L2748" t="s">
        <v>2679</v>
      </c>
      <c r="M2748" t="s">
        <v>60</v>
      </c>
      <c r="N2748" t="s">
        <v>2596</v>
      </c>
      <c r="O2748" t="s">
        <v>124</v>
      </c>
      <c r="P2748" t="s">
        <v>51</v>
      </c>
      <c r="Q2748" t="s">
        <v>147</v>
      </c>
      <c r="R2748">
        <v>1</v>
      </c>
      <c r="S2748">
        <v>2299</v>
      </c>
      <c r="T2748">
        <v>0.1</v>
      </c>
      <c r="U2748">
        <v>2069.1</v>
      </c>
      <c r="V2748">
        <v>1200</v>
      </c>
      <c r="W2748">
        <v>869.1</v>
      </c>
      <c r="X2748" t="s">
        <v>75</v>
      </c>
      <c r="Y2748" t="s">
        <v>68</v>
      </c>
      <c r="Z2748" t="s">
        <v>159</v>
      </c>
      <c r="AA2748" t="s">
        <v>170</v>
      </c>
      <c r="AB2748">
        <v>4.0999999999999996</v>
      </c>
      <c r="AC2748">
        <v>60</v>
      </c>
      <c r="AD2748">
        <v>188.16</v>
      </c>
      <c r="AE2748">
        <f t="shared" si="84"/>
        <v>620.94000000000005</v>
      </c>
      <c r="AF2748" t="str">
        <f t="shared" si="85"/>
        <v>2025-12</v>
      </c>
      <c r="AG2748">
        <f>SUBTOTAL(103,A2748)</f>
        <v>1</v>
      </c>
    </row>
    <row r="2749" spans="1:33" x14ac:dyDescent="0.3">
      <c r="A2749" t="s">
        <v>5372</v>
      </c>
      <c r="B2749" s="13">
        <v>46009</v>
      </c>
      <c r="C2749">
        <v>2025</v>
      </c>
      <c r="D2749">
        <v>12</v>
      </c>
      <c r="E2749" t="s">
        <v>5251</v>
      </c>
      <c r="F2749" t="s">
        <v>4780</v>
      </c>
      <c r="G2749" t="s">
        <v>451</v>
      </c>
      <c r="H2749" t="s">
        <v>452</v>
      </c>
      <c r="I2749" t="s">
        <v>86</v>
      </c>
      <c r="J2749">
        <v>30</v>
      </c>
      <c r="K2749" t="s">
        <v>81</v>
      </c>
      <c r="L2749" t="s">
        <v>2661</v>
      </c>
      <c r="M2749" t="s">
        <v>58</v>
      </c>
      <c r="N2749" t="s">
        <v>2603</v>
      </c>
      <c r="O2749" t="s">
        <v>122</v>
      </c>
      <c r="P2749" t="s">
        <v>48</v>
      </c>
      <c r="Q2749" t="s">
        <v>141</v>
      </c>
      <c r="R2749">
        <v>3</v>
      </c>
      <c r="S2749">
        <v>2499</v>
      </c>
      <c r="T2749">
        <v>0.15</v>
      </c>
      <c r="U2749">
        <v>6372.45</v>
      </c>
      <c r="V2749">
        <v>4350</v>
      </c>
      <c r="W2749">
        <v>2022.45</v>
      </c>
      <c r="X2749" t="s">
        <v>73</v>
      </c>
      <c r="Y2749" t="s">
        <v>68</v>
      </c>
      <c r="Z2749" t="s">
        <v>160</v>
      </c>
      <c r="AA2749" t="s">
        <v>168</v>
      </c>
      <c r="AB2749">
        <v>3.4</v>
      </c>
      <c r="AC2749">
        <v>50</v>
      </c>
      <c r="AD2749">
        <v>149.58000000000001</v>
      </c>
      <c r="AE2749">
        <f t="shared" si="84"/>
        <v>1822.8700000000001</v>
      </c>
      <c r="AF2749" t="str">
        <f t="shared" si="85"/>
        <v>2025-12</v>
      </c>
      <c r="AG2749">
        <f>SUBTOTAL(103,A2749)</f>
        <v>1</v>
      </c>
    </row>
    <row r="2750" spans="1:33" x14ac:dyDescent="0.3">
      <c r="A2750" t="s">
        <v>5373</v>
      </c>
      <c r="B2750" s="13">
        <v>46009</v>
      </c>
      <c r="C2750">
        <v>2025</v>
      </c>
      <c r="D2750">
        <v>12</v>
      </c>
      <c r="E2750" t="s">
        <v>5251</v>
      </c>
      <c r="F2750" t="s">
        <v>4780</v>
      </c>
      <c r="G2750" t="s">
        <v>721</v>
      </c>
      <c r="H2750" t="s">
        <v>722</v>
      </c>
      <c r="I2750" t="s">
        <v>85</v>
      </c>
      <c r="J2750">
        <v>37</v>
      </c>
      <c r="K2750" t="s">
        <v>82</v>
      </c>
      <c r="L2750" t="s">
        <v>94</v>
      </c>
      <c r="M2750" t="s">
        <v>57</v>
      </c>
      <c r="N2750" t="s">
        <v>2582</v>
      </c>
      <c r="O2750" t="s">
        <v>119</v>
      </c>
      <c r="P2750" t="s">
        <v>49</v>
      </c>
      <c r="Q2750" t="s">
        <v>140</v>
      </c>
      <c r="R2750">
        <v>3</v>
      </c>
      <c r="S2750">
        <v>3499</v>
      </c>
      <c r="T2750">
        <v>0</v>
      </c>
      <c r="U2750">
        <v>10497</v>
      </c>
      <c r="V2750">
        <v>6300</v>
      </c>
      <c r="W2750">
        <v>4197</v>
      </c>
      <c r="X2750" t="s">
        <v>73</v>
      </c>
      <c r="Y2750" t="s">
        <v>68</v>
      </c>
      <c r="Z2750" t="s">
        <v>158</v>
      </c>
      <c r="AA2750" t="s">
        <v>166</v>
      </c>
      <c r="AB2750">
        <v>4.2</v>
      </c>
      <c r="AC2750">
        <v>100</v>
      </c>
      <c r="AD2750">
        <v>340.06</v>
      </c>
      <c r="AE2750">
        <f t="shared" si="84"/>
        <v>3756.94</v>
      </c>
      <c r="AF2750" t="str">
        <f t="shared" si="85"/>
        <v>2025-12</v>
      </c>
      <c r="AG2750">
        <f>SUBTOTAL(103,A2750)</f>
        <v>1</v>
      </c>
    </row>
    <row r="2751" spans="1:33" x14ac:dyDescent="0.3">
      <c r="A2751" t="s">
        <v>5374</v>
      </c>
      <c r="B2751" s="13">
        <v>46009</v>
      </c>
      <c r="C2751">
        <v>2025</v>
      </c>
      <c r="D2751">
        <v>12</v>
      </c>
      <c r="E2751" t="s">
        <v>5251</v>
      </c>
      <c r="F2751" t="s">
        <v>4780</v>
      </c>
      <c r="G2751" t="s">
        <v>1395</v>
      </c>
      <c r="H2751" t="s">
        <v>1396</v>
      </c>
      <c r="I2751" t="s">
        <v>85</v>
      </c>
      <c r="J2751">
        <v>39</v>
      </c>
      <c r="K2751" t="s">
        <v>82</v>
      </c>
      <c r="L2751" t="s">
        <v>2679</v>
      </c>
      <c r="M2751" t="s">
        <v>60</v>
      </c>
      <c r="N2751" t="s">
        <v>2596</v>
      </c>
      <c r="O2751" t="s">
        <v>124</v>
      </c>
      <c r="P2751" t="s">
        <v>51</v>
      </c>
      <c r="Q2751" t="s">
        <v>147</v>
      </c>
      <c r="R2751">
        <v>2</v>
      </c>
      <c r="S2751">
        <v>2299</v>
      </c>
      <c r="T2751">
        <v>0.1</v>
      </c>
      <c r="U2751">
        <v>4138.2</v>
      </c>
      <c r="V2751">
        <v>2400</v>
      </c>
      <c r="W2751">
        <v>1738.2</v>
      </c>
      <c r="X2751" t="s">
        <v>74</v>
      </c>
      <c r="Y2751" t="s">
        <v>68</v>
      </c>
      <c r="Z2751" t="s">
        <v>160</v>
      </c>
      <c r="AA2751" t="s">
        <v>168</v>
      </c>
      <c r="AB2751">
        <v>4.2</v>
      </c>
      <c r="AC2751">
        <v>50</v>
      </c>
      <c r="AD2751">
        <v>172.03</v>
      </c>
      <c r="AE2751">
        <f t="shared" si="84"/>
        <v>1516.17</v>
      </c>
      <c r="AF2751" t="str">
        <f t="shared" si="85"/>
        <v>2025-12</v>
      </c>
      <c r="AG2751">
        <f>SUBTOTAL(103,A2751)</f>
        <v>1</v>
      </c>
    </row>
    <row r="2752" spans="1:33" x14ac:dyDescent="0.3">
      <c r="A2752" t="s">
        <v>5375</v>
      </c>
      <c r="B2752" s="13">
        <v>46009</v>
      </c>
      <c r="C2752">
        <v>2025</v>
      </c>
      <c r="D2752">
        <v>12</v>
      </c>
      <c r="E2752" t="s">
        <v>5251</v>
      </c>
      <c r="F2752" t="s">
        <v>4780</v>
      </c>
      <c r="G2752" t="s">
        <v>1511</v>
      </c>
      <c r="H2752" t="s">
        <v>1512</v>
      </c>
      <c r="I2752" t="s">
        <v>85</v>
      </c>
      <c r="J2752">
        <v>57</v>
      </c>
      <c r="K2752" t="s">
        <v>83</v>
      </c>
      <c r="L2752" t="s">
        <v>98</v>
      </c>
      <c r="M2752" t="s">
        <v>55</v>
      </c>
      <c r="N2752" t="s">
        <v>2580</v>
      </c>
      <c r="O2752" t="s">
        <v>118</v>
      </c>
      <c r="P2752" t="s">
        <v>48</v>
      </c>
      <c r="Q2752" t="s">
        <v>142</v>
      </c>
      <c r="R2752">
        <v>1</v>
      </c>
      <c r="S2752">
        <v>3999</v>
      </c>
      <c r="T2752">
        <v>0</v>
      </c>
      <c r="U2752">
        <v>3999</v>
      </c>
      <c r="V2752">
        <v>2400</v>
      </c>
      <c r="W2752">
        <v>1599</v>
      </c>
      <c r="X2752" t="s">
        <v>77</v>
      </c>
      <c r="Y2752" t="s">
        <v>68</v>
      </c>
      <c r="Z2752" t="s">
        <v>158</v>
      </c>
      <c r="AA2752" t="s">
        <v>169</v>
      </c>
      <c r="AB2752">
        <v>3</v>
      </c>
      <c r="AC2752">
        <v>40</v>
      </c>
      <c r="AD2752">
        <v>338.12</v>
      </c>
      <c r="AE2752">
        <f t="shared" si="84"/>
        <v>1220.8800000000001</v>
      </c>
      <c r="AF2752" t="str">
        <f t="shared" si="85"/>
        <v>2025-12</v>
      </c>
      <c r="AG2752">
        <f>SUBTOTAL(103,A2752)</f>
        <v>1</v>
      </c>
    </row>
    <row r="2753" spans="1:33" x14ac:dyDescent="0.3">
      <c r="A2753" t="s">
        <v>5376</v>
      </c>
      <c r="B2753" s="13">
        <v>46010</v>
      </c>
      <c r="C2753">
        <v>2025</v>
      </c>
      <c r="D2753">
        <v>12</v>
      </c>
      <c r="E2753" t="s">
        <v>5251</v>
      </c>
      <c r="F2753" t="s">
        <v>4780</v>
      </c>
      <c r="G2753" t="s">
        <v>1819</v>
      </c>
      <c r="H2753" t="s">
        <v>1820</v>
      </c>
      <c r="I2753" t="s">
        <v>86</v>
      </c>
      <c r="J2753">
        <v>43</v>
      </c>
      <c r="K2753" t="s">
        <v>82</v>
      </c>
      <c r="L2753" t="s">
        <v>94</v>
      </c>
      <c r="M2753" t="s">
        <v>57</v>
      </c>
      <c r="N2753" t="s">
        <v>2584</v>
      </c>
      <c r="O2753" t="s">
        <v>121</v>
      </c>
      <c r="P2753" t="s">
        <v>50</v>
      </c>
      <c r="Q2753" t="s">
        <v>144</v>
      </c>
      <c r="R2753">
        <v>1</v>
      </c>
      <c r="S2753">
        <v>2999</v>
      </c>
      <c r="T2753">
        <v>0.05</v>
      </c>
      <c r="U2753">
        <v>2849.05</v>
      </c>
      <c r="V2753">
        <v>1700</v>
      </c>
      <c r="W2753">
        <v>1149.05</v>
      </c>
      <c r="X2753" t="s">
        <v>76</v>
      </c>
      <c r="Y2753" t="s">
        <v>69</v>
      </c>
      <c r="Z2753" t="s">
        <v>160</v>
      </c>
      <c r="AA2753" t="s">
        <v>166</v>
      </c>
      <c r="AB2753">
        <v>3.6</v>
      </c>
      <c r="AC2753">
        <v>40</v>
      </c>
      <c r="AD2753">
        <v>135.05000000000001</v>
      </c>
      <c r="AE2753">
        <f t="shared" si="84"/>
        <v>974</v>
      </c>
      <c r="AF2753" t="str">
        <f t="shared" si="85"/>
        <v>2025-12</v>
      </c>
      <c r="AG2753">
        <f>SUBTOTAL(103,A2753)</f>
        <v>1</v>
      </c>
    </row>
    <row r="2754" spans="1:33" x14ac:dyDescent="0.3">
      <c r="A2754" t="s">
        <v>5377</v>
      </c>
      <c r="B2754" s="13">
        <v>46010</v>
      </c>
      <c r="C2754">
        <v>2025</v>
      </c>
      <c r="D2754">
        <v>12</v>
      </c>
      <c r="E2754" t="s">
        <v>5251</v>
      </c>
      <c r="F2754" t="s">
        <v>4780</v>
      </c>
      <c r="G2754" t="s">
        <v>1585</v>
      </c>
      <c r="H2754" t="s">
        <v>1586</v>
      </c>
      <c r="I2754" t="s">
        <v>85</v>
      </c>
      <c r="J2754">
        <v>34</v>
      </c>
      <c r="K2754" t="s">
        <v>81</v>
      </c>
      <c r="L2754" t="s">
        <v>100</v>
      </c>
      <c r="M2754" t="s">
        <v>56</v>
      </c>
      <c r="N2754" t="s">
        <v>2630</v>
      </c>
      <c r="O2754" t="s">
        <v>123</v>
      </c>
      <c r="P2754" t="s">
        <v>52</v>
      </c>
      <c r="Q2754" t="s">
        <v>146</v>
      </c>
      <c r="R2754">
        <v>3</v>
      </c>
      <c r="S2754">
        <v>2499</v>
      </c>
      <c r="T2754">
        <v>0</v>
      </c>
      <c r="U2754">
        <v>0</v>
      </c>
      <c r="V2754">
        <v>0</v>
      </c>
      <c r="W2754">
        <v>0</v>
      </c>
      <c r="X2754" t="s">
        <v>75</v>
      </c>
      <c r="Y2754" t="s">
        <v>71</v>
      </c>
      <c r="Z2754" t="s">
        <v>160</v>
      </c>
      <c r="AA2754" t="s">
        <v>166</v>
      </c>
      <c r="AB2754">
        <v>4.3</v>
      </c>
      <c r="AC2754">
        <v>50</v>
      </c>
      <c r="AD2754">
        <v>360.44</v>
      </c>
      <c r="AE2754">
        <f t="shared" ref="AE2754:AE2817" si="86">W2754-AC2754-AD2754</f>
        <v>-410.44</v>
      </c>
      <c r="AF2754" t="str">
        <f t="shared" ref="AF2754:AF2817" si="87">C2754&amp;"-"&amp;TEXT(D2754,"00")</f>
        <v>2025-12</v>
      </c>
      <c r="AG2754">
        <f>SUBTOTAL(103,A2754)</f>
        <v>1</v>
      </c>
    </row>
    <row r="2755" spans="1:33" x14ac:dyDescent="0.3">
      <c r="A2755" t="s">
        <v>5378</v>
      </c>
      <c r="B2755" s="13">
        <v>46010</v>
      </c>
      <c r="C2755">
        <v>2025</v>
      </c>
      <c r="D2755">
        <v>12</v>
      </c>
      <c r="E2755" t="s">
        <v>5251</v>
      </c>
      <c r="F2755" t="s">
        <v>4780</v>
      </c>
      <c r="G2755" t="s">
        <v>1515</v>
      </c>
      <c r="H2755" t="s">
        <v>1516</v>
      </c>
      <c r="I2755" t="s">
        <v>85</v>
      </c>
      <c r="J2755">
        <v>34</v>
      </c>
      <c r="K2755" t="s">
        <v>81</v>
      </c>
      <c r="L2755" t="s">
        <v>2576</v>
      </c>
      <c r="M2755" t="s">
        <v>60</v>
      </c>
      <c r="N2755" t="s">
        <v>2630</v>
      </c>
      <c r="O2755" t="s">
        <v>123</v>
      </c>
      <c r="P2755" t="s">
        <v>52</v>
      </c>
      <c r="Q2755" t="s">
        <v>146</v>
      </c>
      <c r="R2755">
        <v>3</v>
      </c>
      <c r="S2755">
        <v>2499</v>
      </c>
      <c r="T2755">
        <v>0.25</v>
      </c>
      <c r="U2755">
        <v>5622.75</v>
      </c>
      <c r="V2755">
        <v>4200</v>
      </c>
      <c r="W2755">
        <v>1422.75</v>
      </c>
      <c r="X2755" t="s">
        <v>74</v>
      </c>
      <c r="Y2755" t="s">
        <v>68</v>
      </c>
      <c r="Z2755" t="s">
        <v>162</v>
      </c>
      <c r="AA2755" t="s">
        <v>166</v>
      </c>
      <c r="AB2755">
        <v>4.3</v>
      </c>
      <c r="AC2755">
        <v>40</v>
      </c>
      <c r="AD2755">
        <v>554.33000000000004</v>
      </c>
      <c r="AE2755">
        <f t="shared" si="86"/>
        <v>828.42</v>
      </c>
      <c r="AF2755" t="str">
        <f t="shared" si="87"/>
        <v>2025-12</v>
      </c>
      <c r="AG2755">
        <f>SUBTOTAL(103,A2755)</f>
        <v>1</v>
      </c>
    </row>
    <row r="2756" spans="1:33" x14ac:dyDescent="0.3">
      <c r="A2756" t="s">
        <v>5379</v>
      </c>
      <c r="B2756" s="13">
        <v>46010</v>
      </c>
      <c r="C2756">
        <v>2025</v>
      </c>
      <c r="D2756">
        <v>12</v>
      </c>
      <c r="E2756" t="s">
        <v>5251</v>
      </c>
      <c r="F2756" t="s">
        <v>4780</v>
      </c>
      <c r="G2756" t="s">
        <v>1369</v>
      </c>
      <c r="H2756" t="s">
        <v>1370</v>
      </c>
      <c r="I2756" t="s">
        <v>86</v>
      </c>
      <c r="J2756">
        <v>23</v>
      </c>
      <c r="K2756" t="s">
        <v>80</v>
      </c>
      <c r="L2756" t="s">
        <v>59</v>
      </c>
      <c r="M2756" t="s">
        <v>59</v>
      </c>
      <c r="N2756" t="s">
        <v>2626</v>
      </c>
      <c r="O2756" t="s">
        <v>125</v>
      </c>
      <c r="P2756" t="s">
        <v>48</v>
      </c>
      <c r="Q2756" t="s">
        <v>141</v>
      </c>
      <c r="R2756">
        <v>1</v>
      </c>
      <c r="S2756">
        <v>1999</v>
      </c>
      <c r="T2756">
        <v>0.05</v>
      </c>
      <c r="U2756">
        <v>1899.05</v>
      </c>
      <c r="V2756">
        <v>1150</v>
      </c>
      <c r="W2756">
        <v>749.05</v>
      </c>
      <c r="X2756" t="s">
        <v>77</v>
      </c>
      <c r="Y2756" t="s">
        <v>68</v>
      </c>
      <c r="Z2756" t="s">
        <v>160</v>
      </c>
      <c r="AA2756" t="s">
        <v>168</v>
      </c>
      <c r="AB2756">
        <v>4.7</v>
      </c>
      <c r="AC2756">
        <v>50</v>
      </c>
      <c r="AD2756">
        <v>197.86</v>
      </c>
      <c r="AE2756">
        <f t="shared" si="86"/>
        <v>501.18999999999994</v>
      </c>
      <c r="AF2756" t="str">
        <f t="shared" si="87"/>
        <v>2025-12</v>
      </c>
      <c r="AG2756">
        <f>SUBTOTAL(103,A2756)</f>
        <v>1</v>
      </c>
    </row>
    <row r="2757" spans="1:33" x14ac:dyDescent="0.3">
      <c r="A2757" t="s">
        <v>5380</v>
      </c>
      <c r="B2757" s="13">
        <v>46010</v>
      </c>
      <c r="C2757">
        <v>2025</v>
      </c>
      <c r="D2757">
        <v>12</v>
      </c>
      <c r="E2757" t="s">
        <v>5251</v>
      </c>
      <c r="F2757" t="s">
        <v>4780</v>
      </c>
      <c r="G2757" t="s">
        <v>1729</v>
      </c>
      <c r="H2757" t="s">
        <v>1730</v>
      </c>
      <c r="I2757" t="s">
        <v>86</v>
      </c>
      <c r="J2757">
        <v>26</v>
      </c>
      <c r="K2757" t="s">
        <v>81</v>
      </c>
      <c r="L2757" t="s">
        <v>90</v>
      </c>
      <c r="M2757" t="s">
        <v>55</v>
      </c>
      <c r="N2757" t="s">
        <v>2657</v>
      </c>
      <c r="O2757" t="s">
        <v>134</v>
      </c>
      <c r="P2757" t="s">
        <v>49</v>
      </c>
      <c r="Q2757" t="s">
        <v>140</v>
      </c>
      <c r="R2757">
        <v>5</v>
      </c>
      <c r="S2757">
        <v>599</v>
      </c>
      <c r="T2757">
        <v>0.1</v>
      </c>
      <c r="U2757">
        <v>2695.5</v>
      </c>
      <c r="V2757">
        <v>1250</v>
      </c>
      <c r="W2757">
        <v>1445.5</v>
      </c>
      <c r="X2757" t="s">
        <v>74</v>
      </c>
      <c r="Y2757" t="s">
        <v>68</v>
      </c>
      <c r="Z2757" t="s">
        <v>158</v>
      </c>
      <c r="AA2757" t="s">
        <v>167</v>
      </c>
      <c r="AB2757">
        <v>4.2</v>
      </c>
      <c r="AC2757">
        <v>50</v>
      </c>
      <c r="AD2757">
        <v>180.91</v>
      </c>
      <c r="AE2757">
        <f t="shared" si="86"/>
        <v>1214.5899999999999</v>
      </c>
      <c r="AF2757" t="str">
        <f t="shared" si="87"/>
        <v>2025-12</v>
      </c>
      <c r="AG2757">
        <f>SUBTOTAL(103,A2757)</f>
        <v>1</v>
      </c>
    </row>
    <row r="2758" spans="1:33" x14ac:dyDescent="0.3">
      <c r="A2758" t="s">
        <v>5381</v>
      </c>
      <c r="B2758" s="13">
        <v>46010</v>
      </c>
      <c r="C2758">
        <v>2025</v>
      </c>
      <c r="D2758">
        <v>12</v>
      </c>
      <c r="E2758" t="s">
        <v>5251</v>
      </c>
      <c r="F2758" t="s">
        <v>4780</v>
      </c>
      <c r="G2758" t="s">
        <v>697</v>
      </c>
      <c r="H2758" t="s">
        <v>698</v>
      </c>
      <c r="I2758" t="s">
        <v>86</v>
      </c>
      <c r="J2758">
        <v>37</v>
      </c>
      <c r="K2758" t="s">
        <v>82</v>
      </c>
      <c r="L2758" t="s">
        <v>59</v>
      </c>
      <c r="M2758" t="s">
        <v>59</v>
      </c>
      <c r="N2758" t="s">
        <v>2574</v>
      </c>
      <c r="O2758" t="s">
        <v>130</v>
      </c>
      <c r="P2758" t="s">
        <v>50</v>
      </c>
      <c r="Q2758" t="s">
        <v>53</v>
      </c>
      <c r="R2758">
        <v>3</v>
      </c>
      <c r="S2758">
        <v>1199</v>
      </c>
      <c r="T2758">
        <v>0.1</v>
      </c>
      <c r="U2758">
        <v>3237.3</v>
      </c>
      <c r="V2758">
        <v>1650</v>
      </c>
      <c r="W2758">
        <v>1587.3</v>
      </c>
      <c r="X2758" t="s">
        <v>73</v>
      </c>
      <c r="Y2758" t="s">
        <v>68</v>
      </c>
      <c r="Z2758" t="s">
        <v>163</v>
      </c>
      <c r="AA2758" t="s">
        <v>171</v>
      </c>
      <c r="AB2758">
        <v>4.9000000000000004</v>
      </c>
      <c r="AC2758">
        <v>40</v>
      </c>
      <c r="AD2758">
        <v>352.54</v>
      </c>
      <c r="AE2758">
        <f t="shared" si="86"/>
        <v>1194.76</v>
      </c>
      <c r="AF2758" t="str">
        <f t="shared" si="87"/>
        <v>2025-12</v>
      </c>
      <c r="AG2758">
        <f>SUBTOTAL(103,A2758)</f>
        <v>1</v>
      </c>
    </row>
    <row r="2759" spans="1:33" x14ac:dyDescent="0.3">
      <c r="A2759" t="s">
        <v>5382</v>
      </c>
      <c r="B2759" s="13">
        <v>46010</v>
      </c>
      <c r="C2759">
        <v>2025</v>
      </c>
      <c r="D2759">
        <v>12</v>
      </c>
      <c r="E2759" t="s">
        <v>5251</v>
      </c>
      <c r="F2759" t="s">
        <v>4780</v>
      </c>
      <c r="G2759" t="s">
        <v>2477</v>
      </c>
      <c r="H2759" t="s">
        <v>2478</v>
      </c>
      <c r="I2759" t="s">
        <v>86</v>
      </c>
      <c r="J2759">
        <v>24</v>
      </c>
      <c r="K2759" t="s">
        <v>80</v>
      </c>
      <c r="L2759" t="s">
        <v>92</v>
      </c>
      <c r="M2759" t="s">
        <v>59</v>
      </c>
      <c r="N2759" t="s">
        <v>2577</v>
      </c>
      <c r="O2759" t="s">
        <v>129</v>
      </c>
      <c r="P2759" t="s">
        <v>49</v>
      </c>
      <c r="Q2759" t="s">
        <v>149</v>
      </c>
      <c r="R2759">
        <v>1</v>
      </c>
      <c r="S2759">
        <v>1299</v>
      </c>
      <c r="T2759">
        <v>0.2</v>
      </c>
      <c r="U2759">
        <v>1039.2</v>
      </c>
      <c r="V2759">
        <v>650</v>
      </c>
      <c r="W2759">
        <v>389.2</v>
      </c>
      <c r="X2759" t="s">
        <v>77</v>
      </c>
      <c r="Y2759" t="s">
        <v>68</v>
      </c>
      <c r="Z2759" t="s">
        <v>161</v>
      </c>
      <c r="AA2759" t="s">
        <v>167</v>
      </c>
      <c r="AB2759">
        <v>4.4000000000000004</v>
      </c>
      <c r="AC2759">
        <v>50</v>
      </c>
      <c r="AD2759">
        <v>97.76</v>
      </c>
      <c r="AE2759">
        <f t="shared" si="86"/>
        <v>241.44</v>
      </c>
      <c r="AF2759" t="str">
        <f t="shared" si="87"/>
        <v>2025-12</v>
      </c>
      <c r="AG2759">
        <f>SUBTOTAL(103,A2759)</f>
        <v>1</v>
      </c>
    </row>
    <row r="2760" spans="1:33" x14ac:dyDescent="0.3">
      <c r="A2760" t="s">
        <v>5383</v>
      </c>
      <c r="B2760" s="13">
        <v>46011</v>
      </c>
      <c r="C2760">
        <v>2025</v>
      </c>
      <c r="D2760">
        <v>12</v>
      </c>
      <c r="E2760" t="s">
        <v>5251</v>
      </c>
      <c r="F2760" t="s">
        <v>4780</v>
      </c>
      <c r="G2760" t="s">
        <v>733</v>
      </c>
      <c r="H2760" t="s">
        <v>734</v>
      </c>
      <c r="I2760" t="s">
        <v>85</v>
      </c>
      <c r="J2760">
        <v>57</v>
      </c>
      <c r="K2760" t="s">
        <v>83</v>
      </c>
      <c r="L2760" t="s">
        <v>2687</v>
      </c>
      <c r="M2760" t="s">
        <v>57</v>
      </c>
      <c r="N2760" t="s">
        <v>2580</v>
      </c>
      <c r="O2760" t="s">
        <v>118</v>
      </c>
      <c r="P2760" t="s">
        <v>48</v>
      </c>
      <c r="Q2760" t="s">
        <v>142</v>
      </c>
      <c r="R2760">
        <v>3</v>
      </c>
      <c r="S2760">
        <v>3999</v>
      </c>
      <c r="T2760">
        <v>0.15</v>
      </c>
      <c r="U2760">
        <v>0</v>
      </c>
      <c r="V2760">
        <v>0</v>
      </c>
      <c r="W2760">
        <v>0</v>
      </c>
      <c r="X2760" t="s">
        <v>74</v>
      </c>
      <c r="Y2760" t="s">
        <v>71</v>
      </c>
      <c r="Z2760" t="s">
        <v>158</v>
      </c>
      <c r="AA2760" t="s">
        <v>167</v>
      </c>
      <c r="AB2760">
        <v>4.4000000000000004</v>
      </c>
      <c r="AC2760">
        <v>40</v>
      </c>
      <c r="AD2760">
        <v>671.55</v>
      </c>
      <c r="AE2760">
        <f t="shared" si="86"/>
        <v>-711.55</v>
      </c>
      <c r="AF2760" t="str">
        <f t="shared" si="87"/>
        <v>2025-12</v>
      </c>
      <c r="AG2760">
        <f>SUBTOTAL(103,A2760)</f>
        <v>1</v>
      </c>
    </row>
    <row r="2761" spans="1:33" x14ac:dyDescent="0.3">
      <c r="A2761" t="s">
        <v>5384</v>
      </c>
      <c r="B2761" s="13">
        <v>46011</v>
      </c>
      <c r="C2761">
        <v>2025</v>
      </c>
      <c r="D2761">
        <v>12</v>
      </c>
      <c r="E2761" t="s">
        <v>5251</v>
      </c>
      <c r="F2761" t="s">
        <v>4780</v>
      </c>
      <c r="G2761" t="s">
        <v>2003</v>
      </c>
      <c r="H2761" t="s">
        <v>2004</v>
      </c>
      <c r="I2761" t="s">
        <v>86</v>
      </c>
      <c r="J2761">
        <v>32</v>
      </c>
      <c r="K2761" t="s">
        <v>81</v>
      </c>
      <c r="L2761" t="s">
        <v>2690</v>
      </c>
      <c r="M2761" t="s">
        <v>63</v>
      </c>
      <c r="N2761" t="s">
        <v>2644</v>
      </c>
      <c r="O2761" t="s">
        <v>126</v>
      </c>
      <c r="P2761" t="s">
        <v>50</v>
      </c>
      <c r="Q2761" t="s">
        <v>145</v>
      </c>
      <c r="R2761">
        <v>1</v>
      </c>
      <c r="S2761">
        <v>1799</v>
      </c>
      <c r="T2761">
        <v>0.05</v>
      </c>
      <c r="U2761">
        <v>0</v>
      </c>
      <c r="V2761">
        <v>0</v>
      </c>
      <c r="W2761">
        <v>0</v>
      </c>
      <c r="X2761" t="s">
        <v>76</v>
      </c>
      <c r="Y2761" t="s">
        <v>71</v>
      </c>
      <c r="Z2761" t="s">
        <v>163</v>
      </c>
      <c r="AA2761" t="s">
        <v>166</v>
      </c>
      <c r="AB2761">
        <v>4</v>
      </c>
      <c r="AC2761">
        <v>60</v>
      </c>
      <c r="AD2761">
        <v>105.65</v>
      </c>
      <c r="AE2761">
        <f t="shared" si="86"/>
        <v>-165.65</v>
      </c>
      <c r="AF2761" t="str">
        <f t="shared" si="87"/>
        <v>2025-12</v>
      </c>
      <c r="AG2761">
        <f>SUBTOTAL(103,A2761)</f>
        <v>1</v>
      </c>
    </row>
    <row r="2762" spans="1:33" x14ac:dyDescent="0.3">
      <c r="A2762" t="s">
        <v>5385</v>
      </c>
      <c r="B2762" s="13">
        <v>46011</v>
      </c>
      <c r="C2762">
        <v>2025</v>
      </c>
      <c r="D2762">
        <v>12</v>
      </c>
      <c r="E2762" t="s">
        <v>5251</v>
      </c>
      <c r="F2762" t="s">
        <v>4780</v>
      </c>
      <c r="G2762" t="s">
        <v>2161</v>
      </c>
      <c r="H2762" t="s">
        <v>2162</v>
      </c>
      <c r="I2762" t="s">
        <v>85</v>
      </c>
      <c r="J2762">
        <v>53</v>
      </c>
      <c r="K2762" t="s">
        <v>83</v>
      </c>
      <c r="L2762" t="s">
        <v>95</v>
      </c>
      <c r="M2762" t="s">
        <v>56</v>
      </c>
      <c r="N2762" t="s">
        <v>2665</v>
      </c>
      <c r="O2762" t="s">
        <v>128</v>
      </c>
      <c r="P2762" t="s">
        <v>53</v>
      </c>
      <c r="Q2762" t="s">
        <v>143</v>
      </c>
      <c r="R2762">
        <v>4</v>
      </c>
      <c r="S2762">
        <v>1499</v>
      </c>
      <c r="T2762">
        <v>0.1</v>
      </c>
      <c r="U2762">
        <v>5396.4</v>
      </c>
      <c r="V2762">
        <v>3200</v>
      </c>
      <c r="W2762">
        <v>2196.4</v>
      </c>
      <c r="X2762" t="s">
        <v>77</v>
      </c>
      <c r="Y2762" t="s">
        <v>68</v>
      </c>
      <c r="Z2762" t="s">
        <v>158</v>
      </c>
      <c r="AA2762" t="s">
        <v>166</v>
      </c>
      <c r="AB2762">
        <v>4.3</v>
      </c>
      <c r="AC2762">
        <v>60</v>
      </c>
      <c r="AD2762">
        <v>401.21</v>
      </c>
      <c r="AE2762">
        <f t="shared" si="86"/>
        <v>1735.19</v>
      </c>
      <c r="AF2762" t="str">
        <f t="shared" si="87"/>
        <v>2025-12</v>
      </c>
      <c r="AG2762">
        <f>SUBTOTAL(103,A2762)</f>
        <v>1</v>
      </c>
    </row>
    <row r="2763" spans="1:33" x14ac:dyDescent="0.3">
      <c r="A2763" t="s">
        <v>5386</v>
      </c>
      <c r="B2763" s="13">
        <v>46011</v>
      </c>
      <c r="C2763">
        <v>2025</v>
      </c>
      <c r="D2763">
        <v>12</v>
      </c>
      <c r="E2763" t="s">
        <v>5251</v>
      </c>
      <c r="F2763" t="s">
        <v>4780</v>
      </c>
      <c r="G2763" t="s">
        <v>1683</v>
      </c>
      <c r="H2763" t="s">
        <v>1684</v>
      </c>
      <c r="I2763" t="s">
        <v>86</v>
      </c>
      <c r="J2763">
        <v>45</v>
      </c>
      <c r="K2763" t="s">
        <v>82</v>
      </c>
      <c r="L2763" t="s">
        <v>94</v>
      </c>
      <c r="M2763" t="s">
        <v>57</v>
      </c>
      <c r="N2763" t="s">
        <v>2603</v>
      </c>
      <c r="O2763" t="s">
        <v>122</v>
      </c>
      <c r="P2763" t="s">
        <v>48</v>
      </c>
      <c r="Q2763" t="s">
        <v>141</v>
      </c>
      <c r="R2763">
        <v>2</v>
      </c>
      <c r="S2763">
        <v>2499</v>
      </c>
      <c r="T2763">
        <v>0.1</v>
      </c>
      <c r="U2763">
        <v>4498.2</v>
      </c>
      <c r="V2763">
        <v>2900</v>
      </c>
      <c r="W2763">
        <v>1598.2</v>
      </c>
      <c r="X2763" t="s">
        <v>75</v>
      </c>
      <c r="Y2763" t="s">
        <v>68</v>
      </c>
      <c r="Z2763" t="s">
        <v>160</v>
      </c>
      <c r="AA2763" t="s">
        <v>166</v>
      </c>
      <c r="AB2763">
        <v>3.1</v>
      </c>
      <c r="AC2763">
        <v>80</v>
      </c>
      <c r="AD2763">
        <v>477.9</v>
      </c>
      <c r="AE2763">
        <f t="shared" si="86"/>
        <v>1040.3000000000002</v>
      </c>
      <c r="AF2763" t="str">
        <f t="shared" si="87"/>
        <v>2025-12</v>
      </c>
      <c r="AG2763">
        <f>SUBTOTAL(103,A2763)</f>
        <v>1</v>
      </c>
    </row>
    <row r="2764" spans="1:33" x14ac:dyDescent="0.3">
      <c r="A2764" t="s">
        <v>5387</v>
      </c>
      <c r="B2764" s="13">
        <v>46011</v>
      </c>
      <c r="C2764">
        <v>2025</v>
      </c>
      <c r="D2764">
        <v>12</v>
      </c>
      <c r="E2764" t="s">
        <v>5251</v>
      </c>
      <c r="F2764" t="s">
        <v>4780</v>
      </c>
      <c r="G2764" t="s">
        <v>1245</v>
      </c>
      <c r="H2764" t="s">
        <v>1246</v>
      </c>
      <c r="I2764" t="s">
        <v>86</v>
      </c>
      <c r="J2764">
        <v>43</v>
      </c>
      <c r="K2764" t="s">
        <v>82</v>
      </c>
      <c r="L2764" t="s">
        <v>2589</v>
      </c>
      <c r="M2764" t="s">
        <v>61</v>
      </c>
      <c r="N2764" t="s">
        <v>2630</v>
      </c>
      <c r="O2764" t="s">
        <v>123</v>
      </c>
      <c r="P2764" t="s">
        <v>52</v>
      </c>
      <c r="Q2764" t="s">
        <v>146</v>
      </c>
      <c r="R2764">
        <v>1</v>
      </c>
      <c r="S2764">
        <v>2499</v>
      </c>
      <c r="T2764">
        <v>0.2</v>
      </c>
      <c r="U2764">
        <v>1999.2</v>
      </c>
      <c r="V2764">
        <v>1400</v>
      </c>
      <c r="W2764">
        <v>599.20000000000005</v>
      </c>
      <c r="X2764" t="s">
        <v>73</v>
      </c>
      <c r="Y2764" t="s">
        <v>68</v>
      </c>
      <c r="Z2764" t="s">
        <v>158</v>
      </c>
      <c r="AA2764" t="s">
        <v>170</v>
      </c>
      <c r="AB2764">
        <v>4.0999999999999996</v>
      </c>
      <c r="AC2764">
        <v>50</v>
      </c>
      <c r="AD2764">
        <v>127.69</v>
      </c>
      <c r="AE2764">
        <f t="shared" si="86"/>
        <v>421.51000000000005</v>
      </c>
      <c r="AF2764" t="str">
        <f t="shared" si="87"/>
        <v>2025-12</v>
      </c>
      <c r="AG2764">
        <f>SUBTOTAL(103,A2764)</f>
        <v>1</v>
      </c>
    </row>
    <row r="2765" spans="1:33" x14ac:dyDescent="0.3">
      <c r="A2765" t="s">
        <v>5388</v>
      </c>
      <c r="B2765" s="13">
        <v>46011</v>
      </c>
      <c r="C2765">
        <v>2025</v>
      </c>
      <c r="D2765">
        <v>12</v>
      </c>
      <c r="E2765" t="s">
        <v>5251</v>
      </c>
      <c r="F2765" t="s">
        <v>4780</v>
      </c>
      <c r="G2765" t="s">
        <v>491</v>
      </c>
      <c r="H2765" t="s">
        <v>492</v>
      </c>
      <c r="I2765" t="s">
        <v>86</v>
      </c>
      <c r="J2765">
        <v>40</v>
      </c>
      <c r="K2765" t="s">
        <v>82</v>
      </c>
      <c r="L2765" t="s">
        <v>2589</v>
      </c>
      <c r="M2765" t="s">
        <v>61</v>
      </c>
      <c r="N2765" t="s">
        <v>2603</v>
      </c>
      <c r="O2765" t="s">
        <v>122</v>
      </c>
      <c r="P2765" t="s">
        <v>48</v>
      </c>
      <c r="Q2765" t="s">
        <v>141</v>
      </c>
      <c r="R2765">
        <v>2</v>
      </c>
      <c r="S2765">
        <v>2499</v>
      </c>
      <c r="T2765">
        <v>0</v>
      </c>
      <c r="U2765">
        <v>4998</v>
      </c>
      <c r="V2765">
        <v>2900</v>
      </c>
      <c r="W2765">
        <v>2098</v>
      </c>
      <c r="X2765" t="s">
        <v>76</v>
      </c>
      <c r="Y2765" t="s">
        <v>68</v>
      </c>
      <c r="Z2765" t="s">
        <v>158</v>
      </c>
      <c r="AA2765" t="s">
        <v>168</v>
      </c>
      <c r="AB2765">
        <v>1.9</v>
      </c>
      <c r="AC2765">
        <v>50</v>
      </c>
      <c r="AD2765">
        <v>586.49</v>
      </c>
      <c r="AE2765">
        <f t="shared" si="86"/>
        <v>1461.51</v>
      </c>
      <c r="AF2765" t="str">
        <f t="shared" si="87"/>
        <v>2025-12</v>
      </c>
      <c r="AG2765">
        <f>SUBTOTAL(103,A2765)</f>
        <v>1</v>
      </c>
    </row>
    <row r="2766" spans="1:33" x14ac:dyDescent="0.3">
      <c r="A2766" t="s">
        <v>5389</v>
      </c>
      <c r="B2766" s="13">
        <v>46012</v>
      </c>
      <c r="C2766">
        <v>2025</v>
      </c>
      <c r="D2766">
        <v>12</v>
      </c>
      <c r="E2766" t="s">
        <v>5251</v>
      </c>
      <c r="F2766" t="s">
        <v>4780</v>
      </c>
      <c r="G2766" t="s">
        <v>275</v>
      </c>
      <c r="H2766" t="s">
        <v>276</v>
      </c>
      <c r="I2766" t="s">
        <v>86</v>
      </c>
      <c r="J2766">
        <v>29</v>
      </c>
      <c r="K2766" t="s">
        <v>81</v>
      </c>
      <c r="L2766" t="s">
        <v>97</v>
      </c>
      <c r="M2766" t="s">
        <v>57</v>
      </c>
      <c r="N2766" t="s">
        <v>2580</v>
      </c>
      <c r="O2766" t="s">
        <v>118</v>
      </c>
      <c r="P2766" t="s">
        <v>48</v>
      </c>
      <c r="Q2766" t="s">
        <v>142</v>
      </c>
      <c r="R2766">
        <v>3</v>
      </c>
      <c r="S2766">
        <v>3999</v>
      </c>
      <c r="T2766">
        <v>0.05</v>
      </c>
      <c r="U2766">
        <v>11397.15</v>
      </c>
      <c r="V2766">
        <v>7200</v>
      </c>
      <c r="W2766">
        <v>4197.1499999999996</v>
      </c>
      <c r="X2766" t="s">
        <v>76</v>
      </c>
      <c r="Y2766" t="s">
        <v>68</v>
      </c>
      <c r="Z2766" t="s">
        <v>158</v>
      </c>
      <c r="AA2766" t="s">
        <v>166</v>
      </c>
      <c r="AB2766">
        <v>4.9000000000000004</v>
      </c>
      <c r="AC2766">
        <v>40</v>
      </c>
      <c r="AD2766">
        <v>530.65</v>
      </c>
      <c r="AE2766">
        <f t="shared" si="86"/>
        <v>3626.4999999999995</v>
      </c>
      <c r="AF2766" t="str">
        <f t="shared" si="87"/>
        <v>2025-12</v>
      </c>
      <c r="AG2766">
        <f>SUBTOTAL(103,A2766)</f>
        <v>1</v>
      </c>
    </row>
    <row r="2767" spans="1:33" x14ac:dyDescent="0.3">
      <c r="A2767" t="s">
        <v>5390</v>
      </c>
      <c r="B2767" s="13">
        <v>46012</v>
      </c>
      <c r="C2767">
        <v>2025</v>
      </c>
      <c r="D2767">
        <v>12</v>
      </c>
      <c r="E2767" t="s">
        <v>5251</v>
      </c>
      <c r="F2767" t="s">
        <v>4780</v>
      </c>
      <c r="G2767" t="s">
        <v>1917</v>
      </c>
      <c r="H2767" t="s">
        <v>1918</v>
      </c>
      <c r="I2767" t="s">
        <v>86</v>
      </c>
      <c r="J2767">
        <v>45</v>
      </c>
      <c r="K2767" t="s">
        <v>82</v>
      </c>
      <c r="L2767" t="s">
        <v>99</v>
      </c>
      <c r="M2767" t="s">
        <v>58</v>
      </c>
      <c r="N2767" t="s">
        <v>2657</v>
      </c>
      <c r="O2767" t="s">
        <v>134</v>
      </c>
      <c r="P2767" t="s">
        <v>49</v>
      </c>
      <c r="Q2767" t="s">
        <v>140</v>
      </c>
      <c r="R2767">
        <v>1</v>
      </c>
      <c r="S2767">
        <v>599</v>
      </c>
      <c r="T2767">
        <v>0.1</v>
      </c>
      <c r="U2767">
        <v>539.1</v>
      </c>
      <c r="V2767">
        <v>250</v>
      </c>
      <c r="W2767">
        <v>289.10000000000002</v>
      </c>
      <c r="X2767" t="s">
        <v>75</v>
      </c>
      <c r="Y2767" t="s">
        <v>68</v>
      </c>
      <c r="Z2767" t="s">
        <v>161</v>
      </c>
      <c r="AA2767" t="s">
        <v>167</v>
      </c>
      <c r="AB2767">
        <v>3</v>
      </c>
      <c r="AC2767">
        <v>120</v>
      </c>
      <c r="AD2767">
        <v>21.18</v>
      </c>
      <c r="AE2767">
        <f t="shared" si="86"/>
        <v>147.92000000000002</v>
      </c>
      <c r="AF2767" t="str">
        <f t="shared" si="87"/>
        <v>2025-12</v>
      </c>
      <c r="AG2767">
        <f>SUBTOTAL(103,A2767)</f>
        <v>1</v>
      </c>
    </row>
    <row r="2768" spans="1:33" x14ac:dyDescent="0.3">
      <c r="A2768" t="s">
        <v>5391</v>
      </c>
      <c r="B2768" s="13">
        <v>46012</v>
      </c>
      <c r="C2768">
        <v>2025</v>
      </c>
      <c r="D2768">
        <v>12</v>
      </c>
      <c r="E2768" t="s">
        <v>5251</v>
      </c>
      <c r="F2768" t="s">
        <v>4780</v>
      </c>
      <c r="G2768" t="s">
        <v>1203</v>
      </c>
      <c r="H2768" t="s">
        <v>1204</v>
      </c>
      <c r="I2768" t="s">
        <v>85</v>
      </c>
      <c r="J2768">
        <v>43</v>
      </c>
      <c r="K2768" t="s">
        <v>82</v>
      </c>
      <c r="L2768" t="s">
        <v>2634</v>
      </c>
      <c r="M2768" t="s">
        <v>56</v>
      </c>
      <c r="N2768" t="s">
        <v>2630</v>
      </c>
      <c r="O2768" t="s">
        <v>123</v>
      </c>
      <c r="P2768" t="s">
        <v>52</v>
      </c>
      <c r="Q2768" t="s">
        <v>146</v>
      </c>
      <c r="R2768">
        <v>3</v>
      </c>
      <c r="S2768">
        <v>2499</v>
      </c>
      <c r="T2768">
        <v>0.05</v>
      </c>
      <c r="U2768">
        <v>7122.15</v>
      </c>
      <c r="V2768">
        <v>4200</v>
      </c>
      <c r="W2768">
        <v>2922.15</v>
      </c>
      <c r="X2768" t="s">
        <v>73</v>
      </c>
      <c r="Y2768" t="s">
        <v>68</v>
      </c>
      <c r="Z2768" t="s">
        <v>159</v>
      </c>
      <c r="AA2768" t="s">
        <v>167</v>
      </c>
      <c r="AB2768">
        <v>4.8</v>
      </c>
      <c r="AC2768">
        <v>80</v>
      </c>
      <c r="AD2768">
        <v>650.25</v>
      </c>
      <c r="AE2768">
        <f t="shared" si="86"/>
        <v>2191.9</v>
      </c>
      <c r="AF2768" t="str">
        <f t="shared" si="87"/>
        <v>2025-12</v>
      </c>
      <c r="AG2768">
        <f>SUBTOTAL(103,A2768)</f>
        <v>1</v>
      </c>
    </row>
    <row r="2769" spans="1:33" x14ac:dyDescent="0.3">
      <c r="A2769" t="s">
        <v>5392</v>
      </c>
      <c r="B2769" s="13">
        <v>46012</v>
      </c>
      <c r="C2769">
        <v>2025</v>
      </c>
      <c r="D2769">
        <v>12</v>
      </c>
      <c r="E2769" t="s">
        <v>5251</v>
      </c>
      <c r="F2769" t="s">
        <v>4780</v>
      </c>
      <c r="G2769" t="s">
        <v>223</v>
      </c>
      <c r="H2769" t="s">
        <v>224</v>
      </c>
      <c r="I2769" t="s">
        <v>85</v>
      </c>
      <c r="J2769">
        <v>34</v>
      </c>
      <c r="K2769" t="s">
        <v>81</v>
      </c>
      <c r="L2769" t="s">
        <v>97</v>
      </c>
      <c r="M2769" t="s">
        <v>57</v>
      </c>
      <c r="N2769" t="s">
        <v>2587</v>
      </c>
      <c r="O2769" t="s">
        <v>116</v>
      </c>
      <c r="P2769" t="s">
        <v>48</v>
      </c>
      <c r="Q2769" t="s">
        <v>138</v>
      </c>
      <c r="R2769">
        <v>2</v>
      </c>
      <c r="S2769">
        <v>14999</v>
      </c>
      <c r="T2769">
        <v>0.15</v>
      </c>
      <c r="U2769">
        <v>0</v>
      </c>
      <c r="V2769">
        <v>0</v>
      </c>
      <c r="W2769">
        <v>0</v>
      </c>
      <c r="X2769" t="s">
        <v>73</v>
      </c>
      <c r="Y2769" t="s">
        <v>71</v>
      </c>
      <c r="Z2769" t="s">
        <v>160</v>
      </c>
      <c r="AA2769" t="s">
        <v>169</v>
      </c>
      <c r="AB2769">
        <v>3.3</v>
      </c>
      <c r="AC2769">
        <v>50</v>
      </c>
      <c r="AD2769">
        <v>2346.54</v>
      </c>
      <c r="AE2769">
        <f t="shared" si="86"/>
        <v>-2396.54</v>
      </c>
      <c r="AF2769" t="str">
        <f t="shared" si="87"/>
        <v>2025-12</v>
      </c>
      <c r="AG2769">
        <f>SUBTOTAL(103,A2769)</f>
        <v>1</v>
      </c>
    </row>
    <row r="2770" spans="1:33" x14ac:dyDescent="0.3">
      <c r="A2770" t="s">
        <v>5393</v>
      </c>
      <c r="B2770" s="13">
        <v>46012</v>
      </c>
      <c r="C2770">
        <v>2025</v>
      </c>
      <c r="D2770">
        <v>12</v>
      </c>
      <c r="E2770" t="s">
        <v>5251</v>
      </c>
      <c r="F2770" t="s">
        <v>4780</v>
      </c>
      <c r="G2770" t="s">
        <v>1085</v>
      </c>
      <c r="H2770" t="s">
        <v>1086</v>
      </c>
      <c r="I2770" t="s">
        <v>86</v>
      </c>
      <c r="J2770">
        <v>57</v>
      </c>
      <c r="K2770" t="s">
        <v>83</v>
      </c>
      <c r="L2770" t="s">
        <v>2616</v>
      </c>
      <c r="M2770" t="s">
        <v>62</v>
      </c>
      <c r="N2770" t="s">
        <v>2626</v>
      </c>
      <c r="O2770" t="s">
        <v>125</v>
      </c>
      <c r="P2770" t="s">
        <v>48</v>
      </c>
      <c r="Q2770" t="s">
        <v>141</v>
      </c>
      <c r="R2770">
        <v>4</v>
      </c>
      <c r="S2770">
        <v>1999</v>
      </c>
      <c r="T2770">
        <v>0</v>
      </c>
      <c r="U2770">
        <v>7996</v>
      </c>
      <c r="V2770">
        <v>4600</v>
      </c>
      <c r="W2770">
        <v>3396</v>
      </c>
      <c r="X2770" t="s">
        <v>74</v>
      </c>
      <c r="Y2770" t="s">
        <v>68</v>
      </c>
      <c r="Z2770" t="s">
        <v>158</v>
      </c>
      <c r="AA2770" t="s">
        <v>167</v>
      </c>
      <c r="AB2770">
        <v>3.5</v>
      </c>
      <c r="AC2770">
        <v>80</v>
      </c>
      <c r="AD2770">
        <v>802.04</v>
      </c>
      <c r="AE2770">
        <f t="shared" si="86"/>
        <v>2513.96</v>
      </c>
      <c r="AF2770" t="str">
        <f t="shared" si="87"/>
        <v>2025-12</v>
      </c>
      <c r="AG2770">
        <f>SUBTOTAL(103,A2770)</f>
        <v>1</v>
      </c>
    </row>
    <row r="2771" spans="1:33" x14ac:dyDescent="0.3">
      <c r="A2771" t="s">
        <v>5394</v>
      </c>
      <c r="B2771" s="13">
        <v>46012</v>
      </c>
      <c r="C2771">
        <v>2025</v>
      </c>
      <c r="D2771">
        <v>12</v>
      </c>
      <c r="E2771" t="s">
        <v>5251</v>
      </c>
      <c r="F2771" t="s">
        <v>4780</v>
      </c>
      <c r="G2771" t="s">
        <v>493</v>
      </c>
      <c r="H2771" t="s">
        <v>494</v>
      </c>
      <c r="I2771" t="s">
        <v>86</v>
      </c>
      <c r="J2771">
        <v>43</v>
      </c>
      <c r="K2771" t="s">
        <v>82</v>
      </c>
      <c r="L2771" t="s">
        <v>95</v>
      </c>
      <c r="M2771" t="s">
        <v>56</v>
      </c>
      <c r="N2771" t="s">
        <v>2630</v>
      </c>
      <c r="O2771" t="s">
        <v>123</v>
      </c>
      <c r="P2771" t="s">
        <v>52</v>
      </c>
      <c r="Q2771" t="s">
        <v>146</v>
      </c>
      <c r="R2771">
        <v>5</v>
      </c>
      <c r="S2771">
        <v>2499</v>
      </c>
      <c r="T2771">
        <v>0.15</v>
      </c>
      <c r="U2771">
        <v>10620.75</v>
      </c>
      <c r="V2771">
        <v>7000</v>
      </c>
      <c r="W2771">
        <v>3620.75</v>
      </c>
      <c r="X2771" t="s">
        <v>73</v>
      </c>
      <c r="Y2771" t="s">
        <v>68</v>
      </c>
      <c r="Z2771" t="s">
        <v>162</v>
      </c>
      <c r="AA2771" t="s">
        <v>169</v>
      </c>
      <c r="AB2771">
        <v>4</v>
      </c>
      <c r="AC2771">
        <v>80</v>
      </c>
      <c r="AD2771">
        <v>1231.24</v>
      </c>
      <c r="AE2771">
        <f t="shared" si="86"/>
        <v>2309.5100000000002</v>
      </c>
      <c r="AF2771" t="str">
        <f t="shared" si="87"/>
        <v>2025-12</v>
      </c>
      <c r="AG2771">
        <f>SUBTOTAL(103,A2771)</f>
        <v>1</v>
      </c>
    </row>
    <row r="2772" spans="1:33" x14ac:dyDescent="0.3">
      <c r="A2772" t="s">
        <v>5395</v>
      </c>
      <c r="B2772" s="13">
        <v>46012</v>
      </c>
      <c r="C2772">
        <v>2025</v>
      </c>
      <c r="D2772">
        <v>12</v>
      </c>
      <c r="E2772" t="s">
        <v>5251</v>
      </c>
      <c r="F2772" t="s">
        <v>4780</v>
      </c>
      <c r="G2772" t="s">
        <v>723</v>
      </c>
      <c r="H2772" t="s">
        <v>724</v>
      </c>
      <c r="I2772" t="s">
        <v>85</v>
      </c>
      <c r="J2772">
        <v>28</v>
      </c>
      <c r="K2772" t="s">
        <v>81</v>
      </c>
      <c r="L2772" t="s">
        <v>2610</v>
      </c>
      <c r="M2772" t="s">
        <v>64</v>
      </c>
      <c r="N2772" t="s">
        <v>2577</v>
      </c>
      <c r="O2772" t="s">
        <v>129</v>
      </c>
      <c r="P2772" t="s">
        <v>49</v>
      </c>
      <c r="Q2772" t="s">
        <v>149</v>
      </c>
      <c r="R2772">
        <v>1</v>
      </c>
      <c r="S2772">
        <v>1299</v>
      </c>
      <c r="T2772">
        <v>0.15</v>
      </c>
      <c r="U2772">
        <v>1104.1500000000001</v>
      </c>
      <c r="V2772">
        <v>650</v>
      </c>
      <c r="W2772">
        <v>454.15</v>
      </c>
      <c r="X2772" t="s">
        <v>76</v>
      </c>
      <c r="Y2772" t="s">
        <v>68</v>
      </c>
      <c r="Z2772" t="s">
        <v>160</v>
      </c>
      <c r="AA2772" t="s">
        <v>170</v>
      </c>
      <c r="AB2772">
        <v>4</v>
      </c>
      <c r="AC2772">
        <v>60</v>
      </c>
      <c r="AD2772">
        <v>38.130000000000003</v>
      </c>
      <c r="AE2772">
        <f t="shared" si="86"/>
        <v>356.02</v>
      </c>
      <c r="AF2772" t="str">
        <f t="shared" si="87"/>
        <v>2025-12</v>
      </c>
      <c r="AG2772">
        <f>SUBTOTAL(103,A2772)</f>
        <v>1</v>
      </c>
    </row>
    <row r="2773" spans="1:33" x14ac:dyDescent="0.3">
      <c r="A2773" t="s">
        <v>5396</v>
      </c>
      <c r="B2773" s="13">
        <v>46012</v>
      </c>
      <c r="C2773">
        <v>2025</v>
      </c>
      <c r="D2773">
        <v>12</v>
      </c>
      <c r="E2773" t="s">
        <v>5251</v>
      </c>
      <c r="F2773" t="s">
        <v>4780</v>
      </c>
      <c r="G2773" t="s">
        <v>1941</v>
      </c>
      <c r="H2773" t="s">
        <v>1942</v>
      </c>
      <c r="I2773" t="s">
        <v>86</v>
      </c>
      <c r="J2773">
        <v>57</v>
      </c>
      <c r="K2773" t="s">
        <v>83</v>
      </c>
      <c r="L2773" t="s">
        <v>100</v>
      </c>
      <c r="M2773" t="s">
        <v>56</v>
      </c>
      <c r="N2773" t="s">
        <v>2596</v>
      </c>
      <c r="O2773" t="s">
        <v>124</v>
      </c>
      <c r="P2773" t="s">
        <v>51</v>
      </c>
      <c r="Q2773" t="s">
        <v>147</v>
      </c>
      <c r="R2773">
        <v>1</v>
      </c>
      <c r="S2773">
        <v>2299</v>
      </c>
      <c r="T2773">
        <v>0</v>
      </c>
      <c r="U2773">
        <v>2299</v>
      </c>
      <c r="V2773">
        <v>1200</v>
      </c>
      <c r="W2773">
        <v>1099</v>
      </c>
      <c r="X2773" t="s">
        <v>77</v>
      </c>
      <c r="Y2773" t="s">
        <v>68</v>
      </c>
      <c r="Z2773" t="s">
        <v>163</v>
      </c>
      <c r="AA2773" t="s">
        <v>166</v>
      </c>
      <c r="AB2773">
        <v>3.6</v>
      </c>
      <c r="AC2773">
        <v>50</v>
      </c>
      <c r="AD2773">
        <v>230.21</v>
      </c>
      <c r="AE2773">
        <f t="shared" si="86"/>
        <v>818.79</v>
      </c>
      <c r="AF2773" t="str">
        <f t="shared" si="87"/>
        <v>2025-12</v>
      </c>
      <c r="AG2773">
        <f>SUBTOTAL(103,A2773)</f>
        <v>1</v>
      </c>
    </row>
    <row r="2774" spans="1:33" x14ac:dyDescent="0.3">
      <c r="A2774" t="s">
        <v>5397</v>
      </c>
      <c r="B2774" s="13">
        <v>46013</v>
      </c>
      <c r="C2774">
        <v>2025</v>
      </c>
      <c r="D2774">
        <v>12</v>
      </c>
      <c r="E2774" t="s">
        <v>5251</v>
      </c>
      <c r="F2774" t="s">
        <v>4780</v>
      </c>
      <c r="G2774" t="s">
        <v>1559</v>
      </c>
      <c r="H2774" t="s">
        <v>1560</v>
      </c>
      <c r="I2774" t="s">
        <v>85</v>
      </c>
      <c r="J2774">
        <v>56</v>
      </c>
      <c r="K2774" t="s">
        <v>83</v>
      </c>
      <c r="L2774" t="s">
        <v>100</v>
      </c>
      <c r="M2774" t="s">
        <v>56</v>
      </c>
      <c r="N2774" t="s">
        <v>2657</v>
      </c>
      <c r="O2774" t="s">
        <v>134</v>
      </c>
      <c r="P2774" t="s">
        <v>49</v>
      </c>
      <c r="Q2774" t="s">
        <v>140</v>
      </c>
      <c r="R2774">
        <v>2</v>
      </c>
      <c r="S2774">
        <v>599</v>
      </c>
      <c r="T2774">
        <v>0.15</v>
      </c>
      <c r="U2774">
        <v>1018.3</v>
      </c>
      <c r="V2774">
        <v>500</v>
      </c>
      <c r="W2774">
        <v>518.29999999999995</v>
      </c>
      <c r="X2774" t="s">
        <v>73</v>
      </c>
      <c r="Y2774" t="s">
        <v>69</v>
      </c>
      <c r="Z2774" t="s">
        <v>161</v>
      </c>
      <c r="AA2774" t="s">
        <v>166</v>
      </c>
      <c r="AB2774">
        <v>3.3</v>
      </c>
      <c r="AC2774">
        <v>40</v>
      </c>
      <c r="AD2774">
        <v>46.55</v>
      </c>
      <c r="AE2774">
        <f t="shared" si="86"/>
        <v>431.74999999999994</v>
      </c>
      <c r="AF2774" t="str">
        <f t="shared" si="87"/>
        <v>2025-12</v>
      </c>
      <c r="AG2774">
        <f>SUBTOTAL(103,A2774)</f>
        <v>1</v>
      </c>
    </row>
    <row r="2775" spans="1:33" x14ac:dyDescent="0.3">
      <c r="A2775" t="s">
        <v>5398</v>
      </c>
      <c r="B2775" s="13">
        <v>46013</v>
      </c>
      <c r="C2775">
        <v>2025</v>
      </c>
      <c r="D2775">
        <v>12</v>
      </c>
      <c r="E2775" t="s">
        <v>5251</v>
      </c>
      <c r="F2775" t="s">
        <v>4780</v>
      </c>
      <c r="G2775" t="s">
        <v>1897</v>
      </c>
      <c r="H2775" t="s">
        <v>1898</v>
      </c>
      <c r="I2775" t="s">
        <v>85</v>
      </c>
      <c r="J2775">
        <v>32</v>
      </c>
      <c r="K2775" t="s">
        <v>81</v>
      </c>
      <c r="L2775" t="s">
        <v>2573</v>
      </c>
      <c r="M2775" t="s">
        <v>63</v>
      </c>
      <c r="N2775" t="s">
        <v>2644</v>
      </c>
      <c r="O2775" t="s">
        <v>126</v>
      </c>
      <c r="P2775" t="s">
        <v>50</v>
      </c>
      <c r="Q2775" t="s">
        <v>145</v>
      </c>
      <c r="R2775">
        <v>3</v>
      </c>
      <c r="S2775">
        <v>1799</v>
      </c>
      <c r="T2775">
        <v>0.2</v>
      </c>
      <c r="U2775">
        <v>4317.6000000000004</v>
      </c>
      <c r="V2775">
        <v>2850</v>
      </c>
      <c r="W2775">
        <v>1467.6</v>
      </c>
      <c r="X2775" t="s">
        <v>73</v>
      </c>
      <c r="Y2775" t="s">
        <v>68</v>
      </c>
      <c r="Z2775" t="s">
        <v>161</v>
      </c>
      <c r="AA2775" t="s">
        <v>166</v>
      </c>
      <c r="AB2775">
        <v>4.8</v>
      </c>
      <c r="AC2775">
        <v>50</v>
      </c>
      <c r="AD2775">
        <v>390.91</v>
      </c>
      <c r="AE2775">
        <f t="shared" si="86"/>
        <v>1026.6899999999998</v>
      </c>
      <c r="AF2775" t="str">
        <f t="shared" si="87"/>
        <v>2025-12</v>
      </c>
      <c r="AG2775">
        <f>SUBTOTAL(103,A2775)</f>
        <v>1</v>
      </c>
    </row>
    <row r="2776" spans="1:33" x14ac:dyDescent="0.3">
      <c r="A2776" t="s">
        <v>5399</v>
      </c>
      <c r="B2776" s="13">
        <v>46013</v>
      </c>
      <c r="C2776">
        <v>2025</v>
      </c>
      <c r="D2776">
        <v>12</v>
      </c>
      <c r="E2776" t="s">
        <v>5251</v>
      </c>
      <c r="F2776" t="s">
        <v>4780</v>
      </c>
      <c r="G2776" t="s">
        <v>779</v>
      </c>
      <c r="H2776" t="s">
        <v>780</v>
      </c>
      <c r="I2776" t="s">
        <v>85</v>
      </c>
      <c r="J2776">
        <v>19</v>
      </c>
      <c r="K2776" t="s">
        <v>80</v>
      </c>
      <c r="L2776" t="s">
        <v>96</v>
      </c>
      <c r="M2776" t="s">
        <v>55</v>
      </c>
      <c r="N2776" t="s">
        <v>2644</v>
      </c>
      <c r="O2776" t="s">
        <v>126</v>
      </c>
      <c r="P2776" t="s">
        <v>50</v>
      </c>
      <c r="Q2776" t="s">
        <v>145</v>
      </c>
      <c r="R2776">
        <v>1</v>
      </c>
      <c r="S2776">
        <v>1799</v>
      </c>
      <c r="T2776">
        <v>0.05</v>
      </c>
      <c r="U2776">
        <v>1709.05</v>
      </c>
      <c r="V2776">
        <v>950</v>
      </c>
      <c r="W2776">
        <v>759.05</v>
      </c>
      <c r="X2776" t="s">
        <v>73</v>
      </c>
      <c r="Y2776" t="s">
        <v>68</v>
      </c>
      <c r="Z2776" t="s">
        <v>158</v>
      </c>
      <c r="AA2776" t="s">
        <v>168</v>
      </c>
      <c r="AB2776">
        <v>4</v>
      </c>
      <c r="AC2776">
        <v>40</v>
      </c>
      <c r="AD2776">
        <v>41.32</v>
      </c>
      <c r="AE2776">
        <f t="shared" si="86"/>
        <v>677.7299999999999</v>
      </c>
      <c r="AF2776" t="str">
        <f t="shared" si="87"/>
        <v>2025-12</v>
      </c>
      <c r="AG2776">
        <f>SUBTOTAL(103,A2776)</f>
        <v>1</v>
      </c>
    </row>
    <row r="2777" spans="1:33" x14ac:dyDescent="0.3">
      <c r="A2777" t="s">
        <v>5400</v>
      </c>
      <c r="B2777" s="13">
        <v>46013</v>
      </c>
      <c r="C2777">
        <v>2025</v>
      </c>
      <c r="D2777">
        <v>12</v>
      </c>
      <c r="E2777" t="s">
        <v>5251</v>
      </c>
      <c r="F2777" t="s">
        <v>4780</v>
      </c>
      <c r="G2777" t="s">
        <v>681</v>
      </c>
      <c r="H2777" t="s">
        <v>682</v>
      </c>
      <c r="I2777" t="s">
        <v>86</v>
      </c>
      <c r="J2777">
        <v>30</v>
      </c>
      <c r="K2777" t="s">
        <v>81</v>
      </c>
      <c r="L2777" t="s">
        <v>2589</v>
      </c>
      <c r="M2777" t="s">
        <v>61</v>
      </c>
      <c r="N2777" t="s">
        <v>2596</v>
      </c>
      <c r="O2777" t="s">
        <v>124</v>
      </c>
      <c r="P2777" t="s">
        <v>51</v>
      </c>
      <c r="Q2777" t="s">
        <v>147</v>
      </c>
      <c r="R2777">
        <v>5</v>
      </c>
      <c r="S2777">
        <v>2299</v>
      </c>
      <c r="T2777">
        <v>0.1</v>
      </c>
      <c r="U2777">
        <v>10345.5</v>
      </c>
      <c r="V2777">
        <v>6000</v>
      </c>
      <c r="W2777">
        <v>4345.5</v>
      </c>
      <c r="X2777" t="s">
        <v>73</v>
      </c>
      <c r="Y2777" t="s">
        <v>68</v>
      </c>
      <c r="Z2777" t="s">
        <v>159</v>
      </c>
      <c r="AA2777" t="s">
        <v>170</v>
      </c>
      <c r="AB2777">
        <v>3.8</v>
      </c>
      <c r="AC2777">
        <v>60</v>
      </c>
      <c r="AD2777">
        <v>1170.48</v>
      </c>
      <c r="AE2777">
        <f t="shared" si="86"/>
        <v>3115.02</v>
      </c>
      <c r="AF2777" t="str">
        <f t="shared" si="87"/>
        <v>2025-12</v>
      </c>
      <c r="AG2777">
        <f>SUBTOTAL(103,A2777)</f>
        <v>1</v>
      </c>
    </row>
    <row r="2778" spans="1:33" x14ac:dyDescent="0.3">
      <c r="A2778" t="s">
        <v>5401</v>
      </c>
      <c r="B2778" s="13">
        <v>46013</v>
      </c>
      <c r="C2778">
        <v>2025</v>
      </c>
      <c r="D2778">
        <v>12</v>
      </c>
      <c r="E2778" t="s">
        <v>5251</v>
      </c>
      <c r="F2778" t="s">
        <v>4780</v>
      </c>
      <c r="G2778" t="s">
        <v>1199</v>
      </c>
      <c r="H2778" t="s">
        <v>1200</v>
      </c>
      <c r="I2778" t="s">
        <v>85</v>
      </c>
      <c r="J2778">
        <v>58</v>
      </c>
      <c r="K2778" t="s">
        <v>83</v>
      </c>
      <c r="L2778" t="s">
        <v>93</v>
      </c>
      <c r="M2778" t="s">
        <v>55</v>
      </c>
      <c r="N2778" t="s">
        <v>2580</v>
      </c>
      <c r="O2778" t="s">
        <v>118</v>
      </c>
      <c r="P2778" t="s">
        <v>48</v>
      </c>
      <c r="Q2778" t="s">
        <v>142</v>
      </c>
      <c r="R2778">
        <v>2</v>
      </c>
      <c r="S2778">
        <v>3999</v>
      </c>
      <c r="T2778">
        <v>0.15</v>
      </c>
      <c r="U2778">
        <v>6798.3</v>
      </c>
      <c r="V2778">
        <v>4800</v>
      </c>
      <c r="W2778">
        <v>1998.3</v>
      </c>
      <c r="X2778" t="s">
        <v>74</v>
      </c>
      <c r="Y2778" t="s">
        <v>68</v>
      </c>
      <c r="Z2778" t="s">
        <v>158</v>
      </c>
      <c r="AA2778" t="s">
        <v>171</v>
      </c>
      <c r="AB2778">
        <v>4.3</v>
      </c>
      <c r="AC2778">
        <v>80</v>
      </c>
      <c r="AD2778">
        <v>807.92</v>
      </c>
      <c r="AE2778">
        <f t="shared" si="86"/>
        <v>1110.3800000000001</v>
      </c>
      <c r="AF2778" t="str">
        <f t="shared" si="87"/>
        <v>2025-12</v>
      </c>
      <c r="AG2778">
        <f>SUBTOTAL(103,A2778)</f>
        <v>1</v>
      </c>
    </row>
    <row r="2779" spans="1:33" x14ac:dyDescent="0.3">
      <c r="A2779" t="s">
        <v>5402</v>
      </c>
      <c r="B2779" s="13">
        <v>46013</v>
      </c>
      <c r="C2779">
        <v>2025</v>
      </c>
      <c r="D2779">
        <v>12</v>
      </c>
      <c r="E2779" t="s">
        <v>5251</v>
      </c>
      <c r="F2779" t="s">
        <v>4780</v>
      </c>
      <c r="G2779" t="s">
        <v>2367</v>
      </c>
      <c r="H2779" t="s">
        <v>2368</v>
      </c>
      <c r="I2779" t="s">
        <v>85</v>
      </c>
      <c r="J2779">
        <v>49</v>
      </c>
      <c r="K2779" t="s">
        <v>83</v>
      </c>
      <c r="L2779" t="s">
        <v>99</v>
      </c>
      <c r="M2779" t="s">
        <v>58</v>
      </c>
      <c r="N2779" t="s">
        <v>2577</v>
      </c>
      <c r="O2779" t="s">
        <v>129</v>
      </c>
      <c r="P2779" t="s">
        <v>49</v>
      </c>
      <c r="Q2779" t="s">
        <v>149</v>
      </c>
      <c r="R2779">
        <v>1</v>
      </c>
      <c r="S2779">
        <v>1299</v>
      </c>
      <c r="T2779">
        <v>0</v>
      </c>
      <c r="U2779">
        <v>0</v>
      </c>
      <c r="V2779">
        <v>0</v>
      </c>
      <c r="W2779">
        <v>0</v>
      </c>
      <c r="X2779" t="s">
        <v>73</v>
      </c>
      <c r="Y2779" t="s">
        <v>71</v>
      </c>
      <c r="Z2779" t="s">
        <v>158</v>
      </c>
      <c r="AA2779" t="s">
        <v>168</v>
      </c>
      <c r="AB2779">
        <v>4.0999999999999996</v>
      </c>
      <c r="AC2779">
        <v>120</v>
      </c>
      <c r="AD2779">
        <v>38.65</v>
      </c>
      <c r="AE2779">
        <f t="shared" si="86"/>
        <v>-158.65</v>
      </c>
      <c r="AF2779" t="str">
        <f t="shared" si="87"/>
        <v>2025-12</v>
      </c>
      <c r="AG2779">
        <f>SUBTOTAL(103,A2779)</f>
        <v>1</v>
      </c>
    </row>
    <row r="2780" spans="1:33" x14ac:dyDescent="0.3">
      <c r="A2780" t="s">
        <v>5403</v>
      </c>
      <c r="B2780" s="13">
        <v>46013</v>
      </c>
      <c r="C2780">
        <v>2025</v>
      </c>
      <c r="D2780">
        <v>12</v>
      </c>
      <c r="E2780" t="s">
        <v>5251</v>
      </c>
      <c r="F2780" t="s">
        <v>4780</v>
      </c>
      <c r="G2780" t="s">
        <v>877</v>
      </c>
      <c r="H2780" t="s">
        <v>878</v>
      </c>
      <c r="I2780" t="s">
        <v>85</v>
      </c>
      <c r="J2780">
        <v>21</v>
      </c>
      <c r="K2780" t="s">
        <v>80</v>
      </c>
      <c r="L2780" t="s">
        <v>59</v>
      </c>
      <c r="M2780" t="s">
        <v>59</v>
      </c>
      <c r="N2780" t="s">
        <v>2606</v>
      </c>
      <c r="O2780" t="s">
        <v>120</v>
      </c>
      <c r="P2780" t="s">
        <v>49</v>
      </c>
      <c r="Q2780" t="s">
        <v>140</v>
      </c>
      <c r="R2780">
        <v>4</v>
      </c>
      <c r="S2780">
        <v>2799</v>
      </c>
      <c r="T2780">
        <v>0.05</v>
      </c>
      <c r="U2780">
        <v>10636.2</v>
      </c>
      <c r="V2780">
        <v>6600</v>
      </c>
      <c r="W2780">
        <v>4036.2</v>
      </c>
      <c r="X2780" t="s">
        <v>74</v>
      </c>
      <c r="Y2780" t="s">
        <v>68</v>
      </c>
      <c r="Z2780" t="s">
        <v>158</v>
      </c>
      <c r="AA2780" t="s">
        <v>170</v>
      </c>
      <c r="AB2780">
        <v>3.7</v>
      </c>
      <c r="AC2780">
        <v>50</v>
      </c>
      <c r="AD2780">
        <v>729.23</v>
      </c>
      <c r="AE2780">
        <f t="shared" si="86"/>
        <v>3256.97</v>
      </c>
      <c r="AF2780" t="str">
        <f t="shared" si="87"/>
        <v>2025-12</v>
      </c>
      <c r="AG2780">
        <f>SUBTOTAL(103,A2780)</f>
        <v>1</v>
      </c>
    </row>
    <row r="2781" spans="1:33" x14ac:dyDescent="0.3">
      <c r="A2781" t="s">
        <v>5404</v>
      </c>
      <c r="B2781" s="13">
        <v>46013</v>
      </c>
      <c r="C2781">
        <v>2025</v>
      </c>
      <c r="D2781">
        <v>12</v>
      </c>
      <c r="E2781" t="s">
        <v>5251</v>
      </c>
      <c r="F2781" t="s">
        <v>4780</v>
      </c>
      <c r="G2781" t="s">
        <v>1521</v>
      </c>
      <c r="H2781" t="s">
        <v>1522</v>
      </c>
      <c r="I2781" t="s">
        <v>85</v>
      </c>
      <c r="J2781">
        <v>34</v>
      </c>
      <c r="K2781" t="s">
        <v>81</v>
      </c>
      <c r="L2781" t="s">
        <v>2589</v>
      </c>
      <c r="M2781" t="s">
        <v>61</v>
      </c>
      <c r="N2781" t="s">
        <v>2574</v>
      </c>
      <c r="O2781" t="s">
        <v>130</v>
      </c>
      <c r="P2781" t="s">
        <v>50</v>
      </c>
      <c r="Q2781" t="s">
        <v>53</v>
      </c>
      <c r="R2781">
        <v>1</v>
      </c>
      <c r="S2781">
        <v>1199</v>
      </c>
      <c r="T2781">
        <v>0.2</v>
      </c>
      <c r="U2781">
        <v>0</v>
      </c>
      <c r="V2781">
        <v>0</v>
      </c>
      <c r="W2781">
        <v>0</v>
      </c>
      <c r="X2781" t="s">
        <v>73</v>
      </c>
      <c r="Y2781" t="s">
        <v>71</v>
      </c>
      <c r="Z2781" t="s">
        <v>159</v>
      </c>
      <c r="AA2781" t="s">
        <v>171</v>
      </c>
      <c r="AB2781">
        <v>2.8</v>
      </c>
      <c r="AC2781">
        <v>60</v>
      </c>
      <c r="AD2781">
        <v>104.26</v>
      </c>
      <c r="AE2781">
        <f t="shared" si="86"/>
        <v>-164.26</v>
      </c>
      <c r="AF2781" t="str">
        <f t="shared" si="87"/>
        <v>2025-12</v>
      </c>
      <c r="AG2781">
        <f>SUBTOTAL(103,A2781)</f>
        <v>1</v>
      </c>
    </row>
    <row r="2782" spans="1:33" x14ac:dyDescent="0.3">
      <c r="A2782" t="s">
        <v>5405</v>
      </c>
      <c r="B2782" s="13">
        <v>46013</v>
      </c>
      <c r="C2782">
        <v>2025</v>
      </c>
      <c r="D2782">
        <v>12</v>
      </c>
      <c r="E2782" t="s">
        <v>5251</v>
      </c>
      <c r="F2782" t="s">
        <v>4780</v>
      </c>
      <c r="G2782" t="s">
        <v>1661</v>
      </c>
      <c r="H2782" t="s">
        <v>1662</v>
      </c>
      <c r="I2782" t="s">
        <v>86</v>
      </c>
      <c r="J2782">
        <v>26</v>
      </c>
      <c r="K2782" t="s">
        <v>81</v>
      </c>
      <c r="L2782" t="s">
        <v>2623</v>
      </c>
      <c r="M2782" t="s">
        <v>61</v>
      </c>
      <c r="N2782" t="s">
        <v>2606</v>
      </c>
      <c r="O2782" t="s">
        <v>120</v>
      </c>
      <c r="P2782" t="s">
        <v>49</v>
      </c>
      <c r="Q2782" t="s">
        <v>140</v>
      </c>
      <c r="R2782">
        <v>1</v>
      </c>
      <c r="S2782">
        <v>2799</v>
      </c>
      <c r="T2782">
        <v>0.15</v>
      </c>
      <c r="U2782">
        <v>2379.15</v>
      </c>
      <c r="V2782">
        <v>1650</v>
      </c>
      <c r="W2782">
        <v>729.15</v>
      </c>
      <c r="X2782" t="s">
        <v>74</v>
      </c>
      <c r="Y2782" t="s">
        <v>68</v>
      </c>
      <c r="Z2782" t="s">
        <v>162</v>
      </c>
      <c r="AA2782" t="s">
        <v>166</v>
      </c>
      <c r="AB2782">
        <v>4.5</v>
      </c>
      <c r="AC2782">
        <v>100</v>
      </c>
      <c r="AD2782">
        <v>282.07</v>
      </c>
      <c r="AE2782">
        <f t="shared" si="86"/>
        <v>347.08</v>
      </c>
      <c r="AF2782" t="str">
        <f t="shared" si="87"/>
        <v>2025-12</v>
      </c>
      <c r="AG2782">
        <f>SUBTOTAL(103,A2782)</f>
        <v>1</v>
      </c>
    </row>
    <row r="2783" spans="1:33" x14ac:dyDescent="0.3">
      <c r="A2783" t="s">
        <v>5406</v>
      </c>
      <c r="B2783" s="13">
        <v>46013</v>
      </c>
      <c r="C2783">
        <v>2025</v>
      </c>
      <c r="D2783">
        <v>12</v>
      </c>
      <c r="E2783" t="s">
        <v>5251</v>
      </c>
      <c r="F2783" t="s">
        <v>4780</v>
      </c>
      <c r="G2783" t="s">
        <v>447</v>
      </c>
      <c r="H2783" t="s">
        <v>448</v>
      </c>
      <c r="I2783" t="s">
        <v>85</v>
      </c>
      <c r="J2783">
        <v>32</v>
      </c>
      <c r="K2783" t="s">
        <v>81</v>
      </c>
      <c r="L2783" t="s">
        <v>90</v>
      </c>
      <c r="M2783" t="s">
        <v>55</v>
      </c>
      <c r="N2783" t="s">
        <v>2601</v>
      </c>
      <c r="O2783" t="s">
        <v>117</v>
      </c>
      <c r="P2783" t="s">
        <v>49</v>
      </c>
      <c r="Q2783" t="s">
        <v>139</v>
      </c>
      <c r="R2783">
        <v>1</v>
      </c>
      <c r="S2783">
        <v>6999</v>
      </c>
      <c r="T2783">
        <v>0.2</v>
      </c>
      <c r="U2783">
        <v>5599.2</v>
      </c>
      <c r="V2783">
        <v>4300</v>
      </c>
      <c r="W2783">
        <v>1299.2</v>
      </c>
      <c r="X2783" t="s">
        <v>73</v>
      </c>
      <c r="Y2783" t="s">
        <v>68</v>
      </c>
      <c r="Z2783" t="s">
        <v>158</v>
      </c>
      <c r="AA2783" t="s">
        <v>166</v>
      </c>
      <c r="AB2783">
        <v>4</v>
      </c>
      <c r="AC2783">
        <v>40</v>
      </c>
      <c r="AD2783">
        <v>174.47</v>
      </c>
      <c r="AE2783">
        <f t="shared" si="86"/>
        <v>1084.73</v>
      </c>
      <c r="AF2783" t="str">
        <f t="shared" si="87"/>
        <v>2025-12</v>
      </c>
      <c r="AG2783">
        <f>SUBTOTAL(103,A2783)</f>
        <v>1</v>
      </c>
    </row>
    <row r="2784" spans="1:33" x14ac:dyDescent="0.3">
      <c r="A2784" t="s">
        <v>5407</v>
      </c>
      <c r="B2784" s="13">
        <v>46013</v>
      </c>
      <c r="C2784">
        <v>2025</v>
      </c>
      <c r="D2784">
        <v>12</v>
      </c>
      <c r="E2784" t="s">
        <v>5251</v>
      </c>
      <c r="F2784" t="s">
        <v>4780</v>
      </c>
      <c r="G2784" t="s">
        <v>1609</v>
      </c>
      <c r="H2784" t="s">
        <v>1610</v>
      </c>
      <c r="I2784" t="s">
        <v>86</v>
      </c>
      <c r="J2784">
        <v>36</v>
      </c>
      <c r="K2784" t="s">
        <v>82</v>
      </c>
      <c r="L2784" t="s">
        <v>2674</v>
      </c>
      <c r="M2784" t="s">
        <v>58</v>
      </c>
      <c r="N2784" t="s">
        <v>2603</v>
      </c>
      <c r="O2784" t="s">
        <v>122</v>
      </c>
      <c r="P2784" t="s">
        <v>48</v>
      </c>
      <c r="Q2784" t="s">
        <v>141</v>
      </c>
      <c r="R2784">
        <v>1</v>
      </c>
      <c r="S2784">
        <v>2499</v>
      </c>
      <c r="T2784">
        <v>0.1</v>
      </c>
      <c r="U2784">
        <v>2249.1</v>
      </c>
      <c r="V2784">
        <v>1450</v>
      </c>
      <c r="W2784">
        <v>799.1</v>
      </c>
      <c r="X2784" t="s">
        <v>77</v>
      </c>
      <c r="Y2784" t="s">
        <v>68</v>
      </c>
      <c r="Z2784" t="s">
        <v>159</v>
      </c>
      <c r="AA2784" t="s">
        <v>168</v>
      </c>
      <c r="AB2784">
        <v>4.0999999999999996</v>
      </c>
      <c r="AC2784">
        <v>80</v>
      </c>
      <c r="AD2784">
        <v>151.97999999999999</v>
      </c>
      <c r="AE2784">
        <f t="shared" si="86"/>
        <v>567.12</v>
      </c>
      <c r="AF2784" t="str">
        <f t="shared" si="87"/>
        <v>2025-12</v>
      </c>
      <c r="AG2784">
        <f>SUBTOTAL(103,A2784)</f>
        <v>1</v>
      </c>
    </row>
    <row r="2785" spans="1:33" x14ac:dyDescent="0.3">
      <c r="A2785" t="s">
        <v>5408</v>
      </c>
      <c r="B2785" s="13">
        <v>46013</v>
      </c>
      <c r="C2785">
        <v>2025</v>
      </c>
      <c r="D2785">
        <v>12</v>
      </c>
      <c r="E2785" t="s">
        <v>5251</v>
      </c>
      <c r="F2785" t="s">
        <v>4780</v>
      </c>
      <c r="G2785" t="s">
        <v>315</v>
      </c>
      <c r="H2785" t="s">
        <v>316</v>
      </c>
      <c r="I2785" t="s">
        <v>85</v>
      </c>
      <c r="J2785">
        <v>35</v>
      </c>
      <c r="K2785" t="s">
        <v>81</v>
      </c>
      <c r="L2785" t="s">
        <v>95</v>
      </c>
      <c r="M2785" t="s">
        <v>56</v>
      </c>
      <c r="N2785" t="s">
        <v>2601</v>
      </c>
      <c r="O2785" t="s">
        <v>117</v>
      </c>
      <c r="P2785" t="s">
        <v>49</v>
      </c>
      <c r="Q2785" t="s">
        <v>139</v>
      </c>
      <c r="R2785">
        <v>4</v>
      </c>
      <c r="S2785">
        <v>6999</v>
      </c>
      <c r="T2785">
        <v>0.15</v>
      </c>
      <c r="U2785">
        <v>23796.6</v>
      </c>
      <c r="V2785">
        <v>17200</v>
      </c>
      <c r="W2785">
        <v>6596.6</v>
      </c>
      <c r="X2785" t="s">
        <v>74</v>
      </c>
      <c r="Y2785" t="s">
        <v>68</v>
      </c>
      <c r="Z2785" t="s">
        <v>158</v>
      </c>
      <c r="AA2785" t="s">
        <v>166</v>
      </c>
      <c r="AB2785">
        <v>4.5999999999999996</v>
      </c>
      <c r="AC2785">
        <v>50</v>
      </c>
      <c r="AD2785">
        <v>2610.37</v>
      </c>
      <c r="AE2785">
        <f t="shared" si="86"/>
        <v>3936.2300000000005</v>
      </c>
      <c r="AF2785" t="str">
        <f t="shared" si="87"/>
        <v>2025-12</v>
      </c>
      <c r="AG2785">
        <f>SUBTOTAL(103,A2785)</f>
        <v>1</v>
      </c>
    </row>
    <row r="2786" spans="1:33" x14ac:dyDescent="0.3">
      <c r="A2786" t="s">
        <v>5409</v>
      </c>
      <c r="B2786" s="13">
        <v>46014</v>
      </c>
      <c r="C2786">
        <v>2025</v>
      </c>
      <c r="D2786">
        <v>12</v>
      </c>
      <c r="E2786" t="s">
        <v>5251</v>
      </c>
      <c r="F2786" t="s">
        <v>4780</v>
      </c>
      <c r="G2786" t="s">
        <v>477</v>
      </c>
      <c r="H2786" t="s">
        <v>478</v>
      </c>
      <c r="I2786" t="s">
        <v>86</v>
      </c>
      <c r="J2786">
        <v>59</v>
      </c>
      <c r="K2786" t="s">
        <v>83</v>
      </c>
      <c r="L2786" t="s">
        <v>99</v>
      </c>
      <c r="M2786" t="s">
        <v>58</v>
      </c>
      <c r="N2786" t="s">
        <v>2630</v>
      </c>
      <c r="O2786" t="s">
        <v>123</v>
      </c>
      <c r="P2786" t="s">
        <v>52</v>
      </c>
      <c r="Q2786" t="s">
        <v>146</v>
      </c>
      <c r="R2786">
        <v>3</v>
      </c>
      <c r="S2786">
        <v>2499</v>
      </c>
      <c r="T2786">
        <v>0.05</v>
      </c>
      <c r="U2786">
        <v>7122.15</v>
      </c>
      <c r="V2786">
        <v>4200</v>
      </c>
      <c r="W2786">
        <v>2922.15</v>
      </c>
      <c r="X2786" t="s">
        <v>74</v>
      </c>
      <c r="Y2786" t="s">
        <v>68</v>
      </c>
      <c r="Z2786" t="s">
        <v>160</v>
      </c>
      <c r="AA2786" t="s">
        <v>166</v>
      </c>
      <c r="AB2786">
        <v>3.8</v>
      </c>
      <c r="AC2786">
        <v>60</v>
      </c>
      <c r="AD2786">
        <v>265.47000000000003</v>
      </c>
      <c r="AE2786">
        <f t="shared" si="86"/>
        <v>2596.6800000000003</v>
      </c>
      <c r="AF2786" t="str">
        <f t="shared" si="87"/>
        <v>2025-12</v>
      </c>
      <c r="AG2786">
        <f>SUBTOTAL(103,A2786)</f>
        <v>1</v>
      </c>
    </row>
    <row r="2787" spans="1:33" x14ac:dyDescent="0.3">
      <c r="A2787" t="s">
        <v>5410</v>
      </c>
      <c r="B2787" s="13">
        <v>46014</v>
      </c>
      <c r="C2787">
        <v>2025</v>
      </c>
      <c r="D2787">
        <v>12</v>
      </c>
      <c r="E2787" t="s">
        <v>5251</v>
      </c>
      <c r="F2787" t="s">
        <v>4780</v>
      </c>
      <c r="G2787" t="s">
        <v>957</v>
      </c>
      <c r="H2787" t="s">
        <v>958</v>
      </c>
      <c r="I2787" t="s">
        <v>86</v>
      </c>
      <c r="J2787">
        <v>60</v>
      </c>
      <c r="K2787" t="s">
        <v>83</v>
      </c>
      <c r="L2787" t="s">
        <v>2687</v>
      </c>
      <c r="M2787" t="s">
        <v>57</v>
      </c>
      <c r="N2787" t="s">
        <v>2584</v>
      </c>
      <c r="O2787" t="s">
        <v>121</v>
      </c>
      <c r="P2787" t="s">
        <v>50</v>
      </c>
      <c r="Q2787" t="s">
        <v>144</v>
      </c>
      <c r="R2787">
        <v>1</v>
      </c>
      <c r="S2787">
        <v>2999</v>
      </c>
      <c r="T2787">
        <v>0.2</v>
      </c>
      <c r="U2787">
        <v>2399.1999999999998</v>
      </c>
      <c r="V2787">
        <v>1700</v>
      </c>
      <c r="W2787">
        <v>699.2</v>
      </c>
      <c r="X2787" t="s">
        <v>76</v>
      </c>
      <c r="Y2787" t="s">
        <v>68</v>
      </c>
      <c r="Z2787" t="s">
        <v>158</v>
      </c>
      <c r="AA2787" t="s">
        <v>166</v>
      </c>
      <c r="AB2787">
        <v>3.2</v>
      </c>
      <c r="AC2787">
        <v>40</v>
      </c>
      <c r="AD2787">
        <v>109.36</v>
      </c>
      <c r="AE2787">
        <f t="shared" si="86"/>
        <v>549.84</v>
      </c>
      <c r="AF2787" t="str">
        <f t="shared" si="87"/>
        <v>2025-12</v>
      </c>
      <c r="AG2787">
        <f>SUBTOTAL(103,A2787)</f>
        <v>1</v>
      </c>
    </row>
    <row r="2788" spans="1:33" x14ac:dyDescent="0.3">
      <c r="A2788" t="s">
        <v>5411</v>
      </c>
      <c r="B2788" s="13">
        <v>46014</v>
      </c>
      <c r="C2788">
        <v>2025</v>
      </c>
      <c r="D2788">
        <v>12</v>
      </c>
      <c r="E2788" t="s">
        <v>5251</v>
      </c>
      <c r="F2788" t="s">
        <v>4780</v>
      </c>
      <c r="G2788" t="s">
        <v>1457</v>
      </c>
      <c r="H2788" t="s">
        <v>1458</v>
      </c>
      <c r="I2788" t="s">
        <v>85</v>
      </c>
      <c r="J2788">
        <v>33</v>
      </c>
      <c r="K2788" t="s">
        <v>81</v>
      </c>
      <c r="L2788" t="s">
        <v>97</v>
      </c>
      <c r="M2788" t="s">
        <v>57</v>
      </c>
      <c r="N2788" t="s">
        <v>2590</v>
      </c>
      <c r="O2788" t="s">
        <v>127</v>
      </c>
      <c r="P2788" t="s">
        <v>51</v>
      </c>
      <c r="Q2788" t="s">
        <v>148</v>
      </c>
      <c r="R2788">
        <v>2</v>
      </c>
      <c r="S2788">
        <v>1599</v>
      </c>
      <c r="T2788">
        <v>0.15</v>
      </c>
      <c r="U2788">
        <v>2718.3</v>
      </c>
      <c r="V2788">
        <v>1600</v>
      </c>
      <c r="W2788">
        <v>1118.3</v>
      </c>
      <c r="X2788" t="s">
        <v>73</v>
      </c>
      <c r="Y2788" t="s">
        <v>68</v>
      </c>
      <c r="Z2788" t="s">
        <v>161</v>
      </c>
      <c r="AA2788" t="s">
        <v>169</v>
      </c>
      <c r="AB2788">
        <v>3.8</v>
      </c>
      <c r="AC2788">
        <v>40</v>
      </c>
      <c r="AD2788">
        <v>180.93</v>
      </c>
      <c r="AE2788">
        <f t="shared" si="86"/>
        <v>897.36999999999989</v>
      </c>
      <c r="AF2788" t="str">
        <f t="shared" si="87"/>
        <v>2025-12</v>
      </c>
      <c r="AG2788">
        <f>SUBTOTAL(103,A2788)</f>
        <v>1</v>
      </c>
    </row>
    <row r="2789" spans="1:33" x14ac:dyDescent="0.3">
      <c r="A2789" t="s">
        <v>5412</v>
      </c>
      <c r="B2789" s="13">
        <v>46014</v>
      </c>
      <c r="C2789">
        <v>2025</v>
      </c>
      <c r="D2789">
        <v>12</v>
      </c>
      <c r="E2789" t="s">
        <v>5251</v>
      </c>
      <c r="F2789" t="s">
        <v>4780</v>
      </c>
      <c r="G2789" t="s">
        <v>1489</v>
      </c>
      <c r="H2789" t="s">
        <v>1490</v>
      </c>
      <c r="I2789" t="s">
        <v>86</v>
      </c>
      <c r="J2789">
        <v>27</v>
      </c>
      <c r="K2789" t="s">
        <v>81</v>
      </c>
      <c r="L2789" t="s">
        <v>90</v>
      </c>
      <c r="M2789" t="s">
        <v>55</v>
      </c>
      <c r="N2789" t="s">
        <v>2653</v>
      </c>
      <c r="O2789" t="s">
        <v>132</v>
      </c>
      <c r="P2789" t="s">
        <v>52</v>
      </c>
      <c r="Q2789" t="s">
        <v>150</v>
      </c>
      <c r="R2789">
        <v>4</v>
      </c>
      <c r="S2789">
        <v>899</v>
      </c>
      <c r="T2789">
        <v>0</v>
      </c>
      <c r="U2789">
        <v>3596</v>
      </c>
      <c r="V2789">
        <v>1680</v>
      </c>
      <c r="W2789">
        <v>1916</v>
      </c>
      <c r="X2789" t="s">
        <v>74</v>
      </c>
      <c r="Y2789" t="s">
        <v>68</v>
      </c>
      <c r="Z2789" t="s">
        <v>158</v>
      </c>
      <c r="AA2789" t="s">
        <v>171</v>
      </c>
      <c r="AB2789">
        <v>4.3</v>
      </c>
      <c r="AC2789">
        <v>50</v>
      </c>
      <c r="AD2789">
        <v>161.41</v>
      </c>
      <c r="AE2789">
        <f t="shared" si="86"/>
        <v>1704.59</v>
      </c>
      <c r="AF2789" t="str">
        <f t="shared" si="87"/>
        <v>2025-12</v>
      </c>
      <c r="AG2789">
        <f>SUBTOTAL(103,A2789)</f>
        <v>1</v>
      </c>
    </row>
    <row r="2790" spans="1:33" x14ac:dyDescent="0.3">
      <c r="A2790" t="s">
        <v>5413</v>
      </c>
      <c r="B2790" s="13">
        <v>46014</v>
      </c>
      <c r="C2790">
        <v>2025</v>
      </c>
      <c r="D2790">
        <v>12</v>
      </c>
      <c r="E2790" t="s">
        <v>5251</v>
      </c>
      <c r="F2790" t="s">
        <v>4780</v>
      </c>
      <c r="G2790" t="s">
        <v>2385</v>
      </c>
      <c r="H2790" t="s">
        <v>2386</v>
      </c>
      <c r="I2790" t="s">
        <v>86</v>
      </c>
      <c r="J2790">
        <v>49</v>
      </c>
      <c r="K2790" t="s">
        <v>83</v>
      </c>
      <c r="L2790" t="s">
        <v>90</v>
      </c>
      <c r="M2790" t="s">
        <v>55</v>
      </c>
      <c r="N2790" t="s">
        <v>2596</v>
      </c>
      <c r="O2790" t="s">
        <v>124</v>
      </c>
      <c r="P2790" t="s">
        <v>51</v>
      </c>
      <c r="Q2790" t="s">
        <v>147</v>
      </c>
      <c r="R2790">
        <v>2</v>
      </c>
      <c r="S2790">
        <v>2299</v>
      </c>
      <c r="T2790">
        <v>0.25</v>
      </c>
      <c r="U2790">
        <v>3448.5</v>
      </c>
      <c r="V2790">
        <v>2400</v>
      </c>
      <c r="W2790">
        <v>1048.5</v>
      </c>
      <c r="X2790" t="s">
        <v>74</v>
      </c>
      <c r="Y2790" t="s">
        <v>68</v>
      </c>
      <c r="Z2790" t="s">
        <v>161</v>
      </c>
      <c r="AA2790" t="s">
        <v>170</v>
      </c>
      <c r="AB2790">
        <v>4.5</v>
      </c>
      <c r="AC2790">
        <v>100</v>
      </c>
      <c r="AD2790">
        <v>157.97999999999999</v>
      </c>
      <c r="AE2790">
        <f t="shared" si="86"/>
        <v>790.52</v>
      </c>
      <c r="AF2790" t="str">
        <f t="shared" si="87"/>
        <v>2025-12</v>
      </c>
      <c r="AG2790">
        <f>SUBTOTAL(103,A2790)</f>
        <v>1</v>
      </c>
    </row>
    <row r="2791" spans="1:33" x14ac:dyDescent="0.3">
      <c r="A2791" t="s">
        <v>5414</v>
      </c>
      <c r="B2791" s="13">
        <v>46014</v>
      </c>
      <c r="C2791">
        <v>2025</v>
      </c>
      <c r="D2791">
        <v>12</v>
      </c>
      <c r="E2791" t="s">
        <v>5251</v>
      </c>
      <c r="F2791" t="s">
        <v>4780</v>
      </c>
      <c r="G2791" t="s">
        <v>1323</v>
      </c>
      <c r="H2791" t="s">
        <v>1324</v>
      </c>
      <c r="I2791" t="s">
        <v>86</v>
      </c>
      <c r="J2791">
        <v>55</v>
      </c>
      <c r="K2791" t="s">
        <v>83</v>
      </c>
      <c r="L2791" t="s">
        <v>91</v>
      </c>
      <c r="M2791" t="s">
        <v>55</v>
      </c>
      <c r="N2791" t="s">
        <v>2577</v>
      </c>
      <c r="O2791" t="s">
        <v>129</v>
      </c>
      <c r="P2791" t="s">
        <v>49</v>
      </c>
      <c r="Q2791" t="s">
        <v>149</v>
      </c>
      <c r="R2791">
        <v>4</v>
      </c>
      <c r="S2791">
        <v>1299</v>
      </c>
      <c r="T2791">
        <v>0.05</v>
      </c>
      <c r="U2791">
        <v>4936.2</v>
      </c>
      <c r="V2791">
        <v>2600</v>
      </c>
      <c r="W2791">
        <v>2336.1999999999998</v>
      </c>
      <c r="X2791" t="s">
        <v>75</v>
      </c>
      <c r="Y2791" t="s">
        <v>68</v>
      </c>
      <c r="Z2791" t="s">
        <v>161</v>
      </c>
      <c r="AA2791" t="s">
        <v>171</v>
      </c>
      <c r="AB2791">
        <v>4</v>
      </c>
      <c r="AC2791">
        <v>80</v>
      </c>
      <c r="AD2791">
        <v>380.07</v>
      </c>
      <c r="AE2791">
        <f t="shared" si="86"/>
        <v>1876.1299999999999</v>
      </c>
      <c r="AF2791" t="str">
        <f t="shared" si="87"/>
        <v>2025-12</v>
      </c>
      <c r="AG2791">
        <f>SUBTOTAL(103,A2791)</f>
        <v>1</v>
      </c>
    </row>
    <row r="2792" spans="1:33" x14ac:dyDescent="0.3">
      <c r="A2792" t="s">
        <v>5415</v>
      </c>
      <c r="B2792" s="13">
        <v>46014</v>
      </c>
      <c r="C2792">
        <v>2025</v>
      </c>
      <c r="D2792">
        <v>12</v>
      </c>
      <c r="E2792" t="s">
        <v>5251</v>
      </c>
      <c r="F2792" t="s">
        <v>4780</v>
      </c>
      <c r="G2792" t="s">
        <v>317</v>
      </c>
      <c r="H2792" t="s">
        <v>318</v>
      </c>
      <c r="I2792" t="s">
        <v>85</v>
      </c>
      <c r="J2792">
        <v>56</v>
      </c>
      <c r="K2792" t="s">
        <v>83</v>
      </c>
      <c r="L2792" t="s">
        <v>97</v>
      </c>
      <c r="M2792" t="s">
        <v>57</v>
      </c>
      <c r="N2792" t="s">
        <v>2653</v>
      </c>
      <c r="O2792" t="s">
        <v>132</v>
      </c>
      <c r="P2792" t="s">
        <v>52</v>
      </c>
      <c r="Q2792" t="s">
        <v>150</v>
      </c>
      <c r="R2792">
        <v>3</v>
      </c>
      <c r="S2792">
        <v>899</v>
      </c>
      <c r="T2792">
        <v>0.05</v>
      </c>
      <c r="U2792">
        <v>0</v>
      </c>
      <c r="V2792">
        <v>0</v>
      </c>
      <c r="W2792">
        <v>0</v>
      </c>
      <c r="X2792" t="s">
        <v>76</v>
      </c>
      <c r="Y2792" t="s">
        <v>71</v>
      </c>
      <c r="Z2792" t="s">
        <v>159</v>
      </c>
      <c r="AA2792" t="s">
        <v>167</v>
      </c>
      <c r="AB2792">
        <v>2.1</v>
      </c>
      <c r="AC2792">
        <v>80</v>
      </c>
      <c r="AD2792">
        <v>185.21</v>
      </c>
      <c r="AE2792">
        <f t="shared" si="86"/>
        <v>-265.21000000000004</v>
      </c>
      <c r="AF2792" t="str">
        <f t="shared" si="87"/>
        <v>2025-12</v>
      </c>
      <c r="AG2792">
        <f>SUBTOTAL(103,A2792)</f>
        <v>1</v>
      </c>
    </row>
    <row r="2793" spans="1:33" x14ac:dyDescent="0.3">
      <c r="A2793" t="s">
        <v>5416</v>
      </c>
      <c r="B2793" s="13">
        <v>46014</v>
      </c>
      <c r="C2793">
        <v>2025</v>
      </c>
      <c r="D2793">
        <v>12</v>
      </c>
      <c r="E2793" t="s">
        <v>5251</v>
      </c>
      <c r="F2793" t="s">
        <v>4780</v>
      </c>
      <c r="G2793" t="s">
        <v>763</v>
      </c>
      <c r="H2793" t="s">
        <v>764</v>
      </c>
      <c r="I2793" t="s">
        <v>85</v>
      </c>
      <c r="J2793">
        <v>58</v>
      </c>
      <c r="K2793" t="s">
        <v>83</v>
      </c>
      <c r="L2793" t="s">
        <v>2634</v>
      </c>
      <c r="M2793" t="s">
        <v>56</v>
      </c>
      <c r="N2793" t="s">
        <v>2657</v>
      </c>
      <c r="O2793" t="s">
        <v>134</v>
      </c>
      <c r="P2793" t="s">
        <v>49</v>
      </c>
      <c r="Q2793" t="s">
        <v>140</v>
      </c>
      <c r="R2793">
        <v>3</v>
      </c>
      <c r="S2793">
        <v>599</v>
      </c>
      <c r="T2793">
        <v>0.05</v>
      </c>
      <c r="U2793">
        <v>1707.15</v>
      </c>
      <c r="V2793">
        <v>750</v>
      </c>
      <c r="W2793">
        <v>957.15</v>
      </c>
      <c r="X2793" t="s">
        <v>73</v>
      </c>
      <c r="Y2793" t="s">
        <v>68</v>
      </c>
      <c r="Z2793" t="s">
        <v>161</v>
      </c>
      <c r="AA2793" t="s">
        <v>166</v>
      </c>
      <c r="AB2793">
        <v>3.9</v>
      </c>
      <c r="AC2793">
        <v>50</v>
      </c>
      <c r="AD2793">
        <v>204.05</v>
      </c>
      <c r="AE2793">
        <f t="shared" si="86"/>
        <v>703.09999999999991</v>
      </c>
      <c r="AF2793" t="str">
        <f t="shared" si="87"/>
        <v>2025-12</v>
      </c>
      <c r="AG2793">
        <f>SUBTOTAL(103,A2793)</f>
        <v>1</v>
      </c>
    </row>
    <row r="2794" spans="1:33" x14ac:dyDescent="0.3">
      <c r="A2794" t="s">
        <v>5417</v>
      </c>
      <c r="B2794" s="13">
        <v>46014</v>
      </c>
      <c r="C2794">
        <v>2025</v>
      </c>
      <c r="D2794">
        <v>12</v>
      </c>
      <c r="E2794" t="s">
        <v>5251</v>
      </c>
      <c r="F2794" t="s">
        <v>4780</v>
      </c>
      <c r="G2794" t="s">
        <v>795</v>
      </c>
      <c r="H2794" t="s">
        <v>796</v>
      </c>
      <c r="I2794" t="s">
        <v>85</v>
      </c>
      <c r="J2794">
        <v>33</v>
      </c>
      <c r="K2794" t="s">
        <v>81</v>
      </c>
      <c r="L2794" t="s">
        <v>93</v>
      </c>
      <c r="M2794" t="s">
        <v>55</v>
      </c>
      <c r="N2794" t="s">
        <v>2590</v>
      </c>
      <c r="O2794" t="s">
        <v>127</v>
      </c>
      <c r="P2794" t="s">
        <v>51</v>
      </c>
      <c r="Q2794" t="s">
        <v>148</v>
      </c>
      <c r="R2794">
        <v>2</v>
      </c>
      <c r="S2794">
        <v>1599</v>
      </c>
      <c r="T2794">
        <v>0.1</v>
      </c>
      <c r="U2794">
        <v>2878.2</v>
      </c>
      <c r="V2794">
        <v>1600</v>
      </c>
      <c r="W2794">
        <v>1278.2</v>
      </c>
      <c r="X2794" t="s">
        <v>77</v>
      </c>
      <c r="Y2794" t="s">
        <v>68</v>
      </c>
      <c r="Z2794" t="s">
        <v>160</v>
      </c>
      <c r="AA2794" t="s">
        <v>171</v>
      </c>
      <c r="AB2794">
        <v>3.2</v>
      </c>
      <c r="AC2794">
        <v>60</v>
      </c>
      <c r="AD2794">
        <v>268.60000000000002</v>
      </c>
      <c r="AE2794">
        <f t="shared" si="86"/>
        <v>949.6</v>
      </c>
      <c r="AF2794" t="str">
        <f t="shared" si="87"/>
        <v>2025-12</v>
      </c>
      <c r="AG2794">
        <f>SUBTOTAL(103,A2794)</f>
        <v>1</v>
      </c>
    </row>
    <row r="2795" spans="1:33" x14ac:dyDescent="0.3">
      <c r="A2795" t="s">
        <v>5418</v>
      </c>
      <c r="B2795" s="13">
        <v>46015</v>
      </c>
      <c r="C2795">
        <v>2025</v>
      </c>
      <c r="D2795">
        <v>12</v>
      </c>
      <c r="E2795" t="s">
        <v>5251</v>
      </c>
      <c r="F2795" t="s">
        <v>4780</v>
      </c>
      <c r="G2795" t="s">
        <v>807</v>
      </c>
      <c r="H2795" t="s">
        <v>808</v>
      </c>
      <c r="I2795" t="s">
        <v>85</v>
      </c>
      <c r="J2795">
        <v>21</v>
      </c>
      <c r="K2795" t="s">
        <v>80</v>
      </c>
      <c r="L2795" t="s">
        <v>90</v>
      </c>
      <c r="M2795" t="s">
        <v>55</v>
      </c>
      <c r="N2795" t="s">
        <v>2603</v>
      </c>
      <c r="O2795" t="s">
        <v>122</v>
      </c>
      <c r="P2795" t="s">
        <v>48</v>
      </c>
      <c r="Q2795" t="s">
        <v>141</v>
      </c>
      <c r="R2795">
        <v>1</v>
      </c>
      <c r="S2795">
        <v>2499</v>
      </c>
      <c r="T2795">
        <v>0.05</v>
      </c>
      <c r="U2795">
        <v>2374.0500000000002</v>
      </c>
      <c r="V2795">
        <v>1450</v>
      </c>
      <c r="W2795">
        <v>924.05</v>
      </c>
      <c r="X2795" t="s">
        <v>73</v>
      </c>
      <c r="Y2795" t="s">
        <v>68</v>
      </c>
      <c r="Z2795" t="s">
        <v>162</v>
      </c>
      <c r="AA2795" t="s">
        <v>169</v>
      </c>
      <c r="AB2795">
        <v>4.5</v>
      </c>
      <c r="AC2795">
        <v>120</v>
      </c>
      <c r="AD2795">
        <v>272.83999999999997</v>
      </c>
      <c r="AE2795">
        <f t="shared" si="86"/>
        <v>531.21</v>
      </c>
      <c r="AF2795" t="str">
        <f t="shared" si="87"/>
        <v>2025-12</v>
      </c>
      <c r="AG2795">
        <f>SUBTOTAL(103,A2795)</f>
        <v>1</v>
      </c>
    </row>
    <row r="2796" spans="1:33" x14ac:dyDescent="0.3">
      <c r="A2796" t="s">
        <v>5419</v>
      </c>
      <c r="B2796" s="13">
        <v>46015</v>
      </c>
      <c r="C2796">
        <v>2025</v>
      </c>
      <c r="D2796">
        <v>12</v>
      </c>
      <c r="E2796" t="s">
        <v>5251</v>
      </c>
      <c r="F2796" t="s">
        <v>4780</v>
      </c>
      <c r="G2796" t="s">
        <v>1185</v>
      </c>
      <c r="H2796" t="s">
        <v>1186</v>
      </c>
      <c r="I2796" t="s">
        <v>86</v>
      </c>
      <c r="J2796">
        <v>52</v>
      </c>
      <c r="K2796" t="s">
        <v>83</v>
      </c>
      <c r="L2796" t="s">
        <v>99</v>
      </c>
      <c r="M2796" t="s">
        <v>58</v>
      </c>
      <c r="N2796" t="s">
        <v>2603</v>
      </c>
      <c r="O2796" t="s">
        <v>122</v>
      </c>
      <c r="P2796" t="s">
        <v>48</v>
      </c>
      <c r="Q2796" t="s">
        <v>141</v>
      </c>
      <c r="R2796">
        <v>1</v>
      </c>
      <c r="S2796">
        <v>2499</v>
      </c>
      <c r="T2796">
        <v>0</v>
      </c>
      <c r="U2796">
        <v>2499</v>
      </c>
      <c r="V2796">
        <v>1450</v>
      </c>
      <c r="W2796">
        <v>1049</v>
      </c>
      <c r="X2796" t="s">
        <v>74</v>
      </c>
      <c r="Y2796" t="s">
        <v>68</v>
      </c>
      <c r="Z2796" t="s">
        <v>161</v>
      </c>
      <c r="AA2796" t="s">
        <v>166</v>
      </c>
      <c r="AB2796">
        <v>3.9</v>
      </c>
      <c r="AC2796">
        <v>50</v>
      </c>
      <c r="AD2796">
        <v>109.86</v>
      </c>
      <c r="AE2796">
        <f t="shared" si="86"/>
        <v>889.14</v>
      </c>
      <c r="AF2796" t="str">
        <f t="shared" si="87"/>
        <v>2025-12</v>
      </c>
      <c r="AG2796">
        <f>SUBTOTAL(103,A2796)</f>
        <v>1</v>
      </c>
    </row>
    <row r="2797" spans="1:33" x14ac:dyDescent="0.3">
      <c r="A2797" t="s">
        <v>5420</v>
      </c>
      <c r="B2797" s="13">
        <v>46015</v>
      </c>
      <c r="C2797">
        <v>2025</v>
      </c>
      <c r="D2797">
        <v>12</v>
      </c>
      <c r="E2797" t="s">
        <v>5251</v>
      </c>
      <c r="F2797" t="s">
        <v>4780</v>
      </c>
      <c r="G2797" t="s">
        <v>1925</v>
      </c>
      <c r="H2797" t="s">
        <v>1926</v>
      </c>
      <c r="I2797" t="s">
        <v>85</v>
      </c>
      <c r="J2797">
        <v>57</v>
      </c>
      <c r="K2797" t="s">
        <v>83</v>
      </c>
      <c r="L2797" t="s">
        <v>100</v>
      </c>
      <c r="M2797" t="s">
        <v>56</v>
      </c>
      <c r="N2797" t="s">
        <v>2665</v>
      </c>
      <c r="O2797" t="s">
        <v>128</v>
      </c>
      <c r="P2797" t="s">
        <v>53</v>
      </c>
      <c r="Q2797" t="s">
        <v>143</v>
      </c>
      <c r="R2797">
        <v>1</v>
      </c>
      <c r="S2797">
        <v>1499</v>
      </c>
      <c r="T2797">
        <v>0.2</v>
      </c>
      <c r="U2797">
        <v>1199.2</v>
      </c>
      <c r="V2797">
        <v>800</v>
      </c>
      <c r="W2797">
        <v>399.2</v>
      </c>
      <c r="X2797" t="s">
        <v>77</v>
      </c>
      <c r="Y2797" t="s">
        <v>68</v>
      </c>
      <c r="Z2797" t="s">
        <v>158</v>
      </c>
      <c r="AA2797" t="s">
        <v>166</v>
      </c>
      <c r="AB2797">
        <v>4.5999999999999996</v>
      </c>
      <c r="AC2797">
        <v>80</v>
      </c>
      <c r="AD2797">
        <v>112.08</v>
      </c>
      <c r="AE2797">
        <f t="shared" si="86"/>
        <v>207.12</v>
      </c>
      <c r="AF2797" t="str">
        <f t="shared" si="87"/>
        <v>2025-12</v>
      </c>
      <c r="AG2797">
        <f>SUBTOTAL(103,A2797)</f>
        <v>1</v>
      </c>
    </row>
    <row r="2798" spans="1:33" x14ac:dyDescent="0.3">
      <c r="A2798" t="s">
        <v>5421</v>
      </c>
      <c r="B2798" s="13">
        <v>46015</v>
      </c>
      <c r="C2798">
        <v>2025</v>
      </c>
      <c r="D2798">
        <v>12</v>
      </c>
      <c r="E2798" t="s">
        <v>5251</v>
      </c>
      <c r="F2798" t="s">
        <v>4780</v>
      </c>
      <c r="G2798" t="s">
        <v>1863</v>
      </c>
      <c r="H2798" t="s">
        <v>1864</v>
      </c>
      <c r="I2798" t="s">
        <v>85</v>
      </c>
      <c r="J2798">
        <v>37</v>
      </c>
      <c r="K2798" t="s">
        <v>82</v>
      </c>
      <c r="L2798" t="s">
        <v>95</v>
      </c>
      <c r="M2798" t="s">
        <v>56</v>
      </c>
      <c r="N2798" t="s">
        <v>2606</v>
      </c>
      <c r="O2798" t="s">
        <v>120</v>
      </c>
      <c r="P2798" t="s">
        <v>49</v>
      </c>
      <c r="Q2798" t="s">
        <v>140</v>
      </c>
      <c r="R2798">
        <v>2</v>
      </c>
      <c r="S2798">
        <v>2799</v>
      </c>
      <c r="T2798">
        <v>0.15</v>
      </c>
      <c r="U2798">
        <v>4758.3</v>
      </c>
      <c r="V2798">
        <v>3300</v>
      </c>
      <c r="W2798">
        <v>1458.3</v>
      </c>
      <c r="X2798" t="s">
        <v>74</v>
      </c>
      <c r="Y2798" t="s">
        <v>68</v>
      </c>
      <c r="Z2798" t="s">
        <v>163</v>
      </c>
      <c r="AA2798" t="s">
        <v>167</v>
      </c>
      <c r="AB2798">
        <v>3.6</v>
      </c>
      <c r="AC2798">
        <v>60</v>
      </c>
      <c r="AD2798">
        <v>359.14</v>
      </c>
      <c r="AE2798">
        <f t="shared" si="86"/>
        <v>1039.1599999999999</v>
      </c>
      <c r="AF2798" t="str">
        <f t="shared" si="87"/>
        <v>2025-12</v>
      </c>
      <c r="AG2798">
        <f>SUBTOTAL(103,A2798)</f>
        <v>1</v>
      </c>
    </row>
    <row r="2799" spans="1:33" x14ac:dyDescent="0.3">
      <c r="A2799" t="s">
        <v>5422</v>
      </c>
      <c r="B2799" s="13">
        <v>46015</v>
      </c>
      <c r="C2799">
        <v>2025</v>
      </c>
      <c r="D2799">
        <v>12</v>
      </c>
      <c r="E2799" t="s">
        <v>5251</v>
      </c>
      <c r="F2799" t="s">
        <v>4780</v>
      </c>
      <c r="G2799" t="s">
        <v>1001</v>
      </c>
      <c r="H2799" t="s">
        <v>1002</v>
      </c>
      <c r="I2799" t="s">
        <v>86</v>
      </c>
      <c r="J2799">
        <v>55</v>
      </c>
      <c r="K2799" t="s">
        <v>83</v>
      </c>
      <c r="L2799" t="s">
        <v>91</v>
      </c>
      <c r="M2799" t="s">
        <v>55</v>
      </c>
      <c r="N2799" t="s">
        <v>2601</v>
      </c>
      <c r="O2799" t="s">
        <v>117</v>
      </c>
      <c r="P2799" t="s">
        <v>49</v>
      </c>
      <c r="Q2799" t="s">
        <v>139</v>
      </c>
      <c r="R2799">
        <v>2</v>
      </c>
      <c r="S2799">
        <v>6999</v>
      </c>
      <c r="T2799">
        <v>0.15</v>
      </c>
      <c r="U2799">
        <v>11898.3</v>
      </c>
      <c r="V2799">
        <v>8600</v>
      </c>
      <c r="W2799">
        <v>3298.3</v>
      </c>
      <c r="X2799" t="s">
        <v>77</v>
      </c>
      <c r="Y2799" t="s">
        <v>68</v>
      </c>
      <c r="Z2799" t="s">
        <v>163</v>
      </c>
      <c r="AA2799" t="s">
        <v>170</v>
      </c>
      <c r="AB2799">
        <v>3.8</v>
      </c>
      <c r="AC2799">
        <v>50</v>
      </c>
      <c r="AD2799">
        <v>354.73</v>
      </c>
      <c r="AE2799">
        <f t="shared" si="86"/>
        <v>2893.57</v>
      </c>
      <c r="AF2799" t="str">
        <f t="shared" si="87"/>
        <v>2025-12</v>
      </c>
      <c r="AG2799">
        <f>SUBTOTAL(103,A2799)</f>
        <v>1</v>
      </c>
    </row>
    <row r="2800" spans="1:33" x14ac:dyDescent="0.3">
      <c r="A2800" t="s">
        <v>5423</v>
      </c>
      <c r="B2800" s="13">
        <v>46016</v>
      </c>
      <c r="C2800">
        <v>2025</v>
      </c>
      <c r="D2800">
        <v>12</v>
      </c>
      <c r="E2800" t="s">
        <v>5251</v>
      </c>
      <c r="F2800" t="s">
        <v>4780</v>
      </c>
      <c r="G2800" t="s">
        <v>639</v>
      </c>
      <c r="H2800" t="s">
        <v>640</v>
      </c>
      <c r="I2800" t="s">
        <v>85</v>
      </c>
      <c r="J2800">
        <v>59</v>
      </c>
      <c r="K2800" t="s">
        <v>83</v>
      </c>
      <c r="L2800" t="s">
        <v>2605</v>
      </c>
      <c r="M2800" t="s">
        <v>60</v>
      </c>
      <c r="N2800" t="s">
        <v>2647</v>
      </c>
      <c r="O2800" t="s">
        <v>133</v>
      </c>
      <c r="P2800" t="s">
        <v>50</v>
      </c>
      <c r="Q2800" t="s">
        <v>145</v>
      </c>
      <c r="R2800">
        <v>4</v>
      </c>
      <c r="S2800">
        <v>799</v>
      </c>
      <c r="T2800">
        <v>0.05</v>
      </c>
      <c r="U2800">
        <v>3036.2</v>
      </c>
      <c r="V2800">
        <v>1560</v>
      </c>
      <c r="W2800">
        <v>1476.2</v>
      </c>
      <c r="X2800" t="s">
        <v>76</v>
      </c>
      <c r="Y2800" t="s">
        <v>70</v>
      </c>
      <c r="Z2800" t="s">
        <v>160</v>
      </c>
      <c r="AA2800" t="s">
        <v>170</v>
      </c>
      <c r="AB2800">
        <v>3.2</v>
      </c>
      <c r="AC2800">
        <v>60</v>
      </c>
      <c r="AD2800">
        <v>257.57</v>
      </c>
      <c r="AE2800">
        <f t="shared" si="86"/>
        <v>1158.6300000000001</v>
      </c>
      <c r="AF2800" t="str">
        <f t="shared" si="87"/>
        <v>2025-12</v>
      </c>
      <c r="AG2800">
        <f>SUBTOTAL(103,A2800)</f>
        <v>1</v>
      </c>
    </row>
    <row r="2801" spans="1:33" x14ac:dyDescent="0.3">
      <c r="A2801" t="s">
        <v>5424</v>
      </c>
      <c r="B2801" s="13">
        <v>46016</v>
      </c>
      <c r="C2801">
        <v>2025</v>
      </c>
      <c r="D2801">
        <v>12</v>
      </c>
      <c r="E2801" t="s">
        <v>5251</v>
      </c>
      <c r="F2801" t="s">
        <v>4780</v>
      </c>
      <c r="G2801" t="s">
        <v>221</v>
      </c>
      <c r="H2801" t="s">
        <v>222</v>
      </c>
      <c r="I2801" t="s">
        <v>85</v>
      </c>
      <c r="J2801">
        <v>26</v>
      </c>
      <c r="K2801" t="s">
        <v>81</v>
      </c>
      <c r="L2801" t="s">
        <v>59</v>
      </c>
      <c r="M2801" t="s">
        <v>59</v>
      </c>
      <c r="N2801" t="s">
        <v>2592</v>
      </c>
      <c r="O2801" t="s">
        <v>115</v>
      </c>
      <c r="P2801" t="s">
        <v>48</v>
      </c>
      <c r="Q2801" t="s">
        <v>137</v>
      </c>
      <c r="R2801">
        <v>3</v>
      </c>
      <c r="S2801">
        <v>12999</v>
      </c>
      <c r="T2801">
        <v>0.05</v>
      </c>
      <c r="U2801">
        <v>37047.15</v>
      </c>
      <c r="V2801">
        <v>27000</v>
      </c>
      <c r="W2801">
        <v>10047.15</v>
      </c>
      <c r="X2801" t="s">
        <v>76</v>
      </c>
      <c r="Y2801" t="s">
        <v>68</v>
      </c>
      <c r="Z2801" t="s">
        <v>159</v>
      </c>
      <c r="AA2801" t="s">
        <v>169</v>
      </c>
      <c r="AB2801">
        <v>4.2</v>
      </c>
      <c r="AC2801">
        <v>80</v>
      </c>
      <c r="AD2801">
        <v>2112.65</v>
      </c>
      <c r="AE2801">
        <f t="shared" si="86"/>
        <v>7854.5</v>
      </c>
      <c r="AF2801" t="str">
        <f t="shared" si="87"/>
        <v>2025-12</v>
      </c>
      <c r="AG2801">
        <f>SUBTOTAL(103,A2801)</f>
        <v>1</v>
      </c>
    </row>
    <row r="2802" spans="1:33" x14ac:dyDescent="0.3">
      <c r="A2802" t="s">
        <v>5425</v>
      </c>
      <c r="B2802" s="13">
        <v>46016</v>
      </c>
      <c r="C2802">
        <v>2025</v>
      </c>
      <c r="D2802">
        <v>12</v>
      </c>
      <c r="E2802" t="s">
        <v>5251</v>
      </c>
      <c r="F2802" t="s">
        <v>4780</v>
      </c>
      <c r="G2802" t="s">
        <v>687</v>
      </c>
      <c r="H2802" t="s">
        <v>688</v>
      </c>
      <c r="I2802" t="s">
        <v>86</v>
      </c>
      <c r="J2802">
        <v>45</v>
      </c>
      <c r="K2802" t="s">
        <v>82</v>
      </c>
      <c r="L2802" t="s">
        <v>91</v>
      </c>
      <c r="M2802" t="s">
        <v>55</v>
      </c>
      <c r="N2802" t="s">
        <v>2601</v>
      </c>
      <c r="O2802" t="s">
        <v>117</v>
      </c>
      <c r="P2802" t="s">
        <v>49</v>
      </c>
      <c r="Q2802" t="s">
        <v>139</v>
      </c>
      <c r="R2802">
        <v>2</v>
      </c>
      <c r="S2802">
        <v>6999</v>
      </c>
      <c r="T2802">
        <v>0</v>
      </c>
      <c r="U2802">
        <v>13998</v>
      </c>
      <c r="V2802">
        <v>8600</v>
      </c>
      <c r="W2802">
        <v>5398</v>
      </c>
      <c r="X2802" t="s">
        <v>74</v>
      </c>
      <c r="Y2802" t="s">
        <v>68</v>
      </c>
      <c r="Z2802" t="s">
        <v>163</v>
      </c>
      <c r="AA2802" t="s">
        <v>166</v>
      </c>
      <c r="AB2802">
        <v>4.9000000000000004</v>
      </c>
      <c r="AC2802">
        <v>100</v>
      </c>
      <c r="AD2802">
        <v>1004.14</v>
      </c>
      <c r="AE2802">
        <f t="shared" si="86"/>
        <v>4293.8599999999997</v>
      </c>
      <c r="AF2802" t="str">
        <f t="shared" si="87"/>
        <v>2025-12</v>
      </c>
      <c r="AG2802">
        <f>SUBTOTAL(103,A2802)</f>
        <v>1</v>
      </c>
    </row>
    <row r="2803" spans="1:33" x14ac:dyDescent="0.3">
      <c r="A2803" t="s">
        <v>5426</v>
      </c>
      <c r="B2803" s="13">
        <v>46016</v>
      </c>
      <c r="C2803">
        <v>2025</v>
      </c>
      <c r="D2803">
        <v>12</v>
      </c>
      <c r="E2803" t="s">
        <v>5251</v>
      </c>
      <c r="F2803" t="s">
        <v>4780</v>
      </c>
      <c r="G2803" t="s">
        <v>1469</v>
      </c>
      <c r="H2803" t="s">
        <v>1470</v>
      </c>
      <c r="I2803" t="s">
        <v>86</v>
      </c>
      <c r="J2803">
        <v>41</v>
      </c>
      <c r="K2803" t="s">
        <v>82</v>
      </c>
      <c r="L2803" t="s">
        <v>2687</v>
      </c>
      <c r="M2803" t="s">
        <v>57</v>
      </c>
      <c r="N2803" t="s">
        <v>2596</v>
      </c>
      <c r="O2803" t="s">
        <v>124</v>
      </c>
      <c r="P2803" t="s">
        <v>51</v>
      </c>
      <c r="Q2803" t="s">
        <v>147</v>
      </c>
      <c r="R2803">
        <v>2</v>
      </c>
      <c r="S2803">
        <v>2299</v>
      </c>
      <c r="T2803">
        <v>0</v>
      </c>
      <c r="U2803">
        <v>4598</v>
      </c>
      <c r="V2803">
        <v>2400</v>
      </c>
      <c r="W2803">
        <v>2198</v>
      </c>
      <c r="X2803" t="s">
        <v>74</v>
      </c>
      <c r="Y2803" t="s">
        <v>68</v>
      </c>
      <c r="Z2803" t="s">
        <v>161</v>
      </c>
      <c r="AA2803" t="s">
        <v>169</v>
      </c>
      <c r="AB2803">
        <v>4.5</v>
      </c>
      <c r="AC2803">
        <v>50</v>
      </c>
      <c r="AD2803">
        <v>296.98</v>
      </c>
      <c r="AE2803">
        <f t="shared" si="86"/>
        <v>1851.02</v>
      </c>
      <c r="AF2803" t="str">
        <f t="shared" si="87"/>
        <v>2025-12</v>
      </c>
      <c r="AG2803">
        <f>SUBTOTAL(103,A2803)</f>
        <v>1</v>
      </c>
    </row>
    <row r="2804" spans="1:33" x14ac:dyDescent="0.3">
      <c r="A2804" t="s">
        <v>5427</v>
      </c>
      <c r="B2804" s="13">
        <v>46016</v>
      </c>
      <c r="C2804">
        <v>2025</v>
      </c>
      <c r="D2804">
        <v>12</v>
      </c>
      <c r="E2804" t="s">
        <v>5251</v>
      </c>
      <c r="F2804" t="s">
        <v>4780</v>
      </c>
      <c r="G2804" t="s">
        <v>185</v>
      </c>
      <c r="H2804" t="s">
        <v>186</v>
      </c>
      <c r="I2804" t="s">
        <v>86</v>
      </c>
      <c r="J2804">
        <v>19</v>
      </c>
      <c r="K2804" t="s">
        <v>80</v>
      </c>
      <c r="L2804" t="s">
        <v>96</v>
      </c>
      <c r="M2804" t="s">
        <v>55</v>
      </c>
      <c r="N2804" t="s">
        <v>2601</v>
      </c>
      <c r="O2804" t="s">
        <v>117</v>
      </c>
      <c r="P2804" t="s">
        <v>49</v>
      </c>
      <c r="Q2804" t="s">
        <v>139</v>
      </c>
      <c r="R2804">
        <v>2</v>
      </c>
      <c r="S2804">
        <v>6999</v>
      </c>
      <c r="T2804">
        <v>0</v>
      </c>
      <c r="U2804">
        <v>13998</v>
      </c>
      <c r="V2804">
        <v>8600</v>
      </c>
      <c r="W2804">
        <v>5398</v>
      </c>
      <c r="X2804" t="s">
        <v>74</v>
      </c>
      <c r="Y2804" t="s">
        <v>68</v>
      </c>
      <c r="Z2804" t="s">
        <v>160</v>
      </c>
      <c r="AA2804" t="s">
        <v>171</v>
      </c>
      <c r="AB2804">
        <v>5</v>
      </c>
      <c r="AC2804">
        <v>80</v>
      </c>
      <c r="AD2804">
        <v>358.7</v>
      </c>
      <c r="AE2804">
        <f t="shared" si="86"/>
        <v>4959.3</v>
      </c>
      <c r="AF2804" t="str">
        <f t="shared" si="87"/>
        <v>2025-12</v>
      </c>
      <c r="AG2804">
        <f>SUBTOTAL(103,A2804)</f>
        <v>1</v>
      </c>
    </row>
    <row r="2805" spans="1:33" x14ac:dyDescent="0.3">
      <c r="A2805" t="s">
        <v>5428</v>
      </c>
      <c r="B2805" s="13">
        <v>46016</v>
      </c>
      <c r="C2805">
        <v>2025</v>
      </c>
      <c r="D2805">
        <v>12</v>
      </c>
      <c r="E2805" t="s">
        <v>5251</v>
      </c>
      <c r="F2805" t="s">
        <v>4780</v>
      </c>
      <c r="G2805" t="s">
        <v>1113</v>
      </c>
      <c r="H2805" t="s">
        <v>1114</v>
      </c>
      <c r="I2805" t="s">
        <v>86</v>
      </c>
      <c r="J2805">
        <v>19</v>
      </c>
      <c r="K2805" t="s">
        <v>80</v>
      </c>
      <c r="L2805" t="s">
        <v>2634</v>
      </c>
      <c r="M2805" t="s">
        <v>56</v>
      </c>
      <c r="N2805" t="s">
        <v>2665</v>
      </c>
      <c r="O2805" t="s">
        <v>128</v>
      </c>
      <c r="P2805" t="s">
        <v>53</v>
      </c>
      <c r="Q2805" t="s">
        <v>143</v>
      </c>
      <c r="R2805">
        <v>1</v>
      </c>
      <c r="S2805">
        <v>1499</v>
      </c>
      <c r="T2805">
        <v>0.15</v>
      </c>
      <c r="U2805">
        <v>1274.1500000000001</v>
      </c>
      <c r="V2805">
        <v>800</v>
      </c>
      <c r="W2805">
        <v>474.15</v>
      </c>
      <c r="X2805" t="s">
        <v>73</v>
      </c>
      <c r="Y2805" t="s">
        <v>68</v>
      </c>
      <c r="Z2805" t="s">
        <v>163</v>
      </c>
      <c r="AA2805" t="s">
        <v>167</v>
      </c>
      <c r="AB2805">
        <v>3.2</v>
      </c>
      <c r="AC2805">
        <v>40</v>
      </c>
      <c r="AD2805">
        <v>128.5</v>
      </c>
      <c r="AE2805">
        <f t="shared" si="86"/>
        <v>305.64999999999998</v>
      </c>
      <c r="AF2805" t="str">
        <f t="shared" si="87"/>
        <v>2025-12</v>
      </c>
      <c r="AG2805">
        <f>SUBTOTAL(103,A2805)</f>
        <v>1</v>
      </c>
    </row>
    <row r="2806" spans="1:33" x14ac:dyDescent="0.3">
      <c r="A2806" t="s">
        <v>5429</v>
      </c>
      <c r="B2806" s="13">
        <v>46016</v>
      </c>
      <c r="C2806">
        <v>2025</v>
      </c>
      <c r="D2806">
        <v>12</v>
      </c>
      <c r="E2806" t="s">
        <v>5251</v>
      </c>
      <c r="F2806" t="s">
        <v>4780</v>
      </c>
      <c r="G2806" t="s">
        <v>667</v>
      </c>
      <c r="H2806" t="s">
        <v>668</v>
      </c>
      <c r="I2806" t="s">
        <v>85</v>
      </c>
      <c r="J2806">
        <v>60</v>
      </c>
      <c r="K2806" t="s">
        <v>83</v>
      </c>
      <c r="L2806" t="s">
        <v>95</v>
      </c>
      <c r="M2806" t="s">
        <v>56</v>
      </c>
      <c r="N2806" t="s">
        <v>2630</v>
      </c>
      <c r="O2806" t="s">
        <v>123</v>
      </c>
      <c r="P2806" t="s">
        <v>52</v>
      </c>
      <c r="Q2806" t="s">
        <v>146</v>
      </c>
      <c r="R2806">
        <v>3</v>
      </c>
      <c r="S2806">
        <v>2499</v>
      </c>
      <c r="T2806">
        <v>0.15</v>
      </c>
      <c r="U2806">
        <v>6372.45</v>
      </c>
      <c r="V2806">
        <v>4200</v>
      </c>
      <c r="W2806">
        <v>2172.4499999999998</v>
      </c>
      <c r="X2806" t="s">
        <v>74</v>
      </c>
      <c r="Y2806" t="s">
        <v>68</v>
      </c>
      <c r="Z2806" t="s">
        <v>160</v>
      </c>
      <c r="AA2806" t="s">
        <v>166</v>
      </c>
      <c r="AB2806">
        <v>3.9</v>
      </c>
      <c r="AC2806">
        <v>100</v>
      </c>
      <c r="AD2806">
        <v>200.5</v>
      </c>
      <c r="AE2806">
        <f t="shared" si="86"/>
        <v>1871.9499999999998</v>
      </c>
      <c r="AF2806" t="str">
        <f t="shared" si="87"/>
        <v>2025-12</v>
      </c>
      <c r="AG2806">
        <f>SUBTOTAL(103,A2806)</f>
        <v>1</v>
      </c>
    </row>
    <row r="2807" spans="1:33" x14ac:dyDescent="0.3">
      <c r="A2807" t="s">
        <v>5430</v>
      </c>
      <c r="B2807" s="13">
        <v>46016</v>
      </c>
      <c r="C2807">
        <v>2025</v>
      </c>
      <c r="D2807">
        <v>12</v>
      </c>
      <c r="E2807" t="s">
        <v>5251</v>
      </c>
      <c r="F2807" t="s">
        <v>4780</v>
      </c>
      <c r="G2807" t="s">
        <v>509</v>
      </c>
      <c r="H2807" t="s">
        <v>510</v>
      </c>
      <c r="I2807" t="s">
        <v>87</v>
      </c>
      <c r="J2807">
        <v>60</v>
      </c>
      <c r="K2807" t="s">
        <v>83</v>
      </c>
      <c r="L2807" t="s">
        <v>2576</v>
      </c>
      <c r="M2807" t="s">
        <v>60</v>
      </c>
      <c r="N2807" t="s">
        <v>2587</v>
      </c>
      <c r="O2807" t="s">
        <v>116</v>
      </c>
      <c r="P2807" t="s">
        <v>48</v>
      </c>
      <c r="Q2807" t="s">
        <v>138</v>
      </c>
      <c r="R2807">
        <v>2</v>
      </c>
      <c r="S2807">
        <v>14999</v>
      </c>
      <c r="T2807">
        <v>0.1</v>
      </c>
      <c r="U2807">
        <v>26998.2</v>
      </c>
      <c r="V2807">
        <v>22400</v>
      </c>
      <c r="W2807">
        <v>4598.2</v>
      </c>
      <c r="X2807" t="s">
        <v>75</v>
      </c>
      <c r="Y2807" t="s">
        <v>68</v>
      </c>
      <c r="Z2807" t="s">
        <v>163</v>
      </c>
      <c r="AA2807" t="s">
        <v>171</v>
      </c>
      <c r="AB2807">
        <v>3.8</v>
      </c>
      <c r="AC2807">
        <v>60</v>
      </c>
      <c r="AD2807">
        <v>2367.9899999999998</v>
      </c>
      <c r="AE2807">
        <f t="shared" si="86"/>
        <v>2170.21</v>
      </c>
      <c r="AF2807" t="str">
        <f t="shared" si="87"/>
        <v>2025-12</v>
      </c>
      <c r="AG2807">
        <f>SUBTOTAL(103,A2807)</f>
        <v>1</v>
      </c>
    </row>
    <row r="2808" spans="1:33" x14ac:dyDescent="0.3">
      <c r="A2808" t="s">
        <v>5431</v>
      </c>
      <c r="B2808" s="13">
        <v>46016</v>
      </c>
      <c r="C2808">
        <v>2025</v>
      </c>
      <c r="D2808">
        <v>12</v>
      </c>
      <c r="E2808" t="s">
        <v>5251</v>
      </c>
      <c r="F2808" t="s">
        <v>4780</v>
      </c>
      <c r="G2808" t="s">
        <v>315</v>
      </c>
      <c r="H2808" t="s">
        <v>316</v>
      </c>
      <c r="I2808" t="s">
        <v>85</v>
      </c>
      <c r="J2808">
        <v>35</v>
      </c>
      <c r="K2808" t="s">
        <v>81</v>
      </c>
      <c r="L2808" t="s">
        <v>95</v>
      </c>
      <c r="M2808" t="s">
        <v>56</v>
      </c>
      <c r="N2808" t="s">
        <v>2630</v>
      </c>
      <c r="O2808" t="s">
        <v>123</v>
      </c>
      <c r="P2808" t="s">
        <v>52</v>
      </c>
      <c r="Q2808" t="s">
        <v>146</v>
      </c>
      <c r="R2808">
        <v>4</v>
      </c>
      <c r="S2808">
        <v>2499</v>
      </c>
      <c r="T2808">
        <v>0</v>
      </c>
      <c r="U2808">
        <v>9996</v>
      </c>
      <c r="V2808">
        <v>5600</v>
      </c>
      <c r="W2808">
        <v>4396</v>
      </c>
      <c r="X2808" t="s">
        <v>73</v>
      </c>
      <c r="Y2808" t="s">
        <v>68</v>
      </c>
      <c r="Z2808" t="s">
        <v>163</v>
      </c>
      <c r="AA2808" t="s">
        <v>169</v>
      </c>
      <c r="AB2808">
        <v>3.2</v>
      </c>
      <c r="AC2808">
        <v>60</v>
      </c>
      <c r="AD2808">
        <v>577.44000000000005</v>
      </c>
      <c r="AE2808">
        <f t="shared" si="86"/>
        <v>3758.56</v>
      </c>
      <c r="AF2808" t="str">
        <f t="shared" si="87"/>
        <v>2025-12</v>
      </c>
      <c r="AG2808">
        <f>SUBTOTAL(103,A2808)</f>
        <v>1</v>
      </c>
    </row>
    <row r="2809" spans="1:33" x14ac:dyDescent="0.3">
      <c r="A2809" t="s">
        <v>5432</v>
      </c>
      <c r="B2809" s="13">
        <v>46017</v>
      </c>
      <c r="C2809">
        <v>2025</v>
      </c>
      <c r="D2809">
        <v>12</v>
      </c>
      <c r="E2809" t="s">
        <v>5251</v>
      </c>
      <c r="F2809" t="s">
        <v>4780</v>
      </c>
      <c r="G2809" t="s">
        <v>697</v>
      </c>
      <c r="H2809" t="s">
        <v>698</v>
      </c>
      <c r="I2809" t="s">
        <v>86</v>
      </c>
      <c r="J2809">
        <v>37</v>
      </c>
      <c r="K2809" t="s">
        <v>82</v>
      </c>
      <c r="L2809" t="s">
        <v>59</v>
      </c>
      <c r="M2809" t="s">
        <v>59</v>
      </c>
      <c r="N2809" t="s">
        <v>2644</v>
      </c>
      <c r="O2809" t="s">
        <v>126</v>
      </c>
      <c r="P2809" t="s">
        <v>50</v>
      </c>
      <c r="Q2809" t="s">
        <v>145</v>
      </c>
      <c r="R2809">
        <v>2</v>
      </c>
      <c r="S2809">
        <v>1799</v>
      </c>
      <c r="T2809">
        <v>0.25</v>
      </c>
      <c r="U2809">
        <v>0</v>
      </c>
      <c r="V2809">
        <v>0</v>
      </c>
      <c r="W2809">
        <v>0</v>
      </c>
      <c r="X2809" t="s">
        <v>73</v>
      </c>
      <c r="Y2809" t="s">
        <v>71</v>
      </c>
      <c r="Z2809" t="s">
        <v>159</v>
      </c>
      <c r="AA2809" t="s">
        <v>167</v>
      </c>
      <c r="AB2809">
        <v>4.5999999999999996</v>
      </c>
      <c r="AC2809">
        <v>80</v>
      </c>
      <c r="AD2809">
        <v>233.99</v>
      </c>
      <c r="AE2809">
        <f t="shared" si="86"/>
        <v>-313.99</v>
      </c>
      <c r="AF2809" t="str">
        <f t="shared" si="87"/>
        <v>2025-12</v>
      </c>
      <c r="AG2809">
        <f>SUBTOTAL(103,A2809)</f>
        <v>1</v>
      </c>
    </row>
    <row r="2810" spans="1:33" x14ac:dyDescent="0.3">
      <c r="A2810" t="s">
        <v>5433</v>
      </c>
      <c r="B2810" s="13">
        <v>46018</v>
      </c>
      <c r="C2810">
        <v>2025</v>
      </c>
      <c r="D2810">
        <v>12</v>
      </c>
      <c r="E2810" t="s">
        <v>5251</v>
      </c>
      <c r="F2810" t="s">
        <v>4780</v>
      </c>
      <c r="G2810" t="s">
        <v>1235</v>
      </c>
      <c r="H2810" t="s">
        <v>1236</v>
      </c>
      <c r="I2810" t="s">
        <v>85</v>
      </c>
      <c r="J2810">
        <v>48</v>
      </c>
      <c r="K2810" t="s">
        <v>83</v>
      </c>
      <c r="L2810" t="s">
        <v>91</v>
      </c>
      <c r="M2810" t="s">
        <v>55</v>
      </c>
      <c r="N2810" t="s">
        <v>2580</v>
      </c>
      <c r="O2810" t="s">
        <v>118</v>
      </c>
      <c r="P2810" t="s">
        <v>48</v>
      </c>
      <c r="Q2810" t="s">
        <v>142</v>
      </c>
      <c r="R2810">
        <v>4</v>
      </c>
      <c r="S2810">
        <v>3999</v>
      </c>
      <c r="T2810">
        <v>0.1</v>
      </c>
      <c r="U2810">
        <v>14396.4</v>
      </c>
      <c r="V2810">
        <v>9600</v>
      </c>
      <c r="W2810">
        <v>4796.3999999999996</v>
      </c>
      <c r="X2810" t="s">
        <v>74</v>
      </c>
      <c r="Y2810" t="s">
        <v>68</v>
      </c>
      <c r="Z2810" t="s">
        <v>160</v>
      </c>
      <c r="AA2810" t="s">
        <v>167</v>
      </c>
      <c r="AB2810">
        <v>3.6</v>
      </c>
      <c r="AC2810">
        <v>40</v>
      </c>
      <c r="AD2810">
        <v>1400.65</v>
      </c>
      <c r="AE2810">
        <f t="shared" si="86"/>
        <v>3355.7499999999995</v>
      </c>
      <c r="AF2810" t="str">
        <f t="shared" si="87"/>
        <v>2025-12</v>
      </c>
      <c r="AG2810">
        <f>SUBTOTAL(103,A2810)</f>
        <v>1</v>
      </c>
    </row>
    <row r="2811" spans="1:33" x14ac:dyDescent="0.3">
      <c r="A2811" t="s">
        <v>5434</v>
      </c>
      <c r="B2811" s="13">
        <v>46018</v>
      </c>
      <c r="C2811">
        <v>2025</v>
      </c>
      <c r="D2811">
        <v>12</v>
      </c>
      <c r="E2811" t="s">
        <v>5251</v>
      </c>
      <c r="F2811" t="s">
        <v>4780</v>
      </c>
      <c r="G2811" t="s">
        <v>1193</v>
      </c>
      <c r="H2811" t="s">
        <v>1194</v>
      </c>
      <c r="I2811" t="s">
        <v>85</v>
      </c>
      <c r="J2811">
        <v>49</v>
      </c>
      <c r="K2811" t="s">
        <v>83</v>
      </c>
      <c r="L2811" t="s">
        <v>59</v>
      </c>
      <c r="M2811" t="s">
        <v>59</v>
      </c>
      <c r="N2811" t="s">
        <v>2584</v>
      </c>
      <c r="O2811" t="s">
        <v>121</v>
      </c>
      <c r="P2811" t="s">
        <v>50</v>
      </c>
      <c r="Q2811" t="s">
        <v>144</v>
      </c>
      <c r="R2811">
        <v>1</v>
      </c>
      <c r="S2811">
        <v>2999</v>
      </c>
      <c r="T2811">
        <v>0.1</v>
      </c>
      <c r="U2811">
        <v>2699.1</v>
      </c>
      <c r="V2811">
        <v>1700</v>
      </c>
      <c r="W2811">
        <v>999.1</v>
      </c>
      <c r="X2811" t="s">
        <v>76</v>
      </c>
      <c r="Y2811" t="s">
        <v>68</v>
      </c>
      <c r="Z2811" t="s">
        <v>163</v>
      </c>
      <c r="AA2811" t="s">
        <v>171</v>
      </c>
      <c r="AB2811">
        <v>3.1</v>
      </c>
      <c r="AC2811">
        <v>60</v>
      </c>
      <c r="AD2811">
        <v>169.72</v>
      </c>
      <c r="AE2811">
        <f t="shared" si="86"/>
        <v>769.38</v>
      </c>
      <c r="AF2811" t="str">
        <f t="shared" si="87"/>
        <v>2025-12</v>
      </c>
      <c r="AG2811">
        <f>SUBTOTAL(103,A2811)</f>
        <v>1</v>
      </c>
    </row>
    <row r="2812" spans="1:33" x14ac:dyDescent="0.3">
      <c r="A2812" t="s">
        <v>5435</v>
      </c>
      <c r="B2812" s="13">
        <v>46018</v>
      </c>
      <c r="C2812">
        <v>2025</v>
      </c>
      <c r="D2812">
        <v>12</v>
      </c>
      <c r="E2812" t="s">
        <v>5251</v>
      </c>
      <c r="F2812" t="s">
        <v>4780</v>
      </c>
      <c r="G2812" t="s">
        <v>1791</v>
      </c>
      <c r="H2812" t="s">
        <v>1792</v>
      </c>
      <c r="I2812" t="s">
        <v>85</v>
      </c>
      <c r="J2812">
        <v>26</v>
      </c>
      <c r="K2812" t="s">
        <v>81</v>
      </c>
      <c r="L2812" t="s">
        <v>2579</v>
      </c>
      <c r="M2812" t="s">
        <v>56</v>
      </c>
      <c r="N2812" t="s">
        <v>2594</v>
      </c>
      <c r="O2812" t="s">
        <v>131</v>
      </c>
      <c r="P2812" t="s">
        <v>53</v>
      </c>
      <c r="Q2812" t="s">
        <v>143</v>
      </c>
      <c r="R2812">
        <v>1</v>
      </c>
      <c r="S2812">
        <v>999</v>
      </c>
      <c r="T2812">
        <v>0.15</v>
      </c>
      <c r="U2812">
        <v>849.15</v>
      </c>
      <c r="V2812">
        <v>520</v>
      </c>
      <c r="W2812">
        <v>329.15</v>
      </c>
      <c r="X2812" t="s">
        <v>75</v>
      </c>
      <c r="Y2812" t="s">
        <v>68</v>
      </c>
      <c r="Z2812" t="s">
        <v>162</v>
      </c>
      <c r="AA2812" t="s">
        <v>168</v>
      </c>
      <c r="AB2812">
        <v>4</v>
      </c>
      <c r="AC2812">
        <v>60</v>
      </c>
      <c r="AD2812">
        <v>76.819999999999993</v>
      </c>
      <c r="AE2812">
        <f t="shared" si="86"/>
        <v>192.32999999999998</v>
      </c>
      <c r="AF2812" t="str">
        <f t="shared" si="87"/>
        <v>2025-12</v>
      </c>
      <c r="AG2812">
        <f>SUBTOTAL(103,A2812)</f>
        <v>1</v>
      </c>
    </row>
    <row r="2813" spans="1:33" x14ac:dyDescent="0.3">
      <c r="A2813" t="s">
        <v>5436</v>
      </c>
      <c r="B2813" s="13">
        <v>46018</v>
      </c>
      <c r="C2813">
        <v>2025</v>
      </c>
      <c r="D2813">
        <v>12</v>
      </c>
      <c r="E2813" t="s">
        <v>5251</v>
      </c>
      <c r="F2813" t="s">
        <v>4780</v>
      </c>
      <c r="G2813" t="s">
        <v>1475</v>
      </c>
      <c r="H2813" t="s">
        <v>1476</v>
      </c>
      <c r="I2813" t="s">
        <v>86</v>
      </c>
      <c r="J2813">
        <v>57</v>
      </c>
      <c r="K2813" t="s">
        <v>83</v>
      </c>
      <c r="L2813" t="s">
        <v>95</v>
      </c>
      <c r="M2813" t="s">
        <v>56</v>
      </c>
      <c r="N2813" t="s">
        <v>2594</v>
      </c>
      <c r="O2813" t="s">
        <v>131</v>
      </c>
      <c r="P2813" t="s">
        <v>53</v>
      </c>
      <c r="Q2813" t="s">
        <v>143</v>
      </c>
      <c r="R2813">
        <v>1</v>
      </c>
      <c r="S2813">
        <v>999</v>
      </c>
      <c r="T2813">
        <v>0.05</v>
      </c>
      <c r="U2813">
        <v>949.05</v>
      </c>
      <c r="V2813">
        <v>520</v>
      </c>
      <c r="W2813">
        <v>429.05</v>
      </c>
      <c r="X2813" t="s">
        <v>77</v>
      </c>
      <c r="Y2813" t="s">
        <v>68</v>
      </c>
      <c r="Z2813" t="s">
        <v>158</v>
      </c>
      <c r="AA2813" t="s">
        <v>166</v>
      </c>
      <c r="AB2813">
        <v>5</v>
      </c>
      <c r="AC2813">
        <v>50</v>
      </c>
      <c r="AD2813">
        <v>101.97</v>
      </c>
      <c r="AE2813">
        <f t="shared" si="86"/>
        <v>277.08000000000004</v>
      </c>
      <c r="AF2813" t="str">
        <f t="shared" si="87"/>
        <v>2025-12</v>
      </c>
      <c r="AG2813">
        <f>SUBTOTAL(103,A2813)</f>
        <v>1</v>
      </c>
    </row>
    <row r="2814" spans="1:33" x14ac:dyDescent="0.3">
      <c r="A2814" t="s">
        <v>5437</v>
      </c>
      <c r="B2814" s="13">
        <v>46019</v>
      </c>
      <c r="C2814">
        <v>2025</v>
      </c>
      <c r="D2814">
        <v>12</v>
      </c>
      <c r="E2814" t="s">
        <v>5251</v>
      </c>
      <c r="F2814" t="s">
        <v>4780</v>
      </c>
      <c r="G2814" t="s">
        <v>1819</v>
      </c>
      <c r="H2814" t="s">
        <v>1820</v>
      </c>
      <c r="I2814" t="s">
        <v>86</v>
      </c>
      <c r="J2814">
        <v>43</v>
      </c>
      <c r="K2814" t="s">
        <v>82</v>
      </c>
      <c r="L2814" t="s">
        <v>94</v>
      </c>
      <c r="M2814" t="s">
        <v>57</v>
      </c>
      <c r="N2814" t="s">
        <v>2590</v>
      </c>
      <c r="O2814" t="s">
        <v>127</v>
      </c>
      <c r="P2814" t="s">
        <v>51</v>
      </c>
      <c r="Q2814" t="s">
        <v>148</v>
      </c>
      <c r="R2814">
        <v>5</v>
      </c>
      <c r="S2814">
        <v>1599</v>
      </c>
      <c r="T2814">
        <v>0.05</v>
      </c>
      <c r="U2814">
        <v>7595.25</v>
      </c>
      <c r="V2814">
        <v>4000</v>
      </c>
      <c r="W2814">
        <v>3595.25</v>
      </c>
      <c r="X2814" t="s">
        <v>77</v>
      </c>
      <c r="Y2814" t="s">
        <v>68</v>
      </c>
      <c r="Z2814" t="s">
        <v>160</v>
      </c>
      <c r="AA2814" t="s">
        <v>167</v>
      </c>
      <c r="AB2814">
        <v>3.1</v>
      </c>
      <c r="AC2814">
        <v>40</v>
      </c>
      <c r="AD2814">
        <v>517.24</v>
      </c>
      <c r="AE2814">
        <f t="shared" si="86"/>
        <v>3038.01</v>
      </c>
      <c r="AF2814" t="str">
        <f t="shared" si="87"/>
        <v>2025-12</v>
      </c>
      <c r="AG2814">
        <f>SUBTOTAL(103,A2814)</f>
        <v>1</v>
      </c>
    </row>
    <row r="2815" spans="1:33" x14ac:dyDescent="0.3">
      <c r="A2815" t="s">
        <v>5438</v>
      </c>
      <c r="B2815" s="13">
        <v>46019</v>
      </c>
      <c r="C2815">
        <v>2025</v>
      </c>
      <c r="D2815">
        <v>12</v>
      </c>
      <c r="E2815" t="s">
        <v>5251</v>
      </c>
      <c r="F2815" t="s">
        <v>4780</v>
      </c>
      <c r="G2815" t="s">
        <v>995</v>
      </c>
      <c r="H2815" t="s">
        <v>996</v>
      </c>
      <c r="I2815" t="s">
        <v>86</v>
      </c>
      <c r="J2815">
        <v>27</v>
      </c>
      <c r="K2815" t="s">
        <v>81</v>
      </c>
      <c r="L2815" t="s">
        <v>2623</v>
      </c>
      <c r="M2815" t="s">
        <v>61</v>
      </c>
      <c r="N2815" t="s">
        <v>2606</v>
      </c>
      <c r="O2815" t="s">
        <v>120</v>
      </c>
      <c r="P2815" t="s">
        <v>49</v>
      </c>
      <c r="Q2815" t="s">
        <v>140</v>
      </c>
      <c r="R2815">
        <v>1</v>
      </c>
      <c r="S2815">
        <v>2799</v>
      </c>
      <c r="T2815">
        <v>0.05</v>
      </c>
      <c r="U2815">
        <v>2659.05</v>
      </c>
      <c r="V2815">
        <v>1650</v>
      </c>
      <c r="W2815">
        <v>1009.05</v>
      </c>
      <c r="X2815" t="s">
        <v>73</v>
      </c>
      <c r="Y2815" t="s">
        <v>68</v>
      </c>
      <c r="Z2815" t="s">
        <v>160</v>
      </c>
      <c r="AA2815" t="s">
        <v>167</v>
      </c>
      <c r="AB2815">
        <v>5</v>
      </c>
      <c r="AC2815">
        <v>50</v>
      </c>
      <c r="AD2815">
        <v>288.60000000000002</v>
      </c>
      <c r="AE2815">
        <f t="shared" si="86"/>
        <v>670.44999999999993</v>
      </c>
      <c r="AF2815" t="str">
        <f t="shared" si="87"/>
        <v>2025-12</v>
      </c>
      <c r="AG2815">
        <f>SUBTOTAL(103,A2815)</f>
        <v>1</v>
      </c>
    </row>
    <row r="2816" spans="1:33" x14ac:dyDescent="0.3">
      <c r="A2816" t="s">
        <v>5439</v>
      </c>
      <c r="B2816" s="13">
        <v>46019</v>
      </c>
      <c r="C2816">
        <v>2025</v>
      </c>
      <c r="D2816">
        <v>12</v>
      </c>
      <c r="E2816" t="s">
        <v>5251</v>
      </c>
      <c r="F2816" t="s">
        <v>4780</v>
      </c>
      <c r="G2816" t="s">
        <v>1007</v>
      </c>
      <c r="H2816" t="s">
        <v>1008</v>
      </c>
      <c r="I2816" t="s">
        <v>86</v>
      </c>
      <c r="J2816">
        <v>50</v>
      </c>
      <c r="K2816" t="s">
        <v>83</v>
      </c>
      <c r="L2816" t="s">
        <v>90</v>
      </c>
      <c r="M2816" t="s">
        <v>55</v>
      </c>
      <c r="N2816" t="s">
        <v>2626</v>
      </c>
      <c r="O2816" t="s">
        <v>125</v>
      </c>
      <c r="P2816" t="s">
        <v>48</v>
      </c>
      <c r="Q2816" t="s">
        <v>141</v>
      </c>
      <c r="R2816">
        <v>1</v>
      </c>
      <c r="S2816">
        <v>1999</v>
      </c>
      <c r="T2816">
        <v>0.2</v>
      </c>
      <c r="U2816">
        <v>1599.2</v>
      </c>
      <c r="V2816">
        <v>1150</v>
      </c>
      <c r="W2816">
        <v>449.2</v>
      </c>
      <c r="X2816" t="s">
        <v>77</v>
      </c>
      <c r="Y2816" t="s">
        <v>68</v>
      </c>
      <c r="Z2816" t="s">
        <v>160</v>
      </c>
      <c r="AA2816" t="s">
        <v>170</v>
      </c>
      <c r="AB2816">
        <v>4.4000000000000004</v>
      </c>
      <c r="AC2816">
        <v>40</v>
      </c>
      <c r="AD2816">
        <v>155.32</v>
      </c>
      <c r="AE2816">
        <f t="shared" si="86"/>
        <v>253.88</v>
      </c>
      <c r="AF2816" t="str">
        <f t="shared" si="87"/>
        <v>2025-12</v>
      </c>
      <c r="AG2816">
        <f>SUBTOTAL(103,A2816)</f>
        <v>1</v>
      </c>
    </row>
    <row r="2817" spans="1:33" x14ac:dyDescent="0.3">
      <c r="A2817" t="s">
        <v>5440</v>
      </c>
      <c r="B2817" s="13">
        <v>46019</v>
      </c>
      <c r="C2817">
        <v>2025</v>
      </c>
      <c r="D2817">
        <v>12</v>
      </c>
      <c r="E2817" t="s">
        <v>5251</v>
      </c>
      <c r="F2817" t="s">
        <v>4780</v>
      </c>
      <c r="G2817" t="s">
        <v>2137</v>
      </c>
      <c r="H2817" t="s">
        <v>2138</v>
      </c>
      <c r="I2817" t="s">
        <v>86</v>
      </c>
      <c r="J2817">
        <v>45</v>
      </c>
      <c r="K2817" t="s">
        <v>82</v>
      </c>
      <c r="L2817" t="s">
        <v>2610</v>
      </c>
      <c r="M2817" t="s">
        <v>64</v>
      </c>
      <c r="N2817" t="s">
        <v>2644</v>
      </c>
      <c r="O2817" t="s">
        <v>126</v>
      </c>
      <c r="P2817" t="s">
        <v>50</v>
      </c>
      <c r="Q2817" t="s">
        <v>145</v>
      </c>
      <c r="R2817">
        <v>3</v>
      </c>
      <c r="S2817">
        <v>1799</v>
      </c>
      <c r="T2817">
        <v>0.2</v>
      </c>
      <c r="U2817">
        <v>4317.6000000000004</v>
      </c>
      <c r="V2817">
        <v>2850</v>
      </c>
      <c r="W2817">
        <v>1467.6</v>
      </c>
      <c r="X2817" t="s">
        <v>74</v>
      </c>
      <c r="Y2817" t="s">
        <v>68</v>
      </c>
      <c r="Z2817" t="s">
        <v>160</v>
      </c>
      <c r="AA2817" t="s">
        <v>166</v>
      </c>
      <c r="AB2817">
        <v>3.5</v>
      </c>
      <c r="AC2817">
        <v>80</v>
      </c>
      <c r="AD2817">
        <v>396.58</v>
      </c>
      <c r="AE2817">
        <f t="shared" si="86"/>
        <v>991.02</v>
      </c>
      <c r="AF2817" t="str">
        <f t="shared" si="87"/>
        <v>2025-12</v>
      </c>
      <c r="AG2817">
        <f>SUBTOTAL(103,A2817)</f>
        <v>1</v>
      </c>
    </row>
    <row r="2818" spans="1:33" x14ac:dyDescent="0.3">
      <c r="A2818" t="s">
        <v>5441</v>
      </c>
      <c r="B2818" s="13">
        <v>46019</v>
      </c>
      <c r="C2818">
        <v>2025</v>
      </c>
      <c r="D2818">
        <v>12</v>
      </c>
      <c r="E2818" t="s">
        <v>5251</v>
      </c>
      <c r="F2818" t="s">
        <v>4780</v>
      </c>
      <c r="G2818" t="s">
        <v>1033</v>
      </c>
      <c r="H2818" t="s">
        <v>1034</v>
      </c>
      <c r="I2818" t="s">
        <v>86</v>
      </c>
      <c r="J2818">
        <v>19</v>
      </c>
      <c r="K2818" t="s">
        <v>80</v>
      </c>
      <c r="L2818" t="s">
        <v>2586</v>
      </c>
      <c r="M2818" t="s">
        <v>62</v>
      </c>
      <c r="N2818" t="s">
        <v>2644</v>
      </c>
      <c r="O2818" t="s">
        <v>126</v>
      </c>
      <c r="P2818" t="s">
        <v>50</v>
      </c>
      <c r="Q2818" t="s">
        <v>145</v>
      </c>
      <c r="R2818">
        <v>1</v>
      </c>
      <c r="S2818">
        <v>1799</v>
      </c>
      <c r="T2818">
        <v>0.2</v>
      </c>
      <c r="U2818">
        <v>1439.2</v>
      </c>
      <c r="V2818">
        <v>950</v>
      </c>
      <c r="W2818">
        <v>489.2</v>
      </c>
      <c r="X2818" t="s">
        <v>73</v>
      </c>
      <c r="Y2818" t="s">
        <v>69</v>
      </c>
      <c r="Z2818" t="s">
        <v>159</v>
      </c>
      <c r="AA2818" t="s">
        <v>169</v>
      </c>
      <c r="AB2818">
        <v>4.2</v>
      </c>
      <c r="AC2818">
        <v>60</v>
      </c>
      <c r="AD2818">
        <v>129.29</v>
      </c>
      <c r="AE2818">
        <f t="shared" ref="AE2818:AE2881" si="88">W2818-AC2818-AD2818</f>
        <v>299.90999999999997</v>
      </c>
      <c r="AF2818" t="str">
        <f t="shared" ref="AF2818:AF2881" si="89">C2818&amp;"-"&amp;TEXT(D2818,"00")</f>
        <v>2025-12</v>
      </c>
      <c r="AG2818">
        <f>SUBTOTAL(103,A2818)</f>
        <v>1</v>
      </c>
    </row>
    <row r="2819" spans="1:33" x14ac:dyDescent="0.3">
      <c r="A2819" t="s">
        <v>5442</v>
      </c>
      <c r="B2819" s="13">
        <v>46019</v>
      </c>
      <c r="C2819">
        <v>2025</v>
      </c>
      <c r="D2819">
        <v>12</v>
      </c>
      <c r="E2819" t="s">
        <v>5251</v>
      </c>
      <c r="F2819" t="s">
        <v>4780</v>
      </c>
      <c r="G2819" t="s">
        <v>621</v>
      </c>
      <c r="H2819" t="s">
        <v>622</v>
      </c>
      <c r="I2819" t="s">
        <v>85</v>
      </c>
      <c r="J2819">
        <v>54</v>
      </c>
      <c r="K2819" t="s">
        <v>83</v>
      </c>
      <c r="L2819" t="s">
        <v>100</v>
      </c>
      <c r="M2819" t="s">
        <v>56</v>
      </c>
      <c r="N2819" t="s">
        <v>2590</v>
      </c>
      <c r="O2819" t="s">
        <v>127</v>
      </c>
      <c r="P2819" t="s">
        <v>51</v>
      </c>
      <c r="Q2819" t="s">
        <v>148</v>
      </c>
      <c r="R2819">
        <v>2</v>
      </c>
      <c r="S2819">
        <v>1599</v>
      </c>
      <c r="T2819">
        <v>0.1</v>
      </c>
      <c r="U2819">
        <v>2878.2</v>
      </c>
      <c r="V2819">
        <v>1600</v>
      </c>
      <c r="W2819">
        <v>1278.2</v>
      </c>
      <c r="X2819" t="s">
        <v>74</v>
      </c>
      <c r="Y2819" t="s">
        <v>68</v>
      </c>
      <c r="Z2819" t="s">
        <v>158</v>
      </c>
      <c r="AA2819" t="s">
        <v>166</v>
      </c>
      <c r="AB2819">
        <v>4.5</v>
      </c>
      <c r="AC2819">
        <v>50</v>
      </c>
      <c r="AD2819">
        <v>180</v>
      </c>
      <c r="AE2819">
        <f t="shared" si="88"/>
        <v>1048.2</v>
      </c>
      <c r="AF2819" t="str">
        <f t="shared" si="89"/>
        <v>2025-12</v>
      </c>
      <c r="AG2819">
        <f>SUBTOTAL(103,A2819)</f>
        <v>1</v>
      </c>
    </row>
    <row r="2820" spans="1:33" x14ac:dyDescent="0.3">
      <c r="A2820" t="s">
        <v>5443</v>
      </c>
      <c r="B2820" s="13">
        <v>46020</v>
      </c>
      <c r="C2820">
        <v>2025</v>
      </c>
      <c r="D2820">
        <v>12</v>
      </c>
      <c r="E2820" t="s">
        <v>5251</v>
      </c>
      <c r="F2820" t="s">
        <v>4780</v>
      </c>
      <c r="G2820" t="s">
        <v>2011</v>
      </c>
      <c r="H2820" t="s">
        <v>2012</v>
      </c>
      <c r="I2820" t="s">
        <v>85</v>
      </c>
      <c r="J2820">
        <v>42</v>
      </c>
      <c r="K2820" t="s">
        <v>82</v>
      </c>
      <c r="L2820" t="s">
        <v>90</v>
      </c>
      <c r="M2820" t="s">
        <v>55</v>
      </c>
      <c r="N2820" t="s">
        <v>2665</v>
      </c>
      <c r="O2820" t="s">
        <v>128</v>
      </c>
      <c r="P2820" t="s">
        <v>53</v>
      </c>
      <c r="Q2820" t="s">
        <v>143</v>
      </c>
      <c r="R2820">
        <v>3</v>
      </c>
      <c r="S2820">
        <v>1499</v>
      </c>
      <c r="T2820">
        <v>0.1</v>
      </c>
      <c r="U2820">
        <v>4047.3</v>
      </c>
      <c r="V2820">
        <v>2400</v>
      </c>
      <c r="W2820">
        <v>1647.3</v>
      </c>
      <c r="X2820" t="s">
        <v>75</v>
      </c>
      <c r="Y2820" t="s">
        <v>68</v>
      </c>
      <c r="Z2820" t="s">
        <v>158</v>
      </c>
      <c r="AA2820" t="s">
        <v>166</v>
      </c>
      <c r="AB2820">
        <v>2.6</v>
      </c>
      <c r="AC2820">
        <v>50</v>
      </c>
      <c r="AD2820">
        <v>335.09</v>
      </c>
      <c r="AE2820">
        <f t="shared" si="88"/>
        <v>1262.21</v>
      </c>
      <c r="AF2820" t="str">
        <f t="shared" si="89"/>
        <v>2025-12</v>
      </c>
      <c r="AG2820">
        <f>SUBTOTAL(103,A2820)</f>
        <v>1</v>
      </c>
    </row>
    <row r="2821" spans="1:33" x14ac:dyDescent="0.3">
      <c r="A2821" t="s">
        <v>5444</v>
      </c>
      <c r="B2821" s="13">
        <v>46020</v>
      </c>
      <c r="C2821">
        <v>2025</v>
      </c>
      <c r="D2821">
        <v>12</v>
      </c>
      <c r="E2821" t="s">
        <v>5251</v>
      </c>
      <c r="F2821" t="s">
        <v>4780</v>
      </c>
      <c r="G2821" t="s">
        <v>1495</v>
      </c>
      <c r="H2821" t="s">
        <v>1496</v>
      </c>
      <c r="I2821" t="s">
        <v>86</v>
      </c>
      <c r="J2821">
        <v>59</v>
      </c>
      <c r="K2821" t="s">
        <v>83</v>
      </c>
      <c r="L2821" t="s">
        <v>2589</v>
      </c>
      <c r="M2821" t="s">
        <v>61</v>
      </c>
      <c r="N2821" t="s">
        <v>2577</v>
      </c>
      <c r="O2821" t="s">
        <v>129</v>
      </c>
      <c r="P2821" t="s">
        <v>49</v>
      </c>
      <c r="Q2821" t="s">
        <v>149</v>
      </c>
      <c r="R2821">
        <v>1</v>
      </c>
      <c r="S2821">
        <v>1299</v>
      </c>
      <c r="T2821">
        <v>0.05</v>
      </c>
      <c r="U2821">
        <v>1234.05</v>
      </c>
      <c r="V2821">
        <v>650</v>
      </c>
      <c r="W2821">
        <v>584.04999999999995</v>
      </c>
      <c r="X2821" t="s">
        <v>73</v>
      </c>
      <c r="Y2821" t="s">
        <v>68</v>
      </c>
      <c r="Z2821" t="s">
        <v>160</v>
      </c>
      <c r="AA2821" t="s">
        <v>169</v>
      </c>
      <c r="AB2821">
        <v>4.3</v>
      </c>
      <c r="AC2821">
        <v>50</v>
      </c>
      <c r="AD2821">
        <v>121.65</v>
      </c>
      <c r="AE2821">
        <f t="shared" si="88"/>
        <v>412.4</v>
      </c>
      <c r="AF2821" t="str">
        <f t="shared" si="89"/>
        <v>2025-12</v>
      </c>
      <c r="AG2821">
        <f>SUBTOTAL(103,A2821)</f>
        <v>1</v>
      </c>
    </row>
    <row r="2822" spans="1:33" x14ac:dyDescent="0.3">
      <c r="A2822" t="s">
        <v>5445</v>
      </c>
      <c r="B2822" s="13">
        <v>46020</v>
      </c>
      <c r="C2822">
        <v>2025</v>
      </c>
      <c r="D2822">
        <v>12</v>
      </c>
      <c r="E2822" t="s">
        <v>5251</v>
      </c>
      <c r="F2822" t="s">
        <v>4780</v>
      </c>
      <c r="G2822" t="s">
        <v>1941</v>
      </c>
      <c r="H2822" t="s">
        <v>1942</v>
      </c>
      <c r="I2822" t="s">
        <v>86</v>
      </c>
      <c r="J2822">
        <v>57</v>
      </c>
      <c r="K2822" t="s">
        <v>83</v>
      </c>
      <c r="L2822" t="s">
        <v>100</v>
      </c>
      <c r="M2822" t="s">
        <v>56</v>
      </c>
      <c r="N2822" t="s">
        <v>2580</v>
      </c>
      <c r="O2822" t="s">
        <v>118</v>
      </c>
      <c r="P2822" t="s">
        <v>48</v>
      </c>
      <c r="Q2822" t="s">
        <v>142</v>
      </c>
      <c r="R2822">
        <v>1</v>
      </c>
      <c r="S2822">
        <v>3999</v>
      </c>
      <c r="T2822">
        <v>0.05</v>
      </c>
      <c r="U2822">
        <v>3799.05</v>
      </c>
      <c r="V2822">
        <v>2400</v>
      </c>
      <c r="W2822">
        <v>1399.05</v>
      </c>
      <c r="X2822" t="s">
        <v>76</v>
      </c>
      <c r="Y2822" t="s">
        <v>68</v>
      </c>
      <c r="Z2822" t="s">
        <v>163</v>
      </c>
      <c r="AA2822" t="s">
        <v>169</v>
      </c>
      <c r="AB2822">
        <v>4.3</v>
      </c>
      <c r="AC2822">
        <v>60</v>
      </c>
      <c r="AD2822">
        <v>98.34</v>
      </c>
      <c r="AE2822">
        <f t="shared" si="88"/>
        <v>1240.71</v>
      </c>
      <c r="AF2822" t="str">
        <f t="shared" si="89"/>
        <v>2025-12</v>
      </c>
      <c r="AG2822">
        <f>SUBTOTAL(103,A2822)</f>
        <v>1</v>
      </c>
    </row>
    <row r="2823" spans="1:33" x14ac:dyDescent="0.3">
      <c r="A2823" t="s">
        <v>5446</v>
      </c>
      <c r="B2823" s="13">
        <v>46020</v>
      </c>
      <c r="C2823">
        <v>2025</v>
      </c>
      <c r="D2823">
        <v>12</v>
      </c>
      <c r="E2823" t="s">
        <v>5251</v>
      </c>
      <c r="F2823" t="s">
        <v>4780</v>
      </c>
      <c r="G2823" t="s">
        <v>1281</v>
      </c>
      <c r="H2823" t="s">
        <v>1282</v>
      </c>
      <c r="I2823" t="s">
        <v>85</v>
      </c>
      <c r="J2823">
        <v>30</v>
      </c>
      <c r="K2823" t="s">
        <v>81</v>
      </c>
      <c r="L2823" t="s">
        <v>2687</v>
      </c>
      <c r="M2823" t="s">
        <v>57</v>
      </c>
      <c r="N2823" t="s">
        <v>2582</v>
      </c>
      <c r="O2823" t="s">
        <v>119</v>
      </c>
      <c r="P2823" t="s">
        <v>49</v>
      </c>
      <c r="Q2823" t="s">
        <v>140</v>
      </c>
      <c r="R2823">
        <v>5</v>
      </c>
      <c r="S2823">
        <v>3499</v>
      </c>
      <c r="T2823">
        <v>0.05</v>
      </c>
      <c r="U2823">
        <v>16620.25</v>
      </c>
      <c r="V2823">
        <v>10500</v>
      </c>
      <c r="W2823">
        <v>6120.25</v>
      </c>
      <c r="X2823" t="s">
        <v>76</v>
      </c>
      <c r="Y2823" t="s">
        <v>70</v>
      </c>
      <c r="Z2823" t="s">
        <v>160</v>
      </c>
      <c r="AA2823" t="s">
        <v>169</v>
      </c>
      <c r="AB2823">
        <v>3.5</v>
      </c>
      <c r="AC2823">
        <v>60</v>
      </c>
      <c r="AD2823">
        <v>1779.98</v>
      </c>
      <c r="AE2823">
        <f t="shared" si="88"/>
        <v>4280.2700000000004</v>
      </c>
      <c r="AF2823" t="str">
        <f t="shared" si="89"/>
        <v>2025-12</v>
      </c>
      <c r="AG2823">
        <f>SUBTOTAL(103,A2823)</f>
        <v>1</v>
      </c>
    </row>
    <row r="2824" spans="1:33" x14ac:dyDescent="0.3">
      <c r="A2824" t="s">
        <v>5447</v>
      </c>
      <c r="B2824" s="13">
        <v>46020</v>
      </c>
      <c r="C2824">
        <v>2025</v>
      </c>
      <c r="D2824">
        <v>12</v>
      </c>
      <c r="E2824" t="s">
        <v>5251</v>
      </c>
      <c r="F2824" t="s">
        <v>4780</v>
      </c>
      <c r="G2824" t="s">
        <v>481</v>
      </c>
      <c r="H2824" t="s">
        <v>482</v>
      </c>
      <c r="I2824" t="s">
        <v>85</v>
      </c>
      <c r="J2824">
        <v>52</v>
      </c>
      <c r="K2824" t="s">
        <v>83</v>
      </c>
      <c r="L2824" t="s">
        <v>99</v>
      </c>
      <c r="M2824" t="s">
        <v>58</v>
      </c>
      <c r="N2824" t="s">
        <v>2657</v>
      </c>
      <c r="O2824" t="s">
        <v>134</v>
      </c>
      <c r="P2824" t="s">
        <v>49</v>
      </c>
      <c r="Q2824" t="s">
        <v>140</v>
      </c>
      <c r="R2824">
        <v>1</v>
      </c>
      <c r="S2824">
        <v>599</v>
      </c>
      <c r="T2824">
        <v>0</v>
      </c>
      <c r="U2824">
        <v>599</v>
      </c>
      <c r="V2824">
        <v>250</v>
      </c>
      <c r="W2824">
        <v>349</v>
      </c>
      <c r="X2824" t="s">
        <v>74</v>
      </c>
      <c r="Y2824" t="s">
        <v>68</v>
      </c>
      <c r="Z2824" t="s">
        <v>163</v>
      </c>
      <c r="AA2824" t="s">
        <v>171</v>
      </c>
      <c r="AB2824">
        <v>4.4000000000000004</v>
      </c>
      <c r="AC2824">
        <v>80</v>
      </c>
      <c r="AD2824">
        <v>51.38</v>
      </c>
      <c r="AE2824">
        <f t="shared" si="88"/>
        <v>217.62</v>
      </c>
      <c r="AF2824" t="str">
        <f t="shared" si="89"/>
        <v>2025-12</v>
      </c>
      <c r="AG2824">
        <f>SUBTOTAL(103,A2824)</f>
        <v>1</v>
      </c>
    </row>
    <row r="2825" spans="1:33" x14ac:dyDescent="0.3">
      <c r="A2825" t="s">
        <v>5448</v>
      </c>
      <c r="B2825" s="13">
        <v>46020</v>
      </c>
      <c r="C2825">
        <v>2025</v>
      </c>
      <c r="D2825">
        <v>12</v>
      </c>
      <c r="E2825" t="s">
        <v>5251</v>
      </c>
      <c r="F2825" t="s">
        <v>4780</v>
      </c>
      <c r="G2825" t="s">
        <v>1551</v>
      </c>
      <c r="H2825" t="s">
        <v>1552</v>
      </c>
      <c r="I2825" t="s">
        <v>86</v>
      </c>
      <c r="J2825">
        <v>55</v>
      </c>
      <c r="K2825" t="s">
        <v>83</v>
      </c>
      <c r="L2825" t="s">
        <v>93</v>
      </c>
      <c r="M2825" t="s">
        <v>55</v>
      </c>
      <c r="N2825" t="s">
        <v>2596</v>
      </c>
      <c r="O2825" t="s">
        <v>124</v>
      </c>
      <c r="P2825" t="s">
        <v>51</v>
      </c>
      <c r="Q2825" t="s">
        <v>147</v>
      </c>
      <c r="R2825">
        <v>4</v>
      </c>
      <c r="S2825">
        <v>2299</v>
      </c>
      <c r="T2825">
        <v>0</v>
      </c>
      <c r="U2825">
        <v>9196</v>
      </c>
      <c r="V2825">
        <v>4800</v>
      </c>
      <c r="W2825">
        <v>4396</v>
      </c>
      <c r="X2825" t="s">
        <v>75</v>
      </c>
      <c r="Y2825" t="s">
        <v>69</v>
      </c>
      <c r="Z2825" t="s">
        <v>159</v>
      </c>
      <c r="AA2825" t="s">
        <v>170</v>
      </c>
      <c r="AB2825">
        <v>4</v>
      </c>
      <c r="AC2825">
        <v>60</v>
      </c>
      <c r="AD2825">
        <v>429.3</v>
      </c>
      <c r="AE2825">
        <f t="shared" si="88"/>
        <v>3906.7</v>
      </c>
      <c r="AF2825" t="str">
        <f t="shared" si="89"/>
        <v>2025-12</v>
      </c>
      <c r="AG2825">
        <f>SUBTOTAL(103,A2825)</f>
        <v>1</v>
      </c>
    </row>
    <row r="2826" spans="1:33" x14ac:dyDescent="0.3">
      <c r="A2826" t="s">
        <v>5449</v>
      </c>
      <c r="B2826" s="13">
        <v>46021</v>
      </c>
      <c r="C2826">
        <v>2025</v>
      </c>
      <c r="D2826">
        <v>12</v>
      </c>
      <c r="E2826" t="s">
        <v>5251</v>
      </c>
      <c r="F2826" t="s">
        <v>4780</v>
      </c>
      <c r="G2826" t="s">
        <v>2099</v>
      </c>
      <c r="H2826" t="s">
        <v>2100</v>
      </c>
      <c r="I2826" t="s">
        <v>85</v>
      </c>
      <c r="J2826">
        <v>30</v>
      </c>
      <c r="K2826" t="s">
        <v>81</v>
      </c>
      <c r="L2826" t="s">
        <v>2605</v>
      </c>
      <c r="M2826" t="s">
        <v>60</v>
      </c>
      <c r="N2826" t="s">
        <v>2665</v>
      </c>
      <c r="O2826" t="s">
        <v>128</v>
      </c>
      <c r="P2826" t="s">
        <v>53</v>
      </c>
      <c r="Q2826" t="s">
        <v>143</v>
      </c>
      <c r="R2826">
        <v>2</v>
      </c>
      <c r="S2826">
        <v>1499</v>
      </c>
      <c r="T2826">
        <v>0.1</v>
      </c>
      <c r="U2826">
        <v>2698.2</v>
      </c>
      <c r="V2826">
        <v>1600</v>
      </c>
      <c r="W2826">
        <v>1098.2</v>
      </c>
      <c r="X2826" t="s">
        <v>73</v>
      </c>
      <c r="Y2826" t="s">
        <v>68</v>
      </c>
      <c r="Z2826" t="s">
        <v>163</v>
      </c>
      <c r="AA2826" t="s">
        <v>169</v>
      </c>
      <c r="AB2826">
        <v>2.4</v>
      </c>
      <c r="AC2826">
        <v>80</v>
      </c>
      <c r="AD2826">
        <v>117.3</v>
      </c>
      <c r="AE2826">
        <f t="shared" si="88"/>
        <v>900.90000000000009</v>
      </c>
      <c r="AF2826" t="str">
        <f t="shared" si="89"/>
        <v>2025-12</v>
      </c>
      <c r="AG2826">
        <f>SUBTOTAL(103,A2826)</f>
        <v>1</v>
      </c>
    </row>
    <row r="2827" spans="1:33" x14ac:dyDescent="0.3">
      <c r="A2827" t="s">
        <v>5450</v>
      </c>
      <c r="B2827" s="13">
        <v>46021</v>
      </c>
      <c r="C2827">
        <v>2025</v>
      </c>
      <c r="D2827">
        <v>12</v>
      </c>
      <c r="E2827" t="s">
        <v>5251</v>
      </c>
      <c r="F2827" t="s">
        <v>4780</v>
      </c>
      <c r="G2827" t="s">
        <v>401</v>
      </c>
      <c r="H2827" t="s">
        <v>402</v>
      </c>
      <c r="I2827" t="s">
        <v>86</v>
      </c>
      <c r="J2827">
        <v>48</v>
      </c>
      <c r="K2827" t="s">
        <v>83</v>
      </c>
      <c r="L2827" t="s">
        <v>2579</v>
      </c>
      <c r="M2827" t="s">
        <v>56</v>
      </c>
      <c r="N2827" t="s">
        <v>2653</v>
      </c>
      <c r="O2827" t="s">
        <v>132</v>
      </c>
      <c r="P2827" t="s">
        <v>52</v>
      </c>
      <c r="Q2827" t="s">
        <v>150</v>
      </c>
      <c r="R2827">
        <v>4</v>
      </c>
      <c r="S2827">
        <v>899</v>
      </c>
      <c r="T2827">
        <v>0.15</v>
      </c>
      <c r="U2827">
        <v>3056.6</v>
      </c>
      <c r="V2827">
        <v>1680</v>
      </c>
      <c r="W2827">
        <v>1376.6</v>
      </c>
      <c r="X2827" t="s">
        <v>73</v>
      </c>
      <c r="Y2827" t="s">
        <v>68</v>
      </c>
      <c r="Z2827" t="s">
        <v>158</v>
      </c>
      <c r="AA2827" t="s">
        <v>169</v>
      </c>
      <c r="AB2827">
        <v>3.8</v>
      </c>
      <c r="AC2827">
        <v>60</v>
      </c>
      <c r="AD2827">
        <v>308.86</v>
      </c>
      <c r="AE2827">
        <f t="shared" si="88"/>
        <v>1007.7399999999999</v>
      </c>
      <c r="AF2827" t="str">
        <f t="shared" si="89"/>
        <v>2025-12</v>
      </c>
      <c r="AG2827">
        <f>SUBTOTAL(103,A2827)</f>
        <v>1</v>
      </c>
    </row>
    <row r="2828" spans="1:33" x14ac:dyDescent="0.3">
      <c r="A2828" t="s">
        <v>5451</v>
      </c>
      <c r="B2828" s="13">
        <v>46021</v>
      </c>
      <c r="C2828">
        <v>2025</v>
      </c>
      <c r="D2828">
        <v>12</v>
      </c>
      <c r="E2828" t="s">
        <v>5251</v>
      </c>
      <c r="F2828" t="s">
        <v>4780</v>
      </c>
      <c r="G2828" t="s">
        <v>823</v>
      </c>
      <c r="H2828" t="s">
        <v>824</v>
      </c>
      <c r="I2828" t="s">
        <v>86</v>
      </c>
      <c r="J2828">
        <v>33</v>
      </c>
      <c r="K2828" t="s">
        <v>81</v>
      </c>
      <c r="L2828" t="s">
        <v>2605</v>
      </c>
      <c r="M2828" t="s">
        <v>60</v>
      </c>
      <c r="N2828" t="s">
        <v>2580</v>
      </c>
      <c r="O2828" t="s">
        <v>118</v>
      </c>
      <c r="P2828" t="s">
        <v>48</v>
      </c>
      <c r="Q2828" t="s">
        <v>142</v>
      </c>
      <c r="R2828">
        <v>4</v>
      </c>
      <c r="S2828">
        <v>3999</v>
      </c>
      <c r="T2828">
        <v>0.05</v>
      </c>
      <c r="U2828">
        <v>15196.2</v>
      </c>
      <c r="V2828">
        <v>9600</v>
      </c>
      <c r="W2828">
        <v>5596.2</v>
      </c>
      <c r="X2828" t="s">
        <v>75</v>
      </c>
      <c r="Y2828" t="s">
        <v>68</v>
      </c>
      <c r="Z2828" t="s">
        <v>159</v>
      </c>
      <c r="AA2828" t="s">
        <v>167</v>
      </c>
      <c r="AB2828">
        <v>4</v>
      </c>
      <c r="AC2828">
        <v>40</v>
      </c>
      <c r="AD2828">
        <v>397.54</v>
      </c>
      <c r="AE2828">
        <f t="shared" si="88"/>
        <v>5158.66</v>
      </c>
      <c r="AF2828" t="str">
        <f t="shared" si="89"/>
        <v>2025-12</v>
      </c>
      <c r="AG2828">
        <f>SUBTOTAL(103,A2828)</f>
        <v>1</v>
      </c>
    </row>
    <row r="2829" spans="1:33" x14ac:dyDescent="0.3">
      <c r="A2829" t="s">
        <v>5452</v>
      </c>
      <c r="B2829" s="13">
        <v>46021</v>
      </c>
      <c r="C2829">
        <v>2025</v>
      </c>
      <c r="D2829">
        <v>12</v>
      </c>
      <c r="E2829" t="s">
        <v>5251</v>
      </c>
      <c r="F2829" t="s">
        <v>4780</v>
      </c>
      <c r="G2829" t="s">
        <v>899</v>
      </c>
      <c r="H2829" t="s">
        <v>900</v>
      </c>
      <c r="I2829" t="s">
        <v>86</v>
      </c>
      <c r="J2829">
        <v>29</v>
      </c>
      <c r="K2829" t="s">
        <v>81</v>
      </c>
      <c r="L2829" t="s">
        <v>2623</v>
      </c>
      <c r="M2829" t="s">
        <v>61</v>
      </c>
      <c r="N2829" t="s">
        <v>2644</v>
      </c>
      <c r="O2829" t="s">
        <v>126</v>
      </c>
      <c r="P2829" t="s">
        <v>50</v>
      </c>
      <c r="Q2829" t="s">
        <v>145</v>
      </c>
      <c r="R2829">
        <v>3</v>
      </c>
      <c r="S2829">
        <v>1799</v>
      </c>
      <c r="T2829">
        <v>0.1</v>
      </c>
      <c r="U2829">
        <v>4857.3</v>
      </c>
      <c r="V2829">
        <v>2850</v>
      </c>
      <c r="W2829">
        <v>2007.3</v>
      </c>
      <c r="X2829" t="s">
        <v>73</v>
      </c>
      <c r="Y2829" t="s">
        <v>69</v>
      </c>
      <c r="Z2829" t="s">
        <v>162</v>
      </c>
      <c r="AA2829" t="s">
        <v>166</v>
      </c>
      <c r="AB2829">
        <v>4.0999999999999996</v>
      </c>
      <c r="AC2829">
        <v>80</v>
      </c>
      <c r="AD2829">
        <v>246.08</v>
      </c>
      <c r="AE2829">
        <f t="shared" si="88"/>
        <v>1681.22</v>
      </c>
      <c r="AF2829" t="str">
        <f t="shared" si="89"/>
        <v>2025-12</v>
      </c>
      <c r="AG2829">
        <f>SUBTOTAL(103,A2829)</f>
        <v>1</v>
      </c>
    </row>
    <row r="2830" spans="1:33" x14ac:dyDescent="0.3">
      <c r="A2830" t="s">
        <v>5453</v>
      </c>
      <c r="B2830" s="13">
        <v>46021</v>
      </c>
      <c r="C2830">
        <v>2025</v>
      </c>
      <c r="D2830">
        <v>12</v>
      </c>
      <c r="E2830" t="s">
        <v>5251</v>
      </c>
      <c r="F2830" t="s">
        <v>4780</v>
      </c>
      <c r="G2830" t="s">
        <v>1641</v>
      </c>
      <c r="H2830" t="s">
        <v>1642</v>
      </c>
      <c r="I2830" t="s">
        <v>85</v>
      </c>
      <c r="J2830">
        <v>19</v>
      </c>
      <c r="K2830" t="s">
        <v>80</v>
      </c>
      <c r="L2830" t="s">
        <v>2589</v>
      </c>
      <c r="M2830" t="s">
        <v>61</v>
      </c>
      <c r="N2830" t="s">
        <v>2644</v>
      </c>
      <c r="O2830" t="s">
        <v>126</v>
      </c>
      <c r="P2830" t="s">
        <v>50</v>
      </c>
      <c r="Q2830" t="s">
        <v>145</v>
      </c>
      <c r="R2830">
        <v>2</v>
      </c>
      <c r="S2830">
        <v>1799</v>
      </c>
      <c r="T2830">
        <v>0.15</v>
      </c>
      <c r="U2830">
        <v>0</v>
      </c>
      <c r="V2830">
        <v>0</v>
      </c>
      <c r="W2830">
        <v>0</v>
      </c>
      <c r="X2830" t="s">
        <v>74</v>
      </c>
      <c r="Y2830" t="s">
        <v>71</v>
      </c>
      <c r="Z2830" t="s">
        <v>163</v>
      </c>
      <c r="AA2830" t="s">
        <v>169</v>
      </c>
      <c r="AB2830">
        <v>3.6</v>
      </c>
      <c r="AC2830">
        <v>60</v>
      </c>
      <c r="AD2830">
        <v>72.400000000000006</v>
      </c>
      <c r="AE2830">
        <f t="shared" si="88"/>
        <v>-132.4</v>
      </c>
      <c r="AF2830" t="str">
        <f t="shared" si="89"/>
        <v>2025-12</v>
      </c>
      <c r="AG2830">
        <f>SUBTOTAL(103,A2830)</f>
        <v>1</v>
      </c>
    </row>
    <row r="2831" spans="1:33" x14ac:dyDescent="0.3">
      <c r="A2831" t="s">
        <v>5454</v>
      </c>
      <c r="B2831" s="13">
        <v>46021</v>
      </c>
      <c r="C2831">
        <v>2025</v>
      </c>
      <c r="D2831">
        <v>12</v>
      </c>
      <c r="E2831" t="s">
        <v>5251</v>
      </c>
      <c r="F2831" t="s">
        <v>4780</v>
      </c>
      <c r="G2831" t="s">
        <v>631</v>
      </c>
      <c r="H2831" t="s">
        <v>632</v>
      </c>
      <c r="I2831" t="s">
        <v>85</v>
      </c>
      <c r="J2831">
        <v>22</v>
      </c>
      <c r="K2831" t="s">
        <v>80</v>
      </c>
      <c r="L2831" t="s">
        <v>92</v>
      </c>
      <c r="M2831" t="s">
        <v>59</v>
      </c>
      <c r="N2831" t="s">
        <v>2601</v>
      </c>
      <c r="O2831" t="s">
        <v>117</v>
      </c>
      <c r="P2831" t="s">
        <v>49</v>
      </c>
      <c r="Q2831" t="s">
        <v>139</v>
      </c>
      <c r="R2831">
        <v>2</v>
      </c>
      <c r="S2831">
        <v>6999</v>
      </c>
      <c r="T2831">
        <v>0.05</v>
      </c>
      <c r="U2831">
        <v>13298.1</v>
      </c>
      <c r="V2831">
        <v>8600</v>
      </c>
      <c r="W2831">
        <v>4698.1000000000004</v>
      </c>
      <c r="X2831" t="s">
        <v>75</v>
      </c>
      <c r="Y2831" t="s">
        <v>68</v>
      </c>
      <c r="Z2831" t="s">
        <v>162</v>
      </c>
      <c r="AA2831" t="s">
        <v>167</v>
      </c>
      <c r="AB2831">
        <v>5</v>
      </c>
      <c r="AC2831">
        <v>60</v>
      </c>
      <c r="AD2831">
        <v>640.66</v>
      </c>
      <c r="AE2831">
        <f t="shared" si="88"/>
        <v>3997.4400000000005</v>
      </c>
      <c r="AF2831" t="str">
        <f t="shared" si="89"/>
        <v>2025-12</v>
      </c>
      <c r="AG2831">
        <f>SUBTOTAL(103,A2831)</f>
        <v>1</v>
      </c>
    </row>
    <row r="2832" spans="1:33" x14ac:dyDescent="0.3">
      <c r="A2832" t="s">
        <v>5455</v>
      </c>
      <c r="B2832" s="13">
        <v>46021</v>
      </c>
      <c r="C2832">
        <v>2025</v>
      </c>
      <c r="D2832">
        <v>12</v>
      </c>
      <c r="E2832" t="s">
        <v>5251</v>
      </c>
      <c r="F2832" t="s">
        <v>4780</v>
      </c>
      <c r="G2832" t="s">
        <v>695</v>
      </c>
      <c r="H2832" t="s">
        <v>696</v>
      </c>
      <c r="I2832" t="s">
        <v>85</v>
      </c>
      <c r="J2832">
        <v>43</v>
      </c>
      <c r="K2832" t="s">
        <v>82</v>
      </c>
      <c r="L2832" t="s">
        <v>100</v>
      </c>
      <c r="M2832" t="s">
        <v>56</v>
      </c>
      <c r="N2832" t="s">
        <v>2580</v>
      </c>
      <c r="O2832" t="s">
        <v>118</v>
      </c>
      <c r="P2832" t="s">
        <v>48</v>
      </c>
      <c r="Q2832" t="s">
        <v>142</v>
      </c>
      <c r="R2832">
        <v>4</v>
      </c>
      <c r="S2832">
        <v>3999</v>
      </c>
      <c r="T2832">
        <v>0</v>
      </c>
      <c r="U2832">
        <v>15996</v>
      </c>
      <c r="V2832">
        <v>9600</v>
      </c>
      <c r="W2832">
        <v>6396</v>
      </c>
      <c r="X2832" t="s">
        <v>73</v>
      </c>
      <c r="Y2832" t="s">
        <v>68</v>
      </c>
      <c r="Z2832" t="s">
        <v>159</v>
      </c>
      <c r="AA2832" t="s">
        <v>168</v>
      </c>
      <c r="AB2832">
        <v>3.9</v>
      </c>
      <c r="AC2832">
        <v>100</v>
      </c>
      <c r="AD2832">
        <v>486.28</v>
      </c>
      <c r="AE2832">
        <f t="shared" si="88"/>
        <v>5809.72</v>
      </c>
      <c r="AF2832" t="str">
        <f t="shared" si="89"/>
        <v>2025-12</v>
      </c>
      <c r="AG2832">
        <f>SUBTOTAL(103,A2832)</f>
        <v>1</v>
      </c>
    </row>
    <row r="2833" spans="1:33" x14ac:dyDescent="0.3">
      <c r="A2833" t="s">
        <v>5456</v>
      </c>
      <c r="B2833" s="13">
        <v>46021</v>
      </c>
      <c r="C2833">
        <v>2025</v>
      </c>
      <c r="D2833">
        <v>12</v>
      </c>
      <c r="E2833" t="s">
        <v>5251</v>
      </c>
      <c r="F2833" t="s">
        <v>4780</v>
      </c>
      <c r="G2833" t="s">
        <v>2395</v>
      </c>
      <c r="H2833" t="s">
        <v>2396</v>
      </c>
      <c r="I2833" t="s">
        <v>85</v>
      </c>
      <c r="J2833">
        <v>40</v>
      </c>
      <c r="K2833" t="s">
        <v>82</v>
      </c>
      <c r="L2833" t="s">
        <v>92</v>
      </c>
      <c r="M2833" t="s">
        <v>59</v>
      </c>
      <c r="N2833" t="s">
        <v>2606</v>
      </c>
      <c r="O2833" t="s">
        <v>120</v>
      </c>
      <c r="P2833" t="s">
        <v>49</v>
      </c>
      <c r="Q2833" t="s">
        <v>140</v>
      </c>
      <c r="R2833">
        <v>1</v>
      </c>
      <c r="S2833">
        <v>2799</v>
      </c>
      <c r="T2833">
        <v>0</v>
      </c>
      <c r="U2833">
        <v>2799</v>
      </c>
      <c r="V2833">
        <v>1650</v>
      </c>
      <c r="W2833">
        <v>1149</v>
      </c>
      <c r="X2833" t="s">
        <v>75</v>
      </c>
      <c r="Y2833" t="s">
        <v>68</v>
      </c>
      <c r="Z2833" t="s">
        <v>160</v>
      </c>
      <c r="AA2833" t="s">
        <v>166</v>
      </c>
      <c r="AB2833">
        <v>4.2</v>
      </c>
      <c r="AC2833">
        <v>80</v>
      </c>
      <c r="AD2833">
        <v>293.68</v>
      </c>
      <c r="AE2833">
        <f t="shared" si="88"/>
        <v>775.31999999999994</v>
      </c>
      <c r="AF2833" t="str">
        <f t="shared" si="89"/>
        <v>2025-12</v>
      </c>
      <c r="AG2833">
        <f>SUBTOTAL(103,A2833)</f>
        <v>1</v>
      </c>
    </row>
    <row r="2834" spans="1:33" x14ac:dyDescent="0.3">
      <c r="A2834" t="s">
        <v>5457</v>
      </c>
      <c r="B2834" s="13">
        <v>46021</v>
      </c>
      <c r="C2834">
        <v>2025</v>
      </c>
      <c r="D2834">
        <v>12</v>
      </c>
      <c r="E2834" t="s">
        <v>5251</v>
      </c>
      <c r="F2834" t="s">
        <v>4780</v>
      </c>
      <c r="G2834" t="s">
        <v>1251</v>
      </c>
      <c r="H2834" t="s">
        <v>1252</v>
      </c>
      <c r="I2834" t="s">
        <v>86</v>
      </c>
      <c r="J2834">
        <v>35</v>
      </c>
      <c r="K2834" t="s">
        <v>81</v>
      </c>
      <c r="L2834" t="s">
        <v>94</v>
      </c>
      <c r="M2834" t="s">
        <v>57</v>
      </c>
      <c r="N2834" t="s">
        <v>2596</v>
      </c>
      <c r="O2834" t="s">
        <v>124</v>
      </c>
      <c r="P2834" t="s">
        <v>51</v>
      </c>
      <c r="Q2834" t="s">
        <v>147</v>
      </c>
      <c r="R2834">
        <v>4</v>
      </c>
      <c r="S2834">
        <v>2299</v>
      </c>
      <c r="T2834">
        <v>0.15</v>
      </c>
      <c r="U2834">
        <v>7816.6</v>
      </c>
      <c r="V2834">
        <v>4800</v>
      </c>
      <c r="W2834">
        <v>3016.6</v>
      </c>
      <c r="X2834" t="s">
        <v>74</v>
      </c>
      <c r="Y2834" t="s">
        <v>68</v>
      </c>
      <c r="Z2834" t="s">
        <v>163</v>
      </c>
      <c r="AA2834" t="s">
        <v>170</v>
      </c>
      <c r="AB2834">
        <v>4.9000000000000004</v>
      </c>
      <c r="AC2834">
        <v>60</v>
      </c>
      <c r="AD2834">
        <v>568.5</v>
      </c>
      <c r="AE2834">
        <f t="shared" si="88"/>
        <v>2388.1</v>
      </c>
      <c r="AF2834" t="str">
        <f t="shared" si="89"/>
        <v>2025-12</v>
      </c>
      <c r="AG2834">
        <f>SUBTOTAL(103,A2834)</f>
        <v>1</v>
      </c>
    </row>
    <row r="2835" spans="1:33" x14ac:dyDescent="0.3">
      <c r="A2835" t="s">
        <v>5458</v>
      </c>
      <c r="B2835" s="13">
        <v>46022</v>
      </c>
      <c r="C2835">
        <v>2025</v>
      </c>
      <c r="D2835">
        <v>12</v>
      </c>
      <c r="E2835" t="s">
        <v>5251</v>
      </c>
      <c r="F2835" t="s">
        <v>4780</v>
      </c>
      <c r="G2835" t="s">
        <v>1465</v>
      </c>
      <c r="H2835" t="s">
        <v>1466</v>
      </c>
      <c r="I2835" t="s">
        <v>85</v>
      </c>
      <c r="J2835">
        <v>53</v>
      </c>
      <c r="K2835" t="s">
        <v>83</v>
      </c>
      <c r="L2835" t="s">
        <v>2637</v>
      </c>
      <c r="M2835" t="s">
        <v>64</v>
      </c>
      <c r="N2835" t="s">
        <v>2647</v>
      </c>
      <c r="O2835" t="s">
        <v>133</v>
      </c>
      <c r="P2835" t="s">
        <v>50</v>
      </c>
      <c r="Q2835" t="s">
        <v>145</v>
      </c>
      <c r="R2835">
        <v>4</v>
      </c>
      <c r="S2835">
        <v>799</v>
      </c>
      <c r="T2835">
        <v>0.2</v>
      </c>
      <c r="U2835">
        <v>2556.8000000000002</v>
      </c>
      <c r="V2835">
        <v>1560</v>
      </c>
      <c r="W2835">
        <v>996.8</v>
      </c>
      <c r="X2835" t="s">
        <v>73</v>
      </c>
      <c r="Y2835" t="s">
        <v>68</v>
      </c>
      <c r="Z2835" t="s">
        <v>162</v>
      </c>
      <c r="AA2835" t="s">
        <v>166</v>
      </c>
      <c r="AB2835">
        <v>4.5</v>
      </c>
      <c r="AC2835">
        <v>80</v>
      </c>
      <c r="AD2835">
        <v>68.83</v>
      </c>
      <c r="AE2835">
        <f t="shared" si="88"/>
        <v>847.96999999999991</v>
      </c>
      <c r="AF2835" t="str">
        <f t="shared" si="89"/>
        <v>2025-12</v>
      </c>
      <c r="AG2835">
        <f>SUBTOTAL(103,A2835)</f>
        <v>1</v>
      </c>
    </row>
    <row r="2836" spans="1:33" x14ac:dyDescent="0.3">
      <c r="A2836" t="s">
        <v>5459</v>
      </c>
      <c r="B2836" s="13">
        <v>46022</v>
      </c>
      <c r="C2836">
        <v>2025</v>
      </c>
      <c r="D2836">
        <v>12</v>
      </c>
      <c r="E2836" t="s">
        <v>5251</v>
      </c>
      <c r="F2836" t="s">
        <v>4780</v>
      </c>
      <c r="G2836" t="s">
        <v>495</v>
      </c>
      <c r="H2836" t="s">
        <v>496</v>
      </c>
      <c r="I2836" t="s">
        <v>85</v>
      </c>
      <c r="J2836">
        <v>19</v>
      </c>
      <c r="K2836" t="s">
        <v>80</v>
      </c>
      <c r="L2836" t="s">
        <v>2579</v>
      </c>
      <c r="M2836" t="s">
        <v>56</v>
      </c>
      <c r="N2836" t="s">
        <v>2587</v>
      </c>
      <c r="O2836" t="s">
        <v>116</v>
      </c>
      <c r="P2836" t="s">
        <v>48</v>
      </c>
      <c r="Q2836" t="s">
        <v>138</v>
      </c>
      <c r="R2836">
        <v>2</v>
      </c>
      <c r="S2836">
        <v>14999</v>
      </c>
      <c r="T2836">
        <v>0.15</v>
      </c>
      <c r="U2836">
        <v>25498.3</v>
      </c>
      <c r="V2836">
        <v>22400</v>
      </c>
      <c r="W2836">
        <v>3098.3</v>
      </c>
      <c r="X2836" t="s">
        <v>74</v>
      </c>
      <c r="Y2836" t="s">
        <v>68</v>
      </c>
      <c r="Z2836" t="s">
        <v>158</v>
      </c>
      <c r="AA2836" t="s">
        <v>167</v>
      </c>
      <c r="AB2836">
        <v>4.3</v>
      </c>
      <c r="AC2836">
        <v>40</v>
      </c>
      <c r="AD2836">
        <v>2833.41</v>
      </c>
      <c r="AE2836">
        <f t="shared" si="88"/>
        <v>224.89000000000033</v>
      </c>
      <c r="AF2836" t="str">
        <f t="shared" si="89"/>
        <v>2025-12</v>
      </c>
      <c r="AG2836">
        <f>SUBTOTAL(103,A2836)</f>
        <v>1</v>
      </c>
    </row>
    <row r="2837" spans="1:33" x14ac:dyDescent="0.3">
      <c r="A2837" t="s">
        <v>5460</v>
      </c>
      <c r="B2837" s="13">
        <v>46022</v>
      </c>
      <c r="C2837">
        <v>2025</v>
      </c>
      <c r="D2837">
        <v>12</v>
      </c>
      <c r="E2837" t="s">
        <v>5251</v>
      </c>
      <c r="F2837" t="s">
        <v>4780</v>
      </c>
      <c r="G2837" t="s">
        <v>819</v>
      </c>
      <c r="H2837" t="s">
        <v>820</v>
      </c>
      <c r="I2837" t="s">
        <v>85</v>
      </c>
      <c r="J2837">
        <v>33</v>
      </c>
      <c r="K2837" t="s">
        <v>81</v>
      </c>
      <c r="L2837" t="s">
        <v>92</v>
      </c>
      <c r="M2837" t="s">
        <v>59</v>
      </c>
      <c r="N2837" t="s">
        <v>2590</v>
      </c>
      <c r="O2837" t="s">
        <v>127</v>
      </c>
      <c r="P2837" t="s">
        <v>51</v>
      </c>
      <c r="Q2837" t="s">
        <v>148</v>
      </c>
      <c r="R2837">
        <v>4</v>
      </c>
      <c r="S2837">
        <v>1599</v>
      </c>
      <c r="T2837">
        <v>0.05</v>
      </c>
      <c r="U2837">
        <v>6076.2</v>
      </c>
      <c r="V2837">
        <v>3200</v>
      </c>
      <c r="W2837">
        <v>2876.2</v>
      </c>
      <c r="X2837" t="s">
        <v>74</v>
      </c>
      <c r="Y2837" t="s">
        <v>68</v>
      </c>
      <c r="Z2837" t="s">
        <v>160</v>
      </c>
      <c r="AA2837" t="s">
        <v>166</v>
      </c>
      <c r="AB2837">
        <v>3.5</v>
      </c>
      <c r="AC2837">
        <v>100</v>
      </c>
      <c r="AD2837">
        <v>708.56</v>
      </c>
      <c r="AE2837">
        <f t="shared" si="88"/>
        <v>2067.64</v>
      </c>
      <c r="AF2837" t="str">
        <f t="shared" si="89"/>
        <v>2025-12</v>
      </c>
      <c r="AG2837">
        <f>SUBTOTAL(103,A2837)</f>
        <v>1</v>
      </c>
    </row>
    <row r="2838" spans="1:33" x14ac:dyDescent="0.3">
      <c r="A2838" t="s">
        <v>5461</v>
      </c>
      <c r="B2838" s="13">
        <v>46022</v>
      </c>
      <c r="C2838">
        <v>2025</v>
      </c>
      <c r="D2838">
        <v>12</v>
      </c>
      <c r="E2838" t="s">
        <v>5251</v>
      </c>
      <c r="F2838" t="s">
        <v>4780</v>
      </c>
      <c r="G2838" t="s">
        <v>491</v>
      </c>
      <c r="H2838" t="s">
        <v>492</v>
      </c>
      <c r="I2838" t="s">
        <v>86</v>
      </c>
      <c r="J2838">
        <v>40</v>
      </c>
      <c r="K2838" t="s">
        <v>82</v>
      </c>
      <c r="L2838" t="s">
        <v>2589</v>
      </c>
      <c r="M2838" t="s">
        <v>61</v>
      </c>
      <c r="N2838" t="s">
        <v>2587</v>
      </c>
      <c r="O2838" t="s">
        <v>116</v>
      </c>
      <c r="P2838" t="s">
        <v>48</v>
      </c>
      <c r="Q2838" t="s">
        <v>138</v>
      </c>
      <c r="R2838">
        <v>1</v>
      </c>
      <c r="S2838">
        <v>14999</v>
      </c>
      <c r="T2838">
        <v>0.05</v>
      </c>
      <c r="U2838">
        <v>14249.05</v>
      </c>
      <c r="V2838">
        <v>11200</v>
      </c>
      <c r="W2838">
        <v>3049.05</v>
      </c>
      <c r="X2838" t="s">
        <v>76</v>
      </c>
      <c r="Y2838" t="s">
        <v>68</v>
      </c>
      <c r="Z2838" t="s">
        <v>160</v>
      </c>
      <c r="AA2838" t="s">
        <v>169</v>
      </c>
      <c r="AB2838">
        <v>5</v>
      </c>
      <c r="AC2838">
        <v>60</v>
      </c>
      <c r="AD2838">
        <v>1473.31</v>
      </c>
      <c r="AE2838">
        <f t="shared" si="88"/>
        <v>1515.7400000000002</v>
      </c>
      <c r="AF2838" t="str">
        <f t="shared" si="89"/>
        <v>2025-12</v>
      </c>
      <c r="AG2838">
        <f>SUBTOTAL(103,A2838)</f>
        <v>1</v>
      </c>
    </row>
    <row r="2839" spans="1:33" x14ac:dyDescent="0.3">
      <c r="A2839" t="s">
        <v>5462</v>
      </c>
      <c r="B2839" s="13">
        <v>46022</v>
      </c>
      <c r="C2839">
        <v>2025</v>
      </c>
      <c r="D2839">
        <v>12</v>
      </c>
      <c r="E2839" t="s">
        <v>5251</v>
      </c>
      <c r="F2839" t="s">
        <v>4780</v>
      </c>
      <c r="G2839" t="s">
        <v>721</v>
      </c>
      <c r="H2839" t="s">
        <v>722</v>
      </c>
      <c r="I2839" t="s">
        <v>85</v>
      </c>
      <c r="J2839">
        <v>37</v>
      </c>
      <c r="K2839" t="s">
        <v>82</v>
      </c>
      <c r="L2839" t="s">
        <v>94</v>
      </c>
      <c r="M2839" t="s">
        <v>57</v>
      </c>
      <c r="N2839" t="s">
        <v>2580</v>
      </c>
      <c r="O2839" t="s">
        <v>118</v>
      </c>
      <c r="P2839" t="s">
        <v>48</v>
      </c>
      <c r="Q2839" t="s">
        <v>142</v>
      </c>
      <c r="R2839">
        <v>3</v>
      </c>
      <c r="S2839">
        <v>3999</v>
      </c>
      <c r="T2839">
        <v>0.15</v>
      </c>
      <c r="U2839">
        <v>10197.450000000001</v>
      </c>
      <c r="V2839">
        <v>7200</v>
      </c>
      <c r="W2839">
        <v>2997.45</v>
      </c>
      <c r="X2839" t="s">
        <v>73</v>
      </c>
      <c r="Y2839" t="s">
        <v>68</v>
      </c>
      <c r="Z2839" t="s">
        <v>160</v>
      </c>
      <c r="AA2839" t="s">
        <v>166</v>
      </c>
      <c r="AB2839">
        <v>4.0999999999999996</v>
      </c>
      <c r="AC2839">
        <v>100</v>
      </c>
      <c r="AD2839">
        <v>603.35</v>
      </c>
      <c r="AE2839">
        <f t="shared" si="88"/>
        <v>2294.1</v>
      </c>
      <c r="AF2839" t="str">
        <f t="shared" si="89"/>
        <v>2025-12</v>
      </c>
      <c r="AG2839">
        <f>SUBTOTAL(103,A2839)</f>
        <v>1</v>
      </c>
    </row>
    <row r="2840" spans="1:33" x14ac:dyDescent="0.3">
      <c r="A2840" t="s">
        <v>5463</v>
      </c>
      <c r="B2840" s="13">
        <v>46022</v>
      </c>
      <c r="C2840">
        <v>2025</v>
      </c>
      <c r="D2840">
        <v>12</v>
      </c>
      <c r="E2840" t="s">
        <v>5251</v>
      </c>
      <c r="F2840" t="s">
        <v>4780</v>
      </c>
      <c r="G2840" t="s">
        <v>581</v>
      </c>
      <c r="H2840" t="s">
        <v>582</v>
      </c>
      <c r="I2840" t="s">
        <v>86</v>
      </c>
      <c r="J2840">
        <v>57</v>
      </c>
      <c r="K2840" t="s">
        <v>83</v>
      </c>
      <c r="L2840" t="s">
        <v>2610</v>
      </c>
      <c r="M2840" t="s">
        <v>64</v>
      </c>
      <c r="N2840" t="s">
        <v>2577</v>
      </c>
      <c r="O2840" t="s">
        <v>129</v>
      </c>
      <c r="P2840" t="s">
        <v>49</v>
      </c>
      <c r="Q2840" t="s">
        <v>149</v>
      </c>
      <c r="R2840">
        <v>1</v>
      </c>
      <c r="S2840">
        <v>1299</v>
      </c>
      <c r="T2840">
        <v>0.1</v>
      </c>
      <c r="U2840">
        <v>1169.0999999999999</v>
      </c>
      <c r="V2840">
        <v>650</v>
      </c>
      <c r="W2840">
        <v>519.1</v>
      </c>
      <c r="X2840" t="s">
        <v>73</v>
      </c>
      <c r="Y2840" t="s">
        <v>68</v>
      </c>
      <c r="Z2840" t="s">
        <v>162</v>
      </c>
      <c r="AA2840" t="s">
        <v>170</v>
      </c>
      <c r="AB2840">
        <v>5</v>
      </c>
      <c r="AC2840">
        <v>80</v>
      </c>
      <c r="AD2840">
        <v>36.69</v>
      </c>
      <c r="AE2840">
        <f t="shared" si="88"/>
        <v>402.41</v>
      </c>
      <c r="AF2840" t="str">
        <f t="shared" si="89"/>
        <v>2025-12</v>
      </c>
      <c r="AG2840">
        <f>SUBTOTAL(103,A2840)</f>
        <v>1</v>
      </c>
    </row>
    <row r="2841" spans="1:33" x14ac:dyDescent="0.3">
      <c r="A2841" t="s">
        <v>5464</v>
      </c>
      <c r="B2841" s="13">
        <v>46022</v>
      </c>
      <c r="C2841">
        <v>2025</v>
      </c>
      <c r="D2841">
        <v>12</v>
      </c>
      <c r="E2841" t="s">
        <v>5251</v>
      </c>
      <c r="F2841" t="s">
        <v>4780</v>
      </c>
      <c r="G2841" t="s">
        <v>589</v>
      </c>
      <c r="H2841" t="s">
        <v>590</v>
      </c>
      <c r="I2841" t="s">
        <v>85</v>
      </c>
      <c r="J2841">
        <v>23</v>
      </c>
      <c r="K2841" t="s">
        <v>80</v>
      </c>
      <c r="L2841" t="s">
        <v>98</v>
      </c>
      <c r="M2841" t="s">
        <v>55</v>
      </c>
      <c r="N2841" t="s">
        <v>2606</v>
      </c>
      <c r="O2841" t="s">
        <v>120</v>
      </c>
      <c r="P2841" t="s">
        <v>49</v>
      </c>
      <c r="Q2841" t="s">
        <v>140</v>
      </c>
      <c r="R2841">
        <v>2</v>
      </c>
      <c r="S2841">
        <v>2799</v>
      </c>
      <c r="T2841">
        <v>0.1</v>
      </c>
      <c r="U2841">
        <v>5038.2</v>
      </c>
      <c r="V2841">
        <v>3300</v>
      </c>
      <c r="W2841">
        <v>1738.2</v>
      </c>
      <c r="X2841" t="s">
        <v>73</v>
      </c>
      <c r="Y2841" t="s">
        <v>68</v>
      </c>
      <c r="Z2841" t="s">
        <v>159</v>
      </c>
      <c r="AA2841" t="s">
        <v>167</v>
      </c>
      <c r="AB2841">
        <v>3.6</v>
      </c>
      <c r="AC2841">
        <v>100</v>
      </c>
      <c r="AD2841">
        <v>307.37</v>
      </c>
      <c r="AE2841">
        <f t="shared" si="88"/>
        <v>1330.83</v>
      </c>
      <c r="AF2841" t="str">
        <f t="shared" si="89"/>
        <v>2025-12</v>
      </c>
      <c r="AG2841">
        <f>SUBTOTAL(103,A2841)</f>
        <v>1</v>
      </c>
    </row>
    <row r="2842" spans="1:33" x14ac:dyDescent="0.3">
      <c r="A2842" t="s">
        <v>5465</v>
      </c>
      <c r="B2842" s="13">
        <v>46022</v>
      </c>
      <c r="C2842">
        <v>2025</v>
      </c>
      <c r="D2842">
        <v>12</v>
      </c>
      <c r="E2842" t="s">
        <v>5251</v>
      </c>
      <c r="F2842" t="s">
        <v>4780</v>
      </c>
      <c r="G2842" t="s">
        <v>1513</v>
      </c>
      <c r="H2842" t="s">
        <v>1514</v>
      </c>
      <c r="I2842" t="s">
        <v>85</v>
      </c>
      <c r="J2842">
        <v>53</v>
      </c>
      <c r="K2842" t="s">
        <v>83</v>
      </c>
      <c r="L2842" t="s">
        <v>59</v>
      </c>
      <c r="M2842" t="s">
        <v>59</v>
      </c>
      <c r="N2842" t="s">
        <v>2644</v>
      </c>
      <c r="O2842" t="s">
        <v>126</v>
      </c>
      <c r="P2842" t="s">
        <v>50</v>
      </c>
      <c r="Q2842" t="s">
        <v>145</v>
      </c>
      <c r="R2842">
        <v>2</v>
      </c>
      <c r="S2842">
        <v>1799</v>
      </c>
      <c r="T2842">
        <v>0.25</v>
      </c>
      <c r="U2842">
        <v>2698.5</v>
      </c>
      <c r="V2842">
        <v>1900</v>
      </c>
      <c r="W2842">
        <v>798.5</v>
      </c>
      <c r="X2842" t="s">
        <v>73</v>
      </c>
      <c r="Y2842" t="s">
        <v>68</v>
      </c>
      <c r="Z2842" t="s">
        <v>161</v>
      </c>
      <c r="AA2842" t="s">
        <v>170</v>
      </c>
      <c r="AB2842">
        <v>5</v>
      </c>
      <c r="AC2842">
        <v>50</v>
      </c>
      <c r="AD2842">
        <v>256.52</v>
      </c>
      <c r="AE2842">
        <f t="shared" si="88"/>
        <v>491.98</v>
      </c>
      <c r="AF2842" t="str">
        <f t="shared" si="89"/>
        <v>2025-12</v>
      </c>
      <c r="AG2842">
        <f>SUBTOTAL(103,A2842)</f>
        <v>1</v>
      </c>
    </row>
    <row r="2843" spans="1:33" x14ac:dyDescent="0.3">
      <c r="A2843" t="s">
        <v>5466</v>
      </c>
      <c r="B2843" s="13">
        <v>46022</v>
      </c>
      <c r="C2843">
        <v>2025</v>
      </c>
      <c r="D2843">
        <v>12</v>
      </c>
      <c r="E2843" t="s">
        <v>5251</v>
      </c>
      <c r="F2843" t="s">
        <v>4780</v>
      </c>
      <c r="G2843" t="s">
        <v>1375</v>
      </c>
      <c r="H2843" t="s">
        <v>1376</v>
      </c>
      <c r="I2843" t="s">
        <v>86</v>
      </c>
      <c r="J2843">
        <v>60</v>
      </c>
      <c r="K2843" t="s">
        <v>83</v>
      </c>
      <c r="L2843" t="s">
        <v>98</v>
      </c>
      <c r="M2843" t="s">
        <v>55</v>
      </c>
      <c r="N2843" t="s">
        <v>2657</v>
      </c>
      <c r="O2843" t="s">
        <v>134</v>
      </c>
      <c r="P2843" t="s">
        <v>49</v>
      </c>
      <c r="Q2843" t="s">
        <v>140</v>
      </c>
      <c r="R2843">
        <v>2</v>
      </c>
      <c r="S2843">
        <v>599</v>
      </c>
      <c r="T2843">
        <v>0.2</v>
      </c>
      <c r="U2843">
        <v>958.4</v>
      </c>
      <c r="V2843">
        <v>500</v>
      </c>
      <c r="W2843">
        <v>458.4</v>
      </c>
      <c r="X2843" t="s">
        <v>76</v>
      </c>
      <c r="Y2843" t="s">
        <v>68</v>
      </c>
      <c r="Z2843" t="s">
        <v>161</v>
      </c>
      <c r="AA2843" t="s">
        <v>170</v>
      </c>
      <c r="AB2843">
        <v>4.2</v>
      </c>
      <c r="AC2843">
        <v>40</v>
      </c>
      <c r="AD2843">
        <v>110.37</v>
      </c>
      <c r="AE2843">
        <f t="shared" si="88"/>
        <v>308.02999999999997</v>
      </c>
      <c r="AF2843" t="str">
        <f t="shared" si="89"/>
        <v>2025-12</v>
      </c>
      <c r="AG2843">
        <f>SUBTOTAL(103,A2843)</f>
        <v>1</v>
      </c>
    </row>
    <row r="2844" spans="1:33" x14ac:dyDescent="0.3">
      <c r="A2844" t="s">
        <v>5467</v>
      </c>
      <c r="B2844" s="13">
        <v>46022</v>
      </c>
      <c r="C2844">
        <v>2025</v>
      </c>
      <c r="D2844">
        <v>12</v>
      </c>
      <c r="E2844" t="s">
        <v>5251</v>
      </c>
      <c r="F2844" t="s">
        <v>4780</v>
      </c>
      <c r="G2844" t="s">
        <v>1827</v>
      </c>
      <c r="H2844" t="s">
        <v>1828</v>
      </c>
      <c r="I2844" t="s">
        <v>86</v>
      </c>
      <c r="J2844">
        <v>48</v>
      </c>
      <c r="K2844" t="s">
        <v>83</v>
      </c>
      <c r="L2844" t="s">
        <v>2646</v>
      </c>
      <c r="M2844" t="s">
        <v>63</v>
      </c>
      <c r="N2844" t="s">
        <v>2574</v>
      </c>
      <c r="O2844" t="s">
        <v>130</v>
      </c>
      <c r="P2844" t="s">
        <v>50</v>
      </c>
      <c r="Q2844" t="s">
        <v>53</v>
      </c>
      <c r="R2844">
        <v>2</v>
      </c>
      <c r="S2844">
        <v>1199</v>
      </c>
      <c r="T2844">
        <v>0.1</v>
      </c>
      <c r="U2844">
        <v>2158.1999999999998</v>
      </c>
      <c r="V2844">
        <v>1100</v>
      </c>
      <c r="W2844">
        <v>1058.2</v>
      </c>
      <c r="X2844" t="s">
        <v>76</v>
      </c>
      <c r="Y2844" t="s">
        <v>68</v>
      </c>
      <c r="Z2844" t="s">
        <v>160</v>
      </c>
      <c r="AA2844" t="s">
        <v>166</v>
      </c>
      <c r="AB2844">
        <v>3.9</v>
      </c>
      <c r="AC2844">
        <v>40</v>
      </c>
      <c r="AD2844">
        <v>53.62</v>
      </c>
      <c r="AE2844">
        <f t="shared" si="88"/>
        <v>964.58</v>
      </c>
      <c r="AF2844" t="str">
        <f t="shared" si="89"/>
        <v>2025-12</v>
      </c>
      <c r="AG2844">
        <f>SUBTOTAL(103,A2844)</f>
        <v>1</v>
      </c>
    </row>
    <row r="2845" spans="1:33" x14ac:dyDescent="0.3">
      <c r="A2845" t="s">
        <v>5468</v>
      </c>
      <c r="B2845" s="13">
        <v>46023</v>
      </c>
      <c r="C2845">
        <v>2026</v>
      </c>
      <c r="D2845">
        <v>1</v>
      </c>
      <c r="E2845" t="s">
        <v>2571</v>
      </c>
      <c r="F2845" t="s">
        <v>2572</v>
      </c>
      <c r="G2845" t="s">
        <v>1449</v>
      </c>
      <c r="H2845" t="s">
        <v>1450</v>
      </c>
      <c r="I2845" t="s">
        <v>87</v>
      </c>
      <c r="J2845">
        <v>52</v>
      </c>
      <c r="K2845" t="s">
        <v>83</v>
      </c>
      <c r="L2845" t="s">
        <v>93</v>
      </c>
      <c r="M2845" t="s">
        <v>55</v>
      </c>
      <c r="N2845" t="s">
        <v>2606</v>
      </c>
      <c r="O2845" t="s">
        <v>120</v>
      </c>
      <c r="P2845" t="s">
        <v>49</v>
      </c>
      <c r="Q2845" t="s">
        <v>140</v>
      </c>
      <c r="R2845">
        <v>2</v>
      </c>
      <c r="S2845">
        <v>2799</v>
      </c>
      <c r="T2845">
        <v>0.1</v>
      </c>
      <c r="U2845">
        <v>5038.2</v>
      </c>
      <c r="V2845">
        <v>3300</v>
      </c>
      <c r="W2845">
        <v>1738.2</v>
      </c>
      <c r="X2845" t="s">
        <v>73</v>
      </c>
      <c r="Y2845" t="s">
        <v>68</v>
      </c>
      <c r="Z2845" t="s">
        <v>161</v>
      </c>
      <c r="AA2845" t="s">
        <v>166</v>
      </c>
      <c r="AB2845">
        <v>5</v>
      </c>
      <c r="AC2845">
        <v>50</v>
      </c>
      <c r="AD2845">
        <v>306.39999999999998</v>
      </c>
      <c r="AE2845">
        <f t="shared" si="88"/>
        <v>1381.8000000000002</v>
      </c>
      <c r="AF2845" t="str">
        <f t="shared" si="89"/>
        <v>2026-01</v>
      </c>
      <c r="AG2845">
        <f>SUBTOTAL(103,A2845)</f>
        <v>1</v>
      </c>
    </row>
    <row r="2846" spans="1:33" x14ac:dyDescent="0.3">
      <c r="A2846" t="s">
        <v>5469</v>
      </c>
      <c r="B2846" s="13">
        <v>46023</v>
      </c>
      <c r="C2846">
        <v>2026</v>
      </c>
      <c r="D2846">
        <v>1</v>
      </c>
      <c r="E2846" t="s">
        <v>2571</v>
      </c>
      <c r="F2846" t="s">
        <v>2572</v>
      </c>
      <c r="G2846" t="s">
        <v>201</v>
      </c>
      <c r="H2846" t="s">
        <v>202</v>
      </c>
      <c r="I2846" t="s">
        <v>86</v>
      </c>
      <c r="J2846">
        <v>47</v>
      </c>
      <c r="K2846" t="s">
        <v>83</v>
      </c>
      <c r="L2846" t="s">
        <v>100</v>
      </c>
      <c r="M2846" t="s">
        <v>56</v>
      </c>
      <c r="N2846" t="s">
        <v>2603</v>
      </c>
      <c r="O2846" t="s">
        <v>122</v>
      </c>
      <c r="P2846" t="s">
        <v>48</v>
      </c>
      <c r="Q2846" t="s">
        <v>141</v>
      </c>
      <c r="R2846">
        <v>5</v>
      </c>
      <c r="S2846">
        <v>2499</v>
      </c>
      <c r="T2846">
        <v>0</v>
      </c>
      <c r="U2846">
        <v>12495</v>
      </c>
      <c r="V2846">
        <v>7250</v>
      </c>
      <c r="W2846">
        <v>5245</v>
      </c>
      <c r="X2846" t="s">
        <v>77</v>
      </c>
      <c r="Y2846" t="s">
        <v>68</v>
      </c>
      <c r="Z2846" t="s">
        <v>162</v>
      </c>
      <c r="AA2846" t="s">
        <v>166</v>
      </c>
      <c r="AB2846">
        <v>4.5</v>
      </c>
      <c r="AC2846">
        <v>60</v>
      </c>
      <c r="AD2846">
        <v>1005.85</v>
      </c>
      <c r="AE2846">
        <f t="shared" si="88"/>
        <v>4179.1499999999996</v>
      </c>
      <c r="AF2846" t="str">
        <f t="shared" si="89"/>
        <v>2026-01</v>
      </c>
      <c r="AG2846">
        <f>SUBTOTAL(103,A2846)</f>
        <v>1</v>
      </c>
    </row>
    <row r="2847" spans="1:33" x14ac:dyDescent="0.3">
      <c r="A2847" t="s">
        <v>5470</v>
      </c>
      <c r="B2847" s="13">
        <v>46023</v>
      </c>
      <c r="C2847">
        <v>2026</v>
      </c>
      <c r="D2847">
        <v>1</v>
      </c>
      <c r="E2847" t="s">
        <v>2571</v>
      </c>
      <c r="F2847" t="s">
        <v>2572</v>
      </c>
      <c r="G2847" t="s">
        <v>405</v>
      </c>
      <c r="H2847" t="s">
        <v>406</v>
      </c>
      <c r="I2847" t="s">
        <v>86</v>
      </c>
      <c r="J2847">
        <v>55</v>
      </c>
      <c r="K2847" t="s">
        <v>83</v>
      </c>
      <c r="L2847" t="s">
        <v>2646</v>
      </c>
      <c r="M2847" t="s">
        <v>63</v>
      </c>
      <c r="N2847" t="s">
        <v>2594</v>
      </c>
      <c r="O2847" t="s">
        <v>131</v>
      </c>
      <c r="P2847" t="s">
        <v>53</v>
      </c>
      <c r="Q2847" t="s">
        <v>143</v>
      </c>
      <c r="R2847">
        <v>3</v>
      </c>
      <c r="S2847">
        <v>999</v>
      </c>
      <c r="T2847">
        <v>0.1</v>
      </c>
      <c r="U2847">
        <v>2697.3</v>
      </c>
      <c r="V2847">
        <v>1560</v>
      </c>
      <c r="W2847">
        <v>1137.3</v>
      </c>
      <c r="X2847" t="s">
        <v>77</v>
      </c>
      <c r="Y2847" t="s">
        <v>68</v>
      </c>
      <c r="Z2847" t="s">
        <v>163</v>
      </c>
      <c r="AA2847" t="s">
        <v>168</v>
      </c>
      <c r="AB2847">
        <v>4.3</v>
      </c>
      <c r="AC2847">
        <v>40</v>
      </c>
      <c r="AD2847">
        <v>139.16999999999999</v>
      </c>
      <c r="AE2847">
        <f t="shared" si="88"/>
        <v>958.13</v>
      </c>
      <c r="AF2847" t="str">
        <f t="shared" si="89"/>
        <v>2026-01</v>
      </c>
      <c r="AG2847">
        <f>SUBTOTAL(103,A2847)</f>
        <v>1</v>
      </c>
    </row>
    <row r="2848" spans="1:33" x14ac:dyDescent="0.3">
      <c r="A2848" t="s">
        <v>5471</v>
      </c>
      <c r="B2848" s="13">
        <v>46023</v>
      </c>
      <c r="C2848">
        <v>2026</v>
      </c>
      <c r="D2848">
        <v>1</v>
      </c>
      <c r="E2848" t="s">
        <v>2571</v>
      </c>
      <c r="F2848" t="s">
        <v>2572</v>
      </c>
      <c r="G2848" t="s">
        <v>1157</v>
      </c>
      <c r="H2848" t="s">
        <v>1158</v>
      </c>
      <c r="I2848" t="s">
        <v>85</v>
      </c>
      <c r="J2848">
        <v>60</v>
      </c>
      <c r="K2848" t="s">
        <v>83</v>
      </c>
      <c r="L2848" t="s">
        <v>2674</v>
      </c>
      <c r="M2848" t="s">
        <v>58</v>
      </c>
      <c r="N2848" t="s">
        <v>2606</v>
      </c>
      <c r="O2848" t="s">
        <v>120</v>
      </c>
      <c r="P2848" t="s">
        <v>49</v>
      </c>
      <c r="Q2848" t="s">
        <v>140</v>
      </c>
      <c r="R2848">
        <v>2</v>
      </c>
      <c r="S2848">
        <v>2799</v>
      </c>
      <c r="T2848">
        <v>0.15</v>
      </c>
      <c r="U2848">
        <v>0</v>
      </c>
      <c r="V2848">
        <v>0</v>
      </c>
      <c r="W2848">
        <v>0</v>
      </c>
      <c r="X2848" t="s">
        <v>74</v>
      </c>
      <c r="Y2848" t="s">
        <v>71</v>
      </c>
      <c r="Z2848" t="s">
        <v>159</v>
      </c>
      <c r="AA2848" t="s">
        <v>166</v>
      </c>
      <c r="AB2848">
        <v>4</v>
      </c>
      <c r="AC2848">
        <v>50</v>
      </c>
      <c r="AD2848">
        <v>103.24</v>
      </c>
      <c r="AE2848">
        <f t="shared" si="88"/>
        <v>-153.24</v>
      </c>
      <c r="AF2848" t="str">
        <f t="shared" si="89"/>
        <v>2026-01</v>
      </c>
      <c r="AG2848">
        <f>SUBTOTAL(103,A2848)</f>
        <v>1</v>
      </c>
    </row>
    <row r="2849" spans="1:33" x14ac:dyDescent="0.3">
      <c r="A2849" t="s">
        <v>5472</v>
      </c>
      <c r="B2849" s="13">
        <v>46023</v>
      </c>
      <c r="C2849">
        <v>2026</v>
      </c>
      <c r="D2849">
        <v>1</v>
      </c>
      <c r="E2849" t="s">
        <v>2571</v>
      </c>
      <c r="F2849" t="s">
        <v>2572</v>
      </c>
      <c r="G2849" t="s">
        <v>219</v>
      </c>
      <c r="H2849" t="s">
        <v>220</v>
      </c>
      <c r="I2849" t="s">
        <v>86</v>
      </c>
      <c r="J2849">
        <v>42</v>
      </c>
      <c r="K2849" t="s">
        <v>82</v>
      </c>
      <c r="L2849" t="s">
        <v>91</v>
      </c>
      <c r="M2849" t="s">
        <v>55</v>
      </c>
      <c r="N2849" t="s">
        <v>2653</v>
      </c>
      <c r="O2849" t="s">
        <v>132</v>
      </c>
      <c r="P2849" t="s">
        <v>52</v>
      </c>
      <c r="Q2849" t="s">
        <v>150</v>
      </c>
      <c r="R2849">
        <v>2</v>
      </c>
      <c r="S2849">
        <v>899</v>
      </c>
      <c r="T2849">
        <v>0.15</v>
      </c>
      <c r="U2849">
        <v>1528.3</v>
      </c>
      <c r="V2849">
        <v>840</v>
      </c>
      <c r="W2849">
        <v>688.3</v>
      </c>
      <c r="X2849" t="s">
        <v>75</v>
      </c>
      <c r="Y2849" t="s">
        <v>68</v>
      </c>
      <c r="Z2849" t="s">
        <v>158</v>
      </c>
      <c r="AA2849" t="s">
        <v>166</v>
      </c>
      <c r="AB2849">
        <v>4.5999999999999996</v>
      </c>
      <c r="AC2849">
        <v>50</v>
      </c>
      <c r="AD2849">
        <v>126.54</v>
      </c>
      <c r="AE2849">
        <f t="shared" si="88"/>
        <v>511.75999999999993</v>
      </c>
      <c r="AF2849" t="str">
        <f t="shared" si="89"/>
        <v>2026-01</v>
      </c>
      <c r="AG2849">
        <f>SUBTOTAL(103,A2849)</f>
        <v>1</v>
      </c>
    </row>
    <row r="2850" spans="1:33" x14ac:dyDescent="0.3">
      <c r="A2850" t="s">
        <v>5473</v>
      </c>
      <c r="B2850" s="13">
        <v>46023</v>
      </c>
      <c r="C2850">
        <v>2026</v>
      </c>
      <c r="D2850">
        <v>1</v>
      </c>
      <c r="E2850" t="s">
        <v>2571</v>
      </c>
      <c r="F2850" t="s">
        <v>2572</v>
      </c>
      <c r="G2850" t="s">
        <v>1963</v>
      </c>
      <c r="H2850" t="s">
        <v>1964</v>
      </c>
      <c r="I2850" t="s">
        <v>87</v>
      </c>
      <c r="J2850">
        <v>37</v>
      </c>
      <c r="K2850" t="s">
        <v>82</v>
      </c>
      <c r="L2850" t="s">
        <v>59</v>
      </c>
      <c r="M2850" t="s">
        <v>59</v>
      </c>
      <c r="N2850" t="s">
        <v>2657</v>
      </c>
      <c r="O2850" t="s">
        <v>134</v>
      </c>
      <c r="P2850" t="s">
        <v>49</v>
      </c>
      <c r="Q2850" t="s">
        <v>140</v>
      </c>
      <c r="R2850">
        <v>3</v>
      </c>
      <c r="S2850">
        <v>599</v>
      </c>
      <c r="T2850">
        <v>0</v>
      </c>
      <c r="U2850">
        <v>1797</v>
      </c>
      <c r="V2850">
        <v>750</v>
      </c>
      <c r="W2850">
        <v>1047</v>
      </c>
      <c r="X2850" t="s">
        <v>77</v>
      </c>
      <c r="Y2850" t="s">
        <v>68</v>
      </c>
      <c r="Z2850" t="s">
        <v>160</v>
      </c>
      <c r="AA2850" t="s">
        <v>169</v>
      </c>
      <c r="AB2850">
        <v>3.1</v>
      </c>
      <c r="AC2850">
        <v>60</v>
      </c>
      <c r="AD2850">
        <v>198.59</v>
      </c>
      <c r="AE2850">
        <f t="shared" si="88"/>
        <v>788.41</v>
      </c>
      <c r="AF2850" t="str">
        <f t="shared" si="89"/>
        <v>2026-01</v>
      </c>
      <c r="AG2850">
        <f>SUBTOTAL(103,A2850)</f>
        <v>1</v>
      </c>
    </row>
    <row r="2851" spans="1:33" x14ac:dyDescent="0.3">
      <c r="A2851" t="s">
        <v>5474</v>
      </c>
      <c r="B2851" s="13">
        <v>46024</v>
      </c>
      <c r="C2851">
        <v>2026</v>
      </c>
      <c r="D2851">
        <v>1</v>
      </c>
      <c r="E2851" t="s">
        <v>2571</v>
      </c>
      <c r="F2851" t="s">
        <v>2572</v>
      </c>
      <c r="G2851" t="s">
        <v>2067</v>
      </c>
      <c r="H2851" t="s">
        <v>2068</v>
      </c>
      <c r="I2851" t="s">
        <v>86</v>
      </c>
      <c r="J2851">
        <v>28</v>
      </c>
      <c r="K2851" t="s">
        <v>81</v>
      </c>
      <c r="L2851" t="s">
        <v>2674</v>
      </c>
      <c r="M2851" t="s">
        <v>58</v>
      </c>
      <c r="N2851" t="s">
        <v>2577</v>
      </c>
      <c r="O2851" t="s">
        <v>129</v>
      </c>
      <c r="P2851" t="s">
        <v>49</v>
      </c>
      <c r="Q2851" t="s">
        <v>149</v>
      </c>
      <c r="R2851">
        <v>1</v>
      </c>
      <c r="S2851">
        <v>1299</v>
      </c>
      <c r="T2851">
        <v>0</v>
      </c>
      <c r="U2851">
        <v>1299</v>
      </c>
      <c r="V2851">
        <v>650</v>
      </c>
      <c r="W2851">
        <v>649</v>
      </c>
      <c r="X2851" t="s">
        <v>75</v>
      </c>
      <c r="Y2851" t="s">
        <v>68</v>
      </c>
      <c r="Z2851" t="s">
        <v>161</v>
      </c>
      <c r="AA2851" t="s">
        <v>167</v>
      </c>
      <c r="AB2851">
        <v>3.9</v>
      </c>
      <c r="AC2851">
        <v>50</v>
      </c>
      <c r="AD2851">
        <v>137.22999999999999</v>
      </c>
      <c r="AE2851">
        <f t="shared" si="88"/>
        <v>461.77</v>
      </c>
      <c r="AF2851" t="str">
        <f t="shared" si="89"/>
        <v>2026-01</v>
      </c>
      <c r="AG2851">
        <f>SUBTOTAL(103,A2851)</f>
        <v>1</v>
      </c>
    </row>
    <row r="2852" spans="1:33" x14ac:dyDescent="0.3">
      <c r="A2852" t="s">
        <v>5475</v>
      </c>
      <c r="B2852" s="13">
        <v>46024</v>
      </c>
      <c r="C2852">
        <v>2026</v>
      </c>
      <c r="D2852">
        <v>1</v>
      </c>
      <c r="E2852" t="s">
        <v>2571</v>
      </c>
      <c r="F2852" t="s">
        <v>2572</v>
      </c>
      <c r="G2852" t="s">
        <v>1259</v>
      </c>
      <c r="H2852" t="s">
        <v>1260</v>
      </c>
      <c r="I2852" t="s">
        <v>86</v>
      </c>
      <c r="J2852">
        <v>29</v>
      </c>
      <c r="K2852" t="s">
        <v>81</v>
      </c>
      <c r="L2852" t="s">
        <v>99</v>
      </c>
      <c r="M2852" t="s">
        <v>58</v>
      </c>
      <c r="N2852" t="s">
        <v>2647</v>
      </c>
      <c r="O2852" t="s">
        <v>133</v>
      </c>
      <c r="P2852" t="s">
        <v>50</v>
      </c>
      <c r="Q2852" t="s">
        <v>145</v>
      </c>
      <c r="R2852">
        <v>4</v>
      </c>
      <c r="S2852">
        <v>799</v>
      </c>
      <c r="T2852">
        <v>0.2</v>
      </c>
      <c r="U2852">
        <v>2556.8000000000002</v>
      </c>
      <c r="V2852">
        <v>1560</v>
      </c>
      <c r="W2852">
        <v>996.8</v>
      </c>
      <c r="X2852" t="s">
        <v>73</v>
      </c>
      <c r="Y2852" t="s">
        <v>68</v>
      </c>
      <c r="Z2852" t="s">
        <v>160</v>
      </c>
      <c r="AA2852" t="s">
        <v>170</v>
      </c>
      <c r="AB2852">
        <v>4.2</v>
      </c>
      <c r="AC2852">
        <v>60</v>
      </c>
      <c r="AD2852">
        <v>185.73</v>
      </c>
      <c r="AE2852">
        <f t="shared" si="88"/>
        <v>751.06999999999994</v>
      </c>
      <c r="AF2852" t="str">
        <f t="shared" si="89"/>
        <v>2026-01</v>
      </c>
      <c r="AG2852">
        <f>SUBTOTAL(103,A2852)</f>
        <v>1</v>
      </c>
    </row>
    <row r="2853" spans="1:33" x14ac:dyDescent="0.3">
      <c r="A2853" t="s">
        <v>5476</v>
      </c>
      <c r="B2853" s="13">
        <v>46024</v>
      </c>
      <c r="C2853">
        <v>2026</v>
      </c>
      <c r="D2853">
        <v>1</v>
      </c>
      <c r="E2853" t="s">
        <v>2571</v>
      </c>
      <c r="F2853" t="s">
        <v>2572</v>
      </c>
      <c r="G2853" t="s">
        <v>609</v>
      </c>
      <c r="H2853" t="s">
        <v>610</v>
      </c>
      <c r="I2853" t="s">
        <v>86</v>
      </c>
      <c r="J2853">
        <v>29</v>
      </c>
      <c r="K2853" t="s">
        <v>81</v>
      </c>
      <c r="L2853" t="s">
        <v>97</v>
      </c>
      <c r="M2853" t="s">
        <v>57</v>
      </c>
      <c r="N2853" t="s">
        <v>2587</v>
      </c>
      <c r="O2853" t="s">
        <v>116</v>
      </c>
      <c r="P2853" t="s">
        <v>48</v>
      </c>
      <c r="Q2853" t="s">
        <v>138</v>
      </c>
      <c r="R2853">
        <v>2</v>
      </c>
      <c r="S2853">
        <v>14999</v>
      </c>
      <c r="T2853">
        <v>0.05</v>
      </c>
      <c r="U2853">
        <v>28498.1</v>
      </c>
      <c r="V2853">
        <v>22400</v>
      </c>
      <c r="W2853">
        <v>6098.1</v>
      </c>
      <c r="X2853" t="s">
        <v>73</v>
      </c>
      <c r="Y2853" t="s">
        <v>68</v>
      </c>
      <c r="Z2853" t="s">
        <v>158</v>
      </c>
      <c r="AA2853" t="s">
        <v>170</v>
      </c>
      <c r="AB2853">
        <v>3.9</v>
      </c>
      <c r="AC2853">
        <v>60</v>
      </c>
      <c r="AD2853">
        <v>3101.36</v>
      </c>
      <c r="AE2853">
        <f t="shared" si="88"/>
        <v>2936.7400000000002</v>
      </c>
      <c r="AF2853" t="str">
        <f t="shared" si="89"/>
        <v>2026-01</v>
      </c>
      <c r="AG2853">
        <f>SUBTOTAL(103,A2853)</f>
        <v>1</v>
      </c>
    </row>
    <row r="2854" spans="1:33" x14ac:dyDescent="0.3">
      <c r="A2854" t="s">
        <v>5477</v>
      </c>
      <c r="B2854" s="13">
        <v>46024</v>
      </c>
      <c r="C2854">
        <v>2026</v>
      </c>
      <c r="D2854">
        <v>1</v>
      </c>
      <c r="E2854" t="s">
        <v>2571</v>
      </c>
      <c r="F2854" t="s">
        <v>2572</v>
      </c>
      <c r="G2854" t="s">
        <v>909</v>
      </c>
      <c r="H2854" t="s">
        <v>910</v>
      </c>
      <c r="I2854" t="s">
        <v>86</v>
      </c>
      <c r="J2854">
        <v>55</v>
      </c>
      <c r="K2854" t="s">
        <v>83</v>
      </c>
      <c r="L2854" t="s">
        <v>94</v>
      </c>
      <c r="M2854" t="s">
        <v>57</v>
      </c>
      <c r="N2854" t="s">
        <v>2596</v>
      </c>
      <c r="O2854" t="s">
        <v>124</v>
      </c>
      <c r="P2854" t="s">
        <v>51</v>
      </c>
      <c r="Q2854" t="s">
        <v>147</v>
      </c>
      <c r="R2854">
        <v>4</v>
      </c>
      <c r="S2854">
        <v>2299</v>
      </c>
      <c r="T2854">
        <v>0</v>
      </c>
      <c r="U2854">
        <v>9196</v>
      </c>
      <c r="V2854">
        <v>4800</v>
      </c>
      <c r="W2854">
        <v>4396</v>
      </c>
      <c r="X2854" t="s">
        <v>73</v>
      </c>
      <c r="Y2854" t="s">
        <v>68</v>
      </c>
      <c r="Z2854" t="s">
        <v>161</v>
      </c>
      <c r="AA2854" t="s">
        <v>169</v>
      </c>
      <c r="AB2854">
        <v>4.0999999999999996</v>
      </c>
      <c r="AC2854">
        <v>50</v>
      </c>
      <c r="AD2854">
        <v>253.07</v>
      </c>
      <c r="AE2854">
        <f t="shared" si="88"/>
        <v>4092.93</v>
      </c>
      <c r="AF2854" t="str">
        <f t="shared" si="89"/>
        <v>2026-01</v>
      </c>
      <c r="AG2854">
        <f>SUBTOTAL(103,A2854)</f>
        <v>1</v>
      </c>
    </row>
    <row r="2855" spans="1:33" x14ac:dyDescent="0.3">
      <c r="A2855" t="s">
        <v>5478</v>
      </c>
      <c r="B2855" s="13">
        <v>46024</v>
      </c>
      <c r="C2855">
        <v>2026</v>
      </c>
      <c r="D2855">
        <v>1</v>
      </c>
      <c r="E2855" t="s">
        <v>2571</v>
      </c>
      <c r="F2855" t="s">
        <v>2572</v>
      </c>
      <c r="G2855" t="s">
        <v>1267</v>
      </c>
      <c r="H2855" t="s">
        <v>1268</v>
      </c>
      <c r="I2855" t="s">
        <v>85</v>
      </c>
      <c r="J2855">
        <v>41</v>
      </c>
      <c r="K2855" t="s">
        <v>82</v>
      </c>
      <c r="L2855" t="s">
        <v>90</v>
      </c>
      <c r="M2855" t="s">
        <v>55</v>
      </c>
      <c r="N2855" t="s">
        <v>2574</v>
      </c>
      <c r="O2855" t="s">
        <v>130</v>
      </c>
      <c r="P2855" t="s">
        <v>50</v>
      </c>
      <c r="Q2855" t="s">
        <v>53</v>
      </c>
      <c r="R2855">
        <v>1</v>
      </c>
      <c r="S2855">
        <v>1199</v>
      </c>
      <c r="T2855">
        <v>0.25</v>
      </c>
      <c r="U2855">
        <v>899.25</v>
      </c>
      <c r="V2855">
        <v>550</v>
      </c>
      <c r="W2855">
        <v>349.25</v>
      </c>
      <c r="X2855" t="s">
        <v>77</v>
      </c>
      <c r="Y2855" t="s">
        <v>68</v>
      </c>
      <c r="Z2855" t="s">
        <v>158</v>
      </c>
      <c r="AA2855" t="s">
        <v>167</v>
      </c>
      <c r="AB2855">
        <v>4.2</v>
      </c>
      <c r="AC2855">
        <v>80</v>
      </c>
      <c r="AD2855">
        <v>27.28</v>
      </c>
      <c r="AE2855">
        <f t="shared" si="88"/>
        <v>241.97</v>
      </c>
      <c r="AF2855" t="str">
        <f t="shared" si="89"/>
        <v>2026-01</v>
      </c>
      <c r="AG2855">
        <f>SUBTOTAL(103,A2855)</f>
        <v>1</v>
      </c>
    </row>
    <row r="2856" spans="1:33" x14ac:dyDescent="0.3">
      <c r="A2856" t="s">
        <v>5479</v>
      </c>
      <c r="B2856" s="13">
        <v>46024</v>
      </c>
      <c r="C2856">
        <v>2026</v>
      </c>
      <c r="D2856">
        <v>1</v>
      </c>
      <c r="E2856" t="s">
        <v>2571</v>
      </c>
      <c r="F2856" t="s">
        <v>2572</v>
      </c>
      <c r="G2856" t="s">
        <v>867</v>
      </c>
      <c r="H2856" t="s">
        <v>868</v>
      </c>
      <c r="I2856" t="s">
        <v>86</v>
      </c>
      <c r="J2856">
        <v>34</v>
      </c>
      <c r="K2856" t="s">
        <v>81</v>
      </c>
      <c r="L2856" t="s">
        <v>98</v>
      </c>
      <c r="M2856" t="s">
        <v>55</v>
      </c>
      <c r="N2856" t="s">
        <v>2603</v>
      </c>
      <c r="O2856" t="s">
        <v>122</v>
      </c>
      <c r="P2856" t="s">
        <v>48</v>
      </c>
      <c r="Q2856" t="s">
        <v>141</v>
      </c>
      <c r="R2856">
        <v>1</v>
      </c>
      <c r="S2856">
        <v>2499</v>
      </c>
      <c r="T2856">
        <v>0.1</v>
      </c>
      <c r="U2856">
        <v>2249.1</v>
      </c>
      <c r="V2856">
        <v>1450</v>
      </c>
      <c r="W2856">
        <v>799.1</v>
      </c>
      <c r="X2856" t="s">
        <v>76</v>
      </c>
      <c r="Y2856" t="s">
        <v>68</v>
      </c>
      <c r="Z2856" t="s">
        <v>158</v>
      </c>
      <c r="AA2856" t="s">
        <v>166</v>
      </c>
      <c r="AB2856">
        <v>4.5</v>
      </c>
      <c r="AC2856">
        <v>100</v>
      </c>
      <c r="AD2856">
        <v>220.45</v>
      </c>
      <c r="AE2856">
        <f t="shared" si="88"/>
        <v>478.65000000000003</v>
      </c>
      <c r="AF2856" t="str">
        <f t="shared" si="89"/>
        <v>2026-01</v>
      </c>
      <c r="AG2856">
        <f>SUBTOTAL(103,A2856)</f>
        <v>1</v>
      </c>
    </row>
    <row r="2857" spans="1:33" x14ac:dyDescent="0.3">
      <c r="A2857" t="s">
        <v>5480</v>
      </c>
      <c r="B2857" s="13">
        <v>46024</v>
      </c>
      <c r="C2857">
        <v>2026</v>
      </c>
      <c r="D2857">
        <v>1</v>
      </c>
      <c r="E2857" t="s">
        <v>2571</v>
      </c>
      <c r="F2857" t="s">
        <v>2572</v>
      </c>
      <c r="G2857" t="s">
        <v>1279</v>
      </c>
      <c r="H2857" t="s">
        <v>1280</v>
      </c>
      <c r="I2857" t="s">
        <v>85</v>
      </c>
      <c r="J2857">
        <v>52</v>
      </c>
      <c r="K2857" t="s">
        <v>83</v>
      </c>
      <c r="L2857" t="s">
        <v>100</v>
      </c>
      <c r="M2857" t="s">
        <v>56</v>
      </c>
      <c r="N2857" t="s">
        <v>2592</v>
      </c>
      <c r="O2857" t="s">
        <v>115</v>
      </c>
      <c r="P2857" t="s">
        <v>48</v>
      </c>
      <c r="Q2857" t="s">
        <v>137</v>
      </c>
      <c r="R2857">
        <v>1</v>
      </c>
      <c r="S2857">
        <v>12999</v>
      </c>
      <c r="T2857">
        <v>0.05</v>
      </c>
      <c r="U2857">
        <v>12349.05</v>
      </c>
      <c r="V2857">
        <v>9000</v>
      </c>
      <c r="W2857">
        <v>3349.05</v>
      </c>
      <c r="X2857" t="s">
        <v>75</v>
      </c>
      <c r="Y2857" t="s">
        <v>68</v>
      </c>
      <c r="Z2857" t="s">
        <v>162</v>
      </c>
      <c r="AA2857" t="s">
        <v>168</v>
      </c>
      <c r="AB2857">
        <v>4.2</v>
      </c>
      <c r="AC2857">
        <v>60</v>
      </c>
      <c r="AD2857">
        <v>958.78</v>
      </c>
      <c r="AE2857">
        <f t="shared" si="88"/>
        <v>2330.2700000000004</v>
      </c>
      <c r="AF2857" t="str">
        <f t="shared" si="89"/>
        <v>2026-01</v>
      </c>
      <c r="AG2857">
        <f>SUBTOTAL(103,A2857)</f>
        <v>1</v>
      </c>
    </row>
    <row r="2858" spans="1:33" x14ac:dyDescent="0.3">
      <c r="A2858" t="s">
        <v>5481</v>
      </c>
      <c r="B2858" s="13">
        <v>46024</v>
      </c>
      <c r="C2858">
        <v>2026</v>
      </c>
      <c r="D2858">
        <v>1</v>
      </c>
      <c r="E2858" t="s">
        <v>2571</v>
      </c>
      <c r="F2858" t="s">
        <v>2572</v>
      </c>
      <c r="G2858" t="s">
        <v>331</v>
      </c>
      <c r="H2858" t="s">
        <v>332</v>
      </c>
      <c r="I2858" t="s">
        <v>86</v>
      </c>
      <c r="J2858">
        <v>32</v>
      </c>
      <c r="K2858" t="s">
        <v>81</v>
      </c>
      <c r="L2858" t="s">
        <v>2674</v>
      </c>
      <c r="M2858" t="s">
        <v>58</v>
      </c>
      <c r="N2858" t="s">
        <v>2584</v>
      </c>
      <c r="O2858" t="s">
        <v>121</v>
      </c>
      <c r="P2858" t="s">
        <v>50</v>
      </c>
      <c r="Q2858" t="s">
        <v>144</v>
      </c>
      <c r="R2858">
        <v>3</v>
      </c>
      <c r="S2858">
        <v>2999</v>
      </c>
      <c r="T2858">
        <v>0.05</v>
      </c>
      <c r="U2858">
        <v>8547.15</v>
      </c>
      <c r="V2858">
        <v>5100</v>
      </c>
      <c r="W2858">
        <v>3447.15</v>
      </c>
      <c r="X2858" t="s">
        <v>76</v>
      </c>
      <c r="Y2858" t="s">
        <v>68</v>
      </c>
      <c r="Z2858" t="s">
        <v>162</v>
      </c>
      <c r="AA2858" t="s">
        <v>166</v>
      </c>
      <c r="AB2858">
        <v>4.9000000000000004</v>
      </c>
      <c r="AC2858">
        <v>60</v>
      </c>
      <c r="AD2858">
        <v>260.93</v>
      </c>
      <c r="AE2858">
        <f t="shared" si="88"/>
        <v>3126.2200000000003</v>
      </c>
      <c r="AF2858" t="str">
        <f t="shared" si="89"/>
        <v>2026-01</v>
      </c>
      <c r="AG2858">
        <f>SUBTOTAL(103,A2858)</f>
        <v>1</v>
      </c>
    </row>
    <row r="2859" spans="1:33" x14ac:dyDescent="0.3">
      <c r="A2859" t="s">
        <v>5482</v>
      </c>
      <c r="B2859" s="13">
        <v>46024</v>
      </c>
      <c r="C2859">
        <v>2026</v>
      </c>
      <c r="D2859">
        <v>1</v>
      </c>
      <c r="E2859" t="s">
        <v>2571</v>
      </c>
      <c r="F2859" t="s">
        <v>2572</v>
      </c>
      <c r="G2859" t="s">
        <v>1397</v>
      </c>
      <c r="H2859" t="s">
        <v>1398</v>
      </c>
      <c r="I2859" t="s">
        <v>85</v>
      </c>
      <c r="J2859">
        <v>43</v>
      </c>
      <c r="K2859" t="s">
        <v>82</v>
      </c>
      <c r="L2859" t="s">
        <v>2623</v>
      </c>
      <c r="M2859" t="s">
        <v>61</v>
      </c>
      <c r="N2859" t="s">
        <v>2653</v>
      </c>
      <c r="O2859" t="s">
        <v>132</v>
      </c>
      <c r="P2859" t="s">
        <v>52</v>
      </c>
      <c r="Q2859" t="s">
        <v>150</v>
      </c>
      <c r="R2859">
        <v>2</v>
      </c>
      <c r="S2859">
        <v>899</v>
      </c>
      <c r="T2859">
        <v>0.2</v>
      </c>
      <c r="U2859">
        <v>1438.4</v>
      </c>
      <c r="V2859">
        <v>840</v>
      </c>
      <c r="W2859">
        <v>598.4</v>
      </c>
      <c r="X2859" t="s">
        <v>76</v>
      </c>
      <c r="Y2859" t="s">
        <v>68</v>
      </c>
      <c r="Z2859" t="s">
        <v>160</v>
      </c>
      <c r="AA2859" t="s">
        <v>169</v>
      </c>
      <c r="AB2859">
        <v>3.2</v>
      </c>
      <c r="AC2859">
        <v>100</v>
      </c>
      <c r="AD2859">
        <v>162.87</v>
      </c>
      <c r="AE2859">
        <f t="shared" si="88"/>
        <v>335.53</v>
      </c>
      <c r="AF2859" t="str">
        <f t="shared" si="89"/>
        <v>2026-01</v>
      </c>
      <c r="AG2859">
        <f>SUBTOTAL(103,A2859)</f>
        <v>1</v>
      </c>
    </row>
    <row r="2860" spans="1:33" x14ac:dyDescent="0.3">
      <c r="A2860" t="s">
        <v>5483</v>
      </c>
      <c r="B2860" s="13">
        <v>46024</v>
      </c>
      <c r="C2860">
        <v>2026</v>
      </c>
      <c r="D2860">
        <v>1</v>
      </c>
      <c r="E2860" t="s">
        <v>2571</v>
      </c>
      <c r="F2860" t="s">
        <v>2572</v>
      </c>
      <c r="G2860" t="s">
        <v>1255</v>
      </c>
      <c r="H2860" t="s">
        <v>1256</v>
      </c>
      <c r="I2860" t="s">
        <v>85</v>
      </c>
      <c r="J2860">
        <v>47</v>
      </c>
      <c r="K2860" t="s">
        <v>83</v>
      </c>
      <c r="L2860" t="s">
        <v>2623</v>
      </c>
      <c r="M2860" t="s">
        <v>61</v>
      </c>
      <c r="N2860" t="s">
        <v>2647</v>
      </c>
      <c r="O2860" t="s">
        <v>133</v>
      </c>
      <c r="P2860" t="s">
        <v>50</v>
      </c>
      <c r="Q2860" t="s">
        <v>145</v>
      </c>
      <c r="R2860">
        <v>2</v>
      </c>
      <c r="S2860">
        <v>799</v>
      </c>
      <c r="T2860">
        <v>0.05</v>
      </c>
      <c r="U2860">
        <v>1518.1</v>
      </c>
      <c r="V2860">
        <v>780</v>
      </c>
      <c r="W2860">
        <v>738.1</v>
      </c>
      <c r="X2860" t="s">
        <v>75</v>
      </c>
      <c r="Y2860" t="s">
        <v>68</v>
      </c>
      <c r="Z2860" t="s">
        <v>162</v>
      </c>
      <c r="AA2860" t="s">
        <v>166</v>
      </c>
      <c r="AB2860">
        <v>4.5999999999999996</v>
      </c>
      <c r="AC2860">
        <v>120</v>
      </c>
      <c r="AD2860">
        <v>84.81</v>
      </c>
      <c r="AE2860">
        <f t="shared" si="88"/>
        <v>533.29</v>
      </c>
      <c r="AF2860" t="str">
        <f t="shared" si="89"/>
        <v>2026-01</v>
      </c>
      <c r="AG2860">
        <f>SUBTOTAL(103,A2860)</f>
        <v>1</v>
      </c>
    </row>
    <row r="2861" spans="1:33" x14ac:dyDescent="0.3">
      <c r="A2861" t="s">
        <v>5484</v>
      </c>
      <c r="B2861" s="13">
        <v>46025</v>
      </c>
      <c r="C2861">
        <v>2026</v>
      </c>
      <c r="D2861">
        <v>1</v>
      </c>
      <c r="E2861" t="s">
        <v>2571</v>
      </c>
      <c r="F2861" t="s">
        <v>2572</v>
      </c>
      <c r="G2861" t="s">
        <v>2039</v>
      </c>
      <c r="H2861" t="s">
        <v>2040</v>
      </c>
      <c r="I2861" t="s">
        <v>86</v>
      </c>
      <c r="J2861">
        <v>40</v>
      </c>
      <c r="K2861" t="s">
        <v>82</v>
      </c>
      <c r="L2861" t="s">
        <v>97</v>
      </c>
      <c r="M2861" t="s">
        <v>57</v>
      </c>
      <c r="N2861" t="s">
        <v>2630</v>
      </c>
      <c r="O2861" t="s">
        <v>123</v>
      </c>
      <c r="P2861" t="s">
        <v>52</v>
      </c>
      <c r="Q2861" t="s">
        <v>146</v>
      </c>
      <c r="R2861">
        <v>3</v>
      </c>
      <c r="S2861">
        <v>2499</v>
      </c>
      <c r="T2861">
        <v>0.1</v>
      </c>
      <c r="U2861">
        <v>6747.3</v>
      </c>
      <c r="V2861">
        <v>4200</v>
      </c>
      <c r="W2861">
        <v>2547.3000000000002</v>
      </c>
      <c r="X2861" t="s">
        <v>76</v>
      </c>
      <c r="Y2861" t="s">
        <v>68</v>
      </c>
      <c r="Z2861" t="s">
        <v>160</v>
      </c>
      <c r="AA2861" t="s">
        <v>168</v>
      </c>
      <c r="AB2861">
        <v>3.8</v>
      </c>
      <c r="AC2861">
        <v>40</v>
      </c>
      <c r="AD2861">
        <v>225.34</v>
      </c>
      <c r="AE2861">
        <f t="shared" si="88"/>
        <v>2281.96</v>
      </c>
      <c r="AF2861" t="str">
        <f t="shared" si="89"/>
        <v>2026-01</v>
      </c>
      <c r="AG2861">
        <f>SUBTOTAL(103,A2861)</f>
        <v>1</v>
      </c>
    </row>
    <row r="2862" spans="1:33" x14ac:dyDescent="0.3">
      <c r="A2862" t="s">
        <v>5485</v>
      </c>
      <c r="B2862" s="13">
        <v>46025</v>
      </c>
      <c r="C2862">
        <v>2026</v>
      </c>
      <c r="D2862">
        <v>1</v>
      </c>
      <c r="E2862" t="s">
        <v>2571</v>
      </c>
      <c r="F2862" t="s">
        <v>2572</v>
      </c>
      <c r="G2862" t="s">
        <v>265</v>
      </c>
      <c r="H2862" t="s">
        <v>266</v>
      </c>
      <c r="I2862" t="s">
        <v>85</v>
      </c>
      <c r="J2862">
        <v>35</v>
      </c>
      <c r="K2862" t="s">
        <v>81</v>
      </c>
      <c r="L2862" t="s">
        <v>93</v>
      </c>
      <c r="M2862" t="s">
        <v>55</v>
      </c>
      <c r="N2862" t="s">
        <v>2574</v>
      </c>
      <c r="O2862" t="s">
        <v>130</v>
      </c>
      <c r="P2862" t="s">
        <v>50</v>
      </c>
      <c r="Q2862" t="s">
        <v>53</v>
      </c>
      <c r="R2862">
        <v>3</v>
      </c>
      <c r="S2862">
        <v>1199</v>
      </c>
      <c r="T2862">
        <v>0.2</v>
      </c>
      <c r="U2862">
        <v>0</v>
      </c>
      <c r="V2862">
        <v>0</v>
      </c>
      <c r="W2862">
        <v>0</v>
      </c>
      <c r="X2862" t="s">
        <v>75</v>
      </c>
      <c r="Y2862" t="s">
        <v>71</v>
      </c>
      <c r="Z2862" t="s">
        <v>161</v>
      </c>
      <c r="AA2862" t="s">
        <v>166</v>
      </c>
      <c r="AB2862">
        <v>4.5</v>
      </c>
      <c r="AC2862">
        <v>50</v>
      </c>
      <c r="AD2862">
        <v>200.56</v>
      </c>
      <c r="AE2862">
        <f t="shared" si="88"/>
        <v>-250.56</v>
      </c>
      <c r="AF2862" t="str">
        <f t="shared" si="89"/>
        <v>2026-01</v>
      </c>
      <c r="AG2862">
        <f>SUBTOTAL(103,A2862)</f>
        <v>1</v>
      </c>
    </row>
    <row r="2863" spans="1:33" x14ac:dyDescent="0.3">
      <c r="A2863" t="s">
        <v>5486</v>
      </c>
      <c r="B2863" s="13">
        <v>46025</v>
      </c>
      <c r="C2863">
        <v>2026</v>
      </c>
      <c r="D2863">
        <v>1</v>
      </c>
      <c r="E2863" t="s">
        <v>2571</v>
      </c>
      <c r="F2863" t="s">
        <v>2572</v>
      </c>
      <c r="G2863" t="s">
        <v>2019</v>
      </c>
      <c r="H2863" t="s">
        <v>2020</v>
      </c>
      <c r="I2863" t="s">
        <v>85</v>
      </c>
      <c r="J2863">
        <v>29</v>
      </c>
      <c r="K2863" t="s">
        <v>81</v>
      </c>
      <c r="L2863" t="s">
        <v>2637</v>
      </c>
      <c r="M2863" t="s">
        <v>64</v>
      </c>
      <c r="N2863" t="s">
        <v>2601</v>
      </c>
      <c r="O2863" t="s">
        <v>117</v>
      </c>
      <c r="P2863" t="s">
        <v>49</v>
      </c>
      <c r="Q2863" t="s">
        <v>139</v>
      </c>
      <c r="R2863">
        <v>1</v>
      </c>
      <c r="S2863">
        <v>6999</v>
      </c>
      <c r="T2863">
        <v>0.05</v>
      </c>
      <c r="U2863">
        <v>6649.05</v>
      </c>
      <c r="V2863">
        <v>4300</v>
      </c>
      <c r="W2863">
        <v>2349.0500000000002</v>
      </c>
      <c r="X2863" t="s">
        <v>73</v>
      </c>
      <c r="Y2863" t="s">
        <v>68</v>
      </c>
      <c r="Z2863" t="s">
        <v>158</v>
      </c>
      <c r="AA2863" t="s">
        <v>167</v>
      </c>
      <c r="AB2863">
        <v>4.2</v>
      </c>
      <c r="AC2863">
        <v>60</v>
      </c>
      <c r="AD2863">
        <v>520.01</v>
      </c>
      <c r="AE2863">
        <f t="shared" si="88"/>
        <v>1769.0400000000002</v>
      </c>
      <c r="AF2863" t="str">
        <f t="shared" si="89"/>
        <v>2026-01</v>
      </c>
      <c r="AG2863">
        <f>SUBTOTAL(103,A2863)</f>
        <v>1</v>
      </c>
    </row>
    <row r="2864" spans="1:33" x14ac:dyDescent="0.3">
      <c r="A2864" t="s">
        <v>5487</v>
      </c>
      <c r="B2864" s="13">
        <v>46025</v>
      </c>
      <c r="C2864">
        <v>2026</v>
      </c>
      <c r="D2864">
        <v>1</v>
      </c>
      <c r="E2864" t="s">
        <v>2571</v>
      </c>
      <c r="F2864" t="s">
        <v>2572</v>
      </c>
      <c r="G2864" t="s">
        <v>1181</v>
      </c>
      <c r="H2864" t="s">
        <v>1182</v>
      </c>
      <c r="I2864" t="s">
        <v>85</v>
      </c>
      <c r="J2864">
        <v>57</v>
      </c>
      <c r="K2864" t="s">
        <v>83</v>
      </c>
      <c r="L2864" t="s">
        <v>2623</v>
      </c>
      <c r="M2864" t="s">
        <v>61</v>
      </c>
      <c r="N2864" t="s">
        <v>2590</v>
      </c>
      <c r="O2864" t="s">
        <v>127</v>
      </c>
      <c r="P2864" t="s">
        <v>51</v>
      </c>
      <c r="Q2864" t="s">
        <v>148</v>
      </c>
      <c r="R2864">
        <v>1</v>
      </c>
      <c r="S2864">
        <v>1599</v>
      </c>
      <c r="T2864">
        <v>0.1</v>
      </c>
      <c r="U2864">
        <v>1439.1</v>
      </c>
      <c r="V2864">
        <v>800</v>
      </c>
      <c r="W2864">
        <v>639.1</v>
      </c>
      <c r="X2864" t="s">
        <v>73</v>
      </c>
      <c r="Y2864" t="s">
        <v>68</v>
      </c>
      <c r="Z2864" t="s">
        <v>158</v>
      </c>
      <c r="AA2864" t="s">
        <v>168</v>
      </c>
      <c r="AB2864">
        <v>4.8</v>
      </c>
      <c r="AC2864">
        <v>80</v>
      </c>
      <c r="AD2864">
        <v>159.51</v>
      </c>
      <c r="AE2864">
        <f t="shared" si="88"/>
        <v>399.59000000000003</v>
      </c>
      <c r="AF2864" t="str">
        <f t="shared" si="89"/>
        <v>2026-01</v>
      </c>
      <c r="AG2864">
        <f>SUBTOTAL(103,A2864)</f>
        <v>1</v>
      </c>
    </row>
    <row r="2865" spans="1:33" x14ac:dyDescent="0.3">
      <c r="A2865" t="s">
        <v>5488</v>
      </c>
      <c r="B2865" s="13">
        <v>46025</v>
      </c>
      <c r="C2865">
        <v>2026</v>
      </c>
      <c r="D2865">
        <v>1</v>
      </c>
      <c r="E2865" t="s">
        <v>2571</v>
      </c>
      <c r="F2865" t="s">
        <v>2572</v>
      </c>
      <c r="G2865" t="s">
        <v>313</v>
      </c>
      <c r="H2865" t="s">
        <v>314</v>
      </c>
      <c r="I2865" t="s">
        <v>86</v>
      </c>
      <c r="J2865">
        <v>55</v>
      </c>
      <c r="K2865" t="s">
        <v>83</v>
      </c>
      <c r="L2865" t="s">
        <v>95</v>
      </c>
      <c r="M2865" t="s">
        <v>56</v>
      </c>
      <c r="N2865" t="s">
        <v>2644</v>
      </c>
      <c r="O2865" t="s">
        <v>126</v>
      </c>
      <c r="P2865" t="s">
        <v>50</v>
      </c>
      <c r="Q2865" t="s">
        <v>145</v>
      </c>
      <c r="R2865">
        <v>1</v>
      </c>
      <c r="S2865">
        <v>1799</v>
      </c>
      <c r="T2865">
        <v>0.1</v>
      </c>
      <c r="U2865">
        <v>1619.1</v>
      </c>
      <c r="V2865">
        <v>950</v>
      </c>
      <c r="W2865">
        <v>669.1</v>
      </c>
      <c r="X2865" t="s">
        <v>76</v>
      </c>
      <c r="Y2865" t="s">
        <v>68</v>
      </c>
      <c r="Z2865" t="s">
        <v>161</v>
      </c>
      <c r="AA2865" t="s">
        <v>171</v>
      </c>
      <c r="AB2865">
        <v>3.4</v>
      </c>
      <c r="AC2865">
        <v>80</v>
      </c>
      <c r="AD2865">
        <v>133.07</v>
      </c>
      <c r="AE2865">
        <f t="shared" si="88"/>
        <v>456.03000000000003</v>
      </c>
      <c r="AF2865" t="str">
        <f t="shared" si="89"/>
        <v>2026-01</v>
      </c>
      <c r="AG2865">
        <f>SUBTOTAL(103,A2865)</f>
        <v>1</v>
      </c>
    </row>
    <row r="2866" spans="1:33" x14ac:dyDescent="0.3">
      <c r="A2866" t="s">
        <v>5489</v>
      </c>
      <c r="B2866" s="13">
        <v>46025</v>
      </c>
      <c r="C2866">
        <v>2026</v>
      </c>
      <c r="D2866">
        <v>1</v>
      </c>
      <c r="E2866" t="s">
        <v>2571</v>
      </c>
      <c r="F2866" t="s">
        <v>2572</v>
      </c>
      <c r="G2866" t="s">
        <v>789</v>
      </c>
      <c r="H2866" t="s">
        <v>790</v>
      </c>
      <c r="I2866" t="s">
        <v>85</v>
      </c>
      <c r="J2866">
        <v>45</v>
      </c>
      <c r="K2866" t="s">
        <v>82</v>
      </c>
      <c r="L2866" t="s">
        <v>2661</v>
      </c>
      <c r="M2866" t="s">
        <v>58</v>
      </c>
      <c r="N2866" t="s">
        <v>2587</v>
      </c>
      <c r="O2866" t="s">
        <v>116</v>
      </c>
      <c r="P2866" t="s">
        <v>48</v>
      </c>
      <c r="Q2866" t="s">
        <v>138</v>
      </c>
      <c r="R2866">
        <v>2</v>
      </c>
      <c r="S2866">
        <v>14999</v>
      </c>
      <c r="T2866">
        <v>0</v>
      </c>
      <c r="U2866">
        <v>29998</v>
      </c>
      <c r="V2866">
        <v>22400</v>
      </c>
      <c r="W2866">
        <v>7598</v>
      </c>
      <c r="X2866" t="s">
        <v>73</v>
      </c>
      <c r="Y2866" t="s">
        <v>68</v>
      </c>
      <c r="Z2866" t="s">
        <v>159</v>
      </c>
      <c r="AA2866" t="s">
        <v>170</v>
      </c>
      <c r="AB2866">
        <v>3.8</v>
      </c>
      <c r="AC2866">
        <v>40</v>
      </c>
      <c r="AD2866">
        <v>3350.54</v>
      </c>
      <c r="AE2866">
        <f t="shared" si="88"/>
        <v>4207.46</v>
      </c>
      <c r="AF2866" t="str">
        <f t="shared" si="89"/>
        <v>2026-01</v>
      </c>
      <c r="AG2866">
        <f>SUBTOTAL(103,A2866)</f>
        <v>1</v>
      </c>
    </row>
    <row r="2867" spans="1:33" x14ac:dyDescent="0.3">
      <c r="A2867" t="s">
        <v>5490</v>
      </c>
      <c r="B2867" s="13">
        <v>46025</v>
      </c>
      <c r="C2867">
        <v>2026</v>
      </c>
      <c r="D2867">
        <v>1</v>
      </c>
      <c r="E2867" t="s">
        <v>2571</v>
      </c>
      <c r="F2867" t="s">
        <v>2572</v>
      </c>
      <c r="G2867" t="s">
        <v>1375</v>
      </c>
      <c r="H2867" t="s">
        <v>1376</v>
      </c>
      <c r="I2867" t="s">
        <v>86</v>
      </c>
      <c r="J2867">
        <v>60</v>
      </c>
      <c r="K2867" t="s">
        <v>83</v>
      </c>
      <c r="L2867" t="s">
        <v>98</v>
      </c>
      <c r="M2867" t="s">
        <v>55</v>
      </c>
      <c r="N2867" t="s">
        <v>2647</v>
      </c>
      <c r="O2867" t="s">
        <v>133</v>
      </c>
      <c r="P2867" t="s">
        <v>50</v>
      </c>
      <c r="Q2867" t="s">
        <v>145</v>
      </c>
      <c r="R2867">
        <v>1</v>
      </c>
      <c r="S2867">
        <v>799</v>
      </c>
      <c r="T2867">
        <v>0.15</v>
      </c>
      <c r="U2867">
        <v>679.15</v>
      </c>
      <c r="V2867">
        <v>390</v>
      </c>
      <c r="W2867">
        <v>289.14999999999998</v>
      </c>
      <c r="X2867" t="s">
        <v>74</v>
      </c>
      <c r="Y2867" t="s">
        <v>68</v>
      </c>
      <c r="Z2867" t="s">
        <v>159</v>
      </c>
      <c r="AA2867" t="s">
        <v>171</v>
      </c>
      <c r="AB2867">
        <v>3</v>
      </c>
      <c r="AC2867">
        <v>40</v>
      </c>
      <c r="AD2867">
        <v>20</v>
      </c>
      <c r="AE2867">
        <f t="shared" si="88"/>
        <v>229.14999999999998</v>
      </c>
      <c r="AF2867" t="str">
        <f t="shared" si="89"/>
        <v>2026-01</v>
      </c>
      <c r="AG2867">
        <f>SUBTOTAL(103,A2867)</f>
        <v>1</v>
      </c>
    </row>
    <row r="2868" spans="1:33" x14ac:dyDescent="0.3">
      <c r="A2868" t="s">
        <v>5491</v>
      </c>
      <c r="B2868" s="13">
        <v>46025</v>
      </c>
      <c r="C2868">
        <v>2026</v>
      </c>
      <c r="D2868">
        <v>1</v>
      </c>
      <c r="E2868" t="s">
        <v>2571</v>
      </c>
      <c r="F2868" t="s">
        <v>2572</v>
      </c>
      <c r="G2868" t="s">
        <v>491</v>
      </c>
      <c r="H2868" t="s">
        <v>492</v>
      </c>
      <c r="I2868" t="s">
        <v>86</v>
      </c>
      <c r="J2868">
        <v>40</v>
      </c>
      <c r="K2868" t="s">
        <v>82</v>
      </c>
      <c r="L2868" t="s">
        <v>2589</v>
      </c>
      <c r="M2868" t="s">
        <v>61</v>
      </c>
      <c r="N2868" t="s">
        <v>2590</v>
      </c>
      <c r="O2868" t="s">
        <v>127</v>
      </c>
      <c r="P2868" t="s">
        <v>51</v>
      </c>
      <c r="Q2868" t="s">
        <v>148</v>
      </c>
      <c r="R2868">
        <v>1</v>
      </c>
      <c r="S2868">
        <v>1599</v>
      </c>
      <c r="T2868">
        <v>0.05</v>
      </c>
      <c r="U2868">
        <v>0</v>
      </c>
      <c r="V2868">
        <v>0</v>
      </c>
      <c r="W2868">
        <v>0</v>
      </c>
      <c r="X2868" t="s">
        <v>76</v>
      </c>
      <c r="Y2868" t="s">
        <v>71</v>
      </c>
      <c r="Z2868" t="s">
        <v>159</v>
      </c>
      <c r="AA2868" t="s">
        <v>166</v>
      </c>
      <c r="AB2868">
        <v>4</v>
      </c>
      <c r="AC2868">
        <v>60</v>
      </c>
      <c r="AD2868">
        <v>152.59</v>
      </c>
      <c r="AE2868">
        <f t="shared" si="88"/>
        <v>-212.59</v>
      </c>
      <c r="AF2868" t="str">
        <f t="shared" si="89"/>
        <v>2026-01</v>
      </c>
      <c r="AG2868">
        <f>SUBTOTAL(103,A2868)</f>
        <v>1</v>
      </c>
    </row>
    <row r="2869" spans="1:33" x14ac:dyDescent="0.3">
      <c r="A2869" t="s">
        <v>5492</v>
      </c>
      <c r="B2869" s="13">
        <v>46025</v>
      </c>
      <c r="C2869">
        <v>2026</v>
      </c>
      <c r="D2869">
        <v>1</v>
      </c>
      <c r="E2869" t="s">
        <v>2571</v>
      </c>
      <c r="F2869" t="s">
        <v>2572</v>
      </c>
      <c r="G2869" t="s">
        <v>2227</v>
      </c>
      <c r="H2869" t="s">
        <v>2228</v>
      </c>
      <c r="I2869" t="s">
        <v>85</v>
      </c>
      <c r="J2869">
        <v>36</v>
      </c>
      <c r="K2869" t="s">
        <v>82</v>
      </c>
      <c r="L2869" t="s">
        <v>90</v>
      </c>
      <c r="M2869" t="s">
        <v>55</v>
      </c>
      <c r="N2869" t="s">
        <v>2577</v>
      </c>
      <c r="O2869" t="s">
        <v>129</v>
      </c>
      <c r="P2869" t="s">
        <v>49</v>
      </c>
      <c r="Q2869" t="s">
        <v>149</v>
      </c>
      <c r="R2869">
        <v>3</v>
      </c>
      <c r="S2869">
        <v>1299</v>
      </c>
      <c r="T2869">
        <v>0.25</v>
      </c>
      <c r="U2869">
        <v>2922.75</v>
      </c>
      <c r="V2869">
        <v>1950</v>
      </c>
      <c r="W2869">
        <v>972.75</v>
      </c>
      <c r="X2869" t="s">
        <v>77</v>
      </c>
      <c r="Y2869" t="s">
        <v>68</v>
      </c>
      <c r="Z2869" t="s">
        <v>160</v>
      </c>
      <c r="AA2869" t="s">
        <v>170</v>
      </c>
      <c r="AB2869">
        <v>2.6</v>
      </c>
      <c r="AC2869">
        <v>60</v>
      </c>
      <c r="AD2869">
        <v>151.97</v>
      </c>
      <c r="AE2869">
        <f t="shared" si="88"/>
        <v>760.78</v>
      </c>
      <c r="AF2869" t="str">
        <f t="shared" si="89"/>
        <v>2026-01</v>
      </c>
      <c r="AG2869">
        <f>SUBTOTAL(103,A2869)</f>
        <v>1</v>
      </c>
    </row>
    <row r="2870" spans="1:33" x14ac:dyDescent="0.3">
      <c r="A2870" t="s">
        <v>5493</v>
      </c>
      <c r="B2870" s="13">
        <v>46025</v>
      </c>
      <c r="C2870">
        <v>2026</v>
      </c>
      <c r="D2870">
        <v>1</v>
      </c>
      <c r="E2870" t="s">
        <v>2571</v>
      </c>
      <c r="F2870" t="s">
        <v>2572</v>
      </c>
      <c r="G2870" t="s">
        <v>1227</v>
      </c>
      <c r="H2870" t="s">
        <v>1228</v>
      </c>
      <c r="I2870" t="s">
        <v>86</v>
      </c>
      <c r="J2870">
        <v>55</v>
      </c>
      <c r="K2870" t="s">
        <v>83</v>
      </c>
      <c r="L2870" t="s">
        <v>2634</v>
      </c>
      <c r="M2870" t="s">
        <v>56</v>
      </c>
      <c r="N2870" t="s">
        <v>2644</v>
      </c>
      <c r="O2870" t="s">
        <v>126</v>
      </c>
      <c r="P2870" t="s">
        <v>50</v>
      </c>
      <c r="Q2870" t="s">
        <v>145</v>
      </c>
      <c r="R2870">
        <v>1</v>
      </c>
      <c r="S2870">
        <v>1799</v>
      </c>
      <c r="T2870">
        <v>0.2</v>
      </c>
      <c r="U2870">
        <v>1439.2</v>
      </c>
      <c r="V2870">
        <v>950</v>
      </c>
      <c r="W2870">
        <v>489.2</v>
      </c>
      <c r="X2870" t="s">
        <v>73</v>
      </c>
      <c r="Y2870" t="s">
        <v>68</v>
      </c>
      <c r="Z2870" t="s">
        <v>158</v>
      </c>
      <c r="AA2870" t="s">
        <v>168</v>
      </c>
      <c r="AB2870">
        <v>3.9</v>
      </c>
      <c r="AC2870">
        <v>80</v>
      </c>
      <c r="AD2870">
        <v>168.07</v>
      </c>
      <c r="AE2870">
        <f t="shared" si="88"/>
        <v>241.13</v>
      </c>
      <c r="AF2870" t="str">
        <f t="shared" si="89"/>
        <v>2026-01</v>
      </c>
      <c r="AG2870">
        <f>SUBTOTAL(103,A2870)</f>
        <v>1</v>
      </c>
    </row>
    <row r="2871" spans="1:33" x14ac:dyDescent="0.3">
      <c r="A2871" t="s">
        <v>5494</v>
      </c>
      <c r="B2871" s="13">
        <v>46025</v>
      </c>
      <c r="C2871">
        <v>2026</v>
      </c>
      <c r="D2871">
        <v>1</v>
      </c>
      <c r="E2871" t="s">
        <v>2571</v>
      </c>
      <c r="F2871" t="s">
        <v>2572</v>
      </c>
      <c r="G2871" t="s">
        <v>2173</v>
      </c>
      <c r="H2871" t="s">
        <v>2174</v>
      </c>
      <c r="I2871" t="s">
        <v>85</v>
      </c>
      <c r="J2871">
        <v>46</v>
      </c>
      <c r="K2871" t="s">
        <v>83</v>
      </c>
      <c r="L2871" t="s">
        <v>2687</v>
      </c>
      <c r="M2871" t="s">
        <v>57</v>
      </c>
      <c r="N2871" t="s">
        <v>2580</v>
      </c>
      <c r="O2871" t="s">
        <v>118</v>
      </c>
      <c r="P2871" t="s">
        <v>48</v>
      </c>
      <c r="Q2871" t="s">
        <v>142</v>
      </c>
      <c r="R2871">
        <v>2</v>
      </c>
      <c r="S2871">
        <v>3999</v>
      </c>
      <c r="T2871">
        <v>0.1</v>
      </c>
      <c r="U2871">
        <v>7198.2</v>
      </c>
      <c r="V2871">
        <v>4800</v>
      </c>
      <c r="W2871">
        <v>2398.1999999999998</v>
      </c>
      <c r="X2871" t="s">
        <v>74</v>
      </c>
      <c r="Y2871" t="s">
        <v>68</v>
      </c>
      <c r="Z2871" t="s">
        <v>162</v>
      </c>
      <c r="AA2871" t="s">
        <v>171</v>
      </c>
      <c r="AB2871">
        <v>5</v>
      </c>
      <c r="AC2871">
        <v>60</v>
      </c>
      <c r="AD2871">
        <v>681.42</v>
      </c>
      <c r="AE2871">
        <f t="shared" si="88"/>
        <v>1656.7799999999997</v>
      </c>
      <c r="AF2871" t="str">
        <f t="shared" si="89"/>
        <v>2026-01</v>
      </c>
      <c r="AG2871">
        <f>SUBTOTAL(103,A2871)</f>
        <v>1</v>
      </c>
    </row>
    <row r="2872" spans="1:33" x14ac:dyDescent="0.3">
      <c r="A2872" t="s">
        <v>5495</v>
      </c>
      <c r="B2872" s="13">
        <v>46026</v>
      </c>
      <c r="C2872">
        <v>2026</v>
      </c>
      <c r="D2872">
        <v>1</v>
      </c>
      <c r="E2872" t="s">
        <v>2571</v>
      </c>
      <c r="F2872" t="s">
        <v>2572</v>
      </c>
      <c r="G2872" t="s">
        <v>607</v>
      </c>
      <c r="H2872" t="s">
        <v>608</v>
      </c>
      <c r="I2872" t="s">
        <v>85</v>
      </c>
      <c r="J2872">
        <v>32</v>
      </c>
      <c r="K2872" t="s">
        <v>81</v>
      </c>
      <c r="L2872" t="s">
        <v>2637</v>
      </c>
      <c r="M2872" t="s">
        <v>64</v>
      </c>
      <c r="N2872" t="s">
        <v>2644</v>
      </c>
      <c r="O2872" t="s">
        <v>126</v>
      </c>
      <c r="P2872" t="s">
        <v>50</v>
      </c>
      <c r="Q2872" t="s">
        <v>145</v>
      </c>
      <c r="R2872">
        <v>1</v>
      </c>
      <c r="S2872">
        <v>1799</v>
      </c>
      <c r="T2872">
        <v>0.15</v>
      </c>
      <c r="U2872">
        <v>1529.15</v>
      </c>
      <c r="V2872">
        <v>950</v>
      </c>
      <c r="W2872">
        <v>579.15</v>
      </c>
      <c r="X2872" t="s">
        <v>77</v>
      </c>
      <c r="Y2872" t="s">
        <v>68</v>
      </c>
      <c r="Z2872" t="s">
        <v>160</v>
      </c>
      <c r="AA2872" t="s">
        <v>168</v>
      </c>
      <c r="AB2872">
        <v>3.7</v>
      </c>
      <c r="AC2872">
        <v>80</v>
      </c>
      <c r="AD2872">
        <v>40.9</v>
      </c>
      <c r="AE2872">
        <f t="shared" si="88"/>
        <v>458.25</v>
      </c>
      <c r="AF2872" t="str">
        <f t="shared" si="89"/>
        <v>2026-01</v>
      </c>
      <c r="AG2872">
        <f>SUBTOTAL(103,A2872)</f>
        <v>1</v>
      </c>
    </row>
    <row r="2873" spans="1:33" x14ac:dyDescent="0.3">
      <c r="A2873" t="s">
        <v>5496</v>
      </c>
      <c r="B2873" s="13">
        <v>46026</v>
      </c>
      <c r="C2873">
        <v>2026</v>
      </c>
      <c r="D2873">
        <v>1</v>
      </c>
      <c r="E2873" t="s">
        <v>2571</v>
      </c>
      <c r="F2873" t="s">
        <v>2572</v>
      </c>
      <c r="G2873" t="s">
        <v>759</v>
      </c>
      <c r="H2873" t="s">
        <v>760</v>
      </c>
      <c r="I2873" t="s">
        <v>86</v>
      </c>
      <c r="J2873">
        <v>34</v>
      </c>
      <c r="K2873" t="s">
        <v>81</v>
      </c>
      <c r="L2873" t="s">
        <v>100</v>
      </c>
      <c r="M2873" t="s">
        <v>56</v>
      </c>
      <c r="N2873" t="s">
        <v>2653</v>
      </c>
      <c r="O2873" t="s">
        <v>132</v>
      </c>
      <c r="P2873" t="s">
        <v>52</v>
      </c>
      <c r="Q2873" t="s">
        <v>150</v>
      </c>
      <c r="R2873">
        <v>3</v>
      </c>
      <c r="S2873">
        <v>899</v>
      </c>
      <c r="T2873">
        <v>0</v>
      </c>
      <c r="U2873">
        <v>2697</v>
      </c>
      <c r="V2873">
        <v>1260</v>
      </c>
      <c r="W2873">
        <v>1437</v>
      </c>
      <c r="X2873" t="s">
        <v>76</v>
      </c>
      <c r="Y2873" t="s">
        <v>68</v>
      </c>
      <c r="Z2873" t="s">
        <v>161</v>
      </c>
      <c r="AA2873" t="s">
        <v>166</v>
      </c>
      <c r="AB2873">
        <v>4.3</v>
      </c>
      <c r="AC2873">
        <v>60</v>
      </c>
      <c r="AD2873">
        <v>198.88</v>
      </c>
      <c r="AE2873">
        <f t="shared" si="88"/>
        <v>1178.1199999999999</v>
      </c>
      <c r="AF2873" t="str">
        <f t="shared" si="89"/>
        <v>2026-01</v>
      </c>
      <c r="AG2873">
        <f>SUBTOTAL(103,A2873)</f>
        <v>1</v>
      </c>
    </row>
    <row r="2874" spans="1:33" x14ac:dyDescent="0.3">
      <c r="A2874" t="s">
        <v>5497</v>
      </c>
      <c r="B2874" s="13">
        <v>46026</v>
      </c>
      <c r="C2874">
        <v>2026</v>
      </c>
      <c r="D2874">
        <v>1</v>
      </c>
      <c r="E2874" t="s">
        <v>2571</v>
      </c>
      <c r="F2874" t="s">
        <v>2572</v>
      </c>
      <c r="G2874" t="s">
        <v>1519</v>
      </c>
      <c r="H2874" t="s">
        <v>1520</v>
      </c>
      <c r="I2874" t="s">
        <v>86</v>
      </c>
      <c r="J2874">
        <v>57</v>
      </c>
      <c r="K2874" t="s">
        <v>83</v>
      </c>
      <c r="L2874" t="s">
        <v>95</v>
      </c>
      <c r="M2874" t="s">
        <v>56</v>
      </c>
      <c r="N2874" t="s">
        <v>2574</v>
      </c>
      <c r="O2874" t="s">
        <v>130</v>
      </c>
      <c r="P2874" t="s">
        <v>50</v>
      </c>
      <c r="Q2874" t="s">
        <v>53</v>
      </c>
      <c r="R2874">
        <v>1</v>
      </c>
      <c r="S2874">
        <v>1199</v>
      </c>
      <c r="T2874">
        <v>0.05</v>
      </c>
      <c r="U2874">
        <v>1139.05</v>
      </c>
      <c r="V2874">
        <v>550</v>
      </c>
      <c r="W2874">
        <v>589.04999999999995</v>
      </c>
      <c r="X2874" t="s">
        <v>74</v>
      </c>
      <c r="Y2874" t="s">
        <v>68</v>
      </c>
      <c r="Z2874" t="s">
        <v>161</v>
      </c>
      <c r="AA2874" t="s">
        <v>170</v>
      </c>
      <c r="AB2874">
        <v>4.5999999999999996</v>
      </c>
      <c r="AC2874">
        <v>80</v>
      </c>
      <c r="AD2874">
        <v>42.22</v>
      </c>
      <c r="AE2874">
        <f t="shared" si="88"/>
        <v>466.82999999999993</v>
      </c>
      <c r="AF2874" t="str">
        <f t="shared" si="89"/>
        <v>2026-01</v>
      </c>
      <c r="AG2874">
        <f>SUBTOTAL(103,A2874)</f>
        <v>1</v>
      </c>
    </row>
    <row r="2875" spans="1:33" x14ac:dyDescent="0.3">
      <c r="A2875" t="s">
        <v>5498</v>
      </c>
      <c r="B2875" s="13">
        <v>46026</v>
      </c>
      <c r="C2875">
        <v>2026</v>
      </c>
      <c r="D2875">
        <v>1</v>
      </c>
      <c r="E2875" t="s">
        <v>2571</v>
      </c>
      <c r="F2875" t="s">
        <v>2572</v>
      </c>
      <c r="G2875" t="s">
        <v>1099</v>
      </c>
      <c r="H2875" t="s">
        <v>1100</v>
      </c>
      <c r="I2875" t="s">
        <v>85</v>
      </c>
      <c r="J2875">
        <v>22</v>
      </c>
      <c r="K2875" t="s">
        <v>80</v>
      </c>
      <c r="L2875" t="s">
        <v>2674</v>
      </c>
      <c r="M2875" t="s">
        <v>58</v>
      </c>
      <c r="N2875" t="s">
        <v>2587</v>
      </c>
      <c r="O2875" t="s">
        <v>116</v>
      </c>
      <c r="P2875" t="s">
        <v>48</v>
      </c>
      <c r="Q2875" t="s">
        <v>138</v>
      </c>
      <c r="R2875">
        <v>2</v>
      </c>
      <c r="S2875">
        <v>14999</v>
      </c>
      <c r="T2875">
        <v>0.2</v>
      </c>
      <c r="U2875">
        <v>23998.400000000001</v>
      </c>
      <c r="V2875">
        <v>22400</v>
      </c>
      <c r="W2875">
        <v>1598.4</v>
      </c>
      <c r="X2875" t="s">
        <v>75</v>
      </c>
      <c r="Y2875" t="s">
        <v>68</v>
      </c>
      <c r="Z2875" t="s">
        <v>160</v>
      </c>
      <c r="AA2875" t="s">
        <v>166</v>
      </c>
      <c r="AB2875">
        <v>5</v>
      </c>
      <c r="AC2875">
        <v>50</v>
      </c>
      <c r="AD2875">
        <v>2542.9699999999998</v>
      </c>
      <c r="AE2875">
        <f t="shared" si="88"/>
        <v>-994.56999999999971</v>
      </c>
      <c r="AF2875" t="str">
        <f t="shared" si="89"/>
        <v>2026-01</v>
      </c>
      <c r="AG2875">
        <f>SUBTOTAL(103,A2875)</f>
        <v>1</v>
      </c>
    </row>
    <row r="2876" spans="1:33" x14ac:dyDescent="0.3">
      <c r="A2876" t="s">
        <v>5499</v>
      </c>
      <c r="B2876" s="13">
        <v>46026</v>
      </c>
      <c r="C2876">
        <v>2026</v>
      </c>
      <c r="D2876">
        <v>1</v>
      </c>
      <c r="E2876" t="s">
        <v>2571</v>
      </c>
      <c r="F2876" t="s">
        <v>2572</v>
      </c>
      <c r="G2876" t="s">
        <v>1699</v>
      </c>
      <c r="H2876" t="s">
        <v>1700</v>
      </c>
      <c r="I2876" t="s">
        <v>86</v>
      </c>
      <c r="J2876">
        <v>36</v>
      </c>
      <c r="K2876" t="s">
        <v>82</v>
      </c>
      <c r="L2876" t="s">
        <v>93</v>
      </c>
      <c r="M2876" t="s">
        <v>55</v>
      </c>
      <c r="N2876" t="s">
        <v>2606</v>
      </c>
      <c r="O2876" t="s">
        <v>120</v>
      </c>
      <c r="P2876" t="s">
        <v>49</v>
      </c>
      <c r="Q2876" t="s">
        <v>140</v>
      </c>
      <c r="R2876">
        <v>2</v>
      </c>
      <c r="S2876">
        <v>2799</v>
      </c>
      <c r="T2876">
        <v>0.15</v>
      </c>
      <c r="U2876">
        <v>4758.3</v>
      </c>
      <c r="V2876">
        <v>3300</v>
      </c>
      <c r="W2876">
        <v>1458.3</v>
      </c>
      <c r="X2876" t="s">
        <v>74</v>
      </c>
      <c r="Y2876" t="s">
        <v>68</v>
      </c>
      <c r="Z2876" t="s">
        <v>158</v>
      </c>
      <c r="AA2876" t="s">
        <v>169</v>
      </c>
      <c r="AB2876">
        <v>5</v>
      </c>
      <c r="AC2876">
        <v>100</v>
      </c>
      <c r="AD2876">
        <v>539.30999999999995</v>
      </c>
      <c r="AE2876">
        <f t="shared" si="88"/>
        <v>818.99</v>
      </c>
      <c r="AF2876" t="str">
        <f t="shared" si="89"/>
        <v>2026-01</v>
      </c>
      <c r="AG2876">
        <f>SUBTOTAL(103,A2876)</f>
        <v>1</v>
      </c>
    </row>
    <row r="2877" spans="1:33" x14ac:dyDescent="0.3">
      <c r="A2877" t="s">
        <v>5500</v>
      </c>
      <c r="B2877" s="13">
        <v>46026</v>
      </c>
      <c r="C2877">
        <v>2026</v>
      </c>
      <c r="D2877">
        <v>1</v>
      </c>
      <c r="E2877" t="s">
        <v>2571</v>
      </c>
      <c r="F2877" t="s">
        <v>2572</v>
      </c>
      <c r="G2877" t="s">
        <v>263</v>
      </c>
      <c r="H2877" t="s">
        <v>264</v>
      </c>
      <c r="I2877" t="s">
        <v>86</v>
      </c>
      <c r="J2877">
        <v>27</v>
      </c>
      <c r="K2877" t="s">
        <v>81</v>
      </c>
      <c r="L2877" t="s">
        <v>93</v>
      </c>
      <c r="M2877" t="s">
        <v>55</v>
      </c>
      <c r="N2877" t="s">
        <v>2592</v>
      </c>
      <c r="O2877" t="s">
        <v>115</v>
      </c>
      <c r="P2877" t="s">
        <v>48</v>
      </c>
      <c r="Q2877" t="s">
        <v>137</v>
      </c>
      <c r="R2877">
        <v>5</v>
      </c>
      <c r="S2877">
        <v>12999</v>
      </c>
      <c r="T2877">
        <v>0</v>
      </c>
      <c r="U2877">
        <v>64995</v>
      </c>
      <c r="V2877">
        <v>45000</v>
      </c>
      <c r="W2877">
        <v>19995</v>
      </c>
      <c r="X2877" t="s">
        <v>77</v>
      </c>
      <c r="Y2877" t="s">
        <v>68</v>
      </c>
      <c r="Z2877" t="s">
        <v>159</v>
      </c>
      <c r="AA2877" t="s">
        <v>167</v>
      </c>
      <c r="AB2877">
        <v>3.1</v>
      </c>
      <c r="AC2877">
        <v>100</v>
      </c>
      <c r="AD2877">
        <v>2418.9499999999998</v>
      </c>
      <c r="AE2877">
        <f t="shared" si="88"/>
        <v>17476.05</v>
      </c>
      <c r="AF2877" t="str">
        <f t="shared" si="89"/>
        <v>2026-01</v>
      </c>
      <c r="AG2877">
        <f>SUBTOTAL(103,A2877)</f>
        <v>1</v>
      </c>
    </row>
    <row r="2878" spans="1:33" x14ac:dyDescent="0.3">
      <c r="A2878" t="s">
        <v>5501</v>
      </c>
      <c r="B2878" s="13">
        <v>46026</v>
      </c>
      <c r="C2878">
        <v>2026</v>
      </c>
      <c r="D2878">
        <v>1</v>
      </c>
      <c r="E2878" t="s">
        <v>2571</v>
      </c>
      <c r="F2878" t="s">
        <v>2572</v>
      </c>
      <c r="G2878" t="s">
        <v>537</v>
      </c>
      <c r="H2878" t="s">
        <v>538</v>
      </c>
      <c r="I2878" t="s">
        <v>86</v>
      </c>
      <c r="J2878">
        <v>34</v>
      </c>
      <c r="K2878" t="s">
        <v>81</v>
      </c>
      <c r="L2878" t="s">
        <v>96</v>
      </c>
      <c r="M2878" t="s">
        <v>55</v>
      </c>
      <c r="N2878" t="s">
        <v>2587</v>
      </c>
      <c r="O2878" t="s">
        <v>116</v>
      </c>
      <c r="P2878" t="s">
        <v>48</v>
      </c>
      <c r="Q2878" t="s">
        <v>138</v>
      </c>
      <c r="R2878">
        <v>2</v>
      </c>
      <c r="S2878">
        <v>14999</v>
      </c>
      <c r="T2878">
        <v>0.05</v>
      </c>
      <c r="U2878">
        <v>28498.1</v>
      </c>
      <c r="V2878">
        <v>22400</v>
      </c>
      <c r="W2878">
        <v>6098.1</v>
      </c>
      <c r="X2878" t="s">
        <v>74</v>
      </c>
      <c r="Y2878" t="s">
        <v>68</v>
      </c>
      <c r="Z2878" t="s">
        <v>161</v>
      </c>
      <c r="AA2878" t="s">
        <v>171</v>
      </c>
      <c r="AB2878">
        <v>5</v>
      </c>
      <c r="AC2878">
        <v>80</v>
      </c>
      <c r="AD2878">
        <v>1363.45</v>
      </c>
      <c r="AE2878">
        <f t="shared" si="88"/>
        <v>4654.6500000000005</v>
      </c>
      <c r="AF2878" t="str">
        <f t="shared" si="89"/>
        <v>2026-01</v>
      </c>
      <c r="AG2878">
        <f>SUBTOTAL(103,A2878)</f>
        <v>1</v>
      </c>
    </row>
    <row r="2879" spans="1:33" x14ac:dyDescent="0.3">
      <c r="A2879" t="s">
        <v>5502</v>
      </c>
      <c r="B2879" s="13">
        <v>46026</v>
      </c>
      <c r="C2879">
        <v>2026</v>
      </c>
      <c r="D2879">
        <v>1</v>
      </c>
      <c r="E2879" t="s">
        <v>2571</v>
      </c>
      <c r="F2879" t="s">
        <v>2572</v>
      </c>
      <c r="G2879" t="s">
        <v>1423</v>
      </c>
      <c r="H2879" t="s">
        <v>1424</v>
      </c>
      <c r="I2879" t="s">
        <v>86</v>
      </c>
      <c r="J2879">
        <v>23</v>
      </c>
      <c r="K2879" t="s">
        <v>80</v>
      </c>
      <c r="L2879" t="s">
        <v>2612</v>
      </c>
      <c r="M2879" t="s">
        <v>64</v>
      </c>
      <c r="N2879" t="s">
        <v>2626</v>
      </c>
      <c r="O2879" t="s">
        <v>125</v>
      </c>
      <c r="P2879" t="s">
        <v>48</v>
      </c>
      <c r="Q2879" t="s">
        <v>141</v>
      </c>
      <c r="R2879">
        <v>2</v>
      </c>
      <c r="S2879">
        <v>1999</v>
      </c>
      <c r="T2879">
        <v>0.1</v>
      </c>
      <c r="U2879">
        <v>3598.2</v>
      </c>
      <c r="V2879">
        <v>2300</v>
      </c>
      <c r="W2879">
        <v>1298.2</v>
      </c>
      <c r="X2879" t="s">
        <v>75</v>
      </c>
      <c r="Y2879" t="s">
        <v>68</v>
      </c>
      <c r="Z2879" t="s">
        <v>160</v>
      </c>
      <c r="AA2879" t="s">
        <v>169</v>
      </c>
      <c r="AB2879">
        <v>3.3</v>
      </c>
      <c r="AC2879">
        <v>60</v>
      </c>
      <c r="AD2879">
        <v>113.94</v>
      </c>
      <c r="AE2879">
        <f t="shared" si="88"/>
        <v>1124.26</v>
      </c>
      <c r="AF2879" t="str">
        <f t="shared" si="89"/>
        <v>2026-01</v>
      </c>
      <c r="AG2879">
        <f>SUBTOTAL(103,A2879)</f>
        <v>1</v>
      </c>
    </row>
    <row r="2880" spans="1:33" x14ac:dyDescent="0.3">
      <c r="A2880" t="s">
        <v>5503</v>
      </c>
      <c r="B2880" s="13">
        <v>46026</v>
      </c>
      <c r="C2880">
        <v>2026</v>
      </c>
      <c r="D2880">
        <v>1</v>
      </c>
      <c r="E2880" t="s">
        <v>2571</v>
      </c>
      <c r="F2880" t="s">
        <v>2572</v>
      </c>
      <c r="G2880" t="s">
        <v>1967</v>
      </c>
      <c r="H2880" t="s">
        <v>1968</v>
      </c>
      <c r="I2880" t="s">
        <v>85</v>
      </c>
      <c r="J2880">
        <v>23</v>
      </c>
      <c r="K2880" t="s">
        <v>80</v>
      </c>
      <c r="L2880" t="s">
        <v>93</v>
      </c>
      <c r="M2880" t="s">
        <v>55</v>
      </c>
      <c r="N2880" t="s">
        <v>2596</v>
      </c>
      <c r="O2880" t="s">
        <v>124</v>
      </c>
      <c r="P2880" t="s">
        <v>51</v>
      </c>
      <c r="Q2880" t="s">
        <v>147</v>
      </c>
      <c r="R2880">
        <v>2</v>
      </c>
      <c r="S2880">
        <v>2299</v>
      </c>
      <c r="T2880">
        <v>0.1</v>
      </c>
      <c r="U2880">
        <v>4138.2</v>
      </c>
      <c r="V2880">
        <v>2400</v>
      </c>
      <c r="W2880">
        <v>1738.2</v>
      </c>
      <c r="X2880" t="s">
        <v>75</v>
      </c>
      <c r="Y2880" t="s">
        <v>68</v>
      </c>
      <c r="Z2880" t="s">
        <v>161</v>
      </c>
      <c r="AA2880" t="s">
        <v>167</v>
      </c>
      <c r="AB2880">
        <v>3.6</v>
      </c>
      <c r="AC2880">
        <v>80</v>
      </c>
      <c r="AD2880">
        <v>178.55</v>
      </c>
      <c r="AE2880">
        <f t="shared" si="88"/>
        <v>1479.65</v>
      </c>
      <c r="AF2880" t="str">
        <f t="shared" si="89"/>
        <v>2026-01</v>
      </c>
      <c r="AG2880">
        <f>SUBTOTAL(103,A2880)</f>
        <v>1</v>
      </c>
    </row>
    <row r="2881" spans="1:33" x14ac:dyDescent="0.3">
      <c r="A2881" t="s">
        <v>5504</v>
      </c>
      <c r="B2881" s="13">
        <v>46027</v>
      </c>
      <c r="C2881">
        <v>2026</v>
      </c>
      <c r="D2881">
        <v>1</v>
      </c>
      <c r="E2881" t="s">
        <v>2571</v>
      </c>
      <c r="F2881" t="s">
        <v>2572</v>
      </c>
      <c r="G2881" t="s">
        <v>2125</v>
      </c>
      <c r="H2881" t="s">
        <v>2126</v>
      </c>
      <c r="I2881" t="s">
        <v>85</v>
      </c>
      <c r="J2881">
        <v>54</v>
      </c>
      <c r="K2881" t="s">
        <v>83</v>
      </c>
      <c r="L2881" t="s">
        <v>100</v>
      </c>
      <c r="M2881" t="s">
        <v>56</v>
      </c>
      <c r="N2881" t="s">
        <v>2601</v>
      </c>
      <c r="O2881" t="s">
        <v>117</v>
      </c>
      <c r="P2881" t="s">
        <v>49</v>
      </c>
      <c r="Q2881" t="s">
        <v>139</v>
      </c>
      <c r="R2881">
        <v>1</v>
      </c>
      <c r="S2881">
        <v>6999</v>
      </c>
      <c r="T2881">
        <v>0.1</v>
      </c>
      <c r="U2881">
        <v>6299.1</v>
      </c>
      <c r="V2881">
        <v>4300</v>
      </c>
      <c r="W2881">
        <v>1999.1</v>
      </c>
      <c r="X2881" t="s">
        <v>73</v>
      </c>
      <c r="Y2881" t="s">
        <v>69</v>
      </c>
      <c r="Z2881" t="s">
        <v>161</v>
      </c>
      <c r="AA2881" t="s">
        <v>169</v>
      </c>
      <c r="AB2881">
        <v>3.1</v>
      </c>
      <c r="AC2881">
        <v>40</v>
      </c>
      <c r="AD2881">
        <v>336.35</v>
      </c>
      <c r="AE2881">
        <f t="shared" si="88"/>
        <v>1622.75</v>
      </c>
      <c r="AF2881" t="str">
        <f t="shared" si="89"/>
        <v>2026-01</v>
      </c>
      <c r="AG2881">
        <f>SUBTOTAL(103,A2881)</f>
        <v>1</v>
      </c>
    </row>
    <row r="2882" spans="1:33" x14ac:dyDescent="0.3">
      <c r="A2882" t="s">
        <v>5505</v>
      </c>
      <c r="B2882" s="13">
        <v>46027</v>
      </c>
      <c r="C2882">
        <v>2026</v>
      </c>
      <c r="D2882">
        <v>1</v>
      </c>
      <c r="E2882" t="s">
        <v>2571</v>
      </c>
      <c r="F2882" t="s">
        <v>2572</v>
      </c>
      <c r="G2882" t="s">
        <v>1827</v>
      </c>
      <c r="H2882" t="s">
        <v>1828</v>
      </c>
      <c r="I2882" t="s">
        <v>86</v>
      </c>
      <c r="J2882">
        <v>48</v>
      </c>
      <c r="K2882" t="s">
        <v>83</v>
      </c>
      <c r="L2882" t="s">
        <v>2646</v>
      </c>
      <c r="M2882" t="s">
        <v>63</v>
      </c>
      <c r="N2882" t="s">
        <v>2665</v>
      </c>
      <c r="O2882" t="s">
        <v>128</v>
      </c>
      <c r="P2882" t="s">
        <v>53</v>
      </c>
      <c r="Q2882" t="s">
        <v>143</v>
      </c>
      <c r="R2882">
        <v>2</v>
      </c>
      <c r="S2882">
        <v>1499</v>
      </c>
      <c r="T2882">
        <v>0.15</v>
      </c>
      <c r="U2882">
        <v>2548.3000000000002</v>
      </c>
      <c r="V2882">
        <v>1600</v>
      </c>
      <c r="W2882">
        <v>948.3</v>
      </c>
      <c r="X2882" t="s">
        <v>74</v>
      </c>
      <c r="Y2882" t="s">
        <v>68</v>
      </c>
      <c r="Z2882" t="s">
        <v>159</v>
      </c>
      <c r="AA2882" t="s">
        <v>167</v>
      </c>
      <c r="AB2882">
        <v>4.4000000000000004</v>
      </c>
      <c r="AC2882">
        <v>40</v>
      </c>
      <c r="AD2882">
        <v>121.56</v>
      </c>
      <c r="AE2882">
        <f t="shared" ref="AE2882:AE2945" si="90">W2882-AC2882-AD2882</f>
        <v>786.74</v>
      </c>
      <c r="AF2882" t="str">
        <f t="shared" ref="AF2882:AF2945" si="91">C2882&amp;"-"&amp;TEXT(D2882,"00")</f>
        <v>2026-01</v>
      </c>
      <c r="AG2882">
        <f>SUBTOTAL(103,A2882)</f>
        <v>1</v>
      </c>
    </row>
    <row r="2883" spans="1:33" x14ac:dyDescent="0.3">
      <c r="A2883" t="s">
        <v>5506</v>
      </c>
      <c r="B2883" s="13">
        <v>46028</v>
      </c>
      <c r="C2883">
        <v>2026</v>
      </c>
      <c r="D2883">
        <v>1</v>
      </c>
      <c r="E2883" t="s">
        <v>2571</v>
      </c>
      <c r="F2883" t="s">
        <v>2572</v>
      </c>
      <c r="G2883" t="s">
        <v>535</v>
      </c>
      <c r="H2883" t="s">
        <v>536</v>
      </c>
      <c r="I2883" t="s">
        <v>85</v>
      </c>
      <c r="J2883">
        <v>52</v>
      </c>
      <c r="K2883" t="s">
        <v>83</v>
      </c>
      <c r="L2883" t="s">
        <v>2661</v>
      </c>
      <c r="M2883" t="s">
        <v>58</v>
      </c>
      <c r="N2883" t="s">
        <v>2592</v>
      </c>
      <c r="O2883" t="s">
        <v>115</v>
      </c>
      <c r="P2883" t="s">
        <v>48</v>
      </c>
      <c r="Q2883" t="s">
        <v>137</v>
      </c>
      <c r="R2883">
        <v>2</v>
      </c>
      <c r="S2883">
        <v>12999</v>
      </c>
      <c r="T2883">
        <v>0.25</v>
      </c>
      <c r="U2883">
        <v>0</v>
      </c>
      <c r="V2883">
        <v>0</v>
      </c>
      <c r="W2883">
        <v>0</v>
      </c>
      <c r="X2883" t="s">
        <v>73</v>
      </c>
      <c r="Y2883" t="s">
        <v>71</v>
      </c>
      <c r="Z2883" t="s">
        <v>158</v>
      </c>
      <c r="AA2883" t="s">
        <v>166</v>
      </c>
      <c r="AB2883">
        <v>2.8</v>
      </c>
      <c r="AC2883">
        <v>80</v>
      </c>
      <c r="AD2883">
        <v>625.08000000000004</v>
      </c>
      <c r="AE2883">
        <f t="shared" si="90"/>
        <v>-705.08</v>
      </c>
      <c r="AF2883" t="str">
        <f t="shared" si="91"/>
        <v>2026-01</v>
      </c>
      <c r="AG2883">
        <f>SUBTOTAL(103,A2883)</f>
        <v>1</v>
      </c>
    </row>
    <row r="2884" spans="1:33" x14ac:dyDescent="0.3">
      <c r="A2884" t="s">
        <v>5507</v>
      </c>
      <c r="B2884" s="13">
        <v>46028</v>
      </c>
      <c r="C2884">
        <v>2026</v>
      </c>
      <c r="D2884">
        <v>1</v>
      </c>
      <c r="E2884" t="s">
        <v>2571</v>
      </c>
      <c r="F2884" t="s">
        <v>2572</v>
      </c>
      <c r="G2884" t="s">
        <v>809</v>
      </c>
      <c r="H2884" t="s">
        <v>810</v>
      </c>
      <c r="I2884" t="s">
        <v>85</v>
      </c>
      <c r="J2884">
        <v>46</v>
      </c>
      <c r="K2884" t="s">
        <v>83</v>
      </c>
      <c r="L2884" t="s">
        <v>2661</v>
      </c>
      <c r="M2884" t="s">
        <v>58</v>
      </c>
      <c r="N2884" t="s">
        <v>2594</v>
      </c>
      <c r="O2884" t="s">
        <v>131</v>
      </c>
      <c r="P2884" t="s">
        <v>53</v>
      </c>
      <c r="Q2884" t="s">
        <v>143</v>
      </c>
      <c r="R2884">
        <v>5</v>
      </c>
      <c r="S2884">
        <v>999</v>
      </c>
      <c r="T2884">
        <v>0.15</v>
      </c>
      <c r="U2884">
        <v>4245.75</v>
      </c>
      <c r="V2884">
        <v>2600</v>
      </c>
      <c r="W2884">
        <v>1645.75</v>
      </c>
      <c r="X2884" t="s">
        <v>75</v>
      </c>
      <c r="Y2884" t="s">
        <v>68</v>
      </c>
      <c r="Z2884" t="s">
        <v>163</v>
      </c>
      <c r="AA2884" t="s">
        <v>170</v>
      </c>
      <c r="AB2884">
        <v>4.0999999999999996</v>
      </c>
      <c r="AC2884">
        <v>50</v>
      </c>
      <c r="AD2884">
        <v>401.16</v>
      </c>
      <c r="AE2884">
        <f t="shared" si="90"/>
        <v>1194.5899999999999</v>
      </c>
      <c r="AF2884" t="str">
        <f t="shared" si="91"/>
        <v>2026-01</v>
      </c>
      <c r="AG2884">
        <f>SUBTOTAL(103,A2884)</f>
        <v>1</v>
      </c>
    </row>
    <row r="2885" spans="1:33" x14ac:dyDescent="0.3">
      <c r="A2885" t="s">
        <v>5508</v>
      </c>
      <c r="B2885" s="13">
        <v>46028</v>
      </c>
      <c r="C2885">
        <v>2026</v>
      </c>
      <c r="D2885">
        <v>1</v>
      </c>
      <c r="E2885" t="s">
        <v>2571</v>
      </c>
      <c r="F2885" t="s">
        <v>2572</v>
      </c>
      <c r="G2885" t="s">
        <v>647</v>
      </c>
      <c r="H2885" t="s">
        <v>648</v>
      </c>
      <c r="I2885" t="s">
        <v>85</v>
      </c>
      <c r="J2885">
        <v>52</v>
      </c>
      <c r="K2885" t="s">
        <v>83</v>
      </c>
      <c r="L2885" t="s">
        <v>2610</v>
      </c>
      <c r="M2885" t="s">
        <v>64</v>
      </c>
      <c r="N2885" t="s">
        <v>2601</v>
      </c>
      <c r="O2885" t="s">
        <v>117</v>
      </c>
      <c r="P2885" t="s">
        <v>49</v>
      </c>
      <c r="Q2885" t="s">
        <v>139</v>
      </c>
      <c r="R2885">
        <v>4</v>
      </c>
      <c r="S2885">
        <v>6999</v>
      </c>
      <c r="T2885">
        <v>0.05</v>
      </c>
      <c r="U2885">
        <v>26596.2</v>
      </c>
      <c r="V2885">
        <v>17200</v>
      </c>
      <c r="W2885">
        <v>9396.2000000000007</v>
      </c>
      <c r="X2885" t="s">
        <v>73</v>
      </c>
      <c r="Y2885" t="s">
        <v>68</v>
      </c>
      <c r="Z2885" t="s">
        <v>161</v>
      </c>
      <c r="AA2885" t="s">
        <v>171</v>
      </c>
      <c r="AB2885">
        <v>3.3</v>
      </c>
      <c r="AC2885">
        <v>60</v>
      </c>
      <c r="AD2885">
        <v>2944.68</v>
      </c>
      <c r="AE2885">
        <f t="shared" si="90"/>
        <v>6391.52</v>
      </c>
      <c r="AF2885" t="str">
        <f t="shared" si="91"/>
        <v>2026-01</v>
      </c>
      <c r="AG2885">
        <f>SUBTOTAL(103,A2885)</f>
        <v>1</v>
      </c>
    </row>
    <row r="2886" spans="1:33" x14ac:dyDescent="0.3">
      <c r="A2886" t="s">
        <v>5509</v>
      </c>
      <c r="B2886" s="13">
        <v>46028</v>
      </c>
      <c r="C2886">
        <v>2026</v>
      </c>
      <c r="D2886">
        <v>1</v>
      </c>
      <c r="E2886" t="s">
        <v>2571</v>
      </c>
      <c r="F2886" t="s">
        <v>2572</v>
      </c>
      <c r="G2886" t="s">
        <v>2479</v>
      </c>
      <c r="H2886" t="s">
        <v>2480</v>
      </c>
      <c r="I2886" t="s">
        <v>86</v>
      </c>
      <c r="J2886">
        <v>36</v>
      </c>
      <c r="K2886" t="s">
        <v>82</v>
      </c>
      <c r="L2886" t="s">
        <v>2605</v>
      </c>
      <c r="M2886" t="s">
        <v>60</v>
      </c>
      <c r="N2886" t="s">
        <v>2590</v>
      </c>
      <c r="O2886" t="s">
        <v>127</v>
      </c>
      <c r="P2886" t="s">
        <v>51</v>
      </c>
      <c r="Q2886" t="s">
        <v>148</v>
      </c>
      <c r="R2886">
        <v>1</v>
      </c>
      <c r="S2886">
        <v>1599</v>
      </c>
      <c r="T2886">
        <v>0.05</v>
      </c>
      <c r="U2886">
        <v>0</v>
      </c>
      <c r="V2886">
        <v>0</v>
      </c>
      <c r="W2886">
        <v>0</v>
      </c>
      <c r="X2886" t="s">
        <v>73</v>
      </c>
      <c r="Y2886" t="s">
        <v>71</v>
      </c>
      <c r="Z2886" t="s">
        <v>161</v>
      </c>
      <c r="AA2886" t="s">
        <v>167</v>
      </c>
      <c r="AB2886">
        <v>5</v>
      </c>
      <c r="AC2886">
        <v>60</v>
      </c>
      <c r="AD2886">
        <v>98.69</v>
      </c>
      <c r="AE2886">
        <f t="shared" si="90"/>
        <v>-158.69</v>
      </c>
      <c r="AF2886" t="str">
        <f t="shared" si="91"/>
        <v>2026-01</v>
      </c>
      <c r="AG2886">
        <f>SUBTOTAL(103,A2886)</f>
        <v>1</v>
      </c>
    </row>
    <row r="2887" spans="1:33" x14ac:dyDescent="0.3">
      <c r="A2887" t="s">
        <v>5510</v>
      </c>
      <c r="B2887" s="13">
        <v>46028</v>
      </c>
      <c r="C2887">
        <v>2026</v>
      </c>
      <c r="D2887">
        <v>1</v>
      </c>
      <c r="E2887" t="s">
        <v>2571</v>
      </c>
      <c r="F2887" t="s">
        <v>2572</v>
      </c>
      <c r="G2887" t="s">
        <v>297</v>
      </c>
      <c r="H2887" t="s">
        <v>298</v>
      </c>
      <c r="I2887" t="s">
        <v>86</v>
      </c>
      <c r="J2887">
        <v>33</v>
      </c>
      <c r="K2887" t="s">
        <v>81</v>
      </c>
      <c r="L2887" t="s">
        <v>90</v>
      </c>
      <c r="M2887" t="s">
        <v>55</v>
      </c>
      <c r="N2887" t="s">
        <v>2594</v>
      </c>
      <c r="O2887" t="s">
        <v>131</v>
      </c>
      <c r="P2887" t="s">
        <v>53</v>
      </c>
      <c r="Q2887" t="s">
        <v>143</v>
      </c>
      <c r="R2887">
        <v>1</v>
      </c>
      <c r="S2887">
        <v>999</v>
      </c>
      <c r="T2887">
        <v>0.15</v>
      </c>
      <c r="U2887">
        <v>849.15</v>
      </c>
      <c r="V2887">
        <v>520</v>
      </c>
      <c r="W2887">
        <v>329.15</v>
      </c>
      <c r="X2887" t="s">
        <v>73</v>
      </c>
      <c r="Y2887" t="s">
        <v>68</v>
      </c>
      <c r="Z2887" t="s">
        <v>161</v>
      </c>
      <c r="AA2887" t="s">
        <v>169</v>
      </c>
      <c r="AB2887">
        <v>5</v>
      </c>
      <c r="AC2887">
        <v>50</v>
      </c>
      <c r="AD2887">
        <v>55.16</v>
      </c>
      <c r="AE2887">
        <f t="shared" si="90"/>
        <v>223.98999999999998</v>
      </c>
      <c r="AF2887" t="str">
        <f t="shared" si="91"/>
        <v>2026-01</v>
      </c>
      <c r="AG2887">
        <f>SUBTOTAL(103,A2887)</f>
        <v>1</v>
      </c>
    </row>
    <row r="2888" spans="1:33" x14ac:dyDescent="0.3">
      <c r="A2888" t="s">
        <v>5511</v>
      </c>
      <c r="B2888" s="13">
        <v>46028</v>
      </c>
      <c r="C2888">
        <v>2026</v>
      </c>
      <c r="D2888">
        <v>1</v>
      </c>
      <c r="E2888" t="s">
        <v>2571</v>
      </c>
      <c r="F2888" t="s">
        <v>2572</v>
      </c>
      <c r="G2888" t="s">
        <v>1881</v>
      </c>
      <c r="H2888" t="s">
        <v>1882</v>
      </c>
      <c r="I2888" t="s">
        <v>85</v>
      </c>
      <c r="J2888">
        <v>30</v>
      </c>
      <c r="K2888" t="s">
        <v>81</v>
      </c>
      <c r="L2888" t="s">
        <v>2661</v>
      </c>
      <c r="M2888" t="s">
        <v>58</v>
      </c>
      <c r="N2888" t="s">
        <v>2665</v>
      </c>
      <c r="O2888" t="s">
        <v>128</v>
      </c>
      <c r="P2888" t="s">
        <v>53</v>
      </c>
      <c r="Q2888" t="s">
        <v>143</v>
      </c>
      <c r="R2888">
        <v>3</v>
      </c>
      <c r="S2888">
        <v>1499</v>
      </c>
      <c r="T2888">
        <v>0</v>
      </c>
      <c r="U2888">
        <v>4497</v>
      </c>
      <c r="V2888">
        <v>2400</v>
      </c>
      <c r="W2888">
        <v>2097</v>
      </c>
      <c r="X2888" t="s">
        <v>75</v>
      </c>
      <c r="Y2888" t="s">
        <v>68</v>
      </c>
      <c r="Z2888" t="s">
        <v>162</v>
      </c>
      <c r="AA2888" t="s">
        <v>167</v>
      </c>
      <c r="AB2888">
        <v>4.8</v>
      </c>
      <c r="AC2888">
        <v>50</v>
      </c>
      <c r="AD2888">
        <v>339.66</v>
      </c>
      <c r="AE2888">
        <f t="shared" si="90"/>
        <v>1707.34</v>
      </c>
      <c r="AF2888" t="str">
        <f t="shared" si="91"/>
        <v>2026-01</v>
      </c>
      <c r="AG2888">
        <f>SUBTOTAL(103,A2888)</f>
        <v>1</v>
      </c>
    </row>
    <row r="2889" spans="1:33" x14ac:dyDescent="0.3">
      <c r="A2889" t="s">
        <v>5512</v>
      </c>
      <c r="B2889" s="13">
        <v>46028</v>
      </c>
      <c r="C2889">
        <v>2026</v>
      </c>
      <c r="D2889">
        <v>1</v>
      </c>
      <c r="E2889" t="s">
        <v>2571</v>
      </c>
      <c r="F2889" t="s">
        <v>2572</v>
      </c>
      <c r="G2889" t="s">
        <v>1989</v>
      </c>
      <c r="H2889" t="s">
        <v>1990</v>
      </c>
      <c r="I2889" t="s">
        <v>85</v>
      </c>
      <c r="J2889">
        <v>57</v>
      </c>
      <c r="K2889" t="s">
        <v>83</v>
      </c>
      <c r="L2889" t="s">
        <v>92</v>
      </c>
      <c r="M2889" t="s">
        <v>59</v>
      </c>
      <c r="N2889" t="s">
        <v>2587</v>
      </c>
      <c r="O2889" t="s">
        <v>116</v>
      </c>
      <c r="P2889" t="s">
        <v>48</v>
      </c>
      <c r="Q2889" t="s">
        <v>138</v>
      </c>
      <c r="R2889">
        <v>2</v>
      </c>
      <c r="S2889">
        <v>14999</v>
      </c>
      <c r="T2889">
        <v>0.15</v>
      </c>
      <c r="U2889">
        <v>0</v>
      </c>
      <c r="V2889">
        <v>0</v>
      </c>
      <c r="W2889">
        <v>0</v>
      </c>
      <c r="X2889" t="s">
        <v>77</v>
      </c>
      <c r="Y2889" t="s">
        <v>71</v>
      </c>
      <c r="Z2889" t="s">
        <v>163</v>
      </c>
      <c r="AA2889" t="s">
        <v>166</v>
      </c>
      <c r="AB2889">
        <v>4.5999999999999996</v>
      </c>
      <c r="AC2889">
        <v>120</v>
      </c>
      <c r="AD2889">
        <v>2580.23</v>
      </c>
      <c r="AE2889">
        <f t="shared" si="90"/>
        <v>-2700.23</v>
      </c>
      <c r="AF2889" t="str">
        <f t="shared" si="91"/>
        <v>2026-01</v>
      </c>
      <c r="AG2889">
        <f>SUBTOTAL(103,A2889)</f>
        <v>1</v>
      </c>
    </row>
    <row r="2890" spans="1:33" x14ac:dyDescent="0.3">
      <c r="A2890" t="s">
        <v>5513</v>
      </c>
      <c r="B2890" s="13">
        <v>46028</v>
      </c>
      <c r="C2890">
        <v>2026</v>
      </c>
      <c r="D2890">
        <v>1</v>
      </c>
      <c r="E2890" t="s">
        <v>2571</v>
      </c>
      <c r="F2890" t="s">
        <v>2572</v>
      </c>
      <c r="G2890" t="s">
        <v>1543</v>
      </c>
      <c r="H2890" t="s">
        <v>1544</v>
      </c>
      <c r="I2890" t="s">
        <v>85</v>
      </c>
      <c r="J2890">
        <v>60</v>
      </c>
      <c r="K2890" t="s">
        <v>83</v>
      </c>
      <c r="L2890" t="s">
        <v>2605</v>
      </c>
      <c r="M2890" t="s">
        <v>60</v>
      </c>
      <c r="N2890" t="s">
        <v>2580</v>
      </c>
      <c r="O2890" t="s">
        <v>118</v>
      </c>
      <c r="P2890" t="s">
        <v>48</v>
      </c>
      <c r="Q2890" t="s">
        <v>142</v>
      </c>
      <c r="R2890">
        <v>2</v>
      </c>
      <c r="S2890">
        <v>3999</v>
      </c>
      <c r="T2890">
        <v>0.1</v>
      </c>
      <c r="U2890">
        <v>7198.2</v>
      </c>
      <c r="V2890">
        <v>4800</v>
      </c>
      <c r="W2890">
        <v>2398.1999999999998</v>
      </c>
      <c r="X2890" t="s">
        <v>77</v>
      </c>
      <c r="Y2890" t="s">
        <v>68</v>
      </c>
      <c r="Z2890" t="s">
        <v>160</v>
      </c>
      <c r="AA2890" t="s">
        <v>166</v>
      </c>
      <c r="AB2890">
        <v>3.8</v>
      </c>
      <c r="AC2890">
        <v>50</v>
      </c>
      <c r="AD2890">
        <v>648.22</v>
      </c>
      <c r="AE2890">
        <f t="shared" si="90"/>
        <v>1699.9799999999998</v>
      </c>
      <c r="AF2890" t="str">
        <f t="shared" si="91"/>
        <v>2026-01</v>
      </c>
      <c r="AG2890">
        <f>SUBTOTAL(103,A2890)</f>
        <v>1</v>
      </c>
    </row>
    <row r="2891" spans="1:33" x14ac:dyDescent="0.3">
      <c r="A2891" t="s">
        <v>5514</v>
      </c>
      <c r="B2891" s="13">
        <v>46029</v>
      </c>
      <c r="C2891">
        <v>2026</v>
      </c>
      <c r="D2891">
        <v>1</v>
      </c>
      <c r="E2891" t="s">
        <v>2571</v>
      </c>
      <c r="F2891" t="s">
        <v>2572</v>
      </c>
      <c r="G2891" t="s">
        <v>597</v>
      </c>
      <c r="H2891" t="s">
        <v>598</v>
      </c>
      <c r="I2891" t="s">
        <v>86</v>
      </c>
      <c r="J2891">
        <v>59</v>
      </c>
      <c r="K2891" t="s">
        <v>83</v>
      </c>
      <c r="L2891" t="s">
        <v>2586</v>
      </c>
      <c r="M2891" t="s">
        <v>62</v>
      </c>
      <c r="N2891" t="s">
        <v>2606</v>
      </c>
      <c r="O2891" t="s">
        <v>120</v>
      </c>
      <c r="P2891" t="s">
        <v>49</v>
      </c>
      <c r="Q2891" t="s">
        <v>140</v>
      </c>
      <c r="R2891">
        <v>2</v>
      </c>
      <c r="S2891">
        <v>2799</v>
      </c>
      <c r="T2891">
        <v>0</v>
      </c>
      <c r="U2891">
        <v>5598</v>
      </c>
      <c r="V2891">
        <v>3300</v>
      </c>
      <c r="W2891">
        <v>2298</v>
      </c>
      <c r="X2891" t="s">
        <v>73</v>
      </c>
      <c r="Y2891" t="s">
        <v>68</v>
      </c>
      <c r="Z2891" t="s">
        <v>161</v>
      </c>
      <c r="AA2891" t="s">
        <v>170</v>
      </c>
      <c r="AB2891">
        <v>3.4</v>
      </c>
      <c r="AC2891">
        <v>60</v>
      </c>
      <c r="AD2891">
        <v>270.52</v>
      </c>
      <c r="AE2891">
        <f t="shared" si="90"/>
        <v>1967.48</v>
      </c>
      <c r="AF2891" t="str">
        <f t="shared" si="91"/>
        <v>2026-01</v>
      </c>
      <c r="AG2891">
        <f>SUBTOTAL(103,A2891)</f>
        <v>1</v>
      </c>
    </row>
    <row r="2892" spans="1:33" x14ac:dyDescent="0.3">
      <c r="A2892" t="s">
        <v>5515</v>
      </c>
      <c r="B2892" s="13">
        <v>46029</v>
      </c>
      <c r="C2892">
        <v>2026</v>
      </c>
      <c r="D2892">
        <v>1</v>
      </c>
      <c r="E2892" t="s">
        <v>2571</v>
      </c>
      <c r="F2892" t="s">
        <v>2572</v>
      </c>
      <c r="G2892" t="s">
        <v>263</v>
      </c>
      <c r="H2892" t="s">
        <v>264</v>
      </c>
      <c r="I2892" t="s">
        <v>86</v>
      </c>
      <c r="J2892">
        <v>27</v>
      </c>
      <c r="K2892" t="s">
        <v>81</v>
      </c>
      <c r="L2892" t="s">
        <v>93</v>
      </c>
      <c r="M2892" t="s">
        <v>55</v>
      </c>
      <c r="N2892" t="s">
        <v>2630</v>
      </c>
      <c r="O2892" t="s">
        <v>123</v>
      </c>
      <c r="P2892" t="s">
        <v>52</v>
      </c>
      <c r="Q2892" t="s">
        <v>146</v>
      </c>
      <c r="R2892">
        <v>2</v>
      </c>
      <c r="S2892">
        <v>2499</v>
      </c>
      <c r="T2892">
        <v>0</v>
      </c>
      <c r="U2892">
        <v>4998</v>
      </c>
      <c r="V2892">
        <v>2800</v>
      </c>
      <c r="W2892">
        <v>2198</v>
      </c>
      <c r="X2892" t="s">
        <v>73</v>
      </c>
      <c r="Y2892" t="s">
        <v>68</v>
      </c>
      <c r="Z2892" t="s">
        <v>158</v>
      </c>
      <c r="AA2892" t="s">
        <v>169</v>
      </c>
      <c r="AB2892">
        <v>5</v>
      </c>
      <c r="AC2892">
        <v>60</v>
      </c>
      <c r="AD2892">
        <v>179.18</v>
      </c>
      <c r="AE2892">
        <f t="shared" si="90"/>
        <v>1958.82</v>
      </c>
      <c r="AF2892" t="str">
        <f t="shared" si="91"/>
        <v>2026-01</v>
      </c>
      <c r="AG2892">
        <f>SUBTOTAL(103,A2892)</f>
        <v>1</v>
      </c>
    </row>
    <row r="2893" spans="1:33" x14ac:dyDescent="0.3">
      <c r="A2893" t="s">
        <v>5516</v>
      </c>
      <c r="B2893" s="13">
        <v>46029</v>
      </c>
      <c r="C2893">
        <v>2026</v>
      </c>
      <c r="D2893">
        <v>1</v>
      </c>
      <c r="E2893" t="s">
        <v>2571</v>
      </c>
      <c r="F2893" t="s">
        <v>2572</v>
      </c>
      <c r="G2893" t="s">
        <v>1549</v>
      </c>
      <c r="H2893" t="s">
        <v>1550</v>
      </c>
      <c r="I2893" t="s">
        <v>86</v>
      </c>
      <c r="J2893">
        <v>45</v>
      </c>
      <c r="K2893" t="s">
        <v>82</v>
      </c>
      <c r="L2893" t="s">
        <v>95</v>
      </c>
      <c r="M2893" t="s">
        <v>56</v>
      </c>
      <c r="N2893" t="s">
        <v>2626</v>
      </c>
      <c r="O2893" t="s">
        <v>125</v>
      </c>
      <c r="P2893" t="s">
        <v>48</v>
      </c>
      <c r="Q2893" t="s">
        <v>141</v>
      </c>
      <c r="R2893">
        <v>3</v>
      </c>
      <c r="S2893">
        <v>1999</v>
      </c>
      <c r="T2893">
        <v>0.05</v>
      </c>
      <c r="U2893">
        <v>5697.15</v>
      </c>
      <c r="V2893">
        <v>3450</v>
      </c>
      <c r="W2893">
        <v>2247.15</v>
      </c>
      <c r="X2893" t="s">
        <v>74</v>
      </c>
      <c r="Y2893" t="s">
        <v>68</v>
      </c>
      <c r="Z2893" t="s">
        <v>161</v>
      </c>
      <c r="AA2893" t="s">
        <v>167</v>
      </c>
      <c r="AB2893">
        <v>2.6</v>
      </c>
      <c r="AC2893">
        <v>100</v>
      </c>
      <c r="AD2893">
        <v>374.25</v>
      </c>
      <c r="AE2893">
        <f t="shared" si="90"/>
        <v>1772.9</v>
      </c>
      <c r="AF2893" t="str">
        <f t="shared" si="91"/>
        <v>2026-01</v>
      </c>
      <c r="AG2893">
        <f>SUBTOTAL(103,A2893)</f>
        <v>1</v>
      </c>
    </row>
    <row r="2894" spans="1:33" x14ac:dyDescent="0.3">
      <c r="A2894" t="s">
        <v>5517</v>
      </c>
      <c r="B2894" s="13">
        <v>46029</v>
      </c>
      <c r="C2894">
        <v>2026</v>
      </c>
      <c r="D2894">
        <v>1</v>
      </c>
      <c r="E2894" t="s">
        <v>2571</v>
      </c>
      <c r="F2894" t="s">
        <v>2572</v>
      </c>
      <c r="G2894" t="s">
        <v>241</v>
      </c>
      <c r="H2894" t="s">
        <v>242</v>
      </c>
      <c r="I2894" t="s">
        <v>85</v>
      </c>
      <c r="J2894">
        <v>30</v>
      </c>
      <c r="K2894" t="s">
        <v>81</v>
      </c>
      <c r="L2894" t="s">
        <v>2599</v>
      </c>
      <c r="M2894" t="s">
        <v>62</v>
      </c>
      <c r="N2894" t="s">
        <v>2587</v>
      </c>
      <c r="O2894" t="s">
        <v>116</v>
      </c>
      <c r="P2894" t="s">
        <v>48</v>
      </c>
      <c r="Q2894" t="s">
        <v>138</v>
      </c>
      <c r="R2894">
        <v>2</v>
      </c>
      <c r="S2894">
        <v>14999</v>
      </c>
      <c r="T2894">
        <v>0.05</v>
      </c>
      <c r="U2894">
        <v>28498.1</v>
      </c>
      <c r="V2894">
        <v>22400</v>
      </c>
      <c r="W2894">
        <v>6098.1</v>
      </c>
      <c r="X2894" t="s">
        <v>76</v>
      </c>
      <c r="Y2894" t="s">
        <v>68</v>
      </c>
      <c r="Z2894" t="s">
        <v>159</v>
      </c>
      <c r="AA2894" t="s">
        <v>169</v>
      </c>
      <c r="AB2894">
        <v>4.5999999999999996</v>
      </c>
      <c r="AC2894">
        <v>100</v>
      </c>
      <c r="AD2894">
        <v>1175.43</v>
      </c>
      <c r="AE2894">
        <f t="shared" si="90"/>
        <v>4822.67</v>
      </c>
      <c r="AF2894" t="str">
        <f t="shared" si="91"/>
        <v>2026-01</v>
      </c>
      <c r="AG2894">
        <f>SUBTOTAL(103,A2894)</f>
        <v>1</v>
      </c>
    </row>
    <row r="2895" spans="1:33" x14ac:dyDescent="0.3">
      <c r="A2895" t="s">
        <v>5518</v>
      </c>
      <c r="B2895" s="13">
        <v>46029</v>
      </c>
      <c r="C2895">
        <v>2026</v>
      </c>
      <c r="D2895">
        <v>1</v>
      </c>
      <c r="E2895" t="s">
        <v>2571</v>
      </c>
      <c r="F2895" t="s">
        <v>2572</v>
      </c>
      <c r="G2895" t="s">
        <v>1481</v>
      </c>
      <c r="H2895" t="s">
        <v>1482</v>
      </c>
      <c r="I2895" t="s">
        <v>86</v>
      </c>
      <c r="J2895">
        <v>27</v>
      </c>
      <c r="K2895" t="s">
        <v>81</v>
      </c>
      <c r="L2895" t="s">
        <v>2687</v>
      </c>
      <c r="M2895" t="s">
        <v>57</v>
      </c>
      <c r="N2895" t="s">
        <v>2601</v>
      </c>
      <c r="O2895" t="s">
        <v>117</v>
      </c>
      <c r="P2895" t="s">
        <v>49</v>
      </c>
      <c r="Q2895" t="s">
        <v>139</v>
      </c>
      <c r="R2895">
        <v>1</v>
      </c>
      <c r="S2895">
        <v>6999</v>
      </c>
      <c r="T2895">
        <v>0</v>
      </c>
      <c r="U2895">
        <v>6999</v>
      </c>
      <c r="V2895">
        <v>4300</v>
      </c>
      <c r="W2895">
        <v>2699</v>
      </c>
      <c r="X2895" t="s">
        <v>75</v>
      </c>
      <c r="Y2895" t="s">
        <v>68</v>
      </c>
      <c r="Z2895" t="s">
        <v>158</v>
      </c>
      <c r="AA2895" t="s">
        <v>166</v>
      </c>
      <c r="AB2895">
        <v>3.9</v>
      </c>
      <c r="AC2895">
        <v>50</v>
      </c>
      <c r="AD2895">
        <v>651.47</v>
      </c>
      <c r="AE2895">
        <f t="shared" si="90"/>
        <v>1997.53</v>
      </c>
      <c r="AF2895" t="str">
        <f t="shared" si="91"/>
        <v>2026-01</v>
      </c>
      <c r="AG2895">
        <f>SUBTOTAL(103,A2895)</f>
        <v>1</v>
      </c>
    </row>
    <row r="2896" spans="1:33" x14ac:dyDescent="0.3">
      <c r="A2896" t="s">
        <v>5519</v>
      </c>
      <c r="B2896" s="13">
        <v>46029</v>
      </c>
      <c r="C2896">
        <v>2026</v>
      </c>
      <c r="D2896">
        <v>1</v>
      </c>
      <c r="E2896" t="s">
        <v>2571</v>
      </c>
      <c r="F2896" t="s">
        <v>2572</v>
      </c>
      <c r="G2896" t="s">
        <v>2281</v>
      </c>
      <c r="H2896" t="s">
        <v>2282</v>
      </c>
      <c r="I2896" t="s">
        <v>86</v>
      </c>
      <c r="J2896">
        <v>23</v>
      </c>
      <c r="K2896" t="s">
        <v>80</v>
      </c>
      <c r="L2896" t="s">
        <v>2586</v>
      </c>
      <c r="M2896" t="s">
        <v>62</v>
      </c>
      <c r="N2896" t="s">
        <v>2580</v>
      </c>
      <c r="O2896" t="s">
        <v>118</v>
      </c>
      <c r="P2896" t="s">
        <v>48</v>
      </c>
      <c r="Q2896" t="s">
        <v>142</v>
      </c>
      <c r="R2896">
        <v>1</v>
      </c>
      <c r="S2896">
        <v>3999</v>
      </c>
      <c r="T2896">
        <v>0.2</v>
      </c>
      <c r="U2896">
        <v>3199.2</v>
      </c>
      <c r="V2896">
        <v>2400</v>
      </c>
      <c r="W2896">
        <v>799.2</v>
      </c>
      <c r="X2896" t="s">
        <v>73</v>
      </c>
      <c r="Y2896" t="s">
        <v>68</v>
      </c>
      <c r="Z2896" t="s">
        <v>159</v>
      </c>
      <c r="AA2896" t="s">
        <v>169</v>
      </c>
      <c r="AB2896">
        <v>5</v>
      </c>
      <c r="AC2896">
        <v>40</v>
      </c>
      <c r="AD2896">
        <v>365.75</v>
      </c>
      <c r="AE2896">
        <f t="shared" si="90"/>
        <v>393.45000000000005</v>
      </c>
      <c r="AF2896" t="str">
        <f t="shared" si="91"/>
        <v>2026-01</v>
      </c>
      <c r="AG2896">
        <f>SUBTOTAL(103,A2896)</f>
        <v>1</v>
      </c>
    </row>
    <row r="2897" spans="1:33" x14ac:dyDescent="0.3">
      <c r="A2897" t="s">
        <v>5520</v>
      </c>
      <c r="B2897" s="13">
        <v>46029</v>
      </c>
      <c r="C2897">
        <v>2026</v>
      </c>
      <c r="D2897">
        <v>1</v>
      </c>
      <c r="E2897" t="s">
        <v>2571</v>
      </c>
      <c r="F2897" t="s">
        <v>2572</v>
      </c>
      <c r="G2897" t="s">
        <v>1335</v>
      </c>
      <c r="H2897" t="s">
        <v>1336</v>
      </c>
      <c r="I2897" t="s">
        <v>85</v>
      </c>
      <c r="J2897">
        <v>59</v>
      </c>
      <c r="K2897" t="s">
        <v>83</v>
      </c>
      <c r="L2897" t="s">
        <v>2690</v>
      </c>
      <c r="M2897" t="s">
        <v>63</v>
      </c>
      <c r="N2897" t="s">
        <v>2603</v>
      </c>
      <c r="O2897" t="s">
        <v>122</v>
      </c>
      <c r="P2897" t="s">
        <v>48</v>
      </c>
      <c r="Q2897" t="s">
        <v>141</v>
      </c>
      <c r="R2897">
        <v>4</v>
      </c>
      <c r="S2897">
        <v>2499</v>
      </c>
      <c r="T2897">
        <v>0</v>
      </c>
      <c r="U2897">
        <v>9996</v>
      </c>
      <c r="V2897">
        <v>5800</v>
      </c>
      <c r="W2897">
        <v>4196</v>
      </c>
      <c r="X2897" t="s">
        <v>77</v>
      </c>
      <c r="Y2897" t="s">
        <v>68</v>
      </c>
      <c r="Z2897" t="s">
        <v>162</v>
      </c>
      <c r="AA2897" t="s">
        <v>169</v>
      </c>
      <c r="AB2897">
        <v>4.3</v>
      </c>
      <c r="AC2897">
        <v>100</v>
      </c>
      <c r="AD2897">
        <v>954.9</v>
      </c>
      <c r="AE2897">
        <f t="shared" si="90"/>
        <v>3141.1</v>
      </c>
      <c r="AF2897" t="str">
        <f t="shared" si="91"/>
        <v>2026-01</v>
      </c>
      <c r="AG2897">
        <f>SUBTOTAL(103,A2897)</f>
        <v>1</v>
      </c>
    </row>
    <row r="2898" spans="1:33" x14ac:dyDescent="0.3">
      <c r="A2898" t="s">
        <v>5521</v>
      </c>
      <c r="B2898" s="13">
        <v>46029</v>
      </c>
      <c r="C2898">
        <v>2026</v>
      </c>
      <c r="D2898">
        <v>1</v>
      </c>
      <c r="E2898" t="s">
        <v>2571</v>
      </c>
      <c r="F2898" t="s">
        <v>2572</v>
      </c>
      <c r="G2898" t="s">
        <v>1267</v>
      </c>
      <c r="H2898" t="s">
        <v>1268</v>
      </c>
      <c r="I2898" t="s">
        <v>85</v>
      </c>
      <c r="J2898">
        <v>41</v>
      </c>
      <c r="K2898" t="s">
        <v>82</v>
      </c>
      <c r="L2898" t="s">
        <v>90</v>
      </c>
      <c r="M2898" t="s">
        <v>55</v>
      </c>
      <c r="N2898" t="s">
        <v>2626</v>
      </c>
      <c r="O2898" t="s">
        <v>125</v>
      </c>
      <c r="P2898" t="s">
        <v>48</v>
      </c>
      <c r="Q2898" t="s">
        <v>141</v>
      </c>
      <c r="R2898">
        <v>1</v>
      </c>
      <c r="S2898">
        <v>1999</v>
      </c>
      <c r="T2898">
        <v>0.1</v>
      </c>
      <c r="U2898">
        <v>1799.1</v>
      </c>
      <c r="V2898">
        <v>1150</v>
      </c>
      <c r="W2898">
        <v>649.1</v>
      </c>
      <c r="X2898" t="s">
        <v>74</v>
      </c>
      <c r="Y2898" t="s">
        <v>68</v>
      </c>
      <c r="Z2898" t="s">
        <v>160</v>
      </c>
      <c r="AA2898" t="s">
        <v>169</v>
      </c>
      <c r="AB2898">
        <v>4.2</v>
      </c>
      <c r="AC2898">
        <v>120</v>
      </c>
      <c r="AD2898">
        <v>110.33</v>
      </c>
      <c r="AE2898">
        <f t="shared" si="90"/>
        <v>418.77000000000004</v>
      </c>
      <c r="AF2898" t="str">
        <f t="shared" si="91"/>
        <v>2026-01</v>
      </c>
      <c r="AG2898">
        <f>SUBTOTAL(103,A2898)</f>
        <v>1</v>
      </c>
    </row>
    <row r="2899" spans="1:33" x14ac:dyDescent="0.3">
      <c r="A2899" t="s">
        <v>5522</v>
      </c>
      <c r="B2899" s="13">
        <v>46030</v>
      </c>
      <c r="C2899">
        <v>2026</v>
      </c>
      <c r="D2899">
        <v>1</v>
      </c>
      <c r="E2899" t="s">
        <v>2571</v>
      </c>
      <c r="F2899" t="s">
        <v>2572</v>
      </c>
      <c r="G2899" t="s">
        <v>2093</v>
      </c>
      <c r="H2899" t="s">
        <v>2094</v>
      </c>
      <c r="I2899" t="s">
        <v>86</v>
      </c>
      <c r="J2899">
        <v>27</v>
      </c>
      <c r="K2899" t="s">
        <v>81</v>
      </c>
      <c r="L2899" t="s">
        <v>96</v>
      </c>
      <c r="M2899" t="s">
        <v>55</v>
      </c>
      <c r="N2899" t="s">
        <v>2582</v>
      </c>
      <c r="O2899" t="s">
        <v>119</v>
      </c>
      <c r="P2899" t="s">
        <v>49</v>
      </c>
      <c r="Q2899" t="s">
        <v>140</v>
      </c>
      <c r="R2899">
        <v>1</v>
      </c>
      <c r="S2899">
        <v>3499</v>
      </c>
      <c r="T2899">
        <v>0.1</v>
      </c>
      <c r="U2899">
        <v>3149.1</v>
      </c>
      <c r="V2899">
        <v>2100</v>
      </c>
      <c r="W2899">
        <v>1049.0999999999999</v>
      </c>
      <c r="X2899" t="s">
        <v>75</v>
      </c>
      <c r="Y2899" t="s">
        <v>68</v>
      </c>
      <c r="Z2899" t="s">
        <v>163</v>
      </c>
      <c r="AA2899" t="s">
        <v>170</v>
      </c>
      <c r="AB2899">
        <v>4.5999999999999996</v>
      </c>
      <c r="AC2899">
        <v>100</v>
      </c>
      <c r="AD2899">
        <v>357.2</v>
      </c>
      <c r="AE2899">
        <f t="shared" si="90"/>
        <v>591.89999999999986</v>
      </c>
      <c r="AF2899" t="str">
        <f t="shared" si="91"/>
        <v>2026-01</v>
      </c>
      <c r="AG2899">
        <f>SUBTOTAL(103,A2899)</f>
        <v>1</v>
      </c>
    </row>
    <row r="2900" spans="1:33" x14ac:dyDescent="0.3">
      <c r="A2900" t="s">
        <v>5523</v>
      </c>
      <c r="B2900" s="13">
        <v>46030</v>
      </c>
      <c r="C2900">
        <v>2026</v>
      </c>
      <c r="D2900">
        <v>1</v>
      </c>
      <c r="E2900" t="s">
        <v>2571</v>
      </c>
      <c r="F2900" t="s">
        <v>2572</v>
      </c>
      <c r="G2900" t="s">
        <v>1685</v>
      </c>
      <c r="H2900" t="s">
        <v>1686</v>
      </c>
      <c r="I2900" t="s">
        <v>86</v>
      </c>
      <c r="J2900">
        <v>37</v>
      </c>
      <c r="K2900" t="s">
        <v>82</v>
      </c>
      <c r="L2900" t="s">
        <v>2586</v>
      </c>
      <c r="M2900" t="s">
        <v>62</v>
      </c>
      <c r="N2900" t="s">
        <v>2577</v>
      </c>
      <c r="O2900" t="s">
        <v>129</v>
      </c>
      <c r="P2900" t="s">
        <v>49</v>
      </c>
      <c r="Q2900" t="s">
        <v>149</v>
      </c>
      <c r="R2900">
        <v>3</v>
      </c>
      <c r="S2900">
        <v>1299</v>
      </c>
      <c r="T2900">
        <v>0.05</v>
      </c>
      <c r="U2900">
        <v>3702.15</v>
      </c>
      <c r="V2900">
        <v>1950</v>
      </c>
      <c r="W2900">
        <v>1752.15</v>
      </c>
      <c r="X2900" t="s">
        <v>73</v>
      </c>
      <c r="Y2900" t="s">
        <v>68</v>
      </c>
      <c r="Z2900" t="s">
        <v>159</v>
      </c>
      <c r="AA2900" t="s">
        <v>170</v>
      </c>
      <c r="AB2900">
        <v>3.2</v>
      </c>
      <c r="AC2900">
        <v>60</v>
      </c>
      <c r="AD2900">
        <v>386.82</v>
      </c>
      <c r="AE2900">
        <f t="shared" si="90"/>
        <v>1305.3300000000002</v>
      </c>
      <c r="AF2900" t="str">
        <f t="shared" si="91"/>
        <v>2026-01</v>
      </c>
      <c r="AG2900">
        <f>SUBTOTAL(103,A2900)</f>
        <v>1</v>
      </c>
    </row>
    <row r="2901" spans="1:33" x14ac:dyDescent="0.3">
      <c r="A2901" t="s">
        <v>5524</v>
      </c>
      <c r="B2901" s="13">
        <v>46030</v>
      </c>
      <c r="C2901">
        <v>2026</v>
      </c>
      <c r="D2901">
        <v>1</v>
      </c>
      <c r="E2901" t="s">
        <v>2571</v>
      </c>
      <c r="F2901" t="s">
        <v>2572</v>
      </c>
      <c r="G2901" t="s">
        <v>1649</v>
      </c>
      <c r="H2901" t="s">
        <v>1650</v>
      </c>
      <c r="I2901" t="s">
        <v>85</v>
      </c>
      <c r="J2901">
        <v>45</v>
      </c>
      <c r="K2901" t="s">
        <v>82</v>
      </c>
      <c r="L2901" t="s">
        <v>2605</v>
      </c>
      <c r="M2901" t="s">
        <v>60</v>
      </c>
      <c r="N2901" t="s">
        <v>2665</v>
      </c>
      <c r="O2901" t="s">
        <v>128</v>
      </c>
      <c r="P2901" t="s">
        <v>53</v>
      </c>
      <c r="Q2901" t="s">
        <v>143</v>
      </c>
      <c r="R2901">
        <v>1</v>
      </c>
      <c r="S2901">
        <v>1499</v>
      </c>
      <c r="T2901">
        <v>0.1</v>
      </c>
      <c r="U2901">
        <v>1349.1</v>
      </c>
      <c r="V2901">
        <v>800</v>
      </c>
      <c r="W2901">
        <v>549.1</v>
      </c>
      <c r="X2901" t="s">
        <v>74</v>
      </c>
      <c r="Y2901" t="s">
        <v>68</v>
      </c>
      <c r="Z2901" t="s">
        <v>158</v>
      </c>
      <c r="AA2901" t="s">
        <v>166</v>
      </c>
      <c r="AB2901">
        <v>3.8</v>
      </c>
      <c r="AC2901">
        <v>80</v>
      </c>
      <c r="AD2901">
        <v>138.77000000000001</v>
      </c>
      <c r="AE2901">
        <f t="shared" si="90"/>
        <v>330.33000000000004</v>
      </c>
      <c r="AF2901" t="str">
        <f t="shared" si="91"/>
        <v>2026-01</v>
      </c>
      <c r="AG2901">
        <f>SUBTOTAL(103,A2901)</f>
        <v>1</v>
      </c>
    </row>
    <row r="2902" spans="1:33" x14ac:dyDescent="0.3">
      <c r="A2902" t="s">
        <v>5525</v>
      </c>
      <c r="B2902" s="13">
        <v>46030</v>
      </c>
      <c r="C2902">
        <v>2026</v>
      </c>
      <c r="D2902">
        <v>1</v>
      </c>
      <c r="E2902" t="s">
        <v>2571</v>
      </c>
      <c r="F2902" t="s">
        <v>2572</v>
      </c>
      <c r="G2902" t="s">
        <v>281</v>
      </c>
      <c r="H2902" t="s">
        <v>282</v>
      </c>
      <c r="I2902" t="s">
        <v>85</v>
      </c>
      <c r="J2902">
        <v>43</v>
      </c>
      <c r="K2902" t="s">
        <v>82</v>
      </c>
      <c r="L2902" t="s">
        <v>2616</v>
      </c>
      <c r="M2902" t="s">
        <v>62</v>
      </c>
      <c r="N2902" t="s">
        <v>2592</v>
      </c>
      <c r="O2902" t="s">
        <v>115</v>
      </c>
      <c r="P2902" t="s">
        <v>48</v>
      </c>
      <c r="Q2902" t="s">
        <v>137</v>
      </c>
      <c r="R2902">
        <v>2</v>
      </c>
      <c r="S2902">
        <v>12999</v>
      </c>
      <c r="T2902">
        <v>0.2</v>
      </c>
      <c r="U2902">
        <v>20798.400000000001</v>
      </c>
      <c r="V2902">
        <v>18000</v>
      </c>
      <c r="W2902">
        <v>2798.4</v>
      </c>
      <c r="X2902" t="s">
        <v>73</v>
      </c>
      <c r="Y2902" t="s">
        <v>68</v>
      </c>
      <c r="Z2902" t="s">
        <v>162</v>
      </c>
      <c r="AA2902" t="s">
        <v>171</v>
      </c>
      <c r="AB2902">
        <v>3.2</v>
      </c>
      <c r="AC2902">
        <v>100</v>
      </c>
      <c r="AD2902">
        <v>1922.56</v>
      </c>
      <c r="AE2902">
        <f t="shared" si="90"/>
        <v>775.84000000000015</v>
      </c>
      <c r="AF2902" t="str">
        <f t="shared" si="91"/>
        <v>2026-01</v>
      </c>
      <c r="AG2902">
        <f>SUBTOTAL(103,A2902)</f>
        <v>1</v>
      </c>
    </row>
    <row r="2903" spans="1:33" x14ac:dyDescent="0.3">
      <c r="A2903" t="s">
        <v>5526</v>
      </c>
      <c r="B2903" s="13">
        <v>46030</v>
      </c>
      <c r="C2903">
        <v>2026</v>
      </c>
      <c r="D2903">
        <v>1</v>
      </c>
      <c r="E2903" t="s">
        <v>2571</v>
      </c>
      <c r="F2903" t="s">
        <v>2572</v>
      </c>
      <c r="G2903" t="s">
        <v>2051</v>
      </c>
      <c r="H2903" t="s">
        <v>2052</v>
      </c>
      <c r="I2903" t="s">
        <v>86</v>
      </c>
      <c r="J2903">
        <v>24</v>
      </c>
      <c r="K2903" t="s">
        <v>80</v>
      </c>
      <c r="L2903" t="s">
        <v>2646</v>
      </c>
      <c r="M2903" t="s">
        <v>63</v>
      </c>
      <c r="N2903" t="s">
        <v>2657</v>
      </c>
      <c r="O2903" t="s">
        <v>134</v>
      </c>
      <c r="P2903" t="s">
        <v>49</v>
      </c>
      <c r="Q2903" t="s">
        <v>140</v>
      </c>
      <c r="R2903">
        <v>1</v>
      </c>
      <c r="S2903">
        <v>599</v>
      </c>
      <c r="T2903">
        <v>0.05</v>
      </c>
      <c r="U2903">
        <v>569.04999999999995</v>
      </c>
      <c r="V2903">
        <v>250</v>
      </c>
      <c r="W2903">
        <v>319.05</v>
      </c>
      <c r="X2903" t="s">
        <v>73</v>
      </c>
      <c r="Y2903" t="s">
        <v>68</v>
      </c>
      <c r="Z2903" t="s">
        <v>158</v>
      </c>
      <c r="AA2903" t="s">
        <v>170</v>
      </c>
      <c r="AB2903">
        <v>4.3</v>
      </c>
      <c r="AC2903">
        <v>80</v>
      </c>
      <c r="AD2903">
        <v>59.26</v>
      </c>
      <c r="AE2903">
        <f t="shared" si="90"/>
        <v>179.79000000000002</v>
      </c>
      <c r="AF2903" t="str">
        <f t="shared" si="91"/>
        <v>2026-01</v>
      </c>
      <c r="AG2903">
        <f>SUBTOTAL(103,A2903)</f>
        <v>1</v>
      </c>
    </row>
    <row r="2904" spans="1:33" x14ac:dyDescent="0.3">
      <c r="A2904" t="s">
        <v>5527</v>
      </c>
      <c r="B2904" s="13">
        <v>46030</v>
      </c>
      <c r="C2904">
        <v>2026</v>
      </c>
      <c r="D2904">
        <v>1</v>
      </c>
      <c r="E2904" t="s">
        <v>2571</v>
      </c>
      <c r="F2904" t="s">
        <v>2572</v>
      </c>
      <c r="G2904" t="s">
        <v>593</v>
      </c>
      <c r="H2904" t="s">
        <v>594</v>
      </c>
      <c r="I2904" t="s">
        <v>86</v>
      </c>
      <c r="J2904">
        <v>36</v>
      </c>
      <c r="K2904" t="s">
        <v>82</v>
      </c>
      <c r="L2904" t="s">
        <v>93</v>
      </c>
      <c r="M2904" t="s">
        <v>55</v>
      </c>
      <c r="N2904" t="s">
        <v>2582</v>
      </c>
      <c r="O2904" t="s">
        <v>119</v>
      </c>
      <c r="P2904" t="s">
        <v>49</v>
      </c>
      <c r="Q2904" t="s">
        <v>140</v>
      </c>
      <c r="R2904">
        <v>3</v>
      </c>
      <c r="S2904">
        <v>3499</v>
      </c>
      <c r="T2904">
        <v>0</v>
      </c>
      <c r="U2904">
        <v>10497</v>
      </c>
      <c r="V2904">
        <v>6300</v>
      </c>
      <c r="W2904">
        <v>4197</v>
      </c>
      <c r="X2904" t="s">
        <v>76</v>
      </c>
      <c r="Y2904" t="s">
        <v>68</v>
      </c>
      <c r="Z2904" t="s">
        <v>162</v>
      </c>
      <c r="AA2904" t="s">
        <v>169</v>
      </c>
      <c r="AB2904">
        <v>5</v>
      </c>
      <c r="AC2904">
        <v>50</v>
      </c>
      <c r="AD2904">
        <v>1197.24</v>
      </c>
      <c r="AE2904">
        <f t="shared" si="90"/>
        <v>2949.76</v>
      </c>
      <c r="AF2904" t="str">
        <f t="shared" si="91"/>
        <v>2026-01</v>
      </c>
      <c r="AG2904">
        <f>SUBTOTAL(103,A2904)</f>
        <v>1</v>
      </c>
    </row>
    <row r="2905" spans="1:33" x14ac:dyDescent="0.3">
      <c r="A2905" t="s">
        <v>5528</v>
      </c>
      <c r="B2905" s="13">
        <v>46030</v>
      </c>
      <c r="C2905">
        <v>2026</v>
      </c>
      <c r="D2905">
        <v>1</v>
      </c>
      <c r="E2905" t="s">
        <v>2571</v>
      </c>
      <c r="F2905" t="s">
        <v>2572</v>
      </c>
      <c r="G2905" t="s">
        <v>1179</v>
      </c>
      <c r="H2905" t="s">
        <v>1180</v>
      </c>
      <c r="I2905" t="s">
        <v>85</v>
      </c>
      <c r="J2905">
        <v>43</v>
      </c>
      <c r="K2905" t="s">
        <v>82</v>
      </c>
      <c r="L2905" t="s">
        <v>2661</v>
      </c>
      <c r="M2905" t="s">
        <v>58</v>
      </c>
      <c r="N2905" t="s">
        <v>2577</v>
      </c>
      <c r="O2905" t="s">
        <v>129</v>
      </c>
      <c r="P2905" t="s">
        <v>49</v>
      </c>
      <c r="Q2905" t="s">
        <v>149</v>
      </c>
      <c r="R2905">
        <v>2</v>
      </c>
      <c r="S2905">
        <v>1299</v>
      </c>
      <c r="T2905">
        <v>0.2</v>
      </c>
      <c r="U2905">
        <v>2078.4</v>
      </c>
      <c r="V2905">
        <v>1300</v>
      </c>
      <c r="W2905">
        <v>778.4</v>
      </c>
      <c r="X2905" t="s">
        <v>74</v>
      </c>
      <c r="Y2905" t="s">
        <v>68</v>
      </c>
      <c r="Z2905" t="s">
        <v>159</v>
      </c>
      <c r="AA2905" t="s">
        <v>167</v>
      </c>
      <c r="AB2905">
        <v>5</v>
      </c>
      <c r="AC2905">
        <v>60</v>
      </c>
      <c r="AD2905">
        <v>160.28</v>
      </c>
      <c r="AE2905">
        <f t="shared" si="90"/>
        <v>558.12</v>
      </c>
      <c r="AF2905" t="str">
        <f t="shared" si="91"/>
        <v>2026-01</v>
      </c>
      <c r="AG2905">
        <f>SUBTOTAL(103,A2905)</f>
        <v>1</v>
      </c>
    </row>
    <row r="2906" spans="1:33" x14ac:dyDescent="0.3">
      <c r="A2906" t="s">
        <v>5529</v>
      </c>
      <c r="B2906" s="13">
        <v>46031</v>
      </c>
      <c r="C2906">
        <v>2026</v>
      </c>
      <c r="D2906">
        <v>1</v>
      </c>
      <c r="E2906" t="s">
        <v>2571</v>
      </c>
      <c r="F2906" t="s">
        <v>2572</v>
      </c>
      <c r="G2906" t="s">
        <v>821</v>
      </c>
      <c r="H2906" t="s">
        <v>822</v>
      </c>
      <c r="I2906" t="s">
        <v>86</v>
      </c>
      <c r="J2906">
        <v>60</v>
      </c>
      <c r="K2906" t="s">
        <v>83</v>
      </c>
      <c r="L2906" t="s">
        <v>100</v>
      </c>
      <c r="M2906" t="s">
        <v>56</v>
      </c>
      <c r="N2906" t="s">
        <v>2665</v>
      </c>
      <c r="O2906" t="s">
        <v>128</v>
      </c>
      <c r="P2906" t="s">
        <v>53</v>
      </c>
      <c r="Q2906" t="s">
        <v>143</v>
      </c>
      <c r="R2906">
        <v>3</v>
      </c>
      <c r="S2906">
        <v>1499</v>
      </c>
      <c r="T2906">
        <v>0.05</v>
      </c>
      <c r="U2906">
        <v>4272.1499999999996</v>
      </c>
      <c r="V2906">
        <v>2400</v>
      </c>
      <c r="W2906">
        <v>1872.15</v>
      </c>
      <c r="X2906" t="s">
        <v>74</v>
      </c>
      <c r="Y2906" t="s">
        <v>68</v>
      </c>
      <c r="Z2906" t="s">
        <v>159</v>
      </c>
      <c r="AA2906" t="s">
        <v>168</v>
      </c>
      <c r="AB2906">
        <v>4.8</v>
      </c>
      <c r="AC2906">
        <v>100</v>
      </c>
      <c r="AD2906">
        <v>473.15</v>
      </c>
      <c r="AE2906">
        <f t="shared" si="90"/>
        <v>1299</v>
      </c>
      <c r="AF2906" t="str">
        <f t="shared" si="91"/>
        <v>2026-01</v>
      </c>
      <c r="AG2906">
        <f>SUBTOTAL(103,A2906)</f>
        <v>1</v>
      </c>
    </row>
    <row r="2907" spans="1:33" x14ac:dyDescent="0.3">
      <c r="A2907" t="s">
        <v>5530</v>
      </c>
      <c r="B2907" s="13">
        <v>46031</v>
      </c>
      <c r="C2907">
        <v>2026</v>
      </c>
      <c r="D2907">
        <v>1</v>
      </c>
      <c r="E2907" t="s">
        <v>2571</v>
      </c>
      <c r="F2907" t="s">
        <v>2572</v>
      </c>
      <c r="G2907" t="s">
        <v>309</v>
      </c>
      <c r="H2907" t="s">
        <v>310</v>
      </c>
      <c r="I2907" t="s">
        <v>86</v>
      </c>
      <c r="J2907">
        <v>22</v>
      </c>
      <c r="K2907" t="s">
        <v>80</v>
      </c>
      <c r="L2907" t="s">
        <v>2573</v>
      </c>
      <c r="M2907" t="s">
        <v>63</v>
      </c>
      <c r="N2907" t="s">
        <v>2577</v>
      </c>
      <c r="O2907" t="s">
        <v>129</v>
      </c>
      <c r="P2907" t="s">
        <v>49</v>
      </c>
      <c r="Q2907" t="s">
        <v>149</v>
      </c>
      <c r="R2907">
        <v>3</v>
      </c>
      <c r="S2907">
        <v>1299</v>
      </c>
      <c r="T2907">
        <v>0.1</v>
      </c>
      <c r="U2907">
        <v>3507.3</v>
      </c>
      <c r="V2907">
        <v>1950</v>
      </c>
      <c r="W2907">
        <v>1557.3</v>
      </c>
      <c r="X2907" t="s">
        <v>73</v>
      </c>
      <c r="Y2907" t="s">
        <v>68</v>
      </c>
      <c r="Z2907" t="s">
        <v>159</v>
      </c>
      <c r="AA2907" t="s">
        <v>169</v>
      </c>
      <c r="AB2907">
        <v>4.5999999999999996</v>
      </c>
      <c r="AC2907">
        <v>40</v>
      </c>
      <c r="AD2907">
        <v>167.48</v>
      </c>
      <c r="AE2907">
        <f t="shared" si="90"/>
        <v>1349.82</v>
      </c>
      <c r="AF2907" t="str">
        <f t="shared" si="91"/>
        <v>2026-01</v>
      </c>
      <c r="AG2907">
        <f>SUBTOTAL(103,A2907)</f>
        <v>1</v>
      </c>
    </row>
    <row r="2908" spans="1:33" x14ac:dyDescent="0.3">
      <c r="A2908" t="s">
        <v>5531</v>
      </c>
      <c r="B2908" s="13">
        <v>46031</v>
      </c>
      <c r="C2908">
        <v>2026</v>
      </c>
      <c r="D2908">
        <v>1</v>
      </c>
      <c r="E2908" t="s">
        <v>2571</v>
      </c>
      <c r="F2908" t="s">
        <v>2572</v>
      </c>
      <c r="G2908" t="s">
        <v>227</v>
      </c>
      <c r="H2908" t="s">
        <v>228</v>
      </c>
      <c r="I2908" t="s">
        <v>87</v>
      </c>
      <c r="J2908">
        <v>38</v>
      </c>
      <c r="K2908" t="s">
        <v>82</v>
      </c>
      <c r="L2908" t="s">
        <v>2634</v>
      </c>
      <c r="M2908" t="s">
        <v>56</v>
      </c>
      <c r="N2908" t="s">
        <v>2592</v>
      </c>
      <c r="O2908" t="s">
        <v>115</v>
      </c>
      <c r="P2908" t="s">
        <v>48</v>
      </c>
      <c r="Q2908" t="s">
        <v>137</v>
      </c>
      <c r="R2908">
        <v>3</v>
      </c>
      <c r="S2908">
        <v>12999</v>
      </c>
      <c r="T2908">
        <v>0.1</v>
      </c>
      <c r="U2908">
        <v>35097.300000000003</v>
      </c>
      <c r="V2908">
        <v>27000</v>
      </c>
      <c r="W2908">
        <v>8097.3</v>
      </c>
      <c r="X2908" t="s">
        <v>76</v>
      </c>
      <c r="Y2908" t="s">
        <v>68</v>
      </c>
      <c r="Z2908" t="s">
        <v>158</v>
      </c>
      <c r="AA2908" t="s">
        <v>167</v>
      </c>
      <c r="AB2908">
        <v>3</v>
      </c>
      <c r="AC2908">
        <v>120</v>
      </c>
      <c r="AD2908">
        <v>3608.97</v>
      </c>
      <c r="AE2908">
        <f t="shared" si="90"/>
        <v>4368.33</v>
      </c>
      <c r="AF2908" t="str">
        <f t="shared" si="91"/>
        <v>2026-01</v>
      </c>
      <c r="AG2908">
        <f>SUBTOTAL(103,A2908)</f>
        <v>1</v>
      </c>
    </row>
    <row r="2909" spans="1:33" x14ac:dyDescent="0.3">
      <c r="A2909" t="s">
        <v>5532</v>
      </c>
      <c r="B2909" s="13">
        <v>46031</v>
      </c>
      <c r="C2909">
        <v>2026</v>
      </c>
      <c r="D2909">
        <v>1</v>
      </c>
      <c r="E2909" t="s">
        <v>2571</v>
      </c>
      <c r="F2909" t="s">
        <v>2572</v>
      </c>
      <c r="G2909" t="s">
        <v>663</v>
      </c>
      <c r="H2909" t="s">
        <v>664</v>
      </c>
      <c r="I2909" t="s">
        <v>86</v>
      </c>
      <c r="J2909">
        <v>49</v>
      </c>
      <c r="K2909" t="s">
        <v>83</v>
      </c>
      <c r="L2909" t="s">
        <v>98</v>
      </c>
      <c r="M2909" t="s">
        <v>55</v>
      </c>
      <c r="N2909" t="s">
        <v>2630</v>
      </c>
      <c r="O2909" t="s">
        <v>123</v>
      </c>
      <c r="P2909" t="s">
        <v>52</v>
      </c>
      <c r="Q2909" t="s">
        <v>146</v>
      </c>
      <c r="R2909">
        <v>1</v>
      </c>
      <c r="S2909">
        <v>2499</v>
      </c>
      <c r="T2909">
        <v>0</v>
      </c>
      <c r="U2909">
        <v>2499</v>
      </c>
      <c r="V2909">
        <v>1400</v>
      </c>
      <c r="W2909">
        <v>1099</v>
      </c>
      <c r="X2909" t="s">
        <v>73</v>
      </c>
      <c r="Y2909" t="s">
        <v>69</v>
      </c>
      <c r="Z2909" t="s">
        <v>161</v>
      </c>
      <c r="AA2909" t="s">
        <v>167</v>
      </c>
      <c r="AB2909">
        <v>4.3</v>
      </c>
      <c r="AC2909">
        <v>50</v>
      </c>
      <c r="AD2909">
        <v>106.04</v>
      </c>
      <c r="AE2909">
        <f t="shared" si="90"/>
        <v>942.96</v>
      </c>
      <c r="AF2909" t="str">
        <f t="shared" si="91"/>
        <v>2026-01</v>
      </c>
      <c r="AG2909">
        <f>SUBTOTAL(103,A2909)</f>
        <v>1</v>
      </c>
    </row>
    <row r="2910" spans="1:33" x14ac:dyDescent="0.3">
      <c r="A2910" t="s">
        <v>5533</v>
      </c>
      <c r="B2910" s="13">
        <v>46031</v>
      </c>
      <c r="C2910">
        <v>2026</v>
      </c>
      <c r="D2910">
        <v>1</v>
      </c>
      <c r="E2910" t="s">
        <v>2571</v>
      </c>
      <c r="F2910" t="s">
        <v>2572</v>
      </c>
      <c r="G2910" t="s">
        <v>1309</v>
      </c>
      <c r="H2910" t="s">
        <v>1310</v>
      </c>
      <c r="I2910" t="s">
        <v>85</v>
      </c>
      <c r="J2910">
        <v>23</v>
      </c>
      <c r="K2910" t="s">
        <v>80</v>
      </c>
      <c r="L2910" t="s">
        <v>2679</v>
      </c>
      <c r="M2910" t="s">
        <v>60</v>
      </c>
      <c r="N2910" t="s">
        <v>2584</v>
      </c>
      <c r="O2910" t="s">
        <v>121</v>
      </c>
      <c r="P2910" t="s">
        <v>50</v>
      </c>
      <c r="Q2910" t="s">
        <v>144</v>
      </c>
      <c r="R2910">
        <v>5</v>
      </c>
      <c r="S2910">
        <v>2999</v>
      </c>
      <c r="T2910">
        <v>0.05</v>
      </c>
      <c r="U2910">
        <v>14245.25</v>
      </c>
      <c r="V2910">
        <v>8500</v>
      </c>
      <c r="W2910">
        <v>5745.25</v>
      </c>
      <c r="X2910" t="s">
        <v>76</v>
      </c>
      <c r="Y2910" t="s">
        <v>68</v>
      </c>
      <c r="Z2910" t="s">
        <v>161</v>
      </c>
      <c r="AA2910" t="s">
        <v>167</v>
      </c>
      <c r="AB2910">
        <v>4.4000000000000004</v>
      </c>
      <c r="AC2910">
        <v>60</v>
      </c>
      <c r="AD2910">
        <v>815.77</v>
      </c>
      <c r="AE2910">
        <f t="shared" si="90"/>
        <v>4869.4799999999996</v>
      </c>
      <c r="AF2910" t="str">
        <f t="shared" si="91"/>
        <v>2026-01</v>
      </c>
      <c r="AG2910">
        <f>SUBTOTAL(103,A2910)</f>
        <v>1</v>
      </c>
    </row>
    <row r="2911" spans="1:33" x14ac:dyDescent="0.3">
      <c r="A2911" t="s">
        <v>5534</v>
      </c>
      <c r="B2911" s="13">
        <v>46032</v>
      </c>
      <c r="C2911">
        <v>2026</v>
      </c>
      <c r="D2911">
        <v>1</v>
      </c>
      <c r="E2911" t="s">
        <v>2571</v>
      </c>
      <c r="F2911" t="s">
        <v>2572</v>
      </c>
      <c r="G2911" t="s">
        <v>261</v>
      </c>
      <c r="H2911" t="s">
        <v>262</v>
      </c>
      <c r="I2911" t="s">
        <v>85</v>
      </c>
      <c r="J2911">
        <v>29</v>
      </c>
      <c r="K2911" t="s">
        <v>81</v>
      </c>
      <c r="L2911" t="s">
        <v>98</v>
      </c>
      <c r="M2911" t="s">
        <v>55</v>
      </c>
      <c r="N2911" t="s">
        <v>2592</v>
      </c>
      <c r="O2911" t="s">
        <v>115</v>
      </c>
      <c r="P2911" t="s">
        <v>48</v>
      </c>
      <c r="Q2911" t="s">
        <v>137</v>
      </c>
      <c r="R2911">
        <v>2</v>
      </c>
      <c r="S2911">
        <v>12999</v>
      </c>
      <c r="T2911">
        <v>0.15</v>
      </c>
      <c r="U2911">
        <v>22098.3</v>
      </c>
      <c r="V2911">
        <v>18000</v>
      </c>
      <c r="W2911">
        <v>4098.3</v>
      </c>
      <c r="X2911" t="s">
        <v>73</v>
      </c>
      <c r="Y2911" t="s">
        <v>68</v>
      </c>
      <c r="Z2911" t="s">
        <v>159</v>
      </c>
      <c r="AA2911" t="s">
        <v>169</v>
      </c>
      <c r="AB2911">
        <v>4</v>
      </c>
      <c r="AC2911">
        <v>50</v>
      </c>
      <c r="AD2911">
        <v>1912.3</v>
      </c>
      <c r="AE2911">
        <f t="shared" si="90"/>
        <v>2136</v>
      </c>
      <c r="AF2911" t="str">
        <f t="shared" si="91"/>
        <v>2026-01</v>
      </c>
      <c r="AG2911">
        <f>SUBTOTAL(103,A2911)</f>
        <v>1</v>
      </c>
    </row>
    <row r="2912" spans="1:33" x14ac:dyDescent="0.3">
      <c r="A2912" t="s">
        <v>5535</v>
      </c>
      <c r="B2912" s="13">
        <v>46032</v>
      </c>
      <c r="C2912">
        <v>2026</v>
      </c>
      <c r="D2912">
        <v>1</v>
      </c>
      <c r="E2912" t="s">
        <v>2571</v>
      </c>
      <c r="F2912" t="s">
        <v>2572</v>
      </c>
      <c r="G2912" t="s">
        <v>1169</v>
      </c>
      <c r="H2912" t="s">
        <v>1170</v>
      </c>
      <c r="I2912" t="s">
        <v>85</v>
      </c>
      <c r="J2912">
        <v>47</v>
      </c>
      <c r="K2912" t="s">
        <v>83</v>
      </c>
      <c r="L2912" t="s">
        <v>2634</v>
      </c>
      <c r="M2912" t="s">
        <v>56</v>
      </c>
      <c r="N2912" t="s">
        <v>2574</v>
      </c>
      <c r="O2912" t="s">
        <v>130</v>
      </c>
      <c r="P2912" t="s">
        <v>50</v>
      </c>
      <c r="Q2912" t="s">
        <v>53</v>
      </c>
      <c r="R2912">
        <v>5</v>
      </c>
      <c r="S2912">
        <v>1199</v>
      </c>
      <c r="T2912">
        <v>0</v>
      </c>
      <c r="U2912">
        <v>0</v>
      </c>
      <c r="V2912">
        <v>0</v>
      </c>
      <c r="W2912">
        <v>0</v>
      </c>
      <c r="X2912" t="s">
        <v>75</v>
      </c>
      <c r="Y2912" t="s">
        <v>71</v>
      </c>
      <c r="Z2912" t="s">
        <v>162</v>
      </c>
      <c r="AA2912" t="s">
        <v>171</v>
      </c>
      <c r="AB2912">
        <v>4.0999999999999996</v>
      </c>
      <c r="AC2912">
        <v>50</v>
      </c>
      <c r="AD2912">
        <v>450.52</v>
      </c>
      <c r="AE2912">
        <f t="shared" si="90"/>
        <v>-500.52</v>
      </c>
      <c r="AF2912" t="str">
        <f t="shared" si="91"/>
        <v>2026-01</v>
      </c>
      <c r="AG2912">
        <f>SUBTOTAL(103,A2912)</f>
        <v>1</v>
      </c>
    </row>
    <row r="2913" spans="1:33" x14ac:dyDescent="0.3">
      <c r="A2913" t="s">
        <v>5536</v>
      </c>
      <c r="B2913" s="13">
        <v>46032</v>
      </c>
      <c r="C2913">
        <v>2026</v>
      </c>
      <c r="D2913">
        <v>1</v>
      </c>
      <c r="E2913" t="s">
        <v>2571</v>
      </c>
      <c r="F2913" t="s">
        <v>2572</v>
      </c>
      <c r="G2913" t="s">
        <v>1487</v>
      </c>
      <c r="H2913" t="s">
        <v>1488</v>
      </c>
      <c r="I2913" t="s">
        <v>86</v>
      </c>
      <c r="J2913">
        <v>24</v>
      </c>
      <c r="K2913" t="s">
        <v>80</v>
      </c>
      <c r="L2913" t="s">
        <v>93</v>
      </c>
      <c r="M2913" t="s">
        <v>55</v>
      </c>
      <c r="N2913" t="s">
        <v>2601</v>
      </c>
      <c r="O2913" t="s">
        <v>117</v>
      </c>
      <c r="P2913" t="s">
        <v>49</v>
      </c>
      <c r="Q2913" t="s">
        <v>139</v>
      </c>
      <c r="R2913">
        <v>1</v>
      </c>
      <c r="S2913">
        <v>6999</v>
      </c>
      <c r="T2913">
        <v>0.1</v>
      </c>
      <c r="U2913">
        <v>6299.1</v>
      </c>
      <c r="V2913">
        <v>4300</v>
      </c>
      <c r="W2913">
        <v>1999.1</v>
      </c>
      <c r="X2913" t="s">
        <v>76</v>
      </c>
      <c r="Y2913" t="s">
        <v>69</v>
      </c>
      <c r="Z2913" t="s">
        <v>158</v>
      </c>
      <c r="AA2913" t="s">
        <v>169</v>
      </c>
      <c r="AB2913">
        <v>3.6</v>
      </c>
      <c r="AC2913">
        <v>120</v>
      </c>
      <c r="AD2913">
        <v>242.92</v>
      </c>
      <c r="AE2913">
        <f t="shared" si="90"/>
        <v>1636.1799999999998</v>
      </c>
      <c r="AF2913" t="str">
        <f t="shared" si="91"/>
        <v>2026-01</v>
      </c>
      <c r="AG2913">
        <f>SUBTOTAL(103,A2913)</f>
        <v>1</v>
      </c>
    </row>
    <row r="2914" spans="1:33" x14ac:dyDescent="0.3">
      <c r="A2914" t="s">
        <v>5537</v>
      </c>
      <c r="B2914" s="13">
        <v>46032</v>
      </c>
      <c r="C2914">
        <v>2026</v>
      </c>
      <c r="D2914">
        <v>1</v>
      </c>
      <c r="E2914" t="s">
        <v>2571</v>
      </c>
      <c r="F2914" t="s">
        <v>2572</v>
      </c>
      <c r="G2914" t="s">
        <v>803</v>
      </c>
      <c r="H2914" t="s">
        <v>804</v>
      </c>
      <c r="I2914" t="s">
        <v>86</v>
      </c>
      <c r="J2914">
        <v>38</v>
      </c>
      <c r="K2914" t="s">
        <v>82</v>
      </c>
      <c r="L2914" t="s">
        <v>100</v>
      </c>
      <c r="M2914" t="s">
        <v>56</v>
      </c>
      <c r="N2914" t="s">
        <v>2647</v>
      </c>
      <c r="O2914" t="s">
        <v>133</v>
      </c>
      <c r="P2914" t="s">
        <v>50</v>
      </c>
      <c r="Q2914" t="s">
        <v>145</v>
      </c>
      <c r="R2914">
        <v>3</v>
      </c>
      <c r="S2914">
        <v>799</v>
      </c>
      <c r="T2914">
        <v>0.1</v>
      </c>
      <c r="U2914">
        <v>2157.3000000000002</v>
      </c>
      <c r="V2914">
        <v>1170</v>
      </c>
      <c r="W2914">
        <v>987.3</v>
      </c>
      <c r="X2914" t="s">
        <v>74</v>
      </c>
      <c r="Y2914" t="s">
        <v>68</v>
      </c>
      <c r="Z2914" t="s">
        <v>159</v>
      </c>
      <c r="AA2914" t="s">
        <v>169</v>
      </c>
      <c r="AB2914">
        <v>4.0999999999999996</v>
      </c>
      <c r="AC2914">
        <v>100</v>
      </c>
      <c r="AD2914">
        <v>114.89</v>
      </c>
      <c r="AE2914">
        <f t="shared" si="90"/>
        <v>772.41</v>
      </c>
      <c r="AF2914" t="str">
        <f t="shared" si="91"/>
        <v>2026-01</v>
      </c>
      <c r="AG2914">
        <f>SUBTOTAL(103,A2914)</f>
        <v>1</v>
      </c>
    </row>
    <row r="2915" spans="1:33" x14ac:dyDescent="0.3">
      <c r="A2915" t="s">
        <v>5538</v>
      </c>
      <c r="B2915" s="13">
        <v>46032</v>
      </c>
      <c r="C2915">
        <v>2026</v>
      </c>
      <c r="D2915">
        <v>1</v>
      </c>
      <c r="E2915" t="s">
        <v>2571</v>
      </c>
      <c r="F2915" t="s">
        <v>2572</v>
      </c>
      <c r="G2915" t="s">
        <v>995</v>
      </c>
      <c r="H2915" t="s">
        <v>996</v>
      </c>
      <c r="I2915" t="s">
        <v>86</v>
      </c>
      <c r="J2915">
        <v>27</v>
      </c>
      <c r="K2915" t="s">
        <v>81</v>
      </c>
      <c r="L2915" t="s">
        <v>2623</v>
      </c>
      <c r="M2915" t="s">
        <v>61</v>
      </c>
      <c r="N2915" t="s">
        <v>2592</v>
      </c>
      <c r="O2915" t="s">
        <v>115</v>
      </c>
      <c r="P2915" t="s">
        <v>48</v>
      </c>
      <c r="Q2915" t="s">
        <v>137</v>
      </c>
      <c r="R2915">
        <v>2</v>
      </c>
      <c r="S2915">
        <v>12999</v>
      </c>
      <c r="T2915">
        <v>0.15</v>
      </c>
      <c r="U2915">
        <v>22098.3</v>
      </c>
      <c r="V2915">
        <v>18000</v>
      </c>
      <c r="W2915">
        <v>4098.3</v>
      </c>
      <c r="X2915" t="s">
        <v>75</v>
      </c>
      <c r="Y2915" t="s">
        <v>68</v>
      </c>
      <c r="Z2915" t="s">
        <v>158</v>
      </c>
      <c r="AA2915" t="s">
        <v>166</v>
      </c>
      <c r="AB2915">
        <v>2.9</v>
      </c>
      <c r="AC2915">
        <v>120</v>
      </c>
      <c r="AD2915">
        <v>666.67</v>
      </c>
      <c r="AE2915">
        <f t="shared" si="90"/>
        <v>3311.63</v>
      </c>
      <c r="AF2915" t="str">
        <f t="shared" si="91"/>
        <v>2026-01</v>
      </c>
      <c r="AG2915">
        <f>SUBTOTAL(103,A2915)</f>
        <v>1</v>
      </c>
    </row>
    <row r="2916" spans="1:33" x14ac:dyDescent="0.3">
      <c r="A2916" t="s">
        <v>5539</v>
      </c>
      <c r="B2916" s="13">
        <v>46032</v>
      </c>
      <c r="C2916">
        <v>2026</v>
      </c>
      <c r="D2916">
        <v>1</v>
      </c>
      <c r="E2916" t="s">
        <v>2571</v>
      </c>
      <c r="F2916" t="s">
        <v>2572</v>
      </c>
      <c r="G2916" t="s">
        <v>2029</v>
      </c>
      <c r="H2916" t="s">
        <v>2030</v>
      </c>
      <c r="I2916" t="s">
        <v>86</v>
      </c>
      <c r="J2916">
        <v>40</v>
      </c>
      <c r="K2916" t="s">
        <v>82</v>
      </c>
      <c r="L2916" t="s">
        <v>2674</v>
      </c>
      <c r="M2916" t="s">
        <v>58</v>
      </c>
      <c r="N2916" t="s">
        <v>2577</v>
      </c>
      <c r="O2916" t="s">
        <v>129</v>
      </c>
      <c r="P2916" t="s">
        <v>49</v>
      </c>
      <c r="Q2916" t="s">
        <v>149</v>
      </c>
      <c r="R2916">
        <v>2</v>
      </c>
      <c r="S2916">
        <v>1299</v>
      </c>
      <c r="T2916">
        <v>0.05</v>
      </c>
      <c r="U2916">
        <v>2468.1</v>
      </c>
      <c r="V2916">
        <v>1300</v>
      </c>
      <c r="W2916">
        <v>1168.0999999999999</v>
      </c>
      <c r="X2916" t="s">
        <v>76</v>
      </c>
      <c r="Y2916" t="s">
        <v>68</v>
      </c>
      <c r="Z2916" t="s">
        <v>162</v>
      </c>
      <c r="AA2916" t="s">
        <v>167</v>
      </c>
      <c r="AB2916">
        <v>3.8</v>
      </c>
      <c r="AC2916">
        <v>40</v>
      </c>
      <c r="AD2916">
        <v>85.35</v>
      </c>
      <c r="AE2916">
        <f t="shared" si="90"/>
        <v>1042.75</v>
      </c>
      <c r="AF2916" t="str">
        <f t="shared" si="91"/>
        <v>2026-01</v>
      </c>
      <c r="AG2916">
        <f>SUBTOTAL(103,A2916)</f>
        <v>1</v>
      </c>
    </row>
    <row r="2917" spans="1:33" x14ac:dyDescent="0.3">
      <c r="A2917" t="s">
        <v>5540</v>
      </c>
      <c r="B2917" s="13">
        <v>46033</v>
      </c>
      <c r="C2917">
        <v>2026</v>
      </c>
      <c r="D2917">
        <v>1</v>
      </c>
      <c r="E2917" t="s">
        <v>2571</v>
      </c>
      <c r="F2917" t="s">
        <v>2572</v>
      </c>
      <c r="G2917" t="s">
        <v>1517</v>
      </c>
      <c r="H2917" t="s">
        <v>1518</v>
      </c>
      <c r="I2917" t="s">
        <v>86</v>
      </c>
      <c r="J2917">
        <v>38</v>
      </c>
      <c r="K2917" t="s">
        <v>82</v>
      </c>
      <c r="L2917" t="s">
        <v>2616</v>
      </c>
      <c r="M2917" t="s">
        <v>62</v>
      </c>
      <c r="N2917" t="s">
        <v>2657</v>
      </c>
      <c r="O2917" t="s">
        <v>134</v>
      </c>
      <c r="P2917" t="s">
        <v>49</v>
      </c>
      <c r="Q2917" t="s">
        <v>140</v>
      </c>
      <c r="R2917">
        <v>1</v>
      </c>
      <c r="S2917">
        <v>599</v>
      </c>
      <c r="T2917">
        <v>0.15</v>
      </c>
      <c r="U2917">
        <v>509.15</v>
      </c>
      <c r="V2917">
        <v>250</v>
      </c>
      <c r="W2917">
        <v>259.14999999999998</v>
      </c>
      <c r="X2917" t="s">
        <v>73</v>
      </c>
      <c r="Y2917" t="s">
        <v>68</v>
      </c>
      <c r="Z2917" t="s">
        <v>158</v>
      </c>
      <c r="AA2917" t="s">
        <v>167</v>
      </c>
      <c r="AB2917">
        <v>5</v>
      </c>
      <c r="AC2917">
        <v>80</v>
      </c>
      <c r="AD2917">
        <v>20</v>
      </c>
      <c r="AE2917">
        <f t="shared" si="90"/>
        <v>159.14999999999998</v>
      </c>
      <c r="AF2917" t="str">
        <f t="shared" si="91"/>
        <v>2026-01</v>
      </c>
      <c r="AG2917">
        <f>SUBTOTAL(103,A2917)</f>
        <v>1</v>
      </c>
    </row>
    <row r="2918" spans="1:33" x14ac:dyDescent="0.3">
      <c r="A2918" t="s">
        <v>5541</v>
      </c>
      <c r="B2918" s="13">
        <v>46033</v>
      </c>
      <c r="C2918">
        <v>2026</v>
      </c>
      <c r="D2918">
        <v>1</v>
      </c>
      <c r="E2918" t="s">
        <v>2571</v>
      </c>
      <c r="F2918" t="s">
        <v>2572</v>
      </c>
      <c r="G2918" t="s">
        <v>2073</v>
      </c>
      <c r="H2918" t="s">
        <v>2074</v>
      </c>
      <c r="I2918" t="s">
        <v>85</v>
      </c>
      <c r="J2918">
        <v>34</v>
      </c>
      <c r="K2918" t="s">
        <v>81</v>
      </c>
      <c r="L2918" t="s">
        <v>2610</v>
      </c>
      <c r="M2918" t="s">
        <v>64</v>
      </c>
      <c r="N2918" t="s">
        <v>2653</v>
      </c>
      <c r="O2918" t="s">
        <v>132</v>
      </c>
      <c r="P2918" t="s">
        <v>52</v>
      </c>
      <c r="Q2918" t="s">
        <v>150</v>
      </c>
      <c r="R2918">
        <v>1</v>
      </c>
      <c r="S2918">
        <v>899</v>
      </c>
      <c r="T2918">
        <v>0.05</v>
      </c>
      <c r="U2918">
        <v>854.05</v>
      </c>
      <c r="V2918">
        <v>420</v>
      </c>
      <c r="W2918">
        <v>434.05</v>
      </c>
      <c r="X2918" t="s">
        <v>73</v>
      </c>
      <c r="Y2918" t="s">
        <v>68</v>
      </c>
      <c r="Z2918" t="s">
        <v>159</v>
      </c>
      <c r="AA2918" t="s">
        <v>167</v>
      </c>
      <c r="AB2918">
        <v>4.2</v>
      </c>
      <c r="AC2918">
        <v>50</v>
      </c>
      <c r="AD2918">
        <v>20</v>
      </c>
      <c r="AE2918">
        <f t="shared" si="90"/>
        <v>364.05</v>
      </c>
      <c r="AF2918" t="str">
        <f t="shared" si="91"/>
        <v>2026-01</v>
      </c>
      <c r="AG2918">
        <f>SUBTOTAL(103,A2918)</f>
        <v>1</v>
      </c>
    </row>
    <row r="2919" spans="1:33" x14ac:dyDescent="0.3">
      <c r="A2919" t="s">
        <v>5542</v>
      </c>
      <c r="B2919" s="13">
        <v>46033</v>
      </c>
      <c r="C2919">
        <v>2026</v>
      </c>
      <c r="D2919">
        <v>1</v>
      </c>
      <c r="E2919" t="s">
        <v>2571</v>
      </c>
      <c r="F2919" t="s">
        <v>2572</v>
      </c>
      <c r="G2919" t="s">
        <v>839</v>
      </c>
      <c r="H2919" t="s">
        <v>840</v>
      </c>
      <c r="I2919" t="s">
        <v>86</v>
      </c>
      <c r="J2919">
        <v>28</v>
      </c>
      <c r="K2919" t="s">
        <v>81</v>
      </c>
      <c r="L2919" t="s">
        <v>2661</v>
      </c>
      <c r="M2919" t="s">
        <v>58</v>
      </c>
      <c r="N2919" t="s">
        <v>2594</v>
      </c>
      <c r="O2919" t="s">
        <v>131</v>
      </c>
      <c r="P2919" t="s">
        <v>53</v>
      </c>
      <c r="Q2919" t="s">
        <v>143</v>
      </c>
      <c r="R2919">
        <v>2</v>
      </c>
      <c r="S2919">
        <v>999</v>
      </c>
      <c r="T2919">
        <v>0.1</v>
      </c>
      <c r="U2919">
        <v>1798.2</v>
      </c>
      <c r="V2919">
        <v>1040</v>
      </c>
      <c r="W2919">
        <v>758.2</v>
      </c>
      <c r="X2919" t="s">
        <v>73</v>
      </c>
      <c r="Y2919" t="s">
        <v>68</v>
      </c>
      <c r="Z2919" t="s">
        <v>161</v>
      </c>
      <c r="AA2919" t="s">
        <v>170</v>
      </c>
      <c r="AB2919">
        <v>4.4000000000000004</v>
      </c>
      <c r="AC2919">
        <v>80</v>
      </c>
      <c r="AD2919">
        <v>143.38</v>
      </c>
      <c r="AE2919">
        <f t="shared" si="90"/>
        <v>534.82000000000005</v>
      </c>
      <c r="AF2919" t="str">
        <f t="shared" si="91"/>
        <v>2026-01</v>
      </c>
      <c r="AG2919">
        <f>SUBTOTAL(103,A2919)</f>
        <v>1</v>
      </c>
    </row>
    <row r="2920" spans="1:33" x14ac:dyDescent="0.3">
      <c r="A2920" t="s">
        <v>5543</v>
      </c>
      <c r="B2920" s="13">
        <v>46033</v>
      </c>
      <c r="C2920">
        <v>2026</v>
      </c>
      <c r="D2920">
        <v>1</v>
      </c>
      <c r="E2920" t="s">
        <v>2571</v>
      </c>
      <c r="F2920" t="s">
        <v>2572</v>
      </c>
      <c r="G2920" t="s">
        <v>2307</v>
      </c>
      <c r="H2920" t="s">
        <v>2308</v>
      </c>
      <c r="I2920" t="s">
        <v>85</v>
      </c>
      <c r="J2920">
        <v>51</v>
      </c>
      <c r="K2920" t="s">
        <v>83</v>
      </c>
      <c r="L2920" t="s">
        <v>2605</v>
      </c>
      <c r="M2920" t="s">
        <v>60</v>
      </c>
      <c r="N2920" t="s">
        <v>2596</v>
      </c>
      <c r="O2920" t="s">
        <v>124</v>
      </c>
      <c r="P2920" t="s">
        <v>51</v>
      </c>
      <c r="Q2920" t="s">
        <v>147</v>
      </c>
      <c r="R2920">
        <v>1</v>
      </c>
      <c r="S2920">
        <v>2299</v>
      </c>
      <c r="T2920">
        <v>0.05</v>
      </c>
      <c r="U2920">
        <v>2184.0500000000002</v>
      </c>
      <c r="V2920">
        <v>1200</v>
      </c>
      <c r="W2920">
        <v>984.05</v>
      </c>
      <c r="X2920" t="s">
        <v>73</v>
      </c>
      <c r="Y2920" t="s">
        <v>68</v>
      </c>
      <c r="Z2920" t="s">
        <v>162</v>
      </c>
      <c r="AA2920" t="s">
        <v>166</v>
      </c>
      <c r="AB2920">
        <v>4</v>
      </c>
      <c r="AC2920">
        <v>100</v>
      </c>
      <c r="AD2920">
        <v>93.68</v>
      </c>
      <c r="AE2920">
        <f t="shared" si="90"/>
        <v>790.36999999999989</v>
      </c>
      <c r="AF2920" t="str">
        <f t="shared" si="91"/>
        <v>2026-01</v>
      </c>
      <c r="AG2920">
        <f>SUBTOTAL(103,A2920)</f>
        <v>1</v>
      </c>
    </row>
    <row r="2921" spans="1:33" x14ac:dyDescent="0.3">
      <c r="A2921" t="s">
        <v>5544</v>
      </c>
      <c r="B2921" s="13">
        <v>46033</v>
      </c>
      <c r="C2921">
        <v>2026</v>
      </c>
      <c r="D2921">
        <v>1</v>
      </c>
      <c r="E2921" t="s">
        <v>2571</v>
      </c>
      <c r="F2921" t="s">
        <v>2572</v>
      </c>
      <c r="G2921" t="s">
        <v>2071</v>
      </c>
      <c r="H2921" t="s">
        <v>2072</v>
      </c>
      <c r="I2921" t="s">
        <v>85</v>
      </c>
      <c r="J2921">
        <v>22</v>
      </c>
      <c r="K2921" t="s">
        <v>80</v>
      </c>
      <c r="L2921" t="s">
        <v>59</v>
      </c>
      <c r="M2921" t="s">
        <v>59</v>
      </c>
      <c r="N2921" t="s">
        <v>2577</v>
      </c>
      <c r="O2921" t="s">
        <v>129</v>
      </c>
      <c r="P2921" t="s">
        <v>49</v>
      </c>
      <c r="Q2921" t="s">
        <v>149</v>
      </c>
      <c r="R2921">
        <v>2</v>
      </c>
      <c r="S2921">
        <v>1299</v>
      </c>
      <c r="T2921">
        <v>0.1</v>
      </c>
      <c r="U2921">
        <v>2338.1999999999998</v>
      </c>
      <c r="V2921">
        <v>1300</v>
      </c>
      <c r="W2921">
        <v>1038.2</v>
      </c>
      <c r="X2921" t="s">
        <v>73</v>
      </c>
      <c r="Y2921" t="s">
        <v>68</v>
      </c>
      <c r="Z2921" t="s">
        <v>160</v>
      </c>
      <c r="AA2921" t="s">
        <v>167</v>
      </c>
      <c r="AB2921">
        <v>3.8</v>
      </c>
      <c r="AC2921">
        <v>60</v>
      </c>
      <c r="AD2921">
        <v>101.16</v>
      </c>
      <c r="AE2921">
        <f t="shared" si="90"/>
        <v>877.04000000000008</v>
      </c>
      <c r="AF2921" t="str">
        <f t="shared" si="91"/>
        <v>2026-01</v>
      </c>
      <c r="AG2921">
        <f>SUBTOTAL(103,A2921)</f>
        <v>1</v>
      </c>
    </row>
    <row r="2922" spans="1:33" x14ac:dyDescent="0.3">
      <c r="A2922" t="s">
        <v>5545</v>
      </c>
      <c r="B2922" s="13">
        <v>46033</v>
      </c>
      <c r="C2922">
        <v>2026</v>
      </c>
      <c r="D2922">
        <v>1</v>
      </c>
      <c r="E2922" t="s">
        <v>2571</v>
      </c>
      <c r="F2922" t="s">
        <v>2572</v>
      </c>
      <c r="G2922" t="s">
        <v>1613</v>
      </c>
      <c r="H2922" t="s">
        <v>1614</v>
      </c>
      <c r="I2922" t="s">
        <v>86</v>
      </c>
      <c r="J2922">
        <v>44</v>
      </c>
      <c r="K2922" t="s">
        <v>82</v>
      </c>
      <c r="L2922" t="s">
        <v>2616</v>
      </c>
      <c r="M2922" t="s">
        <v>62</v>
      </c>
      <c r="N2922" t="s">
        <v>2657</v>
      </c>
      <c r="O2922" t="s">
        <v>134</v>
      </c>
      <c r="P2922" t="s">
        <v>49</v>
      </c>
      <c r="Q2922" t="s">
        <v>140</v>
      </c>
      <c r="R2922">
        <v>5</v>
      </c>
      <c r="S2922">
        <v>599</v>
      </c>
      <c r="T2922">
        <v>0.05</v>
      </c>
      <c r="U2922">
        <v>2845.25</v>
      </c>
      <c r="V2922">
        <v>1250</v>
      </c>
      <c r="W2922">
        <v>1595.25</v>
      </c>
      <c r="X2922" t="s">
        <v>76</v>
      </c>
      <c r="Y2922" t="s">
        <v>68</v>
      </c>
      <c r="Z2922" t="s">
        <v>160</v>
      </c>
      <c r="AA2922" t="s">
        <v>168</v>
      </c>
      <c r="AB2922">
        <v>3.9</v>
      </c>
      <c r="AC2922">
        <v>60</v>
      </c>
      <c r="AD2922">
        <v>245.07</v>
      </c>
      <c r="AE2922">
        <f t="shared" si="90"/>
        <v>1290.18</v>
      </c>
      <c r="AF2922" t="str">
        <f t="shared" si="91"/>
        <v>2026-01</v>
      </c>
      <c r="AG2922">
        <f>SUBTOTAL(103,A2922)</f>
        <v>1</v>
      </c>
    </row>
    <row r="2923" spans="1:33" x14ac:dyDescent="0.3">
      <c r="A2923" t="s">
        <v>5546</v>
      </c>
      <c r="B2923" s="13">
        <v>46033</v>
      </c>
      <c r="C2923">
        <v>2026</v>
      </c>
      <c r="D2923">
        <v>1</v>
      </c>
      <c r="E2923" t="s">
        <v>2571</v>
      </c>
      <c r="F2923" t="s">
        <v>2572</v>
      </c>
      <c r="G2923" t="s">
        <v>1191</v>
      </c>
      <c r="H2923" t="s">
        <v>1192</v>
      </c>
      <c r="I2923" t="s">
        <v>86</v>
      </c>
      <c r="J2923">
        <v>32</v>
      </c>
      <c r="K2923" t="s">
        <v>81</v>
      </c>
      <c r="L2923" t="s">
        <v>2576</v>
      </c>
      <c r="M2923" t="s">
        <v>60</v>
      </c>
      <c r="N2923" t="s">
        <v>2601</v>
      </c>
      <c r="O2923" t="s">
        <v>117</v>
      </c>
      <c r="P2923" t="s">
        <v>49</v>
      </c>
      <c r="Q2923" t="s">
        <v>139</v>
      </c>
      <c r="R2923">
        <v>2</v>
      </c>
      <c r="S2923">
        <v>6999</v>
      </c>
      <c r="T2923">
        <v>0.15</v>
      </c>
      <c r="U2923">
        <v>11898.3</v>
      </c>
      <c r="V2923">
        <v>8600</v>
      </c>
      <c r="W2923">
        <v>3298.3</v>
      </c>
      <c r="X2923" t="s">
        <v>75</v>
      </c>
      <c r="Y2923" t="s">
        <v>68</v>
      </c>
      <c r="Z2923" t="s">
        <v>161</v>
      </c>
      <c r="AA2923" t="s">
        <v>169</v>
      </c>
      <c r="AB2923">
        <v>3.9</v>
      </c>
      <c r="AC2923">
        <v>40</v>
      </c>
      <c r="AD2923">
        <v>404.66</v>
      </c>
      <c r="AE2923">
        <f t="shared" si="90"/>
        <v>2853.6400000000003</v>
      </c>
      <c r="AF2923" t="str">
        <f t="shared" si="91"/>
        <v>2026-01</v>
      </c>
      <c r="AG2923">
        <f>SUBTOTAL(103,A2923)</f>
        <v>1</v>
      </c>
    </row>
    <row r="2924" spans="1:33" x14ac:dyDescent="0.3">
      <c r="A2924" t="s">
        <v>5547</v>
      </c>
      <c r="B2924" s="13">
        <v>46033</v>
      </c>
      <c r="C2924">
        <v>2026</v>
      </c>
      <c r="D2924">
        <v>1</v>
      </c>
      <c r="E2924" t="s">
        <v>2571</v>
      </c>
      <c r="F2924" t="s">
        <v>2572</v>
      </c>
      <c r="G2924" t="s">
        <v>1039</v>
      </c>
      <c r="H2924" t="s">
        <v>1040</v>
      </c>
      <c r="I2924" t="s">
        <v>85</v>
      </c>
      <c r="J2924">
        <v>37</v>
      </c>
      <c r="K2924" t="s">
        <v>82</v>
      </c>
      <c r="L2924" t="s">
        <v>99</v>
      </c>
      <c r="M2924" t="s">
        <v>58</v>
      </c>
      <c r="N2924" t="s">
        <v>2582</v>
      </c>
      <c r="O2924" t="s">
        <v>119</v>
      </c>
      <c r="P2924" t="s">
        <v>49</v>
      </c>
      <c r="Q2924" t="s">
        <v>140</v>
      </c>
      <c r="R2924">
        <v>4</v>
      </c>
      <c r="S2924">
        <v>3499</v>
      </c>
      <c r="T2924">
        <v>0.25</v>
      </c>
      <c r="U2924">
        <v>10497</v>
      </c>
      <c r="V2924">
        <v>8400</v>
      </c>
      <c r="W2924">
        <v>2097</v>
      </c>
      <c r="X2924" t="s">
        <v>73</v>
      </c>
      <c r="Y2924" t="s">
        <v>68</v>
      </c>
      <c r="Z2924" t="s">
        <v>159</v>
      </c>
      <c r="AA2924" t="s">
        <v>166</v>
      </c>
      <c r="AB2924">
        <v>4.9000000000000004</v>
      </c>
      <c r="AC2924">
        <v>60</v>
      </c>
      <c r="AD2924">
        <v>984.87</v>
      </c>
      <c r="AE2924">
        <f t="shared" si="90"/>
        <v>1052.1300000000001</v>
      </c>
      <c r="AF2924" t="str">
        <f t="shared" si="91"/>
        <v>2026-01</v>
      </c>
      <c r="AG2924">
        <f>SUBTOTAL(103,A2924)</f>
        <v>1</v>
      </c>
    </row>
    <row r="2925" spans="1:33" x14ac:dyDescent="0.3">
      <c r="A2925" t="s">
        <v>5548</v>
      </c>
      <c r="B2925" s="13">
        <v>46033</v>
      </c>
      <c r="C2925">
        <v>2026</v>
      </c>
      <c r="D2925">
        <v>1</v>
      </c>
      <c r="E2925" t="s">
        <v>2571</v>
      </c>
      <c r="F2925" t="s">
        <v>2572</v>
      </c>
      <c r="G2925" t="s">
        <v>843</v>
      </c>
      <c r="H2925" t="s">
        <v>844</v>
      </c>
      <c r="I2925" t="s">
        <v>85</v>
      </c>
      <c r="J2925">
        <v>39</v>
      </c>
      <c r="K2925" t="s">
        <v>82</v>
      </c>
      <c r="L2925" t="s">
        <v>93</v>
      </c>
      <c r="M2925" t="s">
        <v>55</v>
      </c>
      <c r="N2925" t="s">
        <v>2647</v>
      </c>
      <c r="O2925" t="s">
        <v>133</v>
      </c>
      <c r="P2925" t="s">
        <v>50</v>
      </c>
      <c r="Q2925" t="s">
        <v>145</v>
      </c>
      <c r="R2925">
        <v>3</v>
      </c>
      <c r="S2925">
        <v>799</v>
      </c>
      <c r="T2925">
        <v>0.05</v>
      </c>
      <c r="U2925">
        <v>2277.15</v>
      </c>
      <c r="V2925">
        <v>1170</v>
      </c>
      <c r="W2925">
        <v>1107.1500000000001</v>
      </c>
      <c r="X2925" t="s">
        <v>76</v>
      </c>
      <c r="Y2925" t="s">
        <v>68</v>
      </c>
      <c r="Z2925" t="s">
        <v>161</v>
      </c>
      <c r="AA2925" t="s">
        <v>166</v>
      </c>
      <c r="AB2925">
        <v>4.8</v>
      </c>
      <c r="AC2925">
        <v>50</v>
      </c>
      <c r="AD2925">
        <v>149.34</v>
      </c>
      <c r="AE2925">
        <f t="shared" si="90"/>
        <v>907.81000000000006</v>
      </c>
      <c r="AF2925" t="str">
        <f t="shared" si="91"/>
        <v>2026-01</v>
      </c>
      <c r="AG2925">
        <f>SUBTOTAL(103,A2925)</f>
        <v>1</v>
      </c>
    </row>
    <row r="2926" spans="1:33" x14ac:dyDescent="0.3">
      <c r="A2926" t="s">
        <v>5549</v>
      </c>
      <c r="B2926" s="13">
        <v>46033</v>
      </c>
      <c r="C2926">
        <v>2026</v>
      </c>
      <c r="D2926">
        <v>1</v>
      </c>
      <c r="E2926" t="s">
        <v>2571</v>
      </c>
      <c r="F2926" t="s">
        <v>2572</v>
      </c>
      <c r="G2926" t="s">
        <v>2545</v>
      </c>
      <c r="H2926" t="s">
        <v>2546</v>
      </c>
      <c r="I2926" t="s">
        <v>86</v>
      </c>
      <c r="J2926">
        <v>38</v>
      </c>
      <c r="K2926" t="s">
        <v>82</v>
      </c>
      <c r="L2926" t="s">
        <v>90</v>
      </c>
      <c r="M2926" t="s">
        <v>55</v>
      </c>
      <c r="N2926" t="s">
        <v>2630</v>
      </c>
      <c r="O2926" t="s">
        <v>123</v>
      </c>
      <c r="P2926" t="s">
        <v>52</v>
      </c>
      <c r="Q2926" t="s">
        <v>146</v>
      </c>
      <c r="R2926">
        <v>2</v>
      </c>
      <c r="S2926">
        <v>2499</v>
      </c>
      <c r="T2926">
        <v>0.05</v>
      </c>
      <c r="U2926">
        <v>0</v>
      </c>
      <c r="V2926">
        <v>0</v>
      </c>
      <c r="W2926">
        <v>0</v>
      </c>
      <c r="X2926" t="s">
        <v>73</v>
      </c>
      <c r="Y2926" t="s">
        <v>71</v>
      </c>
      <c r="Z2926" t="s">
        <v>158</v>
      </c>
      <c r="AA2926" t="s">
        <v>166</v>
      </c>
      <c r="AB2926">
        <v>3</v>
      </c>
      <c r="AC2926">
        <v>40</v>
      </c>
      <c r="AD2926">
        <v>419.95</v>
      </c>
      <c r="AE2926">
        <f t="shared" si="90"/>
        <v>-459.95</v>
      </c>
      <c r="AF2926" t="str">
        <f t="shared" si="91"/>
        <v>2026-01</v>
      </c>
      <c r="AG2926">
        <f>SUBTOTAL(103,A2926)</f>
        <v>1</v>
      </c>
    </row>
    <row r="2927" spans="1:33" x14ac:dyDescent="0.3">
      <c r="A2927" t="s">
        <v>5550</v>
      </c>
      <c r="B2927" s="13">
        <v>46034</v>
      </c>
      <c r="C2927">
        <v>2026</v>
      </c>
      <c r="D2927">
        <v>1</v>
      </c>
      <c r="E2927" t="s">
        <v>2571</v>
      </c>
      <c r="F2927" t="s">
        <v>2572</v>
      </c>
      <c r="G2927" t="s">
        <v>1605</v>
      </c>
      <c r="H2927" t="s">
        <v>1606</v>
      </c>
      <c r="I2927" t="s">
        <v>86</v>
      </c>
      <c r="J2927">
        <v>37</v>
      </c>
      <c r="K2927" t="s">
        <v>82</v>
      </c>
      <c r="L2927" t="s">
        <v>2612</v>
      </c>
      <c r="M2927" t="s">
        <v>64</v>
      </c>
      <c r="N2927" t="s">
        <v>2596</v>
      </c>
      <c r="O2927" t="s">
        <v>124</v>
      </c>
      <c r="P2927" t="s">
        <v>51</v>
      </c>
      <c r="Q2927" t="s">
        <v>147</v>
      </c>
      <c r="R2927">
        <v>1</v>
      </c>
      <c r="S2927">
        <v>2299</v>
      </c>
      <c r="T2927">
        <v>0.1</v>
      </c>
      <c r="U2927">
        <v>2069.1</v>
      </c>
      <c r="V2927">
        <v>1200</v>
      </c>
      <c r="W2927">
        <v>869.1</v>
      </c>
      <c r="X2927" t="s">
        <v>75</v>
      </c>
      <c r="Y2927" t="s">
        <v>68</v>
      </c>
      <c r="Z2927" t="s">
        <v>162</v>
      </c>
      <c r="AA2927" t="s">
        <v>166</v>
      </c>
      <c r="AB2927">
        <v>4.0999999999999996</v>
      </c>
      <c r="AC2927">
        <v>40</v>
      </c>
      <c r="AD2927">
        <v>208</v>
      </c>
      <c r="AE2927">
        <f t="shared" si="90"/>
        <v>621.1</v>
      </c>
      <c r="AF2927" t="str">
        <f t="shared" si="91"/>
        <v>2026-01</v>
      </c>
      <c r="AG2927">
        <f>SUBTOTAL(103,A2927)</f>
        <v>1</v>
      </c>
    </row>
    <row r="2928" spans="1:33" x14ac:dyDescent="0.3">
      <c r="A2928" t="s">
        <v>5551</v>
      </c>
      <c r="B2928" s="13">
        <v>46034</v>
      </c>
      <c r="C2928">
        <v>2026</v>
      </c>
      <c r="D2928">
        <v>1</v>
      </c>
      <c r="E2928" t="s">
        <v>2571</v>
      </c>
      <c r="F2928" t="s">
        <v>2572</v>
      </c>
      <c r="G2928" t="s">
        <v>1747</v>
      </c>
      <c r="H2928" t="s">
        <v>1748</v>
      </c>
      <c r="I2928" t="s">
        <v>85</v>
      </c>
      <c r="J2928">
        <v>49</v>
      </c>
      <c r="K2928" t="s">
        <v>83</v>
      </c>
      <c r="L2928" t="s">
        <v>95</v>
      </c>
      <c r="M2928" t="s">
        <v>56</v>
      </c>
      <c r="N2928" t="s">
        <v>2606</v>
      </c>
      <c r="O2928" t="s">
        <v>120</v>
      </c>
      <c r="P2928" t="s">
        <v>49</v>
      </c>
      <c r="Q2928" t="s">
        <v>140</v>
      </c>
      <c r="R2928">
        <v>1</v>
      </c>
      <c r="S2928">
        <v>2799</v>
      </c>
      <c r="T2928">
        <v>0.2</v>
      </c>
      <c r="U2928">
        <v>2239.1999999999998</v>
      </c>
      <c r="V2928">
        <v>1650</v>
      </c>
      <c r="W2928">
        <v>589.20000000000005</v>
      </c>
      <c r="X2928" t="s">
        <v>73</v>
      </c>
      <c r="Y2928" t="s">
        <v>68</v>
      </c>
      <c r="Z2928" t="s">
        <v>158</v>
      </c>
      <c r="AA2928" t="s">
        <v>169</v>
      </c>
      <c r="AB2928">
        <v>4</v>
      </c>
      <c r="AC2928">
        <v>60</v>
      </c>
      <c r="AD2928">
        <v>247.16</v>
      </c>
      <c r="AE2928">
        <f t="shared" si="90"/>
        <v>282.04000000000008</v>
      </c>
      <c r="AF2928" t="str">
        <f t="shared" si="91"/>
        <v>2026-01</v>
      </c>
      <c r="AG2928">
        <f>SUBTOTAL(103,A2928)</f>
        <v>1</v>
      </c>
    </row>
    <row r="2929" spans="1:33" x14ac:dyDescent="0.3">
      <c r="A2929" t="s">
        <v>5552</v>
      </c>
      <c r="B2929" s="13">
        <v>46034</v>
      </c>
      <c r="C2929">
        <v>2026</v>
      </c>
      <c r="D2929">
        <v>1</v>
      </c>
      <c r="E2929" t="s">
        <v>2571</v>
      </c>
      <c r="F2929" t="s">
        <v>2572</v>
      </c>
      <c r="G2929" t="s">
        <v>863</v>
      </c>
      <c r="H2929" t="s">
        <v>864</v>
      </c>
      <c r="I2929" t="s">
        <v>86</v>
      </c>
      <c r="J2929">
        <v>38</v>
      </c>
      <c r="K2929" t="s">
        <v>82</v>
      </c>
      <c r="L2929" t="s">
        <v>2634</v>
      </c>
      <c r="M2929" t="s">
        <v>56</v>
      </c>
      <c r="N2929" t="s">
        <v>2577</v>
      </c>
      <c r="O2929" t="s">
        <v>129</v>
      </c>
      <c r="P2929" t="s">
        <v>49</v>
      </c>
      <c r="Q2929" t="s">
        <v>149</v>
      </c>
      <c r="R2929">
        <v>1</v>
      </c>
      <c r="S2929">
        <v>1299</v>
      </c>
      <c r="T2929">
        <v>0.1</v>
      </c>
      <c r="U2929">
        <v>1169.0999999999999</v>
      </c>
      <c r="V2929">
        <v>650</v>
      </c>
      <c r="W2929">
        <v>519.1</v>
      </c>
      <c r="X2929" t="s">
        <v>73</v>
      </c>
      <c r="Y2929" t="s">
        <v>68</v>
      </c>
      <c r="Z2929" t="s">
        <v>163</v>
      </c>
      <c r="AA2929" t="s">
        <v>171</v>
      </c>
      <c r="AB2929">
        <v>4.3</v>
      </c>
      <c r="AC2929">
        <v>50</v>
      </c>
      <c r="AD2929">
        <v>54.07</v>
      </c>
      <c r="AE2929">
        <f t="shared" si="90"/>
        <v>415.03000000000003</v>
      </c>
      <c r="AF2929" t="str">
        <f t="shared" si="91"/>
        <v>2026-01</v>
      </c>
      <c r="AG2929">
        <f>SUBTOTAL(103,A2929)</f>
        <v>1</v>
      </c>
    </row>
    <row r="2930" spans="1:33" x14ac:dyDescent="0.3">
      <c r="A2930" t="s">
        <v>5553</v>
      </c>
      <c r="B2930" s="13">
        <v>46034</v>
      </c>
      <c r="C2930">
        <v>2026</v>
      </c>
      <c r="D2930">
        <v>1</v>
      </c>
      <c r="E2930" t="s">
        <v>2571</v>
      </c>
      <c r="F2930" t="s">
        <v>2572</v>
      </c>
      <c r="G2930" t="s">
        <v>2011</v>
      </c>
      <c r="H2930" t="s">
        <v>2012</v>
      </c>
      <c r="I2930" t="s">
        <v>85</v>
      </c>
      <c r="J2930">
        <v>42</v>
      </c>
      <c r="K2930" t="s">
        <v>82</v>
      </c>
      <c r="L2930" t="s">
        <v>90</v>
      </c>
      <c r="M2930" t="s">
        <v>55</v>
      </c>
      <c r="N2930" t="s">
        <v>2582</v>
      </c>
      <c r="O2930" t="s">
        <v>119</v>
      </c>
      <c r="P2930" t="s">
        <v>49</v>
      </c>
      <c r="Q2930" t="s">
        <v>140</v>
      </c>
      <c r="R2930">
        <v>1</v>
      </c>
      <c r="S2930">
        <v>3499</v>
      </c>
      <c r="T2930">
        <v>0.05</v>
      </c>
      <c r="U2930">
        <v>3324.05</v>
      </c>
      <c r="V2930">
        <v>2100</v>
      </c>
      <c r="W2930">
        <v>1224.05</v>
      </c>
      <c r="X2930" t="s">
        <v>75</v>
      </c>
      <c r="Y2930" t="s">
        <v>68</v>
      </c>
      <c r="Z2930" t="s">
        <v>158</v>
      </c>
      <c r="AA2930" t="s">
        <v>168</v>
      </c>
      <c r="AB2930">
        <v>2.6</v>
      </c>
      <c r="AC2930">
        <v>80</v>
      </c>
      <c r="AD2930">
        <v>102.15</v>
      </c>
      <c r="AE2930">
        <f t="shared" si="90"/>
        <v>1041.8999999999999</v>
      </c>
      <c r="AF2930" t="str">
        <f t="shared" si="91"/>
        <v>2026-01</v>
      </c>
      <c r="AG2930">
        <f>SUBTOTAL(103,A2930)</f>
        <v>1</v>
      </c>
    </row>
    <row r="2931" spans="1:33" x14ac:dyDescent="0.3">
      <c r="A2931" t="s">
        <v>5554</v>
      </c>
      <c r="B2931" s="13">
        <v>46034</v>
      </c>
      <c r="C2931">
        <v>2026</v>
      </c>
      <c r="D2931">
        <v>1</v>
      </c>
      <c r="E2931" t="s">
        <v>2571</v>
      </c>
      <c r="F2931" t="s">
        <v>2572</v>
      </c>
      <c r="G2931" t="s">
        <v>1413</v>
      </c>
      <c r="H2931" t="s">
        <v>1414</v>
      </c>
      <c r="I2931" t="s">
        <v>86</v>
      </c>
      <c r="J2931">
        <v>53</v>
      </c>
      <c r="K2931" t="s">
        <v>83</v>
      </c>
      <c r="L2931" t="s">
        <v>2623</v>
      </c>
      <c r="M2931" t="s">
        <v>61</v>
      </c>
      <c r="N2931" t="s">
        <v>2657</v>
      </c>
      <c r="O2931" t="s">
        <v>134</v>
      </c>
      <c r="P2931" t="s">
        <v>49</v>
      </c>
      <c r="Q2931" t="s">
        <v>140</v>
      </c>
      <c r="R2931">
        <v>2</v>
      </c>
      <c r="S2931">
        <v>599</v>
      </c>
      <c r="T2931">
        <v>0.1</v>
      </c>
      <c r="U2931">
        <v>1078.2</v>
      </c>
      <c r="V2931">
        <v>500</v>
      </c>
      <c r="W2931">
        <v>578.20000000000005</v>
      </c>
      <c r="X2931" t="s">
        <v>73</v>
      </c>
      <c r="Y2931" t="s">
        <v>69</v>
      </c>
      <c r="Z2931" t="s">
        <v>160</v>
      </c>
      <c r="AA2931" t="s">
        <v>166</v>
      </c>
      <c r="AB2931">
        <v>3.4</v>
      </c>
      <c r="AC2931">
        <v>50</v>
      </c>
      <c r="AD2931">
        <v>25.27</v>
      </c>
      <c r="AE2931">
        <f t="shared" si="90"/>
        <v>502.93000000000006</v>
      </c>
      <c r="AF2931" t="str">
        <f t="shared" si="91"/>
        <v>2026-01</v>
      </c>
      <c r="AG2931">
        <f>SUBTOTAL(103,A2931)</f>
        <v>1</v>
      </c>
    </row>
    <row r="2932" spans="1:33" x14ac:dyDescent="0.3">
      <c r="A2932" t="s">
        <v>5555</v>
      </c>
      <c r="B2932" s="13">
        <v>46034</v>
      </c>
      <c r="C2932">
        <v>2026</v>
      </c>
      <c r="D2932">
        <v>1</v>
      </c>
      <c r="E2932" t="s">
        <v>2571</v>
      </c>
      <c r="F2932" t="s">
        <v>2572</v>
      </c>
      <c r="G2932" t="s">
        <v>801</v>
      </c>
      <c r="H2932" t="s">
        <v>802</v>
      </c>
      <c r="I2932" t="s">
        <v>85</v>
      </c>
      <c r="J2932">
        <v>32</v>
      </c>
      <c r="K2932" t="s">
        <v>81</v>
      </c>
      <c r="L2932" t="s">
        <v>2589</v>
      </c>
      <c r="M2932" t="s">
        <v>61</v>
      </c>
      <c r="N2932" t="s">
        <v>2574</v>
      </c>
      <c r="O2932" t="s">
        <v>130</v>
      </c>
      <c r="P2932" t="s">
        <v>50</v>
      </c>
      <c r="Q2932" t="s">
        <v>53</v>
      </c>
      <c r="R2932">
        <v>1</v>
      </c>
      <c r="S2932">
        <v>1199</v>
      </c>
      <c r="T2932">
        <v>0.05</v>
      </c>
      <c r="U2932">
        <v>1139.05</v>
      </c>
      <c r="V2932">
        <v>550</v>
      </c>
      <c r="W2932">
        <v>589.04999999999995</v>
      </c>
      <c r="X2932" t="s">
        <v>75</v>
      </c>
      <c r="Y2932" t="s">
        <v>68</v>
      </c>
      <c r="Z2932" t="s">
        <v>162</v>
      </c>
      <c r="AA2932" t="s">
        <v>166</v>
      </c>
      <c r="AB2932">
        <v>4.2</v>
      </c>
      <c r="AC2932">
        <v>80</v>
      </c>
      <c r="AD2932">
        <v>35.26</v>
      </c>
      <c r="AE2932">
        <f t="shared" si="90"/>
        <v>473.78999999999996</v>
      </c>
      <c r="AF2932" t="str">
        <f t="shared" si="91"/>
        <v>2026-01</v>
      </c>
      <c r="AG2932">
        <f>SUBTOTAL(103,A2932)</f>
        <v>1</v>
      </c>
    </row>
    <row r="2933" spans="1:33" x14ac:dyDescent="0.3">
      <c r="A2933" t="s">
        <v>5556</v>
      </c>
      <c r="B2933" s="13">
        <v>46035</v>
      </c>
      <c r="C2933">
        <v>2026</v>
      </c>
      <c r="D2933">
        <v>1</v>
      </c>
      <c r="E2933" t="s">
        <v>2571</v>
      </c>
      <c r="F2933" t="s">
        <v>2572</v>
      </c>
      <c r="G2933" t="s">
        <v>1765</v>
      </c>
      <c r="H2933" t="s">
        <v>1766</v>
      </c>
      <c r="I2933" t="s">
        <v>86</v>
      </c>
      <c r="J2933">
        <v>56</v>
      </c>
      <c r="K2933" t="s">
        <v>83</v>
      </c>
      <c r="L2933" t="s">
        <v>2679</v>
      </c>
      <c r="M2933" t="s">
        <v>60</v>
      </c>
      <c r="N2933" t="s">
        <v>2630</v>
      </c>
      <c r="O2933" t="s">
        <v>123</v>
      </c>
      <c r="P2933" t="s">
        <v>52</v>
      </c>
      <c r="Q2933" t="s">
        <v>146</v>
      </c>
      <c r="R2933">
        <v>2</v>
      </c>
      <c r="S2933">
        <v>2499</v>
      </c>
      <c r="T2933">
        <v>0.1</v>
      </c>
      <c r="U2933">
        <v>0</v>
      </c>
      <c r="V2933">
        <v>0</v>
      </c>
      <c r="W2933">
        <v>0</v>
      </c>
      <c r="X2933" t="s">
        <v>73</v>
      </c>
      <c r="Y2933" t="s">
        <v>71</v>
      </c>
      <c r="Z2933" t="s">
        <v>161</v>
      </c>
      <c r="AA2933" t="s">
        <v>170</v>
      </c>
      <c r="AB2933">
        <v>4.4000000000000004</v>
      </c>
      <c r="AC2933">
        <v>40</v>
      </c>
      <c r="AD2933">
        <v>452.57</v>
      </c>
      <c r="AE2933">
        <f t="shared" si="90"/>
        <v>-492.57</v>
      </c>
      <c r="AF2933" t="str">
        <f t="shared" si="91"/>
        <v>2026-01</v>
      </c>
      <c r="AG2933">
        <f>SUBTOTAL(103,A2933)</f>
        <v>1</v>
      </c>
    </row>
    <row r="2934" spans="1:33" x14ac:dyDescent="0.3">
      <c r="A2934" t="s">
        <v>5557</v>
      </c>
      <c r="B2934" s="13">
        <v>46035</v>
      </c>
      <c r="C2934">
        <v>2026</v>
      </c>
      <c r="D2934">
        <v>1</v>
      </c>
      <c r="E2934" t="s">
        <v>2571</v>
      </c>
      <c r="F2934" t="s">
        <v>2572</v>
      </c>
      <c r="G2934" t="s">
        <v>2313</v>
      </c>
      <c r="H2934" t="s">
        <v>2314</v>
      </c>
      <c r="I2934" t="s">
        <v>85</v>
      </c>
      <c r="J2934">
        <v>48</v>
      </c>
      <c r="K2934" t="s">
        <v>83</v>
      </c>
      <c r="L2934" t="s">
        <v>2674</v>
      </c>
      <c r="M2934" t="s">
        <v>58</v>
      </c>
      <c r="N2934" t="s">
        <v>2584</v>
      </c>
      <c r="O2934" t="s">
        <v>121</v>
      </c>
      <c r="P2934" t="s">
        <v>50</v>
      </c>
      <c r="Q2934" t="s">
        <v>144</v>
      </c>
      <c r="R2934">
        <v>1</v>
      </c>
      <c r="S2934">
        <v>2999</v>
      </c>
      <c r="T2934">
        <v>0.1</v>
      </c>
      <c r="U2934">
        <v>2699.1</v>
      </c>
      <c r="V2934">
        <v>1700</v>
      </c>
      <c r="W2934">
        <v>999.1</v>
      </c>
      <c r="X2934" t="s">
        <v>74</v>
      </c>
      <c r="Y2934" t="s">
        <v>68</v>
      </c>
      <c r="Z2934" t="s">
        <v>161</v>
      </c>
      <c r="AA2934" t="s">
        <v>171</v>
      </c>
      <c r="AB2934">
        <v>4.0999999999999996</v>
      </c>
      <c r="AC2934">
        <v>80</v>
      </c>
      <c r="AD2934">
        <v>276.60000000000002</v>
      </c>
      <c r="AE2934">
        <f t="shared" si="90"/>
        <v>642.5</v>
      </c>
      <c r="AF2934" t="str">
        <f t="shared" si="91"/>
        <v>2026-01</v>
      </c>
      <c r="AG2934">
        <f>SUBTOTAL(103,A2934)</f>
        <v>1</v>
      </c>
    </row>
    <row r="2935" spans="1:33" x14ac:dyDescent="0.3">
      <c r="A2935" t="s">
        <v>5558</v>
      </c>
      <c r="B2935" s="13">
        <v>46035</v>
      </c>
      <c r="C2935">
        <v>2026</v>
      </c>
      <c r="D2935">
        <v>1</v>
      </c>
      <c r="E2935" t="s">
        <v>2571</v>
      </c>
      <c r="F2935" t="s">
        <v>2572</v>
      </c>
      <c r="G2935" t="s">
        <v>1781</v>
      </c>
      <c r="H2935" t="s">
        <v>1782</v>
      </c>
      <c r="I2935" t="s">
        <v>85</v>
      </c>
      <c r="J2935">
        <v>29</v>
      </c>
      <c r="K2935" t="s">
        <v>81</v>
      </c>
      <c r="L2935" t="s">
        <v>90</v>
      </c>
      <c r="M2935" t="s">
        <v>55</v>
      </c>
      <c r="N2935" t="s">
        <v>2580</v>
      </c>
      <c r="O2935" t="s">
        <v>118</v>
      </c>
      <c r="P2935" t="s">
        <v>48</v>
      </c>
      <c r="Q2935" t="s">
        <v>142</v>
      </c>
      <c r="R2935">
        <v>1</v>
      </c>
      <c r="S2935">
        <v>3999</v>
      </c>
      <c r="T2935">
        <v>0.05</v>
      </c>
      <c r="U2935">
        <v>3799.05</v>
      </c>
      <c r="V2935">
        <v>2400</v>
      </c>
      <c r="W2935">
        <v>1399.05</v>
      </c>
      <c r="X2935" t="s">
        <v>73</v>
      </c>
      <c r="Y2935" t="s">
        <v>68</v>
      </c>
      <c r="Z2935" t="s">
        <v>161</v>
      </c>
      <c r="AA2935" t="s">
        <v>168</v>
      </c>
      <c r="AB2935">
        <v>3.7</v>
      </c>
      <c r="AC2935">
        <v>50</v>
      </c>
      <c r="AD2935">
        <v>437.15</v>
      </c>
      <c r="AE2935">
        <f t="shared" si="90"/>
        <v>911.9</v>
      </c>
      <c r="AF2935" t="str">
        <f t="shared" si="91"/>
        <v>2026-01</v>
      </c>
      <c r="AG2935">
        <f>SUBTOTAL(103,A2935)</f>
        <v>1</v>
      </c>
    </row>
    <row r="2936" spans="1:33" x14ac:dyDescent="0.3">
      <c r="A2936" t="s">
        <v>5559</v>
      </c>
      <c r="B2936" s="13">
        <v>46035</v>
      </c>
      <c r="C2936">
        <v>2026</v>
      </c>
      <c r="D2936">
        <v>1</v>
      </c>
      <c r="E2936" t="s">
        <v>2571</v>
      </c>
      <c r="F2936" t="s">
        <v>2572</v>
      </c>
      <c r="G2936" t="s">
        <v>687</v>
      </c>
      <c r="H2936" t="s">
        <v>688</v>
      </c>
      <c r="I2936" t="s">
        <v>86</v>
      </c>
      <c r="J2936">
        <v>45</v>
      </c>
      <c r="K2936" t="s">
        <v>82</v>
      </c>
      <c r="L2936" t="s">
        <v>91</v>
      </c>
      <c r="M2936" t="s">
        <v>55</v>
      </c>
      <c r="N2936" t="s">
        <v>2626</v>
      </c>
      <c r="O2936" t="s">
        <v>125</v>
      </c>
      <c r="P2936" t="s">
        <v>48</v>
      </c>
      <c r="Q2936" t="s">
        <v>141</v>
      </c>
      <c r="R2936">
        <v>3</v>
      </c>
      <c r="S2936">
        <v>1999</v>
      </c>
      <c r="T2936">
        <v>0.05</v>
      </c>
      <c r="U2936">
        <v>5697.15</v>
      </c>
      <c r="V2936">
        <v>3450</v>
      </c>
      <c r="W2936">
        <v>2247.15</v>
      </c>
      <c r="X2936" t="s">
        <v>74</v>
      </c>
      <c r="Y2936" t="s">
        <v>68</v>
      </c>
      <c r="Z2936" t="s">
        <v>158</v>
      </c>
      <c r="AA2936" t="s">
        <v>167</v>
      </c>
      <c r="AB2936">
        <v>5</v>
      </c>
      <c r="AC2936">
        <v>50</v>
      </c>
      <c r="AD2936">
        <v>236.67</v>
      </c>
      <c r="AE2936">
        <f t="shared" si="90"/>
        <v>1960.48</v>
      </c>
      <c r="AF2936" t="str">
        <f t="shared" si="91"/>
        <v>2026-01</v>
      </c>
      <c r="AG2936">
        <f>SUBTOTAL(103,A2936)</f>
        <v>1</v>
      </c>
    </row>
    <row r="2937" spans="1:33" x14ac:dyDescent="0.3">
      <c r="A2937" t="s">
        <v>5560</v>
      </c>
      <c r="B2937" s="13">
        <v>46035</v>
      </c>
      <c r="C2937">
        <v>2026</v>
      </c>
      <c r="D2937">
        <v>1</v>
      </c>
      <c r="E2937" t="s">
        <v>2571</v>
      </c>
      <c r="F2937" t="s">
        <v>2572</v>
      </c>
      <c r="G2937" t="s">
        <v>529</v>
      </c>
      <c r="H2937" t="s">
        <v>530</v>
      </c>
      <c r="I2937" t="s">
        <v>85</v>
      </c>
      <c r="J2937">
        <v>33</v>
      </c>
      <c r="K2937" t="s">
        <v>81</v>
      </c>
      <c r="L2937" t="s">
        <v>94</v>
      </c>
      <c r="M2937" t="s">
        <v>57</v>
      </c>
      <c r="N2937" t="s">
        <v>2601</v>
      </c>
      <c r="O2937" t="s">
        <v>117</v>
      </c>
      <c r="P2937" t="s">
        <v>49</v>
      </c>
      <c r="Q2937" t="s">
        <v>139</v>
      </c>
      <c r="R2937">
        <v>2</v>
      </c>
      <c r="S2937">
        <v>6999</v>
      </c>
      <c r="T2937">
        <v>0.05</v>
      </c>
      <c r="U2937">
        <v>13298.1</v>
      </c>
      <c r="V2937">
        <v>8600</v>
      </c>
      <c r="W2937">
        <v>4698.1000000000004</v>
      </c>
      <c r="X2937" t="s">
        <v>75</v>
      </c>
      <c r="Y2937" t="s">
        <v>68</v>
      </c>
      <c r="Z2937" t="s">
        <v>158</v>
      </c>
      <c r="AA2937" t="s">
        <v>168</v>
      </c>
      <c r="AB2937">
        <v>5</v>
      </c>
      <c r="AC2937">
        <v>60</v>
      </c>
      <c r="AD2937">
        <v>700.06</v>
      </c>
      <c r="AE2937">
        <f t="shared" si="90"/>
        <v>3938.0400000000004</v>
      </c>
      <c r="AF2937" t="str">
        <f t="shared" si="91"/>
        <v>2026-01</v>
      </c>
      <c r="AG2937">
        <f>SUBTOTAL(103,A2937)</f>
        <v>1</v>
      </c>
    </row>
    <row r="2938" spans="1:33" x14ac:dyDescent="0.3">
      <c r="A2938" t="s">
        <v>5561</v>
      </c>
      <c r="B2938" s="13">
        <v>46036</v>
      </c>
      <c r="C2938">
        <v>2026</v>
      </c>
      <c r="D2938">
        <v>1</v>
      </c>
      <c r="E2938" t="s">
        <v>2571</v>
      </c>
      <c r="F2938" t="s">
        <v>2572</v>
      </c>
      <c r="G2938" t="s">
        <v>517</v>
      </c>
      <c r="H2938" t="s">
        <v>518</v>
      </c>
      <c r="I2938" t="s">
        <v>85</v>
      </c>
      <c r="J2938">
        <v>27</v>
      </c>
      <c r="K2938" t="s">
        <v>81</v>
      </c>
      <c r="L2938" t="s">
        <v>96</v>
      </c>
      <c r="M2938" t="s">
        <v>55</v>
      </c>
      <c r="N2938" t="s">
        <v>2601</v>
      </c>
      <c r="O2938" t="s">
        <v>117</v>
      </c>
      <c r="P2938" t="s">
        <v>49</v>
      </c>
      <c r="Q2938" t="s">
        <v>139</v>
      </c>
      <c r="R2938">
        <v>2</v>
      </c>
      <c r="S2938">
        <v>6999</v>
      </c>
      <c r="T2938">
        <v>0.05</v>
      </c>
      <c r="U2938">
        <v>13298.1</v>
      </c>
      <c r="V2938">
        <v>8600</v>
      </c>
      <c r="W2938">
        <v>4698.1000000000004</v>
      </c>
      <c r="X2938" t="s">
        <v>75</v>
      </c>
      <c r="Y2938" t="s">
        <v>68</v>
      </c>
      <c r="Z2938" t="s">
        <v>163</v>
      </c>
      <c r="AA2938" t="s">
        <v>167</v>
      </c>
      <c r="AB2938">
        <v>3.8</v>
      </c>
      <c r="AC2938">
        <v>120</v>
      </c>
      <c r="AD2938">
        <v>545.80999999999995</v>
      </c>
      <c r="AE2938">
        <f t="shared" si="90"/>
        <v>4032.2900000000004</v>
      </c>
      <c r="AF2938" t="str">
        <f t="shared" si="91"/>
        <v>2026-01</v>
      </c>
      <c r="AG2938">
        <f>SUBTOTAL(103,A2938)</f>
        <v>1</v>
      </c>
    </row>
    <row r="2939" spans="1:33" x14ac:dyDescent="0.3">
      <c r="A2939" t="s">
        <v>5562</v>
      </c>
      <c r="B2939" s="13">
        <v>46036</v>
      </c>
      <c r="C2939">
        <v>2026</v>
      </c>
      <c r="D2939">
        <v>1</v>
      </c>
      <c r="E2939" t="s">
        <v>2571</v>
      </c>
      <c r="F2939" t="s">
        <v>2572</v>
      </c>
      <c r="G2939" t="s">
        <v>1201</v>
      </c>
      <c r="H2939" t="s">
        <v>1202</v>
      </c>
      <c r="I2939" t="s">
        <v>86</v>
      </c>
      <c r="J2939">
        <v>35</v>
      </c>
      <c r="K2939" t="s">
        <v>81</v>
      </c>
      <c r="L2939" t="s">
        <v>94</v>
      </c>
      <c r="M2939" t="s">
        <v>57</v>
      </c>
      <c r="N2939" t="s">
        <v>2574</v>
      </c>
      <c r="O2939" t="s">
        <v>130</v>
      </c>
      <c r="P2939" t="s">
        <v>50</v>
      </c>
      <c r="Q2939" t="s">
        <v>53</v>
      </c>
      <c r="R2939">
        <v>3</v>
      </c>
      <c r="S2939">
        <v>1199</v>
      </c>
      <c r="T2939">
        <v>0.1</v>
      </c>
      <c r="U2939">
        <v>3237.3</v>
      </c>
      <c r="V2939">
        <v>1650</v>
      </c>
      <c r="W2939">
        <v>1587.3</v>
      </c>
      <c r="X2939" t="s">
        <v>73</v>
      </c>
      <c r="Y2939" t="s">
        <v>68</v>
      </c>
      <c r="Z2939" t="s">
        <v>159</v>
      </c>
      <c r="AA2939" t="s">
        <v>168</v>
      </c>
      <c r="AB2939">
        <v>3.7</v>
      </c>
      <c r="AC2939">
        <v>40</v>
      </c>
      <c r="AD2939">
        <v>128.35</v>
      </c>
      <c r="AE2939">
        <f t="shared" si="90"/>
        <v>1418.95</v>
      </c>
      <c r="AF2939" t="str">
        <f t="shared" si="91"/>
        <v>2026-01</v>
      </c>
      <c r="AG2939">
        <f>SUBTOTAL(103,A2939)</f>
        <v>1</v>
      </c>
    </row>
    <row r="2940" spans="1:33" x14ac:dyDescent="0.3">
      <c r="A2940" t="s">
        <v>5563</v>
      </c>
      <c r="B2940" s="13">
        <v>46036</v>
      </c>
      <c r="C2940">
        <v>2026</v>
      </c>
      <c r="D2940">
        <v>1</v>
      </c>
      <c r="E2940" t="s">
        <v>2571</v>
      </c>
      <c r="F2940" t="s">
        <v>2572</v>
      </c>
      <c r="G2940" t="s">
        <v>1463</v>
      </c>
      <c r="H2940" t="s">
        <v>1464</v>
      </c>
      <c r="I2940" t="s">
        <v>86</v>
      </c>
      <c r="J2940">
        <v>50</v>
      </c>
      <c r="K2940" t="s">
        <v>83</v>
      </c>
      <c r="L2940" t="s">
        <v>94</v>
      </c>
      <c r="M2940" t="s">
        <v>57</v>
      </c>
      <c r="N2940" t="s">
        <v>2657</v>
      </c>
      <c r="O2940" t="s">
        <v>134</v>
      </c>
      <c r="P2940" t="s">
        <v>49</v>
      </c>
      <c r="Q2940" t="s">
        <v>140</v>
      </c>
      <c r="R2940">
        <v>3</v>
      </c>
      <c r="S2940">
        <v>599</v>
      </c>
      <c r="T2940">
        <v>0</v>
      </c>
      <c r="U2940">
        <v>1797</v>
      </c>
      <c r="V2940">
        <v>750</v>
      </c>
      <c r="W2940">
        <v>1047</v>
      </c>
      <c r="X2940" t="s">
        <v>75</v>
      </c>
      <c r="Y2940" t="s">
        <v>68</v>
      </c>
      <c r="Z2940" t="s">
        <v>162</v>
      </c>
      <c r="AA2940" t="s">
        <v>169</v>
      </c>
      <c r="AB2940">
        <v>4.2</v>
      </c>
      <c r="AC2940">
        <v>40</v>
      </c>
      <c r="AD2940">
        <v>182.88</v>
      </c>
      <c r="AE2940">
        <f t="shared" si="90"/>
        <v>824.12</v>
      </c>
      <c r="AF2940" t="str">
        <f t="shared" si="91"/>
        <v>2026-01</v>
      </c>
      <c r="AG2940">
        <f>SUBTOTAL(103,A2940)</f>
        <v>1</v>
      </c>
    </row>
    <row r="2941" spans="1:33" x14ac:dyDescent="0.3">
      <c r="A2941" t="s">
        <v>5564</v>
      </c>
      <c r="B2941" s="13">
        <v>46036</v>
      </c>
      <c r="C2941">
        <v>2026</v>
      </c>
      <c r="D2941">
        <v>1</v>
      </c>
      <c r="E2941" t="s">
        <v>2571</v>
      </c>
      <c r="F2941" t="s">
        <v>2572</v>
      </c>
      <c r="G2941" t="s">
        <v>311</v>
      </c>
      <c r="H2941" t="s">
        <v>312</v>
      </c>
      <c r="I2941" t="s">
        <v>85</v>
      </c>
      <c r="J2941">
        <v>46</v>
      </c>
      <c r="K2941" t="s">
        <v>83</v>
      </c>
      <c r="L2941" t="s">
        <v>97</v>
      </c>
      <c r="M2941" t="s">
        <v>57</v>
      </c>
      <c r="N2941" t="s">
        <v>2592</v>
      </c>
      <c r="O2941" t="s">
        <v>115</v>
      </c>
      <c r="P2941" t="s">
        <v>48</v>
      </c>
      <c r="Q2941" t="s">
        <v>137</v>
      </c>
      <c r="R2941">
        <v>5</v>
      </c>
      <c r="S2941">
        <v>12999</v>
      </c>
      <c r="T2941">
        <v>0</v>
      </c>
      <c r="U2941">
        <v>64995</v>
      </c>
      <c r="V2941">
        <v>45000</v>
      </c>
      <c r="W2941">
        <v>19995</v>
      </c>
      <c r="X2941" t="s">
        <v>74</v>
      </c>
      <c r="Y2941" t="s">
        <v>68</v>
      </c>
      <c r="Z2941" t="s">
        <v>160</v>
      </c>
      <c r="AA2941" t="s">
        <v>167</v>
      </c>
      <c r="AB2941">
        <v>3.3</v>
      </c>
      <c r="AC2941">
        <v>80</v>
      </c>
      <c r="AD2941">
        <v>4472.6000000000004</v>
      </c>
      <c r="AE2941">
        <f t="shared" si="90"/>
        <v>15442.4</v>
      </c>
      <c r="AF2941" t="str">
        <f t="shared" si="91"/>
        <v>2026-01</v>
      </c>
      <c r="AG2941">
        <f>SUBTOTAL(103,A2941)</f>
        <v>1</v>
      </c>
    </row>
    <row r="2942" spans="1:33" x14ac:dyDescent="0.3">
      <c r="A2942" t="s">
        <v>5565</v>
      </c>
      <c r="B2942" s="13">
        <v>46036</v>
      </c>
      <c r="C2942">
        <v>2026</v>
      </c>
      <c r="D2942">
        <v>1</v>
      </c>
      <c r="E2942" t="s">
        <v>2571</v>
      </c>
      <c r="F2942" t="s">
        <v>2572</v>
      </c>
      <c r="G2942" t="s">
        <v>2379</v>
      </c>
      <c r="H2942" t="s">
        <v>2380</v>
      </c>
      <c r="I2942" t="s">
        <v>85</v>
      </c>
      <c r="J2942">
        <v>51</v>
      </c>
      <c r="K2942" t="s">
        <v>83</v>
      </c>
      <c r="L2942" t="s">
        <v>93</v>
      </c>
      <c r="M2942" t="s">
        <v>55</v>
      </c>
      <c r="N2942" t="s">
        <v>2653</v>
      </c>
      <c r="O2942" t="s">
        <v>132</v>
      </c>
      <c r="P2942" t="s">
        <v>52</v>
      </c>
      <c r="Q2942" t="s">
        <v>150</v>
      </c>
      <c r="R2942">
        <v>2</v>
      </c>
      <c r="S2942">
        <v>899</v>
      </c>
      <c r="T2942">
        <v>0</v>
      </c>
      <c r="U2942">
        <v>1798</v>
      </c>
      <c r="V2942">
        <v>840</v>
      </c>
      <c r="W2942">
        <v>958</v>
      </c>
      <c r="X2942" t="s">
        <v>75</v>
      </c>
      <c r="Y2942" t="s">
        <v>68</v>
      </c>
      <c r="Z2942" t="s">
        <v>160</v>
      </c>
      <c r="AA2942" t="s">
        <v>166</v>
      </c>
      <c r="AB2942">
        <v>4.0999999999999996</v>
      </c>
      <c r="AC2942">
        <v>40</v>
      </c>
      <c r="AD2942">
        <v>90.73</v>
      </c>
      <c r="AE2942">
        <f t="shared" si="90"/>
        <v>827.27</v>
      </c>
      <c r="AF2942" t="str">
        <f t="shared" si="91"/>
        <v>2026-01</v>
      </c>
      <c r="AG2942">
        <f>SUBTOTAL(103,A2942)</f>
        <v>1</v>
      </c>
    </row>
    <row r="2943" spans="1:33" x14ac:dyDescent="0.3">
      <c r="A2943" t="s">
        <v>5566</v>
      </c>
      <c r="B2943" s="13">
        <v>46036</v>
      </c>
      <c r="C2943">
        <v>2026</v>
      </c>
      <c r="D2943">
        <v>1</v>
      </c>
      <c r="E2943" t="s">
        <v>2571</v>
      </c>
      <c r="F2943" t="s">
        <v>2572</v>
      </c>
      <c r="G2943" t="s">
        <v>2537</v>
      </c>
      <c r="H2943" t="s">
        <v>2538</v>
      </c>
      <c r="I2943" t="s">
        <v>86</v>
      </c>
      <c r="J2943">
        <v>37</v>
      </c>
      <c r="K2943" t="s">
        <v>82</v>
      </c>
      <c r="L2943" t="s">
        <v>90</v>
      </c>
      <c r="M2943" t="s">
        <v>55</v>
      </c>
      <c r="N2943" t="s">
        <v>2644</v>
      </c>
      <c r="O2943" t="s">
        <v>126</v>
      </c>
      <c r="P2943" t="s">
        <v>50</v>
      </c>
      <c r="Q2943" t="s">
        <v>145</v>
      </c>
      <c r="R2943">
        <v>1</v>
      </c>
      <c r="S2943">
        <v>1799</v>
      </c>
      <c r="T2943">
        <v>0.2</v>
      </c>
      <c r="U2943">
        <v>0</v>
      </c>
      <c r="V2943">
        <v>0</v>
      </c>
      <c r="W2943">
        <v>0</v>
      </c>
      <c r="X2943" t="s">
        <v>73</v>
      </c>
      <c r="Y2943" t="s">
        <v>71</v>
      </c>
      <c r="Z2943" t="s">
        <v>162</v>
      </c>
      <c r="AA2943" t="s">
        <v>170</v>
      </c>
      <c r="AB2943">
        <v>4</v>
      </c>
      <c r="AC2943">
        <v>120</v>
      </c>
      <c r="AD2943">
        <v>55.61</v>
      </c>
      <c r="AE2943">
        <f t="shared" si="90"/>
        <v>-175.61</v>
      </c>
      <c r="AF2943" t="str">
        <f t="shared" si="91"/>
        <v>2026-01</v>
      </c>
      <c r="AG2943">
        <f>SUBTOTAL(103,A2943)</f>
        <v>1</v>
      </c>
    </row>
    <row r="2944" spans="1:33" x14ac:dyDescent="0.3">
      <c r="A2944" t="s">
        <v>5567</v>
      </c>
      <c r="B2944" s="13">
        <v>46036</v>
      </c>
      <c r="C2944">
        <v>2026</v>
      </c>
      <c r="D2944">
        <v>1</v>
      </c>
      <c r="E2944" t="s">
        <v>2571</v>
      </c>
      <c r="F2944" t="s">
        <v>2572</v>
      </c>
      <c r="G2944" t="s">
        <v>683</v>
      </c>
      <c r="H2944" t="s">
        <v>684</v>
      </c>
      <c r="I2944" t="s">
        <v>86</v>
      </c>
      <c r="J2944">
        <v>42</v>
      </c>
      <c r="K2944" t="s">
        <v>82</v>
      </c>
      <c r="L2944" t="s">
        <v>59</v>
      </c>
      <c r="M2944" t="s">
        <v>59</v>
      </c>
      <c r="N2944" t="s">
        <v>2647</v>
      </c>
      <c r="O2944" t="s">
        <v>133</v>
      </c>
      <c r="P2944" t="s">
        <v>50</v>
      </c>
      <c r="Q2944" t="s">
        <v>145</v>
      </c>
      <c r="R2944">
        <v>1</v>
      </c>
      <c r="S2944">
        <v>799</v>
      </c>
      <c r="T2944">
        <v>0.15</v>
      </c>
      <c r="U2944">
        <v>679.15</v>
      </c>
      <c r="V2944">
        <v>390</v>
      </c>
      <c r="W2944">
        <v>289.14999999999998</v>
      </c>
      <c r="X2944" t="s">
        <v>75</v>
      </c>
      <c r="Y2944" t="s">
        <v>68</v>
      </c>
      <c r="Z2944" t="s">
        <v>158</v>
      </c>
      <c r="AA2944" t="s">
        <v>168</v>
      </c>
      <c r="AB2944">
        <v>4.5999999999999996</v>
      </c>
      <c r="AC2944">
        <v>100</v>
      </c>
      <c r="AD2944">
        <v>28.38</v>
      </c>
      <c r="AE2944">
        <f t="shared" si="90"/>
        <v>160.76999999999998</v>
      </c>
      <c r="AF2944" t="str">
        <f t="shared" si="91"/>
        <v>2026-01</v>
      </c>
      <c r="AG2944">
        <f>SUBTOTAL(103,A2944)</f>
        <v>1</v>
      </c>
    </row>
    <row r="2945" spans="1:33" x14ac:dyDescent="0.3">
      <c r="A2945" t="s">
        <v>5568</v>
      </c>
      <c r="B2945" s="13">
        <v>46036</v>
      </c>
      <c r="C2945">
        <v>2026</v>
      </c>
      <c r="D2945">
        <v>1</v>
      </c>
      <c r="E2945" t="s">
        <v>2571</v>
      </c>
      <c r="F2945" t="s">
        <v>2572</v>
      </c>
      <c r="G2945" t="s">
        <v>375</v>
      </c>
      <c r="H2945" t="s">
        <v>376</v>
      </c>
      <c r="I2945" t="s">
        <v>85</v>
      </c>
      <c r="J2945">
        <v>37</v>
      </c>
      <c r="K2945" t="s">
        <v>82</v>
      </c>
      <c r="L2945" t="s">
        <v>2576</v>
      </c>
      <c r="M2945" t="s">
        <v>60</v>
      </c>
      <c r="N2945" t="s">
        <v>2657</v>
      </c>
      <c r="O2945" t="s">
        <v>134</v>
      </c>
      <c r="P2945" t="s">
        <v>49</v>
      </c>
      <c r="Q2945" t="s">
        <v>140</v>
      </c>
      <c r="R2945">
        <v>3</v>
      </c>
      <c r="S2945">
        <v>599</v>
      </c>
      <c r="T2945">
        <v>0.15</v>
      </c>
      <c r="U2945">
        <v>1527.45</v>
      </c>
      <c r="V2945">
        <v>750</v>
      </c>
      <c r="W2945">
        <v>777.45</v>
      </c>
      <c r="X2945" t="s">
        <v>73</v>
      </c>
      <c r="Y2945" t="s">
        <v>68</v>
      </c>
      <c r="Z2945" t="s">
        <v>158</v>
      </c>
      <c r="AA2945" t="s">
        <v>167</v>
      </c>
      <c r="AB2945">
        <v>4.0999999999999996</v>
      </c>
      <c r="AC2945">
        <v>50</v>
      </c>
      <c r="AD2945">
        <v>122.02</v>
      </c>
      <c r="AE2945">
        <f t="shared" si="90"/>
        <v>605.43000000000006</v>
      </c>
      <c r="AF2945" t="str">
        <f t="shared" si="91"/>
        <v>2026-01</v>
      </c>
      <c r="AG2945">
        <f>SUBTOTAL(103,A2945)</f>
        <v>1</v>
      </c>
    </row>
    <row r="2946" spans="1:33" x14ac:dyDescent="0.3">
      <c r="A2946" t="s">
        <v>5569</v>
      </c>
      <c r="B2946" s="13">
        <v>46036</v>
      </c>
      <c r="C2946">
        <v>2026</v>
      </c>
      <c r="D2946">
        <v>1</v>
      </c>
      <c r="E2946" t="s">
        <v>2571</v>
      </c>
      <c r="F2946" t="s">
        <v>2572</v>
      </c>
      <c r="G2946" t="s">
        <v>781</v>
      </c>
      <c r="H2946" t="s">
        <v>782</v>
      </c>
      <c r="I2946" t="s">
        <v>85</v>
      </c>
      <c r="J2946">
        <v>37</v>
      </c>
      <c r="K2946" t="s">
        <v>82</v>
      </c>
      <c r="L2946" t="s">
        <v>2674</v>
      </c>
      <c r="M2946" t="s">
        <v>58</v>
      </c>
      <c r="N2946" t="s">
        <v>2644</v>
      </c>
      <c r="O2946" t="s">
        <v>126</v>
      </c>
      <c r="P2946" t="s">
        <v>50</v>
      </c>
      <c r="Q2946" t="s">
        <v>145</v>
      </c>
      <c r="R2946">
        <v>1</v>
      </c>
      <c r="S2946">
        <v>1799</v>
      </c>
      <c r="T2946">
        <v>0.05</v>
      </c>
      <c r="U2946">
        <v>1709.05</v>
      </c>
      <c r="V2946">
        <v>950</v>
      </c>
      <c r="W2946">
        <v>759.05</v>
      </c>
      <c r="X2946" t="s">
        <v>73</v>
      </c>
      <c r="Y2946" t="s">
        <v>68</v>
      </c>
      <c r="Z2946" t="s">
        <v>159</v>
      </c>
      <c r="AA2946" t="s">
        <v>166</v>
      </c>
      <c r="AB2946">
        <v>4.5</v>
      </c>
      <c r="AC2946">
        <v>80</v>
      </c>
      <c r="AD2946">
        <v>175.39</v>
      </c>
      <c r="AE2946">
        <f t="shared" ref="AE2946:AE3009" si="92">W2946-AC2946-AD2946</f>
        <v>503.65999999999997</v>
      </c>
      <c r="AF2946" t="str">
        <f t="shared" ref="AF2946:AF3009" si="93">C2946&amp;"-"&amp;TEXT(D2946,"00")</f>
        <v>2026-01</v>
      </c>
      <c r="AG2946">
        <f>SUBTOTAL(103,A2946)</f>
        <v>1</v>
      </c>
    </row>
    <row r="2947" spans="1:33" x14ac:dyDescent="0.3">
      <c r="A2947" t="s">
        <v>5570</v>
      </c>
      <c r="B2947" s="13">
        <v>46036</v>
      </c>
      <c r="C2947">
        <v>2026</v>
      </c>
      <c r="D2947">
        <v>1</v>
      </c>
      <c r="E2947" t="s">
        <v>2571</v>
      </c>
      <c r="F2947" t="s">
        <v>2572</v>
      </c>
      <c r="G2947" t="s">
        <v>419</v>
      </c>
      <c r="H2947" t="s">
        <v>420</v>
      </c>
      <c r="I2947" t="s">
        <v>87</v>
      </c>
      <c r="J2947">
        <v>55</v>
      </c>
      <c r="K2947" t="s">
        <v>83</v>
      </c>
      <c r="L2947" t="s">
        <v>2679</v>
      </c>
      <c r="M2947" t="s">
        <v>60</v>
      </c>
      <c r="N2947" t="s">
        <v>2590</v>
      </c>
      <c r="O2947" t="s">
        <v>127</v>
      </c>
      <c r="P2947" t="s">
        <v>51</v>
      </c>
      <c r="Q2947" t="s">
        <v>148</v>
      </c>
      <c r="R2947">
        <v>3</v>
      </c>
      <c r="S2947">
        <v>1599</v>
      </c>
      <c r="T2947">
        <v>0.05</v>
      </c>
      <c r="U2947">
        <v>4557.1499999999996</v>
      </c>
      <c r="V2947">
        <v>2400</v>
      </c>
      <c r="W2947">
        <v>2157.15</v>
      </c>
      <c r="X2947" t="s">
        <v>73</v>
      </c>
      <c r="Y2947" t="s">
        <v>68</v>
      </c>
      <c r="Z2947" t="s">
        <v>162</v>
      </c>
      <c r="AA2947" t="s">
        <v>166</v>
      </c>
      <c r="AB2947">
        <v>4.4000000000000004</v>
      </c>
      <c r="AC2947">
        <v>60</v>
      </c>
      <c r="AD2947">
        <v>129.75</v>
      </c>
      <c r="AE2947">
        <f t="shared" si="92"/>
        <v>1967.4</v>
      </c>
      <c r="AF2947" t="str">
        <f t="shared" si="93"/>
        <v>2026-01</v>
      </c>
      <c r="AG2947">
        <f>SUBTOTAL(103,A2947)</f>
        <v>1</v>
      </c>
    </row>
    <row r="2948" spans="1:33" x14ac:dyDescent="0.3">
      <c r="A2948" t="s">
        <v>5571</v>
      </c>
      <c r="B2948" s="13">
        <v>46037</v>
      </c>
      <c r="C2948">
        <v>2026</v>
      </c>
      <c r="D2948">
        <v>1</v>
      </c>
      <c r="E2948" t="s">
        <v>2571</v>
      </c>
      <c r="F2948" t="s">
        <v>2572</v>
      </c>
      <c r="G2948" t="s">
        <v>819</v>
      </c>
      <c r="H2948" t="s">
        <v>820</v>
      </c>
      <c r="I2948" t="s">
        <v>85</v>
      </c>
      <c r="J2948">
        <v>33</v>
      </c>
      <c r="K2948" t="s">
        <v>81</v>
      </c>
      <c r="L2948" t="s">
        <v>92</v>
      </c>
      <c r="M2948" t="s">
        <v>59</v>
      </c>
      <c r="N2948" t="s">
        <v>2630</v>
      </c>
      <c r="O2948" t="s">
        <v>123</v>
      </c>
      <c r="P2948" t="s">
        <v>52</v>
      </c>
      <c r="Q2948" t="s">
        <v>146</v>
      </c>
      <c r="R2948">
        <v>3</v>
      </c>
      <c r="S2948">
        <v>2499</v>
      </c>
      <c r="T2948">
        <v>0.1</v>
      </c>
      <c r="U2948">
        <v>6747.3</v>
      </c>
      <c r="V2948">
        <v>4200</v>
      </c>
      <c r="W2948">
        <v>2547.3000000000002</v>
      </c>
      <c r="X2948" t="s">
        <v>74</v>
      </c>
      <c r="Y2948" t="s">
        <v>68</v>
      </c>
      <c r="Z2948" t="s">
        <v>163</v>
      </c>
      <c r="AA2948" t="s">
        <v>166</v>
      </c>
      <c r="AB2948">
        <v>4.7</v>
      </c>
      <c r="AC2948">
        <v>40</v>
      </c>
      <c r="AD2948">
        <v>572.08000000000004</v>
      </c>
      <c r="AE2948">
        <f t="shared" si="92"/>
        <v>1935.2200000000003</v>
      </c>
      <c r="AF2948" t="str">
        <f t="shared" si="93"/>
        <v>2026-01</v>
      </c>
      <c r="AG2948">
        <f>SUBTOTAL(103,A2948)</f>
        <v>1</v>
      </c>
    </row>
    <row r="2949" spans="1:33" x14ac:dyDescent="0.3">
      <c r="A2949" t="s">
        <v>5572</v>
      </c>
      <c r="B2949" s="13">
        <v>46037</v>
      </c>
      <c r="C2949">
        <v>2026</v>
      </c>
      <c r="D2949">
        <v>1</v>
      </c>
      <c r="E2949" t="s">
        <v>2571</v>
      </c>
      <c r="F2949" t="s">
        <v>2572</v>
      </c>
      <c r="G2949" t="s">
        <v>949</v>
      </c>
      <c r="H2949" t="s">
        <v>950</v>
      </c>
      <c r="I2949" t="s">
        <v>86</v>
      </c>
      <c r="J2949">
        <v>30</v>
      </c>
      <c r="K2949" t="s">
        <v>81</v>
      </c>
      <c r="L2949" t="s">
        <v>2690</v>
      </c>
      <c r="M2949" t="s">
        <v>63</v>
      </c>
      <c r="N2949" t="s">
        <v>2626</v>
      </c>
      <c r="O2949" t="s">
        <v>125</v>
      </c>
      <c r="P2949" t="s">
        <v>48</v>
      </c>
      <c r="Q2949" t="s">
        <v>141</v>
      </c>
      <c r="R2949">
        <v>3</v>
      </c>
      <c r="S2949">
        <v>1999</v>
      </c>
      <c r="T2949">
        <v>0</v>
      </c>
      <c r="U2949">
        <v>5997</v>
      </c>
      <c r="V2949">
        <v>3450</v>
      </c>
      <c r="W2949">
        <v>2547</v>
      </c>
      <c r="X2949" t="s">
        <v>74</v>
      </c>
      <c r="Y2949" t="s">
        <v>68</v>
      </c>
      <c r="Z2949" t="s">
        <v>163</v>
      </c>
      <c r="AA2949" t="s">
        <v>167</v>
      </c>
      <c r="AB2949">
        <v>4.3</v>
      </c>
      <c r="AC2949">
        <v>120</v>
      </c>
      <c r="AD2949">
        <v>699.91</v>
      </c>
      <c r="AE2949">
        <f t="shared" si="92"/>
        <v>1727.0900000000001</v>
      </c>
      <c r="AF2949" t="str">
        <f t="shared" si="93"/>
        <v>2026-01</v>
      </c>
      <c r="AG2949">
        <f>SUBTOTAL(103,A2949)</f>
        <v>1</v>
      </c>
    </row>
    <row r="2950" spans="1:33" x14ac:dyDescent="0.3">
      <c r="A2950" t="s">
        <v>5573</v>
      </c>
      <c r="B2950" s="13">
        <v>46037</v>
      </c>
      <c r="C2950">
        <v>2026</v>
      </c>
      <c r="D2950">
        <v>1</v>
      </c>
      <c r="E2950" t="s">
        <v>2571</v>
      </c>
      <c r="F2950" t="s">
        <v>2572</v>
      </c>
      <c r="G2950" t="s">
        <v>2053</v>
      </c>
      <c r="H2950" t="s">
        <v>2054</v>
      </c>
      <c r="I2950" t="s">
        <v>86</v>
      </c>
      <c r="J2950">
        <v>51</v>
      </c>
      <c r="K2950" t="s">
        <v>83</v>
      </c>
      <c r="L2950" t="s">
        <v>95</v>
      </c>
      <c r="M2950" t="s">
        <v>56</v>
      </c>
      <c r="N2950" t="s">
        <v>2657</v>
      </c>
      <c r="O2950" t="s">
        <v>134</v>
      </c>
      <c r="P2950" t="s">
        <v>49</v>
      </c>
      <c r="Q2950" t="s">
        <v>140</v>
      </c>
      <c r="R2950">
        <v>2</v>
      </c>
      <c r="S2950">
        <v>599</v>
      </c>
      <c r="T2950">
        <v>0</v>
      </c>
      <c r="U2950">
        <v>1198</v>
      </c>
      <c r="V2950">
        <v>500</v>
      </c>
      <c r="W2950">
        <v>698</v>
      </c>
      <c r="X2950" t="s">
        <v>76</v>
      </c>
      <c r="Y2950" t="s">
        <v>68</v>
      </c>
      <c r="Z2950" t="s">
        <v>161</v>
      </c>
      <c r="AA2950" t="s">
        <v>167</v>
      </c>
      <c r="AB2950">
        <v>3.9</v>
      </c>
      <c r="AC2950">
        <v>40</v>
      </c>
      <c r="AD2950">
        <v>91.61</v>
      </c>
      <c r="AE2950">
        <f t="shared" si="92"/>
        <v>566.39</v>
      </c>
      <c r="AF2950" t="str">
        <f t="shared" si="93"/>
        <v>2026-01</v>
      </c>
      <c r="AG2950">
        <f>SUBTOTAL(103,A2950)</f>
        <v>1</v>
      </c>
    </row>
    <row r="2951" spans="1:33" x14ac:dyDescent="0.3">
      <c r="A2951" t="s">
        <v>5574</v>
      </c>
      <c r="B2951" s="13">
        <v>46037</v>
      </c>
      <c r="C2951">
        <v>2026</v>
      </c>
      <c r="D2951">
        <v>1</v>
      </c>
      <c r="E2951" t="s">
        <v>2571</v>
      </c>
      <c r="F2951" t="s">
        <v>2572</v>
      </c>
      <c r="G2951" t="s">
        <v>791</v>
      </c>
      <c r="H2951" t="s">
        <v>792</v>
      </c>
      <c r="I2951" t="s">
        <v>86</v>
      </c>
      <c r="J2951">
        <v>28</v>
      </c>
      <c r="K2951" t="s">
        <v>81</v>
      </c>
      <c r="L2951" t="s">
        <v>2579</v>
      </c>
      <c r="M2951" t="s">
        <v>56</v>
      </c>
      <c r="N2951" t="s">
        <v>2606</v>
      </c>
      <c r="O2951" t="s">
        <v>120</v>
      </c>
      <c r="P2951" t="s">
        <v>49</v>
      </c>
      <c r="Q2951" t="s">
        <v>140</v>
      </c>
      <c r="R2951">
        <v>1</v>
      </c>
      <c r="S2951">
        <v>2799</v>
      </c>
      <c r="T2951">
        <v>0.15</v>
      </c>
      <c r="U2951">
        <v>2379.15</v>
      </c>
      <c r="V2951">
        <v>1650</v>
      </c>
      <c r="W2951">
        <v>729.15</v>
      </c>
      <c r="X2951" t="s">
        <v>75</v>
      </c>
      <c r="Y2951" t="s">
        <v>69</v>
      </c>
      <c r="Z2951" t="s">
        <v>160</v>
      </c>
      <c r="AA2951" t="s">
        <v>166</v>
      </c>
      <c r="AB2951">
        <v>4.4000000000000004</v>
      </c>
      <c r="AC2951">
        <v>60</v>
      </c>
      <c r="AD2951">
        <v>94.36</v>
      </c>
      <c r="AE2951">
        <f t="shared" si="92"/>
        <v>574.79</v>
      </c>
      <c r="AF2951" t="str">
        <f t="shared" si="93"/>
        <v>2026-01</v>
      </c>
      <c r="AG2951">
        <f>SUBTOTAL(103,A2951)</f>
        <v>1</v>
      </c>
    </row>
    <row r="2952" spans="1:33" x14ac:dyDescent="0.3">
      <c r="A2952" t="s">
        <v>5575</v>
      </c>
      <c r="B2952" s="13">
        <v>46037</v>
      </c>
      <c r="C2952">
        <v>2026</v>
      </c>
      <c r="D2952">
        <v>1</v>
      </c>
      <c r="E2952" t="s">
        <v>2571</v>
      </c>
      <c r="F2952" t="s">
        <v>2572</v>
      </c>
      <c r="G2952" t="s">
        <v>1397</v>
      </c>
      <c r="H2952" t="s">
        <v>1398</v>
      </c>
      <c r="I2952" t="s">
        <v>85</v>
      </c>
      <c r="J2952">
        <v>43</v>
      </c>
      <c r="K2952" t="s">
        <v>82</v>
      </c>
      <c r="L2952" t="s">
        <v>2623</v>
      </c>
      <c r="M2952" t="s">
        <v>61</v>
      </c>
      <c r="N2952" t="s">
        <v>2582</v>
      </c>
      <c r="O2952" t="s">
        <v>119</v>
      </c>
      <c r="P2952" t="s">
        <v>49</v>
      </c>
      <c r="Q2952" t="s">
        <v>140</v>
      </c>
      <c r="R2952">
        <v>3</v>
      </c>
      <c r="S2952">
        <v>3499</v>
      </c>
      <c r="T2952">
        <v>0.15</v>
      </c>
      <c r="U2952">
        <v>8922.4500000000007</v>
      </c>
      <c r="V2952">
        <v>6300</v>
      </c>
      <c r="W2952">
        <v>2622.45</v>
      </c>
      <c r="X2952" t="s">
        <v>73</v>
      </c>
      <c r="Y2952" t="s">
        <v>68</v>
      </c>
      <c r="Z2952" t="s">
        <v>161</v>
      </c>
      <c r="AA2952" t="s">
        <v>166</v>
      </c>
      <c r="AB2952">
        <v>3.8</v>
      </c>
      <c r="AC2952">
        <v>80</v>
      </c>
      <c r="AD2952">
        <v>498.99</v>
      </c>
      <c r="AE2952">
        <f t="shared" si="92"/>
        <v>2043.4599999999998</v>
      </c>
      <c r="AF2952" t="str">
        <f t="shared" si="93"/>
        <v>2026-01</v>
      </c>
      <c r="AG2952">
        <f>SUBTOTAL(103,A2952)</f>
        <v>1</v>
      </c>
    </row>
    <row r="2953" spans="1:33" x14ac:dyDescent="0.3">
      <c r="A2953" t="s">
        <v>5576</v>
      </c>
      <c r="B2953" s="13">
        <v>46037</v>
      </c>
      <c r="C2953">
        <v>2026</v>
      </c>
      <c r="D2953">
        <v>1</v>
      </c>
      <c r="E2953" t="s">
        <v>2571</v>
      </c>
      <c r="F2953" t="s">
        <v>2572</v>
      </c>
      <c r="G2953" t="s">
        <v>403</v>
      </c>
      <c r="H2953" t="s">
        <v>404</v>
      </c>
      <c r="I2953" t="s">
        <v>85</v>
      </c>
      <c r="J2953">
        <v>29</v>
      </c>
      <c r="K2953" t="s">
        <v>81</v>
      </c>
      <c r="L2953" t="s">
        <v>90</v>
      </c>
      <c r="M2953" t="s">
        <v>55</v>
      </c>
      <c r="N2953" t="s">
        <v>2582</v>
      </c>
      <c r="O2953" t="s">
        <v>119</v>
      </c>
      <c r="P2953" t="s">
        <v>49</v>
      </c>
      <c r="Q2953" t="s">
        <v>140</v>
      </c>
      <c r="R2953">
        <v>1</v>
      </c>
      <c r="S2953">
        <v>3499</v>
      </c>
      <c r="T2953">
        <v>0.05</v>
      </c>
      <c r="U2953">
        <v>3324.05</v>
      </c>
      <c r="V2953">
        <v>2100</v>
      </c>
      <c r="W2953">
        <v>1224.05</v>
      </c>
      <c r="X2953" t="s">
        <v>73</v>
      </c>
      <c r="Y2953" t="s">
        <v>68</v>
      </c>
      <c r="Z2953" t="s">
        <v>159</v>
      </c>
      <c r="AA2953" t="s">
        <v>171</v>
      </c>
      <c r="AB2953">
        <v>3.5</v>
      </c>
      <c r="AC2953">
        <v>120</v>
      </c>
      <c r="AD2953">
        <v>135.99</v>
      </c>
      <c r="AE2953">
        <f t="shared" si="92"/>
        <v>968.06</v>
      </c>
      <c r="AF2953" t="str">
        <f t="shared" si="93"/>
        <v>2026-01</v>
      </c>
      <c r="AG2953">
        <f>SUBTOTAL(103,A2953)</f>
        <v>1</v>
      </c>
    </row>
    <row r="2954" spans="1:33" x14ac:dyDescent="0.3">
      <c r="A2954" t="s">
        <v>5577</v>
      </c>
      <c r="B2954" s="13">
        <v>46037</v>
      </c>
      <c r="C2954">
        <v>2026</v>
      </c>
      <c r="D2954">
        <v>1</v>
      </c>
      <c r="E2954" t="s">
        <v>2571</v>
      </c>
      <c r="F2954" t="s">
        <v>2572</v>
      </c>
      <c r="G2954" t="s">
        <v>2229</v>
      </c>
      <c r="H2954" t="s">
        <v>2230</v>
      </c>
      <c r="I2954" t="s">
        <v>85</v>
      </c>
      <c r="J2954">
        <v>38</v>
      </c>
      <c r="K2954" t="s">
        <v>82</v>
      </c>
      <c r="L2954" t="s">
        <v>98</v>
      </c>
      <c r="M2954" t="s">
        <v>55</v>
      </c>
      <c r="N2954" t="s">
        <v>2603</v>
      </c>
      <c r="O2954" t="s">
        <v>122</v>
      </c>
      <c r="P2954" t="s">
        <v>48</v>
      </c>
      <c r="Q2954" t="s">
        <v>141</v>
      </c>
      <c r="R2954">
        <v>1</v>
      </c>
      <c r="S2954">
        <v>2499</v>
      </c>
      <c r="T2954">
        <v>0.05</v>
      </c>
      <c r="U2954">
        <v>2374.0500000000002</v>
      </c>
      <c r="V2954">
        <v>1450</v>
      </c>
      <c r="W2954">
        <v>924.05</v>
      </c>
      <c r="X2954" t="s">
        <v>77</v>
      </c>
      <c r="Y2954" t="s">
        <v>68</v>
      </c>
      <c r="Z2954" t="s">
        <v>162</v>
      </c>
      <c r="AA2954" t="s">
        <v>169</v>
      </c>
      <c r="AB2954">
        <v>3.8</v>
      </c>
      <c r="AC2954">
        <v>100</v>
      </c>
      <c r="AD2954">
        <v>251.61</v>
      </c>
      <c r="AE2954">
        <f t="shared" si="92"/>
        <v>572.43999999999994</v>
      </c>
      <c r="AF2954" t="str">
        <f t="shared" si="93"/>
        <v>2026-01</v>
      </c>
      <c r="AG2954">
        <f>SUBTOTAL(103,A2954)</f>
        <v>1</v>
      </c>
    </row>
    <row r="2955" spans="1:33" x14ac:dyDescent="0.3">
      <c r="A2955" t="s">
        <v>5578</v>
      </c>
      <c r="B2955" s="13">
        <v>46037</v>
      </c>
      <c r="C2955">
        <v>2026</v>
      </c>
      <c r="D2955">
        <v>1</v>
      </c>
      <c r="E2955" t="s">
        <v>2571</v>
      </c>
      <c r="F2955" t="s">
        <v>2572</v>
      </c>
      <c r="G2955" t="s">
        <v>2083</v>
      </c>
      <c r="H2955" t="s">
        <v>2084</v>
      </c>
      <c r="I2955" t="s">
        <v>85</v>
      </c>
      <c r="J2955">
        <v>40</v>
      </c>
      <c r="K2955" t="s">
        <v>82</v>
      </c>
      <c r="L2955" t="s">
        <v>92</v>
      </c>
      <c r="M2955" t="s">
        <v>59</v>
      </c>
      <c r="N2955" t="s">
        <v>2606</v>
      </c>
      <c r="O2955" t="s">
        <v>120</v>
      </c>
      <c r="P2955" t="s">
        <v>49</v>
      </c>
      <c r="Q2955" t="s">
        <v>140</v>
      </c>
      <c r="R2955">
        <v>1</v>
      </c>
      <c r="S2955">
        <v>2799</v>
      </c>
      <c r="T2955">
        <v>0.05</v>
      </c>
      <c r="U2955">
        <v>2659.05</v>
      </c>
      <c r="V2955">
        <v>1650</v>
      </c>
      <c r="W2955">
        <v>1009.05</v>
      </c>
      <c r="X2955" t="s">
        <v>74</v>
      </c>
      <c r="Y2955" t="s">
        <v>68</v>
      </c>
      <c r="Z2955" t="s">
        <v>158</v>
      </c>
      <c r="AA2955" t="s">
        <v>168</v>
      </c>
      <c r="AB2955">
        <v>4.2</v>
      </c>
      <c r="AC2955">
        <v>80</v>
      </c>
      <c r="AD2955">
        <v>177.59</v>
      </c>
      <c r="AE2955">
        <f t="shared" si="92"/>
        <v>751.45999999999992</v>
      </c>
      <c r="AF2955" t="str">
        <f t="shared" si="93"/>
        <v>2026-01</v>
      </c>
      <c r="AG2955">
        <f>SUBTOTAL(103,A2955)</f>
        <v>1</v>
      </c>
    </row>
    <row r="2956" spans="1:33" x14ac:dyDescent="0.3">
      <c r="A2956" t="s">
        <v>5579</v>
      </c>
      <c r="B2956" s="13">
        <v>46038</v>
      </c>
      <c r="C2956">
        <v>2026</v>
      </c>
      <c r="D2956">
        <v>1</v>
      </c>
      <c r="E2956" t="s">
        <v>2571</v>
      </c>
      <c r="F2956" t="s">
        <v>2572</v>
      </c>
      <c r="G2956" t="s">
        <v>1703</v>
      </c>
      <c r="H2956" t="s">
        <v>1704</v>
      </c>
      <c r="I2956" t="s">
        <v>86</v>
      </c>
      <c r="J2956">
        <v>22</v>
      </c>
      <c r="K2956" t="s">
        <v>80</v>
      </c>
      <c r="L2956" t="s">
        <v>2610</v>
      </c>
      <c r="M2956" t="s">
        <v>64</v>
      </c>
      <c r="N2956" t="s">
        <v>2606</v>
      </c>
      <c r="O2956" t="s">
        <v>120</v>
      </c>
      <c r="P2956" t="s">
        <v>49</v>
      </c>
      <c r="Q2956" t="s">
        <v>140</v>
      </c>
      <c r="R2956">
        <v>3</v>
      </c>
      <c r="S2956">
        <v>2799</v>
      </c>
      <c r="T2956">
        <v>0.2</v>
      </c>
      <c r="U2956">
        <v>6717.6</v>
      </c>
      <c r="V2956">
        <v>4950</v>
      </c>
      <c r="W2956">
        <v>1767.6</v>
      </c>
      <c r="X2956" t="s">
        <v>75</v>
      </c>
      <c r="Y2956" t="s">
        <v>68</v>
      </c>
      <c r="Z2956" t="s">
        <v>158</v>
      </c>
      <c r="AA2956" t="s">
        <v>168</v>
      </c>
      <c r="AB2956">
        <v>3.6</v>
      </c>
      <c r="AC2956">
        <v>80</v>
      </c>
      <c r="AD2956">
        <v>725.81</v>
      </c>
      <c r="AE2956">
        <f t="shared" si="92"/>
        <v>961.79</v>
      </c>
      <c r="AF2956" t="str">
        <f t="shared" si="93"/>
        <v>2026-01</v>
      </c>
      <c r="AG2956">
        <f>SUBTOTAL(103,A2956)</f>
        <v>1</v>
      </c>
    </row>
    <row r="2957" spans="1:33" x14ac:dyDescent="0.3">
      <c r="A2957" t="s">
        <v>5580</v>
      </c>
      <c r="B2957" s="13">
        <v>46038</v>
      </c>
      <c r="C2957">
        <v>2026</v>
      </c>
      <c r="D2957">
        <v>1</v>
      </c>
      <c r="E2957" t="s">
        <v>2571</v>
      </c>
      <c r="F2957" t="s">
        <v>2572</v>
      </c>
      <c r="G2957" t="s">
        <v>1041</v>
      </c>
      <c r="H2957" t="s">
        <v>1042</v>
      </c>
      <c r="I2957" t="s">
        <v>85</v>
      </c>
      <c r="J2957">
        <v>39</v>
      </c>
      <c r="K2957" t="s">
        <v>82</v>
      </c>
      <c r="L2957" t="s">
        <v>2687</v>
      </c>
      <c r="M2957" t="s">
        <v>57</v>
      </c>
      <c r="N2957" t="s">
        <v>2594</v>
      </c>
      <c r="O2957" t="s">
        <v>131</v>
      </c>
      <c r="P2957" t="s">
        <v>53</v>
      </c>
      <c r="Q2957" t="s">
        <v>143</v>
      </c>
      <c r="R2957">
        <v>4</v>
      </c>
      <c r="S2957">
        <v>999</v>
      </c>
      <c r="T2957">
        <v>0.05</v>
      </c>
      <c r="U2957">
        <v>3796.2</v>
      </c>
      <c r="V2957">
        <v>2080</v>
      </c>
      <c r="W2957">
        <v>1716.2</v>
      </c>
      <c r="X2957" t="s">
        <v>77</v>
      </c>
      <c r="Y2957" t="s">
        <v>68</v>
      </c>
      <c r="Z2957" t="s">
        <v>161</v>
      </c>
      <c r="AA2957" t="s">
        <v>169</v>
      </c>
      <c r="AB2957">
        <v>3.3</v>
      </c>
      <c r="AC2957">
        <v>100</v>
      </c>
      <c r="AD2957">
        <v>151.55000000000001</v>
      </c>
      <c r="AE2957">
        <f t="shared" si="92"/>
        <v>1464.65</v>
      </c>
      <c r="AF2957" t="str">
        <f t="shared" si="93"/>
        <v>2026-01</v>
      </c>
      <c r="AG2957">
        <f>SUBTOTAL(103,A2957)</f>
        <v>1</v>
      </c>
    </row>
    <row r="2958" spans="1:33" x14ac:dyDescent="0.3">
      <c r="A2958" t="s">
        <v>5581</v>
      </c>
      <c r="B2958" s="13">
        <v>46038</v>
      </c>
      <c r="C2958">
        <v>2026</v>
      </c>
      <c r="D2958">
        <v>1</v>
      </c>
      <c r="E2958" t="s">
        <v>2571</v>
      </c>
      <c r="F2958" t="s">
        <v>2572</v>
      </c>
      <c r="G2958" t="s">
        <v>231</v>
      </c>
      <c r="H2958" t="s">
        <v>232</v>
      </c>
      <c r="I2958" t="s">
        <v>85</v>
      </c>
      <c r="J2958">
        <v>59</v>
      </c>
      <c r="K2958" t="s">
        <v>83</v>
      </c>
      <c r="L2958" t="s">
        <v>93</v>
      </c>
      <c r="M2958" t="s">
        <v>55</v>
      </c>
      <c r="N2958" t="s">
        <v>2665</v>
      </c>
      <c r="O2958" t="s">
        <v>128</v>
      </c>
      <c r="P2958" t="s">
        <v>53</v>
      </c>
      <c r="Q2958" t="s">
        <v>143</v>
      </c>
      <c r="R2958">
        <v>1</v>
      </c>
      <c r="S2958">
        <v>1499</v>
      </c>
      <c r="T2958">
        <v>0.25</v>
      </c>
      <c r="U2958">
        <v>1124.25</v>
      </c>
      <c r="V2958">
        <v>800</v>
      </c>
      <c r="W2958">
        <v>324.25</v>
      </c>
      <c r="X2958" t="s">
        <v>76</v>
      </c>
      <c r="Y2958" t="s">
        <v>68</v>
      </c>
      <c r="Z2958" t="s">
        <v>162</v>
      </c>
      <c r="AA2958" t="s">
        <v>168</v>
      </c>
      <c r="AB2958">
        <v>3.1</v>
      </c>
      <c r="AC2958">
        <v>60</v>
      </c>
      <c r="AD2958">
        <v>70.86</v>
      </c>
      <c r="AE2958">
        <f t="shared" si="92"/>
        <v>193.39</v>
      </c>
      <c r="AF2958" t="str">
        <f t="shared" si="93"/>
        <v>2026-01</v>
      </c>
      <c r="AG2958">
        <f>SUBTOTAL(103,A2958)</f>
        <v>1</v>
      </c>
    </row>
    <row r="2959" spans="1:33" x14ac:dyDescent="0.3">
      <c r="A2959" t="s">
        <v>5582</v>
      </c>
      <c r="B2959" s="13">
        <v>46038</v>
      </c>
      <c r="C2959">
        <v>2026</v>
      </c>
      <c r="D2959">
        <v>1</v>
      </c>
      <c r="E2959" t="s">
        <v>2571</v>
      </c>
      <c r="F2959" t="s">
        <v>2572</v>
      </c>
      <c r="G2959" t="s">
        <v>1915</v>
      </c>
      <c r="H2959" t="s">
        <v>1916</v>
      </c>
      <c r="I2959" t="s">
        <v>86</v>
      </c>
      <c r="J2959">
        <v>26</v>
      </c>
      <c r="K2959" t="s">
        <v>81</v>
      </c>
      <c r="L2959" t="s">
        <v>90</v>
      </c>
      <c r="M2959" t="s">
        <v>55</v>
      </c>
      <c r="N2959" t="s">
        <v>2653</v>
      </c>
      <c r="O2959" t="s">
        <v>132</v>
      </c>
      <c r="P2959" t="s">
        <v>52</v>
      </c>
      <c r="Q2959" t="s">
        <v>150</v>
      </c>
      <c r="R2959">
        <v>2</v>
      </c>
      <c r="S2959">
        <v>899</v>
      </c>
      <c r="T2959">
        <v>0</v>
      </c>
      <c r="U2959">
        <v>1798</v>
      </c>
      <c r="V2959">
        <v>840</v>
      </c>
      <c r="W2959">
        <v>958</v>
      </c>
      <c r="X2959" t="s">
        <v>73</v>
      </c>
      <c r="Y2959" t="s">
        <v>68</v>
      </c>
      <c r="Z2959" t="s">
        <v>162</v>
      </c>
      <c r="AA2959" t="s">
        <v>171</v>
      </c>
      <c r="AB2959">
        <v>3.3</v>
      </c>
      <c r="AC2959">
        <v>60</v>
      </c>
      <c r="AD2959">
        <v>108.4</v>
      </c>
      <c r="AE2959">
        <f t="shared" si="92"/>
        <v>789.6</v>
      </c>
      <c r="AF2959" t="str">
        <f t="shared" si="93"/>
        <v>2026-01</v>
      </c>
      <c r="AG2959">
        <f>SUBTOTAL(103,A2959)</f>
        <v>1</v>
      </c>
    </row>
    <row r="2960" spans="1:33" x14ac:dyDescent="0.3">
      <c r="A2960" t="s">
        <v>5583</v>
      </c>
      <c r="B2960" s="13">
        <v>46038</v>
      </c>
      <c r="C2960">
        <v>2026</v>
      </c>
      <c r="D2960">
        <v>1</v>
      </c>
      <c r="E2960" t="s">
        <v>2571</v>
      </c>
      <c r="F2960" t="s">
        <v>2572</v>
      </c>
      <c r="G2960" t="s">
        <v>219</v>
      </c>
      <c r="H2960" t="s">
        <v>220</v>
      </c>
      <c r="I2960" t="s">
        <v>86</v>
      </c>
      <c r="J2960">
        <v>42</v>
      </c>
      <c r="K2960" t="s">
        <v>82</v>
      </c>
      <c r="L2960" t="s">
        <v>91</v>
      </c>
      <c r="M2960" t="s">
        <v>55</v>
      </c>
      <c r="N2960" t="s">
        <v>2587</v>
      </c>
      <c r="O2960" t="s">
        <v>116</v>
      </c>
      <c r="P2960" t="s">
        <v>48</v>
      </c>
      <c r="Q2960" t="s">
        <v>138</v>
      </c>
      <c r="R2960">
        <v>5</v>
      </c>
      <c r="S2960">
        <v>14999</v>
      </c>
      <c r="T2960">
        <v>0.1</v>
      </c>
      <c r="U2960">
        <v>67495.5</v>
      </c>
      <c r="V2960">
        <v>56000</v>
      </c>
      <c r="W2960">
        <v>11495.5</v>
      </c>
      <c r="X2960" t="s">
        <v>73</v>
      </c>
      <c r="Y2960" t="s">
        <v>68</v>
      </c>
      <c r="Z2960" t="s">
        <v>158</v>
      </c>
      <c r="AA2960" t="s">
        <v>171</v>
      </c>
      <c r="AB2960">
        <v>4</v>
      </c>
      <c r="AC2960">
        <v>120</v>
      </c>
      <c r="AD2960">
        <v>6374.44</v>
      </c>
      <c r="AE2960">
        <f t="shared" si="92"/>
        <v>5001.0600000000004</v>
      </c>
      <c r="AF2960" t="str">
        <f t="shared" si="93"/>
        <v>2026-01</v>
      </c>
      <c r="AG2960">
        <f>SUBTOTAL(103,A2960)</f>
        <v>1</v>
      </c>
    </row>
    <row r="2961" spans="1:33" x14ac:dyDescent="0.3">
      <c r="A2961" t="s">
        <v>5584</v>
      </c>
      <c r="B2961" s="13">
        <v>46038</v>
      </c>
      <c r="C2961">
        <v>2026</v>
      </c>
      <c r="D2961">
        <v>1</v>
      </c>
      <c r="E2961" t="s">
        <v>2571</v>
      </c>
      <c r="F2961" t="s">
        <v>2572</v>
      </c>
      <c r="G2961" t="s">
        <v>273</v>
      </c>
      <c r="H2961" t="s">
        <v>274</v>
      </c>
      <c r="I2961" t="s">
        <v>86</v>
      </c>
      <c r="J2961">
        <v>36</v>
      </c>
      <c r="K2961" t="s">
        <v>82</v>
      </c>
      <c r="L2961" t="s">
        <v>99</v>
      </c>
      <c r="M2961" t="s">
        <v>58</v>
      </c>
      <c r="N2961" t="s">
        <v>2644</v>
      </c>
      <c r="O2961" t="s">
        <v>126</v>
      </c>
      <c r="P2961" t="s">
        <v>50</v>
      </c>
      <c r="Q2961" t="s">
        <v>145</v>
      </c>
      <c r="R2961">
        <v>1</v>
      </c>
      <c r="S2961">
        <v>1799</v>
      </c>
      <c r="T2961">
        <v>0.25</v>
      </c>
      <c r="U2961">
        <v>1349.25</v>
      </c>
      <c r="V2961">
        <v>950</v>
      </c>
      <c r="W2961">
        <v>399.25</v>
      </c>
      <c r="X2961" t="s">
        <v>74</v>
      </c>
      <c r="Y2961" t="s">
        <v>68</v>
      </c>
      <c r="Z2961" t="s">
        <v>158</v>
      </c>
      <c r="AA2961" t="s">
        <v>169</v>
      </c>
      <c r="AB2961">
        <v>4</v>
      </c>
      <c r="AC2961">
        <v>80</v>
      </c>
      <c r="AD2961">
        <v>47.16</v>
      </c>
      <c r="AE2961">
        <f t="shared" si="92"/>
        <v>272.09000000000003</v>
      </c>
      <c r="AF2961" t="str">
        <f t="shared" si="93"/>
        <v>2026-01</v>
      </c>
      <c r="AG2961">
        <f>SUBTOTAL(103,A2961)</f>
        <v>1</v>
      </c>
    </row>
    <row r="2962" spans="1:33" x14ac:dyDescent="0.3">
      <c r="A2962" t="s">
        <v>5585</v>
      </c>
      <c r="B2962" s="13">
        <v>46038</v>
      </c>
      <c r="C2962">
        <v>2026</v>
      </c>
      <c r="D2962">
        <v>1</v>
      </c>
      <c r="E2962" t="s">
        <v>2571</v>
      </c>
      <c r="F2962" t="s">
        <v>2572</v>
      </c>
      <c r="G2962" t="s">
        <v>1841</v>
      </c>
      <c r="H2962" t="s">
        <v>1842</v>
      </c>
      <c r="I2962" t="s">
        <v>87</v>
      </c>
      <c r="J2962">
        <v>59</v>
      </c>
      <c r="K2962" t="s">
        <v>83</v>
      </c>
      <c r="L2962" t="s">
        <v>2679</v>
      </c>
      <c r="M2962" t="s">
        <v>60</v>
      </c>
      <c r="N2962" t="s">
        <v>2594</v>
      </c>
      <c r="O2962" t="s">
        <v>131</v>
      </c>
      <c r="P2962" t="s">
        <v>53</v>
      </c>
      <c r="Q2962" t="s">
        <v>143</v>
      </c>
      <c r="R2962">
        <v>2</v>
      </c>
      <c r="S2962">
        <v>999</v>
      </c>
      <c r="T2962">
        <v>0.1</v>
      </c>
      <c r="U2962">
        <v>1798.2</v>
      </c>
      <c r="V2962">
        <v>1040</v>
      </c>
      <c r="W2962">
        <v>758.2</v>
      </c>
      <c r="X2962" t="s">
        <v>76</v>
      </c>
      <c r="Y2962" t="s">
        <v>68</v>
      </c>
      <c r="Z2962" t="s">
        <v>161</v>
      </c>
      <c r="AA2962" t="s">
        <v>171</v>
      </c>
      <c r="AB2962">
        <v>5</v>
      </c>
      <c r="AC2962">
        <v>80</v>
      </c>
      <c r="AD2962">
        <v>129.04</v>
      </c>
      <c r="AE2962">
        <f t="shared" si="92"/>
        <v>549.16000000000008</v>
      </c>
      <c r="AF2962" t="str">
        <f t="shared" si="93"/>
        <v>2026-01</v>
      </c>
      <c r="AG2962">
        <f>SUBTOTAL(103,A2962)</f>
        <v>1</v>
      </c>
    </row>
    <row r="2963" spans="1:33" x14ac:dyDescent="0.3">
      <c r="A2963" t="s">
        <v>5586</v>
      </c>
      <c r="B2963" s="13">
        <v>46038</v>
      </c>
      <c r="C2963">
        <v>2026</v>
      </c>
      <c r="D2963">
        <v>1</v>
      </c>
      <c r="E2963" t="s">
        <v>2571</v>
      </c>
      <c r="F2963" t="s">
        <v>2572</v>
      </c>
      <c r="G2963" t="s">
        <v>1531</v>
      </c>
      <c r="H2963" t="s">
        <v>1532</v>
      </c>
      <c r="I2963" t="s">
        <v>85</v>
      </c>
      <c r="J2963">
        <v>36</v>
      </c>
      <c r="K2963" t="s">
        <v>82</v>
      </c>
      <c r="L2963" t="s">
        <v>2579</v>
      </c>
      <c r="M2963" t="s">
        <v>56</v>
      </c>
      <c r="N2963" t="s">
        <v>2647</v>
      </c>
      <c r="O2963" t="s">
        <v>133</v>
      </c>
      <c r="P2963" t="s">
        <v>50</v>
      </c>
      <c r="Q2963" t="s">
        <v>145</v>
      </c>
      <c r="R2963">
        <v>2</v>
      </c>
      <c r="S2963">
        <v>799</v>
      </c>
      <c r="T2963">
        <v>0.05</v>
      </c>
      <c r="U2963">
        <v>1518.1</v>
      </c>
      <c r="V2963">
        <v>780</v>
      </c>
      <c r="W2963">
        <v>738.1</v>
      </c>
      <c r="X2963" t="s">
        <v>76</v>
      </c>
      <c r="Y2963" t="s">
        <v>70</v>
      </c>
      <c r="Z2963" t="s">
        <v>162</v>
      </c>
      <c r="AA2963" t="s">
        <v>171</v>
      </c>
      <c r="AB2963">
        <v>5</v>
      </c>
      <c r="AC2963">
        <v>50</v>
      </c>
      <c r="AD2963">
        <v>132.44</v>
      </c>
      <c r="AE2963">
        <f t="shared" si="92"/>
        <v>555.66000000000008</v>
      </c>
      <c r="AF2963" t="str">
        <f t="shared" si="93"/>
        <v>2026-01</v>
      </c>
      <c r="AG2963">
        <f>SUBTOTAL(103,A2963)</f>
        <v>1</v>
      </c>
    </row>
    <row r="2964" spans="1:33" x14ac:dyDescent="0.3">
      <c r="A2964" t="s">
        <v>5587</v>
      </c>
      <c r="B2964" s="13">
        <v>46038</v>
      </c>
      <c r="C2964">
        <v>2026</v>
      </c>
      <c r="D2964">
        <v>1</v>
      </c>
      <c r="E2964" t="s">
        <v>2571</v>
      </c>
      <c r="F2964" t="s">
        <v>2572</v>
      </c>
      <c r="G2964" t="s">
        <v>2101</v>
      </c>
      <c r="H2964" t="s">
        <v>2102</v>
      </c>
      <c r="I2964" t="s">
        <v>86</v>
      </c>
      <c r="J2964">
        <v>28</v>
      </c>
      <c r="K2964" t="s">
        <v>81</v>
      </c>
      <c r="L2964" t="s">
        <v>2661</v>
      </c>
      <c r="M2964" t="s">
        <v>58</v>
      </c>
      <c r="N2964" t="s">
        <v>2582</v>
      </c>
      <c r="O2964" t="s">
        <v>119</v>
      </c>
      <c r="P2964" t="s">
        <v>49</v>
      </c>
      <c r="Q2964" t="s">
        <v>140</v>
      </c>
      <c r="R2964">
        <v>1</v>
      </c>
      <c r="S2964">
        <v>3499</v>
      </c>
      <c r="T2964">
        <v>0.1</v>
      </c>
      <c r="U2964">
        <v>3149.1</v>
      </c>
      <c r="V2964">
        <v>2100</v>
      </c>
      <c r="W2964">
        <v>1049.0999999999999</v>
      </c>
      <c r="X2964" t="s">
        <v>74</v>
      </c>
      <c r="Y2964" t="s">
        <v>68</v>
      </c>
      <c r="Z2964" t="s">
        <v>159</v>
      </c>
      <c r="AA2964" t="s">
        <v>168</v>
      </c>
      <c r="AB2964">
        <v>3.7</v>
      </c>
      <c r="AC2964">
        <v>80</v>
      </c>
      <c r="AD2964">
        <v>162.51</v>
      </c>
      <c r="AE2964">
        <f t="shared" si="92"/>
        <v>806.58999999999992</v>
      </c>
      <c r="AF2964" t="str">
        <f t="shared" si="93"/>
        <v>2026-01</v>
      </c>
      <c r="AG2964">
        <f>SUBTOTAL(103,A2964)</f>
        <v>1</v>
      </c>
    </row>
    <row r="2965" spans="1:33" x14ac:dyDescent="0.3">
      <c r="A2965" t="s">
        <v>5588</v>
      </c>
      <c r="B2965" s="13">
        <v>46038</v>
      </c>
      <c r="C2965">
        <v>2026</v>
      </c>
      <c r="D2965">
        <v>1</v>
      </c>
      <c r="E2965" t="s">
        <v>2571</v>
      </c>
      <c r="F2965" t="s">
        <v>2572</v>
      </c>
      <c r="G2965" t="s">
        <v>581</v>
      </c>
      <c r="H2965" t="s">
        <v>582</v>
      </c>
      <c r="I2965" t="s">
        <v>86</v>
      </c>
      <c r="J2965">
        <v>57</v>
      </c>
      <c r="K2965" t="s">
        <v>83</v>
      </c>
      <c r="L2965" t="s">
        <v>2610</v>
      </c>
      <c r="M2965" t="s">
        <v>64</v>
      </c>
      <c r="N2965" t="s">
        <v>2590</v>
      </c>
      <c r="O2965" t="s">
        <v>127</v>
      </c>
      <c r="P2965" t="s">
        <v>51</v>
      </c>
      <c r="Q2965" t="s">
        <v>148</v>
      </c>
      <c r="R2965">
        <v>2</v>
      </c>
      <c r="S2965">
        <v>1599</v>
      </c>
      <c r="T2965">
        <v>0</v>
      </c>
      <c r="U2965">
        <v>3198</v>
      </c>
      <c r="V2965">
        <v>1600</v>
      </c>
      <c r="W2965">
        <v>1598</v>
      </c>
      <c r="X2965" t="s">
        <v>74</v>
      </c>
      <c r="Y2965" t="s">
        <v>68</v>
      </c>
      <c r="Z2965" t="s">
        <v>159</v>
      </c>
      <c r="AA2965" t="s">
        <v>167</v>
      </c>
      <c r="AB2965">
        <v>3.8</v>
      </c>
      <c r="AC2965">
        <v>80</v>
      </c>
      <c r="AD2965">
        <v>377.56</v>
      </c>
      <c r="AE2965">
        <f t="shared" si="92"/>
        <v>1140.44</v>
      </c>
      <c r="AF2965" t="str">
        <f t="shared" si="93"/>
        <v>2026-01</v>
      </c>
      <c r="AG2965">
        <f>SUBTOTAL(103,A2965)</f>
        <v>1</v>
      </c>
    </row>
    <row r="2966" spans="1:33" x14ac:dyDescent="0.3">
      <c r="A2966" t="s">
        <v>5589</v>
      </c>
      <c r="B2966" s="13">
        <v>46038</v>
      </c>
      <c r="C2966">
        <v>2026</v>
      </c>
      <c r="D2966">
        <v>1</v>
      </c>
      <c r="E2966" t="s">
        <v>2571</v>
      </c>
      <c r="F2966" t="s">
        <v>2572</v>
      </c>
      <c r="G2966" t="s">
        <v>795</v>
      </c>
      <c r="H2966" t="s">
        <v>796</v>
      </c>
      <c r="I2966" t="s">
        <v>85</v>
      </c>
      <c r="J2966">
        <v>33</v>
      </c>
      <c r="K2966" t="s">
        <v>81</v>
      </c>
      <c r="L2966" t="s">
        <v>93</v>
      </c>
      <c r="M2966" t="s">
        <v>55</v>
      </c>
      <c r="N2966" t="s">
        <v>2630</v>
      </c>
      <c r="O2966" t="s">
        <v>123</v>
      </c>
      <c r="P2966" t="s">
        <v>52</v>
      </c>
      <c r="Q2966" t="s">
        <v>146</v>
      </c>
      <c r="R2966">
        <v>1</v>
      </c>
      <c r="S2966">
        <v>2499</v>
      </c>
      <c r="T2966">
        <v>0.2</v>
      </c>
      <c r="U2966">
        <v>1999.2</v>
      </c>
      <c r="V2966">
        <v>1400</v>
      </c>
      <c r="W2966">
        <v>599.20000000000005</v>
      </c>
      <c r="X2966" t="s">
        <v>73</v>
      </c>
      <c r="Y2966" t="s">
        <v>68</v>
      </c>
      <c r="Z2966" t="s">
        <v>159</v>
      </c>
      <c r="AA2966" t="s">
        <v>168</v>
      </c>
      <c r="AB2966">
        <v>3.5</v>
      </c>
      <c r="AC2966">
        <v>60</v>
      </c>
      <c r="AD2966">
        <v>231.82</v>
      </c>
      <c r="AE2966">
        <f t="shared" si="92"/>
        <v>307.38000000000005</v>
      </c>
      <c r="AF2966" t="str">
        <f t="shared" si="93"/>
        <v>2026-01</v>
      </c>
      <c r="AG2966">
        <f>SUBTOTAL(103,A2966)</f>
        <v>1</v>
      </c>
    </row>
    <row r="2967" spans="1:33" x14ac:dyDescent="0.3">
      <c r="A2967" t="s">
        <v>5590</v>
      </c>
      <c r="B2967" s="13">
        <v>46038</v>
      </c>
      <c r="C2967">
        <v>2026</v>
      </c>
      <c r="D2967">
        <v>1</v>
      </c>
      <c r="E2967" t="s">
        <v>2571</v>
      </c>
      <c r="F2967" t="s">
        <v>2572</v>
      </c>
      <c r="G2967" t="s">
        <v>2085</v>
      </c>
      <c r="H2967" t="s">
        <v>2086</v>
      </c>
      <c r="I2967" t="s">
        <v>85</v>
      </c>
      <c r="J2967">
        <v>60</v>
      </c>
      <c r="K2967" t="s">
        <v>83</v>
      </c>
      <c r="L2967" t="s">
        <v>92</v>
      </c>
      <c r="M2967" t="s">
        <v>59</v>
      </c>
      <c r="N2967" t="s">
        <v>2647</v>
      </c>
      <c r="O2967" t="s">
        <v>133</v>
      </c>
      <c r="P2967" t="s">
        <v>50</v>
      </c>
      <c r="Q2967" t="s">
        <v>145</v>
      </c>
      <c r="R2967">
        <v>1</v>
      </c>
      <c r="S2967">
        <v>799</v>
      </c>
      <c r="T2967">
        <v>0.15</v>
      </c>
      <c r="U2967">
        <v>679.15</v>
      </c>
      <c r="V2967">
        <v>390</v>
      </c>
      <c r="W2967">
        <v>289.14999999999998</v>
      </c>
      <c r="X2967" t="s">
        <v>74</v>
      </c>
      <c r="Y2967" t="s">
        <v>68</v>
      </c>
      <c r="Z2967" t="s">
        <v>163</v>
      </c>
      <c r="AA2967" t="s">
        <v>166</v>
      </c>
      <c r="AB2967">
        <v>3.5</v>
      </c>
      <c r="AC2967">
        <v>60</v>
      </c>
      <c r="AD2967">
        <v>70.31</v>
      </c>
      <c r="AE2967">
        <f t="shared" si="92"/>
        <v>158.83999999999997</v>
      </c>
      <c r="AF2967" t="str">
        <f t="shared" si="93"/>
        <v>2026-01</v>
      </c>
      <c r="AG2967">
        <f>SUBTOTAL(103,A2967)</f>
        <v>1</v>
      </c>
    </row>
    <row r="2968" spans="1:33" x14ac:dyDescent="0.3">
      <c r="A2968" t="s">
        <v>5591</v>
      </c>
      <c r="B2968" s="13">
        <v>46038</v>
      </c>
      <c r="C2968">
        <v>2026</v>
      </c>
      <c r="D2968">
        <v>1</v>
      </c>
      <c r="E2968" t="s">
        <v>2571</v>
      </c>
      <c r="F2968" t="s">
        <v>2572</v>
      </c>
      <c r="G2968" t="s">
        <v>2321</v>
      </c>
      <c r="H2968" t="s">
        <v>2322</v>
      </c>
      <c r="I2968" t="s">
        <v>86</v>
      </c>
      <c r="J2968">
        <v>26</v>
      </c>
      <c r="K2968" t="s">
        <v>81</v>
      </c>
      <c r="L2968" t="s">
        <v>95</v>
      </c>
      <c r="M2968" t="s">
        <v>56</v>
      </c>
      <c r="N2968" t="s">
        <v>2644</v>
      </c>
      <c r="O2968" t="s">
        <v>126</v>
      </c>
      <c r="P2968" t="s">
        <v>50</v>
      </c>
      <c r="Q2968" t="s">
        <v>145</v>
      </c>
      <c r="R2968">
        <v>1</v>
      </c>
      <c r="S2968">
        <v>1799</v>
      </c>
      <c r="T2968">
        <v>0.05</v>
      </c>
      <c r="U2968">
        <v>1709.05</v>
      </c>
      <c r="V2968">
        <v>950</v>
      </c>
      <c r="W2968">
        <v>759.05</v>
      </c>
      <c r="X2968" t="s">
        <v>76</v>
      </c>
      <c r="Y2968" t="s">
        <v>68</v>
      </c>
      <c r="Z2968" t="s">
        <v>163</v>
      </c>
      <c r="AA2968" t="s">
        <v>166</v>
      </c>
      <c r="AB2968">
        <v>4.4000000000000004</v>
      </c>
      <c r="AC2968">
        <v>60</v>
      </c>
      <c r="AD2968">
        <v>135.25</v>
      </c>
      <c r="AE2968">
        <f t="shared" si="92"/>
        <v>563.79999999999995</v>
      </c>
      <c r="AF2968" t="str">
        <f t="shared" si="93"/>
        <v>2026-01</v>
      </c>
      <c r="AG2968">
        <f>SUBTOTAL(103,A2968)</f>
        <v>1</v>
      </c>
    </row>
    <row r="2969" spans="1:33" x14ac:dyDescent="0.3">
      <c r="A2969" t="s">
        <v>5592</v>
      </c>
      <c r="B2969" s="13">
        <v>46039</v>
      </c>
      <c r="C2969">
        <v>2026</v>
      </c>
      <c r="D2969">
        <v>1</v>
      </c>
      <c r="E2969" t="s">
        <v>2571</v>
      </c>
      <c r="F2969" t="s">
        <v>2572</v>
      </c>
      <c r="G2969" t="s">
        <v>1793</v>
      </c>
      <c r="H2969" t="s">
        <v>1794</v>
      </c>
      <c r="I2969" t="s">
        <v>86</v>
      </c>
      <c r="J2969">
        <v>28</v>
      </c>
      <c r="K2969" t="s">
        <v>81</v>
      </c>
      <c r="L2969" t="s">
        <v>2612</v>
      </c>
      <c r="M2969" t="s">
        <v>64</v>
      </c>
      <c r="N2969" t="s">
        <v>2580</v>
      </c>
      <c r="O2969" t="s">
        <v>118</v>
      </c>
      <c r="P2969" t="s">
        <v>48</v>
      </c>
      <c r="Q2969" t="s">
        <v>142</v>
      </c>
      <c r="R2969">
        <v>2</v>
      </c>
      <c r="S2969">
        <v>3999</v>
      </c>
      <c r="T2969">
        <v>0</v>
      </c>
      <c r="U2969">
        <v>7998</v>
      </c>
      <c r="V2969">
        <v>4800</v>
      </c>
      <c r="W2969">
        <v>3198</v>
      </c>
      <c r="X2969" t="s">
        <v>75</v>
      </c>
      <c r="Y2969" t="s">
        <v>68</v>
      </c>
      <c r="Z2969" t="s">
        <v>162</v>
      </c>
      <c r="AA2969" t="s">
        <v>168</v>
      </c>
      <c r="AB2969">
        <v>4.4000000000000004</v>
      </c>
      <c r="AC2969">
        <v>80</v>
      </c>
      <c r="AD2969">
        <v>943.19</v>
      </c>
      <c r="AE2969">
        <f t="shared" si="92"/>
        <v>2174.81</v>
      </c>
      <c r="AF2969" t="str">
        <f t="shared" si="93"/>
        <v>2026-01</v>
      </c>
      <c r="AG2969">
        <f>SUBTOTAL(103,A2969)</f>
        <v>1</v>
      </c>
    </row>
    <row r="2970" spans="1:33" x14ac:dyDescent="0.3">
      <c r="A2970" t="s">
        <v>5593</v>
      </c>
      <c r="B2970" s="13">
        <v>46039</v>
      </c>
      <c r="C2970">
        <v>2026</v>
      </c>
      <c r="D2970">
        <v>1</v>
      </c>
      <c r="E2970" t="s">
        <v>2571</v>
      </c>
      <c r="F2970" t="s">
        <v>2572</v>
      </c>
      <c r="G2970" t="s">
        <v>499</v>
      </c>
      <c r="H2970" t="s">
        <v>500</v>
      </c>
      <c r="I2970" t="s">
        <v>86</v>
      </c>
      <c r="J2970">
        <v>45</v>
      </c>
      <c r="K2970" t="s">
        <v>82</v>
      </c>
      <c r="L2970" t="s">
        <v>2576</v>
      </c>
      <c r="M2970" t="s">
        <v>60</v>
      </c>
      <c r="N2970" t="s">
        <v>2626</v>
      </c>
      <c r="O2970" t="s">
        <v>125</v>
      </c>
      <c r="P2970" t="s">
        <v>48</v>
      </c>
      <c r="Q2970" t="s">
        <v>141</v>
      </c>
      <c r="R2970">
        <v>2</v>
      </c>
      <c r="S2970">
        <v>1999</v>
      </c>
      <c r="T2970">
        <v>0.05</v>
      </c>
      <c r="U2970">
        <v>3798.1</v>
      </c>
      <c r="V2970">
        <v>2300</v>
      </c>
      <c r="W2970">
        <v>1498.1</v>
      </c>
      <c r="X2970" t="s">
        <v>74</v>
      </c>
      <c r="Y2970" t="s">
        <v>68</v>
      </c>
      <c r="Z2970" t="s">
        <v>160</v>
      </c>
      <c r="AA2970" t="s">
        <v>169</v>
      </c>
      <c r="AB2970">
        <v>2.6</v>
      </c>
      <c r="AC2970">
        <v>100</v>
      </c>
      <c r="AD2970">
        <v>179.42</v>
      </c>
      <c r="AE2970">
        <f t="shared" si="92"/>
        <v>1218.6799999999998</v>
      </c>
      <c r="AF2970" t="str">
        <f t="shared" si="93"/>
        <v>2026-01</v>
      </c>
      <c r="AG2970">
        <f>SUBTOTAL(103,A2970)</f>
        <v>1</v>
      </c>
    </row>
    <row r="2971" spans="1:33" x14ac:dyDescent="0.3">
      <c r="A2971" t="s">
        <v>5594</v>
      </c>
      <c r="B2971" s="13">
        <v>46039</v>
      </c>
      <c r="C2971">
        <v>2026</v>
      </c>
      <c r="D2971">
        <v>1</v>
      </c>
      <c r="E2971" t="s">
        <v>2571</v>
      </c>
      <c r="F2971" t="s">
        <v>2572</v>
      </c>
      <c r="G2971" t="s">
        <v>981</v>
      </c>
      <c r="H2971" t="s">
        <v>982</v>
      </c>
      <c r="I2971" t="s">
        <v>86</v>
      </c>
      <c r="J2971">
        <v>47</v>
      </c>
      <c r="K2971" t="s">
        <v>83</v>
      </c>
      <c r="L2971" t="s">
        <v>95</v>
      </c>
      <c r="M2971" t="s">
        <v>56</v>
      </c>
      <c r="N2971" t="s">
        <v>2574</v>
      </c>
      <c r="O2971" t="s">
        <v>130</v>
      </c>
      <c r="P2971" t="s">
        <v>50</v>
      </c>
      <c r="Q2971" t="s">
        <v>53</v>
      </c>
      <c r="R2971">
        <v>1</v>
      </c>
      <c r="S2971">
        <v>1199</v>
      </c>
      <c r="T2971">
        <v>0.15</v>
      </c>
      <c r="U2971">
        <v>1019.15</v>
      </c>
      <c r="V2971">
        <v>550</v>
      </c>
      <c r="W2971">
        <v>469.15</v>
      </c>
      <c r="X2971" t="s">
        <v>73</v>
      </c>
      <c r="Y2971" t="s">
        <v>68</v>
      </c>
      <c r="Z2971" t="s">
        <v>161</v>
      </c>
      <c r="AA2971" t="s">
        <v>166</v>
      </c>
      <c r="AB2971">
        <v>5</v>
      </c>
      <c r="AC2971">
        <v>50</v>
      </c>
      <c r="AD2971">
        <v>117.38</v>
      </c>
      <c r="AE2971">
        <f t="shared" si="92"/>
        <v>301.77</v>
      </c>
      <c r="AF2971" t="str">
        <f t="shared" si="93"/>
        <v>2026-01</v>
      </c>
      <c r="AG2971">
        <f>SUBTOTAL(103,A2971)</f>
        <v>1</v>
      </c>
    </row>
    <row r="2972" spans="1:33" x14ac:dyDescent="0.3">
      <c r="A2972" t="s">
        <v>5595</v>
      </c>
      <c r="B2972" s="13">
        <v>46039</v>
      </c>
      <c r="C2972">
        <v>2026</v>
      </c>
      <c r="D2972">
        <v>1</v>
      </c>
      <c r="E2972" t="s">
        <v>2571</v>
      </c>
      <c r="F2972" t="s">
        <v>2572</v>
      </c>
      <c r="G2972" t="s">
        <v>1025</v>
      </c>
      <c r="H2972" t="s">
        <v>1026</v>
      </c>
      <c r="I2972" t="s">
        <v>86</v>
      </c>
      <c r="J2972">
        <v>23</v>
      </c>
      <c r="K2972" t="s">
        <v>80</v>
      </c>
      <c r="L2972" t="s">
        <v>59</v>
      </c>
      <c r="M2972" t="s">
        <v>59</v>
      </c>
      <c r="N2972" t="s">
        <v>2577</v>
      </c>
      <c r="O2972" t="s">
        <v>129</v>
      </c>
      <c r="P2972" t="s">
        <v>49</v>
      </c>
      <c r="Q2972" t="s">
        <v>149</v>
      </c>
      <c r="R2972">
        <v>3</v>
      </c>
      <c r="S2972">
        <v>1299</v>
      </c>
      <c r="T2972">
        <v>0.05</v>
      </c>
      <c r="U2972">
        <v>3702.15</v>
      </c>
      <c r="V2972">
        <v>1950</v>
      </c>
      <c r="W2972">
        <v>1752.15</v>
      </c>
      <c r="X2972" t="s">
        <v>73</v>
      </c>
      <c r="Y2972" t="s">
        <v>68</v>
      </c>
      <c r="Z2972" t="s">
        <v>158</v>
      </c>
      <c r="AA2972" t="s">
        <v>170</v>
      </c>
      <c r="AB2972">
        <v>3.8</v>
      </c>
      <c r="AC2972">
        <v>50</v>
      </c>
      <c r="AD2972">
        <v>103.92</v>
      </c>
      <c r="AE2972">
        <f t="shared" si="92"/>
        <v>1598.23</v>
      </c>
      <c r="AF2972" t="str">
        <f t="shared" si="93"/>
        <v>2026-01</v>
      </c>
      <c r="AG2972">
        <f>SUBTOTAL(103,A2972)</f>
        <v>1</v>
      </c>
    </row>
    <row r="2973" spans="1:33" x14ac:dyDescent="0.3">
      <c r="A2973" t="s">
        <v>5596</v>
      </c>
      <c r="B2973" s="13">
        <v>46039</v>
      </c>
      <c r="C2973">
        <v>2026</v>
      </c>
      <c r="D2973">
        <v>1</v>
      </c>
      <c r="E2973" t="s">
        <v>2571</v>
      </c>
      <c r="F2973" t="s">
        <v>2572</v>
      </c>
      <c r="G2973" t="s">
        <v>483</v>
      </c>
      <c r="H2973" t="s">
        <v>484</v>
      </c>
      <c r="I2973" t="s">
        <v>85</v>
      </c>
      <c r="J2973">
        <v>32</v>
      </c>
      <c r="K2973" t="s">
        <v>81</v>
      </c>
      <c r="L2973" t="s">
        <v>2605</v>
      </c>
      <c r="M2973" t="s">
        <v>60</v>
      </c>
      <c r="N2973" t="s">
        <v>2592</v>
      </c>
      <c r="O2973" t="s">
        <v>115</v>
      </c>
      <c r="P2973" t="s">
        <v>48</v>
      </c>
      <c r="Q2973" t="s">
        <v>137</v>
      </c>
      <c r="R2973">
        <v>3</v>
      </c>
      <c r="S2973">
        <v>12999</v>
      </c>
      <c r="T2973">
        <v>0.05</v>
      </c>
      <c r="U2973">
        <v>37047.15</v>
      </c>
      <c r="V2973">
        <v>27000</v>
      </c>
      <c r="W2973">
        <v>10047.15</v>
      </c>
      <c r="X2973" t="s">
        <v>73</v>
      </c>
      <c r="Y2973" t="s">
        <v>68</v>
      </c>
      <c r="Z2973" t="s">
        <v>159</v>
      </c>
      <c r="AA2973" t="s">
        <v>169</v>
      </c>
      <c r="AB2973">
        <v>4.4000000000000004</v>
      </c>
      <c r="AC2973">
        <v>80</v>
      </c>
      <c r="AD2973">
        <v>4232.17</v>
      </c>
      <c r="AE2973">
        <f t="shared" si="92"/>
        <v>5734.98</v>
      </c>
      <c r="AF2973" t="str">
        <f t="shared" si="93"/>
        <v>2026-01</v>
      </c>
      <c r="AG2973">
        <f>SUBTOTAL(103,A2973)</f>
        <v>1</v>
      </c>
    </row>
    <row r="2974" spans="1:33" x14ac:dyDescent="0.3">
      <c r="A2974" t="s">
        <v>5597</v>
      </c>
      <c r="B2974" s="13">
        <v>46039</v>
      </c>
      <c r="C2974">
        <v>2026</v>
      </c>
      <c r="D2974">
        <v>1</v>
      </c>
      <c r="E2974" t="s">
        <v>2571</v>
      </c>
      <c r="F2974" t="s">
        <v>2572</v>
      </c>
      <c r="G2974" t="s">
        <v>509</v>
      </c>
      <c r="H2974" t="s">
        <v>510</v>
      </c>
      <c r="I2974" t="s">
        <v>87</v>
      </c>
      <c r="J2974">
        <v>60</v>
      </c>
      <c r="K2974" t="s">
        <v>83</v>
      </c>
      <c r="L2974" t="s">
        <v>2576</v>
      </c>
      <c r="M2974" t="s">
        <v>60</v>
      </c>
      <c r="N2974" t="s">
        <v>2577</v>
      </c>
      <c r="O2974" t="s">
        <v>129</v>
      </c>
      <c r="P2974" t="s">
        <v>49</v>
      </c>
      <c r="Q2974" t="s">
        <v>149</v>
      </c>
      <c r="R2974">
        <v>3</v>
      </c>
      <c r="S2974">
        <v>1299</v>
      </c>
      <c r="T2974">
        <v>0.05</v>
      </c>
      <c r="U2974">
        <v>3702.15</v>
      </c>
      <c r="V2974">
        <v>1950</v>
      </c>
      <c r="W2974">
        <v>1752.15</v>
      </c>
      <c r="X2974" t="s">
        <v>75</v>
      </c>
      <c r="Y2974" t="s">
        <v>70</v>
      </c>
      <c r="Z2974" t="s">
        <v>162</v>
      </c>
      <c r="AA2974" t="s">
        <v>171</v>
      </c>
      <c r="AB2974">
        <v>3.6</v>
      </c>
      <c r="AC2974">
        <v>40</v>
      </c>
      <c r="AD2974">
        <v>81.400000000000006</v>
      </c>
      <c r="AE2974">
        <f t="shared" si="92"/>
        <v>1630.75</v>
      </c>
      <c r="AF2974" t="str">
        <f t="shared" si="93"/>
        <v>2026-01</v>
      </c>
      <c r="AG2974">
        <f>SUBTOTAL(103,A2974)</f>
        <v>1</v>
      </c>
    </row>
    <row r="2975" spans="1:33" x14ac:dyDescent="0.3">
      <c r="A2975" t="s">
        <v>5598</v>
      </c>
      <c r="B2975" s="13">
        <v>46039</v>
      </c>
      <c r="C2975">
        <v>2026</v>
      </c>
      <c r="D2975">
        <v>1</v>
      </c>
      <c r="E2975" t="s">
        <v>2571</v>
      </c>
      <c r="F2975" t="s">
        <v>2572</v>
      </c>
      <c r="G2975" t="s">
        <v>1295</v>
      </c>
      <c r="H2975" t="s">
        <v>1296</v>
      </c>
      <c r="I2975" t="s">
        <v>85</v>
      </c>
      <c r="J2975">
        <v>29</v>
      </c>
      <c r="K2975" t="s">
        <v>81</v>
      </c>
      <c r="L2975" t="s">
        <v>59</v>
      </c>
      <c r="M2975" t="s">
        <v>59</v>
      </c>
      <c r="N2975" t="s">
        <v>2580</v>
      </c>
      <c r="O2975" t="s">
        <v>118</v>
      </c>
      <c r="P2975" t="s">
        <v>48</v>
      </c>
      <c r="Q2975" t="s">
        <v>142</v>
      </c>
      <c r="R2975">
        <v>1</v>
      </c>
      <c r="S2975">
        <v>3999</v>
      </c>
      <c r="T2975">
        <v>0.1</v>
      </c>
      <c r="U2975">
        <v>3599.1</v>
      </c>
      <c r="V2975">
        <v>2400</v>
      </c>
      <c r="W2975">
        <v>1199.0999999999999</v>
      </c>
      <c r="X2975" t="s">
        <v>76</v>
      </c>
      <c r="Y2975" t="s">
        <v>69</v>
      </c>
      <c r="Z2975" t="s">
        <v>161</v>
      </c>
      <c r="AA2975" t="s">
        <v>170</v>
      </c>
      <c r="AB2975">
        <v>3.9</v>
      </c>
      <c r="AC2975">
        <v>60</v>
      </c>
      <c r="AD2975">
        <v>419.68</v>
      </c>
      <c r="AE2975">
        <f t="shared" si="92"/>
        <v>719.41999999999985</v>
      </c>
      <c r="AF2975" t="str">
        <f t="shared" si="93"/>
        <v>2026-01</v>
      </c>
      <c r="AG2975">
        <f>SUBTOTAL(103,A2975)</f>
        <v>1</v>
      </c>
    </row>
    <row r="2976" spans="1:33" x14ac:dyDescent="0.3">
      <c r="A2976" t="s">
        <v>5599</v>
      </c>
      <c r="B2976" s="13">
        <v>46039</v>
      </c>
      <c r="C2976">
        <v>2026</v>
      </c>
      <c r="D2976">
        <v>1</v>
      </c>
      <c r="E2976" t="s">
        <v>2571</v>
      </c>
      <c r="F2976" t="s">
        <v>2572</v>
      </c>
      <c r="G2976" t="s">
        <v>1219</v>
      </c>
      <c r="H2976" t="s">
        <v>1220</v>
      </c>
      <c r="I2976" t="s">
        <v>86</v>
      </c>
      <c r="J2976">
        <v>58</v>
      </c>
      <c r="K2976" t="s">
        <v>83</v>
      </c>
      <c r="L2976" t="s">
        <v>2589</v>
      </c>
      <c r="M2976" t="s">
        <v>61</v>
      </c>
      <c r="N2976" t="s">
        <v>2590</v>
      </c>
      <c r="O2976" t="s">
        <v>127</v>
      </c>
      <c r="P2976" t="s">
        <v>51</v>
      </c>
      <c r="Q2976" t="s">
        <v>148</v>
      </c>
      <c r="R2976">
        <v>4</v>
      </c>
      <c r="S2976">
        <v>1599</v>
      </c>
      <c r="T2976">
        <v>0</v>
      </c>
      <c r="U2976">
        <v>6396</v>
      </c>
      <c r="V2976">
        <v>3200</v>
      </c>
      <c r="W2976">
        <v>3196</v>
      </c>
      <c r="X2976" t="s">
        <v>76</v>
      </c>
      <c r="Y2976" t="s">
        <v>68</v>
      </c>
      <c r="Z2976" t="s">
        <v>162</v>
      </c>
      <c r="AA2976" t="s">
        <v>166</v>
      </c>
      <c r="AB2976">
        <v>3</v>
      </c>
      <c r="AC2976">
        <v>60</v>
      </c>
      <c r="AD2976">
        <v>696.83</v>
      </c>
      <c r="AE2976">
        <f t="shared" si="92"/>
        <v>2439.17</v>
      </c>
      <c r="AF2976" t="str">
        <f t="shared" si="93"/>
        <v>2026-01</v>
      </c>
      <c r="AG2976">
        <f>SUBTOTAL(103,A2976)</f>
        <v>1</v>
      </c>
    </row>
    <row r="2977" spans="1:33" x14ac:dyDescent="0.3">
      <c r="A2977" t="s">
        <v>5600</v>
      </c>
      <c r="B2977" s="13">
        <v>46039</v>
      </c>
      <c r="C2977">
        <v>2026</v>
      </c>
      <c r="D2977">
        <v>1</v>
      </c>
      <c r="E2977" t="s">
        <v>2571</v>
      </c>
      <c r="F2977" t="s">
        <v>2572</v>
      </c>
      <c r="G2977" t="s">
        <v>697</v>
      </c>
      <c r="H2977" t="s">
        <v>698</v>
      </c>
      <c r="I2977" t="s">
        <v>86</v>
      </c>
      <c r="J2977">
        <v>37</v>
      </c>
      <c r="K2977" t="s">
        <v>82</v>
      </c>
      <c r="L2977" t="s">
        <v>59</v>
      </c>
      <c r="M2977" t="s">
        <v>59</v>
      </c>
      <c r="N2977" t="s">
        <v>2653</v>
      </c>
      <c r="O2977" t="s">
        <v>132</v>
      </c>
      <c r="P2977" t="s">
        <v>52</v>
      </c>
      <c r="Q2977" t="s">
        <v>150</v>
      </c>
      <c r="R2977">
        <v>2</v>
      </c>
      <c r="S2977">
        <v>899</v>
      </c>
      <c r="T2977">
        <v>0.1</v>
      </c>
      <c r="U2977">
        <v>1618.2</v>
      </c>
      <c r="V2977">
        <v>840</v>
      </c>
      <c r="W2977">
        <v>778.2</v>
      </c>
      <c r="X2977" t="s">
        <v>74</v>
      </c>
      <c r="Y2977" t="s">
        <v>68</v>
      </c>
      <c r="Z2977" t="s">
        <v>162</v>
      </c>
      <c r="AA2977" t="s">
        <v>171</v>
      </c>
      <c r="AB2977">
        <v>4.0999999999999996</v>
      </c>
      <c r="AC2977">
        <v>50</v>
      </c>
      <c r="AD2977">
        <v>155.38999999999999</v>
      </c>
      <c r="AE2977">
        <f t="shared" si="92"/>
        <v>572.81000000000006</v>
      </c>
      <c r="AF2977" t="str">
        <f t="shared" si="93"/>
        <v>2026-01</v>
      </c>
      <c r="AG2977">
        <f>SUBTOTAL(103,A2977)</f>
        <v>1</v>
      </c>
    </row>
    <row r="2978" spans="1:33" x14ac:dyDescent="0.3">
      <c r="A2978" t="s">
        <v>5601</v>
      </c>
      <c r="B2978" s="13">
        <v>46039</v>
      </c>
      <c r="C2978">
        <v>2026</v>
      </c>
      <c r="D2978">
        <v>1</v>
      </c>
      <c r="E2978" t="s">
        <v>2571</v>
      </c>
      <c r="F2978" t="s">
        <v>2572</v>
      </c>
      <c r="G2978" t="s">
        <v>1589</v>
      </c>
      <c r="H2978" t="s">
        <v>1590</v>
      </c>
      <c r="I2978" t="s">
        <v>85</v>
      </c>
      <c r="J2978">
        <v>35</v>
      </c>
      <c r="K2978" t="s">
        <v>81</v>
      </c>
      <c r="L2978" t="s">
        <v>2661</v>
      </c>
      <c r="M2978" t="s">
        <v>58</v>
      </c>
      <c r="N2978" t="s">
        <v>2574</v>
      </c>
      <c r="O2978" t="s">
        <v>130</v>
      </c>
      <c r="P2978" t="s">
        <v>50</v>
      </c>
      <c r="Q2978" t="s">
        <v>53</v>
      </c>
      <c r="R2978">
        <v>2</v>
      </c>
      <c r="S2978">
        <v>1199</v>
      </c>
      <c r="T2978">
        <v>0</v>
      </c>
      <c r="U2978">
        <v>2398</v>
      </c>
      <c r="V2978">
        <v>1100</v>
      </c>
      <c r="W2978">
        <v>1298</v>
      </c>
      <c r="X2978" t="s">
        <v>75</v>
      </c>
      <c r="Y2978" t="s">
        <v>68</v>
      </c>
      <c r="Z2978" t="s">
        <v>162</v>
      </c>
      <c r="AA2978" t="s">
        <v>167</v>
      </c>
      <c r="AB2978">
        <v>3</v>
      </c>
      <c r="AC2978">
        <v>120</v>
      </c>
      <c r="AD2978">
        <v>158.69</v>
      </c>
      <c r="AE2978">
        <f t="shared" si="92"/>
        <v>1019.31</v>
      </c>
      <c r="AF2978" t="str">
        <f t="shared" si="93"/>
        <v>2026-01</v>
      </c>
      <c r="AG2978">
        <f>SUBTOTAL(103,A2978)</f>
        <v>1</v>
      </c>
    </row>
    <row r="2979" spans="1:33" x14ac:dyDescent="0.3">
      <c r="A2979" t="s">
        <v>5602</v>
      </c>
      <c r="B2979" s="13">
        <v>46040</v>
      </c>
      <c r="C2979">
        <v>2026</v>
      </c>
      <c r="D2979">
        <v>1</v>
      </c>
      <c r="E2979" t="s">
        <v>2571</v>
      </c>
      <c r="F2979" t="s">
        <v>2572</v>
      </c>
      <c r="G2979" t="s">
        <v>189</v>
      </c>
      <c r="H2979" t="s">
        <v>190</v>
      </c>
      <c r="I2979" t="s">
        <v>85</v>
      </c>
      <c r="J2979">
        <v>58</v>
      </c>
      <c r="K2979" t="s">
        <v>83</v>
      </c>
      <c r="L2979" t="s">
        <v>2616</v>
      </c>
      <c r="M2979" t="s">
        <v>62</v>
      </c>
      <c r="N2979" t="s">
        <v>2574</v>
      </c>
      <c r="O2979" t="s">
        <v>130</v>
      </c>
      <c r="P2979" t="s">
        <v>50</v>
      </c>
      <c r="Q2979" t="s">
        <v>53</v>
      </c>
      <c r="R2979">
        <v>4</v>
      </c>
      <c r="S2979">
        <v>1199</v>
      </c>
      <c r="T2979">
        <v>0.15</v>
      </c>
      <c r="U2979">
        <v>4076.6</v>
      </c>
      <c r="V2979">
        <v>2200</v>
      </c>
      <c r="W2979">
        <v>1876.6</v>
      </c>
      <c r="X2979" t="s">
        <v>75</v>
      </c>
      <c r="Y2979" t="s">
        <v>68</v>
      </c>
      <c r="Z2979" t="s">
        <v>162</v>
      </c>
      <c r="AA2979" t="s">
        <v>167</v>
      </c>
      <c r="AB2979">
        <v>3.2</v>
      </c>
      <c r="AC2979">
        <v>100</v>
      </c>
      <c r="AD2979">
        <v>88.96</v>
      </c>
      <c r="AE2979">
        <f t="shared" si="92"/>
        <v>1687.6399999999999</v>
      </c>
      <c r="AF2979" t="str">
        <f t="shared" si="93"/>
        <v>2026-01</v>
      </c>
      <c r="AG2979">
        <f>SUBTOTAL(103,A2979)</f>
        <v>1</v>
      </c>
    </row>
    <row r="2980" spans="1:33" x14ac:dyDescent="0.3">
      <c r="A2980" t="s">
        <v>5603</v>
      </c>
      <c r="B2980" s="13">
        <v>46040</v>
      </c>
      <c r="C2980">
        <v>2026</v>
      </c>
      <c r="D2980">
        <v>1</v>
      </c>
      <c r="E2980" t="s">
        <v>2571</v>
      </c>
      <c r="F2980" t="s">
        <v>2572</v>
      </c>
      <c r="G2980" t="s">
        <v>1239</v>
      </c>
      <c r="H2980" t="s">
        <v>1240</v>
      </c>
      <c r="I2980" t="s">
        <v>85</v>
      </c>
      <c r="J2980">
        <v>26</v>
      </c>
      <c r="K2980" t="s">
        <v>81</v>
      </c>
      <c r="L2980" t="s">
        <v>2623</v>
      </c>
      <c r="M2980" t="s">
        <v>61</v>
      </c>
      <c r="N2980" t="s">
        <v>2574</v>
      </c>
      <c r="O2980" t="s">
        <v>130</v>
      </c>
      <c r="P2980" t="s">
        <v>50</v>
      </c>
      <c r="Q2980" t="s">
        <v>53</v>
      </c>
      <c r="R2980">
        <v>1</v>
      </c>
      <c r="S2980">
        <v>1199</v>
      </c>
      <c r="T2980">
        <v>0.15</v>
      </c>
      <c r="U2980">
        <v>1019.15</v>
      </c>
      <c r="V2980">
        <v>550</v>
      </c>
      <c r="W2980">
        <v>469.15</v>
      </c>
      <c r="X2980" t="s">
        <v>74</v>
      </c>
      <c r="Y2980" t="s">
        <v>69</v>
      </c>
      <c r="Z2980" t="s">
        <v>160</v>
      </c>
      <c r="AA2980" t="s">
        <v>166</v>
      </c>
      <c r="AB2980">
        <v>3.7</v>
      </c>
      <c r="AC2980">
        <v>40</v>
      </c>
      <c r="AD2980">
        <v>68.69</v>
      </c>
      <c r="AE2980">
        <f t="shared" si="92"/>
        <v>360.46</v>
      </c>
      <c r="AF2980" t="str">
        <f t="shared" si="93"/>
        <v>2026-01</v>
      </c>
      <c r="AG2980">
        <f>SUBTOTAL(103,A2980)</f>
        <v>1</v>
      </c>
    </row>
    <row r="2981" spans="1:33" x14ac:dyDescent="0.3">
      <c r="A2981" t="s">
        <v>5604</v>
      </c>
      <c r="B2981" s="13">
        <v>46040</v>
      </c>
      <c r="C2981">
        <v>2026</v>
      </c>
      <c r="D2981">
        <v>1</v>
      </c>
      <c r="E2981" t="s">
        <v>2571</v>
      </c>
      <c r="F2981" t="s">
        <v>2572</v>
      </c>
      <c r="G2981" t="s">
        <v>1983</v>
      </c>
      <c r="H2981" t="s">
        <v>1984</v>
      </c>
      <c r="I2981" t="s">
        <v>86</v>
      </c>
      <c r="J2981">
        <v>39</v>
      </c>
      <c r="K2981" t="s">
        <v>82</v>
      </c>
      <c r="L2981" t="s">
        <v>2687</v>
      </c>
      <c r="M2981" t="s">
        <v>57</v>
      </c>
      <c r="N2981" t="s">
        <v>2665</v>
      </c>
      <c r="O2981" t="s">
        <v>128</v>
      </c>
      <c r="P2981" t="s">
        <v>53</v>
      </c>
      <c r="Q2981" t="s">
        <v>143</v>
      </c>
      <c r="R2981">
        <v>2</v>
      </c>
      <c r="S2981">
        <v>1499</v>
      </c>
      <c r="T2981">
        <v>0.05</v>
      </c>
      <c r="U2981">
        <v>0</v>
      </c>
      <c r="V2981">
        <v>0</v>
      </c>
      <c r="W2981">
        <v>0</v>
      </c>
      <c r="X2981" t="s">
        <v>73</v>
      </c>
      <c r="Y2981" t="s">
        <v>71</v>
      </c>
      <c r="Z2981" t="s">
        <v>163</v>
      </c>
      <c r="AA2981" t="s">
        <v>166</v>
      </c>
      <c r="AB2981">
        <v>3.8</v>
      </c>
      <c r="AC2981">
        <v>60</v>
      </c>
      <c r="AD2981">
        <v>121.69</v>
      </c>
      <c r="AE2981">
        <f t="shared" si="92"/>
        <v>-181.69</v>
      </c>
      <c r="AF2981" t="str">
        <f t="shared" si="93"/>
        <v>2026-01</v>
      </c>
      <c r="AG2981">
        <f>SUBTOTAL(103,A2981)</f>
        <v>1</v>
      </c>
    </row>
    <row r="2982" spans="1:33" x14ac:dyDescent="0.3">
      <c r="A2982" t="s">
        <v>5605</v>
      </c>
      <c r="B2982" s="13">
        <v>46040</v>
      </c>
      <c r="C2982">
        <v>2026</v>
      </c>
      <c r="D2982">
        <v>1</v>
      </c>
      <c r="E2982" t="s">
        <v>2571</v>
      </c>
      <c r="F2982" t="s">
        <v>2572</v>
      </c>
      <c r="G2982" t="s">
        <v>483</v>
      </c>
      <c r="H2982" t="s">
        <v>484</v>
      </c>
      <c r="I2982" t="s">
        <v>85</v>
      </c>
      <c r="J2982">
        <v>32</v>
      </c>
      <c r="K2982" t="s">
        <v>81</v>
      </c>
      <c r="L2982" t="s">
        <v>2605</v>
      </c>
      <c r="M2982" t="s">
        <v>60</v>
      </c>
      <c r="N2982" t="s">
        <v>2596</v>
      </c>
      <c r="O2982" t="s">
        <v>124</v>
      </c>
      <c r="P2982" t="s">
        <v>51</v>
      </c>
      <c r="Q2982" t="s">
        <v>147</v>
      </c>
      <c r="R2982">
        <v>1</v>
      </c>
      <c r="S2982">
        <v>2299</v>
      </c>
      <c r="T2982">
        <v>0.1</v>
      </c>
      <c r="U2982">
        <v>2069.1</v>
      </c>
      <c r="V2982">
        <v>1200</v>
      </c>
      <c r="W2982">
        <v>869.1</v>
      </c>
      <c r="X2982" t="s">
        <v>77</v>
      </c>
      <c r="Y2982" t="s">
        <v>68</v>
      </c>
      <c r="Z2982" t="s">
        <v>161</v>
      </c>
      <c r="AA2982" t="s">
        <v>169</v>
      </c>
      <c r="AB2982">
        <v>3.5</v>
      </c>
      <c r="AC2982">
        <v>100</v>
      </c>
      <c r="AD2982">
        <v>62.2</v>
      </c>
      <c r="AE2982">
        <f t="shared" si="92"/>
        <v>706.9</v>
      </c>
      <c r="AF2982" t="str">
        <f t="shared" si="93"/>
        <v>2026-01</v>
      </c>
      <c r="AG2982">
        <f>SUBTOTAL(103,A2982)</f>
        <v>1</v>
      </c>
    </row>
    <row r="2983" spans="1:33" x14ac:dyDescent="0.3">
      <c r="A2983" t="s">
        <v>5606</v>
      </c>
      <c r="B2983" s="13">
        <v>46040</v>
      </c>
      <c r="C2983">
        <v>2026</v>
      </c>
      <c r="D2983">
        <v>1</v>
      </c>
      <c r="E2983" t="s">
        <v>2571</v>
      </c>
      <c r="F2983" t="s">
        <v>2572</v>
      </c>
      <c r="G2983" t="s">
        <v>859</v>
      </c>
      <c r="H2983" t="s">
        <v>860</v>
      </c>
      <c r="I2983" t="s">
        <v>86</v>
      </c>
      <c r="J2983">
        <v>45</v>
      </c>
      <c r="K2983" t="s">
        <v>82</v>
      </c>
      <c r="L2983" t="s">
        <v>99</v>
      </c>
      <c r="M2983" t="s">
        <v>58</v>
      </c>
      <c r="N2983" t="s">
        <v>2594</v>
      </c>
      <c r="O2983" t="s">
        <v>131</v>
      </c>
      <c r="P2983" t="s">
        <v>53</v>
      </c>
      <c r="Q2983" t="s">
        <v>143</v>
      </c>
      <c r="R2983">
        <v>2</v>
      </c>
      <c r="S2983">
        <v>999</v>
      </c>
      <c r="T2983">
        <v>0.05</v>
      </c>
      <c r="U2983">
        <v>1898.1</v>
      </c>
      <c r="V2983">
        <v>1040</v>
      </c>
      <c r="W2983">
        <v>858.1</v>
      </c>
      <c r="X2983" t="s">
        <v>74</v>
      </c>
      <c r="Y2983" t="s">
        <v>68</v>
      </c>
      <c r="Z2983" t="s">
        <v>160</v>
      </c>
      <c r="AA2983" t="s">
        <v>166</v>
      </c>
      <c r="AB2983">
        <v>4.2</v>
      </c>
      <c r="AC2983">
        <v>50</v>
      </c>
      <c r="AD2983">
        <v>171.38</v>
      </c>
      <c r="AE2983">
        <f t="shared" si="92"/>
        <v>636.72</v>
      </c>
      <c r="AF2983" t="str">
        <f t="shared" si="93"/>
        <v>2026-01</v>
      </c>
      <c r="AG2983">
        <f>SUBTOTAL(103,A2983)</f>
        <v>1</v>
      </c>
    </row>
    <row r="2984" spans="1:33" x14ac:dyDescent="0.3">
      <c r="A2984" t="s">
        <v>5607</v>
      </c>
      <c r="B2984" s="13">
        <v>46040</v>
      </c>
      <c r="C2984">
        <v>2026</v>
      </c>
      <c r="D2984">
        <v>1</v>
      </c>
      <c r="E2984" t="s">
        <v>2571</v>
      </c>
      <c r="F2984" t="s">
        <v>2572</v>
      </c>
      <c r="G2984" t="s">
        <v>705</v>
      </c>
      <c r="H2984" t="s">
        <v>706</v>
      </c>
      <c r="I2984" t="s">
        <v>85</v>
      </c>
      <c r="J2984">
        <v>31</v>
      </c>
      <c r="K2984" t="s">
        <v>81</v>
      </c>
      <c r="L2984" t="s">
        <v>2573</v>
      </c>
      <c r="M2984" t="s">
        <v>63</v>
      </c>
      <c r="N2984" t="s">
        <v>2657</v>
      </c>
      <c r="O2984" t="s">
        <v>134</v>
      </c>
      <c r="P2984" t="s">
        <v>49</v>
      </c>
      <c r="Q2984" t="s">
        <v>140</v>
      </c>
      <c r="R2984">
        <v>3</v>
      </c>
      <c r="S2984">
        <v>599</v>
      </c>
      <c r="T2984">
        <v>0.15</v>
      </c>
      <c r="U2984">
        <v>1527.45</v>
      </c>
      <c r="V2984">
        <v>750</v>
      </c>
      <c r="W2984">
        <v>777.45</v>
      </c>
      <c r="X2984" t="s">
        <v>73</v>
      </c>
      <c r="Y2984" t="s">
        <v>68</v>
      </c>
      <c r="Z2984" t="s">
        <v>160</v>
      </c>
      <c r="AA2984" t="s">
        <v>168</v>
      </c>
      <c r="AB2984">
        <v>3.2</v>
      </c>
      <c r="AC2984">
        <v>40</v>
      </c>
      <c r="AD2984">
        <v>147.99</v>
      </c>
      <c r="AE2984">
        <f t="shared" si="92"/>
        <v>589.46</v>
      </c>
      <c r="AF2984" t="str">
        <f t="shared" si="93"/>
        <v>2026-01</v>
      </c>
      <c r="AG2984">
        <f>SUBTOTAL(103,A2984)</f>
        <v>1</v>
      </c>
    </row>
    <row r="2985" spans="1:33" x14ac:dyDescent="0.3">
      <c r="A2985" t="s">
        <v>5608</v>
      </c>
      <c r="B2985" s="13">
        <v>46040</v>
      </c>
      <c r="C2985">
        <v>2026</v>
      </c>
      <c r="D2985">
        <v>1</v>
      </c>
      <c r="E2985" t="s">
        <v>2571</v>
      </c>
      <c r="F2985" t="s">
        <v>2572</v>
      </c>
      <c r="G2985" t="s">
        <v>1571</v>
      </c>
      <c r="H2985" t="s">
        <v>1572</v>
      </c>
      <c r="I2985" t="s">
        <v>86</v>
      </c>
      <c r="J2985">
        <v>30</v>
      </c>
      <c r="K2985" t="s">
        <v>81</v>
      </c>
      <c r="L2985" t="s">
        <v>2605</v>
      </c>
      <c r="M2985" t="s">
        <v>60</v>
      </c>
      <c r="N2985" t="s">
        <v>2582</v>
      </c>
      <c r="O2985" t="s">
        <v>119</v>
      </c>
      <c r="P2985" t="s">
        <v>49</v>
      </c>
      <c r="Q2985" t="s">
        <v>140</v>
      </c>
      <c r="R2985">
        <v>1</v>
      </c>
      <c r="S2985">
        <v>3499</v>
      </c>
      <c r="T2985">
        <v>0.2</v>
      </c>
      <c r="U2985">
        <v>2799.2</v>
      </c>
      <c r="V2985">
        <v>2100</v>
      </c>
      <c r="W2985">
        <v>699.2</v>
      </c>
      <c r="X2985" t="s">
        <v>73</v>
      </c>
      <c r="Y2985" t="s">
        <v>70</v>
      </c>
      <c r="Z2985" t="s">
        <v>160</v>
      </c>
      <c r="AA2985" t="s">
        <v>168</v>
      </c>
      <c r="AB2985">
        <v>4.0999999999999996</v>
      </c>
      <c r="AC2985">
        <v>60</v>
      </c>
      <c r="AD2985">
        <v>269.52999999999997</v>
      </c>
      <c r="AE2985">
        <f t="shared" si="92"/>
        <v>369.67000000000007</v>
      </c>
      <c r="AF2985" t="str">
        <f t="shared" si="93"/>
        <v>2026-01</v>
      </c>
      <c r="AG2985">
        <f>SUBTOTAL(103,A2985)</f>
        <v>1</v>
      </c>
    </row>
    <row r="2986" spans="1:33" x14ac:dyDescent="0.3">
      <c r="A2986" t="s">
        <v>5609</v>
      </c>
      <c r="B2986" s="13">
        <v>46040</v>
      </c>
      <c r="C2986">
        <v>2026</v>
      </c>
      <c r="D2986">
        <v>1</v>
      </c>
      <c r="E2986" t="s">
        <v>2571</v>
      </c>
      <c r="F2986" t="s">
        <v>2572</v>
      </c>
      <c r="G2986" t="s">
        <v>1179</v>
      </c>
      <c r="H2986" t="s">
        <v>1180</v>
      </c>
      <c r="I2986" t="s">
        <v>85</v>
      </c>
      <c r="J2986">
        <v>43</v>
      </c>
      <c r="K2986" t="s">
        <v>82</v>
      </c>
      <c r="L2986" t="s">
        <v>2661</v>
      </c>
      <c r="M2986" t="s">
        <v>58</v>
      </c>
      <c r="N2986" t="s">
        <v>2603</v>
      </c>
      <c r="O2986" t="s">
        <v>122</v>
      </c>
      <c r="P2986" t="s">
        <v>48</v>
      </c>
      <c r="Q2986" t="s">
        <v>141</v>
      </c>
      <c r="R2986">
        <v>2</v>
      </c>
      <c r="S2986">
        <v>2499</v>
      </c>
      <c r="T2986">
        <v>0.05</v>
      </c>
      <c r="U2986">
        <v>4748.1000000000004</v>
      </c>
      <c r="V2986">
        <v>2900</v>
      </c>
      <c r="W2986">
        <v>1848.1</v>
      </c>
      <c r="X2986" t="s">
        <v>75</v>
      </c>
      <c r="Y2986" t="s">
        <v>68</v>
      </c>
      <c r="Z2986" t="s">
        <v>158</v>
      </c>
      <c r="AA2986" t="s">
        <v>169</v>
      </c>
      <c r="AB2986">
        <v>5</v>
      </c>
      <c r="AC2986">
        <v>80</v>
      </c>
      <c r="AD2986">
        <v>317.38</v>
      </c>
      <c r="AE2986">
        <f t="shared" si="92"/>
        <v>1450.7199999999998</v>
      </c>
      <c r="AF2986" t="str">
        <f t="shared" si="93"/>
        <v>2026-01</v>
      </c>
      <c r="AG2986">
        <f>SUBTOTAL(103,A2986)</f>
        <v>1</v>
      </c>
    </row>
    <row r="2987" spans="1:33" x14ac:dyDescent="0.3">
      <c r="A2987" t="s">
        <v>5610</v>
      </c>
      <c r="B2987" s="13">
        <v>46040</v>
      </c>
      <c r="C2987">
        <v>2026</v>
      </c>
      <c r="D2987">
        <v>1</v>
      </c>
      <c r="E2987" t="s">
        <v>2571</v>
      </c>
      <c r="F2987" t="s">
        <v>2572</v>
      </c>
      <c r="G2987" t="s">
        <v>615</v>
      </c>
      <c r="H2987" t="s">
        <v>616</v>
      </c>
      <c r="I2987" t="s">
        <v>86</v>
      </c>
      <c r="J2987">
        <v>51</v>
      </c>
      <c r="K2987" t="s">
        <v>83</v>
      </c>
      <c r="L2987" t="s">
        <v>97</v>
      </c>
      <c r="M2987" t="s">
        <v>57</v>
      </c>
      <c r="N2987" t="s">
        <v>2601</v>
      </c>
      <c r="O2987" t="s">
        <v>117</v>
      </c>
      <c r="P2987" t="s">
        <v>49</v>
      </c>
      <c r="Q2987" t="s">
        <v>139</v>
      </c>
      <c r="R2987">
        <v>1</v>
      </c>
      <c r="S2987">
        <v>6999</v>
      </c>
      <c r="T2987">
        <v>0.1</v>
      </c>
      <c r="U2987">
        <v>6299.1</v>
      </c>
      <c r="V2987">
        <v>4300</v>
      </c>
      <c r="W2987">
        <v>1999.1</v>
      </c>
      <c r="X2987" t="s">
        <v>73</v>
      </c>
      <c r="Y2987" t="s">
        <v>68</v>
      </c>
      <c r="Z2987" t="s">
        <v>161</v>
      </c>
      <c r="AA2987" t="s">
        <v>170</v>
      </c>
      <c r="AB2987">
        <v>4.0999999999999996</v>
      </c>
      <c r="AC2987">
        <v>80</v>
      </c>
      <c r="AD2987">
        <v>182.06</v>
      </c>
      <c r="AE2987">
        <f t="shared" si="92"/>
        <v>1737.04</v>
      </c>
      <c r="AF2987" t="str">
        <f t="shared" si="93"/>
        <v>2026-01</v>
      </c>
      <c r="AG2987">
        <f>SUBTOTAL(103,A2987)</f>
        <v>1</v>
      </c>
    </row>
    <row r="2988" spans="1:33" x14ac:dyDescent="0.3">
      <c r="A2988" t="s">
        <v>5611</v>
      </c>
      <c r="B2988" s="13">
        <v>46041</v>
      </c>
      <c r="C2988">
        <v>2026</v>
      </c>
      <c r="D2988">
        <v>1</v>
      </c>
      <c r="E2988" t="s">
        <v>2571</v>
      </c>
      <c r="F2988" t="s">
        <v>2572</v>
      </c>
      <c r="G2988" t="s">
        <v>243</v>
      </c>
      <c r="H2988" t="s">
        <v>244</v>
      </c>
      <c r="I2988" t="s">
        <v>85</v>
      </c>
      <c r="J2988">
        <v>56</v>
      </c>
      <c r="K2988" t="s">
        <v>83</v>
      </c>
      <c r="L2988" t="s">
        <v>2576</v>
      </c>
      <c r="M2988" t="s">
        <v>60</v>
      </c>
      <c r="N2988" t="s">
        <v>2653</v>
      </c>
      <c r="O2988" t="s">
        <v>132</v>
      </c>
      <c r="P2988" t="s">
        <v>52</v>
      </c>
      <c r="Q2988" t="s">
        <v>150</v>
      </c>
      <c r="R2988">
        <v>3</v>
      </c>
      <c r="S2988">
        <v>899</v>
      </c>
      <c r="T2988">
        <v>0</v>
      </c>
      <c r="U2988">
        <v>2697</v>
      </c>
      <c r="V2988">
        <v>1260</v>
      </c>
      <c r="W2988">
        <v>1437</v>
      </c>
      <c r="X2988" t="s">
        <v>75</v>
      </c>
      <c r="Y2988" t="s">
        <v>68</v>
      </c>
      <c r="Z2988" t="s">
        <v>158</v>
      </c>
      <c r="AA2988" t="s">
        <v>167</v>
      </c>
      <c r="AB2988">
        <v>4.8</v>
      </c>
      <c r="AC2988">
        <v>80</v>
      </c>
      <c r="AD2988">
        <v>105.46</v>
      </c>
      <c r="AE2988">
        <f t="shared" si="92"/>
        <v>1251.54</v>
      </c>
      <c r="AF2988" t="str">
        <f t="shared" si="93"/>
        <v>2026-01</v>
      </c>
      <c r="AG2988">
        <f>SUBTOTAL(103,A2988)</f>
        <v>1</v>
      </c>
    </row>
    <row r="2989" spans="1:33" x14ac:dyDescent="0.3">
      <c r="A2989" t="s">
        <v>5612</v>
      </c>
      <c r="B2989" s="13">
        <v>46041</v>
      </c>
      <c r="C2989">
        <v>2026</v>
      </c>
      <c r="D2989">
        <v>1</v>
      </c>
      <c r="E2989" t="s">
        <v>2571</v>
      </c>
      <c r="F2989" t="s">
        <v>2572</v>
      </c>
      <c r="G2989" t="s">
        <v>1501</v>
      </c>
      <c r="H2989" t="s">
        <v>1502</v>
      </c>
      <c r="I2989" t="s">
        <v>85</v>
      </c>
      <c r="J2989">
        <v>39</v>
      </c>
      <c r="K2989" t="s">
        <v>82</v>
      </c>
      <c r="L2989" t="s">
        <v>92</v>
      </c>
      <c r="M2989" t="s">
        <v>59</v>
      </c>
      <c r="N2989" t="s">
        <v>2596</v>
      </c>
      <c r="O2989" t="s">
        <v>124</v>
      </c>
      <c r="P2989" t="s">
        <v>51</v>
      </c>
      <c r="Q2989" t="s">
        <v>147</v>
      </c>
      <c r="R2989">
        <v>2</v>
      </c>
      <c r="S2989">
        <v>2299</v>
      </c>
      <c r="T2989">
        <v>0.15</v>
      </c>
      <c r="U2989">
        <v>3908.3</v>
      </c>
      <c r="V2989">
        <v>2400</v>
      </c>
      <c r="W2989">
        <v>1508.3</v>
      </c>
      <c r="X2989" t="s">
        <v>77</v>
      </c>
      <c r="Y2989" t="s">
        <v>68</v>
      </c>
      <c r="Z2989" t="s">
        <v>161</v>
      </c>
      <c r="AA2989" t="s">
        <v>167</v>
      </c>
      <c r="AB2989">
        <v>3.4</v>
      </c>
      <c r="AC2989">
        <v>50</v>
      </c>
      <c r="AD2989">
        <v>413.58</v>
      </c>
      <c r="AE2989">
        <f t="shared" si="92"/>
        <v>1044.72</v>
      </c>
      <c r="AF2989" t="str">
        <f t="shared" si="93"/>
        <v>2026-01</v>
      </c>
      <c r="AG2989">
        <f>SUBTOTAL(103,A2989)</f>
        <v>1</v>
      </c>
    </row>
    <row r="2990" spans="1:33" x14ac:dyDescent="0.3">
      <c r="A2990" t="s">
        <v>5613</v>
      </c>
      <c r="B2990" s="13">
        <v>46041</v>
      </c>
      <c r="C2990">
        <v>2026</v>
      </c>
      <c r="D2990">
        <v>1</v>
      </c>
      <c r="E2990" t="s">
        <v>2571</v>
      </c>
      <c r="F2990" t="s">
        <v>2572</v>
      </c>
      <c r="G2990" t="s">
        <v>893</v>
      </c>
      <c r="H2990" t="s">
        <v>894</v>
      </c>
      <c r="I2990" t="s">
        <v>85</v>
      </c>
      <c r="J2990">
        <v>45</v>
      </c>
      <c r="K2990" t="s">
        <v>82</v>
      </c>
      <c r="L2990" t="s">
        <v>95</v>
      </c>
      <c r="M2990" t="s">
        <v>56</v>
      </c>
      <c r="N2990" t="s">
        <v>2577</v>
      </c>
      <c r="O2990" t="s">
        <v>129</v>
      </c>
      <c r="P2990" t="s">
        <v>49</v>
      </c>
      <c r="Q2990" t="s">
        <v>149</v>
      </c>
      <c r="R2990">
        <v>1</v>
      </c>
      <c r="S2990">
        <v>1299</v>
      </c>
      <c r="T2990">
        <v>0.05</v>
      </c>
      <c r="U2990">
        <v>0</v>
      </c>
      <c r="V2990">
        <v>0</v>
      </c>
      <c r="W2990">
        <v>0</v>
      </c>
      <c r="X2990" t="s">
        <v>75</v>
      </c>
      <c r="Y2990" t="s">
        <v>71</v>
      </c>
      <c r="Z2990" t="s">
        <v>161</v>
      </c>
      <c r="AA2990" t="s">
        <v>167</v>
      </c>
      <c r="AB2990">
        <v>3.7</v>
      </c>
      <c r="AC2990">
        <v>60</v>
      </c>
      <c r="AD2990">
        <v>45.52</v>
      </c>
      <c r="AE2990">
        <f t="shared" si="92"/>
        <v>-105.52000000000001</v>
      </c>
      <c r="AF2990" t="str">
        <f t="shared" si="93"/>
        <v>2026-01</v>
      </c>
      <c r="AG2990">
        <f>SUBTOTAL(103,A2990)</f>
        <v>1</v>
      </c>
    </row>
    <row r="2991" spans="1:33" x14ac:dyDescent="0.3">
      <c r="A2991" t="s">
        <v>5614</v>
      </c>
      <c r="B2991" s="13">
        <v>46041</v>
      </c>
      <c r="C2991">
        <v>2026</v>
      </c>
      <c r="D2991">
        <v>1</v>
      </c>
      <c r="E2991" t="s">
        <v>2571</v>
      </c>
      <c r="F2991" t="s">
        <v>2572</v>
      </c>
      <c r="G2991" t="s">
        <v>2467</v>
      </c>
      <c r="H2991" t="s">
        <v>2468</v>
      </c>
      <c r="I2991" t="s">
        <v>86</v>
      </c>
      <c r="J2991">
        <v>32</v>
      </c>
      <c r="K2991" t="s">
        <v>81</v>
      </c>
      <c r="L2991" t="s">
        <v>2586</v>
      </c>
      <c r="M2991" t="s">
        <v>62</v>
      </c>
      <c r="N2991" t="s">
        <v>2626</v>
      </c>
      <c r="O2991" t="s">
        <v>125</v>
      </c>
      <c r="P2991" t="s">
        <v>48</v>
      </c>
      <c r="Q2991" t="s">
        <v>141</v>
      </c>
      <c r="R2991">
        <v>1</v>
      </c>
      <c r="S2991">
        <v>1999</v>
      </c>
      <c r="T2991">
        <v>0</v>
      </c>
      <c r="U2991">
        <v>1999</v>
      </c>
      <c r="V2991">
        <v>1150</v>
      </c>
      <c r="W2991">
        <v>849</v>
      </c>
      <c r="X2991" t="s">
        <v>75</v>
      </c>
      <c r="Y2991" t="s">
        <v>68</v>
      </c>
      <c r="Z2991" t="s">
        <v>162</v>
      </c>
      <c r="AA2991" t="s">
        <v>166</v>
      </c>
      <c r="AB2991">
        <v>5</v>
      </c>
      <c r="AC2991">
        <v>80</v>
      </c>
      <c r="AD2991">
        <v>189.68</v>
      </c>
      <c r="AE2991">
        <f t="shared" si="92"/>
        <v>579.31999999999994</v>
      </c>
      <c r="AF2991" t="str">
        <f t="shared" si="93"/>
        <v>2026-01</v>
      </c>
      <c r="AG2991">
        <f>SUBTOTAL(103,A2991)</f>
        <v>1</v>
      </c>
    </row>
    <row r="2992" spans="1:33" x14ac:dyDescent="0.3">
      <c r="A2992" t="s">
        <v>5615</v>
      </c>
      <c r="B2992" s="13">
        <v>46041</v>
      </c>
      <c r="C2992">
        <v>2026</v>
      </c>
      <c r="D2992">
        <v>1</v>
      </c>
      <c r="E2992" t="s">
        <v>2571</v>
      </c>
      <c r="F2992" t="s">
        <v>2572</v>
      </c>
      <c r="G2992" t="s">
        <v>375</v>
      </c>
      <c r="H2992" t="s">
        <v>376</v>
      </c>
      <c r="I2992" t="s">
        <v>85</v>
      </c>
      <c r="J2992">
        <v>37</v>
      </c>
      <c r="K2992" t="s">
        <v>82</v>
      </c>
      <c r="L2992" t="s">
        <v>2576</v>
      </c>
      <c r="M2992" t="s">
        <v>60</v>
      </c>
      <c r="N2992" t="s">
        <v>2665</v>
      </c>
      <c r="O2992" t="s">
        <v>128</v>
      </c>
      <c r="P2992" t="s">
        <v>53</v>
      </c>
      <c r="Q2992" t="s">
        <v>143</v>
      </c>
      <c r="R2992">
        <v>4</v>
      </c>
      <c r="S2992">
        <v>1499</v>
      </c>
      <c r="T2992">
        <v>0.05</v>
      </c>
      <c r="U2992">
        <v>5696.2</v>
      </c>
      <c r="V2992">
        <v>3200</v>
      </c>
      <c r="W2992">
        <v>2496.1999999999998</v>
      </c>
      <c r="X2992" t="s">
        <v>77</v>
      </c>
      <c r="Y2992" t="s">
        <v>69</v>
      </c>
      <c r="Z2992" t="s">
        <v>160</v>
      </c>
      <c r="AA2992" t="s">
        <v>168</v>
      </c>
      <c r="AB2992">
        <v>4.5</v>
      </c>
      <c r="AC2992">
        <v>40</v>
      </c>
      <c r="AD2992">
        <v>301.95</v>
      </c>
      <c r="AE2992">
        <f t="shared" si="92"/>
        <v>2154.25</v>
      </c>
      <c r="AF2992" t="str">
        <f t="shared" si="93"/>
        <v>2026-01</v>
      </c>
      <c r="AG2992">
        <f>SUBTOTAL(103,A2992)</f>
        <v>1</v>
      </c>
    </row>
    <row r="2993" spans="1:33" x14ac:dyDescent="0.3">
      <c r="A2993" t="s">
        <v>5616</v>
      </c>
      <c r="B2993" s="13">
        <v>46041</v>
      </c>
      <c r="C2993">
        <v>2026</v>
      </c>
      <c r="D2993">
        <v>1</v>
      </c>
      <c r="E2993" t="s">
        <v>2571</v>
      </c>
      <c r="F2993" t="s">
        <v>2572</v>
      </c>
      <c r="G2993" t="s">
        <v>1505</v>
      </c>
      <c r="H2993" t="s">
        <v>1506</v>
      </c>
      <c r="I2993" t="s">
        <v>86</v>
      </c>
      <c r="J2993">
        <v>41</v>
      </c>
      <c r="K2993" t="s">
        <v>82</v>
      </c>
      <c r="L2993" t="s">
        <v>59</v>
      </c>
      <c r="M2993" t="s">
        <v>59</v>
      </c>
      <c r="N2993" t="s">
        <v>2590</v>
      </c>
      <c r="O2993" t="s">
        <v>127</v>
      </c>
      <c r="P2993" t="s">
        <v>51</v>
      </c>
      <c r="Q2993" t="s">
        <v>148</v>
      </c>
      <c r="R2993">
        <v>5</v>
      </c>
      <c r="S2993">
        <v>1599</v>
      </c>
      <c r="T2993">
        <v>0.15</v>
      </c>
      <c r="U2993">
        <v>6795.75</v>
      </c>
      <c r="V2993">
        <v>4000</v>
      </c>
      <c r="W2993">
        <v>2795.75</v>
      </c>
      <c r="X2993" t="s">
        <v>74</v>
      </c>
      <c r="Y2993" t="s">
        <v>69</v>
      </c>
      <c r="Z2993" t="s">
        <v>159</v>
      </c>
      <c r="AA2993" t="s">
        <v>169</v>
      </c>
      <c r="AB2993">
        <v>3.3</v>
      </c>
      <c r="AC2993">
        <v>60</v>
      </c>
      <c r="AD2993">
        <v>451.29</v>
      </c>
      <c r="AE2993">
        <f t="shared" si="92"/>
        <v>2284.46</v>
      </c>
      <c r="AF2993" t="str">
        <f t="shared" si="93"/>
        <v>2026-01</v>
      </c>
      <c r="AG2993">
        <f>SUBTOTAL(103,A2993)</f>
        <v>1</v>
      </c>
    </row>
    <row r="2994" spans="1:33" x14ac:dyDescent="0.3">
      <c r="A2994" t="s">
        <v>5617</v>
      </c>
      <c r="B2994" s="13">
        <v>46041</v>
      </c>
      <c r="C2994">
        <v>2026</v>
      </c>
      <c r="D2994">
        <v>1</v>
      </c>
      <c r="E2994" t="s">
        <v>2571</v>
      </c>
      <c r="F2994" t="s">
        <v>2572</v>
      </c>
      <c r="G2994" t="s">
        <v>707</v>
      </c>
      <c r="H2994" t="s">
        <v>708</v>
      </c>
      <c r="I2994" t="s">
        <v>85</v>
      </c>
      <c r="J2994">
        <v>24</v>
      </c>
      <c r="K2994" t="s">
        <v>80</v>
      </c>
      <c r="L2994" t="s">
        <v>90</v>
      </c>
      <c r="M2994" t="s">
        <v>55</v>
      </c>
      <c r="N2994" t="s">
        <v>2601</v>
      </c>
      <c r="O2994" t="s">
        <v>117</v>
      </c>
      <c r="P2994" t="s">
        <v>49</v>
      </c>
      <c r="Q2994" t="s">
        <v>139</v>
      </c>
      <c r="R2994">
        <v>5</v>
      </c>
      <c r="S2994">
        <v>6999</v>
      </c>
      <c r="T2994">
        <v>0.1</v>
      </c>
      <c r="U2994">
        <v>31495.5</v>
      </c>
      <c r="V2994">
        <v>21500</v>
      </c>
      <c r="W2994">
        <v>9995.5</v>
      </c>
      <c r="X2994" t="s">
        <v>73</v>
      </c>
      <c r="Y2994" t="s">
        <v>68</v>
      </c>
      <c r="Z2994" t="s">
        <v>159</v>
      </c>
      <c r="AA2994" t="s">
        <v>171</v>
      </c>
      <c r="AB2994">
        <v>4.4000000000000004</v>
      </c>
      <c r="AC2994">
        <v>60</v>
      </c>
      <c r="AD2994">
        <v>2817.78</v>
      </c>
      <c r="AE2994">
        <f t="shared" si="92"/>
        <v>7117.7199999999993</v>
      </c>
      <c r="AF2994" t="str">
        <f t="shared" si="93"/>
        <v>2026-01</v>
      </c>
      <c r="AG2994">
        <f>SUBTOTAL(103,A2994)</f>
        <v>1</v>
      </c>
    </row>
    <row r="2995" spans="1:33" x14ac:dyDescent="0.3">
      <c r="A2995" t="s">
        <v>5618</v>
      </c>
      <c r="B2995" s="13">
        <v>46041</v>
      </c>
      <c r="C2995">
        <v>2026</v>
      </c>
      <c r="D2995">
        <v>1</v>
      </c>
      <c r="E2995" t="s">
        <v>2571</v>
      </c>
      <c r="F2995" t="s">
        <v>2572</v>
      </c>
      <c r="G2995" t="s">
        <v>191</v>
      </c>
      <c r="H2995" t="s">
        <v>192</v>
      </c>
      <c r="I2995" t="s">
        <v>85</v>
      </c>
      <c r="J2995">
        <v>22</v>
      </c>
      <c r="K2995" t="s">
        <v>80</v>
      </c>
      <c r="L2995" t="s">
        <v>2687</v>
      </c>
      <c r="M2995" t="s">
        <v>57</v>
      </c>
      <c r="N2995" t="s">
        <v>2592</v>
      </c>
      <c r="O2995" t="s">
        <v>115</v>
      </c>
      <c r="P2995" t="s">
        <v>48</v>
      </c>
      <c r="Q2995" t="s">
        <v>137</v>
      </c>
      <c r="R2995">
        <v>4</v>
      </c>
      <c r="S2995">
        <v>12999</v>
      </c>
      <c r="T2995">
        <v>0</v>
      </c>
      <c r="U2995">
        <v>51996</v>
      </c>
      <c r="V2995">
        <v>36000</v>
      </c>
      <c r="W2995">
        <v>15996</v>
      </c>
      <c r="X2995" t="s">
        <v>74</v>
      </c>
      <c r="Y2995" t="s">
        <v>68</v>
      </c>
      <c r="Z2995" t="s">
        <v>162</v>
      </c>
      <c r="AA2995" t="s">
        <v>168</v>
      </c>
      <c r="AB2995">
        <v>4.5999999999999996</v>
      </c>
      <c r="AC2995">
        <v>100</v>
      </c>
      <c r="AD2995">
        <v>4861.09</v>
      </c>
      <c r="AE2995">
        <f t="shared" si="92"/>
        <v>11034.91</v>
      </c>
      <c r="AF2995" t="str">
        <f t="shared" si="93"/>
        <v>2026-01</v>
      </c>
      <c r="AG2995">
        <f>SUBTOTAL(103,A2995)</f>
        <v>1</v>
      </c>
    </row>
    <row r="2996" spans="1:33" x14ac:dyDescent="0.3">
      <c r="A2996" t="s">
        <v>5619</v>
      </c>
      <c r="B2996" s="13">
        <v>46041</v>
      </c>
      <c r="C2996">
        <v>2026</v>
      </c>
      <c r="D2996">
        <v>1</v>
      </c>
      <c r="E2996" t="s">
        <v>2571</v>
      </c>
      <c r="F2996" t="s">
        <v>2572</v>
      </c>
      <c r="G2996" t="s">
        <v>1029</v>
      </c>
      <c r="H2996" t="s">
        <v>1030</v>
      </c>
      <c r="I2996" t="s">
        <v>85</v>
      </c>
      <c r="J2996">
        <v>22</v>
      </c>
      <c r="K2996" t="s">
        <v>80</v>
      </c>
      <c r="L2996" t="s">
        <v>2637</v>
      </c>
      <c r="M2996" t="s">
        <v>64</v>
      </c>
      <c r="N2996" t="s">
        <v>2584</v>
      </c>
      <c r="O2996" t="s">
        <v>121</v>
      </c>
      <c r="P2996" t="s">
        <v>50</v>
      </c>
      <c r="Q2996" t="s">
        <v>144</v>
      </c>
      <c r="R2996">
        <v>2</v>
      </c>
      <c r="S2996">
        <v>2999</v>
      </c>
      <c r="T2996">
        <v>0.1</v>
      </c>
      <c r="U2996">
        <v>5398.2</v>
      </c>
      <c r="V2996">
        <v>3400</v>
      </c>
      <c r="W2996">
        <v>1998.2</v>
      </c>
      <c r="X2996" t="s">
        <v>73</v>
      </c>
      <c r="Y2996" t="s">
        <v>68</v>
      </c>
      <c r="Z2996" t="s">
        <v>162</v>
      </c>
      <c r="AA2996" t="s">
        <v>166</v>
      </c>
      <c r="AB2996">
        <v>4.0999999999999996</v>
      </c>
      <c r="AC2996">
        <v>40</v>
      </c>
      <c r="AD2996">
        <v>165.02</v>
      </c>
      <c r="AE2996">
        <f t="shared" si="92"/>
        <v>1793.18</v>
      </c>
      <c r="AF2996" t="str">
        <f t="shared" si="93"/>
        <v>2026-01</v>
      </c>
      <c r="AG2996">
        <f>SUBTOTAL(103,A2996)</f>
        <v>1</v>
      </c>
    </row>
    <row r="2997" spans="1:33" x14ac:dyDescent="0.3">
      <c r="A2997" t="s">
        <v>5620</v>
      </c>
      <c r="B2997" s="13">
        <v>46042</v>
      </c>
      <c r="C2997">
        <v>2026</v>
      </c>
      <c r="D2997">
        <v>1</v>
      </c>
      <c r="E2997" t="s">
        <v>2571</v>
      </c>
      <c r="F2997" t="s">
        <v>2572</v>
      </c>
      <c r="G2997" t="s">
        <v>333</v>
      </c>
      <c r="H2997" t="s">
        <v>334</v>
      </c>
      <c r="I2997" t="s">
        <v>85</v>
      </c>
      <c r="J2997">
        <v>52</v>
      </c>
      <c r="K2997" t="s">
        <v>83</v>
      </c>
      <c r="L2997" t="s">
        <v>94</v>
      </c>
      <c r="M2997" t="s">
        <v>57</v>
      </c>
      <c r="N2997" t="s">
        <v>2647</v>
      </c>
      <c r="O2997" t="s">
        <v>133</v>
      </c>
      <c r="P2997" t="s">
        <v>50</v>
      </c>
      <c r="Q2997" t="s">
        <v>145</v>
      </c>
      <c r="R2997">
        <v>2</v>
      </c>
      <c r="S2997">
        <v>799</v>
      </c>
      <c r="T2997">
        <v>0.2</v>
      </c>
      <c r="U2997">
        <v>1278.4000000000001</v>
      </c>
      <c r="V2997">
        <v>780</v>
      </c>
      <c r="W2997">
        <v>498.4</v>
      </c>
      <c r="X2997" t="s">
        <v>76</v>
      </c>
      <c r="Y2997" t="s">
        <v>68</v>
      </c>
      <c r="Z2997" t="s">
        <v>162</v>
      </c>
      <c r="AA2997" t="s">
        <v>167</v>
      </c>
      <c r="AB2997">
        <v>4.2</v>
      </c>
      <c r="AC2997">
        <v>50</v>
      </c>
      <c r="AD2997">
        <v>121.11</v>
      </c>
      <c r="AE2997">
        <f t="shared" si="92"/>
        <v>327.28999999999996</v>
      </c>
      <c r="AF2997" t="str">
        <f t="shared" si="93"/>
        <v>2026-01</v>
      </c>
      <c r="AG2997">
        <f>SUBTOTAL(103,A2997)</f>
        <v>1</v>
      </c>
    </row>
    <row r="2998" spans="1:33" x14ac:dyDescent="0.3">
      <c r="A2998" t="s">
        <v>5621</v>
      </c>
      <c r="B2998" s="13">
        <v>46042</v>
      </c>
      <c r="C2998">
        <v>2026</v>
      </c>
      <c r="D2998">
        <v>1</v>
      </c>
      <c r="E2998" t="s">
        <v>2571</v>
      </c>
      <c r="F2998" t="s">
        <v>2572</v>
      </c>
      <c r="G2998" t="s">
        <v>351</v>
      </c>
      <c r="H2998" t="s">
        <v>352</v>
      </c>
      <c r="I2998" t="s">
        <v>86</v>
      </c>
      <c r="J2998">
        <v>25</v>
      </c>
      <c r="K2998" t="s">
        <v>80</v>
      </c>
      <c r="L2998" t="s">
        <v>91</v>
      </c>
      <c r="M2998" t="s">
        <v>55</v>
      </c>
      <c r="N2998" t="s">
        <v>2596</v>
      </c>
      <c r="O2998" t="s">
        <v>124</v>
      </c>
      <c r="P2998" t="s">
        <v>51</v>
      </c>
      <c r="Q2998" t="s">
        <v>147</v>
      </c>
      <c r="R2998">
        <v>4</v>
      </c>
      <c r="S2998">
        <v>2299</v>
      </c>
      <c r="T2998">
        <v>0.15</v>
      </c>
      <c r="U2998">
        <v>7816.6</v>
      </c>
      <c r="V2998">
        <v>4800</v>
      </c>
      <c r="W2998">
        <v>3016.6</v>
      </c>
      <c r="X2998" t="s">
        <v>76</v>
      </c>
      <c r="Y2998" t="s">
        <v>68</v>
      </c>
      <c r="Z2998" t="s">
        <v>162</v>
      </c>
      <c r="AA2998" t="s">
        <v>167</v>
      </c>
      <c r="AB2998">
        <v>4.7</v>
      </c>
      <c r="AC2998">
        <v>50</v>
      </c>
      <c r="AD2998">
        <v>650.11</v>
      </c>
      <c r="AE2998">
        <f t="shared" si="92"/>
        <v>2316.4899999999998</v>
      </c>
      <c r="AF2998" t="str">
        <f t="shared" si="93"/>
        <v>2026-01</v>
      </c>
      <c r="AG2998">
        <f>SUBTOTAL(103,A2998)</f>
        <v>1</v>
      </c>
    </row>
    <row r="2999" spans="1:33" x14ac:dyDescent="0.3">
      <c r="A2999" t="s">
        <v>5622</v>
      </c>
      <c r="B2999" s="13">
        <v>46042</v>
      </c>
      <c r="C2999">
        <v>2026</v>
      </c>
      <c r="D2999">
        <v>1</v>
      </c>
      <c r="E2999" t="s">
        <v>2571</v>
      </c>
      <c r="F2999" t="s">
        <v>2572</v>
      </c>
      <c r="G2999" t="s">
        <v>675</v>
      </c>
      <c r="H2999" t="s">
        <v>676</v>
      </c>
      <c r="I2999" t="s">
        <v>85</v>
      </c>
      <c r="J2999">
        <v>33</v>
      </c>
      <c r="K2999" t="s">
        <v>81</v>
      </c>
      <c r="L2999" t="s">
        <v>2605</v>
      </c>
      <c r="M2999" t="s">
        <v>60</v>
      </c>
      <c r="N2999" t="s">
        <v>2603</v>
      </c>
      <c r="O2999" t="s">
        <v>122</v>
      </c>
      <c r="P2999" t="s">
        <v>48</v>
      </c>
      <c r="Q2999" t="s">
        <v>141</v>
      </c>
      <c r="R2999">
        <v>2</v>
      </c>
      <c r="S2999">
        <v>2499</v>
      </c>
      <c r="T2999">
        <v>0.1</v>
      </c>
      <c r="U2999">
        <v>4498.2</v>
      </c>
      <c r="V2999">
        <v>2900</v>
      </c>
      <c r="W2999">
        <v>1598.2</v>
      </c>
      <c r="X2999" t="s">
        <v>75</v>
      </c>
      <c r="Y2999" t="s">
        <v>68</v>
      </c>
      <c r="Z2999" t="s">
        <v>158</v>
      </c>
      <c r="AA2999" t="s">
        <v>166</v>
      </c>
      <c r="AB2999">
        <v>4.2</v>
      </c>
      <c r="AC2999">
        <v>60</v>
      </c>
      <c r="AD2999">
        <v>277.10000000000002</v>
      </c>
      <c r="AE2999">
        <f t="shared" si="92"/>
        <v>1261.0999999999999</v>
      </c>
      <c r="AF2999" t="str">
        <f t="shared" si="93"/>
        <v>2026-01</v>
      </c>
      <c r="AG2999">
        <f>SUBTOTAL(103,A2999)</f>
        <v>1</v>
      </c>
    </row>
    <row r="3000" spans="1:33" x14ac:dyDescent="0.3">
      <c r="A3000" t="s">
        <v>5623</v>
      </c>
      <c r="B3000" s="13">
        <v>46043</v>
      </c>
      <c r="C3000">
        <v>2026</v>
      </c>
      <c r="D3000">
        <v>1</v>
      </c>
      <c r="E3000" t="s">
        <v>2571</v>
      </c>
      <c r="F3000" t="s">
        <v>2572</v>
      </c>
      <c r="G3000" t="s">
        <v>1541</v>
      </c>
      <c r="H3000" t="s">
        <v>1542</v>
      </c>
      <c r="I3000" t="s">
        <v>86</v>
      </c>
      <c r="J3000">
        <v>31</v>
      </c>
      <c r="K3000" t="s">
        <v>81</v>
      </c>
      <c r="L3000" t="s">
        <v>91</v>
      </c>
      <c r="M3000" t="s">
        <v>55</v>
      </c>
      <c r="N3000" t="s">
        <v>2644</v>
      </c>
      <c r="O3000" t="s">
        <v>126</v>
      </c>
      <c r="P3000" t="s">
        <v>50</v>
      </c>
      <c r="Q3000" t="s">
        <v>145</v>
      </c>
      <c r="R3000">
        <v>1</v>
      </c>
      <c r="S3000">
        <v>1799</v>
      </c>
      <c r="T3000">
        <v>0</v>
      </c>
      <c r="U3000">
        <v>0</v>
      </c>
      <c r="V3000">
        <v>0</v>
      </c>
      <c r="W3000">
        <v>0</v>
      </c>
      <c r="X3000" t="s">
        <v>75</v>
      </c>
      <c r="Y3000" t="s">
        <v>71</v>
      </c>
      <c r="Z3000" t="s">
        <v>160</v>
      </c>
      <c r="AA3000" t="s">
        <v>166</v>
      </c>
      <c r="AB3000">
        <v>3.7</v>
      </c>
      <c r="AC3000">
        <v>50</v>
      </c>
      <c r="AD3000">
        <v>124.87</v>
      </c>
      <c r="AE3000">
        <f t="shared" si="92"/>
        <v>-174.87</v>
      </c>
      <c r="AF3000" t="str">
        <f t="shared" si="93"/>
        <v>2026-01</v>
      </c>
      <c r="AG3000">
        <f>SUBTOTAL(103,A3000)</f>
        <v>1</v>
      </c>
    </row>
    <row r="3001" spans="1:33" x14ac:dyDescent="0.3">
      <c r="A3001" t="s">
        <v>5624</v>
      </c>
      <c r="B3001" s="13">
        <v>46043</v>
      </c>
      <c r="C3001">
        <v>2026</v>
      </c>
      <c r="D3001">
        <v>1</v>
      </c>
      <c r="E3001" t="s">
        <v>2571</v>
      </c>
      <c r="F3001" t="s">
        <v>2572</v>
      </c>
      <c r="G3001" t="s">
        <v>753</v>
      </c>
      <c r="H3001" t="s">
        <v>754</v>
      </c>
      <c r="I3001" t="s">
        <v>85</v>
      </c>
      <c r="J3001">
        <v>60</v>
      </c>
      <c r="K3001" t="s">
        <v>83</v>
      </c>
      <c r="L3001" t="s">
        <v>59</v>
      </c>
      <c r="M3001" t="s">
        <v>59</v>
      </c>
      <c r="N3001" t="s">
        <v>2644</v>
      </c>
      <c r="O3001" t="s">
        <v>126</v>
      </c>
      <c r="P3001" t="s">
        <v>50</v>
      </c>
      <c r="Q3001" t="s">
        <v>145</v>
      </c>
      <c r="R3001">
        <v>1</v>
      </c>
      <c r="S3001">
        <v>1799</v>
      </c>
      <c r="T3001">
        <v>0.15</v>
      </c>
      <c r="U3001">
        <v>1529.15</v>
      </c>
      <c r="V3001">
        <v>950</v>
      </c>
      <c r="W3001">
        <v>579.15</v>
      </c>
      <c r="X3001" t="s">
        <v>74</v>
      </c>
      <c r="Y3001" t="s">
        <v>68</v>
      </c>
      <c r="Z3001" t="s">
        <v>161</v>
      </c>
      <c r="AA3001" t="s">
        <v>169</v>
      </c>
      <c r="AB3001">
        <v>4.8</v>
      </c>
      <c r="AC3001">
        <v>60</v>
      </c>
      <c r="AD3001">
        <v>85.62</v>
      </c>
      <c r="AE3001">
        <f t="shared" si="92"/>
        <v>433.53</v>
      </c>
      <c r="AF3001" t="str">
        <f t="shared" si="93"/>
        <v>2026-01</v>
      </c>
      <c r="AG3001">
        <f>SUBTOTAL(103,A3001)</f>
        <v>1</v>
      </c>
    </row>
    <row r="3002" spans="1:33" x14ac:dyDescent="0.3">
      <c r="A3002" t="s">
        <v>5625</v>
      </c>
      <c r="B3002" s="13">
        <v>46043</v>
      </c>
      <c r="C3002">
        <v>2026</v>
      </c>
      <c r="D3002">
        <v>1</v>
      </c>
      <c r="E3002" t="s">
        <v>2571</v>
      </c>
      <c r="F3002" t="s">
        <v>2572</v>
      </c>
      <c r="G3002" t="s">
        <v>283</v>
      </c>
      <c r="H3002" t="s">
        <v>284</v>
      </c>
      <c r="I3002" t="s">
        <v>85</v>
      </c>
      <c r="J3002">
        <v>20</v>
      </c>
      <c r="K3002" t="s">
        <v>80</v>
      </c>
      <c r="L3002" t="s">
        <v>2687</v>
      </c>
      <c r="M3002" t="s">
        <v>57</v>
      </c>
      <c r="N3002" t="s">
        <v>2626</v>
      </c>
      <c r="O3002" t="s">
        <v>125</v>
      </c>
      <c r="P3002" t="s">
        <v>48</v>
      </c>
      <c r="Q3002" t="s">
        <v>141</v>
      </c>
      <c r="R3002">
        <v>4</v>
      </c>
      <c r="S3002">
        <v>1999</v>
      </c>
      <c r="T3002">
        <v>0.05</v>
      </c>
      <c r="U3002">
        <v>7596.2</v>
      </c>
      <c r="V3002">
        <v>4600</v>
      </c>
      <c r="W3002">
        <v>2996.2</v>
      </c>
      <c r="X3002" t="s">
        <v>73</v>
      </c>
      <c r="Y3002" t="s">
        <v>68</v>
      </c>
      <c r="Z3002" t="s">
        <v>163</v>
      </c>
      <c r="AA3002" t="s">
        <v>171</v>
      </c>
      <c r="AB3002">
        <v>3.8</v>
      </c>
      <c r="AC3002">
        <v>40</v>
      </c>
      <c r="AD3002">
        <v>862.05</v>
      </c>
      <c r="AE3002">
        <f t="shared" si="92"/>
        <v>2094.1499999999996</v>
      </c>
      <c r="AF3002" t="str">
        <f t="shared" si="93"/>
        <v>2026-01</v>
      </c>
      <c r="AG3002">
        <f>SUBTOTAL(103,A3002)</f>
        <v>1</v>
      </c>
    </row>
    <row r="3003" spans="1:33" x14ac:dyDescent="0.3">
      <c r="A3003" t="s">
        <v>5626</v>
      </c>
      <c r="B3003" s="13">
        <v>46043</v>
      </c>
      <c r="C3003">
        <v>2026</v>
      </c>
      <c r="D3003">
        <v>1</v>
      </c>
      <c r="E3003" t="s">
        <v>2571</v>
      </c>
      <c r="F3003" t="s">
        <v>2572</v>
      </c>
      <c r="G3003" t="s">
        <v>581</v>
      </c>
      <c r="H3003" t="s">
        <v>582</v>
      </c>
      <c r="I3003" t="s">
        <v>86</v>
      </c>
      <c r="J3003">
        <v>57</v>
      </c>
      <c r="K3003" t="s">
        <v>83</v>
      </c>
      <c r="L3003" t="s">
        <v>2610</v>
      </c>
      <c r="M3003" t="s">
        <v>64</v>
      </c>
      <c r="N3003" t="s">
        <v>2653</v>
      </c>
      <c r="O3003" t="s">
        <v>132</v>
      </c>
      <c r="P3003" t="s">
        <v>52</v>
      </c>
      <c r="Q3003" t="s">
        <v>150</v>
      </c>
      <c r="R3003">
        <v>5</v>
      </c>
      <c r="S3003">
        <v>899</v>
      </c>
      <c r="T3003">
        <v>0.15</v>
      </c>
      <c r="U3003">
        <v>3820.75</v>
      </c>
      <c r="V3003">
        <v>2100</v>
      </c>
      <c r="W3003">
        <v>1720.75</v>
      </c>
      <c r="X3003" t="s">
        <v>75</v>
      </c>
      <c r="Y3003" t="s">
        <v>68</v>
      </c>
      <c r="Z3003" t="s">
        <v>159</v>
      </c>
      <c r="AA3003" t="s">
        <v>169</v>
      </c>
      <c r="AB3003">
        <v>2.8</v>
      </c>
      <c r="AC3003">
        <v>60</v>
      </c>
      <c r="AD3003">
        <v>170.45</v>
      </c>
      <c r="AE3003">
        <f t="shared" si="92"/>
        <v>1490.3</v>
      </c>
      <c r="AF3003" t="str">
        <f t="shared" si="93"/>
        <v>2026-01</v>
      </c>
      <c r="AG3003">
        <f>SUBTOTAL(103,A3003)</f>
        <v>1</v>
      </c>
    </row>
    <row r="3004" spans="1:33" x14ac:dyDescent="0.3">
      <c r="A3004" t="s">
        <v>5627</v>
      </c>
      <c r="B3004" s="13">
        <v>46043</v>
      </c>
      <c r="C3004">
        <v>2026</v>
      </c>
      <c r="D3004">
        <v>1</v>
      </c>
      <c r="E3004" t="s">
        <v>2571</v>
      </c>
      <c r="F3004" t="s">
        <v>2572</v>
      </c>
      <c r="G3004" t="s">
        <v>667</v>
      </c>
      <c r="H3004" t="s">
        <v>668</v>
      </c>
      <c r="I3004" t="s">
        <v>85</v>
      </c>
      <c r="J3004">
        <v>60</v>
      </c>
      <c r="K3004" t="s">
        <v>83</v>
      </c>
      <c r="L3004" t="s">
        <v>95</v>
      </c>
      <c r="M3004" t="s">
        <v>56</v>
      </c>
      <c r="N3004" t="s">
        <v>2606</v>
      </c>
      <c r="O3004" t="s">
        <v>120</v>
      </c>
      <c r="P3004" t="s">
        <v>49</v>
      </c>
      <c r="Q3004" t="s">
        <v>140</v>
      </c>
      <c r="R3004">
        <v>5</v>
      </c>
      <c r="S3004">
        <v>2799</v>
      </c>
      <c r="T3004">
        <v>0.05</v>
      </c>
      <c r="U3004">
        <v>0</v>
      </c>
      <c r="V3004">
        <v>0</v>
      </c>
      <c r="W3004">
        <v>0</v>
      </c>
      <c r="X3004" t="s">
        <v>75</v>
      </c>
      <c r="Y3004" t="s">
        <v>71</v>
      </c>
      <c r="Z3004" t="s">
        <v>158</v>
      </c>
      <c r="AA3004" t="s">
        <v>169</v>
      </c>
      <c r="AB3004">
        <v>2.5</v>
      </c>
      <c r="AC3004">
        <v>120</v>
      </c>
      <c r="AD3004">
        <v>1232.24</v>
      </c>
      <c r="AE3004">
        <f t="shared" si="92"/>
        <v>-1352.24</v>
      </c>
      <c r="AF3004" t="str">
        <f t="shared" si="93"/>
        <v>2026-01</v>
      </c>
      <c r="AG3004">
        <f>SUBTOTAL(103,A3004)</f>
        <v>1</v>
      </c>
    </row>
    <row r="3005" spans="1:33" x14ac:dyDescent="0.3">
      <c r="A3005" t="s">
        <v>5628</v>
      </c>
      <c r="B3005" s="13">
        <v>46043</v>
      </c>
      <c r="C3005">
        <v>2026</v>
      </c>
      <c r="D3005">
        <v>1</v>
      </c>
      <c r="E3005" t="s">
        <v>2571</v>
      </c>
      <c r="F3005" t="s">
        <v>2572</v>
      </c>
      <c r="G3005" t="s">
        <v>385</v>
      </c>
      <c r="H3005" t="s">
        <v>386</v>
      </c>
      <c r="I3005" t="s">
        <v>85</v>
      </c>
      <c r="J3005">
        <v>56</v>
      </c>
      <c r="K3005" t="s">
        <v>83</v>
      </c>
      <c r="L3005" t="s">
        <v>2646</v>
      </c>
      <c r="M3005" t="s">
        <v>63</v>
      </c>
      <c r="N3005" t="s">
        <v>2577</v>
      </c>
      <c r="O3005" t="s">
        <v>129</v>
      </c>
      <c r="P3005" t="s">
        <v>49</v>
      </c>
      <c r="Q3005" t="s">
        <v>149</v>
      </c>
      <c r="R3005">
        <v>4</v>
      </c>
      <c r="S3005">
        <v>1299</v>
      </c>
      <c r="T3005">
        <v>0.15</v>
      </c>
      <c r="U3005">
        <v>4416.6000000000004</v>
      </c>
      <c r="V3005">
        <v>2600</v>
      </c>
      <c r="W3005">
        <v>1816.6</v>
      </c>
      <c r="X3005" t="s">
        <v>74</v>
      </c>
      <c r="Y3005" t="s">
        <v>68</v>
      </c>
      <c r="Z3005" t="s">
        <v>158</v>
      </c>
      <c r="AA3005" t="s">
        <v>170</v>
      </c>
      <c r="AB3005">
        <v>3.9</v>
      </c>
      <c r="AC3005">
        <v>40</v>
      </c>
      <c r="AD3005">
        <v>279.60000000000002</v>
      </c>
      <c r="AE3005">
        <f t="shared" si="92"/>
        <v>1497</v>
      </c>
      <c r="AF3005" t="str">
        <f t="shared" si="93"/>
        <v>2026-01</v>
      </c>
      <c r="AG3005">
        <f>SUBTOTAL(103,A3005)</f>
        <v>1</v>
      </c>
    </row>
    <row r="3006" spans="1:33" x14ac:dyDescent="0.3">
      <c r="A3006" t="s">
        <v>5629</v>
      </c>
      <c r="B3006" s="13">
        <v>46044</v>
      </c>
      <c r="C3006">
        <v>2026</v>
      </c>
      <c r="D3006">
        <v>1</v>
      </c>
      <c r="E3006" t="s">
        <v>2571</v>
      </c>
      <c r="F3006" t="s">
        <v>2572</v>
      </c>
      <c r="G3006" t="s">
        <v>1529</v>
      </c>
      <c r="H3006" t="s">
        <v>1530</v>
      </c>
      <c r="I3006" t="s">
        <v>85</v>
      </c>
      <c r="J3006">
        <v>55</v>
      </c>
      <c r="K3006" t="s">
        <v>83</v>
      </c>
      <c r="L3006" t="s">
        <v>2586</v>
      </c>
      <c r="M3006" t="s">
        <v>62</v>
      </c>
      <c r="N3006" t="s">
        <v>2657</v>
      </c>
      <c r="O3006" t="s">
        <v>134</v>
      </c>
      <c r="P3006" t="s">
        <v>49</v>
      </c>
      <c r="Q3006" t="s">
        <v>140</v>
      </c>
      <c r="R3006">
        <v>3</v>
      </c>
      <c r="S3006">
        <v>599</v>
      </c>
      <c r="T3006">
        <v>0.15</v>
      </c>
      <c r="U3006">
        <v>1527.45</v>
      </c>
      <c r="V3006">
        <v>750</v>
      </c>
      <c r="W3006">
        <v>777.45</v>
      </c>
      <c r="X3006" t="s">
        <v>73</v>
      </c>
      <c r="Y3006" t="s">
        <v>68</v>
      </c>
      <c r="Z3006" t="s">
        <v>161</v>
      </c>
      <c r="AA3006" t="s">
        <v>166</v>
      </c>
      <c r="AB3006">
        <v>4.4000000000000004</v>
      </c>
      <c r="AC3006">
        <v>50</v>
      </c>
      <c r="AD3006">
        <v>112.8</v>
      </c>
      <c r="AE3006">
        <f t="shared" si="92"/>
        <v>614.65000000000009</v>
      </c>
      <c r="AF3006" t="str">
        <f t="shared" si="93"/>
        <v>2026-01</v>
      </c>
      <c r="AG3006">
        <f>SUBTOTAL(103,A3006)</f>
        <v>1</v>
      </c>
    </row>
    <row r="3007" spans="1:33" x14ac:dyDescent="0.3">
      <c r="A3007" t="s">
        <v>5630</v>
      </c>
      <c r="B3007" s="13">
        <v>46044</v>
      </c>
      <c r="C3007">
        <v>2026</v>
      </c>
      <c r="D3007">
        <v>1</v>
      </c>
      <c r="E3007" t="s">
        <v>2571</v>
      </c>
      <c r="F3007" t="s">
        <v>2572</v>
      </c>
      <c r="G3007" t="s">
        <v>1553</v>
      </c>
      <c r="H3007" t="s">
        <v>1554</v>
      </c>
      <c r="I3007" t="s">
        <v>86</v>
      </c>
      <c r="J3007">
        <v>29</v>
      </c>
      <c r="K3007" t="s">
        <v>81</v>
      </c>
      <c r="L3007" t="s">
        <v>93</v>
      </c>
      <c r="M3007" t="s">
        <v>55</v>
      </c>
      <c r="N3007" t="s">
        <v>2574</v>
      </c>
      <c r="O3007" t="s">
        <v>130</v>
      </c>
      <c r="P3007" t="s">
        <v>50</v>
      </c>
      <c r="Q3007" t="s">
        <v>53</v>
      </c>
      <c r="R3007">
        <v>1</v>
      </c>
      <c r="S3007">
        <v>1199</v>
      </c>
      <c r="T3007">
        <v>0.2</v>
      </c>
      <c r="U3007">
        <v>0</v>
      </c>
      <c r="V3007">
        <v>0</v>
      </c>
      <c r="W3007">
        <v>0</v>
      </c>
      <c r="X3007" t="s">
        <v>73</v>
      </c>
      <c r="Y3007" t="s">
        <v>71</v>
      </c>
      <c r="Z3007" t="s">
        <v>159</v>
      </c>
      <c r="AA3007" t="s">
        <v>167</v>
      </c>
      <c r="AB3007">
        <v>4.3</v>
      </c>
      <c r="AC3007">
        <v>50</v>
      </c>
      <c r="AD3007">
        <v>51.17</v>
      </c>
      <c r="AE3007">
        <f t="shared" si="92"/>
        <v>-101.17</v>
      </c>
      <c r="AF3007" t="str">
        <f t="shared" si="93"/>
        <v>2026-01</v>
      </c>
      <c r="AG3007">
        <f>SUBTOTAL(103,A3007)</f>
        <v>1</v>
      </c>
    </row>
    <row r="3008" spans="1:33" x14ac:dyDescent="0.3">
      <c r="A3008" t="s">
        <v>5631</v>
      </c>
      <c r="B3008" s="13">
        <v>46044</v>
      </c>
      <c r="C3008">
        <v>2026</v>
      </c>
      <c r="D3008">
        <v>1</v>
      </c>
      <c r="E3008" t="s">
        <v>2571</v>
      </c>
      <c r="F3008" t="s">
        <v>2572</v>
      </c>
      <c r="G3008" t="s">
        <v>443</v>
      </c>
      <c r="H3008" t="s">
        <v>444</v>
      </c>
      <c r="I3008" t="s">
        <v>86</v>
      </c>
      <c r="J3008">
        <v>25</v>
      </c>
      <c r="K3008" t="s">
        <v>80</v>
      </c>
      <c r="L3008" t="s">
        <v>2637</v>
      </c>
      <c r="M3008" t="s">
        <v>64</v>
      </c>
      <c r="N3008" t="s">
        <v>2580</v>
      </c>
      <c r="O3008" t="s">
        <v>118</v>
      </c>
      <c r="P3008" t="s">
        <v>48</v>
      </c>
      <c r="Q3008" t="s">
        <v>142</v>
      </c>
      <c r="R3008">
        <v>2</v>
      </c>
      <c r="S3008">
        <v>3999</v>
      </c>
      <c r="T3008">
        <v>0.05</v>
      </c>
      <c r="U3008">
        <v>7598.1</v>
      </c>
      <c r="V3008">
        <v>4800</v>
      </c>
      <c r="W3008">
        <v>2798.1</v>
      </c>
      <c r="X3008" t="s">
        <v>75</v>
      </c>
      <c r="Y3008" t="s">
        <v>68</v>
      </c>
      <c r="Z3008" t="s">
        <v>158</v>
      </c>
      <c r="AA3008" t="s">
        <v>171</v>
      </c>
      <c r="AB3008">
        <v>4.7</v>
      </c>
      <c r="AC3008">
        <v>60</v>
      </c>
      <c r="AD3008">
        <v>248.68</v>
      </c>
      <c r="AE3008">
        <f t="shared" si="92"/>
        <v>2489.42</v>
      </c>
      <c r="AF3008" t="str">
        <f t="shared" si="93"/>
        <v>2026-01</v>
      </c>
      <c r="AG3008">
        <f>SUBTOTAL(103,A3008)</f>
        <v>1</v>
      </c>
    </row>
    <row r="3009" spans="1:33" x14ac:dyDescent="0.3">
      <c r="A3009" t="s">
        <v>5632</v>
      </c>
      <c r="B3009" s="13">
        <v>46044</v>
      </c>
      <c r="C3009">
        <v>2026</v>
      </c>
      <c r="D3009">
        <v>1</v>
      </c>
      <c r="E3009" t="s">
        <v>2571</v>
      </c>
      <c r="F3009" t="s">
        <v>2572</v>
      </c>
      <c r="G3009" t="s">
        <v>2049</v>
      </c>
      <c r="H3009" t="s">
        <v>2050</v>
      </c>
      <c r="I3009" t="s">
        <v>86</v>
      </c>
      <c r="J3009">
        <v>35</v>
      </c>
      <c r="K3009" t="s">
        <v>81</v>
      </c>
      <c r="L3009" t="s">
        <v>93</v>
      </c>
      <c r="M3009" t="s">
        <v>55</v>
      </c>
      <c r="N3009" t="s">
        <v>2657</v>
      </c>
      <c r="O3009" t="s">
        <v>134</v>
      </c>
      <c r="P3009" t="s">
        <v>49</v>
      </c>
      <c r="Q3009" t="s">
        <v>140</v>
      </c>
      <c r="R3009">
        <v>1</v>
      </c>
      <c r="S3009">
        <v>599</v>
      </c>
      <c r="T3009">
        <v>0</v>
      </c>
      <c r="U3009">
        <v>599</v>
      </c>
      <c r="V3009">
        <v>250</v>
      </c>
      <c r="W3009">
        <v>349</v>
      </c>
      <c r="X3009" t="s">
        <v>75</v>
      </c>
      <c r="Y3009" t="s">
        <v>68</v>
      </c>
      <c r="Z3009" t="s">
        <v>160</v>
      </c>
      <c r="AA3009" t="s">
        <v>166</v>
      </c>
      <c r="AB3009">
        <v>4.3</v>
      </c>
      <c r="AC3009">
        <v>40</v>
      </c>
      <c r="AD3009">
        <v>59.81</v>
      </c>
      <c r="AE3009">
        <f t="shared" si="92"/>
        <v>249.19</v>
      </c>
      <c r="AF3009" t="str">
        <f t="shared" si="93"/>
        <v>2026-01</v>
      </c>
      <c r="AG3009">
        <f>SUBTOTAL(103,A3009)</f>
        <v>1</v>
      </c>
    </row>
    <row r="3010" spans="1:33" x14ac:dyDescent="0.3">
      <c r="A3010" t="s">
        <v>5633</v>
      </c>
      <c r="B3010" s="13">
        <v>46044</v>
      </c>
      <c r="C3010">
        <v>2026</v>
      </c>
      <c r="D3010">
        <v>1</v>
      </c>
      <c r="E3010" t="s">
        <v>2571</v>
      </c>
      <c r="F3010" t="s">
        <v>2572</v>
      </c>
      <c r="G3010" t="s">
        <v>1843</v>
      </c>
      <c r="H3010" t="s">
        <v>1844</v>
      </c>
      <c r="I3010" t="s">
        <v>87</v>
      </c>
      <c r="J3010">
        <v>55</v>
      </c>
      <c r="K3010" t="s">
        <v>83</v>
      </c>
      <c r="L3010" t="s">
        <v>2610</v>
      </c>
      <c r="M3010" t="s">
        <v>64</v>
      </c>
      <c r="N3010" t="s">
        <v>2657</v>
      </c>
      <c r="O3010" t="s">
        <v>134</v>
      </c>
      <c r="P3010" t="s">
        <v>49</v>
      </c>
      <c r="Q3010" t="s">
        <v>140</v>
      </c>
      <c r="R3010">
        <v>1</v>
      </c>
      <c r="S3010">
        <v>599</v>
      </c>
      <c r="T3010">
        <v>0</v>
      </c>
      <c r="U3010">
        <v>599</v>
      </c>
      <c r="V3010">
        <v>250</v>
      </c>
      <c r="W3010">
        <v>349</v>
      </c>
      <c r="X3010" t="s">
        <v>76</v>
      </c>
      <c r="Y3010" t="s">
        <v>69</v>
      </c>
      <c r="Z3010" t="s">
        <v>159</v>
      </c>
      <c r="AA3010" t="s">
        <v>169</v>
      </c>
      <c r="AB3010">
        <v>2.2000000000000002</v>
      </c>
      <c r="AC3010">
        <v>120</v>
      </c>
      <c r="AD3010">
        <v>53.53</v>
      </c>
      <c r="AE3010">
        <f t="shared" ref="AE3010:AE3073" si="94">W3010-AC3010-AD3010</f>
        <v>175.47</v>
      </c>
      <c r="AF3010" t="str">
        <f t="shared" ref="AF3010:AF3073" si="95">C3010&amp;"-"&amp;TEXT(D3010,"00")</f>
        <v>2026-01</v>
      </c>
      <c r="AG3010">
        <f>SUBTOTAL(103,A3010)</f>
        <v>1</v>
      </c>
    </row>
    <row r="3011" spans="1:33" x14ac:dyDescent="0.3">
      <c r="A3011" t="s">
        <v>5634</v>
      </c>
      <c r="B3011" s="13">
        <v>46044</v>
      </c>
      <c r="C3011">
        <v>2026</v>
      </c>
      <c r="D3011">
        <v>1</v>
      </c>
      <c r="E3011" t="s">
        <v>2571</v>
      </c>
      <c r="F3011" t="s">
        <v>2572</v>
      </c>
      <c r="G3011" t="s">
        <v>283</v>
      </c>
      <c r="H3011" t="s">
        <v>284</v>
      </c>
      <c r="I3011" t="s">
        <v>85</v>
      </c>
      <c r="J3011">
        <v>20</v>
      </c>
      <c r="K3011" t="s">
        <v>80</v>
      </c>
      <c r="L3011" t="s">
        <v>2687</v>
      </c>
      <c r="M3011" t="s">
        <v>57</v>
      </c>
      <c r="N3011" t="s">
        <v>2574</v>
      </c>
      <c r="O3011" t="s">
        <v>130</v>
      </c>
      <c r="P3011" t="s">
        <v>50</v>
      </c>
      <c r="Q3011" t="s">
        <v>53</v>
      </c>
      <c r="R3011">
        <v>2</v>
      </c>
      <c r="S3011">
        <v>1199</v>
      </c>
      <c r="T3011">
        <v>0.1</v>
      </c>
      <c r="U3011">
        <v>2158.1999999999998</v>
      </c>
      <c r="V3011">
        <v>1100</v>
      </c>
      <c r="W3011">
        <v>1058.2</v>
      </c>
      <c r="X3011" t="s">
        <v>73</v>
      </c>
      <c r="Y3011" t="s">
        <v>68</v>
      </c>
      <c r="Z3011" t="s">
        <v>160</v>
      </c>
      <c r="AA3011" t="s">
        <v>168</v>
      </c>
      <c r="AB3011">
        <v>4.2</v>
      </c>
      <c r="AC3011">
        <v>60</v>
      </c>
      <c r="AD3011">
        <v>241.65</v>
      </c>
      <c r="AE3011">
        <f t="shared" si="94"/>
        <v>756.55000000000007</v>
      </c>
      <c r="AF3011" t="str">
        <f t="shared" si="95"/>
        <v>2026-01</v>
      </c>
      <c r="AG3011">
        <f>SUBTOTAL(103,A3011)</f>
        <v>1</v>
      </c>
    </row>
    <row r="3012" spans="1:33" x14ac:dyDescent="0.3">
      <c r="A3012" t="s">
        <v>5635</v>
      </c>
      <c r="B3012" s="13">
        <v>46044</v>
      </c>
      <c r="C3012">
        <v>2026</v>
      </c>
      <c r="D3012">
        <v>1</v>
      </c>
      <c r="E3012" t="s">
        <v>2571</v>
      </c>
      <c r="F3012" t="s">
        <v>2572</v>
      </c>
      <c r="G3012" t="s">
        <v>1623</v>
      </c>
      <c r="H3012" t="s">
        <v>1624</v>
      </c>
      <c r="I3012" t="s">
        <v>86</v>
      </c>
      <c r="J3012">
        <v>50</v>
      </c>
      <c r="K3012" t="s">
        <v>83</v>
      </c>
      <c r="L3012" t="s">
        <v>2605</v>
      </c>
      <c r="M3012" t="s">
        <v>60</v>
      </c>
      <c r="N3012" t="s">
        <v>2584</v>
      </c>
      <c r="O3012" t="s">
        <v>121</v>
      </c>
      <c r="P3012" t="s">
        <v>50</v>
      </c>
      <c r="Q3012" t="s">
        <v>144</v>
      </c>
      <c r="R3012">
        <v>1</v>
      </c>
      <c r="S3012">
        <v>2999</v>
      </c>
      <c r="T3012">
        <v>0</v>
      </c>
      <c r="U3012">
        <v>2999</v>
      </c>
      <c r="V3012">
        <v>1700</v>
      </c>
      <c r="W3012">
        <v>1299</v>
      </c>
      <c r="X3012" t="s">
        <v>73</v>
      </c>
      <c r="Y3012" t="s">
        <v>69</v>
      </c>
      <c r="Z3012" t="s">
        <v>159</v>
      </c>
      <c r="AA3012" t="s">
        <v>167</v>
      </c>
      <c r="AB3012">
        <v>5</v>
      </c>
      <c r="AC3012">
        <v>60</v>
      </c>
      <c r="AD3012">
        <v>190.77</v>
      </c>
      <c r="AE3012">
        <f t="shared" si="94"/>
        <v>1048.23</v>
      </c>
      <c r="AF3012" t="str">
        <f t="shared" si="95"/>
        <v>2026-01</v>
      </c>
      <c r="AG3012">
        <f>SUBTOTAL(103,A3012)</f>
        <v>1</v>
      </c>
    </row>
    <row r="3013" spans="1:33" x14ac:dyDescent="0.3">
      <c r="A3013" t="s">
        <v>5636</v>
      </c>
      <c r="B3013" s="13">
        <v>46044</v>
      </c>
      <c r="C3013">
        <v>2026</v>
      </c>
      <c r="D3013">
        <v>1</v>
      </c>
      <c r="E3013" t="s">
        <v>2571</v>
      </c>
      <c r="F3013" t="s">
        <v>2572</v>
      </c>
      <c r="G3013" t="s">
        <v>341</v>
      </c>
      <c r="H3013" t="s">
        <v>342</v>
      </c>
      <c r="I3013" t="s">
        <v>85</v>
      </c>
      <c r="J3013">
        <v>34</v>
      </c>
      <c r="K3013" t="s">
        <v>81</v>
      </c>
      <c r="L3013" t="s">
        <v>2679</v>
      </c>
      <c r="M3013" t="s">
        <v>60</v>
      </c>
      <c r="N3013" t="s">
        <v>2606</v>
      </c>
      <c r="O3013" t="s">
        <v>120</v>
      </c>
      <c r="P3013" t="s">
        <v>49</v>
      </c>
      <c r="Q3013" t="s">
        <v>140</v>
      </c>
      <c r="R3013">
        <v>2</v>
      </c>
      <c r="S3013">
        <v>2799</v>
      </c>
      <c r="T3013">
        <v>0.1</v>
      </c>
      <c r="U3013">
        <v>5038.2</v>
      </c>
      <c r="V3013">
        <v>3300</v>
      </c>
      <c r="W3013">
        <v>1738.2</v>
      </c>
      <c r="X3013" t="s">
        <v>73</v>
      </c>
      <c r="Y3013" t="s">
        <v>68</v>
      </c>
      <c r="Z3013" t="s">
        <v>158</v>
      </c>
      <c r="AA3013" t="s">
        <v>170</v>
      </c>
      <c r="AB3013">
        <v>3.6</v>
      </c>
      <c r="AC3013">
        <v>60</v>
      </c>
      <c r="AD3013">
        <v>152.55000000000001</v>
      </c>
      <c r="AE3013">
        <f t="shared" si="94"/>
        <v>1525.65</v>
      </c>
      <c r="AF3013" t="str">
        <f t="shared" si="95"/>
        <v>2026-01</v>
      </c>
      <c r="AG3013">
        <f>SUBTOTAL(103,A3013)</f>
        <v>1</v>
      </c>
    </row>
    <row r="3014" spans="1:33" x14ac:dyDescent="0.3">
      <c r="A3014" t="s">
        <v>5637</v>
      </c>
      <c r="B3014" s="13">
        <v>46044</v>
      </c>
      <c r="C3014">
        <v>2026</v>
      </c>
      <c r="D3014">
        <v>1</v>
      </c>
      <c r="E3014" t="s">
        <v>2571</v>
      </c>
      <c r="F3014" t="s">
        <v>2572</v>
      </c>
      <c r="G3014" t="s">
        <v>2195</v>
      </c>
      <c r="H3014" t="s">
        <v>2196</v>
      </c>
      <c r="I3014" t="s">
        <v>86</v>
      </c>
      <c r="J3014">
        <v>31</v>
      </c>
      <c r="K3014" t="s">
        <v>81</v>
      </c>
      <c r="L3014" t="s">
        <v>2687</v>
      </c>
      <c r="M3014" t="s">
        <v>57</v>
      </c>
      <c r="N3014" t="s">
        <v>2630</v>
      </c>
      <c r="O3014" t="s">
        <v>123</v>
      </c>
      <c r="P3014" t="s">
        <v>52</v>
      </c>
      <c r="Q3014" t="s">
        <v>146</v>
      </c>
      <c r="R3014">
        <v>1</v>
      </c>
      <c r="S3014">
        <v>2499</v>
      </c>
      <c r="T3014">
        <v>0.2</v>
      </c>
      <c r="U3014">
        <v>1999.2</v>
      </c>
      <c r="V3014">
        <v>1400</v>
      </c>
      <c r="W3014">
        <v>599.20000000000005</v>
      </c>
      <c r="X3014" t="s">
        <v>73</v>
      </c>
      <c r="Y3014" t="s">
        <v>69</v>
      </c>
      <c r="Z3014" t="s">
        <v>159</v>
      </c>
      <c r="AA3014" t="s">
        <v>167</v>
      </c>
      <c r="AB3014">
        <v>4.4000000000000004</v>
      </c>
      <c r="AC3014">
        <v>40</v>
      </c>
      <c r="AD3014">
        <v>115.54</v>
      </c>
      <c r="AE3014">
        <f t="shared" si="94"/>
        <v>443.66</v>
      </c>
      <c r="AF3014" t="str">
        <f t="shared" si="95"/>
        <v>2026-01</v>
      </c>
      <c r="AG3014">
        <f>SUBTOTAL(103,A3014)</f>
        <v>1</v>
      </c>
    </row>
    <row r="3015" spans="1:33" x14ac:dyDescent="0.3">
      <c r="A3015" t="s">
        <v>5638</v>
      </c>
      <c r="B3015" s="13">
        <v>46044</v>
      </c>
      <c r="C3015">
        <v>2026</v>
      </c>
      <c r="D3015">
        <v>1</v>
      </c>
      <c r="E3015" t="s">
        <v>2571</v>
      </c>
      <c r="F3015" t="s">
        <v>2572</v>
      </c>
      <c r="G3015" t="s">
        <v>293</v>
      </c>
      <c r="H3015" t="s">
        <v>294</v>
      </c>
      <c r="I3015" t="s">
        <v>86</v>
      </c>
      <c r="J3015">
        <v>30</v>
      </c>
      <c r="K3015" t="s">
        <v>81</v>
      </c>
      <c r="L3015" t="s">
        <v>98</v>
      </c>
      <c r="M3015" t="s">
        <v>55</v>
      </c>
      <c r="N3015" t="s">
        <v>2584</v>
      </c>
      <c r="O3015" t="s">
        <v>121</v>
      </c>
      <c r="P3015" t="s">
        <v>50</v>
      </c>
      <c r="Q3015" t="s">
        <v>144</v>
      </c>
      <c r="R3015">
        <v>1</v>
      </c>
      <c r="S3015">
        <v>2999</v>
      </c>
      <c r="T3015">
        <v>0.05</v>
      </c>
      <c r="U3015">
        <v>2849.05</v>
      </c>
      <c r="V3015">
        <v>1700</v>
      </c>
      <c r="W3015">
        <v>1149.05</v>
      </c>
      <c r="X3015" t="s">
        <v>74</v>
      </c>
      <c r="Y3015" t="s">
        <v>68</v>
      </c>
      <c r="Z3015" t="s">
        <v>158</v>
      </c>
      <c r="AA3015" t="s">
        <v>170</v>
      </c>
      <c r="AB3015">
        <v>4.5</v>
      </c>
      <c r="AC3015">
        <v>50</v>
      </c>
      <c r="AD3015">
        <v>133.13999999999999</v>
      </c>
      <c r="AE3015">
        <f t="shared" si="94"/>
        <v>965.91</v>
      </c>
      <c r="AF3015" t="str">
        <f t="shared" si="95"/>
        <v>2026-01</v>
      </c>
      <c r="AG3015">
        <f>SUBTOTAL(103,A3015)</f>
        <v>1</v>
      </c>
    </row>
    <row r="3016" spans="1:33" x14ac:dyDescent="0.3">
      <c r="A3016" t="s">
        <v>5639</v>
      </c>
      <c r="B3016" s="13">
        <v>46044</v>
      </c>
      <c r="C3016">
        <v>2026</v>
      </c>
      <c r="D3016">
        <v>1</v>
      </c>
      <c r="E3016" t="s">
        <v>2571</v>
      </c>
      <c r="F3016" t="s">
        <v>2572</v>
      </c>
      <c r="G3016" t="s">
        <v>1603</v>
      </c>
      <c r="H3016" t="s">
        <v>1604</v>
      </c>
      <c r="I3016" t="s">
        <v>85</v>
      </c>
      <c r="J3016">
        <v>24</v>
      </c>
      <c r="K3016" t="s">
        <v>80</v>
      </c>
      <c r="L3016" t="s">
        <v>2589</v>
      </c>
      <c r="M3016" t="s">
        <v>61</v>
      </c>
      <c r="N3016" t="s">
        <v>2630</v>
      </c>
      <c r="O3016" t="s">
        <v>123</v>
      </c>
      <c r="P3016" t="s">
        <v>52</v>
      </c>
      <c r="Q3016" t="s">
        <v>146</v>
      </c>
      <c r="R3016">
        <v>2</v>
      </c>
      <c r="S3016">
        <v>2499</v>
      </c>
      <c r="T3016">
        <v>0.1</v>
      </c>
      <c r="U3016">
        <v>4498.2</v>
      </c>
      <c r="V3016">
        <v>2800</v>
      </c>
      <c r="W3016">
        <v>1698.2</v>
      </c>
      <c r="X3016" t="s">
        <v>73</v>
      </c>
      <c r="Y3016" t="s">
        <v>68</v>
      </c>
      <c r="Z3016" t="s">
        <v>158</v>
      </c>
      <c r="AA3016" t="s">
        <v>166</v>
      </c>
      <c r="AB3016">
        <v>4.0999999999999996</v>
      </c>
      <c r="AC3016">
        <v>50</v>
      </c>
      <c r="AD3016">
        <v>281.95999999999998</v>
      </c>
      <c r="AE3016">
        <f t="shared" si="94"/>
        <v>1366.24</v>
      </c>
      <c r="AF3016" t="str">
        <f t="shared" si="95"/>
        <v>2026-01</v>
      </c>
      <c r="AG3016">
        <f>SUBTOTAL(103,A3016)</f>
        <v>1</v>
      </c>
    </row>
    <row r="3017" spans="1:33" x14ac:dyDescent="0.3">
      <c r="A3017" t="s">
        <v>5640</v>
      </c>
      <c r="B3017" s="13">
        <v>46044</v>
      </c>
      <c r="C3017">
        <v>2026</v>
      </c>
      <c r="D3017">
        <v>1</v>
      </c>
      <c r="E3017" t="s">
        <v>2571</v>
      </c>
      <c r="F3017" t="s">
        <v>2572</v>
      </c>
      <c r="G3017" t="s">
        <v>1265</v>
      </c>
      <c r="H3017" t="s">
        <v>1266</v>
      </c>
      <c r="I3017" t="s">
        <v>85</v>
      </c>
      <c r="J3017">
        <v>27</v>
      </c>
      <c r="K3017" t="s">
        <v>81</v>
      </c>
      <c r="L3017" t="s">
        <v>2637</v>
      </c>
      <c r="M3017" t="s">
        <v>64</v>
      </c>
      <c r="N3017" t="s">
        <v>2596</v>
      </c>
      <c r="O3017" t="s">
        <v>124</v>
      </c>
      <c r="P3017" t="s">
        <v>51</v>
      </c>
      <c r="Q3017" t="s">
        <v>147</v>
      </c>
      <c r="R3017">
        <v>3</v>
      </c>
      <c r="S3017">
        <v>2299</v>
      </c>
      <c r="T3017">
        <v>0</v>
      </c>
      <c r="U3017">
        <v>6897</v>
      </c>
      <c r="V3017">
        <v>3600</v>
      </c>
      <c r="W3017">
        <v>3297</v>
      </c>
      <c r="X3017" t="s">
        <v>74</v>
      </c>
      <c r="Y3017" t="s">
        <v>68</v>
      </c>
      <c r="Z3017" t="s">
        <v>160</v>
      </c>
      <c r="AA3017" t="s">
        <v>168</v>
      </c>
      <c r="AB3017">
        <v>3.6</v>
      </c>
      <c r="AC3017">
        <v>50</v>
      </c>
      <c r="AD3017">
        <v>512.58000000000004</v>
      </c>
      <c r="AE3017">
        <f t="shared" si="94"/>
        <v>2734.42</v>
      </c>
      <c r="AF3017" t="str">
        <f t="shared" si="95"/>
        <v>2026-01</v>
      </c>
      <c r="AG3017">
        <f>SUBTOTAL(103,A3017)</f>
        <v>1</v>
      </c>
    </row>
    <row r="3018" spans="1:33" x14ac:dyDescent="0.3">
      <c r="A3018" t="s">
        <v>5641</v>
      </c>
      <c r="B3018" s="13">
        <v>46044</v>
      </c>
      <c r="C3018">
        <v>2026</v>
      </c>
      <c r="D3018">
        <v>1</v>
      </c>
      <c r="E3018" t="s">
        <v>2571</v>
      </c>
      <c r="F3018" t="s">
        <v>2572</v>
      </c>
      <c r="G3018" t="s">
        <v>2489</v>
      </c>
      <c r="H3018" t="s">
        <v>2490</v>
      </c>
      <c r="I3018" t="s">
        <v>85</v>
      </c>
      <c r="J3018">
        <v>28</v>
      </c>
      <c r="K3018" t="s">
        <v>81</v>
      </c>
      <c r="L3018" t="s">
        <v>90</v>
      </c>
      <c r="M3018" t="s">
        <v>55</v>
      </c>
      <c r="N3018" t="s">
        <v>2657</v>
      </c>
      <c r="O3018" t="s">
        <v>134</v>
      </c>
      <c r="P3018" t="s">
        <v>49</v>
      </c>
      <c r="Q3018" t="s">
        <v>140</v>
      </c>
      <c r="R3018">
        <v>2</v>
      </c>
      <c r="S3018">
        <v>599</v>
      </c>
      <c r="T3018">
        <v>0.1</v>
      </c>
      <c r="U3018">
        <v>1078.2</v>
      </c>
      <c r="V3018">
        <v>500</v>
      </c>
      <c r="W3018">
        <v>578.20000000000005</v>
      </c>
      <c r="X3018" t="s">
        <v>73</v>
      </c>
      <c r="Y3018" t="s">
        <v>68</v>
      </c>
      <c r="Z3018" t="s">
        <v>162</v>
      </c>
      <c r="AA3018" t="s">
        <v>169</v>
      </c>
      <c r="AB3018">
        <v>3.6</v>
      </c>
      <c r="AC3018">
        <v>80</v>
      </c>
      <c r="AD3018">
        <v>54.6</v>
      </c>
      <c r="AE3018">
        <f t="shared" si="94"/>
        <v>443.6</v>
      </c>
      <c r="AF3018" t="str">
        <f t="shared" si="95"/>
        <v>2026-01</v>
      </c>
      <c r="AG3018">
        <f>SUBTOTAL(103,A3018)</f>
        <v>1</v>
      </c>
    </row>
    <row r="3019" spans="1:33" x14ac:dyDescent="0.3">
      <c r="A3019" t="s">
        <v>5642</v>
      </c>
      <c r="B3019" s="13">
        <v>46044</v>
      </c>
      <c r="C3019">
        <v>2026</v>
      </c>
      <c r="D3019">
        <v>1</v>
      </c>
      <c r="E3019" t="s">
        <v>2571</v>
      </c>
      <c r="F3019" t="s">
        <v>2572</v>
      </c>
      <c r="G3019" t="s">
        <v>881</v>
      </c>
      <c r="H3019" t="s">
        <v>882</v>
      </c>
      <c r="I3019" t="s">
        <v>86</v>
      </c>
      <c r="J3019">
        <v>47</v>
      </c>
      <c r="K3019" t="s">
        <v>83</v>
      </c>
      <c r="L3019" t="s">
        <v>2679</v>
      </c>
      <c r="M3019" t="s">
        <v>60</v>
      </c>
      <c r="N3019" t="s">
        <v>2594</v>
      </c>
      <c r="O3019" t="s">
        <v>131</v>
      </c>
      <c r="P3019" t="s">
        <v>53</v>
      </c>
      <c r="Q3019" t="s">
        <v>143</v>
      </c>
      <c r="R3019">
        <v>1</v>
      </c>
      <c r="S3019">
        <v>999</v>
      </c>
      <c r="T3019">
        <v>0.1</v>
      </c>
      <c r="U3019">
        <v>899.1</v>
      </c>
      <c r="V3019">
        <v>520</v>
      </c>
      <c r="W3019">
        <v>379.1</v>
      </c>
      <c r="X3019" t="s">
        <v>73</v>
      </c>
      <c r="Y3019" t="s">
        <v>68</v>
      </c>
      <c r="Z3019" t="s">
        <v>159</v>
      </c>
      <c r="AA3019" t="s">
        <v>168</v>
      </c>
      <c r="AB3019">
        <v>4</v>
      </c>
      <c r="AC3019">
        <v>120</v>
      </c>
      <c r="AD3019">
        <v>47.55</v>
      </c>
      <c r="AE3019">
        <f t="shared" si="94"/>
        <v>211.55</v>
      </c>
      <c r="AF3019" t="str">
        <f t="shared" si="95"/>
        <v>2026-01</v>
      </c>
      <c r="AG3019">
        <f>SUBTOTAL(103,A3019)</f>
        <v>1</v>
      </c>
    </row>
    <row r="3020" spans="1:33" x14ac:dyDescent="0.3">
      <c r="A3020" t="s">
        <v>5643</v>
      </c>
      <c r="B3020" s="13">
        <v>46044</v>
      </c>
      <c r="C3020">
        <v>2026</v>
      </c>
      <c r="D3020">
        <v>1</v>
      </c>
      <c r="E3020" t="s">
        <v>2571</v>
      </c>
      <c r="F3020" t="s">
        <v>2572</v>
      </c>
      <c r="G3020" t="s">
        <v>337</v>
      </c>
      <c r="H3020" t="s">
        <v>338</v>
      </c>
      <c r="I3020" t="s">
        <v>86</v>
      </c>
      <c r="J3020">
        <v>46</v>
      </c>
      <c r="K3020" t="s">
        <v>83</v>
      </c>
      <c r="L3020" t="s">
        <v>2634</v>
      </c>
      <c r="M3020" t="s">
        <v>56</v>
      </c>
      <c r="N3020" t="s">
        <v>2582</v>
      </c>
      <c r="O3020" t="s">
        <v>119</v>
      </c>
      <c r="P3020" t="s">
        <v>49</v>
      </c>
      <c r="Q3020" t="s">
        <v>140</v>
      </c>
      <c r="R3020">
        <v>1</v>
      </c>
      <c r="S3020">
        <v>3499</v>
      </c>
      <c r="T3020">
        <v>0.1</v>
      </c>
      <c r="U3020">
        <v>3149.1</v>
      </c>
      <c r="V3020">
        <v>2100</v>
      </c>
      <c r="W3020">
        <v>1049.0999999999999</v>
      </c>
      <c r="X3020" t="s">
        <v>73</v>
      </c>
      <c r="Y3020" t="s">
        <v>68</v>
      </c>
      <c r="Z3020" t="s">
        <v>159</v>
      </c>
      <c r="AA3020" t="s">
        <v>171</v>
      </c>
      <c r="AB3020">
        <v>4.3</v>
      </c>
      <c r="AC3020">
        <v>50</v>
      </c>
      <c r="AD3020">
        <v>126.61</v>
      </c>
      <c r="AE3020">
        <f t="shared" si="94"/>
        <v>872.4899999999999</v>
      </c>
      <c r="AF3020" t="str">
        <f t="shared" si="95"/>
        <v>2026-01</v>
      </c>
      <c r="AG3020">
        <f>SUBTOTAL(103,A3020)</f>
        <v>1</v>
      </c>
    </row>
    <row r="3021" spans="1:33" x14ac:dyDescent="0.3">
      <c r="A3021" t="s">
        <v>5644</v>
      </c>
      <c r="B3021" s="13">
        <v>46044</v>
      </c>
      <c r="C3021">
        <v>2026</v>
      </c>
      <c r="D3021">
        <v>1</v>
      </c>
      <c r="E3021" t="s">
        <v>2571</v>
      </c>
      <c r="F3021" t="s">
        <v>2572</v>
      </c>
      <c r="G3021" t="s">
        <v>801</v>
      </c>
      <c r="H3021" t="s">
        <v>802</v>
      </c>
      <c r="I3021" t="s">
        <v>85</v>
      </c>
      <c r="J3021">
        <v>32</v>
      </c>
      <c r="K3021" t="s">
        <v>81</v>
      </c>
      <c r="L3021" t="s">
        <v>2589</v>
      </c>
      <c r="M3021" t="s">
        <v>61</v>
      </c>
      <c r="N3021" t="s">
        <v>2606</v>
      </c>
      <c r="O3021" t="s">
        <v>120</v>
      </c>
      <c r="P3021" t="s">
        <v>49</v>
      </c>
      <c r="Q3021" t="s">
        <v>140</v>
      </c>
      <c r="R3021">
        <v>4</v>
      </c>
      <c r="S3021">
        <v>2799</v>
      </c>
      <c r="T3021">
        <v>0.15</v>
      </c>
      <c r="U3021">
        <v>9516.6</v>
      </c>
      <c r="V3021">
        <v>6600</v>
      </c>
      <c r="W3021">
        <v>2916.6</v>
      </c>
      <c r="X3021" t="s">
        <v>77</v>
      </c>
      <c r="Y3021" t="s">
        <v>69</v>
      </c>
      <c r="Z3021" t="s">
        <v>160</v>
      </c>
      <c r="AA3021" t="s">
        <v>170</v>
      </c>
      <c r="AB3021">
        <v>3.7</v>
      </c>
      <c r="AC3021">
        <v>50</v>
      </c>
      <c r="AD3021">
        <v>994.75</v>
      </c>
      <c r="AE3021">
        <f t="shared" si="94"/>
        <v>1871.85</v>
      </c>
      <c r="AF3021" t="str">
        <f t="shared" si="95"/>
        <v>2026-01</v>
      </c>
      <c r="AG3021">
        <f>SUBTOTAL(103,A3021)</f>
        <v>1</v>
      </c>
    </row>
    <row r="3022" spans="1:33" x14ac:dyDescent="0.3">
      <c r="A3022" t="s">
        <v>5645</v>
      </c>
      <c r="B3022" s="13">
        <v>46045</v>
      </c>
      <c r="C3022">
        <v>2026</v>
      </c>
      <c r="D3022">
        <v>1</v>
      </c>
      <c r="E3022" t="s">
        <v>2571</v>
      </c>
      <c r="F3022" t="s">
        <v>2572</v>
      </c>
      <c r="G3022" t="s">
        <v>1627</v>
      </c>
      <c r="H3022" t="s">
        <v>1628</v>
      </c>
      <c r="I3022" t="s">
        <v>86</v>
      </c>
      <c r="J3022">
        <v>22</v>
      </c>
      <c r="K3022" t="s">
        <v>80</v>
      </c>
      <c r="L3022" t="s">
        <v>2661</v>
      </c>
      <c r="M3022" t="s">
        <v>58</v>
      </c>
      <c r="N3022" t="s">
        <v>2626</v>
      </c>
      <c r="O3022" t="s">
        <v>125</v>
      </c>
      <c r="P3022" t="s">
        <v>48</v>
      </c>
      <c r="Q3022" t="s">
        <v>141</v>
      </c>
      <c r="R3022">
        <v>1</v>
      </c>
      <c r="S3022">
        <v>1999</v>
      </c>
      <c r="T3022">
        <v>0.05</v>
      </c>
      <c r="U3022">
        <v>1899.05</v>
      </c>
      <c r="V3022">
        <v>1150</v>
      </c>
      <c r="W3022">
        <v>749.05</v>
      </c>
      <c r="X3022" t="s">
        <v>75</v>
      </c>
      <c r="Y3022" t="s">
        <v>68</v>
      </c>
      <c r="Z3022" t="s">
        <v>158</v>
      </c>
      <c r="AA3022" t="s">
        <v>168</v>
      </c>
      <c r="AB3022">
        <v>3.7</v>
      </c>
      <c r="AC3022">
        <v>60</v>
      </c>
      <c r="AD3022">
        <v>128.44999999999999</v>
      </c>
      <c r="AE3022">
        <f t="shared" si="94"/>
        <v>560.59999999999991</v>
      </c>
      <c r="AF3022" t="str">
        <f t="shared" si="95"/>
        <v>2026-01</v>
      </c>
      <c r="AG3022">
        <f>SUBTOTAL(103,A3022)</f>
        <v>1</v>
      </c>
    </row>
    <row r="3023" spans="1:33" x14ac:dyDescent="0.3">
      <c r="A3023" t="s">
        <v>5646</v>
      </c>
      <c r="B3023" s="13">
        <v>46045</v>
      </c>
      <c r="C3023">
        <v>2026</v>
      </c>
      <c r="D3023">
        <v>1</v>
      </c>
      <c r="E3023" t="s">
        <v>2571</v>
      </c>
      <c r="F3023" t="s">
        <v>2572</v>
      </c>
      <c r="G3023" t="s">
        <v>1461</v>
      </c>
      <c r="H3023" t="s">
        <v>1462</v>
      </c>
      <c r="I3023" t="s">
        <v>86</v>
      </c>
      <c r="J3023">
        <v>40</v>
      </c>
      <c r="K3023" t="s">
        <v>82</v>
      </c>
      <c r="L3023" t="s">
        <v>91</v>
      </c>
      <c r="M3023" t="s">
        <v>55</v>
      </c>
      <c r="N3023" t="s">
        <v>2594</v>
      </c>
      <c r="O3023" t="s">
        <v>131</v>
      </c>
      <c r="P3023" t="s">
        <v>53</v>
      </c>
      <c r="Q3023" t="s">
        <v>143</v>
      </c>
      <c r="R3023">
        <v>3</v>
      </c>
      <c r="S3023">
        <v>999</v>
      </c>
      <c r="T3023">
        <v>0.05</v>
      </c>
      <c r="U3023">
        <v>2847.15</v>
      </c>
      <c r="V3023">
        <v>1560</v>
      </c>
      <c r="W3023">
        <v>1287.1500000000001</v>
      </c>
      <c r="X3023" t="s">
        <v>77</v>
      </c>
      <c r="Y3023" t="s">
        <v>68</v>
      </c>
      <c r="Z3023" t="s">
        <v>163</v>
      </c>
      <c r="AA3023" t="s">
        <v>169</v>
      </c>
      <c r="AB3023">
        <v>3.6</v>
      </c>
      <c r="AC3023">
        <v>60</v>
      </c>
      <c r="AD3023">
        <v>186.82</v>
      </c>
      <c r="AE3023">
        <f t="shared" si="94"/>
        <v>1040.3300000000002</v>
      </c>
      <c r="AF3023" t="str">
        <f t="shared" si="95"/>
        <v>2026-01</v>
      </c>
      <c r="AG3023">
        <f>SUBTOTAL(103,A3023)</f>
        <v>1</v>
      </c>
    </row>
    <row r="3024" spans="1:33" x14ac:dyDescent="0.3">
      <c r="A3024" t="s">
        <v>5647</v>
      </c>
      <c r="B3024" s="13">
        <v>46045</v>
      </c>
      <c r="C3024">
        <v>2026</v>
      </c>
      <c r="D3024">
        <v>1</v>
      </c>
      <c r="E3024" t="s">
        <v>2571</v>
      </c>
      <c r="F3024" t="s">
        <v>2572</v>
      </c>
      <c r="G3024" t="s">
        <v>577</v>
      </c>
      <c r="H3024" t="s">
        <v>578</v>
      </c>
      <c r="I3024" t="s">
        <v>85</v>
      </c>
      <c r="J3024">
        <v>41</v>
      </c>
      <c r="K3024" t="s">
        <v>82</v>
      </c>
      <c r="L3024" t="s">
        <v>100</v>
      </c>
      <c r="M3024" t="s">
        <v>56</v>
      </c>
      <c r="N3024" t="s">
        <v>2592</v>
      </c>
      <c r="O3024" t="s">
        <v>115</v>
      </c>
      <c r="P3024" t="s">
        <v>48</v>
      </c>
      <c r="Q3024" t="s">
        <v>137</v>
      </c>
      <c r="R3024">
        <v>1</v>
      </c>
      <c r="S3024">
        <v>12999</v>
      </c>
      <c r="T3024">
        <v>0.05</v>
      </c>
      <c r="U3024">
        <v>12349.05</v>
      </c>
      <c r="V3024">
        <v>9000</v>
      </c>
      <c r="W3024">
        <v>3349.05</v>
      </c>
      <c r="X3024" t="s">
        <v>74</v>
      </c>
      <c r="Y3024" t="s">
        <v>68</v>
      </c>
      <c r="Z3024" t="s">
        <v>159</v>
      </c>
      <c r="AA3024" t="s">
        <v>166</v>
      </c>
      <c r="AB3024">
        <v>5</v>
      </c>
      <c r="AC3024">
        <v>50</v>
      </c>
      <c r="AD3024">
        <v>1351.59</v>
      </c>
      <c r="AE3024">
        <f t="shared" si="94"/>
        <v>1947.4600000000003</v>
      </c>
      <c r="AF3024" t="str">
        <f t="shared" si="95"/>
        <v>2026-01</v>
      </c>
      <c r="AG3024">
        <f>SUBTOTAL(103,A3024)</f>
        <v>1</v>
      </c>
    </row>
    <row r="3025" spans="1:33" x14ac:dyDescent="0.3">
      <c r="A3025" t="s">
        <v>5648</v>
      </c>
      <c r="B3025" s="13">
        <v>46045</v>
      </c>
      <c r="C3025">
        <v>2026</v>
      </c>
      <c r="D3025">
        <v>1</v>
      </c>
      <c r="E3025" t="s">
        <v>2571</v>
      </c>
      <c r="F3025" t="s">
        <v>2572</v>
      </c>
      <c r="G3025" t="s">
        <v>595</v>
      </c>
      <c r="H3025" t="s">
        <v>596</v>
      </c>
      <c r="I3025" t="s">
        <v>85</v>
      </c>
      <c r="J3025">
        <v>57</v>
      </c>
      <c r="K3025" t="s">
        <v>83</v>
      </c>
      <c r="L3025" t="s">
        <v>59</v>
      </c>
      <c r="M3025" t="s">
        <v>59</v>
      </c>
      <c r="N3025" t="s">
        <v>2647</v>
      </c>
      <c r="O3025" t="s">
        <v>133</v>
      </c>
      <c r="P3025" t="s">
        <v>50</v>
      </c>
      <c r="Q3025" t="s">
        <v>145</v>
      </c>
      <c r="R3025">
        <v>3</v>
      </c>
      <c r="S3025">
        <v>799</v>
      </c>
      <c r="T3025">
        <v>0.05</v>
      </c>
      <c r="U3025">
        <v>2277.15</v>
      </c>
      <c r="V3025">
        <v>1170</v>
      </c>
      <c r="W3025">
        <v>1107.1500000000001</v>
      </c>
      <c r="X3025" t="s">
        <v>76</v>
      </c>
      <c r="Y3025" t="s">
        <v>68</v>
      </c>
      <c r="Z3025" t="s">
        <v>158</v>
      </c>
      <c r="AA3025" t="s">
        <v>168</v>
      </c>
      <c r="AB3025">
        <v>4.0999999999999996</v>
      </c>
      <c r="AC3025">
        <v>80</v>
      </c>
      <c r="AD3025">
        <v>91.19</v>
      </c>
      <c r="AE3025">
        <f t="shared" si="94"/>
        <v>935.96</v>
      </c>
      <c r="AF3025" t="str">
        <f t="shared" si="95"/>
        <v>2026-01</v>
      </c>
      <c r="AG3025">
        <f>SUBTOTAL(103,A3025)</f>
        <v>1</v>
      </c>
    </row>
    <row r="3026" spans="1:33" x14ac:dyDescent="0.3">
      <c r="A3026" t="s">
        <v>5649</v>
      </c>
      <c r="B3026" s="13">
        <v>46045</v>
      </c>
      <c r="C3026">
        <v>2026</v>
      </c>
      <c r="D3026">
        <v>1</v>
      </c>
      <c r="E3026" t="s">
        <v>2571</v>
      </c>
      <c r="F3026" t="s">
        <v>2572</v>
      </c>
      <c r="G3026" t="s">
        <v>1697</v>
      </c>
      <c r="H3026" t="s">
        <v>1698</v>
      </c>
      <c r="I3026" t="s">
        <v>85</v>
      </c>
      <c r="J3026">
        <v>50</v>
      </c>
      <c r="K3026" t="s">
        <v>83</v>
      </c>
      <c r="L3026" t="s">
        <v>97</v>
      </c>
      <c r="M3026" t="s">
        <v>57</v>
      </c>
      <c r="N3026" t="s">
        <v>2657</v>
      </c>
      <c r="O3026" t="s">
        <v>134</v>
      </c>
      <c r="P3026" t="s">
        <v>49</v>
      </c>
      <c r="Q3026" t="s">
        <v>140</v>
      </c>
      <c r="R3026">
        <v>1</v>
      </c>
      <c r="S3026">
        <v>599</v>
      </c>
      <c r="T3026">
        <v>0.1</v>
      </c>
      <c r="U3026">
        <v>539.1</v>
      </c>
      <c r="V3026">
        <v>250</v>
      </c>
      <c r="W3026">
        <v>289.10000000000002</v>
      </c>
      <c r="X3026" t="s">
        <v>73</v>
      </c>
      <c r="Y3026" t="s">
        <v>68</v>
      </c>
      <c r="Z3026" t="s">
        <v>163</v>
      </c>
      <c r="AA3026" t="s">
        <v>167</v>
      </c>
      <c r="AB3026">
        <v>5</v>
      </c>
      <c r="AC3026">
        <v>120</v>
      </c>
      <c r="AD3026">
        <v>41.38</v>
      </c>
      <c r="AE3026">
        <f t="shared" si="94"/>
        <v>127.72000000000003</v>
      </c>
      <c r="AF3026" t="str">
        <f t="shared" si="95"/>
        <v>2026-01</v>
      </c>
      <c r="AG3026">
        <f>SUBTOTAL(103,A3026)</f>
        <v>1</v>
      </c>
    </row>
    <row r="3027" spans="1:33" x14ac:dyDescent="0.3">
      <c r="A3027" t="s">
        <v>5650</v>
      </c>
      <c r="B3027" s="13">
        <v>46046</v>
      </c>
      <c r="C3027">
        <v>2026</v>
      </c>
      <c r="D3027">
        <v>1</v>
      </c>
      <c r="E3027" t="s">
        <v>2571</v>
      </c>
      <c r="F3027" t="s">
        <v>2572</v>
      </c>
      <c r="G3027" t="s">
        <v>919</v>
      </c>
      <c r="H3027" t="s">
        <v>920</v>
      </c>
      <c r="I3027" t="s">
        <v>86</v>
      </c>
      <c r="J3027">
        <v>54</v>
      </c>
      <c r="K3027" t="s">
        <v>83</v>
      </c>
      <c r="L3027" t="s">
        <v>2576</v>
      </c>
      <c r="M3027" t="s">
        <v>60</v>
      </c>
      <c r="N3027" t="s">
        <v>2630</v>
      </c>
      <c r="O3027" t="s">
        <v>123</v>
      </c>
      <c r="P3027" t="s">
        <v>52</v>
      </c>
      <c r="Q3027" t="s">
        <v>146</v>
      </c>
      <c r="R3027">
        <v>4</v>
      </c>
      <c r="S3027">
        <v>2499</v>
      </c>
      <c r="T3027">
        <v>0.1</v>
      </c>
      <c r="U3027">
        <v>8996.4</v>
      </c>
      <c r="V3027">
        <v>5600</v>
      </c>
      <c r="W3027">
        <v>3396.4</v>
      </c>
      <c r="X3027" t="s">
        <v>75</v>
      </c>
      <c r="Y3027" t="s">
        <v>68</v>
      </c>
      <c r="Z3027" t="s">
        <v>159</v>
      </c>
      <c r="AA3027" t="s">
        <v>166</v>
      </c>
      <c r="AB3027">
        <v>2.7</v>
      </c>
      <c r="AC3027">
        <v>80</v>
      </c>
      <c r="AD3027">
        <v>572.66</v>
      </c>
      <c r="AE3027">
        <f t="shared" si="94"/>
        <v>2743.7400000000002</v>
      </c>
      <c r="AF3027" t="str">
        <f t="shared" si="95"/>
        <v>2026-01</v>
      </c>
      <c r="AG3027">
        <f>SUBTOTAL(103,A3027)</f>
        <v>1</v>
      </c>
    </row>
    <row r="3028" spans="1:33" x14ac:dyDescent="0.3">
      <c r="A3028" t="s">
        <v>5651</v>
      </c>
      <c r="B3028" s="13">
        <v>46046</v>
      </c>
      <c r="C3028">
        <v>2026</v>
      </c>
      <c r="D3028">
        <v>1</v>
      </c>
      <c r="E3028" t="s">
        <v>2571</v>
      </c>
      <c r="F3028" t="s">
        <v>2572</v>
      </c>
      <c r="G3028" t="s">
        <v>1651</v>
      </c>
      <c r="H3028" t="s">
        <v>1652</v>
      </c>
      <c r="I3028" t="s">
        <v>86</v>
      </c>
      <c r="J3028">
        <v>36</v>
      </c>
      <c r="K3028" t="s">
        <v>82</v>
      </c>
      <c r="L3028" t="s">
        <v>2661</v>
      </c>
      <c r="M3028" t="s">
        <v>58</v>
      </c>
      <c r="N3028" t="s">
        <v>2580</v>
      </c>
      <c r="O3028" t="s">
        <v>118</v>
      </c>
      <c r="P3028" t="s">
        <v>48</v>
      </c>
      <c r="Q3028" t="s">
        <v>142</v>
      </c>
      <c r="R3028">
        <v>2</v>
      </c>
      <c r="S3028">
        <v>3999</v>
      </c>
      <c r="T3028">
        <v>0.15</v>
      </c>
      <c r="U3028">
        <v>6798.3</v>
      </c>
      <c r="V3028">
        <v>4800</v>
      </c>
      <c r="W3028">
        <v>1998.3</v>
      </c>
      <c r="X3028" t="s">
        <v>77</v>
      </c>
      <c r="Y3028" t="s">
        <v>69</v>
      </c>
      <c r="Z3028" t="s">
        <v>160</v>
      </c>
      <c r="AA3028" t="s">
        <v>166</v>
      </c>
      <c r="AB3028">
        <v>3.3</v>
      </c>
      <c r="AC3028">
        <v>50</v>
      </c>
      <c r="AD3028">
        <v>651.14</v>
      </c>
      <c r="AE3028">
        <f t="shared" si="94"/>
        <v>1297.1599999999999</v>
      </c>
      <c r="AF3028" t="str">
        <f t="shared" si="95"/>
        <v>2026-01</v>
      </c>
      <c r="AG3028">
        <f>SUBTOTAL(103,A3028)</f>
        <v>1</v>
      </c>
    </row>
    <row r="3029" spans="1:33" x14ac:dyDescent="0.3">
      <c r="A3029" t="s">
        <v>5652</v>
      </c>
      <c r="B3029" s="13">
        <v>46046</v>
      </c>
      <c r="C3029">
        <v>2026</v>
      </c>
      <c r="D3029">
        <v>1</v>
      </c>
      <c r="E3029" t="s">
        <v>2571</v>
      </c>
      <c r="F3029" t="s">
        <v>2572</v>
      </c>
      <c r="G3029" t="s">
        <v>383</v>
      </c>
      <c r="H3029" t="s">
        <v>384</v>
      </c>
      <c r="I3029" t="s">
        <v>86</v>
      </c>
      <c r="J3029">
        <v>36</v>
      </c>
      <c r="K3029" t="s">
        <v>82</v>
      </c>
      <c r="L3029" t="s">
        <v>2634</v>
      </c>
      <c r="M3029" t="s">
        <v>56</v>
      </c>
      <c r="N3029" t="s">
        <v>2596</v>
      </c>
      <c r="O3029" t="s">
        <v>124</v>
      </c>
      <c r="P3029" t="s">
        <v>51</v>
      </c>
      <c r="Q3029" t="s">
        <v>147</v>
      </c>
      <c r="R3029">
        <v>5</v>
      </c>
      <c r="S3029">
        <v>2299</v>
      </c>
      <c r="T3029">
        <v>0.05</v>
      </c>
      <c r="U3029">
        <v>10920.25</v>
      </c>
      <c r="V3029">
        <v>6000</v>
      </c>
      <c r="W3029">
        <v>4920.25</v>
      </c>
      <c r="X3029" t="s">
        <v>77</v>
      </c>
      <c r="Y3029" t="s">
        <v>69</v>
      </c>
      <c r="Z3029" t="s">
        <v>161</v>
      </c>
      <c r="AA3029" t="s">
        <v>169</v>
      </c>
      <c r="AB3029">
        <v>5</v>
      </c>
      <c r="AC3029">
        <v>80</v>
      </c>
      <c r="AD3029">
        <v>1274.8800000000001</v>
      </c>
      <c r="AE3029">
        <f t="shared" si="94"/>
        <v>3565.37</v>
      </c>
      <c r="AF3029" t="str">
        <f t="shared" si="95"/>
        <v>2026-01</v>
      </c>
      <c r="AG3029">
        <f>SUBTOTAL(103,A3029)</f>
        <v>1</v>
      </c>
    </row>
    <row r="3030" spans="1:33" x14ac:dyDescent="0.3">
      <c r="A3030" t="s">
        <v>5653</v>
      </c>
      <c r="B3030" s="13">
        <v>46046</v>
      </c>
      <c r="C3030">
        <v>2026</v>
      </c>
      <c r="D3030">
        <v>1</v>
      </c>
      <c r="E3030" t="s">
        <v>2571</v>
      </c>
      <c r="F3030" t="s">
        <v>2572</v>
      </c>
      <c r="G3030" t="s">
        <v>1453</v>
      </c>
      <c r="H3030" t="s">
        <v>1454</v>
      </c>
      <c r="I3030" t="s">
        <v>85</v>
      </c>
      <c r="J3030">
        <v>33</v>
      </c>
      <c r="K3030" t="s">
        <v>81</v>
      </c>
      <c r="L3030" t="s">
        <v>2646</v>
      </c>
      <c r="M3030" t="s">
        <v>63</v>
      </c>
      <c r="N3030" t="s">
        <v>2580</v>
      </c>
      <c r="O3030" t="s">
        <v>118</v>
      </c>
      <c r="P3030" t="s">
        <v>48</v>
      </c>
      <c r="Q3030" t="s">
        <v>142</v>
      </c>
      <c r="R3030">
        <v>2</v>
      </c>
      <c r="S3030">
        <v>3999</v>
      </c>
      <c r="T3030">
        <v>0.1</v>
      </c>
      <c r="U3030">
        <v>7198.2</v>
      </c>
      <c r="V3030">
        <v>4800</v>
      </c>
      <c r="W3030">
        <v>2398.1999999999998</v>
      </c>
      <c r="X3030" t="s">
        <v>73</v>
      </c>
      <c r="Y3030" t="s">
        <v>68</v>
      </c>
      <c r="Z3030" t="s">
        <v>160</v>
      </c>
      <c r="AA3030" t="s">
        <v>167</v>
      </c>
      <c r="AB3030">
        <v>5</v>
      </c>
      <c r="AC3030">
        <v>80</v>
      </c>
      <c r="AD3030">
        <v>286.51</v>
      </c>
      <c r="AE3030">
        <f t="shared" si="94"/>
        <v>2031.6899999999998</v>
      </c>
      <c r="AF3030" t="str">
        <f t="shared" si="95"/>
        <v>2026-01</v>
      </c>
      <c r="AG3030">
        <f>SUBTOTAL(103,A3030)</f>
        <v>1</v>
      </c>
    </row>
    <row r="3031" spans="1:33" x14ac:dyDescent="0.3">
      <c r="A3031" t="s">
        <v>5654</v>
      </c>
      <c r="B3031" s="13">
        <v>46046</v>
      </c>
      <c r="C3031">
        <v>2026</v>
      </c>
      <c r="D3031">
        <v>1</v>
      </c>
      <c r="E3031" t="s">
        <v>2571</v>
      </c>
      <c r="F3031" t="s">
        <v>2572</v>
      </c>
      <c r="G3031" t="s">
        <v>2489</v>
      </c>
      <c r="H3031" t="s">
        <v>2490</v>
      </c>
      <c r="I3031" t="s">
        <v>85</v>
      </c>
      <c r="J3031">
        <v>28</v>
      </c>
      <c r="K3031" t="s">
        <v>81</v>
      </c>
      <c r="L3031" t="s">
        <v>90</v>
      </c>
      <c r="M3031" t="s">
        <v>55</v>
      </c>
      <c r="N3031" t="s">
        <v>2657</v>
      </c>
      <c r="O3031" t="s">
        <v>134</v>
      </c>
      <c r="P3031" t="s">
        <v>49</v>
      </c>
      <c r="Q3031" t="s">
        <v>140</v>
      </c>
      <c r="R3031">
        <v>1</v>
      </c>
      <c r="S3031">
        <v>599</v>
      </c>
      <c r="T3031">
        <v>0.1</v>
      </c>
      <c r="U3031">
        <v>539.1</v>
      </c>
      <c r="V3031">
        <v>250</v>
      </c>
      <c r="W3031">
        <v>289.10000000000002</v>
      </c>
      <c r="X3031" t="s">
        <v>73</v>
      </c>
      <c r="Y3031" t="s">
        <v>68</v>
      </c>
      <c r="Z3031" t="s">
        <v>158</v>
      </c>
      <c r="AA3031" t="s">
        <v>168</v>
      </c>
      <c r="AB3031">
        <v>4.0999999999999996</v>
      </c>
      <c r="AC3031">
        <v>100</v>
      </c>
      <c r="AD3031">
        <v>46.57</v>
      </c>
      <c r="AE3031">
        <f t="shared" si="94"/>
        <v>142.53000000000003</v>
      </c>
      <c r="AF3031" t="str">
        <f t="shared" si="95"/>
        <v>2026-01</v>
      </c>
      <c r="AG3031">
        <f>SUBTOTAL(103,A3031)</f>
        <v>1</v>
      </c>
    </row>
    <row r="3032" spans="1:33" x14ac:dyDescent="0.3">
      <c r="A3032" t="s">
        <v>5655</v>
      </c>
      <c r="B3032" s="13">
        <v>46046</v>
      </c>
      <c r="C3032">
        <v>2026</v>
      </c>
      <c r="D3032">
        <v>1</v>
      </c>
      <c r="E3032" t="s">
        <v>2571</v>
      </c>
      <c r="F3032" t="s">
        <v>2572</v>
      </c>
      <c r="G3032" t="s">
        <v>915</v>
      </c>
      <c r="H3032" t="s">
        <v>916</v>
      </c>
      <c r="I3032" t="s">
        <v>85</v>
      </c>
      <c r="J3032">
        <v>20</v>
      </c>
      <c r="K3032" t="s">
        <v>80</v>
      </c>
      <c r="L3032" t="s">
        <v>2634</v>
      </c>
      <c r="M3032" t="s">
        <v>56</v>
      </c>
      <c r="N3032" t="s">
        <v>2626</v>
      </c>
      <c r="O3032" t="s">
        <v>125</v>
      </c>
      <c r="P3032" t="s">
        <v>48</v>
      </c>
      <c r="Q3032" t="s">
        <v>141</v>
      </c>
      <c r="R3032">
        <v>3</v>
      </c>
      <c r="S3032">
        <v>1999</v>
      </c>
      <c r="T3032">
        <v>0</v>
      </c>
      <c r="U3032">
        <v>5997</v>
      </c>
      <c r="V3032">
        <v>3450</v>
      </c>
      <c r="W3032">
        <v>2547</v>
      </c>
      <c r="X3032" t="s">
        <v>73</v>
      </c>
      <c r="Y3032" t="s">
        <v>68</v>
      </c>
      <c r="Z3032" t="s">
        <v>161</v>
      </c>
      <c r="AA3032" t="s">
        <v>166</v>
      </c>
      <c r="AB3032">
        <v>3.7</v>
      </c>
      <c r="AC3032">
        <v>100</v>
      </c>
      <c r="AD3032">
        <v>181.41</v>
      </c>
      <c r="AE3032">
        <f t="shared" si="94"/>
        <v>2265.59</v>
      </c>
      <c r="AF3032" t="str">
        <f t="shared" si="95"/>
        <v>2026-01</v>
      </c>
      <c r="AG3032">
        <f>SUBTOTAL(103,A3032)</f>
        <v>1</v>
      </c>
    </row>
    <row r="3033" spans="1:33" x14ac:dyDescent="0.3">
      <c r="A3033" t="s">
        <v>5656</v>
      </c>
      <c r="B3033" s="13">
        <v>46046</v>
      </c>
      <c r="C3033">
        <v>2026</v>
      </c>
      <c r="D3033">
        <v>1</v>
      </c>
      <c r="E3033" t="s">
        <v>2571</v>
      </c>
      <c r="F3033" t="s">
        <v>2572</v>
      </c>
      <c r="G3033" t="s">
        <v>1503</v>
      </c>
      <c r="H3033" t="s">
        <v>1504</v>
      </c>
      <c r="I3033" t="s">
        <v>86</v>
      </c>
      <c r="J3033">
        <v>34</v>
      </c>
      <c r="K3033" t="s">
        <v>81</v>
      </c>
      <c r="L3033" t="s">
        <v>2576</v>
      </c>
      <c r="M3033" t="s">
        <v>60</v>
      </c>
      <c r="N3033" t="s">
        <v>2626</v>
      </c>
      <c r="O3033" t="s">
        <v>125</v>
      </c>
      <c r="P3033" t="s">
        <v>48</v>
      </c>
      <c r="Q3033" t="s">
        <v>141</v>
      </c>
      <c r="R3033">
        <v>5</v>
      </c>
      <c r="S3033">
        <v>1999</v>
      </c>
      <c r="T3033">
        <v>0.15</v>
      </c>
      <c r="U3033">
        <v>8495.75</v>
      </c>
      <c r="V3033">
        <v>5750</v>
      </c>
      <c r="W3033">
        <v>2745.75</v>
      </c>
      <c r="X3033" t="s">
        <v>74</v>
      </c>
      <c r="Y3033" t="s">
        <v>68</v>
      </c>
      <c r="Z3033" t="s">
        <v>159</v>
      </c>
      <c r="AA3033" t="s">
        <v>168</v>
      </c>
      <c r="AB3033">
        <v>4.3</v>
      </c>
      <c r="AC3033">
        <v>100</v>
      </c>
      <c r="AD3033">
        <v>668.52</v>
      </c>
      <c r="AE3033">
        <f t="shared" si="94"/>
        <v>1977.23</v>
      </c>
      <c r="AF3033" t="str">
        <f t="shared" si="95"/>
        <v>2026-01</v>
      </c>
      <c r="AG3033">
        <f>SUBTOTAL(103,A3033)</f>
        <v>1</v>
      </c>
    </row>
    <row r="3034" spans="1:33" x14ac:dyDescent="0.3">
      <c r="A3034" t="s">
        <v>5657</v>
      </c>
      <c r="B3034" s="13">
        <v>46046</v>
      </c>
      <c r="C3034">
        <v>2026</v>
      </c>
      <c r="D3034">
        <v>1</v>
      </c>
      <c r="E3034" t="s">
        <v>2571</v>
      </c>
      <c r="F3034" t="s">
        <v>2572</v>
      </c>
      <c r="G3034" t="s">
        <v>1327</v>
      </c>
      <c r="H3034" t="s">
        <v>1328</v>
      </c>
      <c r="I3034" t="s">
        <v>85</v>
      </c>
      <c r="J3034">
        <v>44</v>
      </c>
      <c r="K3034" t="s">
        <v>82</v>
      </c>
      <c r="L3034" t="s">
        <v>2610</v>
      </c>
      <c r="M3034" t="s">
        <v>64</v>
      </c>
      <c r="N3034" t="s">
        <v>2574</v>
      </c>
      <c r="O3034" t="s">
        <v>130</v>
      </c>
      <c r="P3034" t="s">
        <v>50</v>
      </c>
      <c r="Q3034" t="s">
        <v>53</v>
      </c>
      <c r="R3034">
        <v>5</v>
      </c>
      <c r="S3034">
        <v>1199</v>
      </c>
      <c r="T3034">
        <v>0.05</v>
      </c>
      <c r="U3034">
        <v>5695.25</v>
      </c>
      <c r="V3034">
        <v>2750</v>
      </c>
      <c r="W3034">
        <v>2945.25</v>
      </c>
      <c r="X3034" t="s">
        <v>74</v>
      </c>
      <c r="Y3034" t="s">
        <v>68</v>
      </c>
      <c r="Z3034" t="s">
        <v>158</v>
      </c>
      <c r="AA3034" t="s">
        <v>166</v>
      </c>
      <c r="AB3034">
        <v>3</v>
      </c>
      <c r="AC3034">
        <v>80</v>
      </c>
      <c r="AD3034">
        <v>184.49</v>
      </c>
      <c r="AE3034">
        <f t="shared" si="94"/>
        <v>2680.76</v>
      </c>
      <c r="AF3034" t="str">
        <f t="shared" si="95"/>
        <v>2026-01</v>
      </c>
      <c r="AG3034">
        <f>SUBTOTAL(103,A3034)</f>
        <v>1</v>
      </c>
    </row>
    <row r="3035" spans="1:33" x14ac:dyDescent="0.3">
      <c r="A3035" t="s">
        <v>5658</v>
      </c>
      <c r="B3035" s="13">
        <v>46047</v>
      </c>
      <c r="C3035">
        <v>2026</v>
      </c>
      <c r="D3035">
        <v>1</v>
      </c>
      <c r="E3035" t="s">
        <v>2571</v>
      </c>
      <c r="F3035" t="s">
        <v>2572</v>
      </c>
      <c r="G3035" t="s">
        <v>1153</v>
      </c>
      <c r="H3035" t="s">
        <v>1154</v>
      </c>
      <c r="I3035" t="s">
        <v>85</v>
      </c>
      <c r="J3035">
        <v>24</v>
      </c>
      <c r="K3035" t="s">
        <v>80</v>
      </c>
      <c r="L3035" t="s">
        <v>2634</v>
      </c>
      <c r="M3035" t="s">
        <v>56</v>
      </c>
      <c r="N3035" t="s">
        <v>2574</v>
      </c>
      <c r="O3035" t="s">
        <v>130</v>
      </c>
      <c r="P3035" t="s">
        <v>50</v>
      </c>
      <c r="Q3035" t="s">
        <v>53</v>
      </c>
      <c r="R3035">
        <v>5</v>
      </c>
      <c r="S3035">
        <v>1199</v>
      </c>
      <c r="T3035">
        <v>0.05</v>
      </c>
      <c r="U3035">
        <v>5695.25</v>
      </c>
      <c r="V3035">
        <v>2750</v>
      </c>
      <c r="W3035">
        <v>2945.25</v>
      </c>
      <c r="X3035" t="s">
        <v>73</v>
      </c>
      <c r="Y3035" t="s">
        <v>68</v>
      </c>
      <c r="Z3035" t="s">
        <v>158</v>
      </c>
      <c r="AA3035" t="s">
        <v>166</v>
      </c>
      <c r="AB3035">
        <v>4.5</v>
      </c>
      <c r="AC3035">
        <v>50</v>
      </c>
      <c r="AD3035">
        <v>481.24</v>
      </c>
      <c r="AE3035">
        <f t="shared" si="94"/>
        <v>2414.0100000000002</v>
      </c>
      <c r="AF3035" t="str">
        <f t="shared" si="95"/>
        <v>2026-01</v>
      </c>
      <c r="AG3035">
        <f>SUBTOTAL(103,A3035)</f>
        <v>1</v>
      </c>
    </row>
    <row r="3036" spans="1:33" x14ac:dyDescent="0.3">
      <c r="A3036" t="s">
        <v>5659</v>
      </c>
      <c r="B3036" s="13">
        <v>46047</v>
      </c>
      <c r="C3036">
        <v>2026</v>
      </c>
      <c r="D3036">
        <v>1</v>
      </c>
      <c r="E3036" t="s">
        <v>2571</v>
      </c>
      <c r="F3036" t="s">
        <v>2572</v>
      </c>
      <c r="G3036" t="s">
        <v>1089</v>
      </c>
      <c r="H3036" t="s">
        <v>1090</v>
      </c>
      <c r="I3036" t="s">
        <v>85</v>
      </c>
      <c r="J3036">
        <v>36</v>
      </c>
      <c r="K3036" t="s">
        <v>82</v>
      </c>
      <c r="L3036" t="s">
        <v>2616</v>
      </c>
      <c r="M3036" t="s">
        <v>62</v>
      </c>
      <c r="N3036" t="s">
        <v>2653</v>
      </c>
      <c r="O3036" t="s">
        <v>132</v>
      </c>
      <c r="P3036" t="s">
        <v>52</v>
      </c>
      <c r="Q3036" t="s">
        <v>150</v>
      </c>
      <c r="R3036">
        <v>3</v>
      </c>
      <c r="S3036">
        <v>899</v>
      </c>
      <c r="T3036">
        <v>0.05</v>
      </c>
      <c r="U3036">
        <v>2562.15</v>
      </c>
      <c r="V3036">
        <v>1260</v>
      </c>
      <c r="W3036">
        <v>1302.1500000000001</v>
      </c>
      <c r="X3036" t="s">
        <v>74</v>
      </c>
      <c r="Y3036" t="s">
        <v>68</v>
      </c>
      <c r="Z3036" t="s">
        <v>158</v>
      </c>
      <c r="AA3036" t="s">
        <v>166</v>
      </c>
      <c r="AB3036">
        <v>4.5999999999999996</v>
      </c>
      <c r="AC3036">
        <v>80</v>
      </c>
      <c r="AD3036">
        <v>266.02999999999997</v>
      </c>
      <c r="AE3036">
        <f t="shared" si="94"/>
        <v>956.12000000000012</v>
      </c>
      <c r="AF3036" t="str">
        <f t="shared" si="95"/>
        <v>2026-01</v>
      </c>
      <c r="AG3036">
        <f>SUBTOTAL(103,A3036)</f>
        <v>1</v>
      </c>
    </row>
    <row r="3037" spans="1:33" x14ac:dyDescent="0.3">
      <c r="A3037" t="s">
        <v>5660</v>
      </c>
      <c r="B3037" s="13">
        <v>46047</v>
      </c>
      <c r="C3037">
        <v>2026</v>
      </c>
      <c r="D3037">
        <v>1</v>
      </c>
      <c r="E3037" t="s">
        <v>2571</v>
      </c>
      <c r="F3037" t="s">
        <v>2572</v>
      </c>
      <c r="G3037" t="s">
        <v>1019</v>
      </c>
      <c r="H3037" t="s">
        <v>1020</v>
      </c>
      <c r="I3037" t="s">
        <v>86</v>
      </c>
      <c r="J3037">
        <v>41</v>
      </c>
      <c r="K3037" t="s">
        <v>82</v>
      </c>
      <c r="L3037" t="s">
        <v>90</v>
      </c>
      <c r="M3037" t="s">
        <v>55</v>
      </c>
      <c r="N3037" t="s">
        <v>2592</v>
      </c>
      <c r="O3037" t="s">
        <v>115</v>
      </c>
      <c r="P3037" t="s">
        <v>48</v>
      </c>
      <c r="Q3037" t="s">
        <v>137</v>
      </c>
      <c r="R3037">
        <v>1</v>
      </c>
      <c r="S3037">
        <v>12999</v>
      </c>
      <c r="T3037">
        <v>0.1</v>
      </c>
      <c r="U3037">
        <v>11699.1</v>
      </c>
      <c r="V3037">
        <v>9000</v>
      </c>
      <c r="W3037">
        <v>2699.1</v>
      </c>
      <c r="X3037" t="s">
        <v>77</v>
      </c>
      <c r="Y3037" t="s">
        <v>68</v>
      </c>
      <c r="Z3037" t="s">
        <v>158</v>
      </c>
      <c r="AA3037" t="s">
        <v>168</v>
      </c>
      <c r="AB3037">
        <v>4</v>
      </c>
      <c r="AC3037">
        <v>60</v>
      </c>
      <c r="AD3037">
        <v>501.74</v>
      </c>
      <c r="AE3037">
        <f t="shared" si="94"/>
        <v>2137.3599999999997</v>
      </c>
      <c r="AF3037" t="str">
        <f t="shared" si="95"/>
        <v>2026-01</v>
      </c>
      <c r="AG3037">
        <f>SUBTOTAL(103,A3037)</f>
        <v>1</v>
      </c>
    </row>
    <row r="3038" spans="1:33" x14ac:dyDescent="0.3">
      <c r="A3038" t="s">
        <v>5661</v>
      </c>
      <c r="B3038" s="13">
        <v>46047</v>
      </c>
      <c r="C3038">
        <v>2026</v>
      </c>
      <c r="D3038">
        <v>1</v>
      </c>
      <c r="E3038" t="s">
        <v>2571</v>
      </c>
      <c r="F3038" t="s">
        <v>2572</v>
      </c>
      <c r="G3038" t="s">
        <v>469</v>
      </c>
      <c r="H3038" t="s">
        <v>470</v>
      </c>
      <c r="I3038" t="s">
        <v>85</v>
      </c>
      <c r="J3038">
        <v>57</v>
      </c>
      <c r="K3038" t="s">
        <v>83</v>
      </c>
      <c r="L3038" t="s">
        <v>94</v>
      </c>
      <c r="M3038" t="s">
        <v>57</v>
      </c>
      <c r="N3038" t="s">
        <v>2592</v>
      </c>
      <c r="O3038" t="s">
        <v>115</v>
      </c>
      <c r="P3038" t="s">
        <v>48</v>
      </c>
      <c r="Q3038" t="s">
        <v>137</v>
      </c>
      <c r="R3038">
        <v>3</v>
      </c>
      <c r="S3038">
        <v>12999</v>
      </c>
      <c r="T3038">
        <v>0.1</v>
      </c>
      <c r="U3038">
        <v>35097.300000000003</v>
      </c>
      <c r="V3038">
        <v>27000</v>
      </c>
      <c r="W3038">
        <v>8097.3</v>
      </c>
      <c r="X3038" t="s">
        <v>76</v>
      </c>
      <c r="Y3038" t="s">
        <v>68</v>
      </c>
      <c r="Z3038" t="s">
        <v>158</v>
      </c>
      <c r="AA3038" t="s">
        <v>166</v>
      </c>
      <c r="AB3038">
        <v>5</v>
      </c>
      <c r="AC3038">
        <v>80</v>
      </c>
      <c r="AD3038">
        <v>4061.35</v>
      </c>
      <c r="AE3038">
        <f t="shared" si="94"/>
        <v>3955.9500000000003</v>
      </c>
      <c r="AF3038" t="str">
        <f t="shared" si="95"/>
        <v>2026-01</v>
      </c>
      <c r="AG3038">
        <f>SUBTOTAL(103,A3038)</f>
        <v>1</v>
      </c>
    </row>
    <row r="3039" spans="1:33" x14ac:dyDescent="0.3">
      <c r="A3039" t="s">
        <v>5662</v>
      </c>
      <c r="B3039" s="13">
        <v>46047</v>
      </c>
      <c r="C3039">
        <v>2026</v>
      </c>
      <c r="D3039">
        <v>1</v>
      </c>
      <c r="E3039" t="s">
        <v>2571</v>
      </c>
      <c r="F3039" t="s">
        <v>2572</v>
      </c>
      <c r="G3039" t="s">
        <v>729</v>
      </c>
      <c r="H3039" t="s">
        <v>730</v>
      </c>
      <c r="I3039" t="s">
        <v>85</v>
      </c>
      <c r="J3039">
        <v>38</v>
      </c>
      <c r="K3039" t="s">
        <v>82</v>
      </c>
      <c r="L3039" t="s">
        <v>90</v>
      </c>
      <c r="M3039" t="s">
        <v>55</v>
      </c>
      <c r="N3039" t="s">
        <v>2574</v>
      </c>
      <c r="O3039" t="s">
        <v>130</v>
      </c>
      <c r="P3039" t="s">
        <v>50</v>
      </c>
      <c r="Q3039" t="s">
        <v>53</v>
      </c>
      <c r="R3039">
        <v>1</v>
      </c>
      <c r="S3039">
        <v>1199</v>
      </c>
      <c r="T3039">
        <v>0.05</v>
      </c>
      <c r="U3039">
        <v>1139.05</v>
      </c>
      <c r="V3039">
        <v>550</v>
      </c>
      <c r="W3039">
        <v>589.04999999999995</v>
      </c>
      <c r="X3039" t="s">
        <v>73</v>
      </c>
      <c r="Y3039" t="s">
        <v>68</v>
      </c>
      <c r="Z3039" t="s">
        <v>163</v>
      </c>
      <c r="AA3039" t="s">
        <v>169</v>
      </c>
      <c r="AB3039">
        <v>4.3</v>
      </c>
      <c r="AC3039">
        <v>50</v>
      </c>
      <c r="AD3039">
        <v>58.27</v>
      </c>
      <c r="AE3039">
        <f t="shared" si="94"/>
        <v>480.78</v>
      </c>
      <c r="AF3039" t="str">
        <f t="shared" si="95"/>
        <v>2026-01</v>
      </c>
      <c r="AG3039">
        <f>SUBTOTAL(103,A3039)</f>
        <v>1</v>
      </c>
    </row>
    <row r="3040" spans="1:33" x14ac:dyDescent="0.3">
      <c r="A3040" t="s">
        <v>5663</v>
      </c>
      <c r="B3040" s="13">
        <v>46047</v>
      </c>
      <c r="C3040">
        <v>2026</v>
      </c>
      <c r="D3040">
        <v>1</v>
      </c>
      <c r="E3040" t="s">
        <v>2571</v>
      </c>
      <c r="F3040" t="s">
        <v>2572</v>
      </c>
      <c r="G3040" t="s">
        <v>1851</v>
      </c>
      <c r="H3040" t="s">
        <v>1852</v>
      </c>
      <c r="I3040" t="s">
        <v>86</v>
      </c>
      <c r="J3040">
        <v>29</v>
      </c>
      <c r="K3040" t="s">
        <v>81</v>
      </c>
      <c r="L3040" t="s">
        <v>95</v>
      </c>
      <c r="M3040" t="s">
        <v>56</v>
      </c>
      <c r="N3040" t="s">
        <v>2603</v>
      </c>
      <c r="O3040" t="s">
        <v>122</v>
      </c>
      <c r="P3040" t="s">
        <v>48</v>
      </c>
      <c r="Q3040" t="s">
        <v>141</v>
      </c>
      <c r="R3040">
        <v>1</v>
      </c>
      <c r="S3040">
        <v>2499</v>
      </c>
      <c r="T3040">
        <v>0.05</v>
      </c>
      <c r="U3040">
        <v>0</v>
      </c>
      <c r="V3040">
        <v>0</v>
      </c>
      <c r="W3040">
        <v>0</v>
      </c>
      <c r="X3040" t="s">
        <v>75</v>
      </c>
      <c r="Y3040" t="s">
        <v>71</v>
      </c>
      <c r="Z3040" t="s">
        <v>161</v>
      </c>
      <c r="AA3040" t="s">
        <v>168</v>
      </c>
      <c r="AB3040">
        <v>3.5</v>
      </c>
      <c r="AC3040">
        <v>100</v>
      </c>
      <c r="AD3040">
        <v>197.87</v>
      </c>
      <c r="AE3040">
        <f t="shared" si="94"/>
        <v>-297.87</v>
      </c>
      <c r="AF3040" t="str">
        <f t="shared" si="95"/>
        <v>2026-01</v>
      </c>
      <c r="AG3040">
        <f>SUBTOTAL(103,A3040)</f>
        <v>1</v>
      </c>
    </row>
    <row r="3041" spans="1:33" x14ac:dyDescent="0.3">
      <c r="A3041" t="s">
        <v>5664</v>
      </c>
      <c r="B3041" s="13">
        <v>46048</v>
      </c>
      <c r="C3041">
        <v>2026</v>
      </c>
      <c r="D3041">
        <v>1</v>
      </c>
      <c r="E3041" t="s">
        <v>2571</v>
      </c>
      <c r="F3041" t="s">
        <v>2572</v>
      </c>
      <c r="G3041" t="s">
        <v>843</v>
      </c>
      <c r="H3041" t="s">
        <v>844</v>
      </c>
      <c r="I3041" t="s">
        <v>85</v>
      </c>
      <c r="J3041">
        <v>39</v>
      </c>
      <c r="K3041" t="s">
        <v>82</v>
      </c>
      <c r="L3041" t="s">
        <v>93</v>
      </c>
      <c r="M3041" t="s">
        <v>55</v>
      </c>
      <c r="N3041" t="s">
        <v>2590</v>
      </c>
      <c r="O3041" t="s">
        <v>127</v>
      </c>
      <c r="P3041" t="s">
        <v>51</v>
      </c>
      <c r="Q3041" t="s">
        <v>148</v>
      </c>
      <c r="R3041">
        <v>3</v>
      </c>
      <c r="S3041">
        <v>1599</v>
      </c>
      <c r="T3041">
        <v>0.25</v>
      </c>
      <c r="U3041">
        <v>3597.75</v>
      </c>
      <c r="V3041">
        <v>2400</v>
      </c>
      <c r="W3041">
        <v>1197.75</v>
      </c>
      <c r="X3041" t="s">
        <v>75</v>
      </c>
      <c r="Y3041" t="s">
        <v>68</v>
      </c>
      <c r="Z3041" t="s">
        <v>159</v>
      </c>
      <c r="AA3041" t="s">
        <v>171</v>
      </c>
      <c r="AB3041">
        <v>3.7</v>
      </c>
      <c r="AC3041">
        <v>80</v>
      </c>
      <c r="AD3041">
        <v>195.65</v>
      </c>
      <c r="AE3041">
        <f t="shared" si="94"/>
        <v>922.1</v>
      </c>
      <c r="AF3041" t="str">
        <f t="shared" si="95"/>
        <v>2026-01</v>
      </c>
      <c r="AG3041">
        <f>SUBTOTAL(103,A3041)</f>
        <v>1</v>
      </c>
    </row>
    <row r="3042" spans="1:33" x14ac:dyDescent="0.3">
      <c r="A3042" t="s">
        <v>5665</v>
      </c>
      <c r="B3042" s="13">
        <v>46048</v>
      </c>
      <c r="C3042">
        <v>2026</v>
      </c>
      <c r="D3042">
        <v>1</v>
      </c>
      <c r="E3042" t="s">
        <v>2571</v>
      </c>
      <c r="F3042" t="s">
        <v>2572</v>
      </c>
      <c r="G3042" t="s">
        <v>443</v>
      </c>
      <c r="H3042" t="s">
        <v>444</v>
      </c>
      <c r="I3042" t="s">
        <v>86</v>
      </c>
      <c r="J3042">
        <v>25</v>
      </c>
      <c r="K3042" t="s">
        <v>80</v>
      </c>
      <c r="L3042" t="s">
        <v>2637</v>
      </c>
      <c r="M3042" t="s">
        <v>64</v>
      </c>
      <c r="N3042" t="s">
        <v>2596</v>
      </c>
      <c r="O3042" t="s">
        <v>124</v>
      </c>
      <c r="P3042" t="s">
        <v>51</v>
      </c>
      <c r="Q3042" t="s">
        <v>147</v>
      </c>
      <c r="R3042">
        <v>1</v>
      </c>
      <c r="S3042">
        <v>2299</v>
      </c>
      <c r="T3042">
        <v>0.15</v>
      </c>
      <c r="U3042">
        <v>1954.15</v>
      </c>
      <c r="V3042">
        <v>1200</v>
      </c>
      <c r="W3042">
        <v>754.15</v>
      </c>
      <c r="X3042" t="s">
        <v>73</v>
      </c>
      <c r="Y3042" t="s">
        <v>68</v>
      </c>
      <c r="Z3042" t="s">
        <v>160</v>
      </c>
      <c r="AA3042" t="s">
        <v>166</v>
      </c>
      <c r="AB3042">
        <v>5</v>
      </c>
      <c r="AC3042">
        <v>80</v>
      </c>
      <c r="AD3042">
        <v>143.62</v>
      </c>
      <c r="AE3042">
        <f t="shared" si="94"/>
        <v>530.53</v>
      </c>
      <c r="AF3042" t="str">
        <f t="shared" si="95"/>
        <v>2026-01</v>
      </c>
      <c r="AG3042">
        <f>SUBTOTAL(103,A3042)</f>
        <v>1</v>
      </c>
    </row>
    <row r="3043" spans="1:33" x14ac:dyDescent="0.3">
      <c r="A3043" t="s">
        <v>5666</v>
      </c>
      <c r="B3043" s="13">
        <v>46048</v>
      </c>
      <c r="C3043">
        <v>2026</v>
      </c>
      <c r="D3043">
        <v>1</v>
      </c>
      <c r="E3043" t="s">
        <v>2571</v>
      </c>
      <c r="F3043" t="s">
        <v>2572</v>
      </c>
      <c r="G3043" t="s">
        <v>2267</v>
      </c>
      <c r="H3043" t="s">
        <v>2268</v>
      </c>
      <c r="I3043" t="s">
        <v>86</v>
      </c>
      <c r="J3043">
        <v>48</v>
      </c>
      <c r="K3043" t="s">
        <v>83</v>
      </c>
      <c r="L3043" t="s">
        <v>94</v>
      </c>
      <c r="M3043" t="s">
        <v>57</v>
      </c>
      <c r="N3043" t="s">
        <v>2630</v>
      </c>
      <c r="O3043" t="s">
        <v>123</v>
      </c>
      <c r="P3043" t="s">
        <v>52</v>
      </c>
      <c r="Q3043" t="s">
        <v>146</v>
      </c>
      <c r="R3043">
        <v>1</v>
      </c>
      <c r="S3043">
        <v>2499</v>
      </c>
      <c r="T3043">
        <v>0.05</v>
      </c>
      <c r="U3043">
        <v>2374.0500000000002</v>
      </c>
      <c r="V3043">
        <v>1400</v>
      </c>
      <c r="W3043">
        <v>974.05</v>
      </c>
      <c r="X3043" t="s">
        <v>74</v>
      </c>
      <c r="Y3043" t="s">
        <v>68</v>
      </c>
      <c r="Z3043" t="s">
        <v>161</v>
      </c>
      <c r="AA3043" t="s">
        <v>166</v>
      </c>
      <c r="AB3043">
        <v>3.8</v>
      </c>
      <c r="AC3043">
        <v>40</v>
      </c>
      <c r="AD3043">
        <v>66.739999999999995</v>
      </c>
      <c r="AE3043">
        <f t="shared" si="94"/>
        <v>867.31</v>
      </c>
      <c r="AF3043" t="str">
        <f t="shared" si="95"/>
        <v>2026-01</v>
      </c>
      <c r="AG3043">
        <f>SUBTOTAL(103,A3043)</f>
        <v>1</v>
      </c>
    </row>
    <row r="3044" spans="1:33" x14ac:dyDescent="0.3">
      <c r="A3044" t="s">
        <v>5667</v>
      </c>
      <c r="B3044" s="13">
        <v>46048</v>
      </c>
      <c r="C3044">
        <v>2026</v>
      </c>
      <c r="D3044">
        <v>1</v>
      </c>
      <c r="E3044" t="s">
        <v>2571</v>
      </c>
      <c r="F3044" t="s">
        <v>2572</v>
      </c>
      <c r="G3044" t="s">
        <v>367</v>
      </c>
      <c r="H3044" t="s">
        <v>368</v>
      </c>
      <c r="I3044" t="s">
        <v>85</v>
      </c>
      <c r="J3044">
        <v>53</v>
      </c>
      <c r="K3044" t="s">
        <v>83</v>
      </c>
      <c r="L3044" t="s">
        <v>91</v>
      </c>
      <c r="M3044" t="s">
        <v>55</v>
      </c>
      <c r="N3044" t="s">
        <v>2592</v>
      </c>
      <c r="O3044" t="s">
        <v>115</v>
      </c>
      <c r="P3044" t="s">
        <v>48</v>
      </c>
      <c r="Q3044" t="s">
        <v>137</v>
      </c>
      <c r="R3044">
        <v>4</v>
      </c>
      <c r="S3044">
        <v>12999</v>
      </c>
      <c r="T3044">
        <v>0.1</v>
      </c>
      <c r="U3044">
        <v>46796.4</v>
      </c>
      <c r="V3044">
        <v>36000</v>
      </c>
      <c r="W3044">
        <v>10796.4</v>
      </c>
      <c r="X3044" t="s">
        <v>77</v>
      </c>
      <c r="Y3044" t="s">
        <v>68</v>
      </c>
      <c r="Z3044" t="s">
        <v>158</v>
      </c>
      <c r="AA3044" t="s">
        <v>168</v>
      </c>
      <c r="AB3044">
        <v>4.5</v>
      </c>
      <c r="AC3044">
        <v>40</v>
      </c>
      <c r="AD3044">
        <v>997.1</v>
      </c>
      <c r="AE3044">
        <f t="shared" si="94"/>
        <v>9759.2999999999993</v>
      </c>
      <c r="AF3044" t="str">
        <f t="shared" si="95"/>
        <v>2026-01</v>
      </c>
      <c r="AG3044">
        <f>SUBTOTAL(103,A3044)</f>
        <v>1</v>
      </c>
    </row>
    <row r="3045" spans="1:33" x14ac:dyDescent="0.3">
      <c r="A3045" t="s">
        <v>5668</v>
      </c>
      <c r="B3045" s="13">
        <v>46048</v>
      </c>
      <c r="C3045">
        <v>2026</v>
      </c>
      <c r="D3045">
        <v>1</v>
      </c>
      <c r="E3045" t="s">
        <v>2571</v>
      </c>
      <c r="F3045" t="s">
        <v>2572</v>
      </c>
      <c r="G3045" t="s">
        <v>259</v>
      </c>
      <c r="H3045" t="s">
        <v>260</v>
      </c>
      <c r="I3045" t="s">
        <v>86</v>
      </c>
      <c r="J3045">
        <v>31</v>
      </c>
      <c r="K3045" t="s">
        <v>81</v>
      </c>
      <c r="L3045" t="s">
        <v>2661</v>
      </c>
      <c r="M3045" t="s">
        <v>58</v>
      </c>
      <c r="N3045" t="s">
        <v>2647</v>
      </c>
      <c r="O3045" t="s">
        <v>133</v>
      </c>
      <c r="P3045" t="s">
        <v>50</v>
      </c>
      <c r="Q3045" t="s">
        <v>145</v>
      </c>
      <c r="R3045">
        <v>1</v>
      </c>
      <c r="S3045">
        <v>799</v>
      </c>
      <c r="T3045">
        <v>0.05</v>
      </c>
      <c r="U3045">
        <v>759.05</v>
      </c>
      <c r="V3045">
        <v>390</v>
      </c>
      <c r="W3045">
        <v>369.05</v>
      </c>
      <c r="X3045" t="s">
        <v>75</v>
      </c>
      <c r="Y3045" t="s">
        <v>69</v>
      </c>
      <c r="Z3045" t="s">
        <v>163</v>
      </c>
      <c r="AA3045" t="s">
        <v>170</v>
      </c>
      <c r="AB3045">
        <v>4.8</v>
      </c>
      <c r="AC3045">
        <v>60</v>
      </c>
      <c r="AD3045">
        <v>58.12</v>
      </c>
      <c r="AE3045">
        <f t="shared" si="94"/>
        <v>250.93</v>
      </c>
      <c r="AF3045" t="str">
        <f t="shared" si="95"/>
        <v>2026-01</v>
      </c>
      <c r="AG3045">
        <f>SUBTOTAL(103,A3045)</f>
        <v>1</v>
      </c>
    </row>
    <row r="3046" spans="1:33" x14ac:dyDescent="0.3">
      <c r="A3046" t="s">
        <v>5669</v>
      </c>
      <c r="B3046" s="13">
        <v>46048</v>
      </c>
      <c r="C3046">
        <v>2026</v>
      </c>
      <c r="D3046">
        <v>1</v>
      </c>
      <c r="E3046" t="s">
        <v>2571</v>
      </c>
      <c r="F3046" t="s">
        <v>2572</v>
      </c>
      <c r="G3046" t="s">
        <v>735</v>
      </c>
      <c r="H3046" t="s">
        <v>736</v>
      </c>
      <c r="I3046" t="s">
        <v>85</v>
      </c>
      <c r="J3046">
        <v>60</v>
      </c>
      <c r="K3046" t="s">
        <v>83</v>
      </c>
      <c r="L3046" t="s">
        <v>2634</v>
      </c>
      <c r="M3046" t="s">
        <v>56</v>
      </c>
      <c r="N3046" t="s">
        <v>2626</v>
      </c>
      <c r="O3046" t="s">
        <v>125</v>
      </c>
      <c r="P3046" t="s">
        <v>48</v>
      </c>
      <c r="Q3046" t="s">
        <v>141</v>
      </c>
      <c r="R3046">
        <v>5</v>
      </c>
      <c r="S3046">
        <v>1999</v>
      </c>
      <c r="T3046">
        <v>0.05</v>
      </c>
      <c r="U3046">
        <v>9495.25</v>
      </c>
      <c r="V3046">
        <v>5750</v>
      </c>
      <c r="W3046">
        <v>3745.25</v>
      </c>
      <c r="X3046" t="s">
        <v>74</v>
      </c>
      <c r="Y3046" t="s">
        <v>68</v>
      </c>
      <c r="Z3046" t="s">
        <v>158</v>
      </c>
      <c r="AA3046" t="s">
        <v>167</v>
      </c>
      <c r="AB3046">
        <v>4.5999999999999996</v>
      </c>
      <c r="AC3046">
        <v>100</v>
      </c>
      <c r="AD3046">
        <v>512.24</v>
      </c>
      <c r="AE3046">
        <f t="shared" si="94"/>
        <v>3133.01</v>
      </c>
      <c r="AF3046" t="str">
        <f t="shared" si="95"/>
        <v>2026-01</v>
      </c>
      <c r="AG3046">
        <f>SUBTOTAL(103,A3046)</f>
        <v>1</v>
      </c>
    </row>
    <row r="3047" spans="1:33" x14ac:dyDescent="0.3">
      <c r="A3047" t="s">
        <v>5670</v>
      </c>
      <c r="B3047" s="13">
        <v>46049</v>
      </c>
      <c r="C3047">
        <v>2026</v>
      </c>
      <c r="D3047">
        <v>1</v>
      </c>
      <c r="E3047" t="s">
        <v>2571</v>
      </c>
      <c r="F3047" t="s">
        <v>2572</v>
      </c>
      <c r="G3047" t="s">
        <v>795</v>
      </c>
      <c r="H3047" t="s">
        <v>796</v>
      </c>
      <c r="I3047" t="s">
        <v>85</v>
      </c>
      <c r="J3047">
        <v>33</v>
      </c>
      <c r="K3047" t="s">
        <v>81</v>
      </c>
      <c r="L3047" t="s">
        <v>93</v>
      </c>
      <c r="M3047" t="s">
        <v>55</v>
      </c>
      <c r="N3047" t="s">
        <v>2574</v>
      </c>
      <c r="O3047" t="s">
        <v>130</v>
      </c>
      <c r="P3047" t="s">
        <v>50</v>
      </c>
      <c r="Q3047" t="s">
        <v>53</v>
      </c>
      <c r="R3047">
        <v>1</v>
      </c>
      <c r="S3047">
        <v>1199</v>
      </c>
      <c r="T3047">
        <v>0.05</v>
      </c>
      <c r="U3047">
        <v>1139.05</v>
      </c>
      <c r="V3047">
        <v>550</v>
      </c>
      <c r="W3047">
        <v>589.04999999999995</v>
      </c>
      <c r="X3047" t="s">
        <v>73</v>
      </c>
      <c r="Y3047" t="s">
        <v>68</v>
      </c>
      <c r="Z3047" t="s">
        <v>162</v>
      </c>
      <c r="AA3047" t="s">
        <v>167</v>
      </c>
      <c r="AB3047">
        <v>4.8</v>
      </c>
      <c r="AC3047">
        <v>80</v>
      </c>
      <c r="AD3047">
        <v>33.25</v>
      </c>
      <c r="AE3047">
        <f t="shared" si="94"/>
        <v>475.79999999999995</v>
      </c>
      <c r="AF3047" t="str">
        <f t="shared" si="95"/>
        <v>2026-01</v>
      </c>
      <c r="AG3047">
        <f>SUBTOTAL(103,A3047)</f>
        <v>1</v>
      </c>
    </row>
    <row r="3048" spans="1:33" x14ac:dyDescent="0.3">
      <c r="A3048" t="s">
        <v>5671</v>
      </c>
      <c r="B3048" s="13">
        <v>46049</v>
      </c>
      <c r="C3048">
        <v>2026</v>
      </c>
      <c r="D3048">
        <v>1</v>
      </c>
      <c r="E3048" t="s">
        <v>2571</v>
      </c>
      <c r="F3048" t="s">
        <v>2572</v>
      </c>
      <c r="G3048" t="s">
        <v>1061</v>
      </c>
      <c r="H3048" t="s">
        <v>1062</v>
      </c>
      <c r="I3048" t="s">
        <v>85</v>
      </c>
      <c r="J3048">
        <v>44</v>
      </c>
      <c r="K3048" t="s">
        <v>82</v>
      </c>
      <c r="L3048" t="s">
        <v>100</v>
      </c>
      <c r="M3048" t="s">
        <v>56</v>
      </c>
      <c r="N3048" t="s">
        <v>2577</v>
      </c>
      <c r="O3048" t="s">
        <v>129</v>
      </c>
      <c r="P3048" t="s">
        <v>49</v>
      </c>
      <c r="Q3048" t="s">
        <v>149</v>
      </c>
      <c r="R3048">
        <v>2</v>
      </c>
      <c r="S3048">
        <v>1299</v>
      </c>
      <c r="T3048">
        <v>0.05</v>
      </c>
      <c r="U3048">
        <v>2468.1</v>
      </c>
      <c r="V3048">
        <v>1300</v>
      </c>
      <c r="W3048">
        <v>1168.0999999999999</v>
      </c>
      <c r="X3048" t="s">
        <v>73</v>
      </c>
      <c r="Y3048" t="s">
        <v>68</v>
      </c>
      <c r="Z3048" t="s">
        <v>160</v>
      </c>
      <c r="AA3048" t="s">
        <v>170</v>
      </c>
      <c r="AB3048">
        <v>4</v>
      </c>
      <c r="AC3048">
        <v>100</v>
      </c>
      <c r="AD3048">
        <v>254.43</v>
      </c>
      <c r="AE3048">
        <f t="shared" si="94"/>
        <v>813.66999999999985</v>
      </c>
      <c r="AF3048" t="str">
        <f t="shared" si="95"/>
        <v>2026-01</v>
      </c>
      <c r="AG3048">
        <f>SUBTOTAL(103,A3048)</f>
        <v>1</v>
      </c>
    </row>
    <row r="3049" spans="1:33" x14ac:dyDescent="0.3">
      <c r="A3049" t="s">
        <v>5672</v>
      </c>
      <c r="B3049" s="13">
        <v>46049</v>
      </c>
      <c r="C3049">
        <v>2026</v>
      </c>
      <c r="D3049">
        <v>1</v>
      </c>
      <c r="E3049" t="s">
        <v>2571</v>
      </c>
      <c r="F3049" t="s">
        <v>2572</v>
      </c>
      <c r="G3049" t="s">
        <v>815</v>
      </c>
      <c r="H3049" t="s">
        <v>816</v>
      </c>
      <c r="I3049" t="s">
        <v>85</v>
      </c>
      <c r="J3049">
        <v>47</v>
      </c>
      <c r="K3049" t="s">
        <v>83</v>
      </c>
      <c r="L3049" t="s">
        <v>95</v>
      </c>
      <c r="M3049" t="s">
        <v>56</v>
      </c>
      <c r="N3049" t="s">
        <v>2606</v>
      </c>
      <c r="O3049" t="s">
        <v>120</v>
      </c>
      <c r="P3049" t="s">
        <v>49</v>
      </c>
      <c r="Q3049" t="s">
        <v>140</v>
      </c>
      <c r="R3049">
        <v>1</v>
      </c>
      <c r="S3049">
        <v>2799</v>
      </c>
      <c r="T3049">
        <v>0</v>
      </c>
      <c r="U3049">
        <v>2799</v>
      </c>
      <c r="V3049">
        <v>1650</v>
      </c>
      <c r="W3049">
        <v>1149</v>
      </c>
      <c r="X3049" t="s">
        <v>75</v>
      </c>
      <c r="Y3049" t="s">
        <v>68</v>
      </c>
      <c r="Z3049" t="s">
        <v>159</v>
      </c>
      <c r="AA3049" t="s">
        <v>166</v>
      </c>
      <c r="AB3049">
        <v>4.4000000000000004</v>
      </c>
      <c r="AC3049">
        <v>100</v>
      </c>
      <c r="AD3049">
        <v>72.7</v>
      </c>
      <c r="AE3049">
        <f t="shared" si="94"/>
        <v>976.3</v>
      </c>
      <c r="AF3049" t="str">
        <f t="shared" si="95"/>
        <v>2026-01</v>
      </c>
      <c r="AG3049">
        <f>SUBTOTAL(103,A3049)</f>
        <v>1</v>
      </c>
    </row>
    <row r="3050" spans="1:33" x14ac:dyDescent="0.3">
      <c r="A3050" t="s">
        <v>5673</v>
      </c>
      <c r="B3050" s="13">
        <v>46049</v>
      </c>
      <c r="C3050">
        <v>2026</v>
      </c>
      <c r="D3050">
        <v>1</v>
      </c>
      <c r="E3050" t="s">
        <v>2571</v>
      </c>
      <c r="F3050" t="s">
        <v>2572</v>
      </c>
      <c r="G3050" t="s">
        <v>1977</v>
      </c>
      <c r="H3050" t="s">
        <v>1978</v>
      </c>
      <c r="I3050" t="s">
        <v>86</v>
      </c>
      <c r="J3050">
        <v>51</v>
      </c>
      <c r="K3050" t="s">
        <v>83</v>
      </c>
      <c r="L3050" t="s">
        <v>2623</v>
      </c>
      <c r="M3050" t="s">
        <v>61</v>
      </c>
      <c r="N3050" t="s">
        <v>2582</v>
      </c>
      <c r="O3050" t="s">
        <v>119</v>
      </c>
      <c r="P3050" t="s">
        <v>49</v>
      </c>
      <c r="Q3050" t="s">
        <v>140</v>
      </c>
      <c r="R3050">
        <v>1</v>
      </c>
      <c r="S3050">
        <v>3499</v>
      </c>
      <c r="T3050">
        <v>0</v>
      </c>
      <c r="U3050">
        <v>3499</v>
      </c>
      <c r="V3050">
        <v>2100</v>
      </c>
      <c r="W3050">
        <v>1399</v>
      </c>
      <c r="X3050" t="s">
        <v>73</v>
      </c>
      <c r="Y3050" t="s">
        <v>68</v>
      </c>
      <c r="Z3050" t="s">
        <v>158</v>
      </c>
      <c r="AA3050" t="s">
        <v>166</v>
      </c>
      <c r="AB3050">
        <v>3.6</v>
      </c>
      <c r="AC3050">
        <v>40</v>
      </c>
      <c r="AD3050">
        <v>342.29</v>
      </c>
      <c r="AE3050">
        <f t="shared" si="94"/>
        <v>1016.71</v>
      </c>
      <c r="AF3050" t="str">
        <f t="shared" si="95"/>
        <v>2026-01</v>
      </c>
      <c r="AG3050">
        <f>SUBTOTAL(103,A3050)</f>
        <v>1</v>
      </c>
    </row>
    <row r="3051" spans="1:33" x14ac:dyDescent="0.3">
      <c r="A3051" t="s">
        <v>5674</v>
      </c>
      <c r="B3051" s="13">
        <v>46049</v>
      </c>
      <c r="C3051">
        <v>2026</v>
      </c>
      <c r="D3051">
        <v>1</v>
      </c>
      <c r="E3051" t="s">
        <v>2571</v>
      </c>
      <c r="F3051" t="s">
        <v>2572</v>
      </c>
      <c r="G3051" t="s">
        <v>257</v>
      </c>
      <c r="H3051" t="s">
        <v>258</v>
      </c>
      <c r="I3051" t="s">
        <v>85</v>
      </c>
      <c r="J3051">
        <v>36</v>
      </c>
      <c r="K3051" t="s">
        <v>82</v>
      </c>
      <c r="L3051" t="s">
        <v>2589</v>
      </c>
      <c r="M3051" t="s">
        <v>61</v>
      </c>
      <c r="N3051" t="s">
        <v>2601</v>
      </c>
      <c r="O3051" t="s">
        <v>117</v>
      </c>
      <c r="P3051" t="s">
        <v>49</v>
      </c>
      <c r="Q3051" t="s">
        <v>139</v>
      </c>
      <c r="R3051">
        <v>1</v>
      </c>
      <c r="S3051">
        <v>6999</v>
      </c>
      <c r="T3051">
        <v>0</v>
      </c>
      <c r="U3051">
        <v>6999</v>
      </c>
      <c r="V3051">
        <v>4300</v>
      </c>
      <c r="W3051">
        <v>2699</v>
      </c>
      <c r="X3051" t="s">
        <v>74</v>
      </c>
      <c r="Y3051" t="s">
        <v>68</v>
      </c>
      <c r="Z3051" t="s">
        <v>161</v>
      </c>
      <c r="AA3051" t="s">
        <v>169</v>
      </c>
      <c r="AB3051">
        <v>4.0999999999999996</v>
      </c>
      <c r="AC3051">
        <v>80</v>
      </c>
      <c r="AD3051">
        <v>502.34</v>
      </c>
      <c r="AE3051">
        <f t="shared" si="94"/>
        <v>2116.66</v>
      </c>
      <c r="AF3051" t="str">
        <f t="shared" si="95"/>
        <v>2026-01</v>
      </c>
      <c r="AG3051">
        <f>SUBTOTAL(103,A3051)</f>
        <v>1</v>
      </c>
    </row>
    <row r="3052" spans="1:33" x14ac:dyDescent="0.3">
      <c r="A3052" t="s">
        <v>5675</v>
      </c>
      <c r="B3052" s="13">
        <v>46049</v>
      </c>
      <c r="C3052">
        <v>2026</v>
      </c>
      <c r="D3052">
        <v>1</v>
      </c>
      <c r="E3052" t="s">
        <v>2571</v>
      </c>
      <c r="F3052" t="s">
        <v>2572</v>
      </c>
      <c r="G3052" t="s">
        <v>1643</v>
      </c>
      <c r="H3052" t="s">
        <v>1644</v>
      </c>
      <c r="I3052" t="s">
        <v>85</v>
      </c>
      <c r="J3052">
        <v>59</v>
      </c>
      <c r="K3052" t="s">
        <v>83</v>
      </c>
      <c r="L3052" t="s">
        <v>2687</v>
      </c>
      <c r="M3052" t="s">
        <v>57</v>
      </c>
      <c r="N3052" t="s">
        <v>2582</v>
      </c>
      <c r="O3052" t="s">
        <v>119</v>
      </c>
      <c r="P3052" t="s">
        <v>49</v>
      </c>
      <c r="Q3052" t="s">
        <v>140</v>
      </c>
      <c r="R3052">
        <v>3</v>
      </c>
      <c r="S3052">
        <v>3499</v>
      </c>
      <c r="T3052">
        <v>0.05</v>
      </c>
      <c r="U3052">
        <v>9972.15</v>
      </c>
      <c r="V3052">
        <v>6300</v>
      </c>
      <c r="W3052">
        <v>3672.15</v>
      </c>
      <c r="X3052" t="s">
        <v>76</v>
      </c>
      <c r="Y3052" t="s">
        <v>68</v>
      </c>
      <c r="Z3052" t="s">
        <v>161</v>
      </c>
      <c r="AA3052" t="s">
        <v>170</v>
      </c>
      <c r="AB3052">
        <v>4.2</v>
      </c>
      <c r="AC3052">
        <v>80</v>
      </c>
      <c r="AD3052">
        <v>997.84</v>
      </c>
      <c r="AE3052">
        <f t="shared" si="94"/>
        <v>2594.31</v>
      </c>
      <c r="AF3052" t="str">
        <f t="shared" si="95"/>
        <v>2026-01</v>
      </c>
      <c r="AG3052">
        <f>SUBTOTAL(103,A3052)</f>
        <v>1</v>
      </c>
    </row>
    <row r="3053" spans="1:33" x14ac:dyDescent="0.3">
      <c r="A3053" t="s">
        <v>5676</v>
      </c>
      <c r="B3053" s="13">
        <v>46050</v>
      </c>
      <c r="C3053">
        <v>2026</v>
      </c>
      <c r="D3053">
        <v>1</v>
      </c>
      <c r="E3053" t="s">
        <v>2571</v>
      </c>
      <c r="F3053" t="s">
        <v>2572</v>
      </c>
      <c r="G3053" t="s">
        <v>599</v>
      </c>
      <c r="H3053" t="s">
        <v>600</v>
      </c>
      <c r="I3053" t="s">
        <v>86</v>
      </c>
      <c r="J3053">
        <v>20</v>
      </c>
      <c r="K3053" t="s">
        <v>80</v>
      </c>
      <c r="L3053" t="s">
        <v>2674</v>
      </c>
      <c r="M3053" t="s">
        <v>58</v>
      </c>
      <c r="N3053" t="s">
        <v>2626</v>
      </c>
      <c r="O3053" t="s">
        <v>125</v>
      </c>
      <c r="P3053" t="s">
        <v>48</v>
      </c>
      <c r="Q3053" t="s">
        <v>141</v>
      </c>
      <c r="R3053">
        <v>1</v>
      </c>
      <c r="S3053">
        <v>1999</v>
      </c>
      <c r="T3053">
        <v>0.15</v>
      </c>
      <c r="U3053">
        <v>1699.15</v>
      </c>
      <c r="V3053">
        <v>1150</v>
      </c>
      <c r="W3053">
        <v>549.15</v>
      </c>
      <c r="X3053" t="s">
        <v>75</v>
      </c>
      <c r="Y3053" t="s">
        <v>68</v>
      </c>
      <c r="Z3053" t="s">
        <v>162</v>
      </c>
      <c r="AA3053" t="s">
        <v>169</v>
      </c>
      <c r="AB3053">
        <v>3.7</v>
      </c>
      <c r="AC3053">
        <v>60</v>
      </c>
      <c r="AD3053">
        <v>68.47</v>
      </c>
      <c r="AE3053">
        <f t="shared" si="94"/>
        <v>420.67999999999995</v>
      </c>
      <c r="AF3053" t="str">
        <f t="shared" si="95"/>
        <v>2026-01</v>
      </c>
      <c r="AG3053">
        <f>SUBTOTAL(103,A3053)</f>
        <v>1</v>
      </c>
    </row>
    <row r="3054" spans="1:33" x14ac:dyDescent="0.3">
      <c r="A3054" t="s">
        <v>5677</v>
      </c>
      <c r="B3054" s="13">
        <v>46050</v>
      </c>
      <c r="C3054">
        <v>2026</v>
      </c>
      <c r="D3054">
        <v>1</v>
      </c>
      <c r="E3054" t="s">
        <v>2571</v>
      </c>
      <c r="F3054" t="s">
        <v>2572</v>
      </c>
      <c r="G3054" t="s">
        <v>1809</v>
      </c>
      <c r="H3054" t="s">
        <v>1810</v>
      </c>
      <c r="I3054" t="s">
        <v>85</v>
      </c>
      <c r="J3054">
        <v>49</v>
      </c>
      <c r="K3054" t="s">
        <v>83</v>
      </c>
      <c r="L3054" t="s">
        <v>93</v>
      </c>
      <c r="M3054" t="s">
        <v>55</v>
      </c>
      <c r="N3054" t="s">
        <v>2574</v>
      </c>
      <c r="O3054" t="s">
        <v>130</v>
      </c>
      <c r="P3054" t="s">
        <v>50</v>
      </c>
      <c r="Q3054" t="s">
        <v>53</v>
      </c>
      <c r="R3054">
        <v>5</v>
      </c>
      <c r="S3054">
        <v>1199</v>
      </c>
      <c r="T3054">
        <v>0.05</v>
      </c>
      <c r="U3054">
        <v>0</v>
      </c>
      <c r="V3054">
        <v>0</v>
      </c>
      <c r="W3054">
        <v>0</v>
      </c>
      <c r="X3054" t="s">
        <v>74</v>
      </c>
      <c r="Y3054" t="s">
        <v>71</v>
      </c>
      <c r="Z3054" t="s">
        <v>163</v>
      </c>
      <c r="AA3054" t="s">
        <v>166</v>
      </c>
      <c r="AB3054">
        <v>4.7</v>
      </c>
      <c r="AC3054">
        <v>80</v>
      </c>
      <c r="AD3054">
        <v>232.09</v>
      </c>
      <c r="AE3054">
        <f t="shared" si="94"/>
        <v>-312.09000000000003</v>
      </c>
      <c r="AF3054" t="str">
        <f t="shared" si="95"/>
        <v>2026-01</v>
      </c>
      <c r="AG3054">
        <f>SUBTOTAL(103,A3054)</f>
        <v>1</v>
      </c>
    </row>
    <row r="3055" spans="1:33" x14ac:dyDescent="0.3">
      <c r="A3055" t="s">
        <v>5678</v>
      </c>
      <c r="B3055" s="13">
        <v>46050</v>
      </c>
      <c r="C3055">
        <v>2026</v>
      </c>
      <c r="D3055">
        <v>1</v>
      </c>
      <c r="E3055" t="s">
        <v>2571</v>
      </c>
      <c r="F3055" t="s">
        <v>2572</v>
      </c>
      <c r="G3055" t="s">
        <v>829</v>
      </c>
      <c r="H3055" t="s">
        <v>830</v>
      </c>
      <c r="I3055" t="s">
        <v>85</v>
      </c>
      <c r="J3055">
        <v>46</v>
      </c>
      <c r="K3055" t="s">
        <v>83</v>
      </c>
      <c r="L3055" t="s">
        <v>2573</v>
      </c>
      <c r="M3055" t="s">
        <v>63</v>
      </c>
      <c r="N3055" t="s">
        <v>2644</v>
      </c>
      <c r="O3055" t="s">
        <v>126</v>
      </c>
      <c r="P3055" t="s">
        <v>50</v>
      </c>
      <c r="Q3055" t="s">
        <v>145</v>
      </c>
      <c r="R3055">
        <v>4</v>
      </c>
      <c r="S3055">
        <v>1799</v>
      </c>
      <c r="T3055">
        <v>0.1</v>
      </c>
      <c r="U3055">
        <v>6476.4</v>
      </c>
      <c r="V3055">
        <v>3800</v>
      </c>
      <c r="W3055">
        <v>2676.4</v>
      </c>
      <c r="X3055" t="s">
        <v>76</v>
      </c>
      <c r="Y3055" t="s">
        <v>68</v>
      </c>
      <c r="Z3055" t="s">
        <v>159</v>
      </c>
      <c r="AA3055" t="s">
        <v>166</v>
      </c>
      <c r="AB3055">
        <v>5</v>
      </c>
      <c r="AC3055">
        <v>50</v>
      </c>
      <c r="AD3055">
        <v>173.78</v>
      </c>
      <c r="AE3055">
        <f t="shared" si="94"/>
        <v>2452.62</v>
      </c>
      <c r="AF3055" t="str">
        <f t="shared" si="95"/>
        <v>2026-01</v>
      </c>
      <c r="AG3055">
        <f>SUBTOTAL(103,A3055)</f>
        <v>1</v>
      </c>
    </row>
    <row r="3056" spans="1:33" x14ac:dyDescent="0.3">
      <c r="A3056" t="s">
        <v>5679</v>
      </c>
      <c r="B3056" s="13">
        <v>46050</v>
      </c>
      <c r="C3056">
        <v>2026</v>
      </c>
      <c r="D3056">
        <v>1</v>
      </c>
      <c r="E3056" t="s">
        <v>2571</v>
      </c>
      <c r="F3056" t="s">
        <v>2572</v>
      </c>
      <c r="G3056" t="s">
        <v>1633</v>
      </c>
      <c r="H3056" t="s">
        <v>1634</v>
      </c>
      <c r="I3056" t="s">
        <v>85</v>
      </c>
      <c r="J3056">
        <v>53</v>
      </c>
      <c r="K3056" t="s">
        <v>83</v>
      </c>
      <c r="L3056" t="s">
        <v>2599</v>
      </c>
      <c r="M3056" t="s">
        <v>62</v>
      </c>
      <c r="N3056" t="s">
        <v>2580</v>
      </c>
      <c r="O3056" t="s">
        <v>118</v>
      </c>
      <c r="P3056" t="s">
        <v>48</v>
      </c>
      <c r="Q3056" t="s">
        <v>142</v>
      </c>
      <c r="R3056">
        <v>1</v>
      </c>
      <c r="S3056">
        <v>3999</v>
      </c>
      <c r="T3056">
        <v>0</v>
      </c>
      <c r="U3056">
        <v>3999</v>
      </c>
      <c r="V3056">
        <v>2400</v>
      </c>
      <c r="W3056">
        <v>1599</v>
      </c>
      <c r="X3056" t="s">
        <v>73</v>
      </c>
      <c r="Y3056" t="s">
        <v>68</v>
      </c>
      <c r="Z3056" t="s">
        <v>158</v>
      </c>
      <c r="AA3056" t="s">
        <v>170</v>
      </c>
      <c r="AB3056">
        <v>3.6</v>
      </c>
      <c r="AC3056">
        <v>40</v>
      </c>
      <c r="AD3056">
        <v>449.14</v>
      </c>
      <c r="AE3056">
        <f t="shared" si="94"/>
        <v>1109.8600000000001</v>
      </c>
      <c r="AF3056" t="str">
        <f t="shared" si="95"/>
        <v>2026-01</v>
      </c>
      <c r="AG3056">
        <f>SUBTOTAL(103,A3056)</f>
        <v>1</v>
      </c>
    </row>
    <row r="3057" spans="1:33" x14ac:dyDescent="0.3">
      <c r="A3057" t="s">
        <v>5680</v>
      </c>
      <c r="B3057" s="13">
        <v>46050</v>
      </c>
      <c r="C3057">
        <v>2026</v>
      </c>
      <c r="D3057">
        <v>1</v>
      </c>
      <c r="E3057" t="s">
        <v>2571</v>
      </c>
      <c r="F3057" t="s">
        <v>2572</v>
      </c>
      <c r="G3057" t="s">
        <v>1533</v>
      </c>
      <c r="H3057" t="s">
        <v>1534</v>
      </c>
      <c r="I3057" t="s">
        <v>86</v>
      </c>
      <c r="J3057">
        <v>19</v>
      </c>
      <c r="K3057" t="s">
        <v>80</v>
      </c>
      <c r="L3057" t="s">
        <v>2599</v>
      </c>
      <c r="M3057" t="s">
        <v>62</v>
      </c>
      <c r="N3057" t="s">
        <v>2590</v>
      </c>
      <c r="O3057" t="s">
        <v>127</v>
      </c>
      <c r="P3057" t="s">
        <v>51</v>
      </c>
      <c r="Q3057" t="s">
        <v>148</v>
      </c>
      <c r="R3057">
        <v>2</v>
      </c>
      <c r="S3057">
        <v>1599</v>
      </c>
      <c r="T3057">
        <v>0.05</v>
      </c>
      <c r="U3057">
        <v>3038.1</v>
      </c>
      <c r="V3057">
        <v>1600</v>
      </c>
      <c r="W3057">
        <v>1438.1</v>
      </c>
      <c r="X3057" t="s">
        <v>76</v>
      </c>
      <c r="Y3057" t="s">
        <v>68</v>
      </c>
      <c r="Z3057" t="s">
        <v>161</v>
      </c>
      <c r="AA3057" t="s">
        <v>171</v>
      </c>
      <c r="AB3057">
        <v>3.5</v>
      </c>
      <c r="AC3057">
        <v>80</v>
      </c>
      <c r="AD3057">
        <v>344.51</v>
      </c>
      <c r="AE3057">
        <f t="shared" si="94"/>
        <v>1013.5899999999999</v>
      </c>
      <c r="AF3057" t="str">
        <f t="shared" si="95"/>
        <v>2026-01</v>
      </c>
      <c r="AG3057">
        <f>SUBTOTAL(103,A3057)</f>
        <v>1</v>
      </c>
    </row>
    <row r="3058" spans="1:33" x14ac:dyDescent="0.3">
      <c r="A3058" t="s">
        <v>5681</v>
      </c>
      <c r="B3058" s="13">
        <v>46050</v>
      </c>
      <c r="C3058">
        <v>2026</v>
      </c>
      <c r="D3058">
        <v>1</v>
      </c>
      <c r="E3058" t="s">
        <v>2571</v>
      </c>
      <c r="F3058" t="s">
        <v>2572</v>
      </c>
      <c r="G3058" t="s">
        <v>1675</v>
      </c>
      <c r="H3058" t="s">
        <v>1676</v>
      </c>
      <c r="I3058" t="s">
        <v>85</v>
      </c>
      <c r="J3058">
        <v>24</v>
      </c>
      <c r="K3058" t="s">
        <v>80</v>
      </c>
      <c r="L3058" t="s">
        <v>2576</v>
      </c>
      <c r="M3058" t="s">
        <v>60</v>
      </c>
      <c r="N3058" t="s">
        <v>2580</v>
      </c>
      <c r="O3058" t="s">
        <v>118</v>
      </c>
      <c r="P3058" t="s">
        <v>48</v>
      </c>
      <c r="Q3058" t="s">
        <v>142</v>
      </c>
      <c r="R3058">
        <v>2</v>
      </c>
      <c r="S3058">
        <v>3999</v>
      </c>
      <c r="T3058">
        <v>0</v>
      </c>
      <c r="U3058">
        <v>7998</v>
      </c>
      <c r="V3058">
        <v>4800</v>
      </c>
      <c r="W3058">
        <v>3198</v>
      </c>
      <c r="X3058" t="s">
        <v>76</v>
      </c>
      <c r="Y3058" t="s">
        <v>68</v>
      </c>
      <c r="Z3058" t="s">
        <v>161</v>
      </c>
      <c r="AA3058" t="s">
        <v>166</v>
      </c>
      <c r="AB3058">
        <v>2.8</v>
      </c>
      <c r="AC3058">
        <v>80</v>
      </c>
      <c r="AD3058">
        <v>330.57</v>
      </c>
      <c r="AE3058">
        <f t="shared" si="94"/>
        <v>2787.43</v>
      </c>
      <c r="AF3058" t="str">
        <f t="shared" si="95"/>
        <v>2026-01</v>
      </c>
      <c r="AG3058">
        <f>SUBTOTAL(103,A3058)</f>
        <v>1</v>
      </c>
    </row>
    <row r="3059" spans="1:33" x14ac:dyDescent="0.3">
      <c r="A3059" t="s">
        <v>5682</v>
      </c>
      <c r="B3059" s="13">
        <v>46050</v>
      </c>
      <c r="C3059">
        <v>2026</v>
      </c>
      <c r="D3059">
        <v>1</v>
      </c>
      <c r="E3059" t="s">
        <v>2571</v>
      </c>
      <c r="F3059" t="s">
        <v>2572</v>
      </c>
      <c r="G3059" t="s">
        <v>1421</v>
      </c>
      <c r="H3059" t="s">
        <v>1422</v>
      </c>
      <c r="I3059" t="s">
        <v>86</v>
      </c>
      <c r="J3059">
        <v>57</v>
      </c>
      <c r="K3059" t="s">
        <v>83</v>
      </c>
      <c r="L3059" t="s">
        <v>91</v>
      </c>
      <c r="M3059" t="s">
        <v>55</v>
      </c>
      <c r="N3059" t="s">
        <v>2653</v>
      </c>
      <c r="O3059" t="s">
        <v>132</v>
      </c>
      <c r="P3059" t="s">
        <v>52</v>
      </c>
      <c r="Q3059" t="s">
        <v>150</v>
      </c>
      <c r="R3059">
        <v>2</v>
      </c>
      <c r="S3059">
        <v>899</v>
      </c>
      <c r="T3059">
        <v>0</v>
      </c>
      <c r="U3059">
        <v>1798</v>
      </c>
      <c r="V3059">
        <v>840</v>
      </c>
      <c r="W3059">
        <v>958</v>
      </c>
      <c r="X3059" t="s">
        <v>76</v>
      </c>
      <c r="Y3059" t="s">
        <v>68</v>
      </c>
      <c r="Z3059" t="s">
        <v>159</v>
      </c>
      <c r="AA3059" t="s">
        <v>166</v>
      </c>
      <c r="AB3059">
        <v>4</v>
      </c>
      <c r="AC3059">
        <v>60</v>
      </c>
      <c r="AD3059">
        <v>55.2</v>
      </c>
      <c r="AE3059">
        <f t="shared" si="94"/>
        <v>842.8</v>
      </c>
      <c r="AF3059" t="str">
        <f t="shared" si="95"/>
        <v>2026-01</v>
      </c>
      <c r="AG3059">
        <f>SUBTOTAL(103,A3059)</f>
        <v>1</v>
      </c>
    </row>
    <row r="3060" spans="1:33" x14ac:dyDescent="0.3">
      <c r="A3060" t="s">
        <v>5683</v>
      </c>
      <c r="B3060" s="13">
        <v>46050</v>
      </c>
      <c r="C3060">
        <v>2026</v>
      </c>
      <c r="D3060">
        <v>1</v>
      </c>
      <c r="E3060" t="s">
        <v>2571</v>
      </c>
      <c r="F3060" t="s">
        <v>2572</v>
      </c>
      <c r="G3060" t="s">
        <v>617</v>
      </c>
      <c r="H3060" t="s">
        <v>618</v>
      </c>
      <c r="I3060" t="s">
        <v>85</v>
      </c>
      <c r="J3060">
        <v>45</v>
      </c>
      <c r="K3060" t="s">
        <v>82</v>
      </c>
      <c r="L3060" t="s">
        <v>90</v>
      </c>
      <c r="M3060" t="s">
        <v>55</v>
      </c>
      <c r="N3060" t="s">
        <v>2601</v>
      </c>
      <c r="O3060" t="s">
        <v>117</v>
      </c>
      <c r="P3060" t="s">
        <v>49</v>
      </c>
      <c r="Q3060" t="s">
        <v>139</v>
      </c>
      <c r="R3060">
        <v>4</v>
      </c>
      <c r="S3060">
        <v>6999</v>
      </c>
      <c r="T3060">
        <v>0.05</v>
      </c>
      <c r="U3060">
        <v>26596.2</v>
      </c>
      <c r="V3060">
        <v>17200</v>
      </c>
      <c r="W3060">
        <v>9396.2000000000007</v>
      </c>
      <c r="X3060" t="s">
        <v>73</v>
      </c>
      <c r="Y3060" t="s">
        <v>68</v>
      </c>
      <c r="Z3060" t="s">
        <v>160</v>
      </c>
      <c r="AA3060" t="s">
        <v>169</v>
      </c>
      <c r="AB3060">
        <v>4</v>
      </c>
      <c r="AC3060">
        <v>40</v>
      </c>
      <c r="AD3060">
        <v>1305.76</v>
      </c>
      <c r="AE3060">
        <f t="shared" si="94"/>
        <v>8050.4400000000005</v>
      </c>
      <c r="AF3060" t="str">
        <f t="shared" si="95"/>
        <v>2026-01</v>
      </c>
      <c r="AG3060">
        <f>SUBTOTAL(103,A3060)</f>
        <v>1</v>
      </c>
    </row>
    <row r="3061" spans="1:33" x14ac:dyDescent="0.3">
      <c r="A3061" t="s">
        <v>5684</v>
      </c>
      <c r="B3061" s="13">
        <v>46050</v>
      </c>
      <c r="C3061">
        <v>2026</v>
      </c>
      <c r="D3061">
        <v>1</v>
      </c>
      <c r="E3061" t="s">
        <v>2571</v>
      </c>
      <c r="F3061" t="s">
        <v>2572</v>
      </c>
      <c r="G3061" t="s">
        <v>1161</v>
      </c>
      <c r="H3061" t="s">
        <v>1162</v>
      </c>
      <c r="I3061" t="s">
        <v>86</v>
      </c>
      <c r="J3061">
        <v>38</v>
      </c>
      <c r="K3061" t="s">
        <v>82</v>
      </c>
      <c r="L3061" t="s">
        <v>2661</v>
      </c>
      <c r="M3061" t="s">
        <v>58</v>
      </c>
      <c r="N3061" t="s">
        <v>2587</v>
      </c>
      <c r="O3061" t="s">
        <v>116</v>
      </c>
      <c r="P3061" t="s">
        <v>48</v>
      </c>
      <c r="Q3061" t="s">
        <v>138</v>
      </c>
      <c r="R3061">
        <v>1</v>
      </c>
      <c r="S3061">
        <v>14999</v>
      </c>
      <c r="T3061">
        <v>0.2</v>
      </c>
      <c r="U3061">
        <v>11999.2</v>
      </c>
      <c r="V3061">
        <v>11200</v>
      </c>
      <c r="W3061">
        <v>799.2</v>
      </c>
      <c r="X3061" t="s">
        <v>73</v>
      </c>
      <c r="Y3061" t="s">
        <v>68</v>
      </c>
      <c r="Z3061" t="s">
        <v>161</v>
      </c>
      <c r="AA3061" t="s">
        <v>168</v>
      </c>
      <c r="AB3061">
        <v>4.3</v>
      </c>
      <c r="AC3061">
        <v>100</v>
      </c>
      <c r="AD3061">
        <v>548.65</v>
      </c>
      <c r="AE3061">
        <f t="shared" si="94"/>
        <v>150.55000000000007</v>
      </c>
      <c r="AF3061" t="str">
        <f t="shared" si="95"/>
        <v>2026-01</v>
      </c>
      <c r="AG3061">
        <f>SUBTOTAL(103,A3061)</f>
        <v>1</v>
      </c>
    </row>
    <row r="3062" spans="1:33" x14ac:dyDescent="0.3">
      <c r="A3062" t="s">
        <v>5685</v>
      </c>
      <c r="B3062" s="13">
        <v>46051</v>
      </c>
      <c r="C3062">
        <v>2026</v>
      </c>
      <c r="D3062">
        <v>1</v>
      </c>
      <c r="E3062" t="s">
        <v>2571</v>
      </c>
      <c r="F3062" t="s">
        <v>2572</v>
      </c>
      <c r="G3062" t="s">
        <v>1541</v>
      </c>
      <c r="H3062" t="s">
        <v>1542</v>
      </c>
      <c r="I3062" t="s">
        <v>86</v>
      </c>
      <c r="J3062">
        <v>31</v>
      </c>
      <c r="K3062" t="s">
        <v>81</v>
      </c>
      <c r="L3062" t="s">
        <v>91</v>
      </c>
      <c r="M3062" t="s">
        <v>55</v>
      </c>
      <c r="N3062" t="s">
        <v>2653</v>
      </c>
      <c r="O3062" t="s">
        <v>132</v>
      </c>
      <c r="P3062" t="s">
        <v>52</v>
      </c>
      <c r="Q3062" t="s">
        <v>150</v>
      </c>
      <c r="R3062">
        <v>3</v>
      </c>
      <c r="S3062">
        <v>899</v>
      </c>
      <c r="T3062">
        <v>0.1</v>
      </c>
      <c r="U3062">
        <v>2427.3000000000002</v>
      </c>
      <c r="V3062">
        <v>1260</v>
      </c>
      <c r="W3062">
        <v>1167.3</v>
      </c>
      <c r="X3062" t="s">
        <v>74</v>
      </c>
      <c r="Y3062" t="s">
        <v>68</v>
      </c>
      <c r="Z3062" t="s">
        <v>158</v>
      </c>
      <c r="AA3062" t="s">
        <v>166</v>
      </c>
      <c r="AB3062">
        <v>3.7</v>
      </c>
      <c r="AC3062">
        <v>80</v>
      </c>
      <c r="AD3062">
        <v>94.2</v>
      </c>
      <c r="AE3062">
        <f t="shared" si="94"/>
        <v>993.09999999999991</v>
      </c>
      <c r="AF3062" t="str">
        <f t="shared" si="95"/>
        <v>2026-01</v>
      </c>
      <c r="AG3062">
        <f>SUBTOTAL(103,A3062)</f>
        <v>1</v>
      </c>
    </row>
    <row r="3063" spans="1:33" x14ac:dyDescent="0.3">
      <c r="A3063" t="s">
        <v>5686</v>
      </c>
      <c r="B3063" s="13">
        <v>46051</v>
      </c>
      <c r="C3063">
        <v>2026</v>
      </c>
      <c r="D3063">
        <v>1</v>
      </c>
      <c r="E3063" t="s">
        <v>2571</v>
      </c>
      <c r="F3063" t="s">
        <v>2572</v>
      </c>
      <c r="G3063" t="s">
        <v>2033</v>
      </c>
      <c r="H3063" t="s">
        <v>2034</v>
      </c>
      <c r="I3063" t="s">
        <v>85</v>
      </c>
      <c r="J3063">
        <v>49</v>
      </c>
      <c r="K3063" t="s">
        <v>83</v>
      </c>
      <c r="L3063" t="s">
        <v>100</v>
      </c>
      <c r="M3063" t="s">
        <v>56</v>
      </c>
      <c r="N3063" t="s">
        <v>2665</v>
      </c>
      <c r="O3063" t="s">
        <v>128</v>
      </c>
      <c r="P3063" t="s">
        <v>53</v>
      </c>
      <c r="Q3063" t="s">
        <v>143</v>
      </c>
      <c r="R3063">
        <v>2</v>
      </c>
      <c r="S3063">
        <v>1499</v>
      </c>
      <c r="T3063">
        <v>0.15</v>
      </c>
      <c r="U3063">
        <v>2548.3000000000002</v>
      </c>
      <c r="V3063">
        <v>1600</v>
      </c>
      <c r="W3063">
        <v>948.3</v>
      </c>
      <c r="X3063" t="s">
        <v>77</v>
      </c>
      <c r="Y3063" t="s">
        <v>69</v>
      </c>
      <c r="Z3063" t="s">
        <v>160</v>
      </c>
      <c r="AA3063" t="s">
        <v>167</v>
      </c>
      <c r="AB3063">
        <v>3.6</v>
      </c>
      <c r="AC3063">
        <v>100</v>
      </c>
      <c r="AD3063">
        <v>234.26</v>
      </c>
      <c r="AE3063">
        <f t="shared" si="94"/>
        <v>614.04</v>
      </c>
      <c r="AF3063" t="str">
        <f t="shared" si="95"/>
        <v>2026-01</v>
      </c>
      <c r="AG3063">
        <f>SUBTOTAL(103,A3063)</f>
        <v>1</v>
      </c>
    </row>
    <row r="3064" spans="1:33" x14ac:dyDescent="0.3">
      <c r="A3064" t="s">
        <v>5687</v>
      </c>
      <c r="B3064" s="13">
        <v>46051</v>
      </c>
      <c r="C3064">
        <v>2026</v>
      </c>
      <c r="D3064">
        <v>1</v>
      </c>
      <c r="E3064" t="s">
        <v>2571</v>
      </c>
      <c r="F3064" t="s">
        <v>2572</v>
      </c>
      <c r="G3064" t="s">
        <v>683</v>
      </c>
      <c r="H3064" t="s">
        <v>684</v>
      </c>
      <c r="I3064" t="s">
        <v>86</v>
      </c>
      <c r="J3064">
        <v>42</v>
      </c>
      <c r="K3064" t="s">
        <v>82</v>
      </c>
      <c r="L3064" t="s">
        <v>59</v>
      </c>
      <c r="M3064" t="s">
        <v>59</v>
      </c>
      <c r="N3064" t="s">
        <v>2665</v>
      </c>
      <c r="O3064" t="s">
        <v>128</v>
      </c>
      <c r="P3064" t="s">
        <v>53</v>
      </c>
      <c r="Q3064" t="s">
        <v>143</v>
      </c>
      <c r="R3064">
        <v>2</v>
      </c>
      <c r="S3064">
        <v>1499</v>
      </c>
      <c r="T3064">
        <v>0</v>
      </c>
      <c r="U3064">
        <v>2998</v>
      </c>
      <c r="V3064">
        <v>1600</v>
      </c>
      <c r="W3064">
        <v>1398</v>
      </c>
      <c r="X3064" t="s">
        <v>75</v>
      </c>
      <c r="Y3064" t="s">
        <v>68</v>
      </c>
      <c r="Z3064" t="s">
        <v>158</v>
      </c>
      <c r="AA3064" t="s">
        <v>166</v>
      </c>
      <c r="AB3064">
        <v>4.0999999999999996</v>
      </c>
      <c r="AC3064">
        <v>80</v>
      </c>
      <c r="AD3064">
        <v>128.09</v>
      </c>
      <c r="AE3064">
        <f t="shared" si="94"/>
        <v>1189.9100000000001</v>
      </c>
      <c r="AF3064" t="str">
        <f t="shared" si="95"/>
        <v>2026-01</v>
      </c>
      <c r="AG3064">
        <f>SUBTOTAL(103,A3064)</f>
        <v>1</v>
      </c>
    </row>
    <row r="3065" spans="1:33" x14ac:dyDescent="0.3">
      <c r="A3065" t="s">
        <v>5688</v>
      </c>
      <c r="B3065" s="13">
        <v>46051</v>
      </c>
      <c r="C3065">
        <v>2026</v>
      </c>
      <c r="D3065">
        <v>1</v>
      </c>
      <c r="E3065" t="s">
        <v>2571</v>
      </c>
      <c r="F3065" t="s">
        <v>2572</v>
      </c>
      <c r="G3065" t="s">
        <v>233</v>
      </c>
      <c r="H3065" t="s">
        <v>234</v>
      </c>
      <c r="I3065" t="s">
        <v>86</v>
      </c>
      <c r="J3065">
        <v>55</v>
      </c>
      <c r="K3065" t="s">
        <v>83</v>
      </c>
      <c r="L3065" t="s">
        <v>90</v>
      </c>
      <c r="M3065" t="s">
        <v>55</v>
      </c>
      <c r="N3065" t="s">
        <v>2657</v>
      </c>
      <c r="O3065" t="s">
        <v>134</v>
      </c>
      <c r="P3065" t="s">
        <v>49</v>
      </c>
      <c r="Q3065" t="s">
        <v>140</v>
      </c>
      <c r="R3065">
        <v>2</v>
      </c>
      <c r="S3065">
        <v>599</v>
      </c>
      <c r="T3065">
        <v>0.2</v>
      </c>
      <c r="U3065">
        <v>958.4</v>
      </c>
      <c r="V3065">
        <v>500</v>
      </c>
      <c r="W3065">
        <v>458.4</v>
      </c>
      <c r="X3065" t="s">
        <v>76</v>
      </c>
      <c r="Y3065" t="s">
        <v>68</v>
      </c>
      <c r="Z3065" t="s">
        <v>163</v>
      </c>
      <c r="AA3065" t="s">
        <v>167</v>
      </c>
      <c r="AB3065">
        <v>3.6</v>
      </c>
      <c r="AC3065">
        <v>50</v>
      </c>
      <c r="AD3065">
        <v>71.790000000000006</v>
      </c>
      <c r="AE3065">
        <f t="shared" si="94"/>
        <v>336.60999999999996</v>
      </c>
      <c r="AF3065" t="str">
        <f t="shared" si="95"/>
        <v>2026-01</v>
      </c>
      <c r="AG3065">
        <f>SUBTOTAL(103,A3065)</f>
        <v>1</v>
      </c>
    </row>
    <row r="3066" spans="1:33" x14ac:dyDescent="0.3">
      <c r="A3066" t="s">
        <v>5689</v>
      </c>
      <c r="B3066" s="13">
        <v>46051</v>
      </c>
      <c r="C3066">
        <v>2026</v>
      </c>
      <c r="D3066">
        <v>1</v>
      </c>
      <c r="E3066" t="s">
        <v>2571</v>
      </c>
      <c r="F3066" t="s">
        <v>2572</v>
      </c>
      <c r="G3066" t="s">
        <v>989</v>
      </c>
      <c r="H3066" t="s">
        <v>990</v>
      </c>
      <c r="I3066" t="s">
        <v>86</v>
      </c>
      <c r="J3066">
        <v>20</v>
      </c>
      <c r="K3066" t="s">
        <v>80</v>
      </c>
      <c r="L3066" t="s">
        <v>59</v>
      </c>
      <c r="M3066" t="s">
        <v>59</v>
      </c>
      <c r="N3066" t="s">
        <v>2574</v>
      </c>
      <c r="O3066" t="s">
        <v>130</v>
      </c>
      <c r="P3066" t="s">
        <v>50</v>
      </c>
      <c r="Q3066" t="s">
        <v>53</v>
      </c>
      <c r="R3066">
        <v>1</v>
      </c>
      <c r="S3066">
        <v>1199</v>
      </c>
      <c r="T3066">
        <v>0</v>
      </c>
      <c r="U3066">
        <v>1199</v>
      </c>
      <c r="V3066">
        <v>550</v>
      </c>
      <c r="W3066">
        <v>649</v>
      </c>
      <c r="X3066" t="s">
        <v>76</v>
      </c>
      <c r="Y3066" t="s">
        <v>68</v>
      </c>
      <c r="Z3066" t="s">
        <v>161</v>
      </c>
      <c r="AA3066" t="s">
        <v>168</v>
      </c>
      <c r="AB3066">
        <v>3.7</v>
      </c>
      <c r="AC3066">
        <v>50</v>
      </c>
      <c r="AD3066">
        <v>49.87</v>
      </c>
      <c r="AE3066">
        <f t="shared" si="94"/>
        <v>549.13</v>
      </c>
      <c r="AF3066" t="str">
        <f t="shared" si="95"/>
        <v>2026-01</v>
      </c>
      <c r="AG3066">
        <f>SUBTOTAL(103,A3066)</f>
        <v>1</v>
      </c>
    </row>
    <row r="3067" spans="1:33" x14ac:dyDescent="0.3">
      <c r="A3067" t="s">
        <v>5690</v>
      </c>
      <c r="B3067" s="13">
        <v>46051</v>
      </c>
      <c r="C3067">
        <v>2026</v>
      </c>
      <c r="D3067">
        <v>1</v>
      </c>
      <c r="E3067" t="s">
        <v>2571</v>
      </c>
      <c r="F3067" t="s">
        <v>2572</v>
      </c>
      <c r="G3067" t="s">
        <v>2105</v>
      </c>
      <c r="H3067" t="s">
        <v>2106</v>
      </c>
      <c r="I3067" t="s">
        <v>85</v>
      </c>
      <c r="J3067">
        <v>46</v>
      </c>
      <c r="K3067" t="s">
        <v>83</v>
      </c>
      <c r="L3067" t="s">
        <v>94</v>
      </c>
      <c r="M3067" t="s">
        <v>57</v>
      </c>
      <c r="N3067" t="s">
        <v>2590</v>
      </c>
      <c r="O3067" t="s">
        <v>127</v>
      </c>
      <c r="P3067" t="s">
        <v>51</v>
      </c>
      <c r="Q3067" t="s">
        <v>148</v>
      </c>
      <c r="R3067">
        <v>4</v>
      </c>
      <c r="S3067">
        <v>1599</v>
      </c>
      <c r="T3067">
        <v>0</v>
      </c>
      <c r="U3067">
        <v>0</v>
      </c>
      <c r="V3067">
        <v>0</v>
      </c>
      <c r="W3067">
        <v>0</v>
      </c>
      <c r="X3067" t="s">
        <v>74</v>
      </c>
      <c r="Y3067" t="s">
        <v>71</v>
      </c>
      <c r="Z3067" t="s">
        <v>159</v>
      </c>
      <c r="AA3067" t="s">
        <v>169</v>
      </c>
      <c r="AB3067">
        <v>4.4000000000000004</v>
      </c>
      <c r="AC3067">
        <v>50</v>
      </c>
      <c r="AD3067">
        <v>597.47</v>
      </c>
      <c r="AE3067">
        <f t="shared" si="94"/>
        <v>-647.47</v>
      </c>
      <c r="AF3067" t="str">
        <f t="shared" si="95"/>
        <v>2026-01</v>
      </c>
      <c r="AG3067">
        <f>SUBTOTAL(103,A3067)</f>
        <v>1</v>
      </c>
    </row>
    <row r="3068" spans="1:33" x14ac:dyDescent="0.3">
      <c r="A3068" t="s">
        <v>5691</v>
      </c>
      <c r="B3068" s="13">
        <v>46051</v>
      </c>
      <c r="C3068">
        <v>2026</v>
      </c>
      <c r="D3068">
        <v>1</v>
      </c>
      <c r="E3068" t="s">
        <v>2571</v>
      </c>
      <c r="F3068" t="s">
        <v>2572</v>
      </c>
      <c r="G3068" t="s">
        <v>293</v>
      </c>
      <c r="H3068" t="s">
        <v>294</v>
      </c>
      <c r="I3068" t="s">
        <v>86</v>
      </c>
      <c r="J3068">
        <v>30</v>
      </c>
      <c r="K3068" t="s">
        <v>81</v>
      </c>
      <c r="L3068" t="s">
        <v>98</v>
      </c>
      <c r="M3068" t="s">
        <v>55</v>
      </c>
      <c r="N3068" t="s">
        <v>2584</v>
      </c>
      <c r="O3068" t="s">
        <v>121</v>
      </c>
      <c r="P3068" t="s">
        <v>50</v>
      </c>
      <c r="Q3068" t="s">
        <v>144</v>
      </c>
      <c r="R3068">
        <v>3</v>
      </c>
      <c r="S3068">
        <v>2999</v>
      </c>
      <c r="T3068">
        <v>0.1</v>
      </c>
      <c r="U3068">
        <v>8097.3</v>
      </c>
      <c r="V3068">
        <v>5100</v>
      </c>
      <c r="W3068">
        <v>2997.3</v>
      </c>
      <c r="X3068" t="s">
        <v>74</v>
      </c>
      <c r="Y3068" t="s">
        <v>68</v>
      </c>
      <c r="Z3068" t="s">
        <v>160</v>
      </c>
      <c r="AA3068" t="s">
        <v>168</v>
      </c>
      <c r="AB3068">
        <v>3.1</v>
      </c>
      <c r="AC3068">
        <v>80</v>
      </c>
      <c r="AD3068">
        <v>563.85</v>
      </c>
      <c r="AE3068">
        <f t="shared" si="94"/>
        <v>2353.4500000000003</v>
      </c>
      <c r="AF3068" t="str">
        <f t="shared" si="95"/>
        <v>2026-01</v>
      </c>
      <c r="AG3068">
        <f>SUBTOTAL(103,A3068)</f>
        <v>1</v>
      </c>
    </row>
    <row r="3069" spans="1:33" x14ac:dyDescent="0.3">
      <c r="A3069" t="s">
        <v>5692</v>
      </c>
      <c r="B3069" s="13">
        <v>46051</v>
      </c>
      <c r="C3069">
        <v>2026</v>
      </c>
      <c r="D3069">
        <v>1</v>
      </c>
      <c r="E3069" t="s">
        <v>2571</v>
      </c>
      <c r="F3069" t="s">
        <v>2572</v>
      </c>
      <c r="G3069" t="s">
        <v>1991</v>
      </c>
      <c r="H3069" t="s">
        <v>1992</v>
      </c>
      <c r="I3069" t="s">
        <v>86</v>
      </c>
      <c r="J3069">
        <v>52</v>
      </c>
      <c r="K3069" t="s">
        <v>83</v>
      </c>
      <c r="L3069" t="s">
        <v>2589</v>
      </c>
      <c r="M3069" t="s">
        <v>61</v>
      </c>
      <c r="N3069" t="s">
        <v>2580</v>
      </c>
      <c r="O3069" t="s">
        <v>118</v>
      </c>
      <c r="P3069" t="s">
        <v>48</v>
      </c>
      <c r="Q3069" t="s">
        <v>142</v>
      </c>
      <c r="R3069">
        <v>2</v>
      </c>
      <c r="S3069">
        <v>3999</v>
      </c>
      <c r="T3069">
        <v>0</v>
      </c>
      <c r="U3069">
        <v>7998</v>
      </c>
      <c r="V3069">
        <v>4800</v>
      </c>
      <c r="W3069">
        <v>3198</v>
      </c>
      <c r="X3069" t="s">
        <v>74</v>
      </c>
      <c r="Y3069" t="s">
        <v>68</v>
      </c>
      <c r="Z3069" t="s">
        <v>162</v>
      </c>
      <c r="AA3069" t="s">
        <v>167</v>
      </c>
      <c r="AB3069">
        <v>4.5</v>
      </c>
      <c r="AC3069">
        <v>100</v>
      </c>
      <c r="AD3069">
        <v>759.69</v>
      </c>
      <c r="AE3069">
        <f t="shared" si="94"/>
        <v>2338.31</v>
      </c>
      <c r="AF3069" t="str">
        <f t="shared" si="95"/>
        <v>2026-01</v>
      </c>
      <c r="AG3069">
        <f>SUBTOTAL(103,A3069)</f>
        <v>1</v>
      </c>
    </row>
    <row r="3070" spans="1:33" x14ac:dyDescent="0.3">
      <c r="A3070" t="s">
        <v>5693</v>
      </c>
      <c r="B3070" s="13">
        <v>46051</v>
      </c>
      <c r="C3070">
        <v>2026</v>
      </c>
      <c r="D3070">
        <v>1</v>
      </c>
      <c r="E3070" t="s">
        <v>2571</v>
      </c>
      <c r="F3070" t="s">
        <v>2572</v>
      </c>
      <c r="G3070" t="s">
        <v>375</v>
      </c>
      <c r="H3070" t="s">
        <v>376</v>
      </c>
      <c r="I3070" t="s">
        <v>85</v>
      </c>
      <c r="J3070">
        <v>37</v>
      </c>
      <c r="K3070" t="s">
        <v>82</v>
      </c>
      <c r="L3070" t="s">
        <v>2576</v>
      </c>
      <c r="M3070" t="s">
        <v>60</v>
      </c>
      <c r="N3070" t="s">
        <v>2644</v>
      </c>
      <c r="O3070" t="s">
        <v>126</v>
      </c>
      <c r="P3070" t="s">
        <v>50</v>
      </c>
      <c r="Q3070" t="s">
        <v>145</v>
      </c>
      <c r="R3070">
        <v>2</v>
      </c>
      <c r="S3070">
        <v>1799</v>
      </c>
      <c r="T3070">
        <v>0.1</v>
      </c>
      <c r="U3070">
        <v>3238.2</v>
      </c>
      <c r="V3070">
        <v>1900</v>
      </c>
      <c r="W3070">
        <v>1338.2</v>
      </c>
      <c r="X3070" t="s">
        <v>73</v>
      </c>
      <c r="Y3070" t="s">
        <v>68</v>
      </c>
      <c r="Z3070" t="s">
        <v>158</v>
      </c>
      <c r="AA3070" t="s">
        <v>170</v>
      </c>
      <c r="AB3070">
        <v>3.3</v>
      </c>
      <c r="AC3070">
        <v>100</v>
      </c>
      <c r="AD3070">
        <v>316.52</v>
      </c>
      <c r="AE3070">
        <f t="shared" si="94"/>
        <v>921.68000000000006</v>
      </c>
      <c r="AF3070" t="str">
        <f t="shared" si="95"/>
        <v>2026-01</v>
      </c>
      <c r="AG3070">
        <f>SUBTOTAL(103,A3070)</f>
        <v>1</v>
      </c>
    </row>
    <row r="3071" spans="1:33" x14ac:dyDescent="0.3">
      <c r="A3071" t="s">
        <v>5694</v>
      </c>
      <c r="B3071" s="13">
        <v>46052</v>
      </c>
      <c r="C3071">
        <v>2026</v>
      </c>
      <c r="D3071">
        <v>1</v>
      </c>
      <c r="E3071" t="s">
        <v>2571</v>
      </c>
      <c r="F3071" t="s">
        <v>2572</v>
      </c>
      <c r="G3071" t="s">
        <v>681</v>
      </c>
      <c r="H3071" t="s">
        <v>682</v>
      </c>
      <c r="I3071" t="s">
        <v>86</v>
      </c>
      <c r="J3071">
        <v>30</v>
      </c>
      <c r="K3071" t="s">
        <v>81</v>
      </c>
      <c r="L3071" t="s">
        <v>2589</v>
      </c>
      <c r="M3071" t="s">
        <v>61</v>
      </c>
      <c r="N3071" t="s">
        <v>2606</v>
      </c>
      <c r="O3071" t="s">
        <v>120</v>
      </c>
      <c r="P3071" t="s">
        <v>49</v>
      </c>
      <c r="Q3071" t="s">
        <v>140</v>
      </c>
      <c r="R3071">
        <v>2</v>
      </c>
      <c r="S3071">
        <v>2799</v>
      </c>
      <c r="T3071">
        <v>0</v>
      </c>
      <c r="U3071">
        <v>5598</v>
      </c>
      <c r="V3071">
        <v>3300</v>
      </c>
      <c r="W3071">
        <v>2298</v>
      </c>
      <c r="X3071" t="s">
        <v>73</v>
      </c>
      <c r="Y3071" t="s">
        <v>68</v>
      </c>
      <c r="Z3071" t="s">
        <v>161</v>
      </c>
      <c r="AA3071" t="s">
        <v>167</v>
      </c>
      <c r="AB3071">
        <v>4.4000000000000004</v>
      </c>
      <c r="AC3071">
        <v>80</v>
      </c>
      <c r="AD3071">
        <v>220.8</v>
      </c>
      <c r="AE3071">
        <f t="shared" si="94"/>
        <v>1997.2</v>
      </c>
      <c r="AF3071" t="str">
        <f t="shared" si="95"/>
        <v>2026-01</v>
      </c>
      <c r="AG3071">
        <f>SUBTOTAL(103,A3071)</f>
        <v>1</v>
      </c>
    </row>
    <row r="3072" spans="1:33" x14ac:dyDescent="0.3">
      <c r="A3072" t="s">
        <v>5695</v>
      </c>
      <c r="B3072" s="13">
        <v>46052</v>
      </c>
      <c r="C3072">
        <v>2026</v>
      </c>
      <c r="D3072">
        <v>1</v>
      </c>
      <c r="E3072" t="s">
        <v>2571</v>
      </c>
      <c r="F3072" t="s">
        <v>2572</v>
      </c>
      <c r="G3072" t="s">
        <v>2221</v>
      </c>
      <c r="H3072" t="s">
        <v>2222</v>
      </c>
      <c r="I3072" t="s">
        <v>85</v>
      </c>
      <c r="J3072">
        <v>52</v>
      </c>
      <c r="K3072" t="s">
        <v>83</v>
      </c>
      <c r="L3072" t="s">
        <v>2579</v>
      </c>
      <c r="M3072" t="s">
        <v>56</v>
      </c>
      <c r="N3072" t="s">
        <v>2665</v>
      </c>
      <c r="O3072" t="s">
        <v>128</v>
      </c>
      <c r="P3072" t="s">
        <v>53</v>
      </c>
      <c r="Q3072" t="s">
        <v>143</v>
      </c>
      <c r="R3072">
        <v>1</v>
      </c>
      <c r="S3072">
        <v>1499</v>
      </c>
      <c r="T3072">
        <v>0</v>
      </c>
      <c r="U3072">
        <v>1499</v>
      </c>
      <c r="V3072">
        <v>800</v>
      </c>
      <c r="W3072">
        <v>699</v>
      </c>
      <c r="X3072" t="s">
        <v>76</v>
      </c>
      <c r="Y3072" t="s">
        <v>68</v>
      </c>
      <c r="Z3072" t="s">
        <v>159</v>
      </c>
      <c r="AA3072" t="s">
        <v>171</v>
      </c>
      <c r="AB3072">
        <v>3.9</v>
      </c>
      <c r="AC3072">
        <v>50</v>
      </c>
      <c r="AD3072">
        <v>72.849999999999994</v>
      </c>
      <c r="AE3072">
        <f t="shared" si="94"/>
        <v>576.15</v>
      </c>
      <c r="AF3072" t="str">
        <f t="shared" si="95"/>
        <v>2026-01</v>
      </c>
      <c r="AG3072">
        <f>SUBTOTAL(103,A3072)</f>
        <v>1</v>
      </c>
    </row>
    <row r="3073" spans="1:33" x14ac:dyDescent="0.3">
      <c r="A3073" t="s">
        <v>5696</v>
      </c>
      <c r="B3073" s="13">
        <v>46052</v>
      </c>
      <c r="C3073">
        <v>2026</v>
      </c>
      <c r="D3073">
        <v>1</v>
      </c>
      <c r="E3073" t="s">
        <v>2571</v>
      </c>
      <c r="F3073" t="s">
        <v>2572</v>
      </c>
      <c r="G3073" t="s">
        <v>1587</v>
      </c>
      <c r="H3073" t="s">
        <v>1588</v>
      </c>
      <c r="I3073" t="s">
        <v>86</v>
      </c>
      <c r="J3073">
        <v>49</v>
      </c>
      <c r="K3073" t="s">
        <v>83</v>
      </c>
      <c r="L3073" t="s">
        <v>2623</v>
      </c>
      <c r="M3073" t="s">
        <v>61</v>
      </c>
      <c r="N3073" t="s">
        <v>2606</v>
      </c>
      <c r="O3073" t="s">
        <v>120</v>
      </c>
      <c r="P3073" t="s">
        <v>49</v>
      </c>
      <c r="Q3073" t="s">
        <v>140</v>
      </c>
      <c r="R3073">
        <v>1</v>
      </c>
      <c r="S3073">
        <v>2799</v>
      </c>
      <c r="T3073">
        <v>0.05</v>
      </c>
      <c r="U3073">
        <v>2659.05</v>
      </c>
      <c r="V3073">
        <v>1650</v>
      </c>
      <c r="W3073">
        <v>1009.05</v>
      </c>
      <c r="X3073" t="s">
        <v>73</v>
      </c>
      <c r="Y3073" t="s">
        <v>68</v>
      </c>
      <c r="Z3073" t="s">
        <v>159</v>
      </c>
      <c r="AA3073" t="s">
        <v>168</v>
      </c>
      <c r="AB3073">
        <v>5</v>
      </c>
      <c r="AC3073">
        <v>80</v>
      </c>
      <c r="AD3073">
        <v>118.94</v>
      </c>
      <c r="AE3073">
        <f t="shared" si="94"/>
        <v>810.1099999999999</v>
      </c>
      <c r="AF3073" t="str">
        <f t="shared" si="95"/>
        <v>2026-01</v>
      </c>
      <c r="AG3073">
        <f>SUBTOTAL(103,A3073)</f>
        <v>1</v>
      </c>
    </row>
    <row r="3074" spans="1:33" x14ac:dyDescent="0.3">
      <c r="A3074" t="s">
        <v>5697</v>
      </c>
      <c r="B3074" s="13">
        <v>46052</v>
      </c>
      <c r="C3074">
        <v>2026</v>
      </c>
      <c r="D3074">
        <v>1</v>
      </c>
      <c r="E3074" t="s">
        <v>2571</v>
      </c>
      <c r="F3074" t="s">
        <v>2572</v>
      </c>
      <c r="G3074" t="s">
        <v>353</v>
      </c>
      <c r="H3074" t="s">
        <v>354</v>
      </c>
      <c r="I3074" t="s">
        <v>86</v>
      </c>
      <c r="J3074">
        <v>41</v>
      </c>
      <c r="K3074" t="s">
        <v>82</v>
      </c>
      <c r="L3074" t="s">
        <v>100</v>
      </c>
      <c r="M3074" t="s">
        <v>56</v>
      </c>
      <c r="N3074" t="s">
        <v>2584</v>
      </c>
      <c r="O3074" t="s">
        <v>121</v>
      </c>
      <c r="P3074" t="s">
        <v>50</v>
      </c>
      <c r="Q3074" t="s">
        <v>144</v>
      </c>
      <c r="R3074">
        <v>3</v>
      </c>
      <c r="S3074">
        <v>2999</v>
      </c>
      <c r="T3074">
        <v>0.2</v>
      </c>
      <c r="U3074">
        <v>7197.6</v>
      </c>
      <c r="V3074">
        <v>5100</v>
      </c>
      <c r="W3074">
        <v>2097.6</v>
      </c>
      <c r="X3074" t="s">
        <v>76</v>
      </c>
      <c r="Y3074" t="s">
        <v>68</v>
      </c>
      <c r="Z3074" t="s">
        <v>162</v>
      </c>
      <c r="AA3074" t="s">
        <v>168</v>
      </c>
      <c r="AB3074">
        <v>3.9</v>
      </c>
      <c r="AC3074">
        <v>40</v>
      </c>
      <c r="AD3074">
        <v>340.45</v>
      </c>
      <c r="AE3074">
        <f t="shared" ref="AE3074:AE3137" si="96">W3074-AC3074-AD3074</f>
        <v>1717.1499999999999</v>
      </c>
      <c r="AF3074" t="str">
        <f t="shared" ref="AF3074:AF3137" si="97">C3074&amp;"-"&amp;TEXT(D3074,"00")</f>
        <v>2026-01</v>
      </c>
      <c r="AG3074">
        <f>SUBTOTAL(103,A3074)</f>
        <v>1</v>
      </c>
    </row>
    <row r="3075" spans="1:33" x14ac:dyDescent="0.3">
      <c r="A3075" t="s">
        <v>5698</v>
      </c>
      <c r="B3075" s="13">
        <v>46052</v>
      </c>
      <c r="C3075">
        <v>2026</v>
      </c>
      <c r="D3075">
        <v>1</v>
      </c>
      <c r="E3075" t="s">
        <v>2571</v>
      </c>
      <c r="F3075" t="s">
        <v>2572</v>
      </c>
      <c r="G3075" t="s">
        <v>2243</v>
      </c>
      <c r="H3075" t="s">
        <v>2244</v>
      </c>
      <c r="I3075" t="s">
        <v>85</v>
      </c>
      <c r="J3075">
        <v>51</v>
      </c>
      <c r="K3075" t="s">
        <v>83</v>
      </c>
      <c r="L3075" t="s">
        <v>93</v>
      </c>
      <c r="M3075" t="s">
        <v>55</v>
      </c>
      <c r="N3075" t="s">
        <v>2647</v>
      </c>
      <c r="O3075" t="s">
        <v>133</v>
      </c>
      <c r="P3075" t="s">
        <v>50</v>
      </c>
      <c r="Q3075" t="s">
        <v>145</v>
      </c>
      <c r="R3075">
        <v>2</v>
      </c>
      <c r="S3075">
        <v>799</v>
      </c>
      <c r="T3075">
        <v>0.15</v>
      </c>
      <c r="U3075">
        <v>1358.3</v>
      </c>
      <c r="V3075">
        <v>780</v>
      </c>
      <c r="W3075">
        <v>578.29999999999995</v>
      </c>
      <c r="X3075" t="s">
        <v>77</v>
      </c>
      <c r="Y3075" t="s">
        <v>68</v>
      </c>
      <c r="Z3075" t="s">
        <v>163</v>
      </c>
      <c r="AA3075" t="s">
        <v>169</v>
      </c>
      <c r="AB3075">
        <v>4.0999999999999996</v>
      </c>
      <c r="AC3075">
        <v>60</v>
      </c>
      <c r="AD3075">
        <v>142.54</v>
      </c>
      <c r="AE3075">
        <f t="shared" si="96"/>
        <v>375.76</v>
      </c>
      <c r="AF3075" t="str">
        <f t="shared" si="97"/>
        <v>2026-01</v>
      </c>
      <c r="AG3075">
        <f>SUBTOTAL(103,A3075)</f>
        <v>1</v>
      </c>
    </row>
    <row r="3076" spans="1:33" x14ac:dyDescent="0.3">
      <c r="A3076" t="s">
        <v>5699</v>
      </c>
      <c r="B3076" s="13">
        <v>46053</v>
      </c>
      <c r="C3076">
        <v>2026</v>
      </c>
      <c r="D3076">
        <v>1</v>
      </c>
      <c r="E3076" t="s">
        <v>2571</v>
      </c>
      <c r="F3076" t="s">
        <v>2572</v>
      </c>
      <c r="G3076" t="s">
        <v>1631</v>
      </c>
      <c r="H3076" t="s">
        <v>1632</v>
      </c>
      <c r="I3076" t="s">
        <v>85</v>
      </c>
      <c r="J3076">
        <v>49</v>
      </c>
      <c r="K3076" t="s">
        <v>83</v>
      </c>
      <c r="L3076" t="s">
        <v>2612</v>
      </c>
      <c r="M3076" t="s">
        <v>64</v>
      </c>
      <c r="N3076" t="s">
        <v>2574</v>
      </c>
      <c r="O3076" t="s">
        <v>130</v>
      </c>
      <c r="P3076" t="s">
        <v>50</v>
      </c>
      <c r="Q3076" t="s">
        <v>53</v>
      </c>
      <c r="R3076">
        <v>3</v>
      </c>
      <c r="S3076">
        <v>1199</v>
      </c>
      <c r="T3076">
        <v>0.2</v>
      </c>
      <c r="U3076">
        <v>2877.6</v>
      </c>
      <c r="V3076">
        <v>1650</v>
      </c>
      <c r="W3076">
        <v>1227.5999999999999</v>
      </c>
      <c r="X3076" t="s">
        <v>75</v>
      </c>
      <c r="Y3076" t="s">
        <v>68</v>
      </c>
      <c r="Z3076" t="s">
        <v>159</v>
      </c>
      <c r="AA3076" t="s">
        <v>167</v>
      </c>
      <c r="AB3076">
        <v>5</v>
      </c>
      <c r="AC3076">
        <v>100</v>
      </c>
      <c r="AD3076">
        <v>73.53</v>
      </c>
      <c r="AE3076">
        <f t="shared" si="96"/>
        <v>1054.07</v>
      </c>
      <c r="AF3076" t="str">
        <f t="shared" si="97"/>
        <v>2026-01</v>
      </c>
      <c r="AG3076">
        <f>SUBTOTAL(103,A3076)</f>
        <v>1</v>
      </c>
    </row>
    <row r="3077" spans="1:33" x14ac:dyDescent="0.3">
      <c r="A3077" t="s">
        <v>5700</v>
      </c>
      <c r="B3077" s="13">
        <v>46053</v>
      </c>
      <c r="C3077">
        <v>2026</v>
      </c>
      <c r="D3077">
        <v>1</v>
      </c>
      <c r="E3077" t="s">
        <v>2571</v>
      </c>
      <c r="F3077" t="s">
        <v>2572</v>
      </c>
      <c r="G3077" t="s">
        <v>2409</v>
      </c>
      <c r="H3077" t="s">
        <v>2410</v>
      </c>
      <c r="I3077" t="s">
        <v>86</v>
      </c>
      <c r="J3077">
        <v>37</v>
      </c>
      <c r="K3077" t="s">
        <v>82</v>
      </c>
      <c r="L3077" t="s">
        <v>2616</v>
      </c>
      <c r="M3077" t="s">
        <v>62</v>
      </c>
      <c r="N3077" t="s">
        <v>2574</v>
      </c>
      <c r="O3077" t="s">
        <v>130</v>
      </c>
      <c r="P3077" t="s">
        <v>50</v>
      </c>
      <c r="Q3077" t="s">
        <v>53</v>
      </c>
      <c r="R3077">
        <v>2</v>
      </c>
      <c r="S3077">
        <v>1199</v>
      </c>
      <c r="T3077">
        <v>0</v>
      </c>
      <c r="U3077">
        <v>2398</v>
      </c>
      <c r="V3077">
        <v>1100</v>
      </c>
      <c r="W3077">
        <v>1298</v>
      </c>
      <c r="X3077" t="s">
        <v>75</v>
      </c>
      <c r="Y3077" t="s">
        <v>70</v>
      </c>
      <c r="Z3077" t="s">
        <v>158</v>
      </c>
      <c r="AA3077" t="s">
        <v>166</v>
      </c>
      <c r="AB3077">
        <v>5</v>
      </c>
      <c r="AC3077">
        <v>40</v>
      </c>
      <c r="AD3077">
        <v>275.52</v>
      </c>
      <c r="AE3077">
        <f t="shared" si="96"/>
        <v>982.48</v>
      </c>
      <c r="AF3077" t="str">
        <f t="shared" si="97"/>
        <v>2026-01</v>
      </c>
      <c r="AG3077">
        <f>SUBTOTAL(103,A3077)</f>
        <v>1</v>
      </c>
    </row>
    <row r="3078" spans="1:33" x14ac:dyDescent="0.3">
      <c r="A3078" t="s">
        <v>5701</v>
      </c>
      <c r="B3078" s="13">
        <v>46053</v>
      </c>
      <c r="C3078">
        <v>2026</v>
      </c>
      <c r="D3078">
        <v>1</v>
      </c>
      <c r="E3078" t="s">
        <v>2571</v>
      </c>
      <c r="F3078" t="s">
        <v>2572</v>
      </c>
      <c r="G3078" t="s">
        <v>1579</v>
      </c>
      <c r="H3078" t="s">
        <v>1580</v>
      </c>
      <c r="I3078" t="s">
        <v>86</v>
      </c>
      <c r="J3078">
        <v>50</v>
      </c>
      <c r="K3078" t="s">
        <v>83</v>
      </c>
      <c r="L3078" t="s">
        <v>97</v>
      </c>
      <c r="M3078" t="s">
        <v>57</v>
      </c>
      <c r="N3078" t="s">
        <v>2606</v>
      </c>
      <c r="O3078" t="s">
        <v>120</v>
      </c>
      <c r="P3078" t="s">
        <v>49</v>
      </c>
      <c r="Q3078" t="s">
        <v>140</v>
      </c>
      <c r="R3078">
        <v>3</v>
      </c>
      <c r="S3078">
        <v>2799</v>
      </c>
      <c r="T3078">
        <v>0.15</v>
      </c>
      <c r="U3078">
        <v>7137.45</v>
      </c>
      <c r="V3078">
        <v>4950</v>
      </c>
      <c r="W3078">
        <v>2187.4499999999998</v>
      </c>
      <c r="X3078" t="s">
        <v>75</v>
      </c>
      <c r="Y3078" t="s">
        <v>68</v>
      </c>
      <c r="Z3078" t="s">
        <v>159</v>
      </c>
      <c r="AA3078" t="s">
        <v>170</v>
      </c>
      <c r="AB3078">
        <v>3.6</v>
      </c>
      <c r="AC3078">
        <v>50</v>
      </c>
      <c r="AD3078">
        <v>805.17</v>
      </c>
      <c r="AE3078">
        <f t="shared" si="96"/>
        <v>1332.2799999999997</v>
      </c>
      <c r="AF3078" t="str">
        <f t="shared" si="97"/>
        <v>2026-01</v>
      </c>
      <c r="AG3078">
        <f>SUBTOTAL(103,A3078)</f>
        <v>1</v>
      </c>
    </row>
    <row r="3079" spans="1:33" x14ac:dyDescent="0.3">
      <c r="A3079" t="s">
        <v>5702</v>
      </c>
      <c r="B3079" s="13">
        <v>46053</v>
      </c>
      <c r="C3079">
        <v>2026</v>
      </c>
      <c r="D3079">
        <v>1</v>
      </c>
      <c r="E3079" t="s">
        <v>2571</v>
      </c>
      <c r="F3079" t="s">
        <v>2572</v>
      </c>
      <c r="G3079" t="s">
        <v>2017</v>
      </c>
      <c r="H3079" t="s">
        <v>2018</v>
      </c>
      <c r="I3079" t="s">
        <v>86</v>
      </c>
      <c r="J3079">
        <v>23</v>
      </c>
      <c r="K3079" t="s">
        <v>80</v>
      </c>
      <c r="L3079" t="s">
        <v>2637</v>
      </c>
      <c r="M3079" t="s">
        <v>64</v>
      </c>
      <c r="N3079" t="s">
        <v>2577</v>
      </c>
      <c r="O3079" t="s">
        <v>129</v>
      </c>
      <c r="P3079" t="s">
        <v>49</v>
      </c>
      <c r="Q3079" t="s">
        <v>149</v>
      </c>
      <c r="R3079">
        <v>2</v>
      </c>
      <c r="S3079">
        <v>1299</v>
      </c>
      <c r="T3079">
        <v>0.15</v>
      </c>
      <c r="U3079">
        <v>2208.3000000000002</v>
      </c>
      <c r="V3079">
        <v>1300</v>
      </c>
      <c r="W3079">
        <v>908.3</v>
      </c>
      <c r="X3079" t="s">
        <v>74</v>
      </c>
      <c r="Y3079" t="s">
        <v>69</v>
      </c>
      <c r="Z3079" t="s">
        <v>163</v>
      </c>
      <c r="AA3079" t="s">
        <v>166</v>
      </c>
      <c r="AB3079">
        <v>4.8</v>
      </c>
      <c r="AC3079">
        <v>60</v>
      </c>
      <c r="AD3079">
        <v>52.44</v>
      </c>
      <c r="AE3079">
        <f t="shared" si="96"/>
        <v>795.8599999999999</v>
      </c>
      <c r="AF3079" t="str">
        <f t="shared" si="97"/>
        <v>2026-01</v>
      </c>
      <c r="AG3079">
        <f>SUBTOTAL(103,A3079)</f>
        <v>1</v>
      </c>
    </row>
    <row r="3080" spans="1:33" x14ac:dyDescent="0.3">
      <c r="A3080" t="s">
        <v>5703</v>
      </c>
      <c r="B3080" s="13">
        <v>46053</v>
      </c>
      <c r="C3080">
        <v>2026</v>
      </c>
      <c r="D3080">
        <v>1</v>
      </c>
      <c r="E3080" t="s">
        <v>2571</v>
      </c>
      <c r="F3080" t="s">
        <v>2572</v>
      </c>
      <c r="G3080" t="s">
        <v>1233</v>
      </c>
      <c r="H3080" t="s">
        <v>1234</v>
      </c>
      <c r="I3080" t="s">
        <v>85</v>
      </c>
      <c r="J3080">
        <v>34</v>
      </c>
      <c r="K3080" t="s">
        <v>81</v>
      </c>
      <c r="L3080" t="s">
        <v>99</v>
      </c>
      <c r="M3080" t="s">
        <v>58</v>
      </c>
      <c r="N3080" t="s">
        <v>2626</v>
      </c>
      <c r="O3080" t="s">
        <v>125</v>
      </c>
      <c r="P3080" t="s">
        <v>48</v>
      </c>
      <c r="Q3080" t="s">
        <v>141</v>
      </c>
      <c r="R3080">
        <v>3</v>
      </c>
      <c r="S3080">
        <v>1999</v>
      </c>
      <c r="T3080">
        <v>0.05</v>
      </c>
      <c r="U3080">
        <v>5697.15</v>
      </c>
      <c r="V3080">
        <v>3450</v>
      </c>
      <c r="W3080">
        <v>2247.15</v>
      </c>
      <c r="X3080" t="s">
        <v>74</v>
      </c>
      <c r="Y3080" t="s">
        <v>68</v>
      </c>
      <c r="Z3080" t="s">
        <v>160</v>
      </c>
      <c r="AA3080" t="s">
        <v>167</v>
      </c>
      <c r="AB3080">
        <v>4.0999999999999996</v>
      </c>
      <c r="AC3080">
        <v>40</v>
      </c>
      <c r="AD3080">
        <v>397.39</v>
      </c>
      <c r="AE3080">
        <f t="shared" si="96"/>
        <v>1809.7600000000002</v>
      </c>
      <c r="AF3080" t="str">
        <f t="shared" si="97"/>
        <v>2026-01</v>
      </c>
      <c r="AG3080">
        <f>SUBTOTAL(103,A3080)</f>
        <v>1</v>
      </c>
    </row>
    <row r="3081" spans="1:33" x14ac:dyDescent="0.3">
      <c r="A3081" t="s">
        <v>5704</v>
      </c>
      <c r="B3081" s="13">
        <v>46053</v>
      </c>
      <c r="C3081">
        <v>2026</v>
      </c>
      <c r="D3081">
        <v>1</v>
      </c>
      <c r="E3081" t="s">
        <v>2571</v>
      </c>
      <c r="F3081" t="s">
        <v>2572</v>
      </c>
      <c r="G3081" t="s">
        <v>599</v>
      </c>
      <c r="H3081" t="s">
        <v>600</v>
      </c>
      <c r="I3081" t="s">
        <v>86</v>
      </c>
      <c r="J3081">
        <v>20</v>
      </c>
      <c r="K3081" t="s">
        <v>80</v>
      </c>
      <c r="L3081" t="s">
        <v>2674</v>
      </c>
      <c r="M3081" t="s">
        <v>58</v>
      </c>
      <c r="N3081" t="s">
        <v>2587</v>
      </c>
      <c r="O3081" t="s">
        <v>116</v>
      </c>
      <c r="P3081" t="s">
        <v>48</v>
      </c>
      <c r="Q3081" t="s">
        <v>138</v>
      </c>
      <c r="R3081">
        <v>1</v>
      </c>
      <c r="S3081">
        <v>14999</v>
      </c>
      <c r="T3081">
        <v>0.15</v>
      </c>
      <c r="U3081">
        <v>12749.15</v>
      </c>
      <c r="V3081">
        <v>11200</v>
      </c>
      <c r="W3081">
        <v>1549.15</v>
      </c>
      <c r="X3081" t="s">
        <v>77</v>
      </c>
      <c r="Y3081" t="s">
        <v>68</v>
      </c>
      <c r="Z3081" t="s">
        <v>161</v>
      </c>
      <c r="AA3081" t="s">
        <v>166</v>
      </c>
      <c r="AB3081">
        <v>5</v>
      </c>
      <c r="AC3081">
        <v>80</v>
      </c>
      <c r="AD3081">
        <v>1389.74</v>
      </c>
      <c r="AE3081">
        <f t="shared" si="96"/>
        <v>79.410000000000082</v>
      </c>
      <c r="AF3081" t="str">
        <f t="shared" si="97"/>
        <v>2026-01</v>
      </c>
      <c r="AG3081">
        <f>SUBTOTAL(103,A3081)</f>
        <v>1</v>
      </c>
    </row>
    <row r="3082" spans="1:33" x14ac:dyDescent="0.3">
      <c r="A3082" t="s">
        <v>5705</v>
      </c>
      <c r="B3082" s="13">
        <v>46053</v>
      </c>
      <c r="C3082">
        <v>2026</v>
      </c>
      <c r="D3082">
        <v>1</v>
      </c>
      <c r="E3082" t="s">
        <v>2571</v>
      </c>
      <c r="F3082" t="s">
        <v>2572</v>
      </c>
      <c r="G3082" t="s">
        <v>2041</v>
      </c>
      <c r="H3082" t="s">
        <v>2042</v>
      </c>
      <c r="I3082" t="s">
        <v>86</v>
      </c>
      <c r="J3082">
        <v>55</v>
      </c>
      <c r="K3082" t="s">
        <v>83</v>
      </c>
      <c r="L3082" t="s">
        <v>2687</v>
      </c>
      <c r="M3082" t="s">
        <v>57</v>
      </c>
      <c r="N3082" t="s">
        <v>2626</v>
      </c>
      <c r="O3082" t="s">
        <v>125</v>
      </c>
      <c r="P3082" t="s">
        <v>48</v>
      </c>
      <c r="Q3082" t="s">
        <v>141</v>
      </c>
      <c r="R3082">
        <v>5</v>
      </c>
      <c r="S3082">
        <v>1999</v>
      </c>
      <c r="T3082">
        <v>0.1</v>
      </c>
      <c r="U3082">
        <v>8995.5</v>
      </c>
      <c r="V3082">
        <v>5750</v>
      </c>
      <c r="W3082">
        <v>3245.5</v>
      </c>
      <c r="X3082" t="s">
        <v>74</v>
      </c>
      <c r="Y3082" t="s">
        <v>68</v>
      </c>
      <c r="Z3082" t="s">
        <v>163</v>
      </c>
      <c r="AA3082" t="s">
        <v>169</v>
      </c>
      <c r="AB3082">
        <v>3.4</v>
      </c>
      <c r="AC3082">
        <v>80</v>
      </c>
      <c r="AD3082">
        <v>703.85</v>
      </c>
      <c r="AE3082">
        <f t="shared" si="96"/>
        <v>2461.65</v>
      </c>
      <c r="AF3082" t="str">
        <f t="shared" si="97"/>
        <v>2026-01</v>
      </c>
      <c r="AG3082">
        <f>SUBTOTAL(103,A3082)</f>
        <v>1</v>
      </c>
    </row>
    <row r="3083" spans="1:33" x14ac:dyDescent="0.3">
      <c r="A3083" t="s">
        <v>5706</v>
      </c>
      <c r="B3083" s="13">
        <v>46053</v>
      </c>
      <c r="C3083">
        <v>2026</v>
      </c>
      <c r="D3083">
        <v>1</v>
      </c>
      <c r="E3083" t="s">
        <v>2571</v>
      </c>
      <c r="F3083" t="s">
        <v>2572</v>
      </c>
      <c r="G3083" t="s">
        <v>1191</v>
      </c>
      <c r="H3083" t="s">
        <v>1192</v>
      </c>
      <c r="I3083" t="s">
        <v>86</v>
      </c>
      <c r="J3083">
        <v>32</v>
      </c>
      <c r="K3083" t="s">
        <v>81</v>
      </c>
      <c r="L3083" t="s">
        <v>2576</v>
      </c>
      <c r="M3083" t="s">
        <v>60</v>
      </c>
      <c r="N3083" t="s">
        <v>2653</v>
      </c>
      <c r="O3083" t="s">
        <v>132</v>
      </c>
      <c r="P3083" t="s">
        <v>52</v>
      </c>
      <c r="Q3083" t="s">
        <v>150</v>
      </c>
      <c r="R3083">
        <v>2</v>
      </c>
      <c r="S3083">
        <v>899</v>
      </c>
      <c r="T3083">
        <v>0.15</v>
      </c>
      <c r="U3083">
        <v>1528.3</v>
      </c>
      <c r="V3083">
        <v>840</v>
      </c>
      <c r="W3083">
        <v>688.3</v>
      </c>
      <c r="X3083" t="s">
        <v>74</v>
      </c>
      <c r="Y3083" t="s">
        <v>68</v>
      </c>
      <c r="Z3083" t="s">
        <v>161</v>
      </c>
      <c r="AA3083" t="s">
        <v>166</v>
      </c>
      <c r="AB3083">
        <v>5</v>
      </c>
      <c r="AC3083">
        <v>120</v>
      </c>
      <c r="AD3083">
        <v>73.09</v>
      </c>
      <c r="AE3083">
        <f t="shared" si="96"/>
        <v>495.20999999999992</v>
      </c>
      <c r="AF3083" t="str">
        <f t="shared" si="97"/>
        <v>2026-01</v>
      </c>
      <c r="AG3083">
        <f>SUBTOTAL(103,A3083)</f>
        <v>1</v>
      </c>
    </row>
    <row r="3084" spans="1:33" x14ac:dyDescent="0.3">
      <c r="A3084" t="s">
        <v>5707</v>
      </c>
      <c r="B3084" s="13">
        <v>46053</v>
      </c>
      <c r="C3084">
        <v>2026</v>
      </c>
      <c r="D3084">
        <v>1</v>
      </c>
      <c r="E3084" t="s">
        <v>2571</v>
      </c>
      <c r="F3084" t="s">
        <v>2572</v>
      </c>
      <c r="G3084" t="s">
        <v>1197</v>
      </c>
      <c r="H3084" t="s">
        <v>1198</v>
      </c>
      <c r="I3084" t="s">
        <v>86</v>
      </c>
      <c r="J3084">
        <v>45</v>
      </c>
      <c r="K3084" t="s">
        <v>82</v>
      </c>
      <c r="L3084" t="s">
        <v>93</v>
      </c>
      <c r="M3084" t="s">
        <v>55</v>
      </c>
      <c r="N3084" t="s">
        <v>2601</v>
      </c>
      <c r="O3084" t="s">
        <v>117</v>
      </c>
      <c r="P3084" t="s">
        <v>49</v>
      </c>
      <c r="Q3084" t="s">
        <v>139</v>
      </c>
      <c r="R3084">
        <v>1</v>
      </c>
      <c r="S3084">
        <v>6999</v>
      </c>
      <c r="T3084">
        <v>0.05</v>
      </c>
      <c r="U3084">
        <v>6649.05</v>
      </c>
      <c r="V3084">
        <v>4300</v>
      </c>
      <c r="W3084">
        <v>2349.0500000000002</v>
      </c>
      <c r="X3084" t="s">
        <v>73</v>
      </c>
      <c r="Y3084" t="s">
        <v>68</v>
      </c>
      <c r="Z3084" t="s">
        <v>161</v>
      </c>
      <c r="AA3084" t="s">
        <v>169</v>
      </c>
      <c r="AB3084">
        <v>4.5</v>
      </c>
      <c r="AC3084">
        <v>60</v>
      </c>
      <c r="AD3084">
        <v>335.6</v>
      </c>
      <c r="AE3084">
        <f t="shared" si="96"/>
        <v>1953.4500000000003</v>
      </c>
      <c r="AF3084" t="str">
        <f t="shared" si="97"/>
        <v>2026-01</v>
      </c>
      <c r="AG3084">
        <f>SUBTOTAL(103,A3084)</f>
        <v>1</v>
      </c>
    </row>
    <row r="3085" spans="1:33" x14ac:dyDescent="0.3">
      <c r="A3085" t="s">
        <v>5708</v>
      </c>
      <c r="B3085" s="13">
        <v>46053</v>
      </c>
      <c r="C3085">
        <v>2026</v>
      </c>
      <c r="D3085">
        <v>1</v>
      </c>
      <c r="E3085" t="s">
        <v>2571</v>
      </c>
      <c r="F3085" t="s">
        <v>2572</v>
      </c>
      <c r="G3085" t="s">
        <v>943</v>
      </c>
      <c r="H3085" t="s">
        <v>944</v>
      </c>
      <c r="I3085" t="s">
        <v>85</v>
      </c>
      <c r="J3085">
        <v>29</v>
      </c>
      <c r="K3085" t="s">
        <v>81</v>
      </c>
      <c r="L3085" t="s">
        <v>2661</v>
      </c>
      <c r="M3085" t="s">
        <v>58</v>
      </c>
      <c r="N3085" t="s">
        <v>2630</v>
      </c>
      <c r="O3085" t="s">
        <v>123</v>
      </c>
      <c r="P3085" t="s">
        <v>52</v>
      </c>
      <c r="Q3085" t="s">
        <v>146</v>
      </c>
      <c r="R3085">
        <v>3</v>
      </c>
      <c r="S3085">
        <v>2499</v>
      </c>
      <c r="T3085">
        <v>0</v>
      </c>
      <c r="U3085">
        <v>7497</v>
      </c>
      <c r="V3085">
        <v>4200</v>
      </c>
      <c r="W3085">
        <v>3297</v>
      </c>
      <c r="X3085" t="s">
        <v>74</v>
      </c>
      <c r="Y3085" t="s">
        <v>68</v>
      </c>
      <c r="Z3085" t="s">
        <v>163</v>
      </c>
      <c r="AA3085" t="s">
        <v>171</v>
      </c>
      <c r="AB3085">
        <v>4</v>
      </c>
      <c r="AC3085">
        <v>50</v>
      </c>
      <c r="AD3085">
        <v>867.38</v>
      </c>
      <c r="AE3085">
        <f t="shared" si="96"/>
        <v>2379.62</v>
      </c>
      <c r="AF3085" t="str">
        <f t="shared" si="97"/>
        <v>2026-01</v>
      </c>
      <c r="AG3085">
        <f>SUBTOTAL(103,A3085)</f>
        <v>1</v>
      </c>
    </row>
    <row r="3086" spans="1:33" x14ac:dyDescent="0.3">
      <c r="A3086" t="s">
        <v>5709</v>
      </c>
      <c r="B3086" s="13">
        <v>46053</v>
      </c>
      <c r="C3086">
        <v>2026</v>
      </c>
      <c r="D3086">
        <v>1</v>
      </c>
      <c r="E3086" t="s">
        <v>2571</v>
      </c>
      <c r="F3086" t="s">
        <v>2572</v>
      </c>
      <c r="G3086" t="s">
        <v>417</v>
      </c>
      <c r="H3086" t="s">
        <v>418</v>
      </c>
      <c r="I3086" t="s">
        <v>85</v>
      </c>
      <c r="J3086">
        <v>47</v>
      </c>
      <c r="K3086" t="s">
        <v>83</v>
      </c>
      <c r="L3086" t="s">
        <v>59</v>
      </c>
      <c r="M3086" t="s">
        <v>59</v>
      </c>
      <c r="N3086" t="s">
        <v>2587</v>
      </c>
      <c r="O3086" t="s">
        <v>116</v>
      </c>
      <c r="P3086" t="s">
        <v>48</v>
      </c>
      <c r="Q3086" t="s">
        <v>138</v>
      </c>
      <c r="R3086">
        <v>1</v>
      </c>
      <c r="S3086">
        <v>14999</v>
      </c>
      <c r="T3086">
        <v>0</v>
      </c>
      <c r="U3086">
        <v>14999</v>
      </c>
      <c r="V3086">
        <v>11200</v>
      </c>
      <c r="W3086">
        <v>3799</v>
      </c>
      <c r="X3086" t="s">
        <v>74</v>
      </c>
      <c r="Y3086" t="s">
        <v>68</v>
      </c>
      <c r="Z3086" t="s">
        <v>159</v>
      </c>
      <c r="AA3086" t="s">
        <v>170</v>
      </c>
      <c r="AB3086">
        <v>4.5</v>
      </c>
      <c r="AC3086">
        <v>60</v>
      </c>
      <c r="AD3086">
        <v>330.3</v>
      </c>
      <c r="AE3086">
        <f t="shared" si="96"/>
        <v>3408.7</v>
      </c>
      <c r="AF3086" t="str">
        <f t="shared" si="97"/>
        <v>2026-01</v>
      </c>
      <c r="AG3086">
        <f>SUBTOTAL(103,A3086)</f>
        <v>1</v>
      </c>
    </row>
    <row r="3087" spans="1:33" x14ac:dyDescent="0.3">
      <c r="A3087" t="s">
        <v>5710</v>
      </c>
      <c r="B3087" s="13">
        <v>46053</v>
      </c>
      <c r="C3087">
        <v>2026</v>
      </c>
      <c r="D3087">
        <v>1</v>
      </c>
      <c r="E3087" t="s">
        <v>2571</v>
      </c>
      <c r="F3087" t="s">
        <v>2572</v>
      </c>
      <c r="G3087" t="s">
        <v>1555</v>
      </c>
      <c r="H3087" t="s">
        <v>1556</v>
      </c>
      <c r="I3087" t="s">
        <v>86</v>
      </c>
      <c r="J3087">
        <v>38</v>
      </c>
      <c r="K3087" t="s">
        <v>82</v>
      </c>
      <c r="L3087" t="s">
        <v>2646</v>
      </c>
      <c r="M3087" t="s">
        <v>63</v>
      </c>
      <c r="N3087" t="s">
        <v>2574</v>
      </c>
      <c r="O3087" t="s">
        <v>130</v>
      </c>
      <c r="P3087" t="s">
        <v>50</v>
      </c>
      <c r="Q3087" t="s">
        <v>53</v>
      </c>
      <c r="R3087">
        <v>2</v>
      </c>
      <c r="S3087">
        <v>1199</v>
      </c>
      <c r="T3087">
        <v>0</v>
      </c>
      <c r="U3087">
        <v>2398</v>
      </c>
      <c r="V3087">
        <v>1100</v>
      </c>
      <c r="W3087">
        <v>1298</v>
      </c>
      <c r="X3087" t="s">
        <v>73</v>
      </c>
      <c r="Y3087" t="s">
        <v>68</v>
      </c>
      <c r="Z3087" t="s">
        <v>158</v>
      </c>
      <c r="AA3087" t="s">
        <v>167</v>
      </c>
      <c r="AB3087">
        <v>3.5</v>
      </c>
      <c r="AC3087">
        <v>60</v>
      </c>
      <c r="AD3087">
        <v>240.63</v>
      </c>
      <c r="AE3087">
        <f t="shared" si="96"/>
        <v>997.37</v>
      </c>
      <c r="AF3087" t="str">
        <f t="shared" si="97"/>
        <v>2026-01</v>
      </c>
      <c r="AG3087">
        <f>SUBTOTAL(103,A3087)</f>
        <v>1</v>
      </c>
    </row>
    <row r="3088" spans="1:33" x14ac:dyDescent="0.3">
      <c r="A3088" t="s">
        <v>5711</v>
      </c>
      <c r="B3088" s="13">
        <v>46053</v>
      </c>
      <c r="C3088">
        <v>2026</v>
      </c>
      <c r="D3088">
        <v>1</v>
      </c>
      <c r="E3088" t="s">
        <v>2571</v>
      </c>
      <c r="F3088" t="s">
        <v>2572</v>
      </c>
      <c r="G3088" t="s">
        <v>797</v>
      </c>
      <c r="H3088" t="s">
        <v>798</v>
      </c>
      <c r="I3088" t="s">
        <v>85</v>
      </c>
      <c r="J3088">
        <v>32</v>
      </c>
      <c r="K3088" t="s">
        <v>81</v>
      </c>
      <c r="L3088" t="s">
        <v>2661</v>
      </c>
      <c r="M3088" t="s">
        <v>58</v>
      </c>
      <c r="N3088" t="s">
        <v>2647</v>
      </c>
      <c r="O3088" t="s">
        <v>133</v>
      </c>
      <c r="P3088" t="s">
        <v>50</v>
      </c>
      <c r="Q3088" t="s">
        <v>145</v>
      </c>
      <c r="R3088">
        <v>1</v>
      </c>
      <c r="S3088">
        <v>799</v>
      </c>
      <c r="T3088">
        <v>0.1</v>
      </c>
      <c r="U3088">
        <v>719.1</v>
      </c>
      <c r="V3088">
        <v>390</v>
      </c>
      <c r="W3088">
        <v>329.1</v>
      </c>
      <c r="X3088" t="s">
        <v>73</v>
      </c>
      <c r="Y3088" t="s">
        <v>68</v>
      </c>
      <c r="Z3088" t="s">
        <v>158</v>
      </c>
      <c r="AA3088" t="s">
        <v>166</v>
      </c>
      <c r="AB3088">
        <v>4.3</v>
      </c>
      <c r="AC3088">
        <v>60</v>
      </c>
      <c r="AD3088">
        <v>27.65</v>
      </c>
      <c r="AE3088">
        <f t="shared" si="96"/>
        <v>241.45000000000002</v>
      </c>
      <c r="AF3088" t="str">
        <f t="shared" si="97"/>
        <v>2026-01</v>
      </c>
      <c r="AG3088">
        <f>SUBTOTAL(103,A3088)</f>
        <v>1</v>
      </c>
    </row>
    <row r="3089" spans="1:33" x14ac:dyDescent="0.3">
      <c r="A3089" t="s">
        <v>5712</v>
      </c>
      <c r="B3089" s="13">
        <v>46053</v>
      </c>
      <c r="C3089">
        <v>2026</v>
      </c>
      <c r="D3089">
        <v>1</v>
      </c>
      <c r="E3089" t="s">
        <v>2571</v>
      </c>
      <c r="F3089" t="s">
        <v>2572</v>
      </c>
      <c r="G3089" t="s">
        <v>1697</v>
      </c>
      <c r="H3089" t="s">
        <v>1698</v>
      </c>
      <c r="I3089" t="s">
        <v>85</v>
      </c>
      <c r="J3089">
        <v>50</v>
      </c>
      <c r="K3089" t="s">
        <v>83</v>
      </c>
      <c r="L3089" t="s">
        <v>97</v>
      </c>
      <c r="M3089" t="s">
        <v>57</v>
      </c>
      <c r="N3089" t="s">
        <v>2653</v>
      </c>
      <c r="O3089" t="s">
        <v>132</v>
      </c>
      <c r="P3089" t="s">
        <v>52</v>
      </c>
      <c r="Q3089" t="s">
        <v>150</v>
      </c>
      <c r="R3089">
        <v>2</v>
      </c>
      <c r="S3089">
        <v>899</v>
      </c>
      <c r="T3089">
        <v>0.05</v>
      </c>
      <c r="U3089">
        <v>1708.1</v>
      </c>
      <c r="V3089">
        <v>840</v>
      </c>
      <c r="W3089">
        <v>868.1</v>
      </c>
      <c r="X3089" t="s">
        <v>77</v>
      </c>
      <c r="Y3089" t="s">
        <v>68</v>
      </c>
      <c r="Z3089" t="s">
        <v>158</v>
      </c>
      <c r="AA3089" t="s">
        <v>168</v>
      </c>
      <c r="AB3089">
        <v>3.9</v>
      </c>
      <c r="AC3089">
        <v>100</v>
      </c>
      <c r="AD3089">
        <v>95</v>
      </c>
      <c r="AE3089">
        <f t="shared" si="96"/>
        <v>673.1</v>
      </c>
      <c r="AF3089" t="str">
        <f t="shared" si="97"/>
        <v>2026-01</v>
      </c>
      <c r="AG3089">
        <f>SUBTOTAL(103,A3089)</f>
        <v>1</v>
      </c>
    </row>
    <row r="3090" spans="1:33" x14ac:dyDescent="0.3">
      <c r="A3090" t="s">
        <v>5713</v>
      </c>
      <c r="B3090" s="13">
        <v>46053</v>
      </c>
      <c r="C3090">
        <v>2026</v>
      </c>
      <c r="D3090">
        <v>1</v>
      </c>
      <c r="E3090" t="s">
        <v>2571</v>
      </c>
      <c r="F3090" t="s">
        <v>2572</v>
      </c>
      <c r="G3090" t="s">
        <v>1959</v>
      </c>
      <c r="H3090" t="s">
        <v>1960</v>
      </c>
      <c r="I3090" t="s">
        <v>85</v>
      </c>
      <c r="J3090">
        <v>22</v>
      </c>
      <c r="K3090" t="s">
        <v>80</v>
      </c>
      <c r="L3090" t="s">
        <v>95</v>
      </c>
      <c r="M3090" t="s">
        <v>56</v>
      </c>
      <c r="N3090" t="s">
        <v>2594</v>
      </c>
      <c r="O3090" t="s">
        <v>131</v>
      </c>
      <c r="P3090" t="s">
        <v>53</v>
      </c>
      <c r="Q3090" t="s">
        <v>143</v>
      </c>
      <c r="R3090">
        <v>3</v>
      </c>
      <c r="S3090">
        <v>999</v>
      </c>
      <c r="T3090">
        <v>0.15</v>
      </c>
      <c r="U3090">
        <v>2547.4499999999998</v>
      </c>
      <c r="V3090">
        <v>1560</v>
      </c>
      <c r="W3090">
        <v>987.45</v>
      </c>
      <c r="X3090" t="s">
        <v>75</v>
      </c>
      <c r="Y3090" t="s">
        <v>68</v>
      </c>
      <c r="Z3090" t="s">
        <v>163</v>
      </c>
      <c r="AA3090" t="s">
        <v>166</v>
      </c>
      <c r="AB3090">
        <v>3.7</v>
      </c>
      <c r="AC3090">
        <v>50</v>
      </c>
      <c r="AD3090">
        <v>262.07</v>
      </c>
      <c r="AE3090">
        <f t="shared" si="96"/>
        <v>675.38000000000011</v>
      </c>
      <c r="AF3090" t="str">
        <f t="shared" si="97"/>
        <v>2026-01</v>
      </c>
      <c r="AG3090">
        <f>SUBTOTAL(103,A3090)</f>
        <v>1</v>
      </c>
    </row>
    <row r="3091" spans="1:33" x14ac:dyDescent="0.3">
      <c r="A3091" t="s">
        <v>5714</v>
      </c>
      <c r="B3091" s="13">
        <v>46054</v>
      </c>
      <c r="C3091">
        <v>2026</v>
      </c>
      <c r="D3091">
        <v>2</v>
      </c>
      <c r="E3091" t="s">
        <v>2849</v>
      </c>
      <c r="F3091" t="s">
        <v>2572</v>
      </c>
      <c r="G3091" t="s">
        <v>1653</v>
      </c>
      <c r="H3091" t="s">
        <v>1654</v>
      </c>
      <c r="I3091" t="s">
        <v>85</v>
      </c>
      <c r="J3091">
        <v>25</v>
      </c>
      <c r="K3091" t="s">
        <v>80</v>
      </c>
      <c r="L3091" t="s">
        <v>2623</v>
      </c>
      <c r="M3091" t="s">
        <v>61</v>
      </c>
      <c r="N3091" t="s">
        <v>2574</v>
      </c>
      <c r="O3091" t="s">
        <v>130</v>
      </c>
      <c r="P3091" t="s">
        <v>50</v>
      </c>
      <c r="Q3091" t="s">
        <v>53</v>
      </c>
      <c r="R3091">
        <v>1</v>
      </c>
      <c r="S3091">
        <v>1199</v>
      </c>
      <c r="T3091">
        <v>0.15</v>
      </c>
      <c r="U3091">
        <v>1019.15</v>
      </c>
      <c r="V3091">
        <v>550</v>
      </c>
      <c r="W3091">
        <v>469.15</v>
      </c>
      <c r="X3091" t="s">
        <v>77</v>
      </c>
      <c r="Y3091" t="s">
        <v>68</v>
      </c>
      <c r="Z3091" t="s">
        <v>162</v>
      </c>
      <c r="AA3091" t="s">
        <v>169</v>
      </c>
      <c r="AB3091">
        <v>3.5</v>
      </c>
      <c r="AC3091">
        <v>50</v>
      </c>
      <c r="AD3091">
        <v>21.37</v>
      </c>
      <c r="AE3091">
        <f t="shared" si="96"/>
        <v>397.78</v>
      </c>
      <c r="AF3091" t="str">
        <f t="shared" si="97"/>
        <v>2026-02</v>
      </c>
      <c r="AG3091">
        <f>SUBTOTAL(103,A3091)</f>
        <v>1</v>
      </c>
    </row>
    <row r="3092" spans="1:33" x14ac:dyDescent="0.3">
      <c r="A3092" t="s">
        <v>5715</v>
      </c>
      <c r="B3092" s="13">
        <v>46054</v>
      </c>
      <c r="C3092">
        <v>2026</v>
      </c>
      <c r="D3092">
        <v>2</v>
      </c>
      <c r="E3092" t="s">
        <v>2849</v>
      </c>
      <c r="F3092" t="s">
        <v>2572</v>
      </c>
      <c r="G3092" t="s">
        <v>393</v>
      </c>
      <c r="H3092" t="s">
        <v>394</v>
      </c>
      <c r="I3092" t="s">
        <v>85</v>
      </c>
      <c r="J3092">
        <v>33</v>
      </c>
      <c r="K3092" t="s">
        <v>81</v>
      </c>
      <c r="L3092" t="s">
        <v>99</v>
      </c>
      <c r="M3092" t="s">
        <v>58</v>
      </c>
      <c r="N3092" t="s">
        <v>2594</v>
      </c>
      <c r="O3092" t="s">
        <v>131</v>
      </c>
      <c r="P3092" t="s">
        <v>53</v>
      </c>
      <c r="Q3092" t="s">
        <v>143</v>
      </c>
      <c r="R3092">
        <v>3</v>
      </c>
      <c r="S3092">
        <v>999</v>
      </c>
      <c r="T3092">
        <v>0</v>
      </c>
      <c r="U3092">
        <v>2997</v>
      </c>
      <c r="V3092">
        <v>1560</v>
      </c>
      <c r="W3092">
        <v>1437</v>
      </c>
      <c r="X3092" t="s">
        <v>76</v>
      </c>
      <c r="Y3092" t="s">
        <v>69</v>
      </c>
      <c r="Z3092" t="s">
        <v>162</v>
      </c>
      <c r="AA3092" t="s">
        <v>170</v>
      </c>
      <c r="AB3092">
        <v>4.8</v>
      </c>
      <c r="AC3092">
        <v>80</v>
      </c>
      <c r="AD3092">
        <v>314.24</v>
      </c>
      <c r="AE3092">
        <f t="shared" si="96"/>
        <v>1042.76</v>
      </c>
      <c r="AF3092" t="str">
        <f t="shared" si="97"/>
        <v>2026-02</v>
      </c>
      <c r="AG3092">
        <f>SUBTOTAL(103,A3092)</f>
        <v>1</v>
      </c>
    </row>
    <row r="3093" spans="1:33" x14ac:dyDescent="0.3">
      <c r="A3093" t="s">
        <v>5716</v>
      </c>
      <c r="B3093" s="13">
        <v>46054</v>
      </c>
      <c r="C3093">
        <v>2026</v>
      </c>
      <c r="D3093">
        <v>2</v>
      </c>
      <c r="E3093" t="s">
        <v>2849</v>
      </c>
      <c r="F3093" t="s">
        <v>2572</v>
      </c>
      <c r="G3093" t="s">
        <v>1703</v>
      </c>
      <c r="H3093" t="s">
        <v>1704</v>
      </c>
      <c r="I3093" t="s">
        <v>86</v>
      </c>
      <c r="J3093">
        <v>22</v>
      </c>
      <c r="K3093" t="s">
        <v>80</v>
      </c>
      <c r="L3093" t="s">
        <v>2610</v>
      </c>
      <c r="M3093" t="s">
        <v>64</v>
      </c>
      <c r="N3093" t="s">
        <v>2647</v>
      </c>
      <c r="O3093" t="s">
        <v>133</v>
      </c>
      <c r="P3093" t="s">
        <v>50</v>
      </c>
      <c r="Q3093" t="s">
        <v>145</v>
      </c>
      <c r="R3093">
        <v>1</v>
      </c>
      <c r="S3093">
        <v>799</v>
      </c>
      <c r="T3093">
        <v>0</v>
      </c>
      <c r="U3093">
        <v>799</v>
      </c>
      <c r="V3093">
        <v>390</v>
      </c>
      <c r="W3093">
        <v>409</v>
      </c>
      <c r="X3093" t="s">
        <v>74</v>
      </c>
      <c r="Y3093" t="s">
        <v>68</v>
      </c>
      <c r="Z3093" t="s">
        <v>159</v>
      </c>
      <c r="AA3093" t="s">
        <v>168</v>
      </c>
      <c r="AB3093">
        <v>3.9</v>
      </c>
      <c r="AC3093">
        <v>100</v>
      </c>
      <c r="AD3093">
        <v>95.16</v>
      </c>
      <c r="AE3093">
        <f t="shared" si="96"/>
        <v>213.84</v>
      </c>
      <c r="AF3093" t="str">
        <f t="shared" si="97"/>
        <v>2026-02</v>
      </c>
      <c r="AG3093">
        <f>SUBTOTAL(103,A3093)</f>
        <v>1</v>
      </c>
    </row>
    <row r="3094" spans="1:33" x14ac:dyDescent="0.3">
      <c r="A3094" t="s">
        <v>5717</v>
      </c>
      <c r="B3094" s="13">
        <v>46054</v>
      </c>
      <c r="C3094">
        <v>2026</v>
      </c>
      <c r="D3094">
        <v>2</v>
      </c>
      <c r="E3094" t="s">
        <v>2849</v>
      </c>
      <c r="F3094" t="s">
        <v>2572</v>
      </c>
      <c r="G3094" t="s">
        <v>673</v>
      </c>
      <c r="H3094" t="s">
        <v>674</v>
      </c>
      <c r="I3094" t="s">
        <v>86</v>
      </c>
      <c r="J3094">
        <v>43</v>
      </c>
      <c r="K3094" t="s">
        <v>82</v>
      </c>
      <c r="L3094" t="s">
        <v>97</v>
      </c>
      <c r="M3094" t="s">
        <v>57</v>
      </c>
      <c r="N3094" t="s">
        <v>2584</v>
      </c>
      <c r="O3094" t="s">
        <v>121</v>
      </c>
      <c r="P3094" t="s">
        <v>50</v>
      </c>
      <c r="Q3094" t="s">
        <v>144</v>
      </c>
      <c r="R3094">
        <v>4</v>
      </c>
      <c r="S3094">
        <v>2999</v>
      </c>
      <c r="T3094">
        <v>0.15</v>
      </c>
      <c r="U3094">
        <v>10196.6</v>
      </c>
      <c r="V3094">
        <v>6800</v>
      </c>
      <c r="W3094">
        <v>3396.6</v>
      </c>
      <c r="X3094" t="s">
        <v>77</v>
      </c>
      <c r="Y3094" t="s">
        <v>68</v>
      </c>
      <c r="Z3094" t="s">
        <v>162</v>
      </c>
      <c r="AA3094" t="s">
        <v>169</v>
      </c>
      <c r="AB3094">
        <v>4.0999999999999996</v>
      </c>
      <c r="AC3094">
        <v>40</v>
      </c>
      <c r="AD3094">
        <v>289.22000000000003</v>
      </c>
      <c r="AE3094">
        <f t="shared" si="96"/>
        <v>3067.38</v>
      </c>
      <c r="AF3094" t="str">
        <f t="shared" si="97"/>
        <v>2026-02</v>
      </c>
      <c r="AG3094">
        <f>SUBTOTAL(103,A3094)</f>
        <v>1</v>
      </c>
    </row>
    <row r="3095" spans="1:33" x14ac:dyDescent="0.3">
      <c r="A3095" t="s">
        <v>5718</v>
      </c>
      <c r="B3095" s="13">
        <v>46054</v>
      </c>
      <c r="C3095">
        <v>2026</v>
      </c>
      <c r="D3095">
        <v>2</v>
      </c>
      <c r="E3095" t="s">
        <v>2849</v>
      </c>
      <c r="F3095" t="s">
        <v>2572</v>
      </c>
      <c r="G3095" t="s">
        <v>1803</v>
      </c>
      <c r="H3095" t="s">
        <v>1804</v>
      </c>
      <c r="I3095" t="s">
        <v>85</v>
      </c>
      <c r="J3095">
        <v>45</v>
      </c>
      <c r="K3095" t="s">
        <v>82</v>
      </c>
      <c r="L3095" t="s">
        <v>98</v>
      </c>
      <c r="M3095" t="s">
        <v>55</v>
      </c>
      <c r="N3095" t="s">
        <v>2582</v>
      </c>
      <c r="O3095" t="s">
        <v>119</v>
      </c>
      <c r="P3095" t="s">
        <v>49</v>
      </c>
      <c r="Q3095" t="s">
        <v>140</v>
      </c>
      <c r="R3095">
        <v>2</v>
      </c>
      <c r="S3095">
        <v>3499</v>
      </c>
      <c r="T3095">
        <v>0.1</v>
      </c>
      <c r="U3095">
        <v>6298.2</v>
      </c>
      <c r="V3095">
        <v>4200</v>
      </c>
      <c r="W3095">
        <v>2098.1999999999998</v>
      </c>
      <c r="X3095" t="s">
        <v>73</v>
      </c>
      <c r="Y3095" t="s">
        <v>68</v>
      </c>
      <c r="Z3095" t="s">
        <v>159</v>
      </c>
      <c r="AA3095" t="s">
        <v>166</v>
      </c>
      <c r="AB3095">
        <v>4.2</v>
      </c>
      <c r="AC3095">
        <v>80</v>
      </c>
      <c r="AD3095">
        <v>276.91000000000003</v>
      </c>
      <c r="AE3095">
        <f t="shared" si="96"/>
        <v>1741.2899999999997</v>
      </c>
      <c r="AF3095" t="str">
        <f t="shared" si="97"/>
        <v>2026-02</v>
      </c>
      <c r="AG3095">
        <f>SUBTOTAL(103,A3095)</f>
        <v>1</v>
      </c>
    </row>
    <row r="3096" spans="1:33" x14ac:dyDescent="0.3">
      <c r="A3096" t="s">
        <v>5719</v>
      </c>
      <c r="B3096" s="13">
        <v>46054</v>
      </c>
      <c r="C3096">
        <v>2026</v>
      </c>
      <c r="D3096">
        <v>2</v>
      </c>
      <c r="E3096" t="s">
        <v>2849</v>
      </c>
      <c r="F3096" t="s">
        <v>2572</v>
      </c>
      <c r="G3096" t="s">
        <v>1393</v>
      </c>
      <c r="H3096" t="s">
        <v>1394</v>
      </c>
      <c r="I3096" t="s">
        <v>85</v>
      </c>
      <c r="J3096">
        <v>40</v>
      </c>
      <c r="K3096" t="s">
        <v>82</v>
      </c>
      <c r="L3096" t="s">
        <v>97</v>
      </c>
      <c r="M3096" t="s">
        <v>57</v>
      </c>
      <c r="N3096" t="s">
        <v>2606</v>
      </c>
      <c r="O3096" t="s">
        <v>120</v>
      </c>
      <c r="P3096" t="s">
        <v>49</v>
      </c>
      <c r="Q3096" t="s">
        <v>140</v>
      </c>
      <c r="R3096">
        <v>2</v>
      </c>
      <c r="S3096">
        <v>2799</v>
      </c>
      <c r="T3096">
        <v>0.1</v>
      </c>
      <c r="U3096">
        <v>5038.2</v>
      </c>
      <c r="V3096">
        <v>3300</v>
      </c>
      <c r="W3096">
        <v>1738.2</v>
      </c>
      <c r="X3096" t="s">
        <v>73</v>
      </c>
      <c r="Y3096" t="s">
        <v>68</v>
      </c>
      <c r="Z3096" t="s">
        <v>159</v>
      </c>
      <c r="AA3096" t="s">
        <v>166</v>
      </c>
      <c r="AB3096">
        <v>3.3</v>
      </c>
      <c r="AC3096">
        <v>50</v>
      </c>
      <c r="AD3096">
        <v>204.09</v>
      </c>
      <c r="AE3096">
        <f t="shared" si="96"/>
        <v>1484.1100000000001</v>
      </c>
      <c r="AF3096" t="str">
        <f t="shared" si="97"/>
        <v>2026-02</v>
      </c>
      <c r="AG3096">
        <f>SUBTOTAL(103,A3096)</f>
        <v>1</v>
      </c>
    </row>
    <row r="3097" spans="1:33" x14ac:dyDescent="0.3">
      <c r="A3097" t="s">
        <v>5720</v>
      </c>
      <c r="B3097" s="13">
        <v>46055</v>
      </c>
      <c r="C3097">
        <v>2026</v>
      </c>
      <c r="D3097">
        <v>2</v>
      </c>
      <c r="E3097" t="s">
        <v>2849</v>
      </c>
      <c r="F3097" t="s">
        <v>2572</v>
      </c>
      <c r="G3097" t="s">
        <v>921</v>
      </c>
      <c r="H3097" t="s">
        <v>922</v>
      </c>
      <c r="I3097" t="s">
        <v>85</v>
      </c>
      <c r="J3097">
        <v>38</v>
      </c>
      <c r="K3097" t="s">
        <v>82</v>
      </c>
      <c r="L3097" t="s">
        <v>96</v>
      </c>
      <c r="M3097" t="s">
        <v>55</v>
      </c>
      <c r="N3097" t="s">
        <v>2584</v>
      </c>
      <c r="O3097" t="s">
        <v>121</v>
      </c>
      <c r="P3097" t="s">
        <v>50</v>
      </c>
      <c r="Q3097" t="s">
        <v>144</v>
      </c>
      <c r="R3097">
        <v>2</v>
      </c>
      <c r="S3097">
        <v>2999</v>
      </c>
      <c r="T3097">
        <v>0</v>
      </c>
      <c r="U3097">
        <v>5998</v>
      </c>
      <c r="V3097">
        <v>3400</v>
      </c>
      <c r="W3097">
        <v>2598</v>
      </c>
      <c r="X3097" t="s">
        <v>75</v>
      </c>
      <c r="Y3097" t="s">
        <v>68</v>
      </c>
      <c r="Z3097" t="s">
        <v>162</v>
      </c>
      <c r="AA3097" t="s">
        <v>168</v>
      </c>
      <c r="AB3097">
        <v>4.3</v>
      </c>
      <c r="AC3097">
        <v>100</v>
      </c>
      <c r="AD3097">
        <v>216.82</v>
      </c>
      <c r="AE3097">
        <f t="shared" si="96"/>
        <v>2281.1799999999998</v>
      </c>
      <c r="AF3097" t="str">
        <f t="shared" si="97"/>
        <v>2026-02</v>
      </c>
      <c r="AG3097">
        <f>SUBTOTAL(103,A3097)</f>
        <v>1</v>
      </c>
    </row>
    <row r="3098" spans="1:33" x14ac:dyDescent="0.3">
      <c r="A3098" t="s">
        <v>5721</v>
      </c>
      <c r="B3098" s="13">
        <v>46055</v>
      </c>
      <c r="C3098">
        <v>2026</v>
      </c>
      <c r="D3098">
        <v>2</v>
      </c>
      <c r="E3098" t="s">
        <v>2849</v>
      </c>
      <c r="F3098" t="s">
        <v>2572</v>
      </c>
      <c r="G3098" t="s">
        <v>1437</v>
      </c>
      <c r="H3098" t="s">
        <v>1438</v>
      </c>
      <c r="I3098" t="s">
        <v>86</v>
      </c>
      <c r="J3098">
        <v>27</v>
      </c>
      <c r="K3098" t="s">
        <v>81</v>
      </c>
      <c r="L3098" t="s">
        <v>2634</v>
      </c>
      <c r="M3098" t="s">
        <v>56</v>
      </c>
      <c r="N3098" t="s">
        <v>2601</v>
      </c>
      <c r="O3098" t="s">
        <v>117</v>
      </c>
      <c r="P3098" t="s">
        <v>49</v>
      </c>
      <c r="Q3098" t="s">
        <v>139</v>
      </c>
      <c r="R3098">
        <v>2</v>
      </c>
      <c r="S3098">
        <v>6999</v>
      </c>
      <c r="T3098">
        <v>0.05</v>
      </c>
      <c r="U3098">
        <v>13298.1</v>
      </c>
      <c r="V3098">
        <v>8600</v>
      </c>
      <c r="W3098">
        <v>4698.1000000000004</v>
      </c>
      <c r="X3098" t="s">
        <v>74</v>
      </c>
      <c r="Y3098" t="s">
        <v>68</v>
      </c>
      <c r="Z3098" t="s">
        <v>160</v>
      </c>
      <c r="AA3098" t="s">
        <v>168</v>
      </c>
      <c r="AB3098">
        <v>5</v>
      </c>
      <c r="AC3098">
        <v>40</v>
      </c>
      <c r="AD3098">
        <v>671.88</v>
      </c>
      <c r="AE3098">
        <f t="shared" si="96"/>
        <v>3986.2200000000003</v>
      </c>
      <c r="AF3098" t="str">
        <f t="shared" si="97"/>
        <v>2026-02</v>
      </c>
      <c r="AG3098">
        <f>SUBTOTAL(103,A3098)</f>
        <v>1</v>
      </c>
    </row>
    <row r="3099" spans="1:33" x14ac:dyDescent="0.3">
      <c r="A3099" t="s">
        <v>5722</v>
      </c>
      <c r="B3099" s="13">
        <v>46055</v>
      </c>
      <c r="C3099">
        <v>2026</v>
      </c>
      <c r="D3099">
        <v>2</v>
      </c>
      <c r="E3099" t="s">
        <v>2849</v>
      </c>
      <c r="F3099" t="s">
        <v>2572</v>
      </c>
      <c r="G3099" t="s">
        <v>955</v>
      </c>
      <c r="H3099" t="s">
        <v>956</v>
      </c>
      <c r="I3099" t="s">
        <v>86</v>
      </c>
      <c r="J3099">
        <v>20</v>
      </c>
      <c r="K3099" t="s">
        <v>80</v>
      </c>
      <c r="L3099" t="s">
        <v>94</v>
      </c>
      <c r="M3099" t="s">
        <v>57</v>
      </c>
      <c r="N3099" t="s">
        <v>2580</v>
      </c>
      <c r="O3099" t="s">
        <v>118</v>
      </c>
      <c r="P3099" t="s">
        <v>48</v>
      </c>
      <c r="Q3099" t="s">
        <v>142</v>
      </c>
      <c r="R3099">
        <v>1</v>
      </c>
      <c r="S3099">
        <v>3999</v>
      </c>
      <c r="T3099">
        <v>0</v>
      </c>
      <c r="U3099">
        <v>3999</v>
      </c>
      <c r="V3099">
        <v>2400</v>
      </c>
      <c r="W3099">
        <v>1599</v>
      </c>
      <c r="X3099" t="s">
        <v>73</v>
      </c>
      <c r="Y3099" t="s">
        <v>68</v>
      </c>
      <c r="Z3099" t="s">
        <v>160</v>
      </c>
      <c r="AA3099" t="s">
        <v>166</v>
      </c>
      <c r="AB3099">
        <v>3.1</v>
      </c>
      <c r="AC3099">
        <v>60</v>
      </c>
      <c r="AD3099">
        <v>84.9</v>
      </c>
      <c r="AE3099">
        <f t="shared" si="96"/>
        <v>1454.1</v>
      </c>
      <c r="AF3099" t="str">
        <f t="shared" si="97"/>
        <v>2026-02</v>
      </c>
      <c r="AG3099">
        <f>SUBTOTAL(103,A3099)</f>
        <v>1</v>
      </c>
    </row>
    <row r="3100" spans="1:33" x14ac:dyDescent="0.3">
      <c r="A3100" t="s">
        <v>5723</v>
      </c>
      <c r="B3100" s="13">
        <v>46055</v>
      </c>
      <c r="C3100">
        <v>2026</v>
      </c>
      <c r="D3100">
        <v>2</v>
      </c>
      <c r="E3100" t="s">
        <v>2849</v>
      </c>
      <c r="F3100" t="s">
        <v>2572</v>
      </c>
      <c r="G3100" t="s">
        <v>2127</v>
      </c>
      <c r="H3100" t="s">
        <v>2128</v>
      </c>
      <c r="I3100" t="s">
        <v>86</v>
      </c>
      <c r="J3100">
        <v>42</v>
      </c>
      <c r="K3100" t="s">
        <v>82</v>
      </c>
      <c r="L3100" t="s">
        <v>99</v>
      </c>
      <c r="M3100" t="s">
        <v>58</v>
      </c>
      <c r="N3100" t="s">
        <v>2580</v>
      </c>
      <c r="O3100" t="s">
        <v>118</v>
      </c>
      <c r="P3100" t="s">
        <v>48</v>
      </c>
      <c r="Q3100" t="s">
        <v>142</v>
      </c>
      <c r="R3100">
        <v>2</v>
      </c>
      <c r="S3100">
        <v>3999</v>
      </c>
      <c r="T3100">
        <v>0.15</v>
      </c>
      <c r="U3100">
        <v>6798.3</v>
      </c>
      <c r="V3100">
        <v>4800</v>
      </c>
      <c r="W3100">
        <v>1998.3</v>
      </c>
      <c r="X3100" t="s">
        <v>74</v>
      </c>
      <c r="Y3100" t="s">
        <v>68</v>
      </c>
      <c r="Z3100" t="s">
        <v>160</v>
      </c>
      <c r="AA3100" t="s">
        <v>166</v>
      </c>
      <c r="AB3100">
        <v>2.8</v>
      </c>
      <c r="AC3100">
        <v>60</v>
      </c>
      <c r="AD3100">
        <v>699.55</v>
      </c>
      <c r="AE3100">
        <f t="shared" si="96"/>
        <v>1238.75</v>
      </c>
      <c r="AF3100" t="str">
        <f t="shared" si="97"/>
        <v>2026-02</v>
      </c>
      <c r="AG3100">
        <f>SUBTOTAL(103,A3100)</f>
        <v>1</v>
      </c>
    </row>
    <row r="3101" spans="1:33" x14ac:dyDescent="0.3">
      <c r="A3101" t="s">
        <v>5724</v>
      </c>
      <c r="B3101" s="13">
        <v>46056</v>
      </c>
      <c r="C3101">
        <v>2026</v>
      </c>
      <c r="D3101">
        <v>2</v>
      </c>
      <c r="E3101" t="s">
        <v>2849</v>
      </c>
      <c r="F3101" t="s">
        <v>2572</v>
      </c>
      <c r="G3101" t="s">
        <v>2071</v>
      </c>
      <c r="H3101" t="s">
        <v>2072</v>
      </c>
      <c r="I3101" t="s">
        <v>85</v>
      </c>
      <c r="J3101">
        <v>22</v>
      </c>
      <c r="K3101" t="s">
        <v>80</v>
      </c>
      <c r="L3101" t="s">
        <v>59</v>
      </c>
      <c r="M3101" t="s">
        <v>59</v>
      </c>
      <c r="N3101" t="s">
        <v>2584</v>
      </c>
      <c r="O3101" t="s">
        <v>121</v>
      </c>
      <c r="P3101" t="s">
        <v>50</v>
      </c>
      <c r="Q3101" t="s">
        <v>144</v>
      </c>
      <c r="R3101">
        <v>1</v>
      </c>
      <c r="S3101">
        <v>2999</v>
      </c>
      <c r="T3101">
        <v>0.15</v>
      </c>
      <c r="U3101">
        <v>2549.15</v>
      </c>
      <c r="V3101">
        <v>1700</v>
      </c>
      <c r="W3101">
        <v>849.15</v>
      </c>
      <c r="X3101" t="s">
        <v>74</v>
      </c>
      <c r="Y3101" t="s">
        <v>69</v>
      </c>
      <c r="Z3101" t="s">
        <v>161</v>
      </c>
      <c r="AA3101" t="s">
        <v>170</v>
      </c>
      <c r="AB3101">
        <v>3</v>
      </c>
      <c r="AC3101">
        <v>100</v>
      </c>
      <c r="AD3101">
        <v>219.28</v>
      </c>
      <c r="AE3101">
        <f t="shared" si="96"/>
        <v>529.87</v>
      </c>
      <c r="AF3101" t="str">
        <f t="shared" si="97"/>
        <v>2026-02</v>
      </c>
      <c r="AG3101">
        <f>SUBTOTAL(103,A3101)</f>
        <v>1</v>
      </c>
    </row>
    <row r="3102" spans="1:33" x14ac:dyDescent="0.3">
      <c r="A3102" t="s">
        <v>5725</v>
      </c>
      <c r="B3102" s="13">
        <v>46056</v>
      </c>
      <c r="C3102">
        <v>2026</v>
      </c>
      <c r="D3102">
        <v>2</v>
      </c>
      <c r="E3102" t="s">
        <v>2849</v>
      </c>
      <c r="F3102" t="s">
        <v>2572</v>
      </c>
      <c r="G3102" t="s">
        <v>1665</v>
      </c>
      <c r="H3102" t="s">
        <v>1666</v>
      </c>
      <c r="I3102" t="s">
        <v>86</v>
      </c>
      <c r="J3102">
        <v>46</v>
      </c>
      <c r="K3102" t="s">
        <v>83</v>
      </c>
      <c r="L3102" t="s">
        <v>94</v>
      </c>
      <c r="M3102" t="s">
        <v>57</v>
      </c>
      <c r="N3102" t="s">
        <v>2647</v>
      </c>
      <c r="O3102" t="s">
        <v>133</v>
      </c>
      <c r="P3102" t="s">
        <v>50</v>
      </c>
      <c r="Q3102" t="s">
        <v>145</v>
      </c>
      <c r="R3102">
        <v>5</v>
      </c>
      <c r="S3102">
        <v>799</v>
      </c>
      <c r="T3102">
        <v>0.05</v>
      </c>
      <c r="U3102">
        <v>3795.25</v>
      </c>
      <c r="V3102">
        <v>1950</v>
      </c>
      <c r="W3102">
        <v>1845.25</v>
      </c>
      <c r="X3102" t="s">
        <v>76</v>
      </c>
      <c r="Y3102" t="s">
        <v>68</v>
      </c>
      <c r="Z3102" t="s">
        <v>161</v>
      </c>
      <c r="AA3102" t="s">
        <v>166</v>
      </c>
      <c r="AB3102">
        <v>4.3</v>
      </c>
      <c r="AC3102">
        <v>40</v>
      </c>
      <c r="AD3102">
        <v>243.33</v>
      </c>
      <c r="AE3102">
        <f t="shared" si="96"/>
        <v>1561.92</v>
      </c>
      <c r="AF3102" t="str">
        <f t="shared" si="97"/>
        <v>2026-02</v>
      </c>
      <c r="AG3102">
        <f>SUBTOTAL(103,A3102)</f>
        <v>1</v>
      </c>
    </row>
    <row r="3103" spans="1:33" x14ac:dyDescent="0.3">
      <c r="A3103" t="s">
        <v>5726</v>
      </c>
      <c r="B3103" s="13">
        <v>46056</v>
      </c>
      <c r="C3103">
        <v>2026</v>
      </c>
      <c r="D3103">
        <v>2</v>
      </c>
      <c r="E3103" t="s">
        <v>2849</v>
      </c>
      <c r="F3103" t="s">
        <v>2572</v>
      </c>
      <c r="G3103" t="s">
        <v>1057</v>
      </c>
      <c r="H3103" t="s">
        <v>1058</v>
      </c>
      <c r="I3103" t="s">
        <v>86</v>
      </c>
      <c r="J3103">
        <v>19</v>
      </c>
      <c r="K3103" t="s">
        <v>80</v>
      </c>
      <c r="L3103" t="s">
        <v>2573</v>
      </c>
      <c r="M3103" t="s">
        <v>63</v>
      </c>
      <c r="N3103" t="s">
        <v>2587</v>
      </c>
      <c r="O3103" t="s">
        <v>116</v>
      </c>
      <c r="P3103" t="s">
        <v>48</v>
      </c>
      <c r="Q3103" t="s">
        <v>138</v>
      </c>
      <c r="R3103">
        <v>2</v>
      </c>
      <c r="S3103">
        <v>14999</v>
      </c>
      <c r="T3103">
        <v>0.15</v>
      </c>
      <c r="U3103">
        <v>25498.3</v>
      </c>
      <c r="V3103">
        <v>22400</v>
      </c>
      <c r="W3103">
        <v>3098.3</v>
      </c>
      <c r="X3103" t="s">
        <v>73</v>
      </c>
      <c r="Y3103" t="s">
        <v>68</v>
      </c>
      <c r="Z3103" t="s">
        <v>163</v>
      </c>
      <c r="AA3103" t="s">
        <v>171</v>
      </c>
      <c r="AB3103">
        <v>4.7</v>
      </c>
      <c r="AC3103">
        <v>80</v>
      </c>
      <c r="AD3103">
        <v>2301.2399999999998</v>
      </c>
      <c r="AE3103">
        <f t="shared" si="96"/>
        <v>717.0600000000004</v>
      </c>
      <c r="AF3103" t="str">
        <f t="shared" si="97"/>
        <v>2026-02</v>
      </c>
      <c r="AG3103">
        <f>SUBTOTAL(103,A3103)</f>
        <v>1</v>
      </c>
    </row>
    <row r="3104" spans="1:33" x14ac:dyDescent="0.3">
      <c r="A3104" t="s">
        <v>5727</v>
      </c>
      <c r="B3104" s="13">
        <v>46057</v>
      </c>
      <c r="C3104">
        <v>2026</v>
      </c>
      <c r="D3104">
        <v>2</v>
      </c>
      <c r="E3104" t="s">
        <v>2849</v>
      </c>
      <c r="F3104" t="s">
        <v>2572</v>
      </c>
      <c r="G3104" t="s">
        <v>627</v>
      </c>
      <c r="H3104" t="s">
        <v>628</v>
      </c>
      <c r="I3104" t="s">
        <v>86</v>
      </c>
      <c r="J3104">
        <v>46</v>
      </c>
      <c r="K3104" t="s">
        <v>83</v>
      </c>
      <c r="L3104" t="s">
        <v>94</v>
      </c>
      <c r="M3104" t="s">
        <v>57</v>
      </c>
      <c r="N3104" t="s">
        <v>2584</v>
      </c>
      <c r="O3104" t="s">
        <v>121</v>
      </c>
      <c r="P3104" t="s">
        <v>50</v>
      </c>
      <c r="Q3104" t="s">
        <v>144</v>
      </c>
      <c r="R3104">
        <v>5</v>
      </c>
      <c r="S3104">
        <v>2999</v>
      </c>
      <c r="T3104">
        <v>0.05</v>
      </c>
      <c r="U3104">
        <v>14245.25</v>
      </c>
      <c r="V3104">
        <v>8500</v>
      </c>
      <c r="W3104">
        <v>5745.25</v>
      </c>
      <c r="X3104" t="s">
        <v>75</v>
      </c>
      <c r="Y3104" t="s">
        <v>68</v>
      </c>
      <c r="Z3104" t="s">
        <v>159</v>
      </c>
      <c r="AA3104" t="s">
        <v>167</v>
      </c>
      <c r="AB3104">
        <v>4</v>
      </c>
      <c r="AC3104">
        <v>50</v>
      </c>
      <c r="AD3104">
        <v>418.56</v>
      </c>
      <c r="AE3104">
        <f t="shared" si="96"/>
        <v>5276.69</v>
      </c>
      <c r="AF3104" t="str">
        <f t="shared" si="97"/>
        <v>2026-02</v>
      </c>
      <c r="AG3104">
        <f>SUBTOTAL(103,A3104)</f>
        <v>1</v>
      </c>
    </row>
    <row r="3105" spans="1:33" x14ac:dyDescent="0.3">
      <c r="A3105" t="s">
        <v>5728</v>
      </c>
      <c r="B3105" s="13">
        <v>46057</v>
      </c>
      <c r="C3105">
        <v>2026</v>
      </c>
      <c r="D3105">
        <v>2</v>
      </c>
      <c r="E3105" t="s">
        <v>2849</v>
      </c>
      <c r="F3105" t="s">
        <v>2572</v>
      </c>
      <c r="G3105" t="s">
        <v>1083</v>
      </c>
      <c r="H3105" t="s">
        <v>1084</v>
      </c>
      <c r="I3105" t="s">
        <v>86</v>
      </c>
      <c r="J3105">
        <v>39</v>
      </c>
      <c r="K3105" t="s">
        <v>82</v>
      </c>
      <c r="L3105" t="s">
        <v>99</v>
      </c>
      <c r="M3105" t="s">
        <v>58</v>
      </c>
      <c r="N3105" t="s">
        <v>2596</v>
      </c>
      <c r="O3105" t="s">
        <v>124</v>
      </c>
      <c r="P3105" t="s">
        <v>51</v>
      </c>
      <c r="Q3105" t="s">
        <v>147</v>
      </c>
      <c r="R3105">
        <v>5</v>
      </c>
      <c r="S3105">
        <v>2299</v>
      </c>
      <c r="T3105">
        <v>0.1</v>
      </c>
      <c r="U3105">
        <v>10345.5</v>
      </c>
      <c r="V3105">
        <v>6000</v>
      </c>
      <c r="W3105">
        <v>4345.5</v>
      </c>
      <c r="X3105" t="s">
        <v>76</v>
      </c>
      <c r="Y3105" t="s">
        <v>68</v>
      </c>
      <c r="Z3105" t="s">
        <v>163</v>
      </c>
      <c r="AA3105" t="s">
        <v>167</v>
      </c>
      <c r="AB3105">
        <v>3.7</v>
      </c>
      <c r="AC3105">
        <v>50</v>
      </c>
      <c r="AD3105">
        <v>925.4</v>
      </c>
      <c r="AE3105">
        <f t="shared" si="96"/>
        <v>3370.1</v>
      </c>
      <c r="AF3105" t="str">
        <f t="shared" si="97"/>
        <v>2026-02</v>
      </c>
      <c r="AG3105">
        <f>SUBTOTAL(103,A3105)</f>
        <v>1</v>
      </c>
    </row>
    <row r="3106" spans="1:33" x14ac:dyDescent="0.3">
      <c r="A3106" t="s">
        <v>5729</v>
      </c>
      <c r="B3106" s="13">
        <v>46057</v>
      </c>
      <c r="C3106">
        <v>2026</v>
      </c>
      <c r="D3106">
        <v>2</v>
      </c>
      <c r="E3106" t="s">
        <v>2849</v>
      </c>
      <c r="F3106" t="s">
        <v>2572</v>
      </c>
      <c r="G3106" t="s">
        <v>527</v>
      </c>
      <c r="H3106" t="s">
        <v>528</v>
      </c>
      <c r="I3106" t="s">
        <v>86</v>
      </c>
      <c r="J3106">
        <v>39</v>
      </c>
      <c r="K3106" t="s">
        <v>82</v>
      </c>
      <c r="L3106" t="s">
        <v>100</v>
      </c>
      <c r="M3106" t="s">
        <v>56</v>
      </c>
      <c r="N3106" t="s">
        <v>2626</v>
      </c>
      <c r="O3106" t="s">
        <v>125</v>
      </c>
      <c r="P3106" t="s">
        <v>48</v>
      </c>
      <c r="Q3106" t="s">
        <v>141</v>
      </c>
      <c r="R3106">
        <v>3</v>
      </c>
      <c r="S3106">
        <v>1999</v>
      </c>
      <c r="T3106">
        <v>0.1</v>
      </c>
      <c r="U3106">
        <v>5397.3</v>
      </c>
      <c r="V3106">
        <v>3450</v>
      </c>
      <c r="W3106">
        <v>1947.3</v>
      </c>
      <c r="X3106" t="s">
        <v>73</v>
      </c>
      <c r="Y3106" t="s">
        <v>68</v>
      </c>
      <c r="Z3106" t="s">
        <v>162</v>
      </c>
      <c r="AA3106" t="s">
        <v>166</v>
      </c>
      <c r="AB3106">
        <v>3.2</v>
      </c>
      <c r="AC3106">
        <v>60</v>
      </c>
      <c r="AD3106">
        <v>138.36000000000001</v>
      </c>
      <c r="AE3106">
        <f t="shared" si="96"/>
        <v>1748.94</v>
      </c>
      <c r="AF3106" t="str">
        <f t="shared" si="97"/>
        <v>2026-02</v>
      </c>
      <c r="AG3106">
        <f>SUBTOTAL(103,A3106)</f>
        <v>1</v>
      </c>
    </row>
    <row r="3107" spans="1:33" x14ac:dyDescent="0.3">
      <c r="A3107" t="s">
        <v>5730</v>
      </c>
      <c r="B3107" s="13">
        <v>46057</v>
      </c>
      <c r="C3107">
        <v>2026</v>
      </c>
      <c r="D3107">
        <v>2</v>
      </c>
      <c r="E3107" t="s">
        <v>2849</v>
      </c>
      <c r="F3107" t="s">
        <v>2572</v>
      </c>
      <c r="G3107" t="s">
        <v>431</v>
      </c>
      <c r="H3107" t="s">
        <v>432</v>
      </c>
      <c r="I3107" t="s">
        <v>86</v>
      </c>
      <c r="J3107">
        <v>19</v>
      </c>
      <c r="K3107" t="s">
        <v>80</v>
      </c>
      <c r="L3107" t="s">
        <v>99</v>
      </c>
      <c r="M3107" t="s">
        <v>58</v>
      </c>
      <c r="N3107" t="s">
        <v>2653</v>
      </c>
      <c r="O3107" t="s">
        <v>132</v>
      </c>
      <c r="P3107" t="s">
        <v>52</v>
      </c>
      <c r="Q3107" t="s">
        <v>150</v>
      </c>
      <c r="R3107">
        <v>3</v>
      </c>
      <c r="S3107">
        <v>899</v>
      </c>
      <c r="T3107">
        <v>0.05</v>
      </c>
      <c r="U3107">
        <v>2562.15</v>
      </c>
      <c r="V3107">
        <v>1260</v>
      </c>
      <c r="W3107">
        <v>1302.1500000000001</v>
      </c>
      <c r="X3107" t="s">
        <v>76</v>
      </c>
      <c r="Y3107" t="s">
        <v>68</v>
      </c>
      <c r="Z3107" t="s">
        <v>161</v>
      </c>
      <c r="AA3107" t="s">
        <v>167</v>
      </c>
      <c r="AB3107">
        <v>4.5</v>
      </c>
      <c r="AC3107">
        <v>50</v>
      </c>
      <c r="AD3107">
        <v>258.7</v>
      </c>
      <c r="AE3107">
        <f t="shared" si="96"/>
        <v>993.45</v>
      </c>
      <c r="AF3107" t="str">
        <f t="shared" si="97"/>
        <v>2026-02</v>
      </c>
      <c r="AG3107">
        <f>SUBTOTAL(103,A3107)</f>
        <v>1</v>
      </c>
    </row>
    <row r="3108" spans="1:33" x14ac:dyDescent="0.3">
      <c r="A3108" t="s">
        <v>5731</v>
      </c>
      <c r="B3108" s="13">
        <v>46057</v>
      </c>
      <c r="C3108">
        <v>2026</v>
      </c>
      <c r="D3108">
        <v>2</v>
      </c>
      <c r="E3108" t="s">
        <v>2849</v>
      </c>
      <c r="F3108" t="s">
        <v>2572</v>
      </c>
      <c r="G3108" t="s">
        <v>433</v>
      </c>
      <c r="H3108" t="s">
        <v>434</v>
      </c>
      <c r="I3108" t="s">
        <v>86</v>
      </c>
      <c r="J3108">
        <v>27</v>
      </c>
      <c r="K3108" t="s">
        <v>81</v>
      </c>
      <c r="L3108" t="s">
        <v>2679</v>
      </c>
      <c r="M3108" t="s">
        <v>60</v>
      </c>
      <c r="N3108" t="s">
        <v>2592</v>
      </c>
      <c r="O3108" t="s">
        <v>115</v>
      </c>
      <c r="P3108" t="s">
        <v>48</v>
      </c>
      <c r="Q3108" t="s">
        <v>137</v>
      </c>
      <c r="R3108">
        <v>4</v>
      </c>
      <c r="S3108">
        <v>12999</v>
      </c>
      <c r="T3108">
        <v>0.2</v>
      </c>
      <c r="U3108">
        <v>41596.800000000003</v>
      </c>
      <c r="V3108">
        <v>36000</v>
      </c>
      <c r="W3108">
        <v>5596.8</v>
      </c>
      <c r="X3108" t="s">
        <v>73</v>
      </c>
      <c r="Y3108" t="s">
        <v>68</v>
      </c>
      <c r="Z3108" t="s">
        <v>159</v>
      </c>
      <c r="AA3108" t="s">
        <v>166</v>
      </c>
      <c r="AB3108">
        <v>3.4</v>
      </c>
      <c r="AC3108">
        <v>80</v>
      </c>
      <c r="AD3108">
        <v>4735.53</v>
      </c>
      <c r="AE3108">
        <f t="shared" si="96"/>
        <v>781.27000000000044</v>
      </c>
      <c r="AF3108" t="str">
        <f t="shared" si="97"/>
        <v>2026-02</v>
      </c>
      <c r="AG3108">
        <f>SUBTOTAL(103,A3108)</f>
        <v>1</v>
      </c>
    </row>
    <row r="3109" spans="1:33" x14ac:dyDescent="0.3">
      <c r="A3109" t="s">
        <v>5732</v>
      </c>
      <c r="B3109" s="13">
        <v>46058</v>
      </c>
      <c r="C3109">
        <v>2026</v>
      </c>
      <c r="D3109">
        <v>2</v>
      </c>
      <c r="E3109" t="s">
        <v>2849</v>
      </c>
      <c r="F3109" t="s">
        <v>2572</v>
      </c>
      <c r="G3109" t="s">
        <v>721</v>
      </c>
      <c r="H3109" t="s">
        <v>722</v>
      </c>
      <c r="I3109" t="s">
        <v>85</v>
      </c>
      <c r="J3109">
        <v>37</v>
      </c>
      <c r="K3109" t="s">
        <v>82</v>
      </c>
      <c r="L3109" t="s">
        <v>94</v>
      </c>
      <c r="M3109" t="s">
        <v>57</v>
      </c>
      <c r="N3109" t="s">
        <v>2606</v>
      </c>
      <c r="O3109" t="s">
        <v>120</v>
      </c>
      <c r="P3109" t="s">
        <v>49</v>
      </c>
      <c r="Q3109" t="s">
        <v>140</v>
      </c>
      <c r="R3109">
        <v>1</v>
      </c>
      <c r="S3109">
        <v>2799</v>
      </c>
      <c r="T3109">
        <v>0.05</v>
      </c>
      <c r="U3109">
        <v>2659.05</v>
      </c>
      <c r="V3109">
        <v>1650</v>
      </c>
      <c r="W3109">
        <v>1009.05</v>
      </c>
      <c r="X3109" t="s">
        <v>75</v>
      </c>
      <c r="Y3109" t="s">
        <v>68</v>
      </c>
      <c r="Z3109" t="s">
        <v>158</v>
      </c>
      <c r="AA3109" t="s">
        <v>166</v>
      </c>
      <c r="AB3109">
        <v>4.8</v>
      </c>
      <c r="AC3109">
        <v>60</v>
      </c>
      <c r="AD3109">
        <v>241.33</v>
      </c>
      <c r="AE3109">
        <f t="shared" si="96"/>
        <v>707.71999999999991</v>
      </c>
      <c r="AF3109" t="str">
        <f t="shared" si="97"/>
        <v>2026-02</v>
      </c>
      <c r="AG3109">
        <f>SUBTOTAL(103,A3109)</f>
        <v>1</v>
      </c>
    </row>
    <row r="3110" spans="1:33" x14ac:dyDescent="0.3">
      <c r="A3110" t="s">
        <v>5733</v>
      </c>
      <c r="B3110" s="13">
        <v>46058</v>
      </c>
      <c r="C3110">
        <v>2026</v>
      </c>
      <c r="D3110">
        <v>2</v>
      </c>
      <c r="E3110" t="s">
        <v>2849</v>
      </c>
      <c r="F3110" t="s">
        <v>2572</v>
      </c>
      <c r="G3110" t="s">
        <v>221</v>
      </c>
      <c r="H3110" t="s">
        <v>222</v>
      </c>
      <c r="I3110" t="s">
        <v>85</v>
      </c>
      <c r="J3110">
        <v>26</v>
      </c>
      <c r="K3110" t="s">
        <v>81</v>
      </c>
      <c r="L3110" t="s">
        <v>59</v>
      </c>
      <c r="M3110" t="s">
        <v>59</v>
      </c>
      <c r="N3110" t="s">
        <v>2580</v>
      </c>
      <c r="O3110" t="s">
        <v>118</v>
      </c>
      <c r="P3110" t="s">
        <v>48</v>
      </c>
      <c r="Q3110" t="s">
        <v>142</v>
      </c>
      <c r="R3110">
        <v>5</v>
      </c>
      <c r="S3110">
        <v>3999</v>
      </c>
      <c r="T3110">
        <v>0</v>
      </c>
      <c r="U3110">
        <v>19995</v>
      </c>
      <c r="V3110">
        <v>12000</v>
      </c>
      <c r="W3110">
        <v>7995</v>
      </c>
      <c r="X3110" t="s">
        <v>74</v>
      </c>
      <c r="Y3110" t="s">
        <v>68</v>
      </c>
      <c r="Z3110" t="s">
        <v>158</v>
      </c>
      <c r="AA3110" t="s">
        <v>168</v>
      </c>
      <c r="AB3110">
        <v>4</v>
      </c>
      <c r="AC3110">
        <v>80</v>
      </c>
      <c r="AD3110">
        <v>1879.93</v>
      </c>
      <c r="AE3110">
        <f t="shared" si="96"/>
        <v>6035.07</v>
      </c>
      <c r="AF3110" t="str">
        <f t="shared" si="97"/>
        <v>2026-02</v>
      </c>
      <c r="AG3110">
        <f>SUBTOTAL(103,A3110)</f>
        <v>1</v>
      </c>
    </row>
    <row r="3111" spans="1:33" x14ac:dyDescent="0.3">
      <c r="A3111" t="s">
        <v>5734</v>
      </c>
      <c r="B3111" s="13">
        <v>46058</v>
      </c>
      <c r="C3111">
        <v>2026</v>
      </c>
      <c r="D3111">
        <v>2</v>
      </c>
      <c r="E3111" t="s">
        <v>2849</v>
      </c>
      <c r="F3111" t="s">
        <v>2572</v>
      </c>
      <c r="G3111" t="s">
        <v>1369</v>
      </c>
      <c r="H3111" t="s">
        <v>1370</v>
      </c>
      <c r="I3111" t="s">
        <v>86</v>
      </c>
      <c r="J3111">
        <v>23</v>
      </c>
      <c r="K3111" t="s">
        <v>80</v>
      </c>
      <c r="L3111" t="s">
        <v>59</v>
      </c>
      <c r="M3111" t="s">
        <v>59</v>
      </c>
      <c r="N3111" t="s">
        <v>2584</v>
      </c>
      <c r="O3111" t="s">
        <v>121</v>
      </c>
      <c r="P3111" t="s">
        <v>50</v>
      </c>
      <c r="Q3111" t="s">
        <v>144</v>
      </c>
      <c r="R3111">
        <v>1</v>
      </c>
      <c r="S3111">
        <v>2999</v>
      </c>
      <c r="T3111">
        <v>0.05</v>
      </c>
      <c r="U3111">
        <v>2849.05</v>
      </c>
      <c r="V3111">
        <v>1700</v>
      </c>
      <c r="W3111">
        <v>1149.05</v>
      </c>
      <c r="X3111" t="s">
        <v>75</v>
      </c>
      <c r="Y3111" t="s">
        <v>68</v>
      </c>
      <c r="Z3111" t="s">
        <v>160</v>
      </c>
      <c r="AA3111" t="s">
        <v>167</v>
      </c>
      <c r="AB3111">
        <v>3.6</v>
      </c>
      <c r="AC3111">
        <v>60</v>
      </c>
      <c r="AD3111">
        <v>190.56</v>
      </c>
      <c r="AE3111">
        <f t="shared" si="96"/>
        <v>898.49</v>
      </c>
      <c r="AF3111" t="str">
        <f t="shared" si="97"/>
        <v>2026-02</v>
      </c>
      <c r="AG3111">
        <f>SUBTOTAL(103,A3111)</f>
        <v>1</v>
      </c>
    </row>
    <row r="3112" spans="1:33" x14ac:dyDescent="0.3">
      <c r="A3112" t="s">
        <v>5735</v>
      </c>
      <c r="B3112" s="13">
        <v>46058</v>
      </c>
      <c r="C3112">
        <v>2026</v>
      </c>
      <c r="D3112">
        <v>2</v>
      </c>
      <c r="E3112" t="s">
        <v>2849</v>
      </c>
      <c r="F3112" t="s">
        <v>2572</v>
      </c>
      <c r="G3112" t="s">
        <v>793</v>
      </c>
      <c r="H3112" t="s">
        <v>794</v>
      </c>
      <c r="I3112" t="s">
        <v>85</v>
      </c>
      <c r="J3112">
        <v>32</v>
      </c>
      <c r="K3112" t="s">
        <v>81</v>
      </c>
      <c r="L3112" t="s">
        <v>59</v>
      </c>
      <c r="M3112" t="s">
        <v>59</v>
      </c>
      <c r="N3112" t="s">
        <v>2580</v>
      </c>
      <c r="O3112" t="s">
        <v>118</v>
      </c>
      <c r="P3112" t="s">
        <v>48</v>
      </c>
      <c r="Q3112" t="s">
        <v>142</v>
      </c>
      <c r="R3112">
        <v>2</v>
      </c>
      <c r="S3112">
        <v>3999</v>
      </c>
      <c r="T3112">
        <v>0.05</v>
      </c>
      <c r="U3112">
        <v>7598.1</v>
      </c>
      <c r="V3112">
        <v>4800</v>
      </c>
      <c r="W3112">
        <v>2798.1</v>
      </c>
      <c r="X3112" t="s">
        <v>76</v>
      </c>
      <c r="Y3112" t="s">
        <v>68</v>
      </c>
      <c r="Z3112" t="s">
        <v>158</v>
      </c>
      <c r="AA3112" t="s">
        <v>170</v>
      </c>
      <c r="AB3112">
        <v>4.4000000000000004</v>
      </c>
      <c r="AC3112">
        <v>50</v>
      </c>
      <c r="AD3112">
        <v>493.58</v>
      </c>
      <c r="AE3112">
        <f t="shared" si="96"/>
        <v>2254.52</v>
      </c>
      <c r="AF3112" t="str">
        <f t="shared" si="97"/>
        <v>2026-02</v>
      </c>
      <c r="AG3112">
        <f>SUBTOTAL(103,A3112)</f>
        <v>1</v>
      </c>
    </row>
    <row r="3113" spans="1:33" x14ac:dyDescent="0.3">
      <c r="A3113" t="s">
        <v>5736</v>
      </c>
      <c r="B3113" s="13">
        <v>46058</v>
      </c>
      <c r="C3113">
        <v>2026</v>
      </c>
      <c r="D3113">
        <v>2</v>
      </c>
      <c r="E3113" t="s">
        <v>2849</v>
      </c>
      <c r="F3113" t="s">
        <v>2572</v>
      </c>
      <c r="G3113" t="s">
        <v>2091</v>
      </c>
      <c r="H3113" t="s">
        <v>2092</v>
      </c>
      <c r="I3113" t="s">
        <v>86</v>
      </c>
      <c r="J3113">
        <v>42</v>
      </c>
      <c r="K3113" t="s">
        <v>82</v>
      </c>
      <c r="L3113" t="s">
        <v>2589</v>
      </c>
      <c r="M3113" t="s">
        <v>61</v>
      </c>
      <c r="N3113" t="s">
        <v>2606</v>
      </c>
      <c r="O3113" t="s">
        <v>120</v>
      </c>
      <c r="P3113" t="s">
        <v>49</v>
      </c>
      <c r="Q3113" t="s">
        <v>140</v>
      </c>
      <c r="R3113">
        <v>4</v>
      </c>
      <c r="S3113">
        <v>2799</v>
      </c>
      <c r="T3113">
        <v>0.25</v>
      </c>
      <c r="U3113">
        <v>8397</v>
      </c>
      <c r="V3113">
        <v>6600</v>
      </c>
      <c r="W3113">
        <v>1797</v>
      </c>
      <c r="X3113" t="s">
        <v>73</v>
      </c>
      <c r="Y3113" t="s">
        <v>68</v>
      </c>
      <c r="Z3113" t="s">
        <v>163</v>
      </c>
      <c r="AA3113" t="s">
        <v>168</v>
      </c>
      <c r="AB3113">
        <v>4.5999999999999996</v>
      </c>
      <c r="AC3113">
        <v>60</v>
      </c>
      <c r="AD3113">
        <v>508.76</v>
      </c>
      <c r="AE3113">
        <f t="shared" si="96"/>
        <v>1228.24</v>
      </c>
      <c r="AF3113" t="str">
        <f t="shared" si="97"/>
        <v>2026-02</v>
      </c>
      <c r="AG3113">
        <f>SUBTOTAL(103,A3113)</f>
        <v>1</v>
      </c>
    </row>
    <row r="3114" spans="1:33" x14ac:dyDescent="0.3">
      <c r="A3114" t="s">
        <v>5737</v>
      </c>
      <c r="B3114" s="13">
        <v>46058</v>
      </c>
      <c r="C3114">
        <v>2026</v>
      </c>
      <c r="D3114">
        <v>2</v>
      </c>
      <c r="E3114" t="s">
        <v>2849</v>
      </c>
      <c r="F3114" t="s">
        <v>2572</v>
      </c>
      <c r="G3114" t="s">
        <v>223</v>
      </c>
      <c r="H3114" t="s">
        <v>224</v>
      </c>
      <c r="I3114" t="s">
        <v>85</v>
      </c>
      <c r="J3114">
        <v>34</v>
      </c>
      <c r="K3114" t="s">
        <v>81</v>
      </c>
      <c r="L3114" t="s">
        <v>97</v>
      </c>
      <c r="M3114" t="s">
        <v>57</v>
      </c>
      <c r="N3114" t="s">
        <v>2582</v>
      </c>
      <c r="O3114" t="s">
        <v>119</v>
      </c>
      <c r="P3114" t="s">
        <v>49</v>
      </c>
      <c r="Q3114" t="s">
        <v>140</v>
      </c>
      <c r="R3114">
        <v>4</v>
      </c>
      <c r="S3114">
        <v>3499</v>
      </c>
      <c r="T3114">
        <v>0.15</v>
      </c>
      <c r="U3114">
        <v>11896.6</v>
      </c>
      <c r="V3114">
        <v>8400</v>
      </c>
      <c r="W3114">
        <v>3496.6</v>
      </c>
      <c r="X3114" t="s">
        <v>73</v>
      </c>
      <c r="Y3114" t="s">
        <v>69</v>
      </c>
      <c r="Z3114" t="s">
        <v>159</v>
      </c>
      <c r="AA3114" t="s">
        <v>167</v>
      </c>
      <c r="AB3114">
        <v>4.0999999999999996</v>
      </c>
      <c r="AC3114">
        <v>80</v>
      </c>
      <c r="AD3114">
        <v>1178.6500000000001</v>
      </c>
      <c r="AE3114">
        <f t="shared" si="96"/>
        <v>2237.9499999999998</v>
      </c>
      <c r="AF3114" t="str">
        <f t="shared" si="97"/>
        <v>2026-02</v>
      </c>
      <c r="AG3114">
        <f>SUBTOTAL(103,A3114)</f>
        <v>1</v>
      </c>
    </row>
    <row r="3115" spans="1:33" x14ac:dyDescent="0.3">
      <c r="A3115" t="s">
        <v>5738</v>
      </c>
      <c r="B3115" s="13">
        <v>46059</v>
      </c>
      <c r="C3115">
        <v>2026</v>
      </c>
      <c r="D3115">
        <v>2</v>
      </c>
      <c r="E3115" t="s">
        <v>2849</v>
      </c>
      <c r="F3115" t="s">
        <v>2572</v>
      </c>
      <c r="G3115" t="s">
        <v>2343</v>
      </c>
      <c r="H3115" t="s">
        <v>2344</v>
      </c>
      <c r="I3115" t="s">
        <v>85</v>
      </c>
      <c r="J3115">
        <v>37</v>
      </c>
      <c r="K3115" t="s">
        <v>82</v>
      </c>
      <c r="L3115" t="s">
        <v>2623</v>
      </c>
      <c r="M3115" t="s">
        <v>61</v>
      </c>
      <c r="N3115" t="s">
        <v>2626</v>
      </c>
      <c r="O3115" t="s">
        <v>125</v>
      </c>
      <c r="P3115" t="s">
        <v>48</v>
      </c>
      <c r="Q3115" t="s">
        <v>141</v>
      </c>
      <c r="R3115">
        <v>1</v>
      </c>
      <c r="S3115">
        <v>1999</v>
      </c>
      <c r="T3115">
        <v>0.1</v>
      </c>
      <c r="U3115">
        <v>1799.1</v>
      </c>
      <c r="V3115">
        <v>1150</v>
      </c>
      <c r="W3115">
        <v>649.1</v>
      </c>
      <c r="X3115" t="s">
        <v>76</v>
      </c>
      <c r="Y3115" t="s">
        <v>68</v>
      </c>
      <c r="Z3115" t="s">
        <v>160</v>
      </c>
      <c r="AA3115" t="s">
        <v>171</v>
      </c>
      <c r="AB3115">
        <v>4.4000000000000004</v>
      </c>
      <c r="AC3115">
        <v>60</v>
      </c>
      <c r="AD3115">
        <v>124.97</v>
      </c>
      <c r="AE3115">
        <f t="shared" si="96"/>
        <v>464.13</v>
      </c>
      <c r="AF3115" t="str">
        <f t="shared" si="97"/>
        <v>2026-02</v>
      </c>
      <c r="AG3115">
        <f>SUBTOTAL(103,A3115)</f>
        <v>1</v>
      </c>
    </row>
    <row r="3116" spans="1:33" x14ac:dyDescent="0.3">
      <c r="A3116" t="s">
        <v>5739</v>
      </c>
      <c r="B3116" s="13">
        <v>46059</v>
      </c>
      <c r="C3116">
        <v>2026</v>
      </c>
      <c r="D3116">
        <v>2</v>
      </c>
      <c r="E3116" t="s">
        <v>2849</v>
      </c>
      <c r="F3116" t="s">
        <v>2572</v>
      </c>
      <c r="G3116" t="s">
        <v>1433</v>
      </c>
      <c r="H3116" t="s">
        <v>1434</v>
      </c>
      <c r="I3116" t="s">
        <v>85</v>
      </c>
      <c r="J3116">
        <v>53</v>
      </c>
      <c r="K3116" t="s">
        <v>83</v>
      </c>
      <c r="L3116" t="s">
        <v>91</v>
      </c>
      <c r="M3116" t="s">
        <v>55</v>
      </c>
      <c r="N3116" t="s">
        <v>2603</v>
      </c>
      <c r="O3116" t="s">
        <v>122</v>
      </c>
      <c r="P3116" t="s">
        <v>48</v>
      </c>
      <c r="Q3116" t="s">
        <v>141</v>
      </c>
      <c r="R3116">
        <v>5</v>
      </c>
      <c r="S3116">
        <v>2499</v>
      </c>
      <c r="T3116">
        <v>0.05</v>
      </c>
      <c r="U3116">
        <v>11870.25</v>
      </c>
      <c r="V3116">
        <v>7250</v>
      </c>
      <c r="W3116">
        <v>4620.25</v>
      </c>
      <c r="X3116" t="s">
        <v>77</v>
      </c>
      <c r="Y3116" t="s">
        <v>68</v>
      </c>
      <c r="Z3116" t="s">
        <v>160</v>
      </c>
      <c r="AA3116" t="s">
        <v>167</v>
      </c>
      <c r="AB3116">
        <v>4.3</v>
      </c>
      <c r="AC3116">
        <v>80</v>
      </c>
      <c r="AD3116">
        <v>763.41</v>
      </c>
      <c r="AE3116">
        <f t="shared" si="96"/>
        <v>3776.84</v>
      </c>
      <c r="AF3116" t="str">
        <f t="shared" si="97"/>
        <v>2026-02</v>
      </c>
      <c r="AG3116">
        <f>SUBTOTAL(103,A3116)</f>
        <v>1</v>
      </c>
    </row>
    <row r="3117" spans="1:33" x14ac:dyDescent="0.3">
      <c r="A3117" t="s">
        <v>5740</v>
      </c>
      <c r="B3117" s="13">
        <v>46059</v>
      </c>
      <c r="C3117">
        <v>2026</v>
      </c>
      <c r="D3117">
        <v>2</v>
      </c>
      <c r="E3117" t="s">
        <v>2849</v>
      </c>
      <c r="F3117" t="s">
        <v>2572</v>
      </c>
      <c r="G3117" t="s">
        <v>335</v>
      </c>
      <c r="H3117" t="s">
        <v>336</v>
      </c>
      <c r="I3117" t="s">
        <v>86</v>
      </c>
      <c r="J3117">
        <v>26</v>
      </c>
      <c r="K3117" t="s">
        <v>81</v>
      </c>
      <c r="L3117" t="s">
        <v>2605</v>
      </c>
      <c r="M3117" t="s">
        <v>60</v>
      </c>
      <c r="N3117" t="s">
        <v>2647</v>
      </c>
      <c r="O3117" t="s">
        <v>133</v>
      </c>
      <c r="P3117" t="s">
        <v>50</v>
      </c>
      <c r="Q3117" t="s">
        <v>145</v>
      </c>
      <c r="R3117">
        <v>2</v>
      </c>
      <c r="S3117">
        <v>799</v>
      </c>
      <c r="T3117">
        <v>0.1</v>
      </c>
      <c r="U3117">
        <v>1438.2</v>
      </c>
      <c r="V3117">
        <v>780</v>
      </c>
      <c r="W3117">
        <v>658.2</v>
      </c>
      <c r="X3117" t="s">
        <v>73</v>
      </c>
      <c r="Y3117" t="s">
        <v>68</v>
      </c>
      <c r="Z3117" t="s">
        <v>159</v>
      </c>
      <c r="AA3117" t="s">
        <v>171</v>
      </c>
      <c r="AB3117">
        <v>3.7</v>
      </c>
      <c r="AC3117">
        <v>60</v>
      </c>
      <c r="AD3117">
        <v>43.3</v>
      </c>
      <c r="AE3117">
        <f t="shared" si="96"/>
        <v>554.90000000000009</v>
      </c>
      <c r="AF3117" t="str">
        <f t="shared" si="97"/>
        <v>2026-02</v>
      </c>
      <c r="AG3117">
        <f>SUBTOTAL(103,A3117)</f>
        <v>1</v>
      </c>
    </row>
    <row r="3118" spans="1:33" x14ac:dyDescent="0.3">
      <c r="A3118" t="s">
        <v>5741</v>
      </c>
      <c r="B3118" s="13">
        <v>46059</v>
      </c>
      <c r="C3118">
        <v>2026</v>
      </c>
      <c r="D3118">
        <v>2</v>
      </c>
      <c r="E3118" t="s">
        <v>2849</v>
      </c>
      <c r="F3118" t="s">
        <v>2572</v>
      </c>
      <c r="G3118" t="s">
        <v>1287</v>
      </c>
      <c r="H3118" t="s">
        <v>1288</v>
      </c>
      <c r="I3118" t="s">
        <v>86</v>
      </c>
      <c r="J3118">
        <v>19</v>
      </c>
      <c r="K3118" t="s">
        <v>80</v>
      </c>
      <c r="L3118" t="s">
        <v>94</v>
      </c>
      <c r="M3118" t="s">
        <v>57</v>
      </c>
      <c r="N3118" t="s">
        <v>2594</v>
      </c>
      <c r="O3118" t="s">
        <v>131</v>
      </c>
      <c r="P3118" t="s">
        <v>53</v>
      </c>
      <c r="Q3118" t="s">
        <v>143</v>
      </c>
      <c r="R3118">
        <v>5</v>
      </c>
      <c r="S3118">
        <v>999</v>
      </c>
      <c r="T3118">
        <v>0.05</v>
      </c>
      <c r="U3118">
        <v>4745.25</v>
      </c>
      <c r="V3118">
        <v>2600</v>
      </c>
      <c r="W3118">
        <v>2145.25</v>
      </c>
      <c r="X3118" t="s">
        <v>73</v>
      </c>
      <c r="Y3118" t="s">
        <v>68</v>
      </c>
      <c r="Z3118" t="s">
        <v>161</v>
      </c>
      <c r="AA3118" t="s">
        <v>170</v>
      </c>
      <c r="AB3118">
        <v>3.8</v>
      </c>
      <c r="AC3118">
        <v>80</v>
      </c>
      <c r="AD3118">
        <v>446.52</v>
      </c>
      <c r="AE3118">
        <f t="shared" si="96"/>
        <v>1618.73</v>
      </c>
      <c r="AF3118" t="str">
        <f t="shared" si="97"/>
        <v>2026-02</v>
      </c>
      <c r="AG3118">
        <f>SUBTOTAL(103,A3118)</f>
        <v>1</v>
      </c>
    </row>
    <row r="3119" spans="1:33" x14ac:dyDescent="0.3">
      <c r="A3119" t="s">
        <v>5742</v>
      </c>
      <c r="B3119" s="13">
        <v>46059</v>
      </c>
      <c r="C3119">
        <v>2026</v>
      </c>
      <c r="D3119">
        <v>2</v>
      </c>
      <c r="E3119" t="s">
        <v>2849</v>
      </c>
      <c r="F3119" t="s">
        <v>2572</v>
      </c>
      <c r="G3119" t="s">
        <v>1855</v>
      </c>
      <c r="H3119" t="s">
        <v>1856</v>
      </c>
      <c r="I3119" t="s">
        <v>85</v>
      </c>
      <c r="J3119">
        <v>20</v>
      </c>
      <c r="K3119" t="s">
        <v>80</v>
      </c>
      <c r="L3119" t="s">
        <v>2674</v>
      </c>
      <c r="M3119" t="s">
        <v>58</v>
      </c>
      <c r="N3119" t="s">
        <v>2574</v>
      </c>
      <c r="O3119" t="s">
        <v>130</v>
      </c>
      <c r="P3119" t="s">
        <v>50</v>
      </c>
      <c r="Q3119" t="s">
        <v>53</v>
      </c>
      <c r="R3119">
        <v>1</v>
      </c>
      <c r="S3119">
        <v>1199</v>
      </c>
      <c r="T3119">
        <v>0.15</v>
      </c>
      <c r="U3119">
        <v>1019.15</v>
      </c>
      <c r="V3119">
        <v>550</v>
      </c>
      <c r="W3119">
        <v>469.15</v>
      </c>
      <c r="X3119" t="s">
        <v>73</v>
      </c>
      <c r="Y3119" t="s">
        <v>68</v>
      </c>
      <c r="Z3119" t="s">
        <v>159</v>
      </c>
      <c r="AA3119" t="s">
        <v>171</v>
      </c>
      <c r="AB3119">
        <v>4.2</v>
      </c>
      <c r="AC3119">
        <v>80</v>
      </c>
      <c r="AD3119">
        <v>107.2</v>
      </c>
      <c r="AE3119">
        <f t="shared" si="96"/>
        <v>281.95</v>
      </c>
      <c r="AF3119" t="str">
        <f t="shared" si="97"/>
        <v>2026-02</v>
      </c>
      <c r="AG3119">
        <f>SUBTOTAL(103,A3119)</f>
        <v>1</v>
      </c>
    </row>
    <row r="3120" spans="1:33" x14ac:dyDescent="0.3">
      <c r="A3120" t="s">
        <v>5743</v>
      </c>
      <c r="B3120" s="13">
        <v>46059</v>
      </c>
      <c r="C3120">
        <v>2026</v>
      </c>
      <c r="D3120">
        <v>2</v>
      </c>
      <c r="E3120" t="s">
        <v>2849</v>
      </c>
      <c r="F3120" t="s">
        <v>2572</v>
      </c>
      <c r="G3120" t="s">
        <v>1639</v>
      </c>
      <c r="H3120" t="s">
        <v>1640</v>
      </c>
      <c r="I3120" t="s">
        <v>85</v>
      </c>
      <c r="J3120">
        <v>32</v>
      </c>
      <c r="K3120" t="s">
        <v>81</v>
      </c>
      <c r="L3120" t="s">
        <v>95</v>
      </c>
      <c r="M3120" t="s">
        <v>56</v>
      </c>
      <c r="N3120" t="s">
        <v>2582</v>
      </c>
      <c r="O3120" t="s">
        <v>119</v>
      </c>
      <c r="P3120" t="s">
        <v>49</v>
      </c>
      <c r="Q3120" t="s">
        <v>140</v>
      </c>
      <c r="R3120">
        <v>5</v>
      </c>
      <c r="S3120">
        <v>3499</v>
      </c>
      <c r="T3120">
        <v>0.25</v>
      </c>
      <c r="U3120">
        <v>13121.25</v>
      </c>
      <c r="V3120">
        <v>10500</v>
      </c>
      <c r="W3120">
        <v>2621.25</v>
      </c>
      <c r="X3120" t="s">
        <v>76</v>
      </c>
      <c r="Y3120" t="s">
        <v>69</v>
      </c>
      <c r="Z3120" t="s">
        <v>160</v>
      </c>
      <c r="AA3120" t="s">
        <v>169</v>
      </c>
      <c r="AB3120">
        <v>4.3</v>
      </c>
      <c r="AC3120">
        <v>80</v>
      </c>
      <c r="AD3120">
        <v>905.63</v>
      </c>
      <c r="AE3120">
        <f t="shared" si="96"/>
        <v>1635.62</v>
      </c>
      <c r="AF3120" t="str">
        <f t="shared" si="97"/>
        <v>2026-02</v>
      </c>
      <c r="AG3120">
        <f>SUBTOTAL(103,A3120)</f>
        <v>1</v>
      </c>
    </row>
    <row r="3121" spans="1:33" x14ac:dyDescent="0.3">
      <c r="A3121" t="s">
        <v>5744</v>
      </c>
      <c r="B3121" s="13">
        <v>46059</v>
      </c>
      <c r="C3121">
        <v>2026</v>
      </c>
      <c r="D3121">
        <v>2</v>
      </c>
      <c r="E3121" t="s">
        <v>2849</v>
      </c>
      <c r="F3121" t="s">
        <v>2572</v>
      </c>
      <c r="G3121" t="s">
        <v>605</v>
      </c>
      <c r="H3121" t="s">
        <v>606</v>
      </c>
      <c r="I3121" t="s">
        <v>85</v>
      </c>
      <c r="J3121">
        <v>49</v>
      </c>
      <c r="K3121" t="s">
        <v>83</v>
      </c>
      <c r="L3121" t="s">
        <v>100</v>
      </c>
      <c r="M3121" t="s">
        <v>56</v>
      </c>
      <c r="N3121" t="s">
        <v>2590</v>
      </c>
      <c r="O3121" t="s">
        <v>127</v>
      </c>
      <c r="P3121" t="s">
        <v>51</v>
      </c>
      <c r="Q3121" t="s">
        <v>148</v>
      </c>
      <c r="R3121">
        <v>4</v>
      </c>
      <c r="S3121">
        <v>1599</v>
      </c>
      <c r="T3121">
        <v>0.05</v>
      </c>
      <c r="U3121">
        <v>6076.2</v>
      </c>
      <c r="V3121">
        <v>3200</v>
      </c>
      <c r="W3121">
        <v>2876.2</v>
      </c>
      <c r="X3121" t="s">
        <v>76</v>
      </c>
      <c r="Y3121" t="s">
        <v>68</v>
      </c>
      <c r="Z3121" t="s">
        <v>160</v>
      </c>
      <c r="AA3121" t="s">
        <v>167</v>
      </c>
      <c r="AB3121">
        <v>3.8</v>
      </c>
      <c r="AC3121">
        <v>80</v>
      </c>
      <c r="AD3121">
        <v>247.3</v>
      </c>
      <c r="AE3121">
        <f t="shared" si="96"/>
        <v>2548.8999999999996</v>
      </c>
      <c r="AF3121" t="str">
        <f t="shared" si="97"/>
        <v>2026-02</v>
      </c>
      <c r="AG3121">
        <f>SUBTOTAL(103,A3121)</f>
        <v>1</v>
      </c>
    </row>
    <row r="3122" spans="1:33" x14ac:dyDescent="0.3">
      <c r="A3122" t="s">
        <v>5745</v>
      </c>
      <c r="B3122" s="13">
        <v>46059</v>
      </c>
      <c r="C3122">
        <v>2026</v>
      </c>
      <c r="D3122">
        <v>2</v>
      </c>
      <c r="E3122" t="s">
        <v>2849</v>
      </c>
      <c r="F3122" t="s">
        <v>2572</v>
      </c>
      <c r="G3122" t="s">
        <v>419</v>
      </c>
      <c r="H3122" t="s">
        <v>420</v>
      </c>
      <c r="I3122" t="s">
        <v>87</v>
      </c>
      <c r="J3122">
        <v>55</v>
      </c>
      <c r="K3122" t="s">
        <v>83</v>
      </c>
      <c r="L3122" t="s">
        <v>2679</v>
      </c>
      <c r="M3122" t="s">
        <v>60</v>
      </c>
      <c r="N3122" t="s">
        <v>2582</v>
      </c>
      <c r="O3122" t="s">
        <v>119</v>
      </c>
      <c r="P3122" t="s">
        <v>49</v>
      </c>
      <c r="Q3122" t="s">
        <v>140</v>
      </c>
      <c r="R3122">
        <v>2</v>
      </c>
      <c r="S3122">
        <v>3499</v>
      </c>
      <c r="T3122">
        <v>0</v>
      </c>
      <c r="U3122">
        <v>6998</v>
      </c>
      <c r="V3122">
        <v>4200</v>
      </c>
      <c r="W3122">
        <v>2798</v>
      </c>
      <c r="X3122" t="s">
        <v>73</v>
      </c>
      <c r="Y3122" t="s">
        <v>68</v>
      </c>
      <c r="Z3122" t="s">
        <v>160</v>
      </c>
      <c r="AA3122" t="s">
        <v>169</v>
      </c>
      <c r="AB3122">
        <v>5</v>
      </c>
      <c r="AC3122">
        <v>80</v>
      </c>
      <c r="AD3122">
        <v>173.76</v>
      </c>
      <c r="AE3122">
        <f t="shared" si="96"/>
        <v>2544.2399999999998</v>
      </c>
      <c r="AF3122" t="str">
        <f t="shared" si="97"/>
        <v>2026-02</v>
      </c>
      <c r="AG3122">
        <f>SUBTOTAL(103,A3122)</f>
        <v>1</v>
      </c>
    </row>
    <row r="3123" spans="1:33" x14ac:dyDescent="0.3">
      <c r="A3123" t="s">
        <v>5746</v>
      </c>
      <c r="B3123" s="13">
        <v>46059</v>
      </c>
      <c r="C3123">
        <v>2026</v>
      </c>
      <c r="D3123">
        <v>2</v>
      </c>
      <c r="E3123" t="s">
        <v>2849</v>
      </c>
      <c r="F3123" t="s">
        <v>2572</v>
      </c>
      <c r="G3123" t="s">
        <v>813</v>
      </c>
      <c r="H3123" t="s">
        <v>814</v>
      </c>
      <c r="I3123" t="s">
        <v>86</v>
      </c>
      <c r="J3123">
        <v>60</v>
      </c>
      <c r="K3123" t="s">
        <v>83</v>
      </c>
      <c r="L3123" t="s">
        <v>99</v>
      </c>
      <c r="M3123" t="s">
        <v>58</v>
      </c>
      <c r="N3123" t="s">
        <v>2587</v>
      </c>
      <c r="O3123" t="s">
        <v>116</v>
      </c>
      <c r="P3123" t="s">
        <v>48</v>
      </c>
      <c r="Q3123" t="s">
        <v>138</v>
      </c>
      <c r="R3123">
        <v>1</v>
      </c>
      <c r="S3123">
        <v>14999</v>
      </c>
      <c r="T3123">
        <v>0.1</v>
      </c>
      <c r="U3123">
        <v>13499.1</v>
      </c>
      <c r="V3123">
        <v>11200</v>
      </c>
      <c r="W3123">
        <v>2299.1</v>
      </c>
      <c r="X3123" t="s">
        <v>73</v>
      </c>
      <c r="Y3123" t="s">
        <v>68</v>
      </c>
      <c r="Z3123" t="s">
        <v>158</v>
      </c>
      <c r="AA3123" t="s">
        <v>171</v>
      </c>
      <c r="AB3123">
        <v>4.5999999999999996</v>
      </c>
      <c r="AC3123">
        <v>120</v>
      </c>
      <c r="AD3123">
        <v>713.4</v>
      </c>
      <c r="AE3123">
        <f t="shared" si="96"/>
        <v>1465.6999999999998</v>
      </c>
      <c r="AF3123" t="str">
        <f t="shared" si="97"/>
        <v>2026-02</v>
      </c>
      <c r="AG3123">
        <f>SUBTOTAL(103,A3123)</f>
        <v>1</v>
      </c>
    </row>
    <row r="3124" spans="1:33" x14ac:dyDescent="0.3">
      <c r="A3124" t="s">
        <v>5747</v>
      </c>
      <c r="B3124" s="13">
        <v>46059</v>
      </c>
      <c r="C3124">
        <v>2026</v>
      </c>
      <c r="D3124">
        <v>2</v>
      </c>
      <c r="E3124" t="s">
        <v>2849</v>
      </c>
      <c r="F3124" t="s">
        <v>2572</v>
      </c>
      <c r="G3124" t="s">
        <v>1719</v>
      </c>
      <c r="H3124" t="s">
        <v>1720</v>
      </c>
      <c r="I3124" t="s">
        <v>86</v>
      </c>
      <c r="J3124">
        <v>44</v>
      </c>
      <c r="K3124" t="s">
        <v>82</v>
      </c>
      <c r="L3124" t="s">
        <v>2616</v>
      </c>
      <c r="M3124" t="s">
        <v>62</v>
      </c>
      <c r="N3124" t="s">
        <v>2580</v>
      </c>
      <c r="O3124" t="s">
        <v>118</v>
      </c>
      <c r="P3124" t="s">
        <v>48</v>
      </c>
      <c r="Q3124" t="s">
        <v>142</v>
      </c>
      <c r="R3124">
        <v>2</v>
      </c>
      <c r="S3124">
        <v>3999</v>
      </c>
      <c r="T3124">
        <v>0.25</v>
      </c>
      <c r="U3124">
        <v>0</v>
      </c>
      <c r="V3124">
        <v>0</v>
      </c>
      <c r="W3124">
        <v>0</v>
      </c>
      <c r="X3124" t="s">
        <v>75</v>
      </c>
      <c r="Y3124" t="s">
        <v>71</v>
      </c>
      <c r="Z3124" t="s">
        <v>159</v>
      </c>
      <c r="AA3124" t="s">
        <v>166</v>
      </c>
      <c r="AB3124">
        <v>4.3</v>
      </c>
      <c r="AC3124">
        <v>120</v>
      </c>
      <c r="AD3124">
        <v>234.04</v>
      </c>
      <c r="AE3124">
        <f t="shared" si="96"/>
        <v>-354.03999999999996</v>
      </c>
      <c r="AF3124" t="str">
        <f t="shared" si="97"/>
        <v>2026-02</v>
      </c>
      <c r="AG3124">
        <f>SUBTOTAL(103,A3124)</f>
        <v>1</v>
      </c>
    </row>
    <row r="3125" spans="1:33" x14ac:dyDescent="0.3">
      <c r="A3125" t="s">
        <v>5748</v>
      </c>
      <c r="B3125" s="13">
        <v>46060</v>
      </c>
      <c r="C3125">
        <v>2026</v>
      </c>
      <c r="D3125">
        <v>2</v>
      </c>
      <c r="E3125" t="s">
        <v>2849</v>
      </c>
      <c r="F3125" t="s">
        <v>2572</v>
      </c>
      <c r="G3125" t="s">
        <v>2439</v>
      </c>
      <c r="H3125" t="s">
        <v>2440</v>
      </c>
      <c r="I3125" t="s">
        <v>86</v>
      </c>
      <c r="J3125">
        <v>38</v>
      </c>
      <c r="K3125" t="s">
        <v>82</v>
      </c>
      <c r="L3125" t="s">
        <v>90</v>
      </c>
      <c r="M3125" t="s">
        <v>55</v>
      </c>
      <c r="N3125" t="s">
        <v>2574</v>
      </c>
      <c r="O3125" t="s">
        <v>130</v>
      </c>
      <c r="P3125" t="s">
        <v>50</v>
      </c>
      <c r="Q3125" t="s">
        <v>53</v>
      </c>
      <c r="R3125">
        <v>2</v>
      </c>
      <c r="S3125">
        <v>1199</v>
      </c>
      <c r="T3125">
        <v>0</v>
      </c>
      <c r="U3125">
        <v>2398</v>
      </c>
      <c r="V3125">
        <v>1100</v>
      </c>
      <c r="W3125">
        <v>1298</v>
      </c>
      <c r="X3125" t="s">
        <v>73</v>
      </c>
      <c r="Y3125" t="s">
        <v>68</v>
      </c>
      <c r="Z3125" t="s">
        <v>159</v>
      </c>
      <c r="AA3125" t="s">
        <v>166</v>
      </c>
      <c r="AB3125">
        <v>4.3</v>
      </c>
      <c r="AC3125">
        <v>50</v>
      </c>
      <c r="AD3125">
        <v>236.79</v>
      </c>
      <c r="AE3125">
        <f t="shared" si="96"/>
        <v>1011.21</v>
      </c>
      <c r="AF3125" t="str">
        <f t="shared" si="97"/>
        <v>2026-02</v>
      </c>
      <c r="AG3125">
        <f>SUBTOTAL(103,A3125)</f>
        <v>1</v>
      </c>
    </row>
    <row r="3126" spans="1:33" x14ac:dyDescent="0.3">
      <c r="A3126" t="s">
        <v>5749</v>
      </c>
      <c r="B3126" s="13">
        <v>46060</v>
      </c>
      <c r="C3126">
        <v>2026</v>
      </c>
      <c r="D3126">
        <v>2</v>
      </c>
      <c r="E3126" t="s">
        <v>2849</v>
      </c>
      <c r="F3126" t="s">
        <v>2572</v>
      </c>
      <c r="G3126" t="s">
        <v>915</v>
      </c>
      <c r="H3126" t="s">
        <v>916</v>
      </c>
      <c r="I3126" t="s">
        <v>85</v>
      </c>
      <c r="J3126">
        <v>20</v>
      </c>
      <c r="K3126" t="s">
        <v>80</v>
      </c>
      <c r="L3126" t="s">
        <v>2634</v>
      </c>
      <c r="M3126" t="s">
        <v>56</v>
      </c>
      <c r="N3126" t="s">
        <v>2596</v>
      </c>
      <c r="O3126" t="s">
        <v>124</v>
      </c>
      <c r="P3126" t="s">
        <v>51</v>
      </c>
      <c r="Q3126" t="s">
        <v>147</v>
      </c>
      <c r="R3126">
        <v>3</v>
      </c>
      <c r="S3126">
        <v>2299</v>
      </c>
      <c r="T3126">
        <v>0.15</v>
      </c>
      <c r="U3126">
        <v>5862.45</v>
      </c>
      <c r="V3126">
        <v>3600</v>
      </c>
      <c r="W3126">
        <v>2262.4499999999998</v>
      </c>
      <c r="X3126" t="s">
        <v>73</v>
      </c>
      <c r="Y3126" t="s">
        <v>68</v>
      </c>
      <c r="Z3126" t="s">
        <v>163</v>
      </c>
      <c r="AA3126" t="s">
        <v>167</v>
      </c>
      <c r="AB3126">
        <v>3.4</v>
      </c>
      <c r="AC3126">
        <v>120</v>
      </c>
      <c r="AD3126">
        <v>499.57</v>
      </c>
      <c r="AE3126">
        <f t="shared" si="96"/>
        <v>1642.8799999999999</v>
      </c>
      <c r="AF3126" t="str">
        <f t="shared" si="97"/>
        <v>2026-02</v>
      </c>
      <c r="AG3126">
        <f>SUBTOTAL(103,A3126)</f>
        <v>1</v>
      </c>
    </row>
    <row r="3127" spans="1:33" x14ac:dyDescent="0.3">
      <c r="A3127" t="s">
        <v>5750</v>
      </c>
      <c r="B3127" s="13">
        <v>46060</v>
      </c>
      <c r="C3127">
        <v>2026</v>
      </c>
      <c r="D3127">
        <v>2</v>
      </c>
      <c r="E3127" t="s">
        <v>2849</v>
      </c>
      <c r="F3127" t="s">
        <v>2572</v>
      </c>
      <c r="G3127" t="s">
        <v>1901</v>
      </c>
      <c r="H3127" t="s">
        <v>1902</v>
      </c>
      <c r="I3127" t="s">
        <v>86</v>
      </c>
      <c r="J3127">
        <v>34</v>
      </c>
      <c r="K3127" t="s">
        <v>81</v>
      </c>
      <c r="L3127" t="s">
        <v>2612</v>
      </c>
      <c r="M3127" t="s">
        <v>64</v>
      </c>
      <c r="N3127" t="s">
        <v>2647</v>
      </c>
      <c r="O3127" t="s">
        <v>133</v>
      </c>
      <c r="P3127" t="s">
        <v>50</v>
      </c>
      <c r="Q3127" t="s">
        <v>145</v>
      </c>
      <c r="R3127">
        <v>5</v>
      </c>
      <c r="S3127">
        <v>799</v>
      </c>
      <c r="T3127">
        <v>0.05</v>
      </c>
      <c r="U3127">
        <v>3795.25</v>
      </c>
      <c r="V3127">
        <v>1950</v>
      </c>
      <c r="W3127">
        <v>1845.25</v>
      </c>
      <c r="X3127" t="s">
        <v>73</v>
      </c>
      <c r="Y3127" t="s">
        <v>68</v>
      </c>
      <c r="Z3127" t="s">
        <v>161</v>
      </c>
      <c r="AA3127" t="s">
        <v>167</v>
      </c>
      <c r="AB3127">
        <v>4.0999999999999996</v>
      </c>
      <c r="AC3127">
        <v>80</v>
      </c>
      <c r="AD3127">
        <v>426.05</v>
      </c>
      <c r="AE3127">
        <f t="shared" si="96"/>
        <v>1339.2</v>
      </c>
      <c r="AF3127" t="str">
        <f t="shared" si="97"/>
        <v>2026-02</v>
      </c>
      <c r="AG3127">
        <f>SUBTOTAL(103,A3127)</f>
        <v>1</v>
      </c>
    </row>
    <row r="3128" spans="1:33" x14ac:dyDescent="0.3">
      <c r="A3128" t="s">
        <v>5751</v>
      </c>
      <c r="B3128" s="13">
        <v>46060</v>
      </c>
      <c r="C3128">
        <v>2026</v>
      </c>
      <c r="D3128">
        <v>2</v>
      </c>
      <c r="E3128" t="s">
        <v>2849</v>
      </c>
      <c r="F3128" t="s">
        <v>2572</v>
      </c>
      <c r="G3128" t="s">
        <v>949</v>
      </c>
      <c r="H3128" t="s">
        <v>950</v>
      </c>
      <c r="I3128" t="s">
        <v>86</v>
      </c>
      <c r="J3128">
        <v>30</v>
      </c>
      <c r="K3128" t="s">
        <v>81</v>
      </c>
      <c r="L3128" t="s">
        <v>2690</v>
      </c>
      <c r="M3128" t="s">
        <v>63</v>
      </c>
      <c r="N3128" t="s">
        <v>2665</v>
      </c>
      <c r="O3128" t="s">
        <v>128</v>
      </c>
      <c r="P3128" t="s">
        <v>53</v>
      </c>
      <c r="Q3128" t="s">
        <v>143</v>
      </c>
      <c r="R3128">
        <v>2</v>
      </c>
      <c r="S3128">
        <v>1499</v>
      </c>
      <c r="T3128">
        <v>0</v>
      </c>
      <c r="U3128">
        <v>2998</v>
      </c>
      <c r="V3128">
        <v>1600</v>
      </c>
      <c r="W3128">
        <v>1398</v>
      </c>
      <c r="X3128" t="s">
        <v>73</v>
      </c>
      <c r="Y3128" t="s">
        <v>68</v>
      </c>
      <c r="Z3128" t="s">
        <v>160</v>
      </c>
      <c r="AA3128" t="s">
        <v>167</v>
      </c>
      <c r="AB3128">
        <v>5</v>
      </c>
      <c r="AC3128">
        <v>50</v>
      </c>
      <c r="AD3128">
        <v>172.45</v>
      </c>
      <c r="AE3128">
        <f t="shared" si="96"/>
        <v>1175.55</v>
      </c>
      <c r="AF3128" t="str">
        <f t="shared" si="97"/>
        <v>2026-02</v>
      </c>
      <c r="AG3128">
        <f>SUBTOTAL(103,A3128)</f>
        <v>1</v>
      </c>
    </row>
    <row r="3129" spans="1:33" x14ac:dyDescent="0.3">
      <c r="A3129" t="s">
        <v>5752</v>
      </c>
      <c r="B3129" s="13">
        <v>46060</v>
      </c>
      <c r="C3129">
        <v>2026</v>
      </c>
      <c r="D3129">
        <v>2</v>
      </c>
      <c r="E3129" t="s">
        <v>2849</v>
      </c>
      <c r="F3129" t="s">
        <v>2572</v>
      </c>
      <c r="G3129" t="s">
        <v>739</v>
      </c>
      <c r="H3129" t="s">
        <v>740</v>
      </c>
      <c r="I3129" t="s">
        <v>86</v>
      </c>
      <c r="J3129">
        <v>21</v>
      </c>
      <c r="K3129" t="s">
        <v>80</v>
      </c>
      <c r="L3129" t="s">
        <v>96</v>
      </c>
      <c r="M3129" t="s">
        <v>55</v>
      </c>
      <c r="N3129" t="s">
        <v>2601</v>
      </c>
      <c r="O3129" t="s">
        <v>117</v>
      </c>
      <c r="P3129" t="s">
        <v>49</v>
      </c>
      <c r="Q3129" t="s">
        <v>139</v>
      </c>
      <c r="R3129">
        <v>4</v>
      </c>
      <c r="S3129">
        <v>6999</v>
      </c>
      <c r="T3129">
        <v>0.15</v>
      </c>
      <c r="U3129">
        <v>23796.6</v>
      </c>
      <c r="V3129">
        <v>17200</v>
      </c>
      <c r="W3129">
        <v>6596.6</v>
      </c>
      <c r="X3129" t="s">
        <v>73</v>
      </c>
      <c r="Y3129" t="s">
        <v>68</v>
      </c>
      <c r="Z3129" t="s">
        <v>161</v>
      </c>
      <c r="AA3129" t="s">
        <v>168</v>
      </c>
      <c r="AB3129">
        <v>3.6</v>
      </c>
      <c r="AC3129">
        <v>80</v>
      </c>
      <c r="AD3129">
        <v>2101.8000000000002</v>
      </c>
      <c r="AE3129">
        <f t="shared" si="96"/>
        <v>4414.8</v>
      </c>
      <c r="AF3129" t="str">
        <f t="shared" si="97"/>
        <v>2026-02</v>
      </c>
      <c r="AG3129">
        <f>SUBTOTAL(103,A3129)</f>
        <v>1</v>
      </c>
    </row>
    <row r="3130" spans="1:33" x14ac:dyDescent="0.3">
      <c r="A3130" t="s">
        <v>5753</v>
      </c>
      <c r="B3130" s="13">
        <v>46060</v>
      </c>
      <c r="C3130">
        <v>2026</v>
      </c>
      <c r="D3130">
        <v>2</v>
      </c>
      <c r="E3130" t="s">
        <v>2849</v>
      </c>
      <c r="F3130" t="s">
        <v>2572</v>
      </c>
      <c r="G3130" t="s">
        <v>961</v>
      </c>
      <c r="H3130" t="s">
        <v>962</v>
      </c>
      <c r="I3130" t="s">
        <v>85</v>
      </c>
      <c r="J3130">
        <v>56</v>
      </c>
      <c r="K3130" t="s">
        <v>83</v>
      </c>
      <c r="L3130" t="s">
        <v>2605</v>
      </c>
      <c r="M3130" t="s">
        <v>60</v>
      </c>
      <c r="N3130" t="s">
        <v>2606</v>
      </c>
      <c r="O3130" t="s">
        <v>120</v>
      </c>
      <c r="P3130" t="s">
        <v>49</v>
      </c>
      <c r="Q3130" t="s">
        <v>140</v>
      </c>
      <c r="R3130">
        <v>3</v>
      </c>
      <c r="S3130">
        <v>2799</v>
      </c>
      <c r="T3130">
        <v>0.2</v>
      </c>
      <c r="U3130">
        <v>6717.6</v>
      </c>
      <c r="V3130">
        <v>4950</v>
      </c>
      <c r="W3130">
        <v>1767.6</v>
      </c>
      <c r="X3130" t="s">
        <v>77</v>
      </c>
      <c r="Y3130" t="s">
        <v>68</v>
      </c>
      <c r="Z3130" t="s">
        <v>161</v>
      </c>
      <c r="AA3130" t="s">
        <v>171</v>
      </c>
      <c r="AB3130">
        <v>5</v>
      </c>
      <c r="AC3130">
        <v>80</v>
      </c>
      <c r="AD3130">
        <v>575.35</v>
      </c>
      <c r="AE3130">
        <f t="shared" si="96"/>
        <v>1112.25</v>
      </c>
      <c r="AF3130" t="str">
        <f t="shared" si="97"/>
        <v>2026-02</v>
      </c>
      <c r="AG3130">
        <f>SUBTOTAL(103,A3130)</f>
        <v>1</v>
      </c>
    </row>
    <row r="3131" spans="1:33" x14ac:dyDescent="0.3">
      <c r="A3131" t="s">
        <v>5754</v>
      </c>
      <c r="B3131" s="13">
        <v>46060</v>
      </c>
      <c r="C3131">
        <v>2026</v>
      </c>
      <c r="D3131">
        <v>2</v>
      </c>
      <c r="E3131" t="s">
        <v>2849</v>
      </c>
      <c r="F3131" t="s">
        <v>2572</v>
      </c>
      <c r="G3131" t="s">
        <v>427</v>
      </c>
      <c r="H3131" t="s">
        <v>428</v>
      </c>
      <c r="I3131" t="s">
        <v>85</v>
      </c>
      <c r="J3131">
        <v>36</v>
      </c>
      <c r="K3131" t="s">
        <v>82</v>
      </c>
      <c r="L3131" t="s">
        <v>90</v>
      </c>
      <c r="M3131" t="s">
        <v>55</v>
      </c>
      <c r="N3131" t="s">
        <v>2577</v>
      </c>
      <c r="O3131" t="s">
        <v>129</v>
      </c>
      <c r="P3131" t="s">
        <v>49</v>
      </c>
      <c r="Q3131" t="s">
        <v>149</v>
      </c>
      <c r="R3131">
        <v>2</v>
      </c>
      <c r="S3131">
        <v>1299</v>
      </c>
      <c r="T3131">
        <v>0.2</v>
      </c>
      <c r="U3131">
        <v>0</v>
      </c>
      <c r="V3131">
        <v>0</v>
      </c>
      <c r="W3131">
        <v>0</v>
      </c>
      <c r="X3131" t="s">
        <v>75</v>
      </c>
      <c r="Y3131" t="s">
        <v>71</v>
      </c>
      <c r="Z3131" t="s">
        <v>163</v>
      </c>
      <c r="AA3131" t="s">
        <v>168</v>
      </c>
      <c r="AB3131">
        <v>4.9000000000000004</v>
      </c>
      <c r="AC3131">
        <v>80</v>
      </c>
      <c r="AD3131">
        <v>202.57</v>
      </c>
      <c r="AE3131">
        <f t="shared" si="96"/>
        <v>-282.57</v>
      </c>
      <c r="AF3131" t="str">
        <f t="shared" si="97"/>
        <v>2026-02</v>
      </c>
      <c r="AG3131">
        <f>SUBTOTAL(103,A3131)</f>
        <v>1</v>
      </c>
    </row>
    <row r="3132" spans="1:33" x14ac:dyDescent="0.3">
      <c r="A3132" t="s">
        <v>5755</v>
      </c>
      <c r="B3132" s="13">
        <v>46060</v>
      </c>
      <c r="C3132">
        <v>2026</v>
      </c>
      <c r="D3132">
        <v>2</v>
      </c>
      <c r="E3132" t="s">
        <v>2849</v>
      </c>
      <c r="F3132" t="s">
        <v>2572</v>
      </c>
      <c r="G3132" t="s">
        <v>817</v>
      </c>
      <c r="H3132" t="s">
        <v>818</v>
      </c>
      <c r="I3132" t="s">
        <v>86</v>
      </c>
      <c r="J3132">
        <v>49</v>
      </c>
      <c r="K3132" t="s">
        <v>83</v>
      </c>
      <c r="L3132" t="s">
        <v>90</v>
      </c>
      <c r="M3132" t="s">
        <v>55</v>
      </c>
      <c r="N3132" t="s">
        <v>2584</v>
      </c>
      <c r="O3132" t="s">
        <v>121</v>
      </c>
      <c r="P3132" t="s">
        <v>50</v>
      </c>
      <c r="Q3132" t="s">
        <v>144</v>
      </c>
      <c r="R3132">
        <v>5</v>
      </c>
      <c r="S3132">
        <v>2999</v>
      </c>
      <c r="T3132">
        <v>0.05</v>
      </c>
      <c r="U3132">
        <v>14245.25</v>
      </c>
      <c r="V3132">
        <v>8500</v>
      </c>
      <c r="W3132">
        <v>5745.25</v>
      </c>
      <c r="X3132" t="s">
        <v>73</v>
      </c>
      <c r="Y3132" t="s">
        <v>68</v>
      </c>
      <c r="Z3132" t="s">
        <v>159</v>
      </c>
      <c r="AA3132" t="s">
        <v>167</v>
      </c>
      <c r="AB3132">
        <v>3.9</v>
      </c>
      <c r="AC3132">
        <v>40</v>
      </c>
      <c r="AD3132">
        <v>1634.9</v>
      </c>
      <c r="AE3132">
        <f t="shared" si="96"/>
        <v>4070.35</v>
      </c>
      <c r="AF3132" t="str">
        <f t="shared" si="97"/>
        <v>2026-02</v>
      </c>
      <c r="AG3132">
        <f>SUBTOTAL(103,A3132)</f>
        <v>1</v>
      </c>
    </row>
    <row r="3133" spans="1:33" x14ac:dyDescent="0.3">
      <c r="A3133" t="s">
        <v>5756</v>
      </c>
      <c r="B3133" s="13">
        <v>46061</v>
      </c>
      <c r="C3133">
        <v>2026</v>
      </c>
      <c r="D3133">
        <v>2</v>
      </c>
      <c r="E3133" t="s">
        <v>2849</v>
      </c>
      <c r="F3133" t="s">
        <v>2572</v>
      </c>
      <c r="G3133" t="s">
        <v>1163</v>
      </c>
      <c r="H3133" t="s">
        <v>1164</v>
      </c>
      <c r="I3133" t="s">
        <v>87</v>
      </c>
      <c r="J3133">
        <v>53</v>
      </c>
      <c r="K3133" t="s">
        <v>83</v>
      </c>
      <c r="L3133" t="s">
        <v>92</v>
      </c>
      <c r="M3133" t="s">
        <v>59</v>
      </c>
      <c r="N3133" t="s">
        <v>2574</v>
      </c>
      <c r="O3133" t="s">
        <v>130</v>
      </c>
      <c r="P3133" t="s">
        <v>50</v>
      </c>
      <c r="Q3133" t="s">
        <v>53</v>
      </c>
      <c r="R3133">
        <v>1</v>
      </c>
      <c r="S3133">
        <v>1199</v>
      </c>
      <c r="T3133">
        <v>0.1</v>
      </c>
      <c r="U3133">
        <v>1079.0999999999999</v>
      </c>
      <c r="V3133">
        <v>550</v>
      </c>
      <c r="W3133">
        <v>529.1</v>
      </c>
      <c r="X3133" t="s">
        <v>74</v>
      </c>
      <c r="Y3133" t="s">
        <v>68</v>
      </c>
      <c r="Z3133" t="s">
        <v>162</v>
      </c>
      <c r="AA3133" t="s">
        <v>166</v>
      </c>
      <c r="AB3133">
        <v>4.0999999999999996</v>
      </c>
      <c r="AC3133">
        <v>50</v>
      </c>
      <c r="AD3133">
        <v>113.54</v>
      </c>
      <c r="AE3133">
        <f t="shared" si="96"/>
        <v>365.56</v>
      </c>
      <c r="AF3133" t="str">
        <f t="shared" si="97"/>
        <v>2026-02</v>
      </c>
      <c r="AG3133">
        <f>SUBTOTAL(103,A3133)</f>
        <v>1</v>
      </c>
    </row>
    <row r="3134" spans="1:33" x14ac:dyDescent="0.3">
      <c r="A3134" t="s">
        <v>5757</v>
      </c>
      <c r="B3134" s="13">
        <v>46061</v>
      </c>
      <c r="C3134">
        <v>2026</v>
      </c>
      <c r="D3134">
        <v>2</v>
      </c>
      <c r="E3134" t="s">
        <v>2849</v>
      </c>
      <c r="F3134" t="s">
        <v>2572</v>
      </c>
      <c r="G3134" t="s">
        <v>1421</v>
      </c>
      <c r="H3134" t="s">
        <v>1422</v>
      </c>
      <c r="I3134" t="s">
        <v>86</v>
      </c>
      <c r="J3134">
        <v>57</v>
      </c>
      <c r="K3134" t="s">
        <v>83</v>
      </c>
      <c r="L3134" t="s">
        <v>91</v>
      </c>
      <c r="M3134" t="s">
        <v>55</v>
      </c>
      <c r="N3134" t="s">
        <v>2653</v>
      </c>
      <c r="O3134" t="s">
        <v>132</v>
      </c>
      <c r="P3134" t="s">
        <v>52</v>
      </c>
      <c r="Q3134" t="s">
        <v>150</v>
      </c>
      <c r="R3134">
        <v>1</v>
      </c>
      <c r="S3134">
        <v>899</v>
      </c>
      <c r="T3134">
        <v>0.05</v>
      </c>
      <c r="U3134">
        <v>854.05</v>
      </c>
      <c r="V3134">
        <v>420</v>
      </c>
      <c r="W3134">
        <v>434.05</v>
      </c>
      <c r="X3134" t="s">
        <v>74</v>
      </c>
      <c r="Y3134" t="s">
        <v>68</v>
      </c>
      <c r="Z3134" t="s">
        <v>161</v>
      </c>
      <c r="AA3134" t="s">
        <v>166</v>
      </c>
      <c r="AB3134">
        <v>3.4</v>
      </c>
      <c r="AC3134">
        <v>60</v>
      </c>
      <c r="AD3134">
        <v>29.42</v>
      </c>
      <c r="AE3134">
        <f t="shared" si="96"/>
        <v>344.63</v>
      </c>
      <c r="AF3134" t="str">
        <f t="shared" si="97"/>
        <v>2026-02</v>
      </c>
      <c r="AG3134">
        <f>SUBTOTAL(103,A3134)</f>
        <v>1</v>
      </c>
    </row>
    <row r="3135" spans="1:33" x14ac:dyDescent="0.3">
      <c r="A3135" t="s">
        <v>5758</v>
      </c>
      <c r="B3135" s="13">
        <v>46061</v>
      </c>
      <c r="C3135">
        <v>2026</v>
      </c>
      <c r="D3135">
        <v>2</v>
      </c>
      <c r="E3135" t="s">
        <v>2849</v>
      </c>
      <c r="F3135" t="s">
        <v>2572</v>
      </c>
      <c r="G3135" t="s">
        <v>2389</v>
      </c>
      <c r="H3135" t="s">
        <v>2390</v>
      </c>
      <c r="I3135" t="s">
        <v>85</v>
      </c>
      <c r="J3135">
        <v>19</v>
      </c>
      <c r="K3135" t="s">
        <v>80</v>
      </c>
      <c r="L3135" t="s">
        <v>2637</v>
      </c>
      <c r="M3135" t="s">
        <v>64</v>
      </c>
      <c r="N3135" t="s">
        <v>2584</v>
      </c>
      <c r="O3135" t="s">
        <v>121</v>
      </c>
      <c r="P3135" t="s">
        <v>50</v>
      </c>
      <c r="Q3135" t="s">
        <v>144</v>
      </c>
      <c r="R3135">
        <v>1</v>
      </c>
      <c r="S3135">
        <v>2999</v>
      </c>
      <c r="T3135">
        <v>0.15</v>
      </c>
      <c r="U3135">
        <v>2549.15</v>
      </c>
      <c r="V3135">
        <v>1700</v>
      </c>
      <c r="W3135">
        <v>849.15</v>
      </c>
      <c r="X3135" t="s">
        <v>75</v>
      </c>
      <c r="Y3135" t="s">
        <v>68</v>
      </c>
      <c r="Z3135" t="s">
        <v>158</v>
      </c>
      <c r="AA3135" t="s">
        <v>169</v>
      </c>
      <c r="AB3135">
        <v>4.4000000000000004</v>
      </c>
      <c r="AC3135">
        <v>120</v>
      </c>
      <c r="AD3135">
        <v>283.95999999999998</v>
      </c>
      <c r="AE3135">
        <f t="shared" si="96"/>
        <v>445.19</v>
      </c>
      <c r="AF3135" t="str">
        <f t="shared" si="97"/>
        <v>2026-02</v>
      </c>
      <c r="AG3135">
        <f>SUBTOTAL(103,A3135)</f>
        <v>1</v>
      </c>
    </row>
    <row r="3136" spans="1:33" x14ac:dyDescent="0.3">
      <c r="A3136" t="s">
        <v>5759</v>
      </c>
      <c r="B3136" s="13">
        <v>46061</v>
      </c>
      <c r="C3136">
        <v>2026</v>
      </c>
      <c r="D3136">
        <v>2</v>
      </c>
      <c r="E3136" t="s">
        <v>2849</v>
      </c>
      <c r="F3136" t="s">
        <v>2572</v>
      </c>
      <c r="G3136" t="s">
        <v>329</v>
      </c>
      <c r="H3136" t="s">
        <v>330</v>
      </c>
      <c r="I3136" t="s">
        <v>86</v>
      </c>
      <c r="J3136">
        <v>18</v>
      </c>
      <c r="K3136" t="s">
        <v>80</v>
      </c>
      <c r="L3136" t="s">
        <v>90</v>
      </c>
      <c r="M3136" t="s">
        <v>55</v>
      </c>
      <c r="N3136" t="s">
        <v>2665</v>
      </c>
      <c r="O3136" t="s">
        <v>128</v>
      </c>
      <c r="P3136" t="s">
        <v>53</v>
      </c>
      <c r="Q3136" t="s">
        <v>143</v>
      </c>
      <c r="R3136">
        <v>1</v>
      </c>
      <c r="S3136">
        <v>1499</v>
      </c>
      <c r="T3136">
        <v>0.05</v>
      </c>
      <c r="U3136">
        <v>1424.05</v>
      </c>
      <c r="V3136">
        <v>800</v>
      </c>
      <c r="W3136">
        <v>624.04999999999995</v>
      </c>
      <c r="X3136" t="s">
        <v>75</v>
      </c>
      <c r="Y3136" t="s">
        <v>68</v>
      </c>
      <c r="Z3136" t="s">
        <v>161</v>
      </c>
      <c r="AA3136" t="s">
        <v>166</v>
      </c>
      <c r="AB3136">
        <v>3.9</v>
      </c>
      <c r="AC3136">
        <v>50</v>
      </c>
      <c r="AD3136">
        <v>162.36000000000001</v>
      </c>
      <c r="AE3136">
        <f t="shared" si="96"/>
        <v>411.68999999999994</v>
      </c>
      <c r="AF3136" t="str">
        <f t="shared" si="97"/>
        <v>2026-02</v>
      </c>
      <c r="AG3136">
        <f>SUBTOTAL(103,A3136)</f>
        <v>1</v>
      </c>
    </row>
    <row r="3137" spans="1:33" x14ac:dyDescent="0.3">
      <c r="A3137" t="s">
        <v>5760</v>
      </c>
      <c r="B3137" s="13">
        <v>46061</v>
      </c>
      <c r="C3137">
        <v>2026</v>
      </c>
      <c r="D3137">
        <v>2</v>
      </c>
      <c r="E3137" t="s">
        <v>2849</v>
      </c>
      <c r="F3137" t="s">
        <v>2572</v>
      </c>
      <c r="G3137" t="s">
        <v>1355</v>
      </c>
      <c r="H3137" t="s">
        <v>1356</v>
      </c>
      <c r="I3137" t="s">
        <v>86</v>
      </c>
      <c r="J3137">
        <v>41</v>
      </c>
      <c r="K3137" t="s">
        <v>82</v>
      </c>
      <c r="L3137" t="s">
        <v>2661</v>
      </c>
      <c r="M3137" t="s">
        <v>58</v>
      </c>
      <c r="N3137" t="s">
        <v>2587</v>
      </c>
      <c r="O3137" t="s">
        <v>116</v>
      </c>
      <c r="P3137" t="s">
        <v>48</v>
      </c>
      <c r="Q3137" t="s">
        <v>138</v>
      </c>
      <c r="R3137">
        <v>1</v>
      </c>
      <c r="S3137">
        <v>14999</v>
      </c>
      <c r="T3137">
        <v>0.15</v>
      </c>
      <c r="U3137">
        <v>12749.15</v>
      </c>
      <c r="V3137">
        <v>11200</v>
      </c>
      <c r="W3137">
        <v>1549.15</v>
      </c>
      <c r="X3137" t="s">
        <v>74</v>
      </c>
      <c r="Y3137" t="s">
        <v>70</v>
      </c>
      <c r="Z3137" t="s">
        <v>159</v>
      </c>
      <c r="AA3137" t="s">
        <v>167</v>
      </c>
      <c r="AB3137">
        <v>4.5</v>
      </c>
      <c r="AC3137">
        <v>80</v>
      </c>
      <c r="AD3137">
        <v>1470.78</v>
      </c>
      <c r="AE3137">
        <f t="shared" si="96"/>
        <v>-1.6299999999998818</v>
      </c>
      <c r="AF3137" t="str">
        <f t="shared" si="97"/>
        <v>2026-02</v>
      </c>
      <c r="AG3137">
        <f>SUBTOTAL(103,A3137)</f>
        <v>1</v>
      </c>
    </row>
    <row r="3138" spans="1:33" x14ac:dyDescent="0.3">
      <c r="A3138" t="s">
        <v>5761</v>
      </c>
      <c r="B3138" s="13">
        <v>46062</v>
      </c>
      <c r="C3138">
        <v>2026</v>
      </c>
      <c r="D3138">
        <v>2</v>
      </c>
      <c r="E3138" t="s">
        <v>2849</v>
      </c>
      <c r="F3138" t="s">
        <v>2572</v>
      </c>
      <c r="G3138" t="s">
        <v>513</v>
      </c>
      <c r="H3138" t="s">
        <v>514</v>
      </c>
      <c r="I3138" t="s">
        <v>85</v>
      </c>
      <c r="J3138">
        <v>48</v>
      </c>
      <c r="K3138" t="s">
        <v>83</v>
      </c>
      <c r="L3138" t="s">
        <v>2616</v>
      </c>
      <c r="M3138" t="s">
        <v>62</v>
      </c>
      <c r="N3138" t="s">
        <v>2630</v>
      </c>
      <c r="O3138" t="s">
        <v>123</v>
      </c>
      <c r="P3138" t="s">
        <v>52</v>
      </c>
      <c r="Q3138" t="s">
        <v>146</v>
      </c>
      <c r="R3138">
        <v>2</v>
      </c>
      <c r="S3138">
        <v>2499</v>
      </c>
      <c r="T3138">
        <v>0.1</v>
      </c>
      <c r="U3138">
        <v>4498.2</v>
      </c>
      <c r="V3138">
        <v>2800</v>
      </c>
      <c r="W3138">
        <v>1698.2</v>
      </c>
      <c r="X3138" t="s">
        <v>73</v>
      </c>
      <c r="Y3138" t="s">
        <v>68</v>
      </c>
      <c r="Z3138" t="s">
        <v>159</v>
      </c>
      <c r="AA3138" t="s">
        <v>166</v>
      </c>
      <c r="AB3138">
        <v>3.4</v>
      </c>
      <c r="AC3138">
        <v>40</v>
      </c>
      <c r="AD3138">
        <v>326.02999999999997</v>
      </c>
      <c r="AE3138">
        <f t="shared" ref="AE3138:AE3201" si="98">W3138-AC3138-AD3138</f>
        <v>1332.17</v>
      </c>
      <c r="AF3138" t="str">
        <f t="shared" ref="AF3138:AF3201" si="99">C3138&amp;"-"&amp;TEXT(D3138,"00")</f>
        <v>2026-02</v>
      </c>
      <c r="AG3138">
        <f>SUBTOTAL(103,A3138)</f>
        <v>1</v>
      </c>
    </row>
    <row r="3139" spans="1:33" x14ac:dyDescent="0.3">
      <c r="A3139" t="s">
        <v>5762</v>
      </c>
      <c r="B3139" s="13">
        <v>46062</v>
      </c>
      <c r="C3139">
        <v>2026</v>
      </c>
      <c r="D3139">
        <v>2</v>
      </c>
      <c r="E3139" t="s">
        <v>2849</v>
      </c>
      <c r="F3139" t="s">
        <v>2572</v>
      </c>
      <c r="G3139" t="s">
        <v>871</v>
      </c>
      <c r="H3139" t="s">
        <v>872</v>
      </c>
      <c r="I3139" t="s">
        <v>85</v>
      </c>
      <c r="J3139">
        <v>45</v>
      </c>
      <c r="K3139" t="s">
        <v>82</v>
      </c>
      <c r="L3139" t="s">
        <v>2646</v>
      </c>
      <c r="M3139" t="s">
        <v>63</v>
      </c>
      <c r="N3139" t="s">
        <v>2601</v>
      </c>
      <c r="O3139" t="s">
        <v>117</v>
      </c>
      <c r="P3139" t="s">
        <v>49</v>
      </c>
      <c r="Q3139" t="s">
        <v>139</v>
      </c>
      <c r="R3139">
        <v>1</v>
      </c>
      <c r="S3139">
        <v>6999</v>
      </c>
      <c r="T3139">
        <v>0.1</v>
      </c>
      <c r="U3139">
        <v>6299.1</v>
      </c>
      <c r="V3139">
        <v>4300</v>
      </c>
      <c r="W3139">
        <v>1999.1</v>
      </c>
      <c r="X3139" t="s">
        <v>77</v>
      </c>
      <c r="Y3139" t="s">
        <v>68</v>
      </c>
      <c r="Z3139" t="s">
        <v>163</v>
      </c>
      <c r="AA3139" t="s">
        <v>167</v>
      </c>
      <c r="AB3139">
        <v>5</v>
      </c>
      <c r="AC3139">
        <v>40</v>
      </c>
      <c r="AD3139">
        <v>236.86</v>
      </c>
      <c r="AE3139">
        <f t="shared" si="98"/>
        <v>1722.2399999999998</v>
      </c>
      <c r="AF3139" t="str">
        <f t="shared" si="99"/>
        <v>2026-02</v>
      </c>
      <c r="AG3139">
        <f>SUBTOTAL(103,A3139)</f>
        <v>1</v>
      </c>
    </row>
    <row r="3140" spans="1:33" x14ac:dyDescent="0.3">
      <c r="A3140" t="s">
        <v>5763</v>
      </c>
      <c r="B3140" s="13">
        <v>46062</v>
      </c>
      <c r="C3140">
        <v>2026</v>
      </c>
      <c r="D3140">
        <v>2</v>
      </c>
      <c r="E3140" t="s">
        <v>2849</v>
      </c>
      <c r="F3140" t="s">
        <v>2572</v>
      </c>
      <c r="G3140" t="s">
        <v>1255</v>
      </c>
      <c r="H3140" t="s">
        <v>1256</v>
      </c>
      <c r="I3140" t="s">
        <v>85</v>
      </c>
      <c r="J3140">
        <v>47</v>
      </c>
      <c r="K3140" t="s">
        <v>83</v>
      </c>
      <c r="L3140" t="s">
        <v>2623</v>
      </c>
      <c r="M3140" t="s">
        <v>61</v>
      </c>
      <c r="N3140" t="s">
        <v>2580</v>
      </c>
      <c r="O3140" t="s">
        <v>118</v>
      </c>
      <c r="P3140" t="s">
        <v>48</v>
      </c>
      <c r="Q3140" t="s">
        <v>142</v>
      </c>
      <c r="R3140">
        <v>1</v>
      </c>
      <c r="S3140">
        <v>3999</v>
      </c>
      <c r="T3140">
        <v>0</v>
      </c>
      <c r="U3140">
        <v>3999</v>
      </c>
      <c r="V3140">
        <v>2400</v>
      </c>
      <c r="W3140">
        <v>1599</v>
      </c>
      <c r="X3140" t="s">
        <v>76</v>
      </c>
      <c r="Y3140" t="s">
        <v>68</v>
      </c>
      <c r="Z3140" t="s">
        <v>161</v>
      </c>
      <c r="AA3140" t="s">
        <v>170</v>
      </c>
      <c r="AB3140">
        <v>3.9</v>
      </c>
      <c r="AC3140">
        <v>40</v>
      </c>
      <c r="AD3140">
        <v>225.87</v>
      </c>
      <c r="AE3140">
        <f t="shared" si="98"/>
        <v>1333.13</v>
      </c>
      <c r="AF3140" t="str">
        <f t="shared" si="99"/>
        <v>2026-02</v>
      </c>
      <c r="AG3140">
        <f>SUBTOTAL(103,A3140)</f>
        <v>1</v>
      </c>
    </row>
    <row r="3141" spans="1:33" x14ac:dyDescent="0.3">
      <c r="A3141" t="s">
        <v>5764</v>
      </c>
      <c r="B3141" s="13">
        <v>46062</v>
      </c>
      <c r="C3141">
        <v>2026</v>
      </c>
      <c r="D3141">
        <v>2</v>
      </c>
      <c r="E3141" t="s">
        <v>2849</v>
      </c>
      <c r="F3141" t="s">
        <v>2572</v>
      </c>
      <c r="G3141" t="s">
        <v>1491</v>
      </c>
      <c r="H3141" t="s">
        <v>1492</v>
      </c>
      <c r="I3141" t="s">
        <v>85</v>
      </c>
      <c r="J3141">
        <v>49</v>
      </c>
      <c r="K3141" t="s">
        <v>83</v>
      </c>
      <c r="L3141" t="s">
        <v>92</v>
      </c>
      <c r="M3141" t="s">
        <v>59</v>
      </c>
      <c r="N3141" t="s">
        <v>2582</v>
      </c>
      <c r="O3141" t="s">
        <v>119</v>
      </c>
      <c r="P3141" t="s">
        <v>49</v>
      </c>
      <c r="Q3141" t="s">
        <v>140</v>
      </c>
      <c r="R3141">
        <v>3</v>
      </c>
      <c r="S3141">
        <v>3499</v>
      </c>
      <c r="T3141">
        <v>0.1</v>
      </c>
      <c r="U3141">
        <v>9447.2999999999993</v>
      </c>
      <c r="V3141">
        <v>6300</v>
      </c>
      <c r="W3141">
        <v>3147.3</v>
      </c>
      <c r="X3141" t="s">
        <v>74</v>
      </c>
      <c r="Y3141" t="s">
        <v>69</v>
      </c>
      <c r="Z3141" t="s">
        <v>162</v>
      </c>
      <c r="AA3141" t="s">
        <v>167</v>
      </c>
      <c r="AB3141">
        <v>4.3</v>
      </c>
      <c r="AC3141">
        <v>40</v>
      </c>
      <c r="AD3141">
        <v>852.99</v>
      </c>
      <c r="AE3141">
        <f t="shared" si="98"/>
        <v>2254.3100000000004</v>
      </c>
      <c r="AF3141" t="str">
        <f t="shared" si="99"/>
        <v>2026-02</v>
      </c>
      <c r="AG3141">
        <f>SUBTOTAL(103,A3141)</f>
        <v>1</v>
      </c>
    </row>
    <row r="3142" spans="1:33" x14ac:dyDescent="0.3">
      <c r="A3142" t="s">
        <v>5765</v>
      </c>
      <c r="B3142" s="13">
        <v>46062</v>
      </c>
      <c r="C3142">
        <v>2026</v>
      </c>
      <c r="D3142">
        <v>2</v>
      </c>
      <c r="E3142" t="s">
        <v>2849</v>
      </c>
      <c r="F3142" t="s">
        <v>2572</v>
      </c>
      <c r="G3142" t="s">
        <v>1721</v>
      </c>
      <c r="H3142" t="s">
        <v>1722</v>
      </c>
      <c r="I3142" t="s">
        <v>86</v>
      </c>
      <c r="J3142">
        <v>30</v>
      </c>
      <c r="K3142" t="s">
        <v>81</v>
      </c>
      <c r="L3142" t="s">
        <v>90</v>
      </c>
      <c r="M3142" t="s">
        <v>55</v>
      </c>
      <c r="N3142" t="s">
        <v>2630</v>
      </c>
      <c r="O3142" t="s">
        <v>123</v>
      </c>
      <c r="P3142" t="s">
        <v>52</v>
      </c>
      <c r="Q3142" t="s">
        <v>146</v>
      </c>
      <c r="R3142">
        <v>3</v>
      </c>
      <c r="S3142">
        <v>2499</v>
      </c>
      <c r="T3142">
        <v>0.25</v>
      </c>
      <c r="U3142">
        <v>5622.75</v>
      </c>
      <c r="V3142">
        <v>4200</v>
      </c>
      <c r="W3142">
        <v>1422.75</v>
      </c>
      <c r="X3142" t="s">
        <v>75</v>
      </c>
      <c r="Y3142" t="s">
        <v>68</v>
      </c>
      <c r="Z3142" t="s">
        <v>158</v>
      </c>
      <c r="AA3142" t="s">
        <v>169</v>
      </c>
      <c r="AB3142">
        <v>3.5</v>
      </c>
      <c r="AC3142">
        <v>80</v>
      </c>
      <c r="AD3142">
        <v>394.01</v>
      </c>
      <c r="AE3142">
        <f t="shared" si="98"/>
        <v>948.74</v>
      </c>
      <c r="AF3142" t="str">
        <f t="shared" si="99"/>
        <v>2026-02</v>
      </c>
      <c r="AG3142">
        <f>SUBTOTAL(103,A3142)</f>
        <v>1</v>
      </c>
    </row>
    <row r="3143" spans="1:33" x14ac:dyDescent="0.3">
      <c r="A3143" t="s">
        <v>5766</v>
      </c>
      <c r="B3143" s="13">
        <v>46062</v>
      </c>
      <c r="C3143">
        <v>2026</v>
      </c>
      <c r="D3143">
        <v>2</v>
      </c>
      <c r="E3143" t="s">
        <v>2849</v>
      </c>
      <c r="F3143" t="s">
        <v>2572</v>
      </c>
      <c r="G3143" t="s">
        <v>397</v>
      </c>
      <c r="H3143" t="s">
        <v>398</v>
      </c>
      <c r="I3143" t="s">
        <v>86</v>
      </c>
      <c r="J3143">
        <v>55</v>
      </c>
      <c r="K3143" t="s">
        <v>83</v>
      </c>
      <c r="L3143" t="s">
        <v>2637</v>
      </c>
      <c r="M3143" t="s">
        <v>64</v>
      </c>
      <c r="N3143" t="s">
        <v>2590</v>
      </c>
      <c r="O3143" t="s">
        <v>127</v>
      </c>
      <c r="P3143" t="s">
        <v>51</v>
      </c>
      <c r="Q3143" t="s">
        <v>148</v>
      </c>
      <c r="R3143">
        <v>3</v>
      </c>
      <c r="S3143">
        <v>1599</v>
      </c>
      <c r="T3143">
        <v>0.05</v>
      </c>
      <c r="U3143">
        <v>4557.1499999999996</v>
      </c>
      <c r="V3143">
        <v>2400</v>
      </c>
      <c r="W3143">
        <v>2157.15</v>
      </c>
      <c r="X3143" t="s">
        <v>74</v>
      </c>
      <c r="Y3143" t="s">
        <v>70</v>
      </c>
      <c r="Z3143" t="s">
        <v>161</v>
      </c>
      <c r="AA3143" t="s">
        <v>169</v>
      </c>
      <c r="AB3143">
        <v>4.9000000000000004</v>
      </c>
      <c r="AC3143">
        <v>80</v>
      </c>
      <c r="AD3143">
        <v>332.22</v>
      </c>
      <c r="AE3143">
        <f t="shared" si="98"/>
        <v>1744.93</v>
      </c>
      <c r="AF3143" t="str">
        <f t="shared" si="99"/>
        <v>2026-02</v>
      </c>
      <c r="AG3143">
        <f>SUBTOTAL(103,A3143)</f>
        <v>1</v>
      </c>
    </row>
    <row r="3144" spans="1:33" x14ac:dyDescent="0.3">
      <c r="A3144" t="s">
        <v>5767</v>
      </c>
      <c r="B3144" s="13">
        <v>46062</v>
      </c>
      <c r="C3144">
        <v>2026</v>
      </c>
      <c r="D3144">
        <v>2</v>
      </c>
      <c r="E3144" t="s">
        <v>2849</v>
      </c>
      <c r="F3144" t="s">
        <v>2572</v>
      </c>
      <c r="G3144" t="s">
        <v>1565</v>
      </c>
      <c r="H3144" t="s">
        <v>1566</v>
      </c>
      <c r="I3144" t="s">
        <v>85</v>
      </c>
      <c r="J3144">
        <v>38</v>
      </c>
      <c r="K3144" t="s">
        <v>82</v>
      </c>
      <c r="L3144" t="s">
        <v>2605</v>
      </c>
      <c r="M3144" t="s">
        <v>60</v>
      </c>
      <c r="N3144" t="s">
        <v>2601</v>
      </c>
      <c r="O3144" t="s">
        <v>117</v>
      </c>
      <c r="P3144" t="s">
        <v>49</v>
      </c>
      <c r="Q3144" t="s">
        <v>139</v>
      </c>
      <c r="R3144">
        <v>2</v>
      </c>
      <c r="S3144">
        <v>6999</v>
      </c>
      <c r="T3144">
        <v>0.1</v>
      </c>
      <c r="U3144">
        <v>12598.2</v>
      </c>
      <c r="V3144">
        <v>8600</v>
      </c>
      <c r="W3144">
        <v>3998.2</v>
      </c>
      <c r="X3144" t="s">
        <v>77</v>
      </c>
      <c r="Y3144" t="s">
        <v>68</v>
      </c>
      <c r="Z3144" t="s">
        <v>161</v>
      </c>
      <c r="AA3144" t="s">
        <v>166</v>
      </c>
      <c r="AB3144">
        <v>3.4</v>
      </c>
      <c r="AC3144">
        <v>50</v>
      </c>
      <c r="AD3144">
        <v>1035</v>
      </c>
      <c r="AE3144">
        <f t="shared" si="98"/>
        <v>2913.2</v>
      </c>
      <c r="AF3144" t="str">
        <f t="shared" si="99"/>
        <v>2026-02</v>
      </c>
      <c r="AG3144">
        <f>SUBTOTAL(103,A3144)</f>
        <v>1</v>
      </c>
    </row>
    <row r="3145" spans="1:33" x14ac:dyDescent="0.3">
      <c r="A3145" t="s">
        <v>5768</v>
      </c>
      <c r="B3145" s="13">
        <v>46063</v>
      </c>
      <c r="C3145">
        <v>2026</v>
      </c>
      <c r="D3145">
        <v>2</v>
      </c>
      <c r="E3145" t="s">
        <v>2849</v>
      </c>
      <c r="F3145" t="s">
        <v>2572</v>
      </c>
      <c r="G3145" t="s">
        <v>551</v>
      </c>
      <c r="H3145" t="s">
        <v>552</v>
      </c>
      <c r="I3145" t="s">
        <v>86</v>
      </c>
      <c r="J3145">
        <v>46</v>
      </c>
      <c r="K3145" t="s">
        <v>83</v>
      </c>
      <c r="L3145" t="s">
        <v>59</v>
      </c>
      <c r="M3145" t="s">
        <v>59</v>
      </c>
      <c r="N3145" t="s">
        <v>2644</v>
      </c>
      <c r="O3145" t="s">
        <v>126</v>
      </c>
      <c r="P3145" t="s">
        <v>50</v>
      </c>
      <c r="Q3145" t="s">
        <v>145</v>
      </c>
      <c r="R3145">
        <v>1</v>
      </c>
      <c r="S3145">
        <v>1799</v>
      </c>
      <c r="T3145">
        <v>0.05</v>
      </c>
      <c r="U3145">
        <v>1709.05</v>
      </c>
      <c r="V3145">
        <v>950</v>
      </c>
      <c r="W3145">
        <v>759.05</v>
      </c>
      <c r="X3145" t="s">
        <v>73</v>
      </c>
      <c r="Y3145" t="s">
        <v>68</v>
      </c>
      <c r="Z3145" t="s">
        <v>159</v>
      </c>
      <c r="AA3145" t="s">
        <v>166</v>
      </c>
      <c r="AB3145">
        <v>4.5999999999999996</v>
      </c>
      <c r="AC3145">
        <v>100</v>
      </c>
      <c r="AD3145">
        <v>179.99</v>
      </c>
      <c r="AE3145">
        <f t="shared" si="98"/>
        <v>479.05999999999995</v>
      </c>
      <c r="AF3145" t="str">
        <f t="shared" si="99"/>
        <v>2026-02</v>
      </c>
      <c r="AG3145">
        <f>SUBTOTAL(103,A3145)</f>
        <v>1</v>
      </c>
    </row>
    <row r="3146" spans="1:33" x14ac:dyDescent="0.3">
      <c r="A3146" t="s">
        <v>5769</v>
      </c>
      <c r="B3146" s="13">
        <v>46063</v>
      </c>
      <c r="C3146">
        <v>2026</v>
      </c>
      <c r="D3146">
        <v>2</v>
      </c>
      <c r="E3146" t="s">
        <v>2849</v>
      </c>
      <c r="F3146" t="s">
        <v>2572</v>
      </c>
      <c r="G3146" t="s">
        <v>641</v>
      </c>
      <c r="H3146" t="s">
        <v>642</v>
      </c>
      <c r="I3146" t="s">
        <v>85</v>
      </c>
      <c r="J3146">
        <v>36</v>
      </c>
      <c r="K3146" t="s">
        <v>82</v>
      </c>
      <c r="L3146" t="s">
        <v>2674</v>
      </c>
      <c r="M3146" t="s">
        <v>58</v>
      </c>
      <c r="N3146" t="s">
        <v>2587</v>
      </c>
      <c r="O3146" t="s">
        <v>116</v>
      </c>
      <c r="P3146" t="s">
        <v>48</v>
      </c>
      <c r="Q3146" t="s">
        <v>138</v>
      </c>
      <c r="R3146">
        <v>3</v>
      </c>
      <c r="S3146">
        <v>14999</v>
      </c>
      <c r="T3146">
        <v>0.25</v>
      </c>
      <c r="U3146">
        <v>33747.75</v>
      </c>
      <c r="V3146">
        <v>33600</v>
      </c>
      <c r="W3146">
        <v>147.75</v>
      </c>
      <c r="X3146" t="s">
        <v>74</v>
      </c>
      <c r="Y3146" t="s">
        <v>68</v>
      </c>
      <c r="Z3146" t="s">
        <v>158</v>
      </c>
      <c r="AA3146" t="s">
        <v>166</v>
      </c>
      <c r="AB3146">
        <v>4</v>
      </c>
      <c r="AC3146">
        <v>80</v>
      </c>
      <c r="AD3146">
        <v>1090.9100000000001</v>
      </c>
      <c r="AE3146">
        <f t="shared" si="98"/>
        <v>-1023.1600000000001</v>
      </c>
      <c r="AF3146" t="str">
        <f t="shared" si="99"/>
        <v>2026-02</v>
      </c>
      <c r="AG3146">
        <f>SUBTOTAL(103,A3146)</f>
        <v>1</v>
      </c>
    </row>
    <row r="3147" spans="1:33" x14ac:dyDescent="0.3">
      <c r="A3147" t="s">
        <v>5770</v>
      </c>
      <c r="B3147" s="13">
        <v>46064</v>
      </c>
      <c r="C3147">
        <v>2026</v>
      </c>
      <c r="D3147">
        <v>2</v>
      </c>
      <c r="E3147" t="s">
        <v>2849</v>
      </c>
      <c r="F3147" t="s">
        <v>2572</v>
      </c>
      <c r="G3147" t="s">
        <v>1589</v>
      </c>
      <c r="H3147" t="s">
        <v>1590</v>
      </c>
      <c r="I3147" t="s">
        <v>85</v>
      </c>
      <c r="J3147">
        <v>35</v>
      </c>
      <c r="K3147" t="s">
        <v>81</v>
      </c>
      <c r="L3147" t="s">
        <v>2661</v>
      </c>
      <c r="M3147" t="s">
        <v>58</v>
      </c>
      <c r="N3147" t="s">
        <v>2603</v>
      </c>
      <c r="O3147" t="s">
        <v>122</v>
      </c>
      <c r="P3147" t="s">
        <v>48</v>
      </c>
      <c r="Q3147" t="s">
        <v>141</v>
      </c>
      <c r="R3147">
        <v>4</v>
      </c>
      <c r="S3147">
        <v>2499</v>
      </c>
      <c r="T3147">
        <v>0.1</v>
      </c>
      <c r="U3147">
        <v>8996.4</v>
      </c>
      <c r="V3147">
        <v>5800</v>
      </c>
      <c r="W3147">
        <v>3196.4</v>
      </c>
      <c r="X3147" t="s">
        <v>76</v>
      </c>
      <c r="Y3147" t="s">
        <v>68</v>
      </c>
      <c r="Z3147" t="s">
        <v>158</v>
      </c>
      <c r="AA3147" t="s">
        <v>170</v>
      </c>
      <c r="AB3147">
        <v>3.8</v>
      </c>
      <c r="AC3147">
        <v>100</v>
      </c>
      <c r="AD3147">
        <v>642.33000000000004</v>
      </c>
      <c r="AE3147">
        <f t="shared" si="98"/>
        <v>2454.0700000000002</v>
      </c>
      <c r="AF3147" t="str">
        <f t="shared" si="99"/>
        <v>2026-02</v>
      </c>
      <c r="AG3147">
        <f>SUBTOTAL(103,A3147)</f>
        <v>1</v>
      </c>
    </row>
    <row r="3148" spans="1:33" x14ac:dyDescent="0.3">
      <c r="A3148" t="s">
        <v>5771</v>
      </c>
      <c r="B3148" s="13">
        <v>46064</v>
      </c>
      <c r="C3148">
        <v>2026</v>
      </c>
      <c r="D3148">
        <v>2</v>
      </c>
      <c r="E3148" t="s">
        <v>2849</v>
      </c>
      <c r="F3148" t="s">
        <v>2572</v>
      </c>
      <c r="G3148" t="s">
        <v>1711</v>
      </c>
      <c r="H3148" t="s">
        <v>1712</v>
      </c>
      <c r="I3148" t="s">
        <v>86</v>
      </c>
      <c r="J3148">
        <v>26</v>
      </c>
      <c r="K3148" t="s">
        <v>81</v>
      </c>
      <c r="L3148" t="s">
        <v>96</v>
      </c>
      <c r="M3148" t="s">
        <v>55</v>
      </c>
      <c r="N3148" t="s">
        <v>2653</v>
      </c>
      <c r="O3148" t="s">
        <v>132</v>
      </c>
      <c r="P3148" t="s">
        <v>52</v>
      </c>
      <c r="Q3148" t="s">
        <v>150</v>
      </c>
      <c r="R3148">
        <v>5</v>
      </c>
      <c r="S3148">
        <v>899</v>
      </c>
      <c r="T3148">
        <v>0</v>
      </c>
      <c r="U3148">
        <v>4495</v>
      </c>
      <c r="V3148">
        <v>2100</v>
      </c>
      <c r="W3148">
        <v>2395</v>
      </c>
      <c r="X3148" t="s">
        <v>76</v>
      </c>
      <c r="Y3148" t="s">
        <v>68</v>
      </c>
      <c r="Z3148" t="s">
        <v>162</v>
      </c>
      <c r="AA3148" t="s">
        <v>170</v>
      </c>
      <c r="AB3148">
        <v>3.6</v>
      </c>
      <c r="AC3148">
        <v>60</v>
      </c>
      <c r="AD3148">
        <v>186</v>
      </c>
      <c r="AE3148">
        <f t="shared" si="98"/>
        <v>2149</v>
      </c>
      <c r="AF3148" t="str">
        <f t="shared" si="99"/>
        <v>2026-02</v>
      </c>
      <c r="AG3148">
        <f>SUBTOTAL(103,A3148)</f>
        <v>1</v>
      </c>
    </row>
    <row r="3149" spans="1:33" x14ac:dyDescent="0.3">
      <c r="A3149" t="s">
        <v>5772</v>
      </c>
      <c r="B3149" s="13">
        <v>46064</v>
      </c>
      <c r="C3149">
        <v>2026</v>
      </c>
      <c r="D3149">
        <v>2</v>
      </c>
      <c r="E3149" t="s">
        <v>2849</v>
      </c>
      <c r="F3149" t="s">
        <v>2572</v>
      </c>
      <c r="G3149" t="s">
        <v>1331</v>
      </c>
      <c r="H3149" t="s">
        <v>1332</v>
      </c>
      <c r="I3149" t="s">
        <v>85</v>
      </c>
      <c r="J3149">
        <v>45</v>
      </c>
      <c r="K3149" t="s">
        <v>82</v>
      </c>
      <c r="L3149" t="s">
        <v>93</v>
      </c>
      <c r="M3149" t="s">
        <v>55</v>
      </c>
      <c r="N3149" t="s">
        <v>2644</v>
      </c>
      <c r="O3149" t="s">
        <v>126</v>
      </c>
      <c r="P3149" t="s">
        <v>50</v>
      </c>
      <c r="Q3149" t="s">
        <v>145</v>
      </c>
      <c r="R3149">
        <v>4</v>
      </c>
      <c r="S3149">
        <v>1799</v>
      </c>
      <c r="T3149">
        <v>0.1</v>
      </c>
      <c r="U3149">
        <v>0</v>
      </c>
      <c r="V3149">
        <v>0</v>
      </c>
      <c r="W3149">
        <v>0</v>
      </c>
      <c r="X3149" t="s">
        <v>76</v>
      </c>
      <c r="Y3149" t="s">
        <v>71</v>
      </c>
      <c r="Z3149" t="s">
        <v>163</v>
      </c>
      <c r="AA3149" t="s">
        <v>169</v>
      </c>
      <c r="AB3149">
        <v>3.6</v>
      </c>
      <c r="AC3149">
        <v>60</v>
      </c>
      <c r="AD3149">
        <v>431.98</v>
      </c>
      <c r="AE3149">
        <f t="shared" si="98"/>
        <v>-491.98</v>
      </c>
      <c r="AF3149" t="str">
        <f t="shared" si="99"/>
        <v>2026-02</v>
      </c>
      <c r="AG3149">
        <f>SUBTOTAL(103,A3149)</f>
        <v>1</v>
      </c>
    </row>
    <row r="3150" spans="1:33" x14ac:dyDescent="0.3">
      <c r="A3150" t="s">
        <v>5773</v>
      </c>
      <c r="B3150" s="13">
        <v>46065</v>
      </c>
      <c r="C3150">
        <v>2026</v>
      </c>
      <c r="D3150">
        <v>2</v>
      </c>
      <c r="E3150" t="s">
        <v>2849</v>
      </c>
      <c r="F3150" t="s">
        <v>2572</v>
      </c>
      <c r="G3150" t="s">
        <v>1393</v>
      </c>
      <c r="H3150" t="s">
        <v>1394</v>
      </c>
      <c r="I3150" t="s">
        <v>85</v>
      </c>
      <c r="J3150">
        <v>40</v>
      </c>
      <c r="K3150" t="s">
        <v>82</v>
      </c>
      <c r="L3150" t="s">
        <v>97</v>
      </c>
      <c r="M3150" t="s">
        <v>57</v>
      </c>
      <c r="N3150" t="s">
        <v>2590</v>
      </c>
      <c r="O3150" t="s">
        <v>127</v>
      </c>
      <c r="P3150" t="s">
        <v>51</v>
      </c>
      <c r="Q3150" t="s">
        <v>148</v>
      </c>
      <c r="R3150">
        <v>2</v>
      </c>
      <c r="S3150">
        <v>1599</v>
      </c>
      <c r="T3150">
        <v>0.05</v>
      </c>
      <c r="U3150">
        <v>3038.1</v>
      </c>
      <c r="V3150">
        <v>1600</v>
      </c>
      <c r="W3150">
        <v>1438.1</v>
      </c>
      <c r="X3150" t="s">
        <v>74</v>
      </c>
      <c r="Y3150" t="s">
        <v>68</v>
      </c>
      <c r="Z3150" t="s">
        <v>159</v>
      </c>
      <c r="AA3150" t="s">
        <v>167</v>
      </c>
      <c r="AB3150">
        <v>3.1</v>
      </c>
      <c r="AC3150">
        <v>60</v>
      </c>
      <c r="AD3150">
        <v>140.31</v>
      </c>
      <c r="AE3150">
        <f t="shared" si="98"/>
        <v>1237.79</v>
      </c>
      <c r="AF3150" t="str">
        <f t="shared" si="99"/>
        <v>2026-02</v>
      </c>
      <c r="AG3150">
        <f>SUBTOTAL(103,A3150)</f>
        <v>1</v>
      </c>
    </row>
    <row r="3151" spans="1:33" x14ac:dyDescent="0.3">
      <c r="A3151" t="s">
        <v>5774</v>
      </c>
      <c r="B3151" s="13">
        <v>46065</v>
      </c>
      <c r="C3151">
        <v>2026</v>
      </c>
      <c r="D3151">
        <v>2</v>
      </c>
      <c r="E3151" t="s">
        <v>2849</v>
      </c>
      <c r="F3151" t="s">
        <v>2572</v>
      </c>
      <c r="G3151" t="s">
        <v>1507</v>
      </c>
      <c r="H3151" t="s">
        <v>1508</v>
      </c>
      <c r="I3151" t="s">
        <v>86</v>
      </c>
      <c r="J3151">
        <v>59</v>
      </c>
      <c r="K3151" t="s">
        <v>83</v>
      </c>
      <c r="L3151" t="s">
        <v>98</v>
      </c>
      <c r="M3151" t="s">
        <v>55</v>
      </c>
      <c r="N3151" t="s">
        <v>2644</v>
      </c>
      <c r="O3151" t="s">
        <v>126</v>
      </c>
      <c r="P3151" t="s">
        <v>50</v>
      </c>
      <c r="Q3151" t="s">
        <v>145</v>
      </c>
      <c r="R3151">
        <v>1</v>
      </c>
      <c r="S3151">
        <v>1799</v>
      </c>
      <c r="T3151">
        <v>0</v>
      </c>
      <c r="U3151">
        <v>1799</v>
      </c>
      <c r="V3151">
        <v>950</v>
      </c>
      <c r="W3151">
        <v>849</v>
      </c>
      <c r="X3151" t="s">
        <v>77</v>
      </c>
      <c r="Y3151" t="s">
        <v>68</v>
      </c>
      <c r="Z3151" t="s">
        <v>159</v>
      </c>
      <c r="AA3151" t="s">
        <v>171</v>
      </c>
      <c r="AB3151">
        <v>4.0999999999999996</v>
      </c>
      <c r="AC3151">
        <v>60</v>
      </c>
      <c r="AD3151">
        <v>127.38</v>
      </c>
      <c r="AE3151">
        <f t="shared" si="98"/>
        <v>661.62</v>
      </c>
      <c r="AF3151" t="str">
        <f t="shared" si="99"/>
        <v>2026-02</v>
      </c>
      <c r="AG3151">
        <f>SUBTOTAL(103,A3151)</f>
        <v>1</v>
      </c>
    </row>
    <row r="3152" spans="1:33" x14ac:dyDescent="0.3">
      <c r="A3152" t="s">
        <v>5775</v>
      </c>
      <c r="B3152" s="13">
        <v>46065</v>
      </c>
      <c r="C3152">
        <v>2026</v>
      </c>
      <c r="D3152">
        <v>2</v>
      </c>
      <c r="E3152" t="s">
        <v>2849</v>
      </c>
      <c r="F3152" t="s">
        <v>2572</v>
      </c>
      <c r="G3152" t="s">
        <v>2251</v>
      </c>
      <c r="H3152" t="s">
        <v>2252</v>
      </c>
      <c r="I3152" t="s">
        <v>86</v>
      </c>
      <c r="J3152">
        <v>41</v>
      </c>
      <c r="K3152" t="s">
        <v>82</v>
      </c>
      <c r="L3152" t="s">
        <v>92</v>
      </c>
      <c r="M3152" t="s">
        <v>59</v>
      </c>
      <c r="N3152" t="s">
        <v>2653</v>
      </c>
      <c r="O3152" t="s">
        <v>132</v>
      </c>
      <c r="P3152" t="s">
        <v>52</v>
      </c>
      <c r="Q3152" t="s">
        <v>150</v>
      </c>
      <c r="R3152">
        <v>1</v>
      </c>
      <c r="S3152">
        <v>899</v>
      </c>
      <c r="T3152">
        <v>0.1</v>
      </c>
      <c r="U3152">
        <v>809.1</v>
      </c>
      <c r="V3152">
        <v>420</v>
      </c>
      <c r="W3152">
        <v>389.1</v>
      </c>
      <c r="X3152" t="s">
        <v>73</v>
      </c>
      <c r="Y3152" t="s">
        <v>68</v>
      </c>
      <c r="Z3152" t="s">
        <v>158</v>
      </c>
      <c r="AA3152" t="s">
        <v>168</v>
      </c>
      <c r="AB3152">
        <v>4.7</v>
      </c>
      <c r="AC3152">
        <v>80</v>
      </c>
      <c r="AD3152">
        <v>94.59</v>
      </c>
      <c r="AE3152">
        <f t="shared" si="98"/>
        <v>214.51000000000002</v>
      </c>
      <c r="AF3152" t="str">
        <f t="shared" si="99"/>
        <v>2026-02</v>
      </c>
      <c r="AG3152">
        <f>SUBTOTAL(103,A3152)</f>
        <v>1</v>
      </c>
    </row>
    <row r="3153" spans="1:33" x14ac:dyDescent="0.3">
      <c r="A3153" t="s">
        <v>5776</v>
      </c>
      <c r="B3153" s="13">
        <v>46065</v>
      </c>
      <c r="C3153">
        <v>2026</v>
      </c>
      <c r="D3153">
        <v>2</v>
      </c>
      <c r="E3153" t="s">
        <v>2849</v>
      </c>
      <c r="F3153" t="s">
        <v>2572</v>
      </c>
      <c r="G3153" t="s">
        <v>1783</v>
      </c>
      <c r="H3153" t="s">
        <v>1784</v>
      </c>
      <c r="I3153" t="s">
        <v>85</v>
      </c>
      <c r="J3153">
        <v>53</v>
      </c>
      <c r="K3153" t="s">
        <v>83</v>
      </c>
      <c r="L3153" t="s">
        <v>97</v>
      </c>
      <c r="M3153" t="s">
        <v>57</v>
      </c>
      <c r="N3153" t="s">
        <v>2574</v>
      </c>
      <c r="O3153" t="s">
        <v>130</v>
      </c>
      <c r="P3153" t="s">
        <v>50</v>
      </c>
      <c r="Q3153" t="s">
        <v>53</v>
      </c>
      <c r="R3153">
        <v>2</v>
      </c>
      <c r="S3153">
        <v>1199</v>
      </c>
      <c r="T3153">
        <v>0.2</v>
      </c>
      <c r="U3153">
        <v>1918.4</v>
      </c>
      <c r="V3153">
        <v>1100</v>
      </c>
      <c r="W3153">
        <v>818.4</v>
      </c>
      <c r="X3153" t="s">
        <v>75</v>
      </c>
      <c r="Y3153" t="s">
        <v>68</v>
      </c>
      <c r="Z3153" t="s">
        <v>160</v>
      </c>
      <c r="AA3153" t="s">
        <v>169</v>
      </c>
      <c r="AB3153">
        <v>3.9</v>
      </c>
      <c r="AC3153">
        <v>50</v>
      </c>
      <c r="AD3153">
        <v>195.64</v>
      </c>
      <c r="AE3153">
        <f t="shared" si="98"/>
        <v>572.76</v>
      </c>
      <c r="AF3153" t="str">
        <f t="shared" si="99"/>
        <v>2026-02</v>
      </c>
      <c r="AG3153">
        <f>SUBTOTAL(103,A3153)</f>
        <v>1</v>
      </c>
    </row>
    <row r="3154" spans="1:33" x14ac:dyDescent="0.3">
      <c r="A3154" t="s">
        <v>5777</v>
      </c>
      <c r="B3154" s="13">
        <v>46065</v>
      </c>
      <c r="C3154">
        <v>2026</v>
      </c>
      <c r="D3154">
        <v>2</v>
      </c>
      <c r="E3154" t="s">
        <v>2849</v>
      </c>
      <c r="F3154" t="s">
        <v>2572</v>
      </c>
      <c r="G3154" t="s">
        <v>495</v>
      </c>
      <c r="H3154" t="s">
        <v>496</v>
      </c>
      <c r="I3154" t="s">
        <v>85</v>
      </c>
      <c r="J3154">
        <v>19</v>
      </c>
      <c r="K3154" t="s">
        <v>80</v>
      </c>
      <c r="L3154" t="s">
        <v>2579</v>
      </c>
      <c r="M3154" t="s">
        <v>56</v>
      </c>
      <c r="N3154" t="s">
        <v>2606</v>
      </c>
      <c r="O3154" t="s">
        <v>120</v>
      </c>
      <c r="P3154" t="s">
        <v>49</v>
      </c>
      <c r="Q3154" t="s">
        <v>140</v>
      </c>
      <c r="R3154">
        <v>3</v>
      </c>
      <c r="S3154">
        <v>2799</v>
      </c>
      <c r="T3154">
        <v>0.1</v>
      </c>
      <c r="U3154">
        <v>7557.3</v>
      </c>
      <c r="V3154">
        <v>4950</v>
      </c>
      <c r="W3154">
        <v>2607.3000000000002</v>
      </c>
      <c r="X3154" t="s">
        <v>73</v>
      </c>
      <c r="Y3154" t="s">
        <v>68</v>
      </c>
      <c r="Z3154" t="s">
        <v>161</v>
      </c>
      <c r="AA3154" t="s">
        <v>167</v>
      </c>
      <c r="AB3154">
        <v>3.7</v>
      </c>
      <c r="AC3154">
        <v>60</v>
      </c>
      <c r="AD3154">
        <v>508.05</v>
      </c>
      <c r="AE3154">
        <f t="shared" si="98"/>
        <v>2039.2500000000002</v>
      </c>
      <c r="AF3154" t="str">
        <f t="shared" si="99"/>
        <v>2026-02</v>
      </c>
      <c r="AG3154">
        <f>SUBTOTAL(103,A3154)</f>
        <v>1</v>
      </c>
    </row>
    <row r="3155" spans="1:33" x14ac:dyDescent="0.3">
      <c r="A3155" t="s">
        <v>5778</v>
      </c>
      <c r="B3155" s="13">
        <v>46066</v>
      </c>
      <c r="C3155">
        <v>2026</v>
      </c>
      <c r="D3155">
        <v>2</v>
      </c>
      <c r="E3155" t="s">
        <v>2849</v>
      </c>
      <c r="F3155" t="s">
        <v>2572</v>
      </c>
      <c r="G3155" t="s">
        <v>277</v>
      </c>
      <c r="H3155" t="s">
        <v>278</v>
      </c>
      <c r="I3155" t="s">
        <v>85</v>
      </c>
      <c r="J3155">
        <v>59</v>
      </c>
      <c r="K3155" t="s">
        <v>83</v>
      </c>
      <c r="L3155" t="s">
        <v>2576</v>
      </c>
      <c r="M3155" t="s">
        <v>60</v>
      </c>
      <c r="N3155" t="s">
        <v>2574</v>
      </c>
      <c r="O3155" t="s">
        <v>130</v>
      </c>
      <c r="P3155" t="s">
        <v>50</v>
      </c>
      <c r="Q3155" t="s">
        <v>53</v>
      </c>
      <c r="R3155">
        <v>3</v>
      </c>
      <c r="S3155">
        <v>1199</v>
      </c>
      <c r="T3155">
        <v>0.1</v>
      </c>
      <c r="U3155">
        <v>3237.3</v>
      </c>
      <c r="V3155">
        <v>1650</v>
      </c>
      <c r="W3155">
        <v>1587.3</v>
      </c>
      <c r="X3155" t="s">
        <v>73</v>
      </c>
      <c r="Y3155" t="s">
        <v>68</v>
      </c>
      <c r="Z3155" t="s">
        <v>160</v>
      </c>
      <c r="AA3155" t="s">
        <v>170</v>
      </c>
      <c r="AB3155">
        <v>5</v>
      </c>
      <c r="AC3155">
        <v>50</v>
      </c>
      <c r="AD3155">
        <v>80.959999999999994</v>
      </c>
      <c r="AE3155">
        <f t="shared" si="98"/>
        <v>1456.34</v>
      </c>
      <c r="AF3155" t="str">
        <f t="shared" si="99"/>
        <v>2026-02</v>
      </c>
      <c r="AG3155">
        <f>SUBTOTAL(103,A3155)</f>
        <v>1</v>
      </c>
    </row>
    <row r="3156" spans="1:33" x14ac:dyDescent="0.3">
      <c r="A3156" t="s">
        <v>5779</v>
      </c>
      <c r="B3156" s="13">
        <v>46066</v>
      </c>
      <c r="C3156">
        <v>2026</v>
      </c>
      <c r="D3156">
        <v>2</v>
      </c>
      <c r="E3156" t="s">
        <v>2849</v>
      </c>
      <c r="F3156" t="s">
        <v>2572</v>
      </c>
      <c r="G3156" t="s">
        <v>1005</v>
      </c>
      <c r="H3156" t="s">
        <v>1006</v>
      </c>
      <c r="I3156" t="s">
        <v>85</v>
      </c>
      <c r="J3156">
        <v>47</v>
      </c>
      <c r="K3156" t="s">
        <v>83</v>
      </c>
      <c r="L3156" t="s">
        <v>97</v>
      </c>
      <c r="M3156" t="s">
        <v>57</v>
      </c>
      <c r="N3156" t="s">
        <v>2601</v>
      </c>
      <c r="O3156" t="s">
        <v>117</v>
      </c>
      <c r="P3156" t="s">
        <v>49</v>
      </c>
      <c r="Q3156" t="s">
        <v>139</v>
      </c>
      <c r="R3156">
        <v>1</v>
      </c>
      <c r="S3156">
        <v>6999</v>
      </c>
      <c r="T3156">
        <v>0.1</v>
      </c>
      <c r="U3156">
        <v>6299.1</v>
      </c>
      <c r="V3156">
        <v>4300</v>
      </c>
      <c r="W3156">
        <v>1999.1</v>
      </c>
      <c r="X3156" t="s">
        <v>74</v>
      </c>
      <c r="Y3156" t="s">
        <v>68</v>
      </c>
      <c r="Z3156" t="s">
        <v>161</v>
      </c>
      <c r="AA3156" t="s">
        <v>168</v>
      </c>
      <c r="AB3156">
        <v>4.3</v>
      </c>
      <c r="AC3156">
        <v>50</v>
      </c>
      <c r="AD3156">
        <v>178.95</v>
      </c>
      <c r="AE3156">
        <f t="shared" si="98"/>
        <v>1770.1499999999999</v>
      </c>
      <c r="AF3156" t="str">
        <f t="shared" si="99"/>
        <v>2026-02</v>
      </c>
      <c r="AG3156">
        <f>SUBTOTAL(103,A3156)</f>
        <v>1</v>
      </c>
    </row>
    <row r="3157" spans="1:33" x14ac:dyDescent="0.3">
      <c r="A3157" t="s">
        <v>5780</v>
      </c>
      <c r="B3157" s="13">
        <v>46066</v>
      </c>
      <c r="C3157">
        <v>2026</v>
      </c>
      <c r="D3157">
        <v>2</v>
      </c>
      <c r="E3157" t="s">
        <v>2849</v>
      </c>
      <c r="F3157" t="s">
        <v>2572</v>
      </c>
      <c r="G3157" t="s">
        <v>1409</v>
      </c>
      <c r="H3157" t="s">
        <v>1410</v>
      </c>
      <c r="I3157" t="s">
        <v>85</v>
      </c>
      <c r="J3157">
        <v>27</v>
      </c>
      <c r="K3157" t="s">
        <v>81</v>
      </c>
      <c r="L3157" t="s">
        <v>92</v>
      </c>
      <c r="M3157" t="s">
        <v>59</v>
      </c>
      <c r="N3157" t="s">
        <v>2603</v>
      </c>
      <c r="O3157" t="s">
        <v>122</v>
      </c>
      <c r="P3157" t="s">
        <v>48</v>
      </c>
      <c r="Q3157" t="s">
        <v>141</v>
      </c>
      <c r="R3157">
        <v>1</v>
      </c>
      <c r="S3157">
        <v>2499</v>
      </c>
      <c r="T3157">
        <v>0.2</v>
      </c>
      <c r="U3157">
        <v>1999.2</v>
      </c>
      <c r="V3157">
        <v>1450</v>
      </c>
      <c r="W3157">
        <v>549.20000000000005</v>
      </c>
      <c r="X3157" t="s">
        <v>74</v>
      </c>
      <c r="Y3157" t="s">
        <v>68</v>
      </c>
      <c r="Z3157" t="s">
        <v>159</v>
      </c>
      <c r="AA3157" t="s">
        <v>167</v>
      </c>
      <c r="AB3157">
        <v>3.5</v>
      </c>
      <c r="AC3157">
        <v>60</v>
      </c>
      <c r="AD3157">
        <v>62.21</v>
      </c>
      <c r="AE3157">
        <f t="shared" si="98"/>
        <v>426.99000000000007</v>
      </c>
      <c r="AF3157" t="str">
        <f t="shared" si="99"/>
        <v>2026-02</v>
      </c>
      <c r="AG3157">
        <f>SUBTOTAL(103,A3157)</f>
        <v>1</v>
      </c>
    </row>
    <row r="3158" spans="1:33" x14ac:dyDescent="0.3">
      <c r="A3158" t="s">
        <v>5781</v>
      </c>
      <c r="B3158" s="13">
        <v>46066</v>
      </c>
      <c r="C3158">
        <v>2026</v>
      </c>
      <c r="D3158">
        <v>2</v>
      </c>
      <c r="E3158" t="s">
        <v>2849</v>
      </c>
      <c r="F3158" t="s">
        <v>2572</v>
      </c>
      <c r="G3158" t="s">
        <v>1035</v>
      </c>
      <c r="H3158" t="s">
        <v>1036</v>
      </c>
      <c r="I3158" t="s">
        <v>86</v>
      </c>
      <c r="J3158">
        <v>47</v>
      </c>
      <c r="K3158" t="s">
        <v>83</v>
      </c>
      <c r="L3158" t="s">
        <v>2586</v>
      </c>
      <c r="M3158" t="s">
        <v>62</v>
      </c>
      <c r="N3158" t="s">
        <v>2657</v>
      </c>
      <c r="O3158" t="s">
        <v>134</v>
      </c>
      <c r="P3158" t="s">
        <v>49</v>
      </c>
      <c r="Q3158" t="s">
        <v>140</v>
      </c>
      <c r="R3158">
        <v>2</v>
      </c>
      <c r="S3158">
        <v>599</v>
      </c>
      <c r="T3158">
        <v>0.15</v>
      </c>
      <c r="U3158">
        <v>1018.3</v>
      </c>
      <c r="V3158">
        <v>500</v>
      </c>
      <c r="W3158">
        <v>518.29999999999995</v>
      </c>
      <c r="X3158" t="s">
        <v>73</v>
      </c>
      <c r="Y3158" t="s">
        <v>68</v>
      </c>
      <c r="Z3158" t="s">
        <v>158</v>
      </c>
      <c r="AA3158" t="s">
        <v>170</v>
      </c>
      <c r="AB3158">
        <v>4.5999999999999996</v>
      </c>
      <c r="AC3158">
        <v>60</v>
      </c>
      <c r="AD3158">
        <v>49.29</v>
      </c>
      <c r="AE3158">
        <f t="shared" si="98"/>
        <v>409.00999999999993</v>
      </c>
      <c r="AF3158" t="str">
        <f t="shared" si="99"/>
        <v>2026-02</v>
      </c>
      <c r="AG3158">
        <f>SUBTOTAL(103,A3158)</f>
        <v>1</v>
      </c>
    </row>
    <row r="3159" spans="1:33" x14ac:dyDescent="0.3">
      <c r="A3159" t="s">
        <v>5782</v>
      </c>
      <c r="B3159" s="13">
        <v>46066</v>
      </c>
      <c r="C3159">
        <v>2026</v>
      </c>
      <c r="D3159">
        <v>2</v>
      </c>
      <c r="E3159" t="s">
        <v>2849</v>
      </c>
      <c r="F3159" t="s">
        <v>2572</v>
      </c>
      <c r="G3159" t="s">
        <v>957</v>
      </c>
      <c r="H3159" t="s">
        <v>958</v>
      </c>
      <c r="I3159" t="s">
        <v>86</v>
      </c>
      <c r="J3159">
        <v>60</v>
      </c>
      <c r="K3159" t="s">
        <v>83</v>
      </c>
      <c r="L3159" t="s">
        <v>2687</v>
      </c>
      <c r="M3159" t="s">
        <v>57</v>
      </c>
      <c r="N3159" t="s">
        <v>2647</v>
      </c>
      <c r="O3159" t="s">
        <v>133</v>
      </c>
      <c r="P3159" t="s">
        <v>50</v>
      </c>
      <c r="Q3159" t="s">
        <v>145</v>
      </c>
      <c r="R3159">
        <v>3</v>
      </c>
      <c r="S3159">
        <v>799</v>
      </c>
      <c r="T3159">
        <v>0.15</v>
      </c>
      <c r="U3159">
        <v>2037.45</v>
      </c>
      <c r="V3159">
        <v>1170</v>
      </c>
      <c r="W3159">
        <v>867.45</v>
      </c>
      <c r="X3159" t="s">
        <v>74</v>
      </c>
      <c r="Y3159" t="s">
        <v>68</v>
      </c>
      <c r="Z3159" t="s">
        <v>160</v>
      </c>
      <c r="AA3159" t="s">
        <v>171</v>
      </c>
      <c r="AB3159">
        <v>3.8</v>
      </c>
      <c r="AC3159">
        <v>80</v>
      </c>
      <c r="AD3159">
        <v>143.19</v>
      </c>
      <c r="AE3159">
        <f t="shared" si="98"/>
        <v>644.26</v>
      </c>
      <c r="AF3159" t="str">
        <f t="shared" si="99"/>
        <v>2026-02</v>
      </c>
      <c r="AG3159">
        <f>SUBTOTAL(103,A3159)</f>
        <v>1</v>
      </c>
    </row>
    <row r="3160" spans="1:33" x14ac:dyDescent="0.3">
      <c r="A3160" t="s">
        <v>5783</v>
      </c>
      <c r="B3160" s="13">
        <v>46066</v>
      </c>
      <c r="C3160">
        <v>2026</v>
      </c>
      <c r="D3160">
        <v>2</v>
      </c>
      <c r="E3160" t="s">
        <v>2849</v>
      </c>
      <c r="F3160" t="s">
        <v>2572</v>
      </c>
      <c r="G3160" t="s">
        <v>1745</v>
      </c>
      <c r="H3160" t="s">
        <v>1746</v>
      </c>
      <c r="I3160" t="s">
        <v>87</v>
      </c>
      <c r="J3160">
        <v>23</v>
      </c>
      <c r="K3160" t="s">
        <v>80</v>
      </c>
      <c r="L3160" t="s">
        <v>97</v>
      </c>
      <c r="M3160" t="s">
        <v>57</v>
      </c>
      <c r="N3160" t="s">
        <v>2592</v>
      </c>
      <c r="O3160" t="s">
        <v>115</v>
      </c>
      <c r="P3160" t="s">
        <v>48</v>
      </c>
      <c r="Q3160" t="s">
        <v>137</v>
      </c>
      <c r="R3160">
        <v>1</v>
      </c>
      <c r="S3160">
        <v>12999</v>
      </c>
      <c r="T3160">
        <v>0.2</v>
      </c>
      <c r="U3160">
        <v>10399.200000000001</v>
      </c>
      <c r="V3160">
        <v>9000</v>
      </c>
      <c r="W3160">
        <v>1399.2</v>
      </c>
      <c r="X3160" t="s">
        <v>73</v>
      </c>
      <c r="Y3160" t="s">
        <v>68</v>
      </c>
      <c r="Z3160" t="s">
        <v>159</v>
      </c>
      <c r="AA3160" t="s">
        <v>171</v>
      </c>
      <c r="AB3160">
        <v>4.3</v>
      </c>
      <c r="AC3160">
        <v>100</v>
      </c>
      <c r="AD3160">
        <v>1171.46</v>
      </c>
      <c r="AE3160">
        <f t="shared" si="98"/>
        <v>127.74000000000001</v>
      </c>
      <c r="AF3160" t="str">
        <f t="shared" si="99"/>
        <v>2026-02</v>
      </c>
      <c r="AG3160">
        <f>SUBTOTAL(103,A3160)</f>
        <v>1</v>
      </c>
    </row>
    <row r="3161" spans="1:33" x14ac:dyDescent="0.3">
      <c r="A3161" t="s">
        <v>5784</v>
      </c>
      <c r="B3161" s="13">
        <v>46067</v>
      </c>
      <c r="C3161">
        <v>2026</v>
      </c>
      <c r="D3161">
        <v>2</v>
      </c>
      <c r="E3161" t="s">
        <v>2849</v>
      </c>
      <c r="F3161" t="s">
        <v>2572</v>
      </c>
      <c r="G3161" t="s">
        <v>2033</v>
      </c>
      <c r="H3161" t="s">
        <v>2034</v>
      </c>
      <c r="I3161" t="s">
        <v>85</v>
      </c>
      <c r="J3161">
        <v>49</v>
      </c>
      <c r="K3161" t="s">
        <v>83</v>
      </c>
      <c r="L3161" t="s">
        <v>100</v>
      </c>
      <c r="M3161" t="s">
        <v>56</v>
      </c>
      <c r="N3161" t="s">
        <v>2657</v>
      </c>
      <c r="O3161" t="s">
        <v>134</v>
      </c>
      <c r="P3161" t="s">
        <v>49</v>
      </c>
      <c r="Q3161" t="s">
        <v>140</v>
      </c>
      <c r="R3161">
        <v>1</v>
      </c>
      <c r="S3161">
        <v>599</v>
      </c>
      <c r="T3161">
        <v>0</v>
      </c>
      <c r="U3161">
        <v>599</v>
      </c>
      <c r="V3161">
        <v>250</v>
      </c>
      <c r="W3161">
        <v>349</v>
      </c>
      <c r="X3161" t="s">
        <v>75</v>
      </c>
      <c r="Y3161" t="s">
        <v>68</v>
      </c>
      <c r="Z3161" t="s">
        <v>159</v>
      </c>
      <c r="AA3161" t="s">
        <v>166</v>
      </c>
      <c r="AB3161">
        <v>4.0999999999999996</v>
      </c>
      <c r="AC3161">
        <v>80</v>
      </c>
      <c r="AD3161">
        <v>28.72</v>
      </c>
      <c r="AE3161">
        <f t="shared" si="98"/>
        <v>240.28</v>
      </c>
      <c r="AF3161" t="str">
        <f t="shared" si="99"/>
        <v>2026-02</v>
      </c>
      <c r="AG3161">
        <f>SUBTOTAL(103,A3161)</f>
        <v>1</v>
      </c>
    </row>
    <row r="3162" spans="1:33" x14ac:dyDescent="0.3">
      <c r="A3162" t="s">
        <v>5785</v>
      </c>
      <c r="B3162" s="13">
        <v>46067</v>
      </c>
      <c r="C3162">
        <v>2026</v>
      </c>
      <c r="D3162">
        <v>2</v>
      </c>
      <c r="E3162" t="s">
        <v>2849</v>
      </c>
      <c r="F3162" t="s">
        <v>2572</v>
      </c>
      <c r="G3162" t="s">
        <v>1131</v>
      </c>
      <c r="H3162" t="s">
        <v>1132</v>
      </c>
      <c r="I3162" t="s">
        <v>86</v>
      </c>
      <c r="J3162">
        <v>55</v>
      </c>
      <c r="K3162" t="s">
        <v>83</v>
      </c>
      <c r="L3162" t="s">
        <v>96</v>
      </c>
      <c r="M3162" t="s">
        <v>55</v>
      </c>
      <c r="N3162" t="s">
        <v>2596</v>
      </c>
      <c r="O3162" t="s">
        <v>124</v>
      </c>
      <c r="P3162" t="s">
        <v>51</v>
      </c>
      <c r="Q3162" t="s">
        <v>147</v>
      </c>
      <c r="R3162">
        <v>5</v>
      </c>
      <c r="S3162">
        <v>2299</v>
      </c>
      <c r="T3162">
        <v>0.05</v>
      </c>
      <c r="U3162">
        <v>10920.25</v>
      </c>
      <c r="V3162">
        <v>6000</v>
      </c>
      <c r="W3162">
        <v>4920.25</v>
      </c>
      <c r="X3162" t="s">
        <v>75</v>
      </c>
      <c r="Y3162" t="s">
        <v>68</v>
      </c>
      <c r="Z3162" t="s">
        <v>158</v>
      </c>
      <c r="AA3162" t="s">
        <v>167</v>
      </c>
      <c r="AB3162">
        <v>4.2</v>
      </c>
      <c r="AC3162">
        <v>50</v>
      </c>
      <c r="AD3162">
        <v>860.04</v>
      </c>
      <c r="AE3162">
        <f t="shared" si="98"/>
        <v>4010.21</v>
      </c>
      <c r="AF3162" t="str">
        <f t="shared" si="99"/>
        <v>2026-02</v>
      </c>
      <c r="AG3162">
        <f>SUBTOTAL(103,A3162)</f>
        <v>1</v>
      </c>
    </row>
    <row r="3163" spans="1:33" x14ac:dyDescent="0.3">
      <c r="A3163" t="s">
        <v>5786</v>
      </c>
      <c r="B3163" s="13">
        <v>46067</v>
      </c>
      <c r="C3163">
        <v>2026</v>
      </c>
      <c r="D3163">
        <v>2</v>
      </c>
      <c r="E3163" t="s">
        <v>2849</v>
      </c>
      <c r="F3163" t="s">
        <v>2572</v>
      </c>
      <c r="G3163" t="s">
        <v>1595</v>
      </c>
      <c r="H3163" t="s">
        <v>1596</v>
      </c>
      <c r="I3163" t="s">
        <v>85</v>
      </c>
      <c r="J3163">
        <v>49</v>
      </c>
      <c r="K3163" t="s">
        <v>83</v>
      </c>
      <c r="L3163" t="s">
        <v>92</v>
      </c>
      <c r="M3163" t="s">
        <v>59</v>
      </c>
      <c r="N3163" t="s">
        <v>2574</v>
      </c>
      <c r="O3163" t="s">
        <v>130</v>
      </c>
      <c r="P3163" t="s">
        <v>50</v>
      </c>
      <c r="Q3163" t="s">
        <v>53</v>
      </c>
      <c r="R3163">
        <v>1</v>
      </c>
      <c r="S3163">
        <v>1199</v>
      </c>
      <c r="T3163">
        <v>0</v>
      </c>
      <c r="U3163">
        <v>1199</v>
      </c>
      <c r="V3163">
        <v>550</v>
      </c>
      <c r="W3163">
        <v>649</v>
      </c>
      <c r="X3163" t="s">
        <v>74</v>
      </c>
      <c r="Y3163" t="s">
        <v>68</v>
      </c>
      <c r="Z3163" t="s">
        <v>161</v>
      </c>
      <c r="AA3163" t="s">
        <v>167</v>
      </c>
      <c r="AB3163">
        <v>5</v>
      </c>
      <c r="AC3163">
        <v>80</v>
      </c>
      <c r="AD3163">
        <v>88.79</v>
      </c>
      <c r="AE3163">
        <f t="shared" si="98"/>
        <v>480.21</v>
      </c>
      <c r="AF3163" t="str">
        <f t="shared" si="99"/>
        <v>2026-02</v>
      </c>
      <c r="AG3163">
        <f>SUBTOTAL(103,A3163)</f>
        <v>1</v>
      </c>
    </row>
    <row r="3164" spans="1:33" x14ac:dyDescent="0.3">
      <c r="A3164" t="s">
        <v>5787</v>
      </c>
      <c r="B3164" s="13">
        <v>46067</v>
      </c>
      <c r="C3164">
        <v>2026</v>
      </c>
      <c r="D3164">
        <v>2</v>
      </c>
      <c r="E3164" t="s">
        <v>2849</v>
      </c>
      <c r="F3164" t="s">
        <v>2572</v>
      </c>
      <c r="G3164" t="s">
        <v>1523</v>
      </c>
      <c r="H3164" t="s">
        <v>1524</v>
      </c>
      <c r="I3164" t="s">
        <v>86</v>
      </c>
      <c r="J3164">
        <v>38</v>
      </c>
      <c r="K3164" t="s">
        <v>82</v>
      </c>
      <c r="L3164" t="s">
        <v>2616</v>
      </c>
      <c r="M3164" t="s">
        <v>62</v>
      </c>
      <c r="N3164" t="s">
        <v>2626</v>
      </c>
      <c r="O3164" t="s">
        <v>125</v>
      </c>
      <c r="P3164" t="s">
        <v>48</v>
      </c>
      <c r="Q3164" t="s">
        <v>141</v>
      </c>
      <c r="R3164">
        <v>1</v>
      </c>
      <c r="S3164">
        <v>1999</v>
      </c>
      <c r="T3164">
        <v>0.15</v>
      </c>
      <c r="U3164">
        <v>1699.15</v>
      </c>
      <c r="V3164">
        <v>1150</v>
      </c>
      <c r="W3164">
        <v>549.15</v>
      </c>
      <c r="X3164" t="s">
        <v>73</v>
      </c>
      <c r="Y3164" t="s">
        <v>68</v>
      </c>
      <c r="Z3164" t="s">
        <v>159</v>
      </c>
      <c r="AA3164" t="s">
        <v>167</v>
      </c>
      <c r="AB3164">
        <v>4.7</v>
      </c>
      <c r="AC3164">
        <v>60</v>
      </c>
      <c r="AD3164">
        <v>68.31</v>
      </c>
      <c r="AE3164">
        <f t="shared" si="98"/>
        <v>420.84</v>
      </c>
      <c r="AF3164" t="str">
        <f t="shared" si="99"/>
        <v>2026-02</v>
      </c>
      <c r="AG3164">
        <f>SUBTOTAL(103,A3164)</f>
        <v>1</v>
      </c>
    </row>
    <row r="3165" spans="1:33" x14ac:dyDescent="0.3">
      <c r="A3165" t="s">
        <v>5788</v>
      </c>
      <c r="B3165" s="13">
        <v>46067</v>
      </c>
      <c r="C3165">
        <v>2026</v>
      </c>
      <c r="D3165">
        <v>2</v>
      </c>
      <c r="E3165" t="s">
        <v>2849</v>
      </c>
      <c r="F3165" t="s">
        <v>2572</v>
      </c>
      <c r="G3165" t="s">
        <v>285</v>
      </c>
      <c r="H3165" t="s">
        <v>286</v>
      </c>
      <c r="I3165" t="s">
        <v>85</v>
      </c>
      <c r="J3165">
        <v>20</v>
      </c>
      <c r="K3165" t="s">
        <v>80</v>
      </c>
      <c r="L3165" t="s">
        <v>2589</v>
      </c>
      <c r="M3165" t="s">
        <v>61</v>
      </c>
      <c r="N3165" t="s">
        <v>2590</v>
      </c>
      <c r="O3165" t="s">
        <v>127</v>
      </c>
      <c r="P3165" t="s">
        <v>51</v>
      </c>
      <c r="Q3165" t="s">
        <v>148</v>
      </c>
      <c r="R3165">
        <v>1</v>
      </c>
      <c r="S3165">
        <v>1599</v>
      </c>
      <c r="T3165">
        <v>0.1</v>
      </c>
      <c r="U3165">
        <v>1439.1</v>
      </c>
      <c r="V3165">
        <v>800</v>
      </c>
      <c r="W3165">
        <v>639.1</v>
      </c>
      <c r="X3165" t="s">
        <v>73</v>
      </c>
      <c r="Y3165" t="s">
        <v>68</v>
      </c>
      <c r="Z3165" t="s">
        <v>160</v>
      </c>
      <c r="AA3165" t="s">
        <v>171</v>
      </c>
      <c r="AB3165">
        <v>3.1</v>
      </c>
      <c r="AC3165">
        <v>120</v>
      </c>
      <c r="AD3165">
        <v>68.930000000000007</v>
      </c>
      <c r="AE3165">
        <f t="shared" si="98"/>
        <v>450.17</v>
      </c>
      <c r="AF3165" t="str">
        <f t="shared" si="99"/>
        <v>2026-02</v>
      </c>
      <c r="AG3165">
        <f>SUBTOTAL(103,A3165)</f>
        <v>1</v>
      </c>
    </row>
    <row r="3166" spans="1:33" x14ac:dyDescent="0.3">
      <c r="A3166" t="s">
        <v>5789</v>
      </c>
      <c r="B3166" s="13">
        <v>46067</v>
      </c>
      <c r="C3166">
        <v>2026</v>
      </c>
      <c r="D3166">
        <v>2</v>
      </c>
      <c r="E3166" t="s">
        <v>2849</v>
      </c>
      <c r="F3166" t="s">
        <v>2572</v>
      </c>
      <c r="G3166" t="s">
        <v>247</v>
      </c>
      <c r="H3166" t="s">
        <v>248</v>
      </c>
      <c r="I3166" t="s">
        <v>85</v>
      </c>
      <c r="J3166">
        <v>58</v>
      </c>
      <c r="K3166" t="s">
        <v>83</v>
      </c>
      <c r="L3166" t="s">
        <v>95</v>
      </c>
      <c r="M3166" t="s">
        <v>56</v>
      </c>
      <c r="N3166" t="s">
        <v>2601</v>
      </c>
      <c r="O3166" t="s">
        <v>117</v>
      </c>
      <c r="P3166" t="s">
        <v>49</v>
      </c>
      <c r="Q3166" t="s">
        <v>139</v>
      </c>
      <c r="R3166">
        <v>3</v>
      </c>
      <c r="S3166">
        <v>6999</v>
      </c>
      <c r="T3166">
        <v>0.15</v>
      </c>
      <c r="U3166">
        <v>17847.45</v>
      </c>
      <c r="V3166">
        <v>12900</v>
      </c>
      <c r="W3166">
        <v>4947.45</v>
      </c>
      <c r="X3166" t="s">
        <v>76</v>
      </c>
      <c r="Y3166" t="s">
        <v>68</v>
      </c>
      <c r="Z3166" t="s">
        <v>158</v>
      </c>
      <c r="AA3166" t="s">
        <v>166</v>
      </c>
      <c r="AB3166">
        <v>4.3</v>
      </c>
      <c r="AC3166">
        <v>80</v>
      </c>
      <c r="AD3166">
        <v>1876.88</v>
      </c>
      <c r="AE3166">
        <f t="shared" si="98"/>
        <v>2990.5699999999997</v>
      </c>
      <c r="AF3166" t="str">
        <f t="shared" si="99"/>
        <v>2026-02</v>
      </c>
      <c r="AG3166">
        <f>SUBTOTAL(103,A3166)</f>
        <v>1</v>
      </c>
    </row>
    <row r="3167" spans="1:33" x14ac:dyDescent="0.3">
      <c r="A3167" t="s">
        <v>5790</v>
      </c>
      <c r="B3167" s="13">
        <v>46067</v>
      </c>
      <c r="C3167">
        <v>2026</v>
      </c>
      <c r="D3167">
        <v>2</v>
      </c>
      <c r="E3167" t="s">
        <v>2849</v>
      </c>
      <c r="F3167" t="s">
        <v>2572</v>
      </c>
      <c r="G3167" t="s">
        <v>547</v>
      </c>
      <c r="H3167" t="s">
        <v>548</v>
      </c>
      <c r="I3167" t="s">
        <v>85</v>
      </c>
      <c r="J3167">
        <v>34</v>
      </c>
      <c r="K3167" t="s">
        <v>81</v>
      </c>
      <c r="L3167" t="s">
        <v>91</v>
      </c>
      <c r="M3167" t="s">
        <v>55</v>
      </c>
      <c r="N3167" t="s">
        <v>2657</v>
      </c>
      <c r="O3167" t="s">
        <v>134</v>
      </c>
      <c r="P3167" t="s">
        <v>49</v>
      </c>
      <c r="Q3167" t="s">
        <v>140</v>
      </c>
      <c r="R3167">
        <v>4</v>
      </c>
      <c r="S3167">
        <v>599</v>
      </c>
      <c r="T3167">
        <v>0.05</v>
      </c>
      <c r="U3167">
        <v>2276.1999999999998</v>
      </c>
      <c r="V3167">
        <v>1000</v>
      </c>
      <c r="W3167">
        <v>1276.2</v>
      </c>
      <c r="X3167" t="s">
        <v>73</v>
      </c>
      <c r="Y3167" t="s">
        <v>68</v>
      </c>
      <c r="Z3167" t="s">
        <v>158</v>
      </c>
      <c r="AA3167" t="s">
        <v>166</v>
      </c>
      <c r="AB3167">
        <v>3.8</v>
      </c>
      <c r="AC3167">
        <v>50</v>
      </c>
      <c r="AD3167">
        <v>211.56</v>
      </c>
      <c r="AE3167">
        <f t="shared" si="98"/>
        <v>1014.6400000000001</v>
      </c>
      <c r="AF3167" t="str">
        <f t="shared" si="99"/>
        <v>2026-02</v>
      </c>
      <c r="AG3167">
        <f>SUBTOTAL(103,A3167)</f>
        <v>1</v>
      </c>
    </row>
    <row r="3168" spans="1:33" x14ac:dyDescent="0.3">
      <c r="A3168" t="s">
        <v>5791</v>
      </c>
      <c r="B3168" s="13">
        <v>46067</v>
      </c>
      <c r="C3168">
        <v>2026</v>
      </c>
      <c r="D3168">
        <v>2</v>
      </c>
      <c r="E3168" t="s">
        <v>2849</v>
      </c>
      <c r="F3168" t="s">
        <v>2572</v>
      </c>
      <c r="G3168" t="s">
        <v>1467</v>
      </c>
      <c r="H3168" t="s">
        <v>1468</v>
      </c>
      <c r="I3168" t="s">
        <v>86</v>
      </c>
      <c r="J3168">
        <v>43</v>
      </c>
      <c r="K3168" t="s">
        <v>82</v>
      </c>
      <c r="L3168" t="s">
        <v>2599</v>
      </c>
      <c r="M3168" t="s">
        <v>62</v>
      </c>
      <c r="N3168" t="s">
        <v>2594</v>
      </c>
      <c r="O3168" t="s">
        <v>131</v>
      </c>
      <c r="P3168" t="s">
        <v>53</v>
      </c>
      <c r="Q3168" t="s">
        <v>143</v>
      </c>
      <c r="R3168">
        <v>5</v>
      </c>
      <c r="S3168">
        <v>999</v>
      </c>
      <c r="T3168">
        <v>0</v>
      </c>
      <c r="U3168">
        <v>4995</v>
      </c>
      <c r="V3168">
        <v>2600</v>
      </c>
      <c r="W3168">
        <v>2395</v>
      </c>
      <c r="X3168" t="s">
        <v>77</v>
      </c>
      <c r="Y3168" t="s">
        <v>68</v>
      </c>
      <c r="Z3168" t="s">
        <v>161</v>
      </c>
      <c r="AA3168" t="s">
        <v>170</v>
      </c>
      <c r="AB3168">
        <v>3</v>
      </c>
      <c r="AC3168">
        <v>40</v>
      </c>
      <c r="AD3168">
        <v>451.9</v>
      </c>
      <c r="AE3168">
        <f t="shared" si="98"/>
        <v>1903.1</v>
      </c>
      <c r="AF3168" t="str">
        <f t="shared" si="99"/>
        <v>2026-02</v>
      </c>
      <c r="AG3168">
        <f>SUBTOTAL(103,A3168)</f>
        <v>1</v>
      </c>
    </row>
    <row r="3169" spans="1:33" x14ac:dyDescent="0.3">
      <c r="A3169" t="s">
        <v>5792</v>
      </c>
      <c r="B3169" s="13">
        <v>46068</v>
      </c>
      <c r="C3169">
        <v>2026</v>
      </c>
      <c r="D3169">
        <v>2</v>
      </c>
      <c r="E3169" t="s">
        <v>2849</v>
      </c>
      <c r="F3169" t="s">
        <v>2572</v>
      </c>
      <c r="G3169" t="s">
        <v>2457</v>
      </c>
      <c r="H3169" t="s">
        <v>2458</v>
      </c>
      <c r="I3169" t="s">
        <v>86</v>
      </c>
      <c r="J3169">
        <v>35</v>
      </c>
      <c r="K3169" t="s">
        <v>81</v>
      </c>
      <c r="L3169" t="s">
        <v>2599</v>
      </c>
      <c r="M3169" t="s">
        <v>62</v>
      </c>
      <c r="N3169" t="s">
        <v>2657</v>
      </c>
      <c r="O3169" t="s">
        <v>134</v>
      </c>
      <c r="P3169" t="s">
        <v>49</v>
      </c>
      <c r="Q3169" t="s">
        <v>140</v>
      </c>
      <c r="R3169">
        <v>3</v>
      </c>
      <c r="S3169">
        <v>599</v>
      </c>
      <c r="T3169">
        <v>0.1</v>
      </c>
      <c r="U3169">
        <v>1617.3</v>
      </c>
      <c r="V3169">
        <v>750</v>
      </c>
      <c r="W3169">
        <v>867.3</v>
      </c>
      <c r="X3169" t="s">
        <v>75</v>
      </c>
      <c r="Y3169" t="s">
        <v>68</v>
      </c>
      <c r="Z3169" t="s">
        <v>160</v>
      </c>
      <c r="AA3169" t="s">
        <v>169</v>
      </c>
      <c r="AB3169">
        <v>5</v>
      </c>
      <c r="AC3169">
        <v>120</v>
      </c>
      <c r="AD3169">
        <v>174.03</v>
      </c>
      <c r="AE3169">
        <f t="shared" si="98"/>
        <v>573.27</v>
      </c>
      <c r="AF3169" t="str">
        <f t="shared" si="99"/>
        <v>2026-02</v>
      </c>
      <c r="AG3169">
        <f>SUBTOTAL(103,A3169)</f>
        <v>1</v>
      </c>
    </row>
    <row r="3170" spans="1:33" x14ac:dyDescent="0.3">
      <c r="A3170" t="s">
        <v>5793</v>
      </c>
      <c r="B3170" s="13">
        <v>46068</v>
      </c>
      <c r="C3170">
        <v>2026</v>
      </c>
      <c r="D3170">
        <v>2</v>
      </c>
      <c r="E3170" t="s">
        <v>2849</v>
      </c>
      <c r="F3170" t="s">
        <v>2572</v>
      </c>
      <c r="G3170" t="s">
        <v>1509</v>
      </c>
      <c r="H3170" t="s">
        <v>1510</v>
      </c>
      <c r="I3170" t="s">
        <v>85</v>
      </c>
      <c r="J3170">
        <v>42</v>
      </c>
      <c r="K3170" t="s">
        <v>82</v>
      </c>
      <c r="L3170" t="s">
        <v>2576</v>
      </c>
      <c r="M3170" t="s">
        <v>60</v>
      </c>
      <c r="N3170" t="s">
        <v>2653</v>
      </c>
      <c r="O3170" t="s">
        <v>132</v>
      </c>
      <c r="P3170" t="s">
        <v>52</v>
      </c>
      <c r="Q3170" t="s">
        <v>150</v>
      </c>
      <c r="R3170">
        <v>4</v>
      </c>
      <c r="S3170">
        <v>899</v>
      </c>
      <c r="T3170">
        <v>0.1</v>
      </c>
      <c r="U3170">
        <v>0</v>
      </c>
      <c r="V3170">
        <v>0</v>
      </c>
      <c r="W3170">
        <v>0</v>
      </c>
      <c r="X3170" t="s">
        <v>77</v>
      </c>
      <c r="Y3170" t="s">
        <v>71</v>
      </c>
      <c r="Z3170" t="s">
        <v>161</v>
      </c>
      <c r="AA3170" t="s">
        <v>171</v>
      </c>
      <c r="AB3170">
        <v>3.6</v>
      </c>
      <c r="AC3170">
        <v>40</v>
      </c>
      <c r="AD3170">
        <v>175.71</v>
      </c>
      <c r="AE3170">
        <f t="shared" si="98"/>
        <v>-215.71</v>
      </c>
      <c r="AF3170" t="str">
        <f t="shared" si="99"/>
        <v>2026-02</v>
      </c>
      <c r="AG3170">
        <f>SUBTOTAL(103,A3170)</f>
        <v>1</v>
      </c>
    </row>
    <row r="3171" spans="1:33" x14ac:dyDescent="0.3">
      <c r="A3171" t="s">
        <v>5794</v>
      </c>
      <c r="B3171" s="13">
        <v>46068</v>
      </c>
      <c r="C3171">
        <v>2026</v>
      </c>
      <c r="D3171">
        <v>2</v>
      </c>
      <c r="E3171" t="s">
        <v>2849</v>
      </c>
      <c r="F3171" t="s">
        <v>2572</v>
      </c>
      <c r="G3171" t="s">
        <v>1705</v>
      </c>
      <c r="H3171" t="s">
        <v>1706</v>
      </c>
      <c r="I3171" t="s">
        <v>85</v>
      </c>
      <c r="J3171">
        <v>48</v>
      </c>
      <c r="K3171" t="s">
        <v>83</v>
      </c>
      <c r="L3171" t="s">
        <v>92</v>
      </c>
      <c r="M3171" t="s">
        <v>59</v>
      </c>
      <c r="N3171" t="s">
        <v>2594</v>
      </c>
      <c r="O3171" t="s">
        <v>131</v>
      </c>
      <c r="P3171" t="s">
        <v>53</v>
      </c>
      <c r="Q3171" t="s">
        <v>143</v>
      </c>
      <c r="R3171">
        <v>3</v>
      </c>
      <c r="S3171">
        <v>999</v>
      </c>
      <c r="T3171">
        <v>0.2</v>
      </c>
      <c r="U3171">
        <v>2397.6</v>
      </c>
      <c r="V3171">
        <v>1560</v>
      </c>
      <c r="W3171">
        <v>837.6</v>
      </c>
      <c r="X3171" t="s">
        <v>74</v>
      </c>
      <c r="Y3171" t="s">
        <v>68</v>
      </c>
      <c r="Z3171" t="s">
        <v>160</v>
      </c>
      <c r="AA3171" t="s">
        <v>171</v>
      </c>
      <c r="AB3171">
        <v>4.0999999999999996</v>
      </c>
      <c r="AC3171">
        <v>60</v>
      </c>
      <c r="AD3171">
        <v>145.56</v>
      </c>
      <c r="AE3171">
        <f t="shared" si="98"/>
        <v>632.04</v>
      </c>
      <c r="AF3171" t="str">
        <f t="shared" si="99"/>
        <v>2026-02</v>
      </c>
      <c r="AG3171">
        <f>SUBTOTAL(103,A3171)</f>
        <v>1</v>
      </c>
    </row>
    <row r="3172" spans="1:33" x14ac:dyDescent="0.3">
      <c r="A3172" t="s">
        <v>5795</v>
      </c>
      <c r="B3172" s="13">
        <v>46068</v>
      </c>
      <c r="C3172">
        <v>2026</v>
      </c>
      <c r="D3172">
        <v>2</v>
      </c>
      <c r="E3172" t="s">
        <v>2849</v>
      </c>
      <c r="F3172" t="s">
        <v>2572</v>
      </c>
      <c r="G3172" t="s">
        <v>1955</v>
      </c>
      <c r="H3172" t="s">
        <v>1956</v>
      </c>
      <c r="I3172" t="s">
        <v>85</v>
      </c>
      <c r="J3172">
        <v>24</v>
      </c>
      <c r="K3172" t="s">
        <v>80</v>
      </c>
      <c r="L3172" t="s">
        <v>59</v>
      </c>
      <c r="M3172" t="s">
        <v>59</v>
      </c>
      <c r="N3172" t="s">
        <v>2603</v>
      </c>
      <c r="O3172" t="s">
        <v>122</v>
      </c>
      <c r="P3172" t="s">
        <v>48</v>
      </c>
      <c r="Q3172" t="s">
        <v>141</v>
      </c>
      <c r="R3172">
        <v>1</v>
      </c>
      <c r="S3172">
        <v>2499</v>
      </c>
      <c r="T3172">
        <v>0</v>
      </c>
      <c r="U3172">
        <v>2499</v>
      </c>
      <c r="V3172">
        <v>1450</v>
      </c>
      <c r="W3172">
        <v>1049</v>
      </c>
      <c r="X3172" t="s">
        <v>73</v>
      </c>
      <c r="Y3172" t="s">
        <v>68</v>
      </c>
      <c r="Z3172" t="s">
        <v>160</v>
      </c>
      <c r="AA3172" t="s">
        <v>167</v>
      </c>
      <c r="AB3172">
        <v>4.7</v>
      </c>
      <c r="AC3172">
        <v>60</v>
      </c>
      <c r="AD3172">
        <v>170.97</v>
      </c>
      <c r="AE3172">
        <f t="shared" si="98"/>
        <v>818.03</v>
      </c>
      <c r="AF3172" t="str">
        <f t="shared" si="99"/>
        <v>2026-02</v>
      </c>
      <c r="AG3172">
        <f>SUBTOTAL(103,A3172)</f>
        <v>1</v>
      </c>
    </row>
    <row r="3173" spans="1:33" x14ac:dyDescent="0.3">
      <c r="A3173" t="s">
        <v>5796</v>
      </c>
      <c r="B3173" s="13">
        <v>46068</v>
      </c>
      <c r="C3173">
        <v>2026</v>
      </c>
      <c r="D3173">
        <v>2</v>
      </c>
      <c r="E3173" t="s">
        <v>2849</v>
      </c>
      <c r="F3173" t="s">
        <v>2572</v>
      </c>
      <c r="G3173" t="s">
        <v>1969</v>
      </c>
      <c r="H3173" t="s">
        <v>1970</v>
      </c>
      <c r="I3173" t="s">
        <v>85</v>
      </c>
      <c r="J3173">
        <v>31</v>
      </c>
      <c r="K3173" t="s">
        <v>81</v>
      </c>
      <c r="L3173" t="s">
        <v>90</v>
      </c>
      <c r="M3173" t="s">
        <v>55</v>
      </c>
      <c r="N3173" t="s">
        <v>2630</v>
      </c>
      <c r="O3173" t="s">
        <v>123</v>
      </c>
      <c r="P3173" t="s">
        <v>52</v>
      </c>
      <c r="Q3173" t="s">
        <v>146</v>
      </c>
      <c r="R3173">
        <v>2</v>
      </c>
      <c r="S3173">
        <v>2499</v>
      </c>
      <c r="T3173">
        <v>0.2</v>
      </c>
      <c r="U3173">
        <v>3998.4</v>
      </c>
      <c r="V3173">
        <v>2800</v>
      </c>
      <c r="W3173">
        <v>1198.4000000000001</v>
      </c>
      <c r="X3173" t="s">
        <v>73</v>
      </c>
      <c r="Y3173" t="s">
        <v>70</v>
      </c>
      <c r="Z3173" t="s">
        <v>161</v>
      </c>
      <c r="AA3173" t="s">
        <v>171</v>
      </c>
      <c r="AB3173">
        <v>3.6</v>
      </c>
      <c r="AC3173">
        <v>100</v>
      </c>
      <c r="AD3173">
        <v>253.48</v>
      </c>
      <c r="AE3173">
        <f t="shared" si="98"/>
        <v>844.92000000000007</v>
      </c>
      <c r="AF3173" t="str">
        <f t="shared" si="99"/>
        <v>2026-02</v>
      </c>
      <c r="AG3173">
        <f>SUBTOTAL(103,A3173)</f>
        <v>1</v>
      </c>
    </row>
    <row r="3174" spans="1:33" x14ac:dyDescent="0.3">
      <c r="A3174" t="s">
        <v>5797</v>
      </c>
      <c r="B3174" s="13">
        <v>46068</v>
      </c>
      <c r="C3174">
        <v>2026</v>
      </c>
      <c r="D3174">
        <v>2</v>
      </c>
      <c r="E3174" t="s">
        <v>2849</v>
      </c>
      <c r="F3174" t="s">
        <v>2572</v>
      </c>
      <c r="G3174" t="s">
        <v>1345</v>
      </c>
      <c r="H3174" t="s">
        <v>1346</v>
      </c>
      <c r="I3174" t="s">
        <v>85</v>
      </c>
      <c r="J3174">
        <v>28</v>
      </c>
      <c r="K3174" t="s">
        <v>81</v>
      </c>
      <c r="L3174" t="s">
        <v>2646</v>
      </c>
      <c r="M3174" t="s">
        <v>63</v>
      </c>
      <c r="N3174" t="s">
        <v>2657</v>
      </c>
      <c r="O3174" t="s">
        <v>134</v>
      </c>
      <c r="P3174" t="s">
        <v>49</v>
      </c>
      <c r="Q3174" t="s">
        <v>140</v>
      </c>
      <c r="R3174">
        <v>5</v>
      </c>
      <c r="S3174">
        <v>599</v>
      </c>
      <c r="T3174">
        <v>0.15</v>
      </c>
      <c r="U3174">
        <v>2545.75</v>
      </c>
      <c r="V3174">
        <v>1250</v>
      </c>
      <c r="W3174">
        <v>1295.75</v>
      </c>
      <c r="X3174" t="s">
        <v>76</v>
      </c>
      <c r="Y3174" t="s">
        <v>68</v>
      </c>
      <c r="Z3174" t="s">
        <v>162</v>
      </c>
      <c r="AA3174" t="s">
        <v>170</v>
      </c>
      <c r="AB3174">
        <v>2.8</v>
      </c>
      <c r="AC3174">
        <v>120</v>
      </c>
      <c r="AD3174">
        <v>288.41000000000003</v>
      </c>
      <c r="AE3174">
        <f t="shared" si="98"/>
        <v>887.33999999999992</v>
      </c>
      <c r="AF3174" t="str">
        <f t="shared" si="99"/>
        <v>2026-02</v>
      </c>
      <c r="AG3174">
        <f>SUBTOTAL(103,A3174)</f>
        <v>1</v>
      </c>
    </row>
    <row r="3175" spans="1:33" x14ac:dyDescent="0.3">
      <c r="A3175" t="s">
        <v>5798</v>
      </c>
      <c r="B3175" s="13">
        <v>46068</v>
      </c>
      <c r="C3175">
        <v>2026</v>
      </c>
      <c r="D3175">
        <v>2</v>
      </c>
      <c r="E3175" t="s">
        <v>2849</v>
      </c>
      <c r="F3175" t="s">
        <v>2572</v>
      </c>
      <c r="G3175" t="s">
        <v>497</v>
      </c>
      <c r="H3175" t="s">
        <v>498</v>
      </c>
      <c r="I3175" t="s">
        <v>87</v>
      </c>
      <c r="J3175">
        <v>33</v>
      </c>
      <c r="K3175" t="s">
        <v>81</v>
      </c>
      <c r="L3175" t="s">
        <v>98</v>
      </c>
      <c r="M3175" t="s">
        <v>55</v>
      </c>
      <c r="N3175" t="s">
        <v>2653</v>
      </c>
      <c r="O3175" t="s">
        <v>132</v>
      </c>
      <c r="P3175" t="s">
        <v>52</v>
      </c>
      <c r="Q3175" t="s">
        <v>150</v>
      </c>
      <c r="R3175">
        <v>3</v>
      </c>
      <c r="S3175">
        <v>899</v>
      </c>
      <c r="T3175">
        <v>0</v>
      </c>
      <c r="U3175">
        <v>2697</v>
      </c>
      <c r="V3175">
        <v>1260</v>
      </c>
      <c r="W3175">
        <v>1437</v>
      </c>
      <c r="X3175" t="s">
        <v>76</v>
      </c>
      <c r="Y3175" t="s">
        <v>68</v>
      </c>
      <c r="Z3175" t="s">
        <v>161</v>
      </c>
      <c r="AA3175" t="s">
        <v>167</v>
      </c>
      <c r="AB3175">
        <v>4.8</v>
      </c>
      <c r="AC3175">
        <v>80</v>
      </c>
      <c r="AD3175">
        <v>136.53</v>
      </c>
      <c r="AE3175">
        <f t="shared" si="98"/>
        <v>1220.47</v>
      </c>
      <c r="AF3175" t="str">
        <f t="shared" si="99"/>
        <v>2026-02</v>
      </c>
      <c r="AG3175">
        <f>SUBTOTAL(103,A3175)</f>
        <v>1</v>
      </c>
    </row>
    <row r="3176" spans="1:33" x14ac:dyDescent="0.3">
      <c r="A3176" t="s">
        <v>5799</v>
      </c>
      <c r="B3176" s="13">
        <v>46069</v>
      </c>
      <c r="C3176">
        <v>2026</v>
      </c>
      <c r="D3176">
        <v>2</v>
      </c>
      <c r="E3176" t="s">
        <v>2849</v>
      </c>
      <c r="F3176" t="s">
        <v>2572</v>
      </c>
      <c r="G3176" t="s">
        <v>2109</v>
      </c>
      <c r="H3176" t="s">
        <v>2110</v>
      </c>
      <c r="I3176" t="s">
        <v>86</v>
      </c>
      <c r="J3176">
        <v>38</v>
      </c>
      <c r="K3176" t="s">
        <v>82</v>
      </c>
      <c r="L3176" t="s">
        <v>2616</v>
      </c>
      <c r="M3176" t="s">
        <v>62</v>
      </c>
      <c r="N3176" t="s">
        <v>2647</v>
      </c>
      <c r="O3176" t="s">
        <v>133</v>
      </c>
      <c r="P3176" t="s">
        <v>50</v>
      </c>
      <c r="Q3176" t="s">
        <v>145</v>
      </c>
      <c r="R3176">
        <v>1</v>
      </c>
      <c r="S3176">
        <v>799</v>
      </c>
      <c r="T3176">
        <v>0.15</v>
      </c>
      <c r="U3176">
        <v>679.15</v>
      </c>
      <c r="V3176">
        <v>390</v>
      </c>
      <c r="W3176">
        <v>289.14999999999998</v>
      </c>
      <c r="X3176" t="s">
        <v>76</v>
      </c>
      <c r="Y3176" t="s">
        <v>68</v>
      </c>
      <c r="Z3176" t="s">
        <v>159</v>
      </c>
      <c r="AA3176" t="s">
        <v>167</v>
      </c>
      <c r="AB3176">
        <v>4</v>
      </c>
      <c r="AC3176">
        <v>50</v>
      </c>
      <c r="AD3176">
        <v>67.39</v>
      </c>
      <c r="AE3176">
        <f t="shared" si="98"/>
        <v>171.76</v>
      </c>
      <c r="AF3176" t="str">
        <f t="shared" si="99"/>
        <v>2026-02</v>
      </c>
      <c r="AG3176">
        <f>SUBTOTAL(103,A3176)</f>
        <v>1</v>
      </c>
    </row>
    <row r="3177" spans="1:33" x14ac:dyDescent="0.3">
      <c r="A3177" t="s">
        <v>5800</v>
      </c>
      <c r="B3177" s="13">
        <v>46069</v>
      </c>
      <c r="C3177">
        <v>2026</v>
      </c>
      <c r="D3177">
        <v>2</v>
      </c>
      <c r="E3177" t="s">
        <v>2849</v>
      </c>
      <c r="F3177" t="s">
        <v>2572</v>
      </c>
      <c r="G3177" t="s">
        <v>211</v>
      </c>
      <c r="H3177" t="s">
        <v>212</v>
      </c>
      <c r="I3177" t="s">
        <v>85</v>
      </c>
      <c r="J3177">
        <v>31</v>
      </c>
      <c r="K3177" t="s">
        <v>81</v>
      </c>
      <c r="L3177" t="s">
        <v>2610</v>
      </c>
      <c r="M3177" t="s">
        <v>64</v>
      </c>
      <c r="N3177" t="s">
        <v>2582</v>
      </c>
      <c r="O3177" t="s">
        <v>119</v>
      </c>
      <c r="P3177" t="s">
        <v>49</v>
      </c>
      <c r="Q3177" t="s">
        <v>140</v>
      </c>
      <c r="R3177">
        <v>2</v>
      </c>
      <c r="S3177">
        <v>3499</v>
      </c>
      <c r="T3177">
        <v>0.2</v>
      </c>
      <c r="U3177">
        <v>5598.4</v>
      </c>
      <c r="V3177">
        <v>4200</v>
      </c>
      <c r="W3177">
        <v>1398.4</v>
      </c>
      <c r="X3177" t="s">
        <v>73</v>
      </c>
      <c r="Y3177" t="s">
        <v>68</v>
      </c>
      <c r="Z3177" t="s">
        <v>162</v>
      </c>
      <c r="AA3177" t="s">
        <v>167</v>
      </c>
      <c r="AB3177">
        <v>3.9</v>
      </c>
      <c r="AC3177">
        <v>80</v>
      </c>
      <c r="AD3177">
        <v>533.82000000000005</v>
      </c>
      <c r="AE3177">
        <f t="shared" si="98"/>
        <v>784.58</v>
      </c>
      <c r="AF3177" t="str">
        <f t="shared" si="99"/>
        <v>2026-02</v>
      </c>
      <c r="AG3177">
        <f>SUBTOTAL(103,A3177)</f>
        <v>1</v>
      </c>
    </row>
    <row r="3178" spans="1:33" x14ac:dyDescent="0.3">
      <c r="A3178" t="s">
        <v>5801</v>
      </c>
      <c r="B3178" s="13">
        <v>46069</v>
      </c>
      <c r="C3178">
        <v>2026</v>
      </c>
      <c r="D3178">
        <v>2</v>
      </c>
      <c r="E3178" t="s">
        <v>2849</v>
      </c>
      <c r="F3178" t="s">
        <v>2572</v>
      </c>
      <c r="G3178" t="s">
        <v>1307</v>
      </c>
      <c r="H3178" t="s">
        <v>1308</v>
      </c>
      <c r="I3178" t="s">
        <v>85</v>
      </c>
      <c r="J3178">
        <v>18</v>
      </c>
      <c r="K3178" t="s">
        <v>80</v>
      </c>
      <c r="L3178" t="s">
        <v>92</v>
      </c>
      <c r="M3178" t="s">
        <v>59</v>
      </c>
      <c r="N3178" t="s">
        <v>2644</v>
      </c>
      <c r="O3178" t="s">
        <v>126</v>
      </c>
      <c r="P3178" t="s">
        <v>50</v>
      </c>
      <c r="Q3178" t="s">
        <v>145</v>
      </c>
      <c r="R3178">
        <v>3</v>
      </c>
      <c r="S3178">
        <v>1799</v>
      </c>
      <c r="T3178">
        <v>0.05</v>
      </c>
      <c r="U3178">
        <v>5127.1499999999996</v>
      </c>
      <c r="V3178">
        <v>2850</v>
      </c>
      <c r="W3178">
        <v>2277.15</v>
      </c>
      <c r="X3178" t="s">
        <v>76</v>
      </c>
      <c r="Y3178" t="s">
        <v>68</v>
      </c>
      <c r="Z3178" t="s">
        <v>163</v>
      </c>
      <c r="AA3178" t="s">
        <v>168</v>
      </c>
      <c r="AB3178">
        <v>3.1</v>
      </c>
      <c r="AC3178">
        <v>80</v>
      </c>
      <c r="AD3178">
        <v>192.57</v>
      </c>
      <c r="AE3178">
        <f t="shared" si="98"/>
        <v>2004.5800000000002</v>
      </c>
      <c r="AF3178" t="str">
        <f t="shared" si="99"/>
        <v>2026-02</v>
      </c>
      <c r="AG3178">
        <f>SUBTOTAL(103,A3178)</f>
        <v>1</v>
      </c>
    </row>
    <row r="3179" spans="1:33" x14ac:dyDescent="0.3">
      <c r="A3179" t="s">
        <v>5802</v>
      </c>
      <c r="B3179" s="13">
        <v>46069</v>
      </c>
      <c r="C3179">
        <v>2026</v>
      </c>
      <c r="D3179">
        <v>2</v>
      </c>
      <c r="E3179" t="s">
        <v>2849</v>
      </c>
      <c r="F3179" t="s">
        <v>2572</v>
      </c>
      <c r="G3179" t="s">
        <v>1645</v>
      </c>
      <c r="H3179" t="s">
        <v>1646</v>
      </c>
      <c r="I3179" t="s">
        <v>86</v>
      </c>
      <c r="J3179">
        <v>56</v>
      </c>
      <c r="K3179" t="s">
        <v>83</v>
      </c>
      <c r="L3179" t="s">
        <v>94</v>
      </c>
      <c r="M3179" t="s">
        <v>57</v>
      </c>
      <c r="N3179" t="s">
        <v>2647</v>
      </c>
      <c r="O3179" t="s">
        <v>133</v>
      </c>
      <c r="P3179" t="s">
        <v>50</v>
      </c>
      <c r="Q3179" t="s">
        <v>145</v>
      </c>
      <c r="R3179">
        <v>5</v>
      </c>
      <c r="S3179">
        <v>799</v>
      </c>
      <c r="T3179">
        <v>0.1</v>
      </c>
      <c r="U3179">
        <v>3595.5</v>
      </c>
      <c r="V3179">
        <v>1950</v>
      </c>
      <c r="W3179">
        <v>1645.5</v>
      </c>
      <c r="X3179" t="s">
        <v>75</v>
      </c>
      <c r="Y3179" t="s">
        <v>68</v>
      </c>
      <c r="Z3179" t="s">
        <v>161</v>
      </c>
      <c r="AA3179" t="s">
        <v>166</v>
      </c>
      <c r="AB3179">
        <v>3.6</v>
      </c>
      <c r="AC3179">
        <v>60</v>
      </c>
      <c r="AD3179">
        <v>204.01</v>
      </c>
      <c r="AE3179">
        <f t="shared" si="98"/>
        <v>1381.49</v>
      </c>
      <c r="AF3179" t="str">
        <f t="shared" si="99"/>
        <v>2026-02</v>
      </c>
      <c r="AG3179">
        <f>SUBTOTAL(103,A3179)</f>
        <v>1</v>
      </c>
    </row>
    <row r="3180" spans="1:33" x14ac:dyDescent="0.3">
      <c r="A3180" t="s">
        <v>5803</v>
      </c>
      <c r="B3180" s="13">
        <v>46069</v>
      </c>
      <c r="C3180">
        <v>2026</v>
      </c>
      <c r="D3180">
        <v>2</v>
      </c>
      <c r="E3180" t="s">
        <v>2849</v>
      </c>
      <c r="F3180" t="s">
        <v>2572</v>
      </c>
      <c r="G3180" t="s">
        <v>435</v>
      </c>
      <c r="H3180" t="s">
        <v>436</v>
      </c>
      <c r="I3180" t="s">
        <v>86</v>
      </c>
      <c r="J3180">
        <v>20</v>
      </c>
      <c r="K3180" t="s">
        <v>80</v>
      </c>
      <c r="L3180" t="s">
        <v>90</v>
      </c>
      <c r="M3180" t="s">
        <v>55</v>
      </c>
      <c r="N3180" t="s">
        <v>2647</v>
      </c>
      <c r="O3180" t="s">
        <v>133</v>
      </c>
      <c r="P3180" t="s">
        <v>50</v>
      </c>
      <c r="Q3180" t="s">
        <v>145</v>
      </c>
      <c r="R3180">
        <v>1</v>
      </c>
      <c r="S3180">
        <v>799</v>
      </c>
      <c r="T3180">
        <v>0.05</v>
      </c>
      <c r="U3180">
        <v>759.05</v>
      </c>
      <c r="V3180">
        <v>390</v>
      </c>
      <c r="W3180">
        <v>369.05</v>
      </c>
      <c r="X3180" t="s">
        <v>75</v>
      </c>
      <c r="Y3180" t="s">
        <v>68</v>
      </c>
      <c r="Z3180" t="s">
        <v>160</v>
      </c>
      <c r="AA3180" t="s">
        <v>169</v>
      </c>
      <c r="AB3180">
        <v>3.8</v>
      </c>
      <c r="AC3180">
        <v>50</v>
      </c>
      <c r="AD3180">
        <v>41.68</v>
      </c>
      <c r="AE3180">
        <f t="shared" si="98"/>
        <v>277.37</v>
      </c>
      <c r="AF3180" t="str">
        <f t="shared" si="99"/>
        <v>2026-02</v>
      </c>
      <c r="AG3180">
        <f>SUBTOTAL(103,A3180)</f>
        <v>1</v>
      </c>
    </row>
    <row r="3181" spans="1:33" x14ac:dyDescent="0.3">
      <c r="A3181" t="s">
        <v>5804</v>
      </c>
      <c r="B3181" s="13">
        <v>46069</v>
      </c>
      <c r="C3181">
        <v>2026</v>
      </c>
      <c r="D3181">
        <v>2</v>
      </c>
      <c r="E3181" t="s">
        <v>2849</v>
      </c>
      <c r="F3181" t="s">
        <v>2572</v>
      </c>
      <c r="G3181" t="s">
        <v>529</v>
      </c>
      <c r="H3181" t="s">
        <v>530</v>
      </c>
      <c r="I3181" t="s">
        <v>85</v>
      </c>
      <c r="J3181">
        <v>33</v>
      </c>
      <c r="K3181" t="s">
        <v>81</v>
      </c>
      <c r="L3181" t="s">
        <v>94</v>
      </c>
      <c r="M3181" t="s">
        <v>57</v>
      </c>
      <c r="N3181" t="s">
        <v>2590</v>
      </c>
      <c r="O3181" t="s">
        <v>127</v>
      </c>
      <c r="P3181" t="s">
        <v>51</v>
      </c>
      <c r="Q3181" t="s">
        <v>148</v>
      </c>
      <c r="R3181">
        <v>5</v>
      </c>
      <c r="S3181">
        <v>1599</v>
      </c>
      <c r="T3181">
        <v>0.1</v>
      </c>
      <c r="U3181">
        <v>7195.5</v>
      </c>
      <c r="V3181">
        <v>4000</v>
      </c>
      <c r="W3181">
        <v>3195.5</v>
      </c>
      <c r="X3181" t="s">
        <v>74</v>
      </c>
      <c r="Y3181" t="s">
        <v>68</v>
      </c>
      <c r="Z3181" t="s">
        <v>159</v>
      </c>
      <c r="AA3181" t="s">
        <v>170</v>
      </c>
      <c r="AB3181">
        <v>4.9000000000000004</v>
      </c>
      <c r="AC3181">
        <v>80</v>
      </c>
      <c r="AD3181">
        <v>689.57</v>
      </c>
      <c r="AE3181">
        <f t="shared" si="98"/>
        <v>2425.9299999999998</v>
      </c>
      <c r="AF3181" t="str">
        <f t="shared" si="99"/>
        <v>2026-02</v>
      </c>
      <c r="AG3181">
        <f>SUBTOTAL(103,A3181)</f>
        <v>1</v>
      </c>
    </row>
    <row r="3182" spans="1:33" x14ac:dyDescent="0.3">
      <c r="A3182" t="s">
        <v>5805</v>
      </c>
      <c r="B3182" s="13">
        <v>46069</v>
      </c>
      <c r="C3182">
        <v>2026</v>
      </c>
      <c r="D3182">
        <v>2</v>
      </c>
      <c r="E3182" t="s">
        <v>2849</v>
      </c>
      <c r="F3182" t="s">
        <v>2572</v>
      </c>
      <c r="G3182" t="s">
        <v>413</v>
      </c>
      <c r="H3182" t="s">
        <v>414</v>
      </c>
      <c r="I3182" t="s">
        <v>85</v>
      </c>
      <c r="J3182">
        <v>20</v>
      </c>
      <c r="K3182" t="s">
        <v>80</v>
      </c>
      <c r="L3182" t="s">
        <v>2573</v>
      </c>
      <c r="M3182" t="s">
        <v>63</v>
      </c>
      <c r="N3182" t="s">
        <v>2594</v>
      </c>
      <c r="O3182" t="s">
        <v>131</v>
      </c>
      <c r="P3182" t="s">
        <v>53</v>
      </c>
      <c r="Q3182" t="s">
        <v>143</v>
      </c>
      <c r="R3182">
        <v>2</v>
      </c>
      <c r="S3182">
        <v>999</v>
      </c>
      <c r="T3182">
        <v>0.1</v>
      </c>
      <c r="U3182">
        <v>1798.2</v>
      </c>
      <c r="V3182">
        <v>1040</v>
      </c>
      <c r="W3182">
        <v>758.2</v>
      </c>
      <c r="X3182" t="s">
        <v>76</v>
      </c>
      <c r="Y3182" t="s">
        <v>68</v>
      </c>
      <c r="Z3182" t="s">
        <v>163</v>
      </c>
      <c r="AA3182" t="s">
        <v>169</v>
      </c>
      <c r="AB3182">
        <v>5</v>
      </c>
      <c r="AC3182">
        <v>50</v>
      </c>
      <c r="AD3182">
        <v>186.17</v>
      </c>
      <c r="AE3182">
        <f t="shared" si="98"/>
        <v>522.03000000000009</v>
      </c>
      <c r="AF3182" t="str">
        <f t="shared" si="99"/>
        <v>2026-02</v>
      </c>
      <c r="AG3182">
        <f>SUBTOTAL(103,A3182)</f>
        <v>1</v>
      </c>
    </row>
    <row r="3183" spans="1:33" x14ac:dyDescent="0.3">
      <c r="A3183" t="s">
        <v>5806</v>
      </c>
      <c r="B3183" s="13">
        <v>46069</v>
      </c>
      <c r="C3183">
        <v>2026</v>
      </c>
      <c r="D3183">
        <v>2</v>
      </c>
      <c r="E3183" t="s">
        <v>2849</v>
      </c>
      <c r="F3183" t="s">
        <v>2572</v>
      </c>
      <c r="G3183" t="s">
        <v>837</v>
      </c>
      <c r="H3183" t="s">
        <v>838</v>
      </c>
      <c r="I3183" t="s">
        <v>86</v>
      </c>
      <c r="J3183">
        <v>40</v>
      </c>
      <c r="K3183" t="s">
        <v>82</v>
      </c>
      <c r="L3183" t="s">
        <v>2576</v>
      </c>
      <c r="M3183" t="s">
        <v>60</v>
      </c>
      <c r="N3183" t="s">
        <v>2596</v>
      </c>
      <c r="O3183" t="s">
        <v>124</v>
      </c>
      <c r="P3183" t="s">
        <v>51</v>
      </c>
      <c r="Q3183" t="s">
        <v>147</v>
      </c>
      <c r="R3183">
        <v>4</v>
      </c>
      <c r="S3183">
        <v>2299</v>
      </c>
      <c r="T3183">
        <v>0.15</v>
      </c>
      <c r="U3183">
        <v>7816.6</v>
      </c>
      <c r="V3183">
        <v>4800</v>
      </c>
      <c r="W3183">
        <v>3016.6</v>
      </c>
      <c r="X3183" t="s">
        <v>76</v>
      </c>
      <c r="Y3183" t="s">
        <v>68</v>
      </c>
      <c r="Z3183" t="s">
        <v>161</v>
      </c>
      <c r="AA3183" t="s">
        <v>166</v>
      </c>
      <c r="AB3183">
        <v>4.7</v>
      </c>
      <c r="AC3183">
        <v>60</v>
      </c>
      <c r="AD3183">
        <v>716.1</v>
      </c>
      <c r="AE3183">
        <f t="shared" si="98"/>
        <v>2240.5</v>
      </c>
      <c r="AF3183" t="str">
        <f t="shared" si="99"/>
        <v>2026-02</v>
      </c>
      <c r="AG3183">
        <f>SUBTOTAL(103,A3183)</f>
        <v>1</v>
      </c>
    </row>
    <row r="3184" spans="1:33" x14ac:dyDescent="0.3">
      <c r="A3184" t="s">
        <v>5807</v>
      </c>
      <c r="B3184" s="13">
        <v>46070</v>
      </c>
      <c r="C3184">
        <v>2026</v>
      </c>
      <c r="D3184">
        <v>2</v>
      </c>
      <c r="E3184" t="s">
        <v>2849</v>
      </c>
      <c r="F3184" t="s">
        <v>2572</v>
      </c>
      <c r="G3184" t="s">
        <v>1513</v>
      </c>
      <c r="H3184" t="s">
        <v>1514</v>
      </c>
      <c r="I3184" t="s">
        <v>85</v>
      </c>
      <c r="J3184">
        <v>53</v>
      </c>
      <c r="K3184" t="s">
        <v>83</v>
      </c>
      <c r="L3184" t="s">
        <v>59</v>
      </c>
      <c r="M3184" t="s">
        <v>59</v>
      </c>
      <c r="N3184" t="s">
        <v>2590</v>
      </c>
      <c r="O3184" t="s">
        <v>127</v>
      </c>
      <c r="P3184" t="s">
        <v>51</v>
      </c>
      <c r="Q3184" t="s">
        <v>148</v>
      </c>
      <c r="R3184">
        <v>2</v>
      </c>
      <c r="S3184">
        <v>1599</v>
      </c>
      <c r="T3184">
        <v>0</v>
      </c>
      <c r="U3184">
        <v>3198</v>
      </c>
      <c r="V3184">
        <v>1600</v>
      </c>
      <c r="W3184">
        <v>1598</v>
      </c>
      <c r="X3184" t="s">
        <v>75</v>
      </c>
      <c r="Y3184" t="s">
        <v>68</v>
      </c>
      <c r="Z3184" t="s">
        <v>162</v>
      </c>
      <c r="AA3184" t="s">
        <v>166</v>
      </c>
      <c r="AB3184">
        <v>5</v>
      </c>
      <c r="AC3184">
        <v>80</v>
      </c>
      <c r="AD3184">
        <v>155.13999999999999</v>
      </c>
      <c r="AE3184">
        <f t="shared" si="98"/>
        <v>1362.8600000000001</v>
      </c>
      <c r="AF3184" t="str">
        <f t="shared" si="99"/>
        <v>2026-02</v>
      </c>
      <c r="AG3184">
        <f>SUBTOTAL(103,A3184)</f>
        <v>1</v>
      </c>
    </row>
    <row r="3185" spans="1:33" x14ac:dyDescent="0.3">
      <c r="A3185" t="s">
        <v>5808</v>
      </c>
      <c r="B3185" s="13">
        <v>46070</v>
      </c>
      <c r="C3185">
        <v>2026</v>
      </c>
      <c r="D3185">
        <v>2</v>
      </c>
      <c r="E3185" t="s">
        <v>2849</v>
      </c>
      <c r="F3185" t="s">
        <v>2572</v>
      </c>
      <c r="G3185" t="s">
        <v>505</v>
      </c>
      <c r="H3185" t="s">
        <v>506</v>
      </c>
      <c r="I3185" t="s">
        <v>85</v>
      </c>
      <c r="J3185">
        <v>25</v>
      </c>
      <c r="K3185" t="s">
        <v>80</v>
      </c>
      <c r="L3185" t="s">
        <v>92</v>
      </c>
      <c r="M3185" t="s">
        <v>59</v>
      </c>
      <c r="N3185" t="s">
        <v>2601</v>
      </c>
      <c r="O3185" t="s">
        <v>117</v>
      </c>
      <c r="P3185" t="s">
        <v>49</v>
      </c>
      <c r="Q3185" t="s">
        <v>139</v>
      </c>
      <c r="R3185">
        <v>5</v>
      </c>
      <c r="S3185">
        <v>6999</v>
      </c>
      <c r="T3185">
        <v>0.25</v>
      </c>
      <c r="U3185">
        <v>26246.25</v>
      </c>
      <c r="V3185">
        <v>21500</v>
      </c>
      <c r="W3185">
        <v>4746.25</v>
      </c>
      <c r="X3185" t="s">
        <v>73</v>
      </c>
      <c r="Y3185" t="s">
        <v>68</v>
      </c>
      <c r="Z3185" t="s">
        <v>159</v>
      </c>
      <c r="AA3185" t="s">
        <v>168</v>
      </c>
      <c r="AB3185">
        <v>3.7</v>
      </c>
      <c r="AC3185">
        <v>80</v>
      </c>
      <c r="AD3185">
        <v>904.1</v>
      </c>
      <c r="AE3185">
        <f t="shared" si="98"/>
        <v>3762.15</v>
      </c>
      <c r="AF3185" t="str">
        <f t="shared" si="99"/>
        <v>2026-02</v>
      </c>
      <c r="AG3185">
        <f>SUBTOTAL(103,A3185)</f>
        <v>1</v>
      </c>
    </row>
    <row r="3186" spans="1:33" x14ac:dyDescent="0.3">
      <c r="A3186" t="s">
        <v>5809</v>
      </c>
      <c r="B3186" s="13">
        <v>46070</v>
      </c>
      <c r="C3186">
        <v>2026</v>
      </c>
      <c r="D3186">
        <v>2</v>
      </c>
      <c r="E3186" t="s">
        <v>2849</v>
      </c>
      <c r="F3186" t="s">
        <v>2572</v>
      </c>
      <c r="G3186" t="s">
        <v>189</v>
      </c>
      <c r="H3186" t="s">
        <v>190</v>
      </c>
      <c r="I3186" t="s">
        <v>85</v>
      </c>
      <c r="J3186">
        <v>58</v>
      </c>
      <c r="K3186" t="s">
        <v>83</v>
      </c>
      <c r="L3186" t="s">
        <v>2616</v>
      </c>
      <c r="M3186" t="s">
        <v>62</v>
      </c>
      <c r="N3186" t="s">
        <v>2596</v>
      </c>
      <c r="O3186" t="s">
        <v>124</v>
      </c>
      <c r="P3186" t="s">
        <v>51</v>
      </c>
      <c r="Q3186" t="s">
        <v>147</v>
      </c>
      <c r="R3186">
        <v>1</v>
      </c>
      <c r="S3186">
        <v>2299</v>
      </c>
      <c r="T3186">
        <v>0.15</v>
      </c>
      <c r="U3186">
        <v>1954.15</v>
      </c>
      <c r="V3186">
        <v>1200</v>
      </c>
      <c r="W3186">
        <v>754.15</v>
      </c>
      <c r="X3186" t="s">
        <v>74</v>
      </c>
      <c r="Y3186" t="s">
        <v>68</v>
      </c>
      <c r="Z3186" t="s">
        <v>159</v>
      </c>
      <c r="AA3186" t="s">
        <v>167</v>
      </c>
      <c r="AB3186">
        <v>4.0999999999999996</v>
      </c>
      <c r="AC3186">
        <v>60</v>
      </c>
      <c r="AD3186">
        <v>110.35</v>
      </c>
      <c r="AE3186">
        <f t="shared" si="98"/>
        <v>583.79999999999995</v>
      </c>
      <c r="AF3186" t="str">
        <f t="shared" si="99"/>
        <v>2026-02</v>
      </c>
      <c r="AG3186">
        <f>SUBTOTAL(103,A3186)</f>
        <v>1</v>
      </c>
    </row>
    <row r="3187" spans="1:33" x14ac:dyDescent="0.3">
      <c r="A3187" t="s">
        <v>5810</v>
      </c>
      <c r="B3187" s="13">
        <v>46070</v>
      </c>
      <c r="C3187">
        <v>2026</v>
      </c>
      <c r="D3187">
        <v>2</v>
      </c>
      <c r="E3187" t="s">
        <v>2849</v>
      </c>
      <c r="F3187" t="s">
        <v>2572</v>
      </c>
      <c r="G3187" t="s">
        <v>633</v>
      </c>
      <c r="H3187" t="s">
        <v>634</v>
      </c>
      <c r="I3187" t="s">
        <v>85</v>
      </c>
      <c r="J3187">
        <v>25</v>
      </c>
      <c r="K3187" t="s">
        <v>80</v>
      </c>
      <c r="L3187" t="s">
        <v>2661</v>
      </c>
      <c r="M3187" t="s">
        <v>58</v>
      </c>
      <c r="N3187" t="s">
        <v>2592</v>
      </c>
      <c r="O3187" t="s">
        <v>115</v>
      </c>
      <c r="P3187" t="s">
        <v>48</v>
      </c>
      <c r="Q3187" t="s">
        <v>137</v>
      </c>
      <c r="R3187">
        <v>1</v>
      </c>
      <c r="S3187">
        <v>12999</v>
      </c>
      <c r="T3187">
        <v>0</v>
      </c>
      <c r="U3187">
        <v>12999</v>
      </c>
      <c r="V3187">
        <v>9000</v>
      </c>
      <c r="W3187">
        <v>3999</v>
      </c>
      <c r="X3187" t="s">
        <v>77</v>
      </c>
      <c r="Y3187" t="s">
        <v>70</v>
      </c>
      <c r="Z3187" t="s">
        <v>160</v>
      </c>
      <c r="AA3187" t="s">
        <v>171</v>
      </c>
      <c r="AB3187">
        <v>4.7</v>
      </c>
      <c r="AC3187">
        <v>50</v>
      </c>
      <c r="AD3187">
        <v>942.67</v>
      </c>
      <c r="AE3187">
        <f t="shared" si="98"/>
        <v>3006.33</v>
      </c>
      <c r="AF3187" t="str">
        <f t="shared" si="99"/>
        <v>2026-02</v>
      </c>
      <c r="AG3187">
        <f>SUBTOTAL(103,A3187)</f>
        <v>1</v>
      </c>
    </row>
    <row r="3188" spans="1:33" x14ac:dyDescent="0.3">
      <c r="A3188" t="s">
        <v>5811</v>
      </c>
      <c r="B3188" s="13">
        <v>46070</v>
      </c>
      <c r="C3188">
        <v>2026</v>
      </c>
      <c r="D3188">
        <v>2</v>
      </c>
      <c r="E3188" t="s">
        <v>2849</v>
      </c>
      <c r="F3188" t="s">
        <v>2572</v>
      </c>
      <c r="G3188" t="s">
        <v>911</v>
      </c>
      <c r="H3188" t="s">
        <v>912</v>
      </c>
      <c r="I3188" t="s">
        <v>86</v>
      </c>
      <c r="J3188">
        <v>35</v>
      </c>
      <c r="K3188" t="s">
        <v>81</v>
      </c>
      <c r="L3188" t="s">
        <v>99</v>
      </c>
      <c r="M3188" t="s">
        <v>58</v>
      </c>
      <c r="N3188" t="s">
        <v>2626</v>
      </c>
      <c r="O3188" t="s">
        <v>125</v>
      </c>
      <c r="P3188" t="s">
        <v>48</v>
      </c>
      <c r="Q3188" t="s">
        <v>141</v>
      </c>
      <c r="R3188">
        <v>3</v>
      </c>
      <c r="S3188">
        <v>1999</v>
      </c>
      <c r="T3188">
        <v>0.2</v>
      </c>
      <c r="U3188">
        <v>4797.6000000000004</v>
      </c>
      <c r="V3188">
        <v>3450</v>
      </c>
      <c r="W3188">
        <v>1347.6</v>
      </c>
      <c r="X3188" t="s">
        <v>77</v>
      </c>
      <c r="Y3188" t="s">
        <v>68</v>
      </c>
      <c r="Z3188" t="s">
        <v>163</v>
      </c>
      <c r="AA3188" t="s">
        <v>168</v>
      </c>
      <c r="AB3188">
        <v>4.5</v>
      </c>
      <c r="AC3188">
        <v>80</v>
      </c>
      <c r="AD3188">
        <v>249.46</v>
      </c>
      <c r="AE3188">
        <f t="shared" si="98"/>
        <v>1018.1399999999999</v>
      </c>
      <c r="AF3188" t="str">
        <f t="shared" si="99"/>
        <v>2026-02</v>
      </c>
      <c r="AG3188">
        <f>SUBTOTAL(103,A3188)</f>
        <v>1</v>
      </c>
    </row>
    <row r="3189" spans="1:33" x14ac:dyDescent="0.3">
      <c r="A3189" t="s">
        <v>5812</v>
      </c>
      <c r="B3189" s="13">
        <v>46070</v>
      </c>
      <c r="C3189">
        <v>2026</v>
      </c>
      <c r="D3189">
        <v>2</v>
      </c>
      <c r="E3189" t="s">
        <v>2849</v>
      </c>
      <c r="F3189" t="s">
        <v>2572</v>
      </c>
      <c r="G3189" t="s">
        <v>1227</v>
      </c>
      <c r="H3189" t="s">
        <v>1228</v>
      </c>
      <c r="I3189" t="s">
        <v>86</v>
      </c>
      <c r="J3189">
        <v>55</v>
      </c>
      <c r="K3189" t="s">
        <v>83</v>
      </c>
      <c r="L3189" t="s">
        <v>2634</v>
      </c>
      <c r="M3189" t="s">
        <v>56</v>
      </c>
      <c r="N3189" t="s">
        <v>2626</v>
      </c>
      <c r="O3189" t="s">
        <v>125</v>
      </c>
      <c r="P3189" t="s">
        <v>48</v>
      </c>
      <c r="Q3189" t="s">
        <v>141</v>
      </c>
      <c r="R3189">
        <v>1</v>
      </c>
      <c r="S3189">
        <v>1999</v>
      </c>
      <c r="T3189">
        <v>0.05</v>
      </c>
      <c r="U3189">
        <v>1899.05</v>
      </c>
      <c r="V3189">
        <v>1150</v>
      </c>
      <c r="W3189">
        <v>749.05</v>
      </c>
      <c r="X3189" t="s">
        <v>76</v>
      </c>
      <c r="Y3189" t="s">
        <v>68</v>
      </c>
      <c r="Z3189" t="s">
        <v>158</v>
      </c>
      <c r="AA3189" t="s">
        <v>170</v>
      </c>
      <c r="AB3189">
        <v>5</v>
      </c>
      <c r="AC3189">
        <v>60</v>
      </c>
      <c r="AD3189">
        <v>153.47</v>
      </c>
      <c r="AE3189">
        <f t="shared" si="98"/>
        <v>535.57999999999993</v>
      </c>
      <c r="AF3189" t="str">
        <f t="shared" si="99"/>
        <v>2026-02</v>
      </c>
      <c r="AG3189">
        <f>SUBTOTAL(103,A3189)</f>
        <v>1</v>
      </c>
    </row>
    <row r="3190" spans="1:33" x14ac:dyDescent="0.3">
      <c r="A3190" t="s">
        <v>5813</v>
      </c>
      <c r="B3190" s="13">
        <v>46070</v>
      </c>
      <c r="C3190">
        <v>2026</v>
      </c>
      <c r="D3190">
        <v>2</v>
      </c>
      <c r="E3190" t="s">
        <v>2849</v>
      </c>
      <c r="F3190" t="s">
        <v>2572</v>
      </c>
      <c r="G3190" t="s">
        <v>1605</v>
      </c>
      <c r="H3190" t="s">
        <v>1606</v>
      </c>
      <c r="I3190" t="s">
        <v>86</v>
      </c>
      <c r="J3190">
        <v>37</v>
      </c>
      <c r="K3190" t="s">
        <v>82</v>
      </c>
      <c r="L3190" t="s">
        <v>2612</v>
      </c>
      <c r="M3190" t="s">
        <v>64</v>
      </c>
      <c r="N3190" t="s">
        <v>2601</v>
      </c>
      <c r="O3190" t="s">
        <v>117</v>
      </c>
      <c r="P3190" t="s">
        <v>49</v>
      </c>
      <c r="Q3190" t="s">
        <v>139</v>
      </c>
      <c r="R3190">
        <v>1</v>
      </c>
      <c r="S3190">
        <v>6999</v>
      </c>
      <c r="T3190">
        <v>0.05</v>
      </c>
      <c r="U3190">
        <v>6649.05</v>
      </c>
      <c r="V3190">
        <v>4300</v>
      </c>
      <c r="W3190">
        <v>2349.0500000000002</v>
      </c>
      <c r="X3190" t="s">
        <v>75</v>
      </c>
      <c r="Y3190" t="s">
        <v>68</v>
      </c>
      <c r="Z3190" t="s">
        <v>162</v>
      </c>
      <c r="AA3190" t="s">
        <v>169</v>
      </c>
      <c r="AB3190">
        <v>4.3</v>
      </c>
      <c r="AC3190">
        <v>100</v>
      </c>
      <c r="AD3190">
        <v>357.69</v>
      </c>
      <c r="AE3190">
        <f t="shared" si="98"/>
        <v>1891.3600000000001</v>
      </c>
      <c r="AF3190" t="str">
        <f t="shared" si="99"/>
        <v>2026-02</v>
      </c>
      <c r="AG3190">
        <f>SUBTOTAL(103,A3190)</f>
        <v>1</v>
      </c>
    </row>
    <row r="3191" spans="1:33" x14ac:dyDescent="0.3">
      <c r="A3191" t="s">
        <v>5814</v>
      </c>
      <c r="B3191" s="13">
        <v>46070</v>
      </c>
      <c r="C3191">
        <v>2026</v>
      </c>
      <c r="D3191">
        <v>2</v>
      </c>
      <c r="E3191" t="s">
        <v>2849</v>
      </c>
      <c r="F3191" t="s">
        <v>2572</v>
      </c>
      <c r="G3191" t="s">
        <v>1175</v>
      </c>
      <c r="H3191" t="s">
        <v>1176</v>
      </c>
      <c r="I3191" t="s">
        <v>86</v>
      </c>
      <c r="J3191">
        <v>59</v>
      </c>
      <c r="K3191" t="s">
        <v>83</v>
      </c>
      <c r="L3191" t="s">
        <v>91</v>
      </c>
      <c r="M3191" t="s">
        <v>55</v>
      </c>
      <c r="N3191" t="s">
        <v>2592</v>
      </c>
      <c r="O3191" t="s">
        <v>115</v>
      </c>
      <c r="P3191" t="s">
        <v>48</v>
      </c>
      <c r="Q3191" t="s">
        <v>137</v>
      </c>
      <c r="R3191">
        <v>1</v>
      </c>
      <c r="S3191">
        <v>12999</v>
      </c>
      <c r="T3191">
        <v>0.1</v>
      </c>
      <c r="U3191">
        <v>11699.1</v>
      </c>
      <c r="V3191">
        <v>9000</v>
      </c>
      <c r="W3191">
        <v>2699.1</v>
      </c>
      <c r="X3191" t="s">
        <v>76</v>
      </c>
      <c r="Y3191" t="s">
        <v>68</v>
      </c>
      <c r="Z3191" t="s">
        <v>162</v>
      </c>
      <c r="AA3191" t="s">
        <v>170</v>
      </c>
      <c r="AB3191">
        <v>5</v>
      </c>
      <c r="AC3191">
        <v>50</v>
      </c>
      <c r="AD3191">
        <v>971.84</v>
      </c>
      <c r="AE3191">
        <f t="shared" si="98"/>
        <v>1677.2599999999998</v>
      </c>
      <c r="AF3191" t="str">
        <f t="shared" si="99"/>
        <v>2026-02</v>
      </c>
      <c r="AG3191">
        <f>SUBTOTAL(103,A3191)</f>
        <v>1</v>
      </c>
    </row>
    <row r="3192" spans="1:33" x14ac:dyDescent="0.3">
      <c r="A3192" t="s">
        <v>5815</v>
      </c>
      <c r="B3192" s="13">
        <v>46070</v>
      </c>
      <c r="C3192">
        <v>2026</v>
      </c>
      <c r="D3192">
        <v>2</v>
      </c>
      <c r="E3192" t="s">
        <v>2849</v>
      </c>
      <c r="F3192" t="s">
        <v>2572</v>
      </c>
      <c r="G3192" t="s">
        <v>1081</v>
      </c>
      <c r="H3192" t="s">
        <v>1082</v>
      </c>
      <c r="I3192" t="s">
        <v>85</v>
      </c>
      <c r="J3192">
        <v>50</v>
      </c>
      <c r="K3192" t="s">
        <v>83</v>
      </c>
      <c r="L3192" t="s">
        <v>92</v>
      </c>
      <c r="M3192" t="s">
        <v>59</v>
      </c>
      <c r="N3192" t="s">
        <v>2626</v>
      </c>
      <c r="O3192" t="s">
        <v>125</v>
      </c>
      <c r="P3192" t="s">
        <v>48</v>
      </c>
      <c r="Q3192" t="s">
        <v>141</v>
      </c>
      <c r="R3192">
        <v>3</v>
      </c>
      <c r="S3192">
        <v>1999</v>
      </c>
      <c r="T3192">
        <v>0.2</v>
      </c>
      <c r="U3192">
        <v>4797.6000000000004</v>
      </c>
      <c r="V3192">
        <v>3450</v>
      </c>
      <c r="W3192">
        <v>1347.6</v>
      </c>
      <c r="X3192" t="s">
        <v>73</v>
      </c>
      <c r="Y3192" t="s">
        <v>68</v>
      </c>
      <c r="Z3192" t="s">
        <v>158</v>
      </c>
      <c r="AA3192" t="s">
        <v>171</v>
      </c>
      <c r="AB3192">
        <v>4.3</v>
      </c>
      <c r="AC3192">
        <v>60</v>
      </c>
      <c r="AD3192">
        <v>462.52</v>
      </c>
      <c r="AE3192">
        <f t="shared" si="98"/>
        <v>825.07999999999993</v>
      </c>
      <c r="AF3192" t="str">
        <f t="shared" si="99"/>
        <v>2026-02</v>
      </c>
      <c r="AG3192">
        <f>SUBTOTAL(103,A3192)</f>
        <v>1</v>
      </c>
    </row>
    <row r="3193" spans="1:33" x14ac:dyDescent="0.3">
      <c r="A3193" t="s">
        <v>5816</v>
      </c>
      <c r="B3193" s="13">
        <v>46071</v>
      </c>
      <c r="C3193">
        <v>2026</v>
      </c>
      <c r="D3193">
        <v>2</v>
      </c>
      <c r="E3193" t="s">
        <v>2849</v>
      </c>
      <c r="F3193" t="s">
        <v>2572</v>
      </c>
      <c r="G3193" t="s">
        <v>1881</v>
      </c>
      <c r="H3193" t="s">
        <v>1882</v>
      </c>
      <c r="I3193" t="s">
        <v>85</v>
      </c>
      <c r="J3193">
        <v>30</v>
      </c>
      <c r="K3193" t="s">
        <v>81</v>
      </c>
      <c r="L3193" t="s">
        <v>2661</v>
      </c>
      <c r="M3193" t="s">
        <v>58</v>
      </c>
      <c r="N3193" t="s">
        <v>2590</v>
      </c>
      <c r="O3193" t="s">
        <v>127</v>
      </c>
      <c r="P3193" t="s">
        <v>51</v>
      </c>
      <c r="Q3193" t="s">
        <v>148</v>
      </c>
      <c r="R3193">
        <v>3</v>
      </c>
      <c r="S3193">
        <v>1599</v>
      </c>
      <c r="T3193">
        <v>0.05</v>
      </c>
      <c r="U3193">
        <v>4557.1499999999996</v>
      </c>
      <c r="V3193">
        <v>2400</v>
      </c>
      <c r="W3193">
        <v>2157.15</v>
      </c>
      <c r="X3193" t="s">
        <v>76</v>
      </c>
      <c r="Y3193" t="s">
        <v>68</v>
      </c>
      <c r="Z3193" t="s">
        <v>163</v>
      </c>
      <c r="AA3193" t="s">
        <v>171</v>
      </c>
      <c r="AB3193">
        <v>3.8</v>
      </c>
      <c r="AC3193">
        <v>40</v>
      </c>
      <c r="AD3193">
        <v>381.85</v>
      </c>
      <c r="AE3193">
        <f t="shared" si="98"/>
        <v>1735.3000000000002</v>
      </c>
      <c r="AF3193" t="str">
        <f t="shared" si="99"/>
        <v>2026-02</v>
      </c>
      <c r="AG3193">
        <f>SUBTOTAL(103,A3193)</f>
        <v>1</v>
      </c>
    </row>
    <row r="3194" spans="1:33" x14ac:dyDescent="0.3">
      <c r="A3194" t="s">
        <v>5817</v>
      </c>
      <c r="B3194" s="13">
        <v>46071</v>
      </c>
      <c r="C3194">
        <v>2026</v>
      </c>
      <c r="D3194">
        <v>2</v>
      </c>
      <c r="E3194" t="s">
        <v>2849</v>
      </c>
      <c r="F3194" t="s">
        <v>2572</v>
      </c>
      <c r="G3194" t="s">
        <v>2175</v>
      </c>
      <c r="H3194" t="s">
        <v>2176</v>
      </c>
      <c r="I3194" t="s">
        <v>86</v>
      </c>
      <c r="J3194">
        <v>54</v>
      </c>
      <c r="K3194" t="s">
        <v>83</v>
      </c>
      <c r="L3194" t="s">
        <v>98</v>
      </c>
      <c r="M3194" t="s">
        <v>55</v>
      </c>
      <c r="N3194" t="s">
        <v>2580</v>
      </c>
      <c r="O3194" t="s">
        <v>118</v>
      </c>
      <c r="P3194" t="s">
        <v>48</v>
      </c>
      <c r="Q3194" t="s">
        <v>142</v>
      </c>
      <c r="R3194">
        <v>5</v>
      </c>
      <c r="S3194">
        <v>3999</v>
      </c>
      <c r="T3194">
        <v>0.05</v>
      </c>
      <c r="U3194">
        <v>0</v>
      </c>
      <c r="V3194">
        <v>0</v>
      </c>
      <c r="W3194">
        <v>0</v>
      </c>
      <c r="X3194" t="s">
        <v>77</v>
      </c>
      <c r="Y3194" t="s">
        <v>71</v>
      </c>
      <c r="Z3194" t="s">
        <v>160</v>
      </c>
      <c r="AA3194" t="s">
        <v>167</v>
      </c>
      <c r="AB3194">
        <v>3.4</v>
      </c>
      <c r="AC3194">
        <v>40</v>
      </c>
      <c r="AD3194">
        <v>539.48</v>
      </c>
      <c r="AE3194">
        <f t="shared" si="98"/>
        <v>-579.48</v>
      </c>
      <c r="AF3194" t="str">
        <f t="shared" si="99"/>
        <v>2026-02</v>
      </c>
      <c r="AG3194">
        <f>SUBTOTAL(103,A3194)</f>
        <v>1</v>
      </c>
    </row>
    <row r="3195" spans="1:33" x14ac:dyDescent="0.3">
      <c r="A3195" t="s">
        <v>5818</v>
      </c>
      <c r="B3195" s="13">
        <v>46071</v>
      </c>
      <c r="C3195">
        <v>2026</v>
      </c>
      <c r="D3195">
        <v>2</v>
      </c>
      <c r="E3195" t="s">
        <v>2849</v>
      </c>
      <c r="F3195" t="s">
        <v>2572</v>
      </c>
      <c r="G3195" t="s">
        <v>1581</v>
      </c>
      <c r="H3195" t="s">
        <v>1582</v>
      </c>
      <c r="I3195" t="s">
        <v>85</v>
      </c>
      <c r="J3195">
        <v>20</v>
      </c>
      <c r="K3195" t="s">
        <v>80</v>
      </c>
      <c r="L3195" t="s">
        <v>2579</v>
      </c>
      <c r="M3195" t="s">
        <v>56</v>
      </c>
      <c r="N3195" t="s">
        <v>2590</v>
      </c>
      <c r="O3195" t="s">
        <v>127</v>
      </c>
      <c r="P3195" t="s">
        <v>51</v>
      </c>
      <c r="Q3195" t="s">
        <v>148</v>
      </c>
      <c r="R3195">
        <v>3</v>
      </c>
      <c r="S3195">
        <v>1599</v>
      </c>
      <c r="T3195">
        <v>0.15</v>
      </c>
      <c r="U3195">
        <v>4077.45</v>
      </c>
      <c r="V3195">
        <v>2400</v>
      </c>
      <c r="W3195">
        <v>1677.45</v>
      </c>
      <c r="X3195" t="s">
        <v>77</v>
      </c>
      <c r="Y3195" t="s">
        <v>68</v>
      </c>
      <c r="Z3195" t="s">
        <v>162</v>
      </c>
      <c r="AA3195" t="s">
        <v>168</v>
      </c>
      <c r="AB3195">
        <v>3.5</v>
      </c>
      <c r="AC3195">
        <v>100</v>
      </c>
      <c r="AD3195">
        <v>251.41</v>
      </c>
      <c r="AE3195">
        <f t="shared" si="98"/>
        <v>1326.04</v>
      </c>
      <c r="AF3195" t="str">
        <f t="shared" si="99"/>
        <v>2026-02</v>
      </c>
      <c r="AG3195">
        <f>SUBTOTAL(103,A3195)</f>
        <v>1</v>
      </c>
    </row>
    <row r="3196" spans="1:33" x14ac:dyDescent="0.3">
      <c r="A3196" t="s">
        <v>5819</v>
      </c>
      <c r="B3196" s="13">
        <v>46071</v>
      </c>
      <c r="C3196">
        <v>2026</v>
      </c>
      <c r="D3196">
        <v>2</v>
      </c>
      <c r="E3196" t="s">
        <v>2849</v>
      </c>
      <c r="F3196" t="s">
        <v>2572</v>
      </c>
      <c r="G3196" t="s">
        <v>273</v>
      </c>
      <c r="H3196" t="s">
        <v>274</v>
      </c>
      <c r="I3196" t="s">
        <v>86</v>
      </c>
      <c r="J3196">
        <v>36</v>
      </c>
      <c r="K3196" t="s">
        <v>82</v>
      </c>
      <c r="L3196" t="s">
        <v>99</v>
      </c>
      <c r="M3196" t="s">
        <v>58</v>
      </c>
      <c r="N3196" t="s">
        <v>2594</v>
      </c>
      <c r="O3196" t="s">
        <v>131</v>
      </c>
      <c r="P3196" t="s">
        <v>53</v>
      </c>
      <c r="Q3196" t="s">
        <v>143</v>
      </c>
      <c r="R3196">
        <v>2</v>
      </c>
      <c r="S3196">
        <v>999</v>
      </c>
      <c r="T3196">
        <v>0.15</v>
      </c>
      <c r="U3196">
        <v>1698.3</v>
      </c>
      <c r="V3196">
        <v>1040</v>
      </c>
      <c r="W3196">
        <v>658.3</v>
      </c>
      <c r="X3196" t="s">
        <v>73</v>
      </c>
      <c r="Y3196" t="s">
        <v>68</v>
      </c>
      <c r="Z3196" t="s">
        <v>158</v>
      </c>
      <c r="AA3196" t="s">
        <v>167</v>
      </c>
      <c r="AB3196">
        <v>3.6</v>
      </c>
      <c r="AC3196">
        <v>60</v>
      </c>
      <c r="AD3196">
        <v>114.57</v>
      </c>
      <c r="AE3196">
        <f t="shared" si="98"/>
        <v>483.72999999999996</v>
      </c>
      <c r="AF3196" t="str">
        <f t="shared" si="99"/>
        <v>2026-02</v>
      </c>
      <c r="AG3196">
        <f>SUBTOTAL(103,A3196)</f>
        <v>1</v>
      </c>
    </row>
    <row r="3197" spans="1:33" x14ac:dyDescent="0.3">
      <c r="A3197" t="s">
        <v>5820</v>
      </c>
      <c r="B3197" s="13">
        <v>46071</v>
      </c>
      <c r="C3197">
        <v>2026</v>
      </c>
      <c r="D3197">
        <v>2</v>
      </c>
      <c r="E3197" t="s">
        <v>2849</v>
      </c>
      <c r="F3197" t="s">
        <v>2572</v>
      </c>
      <c r="G3197" t="s">
        <v>1001</v>
      </c>
      <c r="H3197" t="s">
        <v>1002</v>
      </c>
      <c r="I3197" t="s">
        <v>86</v>
      </c>
      <c r="J3197">
        <v>55</v>
      </c>
      <c r="K3197" t="s">
        <v>83</v>
      </c>
      <c r="L3197" t="s">
        <v>91</v>
      </c>
      <c r="M3197" t="s">
        <v>55</v>
      </c>
      <c r="N3197" t="s">
        <v>2590</v>
      </c>
      <c r="O3197" t="s">
        <v>127</v>
      </c>
      <c r="P3197" t="s">
        <v>51</v>
      </c>
      <c r="Q3197" t="s">
        <v>148</v>
      </c>
      <c r="R3197">
        <v>2</v>
      </c>
      <c r="S3197">
        <v>1599</v>
      </c>
      <c r="T3197">
        <v>0.05</v>
      </c>
      <c r="U3197">
        <v>3038.1</v>
      </c>
      <c r="V3197">
        <v>1600</v>
      </c>
      <c r="W3197">
        <v>1438.1</v>
      </c>
      <c r="X3197" t="s">
        <v>73</v>
      </c>
      <c r="Y3197" t="s">
        <v>68</v>
      </c>
      <c r="Z3197" t="s">
        <v>162</v>
      </c>
      <c r="AA3197" t="s">
        <v>171</v>
      </c>
      <c r="AB3197">
        <v>4.5</v>
      </c>
      <c r="AC3197">
        <v>80</v>
      </c>
      <c r="AD3197">
        <v>133.72</v>
      </c>
      <c r="AE3197">
        <f t="shared" si="98"/>
        <v>1224.3799999999999</v>
      </c>
      <c r="AF3197" t="str">
        <f t="shared" si="99"/>
        <v>2026-02</v>
      </c>
      <c r="AG3197">
        <f>SUBTOTAL(103,A3197)</f>
        <v>1</v>
      </c>
    </row>
    <row r="3198" spans="1:33" x14ac:dyDescent="0.3">
      <c r="A3198" t="s">
        <v>5821</v>
      </c>
      <c r="B3198" s="13">
        <v>46072</v>
      </c>
      <c r="C3198">
        <v>2026</v>
      </c>
      <c r="D3198">
        <v>2</v>
      </c>
      <c r="E3198" t="s">
        <v>2849</v>
      </c>
      <c r="F3198" t="s">
        <v>2572</v>
      </c>
      <c r="G3198" t="s">
        <v>2213</v>
      </c>
      <c r="H3198" t="s">
        <v>2214</v>
      </c>
      <c r="I3198" t="s">
        <v>86</v>
      </c>
      <c r="J3198">
        <v>52</v>
      </c>
      <c r="K3198" t="s">
        <v>83</v>
      </c>
      <c r="L3198" t="s">
        <v>59</v>
      </c>
      <c r="M3198" t="s">
        <v>59</v>
      </c>
      <c r="N3198" t="s">
        <v>2657</v>
      </c>
      <c r="O3198" t="s">
        <v>134</v>
      </c>
      <c r="P3198" t="s">
        <v>49</v>
      </c>
      <c r="Q3198" t="s">
        <v>140</v>
      </c>
      <c r="R3198">
        <v>2</v>
      </c>
      <c r="S3198">
        <v>599</v>
      </c>
      <c r="T3198">
        <v>0.05</v>
      </c>
      <c r="U3198">
        <v>0</v>
      </c>
      <c r="V3198">
        <v>0</v>
      </c>
      <c r="W3198">
        <v>0</v>
      </c>
      <c r="X3198" t="s">
        <v>75</v>
      </c>
      <c r="Y3198" t="s">
        <v>71</v>
      </c>
      <c r="Z3198" t="s">
        <v>162</v>
      </c>
      <c r="AA3198" t="s">
        <v>166</v>
      </c>
      <c r="AB3198">
        <v>3.9</v>
      </c>
      <c r="AC3198">
        <v>80</v>
      </c>
      <c r="AD3198">
        <v>27.25</v>
      </c>
      <c r="AE3198">
        <f t="shared" si="98"/>
        <v>-107.25</v>
      </c>
      <c r="AF3198" t="str">
        <f t="shared" si="99"/>
        <v>2026-02</v>
      </c>
      <c r="AG3198">
        <f>SUBTOTAL(103,A3198)</f>
        <v>1</v>
      </c>
    </row>
    <row r="3199" spans="1:33" x14ac:dyDescent="0.3">
      <c r="A3199" t="s">
        <v>5822</v>
      </c>
      <c r="B3199" s="13">
        <v>46072</v>
      </c>
      <c r="C3199">
        <v>2026</v>
      </c>
      <c r="D3199">
        <v>2</v>
      </c>
      <c r="E3199" t="s">
        <v>2849</v>
      </c>
      <c r="F3199" t="s">
        <v>2572</v>
      </c>
      <c r="G3199" t="s">
        <v>467</v>
      </c>
      <c r="H3199" t="s">
        <v>468</v>
      </c>
      <c r="I3199" t="s">
        <v>85</v>
      </c>
      <c r="J3199">
        <v>42</v>
      </c>
      <c r="K3199" t="s">
        <v>82</v>
      </c>
      <c r="L3199" t="s">
        <v>2616</v>
      </c>
      <c r="M3199" t="s">
        <v>62</v>
      </c>
      <c r="N3199" t="s">
        <v>2647</v>
      </c>
      <c r="O3199" t="s">
        <v>133</v>
      </c>
      <c r="P3199" t="s">
        <v>50</v>
      </c>
      <c r="Q3199" t="s">
        <v>145</v>
      </c>
      <c r="R3199">
        <v>2</v>
      </c>
      <c r="S3199">
        <v>799</v>
      </c>
      <c r="T3199">
        <v>0.05</v>
      </c>
      <c r="U3199">
        <v>1518.1</v>
      </c>
      <c r="V3199">
        <v>780</v>
      </c>
      <c r="W3199">
        <v>738.1</v>
      </c>
      <c r="X3199" t="s">
        <v>74</v>
      </c>
      <c r="Y3199" t="s">
        <v>69</v>
      </c>
      <c r="Z3199" t="s">
        <v>158</v>
      </c>
      <c r="AA3199" t="s">
        <v>167</v>
      </c>
      <c r="AB3199">
        <v>3.9</v>
      </c>
      <c r="AC3199">
        <v>80</v>
      </c>
      <c r="AD3199">
        <v>112.74</v>
      </c>
      <c r="AE3199">
        <f t="shared" si="98"/>
        <v>545.36</v>
      </c>
      <c r="AF3199" t="str">
        <f t="shared" si="99"/>
        <v>2026-02</v>
      </c>
      <c r="AG3199">
        <f>SUBTOTAL(103,A3199)</f>
        <v>1</v>
      </c>
    </row>
    <row r="3200" spans="1:33" x14ac:dyDescent="0.3">
      <c r="A3200" t="s">
        <v>5823</v>
      </c>
      <c r="B3200" s="13">
        <v>46072</v>
      </c>
      <c r="C3200">
        <v>2026</v>
      </c>
      <c r="D3200">
        <v>2</v>
      </c>
      <c r="E3200" t="s">
        <v>2849</v>
      </c>
      <c r="F3200" t="s">
        <v>2572</v>
      </c>
      <c r="G3200" t="s">
        <v>341</v>
      </c>
      <c r="H3200" t="s">
        <v>342</v>
      </c>
      <c r="I3200" t="s">
        <v>85</v>
      </c>
      <c r="J3200">
        <v>34</v>
      </c>
      <c r="K3200" t="s">
        <v>81</v>
      </c>
      <c r="L3200" t="s">
        <v>2679</v>
      </c>
      <c r="M3200" t="s">
        <v>60</v>
      </c>
      <c r="N3200" t="s">
        <v>2626</v>
      </c>
      <c r="O3200" t="s">
        <v>125</v>
      </c>
      <c r="P3200" t="s">
        <v>48</v>
      </c>
      <c r="Q3200" t="s">
        <v>141</v>
      </c>
      <c r="R3200">
        <v>2</v>
      </c>
      <c r="S3200">
        <v>1999</v>
      </c>
      <c r="T3200">
        <v>0.05</v>
      </c>
      <c r="U3200">
        <v>3798.1</v>
      </c>
      <c r="V3200">
        <v>2300</v>
      </c>
      <c r="W3200">
        <v>1498.1</v>
      </c>
      <c r="X3200" t="s">
        <v>73</v>
      </c>
      <c r="Y3200" t="s">
        <v>68</v>
      </c>
      <c r="Z3200" t="s">
        <v>160</v>
      </c>
      <c r="AA3200" t="s">
        <v>166</v>
      </c>
      <c r="AB3200">
        <v>4.7</v>
      </c>
      <c r="AC3200">
        <v>50</v>
      </c>
      <c r="AD3200">
        <v>363.46</v>
      </c>
      <c r="AE3200">
        <f t="shared" si="98"/>
        <v>1084.6399999999999</v>
      </c>
      <c r="AF3200" t="str">
        <f t="shared" si="99"/>
        <v>2026-02</v>
      </c>
      <c r="AG3200">
        <f>SUBTOTAL(103,A3200)</f>
        <v>1</v>
      </c>
    </row>
    <row r="3201" spans="1:33" x14ac:dyDescent="0.3">
      <c r="A3201" t="s">
        <v>5824</v>
      </c>
      <c r="B3201" s="13">
        <v>46072</v>
      </c>
      <c r="C3201">
        <v>2026</v>
      </c>
      <c r="D3201">
        <v>2</v>
      </c>
      <c r="E3201" t="s">
        <v>2849</v>
      </c>
      <c r="F3201" t="s">
        <v>2572</v>
      </c>
      <c r="G3201" t="s">
        <v>1519</v>
      </c>
      <c r="H3201" t="s">
        <v>1520</v>
      </c>
      <c r="I3201" t="s">
        <v>86</v>
      </c>
      <c r="J3201">
        <v>57</v>
      </c>
      <c r="K3201" t="s">
        <v>83</v>
      </c>
      <c r="L3201" t="s">
        <v>95</v>
      </c>
      <c r="M3201" t="s">
        <v>56</v>
      </c>
      <c r="N3201" t="s">
        <v>2657</v>
      </c>
      <c r="O3201" t="s">
        <v>134</v>
      </c>
      <c r="P3201" t="s">
        <v>49</v>
      </c>
      <c r="Q3201" t="s">
        <v>140</v>
      </c>
      <c r="R3201">
        <v>1</v>
      </c>
      <c r="S3201">
        <v>599</v>
      </c>
      <c r="T3201">
        <v>0</v>
      </c>
      <c r="U3201">
        <v>599</v>
      </c>
      <c r="V3201">
        <v>250</v>
      </c>
      <c r="W3201">
        <v>349</v>
      </c>
      <c r="X3201" t="s">
        <v>73</v>
      </c>
      <c r="Y3201" t="s">
        <v>68</v>
      </c>
      <c r="Z3201" t="s">
        <v>162</v>
      </c>
      <c r="AA3201" t="s">
        <v>167</v>
      </c>
      <c r="AB3201">
        <v>3.9</v>
      </c>
      <c r="AC3201">
        <v>50</v>
      </c>
      <c r="AD3201">
        <v>66.599999999999994</v>
      </c>
      <c r="AE3201">
        <f t="shared" si="98"/>
        <v>232.4</v>
      </c>
      <c r="AF3201" t="str">
        <f t="shared" si="99"/>
        <v>2026-02</v>
      </c>
      <c r="AG3201">
        <f>SUBTOTAL(103,A3201)</f>
        <v>1</v>
      </c>
    </row>
    <row r="3202" spans="1:33" x14ac:dyDescent="0.3">
      <c r="A3202" t="s">
        <v>5825</v>
      </c>
      <c r="B3202" s="13">
        <v>46072</v>
      </c>
      <c r="C3202">
        <v>2026</v>
      </c>
      <c r="D3202">
        <v>2</v>
      </c>
      <c r="E3202" t="s">
        <v>2849</v>
      </c>
      <c r="F3202" t="s">
        <v>2572</v>
      </c>
      <c r="G3202" t="s">
        <v>533</v>
      </c>
      <c r="H3202" t="s">
        <v>534</v>
      </c>
      <c r="I3202" t="s">
        <v>85</v>
      </c>
      <c r="J3202">
        <v>27</v>
      </c>
      <c r="K3202" t="s">
        <v>81</v>
      </c>
      <c r="L3202" t="s">
        <v>2605</v>
      </c>
      <c r="M3202" t="s">
        <v>60</v>
      </c>
      <c r="N3202" t="s">
        <v>2580</v>
      </c>
      <c r="O3202" t="s">
        <v>118</v>
      </c>
      <c r="P3202" t="s">
        <v>48</v>
      </c>
      <c r="Q3202" t="s">
        <v>142</v>
      </c>
      <c r="R3202">
        <v>3</v>
      </c>
      <c r="S3202">
        <v>3999</v>
      </c>
      <c r="T3202">
        <v>0.15</v>
      </c>
      <c r="U3202">
        <v>10197.450000000001</v>
      </c>
      <c r="V3202">
        <v>7200</v>
      </c>
      <c r="W3202">
        <v>2997.45</v>
      </c>
      <c r="X3202" t="s">
        <v>73</v>
      </c>
      <c r="Y3202" t="s">
        <v>68</v>
      </c>
      <c r="Z3202" t="s">
        <v>159</v>
      </c>
      <c r="AA3202" t="s">
        <v>166</v>
      </c>
      <c r="AB3202">
        <v>2.5</v>
      </c>
      <c r="AC3202">
        <v>40</v>
      </c>
      <c r="AD3202">
        <v>1001.04</v>
      </c>
      <c r="AE3202">
        <f t="shared" ref="AE3202:AE3265" si="100">W3202-AC3202-AD3202</f>
        <v>1956.4099999999999</v>
      </c>
      <c r="AF3202" t="str">
        <f t="shared" ref="AF3202:AF3265" si="101">C3202&amp;"-"&amp;TEXT(D3202,"00")</f>
        <v>2026-02</v>
      </c>
      <c r="AG3202">
        <f>SUBTOTAL(103,A3202)</f>
        <v>1</v>
      </c>
    </row>
    <row r="3203" spans="1:33" x14ac:dyDescent="0.3">
      <c r="A3203" t="s">
        <v>5826</v>
      </c>
      <c r="B3203" s="13">
        <v>46072</v>
      </c>
      <c r="C3203">
        <v>2026</v>
      </c>
      <c r="D3203">
        <v>2</v>
      </c>
      <c r="E3203" t="s">
        <v>2849</v>
      </c>
      <c r="F3203" t="s">
        <v>2572</v>
      </c>
      <c r="G3203" t="s">
        <v>1669</v>
      </c>
      <c r="H3203" t="s">
        <v>1670</v>
      </c>
      <c r="I3203" t="s">
        <v>86</v>
      </c>
      <c r="J3203">
        <v>49</v>
      </c>
      <c r="K3203" t="s">
        <v>83</v>
      </c>
      <c r="L3203" t="s">
        <v>2605</v>
      </c>
      <c r="M3203" t="s">
        <v>60</v>
      </c>
      <c r="N3203" t="s">
        <v>2580</v>
      </c>
      <c r="O3203" t="s">
        <v>118</v>
      </c>
      <c r="P3203" t="s">
        <v>48</v>
      </c>
      <c r="Q3203" t="s">
        <v>142</v>
      </c>
      <c r="R3203">
        <v>3</v>
      </c>
      <c r="S3203">
        <v>3999</v>
      </c>
      <c r="T3203">
        <v>0.05</v>
      </c>
      <c r="U3203">
        <v>11397.15</v>
      </c>
      <c r="V3203">
        <v>7200</v>
      </c>
      <c r="W3203">
        <v>4197.1499999999996</v>
      </c>
      <c r="X3203" t="s">
        <v>75</v>
      </c>
      <c r="Y3203" t="s">
        <v>68</v>
      </c>
      <c r="Z3203" t="s">
        <v>159</v>
      </c>
      <c r="AA3203" t="s">
        <v>169</v>
      </c>
      <c r="AB3203">
        <v>4.4000000000000004</v>
      </c>
      <c r="AC3203">
        <v>60</v>
      </c>
      <c r="AD3203">
        <v>925.76</v>
      </c>
      <c r="AE3203">
        <f t="shared" si="100"/>
        <v>3211.3899999999994</v>
      </c>
      <c r="AF3203" t="str">
        <f t="shared" si="101"/>
        <v>2026-02</v>
      </c>
      <c r="AG3203">
        <f>SUBTOTAL(103,A3203)</f>
        <v>1</v>
      </c>
    </row>
    <row r="3204" spans="1:33" x14ac:dyDescent="0.3">
      <c r="A3204" t="s">
        <v>5827</v>
      </c>
      <c r="B3204" s="13">
        <v>46072</v>
      </c>
      <c r="C3204">
        <v>2026</v>
      </c>
      <c r="D3204">
        <v>2</v>
      </c>
      <c r="E3204" t="s">
        <v>2849</v>
      </c>
      <c r="F3204" t="s">
        <v>2572</v>
      </c>
      <c r="G3204" t="s">
        <v>1655</v>
      </c>
      <c r="H3204" t="s">
        <v>1656</v>
      </c>
      <c r="I3204" t="s">
        <v>86</v>
      </c>
      <c r="J3204">
        <v>33</v>
      </c>
      <c r="K3204" t="s">
        <v>81</v>
      </c>
      <c r="L3204" t="s">
        <v>2646</v>
      </c>
      <c r="M3204" t="s">
        <v>63</v>
      </c>
      <c r="N3204" t="s">
        <v>2653</v>
      </c>
      <c r="O3204" t="s">
        <v>132</v>
      </c>
      <c r="P3204" t="s">
        <v>52</v>
      </c>
      <c r="Q3204" t="s">
        <v>150</v>
      </c>
      <c r="R3204">
        <v>2</v>
      </c>
      <c r="S3204">
        <v>899</v>
      </c>
      <c r="T3204">
        <v>0.05</v>
      </c>
      <c r="U3204">
        <v>1708.1</v>
      </c>
      <c r="V3204">
        <v>840</v>
      </c>
      <c r="W3204">
        <v>868.1</v>
      </c>
      <c r="X3204" t="s">
        <v>75</v>
      </c>
      <c r="Y3204" t="s">
        <v>68</v>
      </c>
      <c r="Z3204" t="s">
        <v>158</v>
      </c>
      <c r="AA3204" t="s">
        <v>166</v>
      </c>
      <c r="AB3204">
        <v>4.3</v>
      </c>
      <c r="AC3204">
        <v>60</v>
      </c>
      <c r="AD3204">
        <v>65.349999999999994</v>
      </c>
      <c r="AE3204">
        <f t="shared" si="100"/>
        <v>742.75</v>
      </c>
      <c r="AF3204" t="str">
        <f t="shared" si="101"/>
        <v>2026-02</v>
      </c>
      <c r="AG3204">
        <f>SUBTOTAL(103,A3204)</f>
        <v>1</v>
      </c>
    </row>
    <row r="3205" spans="1:33" x14ac:dyDescent="0.3">
      <c r="A3205" t="s">
        <v>5828</v>
      </c>
      <c r="B3205" s="13">
        <v>46072</v>
      </c>
      <c r="C3205">
        <v>2026</v>
      </c>
      <c r="D3205">
        <v>2</v>
      </c>
      <c r="E3205" t="s">
        <v>2849</v>
      </c>
      <c r="F3205" t="s">
        <v>2572</v>
      </c>
      <c r="G3205" t="s">
        <v>869</v>
      </c>
      <c r="H3205" t="s">
        <v>870</v>
      </c>
      <c r="I3205" t="s">
        <v>86</v>
      </c>
      <c r="J3205">
        <v>28</v>
      </c>
      <c r="K3205" t="s">
        <v>81</v>
      </c>
      <c r="L3205" t="s">
        <v>95</v>
      </c>
      <c r="M3205" t="s">
        <v>56</v>
      </c>
      <c r="N3205" t="s">
        <v>2601</v>
      </c>
      <c r="O3205" t="s">
        <v>117</v>
      </c>
      <c r="P3205" t="s">
        <v>49</v>
      </c>
      <c r="Q3205" t="s">
        <v>139</v>
      </c>
      <c r="R3205">
        <v>2</v>
      </c>
      <c r="S3205">
        <v>6999</v>
      </c>
      <c r="T3205">
        <v>0.15</v>
      </c>
      <c r="U3205">
        <v>11898.3</v>
      </c>
      <c r="V3205">
        <v>8600</v>
      </c>
      <c r="W3205">
        <v>3298.3</v>
      </c>
      <c r="X3205" t="s">
        <v>74</v>
      </c>
      <c r="Y3205" t="s">
        <v>68</v>
      </c>
      <c r="Z3205" t="s">
        <v>161</v>
      </c>
      <c r="AA3205" t="s">
        <v>168</v>
      </c>
      <c r="AB3205">
        <v>3.5</v>
      </c>
      <c r="AC3205">
        <v>120</v>
      </c>
      <c r="AD3205">
        <v>475.22</v>
      </c>
      <c r="AE3205">
        <f t="shared" si="100"/>
        <v>2703.08</v>
      </c>
      <c r="AF3205" t="str">
        <f t="shared" si="101"/>
        <v>2026-02</v>
      </c>
      <c r="AG3205">
        <f>SUBTOTAL(103,A3205)</f>
        <v>1</v>
      </c>
    </row>
    <row r="3206" spans="1:33" x14ac:dyDescent="0.3">
      <c r="A3206" t="s">
        <v>5829</v>
      </c>
      <c r="B3206" s="13">
        <v>46072</v>
      </c>
      <c r="C3206">
        <v>2026</v>
      </c>
      <c r="D3206">
        <v>2</v>
      </c>
      <c r="E3206" t="s">
        <v>2849</v>
      </c>
      <c r="F3206" t="s">
        <v>2572</v>
      </c>
      <c r="G3206" t="s">
        <v>381</v>
      </c>
      <c r="H3206" t="s">
        <v>382</v>
      </c>
      <c r="I3206" t="s">
        <v>85</v>
      </c>
      <c r="J3206">
        <v>46</v>
      </c>
      <c r="K3206" t="s">
        <v>83</v>
      </c>
      <c r="L3206" t="s">
        <v>2616</v>
      </c>
      <c r="M3206" t="s">
        <v>62</v>
      </c>
      <c r="N3206" t="s">
        <v>2601</v>
      </c>
      <c r="O3206" t="s">
        <v>117</v>
      </c>
      <c r="P3206" t="s">
        <v>49</v>
      </c>
      <c r="Q3206" t="s">
        <v>139</v>
      </c>
      <c r="R3206">
        <v>2</v>
      </c>
      <c r="S3206">
        <v>6999</v>
      </c>
      <c r="T3206">
        <v>0.05</v>
      </c>
      <c r="U3206">
        <v>13298.1</v>
      </c>
      <c r="V3206">
        <v>8600</v>
      </c>
      <c r="W3206">
        <v>4698.1000000000004</v>
      </c>
      <c r="X3206" t="s">
        <v>75</v>
      </c>
      <c r="Y3206" t="s">
        <v>68</v>
      </c>
      <c r="Z3206" t="s">
        <v>159</v>
      </c>
      <c r="AA3206" t="s">
        <v>170</v>
      </c>
      <c r="AB3206">
        <v>5</v>
      </c>
      <c r="AC3206">
        <v>100</v>
      </c>
      <c r="AD3206">
        <v>827.76</v>
      </c>
      <c r="AE3206">
        <f t="shared" si="100"/>
        <v>3770.34</v>
      </c>
      <c r="AF3206" t="str">
        <f t="shared" si="101"/>
        <v>2026-02</v>
      </c>
      <c r="AG3206">
        <f>SUBTOTAL(103,A3206)</f>
        <v>1</v>
      </c>
    </row>
    <row r="3207" spans="1:33" x14ac:dyDescent="0.3">
      <c r="A3207" t="s">
        <v>5830</v>
      </c>
      <c r="B3207" s="13">
        <v>46072</v>
      </c>
      <c r="C3207">
        <v>2026</v>
      </c>
      <c r="D3207">
        <v>2</v>
      </c>
      <c r="E3207" t="s">
        <v>2849</v>
      </c>
      <c r="F3207" t="s">
        <v>2572</v>
      </c>
      <c r="G3207" t="s">
        <v>1175</v>
      </c>
      <c r="H3207" t="s">
        <v>1176</v>
      </c>
      <c r="I3207" t="s">
        <v>86</v>
      </c>
      <c r="J3207">
        <v>59</v>
      </c>
      <c r="K3207" t="s">
        <v>83</v>
      </c>
      <c r="L3207" t="s">
        <v>91</v>
      </c>
      <c r="M3207" t="s">
        <v>55</v>
      </c>
      <c r="N3207" t="s">
        <v>2606</v>
      </c>
      <c r="O3207" t="s">
        <v>120</v>
      </c>
      <c r="P3207" t="s">
        <v>49</v>
      </c>
      <c r="Q3207" t="s">
        <v>140</v>
      </c>
      <c r="R3207">
        <v>4</v>
      </c>
      <c r="S3207">
        <v>2799</v>
      </c>
      <c r="T3207">
        <v>0.1</v>
      </c>
      <c r="U3207">
        <v>10076.4</v>
      </c>
      <c r="V3207">
        <v>6600</v>
      </c>
      <c r="W3207">
        <v>3476.4</v>
      </c>
      <c r="X3207" t="s">
        <v>75</v>
      </c>
      <c r="Y3207" t="s">
        <v>68</v>
      </c>
      <c r="Z3207" t="s">
        <v>161</v>
      </c>
      <c r="AA3207" t="s">
        <v>167</v>
      </c>
      <c r="AB3207">
        <v>4.4000000000000004</v>
      </c>
      <c r="AC3207">
        <v>40</v>
      </c>
      <c r="AD3207">
        <v>692.32</v>
      </c>
      <c r="AE3207">
        <f t="shared" si="100"/>
        <v>2744.08</v>
      </c>
      <c r="AF3207" t="str">
        <f t="shared" si="101"/>
        <v>2026-02</v>
      </c>
      <c r="AG3207">
        <f>SUBTOTAL(103,A3207)</f>
        <v>1</v>
      </c>
    </row>
    <row r="3208" spans="1:33" x14ac:dyDescent="0.3">
      <c r="A3208" t="s">
        <v>5831</v>
      </c>
      <c r="B3208" s="13">
        <v>46072</v>
      </c>
      <c r="C3208">
        <v>2026</v>
      </c>
      <c r="D3208">
        <v>2</v>
      </c>
      <c r="E3208" t="s">
        <v>2849</v>
      </c>
      <c r="F3208" t="s">
        <v>2572</v>
      </c>
      <c r="G3208" t="s">
        <v>1795</v>
      </c>
      <c r="H3208" t="s">
        <v>1796</v>
      </c>
      <c r="I3208" t="s">
        <v>86</v>
      </c>
      <c r="J3208">
        <v>48</v>
      </c>
      <c r="K3208" t="s">
        <v>83</v>
      </c>
      <c r="L3208" t="s">
        <v>96</v>
      </c>
      <c r="M3208" t="s">
        <v>55</v>
      </c>
      <c r="N3208" t="s">
        <v>2582</v>
      </c>
      <c r="O3208" t="s">
        <v>119</v>
      </c>
      <c r="P3208" t="s">
        <v>49</v>
      </c>
      <c r="Q3208" t="s">
        <v>140</v>
      </c>
      <c r="R3208">
        <v>1</v>
      </c>
      <c r="S3208">
        <v>3499</v>
      </c>
      <c r="T3208">
        <v>0.2</v>
      </c>
      <c r="U3208">
        <v>2799.2</v>
      </c>
      <c r="V3208">
        <v>2100</v>
      </c>
      <c r="W3208">
        <v>699.2</v>
      </c>
      <c r="X3208" t="s">
        <v>73</v>
      </c>
      <c r="Y3208" t="s">
        <v>68</v>
      </c>
      <c r="Z3208" t="s">
        <v>162</v>
      </c>
      <c r="AA3208" t="s">
        <v>166</v>
      </c>
      <c r="AB3208">
        <v>3.6</v>
      </c>
      <c r="AC3208">
        <v>60</v>
      </c>
      <c r="AD3208">
        <v>118.13</v>
      </c>
      <c r="AE3208">
        <f t="shared" si="100"/>
        <v>521.07000000000005</v>
      </c>
      <c r="AF3208" t="str">
        <f t="shared" si="101"/>
        <v>2026-02</v>
      </c>
      <c r="AG3208">
        <f>SUBTOTAL(103,A3208)</f>
        <v>1</v>
      </c>
    </row>
    <row r="3209" spans="1:33" x14ac:dyDescent="0.3">
      <c r="A3209" t="s">
        <v>5832</v>
      </c>
      <c r="B3209" s="13">
        <v>46073</v>
      </c>
      <c r="C3209">
        <v>2026</v>
      </c>
      <c r="D3209">
        <v>2</v>
      </c>
      <c r="E3209" t="s">
        <v>2849</v>
      </c>
      <c r="F3209" t="s">
        <v>2572</v>
      </c>
      <c r="G3209" t="s">
        <v>647</v>
      </c>
      <c r="H3209" t="s">
        <v>648</v>
      </c>
      <c r="I3209" t="s">
        <v>85</v>
      </c>
      <c r="J3209">
        <v>52</v>
      </c>
      <c r="K3209" t="s">
        <v>83</v>
      </c>
      <c r="L3209" t="s">
        <v>2610</v>
      </c>
      <c r="M3209" t="s">
        <v>64</v>
      </c>
      <c r="N3209" t="s">
        <v>2582</v>
      </c>
      <c r="O3209" t="s">
        <v>119</v>
      </c>
      <c r="P3209" t="s">
        <v>49</v>
      </c>
      <c r="Q3209" t="s">
        <v>140</v>
      </c>
      <c r="R3209">
        <v>4</v>
      </c>
      <c r="S3209">
        <v>3499</v>
      </c>
      <c r="T3209">
        <v>0.05</v>
      </c>
      <c r="U3209">
        <v>13296.2</v>
      </c>
      <c r="V3209">
        <v>8400</v>
      </c>
      <c r="W3209">
        <v>4896.2</v>
      </c>
      <c r="X3209" t="s">
        <v>73</v>
      </c>
      <c r="Y3209" t="s">
        <v>68</v>
      </c>
      <c r="Z3209" t="s">
        <v>159</v>
      </c>
      <c r="AA3209" t="s">
        <v>166</v>
      </c>
      <c r="AB3209">
        <v>3.1</v>
      </c>
      <c r="AC3209">
        <v>60</v>
      </c>
      <c r="AD3209">
        <v>1139.3599999999999</v>
      </c>
      <c r="AE3209">
        <f t="shared" si="100"/>
        <v>3696.84</v>
      </c>
      <c r="AF3209" t="str">
        <f t="shared" si="101"/>
        <v>2026-02</v>
      </c>
      <c r="AG3209">
        <f>SUBTOTAL(103,A3209)</f>
        <v>1</v>
      </c>
    </row>
    <row r="3210" spans="1:33" x14ac:dyDescent="0.3">
      <c r="A3210" t="s">
        <v>5833</v>
      </c>
      <c r="B3210" s="13">
        <v>46073</v>
      </c>
      <c r="C3210">
        <v>2026</v>
      </c>
      <c r="D3210">
        <v>2</v>
      </c>
      <c r="E3210" t="s">
        <v>2849</v>
      </c>
      <c r="F3210" t="s">
        <v>2572</v>
      </c>
      <c r="G3210" t="s">
        <v>1455</v>
      </c>
      <c r="H3210" t="s">
        <v>1456</v>
      </c>
      <c r="I3210" t="s">
        <v>86</v>
      </c>
      <c r="J3210">
        <v>58</v>
      </c>
      <c r="K3210" t="s">
        <v>83</v>
      </c>
      <c r="L3210" t="s">
        <v>2634</v>
      </c>
      <c r="M3210" t="s">
        <v>56</v>
      </c>
      <c r="N3210" t="s">
        <v>2584</v>
      </c>
      <c r="O3210" t="s">
        <v>121</v>
      </c>
      <c r="P3210" t="s">
        <v>50</v>
      </c>
      <c r="Q3210" t="s">
        <v>144</v>
      </c>
      <c r="R3210">
        <v>1</v>
      </c>
      <c r="S3210">
        <v>2999</v>
      </c>
      <c r="T3210">
        <v>0.1</v>
      </c>
      <c r="U3210">
        <v>0</v>
      </c>
      <c r="V3210">
        <v>0</v>
      </c>
      <c r="W3210">
        <v>0</v>
      </c>
      <c r="X3210" t="s">
        <v>73</v>
      </c>
      <c r="Y3210" t="s">
        <v>71</v>
      </c>
      <c r="Z3210" t="s">
        <v>158</v>
      </c>
      <c r="AA3210" t="s">
        <v>166</v>
      </c>
      <c r="AB3210">
        <v>4</v>
      </c>
      <c r="AC3210">
        <v>100</v>
      </c>
      <c r="AD3210">
        <v>71.47</v>
      </c>
      <c r="AE3210">
        <f t="shared" si="100"/>
        <v>-171.47</v>
      </c>
      <c r="AF3210" t="str">
        <f t="shared" si="101"/>
        <v>2026-02</v>
      </c>
      <c r="AG3210">
        <f>SUBTOTAL(103,A3210)</f>
        <v>1</v>
      </c>
    </row>
    <row r="3211" spans="1:33" x14ac:dyDescent="0.3">
      <c r="A3211" t="s">
        <v>5834</v>
      </c>
      <c r="B3211" s="13">
        <v>46073</v>
      </c>
      <c r="C3211">
        <v>2026</v>
      </c>
      <c r="D3211">
        <v>2</v>
      </c>
      <c r="E3211" t="s">
        <v>2849</v>
      </c>
      <c r="F3211" t="s">
        <v>2572</v>
      </c>
      <c r="G3211" t="s">
        <v>461</v>
      </c>
      <c r="H3211" t="s">
        <v>462</v>
      </c>
      <c r="I3211" t="s">
        <v>85</v>
      </c>
      <c r="J3211">
        <v>56</v>
      </c>
      <c r="K3211" t="s">
        <v>83</v>
      </c>
      <c r="L3211" t="s">
        <v>99</v>
      </c>
      <c r="M3211" t="s">
        <v>58</v>
      </c>
      <c r="N3211" t="s">
        <v>2577</v>
      </c>
      <c r="O3211" t="s">
        <v>129</v>
      </c>
      <c r="P3211" t="s">
        <v>49</v>
      </c>
      <c r="Q3211" t="s">
        <v>149</v>
      </c>
      <c r="R3211">
        <v>2</v>
      </c>
      <c r="S3211">
        <v>1299</v>
      </c>
      <c r="T3211">
        <v>0.1</v>
      </c>
      <c r="U3211">
        <v>2338.1999999999998</v>
      </c>
      <c r="V3211">
        <v>1300</v>
      </c>
      <c r="W3211">
        <v>1038.2</v>
      </c>
      <c r="X3211" t="s">
        <v>76</v>
      </c>
      <c r="Y3211" t="s">
        <v>68</v>
      </c>
      <c r="Z3211" t="s">
        <v>162</v>
      </c>
      <c r="AA3211" t="s">
        <v>171</v>
      </c>
      <c r="AB3211">
        <v>4.3</v>
      </c>
      <c r="AC3211">
        <v>100</v>
      </c>
      <c r="AD3211">
        <v>231.29</v>
      </c>
      <c r="AE3211">
        <f t="shared" si="100"/>
        <v>706.91000000000008</v>
      </c>
      <c r="AF3211" t="str">
        <f t="shared" si="101"/>
        <v>2026-02</v>
      </c>
      <c r="AG3211">
        <f>SUBTOTAL(103,A3211)</f>
        <v>1</v>
      </c>
    </row>
    <row r="3212" spans="1:33" x14ac:dyDescent="0.3">
      <c r="A3212" t="s">
        <v>5835</v>
      </c>
      <c r="B3212" s="13">
        <v>46073</v>
      </c>
      <c r="C3212">
        <v>2026</v>
      </c>
      <c r="D3212">
        <v>2</v>
      </c>
      <c r="E3212" t="s">
        <v>2849</v>
      </c>
      <c r="F3212" t="s">
        <v>2572</v>
      </c>
      <c r="G3212" t="s">
        <v>1257</v>
      </c>
      <c r="H3212" t="s">
        <v>1258</v>
      </c>
      <c r="I3212" t="s">
        <v>85</v>
      </c>
      <c r="J3212">
        <v>46</v>
      </c>
      <c r="K3212" t="s">
        <v>83</v>
      </c>
      <c r="L3212" t="s">
        <v>100</v>
      </c>
      <c r="M3212" t="s">
        <v>56</v>
      </c>
      <c r="N3212" t="s">
        <v>2594</v>
      </c>
      <c r="O3212" t="s">
        <v>131</v>
      </c>
      <c r="P3212" t="s">
        <v>53</v>
      </c>
      <c r="Q3212" t="s">
        <v>143</v>
      </c>
      <c r="R3212">
        <v>3</v>
      </c>
      <c r="S3212">
        <v>999</v>
      </c>
      <c r="T3212">
        <v>0</v>
      </c>
      <c r="U3212">
        <v>2997</v>
      </c>
      <c r="V3212">
        <v>1560</v>
      </c>
      <c r="W3212">
        <v>1437</v>
      </c>
      <c r="X3212" t="s">
        <v>74</v>
      </c>
      <c r="Y3212" t="s">
        <v>70</v>
      </c>
      <c r="Z3212" t="s">
        <v>158</v>
      </c>
      <c r="AA3212" t="s">
        <v>166</v>
      </c>
      <c r="AB3212">
        <v>3.5</v>
      </c>
      <c r="AC3212">
        <v>60</v>
      </c>
      <c r="AD3212">
        <v>339.45</v>
      </c>
      <c r="AE3212">
        <f t="shared" si="100"/>
        <v>1037.55</v>
      </c>
      <c r="AF3212" t="str">
        <f t="shared" si="101"/>
        <v>2026-02</v>
      </c>
      <c r="AG3212">
        <f>SUBTOTAL(103,A3212)</f>
        <v>1</v>
      </c>
    </row>
    <row r="3213" spans="1:33" x14ac:dyDescent="0.3">
      <c r="A3213" t="s">
        <v>5836</v>
      </c>
      <c r="B3213" s="13">
        <v>46073</v>
      </c>
      <c r="C3213">
        <v>2026</v>
      </c>
      <c r="D3213">
        <v>2</v>
      </c>
      <c r="E3213" t="s">
        <v>2849</v>
      </c>
      <c r="F3213" t="s">
        <v>2572</v>
      </c>
      <c r="G3213" t="s">
        <v>1987</v>
      </c>
      <c r="H3213" t="s">
        <v>1988</v>
      </c>
      <c r="I3213" t="s">
        <v>86</v>
      </c>
      <c r="J3213">
        <v>26</v>
      </c>
      <c r="K3213" t="s">
        <v>81</v>
      </c>
      <c r="L3213" t="s">
        <v>90</v>
      </c>
      <c r="M3213" t="s">
        <v>55</v>
      </c>
      <c r="N3213" t="s">
        <v>2584</v>
      </c>
      <c r="O3213" t="s">
        <v>121</v>
      </c>
      <c r="P3213" t="s">
        <v>50</v>
      </c>
      <c r="Q3213" t="s">
        <v>144</v>
      </c>
      <c r="R3213">
        <v>1</v>
      </c>
      <c r="S3213">
        <v>2999</v>
      </c>
      <c r="T3213">
        <v>0</v>
      </c>
      <c r="U3213">
        <v>2999</v>
      </c>
      <c r="V3213">
        <v>1700</v>
      </c>
      <c r="W3213">
        <v>1299</v>
      </c>
      <c r="X3213" t="s">
        <v>73</v>
      </c>
      <c r="Y3213" t="s">
        <v>68</v>
      </c>
      <c r="Z3213" t="s">
        <v>161</v>
      </c>
      <c r="AA3213" t="s">
        <v>167</v>
      </c>
      <c r="AB3213">
        <v>5</v>
      </c>
      <c r="AC3213">
        <v>60</v>
      </c>
      <c r="AD3213">
        <v>193.41</v>
      </c>
      <c r="AE3213">
        <f t="shared" si="100"/>
        <v>1045.5899999999999</v>
      </c>
      <c r="AF3213" t="str">
        <f t="shared" si="101"/>
        <v>2026-02</v>
      </c>
      <c r="AG3213">
        <f>SUBTOTAL(103,A3213)</f>
        <v>1</v>
      </c>
    </row>
    <row r="3214" spans="1:33" x14ac:dyDescent="0.3">
      <c r="A3214" t="s">
        <v>5837</v>
      </c>
      <c r="B3214" s="13">
        <v>46073</v>
      </c>
      <c r="C3214">
        <v>2026</v>
      </c>
      <c r="D3214">
        <v>2</v>
      </c>
      <c r="E3214" t="s">
        <v>2849</v>
      </c>
      <c r="F3214" t="s">
        <v>2572</v>
      </c>
      <c r="G3214" t="s">
        <v>1763</v>
      </c>
      <c r="H3214" t="s">
        <v>1764</v>
      </c>
      <c r="I3214" t="s">
        <v>85</v>
      </c>
      <c r="J3214">
        <v>24</v>
      </c>
      <c r="K3214" t="s">
        <v>80</v>
      </c>
      <c r="L3214" t="s">
        <v>90</v>
      </c>
      <c r="M3214" t="s">
        <v>55</v>
      </c>
      <c r="N3214" t="s">
        <v>2647</v>
      </c>
      <c r="O3214" t="s">
        <v>133</v>
      </c>
      <c r="P3214" t="s">
        <v>50</v>
      </c>
      <c r="Q3214" t="s">
        <v>145</v>
      </c>
      <c r="R3214">
        <v>4</v>
      </c>
      <c r="S3214">
        <v>799</v>
      </c>
      <c r="T3214">
        <v>0</v>
      </c>
      <c r="U3214">
        <v>3196</v>
      </c>
      <c r="V3214">
        <v>1560</v>
      </c>
      <c r="W3214">
        <v>1636</v>
      </c>
      <c r="X3214" t="s">
        <v>77</v>
      </c>
      <c r="Y3214" t="s">
        <v>70</v>
      </c>
      <c r="Z3214" t="s">
        <v>162</v>
      </c>
      <c r="AA3214" t="s">
        <v>170</v>
      </c>
      <c r="AB3214">
        <v>4.9000000000000004</v>
      </c>
      <c r="AC3214">
        <v>80</v>
      </c>
      <c r="AD3214">
        <v>317.64999999999998</v>
      </c>
      <c r="AE3214">
        <f t="shared" si="100"/>
        <v>1238.3499999999999</v>
      </c>
      <c r="AF3214" t="str">
        <f t="shared" si="101"/>
        <v>2026-02</v>
      </c>
      <c r="AG3214">
        <f>SUBTOTAL(103,A3214)</f>
        <v>1</v>
      </c>
    </row>
    <row r="3215" spans="1:33" x14ac:dyDescent="0.3">
      <c r="A3215" t="s">
        <v>5838</v>
      </c>
      <c r="B3215" s="13">
        <v>46073</v>
      </c>
      <c r="C3215">
        <v>2026</v>
      </c>
      <c r="D3215">
        <v>2</v>
      </c>
      <c r="E3215" t="s">
        <v>2849</v>
      </c>
      <c r="F3215" t="s">
        <v>2572</v>
      </c>
      <c r="G3215" t="s">
        <v>1649</v>
      </c>
      <c r="H3215" t="s">
        <v>1650</v>
      </c>
      <c r="I3215" t="s">
        <v>85</v>
      </c>
      <c r="J3215">
        <v>45</v>
      </c>
      <c r="K3215" t="s">
        <v>82</v>
      </c>
      <c r="L3215" t="s">
        <v>2605</v>
      </c>
      <c r="M3215" t="s">
        <v>60</v>
      </c>
      <c r="N3215" t="s">
        <v>2582</v>
      </c>
      <c r="O3215" t="s">
        <v>119</v>
      </c>
      <c r="P3215" t="s">
        <v>49</v>
      </c>
      <c r="Q3215" t="s">
        <v>140</v>
      </c>
      <c r="R3215">
        <v>2</v>
      </c>
      <c r="S3215">
        <v>3499</v>
      </c>
      <c r="T3215">
        <v>0.1</v>
      </c>
      <c r="U3215">
        <v>6298.2</v>
      </c>
      <c r="V3215">
        <v>4200</v>
      </c>
      <c r="W3215">
        <v>2098.1999999999998</v>
      </c>
      <c r="X3215" t="s">
        <v>76</v>
      </c>
      <c r="Y3215" t="s">
        <v>68</v>
      </c>
      <c r="Z3215" t="s">
        <v>159</v>
      </c>
      <c r="AA3215" t="s">
        <v>166</v>
      </c>
      <c r="AB3215">
        <v>3.1</v>
      </c>
      <c r="AC3215">
        <v>100</v>
      </c>
      <c r="AD3215">
        <v>136.15</v>
      </c>
      <c r="AE3215">
        <f t="shared" si="100"/>
        <v>1862.0499999999997</v>
      </c>
      <c r="AF3215" t="str">
        <f t="shared" si="101"/>
        <v>2026-02</v>
      </c>
      <c r="AG3215">
        <f>SUBTOTAL(103,A3215)</f>
        <v>1</v>
      </c>
    </row>
    <row r="3216" spans="1:33" x14ac:dyDescent="0.3">
      <c r="A3216" t="s">
        <v>5839</v>
      </c>
      <c r="B3216" s="13">
        <v>46073</v>
      </c>
      <c r="C3216">
        <v>2026</v>
      </c>
      <c r="D3216">
        <v>2</v>
      </c>
      <c r="E3216" t="s">
        <v>2849</v>
      </c>
      <c r="F3216" t="s">
        <v>2572</v>
      </c>
      <c r="G3216" t="s">
        <v>907</v>
      </c>
      <c r="H3216" t="s">
        <v>908</v>
      </c>
      <c r="I3216" t="s">
        <v>85</v>
      </c>
      <c r="J3216">
        <v>60</v>
      </c>
      <c r="K3216" t="s">
        <v>83</v>
      </c>
      <c r="L3216" t="s">
        <v>2586</v>
      </c>
      <c r="M3216" t="s">
        <v>62</v>
      </c>
      <c r="N3216" t="s">
        <v>2630</v>
      </c>
      <c r="O3216" t="s">
        <v>123</v>
      </c>
      <c r="P3216" t="s">
        <v>52</v>
      </c>
      <c r="Q3216" t="s">
        <v>146</v>
      </c>
      <c r="R3216">
        <v>1</v>
      </c>
      <c r="S3216">
        <v>2499</v>
      </c>
      <c r="T3216">
        <v>0.05</v>
      </c>
      <c r="U3216">
        <v>2374.0500000000002</v>
      </c>
      <c r="V3216">
        <v>1400</v>
      </c>
      <c r="W3216">
        <v>974.05</v>
      </c>
      <c r="X3216" t="s">
        <v>73</v>
      </c>
      <c r="Y3216" t="s">
        <v>68</v>
      </c>
      <c r="Z3216" t="s">
        <v>159</v>
      </c>
      <c r="AA3216" t="s">
        <v>167</v>
      </c>
      <c r="AB3216">
        <v>3.9</v>
      </c>
      <c r="AC3216">
        <v>60</v>
      </c>
      <c r="AD3216">
        <v>252.55</v>
      </c>
      <c r="AE3216">
        <f t="shared" si="100"/>
        <v>661.5</v>
      </c>
      <c r="AF3216" t="str">
        <f t="shared" si="101"/>
        <v>2026-02</v>
      </c>
      <c r="AG3216">
        <f>SUBTOTAL(103,A3216)</f>
        <v>1</v>
      </c>
    </row>
    <row r="3217" spans="1:33" x14ac:dyDescent="0.3">
      <c r="A3217" t="s">
        <v>5840</v>
      </c>
      <c r="B3217" s="13">
        <v>46073</v>
      </c>
      <c r="C3217">
        <v>2026</v>
      </c>
      <c r="D3217">
        <v>2</v>
      </c>
      <c r="E3217" t="s">
        <v>2849</v>
      </c>
      <c r="F3217" t="s">
        <v>2572</v>
      </c>
      <c r="G3217" t="s">
        <v>741</v>
      </c>
      <c r="H3217" t="s">
        <v>742</v>
      </c>
      <c r="I3217" t="s">
        <v>85</v>
      </c>
      <c r="J3217">
        <v>30</v>
      </c>
      <c r="K3217" t="s">
        <v>81</v>
      </c>
      <c r="L3217" t="s">
        <v>2579</v>
      </c>
      <c r="M3217" t="s">
        <v>56</v>
      </c>
      <c r="N3217" t="s">
        <v>2594</v>
      </c>
      <c r="O3217" t="s">
        <v>131</v>
      </c>
      <c r="P3217" t="s">
        <v>53</v>
      </c>
      <c r="Q3217" t="s">
        <v>143</v>
      </c>
      <c r="R3217">
        <v>1</v>
      </c>
      <c r="S3217">
        <v>999</v>
      </c>
      <c r="T3217">
        <v>0.05</v>
      </c>
      <c r="U3217">
        <v>949.05</v>
      </c>
      <c r="V3217">
        <v>520</v>
      </c>
      <c r="W3217">
        <v>429.05</v>
      </c>
      <c r="X3217" t="s">
        <v>77</v>
      </c>
      <c r="Y3217" t="s">
        <v>68</v>
      </c>
      <c r="Z3217" t="s">
        <v>160</v>
      </c>
      <c r="AA3217" t="s">
        <v>171</v>
      </c>
      <c r="AB3217">
        <v>4.5</v>
      </c>
      <c r="AC3217">
        <v>50</v>
      </c>
      <c r="AD3217">
        <v>99.13</v>
      </c>
      <c r="AE3217">
        <f t="shared" si="100"/>
        <v>279.92</v>
      </c>
      <c r="AF3217" t="str">
        <f t="shared" si="101"/>
        <v>2026-02</v>
      </c>
      <c r="AG3217">
        <f>SUBTOTAL(103,A3217)</f>
        <v>1</v>
      </c>
    </row>
    <row r="3218" spans="1:33" x14ac:dyDescent="0.3">
      <c r="A3218" t="s">
        <v>5841</v>
      </c>
      <c r="B3218" s="13">
        <v>46073</v>
      </c>
      <c r="C3218">
        <v>2026</v>
      </c>
      <c r="D3218">
        <v>2</v>
      </c>
      <c r="E3218" t="s">
        <v>2849</v>
      </c>
      <c r="F3218" t="s">
        <v>2572</v>
      </c>
      <c r="G3218" t="s">
        <v>475</v>
      </c>
      <c r="H3218" t="s">
        <v>476</v>
      </c>
      <c r="I3218" t="s">
        <v>86</v>
      </c>
      <c r="J3218">
        <v>26</v>
      </c>
      <c r="K3218" t="s">
        <v>81</v>
      </c>
      <c r="L3218" t="s">
        <v>100</v>
      </c>
      <c r="M3218" t="s">
        <v>56</v>
      </c>
      <c r="N3218" t="s">
        <v>2603</v>
      </c>
      <c r="O3218" t="s">
        <v>122</v>
      </c>
      <c r="P3218" t="s">
        <v>48</v>
      </c>
      <c r="Q3218" t="s">
        <v>141</v>
      </c>
      <c r="R3218">
        <v>2</v>
      </c>
      <c r="S3218">
        <v>2499</v>
      </c>
      <c r="T3218">
        <v>0.1</v>
      </c>
      <c r="U3218">
        <v>4498.2</v>
      </c>
      <c r="V3218">
        <v>2900</v>
      </c>
      <c r="W3218">
        <v>1598.2</v>
      </c>
      <c r="X3218" t="s">
        <v>76</v>
      </c>
      <c r="Y3218" t="s">
        <v>68</v>
      </c>
      <c r="Z3218" t="s">
        <v>160</v>
      </c>
      <c r="AA3218" t="s">
        <v>166</v>
      </c>
      <c r="AB3218">
        <v>4.7</v>
      </c>
      <c r="AC3218">
        <v>50</v>
      </c>
      <c r="AD3218">
        <v>246.28</v>
      </c>
      <c r="AE3218">
        <f t="shared" si="100"/>
        <v>1301.92</v>
      </c>
      <c r="AF3218" t="str">
        <f t="shared" si="101"/>
        <v>2026-02</v>
      </c>
      <c r="AG3218">
        <f>SUBTOTAL(103,A3218)</f>
        <v>1</v>
      </c>
    </row>
    <row r="3219" spans="1:33" x14ac:dyDescent="0.3">
      <c r="A3219" t="s">
        <v>5842</v>
      </c>
      <c r="B3219" s="13">
        <v>46073</v>
      </c>
      <c r="C3219">
        <v>2026</v>
      </c>
      <c r="D3219">
        <v>2</v>
      </c>
      <c r="E3219" t="s">
        <v>2849</v>
      </c>
      <c r="F3219" t="s">
        <v>2572</v>
      </c>
      <c r="G3219" t="s">
        <v>2305</v>
      </c>
      <c r="H3219" t="s">
        <v>2306</v>
      </c>
      <c r="I3219" t="s">
        <v>86</v>
      </c>
      <c r="J3219">
        <v>19</v>
      </c>
      <c r="K3219" t="s">
        <v>80</v>
      </c>
      <c r="L3219" t="s">
        <v>90</v>
      </c>
      <c r="M3219" t="s">
        <v>55</v>
      </c>
      <c r="N3219" t="s">
        <v>2626</v>
      </c>
      <c r="O3219" t="s">
        <v>125</v>
      </c>
      <c r="P3219" t="s">
        <v>48</v>
      </c>
      <c r="Q3219" t="s">
        <v>141</v>
      </c>
      <c r="R3219">
        <v>1</v>
      </c>
      <c r="S3219">
        <v>1999</v>
      </c>
      <c r="T3219">
        <v>0.2</v>
      </c>
      <c r="U3219">
        <v>1599.2</v>
      </c>
      <c r="V3219">
        <v>1150</v>
      </c>
      <c r="W3219">
        <v>449.2</v>
      </c>
      <c r="X3219" t="s">
        <v>75</v>
      </c>
      <c r="Y3219" t="s">
        <v>68</v>
      </c>
      <c r="Z3219" t="s">
        <v>160</v>
      </c>
      <c r="AA3219" t="s">
        <v>166</v>
      </c>
      <c r="AB3219">
        <v>4</v>
      </c>
      <c r="AC3219">
        <v>60</v>
      </c>
      <c r="AD3219">
        <v>96.32</v>
      </c>
      <c r="AE3219">
        <f t="shared" si="100"/>
        <v>292.88</v>
      </c>
      <c r="AF3219" t="str">
        <f t="shared" si="101"/>
        <v>2026-02</v>
      </c>
      <c r="AG3219">
        <f>SUBTOTAL(103,A3219)</f>
        <v>1</v>
      </c>
    </row>
    <row r="3220" spans="1:33" x14ac:dyDescent="0.3">
      <c r="A3220" t="s">
        <v>5843</v>
      </c>
      <c r="B3220" s="13">
        <v>46074</v>
      </c>
      <c r="C3220">
        <v>2026</v>
      </c>
      <c r="D3220">
        <v>2</v>
      </c>
      <c r="E3220" t="s">
        <v>2849</v>
      </c>
      <c r="F3220" t="s">
        <v>2572</v>
      </c>
      <c r="G3220" t="s">
        <v>1327</v>
      </c>
      <c r="H3220" t="s">
        <v>1328</v>
      </c>
      <c r="I3220" t="s">
        <v>85</v>
      </c>
      <c r="J3220">
        <v>44</v>
      </c>
      <c r="K3220" t="s">
        <v>82</v>
      </c>
      <c r="L3220" t="s">
        <v>2610</v>
      </c>
      <c r="M3220" t="s">
        <v>64</v>
      </c>
      <c r="N3220" t="s">
        <v>2653</v>
      </c>
      <c r="O3220" t="s">
        <v>132</v>
      </c>
      <c r="P3220" t="s">
        <v>52</v>
      </c>
      <c r="Q3220" t="s">
        <v>150</v>
      </c>
      <c r="R3220">
        <v>1</v>
      </c>
      <c r="S3220">
        <v>899</v>
      </c>
      <c r="T3220">
        <v>0.1</v>
      </c>
      <c r="U3220">
        <v>809.1</v>
      </c>
      <c r="V3220">
        <v>420</v>
      </c>
      <c r="W3220">
        <v>389.1</v>
      </c>
      <c r="X3220" t="s">
        <v>74</v>
      </c>
      <c r="Y3220" t="s">
        <v>69</v>
      </c>
      <c r="Z3220" t="s">
        <v>163</v>
      </c>
      <c r="AA3220" t="s">
        <v>170</v>
      </c>
      <c r="AB3220">
        <v>3.8</v>
      </c>
      <c r="AC3220">
        <v>100</v>
      </c>
      <c r="AD3220">
        <v>30.59</v>
      </c>
      <c r="AE3220">
        <f t="shared" si="100"/>
        <v>258.51000000000005</v>
      </c>
      <c r="AF3220" t="str">
        <f t="shared" si="101"/>
        <v>2026-02</v>
      </c>
      <c r="AG3220">
        <f>SUBTOTAL(103,A3220)</f>
        <v>1</v>
      </c>
    </row>
    <row r="3221" spans="1:33" x14ac:dyDescent="0.3">
      <c r="A3221" t="s">
        <v>5844</v>
      </c>
      <c r="B3221" s="13">
        <v>46074</v>
      </c>
      <c r="C3221">
        <v>2026</v>
      </c>
      <c r="D3221">
        <v>2</v>
      </c>
      <c r="E3221" t="s">
        <v>2849</v>
      </c>
      <c r="F3221" t="s">
        <v>2572</v>
      </c>
      <c r="G3221" t="s">
        <v>875</v>
      </c>
      <c r="H3221" t="s">
        <v>876</v>
      </c>
      <c r="I3221" t="s">
        <v>85</v>
      </c>
      <c r="J3221">
        <v>45</v>
      </c>
      <c r="K3221" t="s">
        <v>82</v>
      </c>
      <c r="L3221" t="s">
        <v>2674</v>
      </c>
      <c r="M3221" t="s">
        <v>58</v>
      </c>
      <c r="N3221" t="s">
        <v>2587</v>
      </c>
      <c r="O3221" t="s">
        <v>116</v>
      </c>
      <c r="P3221" t="s">
        <v>48</v>
      </c>
      <c r="Q3221" t="s">
        <v>138</v>
      </c>
      <c r="R3221">
        <v>1</v>
      </c>
      <c r="S3221">
        <v>14999</v>
      </c>
      <c r="T3221">
        <v>0.1</v>
      </c>
      <c r="U3221">
        <v>13499.1</v>
      </c>
      <c r="V3221">
        <v>11200</v>
      </c>
      <c r="W3221">
        <v>2299.1</v>
      </c>
      <c r="X3221" t="s">
        <v>74</v>
      </c>
      <c r="Y3221" t="s">
        <v>68</v>
      </c>
      <c r="Z3221" t="s">
        <v>163</v>
      </c>
      <c r="AA3221" t="s">
        <v>167</v>
      </c>
      <c r="AB3221">
        <v>4</v>
      </c>
      <c r="AC3221">
        <v>50</v>
      </c>
      <c r="AD3221">
        <v>1609.48</v>
      </c>
      <c r="AE3221">
        <f t="shared" si="100"/>
        <v>639.61999999999989</v>
      </c>
      <c r="AF3221" t="str">
        <f t="shared" si="101"/>
        <v>2026-02</v>
      </c>
      <c r="AG3221">
        <f>SUBTOTAL(103,A3221)</f>
        <v>1</v>
      </c>
    </row>
    <row r="3222" spans="1:33" x14ac:dyDescent="0.3">
      <c r="A3222" t="s">
        <v>5845</v>
      </c>
      <c r="B3222" s="13">
        <v>46074</v>
      </c>
      <c r="C3222">
        <v>2026</v>
      </c>
      <c r="D3222">
        <v>2</v>
      </c>
      <c r="E3222" t="s">
        <v>2849</v>
      </c>
      <c r="F3222" t="s">
        <v>2572</v>
      </c>
      <c r="G3222" t="s">
        <v>399</v>
      </c>
      <c r="H3222" t="s">
        <v>400</v>
      </c>
      <c r="I3222" t="s">
        <v>86</v>
      </c>
      <c r="J3222">
        <v>29</v>
      </c>
      <c r="K3222" t="s">
        <v>81</v>
      </c>
      <c r="L3222" t="s">
        <v>2679</v>
      </c>
      <c r="M3222" t="s">
        <v>60</v>
      </c>
      <c r="N3222" t="s">
        <v>2596</v>
      </c>
      <c r="O3222" t="s">
        <v>124</v>
      </c>
      <c r="P3222" t="s">
        <v>51</v>
      </c>
      <c r="Q3222" t="s">
        <v>147</v>
      </c>
      <c r="R3222">
        <v>3</v>
      </c>
      <c r="S3222">
        <v>2299</v>
      </c>
      <c r="T3222">
        <v>0.15</v>
      </c>
      <c r="U3222">
        <v>5862.45</v>
      </c>
      <c r="V3222">
        <v>3600</v>
      </c>
      <c r="W3222">
        <v>2262.4499999999998</v>
      </c>
      <c r="X3222" t="s">
        <v>73</v>
      </c>
      <c r="Y3222" t="s">
        <v>69</v>
      </c>
      <c r="Z3222" t="s">
        <v>161</v>
      </c>
      <c r="AA3222" t="s">
        <v>170</v>
      </c>
      <c r="AB3222">
        <v>2.9</v>
      </c>
      <c r="AC3222">
        <v>60</v>
      </c>
      <c r="AD3222">
        <v>358.96</v>
      </c>
      <c r="AE3222">
        <f t="shared" si="100"/>
        <v>1843.4899999999998</v>
      </c>
      <c r="AF3222" t="str">
        <f t="shared" si="101"/>
        <v>2026-02</v>
      </c>
      <c r="AG3222">
        <f>SUBTOTAL(103,A3222)</f>
        <v>1</v>
      </c>
    </row>
    <row r="3223" spans="1:33" x14ac:dyDescent="0.3">
      <c r="A3223" t="s">
        <v>5846</v>
      </c>
      <c r="B3223" s="13">
        <v>46074</v>
      </c>
      <c r="C3223">
        <v>2026</v>
      </c>
      <c r="D3223">
        <v>2</v>
      </c>
      <c r="E3223" t="s">
        <v>2849</v>
      </c>
      <c r="F3223" t="s">
        <v>2572</v>
      </c>
      <c r="G3223" t="s">
        <v>1477</v>
      </c>
      <c r="H3223" t="s">
        <v>1478</v>
      </c>
      <c r="I3223" t="s">
        <v>86</v>
      </c>
      <c r="J3223">
        <v>60</v>
      </c>
      <c r="K3223" t="s">
        <v>83</v>
      </c>
      <c r="L3223" t="s">
        <v>92</v>
      </c>
      <c r="M3223" t="s">
        <v>59</v>
      </c>
      <c r="N3223" t="s">
        <v>2580</v>
      </c>
      <c r="O3223" t="s">
        <v>118</v>
      </c>
      <c r="P3223" t="s">
        <v>48</v>
      </c>
      <c r="Q3223" t="s">
        <v>142</v>
      </c>
      <c r="R3223">
        <v>5</v>
      </c>
      <c r="S3223">
        <v>3999</v>
      </c>
      <c r="T3223">
        <v>0.1</v>
      </c>
      <c r="U3223">
        <v>17995.5</v>
      </c>
      <c r="V3223">
        <v>12000</v>
      </c>
      <c r="W3223">
        <v>5995.5</v>
      </c>
      <c r="X3223" t="s">
        <v>73</v>
      </c>
      <c r="Y3223" t="s">
        <v>69</v>
      </c>
      <c r="Z3223" t="s">
        <v>158</v>
      </c>
      <c r="AA3223" t="s">
        <v>169</v>
      </c>
      <c r="AB3223">
        <v>4</v>
      </c>
      <c r="AC3223">
        <v>80</v>
      </c>
      <c r="AD3223">
        <v>1694.11</v>
      </c>
      <c r="AE3223">
        <f t="shared" si="100"/>
        <v>4221.3900000000003</v>
      </c>
      <c r="AF3223" t="str">
        <f t="shared" si="101"/>
        <v>2026-02</v>
      </c>
      <c r="AG3223">
        <f>SUBTOTAL(103,A3223)</f>
        <v>1</v>
      </c>
    </row>
    <row r="3224" spans="1:33" x14ac:dyDescent="0.3">
      <c r="A3224" t="s">
        <v>5847</v>
      </c>
      <c r="B3224" s="13">
        <v>46074</v>
      </c>
      <c r="C3224">
        <v>2026</v>
      </c>
      <c r="D3224">
        <v>2</v>
      </c>
      <c r="E3224" t="s">
        <v>2849</v>
      </c>
      <c r="F3224" t="s">
        <v>2572</v>
      </c>
      <c r="G3224" t="s">
        <v>841</v>
      </c>
      <c r="H3224" t="s">
        <v>842</v>
      </c>
      <c r="I3224" t="s">
        <v>86</v>
      </c>
      <c r="J3224">
        <v>49</v>
      </c>
      <c r="K3224" t="s">
        <v>83</v>
      </c>
      <c r="L3224" t="s">
        <v>2661</v>
      </c>
      <c r="M3224" t="s">
        <v>58</v>
      </c>
      <c r="N3224" t="s">
        <v>2665</v>
      </c>
      <c r="O3224" t="s">
        <v>128</v>
      </c>
      <c r="P3224" t="s">
        <v>53</v>
      </c>
      <c r="Q3224" t="s">
        <v>143</v>
      </c>
      <c r="R3224">
        <v>1</v>
      </c>
      <c r="S3224">
        <v>1499</v>
      </c>
      <c r="T3224">
        <v>0</v>
      </c>
      <c r="U3224">
        <v>1499</v>
      </c>
      <c r="V3224">
        <v>800</v>
      </c>
      <c r="W3224">
        <v>699</v>
      </c>
      <c r="X3224" t="s">
        <v>73</v>
      </c>
      <c r="Y3224" t="s">
        <v>68</v>
      </c>
      <c r="Z3224" t="s">
        <v>159</v>
      </c>
      <c r="AA3224" t="s">
        <v>166</v>
      </c>
      <c r="AB3224">
        <v>4.5</v>
      </c>
      <c r="AC3224">
        <v>60</v>
      </c>
      <c r="AD3224">
        <v>111.87</v>
      </c>
      <c r="AE3224">
        <f t="shared" si="100"/>
        <v>527.13</v>
      </c>
      <c r="AF3224" t="str">
        <f t="shared" si="101"/>
        <v>2026-02</v>
      </c>
      <c r="AG3224">
        <f>SUBTOTAL(103,A3224)</f>
        <v>1</v>
      </c>
    </row>
    <row r="3225" spans="1:33" x14ac:dyDescent="0.3">
      <c r="A3225" t="s">
        <v>5848</v>
      </c>
      <c r="B3225" s="13">
        <v>46074</v>
      </c>
      <c r="C3225">
        <v>2026</v>
      </c>
      <c r="D3225">
        <v>2</v>
      </c>
      <c r="E3225" t="s">
        <v>2849</v>
      </c>
      <c r="F3225" t="s">
        <v>2572</v>
      </c>
      <c r="G3225" t="s">
        <v>225</v>
      </c>
      <c r="H3225" t="s">
        <v>226</v>
      </c>
      <c r="I3225" t="s">
        <v>86</v>
      </c>
      <c r="J3225">
        <v>38</v>
      </c>
      <c r="K3225" t="s">
        <v>82</v>
      </c>
      <c r="L3225" t="s">
        <v>59</v>
      </c>
      <c r="M3225" t="s">
        <v>59</v>
      </c>
      <c r="N3225" t="s">
        <v>2584</v>
      </c>
      <c r="O3225" t="s">
        <v>121</v>
      </c>
      <c r="P3225" t="s">
        <v>50</v>
      </c>
      <c r="Q3225" t="s">
        <v>144</v>
      </c>
      <c r="R3225">
        <v>4</v>
      </c>
      <c r="S3225">
        <v>2999</v>
      </c>
      <c r="T3225">
        <v>0.05</v>
      </c>
      <c r="U3225">
        <v>11396.2</v>
      </c>
      <c r="V3225">
        <v>6800</v>
      </c>
      <c r="W3225">
        <v>4596.2</v>
      </c>
      <c r="X3225" t="s">
        <v>73</v>
      </c>
      <c r="Y3225" t="s">
        <v>68</v>
      </c>
      <c r="Z3225" t="s">
        <v>163</v>
      </c>
      <c r="AA3225" t="s">
        <v>167</v>
      </c>
      <c r="AB3225">
        <v>4.2</v>
      </c>
      <c r="AC3225">
        <v>40</v>
      </c>
      <c r="AD3225">
        <v>697.08</v>
      </c>
      <c r="AE3225">
        <f t="shared" si="100"/>
        <v>3859.12</v>
      </c>
      <c r="AF3225" t="str">
        <f t="shared" si="101"/>
        <v>2026-02</v>
      </c>
      <c r="AG3225">
        <f>SUBTOTAL(103,A3225)</f>
        <v>1</v>
      </c>
    </row>
    <row r="3226" spans="1:33" x14ac:dyDescent="0.3">
      <c r="A3226" t="s">
        <v>5849</v>
      </c>
      <c r="B3226" s="13">
        <v>46074</v>
      </c>
      <c r="C3226">
        <v>2026</v>
      </c>
      <c r="D3226">
        <v>2</v>
      </c>
      <c r="E3226" t="s">
        <v>2849</v>
      </c>
      <c r="F3226" t="s">
        <v>2572</v>
      </c>
      <c r="G3226" t="s">
        <v>765</v>
      </c>
      <c r="H3226" t="s">
        <v>766</v>
      </c>
      <c r="I3226" t="s">
        <v>86</v>
      </c>
      <c r="J3226">
        <v>36</v>
      </c>
      <c r="K3226" t="s">
        <v>82</v>
      </c>
      <c r="L3226" t="s">
        <v>96</v>
      </c>
      <c r="M3226" t="s">
        <v>55</v>
      </c>
      <c r="N3226" t="s">
        <v>2665</v>
      </c>
      <c r="O3226" t="s">
        <v>128</v>
      </c>
      <c r="P3226" t="s">
        <v>53</v>
      </c>
      <c r="Q3226" t="s">
        <v>143</v>
      </c>
      <c r="R3226">
        <v>4</v>
      </c>
      <c r="S3226">
        <v>1499</v>
      </c>
      <c r="T3226">
        <v>0.1</v>
      </c>
      <c r="U3226">
        <v>5396.4</v>
      </c>
      <c r="V3226">
        <v>3200</v>
      </c>
      <c r="W3226">
        <v>2196.4</v>
      </c>
      <c r="X3226" t="s">
        <v>76</v>
      </c>
      <c r="Y3226" t="s">
        <v>68</v>
      </c>
      <c r="Z3226" t="s">
        <v>158</v>
      </c>
      <c r="AA3226" t="s">
        <v>166</v>
      </c>
      <c r="AB3226">
        <v>4.5999999999999996</v>
      </c>
      <c r="AC3226">
        <v>40</v>
      </c>
      <c r="AD3226">
        <v>152.43</v>
      </c>
      <c r="AE3226">
        <f t="shared" si="100"/>
        <v>2003.97</v>
      </c>
      <c r="AF3226" t="str">
        <f t="shared" si="101"/>
        <v>2026-02</v>
      </c>
      <c r="AG3226">
        <f>SUBTOTAL(103,A3226)</f>
        <v>1</v>
      </c>
    </row>
    <row r="3227" spans="1:33" x14ac:dyDescent="0.3">
      <c r="A3227" t="s">
        <v>5850</v>
      </c>
      <c r="B3227" s="13">
        <v>46074</v>
      </c>
      <c r="C3227">
        <v>2026</v>
      </c>
      <c r="D3227">
        <v>2</v>
      </c>
      <c r="E3227" t="s">
        <v>2849</v>
      </c>
      <c r="F3227" t="s">
        <v>2572</v>
      </c>
      <c r="G3227" t="s">
        <v>1617</v>
      </c>
      <c r="H3227" t="s">
        <v>1618</v>
      </c>
      <c r="I3227" t="s">
        <v>86</v>
      </c>
      <c r="J3227">
        <v>47</v>
      </c>
      <c r="K3227" t="s">
        <v>83</v>
      </c>
      <c r="L3227" t="s">
        <v>59</v>
      </c>
      <c r="M3227" t="s">
        <v>59</v>
      </c>
      <c r="N3227" t="s">
        <v>2580</v>
      </c>
      <c r="O3227" t="s">
        <v>118</v>
      </c>
      <c r="P3227" t="s">
        <v>48</v>
      </c>
      <c r="Q3227" t="s">
        <v>142</v>
      </c>
      <c r="R3227">
        <v>3</v>
      </c>
      <c r="S3227">
        <v>3999</v>
      </c>
      <c r="T3227">
        <v>0.05</v>
      </c>
      <c r="U3227">
        <v>11397.15</v>
      </c>
      <c r="V3227">
        <v>7200</v>
      </c>
      <c r="W3227">
        <v>4197.1499999999996</v>
      </c>
      <c r="X3227" t="s">
        <v>74</v>
      </c>
      <c r="Y3227" t="s">
        <v>68</v>
      </c>
      <c r="Z3227" t="s">
        <v>159</v>
      </c>
      <c r="AA3227" t="s">
        <v>170</v>
      </c>
      <c r="AB3227">
        <v>3.2</v>
      </c>
      <c r="AC3227">
        <v>40</v>
      </c>
      <c r="AD3227">
        <v>658.71</v>
      </c>
      <c r="AE3227">
        <f t="shared" si="100"/>
        <v>3498.4399999999996</v>
      </c>
      <c r="AF3227" t="str">
        <f t="shared" si="101"/>
        <v>2026-02</v>
      </c>
      <c r="AG3227">
        <f>SUBTOTAL(103,A3227)</f>
        <v>1</v>
      </c>
    </row>
    <row r="3228" spans="1:33" x14ac:dyDescent="0.3">
      <c r="A3228" t="s">
        <v>5851</v>
      </c>
      <c r="B3228" s="13">
        <v>46074</v>
      </c>
      <c r="C3228">
        <v>2026</v>
      </c>
      <c r="D3228">
        <v>2</v>
      </c>
      <c r="E3228" t="s">
        <v>2849</v>
      </c>
      <c r="F3228" t="s">
        <v>2572</v>
      </c>
      <c r="G3228" t="s">
        <v>1269</v>
      </c>
      <c r="H3228" t="s">
        <v>1270</v>
      </c>
      <c r="I3228" t="s">
        <v>85</v>
      </c>
      <c r="J3228">
        <v>58</v>
      </c>
      <c r="K3228" t="s">
        <v>83</v>
      </c>
      <c r="L3228" t="s">
        <v>2599</v>
      </c>
      <c r="M3228" t="s">
        <v>62</v>
      </c>
      <c r="N3228" t="s">
        <v>2580</v>
      </c>
      <c r="O3228" t="s">
        <v>118</v>
      </c>
      <c r="P3228" t="s">
        <v>48</v>
      </c>
      <c r="Q3228" t="s">
        <v>142</v>
      </c>
      <c r="R3228">
        <v>2</v>
      </c>
      <c r="S3228">
        <v>3999</v>
      </c>
      <c r="T3228">
        <v>0.15</v>
      </c>
      <c r="U3228">
        <v>6798.3</v>
      </c>
      <c r="V3228">
        <v>4800</v>
      </c>
      <c r="W3228">
        <v>1998.3</v>
      </c>
      <c r="X3228" t="s">
        <v>74</v>
      </c>
      <c r="Y3228" t="s">
        <v>68</v>
      </c>
      <c r="Z3228" t="s">
        <v>160</v>
      </c>
      <c r="AA3228" t="s">
        <v>169</v>
      </c>
      <c r="AB3228">
        <v>3.5</v>
      </c>
      <c r="AC3228">
        <v>80</v>
      </c>
      <c r="AD3228">
        <v>577.82000000000005</v>
      </c>
      <c r="AE3228">
        <f t="shared" si="100"/>
        <v>1340.48</v>
      </c>
      <c r="AF3228" t="str">
        <f t="shared" si="101"/>
        <v>2026-02</v>
      </c>
      <c r="AG3228">
        <f>SUBTOTAL(103,A3228)</f>
        <v>1</v>
      </c>
    </row>
    <row r="3229" spans="1:33" x14ac:dyDescent="0.3">
      <c r="A3229" t="s">
        <v>5852</v>
      </c>
      <c r="B3229" s="13">
        <v>46075</v>
      </c>
      <c r="C3229">
        <v>2026</v>
      </c>
      <c r="D3229">
        <v>2</v>
      </c>
      <c r="E3229" t="s">
        <v>2849</v>
      </c>
      <c r="F3229" t="s">
        <v>2572</v>
      </c>
      <c r="G3229" t="s">
        <v>2377</v>
      </c>
      <c r="H3229" t="s">
        <v>2378</v>
      </c>
      <c r="I3229" t="s">
        <v>85</v>
      </c>
      <c r="J3229">
        <v>33</v>
      </c>
      <c r="K3229" t="s">
        <v>81</v>
      </c>
      <c r="L3229" t="s">
        <v>2616</v>
      </c>
      <c r="M3229" t="s">
        <v>62</v>
      </c>
      <c r="N3229" t="s">
        <v>2606</v>
      </c>
      <c r="O3229" t="s">
        <v>120</v>
      </c>
      <c r="P3229" t="s">
        <v>49</v>
      </c>
      <c r="Q3229" t="s">
        <v>140</v>
      </c>
      <c r="R3229">
        <v>1</v>
      </c>
      <c r="S3229">
        <v>2799</v>
      </c>
      <c r="T3229">
        <v>0.05</v>
      </c>
      <c r="U3229">
        <v>0</v>
      </c>
      <c r="V3229">
        <v>0</v>
      </c>
      <c r="W3229">
        <v>0</v>
      </c>
      <c r="X3229" t="s">
        <v>74</v>
      </c>
      <c r="Y3229" t="s">
        <v>71</v>
      </c>
      <c r="Z3229" t="s">
        <v>160</v>
      </c>
      <c r="AA3229" t="s">
        <v>169</v>
      </c>
      <c r="AB3229">
        <v>3.9</v>
      </c>
      <c r="AC3229">
        <v>80</v>
      </c>
      <c r="AD3229">
        <v>273.26</v>
      </c>
      <c r="AE3229">
        <f t="shared" si="100"/>
        <v>-353.26</v>
      </c>
      <c r="AF3229" t="str">
        <f t="shared" si="101"/>
        <v>2026-02</v>
      </c>
      <c r="AG3229">
        <f>SUBTOTAL(103,A3229)</f>
        <v>1</v>
      </c>
    </row>
    <row r="3230" spans="1:33" x14ac:dyDescent="0.3">
      <c r="A3230" t="s">
        <v>5853</v>
      </c>
      <c r="B3230" s="13">
        <v>46075</v>
      </c>
      <c r="C3230">
        <v>2026</v>
      </c>
      <c r="D3230">
        <v>2</v>
      </c>
      <c r="E3230" t="s">
        <v>2849</v>
      </c>
      <c r="F3230" t="s">
        <v>2572</v>
      </c>
      <c r="G3230" t="s">
        <v>2405</v>
      </c>
      <c r="H3230" t="s">
        <v>2406</v>
      </c>
      <c r="I3230" t="s">
        <v>85</v>
      </c>
      <c r="J3230">
        <v>32</v>
      </c>
      <c r="K3230" t="s">
        <v>81</v>
      </c>
      <c r="L3230" t="s">
        <v>2579</v>
      </c>
      <c r="M3230" t="s">
        <v>56</v>
      </c>
      <c r="N3230" t="s">
        <v>2603</v>
      </c>
      <c r="O3230" t="s">
        <v>122</v>
      </c>
      <c r="P3230" t="s">
        <v>48</v>
      </c>
      <c r="Q3230" t="s">
        <v>141</v>
      </c>
      <c r="R3230">
        <v>1</v>
      </c>
      <c r="S3230">
        <v>2499</v>
      </c>
      <c r="T3230">
        <v>0.05</v>
      </c>
      <c r="U3230">
        <v>2374.0500000000002</v>
      </c>
      <c r="V3230">
        <v>1450</v>
      </c>
      <c r="W3230">
        <v>924.05</v>
      </c>
      <c r="X3230" t="s">
        <v>74</v>
      </c>
      <c r="Y3230" t="s">
        <v>68</v>
      </c>
      <c r="Z3230" t="s">
        <v>161</v>
      </c>
      <c r="AA3230" t="s">
        <v>167</v>
      </c>
      <c r="AB3230">
        <v>3.9</v>
      </c>
      <c r="AC3230">
        <v>60</v>
      </c>
      <c r="AD3230">
        <v>109.81</v>
      </c>
      <c r="AE3230">
        <f t="shared" si="100"/>
        <v>754.24</v>
      </c>
      <c r="AF3230" t="str">
        <f t="shared" si="101"/>
        <v>2026-02</v>
      </c>
      <c r="AG3230">
        <f>SUBTOTAL(103,A3230)</f>
        <v>1</v>
      </c>
    </row>
    <row r="3231" spans="1:33" x14ac:dyDescent="0.3">
      <c r="A3231" t="s">
        <v>5854</v>
      </c>
      <c r="B3231" s="13">
        <v>46075</v>
      </c>
      <c r="C3231">
        <v>2026</v>
      </c>
      <c r="D3231">
        <v>2</v>
      </c>
      <c r="E3231" t="s">
        <v>2849</v>
      </c>
      <c r="F3231" t="s">
        <v>2572</v>
      </c>
      <c r="G3231" t="s">
        <v>1389</v>
      </c>
      <c r="H3231" t="s">
        <v>1390</v>
      </c>
      <c r="I3231" t="s">
        <v>85</v>
      </c>
      <c r="J3231">
        <v>50</v>
      </c>
      <c r="K3231" t="s">
        <v>83</v>
      </c>
      <c r="L3231" t="s">
        <v>97</v>
      </c>
      <c r="M3231" t="s">
        <v>57</v>
      </c>
      <c r="N3231" t="s">
        <v>2594</v>
      </c>
      <c r="O3231" t="s">
        <v>131</v>
      </c>
      <c r="P3231" t="s">
        <v>53</v>
      </c>
      <c r="Q3231" t="s">
        <v>143</v>
      </c>
      <c r="R3231">
        <v>2</v>
      </c>
      <c r="S3231">
        <v>999</v>
      </c>
      <c r="T3231">
        <v>0.05</v>
      </c>
      <c r="U3231">
        <v>1898.1</v>
      </c>
      <c r="V3231">
        <v>1040</v>
      </c>
      <c r="W3231">
        <v>858.1</v>
      </c>
      <c r="X3231" t="s">
        <v>73</v>
      </c>
      <c r="Y3231" t="s">
        <v>68</v>
      </c>
      <c r="Z3231" t="s">
        <v>161</v>
      </c>
      <c r="AA3231" t="s">
        <v>170</v>
      </c>
      <c r="AB3231">
        <v>5</v>
      </c>
      <c r="AC3231">
        <v>80</v>
      </c>
      <c r="AD3231">
        <v>194.58</v>
      </c>
      <c r="AE3231">
        <f t="shared" si="100"/>
        <v>583.52</v>
      </c>
      <c r="AF3231" t="str">
        <f t="shared" si="101"/>
        <v>2026-02</v>
      </c>
      <c r="AG3231">
        <f>SUBTOTAL(103,A3231)</f>
        <v>1</v>
      </c>
    </row>
    <row r="3232" spans="1:33" x14ac:dyDescent="0.3">
      <c r="A3232" t="s">
        <v>5855</v>
      </c>
      <c r="B3232" s="13">
        <v>46075</v>
      </c>
      <c r="C3232">
        <v>2026</v>
      </c>
      <c r="D3232">
        <v>2</v>
      </c>
      <c r="E3232" t="s">
        <v>2849</v>
      </c>
      <c r="F3232" t="s">
        <v>2572</v>
      </c>
      <c r="G3232" t="s">
        <v>387</v>
      </c>
      <c r="H3232" t="s">
        <v>388</v>
      </c>
      <c r="I3232" t="s">
        <v>86</v>
      </c>
      <c r="J3232">
        <v>30</v>
      </c>
      <c r="K3232" t="s">
        <v>81</v>
      </c>
      <c r="L3232" t="s">
        <v>2579</v>
      </c>
      <c r="M3232" t="s">
        <v>56</v>
      </c>
      <c r="N3232" t="s">
        <v>2603</v>
      </c>
      <c r="O3232" t="s">
        <v>122</v>
      </c>
      <c r="P3232" t="s">
        <v>48</v>
      </c>
      <c r="Q3232" t="s">
        <v>141</v>
      </c>
      <c r="R3232">
        <v>2</v>
      </c>
      <c r="S3232">
        <v>2499</v>
      </c>
      <c r="T3232">
        <v>0.2</v>
      </c>
      <c r="U3232">
        <v>3998.4</v>
      </c>
      <c r="V3232">
        <v>2900</v>
      </c>
      <c r="W3232">
        <v>1098.4000000000001</v>
      </c>
      <c r="X3232" t="s">
        <v>75</v>
      </c>
      <c r="Y3232" t="s">
        <v>68</v>
      </c>
      <c r="Z3232" t="s">
        <v>163</v>
      </c>
      <c r="AA3232" t="s">
        <v>170</v>
      </c>
      <c r="AB3232">
        <v>4.4000000000000004</v>
      </c>
      <c r="AC3232">
        <v>60</v>
      </c>
      <c r="AD3232">
        <v>115.77</v>
      </c>
      <c r="AE3232">
        <f t="shared" si="100"/>
        <v>922.63000000000011</v>
      </c>
      <c r="AF3232" t="str">
        <f t="shared" si="101"/>
        <v>2026-02</v>
      </c>
      <c r="AG3232">
        <f>SUBTOTAL(103,A3232)</f>
        <v>1</v>
      </c>
    </row>
    <row r="3233" spans="1:33" x14ac:dyDescent="0.3">
      <c r="A3233" t="s">
        <v>5856</v>
      </c>
      <c r="B3233" s="13">
        <v>46076</v>
      </c>
      <c r="C3233">
        <v>2026</v>
      </c>
      <c r="D3233">
        <v>2</v>
      </c>
      <c r="E3233" t="s">
        <v>2849</v>
      </c>
      <c r="F3233" t="s">
        <v>2572</v>
      </c>
      <c r="G3233" t="s">
        <v>2513</v>
      </c>
      <c r="H3233" t="s">
        <v>2514</v>
      </c>
      <c r="I3233" t="s">
        <v>85</v>
      </c>
      <c r="J3233">
        <v>54</v>
      </c>
      <c r="K3233" t="s">
        <v>83</v>
      </c>
      <c r="L3233" t="s">
        <v>90</v>
      </c>
      <c r="M3233" t="s">
        <v>55</v>
      </c>
      <c r="N3233" t="s">
        <v>2647</v>
      </c>
      <c r="O3233" t="s">
        <v>133</v>
      </c>
      <c r="P3233" t="s">
        <v>50</v>
      </c>
      <c r="Q3233" t="s">
        <v>145</v>
      </c>
      <c r="R3233">
        <v>2</v>
      </c>
      <c r="S3233">
        <v>799</v>
      </c>
      <c r="T3233">
        <v>0.1</v>
      </c>
      <c r="U3233">
        <v>1438.2</v>
      </c>
      <c r="V3233">
        <v>780</v>
      </c>
      <c r="W3233">
        <v>658.2</v>
      </c>
      <c r="X3233" t="s">
        <v>73</v>
      </c>
      <c r="Y3233" t="s">
        <v>68</v>
      </c>
      <c r="Z3233" t="s">
        <v>162</v>
      </c>
      <c r="AA3233" t="s">
        <v>169</v>
      </c>
      <c r="AB3233">
        <v>3.5</v>
      </c>
      <c r="AC3233">
        <v>50</v>
      </c>
      <c r="AD3233">
        <v>129.71</v>
      </c>
      <c r="AE3233">
        <f t="shared" si="100"/>
        <v>478.49</v>
      </c>
      <c r="AF3233" t="str">
        <f t="shared" si="101"/>
        <v>2026-02</v>
      </c>
      <c r="AG3233">
        <f>SUBTOTAL(103,A3233)</f>
        <v>1</v>
      </c>
    </row>
    <row r="3234" spans="1:33" x14ac:dyDescent="0.3">
      <c r="A3234" t="s">
        <v>5857</v>
      </c>
      <c r="B3234" s="13">
        <v>46076</v>
      </c>
      <c r="C3234">
        <v>2026</v>
      </c>
      <c r="D3234">
        <v>2</v>
      </c>
      <c r="E3234" t="s">
        <v>2849</v>
      </c>
      <c r="F3234" t="s">
        <v>2572</v>
      </c>
      <c r="G3234" t="s">
        <v>751</v>
      </c>
      <c r="H3234" t="s">
        <v>752</v>
      </c>
      <c r="I3234" t="s">
        <v>85</v>
      </c>
      <c r="J3234">
        <v>25</v>
      </c>
      <c r="K3234" t="s">
        <v>80</v>
      </c>
      <c r="L3234" t="s">
        <v>94</v>
      </c>
      <c r="M3234" t="s">
        <v>57</v>
      </c>
      <c r="N3234" t="s">
        <v>2596</v>
      </c>
      <c r="O3234" t="s">
        <v>124</v>
      </c>
      <c r="P3234" t="s">
        <v>51</v>
      </c>
      <c r="Q3234" t="s">
        <v>147</v>
      </c>
      <c r="R3234">
        <v>2</v>
      </c>
      <c r="S3234">
        <v>2299</v>
      </c>
      <c r="T3234">
        <v>0.05</v>
      </c>
      <c r="U3234">
        <v>4368.1000000000004</v>
      </c>
      <c r="V3234">
        <v>2400</v>
      </c>
      <c r="W3234">
        <v>1968.1</v>
      </c>
      <c r="X3234" t="s">
        <v>77</v>
      </c>
      <c r="Y3234" t="s">
        <v>68</v>
      </c>
      <c r="Z3234" t="s">
        <v>161</v>
      </c>
      <c r="AA3234" t="s">
        <v>168</v>
      </c>
      <c r="AB3234">
        <v>4</v>
      </c>
      <c r="AC3234">
        <v>60</v>
      </c>
      <c r="AD3234">
        <v>93.48</v>
      </c>
      <c r="AE3234">
        <f t="shared" si="100"/>
        <v>1814.62</v>
      </c>
      <c r="AF3234" t="str">
        <f t="shared" si="101"/>
        <v>2026-02</v>
      </c>
      <c r="AG3234">
        <f>SUBTOTAL(103,A3234)</f>
        <v>1</v>
      </c>
    </row>
    <row r="3235" spans="1:33" x14ac:dyDescent="0.3">
      <c r="A3235" t="s">
        <v>5858</v>
      </c>
      <c r="B3235" s="13">
        <v>46076</v>
      </c>
      <c r="C3235">
        <v>2026</v>
      </c>
      <c r="D3235">
        <v>2</v>
      </c>
      <c r="E3235" t="s">
        <v>2849</v>
      </c>
      <c r="F3235" t="s">
        <v>2572</v>
      </c>
      <c r="G3235" t="s">
        <v>1595</v>
      </c>
      <c r="H3235" t="s">
        <v>1596</v>
      </c>
      <c r="I3235" t="s">
        <v>85</v>
      </c>
      <c r="J3235">
        <v>49</v>
      </c>
      <c r="K3235" t="s">
        <v>83</v>
      </c>
      <c r="L3235" t="s">
        <v>92</v>
      </c>
      <c r="M3235" t="s">
        <v>59</v>
      </c>
      <c r="N3235" t="s">
        <v>2606</v>
      </c>
      <c r="O3235" t="s">
        <v>120</v>
      </c>
      <c r="P3235" t="s">
        <v>49</v>
      </c>
      <c r="Q3235" t="s">
        <v>140</v>
      </c>
      <c r="R3235">
        <v>1</v>
      </c>
      <c r="S3235">
        <v>2799</v>
      </c>
      <c r="T3235">
        <v>0.05</v>
      </c>
      <c r="U3235">
        <v>2659.05</v>
      </c>
      <c r="V3235">
        <v>1650</v>
      </c>
      <c r="W3235">
        <v>1009.05</v>
      </c>
      <c r="X3235" t="s">
        <v>73</v>
      </c>
      <c r="Y3235" t="s">
        <v>68</v>
      </c>
      <c r="Z3235" t="s">
        <v>161</v>
      </c>
      <c r="AA3235" t="s">
        <v>167</v>
      </c>
      <c r="AB3235">
        <v>3.4</v>
      </c>
      <c r="AC3235">
        <v>40</v>
      </c>
      <c r="AD3235">
        <v>171.92</v>
      </c>
      <c r="AE3235">
        <f t="shared" si="100"/>
        <v>797.13</v>
      </c>
      <c r="AF3235" t="str">
        <f t="shared" si="101"/>
        <v>2026-02</v>
      </c>
      <c r="AG3235">
        <f>SUBTOTAL(103,A3235)</f>
        <v>1</v>
      </c>
    </row>
    <row r="3236" spans="1:33" x14ac:dyDescent="0.3">
      <c r="A3236" t="s">
        <v>5859</v>
      </c>
      <c r="B3236" s="13">
        <v>46076</v>
      </c>
      <c r="C3236">
        <v>2026</v>
      </c>
      <c r="D3236">
        <v>2</v>
      </c>
      <c r="E3236" t="s">
        <v>2849</v>
      </c>
      <c r="F3236" t="s">
        <v>2572</v>
      </c>
      <c r="G3236" t="s">
        <v>827</v>
      </c>
      <c r="H3236" t="s">
        <v>828</v>
      </c>
      <c r="I3236" t="s">
        <v>85</v>
      </c>
      <c r="J3236">
        <v>30</v>
      </c>
      <c r="K3236" t="s">
        <v>81</v>
      </c>
      <c r="L3236" t="s">
        <v>99</v>
      </c>
      <c r="M3236" t="s">
        <v>58</v>
      </c>
      <c r="N3236" t="s">
        <v>2665</v>
      </c>
      <c r="O3236" t="s">
        <v>128</v>
      </c>
      <c r="P3236" t="s">
        <v>53</v>
      </c>
      <c r="Q3236" t="s">
        <v>143</v>
      </c>
      <c r="R3236">
        <v>1</v>
      </c>
      <c r="S3236">
        <v>1499</v>
      </c>
      <c r="T3236">
        <v>0.1</v>
      </c>
      <c r="U3236">
        <v>1349.1</v>
      </c>
      <c r="V3236">
        <v>800</v>
      </c>
      <c r="W3236">
        <v>549.1</v>
      </c>
      <c r="X3236" t="s">
        <v>76</v>
      </c>
      <c r="Y3236" t="s">
        <v>68</v>
      </c>
      <c r="Z3236" t="s">
        <v>162</v>
      </c>
      <c r="AA3236" t="s">
        <v>167</v>
      </c>
      <c r="AB3236">
        <v>4.5999999999999996</v>
      </c>
      <c r="AC3236">
        <v>80</v>
      </c>
      <c r="AD3236">
        <v>83.79</v>
      </c>
      <c r="AE3236">
        <f t="shared" si="100"/>
        <v>385.31</v>
      </c>
      <c r="AF3236" t="str">
        <f t="shared" si="101"/>
        <v>2026-02</v>
      </c>
      <c r="AG3236">
        <f>SUBTOTAL(103,A3236)</f>
        <v>1</v>
      </c>
    </row>
    <row r="3237" spans="1:33" x14ac:dyDescent="0.3">
      <c r="A3237" t="s">
        <v>5860</v>
      </c>
      <c r="B3237" s="13">
        <v>46076</v>
      </c>
      <c r="C3237">
        <v>2026</v>
      </c>
      <c r="D3237">
        <v>2</v>
      </c>
      <c r="E3237" t="s">
        <v>2849</v>
      </c>
      <c r="F3237" t="s">
        <v>2572</v>
      </c>
      <c r="G3237" t="s">
        <v>689</v>
      </c>
      <c r="H3237" t="s">
        <v>690</v>
      </c>
      <c r="I3237" t="s">
        <v>85</v>
      </c>
      <c r="J3237">
        <v>36</v>
      </c>
      <c r="K3237" t="s">
        <v>82</v>
      </c>
      <c r="L3237" t="s">
        <v>2637</v>
      </c>
      <c r="M3237" t="s">
        <v>64</v>
      </c>
      <c r="N3237" t="s">
        <v>2592</v>
      </c>
      <c r="O3237" t="s">
        <v>115</v>
      </c>
      <c r="P3237" t="s">
        <v>48</v>
      </c>
      <c r="Q3237" t="s">
        <v>137</v>
      </c>
      <c r="R3237">
        <v>2</v>
      </c>
      <c r="S3237">
        <v>12999</v>
      </c>
      <c r="T3237">
        <v>0.05</v>
      </c>
      <c r="U3237">
        <v>24698.1</v>
      </c>
      <c r="V3237">
        <v>18000</v>
      </c>
      <c r="W3237">
        <v>6698.1</v>
      </c>
      <c r="X3237" t="s">
        <v>73</v>
      </c>
      <c r="Y3237" t="s">
        <v>68</v>
      </c>
      <c r="Z3237" t="s">
        <v>159</v>
      </c>
      <c r="AA3237" t="s">
        <v>168</v>
      </c>
      <c r="AB3237">
        <v>4.2</v>
      </c>
      <c r="AC3237">
        <v>50</v>
      </c>
      <c r="AD3237">
        <v>2759.96</v>
      </c>
      <c r="AE3237">
        <f t="shared" si="100"/>
        <v>3888.1400000000003</v>
      </c>
      <c r="AF3237" t="str">
        <f t="shared" si="101"/>
        <v>2026-02</v>
      </c>
      <c r="AG3237">
        <f>SUBTOTAL(103,A3237)</f>
        <v>1</v>
      </c>
    </row>
    <row r="3238" spans="1:33" x14ac:dyDescent="0.3">
      <c r="A3238" t="s">
        <v>5861</v>
      </c>
      <c r="B3238" s="13">
        <v>46077</v>
      </c>
      <c r="C3238">
        <v>2026</v>
      </c>
      <c r="D3238">
        <v>2</v>
      </c>
      <c r="E3238" t="s">
        <v>2849</v>
      </c>
      <c r="F3238" t="s">
        <v>2572</v>
      </c>
      <c r="G3238" t="s">
        <v>1087</v>
      </c>
      <c r="H3238" t="s">
        <v>1088</v>
      </c>
      <c r="I3238" t="s">
        <v>85</v>
      </c>
      <c r="J3238">
        <v>18</v>
      </c>
      <c r="K3238" t="s">
        <v>80</v>
      </c>
      <c r="L3238" t="s">
        <v>96</v>
      </c>
      <c r="M3238" t="s">
        <v>55</v>
      </c>
      <c r="N3238" t="s">
        <v>2577</v>
      </c>
      <c r="O3238" t="s">
        <v>129</v>
      </c>
      <c r="P3238" t="s">
        <v>49</v>
      </c>
      <c r="Q3238" t="s">
        <v>149</v>
      </c>
      <c r="R3238">
        <v>5</v>
      </c>
      <c r="S3238">
        <v>1299</v>
      </c>
      <c r="T3238">
        <v>0.05</v>
      </c>
      <c r="U3238">
        <v>6170.25</v>
      </c>
      <c r="V3238">
        <v>3250</v>
      </c>
      <c r="W3238">
        <v>2920.25</v>
      </c>
      <c r="X3238" t="s">
        <v>73</v>
      </c>
      <c r="Y3238" t="s">
        <v>68</v>
      </c>
      <c r="Z3238" t="s">
        <v>158</v>
      </c>
      <c r="AA3238" t="s">
        <v>169</v>
      </c>
      <c r="AB3238">
        <v>3.8</v>
      </c>
      <c r="AC3238">
        <v>50</v>
      </c>
      <c r="AD3238">
        <v>460.29</v>
      </c>
      <c r="AE3238">
        <f t="shared" si="100"/>
        <v>2409.96</v>
      </c>
      <c r="AF3238" t="str">
        <f t="shared" si="101"/>
        <v>2026-02</v>
      </c>
      <c r="AG3238">
        <f>SUBTOTAL(103,A3238)</f>
        <v>1</v>
      </c>
    </row>
    <row r="3239" spans="1:33" x14ac:dyDescent="0.3">
      <c r="A3239" t="s">
        <v>5862</v>
      </c>
      <c r="B3239" s="13">
        <v>46077</v>
      </c>
      <c r="C3239">
        <v>2026</v>
      </c>
      <c r="D3239">
        <v>2</v>
      </c>
      <c r="E3239" t="s">
        <v>2849</v>
      </c>
      <c r="F3239" t="s">
        <v>2572</v>
      </c>
      <c r="G3239" t="s">
        <v>1375</v>
      </c>
      <c r="H3239" t="s">
        <v>1376</v>
      </c>
      <c r="I3239" t="s">
        <v>86</v>
      </c>
      <c r="J3239">
        <v>60</v>
      </c>
      <c r="K3239" t="s">
        <v>83</v>
      </c>
      <c r="L3239" t="s">
        <v>98</v>
      </c>
      <c r="M3239" t="s">
        <v>55</v>
      </c>
      <c r="N3239" t="s">
        <v>2630</v>
      </c>
      <c r="O3239" t="s">
        <v>123</v>
      </c>
      <c r="P3239" t="s">
        <v>52</v>
      </c>
      <c r="Q3239" t="s">
        <v>146</v>
      </c>
      <c r="R3239">
        <v>3</v>
      </c>
      <c r="S3239">
        <v>2499</v>
      </c>
      <c r="T3239">
        <v>0.1</v>
      </c>
      <c r="U3239">
        <v>6747.3</v>
      </c>
      <c r="V3239">
        <v>4200</v>
      </c>
      <c r="W3239">
        <v>2547.3000000000002</v>
      </c>
      <c r="X3239" t="s">
        <v>74</v>
      </c>
      <c r="Y3239" t="s">
        <v>68</v>
      </c>
      <c r="Z3239" t="s">
        <v>159</v>
      </c>
      <c r="AA3239" t="s">
        <v>168</v>
      </c>
      <c r="AB3239">
        <v>4.4000000000000004</v>
      </c>
      <c r="AC3239">
        <v>40</v>
      </c>
      <c r="AD3239">
        <v>152.66999999999999</v>
      </c>
      <c r="AE3239">
        <f t="shared" si="100"/>
        <v>2354.63</v>
      </c>
      <c r="AF3239" t="str">
        <f t="shared" si="101"/>
        <v>2026-02</v>
      </c>
      <c r="AG3239">
        <f>SUBTOTAL(103,A3239)</f>
        <v>1</v>
      </c>
    </row>
    <row r="3240" spans="1:33" x14ac:dyDescent="0.3">
      <c r="A3240" t="s">
        <v>5863</v>
      </c>
      <c r="B3240" s="13">
        <v>46077</v>
      </c>
      <c r="C3240">
        <v>2026</v>
      </c>
      <c r="D3240">
        <v>2</v>
      </c>
      <c r="E3240" t="s">
        <v>2849</v>
      </c>
      <c r="F3240" t="s">
        <v>2572</v>
      </c>
      <c r="G3240" t="s">
        <v>227</v>
      </c>
      <c r="H3240" t="s">
        <v>228</v>
      </c>
      <c r="I3240" t="s">
        <v>87</v>
      </c>
      <c r="J3240">
        <v>38</v>
      </c>
      <c r="K3240" t="s">
        <v>82</v>
      </c>
      <c r="L3240" t="s">
        <v>2634</v>
      </c>
      <c r="M3240" t="s">
        <v>56</v>
      </c>
      <c r="N3240" t="s">
        <v>2626</v>
      </c>
      <c r="O3240" t="s">
        <v>125</v>
      </c>
      <c r="P3240" t="s">
        <v>48</v>
      </c>
      <c r="Q3240" t="s">
        <v>141</v>
      </c>
      <c r="R3240">
        <v>4</v>
      </c>
      <c r="S3240">
        <v>1999</v>
      </c>
      <c r="T3240">
        <v>0.25</v>
      </c>
      <c r="U3240">
        <v>5997</v>
      </c>
      <c r="V3240">
        <v>4600</v>
      </c>
      <c r="W3240">
        <v>1397</v>
      </c>
      <c r="X3240" t="s">
        <v>73</v>
      </c>
      <c r="Y3240" t="s">
        <v>68</v>
      </c>
      <c r="Z3240" t="s">
        <v>161</v>
      </c>
      <c r="AA3240" t="s">
        <v>166</v>
      </c>
      <c r="AB3240">
        <v>4.5</v>
      </c>
      <c r="AC3240">
        <v>50</v>
      </c>
      <c r="AD3240">
        <v>594.12</v>
      </c>
      <c r="AE3240">
        <f t="shared" si="100"/>
        <v>752.88</v>
      </c>
      <c r="AF3240" t="str">
        <f t="shared" si="101"/>
        <v>2026-02</v>
      </c>
      <c r="AG3240">
        <f>SUBTOTAL(103,A3240)</f>
        <v>1</v>
      </c>
    </row>
    <row r="3241" spans="1:33" x14ac:dyDescent="0.3">
      <c r="A3241" t="s">
        <v>5864</v>
      </c>
      <c r="B3241" s="13">
        <v>46077</v>
      </c>
      <c r="C3241">
        <v>2026</v>
      </c>
      <c r="D3241">
        <v>2</v>
      </c>
      <c r="E3241" t="s">
        <v>2849</v>
      </c>
      <c r="F3241" t="s">
        <v>2572</v>
      </c>
      <c r="G3241" t="s">
        <v>947</v>
      </c>
      <c r="H3241" t="s">
        <v>948</v>
      </c>
      <c r="I3241" t="s">
        <v>85</v>
      </c>
      <c r="J3241">
        <v>36</v>
      </c>
      <c r="K3241" t="s">
        <v>82</v>
      </c>
      <c r="L3241" t="s">
        <v>99</v>
      </c>
      <c r="M3241" t="s">
        <v>58</v>
      </c>
      <c r="N3241" t="s">
        <v>2601</v>
      </c>
      <c r="O3241" t="s">
        <v>117</v>
      </c>
      <c r="P3241" t="s">
        <v>49</v>
      </c>
      <c r="Q3241" t="s">
        <v>139</v>
      </c>
      <c r="R3241">
        <v>3</v>
      </c>
      <c r="S3241">
        <v>6999</v>
      </c>
      <c r="T3241">
        <v>0</v>
      </c>
      <c r="U3241">
        <v>20997</v>
      </c>
      <c r="V3241">
        <v>12900</v>
      </c>
      <c r="W3241">
        <v>8097</v>
      </c>
      <c r="X3241" t="s">
        <v>77</v>
      </c>
      <c r="Y3241" t="s">
        <v>68</v>
      </c>
      <c r="Z3241" t="s">
        <v>159</v>
      </c>
      <c r="AA3241" t="s">
        <v>166</v>
      </c>
      <c r="AB3241">
        <v>3.5</v>
      </c>
      <c r="AC3241">
        <v>100</v>
      </c>
      <c r="AD3241">
        <v>2376.79</v>
      </c>
      <c r="AE3241">
        <f t="shared" si="100"/>
        <v>5620.21</v>
      </c>
      <c r="AF3241" t="str">
        <f t="shared" si="101"/>
        <v>2026-02</v>
      </c>
      <c r="AG3241">
        <f>SUBTOTAL(103,A3241)</f>
        <v>1</v>
      </c>
    </row>
    <row r="3242" spans="1:33" x14ac:dyDescent="0.3">
      <c r="A3242" t="s">
        <v>5865</v>
      </c>
      <c r="B3242" s="13">
        <v>46077</v>
      </c>
      <c r="C3242">
        <v>2026</v>
      </c>
      <c r="D3242">
        <v>2</v>
      </c>
      <c r="E3242" t="s">
        <v>2849</v>
      </c>
      <c r="F3242" t="s">
        <v>2572</v>
      </c>
      <c r="G3242" t="s">
        <v>767</v>
      </c>
      <c r="H3242" t="s">
        <v>768</v>
      </c>
      <c r="I3242" t="s">
        <v>85</v>
      </c>
      <c r="J3242">
        <v>47</v>
      </c>
      <c r="K3242" t="s">
        <v>83</v>
      </c>
      <c r="L3242" t="s">
        <v>91</v>
      </c>
      <c r="M3242" t="s">
        <v>55</v>
      </c>
      <c r="N3242" t="s">
        <v>2590</v>
      </c>
      <c r="O3242" t="s">
        <v>127</v>
      </c>
      <c r="P3242" t="s">
        <v>51</v>
      </c>
      <c r="Q3242" t="s">
        <v>148</v>
      </c>
      <c r="R3242">
        <v>1</v>
      </c>
      <c r="S3242">
        <v>1599</v>
      </c>
      <c r="T3242">
        <v>0.15</v>
      </c>
      <c r="U3242">
        <v>1359.15</v>
      </c>
      <c r="V3242">
        <v>800</v>
      </c>
      <c r="W3242">
        <v>559.15</v>
      </c>
      <c r="X3242" t="s">
        <v>75</v>
      </c>
      <c r="Y3242" t="s">
        <v>68</v>
      </c>
      <c r="Z3242" t="s">
        <v>158</v>
      </c>
      <c r="AA3242" t="s">
        <v>166</v>
      </c>
      <c r="AB3242">
        <v>3.4</v>
      </c>
      <c r="AC3242">
        <v>50</v>
      </c>
      <c r="AD3242">
        <v>57.36</v>
      </c>
      <c r="AE3242">
        <f t="shared" si="100"/>
        <v>451.78999999999996</v>
      </c>
      <c r="AF3242" t="str">
        <f t="shared" si="101"/>
        <v>2026-02</v>
      </c>
      <c r="AG3242">
        <f>SUBTOTAL(103,A3242)</f>
        <v>1</v>
      </c>
    </row>
    <row r="3243" spans="1:33" x14ac:dyDescent="0.3">
      <c r="A3243" t="s">
        <v>5866</v>
      </c>
      <c r="B3243" s="13">
        <v>46077</v>
      </c>
      <c r="C3243">
        <v>2026</v>
      </c>
      <c r="D3243">
        <v>2</v>
      </c>
      <c r="E3243" t="s">
        <v>2849</v>
      </c>
      <c r="F3243" t="s">
        <v>2572</v>
      </c>
      <c r="G3243" t="s">
        <v>741</v>
      </c>
      <c r="H3243" t="s">
        <v>742</v>
      </c>
      <c r="I3243" t="s">
        <v>85</v>
      </c>
      <c r="J3243">
        <v>30</v>
      </c>
      <c r="K3243" t="s">
        <v>81</v>
      </c>
      <c r="L3243" t="s">
        <v>2579</v>
      </c>
      <c r="M3243" t="s">
        <v>56</v>
      </c>
      <c r="N3243" t="s">
        <v>2590</v>
      </c>
      <c r="O3243" t="s">
        <v>127</v>
      </c>
      <c r="P3243" t="s">
        <v>51</v>
      </c>
      <c r="Q3243" t="s">
        <v>148</v>
      </c>
      <c r="R3243">
        <v>2</v>
      </c>
      <c r="S3243">
        <v>1599</v>
      </c>
      <c r="T3243">
        <v>0.2</v>
      </c>
      <c r="U3243">
        <v>2558.4</v>
      </c>
      <c r="V3243">
        <v>1600</v>
      </c>
      <c r="W3243">
        <v>958.4</v>
      </c>
      <c r="X3243" t="s">
        <v>73</v>
      </c>
      <c r="Y3243" t="s">
        <v>68</v>
      </c>
      <c r="Z3243" t="s">
        <v>158</v>
      </c>
      <c r="AA3243" t="s">
        <v>171</v>
      </c>
      <c r="AB3243">
        <v>4.5999999999999996</v>
      </c>
      <c r="AC3243">
        <v>80</v>
      </c>
      <c r="AD3243">
        <v>211.9</v>
      </c>
      <c r="AE3243">
        <f t="shared" si="100"/>
        <v>666.5</v>
      </c>
      <c r="AF3243" t="str">
        <f t="shared" si="101"/>
        <v>2026-02</v>
      </c>
      <c r="AG3243">
        <f>SUBTOTAL(103,A3243)</f>
        <v>1</v>
      </c>
    </row>
    <row r="3244" spans="1:33" x14ac:dyDescent="0.3">
      <c r="A3244" t="s">
        <v>5867</v>
      </c>
      <c r="B3244" s="13">
        <v>46077</v>
      </c>
      <c r="C3244">
        <v>2026</v>
      </c>
      <c r="D3244">
        <v>2</v>
      </c>
      <c r="E3244" t="s">
        <v>2849</v>
      </c>
      <c r="F3244" t="s">
        <v>2572</v>
      </c>
      <c r="G3244" t="s">
        <v>1785</v>
      </c>
      <c r="H3244" t="s">
        <v>1786</v>
      </c>
      <c r="I3244" t="s">
        <v>85</v>
      </c>
      <c r="J3244">
        <v>45</v>
      </c>
      <c r="K3244" t="s">
        <v>82</v>
      </c>
      <c r="L3244" t="s">
        <v>2589</v>
      </c>
      <c r="M3244" t="s">
        <v>61</v>
      </c>
      <c r="N3244" t="s">
        <v>2574</v>
      </c>
      <c r="O3244" t="s">
        <v>130</v>
      </c>
      <c r="P3244" t="s">
        <v>50</v>
      </c>
      <c r="Q3244" t="s">
        <v>53</v>
      </c>
      <c r="R3244">
        <v>2</v>
      </c>
      <c r="S3244">
        <v>1199</v>
      </c>
      <c r="T3244">
        <v>0.15</v>
      </c>
      <c r="U3244">
        <v>2038.3</v>
      </c>
      <c r="V3244">
        <v>1100</v>
      </c>
      <c r="W3244">
        <v>938.3</v>
      </c>
      <c r="X3244" t="s">
        <v>73</v>
      </c>
      <c r="Y3244" t="s">
        <v>68</v>
      </c>
      <c r="Z3244" t="s">
        <v>158</v>
      </c>
      <c r="AA3244" t="s">
        <v>170</v>
      </c>
      <c r="AB3244">
        <v>3.2</v>
      </c>
      <c r="AC3244">
        <v>80</v>
      </c>
      <c r="AD3244">
        <v>230.26</v>
      </c>
      <c r="AE3244">
        <f t="shared" si="100"/>
        <v>628.04</v>
      </c>
      <c r="AF3244" t="str">
        <f t="shared" si="101"/>
        <v>2026-02</v>
      </c>
      <c r="AG3244">
        <f>SUBTOTAL(103,A3244)</f>
        <v>1</v>
      </c>
    </row>
    <row r="3245" spans="1:33" x14ac:dyDescent="0.3">
      <c r="A3245" t="s">
        <v>5868</v>
      </c>
      <c r="B3245" s="13">
        <v>46077</v>
      </c>
      <c r="C3245">
        <v>2026</v>
      </c>
      <c r="D3245">
        <v>2</v>
      </c>
      <c r="E3245" t="s">
        <v>2849</v>
      </c>
      <c r="F3245" t="s">
        <v>2572</v>
      </c>
      <c r="G3245" t="s">
        <v>2463</v>
      </c>
      <c r="H3245" t="s">
        <v>2464</v>
      </c>
      <c r="I3245" t="s">
        <v>85</v>
      </c>
      <c r="J3245">
        <v>20</v>
      </c>
      <c r="K3245" t="s">
        <v>80</v>
      </c>
      <c r="L3245" t="s">
        <v>2661</v>
      </c>
      <c r="M3245" t="s">
        <v>58</v>
      </c>
      <c r="N3245" t="s">
        <v>2657</v>
      </c>
      <c r="O3245" t="s">
        <v>134</v>
      </c>
      <c r="P3245" t="s">
        <v>49</v>
      </c>
      <c r="Q3245" t="s">
        <v>140</v>
      </c>
      <c r="R3245">
        <v>4</v>
      </c>
      <c r="S3245">
        <v>599</v>
      </c>
      <c r="T3245">
        <v>0.15</v>
      </c>
      <c r="U3245">
        <v>2036.6</v>
      </c>
      <c r="V3245">
        <v>1000</v>
      </c>
      <c r="W3245">
        <v>1036.5999999999999</v>
      </c>
      <c r="X3245" t="s">
        <v>75</v>
      </c>
      <c r="Y3245" t="s">
        <v>68</v>
      </c>
      <c r="Z3245" t="s">
        <v>158</v>
      </c>
      <c r="AA3245" t="s">
        <v>166</v>
      </c>
      <c r="AB3245">
        <v>5</v>
      </c>
      <c r="AC3245">
        <v>40</v>
      </c>
      <c r="AD3245">
        <v>55.21</v>
      </c>
      <c r="AE3245">
        <f t="shared" si="100"/>
        <v>941.38999999999987</v>
      </c>
      <c r="AF3245" t="str">
        <f t="shared" si="101"/>
        <v>2026-02</v>
      </c>
      <c r="AG3245">
        <f>SUBTOTAL(103,A3245)</f>
        <v>1</v>
      </c>
    </row>
    <row r="3246" spans="1:33" x14ac:dyDescent="0.3">
      <c r="A3246" t="s">
        <v>5869</v>
      </c>
      <c r="B3246" s="13">
        <v>46077</v>
      </c>
      <c r="C3246">
        <v>2026</v>
      </c>
      <c r="D3246">
        <v>2</v>
      </c>
      <c r="E3246" t="s">
        <v>2849</v>
      </c>
      <c r="F3246" t="s">
        <v>2572</v>
      </c>
      <c r="G3246" t="s">
        <v>1343</v>
      </c>
      <c r="H3246" t="s">
        <v>1344</v>
      </c>
      <c r="I3246" t="s">
        <v>86</v>
      </c>
      <c r="J3246">
        <v>52</v>
      </c>
      <c r="K3246" t="s">
        <v>83</v>
      </c>
      <c r="L3246" t="s">
        <v>90</v>
      </c>
      <c r="M3246" t="s">
        <v>55</v>
      </c>
      <c r="N3246" t="s">
        <v>2657</v>
      </c>
      <c r="O3246" t="s">
        <v>134</v>
      </c>
      <c r="P3246" t="s">
        <v>49</v>
      </c>
      <c r="Q3246" t="s">
        <v>140</v>
      </c>
      <c r="R3246">
        <v>4</v>
      </c>
      <c r="S3246">
        <v>599</v>
      </c>
      <c r="T3246">
        <v>0</v>
      </c>
      <c r="U3246">
        <v>2396</v>
      </c>
      <c r="V3246">
        <v>1000</v>
      </c>
      <c r="W3246">
        <v>1396</v>
      </c>
      <c r="X3246" t="s">
        <v>73</v>
      </c>
      <c r="Y3246" t="s">
        <v>68</v>
      </c>
      <c r="Z3246" t="s">
        <v>161</v>
      </c>
      <c r="AA3246" t="s">
        <v>167</v>
      </c>
      <c r="AB3246">
        <v>4.9000000000000004</v>
      </c>
      <c r="AC3246">
        <v>50</v>
      </c>
      <c r="AD3246">
        <v>245.16</v>
      </c>
      <c r="AE3246">
        <f t="shared" si="100"/>
        <v>1100.8399999999999</v>
      </c>
      <c r="AF3246" t="str">
        <f t="shared" si="101"/>
        <v>2026-02</v>
      </c>
      <c r="AG3246">
        <f>SUBTOTAL(103,A3246)</f>
        <v>1</v>
      </c>
    </row>
    <row r="3247" spans="1:33" x14ac:dyDescent="0.3">
      <c r="A3247" t="s">
        <v>5870</v>
      </c>
      <c r="B3247" s="13">
        <v>46077</v>
      </c>
      <c r="C3247">
        <v>2026</v>
      </c>
      <c r="D3247">
        <v>2</v>
      </c>
      <c r="E3247" t="s">
        <v>2849</v>
      </c>
      <c r="F3247" t="s">
        <v>2572</v>
      </c>
      <c r="G3247" t="s">
        <v>931</v>
      </c>
      <c r="H3247" t="s">
        <v>932</v>
      </c>
      <c r="I3247" t="s">
        <v>86</v>
      </c>
      <c r="J3247">
        <v>39</v>
      </c>
      <c r="K3247" t="s">
        <v>82</v>
      </c>
      <c r="L3247" t="s">
        <v>2579</v>
      </c>
      <c r="M3247" t="s">
        <v>56</v>
      </c>
      <c r="N3247" t="s">
        <v>2606</v>
      </c>
      <c r="O3247" t="s">
        <v>120</v>
      </c>
      <c r="P3247" t="s">
        <v>49</v>
      </c>
      <c r="Q3247" t="s">
        <v>140</v>
      </c>
      <c r="R3247">
        <v>2</v>
      </c>
      <c r="S3247">
        <v>2799</v>
      </c>
      <c r="T3247">
        <v>0.05</v>
      </c>
      <c r="U3247">
        <v>5318.1</v>
      </c>
      <c r="V3247">
        <v>3300</v>
      </c>
      <c r="W3247">
        <v>2018.1</v>
      </c>
      <c r="X3247" t="s">
        <v>74</v>
      </c>
      <c r="Y3247" t="s">
        <v>70</v>
      </c>
      <c r="Z3247" t="s">
        <v>161</v>
      </c>
      <c r="AA3247" t="s">
        <v>171</v>
      </c>
      <c r="AB3247">
        <v>3.8</v>
      </c>
      <c r="AC3247">
        <v>60</v>
      </c>
      <c r="AD3247">
        <v>314.58</v>
      </c>
      <c r="AE3247">
        <f t="shared" si="100"/>
        <v>1643.52</v>
      </c>
      <c r="AF3247" t="str">
        <f t="shared" si="101"/>
        <v>2026-02</v>
      </c>
      <c r="AG3247">
        <f>SUBTOTAL(103,A3247)</f>
        <v>1</v>
      </c>
    </row>
    <row r="3248" spans="1:33" x14ac:dyDescent="0.3">
      <c r="A3248" t="s">
        <v>5871</v>
      </c>
      <c r="B3248" s="13">
        <v>46077</v>
      </c>
      <c r="C3248">
        <v>2026</v>
      </c>
      <c r="D3248">
        <v>2</v>
      </c>
      <c r="E3248" t="s">
        <v>2849</v>
      </c>
      <c r="F3248" t="s">
        <v>2572</v>
      </c>
      <c r="G3248" t="s">
        <v>431</v>
      </c>
      <c r="H3248" t="s">
        <v>432</v>
      </c>
      <c r="I3248" t="s">
        <v>86</v>
      </c>
      <c r="J3248">
        <v>19</v>
      </c>
      <c r="K3248" t="s">
        <v>80</v>
      </c>
      <c r="L3248" t="s">
        <v>99</v>
      </c>
      <c r="M3248" t="s">
        <v>58</v>
      </c>
      <c r="N3248" t="s">
        <v>2592</v>
      </c>
      <c r="O3248" t="s">
        <v>115</v>
      </c>
      <c r="P3248" t="s">
        <v>48</v>
      </c>
      <c r="Q3248" t="s">
        <v>137</v>
      </c>
      <c r="R3248">
        <v>2</v>
      </c>
      <c r="S3248">
        <v>12999</v>
      </c>
      <c r="T3248">
        <v>0.05</v>
      </c>
      <c r="U3248">
        <v>24698.1</v>
      </c>
      <c r="V3248">
        <v>18000</v>
      </c>
      <c r="W3248">
        <v>6698.1</v>
      </c>
      <c r="X3248" t="s">
        <v>74</v>
      </c>
      <c r="Y3248" t="s">
        <v>68</v>
      </c>
      <c r="Z3248" t="s">
        <v>163</v>
      </c>
      <c r="AA3248" t="s">
        <v>166</v>
      </c>
      <c r="AB3248">
        <v>3.8</v>
      </c>
      <c r="AC3248">
        <v>60</v>
      </c>
      <c r="AD3248">
        <v>960.77</v>
      </c>
      <c r="AE3248">
        <f t="shared" si="100"/>
        <v>5677.33</v>
      </c>
      <c r="AF3248" t="str">
        <f t="shared" si="101"/>
        <v>2026-02</v>
      </c>
      <c r="AG3248">
        <f>SUBTOTAL(103,A3248)</f>
        <v>1</v>
      </c>
    </row>
    <row r="3249" spans="1:33" x14ac:dyDescent="0.3">
      <c r="A3249" t="s">
        <v>5872</v>
      </c>
      <c r="B3249" s="13">
        <v>46077</v>
      </c>
      <c r="C3249">
        <v>2026</v>
      </c>
      <c r="D3249">
        <v>2</v>
      </c>
      <c r="E3249" t="s">
        <v>2849</v>
      </c>
      <c r="F3249" t="s">
        <v>2572</v>
      </c>
      <c r="G3249" t="s">
        <v>1265</v>
      </c>
      <c r="H3249" t="s">
        <v>1266</v>
      </c>
      <c r="I3249" t="s">
        <v>85</v>
      </c>
      <c r="J3249">
        <v>27</v>
      </c>
      <c r="K3249" t="s">
        <v>81</v>
      </c>
      <c r="L3249" t="s">
        <v>2637</v>
      </c>
      <c r="M3249" t="s">
        <v>64</v>
      </c>
      <c r="N3249" t="s">
        <v>2606</v>
      </c>
      <c r="O3249" t="s">
        <v>120</v>
      </c>
      <c r="P3249" t="s">
        <v>49</v>
      </c>
      <c r="Q3249" t="s">
        <v>140</v>
      </c>
      <c r="R3249">
        <v>2</v>
      </c>
      <c r="S3249">
        <v>2799</v>
      </c>
      <c r="T3249">
        <v>0.05</v>
      </c>
      <c r="U3249">
        <v>5318.1</v>
      </c>
      <c r="V3249">
        <v>3300</v>
      </c>
      <c r="W3249">
        <v>2018.1</v>
      </c>
      <c r="X3249" t="s">
        <v>73</v>
      </c>
      <c r="Y3249" t="s">
        <v>68</v>
      </c>
      <c r="Z3249" t="s">
        <v>159</v>
      </c>
      <c r="AA3249" t="s">
        <v>166</v>
      </c>
      <c r="AB3249">
        <v>3.9</v>
      </c>
      <c r="AC3249">
        <v>40</v>
      </c>
      <c r="AD3249">
        <v>375.58</v>
      </c>
      <c r="AE3249">
        <f t="shared" si="100"/>
        <v>1602.52</v>
      </c>
      <c r="AF3249" t="str">
        <f t="shared" si="101"/>
        <v>2026-02</v>
      </c>
      <c r="AG3249">
        <f>SUBTOTAL(103,A3249)</f>
        <v>1</v>
      </c>
    </row>
    <row r="3250" spans="1:33" x14ac:dyDescent="0.3">
      <c r="A3250" t="s">
        <v>5873</v>
      </c>
      <c r="B3250" s="13">
        <v>46078</v>
      </c>
      <c r="C3250">
        <v>2026</v>
      </c>
      <c r="D3250">
        <v>2</v>
      </c>
      <c r="E3250" t="s">
        <v>2849</v>
      </c>
      <c r="F3250" t="s">
        <v>2572</v>
      </c>
      <c r="G3250" t="s">
        <v>2145</v>
      </c>
      <c r="H3250" t="s">
        <v>2146</v>
      </c>
      <c r="I3250" t="s">
        <v>86</v>
      </c>
      <c r="J3250">
        <v>25</v>
      </c>
      <c r="K3250" t="s">
        <v>80</v>
      </c>
      <c r="L3250" t="s">
        <v>98</v>
      </c>
      <c r="M3250" t="s">
        <v>55</v>
      </c>
      <c r="N3250" t="s">
        <v>2606</v>
      </c>
      <c r="O3250" t="s">
        <v>120</v>
      </c>
      <c r="P3250" t="s">
        <v>49</v>
      </c>
      <c r="Q3250" t="s">
        <v>140</v>
      </c>
      <c r="R3250">
        <v>1</v>
      </c>
      <c r="S3250">
        <v>2799</v>
      </c>
      <c r="T3250">
        <v>0</v>
      </c>
      <c r="U3250">
        <v>2799</v>
      </c>
      <c r="V3250">
        <v>1650</v>
      </c>
      <c r="W3250">
        <v>1149</v>
      </c>
      <c r="X3250" t="s">
        <v>73</v>
      </c>
      <c r="Y3250" t="s">
        <v>68</v>
      </c>
      <c r="Z3250" t="s">
        <v>161</v>
      </c>
      <c r="AA3250" t="s">
        <v>170</v>
      </c>
      <c r="AB3250">
        <v>3.3</v>
      </c>
      <c r="AC3250">
        <v>40</v>
      </c>
      <c r="AD3250">
        <v>106.29</v>
      </c>
      <c r="AE3250">
        <f t="shared" si="100"/>
        <v>1002.71</v>
      </c>
      <c r="AF3250" t="str">
        <f t="shared" si="101"/>
        <v>2026-02</v>
      </c>
      <c r="AG3250">
        <f>SUBTOTAL(103,A3250)</f>
        <v>1</v>
      </c>
    </row>
    <row r="3251" spans="1:33" x14ac:dyDescent="0.3">
      <c r="A3251" t="s">
        <v>5874</v>
      </c>
      <c r="B3251" s="13">
        <v>46078</v>
      </c>
      <c r="C3251">
        <v>2026</v>
      </c>
      <c r="D3251">
        <v>2</v>
      </c>
      <c r="E3251" t="s">
        <v>2849</v>
      </c>
      <c r="F3251" t="s">
        <v>2572</v>
      </c>
      <c r="G3251" t="s">
        <v>985</v>
      </c>
      <c r="H3251" t="s">
        <v>986</v>
      </c>
      <c r="I3251" t="s">
        <v>85</v>
      </c>
      <c r="J3251">
        <v>36</v>
      </c>
      <c r="K3251" t="s">
        <v>82</v>
      </c>
      <c r="L3251" t="s">
        <v>97</v>
      </c>
      <c r="M3251" t="s">
        <v>57</v>
      </c>
      <c r="N3251" t="s">
        <v>2647</v>
      </c>
      <c r="O3251" t="s">
        <v>133</v>
      </c>
      <c r="P3251" t="s">
        <v>50</v>
      </c>
      <c r="Q3251" t="s">
        <v>145</v>
      </c>
      <c r="R3251">
        <v>4</v>
      </c>
      <c r="S3251">
        <v>799</v>
      </c>
      <c r="T3251">
        <v>0.05</v>
      </c>
      <c r="U3251">
        <v>3036.2</v>
      </c>
      <c r="V3251">
        <v>1560</v>
      </c>
      <c r="W3251">
        <v>1476.2</v>
      </c>
      <c r="X3251" t="s">
        <v>76</v>
      </c>
      <c r="Y3251" t="s">
        <v>68</v>
      </c>
      <c r="Z3251" t="s">
        <v>162</v>
      </c>
      <c r="AA3251" t="s">
        <v>166</v>
      </c>
      <c r="AB3251">
        <v>3.4</v>
      </c>
      <c r="AC3251">
        <v>50</v>
      </c>
      <c r="AD3251">
        <v>250.15</v>
      </c>
      <c r="AE3251">
        <f t="shared" si="100"/>
        <v>1176.05</v>
      </c>
      <c r="AF3251" t="str">
        <f t="shared" si="101"/>
        <v>2026-02</v>
      </c>
      <c r="AG3251">
        <f>SUBTOTAL(103,A3251)</f>
        <v>1</v>
      </c>
    </row>
    <row r="3252" spans="1:33" x14ac:dyDescent="0.3">
      <c r="A3252" t="s">
        <v>5875</v>
      </c>
      <c r="B3252" s="13">
        <v>46078</v>
      </c>
      <c r="C3252">
        <v>2026</v>
      </c>
      <c r="D3252">
        <v>2</v>
      </c>
      <c r="E3252" t="s">
        <v>2849</v>
      </c>
      <c r="F3252" t="s">
        <v>2572</v>
      </c>
      <c r="G3252" t="s">
        <v>2015</v>
      </c>
      <c r="H3252" t="s">
        <v>2016</v>
      </c>
      <c r="I3252" t="s">
        <v>86</v>
      </c>
      <c r="J3252">
        <v>33</v>
      </c>
      <c r="K3252" t="s">
        <v>81</v>
      </c>
      <c r="L3252" t="s">
        <v>97</v>
      </c>
      <c r="M3252" t="s">
        <v>57</v>
      </c>
      <c r="N3252" t="s">
        <v>2574</v>
      </c>
      <c r="O3252" t="s">
        <v>130</v>
      </c>
      <c r="P3252" t="s">
        <v>50</v>
      </c>
      <c r="Q3252" t="s">
        <v>53</v>
      </c>
      <c r="R3252">
        <v>2</v>
      </c>
      <c r="S3252">
        <v>1199</v>
      </c>
      <c r="T3252">
        <v>0.15</v>
      </c>
      <c r="U3252">
        <v>2038.3</v>
      </c>
      <c r="V3252">
        <v>1100</v>
      </c>
      <c r="W3252">
        <v>938.3</v>
      </c>
      <c r="X3252" t="s">
        <v>76</v>
      </c>
      <c r="Y3252" t="s">
        <v>68</v>
      </c>
      <c r="Z3252" t="s">
        <v>159</v>
      </c>
      <c r="AA3252" t="s">
        <v>166</v>
      </c>
      <c r="AB3252">
        <v>3.6</v>
      </c>
      <c r="AC3252">
        <v>80</v>
      </c>
      <c r="AD3252">
        <v>116.41</v>
      </c>
      <c r="AE3252">
        <f t="shared" si="100"/>
        <v>741.89</v>
      </c>
      <c r="AF3252" t="str">
        <f t="shared" si="101"/>
        <v>2026-02</v>
      </c>
      <c r="AG3252">
        <f>SUBTOTAL(103,A3252)</f>
        <v>1</v>
      </c>
    </row>
    <row r="3253" spans="1:33" x14ac:dyDescent="0.3">
      <c r="A3253" t="s">
        <v>5876</v>
      </c>
      <c r="B3253" s="13">
        <v>46078</v>
      </c>
      <c r="C3253">
        <v>2026</v>
      </c>
      <c r="D3253">
        <v>2</v>
      </c>
      <c r="E3253" t="s">
        <v>2849</v>
      </c>
      <c r="F3253" t="s">
        <v>2572</v>
      </c>
      <c r="G3253" t="s">
        <v>1271</v>
      </c>
      <c r="H3253" t="s">
        <v>1272</v>
      </c>
      <c r="I3253" t="s">
        <v>86</v>
      </c>
      <c r="J3253">
        <v>22</v>
      </c>
      <c r="K3253" t="s">
        <v>80</v>
      </c>
      <c r="L3253" t="s">
        <v>2579</v>
      </c>
      <c r="M3253" t="s">
        <v>56</v>
      </c>
      <c r="N3253" t="s">
        <v>2584</v>
      </c>
      <c r="O3253" t="s">
        <v>121</v>
      </c>
      <c r="P3253" t="s">
        <v>50</v>
      </c>
      <c r="Q3253" t="s">
        <v>144</v>
      </c>
      <c r="R3253">
        <v>2</v>
      </c>
      <c r="S3253">
        <v>2999</v>
      </c>
      <c r="T3253">
        <v>0.1</v>
      </c>
      <c r="U3253">
        <v>5398.2</v>
      </c>
      <c r="V3253">
        <v>3400</v>
      </c>
      <c r="W3253">
        <v>1998.2</v>
      </c>
      <c r="X3253" t="s">
        <v>77</v>
      </c>
      <c r="Y3253" t="s">
        <v>68</v>
      </c>
      <c r="Z3253" t="s">
        <v>159</v>
      </c>
      <c r="AA3253" t="s">
        <v>167</v>
      </c>
      <c r="AB3253">
        <v>4.2</v>
      </c>
      <c r="AC3253">
        <v>60</v>
      </c>
      <c r="AD3253">
        <v>451.05</v>
      </c>
      <c r="AE3253">
        <f t="shared" si="100"/>
        <v>1487.15</v>
      </c>
      <c r="AF3253" t="str">
        <f t="shared" si="101"/>
        <v>2026-02</v>
      </c>
      <c r="AG3253">
        <f>SUBTOTAL(103,A3253)</f>
        <v>1</v>
      </c>
    </row>
    <row r="3254" spans="1:33" x14ac:dyDescent="0.3">
      <c r="A3254" t="s">
        <v>5877</v>
      </c>
      <c r="B3254" s="13">
        <v>46078</v>
      </c>
      <c r="C3254">
        <v>2026</v>
      </c>
      <c r="D3254">
        <v>2</v>
      </c>
      <c r="E3254" t="s">
        <v>2849</v>
      </c>
      <c r="F3254" t="s">
        <v>2572</v>
      </c>
      <c r="G3254" t="s">
        <v>2145</v>
      </c>
      <c r="H3254" t="s">
        <v>2146</v>
      </c>
      <c r="I3254" t="s">
        <v>86</v>
      </c>
      <c r="J3254">
        <v>25</v>
      </c>
      <c r="K3254" t="s">
        <v>80</v>
      </c>
      <c r="L3254" t="s">
        <v>98</v>
      </c>
      <c r="M3254" t="s">
        <v>55</v>
      </c>
      <c r="N3254" t="s">
        <v>2580</v>
      </c>
      <c r="O3254" t="s">
        <v>118</v>
      </c>
      <c r="P3254" t="s">
        <v>48</v>
      </c>
      <c r="Q3254" t="s">
        <v>142</v>
      </c>
      <c r="R3254">
        <v>1</v>
      </c>
      <c r="S3254">
        <v>3999</v>
      </c>
      <c r="T3254">
        <v>0.15</v>
      </c>
      <c r="U3254">
        <v>3399.15</v>
      </c>
      <c r="V3254">
        <v>2400</v>
      </c>
      <c r="W3254">
        <v>999.15</v>
      </c>
      <c r="X3254" t="s">
        <v>77</v>
      </c>
      <c r="Y3254" t="s">
        <v>68</v>
      </c>
      <c r="Z3254" t="s">
        <v>158</v>
      </c>
      <c r="AA3254" t="s">
        <v>168</v>
      </c>
      <c r="AB3254">
        <v>4.5</v>
      </c>
      <c r="AC3254">
        <v>50</v>
      </c>
      <c r="AD3254">
        <v>378.62</v>
      </c>
      <c r="AE3254">
        <f t="shared" si="100"/>
        <v>570.53</v>
      </c>
      <c r="AF3254" t="str">
        <f t="shared" si="101"/>
        <v>2026-02</v>
      </c>
      <c r="AG3254">
        <f>SUBTOTAL(103,A3254)</f>
        <v>1</v>
      </c>
    </row>
    <row r="3255" spans="1:33" x14ac:dyDescent="0.3">
      <c r="A3255" t="s">
        <v>5878</v>
      </c>
      <c r="B3255" s="13">
        <v>46078</v>
      </c>
      <c r="C3255">
        <v>2026</v>
      </c>
      <c r="D3255">
        <v>2</v>
      </c>
      <c r="E3255" t="s">
        <v>2849</v>
      </c>
      <c r="F3255" t="s">
        <v>2572</v>
      </c>
      <c r="G3255" t="s">
        <v>477</v>
      </c>
      <c r="H3255" t="s">
        <v>478</v>
      </c>
      <c r="I3255" t="s">
        <v>86</v>
      </c>
      <c r="J3255">
        <v>59</v>
      </c>
      <c r="K3255" t="s">
        <v>83</v>
      </c>
      <c r="L3255" t="s">
        <v>99</v>
      </c>
      <c r="M3255" t="s">
        <v>58</v>
      </c>
      <c r="N3255" t="s">
        <v>2594</v>
      </c>
      <c r="O3255" t="s">
        <v>131</v>
      </c>
      <c r="P3255" t="s">
        <v>53</v>
      </c>
      <c r="Q3255" t="s">
        <v>143</v>
      </c>
      <c r="R3255">
        <v>1</v>
      </c>
      <c r="S3255">
        <v>999</v>
      </c>
      <c r="T3255">
        <v>0</v>
      </c>
      <c r="U3255">
        <v>999</v>
      </c>
      <c r="V3255">
        <v>520</v>
      </c>
      <c r="W3255">
        <v>479</v>
      </c>
      <c r="X3255" t="s">
        <v>74</v>
      </c>
      <c r="Y3255" t="s">
        <v>68</v>
      </c>
      <c r="Z3255" t="s">
        <v>161</v>
      </c>
      <c r="AA3255" t="s">
        <v>170</v>
      </c>
      <c r="AB3255">
        <v>3.5</v>
      </c>
      <c r="AC3255">
        <v>50</v>
      </c>
      <c r="AD3255">
        <v>53.18</v>
      </c>
      <c r="AE3255">
        <f t="shared" si="100"/>
        <v>375.82</v>
      </c>
      <c r="AF3255" t="str">
        <f t="shared" si="101"/>
        <v>2026-02</v>
      </c>
      <c r="AG3255">
        <f>SUBTOTAL(103,A3255)</f>
        <v>1</v>
      </c>
    </row>
    <row r="3256" spans="1:33" x14ac:dyDescent="0.3">
      <c r="A3256" t="s">
        <v>5879</v>
      </c>
      <c r="B3256" s="13">
        <v>46078</v>
      </c>
      <c r="C3256">
        <v>2026</v>
      </c>
      <c r="D3256">
        <v>2</v>
      </c>
      <c r="E3256" t="s">
        <v>2849</v>
      </c>
      <c r="F3256" t="s">
        <v>2572</v>
      </c>
      <c r="G3256" t="s">
        <v>2441</v>
      </c>
      <c r="H3256" t="s">
        <v>2442</v>
      </c>
      <c r="I3256" t="s">
        <v>85</v>
      </c>
      <c r="J3256">
        <v>37</v>
      </c>
      <c r="K3256" t="s">
        <v>82</v>
      </c>
      <c r="L3256" t="s">
        <v>2679</v>
      </c>
      <c r="M3256" t="s">
        <v>60</v>
      </c>
      <c r="N3256" t="s">
        <v>2630</v>
      </c>
      <c r="O3256" t="s">
        <v>123</v>
      </c>
      <c r="P3256" t="s">
        <v>52</v>
      </c>
      <c r="Q3256" t="s">
        <v>146</v>
      </c>
      <c r="R3256">
        <v>1</v>
      </c>
      <c r="S3256">
        <v>2499</v>
      </c>
      <c r="T3256">
        <v>0.05</v>
      </c>
      <c r="U3256">
        <v>2374.0500000000002</v>
      </c>
      <c r="V3256">
        <v>1400</v>
      </c>
      <c r="W3256">
        <v>974.05</v>
      </c>
      <c r="X3256" t="s">
        <v>75</v>
      </c>
      <c r="Y3256" t="s">
        <v>68</v>
      </c>
      <c r="Z3256" t="s">
        <v>162</v>
      </c>
      <c r="AA3256" t="s">
        <v>167</v>
      </c>
      <c r="AB3256">
        <v>4</v>
      </c>
      <c r="AC3256">
        <v>100</v>
      </c>
      <c r="AD3256">
        <v>48.99</v>
      </c>
      <c r="AE3256">
        <f t="shared" si="100"/>
        <v>825.06</v>
      </c>
      <c r="AF3256" t="str">
        <f t="shared" si="101"/>
        <v>2026-02</v>
      </c>
      <c r="AG3256">
        <f>SUBTOTAL(103,A3256)</f>
        <v>1</v>
      </c>
    </row>
    <row r="3257" spans="1:33" x14ac:dyDescent="0.3">
      <c r="A3257" t="s">
        <v>5880</v>
      </c>
      <c r="B3257" s="13">
        <v>46078</v>
      </c>
      <c r="C3257">
        <v>2026</v>
      </c>
      <c r="D3257">
        <v>2</v>
      </c>
      <c r="E3257" t="s">
        <v>2849</v>
      </c>
      <c r="F3257" t="s">
        <v>2572</v>
      </c>
      <c r="G3257" t="s">
        <v>725</v>
      </c>
      <c r="H3257" t="s">
        <v>726</v>
      </c>
      <c r="I3257" t="s">
        <v>85</v>
      </c>
      <c r="J3257">
        <v>22</v>
      </c>
      <c r="K3257" t="s">
        <v>80</v>
      </c>
      <c r="L3257" t="s">
        <v>2612</v>
      </c>
      <c r="M3257" t="s">
        <v>64</v>
      </c>
      <c r="N3257" t="s">
        <v>2644</v>
      </c>
      <c r="O3257" t="s">
        <v>126</v>
      </c>
      <c r="P3257" t="s">
        <v>50</v>
      </c>
      <c r="Q3257" t="s">
        <v>145</v>
      </c>
      <c r="R3257">
        <v>4</v>
      </c>
      <c r="S3257">
        <v>1799</v>
      </c>
      <c r="T3257">
        <v>0.1</v>
      </c>
      <c r="U3257">
        <v>6476.4</v>
      </c>
      <c r="V3257">
        <v>3800</v>
      </c>
      <c r="W3257">
        <v>2676.4</v>
      </c>
      <c r="X3257" t="s">
        <v>73</v>
      </c>
      <c r="Y3257" t="s">
        <v>68</v>
      </c>
      <c r="Z3257" t="s">
        <v>162</v>
      </c>
      <c r="AA3257" t="s">
        <v>168</v>
      </c>
      <c r="AB3257">
        <v>4</v>
      </c>
      <c r="AC3257">
        <v>100</v>
      </c>
      <c r="AD3257">
        <v>202.94</v>
      </c>
      <c r="AE3257">
        <f t="shared" si="100"/>
        <v>2373.46</v>
      </c>
      <c r="AF3257" t="str">
        <f t="shared" si="101"/>
        <v>2026-02</v>
      </c>
      <c r="AG3257">
        <f>SUBTOTAL(103,A3257)</f>
        <v>1</v>
      </c>
    </row>
    <row r="3258" spans="1:33" x14ac:dyDescent="0.3">
      <c r="A3258" t="s">
        <v>5881</v>
      </c>
      <c r="B3258" s="13">
        <v>46078</v>
      </c>
      <c r="C3258">
        <v>2026</v>
      </c>
      <c r="D3258">
        <v>2</v>
      </c>
      <c r="E3258" t="s">
        <v>2849</v>
      </c>
      <c r="F3258" t="s">
        <v>2572</v>
      </c>
      <c r="G3258" t="s">
        <v>749</v>
      </c>
      <c r="H3258" t="s">
        <v>750</v>
      </c>
      <c r="I3258" t="s">
        <v>85</v>
      </c>
      <c r="J3258">
        <v>56</v>
      </c>
      <c r="K3258" t="s">
        <v>83</v>
      </c>
      <c r="L3258" t="s">
        <v>97</v>
      </c>
      <c r="M3258" t="s">
        <v>57</v>
      </c>
      <c r="N3258" t="s">
        <v>2594</v>
      </c>
      <c r="O3258" t="s">
        <v>131</v>
      </c>
      <c r="P3258" t="s">
        <v>53</v>
      </c>
      <c r="Q3258" t="s">
        <v>143</v>
      </c>
      <c r="R3258">
        <v>1</v>
      </c>
      <c r="S3258">
        <v>999</v>
      </c>
      <c r="T3258">
        <v>0.2</v>
      </c>
      <c r="U3258">
        <v>799.2</v>
      </c>
      <c r="V3258">
        <v>520</v>
      </c>
      <c r="W3258">
        <v>279.2</v>
      </c>
      <c r="X3258" t="s">
        <v>73</v>
      </c>
      <c r="Y3258" t="s">
        <v>68</v>
      </c>
      <c r="Z3258" t="s">
        <v>160</v>
      </c>
      <c r="AA3258" t="s">
        <v>168</v>
      </c>
      <c r="AB3258">
        <v>4.8</v>
      </c>
      <c r="AC3258">
        <v>40</v>
      </c>
      <c r="AD3258">
        <v>22.44</v>
      </c>
      <c r="AE3258">
        <f t="shared" si="100"/>
        <v>216.76</v>
      </c>
      <c r="AF3258" t="str">
        <f t="shared" si="101"/>
        <v>2026-02</v>
      </c>
      <c r="AG3258">
        <f>SUBTOTAL(103,A3258)</f>
        <v>1</v>
      </c>
    </row>
    <row r="3259" spans="1:33" x14ac:dyDescent="0.3">
      <c r="A3259" t="s">
        <v>5882</v>
      </c>
      <c r="B3259" s="13">
        <v>46079</v>
      </c>
      <c r="C3259">
        <v>2026</v>
      </c>
      <c r="D3259">
        <v>2</v>
      </c>
      <c r="E3259" t="s">
        <v>2849</v>
      </c>
      <c r="F3259" t="s">
        <v>2572</v>
      </c>
      <c r="G3259" t="s">
        <v>2383</v>
      </c>
      <c r="H3259" t="s">
        <v>2384</v>
      </c>
      <c r="I3259" t="s">
        <v>85</v>
      </c>
      <c r="J3259">
        <v>59</v>
      </c>
      <c r="K3259" t="s">
        <v>83</v>
      </c>
      <c r="L3259" t="s">
        <v>92</v>
      </c>
      <c r="M3259" t="s">
        <v>59</v>
      </c>
      <c r="N3259" t="s">
        <v>2653</v>
      </c>
      <c r="O3259" t="s">
        <v>132</v>
      </c>
      <c r="P3259" t="s">
        <v>52</v>
      </c>
      <c r="Q3259" t="s">
        <v>150</v>
      </c>
      <c r="R3259">
        <v>1</v>
      </c>
      <c r="S3259">
        <v>899</v>
      </c>
      <c r="T3259">
        <v>0.1</v>
      </c>
      <c r="U3259">
        <v>809.1</v>
      </c>
      <c r="V3259">
        <v>420</v>
      </c>
      <c r="W3259">
        <v>389.1</v>
      </c>
      <c r="X3259" t="s">
        <v>73</v>
      </c>
      <c r="Y3259" t="s">
        <v>68</v>
      </c>
      <c r="Z3259" t="s">
        <v>162</v>
      </c>
      <c r="AA3259" t="s">
        <v>167</v>
      </c>
      <c r="AB3259">
        <v>3.9</v>
      </c>
      <c r="AC3259">
        <v>60</v>
      </c>
      <c r="AD3259">
        <v>63.07</v>
      </c>
      <c r="AE3259">
        <f t="shared" si="100"/>
        <v>266.03000000000003</v>
      </c>
      <c r="AF3259" t="str">
        <f t="shared" si="101"/>
        <v>2026-02</v>
      </c>
      <c r="AG3259">
        <f>SUBTOTAL(103,A3259)</f>
        <v>1</v>
      </c>
    </row>
    <row r="3260" spans="1:33" x14ac:dyDescent="0.3">
      <c r="A3260" t="s">
        <v>5883</v>
      </c>
      <c r="B3260" s="13">
        <v>46079</v>
      </c>
      <c r="C3260">
        <v>2026</v>
      </c>
      <c r="D3260">
        <v>2</v>
      </c>
      <c r="E3260" t="s">
        <v>2849</v>
      </c>
      <c r="F3260" t="s">
        <v>2572</v>
      </c>
      <c r="G3260" t="s">
        <v>2073</v>
      </c>
      <c r="H3260" t="s">
        <v>2074</v>
      </c>
      <c r="I3260" t="s">
        <v>85</v>
      </c>
      <c r="J3260">
        <v>34</v>
      </c>
      <c r="K3260" t="s">
        <v>81</v>
      </c>
      <c r="L3260" t="s">
        <v>2610</v>
      </c>
      <c r="M3260" t="s">
        <v>64</v>
      </c>
      <c r="N3260" t="s">
        <v>2603</v>
      </c>
      <c r="O3260" t="s">
        <v>122</v>
      </c>
      <c r="P3260" t="s">
        <v>48</v>
      </c>
      <c r="Q3260" t="s">
        <v>141</v>
      </c>
      <c r="R3260">
        <v>1</v>
      </c>
      <c r="S3260">
        <v>2499</v>
      </c>
      <c r="T3260">
        <v>0.15</v>
      </c>
      <c r="U3260">
        <v>2124.15</v>
      </c>
      <c r="V3260">
        <v>1450</v>
      </c>
      <c r="W3260">
        <v>674.15</v>
      </c>
      <c r="X3260" t="s">
        <v>74</v>
      </c>
      <c r="Y3260" t="s">
        <v>70</v>
      </c>
      <c r="Z3260" t="s">
        <v>159</v>
      </c>
      <c r="AA3260" t="s">
        <v>169</v>
      </c>
      <c r="AB3260">
        <v>2.9</v>
      </c>
      <c r="AC3260">
        <v>120</v>
      </c>
      <c r="AD3260">
        <v>49.37</v>
      </c>
      <c r="AE3260">
        <f t="shared" si="100"/>
        <v>504.78</v>
      </c>
      <c r="AF3260" t="str">
        <f t="shared" si="101"/>
        <v>2026-02</v>
      </c>
      <c r="AG3260">
        <f>SUBTOTAL(103,A3260)</f>
        <v>1</v>
      </c>
    </row>
    <row r="3261" spans="1:33" x14ac:dyDescent="0.3">
      <c r="A3261" t="s">
        <v>5884</v>
      </c>
      <c r="B3261" s="13">
        <v>46079</v>
      </c>
      <c r="C3261">
        <v>2026</v>
      </c>
      <c r="D3261">
        <v>2</v>
      </c>
      <c r="E3261" t="s">
        <v>2849</v>
      </c>
      <c r="F3261" t="s">
        <v>2572</v>
      </c>
      <c r="G3261" t="s">
        <v>2211</v>
      </c>
      <c r="H3261" t="s">
        <v>2212</v>
      </c>
      <c r="I3261" t="s">
        <v>85</v>
      </c>
      <c r="J3261">
        <v>51</v>
      </c>
      <c r="K3261" t="s">
        <v>83</v>
      </c>
      <c r="L3261" t="s">
        <v>2661</v>
      </c>
      <c r="M3261" t="s">
        <v>58</v>
      </c>
      <c r="N3261" t="s">
        <v>2630</v>
      </c>
      <c r="O3261" t="s">
        <v>123</v>
      </c>
      <c r="P3261" t="s">
        <v>52</v>
      </c>
      <c r="Q3261" t="s">
        <v>146</v>
      </c>
      <c r="R3261">
        <v>1</v>
      </c>
      <c r="S3261">
        <v>2499</v>
      </c>
      <c r="T3261">
        <v>0.1</v>
      </c>
      <c r="U3261">
        <v>2249.1</v>
      </c>
      <c r="V3261">
        <v>1400</v>
      </c>
      <c r="W3261">
        <v>849.1</v>
      </c>
      <c r="X3261" t="s">
        <v>73</v>
      </c>
      <c r="Y3261" t="s">
        <v>68</v>
      </c>
      <c r="Z3261" t="s">
        <v>163</v>
      </c>
      <c r="AA3261" t="s">
        <v>167</v>
      </c>
      <c r="AB3261">
        <v>3.2</v>
      </c>
      <c r="AC3261">
        <v>80</v>
      </c>
      <c r="AD3261">
        <v>193.76</v>
      </c>
      <c r="AE3261">
        <f t="shared" si="100"/>
        <v>575.34</v>
      </c>
      <c r="AF3261" t="str">
        <f t="shared" si="101"/>
        <v>2026-02</v>
      </c>
      <c r="AG3261">
        <f>SUBTOTAL(103,A3261)</f>
        <v>1</v>
      </c>
    </row>
    <row r="3262" spans="1:33" x14ac:dyDescent="0.3">
      <c r="A3262" t="s">
        <v>5885</v>
      </c>
      <c r="B3262" s="13">
        <v>46079</v>
      </c>
      <c r="C3262">
        <v>2026</v>
      </c>
      <c r="D3262">
        <v>2</v>
      </c>
      <c r="E3262" t="s">
        <v>2849</v>
      </c>
      <c r="F3262" t="s">
        <v>2572</v>
      </c>
      <c r="G3262" t="s">
        <v>2423</v>
      </c>
      <c r="H3262" t="s">
        <v>2424</v>
      </c>
      <c r="I3262" t="s">
        <v>85</v>
      </c>
      <c r="J3262">
        <v>37</v>
      </c>
      <c r="K3262" t="s">
        <v>82</v>
      </c>
      <c r="L3262" t="s">
        <v>2573</v>
      </c>
      <c r="M3262" t="s">
        <v>63</v>
      </c>
      <c r="N3262" t="s">
        <v>2590</v>
      </c>
      <c r="O3262" t="s">
        <v>127</v>
      </c>
      <c r="P3262" t="s">
        <v>51</v>
      </c>
      <c r="Q3262" t="s">
        <v>148</v>
      </c>
      <c r="R3262">
        <v>2</v>
      </c>
      <c r="S3262">
        <v>1599</v>
      </c>
      <c r="T3262">
        <v>0.1</v>
      </c>
      <c r="U3262">
        <v>2878.2</v>
      </c>
      <c r="V3262">
        <v>1600</v>
      </c>
      <c r="W3262">
        <v>1278.2</v>
      </c>
      <c r="X3262" t="s">
        <v>77</v>
      </c>
      <c r="Y3262" t="s">
        <v>68</v>
      </c>
      <c r="Z3262" t="s">
        <v>161</v>
      </c>
      <c r="AA3262" t="s">
        <v>170</v>
      </c>
      <c r="AB3262">
        <v>3.6</v>
      </c>
      <c r="AC3262">
        <v>80</v>
      </c>
      <c r="AD3262">
        <v>281.18</v>
      </c>
      <c r="AE3262">
        <f t="shared" si="100"/>
        <v>917.02</v>
      </c>
      <c r="AF3262" t="str">
        <f t="shared" si="101"/>
        <v>2026-02</v>
      </c>
      <c r="AG3262">
        <f>SUBTOTAL(103,A3262)</f>
        <v>1</v>
      </c>
    </row>
    <row r="3263" spans="1:33" x14ac:dyDescent="0.3">
      <c r="A3263" t="s">
        <v>5886</v>
      </c>
      <c r="B3263" s="13">
        <v>46079</v>
      </c>
      <c r="C3263">
        <v>2026</v>
      </c>
      <c r="D3263">
        <v>2</v>
      </c>
      <c r="E3263" t="s">
        <v>2849</v>
      </c>
      <c r="F3263" t="s">
        <v>2572</v>
      </c>
      <c r="G3263" t="s">
        <v>931</v>
      </c>
      <c r="H3263" t="s">
        <v>932</v>
      </c>
      <c r="I3263" t="s">
        <v>86</v>
      </c>
      <c r="J3263">
        <v>39</v>
      </c>
      <c r="K3263" t="s">
        <v>82</v>
      </c>
      <c r="L3263" t="s">
        <v>2579</v>
      </c>
      <c r="M3263" t="s">
        <v>56</v>
      </c>
      <c r="N3263" t="s">
        <v>2665</v>
      </c>
      <c r="O3263" t="s">
        <v>128</v>
      </c>
      <c r="P3263" t="s">
        <v>53</v>
      </c>
      <c r="Q3263" t="s">
        <v>143</v>
      </c>
      <c r="R3263">
        <v>2</v>
      </c>
      <c r="S3263">
        <v>1499</v>
      </c>
      <c r="T3263">
        <v>0.15</v>
      </c>
      <c r="U3263">
        <v>2548.3000000000002</v>
      </c>
      <c r="V3263">
        <v>1600</v>
      </c>
      <c r="W3263">
        <v>948.3</v>
      </c>
      <c r="X3263" t="s">
        <v>75</v>
      </c>
      <c r="Y3263" t="s">
        <v>68</v>
      </c>
      <c r="Z3263" t="s">
        <v>158</v>
      </c>
      <c r="AA3263" t="s">
        <v>167</v>
      </c>
      <c r="AB3263">
        <v>4.4000000000000004</v>
      </c>
      <c r="AC3263">
        <v>80</v>
      </c>
      <c r="AD3263">
        <v>297.49</v>
      </c>
      <c r="AE3263">
        <f t="shared" si="100"/>
        <v>570.80999999999995</v>
      </c>
      <c r="AF3263" t="str">
        <f t="shared" si="101"/>
        <v>2026-02</v>
      </c>
      <c r="AG3263">
        <f>SUBTOTAL(103,A3263)</f>
        <v>1</v>
      </c>
    </row>
    <row r="3264" spans="1:33" x14ac:dyDescent="0.3">
      <c r="A3264" t="s">
        <v>5887</v>
      </c>
      <c r="B3264" s="13">
        <v>46079</v>
      </c>
      <c r="C3264">
        <v>2026</v>
      </c>
      <c r="D3264">
        <v>2</v>
      </c>
      <c r="E3264" t="s">
        <v>2849</v>
      </c>
      <c r="F3264" t="s">
        <v>2572</v>
      </c>
      <c r="G3264" t="s">
        <v>869</v>
      </c>
      <c r="H3264" t="s">
        <v>870</v>
      </c>
      <c r="I3264" t="s">
        <v>86</v>
      </c>
      <c r="J3264">
        <v>28</v>
      </c>
      <c r="K3264" t="s">
        <v>81</v>
      </c>
      <c r="L3264" t="s">
        <v>95</v>
      </c>
      <c r="M3264" t="s">
        <v>56</v>
      </c>
      <c r="N3264" t="s">
        <v>2601</v>
      </c>
      <c r="O3264" t="s">
        <v>117</v>
      </c>
      <c r="P3264" t="s">
        <v>49</v>
      </c>
      <c r="Q3264" t="s">
        <v>139</v>
      </c>
      <c r="R3264">
        <v>1</v>
      </c>
      <c r="S3264">
        <v>6999</v>
      </c>
      <c r="T3264">
        <v>0.05</v>
      </c>
      <c r="U3264">
        <v>6649.05</v>
      </c>
      <c r="V3264">
        <v>4300</v>
      </c>
      <c r="W3264">
        <v>2349.0500000000002</v>
      </c>
      <c r="X3264" t="s">
        <v>74</v>
      </c>
      <c r="Y3264" t="s">
        <v>69</v>
      </c>
      <c r="Z3264" t="s">
        <v>158</v>
      </c>
      <c r="AA3264" t="s">
        <v>166</v>
      </c>
      <c r="AB3264">
        <v>4.8</v>
      </c>
      <c r="AC3264">
        <v>80</v>
      </c>
      <c r="AD3264">
        <v>614.66999999999996</v>
      </c>
      <c r="AE3264">
        <f t="shared" si="100"/>
        <v>1654.38</v>
      </c>
      <c r="AF3264" t="str">
        <f t="shared" si="101"/>
        <v>2026-02</v>
      </c>
      <c r="AG3264">
        <f>SUBTOTAL(103,A3264)</f>
        <v>1</v>
      </c>
    </row>
    <row r="3265" spans="1:33" x14ac:dyDescent="0.3">
      <c r="A3265" t="s">
        <v>5888</v>
      </c>
      <c r="B3265" s="13">
        <v>46079</v>
      </c>
      <c r="C3265">
        <v>2026</v>
      </c>
      <c r="D3265">
        <v>2</v>
      </c>
      <c r="E3265" t="s">
        <v>2849</v>
      </c>
      <c r="F3265" t="s">
        <v>2572</v>
      </c>
      <c r="G3265" t="s">
        <v>817</v>
      </c>
      <c r="H3265" t="s">
        <v>818</v>
      </c>
      <c r="I3265" t="s">
        <v>86</v>
      </c>
      <c r="J3265">
        <v>49</v>
      </c>
      <c r="K3265" t="s">
        <v>83</v>
      </c>
      <c r="L3265" t="s">
        <v>90</v>
      </c>
      <c r="M3265" t="s">
        <v>55</v>
      </c>
      <c r="N3265" t="s">
        <v>2574</v>
      </c>
      <c r="O3265" t="s">
        <v>130</v>
      </c>
      <c r="P3265" t="s">
        <v>50</v>
      </c>
      <c r="Q3265" t="s">
        <v>53</v>
      </c>
      <c r="R3265">
        <v>2</v>
      </c>
      <c r="S3265">
        <v>1199</v>
      </c>
      <c r="T3265">
        <v>0.15</v>
      </c>
      <c r="U3265">
        <v>2038.3</v>
      </c>
      <c r="V3265">
        <v>1100</v>
      </c>
      <c r="W3265">
        <v>938.3</v>
      </c>
      <c r="X3265" t="s">
        <v>73</v>
      </c>
      <c r="Y3265" t="s">
        <v>68</v>
      </c>
      <c r="Z3265" t="s">
        <v>163</v>
      </c>
      <c r="AA3265" t="s">
        <v>167</v>
      </c>
      <c r="AB3265">
        <v>4.5</v>
      </c>
      <c r="AC3265">
        <v>80</v>
      </c>
      <c r="AD3265">
        <v>117.28</v>
      </c>
      <c r="AE3265">
        <f t="shared" si="100"/>
        <v>741.02</v>
      </c>
      <c r="AF3265" t="str">
        <f t="shared" si="101"/>
        <v>2026-02</v>
      </c>
      <c r="AG3265">
        <f>SUBTOTAL(103,A3265)</f>
        <v>1</v>
      </c>
    </row>
    <row r="3266" spans="1:33" x14ac:dyDescent="0.3">
      <c r="A3266" t="s">
        <v>5889</v>
      </c>
      <c r="B3266" s="13">
        <v>46079</v>
      </c>
      <c r="C3266">
        <v>2026</v>
      </c>
      <c r="D3266">
        <v>2</v>
      </c>
      <c r="E3266" t="s">
        <v>2849</v>
      </c>
      <c r="F3266" t="s">
        <v>2572</v>
      </c>
      <c r="G3266" t="s">
        <v>1209</v>
      </c>
      <c r="H3266" t="s">
        <v>1210</v>
      </c>
      <c r="I3266" t="s">
        <v>85</v>
      </c>
      <c r="J3266">
        <v>32</v>
      </c>
      <c r="K3266" t="s">
        <v>81</v>
      </c>
      <c r="L3266" t="s">
        <v>99</v>
      </c>
      <c r="M3266" t="s">
        <v>58</v>
      </c>
      <c r="N3266" t="s">
        <v>2590</v>
      </c>
      <c r="O3266" t="s">
        <v>127</v>
      </c>
      <c r="P3266" t="s">
        <v>51</v>
      </c>
      <c r="Q3266" t="s">
        <v>148</v>
      </c>
      <c r="R3266">
        <v>2</v>
      </c>
      <c r="S3266">
        <v>1599</v>
      </c>
      <c r="T3266">
        <v>0</v>
      </c>
      <c r="U3266">
        <v>3198</v>
      </c>
      <c r="V3266">
        <v>1600</v>
      </c>
      <c r="W3266">
        <v>1598</v>
      </c>
      <c r="X3266" t="s">
        <v>76</v>
      </c>
      <c r="Y3266" t="s">
        <v>68</v>
      </c>
      <c r="Z3266" t="s">
        <v>163</v>
      </c>
      <c r="AA3266" t="s">
        <v>166</v>
      </c>
      <c r="AB3266">
        <v>4.4000000000000004</v>
      </c>
      <c r="AC3266">
        <v>60</v>
      </c>
      <c r="AD3266">
        <v>91.09</v>
      </c>
      <c r="AE3266">
        <f t="shared" ref="AE3266:AE3329" si="102">W3266-AC3266-AD3266</f>
        <v>1446.91</v>
      </c>
      <c r="AF3266" t="str">
        <f t="shared" ref="AF3266:AF3329" si="103">C3266&amp;"-"&amp;TEXT(D3266,"00")</f>
        <v>2026-02</v>
      </c>
      <c r="AG3266">
        <f>SUBTOTAL(103,A3266)</f>
        <v>1</v>
      </c>
    </row>
    <row r="3267" spans="1:33" x14ac:dyDescent="0.3">
      <c r="A3267" t="s">
        <v>5890</v>
      </c>
      <c r="B3267" s="13">
        <v>46079</v>
      </c>
      <c r="C3267">
        <v>2026</v>
      </c>
      <c r="D3267">
        <v>2</v>
      </c>
      <c r="E3267" t="s">
        <v>2849</v>
      </c>
      <c r="F3267" t="s">
        <v>2572</v>
      </c>
      <c r="G3267" t="s">
        <v>2187</v>
      </c>
      <c r="H3267" t="s">
        <v>2188</v>
      </c>
      <c r="I3267" t="s">
        <v>86</v>
      </c>
      <c r="J3267">
        <v>59</v>
      </c>
      <c r="K3267" t="s">
        <v>83</v>
      </c>
      <c r="L3267" t="s">
        <v>98</v>
      </c>
      <c r="M3267" t="s">
        <v>55</v>
      </c>
      <c r="N3267" t="s">
        <v>2665</v>
      </c>
      <c r="O3267" t="s">
        <v>128</v>
      </c>
      <c r="P3267" t="s">
        <v>53</v>
      </c>
      <c r="Q3267" t="s">
        <v>143</v>
      </c>
      <c r="R3267">
        <v>4</v>
      </c>
      <c r="S3267">
        <v>1499</v>
      </c>
      <c r="T3267">
        <v>0.2</v>
      </c>
      <c r="U3267">
        <v>4796.8</v>
      </c>
      <c r="V3267">
        <v>3200</v>
      </c>
      <c r="W3267">
        <v>1596.8</v>
      </c>
      <c r="X3267" t="s">
        <v>73</v>
      </c>
      <c r="Y3267" t="s">
        <v>68</v>
      </c>
      <c r="Z3267" t="s">
        <v>161</v>
      </c>
      <c r="AA3267" t="s">
        <v>168</v>
      </c>
      <c r="AB3267">
        <v>3.4</v>
      </c>
      <c r="AC3267">
        <v>40</v>
      </c>
      <c r="AD3267">
        <v>250.47</v>
      </c>
      <c r="AE3267">
        <f t="shared" si="102"/>
        <v>1306.33</v>
      </c>
      <c r="AF3267" t="str">
        <f t="shared" si="103"/>
        <v>2026-02</v>
      </c>
      <c r="AG3267">
        <f>SUBTOTAL(103,A3267)</f>
        <v>1</v>
      </c>
    </row>
    <row r="3268" spans="1:33" x14ac:dyDescent="0.3">
      <c r="A3268" t="s">
        <v>5891</v>
      </c>
      <c r="B3268" s="13">
        <v>46079</v>
      </c>
      <c r="C3268">
        <v>2026</v>
      </c>
      <c r="D3268">
        <v>2</v>
      </c>
      <c r="E3268" t="s">
        <v>2849</v>
      </c>
      <c r="F3268" t="s">
        <v>2572</v>
      </c>
      <c r="G3268" t="s">
        <v>935</v>
      </c>
      <c r="H3268" t="s">
        <v>936</v>
      </c>
      <c r="I3268" t="s">
        <v>86</v>
      </c>
      <c r="J3268">
        <v>27</v>
      </c>
      <c r="K3268" t="s">
        <v>81</v>
      </c>
      <c r="L3268" t="s">
        <v>2589</v>
      </c>
      <c r="M3268" t="s">
        <v>61</v>
      </c>
      <c r="N3268" t="s">
        <v>2657</v>
      </c>
      <c r="O3268" t="s">
        <v>134</v>
      </c>
      <c r="P3268" t="s">
        <v>49</v>
      </c>
      <c r="Q3268" t="s">
        <v>140</v>
      </c>
      <c r="R3268">
        <v>2</v>
      </c>
      <c r="S3268">
        <v>599</v>
      </c>
      <c r="T3268">
        <v>0.15</v>
      </c>
      <c r="U3268">
        <v>1018.3</v>
      </c>
      <c r="V3268">
        <v>500</v>
      </c>
      <c r="W3268">
        <v>518.29999999999995</v>
      </c>
      <c r="X3268" t="s">
        <v>76</v>
      </c>
      <c r="Y3268" t="s">
        <v>68</v>
      </c>
      <c r="Z3268" t="s">
        <v>159</v>
      </c>
      <c r="AA3268" t="s">
        <v>169</v>
      </c>
      <c r="AB3268">
        <v>4.5</v>
      </c>
      <c r="AC3268">
        <v>50</v>
      </c>
      <c r="AD3268">
        <v>104.99</v>
      </c>
      <c r="AE3268">
        <f t="shared" si="102"/>
        <v>363.30999999999995</v>
      </c>
      <c r="AF3268" t="str">
        <f t="shared" si="103"/>
        <v>2026-02</v>
      </c>
      <c r="AG3268">
        <f>SUBTOTAL(103,A3268)</f>
        <v>1</v>
      </c>
    </row>
    <row r="3269" spans="1:33" x14ac:dyDescent="0.3">
      <c r="A3269" t="s">
        <v>5892</v>
      </c>
      <c r="B3269" s="13">
        <v>46080</v>
      </c>
      <c r="C3269">
        <v>2026</v>
      </c>
      <c r="D3269">
        <v>2</v>
      </c>
      <c r="E3269" t="s">
        <v>2849</v>
      </c>
      <c r="F3269" t="s">
        <v>2572</v>
      </c>
      <c r="G3269" t="s">
        <v>1933</v>
      </c>
      <c r="H3269" t="s">
        <v>1934</v>
      </c>
      <c r="I3269" t="s">
        <v>86</v>
      </c>
      <c r="J3269">
        <v>29</v>
      </c>
      <c r="K3269" t="s">
        <v>81</v>
      </c>
      <c r="L3269" t="s">
        <v>59</v>
      </c>
      <c r="M3269" t="s">
        <v>59</v>
      </c>
      <c r="N3269" t="s">
        <v>2577</v>
      </c>
      <c r="O3269" t="s">
        <v>129</v>
      </c>
      <c r="P3269" t="s">
        <v>49</v>
      </c>
      <c r="Q3269" t="s">
        <v>149</v>
      </c>
      <c r="R3269">
        <v>1</v>
      </c>
      <c r="S3269">
        <v>1299</v>
      </c>
      <c r="T3269">
        <v>0.25</v>
      </c>
      <c r="U3269">
        <v>974.25</v>
      </c>
      <c r="V3269">
        <v>650</v>
      </c>
      <c r="W3269">
        <v>324.25</v>
      </c>
      <c r="X3269" t="s">
        <v>74</v>
      </c>
      <c r="Y3269" t="s">
        <v>68</v>
      </c>
      <c r="Z3269" t="s">
        <v>158</v>
      </c>
      <c r="AA3269" t="s">
        <v>166</v>
      </c>
      <c r="AB3269">
        <v>3.8</v>
      </c>
      <c r="AC3269">
        <v>50</v>
      </c>
      <c r="AD3269">
        <v>48.21</v>
      </c>
      <c r="AE3269">
        <f t="shared" si="102"/>
        <v>226.04</v>
      </c>
      <c r="AF3269" t="str">
        <f t="shared" si="103"/>
        <v>2026-02</v>
      </c>
      <c r="AG3269">
        <f>SUBTOTAL(103,A3269)</f>
        <v>1</v>
      </c>
    </row>
    <row r="3270" spans="1:33" x14ac:dyDescent="0.3">
      <c r="A3270" t="s">
        <v>5893</v>
      </c>
      <c r="B3270" s="13">
        <v>46080</v>
      </c>
      <c r="C3270">
        <v>2026</v>
      </c>
      <c r="D3270">
        <v>2</v>
      </c>
      <c r="E3270" t="s">
        <v>2849</v>
      </c>
      <c r="F3270" t="s">
        <v>2572</v>
      </c>
      <c r="G3270" t="s">
        <v>583</v>
      </c>
      <c r="H3270" t="s">
        <v>584</v>
      </c>
      <c r="I3270" t="s">
        <v>86</v>
      </c>
      <c r="J3270">
        <v>56</v>
      </c>
      <c r="K3270" t="s">
        <v>83</v>
      </c>
      <c r="L3270" t="s">
        <v>93</v>
      </c>
      <c r="M3270" t="s">
        <v>55</v>
      </c>
      <c r="N3270" t="s">
        <v>2582</v>
      </c>
      <c r="O3270" t="s">
        <v>119</v>
      </c>
      <c r="P3270" t="s">
        <v>49</v>
      </c>
      <c r="Q3270" t="s">
        <v>140</v>
      </c>
      <c r="R3270">
        <v>1</v>
      </c>
      <c r="S3270">
        <v>3499</v>
      </c>
      <c r="T3270">
        <v>0.1</v>
      </c>
      <c r="U3270">
        <v>3149.1</v>
      </c>
      <c r="V3270">
        <v>2100</v>
      </c>
      <c r="W3270">
        <v>1049.0999999999999</v>
      </c>
      <c r="X3270" t="s">
        <v>73</v>
      </c>
      <c r="Y3270" t="s">
        <v>68</v>
      </c>
      <c r="Z3270" t="s">
        <v>158</v>
      </c>
      <c r="AA3270" t="s">
        <v>169</v>
      </c>
      <c r="AB3270">
        <v>3.5</v>
      </c>
      <c r="AC3270">
        <v>60</v>
      </c>
      <c r="AD3270">
        <v>265.25</v>
      </c>
      <c r="AE3270">
        <f t="shared" si="102"/>
        <v>723.84999999999991</v>
      </c>
      <c r="AF3270" t="str">
        <f t="shared" si="103"/>
        <v>2026-02</v>
      </c>
      <c r="AG3270">
        <f>SUBTOTAL(103,A3270)</f>
        <v>1</v>
      </c>
    </row>
    <row r="3271" spans="1:33" x14ac:dyDescent="0.3">
      <c r="A3271" t="s">
        <v>5894</v>
      </c>
      <c r="B3271" s="13">
        <v>46080</v>
      </c>
      <c r="C3271">
        <v>2026</v>
      </c>
      <c r="D3271">
        <v>2</v>
      </c>
      <c r="E3271" t="s">
        <v>2849</v>
      </c>
      <c r="F3271" t="s">
        <v>2572</v>
      </c>
      <c r="G3271" t="s">
        <v>723</v>
      </c>
      <c r="H3271" t="s">
        <v>724</v>
      </c>
      <c r="I3271" t="s">
        <v>85</v>
      </c>
      <c r="J3271">
        <v>28</v>
      </c>
      <c r="K3271" t="s">
        <v>81</v>
      </c>
      <c r="L3271" t="s">
        <v>2610</v>
      </c>
      <c r="M3271" t="s">
        <v>64</v>
      </c>
      <c r="N3271" t="s">
        <v>2596</v>
      </c>
      <c r="O3271" t="s">
        <v>124</v>
      </c>
      <c r="P3271" t="s">
        <v>51</v>
      </c>
      <c r="Q3271" t="s">
        <v>147</v>
      </c>
      <c r="R3271">
        <v>1</v>
      </c>
      <c r="S3271">
        <v>2299</v>
      </c>
      <c r="T3271">
        <v>0</v>
      </c>
      <c r="U3271">
        <v>2299</v>
      </c>
      <c r="V3271">
        <v>1200</v>
      </c>
      <c r="W3271">
        <v>1099</v>
      </c>
      <c r="X3271" t="s">
        <v>73</v>
      </c>
      <c r="Y3271" t="s">
        <v>68</v>
      </c>
      <c r="Z3271" t="s">
        <v>158</v>
      </c>
      <c r="AA3271" t="s">
        <v>168</v>
      </c>
      <c r="AB3271">
        <v>5</v>
      </c>
      <c r="AC3271">
        <v>60</v>
      </c>
      <c r="AD3271">
        <v>247.33</v>
      </c>
      <c r="AE3271">
        <f t="shared" si="102"/>
        <v>791.67</v>
      </c>
      <c r="AF3271" t="str">
        <f t="shared" si="103"/>
        <v>2026-02</v>
      </c>
      <c r="AG3271">
        <f>SUBTOTAL(103,A3271)</f>
        <v>1</v>
      </c>
    </row>
    <row r="3272" spans="1:33" x14ac:dyDescent="0.3">
      <c r="A3272" t="s">
        <v>5895</v>
      </c>
      <c r="B3272" s="13">
        <v>46080</v>
      </c>
      <c r="C3272">
        <v>2026</v>
      </c>
      <c r="D3272">
        <v>2</v>
      </c>
      <c r="E3272" t="s">
        <v>2849</v>
      </c>
      <c r="F3272" t="s">
        <v>2572</v>
      </c>
      <c r="G3272" t="s">
        <v>1525</v>
      </c>
      <c r="H3272" t="s">
        <v>1526</v>
      </c>
      <c r="I3272" t="s">
        <v>86</v>
      </c>
      <c r="J3272">
        <v>32</v>
      </c>
      <c r="K3272" t="s">
        <v>81</v>
      </c>
      <c r="L3272" t="s">
        <v>99</v>
      </c>
      <c r="M3272" t="s">
        <v>58</v>
      </c>
      <c r="N3272" t="s">
        <v>2606</v>
      </c>
      <c r="O3272" t="s">
        <v>120</v>
      </c>
      <c r="P3272" t="s">
        <v>49</v>
      </c>
      <c r="Q3272" t="s">
        <v>140</v>
      </c>
      <c r="R3272">
        <v>3</v>
      </c>
      <c r="S3272">
        <v>2799</v>
      </c>
      <c r="T3272">
        <v>0.05</v>
      </c>
      <c r="U3272">
        <v>7977.15</v>
      </c>
      <c r="V3272">
        <v>4950</v>
      </c>
      <c r="W3272">
        <v>3027.15</v>
      </c>
      <c r="X3272" t="s">
        <v>73</v>
      </c>
      <c r="Y3272" t="s">
        <v>68</v>
      </c>
      <c r="Z3272" t="s">
        <v>158</v>
      </c>
      <c r="AA3272" t="s">
        <v>168</v>
      </c>
      <c r="AB3272">
        <v>3.1</v>
      </c>
      <c r="AC3272">
        <v>50</v>
      </c>
      <c r="AD3272">
        <v>433.82</v>
      </c>
      <c r="AE3272">
        <f t="shared" si="102"/>
        <v>2543.33</v>
      </c>
      <c r="AF3272" t="str">
        <f t="shared" si="103"/>
        <v>2026-02</v>
      </c>
      <c r="AG3272">
        <f>SUBTOTAL(103,A3272)</f>
        <v>1</v>
      </c>
    </row>
    <row r="3273" spans="1:33" x14ac:dyDescent="0.3">
      <c r="A3273" t="s">
        <v>5896</v>
      </c>
      <c r="B3273" s="13">
        <v>46080</v>
      </c>
      <c r="C3273">
        <v>2026</v>
      </c>
      <c r="D3273">
        <v>2</v>
      </c>
      <c r="E3273" t="s">
        <v>2849</v>
      </c>
      <c r="F3273" t="s">
        <v>2572</v>
      </c>
      <c r="G3273" t="s">
        <v>249</v>
      </c>
      <c r="H3273" t="s">
        <v>250</v>
      </c>
      <c r="I3273" t="s">
        <v>86</v>
      </c>
      <c r="J3273">
        <v>41</v>
      </c>
      <c r="K3273" t="s">
        <v>82</v>
      </c>
      <c r="L3273" t="s">
        <v>2674</v>
      </c>
      <c r="M3273" t="s">
        <v>58</v>
      </c>
      <c r="N3273" t="s">
        <v>2657</v>
      </c>
      <c r="O3273" t="s">
        <v>134</v>
      </c>
      <c r="P3273" t="s">
        <v>49</v>
      </c>
      <c r="Q3273" t="s">
        <v>140</v>
      </c>
      <c r="R3273">
        <v>1</v>
      </c>
      <c r="S3273">
        <v>599</v>
      </c>
      <c r="T3273">
        <v>0</v>
      </c>
      <c r="U3273">
        <v>599</v>
      </c>
      <c r="V3273">
        <v>250</v>
      </c>
      <c r="W3273">
        <v>349</v>
      </c>
      <c r="X3273" t="s">
        <v>76</v>
      </c>
      <c r="Y3273" t="s">
        <v>68</v>
      </c>
      <c r="Z3273" t="s">
        <v>158</v>
      </c>
      <c r="AA3273" t="s">
        <v>169</v>
      </c>
      <c r="AB3273">
        <v>5</v>
      </c>
      <c r="AC3273">
        <v>120</v>
      </c>
      <c r="AD3273">
        <v>69.87</v>
      </c>
      <c r="AE3273">
        <f t="shared" si="102"/>
        <v>159.13</v>
      </c>
      <c r="AF3273" t="str">
        <f t="shared" si="103"/>
        <v>2026-02</v>
      </c>
      <c r="AG3273">
        <f>SUBTOTAL(103,A3273)</f>
        <v>1</v>
      </c>
    </row>
    <row r="3274" spans="1:33" x14ac:dyDescent="0.3">
      <c r="A3274" t="s">
        <v>5897</v>
      </c>
      <c r="B3274" s="13">
        <v>46080</v>
      </c>
      <c r="C3274">
        <v>2026</v>
      </c>
      <c r="D3274">
        <v>2</v>
      </c>
      <c r="E3274" t="s">
        <v>2849</v>
      </c>
      <c r="F3274" t="s">
        <v>2572</v>
      </c>
      <c r="G3274" t="s">
        <v>585</v>
      </c>
      <c r="H3274" t="s">
        <v>586</v>
      </c>
      <c r="I3274" t="s">
        <v>86</v>
      </c>
      <c r="J3274">
        <v>48</v>
      </c>
      <c r="K3274" t="s">
        <v>83</v>
      </c>
      <c r="L3274" t="s">
        <v>99</v>
      </c>
      <c r="M3274" t="s">
        <v>58</v>
      </c>
      <c r="N3274" t="s">
        <v>2577</v>
      </c>
      <c r="O3274" t="s">
        <v>129</v>
      </c>
      <c r="P3274" t="s">
        <v>49</v>
      </c>
      <c r="Q3274" t="s">
        <v>149</v>
      </c>
      <c r="R3274">
        <v>2</v>
      </c>
      <c r="S3274">
        <v>1299</v>
      </c>
      <c r="T3274">
        <v>0.2</v>
      </c>
      <c r="U3274">
        <v>2078.4</v>
      </c>
      <c r="V3274">
        <v>1300</v>
      </c>
      <c r="W3274">
        <v>778.4</v>
      </c>
      <c r="X3274" t="s">
        <v>75</v>
      </c>
      <c r="Y3274" t="s">
        <v>68</v>
      </c>
      <c r="Z3274" t="s">
        <v>163</v>
      </c>
      <c r="AA3274" t="s">
        <v>166</v>
      </c>
      <c r="AB3274">
        <v>4.5999999999999996</v>
      </c>
      <c r="AC3274">
        <v>60</v>
      </c>
      <c r="AD3274">
        <v>102.9</v>
      </c>
      <c r="AE3274">
        <f t="shared" si="102"/>
        <v>615.5</v>
      </c>
      <c r="AF3274" t="str">
        <f t="shared" si="103"/>
        <v>2026-02</v>
      </c>
      <c r="AG3274">
        <f>SUBTOTAL(103,A3274)</f>
        <v>1</v>
      </c>
    </row>
    <row r="3275" spans="1:33" x14ac:dyDescent="0.3">
      <c r="A3275" t="s">
        <v>5898</v>
      </c>
      <c r="B3275" s="13">
        <v>46081</v>
      </c>
      <c r="C3275">
        <v>2026</v>
      </c>
      <c r="D3275">
        <v>2</v>
      </c>
      <c r="E3275" t="s">
        <v>2849</v>
      </c>
      <c r="F3275" t="s">
        <v>2572</v>
      </c>
      <c r="G3275" t="s">
        <v>917</v>
      </c>
      <c r="H3275" t="s">
        <v>918</v>
      </c>
      <c r="I3275" t="s">
        <v>85</v>
      </c>
      <c r="J3275">
        <v>49</v>
      </c>
      <c r="K3275" t="s">
        <v>83</v>
      </c>
      <c r="L3275" t="s">
        <v>92</v>
      </c>
      <c r="M3275" t="s">
        <v>59</v>
      </c>
      <c r="N3275" t="s">
        <v>2590</v>
      </c>
      <c r="O3275" t="s">
        <v>127</v>
      </c>
      <c r="P3275" t="s">
        <v>51</v>
      </c>
      <c r="Q3275" t="s">
        <v>148</v>
      </c>
      <c r="R3275">
        <v>1</v>
      </c>
      <c r="S3275">
        <v>1599</v>
      </c>
      <c r="T3275">
        <v>0.05</v>
      </c>
      <c r="U3275">
        <v>1519.05</v>
      </c>
      <c r="V3275">
        <v>800</v>
      </c>
      <c r="W3275">
        <v>719.05</v>
      </c>
      <c r="X3275" t="s">
        <v>73</v>
      </c>
      <c r="Y3275" t="s">
        <v>69</v>
      </c>
      <c r="Z3275" t="s">
        <v>160</v>
      </c>
      <c r="AA3275" t="s">
        <v>167</v>
      </c>
      <c r="AB3275">
        <v>4.0999999999999996</v>
      </c>
      <c r="AC3275">
        <v>40</v>
      </c>
      <c r="AD3275">
        <v>134.18</v>
      </c>
      <c r="AE3275">
        <f t="shared" si="102"/>
        <v>544.86999999999989</v>
      </c>
      <c r="AF3275" t="str">
        <f t="shared" si="103"/>
        <v>2026-02</v>
      </c>
      <c r="AG3275">
        <f>SUBTOTAL(103,A3275)</f>
        <v>1</v>
      </c>
    </row>
    <row r="3276" spans="1:33" x14ac:dyDescent="0.3">
      <c r="A3276" t="s">
        <v>5899</v>
      </c>
      <c r="B3276" s="13">
        <v>46081</v>
      </c>
      <c r="C3276">
        <v>2026</v>
      </c>
      <c r="D3276">
        <v>2</v>
      </c>
      <c r="E3276" t="s">
        <v>2849</v>
      </c>
      <c r="F3276" t="s">
        <v>2572</v>
      </c>
      <c r="G3276" t="s">
        <v>1825</v>
      </c>
      <c r="H3276" t="s">
        <v>1826</v>
      </c>
      <c r="I3276" t="s">
        <v>85</v>
      </c>
      <c r="J3276">
        <v>49</v>
      </c>
      <c r="K3276" t="s">
        <v>83</v>
      </c>
      <c r="L3276" t="s">
        <v>98</v>
      </c>
      <c r="M3276" t="s">
        <v>55</v>
      </c>
      <c r="N3276" t="s">
        <v>2653</v>
      </c>
      <c r="O3276" t="s">
        <v>132</v>
      </c>
      <c r="P3276" t="s">
        <v>52</v>
      </c>
      <c r="Q3276" t="s">
        <v>150</v>
      </c>
      <c r="R3276">
        <v>3</v>
      </c>
      <c r="S3276">
        <v>899</v>
      </c>
      <c r="T3276">
        <v>0.25</v>
      </c>
      <c r="U3276">
        <v>0</v>
      </c>
      <c r="V3276">
        <v>0</v>
      </c>
      <c r="W3276">
        <v>0</v>
      </c>
      <c r="X3276" t="s">
        <v>73</v>
      </c>
      <c r="Y3276" t="s">
        <v>71</v>
      </c>
      <c r="Z3276" t="s">
        <v>158</v>
      </c>
      <c r="AA3276" t="s">
        <v>170</v>
      </c>
      <c r="AB3276">
        <v>3.9</v>
      </c>
      <c r="AC3276">
        <v>60</v>
      </c>
      <c r="AD3276">
        <v>85.58</v>
      </c>
      <c r="AE3276">
        <f t="shared" si="102"/>
        <v>-145.57999999999998</v>
      </c>
      <c r="AF3276" t="str">
        <f t="shared" si="103"/>
        <v>2026-02</v>
      </c>
      <c r="AG3276">
        <f>SUBTOTAL(103,A3276)</f>
        <v>1</v>
      </c>
    </row>
    <row r="3277" spans="1:33" x14ac:dyDescent="0.3">
      <c r="A3277" t="s">
        <v>5900</v>
      </c>
      <c r="B3277" s="13">
        <v>46081</v>
      </c>
      <c r="C3277">
        <v>2026</v>
      </c>
      <c r="D3277">
        <v>2</v>
      </c>
      <c r="E3277" t="s">
        <v>2849</v>
      </c>
      <c r="F3277" t="s">
        <v>2572</v>
      </c>
      <c r="G3277" t="s">
        <v>1771</v>
      </c>
      <c r="H3277" t="s">
        <v>1772</v>
      </c>
      <c r="I3277" t="s">
        <v>86</v>
      </c>
      <c r="J3277">
        <v>59</v>
      </c>
      <c r="K3277" t="s">
        <v>83</v>
      </c>
      <c r="L3277" t="s">
        <v>91</v>
      </c>
      <c r="M3277" t="s">
        <v>55</v>
      </c>
      <c r="N3277" t="s">
        <v>2584</v>
      </c>
      <c r="O3277" t="s">
        <v>121</v>
      </c>
      <c r="P3277" t="s">
        <v>50</v>
      </c>
      <c r="Q3277" t="s">
        <v>144</v>
      </c>
      <c r="R3277">
        <v>1</v>
      </c>
      <c r="S3277">
        <v>2999</v>
      </c>
      <c r="T3277">
        <v>0.1</v>
      </c>
      <c r="U3277">
        <v>2699.1</v>
      </c>
      <c r="V3277">
        <v>1700</v>
      </c>
      <c r="W3277">
        <v>999.1</v>
      </c>
      <c r="X3277" t="s">
        <v>76</v>
      </c>
      <c r="Y3277" t="s">
        <v>68</v>
      </c>
      <c r="Z3277" t="s">
        <v>158</v>
      </c>
      <c r="AA3277" t="s">
        <v>170</v>
      </c>
      <c r="AB3277">
        <v>3.8</v>
      </c>
      <c r="AC3277">
        <v>50</v>
      </c>
      <c r="AD3277">
        <v>221.35</v>
      </c>
      <c r="AE3277">
        <f t="shared" si="102"/>
        <v>727.75</v>
      </c>
      <c r="AF3277" t="str">
        <f t="shared" si="103"/>
        <v>2026-02</v>
      </c>
      <c r="AG3277">
        <f>SUBTOTAL(103,A3277)</f>
        <v>1</v>
      </c>
    </row>
    <row r="3278" spans="1:33" x14ac:dyDescent="0.3">
      <c r="A3278" t="s">
        <v>5901</v>
      </c>
      <c r="B3278" s="13">
        <v>46081</v>
      </c>
      <c r="C3278">
        <v>2026</v>
      </c>
      <c r="D3278">
        <v>2</v>
      </c>
      <c r="E3278" t="s">
        <v>2849</v>
      </c>
      <c r="F3278" t="s">
        <v>2572</v>
      </c>
      <c r="G3278" t="s">
        <v>1177</v>
      </c>
      <c r="H3278" t="s">
        <v>1178</v>
      </c>
      <c r="I3278" t="s">
        <v>86</v>
      </c>
      <c r="J3278">
        <v>59</v>
      </c>
      <c r="K3278" t="s">
        <v>83</v>
      </c>
      <c r="L3278" t="s">
        <v>2661</v>
      </c>
      <c r="M3278" t="s">
        <v>58</v>
      </c>
      <c r="N3278" t="s">
        <v>2626</v>
      </c>
      <c r="O3278" t="s">
        <v>125</v>
      </c>
      <c r="P3278" t="s">
        <v>48</v>
      </c>
      <c r="Q3278" t="s">
        <v>141</v>
      </c>
      <c r="R3278">
        <v>3</v>
      </c>
      <c r="S3278">
        <v>1999</v>
      </c>
      <c r="T3278">
        <v>0.05</v>
      </c>
      <c r="U3278">
        <v>5697.15</v>
      </c>
      <c r="V3278">
        <v>3450</v>
      </c>
      <c r="W3278">
        <v>2247.15</v>
      </c>
      <c r="X3278" t="s">
        <v>73</v>
      </c>
      <c r="Y3278" t="s">
        <v>68</v>
      </c>
      <c r="Z3278" t="s">
        <v>162</v>
      </c>
      <c r="AA3278" t="s">
        <v>170</v>
      </c>
      <c r="AB3278">
        <v>3.4</v>
      </c>
      <c r="AC3278">
        <v>80</v>
      </c>
      <c r="AD3278">
        <v>156.35</v>
      </c>
      <c r="AE3278">
        <f t="shared" si="102"/>
        <v>2010.8000000000002</v>
      </c>
      <c r="AF3278" t="str">
        <f t="shared" si="103"/>
        <v>2026-02</v>
      </c>
      <c r="AG3278">
        <f>SUBTOTAL(103,A3278)</f>
        <v>1</v>
      </c>
    </row>
    <row r="3279" spans="1:33" x14ac:dyDescent="0.3">
      <c r="A3279" t="s">
        <v>5902</v>
      </c>
      <c r="B3279" s="13">
        <v>46082</v>
      </c>
      <c r="C3279">
        <v>2026</v>
      </c>
      <c r="D3279">
        <v>3</v>
      </c>
      <c r="E3279" t="s">
        <v>3053</v>
      </c>
      <c r="F3279" t="s">
        <v>2572</v>
      </c>
      <c r="G3279" t="s">
        <v>803</v>
      </c>
      <c r="H3279" t="s">
        <v>804</v>
      </c>
      <c r="I3279" t="s">
        <v>86</v>
      </c>
      <c r="J3279">
        <v>38</v>
      </c>
      <c r="K3279" t="s">
        <v>82</v>
      </c>
      <c r="L3279" t="s">
        <v>100</v>
      </c>
      <c r="M3279" t="s">
        <v>56</v>
      </c>
      <c r="N3279" t="s">
        <v>2590</v>
      </c>
      <c r="O3279" t="s">
        <v>127</v>
      </c>
      <c r="P3279" t="s">
        <v>51</v>
      </c>
      <c r="Q3279" t="s">
        <v>148</v>
      </c>
      <c r="R3279">
        <v>4</v>
      </c>
      <c r="S3279">
        <v>1599</v>
      </c>
      <c r="T3279">
        <v>0.05</v>
      </c>
      <c r="U3279">
        <v>6076.2</v>
      </c>
      <c r="V3279">
        <v>3200</v>
      </c>
      <c r="W3279">
        <v>2876.2</v>
      </c>
      <c r="X3279" t="s">
        <v>73</v>
      </c>
      <c r="Y3279" t="s">
        <v>68</v>
      </c>
      <c r="Z3279" t="s">
        <v>159</v>
      </c>
      <c r="AA3279" t="s">
        <v>171</v>
      </c>
      <c r="AB3279">
        <v>4.8</v>
      </c>
      <c r="AC3279">
        <v>60</v>
      </c>
      <c r="AD3279">
        <v>422.61</v>
      </c>
      <c r="AE3279">
        <f t="shared" si="102"/>
        <v>2393.5899999999997</v>
      </c>
      <c r="AF3279" t="str">
        <f t="shared" si="103"/>
        <v>2026-03</v>
      </c>
      <c r="AG3279">
        <f>SUBTOTAL(103,A3279)</f>
        <v>1</v>
      </c>
    </row>
    <row r="3280" spans="1:33" x14ac:dyDescent="0.3">
      <c r="A3280" t="s">
        <v>5903</v>
      </c>
      <c r="B3280" s="13">
        <v>46082</v>
      </c>
      <c r="C3280">
        <v>2026</v>
      </c>
      <c r="D3280">
        <v>3</v>
      </c>
      <c r="E3280" t="s">
        <v>3053</v>
      </c>
      <c r="F3280" t="s">
        <v>2572</v>
      </c>
      <c r="G3280" t="s">
        <v>507</v>
      </c>
      <c r="H3280" t="s">
        <v>508</v>
      </c>
      <c r="I3280" t="s">
        <v>86</v>
      </c>
      <c r="J3280">
        <v>31</v>
      </c>
      <c r="K3280" t="s">
        <v>81</v>
      </c>
      <c r="L3280" t="s">
        <v>2576</v>
      </c>
      <c r="M3280" t="s">
        <v>60</v>
      </c>
      <c r="N3280" t="s">
        <v>2577</v>
      </c>
      <c r="O3280" t="s">
        <v>129</v>
      </c>
      <c r="P3280" t="s">
        <v>49</v>
      </c>
      <c r="Q3280" t="s">
        <v>149</v>
      </c>
      <c r="R3280">
        <v>1</v>
      </c>
      <c r="S3280">
        <v>1299</v>
      </c>
      <c r="T3280">
        <v>0.25</v>
      </c>
      <c r="U3280">
        <v>974.25</v>
      </c>
      <c r="V3280">
        <v>650</v>
      </c>
      <c r="W3280">
        <v>324.25</v>
      </c>
      <c r="X3280" t="s">
        <v>76</v>
      </c>
      <c r="Y3280" t="s">
        <v>69</v>
      </c>
      <c r="Z3280" t="s">
        <v>163</v>
      </c>
      <c r="AA3280" t="s">
        <v>169</v>
      </c>
      <c r="AB3280">
        <v>4</v>
      </c>
      <c r="AC3280">
        <v>80</v>
      </c>
      <c r="AD3280">
        <v>113.06</v>
      </c>
      <c r="AE3280">
        <f t="shared" si="102"/>
        <v>131.19</v>
      </c>
      <c r="AF3280" t="str">
        <f t="shared" si="103"/>
        <v>2026-03</v>
      </c>
      <c r="AG3280">
        <f>SUBTOTAL(103,A3280)</f>
        <v>1</v>
      </c>
    </row>
    <row r="3281" spans="1:33" x14ac:dyDescent="0.3">
      <c r="A3281" t="s">
        <v>5904</v>
      </c>
      <c r="B3281" s="13">
        <v>46082</v>
      </c>
      <c r="C3281">
        <v>2026</v>
      </c>
      <c r="D3281">
        <v>3</v>
      </c>
      <c r="E3281" t="s">
        <v>3053</v>
      </c>
      <c r="F3281" t="s">
        <v>2572</v>
      </c>
      <c r="G3281" t="s">
        <v>905</v>
      </c>
      <c r="H3281" t="s">
        <v>906</v>
      </c>
      <c r="I3281" t="s">
        <v>85</v>
      </c>
      <c r="J3281">
        <v>40</v>
      </c>
      <c r="K3281" t="s">
        <v>82</v>
      </c>
      <c r="L3281" t="s">
        <v>2616</v>
      </c>
      <c r="M3281" t="s">
        <v>62</v>
      </c>
      <c r="N3281" t="s">
        <v>2596</v>
      </c>
      <c r="O3281" t="s">
        <v>124</v>
      </c>
      <c r="P3281" t="s">
        <v>51</v>
      </c>
      <c r="Q3281" t="s">
        <v>147</v>
      </c>
      <c r="R3281">
        <v>1</v>
      </c>
      <c r="S3281">
        <v>2299</v>
      </c>
      <c r="T3281">
        <v>0.1</v>
      </c>
      <c r="U3281">
        <v>2069.1</v>
      </c>
      <c r="V3281">
        <v>1200</v>
      </c>
      <c r="W3281">
        <v>869.1</v>
      </c>
      <c r="X3281" t="s">
        <v>74</v>
      </c>
      <c r="Y3281" t="s">
        <v>68</v>
      </c>
      <c r="Z3281" t="s">
        <v>160</v>
      </c>
      <c r="AA3281" t="s">
        <v>168</v>
      </c>
      <c r="AB3281">
        <v>3.5</v>
      </c>
      <c r="AC3281">
        <v>60</v>
      </c>
      <c r="AD3281">
        <v>85.32</v>
      </c>
      <c r="AE3281">
        <f t="shared" si="102"/>
        <v>723.78</v>
      </c>
      <c r="AF3281" t="str">
        <f t="shared" si="103"/>
        <v>2026-03</v>
      </c>
      <c r="AG3281">
        <f>SUBTOTAL(103,A3281)</f>
        <v>1</v>
      </c>
    </row>
    <row r="3282" spans="1:33" x14ac:dyDescent="0.3">
      <c r="A3282" t="s">
        <v>5905</v>
      </c>
      <c r="B3282" s="13">
        <v>46082</v>
      </c>
      <c r="C3282">
        <v>2026</v>
      </c>
      <c r="D3282">
        <v>3</v>
      </c>
      <c r="E3282" t="s">
        <v>3053</v>
      </c>
      <c r="F3282" t="s">
        <v>2572</v>
      </c>
      <c r="G3282" t="s">
        <v>329</v>
      </c>
      <c r="H3282" t="s">
        <v>330</v>
      </c>
      <c r="I3282" t="s">
        <v>86</v>
      </c>
      <c r="J3282">
        <v>18</v>
      </c>
      <c r="K3282" t="s">
        <v>80</v>
      </c>
      <c r="L3282" t="s">
        <v>90</v>
      </c>
      <c r="M3282" t="s">
        <v>55</v>
      </c>
      <c r="N3282" t="s">
        <v>2582</v>
      </c>
      <c r="O3282" t="s">
        <v>119</v>
      </c>
      <c r="P3282" t="s">
        <v>49</v>
      </c>
      <c r="Q3282" t="s">
        <v>140</v>
      </c>
      <c r="R3282">
        <v>2</v>
      </c>
      <c r="S3282">
        <v>3499</v>
      </c>
      <c r="T3282">
        <v>0.1</v>
      </c>
      <c r="U3282">
        <v>6298.2</v>
      </c>
      <c r="V3282">
        <v>4200</v>
      </c>
      <c r="W3282">
        <v>2098.1999999999998</v>
      </c>
      <c r="X3282" t="s">
        <v>74</v>
      </c>
      <c r="Y3282" t="s">
        <v>68</v>
      </c>
      <c r="Z3282" t="s">
        <v>162</v>
      </c>
      <c r="AA3282" t="s">
        <v>169</v>
      </c>
      <c r="AB3282">
        <v>3.8</v>
      </c>
      <c r="AC3282">
        <v>80</v>
      </c>
      <c r="AD3282">
        <v>630.29999999999995</v>
      </c>
      <c r="AE3282">
        <f t="shared" si="102"/>
        <v>1387.8999999999999</v>
      </c>
      <c r="AF3282" t="str">
        <f t="shared" si="103"/>
        <v>2026-03</v>
      </c>
      <c r="AG3282">
        <f>SUBTOTAL(103,A3282)</f>
        <v>1</v>
      </c>
    </row>
    <row r="3283" spans="1:33" x14ac:dyDescent="0.3">
      <c r="A3283" t="s">
        <v>5906</v>
      </c>
      <c r="B3283" s="13">
        <v>46082</v>
      </c>
      <c r="C3283">
        <v>2026</v>
      </c>
      <c r="D3283">
        <v>3</v>
      </c>
      <c r="E3283" t="s">
        <v>3053</v>
      </c>
      <c r="F3283" t="s">
        <v>2572</v>
      </c>
      <c r="G3283" t="s">
        <v>1797</v>
      </c>
      <c r="H3283" t="s">
        <v>1798</v>
      </c>
      <c r="I3283" t="s">
        <v>85</v>
      </c>
      <c r="J3283">
        <v>18</v>
      </c>
      <c r="K3283" t="s">
        <v>80</v>
      </c>
      <c r="L3283" t="s">
        <v>96</v>
      </c>
      <c r="M3283" t="s">
        <v>55</v>
      </c>
      <c r="N3283" t="s">
        <v>2592</v>
      </c>
      <c r="O3283" t="s">
        <v>115</v>
      </c>
      <c r="P3283" t="s">
        <v>48</v>
      </c>
      <c r="Q3283" t="s">
        <v>137</v>
      </c>
      <c r="R3283">
        <v>1</v>
      </c>
      <c r="S3283">
        <v>12999</v>
      </c>
      <c r="T3283">
        <v>0.05</v>
      </c>
      <c r="U3283">
        <v>12349.05</v>
      </c>
      <c r="V3283">
        <v>9000</v>
      </c>
      <c r="W3283">
        <v>3349.05</v>
      </c>
      <c r="X3283" t="s">
        <v>73</v>
      </c>
      <c r="Y3283" t="s">
        <v>68</v>
      </c>
      <c r="Z3283" t="s">
        <v>161</v>
      </c>
      <c r="AA3283" t="s">
        <v>166</v>
      </c>
      <c r="AB3283">
        <v>4.5999999999999996</v>
      </c>
      <c r="AC3283">
        <v>40</v>
      </c>
      <c r="AD3283">
        <v>293.25</v>
      </c>
      <c r="AE3283">
        <f t="shared" si="102"/>
        <v>3015.8</v>
      </c>
      <c r="AF3283" t="str">
        <f t="shared" si="103"/>
        <v>2026-03</v>
      </c>
      <c r="AG3283">
        <f>SUBTOTAL(103,A3283)</f>
        <v>1</v>
      </c>
    </row>
    <row r="3284" spans="1:33" x14ac:dyDescent="0.3">
      <c r="A3284" t="s">
        <v>5907</v>
      </c>
      <c r="B3284" s="13">
        <v>46082</v>
      </c>
      <c r="C3284">
        <v>2026</v>
      </c>
      <c r="D3284">
        <v>3</v>
      </c>
      <c r="E3284" t="s">
        <v>3053</v>
      </c>
      <c r="F3284" t="s">
        <v>2572</v>
      </c>
      <c r="G3284" t="s">
        <v>1195</v>
      </c>
      <c r="H3284" t="s">
        <v>1196</v>
      </c>
      <c r="I3284" t="s">
        <v>85</v>
      </c>
      <c r="J3284">
        <v>36</v>
      </c>
      <c r="K3284" t="s">
        <v>82</v>
      </c>
      <c r="L3284" t="s">
        <v>2679</v>
      </c>
      <c r="M3284" t="s">
        <v>60</v>
      </c>
      <c r="N3284" t="s">
        <v>2644</v>
      </c>
      <c r="O3284" t="s">
        <v>126</v>
      </c>
      <c r="P3284" t="s">
        <v>50</v>
      </c>
      <c r="Q3284" t="s">
        <v>145</v>
      </c>
      <c r="R3284">
        <v>3</v>
      </c>
      <c r="S3284">
        <v>1799</v>
      </c>
      <c r="T3284">
        <v>0.1</v>
      </c>
      <c r="U3284">
        <v>4857.3</v>
      </c>
      <c r="V3284">
        <v>2850</v>
      </c>
      <c r="W3284">
        <v>2007.3</v>
      </c>
      <c r="X3284" t="s">
        <v>73</v>
      </c>
      <c r="Y3284" t="s">
        <v>68</v>
      </c>
      <c r="Z3284" t="s">
        <v>163</v>
      </c>
      <c r="AA3284" t="s">
        <v>167</v>
      </c>
      <c r="AB3284">
        <v>4.9000000000000004</v>
      </c>
      <c r="AC3284">
        <v>80</v>
      </c>
      <c r="AD3284">
        <v>262.56</v>
      </c>
      <c r="AE3284">
        <f t="shared" si="102"/>
        <v>1664.74</v>
      </c>
      <c r="AF3284" t="str">
        <f t="shared" si="103"/>
        <v>2026-03</v>
      </c>
      <c r="AG3284">
        <f>SUBTOTAL(103,A3284)</f>
        <v>1</v>
      </c>
    </row>
    <row r="3285" spans="1:33" x14ac:dyDescent="0.3">
      <c r="A3285" t="s">
        <v>5908</v>
      </c>
      <c r="B3285" s="13">
        <v>46082</v>
      </c>
      <c r="C3285">
        <v>2026</v>
      </c>
      <c r="D3285">
        <v>3</v>
      </c>
      <c r="E3285" t="s">
        <v>3053</v>
      </c>
      <c r="F3285" t="s">
        <v>2572</v>
      </c>
      <c r="G3285" t="s">
        <v>495</v>
      </c>
      <c r="H3285" t="s">
        <v>496</v>
      </c>
      <c r="I3285" t="s">
        <v>85</v>
      </c>
      <c r="J3285">
        <v>19</v>
      </c>
      <c r="K3285" t="s">
        <v>80</v>
      </c>
      <c r="L3285" t="s">
        <v>2579</v>
      </c>
      <c r="M3285" t="s">
        <v>56</v>
      </c>
      <c r="N3285" t="s">
        <v>2574</v>
      </c>
      <c r="O3285" t="s">
        <v>130</v>
      </c>
      <c r="P3285" t="s">
        <v>50</v>
      </c>
      <c r="Q3285" t="s">
        <v>53</v>
      </c>
      <c r="R3285">
        <v>1</v>
      </c>
      <c r="S3285">
        <v>1199</v>
      </c>
      <c r="T3285">
        <v>0.1</v>
      </c>
      <c r="U3285">
        <v>1079.0999999999999</v>
      </c>
      <c r="V3285">
        <v>550</v>
      </c>
      <c r="W3285">
        <v>529.1</v>
      </c>
      <c r="X3285" t="s">
        <v>76</v>
      </c>
      <c r="Y3285" t="s">
        <v>68</v>
      </c>
      <c r="Z3285" t="s">
        <v>158</v>
      </c>
      <c r="AA3285" t="s">
        <v>169</v>
      </c>
      <c r="AB3285">
        <v>3.9</v>
      </c>
      <c r="AC3285">
        <v>50</v>
      </c>
      <c r="AD3285">
        <v>50.55</v>
      </c>
      <c r="AE3285">
        <f t="shared" si="102"/>
        <v>428.55</v>
      </c>
      <c r="AF3285" t="str">
        <f t="shared" si="103"/>
        <v>2026-03</v>
      </c>
      <c r="AG3285">
        <f>SUBTOTAL(103,A3285)</f>
        <v>1</v>
      </c>
    </row>
    <row r="3286" spans="1:33" x14ac:dyDescent="0.3">
      <c r="A3286" t="s">
        <v>5909</v>
      </c>
      <c r="B3286" s="13">
        <v>46082</v>
      </c>
      <c r="C3286">
        <v>2026</v>
      </c>
      <c r="D3286">
        <v>3</v>
      </c>
      <c r="E3286" t="s">
        <v>3053</v>
      </c>
      <c r="F3286" t="s">
        <v>2572</v>
      </c>
      <c r="G3286" t="s">
        <v>1847</v>
      </c>
      <c r="H3286" t="s">
        <v>1848</v>
      </c>
      <c r="I3286" t="s">
        <v>85</v>
      </c>
      <c r="J3286">
        <v>49</v>
      </c>
      <c r="K3286" t="s">
        <v>83</v>
      </c>
      <c r="L3286" t="s">
        <v>94</v>
      </c>
      <c r="M3286" t="s">
        <v>57</v>
      </c>
      <c r="N3286" t="s">
        <v>2647</v>
      </c>
      <c r="O3286" t="s">
        <v>133</v>
      </c>
      <c r="P3286" t="s">
        <v>50</v>
      </c>
      <c r="Q3286" t="s">
        <v>145</v>
      </c>
      <c r="R3286">
        <v>1</v>
      </c>
      <c r="S3286">
        <v>799</v>
      </c>
      <c r="T3286">
        <v>0.1</v>
      </c>
      <c r="U3286">
        <v>719.1</v>
      </c>
      <c r="V3286">
        <v>390</v>
      </c>
      <c r="W3286">
        <v>329.1</v>
      </c>
      <c r="X3286" t="s">
        <v>73</v>
      </c>
      <c r="Y3286" t="s">
        <v>68</v>
      </c>
      <c r="Z3286" t="s">
        <v>160</v>
      </c>
      <c r="AA3286" t="s">
        <v>170</v>
      </c>
      <c r="AB3286">
        <v>4.2</v>
      </c>
      <c r="AC3286">
        <v>50</v>
      </c>
      <c r="AD3286">
        <v>21.46</v>
      </c>
      <c r="AE3286">
        <f t="shared" si="102"/>
        <v>257.64000000000004</v>
      </c>
      <c r="AF3286" t="str">
        <f t="shared" si="103"/>
        <v>2026-03</v>
      </c>
      <c r="AG3286">
        <f>SUBTOTAL(103,A3286)</f>
        <v>1</v>
      </c>
    </row>
    <row r="3287" spans="1:33" x14ac:dyDescent="0.3">
      <c r="A3287" t="s">
        <v>5910</v>
      </c>
      <c r="B3287" s="13">
        <v>46083</v>
      </c>
      <c r="C3287">
        <v>2026</v>
      </c>
      <c r="D3287">
        <v>3</v>
      </c>
      <c r="E3287" t="s">
        <v>3053</v>
      </c>
      <c r="F3287" t="s">
        <v>2572</v>
      </c>
      <c r="G3287" t="s">
        <v>1591</v>
      </c>
      <c r="H3287" t="s">
        <v>1592</v>
      </c>
      <c r="I3287" t="s">
        <v>85</v>
      </c>
      <c r="J3287">
        <v>20</v>
      </c>
      <c r="K3287" t="s">
        <v>80</v>
      </c>
      <c r="L3287" t="s">
        <v>92</v>
      </c>
      <c r="M3287" t="s">
        <v>59</v>
      </c>
      <c r="N3287" t="s">
        <v>2596</v>
      </c>
      <c r="O3287" t="s">
        <v>124</v>
      </c>
      <c r="P3287" t="s">
        <v>51</v>
      </c>
      <c r="Q3287" t="s">
        <v>147</v>
      </c>
      <c r="R3287">
        <v>1</v>
      </c>
      <c r="S3287">
        <v>2299</v>
      </c>
      <c r="T3287">
        <v>0.05</v>
      </c>
      <c r="U3287">
        <v>2184.0500000000002</v>
      </c>
      <c r="V3287">
        <v>1200</v>
      </c>
      <c r="W3287">
        <v>984.05</v>
      </c>
      <c r="X3287" t="s">
        <v>75</v>
      </c>
      <c r="Y3287" t="s">
        <v>68</v>
      </c>
      <c r="Z3287" t="s">
        <v>160</v>
      </c>
      <c r="AA3287" t="s">
        <v>167</v>
      </c>
      <c r="AB3287">
        <v>3.8</v>
      </c>
      <c r="AC3287">
        <v>50</v>
      </c>
      <c r="AD3287">
        <v>69.180000000000007</v>
      </c>
      <c r="AE3287">
        <f t="shared" si="102"/>
        <v>864.86999999999989</v>
      </c>
      <c r="AF3287" t="str">
        <f t="shared" si="103"/>
        <v>2026-03</v>
      </c>
      <c r="AG3287">
        <f>SUBTOTAL(103,A3287)</f>
        <v>1</v>
      </c>
    </row>
    <row r="3288" spans="1:33" x14ac:dyDescent="0.3">
      <c r="A3288" t="s">
        <v>5911</v>
      </c>
      <c r="B3288" s="13">
        <v>46083</v>
      </c>
      <c r="C3288">
        <v>2026</v>
      </c>
      <c r="D3288">
        <v>3</v>
      </c>
      <c r="E3288" t="s">
        <v>3053</v>
      </c>
      <c r="F3288" t="s">
        <v>2572</v>
      </c>
      <c r="G3288" t="s">
        <v>963</v>
      </c>
      <c r="H3288" t="s">
        <v>964</v>
      </c>
      <c r="I3288" t="s">
        <v>85</v>
      </c>
      <c r="J3288">
        <v>39</v>
      </c>
      <c r="K3288" t="s">
        <v>82</v>
      </c>
      <c r="L3288" t="s">
        <v>98</v>
      </c>
      <c r="M3288" t="s">
        <v>55</v>
      </c>
      <c r="N3288" t="s">
        <v>2596</v>
      </c>
      <c r="O3288" t="s">
        <v>124</v>
      </c>
      <c r="P3288" t="s">
        <v>51</v>
      </c>
      <c r="Q3288" t="s">
        <v>147</v>
      </c>
      <c r="R3288">
        <v>5</v>
      </c>
      <c r="S3288">
        <v>2299</v>
      </c>
      <c r="T3288">
        <v>0</v>
      </c>
      <c r="U3288">
        <v>11495</v>
      </c>
      <c r="V3288">
        <v>6000</v>
      </c>
      <c r="W3288">
        <v>5495</v>
      </c>
      <c r="X3288" t="s">
        <v>75</v>
      </c>
      <c r="Y3288" t="s">
        <v>68</v>
      </c>
      <c r="Z3288" t="s">
        <v>163</v>
      </c>
      <c r="AA3288" t="s">
        <v>166</v>
      </c>
      <c r="AB3288">
        <v>4.5</v>
      </c>
      <c r="AC3288">
        <v>120</v>
      </c>
      <c r="AD3288">
        <v>993.71</v>
      </c>
      <c r="AE3288">
        <f t="shared" si="102"/>
        <v>4381.29</v>
      </c>
      <c r="AF3288" t="str">
        <f t="shared" si="103"/>
        <v>2026-03</v>
      </c>
      <c r="AG3288">
        <f>SUBTOTAL(103,A3288)</f>
        <v>1</v>
      </c>
    </row>
    <row r="3289" spans="1:33" x14ac:dyDescent="0.3">
      <c r="A3289" t="s">
        <v>5912</v>
      </c>
      <c r="B3289" s="13">
        <v>46083</v>
      </c>
      <c r="C3289">
        <v>2026</v>
      </c>
      <c r="D3289">
        <v>3</v>
      </c>
      <c r="E3289" t="s">
        <v>3053</v>
      </c>
      <c r="F3289" t="s">
        <v>2572</v>
      </c>
      <c r="G3289" t="s">
        <v>417</v>
      </c>
      <c r="H3289" t="s">
        <v>418</v>
      </c>
      <c r="I3289" t="s">
        <v>85</v>
      </c>
      <c r="J3289">
        <v>47</v>
      </c>
      <c r="K3289" t="s">
        <v>83</v>
      </c>
      <c r="L3289" t="s">
        <v>59</v>
      </c>
      <c r="M3289" t="s">
        <v>59</v>
      </c>
      <c r="N3289" t="s">
        <v>2580</v>
      </c>
      <c r="O3289" t="s">
        <v>118</v>
      </c>
      <c r="P3289" t="s">
        <v>48</v>
      </c>
      <c r="Q3289" t="s">
        <v>142</v>
      </c>
      <c r="R3289">
        <v>2</v>
      </c>
      <c r="S3289">
        <v>3999</v>
      </c>
      <c r="T3289">
        <v>0.05</v>
      </c>
      <c r="U3289">
        <v>7598.1</v>
      </c>
      <c r="V3289">
        <v>4800</v>
      </c>
      <c r="W3289">
        <v>2798.1</v>
      </c>
      <c r="X3289" t="s">
        <v>73</v>
      </c>
      <c r="Y3289" t="s">
        <v>68</v>
      </c>
      <c r="Z3289" t="s">
        <v>159</v>
      </c>
      <c r="AA3289" t="s">
        <v>169</v>
      </c>
      <c r="AB3289">
        <v>4.5</v>
      </c>
      <c r="AC3289">
        <v>50</v>
      </c>
      <c r="AD3289">
        <v>220.86</v>
      </c>
      <c r="AE3289">
        <f t="shared" si="102"/>
        <v>2527.2399999999998</v>
      </c>
      <c r="AF3289" t="str">
        <f t="shared" si="103"/>
        <v>2026-03</v>
      </c>
      <c r="AG3289">
        <f>SUBTOTAL(103,A3289)</f>
        <v>1</v>
      </c>
    </row>
    <row r="3290" spans="1:33" x14ac:dyDescent="0.3">
      <c r="A3290" t="s">
        <v>5913</v>
      </c>
      <c r="B3290" s="13">
        <v>46083</v>
      </c>
      <c r="C3290">
        <v>2026</v>
      </c>
      <c r="D3290">
        <v>3</v>
      </c>
      <c r="E3290" t="s">
        <v>3053</v>
      </c>
      <c r="F3290" t="s">
        <v>2572</v>
      </c>
      <c r="G3290" t="s">
        <v>2005</v>
      </c>
      <c r="H3290" t="s">
        <v>2006</v>
      </c>
      <c r="I3290" t="s">
        <v>85</v>
      </c>
      <c r="J3290">
        <v>45</v>
      </c>
      <c r="K3290" t="s">
        <v>82</v>
      </c>
      <c r="L3290" t="s">
        <v>2623</v>
      </c>
      <c r="M3290" t="s">
        <v>61</v>
      </c>
      <c r="N3290" t="s">
        <v>2603</v>
      </c>
      <c r="O3290" t="s">
        <v>122</v>
      </c>
      <c r="P3290" t="s">
        <v>48</v>
      </c>
      <c r="Q3290" t="s">
        <v>141</v>
      </c>
      <c r="R3290">
        <v>3</v>
      </c>
      <c r="S3290">
        <v>2499</v>
      </c>
      <c r="T3290">
        <v>0.1</v>
      </c>
      <c r="U3290">
        <v>6747.3</v>
      </c>
      <c r="V3290">
        <v>4350</v>
      </c>
      <c r="W3290">
        <v>2397.3000000000002</v>
      </c>
      <c r="X3290" t="s">
        <v>77</v>
      </c>
      <c r="Y3290" t="s">
        <v>68</v>
      </c>
      <c r="Z3290" t="s">
        <v>158</v>
      </c>
      <c r="AA3290" t="s">
        <v>171</v>
      </c>
      <c r="AB3290">
        <v>3.8</v>
      </c>
      <c r="AC3290">
        <v>40</v>
      </c>
      <c r="AD3290">
        <v>425.05</v>
      </c>
      <c r="AE3290">
        <f t="shared" si="102"/>
        <v>1932.2500000000002</v>
      </c>
      <c r="AF3290" t="str">
        <f t="shared" si="103"/>
        <v>2026-03</v>
      </c>
      <c r="AG3290">
        <f>SUBTOTAL(103,A3290)</f>
        <v>1</v>
      </c>
    </row>
    <row r="3291" spans="1:33" x14ac:dyDescent="0.3">
      <c r="A3291" t="s">
        <v>5914</v>
      </c>
      <c r="B3291" s="13">
        <v>46083</v>
      </c>
      <c r="C3291">
        <v>2026</v>
      </c>
      <c r="D3291">
        <v>3</v>
      </c>
      <c r="E3291" t="s">
        <v>3053</v>
      </c>
      <c r="F3291" t="s">
        <v>2572</v>
      </c>
      <c r="G3291" t="s">
        <v>845</v>
      </c>
      <c r="H3291" t="s">
        <v>846</v>
      </c>
      <c r="I3291" t="s">
        <v>86</v>
      </c>
      <c r="J3291">
        <v>51</v>
      </c>
      <c r="K3291" t="s">
        <v>83</v>
      </c>
      <c r="L3291" t="s">
        <v>2576</v>
      </c>
      <c r="M3291" t="s">
        <v>60</v>
      </c>
      <c r="N3291" t="s">
        <v>2580</v>
      </c>
      <c r="O3291" t="s">
        <v>118</v>
      </c>
      <c r="P3291" t="s">
        <v>48</v>
      </c>
      <c r="Q3291" t="s">
        <v>142</v>
      </c>
      <c r="R3291">
        <v>3</v>
      </c>
      <c r="S3291">
        <v>3999</v>
      </c>
      <c r="T3291">
        <v>0.05</v>
      </c>
      <c r="U3291">
        <v>11397.15</v>
      </c>
      <c r="V3291">
        <v>7200</v>
      </c>
      <c r="W3291">
        <v>4197.1499999999996</v>
      </c>
      <c r="X3291" t="s">
        <v>73</v>
      </c>
      <c r="Y3291" t="s">
        <v>68</v>
      </c>
      <c r="Z3291" t="s">
        <v>159</v>
      </c>
      <c r="AA3291" t="s">
        <v>171</v>
      </c>
      <c r="AB3291">
        <v>3.5</v>
      </c>
      <c r="AC3291">
        <v>120</v>
      </c>
      <c r="AD3291">
        <v>262.01</v>
      </c>
      <c r="AE3291">
        <f t="shared" si="102"/>
        <v>3815.1399999999994</v>
      </c>
      <c r="AF3291" t="str">
        <f t="shared" si="103"/>
        <v>2026-03</v>
      </c>
      <c r="AG3291">
        <f>SUBTOTAL(103,A3291)</f>
        <v>1</v>
      </c>
    </row>
    <row r="3292" spans="1:33" x14ac:dyDescent="0.3">
      <c r="A3292" t="s">
        <v>5915</v>
      </c>
      <c r="B3292" s="13">
        <v>46083</v>
      </c>
      <c r="C3292">
        <v>2026</v>
      </c>
      <c r="D3292">
        <v>3</v>
      </c>
      <c r="E3292" t="s">
        <v>3053</v>
      </c>
      <c r="F3292" t="s">
        <v>2572</v>
      </c>
      <c r="G3292" t="s">
        <v>1751</v>
      </c>
      <c r="H3292" t="s">
        <v>1752</v>
      </c>
      <c r="I3292" t="s">
        <v>86</v>
      </c>
      <c r="J3292">
        <v>29</v>
      </c>
      <c r="K3292" t="s">
        <v>81</v>
      </c>
      <c r="L3292" t="s">
        <v>94</v>
      </c>
      <c r="M3292" t="s">
        <v>57</v>
      </c>
      <c r="N3292" t="s">
        <v>2584</v>
      </c>
      <c r="O3292" t="s">
        <v>121</v>
      </c>
      <c r="P3292" t="s">
        <v>50</v>
      </c>
      <c r="Q3292" t="s">
        <v>144</v>
      </c>
      <c r="R3292">
        <v>1</v>
      </c>
      <c r="S3292">
        <v>2999</v>
      </c>
      <c r="T3292">
        <v>0.1</v>
      </c>
      <c r="U3292">
        <v>2699.1</v>
      </c>
      <c r="V3292">
        <v>1700</v>
      </c>
      <c r="W3292">
        <v>999.1</v>
      </c>
      <c r="X3292" t="s">
        <v>73</v>
      </c>
      <c r="Y3292" t="s">
        <v>68</v>
      </c>
      <c r="Z3292" t="s">
        <v>158</v>
      </c>
      <c r="AA3292" t="s">
        <v>166</v>
      </c>
      <c r="AB3292">
        <v>4.2</v>
      </c>
      <c r="AC3292">
        <v>50</v>
      </c>
      <c r="AD3292">
        <v>234.65</v>
      </c>
      <c r="AE3292">
        <f t="shared" si="102"/>
        <v>714.45</v>
      </c>
      <c r="AF3292" t="str">
        <f t="shared" si="103"/>
        <v>2026-03</v>
      </c>
      <c r="AG3292">
        <f>SUBTOTAL(103,A3292)</f>
        <v>1</v>
      </c>
    </row>
    <row r="3293" spans="1:33" x14ac:dyDescent="0.3">
      <c r="A3293" t="s">
        <v>5916</v>
      </c>
      <c r="B3293" s="13">
        <v>46083</v>
      </c>
      <c r="C3293">
        <v>2026</v>
      </c>
      <c r="D3293">
        <v>3</v>
      </c>
      <c r="E3293" t="s">
        <v>3053</v>
      </c>
      <c r="F3293" t="s">
        <v>2572</v>
      </c>
      <c r="G3293" t="s">
        <v>1791</v>
      </c>
      <c r="H3293" t="s">
        <v>1792</v>
      </c>
      <c r="I3293" t="s">
        <v>85</v>
      </c>
      <c r="J3293">
        <v>26</v>
      </c>
      <c r="K3293" t="s">
        <v>81</v>
      </c>
      <c r="L3293" t="s">
        <v>2579</v>
      </c>
      <c r="M3293" t="s">
        <v>56</v>
      </c>
      <c r="N3293" t="s">
        <v>2601</v>
      </c>
      <c r="O3293" t="s">
        <v>117</v>
      </c>
      <c r="P3293" t="s">
        <v>49</v>
      </c>
      <c r="Q3293" t="s">
        <v>139</v>
      </c>
      <c r="R3293">
        <v>1</v>
      </c>
      <c r="S3293">
        <v>6999</v>
      </c>
      <c r="T3293">
        <v>0.05</v>
      </c>
      <c r="U3293">
        <v>0</v>
      </c>
      <c r="V3293">
        <v>0</v>
      </c>
      <c r="W3293">
        <v>0</v>
      </c>
      <c r="X3293" t="s">
        <v>76</v>
      </c>
      <c r="Y3293" t="s">
        <v>71</v>
      </c>
      <c r="Z3293" t="s">
        <v>158</v>
      </c>
      <c r="AA3293" t="s">
        <v>170</v>
      </c>
      <c r="AB3293">
        <v>4.5</v>
      </c>
      <c r="AC3293">
        <v>40</v>
      </c>
      <c r="AD3293">
        <v>675.93</v>
      </c>
      <c r="AE3293">
        <f t="shared" si="102"/>
        <v>-715.93</v>
      </c>
      <c r="AF3293" t="str">
        <f t="shared" si="103"/>
        <v>2026-03</v>
      </c>
      <c r="AG3293">
        <f>SUBTOTAL(103,A3293)</f>
        <v>1</v>
      </c>
    </row>
    <row r="3294" spans="1:33" x14ac:dyDescent="0.3">
      <c r="A3294" t="s">
        <v>5917</v>
      </c>
      <c r="B3294" s="13">
        <v>46083</v>
      </c>
      <c r="C3294">
        <v>2026</v>
      </c>
      <c r="D3294">
        <v>3</v>
      </c>
      <c r="E3294" t="s">
        <v>3053</v>
      </c>
      <c r="F3294" t="s">
        <v>2572</v>
      </c>
      <c r="G3294" t="s">
        <v>1731</v>
      </c>
      <c r="H3294" t="s">
        <v>1732</v>
      </c>
      <c r="I3294" t="s">
        <v>86</v>
      </c>
      <c r="J3294">
        <v>25</v>
      </c>
      <c r="K3294" t="s">
        <v>80</v>
      </c>
      <c r="L3294" t="s">
        <v>94</v>
      </c>
      <c r="M3294" t="s">
        <v>57</v>
      </c>
      <c r="N3294" t="s">
        <v>2592</v>
      </c>
      <c r="O3294" t="s">
        <v>115</v>
      </c>
      <c r="P3294" t="s">
        <v>48</v>
      </c>
      <c r="Q3294" t="s">
        <v>137</v>
      </c>
      <c r="R3294">
        <v>3</v>
      </c>
      <c r="S3294">
        <v>12999</v>
      </c>
      <c r="T3294">
        <v>0.05</v>
      </c>
      <c r="U3294">
        <v>0</v>
      </c>
      <c r="V3294">
        <v>0</v>
      </c>
      <c r="W3294">
        <v>0</v>
      </c>
      <c r="X3294" t="s">
        <v>73</v>
      </c>
      <c r="Y3294" t="s">
        <v>71</v>
      </c>
      <c r="Z3294" t="s">
        <v>161</v>
      </c>
      <c r="AA3294" t="s">
        <v>166</v>
      </c>
      <c r="AB3294">
        <v>4.8</v>
      </c>
      <c r="AC3294">
        <v>50</v>
      </c>
      <c r="AD3294">
        <v>3221.98</v>
      </c>
      <c r="AE3294">
        <f t="shared" si="102"/>
        <v>-3271.98</v>
      </c>
      <c r="AF3294" t="str">
        <f t="shared" si="103"/>
        <v>2026-03</v>
      </c>
      <c r="AG3294">
        <f>SUBTOTAL(103,A3294)</f>
        <v>1</v>
      </c>
    </row>
    <row r="3295" spans="1:33" x14ac:dyDescent="0.3">
      <c r="A3295" t="s">
        <v>5918</v>
      </c>
      <c r="B3295" s="13">
        <v>46083</v>
      </c>
      <c r="C3295">
        <v>2026</v>
      </c>
      <c r="D3295">
        <v>3</v>
      </c>
      <c r="E3295" t="s">
        <v>3053</v>
      </c>
      <c r="F3295" t="s">
        <v>2572</v>
      </c>
      <c r="G3295" t="s">
        <v>2459</v>
      </c>
      <c r="H3295" t="s">
        <v>2460</v>
      </c>
      <c r="I3295" t="s">
        <v>86</v>
      </c>
      <c r="J3295">
        <v>19</v>
      </c>
      <c r="K3295" t="s">
        <v>80</v>
      </c>
      <c r="L3295" t="s">
        <v>2646</v>
      </c>
      <c r="M3295" t="s">
        <v>63</v>
      </c>
      <c r="N3295" t="s">
        <v>2606</v>
      </c>
      <c r="O3295" t="s">
        <v>120</v>
      </c>
      <c r="P3295" t="s">
        <v>49</v>
      </c>
      <c r="Q3295" t="s">
        <v>140</v>
      </c>
      <c r="R3295">
        <v>1</v>
      </c>
      <c r="S3295">
        <v>2799</v>
      </c>
      <c r="T3295">
        <v>0.25</v>
      </c>
      <c r="U3295">
        <v>2099.25</v>
      </c>
      <c r="V3295">
        <v>1650</v>
      </c>
      <c r="W3295">
        <v>449.25</v>
      </c>
      <c r="X3295" t="s">
        <v>75</v>
      </c>
      <c r="Y3295" t="s">
        <v>68</v>
      </c>
      <c r="Z3295" t="s">
        <v>158</v>
      </c>
      <c r="AA3295" t="s">
        <v>166</v>
      </c>
      <c r="AB3295">
        <v>4.4000000000000004</v>
      </c>
      <c r="AC3295">
        <v>80</v>
      </c>
      <c r="AD3295">
        <v>155.29</v>
      </c>
      <c r="AE3295">
        <f t="shared" si="102"/>
        <v>213.96</v>
      </c>
      <c r="AF3295" t="str">
        <f t="shared" si="103"/>
        <v>2026-03</v>
      </c>
      <c r="AG3295">
        <f>SUBTOTAL(103,A3295)</f>
        <v>1</v>
      </c>
    </row>
    <row r="3296" spans="1:33" x14ac:dyDescent="0.3">
      <c r="A3296" t="s">
        <v>5919</v>
      </c>
      <c r="B3296" s="13">
        <v>46084</v>
      </c>
      <c r="C3296">
        <v>2026</v>
      </c>
      <c r="D3296">
        <v>3</v>
      </c>
      <c r="E3296" t="s">
        <v>3053</v>
      </c>
      <c r="F3296" t="s">
        <v>2572</v>
      </c>
      <c r="G3296" t="s">
        <v>1613</v>
      </c>
      <c r="H3296" t="s">
        <v>1614</v>
      </c>
      <c r="I3296" t="s">
        <v>86</v>
      </c>
      <c r="J3296">
        <v>44</v>
      </c>
      <c r="K3296" t="s">
        <v>82</v>
      </c>
      <c r="L3296" t="s">
        <v>2616</v>
      </c>
      <c r="M3296" t="s">
        <v>62</v>
      </c>
      <c r="N3296" t="s">
        <v>2647</v>
      </c>
      <c r="O3296" t="s">
        <v>133</v>
      </c>
      <c r="P3296" t="s">
        <v>50</v>
      </c>
      <c r="Q3296" t="s">
        <v>145</v>
      </c>
      <c r="R3296">
        <v>2</v>
      </c>
      <c r="S3296">
        <v>799</v>
      </c>
      <c r="T3296">
        <v>0.1</v>
      </c>
      <c r="U3296">
        <v>1438.2</v>
      </c>
      <c r="V3296">
        <v>780</v>
      </c>
      <c r="W3296">
        <v>658.2</v>
      </c>
      <c r="X3296" t="s">
        <v>74</v>
      </c>
      <c r="Y3296" t="s">
        <v>68</v>
      </c>
      <c r="Z3296" t="s">
        <v>159</v>
      </c>
      <c r="AA3296" t="s">
        <v>166</v>
      </c>
      <c r="AB3296">
        <v>2.9</v>
      </c>
      <c r="AC3296">
        <v>100</v>
      </c>
      <c r="AD3296">
        <v>116.89</v>
      </c>
      <c r="AE3296">
        <f t="shared" si="102"/>
        <v>441.31000000000006</v>
      </c>
      <c r="AF3296" t="str">
        <f t="shared" si="103"/>
        <v>2026-03</v>
      </c>
      <c r="AG3296">
        <f>SUBTOTAL(103,A3296)</f>
        <v>1</v>
      </c>
    </row>
    <row r="3297" spans="1:33" x14ac:dyDescent="0.3">
      <c r="A3297" t="s">
        <v>5920</v>
      </c>
      <c r="B3297" s="13">
        <v>46084</v>
      </c>
      <c r="C3297">
        <v>2026</v>
      </c>
      <c r="D3297">
        <v>3</v>
      </c>
      <c r="E3297" t="s">
        <v>3053</v>
      </c>
      <c r="F3297" t="s">
        <v>2572</v>
      </c>
      <c r="G3297" t="s">
        <v>619</v>
      </c>
      <c r="H3297" t="s">
        <v>620</v>
      </c>
      <c r="I3297" t="s">
        <v>85</v>
      </c>
      <c r="J3297">
        <v>32</v>
      </c>
      <c r="K3297" t="s">
        <v>81</v>
      </c>
      <c r="L3297" t="s">
        <v>90</v>
      </c>
      <c r="M3297" t="s">
        <v>55</v>
      </c>
      <c r="N3297" t="s">
        <v>2665</v>
      </c>
      <c r="O3297" t="s">
        <v>128</v>
      </c>
      <c r="P3297" t="s">
        <v>53</v>
      </c>
      <c r="Q3297" t="s">
        <v>143</v>
      </c>
      <c r="R3297">
        <v>3</v>
      </c>
      <c r="S3297">
        <v>1499</v>
      </c>
      <c r="T3297">
        <v>0</v>
      </c>
      <c r="U3297">
        <v>4497</v>
      </c>
      <c r="V3297">
        <v>2400</v>
      </c>
      <c r="W3297">
        <v>2097</v>
      </c>
      <c r="X3297" t="s">
        <v>73</v>
      </c>
      <c r="Y3297" t="s">
        <v>68</v>
      </c>
      <c r="Z3297" t="s">
        <v>158</v>
      </c>
      <c r="AA3297" t="s">
        <v>167</v>
      </c>
      <c r="AB3297">
        <v>4.7</v>
      </c>
      <c r="AC3297">
        <v>60</v>
      </c>
      <c r="AD3297">
        <v>171.94</v>
      </c>
      <c r="AE3297">
        <f t="shared" si="102"/>
        <v>1865.06</v>
      </c>
      <c r="AF3297" t="str">
        <f t="shared" si="103"/>
        <v>2026-03</v>
      </c>
      <c r="AG3297">
        <f>SUBTOTAL(103,A3297)</f>
        <v>1</v>
      </c>
    </row>
    <row r="3298" spans="1:33" x14ac:dyDescent="0.3">
      <c r="A3298" t="s">
        <v>5921</v>
      </c>
      <c r="B3298" s="13">
        <v>46084</v>
      </c>
      <c r="C3298">
        <v>2026</v>
      </c>
      <c r="D3298">
        <v>3</v>
      </c>
      <c r="E3298" t="s">
        <v>3053</v>
      </c>
      <c r="F3298" t="s">
        <v>2572</v>
      </c>
      <c r="G3298" t="s">
        <v>645</v>
      </c>
      <c r="H3298" t="s">
        <v>646</v>
      </c>
      <c r="I3298" t="s">
        <v>86</v>
      </c>
      <c r="J3298">
        <v>20</v>
      </c>
      <c r="K3298" t="s">
        <v>80</v>
      </c>
      <c r="L3298" t="s">
        <v>2599</v>
      </c>
      <c r="M3298" t="s">
        <v>62</v>
      </c>
      <c r="N3298" t="s">
        <v>2590</v>
      </c>
      <c r="O3298" t="s">
        <v>127</v>
      </c>
      <c r="P3298" t="s">
        <v>51</v>
      </c>
      <c r="Q3298" t="s">
        <v>148</v>
      </c>
      <c r="R3298">
        <v>5</v>
      </c>
      <c r="S3298">
        <v>1599</v>
      </c>
      <c r="T3298">
        <v>0.1</v>
      </c>
      <c r="U3298">
        <v>7195.5</v>
      </c>
      <c r="V3298">
        <v>4000</v>
      </c>
      <c r="W3298">
        <v>3195.5</v>
      </c>
      <c r="X3298" t="s">
        <v>73</v>
      </c>
      <c r="Y3298" t="s">
        <v>68</v>
      </c>
      <c r="Z3298" t="s">
        <v>158</v>
      </c>
      <c r="AA3298" t="s">
        <v>166</v>
      </c>
      <c r="AB3298">
        <v>4.5</v>
      </c>
      <c r="AC3298">
        <v>40</v>
      </c>
      <c r="AD3298">
        <v>693.78</v>
      </c>
      <c r="AE3298">
        <f t="shared" si="102"/>
        <v>2461.7200000000003</v>
      </c>
      <c r="AF3298" t="str">
        <f t="shared" si="103"/>
        <v>2026-03</v>
      </c>
      <c r="AG3298">
        <f>SUBTOTAL(103,A3298)</f>
        <v>1</v>
      </c>
    </row>
    <row r="3299" spans="1:33" x14ac:dyDescent="0.3">
      <c r="A3299" t="s">
        <v>5922</v>
      </c>
      <c r="B3299" s="13">
        <v>46084</v>
      </c>
      <c r="C3299">
        <v>2026</v>
      </c>
      <c r="D3299">
        <v>3</v>
      </c>
      <c r="E3299" t="s">
        <v>3053</v>
      </c>
      <c r="F3299" t="s">
        <v>2572</v>
      </c>
      <c r="G3299" t="s">
        <v>1017</v>
      </c>
      <c r="H3299" t="s">
        <v>1018</v>
      </c>
      <c r="I3299" t="s">
        <v>87</v>
      </c>
      <c r="J3299">
        <v>60</v>
      </c>
      <c r="K3299" t="s">
        <v>83</v>
      </c>
      <c r="L3299" t="s">
        <v>93</v>
      </c>
      <c r="M3299" t="s">
        <v>55</v>
      </c>
      <c r="N3299" t="s">
        <v>2630</v>
      </c>
      <c r="O3299" t="s">
        <v>123</v>
      </c>
      <c r="P3299" t="s">
        <v>52</v>
      </c>
      <c r="Q3299" t="s">
        <v>146</v>
      </c>
      <c r="R3299">
        <v>1</v>
      </c>
      <c r="S3299">
        <v>2499</v>
      </c>
      <c r="T3299">
        <v>0.15</v>
      </c>
      <c r="U3299">
        <v>2124.15</v>
      </c>
      <c r="V3299">
        <v>1400</v>
      </c>
      <c r="W3299">
        <v>724.15</v>
      </c>
      <c r="X3299" t="s">
        <v>76</v>
      </c>
      <c r="Y3299" t="s">
        <v>68</v>
      </c>
      <c r="Z3299" t="s">
        <v>161</v>
      </c>
      <c r="AA3299" t="s">
        <v>171</v>
      </c>
      <c r="AB3299">
        <v>3.2</v>
      </c>
      <c r="AC3299">
        <v>60</v>
      </c>
      <c r="AD3299">
        <v>247.87</v>
      </c>
      <c r="AE3299">
        <f t="shared" si="102"/>
        <v>416.28</v>
      </c>
      <c r="AF3299" t="str">
        <f t="shared" si="103"/>
        <v>2026-03</v>
      </c>
      <c r="AG3299">
        <f>SUBTOTAL(103,A3299)</f>
        <v>1</v>
      </c>
    </row>
    <row r="3300" spans="1:33" x14ac:dyDescent="0.3">
      <c r="A3300" t="s">
        <v>5923</v>
      </c>
      <c r="B3300" s="13">
        <v>46084</v>
      </c>
      <c r="C3300">
        <v>2026</v>
      </c>
      <c r="D3300">
        <v>3</v>
      </c>
      <c r="E3300" t="s">
        <v>3053</v>
      </c>
      <c r="F3300" t="s">
        <v>2572</v>
      </c>
      <c r="G3300" t="s">
        <v>1565</v>
      </c>
      <c r="H3300" t="s">
        <v>1566</v>
      </c>
      <c r="I3300" t="s">
        <v>85</v>
      </c>
      <c r="J3300">
        <v>38</v>
      </c>
      <c r="K3300" t="s">
        <v>82</v>
      </c>
      <c r="L3300" t="s">
        <v>2605</v>
      </c>
      <c r="M3300" t="s">
        <v>60</v>
      </c>
      <c r="N3300" t="s">
        <v>2596</v>
      </c>
      <c r="O3300" t="s">
        <v>124</v>
      </c>
      <c r="P3300" t="s">
        <v>51</v>
      </c>
      <c r="Q3300" t="s">
        <v>147</v>
      </c>
      <c r="R3300">
        <v>1</v>
      </c>
      <c r="S3300">
        <v>2299</v>
      </c>
      <c r="T3300">
        <v>0.05</v>
      </c>
      <c r="U3300">
        <v>2184.0500000000002</v>
      </c>
      <c r="V3300">
        <v>1200</v>
      </c>
      <c r="W3300">
        <v>984.05</v>
      </c>
      <c r="X3300" t="s">
        <v>75</v>
      </c>
      <c r="Y3300" t="s">
        <v>68</v>
      </c>
      <c r="Z3300" t="s">
        <v>161</v>
      </c>
      <c r="AA3300" t="s">
        <v>166</v>
      </c>
      <c r="AB3300">
        <v>4.3</v>
      </c>
      <c r="AC3300">
        <v>80</v>
      </c>
      <c r="AD3300">
        <v>188.39</v>
      </c>
      <c r="AE3300">
        <f t="shared" si="102"/>
        <v>715.66</v>
      </c>
      <c r="AF3300" t="str">
        <f t="shared" si="103"/>
        <v>2026-03</v>
      </c>
      <c r="AG3300">
        <f>SUBTOTAL(103,A3300)</f>
        <v>1</v>
      </c>
    </row>
    <row r="3301" spans="1:33" x14ac:dyDescent="0.3">
      <c r="A3301" t="s">
        <v>5924</v>
      </c>
      <c r="B3301" s="13">
        <v>46084</v>
      </c>
      <c r="C3301">
        <v>2026</v>
      </c>
      <c r="D3301">
        <v>3</v>
      </c>
      <c r="E3301" t="s">
        <v>3053</v>
      </c>
      <c r="F3301" t="s">
        <v>2572</v>
      </c>
      <c r="G3301" t="s">
        <v>543</v>
      </c>
      <c r="H3301" t="s">
        <v>544</v>
      </c>
      <c r="I3301" t="s">
        <v>86</v>
      </c>
      <c r="J3301">
        <v>37</v>
      </c>
      <c r="K3301" t="s">
        <v>82</v>
      </c>
      <c r="L3301" t="s">
        <v>2690</v>
      </c>
      <c r="M3301" t="s">
        <v>63</v>
      </c>
      <c r="N3301" t="s">
        <v>2626</v>
      </c>
      <c r="O3301" t="s">
        <v>125</v>
      </c>
      <c r="P3301" t="s">
        <v>48</v>
      </c>
      <c r="Q3301" t="s">
        <v>141</v>
      </c>
      <c r="R3301">
        <v>1</v>
      </c>
      <c r="S3301">
        <v>1999</v>
      </c>
      <c r="T3301">
        <v>0.25</v>
      </c>
      <c r="U3301">
        <v>1499.25</v>
      </c>
      <c r="V3301">
        <v>1150</v>
      </c>
      <c r="W3301">
        <v>349.25</v>
      </c>
      <c r="X3301" t="s">
        <v>77</v>
      </c>
      <c r="Y3301" t="s">
        <v>68</v>
      </c>
      <c r="Z3301" t="s">
        <v>162</v>
      </c>
      <c r="AA3301" t="s">
        <v>167</v>
      </c>
      <c r="AB3301">
        <v>4.3</v>
      </c>
      <c r="AC3301">
        <v>100</v>
      </c>
      <c r="AD3301">
        <v>64.489999999999995</v>
      </c>
      <c r="AE3301">
        <f t="shared" si="102"/>
        <v>184.76</v>
      </c>
      <c r="AF3301" t="str">
        <f t="shared" si="103"/>
        <v>2026-03</v>
      </c>
      <c r="AG3301">
        <f>SUBTOTAL(103,A3301)</f>
        <v>1</v>
      </c>
    </row>
    <row r="3302" spans="1:33" x14ac:dyDescent="0.3">
      <c r="A3302" t="s">
        <v>5925</v>
      </c>
      <c r="B3302" s="13">
        <v>46084</v>
      </c>
      <c r="C3302">
        <v>2026</v>
      </c>
      <c r="D3302">
        <v>3</v>
      </c>
      <c r="E3302" t="s">
        <v>3053</v>
      </c>
      <c r="F3302" t="s">
        <v>2572</v>
      </c>
      <c r="G3302" t="s">
        <v>2447</v>
      </c>
      <c r="H3302" t="s">
        <v>2448</v>
      </c>
      <c r="I3302" t="s">
        <v>85</v>
      </c>
      <c r="J3302">
        <v>31</v>
      </c>
      <c r="K3302" t="s">
        <v>81</v>
      </c>
      <c r="L3302" t="s">
        <v>97</v>
      </c>
      <c r="M3302" t="s">
        <v>57</v>
      </c>
      <c r="N3302" t="s">
        <v>2603</v>
      </c>
      <c r="O3302" t="s">
        <v>122</v>
      </c>
      <c r="P3302" t="s">
        <v>48</v>
      </c>
      <c r="Q3302" t="s">
        <v>141</v>
      </c>
      <c r="R3302">
        <v>1</v>
      </c>
      <c r="S3302">
        <v>2499</v>
      </c>
      <c r="T3302">
        <v>0.1</v>
      </c>
      <c r="U3302">
        <v>2249.1</v>
      </c>
      <c r="V3302">
        <v>1450</v>
      </c>
      <c r="W3302">
        <v>799.1</v>
      </c>
      <c r="X3302" t="s">
        <v>74</v>
      </c>
      <c r="Y3302" t="s">
        <v>68</v>
      </c>
      <c r="Z3302" t="s">
        <v>158</v>
      </c>
      <c r="AA3302" t="s">
        <v>166</v>
      </c>
      <c r="AB3302">
        <v>4.5999999999999996</v>
      </c>
      <c r="AC3302">
        <v>60</v>
      </c>
      <c r="AD3302">
        <v>258.95999999999998</v>
      </c>
      <c r="AE3302">
        <f t="shared" si="102"/>
        <v>480.14000000000004</v>
      </c>
      <c r="AF3302" t="str">
        <f t="shared" si="103"/>
        <v>2026-03</v>
      </c>
      <c r="AG3302">
        <f>SUBTOTAL(103,A3302)</f>
        <v>1</v>
      </c>
    </row>
    <row r="3303" spans="1:33" x14ac:dyDescent="0.3">
      <c r="A3303" t="s">
        <v>5926</v>
      </c>
      <c r="B3303" s="13">
        <v>46084</v>
      </c>
      <c r="C3303">
        <v>2026</v>
      </c>
      <c r="D3303">
        <v>3</v>
      </c>
      <c r="E3303" t="s">
        <v>3053</v>
      </c>
      <c r="F3303" t="s">
        <v>2572</v>
      </c>
      <c r="G3303" t="s">
        <v>1433</v>
      </c>
      <c r="H3303" t="s">
        <v>1434</v>
      </c>
      <c r="I3303" t="s">
        <v>85</v>
      </c>
      <c r="J3303">
        <v>53</v>
      </c>
      <c r="K3303" t="s">
        <v>83</v>
      </c>
      <c r="L3303" t="s">
        <v>91</v>
      </c>
      <c r="M3303" t="s">
        <v>55</v>
      </c>
      <c r="N3303" t="s">
        <v>2626</v>
      </c>
      <c r="O3303" t="s">
        <v>125</v>
      </c>
      <c r="P3303" t="s">
        <v>48</v>
      </c>
      <c r="Q3303" t="s">
        <v>141</v>
      </c>
      <c r="R3303">
        <v>1</v>
      </c>
      <c r="S3303">
        <v>1999</v>
      </c>
      <c r="T3303">
        <v>0.2</v>
      </c>
      <c r="U3303">
        <v>1599.2</v>
      </c>
      <c r="V3303">
        <v>1150</v>
      </c>
      <c r="W3303">
        <v>449.2</v>
      </c>
      <c r="X3303" t="s">
        <v>73</v>
      </c>
      <c r="Y3303" t="s">
        <v>68</v>
      </c>
      <c r="Z3303" t="s">
        <v>162</v>
      </c>
      <c r="AA3303" t="s">
        <v>166</v>
      </c>
      <c r="AB3303">
        <v>3.1</v>
      </c>
      <c r="AC3303">
        <v>60</v>
      </c>
      <c r="AD3303">
        <v>131.52000000000001</v>
      </c>
      <c r="AE3303">
        <f t="shared" si="102"/>
        <v>257.67999999999995</v>
      </c>
      <c r="AF3303" t="str">
        <f t="shared" si="103"/>
        <v>2026-03</v>
      </c>
      <c r="AG3303">
        <f>SUBTOTAL(103,A3303)</f>
        <v>1</v>
      </c>
    </row>
    <row r="3304" spans="1:33" x14ac:dyDescent="0.3">
      <c r="A3304" t="s">
        <v>5927</v>
      </c>
      <c r="B3304" s="13">
        <v>46084</v>
      </c>
      <c r="C3304">
        <v>2026</v>
      </c>
      <c r="D3304">
        <v>3</v>
      </c>
      <c r="E3304" t="s">
        <v>3053</v>
      </c>
      <c r="F3304" t="s">
        <v>2572</v>
      </c>
      <c r="G3304" t="s">
        <v>1315</v>
      </c>
      <c r="H3304" t="s">
        <v>1316</v>
      </c>
      <c r="I3304" t="s">
        <v>85</v>
      </c>
      <c r="J3304">
        <v>30</v>
      </c>
      <c r="K3304" t="s">
        <v>81</v>
      </c>
      <c r="L3304" t="s">
        <v>2690</v>
      </c>
      <c r="M3304" t="s">
        <v>63</v>
      </c>
      <c r="N3304" t="s">
        <v>2582</v>
      </c>
      <c r="O3304" t="s">
        <v>119</v>
      </c>
      <c r="P3304" t="s">
        <v>49</v>
      </c>
      <c r="Q3304" t="s">
        <v>140</v>
      </c>
      <c r="R3304">
        <v>1</v>
      </c>
      <c r="S3304">
        <v>3499</v>
      </c>
      <c r="T3304">
        <v>0.05</v>
      </c>
      <c r="U3304">
        <v>3324.05</v>
      </c>
      <c r="V3304">
        <v>2100</v>
      </c>
      <c r="W3304">
        <v>1224.05</v>
      </c>
      <c r="X3304" t="s">
        <v>74</v>
      </c>
      <c r="Y3304" t="s">
        <v>68</v>
      </c>
      <c r="Z3304" t="s">
        <v>161</v>
      </c>
      <c r="AA3304" t="s">
        <v>169</v>
      </c>
      <c r="AB3304">
        <v>3.5</v>
      </c>
      <c r="AC3304">
        <v>50</v>
      </c>
      <c r="AD3304">
        <v>87.67</v>
      </c>
      <c r="AE3304">
        <f t="shared" si="102"/>
        <v>1086.3799999999999</v>
      </c>
      <c r="AF3304" t="str">
        <f t="shared" si="103"/>
        <v>2026-03</v>
      </c>
      <c r="AG3304">
        <f>SUBTOTAL(103,A3304)</f>
        <v>1</v>
      </c>
    </row>
    <row r="3305" spans="1:33" x14ac:dyDescent="0.3">
      <c r="A3305" t="s">
        <v>5928</v>
      </c>
      <c r="B3305" s="13">
        <v>46084</v>
      </c>
      <c r="C3305">
        <v>2026</v>
      </c>
      <c r="D3305">
        <v>3</v>
      </c>
      <c r="E3305" t="s">
        <v>3053</v>
      </c>
      <c r="F3305" t="s">
        <v>2572</v>
      </c>
      <c r="G3305" t="s">
        <v>857</v>
      </c>
      <c r="H3305" t="s">
        <v>858</v>
      </c>
      <c r="I3305" t="s">
        <v>86</v>
      </c>
      <c r="J3305">
        <v>54</v>
      </c>
      <c r="K3305" t="s">
        <v>83</v>
      </c>
      <c r="L3305" t="s">
        <v>95</v>
      </c>
      <c r="M3305" t="s">
        <v>56</v>
      </c>
      <c r="N3305" t="s">
        <v>2584</v>
      </c>
      <c r="O3305" t="s">
        <v>121</v>
      </c>
      <c r="P3305" t="s">
        <v>50</v>
      </c>
      <c r="Q3305" t="s">
        <v>144</v>
      </c>
      <c r="R3305">
        <v>2</v>
      </c>
      <c r="S3305">
        <v>2999</v>
      </c>
      <c r="T3305">
        <v>0.05</v>
      </c>
      <c r="U3305">
        <v>5698.1</v>
      </c>
      <c r="V3305">
        <v>3400</v>
      </c>
      <c r="W3305">
        <v>2298.1</v>
      </c>
      <c r="X3305" t="s">
        <v>74</v>
      </c>
      <c r="Y3305" t="s">
        <v>68</v>
      </c>
      <c r="Z3305" t="s">
        <v>159</v>
      </c>
      <c r="AA3305" t="s">
        <v>169</v>
      </c>
      <c r="AB3305">
        <v>4.8</v>
      </c>
      <c r="AC3305">
        <v>50</v>
      </c>
      <c r="AD3305">
        <v>415.29</v>
      </c>
      <c r="AE3305">
        <f t="shared" si="102"/>
        <v>1832.81</v>
      </c>
      <c r="AF3305" t="str">
        <f t="shared" si="103"/>
        <v>2026-03</v>
      </c>
      <c r="AG3305">
        <f>SUBTOTAL(103,A3305)</f>
        <v>1</v>
      </c>
    </row>
    <row r="3306" spans="1:33" x14ac:dyDescent="0.3">
      <c r="A3306" t="s">
        <v>5929</v>
      </c>
      <c r="B3306" s="13">
        <v>46085</v>
      </c>
      <c r="C3306">
        <v>2026</v>
      </c>
      <c r="D3306">
        <v>3</v>
      </c>
      <c r="E3306" t="s">
        <v>3053</v>
      </c>
      <c r="F3306" t="s">
        <v>2572</v>
      </c>
      <c r="G3306" t="s">
        <v>737</v>
      </c>
      <c r="H3306" t="s">
        <v>738</v>
      </c>
      <c r="I3306" t="s">
        <v>86</v>
      </c>
      <c r="J3306">
        <v>39</v>
      </c>
      <c r="K3306" t="s">
        <v>82</v>
      </c>
      <c r="L3306" t="s">
        <v>2579</v>
      </c>
      <c r="M3306" t="s">
        <v>56</v>
      </c>
      <c r="N3306" t="s">
        <v>2592</v>
      </c>
      <c r="O3306" t="s">
        <v>115</v>
      </c>
      <c r="P3306" t="s">
        <v>48</v>
      </c>
      <c r="Q3306" t="s">
        <v>137</v>
      </c>
      <c r="R3306">
        <v>1</v>
      </c>
      <c r="S3306">
        <v>12999</v>
      </c>
      <c r="T3306">
        <v>0.1</v>
      </c>
      <c r="U3306">
        <v>11699.1</v>
      </c>
      <c r="V3306">
        <v>9000</v>
      </c>
      <c r="W3306">
        <v>2699.1</v>
      </c>
      <c r="X3306" t="s">
        <v>73</v>
      </c>
      <c r="Y3306" t="s">
        <v>68</v>
      </c>
      <c r="Z3306" t="s">
        <v>159</v>
      </c>
      <c r="AA3306" t="s">
        <v>171</v>
      </c>
      <c r="AB3306">
        <v>4</v>
      </c>
      <c r="AC3306">
        <v>40</v>
      </c>
      <c r="AD3306">
        <v>1342.39</v>
      </c>
      <c r="AE3306">
        <f t="shared" si="102"/>
        <v>1316.7099999999998</v>
      </c>
      <c r="AF3306" t="str">
        <f t="shared" si="103"/>
        <v>2026-03</v>
      </c>
      <c r="AG3306">
        <f>SUBTOTAL(103,A3306)</f>
        <v>1</v>
      </c>
    </row>
    <row r="3307" spans="1:33" x14ac:dyDescent="0.3">
      <c r="A3307" t="s">
        <v>5930</v>
      </c>
      <c r="B3307" s="13">
        <v>46085</v>
      </c>
      <c r="C3307">
        <v>2026</v>
      </c>
      <c r="D3307">
        <v>3</v>
      </c>
      <c r="E3307" t="s">
        <v>3053</v>
      </c>
      <c r="F3307" t="s">
        <v>2572</v>
      </c>
      <c r="G3307" t="s">
        <v>1011</v>
      </c>
      <c r="H3307" t="s">
        <v>1012</v>
      </c>
      <c r="I3307" t="s">
        <v>85</v>
      </c>
      <c r="J3307">
        <v>33</v>
      </c>
      <c r="K3307" t="s">
        <v>81</v>
      </c>
      <c r="L3307" t="s">
        <v>2586</v>
      </c>
      <c r="M3307" t="s">
        <v>62</v>
      </c>
      <c r="N3307" t="s">
        <v>2626</v>
      </c>
      <c r="O3307" t="s">
        <v>125</v>
      </c>
      <c r="P3307" t="s">
        <v>48</v>
      </c>
      <c r="Q3307" t="s">
        <v>141</v>
      </c>
      <c r="R3307">
        <v>3</v>
      </c>
      <c r="S3307">
        <v>1999</v>
      </c>
      <c r="T3307">
        <v>0</v>
      </c>
      <c r="U3307">
        <v>5997</v>
      </c>
      <c r="V3307">
        <v>3450</v>
      </c>
      <c r="W3307">
        <v>2547</v>
      </c>
      <c r="X3307" t="s">
        <v>74</v>
      </c>
      <c r="Y3307" t="s">
        <v>68</v>
      </c>
      <c r="Z3307" t="s">
        <v>163</v>
      </c>
      <c r="AA3307" t="s">
        <v>166</v>
      </c>
      <c r="AB3307">
        <v>4</v>
      </c>
      <c r="AC3307">
        <v>50</v>
      </c>
      <c r="AD3307">
        <v>199.93</v>
      </c>
      <c r="AE3307">
        <f t="shared" si="102"/>
        <v>2297.0700000000002</v>
      </c>
      <c r="AF3307" t="str">
        <f t="shared" si="103"/>
        <v>2026-03</v>
      </c>
      <c r="AG3307">
        <f>SUBTOTAL(103,A3307)</f>
        <v>1</v>
      </c>
    </row>
    <row r="3308" spans="1:33" x14ac:dyDescent="0.3">
      <c r="A3308" t="s">
        <v>5931</v>
      </c>
      <c r="B3308" s="13">
        <v>46085</v>
      </c>
      <c r="C3308">
        <v>2026</v>
      </c>
      <c r="D3308">
        <v>3</v>
      </c>
      <c r="E3308" t="s">
        <v>3053</v>
      </c>
      <c r="F3308" t="s">
        <v>2572</v>
      </c>
      <c r="G3308" t="s">
        <v>567</v>
      </c>
      <c r="H3308" t="s">
        <v>568</v>
      </c>
      <c r="I3308" t="s">
        <v>86</v>
      </c>
      <c r="J3308">
        <v>34</v>
      </c>
      <c r="K3308" t="s">
        <v>81</v>
      </c>
      <c r="L3308" t="s">
        <v>2589</v>
      </c>
      <c r="M3308" t="s">
        <v>61</v>
      </c>
      <c r="N3308" t="s">
        <v>2577</v>
      </c>
      <c r="O3308" t="s">
        <v>129</v>
      </c>
      <c r="P3308" t="s">
        <v>49</v>
      </c>
      <c r="Q3308" t="s">
        <v>149</v>
      </c>
      <c r="R3308">
        <v>3</v>
      </c>
      <c r="S3308">
        <v>1299</v>
      </c>
      <c r="T3308">
        <v>0.15</v>
      </c>
      <c r="U3308">
        <v>3312.45</v>
      </c>
      <c r="V3308">
        <v>1950</v>
      </c>
      <c r="W3308">
        <v>1362.45</v>
      </c>
      <c r="X3308" t="s">
        <v>76</v>
      </c>
      <c r="Y3308" t="s">
        <v>68</v>
      </c>
      <c r="Z3308" t="s">
        <v>162</v>
      </c>
      <c r="AA3308" t="s">
        <v>168</v>
      </c>
      <c r="AB3308">
        <v>4.5999999999999996</v>
      </c>
      <c r="AC3308">
        <v>60</v>
      </c>
      <c r="AD3308">
        <v>353.83</v>
      </c>
      <c r="AE3308">
        <f t="shared" si="102"/>
        <v>948.62000000000012</v>
      </c>
      <c r="AF3308" t="str">
        <f t="shared" si="103"/>
        <v>2026-03</v>
      </c>
      <c r="AG3308">
        <f>SUBTOTAL(103,A3308)</f>
        <v>1</v>
      </c>
    </row>
    <row r="3309" spans="1:33" x14ac:dyDescent="0.3">
      <c r="A3309" t="s">
        <v>5932</v>
      </c>
      <c r="B3309" s="13">
        <v>46085</v>
      </c>
      <c r="C3309">
        <v>2026</v>
      </c>
      <c r="D3309">
        <v>3</v>
      </c>
      <c r="E3309" t="s">
        <v>3053</v>
      </c>
      <c r="F3309" t="s">
        <v>2572</v>
      </c>
      <c r="G3309" t="s">
        <v>1685</v>
      </c>
      <c r="H3309" t="s">
        <v>1686</v>
      </c>
      <c r="I3309" t="s">
        <v>86</v>
      </c>
      <c r="J3309">
        <v>37</v>
      </c>
      <c r="K3309" t="s">
        <v>82</v>
      </c>
      <c r="L3309" t="s">
        <v>2586</v>
      </c>
      <c r="M3309" t="s">
        <v>62</v>
      </c>
      <c r="N3309" t="s">
        <v>2653</v>
      </c>
      <c r="O3309" t="s">
        <v>132</v>
      </c>
      <c r="P3309" t="s">
        <v>52</v>
      </c>
      <c r="Q3309" t="s">
        <v>150</v>
      </c>
      <c r="R3309">
        <v>2</v>
      </c>
      <c r="S3309">
        <v>899</v>
      </c>
      <c r="T3309">
        <v>0.1</v>
      </c>
      <c r="U3309">
        <v>1618.2</v>
      </c>
      <c r="V3309">
        <v>840</v>
      </c>
      <c r="W3309">
        <v>778.2</v>
      </c>
      <c r="X3309" t="s">
        <v>73</v>
      </c>
      <c r="Y3309" t="s">
        <v>68</v>
      </c>
      <c r="Z3309" t="s">
        <v>161</v>
      </c>
      <c r="AA3309" t="s">
        <v>167</v>
      </c>
      <c r="AB3309">
        <v>3.8</v>
      </c>
      <c r="AC3309">
        <v>40</v>
      </c>
      <c r="AD3309">
        <v>120.01</v>
      </c>
      <c r="AE3309">
        <f t="shared" si="102"/>
        <v>618.19000000000005</v>
      </c>
      <c r="AF3309" t="str">
        <f t="shared" si="103"/>
        <v>2026-03</v>
      </c>
      <c r="AG3309">
        <f>SUBTOTAL(103,A3309)</f>
        <v>1</v>
      </c>
    </row>
    <row r="3310" spans="1:33" x14ac:dyDescent="0.3">
      <c r="A3310" t="s">
        <v>5933</v>
      </c>
      <c r="B3310" s="13">
        <v>46085</v>
      </c>
      <c r="C3310">
        <v>2026</v>
      </c>
      <c r="D3310">
        <v>3</v>
      </c>
      <c r="E3310" t="s">
        <v>3053</v>
      </c>
      <c r="F3310" t="s">
        <v>2572</v>
      </c>
      <c r="G3310" t="s">
        <v>1335</v>
      </c>
      <c r="H3310" t="s">
        <v>1336</v>
      </c>
      <c r="I3310" t="s">
        <v>85</v>
      </c>
      <c r="J3310">
        <v>59</v>
      </c>
      <c r="K3310" t="s">
        <v>83</v>
      </c>
      <c r="L3310" t="s">
        <v>2690</v>
      </c>
      <c r="M3310" t="s">
        <v>63</v>
      </c>
      <c r="N3310" t="s">
        <v>2603</v>
      </c>
      <c r="O3310" t="s">
        <v>122</v>
      </c>
      <c r="P3310" t="s">
        <v>48</v>
      </c>
      <c r="Q3310" t="s">
        <v>141</v>
      </c>
      <c r="R3310">
        <v>3</v>
      </c>
      <c r="S3310">
        <v>2499</v>
      </c>
      <c r="T3310">
        <v>0.2</v>
      </c>
      <c r="U3310">
        <v>5997.6</v>
      </c>
      <c r="V3310">
        <v>4350</v>
      </c>
      <c r="W3310">
        <v>1647.6</v>
      </c>
      <c r="X3310" t="s">
        <v>73</v>
      </c>
      <c r="Y3310" t="s">
        <v>68</v>
      </c>
      <c r="Z3310" t="s">
        <v>160</v>
      </c>
      <c r="AA3310" t="s">
        <v>166</v>
      </c>
      <c r="AB3310">
        <v>4.2</v>
      </c>
      <c r="AC3310">
        <v>100</v>
      </c>
      <c r="AD3310">
        <v>588.42999999999995</v>
      </c>
      <c r="AE3310">
        <f t="shared" si="102"/>
        <v>959.17</v>
      </c>
      <c r="AF3310" t="str">
        <f t="shared" si="103"/>
        <v>2026-03</v>
      </c>
      <c r="AG3310">
        <f>SUBTOTAL(103,A3310)</f>
        <v>1</v>
      </c>
    </row>
    <row r="3311" spans="1:33" x14ac:dyDescent="0.3">
      <c r="A3311" t="s">
        <v>5934</v>
      </c>
      <c r="B3311" s="13">
        <v>46085</v>
      </c>
      <c r="C3311">
        <v>2026</v>
      </c>
      <c r="D3311">
        <v>3</v>
      </c>
      <c r="E3311" t="s">
        <v>3053</v>
      </c>
      <c r="F3311" t="s">
        <v>2572</v>
      </c>
      <c r="G3311" t="s">
        <v>809</v>
      </c>
      <c r="H3311" t="s">
        <v>810</v>
      </c>
      <c r="I3311" t="s">
        <v>85</v>
      </c>
      <c r="J3311">
        <v>46</v>
      </c>
      <c r="K3311" t="s">
        <v>83</v>
      </c>
      <c r="L3311" t="s">
        <v>2661</v>
      </c>
      <c r="M3311" t="s">
        <v>58</v>
      </c>
      <c r="N3311" t="s">
        <v>2601</v>
      </c>
      <c r="O3311" t="s">
        <v>117</v>
      </c>
      <c r="P3311" t="s">
        <v>49</v>
      </c>
      <c r="Q3311" t="s">
        <v>139</v>
      </c>
      <c r="R3311">
        <v>4</v>
      </c>
      <c r="S3311">
        <v>6999</v>
      </c>
      <c r="T3311">
        <v>0</v>
      </c>
      <c r="U3311">
        <v>27996</v>
      </c>
      <c r="V3311">
        <v>17200</v>
      </c>
      <c r="W3311">
        <v>10796</v>
      </c>
      <c r="X3311" t="s">
        <v>73</v>
      </c>
      <c r="Y3311" t="s">
        <v>68</v>
      </c>
      <c r="Z3311" t="s">
        <v>160</v>
      </c>
      <c r="AA3311" t="s">
        <v>168</v>
      </c>
      <c r="AB3311">
        <v>4.0999999999999996</v>
      </c>
      <c r="AC3311">
        <v>80</v>
      </c>
      <c r="AD3311">
        <v>1054.99</v>
      </c>
      <c r="AE3311">
        <f t="shared" si="102"/>
        <v>9661.01</v>
      </c>
      <c r="AF3311" t="str">
        <f t="shared" si="103"/>
        <v>2026-03</v>
      </c>
      <c r="AG3311">
        <f>SUBTOTAL(103,A3311)</f>
        <v>1</v>
      </c>
    </row>
    <row r="3312" spans="1:33" x14ac:dyDescent="0.3">
      <c r="A3312" t="s">
        <v>5935</v>
      </c>
      <c r="B3312" s="13">
        <v>46085</v>
      </c>
      <c r="C3312">
        <v>2026</v>
      </c>
      <c r="D3312">
        <v>3</v>
      </c>
      <c r="E3312" t="s">
        <v>3053</v>
      </c>
      <c r="F3312" t="s">
        <v>2572</v>
      </c>
      <c r="G3312" t="s">
        <v>2217</v>
      </c>
      <c r="H3312" t="s">
        <v>2218</v>
      </c>
      <c r="I3312" t="s">
        <v>86</v>
      </c>
      <c r="J3312">
        <v>19</v>
      </c>
      <c r="K3312" t="s">
        <v>80</v>
      </c>
      <c r="L3312" t="s">
        <v>2579</v>
      </c>
      <c r="M3312" t="s">
        <v>56</v>
      </c>
      <c r="N3312" t="s">
        <v>2577</v>
      </c>
      <c r="O3312" t="s">
        <v>129</v>
      </c>
      <c r="P3312" t="s">
        <v>49</v>
      </c>
      <c r="Q3312" t="s">
        <v>149</v>
      </c>
      <c r="R3312">
        <v>1</v>
      </c>
      <c r="S3312">
        <v>1299</v>
      </c>
      <c r="T3312">
        <v>0.15</v>
      </c>
      <c r="U3312">
        <v>1104.1500000000001</v>
      </c>
      <c r="V3312">
        <v>650</v>
      </c>
      <c r="W3312">
        <v>454.15</v>
      </c>
      <c r="X3312" t="s">
        <v>76</v>
      </c>
      <c r="Y3312" t="s">
        <v>68</v>
      </c>
      <c r="Z3312" t="s">
        <v>158</v>
      </c>
      <c r="AA3312" t="s">
        <v>168</v>
      </c>
      <c r="AB3312">
        <v>3.8</v>
      </c>
      <c r="AC3312">
        <v>60</v>
      </c>
      <c r="AD3312">
        <v>104.57</v>
      </c>
      <c r="AE3312">
        <f t="shared" si="102"/>
        <v>289.58</v>
      </c>
      <c r="AF3312" t="str">
        <f t="shared" si="103"/>
        <v>2026-03</v>
      </c>
      <c r="AG3312">
        <f>SUBTOTAL(103,A3312)</f>
        <v>1</v>
      </c>
    </row>
    <row r="3313" spans="1:33" x14ac:dyDescent="0.3">
      <c r="A3313" t="s">
        <v>5936</v>
      </c>
      <c r="B3313" s="13">
        <v>46085</v>
      </c>
      <c r="C3313">
        <v>2026</v>
      </c>
      <c r="D3313">
        <v>3</v>
      </c>
      <c r="E3313" t="s">
        <v>3053</v>
      </c>
      <c r="F3313" t="s">
        <v>2572</v>
      </c>
      <c r="G3313" t="s">
        <v>911</v>
      </c>
      <c r="H3313" t="s">
        <v>912</v>
      </c>
      <c r="I3313" t="s">
        <v>86</v>
      </c>
      <c r="J3313">
        <v>35</v>
      </c>
      <c r="K3313" t="s">
        <v>81</v>
      </c>
      <c r="L3313" t="s">
        <v>99</v>
      </c>
      <c r="M3313" t="s">
        <v>58</v>
      </c>
      <c r="N3313" t="s">
        <v>2606</v>
      </c>
      <c r="O3313" t="s">
        <v>120</v>
      </c>
      <c r="P3313" t="s">
        <v>49</v>
      </c>
      <c r="Q3313" t="s">
        <v>140</v>
      </c>
      <c r="R3313">
        <v>5</v>
      </c>
      <c r="S3313">
        <v>2799</v>
      </c>
      <c r="T3313">
        <v>0.05</v>
      </c>
      <c r="U3313">
        <v>13295.25</v>
      </c>
      <c r="V3313">
        <v>8250</v>
      </c>
      <c r="W3313">
        <v>5045.25</v>
      </c>
      <c r="X3313" t="s">
        <v>75</v>
      </c>
      <c r="Y3313" t="s">
        <v>68</v>
      </c>
      <c r="Z3313" t="s">
        <v>162</v>
      </c>
      <c r="AA3313" t="s">
        <v>169</v>
      </c>
      <c r="AB3313">
        <v>3.2</v>
      </c>
      <c r="AC3313">
        <v>80</v>
      </c>
      <c r="AD3313">
        <v>1448.54</v>
      </c>
      <c r="AE3313">
        <f t="shared" si="102"/>
        <v>3516.71</v>
      </c>
      <c r="AF3313" t="str">
        <f t="shared" si="103"/>
        <v>2026-03</v>
      </c>
      <c r="AG3313">
        <f>SUBTOTAL(103,A3313)</f>
        <v>1</v>
      </c>
    </row>
    <row r="3314" spans="1:33" x14ac:dyDescent="0.3">
      <c r="A3314" t="s">
        <v>5937</v>
      </c>
      <c r="B3314" s="13">
        <v>46085</v>
      </c>
      <c r="C3314">
        <v>2026</v>
      </c>
      <c r="D3314">
        <v>3</v>
      </c>
      <c r="E3314" t="s">
        <v>3053</v>
      </c>
      <c r="F3314" t="s">
        <v>2572</v>
      </c>
      <c r="G3314" t="s">
        <v>757</v>
      </c>
      <c r="H3314" t="s">
        <v>758</v>
      </c>
      <c r="I3314" t="s">
        <v>86</v>
      </c>
      <c r="J3314">
        <v>55</v>
      </c>
      <c r="K3314" t="s">
        <v>83</v>
      </c>
      <c r="L3314" t="s">
        <v>2690</v>
      </c>
      <c r="M3314" t="s">
        <v>63</v>
      </c>
      <c r="N3314" t="s">
        <v>2592</v>
      </c>
      <c r="O3314" t="s">
        <v>115</v>
      </c>
      <c r="P3314" t="s">
        <v>48</v>
      </c>
      <c r="Q3314" t="s">
        <v>137</v>
      </c>
      <c r="R3314">
        <v>1</v>
      </c>
      <c r="S3314">
        <v>12999</v>
      </c>
      <c r="T3314">
        <v>0.05</v>
      </c>
      <c r="U3314">
        <v>12349.05</v>
      </c>
      <c r="V3314">
        <v>9000</v>
      </c>
      <c r="W3314">
        <v>3349.05</v>
      </c>
      <c r="X3314" t="s">
        <v>73</v>
      </c>
      <c r="Y3314" t="s">
        <v>68</v>
      </c>
      <c r="Z3314" t="s">
        <v>163</v>
      </c>
      <c r="AA3314" t="s">
        <v>166</v>
      </c>
      <c r="AB3314">
        <v>5</v>
      </c>
      <c r="AC3314">
        <v>60</v>
      </c>
      <c r="AD3314">
        <v>480.85</v>
      </c>
      <c r="AE3314">
        <f t="shared" si="102"/>
        <v>2808.2000000000003</v>
      </c>
      <c r="AF3314" t="str">
        <f t="shared" si="103"/>
        <v>2026-03</v>
      </c>
      <c r="AG3314">
        <f>SUBTOTAL(103,A3314)</f>
        <v>1</v>
      </c>
    </row>
    <row r="3315" spans="1:33" x14ac:dyDescent="0.3">
      <c r="A3315" t="s">
        <v>5938</v>
      </c>
      <c r="B3315" s="13">
        <v>46086</v>
      </c>
      <c r="C3315">
        <v>2026</v>
      </c>
      <c r="D3315">
        <v>3</v>
      </c>
      <c r="E3315" t="s">
        <v>3053</v>
      </c>
      <c r="F3315" t="s">
        <v>2572</v>
      </c>
      <c r="G3315" t="s">
        <v>2171</v>
      </c>
      <c r="H3315" t="s">
        <v>2172</v>
      </c>
      <c r="I3315" t="s">
        <v>86</v>
      </c>
      <c r="J3315">
        <v>53</v>
      </c>
      <c r="K3315" t="s">
        <v>83</v>
      </c>
      <c r="L3315" t="s">
        <v>2589</v>
      </c>
      <c r="M3315" t="s">
        <v>61</v>
      </c>
      <c r="N3315" t="s">
        <v>2594</v>
      </c>
      <c r="O3315" t="s">
        <v>131</v>
      </c>
      <c r="P3315" t="s">
        <v>53</v>
      </c>
      <c r="Q3315" t="s">
        <v>143</v>
      </c>
      <c r="R3315">
        <v>1</v>
      </c>
      <c r="S3315">
        <v>999</v>
      </c>
      <c r="T3315">
        <v>0.15</v>
      </c>
      <c r="U3315">
        <v>849.15</v>
      </c>
      <c r="V3315">
        <v>520</v>
      </c>
      <c r="W3315">
        <v>329.15</v>
      </c>
      <c r="X3315" t="s">
        <v>73</v>
      </c>
      <c r="Y3315" t="s">
        <v>68</v>
      </c>
      <c r="Z3315" t="s">
        <v>158</v>
      </c>
      <c r="AA3315" t="s">
        <v>166</v>
      </c>
      <c r="AB3315">
        <v>3.8</v>
      </c>
      <c r="AC3315">
        <v>40</v>
      </c>
      <c r="AD3315">
        <v>31.43</v>
      </c>
      <c r="AE3315">
        <f t="shared" si="102"/>
        <v>257.71999999999997</v>
      </c>
      <c r="AF3315" t="str">
        <f t="shared" si="103"/>
        <v>2026-03</v>
      </c>
      <c r="AG3315">
        <f>SUBTOTAL(103,A3315)</f>
        <v>1</v>
      </c>
    </row>
    <row r="3316" spans="1:33" x14ac:dyDescent="0.3">
      <c r="A3316" t="s">
        <v>5939</v>
      </c>
      <c r="B3316" s="13">
        <v>46086</v>
      </c>
      <c r="C3316">
        <v>2026</v>
      </c>
      <c r="D3316">
        <v>3</v>
      </c>
      <c r="E3316" t="s">
        <v>3053</v>
      </c>
      <c r="F3316" t="s">
        <v>2572</v>
      </c>
      <c r="G3316" t="s">
        <v>1373</v>
      </c>
      <c r="H3316" t="s">
        <v>1374</v>
      </c>
      <c r="I3316" t="s">
        <v>86</v>
      </c>
      <c r="J3316">
        <v>33</v>
      </c>
      <c r="K3316" t="s">
        <v>81</v>
      </c>
      <c r="L3316" t="s">
        <v>2573</v>
      </c>
      <c r="M3316" t="s">
        <v>63</v>
      </c>
      <c r="N3316" t="s">
        <v>2644</v>
      </c>
      <c r="O3316" t="s">
        <v>126</v>
      </c>
      <c r="P3316" t="s">
        <v>50</v>
      </c>
      <c r="Q3316" t="s">
        <v>145</v>
      </c>
      <c r="R3316">
        <v>2</v>
      </c>
      <c r="S3316">
        <v>1799</v>
      </c>
      <c r="T3316">
        <v>0.15</v>
      </c>
      <c r="U3316">
        <v>3058.3</v>
      </c>
      <c r="V3316">
        <v>1900</v>
      </c>
      <c r="W3316">
        <v>1158.3</v>
      </c>
      <c r="X3316" t="s">
        <v>76</v>
      </c>
      <c r="Y3316" t="s">
        <v>68</v>
      </c>
      <c r="Z3316" t="s">
        <v>159</v>
      </c>
      <c r="AA3316" t="s">
        <v>169</v>
      </c>
      <c r="AB3316">
        <v>4.0999999999999996</v>
      </c>
      <c r="AC3316">
        <v>50</v>
      </c>
      <c r="AD3316">
        <v>156.51</v>
      </c>
      <c r="AE3316">
        <f t="shared" si="102"/>
        <v>951.79</v>
      </c>
      <c r="AF3316" t="str">
        <f t="shared" si="103"/>
        <v>2026-03</v>
      </c>
      <c r="AG3316">
        <f>SUBTOTAL(103,A3316)</f>
        <v>1</v>
      </c>
    </row>
    <row r="3317" spans="1:33" x14ac:dyDescent="0.3">
      <c r="A3317" t="s">
        <v>5940</v>
      </c>
      <c r="B3317" s="13">
        <v>46086</v>
      </c>
      <c r="C3317">
        <v>2026</v>
      </c>
      <c r="D3317">
        <v>3</v>
      </c>
      <c r="E3317" t="s">
        <v>3053</v>
      </c>
      <c r="F3317" t="s">
        <v>2572</v>
      </c>
      <c r="G3317" t="s">
        <v>1873</v>
      </c>
      <c r="H3317" t="s">
        <v>1874</v>
      </c>
      <c r="I3317" t="s">
        <v>85</v>
      </c>
      <c r="J3317">
        <v>27</v>
      </c>
      <c r="K3317" t="s">
        <v>81</v>
      </c>
      <c r="L3317" t="s">
        <v>98</v>
      </c>
      <c r="M3317" t="s">
        <v>55</v>
      </c>
      <c r="N3317" t="s">
        <v>2592</v>
      </c>
      <c r="O3317" t="s">
        <v>115</v>
      </c>
      <c r="P3317" t="s">
        <v>48</v>
      </c>
      <c r="Q3317" t="s">
        <v>137</v>
      </c>
      <c r="R3317">
        <v>1</v>
      </c>
      <c r="S3317">
        <v>12999</v>
      </c>
      <c r="T3317">
        <v>0.15</v>
      </c>
      <c r="U3317">
        <v>11049.15</v>
      </c>
      <c r="V3317">
        <v>9000</v>
      </c>
      <c r="W3317">
        <v>2049.15</v>
      </c>
      <c r="X3317" t="s">
        <v>74</v>
      </c>
      <c r="Y3317" t="s">
        <v>68</v>
      </c>
      <c r="Z3317" t="s">
        <v>160</v>
      </c>
      <c r="AA3317" t="s">
        <v>168</v>
      </c>
      <c r="AB3317">
        <v>2.9</v>
      </c>
      <c r="AC3317">
        <v>60</v>
      </c>
      <c r="AD3317">
        <v>1233.0999999999999</v>
      </c>
      <c r="AE3317">
        <f t="shared" si="102"/>
        <v>756.05000000000018</v>
      </c>
      <c r="AF3317" t="str">
        <f t="shared" si="103"/>
        <v>2026-03</v>
      </c>
      <c r="AG3317">
        <f>SUBTOTAL(103,A3317)</f>
        <v>1</v>
      </c>
    </row>
    <row r="3318" spans="1:33" x14ac:dyDescent="0.3">
      <c r="A3318" t="s">
        <v>5941</v>
      </c>
      <c r="B3318" s="13">
        <v>46086</v>
      </c>
      <c r="C3318">
        <v>2026</v>
      </c>
      <c r="D3318">
        <v>3</v>
      </c>
      <c r="E3318" t="s">
        <v>3053</v>
      </c>
      <c r="F3318" t="s">
        <v>2572</v>
      </c>
      <c r="G3318" t="s">
        <v>2421</v>
      </c>
      <c r="H3318" t="s">
        <v>2422</v>
      </c>
      <c r="I3318" t="s">
        <v>86</v>
      </c>
      <c r="J3318">
        <v>58</v>
      </c>
      <c r="K3318" t="s">
        <v>83</v>
      </c>
      <c r="L3318" t="s">
        <v>100</v>
      </c>
      <c r="M3318" t="s">
        <v>56</v>
      </c>
      <c r="N3318" t="s">
        <v>2653</v>
      </c>
      <c r="O3318" t="s">
        <v>132</v>
      </c>
      <c r="P3318" t="s">
        <v>52</v>
      </c>
      <c r="Q3318" t="s">
        <v>150</v>
      </c>
      <c r="R3318">
        <v>1</v>
      </c>
      <c r="S3318">
        <v>899</v>
      </c>
      <c r="T3318">
        <v>0.1</v>
      </c>
      <c r="U3318">
        <v>809.1</v>
      </c>
      <c r="V3318">
        <v>420</v>
      </c>
      <c r="W3318">
        <v>389.1</v>
      </c>
      <c r="X3318" t="s">
        <v>73</v>
      </c>
      <c r="Y3318" t="s">
        <v>68</v>
      </c>
      <c r="Z3318" t="s">
        <v>161</v>
      </c>
      <c r="AA3318" t="s">
        <v>166</v>
      </c>
      <c r="AB3318">
        <v>4.0999999999999996</v>
      </c>
      <c r="AC3318">
        <v>80</v>
      </c>
      <c r="AD3318">
        <v>79.53</v>
      </c>
      <c r="AE3318">
        <f t="shared" si="102"/>
        <v>229.57000000000002</v>
      </c>
      <c r="AF3318" t="str">
        <f t="shared" si="103"/>
        <v>2026-03</v>
      </c>
      <c r="AG3318">
        <f>SUBTOTAL(103,A3318)</f>
        <v>1</v>
      </c>
    </row>
    <row r="3319" spans="1:33" x14ac:dyDescent="0.3">
      <c r="A3319" t="s">
        <v>5942</v>
      </c>
      <c r="B3319" s="13">
        <v>46086</v>
      </c>
      <c r="C3319">
        <v>2026</v>
      </c>
      <c r="D3319">
        <v>3</v>
      </c>
      <c r="E3319" t="s">
        <v>3053</v>
      </c>
      <c r="F3319" t="s">
        <v>2572</v>
      </c>
      <c r="G3319" t="s">
        <v>613</v>
      </c>
      <c r="H3319" t="s">
        <v>614</v>
      </c>
      <c r="I3319" t="s">
        <v>85</v>
      </c>
      <c r="J3319">
        <v>55</v>
      </c>
      <c r="K3319" t="s">
        <v>83</v>
      </c>
      <c r="L3319" t="s">
        <v>93</v>
      </c>
      <c r="M3319" t="s">
        <v>55</v>
      </c>
      <c r="N3319" t="s">
        <v>2653</v>
      </c>
      <c r="O3319" t="s">
        <v>132</v>
      </c>
      <c r="P3319" t="s">
        <v>52</v>
      </c>
      <c r="Q3319" t="s">
        <v>150</v>
      </c>
      <c r="R3319">
        <v>2</v>
      </c>
      <c r="S3319">
        <v>899</v>
      </c>
      <c r="T3319">
        <v>0.25</v>
      </c>
      <c r="U3319">
        <v>1348.5</v>
      </c>
      <c r="V3319">
        <v>840</v>
      </c>
      <c r="W3319">
        <v>508.5</v>
      </c>
      <c r="X3319" t="s">
        <v>75</v>
      </c>
      <c r="Y3319" t="s">
        <v>68</v>
      </c>
      <c r="Z3319" t="s">
        <v>160</v>
      </c>
      <c r="AA3319" t="s">
        <v>170</v>
      </c>
      <c r="AB3319">
        <v>4</v>
      </c>
      <c r="AC3319">
        <v>60</v>
      </c>
      <c r="AD3319">
        <v>34.450000000000003</v>
      </c>
      <c r="AE3319">
        <f t="shared" si="102"/>
        <v>414.05</v>
      </c>
      <c r="AF3319" t="str">
        <f t="shared" si="103"/>
        <v>2026-03</v>
      </c>
      <c r="AG3319">
        <f>SUBTOTAL(103,A3319)</f>
        <v>1</v>
      </c>
    </row>
    <row r="3320" spans="1:33" x14ac:dyDescent="0.3">
      <c r="A3320" t="s">
        <v>5943</v>
      </c>
      <c r="B3320" s="13">
        <v>46086</v>
      </c>
      <c r="C3320">
        <v>2026</v>
      </c>
      <c r="D3320">
        <v>3</v>
      </c>
      <c r="E3320" t="s">
        <v>3053</v>
      </c>
      <c r="F3320" t="s">
        <v>2572</v>
      </c>
      <c r="G3320" t="s">
        <v>2287</v>
      </c>
      <c r="H3320" t="s">
        <v>2288</v>
      </c>
      <c r="I3320" t="s">
        <v>85</v>
      </c>
      <c r="J3320">
        <v>45</v>
      </c>
      <c r="K3320" t="s">
        <v>82</v>
      </c>
      <c r="L3320" t="s">
        <v>2637</v>
      </c>
      <c r="M3320" t="s">
        <v>64</v>
      </c>
      <c r="N3320" t="s">
        <v>2594</v>
      </c>
      <c r="O3320" t="s">
        <v>131</v>
      </c>
      <c r="P3320" t="s">
        <v>53</v>
      </c>
      <c r="Q3320" t="s">
        <v>143</v>
      </c>
      <c r="R3320">
        <v>4</v>
      </c>
      <c r="S3320">
        <v>999</v>
      </c>
      <c r="T3320">
        <v>0.05</v>
      </c>
      <c r="U3320">
        <v>3796.2</v>
      </c>
      <c r="V3320">
        <v>2080</v>
      </c>
      <c r="W3320">
        <v>1716.2</v>
      </c>
      <c r="X3320" t="s">
        <v>74</v>
      </c>
      <c r="Y3320" t="s">
        <v>68</v>
      </c>
      <c r="Z3320" t="s">
        <v>158</v>
      </c>
      <c r="AA3320" t="s">
        <v>168</v>
      </c>
      <c r="AB3320">
        <v>5</v>
      </c>
      <c r="AC3320">
        <v>100</v>
      </c>
      <c r="AD3320">
        <v>358.33</v>
      </c>
      <c r="AE3320">
        <f t="shared" si="102"/>
        <v>1257.8700000000001</v>
      </c>
      <c r="AF3320" t="str">
        <f t="shared" si="103"/>
        <v>2026-03</v>
      </c>
      <c r="AG3320">
        <f>SUBTOTAL(103,A3320)</f>
        <v>1</v>
      </c>
    </row>
    <row r="3321" spans="1:33" x14ac:dyDescent="0.3">
      <c r="A3321" t="s">
        <v>5944</v>
      </c>
      <c r="B3321" s="13">
        <v>46086</v>
      </c>
      <c r="C3321">
        <v>2026</v>
      </c>
      <c r="D3321">
        <v>3</v>
      </c>
      <c r="E3321" t="s">
        <v>3053</v>
      </c>
      <c r="F3321" t="s">
        <v>2572</v>
      </c>
      <c r="G3321" t="s">
        <v>2443</v>
      </c>
      <c r="H3321" t="s">
        <v>2444</v>
      </c>
      <c r="I3321" t="s">
        <v>85</v>
      </c>
      <c r="J3321">
        <v>58</v>
      </c>
      <c r="K3321" t="s">
        <v>83</v>
      </c>
      <c r="L3321" t="s">
        <v>100</v>
      </c>
      <c r="M3321" t="s">
        <v>56</v>
      </c>
      <c r="N3321" t="s">
        <v>2596</v>
      </c>
      <c r="O3321" t="s">
        <v>124</v>
      </c>
      <c r="P3321" t="s">
        <v>51</v>
      </c>
      <c r="Q3321" t="s">
        <v>147</v>
      </c>
      <c r="R3321">
        <v>1</v>
      </c>
      <c r="S3321">
        <v>2299</v>
      </c>
      <c r="T3321">
        <v>0</v>
      </c>
      <c r="U3321">
        <v>2299</v>
      </c>
      <c r="V3321">
        <v>1200</v>
      </c>
      <c r="W3321">
        <v>1099</v>
      </c>
      <c r="X3321" t="s">
        <v>75</v>
      </c>
      <c r="Y3321" t="s">
        <v>69</v>
      </c>
      <c r="Z3321" t="s">
        <v>159</v>
      </c>
      <c r="AA3321" t="s">
        <v>166</v>
      </c>
      <c r="AB3321">
        <v>3.8</v>
      </c>
      <c r="AC3321">
        <v>60</v>
      </c>
      <c r="AD3321">
        <v>213</v>
      </c>
      <c r="AE3321">
        <f t="shared" si="102"/>
        <v>826</v>
      </c>
      <c r="AF3321" t="str">
        <f t="shared" si="103"/>
        <v>2026-03</v>
      </c>
      <c r="AG3321">
        <f>SUBTOTAL(103,A3321)</f>
        <v>1</v>
      </c>
    </row>
    <row r="3322" spans="1:33" x14ac:dyDescent="0.3">
      <c r="A3322" t="s">
        <v>5945</v>
      </c>
      <c r="B3322" s="13">
        <v>46086</v>
      </c>
      <c r="C3322">
        <v>2026</v>
      </c>
      <c r="D3322">
        <v>3</v>
      </c>
      <c r="E3322" t="s">
        <v>3053</v>
      </c>
      <c r="F3322" t="s">
        <v>2572</v>
      </c>
      <c r="G3322" t="s">
        <v>1397</v>
      </c>
      <c r="H3322" t="s">
        <v>1398</v>
      </c>
      <c r="I3322" t="s">
        <v>85</v>
      </c>
      <c r="J3322">
        <v>43</v>
      </c>
      <c r="K3322" t="s">
        <v>82</v>
      </c>
      <c r="L3322" t="s">
        <v>2623</v>
      </c>
      <c r="M3322" t="s">
        <v>61</v>
      </c>
      <c r="N3322" t="s">
        <v>2577</v>
      </c>
      <c r="O3322" t="s">
        <v>129</v>
      </c>
      <c r="P3322" t="s">
        <v>49</v>
      </c>
      <c r="Q3322" t="s">
        <v>149</v>
      </c>
      <c r="R3322">
        <v>3</v>
      </c>
      <c r="S3322">
        <v>1299</v>
      </c>
      <c r="T3322">
        <v>0.05</v>
      </c>
      <c r="U3322">
        <v>3702.15</v>
      </c>
      <c r="V3322">
        <v>1950</v>
      </c>
      <c r="W3322">
        <v>1752.15</v>
      </c>
      <c r="X3322" t="s">
        <v>74</v>
      </c>
      <c r="Y3322" t="s">
        <v>68</v>
      </c>
      <c r="Z3322" t="s">
        <v>160</v>
      </c>
      <c r="AA3322" t="s">
        <v>169</v>
      </c>
      <c r="AB3322">
        <v>3</v>
      </c>
      <c r="AC3322">
        <v>50</v>
      </c>
      <c r="AD3322">
        <v>99.45</v>
      </c>
      <c r="AE3322">
        <f t="shared" si="102"/>
        <v>1602.7</v>
      </c>
      <c r="AF3322" t="str">
        <f t="shared" si="103"/>
        <v>2026-03</v>
      </c>
      <c r="AG3322">
        <f>SUBTOTAL(103,A3322)</f>
        <v>1</v>
      </c>
    </row>
    <row r="3323" spans="1:33" x14ac:dyDescent="0.3">
      <c r="A3323" t="s">
        <v>5946</v>
      </c>
      <c r="B3323" s="13">
        <v>46086</v>
      </c>
      <c r="C3323">
        <v>2026</v>
      </c>
      <c r="D3323">
        <v>3</v>
      </c>
      <c r="E3323" t="s">
        <v>3053</v>
      </c>
      <c r="F3323" t="s">
        <v>2572</v>
      </c>
      <c r="G3323" t="s">
        <v>1883</v>
      </c>
      <c r="H3323" t="s">
        <v>1884</v>
      </c>
      <c r="I3323" t="s">
        <v>85</v>
      </c>
      <c r="J3323">
        <v>19</v>
      </c>
      <c r="K3323" t="s">
        <v>80</v>
      </c>
      <c r="L3323" t="s">
        <v>92</v>
      </c>
      <c r="M3323" t="s">
        <v>59</v>
      </c>
      <c r="N3323" t="s">
        <v>2584</v>
      </c>
      <c r="O3323" t="s">
        <v>121</v>
      </c>
      <c r="P3323" t="s">
        <v>50</v>
      </c>
      <c r="Q3323" t="s">
        <v>144</v>
      </c>
      <c r="R3323">
        <v>1</v>
      </c>
      <c r="S3323">
        <v>2999</v>
      </c>
      <c r="T3323">
        <v>0.15</v>
      </c>
      <c r="U3323">
        <v>2549.15</v>
      </c>
      <c r="V3323">
        <v>1700</v>
      </c>
      <c r="W3323">
        <v>849.15</v>
      </c>
      <c r="X3323" t="s">
        <v>74</v>
      </c>
      <c r="Y3323" t="s">
        <v>68</v>
      </c>
      <c r="Z3323" t="s">
        <v>158</v>
      </c>
      <c r="AA3323" t="s">
        <v>166</v>
      </c>
      <c r="AB3323">
        <v>4.5</v>
      </c>
      <c r="AC3323">
        <v>50</v>
      </c>
      <c r="AD3323">
        <v>209.73</v>
      </c>
      <c r="AE3323">
        <f t="shared" si="102"/>
        <v>589.41999999999996</v>
      </c>
      <c r="AF3323" t="str">
        <f t="shared" si="103"/>
        <v>2026-03</v>
      </c>
      <c r="AG3323">
        <f>SUBTOTAL(103,A3323)</f>
        <v>1</v>
      </c>
    </row>
    <row r="3324" spans="1:33" x14ac:dyDescent="0.3">
      <c r="A3324" t="s">
        <v>5947</v>
      </c>
      <c r="B3324" s="13">
        <v>46086</v>
      </c>
      <c r="C3324">
        <v>2026</v>
      </c>
      <c r="D3324">
        <v>3</v>
      </c>
      <c r="E3324" t="s">
        <v>3053</v>
      </c>
      <c r="F3324" t="s">
        <v>2572</v>
      </c>
      <c r="G3324" t="s">
        <v>521</v>
      </c>
      <c r="H3324" t="s">
        <v>522</v>
      </c>
      <c r="I3324" t="s">
        <v>85</v>
      </c>
      <c r="J3324">
        <v>36</v>
      </c>
      <c r="K3324" t="s">
        <v>82</v>
      </c>
      <c r="L3324" t="s">
        <v>96</v>
      </c>
      <c r="M3324" t="s">
        <v>55</v>
      </c>
      <c r="N3324" t="s">
        <v>2590</v>
      </c>
      <c r="O3324" t="s">
        <v>127</v>
      </c>
      <c r="P3324" t="s">
        <v>51</v>
      </c>
      <c r="Q3324" t="s">
        <v>148</v>
      </c>
      <c r="R3324">
        <v>5</v>
      </c>
      <c r="S3324">
        <v>1599</v>
      </c>
      <c r="T3324">
        <v>0.15</v>
      </c>
      <c r="U3324">
        <v>6795.75</v>
      </c>
      <c r="V3324">
        <v>4000</v>
      </c>
      <c r="W3324">
        <v>2795.75</v>
      </c>
      <c r="X3324" t="s">
        <v>74</v>
      </c>
      <c r="Y3324" t="s">
        <v>68</v>
      </c>
      <c r="Z3324" t="s">
        <v>158</v>
      </c>
      <c r="AA3324" t="s">
        <v>171</v>
      </c>
      <c r="AB3324">
        <v>5</v>
      </c>
      <c r="AC3324">
        <v>60</v>
      </c>
      <c r="AD3324">
        <v>522.13</v>
      </c>
      <c r="AE3324">
        <f t="shared" si="102"/>
        <v>2213.62</v>
      </c>
      <c r="AF3324" t="str">
        <f t="shared" si="103"/>
        <v>2026-03</v>
      </c>
      <c r="AG3324">
        <f>SUBTOTAL(103,A3324)</f>
        <v>1</v>
      </c>
    </row>
    <row r="3325" spans="1:33" x14ac:dyDescent="0.3">
      <c r="A3325" t="s">
        <v>5948</v>
      </c>
      <c r="B3325" s="13">
        <v>46087</v>
      </c>
      <c r="C3325">
        <v>2026</v>
      </c>
      <c r="D3325">
        <v>3</v>
      </c>
      <c r="E3325" t="s">
        <v>3053</v>
      </c>
      <c r="F3325" t="s">
        <v>2572</v>
      </c>
      <c r="G3325" t="s">
        <v>729</v>
      </c>
      <c r="H3325" t="s">
        <v>730</v>
      </c>
      <c r="I3325" t="s">
        <v>85</v>
      </c>
      <c r="J3325">
        <v>38</v>
      </c>
      <c r="K3325" t="s">
        <v>82</v>
      </c>
      <c r="L3325" t="s">
        <v>90</v>
      </c>
      <c r="M3325" t="s">
        <v>55</v>
      </c>
      <c r="N3325" t="s">
        <v>2606</v>
      </c>
      <c r="O3325" t="s">
        <v>120</v>
      </c>
      <c r="P3325" t="s">
        <v>49</v>
      </c>
      <c r="Q3325" t="s">
        <v>140</v>
      </c>
      <c r="R3325">
        <v>3</v>
      </c>
      <c r="S3325">
        <v>2799</v>
      </c>
      <c r="T3325">
        <v>0.05</v>
      </c>
      <c r="U3325">
        <v>7977.15</v>
      </c>
      <c r="V3325">
        <v>4950</v>
      </c>
      <c r="W3325">
        <v>3027.15</v>
      </c>
      <c r="X3325" t="s">
        <v>75</v>
      </c>
      <c r="Y3325" t="s">
        <v>68</v>
      </c>
      <c r="Z3325" t="s">
        <v>162</v>
      </c>
      <c r="AA3325" t="s">
        <v>169</v>
      </c>
      <c r="AB3325">
        <v>4.2</v>
      </c>
      <c r="AC3325">
        <v>60</v>
      </c>
      <c r="AD3325">
        <v>649.04999999999995</v>
      </c>
      <c r="AE3325">
        <f t="shared" si="102"/>
        <v>2318.1000000000004</v>
      </c>
      <c r="AF3325" t="str">
        <f t="shared" si="103"/>
        <v>2026-03</v>
      </c>
      <c r="AG3325">
        <f>SUBTOTAL(103,A3325)</f>
        <v>1</v>
      </c>
    </row>
    <row r="3326" spans="1:33" x14ac:dyDescent="0.3">
      <c r="A3326" t="s">
        <v>5949</v>
      </c>
      <c r="B3326" s="13">
        <v>46088</v>
      </c>
      <c r="C3326">
        <v>2026</v>
      </c>
      <c r="D3326">
        <v>3</v>
      </c>
      <c r="E3326" t="s">
        <v>3053</v>
      </c>
      <c r="F3326" t="s">
        <v>2572</v>
      </c>
      <c r="G3326" t="s">
        <v>2353</v>
      </c>
      <c r="H3326" t="s">
        <v>2354</v>
      </c>
      <c r="I3326" t="s">
        <v>85</v>
      </c>
      <c r="J3326">
        <v>37</v>
      </c>
      <c r="K3326" t="s">
        <v>82</v>
      </c>
      <c r="L3326" t="s">
        <v>2586</v>
      </c>
      <c r="M3326" t="s">
        <v>62</v>
      </c>
      <c r="N3326" t="s">
        <v>2644</v>
      </c>
      <c r="O3326" t="s">
        <v>126</v>
      </c>
      <c r="P3326" t="s">
        <v>50</v>
      </c>
      <c r="Q3326" t="s">
        <v>145</v>
      </c>
      <c r="R3326">
        <v>1</v>
      </c>
      <c r="S3326">
        <v>1799</v>
      </c>
      <c r="T3326">
        <v>0.2</v>
      </c>
      <c r="U3326">
        <v>1439.2</v>
      </c>
      <c r="V3326">
        <v>950</v>
      </c>
      <c r="W3326">
        <v>489.2</v>
      </c>
      <c r="X3326" t="s">
        <v>73</v>
      </c>
      <c r="Y3326" t="s">
        <v>69</v>
      </c>
      <c r="Z3326" t="s">
        <v>162</v>
      </c>
      <c r="AA3326" t="s">
        <v>167</v>
      </c>
      <c r="AB3326">
        <v>3.7</v>
      </c>
      <c r="AC3326">
        <v>80</v>
      </c>
      <c r="AD3326">
        <v>29.09</v>
      </c>
      <c r="AE3326">
        <f t="shared" si="102"/>
        <v>380.11</v>
      </c>
      <c r="AF3326" t="str">
        <f t="shared" si="103"/>
        <v>2026-03</v>
      </c>
      <c r="AG3326">
        <f>SUBTOTAL(103,A3326)</f>
        <v>1</v>
      </c>
    </row>
    <row r="3327" spans="1:33" x14ac:dyDescent="0.3">
      <c r="A3327" t="s">
        <v>5950</v>
      </c>
      <c r="B3327" s="13">
        <v>46088</v>
      </c>
      <c r="C3327">
        <v>2026</v>
      </c>
      <c r="D3327">
        <v>3</v>
      </c>
      <c r="E3327" t="s">
        <v>3053</v>
      </c>
      <c r="F3327" t="s">
        <v>2572</v>
      </c>
      <c r="G3327" t="s">
        <v>1603</v>
      </c>
      <c r="H3327" t="s">
        <v>1604</v>
      </c>
      <c r="I3327" t="s">
        <v>85</v>
      </c>
      <c r="J3327">
        <v>24</v>
      </c>
      <c r="K3327" t="s">
        <v>80</v>
      </c>
      <c r="L3327" t="s">
        <v>2589</v>
      </c>
      <c r="M3327" t="s">
        <v>61</v>
      </c>
      <c r="N3327" t="s">
        <v>2580</v>
      </c>
      <c r="O3327" t="s">
        <v>118</v>
      </c>
      <c r="P3327" t="s">
        <v>48</v>
      </c>
      <c r="Q3327" t="s">
        <v>142</v>
      </c>
      <c r="R3327">
        <v>1</v>
      </c>
      <c r="S3327">
        <v>3999</v>
      </c>
      <c r="T3327">
        <v>0.05</v>
      </c>
      <c r="U3327">
        <v>3799.05</v>
      </c>
      <c r="V3327">
        <v>2400</v>
      </c>
      <c r="W3327">
        <v>1399.05</v>
      </c>
      <c r="X3327" t="s">
        <v>76</v>
      </c>
      <c r="Y3327" t="s">
        <v>68</v>
      </c>
      <c r="Z3327" t="s">
        <v>158</v>
      </c>
      <c r="AA3327" t="s">
        <v>171</v>
      </c>
      <c r="AB3327">
        <v>4.4000000000000004</v>
      </c>
      <c r="AC3327">
        <v>50</v>
      </c>
      <c r="AD3327">
        <v>234.76</v>
      </c>
      <c r="AE3327">
        <f t="shared" si="102"/>
        <v>1114.29</v>
      </c>
      <c r="AF3327" t="str">
        <f t="shared" si="103"/>
        <v>2026-03</v>
      </c>
      <c r="AG3327">
        <f>SUBTOTAL(103,A3327)</f>
        <v>1</v>
      </c>
    </row>
    <row r="3328" spans="1:33" x14ac:dyDescent="0.3">
      <c r="A3328" t="s">
        <v>5951</v>
      </c>
      <c r="B3328" s="13">
        <v>46088</v>
      </c>
      <c r="C3328">
        <v>2026</v>
      </c>
      <c r="D3328">
        <v>3</v>
      </c>
      <c r="E3328" t="s">
        <v>3053</v>
      </c>
      <c r="F3328" t="s">
        <v>2572</v>
      </c>
      <c r="G3328" t="s">
        <v>1181</v>
      </c>
      <c r="H3328" t="s">
        <v>1182</v>
      </c>
      <c r="I3328" t="s">
        <v>85</v>
      </c>
      <c r="J3328">
        <v>57</v>
      </c>
      <c r="K3328" t="s">
        <v>83</v>
      </c>
      <c r="L3328" t="s">
        <v>2623</v>
      </c>
      <c r="M3328" t="s">
        <v>61</v>
      </c>
      <c r="N3328" t="s">
        <v>2657</v>
      </c>
      <c r="O3328" t="s">
        <v>134</v>
      </c>
      <c r="P3328" t="s">
        <v>49</v>
      </c>
      <c r="Q3328" t="s">
        <v>140</v>
      </c>
      <c r="R3328">
        <v>2</v>
      </c>
      <c r="S3328">
        <v>599</v>
      </c>
      <c r="T3328">
        <v>0.15</v>
      </c>
      <c r="U3328">
        <v>1018.3</v>
      </c>
      <c r="V3328">
        <v>500</v>
      </c>
      <c r="W3328">
        <v>518.29999999999995</v>
      </c>
      <c r="X3328" t="s">
        <v>76</v>
      </c>
      <c r="Y3328" t="s">
        <v>68</v>
      </c>
      <c r="Z3328" t="s">
        <v>160</v>
      </c>
      <c r="AA3328" t="s">
        <v>169</v>
      </c>
      <c r="AB3328">
        <v>2.5</v>
      </c>
      <c r="AC3328">
        <v>50</v>
      </c>
      <c r="AD3328">
        <v>106.17</v>
      </c>
      <c r="AE3328">
        <f t="shared" si="102"/>
        <v>362.12999999999994</v>
      </c>
      <c r="AF3328" t="str">
        <f t="shared" si="103"/>
        <v>2026-03</v>
      </c>
      <c r="AG3328">
        <f>SUBTOTAL(103,A3328)</f>
        <v>1</v>
      </c>
    </row>
    <row r="3329" spans="1:33" x14ac:dyDescent="0.3">
      <c r="A3329" t="s">
        <v>5952</v>
      </c>
      <c r="B3329" s="13">
        <v>46088</v>
      </c>
      <c r="C3329">
        <v>2026</v>
      </c>
      <c r="D3329">
        <v>3</v>
      </c>
      <c r="E3329" t="s">
        <v>3053</v>
      </c>
      <c r="F3329" t="s">
        <v>2572</v>
      </c>
      <c r="G3329" t="s">
        <v>1221</v>
      </c>
      <c r="H3329" t="s">
        <v>1222</v>
      </c>
      <c r="I3329" t="s">
        <v>86</v>
      </c>
      <c r="J3329">
        <v>58</v>
      </c>
      <c r="K3329" t="s">
        <v>83</v>
      </c>
      <c r="L3329" t="s">
        <v>98</v>
      </c>
      <c r="M3329" t="s">
        <v>55</v>
      </c>
      <c r="N3329" t="s">
        <v>2644</v>
      </c>
      <c r="O3329" t="s">
        <v>126</v>
      </c>
      <c r="P3329" t="s">
        <v>50</v>
      </c>
      <c r="Q3329" t="s">
        <v>145</v>
      </c>
      <c r="R3329">
        <v>4</v>
      </c>
      <c r="S3329">
        <v>1799</v>
      </c>
      <c r="T3329">
        <v>0.15</v>
      </c>
      <c r="U3329">
        <v>6116.6</v>
      </c>
      <c r="V3329">
        <v>3800</v>
      </c>
      <c r="W3329">
        <v>2316.6</v>
      </c>
      <c r="X3329" t="s">
        <v>76</v>
      </c>
      <c r="Y3329" t="s">
        <v>68</v>
      </c>
      <c r="Z3329" t="s">
        <v>162</v>
      </c>
      <c r="AA3329" t="s">
        <v>167</v>
      </c>
      <c r="AB3329">
        <v>3.5</v>
      </c>
      <c r="AC3329">
        <v>80</v>
      </c>
      <c r="AD3329">
        <v>128.84</v>
      </c>
      <c r="AE3329">
        <f t="shared" si="102"/>
        <v>2107.7599999999998</v>
      </c>
      <c r="AF3329" t="str">
        <f t="shared" si="103"/>
        <v>2026-03</v>
      </c>
      <c r="AG3329">
        <f>SUBTOTAL(103,A3329)</f>
        <v>1</v>
      </c>
    </row>
    <row r="3330" spans="1:33" x14ac:dyDescent="0.3">
      <c r="A3330" t="s">
        <v>5953</v>
      </c>
      <c r="B3330" s="13">
        <v>46088</v>
      </c>
      <c r="C3330">
        <v>2026</v>
      </c>
      <c r="D3330">
        <v>3</v>
      </c>
      <c r="E3330" t="s">
        <v>3053</v>
      </c>
      <c r="F3330" t="s">
        <v>2572</v>
      </c>
      <c r="G3330" t="s">
        <v>1209</v>
      </c>
      <c r="H3330" t="s">
        <v>1210</v>
      </c>
      <c r="I3330" t="s">
        <v>85</v>
      </c>
      <c r="J3330">
        <v>32</v>
      </c>
      <c r="K3330" t="s">
        <v>81</v>
      </c>
      <c r="L3330" t="s">
        <v>99</v>
      </c>
      <c r="M3330" t="s">
        <v>58</v>
      </c>
      <c r="N3330" t="s">
        <v>2577</v>
      </c>
      <c r="O3330" t="s">
        <v>129</v>
      </c>
      <c r="P3330" t="s">
        <v>49</v>
      </c>
      <c r="Q3330" t="s">
        <v>149</v>
      </c>
      <c r="R3330">
        <v>2</v>
      </c>
      <c r="S3330">
        <v>1299</v>
      </c>
      <c r="T3330">
        <v>0.1</v>
      </c>
      <c r="U3330">
        <v>2338.1999999999998</v>
      </c>
      <c r="V3330">
        <v>1300</v>
      </c>
      <c r="W3330">
        <v>1038.2</v>
      </c>
      <c r="X3330" t="s">
        <v>73</v>
      </c>
      <c r="Y3330" t="s">
        <v>68</v>
      </c>
      <c r="Z3330" t="s">
        <v>161</v>
      </c>
      <c r="AA3330" t="s">
        <v>168</v>
      </c>
      <c r="AB3330">
        <v>3.9</v>
      </c>
      <c r="AC3330">
        <v>50</v>
      </c>
      <c r="AD3330">
        <v>162.49</v>
      </c>
      <c r="AE3330">
        <f t="shared" ref="AE3330:AE3393" si="104">W3330-AC3330-AD3330</f>
        <v>825.71</v>
      </c>
      <c r="AF3330" t="str">
        <f t="shared" ref="AF3330:AF3393" si="105">C3330&amp;"-"&amp;TEXT(D3330,"00")</f>
        <v>2026-03</v>
      </c>
      <c r="AG3330">
        <f>SUBTOTAL(103,A3330)</f>
        <v>1</v>
      </c>
    </row>
    <row r="3331" spans="1:33" x14ac:dyDescent="0.3">
      <c r="A3331" t="s">
        <v>5954</v>
      </c>
      <c r="B3331" s="13">
        <v>46088</v>
      </c>
      <c r="C3331">
        <v>2026</v>
      </c>
      <c r="D3331">
        <v>3</v>
      </c>
      <c r="E3331" t="s">
        <v>3053</v>
      </c>
      <c r="F3331" t="s">
        <v>2572</v>
      </c>
      <c r="G3331" t="s">
        <v>2083</v>
      </c>
      <c r="H3331" t="s">
        <v>2084</v>
      </c>
      <c r="I3331" t="s">
        <v>85</v>
      </c>
      <c r="J3331">
        <v>40</v>
      </c>
      <c r="K3331" t="s">
        <v>82</v>
      </c>
      <c r="L3331" t="s">
        <v>92</v>
      </c>
      <c r="M3331" t="s">
        <v>59</v>
      </c>
      <c r="N3331" t="s">
        <v>2596</v>
      </c>
      <c r="O3331" t="s">
        <v>124</v>
      </c>
      <c r="P3331" t="s">
        <v>51</v>
      </c>
      <c r="Q3331" t="s">
        <v>147</v>
      </c>
      <c r="R3331">
        <v>1</v>
      </c>
      <c r="S3331">
        <v>2299</v>
      </c>
      <c r="T3331">
        <v>0.15</v>
      </c>
      <c r="U3331">
        <v>1954.15</v>
      </c>
      <c r="V3331">
        <v>1200</v>
      </c>
      <c r="W3331">
        <v>754.15</v>
      </c>
      <c r="X3331" t="s">
        <v>75</v>
      </c>
      <c r="Y3331" t="s">
        <v>68</v>
      </c>
      <c r="Z3331" t="s">
        <v>161</v>
      </c>
      <c r="AA3331" t="s">
        <v>166</v>
      </c>
      <c r="AB3331">
        <v>3.9</v>
      </c>
      <c r="AC3331">
        <v>40</v>
      </c>
      <c r="AD3331">
        <v>80.33</v>
      </c>
      <c r="AE3331">
        <f t="shared" si="104"/>
        <v>633.81999999999994</v>
      </c>
      <c r="AF3331" t="str">
        <f t="shared" si="105"/>
        <v>2026-03</v>
      </c>
      <c r="AG3331">
        <f>SUBTOTAL(103,A3331)</f>
        <v>1</v>
      </c>
    </row>
    <row r="3332" spans="1:33" x14ac:dyDescent="0.3">
      <c r="A3332" t="s">
        <v>5955</v>
      </c>
      <c r="B3332" s="13">
        <v>46088</v>
      </c>
      <c r="C3332">
        <v>2026</v>
      </c>
      <c r="D3332">
        <v>3</v>
      </c>
      <c r="E3332" t="s">
        <v>3053</v>
      </c>
      <c r="F3332" t="s">
        <v>2572</v>
      </c>
      <c r="G3332" t="s">
        <v>1199</v>
      </c>
      <c r="H3332" t="s">
        <v>1200</v>
      </c>
      <c r="I3332" t="s">
        <v>85</v>
      </c>
      <c r="J3332">
        <v>58</v>
      </c>
      <c r="K3332" t="s">
        <v>83</v>
      </c>
      <c r="L3332" t="s">
        <v>93</v>
      </c>
      <c r="M3332" t="s">
        <v>55</v>
      </c>
      <c r="N3332" t="s">
        <v>2606</v>
      </c>
      <c r="O3332" t="s">
        <v>120</v>
      </c>
      <c r="P3332" t="s">
        <v>49</v>
      </c>
      <c r="Q3332" t="s">
        <v>140</v>
      </c>
      <c r="R3332">
        <v>1</v>
      </c>
      <c r="S3332">
        <v>2799</v>
      </c>
      <c r="T3332">
        <v>0.1</v>
      </c>
      <c r="U3332">
        <v>2519.1</v>
      </c>
      <c r="V3332">
        <v>1650</v>
      </c>
      <c r="W3332">
        <v>869.1</v>
      </c>
      <c r="X3332" t="s">
        <v>77</v>
      </c>
      <c r="Y3332" t="s">
        <v>68</v>
      </c>
      <c r="Z3332" t="s">
        <v>158</v>
      </c>
      <c r="AA3332" t="s">
        <v>169</v>
      </c>
      <c r="AB3332">
        <v>4.3</v>
      </c>
      <c r="AC3332">
        <v>50</v>
      </c>
      <c r="AD3332">
        <v>120.67</v>
      </c>
      <c r="AE3332">
        <f t="shared" si="104"/>
        <v>698.43000000000006</v>
      </c>
      <c r="AF3332" t="str">
        <f t="shared" si="105"/>
        <v>2026-03</v>
      </c>
      <c r="AG3332">
        <f>SUBTOTAL(103,A3332)</f>
        <v>1</v>
      </c>
    </row>
    <row r="3333" spans="1:33" x14ac:dyDescent="0.3">
      <c r="A3333" t="s">
        <v>5956</v>
      </c>
      <c r="B3333" s="13">
        <v>46089</v>
      </c>
      <c r="C3333">
        <v>2026</v>
      </c>
      <c r="D3333">
        <v>3</v>
      </c>
      <c r="E3333" t="s">
        <v>3053</v>
      </c>
      <c r="F3333" t="s">
        <v>2572</v>
      </c>
      <c r="G3333" t="s">
        <v>1985</v>
      </c>
      <c r="H3333" t="s">
        <v>1986</v>
      </c>
      <c r="I3333" t="s">
        <v>86</v>
      </c>
      <c r="J3333">
        <v>18</v>
      </c>
      <c r="K3333" t="s">
        <v>80</v>
      </c>
      <c r="L3333" t="s">
        <v>2623</v>
      </c>
      <c r="M3333" t="s">
        <v>61</v>
      </c>
      <c r="N3333" t="s">
        <v>2653</v>
      </c>
      <c r="O3333" t="s">
        <v>132</v>
      </c>
      <c r="P3333" t="s">
        <v>52</v>
      </c>
      <c r="Q3333" t="s">
        <v>150</v>
      </c>
      <c r="R3333">
        <v>3</v>
      </c>
      <c r="S3333">
        <v>899</v>
      </c>
      <c r="T3333">
        <v>0.1</v>
      </c>
      <c r="U3333">
        <v>2427.3000000000002</v>
      </c>
      <c r="V3333">
        <v>1260</v>
      </c>
      <c r="W3333">
        <v>1167.3</v>
      </c>
      <c r="X3333" t="s">
        <v>73</v>
      </c>
      <c r="Y3333" t="s">
        <v>68</v>
      </c>
      <c r="Z3333" t="s">
        <v>158</v>
      </c>
      <c r="AA3333" t="s">
        <v>166</v>
      </c>
      <c r="AB3333">
        <v>4.3</v>
      </c>
      <c r="AC3333">
        <v>80</v>
      </c>
      <c r="AD3333">
        <v>159.78</v>
      </c>
      <c r="AE3333">
        <f t="shared" si="104"/>
        <v>927.52</v>
      </c>
      <c r="AF3333" t="str">
        <f t="shared" si="105"/>
        <v>2026-03</v>
      </c>
      <c r="AG3333">
        <f>SUBTOTAL(103,A3333)</f>
        <v>1</v>
      </c>
    </row>
    <row r="3334" spans="1:33" x14ac:dyDescent="0.3">
      <c r="A3334" t="s">
        <v>5957</v>
      </c>
      <c r="B3334" s="13">
        <v>46089</v>
      </c>
      <c r="C3334">
        <v>2026</v>
      </c>
      <c r="D3334">
        <v>3</v>
      </c>
      <c r="E3334" t="s">
        <v>3053</v>
      </c>
      <c r="F3334" t="s">
        <v>2572</v>
      </c>
      <c r="G3334" t="s">
        <v>981</v>
      </c>
      <c r="H3334" t="s">
        <v>982</v>
      </c>
      <c r="I3334" t="s">
        <v>86</v>
      </c>
      <c r="J3334">
        <v>47</v>
      </c>
      <c r="K3334" t="s">
        <v>83</v>
      </c>
      <c r="L3334" t="s">
        <v>95</v>
      </c>
      <c r="M3334" t="s">
        <v>56</v>
      </c>
      <c r="N3334" t="s">
        <v>2657</v>
      </c>
      <c r="O3334" t="s">
        <v>134</v>
      </c>
      <c r="P3334" t="s">
        <v>49</v>
      </c>
      <c r="Q3334" t="s">
        <v>140</v>
      </c>
      <c r="R3334">
        <v>3</v>
      </c>
      <c r="S3334">
        <v>599</v>
      </c>
      <c r="T3334">
        <v>0.15</v>
      </c>
      <c r="U3334">
        <v>1527.45</v>
      </c>
      <c r="V3334">
        <v>750</v>
      </c>
      <c r="W3334">
        <v>777.45</v>
      </c>
      <c r="X3334" t="s">
        <v>75</v>
      </c>
      <c r="Y3334" t="s">
        <v>68</v>
      </c>
      <c r="Z3334" t="s">
        <v>162</v>
      </c>
      <c r="AA3334" t="s">
        <v>168</v>
      </c>
      <c r="AB3334">
        <v>4.3</v>
      </c>
      <c r="AC3334">
        <v>60</v>
      </c>
      <c r="AD3334">
        <v>111.91</v>
      </c>
      <c r="AE3334">
        <f t="shared" si="104"/>
        <v>605.54000000000008</v>
      </c>
      <c r="AF3334" t="str">
        <f t="shared" si="105"/>
        <v>2026-03</v>
      </c>
      <c r="AG3334">
        <f>SUBTOTAL(103,A3334)</f>
        <v>1</v>
      </c>
    </row>
    <row r="3335" spans="1:33" x14ac:dyDescent="0.3">
      <c r="A3335" t="s">
        <v>5958</v>
      </c>
      <c r="B3335" s="13">
        <v>46089</v>
      </c>
      <c r="C3335">
        <v>2026</v>
      </c>
      <c r="D3335">
        <v>3</v>
      </c>
      <c r="E3335" t="s">
        <v>3053</v>
      </c>
      <c r="F3335" t="s">
        <v>2572</v>
      </c>
      <c r="G3335" t="s">
        <v>1253</v>
      </c>
      <c r="H3335" t="s">
        <v>1254</v>
      </c>
      <c r="I3335" t="s">
        <v>86</v>
      </c>
      <c r="J3335">
        <v>26</v>
      </c>
      <c r="K3335" t="s">
        <v>81</v>
      </c>
      <c r="L3335" t="s">
        <v>97</v>
      </c>
      <c r="M3335" t="s">
        <v>57</v>
      </c>
      <c r="N3335" t="s">
        <v>2596</v>
      </c>
      <c r="O3335" t="s">
        <v>124</v>
      </c>
      <c r="P3335" t="s">
        <v>51</v>
      </c>
      <c r="Q3335" t="s">
        <v>147</v>
      </c>
      <c r="R3335">
        <v>1</v>
      </c>
      <c r="S3335">
        <v>2299</v>
      </c>
      <c r="T3335">
        <v>0.2</v>
      </c>
      <c r="U3335">
        <v>1839.2</v>
      </c>
      <c r="V3335">
        <v>1200</v>
      </c>
      <c r="W3335">
        <v>639.20000000000005</v>
      </c>
      <c r="X3335" t="s">
        <v>73</v>
      </c>
      <c r="Y3335" t="s">
        <v>68</v>
      </c>
      <c r="Z3335" t="s">
        <v>158</v>
      </c>
      <c r="AA3335" t="s">
        <v>169</v>
      </c>
      <c r="AB3335">
        <v>3.4</v>
      </c>
      <c r="AC3335">
        <v>80</v>
      </c>
      <c r="AD3335">
        <v>217.74</v>
      </c>
      <c r="AE3335">
        <f t="shared" si="104"/>
        <v>341.46000000000004</v>
      </c>
      <c r="AF3335" t="str">
        <f t="shared" si="105"/>
        <v>2026-03</v>
      </c>
      <c r="AG3335">
        <f>SUBTOTAL(103,A3335)</f>
        <v>1</v>
      </c>
    </row>
    <row r="3336" spans="1:33" x14ac:dyDescent="0.3">
      <c r="A3336" t="s">
        <v>5959</v>
      </c>
      <c r="B3336" s="13">
        <v>46089</v>
      </c>
      <c r="C3336">
        <v>2026</v>
      </c>
      <c r="D3336">
        <v>3</v>
      </c>
      <c r="E3336" t="s">
        <v>3053</v>
      </c>
      <c r="F3336" t="s">
        <v>2572</v>
      </c>
      <c r="G3336" t="s">
        <v>359</v>
      </c>
      <c r="H3336" t="s">
        <v>360</v>
      </c>
      <c r="I3336" t="s">
        <v>85</v>
      </c>
      <c r="J3336">
        <v>40</v>
      </c>
      <c r="K3336" t="s">
        <v>82</v>
      </c>
      <c r="L3336" t="s">
        <v>91</v>
      </c>
      <c r="M3336" t="s">
        <v>55</v>
      </c>
      <c r="N3336" t="s">
        <v>2647</v>
      </c>
      <c r="O3336" t="s">
        <v>133</v>
      </c>
      <c r="P3336" t="s">
        <v>50</v>
      </c>
      <c r="Q3336" t="s">
        <v>145</v>
      </c>
      <c r="R3336">
        <v>5</v>
      </c>
      <c r="S3336">
        <v>799</v>
      </c>
      <c r="T3336">
        <v>0.1</v>
      </c>
      <c r="U3336">
        <v>0</v>
      </c>
      <c r="V3336">
        <v>0</v>
      </c>
      <c r="W3336">
        <v>0</v>
      </c>
      <c r="X3336" t="s">
        <v>76</v>
      </c>
      <c r="Y3336" t="s">
        <v>71</v>
      </c>
      <c r="Z3336" t="s">
        <v>163</v>
      </c>
      <c r="AA3336" t="s">
        <v>166</v>
      </c>
      <c r="AB3336">
        <v>4.9000000000000004</v>
      </c>
      <c r="AC3336">
        <v>60</v>
      </c>
      <c r="AD3336">
        <v>156.72999999999999</v>
      </c>
      <c r="AE3336">
        <f t="shared" si="104"/>
        <v>-216.73</v>
      </c>
      <c r="AF3336" t="str">
        <f t="shared" si="105"/>
        <v>2026-03</v>
      </c>
      <c r="AG3336">
        <f>SUBTOTAL(103,A3336)</f>
        <v>1</v>
      </c>
    </row>
    <row r="3337" spans="1:33" x14ac:dyDescent="0.3">
      <c r="A3337" t="s">
        <v>5960</v>
      </c>
      <c r="B3337" s="13">
        <v>46089</v>
      </c>
      <c r="C3337">
        <v>2026</v>
      </c>
      <c r="D3337">
        <v>3</v>
      </c>
      <c r="E3337" t="s">
        <v>3053</v>
      </c>
      <c r="F3337" t="s">
        <v>2572</v>
      </c>
      <c r="G3337" t="s">
        <v>855</v>
      </c>
      <c r="H3337" t="s">
        <v>856</v>
      </c>
      <c r="I3337" t="s">
        <v>86</v>
      </c>
      <c r="J3337">
        <v>40</v>
      </c>
      <c r="K3337" t="s">
        <v>82</v>
      </c>
      <c r="L3337" t="s">
        <v>2589</v>
      </c>
      <c r="M3337" t="s">
        <v>61</v>
      </c>
      <c r="N3337" t="s">
        <v>2657</v>
      </c>
      <c r="O3337" t="s">
        <v>134</v>
      </c>
      <c r="P3337" t="s">
        <v>49</v>
      </c>
      <c r="Q3337" t="s">
        <v>140</v>
      </c>
      <c r="R3337">
        <v>1</v>
      </c>
      <c r="S3337">
        <v>599</v>
      </c>
      <c r="T3337">
        <v>0.05</v>
      </c>
      <c r="U3337">
        <v>569.04999999999995</v>
      </c>
      <c r="V3337">
        <v>250</v>
      </c>
      <c r="W3337">
        <v>319.05</v>
      </c>
      <c r="X3337" t="s">
        <v>75</v>
      </c>
      <c r="Y3337" t="s">
        <v>68</v>
      </c>
      <c r="Z3337" t="s">
        <v>158</v>
      </c>
      <c r="AA3337" t="s">
        <v>167</v>
      </c>
      <c r="AB3337">
        <v>3.6</v>
      </c>
      <c r="AC3337">
        <v>60</v>
      </c>
      <c r="AD3337">
        <v>35.01</v>
      </c>
      <c r="AE3337">
        <f t="shared" si="104"/>
        <v>224.04000000000002</v>
      </c>
      <c r="AF3337" t="str">
        <f t="shared" si="105"/>
        <v>2026-03</v>
      </c>
      <c r="AG3337">
        <f>SUBTOTAL(103,A3337)</f>
        <v>1</v>
      </c>
    </row>
    <row r="3338" spans="1:33" x14ac:dyDescent="0.3">
      <c r="A3338" t="s">
        <v>5961</v>
      </c>
      <c r="B3338" s="13">
        <v>46089</v>
      </c>
      <c r="C3338">
        <v>2026</v>
      </c>
      <c r="D3338">
        <v>3</v>
      </c>
      <c r="E3338" t="s">
        <v>3053</v>
      </c>
      <c r="F3338" t="s">
        <v>2572</v>
      </c>
      <c r="G3338" t="s">
        <v>1375</v>
      </c>
      <c r="H3338" t="s">
        <v>1376</v>
      </c>
      <c r="I3338" t="s">
        <v>86</v>
      </c>
      <c r="J3338">
        <v>60</v>
      </c>
      <c r="K3338" t="s">
        <v>83</v>
      </c>
      <c r="L3338" t="s">
        <v>98</v>
      </c>
      <c r="M3338" t="s">
        <v>55</v>
      </c>
      <c r="N3338" t="s">
        <v>2590</v>
      </c>
      <c r="O3338" t="s">
        <v>127</v>
      </c>
      <c r="P3338" t="s">
        <v>51</v>
      </c>
      <c r="Q3338" t="s">
        <v>148</v>
      </c>
      <c r="R3338">
        <v>2</v>
      </c>
      <c r="S3338">
        <v>1599</v>
      </c>
      <c r="T3338">
        <v>0.05</v>
      </c>
      <c r="U3338">
        <v>3038.1</v>
      </c>
      <c r="V3338">
        <v>1600</v>
      </c>
      <c r="W3338">
        <v>1438.1</v>
      </c>
      <c r="X3338" t="s">
        <v>75</v>
      </c>
      <c r="Y3338" t="s">
        <v>68</v>
      </c>
      <c r="Z3338" t="s">
        <v>158</v>
      </c>
      <c r="AA3338" t="s">
        <v>166</v>
      </c>
      <c r="AB3338">
        <v>2.5</v>
      </c>
      <c r="AC3338">
        <v>60</v>
      </c>
      <c r="AD3338">
        <v>254.38</v>
      </c>
      <c r="AE3338">
        <f t="shared" si="104"/>
        <v>1123.7199999999998</v>
      </c>
      <c r="AF3338" t="str">
        <f t="shared" si="105"/>
        <v>2026-03</v>
      </c>
      <c r="AG3338">
        <f>SUBTOTAL(103,A3338)</f>
        <v>1</v>
      </c>
    </row>
    <row r="3339" spans="1:33" x14ac:dyDescent="0.3">
      <c r="A3339" t="s">
        <v>5962</v>
      </c>
      <c r="B3339" s="13">
        <v>46089</v>
      </c>
      <c r="C3339">
        <v>2026</v>
      </c>
      <c r="D3339">
        <v>3</v>
      </c>
      <c r="E3339" t="s">
        <v>3053</v>
      </c>
      <c r="F3339" t="s">
        <v>2572</v>
      </c>
      <c r="G3339" t="s">
        <v>2497</v>
      </c>
      <c r="H3339" t="s">
        <v>2498</v>
      </c>
      <c r="I3339" t="s">
        <v>86</v>
      </c>
      <c r="J3339">
        <v>46</v>
      </c>
      <c r="K3339" t="s">
        <v>83</v>
      </c>
      <c r="L3339" t="s">
        <v>99</v>
      </c>
      <c r="M3339" t="s">
        <v>58</v>
      </c>
      <c r="N3339" t="s">
        <v>2653</v>
      </c>
      <c r="O3339" t="s">
        <v>132</v>
      </c>
      <c r="P3339" t="s">
        <v>52</v>
      </c>
      <c r="Q3339" t="s">
        <v>150</v>
      </c>
      <c r="R3339">
        <v>2</v>
      </c>
      <c r="S3339">
        <v>899</v>
      </c>
      <c r="T3339">
        <v>0.15</v>
      </c>
      <c r="U3339">
        <v>1528.3</v>
      </c>
      <c r="V3339">
        <v>840</v>
      </c>
      <c r="W3339">
        <v>688.3</v>
      </c>
      <c r="X3339" t="s">
        <v>73</v>
      </c>
      <c r="Y3339" t="s">
        <v>68</v>
      </c>
      <c r="Z3339" t="s">
        <v>163</v>
      </c>
      <c r="AA3339" t="s">
        <v>169</v>
      </c>
      <c r="AB3339">
        <v>4.0999999999999996</v>
      </c>
      <c r="AC3339">
        <v>80</v>
      </c>
      <c r="AD3339">
        <v>173.09</v>
      </c>
      <c r="AE3339">
        <f t="shared" si="104"/>
        <v>435.20999999999992</v>
      </c>
      <c r="AF3339" t="str">
        <f t="shared" si="105"/>
        <v>2026-03</v>
      </c>
      <c r="AG3339">
        <f>SUBTOTAL(103,A3339)</f>
        <v>1</v>
      </c>
    </row>
    <row r="3340" spans="1:33" x14ac:dyDescent="0.3">
      <c r="A3340" t="s">
        <v>5963</v>
      </c>
      <c r="B3340" s="13">
        <v>46089</v>
      </c>
      <c r="C3340">
        <v>2026</v>
      </c>
      <c r="D3340">
        <v>3</v>
      </c>
      <c r="E3340" t="s">
        <v>3053</v>
      </c>
      <c r="F3340" t="s">
        <v>2572</v>
      </c>
      <c r="G3340" t="s">
        <v>709</v>
      </c>
      <c r="H3340" t="s">
        <v>710</v>
      </c>
      <c r="I3340" t="s">
        <v>85</v>
      </c>
      <c r="J3340">
        <v>18</v>
      </c>
      <c r="K3340" t="s">
        <v>80</v>
      </c>
      <c r="L3340" t="s">
        <v>92</v>
      </c>
      <c r="M3340" t="s">
        <v>59</v>
      </c>
      <c r="N3340" t="s">
        <v>2644</v>
      </c>
      <c r="O3340" t="s">
        <v>126</v>
      </c>
      <c r="P3340" t="s">
        <v>50</v>
      </c>
      <c r="Q3340" t="s">
        <v>145</v>
      </c>
      <c r="R3340">
        <v>3</v>
      </c>
      <c r="S3340">
        <v>1799</v>
      </c>
      <c r="T3340">
        <v>0.1</v>
      </c>
      <c r="U3340">
        <v>4857.3</v>
      </c>
      <c r="V3340">
        <v>2850</v>
      </c>
      <c r="W3340">
        <v>2007.3</v>
      </c>
      <c r="X3340" t="s">
        <v>74</v>
      </c>
      <c r="Y3340" t="s">
        <v>68</v>
      </c>
      <c r="Z3340" t="s">
        <v>163</v>
      </c>
      <c r="AA3340" t="s">
        <v>167</v>
      </c>
      <c r="AB3340">
        <v>3.7</v>
      </c>
      <c r="AC3340">
        <v>60</v>
      </c>
      <c r="AD3340">
        <v>526.58000000000004</v>
      </c>
      <c r="AE3340">
        <f t="shared" si="104"/>
        <v>1420.7199999999998</v>
      </c>
      <c r="AF3340" t="str">
        <f t="shared" si="105"/>
        <v>2026-03</v>
      </c>
      <c r="AG3340">
        <f>SUBTOTAL(103,A3340)</f>
        <v>1</v>
      </c>
    </row>
    <row r="3341" spans="1:33" x14ac:dyDescent="0.3">
      <c r="A3341" t="s">
        <v>5964</v>
      </c>
      <c r="B3341" s="13">
        <v>46090</v>
      </c>
      <c r="C3341">
        <v>2026</v>
      </c>
      <c r="D3341">
        <v>3</v>
      </c>
      <c r="E3341" t="s">
        <v>3053</v>
      </c>
      <c r="F3341" t="s">
        <v>2572</v>
      </c>
      <c r="G3341" t="s">
        <v>569</v>
      </c>
      <c r="H3341" t="s">
        <v>570</v>
      </c>
      <c r="I3341" t="s">
        <v>85</v>
      </c>
      <c r="J3341">
        <v>29</v>
      </c>
      <c r="K3341" t="s">
        <v>81</v>
      </c>
      <c r="L3341" t="s">
        <v>2616</v>
      </c>
      <c r="M3341" t="s">
        <v>62</v>
      </c>
      <c r="N3341" t="s">
        <v>2601</v>
      </c>
      <c r="O3341" t="s">
        <v>117</v>
      </c>
      <c r="P3341" t="s">
        <v>49</v>
      </c>
      <c r="Q3341" t="s">
        <v>139</v>
      </c>
      <c r="R3341">
        <v>5</v>
      </c>
      <c r="S3341">
        <v>6999</v>
      </c>
      <c r="T3341">
        <v>0.05</v>
      </c>
      <c r="U3341">
        <v>33245.25</v>
      </c>
      <c r="V3341">
        <v>21500</v>
      </c>
      <c r="W3341">
        <v>11745.25</v>
      </c>
      <c r="X3341" t="s">
        <v>73</v>
      </c>
      <c r="Y3341" t="s">
        <v>68</v>
      </c>
      <c r="Z3341" t="s">
        <v>158</v>
      </c>
      <c r="AA3341" t="s">
        <v>168</v>
      </c>
      <c r="AB3341">
        <v>4.4000000000000004</v>
      </c>
      <c r="AC3341">
        <v>60</v>
      </c>
      <c r="AD3341">
        <v>2676.3</v>
      </c>
      <c r="AE3341">
        <f t="shared" si="104"/>
        <v>9008.9500000000007</v>
      </c>
      <c r="AF3341" t="str">
        <f t="shared" si="105"/>
        <v>2026-03</v>
      </c>
      <c r="AG3341">
        <f>SUBTOTAL(103,A3341)</f>
        <v>1</v>
      </c>
    </row>
    <row r="3342" spans="1:33" x14ac:dyDescent="0.3">
      <c r="A3342" t="s">
        <v>5965</v>
      </c>
      <c r="B3342" s="13">
        <v>46090</v>
      </c>
      <c r="C3342">
        <v>2026</v>
      </c>
      <c r="D3342">
        <v>3</v>
      </c>
      <c r="E3342" t="s">
        <v>3053</v>
      </c>
      <c r="F3342" t="s">
        <v>2572</v>
      </c>
      <c r="G3342" t="s">
        <v>795</v>
      </c>
      <c r="H3342" t="s">
        <v>796</v>
      </c>
      <c r="I3342" t="s">
        <v>85</v>
      </c>
      <c r="J3342">
        <v>33</v>
      </c>
      <c r="K3342" t="s">
        <v>81</v>
      </c>
      <c r="L3342" t="s">
        <v>93</v>
      </c>
      <c r="M3342" t="s">
        <v>55</v>
      </c>
      <c r="N3342" t="s">
        <v>2580</v>
      </c>
      <c r="O3342" t="s">
        <v>118</v>
      </c>
      <c r="P3342" t="s">
        <v>48</v>
      </c>
      <c r="Q3342" t="s">
        <v>142</v>
      </c>
      <c r="R3342">
        <v>4</v>
      </c>
      <c r="S3342">
        <v>3999</v>
      </c>
      <c r="T3342">
        <v>0.05</v>
      </c>
      <c r="U3342">
        <v>15196.2</v>
      </c>
      <c r="V3342">
        <v>9600</v>
      </c>
      <c r="W3342">
        <v>5596.2</v>
      </c>
      <c r="X3342" t="s">
        <v>73</v>
      </c>
      <c r="Y3342" t="s">
        <v>68</v>
      </c>
      <c r="Z3342" t="s">
        <v>158</v>
      </c>
      <c r="AA3342" t="s">
        <v>168</v>
      </c>
      <c r="AB3342">
        <v>4.3</v>
      </c>
      <c r="AC3342">
        <v>40</v>
      </c>
      <c r="AD3342">
        <v>502.19</v>
      </c>
      <c r="AE3342">
        <f t="shared" si="104"/>
        <v>5054.01</v>
      </c>
      <c r="AF3342" t="str">
        <f t="shared" si="105"/>
        <v>2026-03</v>
      </c>
      <c r="AG3342">
        <f>SUBTOTAL(103,A3342)</f>
        <v>1</v>
      </c>
    </row>
    <row r="3343" spans="1:33" x14ac:dyDescent="0.3">
      <c r="A3343" t="s">
        <v>5966</v>
      </c>
      <c r="B3343" s="13">
        <v>46090</v>
      </c>
      <c r="C3343">
        <v>2026</v>
      </c>
      <c r="D3343">
        <v>3</v>
      </c>
      <c r="E3343" t="s">
        <v>3053</v>
      </c>
      <c r="F3343" t="s">
        <v>2572</v>
      </c>
      <c r="G3343" t="s">
        <v>273</v>
      </c>
      <c r="H3343" t="s">
        <v>274</v>
      </c>
      <c r="I3343" t="s">
        <v>86</v>
      </c>
      <c r="J3343">
        <v>36</v>
      </c>
      <c r="K3343" t="s">
        <v>82</v>
      </c>
      <c r="L3343" t="s">
        <v>99</v>
      </c>
      <c r="M3343" t="s">
        <v>58</v>
      </c>
      <c r="N3343" t="s">
        <v>2626</v>
      </c>
      <c r="O3343" t="s">
        <v>125</v>
      </c>
      <c r="P3343" t="s">
        <v>48</v>
      </c>
      <c r="Q3343" t="s">
        <v>141</v>
      </c>
      <c r="R3343">
        <v>3</v>
      </c>
      <c r="S3343">
        <v>1999</v>
      </c>
      <c r="T3343">
        <v>0.05</v>
      </c>
      <c r="U3343">
        <v>5697.15</v>
      </c>
      <c r="V3343">
        <v>3450</v>
      </c>
      <c r="W3343">
        <v>2247.15</v>
      </c>
      <c r="X3343" t="s">
        <v>73</v>
      </c>
      <c r="Y3343" t="s">
        <v>68</v>
      </c>
      <c r="Z3343" t="s">
        <v>162</v>
      </c>
      <c r="AA3343" t="s">
        <v>167</v>
      </c>
      <c r="AB3343">
        <v>5</v>
      </c>
      <c r="AC3343">
        <v>60</v>
      </c>
      <c r="AD3343">
        <v>252.35</v>
      </c>
      <c r="AE3343">
        <f t="shared" si="104"/>
        <v>1934.8000000000002</v>
      </c>
      <c r="AF3343" t="str">
        <f t="shared" si="105"/>
        <v>2026-03</v>
      </c>
      <c r="AG3343">
        <f>SUBTOTAL(103,A3343)</f>
        <v>1</v>
      </c>
    </row>
    <row r="3344" spans="1:33" x14ac:dyDescent="0.3">
      <c r="A3344" t="s">
        <v>5967</v>
      </c>
      <c r="B3344" s="13">
        <v>46090</v>
      </c>
      <c r="C3344">
        <v>2026</v>
      </c>
      <c r="D3344">
        <v>3</v>
      </c>
      <c r="E3344" t="s">
        <v>3053</v>
      </c>
      <c r="F3344" t="s">
        <v>2572</v>
      </c>
      <c r="G3344" t="s">
        <v>469</v>
      </c>
      <c r="H3344" t="s">
        <v>470</v>
      </c>
      <c r="I3344" t="s">
        <v>85</v>
      </c>
      <c r="J3344">
        <v>57</v>
      </c>
      <c r="K3344" t="s">
        <v>83</v>
      </c>
      <c r="L3344" t="s">
        <v>94</v>
      </c>
      <c r="M3344" t="s">
        <v>57</v>
      </c>
      <c r="N3344" t="s">
        <v>2584</v>
      </c>
      <c r="O3344" t="s">
        <v>121</v>
      </c>
      <c r="P3344" t="s">
        <v>50</v>
      </c>
      <c r="Q3344" t="s">
        <v>144</v>
      </c>
      <c r="R3344">
        <v>3</v>
      </c>
      <c r="S3344">
        <v>2999</v>
      </c>
      <c r="T3344">
        <v>0.05</v>
      </c>
      <c r="U3344">
        <v>8547.15</v>
      </c>
      <c r="V3344">
        <v>5100</v>
      </c>
      <c r="W3344">
        <v>3447.15</v>
      </c>
      <c r="X3344" t="s">
        <v>74</v>
      </c>
      <c r="Y3344" t="s">
        <v>68</v>
      </c>
      <c r="Z3344" t="s">
        <v>159</v>
      </c>
      <c r="AA3344" t="s">
        <v>169</v>
      </c>
      <c r="AB3344">
        <v>4.8</v>
      </c>
      <c r="AC3344">
        <v>40</v>
      </c>
      <c r="AD3344">
        <v>941.01</v>
      </c>
      <c r="AE3344">
        <f t="shared" si="104"/>
        <v>2466.1400000000003</v>
      </c>
      <c r="AF3344" t="str">
        <f t="shared" si="105"/>
        <v>2026-03</v>
      </c>
      <c r="AG3344">
        <f>SUBTOTAL(103,A3344)</f>
        <v>1</v>
      </c>
    </row>
    <row r="3345" spans="1:33" x14ac:dyDescent="0.3">
      <c r="A3345" t="s">
        <v>5968</v>
      </c>
      <c r="B3345" s="13">
        <v>46090</v>
      </c>
      <c r="C3345">
        <v>2026</v>
      </c>
      <c r="D3345">
        <v>3</v>
      </c>
      <c r="E3345" t="s">
        <v>3053</v>
      </c>
      <c r="F3345" t="s">
        <v>2572</v>
      </c>
      <c r="G3345" t="s">
        <v>1889</v>
      </c>
      <c r="H3345" t="s">
        <v>1890</v>
      </c>
      <c r="I3345" t="s">
        <v>85</v>
      </c>
      <c r="J3345">
        <v>29</v>
      </c>
      <c r="K3345" t="s">
        <v>81</v>
      </c>
      <c r="L3345" t="s">
        <v>2637</v>
      </c>
      <c r="M3345" t="s">
        <v>64</v>
      </c>
      <c r="N3345" t="s">
        <v>2653</v>
      </c>
      <c r="O3345" t="s">
        <v>132</v>
      </c>
      <c r="P3345" t="s">
        <v>52</v>
      </c>
      <c r="Q3345" t="s">
        <v>150</v>
      </c>
      <c r="R3345">
        <v>1</v>
      </c>
      <c r="S3345">
        <v>899</v>
      </c>
      <c r="T3345">
        <v>0.15</v>
      </c>
      <c r="U3345">
        <v>764.15</v>
      </c>
      <c r="V3345">
        <v>420</v>
      </c>
      <c r="W3345">
        <v>344.15</v>
      </c>
      <c r="X3345" t="s">
        <v>76</v>
      </c>
      <c r="Y3345" t="s">
        <v>68</v>
      </c>
      <c r="Z3345" t="s">
        <v>158</v>
      </c>
      <c r="AA3345" t="s">
        <v>171</v>
      </c>
      <c r="AB3345">
        <v>3.8</v>
      </c>
      <c r="AC3345">
        <v>80</v>
      </c>
      <c r="AD3345">
        <v>52.73</v>
      </c>
      <c r="AE3345">
        <f t="shared" si="104"/>
        <v>211.42</v>
      </c>
      <c r="AF3345" t="str">
        <f t="shared" si="105"/>
        <v>2026-03</v>
      </c>
      <c r="AG3345">
        <f>SUBTOTAL(103,A3345)</f>
        <v>1</v>
      </c>
    </row>
    <row r="3346" spans="1:33" x14ac:dyDescent="0.3">
      <c r="A3346" t="s">
        <v>5969</v>
      </c>
      <c r="B3346" s="13">
        <v>46090</v>
      </c>
      <c r="C3346">
        <v>2026</v>
      </c>
      <c r="D3346">
        <v>3</v>
      </c>
      <c r="E3346" t="s">
        <v>3053</v>
      </c>
      <c r="F3346" t="s">
        <v>2572</v>
      </c>
      <c r="G3346" t="s">
        <v>737</v>
      </c>
      <c r="H3346" t="s">
        <v>738</v>
      </c>
      <c r="I3346" t="s">
        <v>86</v>
      </c>
      <c r="J3346">
        <v>39</v>
      </c>
      <c r="K3346" t="s">
        <v>82</v>
      </c>
      <c r="L3346" t="s">
        <v>2579</v>
      </c>
      <c r="M3346" t="s">
        <v>56</v>
      </c>
      <c r="N3346" t="s">
        <v>2606</v>
      </c>
      <c r="O3346" t="s">
        <v>120</v>
      </c>
      <c r="P3346" t="s">
        <v>49</v>
      </c>
      <c r="Q3346" t="s">
        <v>140</v>
      </c>
      <c r="R3346">
        <v>5</v>
      </c>
      <c r="S3346">
        <v>2799</v>
      </c>
      <c r="T3346">
        <v>0.05</v>
      </c>
      <c r="U3346">
        <v>13295.25</v>
      </c>
      <c r="V3346">
        <v>8250</v>
      </c>
      <c r="W3346">
        <v>5045.25</v>
      </c>
      <c r="X3346" t="s">
        <v>75</v>
      </c>
      <c r="Y3346" t="s">
        <v>68</v>
      </c>
      <c r="Z3346" t="s">
        <v>161</v>
      </c>
      <c r="AA3346" t="s">
        <v>167</v>
      </c>
      <c r="AB3346">
        <v>3.7</v>
      </c>
      <c r="AC3346">
        <v>40</v>
      </c>
      <c r="AD3346">
        <v>1009.24</v>
      </c>
      <c r="AE3346">
        <f t="shared" si="104"/>
        <v>3996.01</v>
      </c>
      <c r="AF3346" t="str">
        <f t="shared" si="105"/>
        <v>2026-03</v>
      </c>
      <c r="AG3346">
        <f>SUBTOTAL(103,A3346)</f>
        <v>1</v>
      </c>
    </row>
    <row r="3347" spans="1:33" x14ac:dyDescent="0.3">
      <c r="A3347" t="s">
        <v>5970</v>
      </c>
      <c r="B3347" s="13">
        <v>46090</v>
      </c>
      <c r="C3347">
        <v>2026</v>
      </c>
      <c r="D3347">
        <v>3</v>
      </c>
      <c r="E3347" t="s">
        <v>3053</v>
      </c>
      <c r="F3347" t="s">
        <v>2572</v>
      </c>
      <c r="G3347" t="s">
        <v>2261</v>
      </c>
      <c r="H3347" t="s">
        <v>2262</v>
      </c>
      <c r="I3347" t="s">
        <v>85</v>
      </c>
      <c r="J3347">
        <v>37</v>
      </c>
      <c r="K3347" t="s">
        <v>82</v>
      </c>
      <c r="L3347" t="s">
        <v>2623</v>
      </c>
      <c r="M3347" t="s">
        <v>61</v>
      </c>
      <c r="N3347" t="s">
        <v>2590</v>
      </c>
      <c r="O3347" t="s">
        <v>127</v>
      </c>
      <c r="P3347" t="s">
        <v>51</v>
      </c>
      <c r="Q3347" t="s">
        <v>148</v>
      </c>
      <c r="R3347">
        <v>1</v>
      </c>
      <c r="S3347">
        <v>1599</v>
      </c>
      <c r="T3347">
        <v>0.15</v>
      </c>
      <c r="U3347">
        <v>1359.15</v>
      </c>
      <c r="V3347">
        <v>800</v>
      </c>
      <c r="W3347">
        <v>559.15</v>
      </c>
      <c r="X3347" t="s">
        <v>74</v>
      </c>
      <c r="Y3347" t="s">
        <v>69</v>
      </c>
      <c r="Z3347" t="s">
        <v>158</v>
      </c>
      <c r="AA3347" t="s">
        <v>166</v>
      </c>
      <c r="AB3347">
        <v>4.5999999999999996</v>
      </c>
      <c r="AC3347">
        <v>60</v>
      </c>
      <c r="AD3347">
        <v>85.82</v>
      </c>
      <c r="AE3347">
        <f t="shared" si="104"/>
        <v>413.33</v>
      </c>
      <c r="AF3347" t="str">
        <f t="shared" si="105"/>
        <v>2026-03</v>
      </c>
      <c r="AG3347">
        <f>SUBTOTAL(103,A3347)</f>
        <v>1</v>
      </c>
    </row>
    <row r="3348" spans="1:33" x14ac:dyDescent="0.3">
      <c r="A3348" t="s">
        <v>5971</v>
      </c>
      <c r="B3348" s="13">
        <v>46090</v>
      </c>
      <c r="C3348">
        <v>2026</v>
      </c>
      <c r="D3348">
        <v>3</v>
      </c>
      <c r="E3348" t="s">
        <v>3053</v>
      </c>
      <c r="F3348" t="s">
        <v>2572</v>
      </c>
      <c r="G3348" t="s">
        <v>1711</v>
      </c>
      <c r="H3348" t="s">
        <v>1712</v>
      </c>
      <c r="I3348" t="s">
        <v>86</v>
      </c>
      <c r="J3348">
        <v>26</v>
      </c>
      <c r="K3348" t="s">
        <v>81</v>
      </c>
      <c r="L3348" t="s">
        <v>96</v>
      </c>
      <c r="M3348" t="s">
        <v>55</v>
      </c>
      <c r="N3348" t="s">
        <v>2594</v>
      </c>
      <c r="O3348" t="s">
        <v>131</v>
      </c>
      <c r="P3348" t="s">
        <v>53</v>
      </c>
      <c r="Q3348" t="s">
        <v>143</v>
      </c>
      <c r="R3348">
        <v>1</v>
      </c>
      <c r="S3348">
        <v>999</v>
      </c>
      <c r="T3348">
        <v>0</v>
      </c>
      <c r="U3348">
        <v>999</v>
      </c>
      <c r="V3348">
        <v>520</v>
      </c>
      <c r="W3348">
        <v>479</v>
      </c>
      <c r="X3348" t="s">
        <v>74</v>
      </c>
      <c r="Y3348" t="s">
        <v>68</v>
      </c>
      <c r="Z3348" t="s">
        <v>158</v>
      </c>
      <c r="AA3348" t="s">
        <v>170</v>
      </c>
      <c r="AB3348">
        <v>3.8</v>
      </c>
      <c r="AC3348">
        <v>50</v>
      </c>
      <c r="AD3348">
        <v>104.78</v>
      </c>
      <c r="AE3348">
        <f t="shared" si="104"/>
        <v>324.22000000000003</v>
      </c>
      <c r="AF3348" t="str">
        <f t="shared" si="105"/>
        <v>2026-03</v>
      </c>
      <c r="AG3348">
        <f>SUBTOTAL(103,A3348)</f>
        <v>1</v>
      </c>
    </row>
    <row r="3349" spans="1:33" x14ac:dyDescent="0.3">
      <c r="A3349" t="s">
        <v>5972</v>
      </c>
      <c r="B3349" s="13">
        <v>46090</v>
      </c>
      <c r="C3349">
        <v>2026</v>
      </c>
      <c r="D3349">
        <v>3</v>
      </c>
      <c r="E3349" t="s">
        <v>3053</v>
      </c>
      <c r="F3349" t="s">
        <v>2572</v>
      </c>
      <c r="G3349" t="s">
        <v>769</v>
      </c>
      <c r="H3349" t="s">
        <v>770</v>
      </c>
      <c r="I3349" t="s">
        <v>85</v>
      </c>
      <c r="J3349">
        <v>47</v>
      </c>
      <c r="K3349" t="s">
        <v>83</v>
      </c>
      <c r="L3349" t="s">
        <v>2573</v>
      </c>
      <c r="M3349" t="s">
        <v>63</v>
      </c>
      <c r="N3349" t="s">
        <v>2596</v>
      </c>
      <c r="O3349" t="s">
        <v>124</v>
      </c>
      <c r="P3349" t="s">
        <v>51</v>
      </c>
      <c r="Q3349" t="s">
        <v>147</v>
      </c>
      <c r="R3349">
        <v>2</v>
      </c>
      <c r="S3349">
        <v>2299</v>
      </c>
      <c r="T3349">
        <v>0.1</v>
      </c>
      <c r="U3349">
        <v>4138.2</v>
      </c>
      <c r="V3349">
        <v>2400</v>
      </c>
      <c r="W3349">
        <v>1738.2</v>
      </c>
      <c r="X3349" t="s">
        <v>74</v>
      </c>
      <c r="Y3349" t="s">
        <v>68</v>
      </c>
      <c r="Z3349" t="s">
        <v>158</v>
      </c>
      <c r="AA3349" t="s">
        <v>166</v>
      </c>
      <c r="AB3349">
        <v>4.0999999999999996</v>
      </c>
      <c r="AC3349">
        <v>40</v>
      </c>
      <c r="AD3349">
        <v>217.25</v>
      </c>
      <c r="AE3349">
        <f t="shared" si="104"/>
        <v>1480.95</v>
      </c>
      <c r="AF3349" t="str">
        <f t="shared" si="105"/>
        <v>2026-03</v>
      </c>
      <c r="AG3349">
        <f>SUBTOTAL(103,A3349)</f>
        <v>1</v>
      </c>
    </row>
    <row r="3350" spans="1:33" x14ac:dyDescent="0.3">
      <c r="A3350" t="s">
        <v>5973</v>
      </c>
      <c r="B3350" s="13">
        <v>46090</v>
      </c>
      <c r="C3350">
        <v>2026</v>
      </c>
      <c r="D3350">
        <v>3</v>
      </c>
      <c r="E3350" t="s">
        <v>3053</v>
      </c>
      <c r="F3350" t="s">
        <v>2572</v>
      </c>
      <c r="G3350" t="s">
        <v>2355</v>
      </c>
      <c r="H3350" t="s">
        <v>2356</v>
      </c>
      <c r="I3350" t="s">
        <v>85</v>
      </c>
      <c r="J3350">
        <v>56</v>
      </c>
      <c r="K3350" t="s">
        <v>83</v>
      </c>
      <c r="L3350" t="s">
        <v>97</v>
      </c>
      <c r="M3350" t="s">
        <v>57</v>
      </c>
      <c r="N3350" t="s">
        <v>2653</v>
      </c>
      <c r="O3350" t="s">
        <v>132</v>
      </c>
      <c r="P3350" t="s">
        <v>52</v>
      </c>
      <c r="Q3350" t="s">
        <v>150</v>
      </c>
      <c r="R3350">
        <v>2</v>
      </c>
      <c r="S3350">
        <v>899</v>
      </c>
      <c r="T3350">
        <v>0.1</v>
      </c>
      <c r="U3350">
        <v>1618.2</v>
      </c>
      <c r="V3350">
        <v>840</v>
      </c>
      <c r="W3350">
        <v>778.2</v>
      </c>
      <c r="X3350" t="s">
        <v>75</v>
      </c>
      <c r="Y3350" t="s">
        <v>68</v>
      </c>
      <c r="Z3350" t="s">
        <v>159</v>
      </c>
      <c r="AA3350" t="s">
        <v>167</v>
      </c>
      <c r="AB3350">
        <v>3.1</v>
      </c>
      <c r="AC3350">
        <v>60</v>
      </c>
      <c r="AD3350">
        <v>136.63</v>
      </c>
      <c r="AE3350">
        <f t="shared" si="104"/>
        <v>581.57000000000005</v>
      </c>
      <c r="AF3350" t="str">
        <f t="shared" si="105"/>
        <v>2026-03</v>
      </c>
      <c r="AG3350">
        <f>SUBTOTAL(103,A3350)</f>
        <v>1</v>
      </c>
    </row>
    <row r="3351" spans="1:33" x14ac:dyDescent="0.3">
      <c r="A3351" t="s">
        <v>5974</v>
      </c>
      <c r="B3351" s="13">
        <v>46090</v>
      </c>
      <c r="C3351">
        <v>2026</v>
      </c>
      <c r="D3351">
        <v>3</v>
      </c>
      <c r="E3351" t="s">
        <v>3053</v>
      </c>
      <c r="F3351" t="s">
        <v>2572</v>
      </c>
      <c r="G3351" t="s">
        <v>2143</v>
      </c>
      <c r="H3351" t="s">
        <v>2144</v>
      </c>
      <c r="I3351" t="s">
        <v>86</v>
      </c>
      <c r="J3351">
        <v>29</v>
      </c>
      <c r="K3351" t="s">
        <v>81</v>
      </c>
      <c r="L3351" t="s">
        <v>2616</v>
      </c>
      <c r="M3351" t="s">
        <v>62</v>
      </c>
      <c r="N3351" t="s">
        <v>2644</v>
      </c>
      <c r="O3351" t="s">
        <v>126</v>
      </c>
      <c r="P3351" t="s">
        <v>50</v>
      </c>
      <c r="Q3351" t="s">
        <v>145</v>
      </c>
      <c r="R3351">
        <v>3</v>
      </c>
      <c r="S3351">
        <v>1799</v>
      </c>
      <c r="T3351">
        <v>0.15</v>
      </c>
      <c r="U3351">
        <v>4587.45</v>
      </c>
      <c r="V3351">
        <v>2850</v>
      </c>
      <c r="W3351">
        <v>1737.45</v>
      </c>
      <c r="X3351" t="s">
        <v>73</v>
      </c>
      <c r="Y3351" t="s">
        <v>68</v>
      </c>
      <c r="Z3351" t="s">
        <v>159</v>
      </c>
      <c r="AA3351" t="s">
        <v>166</v>
      </c>
      <c r="AB3351">
        <v>4</v>
      </c>
      <c r="AC3351">
        <v>40</v>
      </c>
      <c r="AD3351">
        <v>380.19</v>
      </c>
      <c r="AE3351">
        <f t="shared" si="104"/>
        <v>1317.26</v>
      </c>
      <c r="AF3351" t="str">
        <f t="shared" si="105"/>
        <v>2026-03</v>
      </c>
      <c r="AG3351">
        <f>SUBTOTAL(103,A3351)</f>
        <v>1</v>
      </c>
    </row>
    <row r="3352" spans="1:33" x14ac:dyDescent="0.3">
      <c r="A3352" t="s">
        <v>5975</v>
      </c>
      <c r="B3352" s="13">
        <v>46090</v>
      </c>
      <c r="C3352">
        <v>2026</v>
      </c>
      <c r="D3352">
        <v>3</v>
      </c>
      <c r="E3352" t="s">
        <v>3053</v>
      </c>
      <c r="F3352" t="s">
        <v>2572</v>
      </c>
      <c r="G3352" t="s">
        <v>195</v>
      </c>
      <c r="H3352" t="s">
        <v>196</v>
      </c>
      <c r="I3352" t="s">
        <v>87</v>
      </c>
      <c r="J3352">
        <v>41</v>
      </c>
      <c r="K3352" t="s">
        <v>82</v>
      </c>
      <c r="L3352" t="s">
        <v>99</v>
      </c>
      <c r="M3352" t="s">
        <v>58</v>
      </c>
      <c r="N3352" t="s">
        <v>2594</v>
      </c>
      <c r="O3352" t="s">
        <v>131</v>
      </c>
      <c r="P3352" t="s">
        <v>53</v>
      </c>
      <c r="Q3352" t="s">
        <v>143</v>
      </c>
      <c r="R3352">
        <v>2</v>
      </c>
      <c r="S3352">
        <v>999</v>
      </c>
      <c r="T3352">
        <v>0.15</v>
      </c>
      <c r="U3352">
        <v>1698.3</v>
      </c>
      <c r="V3352">
        <v>1040</v>
      </c>
      <c r="W3352">
        <v>658.3</v>
      </c>
      <c r="X3352" t="s">
        <v>75</v>
      </c>
      <c r="Y3352" t="s">
        <v>68</v>
      </c>
      <c r="Z3352" t="s">
        <v>161</v>
      </c>
      <c r="AA3352" t="s">
        <v>168</v>
      </c>
      <c r="AB3352">
        <v>3.5</v>
      </c>
      <c r="AC3352">
        <v>50</v>
      </c>
      <c r="AD3352">
        <v>67.47</v>
      </c>
      <c r="AE3352">
        <f t="shared" si="104"/>
        <v>540.82999999999993</v>
      </c>
      <c r="AF3352" t="str">
        <f t="shared" si="105"/>
        <v>2026-03</v>
      </c>
      <c r="AG3352">
        <f>SUBTOTAL(103,A3352)</f>
        <v>1</v>
      </c>
    </row>
    <row r="3353" spans="1:33" x14ac:dyDescent="0.3">
      <c r="A3353" t="s">
        <v>5976</v>
      </c>
      <c r="B3353" s="13">
        <v>46090</v>
      </c>
      <c r="C3353">
        <v>2026</v>
      </c>
      <c r="D3353">
        <v>3</v>
      </c>
      <c r="E3353" t="s">
        <v>3053</v>
      </c>
      <c r="F3353" t="s">
        <v>2572</v>
      </c>
      <c r="G3353" t="s">
        <v>2329</v>
      </c>
      <c r="H3353" t="s">
        <v>2330</v>
      </c>
      <c r="I3353" t="s">
        <v>85</v>
      </c>
      <c r="J3353">
        <v>32</v>
      </c>
      <c r="K3353" t="s">
        <v>81</v>
      </c>
      <c r="L3353" t="s">
        <v>96</v>
      </c>
      <c r="M3353" t="s">
        <v>55</v>
      </c>
      <c r="N3353" t="s">
        <v>2574</v>
      </c>
      <c r="O3353" t="s">
        <v>130</v>
      </c>
      <c r="P3353" t="s">
        <v>50</v>
      </c>
      <c r="Q3353" t="s">
        <v>53</v>
      </c>
      <c r="R3353">
        <v>4</v>
      </c>
      <c r="S3353">
        <v>1199</v>
      </c>
      <c r="T3353">
        <v>0.1</v>
      </c>
      <c r="U3353">
        <v>4316.3999999999996</v>
      </c>
      <c r="V3353">
        <v>2200</v>
      </c>
      <c r="W3353">
        <v>2116.4</v>
      </c>
      <c r="X3353" t="s">
        <v>77</v>
      </c>
      <c r="Y3353" t="s">
        <v>68</v>
      </c>
      <c r="Z3353" t="s">
        <v>161</v>
      </c>
      <c r="AA3353" t="s">
        <v>166</v>
      </c>
      <c r="AB3353">
        <v>5</v>
      </c>
      <c r="AC3353">
        <v>80</v>
      </c>
      <c r="AD3353">
        <v>143.88</v>
      </c>
      <c r="AE3353">
        <f t="shared" si="104"/>
        <v>1892.52</v>
      </c>
      <c r="AF3353" t="str">
        <f t="shared" si="105"/>
        <v>2026-03</v>
      </c>
      <c r="AG3353">
        <f>SUBTOTAL(103,A3353)</f>
        <v>1</v>
      </c>
    </row>
    <row r="3354" spans="1:33" x14ac:dyDescent="0.3">
      <c r="A3354" t="s">
        <v>5977</v>
      </c>
      <c r="B3354" s="13">
        <v>46091</v>
      </c>
      <c r="C3354">
        <v>2026</v>
      </c>
      <c r="D3354">
        <v>3</v>
      </c>
      <c r="E3354" t="s">
        <v>3053</v>
      </c>
      <c r="F3354" t="s">
        <v>2572</v>
      </c>
      <c r="G3354" t="s">
        <v>1707</v>
      </c>
      <c r="H3354" t="s">
        <v>1708</v>
      </c>
      <c r="I3354" t="s">
        <v>86</v>
      </c>
      <c r="J3354">
        <v>39</v>
      </c>
      <c r="K3354" t="s">
        <v>82</v>
      </c>
      <c r="L3354" t="s">
        <v>2589</v>
      </c>
      <c r="M3354" t="s">
        <v>61</v>
      </c>
      <c r="N3354" t="s">
        <v>2653</v>
      </c>
      <c r="O3354" t="s">
        <v>132</v>
      </c>
      <c r="P3354" t="s">
        <v>52</v>
      </c>
      <c r="Q3354" t="s">
        <v>150</v>
      </c>
      <c r="R3354">
        <v>2</v>
      </c>
      <c r="S3354">
        <v>899</v>
      </c>
      <c r="T3354">
        <v>0</v>
      </c>
      <c r="U3354">
        <v>1798</v>
      </c>
      <c r="V3354">
        <v>840</v>
      </c>
      <c r="W3354">
        <v>958</v>
      </c>
      <c r="X3354" t="s">
        <v>74</v>
      </c>
      <c r="Y3354" t="s">
        <v>68</v>
      </c>
      <c r="Z3354" t="s">
        <v>161</v>
      </c>
      <c r="AA3354" t="s">
        <v>168</v>
      </c>
      <c r="AB3354">
        <v>2.9</v>
      </c>
      <c r="AC3354">
        <v>120</v>
      </c>
      <c r="AD3354">
        <v>200.65</v>
      </c>
      <c r="AE3354">
        <f t="shared" si="104"/>
        <v>637.35</v>
      </c>
      <c r="AF3354" t="str">
        <f t="shared" si="105"/>
        <v>2026-03</v>
      </c>
      <c r="AG3354">
        <f>SUBTOTAL(103,A3354)</f>
        <v>1</v>
      </c>
    </row>
    <row r="3355" spans="1:33" x14ac:dyDescent="0.3">
      <c r="A3355" t="s">
        <v>5978</v>
      </c>
      <c r="B3355" s="13">
        <v>46091</v>
      </c>
      <c r="C3355">
        <v>2026</v>
      </c>
      <c r="D3355">
        <v>3</v>
      </c>
      <c r="E3355" t="s">
        <v>3053</v>
      </c>
      <c r="F3355" t="s">
        <v>2572</v>
      </c>
      <c r="G3355" t="s">
        <v>327</v>
      </c>
      <c r="H3355" t="s">
        <v>328</v>
      </c>
      <c r="I3355" t="s">
        <v>86</v>
      </c>
      <c r="J3355">
        <v>29</v>
      </c>
      <c r="K3355" t="s">
        <v>81</v>
      </c>
      <c r="L3355" t="s">
        <v>93</v>
      </c>
      <c r="M3355" t="s">
        <v>55</v>
      </c>
      <c r="N3355" t="s">
        <v>2601</v>
      </c>
      <c r="O3355" t="s">
        <v>117</v>
      </c>
      <c r="P3355" t="s">
        <v>49</v>
      </c>
      <c r="Q3355" t="s">
        <v>139</v>
      </c>
      <c r="R3355">
        <v>2</v>
      </c>
      <c r="S3355">
        <v>6999</v>
      </c>
      <c r="T3355">
        <v>0.15</v>
      </c>
      <c r="U3355">
        <v>11898.3</v>
      </c>
      <c r="V3355">
        <v>8600</v>
      </c>
      <c r="W3355">
        <v>3298.3</v>
      </c>
      <c r="X3355" t="s">
        <v>74</v>
      </c>
      <c r="Y3355" t="s">
        <v>68</v>
      </c>
      <c r="Z3355" t="s">
        <v>159</v>
      </c>
      <c r="AA3355" t="s">
        <v>170</v>
      </c>
      <c r="AB3355">
        <v>5</v>
      </c>
      <c r="AC3355">
        <v>50</v>
      </c>
      <c r="AD3355">
        <v>1075.77</v>
      </c>
      <c r="AE3355">
        <f t="shared" si="104"/>
        <v>2172.5300000000002</v>
      </c>
      <c r="AF3355" t="str">
        <f t="shared" si="105"/>
        <v>2026-03</v>
      </c>
      <c r="AG3355">
        <f>SUBTOTAL(103,A3355)</f>
        <v>1</v>
      </c>
    </row>
    <row r="3356" spans="1:33" x14ac:dyDescent="0.3">
      <c r="A3356" t="s">
        <v>5979</v>
      </c>
      <c r="B3356" s="13">
        <v>46091</v>
      </c>
      <c r="C3356">
        <v>2026</v>
      </c>
      <c r="D3356">
        <v>3</v>
      </c>
      <c r="E3356" t="s">
        <v>3053</v>
      </c>
      <c r="F3356" t="s">
        <v>2572</v>
      </c>
      <c r="G3356" t="s">
        <v>1837</v>
      </c>
      <c r="H3356" t="s">
        <v>1838</v>
      </c>
      <c r="I3356" t="s">
        <v>86</v>
      </c>
      <c r="J3356">
        <v>52</v>
      </c>
      <c r="K3356" t="s">
        <v>83</v>
      </c>
      <c r="L3356" t="s">
        <v>2586</v>
      </c>
      <c r="M3356" t="s">
        <v>62</v>
      </c>
      <c r="N3356" t="s">
        <v>2626</v>
      </c>
      <c r="O3356" t="s">
        <v>125</v>
      </c>
      <c r="P3356" t="s">
        <v>48</v>
      </c>
      <c r="Q3356" t="s">
        <v>141</v>
      </c>
      <c r="R3356">
        <v>1</v>
      </c>
      <c r="S3356">
        <v>1999</v>
      </c>
      <c r="T3356">
        <v>0.1</v>
      </c>
      <c r="U3356">
        <v>1799.1</v>
      </c>
      <c r="V3356">
        <v>1150</v>
      </c>
      <c r="W3356">
        <v>649.1</v>
      </c>
      <c r="X3356" t="s">
        <v>73</v>
      </c>
      <c r="Y3356" t="s">
        <v>70</v>
      </c>
      <c r="Z3356" t="s">
        <v>159</v>
      </c>
      <c r="AA3356" t="s">
        <v>171</v>
      </c>
      <c r="AB3356">
        <v>4.8</v>
      </c>
      <c r="AC3356">
        <v>60</v>
      </c>
      <c r="AD3356">
        <v>163.92</v>
      </c>
      <c r="AE3356">
        <f t="shared" si="104"/>
        <v>425.18000000000006</v>
      </c>
      <c r="AF3356" t="str">
        <f t="shared" si="105"/>
        <v>2026-03</v>
      </c>
      <c r="AG3356">
        <f>SUBTOTAL(103,A3356)</f>
        <v>1</v>
      </c>
    </row>
    <row r="3357" spans="1:33" x14ac:dyDescent="0.3">
      <c r="A3357" t="s">
        <v>5980</v>
      </c>
      <c r="B3357" s="13">
        <v>46091</v>
      </c>
      <c r="C3357">
        <v>2026</v>
      </c>
      <c r="D3357">
        <v>3</v>
      </c>
      <c r="E3357" t="s">
        <v>3053</v>
      </c>
      <c r="F3357" t="s">
        <v>2572</v>
      </c>
      <c r="G3357" t="s">
        <v>1033</v>
      </c>
      <c r="H3357" t="s">
        <v>1034</v>
      </c>
      <c r="I3357" t="s">
        <v>86</v>
      </c>
      <c r="J3357">
        <v>19</v>
      </c>
      <c r="K3357" t="s">
        <v>80</v>
      </c>
      <c r="L3357" t="s">
        <v>2586</v>
      </c>
      <c r="M3357" t="s">
        <v>62</v>
      </c>
      <c r="N3357" t="s">
        <v>2606</v>
      </c>
      <c r="O3357" t="s">
        <v>120</v>
      </c>
      <c r="P3357" t="s">
        <v>49</v>
      </c>
      <c r="Q3357" t="s">
        <v>140</v>
      </c>
      <c r="R3357">
        <v>2</v>
      </c>
      <c r="S3357">
        <v>2799</v>
      </c>
      <c r="T3357">
        <v>0.05</v>
      </c>
      <c r="U3357">
        <v>5318.1</v>
      </c>
      <c r="V3357">
        <v>3300</v>
      </c>
      <c r="W3357">
        <v>2018.1</v>
      </c>
      <c r="X3357" t="s">
        <v>73</v>
      </c>
      <c r="Y3357" t="s">
        <v>68</v>
      </c>
      <c r="Z3357" t="s">
        <v>161</v>
      </c>
      <c r="AA3357" t="s">
        <v>169</v>
      </c>
      <c r="AB3357">
        <v>4.5999999999999996</v>
      </c>
      <c r="AC3357">
        <v>80</v>
      </c>
      <c r="AD3357">
        <v>390.56</v>
      </c>
      <c r="AE3357">
        <f t="shared" si="104"/>
        <v>1547.54</v>
      </c>
      <c r="AF3357" t="str">
        <f t="shared" si="105"/>
        <v>2026-03</v>
      </c>
      <c r="AG3357">
        <f>SUBTOTAL(103,A3357)</f>
        <v>1</v>
      </c>
    </row>
    <row r="3358" spans="1:33" x14ac:dyDescent="0.3">
      <c r="A3358" t="s">
        <v>5981</v>
      </c>
      <c r="B3358" s="13">
        <v>46091</v>
      </c>
      <c r="C3358">
        <v>2026</v>
      </c>
      <c r="D3358">
        <v>3</v>
      </c>
      <c r="E3358" t="s">
        <v>3053</v>
      </c>
      <c r="F3358" t="s">
        <v>2572</v>
      </c>
      <c r="G3358" t="s">
        <v>961</v>
      </c>
      <c r="H3358" t="s">
        <v>962</v>
      </c>
      <c r="I3358" t="s">
        <v>85</v>
      </c>
      <c r="J3358">
        <v>56</v>
      </c>
      <c r="K3358" t="s">
        <v>83</v>
      </c>
      <c r="L3358" t="s">
        <v>2605</v>
      </c>
      <c r="M3358" t="s">
        <v>60</v>
      </c>
      <c r="N3358" t="s">
        <v>2577</v>
      </c>
      <c r="O3358" t="s">
        <v>129</v>
      </c>
      <c r="P3358" t="s">
        <v>49</v>
      </c>
      <c r="Q3358" t="s">
        <v>149</v>
      </c>
      <c r="R3358">
        <v>1</v>
      </c>
      <c r="S3358">
        <v>1299</v>
      </c>
      <c r="T3358">
        <v>0.05</v>
      </c>
      <c r="U3358">
        <v>1234.05</v>
      </c>
      <c r="V3358">
        <v>650</v>
      </c>
      <c r="W3358">
        <v>584.04999999999995</v>
      </c>
      <c r="X3358" t="s">
        <v>73</v>
      </c>
      <c r="Y3358" t="s">
        <v>68</v>
      </c>
      <c r="Z3358" t="s">
        <v>161</v>
      </c>
      <c r="AA3358" t="s">
        <v>167</v>
      </c>
      <c r="AB3358">
        <v>4.7</v>
      </c>
      <c r="AC3358">
        <v>60</v>
      </c>
      <c r="AD3358">
        <v>68.069999999999993</v>
      </c>
      <c r="AE3358">
        <f t="shared" si="104"/>
        <v>455.97999999999996</v>
      </c>
      <c r="AF3358" t="str">
        <f t="shared" si="105"/>
        <v>2026-03</v>
      </c>
      <c r="AG3358">
        <f>SUBTOTAL(103,A3358)</f>
        <v>1</v>
      </c>
    </row>
    <row r="3359" spans="1:33" x14ac:dyDescent="0.3">
      <c r="A3359" t="s">
        <v>5982</v>
      </c>
      <c r="B3359" s="13">
        <v>46091</v>
      </c>
      <c r="C3359">
        <v>2026</v>
      </c>
      <c r="D3359">
        <v>3</v>
      </c>
      <c r="E3359" t="s">
        <v>3053</v>
      </c>
      <c r="F3359" t="s">
        <v>2572</v>
      </c>
      <c r="G3359" t="s">
        <v>1789</v>
      </c>
      <c r="H3359" t="s">
        <v>1790</v>
      </c>
      <c r="I3359" t="s">
        <v>86</v>
      </c>
      <c r="J3359">
        <v>54</v>
      </c>
      <c r="K3359" t="s">
        <v>83</v>
      </c>
      <c r="L3359" t="s">
        <v>100</v>
      </c>
      <c r="M3359" t="s">
        <v>56</v>
      </c>
      <c r="N3359" t="s">
        <v>2580</v>
      </c>
      <c r="O3359" t="s">
        <v>118</v>
      </c>
      <c r="P3359" t="s">
        <v>48</v>
      </c>
      <c r="Q3359" t="s">
        <v>142</v>
      </c>
      <c r="R3359">
        <v>2</v>
      </c>
      <c r="S3359">
        <v>3999</v>
      </c>
      <c r="T3359">
        <v>0.15</v>
      </c>
      <c r="U3359">
        <v>6798.3</v>
      </c>
      <c r="V3359">
        <v>4800</v>
      </c>
      <c r="W3359">
        <v>1998.3</v>
      </c>
      <c r="X3359" t="s">
        <v>73</v>
      </c>
      <c r="Y3359" t="s">
        <v>68</v>
      </c>
      <c r="Z3359" t="s">
        <v>158</v>
      </c>
      <c r="AA3359" t="s">
        <v>170</v>
      </c>
      <c r="AB3359">
        <v>4</v>
      </c>
      <c r="AC3359">
        <v>80</v>
      </c>
      <c r="AD3359">
        <v>315.87</v>
      </c>
      <c r="AE3359">
        <f t="shared" si="104"/>
        <v>1602.4299999999998</v>
      </c>
      <c r="AF3359" t="str">
        <f t="shared" si="105"/>
        <v>2026-03</v>
      </c>
      <c r="AG3359">
        <f>SUBTOTAL(103,A3359)</f>
        <v>1</v>
      </c>
    </row>
    <row r="3360" spans="1:33" x14ac:dyDescent="0.3">
      <c r="A3360" t="s">
        <v>5983</v>
      </c>
      <c r="B3360" s="13">
        <v>46091</v>
      </c>
      <c r="C3360">
        <v>2026</v>
      </c>
      <c r="D3360">
        <v>3</v>
      </c>
      <c r="E3360" t="s">
        <v>3053</v>
      </c>
      <c r="F3360" t="s">
        <v>2572</v>
      </c>
      <c r="G3360" t="s">
        <v>2093</v>
      </c>
      <c r="H3360" t="s">
        <v>2094</v>
      </c>
      <c r="I3360" t="s">
        <v>86</v>
      </c>
      <c r="J3360">
        <v>27</v>
      </c>
      <c r="K3360" t="s">
        <v>81</v>
      </c>
      <c r="L3360" t="s">
        <v>96</v>
      </c>
      <c r="M3360" t="s">
        <v>55</v>
      </c>
      <c r="N3360" t="s">
        <v>2603</v>
      </c>
      <c r="O3360" t="s">
        <v>122</v>
      </c>
      <c r="P3360" t="s">
        <v>48</v>
      </c>
      <c r="Q3360" t="s">
        <v>141</v>
      </c>
      <c r="R3360">
        <v>1</v>
      </c>
      <c r="S3360">
        <v>2499</v>
      </c>
      <c r="T3360">
        <v>0.15</v>
      </c>
      <c r="U3360">
        <v>0</v>
      </c>
      <c r="V3360">
        <v>0</v>
      </c>
      <c r="W3360">
        <v>0</v>
      </c>
      <c r="X3360" t="s">
        <v>75</v>
      </c>
      <c r="Y3360" t="s">
        <v>71</v>
      </c>
      <c r="Z3360" t="s">
        <v>162</v>
      </c>
      <c r="AA3360" t="s">
        <v>168</v>
      </c>
      <c r="AB3360">
        <v>2.8</v>
      </c>
      <c r="AC3360">
        <v>50</v>
      </c>
      <c r="AD3360">
        <v>102.21</v>
      </c>
      <c r="AE3360">
        <f t="shared" si="104"/>
        <v>-152.20999999999998</v>
      </c>
      <c r="AF3360" t="str">
        <f t="shared" si="105"/>
        <v>2026-03</v>
      </c>
      <c r="AG3360">
        <f>SUBTOTAL(103,A3360)</f>
        <v>1</v>
      </c>
    </row>
    <row r="3361" spans="1:33" x14ac:dyDescent="0.3">
      <c r="A3361" t="s">
        <v>5984</v>
      </c>
      <c r="B3361" s="13">
        <v>46091</v>
      </c>
      <c r="C3361">
        <v>2026</v>
      </c>
      <c r="D3361">
        <v>3</v>
      </c>
      <c r="E3361" t="s">
        <v>3053</v>
      </c>
      <c r="F3361" t="s">
        <v>2572</v>
      </c>
      <c r="G3361" t="s">
        <v>1629</v>
      </c>
      <c r="H3361" t="s">
        <v>1630</v>
      </c>
      <c r="I3361" t="s">
        <v>86</v>
      </c>
      <c r="J3361">
        <v>36</v>
      </c>
      <c r="K3361" t="s">
        <v>82</v>
      </c>
      <c r="L3361" t="s">
        <v>2661</v>
      </c>
      <c r="M3361" t="s">
        <v>58</v>
      </c>
      <c r="N3361" t="s">
        <v>2606</v>
      </c>
      <c r="O3361" t="s">
        <v>120</v>
      </c>
      <c r="P3361" t="s">
        <v>49</v>
      </c>
      <c r="Q3361" t="s">
        <v>140</v>
      </c>
      <c r="R3361">
        <v>1</v>
      </c>
      <c r="S3361">
        <v>2799</v>
      </c>
      <c r="T3361">
        <v>0</v>
      </c>
      <c r="U3361">
        <v>2799</v>
      </c>
      <c r="V3361">
        <v>1650</v>
      </c>
      <c r="W3361">
        <v>1149</v>
      </c>
      <c r="X3361" t="s">
        <v>77</v>
      </c>
      <c r="Y3361" t="s">
        <v>68</v>
      </c>
      <c r="Z3361" t="s">
        <v>159</v>
      </c>
      <c r="AA3361" t="s">
        <v>170</v>
      </c>
      <c r="AB3361">
        <v>4</v>
      </c>
      <c r="AC3361">
        <v>50</v>
      </c>
      <c r="AD3361">
        <v>130.31</v>
      </c>
      <c r="AE3361">
        <f t="shared" si="104"/>
        <v>968.69</v>
      </c>
      <c r="AF3361" t="str">
        <f t="shared" si="105"/>
        <v>2026-03</v>
      </c>
      <c r="AG3361">
        <f>SUBTOTAL(103,A3361)</f>
        <v>1</v>
      </c>
    </row>
    <row r="3362" spans="1:33" x14ac:dyDescent="0.3">
      <c r="A3362" t="s">
        <v>5985</v>
      </c>
      <c r="B3362" s="13">
        <v>46091</v>
      </c>
      <c r="C3362">
        <v>2026</v>
      </c>
      <c r="D3362">
        <v>3</v>
      </c>
      <c r="E3362" t="s">
        <v>3053</v>
      </c>
      <c r="F3362" t="s">
        <v>2572</v>
      </c>
      <c r="G3362" t="s">
        <v>535</v>
      </c>
      <c r="H3362" t="s">
        <v>536</v>
      </c>
      <c r="I3362" t="s">
        <v>85</v>
      </c>
      <c r="J3362">
        <v>52</v>
      </c>
      <c r="K3362" t="s">
        <v>83</v>
      </c>
      <c r="L3362" t="s">
        <v>2661</v>
      </c>
      <c r="M3362" t="s">
        <v>58</v>
      </c>
      <c r="N3362" t="s">
        <v>2653</v>
      </c>
      <c r="O3362" t="s">
        <v>132</v>
      </c>
      <c r="P3362" t="s">
        <v>52</v>
      </c>
      <c r="Q3362" t="s">
        <v>150</v>
      </c>
      <c r="R3362">
        <v>4</v>
      </c>
      <c r="S3362">
        <v>899</v>
      </c>
      <c r="T3362">
        <v>0.1</v>
      </c>
      <c r="U3362">
        <v>3236.4</v>
      </c>
      <c r="V3362">
        <v>1680</v>
      </c>
      <c r="W3362">
        <v>1556.4</v>
      </c>
      <c r="X3362" t="s">
        <v>74</v>
      </c>
      <c r="Y3362" t="s">
        <v>68</v>
      </c>
      <c r="Z3362" t="s">
        <v>163</v>
      </c>
      <c r="AA3362" t="s">
        <v>166</v>
      </c>
      <c r="AB3362">
        <v>3.9</v>
      </c>
      <c r="AC3362">
        <v>50</v>
      </c>
      <c r="AD3362">
        <v>319.06</v>
      </c>
      <c r="AE3362">
        <f t="shared" si="104"/>
        <v>1187.3400000000001</v>
      </c>
      <c r="AF3362" t="str">
        <f t="shared" si="105"/>
        <v>2026-03</v>
      </c>
      <c r="AG3362">
        <f>SUBTOTAL(103,A3362)</f>
        <v>1</v>
      </c>
    </row>
    <row r="3363" spans="1:33" x14ac:dyDescent="0.3">
      <c r="A3363" t="s">
        <v>5986</v>
      </c>
      <c r="B3363" s="13">
        <v>46091</v>
      </c>
      <c r="C3363">
        <v>2026</v>
      </c>
      <c r="D3363">
        <v>3</v>
      </c>
      <c r="E3363" t="s">
        <v>3053</v>
      </c>
      <c r="F3363" t="s">
        <v>2572</v>
      </c>
      <c r="G3363" t="s">
        <v>1459</v>
      </c>
      <c r="H3363" t="s">
        <v>1460</v>
      </c>
      <c r="I3363" t="s">
        <v>85</v>
      </c>
      <c r="J3363">
        <v>59</v>
      </c>
      <c r="K3363" t="s">
        <v>83</v>
      </c>
      <c r="L3363" t="s">
        <v>2605</v>
      </c>
      <c r="M3363" t="s">
        <v>60</v>
      </c>
      <c r="N3363" t="s">
        <v>2657</v>
      </c>
      <c r="O3363" t="s">
        <v>134</v>
      </c>
      <c r="P3363" t="s">
        <v>49</v>
      </c>
      <c r="Q3363" t="s">
        <v>140</v>
      </c>
      <c r="R3363">
        <v>3</v>
      </c>
      <c r="S3363">
        <v>599</v>
      </c>
      <c r="T3363">
        <v>0.1</v>
      </c>
      <c r="U3363">
        <v>1617.3</v>
      </c>
      <c r="V3363">
        <v>750</v>
      </c>
      <c r="W3363">
        <v>867.3</v>
      </c>
      <c r="X3363" t="s">
        <v>77</v>
      </c>
      <c r="Y3363" t="s">
        <v>68</v>
      </c>
      <c r="Z3363" t="s">
        <v>162</v>
      </c>
      <c r="AA3363" t="s">
        <v>166</v>
      </c>
      <c r="AB3363">
        <v>3.1</v>
      </c>
      <c r="AC3363">
        <v>60</v>
      </c>
      <c r="AD3363">
        <v>81.58</v>
      </c>
      <c r="AE3363">
        <f t="shared" si="104"/>
        <v>725.71999999999991</v>
      </c>
      <c r="AF3363" t="str">
        <f t="shared" si="105"/>
        <v>2026-03</v>
      </c>
      <c r="AG3363">
        <f>SUBTOTAL(103,A3363)</f>
        <v>1</v>
      </c>
    </row>
    <row r="3364" spans="1:33" x14ac:dyDescent="0.3">
      <c r="A3364" t="s">
        <v>5987</v>
      </c>
      <c r="B3364" s="13">
        <v>46092</v>
      </c>
      <c r="C3364">
        <v>2026</v>
      </c>
      <c r="D3364">
        <v>3</v>
      </c>
      <c r="E3364" t="s">
        <v>3053</v>
      </c>
      <c r="F3364" t="s">
        <v>2572</v>
      </c>
      <c r="G3364" t="s">
        <v>949</v>
      </c>
      <c r="H3364" t="s">
        <v>950</v>
      </c>
      <c r="I3364" t="s">
        <v>86</v>
      </c>
      <c r="J3364">
        <v>30</v>
      </c>
      <c r="K3364" t="s">
        <v>81</v>
      </c>
      <c r="L3364" t="s">
        <v>2690</v>
      </c>
      <c r="M3364" t="s">
        <v>63</v>
      </c>
      <c r="N3364" t="s">
        <v>2644</v>
      </c>
      <c r="O3364" t="s">
        <v>126</v>
      </c>
      <c r="P3364" t="s">
        <v>50</v>
      </c>
      <c r="Q3364" t="s">
        <v>145</v>
      </c>
      <c r="R3364">
        <v>1</v>
      </c>
      <c r="S3364">
        <v>1799</v>
      </c>
      <c r="T3364">
        <v>0.15</v>
      </c>
      <c r="U3364">
        <v>1529.15</v>
      </c>
      <c r="V3364">
        <v>950</v>
      </c>
      <c r="W3364">
        <v>579.15</v>
      </c>
      <c r="X3364" t="s">
        <v>73</v>
      </c>
      <c r="Y3364" t="s">
        <v>68</v>
      </c>
      <c r="Z3364" t="s">
        <v>163</v>
      </c>
      <c r="AA3364" t="s">
        <v>171</v>
      </c>
      <c r="AB3364">
        <v>3.8</v>
      </c>
      <c r="AC3364">
        <v>80</v>
      </c>
      <c r="AD3364">
        <v>76.23</v>
      </c>
      <c r="AE3364">
        <f t="shared" si="104"/>
        <v>422.91999999999996</v>
      </c>
      <c r="AF3364" t="str">
        <f t="shared" si="105"/>
        <v>2026-03</v>
      </c>
      <c r="AG3364">
        <f>SUBTOTAL(103,A3364)</f>
        <v>1</v>
      </c>
    </row>
    <row r="3365" spans="1:33" x14ac:dyDescent="0.3">
      <c r="A3365" t="s">
        <v>5988</v>
      </c>
      <c r="B3365" s="13">
        <v>46092</v>
      </c>
      <c r="C3365">
        <v>2026</v>
      </c>
      <c r="D3365">
        <v>3</v>
      </c>
      <c r="E3365" t="s">
        <v>3053</v>
      </c>
      <c r="F3365" t="s">
        <v>2572</v>
      </c>
      <c r="G3365" t="s">
        <v>2199</v>
      </c>
      <c r="H3365" t="s">
        <v>2200</v>
      </c>
      <c r="I3365" t="s">
        <v>86</v>
      </c>
      <c r="J3365">
        <v>39</v>
      </c>
      <c r="K3365" t="s">
        <v>82</v>
      </c>
      <c r="L3365" t="s">
        <v>2573</v>
      </c>
      <c r="M3365" t="s">
        <v>63</v>
      </c>
      <c r="N3365" t="s">
        <v>2657</v>
      </c>
      <c r="O3365" t="s">
        <v>134</v>
      </c>
      <c r="P3365" t="s">
        <v>49</v>
      </c>
      <c r="Q3365" t="s">
        <v>140</v>
      </c>
      <c r="R3365">
        <v>2</v>
      </c>
      <c r="S3365">
        <v>599</v>
      </c>
      <c r="T3365">
        <v>0</v>
      </c>
      <c r="U3365">
        <v>1198</v>
      </c>
      <c r="V3365">
        <v>500</v>
      </c>
      <c r="W3365">
        <v>698</v>
      </c>
      <c r="X3365" t="s">
        <v>74</v>
      </c>
      <c r="Y3365" t="s">
        <v>68</v>
      </c>
      <c r="Z3365" t="s">
        <v>161</v>
      </c>
      <c r="AA3365" t="s">
        <v>168</v>
      </c>
      <c r="AB3365">
        <v>3.8</v>
      </c>
      <c r="AC3365">
        <v>60</v>
      </c>
      <c r="AD3365">
        <v>132.88999999999999</v>
      </c>
      <c r="AE3365">
        <f t="shared" si="104"/>
        <v>505.11</v>
      </c>
      <c r="AF3365" t="str">
        <f t="shared" si="105"/>
        <v>2026-03</v>
      </c>
      <c r="AG3365">
        <f>SUBTOTAL(103,A3365)</f>
        <v>1</v>
      </c>
    </row>
    <row r="3366" spans="1:33" x14ac:dyDescent="0.3">
      <c r="A3366" t="s">
        <v>5989</v>
      </c>
      <c r="B3366" s="13">
        <v>46092</v>
      </c>
      <c r="C3366">
        <v>2026</v>
      </c>
      <c r="D3366">
        <v>3</v>
      </c>
      <c r="E3366" t="s">
        <v>3053</v>
      </c>
      <c r="F3366" t="s">
        <v>2572</v>
      </c>
      <c r="G3366" t="s">
        <v>659</v>
      </c>
      <c r="H3366" t="s">
        <v>660</v>
      </c>
      <c r="I3366" t="s">
        <v>85</v>
      </c>
      <c r="J3366">
        <v>59</v>
      </c>
      <c r="K3366" t="s">
        <v>83</v>
      </c>
      <c r="L3366" t="s">
        <v>2674</v>
      </c>
      <c r="M3366" t="s">
        <v>58</v>
      </c>
      <c r="N3366" t="s">
        <v>2601</v>
      </c>
      <c r="O3366" t="s">
        <v>117</v>
      </c>
      <c r="P3366" t="s">
        <v>49</v>
      </c>
      <c r="Q3366" t="s">
        <v>139</v>
      </c>
      <c r="R3366">
        <v>2</v>
      </c>
      <c r="S3366">
        <v>6999</v>
      </c>
      <c r="T3366">
        <v>0.2</v>
      </c>
      <c r="U3366">
        <v>11198.4</v>
      </c>
      <c r="V3366">
        <v>8600</v>
      </c>
      <c r="W3366">
        <v>2598.4</v>
      </c>
      <c r="X3366" t="s">
        <v>73</v>
      </c>
      <c r="Y3366" t="s">
        <v>68</v>
      </c>
      <c r="Z3366" t="s">
        <v>160</v>
      </c>
      <c r="AA3366" t="s">
        <v>167</v>
      </c>
      <c r="AB3366">
        <v>3.9</v>
      </c>
      <c r="AC3366">
        <v>100</v>
      </c>
      <c r="AD3366">
        <v>1196.03</v>
      </c>
      <c r="AE3366">
        <f t="shared" si="104"/>
        <v>1302.3700000000001</v>
      </c>
      <c r="AF3366" t="str">
        <f t="shared" si="105"/>
        <v>2026-03</v>
      </c>
      <c r="AG3366">
        <f>SUBTOTAL(103,A3366)</f>
        <v>1</v>
      </c>
    </row>
    <row r="3367" spans="1:33" x14ac:dyDescent="0.3">
      <c r="A3367" t="s">
        <v>5990</v>
      </c>
      <c r="B3367" s="13">
        <v>46092</v>
      </c>
      <c r="C3367">
        <v>2026</v>
      </c>
      <c r="D3367">
        <v>3</v>
      </c>
      <c r="E3367" t="s">
        <v>3053</v>
      </c>
      <c r="F3367" t="s">
        <v>2572</v>
      </c>
      <c r="G3367" t="s">
        <v>1919</v>
      </c>
      <c r="H3367" t="s">
        <v>1920</v>
      </c>
      <c r="I3367" t="s">
        <v>86</v>
      </c>
      <c r="J3367">
        <v>52</v>
      </c>
      <c r="K3367" t="s">
        <v>83</v>
      </c>
      <c r="L3367" t="s">
        <v>2589</v>
      </c>
      <c r="M3367" t="s">
        <v>61</v>
      </c>
      <c r="N3367" t="s">
        <v>2665</v>
      </c>
      <c r="O3367" t="s">
        <v>128</v>
      </c>
      <c r="P3367" t="s">
        <v>53</v>
      </c>
      <c r="Q3367" t="s">
        <v>143</v>
      </c>
      <c r="R3367">
        <v>5</v>
      </c>
      <c r="S3367">
        <v>1499</v>
      </c>
      <c r="T3367">
        <v>0.2</v>
      </c>
      <c r="U3367">
        <v>5996</v>
      </c>
      <c r="V3367">
        <v>4000</v>
      </c>
      <c r="W3367">
        <v>1996</v>
      </c>
      <c r="X3367" t="s">
        <v>74</v>
      </c>
      <c r="Y3367" t="s">
        <v>68</v>
      </c>
      <c r="Z3367" t="s">
        <v>162</v>
      </c>
      <c r="AA3367" t="s">
        <v>166</v>
      </c>
      <c r="AB3367">
        <v>5</v>
      </c>
      <c r="AC3367">
        <v>40</v>
      </c>
      <c r="AD3367">
        <v>522.37</v>
      </c>
      <c r="AE3367">
        <f t="shared" si="104"/>
        <v>1433.63</v>
      </c>
      <c r="AF3367" t="str">
        <f t="shared" si="105"/>
        <v>2026-03</v>
      </c>
      <c r="AG3367">
        <f>SUBTOTAL(103,A3367)</f>
        <v>1</v>
      </c>
    </row>
    <row r="3368" spans="1:33" x14ac:dyDescent="0.3">
      <c r="A3368" t="s">
        <v>5991</v>
      </c>
      <c r="B3368" s="13">
        <v>46092</v>
      </c>
      <c r="C3368">
        <v>2026</v>
      </c>
      <c r="D3368">
        <v>3</v>
      </c>
      <c r="E3368" t="s">
        <v>3053</v>
      </c>
      <c r="F3368" t="s">
        <v>2572</v>
      </c>
      <c r="G3368" t="s">
        <v>497</v>
      </c>
      <c r="H3368" t="s">
        <v>498</v>
      </c>
      <c r="I3368" t="s">
        <v>87</v>
      </c>
      <c r="J3368">
        <v>33</v>
      </c>
      <c r="K3368" t="s">
        <v>81</v>
      </c>
      <c r="L3368" t="s">
        <v>98</v>
      </c>
      <c r="M3368" t="s">
        <v>55</v>
      </c>
      <c r="N3368" t="s">
        <v>2574</v>
      </c>
      <c r="O3368" t="s">
        <v>130</v>
      </c>
      <c r="P3368" t="s">
        <v>50</v>
      </c>
      <c r="Q3368" t="s">
        <v>53</v>
      </c>
      <c r="R3368">
        <v>1</v>
      </c>
      <c r="S3368">
        <v>1199</v>
      </c>
      <c r="T3368">
        <v>0.05</v>
      </c>
      <c r="U3368">
        <v>1139.05</v>
      </c>
      <c r="V3368">
        <v>550</v>
      </c>
      <c r="W3368">
        <v>589.04999999999995</v>
      </c>
      <c r="X3368" t="s">
        <v>74</v>
      </c>
      <c r="Y3368" t="s">
        <v>68</v>
      </c>
      <c r="Z3368" t="s">
        <v>160</v>
      </c>
      <c r="AA3368" t="s">
        <v>168</v>
      </c>
      <c r="AB3368">
        <v>5</v>
      </c>
      <c r="AC3368">
        <v>120</v>
      </c>
      <c r="AD3368">
        <v>53.05</v>
      </c>
      <c r="AE3368">
        <f t="shared" si="104"/>
        <v>415.99999999999994</v>
      </c>
      <c r="AF3368" t="str">
        <f t="shared" si="105"/>
        <v>2026-03</v>
      </c>
      <c r="AG3368">
        <f>SUBTOTAL(103,A3368)</f>
        <v>1</v>
      </c>
    </row>
    <row r="3369" spans="1:33" x14ac:dyDescent="0.3">
      <c r="A3369" t="s">
        <v>5992</v>
      </c>
      <c r="B3369" s="13">
        <v>46092</v>
      </c>
      <c r="C3369">
        <v>2026</v>
      </c>
      <c r="D3369">
        <v>3</v>
      </c>
      <c r="E3369" t="s">
        <v>3053</v>
      </c>
      <c r="F3369" t="s">
        <v>2572</v>
      </c>
      <c r="G3369" t="s">
        <v>355</v>
      </c>
      <c r="H3369" t="s">
        <v>356</v>
      </c>
      <c r="I3369" t="s">
        <v>86</v>
      </c>
      <c r="J3369">
        <v>26</v>
      </c>
      <c r="K3369" t="s">
        <v>81</v>
      </c>
      <c r="L3369" t="s">
        <v>90</v>
      </c>
      <c r="M3369" t="s">
        <v>55</v>
      </c>
      <c r="N3369" t="s">
        <v>2657</v>
      </c>
      <c r="O3369" t="s">
        <v>134</v>
      </c>
      <c r="P3369" t="s">
        <v>49</v>
      </c>
      <c r="Q3369" t="s">
        <v>140</v>
      </c>
      <c r="R3369">
        <v>2</v>
      </c>
      <c r="S3369">
        <v>599</v>
      </c>
      <c r="T3369">
        <v>0.05</v>
      </c>
      <c r="U3369">
        <v>1138.0999999999999</v>
      </c>
      <c r="V3369">
        <v>500</v>
      </c>
      <c r="W3369">
        <v>638.1</v>
      </c>
      <c r="X3369" t="s">
        <v>75</v>
      </c>
      <c r="Y3369" t="s">
        <v>68</v>
      </c>
      <c r="Z3369" t="s">
        <v>163</v>
      </c>
      <c r="AA3369" t="s">
        <v>168</v>
      </c>
      <c r="AB3369">
        <v>4.0999999999999996</v>
      </c>
      <c r="AC3369">
        <v>60</v>
      </c>
      <c r="AD3369">
        <v>104.74</v>
      </c>
      <c r="AE3369">
        <f t="shared" si="104"/>
        <v>473.36</v>
      </c>
      <c r="AF3369" t="str">
        <f t="shared" si="105"/>
        <v>2026-03</v>
      </c>
      <c r="AG3369">
        <f>SUBTOTAL(103,A3369)</f>
        <v>1</v>
      </c>
    </row>
    <row r="3370" spans="1:33" x14ac:dyDescent="0.3">
      <c r="A3370" t="s">
        <v>5993</v>
      </c>
      <c r="B3370" s="13">
        <v>46092</v>
      </c>
      <c r="C3370">
        <v>2026</v>
      </c>
      <c r="D3370">
        <v>3</v>
      </c>
      <c r="E3370" t="s">
        <v>3053</v>
      </c>
      <c r="F3370" t="s">
        <v>2572</v>
      </c>
      <c r="G3370" t="s">
        <v>377</v>
      </c>
      <c r="H3370" t="s">
        <v>378</v>
      </c>
      <c r="I3370" t="s">
        <v>85</v>
      </c>
      <c r="J3370">
        <v>23</v>
      </c>
      <c r="K3370" t="s">
        <v>80</v>
      </c>
      <c r="L3370" t="s">
        <v>2674</v>
      </c>
      <c r="M3370" t="s">
        <v>58</v>
      </c>
      <c r="N3370" t="s">
        <v>2592</v>
      </c>
      <c r="O3370" t="s">
        <v>115</v>
      </c>
      <c r="P3370" t="s">
        <v>48</v>
      </c>
      <c r="Q3370" t="s">
        <v>137</v>
      </c>
      <c r="R3370">
        <v>1</v>
      </c>
      <c r="S3370">
        <v>12999</v>
      </c>
      <c r="T3370">
        <v>0</v>
      </c>
      <c r="U3370">
        <v>12999</v>
      </c>
      <c r="V3370">
        <v>9000</v>
      </c>
      <c r="W3370">
        <v>3999</v>
      </c>
      <c r="X3370" t="s">
        <v>75</v>
      </c>
      <c r="Y3370" t="s">
        <v>68</v>
      </c>
      <c r="Z3370" t="s">
        <v>159</v>
      </c>
      <c r="AA3370" t="s">
        <v>170</v>
      </c>
      <c r="AB3370">
        <v>5</v>
      </c>
      <c r="AC3370">
        <v>60</v>
      </c>
      <c r="AD3370">
        <v>1464.56</v>
      </c>
      <c r="AE3370">
        <f t="shared" si="104"/>
        <v>2474.44</v>
      </c>
      <c r="AF3370" t="str">
        <f t="shared" si="105"/>
        <v>2026-03</v>
      </c>
      <c r="AG3370">
        <f>SUBTOTAL(103,A3370)</f>
        <v>1</v>
      </c>
    </row>
    <row r="3371" spans="1:33" x14ac:dyDescent="0.3">
      <c r="A3371" t="s">
        <v>5994</v>
      </c>
      <c r="B3371" s="13">
        <v>46092</v>
      </c>
      <c r="C3371">
        <v>2026</v>
      </c>
      <c r="D3371">
        <v>3</v>
      </c>
      <c r="E3371" t="s">
        <v>3053</v>
      </c>
      <c r="F3371" t="s">
        <v>2572</v>
      </c>
      <c r="G3371" t="s">
        <v>1917</v>
      </c>
      <c r="H3371" t="s">
        <v>1918</v>
      </c>
      <c r="I3371" t="s">
        <v>86</v>
      </c>
      <c r="J3371">
        <v>45</v>
      </c>
      <c r="K3371" t="s">
        <v>82</v>
      </c>
      <c r="L3371" t="s">
        <v>99</v>
      </c>
      <c r="M3371" t="s">
        <v>58</v>
      </c>
      <c r="N3371" t="s">
        <v>2644</v>
      </c>
      <c r="O3371" t="s">
        <v>126</v>
      </c>
      <c r="P3371" t="s">
        <v>50</v>
      </c>
      <c r="Q3371" t="s">
        <v>145</v>
      </c>
      <c r="R3371">
        <v>2</v>
      </c>
      <c r="S3371">
        <v>1799</v>
      </c>
      <c r="T3371">
        <v>0</v>
      </c>
      <c r="U3371">
        <v>3598</v>
      </c>
      <c r="V3371">
        <v>1900</v>
      </c>
      <c r="W3371">
        <v>1698</v>
      </c>
      <c r="X3371" t="s">
        <v>76</v>
      </c>
      <c r="Y3371" t="s">
        <v>70</v>
      </c>
      <c r="Z3371" t="s">
        <v>159</v>
      </c>
      <c r="AA3371" t="s">
        <v>170</v>
      </c>
      <c r="AB3371">
        <v>5</v>
      </c>
      <c r="AC3371">
        <v>60</v>
      </c>
      <c r="AD3371">
        <v>350.47</v>
      </c>
      <c r="AE3371">
        <f t="shared" si="104"/>
        <v>1287.53</v>
      </c>
      <c r="AF3371" t="str">
        <f t="shared" si="105"/>
        <v>2026-03</v>
      </c>
      <c r="AG3371">
        <f>SUBTOTAL(103,A3371)</f>
        <v>1</v>
      </c>
    </row>
    <row r="3372" spans="1:33" x14ac:dyDescent="0.3">
      <c r="A3372" t="s">
        <v>5995</v>
      </c>
      <c r="B3372" s="13">
        <v>46092</v>
      </c>
      <c r="C3372">
        <v>2026</v>
      </c>
      <c r="D3372">
        <v>3</v>
      </c>
      <c r="E3372" t="s">
        <v>3053</v>
      </c>
      <c r="F3372" t="s">
        <v>2572</v>
      </c>
      <c r="G3372" t="s">
        <v>501</v>
      </c>
      <c r="H3372" t="s">
        <v>502</v>
      </c>
      <c r="I3372" t="s">
        <v>86</v>
      </c>
      <c r="J3372">
        <v>43</v>
      </c>
      <c r="K3372" t="s">
        <v>82</v>
      </c>
      <c r="L3372" t="s">
        <v>2573</v>
      </c>
      <c r="M3372" t="s">
        <v>63</v>
      </c>
      <c r="N3372" t="s">
        <v>2647</v>
      </c>
      <c r="O3372" t="s">
        <v>133</v>
      </c>
      <c r="P3372" t="s">
        <v>50</v>
      </c>
      <c r="Q3372" t="s">
        <v>145</v>
      </c>
      <c r="R3372">
        <v>2</v>
      </c>
      <c r="S3372">
        <v>799</v>
      </c>
      <c r="T3372">
        <v>0.05</v>
      </c>
      <c r="U3372">
        <v>0</v>
      </c>
      <c r="V3372">
        <v>0</v>
      </c>
      <c r="W3372">
        <v>0</v>
      </c>
      <c r="X3372" t="s">
        <v>77</v>
      </c>
      <c r="Y3372" t="s">
        <v>71</v>
      </c>
      <c r="Z3372" t="s">
        <v>158</v>
      </c>
      <c r="AA3372" t="s">
        <v>167</v>
      </c>
      <c r="AB3372">
        <v>4.5999999999999996</v>
      </c>
      <c r="AC3372">
        <v>60</v>
      </c>
      <c r="AD3372">
        <v>171.34</v>
      </c>
      <c r="AE3372">
        <f t="shared" si="104"/>
        <v>-231.34</v>
      </c>
      <c r="AF3372" t="str">
        <f t="shared" si="105"/>
        <v>2026-03</v>
      </c>
      <c r="AG3372">
        <f>SUBTOTAL(103,A3372)</f>
        <v>1</v>
      </c>
    </row>
    <row r="3373" spans="1:33" x14ac:dyDescent="0.3">
      <c r="A3373" t="s">
        <v>5996</v>
      </c>
      <c r="B3373" s="13">
        <v>46093</v>
      </c>
      <c r="C3373">
        <v>2026</v>
      </c>
      <c r="D3373">
        <v>3</v>
      </c>
      <c r="E3373" t="s">
        <v>3053</v>
      </c>
      <c r="F3373" t="s">
        <v>2572</v>
      </c>
      <c r="G3373" t="s">
        <v>1429</v>
      </c>
      <c r="H3373" t="s">
        <v>1430</v>
      </c>
      <c r="I3373" t="s">
        <v>86</v>
      </c>
      <c r="J3373">
        <v>45</v>
      </c>
      <c r="K3373" t="s">
        <v>82</v>
      </c>
      <c r="L3373" t="s">
        <v>2605</v>
      </c>
      <c r="M3373" t="s">
        <v>60</v>
      </c>
      <c r="N3373" t="s">
        <v>2653</v>
      </c>
      <c r="O3373" t="s">
        <v>132</v>
      </c>
      <c r="P3373" t="s">
        <v>52</v>
      </c>
      <c r="Q3373" t="s">
        <v>150</v>
      </c>
      <c r="R3373">
        <v>1</v>
      </c>
      <c r="S3373">
        <v>899</v>
      </c>
      <c r="T3373">
        <v>0</v>
      </c>
      <c r="U3373">
        <v>899</v>
      </c>
      <c r="V3373">
        <v>420</v>
      </c>
      <c r="W3373">
        <v>479</v>
      </c>
      <c r="X3373" t="s">
        <v>73</v>
      </c>
      <c r="Y3373" t="s">
        <v>68</v>
      </c>
      <c r="Z3373" t="s">
        <v>159</v>
      </c>
      <c r="AA3373" t="s">
        <v>169</v>
      </c>
      <c r="AB3373">
        <v>4.0999999999999996</v>
      </c>
      <c r="AC3373">
        <v>50</v>
      </c>
      <c r="AD3373">
        <v>23.09</v>
      </c>
      <c r="AE3373">
        <f t="shared" si="104"/>
        <v>405.91</v>
      </c>
      <c r="AF3373" t="str">
        <f t="shared" si="105"/>
        <v>2026-03</v>
      </c>
      <c r="AG3373">
        <f>SUBTOTAL(103,A3373)</f>
        <v>1</v>
      </c>
    </row>
    <row r="3374" spans="1:33" x14ac:dyDescent="0.3">
      <c r="A3374" t="s">
        <v>5997</v>
      </c>
      <c r="B3374" s="13">
        <v>46093</v>
      </c>
      <c r="C3374">
        <v>2026</v>
      </c>
      <c r="D3374">
        <v>3</v>
      </c>
      <c r="E3374" t="s">
        <v>3053</v>
      </c>
      <c r="F3374" t="s">
        <v>2572</v>
      </c>
      <c r="G3374" t="s">
        <v>1455</v>
      </c>
      <c r="H3374" t="s">
        <v>1456</v>
      </c>
      <c r="I3374" t="s">
        <v>86</v>
      </c>
      <c r="J3374">
        <v>58</v>
      </c>
      <c r="K3374" t="s">
        <v>83</v>
      </c>
      <c r="L3374" t="s">
        <v>2634</v>
      </c>
      <c r="M3374" t="s">
        <v>56</v>
      </c>
      <c r="N3374" t="s">
        <v>2644</v>
      </c>
      <c r="O3374" t="s">
        <v>126</v>
      </c>
      <c r="P3374" t="s">
        <v>50</v>
      </c>
      <c r="Q3374" t="s">
        <v>145</v>
      </c>
      <c r="R3374">
        <v>4</v>
      </c>
      <c r="S3374">
        <v>1799</v>
      </c>
      <c r="T3374">
        <v>0</v>
      </c>
      <c r="U3374">
        <v>7196</v>
      </c>
      <c r="V3374">
        <v>3800</v>
      </c>
      <c r="W3374">
        <v>3396</v>
      </c>
      <c r="X3374" t="s">
        <v>74</v>
      </c>
      <c r="Y3374" t="s">
        <v>68</v>
      </c>
      <c r="Z3374" t="s">
        <v>161</v>
      </c>
      <c r="AA3374" t="s">
        <v>169</v>
      </c>
      <c r="AB3374">
        <v>3.1</v>
      </c>
      <c r="AC3374">
        <v>60</v>
      </c>
      <c r="AD3374">
        <v>720.47</v>
      </c>
      <c r="AE3374">
        <f t="shared" si="104"/>
        <v>2615.5299999999997</v>
      </c>
      <c r="AF3374" t="str">
        <f t="shared" si="105"/>
        <v>2026-03</v>
      </c>
      <c r="AG3374">
        <f>SUBTOTAL(103,A3374)</f>
        <v>1</v>
      </c>
    </row>
    <row r="3375" spans="1:33" x14ac:dyDescent="0.3">
      <c r="A3375" t="s">
        <v>5998</v>
      </c>
      <c r="B3375" s="13">
        <v>46093</v>
      </c>
      <c r="C3375">
        <v>2026</v>
      </c>
      <c r="D3375">
        <v>3</v>
      </c>
      <c r="E3375" t="s">
        <v>3053</v>
      </c>
      <c r="F3375" t="s">
        <v>2572</v>
      </c>
      <c r="G3375" t="s">
        <v>369</v>
      </c>
      <c r="H3375" t="s">
        <v>370</v>
      </c>
      <c r="I3375" t="s">
        <v>86</v>
      </c>
      <c r="J3375">
        <v>43</v>
      </c>
      <c r="K3375" t="s">
        <v>82</v>
      </c>
      <c r="L3375" t="s">
        <v>59</v>
      </c>
      <c r="M3375" t="s">
        <v>59</v>
      </c>
      <c r="N3375" t="s">
        <v>2606</v>
      </c>
      <c r="O3375" t="s">
        <v>120</v>
      </c>
      <c r="P3375" t="s">
        <v>49</v>
      </c>
      <c r="Q3375" t="s">
        <v>140</v>
      </c>
      <c r="R3375">
        <v>3</v>
      </c>
      <c r="S3375">
        <v>2799</v>
      </c>
      <c r="T3375">
        <v>0.05</v>
      </c>
      <c r="U3375">
        <v>7977.15</v>
      </c>
      <c r="V3375">
        <v>4950</v>
      </c>
      <c r="W3375">
        <v>3027.15</v>
      </c>
      <c r="X3375" t="s">
        <v>75</v>
      </c>
      <c r="Y3375" t="s">
        <v>68</v>
      </c>
      <c r="Z3375" t="s">
        <v>160</v>
      </c>
      <c r="AA3375" t="s">
        <v>168</v>
      </c>
      <c r="AB3375">
        <v>4.0999999999999996</v>
      </c>
      <c r="AC3375">
        <v>40</v>
      </c>
      <c r="AD3375">
        <v>799.95</v>
      </c>
      <c r="AE3375">
        <f t="shared" si="104"/>
        <v>2187.1999999999998</v>
      </c>
      <c r="AF3375" t="str">
        <f t="shared" si="105"/>
        <v>2026-03</v>
      </c>
      <c r="AG3375">
        <f>SUBTOTAL(103,A3375)</f>
        <v>1</v>
      </c>
    </row>
    <row r="3376" spans="1:33" x14ac:dyDescent="0.3">
      <c r="A3376" t="s">
        <v>5999</v>
      </c>
      <c r="B3376" s="13">
        <v>46093</v>
      </c>
      <c r="C3376">
        <v>2026</v>
      </c>
      <c r="D3376">
        <v>3</v>
      </c>
      <c r="E3376" t="s">
        <v>3053</v>
      </c>
      <c r="F3376" t="s">
        <v>2572</v>
      </c>
      <c r="G3376" t="s">
        <v>519</v>
      </c>
      <c r="H3376" t="s">
        <v>520</v>
      </c>
      <c r="I3376" t="s">
        <v>86</v>
      </c>
      <c r="J3376">
        <v>37</v>
      </c>
      <c r="K3376" t="s">
        <v>82</v>
      </c>
      <c r="L3376" t="s">
        <v>93</v>
      </c>
      <c r="M3376" t="s">
        <v>55</v>
      </c>
      <c r="N3376" t="s">
        <v>2590</v>
      </c>
      <c r="O3376" t="s">
        <v>127</v>
      </c>
      <c r="P3376" t="s">
        <v>51</v>
      </c>
      <c r="Q3376" t="s">
        <v>148</v>
      </c>
      <c r="R3376">
        <v>2</v>
      </c>
      <c r="S3376">
        <v>1599</v>
      </c>
      <c r="T3376">
        <v>0.05</v>
      </c>
      <c r="U3376">
        <v>3038.1</v>
      </c>
      <c r="V3376">
        <v>1600</v>
      </c>
      <c r="W3376">
        <v>1438.1</v>
      </c>
      <c r="X3376" t="s">
        <v>76</v>
      </c>
      <c r="Y3376" t="s">
        <v>68</v>
      </c>
      <c r="Z3376" t="s">
        <v>161</v>
      </c>
      <c r="AA3376" t="s">
        <v>166</v>
      </c>
      <c r="AB3376">
        <v>3.4</v>
      </c>
      <c r="AC3376">
        <v>50</v>
      </c>
      <c r="AD3376">
        <v>102.01</v>
      </c>
      <c r="AE3376">
        <f t="shared" si="104"/>
        <v>1286.0899999999999</v>
      </c>
      <c r="AF3376" t="str">
        <f t="shared" si="105"/>
        <v>2026-03</v>
      </c>
      <c r="AG3376">
        <f>SUBTOTAL(103,A3376)</f>
        <v>1</v>
      </c>
    </row>
    <row r="3377" spans="1:33" x14ac:dyDescent="0.3">
      <c r="A3377" t="s">
        <v>6000</v>
      </c>
      <c r="B3377" s="13">
        <v>46093</v>
      </c>
      <c r="C3377">
        <v>2026</v>
      </c>
      <c r="D3377">
        <v>3</v>
      </c>
      <c r="E3377" t="s">
        <v>3053</v>
      </c>
      <c r="F3377" t="s">
        <v>2572</v>
      </c>
      <c r="G3377" t="s">
        <v>521</v>
      </c>
      <c r="H3377" t="s">
        <v>522</v>
      </c>
      <c r="I3377" t="s">
        <v>85</v>
      </c>
      <c r="J3377">
        <v>36</v>
      </c>
      <c r="K3377" t="s">
        <v>82</v>
      </c>
      <c r="L3377" t="s">
        <v>96</v>
      </c>
      <c r="M3377" t="s">
        <v>55</v>
      </c>
      <c r="N3377" t="s">
        <v>2601</v>
      </c>
      <c r="O3377" t="s">
        <v>117</v>
      </c>
      <c r="P3377" t="s">
        <v>49</v>
      </c>
      <c r="Q3377" t="s">
        <v>139</v>
      </c>
      <c r="R3377">
        <v>5</v>
      </c>
      <c r="S3377">
        <v>6999</v>
      </c>
      <c r="T3377">
        <v>0.15</v>
      </c>
      <c r="U3377">
        <v>29745.75</v>
      </c>
      <c r="V3377">
        <v>21500</v>
      </c>
      <c r="W3377">
        <v>8245.75</v>
      </c>
      <c r="X3377" t="s">
        <v>74</v>
      </c>
      <c r="Y3377" t="s">
        <v>68</v>
      </c>
      <c r="Z3377" t="s">
        <v>159</v>
      </c>
      <c r="AA3377" t="s">
        <v>171</v>
      </c>
      <c r="AB3377">
        <v>3.6</v>
      </c>
      <c r="AC3377">
        <v>50</v>
      </c>
      <c r="AD3377">
        <v>1124.3399999999999</v>
      </c>
      <c r="AE3377">
        <f t="shared" si="104"/>
        <v>7071.41</v>
      </c>
      <c r="AF3377" t="str">
        <f t="shared" si="105"/>
        <v>2026-03</v>
      </c>
      <c r="AG3377">
        <f>SUBTOTAL(103,A3377)</f>
        <v>1</v>
      </c>
    </row>
    <row r="3378" spans="1:33" x14ac:dyDescent="0.3">
      <c r="A3378" t="s">
        <v>6001</v>
      </c>
      <c r="B3378" s="13">
        <v>46093</v>
      </c>
      <c r="C3378">
        <v>2026</v>
      </c>
      <c r="D3378">
        <v>3</v>
      </c>
      <c r="E3378" t="s">
        <v>3053</v>
      </c>
      <c r="F3378" t="s">
        <v>2572</v>
      </c>
      <c r="G3378" t="s">
        <v>1867</v>
      </c>
      <c r="H3378" t="s">
        <v>1868</v>
      </c>
      <c r="I3378" t="s">
        <v>86</v>
      </c>
      <c r="J3378">
        <v>54</v>
      </c>
      <c r="K3378" t="s">
        <v>83</v>
      </c>
      <c r="L3378" t="s">
        <v>2605</v>
      </c>
      <c r="M3378" t="s">
        <v>60</v>
      </c>
      <c r="N3378" t="s">
        <v>2590</v>
      </c>
      <c r="O3378" t="s">
        <v>127</v>
      </c>
      <c r="P3378" t="s">
        <v>51</v>
      </c>
      <c r="Q3378" t="s">
        <v>148</v>
      </c>
      <c r="R3378">
        <v>1</v>
      </c>
      <c r="S3378">
        <v>1599</v>
      </c>
      <c r="T3378">
        <v>0</v>
      </c>
      <c r="U3378">
        <v>1599</v>
      </c>
      <c r="V3378">
        <v>800</v>
      </c>
      <c r="W3378">
        <v>799</v>
      </c>
      <c r="X3378" t="s">
        <v>74</v>
      </c>
      <c r="Y3378" t="s">
        <v>68</v>
      </c>
      <c r="Z3378" t="s">
        <v>158</v>
      </c>
      <c r="AA3378" t="s">
        <v>166</v>
      </c>
      <c r="AB3378">
        <v>3</v>
      </c>
      <c r="AC3378">
        <v>60</v>
      </c>
      <c r="AD3378">
        <v>72.900000000000006</v>
      </c>
      <c r="AE3378">
        <f t="shared" si="104"/>
        <v>666.1</v>
      </c>
      <c r="AF3378" t="str">
        <f t="shared" si="105"/>
        <v>2026-03</v>
      </c>
      <c r="AG3378">
        <f>SUBTOTAL(103,A3378)</f>
        <v>1</v>
      </c>
    </row>
    <row r="3379" spans="1:33" x14ac:dyDescent="0.3">
      <c r="A3379" t="s">
        <v>6002</v>
      </c>
      <c r="B3379" s="13">
        <v>46093</v>
      </c>
      <c r="C3379">
        <v>2026</v>
      </c>
      <c r="D3379">
        <v>3</v>
      </c>
      <c r="E3379" t="s">
        <v>3053</v>
      </c>
      <c r="F3379" t="s">
        <v>2572</v>
      </c>
      <c r="G3379" t="s">
        <v>291</v>
      </c>
      <c r="H3379" t="s">
        <v>292</v>
      </c>
      <c r="I3379" t="s">
        <v>87</v>
      </c>
      <c r="J3379">
        <v>21</v>
      </c>
      <c r="K3379" t="s">
        <v>80</v>
      </c>
      <c r="L3379" t="s">
        <v>98</v>
      </c>
      <c r="M3379" t="s">
        <v>55</v>
      </c>
      <c r="N3379" t="s">
        <v>2574</v>
      </c>
      <c r="O3379" t="s">
        <v>130</v>
      </c>
      <c r="P3379" t="s">
        <v>50</v>
      </c>
      <c r="Q3379" t="s">
        <v>53</v>
      </c>
      <c r="R3379">
        <v>1</v>
      </c>
      <c r="S3379">
        <v>1199</v>
      </c>
      <c r="T3379">
        <v>0.1</v>
      </c>
      <c r="U3379">
        <v>1079.0999999999999</v>
      </c>
      <c r="V3379">
        <v>550</v>
      </c>
      <c r="W3379">
        <v>529.1</v>
      </c>
      <c r="X3379" t="s">
        <v>73</v>
      </c>
      <c r="Y3379" t="s">
        <v>68</v>
      </c>
      <c r="Z3379" t="s">
        <v>161</v>
      </c>
      <c r="AA3379" t="s">
        <v>168</v>
      </c>
      <c r="AB3379">
        <v>4</v>
      </c>
      <c r="AC3379">
        <v>50</v>
      </c>
      <c r="AD3379">
        <v>91.43</v>
      </c>
      <c r="AE3379">
        <f t="shared" si="104"/>
        <v>387.67</v>
      </c>
      <c r="AF3379" t="str">
        <f t="shared" si="105"/>
        <v>2026-03</v>
      </c>
      <c r="AG3379">
        <f>SUBTOTAL(103,A3379)</f>
        <v>1</v>
      </c>
    </row>
    <row r="3380" spans="1:33" x14ac:dyDescent="0.3">
      <c r="A3380" t="s">
        <v>6003</v>
      </c>
      <c r="B3380" s="13">
        <v>46094</v>
      </c>
      <c r="C3380">
        <v>2026</v>
      </c>
      <c r="D3380">
        <v>3</v>
      </c>
      <c r="E3380" t="s">
        <v>3053</v>
      </c>
      <c r="F3380" t="s">
        <v>2572</v>
      </c>
      <c r="G3380" t="s">
        <v>417</v>
      </c>
      <c r="H3380" t="s">
        <v>418</v>
      </c>
      <c r="I3380" t="s">
        <v>85</v>
      </c>
      <c r="J3380">
        <v>47</v>
      </c>
      <c r="K3380" t="s">
        <v>83</v>
      </c>
      <c r="L3380" t="s">
        <v>59</v>
      </c>
      <c r="M3380" t="s">
        <v>59</v>
      </c>
      <c r="N3380" t="s">
        <v>2582</v>
      </c>
      <c r="O3380" t="s">
        <v>119</v>
      </c>
      <c r="P3380" t="s">
        <v>49</v>
      </c>
      <c r="Q3380" t="s">
        <v>140</v>
      </c>
      <c r="R3380">
        <v>1</v>
      </c>
      <c r="S3380">
        <v>3499</v>
      </c>
      <c r="T3380">
        <v>0.2</v>
      </c>
      <c r="U3380">
        <v>2799.2</v>
      </c>
      <c r="V3380">
        <v>2100</v>
      </c>
      <c r="W3380">
        <v>699.2</v>
      </c>
      <c r="X3380" t="s">
        <v>73</v>
      </c>
      <c r="Y3380" t="s">
        <v>69</v>
      </c>
      <c r="Z3380" t="s">
        <v>158</v>
      </c>
      <c r="AA3380" t="s">
        <v>169</v>
      </c>
      <c r="AB3380">
        <v>4.0999999999999996</v>
      </c>
      <c r="AC3380">
        <v>40</v>
      </c>
      <c r="AD3380">
        <v>257.75</v>
      </c>
      <c r="AE3380">
        <f t="shared" si="104"/>
        <v>401.45000000000005</v>
      </c>
      <c r="AF3380" t="str">
        <f t="shared" si="105"/>
        <v>2026-03</v>
      </c>
      <c r="AG3380">
        <f>SUBTOTAL(103,A3380)</f>
        <v>1</v>
      </c>
    </row>
    <row r="3381" spans="1:33" x14ac:dyDescent="0.3">
      <c r="A3381" t="s">
        <v>6004</v>
      </c>
      <c r="B3381" s="13">
        <v>46094</v>
      </c>
      <c r="C3381">
        <v>2026</v>
      </c>
      <c r="D3381">
        <v>3</v>
      </c>
      <c r="E3381" t="s">
        <v>3053</v>
      </c>
      <c r="F3381" t="s">
        <v>2572</v>
      </c>
      <c r="G3381" t="s">
        <v>1485</v>
      </c>
      <c r="H3381" t="s">
        <v>1486</v>
      </c>
      <c r="I3381" t="s">
        <v>85</v>
      </c>
      <c r="J3381">
        <v>38</v>
      </c>
      <c r="K3381" t="s">
        <v>82</v>
      </c>
      <c r="L3381" t="s">
        <v>2610</v>
      </c>
      <c r="M3381" t="s">
        <v>64</v>
      </c>
      <c r="N3381" t="s">
        <v>2665</v>
      </c>
      <c r="O3381" t="s">
        <v>128</v>
      </c>
      <c r="P3381" t="s">
        <v>53</v>
      </c>
      <c r="Q3381" t="s">
        <v>143</v>
      </c>
      <c r="R3381">
        <v>4</v>
      </c>
      <c r="S3381">
        <v>1499</v>
      </c>
      <c r="T3381">
        <v>0.05</v>
      </c>
      <c r="U3381">
        <v>5696.2</v>
      </c>
      <c r="V3381">
        <v>3200</v>
      </c>
      <c r="W3381">
        <v>2496.1999999999998</v>
      </c>
      <c r="X3381" t="s">
        <v>77</v>
      </c>
      <c r="Y3381" t="s">
        <v>68</v>
      </c>
      <c r="Z3381" t="s">
        <v>158</v>
      </c>
      <c r="AA3381" t="s">
        <v>167</v>
      </c>
      <c r="AB3381">
        <v>4</v>
      </c>
      <c r="AC3381">
        <v>50</v>
      </c>
      <c r="AD3381">
        <v>681.18</v>
      </c>
      <c r="AE3381">
        <f t="shared" si="104"/>
        <v>1765.02</v>
      </c>
      <c r="AF3381" t="str">
        <f t="shared" si="105"/>
        <v>2026-03</v>
      </c>
      <c r="AG3381">
        <f>SUBTOTAL(103,A3381)</f>
        <v>1</v>
      </c>
    </row>
    <row r="3382" spans="1:33" x14ac:dyDescent="0.3">
      <c r="A3382" t="s">
        <v>6005</v>
      </c>
      <c r="B3382" s="13">
        <v>46094</v>
      </c>
      <c r="C3382">
        <v>2026</v>
      </c>
      <c r="D3382">
        <v>3</v>
      </c>
      <c r="E3382" t="s">
        <v>3053</v>
      </c>
      <c r="F3382" t="s">
        <v>2572</v>
      </c>
      <c r="G3382" t="s">
        <v>1999</v>
      </c>
      <c r="H3382" t="s">
        <v>2000</v>
      </c>
      <c r="I3382" t="s">
        <v>85</v>
      </c>
      <c r="J3382">
        <v>25</v>
      </c>
      <c r="K3382" t="s">
        <v>80</v>
      </c>
      <c r="L3382" t="s">
        <v>2661</v>
      </c>
      <c r="M3382" t="s">
        <v>58</v>
      </c>
      <c r="N3382" t="s">
        <v>2603</v>
      </c>
      <c r="O3382" t="s">
        <v>122</v>
      </c>
      <c r="P3382" t="s">
        <v>48</v>
      </c>
      <c r="Q3382" t="s">
        <v>141</v>
      </c>
      <c r="R3382">
        <v>2</v>
      </c>
      <c r="S3382">
        <v>2499</v>
      </c>
      <c r="T3382">
        <v>0</v>
      </c>
      <c r="U3382">
        <v>4998</v>
      </c>
      <c r="V3382">
        <v>2900</v>
      </c>
      <c r="W3382">
        <v>2098</v>
      </c>
      <c r="X3382" t="s">
        <v>76</v>
      </c>
      <c r="Y3382" t="s">
        <v>69</v>
      </c>
      <c r="Z3382" t="s">
        <v>162</v>
      </c>
      <c r="AA3382" t="s">
        <v>166</v>
      </c>
      <c r="AB3382">
        <v>3.9</v>
      </c>
      <c r="AC3382">
        <v>80</v>
      </c>
      <c r="AD3382">
        <v>122.03</v>
      </c>
      <c r="AE3382">
        <f t="shared" si="104"/>
        <v>1895.97</v>
      </c>
      <c r="AF3382" t="str">
        <f t="shared" si="105"/>
        <v>2026-03</v>
      </c>
      <c r="AG3382">
        <f>SUBTOTAL(103,A3382)</f>
        <v>1</v>
      </c>
    </row>
    <row r="3383" spans="1:33" x14ac:dyDescent="0.3">
      <c r="A3383" t="s">
        <v>6006</v>
      </c>
      <c r="B3383" s="13">
        <v>46094</v>
      </c>
      <c r="C3383">
        <v>2026</v>
      </c>
      <c r="D3383">
        <v>3</v>
      </c>
      <c r="E3383" t="s">
        <v>3053</v>
      </c>
      <c r="F3383" t="s">
        <v>2572</v>
      </c>
      <c r="G3383" t="s">
        <v>767</v>
      </c>
      <c r="H3383" t="s">
        <v>768</v>
      </c>
      <c r="I3383" t="s">
        <v>85</v>
      </c>
      <c r="J3383">
        <v>47</v>
      </c>
      <c r="K3383" t="s">
        <v>83</v>
      </c>
      <c r="L3383" t="s">
        <v>91</v>
      </c>
      <c r="M3383" t="s">
        <v>55</v>
      </c>
      <c r="N3383" t="s">
        <v>2596</v>
      </c>
      <c r="O3383" t="s">
        <v>124</v>
      </c>
      <c r="P3383" t="s">
        <v>51</v>
      </c>
      <c r="Q3383" t="s">
        <v>147</v>
      </c>
      <c r="R3383">
        <v>2</v>
      </c>
      <c r="S3383">
        <v>2299</v>
      </c>
      <c r="T3383">
        <v>0.1</v>
      </c>
      <c r="U3383">
        <v>4138.2</v>
      </c>
      <c r="V3383">
        <v>2400</v>
      </c>
      <c r="W3383">
        <v>1738.2</v>
      </c>
      <c r="X3383" t="s">
        <v>73</v>
      </c>
      <c r="Y3383" t="s">
        <v>68</v>
      </c>
      <c r="Z3383" t="s">
        <v>158</v>
      </c>
      <c r="AA3383" t="s">
        <v>167</v>
      </c>
      <c r="AB3383">
        <v>3.8</v>
      </c>
      <c r="AC3383">
        <v>80</v>
      </c>
      <c r="AD3383">
        <v>233.65</v>
      </c>
      <c r="AE3383">
        <f t="shared" si="104"/>
        <v>1424.55</v>
      </c>
      <c r="AF3383" t="str">
        <f t="shared" si="105"/>
        <v>2026-03</v>
      </c>
      <c r="AG3383">
        <f>SUBTOTAL(103,A3383)</f>
        <v>1</v>
      </c>
    </row>
    <row r="3384" spans="1:33" x14ac:dyDescent="0.3">
      <c r="A3384" t="s">
        <v>6007</v>
      </c>
      <c r="B3384" s="13">
        <v>46094</v>
      </c>
      <c r="C3384">
        <v>2026</v>
      </c>
      <c r="D3384">
        <v>3</v>
      </c>
      <c r="E3384" t="s">
        <v>3053</v>
      </c>
      <c r="F3384" t="s">
        <v>2572</v>
      </c>
      <c r="G3384" t="s">
        <v>2383</v>
      </c>
      <c r="H3384" t="s">
        <v>2384</v>
      </c>
      <c r="I3384" t="s">
        <v>85</v>
      </c>
      <c r="J3384">
        <v>59</v>
      </c>
      <c r="K3384" t="s">
        <v>83</v>
      </c>
      <c r="L3384" t="s">
        <v>92</v>
      </c>
      <c r="M3384" t="s">
        <v>59</v>
      </c>
      <c r="N3384" t="s">
        <v>2606</v>
      </c>
      <c r="O3384" t="s">
        <v>120</v>
      </c>
      <c r="P3384" t="s">
        <v>49</v>
      </c>
      <c r="Q3384" t="s">
        <v>140</v>
      </c>
      <c r="R3384">
        <v>1</v>
      </c>
      <c r="S3384">
        <v>2799</v>
      </c>
      <c r="T3384">
        <v>0.05</v>
      </c>
      <c r="U3384">
        <v>2659.05</v>
      </c>
      <c r="V3384">
        <v>1650</v>
      </c>
      <c r="W3384">
        <v>1009.05</v>
      </c>
      <c r="X3384" t="s">
        <v>76</v>
      </c>
      <c r="Y3384" t="s">
        <v>68</v>
      </c>
      <c r="Z3384" t="s">
        <v>160</v>
      </c>
      <c r="AA3384" t="s">
        <v>166</v>
      </c>
      <c r="AB3384">
        <v>3.5</v>
      </c>
      <c r="AC3384">
        <v>80</v>
      </c>
      <c r="AD3384">
        <v>87.68</v>
      </c>
      <c r="AE3384">
        <f t="shared" si="104"/>
        <v>841.36999999999989</v>
      </c>
      <c r="AF3384" t="str">
        <f t="shared" si="105"/>
        <v>2026-03</v>
      </c>
      <c r="AG3384">
        <f>SUBTOTAL(103,A3384)</f>
        <v>1</v>
      </c>
    </row>
    <row r="3385" spans="1:33" x14ac:dyDescent="0.3">
      <c r="A3385" t="s">
        <v>6008</v>
      </c>
      <c r="B3385" s="13">
        <v>46095</v>
      </c>
      <c r="C3385">
        <v>2026</v>
      </c>
      <c r="D3385">
        <v>3</v>
      </c>
      <c r="E3385" t="s">
        <v>3053</v>
      </c>
      <c r="F3385" t="s">
        <v>2572</v>
      </c>
      <c r="G3385" t="s">
        <v>721</v>
      </c>
      <c r="H3385" t="s">
        <v>722</v>
      </c>
      <c r="I3385" t="s">
        <v>85</v>
      </c>
      <c r="J3385">
        <v>37</v>
      </c>
      <c r="K3385" t="s">
        <v>82</v>
      </c>
      <c r="L3385" t="s">
        <v>94</v>
      </c>
      <c r="M3385" t="s">
        <v>57</v>
      </c>
      <c r="N3385" t="s">
        <v>2606</v>
      </c>
      <c r="O3385" t="s">
        <v>120</v>
      </c>
      <c r="P3385" t="s">
        <v>49</v>
      </c>
      <c r="Q3385" t="s">
        <v>140</v>
      </c>
      <c r="R3385">
        <v>2</v>
      </c>
      <c r="S3385">
        <v>2799</v>
      </c>
      <c r="T3385">
        <v>0.05</v>
      </c>
      <c r="U3385">
        <v>5318.1</v>
      </c>
      <c r="V3385">
        <v>3300</v>
      </c>
      <c r="W3385">
        <v>2018.1</v>
      </c>
      <c r="X3385" t="s">
        <v>75</v>
      </c>
      <c r="Y3385" t="s">
        <v>68</v>
      </c>
      <c r="Z3385" t="s">
        <v>163</v>
      </c>
      <c r="AA3385" t="s">
        <v>169</v>
      </c>
      <c r="AB3385">
        <v>4.3</v>
      </c>
      <c r="AC3385">
        <v>80</v>
      </c>
      <c r="AD3385">
        <v>122.6</v>
      </c>
      <c r="AE3385">
        <f t="shared" si="104"/>
        <v>1815.5</v>
      </c>
      <c r="AF3385" t="str">
        <f t="shared" si="105"/>
        <v>2026-03</v>
      </c>
      <c r="AG3385">
        <f>SUBTOTAL(103,A3385)</f>
        <v>1</v>
      </c>
    </row>
    <row r="3386" spans="1:33" x14ac:dyDescent="0.3">
      <c r="A3386" t="s">
        <v>6009</v>
      </c>
      <c r="B3386" s="13">
        <v>46095</v>
      </c>
      <c r="C3386">
        <v>2026</v>
      </c>
      <c r="D3386">
        <v>3</v>
      </c>
      <c r="E3386" t="s">
        <v>3053</v>
      </c>
      <c r="F3386" t="s">
        <v>2572</v>
      </c>
      <c r="G3386" t="s">
        <v>2121</v>
      </c>
      <c r="H3386" t="s">
        <v>2122</v>
      </c>
      <c r="I3386" t="s">
        <v>85</v>
      </c>
      <c r="J3386">
        <v>49</v>
      </c>
      <c r="K3386" t="s">
        <v>83</v>
      </c>
      <c r="L3386" t="s">
        <v>92</v>
      </c>
      <c r="M3386" t="s">
        <v>59</v>
      </c>
      <c r="N3386" t="s">
        <v>2653</v>
      </c>
      <c r="O3386" t="s">
        <v>132</v>
      </c>
      <c r="P3386" t="s">
        <v>52</v>
      </c>
      <c r="Q3386" t="s">
        <v>150</v>
      </c>
      <c r="R3386">
        <v>2</v>
      </c>
      <c r="S3386">
        <v>899</v>
      </c>
      <c r="T3386">
        <v>0.05</v>
      </c>
      <c r="U3386">
        <v>0</v>
      </c>
      <c r="V3386">
        <v>0</v>
      </c>
      <c r="W3386">
        <v>0</v>
      </c>
      <c r="X3386" t="s">
        <v>77</v>
      </c>
      <c r="Y3386" t="s">
        <v>71</v>
      </c>
      <c r="Z3386" t="s">
        <v>158</v>
      </c>
      <c r="AA3386" t="s">
        <v>166</v>
      </c>
      <c r="AB3386">
        <v>3.5</v>
      </c>
      <c r="AC3386">
        <v>80</v>
      </c>
      <c r="AD3386">
        <v>157.19</v>
      </c>
      <c r="AE3386">
        <f t="shared" si="104"/>
        <v>-237.19</v>
      </c>
      <c r="AF3386" t="str">
        <f t="shared" si="105"/>
        <v>2026-03</v>
      </c>
      <c r="AG3386">
        <f>SUBTOTAL(103,A3386)</f>
        <v>1</v>
      </c>
    </row>
    <row r="3387" spans="1:33" x14ac:dyDescent="0.3">
      <c r="A3387" t="s">
        <v>6010</v>
      </c>
      <c r="B3387" s="13">
        <v>46095</v>
      </c>
      <c r="C3387">
        <v>2026</v>
      </c>
      <c r="D3387">
        <v>3</v>
      </c>
      <c r="E3387" t="s">
        <v>3053</v>
      </c>
      <c r="F3387" t="s">
        <v>2572</v>
      </c>
      <c r="G3387" t="s">
        <v>543</v>
      </c>
      <c r="H3387" t="s">
        <v>544</v>
      </c>
      <c r="I3387" t="s">
        <v>86</v>
      </c>
      <c r="J3387">
        <v>37</v>
      </c>
      <c r="K3387" t="s">
        <v>82</v>
      </c>
      <c r="L3387" t="s">
        <v>2690</v>
      </c>
      <c r="M3387" t="s">
        <v>63</v>
      </c>
      <c r="N3387" t="s">
        <v>2603</v>
      </c>
      <c r="O3387" t="s">
        <v>122</v>
      </c>
      <c r="P3387" t="s">
        <v>48</v>
      </c>
      <c r="Q3387" t="s">
        <v>141</v>
      </c>
      <c r="R3387">
        <v>1</v>
      </c>
      <c r="S3387">
        <v>2499</v>
      </c>
      <c r="T3387">
        <v>0.1</v>
      </c>
      <c r="U3387">
        <v>2249.1</v>
      </c>
      <c r="V3387">
        <v>1450</v>
      </c>
      <c r="W3387">
        <v>799.1</v>
      </c>
      <c r="X3387" t="s">
        <v>73</v>
      </c>
      <c r="Y3387" t="s">
        <v>68</v>
      </c>
      <c r="Z3387" t="s">
        <v>158</v>
      </c>
      <c r="AA3387" t="s">
        <v>169</v>
      </c>
      <c r="AB3387">
        <v>4.2</v>
      </c>
      <c r="AC3387">
        <v>80</v>
      </c>
      <c r="AD3387">
        <v>198.05</v>
      </c>
      <c r="AE3387">
        <f t="shared" si="104"/>
        <v>521.04999999999995</v>
      </c>
      <c r="AF3387" t="str">
        <f t="shared" si="105"/>
        <v>2026-03</v>
      </c>
      <c r="AG3387">
        <f>SUBTOTAL(103,A3387)</f>
        <v>1</v>
      </c>
    </row>
    <row r="3388" spans="1:33" x14ac:dyDescent="0.3">
      <c r="A3388" t="s">
        <v>6011</v>
      </c>
      <c r="B3388" s="13">
        <v>46095</v>
      </c>
      <c r="C3388">
        <v>2026</v>
      </c>
      <c r="D3388">
        <v>3</v>
      </c>
      <c r="E3388" t="s">
        <v>3053</v>
      </c>
      <c r="F3388" t="s">
        <v>2572</v>
      </c>
      <c r="G3388" t="s">
        <v>1279</v>
      </c>
      <c r="H3388" t="s">
        <v>1280</v>
      </c>
      <c r="I3388" t="s">
        <v>85</v>
      </c>
      <c r="J3388">
        <v>52</v>
      </c>
      <c r="K3388" t="s">
        <v>83</v>
      </c>
      <c r="L3388" t="s">
        <v>100</v>
      </c>
      <c r="M3388" t="s">
        <v>56</v>
      </c>
      <c r="N3388" t="s">
        <v>2644</v>
      </c>
      <c r="O3388" t="s">
        <v>126</v>
      </c>
      <c r="P3388" t="s">
        <v>50</v>
      </c>
      <c r="Q3388" t="s">
        <v>145</v>
      </c>
      <c r="R3388">
        <v>1</v>
      </c>
      <c r="S3388">
        <v>1799</v>
      </c>
      <c r="T3388">
        <v>0.2</v>
      </c>
      <c r="U3388">
        <v>1439.2</v>
      </c>
      <c r="V3388">
        <v>950</v>
      </c>
      <c r="W3388">
        <v>489.2</v>
      </c>
      <c r="X3388" t="s">
        <v>76</v>
      </c>
      <c r="Y3388" t="s">
        <v>68</v>
      </c>
      <c r="Z3388" t="s">
        <v>158</v>
      </c>
      <c r="AA3388" t="s">
        <v>166</v>
      </c>
      <c r="AB3388">
        <v>4</v>
      </c>
      <c r="AC3388">
        <v>50</v>
      </c>
      <c r="AD3388">
        <v>69.709999999999994</v>
      </c>
      <c r="AE3388">
        <f t="shared" si="104"/>
        <v>369.49</v>
      </c>
      <c r="AF3388" t="str">
        <f t="shared" si="105"/>
        <v>2026-03</v>
      </c>
      <c r="AG3388">
        <f>SUBTOTAL(103,A3388)</f>
        <v>1</v>
      </c>
    </row>
    <row r="3389" spans="1:33" x14ac:dyDescent="0.3">
      <c r="A3389" t="s">
        <v>6012</v>
      </c>
      <c r="B3389" s="13">
        <v>46095</v>
      </c>
      <c r="C3389">
        <v>2026</v>
      </c>
      <c r="D3389">
        <v>3</v>
      </c>
      <c r="E3389" t="s">
        <v>3053</v>
      </c>
      <c r="F3389" t="s">
        <v>2572</v>
      </c>
      <c r="G3389" t="s">
        <v>449</v>
      </c>
      <c r="H3389" t="s">
        <v>450</v>
      </c>
      <c r="I3389" t="s">
        <v>85</v>
      </c>
      <c r="J3389">
        <v>47</v>
      </c>
      <c r="K3389" t="s">
        <v>83</v>
      </c>
      <c r="L3389" t="s">
        <v>91</v>
      </c>
      <c r="M3389" t="s">
        <v>55</v>
      </c>
      <c r="N3389" t="s">
        <v>2590</v>
      </c>
      <c r="O3389" t="s">
        <v>127</v>
      </c>
      <c r="P3389" t="s">
        <v>51</v>
      </c>
      <c r="Q3389" t="s">
        <v>148</v>
      </c>
      <c r="R3389">
        <v>1</v>
      </c>
      <c r="S3389">
        <v>1599</v>
      </c>
      <c r="T3389">
        <v>0.05</v>
      </c>
      <c r="U3389">
        <v>1519.05</v>
      </c>
      <c r="V3389">
        <v>800</v>
      </c>
      <c r="W3389">
        <v>719.05</v>
      </c>
      <c r="X3389" t="s">
        <v>77</v>
      </c>
      <c r="Y3389" t="s">
        <v>68</v>
      </c>
      <c r="Z3389" t="s">
        <v>163</v>
      </c>
      <c r="AA3389" t="s">
        <v>167</v>
      </c>
      <c r="AB3389">
        <v>4.4000000000000004</v>
      </c>
      <c r="AC3389">
        <v>60</v>
      </c>
      <c r="AD3389">
        <v>150.21</v>
      </c>
      <c r="AE3389">
        <f t="shared" si="104"/>
        <v>508.83999999999992</v>
      </c>
      <c r="AF3389" t="str">
        <f t="shared" si="105"/>
        <v>2026-03</v>
      </c>
      <c r="AG3389">
        <f>SUBTOTAL(103,A3389)</f>
        <v>1</v>
      </c>
    </row>
    <row r="3390" spans="1:33" x14ac:dyDescent="0.3">
      <c r="A3390" t="s">
        <v>6013</v>
      </c>
      <c r="B3390" s="13">
        <v>46095</v>
      </c>
      <c r="C3390">
        <v>2026</v>
      </c>
      <c r="D3390">
        <v>3</v>
      </c>
      <c r="E3390" t="s">
        <v>3053</v>
      </c>
      <c r="F3390" t="s">
        <v>2572</v>
      </c>
      <c r="G3390" t="s">
        <v>981</v>
      </c>
      <c r="H3390" t="s">
        <v>982</v>
      </c>
      <c r="I3390" t="s">
        <v>86</v>
      </c>
      <c r="J3390">
        <v>47</v>
      </c>
      <c r="K3390" t="s">
        <v>83</v>
      </c>
      <c r="L3390" t="s">
        <v>95</v>
      </c>
      <c r="M3390" t="s">
        <v>56</v>
      </c>
      <c r="N3390" t="s">
        <v>2606</v>
      </c>
      <c r="O3390" t="s">
        <v>120</v>
      </c>
      <c r="P3390" t="s">
        <v>49</v>
      </c>
      <c r="Q3390" t="s">
        <v>140</v>
      </c>
      <c r="R3390">
        <v>5</v>
      </c>
      <c r="S3390">
        <v>2799</v>
      </c>
      <c r="T3390">
        <v>0.1</v>
      </c>
      <c r="U3390">
        <v>12595.5</v>
      </c>
      <c r="V3390">
        <v>8250</v>
      </c>
      <c r="W3390">
        <v>4345.5</v>
      </c>
      <c r="X3390" t="s">
        <v>73</v>
      </c>
      <c r="Y3390" t="s">
        <v>68</v>
      </c>
      <c r="Z3390" t="s">
        <v>159</v>
      </c>
      <c r="AA3390" t="s">
        <v>166</v>
      </c>
      <c r="AB3390">
        <v>4.9000000000000004</v>
      </c>
      <c r="AC3390">
        <v>80</v>
      </c>
      <c r="AD3390">
        <v>294.20999999999998</v>
      </c>
      <c r="AE3390">
        <f t="shared" si="104"/>
        <v>3971.29</v>
      </c>
      <c r="AF3390" t="str">
        <f t="shared" si="105"/>
        <v>2026-03</v>
      </c>
      <c r="AG3390">
        <f>SUBTOTAL(103,A3390)</f>
        <v>1</v>
      </c>
    </row>
    <row r="3391" spans="1:33" x14ac:dyDescent="0.3">
      <c r="A3391" t="s">
        <v>6014</v>
      </c>
      <c r="B3391" s="13">
        <v>46095</v>
      </c>
      <c r="C3391">
        <v>2026</v>
      </c>
      <c r="D3391">
        <v>3</v>
      </c>
      <c r="E3391" t="s">
        <v>3053</v>
      </c>
      <c r="F3391" t="s">
        <v>2572</v>
      </c>
      <c r="G3391" t="s">
        <v>981</v>
      </c>
      <c r="H3391" t="s">
        <v>982</v>
      </c>
      <c r="I3391" t="s">
        <v>86</v>
      </c>
      <c r="J3391">
        <v>47</v>
      </c>
      <c r="K3391" t="s">
        <v>83</v>
      </c>
      <c r="L3391" t="s">
        <v>95</v>
      </c>
      <c r="M3391" t="s">
        <v>56</v>
      </c>
      <c r="N3391" t="s">
        <v>2577</v>
      </c>
      <c r="O3391" t="s">
        <v>129</v>
      </c>
      <c r="P3391" t="s">
        <v>49</v>
      </c>
      <c r="Q3391" t="s">
        <v>149</v>
      </c>
      <c r="R3391">
        <v>3</v>
      </c>
      <c r="S3391">
        <v>1299</v>
      </c>
      <c r="T3391">
        <v>0.1</v>
      </c>
      <c r="U3391">
        <v>3507.3</v>
      </c>
      <c r="V3391">
        <v>1950</v>
      </c>
      <c r="W3391">
        <v>1557.3</v>
      </c>
      <c r="X3391" t="s">
        <v>73</v>
      </c>
      <c r="Y3391" t="s">
        <v>68</v>
      </c>
      <c r="Z3391" t="s">
        <v>163</v>
      </c>
      <c r="AA3391" t="s">
        <v>168</v>
      </c>
      <c r="AB3391">
        <v>4</v>
      </c>
      <c r="AC3391">
        <v>50</v>
      </c>
      <c r="AD3391">
        <v>343.07</v>
      </c>
      <c r="AE3391">
        <f t="shared" si="104"/>
        <v>1164.23</v>
      </c>
      <c r="AF3391" t="str">
        <f t="shared" si="105"/>
        <v>2026-03</v>
      </c>
      <c r="AG3391">
        <f>SUBTOTAL(103,A3391)</f>
        <v>1</v>
      </c>
    </row>
    <row r="3392" spans="1:33" x14ac:dyDescent="0.3">
      <c r="A3392" t="s">
        <v>6015</v>
      </c>
      <c r="B3392" s="13">
        <v>46095</v>
      </c>
      <c r="C3392">
        <v>2026</v>
      </c>
      <c r="D3392">
        <v>3</v>
      </c>
      <c r="E3392" t="s">
        <v>3053</v>
      </c>
      <c r="F3392" t="s">
        <v>2572</v>
      </c>
      <c r="G3392" t="s">
        <v>347</v>
      </c>
      <c r="H3392" t="s">
        <v>348</v>
      </c>
      <c r="I3392" t="s">
        <v>86</v>
      </c>
      <c r="J3392">
        <v>33</v>
      </c>
      <c r="K3392" t="s">
        <v>81</v>
      </c>
      <c r="L3392" t="s">
        <v>96</v>
      </c>
      <c r="M3392" t="s">
        <v>55</v>
      </c>
      <c r="N3392" t="s">
        <v>2592</v>
      </c>
      <c r="O3392" t="s">
        <v>115</v>
      </c>
      <c r="P3392" t="s">
        <v>48</v>
      </c>
      <c r="Q3392" t="s">
        <v>137</v>
      </c>
      <c r="R3392">
        <v>4</v>
      </c>
      <c r="S3392">
        <v>12999</v>
      </c>
      <c r="T3392">
        <v>0.05</v>
      </c>
      <c r="U3392">
        <v>49396.2</v>
      </c>
      <c r="V3392">
        <v>36000</v>
      </c>
      <c r="W3392">
        <v>13396.2</v>
      </c>
      <c r="X3392" t="s">
        <v>74</v>
      </c>
      <c r="Y3392" t="s">
        <v>68</v>
      </c>
      <c r="Z3392" t="s">
        <v>158</v>
      </c>
      <c r="AA3392" t="s">
        <v>169</v>
      </c>
      <c r="AB3392">
        <v>3</v>
      </c>
      <c r="AC3392">
        <v>60</v>
      </c>
      <c r="AD3392">
        <v>4626.83</v>
      </c>
      <c r="AE3392">
        <f t="shared" si="104"/>
        <v>8709.3700000000008</v>
      </c>
      <c r="AF3392" t="str">
        <f t="shared" si="105"/>
        <v>2026-03</v>
      </c>
      <c r="AG3392">
        <f>SUBTOTAL(103,A3392)</f>
        <v>1</v>
      </c>
    </row>
    <row r="3393" spans="1:33" x14ac:dyDescent="0.3">
      <c r="A3393" t="s">
        <v>6016</v>
      </c>
      <c r="B3393" s="13">
        <v>46095</v>
      </c>
      <c r="C3393">
        <v>2026</v>
      </c>
      <c r="D3393">
        <v>3</v>
      </c>
      <c r="E3393" t="s">
        <v>3053</v>
      </c>
      <c r="F3393" t="s">
        <v>2572</v>
      </c>
      <c r="G3393" t="s">
        <v>1519</v>
      </c>
      <c r="H3393" t="s">
        <v>1520</v>
      </c>
      <c r="I3393" t="s">
        <v>86</v>
      </c>
      <c r="J3393">
        <v>57</v>
      </c>
      <c r="K3393" t="s">
        <v>83</v>
      </c>
      <c r="L3393" t="s">
        <v>95</v>
      </c>
      <c r="M3393" t="s">
        <v>56</v>
      </c>
      <c r="N3393" t="s">
        <v>2590</v>
      </c>
      <c r="O3393" t="s">
        <v>127</v>
      </c>
      <c r="P3393" t="s">
        <v>51</v>
      </c>
      <c r="Q3393" t="s">
        <v>148</v>
      </c>
      <c r="R3393">
        <v>4</v>
      </c>
      <c r="S3393">
        <v>1599</v>
      </c>
      <c r="T3393">
        <v>0.05</v>
      </c>
      <c r="U3393">
        <v>6076.2</v>
      </c>
      <c r="V3393">
        <v>3200</v>
      </c>
      <c r="W3393">
        <v>2876.2</v>
      </c>
      <c r="X3393" t="s">
        <v>73</v>
      </c>
      <c r="Y3393" t="s">
        <v>68</v>
      </c>
      <c r="Z3393" t="s">
        <v>158</v>
      </c>
      <c r="AA3393" t="s">
        <v>170</v>
      </c>
      <c r="AB3393">
        <v>4.4000000000000004</v>
      </c>
      <c r="AC3393">
        <v>50</v>
      </c>
      <c r="AD3393">
        <v>410.69</v>
      </c>
      <c r="AE3393">
        <f t="shared" si="104"/>
        <v>2415.5099999999998</v>
      </c>
      <c r="AF3393" t="str">
        <f t="shared" si="105"/>
        <v>2026-03</v>
      </c>
      <c r="AG3393">
        <f>SUBTOTAL(103,A3393)</f>
        <v>1</v>
      </c>
    </row>
    <row r="3394" spans="1:33" x14ac:dyDescent="0.3">
      <c r="A3394" t="s">
        <v>6017</v>
      </c>
      <c r="B3394" s="13">
        <v>46095</v>
      </c>
      <c r="C3394">
        <v>2026</v>
      </c>
      <c r="D3394">
        <v>3</v>
      </c>
      <c r="E3394" t="s">
        <v>3053</v>
      </c>
      <c r="F3394" t="s">
        <v>2572</v>
      </c>
      <c r="G3394" t="s">
        <v>909</v>
      </c>
      <c r="H3394" t="s">
        <v>910</v>
      </c>
      <c r="I3394" t="s">
        <v>86</v>
      </c>
      <c r="J3394">
        <v>55</v>
      </c>
      <c r="K3394" t="s">
        <v>83</v>
      </c>
      <c r="L3394" t="s">
        <v>94</v>
      </c>
      <c r="M3394" t="s">
        <v>57</v>
      </c>
      <c r="N3394" t="s">
        <v>2601</v>
      </c>
      <c r="O3394" t="s">
        <v>117</v>
      </c>
      <c r="P3394" t="s">
        <v>49</v>
      </c>
      <c r="Q3394" t="s">
        <v>139</v>
      </c>
      <c r="R3394">
        <v>3</v>
      </c>
      <c r="S3394">
        <v>6999</v>
      </c>
      <c r="T3394">
        <v>0.15</v>
      </c>
      <c r="U3394">
        <v>17847.45</v>
      </c>
      <c r="V3394">
        <v>12900</v>
      </c>
      <c r="W3394">
        <v>4947.45</v>
      </c>
      <c r="X3394" t="s">
        <v>73</v>
      </c>
      <c r="Y3394" t="s">
        <v>68</v>
      </c>
      <c r="Z3394" t="s">
        <v>159</v>
      </c>
      <c r="AA3394" t="s">
        <v>166</v>
      </c>
      <c r="AB3394">
        <v>4.2</v>
      </c>
      <c r="AC3394">
        <v>100</v>
      </c>
      <c r="AD3394">
        <v>1240.25</v>
      </c>
      <c r="AE3394">
        <f t="shared" ref="AE3394:AE3457" si="106">W3394-AC3394-AD3394</f>
        <v>3607.2</v>
      </c>
      <c r="AF3394" t="str">
        <f t="shared" ref="AF3394:AF3457" si="107">C3394&amp;"-"&amp;TEXT(D3394,"00")</f>
        <v>2026-03</v>
      </c>
      <c r="AG3394">
        <f>SUBTOTAL(103,A3394)</f>
        <v>1</v>
      </c>
    </row>
    <row r="3395" spans="1:33" x14ac:dyDescent="0.3">
      <c r="A3395" t="s">
        <v>6018</v>
      </c>
      <c r="B3395" s="13">
        <v>46096</v>
      </c>
      <c r="C3395">
        <v>2026</v>
      </c>
      <c r="D3395">
        <v>3</v>
      </c>
      <c r="E3395" t="s">
        <v>3053</v>
      </c>
      <c r="F3395" t="s">
        <v>2572</v>
      </c>
      <c r="G3395" t="s">
        <v>1015</v>
      </c>
      <c r="H3395" t="s">
        <v>1016</v>
      </c>
      <c r="I3395" t="s">
        <v>85</v>
      </c>
      <c r="J3395">
        <v>37</v>
      </c>
      <c r="K3395" t="s">
        <v>82</v>
      </c>
      <c r="L3395" t="s">
        <v>94</v>
      </c>
      <c r="M3395" t="s">
        <v>57</v>
      </c>
      <c r="N3395" t="s">
        <v>2647</v>
      </c>
      <c r="O3395" t="s">
        <v>133</v>
      </c>
      <c r="P3395" t="s">
        <v>50</v>
      </c>
      <c r="Q3395" t="s">
        <v>145</v>
      </c>
      <c r="R3395">
        <v>1</v>
      </c>
      <c r="S3395">
        <v>799</v>
      </c>
      <c r="T3395">
        <v>0.15</v>
      </c>
      <c r="U3395">
        <v>679.15</v>
      </c>
      <c r="V3395">
        <v>390</v>
      </c>
      <c r="W3395">
        <v>289.14999999999998</v>
      </c>
      <c r="X3395" t="s">
        <v>73</v>
      </c>
      <c r="Y3395" t="s">
        <v>68</v>
      </c>
      <c r="Z3395" t="s">
        <v>159</v>
      </c>
      <c r="AA3395" t="s">
        <v>171</v>
      </c>
      <c r="AB3395">
        <v>5</v>
      </c>
      <c r="AC3395">
        <v>60</v>
      </c>
      <c r="AD3395">
        <v>30.02</v>
      </c>
      <c r="AE3395">
        <f t="shared" si="106"/>
        <v>199.12999999999997</v>
      </c>
      <c r="AF3395" t="str">
        <f t="shared" si="107"/>
        <v>2026-03</v>
      </c>
      <c r="AG3395">
        <f>SUBTOTAL(103,A3395)</f>
        <v>1</v>
      </c>
    </row>
    <row r="3396" spans="1:33" x14ac:dyDescent="0.3">
      <c r="A3396" t="s">
        <v>6019</v>
      </c>
      <c r="B3396" s="13">
        <v>46096</v>
      </c>
      <c r="C3396">
        <v>2026</v>
      </c>
      <c r="D3396">
        <v>3</v>
      </c>
      <c r="E3396" t="s">
        <v>3053</v>
      </c>
      <c r="F3396" t="s">
        <v>2572</v>
      </c>
      <c r="G3396" t="s">
        <v>1591</v>
      </c>
      <c r="H3396" t="s">
        <v>1592</v>
      </c>
      <c r="I3396" t="s">
        <v>85</v>
      </c>
      <c r="J3396">
        <v>20</v>
      </c>
      <c r="K3396" t="s">
        <v>80</v>
      </c>
      <c r="L3396" t="s">
        <v>92</v>
      </c>
      <c r="M3396" t="s">
        <v>59</v>
      </c>
      <c r="N3396" t="s">
        <v>2594</v>
      </c>
      <c r="O3396" t="s">
        <v>131</v>
      </c>
      <c r="P3396" t="s">
        <v>53</v>
      </c>
      <c r="Q3396" t="s">
        <v>143</v>
      </c>
      <c r="R3396">
        <v>1</v>
      </c>
      <c r="S3396">
        <v>999</v>
      </c>
      <c r="T3396">
        <v>0.1</v>
      </c>
      <c r="U3396">
        <v>899.1</v>
      </c>
      <c r="V3396">
        <v>520</v>
      </c>
      <c r="W3396">
        <v>379.1</v>
      </c>
      <c r="X3396" t="s">
        <v>74</v>
      </c>
      <c r="Y3396" t="s">
        <v>68</v>
      </c>
      <c r="Z3396" t="s">
        <v>158</v>
      </c>
      <c r="AA3396" t="s">
        <v>170</v>
      </c>
      <c r="AB3396">
        <v>4.4000000000000004</v>
      </c>
      <c r="AC3396">
        <v>40</v>
      </c>
      <c r="AD3396">
        <v>23.04</v>
      </c>
      <c r="AE3396">
        <f t="shared" si="106"/>
        <v>316.06</v>
      </c>
      <c r="AF3396" t="str">
        <f t="shared" si="107"/>
        <v>2026-03</v>
      </c>
      <c r="AG3396">
        <f>SUBTOTAL(103,A3396)</f>
        <v>1</v>
      </c>
    </row>
    <row r="3397" spans="1:33" x14ac:dyDescent="0.3">
      <c r="A3397" t="s">
        <v>6020</v>
      </c>
      <c r="B3397" s="13">
        <v>46096</v>
      </c>
      <c r="C3397">
        <v>2026</v>
      </c>
      <c r="D3397">
        <v>3</v>
      </c>
      <c r="E3397" t="s">
        <v>3053</v>
      </c>
      <c r="F3397" t="s">
        <v>2572</v>
      </c>
      <c r="G3397" t="s">
        <v>811</v>
      </c>
      <c r="H3397" t="s">
        <v>812</v>
      </c>
      <c r="I3397" t="s">
        <v>85</v>
      </c>
      <c r="J3397">
        <v>47</v>
      </c>
      <c r="K3397" t="s">
        <v>83</v>
      </c>
      <c r="L3397" t="s">
        <v>92</v>
      </c>
      <c r="M3397" t="s">
        <v>59</v>
      </c>
      <c r="N3397" t="s">
        <v>2647</v>
      </c>
      <c r="O3397" t="s">
        <v>133</v>
      </c>
      <c r="P3397" t="s">
        <v>50</v>
      </c>
      <c r="Q3397" t="s">
        <v>145</v>
      </c>
      <c r="R3397">
        <v>1</v>
      </c>
      <c r="S3397">
        <v>799</v>
      </c>
      <c r="T3397">
        <v>0.15</v>
      </c>
      <c r="U3397">
        <v>679.15</v>
      </c>
      <c r="V3397">
        <v>390</v>
      </c>
      <c r="W3397">
        <v>289.14999999999998</v>
      </c>
      <c r="X3397" t="s">
        <v>73</v>
      </c>
      <c r="Y3397" t="s">
        <v>68</v>
      </c>
      <c r="Z3397" t="s">
        <v>162</v>
      </c>
      <c r="AA3397" t="s">
        <v>168</v>
      </c>
      <c r="AB3397">
        <v>3.9</v>
      </c>
      <c r="AC3397">
        <v>80</v>
      </c>
      <c r="AD3397">
        <v>20</v>
      </c>
      <c r="AE3397">
        <f t="shared" si="106"/>
        <v>189.14999999999998</v>
      </c>
      <c r="AF3397" t="str">
        <f t="shared" si="107"/>
        <v>2026-03</v>
      </c>
      <c r="AG3397">
        <f>SUBTOTAL(103,A3397)</f>
        <v>1</v>
      </c>
    </row>
    <row r="3398" spans="1:33" x14ac:dyDescent="0.3">
      <c r="A3398" t="s">
        <v>6021</v>
      </c>
      <c r="B3398" s="13">
        <v>46096</v>
      </c>
      <c r="C3398">
        <v>2026</v>
      </c>
      <c r="D3398">
        <v>3</v>
      </c>
      <c r="E3398" t="s">
        <v>3053</v>
      </c>
      <c r="F3398" t="s">
        <v>2572</v>
      </c>
      <c r="G3398" t="s">
        <v>787</v>
      </c>
      <c r="H3398" t="s">
        <v>788</v>
      </c>
      <c r="I3398" t="s">
        <v>86</v>
      </c>
      <c r="J3398">
        <v>48</v>
      </c>
      <c r="K3398" t="s">
        <v>83</v>
      </c>
      <c r="L3398" t="s">
        <v>2623</v>
      </c>
      <c r="M3398" t="s">
        <v>61</v>
      </c>
      <c r="N3398" t="s">
        <v>2596</v>
      </c>
      <c r="O3398" t="s">
        <v>124</v>
      </c>
      <c r="P3398" t="s">
        <v>51</v>
      </c>
      <c r="Q3398" t="s">
        <v>147</v>
      </c>
      <c r="R3398">
        <v>3</v>
      </c>
      <c r="S3398">
        <v>2299</v>
      </c>
      <c r="T3398">
        <v>0.1</v>
      </c>
      <c r="U3398">
        <v>6207.3</v>
      </c>
      <c r="V3398">
        <v>3600</v>
      </c>
      <c r="W3398">
        <v>2607.3000000000002</v>
      </c>
      <c r="X3398" t="s">
        <v>76</v>
      </c>
      <c r="Y3398" t="s">
        <v>68</v>
      </c>
      <c r="Z3398" t="s">
        <v>158</v>
      </c>
      <c r="AA3398" t="s">
        <v>166</v>
      </c>
      <c r="AB3398">
        <v>4.3</v>
      </c>
      <c r="AC3398">
        <v>60</v>
      </c>
      <c r="AD3398">
        <v>705.11</v>
      </c>
      <c r="AE3398">
        <f t="shared" si="106"/>
        <v>1842.19</v>
      </c>
      <c r="AF3398" t="str">
        <f t="shared" si="107"/>
        <v>2026-03</v>
      </c>
      <c r="AG3398">
        <f>SUBTOTAL(103,A3398)</f>
        <v>1</v>
      </c>
    </row>
    <row r="3399" spans="1:33" x14ac:dyDescent="0.3">
      <c r="A3399" t="s">
        <v>6022</v>
      </c>
      <c r="B3399" s="13">
        <v>46096</v>
      </c>
      <c r="C3399">
        <v>2026</v>
      </c>
      <c r="D3399">
        <v>3</v>
      </c>
      <c r="E3399" t="s">
        <v>3053</v>
      </c>
      <c r="F3399" t="s">
        <v>2572</v>
      </c>
      <c r="G3399" t="s">
        <v>2363</v>
      </c>
      <c r="H3399" t="s">
        <v>2364</v>
      </c>
      <c r="I3399" t="s">
        <v>86</v>
      </c>
      <c r="J3399">
        <v>30</v>
      </c>
      <c r="K3399" t="s">
        <v>81</v>
      </c>
      <c r="L3399" t="s">
        <v>2589</v>
      </c>
      <c r="M3399" t="s">
        <v>61</v>
      </c>
      <c r="N3399" t="s">
        <v>2574</v>
      </c>
      <c r="O3399" t="s">
        <v>130</v>
      </c>
      <c r="P3399" t="s">
        <v>50</v>
      </c>
      <c r="Q3399" t="s">
        <v>53</v>
      </c>
      <c r="R3399">
        <v>1</v>
      </c>
      <c r="S3399">
        <v>1199</v>
      </c>
      <c r="T3399">
        <v>0.05</v>
      </c>
      <c r="U3399">
        <v>1139.05</v>
      </c>
      <c r="V3399">
        <v>550</v>
      </c>
      <c r="W3399">
        <v>589.04999999999995</v>
      </c>
      <c r="X3399" t="s">
        <v>77</v>
      </c>
      <c r="Y3399" t="s">
        <v>68</v>
      </c>
      <c r="Z3399" t="s">
        <v>159</v>
      </c>
      <c r="AA3399" t="s">
        <v>167</v>
      </c>
      <c r="AB3399">
        <v>2.8</v>
      </c>
      <c r="AC3399">
        <v>80</v>
      </c>
      <c r="AD3399">
        <v>38.619999999999997</v>
      </c>
      <c r="AE3399">
        <f t="shared" si="106"/>
        <v>470.42999999999995</v>
      </c>
      <c r="AF3399" t="str">
        <f t="shared" si="107"/>
        <v>2026-03</v>
      </c>
      <c r="AG3399">
        <f>SUBTOTAL(103,A3399)</f>
        <v>1</v>
      </c>
    </row>
    <row r="3400" spans="1:33" x14ac:dyDescent="0.3">
      <c r="A3400" t="s">
        <v>6023</v>
      </c>
      <c r="B3400" s="13">
        <v>46096</v>
      </c>
      <c r="C3400">
        <v>2026</v>
      </c>
      <c r="D3400">
        <v>3</v>
      </c>
      <c r="E3400" t="s">
        <v>3053</v>
      </c>
      <c r="F3400" t="s">
        <v>2572</v>
      </c>
      <c r="G3400" t="s">
        <v>1333</v>
      </c>
      <c r="H3400" t="s">
        <v>1334</v>
      </c>
      <c r="I3400" t="s">
        <v>85</v>
      </c>
      <c r="J3400">
        <v>57</v>
      </c>
      <c r="K3400" t="s">
        <v>83</v>
      </c>
      <c r="L3400" t="s">
        <v>2610</v>
      </c>
      <c r="M3400" t="s">
        <v>64</v>
      </c>
      <c r="N3400" t="s">
        <v>2582</v>
      </c>
      <c r="O3400" t="s">
        <v>119</v>
      </c>
      <c r="P3400" t="s">
        <v>49</v>
      </c>
      <c r="Q3400" t="s">
        <v>140</v>
      </c>
      <c r="R3400">
        <v>2</v>
      </c>
      <c r="S3400">
        <v>3499</v>
      </c>
      <c r="T3400">
        <v>0.15</v>
      </c>
      <c r="U3400">
        <v>5948.3</v>
      </c>
      <c r="V3400">
        <v>4200</v>
      </c>
      <c r="W3400">
        <v>1748.3</v>
      </c>
      <c r="X3400" t="s">
        <v>74</v>
      </c>
      <c r="Y3400" t="s">
        <v>68</v>
      </c>
      <c r="Z3400" t="s">
        <v>161</v>
      </c>
      <c r="AA3400" t="s">
        <v>168</v>
      </c>
      <c r="AB3400">
        <v>4.0999999999999996</v>
      </c>
      <c r="AC3400">
        <v>50</v>
      </c>
      <c r="AD3400">
        <v>226.54</v>
      </c>
      <c r="AE3400">
        <f t="shared" si="106"/>
        <v>1471.76</v>
      </c>
      <c r="AF3400" t="str">
        <f t="shared" si="107"/>
        <v>2026-03</v>
      </c>
      <c r="AG3400">
        <f>SUBTOTAL(103,A3400)</f>
        <v>1</v>
      </c>
    </row>
    <row r="3401" spans="1:33" x14ac:dyDescent="0.3">
      <c r="A3401" t="s">
        <v>6024</v>
      </c>
      <c r="B3401" s="13">
        <v>46096</v>
      </c>
      <c r="C3401">
        <v>2026</v>
      </c>
      <c r="D3401">
        <v>3</v>
      </c>
      <c r="E3401" t="s">
        <v>3053</v>
      </c>
      <c r="F3401" t="s">
        <v>2572</v>
      </c>
      <c r="G3401" t="s">
        <v>367</v>
      </c>
      <c r="H3401" t="s">
        <v>368</v>
      </c>
      <c r="I3401" t="s">
        <v>85</v>
      </c>
      <c r="J3401">
        <v>53</v>
      </c>
      <c r="K3401" t="s">
        <v>83</v>
      </c>
      <c r="L3401" t="s">
        <v>91</v>
      </c>
      <c r="M3401" t="s">
        <v>55</v>
      </c>
      <c r="N3401" t="s">
        <v>2603</v>
      </c>
      <c r="O3401" t="s">
        <v>122</v>
      </c>
      <c r="P3401" t="s">
        <v>48</v>
      </c>
      <c r="Q3401" t="s">
        <v>141</v>
      </c>
      <c r="R3401">
        <v>1</v>
      </c>
      <c r="S3401">
        <v>2499</v>
      </c>
      <c r="T3401">
        <v>0.05</v>
      </c>
      <c r="U3401">
        <v>2374.0500000000002</v>
      </c>
      <c r="V3401">
        <v>1450</v>
      </c>
      <c r="W3401">
        <v>924.05</v>
      </c>
      <c r="X3401" t="s">
        <v>74</v>
      </c>
      <c r="Y3401" t="s">
        <v>68</v>
      </c>
      <c r="Z3401" t="s">
        <v>163</v>
      </c>
      <c r="AA3401" t="s">
        <v>168</v>
      </c>
      <c r="AB3401">
        <v>4.2</v>
      </c>
      <c r="AC3401">
        <v>40</v>
      </c>
      <c r="AD3401">
        <v>190.41</v>
      </c>
      <c r="AE3401">
        <f t="shared" si="106"/>
        <v>693.64</v>
      </c>
      <c r="AF3401" t="str">
        <f t="shared" si="107"/>
        <v>2026-03</v>
      </c>
      <c r="AG3401">
        <f>SUBTOTAL(103,A3401)</f>
        <v>1</v>
      </c>
    </row>
    <row r="3402" spans="1:33" x14ac:dyDescent="0.3">
      <c r="A3402" t="s">
        <v>6025</v>
      </c>
      <c r="B3402" s="13">
        <v>46096</v>
      </c>
      <c r="C3402">
        <v>2026</v>
      </c>
      <c r="D3402">
        <v>3</v>
      </c>
      <c r="E3402" t="s">
        <v>3053</v>
      </c>
      <c r="F3402" t="s">
        <v>2572</v>
      </c>
      <c r="G3402" t="s">
        <v>1879</v>
      </c>
      <c r="H3402" t="s">
        <v>1880</v>
      </c>
      <c r="I3402" t="s">
        <v>85</v>
      </c>
      <c r="J3402">
        <v>19</v>
      </c>
      <c r="K3402" t="s">
        <v>80</v>
      </c>
      <c r="L3402" t="s">
        <v>90</v>
      </c>
      <c r="M3402" t="s">
        <v>55</v>
      </c>
      <c r="N3402" t="s">
        <v>2582</v>
      </c>
      <c r="O3402" t="s">
        <v>119</v>
      </c>
      <c r="P3402" t="s">
        <v>49</v>
      </c>
      <c r="Q3402" t="s">
        <v>140</v>
      </c>
      <c r="R3402">
        <v>2</v>
      </c>
      <c r="S3402">
        <v>3499</v>
      </c>
      <c r="T3402">
        <v>0.2</v>
      </c>
      <c r="U3402">
        <v>5598.4</v>
      </c>
      <c r="V3402">
        <v>4200</v>
      </c>
      <c r="W3402">
        <v>1398.4</v>
      </c>
      <c r="X3402" t="s">
        <v>74</v>
      </c>
      <c r="Y3402" t="s">
        <v>68</v>
      </c>
      <c r="Z3402" t="s">
        <v>159</v>
      </c>
      <c r="AA3402" t="s">
        <v>168</v>
      </c>
      <c r="AB3402">
        <v>4.0999999999999996</v>
      </c>
      <c r="AC3402">
        <v>80</v>
      </c>
      <c r="AD3402">
        <v>415.22</v>
      </c>
      <c r="AE3402">
        <f t="shared" si="106"/>
        <v>903.18000000000006</v>
      </c>
      <c r="AF3402" t="str">
        <f t="shared" si="107"/>
        <v>2026-03</v>
      </c>
      <c r="AG3402">
        <f>SUBTOTAL(103,A3402)</f>
        <v>1</v>
      </c>
    </row>
    <row r="3403" spans="1:33" x14ac:dyDescent="0.3">
      <c r="A3403" t="s">
        <v>6026</v>
      </c>
      <c r="B3403" s="13">
        <v>46096</v>
      </c>
      <c r="C3403">
        <v>2026</v>
      </c>
      <c r="D3403">
        <v>3</v>
      </c>
      <c r="E3403" t="s">
        <v>3053</v>
      </c>
      <c r="F3403" t="s">
        <v>2572</v>
      </c>
      <c r="G3403" t="s">
        <v>353</v>
      </c>
      <c r="H3403" t="s">
        <v>354</v>
      </c>
      <c r="I3403" t="s">
        <v>86</v>
      </c>
      <c r="J3403">
        <v>41</v>
      </c>
      <c r="K3403" t="s">
        <v>82</v>
      </c>
      <c r="L3403" t="s">
        <v>100</v>
      </c>
      <c r="M3403" t="s">
        <v>56</v>
      </c>
      <c r="N3403" t="s">
        <v>2592</v>
      </c>
      <c r="O3403" t="s">
        <v>115</v>
      </c>
      <c r="P3403" t="s">
        <v>48</v>
      </c>
      <c r="Q3403" t="s">
        <v>137</v>
      </c>
      <c r="R3403">
        <v>4</v>
      </c>
      <c r="S3403">
        <v>12999</v>
      </c>
      <c r="T3403">
        <v>0.05</v>
      </c>
      <c r="U3403">
        <v>49396.2</v>
      </c>
      <c r="V3403">
        <v>36000</v>
      </c>
      <c r="W3403">
        <v>13396.2</v>
      </c>
      <c r="X3403" t="s">
        <v>73</v>
      </c>
      <c r="Y3403" t="s">
        <v>68</v>
      </c>
      <c r="Z3403" t="s">
        <v>163</v>
      </c>
      <c r="AA3403" t="s">
        <v>166</v>
      </c>
      <c r="AB3403">
        <v>4.3</v>
      </c>
      <c r="AC3403">
        <v>50</v>
      </c>
      <c r="AD3403">
        <v>2366.34</v>
      </c>
      <c r="AE3403">
        <f t="shared" si="106"/>
        <v>10979.86</v>
      </c>
      <c r="AF3403" t="str">
        <f t="shared" si="107"/>
        <v>2026-03</v>
      </c>
      <c r="AG3403">
        <f>SUBTOTAL(103,A3403)</f>
        <v>1</v>
      </c>
    </row>
    <row r="3404" spans="1:33" x14ac:dyDescent="0.3">
      <c r="A3404" t="s">
        <v>6027</v>
      </c>
      <c r="B3404" s="13">
        <v>46096</v>
      </c>
      <c r="C3404">
        <v>2026</v>
      </c>
      <c r="D3404">
        <v>3</v>
      </c>
      <c r="E3404" t="s">
        <v>3053</v>
      </c>
      <c r="F3404" t="s">
        <v>2572</v>
      </c>
      <c r="G3404" t="s">
        <v>1151</v>
      </c>
      <c r="H3404" t="s">
        <v>1152</v>
      </c>
      <c r="I3404" t="s">
        <v>85</v>
      </c>
      <c r="J3404">
        <v>44</v>
      </c>
      <c r="K3404" t="s">
        <v>82</v>
      </c>
      <c r="L3404" t="s">
        <v>94</v>
      </c>
      <c r="M3404" t="s">
        <v>57</v>
      </c>
      <c r="N3404" t="s">
        <v>2644</v>
      </c>
      <c r="O3404" t="s">
        <v>126</v>
      </c>
      <c r="P3404" t="s">
        <v>50</v>
      </c>
      <c r="Q3404" t="s">
        <v>145</v>
      </c>
      <c r="R3404">
        <v>2</v>
      </c>
      <c r="S3404">
        <v>1799</v>
      </c>
      <c r="T3404">
        <v>0.1</v>
      </c>
      <c r="U3404">
        <v>3238.2</v>
      </c>
      <c r="V3404">
        <v>1900</v>
      </c>
      <c r="W3404">
        <v>1338.2</v>
      </c>
      <c r="X3404" t="s">
        <v>74</v>
      </c>
      <c r="Y3404" t="s">
        <v>68</v>
      </c>
      <c r="Z3404" t="s">
        <v>161</v>
      </c>
      <c r="AA3404" t="s">
        <v>167</v>
      </c>
      <c r="AB3404">
        <v>3.9</v>
      </c>
      <c r="AC3404">
        <v>80</v>
      </c>
      <c r="AD3404">
        <v>248.45</v>
      </c>
      <c r="AE3404">
        <f t="shared" si="106"/>
        <v>1009.75</v>
      </c>
      <c r="AF3404" t="str">
        <f t="shared" si="107"/>
        <v>2026-03</v>
      </c>
      <c r="AG3404">
        <f>SUBTOTAL(103,A3404)</f>
        <v>1</v>
      </c>
    </row>
    <row r="3405" spans="1:33" x14ac:dyDescent="0.3">
      <c r="A3405" t="s">
        <v>6028</v>
      </c>
      <c r="B3405" s="13">
        <v>46096</v>
      </c>
      <c r="C3405">
        <v>2026</v>
      </c>
      <c r="D3405">
        <v>3</v>
      </c>
      <c r="E3405" t="s">
        <v>3053</v>
      </c>
      <c r="F3405" t="s">
        <v>2572</v>
      </c>
      <c r="G3405" t="s">
        <v>1347</v>
      </c>
      <c r="H3405" t="s">
        <v>1348</v>
      </c>
      <c r="I3405" t="s">
        <v>85</v>
      </c>
      <c r="J3405">
        <v>39</v>
      </c>
      <c r="K3405" t="s">
        <v>82</v>
      </c>
      <c r="L3405" t="s">
        <v>2616</v>
      </c>
      <c r="M3405" t="s">
        <v>62</v>
      </c>
      <c r="N3405" t="s">
        <v>2626</v>
      </c>
      <c r="O3405" t="s">
        <v>125</v>
      </c>
      <c r="P3405" t="s">
        <v>48</v>
      </c>
      <c r="Q3405" t="s">
        <v>141</v>
      </c>
      <c r="R3405">
        <v>1</v>
      </c>
      <c r="S3405">
        <v>1999</v>
      </c>
      <c r="T3405">
        <v>0</v>
      </c>
      <c r="U3405">
        <v>1999</v>
      </c>
      <c r="V3405">
        <v>1150</v>
      </c>
      <c r="W3405">
        <v>849</v>
      </c>
      <c r="X3405" t="s">
        <v>74</v>
      </c>
      <c r="Y3405" t="s">
        <v>68</v>
      </c>
      <c r="Z3405" t="s">
        <v>161</v>
      </c>
      <c r="AA3405" t="s">
        <v>166</v>
      </c>
      <c r="AB3405">
        <v>4.3</v>
      </c>
      <c r="AC3405">
        <v>50</v>
      </c>
      <c r="AD3405">
        <v>133.69999999999999</v>
      </c>
      <c r="AE3405">
        <f t="shared" si="106"/>
        <v>665.3</v>
      </c>
      <c r="AF3405" t="str">
        <f t="shared" si="107"/>
        <v>2026-03</v>
      </c>
      <c r="AG3405">
        <f>SUBTOTAL(103,A3405)</f>
        <v>1</v>
      </c>
    </row>
    <row r="3406" spans="1:33" x14ac:dyDescent="0.3">
      <c r="A3406" t="s">
        <v>6029</v>
      </c>
      <c r="B3406" s="13">
        <v>46096</v>
      </c>
      <c r="C3406">
        <v>2026</v>
      </c>
      <c r="D3406">
        <v>3</v>
      </c>
      <c r="E3406" t="s">
        <v>3053</v>
      </c>
      <c r="F3406" t="s">
        <v>2572</v>
      </c>
      <c r="G3406" t="s">
        <v>1743</v>
      </c>
      <c r="H3406" t="s">
        <v>1744</v>
      </c>
      <c r="I3406" t="s">
        <v>86</v>
      </c>
      <c r="J3406">
        <v>28</v>
      </c>
      <c r="K3406" t="s">
        <v>81</v>
      </c>
      <c r="L3406" t="s">
        <v>2616</v>
      </c>
      <c r="M3406" t="s">
        <v>62</v>
      </c>
      <c r="N3406" t="s">
        <v>2603</v>
      </c>
      <c r="O3406" t="s">
        <v>122</v>
      </c>
      <c r="P3406" t="s">
        <v>48</v>
      </c>
      <c r="Q3406" t="s">
        <v>141</v>
      </c>
      <c r="R3406">
        <v>1</v>
      </c>
      <c r="S3406">
        <v>2499</v>
      </c>
      <c r="T3406">
        <v>0.05</v>
      </c>
      <c r="U3406">
        <v>2374.0500000000002</v>
      </c>
      <c r="V3406">
        <v>1450</v>
      </c>
      <c r="W3406">
        <v>924.05</v>
      </c>
      <c r="X3406" t="s">
        <v>75</v>
      </c>
      <c r="Y3406" t="s">
        <v>68</v>
      </c>
      <c r="Z3406" t="s">
        <v>160</v>
      </c>
      <c r="AA3406" t="s">
        <v>171</v>
      </c>
      <c r="AB3406">
        <v>4.5999999999999996</v>
      </c>
      <c r="AC3406">
        <v>40</v>
      </c>
      <c r="AD3406">
        <v>153.6</v>
      </c>
      <c r="AE3406">
        <f t="shared" si="106"/>
        <v>730.44999999999993</v>
      </c>
      <c r="AF3406" t="str">
        <f t="shared" si="107"/>
        <v>2026-03</v>
      </c>
      <c r="AG3406">
        <f>SUBTOTAL(103,A3406)</f>
        <v>1</v>
      </c>
    </row>
    <row r="3407" spans="1:33" x14ac:dyDescent="0.3">
      <c r="A3407" t="s">
        <v>6030</v>
      </c>
      <c r="B3407" s="13">
        <v>46096</v>
      </c>
      <c r="C3407">
        <v>2026</v>
      </c>
      <c r="D3407">
        <v>3</v>
      </c>
      <c r="E3407" t="s">
        <v>3053</v>
      </c>
      <c r="F3407" t="s">
        <v>2572</v>
      </c>
      <c r="G3407" t="s">
        <v>1235</v>
      </c>
      <c r="H3407" t="s">
        <v>1236</v>
      </c>
      <c r="I3407" t="s">
        <v>85</v>
      </c>
      <c r="J3407">
        <v>48</v>
      </c>
      <c r="K3407" t="s">
        <v>83</v>
      </c>
      <c r="L3407" t="s">
        <v>91</v>
      </c>
      <c r="M3407" t="s">
        <v>55</v>
      </c>
      <c r="N3407" t="s">
        <v>2665</v>
      </c>
      <c r="O3407" t="s">
        <v>128</v>
      </c>
      <c r="P3407" t="s">
        <v>53</v>
      </c>
      <c r="Q3407" t="s">
        <v>143</v>
      </c>
      <c r="R3407">
        <v>5</v>
      </c>
      <c r="S3407">
        <v>1499</v>
      </c>
      <c r="T3407">
        <v>0.05</v>
      </c>
      <c r="U3407">
        <v>7120.25</v>
      </c>
      <c r="V3407">
        <v>4000</v>
      </c>
      <c r="W3407">
        <v>3120.25</v>
      </c>
      <c r="X3407" t="s">
        <v>74</v>
      </c>
      <c r="Y3407" t="s">
        <v>70</v>
      </c>
      <c r="Z3407" t="s">
        <v>159</v>
      </c>
      <c r="AA3407" t="s">
        <v>166</v>
      </c>
      <c r="AB3407">
        <v>3.3</v>
      </c>
      <c r="AC3407">
        <v>50</v>
      </c>
      <c r="AD3407">
        <v>827.72</v>
      </c>
      <c r="AE3407">
        <f t="shared" si="106"/>
        <v>2242.5299999999997</v>
      </c>
      <c r="AF3407" t="str">
        <f t="shared" si="107"/>
        <v>2026-03</v>
      </c>
      <c r="AG3407">
        <f>SUBTOTAL(103,A3407)</f>
        <v>1</v>
      </c>
    </row>
    <row r="3408" spans="1:33" x14ac:dyDescent="0.3">
      <c r="A3408" t="s">
        <v>6031</v>
      </c>
      <c r="B3408" s="13">
        <v>46096</v>
      </c>
      <c r="C3408">
        <v>2026</v>
      </c>
      <c r="D3408">
        <v>3</v>
      </c>
      <c r="E3408" t="s">
        <v>3053</v>
      </c>
      <c r="F3408" t="s">
        <v>2572</v>
      </c>
      <c r="G3408" t="s">
        <v>1351</v>
      </c>
      <c r="H3408" t="s">
        <v>1352</v>
      </c>
      <c r="I3408" t="s">
        <v>85</v>
      </c>
      <c r="J3408">
        <v>55</v>
      </c>
      <c r="K3408" t="s">
        <v>83</v>
      </c>
      <c r="L3408" t="s">
        <v>2687</v>
      </c>
      <c r="M3408" t="s">
        <v>57</v>
      </c>
      <c r="N3408" t="s">
        <v>2584</v>
      </c>
      <c r="O3408" t="s">
        <v>121</v>
      </c>
      <c r="P3408" t="s">
        <v>50</v>
      </c>
      <c r="Q3408" t="s">
        <v>144</v>
      </c>
      <c r="R3408">
        <v>1</v>
      </c>
      <c r="S3408">
        <v>2999</v>
      </c>
      <c r="T3408">
        <v>0.05</v>
      </c>
      <c r="U3408">
        <v>2849.05</v>
      </c>
      <c r="V3408">
        <v>1700</v>
      </c>
      <c r="W3408">
        <v>1149.05</v>
      </c>
      <c r="X3408" t="s">
        <v>76</v>
      </c>
      <c r="Y3408" t="s">
        <v>68</v>
      </c>
      <c r="Z3408" t="s">
        <v>160</v>
      </c>
      <c r="AA3408" t="s">
        <v>170</v>
      </c>
      <c r="AB3408">
        <v>4</v>
      </c>
      <c r="AC3408">
        <v>60</v>
      </c>
      <c r="AD3408">
        <v>163.68</v>
      </c>
      <c r="AE3408">
        <f t="shared" si="106"/>
        <v>925.36999999999989</v>
      </c>
      <c r="AF3408" t="str">
        <f t="shared" si="107"/>
        <v>2026-03</v>
      </c>
      <c r="AG3408">
        <f>SUBTOTAL(103,A3408)</f>
        <v>1</v>
      </c>
    </row>
    <row r="3409" spans="1:33" x14ac:dyDescent="0.3">
      <c r="A3409" t="s">
        <v>6032</v>
      </c>
      <c r="B3409" s="13">
        <v>46096</v>
      </c>
      <c r="C3409">
        <v>2026</v>
      </c>
      <c r="D3409">
        <v>3</v>
      </c>
      <c r="E3409" t="s">
        <v>3053</v>
      </c>
      <c r="F3409" t="s">
        <v>2572</v>
      </c>
      <c r="G3409" t="s">
        <v>1709</v>
      </c>
      <c r="H3409" t="s">
        <v>1710</v>
      </c>
      <c r="I3409" t="s">
        <v>86</v>
      </c>
      <c r="J3409">
        <v>54</v>
      </c>
      <c r="K3409" t="s">
        <v>83</v>
      </c>
      <c r="L3409" t="s">
        <v>99</v>
      </c>
      <c r="M3409" t="s">
        <v>58</v>
      </c>
      <c r="N3409" t="s">
        <v>2603</v>
      </c>
      <c r="O3409" t="s">
        <v>122</v>
      </c>
      <c r="P3409" t="s">
        <v>48</v>
      </c>
      <c r="Q3409" t="s">
        <v>141</v>
      </c>
      <c r="R3409">
        <v>3</v>
      </c>
      <c r="S3409">
        <v>2499</v>
      </c>
      <c r="T3409">
        <v>0.15</v>
      </c>
      <c r="U3409">
        <v>6372.45</v>
      </c>
      <c r="V3409">
        <v>4350</v>
      </c>
      <c r="W3409">
        <v>2022.45</v>
      </c>
      <c r="X3409" t="s">
        <v>73</v>
      </c>
      <c r="Y3409" t="s">
        <v>68</v>
      </c>
      <c r="Z3409" t="s">
        <v>160</v>
      </c>
      <c r="AA3409" t="s">
        <v>168</v>
      </c>
      <c r="AB3409">
        <v>5</v>
      </c>
      <c r="AC3409">
        <v>100</v>
      </c>
      <c r="AD3409">
        <v>239.25</v>
      </c>
      <c r="AE3409">
        <f t="shared" si="106"/>
        <v>1683.2</v>
      </c>
      <c r="AF3409" t="str">
        <f t="shared" si="107"/>
        <v>2026-03</v>
      </c>
      <c r="AG3409">
        <f>SUBTOTAL(103,A3409)</f>
        <v>1</v>
      </c>
    </row>
    <row r="3410" spans="1:33" x14ac:dyDescent="0.3">
      <c r="A3410" t="s">
        <v>6033</v>
      </c>
      <c r="B3410" s="13">
        <v>46096</v>
      </c>
      <c r="C3410">
        <v>2026</v>
      </c>
      <c r="D3410">
        <v>3</v>
      </c>
      <c r="E3410" t="s">
        <v>3053</v>
      </c>
      <c r="F3410" t="s">
        <v>2572</v>
      </c>
      <c r="G3410" t="s">
        <v>1663</v>
      </c>
      <c r="H3410" t="s">
        <v>1664</v>
      </c>
      <c r="I3410" t="s">
        <v>86</v>
      </c>
      <c r="J3410">
        <v>25</v>
      </c>
      <c r="K3410" t="s">
        <v>80</v>
      </c>
      <c r="L3410" t="s">
        <v>2661</v>
      </c>
      <c r="M3410" t="s">
        <v>58</v>
      </c>
      <c r="N3410" t="s">
        <v>2592</v>
      </c>
      <c r="O3410" t="s">
        <v>115</v>
      </c>
      <c r="P3410" t="s">
        <v>48</v>
      </c>
      <c r="Q3410" t="s">
        <v>137</v>
      </c>
      <c r="R3410">
        <v>1</v>
      </c>
      <c r="S3410">
        <v>12999</v>
      </c>
      <c r="T3410">
        <v>0.25</v>
      </c>
      <c r="U3410">
        <v>9749.25</v>
      </c>
      <c r="V3410">
        <v>9000</v>
      </c>
      <c r="W3410">
        <v>749.25</v>
      </c>
      <c r="X3410" t="s">
        <v>73</v>
      </c>
      <c r="Y3410" t="s">
        <v>68</v>
      </c>
      <c r="Z3410" t="s">
        <v>158</v>
      </c>
      <c r="AA3410" t="s">
        <v>170</v>
      </c>
      <c r="AB3410">
        <v>3.4</v>
      </c>
      <c r="AC3410">
        <v>60</v>
      </c>
      <c r="AD3410">
        <v>744.22</v>
      </c>
      <c r="AE3410">
        <f t="shared" si="106"/>
        <v>-54.970000000000027</v>
      </c>
      <c r="AF3410" t="str">
        <f t="shared" si="107"/>
        <v>2026-03</v>
      </c>
      <c r="AG3410">
        <f>SUBTOTAL(103,A3410)</f>
        <v>1</v>
      </c>
    </row>
    <row r="3411" spans="1:33" x14ac:dyDescent="0.3">
      <c r="A3411" t="s">
        <v>6034</v>
      </c>
      <c r="B3411" s="13">
        <v>46097</v>
      </c>
      <c r="C3411">
        <v>2026</v>
      </c>
      <c r="D3411">
        <v>3</v>
      </c>
      <c r="E3411" t="s">
        <v>3053</v>
      </c>
      <c r="F3411" t="s">
        <v>2572</v>
      </c>
      <c r="G3411" t="s">
        <v>1861</v>
      </c>
      <c r="H3411" t="s">
        <v>1862</v>
      </c>
      <c r="I3411" t="s">
        <v>85</v>
      </c>
      <c r="J3411">
        <v>26</v>
      </c>
      <c r="K3411" t="s">
        <v>81</v>
      </c>
      <c r="L3411" t="s">
        <v>2661</v>
      </c>
      <c r="M3411" t="s">
        <v>58</v>
      </c>
      <c r="N3411" t="s">
        <v>2603</v>
      </c>
      <c r="O3411" t="s">
        <v>122</v>
      </c>
      <c r="P3411" t="s">
        <v>48</v>
      </c>
      <c r="Q3411" t="s">
        <v>141</v>
      </c>
      <c r="R3411">
        <v>2</v>
      </c>
      <c r="S3411">
        <v>2499</v>
      </c>
      <c r="T3411">
        <v>0.25</v>
      </c>
      <c r="U3411">
        <v>3748.5</v>
      </c>
      <c r="V3411">
        <v>2900</v>
      </c>
      <c r="W3411">
        <v>848.5</v>
      </c>
      <c r="X3411" t="s">
        <v>73</v>
      </c>
      <c r="Y3411" t="s">
        <v>68</v>
      </c>
      <c r="Z3411" t="s">
        <v>161</v>
      </c>
      <c r="AA3411" t="s">
        <v>170</v>
      </c>
      <c r="AB3411">
        <v>3.6</v>
      </c>
      <c r="AC3411">
        <v>100</v>
      </c>
      <c r="AD3411">
        <v>223.08</v>
      </c>
      <c r="AE3411">
        <f t="shared" si="106"/>
        <v>525.41999999999996</v>
      </c>
      <c r="AF3411" t="str">
        <f t="shared" si="107"/>
        <v>2026-03</v>
      </c>
      <c r="AG3411">
        <f>SUBTOTAL(103,A3411)</f>
        <v>1</v>
      </c>
    </row>
    <row r="3412" spans="1:33" x14ac:dyDescent="0.3">
      <c r="A3412" t="s">
        <v>6035</v>
      </c>
      <c r="B3412" s="13">
        <v>46097</v>
      </c>
      <c r="C3412">
        <v>2026</v>
      </c>
      <c r="D3412">
        <v>3</v>
      </c>
      <c r="E3412" t="s">
        <v>3053</v>
      </c>
      <c r="F3412" t="s">
        <v>2572</v>
      </c>
      <c r="G3412" t="s">
        <v>297</v>
      </c>
      <c r="H3412" t="s">
        <v>298</v>
      </c>
      <c r="I3412" t="s">
        <v>86</v>
      </c>
      <c r="J3412">
        <v>33</v>
      </c>
      <c r="K3412" t="s">
        <v>81</v>
      </c>
      <c r="L3412" t="s">
        <v>90</v>
      </c>
      <c r="M3412" t="s">
        <v>55</v>
      </c>
      <c r="N3412" t="s">
        <v>2603</v>
      </c>
      <c r="O3412" t="s">
        <v>122</v>
      </c>
      <c r="P3412" t="s">
        <v>48</v>
      </c>
      <c r="Q3412" t="s">
        <v>141</v>
      </c>
      <c r="R3412">
        <v>2</v>
      </c>
      <c r="S3412">
        <v>2499</v>
      </c>
      <c r="T3412">
        <v>0</v>
      </c>
      <c r="U3412">
        <v>4998</v>
      </c>
      <c r="V3412">
        <v>2900</v>
      </c>
      <c r="W3412">
        <v>2098</v>
      </c>
      <c r="X3412" t="s">
        <v>74</v>
      </c>
      <c r="Y3412" t="s">
        <v>68</v>
      </c>
      <c r="Z3412" t="s">
        <v>161</v>
      </c>
      <c r="AA3412" t="s">
        <v>170</v>
      </c>
      <c r="AB3412">
        <v>4.3</v>
      </c>
      <c r="AC3412">
        <v>80</v>
      </c>
      <c r="AD3412">
        <v>204.85</v>
      </c>
      <c r="AE3412">
        <f t="shared" si="106"/>
        <v>1813.15</v>
      </c>
      <c r="AF3412" t="str">
        <f t="shared" si="107"/>
        <v>2026-03</v>
      </c>
      <c r="AG3412">
        <f>SUBTOTAL(103,A3412)</f>
        <v>1</v>
      </c>
    </row>
    <row r="3413" spans="1:33" x14ac:dyDescent="0.3">
      <c r="A3413" t="s">
        <v>6036</v>
      </c>
      <c r="B3413" s="13">
        <v>46097</v>
      </c>
      <c r="C3413">
        <v>2026</v>
      </c>
      <c r="D3413">
        <v>3</v>
      </c>
      <c r="E3413" t="s">
        <v>3053</v>
      </c>
      <c r="F3413" t="s">
        <v>2572</v>
      </c>
      <c r="G3413" t="s">
        <v>1141</v>
      </c>
      <c r="H3413" t="s">
        <v>1142</v>
      </c>
      <c r="I3413" t="s">
        <v>85</v>
      </c>
      <c r="J3413">
        <v>53</v>
      </c>
      <c r="K3413" t="s">
        <v>83</v>
      </c>
      <c r="L3413" t="s">
        <v>90</v>
      </c>
      <c r="M3413" t="s">
        <v>55</v>
      </c>
      <c r="N3413" t="s">
        <v>2584</v>
      </c>
      <c r="O3413" t="s">
        <v>121</v>
      </c>
      <c r="P3413" t="s">
        <v>50</v>
      </c>
      <c r="Q3413" t="s">
        <v>144</v>
      </c>
      <c r="R3413">
        <v>2</v>
      </c>
      <c r="S3413">
        <v>2999</v>
      </c>
      <c r="T3413">
        <v>0</v>
      </c>
      <c r="U3413">
        <v>5998</v>
      </c>
      <c r="V3413">
        <v>3400</v>
      </c>
      <c r="W3413">
        <v>2598</v>
      </c>
      <c r="X3413" t="s">
        <v>76</v>
      </c>
      <c r="Y3413" t="s">
        <v>68</v>
      </c>
      <c r="Z3413" t="s">
        <v>163</v>
      </c>
      <c r="AA3413" t="s">
        <v>169</v>
      </c>
      <c r="AB3413">
        <v>2.9</v>
      </c>
      <c r="AC3413">
        <v>80</v>
      </c>
      <c r="AD3413">
        <v>651.65</v>
      </c>
      <c r="AE3413">
        <f t="shared" si="106"/>
        <v>1866.35</v>
      </c>
      <c r="AF3413" t="str">
        <f t="shared" si="107"/>
        <v>2026-03</v>
      </c>
      <c r="AG3413">
        <f>SUBTOTAL(103,A3413)</f>
        <v>1</v>
      </c>
    </row>
    <row r="3414" spans="1:33" x14ac:dyDescent="0.3">
      <c r="A3414" t="s">
        <v>6037</v>
      </c>
      <c r="B3414" s="13">
        <v>46097</v>
      </c>
      <c r="C3414">
        <v>2026</v>
      </c>
      <c r="D3414">
        <v>3</v>
      </c>
      <c r="E3414" t="s">
        <v>3053</v>
      </c>
      <c r="F3414" t="s">
        <v>2572</v>
      </c>
      <c r="G3414" t="s">
        <v>895</v>
      </c>
      <c r="H3414" t="s">
        <v>896</v>
      </c>
      <c r="I3414" t="s">
        <v>86</v>
      </c>
      <c r="J3414">
        <v>24</v>
      </c>
      <c r="K3414" t="s">
        <v>80</v>
      </c>
      <c r="L3414" t="s">
        <v>95</v>
      </c>
      <c r="M3414" t="s">
        <v>56</v>
      </c>
      <c r="N3414" t="s">
        <v>2574</v>
      </c>
      <c r="O3414" t="s">
        <v>130</v>
      </c>
      <c r="P3414" t="s">
        <v>50</v>
      </c>
      <c r="Q3414" t="s">
        <v>53</v>
      </c>
      <c r="R3414">
        <v>1</v>
      </c>
      <c r="S3414">
        <v>1199</v>
      </c>
      <c r="T3414">
        <v>0</v>
      </c>
      <c r="U3414">
        <v>1199</v>
      </c>
      <c r="V3414">
        <v>550</v>
      </c>
      <c r="W3414">
        <v>649</v>
      </c>
      <c r="X3414" t="s">
        <v>77</v>
      </c>
      <c r="Y3414" t="s">
        <v>68</v>
      </c>
      <c r="Z3414" t="s">
        <v>162</v>
      </c>
      <c r="AA3414" t="s">
        <v>171</v>
      </c>
      <c r="AB3414">
        <v>4.0999999999999996</v>
      </c>
      <c r="AC3414">
        <v>80</v>
      </c>
      <c r="AD3414">
        <v>70.44</v>
      </c>
      <c r="AE3414">
        <f t="shared" si="106"/>
        <v>498.56</v>
      </c>
      <c r="AF3414" t="str">
        <f t="shared" si="107"/>
        <v>2026-03</v>
      </c>
      <c r="AG3414">
        <f>SUBTOTAL(103,A3414)</f>
        <v>1</v>
      </c>
    </row>
    <row r="3415" spans="1:33" x14ac:dyDescent="0.3">
      <c r="A3415" t="s">
        <v>6038</v>
      </c>
      <c r="B3415" s="13">
        <v>46097</v>
      </c>
      <c r="C3415">
        <v>2026</v>
      </c>
      <c r="D3415">
        <v>3</v>
      </c>
      <c r="E3415" t="s">
        <v>3053</v>
      </c>
      <c r="F3415" t="s">
        <v>2572</v>
      </c>
      <c r="G3415" t="s">
        <v>1505</v>
      </c>
      <c r="H3415" t="s">
        <v>1506</v>
      </c>
      <c r="I3415" t="s">
        <v>86</v>
      </c>
      <c r="J3415">
        <v>41</v>
      </c>
      <c r="K3415" t="s">
        <v>82</v>
      </c>
      <c r="L3415" t="s">
        <v>59</v>
      </c>
      <c r="M3415" t="s">
        <v>59</v>
      </c>
      <c r="N3415" t="s">
        <v>2584</v>
      </c>
      <c r="O3415" t="s">
        <v>121</v>
      </c>
      <c r="P3415" t="s">
        <v>50</v>
      </c>
      <c r="Q3415" t="s">
        <v>144</v>
      </c>
      <c r="R3415">
        <v>2</v>
      </c>
      <c r="S3415">
        <v>2999</v>
      </c>
      <c r="T3415">
        <v>0</v>
      </c>
      <c r="U3415">
        <v>5998</v>
      </c>
      <c r="V3415">
        <v>3400</v>
      </c>
      <c r="W3415">
        <v>2598</v>
      </c>
      <c r="X3415" t="s">
        <v>74</v>
      </c>
      <c r="Y3415" t="s">
        <v>68</v>
      </c>
      <c r="Z3415" t="s">
        <v>158</v>
      </c>
      <c r="AA3415" t="s">
        <v>169</v>
      </c>
      <c r="AB3415">
        <v>4.3</v>
      </c>
      <c r="AC3415">
        <v>50</v>
      </c>
      <c r="AD3415">
        <v>284.76</v>
      </c>
      <c r="AE3415">
        <f t="shared" si="106"/>
        <v>2263.2399999999998</v>
      </c>
      <c r="AF3415" t="str">
        <f t="shared" si="107"/>
        <v>2026-03</v>
      </c>
      <c r="AG3415">
        <f>SUBTOTAL(103,A3415)</f>
        <v>1</v>
      </c>
    </row>
    <row r="3416" spans="1:33" x14ac:dyDescent="0.3">
      <c r="A3416" t="s">
        <v>6039</v>
      </c>
      <c r="B3416" s="13">
        <v>46097</v>
      </c>
      <c r="C3416">
        <v>2026</v>
      </c>
      <c r="D3416">
        <v>3</v>
      </c>
      <c r="E3416" t="s">
        <v>3053</v>
      </c>
      <c r="F3416" t="s">
        <v>2572</v>
      </c>
      <c r="G3416" t="s">
        <v>1721</v>
      </c>
      <c r="H3416" t="s">
        <v>1722</v>
      </c>
      <c r="I3416" t="s">
        <v>86</v>
      </c>
      <c r="J3416">
        <v>30</v>
      </c>
      <c r="K3416" t="s">
        <v>81</v>
      </c>
      <c r="L3416" t="s">
        <v>90</v>
      </c>
      <c r="M3416" t="s">
        <v>55</v>
      </c>
      <c r="N3416" t="s">
        <v>2644</v>
      </c>
      <c r="O3416" t="s">
        <v>126</v>
      </c>
      <c r="P3416" t="s">
        <v>50</v>
      </c>
      <c r="Q3416" t="s">
        <v>145</v>
      </c>
      <c r="R3416">
        <v>1</v>
      </c>
      <c r="S3416">
        <v>1799</v>
      </c>
      <c r="T3416">
        <v>0.15</v>
      </c>
      <c r="U3416">
        <v>1529.15</v>
      </c>
      <c r="V3416">
        <v>950</v>
      </c>
      <c r="W3416">
        <v>579.15</v>
      </c>
      <c r="X3416" t="s">
        <v>77</v>
      </c>
      <c r="Y3416" t="s">
        <v>68</v>
      </c>
      <c r="Z3416" t="s">
        <v>160</v>
      </c>
      <c r="AA3416" t="s">
        <v>170</v>
      </c>
      <c r="AB3416">
        <v>4</v>
      </c>
      <c r="AC3416">
        <v>120</v>
      </c>
      <c r="AD3416">
        <v>77.900000000000006</v>
      </c>
      <c r="AE3416">
        <f t="shared" si="106"/>
        <v>381.25</v>
      </c>
      <c r="AF3416" t="str">
        <f t="shared" si="107"/>
        <v>2026-03</v>
      </c>
      <c r="AG3416">
        <f>SUBTOTAL(103,A3416)</f>
        <v>1</v>
      </c>
    </row>
    <row r="3417" spans="1:33" x14ac:dyDescent="0.3">
      <c r="A3417" t="s">
        <v>6040</v>
      </c>
      <c r="B3417" s="13">
        <v>46097</v>
      </c>
      <c r="C3417">
        <v>2026</v>
      </c>
      <c r="D3417">
        <v>3</v>
      </c>
      <c r="E3417" t="s">
        <v>3053</v>
      </c>
      <c r="F3417" t="s">
        <v>2572</v>
      </c>
      <c r="G3417" t="s">
        <v>779</v>
      </c>
      <c r="H3417" t="s">
        <v>780</v>
      </c>
      <c r="I3417" t="s">
        <v>85</v>
      </c>
      <c r="J3417">
        <v>19</v>
      </c>
      <c r="K3417" t="s">
        <v>80</v>
      </c>
      <c r="L3417" t="s">
        <v>96</v>
      </c>
      <c r="M3417" t="s">
        <v>55</v>
      </c>
      <c r="N3417" t="s">
        <v>2601</v>
      </c>
      <c r="O3417" t="s">
        <v>117</v>
      </c>
      <c r="P3417" t="s">
        <v>49</v>
      </c>
      <c r="Q3417" t="s">
        <v>139</v>
      </c>
      <c r="R3417">
        <v>4</v>
      </c>
      <c r="S3417">
        <v>6999</v>
      </c>
      <c r="T3417">
        <v>0.05</v>
      </c>
      <c r="U3417">
        <v>26596.2</v>
      </c>
      <c r="V3417">
        <v>17200</v>
      </c>
      <c r="W3417">
        <v>9396.2000000000007</v>
      </c>
      <c r="X3417" t="s">
        <v>76</v>
      </c>
      <c r="Y3417" t="s">
        <v>68</v>
      </c>
      <c r="Z3417" t="s">
        <v>160</v>
      </c>
      <c r="AA3417" t="s">
        <v>169</v>
      </c>
      <c r="AB3417">
        <v>4.0999999999999996</v>
      </c>
      <c r="AC3417">
        <v>50</v>
      </c>
      <c r="AD3417">
        <v>3146.4</v>
      </c>
      <c r="AE3417">
        <f t="shared" si="106"/>
        <v>6199.8000000000011</v>
      </c>
      <c r="AF3417" t="str">
        <f t="shared" si="107"/>
        <v>2026-03</v>
      </c>
      <c r="AG3417">
        <f>SUBTOTAL(103,A3417)</f>
        <v>1</v>
      </c>
    </row>
    <row r="3418" spans="1:33" x14ac:dyDescent="0.3">
      <c r="A3418" t="s">
        <v>6041</v>
      </c>
      <c r="B3418" s="13">
        <v>46097</v>
      </c>
      <c r="C3418">
        <v>2026</v>
      </c>
      <c r="D3418">
        <v>3</v>
      </c>
      <c r="E3418" t="s">
        <v>3053</v>
      </c>
      <c r="F3418" t="s">
        <v>2572</v>
      </c>
      <c r="G3418" t="s">
        <v>1913</v>
      </c>
      <c r="H3418" t="s">
        <v>1914</v>
      </c>
      <c r="I3418" t="s">
        <v>86</v>
      </c>
      <c r="J3418">
        <v>32</v>
      </c>
      <c r="K3418" t="s">
        <v>81</v>
      </c>
      <c r="L3418" t="s">
        <v>2586</v>
      </c>
      <c r="M3418" t="s">
        <v>62</v>
      </c>
      <c r="N3418" t="s">
        <v>2594</v>
      </c>
      <c r="O3418" t="s">
        <v>131</v>
      </c>
      <c r="P3418" t="s">
        <v>53</v>
      </c>
      <c r="Q3418" t="s">
        <v>143</v>
      </c>
      <c r="R3418">
        <v>5</v>
      </c>
      <c r="S3418">
        <v>999</v>
      </c>
      <c r="T3418">
        <v>0</v>
      </c>
      <c r="U3418">
        <v>4995</v>
      </c>
      <c r="V3418">
        <v>2600</v>
      </c>
      <c r="W3418">
        <v>2395</v>
      </c>
      <c r="X3418" t="s">
        <v>74</v>
      </c>
      <c r="Y3418" t="s">
        <v>68</v>
      </c>
      <c r="Z3418" t="s">
        <v>160</v>
      </c>
      <c r="AA3418" t="s">
        <v>170</v>
      </c>
      <c r="AB3418">
        <v>4</v>
      </c>
      <c r="AC3418">
        <v>60</v>
      </c>
      <c r="AD3418">
        <v>558.04999999999995</v>
      </c>
      <c r="AE3418">
        <f t="shared" si="106"/>
        <v>1776.95</v>
      </c>
      <c r="AF3418" t="str">
        <f t="shared" si="107"/>
        <v>2026-03</v>
      </c>
      <c r="AG3418">
        <f>SUBTOTAL(103,A3418)</f>
        <v>1</v>
      </c>
    </row>
    <row r="3419" spans="1:33" x14ac:dyDescent="0.3">
      <c r="A3419" t="s">
        <v>6042</v>
      </c>
      <c r="B3419" s="13">
        <v>46097</v>
      </c>
      <c r="C3419">
        <v>2026</v>
      </c>
      <c r="D3419">
        <v>3</v>
      </c>
      <c r="E3419" t="s">
        <v>3053</v>
      </c>
      <c r="F3419" t="s">
        <v>2572</v>
      </c>
      <c r="G3419" t="s">
        <v>1757</v>
      </c>
      <c r="H3419" t="s">
        <v>1758</v>
      </c>
      <c r="I3419" t="s">
        <v>85</v>
      </c>
      <c r="J3419">
        <v>22</v>
      </c>
      <c r="K3419" t="s">
        <v>80</v>
      </c>
      <c r="L3419" t="s">
        <v>2687</v>
      </c>
      <c r="M3419" t="s">
        <v>57</v>
      </c>
      <c r="N3419" t="s">
        <v>2657</v>
      </c>
      <c r="O3419" t="s">
        <v>134</v>
      </c>
      <c r="P3419" t="s">
        <v>49</v>
      </c>
      <c r="Q3419" t="s">
        <v>140</v>
      </c>
      <c r="R3419">
        <v>1</v>
      </c>
      <c r="S3419">
        <v>599</v>
      </c>
      <c r="T3419">
        <v>0.1</v>
      </c>
      <c r="U3419">
        <v>539.1</v>
      </c>
      <c r="V3419">
        <v>250</v>
      </c>
      <c r="W3419">
        <v>289.10000000000002</v>
      </c>
      <c r="X3419" t="s">
        <v>75</v>
      </c>
      <c r="Y3419" t="s">
        <v>68</v>
      </c>
      <c r="Z3419" t="s">
        <v>159</v>
      </c>
      <c r="AA3419" t="s">
        <v>166</v>
      </c>
      <c r="AB3419">
        <v>5</v>
      </c>
      <c r="AC3419">
        <v>50</v>
      </c>
      <c r="AD3419">
        <v>20</v>
      </c>
      <c r="AE3419">
        <f t="shared" si="106"/>
        <v>219.10000000000002</v>
      </c>
      <c r="AF3419" t="str">
        <f t="shared" si="107"/>
        <v>2026-03</v>
      </c>
      <c r="AG3419">
        <f>SUBTOTAL(103,A3419)</f>
        <v>1</v>
      </c>
    </row>
    <row r="3420" spans="1:33" x14ac:dyDescent="0.3">
      <c r="A3420" t="s">
        <v>6043</v>
      </c>
      <c r="B3420" s="13">
        <v>46097</v>
      </c>
      <c r="C3420">
        <v>2026</v>
      </c>
      <c r="D3420">
        <v>3</v>
      </c>
      <c r="E3420" t="s">
        <v>3053</v>
      </c>
      <c r="F3420" t="s">
        <v>2572</v>
      </c>
      <c r="G3420" t="s">
        <v>1159</v>
      </c>
      <c r="H3420" t="s">
        <v>1160</v>
      </c>
      <c r="I3420" t="s">
        <v>86</v>
      </c>
      <c r="J3420">
        <v>37</v>
      </c>
      <c r="K3420" t="s">
        <v>82</v>
      </c>
      <c r="L3420" t="s">
        <v>2605</v>
      </c>
      <c r="M3420" t="s">
        <v>60</v>
      </c>
      <c r="N3420" t="s">
        <v>2630</v>
      </c>
      <c r="O3420" t="s">
        <v>123</v>
      </c>
      <c r="P3420" t="s">
        <v>52</v>
      </c>
      <c r="Q3420" t="s">
        <v>146</v>
      </c>
      <c r="R3420">
        <v>5</v>
      </c>
      <c r="S3420">
        <v>2499</v>
      </c>
      <c r="T3420">
        <v>0.15</v>
      </c>
      <c r="U3420">
        <v>10620.75</v>
      </c>
      <c r="V3420">
        <v>7000</v>
      </c>
      <c r="W3420">
        <v>3620.75</v>
      </c>
      <c r="X3420" t="s">
        <v>77</v>
      </c>
      <c r="Y3420" t="s">
        <v>68</v>
      </c>
      <c r="Z3420" t="s">
        <v>158</v>
      </c>
      <c r="AA3420" t="s">
        <v>168</v>
      </c>
      <c r="AB3420">
        <v>3.3</v>
      </c>
      <c r="AC3420">
        <v>80</v>
      </c>
      <c r="AD3420">
        <v>641.27</v>
      </c>
      <c r="AE3420">
        <f t="shared" si="106"/>
        <v>2899.48</v>
      </c>
      <c r="AF3420" t="str">
        <f t="shared" si="107"/>
        <v>2026-03</v>
      </c>
      <c r="AG3420">
        <f>SUBTOTAL(103,A3420)</f>
        <v>1</v>
      </c>
    </row>
    <row r="3421" spans="1:33" x14ac:dyDescent="0.3">
      <c r="A3421" t="s">
        <v>6044</v>
      </c>
      <c r="B3421" s="13">
        <v>46097</v>
      </c>
      <c r="C3421">
        <v>2026</v>
      </c>
      <c r="D3421">
        <v>3</v>
      </c>
      <c r="E3421" t="s">
        <v>3053</v>
      </c>
      <c r="F3421" t="s">
        <v>2572</v>
      </c>
      <c r="G3421" t="s">
        <v>1585</v>
      </c>
      <c r="H3421" t="s">
        <v>1586</v>
      </c>
      <c r="I3421" t="s">
        <v>85</v>
      </c>
      <c r="J3421">
        <v>34</v>
      </c>
      <c r="K3421" t="s">
        <v>81</v>
      </c>
      <c r="L3421" t="s">
        <v>100</v>
      </c>
      <c r="M3421" t="s">
        <v>56</v>
      </c>
      <c r="N3421" t="s">
        <v>2644</v>
      </c>
      <c r="O3421" t="s">
        <v>126</v>
      </c>
      <c r="P3421" t="s">
        <v>50</v>
      </c>
      <c r="Q3421" t="s">
        <v>145</v>
      </c>
      <c r="R3421">
        <v>2</v>
      </c>
      <c r="S3421">
        <v>1799</v>
      </c>
      <c r="T3421">
        <v>0.05</v>
      </c>
      <c r="U3421">
        <v>3418.1</v>
      </c>
      <c r="V3421">
        <v>1900</v>
      </c>
      <c r="W3421">
        <v>1518.1</v>
      </c>
      <c r="X3421" t="s">
        <v>76</v>
      </c>
      <c r="Y3421" t="s">
        <v>68</v>
      </c>
      <c r="Z3421" t="s">
        <v>158</v>
      </c>
      <c r="AA3421" t="s">
        <v>167</v>
      </c>
      <c r="AB3421">
        <v>2.7</v>
      </c>
      <c r="AC3421">
        <v>60</v>
      </c>
      <c r="AD3421">
        <v>308.13</v>
      </c>
      <c r="AE3421">
        <f t="shared" si="106"/>
        <v>1149.9699999999998</v>
      </c>
      <c r="AF3421" t="str">
        <f t="shared" si="107"/>
        <v>2026-03</v>
      </c>
      <c r="AG3421">
        <f>SUBTOTAL(103,A3421)</f>
        <v>1</v>
      </c>
    </row>
    <row r="3422" spans="1:33" x14ac:dyDescent="0.3">
      <c r="A3422" t="s">
        <v>6045</v>
      </c>
      <c r="B3422" s="13">
        <v>46098</v>
      </c>
      <c r="C3422">
        <v>2026</v>
      </c>
      <c r="D3422">
        <v>3</v>
      </c>
      <c r="E3422" t="s">
        <v>3053</v>
      </c>
      <c r="F3422" t="s">
        <v>2572</v>
      </c>
      <c r="G3422" t="s">
        <v>273</v>
      </c>
      <c r="H3422" t="s">
        <v>274</v>
      </c>
      <c r="I3422" t="s">
        <v>86</v>
      </c>
      <c r="J3422">
        <v>36</v>
      </c>
      <c r="K3422" t="s">
        <v>82</v>
      </c>
      <c r="L3422" t="s">
        <v>99</v>
      </c>
      <c r="M3422" t="s">
        <v>58</v>
      </c>
      <c r="N3422" t="s">
        <v>2587</v>
      </c>
      <c r="O3422" t="s">
        <v>116</v>
      </c>
      <c r="P3422" t="s">
        <v>48</v>
      </c>
      <c r="Q3422" t="s">
        <v>138</v>
      </c>
      <c r="R3422">
        <v>4</v>
      </c>
      <c r="S3422">
        <v>14999</v>
      </c>
      <c r="T3422">
        <v>0</v>
      </c>
      <c r="U3422">
        <v>59996</v>
      </c>
      <c r="V3422">
        <v>44800</v>
      </c>
      <c r="W3422">
        <v>15196</v>
      </c>
      <c r="X3422" t="s">
        <v>75</v>
      </c>
      <c r="Y3422" t="s">
        <v>68</v>
      </c>
      <c r="Z3422" t="s">
        <v>160</v>
      </c>
      <c r="AA3422" t="s">
        <v>166</v>
      </c>
      <c r="AB3422">
        <v>5</v>
      </c>
      <c r="AC3422">
        <v>60</v>
      </c>
      <c r="AD3422">
        <v>4659.08</v>
      </c>
      <c r="AE3422">
        <f t="shared" si="106"/>
        <v>10476.92</v>
      </c>
      <c r="AF3422" t="str">
        <f t="shared" si="107"/>
        <v>2026-03</v>
      </c>
      <c r="AG3422">
        <f>SUBTOTAL(103,A3422)</f>
        <v>1</v>
      </c>
    </row>
    <row r="3423" spans="1:33" x14ac:dyDescent="0.3">
      <c r="A3423" t="s">
        <v>6046</v>
      </c>
      <c r="B3423" s="13">
        <v>46098</v>
      </c>
      <c r="C3423">
        <v>2026</v>
      </c>
      <c r="D3423">
        <v>3</v>
      </c>
      <c r="E3423" t="s">
        <v>3053</v>
      </c>
      <c r="F3423" t="s">
        <v>2572</v>
      </c>
      <c r="G3423" t="s">
        <v>387</v>
      </c>
      <c r="H3423" t="s">
        <v>388</v>
      </c>
      <c r="I3423" t="s">
        <v>86</v>
      </c>
      <c r="J3423">
        <v>30</v>
      </c>
      <c r="K3423" t="s">
        <v>81</v>
      </c>
      <c r="L3423" t="s">
        <v>2579</v>
      </c>
      <c r="M3423" t="s">
        <v>56</v>
      </c>
      <c r="N3423" t="s">
        <v>2580</v>
      </c>
      <c r="O3423" t="s">
        <v>118</v>
      </c>
      <c r="P3423" t="s">
        <v>48</v>
      </c>
      <c r="Q3423" t="s">
        <v>142</v>
      </c>
      <c r="R3423">
        <v>5</v>
      </c>
      <c r="S3423">
        <v>3999</v>
      </c>
      <c r="T3423">
        <v>0.2</v>
      </c>
      <c r="U3423">
        <v>15996</v>
      </c>
      <c r="V3423">
        <v>12000</v>
      </c>
      <c r="W3423">
        <v>3996</v>
      </c>
      <c r="X3423" t="s">
        <v>73</v>
      </c>
      <c r="Y3423" t="s">
        <v>69</v>
      </c>
      <c r="Z3423" t="s">
        <v>158</v>
      </c>
      <c r="AA3423" t="s">
        <v>166</v>
      </c>
      <c r="AB3423">
        <v>3.5</v>
      </c>
      <c r="AC3423">
        <v>50</v>
      </c>
      <c r="AD3423">
        <v>1697.56</v>
      </c>
      <c r="AE3423">
        <f t="shared" si="106"/>
        <v>2248.44</v>
      </c>
      <c r="AF3423" t="str">
        <f t="shared" si="107"/>
        <v>2026-03</v>
      </c>
      <c r="AG3423">
        <f>SUBTOTAL(103,A3423)</f>
        <v>1</v>
      </c>
    </row>
    <row r="3424" spans="1:33" x14ac:dyDescent="0.3">
      <c r="A3424" t="s">
        <v>6047</v>
      </c>
      <c r="B3424" s="13">
        <v>46098</v>
      </c>
      <c r="C3424">
        <v>2026</v>
      </c>
      <c r="D3424">
        <v>3</v>
      </c>
      <c r="E3424" t="s">
        <v>3053</v>
      </c>
      <c r="F3424" t="s">
        <v>2572</v>
      </c>
      <c r="G3424" t="s">
        <v>431</v>
      </c>
      <c r="H3424" t="s">
        <v>432</v>
      </c>
      <c r="I3424" t="s">
        <v>86</v>
      </c>
      <c r="J3424">
        <v>19</v>
      </c>
      <c r="K3424" t="s">
        <v>80</v>
      </c>
      <c r="L3424" t="s">
        <v>99</v>
      </c>
      <c r="M3424" t="s">
        <v>58</v>
      </c>
      <c r="N3424" t="s">
        <v>2584</v>
      </c>
      <c r="O3424" t="s">
        <v>121</v>
      </c>
      <c r="P3424" t="s">
        <v>50</v>
      </c>
      <c r="Q3424" t="s">
        <v>144</v>
      </c>
      <c r="R3424">
        <v>5</v>
      </c>
      <c r="S3424">
        <v>2999</v>
      </c>
      <c r="T3424">
        <v>0.05</v>
      </c>
      <c r="U3424">
        <v>14245.25</v>
      </c>
      <c r="V3424">
        <v>8500</v>
      </c>
      <c r="W3424">
        <v>5745.25</v>
      </c>
      <c r="X3424" t="s">
        <v>74</v>
      </c>
      <c r="Y3424" t="s">
        <v>68</v>
      </c>
      <c r="Z3424" t="s">
        <v>159</v>
      </c>
      <c r="AA3424" t="s">
        <v>167</v>
      </c>
      <c r="AB3424">
        <v>4.3</v>
      </c>
      <c r="AC3424">
        <v>60</v>
      </c>
      <c r="AD3424">
        <v>289.16000000000003</v>
      </c>
      <c r="AE3424">
        <f t="shared" si="106"/>
        <v>5396.09</v>
      </c>
      <c r="AF3424" t="str">
        <f t="shared" si="107"/>
        <v>2026-03</v>
      </c>
      <c r="AG3424">
        <f>SUBTOTAL(103,A3424)</f>
        <v>1</v>
      </c>
    </row>
    <row r="3425" spans="1:33" x14ac:dyDescent="0.3">
      <c r="A3425" t="s">
        <v>6048</v>
      </c>
      <c r="B3425" s="13">
        <v>46098</v>
      </c>
      <c r="C3425">
        <v>2026</v>
      </c>
      <c r="D3425">
        <v>3</v>
      </c>
      <c r="E3425" t="s">
        <v>3053</v>
      </c>
      <c r="F3425" t="s">
        <v>2572</v>
      </c>
      <c r="G3425" t="s">
        <v>1073</v>
      </c>
      <c r="H3425" t="s">
        <v>1074</v>
      </c>
      <c r="I3425" t="s">
        <v>87</v>
      </c>
      <c r="J3425">
        <v>30</v>
      </c>
      <c r="K3425" t="s">
        <v>81</v>
      </c>
      <c r="L3425" t="s">
        <v>90</v>
      </c>
      <c r="M3425" t="s">
        <v>55</v>
      </c>
      <c r="N3425" t="s">
        <v>2584</v>
      </c>
      <c r="O3425" t="s">
        <v>121</v>
      </c>
      <c r="P3425" t="s">
        <v>50</v>
      </c>
      <c r="Q3425" t="s">
        <v>144</v>
      </c>
      <c r="R3425">
        <v>2</v>
      </c>
      <c r="S3425">
        <v>2999</v>
      </c>
      <c r="T3425">
        <v>0.1</v>
      </c>
      <c r="U3425">
        <v>5398.2</v>
      </c>
      <c r="V3425">
        <v>3400</v>
      </c>
      <c r="W3425">
        <v>1998.2</v>
      </c>
      <c r="X3425" t="s">
        <v>77</v>
      </c>
      <c r="Y3425" t="s">
        <v>68</v>
      </c>
      <c r="Z3425" t="s">
        <v>158</v>
      </c>
      <c r="AA3425" t="s">
        <v>167</v>
      </c>
      <c r="AB3425">
        <v>2.9</v>
      </c>
      <c r="AC3425">
        <v>80</v>
      </c>
      <c r="AD3425">
        <v>593.71</v>
      </c>
      <c r="AE3425">
        <f t="shared" si="106"/>
        <v>1324.49</v>
      </c>
      <c r="AF3425" t="str">
        <f t="shared" si="107"/>
        <v>2026-03</v>
      </c>
      <c r="AG3425">
        <f>SUBTOTAL(103,A3425)</f>
        <v>1</v>
      </c>
    </row>
    <row r="3426" spans="1:33" x14ac:dyDescent="0.3">
      <c r="A3426" t="s">
        <v>6049</v>
      </c>
      <c r="B3426" s="13">
        <v>46098</v>
      </c>
      <c r="C3426">
        <v>2026</v>
      </c>
      <c r="D3426">
        <v>3</v>
      </c>
      <c r="E3426" t="s">
        <v>3053</v>
      </c>
      <c r="F3426" t="s">
        <v>2572</v>
      </c>
      <c r="G3426" t="s">
        <v>1633</v>
      </c>
      <c r="H3426" t="s">
        <v>1634</v>
      </c>
      <c r="I3426" t="s">
        <v>85</v>
      </c>
      <c r="J3426">
        <v>53</v>
      </c>
      <c r="K3426" t="s">
        <v>83</v>
      </c>
      <c r="L3426" t="s">
        <v>2599</v>
      </c>
      <c r="M3426" t="s">
        <v>62</v>
      </c>
      <c r="N3426" t="s">
        <v>2644</v>
      </c>
      <c r="O3426" t="s">
        <v>126</v>
      </c>
      <c r="P3426" t="s">
        <v>50</v>
      </c>
      <c r="Q3426" t="s">
        <v>145</v>
      </c>
      <c r="R3426">
        <v>4</v>
      </c>
      <c r="S3426">
        <v>1799</v>
      </c>
      <c r="T3426">
        <v>0.25</v>
      </c>
      <c r="U3426">
        <v>5397</v>
      </c>
      <c r="V3426">
        <v>3800</v>
      </c>
      <c r="W3426">
        <v>1597</v>
      </c>
      <c r="X3426" t="s">
        <v>73</v>
      </c>
      <c r="Y3426" t="s">
        <v>68</v>
      </c>
      <c r="Z3426" t="s">
        <v>163</v>
      </c>
      <c r="AA3426" t="s">
        <v>167</v>
      </c>
      <c r="AB3426">
        <v>3.3</v>
      </c>
      <c r="AC3426">
        <v>80</v>
      </c>
      <c r="AD3426">
        <v>190.19</v>
      </c>
      <c r="AE3426">
        <f t="shared" si="106"/>
        <v>1326.81</v>
      </c>
      <c r="AF3426" t="str">
        <f t="shared" si="107"/>
        <v>2026-03</v>
      </c>
      <c r="AG3426">
        <f>SUBTOTAL(103,A3426)</f>
        <v>1</v>
      </c>
    </row>
    <row r="3427" spans="1:33" x14ac:dyDescent="0.3">
      <c r="A3427" t="s">
        <v>6050</v>
      </c>
      <c r="B3427" s="13">
        <v>46098</v>
      </c>
      <c r="C3427">
        <v>2026</v>
      </c>
      <c r="D3427">
        <v>3</v>
      </c>
      <c r="E3427" t="s">
        <v>3053</v>
      </c>
      <c r="F3427" t="s">
        <v>2572</v>
      </c>
      <c r="G3427" t="s">
        <v>367</v>
      </c>
      <c r="H3427" t="s">
        <v>368</v>
      </c>
      <c r="I3427" t="s">
        <v>85</v>
      </c>
      <c r="J3427">
        <v>53</v>
      </c>
      <c r="K3427" t="s">
        <v>83</v>
      </c>
      <c r="L3427" t="s">
        <v>91</v>
      </c>
      <c r="M3427" t="s">
        <v>55</v>
      </c>
      <c r="N3427" t="s">
        <v>2665</v>
      </c>
      <c r="O3427" t="s">
        <v>128</v>
      </c>
      <c r="P3427" t="s">
        <v>53</v>
      </c>
      <c r="Q3427" t="s">
        <v>143</v>
      </c>
      <c r="R3427">
        <v>2</v>
      </c>
      <c r="S3427">
        <v>1499</v>
      </c>
      <c r="T3427">
        <v>0.1</v>
      </c>
      <c r="U3427">
        <v>2698.2</v>
      </c>
      <c r="V3427">
        <v>1600</v>
      </c>
      <c r="W3427">
        <v>1098.2</v>
      </c>
      <c r="X3427" t="s">
        <v>77</v>
      </c>
      <c r="Y3427" t="s">
        <v>68</v>
      </c>
      <c r="Z3427" t="s">
        <v>162</v>
      </c>
      <c r="AA3427" t="s">
        <v>166</v>
      </c>
      <c r="AB3427">
        <v>3.2</v>
      </c>
      <c r="AC3427">
        <v>50</v>
      </c>
      <c r="AD3427">
        <v>274.26</v>
      </c>
      <c r="AE3427">
        <f t="shared" si="106"/>
        <v>773.94</v>
      </c>
      <c r="AF3427" t="str">
        <f t="shared" si="107"/>
        <v>2026-03</v>
      </c>
      <c r="AG3427">
        <f>SUBTOTAL(103,A3427)</f>
        <v>1</v>
      </c>
    </row>
    <row r="3428" spans="1:33" x14ac:dyDescent="0.3">
      <c r="A3428" t="s">
        <v>6051</v>
      </c>
      <c r="B3428" s="13">
        <v>46098</v>
      </c>
      <c r="C3428">
        <v>2026</v>
      </c>
      <c r="D3428">
        <v>3</v>
      </c>
      <c r="E3428" t="s">
        <v>3053</v>
      </c>
      <c r="F3428" t="s">
        <v>2572</v>
      </c>
      <c r="G3428" t="s">
        <v>2331</v>
      </c>
      <c r="H3428" t="s">
        <v>2332</v>
      </c>
      <c r="I3428" t="s">
        <v>85</v>
      </c>
      <c r="J3428">
        <v>37</v>
      </c>
      <c r="K3428" t="s">
        <v>82</v>
      </c>
      <c r="L3428" t="s">
        <v>97</v>
      </c>
      <c r="M3428" t="s">
        <v>57</v>
      </c>
      <c r="N3428" t="s">
        <v>2574</v>
      </c>
      <c r="O3428" t="s">
        <v>130</v>
      </c>
      <c r="P3428" t="s">
        <v>50</v>
      </c>
      <c r="Q3428" t="s">
        <v>53</v>
      </c>
      <c r="R3428">
        <v>2</v>
      </c>
      <c r="S3428">
        <v>1199</v>
      </c>
      <c r="T3428">
        <v>0.05</v>
      </c>
      <c r="U3428">
        <v>2278.1</v>
      </c>
      <c r="V3428">
        <v>1100</v>
      </c>
      <c r="W3428">
        <v>1178.0999999999999</v>
      </c>
      <c r="X3428" t="s">
        <v>73</v>
      </c>
      <c r="Y3428" t="s">
        <v>68</v>
      </c>
      <c r="Z3428" t="s">
        <v>158</v>
      </c>
      <c r="AA3428" t="s">
        <v>167</v>
      </c>
      <c r="AB3428">
        <v>4.2</v>
      </c>
      <c r="AC3428">
        <v>60</v>
      </c>
      <c r="AD3428">
        <v>196.53</v>
      </c>
      <c r="AE3428">
        <f t="shared" si="106"/>
        <v>921.56999999999994</v>
      </c>
      <c r="AF3428" t="str">
        <f t="shared" si="107"/>
        <v>2026-03</v>
      </c>
      <c r="AG3428">
        <f>SUBTOTAL(103,A3428)</f>
        <v>1</v>
      </c>
    </row>
    <row r="3429" spans="1:33" x14ac:dyDescent="0.3">
      <c r="A3429" t="s">
        <v>6052</v>
      </c>
      <c r="B3429" s="13">
        <v>46098</v>
      </c>
      <c r="C3429">
        <v>2026</v>
      </c>
      <c r="D3429">
        <v>3</v>
      </c>
      <c r="E3429" t="s">
        <v>3053</v>
      </c>
      <c r="F3429" t="s">
        <v>2572</v>
      </c>
      <c r="G3429" t="s">
        <v>2365</v>
      </c>
      <c r="H3429" t="s">
        <v>2366</v>
      </c>
      <c r="I3429" t="s">
        <v>85</v>
      </c>
      <c r="J3429">
        <v>47</v>
      </c>
      <c r="K3429" t="s">
        <v>83</v>
      </c>
      <c r="L3429" t="s">
        <v>93</v>
      </c>
      <c r="M3429" t="s">
        <v>55</v>
      </c>
      <c r="N3429" t="s">
        <v>2596</v>
      </c>
      <c r="O3429" t="s">
        <v>124</v>
      </c>
      <c r="P3429" t="s">
        <v>51</v>
      </c>
      <c r="Q3429" t="s">
        <v>147</v>
      </c>
      <c r="R3429">
        <v>2</v>
      </c>
      <c r="S3429">
        <v>2299</v>
      </c>
      <c r="T3429">
        <v>0.2</v>
      </c>
      <c r="U3429">
        <v>3678.4</v>
      </c>
      <c r="V3429">
        <v>2400</v>
      </c>
      <c r="W3429">
        <v>1278.4000000000001</v>
      </c>
      <c r="X3429" t="s">
        <v>73</v>
      </c>
      <c r="Y3429" t="s">
        <v>68</v>
      </c>
      <c r="Z3429" t="s">
        <v>160</v>
      </c>
      <c r="AA3429" t="s">
        <v>168</v>
      </c>
      <c r="AB3429">
        <v>4.3</v>
      </c>
      <c r="AC3429">
        <v>100</v>
      </c>
      <c r="AD3429">
        <v>276.01</v>
      </c>
      <c r="AE3429">
        <f t="shared" si="106"/>
        <v>902.3900000000001</v>
      </c>
      <c r="AF3429" t="str">
        <f t="shared" si="107"/>
        <v>2026-03</v>
      </c>
      <c r="AG3429">
        <f>SUBTOTAL(103,A3429)</f>
        <v>1</v>
      </c>
    </row>
    <row r="3430" spans="1:33" x14ac:dyDescent="0.3">
      <c r="A3430" t="s">
        <v>6053</v>
      </c>
      <c r="B3430" s="13">
        <v>46098</v>
      </c>
      <c r="C3430">
        <v>2026</v>
      </c>
      <c r="D3430">
        <v>3</v>
      </c>
      <c r="E3430" t="s">
        <v>3053</v>
      </c>
      <c r="F3430" t="s">
        <v>2572</v>
      </c>
      <c r="G3430" t="s">
        <v>1631</v>
      </c>
      <c r="H3430" t="s">
        <v>1632</v>
      </c>
      <c r="I3430" t="s">
        <v>85</v>
      </c>
      <c r="J3430">
        <v>49</v>
      </c>
      <c r="K3430" t="s">
        <v>83</v>
      </c>
      <c r="L3430" t="s">
        <v>2612</v>
      </c>
      <c r="M3430" t="s">
        <v>64</v>
      </c>
      <c r="N3430" t="s">
        <v>2647</v>
      </c>
      <c r="O3430" t="s">
        <v>133</v>
      </c>
      <c r="P3430" t="s">
        <v>50</v>
      </c>
      <c r="Q3430" t="s">
        <v>145</v>
      </c>
      <c r="R3430">
        <v>4</v>
      </c>
      <c r="S3430">
        <v>799</v>
      </c>
      <c r="T3430">
        <v>0.05</v>
      </c>
      <c r="U3430">
        <v>3036.2</v>
      </c>
      <c r="V3430">
        <v>1560</v>
      </c>
      <c r="W3430">
        <v>1476.2</v>
      </c>
      <c r="X3430" t="s">
        <v>77</v>
      </c>
      <c r="Y3430" t="s">
        <v>68</v>
      </c>
      <c r="Z3430" t="s">
        <v>159</v>
      </c>
      <c r="AA3430" t="s">
        <v>166</v>
      </c>
      <c r="AB3430">
        <v>2.6</v>
      </c>
      <c r="AC3430">
        <v>40</v>
      </c>
      <c r="AD3430">
        <v>324.85000000000002</v>
      </c>
      <c r="AE3430">
        <f t="shared" si="106"/>
        <v>1111.3499999999999</v>
      </c>
      <c r="AF3430" t="str">
        <f t="shared" si="107"/>
        <v>2026-03</v>
      </c>
      <c r="AG3430">
        <f>SUBTOTAL(103,A3430)</f>
        <v>1</v>
      </c>
    </row>
    <row r="3431" spans="1:33" x14ac:dyDescent="0.3">
      <c r="A3431" t="s">
        <v>6054</v>
      </c>
      <c r="B3431" s="13">
        <v>46098</v>
      </c>
      <c r="C3431">
        <v>2026</v>
      </c>
      <c r="D3431">
        <v>3</v>
      </c>
      <c r="E3431" t="s">
        <v>3053</v>
      </c>
      <c r="F3431" t="s">
        <v>2572</v>
      </c>
      <c r="G3431" t="s">
        <v>2081</v>
      </c>
      <c r="H3431" t="s">
        <v>2082</v>
      </c>
      <c r="I3431" t="s">
        <v>86</v>
      </c>
      <c r="J3431">
        <v>46</v>
      </c>
      <c r="K3431" t="s">
        <v>83</v>
      </c>
      <c r="L3431" t="s">
        <v>2616</v>
      </c>
      <c r="M3431" t="s">
        <v>62</v>
      </c>
      <c r="N3431" t="s">
        <v>2657</v>
      </c>
      <c r="O3431" t="s">
        <v>134</v>
      </c>
      <c r="P3431" t="s">
        <v>49</v>
      </c>
      <c r="Q3431" t="s">
        <v>140</v>
      </c>
      <c r="R3431">
        <v>3</v>
      </c>
      <c r="S3431">
        <v>599</v>
      </c>
      <c r="T3431">
        <v>0.15</v>
      </c>
      <c r="U3431">
        <v>1527.45</v>
      </c>
      <c r="V3431">
        <v>750</v>
      </c>
      <c r="W3431">
        <v>777.45</v>
      </c>
      <c r="X3431" t="s">
        <v>74</v>
      </c>
      <c r="Y3431" t="s">
        <v>68</v>
      </c>
      <c r="Z3431" t="s">
        <v>160</v>
      </c>
      <c r="AA3431" t="s">
        <v>166</v>
      </c>
      <c r="AB3431">
        <v>4.5</v>
      </c>
      <c r="AC3431">
        <v>40</v>
      </c>
      <c r="AD3431">
        <v>100.94</v>
      </c>
      <c r="AE3431">
        <f t="shared" si="106"/>
        <v>636.51</v>
      </c>
      <c r="AF3431" t="str">
        <f t="shared" si="107"/>
        <v>2026-03</v>
      </c>
      <c r="AG3431">
        <f>SUBTOTAL(103,A3431)</f>
        <v>1</v>
      </c>
    </row>
    <row r="3432" spans="1:33" x14ac:dyDescent="0.3">
      <c r="A3432" t="s">
        <v>6055</v>
      </c>
      <c r="B3432" s="13">
        <v>46099</v>
      </c>
      <c r="C3432">
        <v>2026</v>
      </c>
      <c r="D3432">
        <v>3</v>
      </c>
      <c r="E3432" t="s">
        <v>3053</v>
      </c>
      <c r="F3432" t="s">
        <v>2572</v>
      </c>
      <c r="G3432" t="s">
        <v>551</v>
      </c>
      <c r="H3432" t="s">
        <v>552</v>
      </c>
      <c r="I3432" t="s">
        <v>86</v>
      </c>
      <c r="J3432">
        <v>46</v>
      </c>
      <c r="K3432" t="s">
        <v>83</v>
      </c>
      <c r="L3432" t="s">
        <v>59</v>
      </c>
      <c r="M3432" t="s">
        <v>59</v>
      </c>
      <c r="N3432" t="s">
        <v>2584</v>
      </c>
      <c r="O3432" t="s">
        <v>121</v>
      </c>
      <c r="P3432" t="s">
        <v>50</v>
      </c>
      <c r="Q3432" t="s">
        <v>144</v>
      </c>
      <c r="R3432">
        <v>2</v>
      </c>
      <c r="S3432">
        <v>2999</v>
      </c>
      <c r="T3432">
        <v>0.1</v>
      </c>
      <c r="U3432">
        <v>5398.2</v>
      </c>
      <c r="V3432">
        <v>3400</v>
      </c>
      <c r="W3432">
        <v>1998.2</v>
      </c>
      <c r="X3432" t="s">
        <v>75</v>
      </c>
      <c r="Y3432" t="s">
        <v>68</v>
      </c>
      <c r="Z3432" t="s">
        <v>159</v>
      </c>
      <c r="AA3432" t="s">
        <v>166</v>
      </c>
      <c r="AB3432">
        <v>3.6</v>
      </c>
      <c r="AC3432">
        <v>80</v>
      </c>
      <c r="AD3432">
        <v>355.58</v>
      </c>
      <c r="AE3432">
        <f t="shared" si="106"/>
        <v>1562.6200000000001</v>
      </c>
      <c r="AF3432" t="str">
        <f t="shared" si="107"/>
        <v>2026-03</v>
      </c>
      <c r="AG3432">
        <f>SUBTOTAL(103,A3432)</f>
        <v>1</v>
      </c>
    </row>
    <row r="3433" spans="1:33" x14ac:dyDescent="0.3">
      <c r="A3433" t="s">
        <v>6056</v>
      </c>
      <c r="B3433" s="13">
        <v>46099</v>
      </c>
      <c r="C3433">
        <v>2026</v>
      </c>
      <c r="D3433">
        <v>3</v>
      </c>
      <c r="E3433" t="s">
        <v>3053</v>
      </c>
      <c r="F3433" t="s">
        <v>2572</v>
      </c>
      <c r="G3433" t="s">
        <v>2457</v>
      </c>
      <c r="H3433" t="s">
        <v>2458</v>
      </c>
      <c r="I3433" t="s">
        <v>86</v>
      </c>
      <c r="J3433">
        <v>35</v>
      </c>
      <c r="K3433" t="s">
        <v>81</v>
      </c>
      <c r="L3433" t="s">
        <v>2599</v>
      </c>
      <c r="M3433" t="s">
        <v>62</v>
      </c>
      <c r="N3433" t="s">
        <v>2657</v>
      </c>
      <c r="O3433" t="s">
        <v>134</v>
      </c>
      <c r="P3433" t="s">
        <v>49</v>
      </c>
      <c r="Q3433" t="s">
        <v>140</v>
      </c>
      <c r="R3433">
        <v>1</v>
      </c>
      <c r="S3433">
        <v>599</v>
      </c>
      <c r="T3433">
        <v>0.1</v>
      </c>
      <c r="U3433">
        <v>539.1</v>
      </c>
      <c r="V3433">
        <v>250</v>
      </c>
      <c r="W3433">
        <v>289.10000000000002</v>
      </c>
      <c r="X3433" t="s">
        <v>74</v>
      </c>
      <c r="Y3433" t="s">
        <v>68</v>
      </c>
      <c r="Z3433" t="s">
        <v>158</v>
      </c>
      <c r="AA3433" t="s">
        <v>166</v>
      </c>
      <c r="AB3433">
        <v>3.1</v>
      </c>
      <c r="AC3433">
        <v>120</v>
      </c>
      <c r="AD3433">
        <v>20</v>
      </c>
      <c r="AE3433">
        <f t="shared" si="106"/>
        <v>149.10000000000002</v>
      </c>
      <c r="AF3433" t="str">
        <f t="shared" si="107"/>
        <v>2026-03</v>
      </c>
      <c r="AG3433">
        <f>SUBTOTAL(103,A3433)</f>
        <v>1</v>
      </c>
    </row>
    <row r="3434" spans="1:33" x14ac:dyDescent="0.3">
      <c r="A3434" t="s">
        <v>6057</v>
      </c>
      <c r="B3434" s="13">
        <v>46099</v>
      </c>
      <c r="C3434">
        <v>2026</v>
      </c>
      <c r="D3434">
        <v>3</v>
      </c>
      <c r="E3434" t="s">
        <v>3053</v>
      </c>
      <c r="F3434" t="s">
        <v>2572</v>
      </c>
      <c r="G3434" t="s">
        <v>1285</v>
      </c>
      <c r="H3434" t="s">
        <v>1286</v>
      </c>
      <c r="I3434" t="s">
        <v>86</v>
      </c>
      <c r="J3434">
        <v>47</v>
      </c>
      <c r="K3434" t="s">
        <v>83</v>
      </c>
      <c r="L3434" t="s">
        <v>2679</v>
      </c>
      <c r="M3434" t="s">
        <v>60</v>
      </c>
      <c r="N3434" t="s">
        <v>2594</v>
      </c>
      <c r="O3434" t="s">
        <v>131</v>
      </c>
      <c r="P3434" t="s">
        <v>53</v>
      </c>
      <c r="Q3434" t="s">
        <v>143</v>
      </c>
      <c r="R3434">
        <v>2</v>
      </c>
      <c r="S3434">
        <v>999</v>
      </c>
      <c r="T3434">
        <v>0</v>
      </c>
      <c r="U3434">
        <v>0</v>
      </c>
      <c r="V3434">
        <v>0</v>
      </c>
      <c r="W3434">
        <v>0</v>
      </c>
      <c r="X3434" t="s">
        <v>73</v>
      </c>
      <c r="Y3434" t="s">
        <v>71</v>
      </c>
      <c r="Z3434" t="s">
        <v>162</v>
      </c>
      <c r="AA3434" t="s">
        <v>169</v>
      </c>
      <c r="AB3434">
        <v>4.5</v>
      </c>
      <c r="AC3434">
        <v>50</v>
      </c>
      <c r="AD3434">
        <v>205.71</v>
      </c>
      <c r="AE3434">
        <f t="shared" si="106"/>
        <v>-255.71</v>
      </c>
      <c r="AF3434" t="str">
        <f t="shared" si="107"/>
        <v>2026-03</v>
      </c>
      <c r="AG3434">
        <f>SUBTOTAL(103,A3434)</f>
        <v>1</v>
      </c>
    </row>
    <row r="3435" spans="1:33" x14ac:dyDescent="0.3">
      <c r="A3435" t="s">
        <v>6058</v>
      </c>
      <c r="B3435" s="13">
        <v>46099</v>
      </c>
      <c r="C3435">
        <v>2026</v>
      </c>
      <c r="D3435">
        <v>3</v>
      </c>
      <c r="E3435" t="s">
        <v>3053</v>
      </c>
      <c r="F3435" t="s">
        <v>2572</v>
      </c>
      <c r="G3435" t="s">
        <v>353</v>
      </c>
      <c r="H3435" t="s">
        <v>354</v>
      </c>
      <c r="I3435" t="s">
        <v>86</v>
      </c>
      <c r="J3435">
        <v>41</v>
      </c>
      <c r="K3435" t="s">
        <v>82</v>
      </c>
      <c r="L3435" t="s">
        <v>100</v>
      </c>
      <c r="M3435" t="s">
        <v>56</v>
      </c>
      <c r="N3435" t="s">
        <v>2644</v>
      </c>
      <c r="O3435" t="s">
        <v>126</v>
      </c>
      <c r="P3435" t="s">
        <v>50</v>
      </c>
      <c r="Q3435" t="s">
        <v>145</v>
      </c>
      <c r="R3435">
        <v>1</v>
      </c>
      <c r="S3435">
        <v>1799</v>
      </c>
      <c r="T3435">
        <v>0</v>
      </c>
      <c r="U3435">
        <v>1799</v>
      </c>
      <c r="V3435">
        <v>950</v>
      </c>
      <c r="W3435">
        <v>849</v>
      </c>
      <c r="X3435" t="s">
        <v>74</v>
      </c>
      <c r="Y3435" t="s">
        <v>68</v>
      </c>
      <c r="Z3435" t="s">
        <v>158</v>
      </c>
      <c r="AA3435" t="s">
        <v>167</v>
      </c>
      <c r="AB3435">
        <v>4.5</v>
      </c>
      <c r="AC3435">
        <v>60</v>
      </c>
      <c r="AD3435">
        <v>161.04</v>
      </c>
      <c r="AE3435">
        <f t="shared" si="106"/>
        <v>627.96</v>
      </c>
      <c r="AF3435" t="str">
        <f t="shared" si="107"/>
        <v>2026-03</v>
      </c>
      <c r="AG3435">
        <f>SUBTOTAL(103,A3435)</f>
        <v>1</v>
      </c>
    </row>
    <row r="3436" spans="1:33" x14ac:dyDescent="0.3">
      <c r="A3436" t="s">
        <v>6059</v>
      </c>
      <c r="B3436" s="13">
        <v>46099</v>
      </c>
      <c r="C3436">
        <v>2026</v>
      </c>
      <c r="D3436">
        <v>3</v>
      </c>
      <c r="E3436" t="s">
        <v>3053</v>
      </c>
      <c r="F3436" t="s">
        <v>2572</v>
      </c>
      <c r="G3436" t="s">
        <v>1385</v>
      </c>
      <c r="H3436" t="s">
        <v>1386</v>
      </c>
      <c r="I3436" t="s">
        <v>86</v>
      </c>
      <c r="J3436">
        <v>39</v>
      </c>
      <c r="K3436" t="s">
        <v>82</v>
      </c>
      <c r="L3436" t="s">
        <v>91</v>
      </c>
      <c r="M3436" t="s">
        <v>55</v>
      </c>
      <c r="N3436" t="s">
        <v>2626</v>
      </c>
      <c r="O3436" t="s">
        <v>125</v>
      </c>
      <c r="P3436" t="s">
        <v>48</v>
      </c>
      <c r="Q3436" t="s">
        <v>141</v>
      </c>
      <c r="R3436">
        <v>2</v>
      </c>
      <c r="S3436">
        <v>1999</v>
      </c>
      <c r="T3436">
        <v>0</v>
      </c>
      <c r="U3436">
        <v>3998</v>
      </c>
      <c r="V3436">
        <v>2300</v>
      </c>
      <c r="W3436">
        <v>1698</v>
      </c>
      <c r="X3436" t="s">
        <v>74</v>
      </c>
      <c r="Y3436" t="s">
        <v>68</v>
      </c>
      <c r="Z3436" t="s">
        <v>162</v>
      </c>
      <c r="AA3436" t="s">
        <v>170</v>
      </c>
      <c r="AB3436">
        <v>4.0999999999999996</v>
      </c>
      <c r="AC3436">
        <v>50</v>
      </c>
      <c r="AD3436">
        <v>345.96</v>
      </c>
      <c r="AE3436">
        <f t="shared" si="106"/>
        <v>1302.04</v>
      </c>
      <c r="AF3436" t="str">
        <f t="shared" si="107"/>
        <v>2026-03</v>
      </c>
      <c r="AG3436">
        <f>SUBTOTAL(103,A3436)</f>
        <v>1</v>
      </c>
    </row>
    <row r="3437" spans="1:33" x14ac:dyDescent="0.3">
      <c r="A3437" t="s">
        <v>6060</v>
      </c>
      <c r="B3437" s="13">
        <v>46099</v>
      </c>
      <c r="C3437">
        <v>2026</v>
      </c>
      <c r="D3437">
        <v>3</v>
      </c>
      <c r="E3437" t="s">
        <v>3053</v>
      </c>
      <c r="F3437" t="s">
        <v>2572</v>
      </c>
      <c r="G3437" t="s">
        <v>393</v>
      </c>
      <c r="H3437" t="s">
        <v>394</v>
      </c>
      <c r="I3437" t="s">
        <v>85</v>
      </c>
      <c r="J3437">
        <v>33</v>
      </c>
      <c r="K3437" t="s">
        <v>81</v>
      </c>
      <c r="L3437" t="s">
        <v>99</v>
      </c>
      <c r="M3437" t="s">
        <v>58</v>
      </c>
      <c r="N3437" t="s">
        <v>2580</v>
      </c>
      <c r="O3437" t="s">
        <v>118</v>
      </c>
      <c r="P3437" t="s">
        <v>48</v>
      </c>
      <c r="Q3437" t="s">
        <v>142</v>
      </c>
      <c r="R3437">
        <v>3</v>
      </c>
      <c r="S3437">
        <v>3999</v>
      </c>
      <c r="T3437">
        <v>0.2</v>
      </c>
      <c r="U3437">
        <v>9597.6</v>
      </c>
      <c r="V3437">
        <v>7200</v>
      </c>
      <c r="W3437">
        <v>2397.6</v>
      </c>
      <c r="X3437" t="s">
        <v>73</v>
      </c>
      <c r="Y3437" t="s">
        <v>68</v>
      </c>
      <c r="Z3437" t="s">
        <v>158</v>
      </c>
      <c r="AA3437" t="s">
        <v>166</v>
      </c>
      <c r="AB3437">
        <v>4.2</v>
      </c>
      <c r="AC3437">
        <v>50</v>
      </c>
      <c r="AD3437">
        <v>729.19</v>
      </c>
      <c r="AE3437">
        <f t="shared" si="106"/>
        <v>1618.4099999999999</v>
      </c>
      <c r="AF3437" t="str">
        <f t="shared" si="107"/>
        <v>2026-03</v>
      </c>
      <c r="AG3437">
        <f>SUBTOTAL(103,A3437)</f>
        <v>1</v>
      </c>
    </row>
    <row r="3438" spans="1:33" x14ac:dyDescent="0.3">
      <c r="A3438" t="s">
        <v>6061</v>
      </c>
      <c r="B3438" s="13">
        <v>46099</v>
      </c>
      <c r="C3438">
        <v>2026</v>
      </c>
      <c r="D3438">
        <v>3</v>
      </c>
      <c r="E3438" t="s">
        <v>3053</v>
      </c>
      <c r="F3438" t="s">
        <v>2572</v>
      </c>
      <c r="G3438" t="s">
        <v>1199</v>
      </c>
      <c r="H3438" t="s">
        <v>1200</v>
      </c>
      <c r="I3438" t="s">
        <v>85</v>
      </c>
      <c r="J3438">
        <v>58</v>
      </c>
      <c r="K3438" t="s">
        <v>83</v>
      </c>
      <c r="L3438" t="s">
        <v>93</v>
      </c>
      <c r="M3438" t="s">
        <v>55</v>
      </c>
      <c r="N3438" t="s">
        <v>2596</v>
      </c>
      <c r="O3438" t="s">
        <v>124</v>
      </c>
      <c r="P3438" t="s">
        <v>51</v>
      </c>
      <c r="Q3438" t="s">
        <v>147</v>
      </c>
      <c r="R3438">
        <v>3</v>
      </c>
      <c r="S3438">
        <v>2299</v>
      </c>
      <c r="T3438">
        <v>0.2</v>
      </c>
      <c r="U3438">
        <v>5517.6</v>
      </c>
      <c r="V3438">
        <v>3600</v>
      </c>
      <c r="W3438">
        <v>1917.6</v>
      </c>
      <c r="X3438" t="s">
        <v>75</v>
      </c>
      <c r="Y3438" t="s">
        <v>68</v>
      </c>
      <c r="Z3438" t="s">
        <v>161</v>
      </c>
      <c r="AA3438" t="s">
        <v>169</v>
      </c>
      <c r="AB3438">
        <v>4.5</v>
      </c>
      <c r="AC3438">
        <v>80</v>
      </c>
      <c r="AD3438">
        <v>338.92</v>
      </c>
      <c r="AE3438">
        <f t="shared" si="106"/>
        <v>1498.6799999999998</v>
      </c>
      <c r="AF3438" t="str">
        <f t="shared" si="107"/>
        <v>2026-03</v>
      </c>
      <c r="AG3438">
        <f>SUBTOTAL(103,A3438)</f>
        <v>1</v>
      </c>
    </row>
    <row r="3439" spans="1:33" x14ac:dyDescent="0.3">
      <c r="A3439" t="s">
        <v>6062</v>
      </c>
      <c r="B3439" s="13">
        <v>46099</v>
      </c>
      <c r="C3439">
        <v>2026</v>
      </c>
      <c r="D3439">
        <v>3</v>
      </c>
      <c r="E3439" t="s">
        <v>3053</v>
      </c>
      <c r="F3439" t="s">
        <v>2572</v>
      </c>
      <c r="G3439" t="s">
        <v>1771</v>
      </c>
      <c r="H3439" t="s">
        <v>1772</v>
      </c>
      <c r="I3439" t="s">
        <v>86</v>
      </c>
      <c r="J3439">
        <v>59</v>
      </c>
      <c r="K3439" t="s">
        <v>83</v>
      </c>
      <c r="L3439" t="s">
        <v>91</v>
      </c>
      <c r="M3439" t="s">
        <v>55</v>
      </c>
      <c r="N3439" t="s">
        <v>2630</v>
      </c>
      <c r="O3439" t="s">
        <v>123</v>
      </c>
      <c r="P3439" t="s">
        <v>52</v>
      </c>
      <c r="Q3439" t="s">
        <v>146</v>
      </c>
      <c r="R3439">
        <v>2</v>
      </c>
      <c r="S3439">
        <v>2499</v>
      </c>
      <c r="T3439">
        <v>0.15</v>
      </c>
      <c r="U3439">
        <v>4248.3</v>
      </c>
      <c r="V3439">
        <v>2800</v>
      </c>
      <c r="W3439">
        <v>1448.3</v>
      </c>
      <c r="X3439" t="s">
        <v>73</v>
      </c>
      <c r="Y3439" t="s">
        <v>68</v>
      </c>
      <c r="Z3439" t="s">
        <v>158</v>
      </c>
      <c r="AA3439" t="s">
        <v>166</v>
      </c>
      <c r="AB3439">
        <v>4</v>
      </c>
      <c r="AC3439">
        <v>100</v>
      </c>
      <c r="AD3439">
        <v>483.94</v>
      </c>
      <c r="AE3439">
        <f t="shared" si="106"/>
        <v>864.3599999999999</v>
      </c>
      <c r="AF3439" t="str">
        <f t="shared" si="107"/>
        <v>2026-03</v>
      </c>
      <c r="AG3439">
        <f>SUBTOTAL(103,A3439)</f>
        <v>1</v>
      </c>
    </row>
    <row r="3440" spans="1:33" x14ac:dyDescent="0.3">
      <c r="A3440" t="s">
        <v>6063</v>
      </c>
      <c r="B3440" s="13">
        <v>46099</v>
      </c>
      <c r="C3440">
        <v>2026</v>
      </c>
      <c r="D3440">
        <v>3</v>
      </c>
      <c r="E3440" t="s">
        <v>3053</v>
      </c>
      <c r="F3440" t="s">
        <v>2572</v>
      </c>
      <c r="G3440" t="s">
        <v>699</v>
      </c>
      <c r="H3440" t="s">
        <v>700</v>
      </c>
      <c r="I3440" t="s">
        <v>85</v>
      </c>
      <c r="J3440">
        <v>42</v>
      </c>
      <c r="K3440" t="s">
        <v>82</v>
      </c>
      <c r="L3440" t="s">
        <v>2634</v>
      </c>
      <c r="M3440" t="s">
        <v>56</v>
      </c>
      <c r="N3440" t="s">
        <v>2653</v>
      </c>
      <c r="O3440" t="s">
        <v>132</v>
      </c>
      <c r="P3440" t="s">
        <v>52</v>
      </c>
      <c r="Q3440" t="s">
        <v>150</v>
      </c>
      <c r="R3440">
        <v>5</v>
      </c>
      <c r="S3440">
        <v>899</v>
      </c>
      <c r="T3440">
        <v>0.2</v>
      </c>
      <c r="U3440">
        <v>3596</v>
      </c>
      <c r="V3440">
        <v>2100</v>
      </c>
      <c r="W3440">
        <v>1496</v>
      </c>
      <c r="X3440" t="s">
        <v>73</v>
      </c>
      <c r="Y3440" t="s">
        <v>68</v>
      </c>
      <c r="Z3440" t="s">
        <v>158</v>
      </c>
      <c r="AA3440" t="s">
        <v>170</v>
      </c>
      <c r="AB3440">
        <v>2.1</v>
      </c>
      <c r="AC3440">
        <v>100</v>
      </c>
      <c r="AD3440">
        <v>168.39</v>
      </c>
      <c r="AE3440">
        <f t="shared" si="106"/>
        <v>1227.6100000000001</v>
      </c>
      <c r="AF3440" t="str">
        <f t="shared" si="107"/>
        <v>2026-03</v>
      </c>
      <c r="AG3440">
        <f>SUBTOTAL(103,A3440)</f>
        <v>1</v>
      </c>
    </row>
    <row r="3441" spans="1:33" x14ac:dyDescent="0.3">
      <c r="A3441" t="s">
        <v>6064</v>
      </c>
      <c r="B3441" s="13">
        <v>46099</v>
      </c>
      <c r="C3441">
        <v>2026</v>
      </c>
      <c r="D3441">
        <v>3</v>
      </c>
      <c r="E3441" t="s">
        <v>3053</v>
      </c>
      <c r="F3441" t="s">
        <v>2572</v>
      </c>
      <c r="G3441" t="s">
        <v>1509</v>
      </c>
      <c r="H3441" t="s">
        <v>1510</v>
      </c>
      <c r="I3441" t="s">
        <v>85</v>
      </c>
      <c r="J3441">
        <v>42</v>
      </c>
      <c r="K3441" t="s">
        <v>82</v>
      </c>
      <c r="L3441" t="s">
        <v>2576</v>
      </c>
      <c r="M3441" t="s">
        <v>60</v>
      </c>
      <c r="N3441" t="s">
        <v>2665</v>
      </c>
      <c r="O3441" t="s">
        <v>128</v>
      </c>
      <c r="P3441" t="s">
        <v>53</v>
      </c>
      <c r="Q3441" t="s">
        <v>143</v>
      </c>
      <c r="R3441">
        <v>2</v>
      </c>
      <c r="S3441">
        <v>1499</v>
      </c>
      <c r="T3441">
        <v>0.05</v>
      </c>
      <c r="U3441">
        <v>2848.1</v>
      </c>
      <c r="V3441">
        <v>1600</v>
      </c>
      <c r="W3441">
        <v>1248.0999999999999</v>
      </c>
      <c r="X3441" t="s">
        <v>77</v>
      </c>
      <c r="Y3441" t="s">
        <v>68</v>
      </c>
      <c r="Z3441" t="s">
        <v>158</v>
      </c>
      <c r="AA3441" t="s">
        <v>166</v>
      </c>
      <c r="AB3441">
        <v>4.7</v>
      </c>
      <c r="AC3441">
        <v>80</v>
      </c>
      <c r="AD3441">
        <v>331.37</v>
      </c>
      <c r="AE3441">
        <f t="shared" si="106"/>
        <v>836.7299999999999</v>
      </c>
      <c r="AF3441" t="str">
        <f t="shared" si="107"/>
        <v>2026-03</v>
      </c>
      <c r="AG3441">
        <f>SUBTOTAL(103,A3441)</f>
        <v>1</v>
      </c>
    </row>
    <row r="3442" spans="1:33" x14ac:dyDescent="0.3">
      <c r="A3442" t="s">
        <v>6065</v>
      </c>
      <c r="B3442" s="13">
        <v>46099</v>
      </c>
      <c r="C3442">
        <v>2026</v>
      </c>
      <c r="D3442">
        <v>3</v>
      </c>
      <c r="E3442" t="s">
        <v>3053</v>
      </c>
      <c r="F3442" t="s">
        <v>2572</v>
      </c>
      <c r="G3442" t="s">
        <v>1045</v>
      </c>
      <c r="H3442" t="s">
        <v>1046</v>
      </c>
      <c r="I3442" t="s">
        <v>86</v>
      </c>
      <c r="J3442">
        <v>33</v>
      </c>
      <c r="K3442" t="s">
        <v>81</v>
      </c>
      <c r="L3442" t="s">
        <v>96</v>
      </c>
      <c r="M3442" t="s">
        <v>55</v>
      </c>
      <c r="N3442" t="s">
        <v>2626</v>
      </c>
      <c r="O3442" t="s">
        <v>125</v>
      </c>
      <c r="P3442" t="s">
        <v>48</v>
      </c>
      <c r="Q3442" t="s">
        <v>141</v>
      </c>
      <c r="R3442">
        <v>4</v>
      </c>
      <c r="S3442">
        <v>1999</v>
      </c>
      <c r="T3442">
        <v>0.1</v>
      </c>
      <c r="U3442">
        <v>7196.4</v>
      </c>
      <c r="V3442">
        <v>4600</v>
      </c>
      <c r="W3442">
        <v>2596.4</v>
      </c>
      <c r="X3442" t="s">
        <v>74</v>
      </c>
      <c r="Y3442" t="s">
        <v>68</v>
      </c>
      <c r="Z3442" t="s">
        <v>162</v>
      </c>
      <c r="AA3442" t="s">
        <v>170</v>
      </c>
      <c r="AB3442">
        <v>4.4000000000000004</v>
      </c>
      <c r="AC3442">
        <v>120</v>
      </c>
      <c r="AD3442">
        <v>354.2</v>
      </c>
      <c r="AE3442">
        <f t="shared" si="106"/>
        <v>2122.2000000000003</v>
      </c>
      <c r="AF3442" t="str">
        <f t="shared" si="107"/>
        <v>2026-03</v>
      </c>
      <c r="AG3442">
        <f>SUBTOTAL(103,A3442)</f>
        <v>1</v>
      </c>
    </row>
    <row r="3443" spans="1:33" x14ac:dyDescent="0.3">
      <c r="A3443" t="s">
        <v>6066</v>
      </c>
      <c r="B3443" s="13">
        <v>46099</v>
      </c>
      <c r="C3443">
        <v>2026</v>
      </c>
      <c r="D3443">
        <v>3</v>
      </c>
      <c r="E3443" t="s">
        <v>3053</v>
      </c>
      <c r="F3443" t="s">
        <v>2572</v>
      </c>
      <c r="G3443" t="s">
        <v>223</v>
      </c>
      <c r="H3443" t="s">
        <v>224</v>
      </c>
      <c r="I3443" t="s">
        <v>85</v>
      </c>
      <c r="J3443">
        <v>34</v>
      </c>
      <c r="K3443" t="s">
        <v>81</v>
      </c>
      <c r="L3443" t="s">
        <v>97</v>
      </c>
      <c r="M3443" t="s">
        <v>57</v>
      </c>
      <c r="N3443" t="s">
        <v>2606</v>
      </c>
      <c r="O3443" t="s">
        <v>120</v>
      </c>
      <c r="P3443" t="s">
        <v>49</v>
      </c>
      <c r="Q3443" t="s">
        <v>140</v>
      </c>
      <c r="R3443">
        <v>1</v>
      </c>
      <c r="S3443">
        <v>2799</v>
      </c>
      <c r="T3443">
        <v>0.2</v>
      </c>
      <c r="U3443">
        <v>2239.1999999999998</v>
      </c>
      <c r="V3443">
        <v>1650</v>
      </c>
      <c r="W3443">
        <v>589.20000000000005</v>
      </c>
      <c r="X3443" t="s">
        <v>74</v>
      </c>
      <c r="Y3443" t="s">
        <v>68</v>
      </c>
      <c r="Z3443" t="s">
        <v>159</v>
      </c>
      <c r="AA3443" t="s">
        <v>168</v>
      </c>
      <c r="AB3443">
        <v>4.7</v>
      </c>
      <c r="AC3443">
        <v>100</v>
      </c>
      <c r="AD3443">
        <v>230.11</v>
      </c>
      <c r="AE3443">
        <f t="shared" si="106"/>
        <v>259.09000000000003</v>
      </c>
      <c r="AF3443" t="str">
        <f t="shared" si="107"/>
        <v>2026-03</v>
      </c>
      <c r="AG3443">
        <f>SUBTOTAL(103,A3443)</f>
        <v>1</v>
      </c>
    </row>
    <row r="3444" spans="1:33" x14ac:dyDescent="0.3">
      <c r="A3444" t="s">
        <v>6067</v>
      </c>
      <c r="B3444" s="13">
        <v>46100</v>
      </c>
      <c r="C3444">
        <v>2026</v>
      </c>
      <c r="D3444">
        <v>3</v>
      </c>
      <c r="E3444" t="s">
        <v>3053</v>
      </c>
      <c r="F3444" t="s">
        <v>2572</v>
      </c>
      <c r="G3444" t="s">
        <v>1769</v>
      </c>
      <c r="H3444" t="s">
        <v>1770</v>
      </c>
      <c r="I3444" t="s">
        <v>85</v>
      </c>
      <c r="J3444">
        <v>35</v>
      </c>
      <c r="K3444" t="s">
        <v>81</v>
      </c>
      <c r="L3444" t="s">
        <v>96</v>
      </c>
      <c r="M3444" t="s">
        <v>55</v>
      </c>
      <c r="N3444" t="s">
        <v>2647</v>
      </c>
      <c r="O3444" t="s">
        <v>133</v>
      </c>
      <c r="P3444" t="s">
        <v>50</v>
      </c>
      <c r="Q3444" t="s">
        <v>145</v>
      </c>
      <c r="R3444">
        <v>5</v>
      </c>
      <c r="S3444">
        <v>799</v>
      </c>
      <c r="T3444">
        <v>0.15</v>
      </c>
      <c r="U3444">
        <v>3395.75</v>
      </c>
      <c r="V3444">
        <v>1950</v>
      </c>
      <c r="W3444">
        <v>1445.75</v>
      </c>
      <c r="X3444" t="s">
        <v>73</v>
      </c>
      <c r="Y3444" t="s">
        <v>68</v>
      </c>
      <c r="Z3444" t="s">
        <v>158</v>
      </c>
      <c r="AA3444" t="s">
        <v>168</v>
      </c>
      <c r="AB3444">
        <v>5</v>
      </c>
      <c r="AC3444">
        <v>50</v>
      </c>
      <c r="AD3444">
        <v>194.33</v>
      </c>
      <c r="AE3444">
        <f t="shared" si="106"/>
        <v>1201.42</v>
      </c>
      <c r="AF3444" t="str">
        <f t="shared" si="107"/>
        <v>2026-03</v>
      </c>
      <c r="AG3444">
        <f>SUBTOTAL(103,A3444)</f>
        <v>1</v>
      </c>
    </row>
    <row r="3445" spans="1:33" x14ac:dyDescent="0.3">
      <c r="A3445" t="s">
        <v>6068</v>
      </c>
      <c r="B3445" s="13">
        <v>46100</v>
      </c>
      <c r="C3445">
        <v>2026</v>
      </c>
      <c r="D3445">
        <v>3</v>
      </c>
      <c r="E3445" t="s">
        <v>3053</v>
      </c>
      <c r="F3445" t="s">
        <v>2572</v>
      </c>
      <c r="G3445" t="s">
        <v>1601</v>
      </c>
      <c r="H3445" t="s">
        <v>1602</v>
      </c>
      <c r="I3445" t="s">
        <v>86</v>
      </c>
      <c r="J3445">
        <v>33</v>
      </c>
      <c r="K3445" t="s">
        <v>81</v>
      </c>
      <c r="L3445" t="s">
        <v>2674</v>
      </c>
      <c r="M3445" t="s">
        <v>58</v>
      </c>
      <c r="N3445" t="s">
        <v>2577</v>
      </c>
      <c r="O3445" t="s">
        <v>129</v>
      </c>
      <c r="P3445" t="s">
        <v>49</v>
      </c>
      <c r="Q3445" t="s">
        <v>149</v>
      </c>
      <c r="R3445">
        <v>1</v>
      </c>
      <c r="S3445">
        <v>1299</v>
      </c>
      <c r="T3445">
        <v>0.15</v>
      </c>
      <c r="U3445">
        <v>1104.1500000000001</v>
      </c>
      <c r="V3445">
        <v>650</v>
      </c>
      <c r="W3445">
        <v>454.15</v>
      </c>
      <c r="X3445" t="s">
        <v>73</v>
      </c>
      <c r="Y3445" t="s">
        <v>68</v>
      </c>
      <c r="Z3445" t="s">
        <v>160</v>
      </c>
      <c r="AA3445" t="s">
        <v>168</v>
      </c>
      <c r="AB3445">
        <v>4.4000000000000004</v>
      </c>
      <c r="AC3445">
        <v>40</v>
      </c>
      <c r="AD3445">
        <v>112.23</v>
      </c>
      <c r="AE3445">
        <f t="shared" si="106"/>
        <v>301.91999999999996</v>
      </c>
      <c r="AF3445" t="str">
        <f t="shared" si="107"/>
        <v>2026-03</v>
      </c>
      <c r="AG3445">
        <f>SUBTOTAL(103,A3445)</f>
        <v>1</v>
      </c>
    </row>
    <row r="3446" spans="1:33" x14ac:dyDescent="0.3">
      <c r="A3446" t="s">
        <v>6069</v>
      </c>
      <c r="B3446" s="13">
        <v>46100</v>
      </c>
      <c r="C3446">
        <v>2026</v>
      </c>
      <c r="D3446">
        <v>3</v>
      </c>
      <c r="E3446" t="s">
        <v>3053</v>
      </c>
      <c r="F3446" t="s">
        <v>2572</v>
      </c>
      <c r="G3446" t="s">
        <v>961</v>
      </c>
      <c r="H3446" t="s">
        <v>962</v>
      </c>
      <c r="I3446" t="s">
        <v>85</v>
      </c>
      <c r="J3446">
        <v>56</v>
      </c>
      <c r="K3446" t="s">
        <v>83</v>
      </c>
      <c r="L3446" t="s">
        <v>2605</v>
      </c>
      <c r="M3446" t="s">
        <v>60</v>
      </c>
      <c r="N3446" t="s">
        <v>2582</v>
      </c>
      <c r="O3446" t="s">
        <v>119</v>
      </c>
      <c r="P3446" t="s">
        <v>49</v>
      </c>
      <c r="Q3446" t="s">
        <v>140</v>
      </c>
      <c r="R3446">
        <v>4</v>
      </c>
      <c r="S3446">
        <v>3499</v>
      </c>
      <c r="T3446">
        <v>0.1</v>
      </c>
      <c r="U3446">
        <v>12596.4</v>
      </c>
      <c r="V3446">
        <v>8400</v>
      </c>
      <c r="W3446">
        <v>4196.3999999999996</v>
      </c>
      <c r="X3446" t="s">
        <v>73</v>
      </c>
      <c r="Y3446" t="s">
        <v>68</v>
      </c>
      <c r="Z3446" t="s">
        <v>162</v>
      </c>
      <c r="AA3446" t="s">
        <v>169</v>
      </c>
      <c r="AB3446">
        <v>4.0999999999999996</v>
      </c>
      <c r="AC3446">
        <v>60</v>
      </c>
      <c r="AD3446">
        <v>1096.05</v>
      </c>
      <c r="AE3446">
        <f t="shared" si="106"/>
        <v>3040.3499999999995</v>
      </c>
      <c r="AF3446" t="str">
        <f t="shared" si="107"/>
        <v>2026-03</v>
      </c>
      <c r="AG3446">
        <f>SUBTOTAL(103,A3446)</f>
        <v>1</v>
      </c>
    </row>
    <row r="3447" spans="1:33" x14ac:dyDescent="0.3">
      <c r="A3447" t="s">
        <v>6070</v>
      </c>
      <c r="B3447" s="13">
        <v>46100</v>
      </c>
      <c r="C3447">
        <v>2026</v>
      </c>
      <c r="D3447">
        <v>3</v>
      </c>
      <c r="E3447" t="s">
        <v>3053</v>
      </c>
      <c r="F3447" t="s">
        <v>2572</v>
      </c>
      <c r="G3447" t="s">
        <v>2259</v>
      </c>
      <c r="H3447" t="s">
        <v>2260</v>
      </c>
      <c r="I3447" t="s">
        <v>86</v>
      </c>
      <c r="J3447">
        <v>57</v>
      </c>
      <c r="K3447" t="s">
        <v>83</v>
      </c>
      <c r="L3447" t="s">
        <v>2579</v>
      </c>
      <c r="M3447" t="s">
        <v>56</v>
      </c>
      <c r="N3447" t="s">
        <v>2577</v>
      </c>
      <c r="O3447" t="s">
        <v>129</v>
      </c>
      <c r="P3447" t="s">
        <v>49</v>
      </c>
      <c r="Q3447" t="s">
        <v>149</v>
      </c>
      <c r="R3447">
        <v>2</v>
      </c>
      <c r="S3447">
        <v>1299</v>
      </c>
      <c r="T3447">
        <v>0.1</v>
      </c>
      <c r="U3447">
        <v>2338.1999999999998</v>
      </c>
      <c r="V3447">
        <v>1300</v>
      </c>
      <c r="W3447">
        <v>1038.2</v>
      </c>
      <c r="X3447" t="s">
        <v>73</v>
      </c>
      <c r="Y3447" t="s">
        <v>69</v>
      </c>
      <c r="Z3447" t="s">
        <v>162</v>
      </c>
      <c r="AA3447" t="s">
        <v>167</v>
      </c>
      <c r="AB3447">
        <v>4.8</v>
      </c>
      <c r="AC3447">
        <v>60</v>
      </c>
      <c r="AD3447">
        <v>223.38</v>
      </c>
      <c r="AE3447">
        <f t="shared" si="106"/>
        <v>754.82</v>
      </c>
      <c r="AF3447" t="str">
        <f t="shared" si="107"/>
        <v>2026-03</v>
      </c>
      <c r="AG3447">
        <f>SUBTOTAL(103,A3447)</f>
        <v>1</v>
      </c>
    </row>
    <row r="3448" spans="1:33" x14ac:dyDescent="0.3">
      <c r="A3448" t="s">
        <v>6071</v>
      </c>
      <c r="B3448" s="13">
        <v>46100</v>
      </c>
      <c r="C3448">
        <v>2026</v>
      </c>
      <c r="D3448">
        <v>3</v>
      </c>
      <c r="E3448" t="s">
        <v>3053</v>
      </c>
      <c r="F3448" t="s">
        <v>2572</v>
      </c>
      <c r="G3448" t="s">
        <v>1919</v>
      </c>
      <c r="H3448" t="s">
        <v>1920</v>
      </c>
      <c r="I3448" t="s">
        <v>86</v>
      </c>
      <c r="J3448">
        <v>52</v>
      </c>
      <c r="K3448" t="s">
        <v>83</v>
      </c>
      <c r="L3448" t="s">
        <v>2589</v>
      </c>
      <c r="M3448" t="s">
        <v>61</v>
      </c>
      <c r="N3448" t="s">
        <v>2653</v>
      </c>
      <c r="O3448" t="s">
        <v>132</v>
      </c>
      <c r="P3448" t="s">
        <v>52</v>
      </c>
      <c r="Q3448" t="s">
        <v>150</v>
      </c>
      <c r="R3448">
        <v>1</v>
      </c>
      <c r="S3448">
        <v>899</v>
      </c>
      <c r="T3448">
        <v>0.05</v>
      </c>
      <c r="U3448">
        <v>854.05</v>
      </c>
      <c r="V3448">
        <v>420</v>
      </c>
      <c r="W3448">
        <v>434.05</v>
      </c>
      <c r="X3448" t="s">
        <v>76</v>
      </c>
      <c r="Y3448" t="s">
        <v>68</v>
      </c>
      <c r="Z3448" t="s">
        <v>163</v>
      </c>
      <c r="AA3448" t="s">
        <v>169</v>
      </c>
      <c r="AB3448">
        <v>3.6</v>
      </c>
      <c r="AC3448">
        <v>50</v>
      </c>
      <c r="AD3448">
        <v>42.73</v>
      </c>
      <c r="AE3448">
        <f t="shared" si="106"/>
        <v>341.32</v>
      </c>
      <c r="AF3448" t="str">
        <f t="shared" si="107"/>
        <v>2026-03</v>
      </c>
      <c r="AG3448">
        <f>SUBTOTAL(103,A3448)</f>
        <v>1</v>
      </c>
    </row>
    <row r="3449" spans="1:33" x14ac:dyDescent="0.3">
      <c r="A3449" t="s">
        <v>6072</v>
      </c>
      <c r="B3449" s="13">
        <v>46100</v>
      </c>
      <c r="C3449">
        <v>2026</v>
      </c>
      <c r="D3449">
        <v>3</v>
      </c>
      <c r="E3449" t="s">
        <v>3053</v>
      </c>
      <c r="F3449" t="s">
        <v>2572</v>
      </c>
      <c r="G3449" t="s">
        <v>1869</v>
      </c>
      <c r="H3449" t="s">
        <v>1870</v>
      </c>
      <c r="I3449" t="s">
        <v>85</v>
      </c>
      <c r="J3449">
        <v>60</v>
      </c>
      <c r="K3449" t="s">
        <v>83</v>
      </c>
      <c r="L3449" t="s">
        <v>2610</v>
      </c>
      <c r="M3449" t="s">
        <v>64</v>
      </c>
      <c r="N3449" t="s">
        <v>2606</v>
      </c>
      <c r="O3449" t="s">
        <v>120</v>
      </c>
      <c r="P3449" t="s">
        <v>49</v>
      </c>
      <c r="Q3449" t="s">
        <v>140</v>
      </c>
      <c r="R3449">
        <v>1</v>
      </c>
      <c r="S3449">
        <v>2799</v>
      </c>
      <c r="T3449">
        <v>0.1</v>
      </c>
      <c r="U3449">
        <v>2519.1</v>
      </c>
      <c r="V3449">
        <v>1650</v>
      </c>
      <c r="W3449">
        <v>869.1</v>
      </c>
      <c r="X3449" t="s">
        <v>73</v>
      </c>
      <c r="Y3449" t="s">
        <v>68</v>
      </c>
      <c r="Z3449" t="s">
        <v>160</v>
      </c>
      <c r="AA3449" t="s">
        <v>169</v>
      </c>
      <c r="AB3449">
        <v>3.9</v>
      </c>
      <c r="AC3449">
        <v>120</v>
      </c>
      <c r="AD3449">
        <v>257.52999999999997</v>
      </c>
      <c r="AE3449">
        <f t="shared" si="106"/>
        <v>491.57000000000005</v>
      </c>
      <c r="AF3449" t="str">
        <f t="shared" si="107"/>
        <v>2026-03</v>
      </c>
      <c r="AG3449">
        <f>SUBTOTAL(103,A3449)</f>
        <v>1</v>
      </c>
    </row>
    <row r="3450" spans="1:33" x14ac:dyDescent="0.3">
      <c r="A3450" t="s">
        <v>6073</v>
      </c>
      <c r="B3450" s="13">
        <v>46100</v>
      </c>
      <c r="C3450">
        <v>2026</v>
      </c>
      <c r="D3450">
        <v>3</v>
      </c>
      <c r="E3450" t="s">
        <v>3053</v>
      </c>
      <c r="F3450" t="s">
        <v>2572</v>
      </c>
      <c r="G3450" t="s">
        <v>329</v>
      </c>
      <c r="H3450" t="s">
        <v>330</v>
      </c>
      <c r="I3450" t="s">
        <v>86</v>
      </c>
      <c r="J3450">
        <v>18</v>
      </c>
      <c r="K3450" t="s">
        <v>80</v>
      </c>
      <c r="L3450" t="s">
        <v>90</v>
      </c>
      <c r="M3450" t="s">
        <v>55</v>
      </c>
      <c r="N3450" t="s">
        <v>2594</v>
      </c>
      <c r="O3450" t="s">
        <v>131</v>
      </c>
      <c r="P3450" t="s">
        <v>53</v>
      </c>
      <c r="Q3450" t="s">
        <v>143</v>
      </c>
      <c r="R3450">
        <v>5</v>
      </c>
      <c r="S3450">
        <v>999</v>
      </c>
      <c r="T3450">
        <v>0.2</v>
      </c>
      <c r="U3450">
        <v>3996</v>
      </c>
      <c r="V3450">
        <v>2600</v>
      </c>
      <c r="W3450">
        <v>1396</v>
      </c>
      <c r="X3450" t="s">
        <v>76</v>
      </c>
      <c r="Y3450" t="s">
        <v>68</v>
      </c>
      <c r="Z3450" t="s">
        <v>158</v>
      </c>
      <c r="AA3450" t="s">
        <v>167</v>
      </c>
      <c r="AB3450">
        <v>3.4</v>
      </c>
      <c r="AC3450">
        <v>80</v>
      </c>
      <c r="AD3450">
        <v>108.78</v>
      </c>
      <c r="AE3450">
        <f t="shared" si="106"/>
        <v>1207.22</v>
      </c>
      <c r="AF3450" t="str">
        <f t="shared" si="107"/>
        <v>2026-03</v>
      </c>
      <c r="AG3450">
        <f>SUBTOTAL(103,A3450)</f>
        <v>1</v>
      </c>
    </row>
    <row r="3451" spans="1:33" x14ac:dyDescent="0.3">
      <c r="A3451" t="s">
        <v>6074</v>
      </c>
      <c r="B3451" s="13">
        <v>46100</v>
      </c>
      <c r="C3451">
        <v>2026</v>
      </c>
      <c r="D3451">
        <v>3</v>
      </c>
      <c r="E3451" t="s">
        <v>3053</v>
      </c>
      <c r="F3451" t="s">
        <v>2572</v>
      </c>
      <c r="G3451" t="s">
        <v>1501</v>
      </c>
      <c r="H3451" t="s">
        <v>1502</v>
      </c>
      <c r="I3451" t="s">
        <v>85</v>
      </c>
      <c r="J3451">
        <v>39</v>
      </c>
      <c r="K3451" t="s">
        <v>82</v>
      </c>
      <c r="L3451" t="s">
        <v>92</v>
      </c>
      <c r="M3451" t="s">
        <v>59</v>
      </c>
      <c r="N3451" t="s">
        <v>2580</v>
      </c>
      <c r="O3451" t="s">
        <v>118</v>
      </c>
      <c r="P3451" t="s">
        <v>48</v>
      </c>
      <c r="Q3451" t="s">
        <v>142</v>
      </c>
      <c r="R3451">
        <v>1</v>
      </c>
      <c r="S3451">
        <v>3999</v>
      </c>
      <c r="T3451">
        <v>0</v>
      </c>
      <c r="U3451">
        <v>3999</v>
      </c>
      <c r="V3451">
        <v>2400</v>
      </c>
      <c r="W3451">
        <v>1599</v>
      </c>
      <c r="X3451" t="s">
        <v>74</v>
      </c>
      <c r="Y3451" t="s">
        <v>68</v>
      </c>
      <c r="Z3451" t="s">
        <v>160</v>
      </c>
      <c r="AA3451" t="s">
        <v>166</v>
      </c>
      <c r="AB3451">
        <v>3.7</v>
      </c>
      <c r="AC3451">
        <v>50</v>
      </c>
      <c r="AD3451">
        <v>241.71</v>
      </c>
      <c r="AE3451">
        <f t="shared" si="106"/>
        <v>1307.29</v>
      </c>
      <c r="AF3451" t="str">
        <f t="shared" si="107"/>
        <v>2026-03</v>
      </c>
      <c r="AG3451">
        <f>SUBTOTAL(103,A3451)</f>
        <v>1</v>
      </c>
    </row>
    <row r="3452" spans="1:33" x14ac:dyDescent="0.3">
      <c r="A3452" t="s">
        <v>6075</v>
      </c>
      <c r="B3452" s="13">
        <v>46100</v>
      </c>
      <c r="C3452">
        <v>2026</v>
      </c>
      <c r="D3452">
        <v>3</v>
      </c>
      <c r="E3452" t="s">
        <v>3053</v>
      </c>
      <c r="F3452" t="s">
        <v>2572</v>
      </c>
      <c r="G3452" t="s">
        <v>1051</v>
      </c>
      <c r="H3452" t="s">
        <v>1052</v>
      </c>
      <c r="I3452" t="s">
        <v>85</v>
      </c>
      <c r="J3452">
        <v>25</v>
      </c>
      <c r="K3452" t="s">
        <v>80</v>
      </c>
      <c r="L3452" t="s">
        <v>2579</v>
      </c>
      <c r="M3452" t="s">
        <v>56</v>
      </c>
      <c r="N3452" t="s">
        <v>2584</v>
      </c>
      <c r="O3452" t="s">
        <v>121</v>
      </c>
      <c r="P3452" t="s">
        <v>50</v>
      </c>
      <c r="Q3452" t="s">
        <v>144</v>
      </c>
      <c r="R3452">
        <v>2</v>
      </c>
      <c r="S3452">
        <v>2999</v>
      </c>
      <c r="T3452">
        <v>0.15</v>
      </c>
      <c r="U3452">
        <v>5098.3</v>
      </c>
      <c r="V3452">
        <v>3400</v>
      </c>
      <c r="W3452">
        <v>1698.3</v>
      </c>
      <c r="X3452" t="s">
        <v>75</v>
      </c>
      <c r="Y3452" t="s">
        <v>68</v>
      </c>
      <c r="Z3452" t="s">
        <v>158</v>
      </c>
      <c r="AA3452" t="s">
        <v>168</v>
      </c>
      <c r="AB3452">
        <v>3</v>
      </c>
      <c r="AC3452">
        <v>120</v>
      </c>
      <c r="AD3452">
        <v>143.66999999999999</v>
      </c>
      <c r="AE3452">
        <f t="shared" si="106"/>
        <v>1434.6299999999999</v>
      </c>
      <c r="AF3452" t="str">
        <f t="shared" si="107"/>
        <v>2026-03</v>
      </c>
      <c r="AG3452">
        <f>SUBTOTAL(103,A3452)</f>
        <v>1</v>
      </c>
    </row>
    <row r="3453" spans="1:33" x14ac:dyDescent="0.3">
      <c r="A3453" t="s">
        <v>6076</v>
      </c>
      <c r="B3453" s="13">
        <v>46101</v>
      </c>
      <c r="C3453">
        <v>2026</v>
      </c>
      <c r="D3453">
        <v>3</v>
      </c>
      <c r="E3453" t="s">
        <v>3053</v>
      </c>
      <c r="F3453" t="s">
        <v>2572</v>
      </c>
      <c r="G3453" t="s">
        <v>1591</v>
      </c>
      <c r="H3453" t="s">
        <v>1592</v>
      </c>
      <c r="I3453" t="s">
        <v>85</v>
      </c>
      <c r="J3453">
        <v>20</v>
      </c>
      <c r="K3453" t="s">
        <v>80</v>
      </c>
      <c r="L3453" t="s">
        <v>92</v>
      </c>
      <c r="M3453" t="s">
        <v>59</v>
      </c>
      <c r="N3453" t="s">
        <v>2665</v>
      </c>
      <c r="O3453" t="s">
        <v>128</v>
      </c>
      <c r="P3453" t="s">
        <v>53</v>
      </c>
      <c r="Q3453" t="s">
        <v>143</v>
      </c>
      <c r="R3453">
        <v>2</v>
      </c>
      <c r="S3453">
        <v>1499</v>
      </c>
      <c r="T3453">
        <v>0.05</v>
      </c>
      <c r="U3453">
        <v>2848.1</v>
      </c>
      <c r="V3453">
        <v>1600</v>
      </c>
      <c r="W3453">
        <v>1248.0999999999999</v>
      </c>
      <c r="X3453" t="s">
        <v>76</v>
      </c>
      <c r="Y3453" t="s">
        <v>68</v>
      </c>
      <c r="Z3453" t="s">
        <v>158</v>
      </c>
      <c r="AA3453" t="s">
        <v>167</v>
      </c>
      <c r="AB3453">
        <v>4</v>
      </c>
      <c r="AC3453">
        <v>120</v>
      </c>
      <c r="AD3453">
        <v>219.32</v>
      </c>
      <c r="AE3453">
        <f t="shared" si="106"/>
        <v>908.78</v>
      </c>
      <c r="AF3453" t="str">
        <f t="shared" si="107"/>
        <v>2026-03</v>
      </c>
      <c r="AG3453">
        <f>SUBTOTAL(103,A3453)</f>
        <v>1</v>
      </c>
    </row>
    <row r="3454" spans="1:33" x14ac:dyDescent="0.3">
      <c r="A3454" t="s">
        <v>6077</v>
      </c>
      <c r="B3454" s="13">
        <v>46101</v>
      </c>
      <c r="C3454">
        <v>2026</v>
      </c>
      <c r="D3454">
        <v>3</v>
      </c>
      <c r="E3454" t="s">
        <v>3053</v>
      </c>
      <c r="F3454" t="s">
        <v>2572</v>
      </c>
      <c r="G3454" t="s">
        <v>1791</v>
      </c>
      <c r="H3454" t="s">
        <v>1792</v>
      </c>
      <c r="I3454" t="s">
        <v>85</v>
      </c>
      <c r="J3454">
        <v>26</v>
      </c>
      <c r="K3454" t="s">
        <v>81</v>
      </c>
      <c r="L3454" t="s">
        <v>2579</v>
      </c>
      <c r="M3454" t="s">
        <v>56</v>
      </c>
      <c r="N3454" t="s">
        <v>2594</v>
      </c>
      <c r="O3454" t="s">
        <v>131</v>
      </c>
      <c r="P3454" t="s">
        <v>53</v>
      </c>
      <c r="Q3454" t="s">
        <v>143</v>
      </c>
      <c r="R3454">
        <v>1</v>
      </c>
      <c r="S3454">
        <v>999</v>
      </c>
      <c r="T3454">
        <v>0.05</v>
      </c>
      <c r="U3454">
        <v>949.05</v>
      </c>
      <c r="V3454">
        <v>520</v>
      </c>
      <c r="W3454">
        <v>429.05</v>
      </c>
      <c r="X3454" t="s">
        <v>76</v>
      </c>
      <c r="Y3454" t="s">
        <v>68</v>
      </c>
      <c r="Z3454" t="s">
        <v>159</v>
      </c>
      <c r="AA3454" t="s">
        <v>166</v>
      </c>
      <c r="AB3454">
        <v>4.5999999999999996</v>
      </c>
      <c r="AC3454">
        <v>50</v>
      </c>
      <c r="AD3454">
        <v>23.18</v>
      </c>
      <c r="AE3454">
        <f t="shared" si="106"/>
        <v>355.87</v>
      </c>
      <c r="AF3454" t="str">
        <f t="shared" si="107"/>
        <v>2026-03</v>
      </c>
      <c r="AG3454">
        <f>SUBTOTAL(103,A3454)</f>
        <v>1</v>
      </c>
    </row>
    <row r="3455" spans="1:33" x14ac:dyDescent="0.3">
      <c r="A3455" t="s">
        <v>6078</v>
      </c>
      <c r="B3455" s="13">
        <v>46101</v>
      </c>
      <c r="C3455">
        <v>2026</v>
      </c>
      <c r="D3455">
        <v>3</v>
      </c>
      <c r="E3455" t="s">
        <v>3053</v>
      </c>
      <c r="F3455" t="s">
        <v>2572</v>
      </c>
      <c r="G3455" t="s">
        <v>913</v>
      </c>
      <c r="H3455" t="s">
        <v>914</v>
      </c>
      <c r="I3455" t="s">
        <v>85</v>
      </c>
      <c r="J3455">
        <v>46</v>
      </c>
      <c r="K3455" t="s">
        <v>83</v>
      </c>
      <c r="L3455" t="s">
        <v>2612</v>
      </c>
      <c r="M3455" t="s">
        <v>64</v>
      </c>
      <c r="N3455" t="s">
        <v>2580</v>
      </c>
      <c r="O3455" t="s">
        <v>118</v>
      </c>
      <c r="P3455" t="s">
        <v>48</v>
      </c>
      <c r="Q3455" t="s">
        <v>142</v>
      </c>
      <c r="R3455">
        <v>3</v>
      </c>
      <c r="S3455">
        <v>3999</v>
      </c>
      <c r="T3455">
        <v>0.05</v>
      </c>
      <c r="U3455">
        <v>11397.15</v>
      </c>
      <c r="V3455">
        <v>7200</v>
      </c>
      <c r="W3455">
        <v>4197.1499999999996</v>
      </c>
      <c r="X3455" t="s">
        <v>73</v>
      </c>
      <c r="Y3455" t="s">
        <v>68</v>
      </c>
      <c r="Z3455" t="s">
        <v>159</v>
      </c>
      <c r="AA3455" t="s">
        <v>169</v>
      </c>
      <c r="AB3455">
        <v>3.8</v>
      </c>
      <c r="AC3455">
        <v>60</v>
      </c>
      <c r="AD3455">
        <v>860.76</v>
      </c>
      <c r="AE3455">
        <f t="shared" si="106"/>
        <v>3276.3899999999994</v>
      </c>
      <c r="AF3455" t="str">
        <f t="shared" si="107"/>
        <v>2026-03</v>
      </c>
      <c r="AG3455">
        <f>SUBTOTAL(103,A3455)</f>
        <v>1</v>
      </c>
    </row>
    <row r="3456" spans="1:33" x14ac:dyDescent="0.3">
      <c r="A3456" t="s">
        <v>6079</v>
      </c>
      <c r="B3456" s="13">
        <v>46101</v>
      </c>
      <c r="C3456">
        <v>2026</v>
      </c>
      <c r="D3456">
        <v>3</v>
      </c>
      <c r="E3456" t="s">
        <v>3053</v>
      </c>
      <c r="F3456" t="s">
        <v>2572</v>
      </c>
      <c r="G3456" t="s">
        <v>1913</v>
      </c>
      <c r="H3456" t="s">
        <v>1914</v>
      </c>
      <c r="I3456" t="s">
        <v>86</v>
      </c>
      <c r="J3456">
        <v>32</v>
      </c>
      <c r="K3456" t="s">
        <v>81</v>
      </c>
      <c r="L3456" t="s">
        <v>2586</v>
      </c>
      <c r="M3456" t="s">
        <v>62</v>
      </c>
      <c r="N3456" t="s">
        <v>2657</v>
      </c>
      <c r="O3456" t="s">
        <v>134</v>
      </c>
      <c r="P3456" t="s">
        <v>49</v>
      </c>
      <c r="Q3456" t="s">
        <v>140</v>
      </c>
      <c r="R3456">
        <v>2</v>
      </c>
      <c r="S3456">
        <v>599</v>
      </c>
      <c r="T3456">
        <v>0.15</v>
      </c>
      <c r="U3456">
        <v>1018.3</v>
      </c>
      <c r="V3456">
        <v>500</v>
      </c>
      <c r="W3456">
        <v>518.29999999999995</v>
      </c>
      <c r="X3456" t="s">
        <v>73</v>
      </c>
      <c r="Y3456" t="s">
        <v>68</v>
      </c>
      <c r="Z3456" t="s">
        <v>158</v>
      </c>
      <c r="AA3456" t="s">
        <v>170</v>
      </c>
      <c r="AB3456">
        <v>3.7</v>
      </c>
      <c r="AC3456">
        <v>80</v>
      </c>
      <c r="AD3456">
        <v>84.7</v>
      </c>
      <c r="AE3456">
        <f t="shared" si="106"/>
        <v>353.59999999999997</v>
      </c>
      <c r="AF3456" t="str">
        <f t="shared" si="107"/>
        <v>2026-03</v>
      </c>
      <c r="AG3456">
        <f>SUBTOTAL(103,A3456)</f>
        <v>1</v>
      </c>
    </row>
    <row r="3457" spans="1:33" x14ac:dyDescent="0.3">
      <c r="A3457" t="s">
        <v>6080</v>
      </c>
      <c r="B3457" s="13">
        <v>46101</v>
      </c>
      <c r="C3457">
        <v>2026</v>
      </c>
      <c r="D3457">
        <v>3</v>
      </c>
      <c r="E3457" t="s">
        <v>3053</v>
      </c>
      <c r="F3457" t="s">
        <v>2572</v>
      </c>
      <c r="G3457" t="s">
        <v>1263</v>
      </c>
      <c r="H3457" t="s">
        <v>1264</v>
      </c>
      <c r="I3457" t="s">
        <v>85</v>
      </c>
      <c r="J3457">
        <v>30</v>
      </c>
      <c r="K3457" t="s">
        <v>81</v>
      </c>
      <c r="L3457" t="s">
        <v>93</v>
      </c>
      <c r="M3457" t="s">
        <v>55</v>
      </c>
      <c r="N3457" t="s">
        <v>2590</v>
      </c>
      <c r="O3457" t="s">
        <v>127</v>
      </c>
      <c r="P3457" t="s">
        <v>51</v>
      </c>
      <c r="Q3457" t="s">
        <v>148</v>
      </c>
      <c r="R3457">
        <v>2</v>
      </c>
      <c r="S3457">
        <v>1599</v>
      </c>
      <c r="T3457">
        <v>0.1</v>
      </c>
      <c r="U3457">
        <v>2878.2</v>
      </c>
      <c r="V3457">
        <v>1600</v>
      </c>
      <c r="W3457">
        <v>1278.2</v>
      </c>
      <c r="X3457" t="s">
        <v>74</v>
      </c>
      <c r="Y3457" t="s">
        <v>68</v>
      </c>
      <c r="Z3457" t="s">
        <v>163</v>
      </c>
      <c r="AA3457" t="s">
        <v>167</v>
      </c>
      <c r="AB3457">
        <v>4.2</v>
      </c>
      <c r="AC3457">
        <v>60</v>
      </c>
      <c r="AD3457">
        <v>153.97999999999999</v>
      </c>
      <c r="AE3457">
        <f t="shared" si="106"/>
        <v>1064.22</v>
      </c>
      <c r="AF3457" t="str">
        <f t="shared" si="107"/>
        <v>2026-03</v>
      </c>
      <c r="AG3457">
        <f>SUBTOTAL(103,A3457)</f>
        <v>1</v>
      </c>
    </row>
    <row r="3458" spans="1:33" x14ac:dyDescent="0.3">
      <c r="A3458" t="s">
        <v>6081</v>
      </c>
      <c r="B3458" s="13">
        <v>46101</v>
      </c>
      <c r="C3458">
        <v>2026</v>
      </c>
      <c r="D3458">
        <v>3</v>
      </c>
      <c r="E3458" t="s">
        <v>3053</v>
      </c>
      <c r="F3458" t="s">
        <v>2572</v>
      </c>
      <c r="G3458" t="s">
        <v>2307</v>
      </c>
      <c r="H3458" t="s">
        <v>2308</v>
      </c>
      <c r="I3458" t="s">
        <v>85</v>
      </c>
      <c r="J3458">
        <v>51</v>
      </c>
      <c r="K3458" t="s">
        <v>83</v>
      </c>
      <c r="L3458" t="s">
        <v>2605</v>
      </c>
      <c r="M3458" t="s">
        <v>60</v>
      </c>
      <c r="N3458" t="s">
        <v>2647</v>
      </c>
      <c r="O3458" t="s">
        <v>133</v>
      </c>
      <c r="P3458" t="s">
        <v>50</v>
      </c>
      <c r="Q3458" t="s">
        <v>145</v>
      </c>
      <c r="R3458">
        <v>1</v>
      </c>
      <c r="S3458">
        <v>799</v>
      </c>
      <c r="T3458">
        <v>0</v>
      </c>
      <c r="U3458">
        <v>799</v>
      </c>
      <c r="V3458">
        <v>390</v>
      </c>
      <c r="W3458">
        <v>409</v>
      </c>
      <c r="X3458" t="s">
        <v>74</v>
      </c>
      <c r="Y3458" t="s">
        <v>68</v>
      </c>
      <c r="Z3458" t="s">
        <v>158</v>
      </c>
      <c r="AA3458" t="s">
        <v>169</v>
      </c>
      <c r="AB3458">
        <v>3.8</v>
      </c>
      <c r="AC3458">
        <v>80</v>
      </c>
      <c r="AD3458">
        <v>20.420000000000002</v>
      </c>
      <c r="AE3458">
        <f t="shared" ref="AE3458:AE3521" si="108">W3458-AC3458-AD3458</f>
        <v>308.58</v>
      </c>
      <c r="AF3458" t="str">
        <f t="shared" ref="AF3458:AF3521" si="109">C3458&amp;"-"&amp;TEXT(D3458,"00")</f>
        <v>2026-03</v>
      </c>
      <c r="AG3458">
        <f>SUBTOTAL(103,A3458)</f>
        <v>1</v>
      </c>
    </row>
    <row r="3459" spans="1:33" x14ac:dyDescent="0.3">
      <c r="A3459" t="s">
        <v>6082</v>
      </c>
      <c r="B3459" s="13">
        <v>46101</v>
      </c>
      <c r="C3459">
        <v>2026</v>
      </c>
      <c r="D3459">
        <v>3</v>
      </c>
      <c r="E3459" t="s">
        <v>3053</v>
      </c>
      <c r="F3459" t="s">
        <v>2572</v>
      </c>
      <c r="G3459" t="s">
        <v>1745</v>
      </c>
      <c r="H3459" t="s">
        <v>1746</v>
      </c>
      <c r="I3459" t="s">
        <v>87</v>
      </c>
      <c r="J3459">
        <v>23</v>
      </c>
      <c r="K3459" t="s">
        <v>80</v>
      </c>
      <c r="L3459" t="s">
        <v>97</v>
      </c>
      <c r="M3459" t="s">
        <v>57</v>
      </c>
      <c r="N3459" t="s">
        <v>2606</v>
      </c>
      <c r="O3459" t="s">
        <v>120</v>
      </c>
      <c r="P3459" t="s">
        <v>49</v>
      </c>
      <c r="Q3459" t="s">
        <v>140</v>
      </c>
      <c r="R3459">
        <v>1</v>
      </c>
      <c r="S3459">
        <v>2799</v>
      </c>
      <c r="T3459">
        <v>0.05</v>
      </c>
      <c r="U3459">
        <v>2659.05</v>
      </c>
      <c r="V3459">
        <v>1650</v>
      </c>
      <c r="W3459">
        <v>1009.05</v>
      </c>
      <c r="X3459" t="s">
        <v>73</v>
      </c>
      <c r="Y3459" t="s">
        <v>68</v>
      </c>
      <c r="Z3459" t="s">
        <v>160</v>
      </c>
      <c r="AA3459" t="s">
        <v>167</v>
      </c>
      <c r="AB3459">
        <v>4.4000000000000004</v>
      </c>
      <c r="AC3459">
        <v>40</v>
      </c>
      <c r="AD3459">
        <v>219.07</v>
      </c>
      <c r="AE3459">
        <f t="shared" si="108"/>
        <v>749.98</v>
      </c>
      <c r="AF3459" t="str">
        <f t="shared" si="109"/>
        <v>2026-03</v>
      </c>
      <c r="AG3459">
        <f>SUBTOTAL(103,A3459)</f>
        <v>1</v>
      </c>
    </row>
    <row r="3460" spans="1:33" x14ac:dyDescent="0.3">
      <c r="A3460" t="s">
        <v>6083</v>
      </c>
      <c r="B3460" s="13">
        <v>46101</v>
      </c>
      <c r="C3460">
        <v>2026</v>
      </c>
      <c r="D3460">
        <v>3</v>
      </c>
      <c r="E3460" t="s">
        <v>3053</v>
      </c>
      <c r="F3460" t="s">
        <v>2572</v>
      </c>
      <c r="G3460" t="s">
        <v>1347</v>
      </c>
      <c r="H3460" t="s">
        <v>1348</v>
      </c>
      <c r="I3460" t="s">
        <v>85</v>
      </c>
      <c r="J3460">
        <v>39</v>
      </c>
      <c r="K3460" t="s">
        <v>82</v>
      </c>
      <c r="L3460" t="s">
        <v>2616</v>
      </c>
      <c r="M3460" t="s">
        <v>62</v>
      </c>
      <c r="N3460" t="s">
        <v>2601</v>
      </c>
      <c r="O3460" t="s">
        <v>117</v>
      </c>
      <c r="P3460" t="s">
        <v>49</v>
      </c>
      <c r="Q3460" t="s">
        <v>139</v>
      </c>
      <c r="R3460">
        <v>1</v>
      </c>
      <c r="S3460">
        <v>6999</v>
      </c>
      <c r="T3460">
        <v>0.05</v>
      </c>
      <c r="U3460">
        <v>6649.05</v>
      </c>
      <c r="V3460">
        <v>4300</v>
      </c>
      <c r="W3460">
        <v>2349.0500000000002</v>
      </c>
      <c r="X3460" t="s">
        <v>73</v>
      </c>
      <c r="Y3460" t="s">
        <v>68</v>
      </c>
      <c r="Z3460" t="s">
        <v>158</v>
      </c>
      <c r="AA3460" t="s">
        <v>169</v>
      </c>
      <c r="AB3460">
        <v>4.0999999999999996</v>
      </c>
      <c r="AC3460">
        <v>60</v>
      </c>
      <c r="AD3460">
        <v>660.15</v>
      </c>
      <c r="AE3460">
        <f t="shared" si="108"/>
        <v>1628.9</v>
      </c>
      <c r="AF3460" t="str">
        <f t="shared" si="109"/>
        <v>2026-03</v>
      </c>
      <c r="AG3460">
        <f>SUBTOTAL(103,A3460)</f>
        <v>1</v>
      </c>
    </row>
    <row r="3461" spans="1:33" x14ac:dyDescent="0.3">
      <c r="A3461" t="s">
        <v>6084</v>
      </c>
      <c r="B3461" s="13">
        <v>46101</v>
      </c>
      <c r="C3461">
        <v>2026</v>
      </c>
      <c r="D3461">
        <v>3</v>
      </c>
      <c r="E3461" t="s">
        <v>3053</v>
      </c>
      <c r="F3461" t="s">
        <v>2572</v>
      </c>
      <c r="G3461" t="s">
        <v>351</v>
      </c>
      <c r="H3461" t="s">
        <v>352</v>
      </c>
      <c r="I3461" t="s">
        <v>86</v>
      </c>
      <c r="J3461">
        <v>25</v>
      </c>
      <c r="K3461" t="s">
        <v>80</v>
      </c>
      <c r="L3461" t="s">
        <v>91</v>
      </c>
      <c r="M3461" t="s">
        <v>55</v>
      </c>
      <c r="N3461" t="s">
        <v>2657</v>
      </c>
      <c r="O3461" t="s">
        <v>134</v>
      </c>
      <c r="P3461" t="s">
        <v>49</v>
      </c>
      <c r="Q3461" t="s">
        <v>140</v>
      </c>
      <c r="R3461">
        <v>5</v>
      </c>
      <c r="S3461">
        <v>599</v>
      </c>
      <c r="T3461">
        <v>0.15</v>
      </c>
      <c r="U3461">
        <v>2545.75</v>
      </c>
      <c r="V3461">
        <v>1250</v>
      </c>
      <c r="W3461">
        <v>1295.75</v>
      </c>
      <c r="X3461" t="s">
        <v>73</v>
      </c>
      <c r="Y3461" t="s">
        <v>68</v>
      </c>
      <c r="Z3461" t="s">
        <v>163</v>
      </c>
      <c r="AA3461" t="s">
        <v>170</v>
      </c>
      <c r="AB3461">
        <v>4.2</v>
      </c>
      <c r="AC3461">
        <v>50</v>
      </c>
      <c r="AD3461">
        <v>74.989999999999995</v>
      </c>
      <c r="AE3461">
        <f t="shared" si="108"/>
        <v>1170.76</v>
      </c>
      <c r="AF3461" t="str">
        <f t="shared" si="109"/>
        <v>2026-03</v>
      </c>
      <c r="AG3461">
        <f>SUBTOTAL(103,A3461)</f>
        <v>1</v>
      </c>
    </row>
    <row r="3462" spans="1:33" x14ac:dyDescent="0.3">
      <c r="A3462" t="s">
        <v>6085</v>
      </c>
      <c r="B3462" s="13">
        <v>46101</v>
      </c>
      <c r="C3462">
        <v>2026</v>
      </c>
      <c r="D3462">
        <v>3</v>
      </c>
      <c r="E3462" t="s">
        <v>3053</v>
      </c>
      <c r="F3462" t="s">
        <v>2572</v>
      </c>
      <c r="G3462" t="s">
        <v>1115</v>
      </c>
      <c r="H3462" t="s">
        <v>1116</v>
      </c>
      <c r="I3462" t="s">
        <v>85</v>
      </c>
      <c r="J3462">
        <v>54</v>
      </c>
      <c r="K3462" t="s">
        <v>83</v>
      </c>
      <c r="L3462" t="s">
        <v>92</v>
      </c>
      <c r="M3462" t="s">
        <v>59</v>
      </c>
      <c r="N3462" t="s">
        <v>2644</v>
      </c>
      <c r="O3462" t="s">
        <v>126</v>
      </c>
      <c r="P3462" t="s">
        <v>50</v>
      </c>
      <c r="Q3462" t="s">
        <v>145</v>
      </c>
      <c r="R3462">
        <v>1</v>
      </c>
      <c r="S3462">
        <v>1799</v>
      </c>
      <c r="T3462">
        <v>0.1</v>
      </c>
      <c r="U3462">
        <v>1619.1</v>
      </c>
      <c r="V3462">
        <v>950</v>
      </c>
      <c r="W3462">
        <v>669.1</v>
      </c>
      <c r="X3462" t="s">
        <v>73</v>
      </c>
      <c r="Y3462" t="s">
        <v>68</v>
      </c>
      <c r="Z3462" t="s">
        <v>159</v>
      </c>
      <c r="AA3462" t="s">
        <v>169</v>
      </c>
      <c r="AB3462">
        <v>4.0999999999999996</v>
      </c>
      <c r="AC3462">
        <v>40</v>
      </c>
      <c r="AD3462">
        <v>44.3</v>
      </c>
      <c r="AE3462">
        <f t="shared" si="108"/>
        <v>584.80000000000007</v>
      </c>
      <c r="AF3462" t="str">
        <f t="shared" si="109"/>
        <v>2026-03</v>
      </c>
      <c r="AG3462">
        <f>SUBTOTAL(103,A3462)</f>
        <v>1</v>
      </c>
    </row>
    <row r="3463" spans="1:33" x14ac:dyDescent="0.3">
      <c r="A3463" t="s">
        <v>6086</v>
      </c>
      <c r="B3463" s="13">
        <v>46102</v>
      </c>
      <c r="C3463">
        <v>2026</v>
      </c>
      <c r="D3463">
        <v>3</v>
      </c>
      <c r="E3463" t="s">
        <v>3053</v>
      </c>
      <c r="F3463" t="s">
        <v>2572</v>
      </c>
      <c r="G3463" t="s">
        <v>289</v>
      </c>
      <c r="H3463" t="s">
        <v>290</v>
      </c>
      <c r="I3463" t="s">
        <v>86</v>
      </c>
      <c r="J3463">
        <v>24</v>
      </c>
      <c r="K3463" t="s">
        <v>80</v>
      </c>
      <c r="L3463" t="s">
        <v>2579</v>
      </c>
      <c r="M3463" t="s">
        <v>56</v>
      </c>
      <c r="N3463" t="s">
        <v>2592</v>
      </c>
      <c r="O3463" t="s">
        <v>115</v>
      </c>
      <c r="P3463" t="s">
        <v>48</v>
      </c>
      <c r="Q3463" t="s">
        <v>137</v>
      </c>
      <c r="R3463">
        <v>3</v>
      </c>
      <c r="S3463">
        <v>12999</v>
      </c>
      <c r="T3463">
        <v>0</v>
      </c>
      <c r="U3463">
        <v>38997</v>
      </c>
      <c r="V3463">
        <v>27000</v>
      </c>
      <c r="W3463">
        <v>11997</v>
      </c>
      <c r="X3463" t="s">
        <v>74</v>
      </c>
      <c r="Y3463" t="s">
        <v>68</v>
      </c>
      <c r="Z3463" t="s">
        <v>162</v>
      </c>
      <c r="AA3463" t="s">
        <v>171</v>
      </c>
      <c r="AB3463">
        <v>4.0999999999999996</v>
      </c>
      <c r="AC3463">
        <v>80</v>
      </c>
      <c r="AD3463">
        <v>3676.89</v>
      </c>
      <c r="AE3463">
        <f t="shared" si="108"/>
        <v>8240.11</v>
      </c>
      <c r="AF3463" t="str">
        <f t="shared" si="109"/>
        <v>2026-03</v>
      </c>
      <c r="AG3463">
        <f>SUBTOTAL(103,A3463)</f>
        <v>1</v>
      </c>
    </row>
    <row r="3464" spans="1:33" x14ac:dyDescent="0.3">
      <c r="A3464" t="s">
        <v>6087</v>
      </c>
      <c r="B3464" s="13">
        <v>46102</v>
      </c>
      <c r="C3464">
        <v>2026</v>
      </c>
      <c r="D3464">
        <v>3</v>
      </c>
      <c r="E3464" t="s">
        <v>3053</v>
      </c>
      <c r="F3464" t="s">
        <v>2572</v>
      </c>
      <c r="G3464" t="s">
        <v>425</v>
      </c>
      <c r="H3464" t="s">
        <v>426</v>
      </c>
      <c r="I3464" t="s">
        <v>86</v>
      </c>
      <c r="J3464">
        <v>20</v>
      </c>
      <c r="K3464" t="s">
        <v>80</v>
      </c>
      <c r="L3464" t="s">
        <v>96</v>
      </c>
      <c r="M3464" t="s">
        <v>55</v>
      </c>
      <c r="N3464" t="s">
        <v>2606</v>
      </c>
      <c r="O3464" t="s">
        <v>120</v>
      </c>
      <c r="P3464" t="s">
        <v>49</v>
      </c>
      <c r="Q3464" t="s">
        <v>140</v>
      </c>
      <c r="R3464">
        <v>1</v>
      </c>
      <c r="S3464">
        <v>2799</v>
      </c>
      <c r="T3464">
        <v>0</v>
      </c>
      <c r="U3464">
        <v>2799</v>
      </c>
      <c r="V3464">
        <v>1650</v>
      </c>
      <c r="W3464">
        <v>1149</v>
      </c>
      <c r="X3464" t="s">
        <v>73</v>
      </c>
      <c r="Y3464" t="s">
        <v>68</v>
      </c>
      <c r="Z3464" t="s">
        <v>158</v>
      </c>
      <c r="AA3464" t="s">
        <v>169</v>
      </c>
      <c r="AB3464">
        <v>4</v>
      </c>
      <c r="AC3464">
        <v>50</v>
      </c>
      <c r="AD3464">
        <v>184.37</v>
      </c>
      <c r="AE3464">
        <f t="shared" si="108"/>
        <v>914.63</v>
      </c>
      <c r="AF3464" t="str">
        <f t="shared" si="109"/>
        <v>2026-03</v>
      </c>
      <c r="AG3464">
        <f>SUBTOTAL(103,A3464)</f>
        <v>1</v>
      </c>
    </row>
    <row r="3465" spans="1:33" x14ac:dyDescent="0.3">
      <c r="A3465" t="s">
        <v>6088</v>
      </c>
      <c r="B3465" s="13">
        <v>46102</v>
      </c>
      <c r="C3465">
        <v>2026</v>
      </c>
      <c r="D3465">
        <v>3</v>
      </c>
      <c r="E3465" t="s">
        <v>3053</v>
      </c>
      <c r="F3465" t="s">
        <v>2572</v>
      </c>
      <c r="G3465" t="s">
        <v>1871</v>
      </c>
      <c r="H3465" t="s">
        <v>1872</v>
      </c>
      <c r="I3465" t="s">
        <v>86</v>
      </c>
      <c r="J3465">
        <v>36</v>
      </c>
      <c r="K3465" t="s">
        <v>82</v>
      </c>
      <c r="L3465" t="s">
        <v>2579</v>
      </c>
      <c r="M3465" t="s">
        <v>56</v>
      </c>
      <c r="N3465" t="s">
        <v>2577</v>
      </c>
      <c r="O3465" t="s">
        <v>129</v>
      </c>
      <c r="P3465" t="s">
        <v>49</v>
      </c>
      <c r="Q3465" t="s">
        <v>149</v>
      </c>
      <c r="R3465">
        <v>2</v>
      </c>
      <c r="S3465">
        <v>1299</v>
      </c>
      <c r="T3465">
        <v>0.2</v>
      </c>
      <c r="U3465">
        <v>2078.4</v>
      </c>
      <c r="V3465">
        <v>1300</v>
      </c>
      <c r="W3465">
        <v>778.4</v>
      </c>
      <c r="X3465" t="s">
        <v>73</v>
      </c>
      <c r="Y3465" t="s">
        <v>68</v>
      </c>
      <c r="Z3465" t="s">
        <v>161</v>
      </c>
      <c r="AA3465" t="s">
        <v>166</v>
      </c>
      <c r="AB3465">
        <v>4.7</v>
      </c>
      <c r="AC3465">
        <v>100</v>
      </c>
      <c r="AD3465">
        <v>131.37</v>
      </c>
      <c r="AE3465">
        <f t="shared" si="108"/>
        <v>547.03</v>
      </c>
      <c r="AF3465" t="str">
        <f t="shared" si="109"/>
        <v>2026-03</v>
      </c>
      <c r="AG3465">
        <f>SUBTOTAL(103,A3465)</f>
        <v>1</v>
      </c>
    </row>
    <row r="3466" spans="1:33" x14ac:dyDescent="0.3">
      <c r="A3466" t="s">
        <v>6089</v>
      </c>
      <c r="B3466" s="13">
        <v>46102</v>
      </c>
      <c r="C3466">
        <v>2026</v>
      </c>
      <c r="D3466">
        <v>3</v>
      </c>
      <c r="E3466" t="s">
        <v>3053</v>
      </c>
      <c r="F3466" t="s">
        <v>2572</v>
      </c>
      <c r="G3466" t="s">
        <v>2055</v>
      </c>
      <c r="H3466" t="s">
        <v>2056</v>
      </c>
      <c r="I3466" t="s">
        <v>86</v>
      </c>
      <c r="J3466">
        <v>42</v>
      </c>
      <c r="K3466" t="s">
        <v>82</v>
      </c>
      <c r="L3466" t="s">
        <v>2674</v>
      </c>
      <c r="M3466" t="s">
        <v>58</v>
      </c>
      <c r="N3466" t="s">
        <v>2657</v>
      </c>
      <c r="O3466" t="s">
        <v>134</v>
      </c>
      <c r="P3466" t="s">
        <v>49</v>
      </c>
      <c r="Q3466" t="s">
        <v>140</v>
      </c>
      <c r="R3466">
        <v>2</v>
      </c>
      <c r="S3466">
        <v>599</v>
      </c>
      <c r="T3466">
        <v>0.25</v>
      </c>
      <c r="U3466">
        <v>898.5</v>
      </c>
      <c r="V3466">
        <v>500</v>
      </c>
      <c r="W3466">
        <v>398.5</v>
      </c>
      <c r="X3466" t="s">
        <v>73</v>
      </c>
      <c r="Y3466" t="s">
        <v>68</v>
      </c>
      <c r="Z3466" t="s">
        <v>159</v>
      </c>
      <c r="AA3466" t="s">
        <v>166</v>
      </c>
      <c r="AB3466">
        <v>3.2</v>
      </c>
      <c r="AC3466">
        <v>80</v>
      </c>
      <c r="AD3466">
        <v>37.75</v>
      </c>
      <c r="AE3466">
        <f t="shared" si="108"/>
        <v>280.75</v>
      </c>
      <c r="AF3466" t="str">
        <f t="shared" si="109"/>
        <v>2026-03</v>
      </c>
      <c r="AG3466">
        <f>SUBTOTAL(103,A3466)</f>
        <v>1</v>
      </c>
    </row>
    <row r="3467" spans="1:33" x14ac:dyDescent="0.3">
      <c r="A3467" t="s">
        <v>6090</v>
      </c>
      <c r="B3467" s="13">
        <v>46102</v>
      </c>
      <c r="C3467">
        <v>2026</v>
      </c>
      <c r="D3467">
        <v>3</v>
      </c>
      <c r="E3467" t="s">
        <v>3053</v>
      </c>
      <c r="F3467" t="s">
        <v>2572</v>
      </c>
      <c r="G3467" t="s">
        <v>1659</v>
      </c>
      <c r="H3467" t="s">
        <v>1660</v>
      </c>
      <c r="I3467" t="s">
        <v>85</v>
      </c>
      <c r="J3467">
        <v>54</v>
      </c>
      <c r="K3467" t="s">
        <v>83</v>
      </c>
      <c r="L3467" t="s">
        <v>99</v>
      </c>
      <c r="M3467" t="s">
        <v>58</v>
      </c>
      <c r="N3467" t="s">
        <v>2630</v>
      </c>
      <c r="O3467" t="s">
        <v>123</v>
      </c>
      <c r="P3467" t="s">
        <v>52</v>
      </c>
      <c r="Q3467" t="s">
        <v>146</v>
      </c>
      <c r="R3467">
        <v>4</v>
      </c>
      <c r="S3467">
        <v>2499</v>
      </c>
      <c r="T3467">
        <v>0.05</v>
      </c>
      <c r="U3467">
        <v>9496.2000000000007</v>
      </c>
      <c r="V3467">
        <v>5600</v>
      </c>
      <c r="W3467">
        <v>3896.2</v>
      </c>
      <c r="X3467" t="s">
        <v>73</v>
      </c>
      <c r="Y3467" t="s">
        <v>68</v>
      </c>
      <c r="Z3467" t="s">
        <v>162</v>
      </c>
      <c r="AA3467" t="s">
        <v>166</v>
      </c>
      <c r="AB3467">
        <v>3.8</v>
      </c>
      <c r="AC3467">
        <v>60</v>
      </c>
      <c r="AD3467">
        <v>570.89</v>
      </c>
      <c r="AE3467">
        <f t="shared" si="108"/>
        <v>3265.31</v>
      </c>
      <c r="AF3467" t="str">
        <f t="shared" si="109"/>
        <v>2026-03</v>
      </c>
      <c r="AG3467">
        <f>SUBTOTAL(103,A3467)</f>
        <v>1</v>
      </c>
    </row>
    <row r="3468" spans="1:33" x14ac:dyDescent="0.3">
      <c r="A3468" t="s">
        <v>6091</v>
      </c>
      <c r="B3468" s="13">
        <v>46102</v>
      </c>
      <c r="C3468">
        <v>2026</v>
      </c>
      <c r="D3468">
        <v>3</v>
      </c>
      <c r="E3468" t="s">
        <v>3053</v>
      </c>
      <c r="F3468" t="s">
        <v>2572</v>
      </c>
      <c r="G3468" t="s">
        <v>1821</v>
      </c>
      <c r="H3468" t="s">
        <v>1822</v>
      </c>
      <c r="I3468" t="s">
        <v>85</v>
      </c>
      <c r="J3468">
        <v>36</v>
      </c>
      <c r="K3468" t="s">
        <v>82</v>
      </c>
      <c r="L3468" t="s">
        <v>2623</v>
      </c>
      <c r="M3468" t="s">
        <v>61</v>
      </c>
      <c r="N3468" t="s">
        <v>2653</v>
      </c>
      <c r="O3468" t="s">
        <v>132</v>
      </c>
      <c r="P3468" t="s">
        <v>52</v>
      </c>
      <c r="Q3468" t="s">
        <v>150</v>
      </c>
      <c r="R3468">
        <v>2</v>
      </c>
      <c r="S3468">
        <v>899</v>
      </c>
      <c r="T3468">
        <v>0</v>
      </c>
      <c r="U3468">
        <v>1798</v>
      </c>
      <c r="V3468">
        <v>840</v>
      </c>
      <c r="W3468">
        <v>958</v>
      </c>
      <c r="X3468" t="s">
        <v>75</v>
      </c>
      <c r="Y3468" t="s">
        <v>68</v>
      </c>
      <c r="Z3468" t="s">
        <v>159</v>
      </c>
      <c r="AA3468" t="s">
        <v>169</v>
      </c>
      <c r="AB3468">
        <v>4</v>
      </c>
      <c r="AC3468">
        <v>40</v>
      </c>
      <c r="AD3468">
        <v>52.09</v>
      </c>
      <c r="AE3468">
        <f t="shared" si="108"/>
        <v>865.91</v>
      </c>
      <c r="AF3468" t="str">
        <f t="shared" si="109"/>
        <v>2026-03</v>
      </c>
      <c r="AG3468">
        <f>SUBTOTAL(103,A3468)</f>
        <v>1</v>
      </c>
    </row>
    <row r="3469" spans="1:33" x14ac:dyDescent="0.3">
      <c r="A3469" t="s">
        <v>6092</v>
      </c>
      <c r="B3469" s="13">
        <v>46102</v>
      </c>
      <c r="C3469">
        <v>2026</v>
      </c>
      <c r="D3469">
        <v>3</v>
      </c>
      <c r="E3469" t="s">
        <v>3053</v>
      </c>
      <c r="F3469" t="s">
        <v>2572</v>
      </c>
      <c r="G3469" t="s">
        <v>1973</v>
      </c>
      <c r="H3469" t="s">
        <v>1974</v>
      </c>
      <c r="I3469" t="s">
        <v>85</v>
      </c>
      <c r="J3469">
        <v>19</v>
      </c>
      <c r="K3469" t="s">
        <v>80</v>
      </c>
      <c r="L3469" t="s">
        <v>59</v>
      </c>
      <c r="M3469" t="s">
        <v>59</v>
      </c>
      <c r="N3469" t="s">
        <v>2665</v>
      </c>
      <c r="O3469" t="s">
        <v>128</v>
      </c>
      <c r="P3469" t="s">
        <v>53</v>
      </c>
      <c r="Q3469" t="s">
        <v>143</v>
      </c>
      <c r="R3469">
        <v>1</v>
      </c>
      <c r="S3469">
        <v>1499</v>
      </c>
      <c r="T3469">
        <v>0.1</v>
      </c>
      <c r="U3469">
        <v>1349.1</v>
      </c>
      <c r="V3469">
        <v>800</v>
      </c>
      <c r="W3469">
        <v>549.1</v>
      </c>
      <c r="X3469" t="s">
        <v>77</v>
      </c>
      <c r="Y3469" t="s">
        <v>68</v>
      </c>
      <c r="Z3469" t="s">
        <v>162</v>
      </c>
      <c r="AA3469" t="s">
        <v>168</v>
      </c>
      <c r="AB3469">
        <v>4.5</v>
      </c>
      <c r="AC3469">
        <v>50</v>
      </c>
      <c r="AD3469">
        <v>131.41</v>
      </c>
      <c r="AE3469">
        <f t="shared" si="108"/>
        <v>367.69000000000005</v>
      </c>
      <c r="AF3469" t="str">
        <f t="shared" si="109"/>
        <v>2026-03</v>
      </c>
      <c r="AG3469">
        <f>SUBTOTAL(103,A3469)</f>
        <v>1</v>
      </c>
    </row>
    <row r="3470" spans="1:33" x14ac:dyDescent="0.3">
      <c r="A3470" t="s">
        <v>6093</v>
      </c>
      <c r="B3470" s="13">
        <v>46102</v>
      </c>
      <c r="C3470">
        <v>2026</v>
      </c>
      <c r="D3470">
        <v>3</v>
      </c>
      <c r="E3470" t="s">
        <v>3053</v>
      </c>
      <c r="F3470" t="s">
        <v>2572</v>
      </c>
      <c r="G3470" t="s">
        <v>195</v>
      </c>
      <c r="H3470" t="s">
        <v>196</v>
      </c>
      <c r="I3470" t="s">
        <v>87</v>
      </c>
      <c r="J3470">
        <v>41</v>
      </c>
      <c r="K3470" t="s">
        <v>82</v>
      </c>
      <c r="L3470" t="s">
        <v>99</v>
      </c>
      <c r="M3470" t="s">
        <v>58</v>
      </c>
      <c r="N3470" t="s">
        <v>2647</v>
      </c>
      <c r="O3470" t="s">
        <v>133</v>
      </c>
      <c r="P3470" t="s">
        <v>50</v>
      </c>
      <c r="Q3470" t="s">
        <v>145</v>
      </c>
      <c r="R3470">
        <v>4</v>
      </c>
      <c r="S3470">
        <v>799</v>
      </c>
      <c r="T3470">
        <v>0.05</v>
      </c>
      <c r="U3470">
        <v>3036.2</v>
      </c>
      <c r="V3470">
        <v>1560</v>
      </c>
      <c r="W3470">
        <v>1476.2</v>
      </c>
      <c r="X3470" t="s">
        <v>77</v>
      </c>
      <c r="Y3470" t="s">
        <v>70</v>
      </c>
      <c r="Z3470" t="s">
        <v>163</v>
      </c>
      <c r="AA3470" t="s">
        <v>166</v>
      </c>
      <c r="AB3470">
        <v>3.8</v>
      </c>
      <c r="AC3470">
        <v>50</v>
      </c>
      <c r="AD3470">
        <v>187.67</v>
      </c>
      <c r="AE3470">
        <f t="shared" si="108"/>
        <v>1238.53</v>
      </c>
      <c r="AF3470" t="str">
        <f t="shared" si="109"/>
        <v>2026-03</v>
      </c>
      <c r="AG3470">
        <f>SUBTOTAL(103,A3470)</f>
        <v>1</v>
      </c>
    </row>
    <row r="3471" spans="1:33" x14ac:dyDescent="0.3">
      <c r="A3471" t="s">
        <v>6094</v>
      </c>
      <c r="B3471" s="13">
        <v>46102</v>
      </c>
      <c r="C3471">
        <v>2026</v>
      </c>
      <c r="D3471">
        <v>3</v>
      </c>
      <c r="E3471" t="s">
        <v>3053</v>
      </c>
      <c r="F3471" t="s">
        <v>2572</v>
      </c>
      <c r="G3471" t="s">
        <v>503</v>
      </c>
      <c r="H3471" t="s">
        <v>504</v>
      </c>
      <c r="I3471" t="s">
        <v>86</v>
      </c>
      <c r="J3471">
        <v>42</v>
      </c>
      <c r="K3471" t="s">
        <v>82</v>
      </c>
      <c r="L3471" t="s">
        <v>92</v>
      </c>
      <c r="M3471" t="s">
        <v>59</v>
      </c>
      <c r="N3471" t="s">
        <v>2653</v>
      </c>
      <c r="O3471" t="s">
        <v>132</v>
      </c>
      <c r="P3471" t="s">
        <v>52</v>
      </c>
      <c r="Q3471" t="s">
        <v>150</v>
      </c>
      <c r="R3471">
        <v>1</v>
      </c>
      <c r="S3471">
        <v>899</v>
      </c>
      <c r="T3471">
        <v>0.2</v>
      </c>
      <c r="U3471">
        <v>719.2</v>
      </c>
      <c r="V3471">
        <v>420</v>
      </c>
      <c r="W3471">
        <v>299.2</v>
      </c>
      <c r="X3471" t="s">
        <v>73</v>
      </c>
      <c r="Y3471" t="s">
        <v>68</v>
      </c>
      <c r="Z3471" t="s">
        <v>161</v>
      </c>
      <c r="AA3471" t="s">
        <v>170</v>
      </c>
      <c r="AB3471">
        <v>3.7</v>
      </c>
      <c r="AC3471">
        <v>40</v>
      </c>
      <c r="AD3471">
        <v>72.88</v>
      </c>
      <c r="AE3471">
        <f t="shared" si="108"/>
        <v>186.32</v>
      </c>
      <c r="AF3471" t="str">
        <f t="shared" si="109"/>
        <v>2026-03</v>
      </c>
      <c r="AG3471">
        <f>SUBTOTAL(103,A3471)</f>
        <v>1</v>
      </c>
    </row>
    <row r="3472" spans="1:33" x14ac:dyDescent="0.3">
      <c r="A3472" t="s">
        <v>6095</v>
      </c>
      <c r="B3472" s="13">
        <v>46102</v>
      </c>
      <c r="C3472">
        <v>2026</v>
      </c>
      <c r="D3472">
        <v>3</v>
      </c>
      <c r="E3472" t="s">
        <v>3053</v>
      </c>
      <c r="F3472" t="s">
        <v>2572</v>
      </c>
      <c r="G3472" t="s">
        <v>2105</v>
      </c>
      <c r="H3472" t="s">
        <v>2106</v>
      </c>
      <c r="I3472" t="s">
        <v>85</v>
      </c>
      <c r="J3472">
        <v>46</v>
      </c>
      <c r="K3472" t="s">
        <v>83</v>
      </c>
      <c r="L3472" t="s">
        <v>94</v>
      </c>
      <c r="M3472" t="s">
        <v>57</v>
      </c>
      <c r="N3472" t="s">
        <v>2657</v>
      </c>
      <c r="O3472" t="s">
        <v>134</v>
      </c>
      <c r="P3472" t="s">
        <v>49</v>
      </c>
      <c r="Q3472" t="s">
        <v>140</v>
      </c>
      <c r="R3472">
        <v>3</v>
      </c>
      <c r="S3472">
        <v>599</v>
      </c>
      <c r="T3472">
        <v>0.1</v>
      </c>
      <c r="U3472">
        <v>1617.3</v>
      </c>
      <c r="V3472">
        <v>750</v>
      </c>
      <c r="W3472">
        <v>867.3</v>
      </c>
      <c r="X3472" t="s">
        <v>73</v>
      </c>
      <c r="Y3472" t="s">
        <v>68</v>
      </c>
      <c r="Z3472" t="s">
        <v>160</v>
      </c>
      <c r="AA3472" t="s">
        <v>169</v>
      </c>
      <c r="AB3472">
        <v>4.4000000000000004</v>
      </c>
      <c r="AC3472">
        <v>80</v>
      </c>
      <c r="AD3472">
        <v>104.18</v>
      </c>
      <c r="AE3472">
        <f t="shared" si="108"/>
        <v>683.11999999999989</v>
      </c>
      <c r="AF3472" t="str">
        <f t="shared" si="109"/>
        <v>2026-03</v>
      </c>
      <c r="AG3472">
        <f>SUBTOTAL(103,A3472)</f>
        <v>1</v>
      </c>
    </row>
    <row r="3473" spans="1:33" x14ac:dyDescent="0.3">
      <c r="A3473" t="s">
        <v>6096</v>
      </c>
      <c r="B3473" s="13">
        <v>46103</v>
      </c>
      <c r="C3473">
        <v>2026</v>
      </c>
      <c r="D3473">
        <v>3</v>
      </c>
      <c r="E3473" t="s">
        <v>3053</v>
      </c>
      <c r="F3473" t="s">
        <v>2572</v>
      </c>
      <c r="G3473" t="s">
        <v>861</v>
      </c>
      <c r="H3473" t="s">
        <v>862</v>
      </c>
      <c r="I3473" t="s">
        <v>85</v>
      </c>
      <c r="J3473">
        <v>39</v>
      </c>
      <c r="K3473" t="s">
        <v>82</v>
      </c>
      <c r="L3473" t="s">
        <v>59</v>
      </c>
      <c r="M3473" t="s">
        <v>59</v>
      </c>
      <c r="N3473" t="s">
        <v>2657</v>
      </c>
      <c r="O3473" t="s">
        <v>134</v>
      </c>
      <c r="P3473" t="s">
        <v>49</v>
      </c>
      <c r="Q3473" t="s">
        <v>140</v>
      </c>
      <c r="R3473">
        <v>1</v>
      </c>
      <c r="S3473">
        <v>599</v>
      </c>
      <c r="T3473">
        <v>0.15</v>
      </c>
      <c r="U3473">
        <v>0</v>
      </c>
      <c r="V3473">
        <v>0</v>
      </c>
      <c r="W3473">
        <v>0</v>
      </c>
      <c r="X3473" t="s">
        <v>75</v>
      </c>
      <c r="Y3473" t="s">
        <v>71</v>
      </c>
      <c r="Z3473" t="s">
        <v>161</v>
      </c>
      <c r="AA3473" t="s">
        <v>168</v>
      </c>
      <c r="AB3473">
        <v>3.5</v>
      </c>
      <c r="AC3473">
        <v>40</v>
      </c>
      <c r="AD3473">
        <v>20</v>
      </c>
      <c r="AE3473">
        <f t="shared" si="108"/>
        <v>-60</v>
      </c>
      <c r="AF3473" t="str">
        <f t="shared" si="109"/>
        <v>2026-03</v>
      </c>
      <c r="AG3473">
        <f>SUBTOTAL(103,A3473)</f>
        <v>1</v>
      </c>
    </row>
    <row r="3474" spans="1:33" x14ac:dyDescent="0.3">
      <c r="A3474" t="s">
        <v>6097</v>
      </c>
      <c r="B3474" s="13">
        <v>46103</v>
      </c>
      <c r="C3474">
        <v>2026</v>
      </c>
      <c r="D3474">
        <v>3</v>
      </c>
      <c r="E3474" t="s">
        <v>3053</v>
      </c>
      <c r="F3474" t="s">
        <v>2572</v>
      </c>
      <c r="G3474" t="s">
        <v>321</v>
      </c>
      <c r="H3474" t="s">
        <v>322</v>
      </c>
      <c r="I3474" t="s">
        <v>85</v>
      </c>
      <c r="J3474">
        <v>59</v>
      </c>
      <c r="K3474" t="s">
        <v>83</v>
      </c>
      <c r="L3474" t="s">
        <v>95</v>
      </c>
      <c r="M3474" t="s">
        <v>56</v>
      </c>
      <c r="N3474" t="s">
        <v>2665</v>
      </c>
      <c r="O3474" t="s">
        <v>128</v>
      </c>
      <c r="P3474" t="s">
        <v>53</v>
      </c>
      <c r="Q3474" t="s">
        <v>143</v>
      </c>
      <c r="R3474">
        <v>4</v>
      </c>
      <c r="S3474">
        <v>1499</v>
      </c>
      <c r="T3474">
        <v>0.15</v>
      </c>
      <c r="U3474">
        <v>5096.6000000000004</v>
      </c>
      <c r="V3474">
        <v>3200</v>
      </c>
      <c r="W3474">
        <v>1896.6</v>
      </c>
      <c r="X3474" t="s">
        <v>73</v>
      </c>
      <c r="Y3474" t="s">
        <v>68</v>
      </c>
      <c r="Z3474" t="s">
        <v>161</v>
      </c>
      <c r="AA3474" t="s">
        <v>169</v>
      </c>
      <c r="AB3474">
        <v>4.4000000000000004</v>
      </c>
      <c r="AC3474">
        <v>100</v>
      </c>
      <c r="AD3474">
        <v>598.1</v>
      </c>
      <c r="AE3474">
        <f t="shared" si="108"/>
        <v>1198.5</v>
      </c>
      <c r="AF3474" t="str">
        <f t="shared" si="109"/>
        <v>2026-03</v>
      </c>
      <c r="AG3474">
        <f>SUBTOTAL(103,A3474)</f>
        <v>1</v>
      </c>
    </row>
    <row r="3475" spans="1:33" x14ac:dyDescent="0.3">
      <c r="A3475" t="s">
        <v>6098</v>
      </c>
      <c r="B3475" s="13">
        <v>46103</v>
      </c>
      <c r="C3475">
        <v>2026</v>
      </c>
      <c r="D3475">
        <v>3</v>
      </c>
      <c r="E3475" t="s">
        <v>3053</v>
      </c>
      <c r="F3475" t="s">
        <v>2572</v>
      </c>
      <c r="G3475" t="s">
        <v>2307</v>
      </c>
      <c r="H3475" t="s">
        <v>2308</v>
      </c>
      <c r="I3475" t="s">
        <v>85</v>
      </c>
      <c r="J3475">
        <v>51</v>
      </c>
      <c r="K3475" t="s">
        <v>83</v>
      </c>
      <c r="L3475" t="s">
        <v>2605</v>
      </c>
      <c r="M3475" t="s">
        <v>60</v>
      </c>
      <c r="N3475" t="s">
        <v>2596</v>
      </c>
      <c r="O3475" t="s">
        <v>124</v>
      </c>
      <c r="P3475" t="s">
        <v>51</v>
      </c>
      <c r="Q3475" t="s">
        <v>147</v>
      </c>
      <c r="R3475">
        <v>1</v>
      </c>
      <c r="S3475">
        <v>2299</v>
      </c>
      <c r="T3475">
        <v>0.2</v>
      </c>
      <c r="U3475">
        <v>1839.2</v>
      </c>
      <c r="V3475">
        <v>1200</v>
      </c>
      <c r="W3475">
        <v>639.20000000000005</v>
      </c>
      <c r="X3475" t="s">
        <v>75</v>
      </c>
      <c r="Y3475" t="s">
        <v>68</v>
      </c>
      <c r="Z3475" t="s">
        <v>160</v>
      </c>
      <c r="AA3475" t="s">
        <v>166</v>
      </c>
      <c r="AB3475">
        <v>3.7</v>
      </c>
      <c r="AC3475">
        <v>100</v>
      </c>
      <c r="AD3475">
        <v>177.28</v>
      </c>
      <c r="AE3475">
        <f t="shared" si="108"/>
        <v>361.92000000000007</v>
      </c>
      <c r="AF3475" t="str">
        <f t="shared" si="109"/>
        <v>2026-03</v>
      </c>
      <c r="AG3475">
        <f>SUBTOTAL(103,A3475)</f>
        <v>1</v>
      </c>
    </row>
    <row r="3476" spans="1:33" x14ac:dyDescent="0.3">
      <c r="A3476" t="s">
        <v>6099</v>
      </c>
      <c r="B3476" s="13">
        <v>46103</v>
      </c>
      <c r="C3476">
        <v>2026</v>
      </c>
      <c r="D3476">
        <v>3</v>
      </c>
      <c r="E3476" t="s">
        <v>3053</v>
      </c>
      <c r="F3476" t="s">
        <v>2572</v>
      </c>
      <c r="G3476" t="s">
        <v>245</v>
      </c>
      <c r="H3476" t="s">
        <v>246</v>
      </c>
      <c r="I3476" t="s">
        <v>85</v>
      </c>
      <c r="J3476">
        <v>53</v>
      </c>
      <c r="K3476" t="s">
        <v>83</v>
      </c>
      <c r="L3476" t="s">
        <v>90</v>
      </c>
      <c r="M3476" t="s">
        <v>55</v>
      </c>
      <c r="N3476" t="s">
        <v>2644</v>
      </c>
      <c r="O3476" t="s">
        <v>126</v>
      </c>
      <c r="P3476" t="s">
        <v>50</v>
      </c>
      <c r="Q3476" t="s">
        <v>145</v>
      </c>
      <c r="R3476">
        <v>3</v>
      </c>
      <c r="S3476">
        <v>1799</v>
      </c>
      <c r="T3476">
        <v>0.05</v>
      </c>
      <c r="U3476">
        <v>5127.1499999999996</v>
      </c>
      <c r="V3476">
        <v>2850</v>
      </c>
      <c r="W3476">
        <v>2277.15</v>
      </c>
      <c r="X3476" t="s">
        <v>76</v>
      </c>
      <c r="Y3476" t="s">
        <v>68</v>
      </c>
      <c r="Z3476" t="s">
        <v>158</v>
      </c>
      <c r="AA3476" t="s">
        <v>167</v>
      </c>
      <c r="AB3476">
        <v>3.7</v>
      </c>
      <c r="AC3476">
        <v>60</v>
      </c>
      <c r="AD3476">
        <v>267.52</v>
      </c>
      <c r="AE3476">
        <f t="shared" si="108"/>
        <v>1949.63</v>
      </c>
      <c r="AF3476" t="str">
        <f t="shared" si="109"/>
        <v>2026-03</v>
      </c>
      <c r="AG3476">
        <f>SUBTOTAL(103,A3476)</f>
        <v>1</v>
      </c>
    </row>
    <row r="3477" spans="1:33" x14ac:dyDescent="0.3">
      <c r="A3477" t="s">
        <v>6100</v>
      </c>
      <c r="B3477" s="13">
        <v>46103</v>
      </c>
      <c r="C3477">
        <v>2026</v>
      </c>
      <c r="D3477">
        <v>3</v>
      </c>
      <c r="E3477" t="s">
        <v>3053</v>
      </c>
      <c r="F3477" t="s">
        <v>2572</v>
      </c>
      <c r="G3477" t="s">
        <v>1571</v>
      </c>
      <c r="H3477" t="s">
        <v>1572</v>
      </c>
      <c r="I3477" t="s">
        <v>86</v>
      </c>
      <c r="J3477">
        <v>30</v>
      </c>
      <c r="K3477" t="s">
        <v>81</v>
      </c>
      <c r="L3477" t="s">
        <v>2605</v>
      </c>
      <c r="M3477" t="s">
        <v>60</v>
      </c>
      <c r="N3477" t="s">
        <v>2647</v>
      </c>
      <c r="O3477" t="s">
        <v>133</v>
      </c>
      <c r="P3477" t="s">
        <v>50</v>
      </c>
      <c r="Q3477" t="s">
        <v>145</v>
      </c>
      <c r="R3477">
        <v>4</v>
      </c>
      <c r="S3477">
        <v>799</v>
      </c>
      <c r="T3477">
        <v>0.1</v>
      </c>
      <c r="U3477">
        <v>2876.4</v>
      </c>
      <c r="V3477">
        <v>1560</v>
      </c>
      <c r="W3477">
        <v>1316.4</v>
      </c>
      <c r="X3477" t="s">
        <v>73</v>
      </c>
      <c r="Y3477" t="s">
        <v>70</v>
      </c>
      <c r="Z3477" t="s">
        <v>159</v>
      </c>
      <c r="AA3477" t="s">
        <v>166</v>
      </c>
      <c r="AB3477">
        <v>4.7</v>
      </c>
      <c r="AC3477">
        <v>50</v>
      </c>
      <c r="AD3477">
        <v>166.14</v>
      </c>
      <c r="AE3477">
        <f t="shared" si="108"/>
        <v>1100.2600000000002</v>
      </c>
      <c r="AF3477" t="str">
        <f t="shared" si="109"/>
        <v>2026-03</v>
      </c>
      <c r="AG3477">
        <f>SUBTOTAL(103,A3477)</f>
        <v>1</v>
      </c>
    </row>
    <row r="3478" spans="1:33" x14ac:dyDescent="0.3">
      <c r="A3478" t="s">
        <v>6101</v>
      </c>
      <c r="B3478" s="13">
        <v>46103</v>
      </c>
      <c r="C3478">
        <v>2026</v>
      </c>
      <c r="D3478">
        <v>3</v>
      </c>
      <c r="E3478" t="s">
        <v>3053</v>
      </c>
      <c r="F3478" t="s">
        <v>2572</v>
      </c>
      <c r="G3478" t="s">
        <v>2401</v>
      </c>
      <c r="H3478" t="s">
        <v>2402</v>
      </c>
      <c r="I3478" t="s">
        <v>85</v>
      </c>
      <c r="J3478">
        <v>55</v>
      </c>
      <c r="K3478" t="s">
        <v>83</v>
      </c>
      <c r="L3478" t="s">
        <v>94</v>
      </c>
      <c r="M3478" t="s">
        <v>57</v>
      </c>
      <c r="N3478" t="s">
        <v>2647</v>
      </c>
      <c r="O3478" t="s">
        <v>133</v>
      </c>
      <c r="P3478" t="s">
        <v>50</v>
      </c>
      <c r="Q3478" t="s">
        <v>145</v>
      </c>
      <c r="R3478">
        <v>5</v>
      </c>
      <c r="S3478">
        <v>799</v>
      </c>
      <c r="T3478">
        <v>0.2</v>
      </c>
      <c r="U3478">
        <v>3196</v>
      </c>
      <c r="V3478">
        <v>1950</v>
      </c>
      <c r="W3478">
        <v>1246</v>
      </c>
      <c r="X3478" t="s">
        <v>76</v>
      </c>
      <c r="Y3478" t="s">
        <v>68</v>
      </c>
      <c r="Z3478" t="s">
        <v>160</v>
      </c>
      <c r="AA3478" t="s">
        <v>169</v>
      </c>
      <c r="AB3478">
        <v>5</v>
      </c>
      <c r="AC3478">
        <v>80</v>
      </c>
      <c r="AD3478">
        <v>347.46</v>
      </c>
      <c r="AE3478">
        <f t="shared" si="108"/>
        <v>818.54</v>
      </c>
      <c r="AF3478" t="str">
        <f t="shared" si="109"/>
        <v>2026-03</v>
      </c>
      <c r="AG3478">
        <f>SUBTOTAL(103,A3478)</f>
        <v>1</v>
      </c>
    </row>
    <row r="3479" spans="1:33" x14ac:dyDescent="0.3">
      <c r="A3479" t="s">
        <v>6102</v>
      </c>
      <c r="B3479" s="13">
        <v>46103</v>
      </c>
      <c r="C3479">
        <v>2026</v>
      </c>
      <c r="D3479">
        <v>3</v>
      </c>
      <c r="E3479" t="s">
        <v>3053</v>
      </c>
      <c r="F3479" t="s">
        <v>2572</v>
      </c>
      <c r="G3479" t="s">
        <v>1057</v>
      </c>
      <c r="H3479" t="s">
        <v>1058</v>
      </c>
      <c r="I3479" t="s">
        <v>86</v>
      </c>
      <c r="J3479">
        <v>19</v>
      </c>
      <c r="K3479" t="s">
        <v>80</v>
      </c>
      <c r="L3479" t="s">
        <v>2573</v>
      </c>
      <c r="M3479" t="s">
        <v>63</v>
      </c>
      <c r="N3479" t="s">
        <v>2626</v>
      </c>
      <c r="O3479" t="s">
        <v>125</v>
      </c>
      <c r="P3479" t="s">
        <v>48</v>
      </c>
      <c r="Q3479" t="s">
        <v>141</v>
      </c>
      <c r="R3479">
        <v>1</v>
      </c>
      <c r="S3479">
        <v>1999</v>
      </c>
      <c r="T3479">
        <v>0.15</v>
      </c>
      <c r="U3479">
        <v>1699.15</v>
      </c>
      <c r="V3479">
        <v>1150</v>
      </c>
      <c r="W3479">
        <v>549.15</v>
      </c>
      <c r="X3479" t="s">
        <v>73</v>
      </c>
      <c r="Y3479" t="s">
        <v>68</v>
      </c>
      <c r="Z3479" t="s">
        <v>163</v>
      </c>
      <c r="AA3479" t="s">
        <v>171</v>
      </c>
      <c r="AB3479">
        <v>3.7</v>
      </c>
      <c r="AC3479">
        <v>40</v>
      </c>
      <c r="AD3479">
        <v>142.52000000000001</v>
      </c>
      <c r="AE3479">
        <f t="shared" si="108"/>
        <v>366.63</v>
      </c>
      <c r="AF3479" t="str">
        <f t="shared" si="109"/>
        <v>2026-03</v>
      </c>
      <c r="AG3479">
        <f>SUBTOTAL(103,A3479)</f>
        <v>1</v>
      </c>
    </row>
    <row r="3480" spans="1:33" x14ac:dyDescent="0.3">
      <c r="A3480" t="s">
        <v>6103</v>
      </c>
      <c r="B3480" s="13">
        <v>46103</v>
      </c>
      <c r="C3480">
        <v>2026</v>
      </c>
      <c r="D3480">
        <v>3</v>
      </c>
      <c r="E3480" t="s">
        <v>3053</v>
      </c>
      <c r="F3480" t="s">
        <v>2572</v>
      </c>
      <c r="G3480" t="s">
        <v>1451</v>
      </c>
      <c r="H3480" t="s">
        <v>1452</v>
      </c>
      <c r="I3480" t="s">
        <v>86</v>
      </c>
      <c r="J3480">
        <v>46</v>
      </c>
      <c r="K3480" t="s">
        <v>83</v>
      </c>
      <c r="L3480" t="s">
        <v>2610</v>
      </c>
      <c r="M3480" t="s">
        <v>64</v>
      </c>
      <c r="N3480" t="s">
        <v>2590</v>
      </c>
      <c r="O3480" t="s">
        <v>127</v>
      </c>
      <c r="P3480" t="s">
        <v>51</v>
      </c>
      <c r="Q3480" t="s">
        <v>148</v>
      </c>
      <c r="R3480">
        <v>1</v>
      </c>
      <c r="S3480">
        <v>1599</v>
      </c>
      <c r="T3480">
        <v>0.05</v>
      </c>
      <c r="U3480">
        <v>1519.05</v>
      </c>
      <c r="V3480">
        <v>800</v>
      </c>
      <c r="W3480">
        <v>719.05</v>
      </c>
      <c r="X3480" t="s">
        <v>77</v>
      </c>
      <c r="Y3480" t="s">
        <v>68</v>
      </c>
      <c r="Z3480" t="s">
        <v>160</v>
      </c>
      <c r="AA3480" t="s">
        <v>166</v>
      </c>
      <c r="AB3480">
        <v>4.7</v>
      </c>
      <c r="AC3480">
        <v>50</v>
      </c>
      <c r="AD3480">
        <v>98.88</v>
      </c>
      <c r="AE3480">
        <f t="shared" si="108"/>
        <v>570.16999999999996</v>
      </c>
      <c r="AF3480" t="str">
        <f t="shared" si="109"/>
        <v>2026-03</v>
      </c>
      <c r="AG3480">
        <f>SUBTOTAL(103,A3480)</f>
        <v>1</v>
      </c>
    </row>
    <row r="3481" spans="1:33" x14ac:dyDescent="0.3">
      <c r="A3481" t="s">
        <v>6104</v>
      </c>
      <c r="B3481" s="13">
        <v>46103</v>
      </c>
      <c r="C3481">
        <v>2026</v>
      </c>
      <c r="D3481">
        <v>3</v>
      </c>
      <c r="E3481" t="s">
        <v>3053</v>
      </c>
      <c r="F3481" t="s">
        <v>2572</v>
      </c>
      <c r="G3481" t="s">
        <v>2215</v>
      </c>
      <c r="H3481" t="s">
        <v>2216</v>
      </c>
      <c r="I3481" t="s">
        <v>85</v>
      </c>
      <c r="J3481">
        <v>44</v>
      </c>
      <c r="K3481" t="s">
        <v>82</v>
      </c>
      <c r="L3481" t="s">
        <v>2616</v>
      </c>
      <c r="M3481" t="s">
        <v>62</v>
      </c>
      <c r="N3481" t="s">
        <v>2606</v>
      </c>
      <c r="O3481" t="s">
        <v>120</v>
      </c>
      <c r="P3481" t="s">
        <v>49</v>
      </c>
      <c r="Q3481" t="s">
        <v>140</v>
      </c>
      <c r="R3481">
        <v>3</v>
      </c>
      <c r="S3481">
        <v>2799</v>
      </c>
      <c r="T3481">
        <v>0.2</v>
      </c>
      <c r="U3481">
        <v>6717.6</v>
      </c>
      <c r="V3481">
        <v>4950</v>
      </c>
      <c r="W3481">
        <v>1767.6</v>
      </c>
      <c r="X3481" t="s">
        <v>74</v>
      </c>
      <c r="Y3481" t="s">
        <v>69</v>
      </c>
      <c r="Z3481" t="s">
        <v>159</v>
      </c>
      <c r="AA3481" t="s">
        <v>167</v>
      </c>
      <c r="AB3481">
        <v>4.8</v>
      </c>
      <c r="AC3481">
        <v>50</v>
      </c>
      <c r="AD3481">
        <v>596.63</v>
      </c>
      <c r="AE3481">
        <f t="shared" si="108"/>
        <v>1120.9699999999998</v>
      </c>
      <c r="AF3481" t="str">
        <f t="shared" si="109"/>
        <v>2026-03</v>
      </c>
      <c r="AG3481">
        <f>SUBTOTAL(103,A3481)</f>
        <v>1</v>
      </c>
    </row>
    <row r="3482" spans="1:33" x14ac:dyDescent="0.3">
      <c r="A3482" t="s">
        <v>6105</v>
      </c>
      <c r="B3482" s="13">
        <v>46103</v>
      </c>
      <c r="C3482">
        <v>2026</v>
      </c>
      <c r="D3482">
        <v>3</v>
      </c>
      <c r="E3482" t="s">
        <v>3053</v>
      </c>
      <c r="F3482" t="s">
        <v>2572</v>
      </c>
      <c r="G3482" t="s">
        <v>2263</v>
      </c>
      <c r="H3482" t="s">
        <v>2264</v>
      </c>
      <c r="I3482" t="s">
        <v>86</v>
      </c>
      <c r="J3482">
        <v>59</v>
      </c>
      <c r="K3482" t="s">
        <v>83</v>
      </c>
      <c r="L3482" t="s">
        <v>59</v>
      </c>
      <c r="M3482" t="s">
        <v>59</v>
      </c>
      <c r="N3482" t="s">
        <v>2594</v>
      </c>
      <c r="O3482" t="s">
        <v>131</v>
      </c>
      <c r="P3482" t="s">
        <v>53</v>
      </c>
      <c r="Q3482" t="s">
        <v>143</v>
      </c>
      <c r="R3482">
        <v>1</v>
      </c>
      <c r="S3482">
        <v>999</v>
      </c>
      <c r="T3482">
        <v>0.15</v>
      </c>
      <c r="U3482">
        <v>849.15</v>
      </c>
      <c r="V3482">
        <v>520</v>
      </c>
      <c r="W3482">
        <v>329.15</v>
      </c>
      <c r="X3482" t="s">
        <v>73</v>
      </c>
      <c r="Y3482" t="s">
        <v>68</v>
      </c>
      <c r="Z3482" t="s">
        <v>159</v>
      </c>
      <c r="AA3482" t="s">
        <v>168</v>
      </c>
      <c r="AB3482">
        <v>3.5</v>
      </c>
      <c r="AC3482">
        <v>60</v>
      </c>
      <c r="AD3482">
        <v>38.869999999999997</v>
      </c>
      <c r="AE3482">
        <f t="shared" si="108"/>
        <v>230.27999999999997</v>
      </c>
      <c r="AF3482" t="str">
        <f t="shared" si="109"/>
        <v>2026-03</v>
      </c>
      <c r="AG3482">
        <f>SUBTOTAL(103,A3482)</f>
        <v>1</v>
      </c>
    </row>
    <row r="3483" spans="1:33" x14ac:dyDescent="0.3">
      <c r="A3483" t="s">
        <v>6106</v>
      </c>
      <c r="B3483" s="13">
        <v>46104</v>
      </c>
      <c r="C3483">
        <v>2026</v>
      </c>
      <c r="D3483">
        <v>3</v>
      </c>
      <c r="E3483" t="s">
        <v>3053</v>
      </c>
      <c r="F3483" t="s">
        <v>2572</v>
      </c>
      <c r="G3483" t="s">
        <v>1481</v>
      </c>
      <c r="H3483" t="s">
        <v>1482</v>
      </c>
      <c r="I3483" t="s">
        <v>86</v>
      </c>
      <c r="J3483">
        <v>27</v>
      </c>
      <c r="K3483" t="s">
        <v>81</v>
      </c>
      <c r="L3483" t="s">
        <v>2687</v>
      </c>
      <c r="M3483" t="s">
        <v>57</v>
      </c>
      <c r="N3483" t="s">
        <v>2657</v>
      </c>
      <c r="O3483" t="s">
        <v>134</v>
      </c>
      <c r="P3483" t="s">
        <v>49</v>
      </c>
      <c r="Q3483" t="s">
        <v>140</v>
      </c>
      <c r="R3483">
        <v>1</v>
      </c>
      <c r="S3483">
        <v>599</v>
      </c>
      <c r="T3483">
        <v>0.25</v>
      </c>
      <c r="U3483">
        <v>449.25</v>
      </c>
      <c r="V3483">
        <v>250</v>
      </c>
      <c r="W3483">
        <v>199.25</v>
      </c>
      <c r="X3483" t="s">
        <v>73</v>
      </c>
      <c r="Y3483" t="s">
        <v>68</v>
      </c>
      <c r="Z3483" t="s">
        <v>160</v>
      </c>
      <c r="AA3483" t="s">
        <v>171</v>
      </c>
      <c r="AB3483">
        <v>4.7</v>
      </c>
      <c r="AC3483">
        <v>50</v>
      </c>
      <c r="AD3483">
        <v>44.51</v>
      </c>
      <c r="AE3483">
        <f t="shared" si="108"/>
        <v>104.74000000000001</v>
      </c>
      <c r="AF3483" t="str">
        <f t="shared" si="109"/>
        <v>2026-03</v>
      </c>
      <c r="AG3483">
        <f>SUBTOTAL(103,A3483)</f>
        <v>1</v>
      </c>
    </row>
    <row r="3484" spans="1:33" x14ac:dyDescent="0.3">
      <c r="A3484" t="s">
        <v>6107</v>
      </c>
      <c r="B3484" s="13">
        <v>46104</v>
      </c>
      <c r="C3484">
        <v>2026</v>
      </c>
      <c r="D3484">
        <v>3</v>
      </c>
      <c r="E3484" t="s">
        <v>3053</v>
      </c>
      <c r="F3484" t="s">
        <v>2572</v>
      </c>
      <c r="G3484" t="s">
        <v>911</v>
      </c>
      <c r="H3484" t="s">
        <v>912</v>
      </c>
      <c r="I3484" t="s">
        <v>86</v>
      </c>
      <c r="J3484">
        <v>35</v>
      </c>
      <c r="K3484" t="s">
        <v>81</v>
      </c>
      <c r="L3484" t="s">
        <v>99</v>
      </c>
      <c r="M3484" t="s">
        <v>58</v>
      </c>
      <c r="N3484" t="s">
        <v>2647</v>
      </c>
      <c r="O3484" t="s">
        <v>133</v>
      </c>
      <c r="P3484" t="s">
        <v>50</v>
      </c>
      <c r="Q3484" t="s">
        <v>145</v>
      </c>
      <c r="R3484">
        <v>2</v>
      </c>
      <c r="S3484">
        <v>799</v>
      </c>
      <c r="T3484">
        <v>0.2</v>
      </c>
      <c r="U3484">
        <v>1278.4000000000001</v>
      </c>
      <c r="V3484">
        <v>780</v>
      </c>
      <c r="W3484">
        <v>498.4</v>
      </c>
      <c r="X3484" t="s">
        <v>73</v>
      </c>
      <c r="Y3484" t="s">
        <v>68</v>
      </c>
      <c r="Z3484" t="s">
        <v>163</v>
      </c>
      <c r="AA3484" t="s">
        <v>166</v>
      </c>
      <c r="AB3484">
        <v>4.7</v>
      </c>
      <c r="AC3484">
        <v>100</v>
      </c>
      <c r="AD3484">
        <v>27.08</v>
      </c>
      <c r="AE3484">
        <f t="shared" si="108"/>
        <v>371.32</v>
      </c>
      <c r="AF3484" t="str">
        <f t="shared" si="109"/>
        <v>2026-03</v>
      </c>
      <c r="AG3484">
        <f>SUBTOTAL(103,A3484)</f>
        <v>1</v>
      </c>
    </row>
    <row r="3485" spans="1:33" x14ac:dyDescent="0.3">
      <c r="A3485" t="s">
        <v>6108</v>
      </c>
      <c r="B3485" s="13">
        <v>46104</v>
      </c>
      <c r="C3485">
        <v>2026</v>
      </c>
      <c r="D3485">
        <v>3</v>
      </c>
      <c r="E3485" t="s">
        <v>3053</v>
      </c>
      <c r="F3485" t="s">
        <v>2572</v>
      </c>
      <c r="G3485" t="s">
        <v>409</v>
      </c>
      <c r="H3485" t="s">
        <v>410</v>
      </c>
      <c r="I3485" t="s">
        <v>85</v>
      </c>
      <c r="J3485">
        <v>31</v>
      </c>
      <c r="K3485" t="s">
        <v>81</v>
      </c>
      <c r="L3485" t="s">
        <v>2573</v>
      </c>
      <c r="M3485" t="s">
        <v>63</v>
      </c>
      <c r="N3485" t="s">
        <v>2574</v>
      </c>
      <c r="O3485" t="s">
        <v>130</v>
      </c>
      <c r="P3485" t="s">
        <v>50</v>
      </c>
      <c r="Q3485" t="s">
        <v>53</v>
      </c>
      <c r="R3485">
        <v>2</v>
      </c>
      <c r="S3485">
        <v>1199</v>
      </c>
      <c r="T3485">
        <v>0.05</v>
      </c>
      <c r="U3485">
        <v>2278.1</v>
      </c>
      <c r="V3485">
        <v>1100</v>
      </c>
      <c r="W3485">
        <v>1178.0999999999999</v>
      </c>
      <c r="X3485" t="s">
        <v>74</v>
      </c>
      <c r="Y3485" t="s">
        <v>70</v>
      </c>
      <c r="Z3485" t="s">
        <v>160</v>
      </c>
      <c r="AA3485" t="s">
        <v>170</v>
      </c>
      <c r="AB3485">
        <v>4.2</v>
      </c>
      <c r="AC3485">
        <v>50</v>
      </c>
      <c r="AD3485">
        <v>52.6</v>
      </c>
      <c r="AE3485">
        <f t="shared" si="108"/>
        <v>1075.5</v>
      </c>
      <c r="AF3485" t="str">
        <f t="shared" si="109"/>
        <v>2026-03</v>
      </c>
      <c r="AG3485">
        <f>SUBTOTAL(103,A3485)</f>
        <v>1</v>
      </c>
    </row>
    <row r="3486" spans="1:33" x14ac:dyDescent="0.3">
      <c r="A3486" t="s">
        <v>6109</v>
      </c>
      <c r="B3486" s="13">
        <v>46104</v>
      </c>
      <c r="C3486">
        <v>2026</v>
      </c>
      <c r="D3486">
        <v>3</v>
      </c>
      <c r="E3486" t="s">
        <v>3053</v>
      </c>
      <c r="F3486" t="s">
        <v>2572</v>
      </c>
      <c r="G3486" t="s">
        <v>1449</v>
      </c>
      <c r="H3486" t="s">
        <v>1450</v>
      </c>
      <c r="I3486" t="s">
        <v>87</v>
      </c>
      <c r="J3486">
        <v>52</v>
      </c>
      <c r="K3486" t="s">
        <v>83</v>
      </c>
      <c r="L3486" t="s">
        <v>93</v>
      </c>
      <c r="M3486" t="s">
        <v>55</v>
      </c>
      <c r="N3486" t="s">
        <v>2630</v>
      </c>
      <c r="O3486" t="s">
        <v>123</v>
      </c>
      <c r="P3486" t="s">
        <v>52</v>
      </c>
      <c r="Q3486" t="s">
        <v>146</v>
      </c>
      <c r="R3486">
        <v>2</v>
      </c>
      <c r="S3486">
        <v>2499</v>
      </c>
      <c r="T3486">
        <v>0</v>
      </c>
      <c r="U3486">
        <v>4998</v>
      </c>
      <c r="V3486">
        <v>2800</v>
      </c>
      <c r="W3486">
        <v>2198</v>
      </c>
      <c r="X3486" t="s">
        <v>74</v>
      </c>
      <c r="Y3486" t="s">
        <v>68</v>
      </c>
      <c r="Z3486" t="s">
        <v>162</v>
      </c>
      <c r="AA3486" t="s">
        <v>167</v>
      </c>
      <c r="AB3486">
        <v>4.8</v>
      </c>
      <c r="AC3486">
        <v>60</v>
      </c>
      <c r="AD3486">
        <v>481.07</v>
      </c>
      <c r="AE3486">
        <f t="shared" si="108"/>
        <v>1656.93</v>
      </c>
      <c r="AF3486" t="str">
        <f t="shared" si="109"/>
        <v>2026-03</v>
      </c>
      <c r="AG3486">
        <f>SUBTOTAL(103,A3486)</f>
        <v>1</v>
      </c>
    </row>
    <row r="3487" spans="1:33" x14ac:dyDescent="0.3">
      <c r="A3487" t="s">
        <v>6110</v>
      </c>
      <c r="B3487" s="13">
        <v>46104</v>
      </c>
      <c r="C3487">
        <v>2026</v>
      </c>
      <c r="D3487">
        <v>3</v>
      </c>
      <c r="E3487" t="s">
        <v>3053</v>
      </c>
      <c r="F3487" t="s">
        <v>2572</v>
      </c>
      <c r="G3487" t="s">
        <v>1463</v>
      </c>
      <c r="H3487" t="s">
        <v>1464</v>
      </c>
      <c r="I3487" t="s">
        <v>86</v>
      </c>
      <c r="J3487">
        <v>50</v>
      </c>
      <c r="K3487" t="s">
        <v>83</v>
      </c>
      <c r="L3487" t="s">
        <v>94</v>
      </c>
      <c r="M3487" t="s">
        <v>57</v>
      </c>
      <c r="N3487" t="s">
        <v>2644</v>
      </c>
      <c r="O3487" t="s">
        <v>126</v>
      </c>
      <c r="P3487" t="s">
        <v>50</v>
      </c>
      <c r="Q3487" t="s">
        <v>145</v>
      </c>
      <c r="R3487">
        <v>2</v>
      </c>
      <c r="S3487">
        <v>1799</v>
      </c>
      <c r="T3487">
        <v>0.05</v>
      </c>
      <c r="U3487">
        <v>3418.1</v>
      </c>
      <c r="V3487">
        <v>1900</v>
      </c>
      <c r="W3487">
        <v>1518.1</v>
      </c>
      <c r="X3487" t="s">
        <v>74</v>
      </c>
      <c r="Y3487" t="s">
        <v>68</v>
      </c>
      <c r="Z3487" t="s">
        <v>162</v>
      </c>
      <c r="AA3487" t="s">
        <v>167</v>
      </c>
      <c r="AB3487">
        <v>3.9</v>
      </c>
      <c r="AC3487">
        <v>100</v>
      </c>
      <c r="AD3487">
        <v>391.85</v>
      </c>
      <c r="AE3487">
        <f t="shared" si="108"/>
        <v>1026.25</v>
      </c>
      <c r="AF3487" t="str">
        <f t="shared" si="109"/>
        <v>2026-03</v>
      </c>
      <c r="AG3487">
        <f>SUBTOTAL(103,A3487)</f>
        <v>1</v>
      </c>
    </row>
    <row r="3488" spans="1:33" x14ac:dyDescent="0.3">
      <c r="A3488" t="s">
        <v>6111</v>
      </c>
      <c r="B3488" s="13">
        <v>46104</v>
      </c>
      <c r="C3488">
        <v>2026</v>
      </c>
      <c r="D3488">
        <v>3</v>
      </c>
      <c r="E3488" t="s">
        <v>3053</v>
      </c>
      <c r="F3488" t="s">
        <v>2572</v>
      </c>
      <c r="G3488" t="s">
        <v>1629</v>
      </c>
      <c r="H3488" t="s">
        <v>1630</v>
      </c>
      <c r="I3488" t="s">
        <v>86</v>
      </c>
      <c r="J3488">
        <v>36</v>
      </c>
      <c r="K3488" t="s">
        <v>82</v>
      </c>
      <c r="L3488" t="s">
        <v>2661</v>
      </c>
      <c r="M3488" t="s">
        <v>58</v>
      </c>
      <c r="N3488" t="s">
        <v>2644</v>
      </c>
      <c r="O3488" t="s">
        <v>126</v>
      </c>
      <c r="P3488" t="s">
        <v>50</v>
      </c>
      <c r="Q3488" t="s">
        <v>145</v>
      </c>
      <c r="R3488">
        <v>2</v>
      </c>
      <c r="S3488">
        <v>1799</v>
      </c>
      <c r="T3488">
        <v>0.1</v>
      </c>
      <c r="U3488">
        <v>3238.2</v>
      </c>
      <c r="V3488">
        <v>1900</v>
      </c>
      <c r="W3488">
        <v>1338.2</v>
      </c>
      <c r="X3488" t="s">
        <v>73</v>
      </c>
      <c r="Y3488" t="s">
        <v>70</v>
      </c>
      <c r="Z3488" t="s">
        <v>160</v>
      </c>
      <c r="AA3488" t="s">
        <v>167</v>
      </c>
      <c r="AB3488">
        <v>2.8</v>
      </c>
      <c r="AC3488">
        <v>60</v>
      </c>
      <c r="AD3488">
        <v>230.13</v>
      </c>
      <c r="AE3488">
        <f t="shared" si="108"/>
        <v>1048.0700000000002</v>
      </c>
      <c r="AF3488" t="str">
        <f t="shared" si="109"/>
        <v>2026-03</v>
      </c>
      <c r="AG3488">
        <f>SUBTOTAL(103,A3488)</f>
        <v>1</v>
      </c>
    </row>
    <row r="3489" spans="1:33" x14ac:dyDescent="0.3">
      <c r="A3489" t="s">
        <v>6112</v>
      </c>
      <c r="B3489" s="13">
        <v>46104</v>
      </c>
      <c r="C3489">
        <v>2026</v>
      </c>
      <c r="D3489">
        <v>3</v>
      </c>
      <c r="E3489" t="s">
        <v>3053</v>
      </c>
      <c r="F3489" t="s">
        <v>2572</v>
      </c>
      <c r="G3489" t="s">
        <v>223</v>
      </c>
      <c r="H3489" t="s">
        <v>224</v>
      </c>
      <c r="I3489" t="s">
        <v>85</v>
      </c>
      <c r="J3489">
        <v>34</v>
      </c>
      <c r="K3489" t="s">
        <v>81</v>
      </c>
      <c r="L3489" t="s">
        <v>97</v>
      </c>
      <c r="M3489" t="s">
        <v>57</v>
      </c>
      <c r="N3489" t="s">
        <v>2606</v>
      </c>
      <c r="O3489" t="s">
        <v>120</v>
      </c>
      <c r="P3489" t="s">
        <v>49</v>
      </c>
      <c r="Q3489" t="s">
        <v>140</v>
      </c>
      <c r="R3489">
        <v>3</v>
      </c>
      <c r="S3489">
        <v>2799</v>
      </c>
      <c r="T3489">
        <v>0.15</v>
      </c>
      <c r="U3489">
        <v>7137.45</v>
      </c>
      <c r="V3489">
        <v>4950</v>
      </c>
      <c r="W3489">
        <v>2187.4499999999998</v>
      </c>
      <c r="X3489" t="s">
        <v>74</v>
      </c>
      <c r="Y3489" t="s">
        <v>68</v>
      </c>
      <c r="Z3489" t="s">
        <v>159</v>
      </c>
      <c r="AA3489" t="s">
        <v>170</v>
      </c>
      <c r="AB3489">
        <v>5</v>
      </c>
      <c r="AC3489">
        <v>60</v>
      </c>
      <c r="AD3489">
        <v>491.81</v>
      </c>
      <c r="AE3489">
        <f t="shared" si="108"/>
        <v>1635.6399999999999</v>
      </c>
      <c r="AF3489" t="str">
        <f t="shared" si="109"/>
        <v>2026-03</v>
      </c>
      <c r="AG3489">
        <f>SUBTOTAL(103,A3489)</f>
        <v>1</v>
      </c>
    </row>
    <row r="3490" spans="1:33" x14ac:dyDescent="0.3">
      <c r="A3490" t="s">
        <v>6113</v>
      </c>
      <c r="B3490" s="13">
        <v>46104</v>
      </c>
      <c r="C3490">
        <v>2026</v>
      </c>
      <c r="D3490">
        <v>3</v>
      </c>
      <c r="E3490" t="s">
        <v>3053</v>
      </c>
      <c r="F3490" t="s">
        <v>2572</v>
      </c>
      <c r="G3490" t="s">
        <v>409</v>
      </c>
      <c r="H3490" t="s">
        <v>410</v>
      </c>
      <c r="I3490" t="s">
        <v>85</v>
      </c>
      <c r="J3490">
        <v>31</v>
      </c>
      <c r="K3490" t="s">
        <v>81</v>
      </c>
      <c r="L3490" t="s">
        <v>2573</v>
      </c>
      <c r="M3490" t="s">
        <v>63</v>
      </c>
      <c r="N3490" t="s">
        <v>2626</v>
      </c>
      <c r="O3490" t="s">
        <v>125</v>
      </c>
      <c r="P3490" t="s">
        <v>48</v>
      </c>
      <c r="Q3490" t="s">
        <v>141</v>
      </c>
      <c r="R3490">
        <v>2</v>
      </c>
      <c r="S3490">
        <v>1999</v>
      </c>
      <c r="T3490">
        <v>0.15</v>
      </c>
      <c r="U3490">
        <v>3398.3</v>
      </c>
      <c r="V3490">
        <v>2300</v>
      </c>
      <c r="W3490">
        <v>1098.3</v>
      </c>
      <c r="X3490" t="s">
        <v>73</v>
      </c>
      <c r="Y3490" t="s">
        <v>68</v>
      </c>
      <c r="Z3490" t="s">
        <v>161</v>
      </c>
      <c r="AA3490" t="s">
        <v>167</v>
      </c>
      <c r="AB3490">
        <v>4.8</v>
      </c>
      <c r="AC3490">
        <v>80</v>
      </c>
      <c r="AD3490">
        <v>383</v>
      </c>
      <c r="AE3490">
        <f t="shared" si="108"/>
        <v>635.29999999999995</v>
      </c>
      <c r="AF3490" t="str">
        <f t="shared" si="109"/>
        <v>2026-03</v>
      </c>
      <c r="AG3490">
        <f>SUBTOTAL(103,A3490)</f>
        <v>1</v>
      </c>
    </row>
    <row r="3491" spans="1:33" x14ac:dyDescent="0.3">
      <c r="A3491" t="s">
        <v>6114</v>
      </c>
      <c r="B3491" s="13">
        <v>46105</v>
      </c>
      <c r="C3491">
        <v>2026</v>
      </c>
      <c r="D3491">
        <v>3</v>
      </c>
      <c r="E3491" t="s">
        <v>3053</v>
      </c>
      <c r="F3491" t="s">
        <v>2572</v>
      </c>
      <c r="G3491" t="s">
        <v>1033</v>
      </c>
      <c r="H3491" t="s">
        <v>1034</v>
      </c>
      <c r="I3491" t="s">
        <v>86</v>
      </c>
      <c r="J3491">
        <v>19</v>
      </c>
      <c r="K3491" t="s">
        <v>80</v>
      </c>
      <c r="L3491" t="s">
        <v>2586</v>
      </c>
      <c r="M3491" t="s">
        <v>62</v>
      </c>
      <c r="N3491" t="s">
        <v>2594</v>
      </c>
      <c r="O3491" t="s">
        <v>131</v>
      </c>
      <c r="P3491" t="s">
        <v>53</v>
      </c>
      <c r="Q3491" t="s">
        <v>143</v>
      </c>
      <c r="R3491">
        <v>1</v>
      </c>
      <c r="S3491">
        <v>999</v>
      </c>
      <c r="T3491">
        <v>0</v>
      </c>
      <c r="U3491">
        <v>999</v>
      </c>
      <c r="V3491">
        <v>520</v>
      </c>
      <c r="W3491">
        <v>479</v>
      </c>
      <c r="X3491" t="s">
        <v>75</v>
      </c>
      <c r="Y3491" t="s">
        <v>68</v>
      </c>
      <c r="Z3491" t="s">
        <v>161</v>
      </c>
      <c r="AA3491" t="s">
        <v>166</v>
      </c>
      <c r="AB3491">
        <v>5</v>
      </c>
      <c r="AC3491">
        <v>120</v>
      </c>
      <c r="AD3491">
        <v>29.56</v>
      </c>
      <c r="AE3491">
        <f t="shared" si="108"/>
        <v>329.44</v>
      </c>
      <c r="AF3491" t="str">
        <f t="shared" si="109"/>
        <v>2026-03</v>
      </c>
      <c r="AG3491">
        <f>SUBTOTAL(103,A3491)</f>
        <v>1</v>
      </c>
    </row>
    <row r="3492" spans="1:33" x14ac:dyDescent="0.3">
      <c r="A3492" t="s">
        <v>6115</v>
      </c>
      <c r="B3492" s="13">
        <v>46105</v>
      </c>
      <c r="C3492">
        <v>2026</v>
      </c>
      <c r="D3492">
        <v>3</v>
      </c>
      <c r="E3492" t="s">
        <v>3053</v>
      </c>
      <c r="F3492" t="s">
        <v>2572</v>
      </c>
      <c r="G3492" t="s">
        <v>1841</v>
      </c>
      <c r="H3492" t="s">
        <v>1842</v>
      </c>
      <c r="I3492" t="s">
        <v>87</v>
      </c>
      <c r="J3492">
        <v>59</v>
      </c>
      <c r="K3492" t="s">
        <v>83</v>
      </c>
      <c r="L3492" t="s">
        <v>2679</v>
      </c>
      <c r="M3492" t="s">
        <v>60</v>
      </c>
      <c r="N3492" t="s">
        <v>2626</v>
      </c>
      <c r="O3492" t="s">
        <v>125</v>
      </c>
      <c r="P3492" t="s">
        <v>48</v>
      </c>
      <c r="Q3492" t="s">
        <v>141</v>
      </c>
      <c r="R3492">
        <v>1</v>
      </c>
      <c r="S3492">
        <v>1999</v>
      </c>
      <c r="T3492">
        <v>0.1</v>
      </c>
      <c r="U3492">
        <v>1799.1</v>
      </c>
      <c r="V3492">
        <v>1150</v>
      </c>
      <c r="W3492">
        <v>649.1</v>
      </c>
      <c r="X3492" t="s">
        <v>73</v>
      </c>
      <c r="Y3492" t="s">
        <v>68</v>
      </c>
      <c r="Z3492" t="s">
        <v>158</v>
      </c>
      <c r="AA3492" t="s">
        <v>166</v>
      </c>
      <c r="AB3492">
        <v>4.7</v>
      </c>
      <c r="AC3492">
        <v>80</v>
      </c>
      <c r="AD3492">
        <v>94.34</v>
      </c>
      <c r="AE3492">
        <f t="shared" si="108"/>
        <v>474.76</v>
      </c>
      <c r="AF3492" t="str">
        <f t="shared" si="109"/>
        <v>2026-03</v>
      </c>
      <c r="AG3492">
        <f>SUBTOTAL(103,A3492)</f>
        <v>1</v>
      </c>
    </row>
    <row r="3493" spans="1:33" x14ac:dyDescent="0.3">
      <c r="A3493" t="s">
        <v>6116</v>
      </c>
      <c r="B3493" s="13">
        <v>46105</v>
      </c>
      <c r="C3493">
        <v>2026</v>
      </c>
      <c r="D3493">
        <v>3</v>
      </c>
      <c r="E3493" t="s">
        <v>3053</v>
      </c>
      <c r="F3493" t="s">
        <v>2572</v>
      </c>
      <c r="G3493" t="s">
        <v>1403</v>
      </c>
      <c r="H3493" t="s">
        <v>1404</v>
      </c>
      <c r="I3493" t="s">
        <v>86</v>
      </c>
      <c r="J3493">
        <v>43</v>
      </c>
      <c r="K3493" t="s">
        <v>82</v>
      </c>
      <c r="L3493" t="s">
        <v>95</v>
      </c>
      <c r="M3493" t="s">
        <v>56</v>
      </c>
      <c r="N3493" t="s">
        <v>2603</v>
      </c>
      <c r="O3493" t="s">
        <v>122</v>
      </c>
      <c r="P3493" t="s">
        <v>48</v>
      </c>
      <c r="Q3493" t="s">
        <v>141</v>
      </c>
      <c r="R3493">
        <v>3</v>
      </c>
      <c r="S3493">
        <v>2499</v>
      </c>
      <c r="T3493">
        <v>0</v>
      </c>
      <c r="U3493">
        <v>7497</v>
      </c>
      <c r="V3493">
        <v>4350</v>
      </c>
      <c r="W3493">
        <v>3147</v>
      </c>
      <c r="X3493" t="s">
        <v>73</v>
      </c>
      <c r="Y3493" t="s">
        <v>68</v>
      </c>
      <c r="Z3493" t="s">
        <v>159</v>
      </c>
      <c r="AA3493" t="s">
        <v>168</v>
      </c>
      <c r="AB3493">
        <v>3.1</v>
      </c>
      <c r="AC3493">
        <v>60</v>
      </c>
      <c r="AD3493">
        <v>366.7</v>
      </c>
      <c r="AE3493">
        <f t="shared" si="108"/>
        <v>2720.3</v>
      </c>
      <c r="AF3493" t="str">
        <f t="shared" si="109"/>
        <v>2026-03</v>
      </c>
      <c r="AG3493">
        <f>SUBTOTAL(103,A3493)</f>
        <v>1</v>
      </c>
    </row>
    <row r="3494" spans="1:33" x14ac:dyDescent="0.3">
      <c r="A3494" t="s">
        <v>6117</v>
      </c>
      <c r="B3494" s="13">
        <v>46105</v>
      </c>
      <c r="C3494">
        <v>2026</v>
      </c>
      <c r="D3494">
        <v>3</v>
      </c>
      <c r="E3494" t="s">
        <v>3053</v>
      </c>
      <c r="F3494" t="s">
        <v>2572</v>
      </c>
      <c r="G3494" t="s">
        <v>885</v>
      </c>
      <c r="H3494" t="s">
        <v>886</v>
      </c>
      <c r="I3494" t="s">
        <v>86</v>
      </c>
      <c r="J3494">
        <v>28</v>
      </c>
      <c r="K3494" t="s">
        <v>81</v>
      </c>
      <c r="L3494" t="s">
        <v>2623</v>
      </c>
      <c r="M3494" t="s">
        <v>61</v>
      </c>
      <c r="N3494" t="s">
        <v>2601</v>
      </c>
      <c r="O3494" t="s">
        <v>117</v>
      </c>
      <c r="P3494" t="s">
        <v>49</v>
      </c>
      <c r="Q3494" t="s">
        <v>139</v>
      </c>
      <c r="R3494">
        <v>3</v>
      </c>
      <c r="S3494">
        <v>6999</v>
      </c>
      <c r="T3494">
        <v>0.15</v>
      </c>
      <c r="U3494">
        <v>17847.45</v>
      </c>
      <c r="V3494">
        <v>12900</v>
      </c>
      <c r="W3494">
        <v>4947.45</v>
      </c>
      <c r="X3494" t="s">
        <v>73</v>
      </c>
      <c r="Y3494" t="s">
        <v>68</v>
      </c>
      <c r="Z3494" t="s">
        <v>162</v>
      </c>
      <c r="AA3494" t="s">
        <v>169</v>
      </c>
      <c r="AB3494">
        <v>4.4000000000000004</v>
      </c>
      <c r="AC3494">
        <v>100</v>
      </c>
      <c r="AD3494">
        <v>822.33</v>
      </c>
      <c r="AE3494">
        <f t="shared" si="108"/>
        <v>4025.12</v>
      </c>
      <c r="AF3494" t="str">
        <f t="shared" si="109"/>
        <v>2026-03</v>
      </c>
      <c r="AG3494">
        <f>SUBTOTAL(103,A3494)</f>
        <v>1</v>
      </c>
    </row>
    <row r="3495" spans="1:33" x14ac:dyDescent="0.3">
      <c r="A3495" t="s">
        <v>6118</v>
      </c>
      <c r="B3495" s="13">
        <v>46105</v>
      </c>
      <c r="C3495">
        <v>2026</v>
      </c>
      <c r="D3495">
        <v>3</v>
      </c>
      <c r="E3495" t="s">
        <v>3053</v>
      </c>
      <c r="F3495" t="s">
        <v>2572</v>
      </c>
      <c r="G3495" t="s">
        <v>1343</v>
      </c>
      <c r="H3495" t="s">
        <v>1344</v>
      </c>
      <c r="I3495" t="s">
        <v>86</v>
      </c>
      <c r="J3495">
        <v>52</v>
      </c>
      <c r="K3495" t="s">
        <v>83</v>
      </c>
      <c r="L3495" t="s">
        <v>90</v>
      </c>
      <c r="M3495" t="s">
        <v>55</v>
      </c>
      <c r="N3495" t="s">
        <v>2606</v>
      </c>
      <c r="O3495" t="s">
        <v>120</v>
      </c>
      <c r="P3495" t="s">
        <v>49</v>
      </c>
      <c r="Q3495" t="s">
        <v>140</v>
      </c>
      <c r="R3495">
        <v>3</v>
      </c>
      <c r="S3495">
        <v>2799</v>
      </c>
      <c r="T3495">
        <v>0.05</v>
      </c>
      <c r="U3495">
        <v>0</v>
      </c>
      <c r="V3495">
        <v>0</v>
      </c>
      <c r="W3495">
        <v>0</v>
      </c>
      <c r="X3495" t="s">
        <v>75</v>
      </c>
      <c r="Y3495" t="s">
        <v>71</v>
      </c>
      <c r="Z3495" t="s">
        <v>158</v>
      </c>
      <c r="AA3495" t="s">
        <v>168</v>
      </c>
      <c r="AB3495">
        <v>5</v>
      </c>
      <c r="AC3495">
        <v>40</v>
      </c>
      <c r="AD3495">
        <v>308.94</v>
      </c>
      <c r="AE3495">
        <f t="shared" si="108"/>
        <v>-348.94</v>
      </c>
      <c r="AF3495" t="str">
        <f t="shared" si="109"/>
        <v>2026-03</v>
      </c>
      <c r="AG3495">
        <f>SUBTOTAL(103,A3495)</f>
        <v>1</v>
      </c>
    </row>
    <row r="3496" spans="1:33" x14ac:dyDescent="0.3">
      <c r="A3496" t="s">
        <v>6119</v>
      </c>
      <c r="B3496" s="13">
        <v>46106</v>
      </c>
      <c r="C3496">
        <v>2026</v>
      </c>
      <c r="D3496">
        <v>3</v>
      </c>
      <c r="E3496" t="s">
        <v>3053</v>
      </c>
      <c r="F3496" t="s">
        <v>2572</v>
      </c>
      <c r="G3496" t="s">
        <v>525</v>
      </c>
      <c r="H3496" t="s">
        <v>526</v>
      </c>
      <c r="I3496" t="s">
        <v>86</v>
      </c>
      <c r="J3496">
        <v>24</v>
      </c>
      <c r="K3496" t="s">
        <v>80</v>
      </c>
      <c r="L3496" t="s">
        <v>2679</v>
      </c>
      <c r="M3496" t="s">
        <v>60</v>
      </c>
      <c r="N3496" t="s">
        <v>2592</v>
      </c>
      <c r="O3496" t="s">
        <v>115</v>
      </c>
      <c r="P3496" t="s">
        <v>48</v>
      </c>
      <c r="Q3496" t="s">
        <v>137</v>
      </c>
      <c r="R3496">
        <v>3</v>
      </c>
      <c r="S3496">
        <v>12999</v>
      </c>
      <c r="T3496">
        <v>0.15</v>
      </c>
      <c r="U3496">
        <v>33147.449999999997</v>
      </c>
      <c r="V3496">
        <v>27000</v>
      </c>
      <c r="W3496">
        <v>6147.45</v>
      </c>
      <c r="X3496" t="s">
        <v>76</v>
      </c>
      <c r="Y3496" t="s">
        <v>68</v>
      </c>
      <c r="Z3496" t="s">
        <v>162</v>
      </c>
      <c r="AA3496" t="s">
        <v>171</v>
      </c>
      <c r="AB3496">
        <v>3.7</v>
      </c>
      <c r="AC3496">
        <v>50</v>
      </c>
      <c r="AD3496">
        <v>2629.89</v>
      </c>
      <c r="AE3496">
        <f t="shared" si="108"/>
        <v>3467.56</v>
      </c>
      <c r="AF3496" t="str">
        <f t="shared" si="109"/>
        <v>2026-03</v>
      </c>
      <c r="AG3496">
        <f>SUBTOTAL(103,A3496)</f>
        <v>1</v>
      </c>
    </row>
    <row r="3497" spans="1:33" x14ac:dyDescent="0.3">
      <c r="A3497" t="s">
        <v>6120</v>
      </c>
      <c r="B3497" s="13">
        <v>46106</v>
      </c>
      <c r="C3497">
        <v>2026</v>
      </c>
      <c r="D3497">
        <v>3</v>
      </c>
      <c r="E3497" t="s">
        <v>3053</v>
      </c>
      <c r="F3497" t="s">
        <v>2572</v>
      </c>
      <c r="G3497" t="s">
        <v>467</v>
      </c>
      <c r="H3497" t="s">
        <v>468</v>
      </c>
      <c r="I3497" t="s">
        <v>85</v>
      </c>
      <c r="J3497">
        <v>42</v>
      </c>
      <c r="K3497" t="s">
        <v>82</v>
      </c>
      <c r="L3497" t="s">
        <v>2616</v>
      </c>
      <c r="M3497" t="s">
        <v>62</v>
      </c>
      <c r="N3497" t="s">
        <v>2647</v>
      </c>
      <c r="O3497" t="s">
        <v>133</v>
      </c>
      <c r="P3497" t="s">
        <v>50</v>
      </c>
      <c r="Q3497" t="s">
        <v>145</v>
      </c>
      <c r="R3497">
        <v>4</v>
      </c>
      <c r="S3497">
        <v>799</v>
      </c>
      <c r="T3497">
        <v>0</v>
      </c>
      <c r="U3497">
        <v>3196</v>
      </c>
      <c r="V3497">
        <v>1560</v>
      </c>
      <c r="W3497">
        <v>1636</v>
      </c>
      <c r="X3497" t="s">
        <v>73</v>
      </c>
      <c r="Y3497" t="s">
        <v>68</v>
      </c>
      <c r="Z3497" t="s">
        <v>159</v>
      </c>
      <c r="AA3497" t="s">
        <v>168</v>
      </c>
      <c r="AB3497">
        <v>4.4000000000000004</v>
      </c>
      <c r="AC3497">
        <v>60</v>
      </c>
      <c r="AD3497">
        <v>367</v>
      </c>
      <c r="AE3497">
        <f t="shared" si="108"/>
        <v>1209</v>
      </c>
      <c r="AF3497" t="str">
        <f t="shared" si="109"/>
        <v>2026-03</v>
      </c>
      <c r="AG3497">
        <f>SUBTOTAL(103,A3497)</f>
        <v>1</v>
      </c>
    </row>
    <row r="3498" spans="1:33" x14ac:dyDescent="0.3">
      <c r="A3498" t="s">
        <v>6121</v>
      </c>
      <c r="B3498" s="13">
        <v>46106</v>
      </c>
      <c r="C3498">
        <v>2026</v>
      </c>
      <c r="D3498">
        <v>3</v>
      </c>
      <c r="E3498" t="s">
        <v>3053</v>
      </c>
      <c r="F3498" t="s">
        <v>2572</v>
      </c>
      <c r="G3498" t="s">
        <v>667</v>
      </c>
      <c r="H3498" t="s">
        <v>668</v>
      </c>
      <c r="I3498" t="s">
        <v>85</v>
      </c>
      <c r="J3498">
        <v>60</v>
      </c>
      <c r="K3498" t="s">
        <v>83</v>
      </c>
      <c r="L3498" t="s">
        <v>95</v>
      </c>
      <c r="M3498" t="s">
        <v>56</v>
      </c>
      <c r="N3498" t="s">
        <v>2644</v>
      </c>
      <c r="O3498" t="s">
        <v>126</v>
      </c>
      <c r="P3498" t="s">
        <v>50</v>
      </c>
      <c r="Q3498" t="s">
        <v>145</v>
      </c>
      <c r="R3498">
        <v>3</v>
      </c>
      <c r="S3498">
        <v>1799</v>
      </c>
      <c r="T3498">
        <v>0.1</v>
      </c>
      <c r="U3498">
        <v>4857.3</v>
      </c>
      <c r="V3498">
        <v>2850</v>
      </c>
      <c r="W3498">
        <v>2007.3</v>
      </c>
      <c r="X3498" t="s">
        <v>73</v>
      </c>
      <c r="Y3498" t="s">
        <v>68</v>
      </c>
      <c r="Z3498" t="s">
        <v>163</v>
      </c>
      <c r="AA3498" t="s">
        <v>169</v>
      </c>
      <c r="AB3498">
        <v>3</v>
      </c>
      <c r="AC3498">
        <v>60</v>
      </c>
      <c r="AD3498">
        <v>102.95</v>
      </c>
      <c r="AE3498">
        <f t="shared" si="108"/>
        <v>1844.35</v>
      </c>
      <c r="AF3498" t="str">
        <f t="shared" si="109"/>
        <v>2026-03</v>
      </c>
      <c r="AG3498">
        <f>SUBTOTAL(103,A3498)</f>
        <v>1</v>
      </c>
    </row>
    <row r="3499" spans="1:33" x14ac:dyDescent="0.3">
      <c r="A3499" t="s">
        <v>6122</v>
      </c>
      <c r="B3499" s="13">
        <v>46106</v>
      </c>
      <c r="C3499">
        <v>2026</v>
      </c>
      <c r="D3499">
        <v>3</v>
      </c>
      <c r="E3499" t="s">
        <v>3053</v>
      </c>
      <c r="F3499" t="s">
        <v>2572</v>
      </c>
      <c r="G3499" t="s">
        <v>1261</v>
      </c>
      <c r="H3499" t="s">
        <v>1262</v>
      </c>
      <c r="I3499" t="s">
        <v>86</v>
      </c>
      <c r="J3499">
        <v>60</v>
      </c>
      <c r="K3499" t="s">
        <v>83</v>
      </c>
      <c r="L3499" t="s">
        <v>96</v>
      </c>
      <c r="M3499" t="s">
        <v>55</v>
      </c>
      <c r="N3499" t="s">
        <v>2626</v>
      </c>
      <c r="O3499" t="s">
        <v>125</v>
      </c>
      <c r="P3499" t="s">
        <v>48</v>
      </c>
      <c r="Q3499" t="s">
        <v>141</v>
      </c>
      <c r="R3499">
        <v>1</v>
      </c>
      <c r="S3499">
        <v>1999</v>
      </c>
      <c r="T3499">
        <v>0</v>
      </c>
      <c r="U3499">
        <v>1999</v>
      </c>
      <c r="V3499">
        <v>1150</v>
      </c>
      <c r="W3499">
        <v>849</v>
      </c>
      <c r="X3499" t="s">
        <v>77</v>
      </c>
      <c r="Y3499" t="s">
        <v>68</v>
      </c>
      <c r="Z3499" t="s">
        <v>160</v>
      </c>
      <c r="AA3499" t="s">
        <v>167</v>
      </c>
      <c r="AB3499">
        <v>4.3</v>
      </c>
      <c r="AC3499">
        <v>60</v>
      </c>
      <c r="AD3499">
        <v>49.3</v>
      </c>
      <c r="AE3499">
        <f t="shared" si="108"/>
        <v>739.7</v>
      </c>
      <c r="AF3499" t="str">
        <f t="shared" si="109"/>
        <v>2026-03</v>
      </c>
      <c r="AG3499">
        <f>SUBTOTAL(103,A3499)</f>
        <v>1</v>
      </c>
    </row>
    <row r="3500" spans="1:33" x14ac:dyDescent="0.3">
      <c r="A3500" t="s">
        <v>6123</v>
      </c>
      <c r="B3500" s="13">
        <v>46106</v>
      </c>
      <c r="C3500">
        <v>2026</v>
      </c>
      <c r="D3500">
        <v>3</v>
      </c>
      <c r="E3500" t="s">
        <v>3053</v>
      </c>
      <c r="F3500" t="s">
        <v>2572</v>
      </c>
      <c r="G3500" t="s">
        <v>1167</v>
      </c>
      <c r="H3500" t="s">
        <v>1168</v>
      </c>
      <c r="I3500" t="s">
        <v>85</v>
      </c>
      <c r="J3500">
        <v>48</v>
      </c>
      <c r="K3500" t="s">
        <v>83</v>
      </c>
      <c r="L3500" t="s">
        <v>2661</v>
      </c>
      <c r="M3500" t="s">
        <v>58</v>
      </c>
      <c r="N3500" t="s">
        <v>2590</v>
      </c>
      <c r="O3500" t="s">
        <v>127</v>
      </c>
      <c r="P3500" t="s">
        <v>51</v>
      </c>
      <c r="Q3500" t="s">
        <v>148</v>
      </c>
      <c r="R3500">
        <v>2</v>
      </c>
      <c r="S3500">
        <v>1599</v>
      </c>
      <c r="T3500">
        <v>0.2</v>
      </c>
      <c r="U3500">
        <v>2558.4</v>
      </c>
      <c r="V3500">
        <v>1600</v>
      </c>
      <c r="W3500">
        <v>958.4</v>
      </c>
      <c r="X3500" t="s">
        <v>74</v>
      </c>
      <c r="Y3500" t="s">
        <v>68</v>
      </c>
      <c r="Z3500" t="s">
        <v>158</v>
      </c>
      <c r="AA3500" t="s">
        <v>170</v>
      </c>
      <c r="AB3500">
        <v>4.4000000000000004</v>
      </c>
      <c r="AC3500">
        <v>50</v>
      </c>
      <c r="AD3500">
        <v>233.89</v>
      </c>
      <c r="AE3500">
        <f t="shared" si="108"/>
        <v>674.51</v>
      </c>
      <c r="AF3500" t="str">
        <f t="shared" si="109"/>
        <v>2026-03</v>
      </c>
      <c r="AG3500">
        <f>SUBTOTAL(103,A3500)</f>
        <v>1</v>
      </c>
    </row>
    <row r="3501" spans="1:33" x14ac:dyDescent="0.3">
      <c r="A3501" t="s">
        <v>6124</v>
      </c>
      <c r="B3501" s="13">
        <v>46106</v>
      </c>
      <c r="C3501">
        <v>2026</v>
      </c>
      <c r="D3501">
        <v>3</v>
      </c>
      <c r="E3501" t="s">
        <v>3053</v>
      </c>
      <c r="F3501" t="s">
        <v>2572</v>
      </c>
      <c r="G3501" t="s">
        <v>1021</v>
      </c>
      <c r="H3501" t="s">
        <v>1022</v>
      </c>
      <c r="I3501" t="s">
        <v>86</v>
      </c>
      <c r="J3501">
        <v>48</v>
      </c>
      <c r="K3501" t="s">
        <v>83</v>
      </c>
      <c r="L3501" t="s">
        <v>2589</v>
      </c>
      <c r="M3501" t="s">
        <v>61</v>
      </c>
      <c r="N3501" t="s">
        <v>2653</v>
      </c>
      <c r="O3501" t="s">
        <v>132</v>
      </c>
      <c r="P3501" t="s">
        <v>52</v>
      </c>
      <c r="Q3501" t="s">
        <v>150</v>
      </c>
      <c r="R3501">
        <v>2</v>
      </c>
      <c r="S3501">
        <v>899</v>
      </c>
      <c r="T3501">
        <v>0.15</v>
      </c>
      <c r="U3501">
        <v>1528.3</v>
      </c>
      <c r="V3501">
        <v>840</v>
      </c>
      <c r="W3501">
        <v>688.3</v>
      </c>
      <c r="X3501" t="s">
        <v>73</v>
      </c>
      <c r="Y3501" t="s">
        <v>70</v>
      </c>
      <c r="Z3501" t="s">
        <v>159</v>
      </c>
      <c r="AA3501" t="s">
        <v>169</v>
      </c>
      <c r="AB3501">
        <v>3.1</v>
      </c>
      <c r="AC3501">
        <v>80</v>
      </c>
      <c r="AD3501">
        <v>163.81</v>
      </c>
      <c r="AE3501">
        <f t="shared" si="108"/>
        <v>444.48999999999995</v>
      </c>
      <c r="AF3501" t="str">
        <f t="shared" si="109"/>
        <v>2026-03</v>
      </c>
      <c r="AG3501">
        <f>SUBTOTAL(103,A3501)</f>
        <v>1</v>
      </c>
    </row>
    <row r="3502" spans="1:33" x14ac:dyDescent="0.3">
      <c r="A3502" t="s">
        <v>6125</v>
      </c>
      <c r="B3502" s="13">
        <v>46106</v>
      </c>
      <c r="C3502">
        <v>2026</v>
      </c>
      <c r="D3502">
        <v>3</v>
      </c>
      <c r="E3502" t="s">
        <v>3053</v>
      </c>
      <c r="F3502" t="s">
        <v>2572</v>
      </c>
      <c r="G3502" t="s">
        <v>1251</v>
      </c>
      <c r="H3502" t="s">
        <v>1252</v>
      </c>
      <c r="I3502" t="s">
        <v>86</v>
      </c>
      <c r="J3502">
        <v>35</v>
      </c>
      <c r="K3502" t="s">
        <v>81</v>
      </c>
      <c r="L3502" t="s">
        <v>94</v>
      </c>
      <c r="M3502" t="s">
        <v>57</v>
      </c>
      <c r="N3502" t="s">
        <v>2577</v>
      </c>
      <c r="O3502" t="s">
        <v>129</v>
      </c>
      <c r="P3502" t="s">
        <v>49</v>
      </c>
      <c r="Q3502" t="s">
        <v>149</v>
      </c>
      <c r="R3502">
        <v>1</v>
      </c>
      <c r="S3502">
        <v>1299</v>
      </c>
      <c r="T3502">
        <v>0.05</v>
      </c>
      <c r="U3502">
        <v>1234.05</v>
      </c>
      <c r="V3502">
        <v>650</v>
      </c>
      <c r="W3502">
        <v>584.04999999999995</v>
      </c>
      <c r="X3502" t="s">
        <v>74</v>
      </c>
      <c r="Y3502" t="s">
        <v>68</v>
      </c>
      <c r="Z3502" t="s">
        <v>159</v>
      </c>
      <c r="AA3502" t="s">
        <v>166</v>
      </c>
      <c r="AB3502">
        <v>3.3</v>
      </c>
      <c r="AC3502">
        <v>40</v>
      </c>
      <c r="AD3502">
        <v>77.040000000000006</v>
      </c>
      <c r="AE3502">
        <f t="shared" si="108"/>
        <v>467.00999999999993</v>
      </c>
      <c r="AF3502" t="str">
        <f t="shared" si="109"/>
        <v>2026-03</v>
      </c>
      <c r="AG3502">
        <f>SUBTOTAL(103,A3502)</f>
        <v>1</v>
      </c>
    </row>
    <row r="3503" spans="1:33" x14ac:dyDescent="0.3">
      <c r="A3503" t="s">
        <v>6126</v>
      </c>
      <c r="B3503" s="13">
        <v>46107</v>
      </c>
      <c r="C3503">
        <v>2026</v>
      </c>
      <c r="D3503">
        <v>3</v>
      </c>
      <c r="E3503" t="s">
        <v>3053</v>
      </c>
      <c r="F3503" t="s">
        <v>2572</v>
      </c>
      <c r="G3503" t="s">
        <v>345</v>
      </c>
      <c r="H3503" t="s">
        <v>346</v>
      </c>
      <c r="I3503" t="s">
        <v>85</v>
      </c>
      <c r="J3503">
        <v>34</v>
      </c>
      <c r="K3503" t="s">
        <v>81</v>
      </c>
      <c r="L3503" t="s">
        <v>96</v>
      </c>
      <c r="M3503" t="s">
        <v>55</v>
      </c>
      <c r="N3503" t="s">
        <v>2592</v>
      </c>
      <c r="O3503" t="s">
        <v>115</v>
      </c>
      <c r="P3503" t="s">
        <v>48</v>
      </c>
      <c r="Q3503" t="s">
        <v>137</v>
      </c>
      <c r="R3503">
        <v>2</v>
      </c>
      <c r="S3503">
        <v>12999</v>
      </c>
      <c r="T3503">
        <v>0.15</v>
      </c>
      <c r="U3503">
        <v>22098.3</v>
      </c>
      <c r="V3503">
        <v>18000</v>
      </c>
      <c r="W3503">
        <v>4098.3</v>
      </c>
      <c r="X3503" t="s">
        <v>76</v>
      </c>
      <c r="Y3503" t="s">
        <v>68</v>
      </c>
      <c r="Z3503" t="s">
        <v>161</v>
      </c>
      <c r="AA3503" t="s">
        <v>167</v>
      </c>
      <c r="AB3503">
        <v>3.4</v>
      </c>
      <c r="AC3503">
        <v>60</v>
      </c>
      <c r="AD3503">
        <v>1762.2</v>
      </c>
      <c r="AE3503">
        <f t="shared" si="108"/>
        <v>2276.1000000000004</v>
      </c>
      <c r="AF3503" t="str">
        <f t="shared" si="109"/>
        <v>2026-03</v>
      </c>
      <c r="AG3503">
        <f>SUBTOTAL(103,A3503)</f>
        <v>1</v>
      </c>
    </row>
    <row r="3504" spans="1:33" x14ac:dyDescent="0.3">
      <c r="A3504" t="s">
        <v>6127</v>
      </c>
      <c r="B3504" s="13">
        <v>46107</v>
      </c>
      <c r="C3504">
        <v>2026</v>
      </c>
      <c r="D3504">
        <v>3</v>
      </c>
      <c r="E3504" t="s">
        <v>3053</v>
      </c>
      <c r="F3504" t="s">
        <v>2572</v>
      </c>
      <c r="G3504" t="s">
        <v>2319</v>
      </c>
      <c r="H3504" t="s">
        <v>2320</v>
      </c>
      <c r="I3504" t="s">
        <v>85</v>
      </c>
      <c r="J3504">
        <v>58</v>
      </c>
      <c r="K3504" t="s">
        <v>83</v>
      </c>
      <c r="L3504" t="s">
        <v>98</v>
      </c>
      <c r="M3504" t="s">
        <v>55</v>
      </c>
      <c r="N3504" t="s">
        <v>2577</v>
      </c>
      <c r="O3504" t="s">
        <v>129</v>
      </c>
      <c r="P3504" t="s">
        <v>49</v>
      </c>
      <c r="Q3504" t="s">
        <v>149</v>
      </c>
      <c r="R3504">
        <v>4</v>
      </c>
      <c r="S3504">
        <v>1299</v>
      </c>
      <c r="T3504">
        <v>0.15</v>
      </c>
      <c r="U3504">
        <v>4416.6000000000004</v>
      </c>
      <c r="V3504">
        <v>2600</v>
      </c>
      <c r="W3504">
        <v>1816.6</v>
      </c>
      <c r="X3504" t="s">
        <v>74</v>
      </c>
      <c r="Y3504" t="s">
        <v>69</v>
      </c>
      <c r="Z3504" t="s">
        <v>159</v>
      </c>
      <c r="AA3504" t="s">
        <v>171</v>
      </c>
      <c r="AB3504">
        <v>4.0999999999999996</v>
      </c>
      <c r="AC3504">
        <v>80</v>
      </c>
      <c r="AD3504">
        <v>496.48</v>
      </c>
      <c r="AE3504">
        <f t="shared" si="108"/>
        <v>1240.1199999999999</v>
      </c>
      <c r="AF3504" t="str">
        <f t="shared" si="109"/>
        <v>2026-03</v>
      </c>
      <c r="AG3504">
        <f>SUBTOTAL(103,A3504)</f>
        <v>1</v>
      </c>
    </row>
    <row r="3505" spans="1:33" x14ac:dyDescent="0.3">
      <c r="A3505" t="s">
        <v>6128</v>
      </c>
      <c r="B3505" s="13">
        <v>46107</v>
      </c>
      <c r="C3505">
        <v>2026</v>
      </c>
      <c r="D3505">
        <v>3</v>
      </c>
      <c r="E3505" t="s">
        <v>3053</v>
      </c>
      <c r="F3505" t="s">
        <v>2572</v>
      </c>
      <c r="G3505" t="s">
        <v>2285</v>
      </c>
      <c r="H3505" t="s">
        <v>2286</v>
      </c>
      <c r="I3505" t="s">
        <v>85</v>
      </c>
      <c r="J3505">
        <v>59</v>
      </c>
      <c r="K3505" t="s">
        <v>83</v>
      </c>
      <c r="L3505" t="s">
        <v>2679</v>
      </c>
      <c r="M3505" t="s">
        <v>60</v>
      </c>
      <c r="N3505" t="s">
        <v>2577</v>
      </c>
      <c r="O3505" t="s">
        <v>129</v>
      </c>
      <c r="P3505" t="s">
        <v>49</v>
      </c>
      <c r="Q3505" t="s">
        <v>149</v>
      </c>
      <c r="R3505">
        <v>3</v>
      </c>
      <c r="S3505">
        <v>1299</v>
      </c>
      <c r="T3505">
        <v>0.25</v>
      </c>
      <c r="U3505">
        <v>2922.75</v>
      </c>
      <c r="V3505">
        <v>1950</v>
      </c>
      <c r="W3505">
        <v>972.75</v>
      </c>
      <c r="X3505" t="s">
        <v>77</v>
      </c>
      <c r="Y3505" t="s">
        <v>68</v>
      </c>
      <c r="Z3505" t="s">
        <v>161</v>
      </c>
      <c r="AA3505" t="s">
        <v>167</v>
      </c>
      <c r="AB3505">
        <v>4.5</v>
      </c>
      <c r="AC3505">
        <v>80</v>
      </c>
      <c r="AD3505">
        <v>208.84</v>
      </c>
      <c r="AE3505">
        <f t="shared" si="108"/>
        <v>683.91</v>
      </c>
      <c r="AF3505" t="str">
        <f t="shared" si="109"/>
        <v>2026-03</v>
      </c>
      <c r="AG3505">
        <f>SUBTOTAL(103,A3505)</f>
        <v>1</v>
      </c>
    </row>
    <row r="3506" spans="1:33" x14ac:dyDescent="0.3">
      <c r="A3506" t="s">
        <v>6129</v>
      </c>
      <c r="B3506" s="13">
        <v>46107</v>
      </c>
      <c r="C3506">
        <v>2026</v>
      </c>
      <c r="D3506">
        <v>3</v>
      </c>
      <c r="E3506" t="s">
        <v>3053</v>
      </c>
      <c r="F3506" t="s">
        <v>2572</v>
      </c>
      <c r="G3506" t="s">
        <v>361</v>
      </c>
      <c r="H3506" t="s">
        <v>362</v>
      </c>
      <c r="I3506" t="s">
        <v>86</v>
      </c>
      <c r="J3506">
        <v>23</v>
      </c>
      <c r="K3506" t="s">
        <v>80</v>
      </c>
      <c r="L3506" t="s">
        <v>95</v>
      </c>
      <c r="M3506" t="s">
        <v>56</v>
      </c>
      <c r="N3506" t="s">
        <v>2647</v>
      </c>
      <c r="O3506" t="s">
        <v>133</v>
      </c>
      <c r="P3506" t="s">
        <v>50</v>
      </c>
      <c r="Q3506" t="s">
        <v>145</v>
      </c>
      <c r="R3506">
        <v>1</v>
      </c>
      <c r="S3506">
        <v>799</v>
      </c>
      <c r="T3506">
        <v>0.05</v>
      </c>
      <c r="U3506">
        <v>759.05</v>
      </c>
      <c r="V3506">
        <v>390</v>
      </c>
      <c r="W3506">
        <v>369.05</v>
      </c>
      <c r="X3506" t="s">
        <v>73</v>
      </c>
      <c r="Y3506" t="s">
        <v>68</v>
      </c>
      <c r="Z3506" t="s">
        <v>158</v>
      </c>
      <c r="AA3506" t="s">
        <v>170</v>
      </c>
      <c r="AB3506">
        <v>3.5</v>
      </c>
      <c r="AC3506">
        <v>100</v>
      </c>
      <c r="AD3506">
        <v>70.760000000000005</v>
      </c>
      <c r="AE3506">
        <f t="shared" si="108"/>
        <v>198.29000000000002</v>
      </c>
      <c r="AF3506" t="str">
        <f t="shared" si="109"/>
        <v>2026-03</v>
      </c>
      <c r="AG3506">
        <f>SUBTOTAL(103,A3506)</f>
        <v>1</v>
      </c>
    </row>
    <row r="3507" spans="1:33" x14ac:dyDescent="0.3">
      <c r="A3507" t="s">
        <v>6130</v>
      </c>
      <c r="B3507" s="13">
        <v>46107</v>
      </c>
      <c r="C3507">
        <v>2026</v>
      </c>
      <c r="D3507">
        <v>3</v>
      </c>
      <c r="E3507" t="s">
        <v>3053</v>
      </c>
      <c r="F3507" t="s">
        <v>2572</v>
      </c>
      <c r="G3507" t="s">
        <v>535</v>
      </c>
      <c r="H3507" t="s">
        <v>536</v>
      </c>
      <c r="I3507" t="s">
        <v>85</v>
      </c>
      <c r="J3507">
        <v>52</v>
      </c>
      <c r="K3507" t="s">
        <v>83</v>
      </c>
      <c r="L3507" t="s">
        <v>2661</v>
      </c>
      <c r="M3507" t="s">
        <v>58</v>
      </c>
      <c r="N3507" t="s">
        <v>2580</v>
      </c>
      <c r="O3507" t="s">
        <v>118</v>
      </c>
      <c r="P3507" t="s">
        <v>48</v>
      </c>
      <c r="Q3507" t="s">
        <v>142</v>
      </c>
      <c r="R3507">
        <v>1</v>
      </c>
      <c r="S3507">
        <v>3999</v>
      </c>
      <c r="T3507">
        <v>0.15</v>
      </c>
      <c r="U3507">
        <v>3399.15</v>
      </c>
      <c r="V3507">
        <v>2400</v>
      </c>
      <c r="W3507">
        <v>999.15</v>
      </c>
      <c r="X3507" t="s">
        <v>73</v>
      </c>
      <c r="Y3507" t="s">
        <v>69</v>
      </c>
      <c r="Z3507" t="s">
        <v>158</v>
      </c>
      <c r="AA3507" t="s">
        <v>166</v>
      </c>
      <c r="AB3507">
        <v>4.3</v>
      </c>
      <c r="AC3507">
        <v>50</v>
      </c>
      <c r="AD3507">
        <v>204.09</v>
      </c>
      <c r="AE3507">
        <f t="shared" si="108"/>
        <v>745.06</v>
      </c>
      <c r="AF3507" t="str">
        <f t="shared" si="109"/>
        <v>2026-03</v>
      </c>
      <c r="AG3507">
        <f>SUBTOTAL(103,A3507)</f>
        <v>1</v>
      </c>
    </row>
    <row r="3508" spans="1:33" x14ac:dyDescent="0.3">
      <c r="A3508" t="s">
        <v>6131</v>
      </c>
      <c r="B3508" s="13">
        <v>46107</v>
      </c>
      <c r="C3508">
        <v>2026</v>
      </c>
      <c r="D3508">
        <v>3</v>
      </c>
      <c r="E3508" t="s">
        <v>3053</v>
      </c>
      <c r="F3508" t="s">
        <v>2572</v>
      </c>
      <c r="G3508" t="s">
        <v>197</v>
      </c>
      <c r="H3508" t="s">
        <v>198</v>
      </c>
      <c r="I3508" t="s">
        <v>86</v>
      </c>
      <c r="J3508">
        <v>57</v>
      </c>
      <c r="K3508" t="s">
        <v>83</v>
      </c>
      <c r="L3508" t="s">
        <v>2690</v>
      </c>
      <c r="M3508" t="s">
        <v>63</v>
      </c>
      <c r="N3508" t="s">
        <v>2647</v>
      </c>
      <c r="O3508" t="s">
        <v>133</v>
      </c>
      <c r="P3508" t="s">
        <v>50</v>
      </c>
      <c r="Q3508" t="s">
        <v>145</v>
      </c>
      <c r="R3508">
        <v>4</v>
      </c>
      <c r="S3508">
        <v>799</v>
      </c>
      <c r="T3508">
        <v>0.15</v>
      </c>
      <c r="U3508">
        <v>2716.6</v>
      </c>
      <c r="V3508">
        <v>1560</v>
      </c>
      <c r="W3508">
        <v>1156.5999999999999</v>
      </c>
      <c r="X3508" t="s">
        <v>74</v>
      </c>
      <c r="Y3508" t="s">
        <v>68</v>
      </c>
      <c r="Z3508" t="s">
        <v>159</v>
      </c>
      <c r="AA3508" t="s">
        <v>169</v>
      </c>
      <c r="AB3508">
        <v>4</v>
      </c>
      <c r="AC3508">
        <v>50</v>
      </c>
      <c r="AD3508">
        <v>194.53</v>
      </c>
      <c r="AE3508">
        <f t="shared" si="108"/>
        <v>912.06999999999994</v>
      </c>
      <c r="AF3508" t="str">
        <f t="shared" si="109"/>
        <v>2026-03</v>
      </c>
      <c r="AG3508">
        <f>SUBTOTAL(103,A3508)</f>
        <v>1</v>
      </c>
    </row>
    <row r="3509" spans="1:33" x14ac:dyDescent="0.3">
      <c r="A3509" t="s">
        <v>6132</v>
      </c>
      <c r="B3509" s="13">
        <v>46107</v>
      </c>
      <c r="C3509">
        <v>2026</v>
      </c>
      <c r="D3509">
        <v>3</v>
      </c>
      <c r="E3509" t="s">
        <v>3053</v>
      </c>
      <c r="F3509" t="s">
        <v>2572</v>
      </c>
      <c r="G3509" t="s">
        <v>1409</v>
      </c>
      <c r="H3509" t="s">
        <v>1410</v>
      </c>
      <c r="I3509" t="s">
        <v>85</v>
      </c>
      <c r="J3509">
        <v>27</v>
      </c>
      <c r="K3509" t="s">
        <v>81</v>
      </c>
      <c r="L3509" t="s">
        <v>92</v>
      </c>
      <c r="M3509" t="s">
        <v>59</v>
      </c>
      <c r="N3509" t="s">
        <v>2665</v>
      </c>
      <c r="O3509" t="s">
        <v>128</v>
      </c>
      <c r="P3509" t="s">
        <v>53</v>
      </c>
      <c r="Q3509" t="s">
        <v>143</v>
      </c>
      <c r="R3509">
        <v>3</v>
      </c>
      <c r="S3509">
        <v>1499</v>
      </c>
      <c r="T3509">
        <v>0.15</v>
      </c>
      <c r="U3509">
        <v>3822.45</v>
      </c>
      <c r="V3509">
        <v>2400</v>
      </c>
      <c r="W3509">
        <v>1422.45</v>
      </c>
      <c r="X3509" t="s">
        <v>76</v>
      </c>
      <c r="Y3509" t="s">
        <v>69</v>
      </c>
      <c r="Z3509" t="s">
        <v>158</v>
      </c>
      <c r="AA3509" t="s">
        <v>170</v>
      </c>
      <c r="AB3509">
        <v>3.8</v>
      </c>
      <c r="AC3509">
        <v>50</v>
      </c>
      <c r="AD3509">
        <v>364.44</v>
      </c>
      <c r="AE3509">
        <f t="shared" si="108"/>
        <v>1008.01</v>
      </c>
      <c r="AF3509" t="str">
        <f t="shared" si="109"/>
        <v>2026-03</v>
      </c>
      <c r="AG3509">
        <f>SUBTOTAL(103,A3509)</f>
        <v>1</v>
      </c>
    </row>
    <row r="3510" spans="1:33" x14ac:dyDescent="0.3">
      <c r="A3510" t="s">
        <v>6133</v>
      </c>
      <c r="B3510" s="13">
        <v>46107</v>
      </c>
      <c r="C3510">
        <v>2026</v>
      </c>
      <c r="D3510">
        <v>3</v>
      </c>
      <c r="E3510" t="s">
        <v>3053</v>
      </c>
      <c r="F3510" t="s">
        <v>2572</v>
      </c>
      <c r="G3510" t="s">
        <v>493</v>
      </c>
      <c r="H3510" t="s">
        <v>494</v>
      </c>
      <c r="I3510" t="s">
        <v>86</v>
      </c>
      <c r="J3510">
        <v>43</v>
      </c>
      <c r="K3510" t="s">
        <v>82</v>
      </c>
      <c r="L3510" t="s">
        <v>95</v>
      </c>
      <c r="M3510" t="s">
        <v>56</v>
      </c>
      <c r="N3510" t="s">
        <v>2587</v>
      </c>
      <c r="O3510" t="s">
        <v>116</v>
      </c>
      <c r="P3510" t="s">
        <v>48</v>
      </c>
      <c r="Q3510" t="s">
        <v>138</v>
      </c>
      <c r="R3510">
        <v>2</v>
      </c>
      <c r="S3510">
        <v>14999</v>
      </c>
      <c r="T3510">
        <v>0.15</v>
      </c>
      <c r="U3510">
        <v>25498.3</v>
      </c>
      <c r="V3510">
        <v>22400</v>
      </c>
      <c r="W3510">
        <v>3098.3</v>
      </c>
      <c r="X3510" t="s">
        <v>74</v>
      </c>
      <c r="Y3510" t="s">
        <v>68</v>
      </c>
      <c r="Z3510" t="s">
        <v>158</v>
      </c>
      <c r="AA3510" t="s">
        <v>166</v>
      </c>
      <c r="AB3510">
        <v>4.5</v>
      </c>
      <c r="AC3510">
        <v>40</v>
      </c>
      <c r="AD3510">
        <v>2517.64</v>
      </c>
      <c r="AE3510">
        <f t="shared" si="108"/>
        <v>540.66000000000031</v>
      </c>
      <c r="AF3510" t="str">
        <f t="shared" si="109"/>
        <v>2026-03</v>
      </c>
      <c r="AG3510">
        <f>SUBTOTAL(103,A3510)</f>
        <v>1</v>
      </c>
    </row>
    <row r="3511" spans="1:33" x14ac:dyDescent="0.3">
      <c r="A3511" t="s">
        <v>6134</v>
      </c>
      <c r="B3511" s="13">
        <v>46107</v>
      </c>
      <c r="C3511">
        <v>2026</v>
      </c>
      <c r="D3511">
        <v>3</v>
      </c>
      <c r="E3511" t="s">
        <v>3053</v>
      </c>
      <c r="F3511" t="s">
        <v>2572</v>
      </c>
      <c r="G3511" t="s">
        <v>711</v>
      </c>
      <c r="H3511" t="s">
        <v>712</v>
      </c>
      <c r="I3511" t="s">
        <v>85</v>
      </c>
      <c r="J3511">
        <v>40</v>
      </c>
      <c r="K3511" t="s">
        <v>82</v>
      </c>
      <c r="L3511" t="s">
        <v>97</v>
      </c>
      <c r="M3511" t="s">
        <v>57</v>
      </c>
      <c r="N3511" t="s">
        <v>2653</v>
      </c>
      <c r="O3511" t="s">
        <v>132</v>
      </c>
      <c r="P3511" t="s">
        <v>52</v>
      </c>
      <c r="Q3511" t="s">
        <v>150</v>
      </c>
      <c r="R3511">
        <v>3</v>
      </c>
      <c r="S3511">
        <v>899</v>
      </c>
      <c r="T3511">
        <v>0.25</v>
      </c>
      <c r="U3511">
        <v>2022.75</v>
      </c>
      <c r="V3511">
        <v>1260</v>
      </c>
      <c r="W3511">
        <v>762.75</v>
      </c>
      <c r="X3511" t="s">
        <v>73</v>
      </c>
      <c r="Y3511" t="s">
        <v>68</v>
      </c>
      <c r="Z3511" t="s">
        <v>162</v>
      </c>
      <c r="AA3511" t="s">
        <v>171</v>
      </c>
      <c r="AB3511">
        <v>3.7</v>
      </c>
      <c r="AC3511">
        <v>60</v>
      </c>
      <c r="AD3511">
        <v>65.77</v>
      </c>
      <c r="AE3511">
        <f t="shared" si="108"/>
        <v>636.98</v>
      </c>
      <c r="AF3511" t="str">
        <f t="shared" si="109"/>
        <v>2026-03</v>
      </c>
      <c r="AG3511">
        <f>SUBTOTAL(103,A3511)</f>
        <v>1</v>
      </c>
    </row>
    <row r="3512" spans="1:33" x14ac:dyDescent="0.3">
      <c r="A3512" t="s">
        <v>6135</v>
      </c>
      <c r="B3512" s="13">
        <v>46108</v>
      </c>
      <c r="C3512">
        <v>2026</v>
      </c>
      <c r="D3512">
        <v>3</v>
      </c>
      <c r="E3512" t="s">
        <v>3053</v>
      </c>
      <c r="F3512" t="s">
        <v>2572</v>
      </c>
      <c r="G3512" t="s">
        <v>191</v>
      </c>
      <c r="H3512" t="s">
        <v>192</v>
      </c>
      <c r="I3512" t="s">
        <v>85</v>
      </c>
      <c r="J3512">
        <v>22</v>
      </c>
      <c r="K3512" t="s">
        <v>80</v>
      </c>
      <c r="L3512" t="s">
        <v>2687</v>
      </c>
      <c r="M3512" t="s">
        <v>57</v>
      </c>
      <c r="N3512" t="s">
        <v>2596</v>
      </c>
      <c r="O3512" t="s">
        <v>124</v>
      </c>
      <c r="P3512" t="s">
        <v>51</v>
      </c>
      <c r="Q3512" t="s">
        <v>147</v>
      </c>
      <c r="R3512">
        <v>2</v>
      </c>
      <c r="S3512">
        <v>2299</v>
      </c>
      <c r="T3512">
        <v>0.15</v>
      </c>
      <c r="U3512">
        <v>3908.3</v>
      </c>
      <c r="V3512">
        <v>2400</v>
      </c>
      <c r="W3512">
        <v>1508.3</v>
      </c>
      <c r="X3512" t="s">
        <v>75</v>
      </c>
      <c r="Y3512" t="s">
        <v>68</v>
      </c>
      <c r="Z3512" t="s">
        <v>163</v>
      </c>
      <c r="AA3512" t="s">
        <v>167</v>
      </c>
      <c r="AB3512">
        <v>4.8</v>
      </c>
      <c r="AC3512">
        <v>40</v>
      </c>
      <c r="AD3512">
        <v>444.94</v>
      </c>
      <c r="AE3512">
        <f t="shared" si="108"/>
        <v>1023.3599999999999</v>
      </c>
      <c r="AF3512" t="str">
        <f t="shared" si="109"/>
        <v>2026-03</v>
      </c>
      <c r="AG3512">
        <f>SUBTOTAL(103,A3512)</f>
        <v>1</v>
      </c>
    </row>
    <row r="3513" spans="1:33" x14ac:dyDescent="0.3">
      <c r="A3513" t="s">
        <v>6136</v>
      </c>
      <c r="B3513" s="13">
        <v>46108</v>
      </c>
      <c r="C3513">
        <v>2026</v>
      </c>
      <c r="D3513">
        <v>3</v>
      </c>
      <c r="E3513" t="s">
        <v>3053</v>
      </c>
      <c r="F3513" t="s">
        <v>2572</v>
      </c>
      <c r="G3513" t="s">
        <v>1367</v>
      </c>
      <c r="H3513" t="s">
        <v>1368</v>
      </c>
      <c r="I3513" t="s">
        <v>86</v>
      </c>
      <c r="J3513">
        <v>33</v>
      </c>
      <c r="K3513" t="s">
        <v>81</v>
      </c>
      <c r="L3513" t="s">
        <v>2690</v>
      </c>
      <c r="M3513" t="s">
        <v>63</v>
      </c>
      <c r="N3513" t="s">
        <v>2657</v>
      </c>
      <c r="O3513" t="s">
        <v>134</v>
      </c>
      <c r="P3513" t="s">
        <v>49</v>
      </c>
      <c r="Q3513" t="s">
        <v>140</v>
      </c>
      <c r="R3513">
        <v>2</v>
      </c>
      <c r="S3513">
        <v>599</v>
      </c>
      <c r="T3513">
        <v>0.05</v>
      </c>
      <c r="U3513">
        <v>1138.0999999999999</v>
      </c>
      <c r="V3513">
        <v>500</v>
      </c>
      <c r="W3513">
        <v>638.1</v>
      </c>
      <c r="X3513" t="s">
        <v>73</v>
      </c>
      <c r="Y3513" t="s">
        <v>68</v>
      </c>
      <c r="Z3513" t="s">
        <v>161</v>
      </c>
      <c r="AA3513" t="s">
        <v>166</v>
      </c>
      <c r="AB3513">
        <v>5</v>
      </c>
      <c r="AC3513">
        <v>50</v>
      </c>
      <c r="AD3513">
        <v>64.19</v>
      </c>
      <c r="AE3513">
        <f t="shared" si="108"/>
        <v>523.91000000000008</v>
      </c>
      <c r="AF3513" t="str">
        <f t="shared" si="109"/>
        <v>2026-03</v>
      </c>
      <c r="AG3513">
        <f>SUBTOTAL(103,A3513)</f>
        <v>1</v>
      </c>
    </row>
    <row r="3514" spans="1:33" x14ac:dyDescent="0.3">
      <c r="A3514" t="s">
        <v>6137</v>
      </c>
      <c r="B3514" s="13">
        <v>46109</v>
      </c>
      <c r="C3514">
        <v>2026</v>
      </c>
      <c r="D3514">
        <v>3</v>
      </c>
      <c r="E3514" t="s">
        <v>3053</v>
      </c>
      <c r="F3514" t="s">
        <v>2572</v>
      </c>
      <c r="G3514" t="s">
        <v>1339</v>
      </c>
      <c r="H3514" t="s">
        <v>1340</v>
      </c>
      <c r="I3514" t="s">
        <v>85</v>
      </c>
      <c r="J3514">
        <v>37</v>
      </c>
      <c r="K3514" t="s">
        <v>82</v>
      </c>
      <c r="L3514" t="s">
        <v>97</v>
      </c>
      <c r="M3514" t="s">
        <v>57</v>
      </c>
      <c r="N3514" t="s">
        <v>2606</v>
      </c>
      <c r="O3514" t="s">
        <v>120</v>
      </c>
      <c r="P3514" t="s">
        <v>49</v>
      </c>
      <c r="Q3514" t="s">
        <v>140</v>
      </c>
      <c r="R3514">
        <v>5</v>
      </c>
      <c r="S3514">
        <v>2799</v>
      </c>
      <c r="T3514">
        <v>0.1</v>
      </c>
      <c r="U3514">
        <v>12595.5</v>
      </c>
      <c r="V3514">
        <v>8250</v>
      </c>
      <c r="W3514">
        <v>4345.5</v>
      </c>
      <c r="X3514" t="s">
        <v>75</v>
      </c>
      <c r="Y3514" t="s">
        <v>68</v>
      </c>
      <c r="Z3514" t="s">
        <v>161</v>
      </c>
      <c r="AA3514" t="s">
        <v>166</v>
      </c>
      <c r="AB3514">
        <v>4.3</v>
      </c>
      <c r="AC3514">
        <v>60</v>
      </c>
      <c r="AD3514">
        <v>349.69</v>
      </c>
      <c r="AE3514">
        <f t="shared" si="108"/>
        <v>3935.81</v>
      </c>
      <c r="AF3514" t="str">
        <f t="shared" si="109"/>
        <v>2026-03</v>
      </c>
      <c r="AG3514">
        <f>SUBTOTAL(103,A3514)</f>
        <v>1</v>
      </c>
    </row>
    <row r="3515" spans="1:33" x14ac:dyDescent="0.3">
      <c r="A3515" t="s">
        <v>6138</v>
      </c>
      <c r="B3515" s="13">
        <v>46109</v>
      </c>
      <c r="C3515">
        <v>2026</v>
      </c>
      <c r="D3515">
        <v>3</v>
      </c>
      <c r="E3515" t="s">
        <v>3053</v>
      </c>
      <c r="F3515" t="s">
        <v>2572</v>
      </c>
      <c r="G3515" t="s">
        <v>1027</v>
      </c>
      <c r="H3515" t="s">
        <v>1028</v>
      </c>
      <c r="I3515" t="s">
        <v>85</v>
      </c>
      <c r="J3515">
        <v>45</v>
      </c>
      <c r="K3515" t="s">
        <v>82</v>
      </c>
      <c r="L3515" t="s">
        <v>98</v>
      </c>
      <c r="M3515" t="s">
        <v>55</v>
      </c>
      <c r="N3515" t="s">
        <v>2592</v>
      </c>
      <c r="O3515" t="s">
        <v>115</v>
      </c>
      <c r="P3515" t="s">
        <v>48</v>
      </c>
      <c r="Q3515" t="s">
        <v>137</v>
      </c>
      <c r="R3515">
        <v>1</v>
      </c>
      <c r="S3515">
        <v>12999</v>
      </c>
      <c r="T3515">
        <v>0.05</v>
      </c>
      <c r="U3515">
        <v>12349.05</v>
      </c>
      <c r="V3515">
        <v>9000</v>
      </c>
      <c r="W3515">
        <v>3349.05</v>
      </c>
      <c r="X3515" t="s">
        <v>74</v>
      </c>
      <c r="Y3515" t="s">
        <v>68</v>
      </c>
      <c r="Z3515" t="s">
        <v>160</v>
      </c>
      <c r="AA3515" t="s">
        <v>166</v>
      </c>
      <c r="AB3515">
        <v>4.2</v>
      </c>
      <c r="AC3515">
        <v>80</v>
      </c>
      <c r="AD3515">
        <v>271.41000000000003</v>
      </c>
      <c r="AE3515">
        <f t="shared" si="108"/>
        <v>2997.6400000000003</v>
      </c>
      <c r="AF3515" t="str">
        <f t="shared" si="109"/>
        <v>2026-03</v>
      </c>
      <c r="AG3515">
        <f>SUBTOTAL(103,A3515)</f>
        <v>1</v>
      </c>
    </row>
    <row r="3516" spans="1:33" x14ac:dyDescent="0.3">
      <c r="A3516" t="s">
        <v>6139</v>
      </c>
      <c r="B3516" s="13">
        <v>46109</v>
      </c>
      <c r="C3516">
        <v>2026</v>
      </c>
      <c r="D3516">
        <v>3</v>
      </c>
      <c r="E3516" t="s">
        <v>3053</v>
      </c>
      <c r="F3516" t="s">
        <v>2572</v>
      </c>
      <c r="G3516" t="s">
        <v>1025</v>
      </c>
      <c r="H3516" t="s">
        <v>1026</v>
      </c>
      <c r="I3516" t="s">
        <v>86</v>
      </c>
      <c r="J3516">
        <v>23</v>
      </c>
      <c r="K3516" t="s">
        <v>80</v>
      </c>
      <c r="L3516" t="s">
        <v>59</v>
      </c>
      <c r="M3516" t="s">
        <v>59</v>
      </c>
      <c r="N3516" t="s">
        <v>2601</v>
      </c>
      <c r="O3516" t="s">
        <v>117</v>
      </c>
      <c r="P3516" t="s">
        <v>49</v>
      </c>
      <c r="Q3516" t="s">
        <v>139</v>
      </c>
      <c r="R3516">
        <v>1</v>
      </c>
      <c r="S3516">
        <v>6999</v>
      </c>
      <c r="T3516">
        <v>0</v>
      </c>
      <c r="U3516">
        <v>6999</v>
      </c>
      <c r="V3516">
        <v>4300</v>
      </c>
      <c r="W3516">
        <v>2699</v>
      </c>
      <c r="X3516" t="s">
        <v>75</v>
      </c>
      <c r="Y3516" t="s">
        <v>68</v>
      </c>
      <c r="Z3516" t="s">
        <v>158</v>
      </c>
      <c r="AA3516" t="s">
        <v>171</v>
      </c>
      <c r="AB3516">
        <v>5</v>
      </c>
      <c r="AC3516">
        <v>50</v>
      </c>
      <c r="AD3516">
        <v>234.53</v>
      </c>
      <c r="AE3516">
        <f t="shared" si="108"/>
        <v>2414.4699999999998</v>
      </c>
      <c r="AF3516" t="str">
        <f t="shared" si="109"/>
        <v>2026-03</v>
      </c>
      <c r="AG3516">
        <f>SUBTOTAL(103,A3516)</f>
        <v>1</v>
      </c>
    </row>
    <row r="3517" spans="1:33" x14ac:dyDescent="0.3">
      <c r="A3517" t="s">
        <v>6140</v>
      </c>
      <c r="B3517" s="13">
        <v>46109</v>
      </c>
      <c r="C3517">
        <v>2026</v>
      </c>
      <c r="D3517">
        <v>3</v>
      </c>
      <c r="E3517" t="s">
        <v>3053</v>
      </c>
      <c r="F3517" t="s">
        <v>2572</v>
      </c>
      <c r="G3517" t="s">
        <v>2201</v>
      </c>
      <c r="H3517" t="s">
        <v>2202</v>
      </c>
      <c r="I3517" t="s">
        <v>85</v>
      </c>
      <c r="J3517">
        <v>46</v>
      </c>
      <c r="K3517" t="s">
        <v>83</v>
      </c>
      <c r="L3517" t="s">
        <v>2586</v>
      </c>
      <c r="M3517" t="s">
        <v>62</v>
      </c>
      <c r="N3517" t="s">
        <v>2665</v>
      </c>
      <c r="O3517" t="s">
        <v>128</v>
      </c>
      <c r="P3517" t="s">
        <v>53</v>
      </c>
      <c r="Q3517" t="s">
        <v>143</v>
      </c>
      <c r="R3517">
        <v>2</v>
      </c>
      <c r="S3517">
        <v>1499</v>
      </c>
      <c r="T3517">
        <v>0.1</v>
      </c>
      <c r="U3517">
        <v>2698.2</v>
      </c>
      <c r="V3517">
        <v>1600</v>
      </c>
      <c r="W3517">
        <v>1098.2</v>
      </c>
      <c r="X3517" t="s">
        <v>73</v>
      </c>
      <c r="Y3517" t="s">
        <v>68</v>
      </c>
      <c r="Z3517" t="s">
        <v>162</v>
      </c>
      <c r="AA3517" t="s">
        <v>166</v>
      </c>
      <c r="AB3517">
        <v>3.8</v>
      </c>
      <c r="AC3517">
        <v>100</v>
      </c>
      <c r="AD3517">
        <v>132.56</v>
      </c>
      <c r="AE3517">
        <f t="shared" si="108"/>
        <v>865.6400000000001</v>
      </c>
      <c r="AF3517" t="str">
        <f t="shared" si="109"/>
        <v>2026-03</v>
      </c>
      <c r="AG3517">
        <f>SUBTOTAL(103,A3517)</f>
        <v>1</v>
      </c>
    </row>
    <row r="3518" spans="1:33" x14ac:dyDescent="0.3">
      <c r="A3518" t="s">
        <v>6141</v>
      </c>
      <c r="B3518" s="13">
        <v>46109</v>
      </c>
      <c r="C3518">
        <v>2026</v>
      </c>
      <c r="D3518">
        <v>3</v>
      </c>
      <c r="E3518" t="s">
        <v>3053</v>
      </c>
      <c r="F3518" t="s">
        <v>2572</v>
      </c>
      <c r="G3518" t="s">
        <v>2399</v>
      </c>
      <c r="H3518" t="s">
        <v>2400</v>
      </c>
      <c r="I3518" t="s">
        <v>85</v>
      </c>
      <c r="J3518">
        <v>46</v>
      </c>
      <c r="K3518" t="s">
        <v>83</v>
      </c>
      <c r="L3518" t="s">
        <v>59</v>
      </c>
      <c r="M3518" t="s">
        <v>59</v>
      </c>
      <c r="N3518" t="s">
        <v>2630</v>
      </c>
      <c r="O3518" t="s">
        <v>123</v>
      </c>
      <c r="P3518" t="s">
        <v>52</v>
      </c>
      <c r="Q3518" t="s">
        <v>146</v>
      </c>
      <c r="R3518">
        <v>2</v>
      </c>
      <c r="S3518">
        <v>2499</v>
      </c>
      <c r="T3518">
        <v>0.1</v>
      </c>
      <c r="U3518">
        <v>0</v>
      </c>
      <c r="V3518">
        <v>0</v>
      </c>
      <c r="W3518">
        <v>0</v>
      </c>
      <c r="X3518" t="s">
        <v>73</v>
      </c>
      <c r="Y3518" t="s">
        <v>71</v>
      </c>
      <c r="Z3518" t="s">
        <v>161</v>
      </c>
      <c r="AA3518" t="s">
        <v>166</v>
      </c>
      <c r="AB3518">
        <v>3.1</v>
      </c>
      <c r="AC3518">
        <v>60</v>
      </c>
      <c r="AD3518">
        <v>182.28</v>
      </c>
      <c r="AE3518">
        <f t="shared" si="108"/>
        <v>-242.28</v>
      </c>
      <c r="AF3518" t="str">
        <f t="shared" si="109"/>
        <v>2026-03</v>
      </c>
      <c r="AG3518">
        <f>SUBTOTAL(103,A3518)</f>
        <v>1</v>
      </c>
    </row>
    <row r="3519" spans="1:33" x14ac:dyDescent="0.3">
      <c r="A3519" t="s">
        <v>6142</v>
      </c>
      <c r="B3519" s="13">
        <v>46109</v>
      </c>
      <c r="C3519">
        <v>2026</v>
      </c>
      <c r="D3519">
        <v>3</v>
      </c>
      <c r="E3519" t="s">
        <v>3053</v>
      </c>
      <c r="F3519" t="s">
        <v>2572</v>
      </c>
      <c r="G3519" t="s">
        <v>871</v>
      </c>
      <c r="H3519" t="s">
        <v>872</v>
      </c>
      <c r="I3519" t="s">
        <v>85</v>
      </c>
      <c r="J3519">
        <v>45</v>
      </c>
      <c r="K3519" t="s">
        <v>82</v>
      </c>
      <c r="L3519" t="s">
        <v>2646</v>
      </c>
      <c r="M3519" t="s">
        <v>63</v>
      </c>
      <c r="N3519" t="s">
        <v>2603</v>
      </c>
      <c r="O3519" t="s">
        <v>122</v>
      </c>
      <c r="P3519" t="s">
        <v>48</v>
      </c>
      <c r="Q3519" t="s">
        <v>141</v>
      </c>
      <c r="R3519">
        <v>2</v>
      </c>
      <c r="S3519">
        <v>2499</v>
      </c>
      <c r="T3519">
        <v>0.05</v>
      </c>
      <c r="U3519">
        <v>4748.1000000000004</v>
      </c>
      <c r="V3519">
        <v>2900</v>
      </c>
      <c r="W3519">
        <v>1848.1</v>
      </c>
      <c r="X3519" t="s">
        <v>75</v>
      </c>
      <c r="Y3519" t="s">
        <v>68</v>
      </c>
      <c r="Z3519" t="s">
        <v>159</v>
      </c>
      <c r="AA3519" t="s">
        <v>169</v>
      </c>
      <c r="AB3519">
        <v>4.0999999999999996</v>
      </c>
      <c r="AC3519">
        <v>50</v>
      </c>
      <c r="AD3519">
        <v>373.83</v>
      </c>
      <c r="AE3519">
        <f t="shared" si="108"/>
        <v>1424.27</v>
      </c>
      <c r="AF3519" t="str">
        <f t="shared" si="109"/>
        <v>2026-03</v>
      </c>
      <c r="AG3519">
        <f>SUBTOTAL(103,A3519)</f>
        <v>1</v>
      </c>
    </row>
    <row r="3520" spans="1:33" x14ac:dyDescent="0.3">
      <c r="A3520" t="s">
        <v>6143</v>
      </c>
      <c r="B3520" s="13">
        <v>46109</v>
      </c>
      <c r="C3520">
        <v>2026</v>
      </c>
      <c r="D3520">
        <v>3</v>
      </c>
      <c r="E3520" t="s">
        <v>3053</v>
      </c>
      <c r="F3520" t="s">
        <v>2572</v>
      </c>
      <c r="G3520" t="s">
        <v>1151</v>
      </c>
      <c r="H3520" t="s">
        <v>1152</v>
      </c>
      <c r="I3520" t="s">
        <v>85</v>
      </c>
      <c r="J3520">
        <v>44</v>
      </c>
      <c r="K3520" t="s">
        <v>82</v>
      </c>
      <c r="L3520" t="s">
        <v>94</v>
      </c>
      <c r="M3520" t="s">
        <v>57</v>
      </c>
      <c r="N3520" t="s">
        <v>2582</v>
      </c>
      <c r="O3520" t="s">
        <v>119</v>
      </c>
      <c r="P3520" t="s">
        <v>49</v>
      </c>
      <c r="Q3520" t="s">
        <v>140</v>
      </c>
      <c r="R3520">
        <v>2</v>
      </c>
      <c r="S3520">
        <v>3499</v>
      </c>
      <c r="T3520">
        <v>0.1</v>
      </c>
      <c r="U3520">
        <v>6298.2</v>
      </c>
      <c r="V3520">
        <v>4200</v>
      </c>
      <c r="W3520">
        <v>2098.1999999999998</v>
      </c>
      <c r="X3520" t="s">
        <v>73</v>
      </c>
      <c r="Y3520" t="s">
        <v>68</v>
      </c>
      <c r="Z3520" t="s">
        <v>158</v>
      </c>
      <c r="AA3520" t="s">
        <v>169</v>
      </c>
      <c r="AB3520">
        <v>3.9</v>
      </c>
      <c r="AC3520">
        <v>50</v>
      </c>
      <c r="AD3520">
        <v>467.27</v>
      </c>
      <c r="AE3520">
        <f t="shared" si="108"/>
        <v>1580.9299999999998</v>
      </c>
      <c r="AF3520" t="str">
        <f t="shared" si="109"/>
        <v>2026-03</v>
      </c>
      <c r="AG3520">
        <f>SUBTOTAL(103,A3520)</f>
        <v>1</v>
      </c>
    </row>
    <row r="3521" spans="1:33" x14ac:dyDescent="0.3">
      <c r="A3521" t="s">
        <v>6144</v>
      </c>
      <c r="B3521" s="13">
        <v>46109</v>
      </c>
      <c r="C3521">
        <v>2026</v>
      </c>
      <c r="D3521">
        <v>3</v>
      </c>
      <c r="E3521" t="s">
        <v>3053</v>
      </c>
      <c r="F3521" t="s">
        <v>2572</v>
      </c>
      <c r="G3521" t="s">
        <v>721</v>
      </c>
      <c r="H3521" t="s">
        <v>722</v>
      </c>
      <c r="I3521" t="s">
        <v>85</v>
      </c>
      <c r="J3521">
        <v>37</v>
      </c>
      <c r="K3521" t="s">
        <v>82</v>
      </c>
      <c r="L3521" t="s">
        <v>94</v>
      </c>
      <c r="M3521" t="s">
        <v>57</v>
      </c>
      <c r="N3521" t="s">
        <v>2580</v>
      </c>
      <c r="O3521" t="s">
        <v>118</v>
      </c>
      <c r="P3521" t="s">
        <v>48</v>
      </c>
      <c r="Q3521" t="s">
        <v>142</v>
      </c>
      <c r="R3521">
        <v>1</v>
      </c>
      <c r="S3521">
        <v>3999</v>
      </c>
      <c r="T3521">
        <v>0.2</v>
      </c>
      <c r="U3521">
        <v>0</v>
      </c>
      <c r="V3521">
        <v>0</v>
      </c>
      <c r="W3521">
        <v>0</v>
      </c>
      <c r="X3521" t="s">
        <v>74</v>
      </c>
      <c r="Y3521" t="s">
        <v>71</v>
      </c>
      <c r="Z3521" t="s">
        <v>158</v>
      </c>
      <c r="AA3521" t="s">
        <v>170</v>
      </c>
      <c r="AB3521">
        <v>3.7</v>
      </c>
      <c r="AC3521">
        <v>60</v>
      </c>
      <c r="AD3521">
        <v>231.49</v>
      </c>
      <c r="AE3521">
        <f t="shared" si="108"/>
        <v>-291.49</v>
      </c>
      <c r="AF3521" t="str">
        <f t="shared" si="109"/>
        <v>2026-03</v>
      </c>
      <c r="AG3521">
        <f>SUBTOTAL(103,A3521)</f>
        <v>1</v>
      </c>
    </row>
    <row r="3522" spans="1:33" x14ac:dyDescent="0.3">
      <c r="A3522" t="s">
        <v>6145</v>
      </c>
      <c r="B3522" s="13">
        <v>46110</v>
      </c>
      <c r="C3522">
        <v>2026</v>
      </c>
      <c r="D3522">
        <v>3</v>
      </c>
      <c r="E3522" t="s">
        <v>3053</v>
      </c>
      <c r="F3522" t="s">
        <v>2572</v>
      </c>
      <c r="G3522" t="s">
        <v>571</v>
      </c>
      <c r="H3522" t="s">
        <v>572</v>
      </c>
      <c r="I3522" t="s">
        <v>85</v>
      </c>
      <c r="J3522">
        <v>60</v>
      </c>
      <c r="K3522" t="s">
        <v>83</v>
      </c>
      <c r="L3522" t="s">
        <v>95</v>
      </c>
      <c r="M3522" t="s">
        <v>56</v>
      </c>
      <c r="N3522" t="s">
        <v>2587</v>
      </c>
      <c r="O3522" t="s">
        <v>116</v>
      </c>
      <c r="P3522" t="s">
        <v>48</v>
      </c>
      <c r="Q3522" t="s">
        <v>138</v>
      </c>
      <c r="R3522">
        <v>1</v>
      </c>
      <c r="S3522">
        <v>14999</v>
      </c>
      <c r="T3522">
        <v>0.05</v>
      </c>
      <c r="U3522">
        <v>14249.05</v>
      </c>
      <c r="V3522">
        <v>11200</v>
      </c>
      <c r="W3522">
        <v>3049.05</v>
      </c>
      <c r="X3522" t="s">
        <v>73</v>
      </c>
      <c r="Y3522" t="s">
        <v>68</v>
      </c>
      <c r="Z3522" t="s">
        <v>158</v>
      </c>
      <c r="AA3522" t="s">
        <v>171</v>
      </c>
      <c r="AB3522">
        <v>4</v>
      </c>
      <c r="AC3522">
        <v>80</v>
      </c>
      <c r="AD3522">
        <v>1483.03</v>
      </c>
      <c r="AE3522">
        <f t="shared" ref="AE3522:AE3585" si="110">W3522-AC3522-AD3522</f>
        <v>1486.0200000000002</v>
      </c>
      <c r="AF3522" t="str">
        <f t="shared" ref="AF3522:AF3585" si="111">C3522&amp;"-"&amp;TEXT(D3522,"00")</f>
        <v>2026-03</v>
      </c>
      <c r="AG3522">
        <f>SUBTOTAL(103,A3522)</f>
        <v>1</v>
      </c>
    </row>
    <row r="3523" spans="1:33" x14ac:dyDescent="0.3">
      <c r="A3523" t="s">
        <v>6146</v>
      </c>
      <c r="B3523" s="13">
        <v>46110</v>
      </c>
      <c r="C3523">
        <v>2026</v>
      </c>
      <c r="D3523">
        <v>3</v>
      </c>
      <c r="E3523" t="s">
        <v>3053</v>
      </c>
      <c r="F3523" t="s">
        <v>2572</v>
      </c>
      <c r="G3523" t="s">
        <v>1393</v>
      </c>
      <c r="H3523" t="s">
        <v>1394</v>
      </c>
      <c r="I3523" t="s">
        <v>85</v>
      </c>
      <c r="J3523">
        <v>40</v>
      </c>
      <c r="K3523" t="s">
        <v>82</v>
      </c>
      <c r="L3523" t="s">
        <v>97</v>
      </c>
      <c r="M3523" t="s">
        <v>57</v>
      </c>
      <c r="N3523" t="s">
        <v>2606</v>
      </c>
      <c r="O3523" t="s">
        <v>120</v>
      </c>
      <c r="P3523" t="s">
        <v>49</v>
      </c>
      <c r="Q3523" t="s">
        <v>140</v>
      </c>
      <c r="R3523">
        <v>3</v>
      </c>
      <c r="S3523">
        <v>2799</v>
      </c>
      <c r="T3523">
        <v>0.05</v>
      </c>
      <c r="U3523">
        <v>7977.15</v>
      </c>
      <c r="V3523">
        <v>4950</v>
      </c>
      <c r="W3523">
        <v>3027.15</v>
      </c>
      <c r="X3523" t="s">
        <v>75</v>
      </c>
      <c r="Y3523" t="s">
        <v>68</v>
      </c>
      <c r="Z3523" t="s">
        <v>163</v>
      </c>
      <c r="AA3523" t="s">
        <v>166</v>
      </c>
      <c r="AB3523">
        <v>4.5999999999999996</v>
      </c>
      <c r="AC3523">
        <v>120</v>
      </c>
      <c r="AD3523">
        <v>371.76</v>
      </c>
      <c r="AE3523">
        <f t="shared" si="110"/>
        <v>2535.3900000000003</v>
      </c>
      <c r="AF3523" t="str">
        <f t="shared" si="111"/>
        <v>2026-03</v>
      </c>
      <c r="AG3523">
        <f>SUBTOTAL(103,A3523)</f>
        <v>1</v>
      </c>
    </row>
    <row r="3524" spans="1:33" x14ac:dyDescent="0.3">
      <c r="A3524" t="s">
        <v>6147</v>
      </c>
      <c r="B3524" s="13">
        <v>46110</v>
      </c>
      <c r="C3524">
        <v>2026</v>
      </c>
      <c r="D3524">
        <v>3</v>
      </c>
      <c r="E3524" t="s">
        <v>3053</v>
      </c>
      <c r="F3524" t="s">
        <v>2572</v>
      </c>
      <c r="G3524" t="s">
        <v>979</v>
      </c>
      <c r="H3524" t="s">
        <v>980</v>
      </c>
      <c r="I3524" t="s">
        <v>85</v>
      </c>
      <c r="J3524">
        <v>58</v>
      </c>
      <c r="K3524" t="s">
        <v>83</v>
      </c>
      <c r="L3524" t="s">
        <v>90</v>
      </c>
      <c r="M3524" t="s">
        <v>55</v>
      </c>
      <c r="N3524" t="s">
        <v>2601</v>
      </c>
      <c r="O3524" t="s">
        <v>117</v>
      </c>
      <c r="P3524" t="s">
        <v>49</v>
      </c>
      <c r="Q3524" t="s">
        <v>139</v>
      </c>
      <c r="R3524">
        <v>2</v>
      </c>
      <c r="S3524">
        <v>6999</v>
      </c>
      <c r="T3524">
        <v>0.25</v>
      </c>
      <c r="U3524">
        <v>10498.5</v>
      </c>
      <c r="V3524">
        <v>8600</v>
      </c>
      <c r="W3524">
        <v>1898.5</v>
      </c>
      <c r="X3524" t="s">
        <v>74</v>
      </c>
      <c r="Y3524" t="s">
        <v>68</v>
      </c>
      <c r="Z3524" t="s">
        <v>160</v>
      </c>
      <c r="AA3524" t="s">
        <v>167</v>
      </c>
      <c r="AB3524">
        <v>3.8</v>
      </c>
      <c r="AC3524">
        <v>50</v>
      </c>
      <c r="AD3524">
        <v>652.80999999999995</v>
      </c>
      <c r="AE3524">
        <f t="shared" si="110"/>
        <v>1195.69</v>
      </c>
      <c r="AF3524" t="str">
        <f t="shared" si="111"/>
        <v>2026-03</v>
      </c>
      <c r="AG3524">
        <f>SUBTOTAL(103,A3524)</f>
        <v>1</v>
      </c>
    </row>
    <row r="3525" spans="1:33" x14ac:dyDescent="0.3">
      <c r="A3525" t="s">
        <v>6148</v>
      </c>
      <c r="B3525" s="13">
        <v>46110</v>
      </c>
      <c r="C3525">
        <v>2026</v>
      </c>
      <c r="D3525">
        <v>3</v>
      </c>
      <c r="E3525" t="s">
        <v>3053</v>
      </c>
      <c r="F3525" t="s">
        <v>2572</v>
      </c>
      <c r="G3525" t="s">
        <v>1611</v>
      </c>
      <c r="H3525" t="s">
        <v>1612</v>
      </c>
      <c r="I3525" t="s">
        <v>85</v>
      </c>
      <c r="J3525">
        <v>56</v>
      </c>
      <c r="K3525" t="s">
        <v>83</v>
      </c>
      <c r="L3525" t="s">
        <v>2646</v>
      </c>
      <c r="M3525" t="s">
        <v>63</v>
      </c>
      <c r="N3525" t="s">
        <v>2590</v>
      </c>
      <c r="O3525" t="s">
        <v>127</v>
      </c>
      <c r="P3525" t="s">
        <v>51</v>
      </c>
      <c r="Q3525" t="s">
        <v>148</v>
      </c>
      <c r="R3525">
        <v>1</v>
      </c>
      <c r="S3525">
        <v>1599</v>
      </c>
      <c r="T3525">
        <v>0.1</v>
      </c>
      <c r="U3525">
        <v>1439.1</v>
      </c>
      <c r="V3525">
        <v>800</v>
      </c>
      <c r="W3525">
        <v>639.1</v>
      </c>
      <c r="X3525" t="s">
        <v>74</v>
      </c>
      <c r="Y3525" t="s">
        <v>68</v>
      </c>
      <c r="Z3525" t="s">
        <v>159</v>
      </c>
      <c r="AA3525" t="s">
        <v>166</v>
      </c>
      <c r="AB3525">
        <v>5</v>
      </c>
      <c r="AC3525">
        <v>50</v>
      </c>
      <c r="AD3525">
        <v>63.87</v>
      </c>
      <c r="AE3525">
        <f t="shared" si="110"/>
        <v>525.23</v>
      </c>
      <c r="AF3525" t="str">
        <f t="shared" si="111"/>
        <v>2026-03</v>
      </c>
      <c r="AG3525">
        <f>SUBTOTAL(103,A3525)</f>
        <v>1</v>
      </c>
    </row>
    <row r="3526" spans="1:33" x14ac:dyDescent="0.3">
      <c r="A3526" t="s">
        <v>6149</v>
      </c>
      <c r="B3526" s="13">
        <v>46110</v>
      </c>
      <c r="C3526">
        <v>2026</v>
      </c>
      <c r="D3526">
        <v>3</v>
      </c>
      <c r="E3526" t="s">
        <v>3053</v>
      </c>
      <c r="F3526" t="s">
        <v>2572</v>
      </c>
      <c r="G3526" t="s">
        <v>1531</v>
      </c>
      <c r="H3526" t="s">
        <v>1532</v>
      </c>
      <c r="I3526" t="s">
        <v>85</v>
      </c>
      <c r="J3526">
        <v>36</v>
      </c>
      <c r="K3526" t="s">
        <v>82</v>
      </c>
      <c r="L3526" t="s">
        <v>2579</v>
      </c>
      <c r="M3526" t="s">
        <v>56</v>
      </c>
      <c r="N3526" t="s">
        <v>2603</v>
      </c>
      <c r="O3526" t="s">
        <v>122</v>
      </c>
      <c r="P3526" t="s">
        <v>48</v>
      </c>
      <c r="Q3526" t="s">
        <v>141</v>
      </c>
      <c r="R3526">
        <v>1</v>
      </c>
      <c r="S3526">
        <v>2499</v>
      </c>
      <c r="T3526">
        <v>0.15</v>
      </c>
      <c r="U3526">
        <v>2124.15</v>
      </c>
      <c r="V3526">
        <v>1450</v>
      </c>
      <c r="W3526">
        <v>674.15</v>
      </c>
      <c r="X3526" t="s">
        <v>77</v>
      </c>
      <c r="Y3526" t="s">
        <v>69</v>
      </c>
      <c r="Z3526" t="s">
        <v>159</v>
      </c>
      <c r="AA3526" t="s">
        <v>167</v>
      </c>
      <c r="AB3526">
        <v>4.4000000000000004</v>
      </c>
      <c r="AC3526">
        <v>50</v>
      </c>
      <c r="AD3526">
        <v>102.07</v>
      </c>
      <c r="AE3526">
        <f t="shared" si="110"/>
        <v>522.07999999999993</v>
      </c>
      <c r="AF3526" t="str">
        <f t="shared" si="111"/>
        <v>2026-03</v>
      </c>
      <c r="AG3526">
        <f>SUBTOTAL(103,A3526)</f>
        <v>1</v>
      </c>
    </row>
    <row r="3527" spans="1:33" x14ac:dyDescent="0.3">
      <c r="A3527" t="s">
        <v>6150</v>
      </c>
      <c r="B3527" s="13">
        <v>46110</v>
      </c>
      <c r="C3527">
        <v>2026</v>
      </c>
      <c r="D3527">
        <v>3</v>
      </c>
      <c r="E3527" t="s">
        <v>3053</v>
      </c>
      <c r="F3527" t="s">
        <v>2572</v>
      </c>
      <c r="G3527" t="s">
        <v>359</v>
      </c>
      <c r="H3527" t="s">
        <v>360</v>
      </c>
      <c r="I3527" t="s">
        <v>85</v>
      </c>
      <c r="J3527">
        <v>40</v>
      </c>
      <c r="K3527" t="s">
        <v>82</v>
      </c>
      <c r="L3527" t="s">
        <v>91</v>
      </c>
      <c r="M3527" t="s">
        <v>55</v>
      </c>
      <c r="N3527" t="s">
        <v>2587</v>
      </c>
      <c r="O3527" t="s">
        <v>116</v>
      </c>
      <c r="P3527" t="s">
        <v>48</v>
      </c>
      <c r="Q3527" t="s">
        <v>138</v>
      </c>
      <c r="R3527">
        <v>2</v>
      </c>
      <c r="S3527">
        <v>14999</v>
      </c>
      <c r="T3527">
        <v>0.1</v>
      </c>
      <c r="U3527">
        <v>26998.2</v>
      </c>
      <c r="V3527">
        <v>22400</v>
      </c>
      <c r="W3527">
        <v>4598.2</v>
      </c>
      <c r="X3527" t="s">
        <v>74</v>
      </c>
      <c r="Y3527" t="s">
        <v>68</v>
      </c>
      <c r="Z3527" t="s">
        <v>158</v>
      </c>
      <c r="AA3527" t="s">
        <v>167</v>
      </c>
      <c r="AB3527">
        <v>5</v>
      </c>
      <c r="AC3527">
        <v>100</v>
      </c>
      <c r="AD3527">
        <v>2719.19</v>
      </c>
      <c r="AE3527">
        <f t="shared" si="110"/>
        <v>1779.0099999999998</v>
      </c>
      <c r="AF3527" t="str">
        <f t="shared" si="111"/>
        <v>2026-03</v>
      </c>
      <c r="AG3527">
        <f>SUBTOTAL(103,A3527)</f>
        <v>1</v>
      </c>
    </row>
    <row r="3528" spans="1:33" x14ac:dyDescent="0.3">
      <c r="A3528" t="s">
        <v>6151</v>
      </c>
      <c r="B3528" s="13">
        <v>46111</v>
      </c>
      <c r="C3528">
        <v>2026</v>
      </c>
      <c r="D3528">
        <v>3</v>
      </c>
      <c r="E3528" t="s">
        <v>3053</v>
      </c>
      <c r="F3528" t="s">
        <v>2572</v>
      </c>
      <c r="G3528" t="s">
        <v>263</v>
      </c>
      <c r="H3528" t="s">
        <v>264</v>
      </c>
      <c r="I3528" t="s">
        <v>86</v>
      </c>
      <c r="J3528">
        <v>27</v>
      </c>
      <c r="K3528" t="s">
        <v>81</v>
      </c>
      <c r="L3528" t="s">
        <v>93</v>
      </c>
      <c r="M3528" t="s">
        <v>55</v>
      </c>
      <c r="N3528" t="s">
        <v>2596</v>
      </c>
      <c r="O3528" t="s">
        <v>124</v>
      </c>
      <c r="P3528" t="s">
        <v>51</v>
      </c>
      <c r="Q3528" t="s">
        <v>147</v>
      </c>
      <c r="R3528">
        <v>2</v>
      </c>
      <c r="S3528">
        <v>2299</v>
      </c>
      <c r="T3528">
        <v>0</v>
      </c>
      <c r="U3528">
        <v>4598</v>
      </c>
      <c r="V3528">
        <v>2400</v>
      </c>
      <c r="W3528">
        <v>2198</v>
      </c>
      <c r="X3528" t="s">
        <v>74</v>
      </c>
      <c r="Y3528" t="s">
        <v>68</v>
      </c>
      <c r="Z3528" t="s">
        <v>162</v>
      </c>
      <c r="AA3528" t="s">
        <v>166</v>
      </c>
      <c r="AB3528">
        <v>4</v>
      </c>
      <c r="AC3528">
        <v>40</v>
      </c>
      <c r="AD3528">
        <v>185.84</v>
      </c>
      <c r="AE3528">
        <f t="shared" si="110"/>
        <v>1972.16</v>
      </c>
      <c r="AF3528" t="str">
        <f t="shared" si="111"/>
        <v>2026-03</v>
      </c>
      <c r="AG3528">
        <f>SUBTOTAL(103,A3528)</f>
        <v>1</v>
      </c>
    </row>
    <row r="3529" spans="1:33" x14ac:dyDescent="0.3">
      <c r="A3529" t="s">
        <v>6152</v>
      </c>
      <c r="B3529" s="13">
        <v>46111</v>
      </c>
      <c r="C3529">
        <v>2026</v>
      </c>
      <c r="D3529">
        <v>3</v>
      </c>
      <c r="E3529" t="s">
        <v>3053</v>
      </c>
      <c r="F3529" t="s">
        <v>2572</v>
      </c>
      <c r="G3529" t="s">
        <v>811</v>
      </c>
      <c r="H3529" t="s">
        <v>812</v>
      </c>
      <c r="I3529" t="s">
        <v>85</v>
      </c>
      <c r="J3529">
        <v>47</v>
      </c>
      <c r="K3529" t="s">
        <v>83</v>
      </c>
      <c r="L3529" t="s">
        <v>92</v>
      </c>
      <c r="M3529" t="s">
        <v>59</v>
      </c>
      <c r="N3529" t="s">
        <v>2596</v>
      </c>
      <c r="O3529" t="s">
        <v>124</v>
      </c>
      <c r="P3529" t="s">
        <v>51</v>
      </c>
      <c r="Q3529" t="s">
        <v>147</v>
      </c>
      <c r="R3529">
        <v>1</v>
      </c>
      <c r="S3529">
        <v>2299</v>
      </c>
      <c r="T3529">
        <v>0.25</v>
      </c>
      <c r="U3529">
        <v>1724.25</v>
      </c>
      <c r="V3529">
        <v>1200</v>
      </c>
      <c r="W3529">
        <v>524.25</v>
      </c>
      <c r="X3529" t="s">
        <v>73</v>
      </c>
      <c r="Y3529" t="s">
        <v>68</v>
      </c>
      <c r="Z3529" t="s">
        <v>163</v>
      </c>
      <c r="AA3529" t="s">
        <v>167</v>
      </c>
      <c r="AB3529">
        <v>3.7</v>
      </c>
      <c r="AC3529">
        <v>100</v>
      </c>
      <c r="AD3529">
        <v>81.78</v>
      </c>
      <c r="AE3529">
        <f t="shared" si="110"/>
        <v>342.47</v>
      </c>
      <c r="AF3529" t="str">
        <f t="shared" si="111"/>
        <v>2026-03</v>
      </c>
      <c r="AG3529">
        <f>SUBTOTAL(103,A3529)</f>
        <v>1</v>
      </c>
    </row>
    <row r="3530" spans="1:33" x14ac:dyDescent="0.3">
      <c r="A3530" t="s">
        <v>6153</v>
      </c>
      <c r="B3530" s="13">
        <v>46111</v>
      </c>
      <c r="C3530">
        <v>2026</v>
      </c>
      <c r="D3530">
        <v>3</v>
      </c>
      <c r="E3530" t="s">
        <v>3053</v>
      </c>
      <c r="F3530" t="s">
        <v>2572</v>
      </c>
      <c r="G3530" t="s">
        <v>915</v>
      </c>
      <c r="H3530" t="s">
        <v>916</v>
      </c>
      <c r="I3530" t="s">
        <v>85</v>
      </c>
      <c r="J3530">
        <v>20</v>
      </c>
      <c r="K3530" t="s">
        <v>80</v>
      </c>
      <c r="L3530" t="s">
        <v>2634</v>
      </c>
      <c r="M3530" t="s">
        <v>56</v>
      </c>
      <c r="N3530" t="s">
        <v>2657</v>
      </c>
      <c r="O3530" t="s">
        <v>134</v>
      </c>
      <c r="P3530" t="s">
        <v>49</v>
      </c>
      <c r="Q3530" t="s">
        <v>140</v>
      </c>
      <c r="R3530">
        <v>3</v>
      </c>
      <c r="S3530">
        <v>599</v>
      </c>
      <c r="T3530">
        <v>0.2</v>
      </c>
      <c r="U3530">
        <v>1437.6</v>
      </c>
      <c r="V3530">
        <v>750</v>
      </c>
      <c r="W3530">
        <v>687.6</v>
      </c>
      <c r="X3530" t="s">
        <v>73</v>
      </c>
      <c r="Y3530" t="s">
        <v>68</v>
      </c>
      <c r="Z3530" t="s">
        <v>161</v>
      </c>
      <c r="AA3530" t="s">
        <v>167</v>
      </c>
      <c r="AB3530">
        <v>3.1</v>
      </c>
      <c r="AC3530">
        <v>40</v>
      </c>
      <c r="AD3530">
        <v>64.67</v>
      </c>
      <c r="AE3530">
        <f t="shared" si="110"/>
        <v>582.93000000000006</v>
      </c>
      <c r="AF3530" t="str">
        <f t="shared" si="111"/>
        <v>2026-03</v>
      </c>
      <c r="AG3530">
        <f>SUBTOTAL(103,A3530)</f>
        <v>1</v>
      </c>
    </row>
    <row r="3531" spans="1:33" x14ac:dyDescent="0.3">
      <c r="A3531" t="s">
        <v>6154</v>
      </c>
      <c r="B3531" s="13">
        <v>46111</v>
      </c>
      <c r="C3531">
        <v>2026</v>
      </c>
      <c r="D3531">
        <v>3</v>
      </c>
      <c r="E3531" t="s">
        <v>3053</v>
      </c>
      <c r="F3531" t="s">
        <v>2572</v>
      </c>
      <c r="G3531" t="s">
        <v>925</v>
      </c>
      <c r="H3531" t="s">
        <v>926</v>
      </c>
      <c r="I3531" t="s">
        <v>85</v>
      </c>
      <c r="J3531">
        <v>34</v>
      </c>
      <c r="K3531" t="s">
        <v>81</v>
      </c>
      <c r="L3531" t="s">
        <v>2616</v>
      </c>
      <c r="M3531" t="s">
        <v>62</v>
      </c>
      <c r="N3531" t="s">
        <v>2647</v>
      </c>
      <c r="O3531" t="s">
        <v>133</v>
      </c>
      <c r="P3531" t="s">
        <v>50</v>
      </c>
      <c r="Q3531" t="s">
        <v>145</v>
      </c>
      <c r="R3531">
        <v>2</v>
      </c>
      <c r="S3531">
        <v>799</v>
      </c>
      <c r="T3531">
        <v>0.05</v>
      </c>
      <c r="U3531">
        <v>1518.1</v>
      </c>
      <c r="V3531">
        <v>780</v>
      </c>
      <c r="W3531">
        <v>738.1</v>
      </c>
      <c r="X3531" t="s">
        <v>74</v>
      </c>
      <c r="Y3531" t="s">
        <v>68</v>
      </c>
      <c r="Z3531" t="s">
        <v>159</v>
      </c>
      <c r="AA3531" t="s">
        <v>166</v>
      </c>
      <c r="AB3531">
        <v>3.6</v>
      </c>
      <c r="AC3531">
        <v>80</v>
      </c>
      <c r="AD3531">
        <v>116.94</v>
      </c>
      <c r="AE3531">
        <f t="shared" si="110"/>
        <v>541.16000000000008</v>
      </c>
      <c r="AF3531" t="str">
        <f t="shared" si="111"/>
        <v>2026-03</v>
      </c>
      <c r="AG3531">
        <f>SUBTOTAL(103,A3531)</f>
        <v>1</v>
      </c>
    </row>
    <row r="3532" spans="1:33" x14ac:dyDescent="0.3">
      <c r="A3532" t="s">
        <v>6155</v>
      </c>
      <c r="B3532" s="13">
        <v>46111</v>
      </c>
      <c r="C3532">
        <v>2026</v>
      </c>
      <c r="D3532">
        <v>3</v>
      </c>
      <c r="E3532" t="s">
        <v>3053</v>
      </c>
      <c r="F3532" t="s">
        <v>2572</v>
      </c>
      <c r="G3532" t="s">
        <v>1537</v>
      </c>
      <c r="H3532" t="s">
        <v>1538</v>
      </c>
      <c r="I3532" t="s">
        <v>85</v>
      </c>
      <c r="J3532">
        <v>18</v>
      </c>
      <c r="K3532" t="s">
        <v>80</v>
      </c>
      <c r="L3532" t="s">
        <v>2579</v>
      </c>
      <c r="M3532" t="s">
        <v>56</v>
      </c>
      <c r="N3532" t="s">
        <v>2574</v>
      </c>
      <c r="O3532" t="s">
        <v>130</v>
      </c>
      <c r="P3532" t="s">
        <v>50</v>
      </c>
      <c r="Q3532" t="s">
        <v>53</v>
      </c>
      <c r="R3532">
        <v>1</v>
      </c>
      <c r="S3532">
        <v>1199</v>
      </c>
      <c r="T3532">
        <v>0.15</v>
      </c>
      <c r="U3532">
        <v>1019.15</v>
      </c>
      <c r="V3532">
        <v>550</v>
      </c>
      <c r="W3532">
        <v>469.15</v>
      </c>
      <c r="X3532" t="s">
        <v>73</v>
      </c>
      <c r="Y3532" t="s">
        <v>68</v>
      </c>
      <c r="Z3532" t="s">
        <v>158</v>
      </c>
      <c r="AA3532" t="s">
        <v>168</v>
      </c>
      <c r="AB3532">
        <v>3.3</v>
      </c>
      <c r="AC3532">
        <v>60</v>
      </c>
      <c r="AD3532">
        <v>68.41</v>
      </c>
      <c r="AE3532">
        <f t="shared" si="110"/>
        <v>340.74</v>
      </c>
      <c r="AF3532" t="str">
        <f t="shared" si="111"/>
        <v>2026-03</v>
      </c>
      <c r="AG3532">
        <f>SUBTOTAL(103,A3532)</f>
        <v>1</v>
      </c>
    </row>
    <row r="3533" spans="1:33" x14ac:dyDescent="0.3">
      <c r="A3533" t="s">
        <v>6156</v>
      </c>
      <c r="B3533" s="13">
        <v>46112</v>
      </c>
      <c r="C3533">
        <v>2026</v>
      </c>
      <c r="D3533">
        <v>3</v>
      </c>
      <c r="E3533" t="s">
        <v>3053</v>
      </c>
      <c r="F3533" t="s">
        <v>2572</v>
      </c>
      <c r="G3533" t="s">
        <v>1215</v>
      </c>
      <c r="H3533" t="s">
        <v>1216</v>
      </c>
      <c r="I3533" t="s">
        <v>86</v>
      </c>
      <c r="J3533">
        <v>39</v>
      </c>
      <c r="K3533" t="s">
        <v>82</v>
      </c>
      <c r="L3533" t="s">
        <v>92</v>
      </c>
      <c r="M3533" t="s">
        <v>59</v>
      </c>
      <c r="N3533" t="s">
        <v>2592</v>
      </c>
      <c r="O3533" t="s">
        <v>115</v>
      </c>
      <c r="P3533" t="s">
        <v>48</v>
      </c>
      <c r="Q3533" t="s">
        <v>137</v>
      </c>
      <c r="R3533">
        <v>2</v>
      </c>
      <c r="S3533">
        <v>12999</v>
      </c>
      <c r="T3533">
        <v>0.1</v>
      </c>
      <c r="U3533">
        <v>23398.2</v>
      </c>
      <c r="V3533">
        <v>18000</v>
      </c>
      <c r="W3533">
        <v>5398.2</v>
      </c>
      <c r="X3533" t="s">
        <v>76</v>
      </c>
      <c r="Y3533" t="s">
        <v>68</v>
      </c>
      <c r="Z3533" t="s">
        <v>159</v>
      </c>
      <c r="AA3533" t="s">
        <v>166</v>
      </c>
      <c r="AB3533">
        <v>4.5</v>
      </c>
      <c r="AC3533">
        <v>60</v>
      </c>
      <c r="AD3533">
        <v>785.17</v>
      </c>
      <c r="AE3533">
        <f t="shared" si="110"/>
        <v>4553.03</v>
      </c>
      <c r="AF3533" t="str">
        <f t="shared" si="111"/>
        <v>2026-03</v>
      </c>
      <c r="AG3533">
        <f>SUBTOTAL(103,A3533)</f>
        <v>1</v>
      </c>
    </row>
    <row r="3534" spans="1:33" x14ac:dyDescent="0.3">
      <c r="A3534" t="s">
        <v>6157</v>
      </c>
      <c r="B3534" s="13">
        <v>46112</v>
      </c>
      <c r="C3534">
        <v>2026</v>
      </c>
      <c r="D3534">
        <v>3</v>
      </c>
      <c r="E3534" t="s">
        <v>3053</v>
      </c>
      <c r="F3534" t="s">
        <v>2572</v>
      </c>
      <c r="G3534" t="s">
        <v>435</v>
      </c>
      <c r="H3534" t="s">
        <v>436</v>
      </c>
      <c r="I3534" t="s">
        <v>86</v>
      </c>
      <c r="J3534">
        <v>20</v>
      </c>
      <c r="K3534" t="s">
        <v>80</v>
      </c>
      <c r="L3534" t="s">
        <v>90</v>
      </c>
      <c r="M3534" t="s">
        <v>55</v>
      </c>
      <c r="N3534" t="s">
        <v>2644</v>
      </c>
      <c r="O3534" t="s">
        <v>126</v>
      </c>
      <c r="P3534" t="s">
        <v>50</v>
      </c>
      <c r="Q3534" t="s">
        <v>145</v>
      </c>
      <c r="R3534">
        <v>1</v>
      </c>
      <c r="S3534">
        <v>1799</v>
      </c>
      <c r="T3534">
        <v>0.15</v>
      </c>
      <c r="U3534">
        <v>1529.15</v>
      </c>
      <c r="V3534">
        <v>950</v>
      </c>
      <c r="W3534">
        <v>579.15</v>
      </c>
      <c r="X3534" t="s">
        <v>73</v>
      </c>
      <c r="Y3534" t="s">
        <v>68</v>
      </c>
      <c r="Z3534" t="s">
        <v>159</v>
      </c>
      <c r="AA3534" t="s">
        <v>169</v>
      </c>
      <c r="AB3534">
        <v>3.5</v>
      </c>
      <c r="AC3534">
        <v>50</v>
      </c>
      <c r="AD3534">
        <v>151.26</v>
      </c>
      <c r="AE3534">
        <f t="shared" si="110"/>
        <v>377.89</v>
      </c>
      <c r="AF3534" t="str">
        <f t="shared" si="111"/>
        <v>2026-03</v>
      </c>
      <c r="AG3534">
        <f>SUBTOTAL(103,A3534)</f>
        <v>1</v>
      </c>
    </row>
    <row r="3535" spans="1:33" x14ac:dyDescent="0.3">
      <c r="A3535" t="s">
        <v>6158</v>
      </c>
      <c r="B3535" s="13">
        <v>46112</v>
      </c>
      <c r="C3535">
        <v>2026</v>
      </c>
      <c r="D3535">
        <v>3</v>
      </c>
      <c r="E3535" t="s">
        <v>3053</v>
      </c>
      <c r="F3535" t="s">
        <v>2572</v>
      </c>
      <c r="G3535" t="s">
        <v>2003</v>
      </c>
      <c r="H3535" t="s">
        <v>2004</v>
      </c>
      <c r="I3535" t="s">
        <v>86</v>
      </c>
      <c r="J3535">
        <v>32</v>
      </c>
      <c r="K3535" t="s">
        <v>81</v>
      </c>
      <c r="L3535" t="s">
        <v>2690</v>
      </c>
      <c r="M3535" t="s">
        <v>63</v>
      </c>
      <c r="N3535" t="s">
        <v>2596</v>
      </c>
      <c r="O3535" t="s">
        <v>124</v>
      </c>
      <c r="P3535" t="s">
        <v>51</v>
      </c>
      <c r="Q3535" t="s">
        <v>147</v>
      </c>
      <c r="R3535">
        <v>3</v>
      </c>
      <c r="S3535">
        <v>2299</v>
      </c>
      <c r="T3535">
        <v>0.1</v>
      </c>
      <c r="U3535">
        <v>6207.3</v>
      </c>
      <c r="V3535">
        <v>3600</v>
      </c>
      <c r="W3535">
        <v>2607.3000000000002</v>
      </c>
      <c r="X3535" t="s">
        <v>75</v>
      </c>
      <c r="Y3535" t="s">
        <v>68</v>
      </c>
      <c r="Z3535" t="s">
        <v>160</v>
      </c>
      <c r="AA3535" t="s">
        <v>169</v>
      </c>
      <c r="AB3535">
        <v>3.8</v>
      </c>
      <c r="AC3535">
        <v>40</v>
      </c>
      <c r="AD3535">
        <v>364.49</v>
      </c>
      <c r="AE3535">
        <f t="shared" si="110"/>
        <v>2202.8100000000004</v>
      </c>
      <c r="AF3535" t="str">
        <f t="shared" si="111"/>
        <v>2026-03</v>
      </c>
      <c r="AG3535">
        <f>SUBTOTAL(103,A3535)</f>
        <v>1</v>
      </c>
    </row>
    <row r="3536" spans="1:33" x14ac:dyDescent="0.3">
      <c r="A3536" t="s">
        <v>6159</v>
      </c>
      <c r="B3536" s="13">
        <v>46112</v>
      </c>
      <c r="C3536">
        <v>2026</v>
      </c>
      <c r="D3536">
        <v>3</v>
      </c>
      <c r="E3536" t="s">
        <v>3053</v>
      </c>
      <c r="F3536" t="s">
        <v>2572</v>
      </c>
      <c r="G3536" t="s">
        <v>603</v>
      </c>
      <c r="H3536" t="s">
        <v>604</v>
      </c>
      <c r="I3536" t="s">
        <v>86</v>
      </c>
      <c r="J3536">
        <v>47</v>
      </c>
      <c r="K3536" t="s">
        <v>83</v>
      </c>
      <c r="L3536" t="s">
        <v>92</v>
      </c>
      <c r="M3536" t="s">
        <v>59</v>
      </c>
      <c r="N3536" t="s">
        <v>2606</v>
      </c>
      <c r="O3536" t="s">
        <v>120</v>
      </c>
      <c r="P3536" t="s">
        <v>49</v>
      </c>
      <c r="Q3536" t="s">
        <v>140</v>
      </c>
      <c r="R3536">
        <v>1</v>
      </c>
      <c r="S3536">
        <v>2799</v>
      </c>
      <c r="T3536">
        <v>0.2</v>
      </c>
      <c r="U3536">
        <v>2239.1999999999998</v>
      </c>
      <c r="V3536">
        <v>1650</v>
      </c>
      <c r="W3536">
        <v>589.20000000000005</v>
      </c>
      <c r="X3536" t="s">
        <v>74</v>
      </c>
      <c r="Y3536" t="s">
        <v>68</v>
      </c>
      <c r="Z3536" t="s">
        <v>158</v>
      </c>
      <c r="AA3536" t="s">
        <v>166</v>
      </c>
      <c r="AB3536">
        <v>4.2</v>
      </c>
      <c r="AC3536">
        <v>50</v>
      </c>
      <c r="AD3536">
        <v>60.38</v>
      </c>
      <c r="AE3536">
        <f t="shared" si="110"/>
        <v>478.82000000000005</v>
      </c>
      <c r="AF3536" t="str">
        <f t="shared" si="111"/>
        <v>2026-03</v>
      </c>
      <c r="AG3536">
        <f>SUBTOTAL(103,A3536)</f>
        <v>1</v>
      </c>
    </row>
    <row r="3537" spans="1:33" x14ac:dyDescent="0.3">
      <c r="A3537" t="s">
        <v>6160</v>
      </c>
      <c r="B3537" s="13">
        <v>46112</v>
      </c>
      <c r="C3537">
        <v>2026</v>
      </c>
      <c r="D3537">
        <v>3</v>
      </c>
      <c r="E3537" t="s">
        <v>3053</v>
      </c>
      <c r="F3537" t="s">
        <v>2572</v>
      </c>
      <c r="G3537" t="s">
        <v>1615</v>
      </c>
      <c r="H3537" t="s">
        <v>1616</v>
      </c>
      <c r="I3537" t="s">
        <v>86</v>
      </c>
      <c r="J3537">
        <v>47</v>
      </c>
      <c r="K3537" t="s">
        <v>83</v>
      </c>
      <c r="L3537" t="s">
        <v>95</v>
      </c>
      <c r="M3537" t="s">
        <v>56</v>
      </c>
      <c r="N3537" t="s">
        <v>2603</v>
      </c>
      <c r="O3537" t="s">
        <v>122</v>
      </c>
      <c r="P3537" t="s">
        <v>48</v>
      </c>
      <c r="Q3537" t="s">
        <v>141</v>
      </c>
      <c r="R3537">
        <v>2</v>
      </c>
      <c r="S3537">
        <v>2499</v>
      </c>
      <c r="T3537">
        <v>0.2</v>
      </c>
      <c r="U3537">
        <v>3998.4</v>
      </c>
      <c r="V3537">
        <v>2900</v>
      </c>
      <c r="W3537">
        <v>1098.4000000000001</v>
      </c>
      <c r="X3537" t="s">
        <v>76</v>
      </c>
      <c r="Y3537" t="s">
        <v>68</v>
      </c>
      <c r="Z3537" t="s">
        <v>162</v>
      </c>
      <c r="AA3537" t="s">
        <v>171</v>
      </c>
      <c r="AB3537">
        <v>4.2</v>
      </c>
      <c r="AC3537">
        <v>50</v>
      </c>
      <c r="AD3537">
        <v>164.99</v>
      </c>
      <c r="AE3537">
        <f t="shared" si="110"/>
        <v>883.41000000000008</v>
      </c>
      <c r="AF3537" t="str">
        <f t="shared" si="111"/>
        <v>2026-03</v>
      </c>
      <c r="AG3537">
        <f>SUBTOTAL(103,A3537)</f>
        <v>1</v>
      </c>
    </row>
    <row r="3538" spans="1:33" x14ac:dyDescent="0.3">
      <c r="A3538" t="s">
        <v>6161</v>
      </c>
      <c r="B3538" s="13">
        <v>46112</v>
      </c>
      <c r="C3538">
        <v>2026</v>
      </c>
      <c r="D3538">
        <v>3</v>
      </c>
      <c r="E3538" t="s">
        <v>3053</v>
      </c>
      <c r="F3538" t="s">
        <v>2572</v>
      </c>
      <c r="G3538" t="s">
        <v>1151</v>
      </c>
      <c r="H3538" t="s">
        <v>1152</v>
      </c>
      <c r="I3538" t="s">
        <v>85</v>
      </c>
      <c r="J3538">
        <v>44</v>
      </c>
      <c r="K3538" t="s">
        <v>82</v>
      </c>
      <c r="L3538" t="s">
        <v>94</v>
      </c>
      <c r="M3538" t="s">
        <v>57</v>
      </c>
      <c r="N3538" t="s">
        <v>2584</v>
      </c>
      <c r="O3538" t="s">
        <v>121</v>
      </c>
      <c r="P3538" t="s">
        <v>50</v>
      </c>
      <c r="Q3538" t="s">
        <v>144</v>
      </c>
      <c r="R3538">
        <v>3</v>
      </c>
      <c r="S3538">
        <v>2999</v>
      </c>
      <c r="T3538">
        <v>0.1</v>
      </c>
      <c r="U3538">
        <v>8097.3</v>
      </c>
      <c r="V3538">
        <v>5100</v>
      </c>
      <c r="W3538">
        <v>2997.3</v>
      </c>
      <c r="X3538" t="s">
        <v>75</v>
      </c>
      <c r="Y3538" t="s">
        <v>70</v>
      </c>
      <c r="Z3538" t="s">
        <v>160</v>
      </c>
      <c r="AA3538" t="s">
        <v>171</v>
      </c>
      <c r="AB3538">
        <v>5</v>
      </c>
      <c r="AC3538">
        <v>50</v>
      </c>
      <c r="AD3538">
        <v>727.91</v>
      </c>
      <c r="AE3538">
        <f t="shared" si="110"/>
        <v>2219.3900000000003</v>
      </c>
      <c r="AF3538" t="str">
        <f t="shared" si="111"/>
        <v>2026-03</v>
      </c>
      <c r="AG3538">
        <f>SUBTOTAL(103,A3538)</f>
        <v>1</v>
      </c>
    </row>
    <row r="3539" spans="1:33" x14ac:dyDescent="0.3">
      <c r="A3539" t="s">
        <v>6162</v>
      </c>
      <c r="B3539" s="13">
        <v>46112</v>
      </c>
      <c r="C3539">
        <v>2026</v>
      </c>
      <c r="D3539">
        <v>3</v>
      </c>
      <c r="E3539" t="s">
        <v>3053</v>
      </c>
      <c r="F3539" t="s">
        <v>2572</v>
      </c>
      <c r="G3539" t="s">
        <v>947</v>
      </c>
      <c r="H3539" t="s">
        <v>948</v>
      </c>
      <c r="I3539" t="s">
        <v>85</v>
      </c>
      <c r="J3539">
        <v>36</v>
      </c>
      <c r="K3539" t="s">
        <v>82</v>
      </c>
      <c r="L3539" t="s">
        <v>99</v>
      </c>
      <c r="M3539" t="s">
        <v>58</v>
      </c>
      <c r="N3539" t="s">
        <v>2601</v>
      </c>
      <c r="O3539" t="s">
        <v>117</v>
      </c>
      <c r="P3539" t="s">
        <v>49</v>
      </c>
      <c r="Q3539" t="s">
        <v>139</v>
      </c>
      <c r="R3539">
        <v>1</v>
      </c>
      <c r="S3539">
        <v>6999</v>
      </c>
      <c r="T3539">
        <v>0.15</v>
      </c>
      <c r="U3539">
        <v>5949.15</v>
      </c>
      <c r="V3539">
        <v>4300</v>
      </c>
      <c r="W3539">
        <v>1649.15</v>
      </c>
      <c r="X3539" t="s">
        <v>73</v>
      </c>
      <c r="Y3539" t="s">
        <v>68</v>
      </c>
      <c r="Z3539" t="s">
        <v>161</v>
      </c>
      <c r="AA3539" t="s">
        <v>167</v>
      </c>
      <c r="AB3539">
        <v>4.2</v>
      </c>
      <c r="AC3539">
        <v>60</v>
      </c>
      <c r="AD3539">
        <v>139.28</v>
      </c>
      <c r="AE3539">
        <f t="shared" si="110"/>
        <v>1449.8700000000001</v>
      </c>
      <c r="AF3539" t="str">
        <f t="shared" si="111"/>
        <v>2026-03</v>
      </c>
      <c r="AG3539">
        <f>SUBTOTAL(103,A3539)</f>
        <v>1</v>
      </c>
    </row>
    <row r="3540" spans="1:33" x14ac:dyDescent="0.3">
      <c r="A3540" t="s">
        <v>6163</v>
      </c>
      <c r="B3540" s="13">
        <v>46112</v>
      </c>
      <c r="C3540">
        <v>2026</v>
      </c>
      <c r="D3540">
        <v>3</v>
      </c>
      <c r="E3540" t="s">
        <v>3053</v>
      </c>
      <c r="F3540" t="s">
        <v>2572</v>
      </c>
      <c r="G3540" t="s">
        <v>1277</v>
      </c>
      <c r="H3540" t="s">
        <v>1278</v>
      </c>
      <c r="I3540" t="s">
        <v>85</v>
      </c>
      <c r="J3540">
        <v>34</v>
      </c>
      <c r="K3540" t="s">
        <v>81</v>
      </c>
      <c r="L3540" t="s">
        <v>90</v>
      </c>
      <c r="M3540" t="s">
        <v>55</v>
      </c>
      <c r="N3540" t="s">
        <v>2582</v>
      </c>
      <c r="O3540" t="s">
        <v>119</v>
      </c>
      <c r="P3540" t="s">
        <v>49</v>
      </c>
      <c r="Q3540" t="s">
        <v>140</v>
      </c>
      <c r="R3540">
        <v>1</v>
      </c>
      <c r="S3540">
        <v>3499</v>
      </c>
      <c r="T3540">
        <v>0.15</v>
      </c>
      <c r="U3540">
        <v>2974.15</v>
      </c>
      <c r="V3540">
        <v>2100</v>
      </c>
      <c r="W3540">
        <v>874.15</v>
      </c>
      <c r="X3540" t="s">
        <v>74</v>
      </c>
      <c r="Y3540" t="s">
        <v>68</v>
      </c>
      <c r="Z3540" t="s">
        <v>161</v>
      </c>
      <c r="AA3540" t="s">
        <v>170</v>
      </c>
      <c r="AB3540">
        <v>4.5</v>
      </c>
      <c r="AC3540">
        <v>60</v>
      </c>
      <c r="AD3540">
        <v>82.51</v>
      </c>
      <c r="AE3540">
        <f t="shared" si="110"/>
        <v>731.64</v>
      </c>
      <c r="AF3540" t="str">
        <f t="shared" si="111"/>
        <v>2026-03</v>
      </c>
      <c r="AG3540">
        <f>SUBTOTAL(103,A3540)</f>
        <v>1</v>
      </c>
    </row>
    <row r="3541" spans="1:33" x14ac:dyDescent="0.3">
      <c r="A3541" t="s">
        <v>6164</v>
      </c>
      <c r="B3541" s="13">
        <v>46112</v>
      </c>
      <c r="C3541">
        <v>2026</v>
      </c>
      <c r="D3541">
        <v>3</v>
      </c>
      <c r="E3541" t="s">
        <v>3053</v>
      </c>
      <c r="F3541" t="s">
        <v>2572</v>
      </c>
      <c r="G3541" t="s">
        <v>551</v>
      </c>
      <c r="H3541" t="s">
        <v>552</v>
      </c>
      <c r="I3541" t="s">
        <v>86</v>
      </c>
      <c r="J3541">
        <v>46</v>
      </c>
      <c r="K3541" t="s">
        <v>83</v>
      </c>
      <c r="L3541" t="s">
        <v>59</v>
      </c>
      <c r="M3541" t="s">
        <v>59</v>
      </c>
      <c r="N3541" t="s">
        <v>2601</v>
      </c>
      <c r="O3541" t="s">
        <v>117</v>
      </c>
      <c r="P3541" t="s">
        <v>49</v>
      </c>
      <c r="Q3541" t="s">
        <v>139</v>
      </c>
      <c r="R3541">
        <v>5</v>
      </c>
      <c r="S3541">
        <v>6999</v>
      </c>
      <c r="T3541">
        <v>0.05</v>
      </c>
      <c r="U3541">
        <v>33245.25</v>
      </c>
      <c r="V3541">
        <v>21500</v>
      </c>
      <c r="W3541">
        <v>11745.25</v>
      </c>
      <c r="X3541" t="s">
        <v>73</v>
      </c>
      <c r="Y3541" t="s">
        <v>68</v>
      </c>
      <c r="Z3541" t="s">
        <v>160</v>
      </c>
      <c r="AA3541" t="s">
        <v>167</v>
      </c>
      <c r="AB3541">
        <v>4.5999999999999996</v>
      </c>
      <c r="AC3541">
        <v>40</v>
      </c>
      <c r="AD3541">
        <v>3186.27</v>
      </c>
      <c r="AE3541">
        <f t="shared" si="110"/>
        <v>8518.98</v>
      </c>
      <c r="AF3541" t="str">
        <f t="shared" si="111"/>
        <v>2026-03</v>
      </c>
      <c r="AG3541">
        <f>SUBTOTAL(103,A3541)</f>
        <v>1</v>
      </c>
    </row>
    <row r="3542" spans="1:33" x14ac:dyDescent="0.3">
      <c r="A3542" t="s">
        <v>6165</v>
      </c>
      <c r="B3542" s="13">
        <v>46113</v>
      </c>
      <c r="C3542">
        <v>2026</v>
      </c>
      <c r="D3542">
        <v>4</v>
      </c>
      <c r="E3542" t="s">
        <v>3328</v>
      </c>
      <c r="F3542" t="s">
        <v>3329</v>
      </c>
      <c r="G3542" t="s">
        <v>489</v>
      </c>
      <c r="H3542" t="s">
        <v>490</v>
      </c>
      <c r="I3542" t="s">
        <v>86</v>
      </c>
      <c r="J3542">
        <v>29</v>
      </c>
      <c r="K3542" t="s">
        <v>81</v>
      </c>
      <c r="L3542" t="s">
        <v>2612</v>
      </c>
      <c r="M3542" t="s">
        <v>64</v>
      </c>
      <c r="N3542" t="s">
        <v>2596</v>
      </c>
      <c r="O3542" t="s">
        <v>124</v>
      </c>
      <c r="P3542" t="s">
        <v>51</v>
      </c>
      <c r="Q3542" t="s">
        <v>147</v>
      </c>
      <c r="R3542">
        <v>1</v>
      </c>
      <c r="S3542">
        <v>2299</v>
      </c>
      <c r="T3542">
        <v>0.05</v>
      </c>
      <c r="U3542">
        <v>2184.0500000000002</v>
      </c>
      <c r="V3542">
        <v>1200</v>
      </c>
      <c r="W3542">
        <v>984.05</v>
      </c>
      <c r="X3542" t="s">
        <v>75</v>
      </c>
      <c r="Y3542" t="s">
        <v>68</v>
      </c>
      <c r="Z3542" t="s">
        <v>160</v>
      </c>
      <c r="AA3542" t="s">
        <v>166</v>
      </c>
      <c r="AB3542">
        <v>2.7</v>
      </c>
      <c r="AC3542">
        <v>60</v>
      </c>
      <c r="AD3542">
        <v>83.49</v>
      </c>
      <c r="AE3542">
        <f t="shared" si="110"/>
        <v>840.56</v>
      </c>
      <c r="AF3542" t="str">
        <f t="shared" si="111"/>
        <v>2026-04</v>
      </c>
      <c r="AG3542">
        <f>SUBTOTAL(103,A3542)</f>
        <v>1</v>
      </c>
    </row>
    <row r="3543" spans="1:33" x14ac:dyDescent="0.3">
      <c r="A3543" t="s">
        <v>6166</v>
      </c>
      <c r="B3543" s="13">
        <v>46113</v>
      </c>
      <c r="C3543">
        <v>2026</v>
      </c>
      <c r="D3543">
        <v>4</v>
      </c>
      <c r="E3543" t="s">
        <v>3328</v>
      </c>
      <c r="F3543" t="s">
        <v>3329</v>
      </c>
      <c r="G3543" t="s">
        <v>1201</v>
      </c>
      <c r="H3543" t="s">
        <v>1202</v>
      </c>
      <c r="I3543" t="s">
        <v>86</v>
      </c>
      <c r="J3543">
        <v>35</v>
      </c>
      <c r="K3543" t="s">
        <v>81</v>
      </c>
      <c r="L3543" t="s">
        <v>94</v>
      </c>
      <c r="M3543" t="s">
        <v>57</v>
      </c>
      <c r="N3543" t="s">
        <v>2587</v>
      </c>
      <c r="O3543" t="s">
        <v>116</v>
      </c>
      <c r="P3543" t="s">
        <v>48</v>
      </c>
      <c r="Q3543" t="s">
        <v>138</v>
      </c>
      <c r="R3543">
        <v>1</v>
      </c>
      <c r="S3543">
        <v>14999</v>
      </c>
      <c r="T3543">
        <v>0.05</v>
      </c>
      <c r="U3543">
        <v>14249.05</v>
      </c>
      <c r="V3543">
        <v>11200</v>
      </c>
      <c r="W3543">
        <v>3049.05</v>
      </c>
      <c r="X3543" t="s">
        <v>73</v>
      </c>
      <c r="Y3543" t="s">
        <v>68</v>
      </c>
      <c r="Z3543" t="s">
        <v>159</v>
      </c>
      <c r="AA3543" t="s">
        <v>166</v>
      </c>
      <c r="AB3543">
        <v>4.8</v>
      </c>
      <c r="AC3543">
        <v>120</v>
      </c>
      <c r="AD3543">
        <v>1433.78</v>
      </c>
      <c r="AE3543">
        <f t="shared" si="110"/>
        <v>1495.2700000000002</v>
      </c>
      <c r="AF3543" t="str">
        <f t="shared" si="111"/>
        <v>2026-04</v>
      </c>
      <c r="AG3543">
        <f>SUBTOTAL(103,A3543)</f>
        <v>1</v>
      </c>
    </row>
    <row r="3544" spans="1:33" x14ac:dyDescent="0.3">
      <c r="A3544" t="s">
        <v>6167</v>
      </c>
      <c r="B3544" s="13">
        <v>46113</v>
      </c>
      <c r="C3544">
        <v>2026</v>
      </c>
      <c r="D3544">
        <v>4</v>
      </c>
      <c r="E3544" t="s">
        <v>3328</v>
      </c>
      <c r="F3544" t="s">
        <v>3329</v>
      </c>
      <c r="G3544" t="s">
        <v>473</v>
      </c>
      <c r="H3544" t="s">
        <v>474</v>
      </c>
      <c r="I3544" t="s">
        <v>85</v>
      </c>
      <c r="J3544">
        <v>38</v>
      </c>
      <c r="K3544" t="s">
        <v>82</v>
      </c>
      <c r="L3544" t="s">
        <v>2599</v>
      </c>
      <c r="M3544" t="s">
        <v>62</v>
      </c>
      <c r="N3544" t="s">
        <v>2644</v>
      </c>
      <c r="O3544" t="s">
        <v>126</v>
      </c>
      <c r="P3544" t="s">
        <v>50</v>
      </c>
      <c r="Q3544" t="s">
        <v>145</v>
      </c>
      <c r="R3544">
        <v>2</v>
      </c>
      <c r="S3544">
        <v>1799</v>
      </c>
      <c r="T3544">
        <v>0.05</v>
      </c>
      <c r="U3544">
        <v>3418.1</v>
      </c>
      <c r="V3544">
        <v>1900</v>
      </c>
      <c r="W3544">
        <v>1518.1</v>
      </c>
      <c r="X3544" t="s">
        <v>73</v>
      </c>
      <c r="Y3544" t="s">
        <v>68</v>
      </c>
      <c r="Z3544" t="s">
        <v>162</v>
      </c>
      <c r="AA3544" t="s">
        <v>169</v>
      </c>
      <c r="AB3544">
        <v>2.8</v>
      </c>
      <c r="AC3544">
        <v>80</v>
      </c>
      <c r="AD3544">
        <v>231.65</v>
      </c>
      <c r="AE3544">
        <f t="shared" si="110"/>
        <v>1206.4499999999998</v>
      </c>
      <c r="AF3544" t="str">
        <f t="shared" si="111"/>
        <v>2026-04</v>
      </c>
      <c r="AG3544">
        <f>SUBTOTAL(103,A3544)</f>
        <v>1</v>
      </c>
    </row>
    <row r="3545" spans="1:33" x14ac:dyDescent="0.3">
      <c r="A3545" t="s">
        <v>6168</v>
      </c>
      <c r="B3545" s="13">
        <v>46113</v>
      </c>
      <c r="C3545">
        <v>2026</v>
      </c>
      <c r="D3545">
        <v>4</v>
      </c>
      <c r="E3545" t="s">
        <v>3328</v>
      </c>
      <c r="F3545" t="s">
        <v>3329</v>
      </c>
      <c r="G3545" t="s">
        <v>1153</v>
      </c>
      <c r="H3545" t="s">
        <v>1154</v>
      </c>
      <c r="I3545" t="s">
        <v>85</v>
      </c>
      <c r="J3545">
        <v>24</v>
      </c>
      <c r="K3545" t="s">
        <v>80</v>
      </c>
      <c r="L3545" t="s">
        <v>2634</v>
      </c>
      <c r="M3545" t="s">
        <v>56</v>
      </c>
      <c r="N3545" t="s">
        <v>2574</v>
      </c>
      <c r="O3545" t="s">
        <v>130</v>
      </c>
      <c r="P3545" t="s">
        <v>50</v>
      </c>
      <c r="Q3545" t="s">
        <v>53</v>
      </c>
      <c r="R3545">
        <v>1</v>
      </c>
      <c r="S3545">
        <v>1199</v>
      </c>
      <c r="T3545">
        <v>0.05</v>
      </c>
      <c r="U3545">
        <v>1139.05</v>
      </c>
      <c r="V3545">
        <v>550</v>
      </c>
      <c r="W3545">
        <v>589.04999999999995</v>
      </c>
      <c r="X3545" t="s">
        <v>75</v>
      </c>
      <c r="Y3545" t="s">
        <v>68</v>
      </c>
      <c r="Z3545" t="s">
        <v>159</v>
      </c>
      <c r="AA3545" t="s">
        <v>166</v>
      </c>
      <c r="AB3545">
        <v>5</v>
      </c>
      <c r="AC3545">
        <v>60</v>
      </c>
      <c r="AD3545">
        <v>95</v>
      </c>
      <c r="AE3545">
        <f t="shared" si="110"/>
        <v>434.04999999999995</v>
      </c>
      <c r="AF3545" t="str">
        <f t="shared" si="111"/>
        <v>2026-04</v>
      </c>
      <c r="AG3545">
        <f>SUBTOTAL(103,A3545)</f>
        <v>1</v>
      </c>
    </row>
    <row r="3546" spans="1:33" x14ac:dyDescent="0.3">
      <c r="A3546" t="s">
        <v>6169</v>
      </c>
      <c r="B3546" s="13">
        <v>46113</v>
      </c>
      <c r="C3546">
        <v>2026</v>
      </c>
      <c r="D3546">
        <v>4</v>
      </c>
      <c r="E3546" t="s">
        <v>3328</v>
      </c>
      <c r="F3546" t="s">
        <v>3329</v>
      </c>
      <c r="G3546" t="s">
        <v>1827</v>
      </c>
      <c r="H3546" t="s">
        <v>1828</v>
      </c>
      <c r="I3546" t="s">
        <v>86</v>
      </c>
      <c r="J3546">
        <v>48</v>
      </c>
      <c r="K3546" t="s">
        <v>83</v>
      </c>
      <c r="L3546" t="s">
        <v>2646</v>
      </c>
      <c r="M3546" t="s">
        <v>63</v>
      </c>
      <c r="N3546" t="s">
        <v>2626</v>
      </c>
      <c r="O3546" t="s">
        <v>125</v>
      </c>
      <c r="P3546" t="s">
        <v>48</v>
      </c>
      <c r="Q3546" t="s">
        <v>141</v>
      </c>
      <c r="R3546">
        <v>2</v>
      </c>
      <c r="S3546">
        <v>1999</v>
      </c>
      <c r="T3546">
        <v>0</v>
      </c>
      <c r="U3546">
        <v>3998</v>
      </c>
      <c r="V3546">
        <v>2300</v>
      </c>
      <c r="W3546">
        <v>1698</v>
      </c>
      <c r="X3546" t="s">
        <v>74</v>
      </c>
      <c r="Y3546" t="s">
        <v>68</v>
      </c>
      <c r="Z3546" t="s">
        <v>161</v>
      </c>
      <c r="AA3546" t="s">
        <v>167</v>
      </c>
      <c r="AB3546">
        <v>4.5</v>
      </c>
      <c r="AC3546">
        <v>60</v>
      </c>
      <c r="AD3546">
        <v>214.67</v>
      </c>
      <c r="AE3546">
        <f t="shared" si="110"/>
        <v>1423.33</v>
      </c>
      <c r="AF3546" t="str">
        <f t="shared" si="111"/>
        <v>2026-04</v>
      </c>
      <c r="AG3546">
        <f>SUBTOTAL(103,A3546)</f>
        <v>1</v>
      </c>
    </row>
    <row r="3547" spans="1:33" x14ac:dyDescent="0.3">
      <c r="A3547" t="s">
        <v>6170</v>
      </c>
      <c r="B3547" s="13">
        <v>46113</v>
      </c>
      <c r="C3547">
        <v>2026</v>
      </c>
      <c r="D3547">
        <v>4</v>
      </c>
      <c r="E3547" t="s">
        <v>3328</v>
      </c>
      <c r="F3547" t="s">
        <v>3329</v>
      </c>
      <c r="G3547" t="s">
        <v>1531</v>
      </c>
      <c r="H3547" t="s">
        <v>1532</v>
      </c>
      <c r="I3547" t="s">
        <v>85</v>
      </c>
      <c r="J3547">
        <v>36</v>
      </c>
      <c r="K3547" t="s">
        <v>82</v>
      </c>
      <c r="L3547" t="s">
        <v>2579</v>
      </c>
      <c r="M3547" t="s">
        <v>56</v>
      </c>
      <c r="N3547" t="s">
        <v>2603</v>
      </c>
      <c r="O3547" t="s">
        <v>122</v>
      </c>
      <c r="P3547" t="s">
        <v>48</v>
      </c>
      <c r="Q3547" t="s">
        <v>141</v>
      </c>
      <c r="R3547">
        <v>2</v>
      </c>
      <c r="S3547">
        <v>2499</v>
      </c>
      <c r="T3547">
        <v>0.1</v>
      </c>
      <c r="U3547">
        <v>4498.2</v>
      </c>
      <c r="V3547">
        <v>2900</v>
      </c>
      <c r="W3547">
        <v>1598.2</v>
      </c>
      <c r="X3547" t="s">
        <v>73</v>
      </c>
      <c r="Y3547" t="s">
        <v>68</v>
      </c>
      <c r="Z3547" t="s">
        <v>158</v>
      </c>
      <c r="AA3547" t="s">
        <v>167</v>
      </c>
      <c r="AB3547">
        <v>3.6</v>
      </c>
      <c r="AC3547">
        <v>60</v>
      </c>
      <c r="AD3547">
        <v>196.89</v>
      </c>
      <c r="AE3547">
        <f t="shared" si="110"/>
        <v>1341.31</v>
      </c>
      <c r="AF3547" t="str">
        <f t="shared" si="111"/>
        <v>2026-04</v>
      </c>
      <c r="AG3547">
        <f>SUBTOTAL(103,A3547)</f>
        <v>1</v>
      </c>
    </row>
    <row r="3548" spans="1:33" x14ac:dyDescent="0.3">
      <c r="A3548" t="s">
        <v>6171</v>
      </c>
      <c r="B3548" s="13">
        <v>46113</v>
      </c>
      <c r="C3548">
        <v>2026</v>
      </c>
      <c r="D3548">
        <v>4</v>
      </c>
      <c r="E3548" t="s">
        <v>3328</v>
      </c>
      <c r="F3548" t="s">
        <v>3329</v>
      </c>
      <c r="G3548" t="s">
        <v>1741</v>
      </c>
      <c r="H3548" t="s">
        <v>1742</v>
      </c>
      <c r="I3548" t="s">
        <v>85</v>
      </c>
      <c r="J3548">
        <v>18</v>
      </c>
      <c r="K3548" t="s">
        <v>80</v>
      </c>
      <c r="L3548" t="s">
        <v>97</v>
      </c>
      <c r="M3548" t="s">
        <v>57</v>
      </c>
      <c r="N3548" t="s">
        <v>2603</v>
      </c>
      <c r="O3548" t="s">
        <v>122</v>
      </c>
      <c r="P3548" t="s">
        <v>48</v>
      </c>
      <c r="Q3548" t="s">
        <v>141</v>
      </c>
      <c r="R3548">
        <v>2</v>
      </c>
      <c r="S3548">
        <v>2499</v>
      </c>
      <c r="T3548">
        <v>0.05</v>
      </c>
      <c r="U3548">
        <v>4748.1000000000004</v>
      </c>
      <c r="V3548">
        <v>2900</v>
      </c>
      <c r="W3548">
        <v>1848.1</v>
      </c>
      <c r="X3548" t="s">
        <v>74</v>
      </c>
      <c r="Y3548" t="s">
        <v>68</v>
      </c>
      <c r="Z3548" t="s">
        <v>159</v>
      </c>
      <c r="AA3548" t="s">
        <v>168</v>
      </c>
      <c r="AB3548">
        <v>3.7</v>
      </c>
      <c r="AC3548">
        <v>50</v>
      </c>
      <c r="AD3548">
        <v>452.7</v>
      </c>
      <c r="AE3548">
        <f t="shared" si="110"/>
        <v>1345.3999999999999</v>
      </c>
      <c r="AF3548" t="str">
        <f t="shared" si="111"/>
        <v>2026-04</v>
      </c>
      <c r="AG3548">
        <f>SUBTOTAL(103,A3548)</f>
        <v>1</v>
      </c>
    </row>
    <row r="3549" spans="1:33" x14ac:dyDescent="0.3">
      <c r="A3549" t="s">
        <v>6172</v>
      </c>
      <c r="B3549" s="13">
        <v>46113</v>
      </c>
      <c r="C3549">
        <v>2026</v>
      </c>
      <c r="D3549">
        <v>4</v>
      </c>
      <c r="E3549" t="s">
        <v>3328</v>
      </c>
      <c r="F3549" t="s">
        <v>3329</v>
      </c>
      <c r="G3549" t="s">
        <v>365</v>
      </c>
      <c r="H3549" t="s">
        <v>366</v>
      </c>
      <c r="I3549" t="s">
        <v>86</v>
      </c>
      <c r="J3549">
        <v>22</v>
      </c>
      <c r="K3549" t="s">
        <v>80</v>
      </c>
      <c r="L3549" t="s">
        <v>91</v>
      </c>
      <c r="M3549" t="s">
        <v>55</v>
      </c>
      <c r="N3549" t="s">
        <v>2580</v>
      </c>
      <c r="O3549" t="s">
        <v>118</v>
      </c>
      <c r="P3549" t="s">
        <v>48</v>
      </c>
      <c r="Q3549" t="s">
        <v>142</v>
      </c>
      <c r="R3549">
        <v>3</v>
      </c>
      <c r="S3549">
        <v>3999</v>
      </c>
      <c r="T3549">
        <v>0.15</v>
      </c>
      <c r="U3549">
        <v>10197.450000000001</v>
      </c>
      <c r="V3549">
        <v>7200</v>
      </c>
      <c r="W3549">
        <v>2997.45</v>
      </c>
      <c r="X3549" t="s">
        <v>73</v>
      </c>
      <c r="Y3549" t="s">
        <v>70</v>
      </c>
      <c r="Z3549" t="s">
        <v>163</v>
      </c>
      <c r="AA3549" t="s">
        <v>170</v>
      </c>
      <c r="AB3549">
        <v>4.3</v>
      </c>
      <c r="AC3549">
        <v>40</v>
      </c>
      <c r="AD3549">
        <v>958.19</v>
      </c>
      <c r="AE3549">
        <f t="shared" si="110"/>
        <v>1999.2599999999998</v>
      </c>
      <c r="AF3549" t="str">
        <f t="shared" si="111"/>
        <v>2026-04</v>
      </c>
      <c r="AG3549">
        <f>SUBTOTAL(103,A3549)</f>
        <v>1</v>
      </c>
    </row>
    <row r="3550" spans="1:33" x14ac:dyDescent="0.3">
      <c r="A3550" t="s">
        <v>6173</v>
      </c>
      <c r="B3550" s="13">
        <v>46114</v>
      </c>
      <c r="C3550">
        <v>2026</v>
      </c>
      <c r="D3550">
        <v>4</v>
      </c>
      <c r="E3550" t="s">
        <v>3328</v>
      </c>
      <c r="F3550" t="s">
        <v>3329</v>
      </c>
      <c r="G3550" t="s">
        <v>337</v>
      </c>
      <c r="H3550" t="s">
        <v>338</v>
      </c>
      <c r="I3550" t="s">
        <v>86</v>
      </c>
      <c r="J3550">
        <v>46</v>
      </c>
      <c r="K3550" t="s">
        <v>83</v>
      </c>
      <c r="L3550" t="s">
        <v>2634</v>
      </c>
      <c r="M3550" t="s">
        <v>56</v>
      </c>
      <c r="N3550" t="s">
        <v>2653</v>
      </c>
      <c r="O3550" t="s">
        <v>132</v>
      </c>
      <c r="P3550" t="s">
        <v>52</v>
      </c>
      <c r="Q3550" t="s">
        <v>150</v>
      </c>
      <c r="R3550">
        <v>1</v>
      </c>
      <c r="S3550">
        <v>899</v>
      </c>
      <c r="T3550">
        <v>0.15</v>
      </c>
      <c r="U3550">
        <v>764.15</v>
      </c>
      <c r="V3550">
        <v>420</v>
      </c>
      <c r="W3550">
        <v>344.15</v>
      </c>
      <c r="X3550" t="s">
        <v>74</v>
      </c>
      <c r="Y3550" t="s">
        <v>68</v>
      </c>
      <c r="Z3550" t="s">
        <v>161</v>
      </c>
      <c r="AA3550" t="s">
        <v>170</v>
      </c>
      <c r="AB3550">
        <v>3.8</v>
      </c>
      <c r="AC3550">
        <v>100</v>
      </c>
      <c r="AD3550">
        <v>88.27</v>
      </c>
      <c r="AE3550">
        <f t="shared" si="110"/>
        <v>155.88</v>
      </c>
      <c r="AF3550" t="str">
        <f t="shared" si="111"/>
        <v>2026-04</v>
      </c>
      <c r="AG3550">
        <f>SUBTOTAL(103,A3550)</f>
        <v>1</v>
      </c>
    </row>
    <row r="3551" spans="1:33" x14ac:dyDescent="0.3">
      <c r="A3551" t="s">
        <v>6174</v>
      </c>
      <c r="B3551" s="13">
        <v>46114</v>
      </c>
      <c r="C3551">
        <v>2026</v>
      </c>
      <c r="D3551">
        <v>4</v>
      </c>
      <c r="E3551" t="s">
        <v>3328</v>
      </c>
      <c r="F3551" t="s">
        <v>3329</v>
      </c>
      <c r="G3551" t="s">
        <v>809</v>
      </c>
      <c r="H3551" t="s">
        <v>810</v>
      </c>
      <c r="I3551" t="s">
        <v>85</v>
      </c>
      <c r="J3551">
        <v>46</v>
      </c>
      <c r="K3551" t="s">
        <v>83</v>
      </c>
      <c r="L3551" t="s">
        <v>2661</v>
      </c>
      <c r="M3551" t="s">
        <v>58</v>
      </c>
      <c r="N3551" t="s">
        <v>2657</v>
      </c>
      <c r="O3551" t="s">
        <v>134</v>
      </c>
      <c r="P3551" t="s">
        <v>49</v>
      </c>
      <c r="Q3551" t="s">
        <v>140</v>
      </c>
      <c r="R3551">
        <v>5</v>
      </c>
      <c r="S3551">
        <v>599</v>
      </c>
      <c r="T3551">
        <v>0</v>
      </c>
      <c r="U3551">
        <v>2995</v>
      </c>
      <c r="V3551">
        <v>1250</v>
      </c>
      <c r="W3551">
        <v>1745</v>
      </c>
      <c r="X3551" t="s">
        <v>75</v>
      </c>
      <c r="Y3551" t="s">
        <v>68</v>
      </c>
      <c r="Z3551" t="s">
        <v>162</v>
      </c>
      <c r="AA3551" t="s">
        <v>168</v>
      </c>
      <c r="AB3551">
        <v>4.4000000000000004</v>
      </c>
      <c r="AC3551">
        <v>60</v>
      </c>
      <c r="AD3551">
        <v>108.98</v>
      </c>
      <c r="AE3551">
        <f t="shared" si="110"/>
        <v>1576.02</v>
      </c>
      <c r="AF3551" t="str">
        <f t="shared" si="111"/>
        <v>2026-04</v>
      </c>
      <c r="AG3551">
        <f>SUBTOTAL(103,A3551)</f>
        <v>1</v>
      </c>
    </row>
    <row r="3552" spans="1:33" x14ac:dyDescent="0.3">
      <c r="A3552" t="s">
        <v>6175</v>
      </c>
      <c r="B3552" s="13">
        <v>46114</v>
      </c>
      <c r="C3552">
        <v>2026</v>
      </c>
      <c r="D3552">
        <v>4</v>
      </c>
      <c r="E3552" t="s">
        <v>3328</v>
      </c>
      <c r="F3552" t="s">
        <v>3329</v>
      </c>
      <c r="G3552" t="s">
        <v>547</v>
      </c>
      <c r="H3552" t="s">
        <v>548</v>
      </c>
      <c r="I3552" t="s">
        <v>85</v>
      </c>
      <c r="J3552">
        <v>34</v>
      </c>
      <c r="K3552" t="s">
        <v>81</v>
      </c>
      <c r="L3552" t="s">
        <v>91</v>
      </c>
      <c r="M3552" t="s">
        <v>55</v>
      </c>
      <c r="N3552" t="s">
        <v>2603</v>
      </c>
      <c r="O3552" t="s">
        <v>122</v>
      </c>
      <c r="P3552" t="s">
        <v>48</v>
      </c>
      <c r="Q3552" t="s">
        <v>141</v>
      </c>
      <c r="R3552">
        <v>2</v>
      </c>
      <c r="S3552">
        <v>2499</v>
      </c>
      <c r="T3552">
        <v>0</v>
      </c>
      <c r="U3552">
        <v>4998</v>
      </c>
      <c r="V3552">
        <v>2900</v>
      </c>
      <c r="W3552">
        <v>2098</v>
      </c>
      <c r="X3552" t="s">
        <v>73</v>
      </c>
      <c r="Y3552" t="s">
        <v>68</v>
      </c>
      <c r="Z3552" t="s">
        <v>162</v>
      </c>
      <c r="AA3552" t="s">
        <v>167</v>
      </c>
      <c r="AB3552">
        <v>4.0999999999999996</v>
      </c>
      <c r="AC3552">
        <v>60</v>
      </c>
      <c r="AD3552">
        <v>319.74</v>
      </c>
      <c r="AE3552">
        <f t="shared" si="110"/>
        <v>1718.26</v>
      </c>
      <c r="AF3552" t="str">
        <f t="shared" si="111"/>
        <v>2026-04</v>
      </c>
      <c r="AG3552">
        <f>SUBTOTAL(103,A3552)</f>
        <v>1</v>
      </c>
    </row>
    <row r="3553" spans="1:33" x14ac:dyDescent="0.3">
      <c r="A3553" t="s">
        <v>6176</v>
      </c>
      <c r="B3553" s="13">
        <v>46114</v>
      </c>
      <c r="C3553">
        <v>2026</v>
      </c>
      <c r="D3553">
        <v>4</v>
      </c>
      <c r="E3553" t="s">
        <v>3328</v>
      </c>
      <c r="F3553" t="s">
        <v>3329</v>
      </c>
      <c r="G3553" t="s">
        <v>1053</v>
      </c>
      <c r="H3553" t="s">
        <v>1054</v>
      </c>
      <c r="I3553" t="s">
        <v>86</v>
      </c>
      <c r="J3553">
        <v>22</v>
      </c>
      <c r="K3553" t="s">
        <v>80</v>
      </c>
      <c r="L3553" t="s">
        <v>2589</v>
      </c>
      <c r="M3553" t="s">
        <v>61</v>
      </c>
      <c r="N3553" t="s">
        <v>2574</v>
      </c>
      <c r="O3553" t="s">
        <v>130</v>
      </c>
      <c r="P3553" t="s">
        <v>50</v>
      </c>
      <c r="Q3553" t="s">
        <v>53</v>
      </c>
      <c r="R3553">
        <v>3</v>
      </c>
      <c r="S3553">
        <v>1199</v>
      </c>
      <c r="T3553">
        <v>0.2</v>
      </c>
      <c r="U3553">
        <v>2877.6</v>
      </c>
      <c r="V3553">
        <v>1650</v>
      </c>
      <c r="W3553">
        <v>1227.5999999999999</v>
      </c>
      <c r="X3553" t="s">
        <v>77</v>
      </c>
      <c r="Y3553" t="s">
        <v>68</v>
      </c>
      <c r="Z3553" t="s">
        <v>162</v>
      </c>
      <c r="AA3553" t="s">
        <v>166</v>
      </c>
      <c r="AB3553">
        <v>4.4000000000000004</v>
      </c>
      <c r="AC3553">
        <v>50</v>
      </c>
      <c r="AD3553">
        <v>223.84</v>
      </c>
      <c r="AE3553">
        <f t="shared" si="110"/>
        <v>953.75999999999988</v>
      </c>
      <c r="AF3553" t="str">
        <f t="shared" si="111"/>
        <v>2026-04</v>
      </c>
      <c r="AG3553">
        <f>SUBTOTAL(103,A3553)</f>
        <v>1</v>
      </c>
    </row>
    <row r="3554" spans="1:33" x14ac:dyDescent="0.3">
      <c r="A3554" t="s">
        <v>6177</v>
      </c>
      <c r="B3554" s="13">
        <v>46114</v>
      </c>
      <c r="C3554">
        <v>2026</v>
      </c>
      <c r="D3554">
        <v>4</v>
      </c>
      <c r="E3554" t="s">
        <v>3328</v>
      </c>
      <c r="F3554" t="s">
        <v>3329</v>
      </c>
      <c r="G3554" t="s">
        <v>713</v>
      </c>
      <c r="H3554" t="s">
        <v>714</v>
      </c>
      <c r="I3554" t="s">
        <v>86</v>
      </c>
      <c r="J3554">
        <v>56</v>
      </c>
      <c r="K3554" t="s">
        <v>83</v>
      </c>
      <c r="L3554" t="s">
        <v>2589</v>
      </c>
      <c r="M3554" t="s">
        <v>61</v>
      </c>
      <c r="N3554" t="s">
        <v>2596</v>
      </c>
      <c r="O3554" t="s">
        <v>124</v>
      </c>
      <c r="P3554" t="s">
        <v>51</v>
      </c>
      <c r="Q3554" t="s">
        <v>147</v>
      </c>
      <c r="R3554">
        <v>2</v>
      </c>
      <c r="S3554">
        <v>2299</v>
      </c>
      <c r="T3554">
        <v>0.05</v>
      </c>
      <c r="U3554">
        <v>4368.1000000000004</v>
      </c>
      <c r="V3554">
        <v>2400</v>
      </c>
      <c r="W3554">
        <v>1968.1</v>
      </c>
      <c r="X3554" t="s">
        <v>74</v>
      </c>
      <c r="Y3554" t="s">
        <v>68</v>
      </c>
      <c r="Z3554" t="s">
        <v>163</v>
      </c>
      <c r="AA3554" t="s">
        <v>167</v>
      </c>
      <c r="AB3554">
        <v>3.8</v>
      </c>
      <c r="AC3554">
        <v>60</v>
      </c>
      <c r="AD3554">
        <v>378.91</v>
      </c>
      <c r="AE3554">
        <f t="shared" si="110"/>
        <v>1529.1899999999998</v>
      </c>
      <c r="AF3554" t="str">
        <f t="shared" si="111"/>
        <v>2026-04</v>
      </c>
      <c r="AG3554">
        <f>SUBTOTAL(103,A3554)</f>
        <v>1</v>
      </c>
    </row>
    <row r="3555" spans="1:33" x14ac:dyDescent="0.3">
      <c r="A3555" t="s">
        <v>6178</v>
      </c>
      <c r="B3555" s="13">
        <v>46114</v>
      </c>
      <c r="C3555">
        <v>2026</v>
      </c>
      <c r="D3555">
        <v>4</v>
      </c>
      <c r="E3555" t="s">
        <v>3328</v>
      </c>
      <c r="F3555" t="s">
        <v>3329</v>
      </c>
      <c r="G3555" t="s">
        <v>1039</v>
      </c>
      <c r="H3555" t="s">
        <v>1040</v>
      </c>
      <c r="I3555" t="s">
        <v>85</v>
      </c>
      <c r="J3555">
        <v>37</v>
      </c>
      <c r="K3555" t="s">
        <v>82</v>
      </c>
      <c r="L3555" t="s">
        <v>99</v>
      </c>
      <c r="M3555" t="s">
        <v>58</v>
      </c>
      <c r="N3555" t="s">
        <v>2657</v>
      </c>
      <c r="O3555" t="s">
        <v>134</v>
      </c>
      <c r="P3555" t="s">
        <v>49</v>
      </c>
      <c r="Q3555" t="s">
        <v>140</v>
      </c>
      <c r="R3555">
        <v>1</v>
      </c>
      <c r="S3555">
        <v>599</v>
      </c>
      <c r="T3555">
        <v>0.05</v>
      </c>
      <c r="U3555">
        <v>569.04999999999995</v>
      </c>
      <c r="V3555">
        <v>250</v>
      </c>
      <c r="W3555">
        <v>319.05</v>
      </c>
      <c r="X3555" t="s">
        <v>74</v>
      </c>
      <c r="Y3555" t="s">
        <v>68</v>
      </c>
      <c r="Z3555" t="s">
        <v>158</v>
      </c>
      <c r="AA3555" t="s">
        <v>167</v>
      </c>
      <c r="AB3555">
        <v>3.7</v>
      </c>
      <c r="AC3555">
        <v>50</v>
      </c>
      <c r="AD3555">
        <v>38</v>
      </c>
      <c r="AE3555">
        <f t="shared" si="110"/>
        <v>231.05</v>
      </c>
      <c r="AF3555" t="str">
        <f t="shared" si="111"/>
        <v>2026-04</v>
      </c>
      <c r="AG3555">
        <f>SUBTOTAL(103,A3555)</f>
        <v>1</v>
      </c>
    </row>
    <row r="3556" spans="1:33" x14ac:dyDescent="0.3">
      <c r="A3556" t="s">
        <v>6179</v>
      </c>
      <c r="B3556" s="13">
        <v>46114</v>
      </c>
      <c r="C3556">
        <v>2026</v>
      </c>
      <c r="D3556">
        <v>4</v>
      </c>
      <c r="E3556" t="s">
        <v>3328</v>
      </c>
      <c r="F3556" t="s">
        <v>3329</v>
      </c>
      <c r="G3556" t="s">
        <v>219</v>
      </c>
      <c r="H3556" t="s">
        <v>220</v>
      </c>
      <c r="I3556" t="s">
        <v>86</v>
      </c>
      <c r="J3556">
        <v>42</v>
      </c>
      <c r="K3556" t="s">
        <v>82</v>
      </c>
      <c r="L3556" t="s">
        <v>91</v>
      </c>
      <c r="M3556" t="s">
        <v>55</v>
      </c>
      <c r="N3556" t="s">
        <v>2644</v>
      </c>
      <c r="O3556" t="s">
        <v>126</v>
      </c>
      <c r="P3556" t="s">
        <v>50</v>
      </c>
      <c r="Q3556" t="s">
        <v>145</v>
      </c>
      <c r="R3556">
        <v>2</v>
      </c>
      <c r="S3556">
        <v>1799</v>
      </c>
      <c r="T3556">
        <v>0.05</v>
      </c>
      <c r="U3556">
        <v>3418.1</v>
      </c>
      <c r="V3556">
        <v>1900</v>
      </c>
      <c r="W3556">
        <v>1518.1</v>
      </c>
      <c r="X3556" t="s">
        <v>74</v>
      </c>
      <c r="Y3556" t="s">
        <v>68</v>
      </c>
      <c r="Z3556" t="s">
        <v>160</v>
      </c>
      <c r="AA3556" t="s">
        <v>166</v>
      </c>
      <c r="AB3556">
        <v>4.3</v>
      </c>
      <c r="AC3556">
        <v>50</v>
      </c>
      <c r="AD3556">
        <v>185.61</v>
      </c>
      <c r="AE3556">
        <f t="shared" si="110"/>
        <v>1282.4899999999998</v>
      </c>
      <c r="AF3556" t="str">
        <f t="shared" si="111"/>
        <v>2026-04</v>
      </c>
      <c r="AG3556">
        <f>SUBTOTAL(103,A3556)</f>
        <v>1</v>
      </c>
    </row>
    <row r="3557" spans="1:33" x14ac:dyDescent="0.3">
      <c r="A3557" t="s">
        <v>6180</v>
      </c>
      <c r="B3557" s="13">
        <v>46115</v>
      </c>
      <c r="C3557">
        <v>2026</v>
      </c>
      <c r="D3557">
        <v>4</v>
      </c>
      <c r="E3557" t="s">
        <v>3328</v>
      </c>
      <c r="F3557" t="s">
        <v>3329</v>
      </c>
      <c r="G3557" t="s">
        <v>2527</v>
      </c>
      <c r="H3557" t="s">
        <v>2528</v>
      </c>
      <c r="I3557" t="s">
        <v>86</v>
      </c>
      <c r="J3557">
        <v>48</v>
      </c>
      <c r="K3557" t="s">
        <v>83</v>
      </c>
      <c r="L3557" t="s">
        <v>92</v>
      </c>
      <c r="M3557" t="s">
        <v>59</v>
      </c>
      <c r="N3557" t="s">
        <v>2657</v>
      </c>
      <c r="O3557" t="s">
        <v>134</v>
      </c>
      <c r="P3557" t="s">
        <v>49</v>
      </c>
      <c r="Q3557" t="s">
        <v>140</v>
      </c>
      <c r="R3557">
        <v>2</v>
      </c>
      <c r="S3557">
        <v>599</v>
      </c>
      <c r="T3557">
        <v>0.2</v>
      </c>
      <c r="U3557">
        <v>958.4</v>
      </c>
      <c r="V3557">
        <v>500</v>
      </c>
      <c r="W3557">
        <v>458.4</v>
      </c>
      <c r="X3557" t="s">
        <v>73</v>
      </c>
      <c r="Y3557" t="s">
        <v>68</v>
      </c>
      <c r="Z3557" t="s">
        <v>159</v>
      </c>
      <c r="AA3557" t="s">
        <v>166</v>
      </c>
      <c r="AB3557">
        <v>4.2</v>
      </c>
      <c r="AC3557">
        <v>50</v>
      </c>
      <c r="AD3557">
        <v>62.03</v>
      </c>
      <c r="AE3557">
        <f t="shared" si="110"/>
        <v>346.37</v>
      </c>
      <c r="AF3557" t="str">
        <f t="shared" si="111"/>
        <v>2026-04</v>
      </c>
      <c r="AG3557">
        <f>SUBTOTAL(103,A3557)</f>
        <v>1</v>
      </c>
    </row>
    <row r="3558" spans="1:33" x14ac:dyDescent="0.3">
      <c r="A3558" t="s">
        <v>6181</v>
      </c>
      <c r="B3558" s="13">
        <v>46115</v>
      </c>
      <c r="C3558">
        <v>2026</v>
      </c>
      <c r="D3558">
        <v>4</v>
      </c>
      <c r="E3558" t="s">
        <v>3328</v>
      </c>
      <c r="F3558" t="s">
        <v>3329</v>
      </c>
      <c r="G3558" t="s">
        <v>543</v>
      </c>
      <c r="H3558" t="s">
        <v>544</v>
      </c>
      <c r="I3558" t="s">
        <v>86</v>
      </c>
      <c r="J3558">
        <v>37</v>
      </c>
      <c r="K3558" t="s">
        <v>82</v>
      </c>
      <c r="L3558" t="s">
        <v>2690</v>
      </c>
      <c r="M3558" t="s">
        <v>63</v>
      </c>
      <c r="N3558" t="s">
        <v>2601</v>
      </c>
      <c r="O3558" t="s">
        <v>117</v>
      </c>
      <c r="P3558" t="s">
        <v>49</v>
      </c>
      <c r="Q3558" t="s">
        <v>139</v>
      </c>
      <c r="R3558">
        <v>2</v>
      </c>
      <c r="S3558">
        <v>6999</v>
      </c>
      <c r="T3558">
        <v>0.15</v>
      </c>
      <c r="U3558">
        <v>11898.3</v>
      </c>
      <c r="V3558">
        <v>8600</v>
      </c>
      <c r="W3558">
        <v>3298.3</v>
      </c>
      <c r="X3558" t="s">
        <v>76</v>
      </c>
      <c r="Y3558" t="s">
        <v>70</v>
      </c>
      <c r="Z3558" t="s">
        <v>160</v>
      </c>
      <c r="AA3558" t="s">
        <v>166</v>
      </c>
      <c r="AB3558">
        <v>4.2</v>
      </c>
      <c r="AC3558">
        <v>120</v>
      </c>
      <c r="AD3558">
        <v>952.46</v>
      </c>
      <c r="AE3558">
        <f t="shared" si="110"/>
        <v>2225.84</v>
      </c>
      <c r="AF3558" t="str">
        <f t="shared" si="111"/>
        <v>2026-04</v>
      </c>
      <c r="AG3558">
        <f>SUBTOTAL(103,A3558)</f>
        <v>1</v>
      </c>
    </row>
    <row r="3559" spans="1:33" x14ac:dyDescent="0.3">
      <c r="A3559" t="s">
        <v>6182</v>
      </c>
      <c r="B3559" s="13">
        <v>46115</v>
      </c>
      <c r="C3559">
        <v>2026</v>
      </c>
      <c r="D3559">
        <v>4</v>
      </c>
      <c r="E3559" t="s">
        <v>3328</v>
      </c>
      <c r="F3559" t="s">
        <v>3329</v>
      </c>
      <c r="G3559" t="s">
        <v>403</v>
      </c>
      <c r="H3559" t="s">
        <v>404</v>
      </c>
      <c r="I3559" t="s">
        <v>85</v>
      </c>
      <c r="J3559">
        <v>29</v>
      </c>
      <c r="K3559" t="s">
        <v>81</v>
      </c>
      <c r="L3559" t="s">
        <v>90</v>
      </c>
      <c r="M3559" t="s">
        <v>55</v>
      </c>
      <c r="N3559" t="s">
        <v>2587</v>
      </c>
      <c r="O3559" t="s">
        <v>116</v>
      </c>
      <c r="P3559" t="s">
        <v>48</v>
      </c>
      <c r="Q3559" t="s">
        <v>138</v>
      </c>
      <c r="R3559">
        <v>2</v>
      </c>
      <c r="S3559">
        <v>14999</v>
      </c>
      <c r="T3559">
        <v>0.15</v>
      </c>
      <c r="U3559">
        <v>25498.3</v>
      </c>
      <c r="V3559">
        <v>22400</v>
      </c>
      <c r="W3559">
        <v>3098.3</v>
      </c>
      <c r="X3559" t="s">
        <v>75</v>
      </c>
      <c r="Y3559" t="s">
        <v>68</v>
      </c>
      <c r="Z3559" t="s">
        <v>160</v>
      </c>
      <c r="AA3559" t="s">
        <v>168</v>
      </c>
      <c r="AB3559">
        <v>4</v>
      </c>
      <c r="AC3559">
        <v>100</v>
      </c>
      <c r="AD3559">
        <v>2360.48</v>
      </c>
      <c r="AE3559">
        <f t="shared" si="110"/>
        <v>637.82000000000016</v>
      </c>
      <c r="AF3559" t="str">
        <f t="shared" si="111"/>
        <v>2026-04</v>
      </c>
      <c r="AG3559">
        <f>SUBTOTAL(103,A3559)</f>
        <v>1</v>
      </c>
    </row>
    <row r="3560" spans="1:33" x14ac:dyDescent="0.3">
      <c r="A3560" t="s">
        <v>6183</v>
      </c>
      <c r="B3560" s="13">
        <v>46116</v>
      </c>
      <c r="C3560">
        <v>2026</v>
      </c>
      <c r="D3560">
        <v>4</v>
      </c>
      <c r="E3560" t="s">
        <v>3328</v>
      </c>
      <c r="F3560" t="s">
        <v>3329</v>
      </c>
      <c r="G3560" t="s">
        <v>1611</v>
      </c>
      <c r="H3560" t="s">
        <v>1612</v>
      </c>
      <c r="I3560" t="s">
        <v>85</v>
      </c>
      <c r="J3560">
        <v>56</v>
      </c>
      <c r="K3560" t="s">
        <v>83</v>
      </c>
      <c r="L3560" t="s">
        <v>2646</v>
      </c>
      <c r="M3560" t="s">
        <v>63</v>
      </c>
      <c r="N3560" t="s">
        <v>2592</v>
      </c>
      <c r="O3560" t="s">
        <v>115</v>
      </c>
      <c r="P3560" t="s">
        <v>48</v>
      </c>
      <c r="Q3560" t="s">
        <v>137</v>
      </c>
      <c r="R3560">
        <v>1</v>
      </c>
      <c r="S3560">
        <v>12999</v>
      </c>
      <c r="T3560">
        <v>0.15</v>
      </c>
      <c r="U3560">
        <v>11049.15</v>
      </c>
      <c r="V3560">
        <v>9000</v>
      </c>
      <c r="W3560">
        <v>2049.15</v>
      </c>
      <c r="X3560" t="s">
        <v>74</v>
      </c>
      <c r="Y3560" t="s">
        <v>68</v>
      </c>
      <c r="Z3560" t="s">
        <v>161</v>
      </c>
      <c r="AA3560" t="s">
        <v>171</v>
      </c>
      <c r="AB3560">
        <v>4.7</v>
      </c>
      <c r="AC3560">
        <v>120</v>
      </c>
      <c r="AD3560">
        <v>1309.49</v>
      </c>
      <c r="AE3560">
        <f t="shared" si="110"/>
        <v>619.66000000000008</v>
      </c>
      <c r="AF3560" t="str">
        <f t="shared" si="111"/>
        <v>2026-04</v>
      </c>
      <c r="AG3560">
        <f>SUBTOTAL(103,A3560)</f>
        <v>1</v>
      </c>
    </row>
    <row r="3561" spans="1:33" x14ac:dyDescent="0.3">
      <c r="A3561" t="s">
        <v>6184</v>
      </c>
      <c r="B3561" s="13">
        <v>46116</v>
      </c>
      <c r="C3561">
        <v>2026</v>
      </c>
      <c r="D3561">
        <v>4</v>
      </c>
      <c r="E3561" t="s">
        <v>3328</v>
      </c>
      <c r="F3561" t="s">
        <v>3329</v>
      </c>
      <c r="G3561" t="s">
        <v>823</v>
      </c>
      <c r="H3561" t="s">
        <v>824</v>
      </c>
      <c r="I3561" t="s">
        <v>86</v>
      </c>
      <c r="J3561">
        <v>33</v>
      </c>
      <c r="K3561" t="s">
        <v>81</v>
      </c>
      <c r="L3561" t="s">
        <v>2605</v>
      </c>
      <c r="M3561" t="s">
        <v>60</v>
      </c>
      <c r="N3561" t="s">
        <v>2584</v>
      </c>
      <c r="O3561" t="s">
        <v>121</v>
      </c>
      <c r="P3561" t="s">
        <v>50</v>
      </c>
      <c r="Q3561" t="s">
        <v>144</v>
      </c>
      <c r="R3561">
        <v>3</v>
      </c>
      <c r="S3561">
        <v>2999</v>
      </c>
      <c r="T3561">
        <v>0.1</v>
      </c>
      <c r="U3561">
        <v>8097.3</v>
      </c>
      <c r="V3561">
        <v>5100</v>
      </c>
      <c r="W3561">
        <v>2997.3</v>
      </c>
      <c r="X3561" t="s">
        <v>74</v>
      </c>
      <c r="Y3561" t="s">
        <v>69</v>
      </c>
      <c r="Z3561" t="s">
        <v>161</v>
      </c>
      <c r="AA3561" t="s">
        <v>168</v>
      </c>
      <c r="AB3561">
        <v>4.2</v>
      </c>
      <c r="AC3561">
        <v>40</v>
      </c>
      <c r="AD3561">
        <v>324.01</v>
      </c>
      <c r="AE3561">
        <f t="shared" si="110"/>
        <v>2633.29</v>
      </c>
      <c r="AF3561" t="str">
        <f t="shared" si="111"/>
        <v>2026-04</v>
      </c>
      <c r="AG3561">
        <f>SUBTOTAL(103,A3561)</f>
        <v>1</v>
      </c>
    </row>
    <row r="3562" spans="1:33" x14ac:dyDescent="0.3">
      <c r="A3562" t="s">
        <v>6185</v>
      </c>
      <c r="B3562" s="13">
        <v>46116</v>
      </c>
      <c r="C3562">
        <v>2026</v>
      </c>
      <c r="D3562">
        <v>4</v>
      </c>
      <c r="E3562" t="s">
        <v>3328</v>
      </c>
      <c r="F3562" t="s">
        <v>3329</v>
      </c>
      <c r="G3562" t="s">
        <v>1969</v>
      </c>
      <c r="H3562" t="s">
        <v>1970</v>
      </c>
      <c r="I3562" t="s">
        <v>85</v>
      </c>
      <c r="J3562">
        <v>31</v>
      </c>
      <c r="K3562" t="s">
        <v>81</v>
      </c>
      <c r="L3562" t="s">
        <v>90</v>
      </c>
      <c r="M3562" t="s">
        <v>55</v>
      </c>
      <c r="N3562" t="s">
        <v>2630</v>
      </c>
      <c r="O3562" t="s">
        <v>123</v>
      </c>
      <c r="P3562" t="s">
        <v>52</v>
      </c>
      <c r="Q3562" t="s">
        <v>146</v>
      </c>
      <c r="R3562">
        <v>1</v>
      </c>
      <c r="S3562">
        <v>2499</v>
      </c>
      <c r="T3562">
        <v>0.1</v>
      </c>
      <c r="U3562">
        <v>2249.1</v>
      </c>
      <c r="V3562">
        <v>1400</v>
      </c>
      <c r="W3562">
        <v>849.1</v>
      </c>
      <c r="X3562" t="s">
        <v>73</v>
      </c>
      <c r="Y3562" t="s">
        <v>68</v>
      </c>
      <c r="Z3562" t="s">
        <v>159</v>
      </c>
      <c r="AA3562" t="s">
        <v>166</v>
      </c>
      <c r="AB3562">
        <v>3.3</v>
      </c>
      <c r="AC3562">
        <v>60</v>
      </c>
      <c r="AD3562">
        <v>96.26</v>
      </c>
      <c r="AE3562">
        <f t="shared" si="110"/>
        <v>692.84</v>
      </c>
      <c r="AF3562" t="str">
        <f t="shared" si="111"/>
        <v>2026-04</v>
      </c>
      <c r="AG3562">
        <f>SUBTOTAL(103,A3562)</f>
        <v>1</v>
      </c>
    </row>
    <row r="3563" spans="1:33" x14ac:dyDescent="0.3">
      <c r="A3563" t="s">
        <v>6186</v>
      </c>
      <c r="B3563" s="13">
        <v>46116</v>
      </c>
      <c r="C3563">
        <v>2026</v>
      </c>
      <c r="D3563">
        <v>4</v>
      </c>
      <c r="E3563" t="s">
        <v>3328</v>
      </c>
      <c r="F3563" t="s">
        <v>3329</v>
      </c>
      <c r="G3563" t="s">
        <v>875</v>
      </c>
      <c r="H3563" t="s">
        <v>876</v>
      </c>
      <c r="I3563" t="s">
        <v>85</v>
      </c>
      <c r="J3563">
        <v>45</v>
      </c>
      <c r="K3563" t="s">
        <v>82</v>
      </c>
      <c r="L3563" t="s">
        <v>2674</v>
      </c>
      <c r="M3563" t="s">
        <v>58</v>
      </c>
      <c r="N3563" t="s">
        <v>2580</v>
      </c>
      <c r="O3563" t="s">
        <v>118</v>
      </c>
      <c r="P3563" t="s">
        <v>48</v>
      </c>
      <c r="Q3563" t="s">
        <v>142</v>
      </c>
      <c r="R3563">
        <v>1</v>
      </c>
      <c r="S3563">
        <v>3999</v>
      </c>
      <c r="T3563">
        <v>0.05</v>
      </c>
      <c r="U3563">
        <v>3799.05</v>
      </c>
      <c r="V3563">
        <v>2400</v>
      </c>
      <c r="W3563">
        <v>1399.05</v>
      </c>
      <c r="X3563" t="s">
        <v>76</v>
      </c>
      <c r="Y3563" t="s">
        <v>68</v>
      </c>
      <c r="Z3563" t="s">
        <v>162</v>
      </c>
      <c r="AA3563" t="s">
        <v>167</v>
      </c>
      <c r="AB3563">
        <v>3.9</v>
      </c>
      <c r="AC3563">
        <v>40</v>
      </c>
      <c r="AD3563">
        <v>94.9</v>
      </c>
      <c r="AE3563">
        <f t="shared" si="110"/>
        <v>1264.1499999999999</v>
      </c>
      <c r="AF3563" t="str">
        <f t="shared" si="111"/>
        <v>2026-04</v>
      </c>
      <c r="AG3563">
        <f>SUBTOTAL(103,A3563)</f>
        <v>1</v>
      </c>
    </row>
    <row r="3564" spans="1:33" x14ac:dyDescent="0.3">
      <c r="A3564" t="s">
        <v>6187</v>
      </c>
      <c r="B3564" s="13">
        <v>46116</v>
      </c>
      <c r="C3564">
        <v>2026</v>
      </c>
      <c r="D3564">
        <v>4</v>
      </c>
      <c r="E3564" t="s">
        <v>3328</v>
      </c>
      <c r="F3564" t="s">
        <v>3329</v>
      </c>
      <c r="G3564" t="s">
        <v>303</v>
      </c>
      <c r="H3564" t="s">
        <v>304</v>
      </c>
      <c r="I3564" t="s">
        <v>85</v>
      </c>
      <c r="J3564">
        <v>29</v>
      </c>
      <c r="K3564" t="s">
        <v>81</v>
      </c>
      <c r="L3564" t="s">
        <v>90</v>
      </c>
      <c r="M3564" t="s">
        <v>55</v>
      </c>
      <c r="N3564" t="s">
        <v>2603</v>
      </c>
      <c r="O3564" t="s">
        <v>122</v>
      </c>
      <c r="P3564" t="s">
        <v>48</v>
      </c>
      <c r="Q3564" t="s">
        <v>141</v>
      </c>
      <c r="R3564">
        <v>2</v>
      </c>
      <c r="S3564">
        <v>2499</v>
      </c>
      <c r="T3564">
        <v>0.1</v>
      </c>
      <c r="U3564">
        <v>4498.2</v>
      </c>
      <c r="V3564">
        <v>2900</v>
      </c>
      <c r="W3564">
        <v>1598.2</v>
      </c>
      <c r="X3564" t="s">
        <v>73</v>
      </c>
      <c r="Y3564" t="s">
        <v>68</v>
      </c>
      <c r="Z3564" t="s">
        <v>161</v>
      </c>
      <c r="AA3564" t="s">
        <v>169</v>
      </c>
      <c r="AB3564">
        <v>4.4000000000000004</v>
      </c>
      <c r="AC3564">
        <v>80</v>
      </c>
      <c r="AD3564">
        <v>493.88</v>
      </c>
      <c r="AE3564">
        <f t="shared" si="110"/>
        <v>1024.3200000000002</v>
      </c>
      <c r="AF3564" t="str">
        <f t="shared" si="111"/>
        <v>2026-04</v>
      </c>
      <c r="AG3564">
        <f>SUBTOTAL(103,A3564)</f>
        <v>1</v>
      </c>
    </row>
    <row r="3565" spans="1:33" x14ac:dyDescent="0.3">
      <c r="A3565" t="s">
        <v>6188</v>
      </c>
      <c r="B3565" s="13">
        <v>46116</v>
      </c>
      <c r="C3565">
        <v>2026</v>
      </c>
      <c r="D3565">
        <v>4</v>
      </c>
      <c r="E3565" t="s">
        <v>3328</v>
      </c>
      <c r="F3565" t="s">
        <v>3329</v>
      </c>
      <c r="G3565" t="s">
        <v>357</v>
      </c>
      <c r="H3565" t="s">
        <v>358</v>
      </c>
      <c r="I3565" t="s">
        <v>85</v>
      </c>
      <c r="J3565">
        <v>34</v>
      </c>
      <c r="K3565" t="s">
        <v>81</v>
      </c>
      <c r="L3565" t="s">
        <v>92</v>
      </c>
      <c r="M3565" t="s">
        <v>59</v>
      </c>
      <c r="N3565" t="s">
        <v>2592</v>
      </c>
      <c r="O3565" t="s">
        <v>115</v>
      </c>
      <c r="P3565" t="s">
        <v>48</v>
      </c>
      <c r="Q3565" t="s">
        <v>137</v>
      </c>
      <c r="R3565">
        <v>2</v>
      </c>
      <c r="S3565">
        <v>12999</v>
      </c>
      <c r="T3565">
        <v>0.1</v>
      </c>
      <c r="U3565">
        <v>23398.2</v>
      </c>
      <c r="V3565">
        <v>18000</v>
      </c>
      <c r="W3565">
        <v>5398.2</v>
      </c>
      <c r="X3565" t="s">
        <v>73</v>
      </c>
      <c r="Y3565" t="s">
        <v>68</v>
      </c>
      <c r="Z3565" t="s">
        <v>159</v>
      </c>
      <c r="AA3565" t="s">
        <v>169</v>
      </c>
      <c r="AB3565">
        <v>4.0999999999999996</v>
      </c>
      <c r="AC3565">
        <v>120</v>
      </c>
      <c r="AD3565">
        <v>833.72</v>
      </c>
      <c r="AE3565">
        <f t="shared" si="110"/>
        <v>4444.4799999999996</v>
      </c>
      <c r="AF3565" t="str">
        <f t="shared" si="111"/>
        <v>2026-04</v>
      </c>
      <c r="AG3565">
        <f>SUBTOTAL(103,A3565)</f>
        <v>1</v>
      </c>
    </row>
    <row r="3566" spans="1:33" x14ac:dyDescent="0.3">
      <c r="A3566" t="s">
        <v>6189</v>
      </c>
      <c r="B3566" s="13">
        <v>46117</v>
      </c>
      <c r="C3566">
        <v>2026</v>
      </c>
      <c r="D3566">
        <v>4</v>
      </c>
      <c r="E3566" t="s">
        <v>3328</v>
      </c>
      <c r="F3566" t="s">
        <v>3329</v>
      </c>
      <c r="G3566" t="s">
        <v>2211</v>
      </c>
      <c r="H3566" t="s">
        <v>2212</v>
      </c>
      <c r="I3566" t="s">
        <v>85</v>
      </c>
      <c r="J3566">
        <v>51</v>
      </c>
      <c r="K3566" t="s">
        <v>83</v>
      </c>
      <c r="L3566" t="s">
        <v>2661</v>
      </c>
      <c r="M3566" t="s">
        <v>58</v>
      </c>
      <c r="N3566" t="s">
        <v>2630</v>
      </c>
      <c r="O3566" t="s">
        <v>123</v>
      </c>
      <c r="P3566" t="s">
        <v>52</v>
      </c>
      <c r="Q3566" t="s">
        <v>146</v>
      </c>
      <c r="R3566">
        <v>2</v>
      </c>
      <c r="S3566">
        <v>2499</v>
      </c>
      <c r="T3566">
        <v>0.1</v>
      </c>
      <c r="U3566">
        <v>4498.2</v>
      </c>
      <c r="V3566">
        <v>2800</v>
      </c>
      <c r="W3566">
        <v>1698.2</v>
      </c>
      <c r="X3566" t="s">
        <v>76</v>
      </c>
      <c r="Y3566" t="s">
        <v>68</v>
      </c>
      <c r="Z3566" t="s">
        <v>161</v>
      </c>
      <c r="AA3566" t="s">
        <v>171</v>
      </c>
      <c r="AB3566">
        <v>4.5999999999999996</v>
      </c>
      <c r="AC3566">
        <v>100</v>
      </c>
      <c r="AD3566">
        <v>231.82</v>
      </c>
      <c r="AE3566">
        <f t="shared" si="110"/>
        <v>1366.38</v>
      </c>
      <c r="AF3566" t="str">
        <f t="shared" si="111"/>
        <v>2026-04</v>
      </c>
      <c r="AG3566">
        <f>SUBTOTAL(103,A3566)</f>
        <v>1</v>
      </c>
    </row>
    <row r="3567" spans="1:33" x14ac:dyDescent="0.3">
      <c r="A3567" t="s">
        <v>6190</v>
      </c>
      <c r="B3567" s="13">
        <v>46117</v>
      </c>
      <c r="C3567">
        <v>2026</v>
      </c>
      <c r="D3567">
        <v>4</v>
      </c>
      <c r="E3567" t="s">
        <v>3328</v>
      </c>
      <c r="F3567" t="s">
        <v>3329</v>
      </c>
      <c r="G3567" t="s">
        <v>1843</v>
      </c>
      <c r="H3567" t="s">
        <v>1844</v>
      </c>
      <c r="I3567" t="s">
        <v>87</v>
      </c>
      <c r="J3567">
        <v>55</v>
      </c>
      <c r="K3567" t="s">
        <v>83</v>
      </c>
      <c r="L3567" t="s">
        <v>2610</v>
      </c>
      <c r="M3567" t="s">
        <v>64</v>
      </c>
      <c r="N3567" t="s">
        <v>2644</v>
      </c>
      <c r="O3567" t="s">
        <v>126</v>
      </c>
      <c r="P3567" t="s">
        <v>50</v>
      </c>
      <c r="Q3567" t="s">
        <v>145</v>
      </c>
      <c r="R3567">
        <v>2</v>
      </c>
      <c r="S3567">
        <v>1799</v>
      </c>
      <c r="T3567">
        <v>0</v>
      </c>
      <c r="U3567">
        <v>3598</v>
      </c>
      <c r="V3567">
        <v>1900</v>
      </c>
      <c r="W3567">
        <v>1698</v>
      </c>
      <c r="X3567" t="s">
        <v>73</v>
      </c>
      <c r="Y3567" t="s">
        <v>68</v>
      </c>
      <c r="Z3567" t="s">
        <v>159</v>
      </c>
      <c r="AA3567" t="s">
        <v>171</v>
      </c>
      <c r="AB3567">
        <v>4.5</v>
      </c>
      <c r="AC3567">
        <v>40</v>
      </c>
      <c r="AD3567">
        <v>94.41</v>
      </c>
      <c r="AE3567">
        <f t="shared" si="110"/>
        <v>1563.59</v>
      </c>
      <c r="AF3567" t="str">
        <f t="shared" si="111"/>
        <v>2026-04</v>
      </c>
      <c r="AG3567">
        <f>SUBTOTAL(103,A3567)</f>
        <v>1</v>
      </c>
    </row>
    <row r="3568" spans="1:33" x14ac:dyDescent="0.3">
      <c r="A3568" t="s">
        <v>6191</v>
      </c>
      <c r="B3568" s="13">
        <v>46117</v>
      </c>
      <c r="C3568">
        <v>2026</v>
      </c>
      <c r="D3568">
        <v>4</v>
      </c>
      <c r="E3568" t="s">
        <v>3328</v>
      </c>
      <c r="F3568" t="s">
        <v>3329</v>
      </c>
      <c r="G3568" t="s">
        <v>549</v>
      </c>
      <c r="H3568" t="s">
        <v>550</v>
      </c>
      <c r="I3568" t="s">
        <v>85</v>
      </c>
      <c r="J3568">
        <v>26</v>
      </c>
      <c r="K3568" t="s">
        <v>81</v>
      </c>
      <c r="L3568" t="s">
        <v>2589</v>
      </c>
      <c r="M3568" t="s">
        <v>61</v>
      </c>
      <c r="N3568" t="s">
        <v>2647</v>
      </c>
      <c r="O3568" t="s">
        <v>133</v>
      </c>
      <c r="P3568" t="s">
        <v>50</v>
      </c>
      <c r="Q3568" t="s">
        <v>145</v>
      </c>
      <c r="R3568">
        <v>2</v>
      </c>
      <c r="S3568">
        <v>799</v>
      </c>
      <c r="T3568">
        <v>0.15</v>
      </c>
      <c r="U3568">
        <v>1358.3</v>
      </c>
      <c r="V3568">
        <v>780</v>
      </c>
      <c r="W3568">
        <v>578.29999999999995</v>
      </c>
      <c r="X3568" t="s">
        <v>75</v>
      </c>
      <c r="Y3568" t="s">
        <v>68</v>
      </c>
      <c r="Z3568" t="s">
        <v>159</v>
      </c>
      <c r="AA3568" t="s">
        <v>171</v>
      </c>
      <c r="AB3568">
        <v>3.9</v>
      </c>
      <c r="AC3568">
        <v>80</v>
      </c>
      <c r="AD3568">
        <v>132.63</v>
      </c>
      <c r="AE3568">
        <f t="shared" si="110"/>
        <v>365.66999999999996</v>
      </c>
      <c r="AF3568" t="str">
        <f t="shared" si="111"/>
        <v>2026-04</v>
      </c>
      <c r="AG3568">
        <f>SUBTOTAL(103,A3568)</f>
        <v>1</v>
      </c>
    </row>
    <row r="3569" spans="1:33" x14ac:dyDescent="0.3">
      <c r="A3569" t="s">
        <v>6192</v>
      </c>
      <c r="B3569" s="13">
        <v>46117</v>
      </c>
      <c r="C3569">
        <v>2026</v>
      </c>
      <c r="D3569">
        <v>4</v>
      </c>
      <c r="E3569" t="s">
        <v>3328</v>
      </c>
      <c r="F3569" t="s">
        <v>3329</v>
      </c>
      <c r="G3569" t="s">
        <v>1273</v>
      </c>
      <c r="H3569" t="s">
        <v>1274</v>
      </c>
      <c r="I3569" t="s">
        <v>86</v>
      </c>
      <c r="J3569">
        <v>28</v>
      </c>
      <c r="K3569" t="s">
        <v>81</v>
      </c>
      <c r="L3569" t="s">
        <v>59</v>
      </c>
      <c r="M3569" t="s">
        <v>59</v>
      </c>
      <c r="N3569" t="s">
        <v>2592</v>
      </c>
      <c r="O3569" t="s">
        <v>115</v>
      </c>
      <c r="P3569" t="s">
        <v>48</v>
      </c>
      <c r="Q3569" t="s">
        <v>137</v>
      </c>
      <c r="R3569">
        <v>1</v>
      </c>
      <c r="S3569">
        <v>12999</v>
      </c>
      <c r="T3569">
        <v>0.05</v>
      </c>
      <c r="U3569">
        <v>12349.05</v>
      </c>
      <c r="V3569">
        <v>9000</v>
      </c>
      <c r="W3569">
        <v>3349.05</v>
      </c>
      <c r="X3569" t="s">
        <v>73</v>
      </c>
      <c r="Y3569" t="s">
        <v>68</v>
      </c>
      <c r="Z3569" t="s">
        <v>158</v>
      </c>
      <c r="AA3569" t="s">
        <v>166</v>
      </c>
      <c r="AB3569">
        <v>3.9</v>
      </c>
      <c r="AC3569">
        <v>80</v>
      </c>
      <c r="AD3569">
        <v>399.54</v>
      </c>
      <c r="AE3569">
        <f t="shared" si="110"/>
        <v>2869.51</v>
      </c>
      <c r="AF3569" t="str">
        <f t="shared" si="111"/>
        <v>2026-04</v>
      </c>
      <c r="AG3569">
        <f>SUBTOTAL(103,A3569)</f>
        <v>1</v>
      </c>
    </row>
    <row r="3570" spans="1:33" x14ac:dyDescent="0.3">
      <c r="A3570" t="s">
        <v>6193</v>
      </c>
      <c r="B3570" s="13">
        <v>46118</v>
      </c>
      <c r="C3570">
        <v>2026</v>
      </c>
      <c r="D3570">
        <v>4</v>
      </c>
      <c r="E3570" t="s">
        <v>3328</v>
      </c>
      <c r="F3570" t="s">
        <v>3329</v>
      </c>
      <c r="G3570" t="s">
        <v>375</v>
      </c>
      <c r="H3570" t="s">
        <v>376</v>
      </c>
      <c r="I3570" t="s">
        <v>85</v>
      </c>
      <c r="J3570">
        <v>37</v>
      </c>
      <c r="K3570" t="s">
        <v>82</v>
      </c>
      <c r="L3570" t="s">
        <v>2576</v>
      </c>
      <c r="M3570" t="s">
        <v>60</v>
      </c>
      <c r="N3570" t="s">
        <v>2665</v>
      </c>
      <c r="O3570" t="s">
        <v>128</v>
      </c>
      <c r="P3570" t="s">
        <v>53</v>
      </c>
      <c r="Q3570" t="s">
        <v>143</v>
      </c>
      <c r="R3570">
        <v>1</v>
      </c>
      <c r="S3570">
        <v>1499</v>
      </c>
      <c r="T3570">
        <v>0.2</v>
      </c>
      <c r="U3570">
        <v>1199.2</v>
      </c>
      <c r="V3570">
        <v>800</v>
      </c>
      <c r="W3570">
        <v>399.2</v>
      </c>
      <c r="X3570" t="s">
        <v>77</v>
      </c>
      <c r="Y3570" t="s">
        <v>68</v>
      </c>
      <c r="Z3570" t="s">
        <v>160</v>
      </c>
      <c r="AA3570" t="s">
        <v>169</v>
      </c>
      <c r="AB3570">
        <v>4.2</v>
      </c>
      <c r="AC3570">
        <v>50</v>
      </c>
      <c r="AD3570">
        <v>33</v>
      </c>
      <c r="AE3570">
        <f t="shared" si="110"/>
        <v>316.2</v>
      </c>
      <c r="AF3570" t="str">
        <f t="shared" si="111"/>
        <v>2026-04</v>
      </c>
      <c r="AG3570">
        <f>SUBTOTAL(103,A3570)</f>
        <v>1</v>
      </c>
    </row>
    <row r="3571" spans="1:33" x14ac:dyDescent="0.3">
      <c r="A3571" t="s">
        <v>6194</v>
      </c>
      <c r="B3571" s="13">
        <v>46118</v>
      </c>
      <c r="C3571">
        <v>2026</v>
      </c>
      <c r="D3571">
        <v>4</v>
      </c>
      <c r="E3571" t="s">
        <v>3328</v>
      </c>
      <c r="F3571" t="s">
        <v>3329</v>
      </c>
      <c r="G3571" t="s">
        <v>507</v>
      </c>
      <c r="H3571" t="s">
        <v>508</v>
      </c>
      <c r="I3571" t="s">
        <v>86</v>
      </c>
      <c r="J3571">
        <v>31</v>
      </c>
      <c r="K3571" t="s">
        <v>81</v>
      </c>
      <c r="L3571" t="s">
        <v>2576</v>
      </c>
      <c r="M3571" t="s">
        <v>60</v>
      </c>
      <c r="N3571" t="s">
        <v>2601</v>
      </c>
      <c r="O3571" t="s">
        <v>117</v>
      </c>
      <c r="P3571" t="s">
        <v>49</v>
      </c>
      <c r="Q3571" t="s">
        <v>139</v>
      </c>
      <c r="R3571">
        <v>3</v>
      </c>
      <c r="S3571">
        <v>6999</v>
      </c>
      <c r="T3571">
        <v>0.1</v>
      </c>
      <c r="U3571">
        <v>18897.3</v>
      </c>
      <c r="V3571">
        <v>12900</v>
      </c>
      <c r="W3571">
        <v>5997.3</v>
      </c>
      <c r="X3571" t="s">
        <v>74</v>
      </c>
      <c r="Y3571" t="s">
        <v>68</v>
      </c>
      <c r="Z3571" t="s">
        <v>159</v>
      </c>
      <c r="AA3571" t="s">
        <v>171</v>
      </c>
      <c r="AB3571">
        <v>3.5</v>
      </c>
      <c r="AC3571">
        <v>40</v>
      </c>
      <c r="AD3571">
        <v>1401.43</v>
      </c>
      <c r="AE3571">
        <f t="shared" si="110"/>
        <v>4555.87</v>
      </c>
      <c r="AF3571" t="str">
        <f t="shared" si="111"/>
        <v>2026-04</v>
      </c>
      <c r="AG3571">
        <f>SUBTOTAL(103,A3571)</f>
        <v>1</v>
      </c>
    </row>
    <row r="3572" spans="1:33" x14ac:dyDescent="0.3">
      <c r="A3572" t="s">
        <v>6195</v>
      </c>
      <c r="B3572" s="13">
        <v>46118</v>
      </c>
      <c r="C3572">
        <v>2026</v>
      </c>
      <c r="D3572">
        <v>4</v>
      </c>
      <c r="E3572" t="s">
        <v>3328</v>
      </c>
      <c r="F3572" t="s">
        <v>3329</v>
      </c>
      <c r="G3572" t="s">
        <v>2065</v>
      </c>
      <c r="H3572" t="s">
        <v>2066</v>
      </c>
      <c r="I3572" t="s">
        <v>86</v>
      </c>
      <c r="J3572">
        <v>24</v>
      </c>
      <c r="K3572" t="s">
        <v>80</v>
      </c>
      <c r="L3572" t="s">
        <v>2576</v>
      </c>
      <c r="M3572" t="s">
        <v>60</v>
      </c>
      <c r="N3572" t="s">
        <v>2644</v>
      </c>
      <c r="O3572" t="s">
        <v>126</v>
      </c>
      <c r="P3572" t="s">
        <v>50</v>
      </c>
      <c r="Q3572" t="s">
        <v>145</v>
      </c>
      <c r="R3572">
        <v>2</v>
      </c>
      <c r="S3572">
        <v>1799</v>
      </c>
      <c r="T3572">
        <v>0</v>
      </c>
      <c r="U3572">
        <v>3598</v>
      </c>
      <c r="V3572">
        <v>1900</v>
      </c>
      <c r="W3572">
        <v>1698</v>
      </c>
      <c r="X3572" t="s">
        <v>74</v>
      </c>
      <c r="Y3572" t="s">
        <v>68</v>
      </c>
      <c r="Z3572" t="s">
        <v>159</v>
      </c>
      <c r="AA3572" t="s">
        <v>171</v>
      </c>
      <c r="AB3572">
        <v>4</v>
      </c>
      <c r="AC3572">
        <v>80</v>
      </c>
      <c r="AD3572">
        <v>242.55</v>
      </c>
      <c r="AE3572">
        <f t="shared" si="110"/>
        <v>1375.45</v>
      </c>
      <c r="AF3572" t="str">
        <f t="shared" si="111"/>
        <v>2026-04</v>
      </c>
      <c r="AG3572">
        <f>SUBTOTAL(103,A3572)</f>
        <v>1</v>
      </c>
    </row>
    <row r="3573" spans="1:33" x14ac:dyDescent="0.3">
      <c r="A3573" t="s">
        <v>6196</v>
      </c>
      <c r="B3573" s="13">
        <v>46118</v>
      </c>
      <c r="C3573">
        <v>2026</v>
      </c>
      <c r="D3573">
        <v>4</v>
      </c>
      <c r="E3573" t="s">
        <v>3328</v>
      </c>
      <c r="F3573" t="s">
        <v>3329</v>
      </c>
      <c r="G3573" t="s">
        <v>2367</v>
      </c>
      <c r="H3573" t="s">
        <v>2368</v>
      </c>
      <c r="I3573" t="s">
        <v>85</v>
      </c>
      <c r="J3573">
        <v>49</v>
      </c>
      <c r="K3573" t="s">
        <v>83</v>
      </c>
      <c r="L3573" t="s">
        <v>99</v>
      </c>
      <c r="M3573" t="s">
        <v>58</v>
      </c>
      <c r="N3573" t="s">
        <v>2603</v>
      </c>
      <c r="O3573" t="s">
        <v>122</v>
      </c>
      <c r="P3573" t="s">
        <v>48</v>
      </c>
      <c r="Q3573" t="s">
        <v>141</v>
      </c>
      <c r="R3573">
        <v>1</v>
      </c>
      <c r="S3573">
        <v>2499</v>
      </c>
      <c r="T3573">
        <v>0.05</v>
      </c>
      <c r="U3573">
        <v>2374.0500000000002</v>
      </c>
      <c r="V3573">
        <v>1450</v>
      </c>
      <c r="W3573">
        <v>924.05</v>
      </c>
      <c r="X3573" t="s">
        <v>73</v>
      </c>
      <c r="Y3573" t="s">
        <v>68</v>
      </c>
      <c r="Z3573" t="s">
        <v>160</v>
      </c>
      <c r="AA3573" t="s">
        <v>166</v>
      </c>
      <c r="AB3573">
        <v>3.7</v>
      </c>
      <c r="AC3573">
        <v>80</v>
      </c>
      <c r="AD3573">
        <v>109.79</v>
      </c>
      <c r="AE3573">
        <f t="shared" si="110"/>
        <v>734.26</v>
      </c>
      <c r="AF3573" t="str">
        <f t="shared" si="111"/>
        <v>2026-04</v>
      </c>
      <c r="AG3573">
        <f>SUBTOTAL(103,A3573)</f>
        <v>1</v>
      </c>
    </row>
    <row r="3574" spans="1:33" x14ac:dyDescent="0.3">
      <c r="A3574" t="s">
        <v>6197</v>
      </c>
      <c r="B3574" s="13">
        <v>46118</v>
      </c>
      <c r="C3574">
        <v>2026</v>
      </c>
      <c r="D3574">
        <v>4</v>
      </c>
      <c r="E3574" t="s">
        <v>3328</v>
      </c>
      <c r="F3574" t="s">
        <v>3329</v>
      </c>
      <c r="G3574" t="s">
        <v>901</v>
      </c>
      <c r="H3574" t="s">
        <v>902</v>
      </c>
      <c r="I3574" t="s">
        <v>86</v>
      </c>
      <c r="J3574">
        <v>44</v>
      </c>
      <c r="K3574" t="s">
        <v>82</v>
      </c>
      <c r="L3574" t="s">
        <v>2687</v>
      </c>
      <c r="M3574" t="s">
        <v>57</v>
      </c>
      <c r="N3574" t="s">
        <v>2574</v>
      </c>
      <c r="O3574" t="s">
        <v>130</v>
      </c>
      <c r="P3574" t="s">
        <v>50</v>
      </c>
      <c r="Q3574" t="s">
        <v>53</v>
      </c>
      <c r="R3574">
        <v>1</v>
      </c>
      <c r="S3574">
        <v>1199</v>
      </c>
      <c r="T3574">
        <v>0.1</v>
      </c>
      <c r="U3574">
        <v>1079.0999999999999</v>
      </c>
      <c r="V3574">
        <v>550</v>
      </c>
      <c r="W3574">
        <v>529.1</v>
      </c>
      <c r="X3574" t="s">
        <v>73</v>
      </c>
      <c r="Y3574" t="s">
        <v>69</v>
      </c>
      <c r="Z3574" t="s">
        <v>163</v>
      </c>
      <c r="AA3574" t="s">
        <v>170</v>
      </c>
      <c r="AB3574">
        <v>2.7</v>
      </c>
      <c r="AC3574">
        <v>120</v>
      </c>
      <c r="AD3574">
        <v>100.23</v>
      </c>
      <c r="AE3574">
        <f t="shared" si="110"/>
        <v>308.87</v>
      </c>
      <c r="AF3574" t="str">
        <f t="shared" si="111"/>
        <v>2026-04</v>
      </c>
      <c r="AG3574">
        <f>SUBTOTAL(103,A3574)</f>
        <v>1</v>
      </c>
    </row>
    <row r="3575" spans="1:33" x14ac:dyDescent="0.3">
      <c r="A3575" t="s">
        <v>6198</v>
      </c>
      <c r="B3575" s="13">
        <v>46118</v>
      </c>
      <c r="C3575">
        <v>2026</v>
      </c>
      <c r="D3575">
        <v>4</v>
      </c>
      <c r="E3575" t="s">
        <v>3328</v>
      </c>
      <c r="F3575" t="s">
        <v>3329</v>
      </c>
      <c r="G3575" t="s">
        <v>573</v>
      </c>
      <c r="H3575" t="s">
        <v>574</v>
      </c>
      <c r="I3575" t="s">
        <v>85</v>
      </c>
      <c r="J3575">
        <v>57</v>
      </c>
      <c r="K3575" t="s">
        <v>83</v>
      </c>
      <c r="L3575" t="s">
        <v>2623</v>
      </c>
      <c r="M3575" t="s">
        <v>61</v>
      </c>
      <c r="N3575" t="s">
        <v>2580</v>
      </c>
      <c r="O3575" t="s">
        <v>118</v>
      </c>
      <c r="P3575" t="s">
        <v>48</v>
      </c>
      <c r="Q3575" t="s">
        <v>142</v>
      </c>
      <c r="R3575">
        <v>2</v>
      </c>
      <c r="S3575">
        <v>3999</v>
      </c>
      <c r="T3575">
        <v>0.15</v>
      </c>
      <c r="U3575">
        <v>6798.3</v>
      </c>
      <c r="V3575">
        <v>4800</v>
      </c>
      <c r="W3575">
        <v>1998.3</v>
      </c>
      <c r="X3575" t="s">
        <v>73</v>
      </c>
      <c r="Y3575" t="s">
        <v>68</v>
      </c>
      <c r="Z3575" t="s">
        <v>160</v>
      </c>
      <c r="AA3575" t="s">
        <v>167</v>
      </c>
      <c r="AB3575">
        <v>4</v>
      </c>
      <c r="AC3575">
        <v>80</v>
      </c>
      <c r="AD3575">
        <v>811.79</v>
      </c>
      <c r="AE3575">
        <f t="shared" si="110"/>
        <v>1106.51</v>
      </c>
      <c r="AF3575" t="str">
        <f t="shared" si="111"/>
        <v>2026-04</v>
      </c>
      <c r="AG3575">
        <f>SUBTOTAL(103,A3575)</f>
        <v>1</v>
      </c>
    </row>
    <row r="3576" spans="1:33" x14ac:dyDescent="0.3">
      <c r="A3576" t="s">
        <v>6199</v>
      </c>
      <c r="B3576" s="13">
        <v>46118</v>
      </c>
      <c r="C3576">
        <v>2026</v>
      </c>
      <c r="D3576">
        <v>4</v>
      </c>
      <c r="E3576" t="s">
        <v>3328</v>
      </c>
      <c r="F3576" t="s">
        <v>3329</v>
      </c>
      <c r="G3576" t="s">
        <v>747</v>
      </c>
      <c r="H3576" t="s">
        <v>748</v>
      </c>
      <c r="I3576" t="s">
        <v>86</v>
      </c>
      <c r="J3576">
        <v>31</v>
      </c>
      <c r="K3576" t="s">
        <v>81</v>
      </c>
      <c r="L3576" t="s">
        <v>2634</v>
      </c>
      <c r="M3576" t="s">
        <v>56</v>
      </c>
      <c r="N3576" t="s">
        <v>2584</v>
      </c>
      <c r="O3576" t="s">
        <v>121</v>
      </c>
      <c r="P3576" t="s">
        <v>50</v>
      </c>
      <c r="Q3576" t="s">
        <v>144</v>
      </c>
      <c r="R3576">
        <v>4</v>
      </c>
      <c r="S3576">
        <v>2999</v>
      </c>
      <c r="T3576">
        <v>0.05</v>
      </c>
      <c r="U3576">
        <v>11396.2</v>
      </c>
      <c r="V3576">
        <v>6800</v>
      </c>
      <c r="W3576">
        <v>4596.2</v>
      </c>
      <c r="X3576" t="s">
        <v>73</v>
      </c>
      <c r="Y3576" t="s">
        <v>68</v>
      </c>
      <c r="Z3576" t="s">
        <v>163</v>
      </c>
      <c r="AA3576" t="s">
        <v>169</v>
      </c>
      <c r="AB3576">
        <v>4.5999999999999996</v>
      </c>
      <c r="AC3576">
        <v>80</v>
      </c>
      <c r="AD3576">
        <v>628.58000000000004</v>
      </c>
      <c r="AE3576">
        <f t="shared" si="110"/>
        <v>3887.62</v>
      </c>
      <c r="AF3576" t="str">
        <f t="shared" si="111"/>
        <v>2026-04</v>
      </c>
      <c r="AG3576">
        <f>SUBTOTAL(103,A3576)</f>
        <v>1</v>
      </c>
    </row>
    <row r="3577" spans="1:33" x14ac:dyDescent="0.3">
      <c r="A3577" t="s">
        <v>6200</v>
      </c>
      <c r="B3577" s="13">
        <v>46118</v>
      </c>
      <c r="C3577">
        <v>2026</v>
      </c>
      <c r="D3577">
        <v>4</v>
      </c>
      <c r="E3577" t="s">
        <v>3328</v>
      </c>
      <c r="F3577" t="s">
        <v>3329</v>
      </c>
      <c r="G3577" t="s">
        <v>1491</v>
      </c>
      <c r="H3577" t="s">
        <v>1492</v>
      </c>
      <c r="I3577" t="s">
        <v>85</v>
      </c>
      <c r="J3577">
        <v>49</v>
      </c>
      <c r="K3577" t="s">
        <v>83</v>
      </c>
      <c r="L3577" t="s">
        <v>92</v>
      </c>
      <c r="M3577" t="s">
        <v>59</v>
      </c>
      <c r="N3577" t="s">
        <v>2582</v>
      </c>
      <c r="O3577" t="s">
        <v>119</v>
      </c>
      <c r="P3577" t="s">
        <v>49</v>
      </c>
      <c r="Q3577" t="s">
        <v>140</v>
      </c>
      <c r="R3577">
        <v>2</v>
      </c>
      <c r="S3577">
        <v>3499</v>
      </c>
      <c r="T3577">
        <v>0</v>
      </c>
      <c r="U3577">
        <v>6998</v>
      </c>
      <c r="V3577">
        <v>4200</v>
      </c>
      <c r="W3577">
        <v>2798</v>
      </c>
      <c r="X3577" t="s">
        <v>73</v>
      </c>
      <c r="Y3577" t="s">
        <v>68</v>
      </c>
      <c r="Z3577" t="s">
        <v>158</v>
      </c>
      <c r="AA3577" t="s">
        <v>170</v>
      </c>
      <c r="AB3577">
        <v>4.5999999999999996</v>
      </c>
      <c r="AC3577">
        <v>120</v>
      </c>
      <c r="AD3577">
        <v>618.67999999999995</v>
      </c>
      <c r="AE3577">
        <f t="shared" si="110"/>
        <v>2059.3200000000002</v>
      </c>
      <c r="AF3577" t="str">
        <f t="shared" si="111"/>
        <v>2026-04</v>
      </c>
      <c r="AG3577">
        <f>SUBTOTAL(103,A3577)</f>
        <v>1</v>
      </c>
    </row>
    <row r="3578" spans="1:33" x14ac:dyDescent="0.3">
      <c r="A3578" t="s">
        <v>6201</v>
      </c>
      <c r="B3578" s="13">
        <v>46119</v>
      </c>
      <c r="C3578">
        <v>2026</v>
      </c>
      <c r="D3578">
        <v>4</v>
      </c>
      <c r="E3578" t="s">
        <v>3328</v>
      </c>
      <c r="F3578" t="s">
        <v>3329</v>
      </c>
      <c r="G3578" t="s">
        <v>1485</v>
      </c>
      <c r="H3578" t="s">
        <v>1486</v>
      </c>
      <c r="I3578" t="s">
        <v>85</v>
      </c>
      <c r="J3578">
        <v>38</v>
      </c>
      <c r="K3578" t="s">
        <v>82</v>
      </c>
      <c r="L3578" t="s">
        <v>2610</v>
      </c>
      <c r="M3578" t="s">
        <v>64</v>
      </c>
      <c r="N3578" t="s">
        <v>2574</v>
      </c>
      <c r="O3578" t="s">
        <v>130</v>
      </c>
      <c r="P3578" t="s">
        <v>50</v>
      </c>
      <c r="Q3578" t="s">
        <v>53</v>
      </c>
      <c r="R3578">
        <v>5</v>
      </c>
      <c r="S3578">
        <v>1199</v>
      </c>
      <c r="T3578">
        <v>0.1</v>
      </c>
      <c r="U3578">
        <v>5395.5</v>
      </c>
      <c r="V3578">
        <v>2750</v>
      </c>
      <c r="W3578">
        <v>2645.5</v>
      </c>
      <c r="X3578" t="s">
        <v>73</v>
      </c>
      <c r="Y3578" t="s">
        <v>68</v>
      </c>
      <c r="Z3578" t="s">
        <v>158</v>
      </c>
      <c r="AA3578" t="s">
        <v>170</v>
      </c>
      <c r="AB3578">
        <v>4.0999999999999996</v>
      </c>
      <c r="AC3578">
        <v>50</v>
      </c>
      <c r="AD3578">
        <v>282.23</v>
      </c>
      <c r="AE3578">
        <f t="shared" si="110"/>
        <v>2313.27</v>
      </c>
      <c r="AF3578" t="str">
        <f t="shared" si="111"/>
        <v>2026-04</v>
      </c>
      <c r="AG3578">
        <f>SUBTOTAL(103,A3578)</f>
        <v>1</v>
      </c>
    </row>
    <row r="3579" spans="1:33" x14ac:dyDescent="0.3">
      <c r="A3579" t="s">
        <v>6202</v>
      </c>
      <c r="B3579" s="13">
        <v>46119</v>
      </c>
      <c r="C3579">
        <v>2026</v>
      </c>
      <c r="D3579">
        <v>4</v>
      </c>
      <c r="E3579" t="s">
        <v>3328</v>
      </c>
      <c r="F3579" t="s">
        <v>3329</v>
      </c>
      <c r="G3579" t="s">
        <v>1007</v>
      </c>
      <c r="H3579" t="s">
        <v>1008</v>
      </c>
      <c r="I3579" t="s">
        <v>86</v>
      </c>
      <c r="J3579">
        <v>50</v>
      </c>
      <c r="K3579" t="s">
        <v>83</v>
      </c>
      <c r="L3579" t="s">
        <v>90</v>
      </c>
      <c r="M3579" t="s">
        <v>55</v>
      </c>
      <c r="N3579" t="s">
        <v>2603</v>
      </c>
      <c r="O3579" t="s">
        <v>122</v>
      </c>
      <c r="P3579" t="s">
        <v>48</v>
      </c>
      <c r="Q3579" t="s">
        <v>141</v>
      </c>
      <c r="R3579">
        <v>3</v>
      </c>
      <c r="S3579">
        <v>2499</v>
      </c>
      <c r="T3579">
        <v>0.2</v>
      </c>
      <c r="U3579">
        <v>5997.6</v>
      </c>
      <c r="V3579">
        <v>4350</v>
      </c>
      <c r="W3579">
        <v>1647.6</v>
      </c>
      <c r="X3579" t="s">
        <v>76</v>
      </c>
      <c r="Y3579" t="s">
        <v>68</v>
      </c>
      <c r="Z3579" t="s">
        <v>158</v>
      </c>
      <c r="AA3579" t="s">
        <v>166</v>
      </c>
      <c r="AB3579">
        <v>4.3</v>
      </c>
      <c r="AC3579">
        <v>80</v>
      </c>
      <c r="AD3579">
        <v>151.97999999999999</v>
      </c>
      <c r="AE3579">
        <f t="shared" si="110"/>
        <v>1415.62</v>
      </c>
      <c r="AF3579" t="str">
        <f t="shared" si="111"/>
        <v>2026-04</v>
      </c>
      <c r="AG3579">
        <f>SUBTOTAL(103,A3579)</f>
        <v>1</v>
      </c>
    </row>
    <row r="3580" spans="1:33" x14ac:dyDescent="0.3">
      <c r="A3580" t="s">
        <v>6203</v>
      </c>
      <c r="B3580" s="13">
        <v>46119</v>
      </c>
      <c r="C3580">
        <v>2026</v>
      </c>
      <c r="D3580">
        <v>4</v>
      </c>
      <c r="E3580" t="s">
        <v>3328</v>
      </c>
      <c r="F3580" t="s">
        <v>3329</v>
      </c>
      <c r="G3580" t="s">
        <v>1127</v>
      </c>
      <c r="H3580" t="s">
        <v>1128</v>
      </c>
      <c r="I3580" t="s">
        <v>85</v>
      </c>
      <c r="J3580">
        <v>25</v>
      </c>
      <c r="K3580" t="s">
        <v>80</v>
      </c>
      <c r="L3580" t="s">
        <v>94</v>
      </c>
      <c r="M3580" t="s">
        <v>57</v>
      </c>
      <c r="N3580" t="s">
        <v>2644</v>
      </c>
      <c r="O3580" t="s">
        <v>126</v>
      </c>
      <c r="P3580" t="s">
        <v>50</v>
      </c>
      <c r="Q3580" t="s">
        <v>145</v>
      </c>
      <c r="R3580">
        <v>5</v>
      </c>
      <c r="S3580">
        <v>1799</v>
      </c>
      <c r="T3580">
        <v>0.1</v>
      </c>
      <c r="U3580">
        <v>8095.5</v>
      </c>
      <c r="V3580">
        <v>4750</v>
      </c>
      <c r="W3580">
        <v>3345.5</v>
      </c>
      <c r="X3580" t="s">
        <v>75</v>
      </c>
      <c r="Y3580" t="s">
        <v>68</v>
      </c>
      <c r="Z3580" t="s">
        <v>163</v>
      </c>
      <c r="AA3580" t="s">
        <v>167</v>
      </c>
      <c r="AB3580">
        <v>3.4</v>
      </c>
      <c r="AC3580">
        <v>80</v>
      </c>
      <c r="AD3580">
        <v>790.09</v>
      </c>
      <c r="AE3580">
        <f t="shared" si="110"/>
        <v>2475.41</v>
      </c>
      <c r="AF3580" t="str">
        <f t="shared" si="111"/>
        <v>2026-04</v>
      </c>
      <c r="AG3580">
        <f>SUBTOTAL(103,A3580)</f>
        <v>1</v>
      </c>
    </row>
    <row r="3581" spans="1:33" x14ac:dyDescent="0.3">
      <c r="A3581" t="s">
        <v>6204</v>
      </c>
      <c r="B3581" s="13">
        <v>46119</v>
      </c>
      <c r="C3581">
        <v>2026</v>
      </c>
      <c r="D3581">
        <v>4</v>
      </c>
      <c r="E3581" t="s">
        <v>3328</v>
      </c>
      <c r="F3581" t="s">
        <v>3329</v>
      </c>
      <c r="G3581" t="s">
        <v>201</v>
      </c>
      <c r="H3581" t="s">
        <v>202</v>
      </c>
      <c r="I3581" t="s">
        <v>86</v>
      </c>
      <c r="J3581">
        <v>47</v>
      </c>
      <c r="K3581" t="s">
        <v>83</v>
      </c>
      <c r="L3581" t="s">
        <v>100</v>
      </c>
      <c r="M3581" t="s">
        <v>56</v>
      </c>
      <c r="N3581" t="s">
        <v>2596</v>
      </c>
      <c r="O3581" t="s">
        <v>124</v>
      </c>
      <c r="P3581" t="s">
        <v>51</v>
      </c>
      <c r="Q3581" t="s">
        <v>147</v>
      </c>
      <c r="R3581">
        <v>1</v>
      </c>
      <c r="S3581">
        <v>2299</v>
      </c>
      <c r="T3581">
        <v>0.1</v>
      </c>
      <c r="U3581">
        <v>2069.1</v>
      </c>
      <c r="V3581">
        <v>1200</v>
      </c>
      <c r="W3581">
        <v>869.1</v>
      </c>
      <c r="X3581" t="s">
        <v>74</v>
      </c>
      <c r="Y3581" t="s">
        <v>68</v>
      </c>
      <c r="Z3581" t="s">
        <v>162</v>
      </c>
      <c r="AA3581" t="s">
        <v>166</v>
      </c>
      <c r="AB3581">
        <v>3.6</v>
      </c>
      <c r="AC3581">
        <v>40</v>
      </c>
      <c r="AD3581">
        <v>100.16</v>
      </c>
      <c r="AE3581">
        <f t="shared" si="110"/>
        <v>728.94</v>
      </c>
      <c r="AF3581" t="str">
        <f t="shared" si="111"/>
        <v>2026-04</v>
      </c>
      <c r="AG3581">
        <f>SUBTOTAL(103,A3581)</f>
        <v>1</v>
      </c>
    </row>
    <row r="3582" spans="1:33" x14ac:dyDescent="0.3">
      <c r="A3582" t="s">
        <v>6205</v>
      </c>
      <c r="B3582" s="13">
        <v>46119</v>
      </c>
      <c r="C3582">
        <v>2026</v>
      </c>
      <c r="D3582">
        <v>4</v>
      </c>
      <c r="E3582" t="s">
        <v>3328</v>
      </c>
      <c r="F3582" t="s">
        <v>3329</v>
      </c>
      <c r="G3582" t="s">
        <v>529</v>
      </c>
      <c r="H3582" t="s">
        <v>530</v>
      </c>
      <c r="I3582" t="s">
        <v>85</v>
      </c>
      <c r="J3582">
        <v>33</v>
      </c>
      <c r="K3582" t="s">
        <v>81</v>
      </c>
      <c r="L3582" t="s">
        <v>94</v>
      </c>
      <c r="M3582" t="s">
        <v>57</v>
      </c>
      <c r="N3582" t="s">
        <v>2590</v>
      </c>
      <c r="O3582" t="s">
        <v>127</v>
      </c>
      <c r="P3582" t="s">
        <v>51</v>
      </c>
      <c r="Q3582" t="s">
        <v>148</v>
      </c>
      <c r="R3582">
        <v>1</v>
      </c>
      <c r="S3582">
        <v>1599</v>
      </c>
      <c r="T3582">
        <v>0.2</v>
      </c>
      <c r="U3582">
        <v>1279.2</v>
      </c>
      <c r="V3582">
        <v>800</v>
      </c>
      <c r="W3582">
        <v>479.2</v>
      </c>
      <c r="X3582" t="s">
        <v>73</v>
      </c>
      <c r="Y3582" t="s">
        <v>68</v>
      </c>
      <c r="Z3582" t="s">
        <v>159</v>
      </c>
      <c r="AA3582" t="s">
        <v>167</v>
      </c>
      <c r="AB3582">
        <v>3.9</v>
      </c>
      <c r="AC3582">
        <v>50</v>
      </c>
      <c r="AD3582">
        <v>62.68</v>
      </c>
      <c r="AE3582">
        <f t="shared" si="110"/>
        <v>366.52</v>
      </c>
      <c r="AF3582" t="str">
        <f t="shared" si="111"/>
        <v>2026-04</v>
      </c>
      <c r="AG3582">
        <f>SUBTOTAL(103,A3582)</f>
        <v>1</v>
      </c>
    </row>
    <row r="3583" spans="1:33" x14ac:dyDescent="0.3">
      <c r="A3583" t="s">
        <v>6206</v>
      </c>
      <c r="B3583" s="13">
        <v>46119</v>
      </c>
      <c r="C3583">
        <v>2026</v>
      </c>
      <c r="D3583">
        <v>4</v>
      </c>
      <c r="E3583" t="s">
        <v>3328</v>
      </c>
      <c r="F3583" t="s">
        <v>3329</v>
      </c>
      <c r="G3583" t="s">
        <v>861</v>
      </c>
      <c r="H3583" t="s">
        <v>862</v>
      </c>
      <c r="I3583" t="s">
        <v>85</v>
      </c>
      <c r="J3583">
        <v>39</v>
      </c>
      <c r="K3583" t="s">
        <v>82</v>
      </c>
      <c r="L3583" t="s">
        <v>59</v>
      </c>
      <c r="M3583" t="s">
        <v>59</v>
      </c>
      <c r="N3583" t="s">
        <v>2601</v>
      </c>
      <c r="O3583" t="s">
        <v>117</v>
      </c>
      <c r="P3583" t="s">
        <v>49</v>
      </c>
      <c r="Q3583" t="s">
        <v>139</v>
      </c>
      <c r="R3583">
        <v>5</v>
      </c>
      <c r="S3583">
        <v>6999</v>
      </c>
      <c r="T3583">
        <v>0.1</v>
      </c>
      <c r="U3583">
        <v>31495.5</v>
      </c>
      <c r="V3583">
        <v>21500</v>
      </c>
      <c r="W3583">
        <v>9995.5</v>
      </c>
      <c r="X3583" t="s">
        <v>73</v>
      </c>
      <c r="Y3583" t="s">
        <v>68</v>
      </c>
      <c r="Z3583" t="s">
        <v>158</v>
      </c>
      <c r="AA3583" t="s">
        <v>169</v>
      </c>
      <c r="AB3583">
        <v>2.6</v>
      </c>
      <c r="AC3583">
        <v>80</v>
      </c>
      <c r="AD3583">
        <v>2652.48</v>
      </c>
      <c r="AE3583">
        <f t="shared" si="110"/>
        <v>7263.02</v>
      </c>
      <c r="AF3583" t="str">
        <f t="shared" si="111"/>
        <v>2026-04</v>
      </c>
      <c r="AG3583">
        <f>SUBTOTAL(103,A3583)</f>
        <v>1</v>
      </c>
    </row>
    <row r="3584" spans="1:33" x14ac:dyDescent="0.3">
      <c r="A3584" t="s">
        <v>6207</v>
      </c>
      <c r="B3584" s="13">
        <v>46120</v>
      </c>
      <c r="C3584">
        <v>2026</v>
      </c>
      <c r="D3584">
        <v>4</v>
      </c>
      <c r="E3584" t="s">
        <v>3328</v>
      </c>
      <c r="F3584" t="s">
        <v>3329</v>
      </c>
      <c r="G3584" t="s">
        <v>503</v>
      </c>
      <c r="H3584" t="s">
        <v>504</v>
      </c>
      <c r="I3584" t="s">
        <v>86</v>
      </c>
      <c r="J3584">
        <v>42</v>
      </c>
      <c r="K3584" t="s">
        <v>82</v>
      </c>
      <c r="L3584" t="s">
        <v>92</v>
      </c>
      <c r="M3584" t="s">
        <v>59</v>
      </c>
      <c r="N3584" t="s">
        <v>2603</v>
      </c>
      <c r="O3584" t="s">
        <v>122</v>
      </c>
      <c r="P3584" t="s">
        <v>48</v>
      </c>
      <c r="Q3584" t="s">
        <v>141</v>
      </c>
      <c r="R3584">
        <v>2</v>
      </c>
      <c r="S3584">
        <v>2499</v>
      </c>
      <c r="T3584">
        <v>0.1</v>
      </c>
      <c r="U3584">
        <v>4498.2</v>
      </c>
      <c r="V3584">
        <v>2900</v>
      </c>
      <c r="W3584">
        <v>1598.2</v>
      </c>
      <c r="X3584" t="s">
        <v>73</v>
      </c>
      <c r="Y3584" t="s">
        <v>68</v>
      </c>
      <c r="Z3584" t="s">
        <v>163</v>
      </c>
      <c r="AA3584" t="s">
        <v>170</v>
      </c>
      <c r="AB3584">
        <v>3.6</v>
      </c>
      <c r="AC3584">
        <v>120</v>
      </c>
      <c r="AD3584">
        <v>277.45</v>
      </c>
      <c r="AE3584">
        <f t="shared" si="110"/>
        <v>1200.75</v>
      </c>
      <c r="AF3584" t="str">
        <f t="shared" si="111"/>
        <v>2026-04</v>
      </c>
      <c r="AG3584">
        <f>SUBTOTAL(103,A3584)</f>
        <v>1</v>
      </c>
    </row>
    <row r="3585" spans="1:33" x14ac:dyDescent="0.3">
      <c r="A3585" t="s">
        <v>6208</v>
      </c>
      <c r="B3585" s="13">
        <v>46120</v>
      </c>
      <c r="C3585">
        <v>2026</v>
      </c>
      <c r="D3585">
        <v>4</v>
      </c>
      <c r="E3585" t="s">
        <v>3328</v>
      </c>
      <c r="F3585" t="s">
        <v>3329</v>
      </c>
      <c r="G3585" t="s">
        <v>357</v>
      </c>
      <c r="H3585" t="s">
        <v>358</v>
      </c>
      <c r="I3585" t="s">
        <v>85</v>
      </c>
      <c r="J3585">
        <v>34</v>
      </c>
      <c r="K3585" t="s">
        <v>81</v>
      </c>
      <c r="L3585" t="s">
        <v>92</v>
      </c>
      <c r="M3585" t="s">
        <v>59</v>
      </c>
      <c r="N3585" t="s">
        <v>2647</v>
      </c>
      <c r="O3585" t="s">
        <v>133</v>
      </c>
      <c r="P3585" t="s">
        <v>50</v>
      </c>
      <c r="Q3585" t="s">
        <v>145</v>
      </c>
      <c r="R3585">
        <v>1</v>
      </c>
      <c r="S3585">
        <v>799</v>
      </c>
      <c r="T3585">
        <v>0.05</v>
      </c>
      <c r="U3585">
        <v>759.05</v>
      </c>
      <c r="V3585">
        <v>390</v>
      </c>
      <c r="W3585">
        <v>369.05</v>
      </c>
      <c r="X3585" t="s">
        <v>75</v>
      </c>
      <c r="Y3585" t="s">
        <v>68</v>
      </c>
      <c r="Z3585" t="s">
        <v>158</v>
      </c>
      <c r="AA3585" t="s">
        <v>169</v>
      </c>
      <c r="AB3585">
        <v>4.0999999999999996</v>
      </c>
      <c r="AC3585">
        <v>50</v>
      </c>
      <c r="AD3585">
        <v>41.65</v>
      </c>
      <c r="AE3585">
        <f t="shared" si="110"/>
        <v>277.40000000000003</v>
      </c>
      <c r="AF3585" t="str">
        <f t="shared" si="111"/>
        <v>2026-04</v>
      </c>
      <c r="AG3585">
        <f>SUBTOTAL(103,A3585)</f>
        <v>1</v>
      </c>
    </row>
    <row r="3586" spans="1:33" x14ac:dyDescent="0.3">
      <c r="A3586" t="s">
        <v>6209</v>
      </c>
      <c r="B3586" s="13">
        <v>46120</v>
      </c>
      <c r="C3586">
        <v>2026</v>
      </c>
      <c r="D3586">
        <v>4</v>
      </c>
      <c r="E3586" t="s">
        <v>3328</v>
      </c>
      <c r="F3586" t="s">
        <v>3329</v>
      </c>
      <c r="G3586" t="s">
        <v>693</v>
      </c>
      <c r="H3586" t="s">
        <v>694</v>
      </c>
      <c r="I3586" t="s">
        <v>86</v>
      </c>
      <c r="J3586">
        <v>36</v>
      </c>
      <c r="K3586" t="s">
        <v>82</v>
      </c>
      <c r="L3586" t="s">
        <v>2586</v>
      </c>
      <c r="M3586" t="s">
        <v>62</v>
      </c>
      <c r="N3586" t="s">
        <v>2603</v>
      </c>
      <c r="O3586" t="s">
        <v>122</v>
      </c>
      <c r="P3586" t="s">
        <v>48</v>
      </c>
      <c r="Q3586" t="s">
        <v>141</v>
      </c>
      <c r="R3586">
        <v>1</v>
      </c>
      <c r="S3586">
        <v>2499</v>
      </c>
      <c r="T3586">
        <v>0.05</v>
      </c>
      <c r="U3586">
        <v>2374.0500000000002</v>
      </c>
      <c r="V3586">
        <v>1450</v>
      </c>
      <c r="W3586">
        <v>924.05</v>
      </c>
      <c r="X3586" t="s">
        <v>74</v>
      </c>
      <c r="Y3586" t="s">
        <v>68</v>
      </c>
      <c r="Z3586" t="s">
        <v>159</v>
      </c>
      <c r="AA3586" t="s">
        <v>169</v>
      </c>
      <c r="AB3586">
        <v>3.3</v>
      </c>
      <c r="AC3586">
        <v>60</v>
      </c>
      <c r="AD3586">
        <v>226.45</v>
      </c>
      <c r="AE3586">
        <f t="shared" ref="AE3586:AE3649" si="112">W3586-AC3586-AD3586</f>
        <v>637.59999999999991</v>
      </c>
      <c r="AF3586" t="str">
        <f t="shared" ref="AF3586:AF3649" si="113">C3586&amp;"-"&amp;TEXT(D3586,"00")</f>
        <v>2026-04</v>
      </c>
      <c r="AG3586">
        <f>SUBTOTAL(103,A3586)</f>
        <v>1</v>
      </c>
    </row>
    <row r="3587" spans="1:33" x14ac:dyDescent="0.3">
      <c r="A3587" t="s">
        <v>6210</v>
      </c>
      <c r="B3587" s="13">
        <v>46120</v>
      </c>
      <c r="C3587">
        <v>2026</v>
      </c>
      <c r="D3587">
        <v>4</v>
      </c>
      <c r="E3587" t="s">
        <v>3328</v>
      </c>
      <c r="F3587" t="s">
        <v>3329</v>
      </c>
      <c r="G3587" t="s">
        <v>1799</v>
      </c>
      <c r="H3587" t="s">
        <v>1800</v>
      </c>
      <c r="I3587" t="s">
        <v>85</v>
      </c>
      <c r="J3587">
        <v>25</v>
      </c>
      <c r="K3587" t="s">
        <v>80</v>
      </c>
      <c r="L3587" t="s">
        <v>99</v>
      </c>
      <c r="M3587" t="s">
        <v>58</v>
      </c>
      <c r="N3587" t="s">
        <v>2657</v>
      </c>
      <c r="O3587" t="s">
        <v>134</v>
      </c>
      <c r="P3587" t="s">
        <v>49</v>
      </c>
      <c r="Q3587" t="s">
        <v>140</v>
      </c>
      <c r="R3587">
        <v>3</v>
      </c>
      <c r="S3587">
        <v>599</v>
      </c>
      <c r="T3587">
        <v>0.1</v>
      </c>
      <c r="U3587">
        <v>1617.3</v>
      </c>
      <c r="V3587">
        <v>750</v>
      </c>
      <c r="W3587">
        <v>867.3</v>
      </c>
      <c r="X3587" t="s">
        <v>75</v>
      </c>
      <c r="Y3587" t="s">
        <v>68</v>
      </c>
      <c r="Z3587" t="s">
        <v>161</v>
      </c>
      <c r="AA3587" t="s">
        <v>166</v>
      </c>
      <c r="AB3587">
        <v>3.6</v>
      </c>
      <c r="AC3587">
        <v>40</v>
      </c>
      <c r="AD3587">
        <v>144.54</v>
      </c>
      <c r="AE3587">
        <f t="shared" si="112"/>
        <v>682.76</v>
      </c>
      <c r="AF3587" t="str">
        <f t="shared" si="113"/>
        <v>2026-04</v>
      </c>
      <c r="AG3587">
        <f>SUBTOTAL(103,A3587)</f>
        <v>1</v>
      </c>
    </row>
    <row r="3588" spans="1:33" x14ac:dyDescent="0.3">
      <c r="A3588" t="s">
        <v>6211</v>
      </c>
      <c r="B3588" s="13">
        <v>46120</v>
      </c>
      <c r="C3588">
        <v>2026</v>
      </c>
      <c r="D3588">
        <v>4</v>
      </c>
      <c r="E3588" t="s">
        <v>3328</v>
      </c>
      <c r="F3588" t="s">
        <v>3329</v>
      </c>
      <c r="G3588" t="s">
        <v>1101</v>
      </c>
      <c r="H3588" t="s">
        <v>1102</v>
      </c>
      <c r="I3588" t="s">
        <v>85</v>
      </c>
      <c r="J3588">
        <v>55</v>
      </c>
      <c r="K3588" t="s">
        <v>83</v>
      </c>
      <c r="L3588" t="s">
        <v>2579</v>
      </c>
      <c r="M3588" t="s">
        <v>56</v>
      </c>
      <c r="N3588" t="s">
        <v>2590</v>
      </c>
      <c r="O3588" t="s">
        <v>127</v>
      </c>
      <c r="P3588" t="s">
        <v>51</v>
      </c>
      <c r="Q3588" t="s">
        <v>148</v>
      </c>
      <c r="R3588">
        <v>4</v>
      </c>
      <c r="S3588">
        <v>1599</v>
      </c>
      <c r="T3588">
        <v>0.15</v>
      </c>
      <c r="U3588">
        <v>5436.6</v>
      </c>
      <c r="V3588">
        <v>3200</v>
      </c>
      <c r="W3588">
        <v>2236.6</v>
      </c>
      <c r="X3588" t="s">
        <v>75</v>
      </c>
      <c r="Y3588" t="s">
        <v>70</v>
      </c>
      <c r="Z3588" t="s">
        <v>159</v>
      </c>
      <c r="AA3588" t="s">
        <v>167</v>
      </c>
      <c r="AB3588">
        <v>4.7</v>
      </c>
      <c r="AC3588">
        <v>80</v>
      </c>
      <c r="AD3588">
        <v>182.56</v>
      </c>
      <c r="AE3588">
        <f t="shared" si="112"/>
        <v>1974.04</v>
      </c>
      <c r="AF3588" t="str">
        <f t="shared" si="113"/>
        <v>2026-04</v>
      </c>
      <c r="AG3588">
        <f>SUBTOTAL(103,A3588)</f>
        <v>1</v>
      </c>
    </row>
    <row r="3589" spans="1:33" x14ac:dyDescent="0.3">
      <c r="A3589" t="s">
        <v>6212</v>
      </c>
      <c r="B3589" s="13">
        <v>46120</v>
      </c>
      <c r="C3589">
        <v>2026</v>
      </c>
      <c r="D3589">
        <v>4</v>
      </c>
      <c r="E3589" t="s">
        <v>3328</v>
      </c>
      <c r="F3589" t="s">
        <v>3329</v>
      </c>
      <c r="G3589" t="s">
        <v>1325</v>
      </c>
      <c r="H3589" t="s">
        <v>1326</v>
      </c>
      <c r="I3589" t="s">
        <v>86</v>
      </c>
      <c r="J3589">
        <v>47</v>
      </c>
      <c r="K3589" t="s">
        <v>83</v>
      </c>
      <c r="L3589" t="s">
        <v>98</v>
      </c>
      <c r="M3589" t="s">
        <v>55</v>
      </c>
      <c r="N3589" t="s">
        <v>2647</v>
      </c>
      <c r="O3589" t="s">
        <v>133</v>
      </c>
      <c r="P3589" t="s">
        <v>50</v>
      </c>
      <c r="Q3589" t="s">
        <v>145</v>
      </c>
      <c r="R3589">
        <v>4</v>
      </c>
      <c r="S3589">
        <v>799</v>
      </c>
      <c r="T3589">
        <v>0.2</v>
      </c>
      <c r="U3589">
        <v>2556.8000000000002</v>
      </c>
      <c r="V3589">
        <v>1560</v>
      </c>
      <c r="W3589">
        <v>996.8</v>
      </c>
      <c r="X3589" t="s">
        <v>74</v>
      </c>
      <c r="Y3589" t="s">
        <v>68</v>
      </c>
      <c r="Z3589" t="s">
        <v>161</v>
      </c>
      <c r="AA3589" t="s">
        <v>169</v>
      </c>
      <c r="AB3589">
        <v>3.9</v>
      </c>
      <c r="AC3589">
        <v>80</v>
      </c>
      <c r="AD3589">
        <v>103.22</v>
      </c>
      <c r="AE3589">
        <f t="shared" si="112"/>
        <v>813.57999999999993</v>
      </c>
      <c r="AF3589" t="str">
        <f t="shared" si="113"/>
        <v>2026-04</v>
      </c>
      <c r="AG3589">
        <f>SUBTOTAL(103,A3589)</f>
        <v>1</v>
      </c>
    </row>
    <row r="3590" spans="1:33" x14ac:dyDescent="0.3">
      <c r="A3590" t="s">
        <v>6213</v>
      </c>
      <c r="B3590" s="13">
        <v>46120</v>
      </c>
      <c r="C3590">
        <v>2026</v>
      </c>
      <c r="D3590">
        <v>4</v>
      </c>
      <c r="E3590" t="s">
        <v>3328</v>
      </c>
      <c r="F3590" t="s">
        <v>3329</v>
      </c>
      <c r="G3590" t="s">
        <v>1085</v>
      </c>
      <c r="H3590" t="s">
        <v>1086</v>
      </c>
      <c r="I3590" t="s">
        <v>86</v>
      </c>
      <c r="J3590">
        <v>57</v>
      </c>
      <c r="K3590" t="s">
        <v>83</v>
      </c>
      <c r="L3590" t="s">
        <v>2616</v>
      </c>
      <c r="M3590" t="s">
        <v>62</v>
      </c>
      <c r="N3590" t="s">
        <v>2653</v>
      </c>
      <c r="O3590" t="s">
        <v>132</v>
      </c>
      <c r="P3590" t="s">
        <v>52</v>
      </c>
      <c r="Q3590" t="s">
        <v>150</v>
      </c>
      <c r="R3590">
        <v>1</v>
      </c>
      <c r="S3590">
        <v>899</v>
      </c>
      <c r="T3590">
        <v>0</v>
      </c>
      <c r="U3590">
        <v>899</v>
      </c>
      <c r="V3590">
        <v>420</v>
      </c>
      <c r="W3590">
        <v>479</v>
      </c>
      <c r="X3590" t="s">
        <v>75</v>
      </c>
      <c r="Y3590" t="s">
        <v>68</v>
      </c>
      <c r="Z3590" t="s">
        <v>158</v>
      </c>
      <c r="AA3590" t="s">
        <v>167</v>
      </c>
      <c r="AB3590">
        <v>4.7</v>
      </c>
      <c r="AC3590">
        <v>120</v>
      </c>
      <c r="AD3590">
        <v>28.78</v>
      </c>
      <c r="AE3590">
        <f t="shared" si="112"/>
        <v>330.22</v>
      </c>
      <c r="AF3590" t="str">
        <f t="shared" si="113"/>
        <v>2026-04</v>
      </c>
      <c r="AG3590">
        <f>SUBTOTAL(103,A3590)</f>
        <v>1</v>
      </c>
    </row>
    <row r="3591" spans="1:33" x14ac:dyDescent="0.3">
      <c r="A3591" t="s">
        <v>6214</v>
      </c>
      <c r="B3591" s="13">
        <v>46120</v>
      </c>
      <c r="C3591">
        <v>2026</v>
      </c>
      <c r="D3591">
        <v>4</v>
      </c>
      <c r="E3591" t="s">
        <v>3328</v>
      </c>
      <c r="F3591" t="s">
        <v>3329</v>
      </c>
      <c r="G3591" t="s">
        <v>1729</v>
      </c>
      <c r="H3591" t="s">
        <v>1730</v>
      </c>
      <c r="I3591" t="s">
        <v>86</v>
      </c>
      <c r="J3591">
        <v>26</v>
      </c>
      <c r="K3591" t="s">
        <v>81</v>
      </c>
      <c r="L3591" t="s">
        <v>90</v>
      </c>
      <c r="M3591" t="s">
        <v>55</v>
      </c>
      <c r="N3591" t="s">
        <v>2606</v>
      </c>
      <c r="O3591" t="s">
        <v>120</v>
      </c>
      <c r="P3591" t="s">
        <v>49</v>
      </c>
      <c r="Q3591" t="s">
        <v>140</v>
      </c>
      <c r="R3591">
        <v>2</v>
      </c>
      <c r="S3591">
        <v>2799</v>
      </c>
      <c r="T3591">
        <v>0.1</v>
      </c>
      <c r="U3591">
        <v>5038.2</v>
      </c>
      <c r="V3591">
        <v>3300</v>
      </c>
      <c r="W3591">
        <v>1738.2</v>
      </c>
      <c r="X3591" t="s">
        <v>76</v>
      </c>
      <c r="Y3591" t="s">
        <v>68</v>
      </c>
      <c r="Z3591" t="s">
        <v>159</v>
      </c>
      <c r="AA3591" t="s">
        <v>168</v>
      </c>
      <c r="AB3591">
        <v>4.3</v>
      </c>
      <c r="AC3591">
        <v>80</v>
      </c>
      <c r="AD3591">
        <v>565.95000000000005</v>
      </c>
      <c r="AE3591">
        <f t="shared" si="112"/>
        <v>1092.25</v>
      </c>
      <c r="AF3591" t="str">
        <f t="shared" si="113"/>
        <v>2026-04</v>
      </c>
      <c r="AG3591">
        <f>SUBTOTAL(103,A3591)</f>
        <v>1</v>
      </c>
    </row>
    <row r="3592" spans="1:33" x14ac:dyDescent="0.3">
      <c r="A3592" t="s">
        <v>6215</v>
      </c>
      <c r="B3592" s="13">
        <v>46120</v>
      </c>
      <c r="C3592">
        <v>2026</v>
      </c>
      <c r="D3592">
        <v>4</v>
      </c>
      <c r="E3592" t="s">
        <v>3328</v>
      </c>
      <c r="F3592" t="s">
        <v>3329</v>
      </c>
      <c r="G3592" t="s">
        <v>989</v>
      </c>
      <c r="H3592" t="s">
        <v>990</v>
      </c>
      <c r="I3592" t="s">
        <v>86</v>
      </c>
      <c r="J3592">
        <v>20</v>
      </c>
      <c r="K3592" t="s">
        <v>80</v>
      </c>
      <c r="L3592" t="s">
        <v>59</v>
      </c>
      <c r="M3592" t="s">
        <v>59</v>
      </c>
      <c r="N3592" t="s">
        <v>2601</v>
      </c>
      <c r="O3592" t="s">
        <v>117</v>
      </c>
      <c r="P3592" t="s">
        <v>49</v>
      </c>
      <c r="Q3592" t="s">
        <v>139</v>
      </c>
      <c r="R3592">
        <v>2</v>
      </c>
      <c r="S3592">
        <v>6999</v>
      </c>
      <c r="T3592">
        <v>0</v>
      </c>
      <c r="U3592">
        <v>13998</v>
      </c>
      <c r="V3592">
        <v>8600</v>
      </c>
      <c r="W3592">
        <v>5398</v>
      </c>
      <c r="X3592" t="s">
        <v>74</v>
      </c>
      <c r="Y3592" t="s">
        <v>68</v>
      </c>
      <c r="Z3592" t="s">
        <v>162</v>
      </c>
      <c r="AA3592" t="s">
        <v>166</v>
      </c>
      <c r="AB3592">
        <v>3.9</v>
      </c>
      <c r="AC3592">
        <v>50</v>
      </c>
      <c r="AD3592">
        <v>1004.26</v>
      </c>
      <c r="AE3592">
        <f t="shared" si="112"/>
        <v>4343.74</v>
      </c>
      <c r="AF3592" t="str">
        <f t="shared" si="113"/>
        <v>2026-04</v>
      </c>
      <c r="AG3592">
        <f>SUBTOTAL(103,A3592)</f>
        <v>1</v>
      </c>
    </row>
    <row r="3593" spans="1:33" x14ac:dyDescent="0.3">
      <c r="A3593" t="s">
        <v>6216</v>
      </c>
      <c r="B3593" s="13">
        <v>46120</v>
      </c>
      <c r="C3593">
        <v>2026</v>
      </c>
      <c r="D3593">
        <v>4</v>
      </c>
      <c r="E3593" t="s">
        <v>3328</v>
      </c>
      <c r="F3593" t="s">
        <v>3329</v>
      </c>
      <c r="G3593" t="s">
        <v>1409</v>
      </c>
      <c r="H3593" t="s">
        <v>1410</v>
      </c>
      <c r="I3593" t="s">
        <v>85</v>
      </c>
      <c r="J3593">
        <v>27</v>
      </c>
      <c r="K3593" t="s">
        <v>81</v>
      </c>
      <c r="L3593" t="s">
        <v>92</v>
      </c>
      <c r="M3593" t="s">
        <v>59</v>
      </c>
      <c r="N3593" t="s">
        <v>2596</v>
      </c>
      <c r="O3593" t="s">
        <v>124</v>
      </c>
      <c r="P3593" t="s">
        <v>51</v>
      </c>
      <c r="Q3593" t="s">
        <v>147</v>
      </c>
      <c r="R3593">
        <v>2</v>
      </c>
      <c r="S3593">
        <v>2299</v>
      </c>
      <c r="T3593">
        <v>0.1</v>
      </c>
      <c r="U3593">
        <v>4138.2</v>
      </c>
      <c r="V3593">
        <v>2400</v>
      </c>
      <c r="W3593">
        <v>1738.2</v>
      </c>
      <c r="X3593" t="s">
        <v>73</v>
      </c>
      <c r="Y3593" t="s">
        <v>68</v>
      </c>
      <c r="Z3593" t="s">
        <v>158</v>
      </c>
      <c r="AA3593" t="s">
        <v>171</v>
      </c>
      <c r="AB3593">
        <v>4.7</v>
      </c>
      <c r="AC3593">
        <v>100</v>
      </c>
      <c r="AD3593">
        <v>335.82</v>
      </c>
      <c r="AE3593">
        <f t="shared" si="112"/>
        <v>1302.3800000000001</v>
      </c>
      <c r="AF3593" t="str">
        <f t="shared" si="113"/>
        <v>2026-04</v>
      </c>
      <c r="AG3593">
        <f>SUBTOTAL(103,A3593)</f>
        <v>1</v>
      </c>
    </row>
    <row r="3594" spans="1:33" x14ac:dyDescent="0.3">
      <c r="A3594" t="s">
        <v>6217</v>
      </c>
      <c r="B3594" s="13">
        <v>46120</v>
      </c>
      <c r="C3594">
        <v>2026</v>
      </c>
      <c r="D3594">
        <v>4</v>
      </c>
      <c r="E3594" t="s">
        <v>3328</v>
      </c>
      <c r="F3594" t="s">
        <v>3329</v>
      </c>
      <c r="G3594" t="s">
        <v>1705</v>
      </c>
      <c r="H3594" t="s">
        <v>1706</v>
      </c>
      <c r="I3594" t="s">
        <v>85</v>
      </c>
      <c r="J3594">
        <v>48</v>
      </c>
      <c r="K3594" t="s">
        <v>83</v>
      </c>
      <c r="L3594" t="s">
        <v>92</v>
      </c>
      <c r="M3594" t="s">
        <v>59</v>
      </c>
      <c r="N3594" t="s">
        <v>2577</v>
      </c>
      <c r="O3594" t="s">
        <v>129</v>
      </c>
      <c r="P3594" t="s">
        <v>49</v>
      </c>
      <c r="Q3594" t="s">
        <v>149</v>
      </c>
      <c r="R3594">
        <v>5</v>
      </c>
      <c r="S3594">
        <v>1299</v>
      </c>
      <c r="T3594">
        <v>0.05</v>
      </c>
      <c r="U3594">
        <v>6170.25</v>
      </c>
      <c r="V3594">
        <v>3250</v>
      </c>
      <c r="W3594">
        <v>2920.25</v>
      </c>
      <c r="X3594" t="s">
        <v>75</v>
      </c>
      <c r="Y3594" t="s">
        <v>68</v>
      </c>
      <c r="Z3594" t="s">
        <v>159</v>
      </c>
      <c r="AA3594" t="s">
        <v>167</v>
      </c>
      <c r="AB3594">
        <v>4</v>
      </c>
      <c r="AC3594">
        <v>40</v>
      </c>
      <c r="AD3594">
        <v>134.44999999999999</v>
      </c>
      <c r="AE3594">
        <f t="shared" si="112"/>
        <v>2745.8</v>
      </c>
      <c r="AF3594" t="str">
        <f t="shared" si="113"/>
        <v>2026-04</v>
      </c>
      <c r="AG3594">
        <f>SUBTOTAL(103,A3594)</f>
        <v>1</v>
      </c>
    </row>
    <row r="3595" spans="1:33" x14ac:dyDescent="0.3">
      <c r="A3595" t="s">
        <v>6218</v>
      </c>
      <c r="B3595" s="13">
        <v>46120</v>
      </c>
      <c r="C3595">
        <v>2026</v>
      </c>
      <c r="D3595">
        <v>4</v>
      </c>
      <c r="E3595" t="s">
        <v>3328</v>
      </c>
      <c r="F3595" t="s">
        <v>3329</v>
      </c>
      <c r="G3595" t="s">
        <v>929</v>
      </c>
      <c r="H3595" t="s">
        <v>930</v>
      </c>
      <c r="I3595" t="s">
        <v>85</v>
      </c>
      <c r="J3595">
        <v>18</v>
      </c>
      <c r="K3595" t="s">
        <v>80</v>
      </c>
      <c r="L3595" t="s">
        <v>2605</v>
      </c>
      <c r="M3595" t="s">
        <v>60</v>
      </c>
      <c r="N3595" t="s">
        <v>2596</v>
      </c>
      <c r="O3595" t="s">
        <v>124</v>
      </c>
      <c r="P3595" t="s">
        <v>51</v>
      </c>
      <c r="Q3595" t="s">
        <v>147</v>
      </c>
      <c r="R3595">
        <v>2</v>
      </c>
      <c r="S3595">
        <v>2299</v>
      </c>
      <c r="T3595">
        <v>0.05</v>
      </c>
      <c r="U3595">
        <v>4368.1000000000004</v>
      </c>
      <c r="V3595">
        <v>2400</v>
      </c>
      <c r="W3595">
        <v>1968.1</v>
      </c>
      <c r="X3595" t="s">
        <v>76</v>
      </c>
      <c r="Y3595" t="s">
        <v>68</v>
      </c>
      <c r="Z3595" t="s">
        <v>161</v>
      </c>
      <c r="AA3595" t="s">
        <v>168</v>
      </c>
      <c r="AB3595">
        <v>4.3</v>
      </c>
      <c r="AC3595">
        <v>100</v>
      </c>
      <c r="AD3595">
        <v>371.42</v>
      </c>
      <c r="AE3595">
        <f t="shared" si="112"/>
        <v>1496.6799999999998</v>
      </c>
      <c r="AF3595" t="str">
        <f t="shared" si="113"/>
        <v>2026-04</v>
      </c>
      <c r="AG3595">
        <f>SUBTOTAL(103,A3595)</f>
        <v>1</v>
      </c>
    </row>
    <row r="3596" spans="1:33" x14ac:dyDescent="0.3">
      <c r="A3596" t="s">
        <v>6219</v>
      </c>
      <c r="B3596" s="13">
        <v>46121</v>
      </c>
      <c r="C3596">
        <v>2026</v>
      </c>
      <c r="D3596">
        <v>4</v>
      </c>
      <c r="E3596" t="s">
        <v>3328</v>
      </c>
      <c r="F3596" t="s">
        <v>3329</v>
      </c>
      <c r="G3596" t="s">
        <v>783</v>
      </c>
      <c r="H3596" t="s">
        <v>784</v>
      </c>
      <c r="I3596" t="s">
        <v>86</v>
      </c>
      <c r="J3596">
        <v>21</v>
      </c>
      <c r="K3596" t="s">
        <v>80</v>
      </c>
      <c r="L3596" t="s">
        <v>2674</v>
      </c>
      <c r="M3596" t="s">
        <v>58</v>
      </c>
      <c r="N3596" t="s">
        <v>2647</v>
      </c>
      <c r="O3596" t="s">
        <v>133</v>
      </c>
      <c r="P3596" t="s">
        <v>50</v>
      </c>
      <c r="Q3596" t="s">
        <v>145</v>
      </c>
      <c r="R3596">
        <v>4</v>
      </c>
      <c r="S3596">
        <v>799</v>
      </c>
      <c r="T3596">
        <v>0.05</v>
      </c>
      <c r="U3596">
        <v>3036.2</v>
      </c>
      <c r="V3596">
        <v>1560</v>
      </c>
      <c r="W3596">
        <v>1476.2</v>
      </c>
      <c r="X3596" t="s">
        <v>74</v>
      </c>
      <c r="Y3596" t="s">
        <v>69</v>
      </c>
      <c r="Z3596" t="s">
        <v>160</v>
      </c>
      <c r="AA3596" t="s">
        <v>168</v>
      </c>
      <c r="AB3596">
        <v>5</v>
      </c>
      <c r="AC3596">
        <v>50</v>
      </c>
      <c r="AD3596">
        <v>223.76</v>
      </c>
      <c r="AE3596">
        <f t="shared" si="112"/>
        <v>1202.44</v>
      </c>
      <c r="AF3596" t="str">
        <f t="shared" si="113"/>
        <v>2026-04</v>
      </c>
      <c r="AG3596">
        <f>SUBTOTAL(103,A3596)</f>
        <v>1</v>
      </c>
    </row>
    <row r="3597" spans="1:33" x14ac:dyDescent="0.3">
      <c r="A3597" t="s">
        <v>6220</v>
      </c>
      <c r="B3597" s="13">
        <v>46121</v>
      </c>
      <c r="C3597">
        <v>2026</v>
      </c>
      <c r="D3597">
        <v>4</v>
      </c>
      <c r="E3597" t="s">
        <v>3328</v>
      </c>
      <c r="F3597" t="s">
        <v>3329</v>
      </c>
      <c r="G3597" t="s">
        <v>803</v>
      </c>
      <c r="H3597" t="s">
        <v>804</v>
      </c>
      <c r="I3597" t="s">
        <v>86</v>
      </c>
      <c r="J3597">
        <v>38</v>
      </c>
      <c r="K3597" t="s">
        <v>82</v>
      </c>
      <c r="L3597" t="s">
        <v>100</v>
      </c>
      <c r="M3597" t="s">
        <v>56</v>
      </c>
      <c r="N3597" t="s">
        <v>2587</v>
      </c>
      <c r="O3597" t="s">
        <v>116</v>
      </c>
      <c r="P3597" t="s">
        <v>48</v>
      </c>
      <c r="Q3597" t="s">
        <v>138</v>
      </c>
      <c r="R3597">
        <v>1</v>
      </c>
      <c r="S3597">
        <v>14999</v>
      </c>
      <c r="T3597">
        <v>0.1</v>
      </c>
      <c r="U3597">
        <v>13499.1</v>
      </c>
      <c r="V3597">
        <v>11200</v>
      </c>
      <c r="W3597">
        <v>2299.1</v>
      </c>
      <c r="X3597" t="s">
        <v>75</v>
      </c>
      <c r="Y3597" t="s">
        <v>68</v>
      </c>
      <c r="Z3597" t="s">
        <v>159</v>
      </c>
      <c r="AA3597" t="s">
        <v>170</v>
      </c>
      <c r="AB3597">
        <v>4.8</v>
      </c>
      <c r="AC3597">
        <v>60</v>
      </c>
      <c r="AD3597">
        <v>1578.4</v>
      </c>
      <c r="AE3597">
        <f t="shared" si="112"/>
        <v>660.69999999999982</v>
      </c>
      <c r="AF3597" t="str">
        <f t="shared" si="113"/>
        <v>2026-04</v>
      </c>
      <c r="AG3597">
        <f>SUBTOTAL(103,A3597)</f>
        <v>1</v>
      </c>
    </row>
    <row r="3598" spans="1:33" x14ac:dyDescent="0.3">
      <c r="A3598" t="s">
        <v>6221</v>
      </c>
      <c r="B3598" s="13">
        <v>46121</v>
      </c>
      <c r="C3598">
        <v>2026</v>
      </c>
      <c r="D3598">
        <v>4</v>
      </c>
      <c r="E3598" t="s">
        <v>3328</v>
      </c>
      <c r="F3598" t="s">
        <v>3329</v>
      </c>
      <c r="G3598" t="s">
        <v>619</v>
      </c>
      <c r="H3598" t="s">
        <v>620</v>
      </c>
      <c r="I3598" t="s">
        <v>85</v>
      </c>
      <c r="J3598">
        <v>32</v>
      </c>
      <c r="K3598" t="s">
        <v>81</v>
      </c>
      <c r="L3598" t="s">
        <v>90</v>
      </c>
      <c r="M3598" t="s">
        <v>55</v>
      </c>
      <c r="N3598" t="s">
        <v>2665</v>
      </c>
      <c r="O3598" t="s">
        <v>128</v>
      </c>
      <c r="P3598" t="s">
        <v>53</v>
      </c>
      <c r="Q3598" t="s">
        <v>143</v>
      </c>
      <c r="R3598">
        <v>2</v>
      </c>
      <c r="S3598">
        <v>1499</v>
      </c>
      <c r="T3598">
        <v>0</v>
      </c>
      <c r="U3598">
        <v>2998</v>
      </c>
      <c r="V3598">
        <v>1600</v>
      </c>
      <c r="W3598">
        <v>1398</v>
      </c>
      <c r="X3598" t="s">
        <v>73</v>
      </c>
      <c r="Y3598" t="s">
        <v>68</v>
      </c>
      <c r="Z3598" t="s">
        <v>158</v>
      </c>
      <c r="AA3598" t="s">
        <v>170</v>
      </c>
      <c r="AB3598">
        <v>3.4</v>
      </c>
      <c r="AC3598">
        <v>60</v>
      </c>
      <c r="AD3598">
        <v>136.55000000000001</v>
      </c>
      <c r="AE3598">
        <f t="shared" si="112"/>
        <v>1201.45</v>
      </c>
      <c r="AF3598" t="str">
        <f t="shared" si="113"/>
        <v>2026-04</v>
      </c>
      <c r="AG3598">
        <f>SUBTOTAL(103,A3598)</f>
        <v>1</v>
      </c>
    </row>
    <row r="3599" spans="1:33" x14ac:dyDescent="0.3">
      <c r="A3599" t="s">
        <v>6222</v>
      </c>
      <c r="B3599" s="13">
        <v>46121</v>
      </c>
      <c r="C3599">
        <v>2026</v>
      </c>
      <c r="D3599">
        <v>4</v>
      </c>
      <c r="E3599" t="s">
        <v>3328</v>
      </c>
      <c r="F3599" t="s">
        <v>3329</v>
      </c>
      <c r="G3599" t="s">
        <v>409</v>
      </c>
      <c r="H3599" t="s">
        <v>410</v>
      </c>
      <c r="I3599" t="s">
        <v>85</v>
      </c>
      <c r="J3599">
        <v>31</v>
      </c>
      <c r="K3599" t="s">
        <v>81</v>
      </c>
      <c r="L3599" t="s">
        <v>2573</v>
      </c>
      <c r="M3599" t="s">
        <v>63</v>
      </c>
      <c r="N3599" t="s">
        <v>2603</v>
      </c>
      <c r="O3599" t="s">
        <v>122</v>
      </c>
      <c r="P3599" t="s">
        <v>48</v>
      </c>
      <c r="Q3599" t="s">
        <v>141</v>
      </c>
      <c r="R3599">
        <v>1</v>
      </c>
      <c r="S3599">
        <v>2499</v>
      </c>
      <c r="T3599">
        <v>0.1</v>
      </c>
      <c r="U3599">
        <v>2249.1</v>
      </c>
      <c r="V3599">
        <v>1450</v>
      </c>
      <c r="W3599">
        <v>799.1</v>
      </c>
      <c r="X3599" t="s">
        <v>73</v>
      </c>
      <c r="Y3599" t="s">
        <v>68</v>
      </c>
      <c r="Z3599" t="s">
        <v>158</v>
      </c>
      <c r="AA3599" t="s">
        <v>166</v>
      </c>
      <c r="AB3599">
        <v>5</v>
      </c>
      <c r="AC3599">
        <v>80</v>
      </c>
      <c r="AD3599">
        <v>199.94</v>
      </c>
      <c r="AE3599">
        <f t="shared" si="112"/>
        <v>519.16000000000008</v>
      </c>
      <c r="AF3599" t="str">
        <f t="shared" si="113"/>
        <v>2026-04</v>
      </c>
      <c r="AG3599">
        <f>SUBTOTAL(103,A3599)</f>
        <v>1</v>
      </c>
    </row>
    <row r="3600" spans="1:33" x14ac:dyDescent="0.3">
      <c r="A3600" t="s">
        <v>6223</v>
      </c>
      <c r="B3600" s="13">
        <v>46121</v>
      </c>
      <c r="C3600">
        <v>2026</v>
      </c>
      <c r="D3600">
        <v>4</v>
      </c>
      <c r="E3600" t="s">
        <v>3328</v>
      </c>
      <c r="F3600" t="s">
        <v>3329</v>
      </c>
      <c r="G3600" t="s">
        <v>869</v>
      </c>
      <c r="H3600" t="s">
        <v>870</v>
      </c>
      <c r="I3600" t="s">
        <v>86</v>
      </c>
      <c r="J3600">
        <v>28</v>
      </c>
      <c r="K3600" t="s">
        <v>81</v>
      </c>
      <c r="L3600" t="s">
        <v>95</v>
      </c>
      <c r="M3600" t="s">
        <v>56</v>
      </c>
      <c r="N3600" t="s">
        <v>2596</v>
      </c>
      <c r="O3600" t="s">
        <v>124</v>
      </c>
      <c r="P3600" t="s">
        <v>51</v>
      </c>
      <c r="Q3600" t="s">
        <v>147</v>
      </c>
      <c r="R3600">
        <v>2</v>
      </c>
      <c r="S3600">
        <v>2299</v>
      </c>
      <c r="T3600">
        <v>0.05</v>
      </c>
      <c r="U3600">
        <v>4368.1000000000004</v>
      </c>
      <c r="V3600">
        <v>2400</v>
      </c>
      <c r="W3600">
        <v>1968.1</v>
      </c>
      <c r="X3600" t="s">
        <v>75</v>
      </c>
      <c r="Y3600" t="s">
        <v>68</v>
      </c>
      <c r="Z3600" t="s">
        <v>162</v>
      </c>
      <c r="AA3600" t="s">
        <v>167</v>
      </c>
      <c r="AB3600">
        <v>2.8</v>
      </c>
      <c r="AC3600">
        <v>80</v>
      </c>
      <c r="AD3600">
        <v>264.48</v>
      </c>
      <c r="AE3600">
        <f t="shared" si="112"/>
        <v>1623.62</v>
      </c>
      <c r="AF3600" t="str">
        <f t="shared" si="113"/>
        <v>2026-04</v>
      </c>
      <c r="AG3600">
        <f>SUBTOTAL(103,A3600)</f>
        <v>1</v>
      </c>
    </row>
    <row r="3601" spans="1:33" x14ac:dyDescent="0.3">
      <c r="A3601" t="s">
        <v>6224</v>
      </c>
      <c r="B3601" s="13">
        <v>46121</v>
      </c>
      <c r="C3601">
        <v>2026</v>
      </c>
      <c r="D3601">
        <v>4</v>
      </c>
      <c r="E3601" t="s">
        <v>3328</v>
      </c>
      <c r="F3601" t="s">
        <v>3329</v>
      </c>
      <c r="G3601" t="s">
        <v>1419</v>
      </c>
      <c r="H3601" t="s">
        <v>1420</v>
      </c>
      <c r="I3601" t="s">
        <v>85</v>
      </c>
      <c r="J3601">
        <v>60</v>
      </c>
      <c r="K3601" t="s">
        <v>83</v>
      </c>
      <c r="L3601" t="s">
        <v>97</v>
      </c>
      <c r="M3601" t="s">
        <v>57</v>
      </c>
      <c r="N3601" t="s">
        <v>2653</v>
      </c>
      <c r="O3601" t="s">
        <v>132</v>
      </c>
      <c r="P3601" t="s">
        <v>52</v>
      </c>
      <c r="Q3601" t="s">
        <v>150</v>
      </c>
      <c r="R3601">
        <v>1</v>
      </c>
      <c r="S3601">
        <v>899</v>
      </c>
      <c r="T3601">
        <v>0</v>
      </c>
      <c r="U3601">
        <v>899</v>
      </c>
      <c r="V3601">
        <v>420</v>
      </c>
      <c r="W3601">
        <v>479</v>
      </c>
      <c r="X3601" t="s">
        <v>73</v>
      </c>
      <c r="Y3601" t="s">
        <v>70</v>
      </c>
      <c r="Z3601" t="s">
        <v>163</v>
      </c>
      <c r="AA3601" t="s">
        <v>168</v>
      </c>
      <c r="AB3601">
        <v>3.9</v>
      </c>
      <c r="AC3601">
        <v>50</v>
      </c>
      <c r="AD3601">
        <v>53.59</v>
      </c>
      <c r="AE3601">
        <f t="shared" si="112"/>
        <v>375.40999999999997</v>
      </c>
      <c r="AF3601" t="str">
        <f t="shared" si="113"/>
        <v>2026-04</v>
      </c>
      <c r="AG3601">
        <f>SUBTOTAL(103,A3601)</f>
        <v>1</v>
      </c>
    </row>
    <row r="3602" spans="1:33" x14ac:dyDescent="0.3">
      <c r="A3602" t="s">
        <v>6225</v>
      </c>
      <c r="B3602" s="13">
        <v>46121</v>
      </c>
      <c r="C3602">
        <v>2026</v>
      </c>
      <c r="D3602">
        <v>4</v>
      </c>
      <c r="E3602" t="s">
        <v>3328</v>
      </c>
      <c r="F3602" t="s">
        <v>3329</v>
      </c>
      <c r="G3602" t="s">
        <v>1363</v>
      </c>
      <c r="H3602" t="s">
        <v>1364</v>
      </c>
      <c r="I3602" t="s">
        <v>85</v>
      </c>
      <c r="J3602">
        <v>41</v>
      </c>
      <c r="K3602" t="s">
        <v>82</v>
      </c>
      <c r="L3602" t="s">
        <v>2634</v>
      </c>
      <c r="M3602" t="s">
        <v>56</v>
      </c>
      <c r="N3602" t="s">
        <v>2580</v>
      </c>
      <c r="O3602" t="s">
        <v>118</v>
      </c>
      <c r="P3602" t="s">
        <v>48</v>
      </c>
      <c r="Q3602" t="s">
        <v>142</v>
      </c>
      <c r="R3602">
        <v>1</v>
      </c>
      <c r="S3602">
        <v>3999</v>
      </c>
      <c r="T3602">
        <v>0</v>
      </c>
      <c r="U3602">
        <v>3999</v>
      </c>
      <c r="V3602">
        <v>2400</v>
      </c>
      <c r="W3602">
        <v>1599</v>
      </c>
      <c r="X3602" t="s">
        <v>77</v>
      </c>
      <c r="Y3602" t="s">
        <v>68</v>
      </c>
      <c r="Z3602" t="s">
        <v>160</v>
      </c>
      <c r="AA3602" t="s">
        <v>166</v>
      </c>
      <c r="AB3602">
        <v>4.3</v>
      </c>
      <c r="AC3602">
        <v>40</v>
      </c>
      <c r="AD3602">
        <v>271.94</v>
      </c>
      <c r="AE3602">
        <f t="shared" si="112"/>
        <v>1287.06</v>
      </c>
      <c r="AF3602" t="str">
        <f t="shared" si="113"/>
        <v>2026-04</v>
      </c>
      <c r="AG3602">
        <f>SUBTOTAL(103,A3602)</f>
        <v>1</v>
      </c>
    </row>
    <row r="3603" spans="1:33" x14ac:dyDescent="0.3">
      <c r="A3603" t="s">
        <v>6226</v>
      </c>
      <c r="B3603" s="13">
        <v>46121</v>
      </c>
      <c r="C3603">
        <v>2026</v>
      </c>
      <c r="D3603">
        <v>4</v>
      </c>
      <c r="E3603" t="s">
        <v>3328</v>
      </c>
      <c r="F3603" t="s">
        <v>3329</v>
      </c>
      <c r="G3603" t="s">
        <v>253</v>
      </c>
      <c r="H3603" t="s">
        <v>254</v>
      </c>
      <c r="I3603" t="s">
        <v>86</v>
      </c>
      <c r="J3603">
        <v>42</v>
      </c>
      <c r="K3603" t="s">
        <v>82</v>
      </c>
      <c r="L3603" t="s">
        <v>2661</v>
      </c>
      <c r="M3603" t="s">
        <v>58</v>
      </c>
      <c r="N3603" t="s">
        <v>2630</v>
      </c>
      <c r="O3603" t="s">
        <v>123</v>
      </c>
      <c r="P3603" t="s">
        <v>52</v>
      </c>
      <c r="Q3603" t="s">
        <v>146</v>
      </c>
      <c r="R3603">
        <v>1</v>
      </c>
      <c r="S3603">
        <v>2499</v>
      </c>
      <c r="T3603">
        <v>0.05</v>
      </c>
      <c r="U3603">
        <v>2374.0500000000002</v>
      </c>
      <c r="V3603">
        <v>1400</v>
      </c>
      <c r="W3603">
        <v>974.05</v>
      </c>
      <c r="X3603" t="s">
        <v>74</v>
      </c>
      <c r="Y3603" t="s">
        <v>68</v>
      </c>
      <c r="Z3603" t="s">
        <v>161</v>
      </c>
      <c r="AA3603" t="s">
        <v>166</v>
      </c>
      <c r="AB3603">
        <v>4</v>
      </c>
      <c r="AC3603">
        <v>50</v>
      </c>
      <c r="AD3603">
        <v>59</v>
      </c>
      <c r="AE3603">
        <f t="shared" si="112"/>
        <v>865.05</v>
      </c>
      <c r="AF3603" t="str">
        <f t="shared" si="113"/>
        <v>2026-04</v>
      </c>
      <c r="AG3603">
        <f>SUBTOTAL(103,A3603)</f>
        <v>1</v>
      </c>
    </row>
    <row r="3604" spans="1:33" x14ac:dyDescent="0.3">
      <c r="A3604" t="s">
        <v>6227</v>
      </c>
      <c r="B3604" s="13">
        <v>46121</v>
      </c>
      <c r="C3604">
        <v>2026</v>
      </c>
      <c r="D3604">
        <v>4</v>
      </c>
      <c r="E3604" t="s">
        <v>3328</v>
      </c>
      <c r="F3604" t="s">
        <v>3329</v>
      </c>
      <c r="G3604" t="s">
        <v>577</v>
      </c>
      <c r="H3604" t="s">
        <v>578</v>
      </c>
      <c r="I3604" t="s">
        <v>85</v>
      </c>
      <c r="J3604">
        <v>41</v>
      </c>
      <c r="K3604" t="s">
        <v>82</v>
      </c>
      <c r="L3604" t="s">
        <v>100</v>
      </c>
      <c r="M3604" t="s">
        <v>56</v>
      </c>
      <c r="N3604" t="s">
        <v>2574</v>
      </c>
      <c r="O3604" t="s">
        <v>130</v>
      </c>
      <c r="P3604" t="s">
        <v>50</v>
      </c>
      <c r="Q3604" t="s">
        <v>53</v>
      </c>
      <c r="R3604">
        <v>3</v>
      </c>
      <c r="S3604">
        <v>1199</v>
      </c>
      <c r="T3604">
        <v>0.05</v>
      </c>
      <c r="U3604">
        <v>3417.15</v>
      </c>
      <c r="V3604">
        <v>1650</v>
      </c>
      <c r="W3604">
        <v>1767.15</v>
      </c>
      <c r="X3604" t="s">
        <v>75</v>
      </c>
      <c r="Y3604" t="s">
        <v>68</v>
      </c>
      <c r="Z3604" t="s">
        <v>158</v>
      </c>
      <c r="AA3604" t="s">
        <v>170</v>
      </c>
      <c r="AB3604">
        <v>5</v>
      </c>
      <c r="AC3604">
        <v>60</v>
      </c>
      <c r="AD3604">
        <v>345.81</v>
      </c>
      <c r="AE3604">
        <f t="shared" si="112"/>
        <v>1361.3400000000001</v>
      </c>
      <c r="AF3604" t="str">
        <f t="shared" si="113"/>
        <v>2026-04</v>
      </c>
      <c r="AG3604">
        <f>SUBTOTAL(103,A3604)</f>
        <v>1</v>
      </c>
    </row>
    <row r="3605" spans="1:33" x14ac:dyDescent="0.3">
      <c r="A3605" t="s">
        <v>6228</v>
      </c>
      <c r="B3605" s="13">
        <v>46121</v>
      </c>
      <c r="C3605">
        <v>2026</v>
      </c>
      <c r="D3605">
        <v>4</v>
      </c>
      <c r="E3605" t="s">
        <v>3328</v>
      </c>
      <c r="F3605" t="s">
        <v>3329</v>
      </c>
      <c r="G3605" t="s">
        <v>2363</v>
      </c>
      <c r="H3605" t="s">
        <v>2364</v>
      </c>
      <c r="I3605" t="s">
        <v>86</v>
      </c>
      <c r="J3605">
        <v>30</v>
      </c>
      <c r="K3605" t="s">
        <v>81</v>
      </c>
      <c r="L3605" t="s">
        <v>2589</v>
      </c>
      <c r="M3605" t="s">
        <v>61</v>
      </c>
      <c r="N3605" t="s">
        <v>2657</v>
      </c>
      <c r="O3605" t="s">
        <v>134</v>
      </c>
      <c r="P3605" t="s">
        <v>49</v>
      </c>
      <c r="Q3605" t="s">
        <v>140</v>
      </c>
      <c r="R3605">
        <v>2</v>
      </c>
      <c r="S3605">
        <v>599</v>
      </c>
      <c r="T3605">
        <v>0.2</v>
      </c>
      <c r="U3605">
        <v>958.4</v>
      </c>
      <c r="V3605">
        <v>500</v>
      </c>
      <c r="W3605">
        <v>458.4</v>
      </c>
      <c r="X3605" t="s">
        <v>74</v>
      </c>
      <c r="Y3605" t="s">
        <v>68</v>
      </c>
      <c r="Z3605" t="s">
        <v>158</v>
      </c>
      <c r="AA3605" t="s">
        <v>169</v>
      </c>
      <c r="AB3605">
        <v>4.3</v>
      </c>
      <c r="AC3605">
        <v>40</v>
      </c>
      <c r="AD3605">
        <v>92.08</v>
      </c>
      <c r="AE3605">
        <f t="shared" si="112"/>
        <v>326.32</v>
      </c>
      <c r="AF3605" t="str">
        <f t="shared" si="113"/>
        <v>2026-04</v>
      </c>
      <c r="AG3605">
        <f>SUBTOTAL(103,A3605)</f>
        <v>1</v>
      </c>
    </row>
    <row r="3606" spans="1:33" x14ac:dyDescent="0.3">
      <c r="A3606" t="s">
        <v>6229</v>
      </c>
      <c r="B3606" s="13">
        <v>46121</v>
      </c>
      <c r="C3606">
        <v>2026</v>
      </c>
      <c r="D3606">
        <v>4</v>
      </c>
      <c r="E3606" t="s">
        <v>3328</v>
      </c>
      <c r="F3606" t="s">
        <v>3329</v>
      </c>
      <c r="G3606" t="s">
        <v>2013</v>
      </c>
      <c r="H3606" t="s">
        <v>2014</v>
      </c>
      <c r="I3606" t="s">
        <v>86</v>
      </c>
      <c r="J3606">
        <v>18</v>
      </c>
      <c r="K3606" t="s">
        <v>80</v>
      </c>
      <c r="L3606" t="s">
        <v>2616</v>
      </c>
      <c r="M3606" t="s">
        <v>62</v>
      </c>
      <c r="N3606" t="s">
        <v>2594</v>
      </c>
      <c r="O3606" t="s">
        <v>131</v>
      </c>
      <c r="P3606" t="s">
        <v>53</v>
      </c>
      <c r="Q3606" t="s">
        <v>143</v>
      </c>
      <c r="R3606">
        <v>2</v>
      </c>
      <c r="S3606">
        <v>999</v>
      </c>
      <c r="T3606">
        <v>0.1</v>
      </c>
      <c r="U3606">
        <v>1798.2</v>
      </c>
      <c r="V3606">
        <v>1040</v>
      </c>
      <c r="W3606">
        <v>758.2</v>
      </c>
      <c r="X3606" t="s">
        <v>77</v>
      </c>
      <c r="Y3606" t="s">
        <v>68</v>
      </c>
      <c r="Z3606" t="s">
        <v>162</v>
      </c>
      <c r="AA3606" t="s">
        <v>169</v>
      </c>
      <c r="AB3606">
        <v>4.3</v>
      </c>
      <c r="AC3606">
        <v>50</v>
      </c>
      <c r="AD3606">
        <v>83.29</v>
      </c>
      <c r="AE3606">
        <f t="shared" si="112"/>
        <v>624.91000000000008</v>
      </c>
      <c r="AF3606" t="str">
        <f t="shared" si="113"/>
        <v>2026-04</v>
      </c>
      <c r="AG3606">
        <f>SUBTOTAL(103,A3606)</f>
        <v>1</v>
      </c>
    </row>
    <row r="3607" spans="1:33" x14ac:dyDescent="0.3">
      <c r="A3607" t="s">
        <v>6230</v>
      </c>
      <c r="B3607" s="13">
        <v>46121</v>
      </c>
      <c r="C3607">
        <v>2026</v>
      </c>
      <c r="D3607">
        <v>4</v>
      </c>
      <c r="E3607" t="s">
        <v>3328</v>
      </c>
      <c r="F3607" t="s">
        <v>3329</v>
      </c>
      <c r="G3607" t="s">
        <v>601</v>
      </c>
      <c r="H3607" t="s">
        <v>602</v>
      </c>
      <c r="I3607" t="s">
        <v>86</v>
      </c>
      <c r="J3607">
        <v>18</v>
      </c>
      <c r="K3607" t="s">
        <v>80</v>
      </c>
      <c r="L3607" t="s">
        <v>2661</v>
      </c>
      <c r="M3607" t="s">
        <v>58</v>
      </c>
      <c r="N3607" t="s">
        <v>2594</v>
      </c>
      <c r="O3607" t="s">
        <v>131</v>
      </c>
      <c r="P3607" t="s">
        <v>53</v>
      </c>
      <c r="Q3607" t="s">
        <v>143</v>
      </c>
      <c r="R3607">
        <v>2</v>
      </c>
      <c r="S3607">
        <v>999</v>
      </c>
      <c r="T3607">
        <v>0</v>
      </c>
      <c r="U3607">
        <v>1998</v>
      </c>
      <c r="V3607">
        <v>1040</v>
      </c>
      <c r="W3607">
        <v>958</v>
      </c>
      <c r="X3607" t="s">
        <v>73</v>
      </c>
      <c r="Y3607" t="s">
        <v>68</v>
      </c>
      <c r="Z3607" t="s">
        <v>159</v>
      </c>
      <c r="AA3607" t="s">
        <v>166</v>
      </c>
      <c r="AB3607">
        <v>4.7</v>
      </c>
      <c r="AC3607">
        <v>80</v>
      </c>
      <c r="AD3607">
        <v>238.14</v>
      </c>
      <c r="AE3607">
        <f t="shared" si="112"/>
        <v>639.86</v>
      </c>
      <c r="AF3607" t="str">
        <f t="shared" si="113"/>
        <v>2026-04</v>
      </c>
      <c r="AG3607">
        <f>SUBTOTAL(103,A3607)</f>
        <v>1</v>
      </c>
    </row>
    <row r="3608" spans="1:33" x14ac:dyDescent="0.3">
      <c r="A3608" t="s">
        <v>6231</v>
      </c>
      <c r="B3608" s="13">
        <v>46121</v>
      </c>
      <c r="C3608">
        <v>2026</v>
      </c>
      <c r="D3608">
        <v>4</v>
      </c>
      <c r="E3608" t="s">
        <v>3328</v>
      </c>
      <c r="F3608" t="s">
        <v>3329</v>
      </c>
      <c r="G3608" t="s">
        <v>597</v>
      </c>
      <c r="H3608" t="s">
        <v>598</v>
      </c>
      <c r="I3608" t="s">
        <v>86</v>
      </c>
      <c r="J3608">
        <v>59</v>
      </c>
      <c r="K3608" t="s">
        <v>83</v>
      </c>
      <c r="L3608" t="s">
        <v>2586</v>
      </c>
      <c r="M3608" t="s">
        <v>62</v>
      </c>
      <c r="N3608" t="s">
        <v>2653</v>
      </c>
      <c r="O3608" t="s">
        <v>132</v>
      </c>
      <c r="P3608" t="s">
        <v>52</v>
      </c>
      <c r="Q3608" t="s">
        <v>150</v>
      </c>
      <c r="R3608">
        <v>4</v>
      </c>
      <c r="S3608">
        <v>899</v>
      </c>
      <c r="T3608">
        <v>0.1</v>
      </c>
      <c r="U3608">
        <v>3236.4</v>
      </c>
      <c r="V3608">
        <v>1680</v>
      </c>
      <c r="W3608">
        <v>1556.4</v>
      </c>
      <c r="X3608" t="s">
        <v>76</v>
      </c>
      <c r="Y3608" t="s">
        <v>68</v>
      </c>
      <c r="Z3608" t="s">
        <v>160</v>
      </c>
      <c r="AA3608" t="s">
        <v>166</v>
      </c>
      <c r="AB3608">
        <v>4.2</v>
      </c>
      <c r="AC3608">
        <v>50</v>
      </c>
      <c r="AD3608">
        <v>153.83000000000001</v>
      </c>
      <c r="AE3608">
        <f t="shared" si="112"/>
        <v>1352.5700000000002</v>
      </c>
      <c r="AF3608" t="str">
        <f t="shared" si="113"/>
        <v>2026-04</v>
      </c>
      <c r="AG3608">
        <f>SUBTOTAL(103,A3608)</f>
        <v>1</v>
      </c>
    </row>
    <row r="3609" spans="1:33" x14ac:dyDescent="0.3">
      <c r="A3609" t="s">
        <v>6232</v>
      </c>
      <c r="B3609" s="13">
        <v>46121</v>
      </c>
      <c r="C3609">
        <v>2026</v>
      </c>
      <c r="D3609">
        <v>4</v>
      </c>
      <c r="E3609" t="s">
        <v>3328</v>
      </c>
      <c r="F3609" t="s">
        <v>3329</v>
      </c>
      <c r="G3609" t="s">
        <v>267</v>
      </c>
      <c r="H3609" t="s">
        <v>268</v>
      </c>
      <c r="I3609" t="s">
        <v>86</v>
      </c>
      <c r="J3609">
        <v>39</v>
      </c>
      <c r="K3609" t="s">
        <v>82</v>
      </c>
      <c r="L3609" t="s">
        <v>92</v>
      </c>
      <c r="M3609" t="s">
        <v>59</v>
      </c>
      <c r="N3609" t="s">
        <v>2647</v>
      </c>
      <c r="O3609" t="s">
        <v>133</v>
      </c>
      <c r="P3609" t="s">
        <v>50</v>
      </c>
      <c r="Q3609" t="s">
        <v>145</v>
      </c>
      <c r="R3609">
        <v>1</v>
      </c>
      <c r="S3609">
        <v>799</v>
      </c>
      <c r="T3609">
        <v>0.05</v>
      </c>
      <c r="U3609">
        <v>759.05</v>
      </c>
      <c r="V3609">
        <v>390</v>
      </c>
      <c r="W3609">
        <v>369.05</v>
      </c>
      <c r="X3609" t="s">
        <v>73</v>
      </c>
      <c r="Y3609" t="s">
        <v>68</v>
      </c>
      <c r="Z3609" t="s">
        <v>163</v>
      </c>
      <c r="AA3609" t="s">
        <v>168</v>
      </c>
      <c r="AB3609">
        <v>4.2</v>
      </c>
      <c r="AC3609">
        <v>40</v>
      </c>
      <c r="AD3609">
        <v>75.790000000000006</v>
      </c>
      <c r="AE3609">
        <f t="shared" si="112"/>
        <v>253.26</v>
      </c>
      <c r="AF3609" t="str">
        <f t="shared" si="113"/>
        <v>2026-04</v>
      </c>
      <c r="AG3609">
        <f>SUBTOTAL(103,A3609)</f>
        <v>1</v>
      </c>
    </row>
    <row r="3610" spans="1:33" x14ac:dyDescent="0.3">
      <c r="A3610" t="s">
        <v>6233</v>
      </c>
      <c r="B3610" s="13">
        <v>46121</v>
      </c>
      <c r="C3610">
        <v>2026</v>
      </c>
      <c r="D3610">
        <v>4</v>
      </c>
      <c r="E3610" t="s">
        <v>3328</v>
      </c>
      <c r="F3610" t="s">
        <v>3329</v>
      </c>
      <c r="G3610" t="s">
        <v>1903</v>
      </c>
      <c r="H3610" t="s">
        <v>1904</v>
      </c>
      <c r="I3610" t="s">
        <v>85</v>
      </c>
      <c r="J3610">
        <v>20</v>
      </c>
      <c r="K3610" t="s">
        <v>80</v>
      </c>
      <c r="L3610" t="s">
        <v>96</v>
      </c>
      <c r="M3610" t="s">
        <v>55</v>
      </c>
      <c r="N3610" t="s">
        <v>2665</v>
      </c>
      <c r="O3610" t="s">
        <v>128</v>
      </c>
      <c r="P3610" t="s">
        <v>53</v>
      </c>
      <c r="Q3610" t="s">
        <v>143</v>
      </c>
      <c r="R3610">
        <v>1</v>
      </c>
      <c r="S3610">
        <v>1499</v>
      </c>
      <c r="T3610">
        <v>0</v>
      </c>
      <c r="U3610">
        <v>1499</v>
      </c>
      <c r="V3610">
        <v>800</v>
      </c>
      <c r="W3610">
        <v>699</v>
      </c>
      <c r="X3610" t="s">
        <v>73</v>
      </c>
      <c r="Y3610" t="s">
        <v>68</v>
      </c>
      <c r="Z3610" t="s">
        <v>160</v>
      </c>
      <c r="AA3610" t="s">
        <v>166</v>
      </c>
      <c r="AB3610">
        <v>3.8</v>
      </c>
      <c r="AC3610">
        <v>60</v>
      </c>
      <c r="AD3610">
        <v>57.31</v>
      </c>
      <c r="AE3610">
        <f t="shared" si="112"/>
        <v>581.69000000000005</v>
      </c>
      <c r="AF3610" t="str">
        <f t="shared" si="113"/>
        <v>2026-04</v>
      </c>
      <c r="AG3610">
        <f>SUBTOTAL(103,A3610)</f>
        <v>1</v>
      </c>
    </row>
    <row r="3611" spans="1:33" x14ac:dyDescent="0.3">
      <c r="A3611" t="s">
        <v>6234</v>
      </c>
      <c r="B3611" s="13">
        <v>46121</v>
      </c>
      <c r="C3611">
        <v>2026</v>
      </c>
      <c r="D3611">
        <v>4</v>
      </c>
      <c r="E3611" t="s">
        <v>3328</v>
      </c>
      <c r="F3611" t="s">
        <v>3329</v>
      </c>
      <c r="G3611" t="s">
        <v>831</v>
      </c>
      <c r="H3611" t="s">
        <v>832</v>
      </c>
      <c r="I3611" t="s">
        <v>85</v>
      </c>
      <c r="J3611">
        <v>40</v>
      </c>
      <c r="K3611" t="s">
        <v>82</v>
      </c>
      <c r="L3611" t="s">
        <v>93</v>
      </c>
      <c r="M3611" t="s">
        <v>55</v>
      </c>
      <c r="N3611" t="s">
        <v>2653</v>
      </c>
      <c r="O3611" t="s">
        <v>132</v>
      </c>
      <c r="P3611" t="s">
        <v>52</v>
      </c>
      <c r="Q3611" t="s">
        <v>150</v>
      </c>
      <c r="R3611">
        <v>1</v>
      </c>
      <c r="S3611">
        <v>899</v>
      </c>
      <c r="T3611">
        <v>0</v>
      </c>
      <c r="U3611">
        <v>899</v>
      </c>
      <c r="V3611">
        <v>420</v>
      </c>
      <c r="W3611">
        <v>479</v>
      </c>
      <c r="X3611" t="s">
        <v>75</v>
      </c>
      <c r="Y3611" t="s">
        <v>68</v>
      </c>
      <c r="Z3611" t="s">
        <v>159</v>
      </c>
      <c r="AA3611" t="s">
        <v>167</v>
      </c>
      <c r="AB3611">
        <v>4.0999999999999996</v>
      </c>
      <c r="AC3611">
        <v>120</v>
      </c>
      <c r="AD3611">
        <v>28.79</v>
      </c>
      <c r="AE3611">
        <f t="shared" si="112"/>
        <v>330.21</v>
      </c>
      <c r="AF3611" t="str">
        <f t="shared" si="113"/>
        <v>2026-04</v>
      </c>
      <c r="AG3611">
        <f>SUBTOTAL(103,A3611)</f>
        <v>1</v>
      </c>
    </row>
    <row r="3612" spans="1:33" x14ac:dyDescent="0.3">
      <c r="A3612" t="s">
        <v>6235</v>
      </c>
      <c r="B3612" s="13">
        <v>46122</v>
      </c>
      <c r="C3612">
        <v>2026</v>
      </c>
      <c r="D3612">
        <v>4</v>
      </c>
      <c r="E3612" t="s">
        <v>3328</v>
      </c>
      <c r="F3612" t="s">
        <v>3329</v>
      </c>
      <c r="G3612" t="s">
        <v>2035</v>
      </c>
      <c r="H3612" t="s">
        <v>2036</v>
      </c>
      <c r="I3612" t="s">
        <v>85</v>
      </c>
      <c r="J3612">
        <v>46</v>
      </c>
      <c r="K3612" t="s">
        <v>83</v>
      </c>
      <c r="L3612" t="s">
        <v>2690</v>
      </c>
      <c r="M3612" t="s">
        <v>63</v>
      </c>
      <c r="N3612" t="s">
        <v>2603</v>
      </c>
      <c r="O3612" t="s">
        <v>122</v>
      </c>
      <c r="P3612" t="s">
        <v>48</v>
      </c>
      <c r="Q3612" t="s">
        <v>141</v>
      </c>
      <c r="R3612">
        <v>3</v>
      </c>
      <c r="S3612">
        <v>2499</v>
      </c>
      <c r="T3612">
        <v>0.1</v>
      </c>
      <c r="U3612">
        <v>6747.3</v>
      </c>
      <c r="V3612">
        <v>4350</v>
      </c>
      <c r="W3612">
        <v>2397.3000000000002</v>
      </c>
      <c r="X3612" t="s">
        <v>75</v>
      </c>
      <c r="Y3612" t="s">
        <v>68</v>
      </c>
      <c r="Z3612" t="s">
        <v>158</v>
      </c>
      <c r="AA3612" t="s">
        <v>169</v>
      </c>
      <c r="AB3612">
        <v>3.7</v>
      </c>
      <c r="AC3612">
        <v>60</v>
      </c>
      <c r="AD3612">
        <v>696.93</v>
      </c>
      <c r="AE3612">
        <f t="shared" si="112"/>
        <v>1640.3700000000003</v>
      </c>
      <c r="AF3612" t="str">
        <f t="shared" si="113"/>
        <v>2026-04</v>
      </c>
      <c r="AG3612">
        <f>SUBTOTAL(103,A3612)</f>
        <v>1</v>
      </c>
    </row>
    <row r="3613" spans="1:33" x14ac:dyDescent="0.3">
      <c r="A3613" t="s">
        <v>6236</v>
      </c>
      <c r="B3613" s="13">
        <v>46122</v>
      </c>
      <c r="C3613">
        <v>2026</v>
      </c>
      <c r="D3613">
        <v>4</v>
      </c>
      <c r="E3613" t="s">
        <v>3328</v>
      </c>
      <c r="F3613" t="s">
        <v>3329</v>
      </c>
      <c r="G3613" t="s">
        <v>1427</v>
      </c>
      <c r="H3613" t="s">
        <v>1428</v>
      </c>
      <c r="I3613" t="s">
        <v>86</v>
      </c>
      <c r="J3613">
        <v>45</v>
      </c>
      <c r="K3613" t="s">
        <v>82</v>
      </c>
      <c r="L3613" t="s">
        <v>93</v>
      </c>
      <c r="M3613" t="s">
        <v>55</v>
      </c>
      <c r="N3613" t="s">
        <v>2626</v>
      </c>
      <c r="O3613" t="s">
        <v>125</v>
      </c>
      <c r="P3613" t="s">
        <v>48</v>
      </c>
      <c r="Q3613" t="s">
        <v>141</v>
      </c>
      <c r="R3613">
        <v>4</v>
      </c>
      <c r="S3613">
        <v>1999</v>
      </c>
      <c r="T3613">
        <v>0.05</v>
      </c>
      <c r="U3613">
        <v>7596.2</v>
      </c>
      <c r="V3613">
        <v>4600</v>
      </c>
      <c r="W3613">
        <v>2996.2</v>
      </c>
      <c r="X3613" t="s">
        <v>75</v>
      </c>
      <c r="Y3613" t="s">
        <v>68</v>
      </c>
      <c r="Z3613" t="s">
        <v>162</v>
      </c>
      <c r="AA3613" t="s">
        <v>170</v>
      </c>
      <c r="AB3613">
        <v>4</v>
      </c>
      <c r="AC3613">
        <v>40</v>
      </c>
      <c r="AD3613">
        <v>212.66</v>
      </c>
      <c r="AE3613">
        <f t="shared" si="112"/>
        <v>2743.54</v>
      </c>
      <c r="AF3613" t="str">
        <f t="shared" si="113"/>
        <v>2026-04</v>
      </c>
      <c r="AG3613">
        <f>SUBTOTAL(103,A3613)</f>
        <v>1</v>
      </c>
    </row>
    <row r="3614" spans="1:33" x14ac:dyDescent="0.3">
      <c r="A3614" t="s">
        <v>6237</v>
      </c>
      <c r="B3614" s="13">
        <v>46122</v>
      </c>
      <c r="C3614">
        <v>2026</v>
      </c>
      <c r="D3614">
        <v>4</v>
      </c>
      <c r="E3614" t="s">
        <v>3328</v>
      </c>
      <c r="F3614" t="s">
        <v>3329</v>
      </c>
      <c r="G3614" t="s">
        <v>665</v>
      </c>
      <c r="H3614" t="s">
        <v>666</v>
      </c>
      <c r="I3614" t="s">
        <v>86</v>
      </c>
      <c r="J3614">
        <v>27</v>
      </c>
      <c r="K3614" t="s">
        <v>81</v>
      </c>
      <c r="L3614" t="s">
        <v>2634</v>
      </c>
      <c r="M3614" t="s">
        <v>56</v>
      </c>
      <c r="N3614" t="s">
        <v>2587</v>
      </c>
      <c r="O3614" t="s">
        <v>116</v>
      </c>
      <c r="P3614" t="s">
        <v>48</v>
      </c>
      <c r="Q3614" t="s">
        <v>138</v>
      </c>
      <c r="R3614">
        <v>1</v>
      </c>
      <c r="S3614">
        <v>14999</v>
      </c>
      <c r="T3614">
        <v>0.05</v>
      </c>
      <c r="U3614">
        <v>14249.05</v>
      </c>
      <c r="V3614">
        <v>11200</v>
      </c>
      <c r="W3614">
        <v>3049.05</v>
      </c>
      <c r="X3614" t="s">
        <v>74</v>
      </c>
      <c r="Y3614" t="s">
        <v>68</v>
      </c>
      <c r="Z3614" t="s">
        <v>161</v>
      </c>
      <c r="AA3614" t="s">
        <v>169</v>
      </c>
      <c r="AB3614">
        <v>3.6</v>
      </c>
      <c r="AC3614">
        <v>60</v>
      </c>
      <c r="AD3614">
        <v>652.41</v>
      </c>
      <c r="AE3614">
        <f t="shared" si="112"/>
        <v>2336.6400000000003</v>
      </c>
      <c r="AF3614" t="str">
        <f t="shared" si="113"/>
        <v>2026-04</v>
      </c>
      <c r="AG3614">
        <f>SUBTOTAL(103,A3614)</f>
        <v>1</v>
      </c>
    </row>
    <row r="3615" spans="1:33" x14ac:dyDescent="0.3">
      <c r="A3615" t="s">
        <v>6238</v>
      </c>
      <c r="B3615" s="13">
        <v>46123</v>
      </c>
      <c r="C3615">
        <v>2026</v>
      </c>
      <c r="D3615">
        <v>4</v>
      </c>
      <c r="E3615" t="s">
        <v>3328</v>
      </c>
      <c r="F3615" t="s">
        <v>3329</v>
      </c>
      <c r="G3615" t="s">
        <v>1017</v>
      </c>
      <c r="H3615" t="s">
        <v>1018</v>
      </c>
      <c r="I3615" t="s">
        <v>87</v>
      </c>
      <c r="J3615">
        <v>60</v>
      </c>
      <c r="K3615" t="s">
        <v>83</v>
      </c>
      <c r="L3615" t="s">
        <v>93</v>
      </c>
      <c r="M3615" t="s">
        <v>55</v>
      </c>
      <c r="N3615" t="s">
        <v>2647</v>
      </c>
      <c r="O3615" t="s">
        <v>133</v>
      </c>
      <c r="P3615" t="s">
        <v>50</v>
      </c>
      <c r="Q3615" t="s">
        <v>145</v>
      </c>
      <c r="R3615">
        <v>1</v>
      </c>
      <c r="S3615">
        <v>799</v>
      </c>
      <c r="T3615">
        <v>0.1</v>
      </c>
      <c r="U3615">
        <v>719.1</v>
      </c>
      <c r="V3615">
        <v>390</v>
      </c>
      <c r="W3615">
        <v>329.1</v>
      </c>
      <c r="X3615" t="s">
        <v>73</v>
      </c>
      <c r="Y3615" t="s">
        <v>68</v>
      </c>
      <c r="Z3615" t="s">
        <v>159</v>
      </c>
      <c r="AA3615" t="s">
        <v>166</v>
      </c>
      <c r="AB3615">
        <v>4.9000000000000004</v>
      </c>
      <c r="AC3615">
        <v>120</v>
      </c>
      <c r="AD3615">
        <v>42.15</v>
      </c>
      <c r="AE3615">
        <f t="shared" si="112"/>
        <v>166.95000000000002</v>
      </c>
      <c r="AF3615" t="str">
        <f t="shared" si="113"/>
        <v>2026-04</v>
      </c>
      <c r="AG3615">
        <f>SUBTOTAL(103,A3615)</f>
        <v>1</v>
      </c>
    </row>
    <row r="3616" spans="1:33" x14ac:dyDescent="0.3">
      <c r="A3616" t="s">
        <v>6239</v>
      </c>
      <c r="B3616" s="13">
        <v>46123</v>
      </c>
      <c r="C3616">
        <v>2026</v>
      </c>
      <c r="D3616">
        <v>4</v>
      </c>
      <c r="E3616" t="s">
        <v>3328</v>
      </c>
      <c r="F3616" t="s">
        <v>3329</v>
      </c>
      <c r="G3616" t="s">
        <v>299</v>
      </c>
      <c r="H3616" t="s">
        <v>300</v>
      </c>
      <c r="I3616" t="s">
        <v>85</v>
      </c>
      <c r="J3616">
        <v>21</v>
      </c>
      <c r="K3616" t="s">
        <v>80</v>
      </c>
      <c r="L3616" t="s">
        <v>2687</v>
      </c>
      <c r="M3616" t="s">
        <v>57</v>
      </c>
      <c r="N3616" t="s">
        <v>2577</v>
      </c>
      <c r="O3616" t="s">
        <v>129</v>
      </c>
      <c r="P3616" t="s">
        <v>49</v>
      </c>
      <c r="Q3616" t="s">
        <v>149</v>
      </c>
      <c r="R3616">
        <v>2</v>
      </c>
      <c r="S3616">
        <v>1299</v>
      </c>
      <c r="T3616">
        <v>0.05</v>
      </c>
      <c r="U3616">
        <v>2468.1</v>
      </c>
      <c r="V3616">
        <v>1300</v>
      </c>
      <c r="W3616">
        <v>1168.0999999999999</v>
      </c>
      <c r="X3616" t="s">
        <v>76</v>
      </c>
      <c r="Y3616" t="s">
        <v>68</v>
      </c>
      <c r="Z3616" t="s">
        <v>160</v>
      </c>
      <c r="AA3616" t="s">
        <v>166</v>
      </c>
      <c r="AB3616">
        <v>3.7</v>
      </c>
      <c r="AC3616">
        <v>40</v>
      </c>
      <c r="AD3616">
        <v>234.4</v>
      </c>
      <c r="AE3616">
        <f t="shared" si="112"/>
        <v>893.69999999999993</v>
      </c>
      <c r="AF3616" t="str">
        <f t="shared" si="113"/>
        <v>2026-04</v>
      </c>
      <c r="AG3616">
        <f>SUBTOTAL(103,A3616)</f>
        <v>1</v>
      </c>
    </row>
    <row r="3617" spans="1:33" x14ac:dyDescent="0.3">
      <c r="A3617" t="s">
        <v>6240</v>
      </c>
      <c r="B3617" s="13">
        <v>46123</v>
      </c>
      <c r="C3617">
        <v>2026</v>
      </c>
      <c r="D3617">
        <v>4</v>
      </c>
      <c r="E3617" t="s">
        <v>3328</v>
      </c>
      <c r="F3617" t="s">
        <v>3329</v>
      </c>
      <c r="G3617" t="s">
        <v>1353</v>
      </c>
      <c r="H3617" t="s">
        <v>1354</v>
      </c>
      <c r="I3617" t="s">
        <v>86</v>
      </c>
      <c r="J3617">
        <v>35</v>
      </c>
      <c r="K3617" t="s">
        <v>81</v>
      </c>
      <c r="L3617" t="s">
        <v>2573</v>
      </c>
      <c r="M3617" t="s">
        <v>63</v>
      </c>
      <c r="N3617" t="s">
        <v>2584</v>
      </c>
      <c r="O3617" t="s">
        <v>121</v>
      </c>
      <c r="P3617" t="s">
        <v>50</v>
      </c>
      <c r="Q3617" t="s">
        <v>144</v>
      </c>
      <c r="R3617">
        <v>1</v>
      </c>
      <c r="S3617">
        <v>2999</v>
      </c>
      <c r="T3617">
        <v>0.1</v>
      </c>
      <c r="U3617">
        <v>2699.1</v>
      </c>
      <c r="V3617">
        <v>1700</v>
      </c>
      <c r="W3617">
        <v>999.1</v>
      </c>
      <c r="X3617" t="s">
        <v>73</v>
      </c>
      <c r="Y3617" t="s">
        <v>68</v>
      </c>
      <c r="Z3617" t="s">
        <v>163</v>
      </c>
      <c r="AA3617" t="s">
        <v>169</v>
      </c>
      <c r="AB3617">
        <v>4.2</v>
      </c>
      <c r="AC3617">
        <v>40</v>
      </c>
      <c r="AD3617">
        <v>258.29000000000002</v>
      </c>
      <c r="AE3617">
        <f t="shared" si="112"/>
        <v>700.81</v>
      </c>
      <c r="AF3617" t="str">
        <f t="shared" si="113"/>
        <v>2026-04</v>
      </c>
      <c r="AG3617">
        <f>SUBTOTAL(103,A3617)</f>
        <v>1</v>
      </c>
    </row>
    <row r="3618" spans="1:33" x14ac:dyDescent="0.3">
      <c r="A3618" t="s">
        <v>6241</v>
      </c>
      <c r="B3618" s="13">
        <v>46123</v>
      </c>
      <c r="C3618">
        <v>2026</v>
      </c>
      <c r="D3618">
        <v>4</v>
      </c>
      <c r="E3618" t="s">
        <v>3328</v>
      </c>
      <c r="F3618" t="s">
        <v>3329</v>
      </c>
      <c r="G3618" t="s">
        <v>1571</v>
      </c>
      <c r="H3618" t="s">
        <v>1572</v>
      </c>
      <c r="I3618" t="s">
        <v>86</v>
      </c>
      <c r="J3618">
        <v>30</v>
      </c>
      <c r="K3618" t="s">
        <v>81</v>
      </c>
      <c r="L3618" t="s">
        <v>2605</v>
      </c>
      <c r="M3618" t="s">
        <v>60</v>
      </c>
      <c r="N3618" t="s">
        <v>2594</v>
      </c>
      <c r="O3618" t="s">
        <v>131</v>
      </c>
      <c r="P3618" t="s">
        <v>53</v>
      </c>
      <c r="Q3618" t="s">
        <v>143</v>
      </c>
      <c r="R3618">
        <v>3</v>
      </c>
      <c r="S3618">
        <v>999</v>
      </c>
      <c r="T3618">
        <v>0</v>
      </c>
      <c r="U3618">
        <v>2997</v>
      </c>
      <c r="V3618">
        <v>1560</v>
      </c>
      <c r="W3618">
        <v>1437</v>
      </c>
      <c r="X3618" t="s">
        <v>73</v>
      </c>
      <c r="Y3618" t="s">
        <v>68</v>
      </c>
      <c r="Z3618" t="s">
        <v>162</v>
      </c>
      <c r="AA3618" t="s">
        <v>169</v>
      </c>
      <c r="AB3618">
        <v>3.9</v>
      </c>
      <c r="AC3618">
        <v>60</v>
      </c>
      <c r="AD3618">
        <v>287.01</v>
      </c>
      <c r="AE3618">
        <f t="shared" si="112"/>
        <v>1089.99</v>
      </c>
      <c r="AF3618" t="str">
        <f t="shared" si="113"/>
        <v>2026-04</v>
      </c>
      <c r="AG3618">
        <f>SUBTOTAL(103,A3618)</f>
        <v>1</v>
      </c>
    </row>
    <row r="3619" spans="1:33" x14ac:dyDescent="0.3">
      <c r="A3619" t="s">
        <v>6242</v>
      </c>
      <c r="B3619" s="13">
        <v>46123</v>
      </c>
      <c r="C3619">
        <v>2026</v>
      </c>
      <c r="D3619">
        <v>4</v>
      </c>
      <c r="E3619" t="s">
        <v>3328</v>
      </c>
      <c r="F3619" t="s">
        <v>3329</v>
      </c>
      <c r="G3619" t="s">
        <v>1093</v>
      </c>
      <c r="H3619" t="s">
        <v>1094</v>
      </c>
      <c r="I3619" t="s">
        <v>86</v>
      </c>
      <c r="J3619">
        <v>38</v>
      </c>
      <c r="K3619" t="s">
        <v>82</v>
      </c>
      <c r="L3619" t="s">
        <v>94</v>
      </c>
      <c r="M3619" t="s">
        <v>57</v>
      </c>
      <c r="N3619" t="s">
        <v>2657</v>
      </c>
      <c r="O3619" t="s">
        <v>134</v>
      </c>
      <c r="P3619" t="s">
        <v>49</v>
      </c>
      <c r="Q3619" t="s">
        <v>140</v>
      </c>
      <c r="R3619">
        <v>2</v>
      </c>
      <c r="S3619">
        <v>599</v>
      </c>
      <c r="T3619">
        <v>0</v>
      </c>
      <c r="U3619">
        <v>1198</v>
      </c>
      <c r="V3619">
        <v>500</v>
      </c>
      <c r="W3619">
        <v>698</v>
      </c>
      <c r="X3619" t="s">
        <v>73</v>
      </c>
      <c r="Y3619" t="s">
        <v>70</v>
      </c>
      <c r="Z3619" t="s">
        <v>159</v>
      </c>
      <c r="AA3619" t="s">
        <v>167</v>
      </c>
      <c r="AB3619">
        <v>3.8</v>
      </c>
      <c r="AC3619">
        <v>40</v>
      </c>
      <c r="AD3619">
        <v>35.86</v>
      </c>
      <c r="AE3619">
        <f t="shared" si="112"/>
        <v>622.14</v>
      </c>
      <c r="AF3619" t="str">
        <f t="shared" si="113"/>
        <v>2026-04</v>
      </c>
      <c r="AG3619">
        <f>SUBTOTAL(103,A3619)</f>
        <v>1</v>
      </c>
    </row>
    <row r="3620" spans="1:33" x14ac:dyDescent="0.3">
      <c r="A3620" t="s">
        <v>6243</v>
      </c>
      <c r="B3620" s="13">
        <v>46123</v>
      </c>
      <c r="C3620">
        <v>2026</v>
      </c>
      <c r="D3620">
        <v>4</v>
      </c>
      <c r="E3620" t="s">
        <v>3328</v>
      </c>
      <c r="F3620" t="s">
        <v>3329</v>
      </c>
      <c r="G3620" t="s">
        <v>1755</v>
      </c>
      <c r="H3620" t="s">
        <v>1756</v>
      </c>
      <c r="I3620" t="s">
        <v>86</v>
      </c>
      <c r="J3620">
        <v>23</v>
      </c>
      <c r="K3620" t="s">
        <v>80</v>
      </c>
      <c r="L3620" t="s">
        <v>98</v>
      </c>
      <c r="M3620" t="s">
        <v>55</v>
      </c>
      <c r="N3620" t="s">
        <v>2606</v>
      </c>
      <c r="O3620" t="s">
        <v>120</v>
      </c>
      <c r="P3620" t="s">
        <v>49</v>
      </c>
      <c r="Q3620" t="s">
        <v>140</v>
      </c>
      <c r="R3620">
        <v>1</v>
      </c>
      <c r="S3620">
        <v>2799</v>
      </c>
      <c r="T3620">
        <v>0</v>
      </c>
      <c r="U3620">
        <v>2799</v>
      </c>
      <c r="V3620">
        <v>1650</v>
      </c>
      <c r="W3620">
        <v>1149</v>
      </c>
      <c r="X3620" t="s">
        <v>77</v>
      </c>
      <c r="Y3620" t="s">
        <v>68</v>
      </c>
      <c r="Z3620" t="s">
        <v>158</v>
      </c>
      <c r="AA3620" t="s">
        <v>171</v>
      </c>
      <c r="AB3620">
        <v>3.9</v>
      </c>
      <c r="AC3620">
        <v>60</v>
      </c>
      <c r="AD3620">
        <v>204.7</v>
      </c>
      <c r="AE3620">
        <f t="shared" si="112"/>
        <v>884.3</v>
      </c>
      <c r="AF3620" t="str">
        <f t="shared" si="113"/>
        <v>2026-04</v>
      </c>
      <c r="AG3620">
        <f>SUBTOTAL(103,A3620)</f>
        <v>1</v>
      </c>
    </row>
    <row r="3621" spans="1:33" x14ac:dyDescent="0.3">
      <c r="A3621" t="s">
        <v>6244</v>
      </c>
      <c r="B3621" s="13">
        <v>46123</v>
      </c>
      <c r="C3621">
        <v>2026</v>
      </c>
      <c r="D3621">
        <v>4</v>
      </c>
      <c r="E3621" t="s">
        <v>3328</v>
      </c>
      <c r="F3621" t="s">
        <v>3329</v>
      </c>
      <c r="G3621" t="s">
        <v>1701</v>
      </c>
      <c r="H3621" t="s">
        <v>1702</v>
      </c>
      <c r="I3621" t="s">
        <v>85</v>
      </c>
      <c r="J3621">
        <v>42</v>
      </c>
      <c r="K3621" t="s">
        <v>82</v>
      </c>
      <c r="L3621" t="s">
        <v>96</v>
      </c>
      <c r="M3621" t="s">
        <v>55</v>
      </c>
      <c r="N3621" t="s">
        <v>2606</v>
      </c>
      <c r="O3621" t="s">
        <v>120</v>
      </c>
      <c r="P3621" t="s">
        <v>49</v>
      </c>
      <c r="Q3621" t="s">
        <v>140</v>
      </c>
      <c r="R3621">
        <v>3</v>
      </c>
      <c r="S3621">
        <v>2799</v>
      </c>
      <c r="T3621">
        <v>0.2</v>
      </c>
      <c r="U3621">
        <v>6717.6</v>
      </c>
      <c r="V3621">
        <v>4950</v>
      </c>
      <c r="W3621">
        <v>1767.6</v>
      </c>
      <c r="X3621" t="s">
        <v>76</v>
      </c>
      <c r="Y3621" t="s">
        <v>68</v>
      </c>
      <c r="Z3621" t="s">
        <v>161</v>
      </c>
      <c r="AA3621" t="s">
        <v>167</v>
      </c>
      <c r="AB3621">
        <v>3.2</v>
      </c>
      <c r="AC3621">
        <v>40</v>
      </c>
      <c r="AD3621">
        <v>625.65</v>
      </c>
      <c r="AE3621">
        <f t="shared" si="112"/>
        <v>1101.9499999999998</v>
      </c>
      <c r="AF3621" t="str">
        <f t="shared" si="113"/>
        <v>2026-04</v>
      </c>
      <c r="AG3621">
        <f>SUBTOTAL(103,A3621)</f>
        <v>1</v>
      </c>
    </row>
    <row r="3622" spans="1:33" x14ac:dyDescent="0.3">
      <c r="A3622" t="s">
        <v>6245</v>
      </c>
      <c r="B3622" s="13">
        <v>46123</v>
      </c>
      <c r="C3622">
        <v>2026</v>
      </c>
      <c r="D3622">
        <v>4</v>
      </c>
      <c r="E3622" t="s">
        <v>3328</v>
      </c>
      <c r="F3622" t="s">
        <v>3329</v>
      </c>
      <c r="G3622" t="s">
        <v>1125</v>
      </c>
      <c r="H3622" t="s">
        <v>1126</v>
      </c>
      <c r="I3622" t="s">
        <v>86</v>
      </c>
      <c r="J3622">
        <v>44</v>
      </c>
      <c r="K3622" t="s">
        <v>82</v>
      </c>
      <c r="L3622" t="s">
        <v>94</v>
      </c>
      <c r="M3622" t="s">
        <v>57</v>
      </c>
      <c r="N3622" t="s">
        <v>2594</v>
      </c>
      <c r="O3622" t="s">
        <v>131</v>
      </c>
      <c r="P3622" t="s">
        <v>53</v>
      </c>
      <c r="Q3622" t="s">
        <v>143</v>
      </c>
      <c r="R3622">
        <v>1</v>
      </c>
      <c r="S3622">
        <v>999</v>
      </c>
      <c r="T3622">
        <v>0.15</v>
      </c>
      <c r="U3622">
        <v>849.15</v>
      </c>
      <c r="V3622">
        <v>520</v>
      </c>
      <c r="W3622">
        <v>329.15</v>
      </c>
      <c r="X3622" t="s">
        <v>77</v>
      </c>
      <c r="Y3622" t="s">
        <v>68</v>
      </c>
      <c r="Z3622" t="s">
        <v>159</v>
      </c>
      <c r="AA3622" t="s">
        <v>171</v>
      </c>
      <c r="AB3622">
        <v>4</v>
      </c>
      <c r="AC3622">
        <v>40</v>
      </c>
      <c r="AD3622">
        <v>86.38</v>
      </c>
      <c r="AE3622">
        <f t="shared" si="112"/>
        <v>202.76999999999998</v>
      </c>
      <c r="AF3622" t="str">
        <f t="shared" si="113"/>
        <v>2026-04</v>
      </c>
      <c r="AG3622">
        <f>SUBTOTAL(103,A3622)</f>
        <v>1</v>
      </c>
    </row>
    <row r="3623" spans="1:33" x14ac:dyDescent="0.3">
      <c r="A3623" t="s">
        <v>6246</v>
      </c>
      <c r="B3623" s="13">
        <v>46123</v>
      </c>
      <c r="C3623">
        <v>2026</v>
      </c>
      <c r="D3623">
        <v>4</v>
      </c>
      <c r="E3623" t="s">
        <v>3328</v>
      </c>
      <c r="F3623" t="s">
        <v>3329</v>
      </c>
      <c r="G3623" t="s">
        <v>1931</v>
      </c>
      <c r="H3623" t="s">
        <v>1932</v>
      </c>
      <c r="I3623" t="s">
        <v>86</v>
      </c>
      <c r="J3623">
        <v>37</v>
      </c>
      <c r="K3623" t="s">
        <v>82</v>
      </c>
      <c r="L3623" t="s">
        <v>94</v>
      </c>
      <c r="M3623" t="s">
        <v>57</v>
      </c>
      <c r="N3623" t="s">
        <v>2647</v>
      </c>
      <c r="O3623" t="s">
        <v>133</v>
      </c>
      <c r="P3623" t="s">
        <v>50</v>
      </c>
      <c r="Q3623" t="s">
        <v>145</v>
      </c>
      <c r="R3623">
        <v>3</v>
      </c>
      <c r="S3623">
        <v>799</v>
      </c>
      <c r="T3623">
        <v>0</v>
      </c>
      <c r="U3623">
        <v>2397</v>
      </c>
      <c r="V3623">
        <v>1170</v>
      </c>
      <c r="W3623">
        <v>1227</v>
      </c>
      <c r="X3623" t="s">
        <v>76</v>
      </c>
      <c r="Y3623" t="s">
        <v>68</v>
      </c>
      <c r="Z3623" t="s">
        <v>162</v>
      </c>
      <c r="AA3623" t="s">
        <v>169</v>
      </c>
      <c r="AB3623">
        <v>4.0999999999999996</v>
      </c>
      <c r="AC3623">
        <v>60</v>
      </c>
      <c r="AD3623">
        <v>287.3</v>
      </c>
      <c r="AE3623">
        <f t="shared" si="112"/>
        <v>879.7</v>
      </c>
      <c r="AF3623" t="str">
        <f t="shared" si="113"/>
        <v>2026-04</v>
      </c>
      <c r="AG3623">
        <f>SUBTOTAL(103,A3623)</f>
        <v>1</v>
      </c>
    </row>
    <row r="3624" spans="1:33" x14ac:dyDescent="0.3">
      <c r="A3624" t="s">
        <v>6247</v>
      </c>
      <c r="B3624" s="13">
        <v>46123</v>
      </c>
      <c r="C3624">
        <v>2026</v>
      </c>
      <c r="D3624">
        <v>4</v>
      </c>
      <c r="E3624" t="s">
        <v>3328</v>
      </c>
      <c r="F3624" t="s">
        <v>3329</v>
      </c>
      <c r="G3624" t="s">
        <v>335</v>
      </c>
      <c r="H3624" t="s">
        <v>336</v>
      </c>
      <c r="I3624" t="s">
        <v>86</v>
      </c>
      <c r="J3624">
        <v>26</v>
      </c>
      <c r="K3624" t="s">
        <v>81</v>
      </c>
      <c r="L3624" t="s">
        <v>2605</v>
      </c>
      <c r="M3624" t="s">
        <v>60</v>
      </c>
      <c r="N3624" t="s">
        <v>2574</v>
      </c>
      <c r="O3624" t="s">
        <v>130</v>
      </c>
      <c r="P3624" t="s">
        <v>50</v>
      </c>
      <c r="Q3624" t="s">
        <v>53</v>
      </c>
      <c r="R3624">
        <v>4</v>
      </c>
      <c r="S3624">
        <v>1199</v>
      </c>
      <c r="T3624">
        <v>0.15</v>
      </c>
      <c r="U3624">
        <v>0</v>
      </c>
      <c r="V3624">
        <v>0</v>
      </c>
      <c r="W3624">
        <v>0</v>
      </c>
      <c r="X3624" t="s">
        <v>74</v>
      </c>
      <c r="Y3624" t="s">
        <v>71</v>
      </c>
      <c r="Z3624" t="s">
        <v>159</v>
      </c>
      <c r="AA3624" t="s">
        <v>171</v>
      </c>
      <c r="AB3624">
        <v>4.2</v>
      </c>
      <c r="AC3624">
        <v>80</v>
      </c>
      <c r="AD3624">
        <v>264.48</v>
      </c>
      <c r="AE3624">
        <f t="shared" si="112"/>
        <v>-344.48</v>
      </c>
      <c r="AF3624" t="str">
        <f t="shared" si="113"/>
        <v>2026-04</v>
      </c>
      <c r="AG3624">
        <f>SUBTOTAL(103,A3624)</f>
        <v>1</v>
      </c>
    </row>
    <row r="3625" spans="1:33" x14ac:dyDescent="0.3">
      <c r="A3625" t="s">
        <v>6248</v>
      </c>
      <c r="B3625" s="13">
        <v>46124</v>
      </c>
      <c r="C3625">
        <v>2026</v>
      </c>
      <c r="D3625">
        <v>4</v>
      </c>
      <c r="E3625" t="s">
        <v>3328</v>
      </c>
      <c r="F3625" t="s">
        <v>3329</v>
      </c>
      <c r="G3625" t="s">
        <v>737</v>
      </c>
      <c r="H3625" t="s">
        <v>738</v>
      </c>
      <c r="I3625" t="s">
        <v>86</v>
      </c>
      <c r="J3625">
        <v>39</v>
      </c>
      <c r="K3625" t="s">
        <v>82</v>
      </c>
      <c r="L3625" t="s">
        <v>2579</v>
      </c>
      <c r="M3625" t="s">
        <v>56</v>
      </c>
      <c r="N3625" t="s">
        <v>2580</v>
      </c>
      <c r="O3625" t="s">
        <v>118</v>
      </c>
      <c r="P3625" t="s">
        <v>48</v>
      </c>
      <c r="Q3625" t="s">
        <v>142</v>
      </c>
      <c r="R3625">
        <v>3</v>
      </c>
      <c r="S3625">
        <v>3999</v>
      </c>
      <c r="T3625">
        <v>0.05</v>
      </c>
      <c r="U3625">
        <v>11397.15</v>
      </c>
      <c r="V3625">
        <v>7200</v>
      </c>
      <c r="W3625">
        <v>4197.1499999999996</v>
      </c>
      <c r="X3625" t="s">
        <v>77</v>
      </c>
      <c r="Y3625" t="s">
        <v>68</v>
      </c>
      <c r="Z3625" t="s">
        <v>163</v>
      </c>
      <c r="AA3625" t="s">
        <v>171</v>
      </c>
      <c r="AB3625">
        <v>4.5999999999999996</v>
      </c>
      <c r="AC3625">
        <v>40</v>
      </c>
      <c r="AD3625">
        <v>1061.19</v>
      </c>
      <c r="AE3625">
        <f t="shared" si="112"/>
        <v>3095.9599999999996</v>
      </c>
      <c r="AF3625" t="str">
        <f t="shared" si="113"/>
        <v>2026-04</v>
      </c>
      <c r="AG3625">
        <f>SUBTOTAL(103,A3625)</f>
        <v>1</v>
      </c>
    </row>
    <row r="3626" spans="1:33" x14ac:dyDescent="0.3">
      <c r="A3626" t="s">
        <v>6249</v>
      </c>
      <c r="B3626" s="13">
        <v>46124</v>
      </c>
      <c r="C3626">
        <v>2026</v>
      </c>
      <c r="D3626">
        <v>4</v>
      </c>
      <c r="E3626" t="s">
        <v>3328</v>
      </c>
      <c r="F3626" t="s">
        <v>3329</v>
      </c>
      <c r="G3626" t="s">
        <v>535</v>
      </c>
      <c r="H3626" t="s">
        <v>536</v>
      </c>
      <c r="I3626" t="s">
        <v>85</v>
      </c>
      <c r="J3626">
        <v>52</v>
      </c>
      <c r="K3626" t="s">
        <v>83</v>
      </c>
      <c r="L3626" t="s">
        <v>2661</v>
      </c>
      <c r="M3626" t="s">
        <v>58</v>
      </c>
      <c r="N3626" t="s">
        <v>2594</v>
      </c>
      <c r="O3626" t="s">
        <v>131</v>
      </c>
      <c r="P3626" t="s">
        <v>53</v>
      </c>
      <c r="Q3626" t="s">
        <v>143</v>
      </c>
      <c r="R3626">
        <v>4</v>
      </c>
      <c r="S3626">
        <v>999</v>
      </c>
      <c r="T3626">
        <v>0.2</v>
      </c>
      <c r="U3626">
        <v>3196.8</v>
      </c>
      <c r="V3626">
        <v>2080</v>
      </c>
      <c r="W3626">
        <v>1116.8</v>
      </c>
      <c r="X3626" t="s">
        <v>73</v>
      </c>
      <c r="Y3626" t="s">
        <v>68</v>
      </c>
      <c r="Z3626" t="s">
        <v>163</v>
      </c>
      <c r="AA3626" t="s">
        <v>169</v>
      </c>
      <c r="AB3626">
        <v>4.9000000000000004</v>
      </c>
      <c r="AC3626">
        <v>40</v>
      </c>
      <c r="AD3626">
        <v>247.25</v>
      </c>
      <c r="AE3626">
        <f t="shared" si="112"/>
        <v>829.55</v>
      </c>
      <c r="AF3626" t="str">
        <f t="shared" si="113"/>
        <v>2026-04</v>
      </c>
      <c r="AG3626">
        <f>SUBTOTAL(103,A3626)</f>
        <v>1</v>
      </c>
    </row>
    <row r="3627" spans="1:33" x14ac:dyDescent="0.3">
      <c r="A3627" t="s">
        <v>6250</v>
      </c>
      <c r="B3627" s="13">
        <v>46124</v>
      </c>
      <c r="C3627">
        <v>2026</v>
      </c>
      <c r="D3627">
        <v>4</v>
      </c>
      <c r="E3627" t="s">
        <v>3328</v>
      </c>
      <c r="F3627" t="s">
        <v>3329</v>
      </c>
      <c r="G3627" t="s">
        <v>913</v>
      </c>
      <c r="H3627" t="s">
        <v>914</v>
      </c>
      <c r="I3627" t="s">
        <v>85</v>
      </c>
      <c r="J3627">
        <v>46</v>
      </c>
      <c r="K3627" t="s">
        <v>83</v>
      </c>
      <c r="L3627" t="s">
        <v>2612</v>
      </c>
      <c r="M3627" t="s">
        <v>64</v>
      </c>
      <c r="N3627" t="s">
        <v>2584</v>
      </c>
      <c r="O3627" t="s">
        <v>121</v>
      </c>
      <c r="P3627" t="s">
        <v>50</v>
      </c>
      <c r="Q3627" t="s">
        <v>144</v>
      </c>
      <c r="R3627">
        <v>1</v>
      </c>
      <c r="S3627">
        <v>2999</v>
      </c>
      <c r="T3627">
        <v>0.1</v>
      </c>
      <c r="U3627">
        <v>2699.1</v>
      </c>
      <c r="V3627">
        <v>1700</v>
      </c>
      <c r="W3627">
        <v>999.1</v>
      </c>
      <c r="X3627" t="s">
        <v>73</v>
      </c>
      <c r="Y3627" t="s">
        <v>68</v>
      </c>
      <c r="Z3627" t="s">
        <v>159</v>
      </c>
      <c r="AA3627" t="s">
        <v>169</v>
      </c>
      <c r="AB3627">
        <v>5</v>
      </c>
      <c r="AC3627">
        <v>50</v>
      </c>
      <c r="AD3627">
        <v>141.22999999999999</v>
      </c>
      <c r="AE3627">
        <f t="shared" si="112"/>
        <v>807.87</v>
      </c>
      <c r="AF3627" t="str">
        <f t="shared" si="113"/>
        <v>2026-04</v>
      </c>
      <c r="AG3627">
        <f>SUBTOTAL(103,A3627)</f>
        <v>1</v>
      </c>
    </row>
    <row r="3628" spans="1:33" x14ac:dyDescent="0.3">
      <c r="A3628" t="s">
        <v>6251</v>
      </c>
      <c r="B3628" s="13">
        <v>46124</v>
      </c>
      <c r="C3628">
        <v>2026</v>
      </c>
      <c r="D3628">
        <v>4</v>
      </c>
      <c r="E3628" t="s">
        <v>3328</v>
      </c>
      <c r="F3628" t="s">
        <v>3329</v>
      </c>
      <c r="G3628" t="s">
        <v>1473</v>
      </c>
      <c r="H3628" t="s">
        <v>1474</v>
      </c>
      <c r="I3628" t="s">
        <v>85</v>
      </c>
      <c r="J3628">
        <v>21</v>
      </c>
      <c r="K3628" t="s">
        <v>80</v>
      </c>
      <c r="L3628" t="s">
        <v>2610</v>
      </c>
      <c r="M3628" t="s">
        <v>64</v>
      </c>
      <c r="N3628" t="s">
        <v>2580</v>
      </c>
      <c r="O3628" t="s">
        <v>118</v>
      </c>
      <c r="P3628" t="s">
        <v>48</v>
      </c>
      <c r="Q3628" t="s">
        <v>142</v>
      </c>
      <c r="R3628">
        <v>1</v>
      </c>
      <c r="S3628">
        <v>3999</v>
      </c>
      <c r="T3628">
        <v>0.1</v>
      </c>
      <c r="U3628">
        <v>3599.1</v>
      </c>
      <c r="V3628">
        <v>2400</v>
      </c>
      <c r="W3628">
        <v>1199.0999999999999</v>
      </c>
      <c r="X3628" t="s">
        <v>73</v>
      </c>
      <c r="Y3628" t="s">
        <v>68</v>
      </c>
      <c r="Z3628" t="s">
        <v>161</v>
      </c>
      <c r="AA3628" t="s">
        <v>166</v>
      </c>
      <c r="AB3628">
        <v>4.4000000000000004</v>
      </c>
      <c r="AC3628">
        <v>80</v>
      </c>
      <c r="AD3628">
        <v>170.42</v>
      </c>
      <c r="AE3628">
        <f t="shared" si="112"/>
        <v>948.68</v>
      </c>
      <c r="AF3628" t="str">
        <f t="shared" si="113"/>
        <v>2026-04</v>
      </c>
      <c r="AG3628">
        <f>SUBTOTAL(103,A3628)</f>
        <v>1</v>
      </c>
    </row>
    <row r="3629" spans="1:33" x14ac:dyDescent="0.3">
      <c r="A3629" t="s">
        <v>6252</v>
      </c>
      <c r="B3629" s="13">
        <v>46124</v>
      </c>
      <c r="C3629">
        <v>2026</v>
      </c>
      <c r="D3629">
        <v>4</v>
      </c>
      <c r="E3629" t="s">
        <v>3328</v>
      </c>
      <c r="F3629" t="s">
        <v>3329</v>
      </c>
      <c r="G3629" t="s">
        <v>1629</v>
      </c>
      <c r="H3629" t="s">
        <v>1630</v>
      </c>
      <c r="I3629" t="s">
        <v>86</v>
      </c>
      <c r="J3629">
        <v>36</v>
      </c>
      <c r="K3629" t="s">
        <v>82</v>
      </c>
      <c r="L3629" t="s">
        <v>2661</v>
      </c>
      <c r="M3629" t="s">
        <v>58</v>
      </c>
      <c r="N3629" t="s">
        <v>2582</v>
      </c>
      <c r="O3629" t="s">
        <v>119</v>
      </c>
      <c r="P3629" t="s">
        <v>49</v>
      </c>
      <c r="Q3629" t="s">
        <v>140</v>
      </c>
      <c r="R3629">
        <v>3</v>
      </c>
      <c r="S3629">
        <v>3499</v>
      </c>
      <c r="T3629">
        <v>0.1</v>
      </c>
      <c r="U3629">
        <v>9447.2999999999993</v>
      </c>
      <c r="V3629">
        <v>6300</v>
      </c>
      <c r="W3629">
        <v>3147.3</v>
      </c>
      <c r="X3629" t="s">
        <v>76</v>
      </c>
      <c r="Y3629" t="s">
        <v>70</v>
      </c>
      <c r="Z3629" t="s">
        <v>158</v>
      </c>
      <c r="AA3629" t="s">
        <v>166</v>
      </c>
      <c r="AB3629">
        <v>3.9</v>
      </c>
      <c r="AC3629">
        <v>40</v>
      </c>
      <c r="AD3629">
        <v>1058.4100000000001</v>
      </c>
      <c r="AE3629">
        <f t="shared" si="112"/>
        <v>2048.8900000000003</v>
      </c>
      <c r="AF3629" t="str">
        <f t="shared" si="113"/>
        <v>2026-04</v>
      </c>
      <c r="AG3629">
        <f>SUBTOTAL(103,A3629)</f>
        <v>1</v>
      </c>
    </row>
    <row r="3630" spans="1:33" x14ac:dyDescent="0.3">
      <c r="A3630" t="s">
        <v>6253</v>
      </c>
      <c r="B3630" s="13">
        <v>46124</v>
      </c>
      <c r="C3630">
        <v>2026</v>
      </c>
      <c r="D3630">
        <v>4</v>
      </c>
      <c r="E3630" t="s">
        <v>3328</v>
      </c>
      <c r="F3630" t="s">
        <v>3329</v>
      </c>
      <c r="G3630" t="s">
        <v>1565</v>
      </c>
      <c r="H3630" t="s">
        <v>1566</v>
      </c>
      <c r="I3630" t="s">
        <v>85</v>
      </c>
      <c r="J3630">
        <v>38</v>
      </c>
      <c r="K3630" t="s">
        <v>82</v>
      </c>
      <c r="L3630" t="s">
        <v>2605</v>
      </c>
      <c r="M3630" t="s">
        <v>60</v>
      </c>
      <c r="N3630" t="s">
        <v>2647</v>
      </c>
      <c r="O3630" t="s">
        <v>133</v>
      </c>
      <c r="P3630" t="s">
        <v>50</v>
      </c>
      <c r="Q3630" t="s">
        <v>145</v>
      </c>
      <c r="R3630">
        <v>1</v>
      </c>
      <c r="S3630">
        <v>799</v>
      </c>
      <c r="T3630">
        <v>0</v>
      </c>
      <c r="U3630">
        <v>799</v>
      </c>
      <c r="V3630">
        <v>390</v>
      </c>
      <c r="W3630">
        <v>409</v>
      </c>
      <c r="X3630" t="s">
        <v>77</v>
      </c>
      <c r="Y3630" t="s">
        <v>68</v>
      </c>
      <c r="Z3630" t="s">
        <v>158</v>
      </c>
      <c r="AA3630" t="s">
        <v>169</v>
      </c>
      <c r="AB3630">
        <v>4</v>
      </c>
      <c r="AC3630">
        <v>60</v>
      </c>
      <c r="AD3630">
        <v>69.91</v>
      </c>
      <c r="AE3630">
        <f t="shared" si="112"/>
        <v>279.09000000000003</v>
      </c>
      <c r="AF3630" t="str">
        <f t="shared" si="113"/>
        <v>2026-04</v>
      </c>
      <c r="AG3630">
        <f>SUBTOTAL(103,A3630)</f>
        <v>1</v>
      </c>
    </row>
    <row r="3631" spans="1:33" x14ac:dyDescent="0.3">
      <c r="A3631" t="s">
        <v>6254</v>
      </c>
      <c r="B3631" s="13">
        <v>46124</v>
      </c>
      <c r="C3631">
        <v>2026</v>
      </c>
      <c r="D3631">
        <v>4</v>
      </c>
      <c r="E3631" t="s">
        <v>3328</v>
      </c>
      <c r="F3631" t="s">
        <v>3329</v>
      </c>
      <c r="G3631" t="s">
        <v>1947</v>
      </c>
      <c r="H3631" t="s">
        <v>1948</v>
      </c>
      <c r="I3631" t="s">
        <v>85</v>
      </c>
      <c r="J3631">
        <v>43</v>
      </c>
      <c r="K3631" t="s">
        <v>82</v>
      </c>
      <c r="L3631" t="s">
        <v>59</v>
      </c>
      <c r="M3631" t="s">
        <v>59</v>
      </c>
      <c r="N3631" t="s">
        <v>2580</v>
      </c>
      <c r="O3631" t="s">
        <v>118</v>
      </c>
      <c r="P3631" t="s">
        <v>48</v>
      </c>
      <c r="Q3631" t="s">
        <v>142</v>
      </c>
      <c r="R3631">
        <v>1</v>
      </c>
      <c r="S3631">
        <v>3999</v>
      </c>
      <c r="T3631">
        <v>0.15</v>
      </c>
      <c r="U3631">
        <v>3399.15</v>
      </c>
      <c r="V3631">
        <v>2400</v>
      </c>
      <c r="W3631">
        <v>999.15</v>
      </c>
      <c r="X3631" t="s">
        <v>77</v>
      </c>
      <c r="Y3631" t="s">
        <v>68</v>
      </c>
      <c r="Z3631" t="s">
        <v>160</v>
      </c>
      <c r="AA3631" t="s">
        <v>169</v>
      </c>
      <c r="AB3631">
        <v>3.8</v>
      </c>
      <c r="AC3631">
        <v>80</v>
      </c>
      <c r="AD3631">
        <v>391.32</v>
      </c>
      <c r="AE3631">
        <f t="shared" si="112"/>
        <v>527.82999999999993</v>
      </c>
      <c r="AF3631" t="str">
        <f t="shared" si="113"/>
        <v>2026-04</v>
      </c>
      <c r="AG3631">
        <f>SUBTOTAL(103,A3631)</f>
        <v>1</v>
      </c>
    </row>
    <row r="3632" spans="1:33" x14ac:dyDescent="0.3">
      <c r="A3632" t="s">
        <v>6255</v>
      </c>
      <c r="B3632" s="13">
        <v>46124</v>
      </c>
      <c r="C3632">
        <v>2026</v>
      </c>
      <c r="D3632">
        <v>4</v>
      </c>
      <c r="E3632" t="s">
        <v>3328</v>
      </c>
      <c r="F3632" t="s">
        <v>3329</v>
      </c>
      <c r="G3632" t="s">
        <v>1043</v>
      </c>
      <c r="H3632" t="s">
        <v>1044</v>
      </c>
      <c r="I3632" t="s">
        <v>85</v>
      </c>
      <c r="J3632">
        <v>25</v>
      </c>
      <c r="K3632" t="s">
        <v>80</v>
      </c>
      <c r="L3632" t="s">
        <v>94</v>
      </c>
      <c r="M3632" t="s">
        <v>57</v>
      </c>
      <c r="N3632" t="s">
        <v>2584</v>
      </c>
      <c r="O3632" t="s">
        <v>121</v>
      </c>
      <c r="P3632" t="s">
        <v>50</v>
      </c>
      <c r="Q3632" t="s">
        <v>144</v>
      </c>
      <c r="R3632">
        <v>4</v>
      </c>
      <c r="S3632">
        <v>2999</v>
      </c>
      <c r="T3632">
        <v>0.05</v>
      </c>
      <c r="U3632">
        <v>11396.2</v>
      </c>
      <c r="V3632">
        <v>6800</v>
      </c>
      <c r="W3632">
        <v>4596.2</v>
      </c>
      <c r="X3632" t="s">
        <v>74</v>
      </c>
      <c r="Y3632" t="s">
        <v>68</v>
      </c>
      <c r="Z3632" t="s">
        <v>158</v>
      </c>
      <c r="AA3632" t="s">
        <v>168</v>
      </c>
      <c r="AB3632">
        <v>4.0999999999999996</v>
      </c>
      <c r="AC3632">
        <v>50</v>
      </c>
      <c r="AD3632">
        <v>1047.47</v>
      </c>
      <c r="AE3632">
        <f t="shared" si="112"/>
        <v>3498.7299999999996</v>
      </c>
      <c r="AF3632" t="str">
        <f t="shared" si="113"/>
        <v>2026-04</v>
      </c>
      <c r="AG3632">
        <f>SUBTOTAL(103,A3632)</f>
        <v>1</v>
      </c>
    </row>
    <row r="3633" spans="1:33" x14ac:dyDescent="0.3">
      <c r="A3633" t="s">
        <v>6256</v>
      </c>
      <c r="B3633" s="13">
        <v>46124</v>
      </c>
      <c r="C3633">
        <v>2026</v>
      </c>
      <c r="D3633">
        <v>4</v>
      </c>
      <c r="E3633" t="s">
        <v>3328</v>
      </c>
      <c r="F3633" t="s">
        <v>3329</v>
      </c>
      <c r="G3633" t="s">
        <v>1285</v>
      </c>
      <c r="H3633" t="s">
        <v>1286</v>
      </c>
      <c r="I3633" t="s">
        <v>86</v>
      </c>
      <c r="J3633">
        <v>47</v>
      </c>
      <c r="K3633" t="s">
        <v>83</v>
      </c>
      <c r="L3633" t="s">
        <v>2679</v>
      </c>
      <c r="M3633" t="s">
        <v>60</v>
      </c>
      <c r="N3633" t="s">
        <v>2590</v>
      </c>
      <c r="O3633" t="s">
        <v>127</v>
      </c>
      <c r="P3633" t="s">
        <v>51</v>
      </c>
      <c r="Q3633" t="s">
        <v>148</v>
      </c>
      <c r="R3633">
        <v>3</v>
      </c>
      <c r="S3633">
        <v>1599</v>
      </c>
      <c r="T3633">
        <v>0.1</v>
      </c>
      <c r="U3633">
        <v>4317.3</v>
      </c>
      <c r="V3633">
        <v>2400</v>
      </c>
      <c r="W3633">
        <v>1917.3</v>
      </c>
      <c r="X3633" t="s">
        <v>75</v>
      </c>
      <c r="Y3633" t="s">
        <v>68</v>
      </c>
      <c r="Z3633" t="s">
        <v>163</v>
      </c>
      <c r="AA3633" t="s">
        <v>166</v>
      </c>
      <c r="AB3633">
        <v>4.2</v>
      </c>
      <c r="AC3633">
        <v>60</v>
      </c>
      <c r="AD3633">
        <v>335.6</v>
      </c>
      <c r="AE3633">
        <f t="shared" si="112"/>
        <v>1521.6999999999998</v>
      </c>
      <c r="AF3633" t="str">
        <f t="shared" si="113"/>
        <v>2026-04</v>
      </c>
      <c r="AG3633">
        <f>SUBTOTAL(103,A3633)</f>
        <v>1</v>
      </c>
    </row>
    <row r="3634" spans="1:33" x14ac:dyDescent="0.3">
      <c r="A3634" t="s">
        <v>6257</v>
      </c>
      <c r="B3634" s="13">
        <v>46124</v>
      </c>
      <c r="C3634">
        <v>2026</v>
      </c>
      <c r="D3634">
        <v>4</v>
      </c>
      <c r="E3634" t="s">
        <v>3328</v>
      </c>
      <c r="F3634" t="s">
        <v>3329</v>
      </c>
      <c r="G3634" t="s">
        <v>1265</v>
      </c>
      <c r="H3634" t="s">
        <v>1266</v>
      </c>
      <c r="I3634" t="s">
        <v>85</v>
      </c>
      <c r="J3634">
        <v>27</v>
      </c>
      <c r="K3634" t="s">
        <v>81</v>
      </c>
      <c r="L3634" t="s">
        <v>2637</v>
      </c>
      <c r="M3634" t="s">
        <v>64</v>
      </c>
      <c r="N3634" t="s">
        <v>2644</v>
      </c>
      <c r="O3634" t="s">
        <v>126</v>
      </c>
      <c r="P3634" t="s">
        <v>50</v>
      </c>
      <c r="Q3634" t="s">
        <v>145</v>
      </c>
      <c r="R3634">
        <v>2</v>
      </c>
      <c r="S3634">
        <v>1799</v>
      </c>
      <c r="T3634">
        <v>0.05</v>
      </c>
      <c r="U3634">
        <v>3418.1</v>
      </c>
      <c r="V3634">
        <v>1900</v>
      </c>
      <c r="W3634">
        <v>1518.1</v>
      </c>
      <c r="X3634" t="s">
        <v>73</v>
      </c>
      <c r="Y3634" t="s">
        <v>68</v>
      </c>
      <c r="Z3634" t="s">
        <v>158</v>
      </c>
      <c r="AA3634" t="s">
        <v>169</v>
      </c>
      <c r="AB3634">
        <v>4.3</v>
      </c>
      <c r="AC3634">
        <v>80</v>
      </c>
      <c r="AD3634">
        <v>275.29000000000002</v>
      </c>
      <c r="AE3634">
        <f t="shared" si="112"/>
        <v>1162.81</v>
      </c>
      <c r="AF3634" t="str">
        <f t="shared" si="113"/>
        <v>2026-04</v>
      </c>
      <c r="AG3634">
        <f>SUBTOTAL(103,A3634)</f>
        <v>1</v>
      </c>
    </row>
    <row r="3635" spans="1:33" x14ac:dyDescent="0.3">
      <c r="A3635" t="s">
        <v>6258</v>
      </c>
      <c r="B3635" s="13">
        <v>46124</v>
      </c>
      <c r="C3635">
        <v>2026</v>
      </c>
      <c r="D3635">
        <v>4</v>
      </c>
      <c r="E3635" t="s">
        <v>3328</v>
      </c>
      <c r="F3635" t="s">
        <v>3329</v>
      </c>
      <c r="G3635" t="s">
        <v>2453</v>
      </c>
      <c r="H3635" t="s">
        <v>2454</v>
      </c>
      <c r="I3635" t="s">
        <v>86</v>
      </c>
      <c r="J3635">
        <v>51</v>
      </c>
      <c r="K3635" t="s">
        <v>83</v>
      </c>
      <c r="L3635" t="s">
        <v>2579</v>
      </c>
      <c r="M3635" t="s">
        <v>56</v>
      </c>
      <c r="N3635" t="s">
        <v>2647</v>
      </c>
      <c r="O3635" t="s">
        <v>133</v>
      </c>
      <c r="P3635" t="s">
        <v>50</v>
      </c>
      <c r="Q3635" t="s">
        <v>145</v>
      </c>
      <c r="R3635">
        <v>3</v>
      </c>
      <c r="S3635">
        <v>799</v>
      </c>
      <c r="T3635">
        <v>0.1</v>
      </c>
      <c r="U3635">
        <v>2157.3000000000002</v>
      </c>
      <c r="V3635">
        <v>1170</v>
      </c>
      <c r="W3635">
        <v>987.3</v>
      </c>
      <c r="X3635" t="s">
        <v>77</v>
      </c>
      <c r="Y3635" t="s">
        <v>68</v>
      </c>
      <c r="Z3635" t="s">
        <v>163</v>
      </c>
      <c r="AA3635" t="s">
        <v>166</v>
      </c>
      <c r="AB3635">
        <v>3.3</v>
      </c>
      <c r="AC3635">
        <v>40</v>
      </c>
      <c r="AD3635">
        <v>44.65</v>
      </c>
      <c r="AE3635">
        <f t="shared" si="112"/>
        <v>902.65</v>
      </c>
      <c r="AF3635" t="str">
        <f t="shared" si="113"/>
        <v>2026-04</v>
      </c>
      <c r="AG3635">
        <f>SUBTOTAL(103,A3635)</f>
        <v>1</v>
      </c>
    </row>
    <row r="3636" spans="1:33" x14ac:dyDescent="0.3">
      <c r="A3636" t="s">
        <v>6259</v>
      </c>
      <c r="B3636" s="13">
        <v>46125</v>
      </c>
      <c r="C3636">
        <v>2026</v>
      </c>
      <c r="D3636">
        <v>4</v>
      </c>
      <c r="E3636" t="s">
        <v>3328</v>
      </c>
      <c r="F3636" t="s">
        <v>3329</v>
      </c>
      <c r="G3636" t="s">
        <v>1377</v>
      </c>
      <c r="H3636" t="s">
        <v>1378</v>
      </c>
      <c r="I3636" t="s">
        <v>86</v>
      </c>
      <c r="J3636">
        <v>32</v>
      </c>
      <c r="K3636" t="s">
        <v>81</v>
      </c>
      <c r="L3636" t="s">
        <v>2646</v>
      </c>
      <c r="M3636" t="s">
        <v>63</v>
      </c>
      <c r="N3636" t="s">
        <v>2584</v>
      </c>
      <c r="O3636" t="s">
        <v>121</v>
      </c>
      <c r="P3636" t="s">
        <v>50</v>
      </c>
      <c r="Q3636" t="s">
        <v>144</v>
      </c>
      <c r="R3636">
        <v>2</v>
      </c>
      <c r="S3636">
        <v>2999</v>
      </c>
      <c r="T3636">
        <v>0.05</v>
      </c>
      <c r="U3636">
        <v>5698.1</v>
      </c>
      <c r="V3636">
        <v>3400</v>
      </c>
      <c r="W3636">
        <v>2298.1</v>
      </c>
      <c r="X3636" t="s">
        <v>73</v>
      </c>
      <c r="Y3636" t="s">
        <v>68</v>
      </c>
      <c r="Z3636" t="s">
        <v>160</v>
      </c>
      <c r="AA3636" t="s">
        <v>167</v>
      </c>
      <c r="AB3636">
        <v>3.6</v>
      </c>
      <c r="AC3636">
        <v>80</v>
      </c>
      <c r="AD3636">
        <v>207.89</v>
      </c>
      <c r="AE3636">
        <f t="shared" si="112"/>
        <v>2010.21</v>
      </c>
      <c r="AF3636" t="str">
        <f t="shared" si="113"/>
        <v>2026-04</v>
      </c>
      <c r="AG3636">
        <f>SUBTOTAL(103,A3636)</f>
        <v>1</v>
      </c>
    </row>
    <row r="3637" spans="1:33" x14ac:dyDescent="0.3">
      <c r="A3637" t="s">
        <v>6260</v>
      </c>
      <c r="B3637" s="13">
        <v>46125</v>
      </c>
      <c r="C3637">
        <v>2026</v>
      </c>
      <c r="D3637">
        <v>4</v>
      </c>
      <c r="E3637" t="s">
        <v>3328</v>
      </c>
      <c r="F3637" t="s">
        <v>3329</v>
      </c>
      <c r="G3637" t="s">
        <v>1193</v>
      </c>
      <c r="H3637" t="s">
        <v>1194</v>
      </c>
      <c r="I3637" t="s">
        <v>85</v>
      </c>
      <c r="J3637">
        <v>49</v>
      </c>
      <c r="K3637" t="s">
        <v>83</v>
      </c>
      <c r="L3637" t="s">
        <v>59</v>
      </c>
      <c r="M3637" t="s">
        <v>59</v>
      </c>
      <c r="N3637" t="s">
        <v>2580</v>
      </c>
      <c r="O3637" t="s">
        <v>118</v>
      </c>
      <c r="P3637" t="s">
        <v>48</v>
      </c>
      <c r="Q3637" t="s">
        <v>142</v>
      </c>
      <c r="R3637">
        <v>2</v>
      </c>
      <c r="S3637">
        <v>3999</v>
      </c>
      <c r="T3637">
        <v>0.1</v>
      </c>
      <c r="U3637">
        <v>7198.2</v>
      </c>
      <c r="V3637">
        <v>4800</v>
      </c>
      <c r="W3637">
        <v>2398.1999999999998</v>
      </c>
      <c r="X3637" t="s">
        <v>76</v>
      </c>
      <c r="Y3637" t="s">
        <v>68</v>
      </c>
      <c r="Z3637" t="s">
        <v>162</v>
      </c>
      <c r="AA3637" t="s">
        <v>168</v>
      </c>
      <c r="AB3637">
        <v>4.4000000000000004</v>
      </c>
      <c r="AC3637">
        <v>50</v>
      </c>
      <c r="AD3637">
        <v>200.92</v>
      </c>
      <c r="AE3637">
        <f t="shared" si="112"/>
        <v>2147.2799999999997</v>
      </c>
      <c r="AF3637" t="str">
        <f t="shared" si="113"/>
        <v>2026-04</v>
      </c>
      <c r="AG3637">
        <f>SUBTOTAL(103,A3637)</f>
        <v>1</v>
      </c>
    </row>
    <row r="3638" spans="1:33" x14ac:dyDescent="0.3">
      <c r="A3638" t="s">
        <v>6261</v>
      </c>
      <c r="B3638" s="13">
        <v>46125</v>
      </c>
      <c r="C3638">
        <v>2026</v>
      </c>
      <c r="D3638">
        <v>4</v>
      </c>
      <c r="E3638" t="s">
        <v>3328</v>
      </c>
      <c r="F3638" t="s">
        <v>3329</v>
      </c>
      <c r="G3638" t="s">
        <v>491</v>
      </c>
      <c r="H3638" t="s">
        <v>492</v>
      </c>
      <c r="I3638" t="s">
        <v>86</v>
      </c>
      <c r="J3638">
        <v>40</v>
      </c>
      <c r="K3638" t="s">
        <v>82</v>
      </c>
      <c r="L3638" t="s">
        <v>2589</v>
      </c>
      <c r="M3638" t="s">
        <v>61</v>
      </c>
      <c r="N3638" t="s">
        <v>2577</v>
      </c>
      <c r="O3638" t="s">
        <v>129</v>
      </c>
      <c r="P3638" t="s">
        <v>49</v>
      </c>
      <c r="Q3638" t="s">
        <v>149</v>
      </c>
      <c r="R3638">
        <v>3</v>
      </c>
      <c r="S3638">
        <v>1299</v>
      </c>
      <c r="T3638">
        <v>0.1</v>
      </c>
      <c r="U3638">
        <v>3507.3</v>
      </c>
      <c r="V3638">
        <v>1950</v>
      </c>
      <c r="W3638">
        <v>1557.3</v>
      </c>
      <c r="X3638" t="s">
        <v>73</v>
      </c>
      <c r="Y3638" t="s">
        <v>68</v>
      </c>
      <c r="Z3638" t="s">
        <v>160</v>
      </c>
      <c r="AA3638" t="s">
        <v>167</v>
      </c>
      <c r="AB3638">
        <v>4.2</v>
      </c>
      <c r="AC3638">
        <v>80</v>
      </c>
      <c r="AD3638">
        <v>73.7</v>
      </c>
      <c r="AE3638">
        <f t="shared" si="112"/>
        <v>1403.6</v>
      </c>
      <c r="AF3638" t="str">
        <f t="shared" si="113"/>
        <v>2026-04</v>
      </c>
      <c r="AG3638">
        <f>SUBTOTAL(103,A3638)</f>
        <v>1</v>
      </c>
    </row>
    <row r="3639" spans="1:33" x14ac:dyDescent="0.3">
      <c r="A3639" t="s">
        <v>6262</v>
      </c>
      <c r="B3639" s="13">
        <v>46125</v>
      </c>
      <c r="C3639">
        <v>2026</v>
      </c>
      <c r="D3639">
        <v>4</v>
      </c>
      <c r="E3639" t="s">
        <v>3328</v>
      </c>
      <c r="F3639" t="s">
        <v>3329</v>
      </c>
      <c r="G3639" t="s">
        <v>509</v>
      </c>
      <c r="H3639" t="s">
        <v>510</v>
      </c>
      <c r="I3639" t="s">
        <v>87</v>
      </c>
      <c r="J3639">
        <v>60</v>
      </c>
      <c r="K3639" t="s">
        <v>83</v>
      </c>
      <c r="L3639" t="s">
        <v>2576</v>
      </c>
      <c r="M3639" t="s">
        <v>60</v>
      </c>
      <c r="N3639" t="s">
        <v>2577</v>
      </c>
      <c r="O3639" t="s">
        <v>129</v>
      </c>
      <c r="P3639" t="s">
        <v>49</v>
      </c>
      <c r="Q3639" t="s">
        <v>149</v>
      </c>
      <c r="R3639">
        <v>3</v>
      </c>
      <c r="S3639">
        <v>1299</v>
      </c>
      <c r="T3639">
        <v>0</v>
      </c>
      <c r="U3639">
        <v>3897</v>
      </c>
      <c r="V3639">
        <v>1950</v>
      </c>
      <c r="W3639">
        <v>1947</v>
      </c>
      <c r="X3639" t="s">
        <v>73</v>
      </c>
      <c r="Y3639" t="s">
        <v>68</v>
      </c>
      <c r="Z3639" t="s">
        <v>161</v>
      </c>
      <c r="AA3639" t="s">
        <v>167</v>
      </c>
      <c r="AB3639">
        <v>4.0999999999999996</v>
      </c>
      <c r="AC3639">
        <v>60</v>
      </c>
      <c r="AD3639">
        <v>95.47</v>
      </c>
      <c r="AE3639">
        <f t="shared" si="112"/>
        <v>1791.53</v>
      </c>
      <c r="AF3639" t="str">
        <f t="shared" si="113"/>
        <v>2026-04</v>
      </c>
      <c r="AG3639">
        <f>SUBTOTAL(103,A3639)</f>
        <v>1</v>
      </c>
    </row>
    <row r="3640" spans="1:33" x14ac:dyDescent="0.3">
      <c r="A3640" t="s">
        <v>6263</v>
      </c>
      <c r="B3640" s="13">
        <v>46125</v>
      </c>
      <c r="C3640">
        <v>2026</v>
      </c>
      <c r="D3640">
        <v>4</v>
      </c>
      <c r="E3640" t="s">
        <v>3328</v>
      </c>
      <c r="F3640" t="s">
        <v>3329</v>
      </c>
      <c r="G3640" t="s">
        <v>1533</v>
      </c>
      <c r="H3640" t="s">
        <v>1534</v>
      </c>
      <c r="I3640" t="s">
        <v>86</v>
      </c>
      <c r="J3640">
        <v>19</v>
      </c>
      <c r="K3640" t="s">
        <v>80</v>
      </c>
      <c r="L3640" t="s">
        <v>2599</v>
      </c>
      <c r="M3640" t="s">
        <v>62</v>
      </c>
      <c r="N3640" t="s">
        <v>2653</v>
      </c>
      <c r="O3640" t="s">
        <v>132</v>
      </c>
      <c r="P3640" t="s">
        <v>52</v>
      </c>
      <c r="Q3640" t="s">
        <v>150</v>
      </c>
      <c r="R3640">
        <v>2</v>
      </c>
      <c r="S3640">
        <v>899</v>
      </c>
      <c r="T3640">
        <v>0.2</v>
      </c>
      <c r="U3640">
        <v>0</v>
      </c>
      <c r="V3640">
        <v>0</v>
      </c>
      <c r="W3640">
        <v>0</v>
      </c>
      <c r="X3640" t="s">
        <v>73</v>
      </c>
      <c r="Y3640" t="s">
        <v>71</v>
      </c>
      <c r="Z3640" t="s">
        <v>161</v>
      </c>
      <c r="AA3640" t="s">
        <v>166</v>
      </c>
      <c r="AB3640">
        <v>4.5</v>
      </c>
      <c r="AC3640">
        <v>50</v>
      </c>
      <c r="AD3640">
        <v>85.07</v>
      </c>
      <c r="AE3640">
        <f t="shared" si="112"/>
        <v>-135.07</v>
      </c>
      <c r="AF3640" t="str">
        <f t="shared" si="113"/>
        <v>2026-04</v>
      </c>
      <c r="AG3640">
        <f>SUBTOTAL(103,A3640)</f>
        <v>1</v>
      </c>
    </row>
    <row r="3641" spans="1:33" x14ac:dyDescent="0.3">
      <c r="A3641" t="s">
        <v>6264</v>
      </c>
      <c r="B3641" s="13">
        <v>46125</v>
      </c>
      <c r="C3641">
        <v>2026</v>
      </c>
      <c r="D3641">
        <v>4</v>
      </c>
      <c r="E3641" t="s">
        <v>3328</v>
      </c>
      <c r="F3641" t="s">
        <v>3329</v>
      </c>
      <c r="G3641" t="s">
        <v>581</v>
      </c>
      <c r="H3641" t="s">
        <v>582</v>
      </c>
      <c r="I3641" t="s">
        <v>86</v>
      </c>
      <c r="J3641">
        <v>57</v>
      </c>
      <c r="K3641" t="s">
        <v>83</v>
      </c>
      <c r="L3641" t="s">
        <v>2610</v>
      </c>
      <c r="M3641" t="s">
        <v>64</v>
      </c>
      <c r="N3641" t="s">
        <v>2644</v>
      </c>
      <c r="O3641" t="s">
        <v>126</v>
      </c>
      <c r="P3641" t="s">
        <v>50</v>
      </c>
      <c r="Q3641" t="s">
        <v>145</v>
      </c>
      <c r="R3641">
        <v>2</v>
      </c>
      <c r="S3641">
        <v>1799</v>
      </c>
      <c r="T3641">
        <v>0.05</v>
      </c>
      <c r="U3641">
        <v>3418.1</v>
      </c>
      <c r="V3641">
        <v>1900</v>
      </c>
      <c r="W3641">
        <v>1518.1</v>
      </c>
      <c r="X3641" t="s">
        <v>73</v>
      </c>
      <c r="Y3641" t="s">
        <v>68</v>
      </c>
      <c r="Z3641" t="s">
        <v>159</v>
      </c>
      <c r="AA3641" t="s">
        <v>167</v>
      </c>
      <c r="AB3641">
        <v>3.7</v>
      </c>
      <c r="AC3641">
        <v>80</v>
      </c>
      <c r="AD3641">
        <v>386.41</v>
      </c>
      <c r="AE3641">
        <f t="shared" si="112"/>
        <v>1051.6899999999998</v>
      </c>
      <c r="AF3641" t="str">
        <f t="shared" si="113"/>
        <v>2026-04</v>
      </c>
      <c r="AG3641">
        <f>SUBTOTAL(103,A3641)</f>
        <v>1</v>
      </c>
    </row>
    <row r="3642" spans="1:33" x14ac:dyDescent="0.3">
      <c r="A3642" t="s">
        <v>6265</v>
      </c>
      <c r="B3642" s="13">
        <v>46125</v>
      </c>
      <c r="C3642">
        <v>2026</v>
      </c>
      <c r="D3642">
        <v>4</v>
      </c>
      <c r="E3642" t="s">
        <v>3328</v>
      </c>
      <c r="F3642" t="s">
        <v>3329</v>
      </c>
      <c r="G3642" t="s">
        <v>1767</v>
      </c>
      <c r="H3642" t="s">
        <v>1768</v>
      </c>
      <c r="I3642" t="s">
        <v>86</v>
      </c>
      <c r="J3642">
        <v>36</v>
      </c>
      <c r="K3642" t="s">
        <v>82</v>
      </c>
      <c r="L3642" t="s">
        <v>2573</v>
      </c>
      <c r="M3642" t="s">
        <v>63</v>
      </c>
      <c r="N3642" t="s">
        <v>2647</v>
      </c>
      <c r="O3642" t="s">
        <v>133</v>
      </c>
      <c r="P3642" t="s">
        <v>50</v>
      </c>
      <c r="Q3642" t="s">
        <v>145</v>
      </c>
      <c r="R3642">
        <v>1</v>
      </c>
      <c r="S3642">
        <v>799</v>
      </c>
      <c r="T3642">
        <v>0.2</v>
      </c>
      <c r="U3642">
        <v>639.20000000000005</v>
      </c>
      <c r="V3642">
        <v>390</v>
      </c>
      <c r="W3642">
        <v>249.2</v>
      </c>
      <c r="X3642" t="s">
        <v>76</v>
      </c>
      <c r="Y3642" t="s">
        <v>68</v>
      </c>
      <c r="Z3642" t="s">
        <v>160</v>
      </c>
      <c r="AA3642" t="s">
        <v>171</v>
      </c>
      <c r="AB3642">
        <v>3.8</v>
      </c>
      <c r="AC3642">
        <v>80</v>
      </c>
      <c r="AD3642">
        <v>36.11</v>
      </c>
      <c r="AE3642">
        <f t="shared" si="112"/>
        <v>133.08999999999997</v>
      </c>
      <c r="AF3642" t="str">
        <f t="shared" si="113"/>
        <v>2026-04</v>
      </c>
      <c r="AG3642">
        <f>SUBTOTAL(103,A3642)</f>
        <v>1</v>
      </c>
    </row>
    <row r="3643" spans="1:33" x14ac:dyDescent="0.3">
      <c r="A3643" t="s">
        <v>6266</v>
      </c>
      <c r="B3643" s="13">
        <v>46125</v>
      </c>
      <c r="C3643">
        <v>2026</v>
      </c>
      <c r="D3643">
        <v>4</v>
      </c>
      <c r="E3643" t="s">
        <v>3328</v>
      </c>
      <c r="F3643" t="s">
        <v>3329</v>
      </c>
      <c r="G3643" t="s">
        <v>759</v>
      </c>
      <c r="H3643" t="s">
        <v>760</v>
      </c>
      <c r="I3643" t="s">
        <v>86</v>
      </c>
      <c r="J3643">
        <v>34</v>
      </c>
      <c r="K3643" t="s">
        <v>81</v>
      </c>
      <c r="L3643" t="s">
        <v>100</v>
      </c>
      <c r="M3643" t="s">
        <v>56</v>
      </c>
      <c r="N3643" t="s">
        <v>2630</v>
      </c>
      <c r="O3643" t="s">
        <v>123</v>
      </c>
      <c r="P3643" t="s">
        <v>52</v>
      </c>
      <c r="Q3643" t="s">
        <v>146</v>
      </c>
      <c r="R3643">
        <v>2</v>
      </c>
      <c r="S3643">
        <v>2499</v>
      </c>
      <c r="T3643">
        <v>0.05</v>
      </c>
      <c r="U3643">
        <v>4748.1000000000004</v>
      </c>
      <c r="V3643">
        <v>2800</v>
      </c>
      <c r="W3643">
        <v>1948.1</v>
      </c>
      <c r="X3643" t="s">
        <v>73</v>
      </c>
      <c r="Y3643" t="s">
        <v>68</v>
      </c>
      <c r="Z3643" t="s">
        <v>162</v>
      </c>
      <c r="AA3643" t="s">
        <v>168</v>
      </c>
      <c r="AB3643">
        <v>3.5</v>
      </c>
      <c r="AC3643">
        <v>80</v>
      </c>
      <c r="AD3643">
        <v>127.98</v>
      </c>
      <c r="AE3643">
        <f t="shared" si="112"/>
        <v>1740.12</v>
      </c>
      <c r="AF3643" t="str">
        <f t="shared" si="113"/>
        <v>2026-04</v>
      </c>
      <c r="AG3643">
        <f>SUBTOTAL(103,A3643)</f>
        <v>1</v>
      </c>
    </row>
    <row r="3644" spans="1:33" x14ac:dyDescent="0.3">
      <c r="A3644" t="s">
        <v>6267</v>
      </c>
      <c r="B3644" s="13">
        <v>46125</v>
      </c>
      <c r="C3644">
        <v>2026</v>
      </c>
      <c r="D3644">
        <v>4</v>
      </c>
      <c r="E3644" t="s">
        <v>3328</v>
      </c>
      <c r="F3644" t="s">
        <v>3329</v>
      </c>
      <c r="G3644" t="s">
        <v>1809</v>
      </c>
      <c r="H3644" t="s">
        <v>1810</v>
      </c>
      <c r="I3644" t="s">
        <v>85</v>
      </c>
      <c r="J3644">
        <v>49</v>
      </c>
      <c r="K3644" t="s">
        <v>83</v>
      </c>
      <c r="L3644" t="s">
        <v>93</v>
      </c>
      <c r="M3644" t="s">
        <v>55</v>
      </c>
      <c r="N3644" t="s">
        <v>2603</v>
      </c>
      <c r="O3644" t="s">
        <v>122</v>
      </c>
      <c r="P3644" t="s">
        <v>48</v>
      </c>
      <c r="Q3644" t="s">
        <v>141</v>
      </c>
      <c r="R3644">
        <v>2</v>
      </c>
      <c r="S3644">
        <v>2499</v>
      </c>
      <c r="T3644">
        <v>0.15</v>
      </c>
      <c r="U3644">
        <v>4248.3</v>
      </c>
      <c r="V3644">
        <v>2900</v>
      </c>
      <c r="W3644">
        <v>1348.3</v>
      </c>
      <c r="X3644" t="s">
        <v>73</v>
      </c>
      <c r="Y3644" t="s">
        <v>68</v>
      </c>
      <c r="Z3644" t="s">
        <v>158</v>
      </c>
      <c r="AA3644" t="s">
        <v>168</v>
      </c>
      <c r="AB3644">
        <v>5</v>
      </c>
      <c r="AC3644">
        <v>80</v>
      </c>
      <c r="AD3644">
        <v>91.95</v>
      </c>
      <c r="AE3644">
        <f t="shared" si="112"/>
        <v>1176.3499999999999</v>
      </c>
      <c r="AF3644" t="str">
        <f t="shared" si="113"/>
        <v>2026-04</v>
      </c>
      <c r="AG3644">
        <f>SUBTOTAL(103,A3644)</f>
        <v>1</v>
      </c>
    </row>
    <row r="3645" spans="1:33" x14ac:dyDescent="0.3">
      <c r="A3645" t="s">
        <v>6268</v>
      </c>
      <c r="B3645" s="13">
        <v>46126</v>
      </c>
      <c r="C3645">
        <v>2026</v>
      </c>
      <c r="D3645">
        <v>4</v>
      </c>
      <c r="E3645" t="s">
        <v>3328</v>
      </c>
      <c r="F3645" t="s">
        <v>3329</v>
      </c>
      <c r="G3645" t="s">
        <v>1743</v>
      </c>
      <c r="H3645" t="s">
        <v>1744</v>
      </c>
      <c r="I3645" t="s">
        <v>86</v>
      </c>
      <c r="J3645">
        <v>28</v>
      </c>
      <c r="K3645" t="s">
        <v>81</v>
      </c>
      <c r="L3645" t="s">
        <v>2616</v>
      </c>
      <c r="M3645" t="s">
        <v>62</v>
      </c>
      <c r="N3645" t="s">
        <v>2665</v>
      </c>
      <c r="O3645" t="s">
        <v>128</v>
      </c>
      <c r="P3645" t="s">
        <v>53</v>
      </c>
      <c r="Q3645" t="s">
        <v>143</v>
      </c>
      <c r="R3645">
        <v>2</v>
      </c>
      <c r="S3645">
        <v>1499</v>
      </c>
      <c r="T3645">
        <v>0.1</v>
      </c>
      <c r="U3645">
        <v>2698.2</v>
      </c>
      <c r="V3645">
        <v>1600</v>
      </c>
      <c r="W3645">
        <v>1098.2</v>
      </c>
      <c r="X3645" t="s">
        <v>75</v>
      </c>
      <c r="Y3645" t="s">
        <v>68</v>
      </c>
      <c r="Z3645" t="s">
        <v>159</v>
      </c>
      <c r="AA3645" t="s">
        <v>167</v>
      </c>
      <c r="AB3645">
        <v>4.5</v>
      </c>
      <c r="AC3645">
        <v>80</v>
      </c>
      <c r="AD3645">
        <v>151.4</v>
      </c>
      <c r="AE3645">
        <f t="shared" si="112"/>
        <v>866.80000000000007</v>
      </c>
      <c r="AF3645" t="str">
        <f t="shared" si="113"/>
        <v>2026-04</v>
      </c>
      <c r="AG3645">
        <f>SUBTOTAL(103,A3645)</f>
        <v>1</v>
      </c>
    </row>
    <row r="3646" spans="1:33" x14ac:dyDescent="0.3">
      <c r="A3646" t="s">
        <v>6269</v>
      </c>
      <c r="B3646" s="13">
        <v>46126</v>
      </c>
      <c r="C3646">
        <v>2026</v>
      </c>
      <c r="D3646">
        <v>4</v>
      </c>
      <c r="E3646" t="s">
        <v>3328</v>
      </c>
      <c r="F3646" t="s">
        <v>3329</v>
      </c>
      <c r="G3646" t="s">
        <v>859</v>
      </c>
      <c r="H3646" t="s">
        <v>860</v>
      </c>
      <c r="I3646" t="s">
        <v>86</v>
      </c>
      <c r="J3646">
        <v>45</v>
      </c>
      <c r="K3646" t="s">
        <v>82</v>
      </c>
      <c r="L3646" t="s">
        <v>99</v>
      </c>
      <c r="M3646" t="s">
        <v>58</v>
      </c>
      <c r="N3646" t="s">
        <v>2630</v>
      </c>
      <c r="O3646" t="s">
        <v>123</v>
      </c>
      <c r="P3646" t="s">
        <v>52</v>
      </c>
      <c r="Q3646" t="s">
        <v>146</v>
      </c>
      <c r="R3646">
        <v>3</v>
      </c>
      <c r="S3646">
        <v>2499</v>
      </c>
      <c r="T3646">
        <v>0.15</v>
      </c>
      <c r="U3646">
        <v>6372.45</v>
      </c>
      <c r="V3646">
        <v>4200</v>
      </c>
      <c r="W3646">
        <v>2172.4499999999998</v>
      </c>
      <c r="X3646" t="s">
        <v>75</v>
      </c>
      <c r="Y3646" t="s">
        <v>68</v>
      </c>
      <c r="Z3646" t="s">
        <v>158</v>
      </c>
      <c r="AA3646" t="s">
        <v>167</v>
      </c>
      <c r="AB3646">
        <v>3.2</v>
      </c>
      <c r="AC3646">
        <v>60</v>
      </c>
      <c r="AD3646">
        <v>471.08</v>
      </c>
      <c r="AE3646">
        <f t="shared" si="112"/>
        <v>1641.37</v>
      </c>
      <c r="AF3646" t="str">
        <f t="shared" si="113"/>
        <v>2026-04</v>
      </c>
      <c r="AG3646">
        <f>SUBTOTAL(103,A3646)</f>
        <v>1</v>
      </c>
    </row>
    <row r="3647" spans="1:33" x14ac:dyDescent="0.3">
      <c r="A3647" t="s">
        <v>6270</v>
      </c>
      <c r="B3647" s="13">
        <v>46126</v>
      </c>
      <c r="C3647">
        <v>2026</v>
      </c>
      <c r="D3647">
        <v>4</v>
      </c>
      <c r="E3647" t="s">
        <v>3328</v>
      </c>
      <c r="F3647" t="s">
        <v>3329</v>
      </c>
      <c r="G3647" t="s">
        <v>651</v>
      </c>
      <c r="H3647" t="s">
        <v>652</v>
      </c>
      <c r="I3647" t="s">
        <v>86</v>
      </c>
      <c r="J3647">
        <v>23</v>
      </c>
      <c r="K3647" t="s">
        <v>80</v>
      </c>
      <c r="L3647" t="s">
        <v>90</v>
      </c>
      <c r="M3647" t="s">
        <v>55</v>
      </c>
      <c r="N3647" t="s">
        <v>2606</v>
      </c>
      <c r="O3647" t="s">
        <v>120</v>
      </c>
      <c r="P3647" t="s">
        <v>49</v>
      </c>
      <c r="Q3647" t="s">
        <v>140</v>
      </c>
      <c r="R3647">
        <v>4</v>
      </c>
      <c r="S3647">
        <v>2799</v>
      </c>
      <c r="T3647">
        <v>0.1</v>
      </c>
      <c r="U3647">
        <v>10076.4</v>
      </c>
      <c r="V3647">
        <v>6600</v>
      </c>
      <c r="W3647">
        <v>3476.4</v>
      </c>
      <c r="X3647" t="s">
        <v>77</v>
      </c>
      <c r="Y3647" t="s">
        <v>68</v>
      </c>
      <c r="Z3647" t="s">
        <v>160</v>
      </c>
      <c r="AA3647" t="s">
        <v>168</v>
      </c>
      <c r="AB3647">
        <v>4.4000000000000004</v>
      </c>
      <c r="AC3647">
        <v>60</v>
      </c>
      <c r="AD3647">
        <v>953.15</v>
      </c>
      <c r="AE3647">
        <f t="shared" si="112"/>
        <v>2463.25</v>
      </c>
      <c r="AF3647" t="str">
        <f t="shared" si="113"/>
        <v>2026-04</v>
      </c>
      <c r="AG3647">
        <f>SUBTOTAL(103,A3647)</f>
        <v>1</v>
      </c>
    </row>
    <row r="3648" spans="1:33" x14ac:dyDescent="0.3">
      <c r="A3648" t="s">
        <v>6271</v>
      </c>
      <c r="B3648" s="13">
        <v>46126</v>
      </c>
      <c r="C3648">
        <v>2026</v>
      </c>
      <c r="D3648">
        <v>4</v>
      </c>
      <c r="E3648" t="s">
        <v>3328</v>
      </c>
      <c r="F3648" t="s">
        <v>3329</v>
      </c>
      <c r="G3648" t="s">
        <v>1085</v>
      </c>
      <c r="H3648" t="s">
        <v>1086</v>
      </c>
      <c r="I3648" t="s">
        <v>86</v>
      </c>
      <c r="J3648">
        <v>57</v>
      </c>
      <c r="K3648" t="s">
        <v>83</v>
      </c>
      <c r="L3648" t="s">
        <v>2616</v>
      </c>
      <c r="M3648" t="s">
        <v>62</v>
      </c>
      <c r="N3648" t="s">
        <v>2606</v>
      </c>
      <c r="O3648" t="s">
        <v>120</v>
      </c>
      <c r="P3648" t="s">
        <v>49</v>
      </c>
      <c r="Q3648" t="s">
        <v>140</v>
      </c>
      <c r="R3648">
        <v>2</v>
      </c>
      <c r="S3648">
        <v>2799</v>
      </c>
      <c r="T3648">
        <v>0</v>
      </c>
      <c r="U3648">
        <v>5598</v>
      </c>
      <c r="V3648">
        <v>3300</v>
      </c>
      <c r="W3648">
        <v>2298</v>
      </c>
      <c r="X3648" t="s">
        <v>73</v>
      </c>
      <c r="Y3648" t="s">
        <v>68</v>
      </c>
      <c r="Z3648" t="s">
        <v>162</v>
      </c>
      <c r="AA3648" t="s">
        <v>166</v>
      </c>
      <c r="AB3648">
        <v>3.2</v>
      </c>
      <c r="AC3648">
        <v>60</v>
      </c>
      <c r="AD3648">
        <v>628.62</v>
      </c>
      <c r="AE3648">
        <f t="shared" si="112"/>
        <v>1609.38</v>
      </c>
      <c r="AF3648" t="str">
        <f t="shared" si="113"/>
        <v>2026-04</v>
      </c>
      <c r="AG3648">
        <f>SUBTOTAL(103,A3648)</f>
        <v>1</v>
      </c>
    </row>
    <row r="3649" spans="1:33" x14ac:dyDescent="0.3">
      <c r="A3649" t="s">
        <v>6272</v>
      </c>
      <c r="B3649" s="13">
        <v>46127</v>
      </c>
      <c r="C3649">
        <v>2026</v>
      </c>
      <c r="D3649">
        <v>4</v>
      </c>
      <c r="E3649" t="s">
        <v>3328</v>
      </c>
      <c r="F3649" t="s">
        <v>3329</v>
      </c>
      <c r="G3649" t="s">
        <v>2411</v>
      </c>
      <c r="H3649" t="s">
        <v>2412</v>
      </c>
      <c r="I3649" t="s">
        <v>85</v>
      </c>
      <c r="J3649">
        <v>38</v>
      </c>
      <c r="K3649" t="s">
        <v>82</v>
      </c>
      <c r="L3649" t="s">
        <v>2679</v>
      </c>
      <c r="M3649" t="s">
        <v>60</v>
      </c>
      <c r="N3649" t="s">
        <v>2644</v>
      </c>
      <c r="O3649" t="s">
        <v>126</v>
      </c>
      <c r="P3649" t="s">
        <v>50</v>
      </c>
      <c r="Q3649" t="s">
        <v>145</v>
      </c>
      <c r="R3649">
        <v>2</v>
      </c>
      <c r="S3649">
        <v>1799</v>
      </c>
      <c r="T3649">
        <v>0.15</v>
      </c>
      <c r="U3649">
        <v>3058.3</v>
      </c>
      <c r="V3649">
        <v>1900</v>
      </c>
      <c r="W3649">
        <v>1158.3</v>
      </c>
      <c r="X3649" t="s">
        <v>73</v>
      </c>
      <c r="Y3649" t="s">
        <v>68</v>
      </c>
      <c r="Z3649" t="s">
        <v>158</v>
      </c>
      <c r="AA3649" t="s">
        <v>171</v>
      </c>
      <c r="AB3649">
        <v>3.3</v>
      </c>
      <c r="AC3649">
        <v>50</v>
      </c>
      <c r="AD3649">
        <v>144.36000000000001</v>
      </c>
      <c r="AE3649">
        <f t="shared" si="112"/>
        <v>963.93999999999994</v>
      </c>
      <c r="AF3649" t="str">
        <f t="shared" si="113"/>
        <v>2026-04</v>
      </c>
      <c r="AG3649">
        <f>SUBTOTAL(103,A3649)</f>
        <v>1</v>
      </c>
    </row>
    <row r="3650" spans="1:33" x14ac:dyDescent="0.3">
      <c r="A3650" t="s">
        <v>6273</v>
      </c>
      <c r="B3650" s="13">
        <v>46127</v>
      </c>
      <c r="C3650">
        <v>2026</v>
      </c>
      <c r="D3650">
        <v>4</v>
      </c>
      <c r="E3650" t="s">
        <v>3328</v>
      </c>
      <c r="F3650" t="s">
        <v>3329</v>
      </c>
      <c r="G3650" t="s">
        <v>1361</v>
      </c>
      <c r="H3650" t="s">
        <v>1362</v>
      </c>
      <c r="I3650" t="s">
        <v>85</v>
      </c>
      <c r="J3650">
        <v>38</v>
      </c>
      <c r="K3650" t="s">
        <v>82</v>
      </c>
      <c r="L3650" t="s">
        <v>95</v>
      </c>
      <c r="M3650" t="s">
        <v>56</v>
      </c>
      <c r="N3650" t="s">
        <v>2590</v>
      </c>
      <c r="O3650" t="s">
        <v>127</v>
      </c>
      <c r="P3650" t="s">
        <v>51</v>
      </c>
      <c r="Q3650" t="s">
        <v>148</v>
      </c>
      <c r="R3650">
        <v>1</v>
      </c>
      <c r="S3650">
        <v>1599</v>
      </c>
      <c r="T3650">
        <v>0.1</v>
      </c>
      <c r="U3650">
        <v>1439.1</v>
      </c>
      <c r="V3650">
        <v>800</v>
      </c>
      <c r="W3650">
        <v>639.1</v>
      </c>
      <c r="X3650" t="s">
        <v>73</v>
      </c>
      <c r="Y3650" t="s">
        <v>68</v>
      </c>
      <c r="Z3650" t="s">
        <v>160</v>
      </c>
      <c r="AA3650" t="s">
        <v>167</v>
      </c>
      <c r="AB3650">
        <v>4.5999999999999996</v>
      </c>
      <c r="AC3650">
        <v>50</v>
      </c>
      <c r="AD3650">
        <v>38.46</v>
      </c>
      <c r="AE3650">
        <f t="shared" ref="AE3650:AE3713" si="114">W3650-AC3650-AD3650</f>
        <v>550.64</v>
      </c>
      <c r="AF3650" t="str">
        <f t="shared" ref="AF3650:AF3713" si="115">C3650&amp;"-"&amp;TEXT(D3650,"00")</f>
        <v>2026-04</v>
      </c>
      <c r="AG3650">
        <f>SUBTOTAL(103,A3650)</f>
        <v>1</v>
      </c>
    </row>
    <row r="3651" spans="1:33" x14ac:dyDescent="0.3">
      <c r="A3651" t="s">
        <v>6274</v>
      </c>
      <c r="B3651" s="13">
        <v>46127</v>
      </c>
      <c r="C3651">
        <v>2026</v>
      </c>
      <c r="D3651">
        <v>4</v>
      </c>
      <c r="E3651" t="s">
        <v>3328</v>
      </c>
      <c r="F3651" t="s">
        <v>3329</v>
      </c>
      <c r="G3651" t="s">
        <v>477</v>
      </c>
      <c r="H3651" t="s">
        <v>478</v>
      </c>
      <c r="I3651" t="s">
        <v>86</v>
      </c>
      <c r="J3651">
        <v>59</v>
      </c>
      <c r="K3651" t="s">
        <v>83</v>
      </c>
      <c r="L3651" t="s">
        <v>99</v>
      </c>
      <c r="M3651" t="s">
        <v>58</v>
      </c>
      <c r="N3651" t="s">
        <v>2601</v>
      </c>
      <c r="O3651" t="s">
        <v>117</v>
      </c>
      <c r="P3651" t="s">
        <v>49</v>
      </c>
      <c r="Q3651" t="s">
        <v>139</v>
      </c>
      <c r="R3651">
        <v>1</v>
      </c>
      <c r="S3651">
        <v>6999</v>
      </c>
      <c r="T3651">
        <v>0.2</v>
      </c>
      <c r="U3651">
        <v>5599.2</v>
      </c>
      <c r="V3651">
        <v>4300</v>
      </c>
      <c r="W3651">
        <v>1299.2</v>
      </c>
      <c r="X3651" t="s">
        <v>76</v>
      </c>
      <c r="Y3651" t="s">
        <v>68</v>
      </c>
      <c r="Z3651" t="s">
        <v>162</v>
      </c>
      <c r="AA3651" t="s">
        <v>166</v>
      </c>
      <c r="AB3651">
        <v>4.0999999999999996</v>
      </c>
      <c r="AC3651">
        <v>100</v>
      </c>
      <c r="AD3651">
        <v>540.30999999999995</v>
      </c>
      <c r="AE3651">
        <f t="shared" si="114"/>
        <v>658.8900000000001</v>
      </c>
      <c r="AF3651" t="str">
        <f t="shared" si="115"/>
        <v>2026-04</v>
      </c>
      <c r="AG3651">
        <f>SUBTOTAL(103,A3651)</f>
        <v>1</v>
      </c>
    </row>
    <row r="3652" spans="1:33" x14ac:dyDescent="0.3">
      <c r="A3652" t="s">
        <v>6275</v>
      </c>
      <c r="B3652" s="13">
        <v>46127</v>
      </c>
      <c r="C3652">
        <v>2026</v>
      </c>
      <c r="D3652">
        <v>4</v>
      </c>
      <c r="E3652" t="s">
        <v>3328</v>
      </c>
      <c r="F3652" t="s">
        <v>3329</v>
      </c>
      <c r="G3652" t="s">
        <v>939</v>
      </c>
      <c r="H3652" t="s">
        <v>940</v>
      </c>
      <c r="I3652" t="s">
        <v>85</v>
      </c>
      <c r="J3652">
        <v>35</v>
      </c>
      <c r="K3652" t="s">
        <v>81</v>
      </c>
      <c r="L3652" t="s">
        <v>97</v>
      </c>
      <c r="M3652" t="s">
        <v>57</v>
      </c>
      <c r="N3652" t="s">
        <v>2596</v>
      </c>
      <c r="O3652" t="s">
        <v>124</v>
      </c>
      <c r="P3652" t="s">
        <v>51</v>
      </c>
      <c r="Q3652" t="s">
        <v>147</v>
      </c>
      <c r="R3652">
        <v>5</v>
      </c>
      <c r="S3652">
        <v>2299</v>
      </c>
      <c r="T3652">
        <v>0.1</v>
      </c>
      <c r="U3652">
        <v>10345.5</v>
      </c>
      <c r="V3652">
        <v>6000</v>
      </c>
      <c r="W3652">
        <v>4345.5</v>
      </c>
      <c r="X3652" t="s">
        <v>74</v>
      </c>
      <c r="Y3652" t="s">
        <v>68</v>
      </c>
      <c r="Z3652" t="s">
        <v>158</v>
      </c>
      <c r="AA3652" t="s">
        <v>166</v>
      </c>
      <c r="AB3652">
        <v>3.7</v>
      </c>
      <c r="AC3652">
        <v>50</v>
      </c>
      <c r="AD3652">
        <v>618.79</v>
      </c>
      <c r="AE3652">
        <f t="shared" si="114"/>
        <v>3676.71</v>
      </c>
      <c r="AF3652" t="str">
        <f t="shared" si="115"/>
        <v>2026-04</v>
      </c>
      <c r="AG3652">
        <f>SUBTOTAL(103,A3652)</f>
        <v>1</v>
      </c>
    </row>
    <row r="3653" spans="1:33" x14ac:dyDescent="0.3">
      <c r="A3653" t="s">
        <v>6276</v>
      </c>
      <c r="B3653" s="13">
        <v>46127</v>
      </c>
      <c r="C3653">
        <v>2026</v>
      </c>
      <c r="D3653">
        <v>4</v>
      </c>
      <c r="E3653" t="s">
        <v>3328</v>
      </c>
      <c r="F3653" t="s">
        <v>3329</v>
      </c>
      <c r="G3653" t="s">
        <v>1369</v>
      </c>
      <c r="H3653" t="s">
        <v>1370</v>
      </c>
      <c r="I3653" t="s">
        <v>86</v>
      </c>
      <c r="J3653">
        <v>23</v>
      </c>
      <c r="K3653" t="s">
        <v>80</v>
      </c>
      <c r="L3653" t="s">
        <v>59</v>
      </c>
      <c r="M3653" t="s">
        <v>59</v>
      </c>
      <c r="N3653" t="s">
        <v>2644</v>
      </c>
      <c r="O3653" t="s">
        <v>126</v>
      </c>
      <c r="P3653" t="s">
        <v>50</v>
      </c>
      <c r="Q3653" t="s">
        <v>145</v>
      </c>
      <c r="R3653">
        <v>5</v>
      </c>
      <c r="S3653">
        <v>1799</v>
      </c>
      <c r="T3653">
        <v>0.1</v>
      </c>
      <c r="U3653">
        <v>8095.5</v>
      </c>
      <c r="V3653">
        <v>4750</v>
      </c>
      <c r="W3653">
        <v>3345.5</v>
      </c>
      <c r="X3653" t="s">
        <v>76</v>
      </c>
      <c r="Y3653" t="s">
        <v>68</v>
      </c>
      <c r="Z3653" t="s">
        <v>159</v>
      </c>
      <c r="AA3653" t="s">
        <v>167</v>
      </c>
      <c r="AB3653">
        <v>4</v>
      </c>
      <c r="AC3653">
        <v>50</v>
      </c>
      <c r="AD3653">
        <v>560.20000000000005</v>
      </c>
      <c r="AE3653">
        <f t="shared" si="114"/>
        <v>2735.3</v>
      </c>
      <c r="AF3653" t="str">
        <f t="shared" si="115"/>
        <v>2026-04</v>
      </c>
      <c r="AG3653">
        <f>SUBTOTAL(103,A3653)</f>
        <v>1</v>
      </c>
    </row>
    <row r="3654" spans="1:33" x14ac:dyDescent="0.3">
      <c r="A3654" t="s">
        <v>6277</v>
      </c>
      <c r="B3654" s="13">
        <v>46127</v>
      </c>
      <c r="C3654">
        <v>2026</v>
      </c>
      <c r="D3654">
        <v>4</v>
      </c>
      <c r="E3654" t="s">
        <v>3328</v>
      </c>
      <c r="F3654" t="s">
        <v>3329</v>
      </c>
      <c r="G3654" t="s">
        <v>325</v>
      </c>
      <c r="H3654" t="s">
        <v>326</v>
      </c>
      <c r="I3654" t="s">
        <v>86</v>
      </c>
      <c r="J3654">
        <v>50</v>
      </c>
      <c r="K3654" t="s">
        <v>83</v>
      </c>
      <c r="L3654" t="s">
        <v>2687</v>
      </c>
      <c r="M3654" t="s">
        <v>57</v>
      </c>
      <c r="N3654" t="s">
        <v>2587</v>
      </c>
      <c r="O3654" t="s">
        <v>116</v>
      </c>
      <c r="P3654" t="s">
        <v>48</v>
      </c>
      <c r="Q3654" t="s">
        <v>138</v>
      </c>
      <c r="R3654">
        <v>4</v>
      </c>
      <c r="S3654">
        <v>14999</v>
      </c>
      <c r="T3654">
        <v>0.05</v>
      </c>
      <c r="U3654">
        <v>56996.2</v>
      </c>
      <c r="V3654">
        <v>44800</v>
      </c>
      <c r="W3654">
        <v>12196.2</v>
      </c>
      <c r="X3654" t="s">
        <v>74</v>
      </c>
      <c r="Y3654" t="s">
        <v>68</v>
      </c>
      <c r="Z3654" t="s">
        <v>162</v>
      </c>
      <c r="AA3654" t="s">
        <v>170</v>
      </c>
      <c r="AB3654">
        <v>3.2</v>
      </c>
      <c r="AC3654">
        <v>100</v>
      </c>
      <c r="AD3654">
        <v>4662.8100000000004</v>
      </c>
      <c r="AE3654">
        <f t="shared" si="114"/>
        <v>7433.39</v>
      </c>
      <c r="AF3654" t="str">
        <f t="shared" si="115"/>
        <v>2026-04</v>
      </c>
      <c r="AG3654">
        <f>SUBTOTAL(103,A3654)</f>
        <v>1</v>
      </c>
    </row>
    <row r="3655" spans="1:33" x14ac:dyDescent="0.3">
      <c r="A3655" t="s">
        <v>6278</v>
      </c>
      <c r="B3655" s="13">
        <v>46128</v>
      </c>
      <c r="C3655">
        <v>2026</v>
      </c>
      <c r="D3655">
        <v>4</v>
      </c>
      <c r="E3655" t="s">
        <v>3328</v>
      </c>
      <c r="F3655" t="s">
        <v>3329</v>
      </c>
      <c r="G3655" t="s">
        <v>1339</v>
      </c>
      <c r="H3655" t="s">
        <v>1340</v>
      </c>
      <c r="I3655" t="s">
        <v>85</v>
      </c>
      <c r="J3655">
        <v>37</v>
      </c>
      <c r="K3655" t="s">
        <v>82</v>
      </c>
      <c r="L3655" t="s">
        <v>97</v>
      </c>
      <c r="M3655" t="s">
        <v>57</v>
      </c>
      <c r="N3655" t="s">
        <v>2584</v>
      </c>
      <c r="O3655" t="s">
        <v>121</v>
      </c>
      <c r="P3655" t="s">
        <v>50</v>
      </c>
      <c r="Q3655" t="s">
        <v>144</v>
      </c>
      <c r="R3655">
        <v>3</v>
      </c>
      <c r="S3655">
        <v>2999</v>
      </c>
      <c r="T3655">
        <v>0.05</v>
      </c>
      <c r="U3655">
        <v>8547.15</v>
      </c>
      <c r="V3655">
        <v>5100</v>
      </c>
      <c r="W3655">
        <v>3447.15</v>
      </c>
      <c r="X3655" t="s">
        <v>74</v>
      </c>
      <c r="Y3655" t="s">
        <v>68</v>
      </c>
      <c r="Z3655" t="s">
        <v>159</v>
      </c>
      <c r="AA3655" t="s">
        <v>168</v>
      </c>
      <c r="AB3655">
        <v>3.7</v>
      </c>
      <c r="AC3655">
        <v>60</v>
      </c>
      <c r="AD3655">
        <v>471.87</v>
      </c>
      <c r="AE3655">
        <f t="shared" si="114"/>
        <v>2915.28</v>
      </c>
      <c r="AF3655" t="str">
        <f t="shared" si="115"/>
        <v>2026-04</v>
      </c>
      <c r="AG3655">
        <f>SUBTOTAL(103,A3655)</f>
        <v>1</v>
      </c>
    </row>
    <row r="3656" spans="1:33" x14ac:dyDescent="0.3">
      <c r="A3656" t="s">
        <v>6279</v>
      </c>
      <c r="B3656" s="13">
        <v>46128</v>
      </c>
      <c r="C3656">
        <v>2026</v>
      </c>
      <c r="D3656">
        <v>4</v>
      </c>
      <c r="E3656" t="s">
        <v>3328</v>
      </c>
      <c r="F3656" t="s">
        <v>3329</v>
      </c>
      <c r="G3656" t="s">
        <v>1271</v>
      </c>
      <c r="H3656" t="s">
        <v>1272</v>
      </c>
      <c r="I3656" t="s">
        <v>86</v>
      </c>
      <c r="J3656">
        <v>22</v>
      </c>
      <c r="K3656" t="s">
        <v>80</v>
      </c>
      <c r="L3656" t="s">
        <v>2579</v>
      </c>
      <c r="M3656" t="s">
        <v>56</v>
      </c>
      <c r="N3656" t="s">
        <v>2601</v>
      </c>
      <c r="O3656" t="s">
        <v>117</v>
      </c>
      <c r="P3656" t="s">
        <v>49</v>
      </c>
      <c r="Q3656" t="s">
        <v>139</v>
      </c>
      <c r="R3656">
        <v>1</v>
      </c>
      <c r="S3656">
        <v>6999</v>
      </c>
      <c r="T3656">
        <v>0</v>
      </c>
      <c r="U3656">
        <v>6999</v>
      </c>
      <c r="V3656">
        <v>4300</v>
      </c>
      <c r="W3656">
        <v>2699</v>
      </c>
      <c r="X3656" t="s">
        <v>74</v>
      </c>
      <c r="Y3656" t="s">
        <v>68</v>
      </c>
      <c r="Z3656" t="s">
        <v>158</v>
      </c>
      <c r="AA3656" t="s">
        <v>166</v>
      </c>
      <c r="AB3656">
        <v>4.0999999999999996</v>
      </c>
      <c r="AC3656">
        <v>60</v>
      </c>
      <c r="AD3656">
        <v>464.01</v>
      </c>
      <c r="AE3656">
        <f t="shared" si="114"/>
        <v>2174.9899999999998</v>
      </c>
      <c r="AF3656" t="str">
        <f t="shared" si="115"/>
        <v>2026-04</v>
      </c>
      <c r="AG3656">
        <f>SUBTOTAL(103,A3656)</f>
        <v>1</v>
      </c>
    </row>
    <row r="3657" spans="1:33" x14ac:dyDescent="0.3">
      <c r="A3657" t="s">
        <v>6280</v>
      </c>
      <c r="B3657" s="13">
        <v>46128</v>
      </c>
      <c r="C3657">
        <v>2026</v>
      </c>
      <c r="D3657">
        <v>4</v>
      </c>
      <c r="E3657" t="s">
        <v>3328</v>
      </c>
      <c r="F3657" t="s">
        <v>3329</v>
      </c>
      <c r="G3657" t="s">
        <v>1275</v>
      </c>
      <c r="H3657" t="s">
        <v>1276</v>
      </c>
      <c r="I3657" t="s">
        <v>85</v>
      </c>
      <c r="J3657">
        <v>56</v>
      </c>
      <c r="K3657" t="s">
        <v>83</v>
      </c>
      <c r="L3657" t="s">
        <v>2634</v>
      </c>
      <c r="M3657" t="s">
        <v>56</v>
      </c>
      <c r="N3657" t="s">
        <v>2582</v>
      </c>
      <c r="O3657" t="s">
        <v>119</v>
      </c>
      <c r="P3657" t="s">
        <v>49</v>
      </c>
      <c r="Q3657" t="s">
        <v>140</v>
      </c>
      <c r="R3657">
        <v>2</v>
      </c>
      <c r="S3657">
        <v>3499</v>
      </c>
      <c r="T3657">
        <v>0.05</v>
      </c>
      <c r="U3657">
        <v>6648.1</v>
      </c>
      <c r="V3657">
        <v>4200</v>
      </c>
      <c r="W3657">
        <v>2448.1</v>
      </c>
      <c r="X3657" t="s">
        <v>74</v>
      </c>
      <c r="Y3657" t="s">
        <v>68</v>
      </c>
      <c r="Z3657" t="s">
        <v>160</v>
      </c>
      <c r="AA3657" t="s">
        <v>170</v>
      </c>
      <c r="AB3657">
        <v>4.3</v>
      </c>
      <c r="AC3657">
        <v>60</v>
      </c>
      <c r="AD3657">
        <v>443.49</v>
      </c>
      <c r="AE3657">
        <f t="shared" si="114"/>
        <v>1944.61</v>
      </c>
      <c r="AF3657" t="str">
        <f t="shared" si="115"/>
        <v>2026-04</v>
      </c>
      <c r="AG3657">
        <f>SUBTOTAL(103,A3657)</f>
        <v>1</v>
      </c>
    </row>
    <row r="3658" spans="1:33" x14ac:dyDescent="0.3">
      <c r="A3658" t="s">
        <v>6281</v>
      </c>
      <c r="B3658" s="13">
        <v>46128</v>
      </c>
      <c r="C3658">
        <v>2026</v>
      </c>
      <c r="D3658">
        <v>4</v>
      </c>
      <c r="E3658" t="s">
        <v>3328</v>
      </c>
      <c r="F3658" t="s">
        <v>3329</v>
      </c>
      <c r="G3658" t="s">
        <v>583</v>
      </c>
      <c r="H3658" t="s">
        <v>584</v>
      </c>
      <c r="I3658" t="s">
        <v>86</v>
      </c>
      <c r="J3658">
        <v>56</v>
      </c>
      <c r="K3658" t="s">
        <v>83</v>
      </c>
      <c r="L3658" t="s">
        <v>93</v>
      </c>
      <c r="M3658" t="s">
        <v>55</v>
      </c>
      <c r="N3658" t="s">
        <v>2647</v>
      </c>
      <c r="O3658" t="s">
        <v>133</v>
      </c>
      <c r="P3658" t="s">
        <v>50</v>
      </c>
      <c r="Q3658" t="s">
        <v>145</v>
      </c>
      <c r="R3658">
        <v>1</v>
      </c>
      <c r="S3658">
        <v>799</v>
      </c>
      <c r="T3658">
        <v>0</v>
      </c>
      <c r="U3658">
        <v>799</v>
      </c>
      <c r="V3658">
        <v>390</v>
      </c>
      <c r="W3658">
        <v>409</v>
      </c>
      <c r="X3658" t="s">
        <v>74</v>
      </c>
      <c r="Y3658" t="s">
        <v>70</v>
      </c>
      <c r="Z3658" t="s">
        <v>160</v>
      </c>
      <c r="AA3658" t="s">
        <v>166</v>
      </c>
      <c r="AB3658">
        <v>4.5</v>
      </c>
      <c r="AC3658">
        <v>80</v>
      </c>
      <c r="AD3658">
        <v>49.37</v>
      </c>
      <c r="AE3658">
        <f t="shared" si="114"/>
        <v>279.63</v>
      </c>
      <c r="AF3658" t="str">
        <f t="shared" si="115"/>
        <v>2026-04</v>
      </c>
      <c r="AG3658">
        <f>SUBTOTAL(103,A3658)</f>
        <v>1</v>
      </c>
    </row>
    <row r="3659" spans="1:33" x14ac:dyDescent="0.3">
      <c r="A3659" t="s">
        <v>6282</v>
      </c>
      <c r="B3659" s="13">
        <v>46128</v>
      </c>
      <c r="C3659">
        <v>2026</v>
      </c>
      <c r="D3659">
        <v>4</v>
      </c>
      <c r="E3659" t="s">
        <v>3328</v>
      </c>
      <c r="F3659" t="s">
        <v>3329</v>
      </c>
      <c r="G3659" t="s">
        <v>491</v>
      </c>
      <c r="H3659" t="s">
        <v>492</v>
      </c>
      <c r="I3659" t="s">
        <v>86</v>
      </c>
      <c r="J3659">
        <v>40</v>
      </c>
      <c r="K3659" t="s">
        <v>82</v>
      </c>
      <c r="L3659" t="s">
        <v>2589</v>
      </c>
      <c r="M3659" t="s">
        <v>61</v>
      </c>
      <c r="N3659" t="s">
        <v>2594</v>
      </c>
      <c r="O3659" t="s">
        <v>131</v>
      </c>
      <c r="P3659" t="s">
        <v>53</v>
      </c>
      <c r="Q3659" t="s">
        <v>143</v>
      </c>
      <c r="R3659">
        <v>4</v>
      </c>
      <c r="S3659">
        <v>999</v>
      </c>
      <c r="T3659">
        <v>0.1</v>
      </c>
      <c r="U3659">
        <v>3596.4</v>
      </c>
      <c r="V3659">
        <v>2080</v>
      </c>
      <c r="W3659">
        <v>1516.4</v>
      </c>
      <c r="X3659" t="s">
        <v>77</v>
      </c>
      <c r="Y3659" t="s">
        <v>68</v>
      </c>
      <c r="Z3659" t="s">
        <v>160</v>
      </c>
      <c r="AA3659" t="s">
        <v>166</v>
      </c>
      <c r="AB3659">
        <v>4.4000000000000004</v>
      </c>
      <c r="AC3659">
        <v>50</v>
      </c>
      <c r="AD3659">
        <v>110.31</v>
      </c>
      <c r="AE3659">
        <f t="shared" si="114"/>
        <v>1356.0900000000001</v>
      </c>
      <c r="AF3659" t="str">
        <f t="shared" si="115"/>
        <v>2026-04</v>
      </c>
      <c r="AG3659">
        <f>SUBTOTAL(103,A3659)</f>
        <v>1</v>
      </c>
    </row>
    <row r="3660" spans="1:33" x14ac:dyDescent="0.3">
      <c r="A3660" t="s">
        <v>6283</v>
      </c>
      <c r="B3660" s="13">
        <v>46128</v>
      </c>
      <c r="C3660">
        <v>2026</v>
      </c>
      <c r="D3660">
        <v>4</v>
      </c>
      <c r="E3660" t="s">
        <v>3328</v>
      </c>
      <c r="F3660" t="s">
        <v>3329</v>
      </c>
      <c r="G3660" t="s">
        <v>873</v>
      </c>
      <c r="H3660" t="s">
        <v>874</v>
      </c>
      <c r="I3660" t="s">
        <v>85</v>
      </c>
      <c r="J3660">
        <v>31</v>
      </c>
      <c r="K3660" t="s">
        <v>81</v>
      </c>
      <c r="L3660" t="s">
        <v>93</v>
      </c>
      <c r="M3660" t="s">
        <v>55</v>
      </c>
      <c r="N3660" t="s">
        <v>2574</v>
      </c>
      <c r="O3660" t="s">
        <v>130</v>
      </c>
      <c r="P3660" t="s">
        <v>50</v>
      </c>
      <c r="Q3660" t="s">
        <v>53</v>
      </c>
      <c r="R3660">
        <v>3</v>
      </c>
      <c r="S3660">
        <v>1199</v>
      </c>
      <c r="T3660">
        <v>0</v>
      </c>
      <c r="U3660">
        <v>3597</v>
      </c>
      <c r="V3660">
        <v>1650</v>
      </c>
      <c r="W3660">
        <v>1947</v>
      </c>
      <c r="X3660" t="s">
        <v>73</v>
      </c>
      <c r="Y3660" t="s">
        <v>68</v>
      </c>
      <c r="Z3660" t="s">
        <v>160</v>
      </c>
      <c r="AA3660" t="s">
        <v>167</v>
      </c>
      <c r="AB3660">
        <v>3.9</v>
      </c>
      <c r="AC3660">
        <v>60</v>
      </c>
      <c r="AD3660">
        <v>390.48</v>
      </c>
      <c r="AE3660">
        <f t="shared" si="114"/>
        <v>1496.52</v>
      </c>
      <c r="AF3660" t="str">
        <f t="shared" si="115"/>
        <v>2026-04</v>
      </c>
      <c r="AG3660">
        <f>SUBTOTAL(103,A3660)</f>
        <v>1</v>
      </c>
    </row>
    <row r="3661" spans="1:33" x14ac:dyDescent="0.3">
      <c r="A3661" t="s">
        <v>6284</v>
      </c>
      <c r="B3661" s="13">
        <v>46128</v>
      </c>
      <c r="C3661">
        <v>2026</v>
      </c>
      <c r="D3661">
        <v>4</v>
      </c>
      <c r="E3661" t="s">
        <v>3328</v>
      </c>
      <c r="F3661" t="s">
        <v>3329</v>
      </c>
      <c r="G3661" t="s">
        <v>1327</v>
      </c>
      <c r="H3661" t="s">
        <v>1328</v>
      </c>
      <c r="I3661" t="s">
        <v>85</v>
      </c>
      <c r="J3661">
        <v>44</v>
      </c>
      <c r="K3661" t="s">
        <v>82</v>
      </c>
      <c r="L3661" t="s">
        <v>2610</v>
      </c>
      <c r="M3661" t="s">
        <v>64</v>
      </c>
      <c r="N3661" t="s">
        <v>2592</v>
      </c>
      <c r="O3661" t="s">
        <v>115</v>
      </c>
      <c r="P3661" t="s">
        <v>48</v>
      </c>
      <c r="Q3661" t="s">
        <v>137</v>
      </c>
      <c r="R3661">
        <v>1</v>
      </c>
      <c r="S3661">
        <v>12999</v>
      </c>
      <c r="T3661">
        <v>0.1</v>
      </c>
      <c r="U3661">
        <v>11699.1</v>
      </c>
      <c r="V3661">
        <v>9000</v>
      </c>
      <c r="W3661">
        <v>2699.1</v>
      </c>
      <c r="X3661" t="s">
        <v>73</v>
      </c>
      <c r="Y3661" t="s">
        <v>68</v>
      </c>
      <c r="Z3661" t="s">
        <v>159</v>
      </c>
      <c r="AA3661" t="s">
        <v>167</v>
      </c>
      <c r="AB3661">
        <v>3.9</v>
      </c>
      <c r="AC3661">
        <v>40</v>
      </c>
      <c r="AD3661">
        <v>1011.31</v>
      </c>
      <c r="AE3661">
        <f t="shared" si="114"/>
        <v>1647.79</v>
      </c>
      <c r="AF3661" t="str">
        <f t="shared" si="115"/>
        <v>2026-04</v>
      </c>
      <c r="AG3661">
        <f>SUBTOTAL(103,A3661)</f>
        <v>1</v>
      </c>
    </row>
    <row r="3662" spans="1:33" x14ac:dyDescent="0.3">
      <c r="A3662" t="s">
        <v>6285</v>
      </c>
      <c r="B3662" s="13">
        <v>46128</v>
      </c>
      <c r="C3662">
        <v>2026</v>
      </c>
      <c r="D3662">
        <v>4</v>
      </c>
      <c r="E3662" t="s">
        <v>3328</v>
      </c>
      <c r="F3662" t="s">
        <v>3329</v>
      </c>
      <c r="G3662" t="s">
        <v>959</v>
      </c>
      <c r="H3662" t="s">
        <v>960</v>
      </c>
      <c r="I3662" t="s">
        <v>86</v>
      </c>
      <c r="J3662">
        <v>26</v>
      </c>
      <c r="K3662" t="s">
        <v>81</v>
      </c>
      <c r="L3662" t="s">
        <v>2679</v>
      </c>
      <c r="M3662" t="s">
        <v>60</v>
      </c>
      <c r="N3662" t="s">
        <v>2653</v>
      </c>
      <c r="O3662" t="s">
        <v>132</v>
      </c>
      <c r="P3662" t="s">
        <v>52</v>
      </c>
      <c r="Q3662" t="s">
        <v>150</v>
      </c>
      <c r="R3662">
        <v>2</v>
      </c>
      <c r="S3662">
        <v>899</v>
      </c>
      <c r="T3662">
        <v>0.05</v>
      </c>
      <c r="U3662">
        <v>1708.1</v>
      </c>
      <c r="V3662">
        <v>840</v>
      </c>
      <c r="W3662">
        <v>868.1</v>
      </c>
      <c r="X3662" t="s">
        <v>73</v>
      </c>
      <c r="Y3662" t="s">
        <v>68</v>
      </c>
      <c r="Z3662" t="s">
        <v>158</v>
      </c>
      <c r="AA3662" t="s">
        <v>167</v>
      </c>
      <c r="AB3662">
        <v>3.6</v>
      </c>
      <c r="AC3662">
        <v>120</v>
      </c>
      <c r="AD3662">
        <v>168.28</v>
      </c>
      <c r="AE3662">
        <f t="shared" si="114"/>
        <v>579.82000000000005</v>
      </c>
      <c r="AF3662" t="str">
        <f t="shared" si="115"/>
        <v>2026-04</v>
      </c>
      <c r="AG3662">
        <f>SUBTOTAL(103,A3662)</f>
        <v>1</v>
      </c>
    </row>
    <row r="3663" spans="1:33" x14ac:dyDescent="0.3">
      <c r="A3663" t="s">
        <v>6286</v>
      </c>
      <c r="B3663" s="13">
        <v>46128</v>
      </c>
      <c r="C3663">
        <v>2026</v>
      </c>
      <c r="D3663">
        <v>4</v>
      </c>
      <c r="E3663" t="s">
        <v>3328</v>
      </c>
      <c r="F3663" t="s">
        <v>3329</v>
      </c>
      <c r="G3663" t="s">
        <v>2273</v>
      </c>
      <c r="H3663" t="s">
        <v>2274</v>
      </c>
      <c r="I3663" t="s">
        <v>86</v>
      </c>
      <c r="J3663">
        <v>21</v>
      </c>
      <c r="K3663" t="s">
        <v>80</v>
      </c>
      <c r="L3663" t="s">
        <v>91</v>
      </c>
      <c r="M3663" t="s">
        <v>55</v>
      </c>
      <c r="N3663" t="s">
        <v>2665</v>
      </c>
      <c r="O3663" t="s">
        <v>128</v>
      </c>
      <c r="P3663" t="s">
        <v>53</v>
      </c>
      <c r="Q3663" t="s">
        <v>143</v>
      </c>
      <c r="R3663">
        <v>1</v>
      </c>
      <c r="S3663">
        <v>1499</v>
      </c>
      <c r="T3663">
        <v>0.05</v>
      </c>
      <c r="U3663">
        <v>1424.05</v>
      </c>
      <c r="V3663">
        <v>800</v>
      </c>
      <c r="W3663">
        <v>624.04999999999995</v>
      </c>
      <c r="X3663" t="s">
        <v>77</v>
      </c>
      <c r="Y3663" t="s">
        <v>68</v>
      </c>
      <c r="Z3663" t="s">
        <v>160</v>
      </c>
      <c r="AA3663" t="s">
        <v>166</v>
      </c>
      <c r="AB3663">
        <v>4.4000000000000004</v>
      </c>
      <c r="AC3663">
        <v>100</v>
      </c>
      <c r="AD3663">
        <v>64.63</v>
      </c>
      <c r="AE3663">
        <f t="shared" si="114"/>
        <v>459.41999999999996</v>
      </c>
      <c r="AF3663" t="str">
        <f t="shared" si="115"/>
        <v>2026-04</v>
      </c>
      <c r="AG3663">
        <f>SUBTOTAL(103,A3663)</f>
        <v>1</v>
      </c>
    </row>
    <row r="3664" spans="1:33" x14ac:dyDescent="0.3">
      <c r="A3664" t="s">
        <v>6287</v>
      </c>
      <c r="B3664" s="13">
        <v>46129</v>
      </c>
      <c r="C3664">
        <v>2026</v>
      </c>
      <c r="D3664">
        <v>4</v>
      </c>
      <c r="E3664" t="s">
        <v>3328</v>
      </c>
      <c r="F3664" t="s">
        <v>3329</v>
      </c>
      <c r="G3664" t="s">
        <v>1443</v>
      </c>
      <c r="H3664" t="s">
        <v>1444</v>
      </c>
      <c r="I3664" t="s">
        <v>86</v>
      </c>
      <c r="J3664">
        <v>28</v>
      </c>
      <c r="K3664" t="s">
        <v>81</v>
      </c>
      <c r="L3664" t="s">
        <v>95</v>
      </c>
      <c r="M3664" t="s">
        <v>56</v>
      </c>
      <c r="N3664" t="s">
        <v>2582</v>
      </c>
      <c r="O3664" t="s">
        <v>119</v>
      </c>
      <c r="P3664" t="s">
        <v>49</v>
      </c>
      <c r="Q3664" t="s">
        <v>140</v>
      </c>
      <c r="R3664">
        <v>3</v>
      </c>
      <c r="S3664">
        <v>3499</v>
      </c>
      <c r="T3664">
        <v>0.15</v>
      </c>
      <c r="U3664">
        <v>0</v>
      </c>
      <c r="V3664">
        <v>0</v>
      </c>
      <c r="W3664">
        <v>0</v>
      </c>
      <c r="X3664" t="s">
        <v>73</v>
      </c>
      <c r="Y3664" t="s">
        <v>71</v>
      </c>
      <c r="Z3664" t="s">
        <v>163</v>
      </c>
      <c r="AA3664" t="s">
        <v>170</v>
      </c>
      <c r="AB3664">
        <v>3</v>
      </c>
      <c r="AC3664">
        <v>40</v>
      </c>
      <c r="AD3664">
        <v>1033.54</v>
      </c>
      <c r="AE3664">
        <f t="shared" si="114"/>
        <v>-1073.54</v>
      </c>
      <c r="AF3664" t="str">
        <f t="shared" si="115"/>
        <v>2026-04</v>
      </c>
      <c r="AG3664">
        <f>SUBTOTAL(103,A3664)</f>
        <v>1</v>
      </c>
    </row>
    <row r="3665" spans="1:33" x14ac:dyDescent="0.3">
      <c r="A3665" t="s">
        <v>6288</v>
      </c>
      <c r="B3665" s="13">
        <v>46129</v>
      </c>
      <c r="C3665">
        <v>2026</v>
      </c>
      <c r="D3665">
        <v>4</v>
      </c>
      <c r="E3665" t="s">
        <v>3328</v>
      </c>
      <c r="F3665" t="s">
        <v>3329</v>
      </c>
      <c r="G3665" t="s">
        <v>2153</v>
      </c>
      <c r="H3665" t="s">
        <v>2154</v>
      </c>
      <c r="I3665" t="s">
        <v>85</v>
      </c>
      <c r="J3665">
        <v>21</v>
      </c>
      <c r="K3665" t="s">
        <v>80</v>
      </c>
      <c r="L3665" t="s">
        <v>91</v>
      </c>
      <c r="M3665" t="s">
        <v>55</v>
      </c>
      <c r="N3665" t="s">
        <v>2582</v>
      </c>
      <c r="O3665" t="s">
        <v>119</v>
      </c>
      <c r="P3665" t="s">
        <v>49</v>
      </c>
      <c r="Q3665" t="s">
        <v>140</v>
      </c>
      <c r="R3665">
        <v>1</v>
      </c>
      <c r="S3665">
        <v>3499</v>
      </c>
      <c r="T3665">
        <v>0.25</v>
      </c>
      <c r="U3665">
        <v>2624.25</v>
      </c>
      <c r="V3665">
        <v>2100</v>
      </c>
      <c r="W3665">
        <v>524.25</v>
      </c>
      <c r="X3665" t="s">
        <v>73</v>
      </c>
      <c r="Y3665" t="s">
        <v>68</v>
      </c>
      <c r="Z3665" t="s">
        <v>161</v>
      </c>
      <c r="AA3665" t="s">
        <v>166</v>
      </c>
      <c r="AB3665">
        <v>4.2</v>
      </c>
      <c r="AC3665">
        <v>50</v>
      </c>
      <c r="AD3665">
        <v>140.63999999999999</v>
      </c>
      <c r="AE3665">
        <f t="shared" si="114"/>
        <v>333.61</v>
      </c>
      <c r="AF3665" t="str">
        <f t="shared" si="115"/>
        <v>2026-04</v>
      </c>
      <c r="AG3665">
        <f>SUBTOTAL(103,A3665)</f>
        <v>1</v>
      </c>
    </row>
    <row r="3666" spans="1:33" x14ac:dyDescent="0.3">
      <c r="A3666" t="s">
        <v>6289</v>
      </c>
      <c r="B3666" s="13">
        <v>46129</v>
      </c>
      <c r="C3666">
        <v>2026</v>
      </c>
      <c r="D3666">
        <v>4</v>
      </c>
      <c r="E3666" t="s">
        <v>3328</v>
      </c>
      <c r="F3666" t="s">
        <v>3329</v>
      </c>
      <c r="G3666" t="s">
        <v>1093</v>
      </c>
      <c r="H3666" t="s">
        <v>1094</v>
      </c>
      <c r="I3666" t="s">
        <v>86</v>
      </c>
      <c r="J3666">
        <v>38</v>
      </c>
      <c r="K3666" t="s">
        <v>82</v>
      </c>
      <c r="L3666" t="s">
        <v>94</v>
      </c>
      <c r="M3666" t="s">
        <v>57</v>
      </c>
      <c r="N3666" t="s">
        <v>2601</v>
      </c>
      <c r="O3666" t="s">
        <v>117</v>
      </c>
      <c r="P3666" t="s">
        <v>49</v>
      </c>
      <c r="Q3666" t="s">
        <v>139</v>
      </c>
      <c r="R3666">
        <v>3</v>
      </c>
      <c r="S3666">
        <v>6999</v>
      </c>
      <c r="T3666">
        <v>0.1</v>
      </c>
      <c r="U3666">
        <v>18897.3</v>
      </c>
      <c r="V3666">
        <v>12900</v>
      </c>
      <c r="W3666">
        <v>5997.3</v>
      </c>
      <c r="X3666" t="s">
        <v>77</v>
      </c>
      <c r="Y3666" t="s">
        <v>68</v>
      </c>
      <c r="Z3666" t="s">
        <v>158</v>
      </c>
      <c r="AA3666" t="s">
        <v>167</v>
      </c>
      <c r="AB3666">
        <v>4.2</v>
      </c>
      <c r="AC3666">
        <v>60</v>
      </c>
      <c r="AD3666">
        <v>1606.14</v>
      </c>
      <c r="AE3666">
        <f t="shared" si="114"/>
        <v>4331.16</v>
      </c>
      <c r="AF3666" t="str">
        <f t="shared" si="115"/>
        <v>2026-04</v>
      </c>
      <c r="AG3666">
        <f>SUBTOTAL(103,A3666)</f>
        <v>1</v>
      </c>
    </row>
    <row r="3667" spans="1:33" x14ac:dyDescent="0.3">
      <c r="A3667" t="s">
        <v>6290</v>
      </c>
      <c r="B3667" s="13">
        <v>46129</v>
      </c>
      <c r="C3667">
        <v>2026</v>
      </c>
      <c r="D3667">
        <v>4</v>
      </c>
      <c r="E3667" t="s">
        <v>3328</v>
      </c>
      <c r="F3667" t="s">
        <v>3329</v>
      </c>
      <c r="G3667" t="s">
        <v>255</v>
      </c>
      <c r="H3667" t="s">
        <v>256</v>
      </c>
      <c r="I3667" t="s">
        <v>86</v>
      </c>
      <c r="J3667">
        <v>30</v>
      </c>
      <c r="K3667" t="s">
        <v>81</v>
      </c>
      <c r="L3667" t="s">
        <v>2623</v>
      </c>
      <c r="M3667" t="s">
        <v>61</v>
      </c>
      <c r="N3667" t="s">
        <v>2596</v>
      </c>
      <c r="O3667" t="s">
        <v>124</v>
      </c>
      <c r="P3667" t="s">
        <v>51</v>
      </c>
      <c r="Q3667" t="s">
        <v>147</v>
      </c>
      <c r="R3667">
        <v>3</v>
      </c>
      <c r="S3667">
        <v>2299</v>
      </c>
      <c r="T3667">
        <v>0.05</v>
      </c>
      <c r="U3667">
        <v>6552.15</v>
      </c>
      <c r="V3667">
        <v>3600</v>
      </c>
      <c r="W3667">
        <v>2952.15</v>
      </c>
      <c r="X3667" t="s">
        <v>75</v>
      </c>
      <c r="Y3667" t="s">
        <v>70</v>
      </c>
      <c r="Z3667" t="s">
        <v>163</v>
      </c>
      <c r="AA3667" t="s">
        <v>170</v>
      </c>
      <c r="AB3667">
        <v>3.8</v>
      </c>
      <c r="AC3667">
        <v>50</v>
      </c>
      <c r="AD3667">
        <v>744.01</v>
      </c>
      <c r="AE3667">
        <f t="shared" si="114"/>
        <v>2158.1400000000003</v>
      </c>
      <c r="AF3667" t="str">
        <f t="shared" si="115"/>
        <v>2026-04</v>
      </c>
      <c r="AG3667">
        <f>SUBTOTAL(103,A3667)</f>
        <v>1</v>
      </c>
    </row>
    <row r="3668" spans="1:33" x14ac:dyDescent="0.3">
      <c r="A3668" t="s">
        <v>6291</v>
      </c>
      <c r="B3668" s="13">
        <v>46129</v>
      </c>
      <c r="C3668">
        <v>2026</v>
      </c>
      <c r="D3668">
        <v>4</v>
      </c>
      <c r="E3668" t="s">
        <v>3328</v>
      </c>
      <c r="F3668" t="s">
        <v>3329</v>
      </c>
      <c r="G3668" t="s">
        <v>241</v>
      </c>
      <c r="H3668" t="s">
        <v>242</v>
      </c>
      <c r="I3668" t="s">
        <v>85</v>
      </c>
      <c r="J3668">
        <v>30</v>
      </c>
      <c r="K3668" t="s">
        <v>81</v>
      </c>
      <c r="L3668" t="s">
        <v>2599</v>
      </c>
      <c r="M3668" t="s">
        <v>62</v>
      </c>
      <c r="N3668" t="s">
        <v>2580</v>
      </c>
      <c r="O3668" t="s">
        <v>118</v>
      </c>
      <c r="P3668" t="s">
        <v>48</v>
      </c>
      <c r="Q3668" t="s">
        <v>142</v>
      </c>
      <c r="R3668">
        <v>2</v>
      </c>
      <c r="S3668">
        <v>3999</v>
      </c>
      <c r="T3668">
        <v>0.15</v>
      </c>
      <c r="U3668">
        <v>6798.3</v>
      </c>
      <c r="V3668">
        <v>4800</v>
      </c>
      <c r="W3668">
        <v>1998.3</v>
      </c>
      <c r="X3668" t="s">
        <v>74</v>
      </c>
      <c r="Y3668" t="s">
        <v>68</v>
      </c>
      <c r="Z3668" t="s">
        <v>158</v>
      </c>
      <c r="AA3668" t="s">
        <v>166</v>
      </c>
      <c r="AB3668">
        <v>3.1</v>
      </c>
      <c r="AC3668">
        <v>60</v>
      </c>
      <c r="AD3668">
        <v>752.63</v>
      </c>
      <c r="AE3668">
        <f t="shared" si="114"/>
        <v>1185.67</v>
      </c>
      <c r="AF3668" t="str">
        <f t="shared" si="115"/>
        <v>2026-04</v>
      </c>
      <c r="AG3668">
        <f>SUBTOTAL(103,A3668)</f>
        <v>1</v>
      </c>
    </row>
    <row r="3669" spans="1:33" x14ac:dyDescent="0.3">
      <c r="A3669" t="s">
        <v>6292</v>
      </c>
      <c r="B3669" s="13">
        <v>46129</v>
      </c>
      <c r="C3669">
        <v>2026</v>
      </c>
      <c r="D3669">
        <v>4</v>
      </c>
      <c r="E3669" t="s">
        <v>3328</v>
      </c>
      <c r="F3669" t="s">
        <v>3329</v>
      </c>
      <c r="G3669" t="s">
        <v>1775</v>
      </c>
      <c r="H3669" t="s">
        <v>1776</v>
      </c>
      <c r="I3669" t="s">
        <v>86</v>
      </c>
      <c r="J3669">
        <v>19</v>
      </c>
      <c r="K3669" t="s">
        <v>80</v>
      </c>
      <c r="L3669" t="s">
        <v>2586</v>
      </c>
      <c r="M3669" t="s">
        <v>62</v>
      </c>
      <c r="N3669" t="s">
        <v>2626</v>
      </c>
      <c r="O3669" t="s">
        <v>125</v>
      </c>
      <c r="P3669" t="s">
        <v>48</v>
      </c>
      <c r="Q3669" t="s">
        <v>141</v>
      </c>
      <c r="R3669">
        <v>1</v>
      </c>
      <c r="S3669">
        <v>1999</v>
      </c>
      <c r="T3669">
        <v>0.05</v>
      </c>
      <c r="U3669">
        <v>1899.05</v>
      </c>
      <c r="V3669">
        <v>1150</v>
      </c>
      <c r="W3669">
        <v>749.05</v>
      </c>
      <c r="X3669" t="s">
        <v>73</v>
      </c>
      <c r="Y3669" t="s">
        <v>68</v>
      </c>
      <c r="Z3669" t="s">
        <v>160</v>
      </c>
      <c r="AA3669" t="s">
        <v>171</v>
      </c>
      <c r="AB3669">
        <v>4.5</v>
      </c>
      <c r="AC3669">
        <v>60</v>
      </c>
      <c r="AD3669">
        <v>210.07</v>
      </c>
      <c r="AE3669">
        <f t="shared" si="114"/>
        <v>478.97999999999996</v>
      </c>
      <c r="AF3669" t="str">
        <f t="shared" si="115"/>
        <v>2026-04</v>
      </c>
      <c r="AG3669">
        <f>SUBTOTAL(103,A3669)</f>
        <v>1</v>
      </c>
    </row>
    <row r="3670" spans="1:33" x14ac:dyDescent="0.3">
      <c r="A3670" t="s">
        <v>6293</v>
      </c>
      <c r="B3670" s="13">
        <v>46129</v>
      </c>
      <c r="C3670">
        <v>2026</v>
      </c>
      <c r="D3670">
        <v>4</v>
      </c>
      <c r="E3670" t="s">
        <v>3328</v>
      </c>
      <c r="F3670" t="s">
        <v>3329</v>
      </c>
      <c r="G3670" t="s">
        <v>237</v>
      </c>
      <c r="H3670" t="s">
        <v>238</v>
      </c>
      <c r="I3670" t="s">
        <v>85</v>
      </c>
      <c r="J3670">
        <v>37</v>
      </c>
      <c r="K3670" t="s">
        <v>82</v>
      </c>
      <c r="L3670" t="s">
        <v>91</v>
      </c>
      <c r="M3670" t="s">
        <v>55</v>
      </c>
      <c r="N3670" t="s">
        <v>2577</v>
      </c>
      <c r="O3670" t="s">
        <v>129</v>
      </c>
      <c r="P3670" t="s">
        <v>49</v>
      </c>
      <c r="Q3670" t="s">
        <v>149</v>
      </c>
      <c r="R3670">
        <v>1</v>
      </c>
      <c r="S3670">
        <v>1299</v>
      </c>
      <c r="T3670">
        <v>0.25</v>
      </c>
      <c r="U3670">
        <v>974.25</v>
      </c>
      <c r="V3670">
        <v>650</v>
      </c>
      <c r="W3670">
        <v>324.25</v>
      </c>
      <c r="X3670" t="s">
        <v>73</v>
      </c>
      <c r="Y3670" t="s">
        <v>68</v>
      </c>
      <c r="Z3670" t="s">
        <v>161</v>
      </c>
      <c r="AA3670" t="s">
        <v>170</v>
      </c>
      <c r="AB3670">
        <v>3.9</v>
      </c>
      <c r="AC3670">
        <v>60</v>
      </c>
      <c r="AD3670">
        <v>36.67</v>
      </c>
      <c r="AE3670">
        <f t="shared" si="114"/>
        <v>227.57999999999998</v>
      </c>
      <c r="AF3670" t="str">
        <f t="shared" si="115"/>
        <v>2026-04</v>
      </c>
      <c r="AG3670">
        <f>SUBTOTAL(103,A3670)</f>
        <v>1</v>
      </c>
    </row>
    <row r="3671" spans="1:33" x14ac:dyDescent="0.3">
      <c r="A3671" t="s">
        <v>6294</v>
      </c>
      <c r="B3671" s="13">
        <v>46129</v>
      </c>
      <c r="C3671">
        <v>2026</v>
      </c>
      <c r="D3671">
        <v>4</v>
      </c>
      <c r="E3671" t="s">
        <v>3328</v>
      </c>
      <c r="F3671" t="s">
        <v>3329</v>
      </c>
      <c r="G3671" t="s">
        <v>605</v>
      </c>
      <c r="H3671" t="s">
        <v>606</v>
      </c>
      <c r="I3671" t="s">
        <v>85</v>
      </c>
      <c r="J3671">
        <v>49</v>
      </c>
      <c r="K3671" t="s">
        <v>83</v>
      </c>
      <c r="L3671" t="s">
        <v>100</v>
      </c>
      <c r="M3671" t="s">
        <v>56</v>
      </c>
      <c r="N3671" t="s">
        <v>2582</v>
      </c>
      <c r="O3671" t="s">
        <v>119</v>
      </c>
      <c r="P3671" t="s">
        <v>49</v>
      </c>
      <c r="Q3671" t="s">
        <v>140</v>
      </c>
      <c r="R3671">
        <v>3</v>
      </c>
      <c r="S3671">
        <v>3499</v>
      </c>
      <c r="T3671">
        <v>0.15</v>
      </c>
      <c r="U3671">
        <v>8922.4500000000007</v>
      </c>
      <c r="V3671">
        <v>6300</v>
      </c>
      <c r="W3671">
        <v>2622.45</v>
      </c>
      <c r="X3671" t="s">
        <v>74</v>
      </c>
      <c r="Y3671" t="s">
        <v>69</v>
      </c>
      <c r="Z3671" t="s">
        <v>161</v>
      </c>
      <c r="AA3671" t="s">
        <v>169</v>
      </c>
      <c r="AB3671">
        <v>4.5</v>
      </c>
      <c r="AC3671">
        <v>60</v>
      </c>
      <c r="AD3671">
        <v>862.95</v>
      </c>
      <c r="AE3671">
        <f t="shared" si="114"/>
        <v>1699.4999999999998</v>
      </c>
      <c r="AF3671" t="str">
        <f t="shared" si="115"/>
        <v>2026-04</v>
      </c>
      <c r="AG3671">
        <f>SUBTOTAL(103,A3671)</f>
        <v>1</v>
      </c>
    </row>
    <row r="3672" spans="1:33" x14ac:dyDescent="0.3">
      <c r="A3672" t="s">
        <v>6295</v>
      </c>
      <c r="B3672" s="13">
        <v>46129</v>
      </c>
      <c r="C3672">
        <v>2026</v>
      </c>
      <c r="D3672">
        <v>4</v>
      </c>
      <c r="E3672" t="s">
        <v>3328</v>
      </c>
      <c r="F3672" t="s">
        <v>3329</v>
      </c>
      <c r="G3672" t="s">
        <v>511</v>
      </c>
      <c r="H3672" t="s">
        <v>512</v>
      </c>
      <c r="I3672" t="s">
        <v>86</v>
      </c>
      <c r="J3672">
        <v>49</v>
      </c>
      <c r="K3672" t="s">
        <v>83</v>
      </c>
      <c r="L3672" t="s">
        <v>94</v>
      </c>
      <c r="M3672" t="s">
        <v>57</v>
      </c>
      <c r="N3672" t="s">
        <v>2580</v>
      </c>
      <c r="O3672" t="s">
        <v>118</v>
      </c>
      <c r="P3672" t="s">
        <v>48</v>
      </c>
      <c r="Q3672" t="s">
        <v>142</v>
      </c>
      <c r="R3672">
        <v>2</v>
      </c>
      <c r="S3672">
        <v>3999</v>
      </c>
      <c r="T3672">
        <v>0.1</v>
      </c>
      <c r="U3672">
        <v>7198.2</v>
      </c>
      <c r="V3672">
        <v>4800</v>
      </c>
      <c r="W3672">
        <v>2398.1999999999998</v>
      </c>
      <c r="X3672" t="s">
        <v>75</v>
      </c>
      <c r="Y3672" t="s">
        <v>68</v>
      </c>
      <c r="Z3672" t="s">
        <v>158</v>
      </c>
      <c r="AA3672" t="s">
        <v>170</v>
      </c>
      <c r="AB3672">
        <v>3.1</v>
      </c>
      <c r="AC3672">
        <v>40</v>
      </c>
      <c r="AD3672">
        <v>513.25</v>
      </c>
      <c r="AE3672">
        <f t="shared" si="114"/>
        <v>1844.9499999999998</v>
      </c>
      <c r="AF3672" t="str">
        <f t="shared" si="115"/>
        <v>2026-04</v>
      </c>
      <c r="AG3672">
        <f>SUBTOTAL(103,A3672)</f>
        <v>1</v>
      </c>
    </row>
    <row r="3673" spans="1:33" x14ac:dyDescent="0.3">
      <c r="A3673" t="s">
        <v>6296</v>
      </c>
      <c r="B3673" s="13">
        <v>46130</v>
      </c>
      <c r="C3673">
        <v>2026</v>
      </c>
      <c r="D3673">
        <v>4</v>
      </c>
      <c r="E3673" t="s">
        <v>3328</v>
      </c>
      <c r="F3673" t="s">
        <v>3329</v>
      </c>
      <c r="G3673" t="s">
        <v>203</v>
      </c>
      <c r="H3673" t="s">
        <v>204</v>
      </c>
      <c r="I3673" t="s">
        <v>85</v>
      </c>
      <c r="J3673">
        <v>45</v>
      </c>
      <c r="K3673" t="s">
        <v>82</v>
      </c>
      <c r="L3673" t="s">
        <v>98</v>
      </c>
      <c r="M3673" t="s">
        <v>55</v>
      </c>
      <c r="N3673" t="s">
        <v>2626</v>
      </c>
      <c r="O3673" t="s">
        <v>125</v>
      </c>
      <c r="P3673" t="s">
        <v>48</v>
      </c>
      <c r="Q3673" t="s">
        <v>141</v>
      </c>
      <c r="R3673">
        <v>3</v>
      </c>
      <c r="S3673">
        <v>1999</v>
      </c>
      <c r="T3673">
        <v>0</v>
      </c>
      <c r="U3673">
        <v>5997</v>
      </c>
      <c r="V3673">
        <v>3450</v>
      </c>
      <c r="W3673">
        <v>2547</v>
      </c>
      <c r="X3673" t="s">
        <v>76</v>
      </c>
      <c r="Y3673" t="s">
        <v>68</v>
      </c>
      <c r="Z3673" t="s">
        <v>158</v>
      </c>
      <c r="AA3673" t="s">
        <v>171</v>
      </c>
      <c r="AB3673">
        <v>4.7</v>
      </c>
      <c r="AC3673">
        <v>50</v>
      </c>
      <c r="AD3673">
        <v>224.53</v>
      </c>
      <c r="AE3673">
        <f t="shared" si="114"/>
        <v>2272.4699999999998</v>
      </c>
      <c r="AF3673" t="str">
        <f t="shared" si="115"/>
        <v>2026-04</v>
      </c>
      <c r="AG3673">
        <f>SUBTOTAL(103,A3673)</f>
        <v>1</v>
      </c>
    </row>
    <row r="3674" spans="1:33" x14ac:dyDescent="0.3">
      <c r="A3674" t="s">
        <v>6297</v>
      </c>
      <c r="B3674" s="13">
        <v>46130</v>
      </c>
      <c r="C3674">
        <v>2026</v>
      </c>
      <c r="D3674">
        <v>4</v>
      </c>
      <c r="E3674" t="s">
        <v>3328</v>
      </c>
      <c r="F3674" t="s">
        <v>3329</v>
      </c>
      <c r="G3674" t="s">
        <v>1593</v>
      </c>
      <c r="H3674" t="s">
        <v>1594</v>
      </c>
      <c r="I3674" t="s">
        <v>86</v>
      </c>
      <c r="J3674">
        <v>33</v>
      </c>
      <c r="K3674" t="s">
        <v>81</v>
      </c>
      <c r="L3674" t="s">
        <v>2674</v>
      </c>
      <c r="M3674" t="s">
        <v>58</v>
      </c>
      <c r="N3674" t="s">
        <v>2665</v>
      </c>
      <c r="O3674" t="s">
        <v>128</v>
      </c>
      <c r="P3674" t="s">
        <v>53</v>
      </c>
      <c r="Q3674" t="s">
        <v>143</v>
      </c>
      <c r="R3674">
        <v>4</v>
      </c>
      <c r="S3674">
        <v>1499</v>
      </c>
      <c r="T3674">
        <v>0.15</v>
      </c>
      <c r="U3674">
        <v>5096.6000000000004</v>
      </c>
      <c r="V3674">
        <v>3200</v>
      </c>
      <c r="W3674">
        <v>1896.6</v>
      </c>
      <c r="X3674" t="s">
        <v>75</v>
      </c>
      <c r="Y3674" t="s">
        <v>68</v>
      </c>
      <c r="Z3674" t="s">
        <v>159</v>
      </c>
      <c r="AA3674" t="s">
        <v>166</v>
      </c>
      <c r="AB3674">
        <v>3.9</v>
      </c>
      <c r="AC3674">
        <v>50</v>
      </c>
      <c r="AD3674">
        <v>544.11</v>
      </c>
      <c r="AE3674">
        <f t="shared" si="114"/>
        <v>1302.4899999999998</v>
      </c>
      <c r="AF3674" t="str">
        <f t="shared" si="115"/>
        <v>2026-04</v>
      </c>
      <c r="AG3674">
        <f>SUBTOTAL(103,A3674)</f>
        <v>1</v>
      </c>
    </row>
    <row r="3675" spans="1:33" x14ac:dyDescent="0.3">
      <c r="A3675" t="s">
        <v>6298</v>
      </c>
      <c r="B3675" s="13">
        <v>46130</v>
      </c>
      <c r="C3675">
        <v>2026</v>
      </c>
      <c r="D3675">
        <v>4</v>
      </c>
      <c r="E3675" t="s">
        <v>3328</v>
      </c>
      <c r="F3675" t="s">
        <v>3329</v>
      </c>
      <c r="G3675" t="s">
        <v>631</v>
      </c>
      <c r="H3675" t="s">
        <v>632</v>
      </c>
      <c r="I3675" t="s">
        <v>85</v>
      </c>
      <c r="J3675">
        <v>22</v>
      </c>
      <c r="K3675" t="s">
        <v>80</v>
      </c>
      <c r="L3675" t="s">
        <v>92</v>
      </c>
      <c r="M3675" t="s">
        <v>59</v>
      </c>
      <c r="N3675" t="s">
        <v>2596</v>
      </c>
      <c r="O3675" t="s">
        <v>124</v>
      </c>
      <c r="P3675" t="s">
        <v>51</v>
      </c>
      <c r="Q3675" t="s">
        <v>147</v>
      </c>
      <c r="R3675">
        <v>2</v>
      </c>
      <c r="S3675">
        <v>2299</v>
      </c>
      <c r="T3675">
        <v>0.25</v>
      </c>
      <c r="U3675">
        <v>3448.5</v>
      </c>
      <c r="V3675">
        <v>2400</v>
      </c>
      <c r="W3675">
        <v>1048.5</v>
      </c>
      <c r="X3675" t="s">
        <v>73</v>
      </c>
      <c r="Y3675" t="s">
        <v>68</v>
      </c>
      <c r="Z3675" t="s">
        <v>159</v>
      </c>
      <c r="AA3675" t="s">
        <v>170</v>
      </c>
      <c r="AB3675">
        <v>4.2</v>
      </c>
      <c r="AC3675">
        <v>40</v>
      </c>
      <c r="AD3675">
        <v>321.38</v>
      </c>
      <c r="AE3675">
        <f t="shared" si="114"/>
        <v>687.12</v>
      </c>
      <c r="AF3675" t="str">
        <f t="shared" si="115"/>
        <v>2026-04</v>
      </c>
      <c r="AG3675">
        <f>SUBTOTAL(103,A3675)</f>
        <v>1</v>
      </c>
    </row>
    <row r="3676" spans="1:33" x14ac:dyDescent="0.3">
      <c r="A3676" t="s">
        <v>6299</v>
      </c>
      <c r="B3676" s="13">
        <v>46130</v>
      </c>
      <c r="C3676">
        <v>2026</v>
      </c>
      <c r="D3676">
        <v>4</v>
      </c>
      <c r="E3676" t="s">
        <v>3328</v>
      </c>
      <c r="F3676" t="s">
        <v>3329</v>
      </c>
      <c r="G3676" t="s">
        <v>955</v>
      </c>
      <c r="H3676" t="s">
        <v>956</v>
      </c>
      <c r="I3676" t="s">
        <v>86</v>
      </c>
      <c r="J3676">
        <v>20</v>
      </c>
      <c r="K3676" t="s">
        <v>80</v>
      </c>
      <c r="L3676" t="s">
        <v>94</v>
      </c>
      <c r="M3676" t="s">
        <v>57</v>
      </c>
      <c r="N3676" t="s">
        <v>2584</v>
      </c>
      <c r="O3676" t="s">
        <v>121</v>
      </c>
      <c r="P3676" t="s">
        <v>50</v>
      </c>
      <c r="Q3676" t="s">
        <v>144</v>
      </c>
      <c r="R3676">
        <v>2</v>
      </c>
      <c r="S3676">
        <v>2999</v>
      </c>
      <c r="T3676">
        <v>0.15</v>
      </c>
      <c r="U3676">
        <v>5098.3</v>
      </c>
      <c r="V3676">
        <v>3400</v>
      </c>
      <c r="W3676">
        <v>1698.3</v>
      </c>
      <c r="X3676" t="s">
        <v>74</v>
      </c>
      <c r="Y3676" t="s">
        <v>68</v>
      </c>
      <c r="Z3676" t="s">
        <v>158</v>
      </c>
      <c r="AA3676" t="s">
        <v>167</v>
      </c>
      <c r="AB3676">
        <v>4</v>
      </c>
      <c r="AC3676">
        <v>50</v>
      </c>
      <c r="AD3676">
        <v>274.12</v>
      </c>
      <c r="AE3676">
        <f t="shared" si="114"/>
        <v>1374.1799999999998</v>
      </c>
      <c r="AF3676" t="str">
        <f t="shared" si="115"/>
        <v>2026-04</v>
      </c>
      <c r="AG3676">
        <f>SUBTOTAL(103,A3676)</f>
        <v>1</v>
      </c>
    </row>
    <row r="3677" spans="1:33" x14ac:dyDescent="0.3">
      <c r="A3677" t="s">
        <v>6300</v>
      </c>
      <c r="B3677" s="13">
        <v>46130</v>
      </c>
      <c r="C3677">
        <v>2026</v>
      </c>
      <c r="D3677">
        <v>4</v>
      </c>
      <c r="E3677" t="s">
        <v>3328</v>
      </c>
      <c r="F3677" t="s">
        <v>3329</v>
      </c>
      <c r="G3677" t="s">
        <v>371</v>
      </c>
      <c r="H3677" t="s">
        <v>372</v>
      </c>
      <c r="I3677" t="s">
        <v>86</v>
      </c>
      <c r="J3677">
        <v>28</v>
      </c>
      <c r="K3677" t="s">
        <v>81</v>
      </c>
      <c r="L3677" t="s">
        <v>92</v>
      </c>
      <c r="M3677" t="s">
        <v>59</v>
      </c>
      <c r="N3677" t="s">
        <v>2657</v>
      </c>
      <c r="O3677" t="s">
        <v>134</v>
      </c>
      <c r="P3677" t="s">
        <v>49</v>
      </c>
      <c r="Q3677" t="s">
        <v>140</v>
      </c>
      <c r="R3677">
        <v>1</v>
      </c>
      <c r="S3677">
        <v>599</v>
      </c>
      <c r="T3677">
        <v>0.15</v>
      </c>
      <c r="U3677">
        <v>509.15</v>
      </c>
      <c r="V3677">
        <v>250</v>
      </c>
      <c r="W3677">
        <v>259.14999999999998</v>
      </c>
      <c r="X3677" t="s">
        <v>77</v>
      </c>
      <c r="Y3677" t="s">
        <v>68</v>
      </c>
      <c r="Z3677" t="s">
        <v>162</v>
      </c>
      <c r="AA3677" t="s">
        <v>169</v>
      </c>
      <c r="AB3677">
        <v>4.2</v>
      </c>
      <c r="AC3677">
        <v>60</v>
      </c>
      <c r="AD3677">
        <v>48.75</v>
      </c>
      <c r="AE3677">
        <f t="shared" si="114"/>
        <v>150.39999999999998</v>
      </c>
      <c r="AF3677" t="str">
        <f t="shared" si="115"/>
        <v>2026-04</v>
      </c>
      <c r="AG3677">
        <f>SUBTOTAL(103,A3677)</f>
        <v>1</v>
      </c>
    </row>
    <row r="3678" spans="1:33" x14ac:dyDescent="0.3">
      <c r="A3678" t="s">
        <v>6301</v>
      </c>
      <c r="B3678" s="13">
        <v>46130</v>
      </c>
      <c r="C3678">
        <v>2026</v>
      </c>
      <c r="D3678">
        <v>4</v>
      </c>
      <c r="E3678" t="s">
        <v>3328</v>
      </c>
      <c r="F3678" t="s">
        <v>3329</v>
      </c>
      <c r="G3678" t="s">
        <v>1049</v>
      </c>
      <c r="H3678" t="s">
        <v>1050</v>
      </c>
      <c r="I3678" t="s">
        <v>86</v>
      </c>
      <c r="J3678">
        <v>41</v>
      </c>
      <c r="K3678" t="s">
        <v>82</v>
      </c>
      <c r="L3678" t="s">
        <v>2690</v>
      </c>
      <c r="M3678" t="s">
        <v>63</v>
      </c>
      <c r="N3678" t="s">
        <v>2626</v>
      </c>
      <c r="O3678" t="s">
        <v>125</v>
      </c>
      <c r="P3678" t="s">
        <v>48</v>
      </c>
      <c r="Q3678" t="s">
        <v>141</v>
      </c>
      <c r="R3678">
        <v>4</v>
      </c>
      <c r="S3678">
        <v>1999</v>
      </c>
      <c r="T3678">
        <v>0.1</v>
      </c>
      <c r="U3678">
        <v>7196.4</v>
      </c>
      <c r="V3678">
        <v>4600</v>
      </c>
      <c r="W3678">
        <v>2596.4</v>
      </c>
      <c r="X3678" t="s">
        <v>75</v>
      </c>
      <c r="Y3678" t="s">
        <v>68</v>
      </c>
      <c r="Z3678" t="s">
        <v>161</v>
      </c>
      <c r="AA3678" t="s">
        <v>171</v>
      </c>
      <c r="AB3678">
        <v>3.3</v>
      </c>
      <c r="AC3678">
        <v>80</v>
      </c>
      <c r="AD3678">
        <v>563.51</v>
      </c>
      <c r="AE3678">
        <f t="shared" si="114"/>
        <v>1952.89</v>
      </c>
      <c r="AF3678" t="str">
        <f t="shared" si="115"/>
        <v>2026-04</v>
      </c>
      <c r="AG3678">
        <f>SUBTOTAL(103,A3678)</f>
        <v>1</v>
      </c>
    </row>
    <row r="3679" spans="1:33" x14ac:dyDescent="0.3">
      <c r="A3679" t="s">
        <v>6302</v>
      </c>
      <c r="B3679" s="13">
        <v>46131</v>
      </c>
      <c r="C3679">
        <v>2026</v>
      </c>
      <c r="D3679">
        <v>4</v>
      </c>
      <c r="E3679" t="s">
        <v>3328</v>
      </c>
      <c r="F3679" t="s">
        <v>3329</v>
      </c>
      <c r="G3679" t="s">
        <v>1799</v>
      </c>
      <c r="H3679" t="s">
        <v>1800</v>
      </c>
      <c r="I3679" t="s">
        <v>85</v>
      </c>
      <c r="J3679">
        <v>25</v>
      </c>
      <c r="K3679" t="s">
        <v>80</v>
      </c>
      <c r="L3679" t="s">
        <v>99</v>
      </c>
      <c r="M3679" t="s">
        <v>58</v>
      </c>
      <c r="N3679" t="s">
        <v>2596</v>
      </c>
      <c r="O3679" t="s">
        <v>124</v>
      </c>
      <c r="P3679" t="s">
        <v>51</v>
      </c>
      <c r="Q3679" t="s">
        <v>147</v>
      </c>
      <c r="R3679">
        <v>2</v>
      </c>
      <c r="S3679">
        <v>2299</v>
      </c>
      <c r="T3679">
        <v>0.05</v>
      </c>
      <c r="U3679">
        <v>4368.1000000000004</v>
      </c>
      <c r="V3679">
        <v>2400</v>
      </c>
      <c r="W3679">
        <v>1968.1</v>
      </c>
      <c r="X3679" t="s">
        <v>75</v>
      </c>
      <c r="Y3679" t="s">
        <v>68</v>
      </c>
      <c r="Z3679" t="s">
        <v>158</v>
      </c>
      <c r="AA3679" t="s">
        <v>166</v>
      </c>
      <c r="AB3679">
        <v>3.7</v>
      </c>
      <c r="AC3679">
        <v>40</v>
      </c>
      <c r="AD3679">
        <v>289.76</v>
      </c>
      <c r="AE3679">
        <f t="shared" si="114"/>
        <v>1638.34</v>
      </c>
      <c r="AF3679" t="str">
        <f t="shared" si="115"/>
        <v>2026-04</v>
      </c>
      <c r="AG3679">
        <f>SUBTOTAL(103,A3679)</f>
        <v>1</v>
      </c>
    </row>
    <row r="3680" spans="1:33" x14ac:dyDescent="0.3">
      <c r="A3680" t="s">
        <v>6303</v>
      </c>
      <c r="B3680" s="13">
        <v>46131</v>
      </c>
      <c r="C3680">
        <v>2026</v>
      </c>
      <c r="D3680">
        <v>4</v>
      </c>
      <c r="E3680" t="s">
        <v>3328</v>
      </c>
      <c r="F3680" t="s">
        <v>3329</v>
      </c>
      <c r="G3680" t="s">
        <v>831</v>
      </c>
      <c r="H3680" t="s">
        <v>832</v>
      </c>
      <c r="I3680" t="s">
        <v>85</v>
      </c>
      <c r="J3680">
        <v>40</v>
      </c>
      <c r="K3680" t="s">
        <v>82</v>
      </c>
      <c r="L3680" t="s">
        <v>93</v>
      </c>
      <c r="M3680" t="s">
        <v>55</v>
      </c>
      <c r="N3680" t="s">
        <v>2630</v>
      </c>
      <c r="O3680" t="s">
        <v>123</v>
      </c>
      <c r="P3680" t="s">
        <v>52</v>
      </c>
      <c r="Q3680" t="s">
        <v>146</v>
      </c>
      <c r="R3680">
        <v>3</v>
      </c>
      <c r="S3680">
        <v>2499</v>
      </c>
      <c r="T3680">
        <v>0.05</v>
      </c>
      <c r="U3680">
        <v>7122.15</v>
      </c>
      <c r="V3680">
        <v>4200</v>
      </c>
      <c r="W3680">
        <v>2922.15</v>
      </c>
      <c r="X3680" t="s">
        <v>77</v>
      </c>
      <c r="Y3680" t="s">
        <v>68</v>
      </c>
      <c r="Z3680" t="s">
        <v>160</v>
      </c>
      <c r="AA3680" t="s">
        <v>166</v>
      </c>
      <c r="AB3680">
        <v>3.9</v>
      </c>
      <c r="AC3680">
        <v>50</v>
      </c>
      <c r="AD3680">
        <v>199.64</v>
      </c>
      <c r="AE3680">
        <f t="shared" si="114"/>
        <v>2672.51</v>
      </c>
      <c r="AF3680" t="str">
        <f t="shared" si="115"/>
        <v>2026-04</v>
      </c>
      <c r="AG3680">
        <f>SUBTOTAL(103,A3680)</f>
        <v>1</v>
      </c>
    </row>
    <row r="3681" spans="1:33" x14ac:dyDescent="0.3">
      <c r="A3681" t="s">
        <v>6304</v>
      </c>
      <c r="B3681" s="13">
        <v>46131</v>
      </c>
      <c r="C3681">
        <v>2026</v>
      </c>
      <c r="D3681">
        <v>4</v>
      </c>
      <c r="E3681" t="s">
        <v>3328</v>
      </c>
      <c r="F3681" t="s">
        <v>3329</v>
      </c>
      <c r="G3681" t="s">
        <v>2051</v>
      </c>
      <c r="H3681" t="s">
        <v>2052</v>
      </c>
      <c r="I3681" t="s">
        <v>86</v>
      </c>
      <c r="J3681">
        <v>24</v>
      </c>
      <c r="K3681" t="s">
        <v>80</v>
      </c>
      <c r="L3681" t="s">
        <v>2646</v>
      </c>
      <c r="M3681" t="s">
        <v>63</v>
      </c>
      <c r="N3681" t="s">
        <v>2594</v>
      </c>
      <c r="O3681" t="s">
        <v>131</v>
      </c>
      <c r="P3681" t="s">
        <v>53</v>
      </c>
      <c r="Q3681" t="s">
        <v>143</v>
      </c>
      <c r="R3681">
        <v>1</v>
      </c>
      <c r="S3681">
        <v>999</v>
      </c>
      <c r="T3681">
        <v>0.15</v>
      </c>
      <c r="U3681">
        <v>849.15</v>
      </c>
      <c r="V3681">
        <v>520</v>
      </c>
      <c r="W3681">
        <v>329.15</v>
      </c>
      <c r="X3681" t="s">
        <v>76</v>
      </c>
      <c r="Y3681" t="s">
        <v>68</v>
      </c>
      <c r="Z3681" t="s">
        <v>160</v>
      </c>
      <c r="AA3681" t="s">
        <v>166</v>
      </c>
      <c r="AB3681">
        <v>2.9</v>
      </c>
      <c r="AC3681">
        <v>100</v>
      </c>
      <c r="AD3681">
        <v>92.86</v>
      </c>
      <c r="AE3681">
        <f t="shared" si="114"/>
        <v>136.28999999999996</v>
      </c>
      <c r="AF3681" t="str">
        <f t="shared" si="115"/>
        <v>2026-04</v>
      </c>
      <c r="AG3681">
        <f>SUBTOTAL(103,A3681)</f>
        <v>1</v>
      </c>
    </row>
    <row r="3682" spans="1:33" x14ac:dyDescent="0.3">
      <c r="A3682" t="s">
        <v>6305</v>
      </c>
      <c r="B3682" s="13">
        <v>46131</v>
      </c>
      <c r="C3682">
        <v>2026</v>
      </c>
      <c r="D3682">
        <v>4</v>
      </c>
      <c r="E3682" t="s">
        <v>3328</v>
      </c>
      <c r="F3682" t="s">
        <v>3329</v>
      </c>
      <c r="G3682" t="s">
        <v>1201</v>
      </c>
      <c r="H3682" t="s">
        <v>1202</v>
      </c>
      <c r="I3682" t="s">
        <v>86</v>
      </c>
      <c r="J3682">
        <v>35</v>
      </c>
      <c r="K3682" t="s">
        <v>81</v>
      </c>
      <c r="L3682" t="s">
        <v>94</v>
      </c>
      <c r="M3682" t="s">
        <v>57</v>
      </c>
      <c r="N3682" t="s">
        <v>2577</v>
      </c>
      <c r="O3682" t="s">
        <v>129</v>
      </c>
      <c r="P3682" t="s">
        <v>49</v>
      </c>
      <c r="Q3682" t="s">
        <v>149</v>
      </c>
      <c r="R3682">
        <v>1</v>
      </c>
      <c r="S3682">
        <v>1299</v>
      </c>
      <c r="T3682">
        <v>0</v>
      </c>
      <c r="U3682">
        <v>1299</v>
      </c>
      <c r="V3682">
        <v>650</v>
      </c>
      <c r="W3682">
        <v>649</v>
      </c>
      <c r="X3682" t="s">
        <v>74</v>
      </c>
      <c r="Y3682" t="s">
        <v>68</v>
      </c>
      <c r="Z3682" t="s">
        <v>159</v>
      </c>
      <c r="AA3682" t="s">
        <v>170</v>
      </c>
      <c r="AB3682">
        <v>5</v>
      </c>
      <c r="AC3682">
        <v>60</v>
      </c>
      <c r="AD3682">
        <v>30.22</v>
      </c>
      <c r="AE3682">
        <f t="shared" si="114"/>
        <v>558.78</v>
      </c>
      <c r="AF3682" t="str">
        <f t="shared" si="115"/>
        <v>2026-04</v>
      </c>
      <c r="AG3682">
        <f>SUBTOTAL(103,A3682)</f>
        <v>1</v>
      </c>
    </row>
    <row r="3683" spans="1:33" x14ac:dyDescent="0.3">
      <c r="A3683" t="s">
        <v>6306</v>
      </c>
      <c r="B3683" s="13">
        <v>46131</v>
      </c>
      <c r="C3683">
        <v>2026</v>
      </c>
      <c r="D3683">
        <v>4</v>
      </c>
      <c r="E3683" t="s">
        <v>3328</v>
      </c>
      <c r="F3683" t="s">
        <v>3329</v>
      </c>
      <c r="G3683" t="s">
        <v>323</v>
      </c>
      <c r="H3683" t="s">
        <v>324</v>
      </c>
      <c r="I3683" t="s">
        <v>86</v>
      </c>
      <c r="J3683">
        <v>25</v>
      </c>
      <c r="K3683" t="s">
        <v>80</v>
      </c>
      <c r="L3683" t="s">
        <v>59</v>
      </c>
      <c r="M3683" t="s">
        <v>59</v>
      </c>
      <c r="N3683" t="s">
        <v>2580</v>
      </c>
      <c r="O3683" t="s">
        <v>118</v>
      </c>
      <c r="P3683" t="s">
        <v>48</v>
      </c>
      <c r="Q3683" t="s">
        <v>142</v>
      </c>
      <c r="R3683">
        <v>3</v>
      </c>
      <c r="S3683">
        <v>3999</v>
      </c>
      <c r="T3683">
        <v>0.1</v>
      </c>
      <c r="U3683">
        <v>10797.3</v>
      </c>
      <c r="V3683">
        <v>7200</v>
      </c>
      <c r="W3683">
        <v>3597.3</v>
      </c>
      <c r="X3683" t="s">
        <v>76</v>
      </c>
      <c r="Y3683" t="s">
        <v>68</v>
      </c>
      <c r="Z3683" t="s">
        <v>159</v>
      </c>
      <c r="AA3683" t="s">
        <v>167</v>
      </c>
      <c r="AB3683">
        <v>4.5</v>
      </c>
      <c r="AC3683">
        <v>120</v>
      </c>
      <c r="AD3683">
        <v>784</v>
      </c>
      <c r="AE3683">
        <f t="shared" si="114"/>
        <v>2693.3</v>
      </c>
      <c r="AF3683" t="str">
        <f t="shared" si="115"/>
        <v>2026-04</v>
      </c>
      <c r="AG3683">
        <f>SUBTOTAL(103,A3683)</f>
        <v>1</v>
      </c>
    </row>
    <row r="3684" spans="1:33" x14ac:dyDescent="0.3">
      <c r="A3684" t="s">
        <v>6307</v>
      </c>
      <c r="B3684" s="13">
        <v>46131</v>
      </c>
      <c r="C3684">
        <v>2026</v>
      </c>
      <c r="D3684">
        <v>4</v>
      </c>
      <c r="E3684" t="s">
        <v>3328</v>
      </c>
      <c r="F3684" t="s">
        <v>3329</v>
      </c>
      <c r="G3684" t="s">
        <v>1129</v>
      </c>
      <c r="H3684" t="s">
        <v>1130</v>
      </c>
      <c r="I3684" t="s">
        <v>86</v>
      </c>
      <c r="J3684">
        <v>37</v>
      </c>
      <c r="K3684" t="s">
        <v>82</v>
      </c>
      <c r="L3684" t="s">
        <v>91</v>
      </c>
      <c r="M3684" t="s">
        <v>55</v>
      </c>
      <c r="N3684" t="s">
        <v>2603</v>
      </c>
      <c r="O3684" t="s">
        <v>122</v>
      </c>
      <c r="P3684" t="s">
        <v>48</v>
      </c>
      <c r="Q3684" t="s">
        <v>141</v>
      </c>
      <c r="R3684">
        <v>4</v>
      </c>
      <c r="S3684">
        <v>2499</v>
      </c>
      <c r="T3684">
        <v>0.05</v>
      </c>
      <c r="U3684">
        <v>9496.2000000000007</v>
      </c>
      <c r="V3684">
        <v>5800</v>
      </c>
      <c r="W3684">
        <v>3696.2</v>
      </c>
      <c r="X3684" t="s">
        <v>75</v>
      </c>
      <c r="Y3684" t="s">
        <v>68</v>
      </c>
      <c r="Z3684" t="s">
        <v>158</v>
      </c>
      <c r="AA3684" t="s">
        <v>166</v>
      </c>
      <c r="AB3684">
        <v>3.3</v>
      </c>
      <c r="AC3684">
        <v>80</v>
      </c>
      <c r="AD3684">
        <v>253.05</v>
      </c>
      <c r="AE3684">
        <f t="shared" si="114"/>
        <v>3363.1499999999996</v>
      </c>
      <c r="AF3684" t="str">
        <f t="shared" si="115"/>
        <v>2026-04</v>
      </c>
      <c r="AG3684">
        <f>SUBTOTAL(103,A3684)</f>
        <v>1</v>
      </c>
    </row>
    <row r="3685" spans="1:33" x14ac:dyDescent="0.3">
      <c r="A3685" t="s">
        <v>6308</v>
      </c>
      <c r="B3685" s="13">
        <v>46131</v>
      </c>
      <c r="C3685">
        <v>2026</v>
      </c>
      <c r="D3685">
        <v>4</v>
      </c>
      <c r="E3685" t="s">
        <v>3328</v>
      </c>
      <c r="F3685" t="s">
        <v>3329</v>
      </c>
      <c r="G3685" t="s">
        <v>401</v>
      </c>
      <c r="H3685" t="s">
        <v>402</v>
      </c>
      <c r="I3685" t="s">
        <v>86</v>
      </c>
      <c r="J3685">
        <v>48</v>
      </c>
      <c r="K3685" t="s">
        <v>83</v>
      </c>
      <c r="L3685" t="s">
        <v>2579</v>
      </c>
      <c r="M3685" t="s">
        <v>56</v>
      </c>
      <c r="N3685" t="s">
        <v>2653</v>
      </c>
      <c r="O3685" t="s">
        <v>132</v>
      </c>
      <c r="P3685" t="s">
        <v>52</v>
      </c>
      <c r="Q3685" t="s">
        <v>150</v>
      </c>
      <c r="R3685">
        <v>2</v>
      </c>
      <c r="S3685">
        <v>899</v>
      </c>
      <c r="T3685">
        <v>0.05</v>
      </c>
      <c r="U3685">
        <v>1708.1</v>
      </c>
      <c r="V3685">
        <v>840</v>
      </c>
      <c r="W3685">
        <v>868.1</v>
      </c>
      <c r="X3685" t="s">
        <v>76</v>
      </c>
      <c r="Y3685" t="s">
        <v>68</v>
      </c>
      <c r="Z3685" t="s">
        <v>161</v>
      </c>
      <c r="AA3685" t="s">
        <v>167</v>
      </c>
      <c r="AB3685">
        <v>4.8</v>
      </c>
      <c r="AC3685">
        <v>50</v>
      </c>
      <c r="AD3685">
        <v>83.67</v>
      </c>
      <c r="AE3685">
        <f t="shared" si="114"/>
        <v>734.43000000000006</v>
      </c>
      <c r="AF3685" t="str">
        <f t="shared" si="115"/>
        <v>2026-04</v>
      </c>
      <c r="AG3685">
        <f>SUBTOTAL(103,A3685)</f>
        <v>1</v>
      </c>
    </row>
    <row r="3686" spans="1:33" x14ac:dyDescent="0.3">
      <c r="A3686" t="s">
        <v>6309</v>
      </c>
      <c r="B3686" s="13">
        <v>46131</v>
      </c>
      <c r="C3686">
        <v>2026</v>
      </c>
      <c r="D3686">
        <v>4</v>
      </c>
      <c r="E3686" t="s">
        <v>3328</v>
      </c>
      <c r="F3686" t="s">
        <v>3329</v>
      </c>
      <c r="G3686" t="s">
        <v>729</v>
      </c>
      <c r="H3686" t="s">
        <v>730</v>
      </c>
      <c r="I3686" t="s">
        <v>85</v>
      </c>
      <c r="J3686">
        <v>38</v>
      </c>
      <c r="K3686" t="s">
        <v>82</v>
      </c>
      <c r="L3686" t="s">
        <v>90</v>
      </c>
      <c r="M3686" t="s">
        <v>55</v>
      </c>
      <c r="N3686" t="s">
        <v>2587</v>
      </c>
      <c r="O3686" t="s">
        <v>116</v>
      </c>
      <c r="P3686" t="s">
        <v>48</v>
      </c>
      <c r="Q3686" t="s">
        <v>138</v>
      </c>
      <c r="R3686">
        <v>1</v>
      </c>
      <c r="S3686">
        <v>14999</v>
      </c>
      <c r="T3686">
        <v>0.05</v>
      </c>
      <c r="U3686">
        <v>14249.05</v>
      </c>
      <c r="V3686">
        <v>11200</v>
      </c>
      <c r="W3686">
        <v>3049.05</v>
      </c>
      <c r="X3686" t="s">
        <v>75</v>
      </c>
      <c r="Y3686" t="s">
        <v>68</v>
      </c>
      <c r="Z3686" t="s">
        <v>161</v>
      </c>
      <c r="AA3686" t="s">
        <v>168</v>
      </c>
      <c r="AB3686">
        <v>5</v>
      </c>
      <c r="AC3686">
        <v>50</v>
      </c>
      <c r="AD3686">
        <v>949.79</v>
      </c>
      <c r="AE3686">
        <f t="shared" si="114"/>
        <v>2049.2600000000002</v>
      </c>
      <c r="AF3686" t="str">
        <f t="shared" si="115"/>
        <v>2026-04</v>
      </c>
      <c r="AG3686">
        <f>SUBTOTAL(103,A3686)</f>
        <v>1</v>
      </c>
    </row>
    <row r="3687" spans="1:33" x14ac:dyDescent="0.3">
      <c r="A3687" t="s">
        <v>6310</v>
      </c>
      <c r="B3687" s="13">
        <v>46132</v>
      </c>
      <c r="C3687">
        <v>2026</v>
      </c>
      <c r="D3687">
        <v>4</v>
      </c>
      <c r="E3687" t="s">
        <v>3328</v>
      </c>
      <c r="F3687" t="s">
        <v>3329</v>
      </c>
      <c r="G3687" t="s">
        <v>915</v>
      </c>
      <c r="H3687" t="s">
        <v>916</v>
      </c>
      <c r="I3687" t="s">
        <v>85</v>
      </c>
      <c r="J3687">
        <v>20</v>
      </c>
      <c r="K3687" t="s">
        <v>80</v>
      </c>
      <c r="L3687" t="s">
        <v>2634</v>
      </c>
      <c r="M3687" t="s">
        <v>56</v>
      </c>
      <c r="N3687" t="s">
        <v>2584</v>
      </c>
      <c r="O3687" t="s">
        <v>121</v>
      </c>
      <c r="P3687" t="s">
        <v>50</v>
      </c>
      <c r="Q3687" t="s">
        <v>144</v>
      </c>
      <c r="R3687">
        <v>2</v>
      </c>
      <c r="S3687">
        <v>2999</v>
      </c>
      <c r="T3687">
        <v>0</v>
      </c>
      <c r="U3687">
        <v>5998</v>
      </c>
      <c r="V3687">
        <v>3400</v>
      </c>
      <c r="W3687">
        <v>2598</v>
      </c>
      <c r="X3687" t="s">
        <v>73</v>
      </c>
      <c r="Y3687" t="s">
        <v>68</v>
      </c>
      <c r="Z3687" t="s">
        <v>160</v>
      </c>
      <c r="AA3687" t="s">
        <v>168</v>
      </c>
      <c r="AB3687">
        <v>4.5999999999999996</v>
      </c>
      <c r="AC3687">
        <v>80</v>
      </c>
      <c r="AD3687">
        <v>179.97</v>
      </c>
      <c r="AE3687">
        <f t="shared" si="114"/>
        <v>2338.0300000000002</v>
      </c>
      <c r="AF3687" t="str">
        <f t="shared" si="115"/>
        <v>2026-04</v>
      </c>
      <c r="AG3687">
        <f>SUBTOTAL(103,A3687)</f>
        <v>1</v>
      </c>
    </row>
    <row r="3688" spans="1:33" x14ac:dyDescent="0.3">
      <c r="A3688" t="s">
        <v>6311</v>
      </c>
      <c r="B3688" s="13">
        <v>46132</v>
      </c>
      <c r="C3688">
        <v>2026</v>
      </c>
      <c r="D3688">
        <v>4</v>
      </c>
      <c r="E3688" t="s">
        <v>3328</v>
      </c>
      <c r="F3688" t="s">
        <v>3329</v>
      </c>
      <c r="G3688" t="s">
        <v>1373</v>
      </c>
      <c r="H3688" t="s">
        <v>1374</v>
      </c>
      <c r="I3688" t="s">
        <v>86</v>
      </c>
      <c r="J3688">
        <v>33</v>
      </c>
      <c r="K3688" t="s">
        <v>81</v>
      </c>
      <c r="L3688" t="s">
        <v>2573</v>
      </c>
      <c r="M3688" t="s">
        <v>63</v>
      </c>
      <c r="N3688" t="s">
        <v>2594</v>
      </c>
      <c r="O3688" t="s">
        <v>131</v>
      </c>
      <c r="P3688" t="s">
        <v>53</v>
      </c>
      <c r="Q3688" t="s">
        <v>143</v>
      </c>
      <c r="R3688">
        <v>2</v>
      </c>
      <c r="S3688">
        <v>999</v>
      </c>
      <c r="T3688">
        <v>0.15</v>
      </c>
      <c r="U3688">
        <v>1698.3</v>
      </c>
      <c r="V3688">
        <v>1040</v>
      </c>
      <c r="W3688">
        <v>658.3</v>
      </c>
      <c r="X3688" t="s">
        <v>77</v>
      </c>
      <c r="Y3688" t="s">
        <v>68</v>
      </c>
      <c r="Z3688" t="s">
        <v>158</v>
      </c>
      <c r="AA3688" t="s">
        <v>168</v>
      </c>
      <c r="AB3688">
        <v>3.6</v>
      </c>
      <c r="AC3688">
        <v>50</v>
      </c>
      <c r="AD3688">
        <v>47.53</v>
      </c>
      <c r="AE3688">
        <f t="shared" si="114"/>
        <v>560.77</v>
      </c>
      <c r="AF3688" t="str">
        <f t="shared" si="115"/>
        <v>2026-04</v>
      </c>
      <c r="AG3688">
        <f>SUBTOTAL(103,A3688)</f>
        <v>1</v>
      </c>
    </row>
    <row r="3689" spans="1:33" x14ac:dyDescent="0.3">
      <c r="A3689" t="s">
        <v>6312</v>
      </c>
      <c r="B3689" s="13">
        <v>46132</v>
      </c>
      <c r="C3689">
        <v>2026</v>
      </c>
      <c r="D3689">
        <v>4</v>
      </c>
      <c r="E3689" t="s">
        <v>3328</v>
      </c>
      <c r="F3689" t="s">
        <v>3329</v>
      </c>
      <c r="G3689" t="s">
        <v>755</v>
      </c>
      <c r="H3689" t="s">
        <v>756</v>
      </c>
      <c r="I3689" t="s">
        <v>86</v>
      </c>
      <c r="J3689">
        <v>53</v>
      </c>
      <c r="K3689" t="s">
        <v>83</v>
      </c>
      <c r="L3689" t="s">
        <v>59</v>
      </c>
      <c r="M3689" t="s">
        <v>59</v>
      </c>
      <c r="N3689" t="s">
        <v>2630</v>
      </c>
      <c r="O3689" t="s">
        <v>123</v>
      </c>
      <c r="P3689" t="s">
        <v>52</v>
      </c>
      <c r="Q3689" t="s">
        <v>146</v>
      </c>
      <c r="R3689">
        <v>3</v>
      </c>
      <c r="S3689">
        <v>2499</v>
      </c>
      <c r="T3689">
        <v>0</v>
      </c>
      <c r="U3689">
        <v>7497</v>
      </c>
      <c r="V3689">
        <v>4200</v>
      </c>
      <c r="W3689">
        <v>3297</v>
      </c>
      <c r="X3689" t="s">
        <v>74</v>
      </c>
      <c r="Y3689" t="s">
        <v>68</v>
      </c>
      <c r="Z3689" t="s">
        <v>159</v>
      </c>
      <c r="AA3689" t="s">
        <v>170</v>
      </c>
      <c r="AB3689">
        <v>3.8</v>
      </c>
      <c r="AC3689">
        <v>50</v>
      </c>
      <c r="AD3689">
        <v>831.45</v>
      </c>
      <c r="AE3689">
        <f t="shared" si="114"/>
        <v>2415.5500000000002</v>
      </c>
      <c r="AF3689" t="str">
        <f t="shared" si="115"/>
        <v>2026-04</v>
      </c>
      <c r="AG3689">
        <f>SUBTOTAL(103,A3689)</f>
        <v>1</v>
      </c>
    </row>
    <row r="3690" spans="1:33" x14ac:dyDescent="0.3">
      <c r="A3690" t="s">
        <v>6313</v>
      </c>
      <c r="B3690" s="13">
        <v>46132</v>
      </c>
      <c r="C3690">
        <v>2026</v>
      </c>
      <c r="D3690">
        <v>4</v>
      </c>
      <c r="E3690" t="s">
        <v>3328</v>
      </c>
      <c r="F3690" t="s">
        <v>3329</v>
      </c>
      <c r="G3690" t="s">
        <v>1089</v>
      </c>
      <c r="H3690" t="s">
        <v>1090</v>
      </c>
      <c r="I3690" t="s">
        <v>85</v>
      </c>
      <c r="J3690">
        <v>36</v>
      </c>
      <c r="K3690" t="s">
        <v>82</v>
      </c>
      <c r="L3690" t="s">
        <v>2616</v>
      </c>
      <c r="M3690" t="s">
        <v>62</v>
      </c>
      <c r="N3690" t="s">
        <v>2630</v>
      </c>
      <c r="O3690" t="s">
        <v>123</v>
      </c>
      <c r="P3690" t="s">
        <v>52</v>
      </c>
      <c r="Q3690" t="s">
        <v>146</v>
      </c>
      <c r="R3690">
        <v>4</v>
      </c>
      <c r="S3690">
        <v>2499</v>
      </c>
      <c r="T3690">
        <v>0.05</v>
      </c>
      <c r="U3690">
        <v>9496.2000000000007</v>
      </c>
      <c r="V3690">
        <v>5600</v>
      </c>
      <c r="W3690">
        <v>3896.2</v>
      </c>
      <c r="X3690" t="s">
        <v>77</v>
      </c>
      <c r="Y3690" t="s">
        <v>68</v>
      </c>
      <c r="Z3690" t="s">
        <v>159</v>
      </c>
      <c r="AA3690" t="s">
        <v>167</v>
      </c>
      <c r="AB3690">
        <v>4.0999999999999996</v>
      </c>
      <c r="AC3690">
        <v>50</v>
      </c>
      <c r="AD3690">
        <v>938.96</v>
      </c>
      <c r="AE3690">
        <f t="shared" si="114"/>
        <v>2907.24</v>
      </c>
      <c r="AF3690" t="str">
        <f t="shared" si="115"/>
        <v>2026-04</v>
      </c>
      <c r="AG3690">
        <f>SUBTOTAL(103,A3690)</f>
        <v>1</v>
      </c>
    </row>
    <row r="3691" spans="1:33" x14ac:dyDescent="0.3">
      <c r="A3691" t="s">
        <v>6314</v>
      </c>
      <c r="B3691" s="13">
        <v>46133</v>
      </c>
      <c r="C3691">
        <v>2026</v>
      </c>
      <c r="D3691">
        <v>4</v>
      </c>
      <c r="E3691" t="s">
        <v>3328</v>
      </c>
      <c r="F3691" t="s">
        <v>3329</v>
      </c>
      <c r="G3691" t="s">
        <v>655</v>
      </c>
      <c r="H3691" t="s">
        <v>656</v>
      </c>
      <c r="I3691" t="s">
        <v>85</v>
      </c>
      <c r="J3691">
        <v>28</v>
      </c>
      <c r="K3691" t="s">
        <v>81</v>
      </c>
      <c r="L3691" t="s">
        <v>99</v>
      </c>
      <c r="M3691" t="s">
        <v>58</v>
      </c>
      <c r="N3691" t="s">
        <v>2630</v>
      </c>
      <c r="O3691" t="s">
        <v>123</v>
      </c>
      <c r="P3691" t="s">
        <v>52</v>
      </c>
      <c r="Q3691" t="s">
        <v>146</v>
      </c>
      <c r="R3691">
        <v>2</v>
      </c>
      <c r="S3691">
        <v>2499</v>
      </c>
      <c r="T3691">
        <v>0</v>
      </c>
      <c r="U3691">
        <v>4998</v>
      </c>
      <c r="V3691">
        <v>2800</v>
      </c>
      <c r="W3691">
        <v>2198</v>
      </c>
      <c r="X3691" t="s">
        <v>73</v>
      </c>
      <c r="Y3691" t="s">
        <v>70</v>
      </c>
      <c r="Z3691" t="s">
        <v>158</v>
      </c>
      <c r="AA3691" t="s">
        <v>166</v>
      </c>
      <c r="AB3691">
        <v>4.2</v>
      </c>
      <c r="AC3691">
        <v>80</v>
      </c>
      <c r="AD3691">
        <v>195.41</v>
      </c>
      <c r="AE3691">
        <f t="shared" si="114"/>
        <v>1922.59</v>
      </c>
      <c r="AF3691" t="str">
        <f t="shared" si="115"/>
        <v>2026-04</v>
      </c>
      <c r="AG3691">
        <f>SUBTOTAL(103,A3691)</f>
        <v>1</v>
      </c>
    </row>
    <row r="3692" spans="1:33" x14ac:dyDescent="0.3">
      <c r="A3692" t="s">
        <v>6315</v>
      </c>
      <c r="B3692" s="13">
        <v>46133</v>
      </c>
      <c r="C3692">
        <v>2026</v>
      </c>
      <c r="D3692">
        <v>4</v>
      </c>
      <c r="E3692" t="s">
        <v>3328</v>
      </c>
      <c r="F3692" t="s">
        <v>3329</v>
      </c>
      <c r="G3692" t="s">
        <v>901</v>
      </c>
      <c r="H3692" t="s">
        <v>902</v>
      </c>
      <c r="I3692" t="s">
        <v>86</v>
      </c>
      <c r="J3692">
        <v>44</v>
      </c>
      <c r="K3692" t="s">
        <v>82</v>
      </c>
      <c r="L3692" t="s">
        <v>2687</v>
      </c>
      <c r="M3692" t="s">
        <v>57</v>
      </c>
      <c r="N3692" t="s">
        <v>2630</v>
      </c>
      <c r="O3692" t="s">
        <v>123</v>
      </c>
      <c r="P3692" t="s">
        <v>52</v>
      </c>
      <c r="Q3692" t="s">
        <v>146</v>
      </c>
      <c r="R3692">
        <v>1</v>
      </c>
      <c r="S3692">
        <v>2499</v>
      </c>
      <c r="T3692">
        <v>0.1</v>
      </c>
      <c r="U3692">
        <v>0</v>
      </c>
      <c r="V3692">
        <v>0</v>
      </c>
      <c r="W3692">
        <v>0</v>
      </c>
      <c r="X3692" t="s">
        <v>76</v>
      </c>
      <c r="Y3692" t="s">
        <v>71</v>
      </c>
      <c r="Z3692" t="s">
        <v>162</v>
      </c>
      <c r="AA3692" t="s">
        <v>171</v>
      </c>
      <c r="AB3692">
        <v>3.7</v>
      </c>
      <c r="AC3692">
        <v>100</v>
      </c>
      <c r="AD3692">
        <v>238.49</v>
      </c>
      <c r="AE3692">
        <f t="shared" si="114"/>
        <v>-338.49</v>
      </c>
      <c r="AF3692" t="str">
        <f t="shared" si="115"/>
        <v>2026-04</v>
      </c>
      <c r="AG3692">
        <f>SUBTOTAL(103,A3692)</f>
        <v>1</v>
      </c>
    </row>
    <row r="3693" spans="1:33" x14ac:dyDescent="0.3">
      <c r="A3693" t="s">
        <v>6316</v>
      </c>
      <c r="B3693" s="13">
        <v>46133</v>
      </c>
      <c r="C3693">
        <v>2026</v>
      </c>
      <c r="D3693">
        <v>4</v>
      </c>
      <c r="E3693" t="s">
        <v>3328</v>
      </c>
      <c r="F3693" t="s">
        <v>3329</v>
      </c>
      <c r="G3693" t="s">
        <v>1375</v>
      </c>
      <c r="H3693" t="s">
        <v>1376</v>
      </c>
      <c r="I3693" t="s">
        <v>86</v>
      </c>
      <c r="J3693">
        <v>60</v>
      </c>
      <c r="K3693" t="s">
        <v>83</v>
      </c>
      <c r="L3693" t="s">
        <v>98</v>
      </c>
      <c r="M3693" t="s">
        <v>55</v>
      </c>
      <c r="N3693" t="s">
        <v>2574</v>
      </c>
      <c r="O3693" t="s">
        <v>130</v>
      </c>
      <c r="P3693" t="s">
        <v>50</v>
      </c>
      <c r="Q3693" t="s">
        <v>53</v>
      </c>
      <c r="R3693">
        <v>1</v>
      </c>
      <c r="S3693">
        <v>1199</v>
      </c>
      <c r="T3693">
        <v>0</v>
      </c>
      <c r="U3693">
        <v>1199</v>
      </c>
      <c r="V3693">
        <v>550</v>
      </c>
      <c r="W3693">
        <v>649</v>
      </c>
      <c r="X3693" t="s">
        <v>73</v>
      </c>
      <c r="Y3693" t="s">
        <v>68</v>
      </c>
      <c r="Z3693" t="s">
        <v>160</v>
      </c>
      <c r="AA3693" t="s">
        <v>167</v>
      </c>
      <c r="AB3693">
        <v>3.8</v>
      </c>
      <c r="AC3693">
        <v>100</v>
      </c>
      <c r="AD3693">
        <v>134.75</v>
      </c>
      <c r="AE3693">
        <f t="shared" si="114"/>
        <v>414.25</v>
      </c>
      <c r="AF3693" t="str">
        <f t="shared" si="115"/>
        <v>2026-04</v>
      </c>
      <c r="AG3693">
        <f>SUBTOTAL(103,A3693)</f>
        <v>1</v>
      </c>
    </row>
    <row r="3694" spans="1:33" x14ac:dyDescent="0.3">
      <c r="A3694" t="s">
        <v>6317</v>
      </c>
      <c r="B3694" s="13">
        <v>46133</v>
      </c>
      <c r="C3694">
        <v>2026</v>
      </c>
      <c r="D3694">
        <v>4</v>
      </c>
      <c r="E3694" t="s">
        <v>3328</v>
      </c>
      <c r="F3694" t="s">
        <v>3329</v>
      </c>
      <c r="G3694" t="s">
        <v>2049</v>
      </c>
      <c r="H3694" t="s">
        <v>2050</v>
      </c>
      <c r="I3694" t="s">
        <v>86</v>
      </c>
      <c r="J3694">
        <v>35</v>
      </c>
      <c r="K3694" t="s">
        <v>81</v>
      </c>
      <c r="L3694" t="s">
        <v>93</v>
      </c>
      <c r="M3694" t="s">
        <v>55</v>
      </c>
      <c r="N3694" t="s">
        <v>2626</v>
      </c>
      <c r="O3694" t="s">
        <v>125</v>
      </c>
      <c r="P3694" t="s">
        <v>48</v>
      </c>
      <c r="Q3694" t="s">
        <v>141</v>
      </c>
      <c r="R3694">
        <v>1</v>
      </c>
      <c r="S3694">
        <v>1999</v>
      </c>
      <c r="T3694">
        <v>0</v>
      </c>
      <c r="U3694">
        <v>1999</v>
      </c>
      <c r="V3694">
        <v>1150</v>
      </c>
      <c r="W3694">
        <v>849</v>
      </c>
      <c r="X3694" t="s">
        <v>74</v>
      </c>
      <c r="Y3694" t="s">
        <v>68</v>
      </c>
      <c r="Z3694" t="s">
        <v>161</v>
      </c>
      <c r="AA3694" t="s">
        <v>166</v>
      </c>
      <c r="AB3694">
        <v>4.0999999999999996</v>
      </c>
      <c r="AC3694">
        <v>60</v>
      </c>
      <c r="AD3694">
        <v>218.41</v>
      </c>
      <c r="AE3694">
        <f t="shared" si="114"/>
        <v>570.59</v>
      </c>
      <c r="AF3694" t="str">
        <f t="shared" si="115"/>
        <v>2026-04</v>
      </c>
      <c r="AG3694">
        <f>SUBTOTAL(103,A3694)</f>
        <v>1</v>
      </c>
    </row>
    <row r="3695" spans="1:33" x14ac:dyDescent="0.3">
      <c r="A3695" t="s">
        <v>6318</v>
      </c>
      <c r="B3695" s="13">
        <v>46133</v>
      </c>
      <c r="C3695">
        <v>2026</v>
      </c>
      <c r="D3695">
        <v>4</v>
      </c>
      <c r="E3695" t="s">
        <v>3328</v>
      </c>
      <c r="F3695" t="s">
        <v>3329</v>
      </c>
      <c r="G3695" t="s">
        <v>737</v>
      </c>
      <c r="H3695" t="s">
        <v>738</v>
      </c>
      <c r="I3695" t="s">
        <v>86</v>
      </c>
      <c r="J3695">
        <v>39</v>
      </c>
      <c r="K3695" t="s">
        <v>82</v>
      </c>
      <c r="L3695" t="s">
        <v>2579</v>
      </c>
      <c r="M3695" t="s">
        <v>56</v>
      </c>
      <c r="N3695" t="s">
        <v>2594</v>
      </c>
      <c r="O3695" t="s">
        <v>131</v>
      </c>
      <c r="P3695" t="s">
        <v>53</v>
      </c>
      <c r="Q3695" t="s">
        <v>143</v>
      </c>
      <c r="R3695">
        <v>2</v>
      </c>
      <c r="S3695">
        <v>999</v>
      </c>
      <c r="T3695">
        <v>0.15</v>
      </c>
      <c r="U3695">
        <v>1698.3</v>
      </c>
      <c r="V3695">
        <v>1040</v>
      </c>
      <c r="W3695">
        <v>658.3</v>
      </c>
      <c r="X3695" t="s">
        <v>77</v>
      </c>
      <c r="Y3695" t="s">
        <v>68</v>
      </c>
      <c r="Z3695" t="s">
        <v>158</v>
      </c>
      <c r="AA3695" t="s">
        <v>166</v>
      </c>
      <c r="AB3695">
        <v>3.6</v>
      </c>
      <c r="AC3695">
        <v>60</v>
      </c>
      <c r="AD3695">
        <v>97.82</v>
      </c>
      <c r="AE3695">
        <f t="shared" si="114"/>
        <v>500.47999999999996</v>
      </c>
      <c r="AF3695" t="str">
        <f t="shared" si="115"/>
        <v>2026-04</v>
      </c>
      <c r="AG3695">
        <f>SUBTOTAL(103,A3695)</f>
        <v>1</v>
      </c>
    </row>
    <row r="3696" spans="1:33" x14ac:dyDescent="0.3">
      <c r="A3696" t="s">
        <v>6319</v>
      </c>
      <c r="B3696" s="13">
        <v>46133</v>
      </c>
      <c r="C3696">
        <v>2026</v>
      </c>
      <c r="D3696">
        <v>4</v>
      </c>
      <c r="E3696" t="s">
        <v>3328</v>
      </c>
      <c r="F3696" t="s">
        <v>3329</v>
      </c>
      <c r="G3696" t="s">
        <v>559</v>
      </c>
      <c r="H3696" t="s">
        <v>560</v>
      </c>
      <c r="I3696" t="s">
        <v>86</v>
      </c>
      <c r="J3696">
        <v>54</v>
      </c>
      <c r="K3696" t="s">
        <v>83</v>
      </c>
      <c r="L3696" t="s">
        <v>95</v>
      </c>
      <c r="M3696" t="s">
        <v>56</v>
      </c>
      <c r="N3696" t="s">
        <v>2574</v>
      </c>
      <c r="O3696" t="s">
        <v>130</v>
      </c>
      <c r="P3696" t="s">
        <v>50</v>
      </c>
      <c r="Q3696" t="s">
        <v>53</v>
      </c>
      <c r="R3696">
        <v>4</v>
      </c>
      <c r="S3696">
        <v>1199</v>
      </c>
      <c r="T3696">
        <v>0</v>
      </c>
      <c r="U3696">
        <v>4796</v>
      </c>
      <c r="V3696">
        <v>2200</v>
      </c>
      <c r="W3696">
        <v>2596</v>
      </c>
      <c r="X3696" t="s">
        <v>76</v>
      </c>
      <c r="Y3696" t="s">
        <v>69</v>
      </c>
      <c r="Z3696" t="s">
        <v>162</v>
      </c>
      <c r="AA3696" t="s">
        <v>166</v>
      </c>
      <c r="AB3696">
        <v>3.7</v>
      </c>
      <c r="AC3696">
        <v>40</v>
      </c>
      <c r="AD3696">
        <v>238.08</v>
      </c>
      <c r="AE3696">
        <f t="shared" si="114"/>
        <v>2317.92</v>
      </c>
      <c r="AF3696" t="str">
        <f t="shared" si="115"/>
        <v>2026-04</v>
      </c>
      <c r="AG3696">
        <f>SUBTOTAL(103,A3696)</f>
        <v>1</v>
      </c>
    </row>
    <row r="3697" spans="1:33" x14ac:dyDescent="0.3">
      <c r="A3697" t="s">
        <v>6320</v>
      </c>
      <c r="B3697" s="13">
        <v>46133</v>
      </c>
      <c r="C3697">
        <v>2026</v>
      </c>
      <c r="D3697">
        <v>4</v>
      </c>
      <c r="E3697" t="s">
        <v>3328</v>
      </c>
      <c r="F3697" t="s">
        <v>3329</v>
      </c>
      <c r="G3697" t="s">
        <v>1673</v>
      </c>
      <c r="H3697" t="s">
        <v>1674</v>
      </c>
      <c r="I3697" t="s">
        <v>86</v>
      </c>
      <c r="J3697">
        <v>34</v>
      </c>
      <c r="K3697" t="s">
        <v>81</v>
      </c>
      <c r="L3697" t="s">
        <v>2679</v>
      </c>
      <c r="M3697" t="s">
        <v>60</v>
      </c>
      <c r="N3697" t="s">
        <v>2644</v>
      </c>
      <c r="O3697" t="s">
        <v>126</v>
      </c>
      <c r="P3697" t="s">
        <v>50</v>
      </c>
      <c r="Q3697" t="s">
        <v>145</v>
      </c>
      <c r="R3697">
        <v>3</v>
      </c>
      <c r="S3697">
        <v>1799</v>
      </c>
      <c r="T3697">
        <v>0.05</v>
      </c>
      <c r="U3697">
        <v>5127.1499999999996</v>
      </c>
      <c r="V3697">
        <v>2850</v>
      </c>
      <c r="W3697">
        <v>2277.15</v>
      </c>
      <c r="X3697" t="s">
        <v>74</v>
      </c>
      <c r="Y3697" t="s">
        <v>68</v>
      </c>
      <c r="Z3697" t="s">
        <v>162</v>
      </c>
      <c r="AA3697" t="s">
        <v>168</v>
      </c>
      <c r="AB3697">
        <v>3.6</v>
      </c>
      <c r="AC3697">
        <v>100</v>
      </c>
      <c r="AD3697">
        <v>257.29000000000002</v>
      </c>
      <c r="AE3697">
        <f t="shared" si="114"/>
        <v>1919.8600000000001</v>
      </c>
      <c r="AF3697" t="str">
        <f t="shared" si="115"/>
        <v>2026-04</v>
      </c>
      <c r="AG3697">
        <f>SUBTOTAL(103,A3697)</f>
        <v>1</v>
      </c>
    </row>
    <row r="3698" spans="1:33" x14ac:dyDescent="0.3">
      <c r="A3698" t="s">
        <v>6321</v>
      </c>
      <c r="B3698" s="13">
        <v>46133</v>
      </c>
      <c r="C3698">
        <v>2026</v>
      </c>
      <c r="D3698">
        <v>4</v>
      </c>
      <c r="E3698" t="s">
        <v>3328</v>
      </c>
      <c r="F3698" t="s">
        <v>3329</v>
      </c>
      <c r="G3698" t="s">
        <v>315</v>
      </c>
      <c r="H3698" t="s">
        <v>316</v>
      </c>
      <c r="I3698" t="s">
        <v>85</v>
      </c>
      <c r="J3698">
        <v>35</v>
      </c>
      <c r="K3698" t="s">
        <v>81</v>
      </c>
      <c r="L3698" t="s">
        <v>95</v>
      </c>
      <c r="M3698" t="s">
        <v>56</v>
      </c>
      <c r="N3698" t="s">
        <v>2596</v>
      </c>
      <c r="O3698" t="s">
        <v>124</v>
      </c>
      <c r="P3698" t="s">
        <v>51</v>
      </c>
      <c r="Q3698" t="s">
        <v>147</v>
      </c>
      <c r="R3698">
        <v>3</v>
      </c>
      <c r="S3698">
        <v>2299</v>
      </c>
      <c r="T3698">
        <v>0.05</v>
      </c>
      <c r="U3698">
        <v>6552.15</v>
      </c>
      <c r="V3698">
        <v>3600</v>
      </c>
      <c r="W3698">
        <v>2952.15</v>
      </c>
      <c r="X3698" t="s">
        <v>76</v>
      </c>
      <c r="Y3698" t="s">
        <v>68</v>
      </c>
      <c r="Z3698" t="s">
        <v>163</v>
      </c>
      <c r="AA3698" t="s">
        <v>166</v>
      </c>
      <c r="AB3698">
        <v>4.7</v>
      </c>
      <c r="AC3698">
        <v>40</v>
      </c>
      <c r="AD3698">
        <v>712.79</v>
      </c>
      <c r="AE3698">
        <f t="shared" si="114"/>
        <v>2199.36</v>
      </c>
      <c r="AF3698" t="str">
        <f t="shared" si="115"/>
        <v>2026-04</v>
      </c>
      <c r="AG3698">
        <f>SUBTOTAL(103,A3698)</f>
        <v>1</v>
      </c>
    </row>
    <row r="3699" spans="1:33" x14ac:dyDescent="0.3">
      <c r="A3699" t="s">
        <v>6322</v>
      </c>
      <c r="B3699" s="13">
        <v>46134</v>
      </c>
      <c r="C3699">
        <v>2026</v>
      </c>
      <c r="D3699">
        <v>4</v>
      </c>
      <c r="E3699" t="s">
        <v>3328</v>
      </c>
      <c r="F3699" t="s">
        <v>3329</v>
      </c>
      <c r="G3699" t="s">
        <v>355</v>
      </c>
      <c r="H3699" t="s">
        <v>356</v>
      </c>
      <c r="I3699" t="s">
        <v>86</v>
      </c>
      <c r="J3699">
        <v>26</v>
      </c>
      <c r="K3699" t="s">
        <v>81</v>
      </c>
      <c r="L3699" t="s">
        <v>90</v>
      </c>
      <c r="M3699" t="s">
        <v>55</v>
      </c>
      <c r="N3699" t="s">
        <v>2630</v>
      </c>
      <c r="O3699" t="s">
        <v>123</v>
      </c>
      <c r="P3699" t="s">
        <v>52</v>
      </c>
      <c r="Q3699" t="s">
        <v>146</v>
      </c>
      <c r="R3699">
        <v>1</v>
      </c>
      <c r="S3699">
        <v>2499</v>
      </c>
      <c r="T3699">
        <v>0.1</v>
      </c>
      <c r="U3699">
        <v>2249.1</v>
      </c>
      <c r="V3699">
        <v>1400</v>
      </c>
      <c r="W3699">
        <v>849.1</v>
      </c>
      <c r="X3699" t="s">
        <v>74</v>
      </c>
      <c r="Y3699" t="s">
        <v>68</v>
      </c>
      <c r="Z3699" t="s">
        <v>160</v>
      </c>
      <c r="AA3699" t="s">
        <v>167</v>
      </c>
      <c r="AB3699">
        <v>5</v>
      </c>
      <c r="AC3699">
        <v>80</v>
      </c>
      <c r="AD3699">
        <v>251.59</v>
      </c>
      <c r="AE3699">
        <f t="shared" si="114"/>
        <v>517.51</v>
      </c>
      <c r="AF3699" t="str">
        <f t="shared" si="115"/>
        <v>2026-04</v>
      </c>
      <c r="AG3699">
        <f>SUBTOTAL(103,A3699)</f>
        <v>1</v>
      </c>
    </row>
    <row r="3700" spans="1:33" x14ac:dyDescent="0.3">
      <c r="A3700" t="s">
        <v>6323</v>
      </c>
      <c r="B3700" s="13">
        <v>46134</v>
      </c>
      <c r="C3700">
        <v>2026</v>
      </c>
      <c r="D3700">
        <v>4</v>
      </c>
      <c r="E3700" t="s">
        <v>3328</v>
      </c>
      <c r="F3700" t="s">
        <v>3329</v>
      </c>
      <c r="G3700" t="s">
        <v>741</v>
      </c>
      <c r="H3700" t="s">
        <v>742</v>
      </c>
      <c r="I3700" t="s">
        <v>85</v>
      </c>
      <c r="J3700">
        <v>30</v>
      </c>
      <c r="K3700" t="s">
        <v>81</v>
      </c>
      <c r="L3700" t="s">
        <v>2579</v>
      </c>
      <c r="M3700" t="s">
        <v>56</v>
      </c>
      <c r="N3700" t="s">
        <v>2647</v>
      </c>
      <c r="O3700" t="s">
        <v>133</v>
      </c>
      <c r="P3700" t="s">
        <v>50</v>
      </c>
      <c r="Q3700" t="s">
        <v>145</v>
      </c>
      <c r="R3700">
        <v>1</v>
      </c>
      <c r="S3700">
        <v>799</v>
      </c>
      <c r="T3700">
        <v>0</v>
      </c>
      <c r="U3700">
        <v>0</v>
      </c>
      <c r="V3700">
        <v>0</v>
      </c>
      <c r="W3700">
        <v>0</v>
      </c>
      <c r="X3700" t="s">
        <v>74</v>
      </c>
      <c r="Y3700" t="s">
        <v>71</v>
      </c>
      <c r="Z3700" t="s">
        <v>159</v>
      </c>
      <c r="AA3700" t="s">
        <v>171</v>
      </c>
      <c r="AB3700">
        <v>3.4</v>
      </c>
      <c r="AC3700">
        <v>40</v>
      </c>
      <c r="AD3700">
        <v>61.5</v>
      </c>
      <c r="AE3700">
        <f t="shared" si="114"/>
        <v>-101.5</v>
      </c>
      <c r="AF3700" t="str">
        <f t="shared" si="115"/>
        <v>2026-04</v>
      </c>
      <c r="AG3700">
        <f>SUBTOTAL(103,A3700)</f>
        <v>1</v>
      </c>
    </row>
    <row r="3701" spans="1:33" x14ac:dyDescent="0.3">
      <c r="A3701" t="s">
        <v>6324</v>
      </c>
      <c r="B3701" s="13">
        <v>46134</v>
      </c>
      <c r="C3701">
        <v>2026</v>
      </c>
      <c r="D3701">
        <v>4</v>
      </c>
      <c r="E3701" t="s">
        <v>3328</v>
      </c>
      <c r="F3701" t="s">
        <v>3329</v>
      </c>
      <c r="G3701" t="s">
        <v>441</v>
      </c>
      <c r="H3701" t="s">
        <v>442</v>
      </c>
      <c r="I3701" t="s">
        <v>85</v>
      </c>
      <c r="J3701">
        <v>49</v>
      </c>
      <c r="K3701" t="s">
        <v>83</v>
      </c>
      <c r="L3701" t="s">
        <v>100</v>
      </c>
      <c r="M3701" t="s">
        <v>56</v>
      </c>
      <c r="N3701" t="s">
        <v>2665</v>
      </c>
      <c r="O3701" t="s">
        <v>128</v>
      </c>
      <c r="P3701" t="s">
        <v>53</v>
      </c>
      <c r="Q3701" t="s">
        <v>143</v>
      </c>
      <c r="R3701">
        <v>2</v>
      </c>
      <c r="S3701">
        <v>1499</v>
      </c>
      <c r="T3701">
        <v>0.2</v>
      </c>
      <c r="U3701">
        <v>2398.4</v>
      </c>
      <c r="V3701">
        <v>1600</v>
      </c>
      <c r="W3701">
        <v>798.4</v>
      </c>
      <c r="X3701" t="s">
        <v>77</v>
      </c>
      <c r="Y3701" t="s">
        <v>68</v>
      </c>
      <c r="Z3701" t="s">
        <v>162</v>
      </c>
      <c r="AA3701" t="s">
        <v>170</v>
      </c>
      <c r="AB3701">
        <v>4.8</v>
      </c>
      <c r="AC3701">
        <v>60</v>
      </c>
      <c r="AD3701">
        <v>280.82</v>
      </c>
      <c r="AE3701">
        <f t="shared" si="114"/>
        <v>457.58</v>
      </c>
      <c r="AF3701" t="str">
        <f t="shared" si="115"/>
        <v>2026-04</v>
      </c>
      <c r="AG3701">
        <f>SUBTOTAL(103,A3701)</f>
        <v>1</v>
      </c>
    </row>
    <row r="3702" spans="1:33" x14ac:dyDescent="0.3">
      <c r="A3702" t="s">
        <v>6325</v>
      </c>
      <c r="B3702" s="13">
        <v>46134</v>
      </c>
      <c r="C3702">
        <v>2026</v>
      </c>
      <c r="D3702">
        <v>4</v>
      </c>
      <c r="E3702" t="s">
        <v>3328</v>
      </c>
      <c r="F3702" t="s">
        <v>3329</v>
      </c>
      <c r="G3702" t="s">
        <v>413</v>
      </c>
      <c r="H3702" t="s">
        <v>414</v>
      </c>
      <c r="I3702" t="s">
        <v>85</v>
      </c>
      <c r="J3702">
        <v>20</v>
      </c>
      <c r="K3702" t="s">
        <v>80</v>
      </c>
      <c r="L3702" t="s">
        <v>2573</v>
      </c>
      <c r="M3702" t="s">
        <v>63</v>
      </c>
      <c r="N3702" t="s">
        <v>2592</v>
      </c>
      <c r="O3702" t="s">
        <v>115</v>
      </c>
      <c r="P3702" t="s">
        <v>48</v>
      </c>
      <c r="Q3702" t="s">
        <v>137</v>
      </c>
      <c r="R3702">
        <v>3</v>
      </c>
      <c r="S3702">
        <v>12999</v>
      </c>
      <c r="T3702">
        <v>0</v>
      </c>
      <c r="U3702">
        <v>38997</v>
      </c>
      <c r="V3702">
        <v>27000</v>
      </c>
      <c r="W3702">
        <v>11997</v>
      </c>
      <c r="X3702" t="s">
        <v>74</v>
      </c>
      <c r="Y3702" t="s">
        <v>68</v>
      </c>
      <c r="Z3702" t="s">
        <v>162</v>
      </c>
      <c r="AA3702" t="s">
        <v>166</v>
      </c>
      <c r="AB3702">
        <v>2.4</v>
      </c>
      <c r="AC3702">
        <v>50</v>
      </c>
      <c r="AD3702">
        <v>909.21</v>
      </c>
      <c r="AE3702">
        <f t="shared" si="114"/>
        <v>11037.79</v>
      </c>
      <c r="AF3702" t="str">
        <f t="shared" si="115"/>
        <v>2026-04</v>
      </c>
      <c r="AG3702">
        <f>SUBTOTAL(103,A3702)</f>
        <v>1</v>
      </c>
    </row>
    <row r="3703" spans="1:33" x14ac:dyDescent="0.3">
      <c r="A3703" t="s">
        <v>6326</v>
      </c>
      <c r="B3703" s="13">
        <v>46134</v>
      </c>
      <c r="C3703">
        <v>2026</v>
      </c>
      <c r="D3703">
        <v>4</v>
      </c>
      <c r="E3703" t="s">
        <v>3328</v>
      </c>
      <c r="F3703" t="s">
        <v>3329</v>
      </c>
      <c r="G3703" t="s">
        <v>2257</v>
      </c>
      <c r="H3703" t="s">
        <v>2258</v>
      </c>
      <c r="I3703" t="s">
        <v>86</v>
      </c>
      <c r="J3703">
        <v>30</v>
      </c>
      <c r="K3703" t="s">
        <v>81</v>
      </c>
      <c r="L3703" t="s">
        <v>2589</v>
      </c>
      <c r="M3703" t="s">
        <v>61</v>
      </c>
      <c r="N3703" t="s">
        <v>2582</v>
      </c>
      <c r="O3703" t="s">
        <v>119</v>
      </c>
      <c r="P3703" t="s">
        <v>49</v>
      </c>
      <c r="Q3703" t="s">
        <v>140</v>
      </c>
      <c r="R3703">
        <v>2</v>
      </c>
      <c r="S3703">
        <v>3499</v>
      </c>
      <c r="T3703">
        <v>0.15</v>
      </c>
      <c r="U3703">
        <v>5948.3</v>
      </c>
      <c r="V3703">
        <v>4200</v>
      </c>
      <c r="W3703">
        <v>1748.3</v>
      </c>
      <c r="X3703" t="s">
        <v>74</v>
      </c>
      <c r="Y3703" t="s">
        <v>68</v>
      </c>
      <c r="Z3703" t="s">
        <v>161</v>
      </c>
      <c r="AA3703" t="s">
        <v>169</v>
      </c>
      <c r="AB3703">
        <v>3.9</v>
      </c>
      <c r="AC3703">
        <v>40</v>
      </c>
      <c r="AD3703">
        <v>679.51</v>
      </c>
      <c r="AE3703">
        <f t="shared" si="114"/>
        <v>1028.79</v>
      </c>
      <c r="AF3703" t="str">
        <f t="shared" si="115"/>
        <v>2026-04</v>
      </c>
      <c r="AG3703">
        <f>SUBTOTAL(103,A3703)</f>
        <v>1</v>
      </c>
    </row>
    <row r="3704" spans="1:33" x14ac:dyDescent="0.3">
      <c r="A3704" t="s">
        <v>6327</v>
      </c>
      <c r="B3704" s="13">
        <v>46134</v>
      </c>
      <c r="C3704">
        <v>2026</v>
      </c>
      <c r="D3704">
        <v>4</v>
      </c>
      <c r="E3704" t="s">
        <v>3328</v>
      </c>
      <c r="F3704" t="s">
        <v>3329</v>
      </c>
      <c r="G3704" t="s">
        <v>2031</v>
      </c>
      <c r="H3704" t="s">
        <v>2032</v>
      </c>
      <c r="I3704" t="s">
        <v>85</v>
      </c>
      <c r="J3704">
        <v>42</v>
      </c>
      <c r="K3704" t="s">
        <v>82</v>
      </c>
      <c r="L3704" t="s">
        <v>59</v>
      </c>
      <c r="M3704" t="s">
        <v>59</v>
      </c>
      <c r="N3704" t="s">
        <v>2580</v>
      </c>
      <c r="O3704" t="s">
        <v>118</v>
      </c>
      <c r="P3704" t="s">
        <v>48</v>
      </c>
      <c r="Q3704" t="s">
        <v>142</v>
      </c>
      <c r="R3704">
        <v>1</v>
      </c>
      <c r="S3704">
        <v>3999</v>
      </c>
      <c r="T3704">
        <v>0.15</v>
      </c>
      <c r="U3704">
        <v>3399.15</v>
      </c>
      <c r="V3704">
        <v>2400</v>
      </c>
      <c r="W3704">
        <v>999.15</v>
      </c>
      <c r="X3704" t="s">
        <v>76</v>
      </c>
      <c r="Y3704" t="s">
        <v>69</v>
      </c>
      <c r="Z3704" t="s">
        <v>162</v>
      </c>
      <c r="AA3704" t="s">
        <v>171</v>
      </c>
      <c r="AB3704">
        <v>5</v>
      </c>
      <c r="AC3704">
        <v>100</v>
      </c>
      <c r="AD3704">
        <v>255.42</v>
      </c>
      <c r="AE3704">
        <f t="shared" si="114"/>
        <v>643.73</v>
      </c>
      <c r="AF3704" t="str">
        <f t="shared" si="115"/>
        <v>2026-04</v>
      </c>
      <c r="AG3704">
        <f>SUBTOTAL(103,A3704)</f>
        <v>1</v>
      </c>
    </row>
    <row r="3705" spans="1:33" x14ac:dyDescent="0.3">
      <c r="A3705" t="s">
        <v>6328</v>
      </c>
      <c r="B3705" s="13">
        <v>46134</v>
      </c>
      <c r="C3705">
        <v>2026</v>
      </c>
      <c r="D3705">
        <v>4</v>
      </c>
      <c r="E3705" t="s">
        <v>3328</v>
      </c>
      <c r="F3705" t="s">
        <v>3329</v>
      </c>
      <c r="G3705" t="s">
        <v>671</v>
      </c>
      <c r="H3705" t="s">
        <v>672</v>
      </c>
      <c r="I3705" t="s">
        <v>85</v>
      </c>
      <c r="J3705">
        <v>42</v>
      </c>
      <c r="K3705" t="s">
        <v>82</v>
      </c>
      <c r="L3705" t="s">
        <v>96</v>
      </c>
      <c r="M3705" t="s">
        <v>55</v>
      </c>
      <c r="N3705" t="s">
        <v>2582</v>
      </c>
      <c r="O3705" t="s">
        <v>119</v>
      </c>
      <c r="P3705" t="s">
        <v>49</v>
      </c>
      <c r="Q3705" t="s">
        <v>140</v>
      </c>
      <c r="R3705">
        <v>1</v>
      </c>
      <c r="S3705">
        <v>3499</v>
      </c>
      <c r="T3705">
        <v>0.1</v>
      </c>
      <c r="U3705">
        <v>3149.1</v>
      </c>
      <c r="V3705">
        <v>2100</v>
      </c>
      <c r="W3705">
        <v>1049.0999999999999</v>
      </c>
      <c r="X3705" t="s">
        <v>76</v>
      </c>
      <c r="Y3705" t="s">
        <v>68</v>
      </c>
      <c r="Z3705" t="s">
        <v>161</v>
      </c>
      <c r="AA3705" t="s">
        <v>168</v>
      </c>
      <c r="AB3705">
        <v>4.5999999999999996</v>
      </c>
      <c r="AC3705">
        <v>120</v>
      </c>
      <c r="AD3705">
        <v>230.92</v>
      </c>
      <c r="AE3705">
        <f t="shared" si="114"/>
        <v>698.18</v>
      </c>
      <c r="AF3705" t="str">
        <f t="shared" si="115"/>
        <v>2026-04</v>
      </c>
      <c r="AG3705">
        <f>SUBTOTAL(103,A3705)</f>
        <v>1</v>
      </c>
    </row>
    <row r="3706" spans="1:33" x14ac:dyDescent="0.3">
      <c r="A3706" t="s">
        <v>6329</v>
      </c>
      <c r="B3706" s="13">
        <v>46134</v>
      </c>
      <c r="C3706">
        <v>2026</v>
      </c>
      <c r="D3706">
        <v>4</v>
      </c>
      <c r="E3706" t="s">
        <v>3328</v>
      </c>
      <c r="F3706" t="s">
        <v>3329</v>
      </c>
      <c r="G3706" t="s">
        <v>1175</v>
      </c>
      <c r="H3706" t="s">
        <v>1176</v>
      </c>
      <c r="I3706" t="s">
        <v>86</v>
      </c>
      <c r="J3706">
        <v>59</v>
      </c>
      <c r="K3706" t="s">
        <v>83</v>
      </c>
      <c r="L3706" t="s">
        <v>91</v>
      </c>
      <c r="M3706" t="s">
        <v>55</v>
      </c>
      <c r="N3706" t="s">
        <v>2577</v>
      </c>
      <c r="O3706" t="s">
        <v>129</v>
      </c>
      <c r="P3706" t="s">
        <v>49</v>
      </c>
      <c r="Q3706" t="s">
        <v>149</v>
      </c>
      <c r="R3706">
        <v>2</v>
      </c>
      <c r="S3706">
        <v>1299</v>
      </c>
      <c r="T3706">
        <v>0.1</v>
      </c>
      <c r="U3706">
        <v>2338.1999999999998</v>
      </c>
      <c r="V3706">
        <v>1300</v>
      </c>
      <c r="W3706">
        <v>1038.2</v>
      </c>
      <c r="X3706" t="s">
        <v>74</v>
      </c>
      <c r="Y3706" t="s">
        <v>68</v>
      </c>
      <c r="Z3706" t="s">
        <v>163</v>
      </c>
      <c r="AA3706" t="s">
        <v>166</v>
      </c>
      <c r="AB3706">
        <v>4.3</v>
      </c>
      <c r="AC3706">
        <v>80</v>
      </c>
      <c r="AD3706">
        <v>86.71</v>
      </c>
      <c r="AE3706">
        <f t="shared" si="114"/>
        <v>871.49</v>
      </c>
      <c r="AF3706" t="str">
        <f t="shared" si="115"/>
        <v>2026-04</v>
      </c>
      <c r="AG3706">
        <f>SUBTOTAL(103,A3706)</f>
        <v>1</v>
      </c>
    </row>
    <row r="3707" spans="1:33" x14ac:dyDescent="0.3">
      <c r="A3707" t="s">
        <v>6330</v>
      </c>
      <c r="B3707" s="13">
        <v>46135</v>
      </c>
      <c r="C3707">
        <v>2026</v>
      </c>
      <c r="D3707">
        <v>4</v>
      </c>
      <c r="E3707" t="s">
        <v>3328</v>
      </c>
      <c r="F3707" t="s">
        <v>3329</v>
      </c>
      <c r="G3707" t="s">
        <v>1869</v>
      </c>
      <c r="H3707" t="s">
        <v>1870</v>
      </c>
      <c r="I3707" t="s">
        <v>85</v>
      </c>
      <c r="J3707">
        <v>60</v>
      </c>
      <c r="K3707" t="s">
        <v>83</v>
      </c>
      <c r="L3707" t="s">
        <v>2610</v>
      </c>
      <c r="M3707" t="s">
        <v>64</v>
      </c>
      <c r="N3707" t="s">
        <v>2665</v>
      </c>
      <c r="O3707" t="s">
        <v>128</v>
      </c>
      <c r="P3707" t="s">
        <v>53</v>
      </c>
      <c r="Q3707" t="s">
        <v>143</v>
      </c>
      <c r="R3707">
        <v>2</v>
      </c>
      <c r="S3707">
        <v>1499</v>
      </c>
      <c r="T3707">
        <v>0.15</v>
      </c>
      <c r="U3707">
        <v>2548.3000000000002</v>
      </c>
      <c r="V3707">
        <v>1600</v>
      </c>
      <c r="W3707">
        <v>948.3</v>
      </c>
      <c r="X3707" t="s">
        <v>73</v>
      </c>
      <c r="Y3707" t="s">
        <v>68</v>
      </c>
      <c r="Z3707" t="s">
        <v>162</v>
      </c>
      <c r="AA3707" t="s">
        <v>166</v>
      </c>
      <c r="AB3707">
        <v>3.5</v>
      </c>
      <c r="AC3707">
        <v>80</v>
      </c>
      <c r="AD3707">
        <v>199.28</v>
      </c>
      <c r="AE3707">
        <f t="shared" si="114"/>
        <v>669.02</v>
      </c>
      <c r="AF3707" t="str">
        <f t="shared" si="115"/>
        <v>2026-04</v>
      </c>
      <c r="AG3707">
        <f>SUBTOTAL(103,A3707)</f>
        <v>1</v>
      </c>
    </row>
    <row r="3708" spans="1:33" x14ac:dyDescent="0.3">
      <c r="A3708" t="s">
        <v>6331</v>
      </c>
      <c r="B3708" s="13">
        <v>46135</v>
      </c>
      <c r="C3708">
        <v>2026</v>
      </c>
      <c r="D3708">
        <v>4</v>
      </c>
      <c r="E3708" t="s">
        <v>3328</v>
      </c>
      <c r="F3708" t="s">
        <v>3329</v>
      </c>
      <c r="G3708" t="s">
        <v>1501</v>
      </c>
      <c r="H3708" t="s">
        <v>1502</v>
      </c>
      <c r="I3708" t="s">
        <v>85</v>
      </c>
      <c r="J3708">
        <v>39</v>
      </c>
      <c r="K3708" t="s">
        <v>82</v>
      </c>
      <c r="L3708" t="s">
        <v>92</v>
      </c>
      <c r="M3708" t="s">
        <v>59</v>
      </c>
      <c r="N3708" t="s">
        <v>2665</v>
      </c>
      <c r="O3708" t="s">
        <v>128</v>
      </c>
      <c r="P3708" t="s">
        <v>53</v>
      </c>
      <c r="Q3708" t="s">
        <v>143</v>
      </c>
      <c r="R3708">
        <v>4</v>
      </c>
      <c r="S3708">
        <v>1499</v>
      </c>
      <c r="T3708">
        <v>0.15</v>
      </c>
      <c r="U3708">
        <v>5096.6000000000004</v>
      </c>
      <c r="V3708">
        <v>3200</v>
      </c>
      <c r="W3708">
        <v>1896.6</v>
      </c>
      <c r="X3708" t="s">
        <v>77</v>
      </c>
      <c r="Y3708" t="s">
        <v>69</v>
      </c>
      <c r="Z3708" t="s">
        <v>163</v>
      </c>
      <c r="AA3708" t="s">
        <v>166</v>
      </c>
      <c r="AB3708">
        <v>3.8</v>
      </c>
      <c r="AC3708">
        <v>80</v>
      </c>
      <c r="AD3708">
        <v>118.83</v>
      </c>
      <c r="AE3708">
        <f t="shared" si="114"/>
        <v>1697.77</v>
      </c>
      <c r="AF3708" t="str">
        <f t="shared" si="115"/>
        <v>2026-04</v>
      </c>
      <c r="AG3708">
        <f>SUBTOTAL(103,A3708)</f>
        <v>1</v>
      </c>
    </row>
    <row r="3709" spans="1:33" x14ac:dyDescent="0.3">
      <c r="A3709" t="s">
        <v>6332</v>
      </c>
      <c r="B3709" s="13">
        <v>46135</v>
      </c>
      <c r="C3709">
        <v>2026</v>
      </c>
      <c r="D3709">
        <v>4</v>
      </c>
      <c r="E3709" t="s">
        <v>3328</v>
      </c>
      <c r="F3709" t="s">
        <v>3329</v>
      </c>
      <c r="G3709" t="s">
        <v>2053</v>
      </c>
      <c r="H3709" t="s">
        <v>2054</v>
      </c>
      <c r="I3709" t="s">
        <v>86</v>
      </c>
      <c r="J3709">
        <v>51</v>
      </c>
      <c r="K3709" t="s">
        <v>83</v>
      </c>
      <c r="L3709" t="s">
        <v>95</v>
      </c>
      <c r="M3709" t="s">
        <v>56</v>
      </c>
      <c r="N3709" t="s">
        <v>2606</v>
      </c>
      <c r="O3709" t="s">
        <v>120</v>
      </c>
      <c r="P3709" t="s">
        <v>49</v>
      </c>
      <c r="Q3709" t="s">
        <v>140</v>
      </c>
      <c r="R3709">
        <v>1</v>
      </c>
      <c r="S3709">
        <v>2799</v>
      </c>
      <c r="T3709">
        <v>0</v>
      </c>
      <c r="U3709">
        <v>2799</v>
      </c>
      <c r="V3709">
        <v>1650</v>
      </c>
      <c r="W3709">
        <v>1149</v>
      </c>
      <c r="X3709" t="s">
        <v>74</v>
      </c>
      <c r="Y3709" t="s">
        <v>68</v>
      </c>
      <c r="Z3709" t="s">
        <v>160</v>
      </c>
      <c r="AA3709" t="s">
        <v>170</v>
      </c>
      <c r="AB3709">
        <v>4.0999999999999996</v>
      </c>
      <c r="AC3709">
        <v>40</v>
      </c>
      <c r="AD3709">
        <v>144.84</v>
      </c>
      <c r="AE3709">
        <f t="shared" si="114"/>
        <v>964.16</v>
      </c>
      <c r="AF3709" t="str">
        <f t="shared" si="115"/>
        <v>2026-04</v>
      </c>
      <c r="AG3709">
        <f>SUBTOTAL(103,A3709)</f>
        <v>1</v>
      </c>
    </row>
    <row r="3710" spans="1:33" x14ac:dyDescent="0.3">
      <c r="A3710" t="s">
        <v>6333</v>
      </c>
      <c r="B3710" s="13">
        <v>46135</v>
      </c>
      <c r="C3710">
        <v>2026</v>
      </c>
      <c r="D3710">
        <v>4</v>
      </c>
      <c r="E3710" t="s">
        <v>3328</v>
      </c>
      <c r="F3710" t="s">
        <v>3329</v>
      </c>
      <c r="G3710" t="s">
        <v>2167</v>
      </c>
      <c r="H3710" t="s">
        <v>2168</v>
      </c>
      <c r="I3710" t="s">
        <v>85</v>
      </c>
      <c r="J3710">
        <v>48</v>
      </c>
      <c r="K3710" t="s">
        <v>83</v>
      </c>
      <c r="L3710" t="s">
        <v>2679</v>
      </c>
      <c r="M3710" t="s">
        <v>60</v>
      </c>
      <c r="N3710" t="s">
        <v>2630</v>
      </c>
      <c r="O3710" t="s">
        <v>123</v>
      </c>
      <c r="P3710" t="s">
        <v>52</v>
      </c>
      <c r="Q3710" t="s">
        <v>146</v>
      </c>
      <c r="R3710">
        <v>2</v>
      </c>
      <c r="S3710">
        <v>2499</v>
      </c>
      <c r="T3710">
        <v>0.15</v>
      </c>
      <c r="U3710">
        <v>4248.3</v>
      </c>
      <c r="V3710">
        <v>2800</v>
      </c>
      <c r="W3710">
        <v>1448.3</v>
      </c>
      <c r="X3710" t="s">
        <v>73</v>
      </c>
      <c r="Y3710" t="s">
        <v>68</v>
      </c>
      <c r="Z3710" t="s">
        <v>158</v>
      </c>
      <c r="AA3710" t="s">
        <v>169</v>
      </c>
      <c r="AB3710">
        <v>3.8</v>
      </c>
      <c r="AC3710">
        <v>80</v>
      </c>
      <c r="AD3710">
        <v>216.78</v>
      </c>
      <c r="AE3710">
        <f t="shared" si="114"/>
        <v>1151.52</v>
      </c>
      <c r="AF3710" t="str">
        <f t="shared" si="115"/>
        <v>2026-04</v>
      </c>
      <c r="AG3710">
        <f>SUBTOTAL(103,A3710)</f>
        <v>1</v>
      </c>
    </row>
    <row r="3711" spans="1:33" x14ac:dyDescent="0.3">
      <c r="A3711" t="s">
        <v>6334</v>
      </c>
      <c r="B3711" s="13">
        <v>46135</v>
      </c>
      <c r="C3711">
        <v>2026</v>
      </c>
      <c r="D3711">
        <v>4</v>
      </c>
      <c r="E3711" t="s">
        <v>3328</v>
      </c>
      <c r="F3711" t="s">
        <v>3329</v>
      </c>
      <c r="G3711" t="s">
        <v>811</v>
      </c>
      <c r="H3711" t="s">
        <v>812</v>
      </c>
      <c r="I3711" t="s">
        <v>85</v>
      </c>
      <c r="J3711">
        <v>47</v>
      </c>
      <c r="K3711" t="s">
        <v>83</v>
      </c>
      <c r="L3711" t="s">
        <v>92</v>
      </c>
      <c r="M3711" t="s">
        <v>59</v>
      </c>
      <c r="N3711" t="s">
        <v>2647</v>
      </c>
      <c r="O3711" t="s">
        <v>133</v>
      </c>
      <c r="P3711" t="s">
        <v>50</v>
      </c>
      <c r="Q3711" t="s">
        <v>145</v>
      </c>
      <c r="R3711">
        <v>2</v>
      </c>
      <c r="S3711">
        <v>799</v>
      </c>
      <c r="T3711">
        <v>0.05</v>
      </c>
      <c r="U3711">
        <v>1518.1</v>
      </c>
      <c r="V3711">
        <v>780</v>
      </c>
      <c r="W3711">
        <v>738.1</v>
      </c>
      <c r="X3711" t="s">
        <v>73</v>
      </c>
      <c r="Y3711" t="s">
        <v>68</v>
      </c>
      <c r="Z3711" t="s">
        <v>160</v>
      </c>
      <c r="AA3711" t="s">
        <v>166</v>
      </c>
      <c r="AB3711">
        <v>4.2</v>
      </c>
      <c r="AC3711">
        <v>80</v>
      </c>
      <c r="AD3711">
        <v>59.77</v>
      </c>
      <c r="AE3711">
        <f t="shared" si="114"/>
        <v>598.33000000000004</v>
      </c>
      <c r="AF3711" t="str">
        <f t="shared" si="115"/>
        <v>2026-04</v>
      </c>
      <c r="AG3711">
        <f>SUBTOTAL(103,A3711)</f>
        <v>1</v>
      </c>
    </row>
    <row r="3712" spans="1:33" x14ac:dyDescent="0.3">
      <c r="A3712" t="s">
        <v>6335</v>
      </c>
      <c r="B3712" s="13">
        <v>46135</v>
      </c>
      <c r="C3712">
        <v>2026</v>
      </c>
      <c r="D3712">
        <v>4</v>
      </c>
      <c r="E3712" t="s">
        <v>3328</v>
      </c>
      <c r="F3712" t="s">
        <v>3329</v>
      </c>
      <c r="G3712" t="s">
        <v>2519</v>
      </c>
      <c r="H3712" t="s">
        <v>2520</v>
      </c>
      <c r="I3712" t="s">
        <v>85</v>
      </c>
      <c r="J3712">
        <v>34</v>
      </c>
      <c r="K3712" t="s">
        <v>81</v>
      </c>
      <c r="L3712" t="s">
        <v>2573</v>
      </c>
      <c r="M3712" t="s">
        <v>63</v>
      </c>
      <c r="N3712" t="s">
        <v>2665</v>
      </c>
      <c r="O3712" t="s">
        <v>128</v>
      </c>
      <c r="P3712" t="s">
        <v>53</v>
      </c>
      <c r="Q3712" t="s">
        <v>143</v>
      </c>
      <c r="R3712">
        <v>1</v>
      </c>
      <c r="S3712">
        <v>1499</v>
      </c>
      <c r="T3712">
        <v>0.25</v>
      </c>
      <c r="U3712">
        <v>1124.25</v>
      </c>
      <c r="V3712">
        <v>800</v>
      </c>
      <c r="W3712">
        <v>324.25</v>
      </c>
      <c r="X3712" t="s">
        <v>74</v>
      </c>
      <c r="Y3712" t="s">
        <v>68</v>
      </c>
      <c r="Z3712" t="s">
        <v>160</v>
      </c>
      <c r="AA3712" t="s">
        <v>166</v>
      </c>
      <c r="AB3712">
        <v>4.4000000000000004</v>
      </c>
      <c r="AC3712">
        <v>40</v>
      </c>
      <c r="AD3712">
        <v>72.739999999999995</v>
      </c>
      <c r="AE3712">
        <f t="shared" si="114"/>
        <v>211.51</v>
      </c>
      <c r="AF3712" t="str">
        <f t="shared" si="115"/>
        <v>2026-04</v>
      </c>
      <c r="AG3712">
        <f>SUBTOTAL(103,A3712)</f>
        <v>1</v>
      </c>
    </row>
    <row r="3713" spans="1:33" x14ac:dyDescent="0.3">
      <c r="A3713" t="s">
        <v>6336</v>
      </c>
      <c r="B3713" s="13">
        <v>46135</v>
      </c>
      <c r="C3713">
        <v>2026</v>
      </c>
      <c r="D3713">
        <v>4</v>
      </c>
      <c r="E3713" t="s">
        <v>3328</v>
      </c>
      <c r="F3713" t="s">
        <v>3329</v>
      </c>
      <c r="G3713" t="s">
        <v>1499</v>
      </c>
      <c r="H3713" t="s">
        <v>1500</v>
      </c>
      <c r="I3713" t="s">
        <v>86</v>
      </c>
      <c r="J3713">
        <v>29</v>
      </c>
      <c r="K3713" t="s">
        <v>81</v>
      </c>
      <c r="L3713" t="s">
        <v>2589</v>
      </c>
      <c r="M3713" t="s">
        <v>61</v>
      </c>
      <c r="N3713" t="s">
        <v>2601</v>
      </c>
      <c r="O3713" t="s">
        <v>117</v>
      </c>
      <c r="P3713" t="s">
        <v>49</v>
      </c>
      <c r="Q3713" t="s">
        <v>139</v>
      </c>
      <c r="R3713">
        <v>2</v>
      </c>
      <c r="S3713">
        <v>6999</v>
      </c>
      <c r="T3713">
        <v>0.05</v>
      </c>
      <c r="U3713">
        <v>13298.1</v>
      </c>
      <c r="V3713">
        <v>8600</v>
      </c>
      <c r="W3713">
        <v>4698.1000000000004</v>
      </c>
      <c r="X3713" t="s">
        <v>73</v>
      </c>
      <c r="Y3713" t="s">
        <v>68</v>
      </c>
      <c r="Z3713" t="s">
        <v>163</v>
      </c>
      <c r="AA3713" t="s">
        <v>166</v>
      </c>
      <c r="AB3713">
        <v>3.2</v>
      </c>
      <c r="AC3713">
        <v>80</v>
      </c>
      <c r="AD3713">
        <v>1295.82</v>
      </c>
      <c r="AE3713">
        <f t="shared" si="114"/>
        <v>3322.2800000000007</v>
      </c>
      <c r="AF3713" t="str">
        <f t="shared" si="115"/>
        <v>2026-04</v>
      </c>
      <c r="AG3713">
        <f>SUBTOTAL(103,A3713)</f>
        <v>1</v>
      </c>
    </row>
    <row r="3714" spans="1:33" x14ac:dyDescent="0.3">
      <c r="A3714" t="s">
        <v>6337</v>
      </c>
      <c r="B3714" s="13">
        <v>46136</v>
      </c>
      <c r="C3714">
        <v>2026</v>
      </c>
      <c r="D3714">
        <v>4</v>
      </c>
      <c r="E3714" t="s">
        <v>3328</v>
      </c>
      <c r="F3714" t="s">
        <v>3329</v>
      </c>
      <c r="G3714" t="s">
        <v>887</v>
      </c>
      <c r="H3714" t="s">
        <v>888</v>
      </c>
      <c r="I3714" t="s">
        <v>85</v>
      </c>
      <c r="J3714">
        <v>26</v>
      </c>
      <c r="K3714" t="s">
        <v>81</v>
      </c>
      <c r="L3714" t="s">
        <v>100</v>
      </c>
      <c r="M3714" t="s">
        <v>56</v>
      </c>
      <c r="N3714" t="s">
        <v>2574</v>
      </c>
      <c r="O3714" t="s">
        <v>130</v>
      </c>
      <c r="P3714" t="s">
        <v>50</v>
      </c>
      <c r="Q3714" t="s">
        <v>53</v>
      </c>
      <c r="R3714">
        <v>2</v>
      </c>
      <c r="S3714">
        <v>1199</v>
      </c>
      <c r="T3714">
        <v>0.2</v>
      </c>
      <c r="U3714">
        <v>1918.4</v>
      </c>
      <c r="V3714">
        <v>1100</v>
      </c>
      <c r="W3714">
        <v>818.4</v>
      </c>
      <c r="X3714" t="s">
        <v>75</v>
      </c>
      <c r="Y3714" t="s">
        <v>68</v>
      </c>
      <c r="Z3714" t="s">
        <v>160</v>
      </c>
      <c r="AA3714" t="s">
        <v>171</v>
      </c>
      <c r="AB3714">
        <v>4</v>
      </c>
      <c r="AC3714">
        <v>100</v>
      </c>
      <c r="AD3714">
        <v>191.56</v>
      </c>
      <c r="AE3714">
        <f t="shared" ref="AE3714:AE3777" si="116">W3714-AC3714-AD3714</f>
        <v>526.83999999999992</v>
      </c>
      <c r="AF3714" t="str">
        <f t="shared" ref="AF3714:AF3777" si="117">C3714&amp;"-"&amp;TEXT(D3714,"00")</f>
        <v>2026-04</v>
      </c>
      <c r="AG3714">
        <f>SUBTOTAL(103,A3714)</f>
        <v>1</v>
      </c>
    </row>
    <row r="3715" spans="1:33" x14ac:dyDescent="0.3">
      <c r="A3715" t="s">
        <v>6338</v>
      </c>
      <c r="B3715" s="13">
        <v>46136</v>
      </c>
      <c r="C3715">
        <v>2026</v>
      </c>
      <c r="D3715">
        <v>4</v>
      </c>
      <c r="E3715" t="s">
        <v>3328</v>
      </c>
      <c r="F3715" t="s">
        <v>3329</v>
      </c>
      <c r="G3715" t="s">
        <v>1735</v>
      </c>
      <c r="H3715" t="s">
        <v>1736</v>
      </c>
      <c r="I3715" t="s">
        <v>86</v>
      </c>
      <c r="J3715">
        <v>23</v>
      </c>
      <c r="K3715" t="s">
        <v>80</v>
      </c>
      <c r="L3715" t="s">
        <v>2637</v>
      </c>
      <c r="M3715" t="s">
        <v>64</v>
      </c>
      <c r="N3715" t="s">
        <v>2644</v>
      </c>
      <c r="O3715" t="s">
        <v>126</v>
      </c>
      <c r="P3715" t="s">
        <v>50</v>
      </c>
      <c r="Q3715" t="s">
        <v>145</v>
      </c>
      <c r="R3715">
        <v>2</v>
      </c>
      <c r="S3715">
        <v>1799</v>
      </c>
      <c r="T3715">
        <v>0</v>
      </c>
      <c r="U3715">
        <v>3598</v>
      </c>
      <c r="V3715">
        <v>1900</v>
      </c>
      <c r="W3715">
        <v>1698</v>
      </c>
      <c r="X3715" t="s">
        <v>74</v>
      </c>
      <c r="Y3715" t="s">
        <v>69</v>
      </c>
      <c r="Z3715" t="s">
        <v>160</v>
      </c>
      <c r="AA3715" t="s">
        <v>166</v>
      </c>
      <c r="AB3715">
        <v>3</v>
      </c>
      <c r="AC3715">
        <v>60</v>
      </c>
      <c r="AD3715">
        <v>227.64</v>
      </c>
      <c r="AE3715">
        <f t="shared" si="116"/>
        <v>1410.3600000000001</v>
      </c>
      <c r="AF3715" t="str">
        <f t="shared" si="117"/>
        <v>2026-04</v>
      </c>
      <c r="AG3715">
        <f>SUBTOTAL(103,A3715)</f>
        <v>1</v>
      </c>
    </row>
    <row r="3716" spans="1:33" x14ac:dyDescent="0.3">
      <c r="A3716" t="s">
        <v>6339</v>
      </c>
      <c r="B3716" s="13">
        <v>46136</v>
      </c>
      <c r="C3716">
        <v>2026</v>
      </c>
      <c r="D3716">
        <v>4</v>
      </c>
      <c r="E3716" t="s">
        <v>3328</v>
      </c>
      <c r="F3716" t="s">
        <v>3329</v>
      </c>
      <c r="G3716" t="s">
        <v>2035</v>
      </c>
      <c r="H3716" t="s">
        <v>2036</v>
      </c>
      <c r="I3716" t="s">
        <v>85</v>
      </c>
      <c r="J3716">
        <v>46</v>
      </c>
      <c r="K3716" t="s">
        <v>83</v>
      </c>
      <c r="L3716" t="s">
        <v>2690</v>
      </c>
      <c r="M3716" t="s">
        <v>63</v>
      </c>
      <c r="N3716" t="s">
        <v>2574</v>
      </c>
      <c r="O3716" t="s">
        <v>130</v>
      </c>
      <c r="P3716" t="s">
        <v>50</v>
      </c>
      <c r="Q3716" t="s">
        <v>53</v>
      </c>
      <c r="R3716">
        <v>1</v>
      </c>
      <c r="S3716">
        <v>1199</v>
      </c>
      <c r="T3716">
        <v>0.05</v>
      </c>
      <c r="U3716">
        <v>1139.05</v>
      </c>
      <c r="V3716">
        <v>550</v>
      </c>
      <c r="W3716">
        <v>589.04999999999995</v>
      </c>
      <c r="X3716" t="s">
        <v>76</v>
      </c>
      <c r="Y3716" t="s">
        <v>68</v>
      </c>
      <c r="Z3716" t="s">
        <v>161</v>
      </c>
      <c r="AA3716" t="s">
        <v>167</v>
      </c>
      <c r="AB3716">
        <v>3.9</v>
      </c>
      <c r="AC3716">
        <v>80</v>
      </c>
      <c r="AD3716">
        <v>107.75</v>
      </c>
      <c r="AE3716">
        <f t="shared" si="116"/>
        <v>401.29999999999995</v>
      </c>
      <c r="AF3716" t="str">
        <f t="shared" si="117"/>
        <v>2026-04</v>
      </c>
      <c r="AG3716">
        <f>SUBTOTAL(103,A3716)</f>
        <v>1</v>
      </c>
    </row>
    <row r="3717" spans="1:33" x14ac:dyDescent="0.3">
      <c r="A3717" t="s">
        <v>6340</v>
      </c>
      <c r="B3717" s="13">
        <v>46136</v>
      </c>
      <c r="C3717">
        <v>2026</v>
      </c>
      <c r="D3717">
        <v>4</v>
      </c>
      <c r="E3717" t="s">
        <v>3328</v>
      </c>
      <c r="F3717" t="s">
        <v>3329</v>
      </c>
      <c r="G3717" t="s">
        <v>543</v>
      </c>
      <c r="H3717" t="s">
        <v>544</v>
      </c>
      <c r="I3717" t="s">
        <v>86</v>
      </c>
      <c r="J3717">
        <v>37</v>
      </c>
      <c r="K3717" t="s">
        <v>82</v>
      </c>
      <c r="L3717" t="s">
        <v>2690</v>
      </c>
      <c r="M3717" t="s">
        <v>63</v>
      </c>
      <c r="N3717" t="s">
        <v>2582</v>
      </c>
      <c r="O3717" t="s">
        <v>119</v>
      </c>
      <c r="P3717" t="s">
        <v>49</v>
      </c>
      <c r="Q3717" t="s">
        <v>140</v>
      </c>
      <c r="R3717">
        <v>2</v>
      </c>
      <c r="S3717">
        <v>3499</v>
      </c>
      <c r="T3717">
        <v>0.1</v>
      </c>
      <c r="U3717">
        <v>6298.2</v>
      </c>
      <c r="V3717">
        <v>4200</v>
      </c>
      <c r="W3717">
        <v>2098.1999999999998</v>
      </c>
      <c r="X3717" t="s">
        <v>73</v>
      </c>
      <c r="Y3717" t="s">
        <v>68</v>
      </c>
      <c r="Z3717" t="s">
        <v>163</v>
      </c>
      <c r="AA3717" t="s">
        <v>166</v>
      </c>
      <c r="AB3717">
        <v>3.9</v>
      </c>
      <c r="AC3717">
        <v>60</v>
      </c>
      <c r="AD3717">
        <v>694.87</v>
      </c>
      <c r="AE3717">
        <f t="shared" si="116"/>
        <v>1343.33</v>
      </c>
      <c r="AF3717" t="str">
        <f t="shared" si="117"/>
        <v>2026-04</v>
      </c>
      <c r="AG3717">
        <f>SUBTOTAL(103,A3717)</f>
        <v>1</v>
      </c>
    </row>
    <row r="3718" spans="1:33" x14ac:dyDescent="0.3">
      <c r="A3718" t="s">
        <v>6341</v>
      </c>
      <c r="B3718" s="13">
        <v>46136</v>
      </c>
      <c r="C3718">
        <v>2026</v>
      </c>
      <c r="D3718">
        <v>4</v>
      </c>
      <c r="E3718" t="s">
        <v>3328</v>
      </c>
      <c r="F3718" t="s">
        <v>3329</v>
      </c>
      <c r="G3718" t="s">
        <v>761</v>
      </c>
      <c r="H3718" t="s">
        <v>762</v>
      </c>
      <c r="I3718" t="s">
        <v>86</v>
      </c>
      <c r="J3718">
        <v>34</v>
      </c>
      <c r="K3718" t="s">
        <v>81</v>
      </c>
      <c r="L3718" t="s">
        <v>90</v>
      </c>
      <c r="M3718" t="s">
        <v>55</v>
      </c>
      <c r="N3718" t="s">
        <v>2596</v>
      </c>
      <c r="O3718" t="s">
        <v>124</v>
      </c>
      <c r="P3718" t="s">
        <v>51</v>
      </c>
      <c r="Q3718" t="s">
        <v>147</v>
      </c>
      <c r="R3718">
        <v>2</v>
      </c>
      <c r="S3718">
        <v>2299</v>
      </c>
      <c r="T3718">
        <v>0.1</v>
      </c>
      <c r="U3718">
        <v>4138.2</v>
      </c>
      <c r="V3718">
        <v>2400</v>
      </c>
      <c r="W3718">
        <v>1738.2</v>
      </c>
      <c r="X3718" t="s">
        <v>73</v>
      </c>
      <c r="Y3718" t="s">
        <v>68</v>
      </c>
      <c r="Z3718" t="s">
        <v>160</v>
      </c>
      <c r="AA3718" t="s">
        <v>166</v>
      </c>
      <c r="AB3718">
        <v>3.7</v>
      </c>
      <c r="AC3718">
        <v>80</v>
      </c>
      <c r="AD3718">
        <v>495.58</v>
      </c>
      <c r="AE3718">
        <f t="shared" si="116"/>
        <v>1162.6200000000001</v>
      </c>
      <c r="AF3718" t="str">
        <f t="shared" si="117"/>
        <v>2026-04</v>
      </c>
      <c r="AG3718">
        <f>SUBTOTAL(103,A3718)</f>
        <v>1</v>
      </c>
    </row>
    <row r="3719" spans="1:33" x14ac:dyDescent="0.3">
      <c r="A3719" t="s">
        <v>6342</v>
      </c>
      <c r="B3719" s="13">
        <v>46136</v>
      </c>
      <c r="C3719">
        <v>2026</v>
      </c>
      <c r="D3719">
        <v>4</v>
      </c>
      <c r="E3719" t="s">
        <v>3328</v>
      </c>
      <c r="F3719" t="s">
        <v>3329</v>
      </c>
      <c r="G3719" t="s">
        <v>1839</v>
      </c>
      <c r="H3719" t="s">
        <v>1840</v>
      </c>
      <c r="I3719" t="s">
        <v>85</v>
      </c>
      <c r="J3719">
        <v>34</v>
      </c>
      <c r="K3719" t="s">
        <v>81</v>
      </c>
      <c r="L3719" t="s">
        <v>90</v>
      </c>
      <c r="M3719" t="s">
        <v>55</v>
      </c>
      <c r="N3719" t="s">
        <v>2584</v>
      </c>
      <c r="O3719" t="s">
        <v>121</v>
      </c>
      <c r="P3719" t="s">
        <v>50</v>
      </c>
      <c r="Q3719" t="s">
        <v>144</v>
      </c>
      <c r="R3719">
        <v>1</v>
      </c>
      <c r="S3719">
        <v>2999</v>
      </c>
      <c r="T3719">
        <v>0.15</v>
      </c>
      <c r="U3719">
        <v>2549.15</v>
      </c>
      <c r="V3719">
        <v>1700</v>
      </c>
      <c r="W3719">
        <v>849.15</v>
      </c>
      <c r="X3719" t="s">
        <v>74</v>
      </c>
      <c r="Y3719" t="s">
        <v>68</v>
      </c>
      <c r="Z3719" t="s">
        <v>161</v>
      </c>
      <c r="AA3719" t="s">
        <v>169</v>
      </c>
      <c r="AB3719">
        <v>4.3</v>
      </c>
      <c r="AC3719">
        <v>80</v>
      </c>
      <c r="AD3719">
        <v>162.12</v>
      </c>
      <c r="AE3719">
        <f t="shared" si="116"/>
        <v>607.03</v>
      </c>
      <c r="AF3719" t="str">
        <f t="shared" si="117"/>
        <v>2026-04</v>
      </c>
      <c r="AG3719">
        <f>SUBTOTAL(103,A3719)</f>
        <v>1</v>
      </c>
    </row>
    <row r="3720" spans="1:33" x14ac:dyDescent="0.3">
      <c r="A3720" t="s">
        <v>6343</v>
      </c>
      <c r="B3720" s="13">
        <v>46136</v>
      </c>
      <c r="C3720">
        <v>2026</v>
      </c>
      <c r="D3720">
        <v>4</v>
      </c>
      <c r="E3720" t="s">
        <v>3328</v>
      </c>
      <c r="F3720" t="s">
        <v>3329</v>
      </c>
      <c r="G3720" t="s">
        <v>459</v>
      </c>
      <c r="H3720" t="s">
        <v>460</v>
      </c>
      <c r="I3720" t="s">
        <v>85</v>
      </c>
      <c r="J3720">
        <v>48</v>
      </c>
      <c r="K3720" t="s">
        <v>83</v>
      </c>
      <c r="L3720" t="s">
        <v>98</v>
      </c>
      <c r="M3720" t="s">
        <v>55</v>
      </c>
      <c r="N3720" t="s">
        <v>2601</v>
      </c>
      <c r="O3720" t="s">
        <v>117</v>
      </c>
      <c r="P3720" t="s">
        <v>49</v>
      </c>
      <c r="Q3720" t="s">
        <v>139</v>
      </c>
      <c r="R3720">
        <v>4</v>
      </c>
      <c r="S3720">
        <v>6999</v>
      </c>
      <c r="T3720">
        <v>0</v>
      </c>
      <c r="U3720">
        <v>27996</v>
      </c>
      <c r="V3720">
        <v>17200</v>
      </c>
      <c r="W3720">
        <v>10796</v>
      </c>
      <c r="X3720" t="s">
        <v>73</v>
      </c>
      <c r="Y3720" t="s">
        <v>68</v>
      </c>
      <c r="Z3720" t="s">
        <v>160</v>
      </c>
      <c r="AA3720" t="s">
        <v>166</v>
      </c>
      <c r="AB3720">
        <v>4.3</v>
      </c>
      <c r="AC3720">
        <v>40</v>
      </c>
      <c r="AD3720">
        <v>586.91999999999996</v>
      </c>
      <c r="AE3720">
        <f t="shared" si="116"/>
        <v>10169.08</v>
      </c>
      <c r="AF3720" t="str">
        <f t="shared" si="117"/>
        <v>2026-04</v>
      </c>
      <c r="AG3720">
        <f>SUBTOTAL(103,A3720)</f>
        <v>1</v>
      </c>
    </row>
    <row r="3721" spans="1:33" x14ac:dyDescent="0.3">
      <c r="A3721" t="s">
        <v>6344</v>
      </c>
      <c r="B3721" s="13">
        <v>46136</v>
      </c>
      <c r="C3721">
        <v>2026</v>
      </c>
      <c r="D3721">
        <v>4</v>
      </c>
      <c r="E3721" t="s">
        <v>3328</v>
      </c>
      <c r="F3721" t="s">
        <v>3329</v>
      </c>
      <c r="G3721" t="s">
        <v>1887</v>
      </c>
      <c r="H3721" t="s">
        <v>1888</v>
      </c>
      <c r="I3721" t="s">
        <v>85</v>
      </c>
      <c r="J3721">
        <v>30</v>
      </c>
      <c r="K3721" t="s">
        <v>81</v>
      </c>
      <c r="L3721" t="s">
        <v>2634</v>
      </c>
      <c r="M3721" t="s">
        <v>56</v>
      </c>
      <c r="N3721" t="s">
        <v>2577</v>
      </c>
      <c r="O3721" t="s">
        <v>129</v>
      </c>
      <c r="P3721" t="s">
        <v>49</v>
      </c>
      <c r="Q3721" t="s">
        <v>149</v>
      </c>
      <c r="R3721">
        <v>1</v>
      </c>
      <c r="S3721">
        <v>1299</v>
      </c>
      <c r="T3721">
        <v>0</v>
      </c>
      <c r="U3721">
        <v>1299</v>
      </c>
      <c r="V3721">
        <v>650</v>
      </c>
      <c r="W3721">
        <v>649</v>
      </c>
      <c r="X3721" t="s">
        <v>77</v>
      </c>
      <c r="Y3721" t="s">
        <v>69</v>
      </c>
      <c r="Z3721" t="s">
        <v>163</v>
      </c>
      <c r="AA3721" t="s">
        <v>167</v>
      </c>
      <c r="AB3721">
        <v>4.5</v>
      </c>
      <c r="AC3721">
        <v>100</v>
      </c>
      <c r="AD3721">
        <v>150.19</v>
      </c>
      <c r="AE3721">
        <f t="shared" si="116"/>
        <v>398.81</v>
      </c>
      <c r="AF3721" t="str">
        <f t="shared" si="117"/>
        <v>2026-04</v>
      </c>
      <c r="AG3721">
        <f>SUBTOTAL(103,A3721)</f>
        <v>1</v>
      </c>
    </row>
    <row r="3722" spans="1:33" x14ac:dyDescent="0.3">
      <c r="A3722" t="s">
        <v>6345</v>
      </c>
      <c r="B3722" s="13">
        <v>46136</v>
      </c>
      <c r="C3722">
        <v>2026</v>
      </c>
      <c r="D3722">
        <v>4</v>
      </c>
      <c r="E3722" t="s">
        <v>3328</v>
      </c>
      <c r="F3722" t="s">
        <v>3329</v>
      </c>
      <c r="G3722" t="s">
        <v>1663</v>
      </c>
      <c r="H3722" t="s">
        <v>1664</v>
      </c>
      <c r="I3722" t="s">
        <v>86</v>
      </c>
      <c r="J3722">
        <v>25</v>
      </c>
      <c r="K3722" t="s">
        <v>80</v>
      </c>
      <c r="L3722" t="s">
        <v>2661</v>
      </c>
      <c r="M3722" t="s">
        <v>58</v>
      </c>
      <c r="N3722" t="s">
        <v>2653</v>
      </c>
      <c r="O3722" t="s">
        <v>132</v>
      </c>
      <c r="P3722" t="s">
        <v>52</v>
      </c>
      <c r="Q3722" t="s">
        <v>150</v>
      </c>
      <c r="R3722">
        <v>2</v>
      </c>
      <c r="S3722">
        <v>899</v>
      </c>
      <c r="T3722">
        <v>0.1</v>
      </c>
      <c r="U3722">
        <v>1618.2</v>
      </c>
      <c r="V3722">
        <v>840</v>
      </c>
      <c r="W3722">
        <v>778.2</v>
      </c>
      <c r="X3722" t="s">
        <v>74</v>
      </c>
      <c r="Y3722" t="s">
        <v>68</v>
      </c>
      <c r="Z3722" t="s">
        <v>163</v>
      </c>
      <c r="AA3722" t="s">
        <v>169</v>
      </c>
      <c r="AB3722">
        <v>5</v>
      </c>
      <c r="AC3722">
        <v>50</v>
      </c>
      <c r="AD3722">
        <v>167.55</v>
      </c>
      <c r="AE3722">
        <f t="shared" si="116"/>
        <v>560.65000000000009</v>
      </c>
      <c r="AF3722" t="str">
        <f t="shared" si="117"/>
        <v>2026-04</v>
      </c>
      <c r="AG3722">
        <f>SUBTOTAL(103,A3722)</f>
        <v>1</v>
      </c>
    </row>
    <row r="3723" spans="1:33" x14ac:dyDescent="0.3">
      <c r="A3723" t="s">
        <v>6346</v>
      </c>
      <c r="B3723" s="13">
        <v>46136</v>
      </c>
      <c r="C3723">
        <v>2026</v>
      </c>
      <c r="D3723">
        <v>4</v>
      </c>
      <c r="E3723" t="s">
        <v>3328</v>
      </c>
      <c r="F3723" t="s">
        <v>3329</v>
      </c>
      <c r="G3723" t="s">
        <v>523</v>
      </c>
      <c r="H3723" t="s">
        <v>524</v>
      </c>
      <c r="I3723" t="s">
        <v>85</v>
      </c>
      <c r="J3723">
        <v>26</v>
      </c>
      <c r="K3723" t="s">
        <v>81</v>
      </c>
      <c r="L3723" t="s">
        <v>2679</v>
      </c>
      <c r="M3723" t="s">
        <v>60</v>
      </c>
      <c r="N3723" t="s">
        <v>2626</v>
      </c>
      <c r="O3723" t="s">
        <v>125</v>
      </c>
      <c r="P3723" t="s">
        <v>48</v>
      </c>
      <c r="Q3723" t="s">
        <v>141</v>
      </c>
      <c r="R3723">
        <v>3</v>
      </c>
      <c r="S3723">
        <v>1999</v>
      </c>
      <c r="T3723">
        <v>0.2</v>
      </c>
      <c r="U3723">
        <v>4797.6000000000004</v>
      </c>
      <c r="V3723">
        <v>3450</v>
      </c>
      <c r="W3723">
        <v>1347.6</v>
      </c>
      <c r="X3723" t="s">
        <v>73</v>
      </c>
      <c r="Y3723" t="s">
        <v>69</v>
      </c>
      <c r="Z3723" t="s">
        <v>161</v>
      </c>
      <c r="AA3723" t="s">
        <v>166</v>
      </c>
      <c r="AB3723">
        <v>4.2</v>
      </c>
      <c r="AC3723">
        <v>60</v>
      </c>
      <c r="AD3723">
        <v>378.01</v>
      </c>
      <c r="AE3723">
        <f t="shared" si="116"/>
        <v>909.58999999999992</v>
      </c>
      <c r="AF3723" t="str">
        <f t="shared" si="117"/>
        <v>2026-04</v>
      </c>
      <c r="AG3723">
        <f>SUBTOTAL(103,A3723)</f>
        <v>1</v>
      </c>
    </row>
    <row r="3724" spans="1:33" x14ac:dyDescent="0.3">
      <c r="A3724" t="s">
        <v>6347</v>
      </c>
      <c r="B3724" s="13">
        <v>46137</v>
      </c>
      <c r="C3724">
        <v>2026</v>
      </c>
      <c r="D3724">
        <v>4</v>
      </c>
      <c r="E3724" t="s">
        <v>3328</v>
      </c>
      <c r="F3724" t="s">
        <v>3329</v>
      </c>
      <c r="G3724" t="s">
        <v>1893</v>
      </c>
      <c r="H3724" t="s">
        <v>1894</v>
      </c>
      <c r="I3724" t="s">
        <v>86</v>
      </c>
      <c r="J3724">
        <v>21</v>
      </c>
      <c r="K3724" t="s">
        <v>80</v>
      </c>
      <c r="L3724" t="s">
        <v>2690</v>
      </c>
      <c r="M3724" t="s">
        <v>63</v>
      </c>
      <c r="N3724" t="s">
        <v>2626</v>
      </c>
      <c r="O3724" t="s">
        <v>125</v>
      </c>
      <c r="P3724" t="s">
        <v>48</v>
      </c>
      <c r="Q3724" t="s">
        <v>141</v>
      </c>
      <c r="R3724">
        <v>3</v>
      </c>
      <c r="S3724">
        <v>1999</v>
      </c>
      <c r="T3724">
        <v>0</v>
      </c>
      <c r="U3724">
        <v>5997</v>
      </c>
      <c r="V3724">
        <v>3450</v>
      </c>
      <c r="W3724">
        <v>2547</v>
      </c>
      <c r="X3724" t="s">
        <v>74</v>
      </c>
      <c r="Y3724" t="s">
        <v>68</v>
      </c>
      <c r="Z3724" t="s">
        <v>163</v>
      </c>
      <c r="AA3724" t="s">
        <v>166</v>
      </c>
      <c r="AB3724">
        <v>4.3</v>
      </c>
      <c r="AC3724">
        <v>40</v>
      </c>
      <c r="AD3724">
        <v>594.35</v>
      </c>
      <c r="AE3724">
        <f t="shared" si="116"/>
        <v>1912.65</v>
      </c>
      <c r="AF3724" t="str">
        <f t="shared" si="117"/>
        <v>2026-04</v>
      </c>
      <c r="AG3724">
        <f>SUBTOTAL(103,A3724)</f>
        <v>1</v>
      </c>
    </row>
    <row r="3725" spans="1:33" x14ac:dyDescent="0.3">
      <c r="A3725" t="s">
        <v>6348</v>
      </c>
      <c r="B3725" s="13">
        <v>46137</v>
      </c>
      <c r="C3725">
        <v>2026</v>
      </c>
      <c r="D3725">
        <v>4</v>
      </c>
      <c r="E3725" t="s">
        <v>3328</v>
      </c>
      <c r="F3725" t="s">
        <v>3329</v>
      </c>
      <c r="G3725" t="s">
        <v>645</v>
      </c>
      <c r="H3725" t="s">
        <v>646</v>
      </c>
      <c r="I3725" t="s">
        <v>86</v>
      </c>
      <c r="J3725">
        <v>20</v>
      </c>
      <c r="K3725" t="s">
        <v>80</v>
      </c>
      <c r="L3725" t="s">
        <v>2599</v>
      </c>
      <c r="M3725" t="s">
        <v>62</v>
      </c>
      <c r="N3725" t="s">
        <v>2665</v>
      </c>
      <c r="O3725" t="s">
        <v>128</v>
      </c>
      <c r="P3725" t="s">
        <v>53</v>
      </c>
      <c r="Q3725" t="s">
        <v>143</v>
      </c>
      <c r="R3725">
        <v>1</v>
      </c>
      <c r="S3725">
        <v>1499</v>
      </c>
      <c r="T3725">
        <v>0.05</v>
      </c>
      <c r="U3725">
        <v>1424.05</v>
      </c>
      <c r="V3725">
        <v>800</v>
      </c>
      <c r="W3725">
        <v>624.04999999999995</v>
      </c>
      <c r="X3725" t="s">
        <v>75</v>
      </c>
      <c r="Y3725" t="s">
        <v>68</v>
      </c>
      <c r="Z3725" t="s">
        <v>163</v>
      </c>
      <c r="AA3725" t="s">
        <v>170</v>
      </c>
      <c r="AB3725">
        <v>3.7</v>
      </c>
      <c r="AC3725">
        <v>60</v>
      </c>
      <c r="AD3725">
        <v>53.47</v>
      </c>
      <c r="AE3725">
        <f t="shared" si="116"/>
        <v>510.57999999999993</v>
      </c>
      <c r="AF3725" t="str">
        <f t="shared" si="117"/>
        <v>2026-04</v>
      </c>
      <c r="AG3725">
        <f>SUBTOTAL(103,A3725)</f>
        <v>1</v>
      </c>
    </row>
    <row r="3726" spans="1:33" x14ac:dyDescent="0.3">
      <c r="A3726" t="s">
        <v>6349</v>
      </c>
      <c r="B3726" s="13">
        <v>46137</v>
      </c>
      <c r="C3726">
        <v>2026</v>
      </c>
      <c r="D3726">
        <v>4</v>
      </c>
      <c r="E3726" t="s">
        <v>3328</v>
      </c>
      <c r="F3726" t="s">
        <v>3329</v>
      </c>
      <c r="G3726" t="s">
        <v>1473</v>
      </c>
      <c r="H3726" t="s">
        <v>1474</v>
      </c>
      <c r="I3726" t="s">
        <v>85</v>
      </c>
      <c r="J3726">
        <v>21</v>
      </c>
      <c r="K3726" t="s">
        <v>80</v>
      </c>
      <c r="L3726" t="s">
        <v>2610</v>
      </c>
      <c r="M3726" t="s">
        <v>64</v>
      </c>
      <c r="N3726" t="s">
        <v>2657</v>
      </c>
      <c r="O3726" t="s">
        <v>134</v>
      </c>
      <c r="P3726" t="s">
        <v>49</v>
      </c>
      <c r="Q3726" t="s">
        <v>140</v>
      </c>
      <c r="R3726">
        <v>5</v>
      </c>
      <c r="S3726">
        <v>599</v>
      </c>
      <c r="T3726">
        <v>0.05</v>
      </c>
      <c r="U3726">
        <v>2845.25</v>
      </c>
      <c r="V3726">
        <v>1250</v>
      </c>
      <c r="W3726">
        <v>1595.25</v>
      </c>
      <c r="X3726" t="s">
        <v>73</v>
      </c>
      <c r="Y3726" t="s">
        <v>68</v>
      </c>
      <c r="Z3726" t="s">
        <v>160</v>
      </c>
      <c r="AA3726" t="s">
        <v>170</v>
      </c>
      <c r="AB3726">
        <v>4.8</v>
      </c>
      <c r="AC3726">
        <v>40</v>
      </c>
      <c r="AD3726">
        <v>81.08</v>
      </c>
      <c r="AE3726">
        <f t="shared" si="116"/>
        <v>1474.17</v>
      </c>
      <c r="AF3726" t="str">
        <f t="shared" si="117"/>
        <v>2026-04</v>
      </c>
      <c r="AG3726">
        <f>SUBTOTAL(103,A3726)</f>
        <v>1</v>
      </c>
    </row>
    <row r="3727" spans="1:33" x14ac:dyDescent="0.3">
      <c r="A3727" t="s">
        <v>6350</v>
      </c>
      <c r="B3727" s="13">
        <v>46137</v>
      </c>
      <c r="C3727">
        <v>2026</v>
      </c>
      <c r="D3727">
        <v>4</v>
      </c>
      <c r="E3727" t="s">
        <v>3328</v>
      </c>
      <c r="F3727" t="s">
        <v>3329</v>
      </c>
      <c r="G3727" t="s">
        <v>1757</v>
      </c>
      <c r="H3727" t="s">
        <v>1758</v>
      </c>
      <c r="I3727" t="s">
        <v>85</v>
      </c>
      <c r="J3727">
        <v>22</v>
      </c>
      <c r="K3727" t="s">
        <v>80</v>
      </c>
      <c r="L3727" t="s">
        <v>2687</v>
      </c>
      <c r="M3727" t="s">
        <v>57</v>
      </c>
      <c r="N3727" t="s">
        <v>2577</v>
      </c>
      <c r="O3727" t="s">
        <v>129</v>
      </c>
      <c r="P3727" t="s">
        <v>49</v>
      </c>
      <c r="Q3727" t="s">
        <v>149</v>
      </c>
      <c r="R3727">
        <v>5</v>
      </c>
      <c r="S3727">
        <v>1299</v>
      </c>
      <c r="T3727">
        <v>0.15</v>
      </c>
      <c r="U3727">
        <v>5520.75</v>
      </c>
      <c r="V3727">
        <v>3250</v>
      </c>
      <c r="W3727">
        <v>2270.75</v>
      </c>
      <c r="X3727" t="s">
        <v>76</v>
      </c>
      <c r="Y3727" t="s">
        <v>68</v>
      </c>
      <c r="Z3727" t="s">
        <v>163</v>
      </c>
      <c r="AA3727" t="s">
        <v>168</v>
      </c>
      <c r="AB3727">
        <v>5</v>
      </c>
      <c r="AC3727">
        <v>50</v>
      </c>
      <c r="AD3727">
        <v>296.92</v>
      </c>
      <c r="AE3727">
        <f t="shared" si="116"/>
        <v>1923.83</v>
      </c>
      <c r="AF3727" t="str">
        <f t="shared" si="117"/>
        <v>2026-04</v>
      </c>
      <c r="AG3727">
        <f>SUBTOTAL(103,A3727)</f>
        <v>1</v>
      </c>
    </row>
    <row r="3728" spans="1:33" x14ac:dyDescent="0.3">
      <c r="A3728" t="s">
        <v>6351</v>
      </c>
      <c r="B3728" s="13">
        <v>46137</v>
      </c>
      <c r="C3728">
        <v>2026</v>
      </c>
      <c r="D3728">
        <v>4</v>
      </c>
      <c r="E3728" t="s">
        <v>3328</v>
      </c>
      <c r="F3728" t="s">
        <v>3329</v>
      </c>
      <c r="G3728" t="s">
        <v>715</v>
      </c>
      <c r="H3728" t="s">
        <v>716</v>
      </c>
      <c r="I3728" t="s">
        <v>85</v>
      </c>
      <c r="J3728">
        <v>28</v>
      </c>
      <c r="K3728" t="s">
        <v>81</v>
      </c>
      <c r="L3728" t="s">
        <v>2605</v>
      </c>
      <c r="M3728" t="s">
        <v>60</v>
      </c>
      <c r="N3728" t="s">
        <v>2596</v>
      </c>
      <c r="O3728" t="s">
        <v>124</v>
      </c>
      <c r="P3728" t="s">
        <v>51</v>
      </c>
      <c r="Q3728" t="s">
        <v>147</v>
      </c>
      <c r="R3728">
        <v>3</v>
      </c>
      <c r="S3728">
        <v>2299</v>
      </c>
      <c r="T3728">
        <v>0.1</v>
      </c>
      <c r="U3728">
        <v>6207.3</v>
      </c>
      <c r="V3728">
        <v>3600</v>
      </c>
      <c r="W3728">
        <v>2607.3000000000002</v>
      </c>
      <c r="X3728" t="s">
        <v>75</v>
      </c>
      <c r="Y3728" t="s">
        <v>68</v>
      </c>
      <c r="Z3728" t="s">
        <v>160</v>
      </c>
      <c r="AA3728" t="s">
        <v>166</v>
      </c>
      <c r="AB3728">
        <v>4.4000000000000004</v>
      </c>
      <c r="AC3728">
        <v>40</v>
      </c>
      <c r="AD3728">
        <v>742</v>
      </c>
      <c r="AE3728">
        <f t="shared" si="116"/>
        <v>1825.3000000000002</v>
      </c>
      <c r="AF3728" t="str">
        <f t="shared" si="117"/>
        <v>2026-04</v>
      </c>
      <c r="AG3728">
        <f>SUBTOTAL(103,A3728)</f>
        <v>1</v>
      </c>
    </row>
    <row r="3729" spans="1:33" x14ac:dyDescent="0.3">
      <c r="A3729" t="s">
        <v>6352</v>
      </c>
      <c r="B3729" s="13">
        <v>46137</v>
      </c>
      <c r="C3729">
        <v>2026</v>
      </c>
      <c r="D3729">
        <v>4</v>
      </c>
      <c r="E3729" t="s">
        <v>3328</v>
      </c>
      <c r="F3729" t="s">
        <v>3329</v>
      </c>
      <c r="G3729" t="s">
        <v>2051</v>
      </c>
      <c r="H3729" t="s">
        <v>2052</v>
      </c>
      <c r="I3729" t="s">
        <v>86</v>
      </c>
      <c r="J3729">
        <v>24</v>
      </c>
      <c r="K3729" t="s">
        <v>80</v>
      </c>
      <c r="L3729" t="s">
        <v>2646</v>
      </c>
      <c r="M3729" t="s">
        <v>63</v>
      </c>
      <c r="N3729" t="s">
        <v>2584</v>
      </c>
      <c r="O3729" t="s">
        <v>121</v>
      </c>
      <c r="P3729" t="s">
        <v>50</v>
      </c>
      <c r="Q3729" t="s">
        <v>144</v>
      </c>
      <c r="R3729">
        <v>1</v>
      </c>
      <c r="S3729">
        <v>2999</v>
      </c>
      <c r="T3729">
        <v>0.2</v>
      </c>
      <c r="U3729">
        <v>2399.1999999999998</v>
      </c>
      <c r="V3729">
        <v>1700</v>
      </c>
      <c r="W3729">
        <v>699.2</v>
      </c>
      <c r="X3729" t="s">
        <v>73</v>
      </c>
      <c r="Y3729" t="s">
        <v>68</v>
      </c>
      <c r="Z3729" t="s">
        <v>161</v>
      </c>
      <c r="AA3729" t="s">
        <v>167</v>
      </c>
      <c r="AB3729">
        <v>3.4</v>
      </c>
      <c r="AC3729">
        <v>60</v>
      </c>
      <c r="AD3729">
        <v>222.76</v>
      </c>
      <c r="AE3729">
        <f t="shared" si="116"/>
        <v>416.44000000000005</v>
      </c>
      <c r="AF3729" t="str">
        <f t="shared" si="117"/>
        <v>2026-04</v>
      </c>
      <c r="AG3729">
        <f>SUBTOTAL(103,A3729)</f>
        <v>1</v>
      </c>
    </row>
    <row r="3730" spans="1:33" x14ac:dyDescent="0.3">
      <c r="A3730" t="s">
        <v>6353</v>
      </c>
      <c r="B3730" s="13">
        <v>46137</v>
      </c>
      <c r="C3730">
        <v>2026</v>
      </c>
      <c r="D3730">
        <v>4</v>
      </c>
      <c r="E3730" t="s">
        <v>3328</v>
      </c>
      <c r="F3730" t="s">
        <v>3329</v>
      </c>
      <c r="G3730" t="s">
        <v>989</v>
      </c>
      <c r="H3730" t="s">
        <v>990</v>
      </c>
      <c r="I3730" t="s">
        <v>86</v>
      </c>
      <c r="J3730">
        <v>20</v>
      </c>
      <c r="K3730" t="s">
        <v>80</v>
      </c>
      <c r="L3730" t="s">
        <v>59</v>
      </c>
      <c r="M3730" t="s">
        <v>59</v>
      </c>
      <c r="N3730" t="s">
        <v>2577</v>
      </c>
      <c r="O3730" t="s">
        <v>129</v>
      </c>
      <c r="P3730" t="s">
        <v>49</v>
      </c>
      <c r="Q3730" t="s">
        <v>149</v>
      </c>
      <c r="R3730">
        <v>3</v>
      </c>
      <c r="S3730">
        <v>1299</v>
      </c>
      <c r="T3730">
        <v>0</v>
      </c>
      <c r="U3730">
        <v>3897</v>
      </c>
      <c r="V3730">
        <v>1950</v>
      </c>
      <c r="W3730">
        <v>1947</v>
      </c>
      <c r="X3730" t="s">
        <v>74</v>
      </c>
      <c r="Y3730" t="s">
        <v>68</v>
      </c>
      <c r="Z3730" t="s">
        <v>163</v>
      </c>
      <c r="AA3730" t="s">
        <v>166</v>
      </c>
      <c r="AB3730">
        <v>4</v>
      </c>
      <c r="AC3730">
        <v>80</v>
      </c>
      <c r="AD3730">
        <v>308.73</v>
      </c>
      <c r="AE3730">
        <f t="shared" si="116"/>
        <v>1558.27</v>
      </c>
      <c r="AF3730" t="str">
        <f t="shared" si="117"/>
        <v>2026-04</v>
      </c>
      <c r="AG3730">
        <f>SUBTOTAL(103,A3730)</f>
        <v>1</v>
      </c>
    </row>
    <row r="3731" spans="1:33" x14ac:dyDescent="0.3">
      <c r="A3731" t="s">
        <v>6354</v>
      </c>
      <c r="B3731" s="13">
        <v>46137</v>
      </c>
      <c r="C3731">
        <v>2026</v>
      </c>
      <c r="D3731">
        <v>4</v>
      </c>
      <c r="E3731" t="s">
        <v>3328</v>
      </c>
      <c r="F3731" t="s">
        <v>3329</v>
      </c>
      <c r="G3731" t="s">
        <v>1997</v>
      </c>
      <c r="H3731" t="s">
        <v>1998</v>
      </c>
      <c r="I3731" t="s">
        <v>86</v>
      </c>
      <c r="J3731">
        <v>49</v>
      </c>
      <c r="K3731" t="s">
        <v>83</v>
      </c>
      <c r="L3731" t="s">
        <v>2634</v>
      </c>
      <c r="M3731" t="s">
        <v>56</v>
      </c>
      <c r="N3731" t="s">
        <v>2603</v>
      </c>
      <c r="O3731" t="s">
        <v>122</v>
      </c>
      <c r="P3731" t="s">
        <v>48</v>
      </c>
      <c r="Q3731" t="s">
        <v>141</v>
      </c>
      <c r="R3731">
        <v>3</v>
      </c>
      <c r="S3731">
        <v>2499</v>
      </c>
      <c r="T3731">
        <v>0</v>
      </c>
      <c r="U3731">
        <v>7497</v>
      </c>
      <c r="V3731">
        <v>4350</v>
      </c>
      <c r="W3731">
        <v>3147</v>
      </c>
      <c r="X3731" t="s">
        <v>73</v>
      </c>
      <c r="Y3731" t="s">
        <v>68</v>
      </c>
      <c r="Z3731" t="s">
        <v>159</v>
      </c>
      <c r="AA3731" t="s">
        <v>166</v>
      </c>
      <c r="AB3731">
        <v>3</v>
      </c>
      <c r="AC3731">
        <v>100</v>
      </c>
      <c r="AD3731">
        <v>795.68</v>
      </c>
      <c r="AE3731">
        <f t="shared" si="116"/>
        <v>2251.3200000000002</v>
      </c>
      <c r="AF3731" t="str">
        <f t="shared" si="117"/>
        <v>2026-04</v>
      </c>
      <c r="AG3731">
        <f>SUBTOTAL(103,A3731)</f>
        <v>1</v>
      </c>
    </row>
    <row r="3732" spans="1:33" x14ac:dyDescent="0.3">
      <c r="A3732" t="s">
        <v>6355</v>
      </c>
      <c r="B3732" s="13">
        <v>46137</v>
      </c>
      <c r="C3732">
        <v>2026</v>
      </c>
      <c r="D3732">
        <v>4</v>
      </c>
      <c r="E3732" t="s">
        <v>3328</v>
      </c>
      <c r="F3732" t="s">
        <v>3329</v>
      </c>
      <c r="G3732" t="s">
        <v>1291</v>
      </c>
      <c r="H3732" t="s">
        <v>1292</v>
      </c>
      <c r="I3732" t="s">
        <v>85</v>
      </c>
      <c r="J3732">
        <v>42</v>
      </c>
      <c r="K3732" t="s">
        <v>82</v>
      </c>
      <c r="L3732" t="s">
        <v>98</v>
      </c>
      <c r="M3732" t="s">
        <v>55</v>
      </c>
      <c r="N3732" t="s">
        <v>2630</v>
      </c>
      <c r="O3732" t="s">
        <v>123</v>
      </c>
      <c r="P3732" t="s">
        <v>52</v>
      </c>
      <c r="Q3732" t="s">
        <v>146</v>
      </c>
      <c r="R3732">
        <v>3</v>
      </c>
      <c r="S3732">
        <v>2499</v>
      </c>
      <c r="T3732">
        <v>0.05</v>
      </c>
      <c r="U3732">
        <v>7122.15</v>
      </c>
      <c r="V3732">
        <v>4200</v>
      </c>
      <c r="W3732">
        <v>2922.15</v>
      </c>
      <c r="X3732" t="s">
        <v>74</v>
      </c>
      <c r="Y3732" t="s">
        <v>69</v>
      </c>
      <c r="Z3732" t="s">
        <v>161</v>
      </c>
      <c r="AA3732" t="s">
        <v>171</v>
      </c>
      <c r="AB3732">
        <v>3.2</v>
      </c>
      <c r="AC3732">
        <v>120</v>
      </c>
      <c r="AD3732">
        <v>794.24</v>
      </c>
      <c r="AE3732">
        <f t="shared" si="116"/>
        <v>2007.91</v>
      </c>
      <c r="AF3732" t="str">
        <f t="shared" si="117"/>
        <v>2026-04</v>
      </c>
      <c r="AG3732">
        <f>SUBTOTAL(103,A3732)</f>
        <v>1</v>
      </c>
    </row>
    <row r="3733" spans="1:33" x14ac:dyDescent="0.3">
      <c r="A3733" t="s">
        <v>6356</v>
      </c>
      <c r="B3733" s="13">
        <v>46137</v>
      </c>
      <c r="C3733">
        <v>2026</v>
      </c>
      <c r="D3733">
        <v>4</v>
      </c>
      <c r="E3733" t="s">
        <v>3328</v>
      </c>
      <c r="F3733" t="s">
        <v>3329</v>
      </c>
      <c r="G3733" t="s">
        <v>1349</v>
      </c>
      <c r="H3733" t="s">
        <v>1350</v>
      </c>
      <c r="I3733" t="s">
        <v>85</v>
      </c>
      <c r="J3733">
        <v>51</v>
      </c>
      <c r="K3733" t="s">
        <v>83</v>
      </c>
      <c r="L3733" t="s">
        <v>2661</v>
      </c>
      <c r="M3733" t="s">
        <v>58</v>
      </c>
      <c r="N3733" t="s">
        <v>2606</v>
      </c>
      <c r="O3733" t="s">
        <v>120</v>
      </c>
      <c r="P3733" t="s">
        <v>49</v>
      </c>
      <c r="Q3733" t="s">
        <v>140</v>
      </c>
      <c r="R3733">
        <v>4</v>
      </c>
      <c r="S3733">
        <v>2799</v>
      </c>
      <c r="T3733">
        <v>0.15</v>
      </c>
      <c r="U3733">
        <v>0</v>
      </c>
      <c r="V3733">
        <v>0</v>
      </c>
      <c r="W3733">
        <v>0</v>
      </c>
      <c r="X3733" t="s">
        <v>73</v>
      </c>
      <c r="Y3733" t="s">
        <v>71</v>
      </c>
      <c r="Z3733" t="s">
        <v>160</v>
      </c>
      <c r="AA3733" t="s">
        <v>171</v>
      </c>
      <c r="AB3733">
        <v>4.5999999999999996</v>
      </c>
      <c r="AC3733">
        <v>100</v>
      </c>
      <c r="AD3733">
        <v>940.28</v>
      </c>
      <c r="AE3733">
        <f t="shared" si="116"/>
        <v>-1040.28</v>
      </c>
      <c r="AF3733" t="str">
        <f t="shared" si="117"/>
        <v>2026-04</v>
      </c>
      <c r="AG3733">
        <f>SUBTOTAL(103,A3733)</f>
        <v>1</v>
      </c>
    </row>
    <row r="3734" spans="1:33" x14ac:dyDescent="0.3">
      <c r="A3734" t="s">
        <v>6357</v>
      </c>
      <c r="B3734" s="13">
        <v>46137</v>
      </c>
      <c r="C3734">
        <v>2026</v>
      </c>
      <c r="D3734">
        <v>4</v>
      </c>
      <c r="E3734" t="s">
        <v>3328</v>
      </c>
      <c r="F3734" t="s">
        <v>3329</v>
      </c>
      <c r="G3734" t="s">
        <v>267</v>
      </c>
      <c r="H3734" t="s">
        <v>268</v>
      </c>
      <c r="I3734" t="s">
        <v>86</v>
      </c>
      <c r="J3734">
        <v>39</v>
      </c>
      <c r="K3734" t="s">
        <v>82</v>
      </c>
      <c r="L3734" t="s">
        <v>92</v>
      </c>
      <c r="M3734" t="s">
        <v>59</v>
      </c>
      <c r="N3734" t="s">
        <v>2592</v>
      </c>
      <c r="O3734" t="s">
        <v>115</v>
      </c>
      <c r="P3734" t="s">
        <v>48</v>
      </c>
      <c r="Q3734" t="s">
        <v>137</v>
      </c>
      <c r="R3734">
        <v>3</v>
      </c>
      <c r="S3734">
        <v>12999</v>
      </c>
      <c r="T3734">
        <v>0.1</v>
      </c>
      <c r="U3734">
        <v>35097.300000000003</v>
      </c>
      <c r="V3734">
        <v>27000</v>
      </c>
      <c r="W3734">
        <v>8097.3</v>
      </c>
      <c r="X3734" t="s">
        <v>74</v>
      </c>
      <c r="Y3734" t="s">
        <v>68</v>
      </c>
      <c r="Z3734" t="s">
        <v>160</v>
      </c>
      <c r="AA3734" t="s">
        <v>167</v>
      </c>
      <c r="AB3734">
        <v>4.3</v>
      </c>
      <c r="AC3734">
        <v>50</v>
      </c>
      <c r="AD3734">
        <v>2756.22</v>
      </c>
      <c r="AE3734">
        <f t="shared" si="116"/>
        <v>5291.08</v>
      </c>
      <c r="AF3734" t="str">
        <f t="shared" si="117"/>
        <v>2026-04</v>
      </c>
      <c r="AG3734">
        <f>SUBTOTAL(103,A3734)</f>
        <v>1</v>
      </c>
    </row>
    <row r="3735" spans="1:33" x14ac:dyDescent="0.3">
      <c r="A3735" t="s">
        <v>6358</v>
      </c>
      <c r="B3735" s="13">
        <v>46138</v>
      </c>
      <c r="C3735">
        <v>2026</v>
      </c>
      <c r="D3735">
        <v>4</v>
      </c>
      <c r="E3735" t="s">
        <v>3328</v>
      </c>
      <c r="F3735" t="s">
        <v>3329</v>
      </c>
      <c r="G3735" t="s">
        <v>2081</v>
      </c>
      <c r="H3735" t="s">
        <v>2082</v>
      </c>
      <c r="I3735" t="s">
        <v>86</v>
      </c>
      <c r="J3735">
        <v>46</v>
      </c>
      <c r="K3735" t="s">
        <v>83</v>
      </c>
      <c r="L3735" t="s">
        <v>2616</v>
      </c>
      <c r="M3735" t="s">
        <v>62</v>
      </c>
      <c r="N3735" t="s">
        <v>2601</v>
      </c>
      <c r="O3735" t="s">
        <v>117</v>
      </c>
      <c r="P3735" t="s">
        <v>49</v>
      </c>
      <c r="Q3735" t="s">
        <v>139</v>
      </c>
      <c r="R3735">
        <v>1</v>
      </c>
      <c r="S3735">
        <v>6999</v>
      </c>
      <c r="T3735">
        <v>0</v>
      </c>
      <c r="U3735">
        <v>6999</v>
      </c>
      <c r="V3735">
        <v>4300</v>
      </c>
      <c r="W3735">
        <v>2699</v>
      </c>
      <c r="X3735" t="s">
        <v>73</v>
      </c>
      <c r="Y3735" t="s">
        <v>68</v>
      </c>
      <c r="Z3735" t="s">
        <v>158</v>
      </c>
      <c r="AA3735" t="s">
        <v>166</v>
      </c>
      <c r="AB3735">
        <v>4.5</v>
      </c>
      <c r="AC3735">
        <v>50</v>
      </c>
      <c r="AD3735">
        <v>742.84</v>
      </c>
      <c r="AE3735">
        <f t="shared" si="116"/>
        <v>1906.1599999999999</v>
      </c>
      <c r="AF3735" t="str">
        <f t="shared" si="117"/>
        <v>2026-04</v>
      </c>
      <c r="AG3735">
        <f>SUBTOTAL(103,A3735)</f>
        <v>1</v>
      </c>
    </row>
    <row r="3736" spans="1:33" x14ac:dyDescent="0.3">
      <c r="A3736" t="s">
        <v>6359</v>
      </c>
      <c r="B3736" s="13">
        <v>46138</v>
      </c>
      <c r="C3736">
        <v>2026</v>
      </c>
      <c r="D3736">
        <v>4</v>
      </c>
      <c r="E3736" t="s">
        <v>3328</v>
      </c>
      <c r="F3736" t="s">
        <v>3329</v>
      </c>
      <c r="G3736" t="s">
        <v>1909</v>
      </c>
      <c r="H3736" t="s">
        <v>1910</v>
      </c>
      <c r="I3736" t="s">
        <v>85</v>
      </c>
      <c r="J3736">
        <v>24</v>
      </c>
      <c r="K3736" t="s">
        <v>80</v>
      </c>
      <c r="L3736" t="s">
        <v>2634</v>
      </c>
      <c r="M3736" t="s">
        <v>56</v>
      </c>
      <c r="N3736" t="s">
        <v>2594</v>
      </c>
      <c r="O3736" t="s">
        <v>131</v>
      </c>
      <c r="P3736" t="s">
        <v>53</v>
      </c>
      <c r="Q3736" t="s">
        <v>143</v>
      </c>
      <c r="R3736">
        <v>2</v>
      </c>
      <c r="S3736">
        <v>999</v>
      </c>
      <c r="T3736">
        <v>0.2</v>
      </c>
      <c r="U3736">
        <v>1598.4</v>
      </c>
      <c r="V3736">
        <v>1040</v>
      </c>
      <c r="W3736">
        <v>558.4</v>
      </c>
      <c r="X3736" t="s">
        <v>73</v>
      </c>
      <c r="Y3736" t="s">
        <v>68</v>
      </c>
      <c r="Z3736" t="s">
        <v>159</v>
      </c>
      <c r="AA3736" t="s">
        <v>171</v>
      </c>
      <c r="AB3736">
        <v>4.5</v>
      </c>
      <c r="AC3736">
        <v>50</v>
      </c>
      <c r="AD3736">
        <v>136.31</v>
      </c>
      <c r="AE3736">
        <f t="shared" si="116"/>
        <v>372.09</v>
      </c>
      <c r="AF3736" t="str">
        <f t="shared" si="117"/>
        <v>2026-04</v>
      </c>
      <c r="AG3736">
        <f>SUBTOTAL(103,A3736)</f>
        <v>1</v>
      </c>
    </row>
    <row r="3737" spans="1:33" x14ac:dyDescent="0.3">
      <c r="A3737" t="s">
        <v>6360</v>
      </c>
      <c r="B3737" s="13">
        <v>46138</v>
      </c>
      <c r="C3737">
        <v>2026</v>
      </c>
      <c r="D3737">
        <v>4</v>
      </c>
      <c r="E3737" t="s">
        <v>3328</v>
      </c>
      <c r="F3737" t="s">
        <v>3329</v>
      </c>
      <c r="G3737" t="s">
        <v>1305</v>
      </c>
      <c r="H3737" t="s">
        <v>1306</v>
      </c>
      <c r="I3737" t="s">
        <v>86</v>
      </c>
      <c r="J3737">
        <v>57</v>
      </c>
      <c r="K3737" t="s">
        <v>83</v>
      </c>
      <c r="L3737" t="s">
        <v>2599</v>
      </c>
      <c r="M3737" t="s">
        <v>62</v>
      </c>
      <c r="N3737" t="s">
        <v>2594</v>
      </c>
      <c r="O3737" t="s">
        <v>131</v>
      </c>
      <c r="P3737" t="s">
        <v>53</v>
      </c>
      <c r="Q3737" t="s">
        <v>143</v>
      </c>
      <c r="R3737">
        <v>3</v>
      </c>
      <c r="S3737">
        <v>999</v>
      </c>
      <c r="T3737">
        <v>0.1</v>
      </c>
      <c r="U3737">
        <v>2697.3</v>
      </c>
      <c r="V3737">
        <v>1560</v>
      </c>
      <c r="W3737">
        <v>1137.3</v>
      </c>
      <c r="X3737" t="s">
        <v>73</v>
      </c>
      <c r="Y3737" t="s">
        <v>68</v>
      </c>
      <c r="Z3737" t="s">
        <v>161</v>
      </c>
      <c r="AA3737" t="s">
        <v>171</v>
      </c>
      <c r="AB3737">
        <v>3.6</v>
      </c>
      <c r="AC3737">
        <v>40</v>
      </c>
      <c r="AD3737">
        <v>121.19</v>
      </c>
      <c r="AE3737">
        <f t="shared" si="116"/>
        <v>976.1099999999999</v>
      </c>
      <c r="AF3737" t="str">
        <f t="shared" si="117"/>
        <v>2026-04</v>
      </c>
      <c r="AG3737">
        <f>SUBTOTAL(103,A3737)</f>
        <v>1</v>
      </c>
    </row>
    <row r="3738" spans="1:33" x14ac:dyDescent="0.3">
      <c r="A3738" t="s">
        <v>6361</v>
      </c>
      <c r="B3738" s="13">
        <v>46138</v>
      </c>
      <c r="C3738">
        <v>2026</v>
      </c>
      <c r="D3738">
        <v>4</v>
      </c>
      <c r="E3738" t="s">
        <v>3328</v>
      </c>
      <c r="F3738" t="s">
        <v>3329</v>
      </c>
      <c r="G3738" t="s">
        <v>1311</v>
      </c>
      <c r="H3738" t="s">
        <v>1312</v>
      </c>
      <c r="I3738" t="s">
        <v>85</v>
      </c>
      <c r="J3738">
        <v>49</v>
      </c>
      <c r="K3738" t="s">
        <v>83</v>
      </c>
      <c r="L3738" t="s">
        <v>90</v>
      </c>
      <c r="M3738" t="s">
        <v>55</v>
      </c>
      <c r="N3738" t="s">
        <v>2657</v>
      </c>
      <c r="O3738" t="s">
        <v>134</v>
      </c>
      <c r="P3738" t="s">
        <v>49</v>
      </c>
      <c r="Q3738" t="s">
        <v>140</v>
      </c>
      <c r="R3738">
        <v>2</v>
      </c>
      <c r="S3738">
        <v>599</v>
      </c>
      <c r="T3738">
        <v>0.25</v>
      </c>
      <c r="U3738">
        <v>898.5</v>
      </c>
      <c r="V3738">
        <v>500</v>
      </c>
      <c r="W3738">
        <v>398.5</v>
      </c>
      <c r="X3738" t="s">
        <v>77</v>
      </c>
      <c r="Y3738" t="s">
        <v>68</v>
      </c>
      <c r="Z3738" t="s">
        <v>159</v>
      </c>
      <c r="AA3738" t="s">
        <v>171</v>
      </c>
      <c r="AB3738">
        <v>3.9</v>
      </c>
      <c r="AC3738">
        <v>100</v>
      </c>
      <c r="AD3738">
        <v>47.43</v>
      </c>
      <c r="AE3738">
        <f t="shared" si="116"/>
        <v>251.07</v>
      </c>
      <c r="AF3738" t="str">
        <f t="shared" si="117"/>
        <v>2026-04</v>
      </c>
      <c r="AG3738">
        <f>SUBTOTAL(103,A3738)</f>
        <v>1</v>
      </c>
    </row>
    <row r="3739" spans="1:33" x14ac:dyDescent="0.3">
      <c r="A3739" t="s">
        <v>6362</v>
      </c>
      <c r="B3739" s="13">
        <v>46138</v>
      </c>
      <c r="C3739">
        <v>2026</v>
      </c>
      <c r="D3739">
        <v>4</v>
      </c>
      <c r="E3739" t="s">
        <v>3328</v>
      </c>
      <c r="F3739" t="s">
        <v>3329</v>
      </c>
      <c r="G3739" t="s">
        <v>1137</v>
      </c>
      <c r="H3739" t="s">
        <v>1138</v>
      </c>
      <c r="I3739" t="s">
        <v>86</v>
      </c>
      <c r="J3739">
        <v>44</v>
      </c>
      <c r="K3739" t="s">
        <v>82</v>
      </c>
      <c r="L3739" t="s">
        <v>100</v>
      </c>
      <c r="M3739" t="s">
        <v>56</v>
      </c>
      <c r="N3739" t="s">
        <v>2606</v>
      </c>
      <c r="O3739" t="s">
        <v>120</v>
      </c>
      <c r="P3739" t="s">
        <v>49</v>
      </c>
      <c r="Q3739" t="s">
        <v>140</v>
      </c>
      <c r="R3739">
        <v>3</v>
      </c>
      <c r="S3739">
        <v>2799</v>
      </c>
      <c r="T3739">
        <v>0.05</v>
      </c>
      <c r="U3739">
        <v>7977.15</v>
      </c>
      <c r="V3739">
        <v>4950</v>
      </c>
      <c r="W3739">
        <v>3027.15</v>
      </c>
      <c r="X3739" t="s">
        <v>74</v>
      </c>
      <c r="Y3739" t="s">
        <v>70</v>
      </c>
      <c r="Z3739" t="s">
        <v>162</v>
      </c>
      <c r="AA3739" t="s">
        <v>171</v>
      </c>
      <c r="AB3739">
        <v>4</v>
      </c>
      <c r="AC3739">
        <v>50</v>
      </c>
      <c r="AD3739">
        <v>210.87</v>
      </c>
      <c r="AE3739">
        <f t="shared" si="116"/>
        <v>2766.28</v>
      </c>
      <c r="AF3739" t="str">
        <f t="shared" si="117"/>
        <v>2026-04</v>
      </c>
      <c r="AG3739">
        <f>SUBTOTAL(103,A3739)</f>
        <v>1</v>
      </c>
    </row>
    <row r="3740" spans="1:33" x14ac:dyDescent="0.3">
      <c r="A3740" t="s">
        <v>6363</v>
      </c>
      <c r="B3740" s="13">
        <v>46138</v>
      </c>
      <c r="C3740">
        <v>2026</v>
      </c>
      <c r="D3740">
        <v>4</v>
      </c>
      <c r="E3740" t="s">
        <v>3328</v>
      </c>
      <c r="F3740" t="s">
        <v>3329</v>
      </c>
      <c r="G3740" t="s">
        <v>661</v>
      </c>
      <c r="H3740" t="s">
        <v>662</v>
      </c>
      <c r="I3740" t="s">
        <v>85</v>
      </c>
      <c r="J3740">
        <v>46</v>
      </c>
      <c r="K3740" t="s">
        <v>83</v>
      </c>
      <c r="L3740" t="s">
        <v>2589</v>
      </c>
      <c r="M3740" t="s">
        <v>61</v>
      </c>
      <c r="N3740" t="s">
        <v>2584</v>
      </c>
      <c r="O3740" t="s">
        <v>121</v>
      </c>
      <c r="P3740" t="s">
        <v>50</v>
      </c>
      <c r="Q3740" t="s">
        <v>144</v>
      </c>
      <c r="R3740">
        <v>2</v>
      </c>
      <c r="S3740">
        <v>2999</v>
      </c>
      <c r="T3740">
        <v>0.05</v>
      </c>
      <c r="U3740">
        <v>5698.1</v>
      </c>
      <c r="V3740">
        <v>3400</v>
      </c>
      <c r="W3740">
        <v>2298.1</v>
      </c>
      <c r="X3740" t="s">
        <v>73</v>
      </c>
      <c r="Y3740" t="s">
        <v>68</v>
      </c>
      <c r="Z3740" t="s">
        <v>158</v>
      </c>
      <c r="AA3740" t="s">
        <v>171</v>
      </c>
      <c r="AB3740">
        <v>4.0999999999999996</v>
      </c>
      <c r="AC3740">
        <v>60</v>
      </c>
      <c r="AD3740">
        <v>524.34</v>
      </c>
      <c r="AE3740">
        <f t="shared" si="116"/>
        <v>1713.7599999999998</v>
      </c>
      <c r="AF3740" t="str">
        <f t="shared" si="117"/>
        <v>2026-04</v>
      </c>
      <c r="AG3740">
        <f>SUBTOTAL(103,A3740)</f>
        <v>1</v>
      </c>
    </row>
    <row r="3741" spans="1:33" x14ac:dyDescent="0.3">
      <c r="A3741" t="s">
        <v>6364</v>
      </c>
      <c r="B3741" s="13">
        <v>46138</v>
      </c>
      <c r="C3741">
        <v>2026</v>
      </c>
      <c r="D3741">
        <v>4</v>
      </c>
      <c r="E3741" t="s">
        <v>3328</v>
      </c>
      <c r="F3741" t="s">
        <v>3329</v>
      </c>
      <c r="G3741" t="s">
        <v>515</v>
      </c>
      <c r="H3741" t="s">
        <v>516</v>
      </c>
      <c r="I3741" t="s">
        <v>85</v>
      </c>
      <c r="J3741">
        <v>22</v>
      </c>
      <c r="K3741" t="s">
        <v>80</v>
      </c>
      <c r="L3741" t="s">
        <v>2634</v>
      </c>
      <c r="M3741" t="s">
        <v>56</v>
      </c>
      <c r="N3741" t="s">
        <v>2580</v>
      </c>
      <c r="O3741" t="s">
        <v>118</v>
      </c>
      <c r="P3741" t="s">
        <v>48</v>
      </c>
      <c r="Q3741" t="s">
        <v>142</v>
      </c>
      <c r="R3741">
        <v>4</v>
      </c>
      <c r="S3741">
        <v>3999</v>
      </c>
      <c r="T3741">
        <v>0.15</v>
      </c>
      <c r="U3741">
        <v>13596.6</v>
      </c>
      <c r="V3741">
        <v>9600</v>
      </c>
      <c r="W3741">
        <v>3996.6</v>
      </c>
      <c r="X3741" t="s">
        <v>73</v>
      </c>
      <c r="Y3741" t="s">
        <v>68</v>
      </c>
      <c r="Z3741" t="s">
        <v>160</v>
      </c>
      <c r="AA3741" t="s">
        <v>166</v>
      </c>
      <c r="AB3741">
        <v>3.3</v>
      </c>
      <c r="AC3741">
        <v>60</v>
      </c>
      <c r="AD3741">
        <v>1398.95</v>
      </c>
      <c r="AE3741">
        <f t="shared" si="116"/>
        <v>2537.6499999999996</v>
      </c>
      <c r="AF3741" t="str">
        <f t="shared" si="117"/>
        <v>2026-04</v>
      </c>
      <c r="AG3741">
        <f>SUBTOTAL(103,A3741)</f>
        <v>1</v>
      </c>
    </row>
    <row r="3742" spans="1:33" x14ac:dyDescent="0.3">
      <c r="A3742" t="s">
        <v>6365</v>
      </c>
      <c r="B3742" s="13">
        <v>46138</v>
      </c>
      <c r="C3742">
        <v>2026</v>
      </c>
      <c r="D3742">
        <v>4</v>
      </c>
      <c r="E3742" t="s">
        <v>3328</v>
      </c>
      <c r="F3742" t="s">
        <v>3329</v>
      </c>
      <c r="G3742" t="s">
        <v>1705</v>
      </c>
      <c r="H3742" t="s">
        <v>1706</v>
      </c>
      <c r="I3742" t="s">
        <v>85</v>
      </c>
      <c r="J3742">
        <v>48</v>
      </c>
      <c r="K3742" t="s">
        <v>83</v>
      </c>
      <c r="L3742" t="s">
        <v>92</v>
      </c>
      <c r="M3742" t="s">
        <v>59</v>
      </c>
      <c r="N3742" t="s">
        <v>2574</v>
      </c>
      <c r="O3742" t="s">
        <v>130</v>
      </c>
      <c r="P3742" t="s">
        <v>50</v>
      </c>
      <c r="Q3742" t="s">
        <v>53</v>
      </c>
      <c r="R3742">
        <v>2</v>
      </c>
      <c r="S3742">
        <v>1199</v>
      </c>
      <c r="T3742">
        <v>0.1</v>
      </c>
      <c r="U3742">
        <v>2158.1999999999998</v>
      </c>
      <c r="V3742">
        <v>1100</v>
      </c>
      <c r="W3742">
        <v>1058.2</v>
      </c>
      <c r="X3742" t="s">
        <v>74</v>
      </c>
      <c r="Y3742" t="s">
        <v>68</v>
      </c>
      <c r="Z3742" t="s">
        <v>159</v>
      </c>
      <c r="AA3742" t="s">
        <v>167</v>
      </c>
      <c r="AB3742">
        <v>4.4000000000000004</v>
      </c>
      <c r="AC3742">
        <v>50</v>
      </c>
      <c r="AD3742">
        <v>134.72999999999999</v>
      </c>
      <c r="AE3742">
        <f t="shared" si="116"/>
        <v>873.47</v>
      </c>
      <c r="AF3742" t="str">
        <f t="shared" si="117"/>
        <v>2026-04</v>
      </c>
      <c r="AG3742">
        <f>SUBTOTAL(103,A3742)</f>
        <v>1</v>
      </c>
    </row>
    <row r="3743" spans="1:33" x14ac:dyDescent="0.3">
      <c r="A3743" t="s">
        <v>6366</v>
      </c>
      <c r="B3743" s="13">
        <v>46139</v>
      </c>
      <c r="C3743">
        <v>2026</v>
      </c>
      <c r="D3743">
        <v>4</v>
      </c>
      <c r="E3743" t="s">
        <v>3328</v>
      </c>
      <c r="F3743" t="s">
        <v>3329</v>
      </c>
      <c r="G3743" t="s">
        <v>1981</v>
      </c>
      <c r="H3743" t="s">
        <v>1982</v>
      </c>
      <c r="I3743" t="s">
        <v>86</v>
      </c>
      <c r="J3743">
        <v>60</v>
      </c>
      <c r="K3743" t="s">
        <v>83</v>
      </c>
      <c r="L3743" t="s">
        <v>91</v>
      </c>
      <c r="M3743" t="s">
        <v>55</v>
      </c>
      <c r="N3743" t="s">
        <v>2590</v>
      </c>
      <c r="O3743" t="s">
        <v>127</v>
      </c>
      <c r="P3743" t="s">
        <v>51</v>
      </c>
      <c r="Q3743" t="s">
        <v>148</v>
      </c>
      <c r="R3743">
        <v>1</v>
      </c>
      <c r="S3743">
        <v>1599</v>
      </c>
      <c r="T3743">
        <v>0</v>
      </c>
      <c r="U3743">
        <v>1599</v>
      </c>
      <c r="V3743">
        <v>800</v>
      </c>
      <c r="W3743">
        <v>799</v>
      </c>
      <c r="X3743" t="s">
        <v>74</v>
      </c>
      <c r="Y3743" t="s">
        <v>69</v>
      </c>
      <c r="Z3743" t="s">
        <v>159</v>
      </c>
      <c r="AA3743" t="s">
        <v>169</v>
      </c>
      <c r="AB3743">
        <v>4.0999999999999996</v>
      </c>
      <c r="AC3743">
        <v>50</v>
      </c>
      <c r="AD3743">
        <v>128.88</v>
      </c>
      <c r="AE3743">
        <f t="shared" si="116"/>
        <v>620.12</v>
      </c>
      <c r="AF3743" t="str">
        <f t="shared" si="117"/>
        <v>2026-04</v>
      </c>
      <c r="AG3743">
        <f>SUBTOTAL(103,A3743)</f>
        <v>1</v>
      </c>
    </row>
    <row r="3744" spans="1:33" x14ac:dyDescent="0.3">
      <c r="A3744" t="s">
        <v>6367</v>
      </c>
      <c r="B3744" s="13">
        <v>46139</v>
      </c>
      <c r="C3744">
        <v>2026</v>
      </c>
      <c r="D3744">
        <v>4</v>
      </c>
      <c r="E3744" t="s">
        <v>3328</v>
      </c>
      <c r="F3744" t="s">
        <v>3329</v>
      </c>
      <c r="G3744" t="s">
        <v>1781</v>
      </c>
      <c r="H3744" t="s">
        <v>1782</v>
      </c>
      <c r="I3744" t="s">
        <v>85</v>
      </c>
      <c r="J3744">
        <v>29</v>
      </c>
      <c r="K3744" t="s">
        <v>81</v>
      </c>
      <c r="L3744" t="s">
        <v>90</v>
      </c>
      <c r="M3744" t="s">
        <v>55</v>
      </c>
      <c r="N3744" t="s">
        <v>2653</v>
      </c>
      <c r="O3744" t="s">
        <v>132</v>
      </c>
      <c r="P3744" t="s">
        <v>52</v>
      </c>
      <c r="Q3744" t="s">
        <v>150</v>
      </c>
      <c r="R3744">
        <v>1</v>
      </c>
      <c r="S3744">
        <v>899</v>
      </c>
      <c r="T3744">
        <v>0</v>
      </c>
      <c r="U3744">
        <v>899</v>
      </c>
      <c r="V3744">
        <v>420</v>
      </c>
      <c r="W3744">
        <v>479</v>
      </c>
      <c r="X3744" t="s">
        <v>73</v>
      </c>
      <c r="Y3744" t="s">
        <v>68</v>
      </c>
      <c r="Z3744" t="s">
        <v>159</v>
      </c>
      <c r="AA3744" t="s">
        <v>167</v>
      </c>
      <c r="AB3744">
        <v>4.3</v>
      </c>
      <c r="AC3744">
        <v>60</v>
      </c>
      <c r="AD3744">
        <v>84.3</v>
      </c>
      <c r="AE3744">
        <f t="shared" si="116"/>
        <v>334.7</v>
      </c>
      <c r="AF3744" t="str">
        <f t="shared" si="117"/>
        <v>2026-04</v>
      </c>
      <c r="AG3744">
        <f>SUBTOTAL(103,A3744)</f>
        <v>1</v>
      </c>
    </row>
    <row r="3745" spans="1:33" x14ac:dyDescent="0.3">
      <c r="A3745" t="s">
        <v>6368</v>
      </c>
      <c r="B3745" s="13">
        <v>46139</v>
      </c>
      <c r="C3745">
        <v>2026</v>
      </c>
      <c r="D3745">
        <v>4</v>
      </c>
      <c r="E3745" t="s">
        <v>3328</v>
      </c>
      <c r="F3745" t="s">
        <v>3329</v>
      </c>
      <c r="G3745" t="s">
        <v>1171</v>
      </c>
      <c r="H3745" t="s">
        <v>1172</v>
      </c>
      <c r="I3745" t="s">
        <v>86</v>
      </c>
      <c r="J3745">
        <v>52</v>
      </c>
      <c r="K3745" t="s">
        <v>83</v>
      </c>
      <c r="L3745" t="s">
        <v>92</v>
      </c>
      <c r="M3745" t="s">
        <v>59</v>
      </c>
      <c r="N3745" t="s">
        <v>2594</v>
      </c>
      <c r="O3745" t="s">
        <v>131</v>
      </c>
      <c r="P3745" t="s">
        <v>53</v>
      </c>
      <c r="Q3745" t="s">
        <v>143</v>
      </c>
      <c r="R3745">
        <v>2</v>
      </c>
      <c r="S3745">
        <v>999</v>
      </c>
      <c r="T3745">
        <v>0.05</v>
      </c>
      <c r="U3745">
        <v>1898.1</v>
      </c>
      <c r="V3745">
        <v>1040</v>
      </c>
      <c r="W3745">
        <v>858.1</v>
      </c>
      <c r="X3745" t="s">
        <v>73</v>
      </c>
      <c r="Y3745" t="s">
        <v>68</v>
      </c>
      <c r="Z3745" t="s">
        <v>161</v>
      </c>
      <c r="AA3745" t="s">
        <v>167</v>
      </c>
      <c r="AB3745">
        <v>3.7</v>
      </c>
      <c r="AC3745">
        <v>60</v>
      </c>
      <c r="AD3745">
        <v>156.27000000000001</v>
      </c>
      <c r="AE3745">
        <f t="shared" si="116"/>
        <v>641.83000000000004</v>
      </c>
      <c r="AF3745" t="str">
        <f t="shared" si="117"/>
        <v>2026-04</v>
      </c>
      <c r="AG3745">
        <f>SUBTOTAL(103,A3745)</f>
        <v>1</v>
      </c>
    </row>
    <row r="3746" spans="1:33" x14ac:dyDescent="0.3">
      <c r="A3746" t="s">
        <v>6369</v>
      </c>
      <c r="B3746" s="13">
        <v>46139</v>
      </c>
      <c r="C3746">
        <v>2026</v>
      </c>
      <c r="D3746">
        <v>4</v>
      </c>
      <c r="E3746" t="s">
        <v>3328</v>
      </c>
      <c r="F3746" t="s">
        <v>3329</v>
      </c>
      <c r="G3746" t="s">
        <v>1345</v>
      </c>
      <c r="H3746" t="s">
        <v>1346</v>
      </c>
      <c r="I3746" t="s">
        <v>85</v>
      </c>
      <c r="J3746">
        <v>28</v>
      </c>
      <c r="K3746" t="s">
        <v>81</v>
      </c>
      <c r="L3746" t="s">
        <v>2646</v>
      </c>
      <c r="M3746" t="s">
        <v>63</v>
      </c>
      <c r="N3746" t="s">
        <v>2606</v>
      </c>
      <c r="O3746" t="s">
        <v>120</v>
      </c>
      <c r="P3746" t="s">
        <v>49</v>
      </c>
      <c r="Q3746" t="s">
        <v>140</v>
      </c>
      <c r="R3746">
        <v>4</v>
      </c>
      <c r="S3746">
        <v>2799</v>
      </c>
      <c r="T3746">
        <v>0.15</v>
      </c>
      <c r="U3746">
        <v>9516.6</v>
      </c>
      <c r="V3746">
        <v>6600</v>
      </c>
      <c r="W3746">
        <v>2916.6</v>
      </c>
      <c r="X3746" t="s">
        <v>76</v>
      </c>
      <c r="Y3746" t="s">
        <v>68</v>
      </c>
      <c r="Z3746" t="s">
        <v>158</v>
      </c>
      <c r="AA3746" t="s">
        <v>168</v>
      </c>
      <c r="AB3746">
        <v>4.0999999999999996</v>
      </c>
      <c r="AC3746">
        <v>60</v>
      </c>
      <c r="AD3746">
        <v>667.69</v>
      </c>
      <c r="AE3746">
        <f t="shared" si="116"/>
        <v>2188.91</v>
      </c>
      <c r="AF3746" t="str">
        <f t="shared" si="117"/>
        <v>2026-04</v>
      </c>
      <c r="AG3746">
        <f>SUBTOTAL(103,A3746)</f>
        <v>1</v>
      </c>
    </row>
    <row r="3747" spans="1:33" x14ac:dyDescent="0.3">
      <c r="A3747" t="s">
        <v>6370</v>
      </c>
      <c r="B3747" s="13">
        <v>46139</v>
      </c>
      <c r="C3747">
        <v>2026</v>
      </c>
      <c r="D3747">
        <v>4</v>
      </c>
      <c r="E3747" t="s">
        <v>3328</v>
      </c>
      <c r="F3747" t="s">
        <v>3329</v>
      </c>
      <c r="G3747" t="s">
        <v>577</v>
      </c>
      <c r="H3747" t="s">
        <v>578</v>
      </c>
      <c r="I3747" t="s">
        <v>85</v>
      </c>
      <c r="J3747">
        <v>41</v>
      </c>
      <c r="K3747" t="s">
        <v>82</v>
      </c>
      <c r="L3747" t="s">
        <v>100</v>
      </c>
      <c r="M3747" t="s">
        <v>56</v>
      </c>
      <c r="N3747" t="s">
        <v>2590</v>
      </c>
      <c r="O3747" t="s">
        <v>127</v>
      </c>
      <c r="P3747" t="s">
        <v>51</v>
      </c>
      <c r="Q3747" t="s">
        <v>148</v>
      </c>
      <c r="R3747">
        <v>4</v>
      </c>
      <c r="S3747">
        <v>1599</v>
      </c>
      <c r="T3747">
        <v>0.15</v>
      </c>
      <c r="U3747">
        <v>5436.6</v>
      </c>
      <c r="V3747">
        <v>3200</v>
      </c>
      <c r="W3747">
        <v>2236.6</v>
      </c>
      <c r="X3747" t="s">
        <v>75</v>
      </c>
      <c r="Y3747" t="s">
        <v>68</v>
      </c>
      <c r="Z3747" t="s">
        <v>162</v>
      </c>
      <c r="AA3747" t="s">
        <v>170</v>
      </c>
      <c r="AB3747">
        <v>4.3</v>
      </c>
      <c r="AC3747">
        <v>60</v>
      </c>
      <c r="AD3747">
        <v>527.92999999999995</v>
      </c>
      <c r="AE3747">
        <f t="shared" si="116"/>
        <v>1648.67</v>
      </c>
      <c r="AF3747" t="str">
        <f t="shared" si="117"/>
        <v>2026-04</v>
      </c>
      <c r="AG3747">
        <f>SUBTOTAL(103,A3747)</f>
        <v>1</v>
      </c>
    </row>
    <row r="3748" spans="1:33" x14ac:dyDescent="0.3">
      <c r="A3748" t="s">
        <v>6371</v>
      </c>
      <c r="B3748" s="13">
        <v>46139</v>
      </c>
      <c r="C3748">
        <v>2026</v>
      </c>
      <c r="D3748">
        <v>4</v>
      </c>
      <c r="E3748" t="s">
        <v>3328</v>
      </c>
      <c r="F3748" t="s">
        <v>3329</v>
      </c>
      <c r="G3748" t="s">
        <v>703</v>
      </c>
      <c r="H3748" t="s">
        <v>704</v>
      </c>
      <c r="I3748" t="s">
        <v>86</v>
      </c>
      <c r="J3748">
        <v>49</v>
      </c>
      <c r="K3748" t="s">
        <v>83</v>
      </c>
      <c r="L3748" t="s">
        <v>99</v>
      </c>
      <c r="M3748" t="s">
        <v>58</v>
      </c>
      <c r="N3748" t="s">
        <v>2657</v>
      </c>
      <c r="O3748" t="s">
        <v>134</v>
      </c>
      <c r="P3748" t="s">
        <v>49</v>
      </c>
      <c r="Q3748" t="s">
        <v>140</v>
      </c>
      <c r="R3748">
        <v>5</v>
      </c>
      <c r="S3748">
        <v>599</v>
      </c>
      <c r="T3748">
        <v>0.2</v>
      </c>
      <c r="U3748">
        <v>2396</v>
      </c>
      <c r="V3748">
        <v>1250</v>
      </c>
      <c r="W3748">
        <v>1146</v>
      </c>
      <c r="X3748" t="s">
        <v>76</v>
      </c>
      <c r="Y3748" t="s">
        <v>68</v>
      </c>
      <c r="Z3748" t="s">
        <v>163</v>
      </c>
      <c r="AA3748" t="s">
        <v>166</v>
      </c>
      <c r="AB3748">
        <v>3.3</v>
      </c>
      <c r="AC3748">
        <v>100</v>
      </c>
      <c r="AD3748">
        <v>85.15</v>
      </c>
      <c r="AE3748">
        <f t="shared" si="116"/>
        <v>960.85</v>
      </c>
      <c r="AF3748" t="str">
        <f t="shared" si="117"/>
        <v>2026-04</v>
      </c>
      <c r="AG3748">
        <f>SUBTOTAL(103,A3748)</f>
        <v>1</v>
      </c>
    </row>
    <row r="3749" spans="1:33" x14ac:dyDescent="0.3">
      <c r="A3749" t="s">
        <v>6372</v>
      </c>
      <c r="B3749" s="13">
        <v>46139</v>
      </c>
      <c r="C3749">
        <v>2026</v>
      </c>
      <c r="D3749">
        <v>4</v>
      </c>
      <c r="E3749" t="s">
        <v>3328</v>
      </c>
      <c r="F3749" t="s">
        <v>3329</v>
      </c>
      <c r="G3749" t="s">
        <v>357</v>
      </c>
      <c r="H3749" t="s">
        <v>358</v>
      </c>
      <c r="I3749" t="s">
        <v>85</v>
      </c>
      <c r="J3749">
        <v>34</v>
      </c>
      <c r="K3749" t="s">
        <v>81</v>
      </c>
      <c r="L3749" t="s">
        <v>92</v>
      </c>
      <c r="M3749" t="s">
        <v>59</v>
      </c>
      <c r="N3749" t="s">
        <v>2577</v>
      </c>
      <c r="O3749" t="s">
        <v>129</v>
      </c>
      <c r="P3749" t="s">
        <v>49</v>
      </c>
      <c r="Q3749" t="s">
        <v>149</v>
      </c>
      <c r="R3749">
        <v>1</v>
      </c>
      <c r="S3749">
        <v>1299</v>
      </c>
      <c r="T3749">
        <v>0.1</v>
      </c>
      <c r="U3749">
        <v>1169.0999999999999</v>
      </c>
      <c r="V3749">
        <v>650</v>
      </c>
      <c r="W3749">
        <v>519.1</v>
      </c>
      <c r="X3749" t="s">
        <v>73</v>
      </c>
      <c r="Y3749" t="s">
        <v>68</v>
      </c>
      <c r="Z3749" t="s">
        <v>160</v>
      </c>
      <c r="AA3749" t="s">
        <v>166</v>
      </c>
      <c r="AB3749">
        <v>3.8</v>
      </c>
      <c r="AC3749">
        <v>80</v>
      </c>
      <c r="AD3749">
        <v>70.03</v>
      </c>
      <c r="AE3749">
        <f t="shared" si="116"/>
        <v>369.07000000000005</v>
      </c>
      <c r="AF3749" t="str">
        <f t="shared" si="117"/>
        <v>2026-04</v>
      </c>
      <c r="AG3749">
        <f>SUBTOTAL(103,A3749)</f>
        <v>1</v>
      </c>
    </row>
    <row r="3750" spans="1:33" x14ac:dyDescent="0.3">
      <c r="A3750" t="s">
        <v>6373</v>
      </c>
      <c r="B3750" s="13">
        <v>46139</v>
      </c>
      <c r="C3750">
        <v>2026</v>
      </c>
      <c r="D3750">
        <v>4</v>
      </c>
      <c r="E3750" t="s">
        <v>3328</v>
      </c>
      <c r="F3750" t="s">
        <v>3329</v>
      </c>
      <c r="G3750" t="s">
        <v>1923</v>
      </c>
      <c r="H3750" t="s">
        <v>1924</v>
      </c>
      <c r="I3750" t="s">
        <v>85</v>
      </c>
      <c r="J3750">
        <v>43</v>
      </c>
      <c r="K3750" t="s">
        <v>82</v>
      </c>
      <c r="L3750" t="s">
        <v>98</v>
      </c>
      <c r="M3750" t="s">
        <v>55</v>
      </c>
      <c r="N3750" t="s">
        <v>2584</v>
      </c>
      <c r="O3750" t="s">
        <v>121</v>
      </c>
      <c r="P3750" t="s">
        <v>50</v>
      </c>
      <c r="Q3750" t="s">
        <v>144</v>
      </c>
      <c r="R3750">
        <v>3</v>
      </c>
      <c r="S3750">
        <v>2999</v>
      </c>
      <c r="T3750">
        <v>0.15</v>
      </c>
      <c r="U3750">
        <v>7647.45</v>
      </c>
      <c r="V3750">
        <v>5100</v>
      </c>
      <c r="W3750">
        <v>2547.4499999999998</v>
      </c>
      <c r="X3750" t="s">
        <v>73</v>
      </c>
      <c r="Y3750" t="s">
        <v>68</v>
      </c>
      <c r="Z3750" t="s">
        <v>163</v>
      </c>
      <c r="AA3750" t="s">
        <v>166</v>
      </c>
      <c r="AB3750">
        <v>3.8</v>
      </c>
      <c r="AC3750">
        <v>80</v>
      </c>
      <c r="AD3750">
        <v>445.18</v>
      </c>
      <c r="AE3750">
        <f t="shared" si="116"/>
        <v>2022.2699999999998</v>
      </c>
      <c r="AF3750" t="str">
        <f t="shared" si="117"/>
        <v>2026-04</v>
      </c>
      <c r="AG3750">
        <f>SUBTOTAL(103,A3750)</f>
        <v>1</v>
      </c>
    </row>
    <row r="3751" spans="1:33" x14ac:dyDescent="0.3">
      <c r="A3751" t="s">
        <v>6374</v>
      </c>
      <c r="B3751" s="13">
        <v>46139</v>
      </c>
      <c r="C3751">
        <v>2026</v>
      </c>
      <c r="D3751">
        <v>4</v>
      </c>
      <c r="E3751" t="s">
        <v>3328</v>
      </c>
      <c r="F3751" t="s">
        <v>3329</v>
      </c>
      <c r="G3751" t="s">
        <v>2233</v>
      </c>
      <c r="H3751" t="s">
        <v>2234</v>
      </c>
      <c r="I3751" t="s">
        <v>85</v>
      </c>
      <c r="J3751">
        <v>40</v>
      </c>
      <c r="K3751" t="s">
        <v>82</v>
      </c>
      <c r="L3751" t="s">
        <v>2623</v>
      </c>
      <c r="M3751" t="s">
        <v>61</v>
      </c>
      <c r="N3751" t="s">
        <v>2653</v>
      </c>
      <c r="O3751" t="s">
        <v>132</v>
      </c>
      <c r="P3751" t="s">
        <v>52</v>
      </c>
      <c r="Q3751" t="s">
        <v>150</v>
      </c>
      <c r="R3751">
        <v>3</v>
      </c>
      <c r="S3751">
        <v>899</v>
      </c>
      <c r="T3751">
        <v>0.15</v>
      </c>
      <c r="U3751">
        <v>2292.4499999999998</v>
      </c>
      <c r="V3751">
        <v>1260</v>
      </c>
      <c r="W3751">
        <v>1032.45</v>
      </c>
      <c r="X3751" t="s">
        <v>73</v>
      </c>
      <c r="Y3751" t="s">
        <v>68</v>
      </c>
      <c r="Z3751" t="s">
        <v>161</v>
      </c>
      <c r="AA3751" t="s">
        <v>170</v>
      </c>
      <c r="AB3751">
        <v>3.4</v>
      </c>
      <c r="AC3751">
        <v>80</v>
      </c>
      <c r="AD3751">
        <v>105.85</v>
      </c>
      <c r="AE3751">
        <f t="shared" si="116"/>
        <v>846.6</v>
      </c>
      <c r="AF3751" t="str">
        <f t="shared" si="117"/>
        <v>2026-04</v>
      </c>
      <c r="AG3751">
        <f>SUBTOTAL(103,A3751)</f>
        <v>1</v>
      </c>
    </row>
    <row r="3752" spans="1:33" x14ac:dyDescent="0.3">
      <c r="A3752" t="s">
        <v>6375</v>
      </c>
      <c r="B3752" s="13">
        <v>46139</v>
      </c>
      <c r="C3752">
        <v>2026</v>
      </c>
      <c r="D3752">
        <v>4</v>
      </c>
      <c r="E3752" t="s">
        <v>3328</v>
      </c>
      <c r="F3752" t="s">
        <v>3329</v>
      </c>
      <c r="G3752" t="s">
        <v>419</v>
      </c>
      <c r="H3752" t="s">
        <v>420</v>
      </c>
      <c r="I3752" t="s">
        <v>87</v>
      </c>
      <c r="J3752">
        <v>55</v>
      </c>
      <c r="K3752" t="s">
        <v>83</v>
      </c>
      <c r="L3752" t="s">
        <v>2679</v>
      </c>
      <c r="M3752" t="s">
        <v>60</v>
      </c>
      <c r="N3752" t="s">
        <v>2592</v>
      </c>
      <c r="O3752" t="s">
        <v>115</v>
      </c>
      <c r="P3752" t="s">
        <v>48</v>
      </c>
      <c r="Q3752" t="s">
        <v>137</v>
      </c>
      <c r="R3752">
        <v>2</v>
      </c>
      <c r="S3752">
        <v>12999</v>
      </c>
      <c r="T3752">
        <v>0.05</v>
      </c>
      <c r="U3752">
        <v>24698.1</v>
      </c>
      <c r="V3752">
        <v>18000</v>
      </c>
      <c r="W3752">
        <v>6698.1</v>
      </c>
      <c r="X3752" t="s">
        <v>73</v>
      </c>
      <c r="Y3752" t="s">
        <v>68</v>
      </c>
      <c r="Z3752" t="s">
        <v>161</v>
      </c>
      <c r="AA3752" t="s">
        <v>166</v>
      </c>
      <c r="AB3752">
        <v>3.4</v>
      </c>
      <c r="AC3752">
        <v>100</v>
      </c>
      <c r="AD3752">
        <v>2823.02</v>
      </c>
      <c r="AE3752">
        <f t="shared" si="116"/>
        <v>3775.0800000000004</v>
      </c>
      <c r="AF3752" t="str">
        <f t="shared" si="117"/>
        <v>2026-04</v>
      </c>
      <c r="AG3752">
        <f>SUBTOTAL(103,A3752)</f>
        <v>1</v>
      </c>
    </row>
    <row r="3753" spans="1:33" x14ac:dyDescent="0.3">
      <c r="A3753" t="s">
        <v>6376</v>
      </c>
      <c r="B3753" s="13">
        <v>46139</v>
      </c>
      <c r="C3753">
        <v>2026</v>
      </c>
      <c r="D3753">
        <v>4</v>
      </c>
      <c r="E3753" t="s">
        <v>3328</v>
      </c>
      <c r="F3753" t="s">
        <v>3329</v>
      </c>
      <c r="G3753" t="s">
        <v>1357</v>
      </c>
      <c r="H3753" t="s">
        <v>1358</v>
      </c>
      <c r="I3753" t="s">
        <v>85</v>
      </c>
      <c r="J3753">
        <v>41</v>
      </c>
      <c r="K3753" t="s">
        <v>82</v>
      </c>
      <c r="L3753" t="s">
        <v>2634</v>
      </c>
      <c r="M3753" t="s">
        <v>56</v>
      </c>
      <c r="N3753" t="s">
        <v>2647</v>
      </c>
      <c r="O3753" t="s">
        <v>133</v>
      </c>
      <c r="P3753" t="s">
        <v>50</v>
      </c>
      <c r="Q3753" t="s">
        <v>145</v>
      </c>
      <c r="R3753">
        <v>1</v>
      </c>
      <c r="S3753">
        <v>799</v>
      </c>
      <c r="T3753">
        <v>0.05</v>
      </c>
      <c r="U3753">
        <v>759.05</v>
      </c>
      <c r="V3753">
        <v>390</v>
      </c>
      <c r="W3753">
        <v>369.05</v>
      </c>
      <c r="X3753" t="s">
        <v>73</v>
      </c>
      <c r="Y3753" t="s">
        <v>68</v>
      </c>
      <c r="Z3753" t="s">
        <v>163</v>
      </c>
      <c r="AA3753" t="s">
        <v>169</v>
      </c>
      <c r="AB3753">
        <v>3.8</v>
      </c>
      <c r="AC3753">
        <v>50</v>
      </c>
      <c r="AD3753">
        <v>53.72</v>
      </c>
      <c r="AE3753">
        <f t="shared" si="116"/>
        <v>265.33000000000004</v>
      </c>
      <c r="AF3753" t="str">
        <f t="shared" si="117"/>
        <v>2026-04</v>
      </c>
      <c r="AG3753">
        <f>SUBTOTAL(103,A3753)</f>
        <v>1</v>
      </c>
    </row>
    <row r="3754" spans="1:33" x14ac:dyDescent="0.3">
      <c r="A3754" t="s">
        <v>6377</v>
      </c>
      <c r="B3754" s="13">
        <v>46139</v>
      </c>
      <c r="C3754">
        <v>2026</v>
      </c>
      <c r="D3754">
        <v>4</v>
      </c>
      <c r="E3754" t="s">
        <v>3328</v>
      </c>
      <c r="F3754" t="s">
        <v>3329</v>
      </c>
      <c r="G3754" t="s">
        <v>441</v>
      </c>
      <c r="H3754" t="s">
        <v>442</v>
      </c>
      <c r="I3754" t="s">
        <v>85</v>
      </c>
      <c r="J3754">
        <v>49</v>
      </c>
      <c r="K3754" t="s">
        <v>83</v>
      </c>
      <c r="L3754" t="s">
        <v>100</v>
      </c>
      <c r="M3754" t="s">
        <v>56</v>
      </c>
      <c r="N3754" t="s">
        <v>2653</v>
      </c>
      <c r="O3754" t="s">
        <v>132</v>
      </c>
      <c r="P3754" t="s">
        <v>52</v>
      </c>
      <c r="Q3754" t="s">
        <v>150</v>
      </c>
      <c r="R3754">
        <v>1</v>
      </c>
      <c r="S3754">
        <v>899</v>
      </c>
      <c r="T3754">
        <v>0.05</v>
      </c>
      <c r="U3754">
        <v>854.05</v>
      </c>
      <c r="V3754">
        <v>420</v>
      </c>
      <c r="W3754">
        <v>434.05</v>
      </c>
      <c r="X3754" t="s">
        <v>74</v>
      </c>
      <c r="Y3754" t="s">
        <v>68</v>
      </c>
      <c r="Z3754" t="s">
        <v>158</v>
      </c>
      <c r="AA3754" t="s">
        <v>166</v>
      </c>
      <c r="AB3754">
        <v>4.2</v>
      </c>
      <c r="AC3754">
        <v>50</v>
      </c>
      <c r="AD3754">
        <v>89.23</v>
      </c>
      <c r="AE3754">
        <f t="shared" si="116"/>
        <v>294.82</v>
      </c>
      <c r="AF3754" t="str">
        <f t="shared" si="117"/>
        <v>2026-04</v>
      </c>
      <c r="AG3754">
        <f>SUBTOTAL(103,A3754)</f>
        <v>1</v>
      </c>
    </row>
    <row r="3755" spans="1:33" x14ac:dyDescent="0.3">
      <c r="A3755" t="s">
        <v>6378</v>
      </c>
      <c r="B3755" s="13">
        <v>46140</v>
      </c>
      <c r="C3755">
        <v>2026</v>
      </c>
      <c r="D3755">
        <v>4</v>
      </c>
      <c r="E3755" t="s">
        <v>3328</v>
      </c>
      <c r="F3755" t="s">
        <v>3329</v>
      </c>
      <c r="G3755" t="s">
        <v>1141</v>
      </c>
      <c r="H3755" t="s">
        <v>1142</v>
      </c>
      <c r="I3755" t="s">
        <v>85</v>
      </c>
      <c r="J3755">
        <v>53</v>
      </c>
      <c r="K3755" t="s">
        <v>83</v>
      </c>
      <c r="L3755" t="s">
        <v>90</v>
      </c>
      <c r="M3755" t="s">
        <v>55</v>
      </c>
      <c r="N3755" t="s">
        <v>2594</v>
      </c>
      <c r="O3755" t="s">
        <v>131</v>
      </c>
      <c r="P3755" t="s">
        <v>53</v>
      </c>
      <c r="Q3755" t="s">
        <v>143</v>
      </c>
      <c r="R3755">
        <v>1</v>
      </c>
      <c r="S3755">
        <v>999</v>
      </c>
      <c r="T3755">
        <v>0.15</v>
      </c>
      <c r="U3755">
        <v>0</v>
      </c>
      <c r="V3755">
        <v>0</v>
      </c>
      <c r="W3755">
        <v>0</v>
      </c>
      <c r="X3755" t="s">
        <v>73</v>
      </c>
      <c r="Y3755" t="s">
        <v>71</v>
      </c>
      <c r="Z3755" t="s">
        <v>161</v>
      </c>
      <c r="AA3755" t="s">
        <v>170</v>
      </c>
      <c r="AB3755">
        <v>3.5</v>
      </c>
      <c r="AC3755">
        <v>60</v>
      </c>
      <c r="AD3755">
        <v>101.05</v>
      </c>
      <c r="AE3755">
        <f t="shared" si="116"/>
        <v>-161.05000000000001</v>
      </c>
      <c r="AF3755" t="str">
        <f t="shared" si="117"/>
        <v>2026-04</v>
      </c>
      <c r="AG3755">
        <f>SUBTOTAL(103,A3755)</f>
        <v>1</v>
      </c>
    </row>
    <row r="3756" spans="1:33" x14ac:dyDescent="0.3">
      <c r="A3756" t="s">
        <v>6379</v>
      </c>
      <c r="B3756" s="13">
        <v>46140</v>
      </c>
      <c r="C3756">
        <v>2026</v>
      </c>
      <c r="D3756">
        <v>4</v>
      </c>
      <c r="E3756" t="s">
        <v>3328</v>
      </c>
      <c r="F3756" t="s">
        <v>3329</v>
      </c>
      <c r="G3756" t="s">
        <v>851</v>
      </c>
      <c r="H3756" t="s">
        <v>852</v>
      </c>
      <c r="I3756" t="s">
        <v>86</v>
      </c>
      <c r="J3756">
        <v>23</v>
      </c>
      <c r="K3756" t="s">
        <v>80</v>
      </c>
      <c r="L3756" t="s">
        <v>59</v>
      </c>
      <c r="M3756" t="s">
        <v>59</v>
      </c>
      <c r="N3756" t="s">
        <v>2626</v>
      </c>
      <c r="O3756" t="s">
        <v>125</v>
      </c>
      <c r="P3756" t="s">
        <v>48</v>
      </c>
      <c r="Q3756" t="s">
        <v>141</v>
      </c>
      <c r="R3756">
        <v>1</v>
      </c>
      <c r="S3756">
        <v>1999</v>
      </c>
      <c r="T3756">
        <v>0.15</v>
      </c>
      <c r="U3756">
        <v>1699.15</v>
      </c>
      <c r="V3756">
        <v>1150</v>
      </c>
      <c r="W3756">
        <v>549.15</v>
      </c>
      <c r="X3756" t="s">
        <v>73</v>
      </c>
      <c r="Y3756" t="s">
        <v>68</v>
      </c>
      <c r="Z3756" t="s">
        <v>159</v>
      </c>
      <c r="AA3756" t="s">
        <v>166</v>
      </c>
      <c r="AB3756">
        <v>3.8</v>
      </c>
      <c r="AC3756">
        <v>50</v>
      </c>
      <c r="AD3756">
        <v>199.14</v>
      </c>
      <c r="AE3756">
        <f t="shared" si="116"/>
        <v>300.01</v>
      </c>
      <c r="AF3756" t="str">
        <f t="shared" si="117"/>
        <v>2026-04</v>
      </c>
      <c r="AG3756">
        <f>SUBTOTAL(103,A3756)</f>
        <v>1</v>
      </c>
    </row>
    <row r="3757" spans="1:33" x14ac:dyDescent="0.3">
      <c r="A3757" t="s">
        <v>6380</v>
      </c>
      <c r="B3757" s="13">
        <v>46140</v>
      </c>
      <c r="C3757">
        <v>2026</v>
      </c>
      <c r="D3757">
        <v>4</v>
      </c>
      <c r="E3757" t="s">
        <v>3328</v>
      </c>
      <c r="F3757" t="s">
        <v>3329</v>
      </c>
      <c r="G3757" t="s">
        <v>1865</v>
      </c>
      <c r="H3757" t="s">
        <v>1866</v>
      </c>
      <c r="I3757" t="s">
        <v>87</v>
      </c>
      <c r="J3757">
        <v>48</v>
      </c>
      <c r="K3757" t="s">
        <v>83</v>
      </c>
      <c r="L3757" t="s">
        <v>2616</v>
      </c>
      <c r="M3757" t="s">
        <v>62</v>
      </c>
      <c r="N3757" t="s">
        <v>2577</v>
      </c>
      <c r="O3757" t="s">
        <v>129</v>
      </c>
      <c r="P3757" t="s">
        <v>49</v>
      </c>
      <c r="Q3757" t="s">
        <v>149</v>
      </c>
      <c r="R3757">
        <v>1</v>
      </c>
      <c r="S3757">
        <v>1299</v>
      </c>
      <c r="T3757">
        <v>0</v>
      </c>
      <c r="U3757">
        <v>1299</v>
      </c>
      <c r="V3757">
        <v>650</v>
      </c>
      <c r="W3757">
        <v>649</v>
      </c>
      <c r="X3757" t="s">
        <v>75</v>
      </c>
      <c r="Y3757" t="s">
        <v>68</v>
      </c>
      <c r="Z3757" t="s">
        <v>163</v>
      </c>
      <c r="AA3757" t="s">
        <v>168</v>
      </c>
      <c r="AB3757">
        <v>3.6</v>
      </c>
      <c r="AC3757">
        <v>80</v>
      </c>
      <c r="AD3757">
        <v>147.18</v>
      </c>
      <c r="AE3757">
        <f t="shared" si="116"/>
        <v>421.82</v>
      </c>
      <c r="AF3757" t="str">
        <f t="shared" si="117"/>
        <v>2026-04</v>
      </c>
      <c r="AG3757">
        <f>SUBTOTAL(103,A3757)</f>
        <v>1</v>
      </c>
    </row>
    <row r="3758" spans="1:33" x14ac:dyDescent="0.3">
      <c r="A3758" t="s">
        <v>6381</v>
      </c>
      <c r="B3758" s="13">
        <v>46140</v>
      </c>
      <c r="C3758">
        <v>2026</v>
      </c>
      <c r="D3758">
        <v>4</v>
      </c>
      <c r="E3758" t="s">
        <v>3328</v>
      </c>
      <c r="F3758" t="s">
        <v>3329</v>
      </c>
      <c r="G3758" t="s">
        <v>487</v>
      </c>
      <c r="H3758" t="s">
        <v>488</v>
      </c>
      <c r="I3758" t="s">
        <v>86</v>
      </c>
      <c r="J3758">
        <v>53</v>
      </c>
      <c r="K3758" t="s">
        <v>83</v>
      </c>
      <c r="L3758" t="s">
        <v>59</v>
      </c>
      <c r="M3758" t="s">
        <v>59</v>
      </c>
      <c r="N3758" t="s">
        <v>2594</v>
      </c>
      <c r="O3758" t="s">
        <v>131</v>
      </c>
      <c r="P3758" t="s">
        <v>53</v>
      </c>
      <c r="Q3758" t="s">
        <v>143</v>
      </c>
      <c r="R3758">
        <v>1</v>
      </c>
      <c r="S3758">
        <v>999</v>
      </c>
      <c r="T3758">
        <v>0</v>
      </c>
      <c r="U3758">
        <v>999</v>
      </c>
      <c r="V3758">
        <v>520</v>
      </c>
      <c r="W3758">
        <v>479</v>
      </c>
      <c r="X3758" t="s">
        <v>74</v>
      </c>
      <c r="Y3758" t="s">
        <v>68</v>
      </c>
      <c r="Z3758" t="s">
        <v>159</v>
      </c>
      <c r="AA3758" t="s">
        <v>168</v>
      </c>
      <c r="AB3758">
        <v>3.2</v>
      </c>
      <c r="AC3758">
        <v>40</v>
      </c>
      <c r="AD3758">
        <v>111.24</v>
      </c>
      <c r="AE3758">
        <f t="shared" si="116"/>
        <v>327.76</v>
      </c>
      <c r="AF3758" t="str">
        <f t="shared" si="117"/>
        <v>2026-04</v>
      </c>
      <c r="AG3758">
        <f>SUBTOTAL(103,A3758)</f>
        <v>1</v>
      </c>
    </row>
    <row r="3759" spans="1:33" x14ac:dyDescent="0.3">
      <c r="A3759" t="s">
        <v>6382</v>
      </c>
      <c r="B3759" s="13">
        <v>46140</v>
      </c>
      <c r="C3759">
        <v>2026</v>
      </c>
      <c r="D3759">
        <v>4</v>
      </c>
      <c r="E3759" t="s">
        <v>3328</v>
      </c>
      <c r="F3759" t="s">
        <v>3329</v>
      </c>
      <c r="G3759" t="s">
        <v>1297</v>
      </c>
      <c r="H3759" t="s">
        <v>1298</v>
      </c>
      <c r="I3759" t="s">
        <v>85</v>
      </c>
      <c r="J3759">
        <v>43</v>
      </c>
      <c r="K3759" t="s">
        <v>82</v>
      </c>
      <c r="L3759" t="s">
        <v>2690</v>
      </c>
      <c r="M3759" t="s">
        <v>63</v>
      </c>
      <c r="N3759" t="s">
        <v>2584</v>
      </c>
      <c r="O3759" t="s">
        <v>121</v>
      </c>
      <c r="P3759" t="s">
        <v>50</v>
      </c>
      <c r="Q3759" t="s">
        <v>144</v>
      </c>
      <c r="R3759">
        <v>2</v>
      </c>
      <c r="S3759">
        <v>2999</v>
      </c>
      <c r="T3759">
        <v>0.05</v>
      </c>
      <c r="U3759">
        <v>5698.1</v>
      </c>
      <c r="V3759">
        <v>3400</v>
      </c>
      <c r="W3759">
        <v>2298.1</v>
      </c>
      <c r="X3759" t="s">
        <v>76</v>
      </c>
      <c r="Y3759" t="s">
        <v>68</v>
      </c>
      <c r="Z3759" t="s">
        <v>162</v>
      </c>
      <c r="AA3759" t="s">
        <v>169</v>
      </c>
      <c r="AB3759">
        <v>3.3</v>
      </c>
      <c r="AC3759">
        <v>50</v>
      </c>
      <c r="AD3759">
        <v>131.19</v>
      </c>
      <c r="AE3759">
        <f t="shared" si="116"/>
        <v>2116.91</v>
      </c>
      <c r="AF3759" t="str">
        <f t="shared" si="117"/>
        <v>2026-04</v>
      </c>
      <c r="AG3759">
        <f>SUBTOTAL(103,A3759)</f>
        <v>1</v>
      </c>
    </row>
    <row r="3760" spans="1:33" x14ac:dyDescent="0.3">
      <c r="A3760" t="s">
        <v>6383</v>
      </c>
      <c r="B3760" s="13">
        <v>46140</v>
      </c>
      <c r="C3760">
        <v>2026</v>
      </c>
      <c r="D3760">
        <v>4</v>
      </c>
      <c r="E3760" t="s">
        <v>3328</v>
      </c>
      <c r="F3760" t="s">
        <v>3329</v>
      </c>
      <c r="G3760" t="s">
        <v>291</v>
      </c>
      <c r="H3760" t="s">
        <v>292</v>
      </c>
      <c r="I3760" t="s">
        <v>87</v>
      </c>
      <c r="J3760">
        <v>21</v>
      </c>
      <c r="K3760" t="s">
        <v>80</v>
      </c>
      <c r="L3760" t="s">
        <v>98</v>
      </c>
      <c r="M3760" t="s">
        <v>55</v>
      </c>
      <c r="N3760" t="s">
        <v>2665</v>
      </c>
      <c r="O3760" t="s">
        <v>128</v>
      </c>
      <c r="P3760" t="s">
        <v>53</v>
      </c>
      <c r="Q3760" t="s">
        <v>143</v>
      </c>
      <c r="R3760">
        <v>2</v>
      </c>
      <c r="S3760">
        <v>1499</v>
      </c>
      <c r="T3760">
        <v>0.1</v>
      </c>
      <c r="U3760">
        <v>2698.2</v>
      </c>
      <c r="V3760">
        <v>1600</v>
      </c>
      <c r="W3760">
        <v>1098.2</v>
      </c>
      <c r="X3760" t="s">
        <v>74</v>
      </c>
      <c r="Y3760" t="s">
        <v>68</v>
      </c>
      <c r="Z3760" t="s">
        <v>163</v>
      </c>
      <c r="AA3760" t="s">
        <v>169</v>
      </c>
      <c r="AB3760">
        <v>5</v>
      </c>
      <c r="AC3760">
        <v>80</v>
      </c>
      <c r="AD3760">
        <v>55.92</v>
      </c>
      <c r="AE3760">
        <f t="shared" si="116"/>
        <v>962.28000000000009</v>
      </c>
      <c r="AF3760" t="str">
        <f t="shared" si="117"/>
        <v>2026-04</v>
      </c>
      <c r="AG3760">
        <f>SUBTOTAL(103,A3760)</f>
        <v>1</v>
      </c>
    </row>
    <row r="3761" spans="1:33" x14ac:dyDescent="0.3">
      <c r="A3761" t="s">
        <v>6384</v>
      </c>
      <c r="B3761" s="13">
        <v>46140</v>
      </c>
      <c r="C3761">
        <v>2026</v>
      </c>
      <c r="D3761">
        <v>4</v>
      </c>
      <c r="E3761" t="s">
        <v>3328</v>
      </c>
      <c r="F3761" t="s">
        <v>3329</v>
      </c>
      <c r="G3761" t="s">
        <v>1895</v>
      </c>
      <c r="H3761" t="s">
        <v>1896</v>
      </c>
      <c r="I3761" t="s">
        <v>86</v>
      </c>
      <c r="J3761">
        <v>33</v>
      </c>
      <c r="K3761" t="s">
        <v>81</v>
      </c>
      <c r="L3761" t="s">
        <v>2579</v>
      </c>
      <c r="M3761" t="s">
        <v>56</v>
      </c>
      <c r="N3761" t="s">
        <v>2596</v>
      </c>
      <c r="O3761" t="s">
        <v>124</v>
      </c>
      <c r="P3761" t="s">
        <v>51</v>
      </c>
      <c r="Q3761" t="s">
        <v>147</v>
      </c>
      <c r="R3761">
        <v>2</v>
      </c>
      <c r="S3761">
        <v>2299</v>
      </c>
      <c r="T3761">
        <v>0.1</v>
      </c>
      <c r="U3761">
        <v>4138.2</v>
      </c>
      <c r="V3761">
        <v>2400</v>
      </c>
      <c r="W3761">
        <v>1738.2</v>
      </c>
      <c r="X3761" t="s">
        <v>75</v>
      </c>
      <c r="Y3761" t="s">
        <v>68</v>
      </c>
      <c r="Z3761" t="s">
        <v>159</v>
      </c>
      <c r="AA3761" t="s">
        <v>170</v>
      </c>
      <c r="AB3761">
        <v>4.3</v>
      </c>
      <c r="AC3761">
        <v>100</v>
      </c>
      <c r="AD3761">
        <v>168.89</v>
      </c>
      <c r="AE3761">
        <f t="shared" si="116"/>
        <v>1469.31</v>
      </c>
      <c r="AF3761" t="str">
        <f t="shared" si="117"/>
        <v>2026-04</v>
      </c>
      <c r="AG3761">
        <f>SUBTOTAL(103,A3761)</f>
        <v>1</v>
      </c>
    </row>
    <row r="3762" spans="1:33" x14ac:dyDescent="0.3">
      <c r="A3762" t="s">
        <v>6385</v>
      </c>
      <c r="B3762" s="13">
        <v>46141</v>
      </c>
      <c r="C3762">
        <v>2026</v>
      </c>
      <c r="D3762">
        <v>4</v>
      </c>
      <c r="E3762" t="s">
        <v>3328</v>
      </c>
      <c r="F3762" t="s">
        <v>3329</v>
      </c>
      <c r="G3762" t="s">
        <v>1425</v>
      </c>
      <c r="H3762" t="s">
        <v>1426</v>
      </c>
      <c r="I3762" t="s">
        <v>86</v>
      </c>
      <c r="J3762">
        <v>19</v>
      </c>
      <c r="K3762" t="s">
        <v>80</v>
      </c>
      <c r="L3762" t="s">
        <v>2573</v>
      </c>
      <c r="M3762" t="s">
        <v>63</v>
      </c>
      <c r="N3762" t="s">
        <v>2630</v>
      </c>
      <c r="O3762" t="s">
        <v>123</v>
      </c>
      <c r="P3762" t="s">
        <v>52</v>
      </c>
      <c r="Q3762" t="s">
        <v>146</v>
      </c>
      <c r="R3762">
        <v>1</v>
      </c>
      <c r="S3762">
        <v>2499</v>
      </c>
      <c r="T3762">
        <v>0.15</v>
      </c>
      <c r="U3762">
        <v>0</v>
      </c>
      <c r="V3762">
        <v>0</v>
      </c>
      <c r="W3762">
        <v>0</v>
      </c>
      <c r="X3762" t="s">
        <v>73</v>
      </c>
      <c r="Y3762" t="s">
        <v>71</v>
      </c>
      <c r="Z3762" t="s">
        <v>159</v>
      </c>
      <c r="AA3762" t="s">
        <v>171</v>
      </c>
      <c r="AB3762">
        <v>4.8</v>
      </c>
      <c r="AC3762">
        <v>80</v>
      </c>
      <c r="AD3762">
        <v>159.81</v>
      </c>
      <c r="AE3762">
        <f t="shared" si="116"/>
        <v>-239.81</v>
      </c>
      <c r="AF3762" t="str">
        <f t="shared" si="117"/>
        <v>2026-04</v>
      </c>
      <c r="AG3762">
        <f>SUBTOTAL(103,A3762)</f>
        <v>1</v>
      </c>
    </row>
    <row r="3763" spans="1:33" x14ac:dyDescent="0.3">
      <c r="A3763" t="s">
        <v>6386</v>
      </c>
      <c r="B3763" s="13">
        <v>46141</v>
      </c>
      <c r="C3763">
        <v>2026</v>
      </c>
      <c r="D3763">
        <v>4</v>
      </c>
      <c r="E3763" t="s">
        <v>3328</v>
      </c>
      <c r="F3763" t="s">
        <v>3329</v>
      </c>
      <c r="G3763" t="s">
        <v>1009</v>
      </c>
      <c r="H3763" t="s">
        <v>1010</v>
      </c>
      <c r="I3763" t="s">
        <v>86</v>
      </c>
      <c r="J3763">
        <v>41</v>
      </c>
      <c r="K3763" t="s">
        <v>82</v>
      </c>
      <c r="L3763" t="s">
        <v>100</v>
      </c>
      <c r="M3763" t="s">
        <v>56</v>
      </c>
      <c r="N3763" t="s">
        <v>2603</v>
      </c>
      <c r="O3763" t="s">
        <v>122</v>
      </c>
      <c r="P3763" t="s">
        <v>48</v>
      </c>
      <c r="Q3763" t="s">
        <v>141</v>
      </c>
      <c r="R3763">
        <v>4</v>
      </c>
      <c r="S3763">
        <v>2499</v>
      </c>
      <c r="T3763">
        <v>0.15</v>
      </c>
      <c r="U3763">
        <v>8496.6</v>
      </c>
      <c r="V3763">
        <v>5800</v>
      </c>
      <c r="W3763">
        <v>2696.6</v>
      </c>
      <c r="X3763" t="s">
        <v>73</v>
      </c>
      <c r="Y3763" t="s">
        <v>68</v>
      </c>
      <c r="Z3763" t="s">
        <v>163</v>
      </c>
      <c r="AA3763" t="s">
        <v>168</v>
      </c>
      <c r="AB3763">
        <v>3.4</v>
      </c>
      <c r="AC3763">
        <v>60</v>
      </c>
      <c r="AD3763">
        <v>634.45000000000005</v>
      </c>
      <c r="AE3763">
        <f t="shared" si="116"/>
        <v>2002.1499999999999</v>
      </c>
      <c r="AF3763" t="str">
        <f t="shared" si="117"/>
        <v>2026-04</v>
      </c>
      <c r="AG3763">
        <f>SUBTOTAL(103,A3763)</f>
        <v>1</v>
      </c>
    </row>
    <row r="3764" spans="1:33" x14ac:dyDescent="0.3">
      <c r="A3764" t="s">
        <v>6387</v>
      </c>
      <c r="B3764" s="13">
        <v>46141</v>
      </c>
      <c r="C3764">
        <v>2026</v>
      </c>
      <c r="D3764">
        <v>4</v>
      </c>
      <c r="E3764" t="s">
        <v>3328</v>
      </c>
      <c r="F3764" t="s">
        <v>3329</v>
      </c>
      <c r="G3764" t="s">
        <v>1485</v>
      </c>
      <c r="H3764" t="s">
        <v>1486</v>
      </c>
      <c r="I3764" t="s">
        <v>85</v>
      </c>
      <c r="J3764">
        <v>38</v>
      </c>
      <c r="K3764" t="s">
        <v>82</v>
      </c>
      <c r="L3764" t="s">
        <v>2610</v>
      </c>
      <c r="M3764" t="s">
        <v>64</v>
      </c>
      <c r="N3764" t="s">
        <v>2594</v>
      </c>
      <c r="O3764" t="s">
        <v>131</v>
      </c>
      <c r="P3764" t="s">
        <v>53</v>
      </c>
      <c r="Q3764" t="s">
        <v>143</v>
      </c>
      <c r="R3764">
        <v>2</v>
      </c>
      <c r="S3764">
        <v>999</v>
      </c>
      <c r="T3764">
        <v>0.1</v>
      </c>
      <c r="U3764">
        <v>1798.2</v>
      </c>
      <c r="V3764">
        <v>1040</v>
      </c>
      <c r="W3764">
        <v>758.2</v>
      </c>
      <c r="X3764" t="s">
        <v>73</v>
      </c>
      <c r="Y3764" t="s">
        <v>68</v>
      </c>
      <c r="Z3764" t="s">
        <v>158</v>
      </c>
      <c r="AA3764" t="s">
        <v>166</v>
      </c>
      <c r="AB3764">
        <v>3.8</v>
      </c>
      <c r="AC3764">
        <v>60</v>
      </c>
      <c r="AD3764">
        <v>92.66</v>
      </c>
      <c r="AE3764">
        <f t="shared" si="116"/>
        <v>605.54000000000008</v>
      </c>
      <c r="AF3764" t="str">
        <f t="shared" si="117"/>
        <v>2026-04</v>
      </c>
      <c r="AG3764">
        <f>SUBTOTAL(103,A3764)</f>
        <v>1</v>
      </c>
    </row>
    <row r="3765" spans="1:33" x14ac:dyDescent="0.3">
      <c r="A3765" t="s">
        <v>6388</v>
      </c>
      <c r="B3765" s="13">
        <v>46141</v>
      </c>
      <c r="C3765">
        <v>2026</v>
      </c>
      <c r="D3765">
        <v>4</v>
      </c>
      <c r="E3765" t="s">
        <v>3328</v>
      </c>
      <c r="F3765" t="s">
        <v>3329</v>
      </c>
      <c r="G3765" t="s">
        <v>519</v>
      </c>
      <c r="H3765" t="s">
        <v>520</v>
      </c>
      <c r="I3765" t="s">
        <v>86</v>
      </c>
      <c r="J3765">
        <v>37</v>
      </c>
      <c r="K3765" t="s">
        <v>82</v>
      </c>
      <c r="L3765" t="s">
        <v>93</v>
      </c>
      <c r="M3765" t="s">
        <v>55</v>
      </c>
      <c r="N3765" t="s">
        <v>2582</v>
      </c>
      <c r="O3765" t="s">
        <v>119</v>
      </c>
      <c r="P3765" t="s">
        <v>49</v>
      </c>
      <c r="Q3765" t="s">
        <v>140</v>
      </c>
      <c r="R3765">
        <v>1</v>
      </c>
      <c r="S3765">
        <v>3499</v>
      </c>
      <c r="T3765">
        <v>0.1</v>
      </c>
      <c r="U3765">
        <v>3149.1</v>
      </c>
      <c r="V3765">
        <v>2100</v>
      </c>
      <c r="W3765">
        <v>1049.0999999999999</v>
      </c>
      <c r="X3765" t="s">
        <v>75</v>
      </c>
      <c r="Y3765" t="s">
        <v>68</v>
      </c>
      <c r="Z3765" t="s">
        <v>163</v>
      </c>
      <c r="AA3765" t="s">
        <v>166</v>
      </c>
      <c r="AB3765">
        <v>3.2</v>
      </c>
      <c r="AC3765">
        <v>50</v>
      </c>
      <c r="AD3765">
        <v>217.82</v>
      </c>
      <c r="AE3765">
        <f t="shared" si="116"/>
        <v>781.28</v>
      </c>
      <c r="AF3765" t="str">
        <f t="shared" si="117"/>
        <v>2026-04</v>
      </c>
      <c r="AG3765">
        <f>SUBTOTAL(103,A3765)</f>
        <v>1</v>
      </c>
    </row>
    <row r="3766" spans="1:33" x14ac:dyDescent="0.3">
      <c r="A3766" t="s">
        <v>6389</v>
      </c>
      <c r="B3766" s="13">
        <v>46141</v>
      </c>
      <c r="C3766">
        <v>2026</v>
      </c>
      <c r="D3766">
        <v>4</v>
      </c>
      <c r="E3766" t="s">
        <v>3328</v>
      </c>
      <c r="F3766" t="s">
        <v>3329</v>
      </c>
      <c r="G3766" t="s">
        <v>723</v>
      </c>
      <c r="H3766" t="s">
        <v>724</v>
      </c>
      <c r="I3766" t="s">
        <v>85</v>
      </c>
      <c r="J3766">
        <v>28</v>
      </c>
      <c r="K3766" t="s">
        <v>81</v>
      </c>
      <c r="L3766" t="s">
        <v>2610</v>
      </c>
      <c r="M3766" t="s">
        <v>64</v>
      </c>
      <c r="N3766" t="s">
        <v>2606</v>
      </c>
      <c r="O3766" t="s">
        <v>120</v>
      </c>
      <c r="P3766" t="s">
        <v>49</v>
      </c>
      <c r="Q3766" t="s">
        <v>140</v>
      </c>
      <c r="R3766">
        <v>1</v>
      </c>
      <c r="S3766">
        <v>2799</v>
      </c>
      <c r="T3766">
        <v>0.1</v>
      </c>
      <c r="U3766">
        <v>2519.1</v>
      </c>
      <c r="V3766">
        <v>1650</v>
      </c>
      <c r="W3766">
        <v>869.1</v>
      </c>
      <c r="X3766" t="s">
        <v>77</v>
      </c>
      <c r="Y3766" t="s">
        <v>68</v>
      </c>
      <c r="Z3766" t="s">
        <v>161</v>
      </c>
      <c r="AA3766" t="s">
        <v>168</v>
      </c>
      <c r="AB3766">
        <v>5</v>
      </c>
      <c r="AC3766">
        <v>60</v>
      </c>
      <c r="AD3766">
        <v>137.5</v>
      </c>
      <c r="AE3766">
        <f t="shared" si="116"/>
        <v>671.6</v>
      </c>
      <c r="AF3766" t="str">
        <f t="shared" si="117"/>
        <v>2026-04</v>
      </c>
      <c r="AG3766">
        <f>SUBTOTAL(103,A3766)</f>
        <v>1</v>
      </c>
    </row>
    <row r="3767" spans="1:33" x14ac:dyDescent="0.3">
      <c r="A3767" t="s">
        <v>6390</v>
      </c>
      <c r="B3767" s="13">
        <v>46142</v>
      </c>
      <c r="C3767">
        <v>2026</v>
      </c>
      <c r="D3767">
        <v>4</v>
      </c>
      <c r="E3767" t="s">
        <v>3328</v>
      </c>
      <c r="F3767" t="s">
        <v>3329</v>
      </c>
      <c r="G3767" t="s">
        <v>2507</v>
      </c>
      <c r="H3767" t="s">
        <v>2508</v>
      </c>
      <c r="I3767" t="s">
        <v>86</v>
      </c>
      <c r="J3767">
        <v>34</v>
      </c>
      <c r="K3767" t="s">
        <v>81</v>
      </c>
      <c r="L3767" t="s">
        <v>2674</v>
      </c>
      <c r="M3767" t="s">
        <v>58</v>
      </c>
      <c r="N3767" t="s">
        <v>2647</v>
      </c>
      <c r="O3767" t="s">
        <v>133</v>
      </c>
      <c r="P3767" t="s">
        <v>50</v>
      </c>
      <c r="Q3767" t="s">
        <v>145</v>
      </c>
      <c r="R3767">
        <v>2</v>
      </c>
      <c r="S3767">
        <v>799</v>
      </c>
      <c r="T3767">
        <v>0.05</v>
      </c>
      <c r="U3767">
        <v>1518.1</v>
      </c>
      <c r="V3767">
        <v>780</v>
      </c>
      <c r="W3767">
        <v>738.1</v>
      </c>
      <c r="X3767" t="s">
        <v>73</v>
      </c>
      <c r="Y3767" t="s">
        <v>68</v>
      </c>
      <c r="Z3767" t="s">
        <v>158</v>
      </c>
      <c r="AA3767" t="s">
        <v>170</v>
      </c>
      <c r="AB3767">
        <v>4.5</v>
      </c>
      <c r="AC3767">
        <v>80</v>
      </c>
      <c r="AD3767">
        <v>115.81</v>
      </c>
      <c r="AE3767">
        <f t="shared" si="116"/>
        <v>542.29</v>
      </c>
      <c r="AF3767" t="str">
        <f t="shared" si="117"/>
        <v>2026-04</v>
      </c>
      <c r="AG3767">
        <f>SUBTOTAL(103,A3767)</f>
        <v>1</v>
      </c>
    </row>
    <row r="3768" spans="1:33" x14ac:dyDescent="0.3">
      <c r="A3768" t="s">
        <v>6391</v>
      </c>
      <c r="B3768" s="13">
        <v>46142</v>
      </c>
      <c r="C3768">
        <v>2026</v>
      </c>
      <c r="D3768">
        <v>4</v>
      </c>
      <c r="E3768" t="s">
        <v>3328</v>
      </c>
      <c r="F3768" t="s">
        <v>3329</v>
      </c>
      <c r="G3768" t="s">
        <v>713</v>
      </c>
      <c r="H3768" t="s">
        <v>714</v>
      </c>
      <c r="I3768" t="s">
        <v>86</v>
      </c>
      <c r="J3768">
        <v>56</v>
      </c>
      <c r="K3768" t="s">
        <v>83</v>
      </c>
      <c r="L3768" t="s">
        <v>2589</v>
      </c>
      <c r="M3768" t="s">
        <v>61</v>
      </c>
      <c r="N3768" t="s">
        <v>2630</v>
      </c>
      <c r="O3768" t="s">
        <v>123</v>
      </c>
      <c r="P3768" t="s">
        <v>52</v>
      </c>
      <c r="Q3768" t="s">
        <v>146</v>
      </c>
      <c r="R3768">
        <v>4</v>
      </c>
      <c r="S3768">
        <v>2499</v>
      </c>
      <c r="T3768">
        <v>0.1</v>
      </c>
      <c r="U3768">
        <v>8996.4</v>
      </c>
      <c r="V3768">
        <v>5600</v>
      </c>
      <c r="W3768">
        <v>3396.4</v>
      </c>
      <c r="X3768" t="s">
        <v>76</v>
      </c>
      <c r="Y3768" t="s">
        <v>68</v>
      </c>
      <c r="Z3768" t="s">
        <v>160</v>
      </c>
      <c r="AA3768" t="s">
        <v>169</v>
      </c>
      <c r="AB3768">
        <v>3.2</v>
      </c>
      <c r="AC3768">
        <v>60</v>
      </c>
      <c r="AD3768">
        <v>232.43</v>
      </c>
      <c r="AE3768">
        <f t="shared" si="116"/>
        <v>3103.9700000000003</v>
      </c>
      <c r="AF3768" t="str">
        <f t="shared" si="117"/>
        <v>2026-04</v>
      </c>
      <c r="AG3768">
        <f>SUBTOTAL(103,A3768)</f>
        <v>1</v>
      </c>
    </row>
    <row r="3769" spans="1:33" x14ac:dyDescent="0.3">
      <c r="A3769" t="s">
        <v>6392</v>
      </c>
      <c r="B3769" s="13">
        <v>46142</v>
      </c>
      <c r="C3769">
        <v>2026</v>
      </c>
      <c r="D3769">
        <v>4</v>
      </c>
      <c r="E3769" t="s">
        <v>3328</v>
      </c>
      <c r="F3769" t="s">
        <v>3329</v>
      </c>
      <c r="G3769" t="s">
        <v>1439</v>
      </c>
      <c r="H3769" t="s">
        <v>1440</v>
      </c>
      <c r="I3769" t="s">
        <v>86</v>
      </c>
      <c r="J3769">
        <v>44</v>
      </c>
      <c r="K3769" t="s">
        <v>82</v>
      </c>
      <c r="L3769" t="s">
        <v>95</v>
      </c>
      <c r="M3769" t="s">
        <v>56</v>
      </c>
      <c r="N3769" t="s">
        <v>2601</v>
      </c>
      <c r="O3769" t="s">
        <v>117</v>
      </c>
      <c r="P3769" t="s">
        <v>49</v>
      </c>
      <c r="Q3769" t="s">
        <v>139</v>
      </c>
      <c r="R3769">
        <v>3</v>
      </c>
      <c r="S3769">
        <v>6999</v>
      </c>
      <c r="T3769">
        <v>0.1</v>
      </c>
      <c r="U3769">
        <v>18897.3</v>
      </c>
      <c r="V3769">
        <v>12900</v>
      </c>
      <c r="W3769">
        <v>5997.3</v>
      </c>
      <c r="X3769" t="s">
        <v>76</v>
      </c>
      <c r="Y3769" t="s">
        <v>68</v>
      </c>
      <c r="Z3769" t="s">
        <v>162</v>
      </c>
      <c r="AA3769" t="s">
        <v>168</v>
      </c>
      <c r="AB3769">
        <v>2.2000000000000002</v>
      </c>
      <c r="AC3769">
        <v>60</v>
      </c>
      <c r="AD3769">
        <v>1554.62</v>
      </c>
      <c r="AE3769">
        <f t="shared" si="116"/>
        <v>4382.68</v>
      </c>
      <c r="AF3769" t="str">
        <f t="shared" si="117"/>
        <v>2026-04</v>
      </c>
      <c r="AG3769">
        <f>SUBTOTAL(103,A3769)</f>
        <v>1</v>
      </c>
    </row>
    <row r="3770" spans="1:33" x14ac:dyDescent="0.3">
      <c r="A3770" t="s">
        <v>6393</v>
      </c>
      <c r="B3770" s="13">
        <v>46142</v>
      </c>
      <c r="C3770">
        <v>2026</v>
      </c>
      <c r="D3770">
        <v>4</v>
      </c>
      <c r="E3770" t="s">
        <v>3328</v>
      </c>
      <c r="F3770" t="s">
        <v>3329</v>
      </c>
      <c r="G3770" t="s">
        <v>1289</v>
      </c>
      <c r="H3770" t="s">
        <v>1290</v>
      </c>
      <c r="I3770" t="s">
        <v>85</v>
      </c>
      <c r="J3770">
        <v>49</v>
      </c>
      <c r="K3770" t="s">
        <v>83</v>
      </c>
      <c r="L3770" t="s">
        <v>94</v>
      </c>
      <c r="M3770" t="s">
        <v>57</v>
      </c>
      <c r="N3770" t="s">
        <v>2580</v>
      </c>
      <c r="O3770" t="s">
        <v>118</v>
      </c>
      <c r="P3770" t="s">
        <v>48</v>
      </c>
      <c r="Q3770" t="s">
        <v>142</v>
      </c>
      <c r="R3770">
        <v>3</v>
      </c>
      <c r="S3770">
        <v>3999</v>
      </c>
      <c r="T3770">
        <v>0</v>
      </c>
      <c r="U3770">
        <v>11997</v>
      </c>
      <c r="V3770">
        <v>7200</v>
      </c>
      <c r="W3770">
        <v>4797</v>
      </c>
      <c r="X3770" t="s">
        <v>73</v>
      </c>
      <c r="Y3770" t="s">
        <v>68</v>
      </c>
      <c r="Z3770" t="s">
        <v>160</v>
      </c>
      <c r="AA3770" t="s">
        <v>167</v>
      </c>
      <c r="AB3770">
        <v>4.7</v>
      </c>
      <c r="AC3770">
        <v>80</v>
      </c>
      <c r="AD3770">
        <v>585.65</v>
      </c>
      <c r="AE3770">
        <f t="shared" si="116"/>
        <v>4131.3500000000004</v>
      </c>
      <c r="AF3770" t="str">
        <f t="shared" si="117"/>
        <v>2026-04</v>
      </c>
      <c r="AG3770">
        <f>SUBTOTAL(103,A3770)</f>
        <v>1</v>
      </c>
    </row>
    <row r="3771" spans="1:33" x14ac:dyDescent="0.3">
      <c r="A3771" t="s">
        <v>6394</v>
      </c>
      <c r="B3771" s="13">
        <v>46142</v>
      </c>
      <c r="C3771">
        <v>2026</v>
      </c>
      <c r="D3771">
        <v>4</v>
      </c>
      <c r="E3771" t="s">
        <v>3328</v>
      </c>
      <c r="F3771" t="s">
        <v>3329</v>
      </c>
      <c r="G3771" t="s">
        <v>2223</v>
      </c>
      <c r="H3771" t="s">
        <v>2224</v>
      </c>
      <c r="I3771" t="s">
        <v>86</v>
      </c>
      <c r="J3771">
        <v>36</v>
      </c>
      <c r="K3771" t="s">
        <v>82</v>
      </c>
      <c r="L3771" t="s">
        <v>2616</v>
      </c>
      <c r="M3771" t="s">
        <v>62</v>
      </c>
      <c r="N3771" t="s">
        <v>2606</v>
      </c>
      <c r="O3771" t="s">
        <v>120</v>
      </c>
      <c r="P3771" t="s">
        <v>49</v>
      </c>
      <c r="Q3771" t="s">
        <v>140</v>
      </c>
      <c r="R3771">
        <v>1</v>
      </c>
      <c r="S3771">
        <v>2799</v>
      </c>
      <c r="T3771">
        <v>0.2</v>
      </c>
      <c r="U3771">
        <v>2239.1999999999998</v>
      </c>
      <c r="V3771">
        <v>1650</v>
      </c>
      <c r="W3771">
        <v>589.20000000000005</v>
      </c>
      <c r="X3771" t="s">
        <v>75</v>
      </c>
      <c r="Y3771" t="s">
        <v>68</v>
      </c>
      <c r="Z3771" t="s">
        <v>159</v>
      </c>
      <c r="AA3771" t="s">
        <v>169</v>
      </c>
      <c r="AB3771">
        <v>3.5</v>
      </c>
      <c r="AC3771">
        <v>100</v>
      </c>
      <c r="AD3771">
        <v>125.99</v>
      </c>
      <c r="AE3771">
        <f t="shared" si="116"/>
        <v>363.21000000000004</v>
      </c>
      <c r="AF3771" t="str">
        <f t="shared" si="117"/>
        <v>2026-04</v>
      </c>
      <c r="AG3771">
        <f>SUBTOTAL(103,A3771)</f>
        <v>1</v>
      </c>
    </row>
    <row r="3772" spans="1:33" x14ac:dyDescent="0.3">
      <c r="A3772" t="s">
        <v>6395</v>
      </c>
      <c r="B3772" s="13">
        <v>46142</v>
      </c>
      <c r="C3772">
        <v>2026</v>
      </c>
      <c r="D3772">
        <v>4</v>
      </c>
      <c r="E3772" t="s">
        <v>3328</v>
      </c>
      <c r="F3772" t="s">
        <v>3329</v>
      </c>
      <c r="G3772" t="s">
        <v>667</v>
      </c>
      <c r="H3772" t="s">
        <v>668</v>
      </c>
      <c r="I3772" t="s">
        <v>85</v>
      </c>
      <c r="J3772">
        <v>60</v>
      </c>
      <c r="K3772" t="s">
        <v>83</v>
      </c>
      <c r="L3772" t="s">
        <v>95</v>
      </c>
      <c r="M3772" t="s">
        <v>56</v>
      </c>
      <c r="N3772" t="s">
        <v>2594</v>
      </c>
      <c r="O3772" t="s">
        <v>131</v>
      </c>
      <c r="P3772" t="s">
        <v>53</v>
      </c>
      <c r="Q3772" t="s">
        <v>143</v>
      </c>
      <c r="R3772">
        <v>1</v>
      </c>
      <c r="S3772">
        <v>999</v>
      </c>
      <c r="T3772">
        <v>0.05</v>
      </c>
      <c r="U3772">
        <v>949.05</v>
      </c>
      <c r="V3772">
        <v>520</v>
      </c>
      <c r="W3772">
        <v>429.05</v>
      </c>
      <c r="X3772" t="s">
        <v>74</v>
      </c>
      <c r="Y3772" t="s">
        <v>68</v>
      </c>
      <c r="Z3772" t="s">
        <v>159</v>
      </c>
      <c r="AA3772" t="s">
        <v>167</v>
      </c>
      <c r="AB3772">
        <v>4.0999999999999996</v>
      </c>
      <c r="AC3772">
        <v>50</v>
      </c>
      <c r="AD3772">
        <v>21.04</v>
      </c>
      <c r="AE3772">
        <f t="shared" si="116"/>
        <v>358.01</v>
      </c>
      <c r="AF3772" t="str">
        <f t="shared" si="117"/>
        <v>2026-04</v>
      </c>
      <c r="AG3772">
        <f>SUBTOTAL(103,A3772)</f>
        <v>1</v>
      </c>
    </row>
    <row r="3773" spans="1:33" x14ac:dyDescent="0.3">
      <c r="A3773" t="s">
        <v>6396</v>
      </c>
      <c r="B3773" s="13">
        <v>46142</v>
      </c>
      <c r="C3773">
        <v>2026</v>
      </c>
      <c r="D3773">
        <v>4</v>
      </c>
      <c r="E3773" t="s">
        <v>3328</v>
      </c>
      <c r="F3773" t="s">
        <v>3329</v>
      </c>
      <c r="G3773" t="s">
        <v>1453</v>
      </c>
      <c r="H3773" t="s">
        <v>1454</v>
      </c>
      <c r="I3773" t="s">
        <v>85</v>
      </c>
      <c r="J3773">
        <v>33</v>
      </c>
      <c r="K3773" t="s">
        <v>81</v>
      </c>
      <c r="L3773" t="s">
        <v>2646</v>
      </c>
      <c r="M3773" t="s">
        <v>63</v>
      </c>
      <c r="N3773" t="s">
        <v>2584</v>
      </c>
      <c r="O3773" t="s">
        <v>121</v>
      </c>
      <c r="P3773" t="s">
        <v>50</v>
      </c>
      <c r="Q3773" t="s">
        <v>144</v>
      </c>
      <c r="R3773">
        <v>1</v>
      </c>
      <c r="S3773">
        <v>2999</v>
      </c>
      <c r="T3773">
        <v>0.05</v>
      </c>
      <c r="U3773">
        <v>2849.05</v>
      </c>
      <c r="V3773">
        <v>1700</v>
      </c>
      <c r="W3773">
        <v>1149.05</v>
      </c>
      <c r="X3773" t="s">
        <v>74</v>
      </c>
      <c r="Y3773" t="s">
        <v>68</v>
      </c>
      <c r="Z3773" t="s">
        <v>163</v>
      </c>
      <c r="AA3773" t="s">
        <v>171</v>
      </c>
      <c r="AB3773">
        <v>4.2</v>
      </c>
      <c r="AC3773">
        <v>80</v>
      </c>
      <c r="AD3773">
        <v>234.02</v>
      </c>
      <c r="AE3773">
        <f t="shared" si="116"/>
        <v>835.03</v>
      </c>
      <c r="AF3773" t="str">
        <f t="shared" si="117"/>
        <v>2026-04</v>
      </c>
      <c r="AG3773">
        <f>SUBTOTAL(103,A3773)</f>
        <v>1</v>
      </c>
    </row>
    <row r="3774" spans="1:33" x14ac:dyDescent="0.3">
      <c r="A3774" t="s">
        <v>6397</v>
      </c>
      <c r="B3774" s="13">
        <v>46143</v>
      </c>
      <c r="C3774">
        <v>2026</v>
      </c>
      <c r="D3774">
        <v>5</v>
      </c>
      <c r="E3774" t="s">
        <v>3566</v>
      </c>
      <c r="F3774" t="s">
        <v>3329</v>
      </c>
      <c r="G3774" t="s">
        <v>2301</v>
      </c>
      <c r="H3774" t="s">
        <v>2302</v>
      </c>
      <c r="I3774" t="s">
        <v>86</v>
      </c>
      <c r="J3774">
        <v>25</v>
      </c>
      <c r="K3774" t="s">
        <v>80</v>
      </c>
      <c r="L3774" t="s">
        <v>94</v>
      </c>
      <c r="M3774" t="s">
        <v>57</v>
      </c>
      <c r="N3774" t="s">
        <v>2630</v>
      </c>
      <c r="O3774" t="s">
        <v>123</v>
      </c>
      <c r="P3774" t="s">
        <v>52</v>
      </c>
      <c r="Q3774" t="s">
        <v>146</v>
      </c>
      <c r="R3774">
        <v>2</v>
      </c>
      <c r="S3774">
        <v>2499</v>
      </c>
      <c r="T3774">
        <v>0</v>
      </c>
      <c r="U3774">
        <v>4998</v>
      </c>
      <c r="V3774">
        <v>2800</v>
      </c>
      <c r="W3774">
        <v>2198</v>
      </c>
      <c r="X3774" t="s">
        <v>75</v>
      </c>
      <c r="Y3774" t="s">
        <v>68</v>
      </c>
      <c r="Z3774" t="s">
        <v>161</v>
      </c>
      <c r="AA3774" t="s">
        <v>168</v>
      </c>
      <c r="AB3774">
        <v>3.9</v>
      </c>
      <c r="AC3774">
        <v>40</v>
      </c>
      <c r="AD3774">
        <v>372.26</v>
      </c>
      <c r="AE3774">
        <f t="shared" si="116"/>
        <v>1785.74</v>
      </c>
      <c r="AF3774" t="str">
        <f t="shared" si="117"/>
        <v>2026-05</v>
      </c>
      <c r="AG3774">
        <f>SUBTOTAL(103,A3774)</f>
        <v>1</v>
      </c>
    </row>
    <row r="3775" spans="1:33" x14ac:dyDescent="0.3">
      <c r="A3775" t="s">
        <v>6398</v>
      </c>
      <c r="B3775" s="13">
        <v>46143</v>
      </c>
      <c r="C3775">
        <v>2026</v>
      </c>
      <c r="D3775">
        <v>5</v>
      </c>
      <c r="E3775" t="s">
        <v>3566</v>
      </c>
      <c r="F3775" t="s">
        <v>3329</v>
      </c>
      <c r="G3775" t="s">
        <v>195</v>
      </c>
      <c r="H3775" t="s">
        <v>196</v>
      </c>
      <c r="I3775" t="s">
        <v>87</v>
      </c>
      <c r="J3775">
        <v>41</v>
      </c>
      <c r="K3775" t="s">
        <v>82</v>
      </c>
      <c r="L3775" t="s">
        <v>99</v>
      </c>
      <c r="M3775" t="s">
        <v>58</v>
      </c>
      <c r="N3775" t="s">
        <v>2584</v>
      </c>
      <c r="O3775" t="s">
        <v>121</v>
      </c>
      <c r="P3775" t="s">
        <v>50</v>
      </c>
      <c r="Q3775" t="s">
        <v>144</v>
      </c>
      <c r="R3775">
        <v>2</v>
      </c>
      <c r="S3775">
        <v>2999</v>
      </c>
      <c r="T3775">
        <v>0.2</v>
      </c>
      <c r="U3775">
        <v>4798.3999999999996</v>
      </c>
      <c r="V3775">
        <v>3400</v>
      </c>
      <c r="W3775">
        <v>1398.4</v>
      </c>
      <c r="X3775" t="s">
        <v>76</v>
      </c>
      <c r="Y3775" t="s">
        <v>68</v>
      </c>
      <c r="Z3775" t="s">
        <v>158</v>
      </c>
      <c r="AA3775" t="s">
        <v>170</v>
      </c>
      <c r="AB3775">
        <v>4.4000000000000004</v>
      </c>
      <c r="AC3775">
        <v>100</v>
      </c>
      <c r="AD3775">
        <v>236.38</v>
      </c>
      <c r="AE3775">
        <f t="shared" si="116"/>
        <v>1062.02</v>
      </c>
      <c r="AF3775" t="str">
        <f t="shared" si="117"/>
        <v>2026-05</v>
      </c>
      <c r="AG3775">
        <f>SUBTOTAL(103,A3775)</f>
        <v>1</v>
      </c>
    </row>
    <row r="3776" spans="1:33" x14ac:dyDescent="0.3">
      <c r="A3776" t="s">
        <v>6399</v>
      </c>
      <c r="B3776" s="13">
        <v>46143</v>
      </c>
      <c r="C3776">
        <v>2026</v>
      </c>
      <c r="D3776">
        <v>5</v>
      </c>
      <c r="E3776" t="s">
        <v>3566</v>
      </c>
      <c r="F3776" t="s">
        <v>3329</v>
      </c>
      <c r="G3776" t="s">
        <v>207</v>
      </c>
      <c r="H3776" t="s">
        <v>208</v>
      </c>
      <c r="I3776" t="s">
        <v>85</v>
      </c>
      <c r="J3776">
        <v>19</v>
      </c>
      <c r="K3776" t="s">
        <v>80</v>
      </c>
      <c r="L3776" t="s">
        <v>100</v>
      </c>
      <c r="M3776" t="s">
        <v>56</v>
      </c>
      <c r="N3776" t="s">
        <v>2587</v>
      </c>
      <c r="O3776" t="s">
        <v>116</v>
      </c>
      <c r="P3776" t="s">
        <v>48</v>
      </c>
      <c r="Q3776" t="s">
        <v>138</v>
      </c>
      <c r="R3776">
        <v>5</v>
      </c>
      <c r="S3776">
        <v>14999</v>
      </c>
      <c r="T3776">
        <v>0.15</v>
      </c>
      <c r="U3776">
        <v>63745.75</v>
      </c>
      <c r="V3776">
        <v>56000</v>
      </c>
      <c r="W3776">
        <v>7745.75</v>
      </c>
      <c r="X3776" t="s">
        <v>76</v>
      </c>
      <c r="Y3776" t="s">
        <v>68</v>
      </c>
      <c r="Z3776" t="s">
        <v>160</v>
      </c>
      <c r="AA3776" t="s">
        <v>167</v>
      </c>
      <c r="AB3776">
        <v>4.5</v>
      </c>
      <c r="AC3776">
        <v>60</v>
      </c>
      <c r="AD3776">
        <v>5623.22</v>
      </c>
      <c r="AE3776">
        <f t="shared" si="116"/>
        <v>2062.5299999999997</v>
      </c>
      <c r="AF3776" t="str">
        <f t="shared" si="117"/>
        <v>2026-05</v>
      </c>
      <c r="AG3776">
        <f>SUBTOTAL(103,A3776)</f>
        <v>1</v>
      </c>
    </row>
    <row r="3777" spans="1:33" x14ac:dyDescent="0.3">
      <c r="A3777" t="s">
        <v>6400</v>
      </c>
      <c r="B3777" s="13">
        <v>46143</v>
      </c>
      <c r="C3777">
        <v>2026</v>
      </c>
      <c r="D3777">
        <v>5</v>
      </c>
      <c r="E3777" t="s">
        <v>3566</v>
      </c>
      <c r="F3777" t="s">
        <v>3329</v>
      </c>
      <c r="G3777" t="s">
        <v>893</v>
      </c>
      <c r="H3777" t="s">
        <v>894</v>
      </c>
      <c r="I3777" t="s">
        <v>85</v>
      </c>
      <c r="J3777">
        <v>45</v>
      </c>
      <c r="K3777" t="s">
        <v>82</v>
      </c>
      <c r="L3777" t="s">
        <v>95</v>
      </c>
      <c r="M3777" t="s">
        <v>56</v>
      </c>
      <c r="N3777" t="s">
        <v>2574</v>
      </c>
      <c r="O3777" t="s">
        <v>130</v>
      </c>
      <c r="P3777" t="s">
        <v>50</v>
      </c>
      <c r="Q3777" t="s">
        <v>53</v>
      </c>
      <c r="R3777">
        <v>1</v>
      </c>
      <c r="S3777">
        <v>1199</v>
      </c>
      <c r="T3777">
        <v>0.1</v>
      </c>
      <c r="U3777">
        <v>1079.0999999999999</v>
      </c>
      <c r="V3777">
        <v>550</v>
      </c>
      <c r="W3777">
        <v>529.1</v>
      </c>
      <c r="X3777" t="s">
        <v>76</v>
      </c>
      <c r="Y3777" t="s">
        <v>68</v>
      </c>
      <c r="Z3777" t="s">
        <v>158</v>
      </c>
      <c r="AA3777" t="s">
        <v>166</v>
      </c>
      <c r="AB3777">
        <v>4.7</v>
      </c>
      <c r="AC3777">
        <v>40</v>
      </c>
      <c r="AD3777">
        <v>82.31</v>
      </c>
      <c r="AE3777">
        <f t="shared" si="116"/>
        <v>406.79</v>
      </c>
      <c r="AF3777" t="str">
        <f t="shared" si="117"/>
        <v>2026-05</v>
      </c>
      <c r="AG3777">
        <f>SUBTOTAL(103,A3777)</f>
        <v>1</v>
      </c>
    </row>
    <row r="3778" spans="1:33" x14ac:dyDescent="0.3">
      <c r="A3778" t="s">
        <v>6401</v>
      </c>
      <c r="B3778" s="13">
        <v>46143</v>
      </c>
      <c r="C3778">
        <v>2026</v>
      </c>
      <c r="D3778">
        <v>5</v>
      </c>
      <c r="E3778" t="s">
        <v>3566</v>
      </c>
      <c r="F3778" t="s">
        <v>3329</v>
      </c>
      <c r="G3778" t="s">
        <v>663</v>
      </c>
      <c r="H3778" t="s">
        <v>664</v>
      </c>
      <c r="I3778" t="s">
        <v>86</v>
      </c>
      <c r="J3778">
        <v>49</v>
      </c>
      <c r="K3778" t="s">
        <v>83</v>
      </c>
      <c r="L3778" t="s">
        <v>98</v>
      </c>
      <c r="M3778" t="s">
        <v>55</v>
      </c>
      <c r="N3778" t="s">
        <v>2647</v>
      </c>
      <c r="O3778" t="s">
        <v>133</v>
      </c>
      <c r="P3778" t="s">
        <v>50</v>
      </c>
      <c r="Q3778" t="s">
        <v>145</v>
      </c>
      <c r="R3778">
        <v>1</v>
      </c>
      <c r="S3778">
        <v>799</v>
      </c>
      <c r="T3778">
        <v>0.2</v>
      </c>
      <c r="U3778">
        <v>639.20000000000005</v>
      </c>
      <c r="V3778">
        <v>390</v>
      </c>
      <c r="W3778">
        <v>249.2</v>
      </c>
      <c r="X3778" t="s">
        <v>74</v>
      </c>
      <c r="Y3778" t="s">
        <v>68</v>
      </c>
      <c r="Z3778" t="s">
        <v>162</v>
      </c>
      <c r="AA3778" t="s">
        <v>166</v>
      </c>
      <c r="AB3778">
        <v>4.5999999999999996</v>
      </c>
      <c r="AC3778">
        <v>50</v>
      </c>
      <c r="AD3778">
        <v>49.32</v>
      </c>
      <c r="AE3778">
        <f t="shared" ref="AE3778:AE3841" si="118">W3778-AC3778-AD3778</f>
        <v>149.88</v>
      </c>
      <c r="AF3778" t="str">
        <f t="shared" ref="AF3778:AF3841" si="119">C3778&amp;"-"&amp;TEXT(D3778,"00")</f>
        <v>2026-05</v>
      </c>
      <c r="AG3778">
        <f>SUBTOTAL(103,A3778)</f>
        <v>1</v>
      </c>
    </row>
    <row r="3779" spans="1:33" x14ac:dyDescent="0.3">
      <c r="A3779" t="s">
        <v>6402</v>
      </c>
      <c r="B3779" s="13">
        <v>46143</v>
      </c>
      <c r="C3779">
        <v>2026</v>
      </c>
      <c r="D3779">
        <v>5</v>
      </c>
      <c r="E3779" t="s">
        <v>3566</v>
      </c>
      <c r="F3779" t="s">
        <v>3329</v>
      </c>
      <c r="G3779" t="s">
        <v>1489</v>
      </c>
      <c r="H3779" t="s">
        <v>1490</v>
      </c>
      <c r="I3779" t="s">
        <v>86</v>
      </c>
      <c r="J3779">
        <v>27</v>
      </c>
      <c r="K3779" t="s">
        <v>81</v>
      </c>
      <c r="L3779" t="s">
        <v>90</v>
      </c>
      <c r="M3779" t="s">
        <v>55</v>
      </c>
      <c r="N3779" t="s">
        <v>2596</v>
      </c>
      <c r="O3779" t="s">
        <v>124</v>
      </c>
      <c r="P3779" t="s">
        <v>51</v>
      </c>
      <c r="Q3779" t="s">
        <v>147</v>
      </c>
      <c r="R3779">
        <v>1</v>
      </c>
      <c r="S3779">
        <v>2299</v>
      </c>
      <c r="T3779">
        <v>0.05</v>
      </c>
      <c r="U3779">
        <v>2184.0500000000002</v>
      </c>
      <c r="V3779">
        <v>1200</v>
      </c>
      <c r="W3779">
        <v>984.05</v>
      </c>
      <c r="X3779" t="s">
        <v>75</v>
      </c>
      <c r="Y3779" t="s">
        <v>68</v>
      </c>
      <c r="Z3779" t="s">
        <v>162</v>
      </c>
      <c r="AA3779" t="s">
        <v>169</v>
      </c>
      <c r="AB3779">
        <v>3.7</v>
      </c>
      <c r="AC3779">
        <v>100</v>
      </c>
      <c r="AD3779">
        <v>73.23</v>
      </c>
      <c r="AE3779">
        <f t="shared" si="118"/>
        <v>810.81999999999994</v>
      </c>
      <c r="AF3779" t="str">
        <f t="shared" si="119"/>
        <v>2026-05</v>
      </c>
      <c r="AG3779">
        <f>SUBTOTAL(103,A3779)</f>
        <v>1</v>
      </c>
    </row>
    <row r="3780" spans="1:33" x14ac:dyDescent="0.3">
      <c r="A3780" t="s">
        <v>6403</v>
      </c>
      <c r="B3780" s="13">
        <v>46143</v>
      </c>
      <c r="C3780">
        <v>2026</v>
      </c>
      <c r="D3780">
        <v>5</v>
      </c>
      <c r="E3780" t="s">
        <v>3566</v>
      </c>
      <c r="F3780" t="s">
        <v>3329</v>
      </c>
      <c r="G3780" t="s">
        <v>2213</v>
      </c>
      <c r="H3780" t="s">
        <v>2214</v>
      </c>
      <c r="I3780" t="s">
        <v>86</v>
      </c>
      <c r="J3780">
        <v>52</v>
      </c>
      <c r="K3780" t="s">
        <v>83</v>
      </c>
      <c r="L3780" t="s">
        <v>59</v>
      </c>
      <c r="M3780" t="s">
        <v>59</v>
      </c>
      <c r="N3780" t="s">
        <v>2577</v>
      </c>
      <c r="O3780" t="s">
        <v>129</v>
      </c>
      <c r="P3780" t="s">
        <v>49</v>
      </c>
      <c r="Q3780" t="s">
        <v>149</v>
      </c>
      <c r="R3780">
        <v>1</v>
      </c>
      <c r="S3780">
        <v>1299</v>
      </c>
      <c r="T3780">
        <v>0.2</v>
      </c>
      <c r="U3780">
        <v>1039.2</v>
      </c>
      <c r="V3780">
        <v>650</v>
      </c>
      <c r="W3780">
        <v>389.2</v>
      </c>
      <c r="X3780" t="s">
        <v>73</v>
      </c>
      <c r="Y3780" t="s">
        <v>68</v>
      </c>
      <c r="Z3780" t="s">
        <v>163</v>
      </c>
      <c r="AA3780" t="s">
        <v>168</v>
      </c>
      <c r="AB3780">
        <v>3.6</v>
      </c>
      <c r="AC3780">
        <v>50</v>
      </c>
      <c r="AD3780">
        <v>86.11</v>
      </c>
      <c r="AE3780">
        <f t="shared" si="118"/>
        <v>253.08999999999997</v>
      </c>
      <c r="AF3780" t="str">
        <f t="shared" si="119"/>
        <v>2026-05</v>
      </c>
      <c r="AG3780">
        <f>SUBTOTAL(103,A3780)</f>
        <v>1</v>
      </c>
    </row>
    <row r="3781" spans="1:33" x14ac:dyDescent="0.3">
      <c r="A3781" t="s">
        <v>6404</v>
      </c>
      <c r="B3781" s="13">
        <v>46143</v>
      </c>
      <c r="C3781">
        <v>2026</v>
      </c>
      <c r="D3781">
        <v>5</v>
      </c>
      <c r="E3781" t="s">
        <v>3566</v>
      </c>
      <c r="F3781" t="s">
        <v>3329</v>
      </c>
      <c r="G3781" t="s">
        <v>589</v>
      </c>
      <c r="H3781" t="s">
        <v>590</v>
      </c>
      <c r="I3781" t="s">
        <v>85</v>
      </c>
      <c r="J3781">
        <v>23</v>
      </c>
      <c r="K3781" t="s">
        <v>80</v>
      </c>
      <c r="L3781" t="s">
        <v>98</v>
      </c>
      <c r="M3781" t="s">
        <v>55</v>
      </c>
      <c r="N3781" t="s">
        <v>2592</v>
      </c>
      <c r="O3781" t="s">
        <v>115</v>
      </c>
      <c r="P3781" t="s">
        <v>48</v>
      </c>
      <c r="Q3781" t="s">
        <v>137</v>
      </c>
      <c r="R3781">
        <v>3</v>
      </c>
      <c r="S3781">
        <v>12999</v>
      </c>
      <c r="T3781">
        <v>0.1</v>
      </c>
      <c r="U3781">
        <v>35097.300000000003</v>
      </c>
      <c r="V3781">
        <v>27000</v>
      </c>
      <c r="W3781">
        <v>8097.3</v>
      </c>
      <c r="X3781" t="s">
        <v>73</v>
      </c>
      <c r="Y3781" t="s">
        <v>68</v>
      </c>
      <c r="Z3781" t="s">
        <v>162</v>
      </c>
      <c r="AA3781" t="s">
        <v>166</v>
      </c>
      <c r="AB3781">
        <v>3.6</v>
      </c>
      <c r="AC3781">
        <v>50</v>
      </c>
      <c r="AD3781">
        <v>3459.63</v>
      </c>
      <c r="AE3781">
        <f t="shared" si="118"/>
        <v>4587.67</v>
      </c>
      <c r="AF3781" t="str">
        <f t="shared" si="119"/>
        <v>2026-05</v>
      </c>
      <c r="AG3781">
        <f>SUBTOTAL(103,A3781)</f>
        <v>1</v>
      </c>
    </row>
    <row r="3782" spans="1:33" x14ac:dyDescent="0.3">
      <c r="A3782" t="s">
        <v>6405</v>
      </c>
      <c r="B3782" s="13">
        <v>46143</v>
      </c>
      <c r="C3782">
        <v>2026</v>
      </c>
      <c r="D3782">
        <v>5</v>
      </c>
      <c r="E3782" t="s">
        <v>3566</v>
      </c>
      <c r="F3782" t="s">
        <v>3329</v>
      </c>
      <c r="G3782" t="s">
        <v>511</v>
      </c>
      <c r="H3782" t="s">
        <v>512</v>
      </c>
      <c r="I3782" t="s">
        <v>86</v>
      </c>
      <c r="J3782">
        <v>49</v>
      </c>
      <c r="K3782" t="s">
        <v>83</v>
      </c>
      <c r="L3782" t="s">
        <v>94</v>
      </c>
      <c r="M3782" t="s">
        <v>57</v>
      </c>
      <c r="N3782" t="s">
        <v>2596</v>
      </c>
      <c r="O3782" t="s">
        <v>124</v>
      </c>
      <c r="P3782" t="s">
        <v>51</v>
      </c>
      <c r="Q3782" t="s">
        <v>147</v>
      </c>
      <c r="R3782">
        <v>4</v>
      </c>
      <c r="S3782">
        <v>2299</v>
      </c>
      <c r="T3782">
        <v>0.2</v>
      </c>
      <c r="U3782">
        <v>7356.8</v>
      </c>
      <c r="V3782">
        <v>4800</v>
      </c>
      <c r="W3782">
        <v>2556.8000000000002</v>
      </c>
      <c r="X3782" t="s">
        <v>76</v>
      </c>
      <c r="Y3782" t="s">
        <v>70</v>
      </c>
      <c r="Z3782" t="s">
        <v>159</v>
      </c>
      <c r="AA3782" t="s">
        <v>167</v>
      </c>
      <c r="AB3782">
        <v>4.5999999999999996</v>
      </c>
      <c r="AC3782">
        <v>50</v>
      </c>
      <c r="AD3782">
        <v>355.92</v>
      </c>
      <c r="AE3782">
        <f t="shared" si="118"/>
        <v>2150.88</v>
      </c>
      <c r="AF3782" t="str">
        <f t="shared" si="119"/>
        <v>2026-05</v>
      </c>
      <c r="AG3782">
        <f>SUBTOTAL(103,A3782)</f>
        <v>1</v>
      </c>
    </row>
    <row r="3783" spans="1:33" x14ac:dyDescent="0.3">
      <c r="A3783" t="s">
        <v>6406</v>
      </c>
      <c r="B3783" s="13">
        <v>46144</v>
      </c>
      <c r="C3783">
        <v>2026</v>
      </c>
      <c r="D3783">
        <v>5</v>
      </c>
      <c r="E3783" t="s">
        <v>3566</v>
      </c>
      <c r="F3783" t="s">
        <v>3329</v>
      </c>
      <c r="G3783" t="s">
        <v>795</v>
      </c>
      <c r="H3783" t="s">
        <v>796</v>
      </c>
      <c r="I3783" t="s">
        <v>85</v>
      </c>
      <c r="J3783">
        <v>33</v>
      </c>
      <c r="K3783" t="s">
        <v>81</v>
      </c>
      <c r="L3783" t="s">
        <v>93</v>
      </c>
      <c r="M3783" t="s">
        <v>55</v>
      </c>
      <c r="N3783" t="s">
        <v>2577</v>
      </c>
      <c r="O3783" t="s">
        <v>129</v>
      </c>
      <c r="P3783" t="s">
        <v>49</v>
      </c>
      <c r="Q3783" t="s">
        <v>149</v>
      </c>
      <c r="R3783">
        <v>2</v>
      </c>
      <c r="S3783">
        <v>1299</v>
      </c>
      <c r="T3783">
        <v>0</v>
      </c>
      <c r="U3783">
        <v>2598</v>
      </c>
      <c r="V3783">
        <v>1300</v>
      </c>
      <c r="W3783">
        <v>1298</v>
      </c>
      <c r="X3783" t="s">
        <v>75</v>
      </c>
      <c r="Y3783" t="s">
        <v>68</v>
      </c>
      <c r="Z3783" t="s">
        <v>158</v>
      </c>
      <c r="AA3783" t="s">
        <v>167</v>
      </c>
      <c r="AB3783">
        <v>3.2</v>
      </c>
      <c r="AC3783">
        <v>100</v>
      </c>
      <c r="AD3783">
        <v>251.48</v>
      </c>
      <c r="AE3783">
        <f t="shared" si="118"/>
        <v>946.52</v>
      </c>
      <c r="AF3783" t="str">
        <f t="shared" si="119"/>
        <v>2026-05</v>
      </c>
      <c r="AG3783">
        <f>SUBTOTAL(103,A3783)</f>
        <v>1</v>
      </c>
    </row>
    <row r="3784" spans="1:33" x14ac:dyDescent="0.3">
      <c r="A3784" t="s">
        <v>6407</v>
      </c>
      <c r="B3784" s="13">
        <v>46144</v>
      </c>
      <c r="C3784">
        <v>2026</v>
      </c>
      <c r="D3784">
        <v>5</v>
      </c>
      <c r="E3784" t="s">
        <v>3566</v>
      </c>
      <c r="F3784" t="s">
        <v>3329</v>
      </c>
      <c r="G3784" t="s">
        <v>563</v>
      </c>
      <c r="H3784" t="s">
        <v>564</v>
      </c>
      <c r="I3784" t="s">
        <v>85</v>
      </c>
      <c r="J3784">
        <v>22</v>
      </c>
      <c r="K3784" t="s">
        <v>80</v>
      </c>
      <c r="L3784" t="s">
        <v>2576</v>
      </c>
      <c r="M3784" t="s">
        <v>60</v>
      </c>
      <c r="N3784" t="s">
        <v>2582</v>
      </c>
      <c r="O3784" t="s">
        <v>119</v>
      </c>
      <c r="P3784" t="s">
        <v>49</v>
      </c>
      <c r="Q3784" t="s">
        <v>140</v>
      </c>
      <c r="R3784">
        <v>1</v>
      </c>
      <c r="S3784">
        <v>3499</v>
      </c>
      <c r="T3784">
        <v>0</v>
      </c>
      <c r="U3784">
        <v>3499</v>
      </c>
      <c r="V3784">
        <v>2100</v>
      </c>
      <c r="W3784">
        <v>1399</v>
      </c>
      <c r="X3784" t="s">
        <v>75</v>
      </c>
      <c r="Y3784" t="s">
        <v>68</v>
      </c>
      <c r="Z3784" t="s">
        <v>160</v>
      </c>
      <c r="AA3784" t="s">
        <v>169</v>
      </c>
      <c r="AB3784">
        <v>4.3</v>
      </c>
      <c r="AC3784">
        <v>40</v>
      </c>
      <c r="AD3784">
        <v>115.93</v>
      </c>
      <c r="AE3784">
        <f t="shared" si="118"/>
        <v>1243.07</v>
      </c>
      <c r="AF3784" t="str">
        <f t="shared" si="119"/>
        <v>2026-05</v>
      </c>
      <c r="AG3784">
        <f>SUBTOTAL(103,A3784)</f>
        <v>1</v>
      </c>
    </row>
    <row r="3785" spans="1:33" x14ac:dyDescent="0.3">
      <c r="A3785" t="s">
        <v>6408</v>
      </c>
      <c r="B3785" s="13">
        <v>46144</v>
      </c>
      <c r="C3785">
        <v>2026</v>
      </c>
      <c r="D3785">
        <v>5</v>
      </c>
      <c r="E3785" t="s">
        <v>3566</v>
      </c>
      <c r="F3785" t="s">
        <v>3329</v>
      </c>
      <c r="G3785" t="s">
        <v>1065</v>
      </c>
      <c r="H3785" t="s">
        <v>1066</v>
      </c>
      <c r="I3785" t="s">
        <v>85</v>
      </c>
      <c r="J3785">
        <v>57</v>
      </c>
      <c r="K3785" t="s">
        <v>83</v>
      </c>
      <c r="L3785" t="s">
        <v>96</v>
      </c>
      <c r="M3785" t="s">
        <v>55</v>
      </c>
      <c r="N3785" t="s">
        <v>2665</v>
      </c>
      <c r="O3785" t="s">
        <v>128</v>
      </c>
      <c r="P3785" t="s">
        <v>53</v>
      </c>
      <c r="Q3785" t="s">
        <v>143</v>
      </c>
      <c r="R3785">
        <v>5</v>
      </c>
      <c r="S3785">
        <v>1499</v>
      </c>
      <c r="T3785">
        <v>0</v>
      </c>
      <c r="U3785">
        <v>7495</v>
      </c>
      <c r="V3785">
        <v>4000</v>
      </c>
      <c r="W3785">
        <v>3495</v>
      </c>
      <c r="X3785" t="s">
        <v>76</v>
      </c>
      <c r="Y3785" t="s">
        <v>68</v>
      </c>
      <c r="Z3785" t="s">
        <v>158</v>
      </c>
      <c r="AA3785" t="s">
        <v>166</v>
      </c>
      <c r="AB3785">
        <v>5</v>
      </c>
      <c r="AC3785">
        <v>120</v>
      </c>
      <c r="AD3785">
        <v>873.35</v>
      </c>
      <c r="AE3785">
        <f t="shared" si="118"/>
        <v>2501.65</v>
      </c>
      <c r="AF3785" t="str">
        <f t="shared" si="119"/>
        <v>2026-05</v>
      </c>
      <c r="AG3785">
        <f>SUBTOTAL(103,A3785)</f>
        <v>1</v>
      </c>
    </row>
    <row r="3786" spans="1:33" x14ac:dyDescent="0.3">
      <c r="A3786" t="s">
        <v>6409</v>
      </c>
      <c r="B3786" s="13">
        <v>46144</v>
      </c>
      <c r="C3786">
        <v>2026</v>
      </c>
      <c r="D3786">
        <v>5</v>
      </c>
      <c r="E3786" t="s">
        <v>3566</v>
      </c>
      <c r="F3786" t="s">
        <v>3329</v>
      </c>
      <c r="G3786" t="s">
        <v>1747</v>
      </c>
      <c r="H3786" t="s">
        <v>1748</v>
      </c>
      <c r="I3786" t="s">
        <v>85</v>
      </c>
      <c r="J3786">
        <v>49</v>
      </c>
      <c r="K3786" t="s">
        <v>83</v>
      </c>
      <c r="L3786" t="s">
        <v>95</v>
      </c>
      <c r="M3786" t="s">
        <v>56</v>
      </c>
      <c r="N3786" t="s">
        <v>2606</v>
      </c>
      <c r="O3786" t="s">
        <v>120</v>
      </c>
      <c r="P3786" t="s">
        <v>49</v>
      </c>
      <c r="Q3786" t="s">
        <v>140</v>
      </c>
      <c r="R3786">
        <v>3</v>
      </c>
      <c r="S3786">
        <v>2799</v>
      </c>
      <c r="T3786">
        <v>0.15</v>
      </c>
      <c r="U3786">
        <v>7137.45</v>
      </c>
      <c r="V3786">
        <v>4950</v>
      </c>
      <c r="W3786">
        <v>2187.4499999999998</v>
      </c>
      <c r="X3786" t="s">
        <v>73</v>
      </c>
      <c r="Y3786" t="s">
        <v>68</v>
      </c>
      <c r="Z3786" t="s">
        <v>163</v>
      </c>
      <c r="AA3786" t="s">
        <v>166</v>
      </c>
      <c r="AB3786">
        <v>5</v>
      </c>
      <c r="AC3786">
        <v>80</v>
      </c>
      <c r="AD3786">
        <v>798.04</v>
      </c>
      <c r="AE3786">
        <f t="shared" si="118"/>
        <v>1309.4099999999999</v>
      </c>
      <c r="AF3786" t="str">
        <f t="shared" si="119"/>
        <v>2026-05</v>
      </c>
      <c r="AG3786">
        <f>SUBTOTAL(103,A3786)</f>
        <v>1</v>
      </c>
    </row>
    <row r="3787" spans="1:33" x14ac:dyDescent="0.3">
      <c r="A3787" t="s">
        <v>6410</v>
      </c>
      <c r="B3787" s="13">
        <v>46144</v>
      </c>
      <c r="C3787">
        <v>2026</v>
      </c>
      <c r="D3787">
        <v>5</v>
      </c>
      <c r="E3787" t="s">
        <v>3566</v>
      </c>
      <c r="F3787" t="s">
        <v>3329</v>
      </c>
      <c r="G3787" t="s">
        <v>699</v>
      </c>
      <c r="H3787" t="s">
        <v>700</v>
      </c>
      <c r="I3787" t="s">
        <v>85</v>
      </c>
      <c r="J3787">
        <v>42</v>
      </c>
      <c r="K3787" t="s">
        <v>82</v>
      </c>
      <c r="L3787" t="s">
        <v>2634</v>
      </c>
      <c r="M3787" t="s">
        <v>56</v>
      </c>
      <c r="N3787" t="s">
        <v>2590</v>
      </c>
      <c r="O3787" t="s">
        <v>127</v>
      </c>
      <c r="P3787" t="s">
        <v>51</v>
      </c>
      <c r="Q3787" t="s">
        <v>148</v>
      </c>
      <c r="R3787">
        <v>2</v>
      </c>
      <c r="S3787">
        <v>1599</v>
      </c>
      <c r="T3787">
        <v>0.1</v>
      </c>
      <c r="U3787">
        <v>2878.2</v>
      </c>
      <c r="V3787">
        <v>1600</v>
      </c>
      <c r="W3787">
        <v>1278.2</v>
      </c>
      <c r="X3787" t="s">
        <v>73</v>
      </c>
      <c r="Y3787" t="s">
        <v>68</v>
      </c>
      <c r="Z3787" t="s">
        <v>162</v>
      </c>
      <c r="AA3787" t="s">
        <v>167</v>
      </c>
      <c r="AB3787">
        <v>2.9</v>
      </c>
      <c r="AC3787">
        <v>80</v>
      </c>
      <c r="AD3787">
        <v>323.60000000000002</v>
      </c>
      <c r="AE3787">
        <f t="shared" si="118"/>
        <v>874.6</v>
      </c>
      <c r="AF3787" t="str">
        <f t="shared" si="119"/>
        <v>2026-05</v>
      </c>
      <c r="AG3787">
        <f>SUBTOTAL(103,A3787)</f>
        <v>1</v>
      </c>
    </row>
    <row r="3788" spans="1:33" x14ac:dyDescent="0.3">
      <c r="A3788" t="s">
        <v>6411</v>
      </c>
      <c r="B3788" s="13">
        <v>46144</v>
      </c>
      <c r="C3788">
        <v>2026</v>
      </c>
      <c r="D3788">
        <v>5</v>
      </c>
      <c r="E3788" t="s">
        <v>3566</v>
      </c>
      <c r="F3788" t="s">
        <v>3329</v>
      </c>
      <c r="G3788" t="s">
        <v>887</v>
      </c>
      <c r="H3788" t="s">
        <v>888</v>
      </c>
      <c r="I3788" t="s">
        <v>85</v>
      </c>
      <c r="J3788">
        <v>26</v>
      </c>
      <c r="K3788" t="s">
        <v>81</v>
      </c>
      <c r="L3788" t="s">
        <v>100</v>
      </c>
      <c r="M3788" t="s">
        <v>56</v>
      </c>
      <c r="N3788" t="s">
        <v>2596</v>
      </c>
      <c r="O3788" t="s">
        <v>124</v>
      </c>
      <c r="P3788" t="s">
        <v>51</v>
      </c>
      <c r="Q3788" t="s">
        <v>147</v>
      </c>
      <c r="R3788">
        <v>2</v>
      </c>
      <c r="S3788">
        <v>2299</v>
      </c>
      <c r="T3788">
        <v>0.05</v>
      </c>
      <c r="U3788">
        <v>4368.1000000000004</v>
      </c>
      <c r="V3788">
        <v>2400</v>
      </c>
      <c r="W3788">
        <v>1968.1</v>
      </c>
      <c r="X3788" t="s">
        <v>75</v>
      </c>
      <c r="Y3788" t="s">
        <v>68</v>
      </c>
      <c r="Z3788" t="s">
        <v>160</v>
      </c>
      <c r="AA3788" t="s">
        <v>168</v>
      </c>
      <c r="AB3788">
        <v>3.6</v>
      </c>
      <c r="AC3788">
        <v>60</v>
      </c>
      <c r="AD3788">
        <v>269.22000000000003</v>
      </c>
      <c r="AE3788">
        <f t="shared" si="118"/>
        <v>1638.8799999999999</v>
      </c>
      <c r="AF3788" t="str">
        <f t="shared" si="119"/>
        <v>2026-05</v>
      </c>
      <c r="AG3788">
        <f>SUBTOTAL(103,A3788)</f>
        <v>1</v>
      </c>
    </row>
    <row r="3789" spans="1:33" x14ac:dyDescent="0.3">
      <c r="A3789" t="s">
        <v>6412</v>
      </c>
      <c r="B3789" s="13">
        <v>46144</v>
      </c>
      <c r="C3789">
        <v>2026</v>
      </c>
      <c r="D3789">
        <v>5</v>
      </c>
      <c r="E3789" t="s">
        <v>3566</v>
      </c>
      <c r="F3789" t="s">
        <v>3329</v>
      </c>
      <c r="G3789" t="s">
        <v>1761</v>
      </c>
      <c r="H3789" t="s">
        <v>1762</v>
      </c>
      <c r="I3789" t="s">
        <v>85</v>
      </c>
      <c r="J3789">
        <v>40</v>
      </c>
      <c r="K3789" t="s">
        <v>82</v>
      </c>
      <c r="L3789" t="s">
        <v>2623</v>
      </c>
      <c r="M3789" t="s">
        <v>61</v>
      </c>
      <c r="N3789" t="s">
        <v>2584</v>
      </c>
      <c r="O3789" t="s">
        <v>121</v>
      </c>
      <c r="P3789" t="s">
        <v>50</v>
      </c>
      <c r="Q3789" t="s">
        <v>144</v>
      </c>
      <c r="R3789">
        <v>1</v>
      </c>
      <c r="S3789">
        <v>2999</v>
      </c>
      <c r="T3789">
        <v>0.15</v>
      </c>
      <c r="U3789">
        <v>2549.15</v>
      </c>
      <c r="V3789">
        <v>1700</v>
      </c>
      <c r="W3789">
        <v>849.15</v>
      </c>
      <c r="X3789" t="s">
        <v>76</v>
      </c>
      <c r="Y3789" t="s">
        <v>70</v>
      </c>
      <c r="Z3789" t="s">
        <v>158</v>
      </c>
      <c r="AA3789" t="s">
        <v>171</v>
      </c>
      <c r="AB3789">
        <v>3.8</v>
      </c>
      <c r="AC3789">
        <v>50</v>
      </c>
      <c r="AD3789">
        <v>195.89</v>
      </c>
      <c r="AE3789">
        <f t="shared" si="118"/>
        <v>603.26</v>
      </c>
      <c r="AF3789" t="str">
        <f t="shared" si="119"/>
        <v>2026-05</v>
      </c>
      <c r="AG3789">
        <f>SUBTOTAL(103,A3789)</f>
        <v>1</v>
      </c>
    </row>
    <row r="3790" spans="1:33" x14ac:dyDescent="0.3">
      <c r="A3790" t="s">
        <v>6413</v>
      </c>
      <c r="B3790" s="13">
        <v>46144</v>
      </c>
      <c r="C3790">
        <v>2026</v>
      </c>
      <c r="D3790">
        <v>5</v>
      </c>
      <c r="E3790" t="s">
        <v>3566</v>
      </c>
      <c r="F3790" t="s">
        <v>3329</v>
      </c>
      <c r="G3790" t="s">
        <v>2351</v>
      </c>
      <c r="H3790" t="s">
        <v>2352</v>
      </c>
      <c r="I3790" t="s">
        <v>85</v>
      </c>
      <c r="J3790">
        <v>24</v>
      </c>
      <c r="K3790" t="s">
        <v>80</v>
      </c>
      <c r="L3790" t="s">
        <v>98</v>
      </c>
      <c r="M3790" t="s">
        <v>55</v>
      </c>
      <c r="N3790" t="s">
        <v>2574</v>
      </c>
      <c r="O3790" t="s">
        <v>130</v>
      </c>
      <c r="P3790" t="s">
        <v>50</v>
      </c>
      <c r="Q3790" t="s">
        <v>53</v>
      </c>
      <c r="R3790">
        <v>2</v>
      </c>
      <c r="S3790">
        <v>1199</v>
      </c>
      <c r="T3790">
        <v>0.15</v>
      </c>
      <c r="U3790">
        <v>2038.3</v>
      </c>
      <c r="V3790">
        <v>1100</v>
      </c>
      <c r="W3790">
        <v>938.3</v>
      </c>
      <c r="X3790" t="s">
        <v>73</v>
      </c>
      <c r="Y3790" t="s">
        <v>68</v>
      </c>
      <c r="Z3790" t="s">
        <v>159</v>
      </c>
      <c r="AA3790" t="s">
        <v>169</v>
      </c>
      <c r="AB3790">
        <v>4</v>
      </c>
      <c r="AC3790">
        <v>60</v>
      </c>
      <c r="AD3790">
        <v>113.11</v>
      </c>
      <c r="AE3790">
        <f t="shared" si="118"/>
        <v>765.18999999999994</v>
      </c>
      <c r="AF3790" t="str">
        <f t="shared" si="119"/>
        <v>2026-05</v>
      </c>
      <c r="AG3790">
        <f>SUBTOTAL(103,A3790)</f>
        <v>1</v>
      </c>
    </row>
    <row r="3791" spans="1:33" x14ac:dyDescent="0.3">
      <c r="A3791" t="s">
        <v>6414</v>
      </c>
      <c r="B3791" s="13">
        <v>46145</v>
      </c>
      <c r="C3791">
        <v>2026</v>
      </c>
      <c r="D3791">
        <v>5</v>
      </c>
      <c r="E3791" t="s">
        <v>3566</v>
      </c>
      <c r="F3791" t="s">
        <v>3329</v>
      </c>
      <c r="G3791" t="s">
        <v>1479</v>
      </c>
      <c r="H3791" t="s">
        <v>1480</v>
      </c>
      <c r="I3791" t="s">
        <v>86</v>
      </c>
      <c r="J3791">
        <v>54</v>
      </c>
      <c r="K3791" t="s">
        <v>83</v>
      </c>
      <c r="L3791" t="s">
        <v>93</v>
      </c>
      <c r="M3791" t="s">
        <v>55</v>
      </c>
      <c r="N3791" t="s">
        <v>2574</v>
      </c>
      <c r="O3791" t="s">
        <v>130</v>
      </c>
      <c r="P3791" t="s">
        <v>50</v>
      </c>
      <c r="Q3791" t="s">
        <v>53</v>
      </c>
      <c r="R3791">
        <v>1</v>
      </c>
      <c r="S3791">
        <v>1199</v>
      </c>
      <c r="T3791">
        <v>0.15</v>
      </c>
      <c r="U3791">
        <v>1019.15</v>
      </c>
      <c r="V3791">
        <v>550</v>
      </c>
      <c r="W3791">
        <v>469.15</v>
      </c>
      <c r="X3791" t="s">
        <v>74</v>
      </c>
      <c r="Y3791" t="s">
        <v>68</v>
      </c>
      <c r="Z3791" t="s">
        <v>159</v>
      </c>
      <c r="AA3791" t="s">
        <v>170</v>
      </c>
      <c r="AB3791">
        <v>3.9</v>
      </c>
      <c r="AC3791">
        <v>60</v>
      </c>
      <c r="AD3791">
        <v>69.05</v>
      </c>
      <c r="AE3791">
        <f t="shared" si="118"/>
        <v>340.09999999999997</v>
      </c>
      <c r="AF3791" t="str">
        <f t="shared" si="119"/>
        <v>2026-05</v>
      </c>
      <c r="AG3791">
        <f>SUBTOTAL(103,A3791)</f>
        <v>1</v>
      </c>
    </row>
    <row r="3792" spans="1:33" x14ac:dyDescent="0.3">
      <c r="A3792" t="s">
        <v>6415</v>
      </c>
      <c r="B3792" s="13">
        <v>46145</v>
      </c>
      <c r="C3792">
        <v>2026</v>
      </c>
      <c r="D3792">
        <v>5</v>
      </c>
      <c r="E3792" t="s">
        <v>3566</v>
      </c>
      <c r="F3792" t="s">
        <v>3329</v>
      </c>
      <c r="G3792" t="s">
        <v>1199</v>
      </c>
      <c r="H3792" t="s">
        <v>1200</v>
      </c>
      <c r="I3792" t="s">
        <v>85</v>
      </c>
      <c r="J3792">
        <v>58</v>
      </c>
      <c r="K3792" t="s">
        <v>83</v>
      </c>
      <c r="L3792" t="s">
        <v>93</v>
      </c>
      <c r="M3792" t="s">
        <v>55</v>
      </c>
      <c r="N3792" t="s">
        <v>2606</v>
      </c>
      <c r="O3792" t="s">
        <v>120</v>
      </c>
      <c r="P3792" t="s">
        <v>49</v>
      </c>
      <c r="Q3792" t="s">
        <v>140</v>
      </c>
      <c r="R3792">
        <v>1</v>
      </c>
      <c r="S3792">
        <v>2799</v>
      </c>
      <c r="T3792">
        <v>0</v>
      </c>
      <c r="U3792">
        <v>2799</v>
      </c>
      <c r="V3792">
        <v>1650</v>
      </c>
      <c r="W3792">
        <v>1149</v>
      </c>
      <c r="X3792" t="s">
        <v>73</v>
      </c>
      <c r="Y3792" t="s">
        <v>68</v>
      </c>
      <c r="Z3792" t="s">
        <v>163</v>
      </c>
      <c r="AA3792" t="s">
        <v>166</v>
      </c>
      <c r="AB3792">
        <v>4</v>
      </c>
      <c r="AC3792">
        <v>60</v>
      </c>
      <c r="AD3792">
        <v>57.71</v>
      </c>
      <c r="AE3792">
        <f t="shared" si="118"/>
        <v>1031.29</v>
      </c>
      <c r="AF3792" t="str">
        <f t="shared" si="119"/>
        <v>2026-05</v>
      </c>
      <c r="AG3792">
        <f>SUBTOTAL(103,A3792)</f>
        <v>1</v>
      </c>
    </row>
    <row r="3793" spans="1:33" x14ac:dyDescent="0.3">
      <c r="A3793" t="s">
        <v>6416</v>
      </c>
      <c r="B3793" s="13">
        <v>46145</v>
      </c>
      <c r="C3793">
        <v>2026</v>
      </c>
      <c r="D3793">
        <v>5</v>
      </c>
      <c r="E3793" t="s">
        <v>3566</v>
      </c>
      <c r="F3793" t="s">
        <v>3329</v>
      </c>
      <c r="G3793" t="s">
        <v>333</v>
      </c>
      <c r="H3793" t="s">
        <v>334</v>
      </c>
      <c r="I3793" t="s">
        <v>85</v>
      </c>
      <c r="J3793">
        <v>52</v>
      </c>
      <c r="K3793" t="s">
        <v>83</v>
      </c>
      <c r="L3793" t="s">
        <v>94</v>
      </c>
      <c r="M3793" t="s">
        <v>57</v>
      </c>
      <c r="N3793" t="s">
        <v>2657</v>
      </c>
      <c r="O3793" t="s">
        <v>134</v>
      </c>
      <c r="P3793" t="s">
        <v>49</v>
      </c>
      <c r="Q3793" t="s">
        <v>140</v>
      </c>
      <c r="R3793">
        <v>2</v>
      </c>
      <c r="S3793">
        <v>599</v>
      </c>
      <c r="T3793">
        <v>0.15</v>
      </c>
      <c r="U3793">
        <v>0</v>
      </c>
      <c r="V3793">
        <v>0</v>
      </c>
      <c r="W3793">
        <v>0</v>
      </c>
      <c r="X3793" t="s">
        <v>75</v>
      </c>
      <c r="Y3793" t="s">
        <v>71</v>
      </c>
      <c r="Z3793" t="s">
        <v>162</v>
      </c>
      <c r="AA3793" t="s">
        <v>169</v>
      </c>
      <c r="AB3793">
        <v>5</v>
      </c>
      <c r="AC3793">
        <v>80</v>
      </c>
      <c r="AD3793">
        <v>24.96</v>
      </c>
      <c r="AE3793">
        <f t="shared" si="118"/>
        <v>-104.96000000000001</v>
      </c>
      <c r="AF3793" t="str">
        <f t="shared" si="119"/>
        <v>2026-05</v>
      </c>
      <c r="AG3793">
        <f>SUBTOTAL(103,A3793)</f>
        <v>1</v>
      </c>
    </row>
    <row r="3794" spans="1:33" x14ac:dyDescent="0.3">
      <c r="A3794" t="s">
        <v>6417</v>
      </c>
      <c r="B3794" s="13">
        <v>46145</v>
      </c>
      <c r="C3794">
        <v>2026</v>
      </c>
      <c r="D3794">
        <v>5</v>
      </c>
      <c r="E3794" t="s">
        <v>3566</v>
      </c>
      <c r="F3794" t="s">
        <v>3329</v>
      </c>
      <c r="G3794" t="s">
        <v>931</v>
      </c>
      <c r="H3794" t="s">
        <v>932</v>
      </c>
      <c r="I3794" t="s">
        <v>86</v>
      </c>
      <c r="J3794">
        <v>39</v>
      </c>
      <c r="K3794" t="s">
        <v>82</v>
      </c>
      <c r="L3794" t="s">
        <v>2579</v>
      </c>
      <c r="M3794" t="s">
        <v>56</v>
      </c>
      <c r="N3794" t="s">
        <v>2603</v>
      </c>
      <c r="O3794" t="s">
        <v>122</v>
      </c>
      <c r="P3794" t="s">
        <v>48</v>
      </c>
      <c r="Q3794" t="s">
        <v>141</v>
      </c>
      <c r="R3794">
        <v>3</v>
      </c>
      <c r="S3794">
        <v>2499</v>
      </c>
      <c r="T3794">
        <v>0.05</v>
      </c>
      <c r="U3794">
        <v>0</v>
      </c>
      <c r="V3794">
        <v>0</v>
      </c>
      <c r="W3794">
        <v>0</v>
      </c>
      <c r="X3794" t="s">
        <v>73</v>
      </c>
      <c r="Y3794" t="s">
        <v>71</v>
      </c>
      <c r="Z3794" t="s">
        <v>160</v>
      </c>
      <c r="AA3794" t="s">
        <v>169</v>
      </c>
      <c r="AB3794">
        <v>4</v>
      </c>
      <c r="AC3794">
        <v>60</v>
      </c>
      <c r="AD3794">
        <v>149.44999999999999</v>
      </c>
      <c r="AE3794">
        <f t="shared" si="118"/>
        <v>-209.45</v>
      </c>
      <c r="AF3794" t="str">
        <f t="shared" si="119"/>
        <v>2026-05</v>
      </c>
      <c r="AG3794">
        <f>SUBTOTAL(103,A3794)</f>
        <v>1</v>
      </c>
    </row>
    <row r="3795" spans="1:33" x14ac:dyDescent="0.3">
      <c r="A3795" t="s">
        <v>6418</v>
      </c>
      <c r="B3795" s="13">
        <v>46145</v>
      </c>
      <c r="C3795">
        <v>2026</v>
      </c>
      <c r="D3795">
        <v>5</v>
      </c>
      <c r="E3795" t="s">
        <v>3566</v>
      </c>
      <c r="F3795" t="s">
        <v>3329</v>
      </c>
      <c r="G3795" t="s">
        <v>1179</v>
      </c>
      <c r="H3795" t="s">
        <v>1180</v>
      </c>
      <c r="I3795" t="s">
        <v>85</v>
      </c>
      <c r="J3795">
        <v>43</v>
      </c>
      <c r="K3795" t="s">
        <v>82</v>
      </c>
      <c r="L3795" t="s">
        <v>2661</v>
      </c>
      <c r="M3795" t="s">
        <v>58</v>
      </c>
      <c r="N3795" t="s">
        <v>2653</v>
      </c>
      <c r="O3795" t="s">
        <v>132</v>
      </c>
      <c r="P3795" t="s">
        <v>52</v>
      </c>
      <c r="Q3795" t="s">
        <v>150</v>
      </c>
      <c r="R3795">
        <v>3</v>
      </c>
      <c r="S3795">
        <v>899</v>
      </c>
      <c r="T3795">
        <v>0</v>
      </c>
      <c r="U3795">
        <v>2697</v>
      </c>
      <c r="V3795">
        <v>1260</v>
      </c>
      <c r="W3795">
        <v>1437</v>
      </c>
      <c r="X3795" t="s">
        <v>74</v>
      </c>
      <c r="Y3795" t="s">
        <v>68</v>
      </c>
      <c r="Z3795" t="s">
        <v>163</v>
      </c>
      <c r="AA3795" t="s">
        <v>170</v>
      </c>
      <c r="AB3795">
        <v>4.8</v>
      </c>
      <c r="AC3795">
        <v>40</v>
      </c>
      <c r="AD3795">
        <v>100.92</v>
      </c>
      <c r="AE3795">
        <f t="shared" si="118"/>
        <v>1296.08</v>
      </c>
      <c r="AF3795" t="str">
        <f t="shared" si="119"/>
        <v>2026-05</v>
      </c>
      <c r="AG3795">
        <f>SUBTOTAL(103,A3795)</f>
        <v>1</v>
      </c>
    </row>
    <row r="3796" spans="1:33" x14ac:dyDescent="0.3">
      <c r="A3796" t="s">
        <v>6419</v>
      </c>
      <c r="B3796" s="13">
        <v>46146</v>
      </c>
      <c r="C3796">
        <v>2026</v>
      </c>
      <c r="D3796">
        <v>5</v>
      </c>
      <c r="E3796" t="s">
        <v>3566</v>
      </c>
      <c r="F3796" t="s">
        <v>3329</v>
      </c>
      <c r="G3796" t="s">
        <v>431</v>
      </c>
      <c r="H3796" t="s">
        <v>432</v>
      </c>
      <c r="I3796" t="s">
        <v>86</v>
      </c>
      <c r="J3796">
        <v>19</v>
      </c>
      <c r="K3796" t="s">
        <v>80</v>
      </c>
      <c r="L3796" t="s">
        <v>99</v>
      </c>
      <c r="M3796" t="s">
        <v>58</v>
      </c>
      <c r="N3796" t="s">
        <v>2590</v>
      </c>
      <c r="O3796" t="s">
        <v>127</v>
      </c>
      <c r="P3796" t="s">
        <v>51</v>
      </c>
      <c r="Q3796" t="s">
        <v>148</v>
      </c>
      <c r="R3796">
        <v>1</v>
      </c>
      <c r="S3796">
        <v>1599</v>
      </c>
      <c r="T3796">
        <v>0.1</v>
      </c>
      <c r="U3796">
        <v>1439.1</v>
      </c>
      <c r="V3796">
        <v>800</v>
      </c>
      <c r="W3796">
        <v>639.1</v>
      </c>
      <c r="X3796" t="s">
        <v>73</v>
      </c>
      <c r="Y3796" t="s">
        <v>68</v>
      </c>
      <c r="Z3796" t="s">
        <v>163</v>
      </c>
      <c r="AA3796" t="s">
        <v>169</v>
      </c>
      <c r="AB3796">
        <v>4.8</v>
      </c>
      <c r="AC3796">
        <v>50</v>
      </c>
      <c r="AD3796">
        <v>99.33</v>
      </c>
      <c r="AE3796">
        <f t="shared" si="118"/>
        <v>489.77000000000004</v>
      </c>
      <c r="AF3796" t="str">
        <f t="shared" si="119"/>
        <v>2026-05</v>
      </c>
      <c r="AG3796">
        <f>SUBTOTAL(103,A3796)</f>
        <v>1</v>
      </c>
    </row>
    <row r="3797" spans="1:33" x14ac:dyDescent="0.3">
      <c r="A3797" t="s">
        <v>6420</v>
      </c>
      <c r="B3797" s="13">
        <v>46146</v>
      </c>
      <c r="C3797">
        <v>2026</v>
      </c>
      <c r="D3797">
        <v>5</v>
      </c>
      <c r="E3797" t="s">
        <v>3566</v>
      </c>
      <c r="F3797" t="s">
        <v>3329</v>
      </c>
      <c r="G3797" t="s">
        <v>2061</v>
      </c>
      <c r="H3797" t="s">
        <v>2062</v>
      </c>
      <c r="I3797" t="s">
        <v>85</v>
      </c>
      <c r="J3797">
        <v>18</v>
      </c>
      <c r="K3797" t="s">
        <v>80</v>
      </c>
      <c r="L3797" t="s">
        <v>98</v>
      </c>
      <c r="M3797" t="s">
        <v>55</v>
      </c>
      <c r="N3797" t="s">
        <v>2626</v>
      </c>
      <c r="O3797" t="s">
        <v>125</v>
      </c>
      <c r="P3797" t="s">
        <v>48</v>
      </c>
      <c r="Q3797" t="s">
        <v>141</v>
      </c>
      <c r="R3797">
        <v>2</v>
      </c>
      <c r="S3797">
        <v>1999</v>
      </c>
      <c r="T3797">
        <v>0.2</v>
      </c>
      <c r="U3797">
        <v>3198.4</v>
      </c>
      <c r="V3797">
        <v>2300</v>
      </c>
      <c r="W3797">
        <v>898.4</v>
      </c>
      <c r="X3797" t="s">
        <v>73</v>
      </c>
      <c r="Y3797" t="s">
        <v>69</v>
      </c>
      <c r="Z3797" t="s">
        <v>159</v>
      </c>
      <c r="AA3797" t="s">
        <v>166</v>
      </c>
      <c r="AB3797">
        <v>4.5999999999999996</v>
      </c>
      <c r="AC3797">
        <v>60</v>
      </c>
      <c r="AD3797">
        <v>224.15</v>
      </c>
      <c r="AE3797">
        <f t="shared" si="118"/>
        <v>614.25</v>
      </c>
      <c r="AF3797" t="str">
        <f t="shared" si="119"/>
        <v>2026-05</v>
      </c>
      <c r="AG3797">
        <f>SUBTOTAL(103,A3797)</f>
        <v>1</v>
      </c>
    </row>
    <row r="3798" spans="1:33" x14ac:dyDescent="0.3">
      <c r="A3798" t="s">
        <v>6421</v>
      </c>
      <c r="B3798" s="13">
        <v>46146</v>
      </c>
      <c r="C3798">
        <v>2026</v>
      </c>
      <c r="D3798">
        <v>5</v>
      </c>
      <c r="E3798" t="s">
        <v>3566</v>
      </c>
      <c r="F3798" t="s">
        <v>3329</v>
      </c>
      <c r="G3798" t="s">
        <v>2255</v>
      </c>
      <c r="H3798" t="s">
        <v>2256</v>
      </c>
      <c r="I3798" t="s">
        <v>86</v>
      </c>
      <c r="J3798">
        <v>31</v>
      </c>
      <c r="K3798" t="s">
        <v>81</v>
      </c>
      <c r="L3798" t="s">
        <v>2661</v>
      </c>
      <c r="M3798" t="s">
        <v>58</v>
      </c>
      <c r="N3798" t="s">
        <v>2626</v>
      </c>
      <c r="O3798" t="s">
        <v>125</v>
      </c>
      <c r="P3798" t="s">
        <v>48</v>
      </c>
      <c r="Q3798" t="s">
        <v>141</v>
      </c>
      <c r="R3798">
        <v>2</v>
      </c>
      <c r="S3798">
        <v>1999</v>
      </c>
      <c r="T3798">
        <v>0.05</v>
      </c>
      <c r="U3798">
        <v>3798.1</v>
      </c>
      <c r="V3798">
        <v>2300</v>
      </c>
      <c r="W3798">
        <v>1498.1</v>
      </c>
      <c r="X3798" t="s">
        <v>75</v>
      </c>
      <c r="Y3798" t="s">
        <v>68</v>
      </c>
      <c r="Z3798" t="s">
        <v>161</v>
      </c>
      <c r="AA3798" t="s">
        <v>168</v>
      </c>
      <c r="AB3798">
        <v>5</v>
      </c>
      <c r="AC3798">
        <v>50</v>
      </c>
      <c r="AD3798">
        <v>94.26</v>
      </c>
      <c r="AE3798">
        <f t="shared" si="118"/>
        <v>1353.84</v>
      </c>
      <c r="AF3798" t="str">
        <f t="shared" si="119"/>
        <v>2026-05</v>
      </c>
      <c r="AG3798">
        <f>SUBTOTAL(103,A3798)</f>
        <v>1</v>
      </c>
    </row>
    <row r="3799" spans="1:33" x14ac:dyDescent="0.3">
      <c r="A3799" t="s">
        <v>6422</v>
      </c>
      <c r="B3799" s="13">
        <v>46146</v>
      </c>
      <c r="C3799">
        <v>2026</v>
      </c>
      <c r="D3799">
        <v>5</v>
      </c>
      <c r="E3799" t="s">
        <v>3566</v>
      </c>
      <c r="F3799" t="s">
        <v>3329</v>
      </c>
      <c r="G3799" t="s">
        <v>2019</v>
      </c>
      <c r="H3799" t="s">
        <v>2020</v>
      </c>
      <c r="I3799" t="s">
        <v>85</v>
      </c>
      <c r="J3799">
        <v>29</v>
      </c>
      <c r="K3799" t="s">
        <v>81</v>
      </c>
      <c r="L3799" t="s">
        <v>2637</v>
      </c>
      <c r="M3799" t="s">
        <v>64</v>
      </c>
      <c r="N3799" t="s">
        <v>2653</v>
      </c>
      <c r="O3799" t="s">
        <v>132</v>
      </c>
      <c r="P3799" t="s">
        <v>52</v>
      </c>
      <c r="Q3799" t="s">
        <v>150</v>
      </c>
      <c r="R3799">
        <v>3</v>
      </c>
      <c r="S3799">
        <v>899</v>
      </c>
      <c r="T3799">
        <v>0.05</v>
      </c>
      <c r="U3799">
        <v>2562.15</v>
      </c>
      <c r="V3799">
        <v>1260</v>
      </c>
      <c r="W3799">
        <v>1302.1500000000001</v>
      </c>
      <c r="X3799" t="s">
        <v>77</v>
      </c>
      <c r="Y3799" t="s">
        <v>68</v>
      </c>
      <c r="Z3799" t="s">
        <v>160</v>
      </c>
      <c r="AA3799" t="s">
        <v>167</v>
      </c>
      <c r="AB3799">
        <v>3.9</v>
      </c>
      <c r="AC3799">
        <v>50</v>
      </c>
      <c r="AD3799">
        <v>263.94</v>
      </c>
      <c r="AE3799">
        <f t="shared" si="118"/>
        <v>988.21</v>
      </c>
      <c r="AF3799" t="str">
        <f t="shared" si="119"/>
        <v>2026-05</v>
      </c>
      <c r="AG3799">
        <f>SUBTOTAL(103,A3799)</f>
        <v>1</v>
      </c>
    </row>
    <row r="3800" spans="1:33" x14ac:dyDescent="0.3">
      <c r="A3800" t="s">
        <v>6423</v>
      </c>
      <c r="B3800" s="13">
        <v>46147</v>
      </c>
      <c r="C3800">
        <v>2026</v>
      </c>
      <c r="D3800">
        <v>5</v>
      </c>
      <c r="E3800" t="s">
        <v>3566</v>
      </c>
      <c r="F3800" t="s">
        <v>3329</v>
      </c>
      <c r="G3800" t="s">
        <v>277</v>
      </c>
      <c r="H3800" t="s">
        <v>278</v>
      </c>
      <c r="I3800" t="s">
        <v>85</v>
      </c>
      <c r="J3800">
        <v>59</v>
      </c>
      <c r="K3800" t="s">
        <v>83</v>
      </c>
      <c r="L3800" t="s">
        <v>2576</v>
      </c>
      <c r="M3800" t="s">
        <v>60</v>
      </c>
      <c r="N3800" t="s">
        <v>2630</v>
      </c>
      <c r="O3800" t="s">
        <v>123</v>
      </c>
      <c r="P3800" t="s">
        <v>52</v>
      </c>
      <c r="Q3800" t="s">
        <v>146</v>
      </c>
      <c r="R3800">
        <v>1</v>
      </c>
      <c r="S3800">
        <v>2499</v>
      </c>
      <c r="T3800">
        <v>0.05</v>
      </c>
      <c r="U3800">
        <v>2374.0500000000002</v>
      </c>
      <c r="V3800">
        <v>1400</v>
      </c>
      <c r="W3800">
        <v>974.05</v>
      </c>
      <c r="X3800" t="s">
        <v>73</v>
      </c>
      <c r="Y3800" t="s">
        <v>68</v>
      </c>
      <c r="Z3800" t="s">
        <v>162</v>
      </c>
      <c r="AA3800" t="s">
        <v>166</v>
      </c>
      <c r="AB3800">
        <v>3.5</v>
      </c>
      <c r="AC3800">
        <v>80</v>
      </c>
      <c r="AD3800">
        <v>232.24</v>
      </c>
      <c r="AE3800">
        <f t="shared" si="118"/>
        <v>661.81</v>
      </c>
      <c r="AF3800" t="str">
        <f t="shared" si="119"/>
        <v>2026-05</v>
      </c>
      <c r="AG3800">
        <f>SUBTOTAL(103,A3800)</f>
        <v>1</v>
      </c>
    </row>
    <row r="3801" spans="1:33" x14ac:dyDescent="0.3">
      <c r="A3801" t="s">
        <v>6424</v>
      </c>
      <c r="B3801" s="13">
        <v>46147</v>
      </c>
      <c r="C3801">
        <v>2026</v>
      </c>
      <c r="D3801">
        <v>5</v>
      </c>
      <c r="E3801" t="s">
        <v>3566</v>
      </c>
      <c r="F3801" t="s">
        <v>3329</v>
      </c>
      <c r="G3801" t="s">
        <v>1361</v>
      </c>
      <c r="H3801" t="s">
        <v>1362</v>
      </c>
      <c r="I3801" t="s">
        <v>85</v>
      </c>
      <c r="J3801">
        <v>38</v>
      </c>
      <c r="K3801" t="s">
        <v>82</v>
      </c>
      <c r="L3801" t="s">
        <v>95</v>
      </c>
      <c r="M3801" t="s">
        <v>56</v>
      </c>
      <c r="N3801" t="s">
        <v>2594</v>
      </c>
      <c r="O3801" t="s">
        <v>131</v>
      </c>
      <c r="P3801" t="s">
        <v>53</v>
      </c>
      <c r="Q3801" t="s">
        <v>143</v>
      </c>
      <c r="R3801">
        <v>1</v>
      </c>
      <c r="S3801">
        <v>999</v>
      </c>
      <c r="T3801">
        <v>0.15</v>
      </c>
      <c r="U3801">
        <v>849.15</v>
      </c>
      <c r="V3801">
        <v>520</v>
      </c>
      <c r="W3801">
        <v>329.15</v>
      </c>
      <c r="X3801" t="s">
        <v>74</v>
      </c>
      <c r="Y3801" t="s">
        <v>68</v>
      </c>
      <c r="Z3801" t="s">
        <v>161</v>
      </c>
      <c r="AA3801" t="s">
        <v>171</v>
      </c>
      <c r="AB3801">
        <v>3.9</v>
      </c>
      <c r="AC3801">
        <v>60</v>
      </c>
      <c r="AD3801">
        <v>45.61</v>
      </c>
      <c r="AE3801">
        <f t="shared" si="118"/>
        <v>223.53999999999996</v>
      </c>
      <c r="AF3801" t="str">
        <f t="shared" si="119"/>
        <v>2026-05</v>
      </c>
      <c r="AG3801">
        <f>SUBTOTAL(103,A3801)</f>
        <v>1</v>
      </c>
    </row>
    <row r="3802" spans="1:33" x14ac:dyDescent="0.3">
      <c r="A3802" t="s">
        <v>6425</v>
      </c>
      <c r="B3802" s="13">
        <v>46147</v>
      </c>
      <c r="C3802">
        <v>2026</v>
      </c>
      <c r="D3802">
        <v>5</v>
      </c>
      <c r="E3802" t="s">
        <v>3566</v>
      </c>
      <c r="F3802" t="s">
        <v>3329</v>
      </c>
      <c r="G3802" t="s">
        <v>1487</v>
      </c>
      <c r="H3802" t="s">
        <v>1488</v>
      </c>
      <c r="I3802" t="s">
        <v>86</v>
      </c>
      <c r="J3802">
        <v>24</v>
      </c>
      <c r="K3802" t="s">
        <v>80</v>
      </c>
      <c r="L3802" t="s">
        <v>93</v>
      </c>
      <c r="M3802" t="s">
        <v>55</v>
      </c>
      <c r="N3802" t="s">
        <v>2580</v>
      </c>
      <c r="O3802" t="s">
        <v>118</v>
      </c>
      <c r="P3802" t="s">
        <v>48</v>
      </c>
      <c r="Q3802" t="s">
        <v>142</v>
      </c>
      <c r="R3802">
        <v>1</v>
      </c>
      <c r="S3802">
        <v>3999</v>
      </c>
      <c r="T3802">
        <v>0</v>
      </c>
      <c r="U3802">
        <v>3999</v>
      </c>
      <c r="V3802">
        <v>2400</v>
      </c>
      <c r="W3802">
        <v>1599</v>
      </c>
      <c r="X3802" t="s">
        <v>75</v>
      </c>
      <c r="Y3802" t="s">
        <v>68</v>
      </c>
      <c r="Z3802" t="s">
        <v>162</v>
      </c>
      <c r="AA3802" t="s">
        <v>170</v>
      </c>
      <c r="AB3802">
        <v>4.8</v>
      </c>
      <c r="AC3802">
        <v>40</v>
      </c>
      <c r="AD3802">
        <v>450.11</v>
      </c>
      <c r="AE3802">
        <f t="shared" si="118"/>
        <v>1108.8899999999999</v>
      </c>
      <c r="AF3802" t="str">
        <f t="shared" si="119"/>
        <v>2026-05</v>
      </c>
      <c r="AG3802">
        <f>SUBTOTAL(103,A3802)</f>
        <v>1</v>
      </c>
    </row>
    <row r="3803" spans="1:33" x14ac:dyDescent="0.3">
      <c r="A3803" t="s">
        <v>6426</v>
      </c>
      <c r="B3803" s="13">
        <v>46147</v>
      </c>
      <c r="C3803">
        <v>2026</v>
      </c>
      <c r="D3803">
        <v>5</v>
      </c>
      <c r="E3803" t="s">
        <v>3566</v>
      </c>
      <c r="F3803" t="s">
        <v>3329</v>
      </c>
      <c r="G3803" t="s">
        <v>649</v>
      </c>
      <c r="H3803" t="s">
        <v>650</v>
      </c>
      <c r="I3803" t="s">
        <v>86</v>
      </c>
      <c r="J3803">
        <v>47</v>
      </c>
      <c r="K3803" t="s">
        <v>83</v>
      </c>
      <c r="L3803" t="s">
        <v>2687</v>
      </c>
      <c r="M3803" t="s">
        <v>57</v>
      </c>
      <c r="N3803" t="s">
        <v>2592</v>
      </c>
      <c r="O3803" t="s">
        <v>115</v>
      </c>
      <c r="P3803" t="s">
        <v>48</v>
      </c>
      <c r="Q3803" t="s">
        <v>137</v>
      </c>
      <c r="R3803">
        <v>2</v>
      </c>
      <c r="S3803">
        <v>12999</v>
      </c>
      <c r="T3803">
        <v>0.15</v>
      </c>
      <c r="U3803">
        <v>22098.3</v>
      </c>
      <c r="V3803">
        <v>18000</v>
      </c>
      <c r="W3803">
        <v>4098.3</v>
      </c>
      <c r="X3803" t="s">
        <v>73</v>
      </c>
      <c r="Y3803" t="s">
        <v>69</v>
      </c>
      <c r="Z3803" t="s">
        <v>163</v>
      </c>
      <c r="AA3803" t="s">
        <v>167</v>
      </c>
      <c r="AB3803">
        <v>3.8</v>
      </c>
      <c r="AC3803">
        <v>80</v>
      </c>
      <c r="AD3803">
        <v>2347.31</v>
      </c>
      <c r="AE3803">
        <f t="shared" si="118"/>
        <v>1670.9900000000002</v>
      </c>
      <c r="AF3803" t="str">
        <f t="shared" si="119"/>
        <v>2026-05</v>
      </c>
      <c r="AG3803">
        <f>SUBTOTAL(103,A3803)</f>
        <v>1</v>
      </c>
    </row>
    <row r="3804" spans="1:33" x14ac:dyDescent="0.3">
      <c r="A3804" t="s">
        <v>6427</v>
      </c>
      <c r="B3804" s="13">
        <v>46147</v>
      </c>
      <c r="C3804">
        <v>2026</v>
      </c>
      <c r="D3804">
        <v>5</v>
      </c>
      <c r="E3804" t="s">
        <v>3566</v>
      </c>
      <c r="F3804" t="s">
        <v>3329</v>
      </c>
      <c r="G3804" t="s">
        <v>1809</v>
      </c>
      <c r="H3804" t="s">
        <v>1810</v>
      </c>
      <c r="I3804" t="s">
        <v>85</v>
      </c>
      <c r="J3804">
        <v>49</v>
      </c>
      <c r="K3804" t="s">
        <v>83</v>
      </c>
      <c r="L3804" t="s">
        <v>93</v>
      </c>
      <c r="M3804" t="s">
        <v>55</v>
      </c>
      <c r="N3804" t="s">
        <v>2580</v>
      </c>
      <c r="O3804" t="s">
        <v>118</v>
      </c>
      <c r="P3804" t="s">
        <v>48</v>
      </c>
      <c r="Q3804" t="s">
        <v>142</v>
      </c>
      <c r="R3804">
        <v>2</v>
      </c>
      <c r="S3804">
        <v>3999</v>
      </c>
      <c r="T3804">
        <v>0</v>
      </c>
      <c r="U3804">
        <v>0</v>
      </c>
      <c r="V3804">
        <v>0</v>
      </c>
      <c r="W3804">
        <v>0</v>
      </c>
      <c r="X3804" t="s">
        <v>73</v>
      </c>
      <c r="Y3804" t="s">
        <v>71</v>
      </c>
      <c r="Z3804" t="s">
        <v>158</v>
      </c>
      <c r="AA3804" t="s">
        <v>168</v>
      </c>
      <c r="AB3804">
        <v>4.7</v>
      </c>
      <c r="AC3804">
        <v>80</v>
      </c>
      <c r="AD3804">
        <v>171.26</v>
      </c>
      <c r="AE3804">
        <f t="shared" si="118"/>
        <v>-251.26</v>
      </c>
      <c r="AF3804" t="str">
        <f t="shared" si="119"/>
        <v>2026-05</v>
      </c>
      <c r="AG3804">
        <f>SUBTOTAL(103,A3804)</f>
        <v>1</v>
      </c>
    </row>
    <row r="3805" spans="1:33" x14ac:dyDescent="0.3">
      <c r="A3805" t="s">
        <v>6428</v>
      </c>
      <c r="B3805" s="13">
        <v>46147</v>
      </c>
      <c r="C3805">
        <v>2026</v>
      </c>
      <c r="D3805">
        <v>5</v>
      </c>
      <c r="E3805" t="s">
        <v>3566</v>
      </c>
      <c r="F3805" t="s">
        <v>3329</v>
      </c>
      <c r="G3805" t="s">
        <v>667</v>
      </c>
      <c r="H3805" t="s">
        <v>668</v>
      </c>
      <c r="I3805" t="s">
        <v>85</v>
      </c>
      <c r="J3805">
        <v>60</v>
      </c>
      <c r="K3805" t="s">
        <v>83</v>
      </c>
      <c r="L3805" t="s">
        <v>95</v>
      </c>
      <c r="M3805" t="s">
        <v>56</v>
      </c>
      <c r="N3805" t="s">
        <v>2626</v>
      </c>
      <c r="O3805" t="s">
        <v>125</v>
      </c>
      <c r="P3805" t="s">
        <v>48</v>
      </c>
      <c r="Q3805" t="s">
        <v>141</v>
      </c>
      <c r="R3805">
        <v>5</v>
      </c>
      <c r="S3805">
        <v>1999</v>
      </c>
      <c r="T3805">
        <v>0</v>
      </c>
      <c r="U3805">
        <v>9995</v>
      </c>
      <c r="V3805">
        <v>5750</v>
      </c>
      <c r="W3805">
        <v>4245</v>
      </c>
      <c r="X3805" t="s">
        <v>73</v>
      </c>
      <c r="Y3805" t="s">
        <v>68</v>
      </c>
      <c r="Z3805" t="s">
        <v>161</v>
      </c>
      <c r="AA3805" t="s">
        <v>171</v>
      </c>
      <c r="AB3805">
        <v>3.7</v>
      </c>
      <c r="AC3805">
        <v>50</v>
      </c>
      <c r="AD3805">
        <v>1017.5</v>
      </c>
      <c r="AE3805">
        <f t="shared" si="118"/>
        <v>3177.5</v>
      </c>
      <c r="AF3805" t="str">
        <f t="shared" si="119"/>
        <v>2026-05</v>
      </c>
      <c r="AG3805">
        <f>SUBTOTAL(103,A3805)</f>
        <v>1</v>
      </c>
    </row>
    <row r="3806" spans="1:33" x14ac:dyDescent="0.3">
      <c r="A3806" t="s">
        <v>6429</v>
      </c>
      <c r="B3806" s="13">
        <v>46148</v>
      </c>
      <c r="C3806">
        <v>2026</v>
      </c>
      <c r="D3806">
        <v>5</v>
      </c>
      <c r="E3806" t="s">
        <v>3566</v>
      </c>
      <c r="F3806" t="s">
        <v>3329</v>
      </c>
      <c r="G3806" t="s">
        <v>1295</v>
      </c>
      <c r="H3806" t="s">
        <v>1296</v>
      </c>
      <c r="I3806" t="s">
        <v>85</v>
      </c>
      <c r="J3806">
        <v>29</v>
      </c>
      <c r="K3806" t="s">
        <v>81</v>
      </c>
      <c r="L3806" t="s">
        <v>59</v>
      </c>
      <c r="M3806" t="s">
        <v>59</v>
      </c>
      <c r="N3806" t="s">
        <v>2594</v>
      </c>
      <c r="O3806" t="s">
        <v>131</v>
      </c>
      <c r="P3806" t="s">
        <v>53</v>
      </c>
      <c r="Q3806" t="s">
        <v>143</v>
      </c>
      <c r="R3806">
        <v>2</v>
      </c>
      <c r="S3806">
        <v>999</v>
      </c>
      <c r="T3806">
        <v>0.1</v>
      </c>
      <c r="U3806">
        <v>1798.2</v>
      </c>
      <c r="V3806">
        <v>1040</v>
      </c>
      <c r="W3806">
        <v>758.2</v>
      </c>
      <c r="X3806" t="s">
        <v>77</v>
      </c>
      <c r="Y3806" t="s">
        <v>68</v>
      </c>
      <c r="Z3806" t="s">
        <v>160</v>
      </c>
      <c r="AA3806" t="s">
        <v>166</v>
      </c>
      <c r="AB3806">
        <v>3.9</v>
      </c>
      <c r="AC3806">
        <v>40</v>
      </c>
      <c r="AD3806">
        <v>61.98</v>
      </c>
      <c r="AE3806">
        <f t="shared" si="118"/>
        <v>656.22</v>
      </c>
      <c r="AF3806" t="str">
        <f t="shared" si="119"/>
        <v>2026-05</v>
      </c>
      <c r="AG3806">
        <f>SUBTOTAL(103,A3806)</f>
        <v>1</v>
      </c>
    </row>
    <row r="3807" spans="1:33" x14ac:dyDescent="0.3">
      <c r="A3807" t="s">
        <v>6430</v>
      </c>
      <c r="B3807" s="13">
        <v>46148</v>
      </c>
      <c r="C3807">
        <v>2026</v>
      </c>
      <c r="D3807">
        <v>5</v>
      </c>
      <c r="E3807" t="s">
        <v>3566</v>
      </c>
      <c r="F3807" t="s">
        <v>3329</v>
      </c>
      <c r="G3807" t="s">
        <v>887</v>
      </c>
      <c r="H3807" t="s">
        <v>888</v>
      </c>
      <c r="I3807" t="s">
        <v>85</v>
      </c>
      <c r="J3807">
        <v>26</v>
      </c>
      <c r="K3807" t="s">
        <v>81</v>
      </c>
      <c r="L3807" t="s">
        <v>100</v>
      </c>
      <c r="M3807" t="s">
        <v>56</v>
      </c>
      <c r="N3807" t="s">
        <v>2644</v>
      </c>
      <c r="O3807" t="s">
        <v>126</v>
      </c>
      <c r="P3807" t="s">
        <v>50</v>
      </c>
      <c r="Q3807" t="s">
        <v>145</v>
      </c>
      <c r="R3807">
        <v>4</v>
      </c>
      <c r="S3807">
        <v>1799</v>
      </c>
      <c r="T3807">
        <v>0.05</v>
      </c>
      <c r="U3807">
        <v>6836.2</v>
      </c>
      <c r="V3807">
        <v>3800</v>
      </c>
      <c r="W3807">
        <v>3036.2</v>
      </c>
      <c r="X3807" t="s">
        <v>76</v>
      </c>
      <c r="Y3807" t="s">
        <v>68</v>
      </c>
      <c r="Z3807" t="s">
        <v>159</v>
      </c>
      <c r="AA3807" t="s">
        <v>170</v>
      </c>
      <c r="AB3807">
        <v>3.3</v>
      </c>
      <c r="AC3807">
        <v>80</v>
      </c>
      <c r="AD3807">
        <v>808.63</v>
      </c>
      <c r="AE3807">
        <f t="shared" si="118"/>
        <v>2147.5699999999997</v>
      </c>
      <c r="AF3807" t="str">
        <f t="shared" si="119"/>
        <v>2026-05</v>
      </c>
      <c r="AG3807">
        <f>SUBTOTAL(103,A3807)</f>
        <v>1</v>
      </c>
    </row>
    <row r="3808" spans="1:33" x14ac:dyDescent="0.3">
      <c r="A3808" t="s">
        <v>6431</v>
      </c>
      <c r="B3808" s="13">
        <v>46148</v>
      </c>
      <c r="C3808">
        <v>2026</v>
      </c>
      <c r="D3808">
        <v>5</v>
      </c>
      <c r="E3808" t="s">
        <v>3566</v>
      </c>
      <c r="F3808" t="s">
        <v>3329</v>
      </c>
      <c r="G3808" t="s">
        <v>1601</v>
      </c>
      <c r="H3808" t="s">
        <v>1602</v>
      </c>
      <c r="I3808" t="s">
        <v>86</v>
      </c>
      <c r="J3808">
        <v>33</v>
      </c>
      <c r="K3808" t="s">
        <v>81</v>
      </c>
      <c r="L3808" t="s">
        <v>2674</v>
      </c>
      <c r="M3808" t="s">
        <v>58</v>
      </c>
      <c r="N3808" t="s">
        <v>2590</v>
      </c>
      <c r="O3808" t="s">
        <v>127</v>
      </c>
      <c r="P3808" t="s">
        <v>51</v>
      </c>
      <c r="Q3808" t="s">
        <v>148</v>
      </c>
      <c r="R3808">
        <v>1</v>
      </c>
      <c r="S3808">
        <v>1599</v>
      </c>
      <c r="T3808">
        <v>0.1</v>
      </c>
      <c r="U3808">
        <v>0</v>
      </c>
      <c r="V3808">
        <v>0</v>
      </c>
      <c r="W3808">
        <v>0</v>
      </c>
      <c r="X3808" t="s">
        <v>74</v>
      </c>
      <c r="Y3808" t="s">
        <v>71</v>
      </c>
      <c r="Z3808" t="s">
        <v>160</v>
      </c>
      <c r="AA3808" t="s">
        <v>167</v>
      </c>
      <c r="AB3808">
        <v>3.5</v>
      </c>
      <c r="AC3808">
        <v>40</v>
      </c>
      <c r="AD3808">
        <v>93.01</v>
      </c>
      <c r="AE3808">
        <f t="shared" si="118"/>
        <v>-133.01</v>
      </c>
      <c r="AF3808" t="str">
        <f t="shared" si="119"/>
        <v>2026-05</v>
      </c>
      <c r="AG3808">
        <f>SUBTOTAL(103,A3808)</f>
        <v>1</v>
      </c>
    </row>
    <row r="3809" spans="1:33" x14ac:dyDescent="0.3">
      <c r="A3809" t="s">
        <v>6432</v>
      </c>
      <c r="B3809" s="13">
        <v>46148</v>
      </c>
      <c r="C3809">
        <v>2026</v>
      </c>
      <c r="D3809">
        <v>5</v>
      </c>
      <c r="E3809" t="s">
        <v>3566</v>
      </c>
      <c r="F3809" t="s">
        <v>3329</v>
      </c>
      <c r="G3809" t="s">
        <v>985</v>
      </c>
      <c r="H3809" t="s">
        <v>986</v>
      </c>
      <c r="I3809" t="s">
        <v>85</v>
      </c>
      <c r="J3809">
        <v>36</v>
      </c>
      <c r="K3809" t="s">
        <v>82</v>
      </c>
      <c r="L3809" t="s">
        <v>97</v>
      </c>
      <c r="M3809" t="s">
        <v>57</v>
      </c>
      <c r="N3809" t="s">
        <v>2657</v>
      </c>
      <c r="O3809" t="s">
        <v>134</v>
      </c>
      <c r="P3809" t="s">
        <v>49</v>
      </c>
      <c r="Q3809" t="s">
        <v>140</v>
      </c>
      <c r="R3809">
        <v>1</v>
      </c>
      <c r="S3809">
        <v>599</v>
      </c>
      <c r="T3809">
        <v>0.05</v>
      </c>
      <c r="U3809">
        <v>569.04999999999995</v>
      </c>
      <c r="V3809">
        <v>250</v>
      </c>
      <c r="W3809">
        <v>319.05</v>
      </c>
      <c r="X3809" t="s">
        <v>77</v>
      </c>
      <c r="Y3809" t="s">
        <v>68</v>
      </c>
      <c r="Z3809" t="s">
        <v>158</v>
      </c>
      <c r="AA3809" t="s">
        <v>171</v>
      </c>
      <c r="AB3809">
        <v>4.3</v>
      </c>
      <c r="AC3809">
        <v>50</v>
      </c>
      <c r="AD3809">
        <v>37.4</v>
      </c>
      <c r="AE3809">
        <f t="shared" si="118"/>
        <v>231.65</v>
      </c>
      <c r="AF3809" t="str">
        <f t="shared" si="119"/>
        <v>2026-05</v>
      </c>
      <c r="AG3809">
        <f>SUBTOTAL(103,A3809)</f>
        <v>1</v>
      </c>
    </row>
    <row r="3810" spans="1:33" x14ac:dyDescent="0.3">
      <c r="A3810" t="s">
        <v>6433</v>
      </c>
      <c r="B3810" s="13">
        <v>46148</v>
      </c>
      <c r="C3810">
        <v>2026</v>
      </c>
      <c r="D3810">
        <v>5</v>
      </c>
      <c r="E3810" t="s">
        <v>3566</v>
      </c>
      <c r="F3810" t="s">
        <v>3329</v>
      </c>
      <c r="G3810" t="s">
        <v>1217</v>
      </c>
      <c r="H3810" t="s">
        <v>1218</v>
      </c>
      <c r="I3810" t="s">
        <v>85</v>
      </c>
      <c r="J3810">
        <v>46</v>
      </c>
      <c r="K3810" t="s">
        <v>83</v>
      </c>
      <c r="L3810" t="s">
        <v>95</v>
      </c>
      <c r="M3810" t="s">
        <v>56</v>
      </c>
      <c r="N3810" t="s">
        <v>2606</v>
      </c>
      <c r="O3810" t="s">
        <v>120</v>
      </c>
      <c r="P3810" t="s">
        <v>49</v>
      </c>
      <c r="Q3810" t="s">
        <v>140</v>
      </c>
      <c r="R3810">
        <v>1</v>
      </c>
      <c r="S3810">
        <v>2799</v>
      </c>
      <c r="T3810">
        <v>0.1</v>
      </c>
      <c r="U3810">
        <v>2519.1</v>
      </c>
      <c r="V3810">
        <v>1650</v>
      </c>
      <c r="W3810">
        <v>869.1</v>
      </c>
      <c r="X3810" t="s">
        <v>77</v>
      </c>
      <c r="Y3810" t="s">
        <v>68</v>
      </c>
      <c r="Z3810" t="s">
        <v>158</v>
      </c>
      <c r="AA3810" t="s">
        <v>166</v>
      </c>
      <c r="AB3810">
        <v>4</v>
      </c>
      <c r="AC3810">
        <v>60</v>
      </c>
      <c r="AD3810">
        <v>155.36000000000001</v>
      </c>
      <c r="AE3810">
        <f t="shared" si="118"/>
        <v>653.74</v>
      </c>
      <c r="AF3810" t="str">
        <f t="shared" si="119"/>
        <v>2026-05</v>
      </c>
      <c r="AG3810">
        <f>SUBTOTAL(103,A3810)</f>
        <v>1</v>
      </c>
    </row>
    <row r="3811" spans="1:33" x14ac:dyDescent="0.3">
      <c r="A3811" t="s">
        <v>6434</v>
      </c>
      <c r="B3811" s="13">
        <v>46148</v>
      </c>
      <c r="C3811">
        <v>2026</v>
      </c>
      <c r="D3811">
        <v>5</v>
      </c>
      <c r="E3811" t="s">
        <v>3566</v>
      </c>
      <c r="F3811" t="s">
        <v>3329</v>
      </c>
      <c r="G3811" t="s">
        <v>2121</v>
      </c>
      <c r="H3811" t="s">
        <v>2122</v>
      </c>
      <c r="I3811" t="s">
        <v>85</v>
      </c>
      <c r="J3811">
        <v>49</v>
      </c>
      <c r="K3811" t="s">
        <v>83</v>
      </c>
      <c r="L3811" t="s">
        <v>92</v>
      </c>
      <c r="M3811" t="s">
        <v>59</v>
      </c>
      <c r="N3811" t="s">
        <v>2630</v>
      </c>
      <c r="O3811" t="s">
        <v>123</v>
      </c>
      <c r="P3811" t="s">
        <v>52</v>
      </c>
      <c r="Q3811" t="s">
        <v>146</v>
      </c>
      <c r="R3811">
        <v>2</v>
      </c>
      <c r="S3811">
        <v>2499</v>
      </c>
      <c r="T3811">
        <v>0.05</v>
      </c>
      <c r="U3811">
        <v>4748.1000000000004</v>
      </c>
      <c r="V3811">
        <v>2800</v>
      </c>
      <c r="W3811">
        <v>1948.1</v>
      </c>
      <c r="X3811" t="s">
        <v>74</v>
      </c>
      <c r="Y3811" t="s">
        <v>68</v>
      </c>
      <c r="Z3811" t="s">
        <v>160</v>
      </c>
      <c r="AA3811" t="s">
        <v>169</v>
      </c>
      <c r="AB3811">
        <v>3.2</v>
      </c>
      <c r="AC3811">
        <v>60</v>
      </c>
      <c r="AD3811">
        <v>292.88</v>
      </c>
      <c r="AE3811">
        <f t="shared" si="118"/>
        <v>1595.2199999999998</v>
      </c>
      <c r="AF3811" t="str">
        <f t="shared" si="119"/>
        <v>2026-05</v>
      </c>
      <c r="AG3811">
        <f>SUBTOTAL(103,A3811)</f>
        <v>1</v>
      </c>
    </row>
    <row r="3812" spans="1:33" x14ac:dyDescent="0.3">
      <c r="A3812" t="s">
        <v>6435</v>
      </c>
      <c r="B3812" s="13">
        <v>46148</v>
      </c>
      <c r="C3812">
        <v>2026</v>
      </c>
      <c r="D3812">
        <v>5</v>
      </c>
      <c r="E3812" t="s">
        <v>3566</v>
      </c>
      <c r="F3812" t="s">
        <v>3329</v>
      </c>
      <c r="G3812" t="s">
        <v>1247</v>
      </c>
      <c r="H3812" t="s">
        <v>1248</v>
      </c>
      <c r="I3812" t="s">
        <v>85</v>
      </c>
      <c r="J3812">
        <v>53</v>
      </c>
      <c r="K3812" t="s">
        <v>83</v>
      </c>
      <c r="L3812" t="s">
        <v>2679</v>
      </c>
      <c r="M3812" t="s">
        <v>60</v>
      </c>
      <c r="N3812" t="s">
        <v>2582</v>
      </c>
      <c r="O3812" t="s">
        <v>119</v>
      </c>
      <c r="P3812" t="s">
        <v>49</v>
      </c>
      <c r="Q3812" t="s">
        <v>140</v>
      </c>
      <c r="R3812">
        <v>1</v>
      </c>
      <c r="S3812">
        <v>3499</v>
      </c>
      <c r="T3812">
        <v>0</v>
      </c>
      <c r="U3812">
        <v>3499</v>
      </c>
      <c r="V3812">
        <v>2100</v>
      </c>
      <c r="W3812">
        <v>1399</v>
      </c>
      <c r="X3812" t="s">
        <v>77</v>
      </c>
      <c r="Y3812" t="s">
        <v>68</v>
      </c>
      <c r="Z3812" t="s">
        <v>159</v>
      </c>
      <c r="AA3812" t="s">
        <v>170</v>
      </c>
      <c r="AB3812">
        <v>4.5999999999999996</v>
      </c>
      <c r="AC3812">
        <v>80</v>
      </c>
      <c r="AD3812">
        <v>313.75</v>
      </c>
      <c r="AE3812">
        <f t="shared" si="118"/>
        <v>1005.25</v>
      </c>
      <c r="AF3812" t="str">
        <f t="shared" si="119"/>
        <v>2026-05</v>
      </c>
      <c r="AG3812">
        <f>SUBTOTAL(103,A3812)</f>
        <v>1</v>
      </c>
    </row>
    <row r="3813" spans="1:33" x14ac:dyDescent="0.3">
      <c r="A3813" t="s">
        <v>6436</v>
      </c>
      <c r="B3813" s="13">
        <v>46149</v>
      </c>
      <c r="C3813">
        <v>2026</v>
      </c>
      <c r="D3813">
        <v>5</v>
      </c>
      <c r="E3813" t="s">
        <v>3566</v>
      </c>
      <c r="F3813" t="s">
        <v>3329</v>
      </c>
      <c r="G3813" t="s">
        <v>479</v>
      </c>
      <c r="H3813" t="s">
        <v>480</v>
      </c>
      <c r="I3813" t="s">
        <v>86</v>
      </c>
      <c r="J3813">
        <v>41</v>
      </c>
      <c r="K3813" t="s">
        <v>82</v>
      </c>
      <c r="L3813" t="s">
        <v>98</v>
      </c>
      <c r="M3813" t="s">
        <v>55</v>
      </c>
      <c r="N3813" t="s">
        <v>2577</v>
      </c>
      <c r="O3813" t="s">
        <v>129</v>
      </c>
      <c r="P3813" t="s">
        <v>49</v>
      </c>
      <c r="Q3813" t="s">
        <v>149</v>
      </c>
      <c r="R3813">
        <v>1</v>
      </c>
      <c r="S3813">
        <v>1299</v>
      </c>
      <c r="T3813">
        <v>0.2</v>
      </c>
      <c r="U3813">
        <v>1039.2</v>
      </c>
      <c r="V3813">
        <v>650</v>
      </c>
      <c r="W3813">
        <v>389.2</v>
      </c>
      <c r="X3813" t="s">
        <v>74</v>
      </c>
      <c r="Y3813" t="s">
        <v>68</v>
      </c>
      <c r="Z3813" t="s">
        <v>163</v>
      </c>
      <c r="AA3813" t="s">
        <v>170</v>
      </c>
      <c r="AB3813">
        <v>4.0999999999999996</v>
      </c>
      <c r="AC3813">
        <v>50</v>
      </c>
      <c r="AD3813">
        <v>32.619999999999997</v>
      </c>
      <c r="AE3813">
        <f t="shared" si="118"/>
        <v>306.58</v>
      </c>
      <c r="AF3813" t="str">
        <f t="shared" si="119"/>
        <v>2026-05</v>
      </c>
      <c r="AG3813">
        <f>SUBTOTAL(103,A3813)</f>
        <v>1</v>
      </c>
    </row>
    <row r="3814" spans="1:33" x14ac:dyDescent="0.3">
      <c r="A3814" t="s">
        <v>6437</v>
      </c>
      <c r="B3814" s="13">
        <v>46149</v>
      </c>
      <c r="C3814">
        <v>2026</v>
      </c>
      <c r="D3814">
        <v>5</v>
      </c>
      <c r="E3814" t="s">
        <v>3566</v>
      </c>
      <c r="F3814" t="s">
        <v>3329</v>
      </c>
      <c r="G3814" t="s">
        <v>1525</v>
      </c>
      <c r="H3814" t="s">
        <v>1526</v>
      </c>
      <c r="I3814" t="s">
        <v>86</v>
      </c>
      <c r="J3814">
        <v>32</v>
      </c>
      <c r="K3814" t="s">
        <v>81</v>
      </c>
      <c r="L3814" t="s">
        <v>99</v>
      </c>
      <c r="M3814" t="s">
        <v>58</v>
      </c>
      <c r="N3814" t="s">
        <v>2584</v>
      </c>
      <c r="O3814" t="s">
        <v>121</v>
      </c>
      <c r="P3814" t="s">
        <v>50</v>
      </c>
      <c r="Q3814" t="s">
        <v>144</v>
      </c>
      <c r="R3814">
        <v>1</v>
      </c>
      <c r="S3814">
        <v>2999</v>
      </c>
      <c r="T3814">
        <v>0.05</v>
      </c>
      <c r="U3814">
        <v>2849.05</v>
      </c>
      <c r="V3814">
        <v>1700</v>
      </c>
      <c r="W3814">
        <v>1149.05</v>
      </c>
      <c r="X3814" t="s">
        <v>75</v>
      </c>
      <c r="Y3814" t="s">
        <v>69</v>
      </c>
      <c r="Z3814" t="s">
        <v>163</v>
      </c>
      <c r="AA3814" t="s">
        <v>167</v>
      </c>
      <c r="AB3814">
        <v>5</v>
      </c>
      <c r="AC3814">
        <v>80</v>
      </c>
      <c r="AD3814">
        <v>177.78</v>
      </c>
      <c r="AE3814">
        <f t="shared" si="118"/>
        <v>891.27</v>
      </c>
      <c r="AF3814" t="str">
        <f t="shared" si="119"/>
        <v>2026-05</v>
      </c>
      <c r="AG3814">
        <f>SUBTOTAL(103,A3814)</f>
        <v>1</v>
      </c>
    </row>
    <row r="3815" spans="1:33" x14ac:dyDescent="0.3">
      <c r="A3815" t="s">
        <v>6438</v>
      </c>
      <c r="B3815" s="13">
        <v>46149</v>
      </c>
      <c r="C3815">
        <v>2026</v>
      </c>
      <c r="D3815">
        <v>5</v>
      </c>
      <c r="E3815" t="s">
        <v>3566</v>
      </c>
      <c r="F3815" t="s">
        <v>3329</v>
      </c>
      <c r="G3815" t="s">
        <v>1257</v>
      </c>
      <c r="H3815" t="s">
        <v>1258</v>
      </c>
      <c r="I3815" t="s">
        <v>85</v>
      </c>
      <c r="J3815">
        <v>46</v>
      </c>
      <c r="K3815" t="s">
        <v>83</v>
      </c>
      <c r="L3815" t="s">
        <v>100</v>
      </c>
      <c r="M3815" t="s">
        <v>56</v>
      </c>
      <c r="N3815" t="s">
        <v>2657</v>
      </c>
      <c r="O3815" t="s">
        <v>134</v>
      </c>
      <c r="P3815" t="s">
        <v>49</v>
      </c>
      <c r="Q3815" t="s">
        <v>140</v>
      </c>
      <c r="R3815">
        <v>1</v>
      </c>
      <c r="S3815">
        <v>599</v>
      </c>
      <c r="T3815">
        <v>0.1</v>
      </c>
      <c r="U3815">
        <v>539.1</v>
      </c>
      <c r="V3815">
        <v>250</v>
      </c>
      <c r="W3815">
        <v>289.10000000000002</v>
      </c>
      <c r="X3815" t="s">
        <v>76</v>
      </c>
      <c r="Y3815" t="s">
        <v>68</v>
      </c>
      <c r="Z3815" t="s">
        <v>159</v>
      </c>
      <c r="AA3815" t="s">
        <v>166</v>
      </c>
      <c r="AB3815">
        <v>4.2</v>
      </c>
      <c r="AC3815">
        <v>60</v>
      </c>
      <c r="AD3815">
        <v>20</v>
      </c>
      <c r="AE3815">
        <f t="shared" si="118"/>
        <v>209.10000000000002</v>
      </c>
      <c r="AF3815" t="str">
        <f t="shared" si="119"/>
        <v>2026-05</v>
      </c>
      <c r="AG3815">
        <f>SUBTOTAL(103,A3815)</f>
        <v>1</v>
      </c>
    </row>
    <row r="3816" spans="1:33" x14ac:dyDescent="0.3">
      <c r="A3816" t="s">
        <v>6439</v>
      </c>
      <c r="B3816" s="13">
        <v>46149</v>
      </c>
      <c r="C3816">
        <v>2026</v>
      </c>
      <c r="D3816">
        <v>5</v>
      </c>
      <c r="E3816" t="s">
        <v>3566</v>
      </c>
      <c r="F3816" t="s">
        <v>3329</v>
      </c>
      <c r="G3816" t="s">
        <v>1437</v>
      </c>
      <c r="H3816" t="s">
        <v>1438</v>
      </c>
      <c r="I3816" t="s">
        <v>86</v>
      </c>
      <c r="J3816">
        <v>27</v>
      </c>
      <c r="K3816" t="s">
        <v>81</v>
      </c>
      <c r="L3816" t="s">
        <v>2634</v>
      </c>
      <c r="M3816" t="s">
        <v>56</v>
      </c>
      <c r="N3816" t="s">
        <v>2657</v>
      </c>
      <c r="O3816" t="s">
        <v>134</v>
      </c>
      <c r="P3816" t="s">
        <v>49</v>
      </c>
      <c r="Q3816" t="s">
        <v>140</v>
      </c>
      <c r="R3816">
        <v>1</v>
      </c>
      <c r="S3816">
        <v>599</v>
      </c>
      <c r="T3816">
        <v>0.1</v>
      </c>
      <c r="U3816">
        <v>539.1</v>
      </c>
      <c r="V3816">
        <v>250</v>
      </c>
      <c r="W3816">
        <v>289.10000000000002</v>
      </c>
      <c r="X3816" t="s">
        <v>77</v>
      </c>
      <c r="Y3816" t="s">
        <v>68</v>
      </c>
      <c r="Z3816" t="s">
        <v>158</v>
      </c>
      <c r="AA3816" t="s">
        <v>167</v>
      </c>
      <c r="AB3816">
        <v>4.8</v>
      </c>
      <c r="AC3816">
        <v>60</v>
      </c>
      <c r="AD3816">
        <v>58.15</v>
      </c>
      <c r="AE3816">
        <f t="shared" si="118"/>
        <v>170.95000000000002</v>
      </c>
      <c r="AF3816" t="str">
        <f t="shared" si="119"/>
        <v>2026-05</v>
      </c>
      <c r="AG3816">
        <f>SUBTOTAL(103,A3816)</f>
        <v>1</v>
      </c>
    </row>
    <row r="3817" spans="1:33" x14ac:dyDescent="0.3">
      <c r="A3817" t="s">
        <v>6440</v>
      </c>
      <c r="B3817" s="13">
        <v>46149</v>
      </c>
      <c r="C3817">
        <v>2026</v>
      </c>
      <c r="D3817">
        <v>5</v>
      </c>
      <c r="E3817" t="s">
        <v>3566</v>
      </c>
      <c r="F3817" t="s">
        <v>3329</v>
      </c>
      <c r="G3817" t="s">
        <v>307</v>
      </c>
      <c r="H3817" t="s">
        <v>308</v>
      </c>
      <c r="I3817" t="s">
        <v>86</v>
      </c>
      <c r="J3817">
        <v>54</v>
      </c>
      <c r="K3817" t="s">
        <v>83</v>
      </c>
      <c r="L3817" t="s">
        <v>2646</v>
      </c>
      <c r="M3817" t="s">
        <v>63</v>
      </c>
      <c r="N3817" t="s">
        <v>2577</v>
      </c>
      <c r="O3817" t="s">
        <v>129</v>
      </c>
      <c r="P3817" t="s">
        <v>49</v>
      </c>
      <c r="Q3817" t="s">
        <v>149</v>
      </c>
      <c r="R3817">
        <v>4</v>
      </c>
      <c r="S3817">
        <v>1299</v>
      </c>
      <c r="T3817">
        <v>0.05</v>
      </c>
      <c r="U3817">
        <v>4936.2</v>
      </c>
      <c r="V3817">
        <v>2600</v>
      </c>
      <c r="W3817">
        <v>2336.1999999999998</v>
      </c>
      <c r="X3817" t="s">
        <v>76</v>
      </c>
      <c r="Y3817" t="s">
        <v>68</v>
      </c>
      <c r="Z3817" t="s">
        <v>160</v>
      </c>
      <c r="AA3817" t="s">
        <v>169</v>
      </c>
      <c r="AB3817">
        <v>3.7</v>
      </c>
      <c r="AC3817">
        <v>50</v>
      </c>
      <c r="AD3817">
        <v>194.5</v>
      </c>
      <c r="AE3817">
        <f t="shared" si="118"/>
        <v>2091.6999999999998</v>
      </c>
      <c r="AF3817" t="str">
        <f t="shared" si="119"/>
        <v>2026-05</v>
      </c>
      <c r="AG3817">
        <f>SUBTOTAL(103,A3817)</f>
        <v>1</v>
      </c>
    </row>
    <row r="3818" spans="1:33" x14ac:dyDescent="0.3">
      <c r="A3818" t="s">
        <v>6441</v>
      </c>
      <c r="B3818" s="13">
        <v>46149</v>
      </c>
      <c r="C3818">
        <v>2026</v>
      </c>
      <c r="D3818">
        <v>5</v>
      </c>
      <c r="E3818" t="s">
        <v>3566</v>
      </c>
      <c r="F3818" t="s">
        <v>3329</v>
      </c>
      <c r="G3818" t="s">
        <v>313</v>
      </c>
      <c r="H3818" t="s">
        <v>314</v>
      </c>
      <c r="I3818" t="s">
        <v>86</v>
      </c>
      <c r="J3818">
        <v>55</v>
      </c>
      <c r="K3818" t="s">
        <v>83</v>
      </c>
      <c r="L3818" t="s">
        <v>95</v>
      </c>
      <c r="M3818" t="s">
        <v>56</v>
      </c>
      <c r="N3818" t="s">
        <v>2596</v>
      </c>
      <c r="O3818" t="s">
        <v>124</v>
      </c>
      <c r="P3818" t="s">
        <v>51</v>
      </c>
      <c r="Q3818" t="s">
        <v>147</v>
      </c>
      <c r="R3818">
        <v>2</v>
      </c>
      <c r="S3818">
        <v>2299</v>
      </c>
      <c r="T3818">
        <v>0</v>
      </c>
      <c r="U3818">
        <v>4598</v>
      </c>
      <c r="V3818">
        <v>2400</v>
      </c>
      <c r="W3818">
        <v>2198</v>
      </c>
      <c r="X3818" t="s">
        <v>76</v>
      </c>
      <c r="Y3818" t="s">
        <v>68</v>
      </c>
      <c r="Z3818" t="s">
        <v>158</v>
      </c>
      <c r="AA3818" t="s">
        <v>166</v>
      </c>
      <c r="AB3818">
        <v>4.4000000000000004</v>
      </c>
      <c r="AC3818">
        <v>50</v>
      </c>
      <c r="AD3818">
        <v>391.78</v>
      </c>
      <c r="AE3818">
        <f t="shared" si="118"/>
        <v>1756.22</v>
      </c>
      <c r="AF3818" t="str">
        <f t="shared" si="119"/>
        <v>2026-05</v>
      </c>
      <c r="AG3818">
        <f>SUBTOTAL(103,A3818)</f>
        <v>1</v>
      </c>
    </row>
    <row r="3819" spans="1:33" x14ac:dyDescent="0.3">
      <c r="A3819" t="s">
        <v>6442</v>
      </c>
      <c r="B3819" s="13">
        <v>46149</v>
      </c>
      <c r="C3819">
        <v>2026</v>
      </c>
      <c r="D3819">
        <v>5</v>
      </c>
      <c r="E3819" t="s">
        <v>3566</v>
      </c>
      <c r="F3819" t="s">
        <v>3329</v>
      </c>
      <c r="G3819" t="s">
        <v>485</v>
      </c>
      <c r="H3819" t="s">
        <v>486</v>
      </c>
      <c r="I3819" t="s">
        <v>86</v>
      </c>
      <c r="J3819">
        <v>49</v>
      </c>
      <c r="K3819" t="s">
        <v>83</v>
      </c>
      <c r="L3819" t="s">
        <v>90</v>
      </c>
      <c r="M3819" t="s">
        <v>55</v>
      </c>
      <c r="N3819" t="s">
        <v>2596</v>
      </c>
      <c r="O3819" t="s">
        <v>124</v>
      </c>
      <c r="P3819" t="s">
        <v>51</v>
      </c>
      <c r="Q3819" t="s">
        <v>147</v>
      </c>
      <c r="R3819">
        <v>2</v>
      </c>
      <c r="S3819">
        <v>2299</v>
      </c>
      <c r="T3819">
        <v>0</v>
      </c>
      <c r="U3819">
        <v>4598</v>
      </c>
      <c r="V3819">
        <v>2400</v>
      </c>
      <c r="W3819">
        <v>2198</v>
      </c>
      <c r="X3819" t="s">
        <v>75</v>
      </c>
      <c r="Y3819" t="s">
        <v>68</v>
      </c>
      <c r="Z3819" t="s">
        <v>159</v>
      </c>
      <c r="AA3819" t="s">
        <v>171</v>
      </c>
      <c r="AB3819">
        <v>4.5</v>
      </c>
      <c r="AC3819">
        <v>40</v>
      </c>
      <c r="AD3819">
        <v>284.98</v>
      </c>
      <c r="AE3819">
        <f t="shared" si="118"/>
        <v>1873.02</v>
      </c>
      <c r="AF3819" t="str">
        <f t="shared" si="119"/>
        <v>2026-05</v>
      </c>
      <c r="AG3819">
        <f>SUBTOTAL(103,A3819)</f>
        <v>1</v>
      </c>
    </row>
    <row r="3820" spans="1:33" x14ac:dyDescent="0.3">
      <c r="A3820" t="s">
        <v>6443</v>
      </c>
      <c r="B3820" s="13">
        <v>46149</v>
      </c>
      <c r="C3820">
        <v>2026</v>
      </c>
      <c r="D3820">
        <v>5</v>
      </c>
      <c r="E3820" t="s">
        <v>3566</v>
      </c>
      <c r="F3820" t="s">
        <v>3329</v>
      </c>
      <c r="G3820" t="s">
        <v>2193</v>
      </c>
      <c r="H3820" t="s">
        <v>2194</v>
      </c>
      <c r="I3820" t="s">
        <v>85</v>
      </c>
      <c r="J3820">
        <v>49</v>
      </c>
      <c r="K3820" t="s">
        <v>83</v>
      </c>
      <c r="L3820" t="s">
        <v>93</v>
      </c>
      <c r="M3820" t="s">
        <v>55</v>
      </c>
      <c r="N3820" t="s">
        <v>2665</v>
      </c>
      <c r="O3820" t="s">
        <v>128</v>
      </c>
      <c r="P3820" t="s">
        <v>53</v>
      </c>
      <c r="Q3820" t="s">
        <v>143</v>
      </c>
      <c r="R3820">
        <v>2</v>
      </c>
      <c r="S3820">
        <v>1499</v>
      </c>
      <c r="T3820">
        <v>0.15</v>
      </c>
      <c r="U3820">
        <v>2548.3000000000002</v>
      </c>
      <c r="V3820">
        <v>1600</v>
      </c>
      <c r="W3820">
        <v>948.3</v>
      </c>
      <c r="X3820" t="s">
        <v>74</v>
      </c>
      <c r="Y3820" t="s">
        <v>68</v>
      </c>
      <c r="Z3820" t="s">
        <v>162</v>
      </c>
      <c r="AA3820" t="s">
        <v>168</v>
      </c>
      <c r="AB3820">
        <v>4.0999999999999996</v>
      </c>
      <c r="AC3820">
        <v>60</v>
      </c>
      <c r="AD3820">
        <v>82.29</v>
      </c>
      <c r="AE3820">
        <f t="shared" si="118"/>
        <v>806.01</v>
      </c>
      <c r="AF3820" t="str">
        <f t="shared" si="119"/>
        <v>2026-05</v>
      </c>
      <c r="AG3820">
        <f>SUBTOTAL(103,A3820)</f>
        <v>1</v>
      </c>
    </row>
    <row r="3821" spans="1:33" x14ac:dyDescent="0.3">
      <c r="A3821" t="s">
        <v>6444</v>
      </c>
      <c r="B3821" s="13">
        <v>46149</v>
      </c>
      <c r="C3821">
        <v>2026</v>
      </c>
      <c r="D3821">
        <v>5</v>
      </c>
      <c r="E3821" t="s">
        <v>3566</v>
      </c>
      <c r="F3821" t="s">
        <v>3329</v>
      </c>
      <c r="G3821" t="s">
        <v>1789</v>
      </c>
      <c r="H3821" t="s">
        <v>1790</v>
      </c>
      <c r="I3821" t="s">
        <v>86</v>
      </c>
      <c r="J3821">
        <v>54</v>
      </c>
      <c r="K3821" t="s">
        <v>83</v>
      </c>
      <c r="L3821" t="s">
        <v>100</v>
      </c>
      <c r="M3821" t="s">
        <v>56</v>
      </c>
      <c r="N3821" t="s">
        <v>2590</v>
      </c>
      <c r="O3821" t="s">
        <v>127</v>
      </c>
      <c r="P3821" t="s">
        <v>51</v>
      </c>
      <c r="Q3821" t="s">
        <v>148</v>
      </c>
      <c r="R3821">
        <v>1</v>
      </c>
      <c r="S3821">
        <v>1599</v>
      </c>
      <c r="T3821">
        <v>0.15</v>
      </c>
      <c r="U3821">
        <v>1359.15</v>
      </c>
      <c r="V3821">
        <v>800</v>
      </c>
      <c r="W3821">
        <v>559.15</v>
      </c>
      <c r="X3821" t="s">
        <v>73</v>
      </c>
      <c r="Y3821" t="s">
        <v>70</v>
      </c>
      <c r="Z3821" t="s">
        <v>159</v>
      </c>
      <c r="AA3821" t="s">
        <v>171</v>
      </c>
      <c r="AB3821">
        <v>3.7</v>
      </c>
      <c r="AC3821">
        <v>80</v>
      </c>
      <c r="AD3821">
        <v>47.32</v>
      </c>
      <c r="AE3821">
        <f t="shared" si="118"/>
        <v>431.83</v>
      </c>
      <c r="AF3821" t="str">
        <f t="shared" si="119"/>
        <v>2026-05</v>
      </c>
      <c r="AG3821">
        <f>SUBTOTAL(103,A3821)</f>
        <v>1</v>
      </c>
    </row>
    <row r="3822" spans="1:33" x14ac:dyDescent="0.3">
      <c r="A3822" t="s">
        <v>6445</v>
      </c>
      <c r="B3822" s="13">
        <v>46149</v>
      </c>
      <c r="C3822">
        <v>2026</v>
      </c>
      <c r="D3822">
        <v>5</v>
      </c>
      <c r="E3822" t="s">
        <v>3566</v>
      </c>
      <c r="F3822" t="s">
        <v>3329</v>
      </c>
      <c r="G3822" t="s">
        <v>259</v>
      </c>
      <c r="H3822" t="s">
        <v>260</v>
      </c>
      <c r="I3822" t="s">
        <v>86</v>
      </c>
      <c r="J3822">
        <v>31</v>
      </c>
      <c r="K3822" t="s">
        <v>81</v>
      </c>
      <c r="L3822" t="s">
        <v>2661</v>
      </c>
      <c r="M3822" t="s">
        <v>58</v>
      </c>
      <c r="N3822" t="s">
        <v>2582</v>
      </c>
      <c r="O3822" t="s">
        <v>119</v>
      </c>
      <c r="P3822" t="s">
        <v>49</v>
      </c>
      <c r="Q3822" t="s">
        <v>140</v>
      </c>
      <c r="R3822">
        <v>4</v>
      </c>
      <c r="S3822">
        <v>3499</v>
      </c>
      <c r="T3822">
        <v>0.15</v>
      </c>
      <c r="U3822">
        <v>11896.6</v>
      </c>
      <c r="V3822">
        <v>8400</v>
      </c>
      <c r="W3822">
        <v>3496.6</v>
      </c>
      <c r="X3822" t="s">
        <v>74</v>
      </c>
      <c r="Y3822" t="s">
        <v>68</v>
      </c>
      <c r="Z3822" t="s">
        <v>159</v>
      </c>
      <c r="AA3822" t="s">
        <v>166</v>
      </c>
      <c r="AB3822">
        <v>5</v>
      </c>
      <c r="AC3822">
        <v>50</v>
      </c>
      <c r="AD3822">
        <v>1390.36</v>
      </c>
      <c r="AE3822">
        <f t="shared" si="118"/>
        <v>2056.2399999999998</v>
      </c>
      <c r="AF3822" t="str">
        <f t="shared" si="119"/>
        <v>2026-05</v>
      </c>
      <c r="AG3822">
        <f>SUBTOTAL(103,A3822)</f>
        <v>1</v>
      </c>
    </row>
    <row r="3823" spans="1:33" x14ac:dyDescent="0.3">
      <c r="A3823" t="s">
        <v>6446</v>
      </c>
      <c r="B3823" s="13">
        <v>46150</v>
      </c>
      <c r="C3823">
        <v>2026</v>
      </c>
      <c r="D3823">
        <v>5</v>
      </c>
      <c r="E3823" t="s">
        <v>3566</v>
      </c>
      <c r="F3823" t="s">
        <v>3329</v>
      </c>
      <c r="G3823" t="s">
        <v>1709</v>
      </c>
      <c r="H3823" t="s">
        <v>1710</v>
      </c>
      <c r="I3823" t="s">
        <v>86</v>
      </c>
      <c r="J3823">
        <v>54</v>
      </c>
      <c r="K3823" t="s">
        <v>83</v>
      </c>
      <c r="L3823" t="s">
        <v>99</v>
      </c>
      <c r="M3823" t="s">
        <v>58</v>
      </c>
      <c r="N3823" t="s">
        <v>2603</v>
      </c>
      <c r="O3823" t="s">
        <v>122</v>
      </c>
      <c r="P3823" t="s">
        <v>48</v>
      </c>
      <c r="Q3823" t="s">
        <v>141</v>
      </c>
      <c r="R3823">
        <v>1</v>
      </c>
      <c r="S3823">
        <v>2499</v>
      </c>
      <c r="T3823">
        <v>0.05</v>
      </c>
      <c r="U3823">
        <v>2374.0500000000002</v>
      </c>
      <c r="V3823">
        <v>1450</v>
      </c>
      <c r="W3823">
        <v>924.05</v>
      </c>
      <c r="X3823" t="s">
        <v>76</v>
      </c>
      <c r="Y3823" t="s">
        <v>68</v>
      </c>
      <c r="Z3823" t="s">
        <v>159</v>
      </c>
      <c r="AA3823" t="s">
        <v>168</v>
      </c>
      <c r="AB3823">
        <v>4.4000000000000004</v>
      </c>
      <c r="AC3823">
        <v>80</v>
      </c>
      <c r="AD3823">
        <v>138.69999999999999</v>
      </c>
      <c r="AE3823">
        <f t="shared" si="118"/>
        <v>705.34999999999991</v>
      </c>
      <c r="AF3823" t="str">
        <f t="shared" si="119"/>
        <v>2026-05</v>
      </c>
      <c r="AG3823">
        <f>SUBTOTAL(103,A3823)</f>
        <v>1</v>
      </c>
    </row>
    <row r="3824" spans="1:33" x14ac:dyDescent="0.3">
      <c r="A3824" t="s">
        <v>6447</v>
      </c>
      <c r="B3824" s="13">
        <v>46150</v>
      </c>
      <c r="C3824">
        <v>2026</v>
      </c>
      <c r="D3824">
        <v>5</v>
      </c>
      <c r="E3824" t="s">
        <v>3566</v>
      </c>
      <c r="F3824" t="s">
        <v>3329</v>
      </c>
      <c r="G3824" t="s">
        <v>337</v>
      </c>
      <c r="H3824" t="s">
        <v>338</v>
      </c>
      <c r="I3824" t="s">
        <v>86</v>
      </c>
      <c r="J3824">
        <v>46</v>
      </c>
      <c r="K3824" t="s">
        <v>83</v>
      </c>
      <c r="L3824" t="s">
        <v>2634</v>
      </c>
      <c r="M3824" t="s">
        <v>56</v>
      </c>
      <c r="N3824" t="s">
        <v>2592</v>
      </c>
      <c r="O3824" t="s">
        <v>115</v>
      </c>
      <c r="P3824" t="s">
        <v>48</v>
      </c>
      <c r="Q3824" t="s">
        <v>137</v>
      </c>
      <c r="R3824">
        <v>2</v>
      </c>
      <c r="S3824">
        <v>12999</v>
      </c>
      <c r="T3824">
        <v>0.15</v>
      </c>
      <c r="U3824">
        <v>22098.3</v>
      </c>
      <c r="V3824">
        <v>18000</v>
      </c>
      <c r="W3824">
        <v>4098.3</v>
      </c>
      <c r="X3824" t="s">
        <v>77</v>
      </c>
      <c r="Y3824" t="s">
        <v>68</v>
      </c>
      <c r="Z3824" t="s">
        <v>160</v>
      </c>
      <c r="AA3824" t="s">
        <v>171</v>
      </c>
      <c r="AB3824">
        <v>4.0999999999999996</v>
      </c>
      <c r="AC3824">
        <v>40</v>
      </c>
      <c r="AD3824">
        <v>1113.43</v>
      </c>
      <c r="AE3824">
        <f t="shared" si="118"/>
        <v>2944.87</v>
      </c>
      <c r="AF3824" t="str">
        <f t="shared" si="119"/>
        <v>2026-05</v>
      </c>
      <c r="AG3824">
        <f>SUBTOTAL(103,A3824)</f>
        <v>1</v>
      </c>
    </row>
    <row r="3825" spans="1:33" x14ac:dyDescent="0.3">
      <c r="A3825" t="s">
        <v>6448</v>
      </c>
      <c r="B3825" s="13">
        <v>46150</v>
      </c>
      <c r="C3825">
        <v>2026</v>
      </c>
      <c r="D3825">
        <v>5</v>
      </c>
      <c r="E3825" t="s">
        <v>3566</v>
      </c>
      <c r="F3825" t="s">
        <v>3329</v>
      </c>
      <c r="G3825" t="s">
        <v>593</v>
      </c>
      <c r="H3825" t="s">
        <v>594</v>
      </c>
      <c r="I3825" t="s">
        <v>86</v>
      </c>
      <c r="J3825">
        <v>36</v>
      </c>
      <c r="K3825" t="s">
        <v>82</v>
      </c>
      <c r="L3825" t="s">
        <v>93</v>
      </c>
      <c r="M3825" t="s">
        <v>55</v>
      </c>
      <c r="N3825" t="s">
        <v>2582</v>
      </c>
      <c r="O3825" t="s">
        <v>119</v>
      </c>
      <c r="P3825" t="s">
        <v>49</v>
      </c>
      <c r="Q3825" t="s">
        <v>140</v>
      </c>
      <c r="R3825">
        <v>4</v>
      </c>
      <c r="S3825">
        <v>3499</v>
      </c>
      <c r="T3825">
        <v>0</v>
      </c>
      <c r="U3825">
        <v>13996</v>
      </c>
      <c r="V3825">
        <v>8400</v>
      </c>
      <c r="W3825">
        <v>5596</v>
      </c>
      <c r="X3825" t="s">
        <v>74</v>
      </c>
      <c r="Y3825" t="s">
        <v>68</v>
      </c>
      <c r="Z3825" t="s">
        <v>158</v>
      </c>
      <c r="AA3825" t="s">
        <v>168</v>
      </c>
      <c r="AB3825">
        <v>4.4000000000000004</v>
      </c>
      <c r="AC3825">
        <v>80</v>
      </c>
      <c r="AD3825">
        <v>780.92</v>
      </c>
      <c r="AE3825">
        <f t="shared" si="118"/>
        <v>4735.08</v>
      </c>
      <c r="AF3825" t="str">
        <f t="shared" si="119"/>
        <v>2026-05</v>
      </c>
      <c r="AG3825">
        <f>SUBTOTAL(103,A3825)</f>
        <v>1</v>
      </c>
    </row>
    <row r="3826" spans="1:33" x14ac:dyDescent="0.3">
      <c r="A3826" t="s">
        <v>6449</v>
      </c>
      <c r="B3826" s="13">
        <v>46150</v>
      </c>
      <c r="C3826">
        <v>2026</v>
      </c>
      <c r="D3826">
        <v>5</v>
      </c>
      <c r="E3826" t="s">
        <v>3566</v>
      </c>
      <c r="F3826" t="s">
        <v>3329</v>
      </c>
      <c r="G3826" t="s">
        <v>1197</v>
      </c>
      <c r="H3826" t="s">
        <v>1198</v>
      </c>
      <c r="I3826" t="s">
        <v>86</v>
      </c>
      <c r="J3826">
        <v>45</v>
      </c>
      <c r="K3826" t="s">
        <v>82</v>
      </c>
      <c r="L3826" t="s">
        <v>93</v>
      </c>
      <c r="M3826" t="s">
        <v>55</v>
      </c>
      <c r="N3826" t="s">
        <v>2657</v>
      </c>
      <c r="O3826" t="s">
        <v>134</v>
      </c>
      <c r="P3826" t="s">
        <v>49</v>
      </c>
      <c r="Q3826" t="s">
        <v>140</v>
      </c>
      <c r="R3826">
        <v>4</v>
      </c>
      <c r="S3826">
        <v>599</v>
      </c>
      <c r="T3826">
        <v>0.15</v>
      </c>
      <c r="U3826">
        <v>2036.6</v>
      </c>
      <c r="V3826">
        <v>1000</v>
      </c>
      <c r="W3826">
        <v>1036.5999999999999</v>
      </c>
      <c r="X3826" t="s">
        <v>75</v>
      </c>
      <c r="Y3826" t="s">
        <v>68</v>
      </c>
      <c r="Z3826" t="s">
        <v>160</v>
      </c>
      <c r="AA3826" t="s">
        <v>167</v>
      </c>
      <c r="AB3826">
        <v>4.3</v>
      </c>
      <c r="AC3826">
        <v>50</v>
      </c>
      <c r="AD3826">
        <v>153.80000000000001</v>
      </c>
      <c r="AE3826">
        <f t="shared" si="118"/>
        <v>832.8</v>
      </c>
      <c r="AF3826" t="str">
        <f t="shared" si="119"/>
        <v>2026-05</v>
      </c>
      <c r="AG3826">
        <f>SUBTOTAL(103,A3826)</f>
        <v>1</v>
      </c>
    </row>
    <row r="3827" spans="1:33" x14ac:dyDescent="0.3">
      <c r="A3827" t="s">
        <v>6450</v>
      </c>
      <c r="B3827" s="13">
        <v>46150</v>
      </c>
      <c r="C3827">
        <v>2026</v>
      </c>
      <c r="D3827">
        <v>5</v>
      </c>
      <c r="E3827" t="s">
        <v>3566</v>
      </c>
      <c r="F3827" t="s">
        <v>3329</v>
      </c>
      <c r="G3827" t="s">
        <v>353</v>
      </c>
      <c r="H3827" t="s">
        <v>354</v>
      </c>
      <c r="I3827" t="s">
        <v>86</v>
      </c>
      <c r="J3827">
        <v>41</v>
      </c>
      <c r="K3827" t="s">
        <v>82</v>
      </c>
      <c r="L3827" t="s">
        <v>100</v>
      </c>
      <c r="M3827" t="s">
        <v>56</v>
      </c>
      <c r="N3827" t="s">
        <v>2574</v>
      </c>
      <c r="O3827" t="s">
        <v>130</v>
      </c>
      <c r="P3827" t="s">
        <v>50</v>
      </c>
      <c r="Q3827" t="s">
        <v>53</v>
      </c>
      <c r="R3827">
        <v>2</v>
      </c>
      <c r="S3827">
        <v>1199</v>
      </c>
      <c r="T3827">
        <v>0.1</v>
      </c>
      <c r="U3827">
        <v>2158.1999999999998</v>
      </c>
      <c r="V3827">
        <v>1100</v>
      </c>
      <c r="W3827">
        <v>1058.2</v>
      </c>
      <c r="X3827" t="s">
        <v>77</v>
      </c>
      <c r="Y3827" t="s">
        <v>68</v>
      </c>
      <c r="Z3827" t="s">
        <v>158</v>
      </c>
      <c r="AA3827" t="s">
        <v>170</v>
      </c>
      <c r="AB3827">
        <v>4.0999999999999996</v>
      </c>
      <c r="AC3827">
        <v>80</v>
      </c>
      <c r="AD3827">
        <v>124.76</v>
      </c>
      <c r="AE3827">
        <f t="shared" si="118"/>
        <v>853.44</v>
      </c>
      <c r="AF3827" t="str">
        <f t="shared" si="119"/>
        <v>2026-05</v>
      </c>
      <c r="AG3827">
        <f>SUBTOTAL(103,A3827)</f>
        <v>1</v>
      </c>
    </row>
    <row r="3828" spans="1:33" x14ac:dyDescent="0.3">
      <c r="A3828" t="s">
        <v>6451</v>
      </c>
      <c r="B3828" s="13">
        <v>46150</v>
      </c>
      <c r="C3828">
        <v>2026</v>
      </c>
      <c r="D3828">
        <v>5</v>
      </c>
      <c r="E3828" t="s">
        <v>3566</v>
      </c>
      <c r="F3828" t="s">
        <v>3329</v>
      </c>
      <c r="G3828" t="s">
        <v>241</v>
      </c>
      <c r="H3828" t="s">
        <v>242</v>
      </c>
      <c r="I3828" t="s">
        <v>85</v>
      </c>
      <c r="J3828">
        <v>30</v>
      </c>
      <c r="K3828" t="s">
        <v>81</v>
      </c>
      <c r="L3828" t="s">
        <v>2599</v>
      </c>
      <c r="M3828" t="s">
        <v>62</v>
      </c>
      <c r="N3828" t="s">
        <v>2592</v>
      </c>
      <c r="O3828" t="s">
        <v>115</v>
      </c>
      <c r="P3828" t="s">
        <v>48</v>
      </c>
      <c r="Q3828" t="s">
        <v>137</v>
      </c>
      <c r="R3828">
        <v>1</v>
      </c>
      <c r="S3828">
        <v>12999</v>
      </c>
      <c r="T3828">
        <v>0.05</v>
      </c>
      <c r="U3828">
        <v>12349.05</v>
      </c>
      <c r="V3828">
        <v>9000</v>
      </c>
      <c r="W3828">
        <v>3349.05</v>
      </c>
      <c r="X3828" t="s">
        <v>73</v>
      </c>
      <c r="Y3828" t="s">
        <v>68</v>
      </c>
      <c r="Z3828" t="s">
        <v>163</v>
      </c>
      <c r="AA3828" t="s">
        <v>171</v>
      </c>
      <c r="AB3828">
        <v>4.3</v>
      </c>
      <c r="AC3828">
        <v>60</v>
      </c>
      <c r="AD3828">
        <v>793.33</v>
      </c>
      <c r="AE3828">
        <f t="shared" si="118"/>
        <v>2495.7200000000003</v>
      </c>
      <c r="AF3828" t="str">
        <f t="shared" si="119"/>
        <v>2026-05</v>
      </c>
      <c r="AG3828">
        <f>SUBTOTAL(103,A3828)</f>
        <v>1</v>
      </c>
    </row>
    <row r="3829" spans="1:33" x14ac:dyDescent="0.3">
      <c r="A3829" t="s">
        <v>6452</v>
      </c>
      <c r="B3829" s="13">
        <v>46151</v>
      </c>
      <c r="C3829">
        <v>2026</v>
      </c>
      <c r="D3829">
        <v>5</v>
      </c>
      <c r="E3829" t="s">
        <v>3566</v>
      </c>
      <c r="F3829" t="s">
        <v>3329</v>
      </c>
      <c r="G3829" t="s">
        <v>963</v>
      </c>
      <c r="H3829" t="s">
        <v>964</v>
      </c>
      <c r="I3829" t="s">
        <v>85</v>
      </c>
      <c r="J3829">
        <v>39</v>
      </c>
      <c r="K3829" t="s">
        <v>82</v>
      </c>
      <c r="L3829" t="s">
        <v>98</v>
      </c>
      <c r="M3829" t="s">
        <v>55</v>
      </c>
      <c r="N3829" t="s">
        <v>2596</v>
      </c>
      <c r="O3829" t="s">
        <v>124</v>
      </c>
      <c r="P3829" t="s">
        <v>51</v>
      </c>
      <c r="Q3829" t="s">
        <v>147</v>
      </c>
      <c r="R3829">
        <v>2</v>
      </c>
      <c r="S3829">
        <v>2299</v>
      </c>
      <c r="T3829">
        <v>0</v>
      </c>
      <c r="U3829">
        <v>4598</v>
      </c>
      <c r="V3829">
        <v>2400</v>
      </c>
      <c r="W3829">
        <v>2198</v>
      </c>
      <c r="X3829" t="s">
        <v>74</v>
      </c>
      <c r="Y3829" t="s">
        <v>68</v>
      </c>
      <c r="Z3829" t="s">
        <v>162</v>
      </c>
      <c r="AA3829" t="s">
        <v>168</v>
      </c>
      <c r="AB3829">
        <v>3</v>
      </c>
      <c r="AC3829">
        <v>100</v>
      </c>
      <c r="AD3829">
        <v>157.72</v>
      </c>
      <c r="AE3829">
        <f t="shared" si="118"/>
        <v>1940.28</v>
      </c>
      <c r="AF3829" t="str">
        <f t="shared" si="119"/>
        <v>2026-05</v>
      </c>
      <c r="AG3829">
        <f>SUBTOTAL(103,A3829)</f>
        <v>1</v>
      </c>
    </row>
    <row r="3830" spans="1:33" x14ac:dyDescent="0.3">
      <c r="A3830" t="s">
        <v>6453</v>
      </c>
      <c r="B3830" s="13">
        <v>46151</v>
      </c>
      <c r="C3830">
        <v>2026</v>
      </c>
      <c r="D3830">
        <v>5</v>
      </c>
      <c r="E3830" t="s">
        <v>3566</v>
      </c>
      <c r="F3830" t="s">
        <v>3329</v>
      </c>
      <c r="G3830" t="s">
        <v>1379</v>
      </c>
      <c r="H3830" t="s">
        <v>1380</v>
      </c>
      <c r="I3830" t="s">
        <v>85</v>
      </c>
      <c r="J3830">
        <v>28</v>
      </c>
      <c r="K3830" t="s">
        <v>81</v>
      </c>
      <c r="L3830" t="s">
        <v>2616</v>
      </c>
      <c r="M3830" t="s">
        <v>62</v>
      </c>
      <c r="N3830" t="s">
        <v>2630</v>
      </c>
      <c r="O3830" t="s">
        <v>123</v>
      </c>
      <c r="P3830" t="s">
        <v>52</v>
      </c>
      <c r="Q3830" t="s">
        <v>146</v>
      </c>
      <c r="R3830">
        <v>4</v>
      </c>
      <c r="S3830">
        <v>2499</v>
      </c>
      <c r="T3830">
        <v>0</v>
      </c>
      <c r="U3830">
        <v>9996</v>
      </c>
      <c r="V3830">
        <v>5600</v>
      </c>
      <c r="W3830">
        <v>4396</v>
      </c>
      <c r="X3830" t="s">
        <v>73</v>
      </c>
      <c r="Y3830" t="s">
        <v>70</v>
      </c>
      <c r="Z3830" t="s">
        <v>159</v>
      </c>
      <c r="AA3830" t="s">
        <v>170</v>
      </c>
      <c r="AB3830">
        <v>3.4</v>
      </c>
      <c r="AC3830">
        <v>50</v>
      </c>
      <c r="AD3830">
        <v>830.13</v>
      </c>
      <c r="AE3830">
        <f t="shared" si="118"/>
        <v>3515.87</v>
      </c>
      <c r="AF3830" t="str">
        <f t="shared" si="119"/>
        <v>2026-05</v>
      </c>
      <c r="AG3830">
        <f>SUBTOTAL(103,A3830)</f>
        <v>1</v>
      </c>
    </row>
    <row r="3831" spans="1:33" x14ac:dyDescent="0.3">
      <c r="A3831" t="s">
        <v>6454</v>
      </c>
      <c r="B3831" s="13">
        <v>46151</v>
      </c>
      <c r="C3831">
        <v>2026</v>
      </c>
      <c r="D3831">
        <v>5</v>
      </c>
      <c r="E3831" t="s">
        <v>3566</v>
      </c>
      <c r="F3831" t="s">
        <v>3329</v>
      </c>
      <c r="G3831" t="s">
        <v>1415</v>
      </c>
      <c r="H3831" t="s">
        <v>1416</v>
      </c>
      <c r="I3831" t="s">
        <v>85</v>
      </c>
      <c r="J3831">
        <v>32</v>
      </c>
      <c r="K3831" t="s">
        <v>81</v>
      </c>
      <c r="L3831" t="s">
        <v>2687</v>
      </c>
      <c r="M3831" t="s">
        <v>57</v>
      </c>
      <c r="N3831" t="s">
        <v>2606</v>
      </c>
      <c r="O3831" t="s">
        <v>120</v>
      </c>
      <c r="P3831" t="s">
        <v>49</v>
      </c>
      <c r="Q3831" t="s">
        <v>140</v>
      </c>
      <c r="R3831">
        <v>1</v>
      </c>
      <c r="S3831">
        <v>2799</v>
      </c>
      <c r="T3831">
        <v>0</v>
      </c>
      <c r="U3831">
        <v>2799</v>
      </c>
      <c r="V3831">
        <v>1650</v>
      </c>
      <c r="W3831">
        <v>1149</v>
      </c>
      <c r="X3831" t="s">
        <v>76</v>
      </c>
      <c r="Y3831" t="s">
        <v>68</v>
      </c>
      <c r="Z3831" t="s">
        <v>158</v>
      </c>
      <c r="AA3831" t="s">
        <v>167</v>
      </c>
      <c r="AB3831">
        <v>3.9</v>
      </c>
      <c r="AC3831">
        <v>60</v>
      </c>
      <c r="AD3831">
        <v>231.06</v>
      </c>
      <c r="AE3831">
        <f t="shared" si="118"/>
        <v>857.94</v>
      </c>
      <c r="AF3831" t="str">
        <f t="shared" si="119"/>
        <v>2026-05</v>
      </c>
      <c r="AG3831">
        <f>SUBTOTAL(103,A3831)</f>
        <v>1</v>
      </c>
    </row>
    <row r="3832" spans="1:33" x14ac:dyDescent="0.3">
      <c r="A3832" t="s">
        <v>6455</v>
      </c>
      <c r="B3832" s="13">
        <v>46151</v>
      </c>
      <c r="C3832">
        <v>2026</v>
      </c>
      <c r="D3832">
        <v>5</v>
      </c>
      <c r="E3832" t="s">
        <v>3566</v>
      </c>
      <c r="F3832" t="s">
        <v>3329</v>
      </c>
      <c r="G3832" t="s">
        <v>1453</v>
      </c>
      <c r="H3832" t="s">
        <v>1454</v>
      </c>
      <c r="I3832" t="s">
        <v>85</v>
      </c>
      <c r="J3832">
        <v>33</v>
      </c>
      <c r="K3832" t="s">
        <v>81</v>
      </c>
      <c r="L3832" t="s">
        <v>2646</v>
      </c>
      <c r="M3832" t="s">
        <v>63</v>
      </c>
      <c r="N3832" t="s">
        <v>2577</v>
      </c>
      <c r="O3832" t="s">
        <v>129</v>
      </c>
      <c r="P3832" t="s">
        <v>49</v>
      </c>
      <c r="Q3832" t="s">
        <v>149</v>
      </c>
      <c r="R3832">
        <v>1</v>
      </c>
      <c r="S3832">
        <v>1299</v>
      </c>
      <c r="T3832">
        <v>0.1</v>
      </c>
      <c r="U3832">
        <v>0</v>
      </c>
      <c r="V3832">
        <v>0</v>
      </c>
      <c r="W3832">
        <v>0</v>
      </c>
      <c r="X3832" t="s">
        <v>77</v>
      </c>
      <c r="Y3832" t="s">
        <v>71</v>
      </c>
      <c r="Z3832" t="s">
        <v>158</v>
      </c>
      <c r="AA3832" t="s">
        <v>167</v>
      </c>
      <c r="AB3832">
        <v>4.8</v>
      </c>
      <c r="AC3832">
        <v>40</v>
      </c>
      <c r="AD3832">
        <v>34.9</v>
      </c>
      <c r="AE3832">
        <f t="shared" si="118"/>
        <v>-74.900000000000006</v>
      </c>
      <c r="AF3832" t="str">
        <f t="shared" si="119"/>
        <v>2026-05</v>
      </c>
      <c r="AG3832">
        <f>SUBTOTAL(103,A3832)</f>
        <v>1</v>
      </c>
    </row>
    <row r="3833" spans="1:33" x14ac:dyDescent="0.3">
      <c r="A3833" t="s">
        <v>6456</v>
      </c>
      <c r="B3833" s="13">
        <v>46151</v>
      </c>
      <c r="C3833">
        <v>2026</v>
      </c>
      <c r="D3833">
        <v>5</v>
      </c>
      <c r="E3833" t="s">
        <v>3566</v>
      </c>
      <c r="F3833" t="s">
        <v>3329</v>
      </c>
      <c r="G3833" t="s">
        <v>235</v>
      </c>
      <c r="H3833" t="s">
        <v>236</v>
      </c>
      <c r="I3833" t="s">
        <v>85</v>
      </c>
      <c r="J3833">
        <v>27</v>
      </c>
      <c r="K3833" t="s">
        <v>81</v>
      </c>
      <c r="L3833" t="s">
        <v>59</v>
      </c>
      <c r="M3833" t="s">
        <v>59</v>
      </c>
      <c r="N3833" t="s">
        <v>2601</v>
      </c>
      <c r="O3833" t="s">
        <v>117</v>
      </c>
      <c r="P3833" t="s">
        <v>49</v>
      </c>
      <c r="Q3833" t="s">
        <v>139</v>
      </c>
      <c r="R3833">
        <v>3</v>
      </c>
      <c r="S3833">
        <v>6999</v>
      </c>
      <c r="T3833">
        <v>0.05</v>
      </c>
      <c r="U3833">
        <v>19947.150000000001</v>
      </c>
      <c r="V3833">
        <v>12900</v>
      </c>
      <c r="W3833">
        <v>7047.15</v>
      </c>
      <c r="X3833" t="s">
        <v>73</v>
      </c>
      <c r="Y3833" t="s">
        <v>68</v>
      </c>
      <c r="Z3833" t="s">
        <v>159</v>
      </c>
      <c r="AA3833" t="s">
        <v>170</v>
      </c>
      <c r="AB3833">
        <v>5</v>
      </c>
      <c r="AC3833">
        <v>40</v>
      </c>
      <c r="AD3833">
        <v>1060.04</v>
      </c>
      <c r="AE3833">
        <f t="shared" si="118"/>
        <v>5947.11</v>
      </c>
      <c r="AF3833" t="str">
        <f t="shared" si="119"/>
        <v>2026-05</v>
      </c>
      <c r="AG3833">
        <f>SUBTOTAL(103,A3833)</f>
        <v>1</v>
      </c>
    </row>
    <row r="3834" spans="1:33" x14ac:dyDescent="0.3">
      <c r="A3834" t="s">
        <v>6457</v>
      </c>
      <c r="B3834" s="13">
        <v>46151</v>
      </c>
      <c r="C3834">
        <v>2026</v>
      </c>
      <c r="D3834">
        <v>5</v>
      </c>
      <c r="E3834" t="s">
        <v>3566</v>
      </c>
      <c r="F3834" t="s">
        <v>3329</v>
      </c>
      <c r="G3834" t="s">
        <v>355</v>
      </c>
      <c r="H3834" t="s">
        <v>356</v>
      </c>
      <c r="I3834" t="s">
        <v>86</v>
      </c>
      <c r="J3834">
        <v>26</v>
      </c>
      <c r="K3834" t="s">
        <v>81</v>
      </c>
      <c r="L3834" t="s">
        <v>90</v>
      </c>
      <c r="M3834" t="s">
        <v>55</v>
      </c>
      <c r="N3834" t="s">
        <v>2657</v>
      </c>
      <c r="O3834" t="s">
        <v>134</v>
      </c>
      <c r="P3834" t="s">
        <v>49</v>
      </c>
      <c r="Q3834" t="s">
        <v>140</v>
      </c>
      <c r="R3834">
        <v>1</v>
      </c>
      <c r="S3834">
        <v>599</v>
      </c>
      <c r="T3834">
        <v>0.1</v>
      </c>
      <c r="U3834">
        <v>539.1</v>
      </c>
      <c r="V3834">
        <v>250</v>
      </c>
      <c r="W3834">
        <v>289.10000000000002</v>
      </c>
      <c r="X3834" t="s">
        <v>75</v>
      </c>
      <c r="Y3834" t="s">
        <v>68</v>
      </c>
      <c r="Z3834" t="s">
        <v>158</v>
      </c>
      <c r="AA3834" t="s">
        <v>166</v>
      </c>
      <c r="AB3834">
        <v>3.2</v>
      </c>
      <c r="AC3834">
        <v>60</v>
      </c>
      <c r="AD3834">
        <v>51.58</v>
      </c>
      <c r="AE3834">
        <f t="shared" si="118"/>
        <v>177.52000000000004</v>
      </c>
      <c r="AF3834" t="str">
        <f t="shared" si="119"/>
        <v>2026-05</v>
      </c>
      <c r="AG3834">
        <f>SUBTOTAL(103,A3834)</f>
        <v>1</v>
      </c>
    </row>
    <row r="3835" spans="1:33" x14ac:dyDescent="0.3">
      <c r="A3835" t="s">
        <v>6458</v>
      </c>
      <c r="B3835" s="13">
        <v>46151</v>
      </c>
      <c r="C3835">
        <v>2026</v>
      </c>
      <c r="D3835">
        <v>5</v>
      </c>
      <c r="E3835" t="s">
        <v>3566</v>
      </c>
      <c r="F3835" t="s">
        <v>3329</v>
      </c>
      <c r="G3835" t="s">
        <v>657</v>
      </c>
      <c r="H3835" t="s">
        <v>658</v>
      </c>
      <c r="I3835" t="s">
        <v>86</v>
      </c>
      <c r="J3835">
        <v>33</v>
      </c>
      <c r="K3835" t="s">
        <v>81</v>
      </c>
      <c r="L3835" t="s">
        <v>96</v>
      </c>
      <c r="M3835" t="s">
        <v>55</v>
      </c>
      <c r="N3835" t="s">
        <v>2665</v>
      </c>
      <c r="O3835" t="s">
        <v>128</v>
      </c>
      <c r="P3835" t="s">
        <v>53</v>
      </c>
      <c r="Q3835" t="s">
        <v>143</v>
      </c>
      <c r="R3835">
        <v>4</v>
      </c>
      <c r="S3835">
        <v>1499</v>
      </c>
      <c r="T3835">
        <v>0.2</v>
      </c>
      <c r="U3835">
        <v>4796.8</v>
      </c>
      <c r="V3835">
        <v>3200</v>
      </c>
      <c r="W3835">
        <v>1596.8</v>
      </c>
      <c r="X3835" t="s">
        <v>75</v>
      </c>
      <c r="Y3835" t="s">
        <v>68</v>
      </c>
      <c r="Z3835" t="s">
        <v>158</v>
      </c>
      <c r="AA3835" t="s">
        <v>168</v>
      </c>
      <c r="AB3835">
        <v>3.8</v>
      </c>
      <c r="AC3835">
        <v>60</v>
      </c>
      <c r="AD3835">
        <v>353.85</v>
      </c>
      <c r="AE3835">
        <f t="shared" si="118"/>
        <v>1182.9499999999998</v>
      </c>
      <c r="AF3835" t="str">
        <f t="shared" si="119"/>
        <v>2026-05</v>
      </c>
      <c r="AG3835">
        <f>SUBTOTAL(103,A3835)</f>
        <v>1</v>
      </c>
    </row>
    <row r="3836" spans="1:33" x14ac:dyDescent="0.3">
      <c r="A3836" t="s">
        <v>6459</v>
      </c>
      <c r="B3836" s="13">
        <v>46152</v>
      </c>
      <c r="C3836">
        <v>2026</v>
      </c>
      <c r="D3836">
        <v>5</v>
      </c>
      <c r="E3836" t="s">
        <v>3566</v>
      </c>
      <c r="F3836" t="s">
        <v>3329</v>
      </c>
      <c r="G3836" t="s">
        <v>1391</v>
      </c>
      <c r="H3836" t="s">
        <v>1392</v>
      </c>
      <c r="I3836" t="s">
        <v>85</v>
      </c>
      <c r="J3836">
        <v>28</v>
      </c>
      <c r="K3836" t="s">
        <v>81</v>
      </c>
      <c r="L3836" t="s">
        <v>92</v>
      </c>
      <c r="M3836" t="s">
        <v>59</v>
      </c>
      <c r="N3836" t="s">
        <v>2577</v>
      </c>
      <c r="O3836" t="s">
        <v>129</v>
      </c>
      <c r="P3836" t="s">
        <v>49</v>
      </c>
      <c r="Q3836" t="s">
        <v>149</v>
      </c>
      <c r="R3836">
        <v>3</v>
      </c>
      <c r="S3836">
        <v>1299</v>
      </c>
      <c r="T3836">
        <v>0.15</v>
      </c>
      <c r="U3836">
        <v>3312.45</v>
      </c>
      <c r="V3836">
        <v>1950</v>
      </c>
      <c r="W3836">
        <v>1362.45</v>
      </c>
      <c r="X3836" t="s">
        <v>73</v>
      </c>
      <c r="Y3836" t="s">
        <v>68</v>
      </c>
      <c r="Z3836" t="s">
        <v>159</v>
      </c>
      <c r="AA3836" t="s">
        <v>166</v>
      </c>
      <c r="AB3836">
        <v>3</v>
      </c>
      <c r="AC3836">
        <v>40</v>
      </c>
      <c r="AD3836">
        <v>318.33999999999997</v>
      </c>
      <c r="AE3836">
        <f t="shared" si="118"/>
        <v>1004.1100000000001</v>
      </c>
      <c r="AF3836" t="str">
        <f t="shared" si="119"/>
        <v>2026-05</v>
      </c>
      <c r="AG3836">
        <f>SUBTOTAL(103,A3836)</f>
        <v>1</v>
      </c>
    </row>
    <row r="3837" spans="1:33" x14ac:dyDescent="0.3">
      <c r="A3837" t="s">
        <v>6460</v>
      </c>
      <c r="B3837" s="13">
        <v>46152</v>
      </c>
      <c r="C3837">
        <v>2026</v>
      </c>
      <c r="D3837">
        <v>5</v>
      </c>
      <c r="E3837" t="s">
        <v>3566</v>
      </c>
      <c r="F3837" t="s">
        <v>3329</v>
      </c>
      <c r="G3837" t="s">
        <v>703</v>
      </c>
      <c r="H3837" t="s">
        <v>704</v>
      </c>
      <c r="I3837" t="s">
        <v>86</v>
      </c>
      <c r="J3837">
        <v>49</v>
      </c>
      <c r="K3837" t="s">
        <v>83</v>
      </c>
      <c r="L3837" t="s">
        <v>99</v>
      </c>
      <c r="M3837" t="s">
        <v>58</v>
      </c>
      <c r="N3837" t="s">
        <v>2665</v>
      </c>
      <c r="O3837" t="s">
        <v>128</v>
      </c>
      <c r="P3837" t="s">
        <v>53</v>
      </c>
      <c r="Q3837" t="s">
        <v>143</v>
      </c>
      <c r="R3837">
        <v>1</v>
      </c>
      <c r="S3837">
        <v>1499</v>
      </c>
      <c r="T3837">
        <v>0.05</v>
      </c>
      <c r="U3837">
        <v>1424.05</v>
      </c>
      <c r="V3837">
        <v>800</v>
      </c>
      <c r="W3837">
        <v>624.04999999999995</v>
      </c>
      <c r="X3837" t="s">
        <v>74</v>
      </c>
      <c r="Y3837" t="s">
        <v>68</v>
      </c>
      <c r="Z3837" t="s">
        <v>162</v>
      </c>
      <c r="AA3837" t="s">
        <v>167</v>
      </c>
      <c r="AB3837">
        <v>3.6</v>
      </c>
      <c r="AC3837">
        <v>50</v>
      </c>
      <c r="AD3837">
        <v>90.25</v>
      </c>
      <c r="AE3837">
        <f t="shared" si="118"/>
        <v>483.79999999999995</v>
      </c>
      <c r="AF3837" t="str">
        <f t="shared" si="119"/>
        <v>2026-05</v>
      </c>
      <c r="AG3837">
        <f>SUBTOTAL(103,A3837)</f>
        <v>1</v>
      </c>
    </row>
    <row r="3838" spans="1:33" x14ac:dyDescent="0.3">
      <c r="A3838" t="s">
        <v>6461</v>
      </c>
      <c r="B3838" s="13">
        <v>46152</v>
      </c>
      <c r="C3838">
        <v>2026</v>
      </c>
      <c r="D3838">
        <v>5</v>
      </c>
      <c r="E3838" t="s">
        <v>3566</v>
      </c>
      <c r="F3838" t="s">
        <v>3329</v>
      </c>
      <c r="G3838" t="s">
        <v>299</v>
      </c>
      <c r="H3838" t="s">
        <v>300</v>
      </c>
      <c r="I3838" t="s">
        <v>85</v>
      </c>
      <c r="J3838">
        <v>21</v>
      </c>
      <c r="K3838" t="s">
        <v>80</v>
      </c>
      <c r="L3838" t="s">
        <v>2687</v>
      </c>
      <c r="M3838" t="s">
        <v>57</v>
      </c>
      <c r="N3838" t="s">
        <v>2582</v>
      </c>
      <c r="O3838" t="s">
        <v>119</v>
      </c>
      <c r="P3838" t="s">
        <v>49</v>
      </c>
      <c r="Q3838" t="s">
        <v>140</v>
      </c>
      <c r="R3838">
        <v>1</v>
      </c>
      <c r="S3838">
        <v>3499</v>
      </c>
      <c r="T3838">
        <v>0.15</v>
      </c>
      <c r="U3838">
        <v>2974.15</v>
      </c>
      <c r="V3838">
        <v>2100</v>
      </c>
      <c r="W3838">
        <v>874.15</v>
      </c>
      <c r="X3838" t="s">
        <v>76</v>
      </c>
      <c r="Y3838" t="s">
        <v>68</v>
      </c>
      <c r="Z3838" t="s">
        <v>162</v>
      </c>
      <c r="AA3838" t="s">
        <v>167</v>
      </c>
      <c r="AB3838">
        <v>4.3</v>
      </c>
      <c r="AC3838">
        <v>80</v>
      </c>
      <c r="AD3838">
        <v>95.32</v>
      </c>
      <c r="AE3838">
        <f t="shared" si="118"/>
        <v>698.82999999999993</v>
      </c>
      <c r="AF3838" t="str">
        <f t="shared" si="119"/>
        <v>2026-05</v>
      </c>
      <c r="AG3838">
        <f>SUBTOTAL(103,A3838)</f>
        <v>1</v>
      </c>
    </row>
    <row r="3839" spans="1:33" x14ac:dyDescent="0.3">
      <c r="A3839" t="s">
        <v>6462</v>
      </c>
      <c r="B3839" s="13">
        <v>46152</v>
      </c>
      <c r="C3839">
        <v>2026</v>
      </c>
      <c r="D3839">
        <v>5</v>
      </c>
      <c r="E3839" t="s">
        <v>3566</v>
      </c>
      <c r="F3839" t="s">
        <v>3329</v>
      </c>
      <c r="G3839" t="s">
        <v>329</v>
      </c>
      <c r="H3839" t="s">
        <v>330</v>
      </c>
      <c r="I3839" t="s">
        <v>86</v>
      </c>
      <c r="J3839">
        <v>18</v>
      </c>
      <c r="K3839" t="s">
        <v>80</v>
      </c>
      <c r="L3839" t="s">
        <v>90</v>
      </c>
      <c r="M3839" t="s">
        <v>55</v>
      </c>
      <c r="N3839" t="s">
        <v>2577</v>
      </c>
      <c r="O3839" t="s">
        <v>129</v>
      </c>
      <c r="P3839" t="s">
        <v>49</v>
      </c>
      <c r="Q3839" t="s">
        <v>149</v>
      </c>
      <c r="R3839">
        <v>1</v>
      </c>
      <c r="S3839">
        <v>1299</v>
      </c>
      <c r="T3839">
        <v>0.1</v>
      </c>
      <c r="U3839">
        <v>1169.0999999999999</v>
      </c>
      <c r="V3839">
        <v>650</v>
      </c>
      <c r="W3839">
        <v>519.1</v>
      </c>
      <c r="X3839" t="s">
        <v>76</v>
      </c>
      <c r="Y3839" t="s">
        <v>68</v>
      </c>
      <c r="Z3839" t="s">
        <v>159</v>
      </c>
      <c r="AA3839" t="s">
        <v>168</v>
      </c>
      <c r="AB3839">
        <v>4.2</v>
      </c>
      <c r="AC3839">
        <v>50</v>
      </c>
      <c r="AD3839">
        <v>62.5</v>
      </c>
      <c r="AE3839">
        <f t="shared" si="118"/>
        <v>406.6</v>
      </c>
      <c r="AF3839" t="str">
        <f t="shared" si="119"/>
        <v>2026-05</v>
      </c>
      <c r="AG3839">
        <f>SUBTOTAL(103,A3839)</f>
        <v>1</v>
      </c>
    </row>
    <row r="3840" spans="1:33" x14ac:dyDescent="0.3">
      <c r="A3840" t="s">
        <v>6463</v>
      </c>
      <c r="B3840" s="13">
        <v>46152</v>
      </c>
      <c r="C3840">
        <v>2026</v>
      </c>
      <c r="D3840">
        <v>5</v>
      </c>
      <c r="E3840" t="s">
        <v>3566</v>
      </c>
      <c r="F3840" t="s">
        <v>3329</v>
      </c>
      <c r="G3840" t="s">
        <v>1949</v>
      </c>
      <c r="H3840" t="s">
        <v>1950</v>
      </c>
      <c r="I3840" t="s">
        <v>85</v>
      </c>
      <c r="J3840">
        <v>33</v>
      </c>
      <c r="K3840" t="s">
        <v>81</v>
      </c>
      <c r="L3840" t="s">
        <v>2634</v>
      </c>
      <c r="M3840" t="s">
        <v>56</v>
      </c>
      <c r="N3840" t="s">
        <v>2601</v>
      </c>
      <c r="O3840" t="s">
        <v>117</v>
      </c>
      <c r="P3840" t="s">
        <v>49</v>
      </c>
      <c r="Q3840" t="s">
        <v>139</v>
      </c>
      <c r="R3840">
        <v>1</v>
      </c>
      <c r="S3840">
        <v>6999</v>
      </c>
      <c r="T3840">
        <v>0.05</v>
      </c>
      <c r="U3840">
        <v>6649.05</v>
      </c>
      <c r="V3840">
        <v>4300</v>
      </c>
      <c r="W3840">
        <v>2349.0500000000002</v>
      </c>
      <c r="X3840" t="s">
        <v>74</v>
      </c>
      <c r="Y3840" t="s">
        <v>68</v>
      </c>
      <c r="Z3840" t="s">
        <v>160</v>
      </c>
      <c r="AA3840" t="s">
        <v>167</v>
      </c>
      <c r="AB3840">
        <v>3.1</v>
      </c>
      <c r="AC3840">
        <v>50</v>
      </c>
      <c r="AD3840">
        <v>259.45999999999998</v>
      </c>
      <c r="AE3840">
        <f t="shared" si="118"/>
        <v>2039.5900000000001</v>
      </c>
      <c r="AF3840" t="str">
        <f t="shared" si="119"/>
        <v>2026-05</v>
      </c>
      <c r="AG3840">
        <f>SUBTOTAL(103,A3840)</f>
        <v>1</v>
      </c>
    </row>
    <row r="3841" spans="1:33" x14ac:dyDescent="0.3">
      <c r="A3841" t="s">
        <v>6464</v>
      </c>
      <c r="B3841" s="13">
        <v>46152</v>
      </c>
      <c r="C3841">
        <v>2026</v>
      </c>
      <c r="D3841">
        <v>5</v>
      </c>
      <c r="E3841" t="s">
        <v>3566</v>
      </c>
      <c r="F3841" t="s">
        <v>3329</v>
      </c>
      <c r="G3841" t="s">
        <v>1553</v>
      </c>
      <c r="H3841" t="s">
        <v>1554</v>
      </c>
      <c r="I3841" t="s">
        <v>86</v>
      </c>
      <c r="J3841">
        <v>29</v>
      </c>
      <c r="K3841" t="s">
        <v>81</v>
      </c>
      <c r="L3841" t="s">
        <v>93</v>
      </c>
      <c r="M3841" t="s">
        <v>55</v>
      </c>
      <c r="N3841" t="s">
        <v>2594</v>
      </c>
      <c r="O3841" t="s">
        <v>131</v>
      </c>
      <c r="P3841" t="s">
        <v>53</v>
      </c>
      <c r="Q3841" t="s">
        <v>143</v>
      </c>
      <c r="R3841">
        <v>2</v>
      </c>
      <c r="S3841">
        <v>999</v>
      </c>
      <c r="T3841">
        <v>0.15</v>
      </c>
      <c r="U3841">
        <v>1698.3</v>
      </c>
      <c r="V3841">
        <v>1040</v>
      </c>
      <c r="W3841">
        <v>658.3</v>
      </c>
      <c r="X3841" t="s">
        <v>74</v>
      </c>
      <c r="Y3841" t="s">
        <v>68</v>
      </c>
      <c r="Z3841" t="s">
        <v>159</v>
      </c>
      <c r="AA3841" t="s">
        <v>169</v>
      </c>
      <c r="AB3841">
        <v>4</v>
      </c>
      <c r="AC3841">
        <v>100</v>
      </c>
      <c r="AD3841">
        <v>115.34</v>
      </c>
      <c r="AE3841">
        <f t="shared" si="118"/>
        <v>442.95999999999992</v>
      </c>
      <c r="AF3841" t="str">
        <f t="shared" si="119"/>
        <v>2026-05</v>
      </c>
      <c r="AG3841">
        <f>SUBTOTAL(103,A3841)</f>
        <v>1</v>
      </c>
    </row>
    <row r="3842" spans="1:33" x14ac:dyDescent="0.3">
      <c r="A3842" t="s">
        <v>6465</v>
      </c>
      <c r="B3842" s="13">
        <v>46152</v>
      </c>
      <c r="C3842">
        <v>2026</v>
      </c>
      <c r="D3842">
        <v>5</v>
      </c>
      <c r="E3842" t="s">
        <v>3566</v>
      </c>
      <c r="F3842" t="s">
        <v>3329</v>
      </c>
      <c r="G3842" t="s">
        <v>529</v>
      </c>
      <c r="H3842" t="s">
        <v>530</v>
      </c>
      <c r="I3842" t="s">
        <v>85</v>
      </c>
      <c r="J3842">
        <v>33</v>
      </c>
      <c r="K3842" t="s">
        <v>81</v>
      </c>
      <c r="L3842" t="s">
        <v>94</v>
      </c>
      <c r="M3842" t="s">
        <v>57</v>
      </c>
      <c r="N3842" t="s">
        <v>2657</v>
      </c>
      <c r="O3842" t="s">
        <v>134</v>
      </c>
      <c r="P3842" t="s">
        <v>49</v>
      </c>
      <c r="Q3842" t="s">
        <v>140</v>
      </c>
      <c r="R3842">
        <v>1</v>
      </c>
      <c r="S3842">
        <v>599</v>
      </c>
      <c r="T3842">
        <v>0.1</v>
      </c>
      <c r="U3842">
        <v>539.1</v>
      </c>
      <c r="V3842">
        <v>250</v>
      </c>
      <c r="W3842">
        <v>289.10000000000002</v>
      </c>
      <c r="X3842" t="s">
        <v>77</v>
      </c>
      <c r="Y3842" t="s">
        <v>68</v>
      </c>
      <c r="Z3842" t="s">
        <v>163</v>
      </c>
      <c r="AA3842" t="s">
        <v>169</v>
      </c>
      <c r="AB3842">
        <v>4.7</v>
      </c>
      <c r="AC3842">
        <v>40</v>
      </c>
      <c r="AD3842">
        <v>52.06</v>
      </c>
      <c r="AE3842">
        <f t="shared" ref="AE3842:AE3905" si="120">W3842-AC3842-AD3842</f>
        <v>197.04000000000002</v>
      </c>
      <c r="AF3842" t="str">
        <f t="shared" ref="AF3842:AF3905" si="121">C3842&amp;"-"&amp;TEXT(D3842,"00")</f>
        <v>2026-05</v>
      </c>
      <c r="AG3842">
        <f>SUBTOTAL(103,A3842)</f>
        <v>1</v>
      </c>
    </row>
    <row r="3843" spans="1:33" x14ac:dyDescent="0.3">
      <c r="A3843" t="s">
        <v>6466</v>
      </c>
      <c r="B3843" s="13">
        <v>46152</v>
      </c>
      <c r="C3843">
        <v>2026</v>
      </c>
      <c r="D3843">
        <v>5</v>
      </c>
      <c r="E3843" t="s">
        <v>3566</v>
      </c>
      <c r="F3843" t="s">
        <v>3329</v>
      </c>
      <c r="G3843" t="s">
        <v>2359</v>
      </c>
      <c r="H3843" t="s">
        <v>2360</v>
      </c>
      <c r="I3843" t="s">
        <v>86</v>
      </c>
      <c r="J3843">
        <v>40</v>
      </c>
      <c r="K3843" t="s">
        <v>82</v>
      </c>
      <c r="L3843" t="s">
        <v>2674</v>
      </c>
      <c r="M3843" t="s">
        <v>58</v>
      </c>
      <c r="N3843" t="s">
        <v>2577</v>
      </c>
      <c r="O3843" t="s">
        <v>129</v>
      </c>
      <c r="P3843" t="s">
        <v>49</v>
      </c>
      <c r="Q3843" t="s">
        <v>149</v>
      </c>
      <c r="R3843">
        <v>4</v>
      </c>
      <c r="S3843">
        <v>1299</v>
      </c>
      <c r="T3843">
        <v>0.25</v>
      </c>
      <c r="U3843">
        <v>3897</v>
      </c>
      <c r="V3843">
        <v>2600</v>
      </c>
      <c r="W3843">
        <v>1297</v>
      </c>
      <c r="X3843" t="s">
        <v>77</v>
      </c>
      <c r="Y3843" t="s">
        <v>70</v>
      </c>
      <c r="Z3843" t="s">
        <v>163</v>
      </c>
      <c r="AA3843" t="s">
        <v>170</v>
      </c>
      <c r="AB3843">
        <v>4.0999999999999996</v>
      </c>
      <c r="AC3843">
        <v>50</v>
      </c>
      <c r="AD3843">
        <v>320.13</v>
      </c>
      <c r="AE3843">
        <f t="shared" si="120"/>
        <v>926.87</v>
      </c>
      <c r="AF3843" t="str">
        <f t="shared" si="121"/>
        <v>2026-05</v>
      </c>
      <c r="AG3843">
        <f>SUBTOTAL(103,A3843)</f>
        <v>1</v>
      </c>
    </row>
    <row r="3844" spans="1:33" x14ac:dyDescent="0.3">
      <c r="A3844" t="s">
        <v>6467</v>
      </c>
      <c r="B3844" s="13">
        <v>46153</v>
      </c>
      <c r="C3844">
        <v>2026</v>
      </c>
      <c r="D3844">
        <v>5</v>
      </c>
      <c r="E3844" t="s">
        <v>3566</v>
      </c>
      <c r="F3844" t="s">
        <v>3329</v>
      </c>
      <c r="G3844" t="s">
        <v>1899</v>
      </c>
      <c r="H3844" t="s">
        <v>1900</v>
      </c>
      <c r="I3844" t="s">
        <v>86</v>
      </c>
      <c r="J3844">
        <v>30</v>
      </c>
      <c r="K3844" t="s">
        <v>81</v>
      </c>
      <c r="L3844" t="s">
        <v>2646</v>
      </c>
      <c r="M3844" t="s">
        <v>63</v>
      </c>
      <c r="N3844" t="s">
        <v>2596</v>
      </c>
      <c r="O3844" t="s">
        <v>124</v>
      </c>
      <c r="P3844" t="s">
        <v>51</v>
      </c>
      <c r="Q3844" t="s">
        <v>147</v>
      </c>
      <c r="R3844">
        <v>2</v>
      </c>
      <c r="S3844">
        <v>2299</v>
      </c>
      <c r="T3844">
        <v>0.15</v>
      </c>
      <c r="U3844">
        <v>3908.3</v>
      </c>
      <c r="V3844">
        <v>2400</v>
      </c>
      <c r="W3844">
        <v>1508.3</v>
      </c>
      <c r="X3844" t="s">
        <v>74</v>
      </c>
      <c r="Y3844" t="s">
        <v>68</v>
      </c>
      <c r="Z3844" t="s">
        <v>158</v>
      </c>
      <c r="AA3844" t="s">
        <v>166</v>
      </c>
      <c r="AB3844">
        <v>5</v>
      </c>
      <c r="AC3844">
        <v>50</v>
      </c>
      <c r="AD3844">
        <v>464.47</v>
      </c>
      <c r="AE3844">
        <f t="shared" si="120"/>
        <v>993.82999999999993</v>
      </c>
      <c r="AF3844" t="str">
        <f t="shared" si="121"/>
        <v>2026-05</v>
      </c>
      <c r="AG3844">
        <f>SUBTOTAL(103,A3844)</f>
        <v>1</v>
      </c>
    </row>
    <row r="3845" spans="1:33" x14ac:dyDescent="0.3">
      <c r="A3845" t="s">
        <v>6468</v>
      </c>
      <c r="B3845" s="13">
        <v>46153</v>
      </c>
      <c r="C3845">
        <v>2026</v>
      </c>
      <c r="D3845">
        <v>5</v>
      </c>
      <c r="E3845" t="s">
        <v>3566</v>
      </c>
      <c r="F3845" t="s">
        <v>3329</v>
      </c>
      <c r="G3845" t="s">
        <v>419</v>
      </c>
      <c r="H3845" t="s">
        <v>420</v>
      </c>
      <c r="I3845" t="s">
        <v>87</v>
      </c>
      <c r="J3845">
        <v>55</v>
      </c>
      <c r="K3845" t="s">
        <v>83</v>
      </c>
      <c r="L3845" t="s">
        <v>2679</v>
      </c>
      <c r="M3845" t="s">
        <v>60</v>
      </c>
      <c r="N3845" t="s">
        <v>2582</v>
      </c>
      <c r="O3845" t="s">
        <v>119</v>
      </c>
      <c r="P3845" t="s">
        <v>49</v>
      </c>
      <c r="Q3845" t="s">
        <v>140</v>
      </c>
      <c r="R3845">
        <v>1</v>
      </c>
      <c r="S3845">
        <v>3499</v>
      </c>
      <c r="T3845">
        <v>0</v>
      </c>
      <c r="U3845">
        <v>3499</v>
      </c>
      <c r="V3845">
        <v>2100</v>
      </c>
      <c r="W3845">
        <v>1399</v>
      </c>
      <c r="X3845" t="s">
        <v>73</v>
      </c>
      <c r="Y3845" t="s">
        <v>68</v>
      </c>
      <c r="Z3845" t="s">
        <v>163</v>
      </c>
      <c r="AA3845" t="s">
        <v>171</v>
      </c>
      <c r="AB3845">
        <v>3.7</v>
      </c>
      <c r="AC3845">
        <v>50</v>
      </c>
      <c r="AD3845">
        <v>85.95</v>
      </c>
      <c r="AE3845">
        <f t="shared" si="120"/>
        <v>1263.05</v>
      </c>
      <c r="AF3845" t="str">
        <f t="shared" si="121"/>
        <v>2026-05</v>
      </c>
      <c r="AG3845">
        <f>SUBTOTAL(103,A3845)</f>
        <v>1</v>
      </c>
    </row>
    <row r="3846" spans="1:33" x14ac:dyDescent="0.3">
      <c r="A3846" t="s">
        <v>6469</v>
      </c>
      <c r="B3846" s="13">
        <v>46153</v>
      </c>
      <c r="C3846">
        <v>2026</v>
      </c>
      <c r="D3846">
        <v>5</v>
      </c>
      <c r="E3846" t="s">
        <v>3566</v>
      </c>
      <c r="F3846" t="s">
        <v>3329</v>
      </c>
      <c r="G3846" t="s">
        <v>231</v>
      </c>
      <c r="H3846" t="s">
        <v>232</v>
      </c>
      <c r="I3846" t="s">
        <v>85</v>
      </c>
      <c r="J3846">
        <v>59</v>
      </c>
      <c r="K3846" t="s">
        <v>83</v>
      </c>
      <c r="L3846" t="s">
        <v>93</v>
      </c>
      <c r="M3846" t="s">
        <v>55</v>
      </c>
      <c r="N3846" t="s">
        <v>2587</v>
      </c>
      <c r="O3846" t="s">
        <v>116</v>
      </c>
      <c r="P3846" t="s">
        <v>48</v>
      </c>
      <c r="Q3846" t="s">
        <v>138</v>
      </c>
      <c r="R3846">
        <v>5</v>
      </c>
      <c r="S3846">
        <v>14999</v>
      </c>
      <c r="T3846">
        <v>0.2</v>
      </c>
      <c r="U3846">
        <v>59996</v>
      </c>
      <c r="V3846">
        <v>56000</v>
      </c>
      <c r="W3846">
        <v>3996</v>
      </c>
      <c r="X3846" t="s">
        <v>73</v>
      </c>
      <c r="Y3846" t="s">
        <v>68</v>
      </c>
      <c r="Z3846" t="s">
        <v>163</v>
      </c>
      <c r="AA3846" t="s">
        <v>169</v>
      </c>
      <c r="AB3846">
        <v>4.7</v>
      </c>
      <c r="AC3846">
        <v>60</v>
      </c>
      <c r="AD3846">
        <v>6633.51</v>
      </c>
      <c r="AE3846">
        <f t="shared" si="120"/>
        <v>-2697.51</v>
      </c>
      <c r="AF3846" t="str">
        <f t="shared" si="121"/>
        <v>2026-05</v>
      </c>
      <c r="AG3846">
        <f>SUBTOTAL(103,A3846)</f>
        <v>1</v>
      </c>
    </row>
    <row r="3847" spans="1:33" x14ac:dyDescent="0.3">
      <c r="A3847" t="s">
        <v>6470</v>
      </c>
      <c r="B3847" s="13">
        <v>46153</v>
      </c>
      <c r="C3847">
        <v>2026</v>
      </c>
      <c r="D3847">
        <v>5</v>
      </c>
      <c r="E3847" t="s">
        <v>3566</v>
      </c>
      <c r="F3847" t="s">
        <v>3329</v>
      </c>
      <c r="G3847" t="s">
        <v>351</v>
      </c>
      <c r="H3847" t="s">
        <v>352</v>
      </c>
      <c r="I3847" t="s">
        <v>86</v>
      </c>
      <c r="J3847">
        <v>25</v>
      </c>
      <c r="K3847" t="s">
        <v>80</v>
      </c>
      <c r="L3847" t="s">
        <v>91</v>
      </c>
      <c r="M3847" t="s">
        <v>55</v>
      </c>
      <c r="N3847" t="s">
        <v>2657</v>
      </c>
      <c r="O3847" t="s">
        <v>134</v>
      </c>
      <c r="P3847" t="s">
        <v>49</v>
      </c>
      <c r="Q3847" t="s">
        <v>140</v>
      </c>
      <c r="R3847">
        <v>1</v>
      </c>
      <c r="S3847">
        <v>599</v>
      </c>
      <c r="T3847">
        <v>0</v>
      </c>
      <c r="U3847">
        <v>599</v>
      </c>
      <c r="V3847">
        <v>250</v>
      </c>
      <c r="W3847">
        <v>349</v>
      </c>
      <c r="X3847" t="s">
        <v>76</v>
      </c>
      <c r="Y3847" t="s">
        <v>68</v>
      </c>
      <c r="Z3847" t="s">
        <v>163</v>
      </c>
      <c r="AA3847" t="s">
        <v>167</v>
      </c>
      <c r="AB3847">
        <v>3.6</v>
      </c>
      <c r="AC3847">
        <v>50</v>
      </c>
      <c r="AD3847">
        <v>34.46</v>
      </c>
      <c r="AE3847">
        <f t="shared" si="120"/>
        <v>264.54000000000002</v>
      </c>
      <c r="AF3847" t="str">
        <f t="shared" si="121"/>
        <v>2026-05</v>
      </c>
      <c r="AG3847">
        <f>SUBTOTAL(103,A3847)</f>
        <v>1</v>
      </c>
    </row>
    <row r="3848" spans="1:33" x14ac:dyDescent="0.3">
      <c r="A3848" t="s">
        <v>6471</v>
      </c>
      <c r="B3848" s="13">
        <v>46153</v>
      </c>
      <c r="C3848">
        <v>2026</v>
      </c>
      <c r="D3848">
        <v>5</v>
      </c>
      <c r="E3848" t="s">
        <v>3566</v>
      </c>
      <c r="F3848" t="s">
        <v>3329</v>
      </c>
      <c r="G3848" t="s">
        <v>1609</v>
      </c>
      <c r="H3848" t="s">
        <v>1610</v>
      </c>
      <c r="I3848" t="s">
        <v>86</v>
      </c>
      <c r="J3848">
        <v>36</v>
      </c>
      <c r="K3848" t="s">
        <v>82</v>
      </c>
      <c r="L3848" t="s">
        <v>2674</v>
      </c>
      <c r="M3848" t="s">
        <v>58</v>
      </c>
      <c r="N3848" t="s">
        <v>2630</v>
      </c>
      <c r="O3848" t="s">
        <v>123</v>
      </c>
      <c r="P3848" t="s">
        <v>52</v>
      </c>
      <c r="Q3848" t="s">
        <v>146</v>
      </c>
      <c r="R3848">
        <v>2</v>
      </c>
      <c r="S3848">
        <v>2499</v>
      </c>
      <c r="T3848">
        <v>0.25</v>
      </c>
      <c r="U3848">
        <v>3748.5</v>
      </c>
      <c r="V3848">
        <v>2800</v>
      </c>
      <c r="W3848">
        <v>948.5</v>
      </c>
      <c r="X3848" t="s">
        <v>75</v>
      </c>
      <c r="Y3848" t="s">
        <v>68</v>
      </c>
      <c r="Z3848" t="s">
        <v>159</v>
      </c>
      <c r="AA3848" t="s">
        <v>168</v>
      </c>
      <c r="AB3848">
        <v>3.6</v>
      </c>
      <c r="AC3848">
        <v>60</v>
      </c>
      <c r="AD3848">
        <v>123.9</v>
      </c>
      <c r="AE3848">
        <f t="shared" si="120"/>
        <v>764.6</v>
      </c>
      <c r="AF3848" t="str">
        <f t="shared" si="121"/>
        <v>2026-05</v>
      </c>
      <c r="AG3848">
        <f>SUBTOTAL(103,A3848)</f>
        <v>1</v>
      </c>
    </row>
    <row r="3849" spans="1:33" x14ac:dyDescent="0.3">
      <c r="A3849" t="s">
        <v>6472</v>
      </c>
      <c r="B3849" s="13">
        <v>46153</v>
      </c>
      <c r="C3849">
        <v>2026</v>
      </c>
      <c r="D3849">
        <v>5</v>
      </c>
      <c r="E3849" t="s">
        <v>3566</v>
      </c>
      <c r="F3849" t="s">
        <v>3329</v>
      </c>
      <c r="G3849" t="s">
        <v>471</v>
      </c>
      <c r="H3849" t="s">
        <v>472</v>
      </c>
      <c r="I3849" t="s">
        <v>85</v>
      </c>
      <c r="J3849">
        <v>45</v>
      </c>
      <c r="K3849" t="s">
        <v>82</v>
      </c>
      <c r="L3849" t="s">
        <v>2599</v>
      </c>
      <c r="M3849" t="s">
        <v>62</v>
      </c>
      <c r="N3849" t="s">
        <v>2592</v>
      </c>
      <c r="O3849" t="s">
        <v>115</v>
      </c>
      <c r="P3849" t="s">
        <v>48</v>
      </c>
      <c r="Q3849" t="s">
        <v>137</v>
      </c>
      <c r="R3849">
        <v>1</v>
      </c>
      <c r="S3849">
        <v>12999</v>
      </c>
      <c r="T3849">
        <v>0.25</v>
      </c>
      <c r="U3849">
        <v>9749.25</v>
      </c>
      <c r="V3849">
        <v>9000</v>
      </c>
      <c r="W3849">
        <v>749.25</v>
      </c>
      <c r="X3849" t="s">
        <v>76</v>
      </c>
      <c r="Y3849" t="s">
        <v>68</v>
      </c>
      <c r="Z3849" t="s">
        <v>159</v>
      </c>
      <c r="AA3849" t="s">
        <v>168</v>
      </c>
      <c r="AB3849">
        <v>3.4</v>
      </c>
      <c r="AC3849">
        <v>100</v>
      </c>
      <c r="AD3849">
        <v>619.79999999999995</v>
      </c>
      <c r="AE3849">
        <f t="shared" si="120"/>
        <v>29.450000000000045</v>
      </c>
      <c r="AF3849" t="str">
        <f t="shared" si="121"/>
        <v>2026-05</v>
      </c>
      <c r="AG3849">
        <f>SUBTOTAL(103,A3849)</f>
        <v>1</v>
      </c>
    </row>
    <row r="3850" spans="1:33" x14ac:dyDescent="0.3">
      <c r="A3850" t="s">
        <v>6473</v>
      </c>
      <c r="B3850" s="13">
        <v>46153</v>
      </c>
      <c r="C3850">
        <v>2026</v>
      </c>
      <c r="D3850">
        <v>5</v>
      </c>
      <c r="E3850" t="s">
        <v>3566</v>
      </c>
      <c r="F3850" t="s">
        <v>3329</v>
      </c>
      <c r="G3850" t="s">
        <v>1431</v>
      </c>
      <c r="H3850" t="s">
        <v>1432</v>
      </c>
      <c r="I3850" t="s">
        <v>86</v>
      </c>
      <c r="J3850">
        <v>23</v>
      </c>
      <c r="K3850" t="s">
        <v>80</v>
      </c>
      <c r="L3850" t="s">
        <v>59</v>
      </c>
      <c r="M3850" t="s">
        <v>59</v>
      </c>
      <c r="N3850" t="s">
        <v>2606</v>
      </c>
      <c r="O3850" t="s">
        <v>120</v>
      </c>
      <c r="P3850" t="s">
        <v>49</v>
      </c>
      <c r="Q3850" t="s">
        <v>140</v>
      </c>
      <c r="R3850">
        <v>2</v>
      </c>
      <c r="S3850">
        <v>2799</v>
      </c>
      <c r="T3850">
        <v>0.05</v>
      </c>
      <c r="U3850">
        <v>5318.1</v>
      </c>
      <c r="V3850">
        <v>3300</v>
      </c>
      <c r="W3850">
        <v>2018.1</v>
      </c>
      <c r="X3850" t="s">
        <v>74</v>
      </c>
      <c r="Y3850" t="s">
        <v>69</v>
      </c>
      <c r="Z3850" t="s">
        <v>159</v>
      </c>
      <c r="AA3850" t="s">
        <v>171</v>
      </c>
      <c r="AB3850">
        <v>3.3</v>
      </c>
      <c r="AC3850">
        <v>100</v>
      </c>
      <c r="AD3850">
        <v>342.04</v>
      </c>
      <c r="AE3850">
        <f t="shared" si="120"/>
        <v>1576.06</v>
      </c>
      <c r="AF3850" t="str">
        <f t="shared" si="121"/>
        <v>2026-05</v>
      </c>
      <c r="AG3850">
        <f>SUBTOTAL(103,A3850)</f>
        <v>1</v>
      </c>
    </row>
    <row r="3851" spans="1:33" x14ac:dyDescent="0.3">
      <c r="A3851" t="s">
        <v>6474</v>
      </c>
      <c r="B3851" s="13">
        <v>46153</v>
      </c>
      <c r="C3851">
        <v>2026</v>
      </c>
      <c r="D3851">
        <v>5</v>
      </c>
      <c r="E3851" t="s">
        <v>3566</v>
      </c>
      <c r="F3851" t="s">
        <v>3329</v>
      </c>
      <c r="G3851" t="s">
        <v>1373</v>
      </c>
      <c r="H3851" t="s">
        <v>1374</v>
      </c>
      <c r="I3851" t="s">
        <v>86</v>
      </c>
      <c r="J3851">
        <v>33</v>
      </c>
      <c r="K3851" t="s">
        <v>81</v>
      </c>
      <c r="L3851" t="s">
        <v>2573</v>
      </c>
      <c r="M3851" t="s">
        <v>63</v>
      </c>
      <c r="N3851" t="s">
        <v>2577</v>
      </c>
      <c r="O3851" t="s">
        <v>129</v>
      </c>
      <c r="P3851" t="s">
        <v>49</v>
      </c>
      <c r="Q3851" t="s">
        <v>149</v>
      </c>
      <c r="R3851">
        <v>4</v>
      </c>
      <c r="S3851">
        <v>1299</v>
      </c>
      <c r="T3851">
        <v>0.1</v>
      </c>
      <c r="U3851">
        <v>4676.3999999999996</v>
      </c>
      <c r="V3851">
        <v>2600</v>
      </c>
      <c r="W3851">
        <v>2076.4</v>
      </c>
      <c r="X3851" t="s">
        <v>73</v>
      </c>
      <c r="Y3851" t="s">
        <v>68</v>
      </c>
      <c r="Z3851" t="s">
        <v>160</v>
      </c>
      <c r="AA3851" t="s">
        <v>168</v>
      </c>
      <c r="AB3851">
        <v>3</v>
      </c>
      <c r="AC3851">
        <v>120</v>
      </c>
      <c r="AD3851">
        <v>183.02</v>
      </c>
      <c r="AE3851">
        <f t="shared" si="120"/>
        <v>1773.38</v>
      </c>
      <c r="AF3851" t="str">
        <f t="shared" si="121"/>
        <v>2026-05</v>
      </c>
      <c r="AG3851">
        <f>SUBTOTAL(103,A3851)</f>
        <v>1</v>
      </c>
    </row>
    <row r="3852" spans="1:33" x14ac:dyDescent="0.3">
      <c r="A3852" t="s">
        <v>6475</v>
      </c>
      <c r="B3852" s="13">
        <v>46153</v>
      </c>
      <c r="C3852">
        <v>2026</v>
      </c>
      <c r="D3852">
        <v>5</v>
      </c>
      <c r="E3852" t="s">
        <v>3566</v>
      </c>
      <c r="F3852" t="s">
        <v>3329</v>
      </c>
      <c r="G3852" t="s">
        <v>645</v>
      </c>
      <c r="H3852" t="s">
        <v>646</v>
      </c>
      <c r="I3852" t="s">
        <v>86</v>
      </c>
      <c r="J3852">
        <v>20</v>
      </c>
      <c r="K3852" t="s">
        <v>80</v>
      </c>
      <c r="L3852" t="s">
        <v>2599</v>
      </c>
      <c r="M3852" t="s">
        <v>62</v>
      </c>
      <c r="N3852" t="s">
        <v>2596</v>
      </c>
      <c r="O3852" t="s">
        <v>124</v>
      </c>
      <c r="P3852" t="s">
        <v>51</v>
      </c>
      <c r="Q3852" t="s">
        <v>147</v>
      </c>
      <c r="R3852">
        <v>2</v>
      </c>
      <c r="S3852">
        <v>2299</v>
      </c>
      <c r="T3852">
        <v>0.15</v>
      </c>
      <c r="U3852">
        <v>3908.3</v>
      </c>
      <c r="V3852">
        <v>2400</v>
      </c>
      <c r="W3852">
        <v>1508.3</v>
      </c>
      <c r="X3852" t="s">
        <v>74</v>
      </c>
      <c r="Y3852" t="s">
        <v>68</v>
      </c>
      <c r="Z3852" t="s">
        <v>163</v>
      </c>
      <c r="AA3852" t="s">
        <v>170</v>
      </c>
      <c r="AB3852">
        <v>4.3</v>
      </c>
      <c r="AC3852">
        <v>50</v>
      </c>
      <c r="AD3852">
        <v>159.88999999999999</v>
      </c>
      <c r="AE3852">
        <f t="shared" si="120"/>
        <v>1298.4099999999999</v>
      </c>
      <c r="AF3852" t="str">
        <f t="shared" si="121"/>
        <v>2026-05</v>
      </c>
      <c r="AG3852">
        <f>SUBTOTAL(103,A3852)</f>
        <v>1</v>
      </c>
    </row>
    <row r="3853" spans="1:33" x14ac:dyDescent="0.3">
      <c r="A3853" t="s">
        <v>6476</v>
      </c>
      <c r="B3853" s="13">
        <v>46153</v>
      </c>
      <c r="C3853">
        <v>2026</v>
      </c>
      <c r="D3853">
        <v>5</v>
      </c>
      <c r="E3853" t="s">
        <v>3566</v>
      </c>
      <c r="F3853" t="s">
        <v>3329</v>
      </c>
      <c r="G3853" t="s">
        <v>1671</v>
      </c>
      <c r="H3853" t="s">
        <v>1672</v>
      </c>
      <c r="I3853" t="s">
        <v>85</v>
      </c>
      <c r="J3853">
        <v>47</v>
      </c>
      <c r="K3853" t="s">
        <v>83</v>
      </c>
      <c r="L3853" t="s">
        <v>94</v>
      </c>
      <c r="M3853" t="s">
        <v>57</v>
      </c>
      <c r="N3853" t="s">
        <v>2653</v>
      </c>
      <c r="O3853" t="s">
        <v>132</v>
      </c>
      <c r="P3853" t="s">
        <v>52</v>
      </c>
      <c r="Q3853" t="s">
        <v>150</v>
      </c>
      <c r="R3853">
        <v>1</v>
      </c>
      <c r="S3853">
        <v>899</v>
      </c>
      <c r="T3853">
        <v>0.05</v>
      </c>
      <c r="U3853">
        <v>854.05</v>
      </c>
      <c r="V3853">
        <v>420</v>
      </c>
      <c r="W3853">
        <v>434.05</v>
      </c>
      <c r="X3853" t="s">
        <v>76</v>
      </c>
      <c r="Y3853" t="s">
        <v>68</v>
      </c>
      <c r="Z3853" t="s">
        <v>163</v>
      </c>
      <c r="AA3853" t="s">
        <v>167</v>
      </c>
      <c r="AB3853">
        <v>2.5</v>
      </c>
      <c r="AC3853">
        <v>60</v>
      </c>
      <c r="AD3853">
        <v>43.16</v>
      </c>
      <c r="AE3853">
        <f t="shared" si="120"/>
        <v>330.89</v>
      </c>
      <c r="AF3853" t="str">
        <f t="shared" si="121"/>
        <v>2026-05</v>
      </c>
      <c r="AG3853">
        <f>SUBTOTAL(103,A3853)</f>
        <v>1</v>
      </c>
    </row>
    <row r="3854" spans="1:33" x14ac:dyDescent="0.3">
      <c r="A3854" t="s">
        <v>6477</v>
      </c>
      <c r="B3854" s="13">
        <v>46153</v>
      </c>
      <c r="C3854">
        <v>2026</v>
      </c>
      <c r="D3854">
        <v>5</v>
      </c>
      <c r="E3854" t="s">
        <v>3566</v>
      </c>
      <c r="F3854" t="s">
        <v>3329</v>
      </c>
      <c r="G3854" t="s">
        <v>679</v>
      </c>
      <c r="H3854" t="s">
        <v>680</v>
      </c>
      <c r="I3854" t="s">
        <v>86</v>
      </c>
      <c r="J3854">
        <v>26</v>
      </c>
      <c r="K3854" t="s">
        <v>81</v>
      </c>
      <c r="L3854" t="s">
        <v>2623</v>
      </c>
      <c r="M3854" t="s">
        <v>61</v>
      </c>
      <c r="N3854" t="s">
        <v>2653</v>
      </c>
      <c r="O3854" t="s">
        <v>132</v>
      </c>
      <c r="P3854" t="s">
        <v>52</v>
      </c>
      <c r="Q3854" t="s">
        <v>150</v>
      </c>
      <c r="R3854">
        <v>2</v>
      </c>
      <c r="S3854">
        <v>899</v>
      </c>
      <c r="T3854">
        <v>0.1</v>
      </c>
      <c r="U3854">
        <v>1618.2</v>
      </c>
      <c r="V3854">
        <v>840</v>
      </c>
      <c r="W3854">
        <v>778.2</v>
      </c>
      <c r="X3854" t="s">
        <v>74</v>
      </c>
      <c r="Y3854" t="s">
        <v>68</v>
      </c>
      <c r="Z3854" t="s">
        <v>161</v>
      </c>
      <c r="AA3854" t="s">
        <v>171</v>
      </c>
      <c r="AB3854">
        <v>4.3</v>
      </c>
      <c r="AC3854">
        <v>60</v>
      </c>
      <c r="AD3854">
        <v>160.38999999999999</v>
      </c>
      <c r="AE3854">
        <f t="shared" si="120"/>
        <v>557.81000000000006</v>
      </c>
      <c r="AF3854" t="str">
        <f t="shared" si="121"/>
        <v>2026-05</v>
      </c>
      <c r="AG3854">
        <f>SUBTOTAL(103,A3854)</f>
        <v>1</v>
      </c>
    </row>
    <row r="3855" spans="1:33" x14ac:dyDescent="0.3">
      <c r="A3855" t="s">
        <v>6478</v>
      </c>
      <c r="B3855" s="13">
        <v>46154</v>
      </c>
      <c r="C3855">
        <v>2026</v>
      </c>
      <c r="D3855">
        <v>5</v>
      </c>
      <c r="E3855" t="s">
        <v>3566</v>
      </c>
      <c r="F3855" t="s">
        <v>3329</v>
      </c>
      <c r="G3855" t="s">
        <v>297</v>
      </c>
      <c r="H3855" t="s">
        <v>298</v>
      </c>
      <c r="I3855" t="s">
        <v>86</v>
      </c>
      <c r="J3855">
        <v>33</v>
      </c>
      <c r="K3855" t="s">
        <v>81</v>
      </c>
      <c r="L3855" t="s">
        <v>90</v>
      </c>
      <c r="M3855" t="s">
        <v>55</v>
      </c>
      <c r="N3855" t="s">
        <v>2594</v>
      </c>
      <c r="O3855" t="s">
        <v>131</v>
      </c>
      <c r="P3855" t="s">
        <v>53</v>
      </c>
      <c r="Q3855" t="s">
        <v>143</v>
      </c>
      <c r="R3855">
        <v>5</v>
      </c>
      <c r="S3855">
        <v>999</v>
      </c>
      <c r="T3855">
        <v>0</v>
      </c>
      <c r="U3855">
        <v>4995</v>
      </c>
      <c r="V3855">
        <v>2600</v>
      </c>
      <c r="W3855">
        <v>2395</v>
      </c>
      <c r="X3855" t="s">
        <v>77</v>
      </c>
      <c r="Y3855" t="s">
        <v>68</v>
      </c>
      <c r="Z3855" t="s">
        <v>162</v>
      </c>
      <c r="AA3855" t="s">
        <v>166</v>
      </c>
      <c r="AB3855">
        <v>3.9</v>
      </c>
      <c r="AC3855">
        <v>40</v>
      </c>
      <c r="AD3855">
        <v>216.69</v>
      </c>
      <c r="AE3855">
        <f t="shared" si="120"/>
        <v>2138.31</v>
      </c>
      <c r="AF3855" t="str">
        <f t="shared" si="121"/>
        <v>2026-05</v>
      </c>
      <c r="AG3855">
        <f>SUBTOTAL(103,A3855)</f>
        <v>1</v>
      </c>
    </row>
    <row r="3856" spans="1:33" x14ac:dyDescent="0.3">
      <c r="A3856" t="s">
        <v>6479</v>
      </c>
      <c r="B3856" s="13">
        <v>46154</v>
      </c>
      <c r="C3856">
        <v>2026</v>
      </c>
      <c r="D3856">
        <v>5</v>
      </c>
      <c r="E3856" t="s">
        <v>3566</v>
      </c>
      <c r="F3856" t="s">
        <v>3329</v>
      </c>
      <c r="G3856" t="s">
        <v>205</v>
      </c>
      <c r="H3856" t="s">
        <v>206</v>
      </c>
      <c r="I3856" t="s">
        <v>86</v>
      </c>
      <c r="J3856">
        <v>39</v>
      </c>
      <c r="K3856" t="s">
        <v>82</v>
      </c>
      <c r="L3856" t="s">
        <v>92</v>
      </c>
      <c r="M3856" t="s">
        <v>59</v>
      </c>
      <c r="N3856" t="s">
        <v>2665</v>
      </c>
      <c r="O3856" t="s">
        <v>128</v>
      </c>
      <c r="P3856" t="s">
        <v>53</v>
      </c>
      <c r="Q3856" t="s">
        <v>143</v>
      </c>
      <c r="R3856">
        <v>2</v>
      </c>
      <c r="S3856">
        <v>1499</v>
      </c>
      <c r="T3856">
        <v>0.1</v>
      </c>
      <c r="U3856">
        <v>2698.2</v>
      </c>
      <c r="V3856">
        <v>1600</v>
      </c>
      <c r="W3856">
        <v>1098.2</v>
      </c>
      <c r="X3856" t="s">
        <v>73</v>
      </c>
      <c r="Y3856" t="s">
        <v>68</v>
      </c>
      <c r="Z3856" t="s">
        <v>161</v>
      </c>
      <c r="AA3856" t="s">
        <v>168</v>
      </c>
      <c r="AB3856">
        <v>4.5999999999999996</v>
      </c>
      <c r="AC3856">
        <v>80</v>
      </c>
      <c r="AD3856">
        <v>240.42</v>
      </c>
      <c r="AE3856">
        <f t="shared" si="120"/>
        <v>777.78000000000009</v>
      </c>
      <c r="AF3856" t="str">
        <f t="shared" si="121"/>
        <v>2026-05</v>
      </c>
      <c r="AG3856">
        <f>SUBTOTAL(103,A3856)</f>
        <v>1</v>
      </c>
    </row>
    <row r="3857" spans="1:33" x14ac:dyDescent="0.3">
      <c r="A3857" t="s">
        <v>6480</v>
      </c>
      <c r="B3857" s="13">
        <v>46154</v>
      </c>
      <c r="C3857">
        <v>2026</v>
      </c>
      <c r="D3857">
        <v>5</v>
      </c>
      <c r="E3857" t="s">
        <v>3566</v>
      </c>
      <c r="F3857" t="s">
        <v>3329</v>
      </c>
      <c r="G3857" t="s">
        <v>327</v>
      </c>
      <c r="H3857" t="s">
        <v>328</v>
      </c>
      <c r="I3857" t="s">
        <v>86</v>
      </c>
      <c r="J3857">
        <v>29</v>
      </c>
      <c r="K3857" t="s">
        <v>81</v>
      </c>
      <c r="L3857" t="s">
        <v>93</v>
      </c>
      <c r="M3857" t="s">
        <v>55</v>
      </c>
      <c r="N3857" t="s">
        <v>2582</v>
      </c>
      <c r="O3857" t="s">
        <v>119</v>
      </c>
      <c r="P3857" t="s">
        <v>49</v>
      </c>
      <c r="Q3857" t="s">
        <v>140</v>
      </c>
      <c r="R3857">
        <v>4</v>
      </c>
      <c r="S3857">
        <v>3499</v>
      </c>
      <c r="T3857">
        <v>0.25</v>
      </c>
      <c r="U3857">
        <v>10497</v>
      </c>
      <c r="V3857">
        <v>8400</v>
      </c>
      <c r="W3857">
        <v>2097</v>
      </c>
      <c r="X3857" t="s">
        <v>73</v>
      </c>
      <c r="Y3857" t="s">
        <v>68</v>
      </c>
      <c r="Z3857" t="s">
        <v>160</v>
      </c>
      <c r="AA3857" t="s">
        <v>171</v>
      </c>
      <c r="AB3857">
        <v>3.6</v>
      </c>
      <c r="AC3857">
        <v>80</v>
      </c>
      <c r="AD3857">
        <v>920.05</v>
      </c>
      <c r="AE3857">
        <f t="shared" si="120"/>
        <v>1096.95</v>
      </c>
      <c r="AF3857" t="str">
        <f t="shared" si="121"/>
        <v>2026-05</v>
      </c>
      <c r="AG3857">
        <f>SUBTOTAL(103,A3857)</f>
        <v>1</v>
      </c>
    </row>
    <row r="3858" spans="1:33" x14ac:dyDescent="0.3">
      <c r="A3858" t="s">
        <v>6481</v>
      </c>
      <c r="B3858" s="13">
        <v>46154</v>
      </c>
      <c r="C3858">
        <v>2026</v>
      </c>
      <c r="D3858">
        <v>5</v>
      </c>
      <c r="E3858" t="s">
        <v>3566</v>
      </c>
      <c r="F3858" t="s">
        <v>3329</v>
      </c>
      <c r="G3858" t="s">
        <v>1995</v>
      </c>
      <c r="H3858" t="s">
        <v>1996</v>
      </c>
      <c r="I3858" t="s">
        <v>86</v>
      </c>
      <c r="J3858">
        <v>18</v>
      </c>
      <c r="K3858" t="s">
        <v>80</v>
      </c>
      <c r="L3858" t="s">
        <v>91</v>
      </c>
      <c r="M3858" t="s">
        <v>55</v>
      </c>
      <c r="N3858" t="s">
        <v>2594</v>
      </c>
      <c r="O3858" t="s">
        <v>131</v>
      </c>
      <c r="P3858" t="s">
        <v>53</v>
      </c>
      <c r="Q3858" t="s">
        <v>143</v>
      </c>
      <c r="R3858">
        <v>3</v>
      </c>
      <c r="S3858">
        <v>999</v>
      </c>
      <c r="T3858">
        <v>0.05</v>
      </c>
      <c r="U3858">
        <v>2847.15</v>
      </c>
      <c r="V3858">
        <v>1560</v>
      </c>
      <c r="W3858">
        <v>1287.1500000000001</v>
      </c>
      <c r="X3858" t="s">
        <v>74</v>
      </c>
      <c r="Y3858" t="s">
        <v>68</v>
      </c>
      <c r="Z3858" t="s">
        <v>163</v>
      </c>
      <c r="AA3858" t="s">
        <v>169</v>
      </c>
      <c r="AB3858">
        <v>5</v>
      </c>
      <c r="AC3858">
        <v>50</v>
      </c>
      <c r="AD3858">
        <v>189.84</v>
      </c>
      <c r="AE3858">
        <f t="shared" si="120"/>
        <v>1047.3100000000002</v>
      </c>
      <c r="AF3858" t="str">
        <f t="shared" si="121"/>
        <v>2026-05</v>
      </c>
      <c r="AG3858">
        <f>SUBTOTAL(103,A3858)</f>
        <v>1</v>
      </c>
    </row>
    <row r="3859" spans="1:33" x14ac:dyDescent="0.3">
      <c r="A3859" t="s">
        <v>6482</v>
      </c>
      <c r="B3859" s="13">
        <v>46154</v>
      </c>
      <c r="C3859">
        <v>2026</v>
      </c>
      <c r="D3859">
        <v>5</v>
      </c>
      <c r="E3859" t="s">
        <v>3566</v>
      </c>
      <c r="F3859" t="s">
        <v>3329</v>
      </c>
      <c r="G3859" t="s">
        <v>615</v>
      </c>
      <c r="H3859" t="s">
        <v>616</v>
      </c>
      <c r="I3859" t="s">
        <v>86</v>
      </c>
      <c r="J3859">
        <v>51</v>
      </c>
      <c r="K3859" t="s">
        <v>83</v>
      </c>
      <c r="L3859" t="s">
        <v>97</v>
      </c>
      <c r="M3859" t="s">
        <v>57</v>
      </c>
      <c r="N3859" t="s">
        <v>2601</v>
      </c>
      <c r="O3859" t="s">
        <v>117</v>
      </c>
      <c r="P3859" t="s">
        <v>49</v>
      </c>
      <c r="Q3859" t="s">
        <v>139</v>
      </c>
      <c r="R3859">
        <v>3</v>
      </c>
      <c r="S3859">
        <v>6999</v>
      </c>
      <c r="T3859">
        <v>0.05</v>
      </c>
      <c r="U3859">
        <v>19947.150000000001</v>
      </c>
      <c r="V3859">
        <v>12900</v>
      </c>
      <c r="W3859">
        <v>7047.15</v>
      </c>
      <c r="X3859" t="s">
        <v>74</v>
      </c>
      <c r="Y3859" t="s">
        <v>68</v>
      </c>
      <c r="Z3859" t="s">
        <v>159</v>
      </c>
      <c r="AA3859" t="s">
        <v>168</v>
      </c>
      <c r="AB3859">
        <v>4.7</v>
      </c>
      <c r="AC3859">
        <v>80</v>
      </c>
      <c r="AD3859">
        <v>553.09</v>
      </c>
      <c r="AE3859">
        <f t="shared" si="120"/>
        <v>6414.0599999999995</v>
      </c>
      <c r="AF3859" t="str">
        <f t="shared" si="121"/>
        <v>2026-05</v>
      </c>
      <c r="AG3859">
        <f>SUBTOTAL(103,A3859)</f>
        <v>1</v>
      </c>
    </row>
    <row r="3860" spans="1:33" x14ac:dyDescent="0.3">
      <c r="A3860" t="s">
        <v>6483</v>
      </c>
      <c r="B3860" s="13">
        <v>46154</v>
      </c>
      <c r="C3860">
        <v>2026</v>
      </c>
      <c r="D3860">
        <v>5</v>
      </c>
      <c r="E3860" t="s">
        <v>3566</v>
      </c>
      <c r="F3860" t="s">
        <v>3329</v>
      </c>
      <c r="G3860" t="s">
        <v>203</v>
      </c>
      <c r="H3860" t="s">
        <v>204</v>
      </c>
      <c r="I3860" t="s">
        <v>85</v>
      </c>
      <c r="J3860">
        <v>45</v>
      </c>
      <c r="K3860" t="s">
        <v>82</v>
      </c>
      <c r="L3860" t="s">
        <v>98</v>
      </c>
      <c r="M3860" t="s">
        <v>55</v>
      </c>
      <c r="N3860" t="s">
        <v>2584</v>
      </c>
      <c r="O3860" t="s">
        <v>121</v>
      </c>
      <c r="P3860" t="s">
        <v>50</v>
      </c>
      <c r="Q3860" t="s">
        <v>144</v>
      </c>
      <c r="R3860">
        <v>5</v>
      </c>
      <c r="S3860">
        <v>2999</v>
      </c>
      <c r="T3860">
        <v>0</v>
      </c>
      <c r="U3860">
        <v>14995</v>
      </c>
      <c r="V3860">
        <v>8500</v>
      </c>
      <c r="W3860">
        <v>6495</v>
      </c>
      <c r="X3860" t="s">
        <v>74</v>
      </c>
      <c r="Y3860" t="s">
        <v>68</v>
      </c>
      <c r="Z3860" t="s">
        <v>161</v>
      </c>
      <c r="AA3860" t="s">
        <v>171</v>
      </c>
      <c r="AB3860">
        <v>4.5</v>
      </c>
      <c r="AC3860">
        <v>50</v>
      </c>
      <c r="AD3860">
        <v>698.45</v>
      </c>
      <c r="AE3860">
        <f t="shared" si="120"/>
        <v>5746.55</v>
      </c>
      <c r="AF3860" t="str">
        <f t="shared" si="121"/>
        <v>2026-05</v>
      </c>
      <c r="AG3860">
        <f>SUBTOTAL(103,A3860)</f>
        <v>1</v>
      </c>
    </row>
    <row r="3861" spans="1:33" x14ac:dyDescent="0.3">
      <c r="A3861" t="s">
        <v>6484</v>
      </c>
      <c r="B3861" s="13">
        <v>46154</v>
      </c>
      <c r="C3861">
        <v>2026</v>
      </c>
      <c r="D3861">
        <v>5</v>
      </c>
      <c r="E3861" t="s">
        <v>3566</v>
      </c>
      <c r="F3861" t="s">
        <v>3329</v>
      </c>
      <c r="G3861" t="s">
        <v>471</v>
      </c>
      <c r="H3861" t="s">
        <v>472</v>
      </c>
      <c r="I3861" t="s">
        <v>85</v>
      </c>
      <c r="J3861">
        <v>45</v>
      </c>
      <c r="K3861" t="s">
        <v>82</v>
      </c>
      <c r="L3861" t="s">
        <v>2599</v>
      </c>
      <c r="M3861" t="s">
        <v>62</v>
      </c>
      <c r="N3861" t="s">
        <v>2601</v>
      </c>
      <c r="O3861" t="s">
        <v>117</v>
      </c>
      <c r="P3861" t="s">
        <v>49</v>
      </c>
      <c r="Q3861" t="s">
        <v>139</v>
      </c>
      <c r="R3861">
        <v>4</v>
      </c>
      <c r="S3861">
        <v>6999</v>
      </c>
      <c r="T3861">
        <v>0.05</v>
      </c>
      <c r="U3861">
        <v>26596.2</v>
      </c>
      <c r="V3861">
        <v>17200</v>
      </c>
      <c r="W3861">
        <v>9396.2000000000007</v>
      </c>
      <c r="X3861" t="s">
        <v>73</v>
      </c>
      <c r="Y3861" t="s">
        <v>70</v>
      </c>
      <c r="Z3861" t="s">
        <v>161</v>
      </c>
      <c r="AA3861" t="s">
        <v>167</v>
      </c>
      <c r="AB3861">
        <v>5</v>
      </c>
      <c r="AC3861">
        <v>80</v>
      </c>
      <c r="AD3861">
        <v>915.41</v>
      </c>
      <c r="AE3861">
        <f t="shared" si="120"/>
        <v>8400.7900000000009</v>
      </c>
      <c r="AF3861" t="str">
        <f t="shared" si="121"/>
        <v>2026-05</v>
      </c>
      <c r="AG3861">
        <f>SUBTOTAL(103,A3861)</f>
        <v>1</v>
      </c>
    </row>
    <row r="3862" spans="1:33" x14ac:dyDescent="0.3">
      <c r="A3862" t="s">
        <v>6485</v>
      </c>
      <c r="B3862" s="13">
        <v>46155</v>
      </c>
      <c r="C3862">
        <v>2026</v>
      </c>
      <c r="D3862">
        <v>5</v>
      </c>
      <c r="E3862" t="s">
        <v>3566</v>
      </c>
      <c r="F3862" t="s">
        <v>3329</v>
      </c>
      <c r="G3862" t="s">
        <v>1591</v>
      </c>
      <c r="H3862" t="s">
        <v>1592</v>
      </c>
      <c r="I3862" t="s">
        <v>85</v>
      </c>
      <c r="J3862">
        <v>20</v>
      </c>
      <c r="K3862" t="s">
        <v>80</v>
      </c>
      <c r="L3862" t="s">
        <v>92</v>
      </c>
      <c r="M3862" t="s">
        <v>59</v>
      </c>
      <c r="N3862" t="s">
        <v>2574</v>
      </c>
      <c r="O3862" t="s">
        <v>130</v>
      </c>
      <c r="P3862" t="s">
        <v>50</v>
      </c>
      <c r="Q3862" t="s">
        <v>53</v>
      </c>
      <c r="R3862">
        <v>4</v>
      </c>
      <c r="S3862">
        <v>1199</v>
      </c>
      <c r="T3862">
        <v>0.05</v>
      </c>
      <c r="U3862">
        <v>4556.2</v>
      </c>
      <c r="V3862">
        <v>2200</v>
      </c>
      <c r="W3862">
        <v>2356.1999999999998</v>
      </c>
      <c r="X3862" t="s">
        <v>76</v>
      </c>
      <c r="Y3862" t="s">
        <v>68</v>
      </c>
      <c r="Z3862" t="s">
        <v>162</v>
      </c>
      <c r="AA3862" t="s">
        <v>166</v>
      </c>
      <c r="AB3862">
        <v>4.5</v>
      </c>
      <c r="AC3862">
        <v>50</v>
      </c>
      <c r="AD3862">
        <v>289.57</v>
      </c>
      <c r="AE3862">
        <f t="shared" si="120"/>
        <v>2016.6299999999999</v>
      </c>
      <c r="AF3862" t="str">
        <f t="shared" si="121"/>
        <v>2026-05</v>
      </c>
      <c r="AG3862">
        <f>SUBTOTAL(103,A3862)</f>
        <v>1</v>
      </c>
    </row>
    <row r="3863" spans="1:33" x14ac:dyDescent="0.3">
      <c r="A3863" t="s">
        <v>6486</v>
      </c>
      <c r="B3863" s="13">
        <v>46155</v>
      </c>
      <c r="C3863">
        <v>2026</v>
      </c>
      <c r="D3863">
        <v>5</v>
      </c>
      <c r="E3863" t="s">
        <v>3566</v>
      </c>
      <c r="F3863" t="s">
        <v>3329</v>
      </c>
      <c r="G3863" t="s">
        <v>1269</v>
      </c>
      <c r="H3863" t="s">
        <v>1270</v>
      </c>
      <c r="I3863" t="s">
        <v>85</v>
      </c>
      <c r="J3863">
        <v>58</v>
      </c>
      <c r="K3863" t="s">
        <v>83</v>
      </c>
      <c r="L3863" t="s">
        <v>2599</v>
      </c>
      <c r="M3863" t="s">
        <v>62</v>
      </c>
      <c r="N3863" t="s">
        <v>2630</v>
      </c>
      <c r="O3863" t="s">
        <v>123</v>
      </c>
      <c r="P3863" t="s">
        <v>52</v>
      </c>
      <c r="Q3863" t="s">
        <v>146</v>
      </c>
      <c r="R3863">
        <v>3</v>
      </c>
      <c r="S3863">
        <v>2499</v>
      </c>
      <c r="T3863">
        <v>0</v>
      </c>
      <c r="U3863">
        <v>7497</v>
      </c>
      <c r="V3863">
        <v>4200</v>
      </c>
      <c r="W3863">
        <v>3297</v>
      </c>
      <c r="X3863" t="s">
        <v>74</v>
      </c>
      <c r="Y3863" t="s">
        <v>68</v>
      </c>
      <c r="Z3863" t="s">
        <v>159</v>
      </c>
      <c r="AA3863" t="s">
        <v>169</v>
      </c>
      <c r="AB3863">
        <v>3.8</v>
      </c>
      <c r="AC3863">
        <v>80</v>
      </c>
      <c r="AD3863">
        <v>599.08000000000004</v>
      </c>
      <c r="AE3863">
        <f t="shared" si="120"/>
        <v>2617.92</v>
      </c>
      <c r="AF3863" t="str">
        <f t="shared" si="121"/>
        <v>2026-05</v>
      </c>
      <c r="AG3863">
        <f>SUBTOTAL(103,A3863)</f>
        <v>1</v>
      </c>
    </row>
    <row r="3864" spans="1:33" x14ac:dyDescent="0.3">
      <c r="A3864" t="s">
        <v>6487</v>
      </c>
      <c r="B3864" s="13">
        <v>46155</v>
      </c>
      <c r="C3864">
        <v>2026</v>
      </c>
      <c r="D3864">
        <v>5</v>
      </c>
      <c r="E3864" t="s">
        <v>3566</v>
      </c>
      <c r="F3864" t="s">
        <v>3329</v>
      </c>
      <c r="G3864" t="s">
        <v>1965</v>
      </c>
      <c r="H3864" t="s">
        <v>1966</v>
      </c>
      <c r="I3864" t="s">
        <v>86</v>
      </c>
      <c r="J3864">
        <v>59</v>
      </c>
      <c r="K3864" t="s">
        <v>83</v>
      </c>
      <c r="L3864" t="s">
        <v>2674</v>
      </c>
      <c r="M3864" t="s">
        <v>58</v>
      </c>
      <c r="N3864" t="s">
        <v>2626</v>
      </c>
      <c r="O3864" t="s">
        <v>125</v>
      </c>
      <c r="P3864" t="s">
        <v>48</v>
      </c>
      <c r="Q3864" t="s">
        <v>141</v>
      </c>
      <c r="R3864">
        <v>3</v>
      </c>
      <c r="S3864">
        <v>1999</v>
      </c>
      <c r="T3864">
        <v>0</v>
      </c>
      <c r="U3864">
        <v>5997</v>
      </c>
      <c r="V3864">
        <v>3450</v>
      </c>
      <c r="W3864">
        <v>2547</v>
      </c>
      <c r="X3864" t="s">
        <v>75</v>
      </c>
      <c r="Y3864" t="s">
        <v>68</v>
      </c>
      <c r="Z3864" t="s">
        <v>162</v>
      </c>
      <c r="AA3864" t="s">
        <v>170</v>
      </c>
      <c r="AB3864">
        <v>4.2</v>
      </c>
      <c r="AC3864">
        <v>50</v>
      </c>
      <c r="AD3864">
        <v>188.83</v>
      </c>
      <c r="AE3864">
        <f t="shared" si="120"/>
        <v>2308.17</v>
      </c>
      <c r="AF3864" t="str">
        <f t="shared" si="121"/>
        <v>2026-05</v>
      </c>
      <c r="AG3864">
        <f>SUBTOTAL(103,A3864)</f>
        <v>1</v>
      </c>
    </row>
    <row r="3865" spans="1:33" x14ac:dyDescent="0.3">
      <c r="A3865" t="s">
        <v>6488</v>
      </c>
      <c r="B3865" s="13">
        <v>46155</v>
      </c>
      <c r="C3865">
        <v>2026</v>
      </c>
      <c r="D3865">
        <v>5</v>
      </c>
      <c r="E3865" t="s">
        <v>3566</v>
      </c>
      <c r="F3865" t="s">
        <v>3329</v>
      </c>
      <c r="G3865" t="s">
        <v>1409</v>
      </c>
      <c r="H3865" t="s">
        <v>1410</v>
      </c>
      <c r="I3865" t="s">
        <v>85</v>
      </c>
      <c r="J3865">
        <v>27</v>
      </c>
      <c r="K3865" t="s">
        <v>81</v>
      </c>
      <c r="L3865" t="s">
        <v>92</v>
      </c>
      <c r="M3865" t="s">
        <v>59</v>
      </c>
      <c r="N3865" t="s">
        <v>2657</v>
      </c>
      <c r="O3865" t="s">
        <v>134</v>
      </c>
      <c r="P3865" t="s">
        <v>49</v>
      </c>
      <c r="Q3865" t="s">
        <v>140</v>
      </c>
      <c r="R3865">
        <v>3</v>
      </c>
      <c r="S3865">
        <v>599</v>
      </c>
      <c r="T3865">
        <v>0.05</v>
      </c>
      <c r="U3865">
        <v>1707.15</v>
      </c>
      <c r="V3865">
        <v>750</v>
      </c>
      <c r="W3865">
        <v>957.15</v>
      </c>
      <c r="X3865" t="s">
        <v>73</v>
      </c>
      <c r="Y3865" t="s">
        <v>68</v>
      </c>
      <c r="Z3865" t="s">
        <v>158</v>
      </c>
      <c r="AA3865" t="s">
        <v>169</v>
      </c>
      <c r="AB3865">
        <v>3.5</v>
      </c>
      <c r="AC3865">
        <v>60</v>
      </c>
      <c r="AD3865">
        <v>54.41</v>
      </c>
      <c r="AE3865">
        <f t="shared" si="120"/>
        <v>842.74</v>
      </c>
      <c r="AF3865" t="str">
        <f t="shared" si="121"/>
        <v>2026-05</v>
      </c>
      <c r="AG3865">
        <f>SUBTOTAL(103,A3865)</f>
        <v>1</v>
      </c>
    </row>
    <row r="3866" spans="1:33" x14ac:dyDescent="0.3">
      <c r="A3866" t="s">
        <v>6489</v>
      </c>
      <c r="B3866" s="13">
        <v>46155</v>
      </c>
      <c r="C3866">
        <v>2026</v>
      </c>
      <c r="D3866">
        <v>5</v>
      </c>
      <c r="E3866" t="s">
        <v>3566</v>
      </c>
      <c r="F3866" t="s">
        <v>3329</v>
      </c>
      <c r="G3866" t="s">
        <v>553</v>
      </c>
      <c r="H3866" t="s">
        <v>554</v>
      </c>
      <c r="I3866" t="s">
        <v>85</v>
      </c>
      <c r="J3866">
        <v>29</v>
      </c>
      <c r="K3866" t="s">
        <v>81</v>
      </c>
      <c r="L3866" t="s">
        <v>100</v>
      </c>
      <c r="M3866" t="s">
        <v>56</v>
      </c>
      <c r="N3866" t="s">
        <v>2596</v>
      </c>
      <c r="O3866" t="s">
        <v>124</v>
      </c>
      <c r="P3866" t="s">
        <v>51</v>
      </c>
      <c r="Q3866" t="s">
        <v>147</v>
      </c>
      <c r="R3866">
        <v>2</v>
      </c>
      <c r="S3866">
        <v>2299</v>
      </c>
      <c r="T3866">
        <v>0.15</v>
      </c>
      <c r="U3866">
        <v>3908.3</v>
      </c>
      <c r="V3866">
        <v>2400</v>
      </c>
      <c r="W3866">
        <v>1508.3</v>
      </c>
      <c r="X3866" t="s">
        <v>75</v>
      </c>
      <c r="Y3866" t="s">
        <v>68</v>
      </c>
      <c r="Z3866" t="s">
        <v>159</v>
      </c>
      <c r="AA3866" t="s">
        <v>166</v>
      </c>
      <c r="AB3866">
        <v>4.3</v>
      </c>
      <c r="AC3866">
        <v>60</v>
      </c>
      <c r="AD3866">
        <v>353.14</v>
      </c>
      <c r="AE3866">
        <f t="shared" si="120"/>
        <v>1095.1599999999999</v>
      </c>
      <c r="AF3866" t="str">
        <f t="shared" si="121"/>
        <v>2026-05</v>
      </c>
      <c r="AG3866">
        <f>SUBTOTAL(103,A3866)</f>
        <v>1</v>
      </c>
    </row>
    <row r="3867" spans="1:33" x14ac:dyDescent="0.3">
      <c r="A3867" t="s">
        <v>6490</v>
      </c>
      <c r="B3867" s="13">
        <v>46155</v>
      </c>
      <c r="C3867">
        <v>2026</v>
      </c>
      <c r="D3867">
        <v>5</v>
      </c>
      <c r="E3867" t="s">
        <v>3566</v>
      </c>
      <c r="F3867" t="s">
        <v>3329</v>
      </c>
      <c r="G3867" t="s">
        <v>775</v>
      </c>
      <c r="H3867" t="s">
        <v>776</v>
      </c>
      <c r="I3867" t="s">
        <v>86</v>
      </c>
      <c r="J3867">
        <v>29</v>
      </c>
      <c r="K3867" t="s">
        <v>81</v>
      </c>
      <c r="L3867" t="s">
        <v>97</v>
      </c>
      <c r="M3867" t="s">
        <v>57</v>
      </c>
      <c r="N3867" t="s">
        <v>2596</v>
      </c>
      <c r="O3867" t="s">
        <v>124</v>
      </c>
      <c r="P3867" t="s">
        <v>51</v>
      </c>
      <c r="Q3867" t="s">
        <v>147</v>
      </c>
      <c r="R3867">
        <v>2</v>
      </c>
      <c r="S3867">
        <v>2299</v>
      </c>
      <c r="T3867">
        <v>0.15</v>
      </c>
      <c r="U3867">
        <v>3908.3</v>
      </c>
      <c r="V3867">
        <v>2400</v>
      </c>
      <c r="W3867">
        <v>1508.3</v>
      </c>
      <c r="X3867" t="s">
        <v>74</v>
      </c>
      <c r="Y3867" t="s">
        <v>68</v>
      </c>
      <c r="Z3867" t="s">
        <v>161</v>
      </c>
      <c r="AA3867" t="s">
        <v>167</v>
      </c>
      <c r="AB3867">
        <v>4</v>
      </c>
      <c r="AC3867">
        <v>40</v>
      </c>
      <c r="AD3867">
        <v>329.71</v>
      </c>
      <c r="AE3867">
        <f t="shared" si="120"/>
        <v>1138.5899999999999</v>
      </c>
      <c r="AF3867" t="str">
        <f t="shared" si="121"/>
        <v>2026-05</v>
      </c>
      <c r="AG3867">
        <f>SUBTOTAL(103,A3867)</f>
        <v>1</v>
      </c>
    </row>
    <row r="3868" spans="1:33" x14ac:dyDescent="0.3">
      <c r="A3868" t="s">
        <v>6491</v>
      </c>
      <c r="B3868" s="13">
        <v>46155</v>
      </c>
      <c r="C3868">
        <v>2026</v>
      </c>
      <c r="D3868">
        <v>5</v>
      </c>
      <c r="E3868" t="s">
        <v>3566</v>
      </c>
      <c r="F3868" t="s">
        <v>3329</v>
      </c>
      <c r="G3868" t="s">
        <v>1661</v>
      </c>
      <c r="H3868" t="s">
        <v>1662</v>
      </c>
      <c r="I3868" t="s">
        <v>86</v>
      </c>
      <c r="J3868">
        <v>26</v>
      </c>
      <c r="K3868" t="s">
        <v>81</v>
      </c>
      <c r="L3868" t="s">
        <v>2623</v>
      </c>
      <c r="M3868" t="s">
        <v>61</v>
      </c>
      <c r="N3868" t="s">
        <v>2574</v>
      </c>
      <c r="O3868" t="s">
        <v>130</v>
      </c>
      <c r="P3868" t="s">
        <v>50</v>
      </c>
      <c r="Q3868" t="s">
        <v>53</v>
      </c>
      <c r="R3868">
        <v>2</v>
      </c>
      <c r="S3868">
        <v>1199</v>
      </c>
      <c r="T3868">
        <v>0.05</v>
      </c>
      <c r="U3868">
        <v>2278.1</v>
      </c>
      <c r="V3868">
        <v>1100</v>
      </c>
      <c r="W3868">
        <v>1178.0999999999999</v>
      </c>
      <c r="X3868" t="s">
        <v>73</v>
      </c>
      <c r="Y3868" t="s">
        <v>68</v>
      </c>
      <c r="Z3868" t="s">
        <v>162</v>
      </c>
      <c r="AA3868" t="s">
        <v>171</v>
      </c>
      <c r="AB3868">
        <v>3.9</v>
      </c>
      <c r="AC3868">
        <v>100</v>
      </c>
      <c r="AD3868">
        <v>118.57</v>
      </c>
      <c r="AE3868">
        <f t="shared" si="120"/>
        <v>959.53</v>
      </c>
      <c r="AF3868" t="str">
        <f t="shared" si="121"/>
        <v>2026-05</v>
      </c>
      <c r="AG3868">
        <f>SUBTOTAL(103,A3868)</f>
        <v>1</v>
      </c>
    </row>
    <row r="3869" spans="1:33" x14ac:dyDescent="0.3">
      <c r="A3869" t="s">
        <v>6492</v>
      </c>
      <c r="B3869" s="13">
        <v>46155</v>
      </c>
      <c r="C3869">
        <v>2026</v>
      </c>
      <c r="D3869">
        <v>5</v>
      </c>
      <c r="E3869" t="s">
        <v>3566</v>
      </c>
      <c r="F3869" t="s">
        <v>3329</v>
      </c>
      <c r="G3869" t="s">
        <v>1319</v>
      </c>
      <c r="H3869" t="s">
        <v>1320</v>
      </c>
      <c r="I3869" t="s">
        <v>85</v>
      </c>
      <c r="J3869">
        <v>42</v>
      </c>
      <c r="K3869" t="s">
        <v>82</v>
      </c>
      <c r="L3869" t="s">
        <v>2623</v>
      </c>
      <c r="M3869" t="s">
        <v>61</v>
      </c>
      <c r="N3869" t="s">
        <v>2594</v>
      </c>
      <c r="O3869" t="s">
        <v>131</v>
      </c>
      <c r="P3869" t="s">
        <v>53</v>
      </c>
      <c r="Q3869" t="s">
        <v>143</v>
      </c>
      <c r="R3869">
        <v>2</v>
      </c>
      <c r="S3869">
        <v>999</v>
      </c>
      <c r="T3869">
        <v>0.15</v>
      </c>
      <c r="U3869">
        <v>1698.3</v>
      </c>
      <c r="V3869">
        <v>1040</v>
      </c>
      <c r="W3869">
        <v>658.3</v>
      </c>
      <c r="X3869" t="s">
        <v>76</v>
      </c>
      <c r="Y3869" t="s">
        <v>68</v>
      </c>
      <c r="Z3869" t="s">
        <v>160</v>
      </c>
      <c r="AA3869" t="s">
        <v>166</v>
      </c>
      <c r="AB3869">
        <v>3.9</v>
      </c>
      <c r="AC3869">
        <v>60</v>
      </c>
      <c r="AD3869">
        <v>166.83</v>
      </c>
      <c r="AE3869">
        <f t="shared" si="120"/>
        <v>431.46999999999991</v>
      </c>
      <c r="AF3869" t="str">
        <f t="shared" si="121"/>
        <v>2026-05</v>
      </c>
      <c r="AG3869">
        <f>SUBTOTAL(103,A3869)</f>
        <v>1</v>
      </c>
    </row>
    <row r="3870" spans="1:33" x14ac:dyDescent="0.3">
      <c r="A3870" t="s">
        <v>6493</v>
      </c>
      <c r="B3870" s="13">
        <v>46155</v>
      </c>
      <c r="C3870">
        <v>2026</v>
      </c>
      <c r="D3870">
        <v>5</v>
      </c>
      <c r="E3870" t="s">
        <v>3566</v>
      </c>
      <c r="F3870" t="s">
        <v>3329</v>
      </c>
      <c r="G3870" t="s">
        <v>1023</v>
      </c>
      <c r="H3870" t="s">
        <v>1024</v>
      </c>
      <c r="I3870" t="s">
        <v>86</v>
      </c>
      <c r="J3870">
        <v>54</v>
      </c>
      <c r="K3870" t="s">
        <v>83</v>
      </c>
      <c r="L3870" t="s">
        <v>98</v>
      </c>
      <c r="M3870" t="s">
        <v>55</v>
      </c>
      <c r="N3870" t="s">
        <v>2582</v>
      </c>
      <c r="O3870" t="s">
        <v>119</v>
      </c>
      <c r="P3870" t="s">
        <v>49</v>
      </c>
      <c r="Q3870" t="s">
        <v>140</v>
      </c>
      <c r="R3870">
        <v>1</v>
      </c>
      <c r="S3870">
        <v>3499</v>
      </c>
      <c r="T3870">
        <v>0.05</v>
      </c>
      <c r="U3870">
        <v>3324.05</v>
      </c>
      <c r="V3870">
        <v>2100</v>
      </c>
      <c r="W3870">
        <v>1224.05</v>
      </c>
      <c r="X3870" t="s">
        <v>73</v>
      </c>
      <c r="Y3870" t="s">
        <v>68</v>
      </c>
      <c r="Z3870" t="s">
        <v>160</v>
      </c>
      <c r="AA3870" t="s">
        <v>166</v>
      </c>
      <c r="AB3870">
        <v>3.1</v>
      </c>
      <c r="AC3870">
        <v>60</v>
      </c>
      <c r="AD3870">
        <v>388.61</v>
      </c>
      <c r="AE3870">
        <f t="shared" si="120"/>
        <v>775.43999999999994</v>
      </c>
      <c r="AF3870" t="str">
        <f t="shared" si="121"/>
        <v>2026-05</v>
      </c>
      <c r="AG3870">
        <f>SUBTOTAL(103,A3870)</f>
        <v>1</v>
      </c>
    </row>
    <row r="3871" spans="1:33" x14ac:dyDescent="0.3">
      <c r="A3871" t="s">
        <v>6494</v>
      </c>
      <c r="B3871" s="13">
        <v>46155</v>
      </c>
      <c r="C3871">
        <v>2026</v>
      </c>
      <c r="D3871">
        <v>5</v>
      </c>
      <c r="E3871" t="s">
        <v>3566</v>
      </c>
      <c r="F3871" t="s">
        <v>3329</v>
      </c>
      <c r="G3871" t="s">
        <v>615</v>
      </c>
      <c r="H3871" t="s">
        <v>616</v>
      </c>
      <c r="I3871" t="s">
        <v>86</v>
      </c>
      <c r="J3871">
        <v>51</v>
      </c>
      <c r="K3871" t="s">
        <v>83</v>
      </c>
      <c r="L3871" t="s">
        <v>97</v>
      </c>
      <c r="M3871" t="s">
        <v>57</v>
      </c>
      <c r="N3871" t="s">
        <v>2580</v>
      </c>
      <c r="O3871" t="s">
        <v>118</v>
      </c>
      <c r="P3871" t="s">
        <v>48</v>
      </c>
      <c r="Q3871" t="s">
        <v>142</v>
      </c>
      <c r="R3871">
        <v>2</v>
      </c>
      <c r="S3871">
        <v>3999</v>
      </c>
      <c r="T3871">
        <v>0.1</v>
      </c>
      <c r="U3871">
        <v>7198.2</v>
      </c>
      <c r="V3871">
        <v>4800</v>
      </c>
      <c r="W3871">
        <v>2398.1999999999998</v>
      </c>
      <c r="X3871" t="s">
        <v>76</v>
      </c>
      <c r="Y3871" t="s">
        <v>68</v>
      </c>
      <c r="Z3871" t="s">
        <v>162</v>
      </c>
      <c r="AA3871" t="s">
        <v>166</v>
      </c>
      <c r="AB3871">
        <v>4.5</v>
      </c>
      <c r="AC3871">
        <v>60</v>
      </c>
      <c r="AD3871">
        <v>530.25</v>
      </c>
      <c r="AE3871">
        <f t="shared" si="120"/>
        <v>1807.9499999999998</v>
      </c>
      <c r="AF3871" t="str">
        <f t="shared" si="121"/>
        <v>2026-05</v>
      </c>
      <c r="AG3871">
        <f>SUBTOTAL(103,A3871)</f>
        <v>1</v>
      </c>
    </row>
    <row r="3872" spans="1:33" x14ac:dyDescent="0.3">
      <c r="A3872" t="s">
        <v>6495</v>
      </c>
      <c r="B3872" s="13">
        <v>46155</v>
      </c>
      <c r="C3872">
        <v>2026</v>
      </c>
      <c r="D3872">
        <v>5</v>
      </c>
      <c r="E3872" t="s">
        <v>3566</v>
      </c>
      <c r="F3872" t="s">
        <v>3329</v>
      </c>
      <c r="G3872" t="s">
        <v>1595</v>
      </c>
      <c r="H3872" t="s">
        <v>1596</v>
      </c>
      <c r="I3872" t="s">
        <v>85</v>
      </c>
      <c r="J3872">
        <v>49</v>
      </c>
      <c r="K3872" t="s">
        <v>83</v>
      </c>
      <c r="L3872" t="s">
        <v>92</v>
      </c>
      <c r="M3872" t="s">
        <v>59</v>
      </c>
      <c r="N3872" t="s">
        <v>2665</v>
      </c>
      <c r="O3872" t="s">
        <v>128</v>
      </c>
      <c r="P3872" t="s">
        <v>53</v>
      </c>
      <c r="Q3872" t="s">
        <v>143</v>
      </c>
      <c r="R3872">
        <v>1</v>
      </c>
      <c r="S3872">
        <v>1499</v>
      </c>
      <c r="T3872">
        <v>0.1</v>
      </c>
      <c r="U3872">
        <v>1349.1</v>
      </c>
      <c r="V3872">
        <v>800</v>
      </c>
      <c r="W3872">
        <v>549.1</v>
      </c>
      <c r="X3872" t="s">
        <v>75</v>
      </c>
      <c r="Y3872" t="s">
        <v>68</v>
      </c>
      <c r="Z3872" t="s">
        <v>161</v>
      </c>
      <c r="AA3872" t="s">
        <v>168</v>
      </c>
      <c r="AB3872">
        <v>4.0999999999999996</v>
      </c>
      <c r="AC3872">
        <v>80</v>
      </c>
      <c r="AD3872">
        <v>52.35</v>
      </c>
      <c r="AE3872">
        <f t="shared" si="120"/>
        <v>416.75</v>
      </c>
      <c r="AF3872" t="str">
        <f t="shared" si="121"/>
        <v>2026-05</v>
      </c>
      <c r="AG3872">
        <f>SUBTOTAL(103,A3872)</f>
        <v>1</v>
      </c>
    </row>
    <row r="3873" spans="1:33" x14ac:dyDescent="0.3">
      <c r="A3873" t="s">
        <v>6496</v>
      </c>
      <c r="B3873" s="13">
        <v>46156</v>
      </c>
      <c r="C3873">
        <v>2026</v>
      </c>
      <c r="D3873">
        <v>5</v>
      </c>
      <c r="E3873" t="s">
        <v>3566</v>
      </c>
      <c r="F3873" t="s">
        <v>3329</v>
      </c>
      <c r="G3873" t="s">
        <v>929</v>
      </c>
      <c r="H3873" t="s">
        <v>930</v>
      </c>
      <c r="I3873" t="s">
        <v>85</v>
      </c>
      <c r="J3873">
        <v>18</v>
      </c>
      <c r="K3873" t="s">
        <v>80</v>
      </c>
      <c r="L3873" t="s">
        <v>2605</v>
      </c>
      <c r="M3873" t="s">
        <v>60</v>
      </c>
      <c r="N3873" t="s">
        <v>2596</v>
      </c>
      <c r="O3873" t="s">
        <v>124</v>
      </c>
      <c r="P3873" t="s">
        <v>51</v>
      </c>
      <c r="Q3873" t="s">
        <v>147</v>
      </c>
      <c r="R3873">
        <v>1</v>
      </c>
      <c r="S3873">
        <v>2299</v>
      </c>
      <c r="T3873">
        <v>0.15</v>
      </c>
      <c r="U3873">
        <v>1954.15</v>
      </c>
      <c r="V3873">
        <v>1200</v>
      </c>
      <c r="W3873">
        <v>754.15</v>
      </c>
      <c r="X3873" t="s">
        <v>75</v>
      </c>
      <c r="Y3873" t="s">
        <v>68</v>
      </c>
      <c r="Z3873" t="s">
        <v>161</v>
      </c>
      <c r="AA3873" t="s">
        <v>168</v>
      </c>
      <c r="AB3873">
        <v>4.8</v>
      </c>
      <c r="AC3873">
        <v>60</v>
      </c>
      <c r="AD3873">
        <v>213.99</v>
      </c>
      <c r="AE3873">
        <f t="shared" si="120"/>
        <v>480.15999999999997</v>
      </c>
      <c r="AF3873" t="str">
        <f t="shared" si="121"/>
        <v>2026-05</v>
      </c>
      <c r="AG3873">
        <f>SUBTOTAL(103,A3873)</f>
        <v>1</v>
      </c>
    </row>
    <row r="3874" spans="1:33" x14ac:dyDescent="0.3">
      <c r="A3874" t="s">
        <v>6497</v>
      </c>
      <c r="B3874" s="13">
        <v>46156</v>
      </c>
      <c r="C3874">
        <v>2026</v>
      </c>
      <c r="D3874">
        <v>5</v>
      </c>
      <c r="E3874" t="s">
        <v>3566</v>
      </c>
      <c r="F3874" t="s">
        <v>3329</v>
      </c>
      <c r="G3874" t="s">
        <v>1861</v>
      </c>
      <c r="H3874" t="s">
        <v>1862</v>
      </c>
      <c r="I3874" t="s">
        <v>85</v>
      </c>
      <c r="J3874">
        <v>26</v>
      </c>
      <c r="K3874" t="s">
        <v>81</v>
      </c>
      <c r="L3874" t="s">
        <v>2661</v>
      </c>
      <c r="M3874" t="s">
        <v>58</v>
      </c>
      <c r="N3874" t="s">
        <v>2590</v>
      </c>
      <c r="O3874" t="s">
        <v>127</v>
      </c>
      <c r="P3874" t="s">
        <v>51</v>
      </c>
      <c r="Q3874" t="s">
        <v>148</v>
      </c>
      <c r="R3874">
        <v>2</v>
      </c>
      <c r="S3874">
        <v>1599</v>
      </c>
      <c r="T3874">
        <v>0.1</v>
      </c>
      <c r="U3874">
        <v>2878.2</v>
      </c>
      <c r="V3874">
        <v>1600</v>
      </c>
      <c r="W3874">
        <v>1278.2</v>
      </c>
      <c r="X3874" t="s">
        <v>73</v>
      </c>
      <c r="Y3874" t="s">
        <v>70</v>
      </c>
      <c r="Z3874" t="s">
        <v>159</v>
      </c>
      <c r="AA3874" t="s">
        <v>166</v>
      </c>
      <c r="AB3874">
        <v>4</v>
      </c>
      <c r="AC3874">
        <v>50</v>
      </c>
      <c r="AD3874">
        <v>216.47</v>
      </c>
      <c r="AE3874">
        <f t="shared" si="120"/>
        <v>1011.73</v>
      </c>
      <c r="AF3874" t="str">
        <f t="shared" si="121"/>
        <v>2026-05</v>
      </c>
      <c r="AG3874">
        <f>SUBTOTAL(103,A3874)</f>
        <v>1</v>
      </c>
    </row>
    <row r="3875" spans="1:33" x14ac:dyDescent="0.3">
      <c r="A3875" t="s">
        <v>6498</v>
      </c>
      <c r="B3875" s="13">
        <v>46156</v>
      </c>
      <c r="C3875">
        <v>2026</v>
      </c>
      <c r="D3875">
        <v>5</v>
      </c>
      <c r="E3875" t="s">
        <v>3566</v>
      </c>
      <c r="F3875" t="s">
        <v>3329</v>
      </c>
      <c r="G3875" t="s">
        <v>459</v>
      </c>
      <c r="H3875" t="s">
        <v>460</v>
      </c>
      <c r="I3875" t="s">
        <v>85</v>
      </c>
      <c r="J3875">
        <v>48</v>
      </c>
      <c r="K3875" t="s">
        <v>83</v>
      </c>
      <c r="L3875" t="s">
        <v>98</v>
      </c>
      <c r="M3875" t="s">
        <v>55</v>
      </c>
      <c r="N3875" t="s">
        <v>2584</v>
      </c>
      <c r="O3875" t="s">
        <v>121</v>
      </c>
      <c r="P3875" t="s">
        <v>50</v>
      </c>
      <c r="Q3875" t="s">
        <v>144</v>
      </c>
      <c r="R3875">
        <v>1</v>
      </c>
      <c r="S3875">
        <v>2999</v>
      </c>
      <c r="T3875">
        <v>0.15</v>
      </c>
      <c r="U3875">
        <v>2549.15</v>
      </c>
      <c r="V3875">
        <v>1700</v>
      </c>
      <c r="W3875">
        <v>849.15</v>
      </c>
      <c r="X3875" t="s">
        <v>74</v>
      </c>
      <c r="Y3875" t="s">
        <v>68</v>
      </c>
      <c r="Z3875" t="s">
        <v>159</v>
      </c>
      <c r="AA3875" t="s">
        <v>166</v>
      </c>
      <c r="AB3875">
        <v>5</v>
      </c>
      <c r="AC3875">
        <v>50</v>
      </c>
      <c r="AD3875">
        <v>116.68</v>
      </c>
      <c r="AE3875">
        <f t="shared" si="120"/>
        <v>682.47</v>
      </c>
      <c r="AF3875" t="str">
        <f t="shared" si="121"/>
        <v>2026-05</v>
      </c>
      <c r="AG3875">
        <f>SUBTOTAL(103,A3875)</f>
        <v>1</v>
      </c>
    </row>
    <row r="3876" spans="1:33" x14ac:dyDescent="0.3">
      <c r="A3876" t="s">
        <v>6499</v>
      </c>
      <c r="B3876" s="13">
        <v>46156</v>
      </c>
      <c r="C3876">
        <v>2026</v>
      </c>
      <c r="D3876">
        <v>5</v>
      </c>
      <c r="E3876" t="s">
        <v>3566</v>
      </c>
      <c r="F3876" t="s">
        <v>3329</v>
      </c>
      <c r="G3876" t="s">
        <v>2469</v>
      </c>
      <c r="H3876" t="s">
        <v>2470</v>
      </c>
      <c r="I3876" t="s">
        <v>85</v>
      </c>
      <c r="J3876">
        <v>41</v>
      </c>
      <c r="K3876" t="s">
        <v>82</v>
      </c>
      <c r="L3876" t="s">
        <v>91</v>
      </c>
      <c r="M3876" t="s">
        <v>55</v>
      </c>
      <c r="N3876" t="s">
        <v>2626</v>
      </c>
      <c r="O3876" t="s">
        <v>125</v>
      </c>
      <c r="P3876" t="s">
        <v>48</v>
      </c>
      <c r="Q3876" t="s">
        <v>141</v>
      </c>
      <c r="R3876">
        <v>1</v>
      </c>
      <c r="S3876">
        <v>1999</v>
      </c>
      <c r="T3876">
        <v>0</v>
      </c>
      <c r="U3876">
        <v>1999</v>
      </c>
      <c r="V3876">
        <v>1150</v>
      </c>
      <c r="W3876">
        <v>849</v>
      </c>
      <c r="X3876" t="s">
        <v>73</v>
      </c>
      <c r="Y3876" t="s">
        <v>68</v>
      </c>
      <c r="Z3876" t="s">
        <v>159</v>
      </c>
      <c r="AA3876" t="s">
        <v>166</v>
      </c>
      <c r="AB3876">
        <v>3.9</v>
      </c>
      <c r="AC3876">
        <v>40</v>
      </c>
      <c r="AD3876">
        <v>116.54</v>
      </c>
      <c r="AE3876">
        <f t="shared" si="120"/>
        <v>692.46</v>
      </c>
      <c r="AF3876" t="str">
        <f t="shared" si="121"/>
        <v>2026-05</v>
      </c>
      <c r="AG3876">
        <f>SUBTOTAL(103,A3876)</f>
        <v>1</v>
      </c>
    </row>
    <row r="3877" spans="1:33" x14ac:dyDescent="0.3">
      <c r="A3877" t="s">
        <v>6500</v>
      </c>
      <c r="B3877" s="13">
        <v>46156</v>
      </c>
      <c r="C3877">
        <v>2026</v>
      </c>
      <c r="D3877">
        <v>5</v>
      </c>
      <c r="E3877" t="s">
        <v>3566</v>
      </c>
      <c r="F3877" t="s">
        <v>3329</v>
      </c>
      <c r="G3877" t="s">
        <v>1097</v>
      </c>
      <c r="H3877" t="s">
        <v>1098</v>
      </c>
      <c r="I3877" t="s">
        <v>86</v>
      </c>
      <c r="J3877">
        <v>59</v>
      </c>
      <c r="K3877" t="s">
        <v>83</v>
      </c>
      <c r="L3877" t="s">
        <v>2674</v>
      </c>
      <c r="M3877" t="s">
        <v>58</v>
      </c>
      <c r="N3877" t="s">
        <v>2644</v>
      </c>
      <c r="O3877" t="s">
        <v>126</v>
      </c>
      <c r="P3877" t="s">
        <v>50</v>
      </c>
      <c r="Q3877" t="s">
        <v>145</v>
      </c>
      <c r="R3877">
        <v>4</v>
      </c>
      <c r="S3877">
        <v>1799</v>
      </c>
      <c r="T3877">
        <v>0.05</v>
      </c>
      <c r="U3877">
        <v>6836.2</v>
      </c>
      <c r="V3877">
        <v>3800</v>
      </c>
      <c r="W3877">
        <v>3036.2</v>
      </c>
      <c r="X3877" t="s">
        <v>76</v>
      </c>
      <c r="Y3877" t="s">
        <v>69</v>
      </c>
      <c r="Z3877" t="s">
        <v>161</v>
      </c>
      <c r="AA3877" t="s">
        <v>169</v>
      </c>
      <c r="AB3877">
        <v>4.4000000000000004</v>
      </c>
      <c r="AC3877">
        <v>40</v>
      </c>
      <c r="AD3877">
        <v>533.57000000000005</v>
      </c>
      <c r="AE3877">
        <f t="shared" si="120"/>
        <v>2462.6299999999997</v>
      </c>
      <c r="AF3877" t="str">
        <f t="shared" si="121"/>
        <v>2026-05</v>
      </c>
      <c r="AG3877">
        <f>SUBTOTAL(103,A3877)</f>
        <v>1</v>
      </c>
    </row>
    <row r="3878" spans="1:33" x14ac:dyDescent="0.3">
      <c r="A3878" t="s">
        <v>6501</v>
      </c>
      <c r="B3878" s="13">
        <v>46156</v>
      </c>
      <c r="C3878">
        <v>2026</v>
      </c>
      <c r="D3878">
        <v>5</v>
      </c>
      <c r="E3878" t="s">
        <v>3566</v>
      </c>
      <c r="F3878" t="s">
        <v>3329</v>
      </c>
      <c r="G3878" t="s">
        <v>349</v>
      </c>
      <c r="H3878" t="s">
        <v>350</v>
      </c>
      <c r="I3878" t="s">
        <v>85</v>
      </c>
      <c r="J3878">
        <v>39</v>
      </c>
      <c r="K3878" t="s">
        <v>82</v>
      </c>
      <c r="L3878" t="s">
        <v>91</v>
      </c>
      <c r="M3878" t="s">
        <v>55</v>
      </c>
      <c r="N3878" t="s">
        <v>2592</v>
      </c>
      <c r="O3878" t="s">
        <v>115</v>
      </c>
      <c r="P3878" t="s">
        <v>48</v>
      </c>
      <c r="Q3878" t="s">
        <v>137</v>
      </c>
      <c r="R3878">
        <v>3</v>
      </c>
      <c r="S3878">
        <v>12999</v>
      </c>
      <c r="T3878">
        <v>0.1</v>
      </c>
      <c r="U3878">
        <v>35097.300000000003</v>
      </c>
      <c r="V3878">
        <v>27000</v>
      </c>
      <c r="W3878">
        <v>8097.3</v>
      </c>
      <c r="X3878" t="s">
        <v>74</v>
      </c>
      <c r="Y3878" t="s">
        <v>68</v>
      </c>
      <c r="Z3878" t="s">
        <v>161</v>
      </c>
      <c r="AA3878" t="s">
        <v>166</v>
      </c>
      <c r="AB3878">
        <v>4</v>
      </c>
      <c r="AC3878">
        <v>50</v>
      </c>
      <c r="AD3878">
        <v>896.32</v>
      </c>
      <c r="AE3878">
        <f t="shared" si="120"/>
        <v>7150.9800000000005</v>
      </c>
      <c r="AF3878" t="str">
        <f t="shared" si="121"/>
        <v>2026-05</v>
      </c>
      <c r="AG3878">
        <f>SUBTOTAL(103,A3878)</f>
        <v>1</v>
      </c>
    </row>
    <row r="3879" spans="1:33" x14ac:dyDescent="0.3">
      <c r="A3879" t="s">
        <v>6502</v>
      </c>
      <c r="B3879" s="13">
        <v>46156</v>
      </c>
      <c r="C3879">
        <v>2026</v>
      </c>
      <c r="D3879">
        <v>5</v>
      </c>
      <c r="E3879" t="s">
        <v>3566</v>
      </c>
      <c r="F3879" t="s">
        <v>3329</v>
      </c>
      <c r="G3879" t="s">
        <v>435</v>
      </c>
      <c r="H3879" t="s">
        <v>436</v>
      </c>
      <c r="I3879" t="s">
        <v>86</v>
      </c>
      <c r="J3879">
        <v>20</v>
      </c>
      <c r="K3879" t="s">
        <v>80</v>
      </c>
      <c r="L3879" t="s">
        <v>90</v>
      </c>
      <c r="M3879" t="s">
        <v>55</v>
      </c>
      <c r="N3879" t="s">
        <v>2657</v>
      </c>
      <c r="O3879" t="s">
        <v>134</v>
      </c>
      <c r="P3879" t="s">
        <v>49</v>
      </c>
      <c r="Q3879" t="s">
        <v>140</v>
      </c>
      <c r="R3879">
        <v>4</v>
      </c>
      <c r="S3879">
        <v>599</v>
      </c>
      <c r="T3879">
        <v>0.1</v>
      </c>
      <c r="U3879">
        <v>2156.4</v>
      </c>
      <c r="V3879">
        <v>1000</v>
      </c>
      <c r="W3879">
        <v>1156.4000000000001</v>
      </c>
      <c r="X3879" t="s">
        <v>76</v>
      </c>
      <c r="Y3879" t="s">
        <v>68</v>
      </c>
      <c r="Z3879" t="s">
        <v>158</v>
      </c>
      <c r="AA3879" t="s">
        <v>166</v>
      </c>
      <c r="AB3879">
        <v>4.7</v>
      </c>
      <c r="AC3879">
        <v>50</v>
      </c>
      <c r="AD3879">
        <v>96.37</v>
      </c>
      <c r="AE3879">
        <f t="shared" si="120"/>
        <v>1010.0300000000001</v>
      </c>
      <c r="AF3879" t="str">
        <f t="shared" si="121"/>
        <v>2026-05</v>
      </c>
      <c r="AG3879">
        <f>SUBTOTAL(103,A3879)</f>
        <v>1</v>
      </c>
    </row>
    <row r="3880" spans="1:33" x14ac:dyDescent="0.3">
      <c r="A3880" t="s">
        <v>6503</v>
      </c>
      <c r="B3880" s="13">
        <v>46157</v>
      </c>
      <c r="C3880">
        <v>2026</v>
      </c>
      <c r="D3880">
        <v>5</v>
      </c>
      <c r="E3880" t="s">
        <v>3566</v>
      </c>
      <c r="F3880" t="s">
        <v>3329</v>
      </c>
      <c r="G3880" t="s">
        <v>637</v>
      </c>
      <c r="H3880" t="s">
        <v>638</v>
      </c>
      <c r="I3880" t="s">
        <v>86</v>
      </c>
      <c r="J3880">
        <v>57</v>
      </c>
      <c r="K3880" t="s">
        <v>83</v>
      </c>
      <c r="L3880" t="s">
        <v>91</v>
      </c>
      <c r="M3880" t="s">
        <v>55</v>
      </c>
      <c r="N3880" t="s">
        <v>2574</v>
      </c>
      <c r="O3880" t="s">
        <v>130</v>
      </c>
      <c r="P3880" t="s">
        <v>50</v>
      </c>
      <c r="Q3880" t="s">
        <v>53</v>
      </c>
      <c r="R3880">
        <v>1</v>
      </c>
      <c r="S3880">
        <v>1199</v>
      </c>
      <c r="T3880">
        <v>0.05</v>
      </c>
      <c r="U3880">
        <v>1139.05</v>
      </c>
      <c r="V3880">
        <v>550</v>
      </c>
      <c r="W3880">
        <v>589.04999999999995</v>
      </c>
      <c r="X3880" t="s">
        <v>74</v>
      </c>
      <c r="Y3880" t="s">
        <v>68</v>
      </c>
      <c r="Z3880" t="s">
        <v>158</v>
      </c>
      <c r="AA3880" t="s">
        <v>166</v>
      </c>
      <c r="AB3880">
        <v>3.4</v>
      </c>
      <c r="AC3880">
        <v>100</v>
      </c>
      <c r="AD3880">
        <v>129.72999999999999</v>
      </c>
      <c r="AE3880">
        <f t="shared" si="120"/>
        <v>359.31999999999994</v>
      </c>
      <c r="AF3880" t="str">
        <f t="shared" si="121"/>
        <v>2026-05</v>
      </c>
      <c r="AG3880">
        <f>SUBTOTAL(103,A3880)</f>
        <v>1</v>
      </c>
    </row>
    <row r="3881" spans="1:33" x14ac:dyDescent="0.3">
      <c r="A3881" t="s">
        <v>6504</v>
      </c>
      <c r="B3881" s="13">
        <v>46157</v>
      </c>
      <c r="C3881">
        <v>2026</v>
      </c>
      <c r="D3881">
        <v>5</v>
      </c>
      <c r="E3881" t="s">
        <v>3566</v>
      </c>
      <c r="F3881" t="s">
        <v>3329</v>
      </c>
      <c r="G3881" t="s">
        <v>669</v>
      </c>
      <c r="H3881" t="s">
        <v>670</v>
      </c>
      <c r="I3881" t="s">
        <v>86</v>
      </c>
      <c r="J3881">
        <v>58</v>
      </c>
      <c r="K3881" t="s">
        <v>83</v>
      </c>
      <c r="L3881" t="s">
        <v>92</v>
      </c>
      <c r="M3881" t="s">
        <v>59</v>
      </c>
      <c r="N3881" t="s">
        <v>2587</v>
      </c>
      <c r="O3881" t="s">
        <v>116</v>
      </c>
      <c r="P3881" t="s">
        <v>48</v>
      </c>
      <c r="Q3881" t="s">
        <v>138</v>
      </c>
      <c r="R3881">
        <v>3</v>
      </c>
      <c r="S3881">
        <v>14999</v>
      </c>
      <c r="T3881">
        <v>0.2</v>
      </c>
      <c r="U3881">
        <v>35997.599999999999</v>
      </c>
      <c r="V3881">
        <v>33600</v>
      </c>
      <c r="W3881">
        <v>2397.6</v>
      </c>
      <c r="X3881" t="s">
        <v>73</v>
      </c>
      <c r="Y3881" t="s">
        <v>68</v>
      </c>
      <c r="Z3881" t="s">
        <v>158</v>
      </c>
      <c r="AA3881" t="s">
        <v>170</v>
      </c>
      <c r="AB3881">
        <v>4.5999999999999996</v>
      </c>
      <c r="AC3881">
        <v>80</v>
      </c>
      <c r="AD3881">
        <v>1579.81</v>
      </c>
      <c r="AE3881">
        <f t="shared" si="120"/>
        <v>737.79</v>
      </c>
      <c r="AF3881" t="str">
        <f t="shared" si="121"/>
        <v>2026-05</v>
      </c>
      <c r="AG3881">
        <f>SUBTOTAL(103,A3881)</f>
        <v>1</v>
      </c>
    </row>
    <row r="3882" spans="1:33" x14ac:dyDescent="0.3">
      <c r="A3882" t="s">
        <v>6505</v>
      </c>
      <c r="B3882" s="13">
        <v>46157</v>
      </c>
      <c r="C3882">
        <v>2026</v>
      </c>
      <c r="D3882">
        <v>5</v>
      </c>
      <c r="E3882" t="s">
        <v>3566</v>
      </c>
      <c r="F3882" t="s">
        <v>3329</v>
      </c>
      <c r="G3882" t="s">
        <v>185</v>
      </c>
      <c r="H3882" t="s">
        <v>186</v>
      </c>
      <c r="I3882" t="s">
        <v>86</v>
      </c>
      <c r="J3882">
        <v>19</v>
      </c>
      <c r="K3882" t="s">
        <v>80</v>
      </c>
      <c r="L3882" t="s">
        <v>96</v>
      </c>
      <c r="M3882" t="s">
        <v>55</v>
      </c>
      <c r="N3882" t="s">
        <v>2601</v>
      </c>
      <c r="O3882" t="s">
        <v>117</v>
      </c>
      <c r="P3882" t="s">
        <v>49</v>
      </c>
      <c r="Q3882" t="s">
        <v>139</v>
      </c>
      <c r="R3882">
        <v>2</v>
      </c>
      <c r="S3882">
        <v>6999</v>
      </c>
      <c r="T3882">
        <v>0.15</v>
      </c>
      <c r="U3882">
        <v>11898.3</v>
      </c>
      <c r="V3882">
        <v>8600</v>
      </c>
      <c r="W3882">
        <v>3298.3</v>
      </c>
      <c r="X3882" t="s">
        <v>74</v>
      </c>
      <c r="Y3882" t="s">
        <v>68</v>
      </c>
      <c r="Z3882" t="s">
        <v>161</v>
      </c>
      <c r="AA3882" t="s">
        <v>170</v>
      </c>
      <c r="AB3882">
        <v>3.9</v>
      </c>
      <c r="AC3882">
        <v>60</v>
      </c>
      <c r="AD3882">
        <v>656.17</v>
      </c>
      <c r="AE3882">
        <f t="shared" si="120"/>
        <v>2582.13</v>
      </c>
      <c r="AF3882" t="str">
        <f t="shared" si="121"/>
        <v>2026-05</v>
      </c>
      <c r="AG3882">
        <f>SUBTOTAL(103,A3882)</f>
        <v>1</v>
      </c>
    </row>
    <row r="3883" spans="1:33" x14ac:dyDescent="0.3">
      <c r="A3883" t="s">
        <v>6506</v>
      </c>
      <c r="B3883" s="13">
        <v>46157</v>
      </c>
      <c r="C3883">
        <v>2026</v>
      </c>
      <c r="D3883">
        <v>5</v>
      </c>
      <c r="E3883" t="s">
        <v>3566</v>
      </c>
      <c r="F3883" t="s">
        <v>3329</v>
      </c>
      <c r="G3883" t="s">
        <v>1731</v>
      </c>
      <c r="H3883" t="s">
        <v>1732</v>
      </c>
      <c r="I3883" t="s">
        <v>86</v>
      </c>
      <c r="J3883">
        <v>25</v>
      </c>
      <c r="K3883" t="s">
        <v>80</v>
      </c>
      <c r="L3883" t="s">
        <v>94</v>
      </c>
      <c r="M3883" t="s">
        <v>57</v>
      </c>
      <c r="N3883" t="s">
        <v>2653</v>
      </c>
      <c r="O3883" t="s">
        <v>132</v>
      </c>
      <c r="P3883" t="s">
        <v>52</v>
      </c>
      <c r="Q3883" t="s">
        <v>150</v>
      </c>
      <c r="R3883">
        <v>1</v>
      </c>
      <c r="S3883">
        <v>899</v>
      </c>
      <c r="T3883">
        <v>0.15</v>
      </c>
      <c r="U3883">
        <v>764.15</v>
      </c>
      <c r="V3883">
        <v>420</v>
      </c>
      <c r="W3883">
        <v>344.15</v>
      </c>
      <c r="X3883" t="s">
        <v>73</v>
      </c>
      <c r="Y3883" t="s">
        <v>68</v>
      </c>
      <c r="Z3883" t="s">
        <v>159</v>
      </c>
      <c r="AA3883" t="s">
        <v>171</v>
      </c>
      <c r="AB3883">
        <v>5</v>
      </c>
      <c r="AC3883">
        <v>50</v>
      </c>
      <c r="AD3883">
        <v>56.37</v>
      </c>
      <c r="AE3883">
        <f t="shared" si="120"/>
        <v>237.77999999999997</v>
      </c>
      <c r="AF3883" t="str">
        <f t="shared" si="121"/>
        <v>2026-05</v>
      </c>
      <c r="AG3883">
        <f>SUBTOTAL(103,A3883)</f>
        <v>1</v>
      </c>
    </row>
    <row r="3884" spans="1:33" x14ac:dyDescent="0.3">
      <c r="A3884" t="s">
        <v>6507</v>
      </c>
      <c r="B3884" s="13">
        <v>46157</v>
      </c>
      <c r="C3884">
        <v>2026</v>
      </c>
      <c r="D3884">
        <v>5</v>
      </c>
      <c r="E3884" t="s">
        <v>3566</v>
      </c>
      <c r="F3884" t="s">
        <v>3329</v>
      </c>
      <c r="G3884" t="s">
        <v>1479</v>
      </c>
      <c r="H3884" t="s">
        <v>1480</v>
      </c>
      <c r="I3884" t="s">
        <v>86</v>
      </c>
      <c r="J3884">
        <v>54</v>
      </c>
      <c r="K3884" t="s">
        <v>83</v>
      </c>
      <c r="L3884" t="s">
        <v>93</v>
      </c>
      <c r="M3884" t="s">
        <v>55</v>
      </c>
      <c r="N3884" t="s">
        <v>2582</v>
      </c>
      <c r="O3884" t="s">
        <v>119</v>
      </c>
      <c r="P3884" t="s">
        <v>49</v>
      </c>
      <c r="Q3884" t="s">
        <v>140</v>
      </c>
      <c r="R3884">
        <v>4</v>
      </c>
      <c r="S3884">
        <v>3499</v>
      </c>
      <c r="T3884">
        <v>0.25</v>
      </c>
      <c r="U3884">
        <v>10497</v>
      </c>
      <c r="V3884">
        <v>8400</v>
      </c>
      <c r="W3884">
        <v>2097</v>
      </c>
      <c r="X3884" t="s">
        <v>73</v>
      </c>
      <c r="Y3884" t="s">
        <v>68</v>
      </c>
      <c r="Z3884" t="s">
        <v>162</v>
      </c>
      <c r="AA3884" t="s">
        <v>167</v>
      </c>
      <c r="AB3884">
        <v>3.7</v>
      </c>
      <c r="AC3884">
        <v>50</v>
      </c>
      <c r="AD3884">
        <v>391.96</v>
      </c>
      <c r="AE3884">
        <f t="shared" si="120"/>
        <v>1655.04</v>
      </c>
      <c r="AF3884" t="str">
        <f t="shared" si="121"/>
        <v>2026-05</v>
      </c>
      <c r="AG3884">
        <f>SUBTOTAL(103,A3884)</f>
        <v>1</v>
      </c>
    </row>
    <row r="3885" spans="1:33" x14ac:dyDescent="0.3">
      <c r="A3885" t="s">
        <v>6508</v>
      </c>
      <c r="B3885" s="13">
        <v>46158</v>
      </c>
      <c r="C3885">
        <v>2026</v>
      </c>
      <c r="D3885">
        <v>5</v>
      </c>
      <c r="E3885" t="s">
        <v>3566</v>
      </c>
      <c r="F3885" t="s">
        <v>3329</v>
      </c>
      <c r="G3885" t="s">
        <v>1631</v>
      </c>
      <c r="H3885" t="s">
        <v>1632</v>
      </c>
      <c r="I3885" t="s">
        <v>85</v>
      </c>
      <c r="J3885">
        <v>49</v>
      </c>
      <c r="K3885" t="s">
        <v>83</v>
      </c>
      <c r="L3885" t="s">
        <v>2612</v>
      </c>
      <c r="M3885" t="s">
        <v>64</v>
      </c>
      <c r="N3885" t="s">
        <v>2596</v>
      </c>
      <c r="O3885" t="s">
        <v>124</v>
      </c>
      <c r="P3885" t="s">
        <v>51</v>
      </c>
      <c r="Q3885" t="s">
        <v>147</v>
      </c>
      <c r="R3885">
        <v>4</v>
      </c>
      <c r="S3885">
        <v>2299</v>
      </c>
      <c r="T3885">
        <v>0.05</v>
      </c>
      <c r="U3885">
        <v>8736.2000000000007</v>
      </c>
      <c r="V3885">
        <v>4800</v>
      </c>
      <c r="W3885">
        <v>3936.2</v>
      </c>
      <c r="X3885" t="s">
        <v>76</v>
      </c>
      <c r="Y3885" t="s">
        <v>68</v>
      </c>
      <c r="Z3885" t="s">
        <v>163</v>
      </c>
      <c r="AA3885" t="s">
        <v>170</v>
      </c>
      <c r="AB3885">
        <v>4.7</v>
      </c>
      <c r="AC3885">
        <v>80</v>
      </c>
      <c r="AD3885">
        <v>224.78</v>
      </c>
      <c r="AE3885">
        <f t="shared" si="120"/>
        <v>3631.4199999999996</v>
      </c>
      <c r="AF3885" t="str">
        <f t="shared" si="121"/>
        <v>2026-05</v>
      </c>
      <c r="AG3885">
        <f>SUBTOTAL(103,A3885)</f>
        <v>1</v>
      </c>
    </row>
    <row r="3886" spans="1:33" x14ac:dyDescent="0.3">
      <c r="A3886" t="s">
        <v>6509</v>
      </c>
      <c r="B3886" s="13">
        <v>46158</v>
      </c>
      <c r="C3886">
        <v>2026</v>
      </c>
      <c r="D3886">
        <v>5</v>
      </c>
      <c r="E3886" t="s">
        <v>3566</v>
      </c>
      <c r="F3886" t="s">
        <v>3329</v>
      </c>
      <c r="G3886" t="s">
        <v>639</v>
      </c>
      <c r="H3886" t="s">
        <v>640</v>
      </c>
      <c r="I3886" t="s">
        <v>85</v>
      </c>
      <c r="J3886">
        <v>59</v>
      </c>
      <c r="K3886" t="s">
        <v>83</v>
      </c>
      <c r="L3886" t="s">
        <v>2605</v>
      </c>
      <c r="M3886" t="s">
        <v>60</v>
      </c>
      <c r="N3886" t="s">
        <v>2590</v>
      </c>
      <c r="O3886" t="s">
        <v>127</v>
      </c>
      <c r="P3886" t="s">
        <v>51</v>
      </c>
      <c r="Q3886" t="s">
        <v>148</v>
      </c>
      <c r="R3886">
        <v>3</v>
      </c>
      <c r="S3886">
        <v>1599</v>
      </c>
      <c r="T3886">
        <v>0</v>
      </c>
      <c r="U3886">
        <v>4797</v>
      </c>
      <c r="V3886">
        <v>2400</v>
      </c>
      <c r="W3886">
        <v>2397</v>
      </c>
      <c r="X3886" t="s">
        <v>74</v>
      </c>
      <c r="Y3886" t="s">
        <v>68</v>
      </c>
      <c r="Z3886" t="s">
        <v>159</v>
      </c>
      <c r="AA3886" t="s">
        <v>166</v>
      </c>
      <c r="AB3886">
        <v>4.5</v>
      </c>
      <c r="AC3886">
        <v>40</v>
      </c>
      <c r="AD3886">
        <v>477.21</v>
      </c>
      <c r="AE3886">
        <f t="shared" si="120"/>
        <v>1879.79</v>
      </c>
      <c r="AF3886" t="str">
        <f t="shared" si="121"/>
        <v>2026-05</v>
      </c>
      <c r="AG3886">
        <f>SUBTOTAL(103,A3886)</f>
        <v>1</v>
      </c>
    </row>
    <row r="3887" spans="1:33" x14ac:dyDescent="0.3">
      <c r="A3887" t="s">
        <v>6510</v>
      </c>
      <c r="B3887" s="13">
        <v>46158</v>
      </c>
      <c r="C3887">
        <v>2026</v>
      </c>
      <c r="D3887">
        <v>5</v>
      </c>
      <c r="E3887" t="s">
        <v>3566</v>
      </c>
      <c r="F3887" t="s">
        <v>3329</v>
      </c>
      <c r="G3887" t="s">
        <v>383</v>
      </c>
      <c r="H3887" t="s">
        <v>384</v>
      </c>
      <c r="I3887" t="s">
        <v>86</v>
      </c>
      <c r="J3887">
        <v>36</v>
      </c>
      <c r="K3887" t="s">
        <v>82</v>
      </c>
      <c r="L3887" t="s">
        <v>2634</v>
      </c>
      <c r="M3887" t="s">
        <v>56</v>
      </c>
      <c r="N3887" t="s">
        <v>2601</v>
      </c>
      <c r="O3887" t="s">
        <v>117</v>
      </c>
      <c r="P3887" t="s">
        <v>49</v>
      </c>
      <c r="Q3887" t="s">
        <v>139</v>
      </c>
      <c r="R3887">
        <v>3</v>
      </c>
      <c r="S3887">
        <v>6999</v>
      </c>
      <c r="T3887">
        <v>0.05</v>
      </c>
      <c r="U3887">
        <v>19947.150000000001</v>
      </c>
      <c r="V3887">
        <v>12900</v>
      </c>
      <c r="W3887">
        <v>7047.15</v>
      </c>
      <c r="X3887" t="s">
        <v>74</v>
      </c>
      <c r="Y3887" t="s">
        <v>69</v>
      </c>
      <c r="Z3887" t="s">
        <v>162</v>
      </c>
      <c r="AA3887" t="s">
        <v>166</v>
      </c>
      <c r="AB3887">
        <v>4</v>
      </c>
      <c r="AC3887">
        <v>80</v>
      </c>
      <c r="AD3887">
        <v>1812.04</v>
      </c>
      <c r="AE3887">
        <f t="shared" si="120"/>
        <v>5155.1099999999997</v>
      </c>
      <c r="AF3887" t="str">
        <f t="shared" si="121"/>
        <v>2026-05</v>
      </c>
      <c r="AG3887">
        <f>SUBTOTAL(103,A3887)</f>
        <v>1</v>
      </c>
    </row>
    <row r="3888" spans="1:33" x14ac:dyDescent="0.3">
      <c r="A3888" t="s">
        <v>6511</v>
      </c>
      <c r="B3888" s="13">
        <v>46158</v>
      </c>
      <c r="C3888">
        <v>2026</v>
      </c>
      <c r="D3888">
        <v>5</v>
      </c>
      <c r="E3888" t="s">
        <v>3566</v>
      </c>
      <c r="F3888" t="s">
        <v>3329</v>
      </c>
      <c r="G3888" t="s">
        <v>1243</v>
      </c>
      <c r="H3888" t="s">
        <v>1244</v>
      </c>
      <c r="I3888" t="s">
        <v>86</v>
      </c>
      <c r="J3888">
        <v>51</v>
      </c>
      <c r="K3888" t="s">
        <v>83</v>
      </c>
      <c r="L3888" t="s">
        <v>2610</v>
      </c>
      <c r="M3888" t="s">
        <v>64</v>
      </c>
      <c r="N3888" t="s">
        <v>2582</v>
      </c>
      <c r="O3888" t="s">
        <v>119</v>
      </c>
      <c r="P3888" t="s">
        <v>49</v>
      </c>
      <c r="Q3888" t="s">
        <v>140</v>
      </c>
      <c r="R3888">
        <v>1</v>
      </c>
      <c r="S3888">
        <v>3499</v>
      </c>
      <c r="T3888">
        <v>0.15</v>
      </c>
      <c r="U3888">
        <v>0</v>
      </c>
      <c r="V3888">
        <v>0</v>
      </c>
      <c r="W3888">
        <v>0</v>
      </c>
      <c r="X3888" t="s">
        <v>73</v>
      </c>
      <c r="Y3888" t="s">
        <v>71</v>
      </c>
      <c r="Z3888" t="s">
        <v>162</v>
      </c>
      <c r="AA3888" t="s">
        <v>166</v>
      </c>
      <c r="AB3888">
        <v>3.6</v>
      </c>
      <c r="AC3888">
        <v>40</v>
      </c>
      <c r="AD3888">
        <v>300.97000000000003</v>
      </c>
      <c r="AE3888">
        <f t="shared" si="120"/>
        <v>-340.97</v>
      </c>
      <c r="AF3888" t="str">
        <f t="shared" si="121"/>
        <v>2026-05</v>
      </c>
      <c r="AG3888">
        <f>SUBTOTAL(103,A3888)</f>
        <v>1</v>
      </c>
    </row>
    <row r="3889" spans="1:33" x14ac:dyDescent="0.3">
      <c r="A3889" t="s">
        <v>6512</v>
      </c>
      <c r="B3889" s="13">
        <v>46158</v>
      </c>
      <c r="C3889">
        <v>2026</v>
      </c>
      <c r="D3889">
        <v>5</v>
      </c>
      <c r="E3889" t="s">
        <v>3566</v>
      </c>
      <c r="F3889" t="s">
        <v>3329</v>
      </c>
      <c r="G3889" t="s">
        <v>1087</v>
      </c>
      <c r="H3889" t="s">
        <v>1088</v>
      </c>
      <c r="I3889" t="s">
        <v>85</v>
      </c>
      <c r="J3889">
        <v>18</v>
      </c>
      <c r="K3889" t="s">
        <v>80</v>
      </c>
      <c r="L3889" t="s">
        <v>96</v>
      </c>
      <c r="M3889" t="s">
        <v>55</v>
      </c>
      <c r="N3889" t="s">
        <v>2657</v>
      </c>
      <c r="O3889" t="s">
        <v>134</v>
      </c>
      <c r="P3889" t="s">
        <v>49</v>
      </c>
      <c r="Q3889" t="s">
        <v>140</v>
      </c>
      <c r="R3889">
        <v>3</v>
      </c>
      <c r="S3889">
        <v>599</v>
      </c>
      <c r="T3889">
        <v>0.1</v>
      </c>
      <c r="U3889">
        <v>1617.3</v>
      </c>
      <c r="V3889">
        <v>750</v>
      </c>
      <c r="W3889">
        <v>867.3</v>
      </c>
      <c r="X3889" t="s">
        <v>77</v>
      </c>
      <c r="Y3889" t="s">
        <v>68</v>
      </c>
      <c r="Z3889" t="s">
        <v>158</v>
      </c>
      <c r="AA3889" t="s">
        <v>168</v>
      </c>
      <c r="AB3889">
        <v>3.4</v>
      </c>
      <c r="AC3889">
        <v>60</v>
      </c>
      <c r="AD3889">
        <v>191.36</v>
      </c>
      <c r="AE3889">
        <f t="shared" si="120"/>
        <v>615.93999999999994</v>
      </c>
      <c r="AF3889" t="str">
        <f t="shared" si="121"/>
        <v>2026-05</v>
      </c>
      <c r="AG3889">
        <f>SUBTOTAL(103,A3889)</f>
        <v>1</v>
      </c>
    </row>
    <row r="3890" spans="1:33" x14ac:dyDescent="0.3">
      <c r="A3890" t="s">
        <v>6513</v>
      </c>
      <c r="B3890" s="13">
        <v>46159</v>
      </c>
      <c r="C3890">
        <v>2026</v>
      </c>
      <c r="D3890">
        <v>5</v>
      </c>
      <c r="E3890" t="s">
        <v>3566</v>
      </c>
      <c r="F3890" t="s">
        <v>3329</v>
      </c>
      <c r="G3890" t="s">
        <v>1245</v>
      </c>
      <c r="H3890" t="s">
        <v>1246</v>
      </c>
      <c r="I3890" t="s">
        <v>86</v>
      </c>
      <c r="J3890">
        <v>43</v>
      </c>
      <c r="K3890" t="s">
        <v>82</v>
      </c>
      <c r="L3890" t="s">
        <v>2589</v>
      </c>
      <c r="M3890" t="s">
        <v>61</v>
      </c>
      <c r="N3890" t="s">
        <v>2601</v>
      </c>
      <c r="O3890" t="s">
        <v>117</v>
      </c>
      <c r="P3890" t="s">
        <v>49</v>
      </c>
      <c r="Q3890" t="s">
        <v>139</v>
      </c>
      <c r="R3890">
        <v>2</v>
      </c>
      <c r="S3890">
        <v>6999</v>
      </c>
      <c r="T3890">
        <v>0.05</v>
      </c>
      <c r="U3890">
        <v>13298.1</v>
      </c>
      <c r="V3890">
        <v>8600</v>
      </c>
      <c r="W3890">
        <v>4698.1000000000004</v>
      </c>
      <c r="X3890" t="s">
        <v>74</v>
      </c>
      <c r="Y3890" t="s">
        <v>68</v>
      </c>
      <c r="Z3890" t="s">
        <v>158</v>
      </c>
      <c r="AA3890" t="s">
        <v>170</v>
      </c>
      <c r="AB3890">
        <v>4.4000000000000004</v>
      </c>
      <c r="AC3890">
        <v>100</v>
      </c>
      <c r="AD3890">
        <v>621.91999999999996</v>
      </c>
      <c r="AE3890">
        <f t="shared" si="120"/>
        <v>3976.1800000000003</v>
      </c>
      <c r="AF3890" t="str">
        <f t="shared" si="121"/>
        <v>2026-05</v>
      </c>
      <c r="AG3890">
        <f>SUBTOTAL(103,A3890)</f>
        <v>1</v>
      </c>
    </row>
    <row r="3891" spans="1:33" x14ac:dyDescent="0.3">
      <c r="A3891" t="s">
        <v>6514</v>
      </c>
      <c r="B3891" s="13">
        <v>46159</v>
      </c>
      <c r="C3891">
        <v>2026</v>
      </c>
      <c r="D3891">
        <v>5</v>
      </c>
      <c r="E3891" t="s">
        <v>3566</v>
      </c>
      <c r="F3891" t="s">
        <v>3329</v>
      </c>
      <c r="G3891" t="s">
        <v>845</v>
      </c>
      <c r="H3891" t="s">
        <v>846</v>
      </c>
      <c r="I3891" t="s">
        <v>86</v>
      </c>
      <c r="J3891">
        <v>51</v>
      </c>
      <c r="K3891" t="s">
        <v>83</v>
      </c>
      <c r="L3891" t="s">
        <v>2576</v>
      </c>
      <c r="M3891" t="s">
        <v>60</v>
      </c>
      <c r="N3891" t="s">
        <v>2580</v>
      </c>
      <c r="O3891" t="s">
        <v>118</v>
      </c>
      <c r="P3891" t="s">
        <v>48</v>
      </c>
      <c r="Q3891" t="s">
        <v>142</v>
      </c>
      <c r="R3891">
        <v>3</v>
      </c>
      <c r="S3891">
        <v>3999</v>
      </c>
      <c r="T3891">
        <v>0.05</v>
      </c>
      <c r="U3891">
        <v>11397.15</v>
      </c>
      <c r="V3891">
        <v>7200</v>
      </c>
      <c r="W3891">
        <v>4197.1499999999996</v>
      </c>
      <c r="X3891" t="s">
        <v>75</v>
      </c>
      <c r="Y3891" t="s">
        <v>68</v>
      </c>
      <c r="Z3891" t="s">
        <v>159</v>
      </c>
      <c r="AA3891" t="s">
        <v>171</v>
      </c>
      <c r="AB3891">
        <v>4.3</v>
      </c>
      <c r="AC3891">
        <v>50</v>
      </c>
      <c r="AD3891">
        <v>1325.83</v>
      </c>
      <c r="AE3891">
        <f t="shared" si="120"/>
        <v>2821.3199999999997</v>
      </c>
      <c r="AF3891" t="str">
        <f t="shared" si="121"/>
        <v>2026-05</v>
      </c>
      <c r="AG3891">
        <f>SUBTOTAL(103,A3891)</f>
        <v>1</v>
      </c>
    </row>
    <row r="3892" spans="1:33" x14ac:dyDescent="0.3">
      <c r="A3892" t="s">
        <v>6515</v>
      </c>
      <c r="B3892" s="13">
        <v>46159</v>
      </c>
      <c r="C3892">
        <v>2026</v>
      </c>
      <c r="D3892">
        <v>5</v>
      </c>
      <c r="E3892" t="s">
        <v>3566</v>
      </c>
      <c r="F3892" t="s">
        <v>3329</v>
      </c>
      <c r="G3892" t="s">
        <v>595</v>
      </c>
      <c r="H3892" t="s">
        <v>596</v>
      </c>
      <c r="I3892" t="s">
        <v>85</v>
      </c>
      <c r="J3892">
        <v>57</v>
      </c>
      <c r="K3892" t="s">
        <v>83</v>
      </c>
      <c r="L3892" t="s">
        <v>59</v>
      </c>
      <c r="M3892" t="s">
        <v>59</v>
      </c>
      <c r="N3892" t="s">
        <v>2596</v>
      </c>
      <c r="O3892" t="s">
        <v>124</v>
      </c>
      <c r="P3892" t="s">
        <v>51</v>
      </c>
      <c r="Q3892" t="s">
        <v>147</v>
      </c>
      <c r="R3892">
        <v>3</v>
      </c>
      <c r="S3892">
        <v>2299</v>
      </c>
      <c r="T3892">
        <v>0.05</v>
      </c>
      <c r="U3892">
        <v>6552.15</v>
      </c>
      <c r="V3892">
        <v>3600</v>
      </c>
      <c r="W3892">
        <v>2952.15</v>
      </c>
      <c r="X3892" t="s">
        <v>73</v>
      </c>
      <c r="Y3892" t="s">
        <v>68</v>
      </c>
      <c r="Z3892" t="s">
        <v>159</v>
      </c>
      <c r="AA3892" t="s">
        <v>171</v>
      </c>
      <c r="AB3892">
        <v>4.4000000000000004</v>
      </c>
      <c r="AC3892">
        <v>50</v>
      </c>
      <c r="AD3892">
        <v>709.2</v>
      </c>
      <c r="AE3892">
        <f t="shared" si="120"/>
        <v>2192.9499999999998</v>
      </c>
      <c r="AF3892" t="str">
        <f t="shared" si="121"/>
        <v>2026-05</v>
      </c>
      <c r="AG3892">
        <f>SUBTOTAL(103,A3892)</f>
        <v>1</v>
      </c>
    </row>
    <row r="3893" spans="1:33" x14ac:dyDescent="0.3">
      <c r="A3893" t="s">
        <v>6516</v>
      </c>
      <c r="B3893" s="13">
        <v>46159</v>
      </c>
      <c r="C3893">
        <v>2026</v>
      </c>
      <c r="D3893">
        <v>5</v>
      </c>
      <c r="E3893" t="s">
        <v>3566</v>
      </c>
      <c r="F3893" t="s">
        <v>3329</v>
      </c>
      <c r="G3893" t="s">
        <v>1239</v>
      </c>
      <c r="H3893" t="s">
        <v>1240</v>
      </c>
      <c r="I3893" t="s">
        <v>85</v>
      </c>
      <c r="J3893">
        <v>26</v>
      </c>
      <c r="K3893" t="s">
        <v>81</v>
      </c>
      <c r="L3893" t="s">
        <v>2623</v>
      </c>
      <c r="M3893" t="s">
        <v>61</v>
      </c>
      <c r="N3893" t="s">
        <v>2657</v>
      </c>
      <c r="O3893" t="s">
        <v>134</v>
      </c>
      <c r="P3893" t="s">
        <v>49</v>
      </c>
      <c r="Q3893" t="s">
        <v>140</v>
      </c>
      <c r="R3893">
        <v>2</v>
      </c>
      <c r="S3893">
        <v>599</v>
      </c>
      <c r="T3893">
        <v>0.15</v>
      </c>
      <c r="U3893">
        <v>1018.3</v>
      </c>
      <c r="V3893">
        <v>500</v>
      </c>
      <c r="W3893">
        <v>518.29999999999995</v>
      </c>
      <c r="X3893" t="s">
        <v>75</v>
      </c>
      <c r="Y3893" t="s">
        <v>68</v>
      </c>
      <c r="Z3893" t="s">
        <v>159</v>
      </c>
      <c r="AA3893" t="s">
        <v>166</v>
      </c>
      <c r="AB3893">
        <v>4.5</v>
      </c>
      <c r="AC3893">
        <v>40</v>
      </c>
      <c r="AD3893">
        <v>90.48</v>
      </c>
      <c r="AE3893">
        <f t="shared" si="120"/>
        <v>387.81999999999994</v>
      </c>
      <c r="AF3893" t="str">
        <f t="shared" si="121"/>
        <v>2026-05</v>
      </c>
      <c r="AG3893">
        <f>SUBTOTAL(103,A3893)</f>
        <v>1</v>
      </c>
    </row>
    <row r="3894" spans="1:33" x14ac:dyDescent="0.3">
      <c r="A3894" t="s">
        <v>6517</v>
      </c>
      <c r="B3894" s="13">
        <v>46159</v>
      </c>
      <c r="C3894">
        <v>2026</v>
      </c>
      <c r="D3894">
        <v>5</v>
      </c>
      <c r="E3894" t="s">
        <v>3566</v>
      </c>
      <c r="F3894" t="s">
        <v>3329</v>
      </c>
      <c r="G3894" t="s">
        <v>259</v>
      </c>
      <c r="H3894" t="s">
        <v>260</v>
      </c>
      <c r="I3894" t="s">
        <v>86</v>
      </c>
      <c r="J3894">
        <v>31</v>
      </c>
      <c r="K3894" t="s">
        <v>81</v>
      </c>
      <c r="L3894" t="s">
        <v>2661</v>
      </c>
      <c r="M3894" t="s">
        <v>58</v>
      </c>
      <c r="N3894" t="s">
        <v>2587</v>
      </c>
      <c r="O3894" t="s">
        <v>116</v>
      </c>
      <c r="P3894" t="s">
        <v>48</v>
      </c>
      <c r="Q3894" t="s">
        <v>138</v>
      </c>
      <c r="R3894">
        <v>3</v>
      </c>
      <c r="S3894">
        <v>14999</v>
      </c>
      <c r="T3894">
        <v>0.05</v>
      </c>
      <c r="U3894">
        <v>42747.15</v>
      </c>
      <c r="V3894">
        <v>33600</v>
      </c>
      <c r="W3894">
        <v>9147.15</v>
      </c>
      <c r="X3894" t="s">
        <v>74</v>
      </c>
      <c r="Y3894" t="s">
        <v>68</v>
      </c>
      <c r="Z3894" t="s">
        <v>158</v>
      </c>
      <c r="AA3894" t="s">
        <v>166</v>
      </c>
      <c r="AB3894">
        <v>4</v>
      </c>
      <c r="AC3894">
        <v>80</v>
      </c>
      <c r="AD3894">
        <v>3120.34</v>
      </c>
      <c r="AE3894">
        <f t="shared" si="120"/>
        <v>5946.8099999999995</v>
      </c>
      <c r="AF3894" t="str">
        <f t="shared" si="121"/>
        <v>2026-05</v>
      </c>
      <c r="AG3894">
        <f>SUBTOTAL(103,A3894)</f>
        <v>1</v>
      </c>
    </row>
    <row r="3895" spans="1:33" x14ac:dyDescent="0.3">
      <c r="A3895" t="s">
        <v>6518</v>
      </c>
      <c r="B3895" s="13">
        <v>46159</v>
      </c>
      <c r="C3895">
        <v>2026</v>
      </c>
      <c r="D3895">
        <v>5</v>
      </c>
      <c r="E3895" t="s">
        <v>3566</v>
      </c>
      <c r="F3895" t="s">
        <v>3329</v>
      </c>
      <c r="G3895" t="s">
        <v>899</v>
      </c>
      <c r="H3895" t="s">
        <v>900</v>
      </c>
      <c r="I3895" t="s">
        <v>86</v>
      </c>
      <c r="J3895">
        <v>29</v>
      </c>
      <c r="K3895" t="s">
        <v>81</v>
      </c>
      <c r="L3895" t="s">
        <v>2623</v>
      </c>
      <c r="M3895" t="s">
        <v>61</v>
      </c>
      <c r="N3895" t="s">
        <v>2606</v>
      </c>
      <c r="O3895" t="s">
        <v>120</v>
      </c>
      <c r="P3895" t="s">
        <v>49</v>
      </c>
      <c r="Q3895" t="s">
        <v>140</v>
      </c>
      <c r="R3895">
        <v>2</v>
      </c>
      <c r="S3895">
        <v>2799</v>
      </c>
      <c r="T3895">
        <v>0.15</v>
      </c>
      <c r="U3895">
        <v>4758.3</v>
      </c>
      <c r="V3895">
        <v>3300</v>
      </c>
      <c r="W3895">
        <v>1458.3</v>
      </c>
      <c r="X3895" t="s">
        <v>75</v>
      </c>
      <c r="Y3895" t="s">
        <v>68</v>
      </c>
      <c r="Z3895" t="s">
        <v>159</v>
      </c>
      <c r="AA3895" t="s">
        <v>171</v>
      </c>
      <c r="AB3895">
        <v>3.9</v>
      </c>
      <c r="AC3895">
        <v>80</v>
      </c>
      <c r="AD3895">
        <v>212.75</v>
      </c>
      <c r="AE3895">
        <f t="shared" si="120"/>
        <v>1165.55</v>
      </c>
      <c r="AF3895" t="str">
        <f t="shared" si="121"/>
        <v>2026-05</v>
      </c>
      <c r="AG3895">
        <f>SUBTOTAL(103,A3895)</f>
        <v>1</v>
      </c>
    </row>
    <row r="3896" spans="1:33" x14ac:dyDescent="0.3">
      <c r="A3896" t="s">
        <v>6519</v>
      </c>
      <c r="B3896" s="13">
        <v>46159</v>
      </c>
      <c r="C3896">
        <v>2026</v>
      </c>
      <c r="D3896">
        <v>5</v>
      </c>
      <c r="E3896" t="s">
        <v>3566</v>
      </c>
      <c r="F3896" t="s">
        <v>3329</v>
      </c>
      <c r="G3896" t="s">
        <v>1035</v>
      </c>
      <c r="H3896" t="s">
        <v>1036</v>
      </c>
      <c r="I3896" t="s">
        <v>86</v>
      </c>
      <c r="J3896">
        <v>47</v>
      </c>
      <c r="K3896" t="s">
        <v>83</v>
      </c>
      <c r="L3896" t="s">
        <v>2586</v>
      </c>
      <c r="M3896" t="s">
        <v>62</v>
      </c>
      <c r="N3896" t="s">
        <v>2606</v>
      </c>
      <c r="O3896" t="s">
        <v>120</v>
      </c>
      <c r="P3896" t="s">
        <v>49</v>
      </c>
      <c r="Q3896" t="s">
        <v>140</v>
      </c>
      <c r="R3896">
        <v>1</v>
      </c>
      <c r="S3896">
        <v>2799</v>
      </c>
      <c r="T3896">
        <v>0</v>
      </c>
      <c r="U3896">
        <v>2799</v>
      </c>
      <c r="V3896">
        <v>1650</v>
      </c>
      <c r="W3896">
        <v>1149</v>
      </c>
      <c r="X3896" t="s">
        <v>73</v>
      </c>
      <c r="Y3896" t="s">
        <v>68</v>
      </c>
      <c r="Z3896" t="s">
        <v>162</v>
      </c>
      <c r="AA3896" t="s">
        <v>167</v>
      </c>
      <c r="AB3896">
        <v>3.3</v>
      </c>
      <c r="AC3896">
        <v>50</v>
      </c>
      <c r="AD3896">
        <v>219.49</v>
      </c>
      <c r="AE3896">
        <f t="shared" si="120"/>
        <v>879.51</v>
      </c>
      <c r="AF3896" t="str">
        <f t="shared" si="121"/>
        <v>2026-05</v>
      </c>
      <c r="AG3896">
        <f>SUBTOTAL(103,A3896)</f>
        <v>1</v>
      </c>
    </row>
    <row r="3897" spans="1:33" x14ac:dyDescent="0.3">
      <c r="A3897" t="s">
        <v>6520</v>
      </c>
      <c r="B3897" s="13">
        <v>46159</v>
      </c>
      <c r="C3897">
        <v>2026</v>
      </c>
      <c r="D3897">
        <v>5</v>
      </c>
      <c r="E3897" t="s">
        <v>3566</v>
      </c>
      <c r="F3897" t="s">
        <v>3329</v>
      </c>
      <c r="G3897" t="s">
        <v>867</v>
      </c>
      <c r="H3897" t="s">
        <v>868</v>
      </c>
      <c r="I3897" t="s">
        <v>86</v>
      </c>
      <c r="J3897">
        <v>34</v>
      </c>
      <c r="K3897" t="s">
        <v>81</v>
      </c>
      <c r="L3897" t="s">
        <v>98</v>
      </c>
      <c r="M3897" t="s">
        <v>55</v>
      </c>
      <c r="N3897" t="s">
        <v>2603</v>
      </c>
      <c r="O3897" t="s">
        <v>122</v>
      </c>
      <c r="P3897" t="s">
        <v>48</v>
      </c>
      <c r="Q3897" t="s">
        <v>141</v>
      </c>
      <c r="R3897">
        <v>5</v>
      </c>
      <c r="S3897">
        <v>2499</v>
      </c>
      <c r="T3897">
        <v>0.05</v>
      </c>
      <c r="U3897">
        <v>11870.25</v>
      </c>
      <c r="V3897">
        <v>7250</v>
      </c>
      <c r="W3897">
        <v>4620.25</v>
      </c>
      <c r="X3897" t="s">
        <v>74</v>
      </c>
      <c r="Y3897" t="s">
        <v>68</v>
      </c>
      <c r="Z3897" t="s">
        <v>160</v>
      </c>
      <c r="AA3897" t="s">
        <v>167</v>
      </c>
      <c r="AB3897">
        <v>4</v>
      </c>
      <c r="AC3897">
        <v>80</v>
      </c>
      <c r="AD3897">
        <v>818.31</v>
      </c>
      <c r="AE3897">
        <f t="shared" si="120"/>
        <v>3721.94</v>
      </c>
      <c r="AF3897" t="str">
        <f t="shared" si="121"/>
        <v>2026-05</v>
      </c>
      <c r="AG3897">
        <f>SUBTOTAL(103,A3897)</f>
        <v>1</v>
      </c>
    </row>
    <row r="3898" spans="1:33" x14ac:dyDescent="0.3">
      <c r="A3898" t="s">
        <v>6521</v>
      </c>
      <c r="B3898" s="13">
        <v>46159</v>
      </c>
      <c r="C3898">
        <v>2026</v>
      </c>
      <c r="D3898">
        <v>5</v>
      </c>
      <c r="E3898" t="s">
        <v>3566</v>
      </c>
      <c r="F3898" t="s">
        <v>3329</v>
      </c>
      <c r="G3898" t="s">
        <v>2499</v>
      </c>
      <c r="H3898" t="s">
        <v>2500</v>
      </c>
      <c r="I3898" t="s">
        <v>86</v>
      </c>
      <c r="J3898">
        <v>54</v>
      </c>
      <c r="K3898" t="s">
        <v>83</v>
      </c>
      <c r="L3898" t="s">
        <v>59</v>
      </c>
      <c r="M3898" t="s">
        <v>59</v>
      </c>
      <c r="N3898" t="s">
        <v>2653</v>
      </c>
      <c r="O3898" t="s">
        <v>132</v>
      </c>
      <c r="P3898" t="s">
        <v>52</v>
      </c>
      <c r="Q3898" t="s">
        <v>150</v>
      </c>
      <c r="R3898">
        <v>2</v>
      </c>
      <c r="S3898">
        <v>899</v>
      </c>
      <c r="T3898">
        <v>0.15</v>
      </c>
      <c r="U3898">
        <v>1528.3</v>
      </c>
      <c r="V3898">
        <v>840</v>
      </c>
      <c r="W3898">
        <v>688.3</v>
      </c>
      <c r="X3898" t="s">
        <v>75</v>
      </c>
      <c r="Y3898" t="s">
        <v>68</v>
      </c>
      <c r="Z3898" t="s">
        <v>160</v>
      </c>
      <c r="AA3898" t="s">
        <v>168</v>
      </c>
      <c r="AB3898">
        <v>3.8</v>
      </c>
      <c r="AC3898">
        <v>80</v>
      </c>
      <c r="AD3898">
        <v>152.33000000000001</v>
      </c>
      <c r="AE3898">
        <f t="shared" si="120"/>
        <v>455.96999999999991</v>
      </c>
      <c r="AF3898" t="str">
        <f t="shared" si="121"/>
        <v>2026-05</v>
      </c>
      <c r="AG3898">
        <f>SUBTOTAL(103,A3898)</f>
        <v>1</v>
      </c>
    </row>
    <row r="3899" spans="1:33" x14ac:dyDescent="0.3">
      <c r="A3899" t="s">
        <v>6522</v>
      </c>
      <c r="B3899" s="13">
        <v>46159</v>
      </c>
      <c r="C3899">
        <v>2026</v>
      </c>
      <c r="D3899">
        <v>5</v>
      </c>
      <c r="E3899" t="s">
        <v>3566</v>
      </c>
      <c r="F3899" t="s">
        <v>3329</v>
      </c>
      <c r="G3899" t="s">
        <v>1019</v>
      </c>
      <c r="H3899" t="s">
        <v>1020</v>
      </c>
      <c r="I3899" t="s">
        <v>86</v>
      </c>
      <c r="J3899">
        <v>41</v>
      </c>
      <c r="K3899" t="s">
        <v>82</v>
      </c>
      <c r="L3899" t="s">
        <v>90</v>
      </c>
      <c r="M3899" t="s">
        <v>55</v>
      </c>
      <c r="N3899" t="s">
        <v>2590</v>
      </c>
      <c r="O3899" t="s">
        <v>127</v>
      </c>
      <c r="P3899" t="s">
        <v>51</v>
      </c>
      <c r="Q3899" t="s">
        <v>148</v>
      </c>
      <c r="R3899">
        <v>1</v>
      </c>
      <c r="S3899">
        <v>1599</v>
      </c>
      <c r="T3899">
        <v>0.15</v>
      </c>
      <c r="U3899">
        <v>1359.15</v>
      </c>
      <c r="V3899">
        <v>800</v>
      </c>
      <c r="W3899">
        <v>559.15</v>
      </c>
      <c r="X3899" t="s">
        <v>74</v>
      </c>
      <c r="Y3899" t="s">
        <v>68</v>
      </c>
      <c r="Z3899" t="s">
        <v>159</v>
      </c>
      <c r="AA3899" t="s">
        <v>166</v>
      </c>
      <c r="AB3899">
        <v>4.8</v>
      </c>
      <c r="AC3899">
        <v>80</v>
      </c>
      <c r="AD3899">
        <v>73.94</v>
      </c>
      <c r="AE3899">
        <f t="shared" si="120"/>
        <v>405.21</v>
      </c>
      <c r="AF3899" t="str">
        <f t="shared" si="121"/>
        <v>2026-05</v>
      </c>
      <c r="AG3899">
        <f>SUBTOTAL(103,A3899)</f>
        <v>1</v>
      </c>
    </row>
    <row r="3900" spans="1:33" x14ac:dyDescent="0.3">
      <c r="A3900" t="s">
        <v>6523</v>
      </c>
      <c r="B3900" s="13">
        <v>46159</v>
      </c>
      <c r="C3900">
        <v>2026</v>
      </c>
      <c r="D3900">
        <v>5</v>
      </c>
      <c r="E3900" t="s">
        <v>3566</v>
      </c>
      <c r="F3900" t="s">
        <v>3329</v>
      </c>
      <c r="G3900" t="s">
        <v>1535</v>
      </c>
      <c r="H3900" t="s">
        <v>1536</v>
      </c>
      <c r="I3900" t="s">
        <v>85</v>
      </c>
      <c r="J3900">
        <v>59</v>
      </c>
      <c r="K3900" t="s">
        <v>83</v>
      </c>
      <c r="L3900" t="s">
        <v>2599</v>
      </c>
      <c r="M3900" t="s">
        <v>62</v>
      </c>
      <c r="N3900" t="s">
        <v>2665</v>
      </c>
      <c r="O3900" t="s">
        <v>128</v>
      </c>
      <c r="P3900" t="s">
        <v>53</v>
      </c>
      <c r="Q3900" t="s">
        <v>143</v>
      </c>
      <c r="R3900">
        <v>1</v>
      </c>
      <c r="S3900">
        <v>1499</v>
      </c>
      <c r="T3900">
        <v>0.1</v>
      </c>
      <c r="U3900">
        <v>1349.1</v>
      </c>
      <c r="V3900">
        <v>800</v>
      </c>
      <c r="W3900">
        <v>549.1</v>
      </c>
      <c r="X3900" t="s">
        <v>73</v>
      </c>
      <c r="Y3900" t="s">
        <v>68</v>
      </c>
      <c r="Z3900" t="s">
        <v>158</v>
      </c>
      <c r="AA3900" t="s">
        <v>170</v>
      </c>
      <c r="AB3900">
        <v>4.2</v>
      </c>
      <c r="AC3900">
        <v>100</v>
      </c>
      <c r="AD3900">
        <v>27.5</v>
      </c>
      <c r="AE3900">
        <f t="shared" si="120"/>
        <v>421.6</v>
      </c>
      <c r="AF3900" t="str">
        <f t="shared" si="121"/>
        <v>2026-05</v>
      </c>
      <c r="AG3900">
        <f>SUBTOTAL(103,A3900)</f>
        <v>1</v>
      </c>
    </row>
    <row r="3901" spans="1:33" x14ac:dyDescent="0.3">
      <c r="A3901" t="s">
        <v>6524</v>
      </c>
      <c r="B3901" s="13">
        <v>46159</v>
      </c>
      <c r="C3901">
        <v>2026</v>
      </c>
      <c r="D3901">
        <v>5</v>
      </c>
      <c r="E3901" t="s">
        <v>3566</v>
      </c>
      <c r="F3901" t="s">
        <v>3329</v>
      </c>
      <c r="G3901" t="s">
        <v>547</v>
      </c>
      <c r="H3901" t="s">
        <v>548</v>
      </c>
      <c r="I3901" t="s">
        <v>85</v>
      </c>
      <c r="J3901">
        <v>34</v>
      </c>
      <c r="K3901" t="s">
        <v>81</v>
      </c>
      <c r="L3901" t="s">
        <v>91</v>
      </c>
      <c r="M3901" t="s">
        <v>55</v>
      </c>
      <c r="N3901" t="s">
        <v>2580</v>
      </c>
      <c r="O3901" t="s">
        <v>118</v>
      </c>
      <c r="P3901" t="s">
        <v>48</v>
      </c>
      <c r="Q3901" t="s">
        <v>142</v>
      </c>
      <c r="R3901">
        <v>1</v>
      </c>
      <c r="S3901">
        <v>3999</v>
      </c>
      <c r="T3901">
        <v>0.15</v>
      </c>
      <c r="U3901">
        <v>3399.15</v>
      </c>
      <c r="V3901">
        <v>2400</v>
      </c>
      <c r="W3901">
        <v>999.15</v>
      </c>
      <c r="X3901" t="s">
        <v>73</v>
      </c>
      <c r="Y3901" t="s">
        <v>68</v>
      </c>
      <c r="Z3901" t="s">
        <v>159</v>
      </c>
      <c r="AA3901" t="s">
        <v>167</v>
      </c>
      <c r="AB3901">
        <v>4.2</v>
      </c>
      <c r="AC3901">
        <v>60</v>
      </c>
      <c r="AD3901">
        <v>366.75</v>
      </c>
      <c r="AE3901">
        <f t="shared" si="120"/>
        <v>572.4</v>
      </c>
      <c r="AF3901" t="str">
        <f t="shared" si="121"/>
        <v>2026-05</v>
      </c>
      <c r="AG3901">
        <f>SUBTOTAL(103,A3901)</f>
        <v>1</v>
      </c>
    </row>
    <row r="3902" spans="1:33" x14ac:dyDescent="0.3">
      <c r="A3902" t="s">
        <v>6525</v>
      </c>
      <c r="B3902" s="13">
        <v>46159</v>
      </c>
      <c r="C3902">
        <v>2026</v>
      </c>
      <c r="D3902">
        <v>5</v>
      </c>
      <c r="E3902" t="s">
        <v>3566</v>
      </c>
      <c r="F3902" t="s">
        <v>3329</v>
      </c>
      <c r="G3902" t="s">
        <v>859</v>
      </c>
      <c r="H3902" t="s">
        <v>860</v>
      </c>
      <c r="I3902" t="s">
        <v>86</v>
      </c>
      <c r="J3902">
        <v>45</v>
      </c>
      <c r="K3902" t="s">
        <v>82</v>
      </c>
      <c r="L3902" t="s">
        <v>99</v>
      </c>
      <c r="M3902" t="s">
        <v>58</v>
      </c>
      <c r="N3902" t="s">
        <v>2584</v>
      </c>
      <c r="O3902" t="s">
        <v>121</v>
      </c>
      <c r="P3902" t="s">
        <v>50</v>
      </c>
      <c r="Q3902" t="s">
        <v>144</v>
      </c>
      <c r="R3902">
        <v>2</v>
      </c>
      <c r="S3902">
        <v>2999</v>
      </c>
      <c r="T3902">
        <v>0.05</v>
      </c>
      <c r="U3902">
        <v>5698.1</v>
      </c>
      <c r="V3902">
        <v>3400</v>
      </c>
      <c r="W3902">
        <v>2298.1</v>
      </c>
      <c r="X3902" t="s">
        <v>73</v>
      </c>
      <c r="Y3902" t="s">
        <v>69</v>
      </c>
      <c r="Z3902" t="s">
        <v>161</v>
      </c>
      <c r="AA3902" t="s">
        <v>166</v>
      </c>
      <c r="AB3902">
        <v>4.3</v>
      </c>
      <c r="AC3902">
        <v>40</v>
      </c>
      <c r="AD3902">
        <v>372.47</v>
      </c>
      <c r="AE3902">
        <f t="shared" si="120"/>
        <v>1885.6299999999999</v>
      </c>
      <c r="AF3902" t="str">
        <f t="shared" si="121"/>
        <v>2026-05</v>
      </c>
      <c r="AG3902">
        <f>SUBTOTAL(103,A3902)</f>
        <v>1</v>
      </c>
    </row>
    <row r="3903" spans="1:33" x14ac:dyDescent="0.3">
      <c r="A3903" t="s">
        <v>6526</v>
      </c>
      <c r="B3903" s="13">
        <v>46159</v>
      </c>
      <c r="C3903">
        <v>2026</v>
      </c>
      <c r="D3903">
        <v>5</v>
      </c>
      <c r="E3903" t="s">
        <v>3566</v>
      </c>
      <c r="F3903" t="s">
        <v>3329</v>
      </c>
      <c r="G3903" t="s">
        <v>1729</v>
      </c>
      <c r="H3903" t="s">
        <v>1730</v>
      </c>
      <c r="I3903" t="s">
        <v>86</v>
      </c>
      <c r="J3903">
        <v>26</v>
      </c>
      <c r="K3903" t="s">
        <v>81</v>
      </c>
      <c r="L3903" t="s">
        <v>90</v>
      </c>
      <c r="M3903" t="s">
        <v>55</v>
      </c>
      <c r="N3903" t="s">
        <v>2601</v>
      </c>
      <c r="O3903" t="s">
        <v>117</v>
      </c>
      <c r="P3903" t="s">
        <v>49</v>
      </c>
      <c r="Q3903" t="s">
        <v>139</v>
      </c>
      <c r="R3903">
        <v>1</v>
      </c>
      <c r="S3903">
        <v>6999</v>
      </c>
      <c r="T3903">
        <v>0.2</v>
      </c>
      <c r="U3903">
        <v>5599.2</v>
      </c>
      <c r="V3903">
        <v>4300</v>
      </c>
      <c r="W3903">
        <v>1299.2</v>
      </c>
      <c r="X3903" t="s">
        <v>74</v>
      </c>
      <c r="Y3903" t="s">
        <v>68</v>
      </c>
      <c r="Z3903" t="s">
        <v>158</v>
      </c>
      <c r="AA3903" t="s">
        <v>168</v>
      </c>
      <c r="AB3903">
        <v>4.5999999999999996</v>
      </c>
      <c r="AC3903">
        <v>50</v>
      </c>
      <c r="AD3903">
        <v>612.85</v>
      </c>
      <c r="AE3903">
        <f t="shared" si="120"/>
        <v>636.35</v>
      </c>
      <c r="AF3903" t="str">
        <f t="shared" si="121"/>
        <v>2026-05</v>
      </c>
      <c r="AG3903">
        <f>SUBTOTAL(103,A3903)</f>
        <v>1</v>
      </c>
    </row>
    <row r="3904" spans="1:33" x14ac:dyDescent="0.3">
      <c r="A3904" t="s">
        <v>6527</v>
      </c>
      <c r="B3904" s="13">
        <v>46160</v>
      </c>
      <c r="C3904">
        <v>2026</v>
      </c>
      <c r="D3904">
        <v>5</v>
      </c>
      <c r="E3904" t="s">
        <v>3566</v>
      </c>
      <c r="F3904" t="s">
        <v>3329</v>
      </c>
      <c r="G3904" t="s">
        <v>295</v>
      </c>
      <c r="H3904" t="s">
        <v>296</v>
      </c>
      <c r="I3904" t="s">
        <v>85</v>
      </c>
      <c r="J3904">
        <v>34</v>
      </c>
      <c r="K3904" t="s">
        <v>81</v>
      </c>
      <c r="L3904" t="s">
        <v>2674</v>
      </c>
      <c r="M3904" t="s">
        <v>58</v>
      </c>
      <c r="N3904" t="s">
        <v>2592</v>
      </c>
      <c r="O3904" t="s">
        <v>115</v>
      </c>
      <c r="P3904" t="s">
        <v>48</v>
      </c>
      <c r="Q3904" t="s">
        <v>137</v>
      </c>
      <c r="R3904">
        <v>1</v>
      </c>
      <c r="S3904">
        <v>12999</v>
      </c>
      <c r="T3904">
        <v>0.1</v>
      </c>
      <c r="U3904">
        <v>11699.1</v>
      </c>
      <c r="V3904">
        <v>9000</v>
      </c>
      <c r="W3904">
        <v>2699.1</v>
      </c>
      <c r="X3904" t="s">
        <v>73</v>
      </c>
      <c r="Y3904" t="s">
        <v>68</v>
      </c>
      <c r="Z3904" t="s">
        <v>158</v>
      </c>
      <c r="AA3904" t="s">
        <v>168</v>
      </c>
      <c r="AB3904">
        <v>3.8</v>
      </c>
      <c r="AC3904">
        <v>100</v>
      </c>
      <c r="AD3904">
        <v>1398.2</v>
      </c>
      <c r="AE3904">
        <f t="shared" si="120"/>
        <v>1200.8999999999999</v>
      </c>
      <c r="AF3904" t="str">
        <f t="shared" si="121"/>
        <v>2026-05</v>
      </c>
      <c r="AG3904">
        <f>SUBTOTAL(103,A3904)</f>
        <v>1</v>
      </c>
    </row>
    <row r="3905" spans="1:33" x14ac:dyDescent="0.3">
      <c r="A3905" t="s">
        <v>6528</v>
      </c>
      <c r="B3905" s="13">
        <v>46160</v>
      </c>
      <c r="C3905">
        <v>2026</v>
      </c>
      <c r="D3905">
        <v>5</v>
      </c>
      <c r="E3905" t="s">
        <v>3566</v>
      </c>
      <c r="F3905" t="s">
        <v>3329</v>
      </c>
      <c r="G3905" t="s">
        <v>401</v>
      </c>
      <c r="H3905" t="s">
        <v>402</v>
      </c>
      <c r="I3905" t="s">
        <v>86</v>
      </c>
      <c r="J3905">
        <v>48</v>
      </c>
      <c r="K3905" t="s">
        <v>83</v>
      </c>
      <c r="L3905" t="s">
        <v>2579</v>
      </c>
      <c r="M3905" t="s">
        <v>56</v>
      </c>
      <c r="N3905" t="s">
        <v>2592</v>
      </c>
      <c r="O3905" t="s">
        <v>115</v>
      </c>
      <c r="P3905" t="s">
        <v>48</v>
      </c>
      <c r="Q3905" t="s">
        <v>137</v>
      </c>
      <c r="R3905">
        <v>4</v>
      </c>
      <c r="S3905">
        <v>12999</v>
      </c>
      <c r="T3905">
        <v>0.15</v>
      </c>
      <c r="U3905">
        <v>44196.6</v>
      </c>
      <c r="V3905">
        <v>36000</v>
      </c>
      <c r="W3905">
        <v>8196.6</v>
      </c>
      <c r="X3905" t="s">
        <v>73</v>
      </c>
      <c r="Y3905" t="s">
        <v>68</v>
      </c>
      <c r="Z3905" t="s">
        <v>163</v>
      </c>
      <c r="AA3905" t="s">
        <v>168</v>
      </c>
      <c r="AB3905">
        <v>4.5999999999999996</v>
      </c>
      <c r="AC3905">
        <v>60</v>
      </c>
      <c r="AD3905">
        <v>941.26</v>
      </c>
      <c r="AE3905">
        <f t="shared" si="120"/>
        <v>7195.34</v>
      </c>
      <c r="AF3905" t="str">
        <f t="shared" si="121"/>
        <v>2026-05</v>
      </c>
      <c r="AG3905">
        <f>SUBTOTAL(103,A3905)</f>
        <v>1</v>
      </c>
    </row>
    <row r="3906" spans="1:33" x14ac:dyDescent="0.3">
      <c r="A3906" t="s">
        <v>6529</v>
      </c>
      <c r="B3906" s="13">
        <v>46160</v>
      </c>
      <c r="C3906">
        <v>2026</v>
      </c>
      <c r="D3906">
        <v>5</v>
      </c>
      <c r="E3906" t="s">
        <v>3566</v>
      </c>
      <c r="F3906" t="s">
        <v>3329</v>
      </c>
      <c r="G3906" t="s">
        <v>957</v>
      </c>
      <c r="H3906" t="s">
        <v>958</v>
      </c>
      <c r="I3906" t="s">
        <v>86</v>
      </c>
      <c r="J3906">
        <v>60</v>
      </c>
      <c r="K3906" t="s">
        <v>83</v>
      </c>
      <c r="L3906" t="s">
        <v>2687</v>
      </c>
      <c r="M3906" t="s">
        <v>57</v>
      </c>
      <c r="N3906" t="s">
        <v>2577</v>
      </c>
      <c r="O3906" t="s">
        <v>129</v>
      </c>
      <c r="P3906" t="s">
        <v>49</v>
      </c>
      <c r="Q3906" t="s">
        <v>149</v>
      </c>
      <c r="R3906">
        <v>2</v>
      </c>
      <c r="S3906">
        <v>1299</v>
      </c>
      <c r="T3906">
        <v>0</v>
      </c>
      <c r="U3906">
        <v>2598</v>
      </c>
      <c r="V3906">
        <v>1300</v>
      </c>
      <c r="W3906">
        <v>1298</v>
      </c>
      <c r="X3906" t="s">
        <v>76</v>
      </c>
      <c r="Y3906" t="s">
        <v>68</v>
      </c>
      <c r="Z3906" t="s">
        <v>158</v>
      </c>
      <c r="AA3906" t="s">
        <v>168</v>
      </c>
      <c r="AB3906">
        <v>4.5</v>
      </c>
      <c r="AC3906">
        <v>100</v>
      </c>
      <c r="AD3906">
        <v>250.03</v>
      </c>
      <c r="AE3906">
        <f t="shared" ref="AE3906:AE3969" si="122">W3906-AC3906-AD3906</f>
        <v>947.97</v>
      </c>
      <c r="AF3906" t="str">
        <f t="shared" ref="AF3906:AF3969" si="123">C3906&amp;"-"&amp;TEXT(D3906,"00")</f>
        <v>2026-05</v>
      </c>
      <c r="AG3906">
        <f>SUBTOTAL(103,A3906)</f>
        <v>1</v>
      </c>
    </row>
    <row r="3907" spans="1:33" x14ac:dyDescent="0.3">
      <c r="A3907" t="s">
        <v>6530</v>
      </c>
      <c r="B3907" s="13">
        <v>46160</v>
      </c>
      <c r="C3907">
        <v>2026</v>
      </c>
      <c r="D3907">
        <v>5</v>
      </c>
      <c r="E3907" t="s">
        <v>3566</v>
      </c>
      <c r="F3907" t="s">
        <v>3329</v>
      </c>
      <c r="G3907" t="s">
        <v>1833</v>
      </c>
      <c r="H3907" t="s">
        <v>1834</v>
      </c>
      <c r="I3907" t="s">
        <v>85</v>
      </c>
      <c r="J3907">
        <v>30</v>
      </c>
      <c r="K3907" t="s">
        <v>81</v>
      </c>
      <c r="L3907" t="s">
        <v>94</v>
      </c>
      <c r="M3907" t="s">
        <v>57</v>
      </c>
      <c r="N3907" t="s">
        <v>2574</v>
      </c>
      <c r="O3907" t="s">
        <v>130</v>
      </c>
      <c r="P3907" t="s">
        <v>50</v>
      </c>
      <c r="Q3907" t="s">
        <v>53</v>
      </c>
      <c r="R3907">
        <v>5</v>
      </c>
      <c r="S3907">
        <v>1199</v>
      </c>
      <c r="T3907">
        <v>0.1</v>
      </c>
      <c r="U3907">
        <v>5395.5</v>
      </c>
      <c r="V3907">
        <v>2750</v>
      </c>
      <c r="W3907">
        <v>2645.5</v>
      </c>
      <c r="X3907" t="s">
        <v>76</v>
      </c>
      <c r="Y3907" t="s">
        <v>68</v>
      </c>
      <c r="Z3907" t="s">
        <v>160</v>
      </c>
      <c r="AA3907" t="s">
        <v>170</v>
      </c>
      <c r="AB3907">
        <v>3.5</v>
      </c>
      <c r="AC3907">
        <v>80</v>
      </c>
      <c r="AD3907">
        <v>341.92</v>
      </c>
      <c r="AE3907">
        <f t="shared" si="122"/>
        <v>2223.58</v>
      </c>
      <c r="AF3907" t="str">
        <f t="shared" si="123"/>
        <v>2026-05</v>
      </c>
      <c r="AG3907">
        <f>SUBTOTAL(103,A3907)</f>
        <v>1</v>
      </c>
    </row>
    <row r="3908" spans="1:33" x14ac:dyDescent="0.3">
      <c r="A3908" t="s">
        <v>6531</v>
      </c>
      <c r="B3908" s="13">
        <v>46160</v>
      </c>
      <c r="C3908">
        <v>2026</v>
      </c>
      <c r="D3908">
        <v>5</v>
      </c>
      <c r="E3908" t="s">
        <v>3566</v>
      </c>
      <c r="F3908" t="s">
        <v>3329</v>
      </c>
      <c r="G3908" t="s">
        <v>239</v>
      </c>
      <c r="H3908" t="s">
        <v>240</v>
      </c>
      <c r="I3908" t="s">
        <v>85</v>
      </c>
      <c r="J3908">
        <v>43</v>
      </c>
      <c r="K3908" t="s">
        <v>82</v>
      </c>
      <c r="L3908" t="s">
        <v>2579</v>
      </c>
      <c r="M3908" t="s">
        <v>56</v>
      </c>
      <c r="N3908" t="s">
        <v>2647</v>
      </c>
      <c r="O3908" t="s">
        <v>133</v>
      </c>
      <c r="P3908" t="s">
        <v>50</v>
      </c>
      <c r="Q3908" t="s">
        <v>145</v>
      </c>
      <c r="R3908">
        <v>1</v>
      </c>
      <c r="S3908">
        <v>799</v>
      </c>
      <c r="T3908">
        <v>0.15</v>
      </c>
      <c r="U3908">
        <v>679.15</v>
      </c>
      <c r="V3908">
        <v>390</v>
      </c>
      <c r="W3908">
        <v>289.14999999999998</v>
      </c>
      <c r="X3908" t="s">
        <v>76</v>
      </c>
      <c r="Y3908" t="s">
        <v>68</v>
      </c>
      <c r="Z3908" t="s">
        <v>163</v>
      </c>
      <c r="AA3908" t="s">
        <v>171</v>
      </c>
      <c r="AB3908">
        <v>3.2</v>
      </c>
      <c r="AC3908">
        <v>60</v>
      </c>
      <c r="AD3908">
        <v>25.28</v>
      </c>
      <c r="AE3908">
        <f t="shared" si="122"/>
        <v>203.86999999999998</v>
      </c>
      <c r="AF3908" t="str">
        <f t="shared" si="123"/>
        <v>2026-05</v>
      </c>
      <c r="AG3908">
        <f>SUBTOTAL(103,A3908)</f>
        <v>1</v>
      </c>
    </row>
    <row r="3909" spans="1:33" x14ac:dyDescent="0.3">
      <c r="A3909" t="s">
        <v>6532</v>
      </c>
      <c r="B3909" s="13">
        <v>46160</v>
      </c>
      <c r="C3909">
        <v>2026</v>
      </c>
      <c r="D3909">
        <v>5</v>
      </c>
      <c r="E3909" t="s">
        <v>3566</v>
      </c>
      <c r="F3909" t="s">
        <v>3329</v>
      </c>
      <c r="G3909" t="s">
        <v>1381</v>
      </c>
      <c r="H3909" t="s">
        <v>1382</v>
      </c>
      <c r="I3909" t="s">
        <v>85</v>
      </c>
      <c r="J3909">
        <v>25</v>
      </c>
      <c r="K3909" t="s">
        <v>80</v>
      </c>
      <c r="L3909" t="s">
        <v>92</v>
      </c>
      <c r="M3909" t="s">
        <v>59</v>
      </c>
      <c r="N3909" t="s">
        <v>2590</v>
      </c>
      <c r="O3909" t="s">
        <v>127</v>
      </c>
      <c r="P3909" t="s">
        <v>51</v>
      </c>
      <c r="Q3909" t="s">
        <v>148</v>
      </c>
      <c r="R3909">
        <v>4</v>
      </c>
      <c r="S3909">
        <v>1599</v>
      </c>
      <c r="T3909">
        <v>0.1</v>
      </c>
      <c r="U3909">
        <v>5756.4</v>
      </c>
      <c r="V3909">
        <v>3200</v>
      </c>
      <c r="W3909">
        <v>2556.4</v>
      </c>
      <c r="X3909" t="s">
        <v>74</v>
      </c>
      <c r="Y3909" t="s">
        <v>68</v>
      </c>
      <c r="Z3909" t="s">
        <v>161</v>
      </c>
      <c r="AA3909" t="s">
        <v>168</v>
      </c>
      <c r="AB3909">
        <v>5</v>
      </c>
      <c r="AC3909">
        <v>60</v>
      </c>
      <c r="AD3909">
        <v>614.66</v>
      </c>
      <c r="AE3909">
        <f t="shared" si="122"/>
        <v>1881.7400000000002</v>
      </c>
      <c r="AF3909" t="str">
        <f t="shared" si="123"/>
        <v>2026-05</v>
      </c>
      <c r="AG3909">
        <f>SUBTOTAL(103,A3909)</f>
        <v>1</v>
      </c>
    </row>
    <row r="3910" spans="1:33" x14ac:dyDescent="0.3">
      <c r="A3910" t="s">
        <v>6533</v>
      </c>
      <c r="B3910" s="13">
        <v>46160</v>
      </c>
      <c r="C3910">
        <v>2026</v>
      </c>
      <c r="D3910">
        <v>5</v>
      </c>
      <c r="E3910" t="s">
        <v>3566</v>
      </c>
      <c r="F3910" t="s">
        <v>3329</v>
      </c>
      <c r="G3910" t="s">
        <v>277</v>
      </c>
      <c r="H3910" t="s">
        <v>278</v>
      </c>
      <c r="I3910" t="s">
        <v>85</v>
      </c>
      <c r="J3910">
        <v>59</v>
      </c>
      <c r="K3910" t="s">
        <v>83</v>
      </c>
      <c r="L3910" t="s">
        <v>2576</v>
      </c>
      <c r="M3910" t="s">
        <v>60</v>
      </c>
      <c r="N3910" t="s">
        <v>2592</v>
      </c>
      <c r="O3910" t="s">
        <v>115</v>
      </c>
      <c r="P3910" t="s">
        <v>48</v>
      </c>
      <c r="Q3910" t="s">
        <v>137</v>
      </c>
      <c r="R3910">
        <v>4</v>
      </c>
      <c r="S3910">
        <v>12999</v>
      </c>
      <c r="T3910">
        <v>0.15</v>
      </c>
      <c r="U3910">
        <v>44196.6</v>
      </c>
      <c r="V3910">
        <v>36000</v>
      </c>
      <c r="W3910">
        <v>8196.6</v>
      </c>
      <c r="X3910" t="s">
        <v>73</v>
      </c>
      <c r="Y3910" t="s">
        <v>69</v>
      </c>
      <c r="Z3910" t="s">
        <v>160</v>
      </c>
      <c r="AA3910" t="s">
        <v>168</v>
      </c>
      <c r="AB3910">
        <v>4.5999999999999996</v>
      </c>
      <c r="AC3910">
        <v>60</v>
      </c>
      <c r="AD3910">
        <v>2792.05</v>
      </c>
      <c r="AE3910">
        <f t="shared" si="122"/>
        <v>5344.55</v>
      </c>
      <c r="AF3910" t="str">
        <f t="shared" si="123"/>
        <v>2026-05</v>
      </c>
      <c r="AG3910">
        <f>SUBTOTAL(103,A3910)</f>
        <v>1</v>
      </c>
    </row>
    <row r="3911" spans="1:33" x14ac:dyDescent="0.3">
      <c r="A3911" t="s">
        <v>6534</v>
      </c>
      <c r="B3911" s="13">
        <v>46160</v>
      </c>
      <c r="C3911">
        <v>2026</v>
      </c>
      <c r="D3911">
        <v>5</v>
      </c>
      <c r="E3911" t="s">
        <v>3566</v>
      </c>
      <c r="F3911" t="s">
        <v>3329</v>
      </c>
      <c r="G3911" t="s">
        <v>1821</v>
      </c>
      <c r="H3911" t="s">
        <v>1822</v>
      </c>
      <c r="I3911" t="s">
        <v>85</v>
      </c>
      <c r="J3911">
        <v>36</v>
      </c>
      <c r="K3911" t="s">
        <v>82</v>
      </c>
      <c r="L3911" t="s">
        <v>2623</v>
      </c>
      <c r="M3911" t="s">
        <v>61</v>
      </c>
      <c r="N3911" t="s">
        <v>2577</v>
      </c>
      <c r="O3911" t="s">
        <v>129</v>
      </c>
      <c r="P3911" t="s">
        <v>49</v>
      </c>
      <c r="Q3911" t="s">
        <v>149</v>
      </c>
      <c r="R3911">
        <v>1</v>
      </c>
      <c r="S3911">
        <v>1299</v>
      </c>
      <c r="T3911">
        <v>0.05</v>
      </c>
      <c r="U3911">
        <v>1234.05</v>
      </c>
      <c r="V3911">
        <v>650</v>
      </c>
      <c r="W3911">
        <v>584.04999999999995</v>
      </c>
      <c r="X3911" t="s">
        <v>73</v>
      </c>
      <c r="Y3911" t="s">
        <v>68</v>
      </c>
      <c r="Z3911" t="s">
        <v>160</v>
      </c>
      <c r="AA3911" t="s">
        <v>167</v>
      </c>
      <c r="AB3911">
        <v>4.2</v>
      </c>
      <c r="AC3911">
        <v>60</v>
      </c>
      <c r="AD3911">
        <v>77.84</v>
      </c>
      <c r="AE3911">
        <f t="shared" si="122"/>
        <v>446.20999999999992</v>
      </c>
      <c r="AF3911" t="str">
        <f t="shared" si="123"/>
        <v>2026-05</v>
      </c>
      <c r="AG3911">
        <f>SUBTOTAL(103,A3911)</f>
        <v>1</v>
      </c>
    </row>
    <row r="3912" spans="1:33" x14ac:dyDescent="0.3">
      <c r="A3912" t="s">
        <v>6535</v>
      </c>
      <c r="B3912" s="13">
        <v>46160</v>
      </c>
      <c r="C3912">
        <v>2026</v>
      </c>
      <c r="D3912">
        <v>5</v>
      </c>
      <c r="E3912" t="s">
        <v>3566</v>
      </c>
      <c r="F3912" t="s">
        <v>3329</v>
      </c>
      <c r="G3912" t="s">
        <v>239</v>
      </c>
      <c r="H3912" t="s">
        <v>240</v>
      </c>
      <c r="I3912" t="s">
        <v>85</v>
      </c>
      <c r="J3912">
        <v>43</v>
      </c>
      <c r="K3912" t="s">
        <v>82</v>
      </c>
      <c r="L3912" t="s">
        <v>2579</v>
      </c>
      <c r="M3912" t="s">
        <v>56</v>
      </c>
      <c r="N3912" t="s">
        <v>2601</v>
      </c>
      <c r="O3912" t="s">
        <v>117</v>
      </c>
      <c r="P3912" t="s">
        <v>49</v>
      </c>
      <c r="Q3912" t="s">
        <v>139</v>
      </c>
      <c r="R3912">
        <v>5</v>
      </c>
      <c r="S3912">
        <v>6999</v>
      </c>
      <c r="T3912">
        <v>0.1</v>
      </c>
      <c r="U3912">
        <v>31495.5</v>
      </c>
      <c r="V3912">
        <v>21500</v>
      </c>
      <c r="W3912">
        <v>9995.5</v>
      </c>
      <c r="X3912" t="s">
        <v>73</v>
      </c>
      <c r="Y3912" t="s">
        <v>68</v>
      </c>
      <c r="Z3912" t="s">
        <v>163</v>
      </c>
      <c r="AA3912" t="s">
        <v>166</v>
      </c>
      <c r="AB3912">
        <v>3.3</v>
      </c>
      <c r="AC3912">
        <v>120</v>
      </c>
      <c r="AD3912">
        <v>2483.7800000000002</v>
      </c>
      <c r="AE3912">
        <f t="shared" si="122"/>
        <v>7391.7199999999993</v>
      </c>
      <c r="AF3912" t="str">
        <f t="shared" si="123"/>
        <v>2026-05</v>
      </c>
      <c r="AG3912">
        <f>SUBTOTAL(103,A3912)</f>
        <v>1</v>
      </c>
    </row>
    <row r="3913" spans="1:33" x14ac:dyDescent="0.3">
      <c r="A3913" t="s">
        <v>6536</v>
      </c>
      <c r="B3913" s="13">
        <v>46160</v>
      </c>
      <c r="C3913">
        <v>2026</v>
      </c>
      <c r="D3913">
        <v>5</v>
      </c>
      <c r="E3913" t="s">
        <v>3566</v>
      </c>
      <c r="F3913" t="s">
        <v>3329</v>
      </c>
      <c r="G3913" t="s">
        <v>1109</v>
      </c>
      <c r="H3913" t="s">
        <v>1110</v>
      </c>
      <c r="I3913" t="s">
        <v>86</v>
      </c>
      <c r="J3913">
        <v>32</v>
      </c>
      <c r="K3913" t="s">
        <v>81</v>
      </c>
      <c r="L3913" t="s">
        <v>2661</v>
      </c>
      <c r="M3913" t="s">
        <v>58</v>
      </c>
      <c r="N3913" t="s">
        <v>2580</v>
      </c>
      <c r="O3913" t="s">
        <v>118</v>
      </c>
      <c r="P3913" t="s">
        <v>48</v>
      </c>
      <c r="Q3913" t="s">
        <v>142</v>
      </c>
      <c r="R3913">
        <v>2</v>
      </c>
      <c r="S3913">
        <v>3999</v>
      </c>
      <c r="T3913">
        <v>0.1</v>
      </c>
      <c r="U3913">
        <v>7198.2</v>
      </c>
      <c r="V3913">
        <v>4800</v>
      </c>
      <c r="W3913">
        <v>2398.1999999999998</v>
      </c>
      <c r="X3913" t="s">
        <v>75</v>
      </c>
      <c r="Y3913" t="s">
        <v>68</v>
      </c>
      <c r="Z3913" t="s">
        <v>161</v>
      </c>
      <c r="AA3913" t="s">
        <v>167</v>
      </c>
      <c r="AB3913">
        <v>2.7</v>
      </c>
      <c r="AC3913">
        <v>120</v>
      </c>
      <c r="AD3913">
        <v>278</v>
      </c>
      <c r="AE3913">
        <f t="shared" si="122"/>
        <v>2000.1999999999998</v>
      </c>
      <c r="AF3913" t="str">
        <f t="shared" si="123"/>
        <v>2026-05</v>
      </c>
      <c r="AG3913">
        <f>SUBTOTAL(103,A3913)</f>
        <v>1</v>
      </c>
    </row>
    <row r="3914" spans="1:33" x14ac:dyDescent="0.3">
      <c r="A3914" t="s">
        <v>6537</v>
      </c>
      <c r="B3914" s="13">
        <v>46160</v>
      </c>
      <c r="C3914">
        <v>2026</v>
      </c>
      <c r="D3914">
        <v>5</v>
      </c>
      <c r="E3914" t="s">
        <v>3566</v>
      </c>
      <c r="F3914" t="s">
        <v>3329</v>
      </c>
      <c r="G3914" t="s">
        <v>233</v>
      </c>
      <c r="H3914" t="s">
        <v>234</v>
      </c>
      <c r="I3914" t="s">
        <v>86</v>
      </c>
      <c r="J3914">
        <v>55</v>
      </c>
      <c r="K3914" t="s">
        <v>83</v>
      </c>
      <c r="L3914" t="s">
        <v>90</v>
      </c>
      <c r="M3914" t="s">
        <v>55</v>
      </c>
      <c r="N3914" t="s">
        <v>2584</v>
      </c>
      <c r="O3914" t="s">
        <v>121</v>
      </c>
      <c r="P3914" t="s">
        <v>50</v>
      </c>
      <c r="Q3914" t="s">
        <v>144</v>
      </c>
      <c r="R3914">
        <v>5</v>
      </c>
      <c r="S3914">
        <v>2999</v>
      </c>
      <c r="T3914">
        <v>0</v>
      </c>
      <c r="U3914">
        <v>14995</v>
      </c>
      <c r="V3914">
        <v>8500</v>
      </c>
      <c r="W3914">
        <v>6495</v>
      </c>
      <c r="X3914" t="s">
        <v>73</v>
      </c>
      <c r="Y3914" t="s">
        <v>68</v>
      </c>
      <c r="Z3914" t="s">
        <v>163</v>
      </c>
      <c r="AA3914" t="s">
        <v>169</v>
      </c>
      <c r="AB3914">
        <v>5</v>
      </c>
      <c r="AC3914">
        <v>80</v>
      </c>
      <c r="AD3914">
        <v>1658.53</v>
      </c>
      <c r="AE3914">
        <f t="shared" si="122"/>
        <v>4756.47</v>
      </c>
      <c r="AF3914" t="str">
        <f t="shared" si="123"/>
        <v>2026-05</v>
      </c>
      <c r="AG3914">
        <f>SUBTOTAL(103,A3914)</f>
        <v>1</v>
      </c>
    </row>
    <row r="3915" spans="1:33" x14ac:dyDescent="0.3">
      <c r="A3915" t="s">
        <v>6538</v>
      </c>
      <c r="B3915" s="13">
        <v>46160</v>
      </c>
      <c r="C3915">
        <v>2026</v>
      </c>
      <c r="D3915">
        <v>5</v>
      </c>
      <c r="E3915" t="s">
        <v>3566</v>
      </c>
      <c r="F3915" t="s">
        <v>3329</v>
      </c>
      <c r="G3915" t="s">
        <v>683</v>
      </c>
      <c r="H3915" t="s">
        <v>684</v>
      </c>
      <c r="I3915" t="s">
        <v>86</v>
      </c>
      <c r="J3915">
        <v>42</v>
      </c>
      <c r="K3915" t="s">
        <v>82</v>
      </c>
      <c r="L3915" t="s">
        <v>59</v>
      </c>
      <c r="M3915" t="s">
        <v>59</v>
      </c>
      <c r="N3915" t="s">
        <v>2601</v>
      </c>
      <c r="O3915" t="s">
        <v>117</v>
      </c>
      <c r="P3915" t="s">
        <v>49</v>
      </c>
      <c r="Q3915" t="s">
        <v>139</v>
      </c>
      <c r="R3915">
        <v>4</v>
      </c>
      <c r="S3915">
        <v>6999</v>
      </c>
      <c r="T3915">
        <v>0.15</v>
      </c>
      <c r="U3915">
        <v>23796.6</v>
      </c>
      <c r="V3915">
        <v>17200</v>
      </c>
      <c r="W3915">
        <v>6596.6</v>
      </c>
      <c r="X3915" t="s">
        <v>74</v>
      </c>
      <c r="Y3915" t="s">
        <v>68</v>
      </c>
      <c r="Z3915" t="s">
        <v>163</v>
      </c>
      <c r="AA3915" t="s">
        <v>170</v>
      </c>
      <c r="AB3915">
        <v>4.3</v>
      </c>
      <c r="AC3915">
        <v>60</v>
      </c>
      <c r="AD3915">
        <v>1664.15</v>
      </c>
      <c r="AE3915">
        <f t="shared" si="122"/>
        <v>4872.4500000000007</v>
      </c>
      <c r="AF3915" t="str">
        <f t="shared" si="123"/>
        <v>2026-05</v>
      </c>
      <c r="AG3915">
        <f>SUBTOTAL(103,A3915)</f>
        <v>1</v>
      </c>
    </row>
    <row r="3916" spans="1:33" x14ac:dyDescent="0.3">
      <c r="A3916" t="s">
        <v>6539</v>
      </c>
      <c r="B3916" s="13">
        <v>46160</v>
      </c>
      <c r="C3916">
        <v>2026</v>
      </c>
      <c r="D3916">
        <v>5</v>
      </c>
      <c r="E3916" t="s">
        <v>3566</v>
      </c>
      <c r="F3916" t="s">
        <v>3329</v>
      </c>
      <c r="G3916" t="s">
        <v>857</v>
      </c>
      <c r="H3916" t="s">
        <v>858</v>
      </c>
      <c r="I3916" t="s">
        <v>86</v>
      </c>
      <c r="J3916">
        <v>54</v>
      </c>
      <c r="K3916" t="s">
        <v>83</v>
      </c>
      <c r="L3916" t="s">
        <v>95</v>
      </c>
      <c r="M3916" t="s">
        <v>56</v>
      </c>
      <c r="N3916" t="s">
        <v>2584</v>
      </c>
      <c r="O3916" t="s">
        <v>121</v>
      </c>
      <c r="P3916" t="s">
        <v>50</v>
      </c>
      <c r="Q3916" t="s">
        <v>144</v>
      </c>
      <c r="R3916">
        <v>1</v>
      </c>
      <c r="S3916">
        <v>2999</v>
      </c>
      <c r="T3916">
        <v>0.1</v>
      </c>
      <c r="U3916">
        <v>2699.1</v>
      </c>
      <c r="V3916">
        <v>1700</v>
      </c>
      <c r="W3916">
        <v>999.1</v>
      </c>
      <c r="X3916" t="s">
        <v>75</v>
      </c>
      <c r="Y3916" t="s">
        <v>68</v>
      </c>
      <c r="Z3916" t="s">
        <v>161</v>
      </c>
      <c r="AA3916" t="s">
        <v>166</v>
      </c>
      <c r="AB3916">
        <v>4.5999999999999996</v>
      </c>
      <c r="AC3916">
        <v>60</v>
      </c>
      <c r="AD3916">
        <v>54.43</v>
      </c>
      <c r="AE3916">
        <f t="shared" si="122"/>
        <v>884.67000000000007</v>
      </c>
      <c r="AF3916" t="str">
        <f t="shared" si="123"/>
        <v>2026-05</v>
      </c>
      <c r="AG3916">
        <f>SUBTOTAL(103,A3916)</f>
        <v>1</v>
      </c>
    </row>
    <row r="3917" spans="1:33" x14ac:dyDescent="0.3">
      <c r="A3917" t="s">
        <v>6540</v>
      </c>
      <c r="B3917" s="13">
        <v>46160</v>
      </c>
      <c r="C3917">
        <v>2026</v>
      </c>
      <c r="D3917">
        <v>5</v>
      </c>
      <c r="E3917" t="s">
        <v>3566</v>
      </c>
      <c r="F3917" t="s">
        <v>3329</v>
      </c>
      <c r="G3917" t="s">
        <v>2347</v>
      </c>
      <c r="H3917" t="s">
        <v>2348</v>
      </c>
      <c r="I3917" t="s">
        <v>85</v>
      </c>
      <c r="J3917">
        <v>26</v>
      </c>
      <c r="K3917" t="s">
        <v>81</v>
      </c>
      <c r="L3917" t="s">
        <v>90</v>
      </c>
      <c r="M3917" t="s">
        <v>55</v>
      </c>
      <c r="N3917" t="s">
        <v>2653</v>
      </c>
      <c r="O3917" t="s">
        <v>132</v>
      </c>
      <c r="P3917" t="s">
        <v>52</v>
      </c>
      <c r="Q3917" t="s">
        <v>150</v>
      </c>
      <c r="R3917">
        <v>1</v>
      </c>
      <c r="S3917">
        <v>899</v>
      </c>
      <c r="T3917">
        <v>0</v>
      </c>
      <c r="U3917">
        <v>899</v>
      </c>
      <c r="V3917">
        <v>420</v>
      </c>
      <c r="W3917">
        <v>479</v>
      </c>
      <c r="X3917" t="s">
        <v>75</v>
      </c>
      <c r="Y3917" t="s">
        <v>68</v>
      </c>
      <c r="Z3917" t="s">
        <v>159</v>
      </c>
      <c r="AA3917" t="s">
        <v>168</v>
      </c>
      <c r="AB3917">
        <v>3.9</v>
      </c>
      <c r="AC3917">
        <v>50</v>
      </c>
      <c r="AD3917">
        <v>89.74</v>
      </c>
      <c r="AE3917">
        <f t="shared" si="122"/>
        <v>339.26</v>
      </c>
      <c r="AF3917" t="str">
        <f t="shared" si="123"/>
        <v>2026-05</v>
      </c>
      <c r="AG3917">
        <f>SUBTOTAL(103,A3917)</f>
        <v>1</v>
      </c>
    </row>
    <row r="3918" spans="1:33" x14ac:dyDescent="0.3">
      <c r="A3918" t="s">
        <v>6541</v>
      </c>
      <c r="B3918" s="13">
        <v>46160</v>
      </c>
      <c r="C3918">
        <v>2026</v>
      </c>
      <c r="D3918">
        <v>5</v>
      </c>
      <c r="E3918" t="s">
        <v>3566</v>
      </c>
      <c r="F3918" t="s">
        <v>3329</v>
      </c>
      <c r="G3918" t="s">
        <v>977</v>
      </c>
      <c r="H3918" t="s">
        <v>978</v>
      </c>
      <c r="I3918" t="s">
        <v>85</v>
      </c>
      <c r="J3918">
        <v>23</v>
      </c>
      <c r="K3918" t="s">
        <v>80</v>
      </c>
      <c r="L3918" t="s">
        <v>2679</v>
      </c>
      <c r="M3918" t="s">
        <v>60</v>
      </c>
      <c r="N3918" t="s">
        <v>2584</v>
      </c>
      <c r="O3918" t="s">
        <v>121</v>
      </c>
      <c r="P3918" t="s">
        <v>50</v>
      </c>
      <c r="Q3918" t="s">
        <v>144</v>
      </c>
      <c r="R3918">
        <v>1</v>
      </c>
      <c r="S3918">
        <v>2999</v>
      </c>
      <c r="T3918">
        <v>0.15</v>
      </c>
      <c r="U3918">
        <v>2549.15</v>
      </c>
      <c r="V3918">
        <v>1700</v>
      </c>
      <c r="W3918">
        <v>849.15</v>
      </c>
      <c r="X3918" t="s">
        <v>77</v>
      </c>
      <c r="Y3918" t="s">
        <v>68</v>
      </c>
      <c r="Z3918" t="s">
        <v>161</v>
      </c>
      <c r="AA3918" t="s">
        <v>167</v>
      </c>
      <c r="AB3918">
        <v>4.0999999999999996</v>
      </c>
      <c r="AC3918">
        <v>80</v>
      </c>
      <c r="AD3918">
        <v>54.42</v>
      </c>
      <c r="AE3918">
        <f t="shared" si="122"/>
        <v>714.73</v>
      </c>
      <c r="AF3918" t="str">
        <f t="shared" si="123"/>
        <v>2026-05</v>
      </c>
      <c r="AG3918">
        <f>SUBTOTAL(103,A3918)</f>
        <v>1</v>
      </c>
    </row>
    <row r="3919" spans="1:33" x14ac:dyDescent="0.3">
      <c r="A3919" t="s">
        <v>6542</v>
      </c>
      <c r="B3919" s="13">
        <v>46160</v>
      </c>
      <c r="C3919">
        <v>2026</v>
      </c>
      <c r="D3919">
        <v>5</v>
      </c>
      <c r="E3919" t="s">
        <v>3566</v>
      </c>
      <c r="F3919" t="s">
        <v>3329</v>
      </c>
      <c r="G3919" t="s">
        <v>763</v>
      </c>
      <c r="H3919" t="s">
        <v>764</v>
      </c>
      <c r="I3919" t="s">
        <v>85</v>
      </c>
      <c r="J3919">
        <v>58</v>
      </c>
      <c r="K3919" t="s">
        <v>83</v>
      </c>
      <c r="L3919" t="s">
        <v>2634</v>
      </c>
      <c r="M3919" t="s">
        <v>56</v>
      </c>
      <c r="N3919" t="s">
        <v>2582</v>
      </c>
      <c r="O3919" t="s">
        <v>119</v>
      </c>
      <c r="P3919" t="s">
        <v>49</v>
      </c>
      <c r="Q3919" t="s">
        <v>140</v>
      </c>
      <c r="R3919">
        <v>4</v>
      </c>
      <c r="S3919">
        <v>3499</v>
      </c>
      <c r="T3919">
        <v>0.05</v>
      </c>
      <c r="U3919">
        <v>13296.2</v>
      </c>
      <c r="V3919">
        <v>8400</v>
      </c>
      <c r="W3919">
        <v>4896.2</v>
      </c>
      <c r="X3919" t="s">
        <v>76</v>
      </c>
      <c r="Y3919" t="s">
        <v>68</v>
      </c>
      <c r="Z3919" t="s">
        <v>159</v>
      </c>
      <c r="AA3919" t="s">
        <v>166</v>
      </c>
      <c r="AB3919">
        <v>4.5999999999999996</v>
      </c>
      <c r="AC3919">
        <v>80</v>
      </c>
      <c r="AD3919">
        <v>1284.26</v>
      </c>
      <c r="AE3919">
        <f t="shared" si="122"/>
        <v>3531.9399999999996</v>
      </c>
      <c r="AF3919" t="str">
        <f t="shared" si="123"/>
        <v>2026-05</v>
      </c>
      <c r="AG3919">
        <f>SUBTOTAL(103,A3919)</f>
        <v>1</v>
      </c>
    </row>
    <row r="3920" spans="1:33" x14ac:dyDescent="0.3">
      <c r="A3920" t="s">
        <v>6543</v>
      </c>
      <c r="B3920" s="13">
        <v>46161</v>
      </c>
      <c r="C3920">
        <v>2026</v>
      </c>
      <c r="D3920">
        <v>5</v>
      </c>
      <c r="E3920" t="s">
        <v>3566</v>
      </c>
      <c r="F3920" t="s">
        <v>3329</v>
      </c>
      <c r="G3920" t="s">
        <v>2437</v>
      </c>
      <c r="H3920" t="s">
        <v>2438</v>
      </c>
      <c r="I3920" t="s">
        <v>86</v>
      </c>
      <c r="J3920">
        <v>49</v>
      </c>
      <c r="K3920" t="s">
        <v>83</v>
      </c>
      <c r="L3920" t="s">
        <v>2599</v>
      </c>
      <c r="M3920" t="s">
        <v>62</v>
      </c>
      <c r="N3920" t="s">
        <v>2653</v>
      </c>
      <c r="O3920" t="s">
        <v>132</v>
      </c>
      <c r="P3920" t="s">
        <v>52</v>
      </c>
      <c r="Q3920" t="s">
        <v>150</v>
      </c>
      <c r="R3920">
        <v>1</v>
      </c>
      <c r="S3920">
        <v>899</v>
      </c>
      <c r="T3920">
        <v>0.05</v>
      </c>
      <c r="U3920">
        <v>854.05</v>
      </c>
      <c r="V3920">
        <v>420</v>
      </c>
      <c r="W3920">
        <v>434.05</v>
      </c>
      <c r="X3920" t="s">
        <v>74</v>
      </c>
      <c r="Y3920" t="s">
        <v>68</v>
      </c>
      <c r="Z3920" t="s">
        <v>161</v>
      </c>
      <c r="AA3920" t="s">
        <v>166</v>
      </c>
      <c r="AB3920">
        <v>3.1</v>
      </c>
      <c r="AC3920">
        <v>50</v>
      </c>
      <c r="AD3920">
        <v>31.09</v>
      </c>
      <c r="AE3920">
        <f t="shared" si="122"/>
        <v>352.96000000000004</v>
      </c>
      <c r="AF3920" t="str">
        <f t="shared" si="123"/>
        <v>2026-05</v>
      </c>
      <c r="AG3920">
        <f>SUBTOTAL(103,A3920)</f>
        <v>1</v>
      </c>
    </row>
    <row r="3921" spans="1:33" x14ac:dyDescent="0.3">
      <c r="A3921" t="s">
        <v>6544</v>
      </c>
      <c r="B3921" s="13">
        <v>46161</v>
      </c>
      <c r="C3921">
        <v>2026</v>
      </c>
      <c r="D3921">
        <v>5</v>
      </c>
      <c r="E3921" t="s">
        <v>3566</v>
      </c>
      <c r="F3921" t="s">
        <v>3329</v>
      </c>
      <c r="G3921" t="s">
        <v>197</v>
      </c>
      <c r="H3921" t="s">
        <v>198</v>
      </c>
      <c r="I3921" t="s">
        <v>86</v>
      </c>
      <c r="J3921">
        <v>57</v>
      </c>
      <c r="K3921" t="s">
        <v>83</v>
      </c>
      <c r="L3921" t="s">
        <v>2690</v>
      </c>
      <c r="M3921" t="s">
        <v>63</v>
      </c>
      <c r="N3921" t="s">
        <v>2580</v>
      </c>
      <c r="O3921" t="s">
        <v>118</v>
      </c>
      <c r="P3921" t="s">
        <v>48</v>
      </c>
      <c r="Q3921" t="s">
        <v>142</v>
      </c>
      <c r="R3921">
        <v>1</v>
      </c>
      <c r="S3921">
        <v>3999</v>
      </c>
      <c r="T3921">
        <v>0.15</v>
      </c>
      <c r="U3921">
        <v>3399.15</v>
      </c>
      <c r="V3921">
        <v>2400</v>
      </c>
      <c r="W3921">
        <v>999.15</v>
      </c>
      <c r="X3921" t="s">
        <v>74</v>
      </c>
      <c r="Y3921" t="s">
        <v>68</v>
      </c>
      <c r="Z3921" t="s">
        <v>158</v>
      </c>
      <c r="AA3921" t="s">
        <v>166</v>
      </c>
      <c r="AB3921">
        <v>4.5</v>
      </c>
      <c r="AC3921">
        <v>40</v>
      </c>
      <c r="AD3921">
        <v>246.83</v>
      </c>
      <c r="AE3921">
        <f t="shared" si="122"/>
        <v>712.31999999999994</v>
      </c>
      <c r="AF3921" t="str">
        <f t="shared" si="123"/>
        <v>2026-05</v>
      </c>
      <c r="AG3921">
        <f>SUBTOTAL(103,A3921)</f>
        <v>1</v>
      </c>
    </row>
    <row r="3922" spans="1:33" x14ac:dyDescent="0.3">
      <c r="A3922" t="s">
        <v>6545</v>
      </c>
      <c r="B3922" s="13">
        <v>46161</v>
      </c>
      <c r="C3922">
        <v>2026</v>
      </c>
      <c r="D3922">
        <v>5</v>
      </c>
      <c r="E3922" t="s">
        <v>3566</v>
      </c>
      <c r="F3922" t="s">
        <v>3329</v>
      </c>
      <c r="G3922" t="s">
        <v>1077</v>
      </c>
      <c r="H3922" t="s">
        <v>1078</v>
      </c>
      <c r="I3922" t="s">
        <v>86</v>
      </c>
      <c r="J3922">
        <v>40</v>
      </c>
      <c r="K3922" t="s">
        <v>82</v>
      </c>
      <c r="L3922" t="s">
        <v>2589</v>
      </c>
      <c r="M3922" t="s">
        <v>61</v>
      </c>
      <c r="N3922" t="s">
        <v>2587</v>
      </c>
      <c r="O3922" t="s">
        <v>116</v>
      </c>
      <c r="P3922" t="s">
        <v>48</v>
      </c>
      <c r="Q3922" t="s">
        <v>138</v>
      </c>
      <c r="R3922">
        <v>1</v>
      </c>
      <c r="S3922">
        <v>14999</v>
      </c>
      <c r="T3922">
        <v>0.05</v>
      </c>
      <c r="U3922">
        <v>14249.05</v>
      </c>
      <c r="V3922">
        <v>11200</v>
      </c>
      <c r="W3922">
        <v>3049.05</v>
      </c>
      <c r="X3922" t="s">
        <v>74</v>
      </c>
      <c r="Y3922" t="s">
        <v>68</v>
      </c>
      <c r="Z3922" t="s">
        <v>163</v>
      </c>
      <c r="AA3922" t="s">
        <v>166</v>
      </c>
      <c r="AB3922">
        <v>5</v>
      </c>
      <c r="AC3922">
        <v>60</v>
      </c>
      <c r="AD3922">
        <v>788.73</v>
      </c>
      <c r="AE3922">
        <f t="shared" si="122"/>
        <v>2200.3200000000002</v>
      </c>
      <c r="AF3922" t="str">
        <f t="shared" si="123"/>
        <v>2026-05</v>
      </c>
      <c r="AG3922">
        <f>SUBTOTAL(103,A3922)</f>
        <v>1</v>
      </c>
    </row>
    <row r="3923" spans="1:33" x14ac:dyDescent="0.3">
      <c r="A3923" t="s">
        <v>6546</v>
      </c>
      <c r="B3923" s="13">
        <v>46161</v>
      </c>
      <c r="C3923">
        <v>2026</v>
      </c>
      <c r="D3923">
        <v>5</v>
      </c>
      <c r="E3923" t="s">
        <v>3566</v>
      </c>
      <c r="F3923" t="s">
        <v>3329</v>
      </c>
      <c r="G3923" t="s">
        <v>1469</v>
      </c>
      <c r="H3923" t="s">
        <v>1470</v>
      </c>
      <c r="I3923" t="s">
        <v>86</v>
      </c>
      <c r="J3923">
        <v>41</v>
      </c>
      <c r="K3923" t="s">
        <v>82</v>
      </c>
      <c r="L3923" t="s">
        <v>2687</v>
      </c>
      <c r="M3923" t="s">
        <v>57</v>
      </c>
      <c r="N3923" t="s">
        <v>2577</v>
      </c>
      <c r="O3923" t="s">
        <v>129</v>
      </c>
      <c r="P3923" t="s">
        <v>49</v>
      </c>
      <c r="Q3923" t="s">
        <v>149</v>
      </c>
      <c r="R3923">
        <v>1</v>
      </c>
      <c r="S3923">
        <v>1299</v>
      </c>
      <c r="T3923">
        <v>0.1</v>
      </c>
      <c r="U3923">
        <v>1169.0999999999999</v>
      </c>
      <c r="V3923">
        <v>650</v>
      </c>
      <c r="W3923">
        <v>519.1</v>
      </c>
      <c r="X3923" t="s">
        <v>74</v>
      </c>
      <c r="Y3923" t="s">
        <v>68</v>
      </c>
      <c r="Z3923" t="s">
        <v>163</v>
      </c>
      <c r="AA3923" t="s">
        <v>170</v>
      </c>
      <c r="AB3923">
        <v>4.3</v>
      </c>
      <c r="AC3923">
        <v>60</v>
      </c>
      <c r="AD3923">
        <v>109.73</v>
      </c>
      <c r="AE3923">
        <f t="shared" si="122"/>
        <v>349.37</v>
      </c>
      <c r="AF3923" t="str">
        <f t="shared" si="123"/>
        <v>2026-05</v>
      </c>
      <c r="AG3923">
        <f>SUBTOTAL(103,A3923)</f>
        <v>1</v>
      </c>
    </row>
    <row r="3924" spans="1:33" x14ac:dyDescent="0.3">
      <c r="A3924" t="s">
        <v>6547</v>
      </c>
      <c r="B3924" s="13">
        <v>46161</v>
      </c>
      <c r="C3924">
        <v>2026</v>
      </c>
      <c r="D3924">
        <v>5</v>
      </c>
      <c r="E3924" t="s">
        <v>3566</v>
      </c>
      <c r="F3924" t="s">
        <v>3329</v>
      </c>
      <c r="G3924" t="s">
        <v>2017</v>
      </c>
      <c r="H3924" t="s">
        <v>2018</v>
      </c>
      <c r="I3924" t="s">
        <v>86</v>
      </c>
      <c r="J3924">
        <v>23</v>
      </c>
      <c r="K3924" t="s">
        <v>80</v>
      </c>
      <c r="L3924" t="s">
        <v>2637</v>
      </c>
      <c r="M3924" t="s">
        <v>64</v>
      </c>
      <c r="N3924" t="s">
        <v>2577</v>
      </c>
      <c r="O3924" t="s">
        <v>129</v>
      </c>
      <c r="P3924" t="s">
        <v>49</v>
      </c>
      <c r="Q3924" t="s">
        <v>149</v>
      </c>
      <c r="R3924">
        <v>5</v>
      </c>
      <c r="S3924">
        <v>1299</v>
      </c>
      <c r="T3924">
        <v>0</v>
      </c>
      <c r="U3924">
        <v>6495</v>
      </c>
      <c r="V3924">
        <v>3250</v>
      </c>
      <c r="W3924">
        <v>3245</v>
      </c>
      <c r="X3924" t="s">
        <v>76</v>
      </c>
      <c r="Y3924" t="s">
        <v>69</v>
      </c>
      <c r="Z3924" t="s">
        <v>159</v>
      </c>
      <c r="AA3924" t="s">
        <v>168</v>
      </c>
      <c r="AB3924">
        <v>5</v>
      </c>
      <c r="AC3924">
        <v>50</v>
      </c>
      <c r="AD3924">
        <v>420.9</v>
      </c>
      <c r="AE3924">
        <f t="shared" si="122"/>
        <v>2774.1</v>
      </c>
      <c r="AF3924" t="str">
        <f t="shared" si="123"/>
        <v>2026-05</v>
      </c>
      <c r="AG3924">
        <f>SUBTOTAL(103,A3924)</f>
        <v>1</v>
      </c>
    </row>
    <row r="3925" spans="1:33" x14ac:dyDescent="0.3">
      <c r="A3925" t="s">
        <v>6548</v>
      </c>
      <c r="B3925" s="13">
        <v>46161</v>
      </c>
      <c r="C3925">
        <v>2026</v>
      </c>
      <c r="D3925">
        <v>5</v>
      </c>
      <c r="E3925" t="s">
        <v>3566</v>
      </c>
      <c r="F3925" t="s">
        <v>3329</v>
      </c>
      <c r="G3925" t="s">
        <v>1081</v>
      </c>
      <c r="H3925" t="s">
        <v>1082</v>
      </c>
      <c r="I3925" t="s">
        <v>85</v>
      </c>
      <c r="J3925">
        <v>50</v>
      </c>
      <c r="K3925" t="s">
        <v>83</v>
      </c>
      <c r="L3925" t="s">
        <v>92</v>
      </c>
      <c r="M3925" t="s">
        <v>59</v>
      </c>
      <c r="N3925" t="s">
        <v>2587</v>
      </c>
      <c r="O3925" t="s">
        <v>116</v>
      </c>
      <c r="P3925" t="s">
        <v>48</v>
      </c>
      <c r="Q3925" t="s">
        <v>138</v>
      </c>
      <c r="R3925">
        <v>1</v>
      </c>
      <c r="S3925">
        <v>14999</v>
      </c>
      <c r="T3925">
        <v>0.1</v>
      </c>
      <c r="U3925">
        <v>13499.1</v>
      </c>
      <c r="V3925">
        <v>11200</v>
      </c>
      <c r="W3925">
        <v>2299.1</v>
      </c>
      <c r="X3925" t="s">
        <v>77</v>
      </c>
      <c r="Y3925" t="s">
        <v>68</v>
      </c>
      <c r="Z3925" t="s">
        <v>160</v>
      </c>
      <c r="AA3925" t="s">
        <v>167</v>
      </c>
      <c r="AB3925">
        <v>4</v>
      </c>
      <c r="AC3925">
        <v>40</v>
      </c>
      <c r="AD3925">
        <v>1287.71</v>
      </c>
      <c r="AE3925">
        <f t="shared" si="122"/>
        <v>971.38999999999987</v>
      </c>
      <c r="AF3925" t="str">
        <f t="shared" si="123"/>
        <v>2026-05</v>
      </c>
      <c r="AG3925">
        <f>SUBTOTAL(103,A3925)</f>
        <v>1</v>
      </c>
    </row>
    <row r="3926" spans="1:33" x14ac:dyDescent="0.3">
      <c r="A3926" t="s">
        <v>6549</v>
      </c>
      <c r="B3926" s="13">
        <v>46162</v>
      </c>
      <c r="C3926">
        <v>2026</v>
      </c>
      <c r="D3926">
        <v>5</v>
      </c>
      <c r="E3926" t="s">
        <v>3566</v>
      </c>
      <c r="F3926" t="s">
        <v>3329</v>
      </c>
      <c r="G3926" t="s">
        <v>1529</v>
      </c>
      <c r="H3926" t="s">
        <v>1530</v>
      </c>
      <c r="I3926" t="s">
        <v>85</v>
      </c>
      <c r="J3926">
        <v>55</v>
      </c>
      <c r="K3926" t="s">
        <v>83</v>
      </c>
      <c r="L3926" t="s">
        <v>2586</v>
      </c>
      <c r="M3926" t="s">
        <v>62</v>
      </c>
      <c r="N3926" t="s">
        <v>2603</v>
      </c>
      <c r="O3926" t="s">
        <v>122</v>
      </c>
      <c r="P3926" t="s">
        <v>48</v>
      </c>
      <c r="Q3926" t="s">
        <v>141</v>
      </c>
      <c r="R3926">
        <v>1</v>
      </c>
      <c r="S3926">
        <v>2499</v>
      </c>
      <c r="T3926">
        <v>0.05</v>
      </c>
      <c r="U3926">
        <v>2374.0500000000002</v>
      </c>
      <c r="V3926">
        <v>1450</v>
      </c>
      <c r="W3926">
        <v>924.05</v>
      </c>
      <c r="X3926" t="s">
        <v>77</v>
      </c>
      <c r="Y3926" t="s">
        <v>68</v>
      </c>
      <c r="Z3926" t="s">
        <v>163</v>
      </c>
      <c r="AA3926" t="s">
        <v>166</v>
      </c>
      <c r="AB3926">
        <v>4.4000000000000004</v>
      </c>
      <c r="AC3926">
        <v>100</v>
      </c>
      <c r="AD3926">
        <v>219.61</v>
      </c>
      <c r="AE3926">
        <f t="shared" si="122"/>
        <v>604.43999999999994</v>
      </c>
      <c r="AF3926" t="str">
        <f t="shared" si="123"/>
        <v>2026-05</v>
      </c>
      <c r="AG3926">
        <f>SUBTOTAL(103,A3926)</f>
        <v>1</v>
      </c>
    </row>
    <row r="3927" spans="1:33" x14ac:dyDescent="0.3">
      <c r="A3927" t="s">
        <v>6550</v>
      </c>
      <c r="B3927" s="13">
        <v>46162</v>
      </c>
      <c r="C3927">
        <v>2026</v>
      </c>
      <c r="D3927">
        <v>5</v>
      </c>
      <c r="E3927" t="s">
        <v>3566</v>
      </c>
      <c r="F3927" t="s">
        <v>3329</v>
      </c>
      <c r="G3927" t="s">
        <v>297</v>
      </c>
      <c r="H3927" t="s">
        <v>298</v>
      </c>
      <c r="I3927" t="s">
        <v>86</v>
      </c>
      <c r="J3927">
        <v>33</v>
      </c>
      <c r="K3927" t="s">
        <v>81</v>
      </c>
      <c r="L3927" t="s">
        <v>90</v>
      </c>
      <c r="M3927" t="s">
        <v>55</v>
      </c>
      <c r="N3927" t="s">
        <v>2592</v>
      </c>
      <c r="O3927" t="s">
        <v>115</v>
      </c>
      <c r="P3927" t="s">
        <v>48</v>
      </c>
      <c r="Q3927" t="s">
        <v>137</v>
      </c>
      <c r="R3927">
        <v>5</v>
      </c>
      <c r="S3927">
        <v>12999</v>
      </c>
      <c r="T3927">
        <v>0.2</v>
      </c>
      <c r="U3927">
        <v>51996</v>
      </c>
      <c r="V3927">
        <v>45000</v>
      </c>
      <c r="W3927">
        <v>6996</v>
      </c>
      <c r="X3927" t="s">
        <v>74</v>
      </c>
      <c r="Y3927" t="s">
        <v>68</v>
      </c>
      <c r="Z3927" t="s">
        <v>158</v>
      </c>
      <c r="AA3927" t="s">
        <v>171</v>
      </c>
      <c r="AB3927">
        <v>4.9000000000000004</v>
      </c>
      <c r="AC3927">
        <v>80</v>
      </c>
      <c r="AD3927">
        <v>2189.7399999999998</v>
      </c>
      <c r="AE3927">
        <f t="shared" si="122"/>
        <v>4726.26</v>
      </c>
      <c r="AF3927" t="str">
        <f t="shared" si="123"/>
        <v>2026-05</v>
      </c>
      <c r="AG3927">
        <f>SUBTOTAL(103,A3927)</f>
        <v>1</v>
      </c>
    </row>
    <row r="3928" spans="1:33" x14ac:dyDescent="0.3">
      <c r="A3928" t="s">
        <v>6551</v>
      </c>
      <c r="B3928" s="13">
        <v>46162</v>
      </c>
      <c r="C3928">
        <v>2026</v>
      </c>
      <c r="D3928">
        <v>5</v>
      </c>
      <c r="E3928" t="s">
        <v>3566</v>
      </c>
      <c r="F3928" t="s">
        <v>3329</v>
      </c>
      <c r="G3928" t="s">
        <v>1949</v>
      </c>
      <c r="H3928" t="s">
        <v>1950</v>
      </c>
      <c r="I3928" t="s">
        <v>85</v>
      </c>
      <c r="J3928">
        <v>33</v>
      </c>
      <c r="K3928" t="s">
        <v>81</v>
      </c>
      <c r="L3928" t="s">
        <v>2634</v>
      </c>
      <c r="M3928" t="s">
        <v>56</v>
      </c>
      <c r="N3928" t="s">
        <v>2582</v>
      </c>
      <c r="O3928" t="s">
        <v>119</v>
      </c>
      <c r="P3928" t="s">
        <v>49</v>
      </c>
      <c r="Q3928" t="s">
        <v>140</v>
      </c>
      <c r="R3928">
        <v>1</v>
      </c>
      <c r="S3928">
        <v>3499</v>
      </c>
      <c r="T3928">
        <v>0</v>
      </c>
      <c r="U3928">
        <v>3499</v>
      </c>
      <c r="V3928">
        <v>2100</v>
      </c>
      <c r="W3928">
        <v>1399</v>
      </c>
      <c r="X3928" t="s">
        <v>74</v>
      </c>
      <c r="Y3928" t="s">
        <v>69</v>
      </c>
      <c r="Z3928" t="s">
        <v>158</v>
      </c>
      <c r="AA3928" t="s">
        <v>168</v>
      </c>
      <c r="AB3928">
        <v>3.9</v>
      </c>
      <c r="AC3928">
        <v>80</v>
      </c>
      <c r="AD3928">
        <v>124.46</v>
      </c>
      <c r="AE3928">
        <f t="shared" si="122"/>
        <v>1194.54</v>
      </c>
      <c r="AF3928" t="str">
        <f t="shared" si="123"/>
        <v>2026-05</v>
      </c>
      <c r="AG3928">
        <f>SUBTOTAL(103,A3928)</f>
        <v>1</v>
      </c>
    </row>
    <row r="3929" spans="1:33" x14ac:dyDescent="0.3">
      <c r="A3929" t="s">
        <v>6552</v>
      </c>
      <c r="B3929" s="13">
        <v>46162</v>
      </c>
      <c r="C3929">
        <v>2026</v>
      </c>
      <c r="D3929">
        <v>5</v>
      </c>
      <c r="E3929" t="s">
        <v>3566</v>
      </c>
      <c r="F3929" t="s">
        <v>3329</v>
      </c>
      <c r="G3929" t="s">
        <v>1373</v>
      </c>
      <c r="H3929" t="s">
        <v>1374</v>
      </c>
      <c r="I3929" t="s">
        <v>86</v>
      </c>
      <c r="J3929">
        <v>33</v>
      </c>
      <c r="K3929" t="s">
        <v>81</v>
      </c>
      <c r="L3929" t="s">
        <v>2573</v>
      </c>
      <c r="M3929" t="s">
        <v>63</v>
      </c>
      <c r="N3929" t="s">
        <v>2665</v>
      </c>
      <c r="O3929" t="s">
        <v>128</v>
      </c>
      <c r="P3929" t="s">
        <v>53</v>
      </c>
      <c r="Q3929" t="s">
        <v>143</v>
      </c>
      <c r="R3929">
        <v>1</v>
      </c>
      <c r="S3929">
        <v>1499</v>
      </c>
      <c r="T3929">
        <v>0.15</v>
      </c>
      <c r="U3929">
        <v>1274.1500000000001</v>
      </c>
      <c r="V3929">
        <v>800</v>
      </c>
      <c r="W3929">
        <v>474.15</v>
      </c>
      <c r="X3929" t="s">
        <v>75</v>
      </c>
      <c r="Y3929" t="s">
        <v>68</v>
      </c>
      <c r="Z3929" t="s">
        <v>161</v>
      </c>
      <c r="AA3929" t="s">
        <v>167</v>
      </c>
      <c r="AB3929">
        <v>4</v>
      </c>
      <c r="AC3929">
        <v>80</v>
      </c>
      <c r="AD3929">
        <v>60.72</v>
      </c>
      <c r="AE3929">
        <f t="shared" si="122"/>
        <v>333.42999999999995</v>
      </c>
      <c r="AF3929" t="str">
        <f t="shared" si="123"/>
        <v>2026-05</v>
      </c>
      <c r="AG3929">
        <f>SUBTOTAL(103,A3929)</f>
        <v>1</v>
      </c>
    </row>
    <row r="3930" spans="1:33" x14ac:dyDescent="0.3">
      <c r="A3930" t="s">
        <v>6553</v>
      </c>
      <c r="B3930" s="13">
        <v>46163</v>
      </c>
      <c r="C3930">
        <v>2026</v>
      </c>
      <c r="D3930">
        <v>5</v>
      </c>
      <c r="E3930" t="s">
        <v>3566</v>
      </c>
      <c r="F3930" t="s">
        <v>3329</v>
      </c>
      <c r="G3930" t="s">
        <v>503</v>
      </c>
      <c r="H3930" t="s">
        <v>504</v>
      </c>
      <c r="I3930" t="s">
        <v>86</v>
      </c>
      <c r="J3930">
        <v>42</v>
      </c>
      <c r="K3930" t="s">
        <v>82</v>
      </c>
      <c r="L3930" t="s">
        <v>92</v>
      </c>
      <c r="M3930" t="s">
        <v>59</v>
      </c>
      <c r="N3930" t="s">
        <v>2653</v>
      </c>
      <c r="O3930" t="s">
        <v>132</v>
      </c>
      <c r="P3930" t="s">
        <v>52</v>
      </c>
      <c r="Q3930" t="s">
        <v>150</v>
      </c>
      <c r="R3930">
        <v>2</v>
      </c>
      <c r="S3930">
        <v>899</v>
      </c>
      <c r="T3930">
        <v>0</v>
      </c>
      <c r="U3930">
        <v>1798</v>
      </c>
      <c r="V3930">
        <v>840</v>
      </c>
      <c r="W3930">
        <v>958</v>
      </c>
      <c r="X3930" t="s">
        <v>75</v>
      </c>
      <c r="Y3930" t="s">
        <v>68</v>
      </c>
      <c r="Z3930" t="s">
        <v>158</v>
      </c>
      <c r="AA3930" t="s">
        <v>169</v>
      </c>
      <c r="AB3930">
        <v>4.2</v>
      </c>
      <c r="AC3930">
        <v>50</v>
      </c>
      <c r="AD3930">
        <v>79.239999999999995</v>
      </c>
      <c r="AE3930">
        <f t="shared" si="122"/>
        <v>828.76</v>
      </c>
      <c r="AF3930" t="str">
        <f t="shared" si="123"/>
        <v>2026-05</v>
      </c>
      <c r="AG3930">
        <f>SUBTOTAL(103,A3930)</f>
        <v>1</v>
      </c>
    </row>
    <row r="3931" spans="1:33" x14ac:dyDescent="0.3">
      <c r="A3931" t="s">
        <v>6554</v>
      </c>
      <c r="B3931" s="13">
        <v>46163</v>
      </c>
      <c r="C3931">
        <v>2026</v>
      </c>
      <c r="D3931">
        <v>5</v>
      </c>
      <c r="E3931" t="s">
        <v>3566</v>
      </c>
      <c r="F3931" t="s">
        <v>3329</v>
      </c>
      <c r="G3931" t="s">
        <v>1235</v>
      </c>
      <c r="H3931" t="s">
        <v>1236</v>
      </c>
      <c r="I3931" t="s">
        <v>85</v>
      </c>
      <c r="J3931">
        <v>48</v>
      </c>
      <c r="K3931" t="s">
        <v>83</v>
      </c>
      <c r="L3931" t="s">
        <v>91</v>
      </c>
      <c r="M3931" t="s">
        <v>55</v>
      </c>
      <c r="N3931" t="s">
        <v>2657</v>
      </c>
      <c r="O3931" t="s">
        <v>134</v>
      </c>
      <c r="P3931" t="s">
        <v>49</v>
      </c>
      <c r="Q3931" t="s">
        <v>140</v>
      </c>
      <c r="R3931">
        <v>1</v>
      </c>
      <c r="S3931">
        <v>599</v>
      </c>
      <c r="T3931">
        <v>0.15</v>
      </c>
      <c r="U3931">
        <v>509.15</v>
      </c>
      <c r="V3931">
        <v>250</v>
      </c>
      <c r="W3931">
        <v>259.14999999999998</v>
      </c>
      <c r="X3931" t="s">
        <v>74</v>
      </c>
      <c r="Y3931" t="s">
        <v>68</v>
      </c>
      <c r="Z3931" t="s">
        <v>160</v>
      </c>
      <c r="AA3931" t="s">
        <v>168</v>
      </c>
      <c r="AB3931">
        <v>4.5999999999999996</v>
      </c>
      <c r="AC3931">
        <v>120</v>
      </c>
      <c r="AD3931">
        <v>56.15</v>
      </c>
      <c r="AE3931">
        <f t="shared" si="122"/>
        <v>82.999999999999972</v>
      </c>
      <c r="AF3931" t="str">
        <f t="shared" si="123"/>
        <v>2026-05</v>
      </c>
      <c r="AG3931">
        <f>SUBTOTAL(103,A3931)</f>
        <v>1</v>
      </c>
    </row>
    <row r="3932" spans="1:33" x14ac:dyDescent="0.3">
      <c r="A3932" t="s">
        <v>6555</v>
      </c>
      <c r="B3932" s="13">
        <v>46163</v>
      </c>
      <c r="C3932">
        <v>2026</v>
      </c>
      <c r="D3932">
        <v>5</v>
      </c>
      <c r="E3932" t="s">
        <v>3566</v>
      </c>
      <c r="F3932" t="s">
        <v>3329</v>
      </c>
      <c r="G3932" t="s">
        <v>271</v>
      </c>
      <c r="H3932" t="s">
        <v>272</v>
      </c>
      <c r="I3932" t="s">
        <v>86</v>
      </c>
      <c r="J3932">
        <v>51</v>
      </c>
      <c r="K3932" t="s">
        <v>83</v>
      </c>
      <c r="L3932" t="s">
        <v>92</v>
      </c>
      <c r="M3932" t="s">
        <v>59</v>
      </c>
      <c r="N3932" t="s">
        <v>2626</v>
      </c>
      <c r="O3932" t="s">
        <v>125</v>
      </c>
      <c r="P3932" t="s">
        <v>48</v>
      </c>
      <c r="Q3932" t="s">
        <v>141</v>
      </c>
      <c r="R3932">
        <v>4</v>
      </c>
      <c r="S3932">
        <v>1999</v>
      </c>
      <c r="T3932">
        <v>0.05</v>
      </c>
      <c r="U3932">
        <v>7596.2</v>
      </c>
      <c r="V3932">
        <v>4600</v>
      </c>
      <c r="W3932">
        <v>2996.2</v>
      </c>
      <c r="X3932" t="s">
        <v>73</v>
      </c>
      <c r="Y3932" t="s">
        <v>68</v>
      </c>
      <c r="Z3932" t="s">
        <v>162</v>
      </c>
      <c r="AA3932" t="s">
        <v>166</v>
      </c>
      <c r="AB3932">
        <v>4.3</v>
      </c>
      <c r="AC3932">
        <v>60</v>
      </c>
      <c r="AD3932">
        <v>374.11</v>
      </c>
      <c r="AE3932">
        <f t="shared" si="122"/>
        <v>2562.0899999999997</v>
      </c>
      <c r="AF3932" t="str">
        <f t="shared" si="123"/>
        <v>2026-05</v>
      </c>
      <c r="AG3932">
        <f>SUBTOTAL(103,A3932)</f>
        <v>1</v>
      </c>
    </row>
    <row r="3933" spans="1:33" x14ac:dyDescent="0.3">
      <c r="A3933" t="s">
        <v>6556</v>
      </c>
      <c r="B3933" s="13">
        <v>46163</v>
      </c>
      <c r="C3933">
        <v>2026</v>
      </c>
      <c r="D3933">
        <v>5</v>
      </c>
      <c r="E3933" t="s">
        <v>3566</v>
      </c>
      <c r="F3933" t="s">
        <v>3329</v>
      </c>
      <c r="G3933" t="s">
        <v>1247</v>
      </c>
      <c r="H3933" t="s">
        <v>1248</v>
      </c>
      <c r="I3933" t="s">
        <v>85</v>
      </c>
      <c r="J3933">
        <v>53</v>
      </c>
      <c r="K3933" t="s">
        <v>83</v>
      </c>
      <c r="L3933" t="s">
        <v>2679</v>
      </c>
      <c r="M3933" t="s">
        <v>60</v>
      </c>
      <c r="N3933" t="s">
        <v>2644</v>
      </c>
      <c r="O3933" t="s">
        <v>126</v>
      </c>
      <c r="P3933" t="s">
        <v>50</v>
      </c>
      <c r="Q3933" t="s">
        <v>145</v>
      </c>
      <c r="R3933">
        <v>4</v>
      </c>
      <c r="S3933">
        <v>1799</v>
      </c>
      <c r="T3933">
        <v>0.05</v>
      </c>
      <c r="U3933">
        <v>6836.2</v>
      </c>
      <c r="V3933">
        <v>3800</v>
      </c>
      <c r="W3933">
        <v>3036.2</v>
      </c>
      <c r="X3933" t="s">
        <v>73</v>
      </c>
      <c r="Y3933" t="s">
        <v>68</v>
      </c>
      <c r="Z3933" t="s">
        <v>158</v>
      </c>
      <c r="AA3933" t="s">
        <v>169</v>
      </c>
      <c r="AB3933">
        <v>4.5999999999999996</v>
      </c>
      <c r="AC3933">
        <v>80</v>
      </c>
      <c r="AD3933">
        <v>557.67999999999995</v>
      </c>
      <c r="AE3933">
        <f t="shared" si="122"/>
        <v>2398.52</v>
      </c>
      <c r="AF3933" t="str">
        <f t="shared" si="123"/>
        <v>2026-05</v>
      </c>
      <c r="AG3933">
        <f>SUBTOTAL(103,A3933)</f>
        <v>1</v>
      </c>
    </row>
    <row r="3934" spans="1:33" x14ac:dyDescent="0.3">
      <c r="A3934" t="s">
        <v>6557</v>
      </c>
      <c r="B3934" s="13">
        <v>46163</v>
      </c>
      <c r="C3934">
        <v>2026</v>
      </c>
      <c r="D3934">
        <v>5</v>
      </c>
      <c r="E3934" t="s">
        <v>3566</v>
      </c>
      <c r="F3934" t="s">
        <v>3329</v>
      </c>
      <c r="G3934" t="s">
        <v>1131</v>
      </c>
      <c r="H3934" t="s">
        <v>1132</v>
      </c>
      <c r="I3934" t="s">
        <v>86</v>
      </c>
      <c r="J3934">
        <v>55</v>
      </c>
      <c r="K3934" t="s">
        <v>83</v>
      </c>
      <c r="L3934" t="s">
        <v>96</v>
      </c>
      <c r="M3934" t="s">
        <v>55</v>
      </c>
      <c r="N3934" t="s">
        <v>2574</v>
      </c>
      <c r="O3934" t="s">
        <v>130</v>
      </c>
      <c r="P3934" t="s">
        <v>50</v>
      </c>
      <c r="Q3934" t="s">
        <v>53</v>
      </c>
      <c r="R3934">
        <v>2</v>
      </c>
      <c r="S3934">
        <v>1199</v>
      </c>
      <c r="T3934">
        <v>0.25</v>
      </c>
      <c r="U3934">
        <v>1798.5</v>
      </c>
      <c r="V3934">
        <v>1100</v>
      </c>
      <c r="W3934">
        <v>698.5</v>
      </c>
      <c r="X3934" t="s">
        <v>74</v>
      </c>
      <c r="Y3934" t="s">
        <v>68</v>
      </c>
      <c r="Z3934" t="s">
        <v>158</v>
      </c>
      <c r="AA3934" t="s">
        <v>170</v>
      </c>
      <c r="AB3934">
        <v>3.8</v>
      </c>
      <c r="AC3934">
        <v>40</v>
      </c>
      <c r="AD3934">
        <v>150.54</v>
      </c>
      <c r="AE3934">
        <f t="shared" si="122"/>
        <v>507.96000000000004</v>
      </c>
      <c r="AF3934" t="str">
        <f t="shared" si="123"/>
        <v>2026-05</v>
      </c>
      <c r="AG3934">
        <f>SUBTOTAL(103,A3934)</f>
        <v>1</v>
      </c>
    </row>
    <row r="3935" spans="1:33" x14ac:dyDescent="0.3">
      <c r="A3935" t="s">
        <v>6558</v>
      </c>
      <c r="B3935" s="13">
        <v>46163</v>
      </c>
      <c r="C3935">
        <v>2026</v>
      </c>
      <c r="D3935">
        <v>5</v>
      </c>
      <c r="E3935" t="s">
        <v>3566</v>
      </c>
      <c r="F3935" t="s">
        <v>3329</v>
      </c>
      <c r="G3935" t="s">
        <v>2179</v>
      </c>
      <c r="H3935" t="s">
        <v>2180</v>
      </c>
      <c r="I3935" t="s">
        <v>86</v>
      </c>
      <c r="J3935">
        <v>22</v>
      </c>
      <c r="K3935" t="s">
        <v>80</v>
      </c>
      <c r="L3935" t="s">
        <v>100</v>
      </c>
      <c r="M3935" t="s">
        <v>56</v>
      </c>
      <c r="N3935" t="s">
        <v>2606</v>
      </c>
      <c r="O3935" t="s">
        <v>120</v>
      </c>
      <c r="P3935" t="s">
        <v>49</v>
      </c>
      <c r="Q3935" t="s">
        <v>140</v>
      </c>
      <c r="R3935">
        <v>1</v>
      </c>
      <c r="S3935">
        <v>2799</v>
      </c>
      <c r="T3935">
        <v>0.1</v>
      </c>
      <c r="U3935">
        <v>2519.1</v>
      </c>
      <c r="V3935">
        <v>1650</v>
      </c>
      <c r="W3935">
        <v>869.1</v>
      </c>
      <c r="X3935" t="s">
        <v>73</v>
      </c>
      <c r="Y3935" t="s">
        <v>68</v>
      </c>
      <c r="Z3935" t="s">
        <v>161</v>
      </c>
      <c r="AA3935" t="s">
        <v>167</v>
      </c>
      <c r="AB3935">
        <v>3.8</v>
      </c>
      <c r="AC3935">
        <v>80</v>
      </c>
      <c r="AD3935">
        <v>274.39999999999998</v>
      </c>
      <c r="AE3935">
        <f t="shared" si="122"/>
        <v>514.70000000000005</v>
      </c>
      <c r="AF3935" t="str">
        <f t="shared" si="123"/>
        <v>2026-05</v>
      </c>
      <c r="AG3935">
        <f>SUBTOTAL(103,A3935)</f>
        <v>1</v>
      </c>
    </row>
    <row r="3936" spans="1:33" x14ac:dyDescent="0.3">
      <c r="A3936" t="s">
        <v>6559</v>
      </c>
      <c r="B3936" s="13">
        <v>46163</v>
      </c>
      <c r="C3936">
        <v>2026</v>
      </c>
      <c r="D3936">
        <v>5</v>
      </c>
      <c r="E3936" t="s">
        <v>3566</v>
      </c>
      <c r="F3936" t="s">
        <v>3329</v>
      </c>
      <c r="G3936" t="s">
        <v>1547</v>
      </c>
      <c r="H3936" t="s">
        <v>1548</v>
      </c>
      <c r="I3936" t="s">
        <v>86</v>
      </c>
      <c r="J3936">
        <v>46</v>
      </c>
      <c r="K3936" t="s">
        <v>83</v>
      </c>
      <c r="L3936" t="s">
        <v>90</v>
      </c>
      <c r="M3936" t="s">
        <v>55</v>
      </c>
      <c r="N3936" t="s">
        <v>2626</v>
      </c>
      <c r="O3936" t="s">
        <v>125</v>
      </c>
      <c r="P3936" t="s">
        <v>48</v>
      </c>
      <c r="Q3936" t="s">
        <v>141</v>
      </c>
      <c r="R3936">
        <v>5</v>
      </c>
      <c r="S3936">
        <v>1999</v>
      </c>
      <c r="T3936">
        <v>0.05</v>
      </c>
      <c r="U3936">
        <v>9495.25</v>
      </c>
      <c r="V3936">
        <v>5750</v>
      </c>
      <c r="W3936">
        <v>3745.25</v>
      </c>
      <c r="X3936" t="s">
        <v>74</v>
      </c>
      <c r="Y3936" t="s">
        <v>69</v>
      </c>
      <c r="Z3936" t="s">
        <v>161</v>
      </c>
      <c r="AA3936" t="s">
        <v>167</v>
      </c>
      <c r="AB3936">
        <v>3.8</v>
      </c>
      <c r="AC3936">
        <v>80</v>
      </c>
      <c r="AD3936">
        <v>921.7</v>
      </c>
      <c r="AE3936">
        <f t="shared" si="122"/>
        <v>2743.55</v>
      </c>
      <c r="AF3936" t="str">
        <f t="shared" si="123"/>
        <v>2026-05</v>
      </c>
      <c r="AG3936">
        <f>SUBTOTAL(103,A3936)</f>
        <v>1</v>
      </c>
    </row>
    <row r="3937" spans="1:33" x14ac:dyDescent="0.3">
      <c r="A3937" t="s">
        <v>6560</v>
      </c>
      <c r="B3937" s="13">
        <v>46163</v>
      </c>
      <c r="C3937">
        <v>2026</v>
      </c>
      <c r="D3937">
        <v>5</v>
      </c>
      <c r="E3937" t="s">
        <v>3566</v>
      </c>
      <c r="F3937" t="s">
        <v>3329</v>
      </c>
      <c r="G3937" t="s">
        <v>635</v>
      </c>
      <c r="H3937" t="s">
        <v>636</v>
      </c>
      <c r="I3937" t="s">
        <v>86</v>
      </c>
      <c r="J3937">
        <v>21</v>
      </c>
      <c r="K3937" t="s">
        <v>80</v>
      </c>
      <c r="L3937" t="s">
        <v>90</v>
      </c>
      <c r="M3937" t="s">
        <v>55</v>
      </c>
      <c r="N3937" t="s">
        <v>2587</v>
      </c>
      <c r="O3937" t="s">
        <v>116</v>
      </c>
      <c r="P3937" t="s">
        <v>48</v>
      </c>
      <c r="Q3937" t="s">
        <v>138</v>
      </c>
      <c r="R3937">
        <v>1</v>
      </c>
      <c r="S3937">
        <v>14999</v>
      </c>
      <c r="T3937">
        <v>0.1</v>
      </c>
      <c r="U3937">
        <v>13499.1</v>
      </c>
      <c r="V3937">
        <v>11200</v>
      </c>
      <c r="W3937">
        <v>2299.1</v>
      </c>
      <c r="X3937" t="s">
        <v>76</v>
      </c>
      <c r="Y3937" t="s">
        <v>68</v>
      </c>
      <c r="Z3937" t="s">
        <v>163</v>
      </c>
      <c r="AA3937" t="s">
        <v>168</v>
      </c>
      <c r="AB3937">
        <v>4.5</v>
      </c>
      <c r="AC3937">
        <v>60</v>
      </c>
      <c r="AD3937">
        <v>1132.72</v>
      </c>
      <c r="AE3937">
        <f t="shared" si="122"/>
        <v>1106.3799999999999</v>
      </c>
      <c r="AF3937" t="str">
        <f t="shared" si="123"/>
        <v>2026-05</v>
      </c>
      <c r="AG3937">
        <f>SUBTOTAL(103,A3937)</f>
        <v>1</v>
      </c>
    </row>
    <row r="3938" spans="1:33" x14ac:dyDescent="0.3">
      <c r="A3938" t="s">
        <v>6561</v>
      </c>
      <c r="B3938" s="13">
        <v>46163</v>
      </c>
      <c r="C3938">
        <v>2026</v>
      </c>
      <c r="D3938">
        <v>5</v>
      </c>
      <c r="E3938" t="s">
        <v>3566</v>
      </c>
      <c r="F3938" t="s">
        <v>3329</v>
      </c>
      <c r="G3938" t="s">
        <v>1329</v>
      </c>
      <c r="H3938" t="s">
        <v>1330</v>
      </c>
      <c r="I3938" t="s">
        <v>85</v>
      </c>
      <c r="J3938">
        <v>51</v>
      </c>
      <c r="K3938" t="s">
        <v>83</v>
      </c>
      <c r="L3938" t="s">
        <v>93</v>
      </c>
      <c r="M3938" t="s">
        <v>55</v>
      </c>
      <c r="N3938" t="s">
        <v>2653</v>
      </c>
      <c r="O3938" t="s">
        <v>132</v>
      </c>
      <c r="P3938" t="s">
        <v>52</v>
      </c>
      <c r="Q3938" t="s">
        <v>150</v>
      </c>
      <c r="R3938">
        <v>2</v>
      </c>
      <c r="S3938">
        <v>899</v>
      </c>
      <c r="T3938">
        <v>0</v>
      </c>
      <c r="U3938">
        <v>1798</v>
      </c>
      <c r="V3938">
        <v>840</v>
      </c>
      <c r="W3938">
        <v>958</v>
      </c>
      <c r="X3938" t="s">
        <v>73</v>
      </c>
      <c r="Y3938" t="s">
        <v>68</v>
      </c>
      <c r="Z3938" t="s">
        <v>160</v>
      </c>
      <c r="AA3938" t="s">
        <v>171</v>
      </c>
      <c r="AB3938">
        <v>4.5999999999999996</v>
      </c>
      <c r="AC3938">
        <v>80</v>
      </c>
      <c r="AD3938">
        <v>41.7</v>
      </c>
      <c r="AE3938">
        <f t="shared" si="122"/>
        <v>836.3</v>
      </c>
      <c r="AF3938" t="str">
        <f t="shared" si="123"/>
        <v>2026-05</v>
      </c>
      <c r="AG3938">
        <f>SUBTOTAL(103,A3938)</f>
        <v>1</v>
      </c>
    </row>
    <row r="3939" spans="1:33" x14ac:dyDescent="0.3">
      <c r="A3939" t="s">
        <v>6562</v>
      </c>
      <c r="B3939" s="13">
        <v>46163</v>
      </c>
      <c r="C3939">
        <v>2026</v>
      </c>
      <c r="D3939">
        <v>5</v>
      </c>
      <c r="E3939" t="s">
        <v>3566</v>
      </c>
      <c r="F3939" t="s">
        <v>3329</v>
      </c>
      <c r="G3939" t="s">
        <v>217</v>
      </c>
      <c r="H3939" t="s">
        <v>218</v>
      </c>
      <c r="I3939" t="s">
        <v>85</v>
      </c>
      <c r="J3939">
        <v>42</v>
      </c>
      <c r="K3939" t="s">
        <v>82</v>
      </c>
      <c r="L3939" t="s">
        <v>94</v>
      </c>
      <c r="M3939" t="s">
        <v>57</v>
      </c>
      <c r="N3939" t="s">
        <v>2601</v>
      </c>
      <c r="O3939" t="s">
        <v>117</v>
      </c>
      <c r="P3939" t="s">
        <v>49</v>
      </c>
      <c r="Q3939" t="s">
        <v>139</v>
      </c>
      <c r="R3939">
        <v>4</v>
      </c>
      <c r="S3939">
        <v>6999</v>
      </c>
      <c r="T3939">
        <v>0</v>
      </c>
      <c r="U3939">
        <v>27996</v>
      </c>
      <c r="V3939">
        <v>17200</v>
      </c>
      <c r="W3939">
        <v>10796</v>
      </c>
      <c r="X3939" t="s">
        <v>74</v>
      </c>
      <c r="Y3939" t="s">
        <v>68</v>
      </c>
      <c r="Z3939" t="s">
        <v>160</v>
      </c>
      <c r="AA3939" t="s">
        <v>166</v>
      </c>
      <c r="AB3939">
        <v>3.5</v>
      </c>
      <c r="AC3939">
        <v>80</v>
      </c>
      <c r="AD3939">
        <v>2359.9299999999998</v>
      </c>
      <c r="AE3939">
        <f t="shared" si="122"/>
        <v>8356.07</v>
      </c>
      <c r="AF3939" t="str">
        <f t="shared" si="123"/>
        <v>2026-05</v>
      </c>
      <c r="AG3939">
        <f>SUBTOTAL(103,A3939)</f>
        <v>1</v>
      </c>
    </row>
    <row r="3940" spans="1:33" x14ac:dyDescent="0.3">
      <c r="A3940" t="s">
        <v>6563</v>
      </c>
      <c r="B3940" s="13">
        <v>46164</v>
      </c>
      <c r="C3940">
        <v>2026</v>
      </c>
      <c r="D3940">
        <v>5</v>
      </c>
      <c r="E3940" t="s">
        <v>3566</v>
      </c>
      <c r="F3940" t="s">
        <v>3329</v>
      </c>
      <c r="G3940" t="s">
        <v>1129</v>
      </c>
      <c r="H3940" t="s">
        <v>1130</v>
      </c>
      <c r="I3940" t="s">
        <v>86</v>
      </c>
      <c r="J3940">
        <v>37</v>
      </c>
      <c r="K3940" t="s">
        <v>82</v>
      </c>
      <c r="L3940" t="s">
        <v>91</v>
      </c>
      <c r="M3940" t="s">
        <v>55</v>
      </c>
      <c r="N3940" t="s">
        <v>2592</v>
      </c>
      <c r="O3940" t="s">
        <v>115</v>
      </c>
      <c r="P3940" t="s">
        <v>48</v>
      </c>
      <c r="Q3940" t="s">
        <v>137</v>
      </c>
      <c r="R3940">
        <v>1</v>
      </c>
      <c r="S3940">
        <v>12999</v>
      </c>
      <c r="T3940">
        <v>0.05</v>
      </c>
      <c r="U3940">
        <v>12349.05</v>
      </c>
      <c r="V3940">
        <v>9000</v>
      </c>
      <c r="W3940">
        <v>3349.05</v>
      </c>
      <c r="X3940" t="s">
        <v>73</v>
      </c>
      <c r="Y3940" t="s">
        <v>69</v>
      </c>
      <c r="Z3940" t="s">
        <v>161</v>
      </c>
      <c r="AA3940" t="s">
        <v>169</v>
      </c>
      <c r="AB3940">
        <v>3.5</v>
      </c>
      <c r="AC3940">
        <v>60</v>
      </c>
      <c r="AD3940">
        <v>603.5</v>
      </c>
      <c r="AE3940">
        <f t="shared" si="122"/>
        <v>2685.55</v>
      </c>
      <c r="AF3940" t="str">
        <f t="shared" si="123"/>
        <v>2026-05</v>
      </c>
      <c r="AG3940">
        <f>SUBTOTAL(103,A3940)</f>
        <v>1</v>
      </c>
    </row>
    <row r="3941" spans="1:33" x14ac:dyDescent="0.3">
      <c r="A3941" t="s">
        <v>6564</v>
      </c>
      <c r="B3941" s="13">
        <v>46164</v>
      </c>
      <c r="C3941">
        <v>2026</v>
      </c>
      <c r="D3941">
        <v>5</v>
      </c>
      <c r="E3941" t="s">
        <v>3566</v>
      </c>
      <c r="F3941" t="s">
        <v>3329</v>
      </c>
      <c r="G3941" t="s">
        <v>1431</v>
      </c>
      <c r="H3941" t="s">
        <v>1432</v>
      </c>
      <c r="I3941" t="s">
        <v>86</v>
      </c>
      <c r="J3941">
        <v>23</v>
      </c>
      <c r="K3941" t="s">
        <v>80</v>
      </c>
      <c r="L3941" t="s">
        <v>59</v>
      </c>
      <c r="M3941" t="s">
        <v>59</v>
      </c>
      <c r="N3941" t="s">
        <v>2653</v>
      </c>
      <c r="O3941" t="s">
        <v>132</v>
      </c>
      <c r="P3941" t="s">
        <v>52</v>
      </c>
      <c r="Q3941" t="s">
        <v>150</v>
      </c>
      <c r="R3941">
        <v>4</v>
      </c>
      <c r="S3941">
        <v>899</v>
      </c>
      <c r="T3941">
        <v>0.05</v>
      </c>
      <c r="U3941">
        <v>3416.2</v>
      </c>
      <c r="V3941">
        <v>1680</v>
      </c>
      <c r="W3941">
        <v>1736.2</v>
      </c>
      <c r="X3941" t="s">
        <v>76</v>
      </c>
      <c r="Y3941" t="s">
        <v>68</v>
      </c>
      <c r="Z3941" t="s">
        <v>158</v>
      </c>
      <c r="AA3941" t="s">
        <v>168</v>
      </c>
      <c r="AB3941">
        <v>4.8</v>
      </c>
      <c r="AC3941">
        <v>60</v>
      </c>
      <c r="AD3941">
        <v>209.9</v>
      </c>
      <c r="AE3941">
        <f t="shared" si="122"/>
        <v>1466.3</v>
      </c>
      <c r="AF3941" t="str">
        <f t="shared" si="123"/>
        <v>2026-05</v>
      </c>
      <c r="AG3941">
        <f>SUBTOTAL(103,A3941)</f>
        <v>1</v>
      </c>
    </row>
    <row r="3942" spans="1:33" x14ac:dyDescent="0.3">
      <c r="A3942" t="s">
        <v>6565</v>
      </c>
      <c r="B3942" s="13">
        <v>46164</v>
      </c>
      <c r="C3942">
        <v>2026</v>
      </c>
      <c r="D3942">
        <v>5</v>
      </c>
      <c r="E3942" t="s">
        <v>3566</v>
      </c>
      <c r="F3942" t="s">
        <v>3329</v>
      </c>
      <c r="G3942" t="s">
        <v>1693</v>
      </c>
      <c r="H3942" t="s">
        <v>1694</v>
      </c>
      <c r="I3942" t="s">
        <v>85</v>
      </c>
      <c r="J3942">
        <v>21</v>
      </c>
      <c r="K3942" t="s">
        <v>80</v>
      </c>
      <c r="L3942" t="s">
        <v>93</v>
      </c>
      <c r="M3942" t="s">
        <v>55</v>
      </c>
      <c r="N3942" t="s">
        <v>2574</v>
      </c>
      <c r="O3942" t="s">
        <v>130</v>
      </c>
      <c r="P3942" t="s">
        <v>50</v>
      </c>
      <c r="Q3942" t="s">
        <v>53</v>
      </c>
      <c r="R3942">
        <v>4</v>
      </c>
      <c r="S3942">
        <v>1199</v>
      </c>
      <c r="T3942">
        <v>0.05</v>
      </c>
      <c r="U3942">
        <v>4556.2</v>
      </c>
      <c r="V3942">
        <v>2200</v>
      </c>
      <c r="W3942">
        <v>2356.1999999999998</v>
      </c>
      <c r="X3942" t="s">
        <v>76</v>
      </c>
      <c r="Y3942" t="s">
        <v>68</v>
      </c>
      <c r="Z3942" t="s">
        <v>163</v>
      </c>
      <c r="AA3942" t="s">
        <v>171</v>
      </c>
      <c r="AB3942">
        <v>5</v>
      </c>
      <c r="AC3942">
        <v>60</v>
      </c>
      <c r="AD3942">
        <v>360.11</v>
      </c>
      <c r="AE3942">
        <f t="shared" si="122"/>
        <v>1936.0899999999997</v>
      </c>
      <c r="AF3942" t="str">
        <f t="shared" si="123"/>
        <v>2026-05</v>
      </c>
      <c r="AG3942">
        <f>SUBTOTAL(103,A3942)</f>
        <v>1</v>
      </c>
    </row>
    <row r="3943" spans="1:33" x14ac:dyDescent="0.3">
      <c r="A3943" t="s">
        <v>6566</v>
      </c>
      <c r="B3943" s="13">
        <v>46164</v>
      </c>
      <c r="C3943">
        <v>2026</v>
      </c>
      <c r="D3943">
        <v>5</v>
      </c>
      <c r="E3943" t="s">
        <v>3566</v>
      </c>
      <c r="F3943" t="s">
        <v>3329</v>
      </c>
      <c r="G3943" t="s">
        <v>615</v>
      </c>
      <c r="H3943" t="s">
        <v>616</v>
      </c>
      <c r="I3943" t="s">
        <v>86</v>
      </c>
      <c r="J3943">
        <v>51</v>
      </c>
      <c r="K3943" t="s">
        <v>83</v>
      </c>
      <c r="L3943" t="s">
        <v>97</v>
      </c>
      <c r="M3943" t="s">
        <v>57</v>
      </c>
      <c r="N3943" t="s">
        <v>2594</v>
      </c>
      <c r="O3943" t="s">
        <v>131</v>
      </c>
      <c r="P3943" t="s">
        <v>53</v>
      </c>
      <c r="Q3943" t="s">
        <v>143</v>
      </c>
      <c r="R3943">
        <v>1</v>
      </c>
      <c r="S3943">
        <v>999</v>
      </c>
      <c r="T3943">
        <v>0.05</v>
      </c>
      <c r="U3943">
        <v>949.05</v>
      </c>
      <c r="V3943">
        <v>520</v>
      </c>
      <c r="W3943">
        <v>429.05</v>
      </c>
      <c r="X3943" t="s">
        <v>73</v>
      </c>
      <c r="Y3943" t="s">
        <v>69</v>
      </c>
      <c r="Z3943" t="s">
        <v>163</v>
      </c>
      <c r="AA3943" t="s">
        <v>167</v>
      </c>
      <c r="AB3943">
        <v>3.5</v>
      </c>
      <c r="AC3943">
        <v>40</v>
      </c>
      <c r="AD3943">
        <v>85.83</v>
      </c>
      <c r="AE3943">
        <f t="shared" si="122"/>
        <v>303.22000000000003</v>
      </c>
      <c r="AF3943" t="str">
        <f t="shared" si="123"/>
        <v>2026-05</v>
      </c>
      <c r="AG3943">
        <f>SUBTOTAL(103,A3943)</f>
        <v>1</v>
      </c>
    </row>
    <row r="3944" spans="1:33" x14ac:dyDescent="0.3">
      <c r="A3944" t="s">
        <v>6567</v>
      </c>
      <c r="B3944" s="13">
        <v>46165</v>
      </c>
      <c r="C3944">
        <v>2026</v>
      </c>
      <c r="D3944">
        <v>5</v>
      </c>
      <c r="E3944" t="s">
        <v>3566</v>
      </c>
      <c r="F3944" t="s">
        <v>3329</v>
      </c>
      <c r="G3944" t="s">
        <v>1647</v>
      </c>
      <c r="H3944" t="s">
        <v>1648</v>
      </c>
      <c r="I3944" t="s">
        <v>86</v>
      </c>
      <c r="J3944">
        <v>21</v>
      </c>
      <c r="K3944" t="s">
        <v>80</v>
      </c>
      <c r="L3944" t="s">
        <v>2637</v>
      </c>
      <c r="M3944" t="s">
        <v>64</v>
      </c>
      <c r="N3944" t="s">
        <v>2590</v>
      </c>
      <c r="O3944" t="s">
        <v>127</v>
      </c>
      <c r="P3944" t="s">
        <v>51</v>
      </c>
      <c r="Q3944" t="s">
        <v>148</v>
      </c>
      <c r="R3944">
        <v>1</v>
      </c>
      <c r="S3944">
        <v>1599</v>
      </c>
      <c r="T3944">
        <v>0</v>
      </c>
      <c r="U3944">
        <v>1599</v>
      </c>
      <c r="V3944">
        <v>800</v>
      </c>
      <c r="W3944">
        <v>799</v>
      </c>
      <c r="X3944" t="s">
        <v>77</v>
      </c>
      <c r="Y3944" t="s">
        <v>68</v>
      </c>
      <c r="Z3944" t="s">
        <v>161</v>
      </c>
      <c r="AA3944" t="s">
        <v>166</v>
      </c>
      <c r="AB3944">
        <v>4.7</v>
      </c>
      <c r="AC3944">
        <v>60</v>
      </c>
      <c r="AD3944">
        <v>93.3</v>
      </c>
      <c r="AE3944">
        <f t="shared" si="122"/>
        <v>645.70000000000005</v>
      </c>
      <c r="AF3944" t="str">
        <f t="shared" si="123"/>
        <v>2026-05</v>
      </c>
      <c r="AG3944">
        <f>SUBTOTAL(103,A3944)</f>
        <v>1</v>
      </c>
    </row>
    <row r="3945" spans="1:33" x14ac:dyDescent="0.3">
      <c r="A3945" t="s">
        <v>6568</v>
      </c>
      <c r="B3945" s="13">
        <v>46165</v>
      </c>
      <c r="C3945">
        <v>2026</v>
      </c>
      <c r="D3945">
        <v>5</v>
      </c>
      <c r="E3945" t="s">
        <v>3566</v>
      </c>
      <c r="F3945" t="s">
        <v>3329</v>
      </c>
      <c r="G3945" t="s">
        <v>2089</v>
      </c>
      <c r="H3945" t="s">
        <v>2090</v>
      </c>
      <c r="I3945" t="s">
        <v>85</v>
      </c>
      <c r="J3945">
        <v>44</v>
      </c>
      <c r="K3945" t="s">
        <v>82</v>
      </c>
      <c r="L3945" t="s">
        <v>90</v>
      </c>
      <c r="M3945" t="s">
        <v>55</v>
      </c>
      <c r="N3945" t="s">
        <v>2606</v>
      </c>
      <c r="O3945" t="s">
        <v>120</v>
      </c>
      <c r="P3945" t="s">
        <v>49</v>
      </c>
      <c r="Q3945" t="s">
        <v>140</v>
      </c>
      <c r="R3945">
        <v>3</v>
      </c>
      <c r="S3945">
        <v>2799</v>
      </c>
      <c r="T3945">
        <v>0</v>
      </c>
      <c r="U3945">
        <v>8397</v>
      </c>
      <c r="V3945">
        <v>4950</v>
      </c>
      <c r="W3945">
        <v>3447</v>
      </c>
      <c r="X3945" t="s">
        <v>77</v>
      </c>
      <c r="Y3945" t="s">
        <v>68</v>
      </c>
      <c r="Z3945" t="s">
        <v>160</v>
      </c>
      <c r="AA3945" t="s">
        <v>170</v>
      </c>
      <c r="AB3945">
        <v>4.3</v>
      </c>
      <c r="AC3945">
        <v>60</v>
      </c>
      <c r="AD3945">
        <v>717.55</v>
      </c>
      <c r="AE3945">
        <f t="shared" si="122"/>
        <v>2669.45</v>
      </c>
      <c r="AF3945" t="str">
        <f t="shared" si="123"/>
        <v>2026-05</v>
      </c>
      <c r="AG3945">
        <f>SUBTOTAL(103,A3945)</f>
        <v>1</v>
      </c>
    </row>
    <row r="3946" spans="1:33" x14ac:dyDescent="0.3">
      <c r="A3946" t="s">
        <v>6569</v>
      </c>
      <c r="B3946" s="13">
        <v>46165</v>
      </c>
      <c r="C3946">
        <v>2026</v>
      </c>
      <c r="D3946">
        <v>5</v>
      </c>
      <c r="E3946" t="s">
        <v>3566</v>
      </c>
      <c r="F3946" t="s">
        <v>3329</v>
      </c>
      <c r="G3946" t="s">
        <v>511</v>
      </c>
      <c r="H3946" t="s">
        <v>512</v>
      </c>
      <c r="I3946" t="s">
        <v>86</v>
      </c>
      <c r="J3946">
        <v>49</v>
      </c>
      <c r="K3946" t="s">
        <v>83</v>
      </c>
      <c r="L3946" t="s">
        <v>94</v>
      </c>
      <c r="M3946" t="s">
        <v>57</v>
      </c>
      <c r="N3946" t="s">
        <v>2587</v>
      </c>
      <c r="O3946" t="s">
        <v>116</v>
      </c>
      <c r="P3946" t="s">
        <v>48</v>
      </c>
      <c r="Q3946" t="s">
        <v>138</v>
      </c>
      <c r="R3946">
        <v>1</v>
      </c>
      <c r="S3946">
        <v>14999</v>
      </c>
      <c r="T3946">
        <v>0.1</v>
      </c>
      <c r="U3946">
        <v>13499.1</v>
      </c>
      <c r="V3946">
        <v>11200</v>
      </c>
      <c r="W3946">
        <v>2299.1</v>
      </c>
      <c r="X3946" t="s">
        <v>73</v>
      </c>
      <c r="Y3946" t="s">
        <v>68</v>
      </c>
      <c r="Z3946" t="s">
        <v>163</v>
      </c>
      <c r="AA3946" t="s">
        <v>171</v>
      </c>
      <c r="AB3946">
        <v>5</v>
      </c>
      <c r="AC3946">
        <v>60</v>
      </c>
      <c r="AD3946">
        <v>1134.06</v>
      </c>
      <c r="AE3946">
        <f t="shared" si="122"/>
        <v>1105.04</v>
      </c>
      <c r="AF3946" t="str">
        <f t="shared" si="123"/>
        <v>2026-05</v>
      </c>
      <c r="AG3946">
        <f>SUBTOTAL(103,A3946)</f>
        <v>1</v>
      </c>
    </row>
    <row r="3947" spans="1:33" x14ac:dyDescent="0.3">
      <c r="A3947" t="s">
        <v>6570</v>
      </c>
      <c r="B3947" s="13">
        <v>46165</v>
      </c>
      <c r="C3947">
        <v>2026</v>
      </c>
      <c r="D3947">
        <v>5</v>
      </c>
      <c r="E3947" t="s">
        <v>3566</v>
      </c>
      <c r="F3947" t="s">
        <v>3329</v>
      </c>
      <c r="G3947" t="s">
        <v>1955</v>
      </c>
      <c r="H3947" t="s">
        <v>1956</v>
      </c>
      <c r="I3947" t="s">
        <v>85</v>
      </c>
      <c r="J3947">
        <v>24</v>
      </c>
      <c r="K3947" t="s">
        <v>80</v>
      </c>
      <c r="L3947" t="s">
        <v>59</v>
      </c>
      <c r="M3947" t="s">
        <v>59</v>
      </c>
      <c r="N3947" t="s">
        <v>2626</v>
      </c>
      <c r="O3947" t="s">
        <v>125</v>
      </c>
      <c r="P3947" t="s">
        <v>48</v>
      </c>
      <c r="Q3947" t="s">
        <v>141</v>
      </c>
      <c r="R3947">
        <v>3</v>
      </c>
      <c r="S3947">
        <v>1999</v>
      </c>
      <c r="T3947">
        <v>0.1</v>
      </c>
      <c r="U3947">
        <v>5397.3</v>
      </c>
      <c r="V3947">
        <v>3450</v>
      </c>
      <c r="W3947">
        <v>1947.3</v>
      </c>
      <c r="X3947" t="s">
        <v>74</v>
      </c>
      <c r="Y3947" t="s">
        <v>68</v>
      </c>
      <c r="Z3947" t="s">
        <v>159</v>
      </c>
      <c r="AA3947" t="s">
        <v>168</v>
      </c>
      <c r="AB3947">
        <v>4.2</v>
      </c>
      <c r="AC3947">
        <v>120</v>
      </c>
      <c r="AD3947">
        <v>147.16</v>
      </c>
      <c r="AE3947">
        <f t="shared" si="122"/>
        <v>1680.1399999999999</v>
      </c>
      <c r="AF3947" t="str">
        <f t="shared" si="123"/>
        <v>2026-05</v>
      </c>
      <c r="AG3947">
        <f>SUBTOTAL(103,A3947)</f>
        <v>1</v>
      </c>
    </row>
    <row r="3948" spans="1:33" x14ac:dyDescent="0.3">
      <c r="A3948" t="s">
        <v>6571</v>
      </c>
      <c r="B3948" s="13">
        <v>46165</v>
      </c>
      <c r="C3948">
        <v>2026</v>
      </c>
      <c r="D3948">
        <v>5</v>
      </c>
      <c r="E3948" t="s">
        <v>3566</v>
      </c>
      <c r="F3948" t="s">
        <v>3329</v>
      </c>
      <c r="G3948" t="s">
        <v>1995</v>
      </c>
      <c r="H3948" t="s">
        <v>1996</v>
      </c>
      <c r="I3948" t="s">
        <v>86</v>
      </c>
      <c r="J3948">
        <v>18</v>
      </c>
      <c r="K3948" t="s">
        <v>80</v>
      </c>
      <c r="L3948" t="s">
        <v>91</v>
      </c>
      <c r="M3948" t="s">
        <v>55</v>
      </c>
      <c r="N3948" t="s">
        <v>2594</v>
      </c>
      <c r="O3948" t="s">
        <v>131</v>
      </c>
      <c r="P3948" t="s">
        <v>53</v>
      </c>
      <c r="Q3948" t="s">
        <v>143</v>
      </c>
      <c r="R3948">
        <v>1</v>
      </c>
      <c r="S3948">
        <v>999</v>
      </c>
      <c r="T3948">
        <v>0.15</v>
      </c>
      <c r="U3948">
        <v>849.15</v>
      </c>
      <c r="V3948">
        <v>520</v>
      </c>
      <c r="W3948">
        <v>329.15</v>
      </c>
      <c r="X3948" t="s">
        <v>76</v>
      </c>
      <c r="Y3948" t="s">
        <v>68</v>
      </c>
      <c r="Z3948" t="s">
        <v>159</v>
      </c>
      <c r="AA3948" t="s">
        <v>166</v>
      </c>
      <c r="AB3948">
        <v>3.7</v>
      </c>
      <c r="AC3948">
        <v>50</v>
      </c>
      <c r="AD3948">
        <v>81.84</v>
      </c>
      <c r="AE3948">
        <f t="shared" si="122"/>
        <v>197.30999999999997</v>
      </c>
      <c r="AF3948" t="str">
        <f t="shared" si="123"/>
        <v>2026-05</v>
      </c>
      <c r="AG3948">
        <f>SUBTOTAL(103,A3948)</f>
        <v>1</v>
      </c>
    </row>
    <row r="3949" spans="1:33" x14ac:dyDescent="0.3">
      <c r="A3949" t="s">
        <v>6572</v>
      </c>
      <c r="B3949" s="13">
        <v>46165</v>
      </c>
      <c r="C3949">
        <v>2026</v>
      </c>
      <c r="D3949">
        <v>5</v>
      </c>
      <c r="E3949" t="s">
        <v>3566</v>
      </c>
      <c r="F3949" t="s">
        <v>3329</v>
      </c>
      <c r="G3949" t="s">
        <v>595</v>
      </c>
      <c r="H3949" t="s">
        <v>596</v>
      </c>
      <c r="I3949" t="s">
        <v>85</v>
      </c>
      <c r="J3949">
        <v>57</v>
      </c>
      <c r="K3949" t="s">
        <v>83</v>
      </c>
      <c r="L3949" t="s">
        <v>59</v>
      </c>
      <c r="M3949" t="s">
        <v>59</v>
      </c>
      <c r="N3949" t="s">
        <v>2592</v>
      </c>
      <c r="O3949" t="s">
        <v>115</v>
      </c>
      <c r="P3949" t="s">
        <v>48</v>
      </c>
      <c r="Q3949" t="s">
        <v>137</v>
      </c>
      <c r="R3949">
        <v>1</v>
      </c>
      <c r="S3949">
        <v>12999</v>
      </c>
      <c r="T3949">
        <v>0.1</v>
      </c>
      <c r="U3949">
        <v>0</v>
      </c>
      <c r="V3949">
        <v>0</v>
      </c>
      <c r="W3949">
        <v>0</v>
      </c>
      <c r="X3949" t="s">
        <v>75</v>
      </c>
      <c r="Y3949" t="s">
        <v>71</v>
      </c>
      <c r="Z3949" t="s">
        <v>163</v>
      </c>
      <c r="AA3949" t="s">
        <v>166</v>
      </c>
      <c r="AB3949">
        <v>4.5999999999999996</v>
      </c>
      <c r="AC3949">
        <v>50</v>
      </c>
      <c r="AD3949">
        <v>408.26</v>
      </c>
      <c r="AE3949">
        <f t="shared" si="122"/>
        <v>-458.26</v>
      </c>
      <c r="AF3949" t="str">
        <f t="shared" si="123"/>
        <v>2026-05</v>
      </c>
      <c r="AG3949">
        <f>SUBTOTAL(103,A3949)</f>
        <v>1</v>
      </c>
    </row>
    <row r="3950" spans="1:33" x14ac:dyDescent="0.3">
      <c r="A3950" t="s">
        <v>6573</v>
      </c>
      <c r="B3950" s="13">
        <v>46165</v>
      </c>
      <c r="C3950">
        <v>2026</v>
      </c>
      <c r="D3950">
        <v>5</v>
      </c>
      <c r="E3950" t="s">
        <v>3566</v>
      </c>
      <c r="F3950" t="s">
        <v>3329</v>
      </c>
      <c r="G3950" t="s">
        <v>321</v>
      </c>
      <c r="H3950" t="s">
        <v>322</v>
      </c>
      <c r="I3950" t="s">
        <v>85</v>
      </c>
      <c r="J3950">
        <v>59</v>
      </c>
      <c r="K3950" t="s">
        <v>83</v>
      </c>
      <c r="L3950" t="s">
        <v>95</v>
      </c>
      <c r="M3950" t="s">
        <v>56</v>
      </c>
      <c r="N3950" t="s">
        <v>2647</v>
      </c>
      <c r="O3950" t="s">
        <v>133</v>
      </c>
      <c r="P3950" t="s">
        <v>50</v>
      </c>
      <c r="Q3950" t="s">
        <v>145</v>
      </c>
      <c r="R3950">
        <v>2</v>
      </c>
      <c r="S3950">
        <v>799</v>
      </c>
      <c r="T3950">
        <v>0</v>
      </c>
      <c r="U3950">
        <v>1598</v>
      </c>
      <c r="V3950">
        <v>780</v>
      </c>
      <c r="W3950">
        <v>818</v>
      </c>
      <c r="X3950" t="s">
        <v>76</v>
      </c>
      <c r="Y3950" t="s">
        <v>68</v>
      </c>
      <c r="Z3950" t="s">
        <v>158</v>
      </c>
      <c r="AA3950" t="s">
        <v>166</v>
      </c>
      <c r="AB3950">
        <v>4.9000000000000004</v>
      </c>
      <c r="AC3950">
        <v>50</v>
      </c>
      <c r="AD3950">
        <v>44.61</v>
      </c>
      <c r="AE3950">
        <f t="shared" si="122"/>
        <v>723.39</v>
      </c>
      <c r="AF3950" t="str">
        <f t="shared" si="123"/>
        <v>2026-05</v>
      </c>
      <c r="AG3950">
        <f>SUBTOTAL(103,A3950)</f>
        <v>1</v>
      </c>
    </row>
    <row r="3951" spans="1:33" x14ac:dyDescent="0.3">
      <c r="A3951" t="s">
        <v>6574</v>
      </c>
      <c r="B3951" s="13">
        <v>46165</v>
      </c>
      <c r="C3951">
        <v>2026</v>
      </c>
      <c r="D3951">
        <v>5</v>
      </c>
      <c r="E3951" t="s">
        <v>3566</v>
      </c>
      <c r="F3951" t="s">
        <v>3329</v>
      </c>
      <c r="G3951" t="s">
        <v>721</v>
      </c>
      <c r="H3951" t="s">
        <v>722</v>
      </c>
      <c r="I3951" t="s">
        <v>85</v>
      </c>
      <c r="J3951">
        <v>37</v>
      </c>
      <c r="K3951" t="s">
        <v>82</v>
      </c>
      <c r="L3951" t="s">
        <v>94</v>
      </c>
      <c r="M3951" t="s">
        <v>57</v>
      </c>
      <c r="N3951" t="s">
        <v>2603</v>
      </c>
      <c r="O3951" t="s">
        <v>122</v>
      </c>
      <c r="P3951" t="s">
        <v>48</v>
      </c>
      <c r="Q3951" t="s">
        <v>141</v>
      </c>
      <c r="R3951">
        <v>1</v>
      </c>
      <c r="S3951">
        <v>2499</v>
      </c>
      <c r="T3951">
        <v>0.05</v>
      </c>
      <c r="U3951">
        <v>2374.0500000000002</v>
      </c>
      <c r="V3951">
        <v>1450</v>
      </c>
      <c r="W3951">
        <v>924.05</v>
      </c>
      <c r="X3951" t="s">
        <v>75</v>
      </c>
      <c r="Y3951" t="s">
        <v>68</v>
      </c>
      <c r="Z3951" t="s">
        <v>162</v>
      </c>
      <c r="AA3951" t="s">
        <v>166</v>
      </c>
      <c r="AB3951">
        <v>4.5999999999999996</v>
      </c>
      <c r="AC3951">
        <v>60</v>
      </c>
      <c r="AD3951">
        <v>90.97</v>
      </c>
      <c r="AE3951">
        <f t="shared" si="122"/>
        <v>773.07999999999993</v>
      </c>
      <c r="AF3951" t="str">
        <f t="shared" si="123"/>
        <v>2026-05</v>
      </c>
      <c r="AG3951">
        <f>SUBTOTAL(103,A3951)</f>
        <v>1</v>
      </c>
    </row>
    <row r="3952" spans="1:33" x14ac:dyDescent="0.3">
      <c r="A3952" t="s">
        <v>6575</v>
      </c>
      <c r="B3952" s="13">
        <v>46165</v>
      </c>
      <c r="C3952">
        <v>2026</v>
      </c>
      <c r="D3952">
        <v>5</v>
      </c>
      <c r="E3952" t="s">
        <v>3566</v>
      </c>
      <c r="F3952" t="s">
        <v>3329</v>
      </c>
      <c r="G3952" t="s">
        <v>2139</v>
      </c>
      <c r="H3952" t="s">
        <v>2140</v>
      </c>
      <c r="I3952" t="s">
        <v>85</v>
      </c>
      <c r="J3952">
        <v>58</v>
      </c>
      <c r="K3952" t="s">
        <v>83</v>
      </c>
      <c r="L3952" t="s">
        <v>2623</v>
      </c>
      <c r="M3952" t="s">
        <v>61</v>
      </c>
      <c r="N3952" t="s">
        <v>2665</v>
      </c>
      <c r="O3952" t="s">
        <v>128</v>
      </c>
      <c r="P3952" t="s">
        <v>53</v>
      </c>
      <c r="Q3952" t="s">
        <v>143</v>
      </c>
      <c r="R3952">
        <v>4</v>
      </c>
      <c r="S3952">
        <v>1499</v>
      </c>
      <c r="T3952">
        <v>0</v>
      </c>
      <c r="U3952">
        <v>5996</v>
      </c>
      <c r="V3952">
        <v>3200</v>
      </c>
      <c r="W3952">
        <v>2796</v>
      </c>
      <c r="X3952" t="s">
        <v>74</v>
      </c>
      <c r="Y3952" t="s">
        <v>68</v>
      </c>
      <c r="Z3952" t="s">
        <v>161</v>
      </c>
      <c r="AA3952" t="s">
        <v>167</v>
      </c>
      <c r="AB3952">
        <v>4.3</v>
      </c>
      <c r="AC3952">
        <v>80</v>
      </c>
      <c r="AD3952">
        <v>649.1</v>
      </c>
      <c r="AE3952">
        <f t="shared" si="122"/>
        <v>2066.9</v>
      </c>
      <c r="AF3952" t="str">
        <f t="shared" si="123"/>
        <v>2026-05</v>
      </c>
      <c r="AG3952">
        <f>SUBTOTAL(103,A3952)</f>
        <v>1</v>
      </c>
    </row>
    <row r="3953" spans="1:33" x14ac:dyDescent="0.3">
      <c r="A3953" t="s">
        <v>6576</v>
      </c>
      <c r="B3953" s="13">
        <v>46165</v>
      </c>
      <c r="C3953">
        <v>2026</v>
      </c>
      <c r="D3953">
        <v>5</v>
      </c>
      <c r="E3953" t="s">
        <v>3566</v>
      </c>
      <c r="F3953" t="s">
        <v>3329</v>
      </c>
      <c r="G3953" t="s">
        <v>1935</v>
      </c>
      <c r="H3953" t="s">
        <v>1936</v>
      </c>
      <c r="I3953" t="s">
        <v>86</v>
      </c>
      <c r="J3953">
        <v>59</v>
      </c>
      <c r="K3953" t="s">
        <v>83</v>
      </c>
      <c r="L3953" t="s">
        <v>100</v>
      </c>
      <c r="M3953" t="s">
        <v>56</v>
      </c>
      <c r="N3953" t="s">
        <v>2596</v>
      </c>
      <c r="O3953" t="s">
        <v>124</v>
      </c>
      <c r="P3953" t="s">
        <v>51</v>
      </c>
      <c r="Q3953" t="s">
        <v>147</v>
      </c>
      <c r="R3953">
        <v>1</v>
      </c>
      <c r="S3953">
        <v>2299</v>
      </c>
      <c r="T3953">
        <v>0</v>
      </c>
      <c r="U3953">
        <v>2299</v>
      </c>
      <c r="V3953">
        <v>1200</v>
      </c>
      <c r="W3953">
        <v>1099</v>
      </c>
      <c r="X3953" t="s">
        <v>75</v>
      </c>
      <c r="Y3953" t="s">
        <v>69</v>
      </c>
      <c r="Z3953" t="s">
        <v>159</v>
      </c>
      <c r="AA3953" t="s">
        <v>166</v>
      </c>
      <c r="AB3953">
        <v>4.9000000000000004</v>
      </c>
      <c r="AC3953">
        <v>120</v>
      </c>
      <c r="AD3953">
        <v>143.36000000000001</v>
      </c>
      <c r="AE3953">
        <f t="shared" si="122"/>
        <v>835.64</v>
      </c>
      <c r="AF3953" t="str">
        <f t="shared" si="123"/>
        <v>2026-05</v>
      </c>
      <c r="AG3953">
        <f>SUBTOTAL(103,A3953)</f>
        <v>1</v>
      </c>
    </row>
    <row r="3954" spans="1:33" x14ac:dyDescent="0.3">
      <c r="A3954" t="s">
        <v>6577</v>
      </c>
      <c r="B3954" s="13">
        <v>46166</v>
      </c>
      <c r="C3954">
        <v>2026</v>
      </c>
      <c r="D3954">
        <v>5</v>
      </c>
      <c r="E3954" t="s">
        <v>3566</v>
      </c>
      <c r="F3954" t="s">
        <v>3329</v>
      </c>
      <c r="G3954" t="s">
        <v>407</v>
      </c>
      <c r="H3954" t="s">
        <v>408</v>
      </c>
      <c r="I3954" t="s">
        <v>85</v>
      </c>
      <c r="J3954">
        <v>44</v>
      </c>
      <c r="K3954" t="s">
        <v>82</v>
      </c>
      <c r="L3954" t="s">
        <v>2573</v>
      </c>
      <c r="M3954" t="s">
        <v>63</v>
      </c>
      <c r="N3954" t="s">
        <v>2653</v>
      </c>
      <c r="O3954" t="s">
        <v>132</v>
      </c>
      <c r="P3954" t="s">
        <v>52</v>
      </c>
      <c r="Q3954" t="s">
        <v>150</v>
      </c>
      <c r="R3954">
        <v>1</v>
      </c>
      <c r="S3954">
        <v>899</v>
      </c>
      <c r="T3954">
        <v>0.05</v>
      </c>
      <c r="U3954">
        <v>854.05</v>
      </c>
      <c r="V3954">
        <v>420</v>
      </c>
      <c r="W3954">
        <v>434.05</v>
      </c>
      <c r="X3954" t="s">
        <v>77</v>
      </c>
      <c r="Y3954" t="s">
        <v>68</v>
      </c>
      <c r="Z3954" t="s">
        <v>158</v>
      </c>
      <c r="AA3954" t="s">
        <v>166</v>
      </c>
      <c r="AB3954">
        <v>4.5</v>
      </c>
      <c r="AC3954">
        <v>50</v>
      </c>
      <c r="AD3954">
        <v>26.92</v>
      </c>
      <c r="AE3954">
        <f t="shared" si="122"/>
        <v>357.13</v>
      </c>
      <c r="AF3954" t="str">
        <f t="shared" si="123"/>
        <v>2026-05</v>
      </c>
      <c r="AG3954">
        <f>SUBTOTAL(103,A3954)</f>
        <v>1</v>
      </c>
    </row>
    <row r="3955" spans="1:33" x14ac:dyDescent="0.3">
      <c r="A3955" t="s">
        <v>6578</v>
      </c>
      <c r="B3955" s="13">
        <v>46166</v>
      </c>
      <c r="C3955">
        <v>2026</v>
      </c>
      <c r="D3955">
        <v>5</v>
      </c>
      <c r="E3955" t="s">
        <v>3566</v>
      </c>
      <c r="F3955" t="s">
        <v>3329</v>
      </c>
      <c r="G3955" t="s">
        <v>2265</v>
      </c>
      <c r="H3955" t="s">
        <v>2266</v>
      </c>
      <c r="I3955" t="s">
        <v>85</v>
      </c>
      <c r="J3955">
        <v>39</v>
      </c>
      <c r="K3955" t="s">
        <v>82</v>
      </c>
      <c r="L3955" t="s">
        <v>2674</v>
      </c>
      <c r="M3955" t="s">
        <v>58</v>
      </c>
      <c r="N3955" t="s">
        <v>2596</v>
      </c>
      <c r="O3955" t="s">
        <v>124</v>
      </c>
      <c r="P3955" t="s">
        <v>51</v>
      </c>
      <c r="Q3955" t="s">
        <v>147</v>
      </c>
      <c r="R3955">
        <v>2</v>
      </c>
      <c r="S3955">
        <v>2299</v>
      </c>
      <c r="T3955">
        <v>0.1</v>
      </c>
      <c r="U3955">
        <v>4138.2</v>
      </c>
      <c r="V3955">
        <v>2400</v>
      </c>
      <c r="W3955">
        <v>1738.2</v>
      </c>
      <c r="X3955" t="s">
        <v>76</v>
      </c>
      <c r="Y3955" t="s">
        <v>68</v>
      </c>
      <c r="Z3955" t="s">
        <v>159</v>
      </c>
      <c r="AA3955" t="s">
        <v>169</v>
      </c>
      <c r="AB3955">
        <v>4</v>
      </c>
      <c r="AC3955">
        <v>40</v>
      </c>
      <c r="AD3955">
        <v>180.42</v>
      </c>
      <c r="AE3955">
        <f t="shared" si="122"/>
        <v>1517.78</v>
      </c>
      <c r="AF3955" t="str">
        <f t="shared" si="123"/>
        <v>2026-05</v>
      </c>
      <c r="AG3955">
        <f>SUBTOTAL(103,A3955)</f>
        <v>1</v>
      </c>
    </row>
    <row r="3956" spans="1:33" x14ac:dyDescent="0.3">
      <c r="A3956" t="s">
        <v>6579</v>
      </c>
      <c r="B3956" s="13">
        <v>46166</v>
      </c>
      <c r="C3956">
        <v>2026</v>
      </c>
      <c r="D3956">
        <v>5</v>
      </c>
      <c r="E3956" t="s">
        <v>3566</v>
      </c>
      <c r="F3956" t="s">
        <v>3329</v>
      </c>
      <c r="G3956" t="s">
        <v>2001</v>
      </c>
      <c r="H3956" t="s">
        <v>2002</v>
      </c>
      <c r="I3956" t="s">
        <v>86</v>
      </c>
      <c r="J3956">
        <v>28</v>
      </c>
      <c r="K3956" t="s">
        <v>81</v>
      </c>
      <c r="L3956" t="s">
        <v>2610</v>
      </c>
      <c r="M3956" t="s">
        <v>64</v>
      </c>
      <c r="N3956" t="s">
        <v>2606</v>
      </c>
      <c r="O3956" t="s">
        <v>120</v>
      </c>
      <c r="P3956" t="s">
        <v>49</v>
      </c>
      <c r="Q3956" t="s">
        <v>140</v>
      </c>
      <c r="R3956">
        <v>1</v>
      </c>
      <c r="S3956">
        <v>2799</v>
      </c>
      <c r="T3956">
        <v>0</v>
      </c>
      <c r="U3956">
        <v>2799</v>
      </c>
      <c r="V3956">
        <v>1650</v>
      </c>
      <c r="W3956">
        <v>1149</v>
      </c>
      <c r="X3956" t="s">
        <v>76</v>
      </c>
      <c r="Y3956" t="s">
        <v>68</v>
      </c>
      <c r="Z3956" t="s">
        <v>158</v>
      </c>
      <c r="AA3956" t="s">
        <v>170</v>
      </c>
      <c r="AB3956">
        <v>4.4000000000000004</v>
      </c>
      <c r="AC3956">
        <v>40</v>
      </c>
      <c r="AD3956">
        <v>225.64</v>
      </c>
      <c r="AE3956">
        <f t="shared" si="122"/>
        <v>883.36</v>
      </c>
      <c r="AF3956" t="str">
        <f t="shared" si="123"/>
        <v>2026-05</v>
      </c>
      <c r="AG3956">
        <f>SUBTOTAL(103,A3956)</f>
        <v>1</v>
      </c>
    </row>
    <row r="3957" spans="1:33" x14ac:dyDescent="0.3">
      <c r="A3957" t="s">
        <v>6580</v>
      </c>
      <c r="B3957" s="13">
        <v>46166</v>
      </c>
      <c r="C3957">
        <v>2026</v>
      </c>
      <c r="D3957">
        <v>5</v>
      </c>
      <c r="E3957" t="s">
        <v>3566</v>
      </c>
      <c r="F3957" t="s">
        <v>3329</v>
      </c>
      <c r="G3957" t="s">
        <v>1569</v>
      </c>
      <c r="H3957" t="s">
        <v>1570</v>
      </c>
      <c r="I3957" t="s">
        <v>86</v>
      </c>
      <c r="J3957">
        <v>49</v>
      </c>
      <c r="K3957" t="s">
        <v>83</v>
      </c>
      <c r="L3957" t="s">
        <v>2623</v>
      </c>
      <c r="M3957" t="s">
        <v>61</v>
      </c>
      <c r="N3957" t="s">
        <v>2584</v>
      </c>
      <c r="O3957" t="s">
        <v>121</v>
      </c>
      <c r="P3957" t="s">
        <v>50</v>
      </c>
      <c r="Q3957" t="s">
        <v>144</v>
      </c>
      <c r="R3957">
        <v>2</v>
      </c>
      <c r="S3957">
        <v>2999</v>
      </c>
      <c r="T3957">
        <v>0.15</v>
      </c>
      <c r="U3957">
        <v>5098.3</v>
      </c>
      <c r="V3957">
        <v>3400</v>
      </c>
      <c r="W3957">
        <v>1698.3</v>
      </c>
      <c r="X3957" t="s">
        <v>73</v>
      </c>
      <c r="Y3957" t="s">
        <v>68</v>
      </c>
      <c r="Z3957" t="s">
        <v>159</v>
      </c>
      <c r="AA3957" t="s">
        <v>168</v>
      </c>
      <c r="AB3957">
        <v>3.9</v>
      </c>
      <c r="AC3957">
        <v>60</v>
      </c>
      <c r="AD3957">
        <v>188.4</v>
      </c>
      <c r="AE3957">
        <f t="shared" si="122"/>
        <v>1449.8999999999999</v>
      </c>
      <c r="AF3957" t="str">
        <f t="shared" si="123"/>
        <v>2026-05</v>
      </c>
      <c r="AG3957">
        <f>SUBTOTAL(103,A3957)</f>
        <v>1</v>
      </c>
    </row>
    <row r="3958" spans="1:33" x14ac:dyDescent="0.3">
      <c r="A3958" t="s">
        <v>6581</v>
      </c>
      <c r="B3958" s="13">
        <v>46166</v>
      </c>
      <c r="C3958">
        <v>2026</v>
      </c>
      <c r="D3958">
        <v>5</v>
      </c>
      <c r="E3958" t="s">
        <v>3566</v>
      </c>
      <c r="F3958" t="s">
        <v>3329</v>
      </c>
      <c r="G3958" t="s">
        <v>1079</v>
      </c>
      <c r="H3958" t="s">
        <v>1080</v>
      </c>
      <c r="I3958" t="s">
        <v>85</v>
      </c>
      <c r="J3958">
        <v>52</v>
      </c>
      <c r="K3958" t="s">
        <v>83</v>
      </c>
      <c r="L3958" t="s">
        <v>92</v>
      </c>
      <c r="M3958" t="s">
        <v>59</v>
      </c>
      <c r="N3958" t="s">
        <v>2580</v>
      </c>
      <c r="O3958" t="s">
        <v>118</v>
      </c>
      <c r="P3958" t="s">
        <v>48</v>
      </c>
      <c r="Q3958" t="s">
        <v>142</v>
      </c>
      <c r="R3958">
        <v>2</v>
      </c>
      <c r="S3958">
        <v>3999</v>
      </c>
      <c r="T3958">
        <v>0.15</v>
      </c>
      <c r="U3958">
        <v>6798.3</v>
      </c>
      <c r="V3958">
        <v>4800</v>
      </c>
      <c r="W3958">
        <v>1998.3</v>
      </c>
      <c r="X3958" t="s">
        <v>73</v>
      </c>
      <c r="Y3958" t="s">
        <v>68</v>
      </c>
      <c r="Z3958" t="s">
        <v>160</v>
      </c>
      <c r="AA3958" t="s">
        <v>166</v>
      </c>
      <c r="AB3958">
        <v>4.8</v>
      </c>
      <c r="AC3958">
        <v>80</v>
      </c>
      <c r="AD3958">
        <v>795.73</v>
      </c>
      <c r="AE3958">
        <f t="shared" si="122"/>
        <v>1122.57</v>
      </c>
      <c r="AF3958" t="str">
        <f t="shared" si="123"/>
        <v>2026-05</v>
      </c>
      <c r="AG3958">
        <f>SUBTOTAL(103,A3958)</f>
        <v>1</v>
      </c>
    </row>
    <row r="3959" spans="1:33" x14ac:dyDescent="0.3">
      <c r="A3959" t="s">
        <v>6582</v>
      </c>
      <c r="B3959" s="13">
        <v>46166</v>
      </c>
      <c r="C3959">
        <v>2026</v>
      </c>
      <c r="D3959">
        <v>5</v>
      </c>
      <c r="E3959" t="s">
        <v>3566</v>
      </c>
      <c r="F3959" t="s">
        <v>3329</v>
      </c>
      <c r="G3959" t="s">
        <v>1305</v>
      </c>
      <c r="H3959" t="s">
        <v>1306</v>
      </c>
      <c r="I3959" t="s">
        <v>86</v>
      </c>
      <c r="J3959">
        <v>57</v>
      </c>
      <c r="K3959" t="s">
        <v>83</v>
      </c>
      <c r="L3959" t="s">
        <v>2599</v>
      </c>
      <c r="M3959" t="s">
        <v>62</v>
      </c>
      <c r="N3959" t="s">
        <v>2626</v>
      </c>
      <c r="O3959" t="s">
        <v>125</v>
      </c>
      <c r="P3959" t="s">
        <v>48</v>
      </c>
      <c r="Q3959" t="s">
        <v>141</v>
      </c>
      <c r="R3959">
        <v>2</v>
      </c>
      <c r="S3959">
        <v>1999</v>
      </c>
      <c r="T3959">
        <v>0</v>
      </c>
      <c r="U3959">
        <v>3998</v>
      </c>
      <c r="V3959">
        <v>2300</v>
      </c>
      <c r="W3959">
        <v>1698</v>
      </c>
      <c r="X3959" t="s">
        <v>73</v>
      </c>
      <c r="Y3959" t="s">
        <v>68</v>
      </c>
      <c r="Z3959" t="s">
        <v>159</v>
      </c>
      <c r="AA3959" t="s">
        <v>171</v>
      </c>
      <c r="AB3959">
        <v>3.9</v>
      </c>
      <c r="AC3959">
        <v>60</v>
      </c>
      <c r="AD3959">
        <v>164.84</v>
      </c>
      <c r="AE3959">
        <f t="shared" si="122"/>
        <v>1473.16</v>
      </c>
      <c r="AF3959" t="str">
        <f t="shared" si="123"/>
        <v>2026-05</v>
      </c>
      <c r="AG3959">
        <f>SUBTOTAL(103,A3959)</f>
        <v>1</v>
      </c>
    </row>
    <row r="3960" spans="1:33" x14ac:dyDescent="0.3">
      <c r="A3960" t="s">
        <v>6583</v>
      </c>
      <c r="B3960" s="13">
        <v>46166</v>
      </c>
      <c r="C3960">
        <v>2026</v>
      </c>
      <c r="D3960">
        <v>5</v>
      </c>
      <c r="E3960" t="s">
        <v>3566</v>
      </c>
      <c r="F3960" t="s">
        <v>3329</v>
      </c>
      <c r="G3960" t="s">
        <v>1087</v>
      </c>
      <c r="H3960" t="s">
        <v>1088</v>
      </c>
      <c r="I3960" t="s">
        <v>85</v>
      </c>
      <c r="J3960">
        <v>18</v>
      </c>
      <c r="K3960" t="s">
        <v>80</v>
      </c>
      <c r="L3960" t="s">
        <v>96</v>
      </c>
      <c r="M3960" t="s">
        <v>55</v>
      </c>
      <c r="N3960" t="s">
        <v>2574</v>
      </c>
      <c r="O3960" t="s">
        <v>130</v>
      </c>
      <c r="P3960" t="s">
        <v>50</v>
      </c>
      <c r="Q3960" t="s">
        <v>53</v>
      </c>
      <c r="R3960">
        <v>1</v>
      </c>
      <c r="S3960">
        <v>1199</v>
      </c>
      <c r="T3960">
        <v>0.1</v>
      </c>
      <c r="U3960">
        <v>1079.0999999999999</v>
      </c>
      <c r="V3960">
        <v>550</v>
      </c>
      <c r="W3960">
        <v>529.1</v>
      </c>
      <c r="X3960" t="s">
        <v>76</v>
      </c>
      <c r="Y3960" t="s">
        <v>68</v>
      </c>
      <c r="Z3960" t="s">
        <v>160</v>
      </c>
      <c r="AA3960" t="s">
        <v>169</v>
      </c>
      <c r="AB3960">
        <v>4.5999999999999996</v>
      </c>
      <c r="AC3960">
        <v>80</v>
      </c>
      <c r="AD3960">
        <v>24.24</v>
      </c>
      <c r="AE3960">
        <f t="shared" si="122"/>
        <v>424.86</v>
      </c>
      <c r="AF3960" t="str">
        <f t="shared" si="123"/>
        <v>2026-05</v>
      </c>
      <c r="AG3960">
        <f>SUBTOTAL(103,A3960)</f>
        <v>1</v>
      </c>
    </row>
    <row r="3961" spans="1:33" x14ac:dyDescent="0.3">
      <c r="A3961" t="s">
        <v>6584</v>
      </c>
      <c r="B3961" s="13">
        <v>46167</v>
      </c>
      <c r="C3961">
        <v>2026</v>
      </c>
      <c r="D3961">
        <v>5</v>
      </c>
      <c r="E3961" t="s">
        <v>3566</v>
      </c>
      <c r="F3961" t="s">
        <v>3329</v>
      </c>
      <c r="G3961" t="s">
        <v>993</v>
      </c>
      <c r="H3961" t="s">
        <v>994</v>
      </c>
      <c r="I3961" t="s">
        <v>86</v>
      </c>
      <c r="J3961">
        <v>25</v>
      </c>
      <c r="K3961" t="s">
        <v>80</v>
      </c>
      <c r="L3961" t="s">
        <v>91</v>
      </c>
      <c r="M3961" t="s">
        <v>55</v>
      </c>
      <c r="N3961" t="s">
        <v>2647</v>
      </c>
      <c r="O3961" t="s">
        <v>133</v>
      </c>
      <c r="P3961" t="s">
        <v>50</v>
      </c>
      <c r="Q3961" t="s">
        <v>145</v>
      </c>
      <c r="R3961">
        <v>4</v>
      </c>
      <c r="S3961">
        <v>799</v>
      </c>
      <c r="T3961">
        <v>0.15</v>
      </c>
      <c r="U3961">
        <v>2716.6</v>
      </c>
      <c r="V3961">
        <v>1560</v>
      </c>
      <c r="W3961">
        <v>1156.5999999999999</v>
      </c>
      <c r="X3961" t="s">
        <v>75</v>
      </c>
      <c r="Y3961" t="s">
        <v>68</v>
      </c>
      <c r="Z3961" t="s">
        <v>161</v>
      </c>
      <c r="AA3961" t="s">
        <v>168</v>
      </c>
      <c r="AB3961">
        <v>4.4000000000000004</v>
      </c>
      <c r="AC3961">
        <v>40</v>
      </c>
      <c r="AD3961">
        <v>245.07</v>
      </c>
      <c r="AE3961">
        <f t="shared" si="122"/>
        <v>871.53</v>
      </c>
      <c r="AF3961" t="str">
        <f t="shared" si="123"/>
        <v>2026-05</v>
      </c>
      <c r="AG3961">
        <f>SUBTOTAL(103,A3961)</f>
        <v>1</v>
      </c>
    </row>
    <row r="3962" spans="1:33" x14ac:dyDescent="0.3">
      <c r="A3962" t="s">
        <v>6585</v>
      </c>
      <c r="B3962" s="13">
        <v>46167</v>
      </c>
      <c r="C3962">
        <v>2026</v>
      </c>
      <c r="D3962">
        <v>5</v>
      </c>
      <c r="E3962" t="s">
        <v>3566</v>
      </c>
      <c r="F3962" t="s">
        <v>3329</v>
      </c>
      <c r="G3962" t="s">
        <v>2109</v>
      </c>
      <c r="H3962" t="s">
        <v>2110</v>
      </c>
      <c r="I3962" t="s">
        <v>86</v>
      </c>
      <c r="J3962">
        <v>38</v>
      </c>
      <c r="K3962" t="s">
        <v>82</v>
      </c>
      <c r="L3962" t="s">
        <v>2616</v>
      </c>
      <c r="M3962" t="s">
        <v>62</v>
      </c>
      <c r="N3962" t="s">
        <v>2596</v>
      </c>
      <c r="O3962" t="s">
        <v>124</v>
      </c>
      <c r="P3962" t="s">
        <v>51</v>
      </c>
      <c r="Q3962" t="s">
        <v>147</v>
      </c>
      <c r="R3962">
        <v>2</v>
      </c>
      <c r="S3962">
        <v>2299</v>
      </c>
      <c r="T3962">
        <v>0</v>
      </c>
      <c r="U3962">
        <v>4598</v>
      </c>
      <c r="V3962">
        <v>2400</v>
      </c>
      <c r="W3962">
        <v>2198</v>
      </c>
      <c r="X3962" t="s">
        <v>73</v>
      </c>
      <c r="Y3962" t="s">
        <v>68</v>
      </c>
      <c r="Z3962" t="s">
        <v>161</v>
      </c>
      <c r="AA3962" t="s">
        <v>166</v>
      </c>
      <c r="AB3962">
        <v>3.8</v>
      </c>
      <c r="AC3962">
        <v>50</v>
      </c>
      <c r="AD3962">
        <v>369.94</v>
      </c>
      <c r="AE3962">
        <f t="shared" si="122"/>
        <v>1778.06</v>
      </c>
      <c r="AF3962" t="str">
        <f t="shared" si="123"/>
        <v>2026-05</v>
      </c>
      <c r="AG3962">
        <f>SUBTOTAL(103,A3962)</f>
        <v>1</v>
      </c>
    </row>
    <row r="3963" spans="1:33" x14ac:dyDescent="0.3">
      <c r="A3963" t="s">
        <v>6586</v>
      </c>
      <c r="B3963" s="13">
        <v>46167</v>
      </c>
      <c r="C3963">
        <v>2026</v>
      </c>
      <c r="D3963">
        <v>5</v>
      </c>
      <c r="E3963" t="s">
        <v>3566</v>
      </c>
      <c r="F3963" t="s">
        <v>3329</v>
      </c>
      <c r="G3963" t="s">
        <v>195</v>
      </c>
      <c r="H3963" t="s">
        <v>196</v>
      </c>
      <c r="I3963" t="s">
        <v>87</v>
      </c>
      <c r="J3963">
        <v>41</v>
      </c>
      <c r="K3963" t="s">
        <v>82</v>
      </c>
      <c r="L3963" t="s">
        <v>99</v>
      </c>
      <c r="M3963" t="s">
        <v>58</v>
      </c>
      <c r="N3963" t="s">
        <v>2577</v>
      </c>
      <c r="O3963" t="s">
        <v>129</v>
      </c>
      <c r="P3963" t="s">
        <v>49</v>
      </c>
      <c r="Q3963" t="s">
        <v>149</v>
      </c>
      <c r="R3963">
        <v>4</v>
      </c>
      <c r="S3963">
        <v>1299</v>
      </c>
      <c r="T3963">
        <v>0.05</v>
      </c>
      <c r="U3963">
        <v>4936.2</v>
      </c>
      <c r="V3963">
        <v>2600</v>
      </c>
      <c r="W3963">
        <v>2336.1999999999998</v>
      </c>
      <c r="X3963" t="s">
        <v>74</v>
      </c>
      <c r="Y3963" t="s">
        <v>68</v>
      </c>
      <c r="Z3963" t="s">
        <v>158</v>
      </c>
      <c r="AA3963" t="s">
        <v>169</v>
      </c>
      <c r="AB3963">
        <v>4.5999999999999996</v>
      </c>
      <c r="AC3963">
        <v>40</v>
      </c>
      <c r="AD3963">
        <v>429.44</v>
      </c>
      <c r="AE3963">
        <f t="shared" si="122"/>
        <v>1866.7599999999998</v>
      </c>
      <c r="AF3963" t="str">
        <f t="shared" si="123"/>
        <v>2026-05</v>
      </c>
      <c r="AG3963">
        <f>SUBTOTAL(103,A3963)</f>
        <v>1</v>
      </c>
    </row>
    <row r="3964" spans="1:33" x14ac:dyDescent="0.3">
      <c r="A3964" t="s">
        <v>6587</v>
      </c>
      <c r="B3964" s="13">
        <v>46167</v>
      </c>
      <c r="C3964">
        <v>2026</v>
      </c>
      <c r="D3964">
        <v>5</v>
      </c>
      <c r="E3964" t="s">
        <v>3566</v>
      </c>
      <c r="F3964" t="s">
        <v>3329</v>
      </c>
      <c r="G3964" t="s">
        <v>295</v>
      </c>
      <c r="H3964" t="s">
        <v>296</v>
      </c>
      <c r="I3964" t="s">
        <v>85</v>
      </c>
      <c r="J3964">
        <v>34</v>
      </c>
      <c r="K3964" t="s">
        <v>81</v>
      </c>
      <c r="L3964" t="s">
        <v>2674</v>
      </c>
      <c r="M3964" t="s">
        <v>58</v>
      </c>
      <c r="N3964" t="s">
        <v>2596</v>
      </c>
      <c r="O3964" t="s">
        <v>124</v>
      </c>
      <c r="P3964" t="s">
        <v>51</v>
      </c>
      <c r="Q3964" t="s">
        <v>147</v>
      </c>
      <c r="R3964">
        <v>1</v>
      </c>
      <c r="S3964">
        <v>2299</v>
      </c>
      <c r="T3964">
        <v>0.15</v>
      </c>
      <c r="U3964">
        <v>1954.15</v>
      </c>
      <c r="V3964">
        <v>1200</v>
      </c>
      <c r="W3964">
        <v>754.15</v>
      </c>
      <c r="X3964" t="s">
        <v>73</v>
      </c>
      <c r="Y3964" t="s">
        <v>68</v>
      </c>
      <c r="Z3964" t="s">
        <v>162</v>
      </c>
      <c r="AA3964" t="s">
        <v>171</v>
      </c>
      <c r="AB3964">
        <v>3.6</v>
      </c>
      <c r="AC3964">
        <v>50</v>
      </c>
      <c r="AD3964">
        <v>133.02000000000001</v>
      </c>
      <c r="AE3964">
        <f t="shared" si="122"/>
        <v>571.13</v>
      </c>
      <c r="AF3964" t="str">
        <f t="shared" si="123"/>
        <v>2026-05</v>
      </c>
      <c r="AG3964">
        <f>SUBTOTAL(103,A3964)</f>
        <v>1</v>
      </c>
    </row>
    <row r="3965" spans="1:33" x14ac:dyDescent="0.3">
      <c r="A3965" t="s">
        <v>6588</v>
      </c>
      <c r="B3965" s="13">
        <v>46167</v>
      </c>
      <c r="C3965">
        <v>2026</v>
      </c>
      <c r="D3965">
        <v>5</v>
      </c>
      <c r="E3965" t="s">
        <v>3566</v>
      </c>
      <c r="F3965" t="s">
        <v>3329</v>
      </c>
      <c r="G3965" t="s">
        <v>1239</v>
      </c>
      <c r="H3965" t="s">
        <v>1240</v>
      </c>
      <c r="I3965" t="s">
        <v>85</v>
      </c>
      <c r="J3965">
        <v>26</v>
      </c>
      <c r="K3965" t="s">
        <v>81</v>
      </c>
      <c r="L3965" t="s">
        <v>2623</v>
      </c>
      <c r="M3965" t="s">
        <v>61</v>
      </c>
      <c r="N3965" t="s">
        <v>2590</v>
      </c>
      <c r="O3965" t="s">
        <v>127</v>
      </c>
      <c r="P3965" t="s">
        <v>51</v>
      </c>
      <c r="Q3965" t="s">
        <v>148</v>
      </c>
      <c r="R3965">
        <v>1</v>
      </c>
      <c r="S3965">
        <v>1599</v>
      </c>
      <c r="T3965">
        <v>0.1</v>
      </c>
      <c r="U3965">
        <v>1439.1</v>
      </c>
      <c r="V3965">
        <v>800</v>
      </c>
      <c r="W3965">
        <v>639.1</v>
      </c>
      <c r="X3965" t="s">
        <v>75</v>
      </c>
      <c r="Y3965" t="s">
        <v>68</v>
      </c>
      <c r="Z3965" t="s">
        <v>161</v>
      </c>
      <c r="AA3965" t="s">
        <v>168</v>
      </c>
      <c r="AB3965">
        <v>3.7</v>
      </c>
      <c r="AC3965">
        <v>80</v>
      </c>
      <c r="AD3965">
        <v>145.24</v>
      </c>
      <c r="AE3965">
        <f t="shared" si="122"/>
        <v>413.86</v>
      </c>
      <c r="AF3965" t="str">
        <f t="shared" si="123"/>
        <v>2026-05</v>
      </c>
      <c r="AG3965">
        <f>SUBTOTAL(103,A3965)</f>
        <v>1</v>
      </c>
    </row>
    <row r="3966" spans="1:33" x14ac:dyDescent="0.3">
      <c r="A3966" t="s">
        <v>6589</v>
      </c>
      <c r="B3966" s="13">
        <v>46167</v>
      </c>
      <c r="C3966">
        <v>2026</v>
      </c>
      <c r="D3966">
        <v>5</v>
      </c>
      <c r="E3966" t="s">
        <v>3566</v>
      </c>
      <c r="F3966" t="s">
        <v>3329</v>
      </c>
      <c r="G3966" t="s">
        <v>761</v>
      </c>
      <c r="H3966" t="s">
        <v>762</v>
      </c>
      <c r="I3966" t="s">
        <v>86</v>
      </c>
      <c r="J3966">
        <v>34</v>
      </c>
      <c r="K3966" t="s">
        <v>81</v>
      </c>
      <c r="L3966" t="s">
        <v>90</v>
      </c>
      <c r="M3966" t="s">
        <v>55</v>
      </c>
      <c r="N3966" t="s">
        <v>2596</v>
      </c>
      <c r="O3966" t="s">
        <v>124</v>
      </c>
      <c r="P3966" t="s">
        <v>51</v>
      </c>
      <c r="Q3966" t="s">
        <v>147</v>
      </c>
      <c r="R3966">
        <v>1</v>
      </c>
      <c r="S3966">
        <v>2299</v>
      </c>
      <c r="T3966">
        <v>0.05</v>
      </c>
      <c r="U3966">
        <v>2184.0500000000002</v>
      </c>
      <c r="V3966">
        <v>1200</v>
      </c>
      <c r="W3966">
        <v>984.05</v>
      </c>
      <c r="X3966" t="s">
        <v>73</v>
      </c>
      <c r="Y3966" t="s">
        <v>68</v>
      </c>
      <c r="Z3966" t="s">
        <v>160</v>
      </c>
      <c r="AA3966" t="s">
        <v>168</v>
      </c>
      <c r="AB3966">
        <v>4.0999999999999996</v>
      </c>
      <c r="AC3966">
        <v>100</v>
      </c>
      <c r="AD3966">
        <v>130.07</v>
      </c>
      <c r="AE3966">
        <f t="shared" si="122"/>
        <v>753.98</v>
      </c>
      <c r="AF3966" t="str">
        <f t="shared" si="123"/>
        <v>2026-05</v>
      </c>
      <c r="AG3966">
        <f>SUBTOTAL(103,A3966)</f>
        <v>1</v>
      </c>
    </row>
    <row r="3967" spans="1:33" x14ac:dyDescent="0.3">
      <c r="A3967" t="s">
        <v>6590</v>
      </c>
      <c r="B3967" s="13">
        <v>46168</v>
      </c>
      <c r="C3967">
        <v>2026</v>
      </c>
      <c r="D3967">
        <v>5</v>
      </c>
      <c r="E3967" t="s">
        <v>3566</v>
      </c>
      <c r="F3967" t="s">
        <v>3329</v>
      </c>
      <c r="G3967" t="s">
        <v>2261</v>
      </c>
      <c r="H3967" t="s">
        <v>2262</v>
      </c>
      <c r="I3967" t="s">
        <v>85</v>
      </c>
      <c r="J3967">
        <v>37</v>
      </c>
      <c r="K3967" t="s">
        <v>82</v>
      </c>
      <c r="L3967" t="s">
        <v>2623</v>
      </c>
      <c r="M3967" t="s">
        <v>61</v>
      </c>
      <c r="N3967" t="s">
        <v>2653</v>
      </c>
      <c r="O3967" t="s">
        <v>132</v>
      </c>
      <c r="P3967" t="s">
        <v>52</v>
      </c>
      <c r="Q3967" t="s">
        <v>150</v>
      </c>
      <c r="R3967">
        <v>3</v>
      </c>
      <c r="S3967">
        <v>899</v>
      </c>
      <c r="T3967">
        <v>0.15</v>
      </c>
      <c r="U3967">
        <v>2292.4499999999998</v>
      </c>
      <c r="V3967">
        <v>1260</v>
      </c>
      <c r="W3967">
        <v>1032.45</v>
      </c>
      <c r="X3967" t="s">
        <v>73</v>
      </c>
      <c r="Y3967" t="s">
        <v>68</v>
      </c>
      <c r="Z3967" t="s">
        <v>163</v>
      </c>
      <c r="AA3967" t="s">
        <v>170</v>
      </c>
      <c r="AB3967">
        <v>5</v>
      </c>
      <c r="AC3967">
        <v>50</v>
      </c>
      <c r="AD3967">
        <v>69.459999999999994</v>
      </c>
      <c r="AE3967">
        <f t="shared" si="122"/>
        <v>912.99</v>
      </c>
      <c r="AF3967" t="str">
        <f t="shared" si="123"/>
        <v>2026-05</v>
      </c>
      <c r="AG3967">
        <f>SUBTOTAL(103,A3967)</f>
        <v>1</v>
      </c>
    </row>
    <row r="3968" spans="1:33" x14ac:dyDescent="0.3">
      <c r="A3968" t="s">
        <v>6591</v>
      </c>
      <c r="B3968" s="13">
        <v>46168</v>
      </c>
      <c r="C3968">
        <v>2026</v>
      </c>
      <c r="D3968">
        <v>5</v>
      </c>
      <c r="E3968" t="s">
        <v>3566</v>
      </c>
      <c r="F3968" t="s">
        <v>3329</v>
      </c>
      <c r="G3968" t="s">
        <v>1353</v>
      </c>
      <c r="H3968" t="s">
        <v>1354</v>
      </c>
      <c r="I3968" t="s">
        <v>86</v>
      </c>
      <c r="J3968">
        <v>35</v>
      </c>
      <c r="K3968" t="s">
        <v>81</v>
      </c>
      <c r="L3968" t="s">
        <v>2573</v>
      </c>
      <c r="M3968" t="s">
        <v>63</v>
      </c>
      <c r="N3968" t="s">
        <v>2647</v>
      </c>
      <c r="O3968" t="s">
        <v>133</v>
      </c>
      <c r="P3968" t="s">
        <v>50</v>
      </c>
      <c r="Q3968" t="s">
        <v>145</v>
      </c>
      <c r="R3968">
        <v>2</v>
      </c>
      <c r="S3968">
        <v>799</v>
      </c>
      <c r="T3968">
        <v>0.25</v>
      </c>
      <c r="U3968">
        <v>1198.5</v>
      </c>
      <c r="V3968">
        <v>780</v>
      </c>
      <c r="W3968">
        <v>418.5</v>
      </c>
      <c r="X3968" t="s">
        <v>75</v>
      </c>
      <c r="Y3968" t="s">
        <v>69</v>
      </c>
      <c r="Z3968" t="s">
        <v>158</v>
      </c>
      <c r="AA3968" t="s">
        <v>166</v>
      </c>
      <c r="AB3968">
        <v>4.5</v>
      </c>
      <c r="AC3968">
        <v>50</v>
      </c>
      <c r="AD3968">
        <v>91.97</v>
      </c>
      <c r="AE3968">
        <f t="shared" si="122"/>
        <v>276.52999999999997</v>
      </c>
      <c r="AF3968" t="str">
        <f t="shared" si="123"/>
        <v>2026-05</v>
      </c>
      <c r="AG3968">
        <f>SUBTOTAL(103,A3968)</f>
        <v>1</v>
      </c>
    </row>
    <row r="3969" spans="1:33" x14ac:dyDescent="0.3">
      <c r="A3969" t="s">
        <v>6592</v>
      </c>
      <c r="B3969" s="13">
        <v>46168</v>
      </c>
      <c r="C3969">
        <v>2026</v>
      </c>
      <c r="D3969">
        <v>5</v>
      </c>
      <c r="E3969" t="s">
        <v>3566</v>
      </c>
      <c r="F3969" t="s">
        <v>3329</v>
      </c>
      <c r="G3969" t="s">
        <v>281</v>
      </c>
      <c r="H3969" t="s">
        <v>282</v>
      </c>
      <c r="I3969" t="s">
        <v>85</v>
      </c>
      <c r="J3969">
        <v>43</v>
      </c>
      <c r="K3969" t="s">
        <v>82</v>
      </c>
      <c r="L3969" t="s">
        <v>2616</v>
      </c>
      <c r="M3969" t="s">
        <v>62</v>
      </c>
      <c r="N3969" t="s">
        <v>2601</v>
      </c>
      <c r="O3969" t="s">
        <v>117</v>
      </c>
      <c r="P3969" t="s">
        <v>49</v>
      </c>
      <c r="Q3969" t="s">
        <v>139</v>
      </c>
      <c r="R3969">
        <v>3</v>
      </c>
      <c r="S3969">
        <v>6999</v>
      </c>
      <c r="T3969">
        <v>0.1</v>
      </c>
      <c r="U3969">
        <v>18897.3</v>
      </c>
      <c r="V3969">
        <v>12900</v>
      </c>
      <c r="W3969">
        <v>5997.3</v>
      </c>
      <c r="X3969" t="s">
        <v>73</v>
      </c>
      <c r="Y3969" t="s">
        <v>68</v>
      </c>
      <c r="Z3969" t="s">
        <v>161</v>
      </c>
      <c r="AA3969" t="s">
        <v>169</v>
      </c>
      <c r="AB3969">
        <v>4.0999999999999996</v>
      </c>
      <c r="AC3969">
        <v>100</v>
      </c>
      <c r="AD3969">
        <v>1623.16</v>
      </c>
      <c r="AE3969">
        <f t="shared" si="122"/>
        <v>4274.1400000000003</v>
      </c>
      <c r="AF3969" t="str">
        <f t="shared" si="123"/>
        <v>2026-05</v>
      </c>
      <c r="AG3969">
        <f>SUBTOTAL(103,A3969)</f>
        <v>1</v>
      </c>
    </row>
    <row r="3970" spans="1:33" x14ac:dyDescent="0.3">
      <c r="A3970" t="s">
        <v>6593</v>
      </c>
      <c r="B3970" s="13">
        <v>46168</v>
      </c>
      <c r="C3970">
        <v>2026</v>
      </c>
      <c r="D3970">
        <v>5</v>
      </c>
      <c r="E3970" t="s">
        <v>3566</v>
      </c>
      <c r="F3970" t="s">
        <v>3329</v>
      </c>
      <c r="G3970" t="s">
        <v>1483</v>
      </c>
      <c r="H3970" t="s">
        <v>1484</v>
      </c>
      <c r="I3970" t="s">
        <v>85</v>
      </c>
      <c r="J3970">
        <v>49</v>
      </c>
      <c r="K3970" t="s">
        <v>83</v>
      </c>
      <c r="L3970" t="s">
        <v>94</v>
      </c>
      <c r="M3970" t="s">
        <v>57</v>
      </c>
      <c r="N3970" t="s">
        <v>2606</v>
      </c>
      <c r="O3970" t="s">
        <v>120</v>
      </c>
      <c r="P3970" t="s">
        <v>49</v>
      </c>
      <c r="Q3970" t="s">
        <v>140</v>
      </c>
      <c r="R3970">
        <v>4</v>
      </c>
      <c r="S3970">
        <v>2799</v>
      </c>
      <c r="T3970">
        <v>0.15</v>
      </c>
      <c r="U3970">
        <v>9516.6</v>
      </c>
      <c r="V3970">
        <v>6600</v>
      </c>
      <c r="W3970">
        <v>2916.6</v>
      </c>
      <c r="X3970" t="s">
        <v>75</v>
      </c>
      <c r="Y3970" t="s">
        <v>68</v>
      </c>
      <c r="Z3970" t="s">
        <v>161</v>
      </c>
      <c r="AA3970" t="s">
        <v>171</v>
      </c>
      <c r="AB3970">
        <v>4</v>
      </c>
      <c r="AC3970">
        <v>40</v>
      </c>
      <c r="AD3970">
        <v>886.21</v>
      </c>
      <c r="AE3970">
        <f t="shared" ref="AE3970:AE4033" si="124">W3970-AC3970-AD3970</f>
        <v>1990.3899999999999</v>
      </c>
      <c r="AF3970" t="str">
        <f t="shared" ref="AF3970:AF4033" si="125">C3970&amp;"-"&amp;TEXT(D3970,"00")</f>
        <v>2026-05</v>
      </c>
      <c r="AG3970">
        <f>SUBTOTAL(103,A3970)</f>
        <v>1</v>
      </c>
    </row>
    <row r="3971" spans="1:33" x14ac:dyDescent="0.3">
      <c r="A3971" t="s">
        <v>6594</v>
      </c>
      <c r="B3971" s="13">
        <v>46168</v>
      </c>
      <c r="C3971">
        <v>2026</v>
      </c>
      <c r="D3971">
        <v>5</v>
      </c>
      <c r="E3971" t="s">
        <v>3566</v>
      </c>
      <c r="F3971" t="s">
        <v>3329</v>
      </c>
      <c r="G3971" t="s">
        <v>1145</v>
      </c>
      <c r="H3971" t="s">
        <v>1146</v>
      </c>
      <c r="I3971" t="s">
        <v>85</v>
      </c>
      <c r="J3971">
        <v>52</v>
      </c>
      <c r="K3971" t="s">
        <v>83</v>
      </c>
      <c r="L3971" t="s">
        <v>2634</v>
      </c>
      <c r="M3971" t="s">
        <v>56</v>
      </c>
      <c r="N3971" t="s">
        <v>2626</v>
      </c>
      <c r="O3971" t="s">
        <v>125</v>
      </c>
      <c r="P3971" t="s">
        <v>48</v>
      </c>
      <c r="Q3971" t="s">
        <v>141</v>
      </c>
      <c r="R3971">
        <v>5</v>
      </c>
      <c r="S3971">
        <v>1999</v>
      </c>
      <c r="T3971">
        <v>0.1</v>
      </c>
      <c r="U3971">
        <v>8995.5</v>
      </c>
      <c r="V3971">
        <v>5750</v>
      </c>
      <c r="W3971">
        <v>3245.5</v>
      </c>
      <c r="X3971" t="s">
        <v>74</v>
      </c>
      <c r="Y3971" t="s">
        <v>68</v>
      </c>
      <c r="Z3971" t="s">
        <v>159</v>
      </c>
      <c r="AA3971" t="s">
        <v>166</v>
      </c>
      <c r="AB3971">
        <v>4.9000000000000004</v>
      </c>
      <c r="AC3971">
        <v>100</v>
      </c>
      <c r="AD3971">
        <v>417.81</v>
      </c>
      <c r="AE3971">
        <f t="shared" si="124"/>
        <v>2727.69</v>
      </c>
      <c r="AF3971" t="str">
        <f t="shared" si="125"/>
        <v>2026-05</v>
      </c>
      <c r="AG3971">
        <f>SUBTOTAL(103,A3971)</f>
        <v>1</v>
      </c>
    </row>
    <row r="3972" spans="1:33" x14ac:dyDescent="0.3">
      <c r="A3972" t="s">
        <v>6595</v>
      </c>
      <c r="B3972" s="13">
        <v>46168</v>
      </c>
      <c r="C3972">
        <v>2026</v>
      </c>
      <c r="D3972">
        <v>5</v>
      </c>
      <c r="E3972" t="s">
        <v>3566</v>
      </c>
      <c r="F3972" t="s">
        <v>3329</v>
      </c>
      <c r="G3972" t="s">
        <v>2191</v>
      </c>
      <c r="H3972" t="s">
        <v>2192</v>
      </c>
      <c r="I3972" t="s">
        <v>86</v>
      </c>
      <c r="J3972">
        <v>21</v>
      </c>
      <c r="K3972" t="s">
        <v>80</v>
      </c>
      <c r="L3972" t="s">
        <v>96</v>
      </c>
      <c r="M3972" t="s">
        <v>55</v>
      </c>
      <c r="N3972" t="s">
        <v>2665</v>
      </c>
      <c r="O3972" t="s">
        <v>128</v>
      </c>
      <c r="P3972" t="s">
        <v>53</v>
      </c>
      <c r="Q3972" t="s">
        <v>143</v>
      </c>
      <c r="R3972">
        <v>4</v>
      </c>
      <c r="S3972">
        <v>1499</v>
      </c>
      <c r="T3972">
        <v>0.05</v>
      </c>
      <c r="U3972">
        <v>5696.2</v>
      </c>
      <c r="V3972">
        <v>3200</v>
      </c>
      <c r="W3972">
        <v>2496.1999999999998</v>
      </c>
      <c r="X3972" t="s">
        <v>75</v>
      </c>
      <c r="Y3972" t="s">
        <v>68</v>
      </c>
      <c r="Z3972" t="s">
        <v>160</v>
      </c>
      <c r="AA3972" t="s">
        <v>166</v>
      </c>
      <c r="AB3972">
        <v>4.4000000000000004</v>
      </c>
      <c r="AC3972">
        <v>60</v>
      </c>
      <c r="AD3972">
        <v>499.99</v>
      </c>
      <c r="AE3972">
        <f t="shared" si="124"/>
        <v>1936.2099999999998</v>
      </c>
      <c r="AF3972" t="str">
        <f t="shared" si="125"/>
        <v>2026-05</v>
      </c>
      <c r="AG3972">
        <f>SUBTOTAL(103,A3972)</f>
        <v>1</v>
      </c>
    </row>
    <row r="3973" spans="1:33" x14ac:dyDescent="0.3">
      <c r="A3973" t="s">
        <v>6596</v>
      </c>
      <c r="B3973" s="13">
        <v>46168</v>
      </c>
      <c r="C3973">
        <v>2026</v>
      </c>
      <c r="D3973">
        <v>5</v>
      </c>
      <c r="E3973" t="s">
        <v>3566</v>
      </c>
      <c r="F3973" t="s">
        <v>3329</v>
      </c>
      <c r="G3973" t="s">
        <v>641</v>
      </c>
      <c r="H3973" t="s">
        <v>642</v>
      </c>
      <c r="I3973" t="s">
        <v>85</v>
      </c>
      <c r="J3973">
        <v>36</v>
      </c>
      <c r="K3973" t="s">
        <v>82</v>
      </c>
      <c r="L3973" t="s">
        <v>2674</v>
      </c>
      <c r="M3973" t="s">
        <v>58</v>
      </c>
      <c r="N3973" t="s">
        <v>2657</v>
      </c>
      <c r="O3973" t="s">
        <v>134</v>
      </c>
      <c r="P3973" t="s">
        <v>49</v>
      </c>
      <c r="Q3973" t="s">
        <v>140</v>
      </c>
      <c r="R3973">
        <v>3</v>
      </c>
      <c r="S3973">
        <v>599</v>
      </c>
      <c r="T3973">
        <v>0.05</v>
      </c>
      <c r="U3973">
        <v>1707.15</v>
      </c>
      <c r="V3973">
        <v>750</v>
      </c>
      <c r="W3973">
        <v>957.15</v>
      </c>
      <c r="X3973" t="s">
        <v>76</v>
      </c>
      <c r="Y3973" t="s">
        <v>68</v>
      </c>
      <c r="Z3973" t="s">
        <v>158</v>
      </c>
      <c r="AA3973" t="s">
        <v>167</v>
      </c>
      <c r="AB3973">
        <v>4.7</v>
      </c>
      <c r="AC3973">
        <v>80</v>
      </c>
      <c r="AD3973">
        <v>167.92</v>
      </c>
      <c r="AE3973">
        <f t="shared" si="124"/>
        <v>709.23</v>
      </c>
      <c r="AF3973" t="str">
        <f t="shared" si="125"/>
        <v>2026-05</v>
      </c>
      <c r="AG3973">
        <f>SUBTOTAL(103,A3973)</f>
        <v>1</v>
      </c>
    </row>
    <row r="3974" spans="1:33" x14ac:dyDescent="0.3">
      <c r="A3974" t="s">
        <v>6597</v>
      </c>
      <c r="B3974" s="13">
        <v>46169</v>
      </c>
      <c r="C3974">
        <v>2026</v>
      </c>
      <c r="D3974">
        <v>5</v>
      </c>
      <c r="E3974" t="s">
        <v>3566</v>
      </c>
      <c r="F3974" t="s">
        <v>3329</v>
      </c>
      <c r="G3974" t="s">
        <v>1737</v>
      </c>
      <c r="H3974" t="s">
        <v>1738</v>
      </c>
      <c r="I3974" t="s">
        <v>86</v>
      </c>
      <c r="J3974">
        <v>52</v>
      </c>
      <c r="K3974" t="s">
        <v>83</v>
      </c>
      <c r="L3974" t="s">
        <v>2610</v>
      </c>
      <c r="M3974" t="s">
        <v>64</v>
      </c>
      <c r="N3974" t="s">
        <v>2590</v>
      </c>
      <c r="O3974" t="s">
        <v>127</v>
      </c>
      <c r="P3974" t="s">
        <v>51</v>
      </c>
      <c r="Q3974" t="s">
        <v>148</v>
      </c>
      <c r="R3974">
        <v>2</v>
      </c>
      <c r="S3974">
        <v>1599</v>
      </c>
      <c r="T3974">
        <v>0.25</v>
      </c>
      <c r="U3974">
        <v>2398.5</v>
      </c>
      <c r="V3974">
        <v>1600</v>
      </c>
      <c r="W3974">
        <v>798.5</v>
      </c>
      <c r="X3974" t="s">
        <v>73</v>
      </c>
      <c r="Y3974" t="s">
        <v>68</v>
      </c>
      <c r="Z3974" t="s">
        <v>163</v>
      </c>
      <c r="AA3974" t="s">
        <v>168</v>
      </c>
      <c r="AB3974">
        <v>4.3</v>
      </c>
      <c r="AC3974">
        <v>50</v>
      </c>
      <c r="AD3974">
        <v>152.41</v>
      </c>
      <c r="AE3974">
        <f t="shared" si="124"/>
        <v>596.09</v>
      </c>
      <c r="AF3974" t="str">
        <f t="shared" si="125"/>
        <v>2026-05</v>
      </c>
      <c r="AG3974">
        <f>SUBTOTAL(103,A3974)</f>
        <v>1</v>
      </c>
    </row>
    <row r="3975" spans="1:33" x14ac:dyDescent="0.3">
      <c r="A3975" t="s">
        <v>6598</v>
      </c>
      <c r="B3975" s="13">
        <v>46169</v>
      </c>
      <c r="C3975">
        <v>2026</v>
      </c>
      <c r="D3975">
        <v>5</v>
      </c>
      <c r="E3975" t="s">
        <v>3566</v>
      </c>
      <c r="F3975" t="s">
        <v>3329</v>
      </c>
      <c r="G3975" t="s">
        <v>2181</v>
      </c>
      <c r="H3975" t="s">
        <v>2182</v>
      </c>
      <c r="I3975" t="s">
        <v>85</v>
      </c>
      <c r="J3975">
        <v>59</v>
      </c>
      <c r="K3975" t="s">
        <v>83</v>
      </c>
      <c r="L3975" t="s">
        <v>2579</v>
      </c>
      <c r="M3975" t="s">
        <v>56</v>
      </c>
      <c r="N3975" t="s">
        <v>2582</v>
      </c>
      <c r="O3975" t="s">
        <v>119</v>
      </c>
      <c r="P3975" t="s">
        <v>49</v>
      </c>
      <c r="Q3975" t="s">
        <v>140</v>
      </c>
      <c r="R3975">
        <v>1</v>
      </c>
      <c r="S3975">
        <v>3499</v>
      </c>
      <c r="T3975">
        <v>0.05</v>
      </c>
      <c r="U3975">
        <v>3324.05</v>
      </c>
      <c r="V3975">
        <v>2100</v>
      </c>
      <c r="W3975">
        <v>1224.05</v>
      </c>
      <c r="X3975" t="s">
        <v>74</v>
      </c>
      <c r="Y3975" t="s">
        <v>68</v>
      </c>
      <c r="Z3975" t="s">
        <v>160</v>
      </c>
      <c r="AA3975" t="s">
        <v>167</v>
      </c>
      <c r="AB3975">
        <v>4.0999999999999996</v>
      </c>
      <c r="AC3975">
        <v>80</v>
      </c>
      <c r="AD3975">
        <v>249.44</v>
      </c>
      <c r="AE3975">
        <f t="shared" si="124"/>
        <v>894.6099999999999</v>
      </c>
      <c r="AF3975" t="str">
        <f t="shared" si="125"/>
        <v>2026-05</v>
      </c>
      <c r="AG3975">
        <f>SUBTOTAL(103,A3975)</f>
        <v>1</v>
      </c>
    </row>
    <row r="3976" spans="1:33" x14ac:dyDescent="0.3">
      <c r="A3976" t="s">
        <v>6599</v>
      </c>
      <c r="B3976" s="13">
        <v>46169</v>
      </c>
      <c r="C3976">
        <v>2026</v>
      </c>
      <c r="D3976">
        <v>5</v>
      </c>
      <c r="E3976" t="s">
        <v>3566</v>
      </c>
      <c r="F3976" t="s">
        <v>3329</v>
      </c>
      <c r="G3976" t="s">
        <v>1551</v>
      </c>
      <c r="H3976" t="s">
        <v>1552</v>
      </c>
      <c r="I3976" t="s">
        <v>86</v>
      </c>
      <c r="J3976">
        <v>55</v>
      </c>
      <c r="K3976" t="s">
        <v>83</v>
      </c>
      <c r="L3976" t="s">
        <v>93</v>
      </c>
      <c r="M3976" t="s">
        <v>55</v>
      </c>
      <c r="N3976" t="s">
        <v>2580</v>
      </c>
      <c r="O3976" t="s">
        <v>118</v>
      </c>
      <c r="P3976" t="s">
        <v>48</v>
      </c>
      <c r="Q3976" t="s">
        <v>142</v>
      </c>
      <c r="R3976">
        <v>1</v>
      </c>
      <c r="S3976">
        <v>3999</v>
      </c>
      <c r="T3976">
        <v>0</v>
      </c>
      <c r="U3976">
        <v>0</v>
      </c>
      <c r="V3976">
        <v>0</v>
      </c>
      <c r="W3976">
        <v>0</v>
      </c>
      <c r="X3976" t="s">
        <v>73</v>
      </c>
      <c r="Y3976" t="s">
        <v>71</v>
      </c>
      <c r="Z3976" t="s">
        <v>163</v>
      </c>
      <c r="AA3976" t="s">
        <v>169</v>
      </c>
      <c r="AB3976">
        <v>5</v>
      </c>
      <c r="AC3976">
        <v>60</v>
      </c>
      <c r="AD3976">
        <v>150.22999999999999</v>
      </c>
      <c r="AE3976">
        <f t="shared" si="124"/>
        <v>-210.23</v>
      </c>
      <c r="AF3976" t="str">
        <f t="shared" si="125"/>
        <v>2026-05</v>
      </c>
      <c r="AG3976">
        <f>SUBTOTAL(103,A3976)</f>
        <v>1</v>
      </c>
    </row>
    <row r="3977" spans="1:33" x14ac:dyDescent="0.3">
      <c r="A3977" t="s">
        <v>6600</v>
      </c>
      <c r="B3977" s="13">
        <v>46169</v>
      </c>
      <c r="C3977">
        <v>2026</v>
      </c>
      <c r="D3977">
        <v>5</v>
      </c>
      <c r="E3977" t="s">
        <v>3566</v>
      </c>
      <c r="F3977" t="s">
        <v>3329</v>
      </c>
      <c r="G3977" t="s">
        <v>303</v>
      </c>
      <c r="H3977" t="s">
        <v>304</v>
      </c>
      <c r="I3977" t="s">
        <v>85</v>
      </c>
      <c r="J3977">
        <v>29</v>
      </c>
      <c r="K3977" t="s">
        <v>81</v>
      </c>
      <c r="L3977" t="s">
        <v>90</v>
      </c>
      <c r="M3977" t="s">
        <v>55</v>
      </c>
      <c r="N3977" t="s">
        <v>2647</v>
      </c>
      <c r="O3977" t="s">
        <v>133</v>
      </c>
      <c r="P3977" t="s">
        <v>50</v>
      </c>
      <c r="Q3977" t="s">
        <v>145</v>
      </c>
      <c r="R3977">
        <v>2</v>
      </c>
      <c r="S3977">
        <v>799</v>
      </c>
      <c r="T3977">
        <v>0</v>
      </c>
      <c r="U3977">
        <v>1598</v>
      </c>
      <c r="V3977">
        <v>780</v>
      </c>
      <c r="W3977">
        <v>818</v>
      </c>
      <c r="X3977" t="s">
        <v>77</v>
      </c>
      <c r="Y3977" t="s">
        <v>68</v>
      </c>
      <c r="Z3977" t="s">
        <v>158</v>
      </c>
      <c r="AA3977" t="s">
        <v>166</v>
      </c>
      <c r="AB3977">
        <v>4.7</v>
      </c>
      <c r="AC3977">
        <v>60</v>
      </c>
      <c r="AD3977">
        <v>98.63</v>
      </c>
      <c r="AE3977">
        <f t="shared" si="124"/>
        <v>659.37</v>
      </c>
      <c r="AF3977" t="str">
        <f t="shared" si="125"/>
        <v>2026-05</v>
      </c>
      <c r="AG3977">
        <f>SUBTOTAL(103,A3977)</f>
        <v>1</v>
      </c>
    </row>
    <row r="3978" spans="1:33" x14ac:dyDescent="0.3">
      <c r="A3978" t="s">
        <v>6601</v>
      </c>
      <c r="B3978" s="13">
        <v>46169</v>
      </c>
      <c r="C3978">
        <v>2026</v>
      </c>
      <c r="D3978">
        <v>5</v>
      </c>
      <c r="E3978" t="s">
        <v>3566</v>
      </c>
      <c r="F3978" t="s">
        <v>3329</v>
      </c>
      <c r="G3978" t="s">
        <v>949</v>
      </c>
      <c r="H3978" t="s">
        <v>950</v>
      </c>
      <c r="I3978" t="s">
        <v>86</v>
      </c>
      <c r="J3978">
        <v>30</v>
      </c>
      <c r="K3978" t="s">
        <v>81</v>
      </c>
      <c r="L3978" t="s">
        <v>2690</v>
      </c>
      <c r="M3978" t="s">
        <v>63</v>
      </c>
      <c r="N3978" t="s">
        <v>2644</v>
      </c>
      <c r="O3978" t="s">
        <v>126</v>
      </c>
      <c r="P3978" t="s">
        <v>50</v>
      </c>
      <c r="Q3978" t="s">
        <v>145</v>
      </c>
      <c r="R3978">
        <v>3</v>
      </c>
      <c r="S3978">
        <v>1799</v>
      </c>
      <c r="T3978">
        <v>0.05</v>
      </c>
      <c r="U3978">
        <v>5127.1499999999996</v>
      </c>
      <c r="V3978">
        <v>2850</v>
      </c>
      <c r="W3978">
        <v>2277.15</v>
      </c>
      <c r="X3978" t="s">
        <v>75</v>
      </c>
      <c r="Y3978" t="s">
        <v>68</v>
      </c>
      <c r="Z3978" t="s">
        <v>162</v>
      </c>
      <c r="AA3978" t="s">
        <v>167</v>
      </c>
      <c r="AB3978">
        <v>4.0999999999999996</v>
      </c>
      <c r="AC3978">
        <v>50</v>
      </c>
      <c r="AD3978">
        <v>267.85000000000002</v>
      </c>
      <c r="AE3978">
        <f t="shared" si="124"/>
        <v>1959.3000000000002</v>
      </c>
      <c r="AF3978" t="str">
        <f t="shared" si="125"/>
        <v>2026-05</v>
      </c>
      <c r="AG3978">
        <f>SUBTOTAL(103,A3978)</f>
        <v>1</v>
      </c>
    </row>
    <row r="3979" spans="1:33" x14ac:dyDescent="0.3">
      <c r="A3979" t="s">
        <v>6602</v>
      </c>
      <c r="B3979" s="13">
        <v>46169</v>
      </c>
      <c r="C3979">
        <v>2026</v>
      </c>
      <c r="D3979">
        <v>5</v>
      </c>
      <c r="E3979" t="s">
        <v>3566</v>
      </c>
      <c r="F3979" t="s">
        <v>3329</v>
      </c>
      <c r="G3979" t="s">
        <v>1153</v>
      </c>
      <c r="H3979" t="s">
        <v>1154</v>
      </c>
      <c r="I3979" t="s">
        <v>85</v>
      </c>
      <c r="J3979">
        <v>24</v>
      </c>
      <c r="K3979" t="s">
        <v>80</v>
      </c>
      <c r="L3979" t="s">
        <v>2634</v>
      </c>
      <c r="M3979" t="s">
        <v>56</v>
      </c>
      <c r="N3979" t="s">
        <v>2590</v>
      </c>
      <c r="O3979" t="s">
        <v>127</v>
      </c>
      <c r="P3979" t="s">
        <v>51</v>
      </c>
      <c r="Q3979" t="s">
        <v>148</v>
      </c>
      <c r="R3979">
        <v>1</v>
      </c>
      <c r="S3979">
        <v>1599</v>
      </c>
      <c r="T3979">
        <v>0.05</v>
      </c>
      <c r="U3979">
        <v>1519.05</v>
      </c>
      <c r="V3979">
        <v>800</v>
      </c>
      <c r="W3979">
        <v>719.05</v>
      </c>
      <c r="X3979" t="s">
        <v>74</v>
      </c>
      <c r="Y3979" t="s">
        <v>68</v>
      </c>
      <c r="Z3979" t="s">
        <v>161</v>
      </c>
      <c r="AA3979" t="s">
        <v>168</v>
      </c>
      <c r="AB3979">
        <v>4.5</v>
      </c>
      <c r="AC3979">
        <v>120</v>
      </c>
      <c r="AD3979">
        <v>83.9</v>
      </c>
      <c r="AE3979">
        <f t="shared" si="124"/>
        <v>515.15</v>
      </c>
      <c r="AF3979" t="str">
        <f t="shared" si="125"/>
        <v>2026-05</v>
      </c>
      <c r="AG3979">
        <f>SUBTOTAL(103,A3979)</f>
        <v>1</v>
      </c>
    </row>
    <row r="3980" spans="1:33" x14ac:dyDescent="0.3">
      <c r="A3980" t="s">
        <v>6603</v>
      </c>
      <c r="B3980" s="13">
        <v>46169</v>
      </c>
      <c r="C3980">
        <v>2026</v>
      </c>
      <c r="D3980">
        <v>5</v>
      </c>
      <c r="E3980" t="s">
        <v>3566</v>
      </c>
      <c r="F3980" t="s">
        <v>3329</v>
      </c>
      <c r="G3980" t="s">
        <v>903</v>
      </c>
      <c r="H3980" t="s">
        <v>904</v>
      </c>
      <c r="I3980" t="s">
        <v>86</v>
      </c>
      <c r="J3980">
        <v>59</v>
      </c>
      <c r="K3980" t="s">
        <v>83</v>
      </c>
      <c r="L3980" t="s">
        <v>93</v>
      </c>
      <c r="M3980" t="s">
        <v>55</v>
      </c>
      <c r="N3980" t="s">
        <v>2584</v>
      </c>
      <c r="O3980" t="s">
        <v>121</v>
      </c>
      <c r="P3980" t="s">
        <v>50</v>
      </c>
      <c r="Q3980" t="s">
        <v>144</v>
      </c>
      <c r="R3980">
        <v>2</v>
      </c>
      <c r="S3980">
        <v>2999</v>
      </c>
      <c r="T3980">
        <v>0.2</v>
      </c>
      <c r="U3980">
        <v>4798.3999999999996</v>
      </c>
      <c r="V3980">
        <v>3400</v>
      </c>
      <c r="W3980">
        <v>1398.4</v>
      </c>
      <c r="X3980" t="s">
        <v>73</v>
      </c>
      <c r="Y3980" t="s">
        <v>68</v>
      </c>
      <c r="Z3980" t="s">
        <v>158</v>
      </c>
      <c r="AA3980" t="s">
        <v>169</v>
      </c>
      <c r="AB3980">
        <v>4.3</v>
      </c>
      <c r="AC3980">
        <v>60</v>
      </c>
      <c r="AD3980">
        <v>452.68</v>
      </c>
      <c r="AE3980">
        <f t="shared" si="124"/>
        <v>885.72</v>
      </c>
      <c r="AF3980" t="str">
        <f t="shared" si="125"/>
        <v>2026-05</v>
      </c>
      <c r="AG3980">
        <f>SUBTOTAL(103,A3980)</f>
        <v>1</v>
      </c>
    </row>
    <row r="3981" spans="1:33" x14ac:dyDescent="0.3">
      <c r="A3981" t="s">
        <v>6604</v>
      </c>
      <c r="B3981" s="13">
        <v>46170</v>
      </c>
      <c r="C3981">
        <v>2026</v>
      </c>
      <c r="D3981">
        <v>5</v>
      </c>
      <c r="E3981" t="s">
        <v>3566</v>
      </c>
      <c r="F3981" t="s">
        <v>3329</v>
      </c>
      <c r="G3981" t="s">
        <v>2491</v>
      </c>
      <c r="H3981" t="s">
        <v>2492</v>
      </c>
      <c r="I3981" t="s">
        <v>86</v>
      </c>
      <c r="J3981">
        <v>48</v>
      </c>
      <c r="K3981" t="s">
        <v>83</v>
      </c>
      <c r="L3981" t="s">
        <v>2674</v>
      </c>
      <c r="M3981" t="s">
        <v>58</v>
      </c>
      <c r="N3981" t="s">
        <v>2657</v>
      </c>
      <c r="O3981" t="s">
        <v>134</v>
      </c>
      <c r="P3981" t="s">
        <v>49</v>
      </c>
      <c r="Q3981" t="s">
        <v>140</v>
      </c>
      <c r="R3981">
        <v>3</v>
      </c>
      <c r="S3981">
        <v>599</v>
      </c>
      <c r="T3981">
        <v>0.1</v>
      </c>
      <c r="U3981">
        <v>1617.3</v>
      </c>
      <c r="V3981">
        <v>750</v>
      </c>
      <c r="W3981">
        <v>867.3</v>
      </c>
      <c r="X3981" t="s">
        <v>74</v>
      </c>
      <c r="Y3981" t="s">
        <v>68</v>
      </c>
      <c r="Z3981" t="s">
        <v>163</v>
      </c>
      <c r="AA3981" t="s">
        <v>166</v>
      </c>
      <c r="AB3981">
        <v>4.8</v>
      </c>
      <c r="AC3981">
        <v>60</v>
      </c>
      <c r="AD3981">
        <v>104.37</v>
      </c>
      <c r="AE3981">
        <f t="shared" si="124"/>
        <v>702.93</v>
      </c>
      <c r="AF3981" t="str">
        <f t="shared" si="125"/>
        <v>2026-05</v>
      </c>
      <c r="AG3981">
        <f>SUBTOTAL(103,A3981)</f>
        <v>1</v>
      </c>
    </row>
    <row r="3982" spans="1:33" x14ac:dyDescent="0.3">
      <c r="A3982" t="s">
        <v>6605</v>
      </c>
      <c r="B3982" s="13">
        <v>46170</v>
      </c>
      <c r="C3982">
        <v>2026</v>
      </c>
      <c r="D3982">
        <v>5</v>
      </c>
      <c r="E3982" t="s">
        <v>3566</v>
      </c>
      <c r="F3982" t="s">
        <v>3329</v>
      </c>
      <c r="G3982" t="s">
        <v>983</v>
      </c>
      <c r="H3982" t="s">
        <v>984</v>
      </c>
      <c r="I3982" t="s">
        <v>86</v>
      </c>
      <c r="J3982">
        <v>48</v>
      </c>
      <c r="K3982" t="s">
        <v>83</v>
      </c>
      <c r="L3982" t="s">
        <v>92</v>
      </c>
      <c r="M3982" t="s">
        <v>59</v>
      </c>
      <c r="N3982" t="s">
        <v>2592</v>
      </c>
      <c r="O3982" t="s">
        <v>115</v>
      </c>
      <c r="P3982" t="s">
        <v>48</v>
      </c>
      <c r="Q3982" t="s">
        <v>137</v>
      </c>
      <c r="R3982">
        <v>2</v>
      </c>
      <c r="S3982">
        <v>12999</v>
      </c>
      <c r="T3982">
        <v>0.2</v>
      </c>
      <c r="U3982">
        <v>20798.400000000001</v>
      </c>
      <c r="V3982">
        <v>18000</v>
      </c>
      <c r="W3982">
        <v>2798.4</v>
      </c>
      <c r="X3982" t="s">
        <v>77</v>
      </c>
      <c r="Y3982" t="s">
        <v>68</v>
      </c>
      <c r="Z3982" t="s">
        <v>161</v>
      </c>
      <c r="AA3982" t="s">
        <v>170</v>
      </c>
      <c r="AB3982">
        <v>3.3</v>
      </c>
      <c r="AC3982">
        <v>100</v>
      </c>
      <c r="AD3982">
        <v>1231</v>
      </c>
      <c r="AE3982">
        <f t="shared" si="124"/>
        <v>1467.4</v>
      </c>
      <c r="AF3982" t="str">
        <f t="shared" si="125"/>
        <v>2026-05</v>
      </c>
      <c r="AG3982">
        <f>SUBTOTAL(103,A3982)</f>
        <v>1</v>
      </c>
    </row>
    <row r="3983" spans="1:33" x14ac:dyDescent="0.3">
      <c r="A3983" t="s">
        <v>6606</v>
      </c>
      <c r="B3983" s="13">
        <v>46170</v>
      </c>
      <c r="C3983">
        <v>2026</v>
      </c>
      <c r="D3983">
        <v>5</v>
      </c>
      <c r="E3983" t="s">
        <v>3566</v>
      </c>
      <c r="F3983" t="s">
        <v>3329</v>
      </c>
      <c r="G3983" t="s">
        <v>239</v>
      </c>
      <c r="H3983" t="s">
        <v>240</v>
      </c>
      <c r="I3983" t="s">
        <v>85</v>
      </c>
      <c r="J3983">
        <v>43</v>
      </c>
      <c r="K3983" t="s">
        <v>82</v>
      </c>
      <c r="L3983" t="s">
        <v>2579</v>
      </c>
      <c r="M3983" t="s">
        <v>56</v>
      </c>
      <c r="N3983" t="s">
        <v>2647</v>
      </c>
      <c r="O3983" t="s">
        <v>133</v>
      </c>
      <c r="P3983" t="s">
        <v>50</v>
      </c>
      <c r="Q3983" t="s">
        <v>145</v>
      </c>
      <c r="R3983">
        <v>4</v>
      </c>
      <c r="S3983">
        <v>799</v>
      </c>
      <c r="T3983">
        <v>0.15</v>
      </c>
      <c r="U3983">
        <v>2716.6</v>
      </c>
      <c r="V3983">
        <v>1560</v>
      </c>
      <c r="W3983">
        <v>1156.5999999999999</v>
      </c>
      <c r="X3983" t="s">
        <v>75</v>
      </c>
      <c r="Y3983" t="s">
        <v>68</v>
      </c>
      <c r="Z3983" t="s">
        <v>160</v>
      </c>
      <c r="AA3983" t="s">
        <v>170</v>
      </c>
      <c r="AB3983">
        <v>4.3</v>
      </c>
      <c r="AC3983">
        <v>60</v>
      </c>
      <c r="AD3983">
        <v>135.38</v>
      </c>
      <c r="AE3983">
        <f t="shared" si="124"/>
        <v>961.21999999999991</v>
      </c>
      <c r="AF3983" t="str">
        <f t="shared" si="125"/>
        <v>2026-05</v>
      </c>
      <c r="AG3983">
        <f>SUBTOTAL(103,A3983)</f>
        <v>1</v>
      </c>
    </row>
    <row r="3984" spans="1:33" x14ac:dyDescent="0.3">
      <c r="A3984" t="s">
        <v>6607</v>
      </c>
      <c r="B3984" s="13">
        <v>46170</v>
      </c>
      <c r="C3984">
        <v>2026</v>
      </c>
      <c r="D3984">
        <v>5</v>
      </c>
      <c r="E3984" t="s">
        <v>3566</v>
      </c>
      <c r="F3984" t="s">
        <v>3329</v>
      </c>
      <c r="G3984" t="s">
        <v>881</v>
      </c>
      <c r="H3984" t="s">
        <v>882</v>
      </c>
      <c r="I3984" t="s">
        <v>86</v>
      </c>
      <c r="J3984">
        <v>47</v>
      </c>
      <c r="K3984" t="s">
        <v>83</v>
      </c>
      <c r="L3984" t="s">
        <v>2679</v>
      </c>
      <c r="M3984" t="s">
        <v>60</v>
      </c>
      <c r="N3984" t="s">
        <v>2584</v>
      </c>
      <c r="O3984" t="s">
        <v>121</v>
      </c>
      <c r="P3984" t="s">
        <v>50</v>
      </c>
      <c r="Q3984" t="s">
        <v>144</v>
      </c>
      <c r="R3984">
        <v>1</v>
      </c>
      <c r="S3984">
        <v>2999</v>
      </c>
      <c r="T3984">
        <v>0.05</v>
      </c>
      <c r="U3984">
        <v>2849.05</v>
      </c>
      <c r="V3984">
        <v>1700</v>
      </c>
      <c r="W3984">
        <v>1149.05</v>
      </c>
      <c r="X3984" t="s">
        <v>73</v>
      </c>
      <c r="Y3984" t="s">
        <v>68</v>
      </c>
      <c r="Z3984" t="s">
        <v>160</v>
      </c>
      <c r="AA3984" t="s">
        <v>171</v>
      </c>
      <c r="AB3984">
        <v>4.3</v>
      </c>
      <c r="AC3984">
        <v>60</v>
      </c>
      <c r="AD3984">
        <v>89.15</v>
      </c>
      <c r="AE3984">
        <f t="shared" si="124"/>
        <v>999.9</v>
      </c>
      <c r="AF3984" t="str">
        <f t="shared" si="125"/>
        <v>2026-05</v>
      </c>
      <c r="AG3984">
        <f>SUBTOTAL(103,A3984)</f>
        <v>1</v>
      </c>
    </row>
    <row r="3985" spans="1:33" x14ac:dyDescent="0.3">
      <c r="A3985" t="s">
        <v>6608</v>
      </c>
      <c r="B3985" s="13">
        <v>46170</v>
      </c>
      <c r="C3985">
        <v>2026</v>
      </c>
      <c r="D3985">
        <v>5</v>
      </c>
      <c r="E3985" t="s">
        <v>3566</v>
      </c>
      <c r="F3985" t="s">
        <v>3329</v>
      </c>
      <c r="G3985" t="s">
        <v>1401</v>
      </c>
      <c r="H3985" t="s">
        <v>1402</v>
      </c>
      <c r="I3985" t="s">
        <v>86</v>
      </c>
      <c r="J3985">
        <v>22</v>
      </c>
      <c r="K3985" t="s">
        <v>80</v>
      </c>
      <c r="L3985" t="s">
        <v>2610</v>
      </c>
      <c r="M3985" t="s">
        <v>64</v>
      </c>
      <c r="N3985" t="s">
        <v>2644</v>
      </c>
      <c r="O3985" t="s">
        <v>126</v>
      </c>
      <c r="P3985" t="s">
        <v>50</v>
      </c>
      <c r="Q3985" t="s">
        <v>145</v>
      </c>
      <c r="R3985">
        <v>1</v>
      </c>
      <c r="S3985">
        <v>1799</v>
      </c>
      <c r="T3985">
        <v>0.1</v>
      </c>
      <c r="U3985">
        <v>0</v>
      </c>
      <c r="V3985">
        <v>0</v>
      </c>
      <c r="W3985">
        <v>0</v>
      </c>
      <c r="X3985" t="s">
        <v>76</v>
      </c>
      <c r="Y3985" t="s">
        <v>71</v>
      </c>
      <c r="Z3985" t="s">
        <v>159</v>
      </c>
      <c r="AA3985" t="s">
        <v>170</v>
      </c>
      <c r="AB3985">
        <v>4.4000000000000004</v>
      </c>
      <c r="AC3985">
        <v>80</v>
      </c>
      <c r="AD3985">
        <v>95.21</v>
      </c>
      <c r="AE3985">
        <f t="shared" si="124"/>
        <v>-175.20999999999998</v>
      </c>
      <c r="AF3985" t="str">
        <f t="shared" si="125"/>
        <v>2026-05</v>
      </c>
      <c r="AG3985">
        <f>SUBTOTAL(103,A3985)</f>
        <v>1</v>
      </c>
    </row>
    <row r="3986" spans="1:33" x14ac:dyDescent="0.3">
      <c r="A3986" t="s">
        <v>6609</v>
      </c>
      <c r="B3986" s="13">
        <v>46170</v>
      </c>
      <c r="C3986">
        <v>2026</v>
      </c>
      <c r="D3986">
        <v>5</v>
      </c>
      <c r="E3986" t="s">
        <v>3566</v>
      </c>
      <c r="F3986" t="s">
        <v>3329</v>
      </c>
      <c r="G3986" t="s">
        <v>689</v>
      </c>
      <c r="H3986" t="s">
        <v>690</v>
      </c>
      <c r="I3986" t="s">
        <v>85</v>
      </c>
      <c r="J3986">
        <v>36</v>
      </c>
      <c r="K3986" t="s">
        <v>82</v>
      </c>
      <c r="L3986" t="s">
        <v>2637</v>
      </c>
      <c r="M3986" t="s">
        <v>64</v>
      </c>
      <c r="N3986" t="s">
        <v>2647</v>
      </c>
      <c r="O3986" t="s">
        <v>133</v>
      </c>
      <c r="P3986" t="s">
        <v>50</v>
      </c>
      <c r="Q3986" t="s">
        <v>145</v>
      </c>
      <c r="R3986">
        <v>1</v>
      </c>
      <c r="S3986">
        <v>799</v>
      </c>
      <c r="T3986">
        <v>0.25</v>
      </c>
      <c r="U3986">
        <v>599.25</v>
      </c>
      <c r="V3986">
        <v>390</v>
      </c>
      <c r="W3986">
        <v>209.25</v>
      </c>
      <c r="X3986" t="s">
        <v>76</v>
      </c>
      <c r="Y3986" t="s">
        <v>69</v>
      </c>
      <c r="Z3986" t="s">
        <v>158</v>
      </c>
      <c r="AA3986" t="s">
        <v>166</v>
      </c>
      <c r="AB3986">
        <v>3.3</v>
      </c>
      <c r="AC3986">
        <v>60</v>
      </c>
      <c r="AD3986">
        <v>70.78</v>
      </c>
      <c r="AE3986">
        <f t="shared" si="124"/>
        <v>78.47</v>
      </c>
      <c r="AF3986" t="str">
        <f t="shared" si="125"/>
        <v>2026-05</v>
      </c>
      <c r="AG3986">
        <f>SUBTOTAL(103,A3986)</f>
        <v>1</v>
      </c>
    </row>
    <row r="3987" spans="1:33" x14ac:dyDescent="0.3">
      <c r="A3987" t="s">
        <v>6610</v>
      </c>
      <c r="B3987" s="13">
        <v>46170</v>
      </c>
      <c r="C3987">
        <v>2026</v>
      </c>
      <c r="D3987">
        <v>5</v>
      </c>
      <c r="E3987" t="s">
        <v>3566</v>
      </c>
      <c r="F3987" t="s">
        <v>3329</v>
      </c>
      <c r="G3987" t="s">
        <v>483</v>
      </c>
      <c r="H3987" t="s">
        <v>484</v>
      </c>
      <c r="I3987" t="s">
        <v>85</v>
      </c>
      <c r="J3987">
        <v>32</v>
      </c>
      <c r="K3987" t="s">
        <v>81</v>
      </c>
      <c r="L3987" t="s">
        <v>2605</v>
      </c>
      <c r="M3987" t="s">
        <v>60</v>
      </c>
      <c r="N3987" t="s">
        <v>2596</v>
      </c>
      <c r="O3987" t="s">
        <v>124</v>
      </c>
      <c r="P3987" t="s">
        <v>51</v>
      </c>
      <c r="Q3987" t="s">
        <v>147</v>
      </c>
      <c r="R3987">
        <v>3</v>
      </c>
      <c r="S3987">
        <v>2299</v>
      </c>
      <c r="T3987">
        <v>0.1</v>
      </c>
      <c r="U3987">
        <v>6207.3</v>
      </c>
      <c r="V3987">
        <v>3600</v>
      </c>
      <c r="W3987">
        <v>2607.3000000000002</v>
      </c>
      <c r="X3987" t="s">
        <v>74</v>
      </c>
      <c r="Y3987" t="s">
        <v>68</v>
      </c>
      <c r="Z3987" t="s">
        <v>160</v>
      </c>
      <c r="AA3987" t="s">
        <v>167</v>
      </c>
      <c r="AB3987">
        <v>3.1</v>
      </c>
      <c r="AC3987">
        <v>80</v>
      </c>
      <c r="AD3987">
        <v>721.49</v>
      </c>
      <c r="AE3987">
        <f t="shared" si="124"/>
        <v>1805.8100000000002</v>
      </c>
      <c r="AF3987" t="str">
        <f t="shared" si="125"/>
        <v>2026-05</v>
      </c>
      <c r="AG3987">
        <f>SUBTOTAL(103,A3987)</f>
        <v>1</v>
      </c>
    </row>
    <row r="3988" spans="1:33" x14ac:dyDescent="0.3">
      <c r="A3988" t="s">
        <v>6611</v>
      </c>
      <c r="B3988" s="13">
        <v>46170</v>
      </c>
      <c r="C3988">
        <v>2026</v>
      </c>
      <c r="D3988">
        <v>5</v>
      </c>
      <c r="E3988" t="s">
        <v>3566</v>
      </c>
      <c r="F3988" t="s">
        <v>3329</v>
      </c>
      <c r="G3988" t="s">
        <v>1831</v>
      </c>
      <c r="H3988" t="s">
        <v>1832</v>
      </c>
      <c r="I3988" t="s">
        <v>86</v>
      </c>
      <c r="J3988">
        <v>34</v>
      </c>
      <c r="K3988" t="s">
        <v>81</v>
      </c>
      <c r="L3988" t="s">
        <v>91</v>
      </c>
      <c r="M3988" t="s">
        <v>55</v>
      </c>
      <c r="N3988" t="s">
        <v>2606</v>
      </c>
      <c r="O3988" t="s">
        <v>120</v>
      </c>
      <c r="P3988" t="s">
        <v>49</v>
      </c>
      <c r="Q3988" t="s">
        <v>140</v>
      </c>
      <c r="R3988">
        <v>1</v>
      </c>
      <c r="S3988">
        <v>2799</v>
      </c>
      <c r="T3988">
        <v>0</v>
      </c>
      <c r="U3988">
        <v>2799</v>
      </c>
      <c r="V3988">
        <v>1650</v>
      </c>
      <c r="W3988">
        <v>1149</v>
      </c>
      <c r="X3988" t="s">
        <v>74</v>
      </c>
      <c r="Y3988" t="s">
        <v>68</v>
      </c>
      <c r="Z3988" t="s">
        <v>160</v>
      </c>
      <c r="AA3988" t="s">
        <v>167</v>
      </c>
      <c r="AB3988">
        <v>3.4</v>
      </c>
      <c r="AC3988">
        <v>50</v>
      </c>
      <c r="AD3988">
        <v>151.85</v>
      </c>
      <c r="AE3988">
        <f t="shared" si="124"/>
        <v>947.15</v>
      </c>
      <c r="AF3988" t="str">
        <f t="shared" si="125"/>
        <v>2026-05</v>
      </c>
      <c r="AG3988">
        <f>SUBTOTAL(103,A3988)</f>
        <v>1</v>
      </c>
    </row>
    <row r="3989" spans="1:33" x14ac:dyDescent="0.3">
      <c r="A3989" t="s">
        <v>6612</v>
      </c>
      <c r="B3989" s="13">
        <v>46171</v>
      </c>
      <c r="C3989">
        <v>2026</v>
      </c>
      <c r="D3989">
        <v>5</v>
      </c>
      <c r="E3989" t="s">
        <v>3566</v>
      </c>
      <c r="F3989" t="s">
        <v>3329</v>
      </c>
      <c r="G3989" t="s">
        <v>1465</v>
      </c>
      <c r="H3989" t="s">
        <v>1466</v>
      </c>
      <c r="I3989" t="s">
        <v>85</v>
      </c>
      <c r="J3989">
        <v>53</v>
      </c>
      <c r="K3989" t="s">
        <v>83</v>
      </c>
      <c r="L3989" t="s">
        <v>2637</v>
      </c>
      <c r="M3989" t="s">
        <v>64</v>
      </c>
      <c r="N3989" t="s">
        <v>2653</v>
      </c>
      <c r="O3989" t="s">
        <v>132</v>
      </c>
      <c r="P3989" t="s">
        <v>52</v>
      </c>
      <c r="Q3989" t="s">
        <v>150</v>
      </c>
      <c r="R3989">
        <v>4</v>
      </c>
      <c r="S3989">
        <v>899</v>
      </c>
      <c r="T3989">
        <v>0</v>
      </c>
      <c r="U3989">
        <v>3596</v>
      </c>
      <c r="V3989">
        <v>1680</v>
      </c>
      <c r="W3989">
        <v>1916</v>
      </c>
      <c r="X3989" t="s">
        <v>73</v>
      </c>
      <c r="Y3989" t="s">
        <v>68</v>
      </c>
      <c r="Z3989" t="s">
        <v>159</v>
      </c>
      <c r="AA3989" t="s">
        <v>167</v>
      </c>
      <c r="AB3989">
        <v>4.5</v>
      </c>
      <c r="AC3989">
        <v>60</v>
      </c>
      <c r="AD3989">
        <v>127.13</v>
      </c>
      <c r="AE3989">
        <f t="shared" si="124"/>
        <v>1728.87</v>
      </c>
      <c r="AF3989" t="str">
        <f t="shared" si="125"/>
        <v>2026-05</v>
      </c>
      <c r="AG3989">
        <f>SUBTOTAL(103,A3989)</f>
        <v>1</v>
      </c>
    </row>
    <row r="3990" spans="1:33" x14ac:dyDescent="0.3">
      <c r="A3990" t="s">
        <v>6613</v>
      </c>
      <c r="B3990" s="13">
        <v>46171</v>
      </c>
      <c r="C3990">
        <v>2026</v>
      </c>
      <c r="D3990">
        <v>5</v>
      </c>
      <c r="E3990" t="s">
        <v>3566</v>
      </c>
      <c r="F3990" t="s">
        <v>3329</v>
      </c>
      <c r="G3990" t="s">
        <v>627</v>
      </c>
      <c r="H3990" t="s">
        <v>628</v>
      </c>
      <c r="I3990" t="s">
        <v>86</v>
      </c>
      <c r="J3990">
        <v>46</v>
      </c>
      <c r="K3990" t="s">
        <v>83</v>
      </c>
      <c r="L3990" t="s">
        <v>94</v>
      </c>
      <c r="M3990" t="s">
        <v>57</v>
      </c>
      <c r="N3990" t="s">
        <v>2584</v>
      </c>
      <c r="O3990" t="s">
        <v>121</v>
      </c>
      <c r="P3990" t="s">
        <v>50</v>
      </c>
      <c r="Q3990" t="s">
        <v>144</v>
      </c>
      <c r="R3990">
        <v>1</v>
      </c>
      <c r="S3990">
        <v>2999</v>
      </c>
      <c r="T3990">
        <v>0.1</v>
      </c>
      <c r="U3990">
        <v>2699.1</v>
      </c>
      <c r="V3990">
        <v>1700</v>
      </c>
      <c r="W3990">
        <v>999.1</v>
      </c>
      <c r="X3990" t="s">
        <v>77</v>
      </c>
      <c r="Y3990" t="s">
        <v>68</v>
      </c>
      <c r="Z3990" t="s">
        <v>163</v>
      </c>
      <c r="AA3990" t="s">
        <v>169</v>
      </c>
      <c r="AB3990">
        <v>3.6</v>
      </c>
      <c r="AC3990">
        <v>50</v>
      </c>
      <c r="AD3990">
        <v>91.24</v>
      </c>
      <c r="AE3990">
        <f t="shared" si="124"/>
        <v>857.86</v>
      </c>
      <c r="AF3990" t="str">
        <f t="shared" si="125"/>
        <v>2026-05</v>
      </c>
      <c r="AG3990">
        <f>SUBTOTAL(103,A3990)</f>
        <v>1</v>
      </c>
    </row>
    <row r="3991" spans="1:33" x14ac:dyDescent="0.3">
      <c r="A3991" t="s">
        <v>6614</v>
      </c>
      <c r="B3991" s="13">
        <v>46171</v>
      </c>
      <c r="C3991">
        <v>2026</v>
      </c>
      <c r="D3991">
        <v>5</v>
      </c>
      <c r="E3991" t="s">
        <v>3566</v>
      </c>
      <c r="F3991" t="s">
        <v>3329</v>
      </c>
      <c r="G3991" t="s">
        <v>2199</v>
      </c>
      <c r="H3991" t="s">
        <v>2200</v>
      </c>
      <c r="I3991" t="s">
        <v>86</v>
      </c>
      <c r="J3991">
        <v>39</v>
      </c>
      <c r="K3991" t="s">
        <v>82</v>
      </c>
      <c r="L3991" t="s">
        <v>2573</v>
      </c>
      <c r="M3991" t="s">
        <v>63</v>
      </c>
      <c r="N3991" t="s">
        <v>2584</v>
      </c>
      <c r="O3991" t="s">
        <v>121</v>
      </c>
      <c r="P3991" t="s">
        <v>50</v>
      </c>
      <c r="Q3991" t="s">
        <v>144</v>
      </c>
      <c r="R3991">
        <v>1</v>
      </c>
      <c r="S3991">
        <v>2999</v>
      </c>
      <c r="T3991">
        <v>0.15</v>
      </c>
      <c r="U3991">
        <v>2549.15</v>
      </c>
      <c r="V3991">
        <v>1700</v>
      </c>
      <c r="W3991">
        <v>849.15</v>
      </c>
      <c r="X3991" t="s">
        <v>74</v>
      </c>
      <c r="Y3991" t="s">
        <v>68</v>
      </c>
      <c r="Z3991" t="s">
        <v>160</v>
      </c>
      <c r="AA3991" t="s">
        <v>168</v>
      </c>
      <c r="AB3991">
        <v>4.9000000000000004</v>
      </c>
      <c r="AC3991">
        <v>80</v>
      </c>
      <c r="AD3991">
        <v>127.91</v>
      </c>
      <c r="AE3991">
        <f t="shared" si="124"/>
        <v>641.24</v>
      </c>
      <c r="AF3991" t="str">
        <f t="shared" si="125"/>
        <v>2026-05</v>
      </c>
      <c r="AG3991">
        <f>SUBTOTAL(103,A3991)</f>
        <v>1</v>
      </c>
    </row>
    <row r="3992" spans="1:33" x14ac:dyDescent="0.3">
      <c r="A3992" t="s">
        <v>6615</v>
      </c>
      <c r="B3992" s="13">
        <v>46171</v>
      </c>
      <c r="C3992">
        <v>2026</v>
      </c>
      <c r="D3992">
        <v>5</v>
      </c>
      <c r="E3992" t="s">
        <v>3566</v>
      </c>
      <c r="F3992" t="s">
        <v>3329</v>
      </c>
      <c r="G3992" t="s">
        <v>745</v>
      </c>
      <c r="H3992" t="s">
        <v>746</v>
      </c>
      <c r="I3992" t="s">
        <v>85</v>
      </c>
      <c r="J3992">
        <v>30</v>
      </c>
      <c r="K3992" t="s">
        <v>81</v>
      </c>
      <c r="L3992" t="s">
        <v>2637</v>
      </c>
      <c r="M3992" t="s">
        <v>64</v>
      </c>
      <c r="N3992" t="s">
        <v>2626</v>
      </c>
      <c r="O3992" t="s">
        <v>125</v>
      </c>
      <c r="P3992" t="s">
        <v>48</v>
      </c>
      <c r="Q3992" t="s">
        <v>141</v>
      </c>
      <c r="R3992">
        <v>1</v>
      </c>
      <c r="S3992">
        <v>1999</v>
      </c>
      <c r="T3992">
        <v>0</v>
      </c>
      <c r="U3992">
        <v>1999</v>
      </c>
      <c r="V3992">
        <v>1150</v>
      </c>
      <c r="W3992">
        <v>849</v>
      </c>
      <c r="X3992" t="s">
        <v>75</v>
      </c>
      <c r="Y3992" t="s">
        <v>68</v>
      </c>
      <c r="Z3992" t="s">
        <v>160</v>
      </c>
      <c r="AA3992" t="s">
        <v>170</v>
      </c>
      <c r="AB3992">
        <v>4</v>
      </c>
      <c r="AC3992">
        <v>50</v>
      </c>
      <c r="AD3992">
        <v>233.16</v>
      </c>
      <c r="AE3992">
        <f t="shared" si="124"/>
        <v>565.84</v>
      </c>
      <c r="AF3992" t="str">
        <f t="shared" si="125"/>
        <v>2026-05</v>
      </c>
      <c r="AG3992">
        <f>SUBTOTAL(103,A3992)</f>
        <v>1</v>
      </c>
    </row>
    <row r="3993" spans="1:33" x14ac:dyDescent="0.3">
      <c r="A3993" t="s">
        <v>6616</v>
      </c>
      <c r="B3993" s="13">
        <v>46171</v>
      </c>
      <c r="C3993">
        <v>2026</v>
      </c>
      <c r="D3993">
        <v>5</v>
      </c>
      <c r="E3993" t="s">
        <v>3566</v>
      </c>
      <c r="F3993" t="s">
        <v>3329</v>
      </c>
      <c r="G3993" t="s">
        <v>593</v>
      </c>
      <c r="H3993" t="s">
        <v>594</v>
      </c>
      <c r="I3993" t="s">
        <v>86</v>
      </c>
      <c r="J3993">
        <v>36</v>
      </c>
      <c r="K3993" t="s">
        <v>82</v>
      </c>
      <c r="L3993" t="s">
        <v>93</v>
      </c>
      <c r="M3993" t="s">
        <v>55</v>
      </c>
      <c r="N3993" t="s">
        <v>2594</v>
      </c>
      <c r="O3993" t="s">
        <v>131</v>
      </c>
      <c r="P3993" t="s">
        <v>53</v>
      </c>
      <c r="Q3993" t="s">
        <v>143</v>
      </c>
      <c r="R3993">
        <v>2</v>
      </c>
      <c r="S3993">
        <v>999</v>
      </c>
      <c r="T3993">
        <v>0.2</v>
      </c>
      <c r="U3993">
        <v>1598.4</v>
      </c>
      <c r="V3993">
        <v>1040</v>
      </c>
      <c r="W3993">
        <v>558.4</v>
      </c>
      <c r="X3993" t="s">
        <v>73</v>
      </c>
      <c r="Y3993" t="s">
        <v>68</v>
      </c>
      <c r="Z3993" t="s">
        <v>161</v>
      </c>
      <c r="AA3993" t="s">
        <v>169</v>
      </c>
      <c r="AB3993">
        <v>4.9000000000000004</v>
      </c>
      <c r="AC3993">
        <v>60</v>
      </c>
      <c r="AD3993">
        <v>55.33</v>
      </c>
      <c r="AE3993">
        <f t="shared" si="124"/>
        <v>443.07</v>
      </c>
      <c r="AF3993" t="str">
        <f t="shared" si="125"/>
        <v>2026-05</v>
      </c>
      <c r="AG3993">
        <f>SUBTOTAL(103,A3993)</f>
        <v>1</v>
      </c>
    </row>
    <row r="3994" spans="1:33" x14ac:dyDescent="0.3">
      <c r="A3994" t="s">
        <v>6617</v>
      </c>
      <c r="B3994" s="13">
        <v>46171</v>
      </c>
      <c r="C3994">
        <v>2026</v>
      </c>
      <c r="D3994">
        <v>5</v>
      </c>
      <c r="E3994" t="s">
        <v>3566</v>
      </c>
      <c r="F3994" t="s">
        <v>3329</v>
      </c>
      <c r="G3994" t="s">
        <v>339</v>
      </c>
      <c r="H3994" t="s">
        <v>340</v>
      </c>
      <c r="I3994" t="s">
        <v>86</v>
      </c>
      <c r="J3994">
        <v>32</v>
      </c>
      <c r="K3994" t="s">
        <v>81</v>
      </c>
      <c r="L3994" t="s">
        <v>59</v>
      </c>
      <c r="M3994" t="s">
        <v>59</v>
      </c>
      <c r="N3994" t="s">
        <v>2601</v>
      </c>
      <c r="O3994" t="s">
        <v>117</v>
      </c>
      <c r="P3994" t="s">
        <v>49</v>
      </c>
      <c r="Q3994" t="s">
        <v>139</v>
      </c>
      <c r="R3994">
        <v>3</v>
      </c>
      <c r="S3994">
        <v>6999</v>
      </c>
      <c r="T3994">
        <v>0.05</v>
      </c>
      <c r="U3994">
        <v>19947.150000000001</v>
      </c>
      <c r="V3994">
        <v>12900</v>
      </c>
      <c r="W3994">
        <v>7047.15</v>
      </c>
      <c r="X3994" t="s">
        <v>73</v>
      </c>
      <c r="Y3994" t="s">
        <v>68</v>
      </c>
      <c r="Z3994" t="s">
        <v>159</v>
      </c>
      <c r="AA3994" t="s">
        <v>170</v>
      </c>
      <c r="AB3994">
        <v>4.4000000000000004</v>
      </c>
      <c r="AC3994">
        <v>50</v>
      </c>
      <c r="AD3994">
        <v>785.63</v>
      </c>
      <c r="AE3994">
        <f t="shared" si="124"/>
        <v>6211.5199999999995</v>
      </c>
      <c r="AF3994" t="str">
        <f t="shared" si="125"/>
        <v>2026-05</v>
      </c>
      <c r="AG3994">
        <f>SUBTOTAL(103,A3994)</f>
        <v>1</v>
      </c>
    </row>
    <row r="3995" spans="1:33" x14ac:dyDescent="0.3">
      <c r="A3995" t="s">
        <v>6618</v>
      </c>
      <c r="B3995" s="13">
        <v>46171</v>
      </c>
      <c r="C3995">
        <v>2026</v>
      </c>
      <c r="D3995">
        <v>5</v>
      </c>
      <c r="E3995" t="s">
        <v>3566</v>
      </c>
      <c r="F3995" t="s">
        <v>3329</v>
      </c>
      <c r="G3995" t="s">
        <v>223</v>
      </c>
      <c r="H3995" t="s">
        <v>224</v>
      </c>
      <c r="I3995" t="s">
        <v>85</v>
      </c>
      <c r="J3995">
        <v>34</v>
      </c>
      <c r="K3995" t="s">
        <v>81</v>
      </c>
      <c r="L3995" t="s">
        <v>97</v>
      </c>
      <c r="M3995" t="s">
        <v>57</v>
      </c>
      <c r="N3995" t="s">
        <v>2601</v>
      </c>
      <c r="O3995" t="s">
        <v>117</v>
      </c>
      <c r="P3995" t="s">
        <v>49</v>
      </c>
      <c r="Q3995" t="s">
        <v>139</v>
      </c>
      <c r="R3995">
        <v>1</v>
      </c>
      <c r="S3995">
        <v>6999</v>
      </c>
      <c r="T3995">
        <v>0.2</v>
      </c>
      <c r="U3995">
        <v>5599.2</v>
      </c>
      <c r="V3995">
        <v>4300</v>
      </c>
      <c r="W3995">
        <v>1299.2</v>
      </c>
      <c r="X3995" t="s">
        <v>73</v>
      </c>
      <c r="Y3995" t="s">
        <v>68</v>
      </c>
      <c r="Z3995" t="s">
        <v>159</v>
      </c>
      <c r="AA3995" t="s">
        <v>170</v>
      </c>
      <c r="AB3995">
        <v>2.8</v>
      </c>
      <c r="AC3995">
        <v>50</v>
      </c>
      <c r="AD3995">
        <v>396.31</v>
      </c>
      <c r="AE3995">
        <f t="shared" si="124"/>
        <v>852.8900000000001</v>
      </c>
      <c r="AF3995" t="str">
        <f t="shared" si="125"/>
        <v>2026-05</v>
      </c>
      <c r="AG3995">
        <f>SUBTOTAL(103,A3995)</f>
        <v>1</v>
      </c>
    </row>
    <row r="3996" spans="1:33" x14ac:dyDescent="0.3">
      <c r="A3996" t="s">
        <v>6619</v>
      </c>
      <c r="B3996" s="13">
        <v>46171</v>
      </c>
      <c r="C3996">
        <v>2026</v>
      </c>
      <c r="D3996">
        <v>5</v>
      </c>
      <c r="E3996" t="s">
        <v>3566</v>
      </c>
      <c r="F3996" t="s">
        <v>3329</v>
      </c>
      <c r="G3996" t="s">
        <v>899</v>
      </c>
      <c r="H3996" t="s">
        <v>900</v>
      </c>
      <c r="I3996" t="s">
        <v>86</v>
      </c>
      <c r="J3996">
        <v>29</v>
      </c>
      <c r="K3996" t="s">
        <v>81</v>
      </c>
      <c r="L3996" t="s">
        <v>2623</v>
      </c>
      <c r="M3996" t="s">
        <v>61</v>
      </c>
      <c r="N3996" t="s">
        <v>2582</v>
      </c>
      <c r="O3996" t="s">
        <v>119</v>
      </c>
      <c r="P3996" t="s">
        <v>49</v>
      </c>
      <c r="Q3996" t="s">
        <v>140</v>
      </c>
      <c r="R3996">
        <v>1</v>
      </c>
      <c r="S3996">
        <v>3499</v>
      </c>
      <c r="T3996">
        <v>0.15</v>
      </c>
      <c r="U3996">
        <v>0</v>
      </c>
      <c r="V3996">
        <v>0</v>
      </c>
      <c r="W3996">
        <v>0</v>
      </c>
      <c r="X3996" t="s">
        <v>74</v>
      </c>
      <c r="Y3996" t="s">
        <v>71</v>
      </c>
      <c r="Z3996" t="s">
        <v>158</v>
      </c>
      <c r="AA3996" t="s">
        <v>169</v>
      </c>
      <c r="AB3996">
        <v>3.9</v>
      </c>
      <c r="AC3996">
        <v>100</v>
      </c>
      <c r="AD3996">
        <v>128.02000000000001</v>
      </c>
      <c r="AE3996">
        <f t="shared" si="124"/>
        <v>-228.02</v>
      </c>
      <c r="AF3996" t="str">
        <f t="shared" si="125"/>
        <v>2026-05</v>
      </c>
      <c r="AG3996">
        <f>SUBTOTAL(103,A3996)</f>
        <v>1</v>
      </c>
    </row>
    <row r="3997" spans="1:33" x14ac:dyDescent="0.3">
      <c r="A3997" t="s">
        <v>6620</v>
      </c>
      <c r="B3997" s="13">
        <v>46172</v>
      </c>
      <c r="C3997">
        <v>2026</v>
      </c>
      <c r="D3997">
        <v>5</v>
      </c>
      <c r="E3997" t="s">
        <v>3566</v>
      </c>
      <c r="F3997" t="s">
        <v>3329</v>
      </c>
      <c r="G3997" t="s">
        <v>933</v>
      </c>
      <c r="H3997" t="s">
        <v>934</v>
      </c>
      <c r="I3997" t="s">
        <v>85</v>
      </c>
      <c r="J3997">
        <v>30</v>
      </c>
      <c r="K3997" t="s">
        <v>81</v>
      </c>
      <c r="L3997" t="s">
        <v>96</v>
      </c>
      <c r="M3997" t="s">
        <v>55</v>
      </c>
      <c r="N3997" t="s">
        <v>2630</v>
      </c>
      <c r="O3997" t="s">
        <v>123</v>
      </c>
      <c r="P3997" t="s">
        <v>52</v>
      </c>
      <c r="Q3997" t="s">
        <v>146</v>
      </c>
      <c r="R3997">
        <v>1</v>
      </c>
      <c r="S3997">
        <v>2499</v>
      </c>
      <c r="T3997">
        <v>0.1</v>
      </c>
      <c r="U3997">
        <v>2249.1</v>
      </c>
      <c r="V3997">
        <v>1400</v>
      </c>
      <c r="W3997">
        <v>849.1</v>
      </c>
      <c r="X3997" t="s">
        <v>74</v>
      </c>
      <c r="Y3997" t="s">
        <v>68</v>
      </c>
      <c r="Z3997" t="s">
        <v>159</v>
      </c>
      <c r="AA3997" t="s">
        <v>168</v>
      </c>
      <c r="AB3997">
        <v>5</v>
      </c>
      <c r="AC3997">
        <v>80</v>
      </c>
      <c r="AD3997">
        <v>264.48</v>
      </c>
      <c r="AE3997">
        <f t="shared" si="124"/>
        <v>504.62</v>
      </c>
      <c r="AF3997" t="str">
        <f t="shared" si="125"/>
        <v>2026-05</v>
      </c>
      <c r="AG3997">
        <f>SUBTOTAL(103,A3997)</f>
        <v>1</v>
      </c>
    </row>
    <row r="3998" spans="1:33" x14ac:dyDescent="0.3">
      <c r="A3998" t="s">
        <v>6621</v>
      </c>
      <c r="B3998" s="13">
        <v>46172</v>
      </c>
      <c r="C3998">
        <v>2026</v>
      </c>
      <c r="D3998">
        <v>5</v>
      </c>
      <c r="E3998" t="s">
        <v>3566</v>
      </c>
      <c r="F3998" t="s">
        <v>3329</v>
      </c>
      <c r="G3998" t="s">
        <v>1755</v>
      </c>
      <c r="H3998" t="s">
        <v>1756</v>
      </c>
      <c r="I3998" t="s">
        <v>86</v>
      </c>
      <c r="J3998">
        <v>23</v>
      </c>
      <c r="K3998" t="s">
        <v>80</v>
      </c>
      <c r="L3998" t="s">
        <v>98</v>
      </c>
      <c r="M3998" t="s">
        <v>55</v>
      </c>
      <c r="N3998" t="s">
        <v>2657</v>
      </c>
      <c r="O3998" t="s">
        <v>134</v>
      </c>
      <c r="P3998" t="s">
        <v>49</v>
      </c>
      <c r="Q3998" t="s">
        <v>140</v>
      </c>
      <c r="R3998">
        <v>4</v>
      </c>
      <c r="S3998">
        <v>599</v>
      </c>
      <c r="T3998">
        <v>0</v>
      </c>
      <c r="U3998">
        <v>0</v>
      </c>
      <c r="V3998">
        <v>0</v>
      </c>
      <c r="W3998">
        <v>0</v>
      </c>
      <c r="X3998" t="s">
        <v>74</v>
      </c>
      <c r="Y3998" t="s">
        <v>71</v>
      </c>
      <c r="Z3998" t="s">
        <v>158</v>
      </c>
      <c r="AA3998" t="s">
        <v>170</v>
      </c>
      <c r="AB3998">
        <v>5</v>
      </c>
      <c r="AC3998">
        <v>60</v>
      </c>
      <c r="AD3998">
        <v>279.31</v>
      </c>
      <c r="AE3998">
        <f t="shared" si="124"/>
        <v>-339.31</v>
      </c>
      <c r="AF3998" t="str">
        <f t="shared" si="125"/>
        <v>2026-05</v>
      </c>
      <c r="AG3998">
        <f>SUBTOTAL(103,A3998)</f>
        <v>1</v>
      </c>
    </row>
    <row r="3999" spans="1:33" x14ac:dyDescent="0.3">
      <c r="A3999" t="s">
        <v>6622</v>
      </c>
      <c r="B3999" s="13">
        <v>46172</v>
      </c>
      <c r="C3999">
        <v>2026</v>
      </c>
      <c r="D3999">
        <v>5</v>
      </c>
      <c r="E3999" t="s">
        <v>3566</v>
      </c>
      <c r="F3999" t="s">
        <v>3329</v>
      </c>
      <c r="G3999" t="s">
        <v>405</v>
      </c>
      <c r="H3999" t="s">
        <v>406</v>
      </c>
      <c r="I3999" t="s">
        <v>86</v>
      </c>
      <c r="J3999">
        <v>55</v>
      </c>
      <c r="K3999" t="s">
        <v>83</v>
      </c>
      <c r="L3999" t="s">
        <v>2646</v>
      </c>
      <c r="M3999" t="s">
        <v>63</v>
      </c>
      <c r="N3999" t="s">
        <v>2647</v>
      </c>
      <c r="O3999" t="s">
        <v>133</v>
      </c>
      <c r="P3999" t="s">
        <v>50</v>
      </c>
      <c r="Q3999" t="s">
        <v>145</v>
      </c>
      <c r="R3999">
        <v>1</v>
      </c>
      <c r="S3999">
        <v>799</v>
      </c>
      <c r="T3999">
        <v>0.1</v>
      </c>
      <c r="U3999">
        <v>719.1</v>
      </c>
      <c r="V3999">
        <v>390</v>
      </c>
      <c r="W3999">
        <v>329.1</v>
      </c>
      <c r="X3999" t="s">
        <v>77</v>
      </c>
      <c r="Y3999" t="s">
        <v>68</v>
      </c>
      <c r="Z3999" t="s">
        <v>158</v>
      </c>
      <c r="AA3999" t="s">
        <v>166</v>
      </c>
      <c r="AB3999">
        <v>5</v>
      </c>
      <c r="AC3999">
        <v>80</v>
      </c>
      <c r="AD3999">
        <v>44.23</v>
      </c>
      <c r="AE3999">
        <f t="shared" si="124"/>
        <v>204.87000000000003</v>
      </c>
      <c r="AF3999" t="str">
        <f t="shared" si="125"/>
        <v>2026-05</v>
      </c>
      <c r="AG3999">
        <f>SUBTOTAL(103,A3999)</f>
        <v>1</v>
      </c>
    </row>
    <row r="4000" spans="1:33" x14ac:dyDescent="0.3">
      <c r="A4000" t="s">
        <v>6623</v>
      </c>
      <c r="B4000" s="13">
        <v>46172</v>
      </c>
      <c r="C4000">
        <v>2026</v>
      </c>
      <c r="D4000">
        <v>5</v>
      </c>
      <c r="E4000" t="s">
        <v>3566</v>
      </c>
      <c r="F4000" t="s">
        <v>3329</v>
      </c>
      <c r="G4000" t="s">
        <v>971</v>
      </c>
      <c r="H4000" t="s">
        <v>972</v>
      </c>
      <c r="I4000" t="s">
        <v>85</v>
      </c>
      <c r="J4000">
        <v>59</v>
      </c>
      <c r="K4000" t="s">
        <v>83</v>
      </c>
      <c r="L4000" t="s">
        <v>2674</v>
      </c>
      <c r="M4000" t="s">
        <v>58</v>
      </c>
      <c r="N4000" t="s">
        <v>2592</v>
      </c>
      <c r="O4000" t="s">
        <v>115</v>
      </c>
      <c r="P4000" t="s">
        <v>48</v>
      </c>
      <c r="Q4000" t="s">
        <v>137</v>
      </c>
      <c r="R4000">
        <v>2</v>
      </c>
      <c r="S4000">
        <v>12999</v>
      </c>
      <c r="T4000">
        <v>0.25</v>
      </c>
      <c r="U4000">
        <v>19498.5</v>
      </c>
      <c r="V4000">
        <v>18000</v>
      </c>
      <c r="W4000">
        <v>1498.5</v>
      </c>
      <c r="X4000" t="s">
        <v>74</v>
      </c>
      <c r="Y4000" t="s">
        <v>68</v>
      </c>
      <c r="Z4000" t="s">
        <v>160</v>
      </c>
      <c r="AA4000" t="s">
        <v>169</v>
      </c>
      <c r="AB4000">
        <v>4.8</v>
      </c>
      <c r="AC4000">
        <v>50</v>
      </c>
      <c r="AD4000">
        <v>957.75</v>
      </c>
      <c r="AE4000">
        <f t="shared" si="124"/>
        <v>490.75</v>
      </c>
      <c r="AF4000" t="str">
        <f t="shared" si="125"/>
        <v>2026-05</v>
      </c>
      <c r="AG4000">
        <f>SUBTOTAL(103,A4000)</f>
        <v>1</v>
      </c>
    </row>
    <row r="4001" spans="1:33" x14ac:dyDescent="0.3">
      <c r="A4001" t="s">
        <v>6624</v>
      </c>
      <c r="B4001" s="13">
        <v>46172</v>
      </c>
      <c r="C4001">
        <v>2026</v>
      </c>
      <c r="D4001">
        <v>5</v>
      </c>
      <c r="E4001" t="s">
        <v>3566</v>
      </c>
      <c r="F4001" t="s">
        <v>3329</v>
      </c>
      <c r="G4001" t="s">
        <v>185</v>
      </c>
      <c r="H4001" t="s">
        <v>186</v>
      </c>
      <c r="I4001" t="s">
        <v>86</v>
      </c>
      <c r="J4001">
        <v>19</v>
      </c>
      <c r="K4001" t="s">
        <v>80</v>
      </c>
      <c r="L4001" t="s">
        <v>96</v>
      </c>
      <c r="M4001" t="s">
        <v>55</v>
      </c>
      <c r="N4001" t="s">
        <v>2603</v>
      </c>
      <c r="O4001" t="s">
        <v>122</v>
      </c>
      <c r="P4001" t="s">
        <v>48</v>
      </c>
      <c r="Q4001" t="s">
        <v>141</v>
      </c>
      <c r="R4001">
        <v>2</v>
      </c>
      <c r="S4001">
        <v>2499</v>
      </c>
      <c r="T4001">
        <v>0.1</v>
      </c>
      <c r="U4001">
        <v>4498.2</v>
      </c>
      <c r="V4001">
        <v>2900</v>
      </c>
      <c r="W4001">
        <v>1598.2</v>
      </c>
      <c r="X4001" t="s">
        <v>73</v>
      </c>
      <c r="Y4001" t="s">
        <v>68</v>
      </c>
      <c r="Z4001" t="s">
        <v>163</v>
      </c>
      <c r="AA4001" t="s">
        <v>169</v>
      </c>
      <c r="AB4001">
        <v>3.8</v>
      </c>
      <c r="AC4001">
        <v>80</v>
      </c>
      <c r="AD4001">
        <v>402.59</v>
      </c>
      <c r="AE4001">
        <f t="shared" si="124"/>
        <v>1115.6100000000001</v>
      </c>
      <c r="AF4001" t="str">
        <f t="shared" si="125"/>
        <v>2026-05</v>
      </c>
      <c r="AG4001">
        <f>SUBTOTAL(103,A4001)</f>
        <v>1</v>
      </c>
    </row>
    <row r="4002" spans="1:33" x14ac:dyDescent="0.3">
      <c r="A4002" t="s">
        <v>6625</v>
      </c>
      <c r="B4002" s="13">
        <v>46173</v>
      </c>
      <c r="C4002">
        <v>2026</v>
      </c>
      <c r="D4002">
        <v>5</v>
      </c>
      <c r="E4002" t="s">
        <v>3566</v>
      </c>
      <c r="F4002" t="s">
        <v>3329</v>
      </c>
      <c r="G4002" t="s">
        <v>1049</v>
      </c>
      <c r="H4002" t="s">
        <v>1050</v>
      </c>
      <c r="I4002" t="s">
        <v>86</v>
      </c>
      <c r="J4002">
        <v>41</v>
      </c>
      <c r="K4002" t="s">
        <v>82</v>
      </c>
      <c r="L4002" t="s">
        <v>2690</v>
      </c>
      <c r="M4002" t="s">
        <v>63</v>
      </c>
      <c r="N4002" t="s">
        <v>2574</v>
      </c>
      <c r="O4002" t="s">
        <v>130</v>
      </c>
      <c r="P4002" t="s">
        <v>50</v>
      </c>
      <c r="Q4002" t="s">
        <v>53</v>
      </c>
      <c r="R4002">
        <v>2</v>
      </c>
      <c r="S4002">
        <v>1199</v>
      </c>
      <c r="T4002">
        <v>0.15</v>
      </c>
      <c r="U4002">
        <v>2038.3</v>
      </c>
      <c r="V4002">
        <v>1100</v>
      </c>
      <c r="W4002">
        <v>938.3</v>
      </c>
      <c r="X4002" t="s">
        <v>73</v>
      </c>
      <c r="Y4002" t="s">
        <v>68</v>
      </c>
      <c r="Z4002" t="s">
        <v>161</v>
      </c>
      <c r="AA4002" t="s">
        <v>169</v>
      </c>
      <c r="AB4002">
        <v>3.2</v>
      </c>
      <c r="AC4002">
        <v>50</v>
      </c>
      <c r="AD4002">
        <v>96.26</v>
      </c>
      <c r="AE4002">
        <f t="shared" si="124"/>
        <v>792.04</v>
      </c>
      <c r="AF4002" t="str">
        <f t="shared" si="125"/>
        <v>2026-05</v>
      </c>
      <c r="AG4002">
        <f>SUBTOTAL(103,A4002)</f>
        <v>1</v>
      </c>
    </row>
    <row r="4003" spans="1:33" x14ac:dyDescent="0.3">
      <c r="A4003" t="s">
        <v>6626</v>
      </c>
      <c r="B4003" s="13">
        <v>46173</v>
      </c>
      <c r="C4003">
        <v>2026</v>
      </c>
      <c r="D4003">
        <v>5</v>
      </c>
      <c r="E4003" t="s">
        <v>3566</v>
      </c>
      <c r="F4003" t="s">
        <v>3329</v>
      </c>
      <c r="G4003" t="s">
        <v>253</v>
      </c>
      <c r="H4003" t="s">
        <v>254</v>
      </c>
      <c r="I4003" t="s">
        <v>86</v>
      </c>
      <c r="J4003">
        <v>42</v>
      </c>
      <c r="K4003" t="s">
        <v>82</v>
      </c>
      <c r="L4003" t="s">
        <v>2661</v>
      </c>
      <c r="M4003" t="s">
        <v>58</v>
      </c>
      <c r="N4003" t="s">
        <v>2596</v>
      </c>
      <c r="O4003" t="s">
        <v>124</v>
      </c>
      <c r="P4003" t="s">
        <v>51</v>
      </c>
      <c r="Q4003" t="s">
        <v>147</v>
      </c>
      <c r="R4003">
        <v>3</v>
      </c>
      <c r="S4003">
        <v>2299</v>
      </c>
      <c r="T4003">
        <v>0</v>
      </c>
      <c r="U4003">
        <v>6897</v>
      </c>
      <c r="V4003">
        <v>3600</v>
      </c>
      <c r="W4003">
        <v>3297</v>
      </c>
      <c r="X4003" t="s">
        <v>76</v>
      </c>
      <c r="Y4003" t="s">
        <v>68</v>
      </c>
      <c r="Z4003" t="s">
        <v>160</v>
      </c>
      <c r="AA4003" t="s">
        <v>168</v>
      </c>
      <c r="AB4003">
        <v>3.7</v>
      </c>
      <c r="AC4003">
        <v>80</v>
      </c>
      <c r="AD4003">
        <v>788.58</v>
      </c>
      <c r="AE4003">
        <f t="shared" si="124"/>
        <v>2428.42</v>
      </c>
      <c r="AF4003" t="str">
        <f t="shared" si="125"/>
        <v>2026-05</v>
      </c>
      <c r="AG4003">
        <f>SUBTOTAL(103,A4003)</f>
        <v>1</v>
      </c>
    </row>
    <row r="4004" spans="1:33" x14ac:dyDescent="0.3">
      <c r="A4004" t="s">
        <v>6627</v>
      </c>
      <c r="B4004" s="13">
        <v>46173</v>
      </c>
      <c r="C4004">
        <v>2026</v>
      </c>
      <c r="D4004">
        <v>5</v>
      </c>
      <c r="E4004" t="s">
        <v>3566</v>
      </c>
      <c r="F4004" t="s">
        <v>3329</v>
      </c>
      <c r="G4004" t="s">
        <v>577</v>
      </c>
      <c r="H4004" t="s">
        <v>578</v>
      </c>
      <c r="I4004" t="s">
        <v>85</v>
      </c>
      <c r="J4004">
        <v>41</v>
      </c>
      <c r="K4004" t="s">
        <v>82</v>
      </c>
      <c r="L4004" t="s">
        <v>100</v>
      </c>
      <c r="M4004" t="s">
        <v>56</v>
      </c>
      <c r="N4004" t="s">
        <v>2653</v>
      </c>
      <c r="O4004" t="s">
        <v>132</v>
      </c>
      <c r="P4004" t="s">
        <v>52</v>
      </c>
      <c r="Q4004" t="s">
        <v>150</v>
      </c>
      <c r="R4004">
        <v>2</v>
      </c>
      <c r="S4004">
        <v>899</v>
      </c>
      <c r="T4004">
        <v>0.1</v>
      </c>
      <c r="U4004">
        <v>1618.2</v>
      </c>
      <c r="V4004">
        <v>840</v>
      </c>
      <c r="W4004">
        <v>778.2</v>
      </c>
      <c r="X4004" t="s">
        <v>73</v>
      </c>
      <c r="Y4004" t="s">
        <v>68</v>
      </c>
      <c r="Z4004" t="s">
        <v>159</v>
      </c>
      <c r="AA4004" t="s">
        <v>170</v>
      </c>
      <c r="AB4004">
        <v>3.6</v>
      </c>
      <c r="AC4004">
        <v>80</v>
      </c>
      <c r="AD4004">
        <v>42.9</v>
      </c>
      <c r="AE4004">
        <f t="shared" si="124"/>
        <v>655.30000000000007</v>
      </c>
      <c r="AF4004" t="str">
        <f t="shared" si="125"/>
        <v>2026-05</v>
      </c>
      <c r="AG4004">
        <f>SUBTOTAL(103,A4004)</f>
        <v>1</v>
      </c>
    </row>
    <row r="4005" spans="1:33" x14ac:dyDescent="0.3">
      <c r="A4005" t="s">
        <v>6628</v>
      </c>
      <c r="B4005" s="13">
        <v>46173</v>
      </c>
      <c r="C4005">
        <v>2026</v>
      </c>
      <c r="D4005">
        <v>5</v>
      </c>
      <c r="E4005" t="s">
        <v>3566</v>
      </c>
      <c r="F4005" t="s">
        <v>3329</v>
      </c>
      <c r="G4005" t="s">
        <v>2051</v>
      </c>
      <c r="H4005" t="s">
        <v>2052</v>
      </c>
      <c r="I4005" t="s">
        <v>86</v>
      </c>
      <c r="J4005">
        <v>24</v>
      </c>
      <c r="K4005" t="s">
        <v>80</v>
      </c>
      <c r="L4005" t="s">
        <v>2646</v>
      </c>
      <c r="M4005" t="s">
        <v>63</v>
      </c>
      <c r="N4005" t="s">
        <v>2647</v>
      </c>
      <c r="O4005" t="s">
        <v>133</v>
      </c>
      <c r="P4005" t="s">
        <v>50</v>
      </c>
      <c r="Q4005" t="s">
        <v>145</v>
      </c>
      <c r="R4005">
        <v>3</v>
      </c>
      <c r="S4005">
        <v>799</v>
      </c>
      <c r="T4005">
        <v>0.05</v>
      </c>
      <c r="U4005">
        <v>2277.15</v>
      </c>
      <c r="V4005">
        <v>1170</v>
      </c>
      <c r="W4005">
        <v>1107.1500000000001</v>
      </c>
      <c r="X4005" t="s">
        <v>74</v>
      </c>
      <c r="Y4005" t="s">
        <v>68</v>
      </c>
      <c r="Z4005" t="s">
        <v>159</v>
      </c>
      <c r="AA4005" t="s">
        <v>170</v>
      </c>
      <c r="AB4005">
        <v>3.8</v>
      </c>
      <c r="AC4005">
        <v>60</v>
      </c>
      <c r="AD4005">
        <v>223.32</v>
      </c>
      <c r="AE4005">
        <f t="shared" si="124"/>
        <v>823.83000000000015</v>
      </c>
      <c r="AF4005" t="str">
        <f t="shared" si="125"/>
        <v>2026-05</v>
      </c>
      <c r="AG4005">
        <f>SUBTOTAL(103,A4005)</f>
        <v>1</v>
      </c>
    </row>
    <row r="4006" spans="1:33" x14ac:dyDescent="0.3">
      <c r="A4006" t="s">
        <v>6629</v>
      </c>
      <c r="B4006" s="13">
        <v>46173</v>
      </c>
      <c r="C4006">
        <v>2026</v>
      </c>
      <c r="D4006">
        <v>5</v>
      </c>
      <c r="E4006" t="s">
        <v>3566</v>
      </c>
      <c r="F4006" t="s">
        <v>3329</v>
      </c>
      <c r="G4006" t="s">
        <v>1079</v>
      </c>
      <c r="H4006" t="s">
        <v>1080</v>
      </c>
      <c r="I4006" t="s">
        <v>85</v>
      </c>
      <c r="J4006">
        <v>52</v>
      </c>
      <c r="K4006" t="s">
        <v>83</v>
      </c>
      <c r="L4006" t="s">
        <v>92</v>
      </c>
      <c r="M4006" t="s">
        <v>59</v>
      </c>
      <c r="N4006" t="s">
        <v>2587</v>
      </c>
      <c r="O4006" t="s">
        <v>116</v>
      </c>
      <c r="P4006" t="s">
        <v>48</v>
      </c>
      <c r="Q4006" t="s">
        <v>138</v>
      </c>
      <c r="R4006">
        <v>1</v>
      </c>
      <c r="S4006">
        <v>14999</v>
      </c>
      <c r="T4006">
        <v>0.1</v>
      </c>
      <c r="U4006">
        <v>13499.1</v>
      </c>
      <c r="V4006">
        <v>11200</v>
      </c>
      <c r="W4006">
        <v>2299.1</v>
      </c>
      <c r="X4006" t="s">
        <v>73</v>
      </c>
      <c r="Y4006" t="s">
        <v>69</v>
      </c>
      <c r="Z4006" t="s">
        <v>160</v>
      </c>
      <c r="AA4006" t="s">
        <v>169</v>
      </c>
      <c r="AB4006">
        <v>4.8</v>
      </c>
      <c r="AC4006">
        <v>80</v>
      </c>
      <c r="AD4006">
        <v>1449.97</v>
      </c>
      <c r="AE4006">
        <f t="shared" si="124"/>
        <v>769.12999999999988</v>
      </c>
      <c r="AF4006" t="str">
        <f t="shared" si="125"/>
        <v>2026-05</v>
      </c>
      <c r="AG4006">
        <f>SUBTOTAL(103,A4006)</f>
        <v>1</v>
      </c>
    </row>
    <row r="4007" spans="1:33" x14ac:dyDescent="0.3">
      <c r="A4007" t="s">
        <v>6630</v>
      </c>
      <c r="B4007" s="13">
        <v>46173</v>
      </c>
      <c r="C4007">
        <v>2026</v>
      </c>
      <c r="D4007">
        <v>5</v>
      </c>
      <c r="E4007" t="s">
        <v>3566</v>
      </c>
      <c r="F4007" t="s">
        <v>3329</v>
      </c>
      <c r="G4007" t="s">
        <v>1787</v>
      </c>
      <c r="H4007" t="s">
        <v>1788</v>
      </c>
      <c r="I4007" t="s">
        <v>85</v>
      </c>
      <c r="J4007">
        <v>55</v>
      </c>
      <c r="K4007" t="s">
        <v>83</v>
      </c>
      <c r="L4007" t="s">
        <v>59</v>
      </c>
      <c r="M4007" t="s">
        <v>59</v>
      </c>
      <c r="N4007" t="s">
        <v>2603</v>
      </c>
      <c r="O4007" t="s">
        <v>122</v>
      </c>
      <c r="P4007" t="s">
        <v>48</v>
      </c>
      <c r="Q4007" t="s">
        <v>141</v>
      </c>
      <c r="R4007">
        <v>3</v>
      </c>
      <c r="S4007">
        <v>2499</v>
      </c>
      <c r="T4007">
        <v>0.05</v>
      </c>
      <c r="U4007">
        <v>7122.15</v>
      </c>
      <c r="V4007">
        <v>4350</v>
      </c>
      <c r="W4007">
        <v>2772.15</v>
      </c>
      <c r="X4007" t="s">
        <v>73</v>
      </c>
      <c r="Y4007" t="s">
        <v>69</v>
      </c>
      <c r="Z4007" t="s">
        <v>160</v>
      </c>
      <c r="AA4007" t="s">
        <v>168</v>
      </c>
      <c r="AB4007">
        <v>3.9</v>
      </c>
      <c r="AC4007">
        <v>50</v>
      </c>
      <c r="AD4007">
        <v>803.52</v>
      </c>
      <c r="AE4007">
        <f t="shared" si="124"/>
        <v>1918.63</v>
      </c>
      <c r="AF4007" t="str">
        <f t="shared" si="125"/>
        <v>2026-05</v>
      </c>
      <c r="AG4007">
        <f>SUBTOTAL(103,A4007)</f>
        <v>1</v>
      </c>
    </row>
    <row r="4008" spans="1:33" x14ac:dyDescent="0.3">
      <c r="A4008" t="s">
        <v>6631</v>
      </c>
      <c r="B4008" s="13">
        <v>46173</v>
      </c>
      <c r="C4008">
        <v>2026</v>
      </c>
      <c r="D4008">
        <v>5</v>
      </c>
      <c r="E4008" t="s">
        <v>3566</v>
      </c>
      <c r="F4008" t="s">
        <v>3329</v>
      </c>
      <c r="G4008" t="s">
        <v>1649</v>
      </c>
      <c r="H4008" t="s">
        <v>1650</v>
      </c>
      <c r="I4008" t="s">
        <v>85</v>
      </c>
      <c r="J4008">
        <v>45</v>
      </c>
      <c r="K4008" t="s">
        <v>82</v>
      </c>
      <c r="L4008" t="s">
        <v>2605</v>
      </c>
      <c r="M4008" t="s">
        <v>60</v>
      </c>
      <c r="N4008" t="s">
        <v>2606</v>
      </c>
      <c r="O4008" t="s">
        <v>120</v>
      </c>
      <c r="P4008" t="s">
        <v>49</v>
      </c>
      <c r="Q4008" t="s">
        <v>140</v>
      </c>
      <c r="R4008">
        <v>2</v>
      </c>
      <c r="S4008">
        <v>2799</v>
      </c>
      <c r="T4008">
        <v>0</v>
      </c>
      <c r="U4008">
        <v>5598</v>
      </c>
      <c r="V4008">
        <v>3300</v>
      </c>
      <c r="W4008">
        <v>2298</v>
      </c>
      <c r="X4008" t="s">
        <v>75</v>
      </c>
      <c r="Y4008" t="s">
        <v>68</v>
      </c>
      <c r="Z4008" t="s">
        <v>160</v>
      </c>
      <c r="AA4008" t="s">
        <v>169</v>
      </c>
      <c r="AB4008">
        <v>3</v>
      </c>
      <c r="AC4008">
        <v>60</v>
      </c>
      <c r="AD4008">
        <v>651.23</v>
      </c>
      <c r="AE4008">
        <f t="shared" si="124"/>
        <v>1586.77</v>
      </c>
      <c r="AF4008" t="str">
        <f t="shared" si="125"/>
        <v>2026-05</v>
      </c>
      <c r="AG4008">
        <f>SUBTOTAL(103,A4008)</f>
        <v>1</v>
      </c>
    </row>
    <row r="4009" spans="1:33" x14ac:dyDescent="0.3">
      <c r="A4009" t="s">
        <v>6632</v>
      </c>
      <c r="B4009" s="13">
        <v>46173</v>
      </c>
      <c r="C4009">
        <v>2026</v>
      </c>
      <c r="D4009">
        <v>5</v>
      </c>
      <c r="E4009" t="s">
        <v>3566</v>
      </c>
      <c r="F4009" t="s">
        <v>3329</v>
      </c>
      <c r="G4009" t="s">
        <v>1085</v>
      </c>
      <c r="H4009" t="s">
        <v>1086</v>
      </c>
      <c r="I4009" t="s">
        <v>86</v>
      </c>
      <c r="J4009">
        <v>57</v>
      </c>
      <c r="K4009" t="s">
        <v>83</v>
      </c>
      <c r="L4009" t="s">
        <v>2616</v>
      </c>
      <c r="M4009" t="s">
        <v>62</v>
      </c>
      <c r="N4009" t="s">
        <v>2580</v>
      </c>
      <c r="O4009" t="s">
        <v>118</v>
      </c>
      <c r="P4009" t="s">
        <v>48</v>
      </c>
      <c r="Q4009" t="s">
        <v>142</v>
      </c>
      <c r="R4009">
        <v>3</v>
      </c>
      <c r="S4009">
        <v>3999</v>
      </c>
      <c r="T4009">
        <v>0</v>
      </c>
      <c r="U4009">
        <v>11997</v>
      </c>
      <c r="V4009">
        <v>7200</v>
      </c>
      <c r="W4009">
        <v>4797</v>
      </c>
      <c r="X4009" t="s">
        <v>73</v>
      </c>
      <c r="Y4009" t="s">
        <v>68</v>
      </c>
      <c r="Z4009" t="s">
        <v>163</v>
      </c>
      <c r="AA4009" t="s">
        <v>166</v>
      </c>
      <c r="AB4009">
        <v>3.8</v>
      </c>
      <c r="AC4009">
        <v>60</v>
      </c>
      <c r="AD4009">
        <v>1068.1500000000001</v>
      </c>
      <c r="AE4009">
        <f t="shared" si="124"/>
        <v>3668.85</v>
      </c>
      <c r="AF4009" t="str">
        <f t="shared" si="125"/>
        <v>2026-05</v>
      </c>
      <c r="AG4009">
        <f>SUBTOTAL(103,A4009)</f>
        <v>1</v>
      </c>
    </row>
    <row r="4010" spans="1:33" x14ac:dyDescent="0.3">
      <c r="A4010" t="s">
        <v>6633</v>
      </c>
      <c r="B4010" s="13">
        <v>46174</v>
      </c>
      <c r="C4010">
        <v>2026</v>
      </c>
      <c r="D4010">
        <v>6</v>
      </c>
      <c r="E4010" t="s">
        <v>3813</v>
      </c>
      <c r="F4010" t="s">
        <v>3329</v>
      </c>
      <c r="G4010" t="s">
        <v>2183</v>
      </c>
      <c r="H4010" t="s">
        <v>2184</v>
      </c>
      <c r="I4010" t="s">
        <v>85</v>
      </c>
      <c r="J4010">
        <v>57</v>
      </c>
      <c r="K4010" t="s">
        <v>83</v>
      </c>
      <c r="L4010" t="s">
        <v>93</v>
      </c>
      <c r="M4010" t="s">
        <v>55</v>
      </c>
      <c r="N4010" t="s">
        <v>2657</v>
      </c>
      <c r="O4010" t="s">
        <v>134</v>
      </c>
      <c r="P4010" t="s">
        <v>49</v>
      </c>
      <c r="Q4010" t="s">
        <v>140</v>
      </c>
      <c r="R4010">
        <v>4</v>
      </c>
      <c r="S4010">
        <v>599</v>
      </c>
      <c r="T4010">
        <v>0</v>
      </c>
      <c r="U4010">
        <v>2396</v>
      </c>
      <c r="V4010">
        <v>1000</v>
      </c>
      <c r="W4010">
        <v>1396</v>
      </c>
      <c r="X4010" t="s">
        <v>73</v>
      </c>
      <c r="Y4010" t="s">
        <v>68</v>
      </c>
      <c r="Z4010" t="s">
        <v>158</v>
      </c>
      <c r="AA4010" t="s">
        <v>167</v>
      </c>
      <c r="AB4010">
        <v>4.3</v>
      </c>
      <c r="AC4010">
        <v>50</v>
      </c>
      <c r="AD4010">
        <v>185.08</v>
      </c>
      <c r="AE4010">
        <f t="shared" si="124"/>
        <v>1160.92</v>
      </c>
      <c r="AF4010" t="str">
        <f t="shared" si="125"/>
        <v>2026-06</v>
      </c>
      <c r="AG4010">
        <f>SUBTOTAL(103,A4010)</f>
        <v>1</v>
      </c>
    </row>
    <row r="4011" spans="1:33" x14ac:dyDescent="0.3">
      <c r="A4011" t="s">
        <v>6634</v>
      </c>
      <c r="B4011" s="13">
        <v>46174</v>
      </c>
      <c r="C4011">
        <v>2026</v>
      </c>
      <c r="D4011">
        <v>6</v>
      </c>
      <c r="E4011" t="s">
        <v>3813</v>
      </c>
      <c r="F4011" t="s">
        <v>3329</v>
      </c>
      <c r="G4011" t="s">
        <v>2147</v>
      </c>
      <c r="H4011" t="s">
        <v>2148</v>
      </c>
      <c r="I4011" t="s">
        <v>86</v>
      </c>
      <c r="J4011">
        <v>59</v>
      </c>
      <c r="K4011" t="s">
        <v>83</v>
      </c>
      <c r="L4011" t="s">
        <v>100</v>
      </c>
      <c r="M4011" t="s">
        <v>56</v>
      </c>
      <c r="N4011" t="s">
        <v>2665</v>
      </c>
      <c r="O4011" t="s">
        <v>128</v>
      </c>
      <c r="P4011" t="s">
        <v>53</v>
      </c>
      <c r="Q4011" t="s">
        <v>143</v>
      </c>
      <c r="R4011">
        <v>3</v>
      </c>
      <c r="S4011">
        <v>1499</v>
      </c>
      <c r="T4011">
        <v>0</v>
      </c>
      <c r="U4011">
        <v>4497</v>
      </c>
      <c r="V4011">
        <v>2400</v>
      </c>
      <c r="W4011">
        <v>2097</v>
      </c>
      <c r="X4011" t="s">
        <v>73</v>
      </c>
      <c r="Y4011" t="s">
        <v>68</v>
      </c>
      <c r="Z4011" t="s">
        <v>161</v>
      </c>
      <c r="AA4011" t="s">
        <v>170</v>
      </c>
      <c r="AB4011">
        <v>4.9000000000000004</v>
      </c>
      <c r="AC4011">
        <v>50</v>
      </c>
      <c r="AD4011">
        <v>491.41</v>
      </c>
      <c r="AE4011">
        <f t="shared" si="124"/>
        <v>1555.59</v>
      </c>
      <c r="AF4011" t="str">
        <f t="shared" si="125"/>
        <v>2026-06</v>
      </c>
      <c r="AG4011">
        <f>SUBTOTAL(103,A4011)</f>
        <v>1</v>
      </c>
    </row>
    <row r="4012" spans="1:33" x14ac:dyDescent="0.3">
      <c r="A4012" t="s">
        <v>6635</v>
      </c>
      <c r="B4012" s="13">
        <v>46174</v>
      </c>
      <c r="C4012">
        <v>2026</v>
      </c>
      <c r="D4012">
        <v>6</v>
      </c>
      <c r="E4012" t="s">
        <v>3813</v>
      </c>
      <c r="F4012" t="s">
        <v>3329</v>
      </c>
      <c r="G4012" t="s">
        <v>327</v>
      </c>
      <c r="H4012" t="s">
        <v>328</v>
      </c>
      <c r="I4012" t="s">
        <v>86</v>
      </c>
      <c r="J4012">
        <v>29</v>
      </c>
      <c r="K4012" t="s">
        <v>81</v>
      </c>
      <c r="L4012" t="s">
        <v>93</v>
      </c>
      <c r="M4012" t="s">
        <v>55</v>
      </c>
      <c r="N4012" t="s">
        <v>2574</v>
      </c>
      <c r="O4012" t="s">
        <v>130</v>
      </c>
      <c r="P4012" t="s">
        <v>50</v>
      </c>
      <c r="Q4012" t="s">
        <v>53</v>
      </c>
      <c r="R4012">
        <v>1</v>
      </c>
      <c r="S4012">
        <v>1199</v>
      </c>
      <c r="T4012">
        <v>0.15</v>
      </c>
      <c r="U4012">
        <v>1019.15</v>
      </c>
      <c r="V4012">
        <v>550</v>
      </c>
      <c r="W4012">
        <v>469.15</v>
      </c>
      <c r="X4012" t="s">
        <v>76</v>
      </c>
      <c r="Y4012" t="s">
        <v>68</v>
      </c>
      <c r="Z4012" t="s">
        <v>163</v>
      </c>
      <c r="AA4012" t="s">
        <v>171</v>
      </c>
      <c r="AB4012">
        <v>4.9000000000000004</v>
      </c>
      <c r="AC4012">
        <v>60</v>
      </c>
      <c r="AD4012">
        <v>71.27</v>
      </c>
      <c r="AE4012">
        <f t="shared" si="124"/>
        <v>337.88</v>
      </c>
      <c r="AF4012" t="str">
        <f t="shared" si="125"/>
        <v>2026-06</v>
      </c>
      <c r="AG4012">
        <f>SUBTOTAL(103,A4012)</f>
        <v>1</v>
      </c>
    </row>
    <row r="4013" spans="1:33" x14ac:dyDescent="0.3">
      <c r="A4013" t="s">
        <v>6636</v>
      </c>
      <c r="B4013" s="13">
        <v>46174</v>
      </c>
      <c r="C4013">
        <v>2026</v>
      </c>
      <c r="D4013">
        <v>6</v>
      </c>
      <c r="E4013" t="s">
        <v>3813</v>
      </c>
      <c r="F4013" t="s">
        <v>3329</v>
      </c>
      <c r="G4013" t="s">
        <v>309</v>
      </c>
      <c r="H4013" t="s">
        <v>310</v>
      </c>
      <c r="I4013" t="s">
        <v>86</v>
      </c>
      <c r="J4013">
        <v>22</v>
      </c>
      <c r="K4013" t="s">
        <v>80</v>
      </c>
      <c r="L4013" t="s">
        <v>2573</v>
      </c>
      <c r="M4013" t="s">
        <v>63</v>
      </c>
      <c r="N4013" t="s">
        <v>2580</v>
      </c>
      <c r="O4013" t="s">
        <v>118</v>
      </c>
      <c r="P4013" t="s">
        <v>48</v>
      </c>
      <c r="Q4013" t="s">
        <v>142</v>
      </c>
      <c r="R4013">
        <v>2</v>
      </c>
      <c r="S4013">
        <v>3999</v>
      </c>
      <c r="T4013">
        <v>0</v>
      </c>
      <c r="U4013">
        <v>7998</v>
      </c>
      <c r="V4013">
        <v>4800</v>
      </c>
      <c r="W4013">
        <v>3198</v>
      </c>
      <c r="X4013" t="s">
        <v>77</v>
      </c>
      <c r="Y4013" t="s">
        <v>68</v>
      </c>
      <c r="Z4013" t="s">
        <v>163</v>
      </c>
      <c r="AA4013" t="s">
        <v>170</v>
      </c>
      <c r="AB4013">
        <v>5</v>
      </c>
      <c r="AC4013">
        <v>60</v>
      </c>
      <c r="AD4013">
        <v>687.01</v>
      </c>
      <c r="AE4013">
        <f t="shared" si="124"/>
        <v>2450.9899999999998</v>
      </c>
      <c r="AF4013" t="str">
        <f t="shared" si="125"/>
        <v>2026-06</v>
      </c>
      <c r="AG4013">
        <f>SUBTOTAL(103,A4013)</f>
        <v>1</v>
      </c>
    </row>
    <row r="4014" spans="1:33" x14ac:dyDescent="0.3">
      <c r="A4014" t="s">
        <v>6637</v>
      </c>
      <c r="B4014" s="13">
        <v>46174</v>
      </c>
      <c r="C4014">
        <v>2026</v>
      </c>
      <c r="D4014">
        <v>6</v>
      </c>
      <c r="E4014" t="s">
        <v>3813</v>
      </c>
      <c r="F4014" t="s">
        <v>3329</v>
      </c>
      <c r="G4014" t="s">
        <v>1811</v>
      </c>
      <c r="H4014" t="s">
        <v>1812</v>
      </c>
      <c r="I4014" t="s">
        <v>85</v>
      </c>
      <c r="J4014">
        <v>44</v>
      </c>
      <c r="K4014" t="s">
        <v>82</v>
      </c>
      <c r="L4014" t="s">
        <v>99</v>
      </c>
      <c r="M4014" t="s">
        <v>58</v>
      </c>
      <c r="N4014" t="s">
        <v>2603</v>
      </c>
      <c r="O4014" t="s">
        <v>122</v>
      </c>
      <c r="P4014" t="s">
        <v>48</v>
      </c>
      <c r="Q4014" t="s">
        <v>141</v>
      </c>
      <c r="R4014">
        <v>5</v>
      </c>
      <c r="S4014">
        <v>2499</v>
      </c>
      <c r="T4014">
        <v>0.1</v>
      </c>
      <c r="U4014">
        <v>11245.5</v>
      </c>
      <c r="V4014">
        <v>7250</v>
      </c>
      <c r="W4014">
        <v>3995.5</v>
      </c>
      <c r="X4014" t="s">
        <v>75</v>
      </c>
      <c r="Y4014" t="s">
        <v>68</v>
      </c>
      <c r="Z4014" t="s">
        <v>159</v>
      </c>
      <c r="AA4014" t="s">
        <v>171</v>
      </c>
      <c r="AB4014">
        <v>4.0999999999999996</v>
      </c>
      <c r="AC4014">
        <v>60</v>
      </c>
      <c r="AD4014">
        <v>983.77</v>
      </c>
      <c r="AE4014">
        <f t="shared" si="124"/>
        <v>2951.73</v>
      </c>
      <c r="AF4014" t="str">
        <f t="shared" si="125"/>
        <v>2026-06</v>
      </c>
      <c r="AG4014">
        <f>SUBTOTAL(103,A4014)</f>
        <v>1</v>
      </c>
    </row>
    <row r="4015" spans="1:33" x14ac:dyDescent="0.3">
      <c r="A4015" t="s">
        <v>6638</v>
      </c>
      <c r="B4015" s="13">
        <v>46174</v>
      </c>
      <c r="C4015">
        <v>2026</v>
      </c>
      <c r="D4015">
        <v>6</v>
      </c>
      <c r="E4015" t="s">
        <v>3813</v>
      </c>
      <c r="F4015" t="s">
        <v>3329</v>
      </c>
      <c r="G4015" t="s">
        <v>957</v>
      </c>
      <c r="H4015" t="s">
        <v>958</v>
      </c>
      <c r="I4015" t="s">
        <v>86</v>
      </c>
      <c r="J4015">
        <v>60</v>
      </c>
      <c r="K4015" t="s">
        <v>83</v>
      </c>
      <c r="L4015" t="s">
        <v>2687</v>
      </c>
      <c r="M4015" t="s">
        <v>57</v>
      </c>
      <c r="N4015" t="s">
        <v>2603</v>
      </c>
      <c r="O4015" t="s">
        <v>122</v>
      </c>
      <c r="P4015" t="s">
        <v>48</v>
      </c>
      <c r="Q4015" t="s">
        <v>141</v>
      </c>
      <c r="R4015">
        <v>1</v>
      </c>
      <c r="S4015">
        <v>2499</v>
      </c>
      <c r="T4015">
        <v>0</v>
      </c>
      <c r="U4015">
        <v>2499</v>
      </c>
      <c r="V4015">
        <v>1450</v>
      </c>
      <c r="W4015">
        <v>1049</v>
      </c>
      <c r="X4015" t="s">
        <v>75</v>
      </c>
      <c r="Y4015" t="s">
        <v>68</v>
      </c>
      <c r="Z4015" t="s">
        <v>158</v>
      </c>
      <c r="AA4015" t="s">
        <v>168</v>
      </c>
      <c r="AB4015">
        <v>2.6</v>
      </c>
      <c r="AC4015">
        <v>80</v>
      </c>
      <c r="AD4015">
        <v>120.56</v>
      </c>
      <c r="AE4015">
        <f t="shared" si="124"/>
        <v>848.44</v>
      </c>
      <c r="AF4015" t="str">
        <f t="shared" si="125"/>
        <v>2026-06</v>
      </c>
      <c r="AG4015">
        <f>SUBTOTAL(103,A4015)</f>
        <v>1</v>
      </c>
    </row>
    <row r="4016" spans="1:33" x14ac:dyDescent="0.3">
      <c r="A4016" t="s">
        <v>6639</v>
      </c>
      <c r="B4016" s="13">
        <v>46175</v>
      </c>
      <c r="C4016">
        <v>2026</v>
      </c>
      <c r="D4016">
        <v>6</v>
      </c>
      <c r="E4016" t="s">
        <v>3813</v>
      </c>
      <c r="F4016" t="s">
        <v>3329</v>
      </c>
      <c r="G4016" t="s">
        <v>485</v>
      </c>
      <c r="H4016" t="s">
        <v>486</v>
      </c>
      <c r="I4016" t="s">
        <v>86</v>
      </c>
      <c r="J4016">
        <v>49</v>
      </c>
      <c r="K4016" t="s">
        <v>83</v>
      </c>
      <c r="L4016" t="s">
        <v>90</v>
      </c>
      <c r="M4016" t="s">
        <v>55</v>
      </c>
      <c r="N4016" t="s">
        <v>2606</v>
      </c>
      <c r="O4016" t="s">
        <v>120</v>
      </c>
      <c r="P4016" t="s">
        <v>49</v>
      </c>
      <c r="Q4016" t="s">
        <v>140</v>
      </c>
      <c r="R4016">
        <v>2</v>
      </c>
      <c r="S4016">
        <v>2799</v>
      </c>
      <c r="T4016">
        <v>0</v>
      </c>
      <c r="U4016">
        <v>5598</v>
      </c>
      <c r="V4016">
        <v>3300</v>
      </c>
      <c r="W4016">
        <v>2298</v>
      </c>
      <c r="X4016" t="s">
        <v>73</v>
      </c>
      <c r="Y4016" t="s">
        <v>68</v>
      </c>
      <c r="Z4016" t="s">
        <v>161</v>
      </c>
      <c r="AA4016" t="s">
        <v>168</v>
      </c>
      <c r="AB4016">
        <v>4.7</v>
      </c>
      <c r="AC4016">
        <v>50</v>
      </c>
      <c r="AD4016">
        <v>559.20000000000005</v>
      </c>
      <c r="AE4016">
        <f t="shared" si="124"/>
        <v>1688.8</v>
      </c>
      <c r="AF4016" t="str">
        <f t="shared" si="125"/>
        <v>2026-06</v>
      </c>
      <c r="AG4016">
        <f>SUBTOTAL(103,A4016)</f>
        <v>1</v>
      </c>
    </row>
    <row r="4017" spans="1:33" x14ac:dyDescent="0.3">
      <c r="A4017" t="s">
        <v>6640</v>
      </c>
      <c r="B4017" s="13">
        <v>46175</v>
      </c>
      <c r="C4017">
        <v>2026</v>
      </c>
      <c r="D4017">
        <v>6</v>
      </c>
      <c r="E4017" t="s">
        <v>3813</v>
      </c>
      <c r="F4017" t="s">
        <v>3329</v>
      </c>
      <c r="G4017" t="s">
        <v>2139</v>
      </c>
      <c r="H4017" t="s">
        <v>2140</v>
      </c>
      <c r="I4017" t="s">
        <v>85</v>
      </c>
      <c r="J4017">
        <v>58</v>
      </c>
      <c r="K4017" t="s">
        <v>83</v>
      </c>
      <c r="L4017" t="s">
        <v>2623</v>
      </c>
      <c r="M4017" t="s">
        <v>61</v>
      </c>
      <c r="N4017" t="s">
        <v>2644</v>
      </c>
      <c r="O4017" t="s">
        <v>126</v>
      </c>
      <c r="P4017" t="s">
        <v>50</v>
      </c>
      <c r="Q4017" t="s">
        <v>145</v>
      </c>
      <c r="R4017">
        <v>1</v>
      </c>
      <c r="S4017">
        <v>1799</v>
      </c>
      <c r="T4017">
        <v>0.05</v>
      </c>
      <c r="U4017">
        <v>1709.05</v>
      </c>
      <c r="V4017">
        <v>950</v>
      </c>
      <c r="W4017">
        <v>759.05</v>
      </c>
      <c r="X4017" t="s">
        <v>73</v>
      </c>
      <c r="Y4017" t="s">
        <v>68</v>
      </c>
      <c r="Z4017" t="s">
        <v>158</v>
      </c>
      <c r="AA4017" t="s">
        <v>171</v>
      </c>
      <c r="AB4017">
        <v>4.8</v>
      </c>
      <c r="AC4017">
        <v>60</v>
      </c>
      <c r="AD4017">
        <v>155.69999999999999</v>
      </c>
      <c r="AE4017">
        <f t="shared" si="124"/>
        <v>543.34999999999991</v>
      </c>
      <c r="AF4017" t="str">
        <f t="shared" si="125"/>
        <v>2026-06</v>
      </c>
      <c r="AG4017">
        <f>SUBTOTAL(103,A4017)</f>
        <v>1</v>
      </c>
    </row>
    <row r="4018" spans="1:33" x14ac:dyDescent="0.3">
      <c r="A4018" t="s">
        <v>6641</v>
      </c>
      <c r="B4018" s="13">
        <v>46175</v>
      </c>
      <c r="C4018">
        <v>2026</v>
      </c>
      <c r="D4018">
        <v>6</v>
      </c>
      <c r="E4018" t="s">
        <v>3813</v>
      </c>
      <c r="F4018" t="s">
        <v>3329</v>
      </c>
      <c r="G4018" t="s">
        <v>1665</v>
      </c>
      <c r="H4018" t="s">
        <v>1666</v>
      </c>
      <c r="I4018" t="s">
        <v>86</v>
      </c>
      <c r="J4018">
        <v>46</v>
      </c>
      <c r="K4018" t="s">
        <v>83</v>
      </c>
      <c r="L4018" t="s">
        <v>94</v>
      </c>
      <c r="M4018" t="s">
        <v>57</v>
      </c>
      <c r="N4018" t="s">
        <v>2644</v>
      </c>
      <c r="O4018" t="s">
        <v>126</v>
      </c>
      <c r="P4018" t="s">
        <v>50</v>
      </c>
      <c r="Q4018" t="s">
        <v>145</v>
      </c>
      <c r="R4018">
        <v>3</v>
      </c>
      <c r="S4018">
        <v>1799</v>
      </c>
      <c r="T4018">
        <v>0.1</v>
      </c>
      <c r="U4018">
        <v>4857.3</v>
      </c>
      <c r="V4018">
        <v>2850</v>
      </c>
      <c r="W4018">
        <v>2007.3</v>
      </c>
      <c r="X4018" t="s">
        <v>74</v>
      </c>
      <c r="Y4018" t="s">
        <v>68</v>
      </c>
      <c r="Z4018" t="s">
        <v>158</v>
      </c>
      <c r="AA4018" t="s">
        <v>166</v>
      </c>
      <c r="AB4018">
        <v>5</v>
      </c>
      <c r="AC4018">
        <v>50</v>
      </c>
      <c r="AD4018">
        <v>378.39</v>
      </c>
      <c r="AE4018">
        <f t="shared" si="124"/>
        <v>1578.9099999999999</v>
      </c>
      <c r="AF4018" t="str">
        <f t="shared" si="125"/>
        <v>2026-06</v>
      </c>
      <c r="AG4018">
        <f>SUBTOTAL(103,A4018)</f>
        <v>1</v>
      </c>
    </row>
    <row r="4019" spans="1:33" x14ac:dyDescent="0.3">
      <c r="A4019" t="s">
        <v>6642</v>
      </c>
      <c r="B4019" s="13">
        <v>46175</v>
      </c>
      <c r="C4019">
        <v>2026</v>
      </c>
      <c r="D4019">
        <v>6</v>
      </c>
      <c r="E4019" t="s">
        <v>3813</v>
      </c>
      <c r="F4019" t="s">
        <v>3329</v>
      </c>
      <c r="G4019" t="s">
        <v>545</v>
      </c>
      <c r="H4019" t="s">
        <v>546</v>
      </c>
      <c r="I4019" t="s">
        <v>86</v>
      </c>
      <c r="J4019">
        <v>25</v>
      </c>
      <c r="K4019" t="s">
        <v>80</v>
      </c>
      <c r="L4019" t="s">
        <v>2634</v>
      </c>
      <c r="M4019" t="s">
        <v>56</v>
      </c>
      <c r="N4019" t="s">
        <v>2606</v>
      </c>
      <c r="O4019" t="s">
        <v>120</v>
      </c>
      <c r="P4019" t="s">
        <v>49</v>
      </c>
      <c r="Q4019" t="s">
        <v>140</v>
      </c>
      <c r="R4019">
        <v>2</v>
      </c>
      <c r="S4019">
        <v>2799</v>
      </c>
      <c r="T4019">
        <v>0.15</v>
      </c>
      <c r="U4019">
        <v>0</v>
      </c>
      <c r="V4019">
        <v>0</v>
      </c>
      <c r="W4019">
        <v>0</v>
      </c>
      <c r="X4019" t="s">
        <v>74</v>
      </c>
      <c r="Y4019" t="s">
        <v>71</v>
      </c>
      <c r="Z4019" t="s">
        <v>161</v>
      </c>
      <c r="AA4019" t="s">
        <v>166</v>
      </c>
      <c r="AB4019">
        <v>4.4000000000000004</v>
      </c>
      <c r="AC4019">
        <v>120</v>
      </c>
      <c r="AD4019">
        <v>470.52</v>
      </c>
      <c r="AE4019">
        <f t="shared" si="124"/>
        <v>-590.52</v>
      </c>
      <c r="AF4019" t="str">
        <f t="shared" si="125"/>
        <v>2026-06</v>
      </c>
      <c r="AG4019">
        <f>SUBTOTAL(103,A4019)</f>
        <v>1</v>
      </c>
    </row>
    <row r="4020" spans="1:33" x14ac:dyDescent="0.3">
      <c r="A4020" t="s">
        <v>6643</v>
      </c>
      <c r="B4020" s="13">
        <v>46175</v>
      </c>
      <c r="C4020">
        <v>2026</v>
      </c>
      <c r="D4020">
        <v>6</v>
      </c>
      <c r="E4020" t="s">
        <v>3813</v>
      </c>
      <c r="F4020" t="s">
        <v>3329</v>
      </c>
      <c r="G4020" t="s">
        <v>1715</v>
      </c>
      <c r="H4020" t="s">
        <v>1716</v>
      </c>
      <c r="I4020" t="s">
        <v>85</v>
      </c>
      <c r="J4020">
        <v>57</v>
      </c>
      <c r="K4020" t="s">
        <v>83</v>
      </c>
      <c r="L4020" t="s">
        <v>2616</v>
      </c>
      <c r="M4020" t="s">
        <v>62</v>
      </c>
      <c r="N4020" t="s">
        <v>2665</v>
      </c>
      <c r="O4020" t="s">
        <v>128</v>
      </c>
      <c r="P4020" t="s">
        <v>53</v>
      </c>
      <c r="Q4020" t="s">
        <v>143</v>
      </c>
      <c r="R4020">
        <v>2</v>
      </c>
      <c r="S4020">
        <v>1499</v>
      </c>
      <c r="T4020">
        <v>0.25</v>
      </c>
      <c r="U4020">
        <v>2248.5</v>
      </c>
      <c r="V4020">
        <v>1600</v>
      </c>
      <c r="W4020">
        <v>648.5</v>
      </c>
      <c r="X4020" t="s">
        <v>73</v>
      </c>
      <c r="Y4020" t="s">
        <v>68</v>
      </c>
      <c r="Z4020" t="s">
        <v>162</v>
      </c>
      <c r="AA4020" t="s">
        <v>167</v>
      </c>
      <c r="AB4020">
        <v>3.7</v>
      </c>
      <c r="AC4020">
        <v>60</v>
      </c>
      <c r="AD4020">
        <v>145.63</v>
      </c>
      <c r="AE4020">
        <f t="shared" si="124"/>
        <v>442.87</v>
      </c>
      <c r="AF4020" t="str">
        <f t="shared" si="125"/>
        <v>2026-06</v>
      </c>
      <c r="AG4020">
        <f>SUBTOTAL(103,A4020)</f>
        <v>1</v>
      </c>
    </row>
    <row r="4021" spans="1:33" x14ac:dyDescent="0.3">
      <c r="A4021" t="s">
        <v>6644</v>
      </c>
      <c r="B4021" s="13">
        <v>46175</v>
      </c>
      <c r="C4021">
        <v>2026</v>
      </c>
      <c r="D4021">
        <v>6</v>
      </c>
      <c r="E4021" t="s">
        <v>3813</v>
      </c>
      <c r="F4021" t="s">
        <v>3329</v>
      </c>
      <c r="G4021" t="s">
        <v>1109</v>
      </c>
      <c r="H4021" t="s">
        <v>1110</v>
      </c>
      <c r="I4021" t="s">
        <v>86</v>
      </c>
      <c r="J4021">
        <v>32</v>
      </c>
      <c r="K4021" t="s">
        <v>81</v>
      </c>
      <c r="L4021" t="s">
        <v>2661</v>
      </c>
      <c r="M4021" t="s">
        <v>58</v>
      </c>
      <c r="N4021" t="s">
        <v>2580</v>
      </c>
      <c r="O4021" t="s">
        <v>118</v>
      </c>
      <c r="P4021" t="s">
        <v>48</v>
      </c>
      <c r="Q4021" t="s">
        <v>142</v>
      </c>
      <c r="R4021">
        <v>4</v>
      </c>
      <c r="S4021">
        <v>3999</v>
      </c>
      <c r="T4021">
        <v>0.15</v>
      </c>
      <c r="U4021">
        <v>13596.6</v>
      </c>
      <c r="V4021">
        <v>9600</v>
      </c>
      <c r="W4021">
        <v>3996.6</v>
      </c>
      <c r="X4021" t="s">
        <v>73</v>
      </c>
      <c r="Y4021" t="s">
        <v>68</v>
      </c>
      <c r="Z4021" t="s">
        <v>162</v>
      </c>
      <c r="AA4021" t="s">
        <v>166</v>
      </c>
      <c r="AB4021">
        <v>4.5999999999999996</v>
      </c>
      <c r="AC4021">
        <v>50</v>
      </c>
      <c r="AD4021">
        <v>1158.71</v>
      </c>
      <c r="AE4021">
        <f t="shared" si="124"/>
        <v>2787.89</v>
      </c>
      <c r="AF4021" t="str">
        <f t="shared" si="125"/>
        <v>2026-06</v>
      </c>
      <c r="AG4021">
        <f>SUBTOTAL(103,A4021)</f>
        <v>1</v>
      </c>
    </row>
    <row r="4022" spans="1:33" x14ac:dyDescent="0.3">
      <c r="A4022" t="s">
        <v>6645</v>
      </c>
      <c r="B4022" s="13">
        <v>46175</v>
      </c>
      <c r="C4022">
        <v>2026</v>
      </c>
      <c r="D4022">
        <v>6</v>
      </c>
      <c r="E4022" t="s">
        <v>3813</v>
      </c>
      <c r="F4022" t="s">
        <v>3329</v>
      </c>
      <c r="G4022" t="s">
        <v>1029</v>
      </c>
      <c r="H4022" t="s">
        <v>1030</v>
      </c>
      <c r="I4022" t="s">
        <v>85</v>
      </c>
      <c r="J4022">
        <v>22</v>
      </c>
      <c r="K4022" t="s">
        <v>80</v>
      </c>
      <c r="L4022" t="s">
        <v>2637</v>
      </c>
      <c r="M4022" t="s">
        <v>64</v>
      </c>
      <c r="N4022" t="s">
        <v>2596</v>
      </c>
      <c r="O4022" t="s">
        <v>124</v>
      </c>
      <c r="P4022" t="s">
        <v>51</v>
      </c>
      <c r="Q4022" t="s">
        <v>147</v>
      </c>
      <c r="R4022">
        <v>2</v>
      </c>
      <c r="S4022">
        <v>2299</v>
      </c>
      <c r="T4022">
        <v>0.05</v>
      </c>
      <c r="U4022">
        <v>4368.1000000000004</v>
      </c>
      <c r="V4022">
        <v>2400</v>
      </c>
      <c r="W4022">
        <v>1968.1</v>
      </c>
      <c r="X4022" t="s">
        <v>76</v>
      </c>
      <c r="Y4022" t="s">
        <v>68</v>
      </c>
      <c r="Z4022" t="s">
        <v>162</v>
      </c>
      <c r="AA4022" t="s">
        <v>166</v>
      </c>
      <c r="AB4022">
        <v>4.8</v>
      </c>
      <c r="AC4022">
        <v>50</v>
      </c>
      <c r="AD4022">
        <v>175.47</v>
      </c>
      <c r="AE4022">
        <f t="shared" si="124"/>
        <v>1742.6299999999999</v>
      </c>
      <c r="AF4022" t="str">
        <f t="shared" si="125"/>
        <v>2026-06</v>
      </c>
      <c r="AG4022">
        <f>SUBTOTAL(103,A4022)</f>
        <v>1</v>
      </c>
    </row>
    <row r="4023" spans="1:33" x14ac:dyDescent="0.3">
      <c r="A4023" t="s">
        <v>6646</v>
      </c>
      <c r="B4023" s="13">
        <v>46176</v>
      </c>
      <c r="C4023">
        <v>2026</v>
      </c>
      <c r="D4023">
        <v>6</v>
      </c>
      <c r="E4023" t="s">
        <v>3813</v>
      </c>
      <c r="F4023" t="s">
        <v>3329</v>
      </c>
      <c r="G4023" t="s">
        <v>775</v>
      </c>
      <c r="H4023" t="s">
        <v>776</v>
      </c>
      <c r="I4023" t="s">
        <v>86</v>
      </c>
      <c r="J4023">
        <v>29</v>
      </c>
      <c r="K4023" t="s">
        <v>81</v>
      </c>
      <c r="L4023" t="s">
        <v>97</v>
      </c>
      <c r="M4023" t="s">
        <v>57</v>
      </c>
      <c r="N4023" t="s">
        <v>2647</v>
      </c>
      <c r="O4023" t="s">
        <v>133</v>
      </c>
      <c r="P4023" t="s">
        <v>50</v>
      </c>
      <c r="Q4023" t="s">
        <v>145</v>
      </c>
      <c r="R4023">
        <v>1</v>
      </c>
      <c r="S4023">
        <v>799</v>
      </c>
      <c r="T4023">
        <v>0</v>
      </c>
      <c r="U4023">
        <v>799</v>
      </c>
      <c r="V4023">
        <v>390</v>
      </c>
      <c r="W4023">
        <v>409</v>
      </c>
      <c r="X4023" t="s">
        <v>74</v>
      </c>
      <c r="Y4023" t="s">
        <v>68</v>
      </c>
      <c r="Z4023" t="s">
        <v>159</v>
      </c>
      <c r="AA4023" t="s">
        <v>169</v>
      </c>
      <c r="AB4023">
        <v>5</v>
      </c>
      <c r="AC4023">
        <v>80</v>
      </c>
      <c r="AD4023">
        <v>37.840000000000003</v>
      </c>
      <c r="AE4023">
        <f t="shared" si="124"/>
        <v>291.15999999999997</v>
      </c>
      <c r="AF4023" t="str">
        <f t="shared" si="125"/>
        <v>2026-06</v>
      </c>
      <c r="AG4023">
        <f>SUBTOTAL(103,A4023)</f>
        <v>1</v>
      </c>
    </row>
    <row r="4024" spans="1:33" x14ac:dyDescent="0.3">
      <c r="A4024" t="s">
        <v>6647</v>
      </c>
      <c r="B4024" s="13">
        <v>46176</v>
      </c>
      <c r="C4024">
        <v>2026</v>
      </c>
      <c r="D4024">
        <v>6</v>
      </c>
      <c r="E4024" t="s">
        <v>3813</v>
      </c>
      <c r="F4024" t="s">
        <v>3329</v>
      </c>
      <c r="G4024" t="s">
        <v>741</v>
      </c>
      <c r="H4024" t="s">
        <v>742</v>
      </c>
      <c r="I4024" t="s">
        <v>85</v>
      </c>
      <c r="J4024">
        <v>30</v>
      </c>
      <c r="K4024" t="s">
        <v>81</v>
      </c>
      <c r="L4024" t="s">
        <v>2579</v>
      </c>
      <c r="M4024" t="s">
        <v>56</v>
      </c>
      <c r="N4024" t="s">
        <v>2594</v>
      </c>
      <c r="O4024" t="s">
        <v>131</v>
      </c>
      <c r="P4024" t="s">
        <v>53</v>
      </c>
      <c r="Q4024" t="s">
        <v>143</v>
      </c>
      <c r="R4024">
        <v>3</v>
      </c>
      <c r="S4024">
        <v>999</v>
      </c>
      <c r="T4024">
        <v>0.25</v>
      </c>
      <c r="U4024">
        <v>2247.75</v>
      </c>
      <c r="V4024">
        <v>1560</v>
      </c>
      <c r="W4024">
        <v>687.75</v>
      </c>
      <c r="X4024" t="s">
        <v>73</v>
      </c>
      <c r="Y4024" t="s">
        <v>68</v>
      </c>
      <c r="Z4024" t="s">
        <v>162</v>
      </c>
      <c r="AA4024" t="s">
        <v>167</v>
      </c>
      <c r="AB4024">
        <v>4.2</v>
      </c>
      <c r="AC4024">
        <v>40</v>
      </c>
      <c r="AD4024">
        <v>117.61</v>
      </c>
      <c r="AE4024">
        <f t="shared" si="124"/>
        <v>530.14</v>
      </c>
      <c r="AF4024" t="str">
        <f t="shared" si="125"/>
        <v>2026-06</v>
      </c>
      <c r="AG4024">
        <f>SUBTOTAL(103,A4024)</f>
        <v>1</v>
      </c>
    </row>
    <row r="4025" spans="1:33" x14ac:dyDescent="0.3">
      <c r="A4025" t="s">
        <v>6648</v>
      </c>
      <c r="B4025" s="13">
        <v>46176</v>
      </c>
      <c r="C4025">
        <v>2026</v>
      </c>
      <c r="D4025">
        <v>6</v>
      </c>
      <c r="E4025" t="s">
        <v>3813</v>
      </c>
      <c r="F4025" t="s">
        <v>3329</v>
      </c>
      <c r="G4025" t="s">
        <v>851</v>
      </c>
      <c r="H4025" t="s">
        <v>852</v>
      </c>
      <c r="I4025" t="s">
        <v>86</v>
      </c>
      <c r="J4025">
        <v>23</v>
      </c>
      <c r="K4025" t="s">
        <v>80</v>
      </c>
      <c r="L4025" t="s">
        <v>59</v>
      </c>
      <c r="M4025" t="s">
        <v>59</v>
      </c>
      <c r="N4025" t="s">
        <v>2647</v>
      </c>
      <c r="O4025" t="s">
        <v>133</v>
      </c>
      <c r="P4025" t="s">
        <v>50</v>
      </c>
      <c r="Q4025" t="s">
        <v>145</v>
      </c>
      <c r="R4025">
        <v>1</v>
      </c>
      <c r="S4025">
        <v>799</v>
      </c>
      <c r="T4025">
        <v>0</v>
      </c>
      <c r="U4025">
        <v>799</v>
      </c>
      <c r="V4025">
        <v>390</v>
      </c>
      <c r="W4025">
        <v>409</v>
      </c>
      <c r="X4025" t="s">
        <v>75</v>
      </c>
      <c r="Y4025" t="s">
        <v>68</v>
      </c>
      <c r="Z4025" t="s">
        <v>160</v>
      </c>
      <c r="AA4025" t="s">
        <v>168</v>
      </c>
      <c r="AB4025">
        <v>4</v>
      </c>
      <c r="AC4025">
        <v>50</v>
      </c>
      <c r="AD4025">
        <v>84.69</v>
      </c>
      <c r="AE4025">
        <f t="shared" si="124"/>
        <v>274.31</v>
      </c>
      <c r="AF4025" t="str">
        <f t="shared" si="125"/>
        <v>2026-06</v>
      </c>
      <c r="AG4025">
        <f>SUBTOTAL(103,A4025)</f>
        <v>1</v>
      </c>
    </row>
    <row r="4026" spans="1:33" x14ac:dyDescent="0.3">
      <c r="A4026" t="s">
        <v>6649</v>
      </c>
      <c r="B4026" s="13">
        <v>46176</v>
      </c>
      <c r="C4026">
        <v>2026</v>
      </c>
      <c r="D4026">
        <v>6</v>
      </c>
      <c r="E4026" t="s">
        <v>3813</v>
      </c>
      <c r="F4026" t="s">
        <v>3329</v>
      </c>
      <c r="G4026" t="s">
        <v>525</v>
      </c>
      <c r="H4026" t="s">
        <v>526</v>
      </c>
      <c r="I4026" t="s">
        <v>86</v>
      </c>
      <c r="J4026">
        <v>24</v>
      </c>
      <c r="K4026" t="s">
        <v>80</v>
      </c>
      <c r="L4026" t="s">
        <v>2679</v>
      </c>
      <c r="M4026" t="s">
        <v>60</v>
      </c>
      <c r="N4026" t="s">
        <v>2596</v>
      </c>
      <c r="O4026" t="s">
        <v>124</v>
      </c>
      <c r="P4026" t="s">
        <v>51</v>
      </c>
      <c r="Q4026" t="s">
        <v>147</v>
      </c>
      <c r="R4026">
        <v>5</v>
      </c>
      <c r="S4026">
        <v>2299</v>
      </c>
      <c r="T4026">
        <v>0.05</v>
      </c>
      <c r="U4026">
        <v>10920.25</v>
      </c>
      <c r="V4026">
        <v>6000</v>
      </c>
      <c r="W4026">
        <v>4920.25</v>
      </c>
      <c r="X4026" t="s">
        <v>75</v>
      </c>
      <c r="Y4026" t="s">
        <v>69</v>
      </c>
      <c r="Z4026" t="s">
        <v>159</v>
      </c>
      <c r="AA4026" t="s">
        <v>166</v>
      </c>
      <c r="AB4026">
        <v>3.3</v>
      </c>
      <c r="AC4026">
        <v>60</v>
      </c>
      <c r="AD4026">
        <v>711.12</v>
      </c>
      <c r="AE4026">
        <f t="shared" si="124"/>
        <v>4149.13</v>
      </c>
      <c r="AF4026" t="str">
        <f t="shared" si="125"/>
        <v>2026-06</v>
      </c>
      <c r="AG4026">
        <f>SUBTOTAL(103,A4026)</f>
        <v>1</v>
      </c>
    </row>
    <row r="4027" spans="1:33" x14ac:dyDescent="0.3">
      <c r="A4027" t="s">
        <v>6650</v>
      </c>
      <c r="B4027" s="13">
        <v>46176</v>
      </c>
      <c r="C4027">
        <v>2026</v>
      </c>
      <c r="D4027">
        <v>6</v>
      </c>
      <c r="E4027" t="s">
        <v>3813</v>
      </c>
      <c r="F4027" t="s">
        <v>3329</v>
      </c>
      <c r="G4027" t="s">
        <v>1975</v>
      </c>
      <c r="H4027" t="s">
        <v>1976</v>
      </c>
      <c r="I4027" t="s">
        <v>86</v>
      </c>
      <c r="J4027">
        <v>50</v>
      </c>
      <c r="K4027" t="s">
        <v>83</v>
      </c>
      <c r="L4027" t="s">
        <v>2616</v>
      </c>
      <c r="M4027" t="s">
        <v>62</v>
      </c>
      <c r="N4027" t="s">
        <v>2647</v>
      </c>
      <c r="O4027" t="s">
        <v>133</v>
      </c>
      <c r="P4027" t="s">
        <v>50</v>
      </c>
      <c r="Q4027" t="s">
        <v>145</v>
      </c>
      <c r="R4027">
        <v>1</v>
      </c>
      <c r="S4027">
        <v>799</v>
      </c>
      <c r="T4027">
        <v>0.25</v>
      </c>
      <c r="U4027">
        <v>599.25</v>
      </c>
      <c r="V4027">
        <v>390</v>
      </c>
      <c r="W4027">
        <v>209.25</v>
      </c>
      <c r="X4027" t="s">
        <v>76</v>
      </c>
      <c r="Y4027" t="s">
        <v>68</v>
      </c>
      <c r="Z4027" t="s">
        <v>162</v>
      </c>
      <c r="AA4027" t="s">
        <v>167</v>
      </c>
      <c r="AB4027">
        <v>3.7</v>
      </c>
      <c r="AC4027">
        <v>60</v>
      </c>
      <c r="AD4027">
        <v>24.51</v>
      </c>
      <c r="AE4027">
        <f t="shared" si="124"/>
        <v>124.74</v>
      </c>
      <c r="AF4027" t="str">
        <f t="shared" si="125"/>
        <v>2026-06</v>
      </c>
      <c r="AG4027">
        <f>SUBTOTAL(103,A4027)</f>
        <v>1</v>
      </c>
    </row>
    <row r="4028" spans="1:33" x14ac:dyDescent="0.3">
      <c r="A4028" t="s">
        <v>6651</v>
      </c>
      <c r="B4028" s="13">
        <v>46176</v>
      </c>
      <c r="C4028">
        <v>2026</v>
      </c>
      <c r="D4028">
        <v>6</v>
      </c>
      <c r="E4028" t="s">
        <v>3813</v>
      </c>
      <c r="F4028" t="s">
        <v>3329</v>
      </c>
      <c r="G4028" t="s">
        <v>1871</v>
      </c>
      <c r="H4028" t="s">
        <v>1872</v>
      </c>
      <c r="I4028" t="s">
        <v>86</v>
      </c>
      <c r="J4028">
        <v>36</v>
      </c>
      <c r="K4028" t="s">
        <v>82</v>
      </c>
      <c r="L4028" t="s">
        <v>2579</v>
      </c>
      <c r="M4028" t="s">
        <v>56</v>
      </c>
      <c r="N4028" t="s">
        <v>2601</v>
      </c>
      <c r="O4028" t="s">
        <v>117</v>
      </c>
      <c r="P4028" t="s">
        <v>49</v>
      </c>
      <c r="Q4028" t="s">
        <v>139</v>
      </c>
      <c r="R4028">
        <v>1</v>
      </c>
      <c r="S4028">
        <v>6999</v>
      </c>
      <c r="T4028">
        <v>0.05</v>
      </c>
      <c r="U4028">
        <v>6649.05</v>
      </c>
      <c r="V4028">
        <v>4300</v>
      </c>
      <c r="W4028">
        <v>2349.0500000000002</v>
      </c>
      <c r="X4028" t="s">
        <v>76</v>
      </c>
      <c r="Y4028" t="s">
        <v>68</v>
      </c>
      <c r="Z4028" t="s">
        <v>159</v>
      </c>
      <c r="AA4028" t="s">
        <v>168</v>
      </c>
      <c r="AB4028">
        <v>4.0999999999999996</v>
      </c>
      <c r="AC4028">
        <v>80</v>
      </c>
      <c r="AD4028">
        <v>590.27</v>
      </c>
      <c r="AE4028">
        <f t="shared" si="124"/>
        <v>1678.7800000000002</v>
      </c>
      <c r="AF4028" t="str">
        <f t="shared" si="125"/>
        <v>2026-06</v>
      </c>
      <c r="AG4028">
        <f>SUBTOTAL(103,A4028)</f>
        <v>1</v>
      </c>
    </row>
    <row r="4029" spans="1:33" x14ac:dyDescent="0.3">
      <c r="A4029" t="s">
        <v>6652</v>
      </c>
      <c r="B4029" s="13">
        <v>46177</v>
      </c>
      <c r="C4029">
        <v>2026</v>
      </c>
      <c r="D4029">
        <v>6</v>
      </c>
      <c r="E4029" t="s">
        <v>3813</v>
      </c>
      <c r="F4029" t="s">
        <v>3329</v>
      </c>
      <c r="G4029" t="s">
        <v>323</v>
      </c>
      <c r="H4029" t="s">
        <v>324</v>
      </c>
      <c r="I4029" t="s">
        <v>86</v>
      </c>
      <c r="J4029">
        <v>25</v>
      </c>
      <c r="K4029" t="s">
        <v>80</v>
      </c>
      <c r="L4029" t="s">
        <v>59</v>
      </c>
      <c r="M4029" t="s">
        <v>59</v>
      </c>
      <c r="N4029" t="s">
        <v>2574</v>
      </c>
      <c r="O4029" t="s">
        <v>130</v>
      </c>
      <c r="P4029" t="s">
        <v>50</v>
      </c>
      <c r="Q4029" t="s">
        <v>53</v>
      </c>
      <c r="R4029">
        <v>2</v>
      </c>
      <c r="S4029">
        <v>1199</v>
      </c>
      <c r="T4029">
        <v>0.15</v>
      </c>
      <c r="U4029">
        <v>2038.3</v>
      </c>
      <c r="V4029">
        <v>1100</v>
      </c>
      <c r="W4029">
        <v>938.3</v>
      </c>
      <c r="X4029" t="s">
        <v>74</v>
      </c>
      <c r="Y4029" t="s">
        <v>70</v>
      </c>
      <c r="Z4029" t="s">
        <v>159</v>
      </c>
      <c r="AA4029" t="s">
        <v>168</v>
      </c>
      <c r="AB4029">
        <v>4.4000000000000004</v>
      </c>
      <c r="AC4029">
        <v>40</v>
      </c>
      <c r="AD4029">
        <v>160.94</v>
      </c>
      <c r="AE4029">
        <f t="shared" si="124"/>
        <v>737.3599999999999</v>
      </c>
      <c r="AF4029" t="str">
        <f t="shared" si="125"/>
        <v>2026-06</v>
      </c>
      <c r="AG4029">
        <f>SUBTOTAL(103,A4029)</f>
        <v>1</v>
      </c>
    </row>
    <row r="4030" spans="1:33" x14ac:dyDescent="0.3">
      <c r="A4030" t="s">
        <v>6653</v>
      </c>
      <c r="B4030" s="13">
        <v>46177</v>
      </c>
      <c r="C4030">
        <v>2026</v>
      </c>
      <c r="D4030">
        <v>6</v>
      </c>
      <c r="E4030" t="s">
        <v>3813</v>
      </c>
      <c r="F4030" t="s">
        <v>3329</v>
      </c>
      <c r="G4030" t="s">
        <v>683</v>
      </c>
      <c r="H4030" t="s">
        <v>684</v>
      </c>
      <c r="I4030" t="s">
        <v>86</v>
      </c>
      <c r="J4030">
        <v>42</v>
      </c>
      <c r="K4030" t="s">
        <v>82</v>
      </c>
      <c r="L4030" t="s">
        <v>59</v>
      </c>
      <c r="M4030" t="s">
        <v>59</v>
      </c>
      <c r="N4030" t="s">
        <v>2665</v>
      </c>
      <c r="O4030" t="s">
        <v>128</v>
      </c>
      <c r="P4030" t="s">
        <v>53</v>
      </c>
      <c r="Q4030" t="s">
        <v>143</v>
      </c>
      <c r="R4030">
        <v>4</v>
      </c>
      <c r="S4030">
        <v>1499</v>
      </c>
      <c r="T4030">
        <v>0.25</v>
      </c>
      <c r="U4030">
        <v>0</v>
      </c>
      <c r="V4030">
        <v>0</v>
      </c>
      <c r="W4030">
        <v>0</v>
      </c>
      <c r="X4030" t="s">
        <v>74</v>
      </c>
      <c r="Y4030" t="s">
        <v>71</v>
      </c>
      <c r="Z4030" t="s">
        <v>162</v>
      </c>
      <c r="AA4030" t="s">
        <v>169</v>
      </c>
      <c r="AB4030">
        <v>4.2</v>
      </c>
      <c r="AC4030">
        <v>100</v>
      </c>
      <c r="AD4030">
        <v>271.72000000000003</v>
      </c>
      <c r="AE4030">
        <f t="shared" si="124"/>
        <v>-371.72</v>
      </c>
      <c r="AF4030" t="str">
        <f t="shared" si="125"/>
        <v>2026-06</v>
      </c>
      <c r="AG4030">
        <f>SUBTOTAL(103,A4030)</f>
        <v>1</v>
      </c>
    </row>
    <row r="4031" spans="1:33" x14ac:dyDescent="0.3">
      <c r="A4031" t="s">
        <v>6654</v>
      </c>
      <c r="B4031" s="13">
        <v>46177</v>
      </c>
      <c r="C4031">
        <v>2026</v>
      </c>
      <c r="D4031">
        <v>6</v>
      </c>
      <c r="E4031" t="s">
        <v>3813</v>
      </c>
      <c r="F4031" t="s">
        <v>3329</v>
      </c>
      <c r="G4031" t="s">
        <v>535</v>
      </c>
      <c r="H4031" t="s">
        <v>536</v>
      </c>
      <c r="I4031" t="s">
        <v>85</v>
      </c>
      <c r="J4031">
        <v>52</v>
      </c>
      <c r="K4031" t="s">
        <v>83</v>
      </c>
      <c r="L4031" t="s">
        <v>2661</v>
      </c>
      <c r="M4031" t="s">
        <v>58</v>
      </c>
      <c r="N4031" t="s">
        <v>2587</v>
      </c>
      <c r="O4031" t="s">
        <v>116</v>
      </c>
      <c r="P4031" t="s">
        <v>48</v>
      </c>
      <c r="Q4031" t="s">
        <v>138</v>
      </c>
      <c r="R4031">
        <v>2</v>
      </c>
      <c r="S4031">
        <v>14999</v>
      </c>
      <c r="T4031">
        <v>0.05</v>
      </c>
      <c r="U4031">
        <v>28498.1</v>
      </c>
      <c r="V4031">
        <v>22400</v>
      </c>
      <c r="W4031">
        <v>6098.1</v>
      </c>
      <c r="X4031" t="s">
        <v>75</v>
      </c>
      <c r="Y4031" t="s">
        <v>68</v>
      </c>
      <c r="Z4031" t="s">
        <v>159</v>
      </c>
      <c r="AA4031" t="s">
        <v>169</v>
      </c>
      <c r="AB4031">
        <v>4.4000000000000004</v>
      </c>
      <c r="AC4031">
        <v>50</v>
      </c>
      <c r="AD4031">
        <v>1615.43</v>
      </c>
      <c r="AE4031">
        <f t="shared" si="124"/>
        <v>4432.67</v>
      </c>
      <c r="AF4031" t="str">
        <f t="shared" si="125"/>
        <v>2026-06</v>
      </c>
      <c r="AG4031">
        <f>SUBTOTAL(103,A4031)</f>
        <v>1</v>
      </c>
    </row>
    <row r="4032" spans="1:33" x14ac:dyDescent="0.3">
      <c r="A4032" t="s">
        <v>6655</v>
      </c>
      <c r="B4032" s="13">
        <v>46177</v>
      </c>
      <c r="C4032">
        <v>2026</v>
      </c>
      <c r="D4032">
        <v>6</v>
      </c>
      <c r="E4032" t="s">
        <v>3813</v>
      </c>
      <c r="F4032" t="s">
        <v>3329</v>
      </c>
      <c r="G4032" t="s">
        <v>1397</v>
      </c>
      <c r="H4032" t="s">
        <v>1398</v>
      </c>
      <c r="I4032" t="s">
        <v>85</v>
      </c>
      <c r="J4032">
        <v>43</v>
      </c>
      <c r="K4032" t="s">
        <v>82</v>
      </c>
      <c r="L4032" t="s">
        <v>2623</v>
      </c>
      <c r="M4032" t="s">
        <v>61</v>
      </c>
      <c r="N4032" t="s">
        <v>2647</v>
      </c>
      <c r="O4032" t="s">
        <v>133</v>
      </c>
      <c r="P4032" t="s">
        <v>50</v>
      </c>
      <c r="Q4032" t="s">
        <v>145</v>
      </c>
      <c r="R4032">
        <v>1</v>
      </c>
      <c r="S4032">
        <v>799</v>
      </c>
      <c r="T4032">
        <v>0.25</v>
      </c>
      <c r="U4032">
        <v>599.25</v>
      </c>
      <c r="V4032">
        <v>390</v>
      </c>
      <c r="W4032">
        <v>209.25</v>
      </c>
      <c r="X4032" t="s">
        <v>74</v>
      </c>
      <c r="Y4032" t="s">
        <v>68</v>
      </c>
      <c r="Z4032" t="s">
        <v>162</v>
      </c>
      <c r="AA4032" t="s">
        <v>167</v>
      </c>
      <c r="AB4032">
        <v>3</v>
      </c>
      <c r="AC4032">
        <v>40</v>
      </c>
      <c r="AD4032">
        <v>20</v>
      </c>
      <c r="AE4032">
        <f t="shared" si="124"/>
        <v>149.25</v>
      </c>
      <c r="AF4032" t="str">
        <f t="shared" si="125"/>
        <v>2026-06</v>
      </c>
      <c r="AG4032">
        <f>SUBTOTAL(103,A4032)</f>
        <v>1</v>
      </c>
    </row>
    <row r="4033" spans="1:33" x14ac:dyDescent="0.3">
      <c r="A4033" t="s">
        <v>6656</v>
      </c>
      <c r="B4033" s="13">
        <v>46177</v>
      </c>
      <c r="C4033">
        <v>2026</v>
      </c>
      <c r="D4033">
        <v>6</v>
      </c>
      <c r="E4033" t="s">
        <v>3813</v>
      </c>
      <c r="F4033" t="s">
        <v>3329</v>
      </c>
      <c r="G4033" t="s">
        <v>1081</v>
      </c>
      <c r="H4033" t="s">
        <v>1082</v>
      </c>
      <c r="I4033" t="s">
        <v>85</v>
      </c>
      <c r="J4033">
        <v>50</v>
      </c>
      <c r="K4033" t="s">
        <v>83</v>
      </c>
      <c r="L4033" t="s">
        <v>92</v>
      </c>
      <c r="M4033" t="s">
        <v>59</v>
      </c>
      <c r="N4033" t="s">
        <v>2626</v>
      </c>
      <c r="O4033" t="s">
        <v>125</v>
      </c>
      <c r="P4033" t="s">
        <v>48</v>
      </c>
      <c r="Q4033" t="s">
        <v>141</v>
      </c>
      <c r="R4033">
        <v>3</v>
      </c>
      <c r="S4033">
        <v>1999</v>
      </c>
      <c r="T4033">
        <v>0</v>
      </c>
      <c r="U4033">
        <v>5997</v>
      </c>
      <c r="V4033">
        <v>3450</v>
      </c>
      <c r="W4033">
        <v>2547</v>
      </c>
      <c r="X4033" t="s">
        <v>73</v>
      </c>
      <c r="Y4033" t="s">
        <v>68</v>
      </c>
      <c r="Z4033" t="s">
        <v>160</v>
      </c>
      <c r="AA4033" t="s">
        <v>167</v>
      </c>
      <c r="AB4033">
        <v>3.8</v>
      </c>
      <c r="AC4033">
        <v>40</v>
      </c>
      <c r="AD4033">
        <v>284.31</v>
      </c>
      <c r="AE4033">
        <f t="shared" si="124"/>
        <v>2222.69</v>
      </c>
      <c r="AF4033" t="str">
        <f t="shared" si="125"/>
        <v>2026-06</v>
      </c>
      <c r="AG4033">
        <f>SUBTOTAL(103,A4033)</f>
        <v>1</v>
      </c>
    </row>
    <row r="4034" spans="1:33" x14ac:dyDescent="0.3">
      <c r="A4034" t="s">
        <v>6657</v>
      </c>
      <c r="B4034" s="13">
        <v>46177</v>
      </c>
      <c r="C4034">
        <v>2026</v>
      </c>
      <c r="D4034">
        <v>6</v>
      </c>
      <c r="E4034" t="s">
        <v>3813</v>
      </c>
      <c r="F4034" t="s">
        <v>3329</v>
      </c>
      <c r="G4034" t="s">
        <v>571</v>
      </c>
      <c r="H4034" t="s">
        <v>572</v>
      </c>
      <c r="I4034" t="s">
        <v>85</v>
      </c>
      <c r="J4034">
        <v>60</v>
      </c>
      <c r="K4034" t="s">
        <v>83</v>
      </c>
      <c r="L4034" t="s">
        <v>95</v>
      </c>
      <c r="M4034" t="s">
        <v>56</v>
      </c>
      <c r="N4034" t="s">
        <v>2596</v>
      </c>
      <c r="O4034" t="s">
        <v>124</v>
      </c>
      <c r="P4034" t="s">
        <v>51</v>
      </c>
      <c r="Q4034" t="s">
        <v>147</v>
      </c>
      <c r="R4034">
        <v>2</v>
      </c>
      <c r="S4034">
        <v>2299</v>
      </c>
      <c r="T4034">
        <v>0.05</v>
      </c>
      <c r="U4034">
        <v>4368.1000000000004</v>
      </c>
      <c r="V4034">
        <v>2400</v>
      </c>
      <c r="W4034">
        <v>1968.1</v>
      </c>
      <c r="X4034" t="s">
        <v>75</v>
      </c>
      <c r="Y4034" t="s">
        <v>68</v>
      </c>
      <c r="Z4034" t="s">
        <v>158</v>
      </c>
      <c r="AA4034" t="s">
        <v>168</v>
      </c>
      <c r="AB4034">
        <v>4.7</v>
      </c>
      <c r="AC4034">
        <v>80</v>
      </c>
      <c r="AD4034">
        <v>313.06</v>
      </c>
      <c r="AE4034">
        <f t="shared" ref="AE4034:AE4097" si="126">W4034-AC4034-AD4034</f>
        <v>1575.04</v>
      </c>
      <c r="AF4034" t="str">
        <f t="shared" ref="AF4034:AF4097" si="127">C4034&amp;"-"&amp;TEXT(D4034,"00")</f>
        <v>2026-06</v>
      </c>
      <c r="AG4034">
        <f>SUBTOTAL(103,A4034)</f>
        <v>1</v>
      </c>
    </row>
    <row r="4035" spans="1:33" x14ac:dyDescent="0.3">
      <c r="A4035" t="s">
        <v>6658</v>
      </c>
      <c r="B4035" s="13">
        <v>46177</v>
      </c>
      <c r="C4035">
        <v>2026</v>
      </c>
      <c r="D4035">
        <v>6</v>
      </c>
      <c r="E4035" t="s">
        <v>3813</v>
      </c>
      <c r="F4035" t="s">
        <v>3329</v>
      </c>
      <c r="G4035" t="s">
        <v>193</v>
      </c>
      <c r="H4035" t="s">
        <v>194</v>
      </c>
      <c r="I4035" t="s">
        <v>86</v>
      </c>
      <c r="J4035">
        <v>46</v>
      </c>
      <c r="K4035" t="s">
        <v>83</v>
      </c>
      <c r="L4035" t="s">
        <v>94</v>
      </c>
      <c r="M4035" t="s">
        <v>57</v>
      </c>
      <c r="N4035" t="s">
        <v>2592</v>
      </c>
      <c r="O4035" t="s">
        <v>115</v>
      </c>
      <c r="P4035" t="s">
        <v>48</v>
      </c>
      <c r="Q4035" t="s">
        <v>137</v>
      </c>
      <c r="R4035">
        <v>4</v>
      </c>
      <c r="S4035">
        <v>12999</v>
      </c>
      <c r="T4035">
        <v>0</v>
      </c>
      <c r="U4035">
        <v>51996</v>
      </c>
      <c r="V4035">
        <v>36000</v>
      </c>
      <c r="W4035">
        <v>15996</v>
      </c>
      <c r="X4035" t="s">
        <v>75</v>
      </c>
      <c r="Y4035" t="s">
        <v>68</v>
      </c>
      <c r="Z4035" t="s">
        <v>162</v>
      </c>
      <c r="AA4035" t="s">
        <v>171</v>
      </c>
      <c r="AB4035">
        <v>3.3</v>
      </c>
      <c r="AC4035">
        <v>50</v>
      </c>
      <c r="AD4035">
        <v>3140.12</v>
      </c>
      <c r="AE4035">
        <f t="shared" si="126"/>
        <v>12805.880000000001</v>
      </c>
      <c r="AF4035" t="str">
        <f t="shared" si="127"/>
        <v>2026-06</v>
      </c>
      <c r="AG4035">
        <f>SUBTOTAL(103,A4035)</f>
        <v>1</v>
      </c>
    </row>
    <row r="4036" spans="1:33" x14ac:dyDescent="0.3">
      <c r="A4036" t="s">
        <v>6659</v>
      </c>
      <c r="B4036" s="13">
        <v>46177</v>
      </c>
      <c r="C4036">
        <v>2026</v>
      </c>
      <c r="D4036">
        <v>6</v>
      </c>
      <c r="E4036" t="s">
        <v>3813</v>
      </c>
      <c r="F4036" t="s">
        <v>3329</v>
      </c>
      <c r="G4036" t="s">
        <v>2067</v>
      </c>
      <c r="H4036" t="s">
        <v>2068</v>
      </c>
      <c r="I4036" t="s">
        <v>86</v>
      </c>
      <c r="J4036">
        <v>28</v>
      </c>
      <c r="K4036" t="s">
        <v>81</v>
      </c>
      <c r="L4036" t="s">
        <v>2674</v>
      </c>
      <c r="M4036" t="s">
        <v>58</v>
      </c>
      <c r="N4036" t="s">
        <v>2647</v>
      </c>
      <c r="O4036" t="s">
        <v>133</v>
      </c>
      <c r="P4036" t="s">
        <v>50</v>
      </c>
      <c r="Q4036" t="s">
        <v>145</v>
      </c>
      <c r="R4036">
        <v>2</v>
      </c>
      <c r="S4036">
        <v>799</v>
      </c>
      <c r="T4036">
        <v>0.05</v>
      </c>
      <c r="U4036">
        <v>1518.1</v>
      </c>
      <c r="V4036">
        <v>780</v>
      </c>
      <c r="W4036">
        <v>738.1</v>
      </c>
      <c r="X4036" t="s">
        <v>73</v>
      </c>
      <c r="Y4036" t="s">
        <v>68</v>
      </c>
      <c r="Z4036" t="s">
        <v>159</v>
      </c>
      <c r="AA4036" t="s">
        <v>171</v>
      </c>
      <c r="AB4036">
        <v>4.4000000000000004</v>
      </c>
      <c r="AC4036">
        <v>60</v>
      </c>
      <c r="AD4036">
        <v>134.83000000000001</v>
      </c>
      <c r="AE4036">
        <f t="shared" si="126"/>
        <v>543.27</v>
      </c>
      <c r="AF4036" t="str">
        <f t="shared" si="127"/>
        <v>2026-06</v>
      </c>
      <c r="AG4036">
        <f>SUBTOTAL(103,A4036)</f>
        <v>1</v>
      </c>
    </row>
    <row r="4037" spans="1:33" x14ac:dyDescent="0.3">
      <c r="A4037" t="s">
        <v>6660</v>
      </c>
      <c r="B4037" s="13">
        <v>46177</v>
      </c>
      <c r="C4037">
        <v>2026</v>
      </c>
      <c r="D4037">
        <v>6</v>
      </c>
      <c r="E4037" t="s">
        <v>3813</v>
      </c>
      <c r="F4037" t="s">
        <v>3329</v>
      </c>
      <c r="G4037" t="s">
        <v>2361</v>
      </c>
      <c r="H4037" t="s">
        <v>2362</v>
      </c>
      <c r="I4037" t="s">
        <v>86</v>
      </c>
      <c r="J4037">
        <v>19</v>
      </c>
      <c r="K4037" t="s">
        <v>80</v>
      </c>
      <c r="L4037" t="s">
        <v>92</v>
      </c>
      <c r="M4037" t="s">
        <v>59</v>
      </c>
      <c r="N4037" t="s">
        <v>2653</v>
      </c>
      <c r="O4037" t="s">
        <v>132</v>
      </c>
      <c r="P4037" t="s">
        <v>52</v>
      </c>
      <c r="Q4037" t="s">
        <v>150</v>
      </c>
      <c r="R4037">
        <v>2</v>
      </c>
      <c r="S4037">
        <v>899</v>
      </c>
      <c r="T4037">
        <v>0.1</v>
      </c>
      <c r="U4037">
        <v>1618.2</v>
      </c>
      <c r="V4037">
        <v>840</v>
      </c>
      <c r="W4037">
        <v>778.2</v>
      </c>
      <c r="X4037" t="s">
        <v>73</v>
      </c>
      <c r="Y4037" t="s">
        <v>68</v>
      </c>
      <c r="Z4037" t="s">
        <v>162</v>
      </c>
      <c r="AA4037" t="s">
        <v>167</v>
      </c>
      <c r="AB4037">
        <v>4.7</v>
      </c>
      <c r="AC4037">
        <v>50</v>
      </c>
      <c r="AD4037">
        <v>137.38</v>
      </c>
      <c r="AE4037">
        <f t="shared" si="126"/>
        <v>590.82000000000005</v>
      </c>
      <c r="AF4037" t="str">
        <f t="shared" si="127"/>
        <v>2026-06</v>
      </c>
      <c r="AG4037">
        <f>SUBTOTAL(103,A4037)</f>
        <v>1</v>
      </c>
    </row>
    <row r="4038" spans="1:33" x14ac:dyDescent="0.3">
      <c r="A4038" t="s">
        <v>6661</v>
      </c>
      <c r="B4038" s="13">
        <v>46177</v>
      </c>
      <c r="C4038">
        <v>2026</v>
      </c>
      <c r="D4038">
        <v>6</v>
      </c>
      <c r="E4038" t="s">
        <v>3813</v>
      </c>
      <c r="F4038" t="s">
        <v>3329</v>
      </c>
      <c r="G4038" t="s">
        <v>1679</v>
      </c>
      <c r="H4038" t="s">
        <v>1680</v>
      </c>
      <c r="I4038" t="s">
        <v>85</v>
      </c>
      <c r="J4038">
        <v>54</v>
      </c>
      <c r="K4038" t="s">
        <v>83</v>
      </c>
      <c r="L4038" t="s">
        <v>97</v>
      </c>
      <c r="M4038" t="s">
        <v>57</v>
      </c>
      <c r="N4038" t="s">
        <v>2630</v>
      </c>
      <c r="O4038" t="s">
        <v>123</v>
      </c>
      <c r="P4038" t="s">
        <v>52</v>
      </c>
      <c r="Q4038" t="s">
        <v>146</v>
      </c>
      <c r="R4038">
        <v>3</v>
      </c>
      <c r="S4038">
        <v>2499</v>
      </c>
      <c r="T4038">
        <v>0.1</v>
      </c>
      <c r="U4038">
        <v>6747.3</v>
      </c>
      <c r="V4038">
        <v>4200</v>
      </c>
      <c r="W4038">
        <v>2547.3000000000002</v>
      </c>
      <c r="X4038" t="s">
        <v>74</v>
      </c>
      <c r="Y4038" t="s">
        <v>68</v>
      </c>
      <c r="Z4038" t="s">
        <v>163</v>
      </c>
      <c r="AA4038" t="s">
        <v>166</v>
      </c>
      <c r="AB4038">
        <v>5</v>
      </c>
      <c r="AC4038">
        <v>50</v>
      </c>
      <c r="AD4038">
        <v>635.85</v>
      </c>
      <c r="AE4038">
        <f t="shared" si="126"/>
        <v>1861.4500000000003</v>
      </c>
      <c r="AF4038" t="str">
        <f t="shared" si="127"/>
        <v>2026-06</v>
      </c>
      <c r="AG4038">
        <f>SUBTOTAL(103,A4038)</f>
        <v>1</v>
      </c>
    </row>
    <row r="4039" spans="1:33" x14ac:dyDescent="0.3">
      <c r="A4039" t="s">
        <v>6662</v>
      </c>
      <c r="B4039" s="13">
        <v>46177</v>
      </c>
      <c r="C4039">
        <v>2026</v>
      </c>
      <c r="D4039">
        <v>6</v>
      </c>
      <c r="E4039" t="s">
        <v>3813</v>
      </c>
      <c r="F4039" t="s">
        <v>3329</v>
      </c>
      <c r="G4039" t="s">
        <v>967</v>
      </c>
      <c r="H4039" t="s">
        <v>968</v>
      </c>
      <c r="I4039" t="s">
        <v>86</v>
      </c>
      <c r="J4039">
        <v>59</v>
      </c>
      <c r="K4039" t="s">
        <v>83</v>
      </c>
      <c r="L4039" t="s">
        <v>2576</v>
      </c>
      <c r="M4039" t="s">
        <v>60</v>
      </c>
      <c r="N4039" t="s">
        <v>2653</v>
      </c>
      <c r="O4039" t="s">
        <v>132</v>
      </c>
      <c r="P4039" t="s">
        <v>52</v>
      </c>
      <c r="Q4039" t="s">
        <v>150</v>
      </c>
      <c r="R4039">
        <v>1</v>
      </c>
      <c r="S4039">
        <v>899</v>
      </c>
      <c r="T4039">
        <v>0.05</v>
      </c>
      <c r="U4039">
        <v>854.05</v>
      </c>
      <c r="V4039">
        <v>420</v>
      </c>
      <c r="W4039">
        <v>434.05</v>
      </c>
      <c r="X4039" t="s">
        <v>77</v>
      </c>
      <c r="Y4039" t="s">
        <v>68</v>
      </c>
      <c r="Z4039" t="s">
        <v>159</v>
      </c>
      <c r="AA4039" t="s">
        <v>166</v>
      </c>
      <c r="AB4039">
        <v>4.4000000000000004</v>
      </c>
      <c r="AC4039">
        <v>100</v>
      </c>
      <c r="AD4039">
        <v>27.4</v>
      </c>
      <c r="AE4039">
        <f t="shared" si="126"/>
        <v>306.65000000000003</v>
      </c>
      <c r="AF4039" t="str">
        <f t="shared" si="127"/>
        <v>2026-06</v>
      </c>
      <c r="AG4039">
        <f>SUBTOTAL(103,A4039)</f>
        <v>1</v>
      </c>
    </row>
    <row r="4040" spans="1:33" x14ac:dyDescent="0.3">
      <c r="A4040" t="s">
        <v>6663</v>
      </c>
      <c r="B4040" s="13">
        <v>46178</v>
      </c>
      <c r="C4040">
        <v>2026</v>
      </c>
      <c r="D4040">
        <v>6</v>
      </c>
      <c r="E4040" t="s">
        <v>3813</v>
      </c>
      <c r="F4040" t="s">
        <v>3329</v>
      </c>
      <c r="G4040" t="s">
        <v>383</v>
      </c>
      <c r="H4040" t="s">
        <v>384</v>
      </c>
      <c r="I4040" t="s">
        <v>86</v>
      </c>
      <c r="J4040">
        <v>36</v>
      </c>
      <c r="K4040" t="s">
        <v>82</v>
      </c>
      <c r="L4040" t="s">
        <v>2634</v>
      </c>
      <c r="M4040" t="s">
        <v>56</v>
      </c>
      <c r="N4040" t="s">
        <v>2590</v>
      </c>
      <c r="O4040" t="s">
        <v>127</v>
      </c>
      <c r="P4040" t="s">
        <v>51</v>
      </c>
      <c r="Q4040" t="s">
        <v>148</v>
      </c>
      <c r="R4040">
        <v>3</v>
      </c>
      <c r="S4040">
        <v>1599</v>
      </c>
      <c r="T4040">
        <v>0.1</v>
      </c>
      <c r="U4040">
        <v>4317.3</v>
      </c>
      <c r="V4040">
        <v>2400</v>
      </c>
      <c r="W4040">
        <v>1917.3</v>
      </c>
      <c r="X4040" t="s">
        <v>73</v>
      </c>
      <c r="Y4040" t="s">
        <v>69</v>
      </c>
      <c r="Z4040" t="s">
        <v>161</v>
      </c>
      <c r="AA4040" t="s">
        <v>166</v>
      </c>
      <c r="AB4040">
        <v>3.9</v>
      </c>
      <c r="AC4040">
        <v>50</v>
      </c>
      <c r="AD4040">
        <v>513.63</v>
      </c>
      <c r="AE4040">
        <f t="shared" si="126"/>
        <v>1353.67</v>
      </c>
      <c r="AF4040" t="str">
        <f t="shared" si="127"/>
        <v>2026-06</v>
      </c>
      <c r="AG4040">
        <f>SUBTOTAL(103,A4040)</f>
        <v>1</v>
      </c>
    </row>
    <row r="4041" spans="1:33" x14ac:dyDescent="0.3">
      <c r="A4041" t="s">
        <v>6664</v>
      </c>
      <c r="B4041" s="13">
        <v>46178</v>
      </c>
      <c r="C4041">
        <v>2026</v>
      </c>
      <c r="D4041">
        <v>6</v>
      </c>
      <c r="E4041" t="s">
        <v>3813</v>
      </c>
      <c r="F4041" t="s">
        <v>3329</v>
      </c>
      <c r="G4041" t="s">
        <v>675</v>
      </c>
      <c r="H4041" t="s">
        <v>676</v>
      </c>
      <c r="I4041" t="s">
        <v>85</v>
      </c>
      <c r="J4041">
        <v>33</v>
      </c>
      <c r="K4041" t="s">
        <v>81</v>
      </c>
      <c r="L4041" t="s">
        <v>2605</v>
      </c>
      <c r="M4041" t="s">
        <v>60</v>
      </c>
      <c r="N4041" t="s">
        <v>2596</v>
      </c>
      <c r="O4041" t="s">
        <v>124</v>
      </c>
      <c r="P4041" t="s">
        <v>51</v>
      </c>
      <c r="Q4041" t="s">
        <v>147</v>
      </c>
      <c r="R4041">
        <v>4</v>
      </c>
      <c r="S4041">
        <v>2299</v>
      </c>
      <c r="T4041">
        <v>0.05</v>
      </c>
      <c r="U4041">
        <v>8736.2000000000007</v>
      </c>
      <c r="V4041">
        <v>4800</v>
      </c>
      <c r="W4041">
        <v>3936.2</v>
      </c>
      <c r="X4041" t="s">
        <v>77</v>
      </c>
      <c r="Y4041" t="s">
        <v>68</v>
      </c>
      <c r="Z4041" t="s">
        <v>161</v>
      </c>
      <c r="AA4041" t="s">
        <v>171</v>
      </c>
      <c r="AB4041">
        <v>3.8</v>
      </c>
      <c r="AC4041">
        <v>80</v>
      </c>
      <c r="AD4041">
        <v>738.34</v>
      </c>
      <c r="AE4041">
        <f t="shared" si="126"/>
        <v>3117.8599999999997</v>
      </c>
      <c r="AF4041" t="str">
        <f t="shared" si="127"/>
        <v>2026-06</v>
      </c>
      <c r="AG4041">
        <f>SUBTOTAL(103,A4041)</f>
        <v>1</v>
      </c>
    </row>
    <row r="4042" spans="1:33" x14ac:dyDescent="0.3">
      <c r="A4042" t="s">
        <v>6665</v>
      </c>
      <c r="B4042" s="13">
        <v>46178</v>
      </c>
      <c r="C4042">
        <v>2026</v>
      </c>
      <c r="D4042">
        <v>6</v>
      </c>
      <c r="E4042" t="s">
        <v>3813</v>
      </c>
      <c r="F4042" t="s">
        <v>3329</v>
      </c>
      <c r="G4042" t="s">
        <v>767</v>
      </c>
      <c r="H4042" t="s">
        <v>768</v>
      </c>
      <c r="I4042" t="s">
        <v>85</v>
      </c>
      <c r="J4042">
        <v>47</v>
      </c>
      <c r="K4042" t="s">
        <v>83</v>
      </c>
      <c r="L4042" t="s">
        <v>91</v>
      </c>
      <c r="M4042" t="s">
        <v>55</v>
      </c>
      <c r="N4042" t="s">
        <v>2574</v>
      </c>
      <c r="O4042" t="s">
        <v>130</v>
      </c>
      <c r="P4042" t="s">
        <v>50</v>
      </c>
      <c r="Q4042" t="s">
        <v>53</v>
      </c>
      <c r="R4042">
        <v>1</v>
      </c>
      <c r="S4042">
        <v>1199</v>
      </c>
      <c r="T4042">
        <v>0.05</v>
      </c>
      <c r="U4042">
        <v>1139.05</v>
      </c>
      <c r="V4042">
        <v>550</v>
      </c>
      <c r="W4042">
        <v>589.04999999999995</v>
      </c>
      <c r="X4042" t="s">
        <v>73</v>
      </c>
      <c r="Y4042" t="s">
        <v>68</v>
      </c>
      <c r="Z4042" t="s">
        <v>159</v>
      </c>
      <c r="AA4042" t="s">
        <v>166</v>
      </c>
      <c r="AB4042">
        <v>4</v>
      </c>
      <c r="AC4042">
        <v>80</v>
      </c>
      <c r="AD4042">
        <v>82.36</v>
      </c>
      <c r="AE4042">
        <f t="shared" si="126"/>
        <v>426.68999999999994</v>
      </c>
      <c r="AF4042" t="str">
        <f t="shared" si="127"/>
        <v>2026-06</v>
      </c>
      <c r="AG4042">
        <f>SUBTOTAL(103,A4042)</f>
        <v>1</v>
      </c>
    </row>
    <row r="4043" spans="1:33" x14ac:dyDescent="0.3">
      <c r="A4043" t="s">
        <v>6666</v>
      </c>
      <c r="B4043" s="13">
        <v>46178</v>
      </c>
      <c r="C4043">
        <v>2026</v>
      </c>
      <c r="D4043">
        <v>6</v>
      </c>
      <c r="E4043" t="s">
        <v>3813</v>
      </c>
      <c r="F4043" t="s">
        <v>3329</v>
      </c>
      <c r="G4043" t="s">
        <v>2351</v>
      </c>
      <c r="H4043" t="s">
        <v>2352</v>
      </c>
      <c r="I4043" t="s">
        <v>85</v>
      </c>
      <c r="J4043">
        <v>24</v>
      </c>
      <c r="K4043" t="s">
        <v>80</v>
      </c>
      <c r="L4043" t="s">
        <v>98</v>
      </c>
      <c r="M4043" t="s">
        <v>55</v>
      </c>
      <c r="N4043" t="s">
        <v>2574</v>
      </c>
      <c r="O4043" t="s">
        <v>130</v>
      </c>
      <c r="P4043" t="s">
        <v>50</v>
      </c>
      <c r="Q4043" t="s">
        <v>53</v>
      </c>
      <c r="R4043">
        <v>1</v>
      </c>
      <c r="S4043">
        <v>1199</v>
      </c>
      <c r="T4043">
        <v>0.1</v>
      </c>
      <c r="U4043">
        <v>1079.0999999999999</v>
      </c>
      <c r="V4043">
        <v>550</v>
      </c>
      <c r="W4043">
        <v>529.1</v>
      </c>
      <c r="X4043" t="s">
        <v>76</v>
      </c>
      <c r="Y4043" t="s">
        <v>68</v>
      </c>
      <c r="Z4043" t="s">
        <v>163</v>
      </c>
      <c r="AA4043" t="s">
        <v>166</v>
      </c>
      <c r="AB4043">
        <v>4.4000000000000004</v>
      </c>
      <c r="AC4043">
        <v>80</v>
      </c>
      <c r="AD4043">
        <v>40.520000000000003</v>
      </c>
      <c r="AE4043">
        <f t="shared" si="126"/>
        <v>408.58000000000004</v>
      </c>
      <c r="AF4043" t="str">
        <f t="shared" si="127"/>
        <v>2026-06</v>
      </c>
      <c r="AG4043">
        <f>SUBTOTAL(103,A4043)</f>
        <v>1</v>
      </c>
    </row>
    <row r="4044" spans="1:33" x14ac:dyDescent="0.3">
      <c r="A4044" t="s">
        <v>6667</v>
      </c>
      <c r="B4044" s="13">
        <v>46178</v>
      </c>
      <c r="C4044">
        <v>2026</v>
      </c>
      <c r="D4044">
        <v>6</v>
      </c>
      <c r="E4044" t="s">
        <v>3813</v>
      </c>
      <c r="F4044" t="s">
        <v>3329</v>
      </c>
      <c r="G4044" t="s">
        <v>1783</v>
      </c>
      <c r="H4044" t="s">
        <v>1784</v>
      </c>
      <c r="I4044" t="s">
        <v>85</v>
      </c>
      <c r="J4044">
        <v>53</v>
      </c>
      <c r="K4044" t="s">
        <v>83</v>
      </c>
      <c r="L4044" t="s">
        <v>97</v>
      </c>
      <c r="M4044" t="s">
        <v>57</v>
      </c>
      <c r="N4044" t="s">
        <v>2626</v>
      </c>
      <c r="O4044" t="s">
        <v>125</v>
      </c>
      <c r="P4044" t="s">
        <v>48</v>
      </c>
      <c r="Q4044" t="s">
        <v>141</v>
      </c>
      <c r="R4044">
        <v>1</v>
      </c>
      <c r="S4044">
        <v>1999</v>
      </c>
      <c r="T4044">
        <v>0.15</v>
      </c>
      <c r="U4044">
        <v>1699.15</v>
      </c>
      <c r="V4044">
        <v>1150</v>
      </c>
      <c r="W4044">
        <v>549.15</v>
      </c>
      <c r="X4044" t="s">
        <v>74</v>
      </c>
      <c r="Y4044" t="s">
        <v>68</v>
      </c>
      <c r="Z4044" t="s">
        <v>161</v>
      </c>
      <c r="AA4044" t="s">
        <v>167</v>
      </c>
      <c r="AB4044">
        <v>3.1</v>
      </c>
      <c r="AC4044">
        <v>120</v>
      </c>
      <c r="AD4044">
        <v>36.28</v>
      </c>
      <c r="AE4044">
        <f t="shared" si="126"/>
        <v>392.87</v>
      </c>
      <c r="AF4044" t="str">
        <f t="shared" si="127"/>
        <v>2026-06</v>
      </c>
      <c r="AG4044">
        <f>SUBTOTAL(103,A4044)</f>
        <v>1</v>
      </c>
    </row>
    <row r="4045" spans="1:33" x14ac:dyDescent="0.3">
      <c r="A4045" t="s">
        <v>6668</v>
      </c>
      <c r="B4045" s="13">
        <v>46178</v>
      </c>
      <c r="C4045">
        <v>2026</v>
      </c>
      <c r="D4045">
        <v>6</v>
      </c>
      <c r="E4045" t="s">
        <v>3813</v>
      </c>
      <c r="F4045" t="s">
        <v>3329</v>
      </c>
      <c r="G4045" t="s">
        <v>987</v>
      </c>
      <c r="H4045" t="s">
        <v>988</v>
      </c>
      <c r="I4045" t="s">
        <v>85</v>
      </c>
      <c r="J4045">
        <v>21</v>
      </c>
      <c r="K4045" t="s">
        <v>80</v>
      </c>
      <c r="L4045" t="s">
        <v>2573</v>
      </c>
      <c r="M4045" t="s">
        <v>63</v>
      </c>
      <c r="N4045" t="s">
        <v>2647</v>
      </c>
      <c r="O4045" t="s">
        <v>133</v>
      </c>
      <c r="P4045" t="s">
        <v>50</v>
      </c>
      <c r="Q4045" t="s">
        <v>145</v>
      </c>
      <c r="R4045">
        <v>4</v>
      </c>
      <c r="S4045">
        <v>799</v>
      </c>
      <c r="T4045">
        <v>0.15</v>
      </c>
      <c r="U4045">
        <v>2716.6</v>
      </c>
      <c r="V4045">
        <v>1560</v>
      </c>
      <c r="W4045">
        <v>1156.5999999999999</v>
      </c>
      <c r="X4045" t="s">
        <v>73</v>
      </c>
      <c r="Y4045" t="s">
        <v>70</v>
      </c>
      <c r="Z4045" t="s">
        <v>160</v>
      </c>
      <c r="AA4045" t="s">
        <v>167</v>
      </c>
      <c r="AB4045">
        <v>3.4</v>
      </c>
      <c r="AC4045">
        <v>80</v>
      </c>
      <c r="AD4045">
        <v>306.04000000000002</v>
      </c>
      <c r="AE4045">
        <f t="shared" si="126"/>
        <v>770.56</v>
      </c>
      <c r="AF4045" t="str">
        <f t="shared" si="127"/>
        <v>2026-06</v>
      </c>
      <c r="AG4045">
        <f>SUBTOTAL(103,A4045)</f>
        <v>1</v>
      </c>
    </row>
    <row r="4046" spans="1:33" x14ac:dyDescent="0.3">
      <c r="A4046" t="s">
        <v>6669</v>
      </c>
      <c r="B4046" s="13">
        <v>46178</v>
      </c>
      <c r="C4046">
        <v>2026</v>
      </c>
      <c r="D4046">
        <v>6</v>
      </c>
      <c r="E4046" t="s">
        <v>3813</v>
      </c>
      <c r="F4046" t="s">
        <v>3329</v>
      </c>
      <c r="G4046" t="s">
        <v>783</v>
      </c>
      <c r="H4046" t="s">
        <v>784</v>
      </c>
      <c r="I4046" t="s">
        <v>86</v>
      </c>
      <c r="J4046">
        <v>21</v>
      </c>
      <c r="K4046" t="s">
        <v>80</v>
      </c>
      <c r="L4046" t="s">
        <v>2674</v>
      </c>
      <c r="M4046" t="s">
        <v>58</v>
      </c>
      <c r="N4046" t="s">
        <v>2580</v>
      </c>
      <c r="O4046" t="s">
        <v>118</v>
      </c>
      <c r="P4046" t="s">
        <v>48</v>
      </c>
      <c r="Q4046" t="s">
        <v>142</v>
      </c>
      <c r="R4046">
        <v>3</v>
      </c>
      <c r="S4046">
        <v>3999</v>
      </c>
      <c r="T4046">
        <v>0.05</v>
      </c>
      <c r="U4046">
        <v>11397.15</v>
      </c>
      <c r="V4046">
        <v>7200</v>
      </c>
      <c r="W4046">
        <v>4197.1499999999996</v>
      </c>
      <c r="X4046" t="s">
        <v>73</v>
      </c>
      <c r="Y4046" t="s">
        <v>70</v>
      </c>
      <c r="Z4046" t="s">
        <v>159</v>
      </c>
      <c r="AA4046" t="s">
        <v>166</v>
      </c>
      <c r="AB4046">
        <v>4.4000000000000004</v>
      </c>
      <c r="AC4046">
        <v>50</v>
      </c>
      <c r="AD4046">
        <v>1006.51</v>
      </c>
      <c r="AE4046">
        <f t="shared" si="126"/>
        <v>3140.6399999999994</v>
      </c>
      <c r="AF4046" t="str">
        <f t="shared" si="127"/>
        <v>2026-06</v>
      </c>
      <c r="AG4046">
        <f>SUBTOTAL(103,A4046)</f>
        <v>1</v>
      </c>
    </row>
    <row r="4047" spans="1:33" x14ac:dyDescent="0.3">
      <c r="A4047" t="s">
        <v>6670</v>
      </c>
      <c r="B4047" s="13">
        <v>46178</v>
      </c>
      <c r="C4047">
        <v>2026</v>
      </c>
      <c r="D4047">
        <v>6</v>
      </c>
      <c r="E4047" t="s">
        <v>3813</v>
      </c>
      <c r="F4047" t="s">
        <v>3329</v>
      </c>
      <c r="G4047" t="s">
        <v>397</v>
      </c>
      <c r="H4047" t="s">
        <v>398</v>
      </c>
      <c r="I4047" t="s">
        <v>86</v>
      </c>
      <c r="J4047">
        <v>55</v>
      </c>
      <c r="K4047" t="s">
        <v>83</v>
      </c>
      <c r="L4047" t="s">
        <v>2637</v>
      </c>
      <c r="M4047" t="s">
        <v>64</v>
      </c>
      <c r="N4047" t="s">
        <v>2592</v>
      </c>
      <c r="O4047" t="s">
        <v>115</v>
      </c>
      <c r="P4047" t="s">
        <v>48</v>
      </c>
      <c r="Q4047" t="s">
        <v>137</v>
      </c>
      <c r="R4047">
        <v>3</v>
      </c>
      <c r="S4047">
        <v>12999</v>
      </c>
      <c r="T4047">
        <v>0.15</v>
      </c>
      <c r="U4047">
        <v>33147.449999999997</v>
      </c>
      <c r="V4047">
        <v>27000</v>
      </c>
      <c r="W4047">
        <v>6147.45</v>
      </c>
      <c r="X4047" t="s">
        <v>73</v>
      </c>
      <c r="Y4047" t="s">
        <v>68</v>
      </c>
      <c r="Z4047" t="s">
        <v>161</v>
      </c>
      <c r="AA4047" t="s">
        <v>168</v>
      </c>
      <c r="AB4047">
        <v>3.8</v>
      </c>
      <c r="AC4047">
        <v>50</v>
      </c>
      <c r="AD4047">
        <v>1539.07</v>
      </c>
      <c r="AE4047">
        <f t="shared" si="126"/>
        <v>4558.38</v>
      </c>
      <c r="AF4047" t="str">
        <f t="shared" si="127"/>
        <v>2026-06</v>
      </c>
      <c r="AG4047">
        <f>SUBTOTAL(103,A4047)</f>
        <v>1</v>
      </c>
    </row>
    <row r="4048" spans="1:33" x14ac:dyDescent="0.3">
      <c r="A4048" t="s">
        <v>6671</v>
      </c>
      <c r="B4048" s="13">
        <v>46178</v>
      </c>
      <c r="C4048">
        <v>2026</v>
      </c>
      <c r="D4048">
        <v>6</v>
      </c>
      <c r="E4048" t="s">
        <v>3813</v>
      </c>
      <c r="F4048" t="s">
        <v>3329</v>
      </c>
      <c r="G4048" t="s">
        <v>2019</v>
      </c>
      <c r="H4048" t="s">
        <v>2020</v>
      </c>
      <c r="I4048" t="s">
        <v>85</v>
      </c>
      <c r="J4048">
        <v>29</v>
      </c>
      <c r="K4048" t="s">
        <v>81</v>
      </c>
      <c r="L4048" t="s">
        <v>2637</v>
      </c>
      <c r="M4048" t="s">
        <v>64</v>
      </c>
      <c r="N4048" t="s">
        <v>2601</v>
      </c>
      <c r="O4048" t="s">
        <v>117</v>
      </c>
      <c r="P4048" t="s">
        <v>49</v>
      </c>
      <c r="Q4048" t="s">
        <v>139</v>
      </c>
      <c r="R4048">
        <v>3</v>
      </c>
      <c r="S4048">
        <v>6999</v>
      </c>
      <c r="T4048">
        <v>0.1</v>
      </c>
      <c r="U4048">
        <v>0</v>
      </c>
      <c r="V4048">
        <v>0</v>
      </c>
      <c r="W4048">
        <v>0</v>
      </c>
      <c r="X4048" t="s">
        <v>77</v>
      </c>
      <c r="Y4048" t="s">
        <v>71</v>
      </c>
      <c r="Z4048" t="s">
        <v>161</v>
      </c>
      <c r="AA4048" t="s">
        <v>167</v>
      </c>
      <c r="AB4048">
        <v>3.3</v>
      </c>
      <c r="AC4048">
        <v>50</v>
      </c>
      <c r="AD4048">
        <v>2113.4299999999998</v>
      </c>
      <c r="AE4048">
        <f t="shared" si="126"/>
        <v>-2163.4299999999998</v>
      </c>
      <c r="AF4048" t="str">
        <f t="shared" si="127"/>
        <v>2026-06</v>
      </c>
      <c r="AG4048">
        <f>SUBTOTAL(103,A4048)</f>
        <v>1</v>
      </c>
    </row>
    <row r="4049" spans="1:33" x14ac:dyDescent="0.3">
      <c r="A4049" t="s">
        <v>6672</v>
      </c>
      <c r="B4049" s="13">
        <v>46178</v>
      </c>
      <c r="C4049">
        <v>2026</v>
      </c>
      <c r="D4049">
        <v>6</v>
      </c>
      <c r="E4049" t="s">
        <v>3813</v>
      </c>
      <c r="F4049" t="s">
        <v>3329</v>
      </c>
      <c r="G4049" t="s">
        <v>893</v>
      </c>
      <c r="H4049" t="s">
        <v>894</v>
      </c>
      <c r="I4049" t="s">
        <v>85</v>
      </c>
      <c r="J4049">
        <v>45</v>
      </c>
      <c r="K4049" t="s">
        <v>82</v>
      </c>
      <c r="L4049" t="s">
        <v>95</v>
      </c>
      <c r="M4049" t="s">
        <v>56</v>
      </c>
      <c r="N4049" t="s">
        <v>2644</v>
      </c>
      <c r="O4049" t="s">
        <v>126</v>
      </c>
      <c r="P4049" t="s">
        <v>50</v>
      </c>
      <c r="Q4049" t="s">
        <v>145</v>
      </c>
      <c r="R4049">
        <v>4</v>
      </c>
      <c r="S4049">
        <v>1799</v>
      </c>
      <c r="T4049">
        <v>0.2</v>
      </c>
      <c r="U4049">
        <v>5756.8</v>
      </c>
      <c r="V4049">
        <v>3800</v>
      </c>
      <c r="W4049">
        <v>1956.8</v>
      </c>
      <c r="X4049" t="s">
        <v>75</v>
      </c>
      <c r="Y4049" t="s">
        <v>69</v>
      </c>
      <c r="Z4049" t="s">
        <v>159</v>
      </c>
      <c r="AA4049" t="s">
        <v>166</v>
      </c>
      <c r="AB4049">
        <v>3</v>
      </c>
      <c r="AC4049">
        <v>80</v>
      </c>
      <c r="AD4049">
        <v>317.27</v>
      </c>
      <c r="AE4049">
        <f t="shared" si="126"/>
        <v>1559.53</v>
      </c>
      <c r="AF4049" t="str">
        <f t="shared" si="127"/>
        <v>2026-06</v>
      </c>
      <c r="AG4049">
        <f>SUBTOTAL(103,A4049)</f>
        <v>1</v>
      </c>
    </row>
    <row r="4050" spans="1:33" x14ac:dyDescent="0.3">
      <c r="A4050" t="s">
        <v>6673</v>
      </c>
      <c r="B4050" s="13">
        <v>46178</v>
      </c>
      <c r="C4050">
        <v>2026</v>
      </c>
      <c r="D4050">
        <v>6</v>
      </c>
      <c r="E4050" t="s">
        <v>3813</v>
      </c>
      <c r="F4050" t="s">
        <v>3329</v>
      </c>
      <c r="G4050" t="s">
        <v>759</v>
      </c>
      <c r="H4050" t="s">
        <v>760</v>
      </c>
      <c r="I4050" t="s">
        <v>86</v>
      </c>
      <c r="J4050">
        <v>34</v>
      </c>
      <c r="K4050" t="s">
        <v>81</v>
      </c>
      <c r="L4050" t="s">
        <v>100</v>
      </c>
      <c r="M4050" t="s">
        <v>56</v>
      </c>
      <c r="N4050" t="s">
        <v>2644</v>
      </c>
      <c r="O4050" t="s">
        <v>126</v>
      </c>
      <c r="P4050" t="s">
        <v>50</v>
      </c>
      <c r="Q4050" t="s">
        <v>145</v>
      </c>
      <c r="R4050">
        <v>2</v>
      </c>
      <c r="S4050">
        <v>1799</v>
      </c>
      <c r="T4050">
        <v>0.15</v>
      </c>
      <c r="U4050">
        <v>3058.3</v>
      </c>
      <c r="V4050">
        <v>1900</v>
      </c>
      <c r="W4050">
        <v>1158.3</v>
      </c>
      <c r="X4050" t="s">
        <v>75</v>
      </c>
      <c r="Y4050" t="s">
        <v>68</v>
      </c>
      <c r="Z4050" t="s">
        <v>163</v>
      </c>
      <c r="AA4050" t="s">
        <v>166</v>
      </c>
      <c r="AB4050">
        <v>3.2</v>
      </c>
      <c r="AC4050">
        <v>50</v>
      </c>
      <c r="AD4050">
        <v>335.84</v>
      </c>
      <c r="AE4050">
        <f t="shared" si="126"/>
        <v>772.46</v>
      </c>
      <c r="AF4050" t="str">
        <f t="shared" si="127"/>
        <v>2026-06</v>
      </c>
      <c r="AG4050">
        <f>SUBTOTAL(103,A4050)</f>
        <v>1</v>
      </c>
    </row>
    <row r="4051" spans="1:33" x14ac:dyDescent="0.3">
      <c r="A4051" t="s">
        <v>6674</v>
      </c>
      <c r="B4051" s="13">
        <v>46179</v>
      </c>
      <c r="C4051">
        <v>2026</v>
      </c>
      <c r="D4051">
        <v>6</v>
      </c>
      <c r="E4051" t="s">
        <v>3813</v>
      </c>
      <c r="F4051" t="s">
        <v>3329</v>
      </c>
      <c r="G4051" t="s">
        <v>813</v>
      </c>
      <c r="H4051" t="s">
        <v>814</v>
      </c>
      <c r="I4051" t="s">
        <v>86</v>
      </c>
      <c r="J4051">
        <v>60</v>
      </c>
      <c r="K4051" t="s">
        <v>83</v>
      </c>
      <c r="L4051" t="s">
        <v>99</v>
      </c>
      <c r="M4051" t="s">
        <v>58</v>
      </c>
      <c r="N4051" t="s">
        <v>2657</v>
      </c>
      <c r="O4051" t="s">
        <v>134</v>
      </c>
      <c r="P4051" t="s">
        <v>49</v>
      </c>
      <c r="Q4051" t="s">
        <v>140</v>
      </c>
      <c r="R4051">
        <v>3</v>
      </c>
      <c r="S4051">
        <v>599</v>
      </c>
      <c r="T4051">
        <v>0.05</v>
      </c>
      <c r="U4051">
        <v>1707.15</v>
      </c>
      <c r="V4051">
        <v>750</v>
      </c>
      <c r="W4051">
        <v>957.15</v>
      </c>
      <c r="X4051" t="s">
        <v>75</v>
      </c>
      <c r="Y4051" t="s">
        <v>68</v>
      </c>
      <c r="Z4051" t="s">
        <v>163</v>
      </c>
      <c r="AA4051" t="s">
        <v>170</v>
      </c>
      <c r="AB4051">
        <v>4.2</v>
      </c>
      <c r="AC4051">
        <v>80</v>
      </c>
      <c r="AD4051">
        <v>152.46</v>
      </c>
      <c r="AE4051">
        <f t="shared" si="126"/>
        <v>724.68999999999994</v>
      </c>
      <c r="AF4051" t="str">
        <f t="shared" si="127"/>
        <v>2026-06</v>
      </c>
      <c r="AG4051">
        <f>SUBTOTAL(103,A4051)</f>
        <v>1</v>
      </c>
    </row>
    <row r="4052" spans="1:33" x14ac:dyDescent="0.3">
      <c r="A4052" t="s">
        <v>6675</v>
      </c>
      <c r="B4052" s="13">
        <v>46179</v>
      </c>
      <c r="C4052">
        <v>2026</v>
      </c>
      <c r="D4052">
        <v>6</v>
      </c>
      <c r="E4052" t="s">
        <v>3813</v>
      </c>
      <c r="F4052" t="s">
        <v>3329</v>
      </c>
      <c r="G4052" t="s">
        <v>1351</v>
      </c>
      <c r="H4052" t="s">
        <v>1352</v>
      </c>
      <c r="I4052" t="s">
        <v>85</v>
      </c>
      <c r="J4052">
        <v>55</v>
      </c>
      <c r="K4052" t="s">
        <v>83</v>
      </c>
      <c r="L4052" t="s">
        <v>2687</v>
      </c>
      <c r="M4052" t="s">
        <v>57</v>
      </c>
      <c r="N4052" t="s">
        <v>2626</v>
      </c>
      <c r="O4052" t="s">
        <v>125</v>
      </c>
      <c r="P4052" t="s">
        <v>48</v>
      </c>
      <c r="Q4052" t="s">
        <v>141</v>
      </c>
      <c r="R4052">
        <v>2</v>
      </c>
      <c r="S4052">
        <v>1999</v>
      </c>
      <c r="T4052">
        <v>0.1</v>
      </c>
      <c r="U4052">
        <v>3598.2</v>
      </c>
      <c r="V4052">
        <v>2300</v>
      </c>
      <c r="W4052">
        <v>1298.2</v>
      </c>
      <c r="X4052" t="s">
        <v>77</v>
      </c>
      <c r="Y4052" t="s">
        <v>68</v>
      </c>
      <c r="Z4052" t="s">
        <v>158</v>
      </c>
      <c r="AA4052" t="s">
        <v>171</v>
      </c>
      <c r="AB4052">
        <v>4.0999999999999996</v>
      </c>
      <c r="AC4052">
        <v>50</v>
      </c>
      <c r="AD4052">
        <v>107.72</v>
      </c>
      <c r="AE4052">
        <f t="shared" si="126"/>
        <v>1140.48</v>
      </c>
      <c r="AF4052" t="str">
        <f t="shared" si="127"/>
        <v>2026-06</v>
      </c>
      <c r="AG4052">
        <f>SUBTOTAL(103,A4052)</f>
        <v>1</v>
      </c>
    </row>
    <row r="4053" spans="1:33" x14ac:dyDescent="0.3">
      <c r="A4053" t="s">
        <v>6676</v>
      </c>
      <c r="B4053" s="13">
        <v>46179</v>
      </c>
      <c r="C4053">
        <v>2026</v>
      </c>
      <c r="D4053">
        <v>6</v>
      </c>
      <c r="E4053" t="s">
        <v>3813</v>
      </c>
      <c r="F4053" t="s">
        <v>3329</v>
      </c>
      <c r="G4053" t="s">
        <v>1365</v>
      </c>
      <c r="H4053" t="s">
        <v>1366</v>
      </c>
      <c r="I4053" t="s">
        <v>85</v>
      </c>
      <c r="J4053">
        <v>45</v>
      </c>
      <c r="K4053" t="s">
        <v>82</v>
      </c>
      <c r="L4053" t="s">
        <v>2646</v>
      </c>
      <c r="M4053" t="s">
        <v>63</v>
      </c>
      <c r="N4053" t="s">
        <v>2596</v>
      </c>
      <c r="O4053" t="s">
        <v>124</v>
      </c>
      <c r="P4053" t="s">
        <v>51</v>
      </c>
      <c r="Q4053" t="s">
        <v>147</v>
      </c>
      <c r="R4053">
        <v>2</v>
      </c>
      <c r="S4053">
        <v>2299</v>
      </c>
      <c r="T4053">
        <v>0.05</v>
      </c>
      <c r="U4053">
        <v>4368.1000000000004</v>
      </c>
      <c r="V4053">
        <v>2400</v>
      </c>
      <c r="W4053">
        <v>1968.1</v>
      </c>
      <c r="X4053" t="s">
        <v>74</v>
      </c>
      <c r="Y4053" t="s">
        <v>68</v>
      </c>
      <c r="Z4053" t="s">
        <v>163</v>
      </c>
      <c r="AA4053" t="s">
        <v>168</v>
      </c>
      <c r="AB4053">
        <v>4</v>
      </c>
      <c r="AC4053">
        <v>120</v>
      </c>
      <c r="AD4053">
        <v>119.37</v>
      </c>
      <c r="AE4053">
        <f t="shared" si="126"/>
        <v>1728.73</v>
      </c>
      <c r="AF4053" t="str">
        <f t="shared" si="127"/>
        <v>2026-06</v>
      </c>
      <c r="AG4053">
        <f>SUBTOTAL(103,A4053)</f>
        <v>1</v>
      </c>
    </row>
    <row r="4054" spans="1:33" x14ac:dyDescent="0.3">
      <c r="A4054" t="s">
        <v>6677</v>
      </c>
      <c r="B4054" s="13">
        <v>46179</v>
      </c>
      <c r="C4054">
        <v>2026</v>
      </c>
      <c r="D4054">
        <v>6</v>
      </c>
      <c r="E4054" t="s">
        <v>3813</v>
      </c>
      <c r="F4054" t="s">
        <v>3329</v>
      </c>
      <c r="G4054" t="s">
        <v>567</v>
      </c>
      <c r="H4054" t="s">
        <v>568</v>
      </c>
      <c r="I4054" t="s">
        <v>86</v>
      </c>
      <c r="J4054">
        <v>34</v>
      </c>
      <c r="K4054" t="s">
        <v>81</v>
      </c>
      <c r="L4054" t="s">
        <v>2589</v>
      </c>
      <c r="M4054" t="s">
        <v>61</v>
      </c>
      <c r="N4054" t="s">
        <v>2580</v>
      </c>
      <c r="O4054" t="s">
        <v>118</v>
      </c>
      <c r="P4054" t="s">
        <v>48</v>
      </c>
      <c r="Q4054" t="s">
        <v>142</v>
      </c>
      <c r="R4054">
        <v>1</v>
      </c>
      <c r="S4054">
        <v>3999</v>
      </c>
      <c r="T4054">
        <v>0.05</v>
      </c>
      <c r="U4054">
        <v>3799.05</v>
      </c>
      <c r="V4054">
        <v>2400</v>
      </c>
      <c r="W4054">
        <v>1399.05</v>
      </c>
      <c r="X4054" t="s">
        <v>73</v>
      </c>
      <c r="Y4054" t="s">
        <v>68</v>
      </c>
      <c r="Z4054" t="s">
        <v>162</v>
      </c>
      <c r="AA4054" t="s">
        <v>169</v>
      </c>
      <c r="AB4054">
        <v>3.9</v>
      </c>
      <c r="AC4054">
        <v>60</v>
      </c>
      <c r="AD4054">
        <v>230.36</v>
      </c>
      <c r="AE4054">
        <f t="shared" si="126"/>
        <v>1108.69</v>
      </c>
      <c r="AF4054" t="str">
        <f t="shared" si="127"/>
        <v>2026-06</v>
      </c>
      <c r="AG4054">
        <f>SUBTOTAL(103,A4054)</f>
        <v>1</v>
      </c>
    </row>
    <row r="4055" spans="1:33" x14ac:dyDescent="0.3">
      <c r="A4055" t="s">
        <v>6678</v>
      </c>
      <c r="B4055" s="13">
        <v>46179</v>
      </c>
      <c r="C4055">
        <v>2026</v>
      </c>
      <c r="D4055">
        <v>6</v>
      </c>
      <c r="E4055" t="s">
        <v>3813</v>
      </c>
      <c r="F4055" t="s">
        <v>3329</v>
      </c>
      <c r="G4055" t="s">
        <v>1957</v>
      </c>
      <c r="H4055" t="s">
        <v>1958</v>
      </c>
      <c r="I4055" t="s">
        <v>85</v>
      </c>
      <c r="J4055">
        <v>30</v>
      </c>
      <c r="K4055" t="s">
        <v>81</v>
      </c>
      <c r="L4055" t="s">
        <v>98</v>
      </c>
      <c r="M4055" t="s">
        <v>55</v>
      </c>
      <c r="N4055" t="s">
        <v>2596</v>
      </c>
      <c r="O4055" t="s">
        <v>124</v>
      </c>
      <c r="P4055" t="s">
        <v>51</v>
      </c>
      <c r="Q4055" t="s">
        <v>147</v>
      </c>
      <c r="R4055">
        <v>1</v>
      </c>
      <c r="S4055">
        <v>2299</v>
      </c>
      <c r="T4055">
        <v>0.15</v>
      </c>
      <c r="U4055">
        <v>1954.15</v>
      </c>
      <c r="V4055">
        <v>1200</v>
      </c>
      <c r="W4055">
        <v>754.15</v>
      </c>
      <c r="X4055" t="s">
        <v>73</v>
      </c>
      <c r="Y4055" t="s">
        <v>68</v>
      </c>
      <c r="Z4055" t="s">
        <v>162</v>
      </c>
      <c r="AA4055" t="s">
        <v>167</v>
      </c>
      <c r="AB4055">
        <v>3.9</v>
      </c>
      <c r="AC4055">
        <v>50</v>
      </c>
      <c r="AD4055">
        <v>176.02</v>
      </c>
      <c r="AE4055">
        <f t="shared" si="126"/>
        <v>528.13</v>
      </c>
      <c r="AF4055" t="str">
        <f t="shared" si="127"/>
        <v>2026-06</v>
      </c>
      <c r="AG4055">
        <f>SUBTOTAL(103,A4055)</f>
        <v>1</v>
      </c>
    </row>
    <row r="4056" spans="1:33" x14ac:dyDescent="0.3">
      <c r="A4056" t="s">
        <v>6679</v>
      </c>
      <c r="B4056" s="13">
        <v>46179</v>
      </c>
      <c r="C4056">
        <v>2026</v>
      </c>
      <c r="D4056">
        <v>6</v>
      </c>
      <c r="E4056" t="s">
        <v>3813</v>
      </c>
      <c r="F4056" t="s">
        <v>3329</v>
      </c>
      <c r="G4056" t="s">
        <v>1749</v>
      </c>
      <c r="H4056" t="s">
        <v>1750</v>
      </c>
      <c r="I4056" t="s">
        <v>85</v>
      </c>
      <c r="J4056">
        <v>20</v>
      </c>
      <c r="K4056" t="s">
        <v>80</v>
      </c>
      <c r="L4056" t="s">
        <v>95</v>
      </c>
      <c r="M4056" t="s">
        <v>56</v>
      </c>
      <c r="N4056" t="s">
        <v>2653</v>
      </c>
      <c r="O4056" t="s">
        <v>132</v>
      </c>
      <c r="P4056" t="s">
        <v>52</v>
      </c>
      <c r="Q4056" t="s">
        <v>150</v>
      </c>
      <c r="R4056">
        <v>1</v>
      </c>
      <c r="S4056">
        <v>899</v>
      </c>
      <c r="T4056">
        <v>0.05</v>
      </c>
      <c r="U4056">
        <v>854.05</v>
      </c>
      <c r="V4056">
        <v>420</v>
      </c>
      <c r="W4056">
        <v>434.05</v>
      </c>
      <c r="X4056" t="s">
        <v>75</v>
      </c>
      <c r="Y4056" t="s">
        <v>68</v>
      </c>
      <c r="Z4056" t="s">
        <v>158</v>
      </c>
      <c r="AA4056" t="s">
        <v>166</v>
      </c>
      <c r="AB4056">
        <v>4.7</v>
      </c>
      <c r="AC4056">
        <v>60</v>
      </c>
      <c r="AD4056">
        <v>20</v>
      </c>
      <c r="AE4056">
        <f t="shared" si="126"/>
        <v>354.05</v>
      </c>
      <c r="AF4056" t="str">
        <f t="shared" si="127"/>
        <v>2026-06</v>
      </c>
      <c r="AG4056">
        <f>SUBTOTAL(103,A4056)</f>
        <v>1</v>
      </c>
    </row>
    <row r="4057" spans="1:33" x14ac:dyDescent="0.3">
      <c r="A4057" t="s">
        <v>6680</v>
      </c>
      <c r="B4057" s="13">
        <v>46179</v>
      </c>
      <c r="C4057">
        <v>2026</v>
      </c>
      <c r="D4057">
        <v>6</v>
      </c>
      <c r="E4057" t="s">
        <v>3813</v>
      </c>
      <c r="F4057" t="s">
        <v>3329</v>
      </c>
      <c r="G4057" t="s">
        <v>611</v>
      </c>
      <c r="H4057" t="s">
        <v>612</v>
      </c>
      <c r="I4057" t="s">
        <v>85</v>
      </c>
      <c r="J4057">
        <v>20</v>
      </c>
      <c r="K4057" t="s">
        <v>80</v>
      </c>
      <c r="L4057" t="s">
        <v>2623</v>
      </c>
      <c r="M4057" t="s">
        <v>61</v>
      </c>
      <c r="N4057" t="s">
        <v>2592</v>
      </c>
      <c r="O4057" t="s">
        <v>115</v>
      </c>
      <c r="P4057" t="s">
        <v>48</v>
      </c>
      <c r="Q4057" t="s">
        <v>137</v>
      </c>
      <c r="R4057">
        <v>1</v>
      </c>
      <c r="S4057">
        <v>12999</v>
      </c>
      <c r="T4057">
        <v>0</v>
      </c>
      <c r="U4057">
        <v>12999</v>
      </c>
      <c r="V4057">
        <v>9000</v>
      </c>
      <c r="W4057">
        <v>3999</v>
      </c>
      <c r="X4057" t="s">
        <v>77</v>
      </c>
      <c r="Y4057" t="s">
        <v>68</v>
      </c>
      <c r="Z4057" t="s">
        <v>161</v>
      </c>
      <c r="AA4057" t="s">
        <v>167</v>
      </c>
      <c r="AB4057">
        <v>4.3</v>
      </c>
      <c r="AC4057">
        <v>50</v>
      </c>
      <c r="AD4057">
        <v>1021.63</v>
      </c>
      <c r="AE4057">
        <f t="shared" si="126"/>
        <v>2927.37</v>
      </c>
      <c r="AF4057" t="str">
        <f t="shared" si="127"/>
        <v>2026-06</v>
      </c>
      <c r="AG4057">
        <f>SUBTOTAL(103,A4057)</f>
        <v>1</v>
      </c>
    </row>
    <row r="4058" spans="1:33" x14ac:dyDescent="0.3">
      <c r="A4058" t="s">
        <v>6681</v>
      </c>
      <c r="B4058" s="13">
        <v>46179</v>
      </c>
      <c r="C4058">
        <v>2026</v>
      </c>
      <c r="D4058">
        <v>6</v>
      </c>
      <c r="E4058" t="s">
        <v>3813</v>
      </c>
      <c r="F4058" t="s">
        <v>3329</v>
      </c>
      <c r="G4058" t="s">
        <v>1405</v>
      </c>
      <c r="H4058" t="s">
        <v>1406</v>
      </c>
      <c r="I4058" t="s">
        <v>85</v>
      </c>
      <c r="J4058">
        <v>51</v>
      </c>
      <c r="K4058" t="s">
        <v>83</v>
      </c>
      <c r="L4058" t="s">
        <v>2646</v>
      </c>
      <c r="M4058" t="s">
        <v>63</v>
      </c>
      <c r="N4058" t="s">
        <v>2653</v>
      </c>
      <c r="O4058" t="s">
        <v>132</v>
      </c>
      <c r="P4058" t="s">
        <v>52</v>
      </c>
      <c r="Q4058" t="s">
        <v>150</v>
      </c>
      <c r="R4058">
        <v>1</v>
      </c>
      <c r="S4058">
        <v>899</v>
      </c>
      <c r="T4058">
        <v>0.15</v>
      </c>
      <c r="U4058">
        <v>764.15</v>
      </c>
      <c r="V4058">
        <v>420</v>
      </c>
      <c r="W4058">
        <v>344.15</v>
      </c>
      <c r="X4058" t="s">
        <v>75</v>
      </c>
      <c r="Y4058" t="s">
        <v>68</v>
      </c>
      <c r="Z4058" t="s">
        <v>158</v>
      </c>
      <c r="AA4058" t="s">
        <v>171</v>
      </c>
      <c r="AB4058">
        <v>4.7</v>
      </c>
      <c r="AC4058">
        <v>60</v>
      </c>
      <c r="AD4058">
        <v>60.01</v>
      </c>
      <c r="AE4058">
        <f t="shared" si="126"/>
        <v>224.14</v>
      </c>
      <c r="AF4058" t="str">
        <f t="shared" si="127"/>
        <v>2026-06</v>
      </c>
      <c r="AG4058">
        <f>SUBTOTAL(103,A4058)</f>
        <v>1</v>
      </c>
    </row>
    <row r="4059" spans="1:33" x14ac:dyDescent="0.3">
      <c r="A4059" t="s">
        <v>6682</v>
      </c>
      <c r="B4059" s="13">
        <v>46179</v>
      </c>
      <c r="C4059">
        <v>2026</v>
      </c>
      <c r="D4059">
        <v>6</v>
      </c>
      <c r="E4059" t="s">
        <v>3813</v>
      </c>
      <c r="F4059" t="s">
        <v>3329</v>
      </c>
      <c r="G4059" t="s">
        <v>1963</v>
      </c>
      <c r="H4059" t="s">
        <v>1964</v>
      </c>
      <c r="I4059" t="s">
        <v>87</v>
      </c>
      <c r="J4059">
        <v>37</v>
      </c>
      <c r="K4059" t="s">
        <v>82</v>
      </c>
      <c r="L4059" t="s">
        <v>59</v>
      </c>
      <c r="M4059" t="s">
        <v>59</v>
      </c>
      <c r="N4059" t="s">
        <v>2601</v>
      </c>
      <c r="O4059" t="s">
        <v>117</v>
      </c>
      <c r="P4059" t="s">
        <v>49</v>
      </c>
      <c r="Q4059" t="s">
        <v>139</v>
      </c>
      <c r="R4059">
        <v>1</v>
      </c>
      <c r="S4059">
        <v>6999</v>
      </c>
      <c r="T4059">
        <v>0.2</v>
      </c>
      <c r="U4059">
        <v>5599.2</v>
      </c>
      <c r="V4059">
        <v>4300</v>
      </c>
      <c r="W4059">
        <v>1299.2</v>
      </c>
      <c r="X4059" t="s">
        <v>76</v>
      </c>
      <c r="Y4059" t="s">
        <v>68</v>
      </c>
      <c r="Z4059" t="s">
        <v>158</v>
      </c>
      <c r="AA4059" t="s">
        <v>166</v>
      </c>
      <c r="AB4059">
        <v>4.0999999999999996</v>
      </c>
      <c r="AC4059">
        <v>100</v>
      </c>
      <c r="AD4059">
        <v>332.56</v>
      </c>
      <c r="AE4059">
        <f t="shared" si="126"/>
        <v>866.6400000000001</v>
      </c>
      <c r="AF4059" t="str">
        <f t="shared" si="127"/>
        <v>2026-06</v>
      </c>
      <c r="AG4059">
        <f>SUBTOTAL(103,A4059)</f>
        <v>1</v>
      </c>
    </row>
    <row r="4060" spans="1:33" x14ac:dyDescent="0.3">
      <c r="A4060" t="s">
        <v>6683</v>
      </c>
      <c r="B4060" s="13">
        <v>46179</v>
      </c>
      <c r="C4060">
        <v>2026</v>
      </c>
      <c r="D4060">
        <v>6</v>
      </c>
      <c r="E4060" t="s">
        <v>3813</v>
      </c>
      <c r="F4060" t="s">
        <v>3329</v>
      </c>
      <c r="G4060" t="s">
        <v>1679</v>
      </c>
      <c r="H4060" t="s">
        <v>1680</v>
      </c>
      <c r="I4060" t="s">
        <v>85</v>
      </c>
      <c r="J4060">
        <v>54</v>
      </c>
      <c r="K4060" t="s">
        <v>83</v>
      </c>
      <c r="L4060" t="s">
        <v>97</v>
      </c>
      <c r="M4060" t="s">
        <v>57</v>
      </c>
      <c r="N4060" t="s">
        <v>2590</v>
      </c>
      <c r="O4060" t="s">
        <v>127</v>
      </c>
      <c r="P4060" t="s">
        <v>51</v>
      </c>
      <c r="Q4060" t="s">
        <v>148</v>
      </c>
      <c r="R4060">
        <v>1</v>
      </c>
      <c r="S4060">
        <v>1599</v>
      </c>
      <c r="T4060">
        <v>0.1</v>
      </c>
      <c r="U4060">
        <v>1439.1</v>
      </c>
      <c r="V4060">
        <v>800</v>
      </c>
      <c r="W4060">
        <v>639.1</v>
      </c>
      <c r="X4060" t="s">
        <v>76</v>
      </c>
      <c r="Y4060" t="s">
        <v>68</v>
      </c>
      <c r="Z4060" t="s">
        <v>163</v>
      </c>
      <c r="AA4060" t="s">
        <v>166</v>
      </c>
      <c r="AB4060">
        <v>2.7</v>
      </c>
      <c r="AC4060">
        <v>80</v>
      </c>
      <c r="AD4060">
        <v>92.6</v>
      </c>
      <c r="AE4060">
        <f t="shared" si="126"/>
        <v>466.5</v>
      </c>
      <c r="AF4060" t="str">
        <f t="shared" si="127"/>
        <v>2026-06</v>
      </c>
      <c r="AG4060">
        <f>SUBTOTAL(103,A4060)</f>
        <v>1</v>
      </c>
    </row>
    <row r="4061" spans="1:33" x14ac:dyDescent="0.3">
      <c r="A4061" t="s">
        <v>6684</v>
      </c>
      <c r="B4061" s="13">
        <v>46179</v>
      </c>
      <c r="C4061">
        <v>2026</v>
      </c>
      <c r="D4061">
        <v>6</v>
      </c>
      <c r="E4061" t="s">
        <v>3813</v>
      </c>
      <c r="F4061" t="s">
        <v>3329</v>
      </c>
      <c r="G4061" t="s">
        <v>2149</v>
      </c>
      <c r="H4061" t="s">
        <v>2150</v>
      </c>
      <c r="I4061" t="s">
        <v>85</v>
      </c>
      <c r="J4061">
        <v>27</v>
      </c>
      <c r="K4061" t="s">
        <v>81</v>
      </c>
      <c r="L4061" t="s">
        <v>2634</v>
      </c>
      <c r="M4061" t="s">
        <v>56</v>
      </c>
      <c r="N4061" t="s">
        <v>2630</v>
      </c>
      <c r="O4061" t="s">
        <v>123</v>
      </c>
      <c r="P4061" t="s">
        <v>52</v>
      </c>
      <c r="Q4061" t="s">
        <v>146</v>
      </c>
      <c r="R4061">
        <v>3</v>
      </c>
      <c r="S4061">
        <v>2499</v>
      </c>
      <c r="T4061">
        <v>0.05</v>
      </c>
      <c r="U4061">
        <v>7122.15</v>
      </c>
      <c r="V4061">
        <v>4200</v>
      </c>
      <c r="W4061">
        <v>2922.15</v>
      </c>
      <c r="X4061" t="s">
        <v>74</v>
      </c>
      <c r="Y4061" t="s">
        <v>68</v>
      </c>
      <c r="Z4061" t="s">
        <v>162</v>
      </c>
      <c r="AA4061" t="s">
        <v>166</v>
      </c>
      <c r="AB4061">
        <v>4.5</v>
      </c>
      <c r="AC4061">
        <v>60</v>
      </c>
      <c r="AD4061">
        <v>433.76</v>
      </c>
      <c r="AE4061">
        <f t="shared" si="126"/>
        <v>2428.3900000000003</v>
      </c>
      <c r="AF4061" t="str">
        <f t="shared" si="127"/>
        <v>2026-06</v>
      </c>
      <c r="AG4061">
        <f>SUBTOTAL(103,A4061)</f>
        <v>1</v>
      </c>
    </row>
    <row r="4062" spans="1:33" x14ac:dyDescent="0.3">
      <c r="A4062" t="s">
        <v>6685</v>
      </c>
      <c r="B4062" s="13">
        <v>46179</v>
      </c>
      <c r="C4062">
        <v>2026</v>
      </c>
      <c r="D4062">
        <v>6</v>
      </c>
      <c r="E4062" t="s">
        <v>3813</v>
      </c>
      <c r="F4062" t="s">
        <v>3329</v>
      </c>
      <c r="G4062" t="s">
        <v>1541</v>
      </c>
      <c r="H4062" t="s">
        <v>1542</v>
      </c>
      <c r="I4062" t="s">
        <v>86</v>
      </c>
      <c r="J4062">
        <v>31</v>
      </c>
      <c r="K4062" t="s">
        <v>81</v>
      </c>
      <c r="L4062" t="s">
        <v>91</v>
      </c>
      <c r="M4062" t="s">
        <v>55</v>
      </c>
      <c r="N4062" t="s">
        <v>2590</v>
      </c>
      <c r="O4062" t="s">
        <v>127</v>
      </c>
      <c r="P4062" t="s">
        <v>51</v>
      </c>
      <c r="Q4062" t="s">
        <v>148</v>
      </c>
      <c r="R4062">
        <v>2</v>
      </c>
      <c r="S4062">
        <v>1599</v>
      </c>
      <c r="T4062">
        <v>0.15</v>
      </c>
      <c r="U4062">
        <v>2718.3</v>
      </c>
      <c r="V4062">
        <v>1600</v>
      </c>
      <c r="W4062">
        <v>1118.3</v>
      </c>
      <c r="X4062" t="s">
        <v>74</v>
      </c>
      <c r="Y4062" t="s">
        <v>68</v>
      </c>
      <c r="Z4062" t="s">
        <v>160</v>
      </c>
      <c r="AA4062" t="s">
        <v>166</v>
      </c>
      <c r="AB4062">
        <v>4.8</v>
      </c>
      <c r="AC4062">
        <v>80</v>
      </c>
      <c r="AD4062">
        <v>161.85</v>
      </c>
      <c r="AE4062">
        <f t="shared" si="126"/>
        <v>876.44999999999993</v>
      </c>
      <c r="AF4062" t="str">
        <f t="shared" si="127"/>
        <v>2026-06</v>
      </c>
      <c r="AG4062">
        <f>SUBTOTAL(103,A4062)</f>
        <v>1</v>
      </c>
    </row>
    <row r="4063" spans="1:33" x14ac:dyDescent="0.3">
      <c r="A4063" t="s">
        <v>6686</v>
      </c>
      <c r="B4063" s="13">
        <v>46179</v>
      </c>
      <c r="C4063">
        <v>2026</v>
      </c>
      <c r="D4063">
        <v>6</v>
      </c>
      <c r="E4063" t="s">
        <v>3813</v>
      </c>
      <c r="F4063" t="s">
        <v>3329</v>
      </c>
      <c r="G4063" t="s">
        <v>681</v>
      </c>
      <c r="H4063" t="s">
        <v>682</v>
      </c>
      <c r="I4063" t="s">
        <v>86</v>
      </c>
      <c r="J4063">
        <v>30</v>
      </c>
      <c r="K4063" t="s">
        <v>81</v>
      </c>
      <c r="L4063" t="s">
        <v>2589</v>
      </c>
      <c r="M4063" t="s">
        <v>61</v>
      </c>
      <c r="N4063" t="s">
        <v>2592</v>
      </c>
      <c r="O4063" t="s">
        <v>115</v>
      </c>
      <c r="P4063" t="s">
        <v>48</v>
      </c>
      <c r="Q4063" t="s">
        <v>137</v>
      </c>
      <c r="R4063">
        <v>1</v>
      </c>
      <c r="S4063">
        <v>12999</v>
      </c>
      <c r="T4063">
        <v>0.15</v>
      </c>
      <c r="U4063">
        <v>11049.15</v>
      </c>
      <c r="V4063">
        <v>9000</v>
      </c>
      <c r="W4063">
        <v>2049.15</v>
      </c>
      <c r="X4063" t="s">
        <v>77</v>
      </c>
      <c r="Y4063" t="s">
        <v>68</v>
      </c>
      <c r="Z4063" t="s">
        <v>159</v>
      </c>
      <c r="AA4063" t="s">
        <v>166</v>
      </c>
      <c r="AB4063">
        <v>4.2</v>
      </c>
      <c r="AC4063">
        <v>60</v>
      </c>
      <c r="AD4063">
        <v>483.81</v>
      </c>
      <c r="AE4063">
        <f t="shared" si="126"/>
        <v>1505.3400000000001</v>
      </c>
      <c r="AF4063" t="str">
        <f t="shared" si="127"/>
        <v>2026-06</v>
      </c>
      <c r="AG4063">
        <f>SUBTOTAL(103,A4063)</f>
        <v>1</v>
      </c>
    </row>
    <row r="4064" spans="1:33" x14ac:dyDescent="0.3">
      <c r="A4064" t="s">
        <v>6687</v>
      </c>
      <c r="B4064" s="13">
        <v>46179</v>
      </c>
      <c r="C4064">
        <v>2026</v>
      </c>
      <c r="D4064">
        <v>6</v>
      </c>
      <c r="E4064" t="s">
        <v>3813</v>
      </c>
      <c r="F4064" t="s">
        <v>3329</v>
      </c>
      <c r="G4064" t="s">
        <v>867</v>
      </c>
      <c r="H4064" t="s">
        <v>868</v>
      </c>
      <c r="I4064" t="s">
        <v>86</v>
      </c>
      <c r="J4064">
        <v>34</v>
      </c>
      <c r="K4064" t="s">
        <v>81</v>
      </c>
      <c r="L4064" t="s">
        <v>98</v>
      </c>
      <c r="M4064" t="s">
        <v>55</v>
      </c>
      <c r="N4064" t="s">
        <v>2657</v>
      </c>
      <c r="O4064" t="s">
        <v>134</v>
      </c>
      <c r="P4064" t="s">
        <v>49</v>
      </c>
      <c r="Q4064" t="s">
        <v>140</v>
      </c>
      <c r="R4064">
        <v>1</v>
      </c>
      <c r="S4064">
        <v>599</v>
      </c>
      <c r="T4064">
        <v>0.15</v>
      </c>
      <c r="U4064">
        <v>509.15</v>
      </c>
      <c r="V4064">
        <v>250</v>
      </c>
      <c r="W4064">
        <v>259.14999999999998</v>
      </c>
      <c r="X4064" t="s">
        <v>75</v>
      </c>
      <c r="Y4064" t="s">
        <v>68</v>
      </c>
      <c r="Z4064" t="s">
        <v>163</v>
      </c>
      <c r="AA4064" t="s">
        <v>166</v>
      </c>
      <c r="AB4064">
        <v>4.2</v>
      </c>
      <c r="AC4064">
        <v>100</v>
      </c>
      <c r="AD4064">
        <v>60.23</v>
      </c>
      <c r="AE4064">
        <f t="shared" si="126"/>
        <v>98.919999999999987</v>
      </c>
      <c r="AF4064" t="str">
        <f t="shared" si="127"/>
        <v>2026-06</v>
      </c>
      <c r="AG4064">
        <f>SUBTOTAL(103,A4064)</f>
        <v>1</v>
      </c>
    </row>
    <row r="4065" spans="1:33" x14ac:dyDescent="0.3">
      <c r="A4065" t="s">
        <v>6688</v>
      </c>
      <c r="B4065" s="13">
        <v>46180</v>
      </c>
      <c r="C4065">
        <v>2026</v>
      </c>
      <c r="D4065">
        <v>6</v>
      </c>
      <c r="E4065" t="s">
        <v>3813</v>
      </c>
      <c r="F4065" t="s">
        <v>3329</v>
      </c>
      <c r="G4065" t="s">
        <v>1153</v>
      </c>
      <c r="H4065" t="s">
        <v>1154</v>
      </c>
      <c r="I4065" t="s">
        <v>85</v>
      </c>
      <c r="J4065">
        <v>24</v>
      </c>
      <c r="K4065" t="s">
        <v>80</v>
      </c>
      <c r="L4065" t="s">
        <v>2634</v>
      </c>
      <c r="M4065" t="s">
        <v>56</v>
      </c>
      <c r="N4065" t="s">
        <v>2606</v>
      </c>
      <c r="O4065" t="s">
        <v>120</v>
      </c>
      <c r="P4065" t="s">
        <v>49</v>
      </c>
      <c r="Q4065" t="s">
        <v>140</v>
      </c>
      <c r="R4065">
        <v>4</v>
      </c>
      <c r="S4065">
        <v>2799</v>
      </c>
      <c r="T4065">
        <v>0</v>
      </c>
      <c r="U4065">
        <v>11196</v>
      </c>
      <c r="V4065">
        <v>6600</v>
      </c>
      <c r="W4065">
        <v>4596</v>
      </c>
      <c r="X4065" t="s">
        <v>74</v>
      </c>
      <c r="Y4065" t="s">
        <v>68</v>
      </c>
      <c r="Z4065" t="s">
        <v>158</v>
      </c>
      <c r="AA4065" t="s">
        <v>167</v>
      </c>
      <c r="AB4065">
        <v>3.8</v>
      </c>
      <c r="AC4065">
        <v>40</v>
      </c>
      <c r="AD4065">
        <v>336.49</v>
      </c>
      <c r="AE4065">
        <f t="shared" si="126"/>
        <v>4219.51</v>
      </c>
      <c r="AF4065" t="str">
        <f t="shared" si="127"/>
        <v>2026-06</v>
      </c>
      <c r="AG4065">
        <f>SUBTOTAL(103,A4065)</f>
        <v>1</v>
      </c>
    </row>
    <row r="4066" spans="1:33" x14ac:dyDescent="0.3">
      <c r="A4066" t="s">
        <v>6689</v>
      </c>
      <c r="B4066" s="13">
        <v>46180</v>
      </c>
      <c r="C4066">
        <v>2026</v>
      </c>
      <c r="D4066">
        <v>6</v>
      </c>
      <c r="E4066" t="s">
        <v>3813</v>
      </c>
      <c r="F4066" t="s">
        <v>3329</v>
      </c>
      <c r="G4066" t="s">
        <v>669</v>
      </c>
      <c r="H4066" t="s">
        <v>670</v>
      </c>
      <c r="I4066" t="s">
        <v>86</v>
      </c>
      <c r="J4066">
        <v>58</v>
      </c>
      <c r="K4066" t="s">
        <v>83</v>
      </c>
      <c r="L4066" t="s">
        <v>92</v>
      </c>
      <c r="M4066" t="s">
        <v>59</v>
      </c>
      <c r="N4066" t="s">
        <v>2653</v>
      </c>
      <c r="O4066" t="s">
        <v>132</v>
      </c>
      <c r="P4066" t="s">
        <v>52</v>
      </c>
      <c r="Q4066" t="s">
        <v>150</v>
      </c>
      <c r="R4066">
        <v>3</v>
      </c>
      <c r="S4066">
        <v>899</v>
      </c>
      <c r="T4066">
        <v>0</v>
      </c>
      <c r="U4066">
        <v>2697</v>
      </c>
      <c r="V4066">
        <v>1260</v>
      </c>
      <c r="W4066">
        <v>1437</v>
      </c>
      <c r="X4066" t="s">
        <v>74</v>
      </c>
      <c r="Y4066" t="s">
        <v>68</v>
      </c>
      <c r="Z4066" t="s">
        <v>158</v>
      </c>
      <c r="AA4066" t="s">
        <v>170</v>
      </c>
      <c r="AB4066">
        <v>4.4000000000000004</v>
      </c>
      <c r="AC4066">
        <v>80</v>
      </c>
      <c r="AD4066">
        <v>270.3</v>
      </c>
      <c r="AE4066">
        <f t="shared" si="126"/>
        <v>1086.7</v>
      </c>
      <c r="AF4066" t="str">
        <f t="shared" si="127"/>
        <v>2026-06</v>
      </c>
      <c r="AG4066">
        <f>SUBTOTAL(103,A4066)</f>
        <v>1</v>
      </c>
    </row>
    <row r="4067" spans="1:33" x14ac:dyDescent="0.3">
      <c r="A4067" t="s">
        <v>6690</v>
      </c>
      <c r="B4067" s="13">
        <v>46180</v>
      </c>
      <c r="C4067">
        <v>2026</v>
      </c>
      <c r="D4067">
        <v>6</v>
      </c>
      <c r="E4067" t="s">
        <v>3813</v>
      </c>
      <c r="F4067" t="s">
        <v>3329</v>
      </c>
      <c r="G4067" t="s">
        <v>1239</v>
      </c>
      <c r="H4067" t="s">
        <v>1240</v>
      </c>
      <c r="I4067" t="s">
        <v>85</v>
      </c>
      <c r="J4067">
        <v>26</v>
      </c>
      <c r="K4067" t="s">
        <v>81</v>
      </c>
      <c r="L4067" t="s">
        <v>2623</v>
      </c>
      <c r="M4067" t="s">
        <v>61</v>
      </c>
      <c r="N4067" t="s">
        <v>2606</v>
      </c>
      <c r="O4067" t="s">
        <v>120</v>
      </c>
      <c r="P4067" t="s">
        <v>49</v>
      </c>
      <c r="Q4067" t="s">
        <v>140</v>
      </c>
      <c r="R4067">
        <v>5</v>
      </c>
      <c r="S4067">
        <v>2799</v>
      </c>
      <c r="T4067">
        <v>0.05</v>
      </c>
      <c r="U4067">
        <v>13295.25</v>
      </c>
      <c r="V4067">
        <v>8250</v>
      </c>
      <c r="W4067">
        <v>5045.25</v>
      </c>
      <c r="X4067" t="s">
        <v>74</v>
      </c>
      <c r="Y4067" t="s">
        <v>68</v>
      </c>
      <c r="Z4067" t="s">
        <v>163</v>
      </c>
      <c r="AA4067" t="s">
        <v>167</v>
      </c>
      <c r="AB4067">
        <v>5</v>
      </c>
      <c r="AC4067">
        <v>60</v>
      </c>
      <c r="AD4067">
        <v>692.17</v>
      </c>
      <c r="AE4067">
        <f t="shared" si="126"/>
        <v>4293.08</v>
      </c>
      <c r="AF4067" t="str">
        <f t="shared" si="127"/>
        <v>2026-06</v>
      </c>
      <c r="AG4067">
        <f>SUBTOTAL(103,A4067)</f>
        <v>1</v>
      </c>
    </row>
    <row r="4068" spans="1:33" x14ac:dyDescent="0.3">
      <c r="A4068" t="s">
        <v>6691</v>
      </c>
      <c r="B4068" s="13">
        <v>46180</v>
      </c>
      <c r="C4068">
        <v>2026</v>
      </c>
      <c r="D4068">
        <v>6</v>
      </c>
      <c r="E4068" t="s">
        <v>3813</v>
      </c>
      <c r="F4068" t="s">
        <v>3329</v>
      </c>
      <c r="G4068" t="s">
        <v>835</v>
      </c>
      <c r="H4068" t="s">
        <v>836</v>
      </c>
      <c r="I4068" t="s">
        <v>85</v>
      </c>
      <c r="J4068">
        <v>28</v>
      </c>
      <c r="K4068" t="s">
        <v>81</v>
      </c>
      <c r="L4068" t="s">
        <v>99</v>
      </c>
      <c r="M4068" t="s">
        <v>58</v>
      </c>
      <c r="N4068" t="s">
        <v>2587</v>
      </c>
      <c r="O4068" t="s">
        <v>116</v>
      </c>
      <c r="P4068" t="s">
        <v>48</v>
      </c>
      <c r="Q4068" t="s">
        <v>138</v>
      </c>
      <c r="R4068">
        <v>2</v>
      </c>
      <c r="S4068">
        <v>14999</v>
      </c>
      <c r="T4068">
        <v>0.15</v>
      </c>
      <c r="U4068">
        <v>25498.3</v>
      </c>
      <c r="V4068">
        <v>22400</v>
      </c>
      <c r="W4068">
        <v>3098.3</v>
      </c>
      <c r="X4068" t="s">
        <v>74</v>
      </c>
      <c r="Y4068" t="s">
        <v>70</v>
      </c>
      <c r="Z4068" t="s">
        <v>159</v>
      </c>
      <c r="AA4068" t="s">
        <v>166</v>
      </c>
      <c r="AB4068">
        <v>3.6</v>
      </c>
      <c r="AC4068">
        <v>50</v>
      </c>
      <c r="AD4068">
        <v>954.55</v>
      </c>
      <c r="AE4068">
        <f t="shared" si="126"/>
        <v>2093.75</v>
      </c>
      <c r="AF4068" t="str">
        <f t="shared" si="127"/>
        <v>2026-06</v>
      </c>
      <c r="AG4068">
        <f>SUBTOTAL(103,A4068)</f>
        <v>1</v>
      </c>
    </row>
    <row r="4069" spans="1:33" x14ac:dyDescent="0.3">
      <c r="A4069" t="s">
        <v>6692</v>
      </c>
      <c r="B4069" s="13">
        <v>46180</v>
      </c>
      <c r="C4069">
        <v>2026</v>
      </c>
      <c r="D4069">
        <v>6</v>
      </c>
      <c r="E4069" t="s">
        <v>3813</v>
      </c>
      <c r="F4069" t="s">
        <v>3329</v>
      </c>
      <c r="G4069" t="s">
        <v>2477</v>
      </c>
      <c r="H4069" t="s">
        <v>2478</v>
      </c>
      <c r="I4069" t="s">
        <v>86</v>
      </c>
      <c r="J4069">
        <v>24</v>
      </c>
      <c r="K4069" t="s">
        <v>80</v>
      </c>
      <c r="L4069" t="s">
        <v>92</v>
      </c>
      <c r="M4069" t="s">
        <v>59</v>
      </c>
      <c r="N4069" t="s">
        <v>2657</v>
      </c>
      <c r="O4069" t="s">
        <v>134</v>
      </c>
      <c r="P4069" t="s">
        <v>49</v>
      </c>
      <c r="Q4069" t="s">
        <v>140</v>
      </c>
      <c r="R4069">
        <v>4</v>
      </c>
      <c r="S4069">
        <v>599</v>
      </c>
      <c r="T4069">
        <v>0.15</v>
      </c>
      <c r="U4069">
        <v>0</v>
      </c>
      <c r="V4069">
        <v>0</v>
      </c>
      <c r="W4069">
        <v>0</v>
      </c>
      <c r="X4069" t="s">
        <v>77</v>
      </c>
      <c r="Y4069" t="s">
        <v>71</v>
      </c>
      <c r="Z4069" t="s">
        <v>161</v>
      </c>
      <c r="AA4069" t="s">
        <v>166</v>
      </c>
      <c r="AB4069">
        <v>4.5999999999999996</v>
      </c>
      <c r="AC4069">
        <v>80</v>
      </c>
      <c r="AD4069">
        <v>170.2</v>
      </c>
      <c r="AE4069">
        <f t="shared" si="126"/>
        <v>-250.2</v>
      </c>
      <c r="AF4069" t="str">
        <f t="shared" si="127"/>
        <v>2026-06</v>
      </c>
      <c r="AG4069">
        <f>SUBTOTAL(103,A4069)</f>
        <v>1</v>
      </c>
    </row>
    <row r="4070" spans="1:33" x14ac:dyDescent="0.3">
      <c r="A4070" t="s">
        <v>6693</v>
      </c>
      <c r="B4070" s="13">
        <v>46180</v>
      </c>
      <c r="C4070">
        <v>2026</v>
      </c>
      <c r="D4070">
        <v>6</v>
      </c>
      <c r="E4070" t="s">
        <v>3813</v>
      </c>
      <c r="F4070" t="s">
        <v>3329</v>
      </c>
      <c r="G4070" t="s">
        <v>1227</v>
      </c>
      <c r="H4070" t="s">
        <v>1228</v>
      </c>
      <c r="I4070" t="s">
        <v>86</v>
      </c>
      <c r="J4070">
        <v>55</v>
      </c>
      <c r="K4070" t="s">
        <v>83</v>
      </c>
      <c r="L4070" t="s">
        <v>2634</v>
      </c>
      <c r="M4070" t="s">
        <v>56</v>
      </c>
      <c r="N4070" t="s">
        <v>2577</v>
      </c>
      <c r="O4070" t="s">
        <v>129</v>
      </c>
      <c r="P4070" t="s">
        <v>49</v>
      </c>
      <c r="Q4070" t="s">
        <v>149</v>
      </c>
      <c r="R4070">
        <v>1</v>
      </c>
      <c r="S4070">
        <v>1299</v>
      </c>
      <c r="T4070">
        <v>0</v>
      </c>
      <c r="U4070">
        <v>1299</v>
      </c>
      <c r="V4070">
        <v>650</v>
      </c>
      <c r="W4070">
        <v>649</v>
      </c>
      <c r="X4070" t="s">
        <v>73</v>
      </c>
      <c r="Y4070" t="s">
        <v>68</v>
      </c>
      <c r="Z4070" t="s">
        <v>158</v>
      </c>
      <c r="AA4070" t="s">
        <v>169</v>
      </c>
      <c r="AB4070">
        <v>4.8</v>
      </c>
      <c r="AC4070">
        <v>50</v>
      </c>
      <c r="AD4070">
        <v>56.18</v>
      </c>
      <c r="AE4070">
        <f t="shared" si="126"/>
        <v>542.82000000000005</v>
      </c>
      <c r="AF4070" t="str">
        <f t="shared" si="127"/>
        <v>2026-06</v>
      </c>
      <c r="AG4070">
        <f>SUBTOTAL(103,A4070)</f>
        <v>1</v>
      </c>
    </row>
    <row r="4071" spans="1:33" x14ac:dyDescent="0.3">
      <c r="A4071" t="s">
        <v>6694</v>
      </c>
      <c r="B4071" s="13">
        <v>46180</v>
      </c>
      <c r="C4071">
        <v>2026</v>
      </c>
      <c r="D4071">
        <v>6</v>
      </c>
      <c r="E4071" t="s">
        <v>3813</v>
      </c>
      <c r="F4071" t="s">
        <v>3329</v>
      </c>
      <c r="G4071" t="s">
        <v>1941</v>
      </c>
      <c r="H4071" t="s">
        <v>1942</v>
      </c>
      <c r="I4071" t="s">
        <v>86</v>
      </c>
      <c r="J4071">
        <v>57</v>
      </c>
      <c r="K4071" t="s">
        <v>83</v>
      </c>
      <c r="L4071" t="s">
        <v>100</v>
      </c>
      <c r="M4071" t="s">
        <v>56</v>
      </c>
      <c r="N4071" t="s">
        <v>2606</v>
      </c>
      <c r="O4071" t="s">
        <v>120</v>
      </c>
      <c r="P4071" t="s">
        <v>49</v>
      </c>
      <c r="Q4071" t="s">
        <v>140</v>
      </c>
      <c r="R4071">
        <v>1</v>
      </c>
      <c r="S4071">
        <v>2799</v>
      </c>
      <c r="T4071">
        <v>0.05</v>
      </c>
      <c r="U4071">
        <v>2659.05</v>
      </c>
      <c r="V4071">
        <v>1650</v>
      </c>
      <c r="W4071">
        <v>1009.05</v>
      </c>
      <c r="X4071" t="s">
        <v>74</v>
      </c>
      <c r="Y4071" t="s">
        <v>68</v>
      </c>
      <c r="Z4071" t="s">
        <v>158</v>
      </c>
      <c r="AA4071" t="s">
        <v>166</v>
      </c>
      <c r="AB4071">
        <v>4.4000000000000004</v>
      </c>
      <c r="AC4071">
        <v>40</v>
      </c>
      <c r="AD4071">
        <v>97.09</v>
      </c>
      <c r="AE4071">
        <f t="shared" si="126"/>
        <v>871.95999999999992</v>
      </c>
      <c r="AF4071" t="str">
        <f t="shared" si="127"/>
        <v>2026-06</v>
      </c>
      <c r="AG4071">
        <f>SUBTOTAL(103,A4071)</f>
        <v>1</v>
      </c>
    </row>
    <row r="4072" spans="1:33" x14ac:dyDescent="0.3">
      <c r="A4072" t="s">
        <v>6695</v>
      </c>
      <c r="B4072" s="13">
        <v>46180</v>
      </c>
      <c r="C4072">
        <v>2026</v>
      </c>
      <c r="D4072">
        <v>6</v>
      </c>
      <c r="E4072" t="s">
        <v>3813</v>
      </c>
      <c r="F4072" t="s">
        <v>3329</v>
      </c>
      <c r="G4072" t="s">
        <v>1681</v>
      </c>
      <c r="H4072" t="s">
        <v>1682</v>
      </c>
      <c r="I4072" t="s">
        <v>85</v>
      </c>
      <c r="J4072">
        <v>35</v>
      </c>
      <c r="K4072" t="s">
        <v>81</v>
      </c>
      <c r="L4072" t="s">
        <v>2586</v>
      </c>
      <c r="M4072" t="s">
        <v>62</v>
      </c>
      <c r="N4072" t="s">
        <v>2577</v>
      </c>
      <c r="O4072" t="s">
        <v>129</v>
      </c>
      <c r="P4072" t="s">
        <v>49</v>
      </c>
      <c r="Q4072" t="s">
        <v>149</v>
      </c>
      <c r="R4072">
        <v>2</v>
      </c>
      <c r="S4072">
        <v>1299</v>
      </c>
      <c r="T4072">
        <v>0.25</v>
      </c>
      <c r="U4072">
        <v>0</v>
      </c>
      <c r="V4072">
        <v>0</v>
      </c>
      <c r="W4072">
        <v>0</v>
      </c>
      <c r="X4072" t="s">
        <v>75</v>
      </c>
      <c r="Y4072" t="s">
        <v>71</v>
      </c>
      <c r="Z4072" t="s">
        <v>158</v>
      </c>
      <c r="AA4072" t="s">
        <v>170</v>
      </c>
      <c r="AB4072">
        <v>3.2</v>
      </c>
      <c r="AC4072">
        <v>60</v>
      </c>
      <c r="AD4072">
        <v>84.76</v>
      </c>
      <c r="AE4072">
        <f t="shared" si="126"/>
        <v>-144.76</v>
      </c>
      <c r="AF4072" t="str">
        <f t="shared" si="127"/>
        <v>2026-06</v>
      </c>
      <c r="AG4072">
        <f>SUBTOTAL(103,A4072)</f>
        <v>1</v>
      </c>
    </row>
    <row r="4073" spans="1:33" x14ac:dyDescent="0.3">
      <c r="A4073" t="s">
        <v>6696</v>
      </c>
      <c r="B4073" s="13">
        <v>46180</v>
      </c>
      <c r="C4073">
        <v>2026</v>
      </c>
      <c r="D4073">
        <v>6</v>
      </c>
      <c r="E4073" t="s">
        <v>3813</v>
      </c>
      <c r="F4073" t="s">
        <v>3329</v>
      </c>
      <c r="G4073" t="s">
        <v>2429</v>
      </c>
      <c r="H4073" t="s">
        <v>2430</v>
      </c>
      <c r="I4073" t="s">
        <v>86</v>
      </c>
      <c r="J4073">
        <v>36</v>
      </c>
      <c r="K4073" t="s">
        <v>82</v>
      </c>
      <c r="L4073" t="s">
        <v>2586</v>
      </c>
      <c r="M4073" t="s">
        <v>62</v>
      </c>
      <c r="N4073" t="s">
        <v>2657</v>
      </c>
      <c r="O4073" t="s">
        <v>134</v>
      </c>
      <c r="P4073" t="s">
        <v>49</v>
      </c>
      <c r="Q4073" t="s">
        <v>140</v>
      </c>
      <c r="R4073">
        <v>3</v>
      </c>
      <c r="S4073">
        <v>599</v>
      </c>
      <c r="T4073">
        <v>0.1</v>
      </c>
      <c r="U4073">
        <v>1617.3</v>
      </c>
      <c r="V4073">
        <v>750</v>
      </c>
      <c r="W4073">
        <v>867.3</v>
      </c>
      <c r="X4073" t="s">
        <v>77</v>
      </c>
      <c r="Y4073" t="s">
        <v>69</v>
      </c>
      <c r="Z4073" t="s">
        <v>158</v>
      </c>
      <c r="AA4073" t="s">
        <v>169</v>
      </c>
      <c r="AB4073">
        <v>3.9</v>
      </c>
      <c r="AC4073">
        <v>50</v>
      </c>
      <c r="AD4073">
        <v>132.35</v>
      </c>
      <c r="AE4073">
        <f t="shared" si="126"/>
        <v>684.94999999999993</v>
      </c>
      <c r="AF4073" t="str">
        <f t="shared" si="127"/>
        <v>2026-06</v>
      </c>
      <c r="AG4073">
        <f>SUBTOTAL(103,A4073)</f>
        <v>1</v>
      </c>
    </row>
    <row r="4074" spans="1:33" x14ac:dyDescent="0.3">
      <c r="A4074" t="s">
        <v>6697</v>
      </c>
      <c r="B4074" s="13">
        <v>46180</v>
      </c>
      <c r="C4074">
        <v>2026</v>
      </c>
      <c r="D4074">
        <v>6</v>
      </c>
      <c r="E4074" t="s">
        <v>3813</v>
      </c>
      <c r="F4074" t="s">
        <v>3329</v>
      </c>
      <c r="G4074" t="s">
        <v>357</v>
      </c>
      <c r="H4074" t="s">
        <v>358</v>
      </c>
      <c r="I4074" t="s">
        <v>85</v>
      </c>
      <c r="J4074">
        <v>34</v>
      </c>
      <c r="K4074" t="s">
        <v>81</v>
      </c>
      <c r="L4074" t="s">
        <v>92</v>
      </c>
      <c r="M4074" t="s">
        <v>59</v>
      </c>
      <c r="N4074" t="s">
        <v>2601</v>
      </c>
      <c r="O4074" t="s">
        <v>117</v>
      </c>
      <c r="P4074" t="s">
        <v>49</v>
      </c>
      <c r="Q4074" t="s">
        <v>139</v>
      </c>
      <c r="R4074">
        <v>3</v>
      </c>
      <c r="S4074">
        <v>6999</v>
      </c>
      <c r="T4074">
        <v>0.25</v>
      </c>
      <c r="U4074">
        <v>15747.75</v>
      </c>
      <c r="V4074">
        <v>12900</v>
      </c>
      <c r="W4074">
        <v>2847.75</v>
      </c>
      <c r="X4074" t="s">
        <v>75</v>
      </c>
      <c r="Y4074" t="s">
        <v>68</v>
      </c>
      <c r="Z4074" t="s">
        <v>160</v>
      </c>
      <c r="AA4074" t="s">
        <v>166</v>
      </c>
      <c r="AB4074">
        <v>4.2</v>
      </c>
      <c r="AC4074">
        <v>100</v>
      </c>
      <c r="AD4074">
        <v>848.73</v>
      </c>
      <c r="AE4074">
        <f t="shared" si="126"/>
        <v>1899.02</v>
      </c>
      <c r="AF4074" t="str">
        <f t="shared" si="127"/>
        <v>2026-06</v>
      </c>
      <c r="AG4074">
        <f>SUBTOTAL(103,A4074)</f>
        <v>1</v>
      </c>
    </row>
    <row r="4075" spans="1:33" x14ac:dyDescent="0.3">
      <c r="A4075" t="s">
        <v>6698</v>
      </c>
      <c r="B4075" s="13">
        <v>46181</v>
      </c>
      <c r="C4075">
        <v>2026</v>
      </c>
      <c r="D4075">
        <v>6</v>
      </c>
      <c r="E4075" t="s">
        <v>3813</v>
      </c>
      <c r="F4075" t="s">
        <v>3329</v>
      </c>
      <c r="G4075" t="s">
        <v>1577</v>
      </c>
      <c r="H4075" t="s">
        <v>1578</v>
      </c>
      <c r="I4075" t="s">
        <v>86</v>
      </c>
      <c r="J4075">
        <v>33</v>
      </c>
      <c r="K4075" t="s">
        <v>81</v>
      </c>
      <c r="L4075" t="s">
        <v>93</v>
      </c>
      <c r="M4075" t="s">
        <v>55</v>
      </c>
      <c r="N4075" t="s">
        <v>2590</v>
      </c>
      <c r="O4075" t="s">
        <v>127</v>
      </c>
      <c r="P4075" t="s">
        <v>51</v>
      </c>
      <c r="Q4075" t="s">
        <v>148</v>
      </c>
      <c r="R4075">
        <v>1</v>
      </c>
      <c r="S4075">
        <v>1599</v>
      </c>
      <c r="T4075">
        <v>0</v>
      </c>
      <c r="U4075">
        <v>0</v>
      </c>
      <c r="V4075">
        <v>0</v>
      </c>
      <c r="W4075">
        <v>0</v>
      </c>
      <c r="X4075" t="s">
        <v>73</v>
      </c>
      <c r="Y4075" t="s">
        <v>71</v>
      </c>
      <c r="Z4075" t="s">
        <v>158</v>
      </c>
      <c r="AA4075" t="s">
        <v>166</v>
      </c>
      <c r="AB4075">
        <v>4</v>
      </c>
      <c r="AC4075">
        <v>100</v>
      </c>
      <c r="AD4075">
        <v>178.2</v>
      </c>
      <c r="AE4075">
        <f t="shared" si="126"/>
        <v>-278.2</v>
      </c>
      <c r="AF4075" t="str">
        <f t="shared" si="127"/>
        <v>2026-06</v>
      </c>
      <c r="AG4075">
        <f>SUBTOTAL(103,A4075)</f>
        <v>1</v>
      </c>
    </row>
    <row r="4076" spans="1:33" x14ac:dyDescent="0.3">
      <c r="A4076" t="s">
        <v>6699</v>
      </c>
      <c r="B4076" s="13">
        <v>46181</v>
      </c>
      <c r="C4076">
        <v>2026</v>
      </c>
      <c r="D4076">
        <v>6</v>
      </c>
      <c r="E4076" t="s">
        <v>3813</v>
      </c>
      <c r="F4076" t="s">
        <v>3329</v>
      </c>
      <c r="G4076" t="s">
        <v>723</v>
      </c>
      <c r="H4076" t="s">
        <v>724</v>
      </c>
      <c r="I4076" t="s">
        <v>85</v>
      </c>
      <c r="J4076">
        <v>28</v>
      </c>
      <c r="K4076" t="s">
        <v>81</v>
      </c>
      <c r="L4076" t="s">
        <v>2610</v>
      </c>
      <c r="M4076" t="s">
        <v>64</v>
      </c>
      <c r="N4076" t="s">
        <v>2644</v>
      </c>
      <c r="O4076" t="s">
        <v>126</v>
      </c>
      <c r="P4076" t="s">
        <v>50</v>
      </c>
      <c r="Q4076" t="s">
        <v>145</v>
      </c>
      <c r="R4076">
        <v>2</v>
      </c>
      <c r="S4076">
        <v>1799</v>
      </c>
      <c r="T4076">
        <v>0.1</v>
      </c>
      <c r="U4076">
        <v>3238.2</v>
      </c>
      <c r="V4076">
        <v>1900</v>
      </c>
      <c r="W4076">
        <v>1338.2</v>
      </c>
      <c r="X4076" t="s">
        <v>73</v>
      </c>
      <c r="Y4076" t="s">
        <v>68</v>
      </c>
      <c r="Z4076" t="s">
        <v>158</v>
      </c>
      <c r="AA4076" t="s">
        <v>169</v>
      </c>
      <c r="AB4076">
        <v>4.3</v>
      </c>
      <c r="AC4076">
        <v>100</v>
      </c>
      <c r="AD4076">
        <v>136.79</v>
      </c>
      <c r="AE4076">
        <f t="shared" si="126"/>
        <v>1101.4100000000001</v>
      </c>
      <c r="AF4076" t="str">
        <f t="shared" si="127"/>
        <v>2026-06</v>
      </c>
      <c r="AG4076">
        <f>SUBTOTAL(103,A4076)</f>
        <v>1</v>
      </c>
    </row>
    <row r="4077" spans="1:33" x14ac:dyDescent="0.3">
      <c r="A4077" t="s">
        <v>6700</v>
      </c>
      <c r="B4077" s="13">
        <v>46181</v>
      </c>
      <c r="C4077">
        <v>2026</v>
      </c>
      <c r="D4077">
        <v>6</v>
      </c>
      <c r="E4077" t="s">
        <v>3813</v>
      </c>
      <c r="F4077" t="s">
        <v>3329</v>
      </c>
      <c r="G4077" t="s">
        <v>557</v>
      </c>
      <c r="H4077" t="s">
        <v>558</v>
      </c>
      <c r="I4077" t="s">
        <v>86</v>
      </c>
      <c r="J4077">
        <v>59</v>
      </c>
      <c r="K4077" t="s">
        <v>83</v>
      </c>
      <c r="L4077" t="s">
        <v>2661</v>
      </c>
      <c r="M4077" t="s">
        <v>58</v>
      </c>
      <c r="N4077" t="s">
        <v>2592</v>
      </c>
      <c r="O4077" t="s">
        <v>115</v>
      </c>
      <c r="P4077" t="s">
        <v>48</v>
      </c>
      <c r="Q4077" t="s">
        <v>137</v>
      </c>
      <c r="R4077">
        <v>2</v>
      </c>
      <c r="S4077">
        <v>12999</v>
      </c>
      <c r="T4077">
        <v>0.05</v>
      </c>
      <c r="U4077">
        <v>24698.1</v>
      </c>
      <c r="V4077">
        <v>18000</v>
      </c>
      <c r="W4077">
        <v>6698.1</v>
      </c>
      <c r="X4077" t="s">
        <v>74</v>
      </c>
      <c r="Y4077" t="s">
        <v>68</v>
      </c>
      <c r="Z4077" t="s">
        <v>160</v>
      </c>
      <c r="AA4077" t="s">
        <v>167</v>
      </c>
      <c r="AB4077">
        <v>4.0999999999999996</v>
      </c>
      <c r="AC4077">
        <v>80</v>
      </c>
      <c r="AD4077">
        <v>2703.62</v>
      </c>
      <c r="AE4077">
        <f t="shared" si="126"/>
        <v>3914.4800000000005</v>
      </c>
      <c r="AF4077" t="str">
        <f t="shared" si="127"/>
        <v>2026-06</v>
      </c>
      <c r="AG4077">
        <f>SUBTOTAL(103,A4077)</f>
        <v>1</v>
      </c>
    </row>
    <row r="4078" spans="1:33" x14ac:dyDescent="0.3">
      <c r="A4078" t="s">
        <v>6701</v>
      </c>
      <c r="B4078" s="13">
        <v>46181</v>
      </c>
      <c r="C4078">
        <v>2026</v>
      </c>
      <c r="D4078">
        <v>6</v>
      </c>
      <c r="E4078" t="s">
        <v>3813</v>
      </c>
      <c r="F4078" t="s">
        <v>3329</v>
      </c>
      <c r="G4078" t="s">
        <v>1255</v>
      </c>
      <c r="H4078" t="s">
        <v>1256</v>
      </c>
      <c r="I4078" t="s">
        <v>85</v>
      </c>
      <c r="J4078">
        <v>47</v>
      </c>
      <c r="K4078" t="s">
        <v>83</v>
      </c>
      <c r="L4078" t="s">
        <v>2623</v>
      </c>
      <c r="M4078" t="s">
        <v>61</v>
      </c>
      <c r="N4078" t="s">
        <v>2596</v>
      </c>
      <c r="O4078" t="s">
        <v>124</v>
      </c>
      <c r="P4078" t="s">
        <v>51</v>
      </c>
      <c r="Q4078" t="s">
        <v>147</v>
      </c>
      <c r="R4078">
        <v>2</v>
      </c>
      <c r="S4078">
        <v>2299</v>
      </c>
      <c r="T4078">
        <v>0.2</v>
      </c>
      <c r="U4078">
        <v>3678.4</v>
      </c>
      <c r="V4078">
        <v>2400</v>
      </c>
      <c r="W4078">
        <v>1278.4000000000001</v>
      </c>
      <c r="X4078" t="s">
        <v>77</v>
      </c>
      <c r="Y4078" t="s">
        <v>68</v>
      </c>
      <c r="Z4078" t="s">
        <v>160</v>
      </c>
      <c r="AA4078" t="s">
        <v>169</v>
      </c>
      <c r="AB4078">
        <v>3.1</v>
      </c>
      <c r="AC4078">
        <v>80</v>
      </c>
      <c r="AD4078">
        <v>407.36</v>
      </c>
      <c r="AE4078">
        <f t="shared" si="126"/>
        <v>791.04000000000008</v>
      </c>
      <c r="AF4078" t="str">
        <f t="shared" si="127"/>
        <v>2026-06</v>
      </c>
      <c r="AG4078">
        <f>SUBTOTAL(103,A4078)</f>
        <v>1</v>
      </c>
    </row>
    <row r="4079" spans="1:33" x14ac:dyDescent="0.3">
      <c r="A4079" t="s">
        <v>6702</v>
      </c>
      <c r="B4079" s="13">
        <v>46181</v>
      </c>
      <c r="C4079">
        <v>2026</v>
      </c>
      <c r="D4079">
        <v>6</v>
      </c>
      <c r="E4079" t="s">
        <v>3813</v>
      </c>
      <c r="F4079" t="s">
        <v>3329</v>
      </c>
      <c r="G4079" t="s">
        <v>1103</v>
      </c>
      <c r="H4079" t="s">
        <v>1104</v>
      </c>
      <c r="I4079" t="s">
        <v>87</v>
      </c>
      <c r="J4079">
        <v>25</v>
      </c>
      <c r="K4079" t="s">
        <v>80</v>
      </c>
      <c r="L4079" t="s">
        <v>2589</v>
      </c>
      <c r="M4079" t="s">
        <v>61</v>
      </c>
      <c r="N4079" t="s">
        <v>2647</v>
      </c>
      <c r="O4079" t="s">
        <v>133</v>
      </c>
      <c r="P4079" t="s">
        <v>50</v>
      </c>
      <c r="Q4079" t="s">
        <v>145</v>
      </c>
      <c r="R4079">
        <v>2</v>
      </c>
      <c r="S4079">
        <v>799</v>
      </c>
      <c r="T4079">
        <v>0</v>
      </c>
      <c r="U4079">
        <v>0</v>
      </c>
      <c r="V4079">
        <v>0</v>
      </c>
      <c r="W4079">
        <v>0</v>
      </c>
      <c r="X4079" t="s">
        <v>73</v>
      </c>
      <c r="Y4079" t="s">
        <v>71</v>
      </c>
      <c r="Z4079" t="s">
        <v>158</v>
      </c>
      <c r="AA4079" t="s">
        <v>167</v>
      </c>
      <c r="AB4079">
        <v>3.3</v>
      </c>
      <c r="AC4079">
        <v>60</v>
      </c>
      <c r="AD4079">
        <v>152.21</v>
      </c>
      <c r="AE4079">
        <f t="shared" si="126"/>
        <v>-212.21</v>
      </c>
      <c r="AF4079" t="str">
        <f t="shared" si="127"/>
        <v>2026-06</v>
      </c>
      <c r="AG4079">
        <f>SUBTOTAL(103,A4079)</f>
        <v>1</v>
      </c>
    </row>
    <row r="4080" spans="1:33" x14ac:dyDescent="0.3">
      <c r="A4080" t="s">
        <v>6703</v>
      </c>
      <c r="B4080" s="13">
        <v>46181</v>
      </c>
      <c r="C4080">
        <v>2026</v>
      </c>
      <c r="D4080">
        <v>6</v>
      </c>
      <c r="E4080" t="s">
        <v>3813</v>
      </c>
      <c r="F4080" t="s">
        <v>3329</v>
      </c>
      <c r="G4080" t="s">
        <v>1945</v>
      </c>
      <c r="H4080" t="s">
        <v>1946</v>
      </c>
      <c r="I4080" t="s">
        <v>85</v>
      </c>
      <c r="J4080">
        <v>57</v>
      </c>
      <c r="K4080" t="s">
        <v>83</v>
      </c>
      <c r="L4080" t="s">
        <v>90</v>
      </c>
      <c r="M4080" t="s">
        <v>55</v>
      </c>
      <c r="N4080" t="s">
        <v>2577</v>
      </c>
      <c r="O4080" t="s">
        <v>129</v>
      </c>
      <c r="P4080" t="s">
        <v>49</v>
      </c>
      <c r="Q4080" t="s">
        <v>149</v>
      </c>
      <c r="R4080">
        <v>2</v>
      </c>
      <c r="S4080">
        <v>1299</v>
      </c>
      <c r="T4080">
        <v>0.25</v>
      </c>
      <c r="U4080">
        <v>1948.5</v>
      </c>
      <c r="V4080">
        <v>1300</v>
      </c>
      <c r="W4080">
        <v>648.5</v>
      </c>
      <c r="X4080" t="s">
        <v>77</v>
      </c>
      <c r="Y4080" t="s">
        <v>68</v>
      </c>
      <c r="Z4080" t="s">
        <v>159</v>
      </c>
      <c r="AA4080" t="s">
        <v>166</v>
      </c>
      <c r="AB4080">
        <v>4.8</v>
      </c>
      <c r="AC4080">
        <v>50</v>
      </c>
      <c r="AD4080">
        <v>150.94</v>
      </c>
      <c r="AE4080">
        <f t="shared" si="126"/>
        <v>447.56</v>
      </c>
      <c r="AF4080" t="str">
        <f t="shared" si="127"/>
        <v>2026-06</v>
      </c>
      <c r="AG4080">
        <f>SUBTOTAL(103,A4080)</f>
        <v>1</v>
      </c>
    </row>
    <row r="4081" spans="1:33" x14ac:dyDescent="0.3">
      <c r="A4081" t="s">
        <v>6704</v>
      </c>
      <c r="B4081" s="13">
        <v>46181</v>
      </c>
      <c r="C4081">
        <v>2026</v>
      </c>
      <c r="D4081">
        <v>6</v>
      </c>
      <c r="E4081" t="s">
        <v>3813</v>
      </c>
      <c r="F4081" t="s">
        <v>3329</v>
      </c>
      <c r="G4081" t="s">
        <v>2185</v>
      </c>
      <c r="H4081" t="s">
        <v>2186</v>
      </c>
      <c r="I4081" t="s">
        <v>86</v>
      </c>
      <c r="J4081">
        <v>21</v>
      </c>
      <c r="K4081" t="s">
        <v>80</v>
      </c>
      <c r="L4081" t="s">
        <v>2586</v>
      </c>
      <c r="M4081" t="s">
        <v>62</v>
      </c>
      <c r="N4081" t="s">
        <v>2582</v>
      </c>
      <c r="O4081" t="s">
        <v>119</v>
      </c>
      <c r="P4081" t="s">
        <v>49</v>
      </c>
      <c r="Q4081" t="s">
        <v>140</v>
      </c>
      <c r="R4081">
        <v>1</v>
      </c>
      <c r="S4081">
        <v>3499</v>
      </c>
      <c r="T4081">
        <v>0.2</v>
      </c>
      <c r="U4081">
        <v>2799.2</v>
      </c>
      <c r="V4081">
        <v>2100</v>
      </c>
      <c r="W4081">
        <v>699.2</v>
      </c>
      <c r="X4081" t="s">
        <v>75</v>
      </c>
      <c r="Y4081" t="s">
        <v>68</v>
      </c>
      <c r="Z4081" t="s">
        <v>158</v>
      </c>
      <c r="AA4081" t="s">
        <v>171</v>
      </c>
      <c r="AB4081">
        <v>3.4</v>
      </c>
      <c r="AC4081">
        <v>50</v>
      </c>
      <c r="AD4081">
        <v>193.07</v>
      </c>
      <c r="AE4081">
        <f t="shared" si="126"/>
        <v>456.13000000000005</v>
      </c>
      <c r="AF4081" t="str">
        <f t="shared" si="127"/>
        <v>2026-06</v>
      </c>
      <c r="AG4081">
        <f>SUBTOTAL(103,A4081)</f>
        <v>1</v>
      </c>
    </row>
    <row r="4082" spans="1:33" x14ac:dyDescent="0.3">
      <c r="A4082" t="s">
        <v>6705</v>
      </c>
      <c r="B4082" s="13">
        <v>46182</v>
      </c>
      <c r="C4082">
        <v>2026</v>
      </c>
      <c r="D4082">
        <v>6</v>
      </c>
      <c r="E4082" t="s">
        <v>3813</v>
      </c>
      <c r="F4082" t="s">
        <v>3329</v>
      </c>
      <c r="G4082" t="s">
        <v>1633</v>
      </c>
      <c r="H4082" t="s">
        <v>1634</v>
      </c>
      <c r="I4082" t="s">
        <v>85</v>
      </c>
      <c r="J4082">
        <v>53</v>
      </c>
      <c r="K4082" t="s">
        <v>83</v>
      </c>
      <c r="L4082" t="s">
        <v>2599</v>
      </c>
      <c r="M4082" t="s">
        <v>62</v>
      </c>
      <c r="N4082" t="s">
        <v>2594</v>
      </c>
      <c r="O4082" t="s">
        <v>131</v>
      </c>
      <c r="P4082" t="s">
        <v>53</v>
      </c>
      <c r="Q4082" t="s">
        <v>143</v>
      </c>
      <c r="R4082">
        <v>2</v>
      </c>
      <c r="S4082">
        <v>999</v>
      </c>
      <c r="T4082">
        <v>0.05</v>
      </c>
      <c r="U4082">
        <v>1898.1</v>
      </c>
      <c r="V4082">
        <v>1040</v>
      </c>
      <c r="W4082">
        <v>858.1</v>
      </c>
      <c r="X4082" t="s">
        <v>73</v>
      </c>
      <c r="Y4082" t="s">
        <v>68</v>
      </c>
      <c r="Z4082" t="s">
        <v>158</v>
      </c>
      <c r="AA4082" t="s">
        <v>166</v>
      </c>
      <c r="AB4082">
        <v>4</v>
      </c>
      <c r="AC4082">
        <v>80</v>
      </c>
      <c r="AD4082">
        <v>139.93</v>
      </c>
      <c r="AE4082">
        <f t="shared" si="126"/>
        <v>638.17000000000007</v>
      </c>
      <c r="AF4082" t="str">
        <f t="shared" si="127"/>
        <v>2026-06</v>
      </c>
      <c r="AG4082">
        <f>SUBTOTAL(103,A4082)</f>
        <v>1</v>
      </c>
    </row>
    <row r="4083" spans="1:33" x14ac:dyDescent="0.3">
      <c r="A4083" t="s">
        <v>6706</v>
      </c>
      <c r="B4083" s="13">
        <v>46182</v>
      </c>
      <c r="C4083">
        <v>2026</v>
      </c>
      <c r="D4083">
        <v>6</v>
      </c>
      <c r="E4083" t="s">
        <v>3813</v>
      </c>
      <c r="F4083" t="s">
        <v>3329</v>
      </c>
      <c r="G4083" t="s">
        <v>411</v>
      </c>
      <c r="H4083" t="s">
        <v>412</v>
      </c>
      <c r="I4083" t="s">
        <v>86</v>
      </c>
      <c r="J4083">
        <v>39</v>
      </c>
      <c r="K4083" t="s">
        <v>82</v>
      </c>
      <c r="L4083" t="s">
        <v>2586</v>
      </c>
      <c r="M4083" t="s">
        <v>62</v>
      </c>
      <c r="N4083" t="s">
        <v>2587</v>
      </c>
      <c r="O4083" t="s">
        <v>116</v>
      </c>
      <c r="P4083" t="s">
        <v>48</v>
      </c>
      <c r="Q4083" t="s">
        <v>138</v>
      </c>
      <c r="R4083">
        <v>2</v>
      </c>
      <c r="S4083">
        <v>14999</v>
      </c>
      <c r="T4083">
        <v>0.15</v>
      </c>
      <c r="U4083">
        <v>25498.3</v>
      </c>
      <c r="V4083">
        <v>22400</v>
      </c>
      <c r="W4083">
        <v>3098.3</v>
      </c>
      <c r="X4083" t="s">
        <v>75</v>
      </c>
      <c r="Y4083" t="s">
        <v>68</v>
      </c>
      <c r="Z4083" t="s">
        <v>158</v>
      </c>
      <c r="AA4083" t="s">
        <v>171</v>
      </c>
      <c r="AB4083">
        <v>5</v>
      </c>
      <c r="AC4083">
        <v>80</v>
      </c>
      <c r="AD4083">
        <v>2524.87</v>
      </c>
      <c r="AE4083">
        <f t="shared" si="126"/>
        <v>493.43000000000029</v>
      </c>
      <c r="AF4083" t="str">
        <f t="shared" si="127"/>
        <v>2026-06</v>
      </c>
      <c r="AG4083">
        <f>SUBTOTAL(103,A4083)</f>
        <v>1</v>
      </c>
    </row>
    <row r="4084" spans="1:33" x14ac:dyDescent="0.3">
      <c r="A4084" t="s">
        <v>6707</v>
      </c>
      <c r="B4084" s="13">
        <v>46182</v>
      </c>
      <c r="C4084">
        <v>2026</v>
      </c>
      <c r="D4084">
        <v>6</v>
      </c>
      <c r="E4084" t="s">
        <v>3813</v>
      </c>
      <c r="F4084" t="s">
        <v>3329</v>
      </c>
      <c r="G4084" t="s">
        <v>307</v>
      </c>
      <c r="H4084" t="s">
        <v>308</v>
      </c>
      <c r="I4084" t="s">
        <v>86</v>
      </c>
      <c r="J4084">
        <v>54</v>
      </c>
      <c r="K4084" t="s">
        <v>83</v>
      </c>
      <c r="L4084" t="s">
        <v>2646</v>
      </c>
      <c r="M4084" t="s">
        <v>63</v>
      </c>
      <c r="N4084" t="s">
        <v>2580</v>
      </c>
      <c r="O4084" t="s">
        <v>118</v>
      </c>
      <c r="P4084" t="s">
        <v>48</v>
      </c>
      <c r="Q4084" t="s">
        <v>142</v>
      </c>
      <c r="R4084">
        <v>1</v>
      </c>
      <c r="S4084">
        <v>3999</v>
      </c>
      <c r="T4084">
        <v>0.05</v>
      </c>
      <c r="U4084">
        <v>3799.05</v>
      </c>
      <c r="V4084">
        <v>2400</v>
      </c>
      <c r="W4084">
        <v>1399.05</v>
      </c>
      <c r="X4084" t="s">
        <v>75</v>
      </c>
      <c r="Y4084" t="s">
        <v>68</v>
      </c>
      <c r="Z4084" t="s">
        <v>163</v>
      </c>
      <c r="AA4084" t="s">
        <v>168</v>
      </c>
      <c r="AB4084">
        <v>5</v>
      </c>
      <c r="AC4084">
        <v>50</v>
      </c>
      <c r="AD4084">
        <v>425.39</v>
      </c>
      <c r="AE4084">
        <f t="shared" si="126"/>
        <v>923.66</v>
      </c>
      <c r="AF4084" t="str">
        <f t="shared" si="127"/>
        <v>2026-06</v>
      </c>
      <c r="AG4084">
        <f>SUBTOTAL(103,A4084)</f>
        <v>1</v>
      </c>
    </row>
    <row r="4085" spans="1:33" x14ac:dyDescent="0.3">
      <c r="A4085" t="s">
        <v>6708</v>
      </c>
      <c r="B4085" s="13">
        <v>46182</v>
      </c>
      <c r="C4085">
        <v>2026</v>
      </c>
      <c r="D4085">
        <v>6</v>
      </c>
      <c r="E4085" t="s">
        <v>3813</v>
      </c>
      <c r="F4085" t="s">
        <v>3329</v>
      </c>
      <c r="G4085" t="s">
        <v>223</v>
      </c>
      <c r="H4085" t="s">
        <v>224</v>
      </c>
      <c r="I4085" t="s">
        <v>85</v>
      </c>
      <c r="J4085">
        <v>34</v>
      </c>
      <c r="K4085" t="s">
        <v>81</v>
      </c>
      <c r="L4085" t="s">
        <v>97</v>
      </c>
      <c r="M4085" t="s">
        <v>57</v>
      </c>
      <c r="N4085" t="s">
        <v>2587</v>
      </c>
      <c r="O4085" t="s">
        <v>116</v>
      </c>
      <c r="P4085" t="s">
        <v>48</v>
      </c>
      <c r="Q4085" t="s">
        <v>138</v>
      </c>
      <c r="R4085">
        <v>3</v>
      </c>
      <c r="S4085">
        <v>14999</v>
      </c>
      <c r="T4085">
        <v>0.1</v>
      </c>
      <c r="U4085">
        <v>40497.300000000003</v>
      </c>
      <c r="V4085">
        <v>33600</v>
      </c>
      <c r="W4085">
        <v>6897.3</v>
      </c>
      <c r="X4085" t="s">
        <v>75</v>
      </c>
      <c r="Y4085" t="s">
        <v>68</v>
      </c>
      <c r="Z4085" t="s">
        <v>161</v>
      </c>
      <c r="AA4085" t="s">
        <v>168</v>
      </c>
      <c r="AB4085">
        <v>2.2999999999999998</v>
      </c>
      <c r="AC4085">
        <v>80</v>
      </c>
      <c r="AD4085">
        <v>3421.56</v>
      </c>
      <c r="AE4085">
        <f t="shared" si="126"/>
        <v>3395.7400000000002</v>
      </c>
      <c r="AF4085" t="str">
        <f t="shared" si="127"/>
        <v>2026-06</v>
      </c>
      <c r="AG4085">
        <f>SUBTOTAL(103,A4085)</f>
        <v>1</v>
      </c>
    </row>
    <row r="4086" spans="1:33" x14ac:dyDescent="0.3">
      <c r="A4086" t="s">
        <v>6709</v>
      </c>
      <c r="B4086" s="13">
        <v>46182</v>
      </c>
      <c r="C4086">
        <v>2026</v>
      </c>
      <c r="D4086">
        <v>6</v>
      </c>
      <c r="E4086" t="s">
        <v>3813</v>
      </c>
      <c r="F4086" t="s">
        <v>3329</v>
      </c>
      <c r="G4086" t="s">
        <v>665</v>
      </c>
      <c r="H4086" t="s">
        <v>666</v>
      </c>
      <c r="I4086" t="s">
        <v>86</v>
      </c>
      <c r="J4086">
        <v>27</v>
      </c>
      <c r="K4086" t="s">
        <v>81</v>
      </c>
      <c r="L4086" t="s">
        <v>2634</v>
      </c>
      <c r="M4086" t="s">
        <v>56</v>
      </c>
      <c r="N4086" t="s">
        <v>2606</v>
      </c>
      <c r="O4086" t="s">
        <v>120</v>
      </c>
      <c r="P4086" t="s">
        <v>49</v>
      </c>
      <c r="Q4086" t="s">
        <v>140</v>
      </c>
      <c r="R4086">
        <v>5</v>
      </c>
      <c r="S4086">
        <v>2799</v>
      </c>
      <c r="T4086">
        <v>0.05</v>
      </c>
      <c r="U4086">
        <v>13295.25</v>
      </c>
      <c r="V4086">
        <v>8250</v>
      </c>
      <c r="W4086">
        <v>5045.25</v>
      </c>
      <c r="X4086" t="s">
        <v>74</v>
      </c>
      <c r="Y4086" t="s">
        <v>68</v>
      </c>
      <c r="Z4086" t="s">
        <v>161</v>
      </c>
      <c r="AA4086" t="s">
        <v>167</v>
      </c>
      <c r="AB4086">
        <v>3.8</v>
      </c>
      <c r="AC4086">
        <v>60</v>
      </c>
      <c r="AD4086">
        <v>1232.02</v>
      </c>
      <c r="AE4086">
        <f t="shared" si="126"/>
        <v>3753.23</v>
      </c>
      <c r="AF4086" t="str">
        <f t="shared" si="127"/>
        <v>2026-06</v>
      </c>
      <c r="AG4086">
        <f>SUBTOTAL(103,A4086)</f>
        <v>1</v>
      </c>
    </row>
    <row r="4087" spans="1:33" x14ac:dyDescent="0.3">
      <c r="A4087" t="s">
        <v>6710</v>
      </c>
      <c r="B4087" s="13">
        <v>46182</v>
      </c>
      <c r="C4087">
        <v>2026</v>
      </c>
      <c r="D4087">
        <v>6</v>
      </c>
      <c r="E4087" t="s">
        <v>3813</v>
      </c>
      <c r="F4087" t="s">
        <v>3329</v>
      </c>
      <c r="G4087" t="s">
        <v>983</v>
      </c>
      <c r="H4087" t="s">
        <v>984</v>
      </c>
      <c r="I4087" t="s">
        <v>86</v>
      </c>
      <c r="J4087">
        <v>48</v>
      </c>
      <c r="K4087" t="s">
        <v>83</v>
      </c>
      <c r="L4087" t="s">
        <v>92</v>
      </c>
      <c r="M4087" t="s">
        <v>59</v>
      </c>
      <c r="N4087" t="s">
        <v>2657</v>
      </c>
      <c r="O4087" t="s">
        <v>134</v>
      </c>
      <c r="P4087" t="s">
        <v>49</v>
      </c>
      <c r="Q4087" t="s">
        <v>140</v>
      </c>
      <c r="R4087">
        <v>1</v>
      </c>
      <c r="S4087">
        <v>599</v>
      </c>
      <c r="T4087">
        <v>0</v>
      </c>
      <c r="U4087">
        <v>0</v>
      </c>
      <c r="V4087">
        <v>0</v>
      </c>
      <c r="W4087">
        <v>0</v>
      </c>
      <c r="X4087" t="s">
        <v>74</v>
      </c>
      <c r="Y4087" t="s">
        <v>71</v>
      </c>
      <c r="Z4087" t="s">
        <v>161</v>
      </c>
      <c r="AA4087" t="s">
        <v>166</v>
      </c>
      <c r="AB4087">
        <v>4.4000000000000004</v>
      </c>
      <c r="AC4087">
        <v>100</v>
      </c>
      <c r="AD4087">
        <v>27.84</v>
      </c>
      <c r="AE4087">
        <f t="shared" si="126"/>
        <v>-127.84</v>
      </c>
      <c r="AF4087" t="str">
        <f t="shared" si="127"/>
        <v>2026-06</v>
      </c>
      <c r="AG4087">
        <f>SUBTOTAL(103,A4087)</f>
        <v>1</v>
      </c>
    </row>
    <row r="4088" spans="1:33" x14ac:dyDescent="0.3">
      <c r="A4088" t="s">
        <v>6711</v>
      </c>
      <c r="B4088" s="13">
        <v>46183</v>
      </c>
      <c r="C4088">
        <v>2026</v>
      </c>
      <c r="D4088">
        <v>6</v>
      </c>
      <c r="E4088" t="s">
        <v>3813</v>
      </c>
      <c r="F4088" t="s">
        <v>3329</v>
      </c>
      <c r="G4088" t="s">
        <v>2245</v>
      </c>
      <c r="H4088" t="s">
        <v>2246</v>
      </c>
      <c r="I4088" t="s">
        <v>85</v>
      </c>
      <c r="J4088">
        <v>48</v>
      </c>
      <c r="K4088" t="s">
        <v>83</v>
      </c>
      <c r="L4088" t="s">
        <v>94</v>
      </c>
      <c r="M4088" t="s">
        <v>57</v>
      </c>
      <c r="N4088" t="s">
        <v>2657</v>
      </c>
      <c r="O4088" t="s">
        <v>134</v>
      </c>
      <c r="P4088" t="s">
        <v>49</v>
      </c>
      <c r="Q4088" t="s">
        <v>140</v>
      </c>
      <c r="R4088">
        <v>3</v>
      </c>
      <c r="S4088">
        <v>599</v>
      </c>
      <c r="T4088">
        <v>0.05</v>
      </c>
      <c r="U4088">
        <v>1707.15</v>
      </c>
      <c r="V4088">
        <v>750</v>
      </c>
      <c r="W4088">
        <v>957.15</v>
      </c>
      <c r="X4088" t="s">
        <v>77</v>
      </c>
      <c r="Y4088" t="s">
        <v>68</v>
      </c>
      <c r="Z4088" t="s">
        <v>159</v>
      </c>
      <c r="AA4088" t="s">
        <v>168</v>
      </c>
      <c r="AB4088">
        <v>4.5999999999999996</v>
      </c>
      <c r="AC4088">
        <v>80</v>
      </c>
      <c r="AD4088">
        <v>110.5</v>
      </c>
      <c r="AE4088">
        <f t="shared" si="126"/>
        <v>766.65</v>
      </c>
      <c r="AF4088" t="str">
        <f t="shared" si="127"/>
        <v>2026-06</v>
      </c>
      <c r="AG4088">
        <f>SUBTOTAL(103,A4088)</f>
        <v>1</v>
      </c>
    </row>
    <row r="4089" spans="1:33" x14ac:dyDescent="0.3">
      <c r="A4089" t="s">
        <v>6712</v>
      </c>
      <c r="B4089" s="13">
        <v>46183</v>
      </c>
      <c r="C4089">
        <v>2026</v>
      </c>
      <c r="D4089">
        <v>6</v>
      </c>
      <c r="E4089" t="s">
        <v>3813</v>
      </c>
      <c r="F4089" t="s">
        <v>3329</v>
      </c>
      <c r="G4089" t="s">
        <v>1425</v>
      </c>
      <c r="H4089" t="s">
        <v>1426</v>
      </c>
      <c r="I4089" t="s">
        <v>86</v>
      </c>
      <c r="J4089">
        <v>19</v>
      </c>
      <c r="K4089" t="s">
        <v>80</v>
      </c>
      <c r="L4089" t="s">
        <v>2573</v>
      </c>
      <c r="M4089" t="s">
        <v>63</v>
      </c>
      <c r="N4089" t="s">
        <v>2665</v>
      </c>
      <c r="O4089" t="s">
        <v>128</v>
      </c>
      <c r="P4089" t="s">
        <v>53</v>
      </c>
      <c r="Q4089" t="s">
        <v>143</v>
      </c>
      <c r="R4089">
        <v>2</v>
      </c>
      <c r="S4089">
        <v>1499</v>
      </c>
      <c r="T4089">
        <v>0.05</v>
      </c>
      <c r="U4089">
        <v>2848.1</v>
      </c>
      <c r="V4089">
        <v>1600</v>
      </c>
      <c r="W4089">
        <v>1248.0999999999999</v>
      </c>
      <c r="X4089" t="s">
        <v>75</v>
      </c>
      <c r="Y4089" t="s">
        <v>68</v>
      </c>
      <c r="Z4089" t="s">
        <v>162</v>
      </c>
      <c r="AA4089" t="s">
        <v>170</v>
      </c>
      <c r="AB4089">
        <v>4.5999999999999996</v>
      </c>
      <c r="AC4089">
        <v>50</v>
      </c>
      <c r="AD4089">
        <v>304.36</v>
      </c>
      <c r="AE4089">
        <f t="shared" si="126"/>
        <v>893.7399999999999</v>
      </c>
      <c r="AF4089" t="str">
        <f t="shared" si="127"/>
        <v>2026-06</v>
      </c>
      <c r="AG4089">
        <f>SUBTOTAL(103,A4089)</f>
        <v>1</v>
      </c>
    </row>
    <row r="4090" spans="1:33" x14ac:dyDescent="0.3">
      <c r="A4090" t="s">
        <v>6713</v>
      </c>
      <c r="B4090" s="13">
        <v>46184</v>
      </c>
      <c r="C4090">
        <v>2026</v>
      </c>
      <c r="D4090">
        <v>6</v>
      </c>
      <c r="E4090" t="s">
        <v>3813</v>
      </c>
      <c r="F4090" t="s">
        <v>3329</v>
      </c>
      <c r="G4090" t="s">
        <v>1859</v>
      </c>
      <c r="H4090" t="s">
        <v>1860</v>
      </c>
      <c r="I4090" t="s">
        <v>85</v>
      </c>
      <c r="J4090">
        <v>59</v>
      </c>
      <c r="K4090" t="s">
        <v>83</v>
      </c>
      <c r="L4090" t="s">
        <v>94</v>
      </c>
      <c r="M4090" t="s">
        <v>57</v>
      </c>
      <c r="N4090" t="s">
        <v>2574</v>
      </c>
      <c r="O4090" t="s">
        <v>130</v>
      </c>
      <c r="P4090" t="s">
        <v>50</v>
      </c>
      <c r="Q4090" t="s">
        <v>53</v>
      </c>
      <c r="R4090">
        <v>3</v>
      </c>
      <c r="S4090">
        <v>1199</v>
      </c>
      <c r="T4090">
        <v>0.15</v>
      </c>
      <c r="U4090">
        <v>3057.45</v>
      </c>
      <c r="V4090">
        <v>1650</v>
      </c>
      <c r="W4090">
        <v>1407.45</v>
      </c>
      <c r="X4090" t="s">
        <v>74</v>
      </c>
      <c r="Y4090" t="s">
        <v>69</v>
      </c>
      <c r="Z4090" t="s">
        <v>160</v>
      </c>
      <c r="AA4090" t="s">
        <v>169</v>
      </c>
      <c r="AB4090">
        <v>4.9000000000000004</v>
      </c>
      <c r="AC4090">
        <v>50</v>
      </c>
      <c r="AD4090">
        <v>97.78</v>
      </c>
      <c r="AE4090">
        <f t="shared" si="126"/>
        <v>1259.67</v>
      </c>
      <c r="AF4090" t="str">
        <f t="shared" si="127"/>
        <v>2026-06</v>
      </c>
      <c r="AG4090">
        <f>SUBTOTAL(103,A4090)</f>
        <v>1</v>
      </c>
    </row>
    <row r="4091" spans="1:33" x14ac:dyDescent="0.3">
      <c r="A4091" t="s">
        <v>6714</v>
      </c>
      <c r="B4091" s="13">
        <v>46184</v>
      </c>
      <c r="C4091">
        <v>2026</v>
      </c>
      <c r="D4091">
        <v>6</v>
      </c>
      <c r="E4091" t="s">
        <v>3813</v>
      </c>
      <c r="F4091" t="s">
        <v>3329</v>
      </c>
      <c r="G4091" t="s">
        <v>1127</v>
      </c>
      <c r="H4091" t="s">
        <v>1128</v>
      </c>
      <c r="I4091" t="s">
        <v>85</v>
      </c>
      <c r="J4091">
        <v>25</v>
      </c>
      <c r="K4091" t="s">
        <v>80</v>
      </c>
      <c r="L4091" t="s">
        <v>94</v>
      </c>
      <c r="M4091" t="s">
        <v>57</v>
      </c>
      <c r="N4091" t="s">
        <v>2594</v>
      </c>
      <c r="O4091" t="s">
        <v>131</v>
      </c>
      <c r="P4091" t="s">
        <v>53</v>
      </c>
      <c r="Q4091" t="s">
        <v>143</v>
      </c>
      <c r="R4091">
        <v>3</v>
      </c>
      <c r="S4091">
        <v>999</v>
      </c>
      <c r="T4091">
        <v>0.2</v>
      </c>
      <c r="U4091">
        <v>2397.6</v>
      </c>
      <c r="V4091">
        <v>1560</v>
      </c>
      <c r="W4091">
        <v>837.6</v>
      </c>
      <c r="X4091" t="s">
        <v>77</v>
      </c>
      <c r="Y4091" t="s">
        <v>68</v>
      </c>
      <c r="Z4091" t="s">
        <v>162</v>
      </c>
      <c r="AA4091" t="s">
        <v>166</v>
      </c>
      <c r="AB4091">
        <v>4.5999999999999996</v>
      </c>
      <c r="AC4091">
        <v>50</v>
      </c>
      <c r="AD4091">
        <v>122.63</v>
      </c>
      <c r="AE4091">
        <f t="shared" si="126"/>
        <v>664.97</v>
      </c>
      <c r="AF4091" t="str">
        <f t="shared" si="127"/>
        <v>2026-06</v>
      </c>
      <c r="AG4091">
        <f>SUBTOTAL(103,A4091)</f>
        <v>1</v>
      </c>
    </row>
    <row r="4092" spans="1:33" x14ac:dyDescent="0.3">
      <c r="A4092" t="s">
        <v>6715</v>
      </c>
      <c r="B4092" s="13">
        <v>46184</v>
      </c>
      <c r="C4092">
        <v>2026</v>
      </c>
      <c r="D4092">
        <v>6</v>
      </c>
      <c r="E4092" t="s">
        <v>3813</v>
      </c>
      <c r="F4092" t="s">
        <v>3329</v>
      </c>
      <c r="G4092" t="s">
        <v>1987</v>
      </c>
      <c r="H4092" t="s">
        <v>1988</v>
      </c>
      <c r="I4092" t="s">
        <v>86</v>
      </c>
      <c r="J4092">
        <v>26</v>
      </c>
      <c r="K4092" t="s">
        <v>81</v>
      </c>
      <c r="L4092" t="s">
        <v>90</v>
      </c>
      <c r="M4092" t="s">
        <v>55</v>
      </c>
      <c r="N4092" t="s">
        <v>2603</v>
      </c>
      <c r="O4092" t="s">
        <v>122</v>
      </c>
      <c r="P4092" t="s">
        <v>48</v>
      </c>
      <c r="Q4092" t="s">
        <v>141</v>
      </c>
      <c r="R4092">
        <v>1</v>
      </c>
      <c r="S4092">
        <v>2499</v>
      </c>
      <c r="T4092">
        <v>0.05</v>
      </c>
      <c r="U4092">
        <v>2374.0500000000002</v>
      </c>
      <c r="V4092">
        <v>1450</v>
      </c>
      <c r="W4092">
        <v>924.05</v>
      </c>
      <c r="X4092" t="s">
        <v>73</v>
      </c>
      <c r="Y4092" t="s">
        <v>68</v>
      </c>
      <c r="Z4092" t="s">
        <v>160</v>
      </c>
      <c r="AA4092" t="s">
        <v>166</v>
      </c>
      <c r="AB4092">
        <v>4.2</v>
      </c>
      <c r="AC4092">
        <v>50</v>
      </c>
      <c r="AD4092">
        <v>115.45</v>
      </c>
      <c r="AE4092">
        <f t="shared" si="126"/>
        <v>758.59999999999991</v>
      </c>
      <c r="AF4092" t="str">
        <f t="shared" si="127"/>
        <v>2026-06</v>
      </c>
      <c r="AG4092">
        <f>SUBTOTAL(103,A4092)</f>
        <v>1</v>
      </c>
    </row>
    <row r="4093" spans="1:33" x14ac:dyDescent="0.3">
      <c r="A4093" t="s">
        <v>6716</v>
      </c>
      <c r="B4093" s="13">
        <v>46184</v>
      </c>
      <c r="C4093">
        <v>2026</v>
      </c>
      <c r="D4093">
        <v>6</v>
      </c>
      <c r="E4093" t="s">
        <v>3813</v>
      </c>
      <c r="F4093" t="s">
        <v>3329</v>
      </c>
      <c r="G4093" t="s">
        <v>1557</v>
      </c>
      <c r="H4093" t="s">
        <v>1558</v>
      </c>
      <c r="I4093" t="s">
        <v>86</v>
      </c>
      <c r="J4093">
        <v>56</v>
      </c>
      <c r="K4093" t="s">
        <v>83</v>
      </c>
      <c r="L4093" t="s">
        <v>90</v>
      </c>
      <c r="M4093" t="s">
        <v>55</v>
      </c>
      <c r="N4093" t="s">
        <v>2596</v>
      </c>
      <c r="O4093" t="s">
        <v>124</v>
      </c>
      <c r="P4093" t="s">
        <v>51</v>
      </c>
      <c r="Q4093" t="s">
        <v>147</v>
      </c>
      <c r="R4093">
        <v>2</v>
      </c>
      <c r="S4093">
        <v>2299</v>
      </c>
      <c r="T4093">
        <v>0.15</v>
      </c>
      <c r="U4093">
        <v>3908.3</v>
      </c>
      <c r="V4093">
        <v>2400</v>
      </c>
      <c r="W4093">
        <v>1508.3</v>
      </c>
      <c r="X4093" t="s">
        <v>76</v>
      </c>
      <c r="Y4093" t="s">
        <v>68</v>
      </c>
      <c r="Z4093" t="s">
        <v>160</v>
      </c>
      <c r="AA4093" t="s">
        <v>169</v>
      </c>
      <c r="AB4093">
        <v>5</v>
      </c>
      <c r="AC4093">
        <v>50</v>
      </c>
      <c r="AD4093">
        <v>227.41</v>
      </c>
      <c r="AE4093">
        <f t="shared" si="126"/>
        <v>1230.8899999999999</v>
      </c>
      <c r="AF4093" t="str">
        <f t="shared" si="127"/>
        <v>2026-06</v>
      </c>
      <c r="AG4093">
        <f>SUBTOTAL(103,A4093)</f>
        <v>1</v>
      </c>
    </row>
    <row r="4094" spans="1:33" x14ac:dyDescent="0.3">
      <c r="A4094" t="s">
        <v>6717</v>
      </c>
      <c r="B4094" s="13">
        <v>46184</v>
      </c>
      <c r="C4094">
        <v>2026</v>
      </c>
      <c r="D4094">
        <v>6</v>
      </c>
      <c r="E4094" t="s">
        <v>3813</v>
      </c>
      <c r="F4094" t="s">
        <v>3329</v>
      </c>
      <c r="G4094" t="s">
        <v>451</v>
      </c>
      <c r="H4094" t="s">
        <v>452</v>
      </c>
      <c r="I4094" t="s">
        <v>86</v>
      </c>
      <c r="J4094">
        <v>30</v>
      </c>
      <c r="K4094" t="s">
        <v>81</v>
      </c>
      <c r="L4094" t="s">
        <v>2661</v>
      </c>
      <c r="M4094" t="s">
        <v>58</v>
      </c>
      <c r="N4094" t="s">
        <v>2630</v>
      </c>
      <c r="O4094" t="s">
        <v>123</v>
      </c>
      <c r="P4094" t="s">
        <v>52</v>
      </c>
      <c r="Q4094" t="s">
        <v>146</v>
      </c>
      <c r="R4094">
        <v>3</v>
      </c>
      <c r="S4094">
        <v>2499</v>
      </c>
      <c r="T4094">
        <v>0</v>
      </c>
      <c r="U4094">
        <v>7497</v>
      </c>
      <c r="V4094">
        <v>4200</v>
      </c>
      <c r="W4094">
        <v>3297</v>
      </c>
      <c r="X4094" t="s">
        <v>74</v>
      </c>
      <c r="Y4094" t="s">
        <v>68</v>
      </c>
      <c r="Z4094" t="s">
        <v>159</v>
      </c>
      <c r="AA4094" t="s">
        <v>166</v>
      </c>
      <c r="AB4094">
        <v>3.5</v>
      </c>
      <c r="AC4094">
        <v>80</v>
      </c>
      <c r="AD4094">
        <v>287.7</v>
      </c>
      <c r="AE4094">
        <f t="shared" si="126"/>
        <v>2929.3</v>
      </c>
      <c r="AF4094" t="str">
        <f t="shared" si="127"/>
        <v>2026-06</v>
      </c>
      <c r="AG4094">
        <f>SUBTOTAL(103,A4094)</f>
        <v>1</v>
      </c>
    </row>
    <row r="4095" spans="1:33" x14ac:dyDescent="0.3">
      <c r="A4095" t="s">
        <v>6718</v>
      </c>
      <c r="B4095" s="13">
        <v>46184</v>
      </c>
      <c r="C4095">
        <v>2026</v>
      </c>
      <c r="D4095">
        <v>6</v>
      </c>
      <c r="E4095" t="s">
        <v>3813</v>
      </c>
      <c r="F4095" t="s">
        <v>3329</v>
      </c>
      <c r="G4095" t="s">
        <v>1581</v>
      </c>
      <c r="H4095" t="s">
        <v>1582</v>
      </c>
      <c r="I4095" t="s">
        <v>85</v>
      </c>
      <c r="J4095">
        <v>20</v>
      </c>
      <c r="K4095" t="s">
        <v>80</v>
      </c>
      <c r="L4095" t="s">
        <v>2579</v>
      </c>
      <c r="M4095" t="s">
        <v>56</v>
      </c>
      <c r="N4095" t="s">
        <v>2603</v>
      </c>
      <c r="O4095" t="s">
        <v>122</v>
      </c>
      <c r="P4095" t="s">
        <v>48</v>
      </c>
      <c r="Q4095" t="s">
        <v>141</v>
      </c>
      <c r="R4095">
        <v>4</v>
      </c>
      <c r="S4095">
        <v>2499</v>
      </c>
      <c r="T4095">
        <v>0.05</v>
      </c>
      <c r="U4095">
        <v>9496.2000000000007</v>
      </c>
      <c r="V4095">
        <v>5800</v>
      </c>
      <c r="W4095">
        <v>3696.2</v>
      </c>
      <c r="X4095" t="s">
        <v>74</v>
      </c>
      <c r="Y4095" t="s">
        <v>68</v>
      </c>
      <c r="Z4095" t="s">
        <v>161</v>
      </c>
      <c r="AA4095" t="s">
        <v>167</v>
      </c>
      <c r="AB4095">
        <v>3.6</v>
      </c>
      <c r="AC4095">
        <v>60</v>
      </c>
      <c r="AD4095">
        <v>557.09</v>
      </c>
      <c r="AE4095">
        <f t="shared" si="126"/>
        <v>3079.1099999999997</v>
      </c>
      <c r="AF4095" t="str">
        <f t="shared" si="127"/>
        <v>2026-06</v>
      </c>
      <c r="AG4095">
        <f>SUBTOTAL(103,A4095)</f>
        <v>1</v>
      </c>
    </row>
    <row r="4096" spans="1:33" x14ac:dyDescent="0.3">
      <c r="A4096" t="s">
        <v>6719</v>
      </c>
      <c r="B4096" s="13">
        <v>46184</v>
      </c>
      <c r="C4096">
        <v>2026</v>
      </c>
      <c r="D4096">
        <v>6</v>
      </c>
      <c r="E4096" t="s">
        <v>3813</v>
      </c>
      <c r="F4096" t="s">
        <v>3329</v>
      </c>
      <c r="G4096" t="s">
        <v>1063</v>
      </c>
      <c r="H4096" t="s">
        <v>1064</v>
      </c>
      <c r="I4096" t="s">
        <v>85</v>
      </c>
      <c r="J4096">
        <v>59</v>
      </c>
      <c r="K4096" t="s">
        <v>83</v>
      </c>
      <c r="L4096" t="s">
        <v>2634</v>
      </c>
      <c r="M4096" t="s">
        <v>56</v>
      </c>
      <c r="N4096" t="s">
        <v>2601</v>
      </c>
      <c r="O4096" t="s">
        <v>117</v>
      </c>
      <c r="P4096" t="s">
        <v>49</v>
      </c>
      <c r="Q4096" t="s">
        <v>139</v>
      </c>
      <c r="R4096">
        <v>2</v>
      </c>
      <c r="S4096">
        <v>6999</v>
      </c>
      <c r="T4096">
        <v>0.1</v>
      </c>
      <c r="U4096">
        <v>12598.2</v>
      </c>
      <c r="V4096">
        <v>8600</v>
      </c>
      <c r="W4096">
        <v>3998.2</v>
      </c>
      <c r="X4096" t="s">
        <v>73</v>
      </c>
      <c r="Y4096" t="s">
        <v>68</v>
      </c>
      <c r="Z4096" t="s">
        <v>158</v>
      </c>
      <c r="AA4096" t="s">
        <v>171</v>
      </c>
      <c r="AB4096">
        <v>4.5</v>
      </c>
      <c r="AC4096">
        <v>60</v>
      </c>
      <c r="AD4096">
        <v>1233.52</v>
      </c>
      <c r="AE4096">
        <f t="shared" si="126"/>
        <v>2704.68</v>
      </c>
      <c r="AF4096" t="str">
        <f t="shared" si="127"/>
        <v>2026-06</v>
      </c>
      <c r="AG4096">
        <f>SUBTOTAL(103,A4096)</f>
        <v>1</v>
      </c>
    </row>
    <row r="4097" spans="1:33" x14ac:dyDescent="0.3">
      <c r="A4097" t="s">
        <v>6720</v>
      </c>
      <c r="B4097" s="13">
        <v>46184</v>
      </c>
      <c r="C4097">
        <v>2026</v>
      </c>
      <c r="D4097">
        <v>6</v>
      </c>
      <c r="E4097" t="s">
        <v>3813</v>
      </c>
      <c r="F4097" t="s">
        <v>3329</v>
      </c>
      <c r="G4097" t="s">
        <v>1881</v>
      </c>
      <c r="H4097" t="s">
        <v>1882</v>
      </c>
      <c r="I4097" t="s">
        <v>85</v>
      </c>
      <c r="J4097">
        <v>30</v>
      </c>
      <c r="K4097" t="s">
        <v>81</v>
      </c>
      <c r="L4097" t="s">
        <v>2661</v>
      </c>
      <c r="M4097" t="s">
        <v>58</v>
      </c>
      <c r="N4097" t="s">
        <v>2606</v>
      </c>
      <c r="O4097" t="s">
        <v>120</v>
      </c>
      <c r="P4097" t="s">
        <v>49</v>
      </c>
      <c r="Q4097" t="s">
        <v>140</v>
      </c>
      <c r="R4097">
        <v>2</v>
      </c>
      <c r="S4097">
        <v>2799</v>
      </c>
      <c r="T4097">
        <v>0.05</v>
      </c>
      <c r="U4097">
        <v>0</v>
      </c>
      <c r="V4097">
        <v>0</v>
      </c>
      <c r="W4097">
        <v>0</v>
      </c>
      <c r="X4097" t="s">
        <v>76</v>
      </c>
      <c r="Y4097" t="s">
        <v>71</v>
      </c>
      <c r="Z4097" t="s">
        <v>160</v>
      </c>
      <c r="AA4097" t="s">
        <v>168</v>
      </c>
      <c r="AB4097">
        <v>3.6</v>
      </c>
      <c r="AC4097">
        <v>80</v>
      </c>
      <c r="AD4097">
        <v>421.51</v>
      </c>
      <c r="AE4097">
        <f t="shared" si="126"/>
        <v>-501.51</v>
      </c>
      <c r="AF4097" t="str">
        <f t="shared" si="127"/>
        <v>2026-06</v>
      </c>
      <c r="AG4097">
        <f>SUBTOTAL(103,A4097)</f>
        <v>1</v>
      </c>
    </row>
    <row r="4098" spans="1:33" x14ac:dyDescent="0.3">
      <c r="A4098" t="s">
        <v>6721</v>
      </c>
      <c r="B4098" s="13">
        <v>46184</v>
      </c>
      <c r="C4098">
        <v>2026</v>
      </c>
      <c r="D4098">
        <v>6</v>
      </c>
      <c r="E4098" t="s">
        <v>3813</v>
      </c>
      <c r="F4098" t="s">
        <v>3329</v>
      </c>
      <c r="G4098" t="s">
        <v>837</v>
      </c>
      <c r="H4098" t="s">
        <v>838</v>
      </c>
      <c r="I4098" t="s">
        <v>86</v>
      </c>
      <c r="J4098">
        <v>40</v>
      </c>
      <c r="K4098" t="s">
        <v>82</v>
      </c>
      <c r="L4098" t="s">
        <v>2576</v>
      </c>
      <c r="M4098" t="s">
        <v>60</v>
      </c>
      <c r="N4098" t="s">
        <v>2587</v>
      </c>
      <c r="O4098" t="s">
        <v>116</v>
      </c>
      <c r="P4098" t="s">
        <v>48</v>
      </c>
      <c r="Q4098" t="s">
        <v>138</v>
      </c>
      <c r="R4098">
        <v>1</v>
      </c>
      <c r="S4098">
        <v>14999</v>
      </c>
      <c r="T4098">
        <v>0</v>
      </c>
      <c r="U4098">
        <v>14999</v>
      </c>
      <c r="V4098">
        <v>11200</v>
      </c>
      <c r="W4098">
        <v>3799</v>
      </c>
      <c r="X4098" t="s">
        <v>74</v>
      </c>
      <c r="Y4098" t="s">
        <v>68</v>
      </c>
      <c r="Z4098" t="s">
        <v>163</v>
      </c>
      <c r="AA4098" t="s">
        <v>169</v>
      </c>
      <c r="AB4098">
        <v>5</v>
      </c>
      <c r="AC4098">
        <v>50</v>
      </c>
      <c r="AD4098">
        <v>580.42999999999995</v>
      </c>
      <c r="AE4098">
        <f t="shared" ref="AE4098:AE4161" si="128">W4098-AC4098-AD4098</f>
        <v>3168.57</v>
      </c>
      <c r="AF4098" t="str">
        <f t="shared" ref="AF4098:AF4161" si="129">C4098&amp;"-"&amp;TEXT(D4098,"00")</f>
        <v>2026-06</v>
      </c>
      <c r="AG4098">
        <f>SUBTOTAL(103,A4098)</f>
        <v>1</v>
      </c>
    </row>
    <row r="4099" spans="1:33" x14ac:dyDescent="0.3">
      <c r="A4099" t="s">
        <v>6722</v>
      </c>
      <c r="B4099" s="13">
        <v>46184</v>
      </c>
      <c r="C4099">
        <v>2026</v>
      </c>
      <c r="D4099">
        <v>6</v>
      </c>
      <c r="E4099" t="s">
        <v>3813</v>
      </c>
      <c r="F4099" t="s">
        <v>3329</v>
      </c>
      <c r="G4099" t="s">
        <v>1243</v>
      </c>
      <c r="H4099" t="s">
        <v>1244</v>
      </c>
      <c r="I4099" t="s">
        <v>86</v>
      </c>
      <c r="J4099">
        <v>51</v>
      </c>
      <c r="K4099" t="s">
        <v>83</v>
      </c>
      <c r="L4099" t="s">
        <v>2610</v>
      </c>
      <c r="M4099" t="s">
        <v>64</v>
      </c>
      <c r="N4099" t="s">
        <v>2574</v>
      </c>
      <c r="O4099" t="s">
        <v>130</v>
      </c>
      <c r="P4099" t="s">
        <v>50</v>
      </c>
      <c r="Q4099" t="s">
        <v>53</v>
      </c>
      <c r="R4099">
        <v>1</v>
      </c>
      <c r="S4099">
        <v>1199</v>
      </c>
      <c r="T4099">
        <v>0</v>
      </c>
      <c r="U4099">
        <v>0</v>
      </c>
      <c r="V4099">
        <v>0</v>
      </c>
      <c r="W4099">
        <v>0</v>
      </c>
      <c r="X4099" t="s">
        <v>73</v>
      </c>
      <c r="Y4099" t="s">
        <v>71</v>
      </c>
      <c r="Z4099" t="s">
        <v>163</v>
      </c>
      <c r="AA4099" t="s">
        <v>166</v>
      </c>
      <c r="AB4099">
        <v>3.9</v>
      </c>
      <c r="AC4099">
        <v>80</v>
      </c>
      <c r="AD4099">
        <v>33.799999999999997</v>
      </c>
      <c r="AE4099">
        <f t="shared" si="128"/>
        <v>-113.8</v>
      </c>
      <c r="AF4099" t="str">
        <f t="shared" si="129"/>
        <v>2026-06</v>
      </c>
      <c r="AG4099">
        <f>SUBTOTAL(103,A4099)</f>
        <v>1</v>
      </c>
    </row>
    <row r="4100" spans="1:33" x14ac:dyDescent="0.3">
      <c r="A4100" t="s">
        <v>6723</v>
      </c>
      <c r="B4100" s="13">
        <v>46185</v>
      </c>
      <c r="C4100">
        <v>2026</v>
      </c>
      <c r="D4100">
        <v>6</v>
      </c>
      <c r="E4100" t="s">
        <v>3813</v>
      </c>
      <c r="F4100" t="s">
        <v>3329</v>
      </c>
      <c r="G4100" t="s">
        <v>489</v>
      </c>
      <c r="H4100" t="s">
        <v>490</v>
      </c>
      <c r="I4100" t="s">
        <v>86</v>
      </c>
      <c r="J4100">
        <v>29</v>
      </c>
      <c r="K4100" t="s">
        <v>81</v>
      </c>
      <c r="L4100" t="s">
        <v>2612</v>
      </c>
      <c r="M4100" t="s">
        <v>64</v>
      </c>
      <c r="N4100" t="s">
        <v>2574</v>
      </c>
      <c r="O4100" t="s">
        <v>130</v>
      </c>
      <c r="P4100" t="s">
        <v>50</v>
      </c>
      <c r="Q4100" t="s">
        <v>53</v>
      </c>
      <c r="R4100">
        <v>3</v>
      </c>
      <c r="S4100">
        <v>1199</v>
      </c>
      <c r="T4100">
        <v>0.05</v>
      </c>
      <c r="U4100">
        <v>3417.15</v>
      </c>
      <c r="V4100">
        <v>1650</v>
      </c>
      <c r="W4100">
        <v>1767.15</v>
      </c>
      <c r="X4100" t="s">
        <v>73</v>
      </c>
      <c r="Y4100" t="s">
        <v>68</v>
      </c>
      <c r="Z4100" t="s">
        <v>160</v>
      </c>
      <c r="AA4100" t="s">
        <v>168</v>
      </c>
      <c r="AB4100">
        <v>3.5</v>
      </c>
      <c r="AC4100">
        <v>50</v>
      </c>
      <c r="AD4100">
        <v>258.12</v>
      </c>
      <c r="AE4100">
        <f t="shared" si="128"/>
        <v>1459.0300000000002</v>
      </c>
      <c r="AF4100" t="str">
        <f t="shared" si="129"/>
        <v>2026-06</v>
      </c>
      <c r="AG4100">
        <f>SUBTOTAL(103,A4100)</f>
        <v>1</v>
      </c>
    </row>
    <row r="4101" spans="1:33" x14ac:dyDescent="0.3">
      <c r="A4101" t="s">
        <v>6724</v>
      </c>
      <c r="B4101" s="13">
        <v>46185</v>
      </c>
      <c r="C4101">
        <v>2026</v>
      </c>
      <c r="D4101">
        <v>6</v>
      </c>
      <c r="E4101" t="s">
        <v>3813</v>
      </c>
      <c r="F4101" t="s">
        <v>3329</v>
      </c>
      <c r="G4101" t="s">
        <v>1545</v>
      </c>
      <c r="H4101" t="s">
        <v>1546</v>
      </c>
      <c r="I4101" t="s">
        <v>85</v>
      </c>
      <c r="J4101">
        <v>39</v>
      </c>
      <c r="K4101" t="s">
        <v>82</v>
      </c>
      <c r="L4101" t="s">
        <v>2612</v>
      </c>
      <c r="M4101" t="s">
        <v>64</v>
      </c>
      <c r="N4101" t="s">
        <v>2653</v>
      </c>
      <c r="O4101" t="s">
        <v>132</v>
      </c>
      <c r="P4101" t="s">
        <v>52</v>
      </c>
      <c r="Q4101" t="s">
        <v>150</v>
      </c>
      <c r="R4101">
        <v>1</v>
      </c>
      <c r="S4101">
        <v>899</v>
      </c>
      <c r="T4101">
        <v>0</v>
      </c>
      <c r="U4101">
        <v>899</v>
      </c>
      <c r="V4101">
        <v>420</v>
      </c>
      <c r="W4101">
        <v>479</v>
      </c>
      <c r="X4101" t="s">
        <v>74</v>
      </c>
      <c r="Y4101" t="s">
        <v>68</v>
      </c>
      <c r="Z4101" t="s">
        <v>159</v>
      </c>
      <c r="AA4101" t="s">
        <v>171</v>
      </c>
      <c r="AB4101">
        <v>4.7</v>
      </c>
      <c r="AC4101">
        <v>60</v>
      </c>
      <c r="AD4101">
        <v>39.39</v>
      </c>
      <c r="AE4101">
        <f t="shared" si="128"/>
        <v>379.61</v>
      </c>
      <c r="AF4101" t="str">
        <f t="shared" si="129"/>
        <v>2026-06</v>
      </c>
      <c r="AG4101">
        <f>SUBTOTAL(103,A4101)</f>
        <v>1</v>
      </c>
    </row>
    <row r="4102" spans="1:33" x14ac:dyDescent="0.3">
      <c r="A4102" t="s">
        <v>6725</v>
      </c>
      <c r="B4102" s="13">
        <v>46185</v>
      </c>
      <c r="C4102">
        <v>2026</v>
      </c>
      <c r="D4102">
        <v>6</v>
      </c>
      <c r="E4102" t="s">
        <v>3813</v>
      </c>
      <c r="F4102" t="s">
        <v>3329</v>
      </c>
      <c r="G4102" t="s">
        <v>2289</v>
      </c>
      <c r="H4102" t="s">
        <v>2290</v>
      </c>
      <c r="I4102" t="s">
        <v>86</v>
      </c>
      <c r="J4102">
        <v>52</v>
      </c>
      <c r="K4102" t="s">
        <v>83</v>
      </c>
      <c r="L4102" t="s">
        <v>97</v>
      </c>
      <c r="M4102" t="s">
        <v>57</v>
      </c>
      <c r="N4102" t="s">
        <v>2574</v>
      </c>
      <c r="O4102" t="s">
        <v>130</v>
      </c>
      <c r="P4102" t="s">
        <v>50</v>
      </c>
      <c r="Q4102" t="s">
        <v>53</v>
      </c>
      <c r="R4102">
        <v>1</v>
      </c>
      <c r="S4102">
        <v>1199</v>
      </c>
      <c r="T4102">
        <v>0</v>
      </c>
      <c r="U4102">
        <v>1199</v>
      </c>
      <c r="V4102">
        <v>550</v>
      </c>
      <c r="W4102">
        <v>649</v>
      </c>
      <c r="X4102" t="s">
        <v>75</v>
      </c>
      <c r="Y4102" t="s">
        <v>68</v>
      </c>
      <c r="Z4102" t="s">
        <v>162</v>
      </c>
      <c r="AA4102" t="s">
        <v>168</v>
      </c>
      <c r="AB4102">
        <v>4.5999999999999996</v>
      </c>
      <c r="AC4102">
        <v>60</v>
      </c>
      <c r="AD4102">
        <v>106.98</v>
      </c>
      <c r="AE4102">
        <f t="shared" si="128"/>
        <v>482.02</v>
      </c>
      <c r="AF4102" t="str">
        <f t="shared" si="129"/>
        <v>2026-06</v>
      </c>
      <c r="AG4102">
        <f>SUBTOTAL(103,A4102)</f>
        <v>1</v>
      </c>
    </row>
    <row r="4103" spans="1:33" x14ac:dyDescent="0.3">
      <c r="A4103" t="s">
        <v>6726</v>
      </c>
      <c r="B4103" s="13">
        <v>46185</v>
      </c>
      <c r="C4103">
        <v>2026</v>
      </c>
      <c r="D4103">
        <v>6</v>
      </c>
      <c r="E4103" t="s">
        <v>3813</v>
      </c>
      <c r="F4103" t="s">
        <v>3329</v>
      </c>
      <c r="G4103" t="s">
        <v>2111</v>
      </c>
      <c r="H4103" t="s">
        <v>2112</v>
      </c>
      <c r="I4103" t="s">
        <v>86</v>
      </c>
      <c r="J4103">
        <v>27</v>
      </c>
      <c r="K4103" t="s">
        <v>81</v>
      </c>
      <c r="L4103" t="s">
        <v>96</v>
      </c>
      <c r="M4103" t="s">
        <v>55</v>
      </c>
      <c r="N4103" t="s">
        <v>2584</v>
      </c>
      <c r="O4103" t="s">
        <v>121</v>
      </c>
      <c r="P4103" t="s">
        <v>50</v>
      </c>
      <c r="Q4103" t="s">
        <v>144</v>
      </c>
      <c r="R4103">
        <v>1</v>
      </c>
      <c r="S4103">
        <v>2999</v>
      </c>
      <c r="T4103">
        <v>0.1</v>
      </c>
      <c r="U4103">
        <v>2699.1</v>
      </c>
      <c r="V4103">
        <v>1700</v>
      </c>
      <c r="W4103">
        <v>999.1</v>
      </c>
      <c r="X4103" t="s">
        <v>73</v>
      </c>
      <c r="Y4103" t="s">
        <v>68</v>
      </c>
      <c r="Z4103" t="s">
        <v>159</v>
      </c>
      <c r="AA4103" t="s">
        <v>170</v>
      </c>
      <c r="AB4103">
        <v>3.8</v>
      </c>
      <c r="AC4103">
        <v>80</v>
      </c>
      <c r="AD4103">
        <v>61.33</v>
      </c>
      <c r="AE4103">
        <f t="shared" si="128"/>
        <v>857.77</v>
      </c>
      <c r="AF4103" t="str">
        <f t="shared" si="129"/>
        <v>2026-06</v>
      </c>
      <c r="AG4103">
        <f>SUBTOTAL(103,A4103)</f>
        <v>1</v>
      </c>
    </row>
    <row r="4104" spans="1:33" x14ac:dyDescent="0.3">
      <c r="A4104" t="s">
        <v>6727</v>
      </c>
      <c r="B4104" s="13">
        <v>46185</v>
      </c>
      <c r="C4104">
        <v>2026</v>
      </c>
      <c r="D4104">
        <v>6</v>
      </c>
      <c r="E4104" t="s">
        <v>3813</v>
      </c>
      <c r="F4104" t="s">
        <v>3329</v>
      </c>
      <c r="G4104" t="s">
        <v>891</v>
      </c>
      <c r="H4104" t="s">
        <v>892</v>
      </c>
      <c r="I4104" t="s">
        <v>85</v>
      </c>
      <c r="J4104">
        <v>49</v>
      </c>
      <c r="K4104" t="s">
        <v>83</v>
      </c>
      <c r="L4104" t="s">
        <v>2690</v>
      </c>
      <c r="M4104" t="s">
        <v>63</v>
      </c>
      <c r="N4104" t="s">
        <v>2582</v>
      </c>
      <c r="O4104" t="s">
        <v>119</v>
      </c>
      <c r="P4104" t="s">
        <v>49</v>
      </c>
      <c r="Q4104" t="s">
        <v>140</v>
      </c>
      <c r="R4104">
        <v>2</v>
      </c>
      <c r="S4104">
        <v>3499</v>
      </c>
      <c r="T4104">
        <v>0.05</v>
      </c>
      <c r="U4104">
        <v>6648.1</v>
      </c>
      <c r="V4104">
        <v>4200</v>
      </c>
      <c r="W4104">
        <v>2448.1</v>
      </c>
      <c r="X4104" t="s">
        <v>73</v>
      </c>
      <c r="Y4104" t="s">
        <v>68</v>
      </c>
      <c r="Z4104" t="s">
        <v>162</v>
      </c>
      <c r="AA4104" t="s">
        <v>166</v>
      </c>
      <c r="AB4104">
        <v>3.1</v>
      </c>
      <c r="AC4104">
        <v>60</v>
      </c>
      <c r="AD4104">
        <v>296.58</v>
      </c>
      <c r="AE4104">
        <f t="shared" si="128"/>
        <v>2091.52</v>
      </c>
      <c r="AF4104" t="str">
        <f t="shared" si="129"/>
        <v>2026-06</v>
      </c>
      <c r="AG4104">
        <f>SUBTOTAL(103,A4104)</f>
        <v>1</v>
      </c>
    </row>
    <row r="4105" spans="1:33" x14ac:dyDescent="0.3">
      <c r="A4105" t="s">
        <v>6728</v>
      </c>
      <c r="B4105" s="13">
        <v>46185</v>
      </c>
      <c r="C4105">
        <v>2026</v>
      </c>
      <c r="D4105">
        <v>6</v>
      </c>
      <c r="E4105" t="s">
        <v>3813</v>
      </c>
      <c r="F4105" t="s">
        <v>3329</v>
      </c>
      <c r="G4105" t="s">
        <v>1995</v>
      </c>
      <c r="H4105" t="s">
        <v>1996</v>
      </c>
      <c r="I4105" t="s">
        <v>86</v>
      </c>
      <c r="J4105">
        <v>18</v>
      </c>
      <c r="K4105" t="s">
        <v>80</v>
      </c>
      <c r="L4105" t="s">
        <v>91</v>
      </c>
      <c r="M4105" t="s">
        <v>55</v>
      </c>
      <c r="N4105" t="s">
        <v>2594</v>
      </c>
      <c r="O4105" t="s">
        <v>131</v>
      </c>
      <c r="P4105" t="s">
        <v>53</v>
      </c>
      <c r="Q4105" t="s">
        <v>143</v>
      </c>
      <c r="R4105">
        <v>3</v>
      </c>
      <c r="S4105">
        <v>999</v>
      </c>
      <c r="T4105">
        <v>0.05</v>
      </c>
      <c r="U4105">
        <v>2847.15</v>
      </c>
      <c r="V4105">
        <v>1560</v>
      </c>
      <c r="W4105">
        <v>1287.1500000000001</v>
      </c>
      <c r="X4105" t="s">
        <v>74</v>
      </c>
      <c r="Y4105" t="s">
        <v>69</v>
      </c>
      <c r="Z4105" t="s">
        <v>158</v>
      </c>
      <c r="AA4105" t="s">
        <v>167</v>
      </c>
      <c r="AB4105">
        <v>4.4000000000000004</v>
      </c>
      <c r="AC4105">
        <v>50</v>
      </c>
      <c r="AD4105">
        <v>161.11000000000001</v>
      </c>
      <c r="AE4105">
        <f t="shared" si="128"/>
        <v>1076.04</v>
      </c>
      <c r="AF4105" t="str">
        <f t="shared" si="129"/>
        <v>2026-06</v>
      </c>
      <c r="AG4105">
        <f>SUBTOTAL(103,A4105)</f>
        <v>1</v>
      </c>
    </row>
    <row r="4106" spans="1:33" x14ac:dyDescent="0.3">
      <c r="A4106" t="s">
        <v>6729</v>
      </c>
      <c r="B4106" s="13">
        <v>46185</v>
      </c>
      <c r="C4106">
        <v>2026</v>
      </c>
      <c r="D4106">
        <v>6</v>
      </c>
      <c r="E4106" t="s">
        <v>3813</v>
      </c>
      <c r="F4106" t="s">
        <v>3329</v>
      </c>
      <c r="G4106" t="s">
        <v>925</v>
      </c>
      <c r="H4106" t="s">
        <v>926</v>
      </c>
      <c r="I4106" t="s">
        <v>85</v>
      </c>
      <c r="J4106">
        <v>34</v>
      </c>
      <c r="K4106" t="s">
        <v>81</v>
      </c>
      <c r="L4106" t="s">
        <v>2616</v>
      </c>
      <c r="M4106" t="s">
        <v>62</v>
      </c>
      <c r="N4106" t="s">
        <v>2665</v>
      </c>
      <c r="O4106" t="s">
        <v>128</v>
      </c>
      <c r="P4106" t="s">
        <v>53</v>
      </c>
      <c r="Q4106" t="s">
        <v>143</v>
      </c>
      <c r="R4106">
        <v>5</v>
      </c>
      <c r="S4106">
        <v>1499</v>
      </c>
      <c r="T4106">
        <v>0.15</v>
      </c>
      <c r="U4106">
        <v>6370.75</v>
      </c>
      <c r="V4106">
        <v>4000</v>
      </c>
      <c r="W4106">
        <v>2370.75</v>
      </c>
      <c r="X4106" t="s">
        <v>76</v>
      </c>
      <c r="Y4106" t="s">
        <v>68</v>
      </c>
      <c r="Z4106" t="s">
        <v>158</v>
      </c>
      <c r="AA4106" t="s">
        <v>168</v>
      </c>
      <c r="AB4106">
        <v>4.2</v>
      </c>
      <c r="AC4106">
        <v>40</v>
      </c>
      <c r="AD4106">
        <v>753.79</v>
      </c>
      <c r="AE4106">
        <f t="shared" si="128"/>
        <v>1576.96</v>
      </c>
      <c r="AF4106" t="str">
        <f t="shared" si="129"/>
        <v>2026-06</v>
      </c>
      <c r="AG4106">
        <f>SUBTOTAL(103,A4106)</f>
        <v>1</v>
      </c>
    </row>
    <row r="4107" spans="1:33" x14ac:dyDescent="0.3">
      <c r="A4107" t="s">
        <v>6730</v>
      </c>
      <c r="B4107" s="13">
        <v>46185</v>
      </c>
      <c r="C4107">
        <v>2026</v>
      </c>
      <c r="D4107">
        <v>6</v>
      </c>
      <c r="E4107" t="s">
        <v>3813</v>
      </c>
      <c r="F4107" t="s">
        <v>3329</v>
      </c>
      <c r="G4107" t="s">
        <v>1597</v>
      </c>
      <c r="H4107" t="s">
        <v>1598</v>
      </c>
      <c r="I4107" t="s">
        <v>85</v>
      </c>
      <c r="J4107">
        <v>40</v>
      </c>
      <c r="K4107" t="s">
        <v>82</v>
      </c>
      <c r="L4107" t="s">
        <v>2623</v>
      </c>
      <c r="M4107" t="s">
        <v>61</v>
      </c>
      <c r="N4107" t="s">
        <v>2596</v>
      </c>
      <c r="O4107" t="s">
        <v>124</v>
      </c>
      <c r="P4107" t="s">
        <v>51</v>
      </c>
      <c r="Q4107" t="s">
        <v>147</v>
      </c>
      <c r="R4107">
        <v>2</v>
      </c>
      <c r="S4107">
        <v>2299</v>
      </c>
      <c r="T4107">
        <v>0.15</v>
      </c>
      <c r="U4107">
        <v>3908.3</v>
      </c>
      <c r="V4107">
        <v>2400</v>
      </c>
      <c r="W4107">
        <v>1508.3</v>
      </c>
      <c r="X4107" t="s">
        <v>75</v>
      </c>
      <c r="Y4107" t="s">
        <v>68</v>
      </c>
      <c r="Z4107" t="s">
        <v>158</v>
      </c>
      <c r="AA4107" t="s">
        <v>168</v>
      </c>
      <c r="AB4107">
        <v>4.2</v>
      </c>
      <c r="AC4107">
        <v>80</v>
      </c>
      <c r="AD4107">
        <v>135.36000000000001</v>
      </c>
      <c r="AE4107">
        <f t="shared" si="128"/>
        <v>1292.94</v>
      </c>
      <c r="AF4107" t="str">
        <f t="shared" si="129"/>
        <v>2026-06</v>
      </c>
      <c r="AG4107">
        <f>SUBTOTAL(103,A4107)</f>
        <v>1</v>
      </c>
    </row>
    <row r="4108" spans="1:33" x14ac:dyDescent="0.3">
      <c r="A4108" t="s">
        <v>6731</v>
      </c>
      <c r="B4108" s="13">
        <v>46185</v>
      </c>
      <c r="C4108">
        <v>2026</v>
      </c>
      <c r="D4108">
        <v>6</v>
      </c>
      <c r="E4108" t="s">
        <v>3813</v>
      </c>
      <c r="F4108" t="s">
        <v>3329</v>
      </c>
      <c r="G4108" t="s">
        <v>1943</v>
      </c>
      <c r="H4108" t="s">
        <v>1944</v>
      </c>
      <c r="I4108" t="s">
        <v>86</v>
      </c>
      <c r="J4108">
        <v>37</v>
      </c>
      <c r="K4108" t="s">
        <v>82</v>
      </c>
      <c r="L4108" t="s">
        <v>59</v>
      </c>
      <c r="M4108" t="s">
        <v>59</v>
      </c>
      <c r="N4108" t="s">
        <v>2626</v>
      </c>
      <c r="O4108" t="s">
        <v>125</v>
      </c>
      <c r="P4108" t="s">
        <v>48</v>
      </c>
      <c r="Q4108" t="s">
        <v>141</v>
      </c>
      <c r="R4108">
        <v>4</v>
      </c>
      <c r="S4108">
        <v>1999</v>
      </c>
      <c r="T4108">
        <v>0.2</v>
      </c>
      <c r="U4108">
        <v>6396.8</v>
      </c>
      <c r="V4108">
        <v>4600</v>
      </c>
      <c r="W4108">
        <v>1796.8</v>
      </c>
      <c r="X4108" t="s">
        <v>76</v>
      </c>
      <c r="Y4108" t="s">
        <v>68</v>
      </c>
      <c r="Z4108" t="s">
        <v>160</v>
      </c>
      <c r="AA4108" t="s">
        <v>169</v>
      </c>
      <c r="AB4108">
        <v>4.4000000000000004</v>
      </c>
      <c r="AC4108">
        <v>120</v>
      </c>
      <c r="AD4108">
        <v>527.61</v>
      </c>
      <c r="AE4108">
        <f t="shared" si="128"/>
        <v>1149.19</v>
      </c>
      <c r="AF4108" t="str">
        <f t="shared" si="129"/>
        <v>2026-06</v>
      </c>
      <c r="AG4108">
        <f>SUBTOTAL(103,A4108)</f>
        <v>1</v>
      </c>
    </row>
    <row r="4109" spans="1:33" x14ac:dyDescent="0.3">
      <c r="A4109" t="s">
        <v>6732</v>
      </c>
      <c r="B4109" s="13">
        <v>46185</v>
      </c>
      <c r="C4109">
        <v>2026</v>
      </c>
      <c r="D4109">
        <v>6</v>
      </c>
      <c r="E4109" t="s">
        <v>3813</v>
      </c>
      <c r="F4109" t="s">
        <v>3329</v>
      </c>
      <c r="G4109" t="s">
        <v>1187</v>
      </c>
      <c r="H4109" t="s">
        <v>1188</v>
      </c>
      <c r="I4109" t="s">
        <v>86</v>
      </c>
      <c r="J4109">
        <v>40</v>
      </c>
      <c r="K4109" t="s">
        <v>82</v>
      </c>
      <c r="L4109" t="s">
        <v>99</v>
      </c>
      <c r="M4109" t="s">
        <v>58</v>
      </c>
      <c r="N4109" t="s">
        <v>2596</v>
      </c>
      <c r="O4109" t="s">
        <v>124</v>
      </c>
      <c r="P4109" t="s">
        <v>51</v>
      </c>
      <c r="Q4109" t="s">
        <v>147</v>
      </c>
      <c r="R4109">
        <v>3</v>
      </c>
      <c r="S4109">
        <v>2299</v>
      </c>
      <c r="T4109">
        <v>0.15</v>
      </c>
      <c r="U4109">
        <v>5862.45</v>
      </c>
      <c r="V4109">
        <v>3600</v>
      </c>
      <c r="W4109">
        <v>2262.4499999999998</v>
      </c>
      <c r="X4109" t="s">
        <v>73</v>
      </c>
      <c r="Y4109" t="s">
        <v>68</v>
      </c>
      <c r="Z4109" t="s">
        <v>159</v>
      </c>
      <c r="AA4109" t="s">
        <v>168</v>
      </c>
      <c r="AB4109">
        <v>3.3</v>
      </c>
      <c r="AC4109">
        <v>50</v>
      </c>
      <c r="AD4109">
        <v>405.52</v>
      </c>
      <c r="AE4109">
        <f t="shared" si="128"/>
        <v>1806.9299999999998</v>
      </c>
      <c r="AF4109" t="str">
        <f t="shared" si="129"/>
        <v>2026-06</v>
      </c>
      <c r="AG4109">
        <f>SUBTOTAL(103,A4109)</f>
        <v>1</v>
      </c>
    </row>
    <row r="4110" spans="1:33" x14ac:dyDescent="0.3">
      <c r="A4110" t="s">
        <v>6733</v>
      </c>
      <c r="B4110" s="13">
        <v>46185</v>
      </c>
      <c r="C4110">
        <v>2026</v>
      </c>
      <c r="D4110">
        <v>6</v>
      </c>
      <c r="E4110" t="s">
        <v>3813</v>
      </c>
      <c r="F4110" t="s">
        <v>3329</v>
      </c>
      <c r="G4110" t="s">
        <v>1413</v>
      </c>
      <c r="H4110" t="s">
        <v>1414</v>
      </c>
      <c r="I4110" t="s">
        <v>86</v>
      </c>
      <c r="J4110">
        <v>53</v>
      </c>
      <c r="K4110" t="s">
        <v>83</v>
      </c>
      <c r="L4110" t="s">
        <v>2623</v>
      </c>
      <c r="M4110" t="s">
        <v>61</v>
      </c>
      <c r="N4110" t="s">
        <v>2653</v>
      </c>
      <c r="O4110" t="s">
        <v>132</v>
      </c>
      <c r="P4110" t="s">
        <v>52</v>
      </c>
      <c r="Q4110" t="s">
        <v>150</v>
      </c>
      <c r="R4110">
        <v>4</v>
      </c>
      <c r="S4110">
        <v>899</v>
      </c>
      <c r="T4110">
        <v>0.1</v>
      </c>
      <c r="U4110">
        <v>3236.4</v>
      </c>
      <c r="V4110">
        <v>1680</v>
      </c>
      <c r="W4110">
        <v>1556.4</v>
      </c>
      <c r="X4110" t="s">
        <v>74</v>
      </c>
      <c r="Y4110" t="s">
        <v>68</v>
      </c>
      <c r="Z4110" t="s">
        <v>158</v>
      </c>
      <c r="AA4110" t="s">
        <v>168</v>
      </c>
      <c r="AB4110">
        <v>4.5</v>
      </c>
      <c r="AC4110">
        <v>60</v>
      </c>
      <c r="AD4110">
        <v>120.5</v>
      </c>
      <c r="AE4110">
        <f t="shared" si="128"/>
        <v>1375.9</v>
      </c>
      <c r="AF4110" t="str">
        <f t="shared" si="129"/>
        <v>2026-06</v>
      </c>
      <c r="AG4110">
        <f>SUBTOTAL(103,A4110)</f>
        <v>1</v>
      </c>
    </row>
    <row r="4111" spans="1:33" x14ac:dyDescent="0.3">
      <c r="A4111" t="s">
        <v>6734</v>
      </c>
      <c r="B4111" s="13">
        <v>46185</v>
      </c>
      <c r="C4111">
        <v>2026</v>
      </c>
      <c r="D4111">
        <v>6</v>
      </c>
      <c r="E4111" t="s">
        <v>3813</v>
      </c>
      <c r="F4111" t="s">
        <v>3329</v>
      </c>
      <c r="G4111" t="s">
        <v>849</v>
      </c>
      <c r="H4111" t="s">
        <v>850</v>
      </c>
      <c r="I4111" t="s">
        <v>85</v>
      </c>
      <c r="J4111">
        <v>33</v>
      </c>
      <c r="K4111" t="s">
        <v>81</v>
      </c>
      <c r="L4111" t="s">
        <v>2605</v>
      </c>
      <c r="M4111" t="s">
        <v>60</v>
      </c>
      <c r="N4111" t="s">
        <v>2665</v>
      </c>
      <c r="O4111" t="s">
        <v>128</v>
      </c>
      <c r="P4111" t="s">
        <v>53</v>
      </c>
      <c r="Q4111" t="s">
        <v>143</v>
      </c>
      <c r="R4111">
        <v>3</v>
      </c>
      <c r="S4111">
        <v>1499</v>
      </c>
      <c r="T4111">
        <v>0.15</v>
      </c>
      <c r="U4111">
        <v>3822.45</v>
      </c>
      <c r="V4111">
        <v>2400</v>
      </c>
      <c r="W4111">
        <v>1422.45</v>
      </c>
      <c r="X4111" t="s">
        <v>76</v>
      </c>
      <c r="Y4111" t="s">
        <v>68</v>
      </c>
      <c r="Z4111" t="s">
        <v>161</v>
      </c>
      <c r="AA4111" t="s">
        <v>167</v>
      </c>
      <c r="AB4111">
        <v>5</v>
      </c>
      <c r="AC4111">
        <v>80</v>
      </c>
      <c r="AD4111">
        <v>391.39</v>
      </c>
      <c r="AE4111">
        <f t="shared" si="128"/>
        <v>951.06000000000006</v>
      </c>
      <c r="AF4111" t="str">
        <f t="shared" si="129"/>
        <v>2026-06</v>
      </c>
      <c r="AG4111">
        <f>SUBTOTAL(103,A4111)</f>
        <v>1</v>
      </c>
    </row>
    <row r="4112" spans="1:33" x14ac:dyDescent="0.3">
      <c r="A4112" t="s">
        <v>6735</v>
      </c>
      <c r="B4112" s="13">
        <v>46185</v>
      </c>
      <c r="C4112">
        <v>2026</v>
      </c>
      <c r="D4112">
        <v>6</v>
      </c>
      <c r="E4112" t="s">
        <v>3813</v>
      </c>
      <c r="F4112" t="s">
        <v>3329</v>
      </c>
      <c r="G4112" t="s">
        <v>1383</v>
      </c>
      <c r="H4112" t="s">
        <v>1384</v>
      </c>
      <c r="I4112" t="s">
        <v>86</v>
      </c>
      <c r="J4112">
        <v>57</v>
      </c>
      <c r="K4112" t="s">
        <v>83</v>
      </c>
      <c r="L4112" t="s">
        <v>96</v>
      </c>
      <c r="M4112" t="s">
        <v>55</v>
      </c>
      <c r="N4112" t="s">
        <v>2626</v>
      </c>
      <c r="O4112" t="s">
        <v>125</v>
      </c>
      <c r="P4112" t="s">
        <v>48</v>
      </c>
      <c r="Q4112" t="s">
        <v>141</v>
      </c>
      <c r="R4112">
        <v>3</v>
      </c>
      <c r="S4112">
        <v>1999</v>
      </c>
      <c r="T4112">
        <v>0.15</v>
      </c>
      <c r="U4112">
        <v>5097.45</v>
      </c>
      <c r="V4112">
        <v>3450</v>
      </c>
      <c r="W4112">
        <v>1647.45</v>
      </c>
      <c r="X4112" t="s">
        <v>75</v>
      </c>
      <c r="Y4112" t="s">
        <v>68</v>
      </c>
      <c r="Z4112" t="s">
        <v>159</v>
      </c>
      <c r="AA4112" t="s">
        <v>166</v>
      </c>
      <c r="AB4112">
        <v>4.9000000000000004</v>
      </c>
      <c r="AC4112">
        <v>60</v>
      </c>
      <c r="AD4112">
        <v>464.16</v>
      </c>
      <c r="AE4112">
        <f t="shared" si="128"/>
        <v>1123.29</v>
      </c>
      <c r="AF4112" t="str">
        <f t="shared" si="129"/>
        <v>2026-06</v>
      </c>
      <c r="AG4112">
        <f>SUBTOTAL(103,A4112)</f>
        <v>1</v>
      </c>
    </row>
    <row r="4113" spans="1:33" x14ac:dyDescent="0.3">
      <c r="A4113" t="s">
        <v>6736</v>
      </c>
      <c r="B4113" s="13">
        <v>46185</v>
      </c>
      <c r="C4113">
        <v>2026</v>
      </c>
      <c r="D4113">
        <v>6</v>
      </c>
      <c r="E4113" t="s">
        <v>3813</v>
      </c>
      <c r="F4113" t="s">
        <v>3329</v>
      </c>
      <c r="G4113" t="s">
        <v>1201</v>
      </c>
      <c r="H4113" t="s">
        <v>1202</v>
      </c>
      <c r="I4113" t="s">
        <v>86</v>
      </c>
      <c r="J4113">
        <v>35</v>
      </c>
      <c r="K4113" t="s">
        <v>81</v>
      </c>
      <c r="L4113" t="s">
        <v>94</v>
      </c>
      <c r="M4113" t="s">
        <v>57</v>
      </c>
      <c r="N4113" t="s">
        <v>2603</v>
      </c>
      <c r="O4113" t="s">
        <v>122</v>
      </c>
      <c r="P4113" t="s">
        <v>48</v>
      </c>
      <c r="Q4113" t="s">
        <v>141</v>
      </c>
      <c r="R4113">
        <v>2</v>
      </c>
      <c r="S4113">
        <v>2499</v>
      </c>
      <c r="T4113">
        <v>0.2</v>
      </c>
      <c r="U4113">
        <v>3998.4</v>
      </c>
      <c r="V4113">
        <v>2900</v>
      </c>
      <c r="W4113">
        <v>1098.4000000000001</v>
      </c>
      <c r="X4113" t="s">
        <v>73</v>
      </c>
      <c r="Y4113" t="s">
        <v>68</v>
      </c>
      <c r="Z4113" t="s">
        <v>160</v>
      </c>
      <c r="AA4113" t="s">
        <v>167</v>
      </c>
      <c r="AB4113">
        <v>3.1</v>
      </c>
      <c r="AC4113">
        <v>80</v>
      </c>
      <c r="AD4113">
        <v>165.37</v>
      </c>
      <c r="AE4113">
        <f t="shared" si="128"/>
        <v>853.03000000000009</v>
      </c>
      <c r="AF4113" t="str">
        <f t="shared" si="129"/>
        <v>2026-06</v>
      </c>
      <c r="AG4113">
        <f>SUBTOTAL(103,A4113)</f>
        <v>1</v>
      </c>
    </row>
    <row r="4114" spans="1:33" x14ac:dyDescent="0.3">
      <c r="A4114" t="s">
        <v>6737</v>
      </c>
      <c r="B4114" s="13">
        <v>46186</v>
      </c>
      <c r="C4114">
        <v>2026</v>
      </c>
      <c r="D4114">
        <v>6</v>
      </c>
      <c r="E4114" t="s">
        <v>3813</v>
      </c>
      <c r="F4114" t="s">
        <v>3329</v>
      </c>
      <c r="G4114" t="s">
        <v>1549</v>
      </c>
      <c r="H4114" t="s">
        <v>1550</v>
      </c>
      <c r="I4114" t="s">
        <v>86</v>
      </c>
      <c r="J4114">
        <v>45</v>
      </c>
      <c r="K4114" t="s">
        <v>82</v>
      </c>
      <c r="L4114" t="s">
        <v>95</v>
      </c>
      <c r="M4114" t="s">
        <v>56</v>
      </c>
      <c r="N4114" t="s">
        <v>2647</v>
      </c>
      <c r="O4114" t="s">
        <v>133</v>
      </c>
      <c r="P4114" t="s">
        <v>50</v>
      </c>
      <c r="Q4114" t="s">
        <v>145</v>
      </c>
      <c r="R4114">
        <v>1</v>
      </c>
      <c r="S4114">
        <v>799</v>
      </c>
      <c r="T4114">
        <v>0.05</v>
      </c>
      <c r="U4114">
        <v>759.05</v>
      </c>
      <c r="V4114">
        <v>390</v>
      </c>
      <c r="W4114">
        <v>369.05</v>
      </c>
      <c r="X4114" t="s">
        <v>75</v>
      </c>
      <c r="Y4114" t="s">
        <v>68</v>
      </c>
      <c r="Z4114" t="s">
        <v>158</v>
      </c>
      <c r="AA4114" t="s">
        <v>166</v>
      </c>
      <c r="AB4114">
        <v>4.2</v>
      </c>
      <c r="AC4114">
        <v>40</v>
      </c>
      <c r="AD4114">
        <v>75.59</v>
      </c>
      <c r="AE4114">
        <f t="shared" si="128"/>
        <v>253.46</v>
      </c>
      <c r="AF4114" t="str">
        <f t="shared" si="129"/>
        <v>2026-06</v>
      </c>
      <c r="AG4114">
        <f>SUBTOTAL(103,A4114)</f>
        <v>1</v>
      </c>
    </row>
    <row r="4115" spans="1:33" x14ac:dyDescent="0.3">
      <c r="A4115" t="s">
        <v>6738</v>
      </c>
      <c r="B4115" s="13">
        <v>46186</v>
      </c>
      <c r="C4115">
        <v>2026</v>
      </c>
      <c r="D4115">
        <v>6</v>
      </c>
      <c r="E4115" t="s">
        <v>3813</v>
      </c>
      <c r="F4115" t="s">
        <v>3329</v>
      </c>
      <c r="G4115" t="s">
        <v>1069</v>
      </c>
      <c r="H4115" t="s">
        <v>1070</v>
      </c>
      <c r="I4115" t="s">
        <v>87</v>
      </c>
      <c r="J4115">
        <v>24</v>
      </c>
      <c r="K4115" t="s">
        <v>80</v>
      </c>
      <c r="L4115" t="s">
        <v>98</v>
      </c>
      <c r="M4115" t="s">
        <v>55</v>
      </c>
      <c r="N4115" t="s">
        <v>2584</v>
      </c>
      <c r="O4115" t="s">
        <v>121</v>
      </c>
      <c r="P4115" t="s">
        <v>50</v>
      </c>
      <c r="Q4115" t="s">
        <v>144</v>
      </c>
      <c r="R4115">
        <v>3</v>
      </c>
      <c r="S4115">
        <v>2999</v>
      </c>
      <c r="T4115">
        <v>0.15</v>
      </c>
      <c r="U4115">
        <v>7647.45</v>
      </c>
      <c r="V4115">
        <v>5100</v>
      </c>
      <c r="W4115">
        <v>2547.4499999999998</v>
      </c>
      <c r="X4115" t="s">
        <v>74</v>
      </c>
      <c r="Y4115" t="s">
        <v>69</v>
      </c>
      <c r="Z4115" t="s">
        <v>158</v>
      </c>
      <c r="AA4115" t="s">
        <v>168</v>
      </c>
      <c r="AB4115">
        <v>3.2</v>
      </c>
      <c r="AC4115">
        <v>100</v>
      </c>
      <c r="AD4115">
        <v>837.19</v>
      </c>
      <c r="AE4115">
        <f t="shared" si="128"/>
        <v>1610.2599999999998</v>
      </c>
      <c r="AF4115" t="str">
        <f t="shared" si="129"/>
        <v>2026-06</v>
      </c>
      <c r="AG4115">
        <f>SUBTOTAL(103,A4115)</f>
        <v>1</v>
      </c>
    </row>
    <row r="4116" spans="1:33" x14ac:dyDescent="0.3">
      <c r="A4116" t="s">
        <v>6739</v>
      </c>
      <c r="B4116" s="13">
        <v>46186</v>
      </c>
      <c r="C4116">
        <v>2026</v>
      </c>
      <c r="D4116">
        <v>6</v>
      </c>
      <c r="E4116" t="s">
        <v>3813</v>
      </c>
      <c r="F4116" t="s">
        <v>3329</v>
      </c>
      <c r="G4116" t="s">
        <v>1877</v>
      </c>
      <c r="H4116" t="s">
        <v>1878</v>
      </c>
      <c r="I4116" t="s">
        <v>86</v>
      </c>
      <c r="J4116">
        <v>57</v>
      </c>
      <c r="K4116" t="s">
        <v>83</v>
      </c>
      <c r="L4116" t="s">
        <v>2661</v>
      </c>
      <c r="M4116" t="s">
        <v>58</v>
      </c>
      <c r="N4116" t="s">
        <v>2574</v>
      </c>
      <c r="O4116" t="s">
        <v>130</v>
      </c>
      <c r="P4116" t="s">
        <v>50</v>
      </c>
      <c r="Q4116" t="s">
        <v>53</v>
      </c>
      <c r="R4116">
        <v>1</v>
      </c>
      <c r="S4116">
        <v>1199</v>
      </c>
      <c r="T4116">
        <v>0.05</v>
      </c>
      <c r="U4116">
        <v>1139.05</v>
      </c>
      <c r="V4116">
        <v>550</v>
      </c>
      <c r="W4116">
        <v>589.04999999999995</v>
      </c>
      <c r="X4116" t="s">
        <v>73</v>
      </c>
      <c r="Y4116" t="s">
        <v>68</v>
      </c>
      <c r="Z4116" t="s">
        <v>161</v>
      </c>
      <c r="AA4116" t="s">
        <v>169</v>
      </c>
      <c r="AB4116">
        <v>3.9</v>
      </c>
      <c r="AC4116">
        <v>100</v>
      </c>
      <c r="AD4116">
        <v>93.71</v>
      </c>
      <c r="AE4116">
        <f t="shared" si="128"/>
        <v>395.34</v>
      </c>
      <c r="AF4116" t="str">
        <f t="shared" si="129"/>
        <v>2026-06</v>
      </c>
      <c r="AG4116">
        <f>SUBTOTAL(103,A4116)</f>
        <v>1</v>
      </c>
    </row>
    <row r="4117" spans="1:33" x14ac:dyDescent="0.3">
      <c r="A4117" t="s">
        <v>6740</v>
      </c>
      <c r="B4117" s="13">
        <v>46186</v>
      </c>
      <c r="C4117">
        <v>2026</v>
      </c>
      <c r="D4117">
        <v>6</v>
      </c>
      <c r="E4117" t="s">
        <v>3813</v>
      </c>
      <c r="F4117" t="s">
        <v>3329</v>
      </c>
      <c r="G4117" t="s">
        <v>327</v>
      </c>
      <c r="H4117" t="s">
        <v>328</v>
      </c>
      <c r="I4117" t="s">
        <v>86</v>
      </c>
      <c r="J4117">
        <v>29</v>
      </c>
      <c r="K4117" t="s">
        <v>81</v>
      </c>
      <c r="L4117" t="s">
        <v>93</v>
      </c>
      <c r="M4117" t="s">
        <v>55</v>
      </c>
      <c r="N4117" t="s">
        <v>2594</v>
      </c>
      <c r="O4117" t="s">
        <v>131</v>
      </c>
      <c r="P4117" t="s">
        <v>53</v>
      </c>
      <c r="Q4117" t="s">
        <v>143</v>
      </c>
      <c r="R4117">
        <v>3</v>
      </c>
      <c r="S4117">
        <v>999</v>
      </c>
      <c r="T4117">
        <v>0.05</v>
      </c>
      <c r="U4117">
        <v>2847.15</v>
      </c>
      <c r="V4117">
        <v>1560</v>
      </c>
      <c r="W4117">
        <v>1287.1500000000001</v>
      </c>
      <c r="X4117" t="s">
        <v>75</v>
      </c>
      <c r="Y4117" t="s">
        <v>68</v>
      </c>
      <c r="Z4117" t="s">
        <v>162</v>
      </c>
      <c r="AA4117" t="s">
        <v>166</v>
      </c>
      <c r="AB4117">
        <v>5</v>
      </c>
      <c r="AC4117">
        <v>60</v>
      </c>
      <c r="AD4117">
        <v>324.41000000000003</v>
      </c>
      <c r="AE4117">
        <f t="shared" si="128"/>
        <v>902.74</v>
      </c>
      <c r="AF4117" t="str">
        <f t="shared" si="129"/>
        <v>2026-06</v>
      </c>
      <c r="AG4117">
        <f>SUBTOTAL(103,A4117)</f>
        <v>1</v>
      </c>
    </row>
    <row r="4118" spans="1:33" x14ac:dyDescent="0.3">
      <c r="A4118" t="s">
        <v>6741</v>
      </c>
      <c r="B4118" s="13">
        <v>46186</v>
      </c>
      <c r="C4118">
        <v>2026</v>
      </c>
      <c r="D4118">
        <v>6</v>
      </c>
      <c r="E4118" t="s">
        <v>3813</v>
      </c>
      <c r="F4118" t="s">
        <v>3329</v>
      </c>
      <c r="G4118" t="s">
        <v>2127</v>
      </c>
      <c r="H4118" t="s">
        <v>2128</v>
      </c>
      <c r="I4118" t="s">
        <v>86</v>
      </c>
      <c r="J4118">
        <v>42</v>
      </c>
      <c r="K4118" t="s">
        <v>82</v>
      </c>
      <c r="L4118" t="s">
        <v>99</v>
      </c>
      <c r="M4118" t="s">
        <v>58</v>
      </c>
      <c r="N4118" t="s">
        <v>2574</v>
      </c>
      <c r="O4118" t="s">
        <v>130</v>
      </c>
      <c r="P4118" t="s">
        <v>50</v>
      </c>
      <c r="Q4118" t="s">
        <v>53</v>
      </c>
      <c r="R4118">
        <v>1</v>
      </c>
      <c r="S4118">
        <v>1199</v>
      </c>
      <c r="T4118">
        <v>0</v>
      </c>
      <c r="U4118">
        <v>1199</v>
      </c>
      <c r="V4118">
        <v>550</v>
      </c>
      <c r="W4118">
        <v>649</v>
      </c>
      <c r="X4118" t="s">
        <v>73</v>
      </c>
      <c r="Y4118" t="s">
        <v>68</v>
      </c>
      <c r="Z4118" t="s">
        <v>159</v>
      </c>
      <c r="AA4118" t="s">
        <v>166</v>
      </c>
      <c r="AB4118">
        <v>3.8</v>
      </c>
      <c r="AC4118">
        <v>80</v>
      </c>
      <c r="AD4118">
        <v>104.14</v>
      </c>
      <c r="AE4118">
        <f t="shared" si="128"/>
        <v>464.86</v>
      </c>
      <c r="AF4118" t="str">
        <f t="shared" si="129"/>
        <v>2026-06</v>
      </c>
      <c r="AG4118">
        <f>SUBTOTAL(103,A4118)</f>
        <v>1</v>
      </c>
    </row>
    <row r="4119" spans="1:33" x14ac:dyDescent="0.3">
      <c r="A4119" t="s">
        <v>6742</v>
      </c>
      <c r="B4119" s="13">
        <v>46186</v>
      </c>
      <c r="C4119">
        <v>2026</v>
      </c>
      <c r="D4119">
        <v>6</v>
      </c>
      <c r="E4119" t="s">
        <v>3813</v>
      </c>
      <c r="F4119" t="s">
        <v>3329</v>
      </c>
      <c r="G4119" t="s">
        <v>1767</v>
      </c>
      <c r="H4119" t="s">
        <v>1768</v>
      </c>
      <c r="I4119" t="s">
        <v>86</v>
      </c>
      <c r="J4119">
        <v>36</v>
      </c>
      <c r="K4119" t="s">
        <v>82</v>
      </c>
      <c r="L4119" t="s">
        <v>2573</v>
      </c>
      <c r="M4119" t="s">
        <v>63</v>
      </c>
      <c r="N4119" t="s">
        <v>2606</v>
      </c>
      <c r="O4119" t="s">
        <v>120</v>
      </c>
      <c r="P4119" t="s">
        <v>49</v>
      </c>
      <c r="Q4119" t="s">
        <v>140</v>
      </c>
      <c r="R4119">
        <v>2</v>
      </c>
      <c r="S4119">
        <v>2799</v>
      </c>
      <c r="T4119">
        <v>0.15</v>
      </c>
      <c r="U4119">
        <v>4758.3</v>
      </c>
      <c r="V4119">
        <v>3300</v>
      </c>
      <c r="W4119">
        <v>1458.3</v>
      </c>
      <c r="X4119" t="s">
        <v>73</v>
      </c>
      <c r="Y4119" t="s">
        <v>68</v>
      </c>
      <c r="Z4119" t="s">
        <v>160</v>
      </c>
      <c r="AA4119" t="s">
        <v>170</v>
      </c>
      <c r="AB4119">
        <v>3.7</v>
      </c>
      <c r="AC4119">
        <v>80</v>
      </c>
      <c r="AD4119">
        <v>430.67</v>
      </c>
      <c r="AE4119">
        <f t="shared" si="128"/>
        <v>947.62999999999988</v>
      </c>
      <c r="AF4119" t="str">
        <f t="shared" si="129"/>
        <v>2026-06</v>
      </c>
      <c r="AG4119">
        <f>SUBTOTAL(103,A4119)</f>
        <v>1</v>
      </c>
    </row>
    <row r="4120" spans="1:33" x14ac:dyDescent="0.3">
      <c r="A4120" t="s">
        <v>6743</v>
      </c>
      <c r="B4120" s="13">
        <v>46186</v>
      </c>
      <c r="C4120">
        <v>2026</v>
      </c>
      <c r="D4120">
        <v>6</v>
      </c>
      <c r="E4120" t="s">
        <v>3813</v>
      </c>
      <c r="F4120" t="s">
        <v>3329</v>
      </c>
      <c r="G4120" t="s">
        <v>1319</v>
      </c>
      <c r="H4120" t="s">
        <v>1320</v>
      </c>
      <c r="I4120" t="s">
        <v>85</v>
      </c>
      <c r="J4120">
        <v>42</v>
      </c>
      <c r="K4120" t="s">
        <v>82</v>
      </c>
      <c r="L4120" t="s">
        <v>2623</v>
      </c>
      <c r="M4120" t="s">
        <v>61</v>
      </c>
      <c r="N4120" t="s">
        <v>2580</v>
      </c>
      <c r="O4120" t="s">
        <v>118</v>
      </c>
      <c r="P4120" t="s">
        <v>48</v>
      </c>
      <c r="Q4120" t="s">
        <v>142</v>
      </c>
      <c r="R4120">
        <v>2</v>
      </c>
      <c r="S4120">
        <v>3999</v>
      </c>
      <c r="T4120">
        <v>0</v>
      </c>
      <c r="U4120">
        <v>7998</v>
      </c>
      <c r="V4120">
        <v>4800</v>
      </c>
      <c r="W4120">
        <v>3198</v>
      </c>
      <c r="X4120" t="s">
        <v>76</v>
      </c>
      <c r="Y4120" t="s">
        <v>68</v>
      </c>
      <c r="Z4120" t="s">
        <v>158</v>
      </c>
      <c r="AA4120" t="s">
        <v>166</v>
      </c>
      <c r="AB4120">
        <v>3.8</v>
      </c>
      <c r="AC4120">
        <v>80</v>
      </c>
      <c r="AD4120">
        <v>736.42</v>
      </c>
      <c r="AE4120">
        <f t="shared" si="128"/>
        <v>2381.58</v>
      </c>
      <c r="AF4120" t="str">
        <f t="shared" si="129"/>
        <v>2026-06</v>
      </c>
      <c r="AG4120">
        <f>SUBTOTAL(103,A4120)</f>
        <v>1</v>
      </c>
    </row>
    <row r="4121" spans="1:33" x14ac:dyDescent="0.3">
      <c r="A4121" t="s">
        <v>6744</v>
      </c>
      <c r="B4121" s="13">
        <v>46186</v>
      </c>
      <c r="C4121">
        <v>2026</v>
      </c>
      <c r="D4121">
        <v>6</v>
      </c>
      <c r="E4121" t="s">
        <v>3813</v>
      </c>
      <c r="F4121" t="s">
        <v>3329</v>
      </c>
      <c r="G4121" t="s">
        <v>1897</v>
      </c>
      <c r="H4121" t="s">
        <v>1898</v>
      </c>
      <c r="I4121" t="s">
        <v>85</v>
      </c>
      <c r="J4121">
        <v>32</v>
      </c>
      <c r="K4121" t="s">
        <v>81</v>
      </c>
      <c r="L4121" t="s">
        <v>2573</v>
      </c>
      <c r="M4121" t="s">
        <v>63</v>
      </c>
      <c r="N4121" t="s">
        <v>2596</v>
      </c>
      <c r="O4121" t="s">
        <v>124</v>
      </c>
      <c r="P4121" t="s">
        <v>51</v>
      </c>
      <c r="Q4121" t="s">
        <v>147</v>
      </c>
      <c r="R4121">
        <v>1</v>
      </c>
      <c r="S4121">
        <v>2299</v>
      </c>
      <c r="T4121">
        <v>0.05</v>
      </c>
      <c r="U4121">
        <v>2184.0500000000002</v>
      </c>
      <c r="V4121">
        <v>1200</v>
      </c>
      <c r="W4121">
        <v>984.05</v>
      </c>
      <c r="X4121" t="s">
        <v>73</v>
      </c>
      <c r="Y4121" t="s">
        <v>68</v>
      </c>
      <c r="Z4121" t="s">
        <v>163</v>
      </c>
      <c r="AA4121" t="s">
        <v>166</v>
      </c>
      <c r="AB4121">
        <v>5</v>
      </c>
      <c r="AC4121">
        <v>50</v>
      </c>
      <c r="AD4121">
        <v>209.63</v>
      </c>
      <c r="AE4121">
        <f t="shared" si="128"/>
        <v>724.42</v>
      </c>
      <c r="AF4121" t="str">
        <f t="shared" si="129"/>
        <v>2026-06</v>
      </c>
      <c r="AG4121">
        <f>SUBTOTAL(103,A4121)</f>
        <v>1</v>
      </c>
    </row>
    <row r="4122" spans="1:33" x14ac:dyDescent="0.3">
      <c r="A4122" t="s">
        <v>6745</v>
      </c>
      <c r="B4122" s="13">
        <v>46186</v>
      </c>
      <c r="C4122">
        <v>2026</v>
      </c>
      <c r="D4122">
        <v>6</v>
      </c>
      <c r="E4122" t="s">
        <v>3813</v>
      </c>
      <c r="F4122" t="s">
        <v>3329</v>
      </c>
      <c r="G4122" t="s">
        <v>787</v>
      </c>
      <c r="H4122" t="s">
        <v>788</v>
      </c>
      <c r="I4122" t="s">
        <v>86</v>
      </c>
      <c r="J4122">
        <v>48</v>
      </c>
      <c r="K4122" t="s">
        <v>83</v>
      </c>
      <c r="L4122" t="s">
        <v>2623</v>
      </c>
      <c r="M4122" t="s">
        <v>61</v>
      </c>
      <c r="N4122" t="s">
        <v>2590</v>
      </c>
      <c r="O4122" t="s">
        <v>127</v>
      </c>
      <c r="P4122" t="s">
        <v>51</v>
      </c>
      <c r="Q4122" t="s">
        <v>148</v>
      </c>
      <c r="R4122">
        <v>5</v>
      </c>
      <c r="S4122">
        <v>1599</v>
      </c>
      <c r="T4122">
        <v>0</v>
      </c>
      <c r="U4122">
        <v>7995</v>
      </c>
      <c r="V4122">
        <v>4000</v>
      </c>
      <c r="W4122">
        <v>3995</v>
      </c>
      <c r="X4122" t="s">
        <v>73</v>
      </c>
      <c r="Y4122" t="s">
        <v>68</v>
      </c>
      <c r="Z4122" t="s">
        <v>159</v>
      </c>
      <c r="AA4122" t="s">
        <v>169</v>
      </c>
      <c r="AB4122">
        <v>4.0999999999999996</v>
      </c>
      <c r="AC4122">
        <v>50</v>
      </c>
      <c r="AD4122">
        <v>228.53</v>
      </c>
      <c r="AE4122">
        <f t="shared" si="128"/>
        <v>3716.47</v>
      </c>
      <c r="AF4122" t="str">
        <f t="shared" si="129"/>
        <v>2026-06</v>
      </c>
      <c r="AG4122">
        <f>SUBTOTAL(103,A4122)</f>
        <v>1</v>
      </c>
    </row>
    <row r="4123" spans="1:33" x14ac:dyDescent="0.3">
      <c r="A4123" t="s">
        <v>6746</v>
      </c>
      <c r="B4123" s="13">
        <v>46187</v>
      </c>
      <c r="C4123">
        <v>2026</v>
      </c>
      <c r="D4123">
        <v>6</v>
      </c>
      <c r="E4123" t="s">
        <v>3813</v>
      </c>
      <c r="F4123" t="s">
        <v>3329</v>
      </c>
      <c r="G4123" t="s">
        <v>1907</v>
      </c>
      <c r="H4123" t="s">
        <v>1908</v>
      </c>
      <c r="I4123" t="s">
        <v>87</v>
      </c>
      <c r="J4123">
        <v>20</v>
      </c>
      <c r="K4123" t="s">
        <v>80</v>
      </c>
      <c r="L4123" t="s">
        <v>93</v>
      </c>
      <c r="M4123" t="s">
        <v>55</v>
      </c>
      <c r="N4123" t="s">
        <v>2584</v>
      </c>
      <c r="O4123" t="s">
        <v>121</v>
      </c>
      <c r="P4123" t="s">
        <v>50</v>
      </c>
      <c r="Q4123" t="s">
        <v>144</v>
      </c>
      <c r="R4123">
        <v>1</v>
      </c>
      <c r="S4123">
        <v>2999</v>
      </c>
      <c r="T4123">
        <v>0.1</v>
      </c>
      <c r="U4123">
        <v>2699.1</v>
      </c>
      <c r="V4123">
        <v>1700</v>
      </c>
      <c r="W4123">
        <v>999.1</v>
      </c>
      <c r="X4123" t="s">
        <v>75</v>
      </c>
      <c r="Y4123" t="s">
        <v>68</v>
      </c>
      <c r="Z4123" t="s">
        <v>162</v>
      </c>
      <c r="AA4123" t="s">
        <v>166</v>
      </c>
      <c r="AB4123">
        <v>4.7</v>
      </c>
      <c r="AC4123">
        <v>80</v>
      </c>
      <c r="AD4123">
        <v>175.73</v>
      </c>
      <c r="AE4123">
        <f t="shared" si="128"/>
        <v>743.37</v>
      </c>
      <c r="AF4123" t="str">
        <f t="shared" si="129"/>
        <v>2026-06</v>
      </c>
      <c r="AG4123">
        <f>SUBTOTAL(103,A4123)</f>
        <v>1</v>
      </c>
    </row>
    <row r="4124" spans="1:33" x14ac:dyDescent="0.3">
      <c r="A4124" t="s">
        <v>6747</v>
      </c>
      <c r="B4124" s="13">
        <v>46187</v>
      </c>
      <c r="C4124">
        <v>2026</v>
      </c>
      <c r="D4124">
        <v>6</v>
      </c>
      <c r="E4124" t="s">
        <v>3813</v>
      </c>
      <c r="F4124" t="s">
        <v>3329</v>
      </c>
      <c r="G4124" t="s">
        <v>1395</v>
      </c>
      <c r="H4124" t="s">
        <v>1396</v>
      </c>
      <c r="I4124" t="s">
        <v>85</v>
      </c>
      <c r="J4124">
        <v>39</v>
      </c>
      <c r="K4124" t="s">
        <v>82</v>
      </c>
      <c r="L4124" t="s">
        <v>2679</v>
      </c>
      <c r="M4124" t="s">
        <v>60</v>
      </c>
      <c r="N4124" t="s">
        <v>2594</v>
      </c>
      <c r="O4124" t="s">
        <v>131</v>
      </c>
      <c r="P4124" t="s">
        <v>53</v>
      </c>
      <c r="Q4124" t="s">
        <v>143</v>
      </c>
      <c r="R4124">
        <v>2</v>
      </c>
      <c r="S4124">
        <v>999</v>
      </c>
      <c r="T4124">
        <v>0</v>
      </c>
      <c r="U4124">
        <v>1998</v>
      </c>
      <c r="V4124">
        <v>1040</v>
      </c>
      <c r="W4124">
        <v>958</v>
      </c>
      <c r="X4124" t="s">
        <v>73</v>
      </c>
      <c r="Y4124" t="s">
        <v>68</v>
      </c>
      <c r="Z4124" t="s">
        <v>159</v>
      </c>
      <c r="AA4124" t="s">
        <v>166</v>
      </c>
      <c r="AB4124">
        <v>4.5</v>
      </c>
      <c r="AC4124">
        <v>60</v>
      </c>
      <c r="AD4124">
        <v>148.05000000000001</v>
      </c>
      <c r="AE4124">
        <f t="shared" si="128"/>
        <v>749.95</v>
      </c>
      <c r="AF4124" t="str">
        <f t="shared" si="129"/>
        <v>2026-06</v>
      </c>
      <c r="AG4124">
        <f>SUBTOTAL(103,A4124)</f>
        <v>1</v>
      </c>
    </row>
    <row r="4125" spans="1:33" x14ac:dyDescent="0.3">
      <c r="A4125" t="s">
        <v>6748</v>
      </c>
      <c r="B4125" s="13">
        <v>46187</v>
      </c>
      <c r="C4125">
        <v>2026</v>
      </c>
      <c r="D4125">
        <v>6</v>
      </c>
      <c r="E4125" t="s">
        <v>3813</v>
      </c>
      <c r="F4125" t="s">
        <v>3329</v>
      </c>
      <c r="G4125" t="s">
        <v>985</v>
      </c>
      <c r="H4125" t="s">
        <v>986</v>
      </c>
      <c r="I4125" t="s">
        <v>85</v>
      </c>
      <c r="J4125">
        <v>36</v>
      </c>
      <c r="K4125" t="s">
        <v>82</v>
      </c>
      <c r="L4125" t="s">
        <v>97</v>
      </c>
      <c r="M4125" t="s">
        <v>57</v>
      </c>
      <c r="N4125" t="s">
        <v>2582</v>
      </c>
      <c r="O4125" t="s">
        <v>119</v>
      </c>
      <c r="P4125" t="s">
        <v>49</v>
      </c>
      <c r="Q4125" t="s">
        <v>140</v>
      </c>
      <c r="R4125">
        <v>2</v>
      </c>
      <c r="S4125">
        <v>3499</v>
      </c>
      <c r="T4125">
        <v>0.15</v>
      </c>
      <c r="U4125">
        <v>5948.3</v>
      </c>
      <c r="V4125">
        <v>4200</v>
      </c>
      <c r="W4125">
        <v>1748.3</v>
      </c>
      <c r="X4125" t="s">
        <v>77</v>
      </c>
      <c r="Y4125" t="s">
        <v>68</v>
      </c>
      <c r="Z4125" t="s">
        <v>159</v>
      </c>
      <c r="AA4125" t="s">
        <v>171</v>
      </c>
      <c r="AB4125">
        <v>4</v>
      </c>
      <c r="AC4125">
        <v>100</v>
      </c>
      <c r="AD4125">
        <v>481.3</v>
      </c>
      <c r="AE4125">
        <f t="shared" si="128"/>
        <v>1167</v>
      </c>
      <c r="AF4125" t="str">
        <f t="shared" si="129"/>
        <v>2026-06</v>
      </c>
      <c r="AG4125">
        <f>SUBTOTAL(103,A4125)</f>
        <v>1</v>
      </c>
    </row>
    <row r="4126" spans="1:33" x14ac:dyDescent="0.3">
      <c r="A4126" t="s">
        <v>6749</v>
      </c>
      <c r="B4126" s="13">
        <v>46187</v>
      </c>
      <c r="C4126">
        <v>2026</v>
      </c>
      <c r="D4126">
        <v>6</v>
      </c>
      <c r="E4126" t="s">
        <v>3813</v>
      </c>
      <c r="F4126" t="s">
        <v>3329</v>
      </c>
      <c r="G4126" t="s">
        <v>1221</v>
      </c>
      <c r="H4126" t="s">
        <v>1222</v>
      </c>
      <c r="I4126" t="s">
        <v>86</v>
      </c>
      <c r="J4126">
        <v>58</v>
      </c>
      <c r="K4126" t="s">
        <v>83</v>
      </c>
      <c r="L4126" t="s">
        <v>98</v>
      </c>
      <c r="M4126" t="s">
        <v>55</v>
      </c>
      <c r="N4126" t="s">
        <v>2582</v>
      </c>
      <c r="O4126" t="s">
        <v>119</v>
      </c>
      <c r="P4126" t="s">
        <v>49</v>
      </c>
      <c r="Q4126" t="s">
        <v>140</v>
      </c>
      <c r="R4126">
        <v>3</v>
      </c>
      <c r="S4126">
        <v>3499</v>
      </c>
      <c r="T4126">
        <v>0.05</v>
      </c>
      <c r="U4126">
        <v>9972.15</v>
      </c>
      <c r="V4126">
        <v>6300</v>
      </c>
      <c r="W4126">
        <v>3672.15</v>
      </c>
      <c r="X4126" t="s">
        <v>74</v>
      </c>
      <c r="Y4126" t="s">
        <v>68</v>
      </c>
      <c r="Z4126" t="s">
        <v>163</v>
      </c>
      <c r="AA4126" t="s">
        <v>169</v>
      </c>
      <c r="AB4126">
        <v>3.5</v>
      </c>
      <c r="AC4126">
        <v>80</v>
      </c>
      <c r="AD4126">
        <v>800.08</v>
      </c>
      <c r="AE4126">
        <f t="shared" si="128"/>
        <v>2792.07</v>
      </c>
      <c r="AF4126" t="str">
        <f t="shared" si="129"/>
        <v>2026-06</v>
      </c>
      <c r="AG4126">
        <f>SUBTOTAL(103,A4126)</f>
        <v>1</v>
      </c>
    </row>
    <row r="4127" spans="1:33" x14ac:dyDescent="0.3">
      <c r="A4127" t="s">
        <v>6750</v>
      </c>
      <c r="B4127" s="13">
        <v>46187</v>
      </c>
      <c r="C4127">
        <v>2026</v>
      </c>
      <c r="D4127">
        <v>6</v>
      </c>
      <c r="E4127" t="s">
        <v>3813</v>
      </c>
      <c r="F4127" t="s">
        <v>3329</v>
      </c>
      <c r="G4127" t="s">
        <v>1249</v>
      </c>
      <c r="H4127" t="s">
        <v>1250</v>
      </c>
      <c r="I4127" t="s">
        <v>85</v>
      </c>
      <c r="J4127">
        <v>18</v>
      </c>
      <c r="K4127" t="s">
        <v>80</v>
      </c>
      <c r="L4127" t="s">
        <v>91</v>
      </c>
      <c r="M4127" t="s">
        <v>55</v>
      </c>
      <c r="N4127" t="s">
        <v>2577</v>
      </c>
      <c r="O4127" t="s">
        <v>129</v>
      </c>
      <c r="P4127" t="s">
        <v>49</v>
      </c>
      <c r="Q4127" t="s">
        <v>149</v>
      </c>
      <c r="R4127">
        <v>1</v>
      </c>
      <c r="S4127">
        <v>1299</v>
      </c>
      <c r="T4127">
        <v>0.05</v>
      </c>
      <c r="U4127">
        <v>1234.05</v>
      </c>
      <c r="V4127">
        <v>650</v>
      </c>
      <c r="W4127">
        <v>584.04999999999995</v>
      </c>
      <c r="X4127" t="s">
        <v>73</v>
      </c>
      <c r="Y4127" t="s">
        <v>68</v>
      </c>
      <c r="Z4127" t="s">
        <v>159</v>
      </c>
      <c r="AA4127" t="s">
        <v>170</v>
      </c>
      <c r="AB4127">
        <v>3.7</v>
      </c>
      <c r="AC4127">
        <v>60</v>
      </c>
      <c r="AD4127">
        <v>127.97</v>
      </c>
      <c r="AE4127">
        <f t="shared" si="128"/>
        <v>396.07999999999993</v>
      </c>
      <c r="AF4127" t="str">
        <f t="shared" si="129"/>
        <v>2026-06</v>
      </c>
      <c r="AG4127">
        <f>SUBTOTAL(103,A4127)</f>
        <v>1</v>
      </c>
    </row>
    <row r="4128" spans="1:33" x14ac:dyDescent="0.3">
      <c r="A4128" t="s">
        <v>6751</v>
      </c>
      <c r="B4128" s="13">
        <v>46187</v>
      </c>
      <c r="C4128">
        <v>2026</v>
      </c>
      <c r="D4128">
        <v>6</v>
      </c>
      <c r="E4128" t="s">
        <v>3813</v>
      </c>
      <c r="F4128" t="s">
        <v>3329</v>
      </c>
      <c r="G4128" t="s">
        <v>475</v>
      </c>
      <c r="H4128" t="s">
        <v>476</v>
      </c>
      <c r="I4128" t="s">
        <v>86</v>
      </c>
      <c r="J4128">
        <v>26</v>
      </c>
      <c r="K4128" t="s">
        <v>81</v>
      </c>
      <c r="L4128" t="s">
        <v>100</v>
      </c>
      <c r="M4128" t="s">
        <v>56</v>
      </c>
      <c r="N4128" t="s">
        <v>2594</v>
      </c>
      <c r="O4128" t="s">
        <v>131</v>
      </c>
      <c r="P4128" t="s">
        <v>53</v>
      </c>
      <c r="Q4128" t="s">
        <v>143</v>
      </c>
      <c r="R4128">
        <v>2</v>
      </c>
      <c r="S4128">
        <v>999</v>
      </c>
      <c r="T4128">
        <v>0.05</v>
      </c>
      <c r="U4128">
        <v>1898.1</v>
      </c>
      <c r="V4128">
        <v>1040</v>
      </c>
      <c r="W4128">
        <v>858.1</v>
      </c>
      <c r="X4128" t="s">
        <v>73</v>
      </c>
      <c r="Y4128" t="s">
        <v>68</v>
      </c>
      <c r="Z4128" t="s">
        <v>160</v>
      </c>
      <c r="AA4128" t="s">
        <v>169</v>
      </c>
      <c r="AB4128">
        <v>5</v>
      </c>
      <c r="AC4128">
        <v>40</v>
      </c>
      <c r="AD4128">
        <v>190.8</v>
      </c>
      <c r="AE4128">
        <f t="shared" si="128"/>
        <v>627.29999999999995</v>
      </c>
      <c r="AF4128" t="str">
        <f t="shared" si="129"/>
        <v>2026-06</v>
      </c>
      <c r="AG4128">
        <f>SUBTOTAL(103,A4128)</f>
        <v>1</v>
      </c>
    </row>
    <row r="4129" spans="1:33" x14ac:dyDescent="0.3">
      <c r="A4129" t="s">
        <v>6752</v>
      </c>
      <c r="B4129" s="13">
        <v>46187</v>
      </c>
      <c r="C4129">
        <v>2026</v>
      </c>
      <c r="D4129">
        <v>6</v>
      </c>
      <c r="E4129" t="s">
        <v>3813</v>
      </c>
      <c r="F4129" t="s">
        <v>3329</v>
      </c>
      <c r="G4129" t="s">
        <v>2077</v>
      </c>
      <c r="H4129" t="s">
        <v>2078</v>
      </c>
      <c r="I4129" t="s">
        <v>85</v>
      </c>
      <c r="J4129">
        <v>21</v>
      </c>
      <c r="K4129" t="s">
        <v>80</v>
      </c>
      <c r="L4129" t="s">
        <v>92</v>
      </c>
      <c r="M4129" t="s">
        <v>59</v>
      </c>
      <c r="N4129" t="s">
        <v>2606</v>
      </c>
      <c r="O4129" t="s">
        <v>120</v>
      </c>
      <c r="P4129" t="s">
        <v>49</v>
      </c>
      <c r="Q4129" t="s">
        <v>140</v>
      </c>
      <c r="R4129">
        <v>3</v>
      </c>
      <c r="S4129">
        <v>2799</v>
      </c>
      <c r="T4129">
        <v>0.05</v>
      </c>
      <c r="U4129">
        <v>7977.15</v>
      </c>
      <c r="V4129">
        <v>4950</v>
      </c>
      <c r="W4129">
        <v>3027.15</v>
      </c>
      <c r="X4129" t="s">
        <v>74</v>
      </c>
      <c r="Y4129" t="s">
        <v>68</v>
      </c>
      <c r="Z4129" t="s">
        <v>158</v>
      </c>
      <c r="AA4129" t="s">
        <v>166</v>
      </c>
      <c r="AB4129">
        <v>4.3</v>
      </c>
      <c r="AC4129">
        <v>60</v>
      </c>
      <c r="AD4129">
        <v>740.07</v>
      </c>
      <c r="AE4129">
        <f t="shared" si="128"/>
        <v>2227.08</v>
      </c>
      <c r="AF4129" t="str">
        <f t="shared" si="129"/>
        <v>2026-06</v>
      </c>
      <c r="AG4129">
        <f>SUBTOTAL(103,A4129)</f>
        <v>1</v>
      </c>
    </row>
    <row r="4130" spans="1:33" x14ac:dyDescent="0.3">
      <c r="A4130" t="s">
        <v>6753</v>
      </c>
      <c r="B4130" s="13">
        <v>46187</v>
      </c>
      <c r="C4130">
        <v>2026</v>
      </c>
      <c r="D4130">
        <v>6</v>
      </c>
      <c r="E4130" t="s">
        <v>3813</v>
      </c>
      <c r="F4130" t="s">
        <v>3329</v>
      </c>
      <c r="G4130" t="s">
        <v>621</v>
      </c>
      <c r="H4130" t="s">
        <v>622</v>
      </c>
      <c r="I4130" t="s">
        <v>85</v>
      </c>
      <c r="J4130">
        <v>54</v>
      </c>
      <c r="K4130" t="s">
        <v>83</v>
      </c>
      <c r="L4130" t="s">
        <v>100</v>
      </c>
      <c r="M4130" t="s">
        <v>56</v>
      </c>
      <c r="N4130" t="s">
        <v>2626</v>
      </c>
      <c r="O4130" t="s">
        <v>125</v>
      </c>
      <c r="P4130" t="s">
        <v>48</v>
      </c>
      <c r="Q4130" t="s">
        <v>141</v>
      </c>
      <c r="R4130">
        <v>1</v>
      </c>
      <c r="S4130">
        <v>1999</v>
      </c>
      <c r="T4130">
        <v>0.2</v>
      </c>
      <c r="U4130">
        <v>1599.2</v>
      </c>
      <c r="V4130">
        <v>1150</v>
      </c>
      <c r="W4130">
        <v>449.2</v>
      </c>
      <c r="X4130" t="s">
        <v>73</v>
      </c>
      <c r="Y4130" t="s">
        <v>68</v>
      </c>
      <c r="Z4130" t="s">
        <v>159</v>
      </c>
      <c r="AA4130" t="s">
        <v>168</v>
      </c>
      <c r="AB4130">
        <v>5</v>
      </c>
      <c r="AC4130">
        <v>80</v>
      </c>
      <c r="AD4130">
        <v>95.59</v>
      </c>
      <c r="AE4130">
        <f t="shared" si="128"/>
        <v>273.61</v>
      </c>
      <c r="AF4130" t="str">
        <f t="shared" si="129"/>
        <v>2026-06</v>
      </c>
      <c r="AG4130">
        <f>SUBTOTAL(103,A4130)</f>
        <v>1</v>
      </c>
    </row>
    <row r="4131" spans="1:33" x14ac:dyDescent="0.3">
      <c r="A4131" t="s">
        <v>6754</v>
      </c>
      <c r="B4131" s="13">
        <v>46187</v>
      </c>
      <c r="C4131">
        <v>2026</v>
      </c>
      <c r="D4131">
        <v>6</v>
      </c>
      <c r="E4131" t="s">
        <v>3813</v>
      </c>
      <c r="F4131" t="s">
        <v>3329</v>
      </c>
      <c r="G4131" t="s">
        <v>243</v>
      </c>
      <c r="H4131" t="s">
        <v>244</v>
      </c>
      <c r="I4131" t="s">
        <v>85</v>
      </c>
      <c r="J4131">
        <v>56</v>
      </c>
      <c r="K4131" t="s">
        <v>83</v>
      </c>
      <c r="L4131" t="s">
        <v>2576</v>
      </c>
      <c r="M4131" t="s">
        <v>60</v>
      </c>
      <c r="N4131" t="s">
        <v>2574</v>
      </c>
      <c r="O4131" t="s">
        <v>130</v>
      </c>
      <c r="P4131" t="s">
        <v>50</v>
      </c>
      <c r="Q4131" t="s">
        <v>53</v>
      </c>
      <c r="R4131">
        <v>1</v>
      </c>
      <c r="S4131">
        <v>1199</v>
      </c>
      <c r="T4131">
        <v>0.15</v>
      </c>
      <c r="U4131">
        <v>1019.15</v>
      </c>
      <c r="V4131">
        <v>550</v>
      </c>
      <c r="W4131">
        <v>469.15</v>
      </c>
      <c r="X4131" t="s">
        <v>73</v>
      </c>
      <c r="Y4131" t="s">
        <v>68</v>
      </c>
      <c r="Z4131" t="s">
        <v>159</v>
      </c>
      <c r="AA4131" t="s">
        <v>170</v>
      </c>
      <c r="AB4131">
        <v>4.7</v>
      </c>
      <c r="AC4131">
        <v>80</v>
      </c>
      <c r="AD4131">
        <v>91.38</v>
      </c>
      <c r="AE4131">
        <f t="shared" si="128"/>
        <v>297.77</v>
      </c>
      <c r="AF4131" t="str">
        <f t="shared" si="129"/>
        <v>2026-06</v>
      </c>
      <c r="AG4131">
        <f>SUBTOTAL(103,A4131)</f>
        <v>1</v>
      </c>
    </row>
    <row r="4132" spans="1:33" x14ac:dyDescent="0.3">
      <c r="A4132" t="s">
        <v>6755</v>
      </c>
      <c r="B4132" s="13">
        <v>46187</v>
      </c>
      <c r="C4132">
        <v>2026</v>
      </c>
      <c r="D4132">
        <v>6</v>
      </c>
      <c r="E4132" t="s">
        <v>3813</v>
      </c>
      <c r="F4132" t="s">
        <v>3329</v>
      </c>
      <c r="G4132" t="s">
        <v>1621</v>
      </c>
      <c r="H4132" t="s">
        <v>1622</v>
      </c>
      <c r="I4132" t="s">
        <v>85</v>
      </c>
      <c r="J4132">
        <v>56</v>
      </c>
      <c r="K4132" t="s">
        <v>83</v>
      </c>
      <c r="L4132" t="s">
        <v>93</v>
      </c>
      <c r="M4132" t="s">
        <v>55</v>
      </c>
      <c r="N4132" t="s">
        <v>2644</v>
      </c>
      <c r="O4132" t="s">
        <v>126</v>
      </c>
      <c r="P4132" t="s">
        <v>50</v>
      </c>
      <c r="Q4132" t="s">
        <v>145</v>
      </c>
      <c r="R4132">
        <v>1</v>
      </c>
      <c r="S4132">
        <v>1799</v>
      </c>
      <c r="T4132">
        <v>0.05</v>
      </c>
      <c r="U4132">
        <v>1709.05</v>
      </c>
      <c r="V4132">
        <v>950</v>
      </c>
      <c r="W4132">
        <v>759.05</v>
      </c>
      <c r="X4132" t="s">
        <v>73</v>
      </c>
      <c r="Y4132" t="s">
        <v>68</v>
      </c>
      <c r="Z4132" t="s">
        <v>161</v>
      </c>
      <c r="AA4132" t="s">
        <v>166</v>
      </c>
      <c r="AB4132">
        <v>3.1</v>
      </c>
      <c r="AC4132">
        <v>80</v>
      </c>
      <c r="AD4132">
        <v>156.43</v>
      </c>
      <c r="AE4132">
        <f t="shared" si="128"/>
        <v>522.61999999999989</v>
      </c>
      <c r="AF4132" t="str">
        <f t="shared" si="129"/>
        <v>2026-06</v>
      </c>
      <c r="AG4132">
        <f>SUBTOTAL(103,A4132)</f>
        <v>1</v>
      </c>
    </row>
    <row r="4133" spans="1:33" x14ac:dyDescent="0.3">
      <c r="A4133" t="s">
        <v>6756</v>
      </c>
      <c r="B4133" s="13">
        <v>46187</v>
      </c>
      <c r="C4133">
        <v>2026</v>
      </c>
      <c r="D4133">
        <v>6</v>
      </c>
      <c r="E4133" t="s">
        <v>3813</v>
      </c>
      <c r="F4133" t="s">
        <v>3329</v>
      </c>
      <c r="G4133" t="s">
        <v>1393</v>
      </c>
      <c r="H4133" t="s">
        <v>1394</v>
      </c>
      <c r="I4133" t="s">
        <v>85</v>
      </c>
      <c r="J4133">
        <v>40</v>
      </c>
      <c r="K4133" t="s">
        <v>82</v>
      </c>
      <c r="L4133" t="s">
        <v>97</v>
      </c>
      <c r="M4133" t="s">
        <v>57</v>
      </c>
      <c r="N4133" t="s">
        <v>2626</v>
      </c>
      <c r="O4133" t="s">
        <v>125</v>
      </c>
      <c r="P4133" t="s">
        <v>48</v>
      </c>
      <c r="Q4133" t="s">
        <v>141</v>
      </c>
      <c r="R4133">
        <v>1</v>
      </c>
      <c r="S4133">
        <v>1999</v>
      </c>
      <c r="T4133">
        <v>0.15</v>
      </c>
      <c r="U4133">
        <v>1699.15</v>
      </c>
      <c r="V4133">
        <v>1150</v>
      </c>
      <c r="W4133">
        <v>549.15</v>
      </c>
      <c r="X4133" t="s">
        <v>73</v>
      </c>
      <c r="Y4133" t="s">
        <v>68</v>
      </c>
      <c r="Z4133" t="s">
        <v>158</v>
      </c>
      <c r="AA4133" t="s">
        <v>169</v>
      </c>
      <c r="AB4133">
        <v>4.5999999999999996</v>
      </c>
      <c r="AC4133">
        <v>50</v>
      </c>
      <c r="AD4133">
        <v>57.4</v>
      </c>
      <c r="AE4133">
        <f t="shared" si="128"/>
        <v>441.75</v>
      </c>
      <c r="AF4133" t="str">
        <f t="shared" si="129"/>
        <v>2026-06</v>
      </c>
      <c r="AG4133">
        <f>SUBTOTAL(103,A4133)</f>
        <v>1</v>
      </c>
    </row>
    <row r="4134" spans="1:33" x14ac:dyDescent="0.3">
      <c r="A4134" t="s">
        <v>6757</v>
      </c>
      <c r="B4134" s="13">
        <v>46188</v>
      </c>
      <c r="C4134">
        <v>2026</v>
      </c>
      <c r="D4134">
        <v>6</v>
      </c>
      <c r="E4134" t="s">
        <v>3813</v>
      </c>
      <c r="F4134" t="s">
        <v>3329</v>
      </c>
      <c r="G4134" t="s">
        <v>779</v>
      </c>
      <c r="H4134" t="s">
        <v>780</v>
      </c>
      <c r="I4134" t="s">
        <v>85</v>
      </c>
      <c r="J4134">
        <v>19</v>
      </c>
      <c r="K4134" t="s">
        <v>80</v>
      </c>
      <c r="L4134" t="s">
        <v>96</v>
      </c>
      <c r="M4134" t="s">
        <v>55</v>
      </c>
      <c r="N4134" t="s">
        <v>2594</v>
      </c>
      <c r="O4134" t="s">
        <v>131</v>
      </c>
      <c r="P4134" t="s">
        <v>53</v>
      </c>
      <c r="Q4134" t="s">
        <v>143</v>
      </c>
      <c r="R4134">
        <v>3</v>
      </c>
      <c r="S4134">
        <v>999</v>
      </c>
      <c r="T4134">
        <v>0.1</v>
      </c>
      <c r="U4134">
        <v>2697.3</v>
      </c>
      <c r="V4134">
        <v>1560</v>
      </c>
      <c r="W4134">
        <v>1137.3</v>
      </c>
      <c r="X4134" t="s">
        <v>73</v>
      </c>
      <c r="Y4134" t="s">
        <v>68</v>
      </c>
      <c r="Z4134" t="s">
        <v>159</v>
      </c>
      <c r="AA4134" t="s">
        <v>166</v>
      </c>
      <c r="AB4134">
        <v>5</v>
      </c>
      <c r="AC4134">
        <v>60</v>
      </c>
      <c r="AD4134">
        <v>255.36</v>
      </c>
      <c r="AE4134">
        <f t="shared" si="128"/>
        <v>821.93999999999994</v>
      </c>
      <c r="AF4134" t="str">
        <f t="shared" si="129"/>
        <v>2026-06</v>
      </c>
      <c r="AG4134">
        <f>SUBTOTAL(103,A4134)</f>
        <v>1</v>
      </c>
    </row>
    <row r="4135" spans="1:33" x14ac:dyDescent="0.3">
      <c r="A4135" t="s">
        <v>6758</v>
      </c>
      <c r="B4135" s="13">
        <v>46188</v>
      </c>
      <c r="C4135">
        <v>2026</v>
      </c>
      <c r="D4135">
        <v>6</v>
      </c>
      <c r="E4135" t="s">
        <v>3813</v>
      </c>
      <c r="F4135" t="s">
        <v>3329</v>
      </c>
      <c r="G4135" t="s">
        <v>1971</v>
      </c>
      <c r="H4135" t="s">
        <v>1972</v>
      </c>
      <c r="I4135" t="s">
        <v>85</v>
      </c>
      <c r="J4135">
        <v>56</v>
      </c>
      <c r="K4135" t="s">
        <v>83</v>
      </c>
      <c r="L4135" t="s">
        <v>99</v>
      </c>
      <c r="M4135" t="s">
        <v>58</v>
      </c>
      <c r="N4135" t="s">
        <v>2603</v>
      </c>
      <c r="O4135" t="s">
        <v>122</v>
      </c>
      <c r="P4135" t="s">
        <v>48</v>
      </c>
      <c r="Q4135" t="s">
        <v>141</v>
      </c>
      <c r="R4135">
        <v>2</v>
      </c>
      <c r="S4135">
        <v>2499</v>
      </c>
      <c r="T4135">
        <v>0</v>
      </c>
      <c r="U4135">
        <v>4998</v>
      </c>
      <c r="V4135">
        <v>2900</v>
      </c>
      <c r="W4135">
        <v>2098</v>
      </c>
      <c r="X4135" t="s">
        <v>73</v>
      </c>
      <c r="Y4135" t="s">
        <v>68</v>
      </c>
      <c r="Z4135" t="s">
        <v>160</v>
      </c>
      <c r="AA4135" t="s">
        <v>171</v>
      </c>
      <c r="AB4135">
        <v>4.2</v>
      </c>
      <c r="AC4135">
        <v>80</v>
      </c>
      <c r="AD4135">
        <v>186.83</v>
      </c>
      <c r="AE4135">
        <f t="shared" si="128"/>
        <v>1831.17</v>
      </c>
      <c r="AF4135" t="str">
        <f t="shared" si="129"/>
        <v>2026-06</v>
      </c>
      <c r="AG4135">
        <f>SUBTOTAL(103,A4135)</f>
        <v>1</v>
      </c>
    </row>
    <row r="4136" spans="1:33" x14ac:dyDescent="0.3">
      <c r="A4136" t="s">
        <v>6759</v>
      </c>
      <c r="B4136" s="13">
        <v>46188</v>
      </c>
      <c r="C4136">
        <v>2026</v>
      </c>
      <c r="D4136">
        <v>6</v>
      </c>
      <c r="E4136" t="s">
        <v>3813</v>
      </c>
      <c r="F4136" t="s">
        <v>3329</v>
      </c>
      <c r="G4136" t="s">
        <v>437</v>
      </c>
      <c r="H4136" t="s">
        <v>438</v>
      </c>
      <c r="I4136" t="s">
        <v>86</v>
      </c>
      <c r="J4136">
        <v>55</v>
      </c>
      <c r="K4136" t="s">
        <v>83</v>
      </c>
      <c r="L4136" t="s">
        <v>94</v>
      </c>
      <c r="M4136" t="s">
        <v>57</v>
      </c>
      <c r="N4136" t="s">
        <v>2592</v>
      </c>
      <c r="O4136" t="s">
        <v>115</v>
      </c>
      <c r="P4136" t="s">
        <v>48</v>
      </c>
      <c r="Q4136" t="s">
        <v>137</v>
      </c>
      <c r="R4136">
        <v>3</v>
      </c>
      <c r="S4136">
        <v>12999</v>
      </c>
      <c r="T4136">
        <v>0.05</v>
      </c>
      <c r="U4136">
        <v>37047.15</v>
      </c>
      <c r="V4136">
        <v>27000</v>
      </c>
      <c r="W4136">
        <v>10047.15</v>
      </c>
      <c r="X4136" t="s">
        <v>74</v>
      </c>
      <c r="Y4136" t="s">
        <v>68</v>
      </c>
      <c r="Z4136" t="s">
        <v>162</v>
      </c>
      <c r="AA4136" t="s">
        <v>169</v>
      </c>
      <c r="AB4136">
        <v>3.9</v>
      </c>
      <c r="AC4136">
        <v>50</v>
      </c>
      <c r="AD4136">
        <v>3990.76</v>
      </c>
      <c r="AE4136">
        <f t="shared" si="128"/>
        <v>6006.3899999999994</v>
      </c>
      <c r="AF4136" t="str">
        <f t="shared" si="129"/>
        <v>2026-06</v>
      </c>
      <c r="AG4136">
        <f>SUBTOTAL(103,A4136)</f>
        <v>1</v>
      </c>
    </row>
    <row r="4137" spans="1:33" x14ac:dyDescent="0.3">
      <c r="A4137" t="s">
        <v>6760</v>
      </c>
      <c r="B4137" s="13">
        <v>46188</v>
      </c>
      <c r="C4137">
        <v>2026</v>
      </c>
      <c r="D4137">
        <v>6</v>
      </c>
      <c r="E4137" t="s">
        <v>3813</v>
      </c>
      <c r="F4137" t="s">
        <v>3329</v>
      </c>
      <c r="G4137" t="s">
        <v>251</v>
      </c>
      <c r="H4137" t="s">
        <v>252</v>
      </c>
      <c r="I4137" t="s">
        <v>85</v>
      </c>
      <c r="J4137">
        <v>53</v>
      </c>
      <c r="K4137" t="s">
        <v>83</v>
      </c>
      <c r="L4137" t="s">
        <v>94</v>
      </c>
      <c r="M4137" t="s">
        <v>57</v>
      </c>
      <c r="N4137" t="s">
        <v>2592</v>
      </c>
      <c r="O4137" t="s">
        <v>115</v>
      </c>
      <c r="P4137" t="s">
        <v>48</v>
      </c>
      <c r="Q4137" t="s">
        <v>137</v>
      </c>
      <c r="R4137">
        <v>1</v>
      </c>
      <c r="S4137">
        <v>12999</v>
      </c>
      <c r="T4137">
        <v>0.05</v>
      </c>
      <c r="U4137">
        <v>12349.05</v>
      </c>
      <c r="V4137">
        <v>9000</v>
      </c>
      <c r="W4137">
        <v>3349.05</v>
      </c>
      <c r="X4137" t="s">
        <v>75</v>
      </c>
      <c r="Y4137" t="s">
        <v>68</v>
      </c>
      <c r="Z4137" t="s">
        <v>162</v>
      </c>
      <c r="AA4137" t="s">
        <v>166</v>
      </c>
      <c r="AB4137">
        <v>4.4000000000000004</v>
      </c>
      <c r="AC4137">
        <v>40</v>
      </c>
      <c r="AD4137">
        <v>1049.19</v>
      </c>
      <c r="AE4137">
        <f t="shared" si="128"/>
        <v>2259.86</v>
      </c>
      <c r="AF4137" t="str">
        <f t="shared" si="129"/>
        <v>2026-06</v>
      </c>
      <c r="AG4137">
        <f>SUBTOTAL(103,A4137)</f>
        <v>1</v>
      </c>
    </row>
    <row r="4138" spans="1:33" x14ac:dyDescent="0.3">
      <c r="A4138" t="s">
        <v>6761</v>
      </c>
      <c r="B4138" s="13">
        <v>46188</v>
      </c>
      <c r="C4138">
        <v>2026</v>
      </c>
      <c r="D4138">
        <v>6</v>
      </c>
      <c r="E4138" t="s">
        <v>3813</v>
      </c>
      <c r="F4138" t="s">
        <v>3329</v>
      </c>
      <c r="G4138" t="s">
        <v>1777</v>
      </c>
      <c r="H4138" t="s">
        <v>1778</v>
      </c>
      <c r="I4138" t="s">
        <v>86</v>
      </c>
      <c r="J4138">
        <v>34</v>
      </c>
      <c r="K4138" t="s">
        <v>81</v>
      </c>
      <c r="L4138" t="s">
        <v>2589</v>
      </c>
      <c r="M4138" t="s">
        <v>61</v>
      </c>
      <c r="N4138" t="s">
        <v>2601</v>
      </c>
      <c r="O4138" t="s">
        <v>117</v>
      </c>
      <c r="P4138" t="s">
        <v>49</v>
      </c>
      <c r="Q4138" t="s">
        <v>139</v>
      </c>
      <c r="R4138">
        <v>1</v>
      </c>
      <c r="S4138">
        <v>6999</v>
      </c>
      <c r="T4138">
        <v>0</v>
      </c>
      <c r="U4138">
        <v>6999</v>
      </c>
      <c r="V4138">
        <v>4300</v>
      </c>
      <c r="W4138">
        <v>2699</v>
      </c>
      <c r="X4138" t="s">
        <v>73</v>
      </c>
      <c r="Y4138" t="s">
        <v>69</v>
      </c>
      <c r="Z4138" t="s">
        <v>160</v>
      </c>
      <c r="AA4138" t="s">
        <v>166</v>
      </c>
      <c r="AB4138">
        <v>5</v>
      </c>
      <c r="AC4138">
        <v>100</v>
      </c>
      <c r="AD4138">
        <v>605.34</v>
      </c>
      <c r="AE4138">
        <f t="shared" si="128"/>
        <v>1993.6599999999999</v>
      </c>
      <c r="AF4138" t="str">
        <f t="shared" si="129"/>
        <v>2026-06</v>
      </c>
      <c r="AG4138">
        <f>SUBTOTAL(103,A4138)</f>
        <v>1</v>
      </c>
    </row>
    <row r="4139" spans="1:33" x14ac:dyDescent="0.3">
      <c r="A4139" t="s">
        <v>6762</v>
      </c>
      <c r="B4139" s="13">
        <v>46188</v>
      </c>
      <c r="C4139">
        <v>2026</v>
      </c>
      <c r="D4139">
        <v>6</v>
      </c>
      <c r="E4139" t="s">
        <v>3813</v>
      </c>
      <c r="F4139" t="s">
        <v>3329</v>
      </c>
      <c r="G4139" t="s">
        <v>857</v>
      </c>
      <c r="H4139" t="s">
        <v>858</v>
      </c>
      <c r="I4139" t="s">
        <v>86</v>
      </c>
      <c r="J4139">
        <v>54</v>
      </c>
      <c r="K4139" t="s">
        <v>83</v>
      </c>
      <c r="L4139" t="s">
        <v>95</v>
      </c>
      <c r="M4139" t="s">
        <v>56</v>
      </c>
      <c r="N4139" t="s">
        <v>2626</v>
      </c>
      <c r="O4139" t="s">
        <v>125</v>
      </c>
      <c r="P4139" t="s">
        <v>48</v>
      </c>
      <c r="Q4139" t="s">
        <v>141</v>
      </c>
      <c r="R4139">
        <v>2</v>
      </c>
      <c r="S4139">
        <v>1999</v>
      </c>
      <c r="T4139">
        <v>0.1</v>
      </c>
      <c r="U4139">
        <v>3598.2</v>
      </c>
      <c r="V4139">
        <v>2300</v>
      </c>
      <c r="W4139">
        <v>1298.2</v>
      </c>
      <c r="X4139" t="s">
        <v>73</v>
      </c>
      <c r="Y4139" t="s">
        <v>68</v>
      </c>
      <c r="Z4139" t="s">
        <v>160</v>
      </c>
      <c r="AA4139" t="s">
        <v>167</v>
      </c>
      <c r="AB4139">
        <v>4.5</v>
      </c>
      <c r="AC4139">
        <v>50</v>
      </c>
      <c r="AD4139">
        <v>366.02</v>
      </c>
      <c r="AE4139">
        <f t="shared" si="128"/>
        <v>882.18000000000006</v>
      </c>
      <c r="AF4139" t="str">
        <f t="shared" si="129"/>
        <v>2026-06</v>
      </c>
      <c r="AG4139">
        <f>SUBTOTAL(103,A4139)</f>
        <v>1</v>
      </c>
    </row>
    <row r="4140" spans="1:33" x14ac:dyDescent="0.3">
      <c r="A4140" t="s">
        <v>6763</v>
      </c>
      <c r="B4140" s="13">
        <v>46188</v>
      </c>
      <c r="C4140">
        <v>2026</v>
      </c>
      <c r="D4140">
        <v>6</v>
      </c>
      <c r="E4140" t="s">
        <v>3813</v>
      </c>
      <c r="F4140" t="s">
        <v>3329</v>
      </c>
      <c r="G4140" t="s">
        <v>883</v>
      </c>
      <c r="H4140" t="s">
        <v>884</v>
      </c>
      <c r="I4140" t="s">
        <v>85</v>
      </c>
      <c r="J4140">
        <v>57</v>
      </c>
      <c r="K4140" t="s">
        <v>83</v>
      </c>
      <c r="L4140" t="s">
        <v>92</v>
      </c>
      <c r="M4140" t="s">
        <v>59</v>
      </c>
      <c r="N4140" t="s">
        <v>2592</v>
      </c>
      <c r="O4140" t="s">
        <v>115</v>
      </c>
      <c r="P4140" t="s">
        <v>48</v>
      </c>
      <c r="Q4140" t="s">
        <v>137</v>
      </c>
      <c r="R4140">
        <v>1</v>
      </c>
      <c r="S4140">
        <v>12999</v>
      </c>
      <c r="T4140">
        <v>0.05</v>
      </c>
      <c r="U4140">
        <v>12349.05</v>
      </c>
      <c r="V4140">
        <v>9000</v>
      </c>
      <c r="W4140">
        <v>3349.05</v>
      </c>
      <c r="X4140" t="s">
        <v>76</v>
      </c>
      <c r="Y4140" t="s">
        <v>68</v>
      </c>
      <c r="Z4140" t="s">
        <v>159</v>
      </c>
      <c r="AA4140" t="s">
        <v>167</v>
      </c>
      <c r="AB4140">
        <v>3.1</v>
      </c>
      <c r="AC4140">
        <v>40</v>
      </c>
      <c r="AD4140">
        <v>791.62</v>
      </c>
      <c r="AE4140">
        <f t="shared" si="128"/>
        <v>2517.4300000000003</v>
      </c>
      <c r="AF4140" t="str">
        <f t="shared" si="129"/>
        <v>2026-06</v>
      </c>
      <c r="AG4140">
        <f>SUBTOTAL(103,A4140)</f>
        <v>1</v>
      </c>
    </row>
    <row r="4141" spans="1:33" x14ac:dyDescent="0.3">
      <c r="A4141" t="s">
        <v>6764</v>
      </c>
      <c r="B4141" s="13">
        <v>46189</v>
      </c>
      <c r="C4141">
        <v>2026</v>
      </c>
      <c r="D4141">
        <v>6</v>
      </c>
      <c r="E4141" t="s">
        <v>3813</v>
      </c>
      <c r="F4141" t="s">
        <v>3329</v>
      </c>
      <c r="G4141" t="s">
        <v>215</v>
      </c>
      <c r="H4141" t="s">
        <v>216</v>
      </c>
      <c r="I4141" t="s">
        <v>85</v>
      </c>
      <c r="J4141">
        <v>33</v>
      </c>
      <c r="K4141" t="s">
        <v>81</v>
      </c>
      <c r="L4141" t="s">
        <v>2634</v>
      </c>
      <c r="M4141" t="s">
        <v>56</v>
      </c>
      <c r="N4141" t="s">
        <v>2577</v>
      </c>
      <c r="O4141" t="s">
        <v>129</v>
      </c>
      <c r="P4141" t="s">
        <v>49</v>
      </c>
      <c r="Q4141" t="s">
        <v>149</v>
      </c>
      <c r="R4141">
        <v>2</v>
      </c>
      <c r="S4141">
        <v>1299</v>
      </c>
      <c r="T4141">
        <v>0.2</v>
      </c>
      <c r="U4141">
        <v>2078.4</v>
      </c>
      <c r="V4141">
        <v>1300</v>
      </c>
      <c r="W4141">
        <v>778.4</v>
      </c>
      <c r="X4141" t="s">
        <v>74</v>
      </c>
      <c r="Y4141" t="s">
        <v>68</v>
      </c>
      <c r="Z4141" t="s">
        <v>158</v>
      </c>
      <c r="AA4141" t="s">
        <v>170</v>
      </c>
      <c r="AB4141">
        <v>4.2</v>
      </c>
      <c r="AC4141">
        <v>40</v>
      </c>
      <c r="AD4141">
        <v>163.05000000000001</v>
      </c>
      <c r="AE4141">
        <f t="shared" si="128"/>
        <v>575.34999999999991</v>
      </c>
      <c r="AF4141" t="str">
        <f t="shared" si="129"/>
        <v>2026-06</v>
      </c>
      <c r="AG4141">
        <f>SUBTOTAL(103,A4141)</f>
        <v>1</v>
      </c>
    </row>
    <row r="4142" spans="1:33" x14ac:dyDescent="0.3">
      <c r="A4142" t="s">
        <v>6765</v>
      </c>
      <c r="B4142" s="13">
        <v>46189</v>
      </c>
      <c r="C4142">
        <v>2026</v>
      </c>
      <c r="D4142">
        <v>6</v>
      </c>
      <c r="E4142" t="s">
        <v>3813</v>
      </c>
      <c r="F4142" t="s">
        <v>3329</v>
      </c>
      <c r="G4142" t="s">
        <v>827</v>
      </c>
      <c r="H4142" t="s">
        <v>828</v>
      </c>
      <c r="I4142" t="s">
        <v>85</v>
      </c>
      <c r="J4142">
        <v>30</v>
      </c>
      <c r="K4142" t="s">
        <v>81</v>
      </c>
      <c r="L4142" t="s">
        <v>99</v>
      </c>
      <c r="M4142" t="s">
        <v>58</v>
      </c>
      <c r="N4142" t="s">
        <v>2574</v>
      </c>
      <c r="O4142" t="s">
        <v>130</v>
      </c>
      <c r="P4142" t="s">
        <v>50</v>
      </c>
      <c r="Q4142" t="s">
        <v>53</v>
      </c>
      <c r="R4142">
        <v>1</v>
      </c>
      <c r="S4142">
        <v>1199</v>
      </c>
      <c r="T4142">
        <v>0.1</v>
      </c>
      <c r="U4142">
        <v>1079.0999999999999</v>
      </c>
      <c r="V4142">
        <v>550</v>
      </c>
      <c r="W4142">
        <v>529.1</v>
      </c>
      <c r="X4142" t="s">
        <v>73</v>
      </c>
      <c r="Y4142" t="s">
        <v>68</v>
      </c>
      <c r="Z4142" t="s">
        <v>162</v>
      </c>
      <c r="AA4142" t="s">
        <v>166</v>
      </c>
      <c r="AB4142">
        <v>4.4000000000000004</v>
      </c>
      <c r="AC4142">
        <v>40</v>
      </c>
      <c r="AD4142">
        <v>24.05</v>
      </c>
      <c r="AE4142">
        <f t="shared" si="128"/>
        <v>465.05</v>
      </c>
      <c r="AF4142" t="str">
        <f t="shared" si="129"/>
        <v>2026-06</v>
      </c>
      <c r="AG4142">
        <f>SUBTOTAL(103,A4142)</f>
        <v>1</v>
      </c>
    </row>
    <row r="4143" spans="1:33" x14ac:dyDescent="0.3">
      <c r="A4143" t="s">
        <v>6766</v>
      </c>
      <c r="B4143" s="13">
        <v>46189</v>
      </c>
      <c r="C4143">
        <v>2026</v>
      </c>
      <c r="D4143">
        <v>6</v>
      </c>
      <c r="E4143" t="s">
        <v>3813</v>
      </c>
      <c r="F4143" t="s">
        <v>3329</v>
      </c>
      <c r="G4143" t="s">
        <v>1645</v>
      </c>
      <c r="H4143" t="s">
        <v>1646</v>
      </c>
      <c r="I4143" t="s">
        <v>86</v>
      </c>
      <c r="J4143">
        <v>56</v>
      </c>
      <c r="K4143" t="s">
        <v>83</v>
      </c>
      <c r="L4143" t="s">
        <v>94</v>
      </c>
      <c r="M4143" t="s">
        <v>57</v>
      </c>
      <c r="N4143" t="s">
        <v>2603</v>
      </c>
      <c r="O4143" t="s">
        <v>122</v>
      </c>
      <c r="P4143" t="s">
        <v>48</v>
      </c>
      <c r="Q4143" t="s">
        <v>141</v>
      </c>
      <c r="R4143">
        <v>1</v>
      </c>
      <c r="S4143">
        <v>2499</v>
      </c>
      <c r="T4143">
        <v>0.2</v>
      </c>
      <c r="U4143">
        <v>1999.2</v>
      </c>
      <c r="V4143">
        <v>1450</v>
      </c>
      <c r="W4143">
        <v>549.20000000000005</v>
      </c>
      <c r="X4143" t="s">
        <v>74</v>
      </c>
      <c r="Y4143" t="s">
        <v>68</v>
      </c>
      <c r="Z4143" t="s">
        <v>159</v>
      </c>
      <c r="AA4143" t="s">
        <v>170</v>
      </c>
      <c r="AB4143">
        <v>3.8</v>
      </c>
      <c r="AC4143">
        <v>60</v>
      </c>
      <c r="AD4143">
        <v>68.64</v>
      </c>
      <c r="AE4143">
        <f t="shared" si="128"/>
        <v>420.56000000000006</v>
      </c>
      <c r="AF4143" t="str">
        <f t="shared" si="129"/>
        <v>2026-06</v>
      </c>
      <c r="AG4143">
        <f>SUBTOTAL(103,A4143)</f>
        <v>1</v>
      </c>
    </row>
    <row r="4144" spans="1:33" x14ac:dyDescent="0.3">
      <c r="A4144" t="s">
        <v>6767</v>
      </c>
      <c r="B4144" s="13">
        <v>46189</v>
      </c>
      <c r="C4144">
        <v>2026</v>
      </c>
      <c r="D4144">
        <v>6</v>
      </c>
      <c r="E4144" t="s">
        <v>3813</v>
      </c>
      <c r="F4144" t="s">
        <v>3329</v>
      </c>
      <c r="G4144" t="s">
        <v>2115</v>
      </c>
      <c r="H4144" t="s">
        <v>2116</v>
      </c>
      <c r="I4144" t="s">
        <v>85</v>
      </c>
      <c r="J4144">
        <v>19</v>
      </c>
      <c r="K4144" t="s">
        <v>80</v>
      </c>
      <c r="L4144" t="s">
        <v>2579</v>
      </c>
      <c r="M4144" t="s">
        <v>56</v>
      </c>
      <c r="N4144" t="s">
        <v>2665</v>
      </c>
      <c r="O4144" t="s">
        <v>128</v>
      </c>
      <c r="P4144" t="s">
        <v>53</v>
      </c>
      <c r="Q4144" t="s">
        <v>143</v>
      </c>
      <c r="R4144">
        <v>2</v>
      </c>
      <c r="S4144">
        <v>1499</v>
      </c>
      <c r="T4144">
        <v>0.1</v>
      </c>
      <c r="U4144">
        <v>2698.2</v>
      </c>
      <c r="V4144">
        <v>1600</v>
      </c>
      <c r="W4144">
        <v>1098.2</v>
      </c>
      <c r="X4144" t="s">
        <v>73</v>
      </c>
      <c r="Y4144" t="s">
        <v>68</v>
      </c>
      <c r="Z4144" t="s">
        <v>163</v>
      </c>
      <c r="AA4144" t="s">
        <v>169</v>
      </c>
      <c r="AB4144">
        <v>2.7</v>
      </c>
      <c r="AC4144">
        <v>100</v>
      </c>
      <c r="AD4144">
        <v>259.45</v>
      </c>
      <c r="AE4144">
        <f t="shared" si="128"/>
        <v>738.75</v>
      </c>
      <c r="AF4144" t="str">
        <f t="shared" si="129"/>
        <v>2026-06</v>
      </c>
      <c r="AG4144">
        <f>SUBTOTAL(103,A4144)</f>
        <v>1</v>
      </c>
    </row>
    <row r="4145" spans="1:33" x14ac:dyDescent="0.3">
      <c r="A4145" t="s">
        <v>6768</v>
      </c>
      <c r="B4145" s="13">
        <v>46189</v>
      </c>
      <c r="C4145">
        <v>2026</v>
      </c>
      <c r="D4145">
        <v>6</v>
      </c>
      <c r="E4145" t="s">
        <v>3813</v>
      </c>
      <c r="F4145" t="s">
        <v>3329</v>
      </c>
      <c r="G4145" t="s">
        <v>1903</v>
      </c>
      <c r="H4145" t="s">
        <v>1904</v>
      </c>
      <c r="I4145" t="s">
        <v>85</v>
      </c>
      <c r="J4145">
        <v>20</v>
      </c>
      <c r="K4145" t="s">
        <v>80</v>
      </c>
      <c r="L4145" t="s">
        <v>96</v>
      </c>
      <c r="M4145" t="s">
        <v>55</v>
      </c>
      <c r="N4145" t="s">
        <v>2644</v>
      </c>
      <c r="O4145" t="s">
        <v>126</v>
      </c>
      <c r="P4145" t="s">
        <v>50</v>
      </c>
      <c r="Q4145" t="s">
        <v>145</v>
      </c>
      <c r="R4145">
        <v>2</v>
      </c>
      <c r="S4145">
        <v>1799</v>
      </c>
      <c r="T4145">
        <v>0</v>
      </c>
      <c r="U4145">
        <v>3598</v>
      </c>
      <c r="V4145">
        <v>1900</v>
      </c>
      <c r="W4145">
        <v>1698</v>
      </c>
      <c r="X4145" t="s">
        <v>73</v>
      </c>
      <c r="Y4145" t="s">
        <v>68</v>
      </c>
      <c r="Z4145" t="s">
        <v>160</v>
      </c>
      <c r="AA4145" t="s">
        <v>166</v>
      </c>
      <c r="AB4145">
        <v>3.6</v>
      </c>
      <c r="AC4145">
        <v>50</v>
      </c>
      <c r="AD4145">
        <v>140.44</v>
      </c>
      <c r="AE4145">
        <f t="shared" si="128"/>
        <v>1507.56</v>
      </c>
      <c r="AF4145" t="str">
        <f t="shared" si="129"/>
        <v>2026-06</v>
      </c>
      <c r="AG4145">
        <f>SUBTOTAL(103,A4145)</f>
        <v>1</v>
      </c>
    </row>
    <row r="4146" spans="1:33" x14ac:dyDescent="0.3">
      <c r="A4146" t="s">
        <v>6769</v>
      </c>
      <c r="B4146" s="13">
        <v>46189</v>
      </c>
      <c r="C4146">
        <v>2026</v>
      </c>
      <c r="D4146">
        <v>6</v>
      </c>
      <c r="E4146" t="s">
        <v>3813</v>
      </c>
      <c r="F4146" t="s">
        <v>3329</v>
      </c>
      <c r="G4146" t="s">
        <v>1579</v>
      </c>
      <c r="H4146" t="s">
        <v>1580</v>
      </c>
      <c r="I4146" t="s">
        <v>86</v>
      </c>
      <c r="J4146">
        <v>50</v>
      </c>
      <c r="K4146" t="s">
        <v>83</v>
      </c>
      <c r="L4146" t="s">
        <v>97</v>
      </c>
      <c r="M4146" t="s">
        <v>57</v>
      </c>
      <c r="N4146" t="s">
        <v>2582</v>
      </c>
      <c r="O4146" t="s">
        <v>119</v>
      </c>
      <c r="P4146" t="s">
        <v>49</v>
      </c>
      <c r="Q4146" t="s">
        <v>140</v>
      </c>
      <c r="R4146">
        <v>1</v>
      </c>
      <c r="S4146">
        <v>3499</v>
      </c>
      <c r="T4146">
        <v>0</v>
      </c>
      <c r="U4146">
        <v>3499</v>
      </c>
      <c r="V4146">
        <v>2100</v>
      </c>
      <c r="W4146">
        <v>1399</v>
      </c>
      <c r="X4146" t="s">
        <v>73</v>
      </c>
      <c r="Y4146" t="s">
        <v>68</v>
      </c>
      <c r="Z4146" t="s">
        <v>160</v>
      </c>
      <c r="AA4146" t="s">
        <v>170</v>
      </c>
      <c r="AB4146">
        <v>3.4</v>
      </c>
      <c r="AC4146">
        <v>60</v>
      </c>
      <c r="AD4146">
        <v>102.08</v>
      </c>
      <c r="AE4146">
        <f t="shared" si="128"/>
        <v>1236.92</v>
      </c>
      <c r="AF4146" t="str">
        <f t="shared" si="129"/>
        <v>2026-06</v>
      </c>
      <c r="AG4146">
        <f>SUBTOTAL(103,A4146)</f>
        <v>1</v>
      </c>
    </row>
    <row r="4147" spans="1:33" x14ac:dyDescent="0.3">
      <c r="A4147" t="s">
        <v>6770</v>
      </c>
      <c r="B4147" s="13">
        <v>46190</v>
      </c>
      <c r="C4147">
        <v>2026</v>
      </c>
      <c r="D4147">
        <v>6</v>
      </c>
      <c r="E4147" t="s">
        <v>3813</v>
      </c>
      <c r="F4147" t="s">
        <v>3329</v>
      </c>
      <c r="G4147" t="s">
        <v>1131</v>
      </c>
      <c r="H4147" t="s">
        <v>1132</v>
      </c>
      <c r="I4147" t="s">
        <v>86</v>
      </c>
      <c r="J4147">
        <v>55</v>
      </c>
      <c r="K4147" t="s">
        <v>83</v>
      </c>
      <c r="L4147" t="s">
        <v>96</v>
      </c>
      <c r="M4147" t="s">
        <v>55</v>
      </c>
      <c r="N4147" t="s">
        <v>2603</v>
      </c>
      <c r="O4147" t="s">
        <v>122</v>
      </c>
      <c r="P4147" t="s">
        <v>48</v>
      </c>
      <c r="Q4147" t="s">
        <v>141</v>
      </c>
      <c r="R4147">
        <v>2</v>
      </c>
      <c r="S4147">
        <v>2499</v>
      </c>
      <c r="T4147">
        <v>0</v>
      </c>
      <c r="U4147">
        <v>4998</v>
      </c>
      <c r="V4147">
        <v>2900</v>
      </c>
      <c r="W4147">
        <v>2098</v>
      </c>
      <c r="X4147" t="s">
        <v>75</v>
      </c>
      <c r="Y4147" t="s">
        <v>68</v>
      </c>
      <c r="Z4147" t="s">
        <v>158</v>
      </c>
      <c r="AA4147" t="s">
        <v>167</v>
      </c>
      <c r="AB4147">
        <v>4.5999999999999996</v>
      </c>
      <c r="AC4147">
        <v>100</v>
      </c>
      <c r="AD4147">
        <v>568.03</v>
      </c>
      <c r="AE4147">
        <f t="shared" si="128"/>
        <v>1429.97</v>
      </c>
      <c r="AF4147" t="str">
        <f t="shared" si="129"/>
        <v>2026-06</v>
      </c>
      <c r="AG4147">
        <f>SUBTOTAL(103,A4147)</f>
        <v>1</v>
      </c>
    </row>
    <row r="4148" spans="1:33" x14ac:dyDescent="0.3">
      <c r="A4148" t="s">
        <v>6771</v>
      </c>
      <c r="B4148" s="13">
        <v>46190</v>
      </c>
      <c r="C4148">
        <v>2026</v>
      </c>
      <c r="D4148">
        <v>6</v>
      </c>
      <c r="E4148" t="s">
        <v>3813</v>
      </c>
      <c r="F4148" t="s">
        <v>3329</v>
      </c>
      <c r="G4148" t="s">
        <v>919</v>
      </c>
      <c r="H4148" t="s">
        <v>920</v>
      </c>
      <c r="I4148" t="s">
        <v>86</v>
      </c>
      <c r="J4148">
        <v>54</v>
      </c>
      <c r="K4148" t="s">
        <v>83</v>
      </c>
      <c r="L4148" t="s">
        <v>2576</v>
      </c>
      <c r="M4148" t="s">
        <v>60</v>
      </c>
      <c r="N4148" t="s">
        <v>2582</v>
      </c>
      <c r="O4148" t="s">
        <v>119</v>
      </c>
      <c r="P4148" t="s">
        <v>49</v>
      </c>
      <c r="Q4148" t="s">
        <v>140</v>
      </c>
      <c r="R4148">
        <v>1</v>
      </c>
      <c r="S4148">
        <v>3499</v>
      </c>
      <c r="T4148">
        <v>0.05</v>
      </c>
      <c r="U4148">
        <v>3324.05</v>
      </c>
      <c r="V4148">
        <v>2100</v>
      </c>
      <c r="W4148">
        <v>1224.05</v>
      </c>
      <c r="X4148" t="s">
        <v>75</v>
      </c>
      <c r="Y4148" t="s">
        <v>68</v>
      </c>
      <c r="Z4148" t="s">
        <v>159</v>
      </c>
      <c r="AA4148" t="s">
        <v>170</v>
      </c>
      <c r="AB4148">
        <v>4.3</v>
      </c>
      <c r="AC4148">
        <v>60</v>
      </c>
      <c r="AD4148">
        <v>260.72000000000003</v>
      </c>
      <c r="AE4148">
        <f t="shared" si="128"/>
        <v>903.32999999999993</v>
      </c>
      <c r="AF4148" t="str">
        <f t="shared" si="129"/>
        <v>2026-06</v>
      </c>
      <c r="AG4148">
        <f>SUBTOTAL(103,A4148)</f>
        <v>1</v>
      </c>
    </row>
    <row r="4149" spans="1:33" x14ac:dyDescent="0.3">
      <c r="A4149" t="s">
        <v>6772</v>
      </c>
      <c r="B4149" s="13">
        <v>46190</v>
      </c>
      <c r="C4149">
        <v>2026</v>
      </c>
      <c r="D4149">
        <v>6</v>
      </c>
      <c r="E4149" t="s">
        <v>3813</v>
      </c>
      <c r="F4149" t="s">
        <v>3329</v>
      </c>
      <c r="G4149" t="s">
        <v>1553</v>
      </c>
      <c r="H4149" t="s">
        <v>1554</v>
      </c>
      <c r="I4149" t="s">
        <v>86</v>
      </c>
      <c r="J4149">
        <v>29</v>
      </c>
      <c r="K4149" t="s">
        <v>81</v>
      </c>
      <c r="L4149" t="s">
        <v>93</v>
      </c>
      <c r="M4149" t="s">
        <v>55</v>
      </c>
      <c r="N4149" t="s">
        <v>2577</v>
      </c>
      <c r="O4149" t="s">
        <v>129</v>
      </c>
      <c r="P4149" t="s">
        <v>49</v>
      </c>
      <c r="Q4149" t="s">
        <v>149</v>
      </c>
      <c r="R4149">
        <v>3</v>
      </c>
      <c r="S4149">
        <v>1299</v>
      </c>
      <c r="T4149">
        <v>0.1</v>
      </c>
      <c r="U4149">
        <v>3507.3</v>
      </c>
      <c r="V4149">
        <v>1950</v>
      </c>
      <c r="W4149">
        <v>1557.3</v>
      </c>
      <c r="X4149" t="s">
        <v>73</v>
      </c>
      <c r="Y4149" t="s">
        <v>68</v>
      </c>
      <c r="Z4149" t="s">
        <v>161</v>
      </c>
      <c r="AA4149" t="s">
        <v>170</v>
      </c>
      <c r="AB4149">
        <v>2.9</v>
      </c>
      <c r="AC4149">
        <v>40</v>
      </c>
      <c r="AD4149">
        <v>117.6</v>
      </c>
      <c r="AE4149">
        <f t="shared" si="128"/>
        <v>1399.7</v>
      </c>
      <c r="AF4149" t="str">
        <f t="shared" si="129"/>
        <v>2026-06</v>
      </c>
      <c r="AG4149">
        <f>SUBTOTAL(103,A4149)</f>
        <v>1</v>
      </c>
    </row>
    <row r="4150" spans="1:33" x14ac:dyDescent="0.3">
      <c r="A4150" t="s">
        <v>6773</v>
      </c>
      <c r="B4150" s="13">
        <v>46190</v>
      </c>
      <c r="C4150">
        <v>2026</v>
      </c>
      <c r="D4150">
        <v>6</v>
      </c>
      <c r="E4150" t="s">
        <v>3813</v>
      </c>
      <c r="F4150" t="s">
        <v>3329</v>
      </c>
      <c r="G4150" t="s">
        <v>1265</v>
      </c>
      <c r="H4150" t="s">
        <v>1266</v>
      </c>
      <c r="I4150" t="s">
        <v>85</v>
      </c>
      <c r="J4150">
        <v>27</v>
      </c>
      <c r="K4150" t="s">
        <v>81</v>
      </c>
      <c r="L4150" t="s">
        <v>2637</v>
      </c>
      <c r="M4150" t="s">
        <v>64</v>
      </c>
      <c r="N4150" t="s">
        <v>2577</v>
      </c>
      <c r="O4150" t="s">
        <v>129</v>
      </c>
      <c r="P4150" t="s">
        <v>49</v>
      </c>
      <c r="Q4150" t="s">
        <v>149</v>
      </c>
      <c r="R4150">
        <v>4</v>
      </c>
      <c r="S4150">
        <v>1299</v>
      </c>
      <c r="T4150">
        <v>0</v>
      </c>
      <c r="U4150">
        <v>5196</v>
      </c>
      <c r="V4150">
        <v>2600</v>
      </c>
      <c r="W4150">
        <v>2596</v>
      </c>
      <c r="X4150" t="s">
        <v>73</v>
      </c>
      <c r="Y4150" t="s">
        <v>68</v>
      </c>
      <c r="Z4150" t="s">
        <v>162</v>
      </c>
      <c r="AA4150" t="s">
        <v>170</v>
      </c>
      <c r="AB4150">
        <v>2.2000000000000002</v>
      </c>
      <c r="AC4150">
        <v>60</v>
      </c>
      <c r="AD4150">
        <v>274.22000000000003</v>
      </c>
      <c r="AE4150">
        <f t="shared" si="128"/>
        <v>2261.7799999999997</v>
      </c>
      <c r="AF4150" t="str">
        <f t="shared" si="129"/>
        <v>2026-06</v>
      </c>
      <c r="AG4150">
        <f>SUBTOTAL(103,A4150)</f>
        <v>1</v>
      </c>
    </row>
    <row r="4151" spans="1:33" x14ac:dyDescent="0.3">
      <c r="A4151" t="s">
        <v>6774</v>
      </c>
      <c r="B4151" s="13">
        <v>46190</v>
      </c>
      <c r="C4151">
        <v>2026</v>
      </c>
      <c r="D4151">
        <v>6</v>
      </c>
      <c r="E4151" t="s">
        <v>3813</v>
      </c>
      <c r="F4151" t="s">
        <v>3329</v>
      </c>
      <c r="G4151" t="s">
        <v>1607</v>
      </c>
      <c r="H4151" t="s">
        <v>1608</v>
      </c>
      <c r="I4151" t="s">
        <v>86</v>
      </c>
      <c r="J4151">
        <v>52</v>
      </c>
      <c r="K4151" t="s">
        <v>83</v>
      </c>
      <c r="L4151" t="s">
        <v>91</v>
      </c>
      <c r="M4151" t="s">
        <v>55</v>
      </c>
      <c r="N4151" t="s">
        <v>2587</v>
      </c>
      <c r="O4151" t="s">
        <v>116</v>
      </c>
      <c r="P4151" t="s">
        <v>48</v>
      </c>
      <c r="Q4151" t="s">
        <v>138</v>
      </c>
      <c r="R4151">
        <v>1</v>
      </c>
      <c r="S4151">
        <v>14999</v>
      </c>
      <c r="T4151">
        <v>0.1</v>
      </c>
      <c r="U4151">
        <v>13499.1</v>
      </c>
      <c r="V4151">
        <v>11200</v>
      </c>
      <c r="W4151">
        <v>2299.1</v>
      </c>
      <c r="X4151" t="s">
        <v>75</v>
      </c>
      <c r="Y4151" t="s">
        <v>70</v>
      </c>
      <c r="Z4151" t="s">
        <v>160</v>
      </c>
      <c r="AA4151" t="s">
        <v>170</v>
      </c>
      <c r="AB4151">
        <v>4.5999999999999996</v>
      </c>
      <c r="AC4151">
        <v>50</v>
      </c>
      <c r="AD4151">
        <v>1130.52</v>
      </c>
      <c r="AE4151">
        <f t="shared" si="128"/>
        <v>1118.58</v>
      </c>
      <c r="AF4151" t="str">
        <f t="shared" si="129"/>
        <v>2026-06</v>
      </c>
      <c r="AG4151">
        <f>SUBTOTAL(103,A4151)</f>
        <v>1</v>
      </c>
    </row>
    <row r="4152" spans="1:33" x14ac:dyDescent="0.3">
      <c r="A4152" t="s">
        <v>6775</v>
      </c>
      <c r="B4152" s="13">
        <v>46190</v>
      </c>
      <c r="C4152">
        <v>2026</v>
      </c>
      <c r="D4152">
        <v>6</v>
      </c>
      <c r="E4152" t="s">
        <v>3813</v>
      </c>
      <c r="F4152" t="s">
        <v>3329</v>
      </c>
      <c r="G4152" t="s">
        <v>855</v>
      </c>
      <c r="H4152" t="s">
        <v>856</v>
      </c>
      <c r="I4152" t="s">
        <v>86</v>
      </c>
      <c r="J4152">
        <v>40</v>
      </c>
      <c r="K4152" t="s">
        <v>82</v>
      </c>
      <c r="L4152" t="s">
        <v>2589</v>
      </c>
      <c r="M4152" t="s">
        <v>61</v>
      </c>
      <c r="N4152" t="s">
        <v>2653</v>
      </c>
      <c r="O4152" t="s">
        <v>132</v>
      </c>
      <c r="P4152" t="s">
        <v>52</v>
      </c>
      <c r="Q4152" t="s">
        <v>150</v>
      </c>
      <c r="R4152">
        <v>3</v>
      </c>
      <c r="S4152">
        <v>899</v>
      </c>
      <c r="T4152">
        <v>0</v>
      </c>
      <c r="U4152">
        <v>2697</v>
      </c>
      <c r="V4152">
        <v>1260</v>
      </c>
      <c r="W4152">
        <v>1437</v>
      </c>
      <c r="X4152" t="s">
        <v>73</v>
      </c>
      <c r="Y4152" t="s">
        <v>68</v>
      </c>
      <c r="Z4152" t="s">
        <v>162</v>
      </c>
      <c r="AA4152" t="s">
        <v>166</v>
      </c>
      <c r="AB4152">
        <v>4.3</v>
      </c>
      <c r="AC4152">
        <v>50</v>
      </c>
      <c r="AD4152">
        <v>246.4</v>
      </c>
      <c r="AE4152">
        <f t="shared" si="128"/>
        <v>1140.5999999999999</v>
      </c>
      <c r="AF4152" t="str">
        <f t="shared" si="129"/>
        <v>2026-06</v>
      </c>
      <c r="AG4152">
        <f>SUBTOTAL(103,A4152)</f>
        <v>1</v>
      </c>
    </row>
    <row r="4153" spans="1:33" x14ac:dyDescent="0.3">
      <c r="A4153" t="s">
        <v>6776</v>
      </c>
      <c r="B4153" s="13">
        <v>46190</v>
      </c>
      <c r="C4153">
        <v>2026</v>
      </c>
      <c r="D4153">
        <v>6</v>
      </c>
      <c r="E4153" t="s">
        <v>3813</v>
      </c>
      <c r="F4153" t="s">
        <v>3329</v>
      </c>
      <c r="G4153" t="s">
        <v>883</v>
      </c>
      <c r="H4153" t="s">
        <v>884</v>
      </c>
      <c r="I4153" t="s">
        <v>85</v>
      </c>
      <c r="J4153">
        <v>57</v>
      </c>
      <c r="K4153" t="s">
        <v>83</v>
      </c>
      <c r="L4153" t="s">
        <v>92</v>
      </c>
      <c r="M4153" t="s">
        <v>59</v>
      </c>
      <c r="N4153" t="s">
        <v>2587</v>
      </c>
      <c r="O4153" t="s">
        <v>116</v>
      </c>
      <c r="P4153" t="s">
        <v>48</v>
      </c>
      <c r="Q4153" t="s">
        <v>138</v>
      </c>
      <c r="R4153">
        <v>1</v>
      </c>
      <c r="S4153">
        <v>14999</v>
      </c>
      <c r="T4153">
        <v>0</v>
      </c>
      <c r="U4153">
        <v>14999</v>
      </c>
      <c r="V4153">
        <v>11200</v>
      </c>
      <c r="W4153">
        <v>3799</v>
      </c>
      <c r="X4153" t="s">
        <v>76</v>
      </c>
      <c r="Y4153" t="s">
        <v>68</v>
      </c>
      <c r="Z4153" t="s">
        <v>163</v>
      </c>
      <c r="AA4153" t="s">
        <v>166</v>
      </c>
      <c r="AB4153">
        <v>4.4000000000000004</v>
      </c>
      <c r="AC4153">
        <v>40</v>
      </c>
      <c r="AD4153">
        <v>320.23</v>
      </c>
      <c r="AE4153">
        <f t="shared" si="128"/>
        <v>3438.77</v>
      </c>
      <c r="AF4153" t="str">
        <f t="shared" si="129"/>
        <v>2026-06</v>
      </c>
      <c r="AG4153">
        <f>SUBTOTAL(103,A4153)</f>
        <v>1</v>
      </c>
    </row>
    <row r="4154" spans="1:33" x14ac:dyDescent="0.3">
      <c r="A4154" t="s">
        <v>6777</v>
      </c>
      <c r="B4154" s="13">
        <v>46190</v>
      </c>
      <c r="C4154">
        <v>2026</v>
      </c>
      <c r="D4154">
        <v>6</v>
      </c>
      <c r="E4154" t="s">
        <v>3813</v>
      </c>
      <c r="F4154" t="s">
        <v>3329</v>
      </c>
      <c r="G4154" t="s">
        <v>1523</v>
      </c>
      <c r="H4154" t="s">
        <v>1524</v>
      </c>
      <c r="I4154" t="s">
        <v>86</v>
      </c>
      <c r="J4154">
        <v>38</v>
      </c>
      <c r="K4154" t="s">
        <v>82</v>
      </c>
      <c r="L4154" t="s">
        <v>2616</v>
      </c>
      <c r="M4154" t="s">
        <v>62</v>
      </c>
      <c r="N4154" t="s">
        <v>2603</v>
      </c>
      <c r="O4154" t="s">
        <v>122</v>
      </c>
      <c r="P4154" t="s">
        <v>48</v>
      </c>
      <c r="Q4154" t="s">
        <v>141</v>
      </c>
      <c r="R4154">
        <v>2</v>
      </c>
      <c r="S4154">
        <v>2499</v>
      </c>
      <c r="T4154">
        <v>0.05</v>
      </c>
      <c r="U4154">
        <v>4748.1000000000004</v>
      </c>
      <c r="V4154">
        <v>2900</v>
      </c>
      <c r="W4154">
        <v>1848.1</v>
      </c>
      <c r="X4154" t="s">
        <v>77</v>
      </c>
      <c r="Y4154" t="s">
        <v>68</v>
      </c>
      <c r="Z4154" t="s">
        <v>161</v>
      </c>
      <c r="AA4154" t="s">
        <v>166</v>
      </c>
      <c r="AB4154">
        <v>3.9</v>
      </c>
      <c r="AC4154">
        <v>60</v>
      </c>
      <c r="AD4154">
        <v>286.89999999999998</v>
      </c>
      <c r="AE4154">
        <f t="shared" si="128"/>
        <v>1501.1999999999998</v>
      </c>
      <c r="AF4154" t="str">
        <f t="shared" si="129"/>
        <v>2026-06</v>
      </c>
      <c r="AG4154">
        <f>SUBTOTAL(103,A4154)</f>
        <v>1</v>
      </c>
    </row>
    <row r="4155" spans="1:33" x14ac:dyDescent="0.3">
      <c r="A4155" t="s">
        <v>6778</v>
      </c>
      <c r="B4155" s="13">
        <v>46190</v>
      </c>
      <c r="C4155">
        <v>2026</v>
      </c>
      <c r="D4155">
        <v>6</v>
      </c>
      <c r="E4155" t="s">
        <v>3813</v>
      </c>
      <c r="F4155" t="s">
        <v>3329</v>
      </c>
      <c r="G4155" t="s">
        <v>1055</v>
      </c>
      <c r="H4155" t="s">
        <v>1056</v>
      </c>
      <c r="I4155" t="s">
        <v>86</v>
      </c>
      <c r="J4155">
        <v>52</v>
      </c>
      <c r="K4155" t="s">
        <v>83</v>
      </c>
      <c r="L4155" t="s">
        <v>2612</v>
      </c>
      <c r="M4155" t="s">
        <v>64</v>
      </c>
      <c r="N4155" t="s">
        <v>2594</v>
      </c>
      <c r="O4155" t="s">
        <v>131</v>
      </c>
      <c r="P4155" t="s">
        <v>53</v>
      </c>
      <c r="Q4155" t="s">
        <v>143</v>
      </c>
      <c r="R4155">
        <v>3</v>
      </c>
      <c r="S4155">
        <v>999</v>
      </c>
      <c r="T4155">
        <v>0.05</v>
      </c>
      <c r="U4155">
        <v>2847.15</v>
      </c>
      <c r="V4155">
        <v>1560</v>
      </c>
      <c r="W4155">
        <v>1287.1500000000001</v>
      </c>
      <c r="X4155" t="s">
        <v>73</v>
      </c>
      <c r="Y4155" t="s">
        <v>68</v>
      </c>
      <c r="Z4155" t="s">
        <v>161</v>
      </c>
      <c r="AA4155" t="s">
        <v>168</v>
      </c>
      <c r="AB4155">
        <v>5</v>
      </c>
      <c r="AC4155">
        <v>80</v>
      </c>
      <c r="AD4155">
        <v>210.85</v>
      </c>
      <c r="AE4155">
        <f t="shared" si="128"/>
        <v>996.30000000000007</v>
      </c>
      <c r="AF4155" t="str">
        <f t="shared" si="129"/>
        <v>2026-06</v>
      </c>
      <c r="AG4155">
        <f>SUBTOTAL(103,A4155)</f>
        <v>1</v>
      </c>
    </row>
    <row r="4156" spans="1:33" x14ac:dyDescent="0.3">
      <c r="A4156" t="s">
        <v>6779</v>
      </c>
      <c r="B4156" s="13">
        <v>46190</v>
      </c>
      <c r="C4156">
        <v>2026</v>
      </c>
      <c r="D4156">
        <v>6</v>
      </c>
      <c r="E4156" t="s">
        <v>3813</v>
      </c>
      <c r="F4156" t="s">
        <v>3329</v>
      </c>
      <c r="G4156" t="s">
        <v>679</v>
      </c>
      <c r="H4156" t="s">
        <v>680</v>
      </c>
      <c r="I4156" t="s">
        <v>86</v>
      </c>
      <c r="J4156">
        <v>26</v>
      </c>
      <c r="K4156" t="s">
        <v>81</v>
      </c>
      <c r="L4156" t="s">
        <v>2623</v>
      </c>
      <c r="M4156" t="s">
        <v>61</v>
      </c>
      <c r="N4156" t="s">
        <v>2592</v>
      </c>
      <c r="O4156" t="s">
        <v>115</v>
      </c>
      <c r="P4156" t="s">
        <v>48</v>
      </c>
      <c r="Q4156" t="s">
        <v>137</v>
      </c>
      <c r="R4156">
        <v>2</v>
      </c>
      <c r="S4156">
        <v>12999</v>
      </c>
      <c r="T4156">
        <v>0</v>
      </c>
      <c r="U4156">
        <v>25998</v>
      </c>
      <c r="V4156">
        <v>18000</v>
      </c>
      <c r="W4156">
        <v>7998</v>
      </c>
      <c r="X4156" t="s">
        <v>75</v>
      </c>
      <c r="Y4156" t="s">
        <v>68</v>
      </c>
      <c r="Z4156" t="s">
        <v>158</v>
      </c>
      <c r="AA4156" t="s">
        <v>167</v>
      </c>
      <c r="AB4156">
        <v>3.5</v>
      </c>
      <c r="AC4156">
        <v>60</v>
      </c>
      <c r="AD4156">
        <v>1351.4</v>
      </c>
      <c r="AE4156">
        <f t="shared" si="128"/>
        <v>6586.6</v>
      </c>
      <c r="AF4156" t="str">
        <f t="shared" si="129"/>
        <v>2026-06</v>
      </c>
      <c r="AG4156">
        <f>SUBTOTAL(103,A4156)</f>
        <v>1</v>
      </c>
    </row>
    <row r="4157" spans="1:33" x14ac:dyDescent="0.3">
      <c r="A4157" t="s">
        <v>6780</v>
      </c>
      <c r="B4157" s="13">
        <v>46191</v>
      </c>
      <c r="C4157">
        <v>2026</v>
      </c>
      <c r="D4157">
        <v>6</v>
      </c>
      <c r="E4157" t="s">
        <v>3813</v>
      </c>
      <c r="F4157" t="s">
        <v>3329</v>
      </c>
      <c r="G4157" t="s">
        <v>383</v>
      </c>
      <c r="H4157" t="s">
        <v>384</v>
      </c>
      <c r="I4157" t="s">
        <v>86</v>
      </c>
      <c r="J4157">
        <v>36</v>
      </c>
      <c r="K4157" t="s">
        <v>82</v>
      </c>
      <c r="L4157" t="s">
        <v>2634</v>
      </c>
      <c r="M4157" t="s">
        <v>56</v>
      </c>
      <c r="N4157" t="s">
        <v>2574</v>
      </c>
      <c r="O4157" t="s">
        <v>130</v>
      </c>
      <c r="P4157" t="s">
        <v>50</v>
      </c>
      <c r="Q4157" t="s">
        <v>53</v>
      </c>
      <c r="R4157">
        <v>1</v>
      </c>
      <c r="S4157">
        <v>1199</v>
      </c>
      <c r="T4157">
        <v>0.15</v>
      </c>
      <c r="U4157">
        <v>1019.15</v>
      </c>
      <c r="V4157">
        <v>550</v>
      </c>
      <c r="W4157">
        <v>469.15</v>
      </c>
      <c r="X4157" t="s">
        <v>73</v>
      </c>
      <c r="Y4157" t="s">
        <v>68</v>
      </c>
      <c r="Z4157" t="s">
        <v>160</v>
      </c>
      <c r="AA4157" t="s">
        <v>171</v>
      </c>
      <c r="AB4157">
        <v>3.9</v>
      </c>
      <c r="AC4157">
        <v>100</v>
      </c>
      <c r="AD4157">
        <v>59.1</v>
      </c>
      <c r="AE4157">
        <f t="shared" si="128"/>
        <v>310.04999999999995</v>
      </c>
      <c r="AF4157" t="str">
        <f t="shared" si="129"/>
        <v>2026-06</v>
      </c>
      <c r="AG4157">
        <f>SUBTOTAL(103,A4157)</f>
        <v>1</v>
      </c>
    </row>
    <row r="4158" spans="1:33" x14ac:dyDescent="0.3">
      <c r="A4158" t="s">
        <v>6781</v>
      </c>
      <c r="B4158" s="13">
        <v>46191</v>
      </c>
      <c r="C4158">
        <v>2026</v>
      </c>
      <c r="D4158">
        <v>6</v>
      </c>
      <c r="E4158" t="s">
        <v>3813</v>
      </c>
      <c r="F4158" t="s">
        <v>3329</v>
      </c>
      <c r="G4158" t="s">
        <v>1011</v>
      </c>
      <c r="H4158" t="s">
        <v>1012</v>
      </c>
      <c r="I4158" t="s">
        <v>85</v>
      </c>
      <c r="J4158">
        <v>33</v>
      </c>
      <c r="K4158" t="s">
        <v>81</v>
      </c>
      <c r="L4158" t="s">
        <v>2586</v>
      </c>
      <c r="M4158" t="s">
        <v>62</v>
      </c>
      <c r="N4158" t="s">
        <v>2644</v>
      </c>
      <c r="O4158" t="s">
        <v>126</v>
      </c>
      <c r="P4158" t="s">
        <v>50</v>
      </c>
      <c r="Q4158" t="s">
        <v>145</v>
      </c>
      <c r="R4158">
        <v>1</v>
      </c>
      <c r="S4158">
        <v>1799</v>
      </c>
      <c r="T4158">
        <v>0.15</v>
      </c>
      <c r="U4158">
        <v>1529.15</v>
      </c>
      <c r="V4158">
        <v>950</v>
      </c>
      <c r="W4158">
        <v>579.15</v>
      </c>
      <c r="X4158" t="s">
        <v>74</v>
      </c>
      <c r="Y4158" t="s">
        <v>68</v>
      </c>
      <c r="Z4158" t="s">
        <v>161</v>
      </c>
      <c r="AA4158" t="s">
        <v>170</v>
      </c>
      <c r="AB4158">
        <v>4.5999999999999996</v>
      </c>
      <c r="AC4158">
        <v>60</v>
      </c>
      <c r="AD4158">
        <v>84.81</v>
      </c>
      <c r="AE4158">
        <f t="shared" si="128"/>
        <v>434.34</v>
      </c>
      <c r="AF4158" t="str">
        <f t="shared" si="129"/>
        <v>2026-06</v>
      </c>
      <c r="AG4158">
        <f>SUBTOTAL(103,A4158)</f>
        <v>1</v>
      </c>
    </row>
    <row r="4159" spans="1:33" x14ac:dyDescent="0.3">
      <c r="A4159" t="s">
        <v>6782</v>
      </c>
      <c r="B4159" s="13">
        <v>46191</v>
      </c>
      <c r="C4159">
        <v>2026</v>
      </c>
      <c r="D4159">
        <v>6</v>
      </c>
      <c r="E4159" t="s">
        <v>3813</v>
      </c>
      <c r="F4159" t="s">
        <v>3329</v>
      </c>
      <c r="G4159" t="s">
        <v>285</v>
      </c>
      <c r="H4159" t="s">
        <v>286</v>
      </c>
      <c r="I4159" t="s">
        <v>85</v>
      </c>
      <c r="J4159">
        <v>20</v>
      </c>
      <c r="K4159" t="s">
        <v>80</v>
      </c>
      <c r="L4159" t="s">
        <v>2589</v>
      </c>
      <c r="M4159" t="s">
        <v>61</v>
      </c>
      <c r="N4159" t="s">
        <v>2592</v>
      </c>
      <c r="O4159" t="s">
        <v>115</v>
      </c>
      <c r="P4159" t="s">
        <v>48</v>
      </c>
      <c r="Q4159" t="s">
        <v>137</v>
      </c>
      <c r="R4159">
        <v>5</v>
      </c>
      <c r="S4159">
        <v>12999</v>
      </c>
      <c r="T4159">
        <v>0</v>
      </c>
      <c r="U4159">
        <v>64995</v>
      </c>
      <c r="V4159">
        <v>45000</v>
      </c>
      <c r="W4159">
        <v>19995</v>
      </c>
      <c r="X4159" t="s">
        <v>73</v>
      </c>
      <c r="Y4159" t="s">
        <v>68</v>
      </c>
      <c r="Z4159" t="s">
        <v>162</v>
      </c>
      <c r="AA4159" t="s">
        <v>166</v>
      </c>
      <c r="AB4159">
        <v>3.6</v>
      </c>
      <c r="AC4159">
        <v>100</v>
      </c>
      <c r="AD4159">
        <v>5449.82</v>
      </c>
      <c r="AE4159">
        <f t="shared" si="128"/>
        <v>14445.18</v>
      </c>
      <c r="AF4159" t="str">
        <f t="shared" si="129"/>
        <v>2026-06</v>
      </c>
      <c r="AG4159">
        <f>SUBTOTAL(103,A4159)</f>
        <v>1</v>
      </c>
    </row>
    <row r="4160" spans="1:33" x14ac:dyDescent="0.3">
      <c r="A4160" t="s">
        <v>6783</v>
      </c>
      <c r="B4160" s="13">
        <v>46191</v>
      </c>
      <c r="C4160">
        <v>2026</v>
      </c>
      <c r="D4160">
        <v>6</v>
      </c>
      <c r="E4160" t="s">
        <v>3813</v>
      </c>
      <c r="F4160" t="s">
        <v>3329</v>
      </c>
      <c r="G4160" t="s">
        <v>627</v>
      </c>
      <c r="H4160" t="s">
        <v>628</v>
      </c>
      <c r="I4160" t="s">
        <v>86</v>
      </c>
      <c r="J4160">
        <v>46</v>
      </c>
      <c r="K4160" t="s">
        <v>83</v>
      </c>
      <c r="L4160" t="s">
        <v>94</v>
      </c>
      <c r="M4160" t="s">
        <v>57</v>
      </c>
      <c r="N4160" t="s">
        <v>2653</v>
      </c>
      <c r="O4160" t="s">
        <v>132</v>
      </c>
      <c r="P4160" t="s">
        <v>52</v>
      </c>
      <c r="Q4160" t="s">
        <v>150</v>
      </c>
      <c r="R4160">
        <v>2</v>
      </c>
      <c r="S4160">
        <v>899</v>
      </c>
      <c r="T4160">
        <v>0.15</v>
      </c>
      <c r="U4160">
        <v>1528.3</v>
      </c>
      <c r="V4160">
        <v>840</v>
      </c>
      <c r="W4160">
        <v>688.3</v>
      </c>
      <c r="X4160" t="s">
        <v>76</v>
      </c>
      <c r="Y4160" t="s">
        <v>68</v>
      </c>
      <c r="Z4160" t="s">
        <v>163</v>
      </c>
      <c r="AA4160" t="s">
        <v>166</v>
      </c>
      <c r="AB4160">
        <v>4.4000000000000004</v>
      </c>
      <c r="AC4160">
        <v>50</v>
      </c>
      <c r="AD4160">
        <v>155.18</v>
      </c>
      <c r="AE4160">
        <f t="shared" si="128"/>
        <v>483.11999999999995</v>
      </c>
      <c r="AF4160" t="str">
        <f t="shared" si="129"/>
        <v>2026-06</v>
      </c>
      <c r="AG4160">
        <f>SUBTOTAL(103,A4160)</f>
        <v>1</v>
      </c>
    </row>
    <row r="4161" spans="1:33" x14ac:dyDescent="0.3">
      <c r="A4161" t="s">
        <v>6784</v>
      </c>
      <c r="B4161" s="13">
        <v>46191</v>
      </c>
      <c r="C4161">
        <v>2026</v>
      </c>
      <c r="D4161">
        <v>6</v>
      </c>
      <c r="E4161" t="s">
        <v>3813</v>
      </c>
      <c r="F4161" t="s">
        <v>3329</v>
      </c>
      <c r="G4161" t="s">
        <v>2245</v>
      </c>
      <c r="H4161" t="s">
        <v>2246</v>
      </c>
      <c r="I4161" t="s">
        <v>85</v>
      </c>
      <c r="J4161">
        <v>48</v>
      </c>
      <c r="K4161" t="s">
        <v>83</v>
      </c>
      <c r="L4161" t="s">
        <v>94</v>
      </c>
      <c r="M4161" t="s">
        <v>57</v>
      </c>
      <c r="N4161" t="s">
        <v>2630</v>
      </c>
      <c r="O4161" t="s">
        <v>123</v>
      </c>
      <c r="P4161" t="s">
        <v>52</v>
      </c>
      <c r="Q4161" t="s">
        <v>146</v>
      </c>
      <c r="R4161">
        <v>1</v>
      </c>
      <c r="S4161">
        <v>2499</v>
      </c>
      <c r="T4161">
        <v>0.05</v>
      </c>
      <c r="U4161">
        <v>2374.0500000000002</v>
      </c>
      <c r="V4161">
        <v>1400</v>
      </c>
      <c r="W4161">
        <v>974.05</v>
      </c>
      <c r="X4161" t="s">
        <v>74</v>
      </c>
      <c r="Y4161" t="s">
        <v>68</v>
      </c>
      <c r="Z4161" t="s">
        <v>159</v>
      </c>
      <c r="AA4161" t="s">
        <v>166</v>
      </c>
      <c r="AB4161">
        <v>3.6</v>
      </c>
      <c r="AC4161">
        <v>60</v>
      </c>
      <c r="AD4161">
        <v>137.4</v>
      </c>
      <c r="AE4161">
        <f t="shared" si="128"/>
        <v>776.65</v>
      </c>
      <c r="AF4161" t="str">
        <f t="shared" si="129"/>
        <v>2026-06</v>
      </c>
      <c r="AG4161">
        <f>SUBTOTAL(103,A4161)</f>
        <v>1</v>
      </c>
    </row>
    <row r="4162" spans="1:33" x14ac:dyDescent="0.3">
      <c r="A4162" t="s">
        <v>6785</v>
      </c>
      <c r="B4162" s="13">
        <v>46191</v>
      </c>
      <c r="C4162">
        <v>2026</v>
      </c>
      <c r="D4162">
        <v>6</v>
      </c>
      <c r="E4162" t="s">
        <v>3813</v>
      </c>
      <c r="F4162" t="s">
        <v>3329</v>
      </c>
      <c r="G4162" t="s">
        <v>1301</v>
      </c>
      <c r="H4162" t="s">
        <v>1302</v>
      </c>
      <c r="I4162" t="s">
        <v>85</v>
      </c>
      <c r="J4162">
        <v>19</v>
      </c>
      <c r="K4162" t="s">
        <v>80</v>
      </c>
      <c r="L4162" t="s">
        <v>92</v>
      </c>
      <c r="M4162" t="s">
        <v>59</v>
      </c>
      <c r="N4162" t="s">
        <v>2601</v>
      </c>
      <c r="O4162" t="s">
        <v>117</v>
      </c>
      <c r="P4162" t="s">
        <v>49</v>
      </c>
      <c r="Q4162" t="s">
        <v>139</v>
      </c>
      <c r="R4162">
        <v>2</v>
      </c>
      <c r="S4162">
        <v>6999</v>
      </c>
      <c r="T4162">
        <v>0.1</v>
      </c>
      <c r="U4162">
        <v>12598.2</v>
      </c>
      <c r="V4162">
        <v>8600</v>
      </c>
      <c r="W4162">
        <v>3998.2</v>
      </c>
      <c r="X4162" t="s">
        <v>76</v>
      </c>
      <c r="Y4162" t="s">
        <v>69</v>
      </c>
      <c r="Z4162" t="s">
        <v>160</v>
      </c>
      <c r="AA4162" t="s">
        <v>166</v>
      </c>
      <c r="AB4162">
        <v>3.9</v>
      </c>
      <c r="AC4162">
        <v>60</v>
      </c>
      <c r="AD4162">
        <v>1244.33</v>
      </c>
      <c r="AE4162">
        <f t="shared" ref="AE4162:AE4225" si="130">W4162-AC4162-AD4162</f>
        <v>2693.87</v>
      </c>
      <c r="AF4162" t="str">
        <f t="shared" ref="AF4162:AF4225" si="131">C4162&amp;"-"&amp;TEXT(D4162,"00")</f>
        <v>2026-06</v>
      </c>
      <c r="AG4162">
        <f>SUBTOTAL(103,A4162)</f>
        <v>1</v>
      </c>
    </row>
    <row r="4163" spans="1:33" x14ac:dyDescent="0.3">
      <c r="A4163" t="s">
        <v>6786</v>
      </c>
      <c r="B4163" s="13">
        <v>46192</v>
      </c>
      <c r="C4163">
        <v>2026</v>
      </c>
      <c r="D4163">
        <v>6</v>
      </c>
      <c r="E4163" t="s">
        <v>3813</v>
      </c>
      <c r="F4163" t="s">
        <v>3329</v>
      </c>
      <c r="G4163" t="s">
        <v>539</v>
      </c>
      <c r="H4163" t="s">
        <v>540</v>
      </c>
      <c r="I4163" t="s">
        <v>85</v>
      </c>
      <c r="J4163">
        <v>55</v>
      </c>
      <c r="K4163" t="s">
        <v>83</v>
      </c>
      <c r="L4163" t="s">
        <v>2687</v>
      </c>
      <c r="M4163" t="s">
        <v>57</v>
      </c>
      <c r="N4163" t="s">
        <v>2644</v>
      </c>
      <c r="O4163" t="s">
        <v>126</v>
      </c>
      <c r="P4163" t="s">
        <v>50</v>
      </c>
      <c r="Q4163" t="s">
        <v>145</v>
      </c>
      <c r="R4163">
        <v>2</v>
      </c>
      <c r="S4163">
        <v>1799</v>
      </c>
      <c r="T4163">
        <v>0.2</v>
      </c>
      <c r="U4163">
        <v>2878.4</v>
      </c>
      <c r="V4163">
        <v>1900</v>
      </c>
      <c r="W4163">
        <v>978.4</v>
      </c>
      <c r="X4163" t="s">
        <v>73</v>
      </c>
      <c r="Y4163" t="s">
        <v>68</v>
      </c>
      <c r="Z4163" t="s">
        <v>158</v>
      </c>
      <c r="AA4163" t="s">
        <v>167</v>
      </c>
      <c r="AB4163">
        <v>3.8</v>
      </c>
      <c r="AC4163">
        <v>60</v>
      </c>
      <c r="AD4163">
        <v>259.22000000000003</v>
      </c>
      <c r="AE4163">
        <f t="shared" si="130"/>
        <v>659.18</v>
      </c>
      <c r="AF4163" t="str">
        <f t="shared" si="131"/>
        <v>2026-06</v>
      </c>
      <c r="AG4163">
        <f>SUBTOTAL(103,A4163)</f>
        <v>1</v>
      </c>
    </row>
    <row r="4164" spans="1:33" x14ac:dyDescent="0.3">
      <c r="A4164" t="s">
        <v>6787</v>
      </c>
      <c r="B4164" s="13">
        <v>46192</v>
      </c>
      <c r="C4164">
        <v>2026</v>
      </c>
      <c r="D4164">
        <v>6</v>
      </c>
      <c r="E4164" t="s">
        <v>3813</v>
      </c>
      <c r="F4164" t="s">
        <v>3329</v>
      </c>
      <c r="G4164" t="s">
        <v>1593</v>
      </c>
      <c r="H4164" t="s">
        <v>1594</v>
      </c>
      <c r="I4164" t="s">
        <v>86</v>
      </c>
      <c r="J4164">
        <v>33</v>
      </c>
      <c r="K4164" t="s">
        <v>81</v>
      </c>
      <c r="L4164" t="s">
        <v>2674</v>
      </c>
      <c r="M4164" t="s">
        <v>58</v>
      </c>
      <c r="N4164" t="s">
        <v>2603</v>
      </c>
      <c r="O4164" t="s">
        <v>122</v>
      </c>
      <c r="P4164" t="s">
        <v>48</v>
      </c>
      <c r="Q4164" t="s">
        <v>141</v>
      </c>
      <c r="R4164">
        <v>1</v>
      </c>
      <c r="S4164">
        <v>2499</v>
      </c>
      <c r="T4164">
        <v>0</v>
      </c>
      <c r="U4164">
        <v>2499</v>
      </c>
      <c r="V4164">
        <v>1450</v>
      </c>
      <c r="W4164">
        <v>1049</v>
      </c>
      <c r="X4164" t="s">
        <v>73</v>
      </c>
      <c r="Y4164" t="s">
        <v>68</v>
      </c>
      <c r="Z4164" t="s">
        <v>160</v>
      </c>
      <c r="AA4164" t="s">
        <v>166</v>
      </c>
      <c r="AB4164">
        <v>3.3</v>
      </c>
      <c r="AC4164">
        <v>120</v>
      </c>
      <c r="AD4164">
        <v>272.32</v>
      </c>
      <c r="AE4164">
        <f t="shared" si="130"/>
        <v>656.68000000000006</v>
      </c>
      <c r="AF4164" t="str">
        <f t="shared" si="131"/>
        <v>2026-06</v>
      </c>
      <c r="AG4164">
        <f>SUBTOTAL(103,A4164)</f>
        <v>1</v>
      </c>
    </row>
    <row r="4165" spans="1:33" x14ac:dyDescent="0.3">
      <c r="A4165" t="s">
        <v>6788</v>
      </c>
      <c r="B4165" s="13">
        <v>46192</v>
      </c>
      <c r="C4165">
        <v>2026</v>
      </c>
      <c r="D4165">
        <v>6</v>
      </c>
      <c r="E4165" t="s">
        <v>3813</v>
      </c>
      <c r="F4165" t="s">
        <v>3329</v>
      </c>
      <c r="G4165" t="s">
        <v>1075</v>
      </c>
      <c r="H4165" t="s">
        <v>1076</v>
      </c>
      <c r="I4165" t="s">
        <v>85</v>
      </c>
      <c r="J4165">
        <v>49</v>
      </c>
      <c r="K4165" t="s">
        <v>83</v>
      </c>
      <c r="L4165" t="s">
        <v>99</v>
      </c>
      <c r="M4165" t="s">
        <v>58</v>
      </c>
      <c r="N4165" t="s">
        <v>2582</v>
      </c>
      <c r="O4165" t="s">
        <v>119</v>
      </c>
      <c r="P4165" t="s">
        <v>49</v>
      </c>
      <c r="Q4165" t="s">
        <v>140</v>
      </c>
      <c r="R4165">
        <v>2</v>
      </c>
      <c r="S4165">
        <v>3499</v>
      </c>
      <c r="T4165">
        <v>0.1</v>
      </c>
      <c r="U4165">
        <v>6298.2</v>
      </c>
      <c r="V4165">
        <v>4200</v>
      </c>
      <c r="W4165">
        <v>2098.1999999999998</v>
      </c>
      <c r="X4165" t="s">
        <v>73</v>
      </c>
      <c r="Y4165" t="s">
        <v>68</v>
      </c>
      <c r="Z4165" t="s">
        <v>159</v>
      </c>
      <c r="AA4165" t="s">
        <v>169</v>
      </c>
      <c r="AB4165">
        <v>3.6</v>
      </c>
      <c r="AC4165">
        <v>120</v>
      </c>
      <c r="AD4165">
        <v>639.58000000000004</v>
      </c>
      <c r="AE4165">
        <f t="shared" si="130"/>
        <v>1338.62</v>
      </c>
      <c r="AF4165" t="str">
        <f t="shared" si="131"/>
        <v>2026-06</v>
      </c>
      <c r="AG4165">
        <f>SUBTOTAL(103,A4165)</f>
        <v>1</v>
      </c>
    </row>
    <row r="4166" spans="1:33" x14ac:dyDescent="0.3">
      <c r="A4166" t="s">
        <v>6789</v>
      </c>
      <c r="B4166" s="13">
        <v>46192</v>
      </c>
      <c r="C4166">
        <v>2026</v>
      </c>
      <c r="D4166">
        <v>6</v>
      </c>
      <c r="E4166" t="s">
        <v>3813</v>
      </c>
      <c r="F4166" t="s">
        <v>3329</v>
      </c>
      <c r="G4166" t="s">
        <v>1781</v>
      </c>
      <c r="H4166" t="s">
        <v>1782</v>
      </c>
      <c r="I4166" t="s">
        <v>85</v>
      </c>
      <c r="J4166">
        <v>29</v>
      </c>
      <c r="K4166" t="s">
        <v>81</v>
      </c>
      <c r="L4166" t="s">
        <v>90</v>
      </c>
      <c r="M4166" t="s">
        <v>55</v>
      </c>
      <c r="N4166" t="s">
        <v>2574</v>
      </c>
      <c r="O4166" t="s">
        <v>130</v>
      </c>
      <c r="P4166" t="s">
        <v>50</v>
      </c>
      <c r="Q4166" t="s">
        <v>53</v>
      </c>
      <c r="R4166">
        <v>1</v>
      </c>
      <c r="S4166">
        <v>1199</v>
      </c>
      <c r="T4166">
        <v>0.15</v>
      </c>
      <c r="U4166">
        <v>1019.15</v>
      </c>
      <c r="V4166">
        <v>550</v>
      </c>
      <c r="W4166">
        <v>469.15</v>
      </c>
      <c r="X4166" t="s">
        <v>73</v>
      </c>
      <c r="Y4166" t="s">
        <v>68</v>
      </c>
      <c r="Z4166" t="s">
        <v>158</v>
      </c>
      <c r="AA4166" t="s">
        <v>168</v>
      </c>
      <c r="AB4166">
        <v>4.0999999999999996</v>
      </c>
      <c r="AC4166">
        <v>50</v>
      </c>
      <c r="AD4166">
        <v>115.32</v>
      </c>
      <c r="AE4166">
        <f t="shared" si="130"/>
        <v>303.83</v>
      </c>
      <c r="AF4166" t="str">
        <f t="shared" si="131"/>
        <v>2026-06</v>
      </c>
      <c r="AG4166">
        <f>SUBTOTAL(103,A4166)</f>
        <v>1</v>
      </c>
    </row>
    <row r="4167" spans="1:33" x14ac:dyDescent="0.3">
      <c r="A4167" t="s">
        <v>6790</v>
      </c>
      <c r="B4167" s="13">
        <v>46192</v>
      </c>
      <c r="C4167">
        <v>2026</v>
      </c>
      <c r="D4167">
        <v>6</v>
      </c>
      <c r="E4167" t="s">
        <v>3813</v>
      </c>
      <c r="F4167" t="s">
        <v>3329</v>
      </c>
      <c r="G4167" t="s">
        <v>1929</v>
      </c>
      <c r="H4167" t="s">
        <v>1930</v>
      </c>
      <c r="I4167" t="s">
        <v>85</v>
      </c>
      <c r="J4167">
        <v>38</v>
      </c>
      <c r="K4167" t="s">
        <v>82</v>
      </c>
      <c r="L4167" t="s">
        <v>100</v>
      </c>
      <c r="M4167" t="s">
        <v>56</v>
      </c>
      <c r="N4167" t="s">
        <v>2665</v>
      </c>
      <c r="O4167" t="s">
        <v>128</v>
      </c>
      <c r="P4167" t="s">
        <v>53</v>
      </c>
      <c r="Q4167" t="s">
        <v>143</v>
      </c>
      <c r="R4167">
        <v>4</v>
      </c>
      <c r="S4167">
        <v>1499</v>
      </c>
      <c r="T4167">
        <v>0.15</v>
      </c>
      <c r="U4167">
        <v>0</v>
      </c>
      <c r="V4167">
        <v>0</v>
      </c>
      <c r="W4167">
        <v>0</v>
      </c>
      <c r="X4167" t="s">
        <v>75</v>
      </c>
      <c r="Y4167" t="s">
        <v>71</v>
      </c>
      <c r="Z4167" t="s">
        <v>161</v>
      </c>
      <c r="AA4167" t="s">
        <v>169</v>
      </c>
      <c r="AB4167">
        <v>3.8</v>
      </c>
      <c r="AC4167">
        <v>60</v>
      </c>
      <c r="AD4167">
        <v>352.08</v>
      </c>
      <c r="AE4167">
        <f t="shared" si="130"/>
        <v>-412.08</v>
      </c>
      <c r="AF4167" t="str">
        <f t="shared" si="131"/>
        <v>2026-06</v>
      </c>
      <c r="AG4167">
        <f>SUBTOTAL(103,A4167)</f>
        <v>1</v>
      </c>
    </row>
    <row r="4168" spans="1:33" x14ac:dyDescent="0.3">
      <c r="A4168" t="s">
        <v>6791</v>
      </c>
      <c r="B4168" s="13">
        <v>46192</v>
      </c>
      <c r="C4168">
        <v>2026</v>
      </c>
      <c r="D4168">
        <v>6</v>
      </c>
      <c r="E4168" t="s">
        <v>3813</v>
      </c>
      <c r="F4168" t="s">
        <v>3329</v>
      </c>
      <c r="G4168" t="s">
        <v>1233</v>
      </c>
      <c r="H4168" t="s">
        <v>1234</v>
      </c>
      <c r="I4168" t="s">
        <v>85</v>
      </c>
      <c r="J4168">
        <v>34</v>
      </c>
      <c r="K4168" t="s">
        <v>81</v>
      </c>
      <c r="L4168" t="s">
        <v>99</v>
      </c>
      <c r="M4168" t="s">
        <v>58</v>
      </c>
      <c r="N4168" t="s">
        <v>2647</v>
      </c>
      <c r="O4168" t="s">
        <v>133</v>
      </c>
      <c r="P4168" t="s">
        <v>50</v>
      </c>
      <c r="Q4168" t="s">
        <v>145</v>
      </c>
      <c r="R4168">
        <v>1</v>
      </c>
      <c r="S4168">
        <v>799</v>
      </c>
      <c r="T4168">
        <v>0.1</v>
      </c>
      <c r="U4168">
        <v>719.1</v>
      </c>
      <c r="V4168">
        <v>390</v>
      </c>
      <c r="W4168">
        <v>329.1</v>
      </c>
      <c r="X4168" t="s">
        <v>77</v>
      </c>
      <c r="Y4168" t="s">
        <v>68</v>
      </c>
      <c r="Z4168" t="s">
        <v>158</v>
      </c>
      <c r="AA4168" t="s">
        <v>166</v>
      </c>
      <c r="AB4168">
        <v>2.2999999999999998</v>
      </c>
      <c r="AC4168">
        <v>50</v>
      </c>
      <c r="AD4168">
        <v>38.659999999999997</v>
      </c>
      <c r="AE4168">
        <f t="shared" si="130"/>
        <v>240.44000000000003</v>
      </c>
      <c r="AF4168" t="str">
        <f t="shared" si="131"/>
        <v>2026-06</v>
      </c>
      <c r="AG4168">
        <f>SUBTOTAL(103,A4168)</f>
        <v>1</v>
      </c>
    </row>
    <row r="4169" spans="1:33" x14ac:dyDescent="0.3">
      <c r="A4169" t="s">
        <v>6792</v>
      </c>
      <c r="B4169" s="13">
        <v>46193</v>
      </c>
      <c r="C4169">
        <v>2026</v>
      </c>
      <c r="D4169">
        <v>6</v>
      </c>
      <c r="E4169" t="s">
        <v>3813</v>
      </c>
      <c r="F4169" t="s">
        <v>3329</v>
      </c>
      <c r="G4169" t="s">
        <v>1937</v>
      </c>
      <c r="H4169" t="s">
        <v>1938</v>
      </c>
      <c r="I4169" t="s">
        <v>85</v>
      </c>
      <c r="J4169">
        <v>34</v>
      </c>
      <c r="K4169" t="s">
        <v>81</v>
      </c>
      <c r="L4169" t="s">
        <v>95</v>
      </c>
      <c r="M4169" t="s">
        <v>56</v>
      </c>
      <c r="N4169" t="s">
        <v>2580</v>
      </c>
      <c r="O4169" t="s">
        <v>118</v>
      </c>
      <c r="P4169" t="s">
        <v>48</v>
      </c>
      <c r="Q4169" t="s">
        <v>142</v>
      </c>
      <c r="R4169">
        <v>1</v>
      </c>
      <c r="S4169">
        <v>3999</v>
      </c>
      <c r="T4169">
        <v>0.1</v>
      </c>
      <c r="U4169">
        <v>3599.1</v>
      </c>
      <c r="V4169">
        <v>2400</v>
      </c>
      <c r="W4169">
        <v>1199.0999999999999</v>
      </c>
      <c r="X4169" t="s">
        <v>73</v>
      </c>
      <c r="Y4169" t="s">
        <v>68</v>
      </c>
      <c r="Z4169" t="s">
        <v>158</v>
      </c>
      <c r="AA4169" t="s">
        <v>171</v>
      </c>
      <c r="AB4169">
        <v>3.9</v>
      </c>
      <c r="AC4169">
        <v>50</v>
      </c>
      <c r="AD4169">
        <v>393.39</v>
      </c>
      <c r="AE4169">
        <f t="shared" si="130"/>
        <v>755.70999999999992</v>
      </c>
      <c r="AF4169" t="str">
        <f t="shared" si="131"/>
        <v>2026-06</v>
      </c>
      <c r="AG4169">
        <f>SUBTOTAL(103,A4169)</f>
        <v>1</v>
      </c>
    </row>
    <row r="4170" spans="1:33" x14ac:dyDescent="0.3">
      <c r="A4170" t="s">
        <v>6793</v>
      </c>
      <c r="B4170" s="13">
        <v>46193</v>
      </c>
      <c r="C4170">
        <v>2026</v>
      </c>
      <c r="D4170">
        <v>6</v>
      </c>
      <c r="E4170" t="s">
        <v>3813</v>
      </c>
      <c r="F4170" t="s">
        <v>3329</v>
      </c>
      <c r="G4170" t="s">
        <v>1807</v>
      </c>
      <c r="H4170" t="s">
        <v>1808</v>
      </c>
      <c r="I4170" t="s">
        <v>86</v>
      </c>
      <c r="J4170">
        <v>26</v>
      </c>
      <c r="K4170" t="s">
        <v>81</v>
      </c>
      <c r="L4170" t="s">
        <v>2616</v>
      </c>
      <c r="M4170" t="s">
        <v>62</v>
      </c>
      <c r="N4170" t="s">
        <v>2603</v>
      </c>
      <c r="O4170" t="s">
        <v>122</v>
      </c>
      <c r="P4170" t="s">
        <v>48</v>
      </c>
      <c r="Q4170" t="s">
        <v>141</v>
      </c>
      <c r="R4170">
        <v>3</v>
      </c>
      <c r="S4170">
        <v>2499</v>
      </c>
      <c r="T4170">
        <v>0</v>
      </c>
      <c r="U4170">
        <v>7497</v>
      </c>
      <c r="V4170">
        <v>4350</v>
      </c>
      <c r="W4170">
        <v>3147</v>
      </c>
      <c r="X4170" t="s">
        <v>73</v>
      </c>
      <c r="Y4170" t="s">
        <v>68</v>
      </c>
      <c r="Z4170" t="s">
        <v>158</v>
      </c>
      <c r="AA4170" t="s">
        <v>166</v>
      </c>
      <c r="AB4170">
        <v>4.5999999999999996</v>
      </c>
      <c r="AC4170">
        <v>60</v>
      </c>
      <c r="AD4170">
        <v>267.23</v>
      </c>
      <c r="AE4170">
        <f t="shared" si="130"/>
        <v>2819.77</v>
      </c>
      <c r="AF4170" t="str">
        <f t="shared" si="131"/>
        <v>2026-06</v>
      </c>
      <c r="AG4170">
        <f>SUBTOTAL(103,A4170)</f>
        <v>1</v>
      </c>
    </row>
    <row r="4171" spans="1:33" x14ac:dyDescent="0.3">
      <c r="A4171" t="s">
        <v>6794</v>
      </c>
      <c r="B4171" s="13">
        <v>46193</v>
      </c>
      <c r="C4171">
        <v>2026</v>
      </c>
      <c r="D4171">
        <v>6</v>
      </c>
      <c r="E4171" t="s">
        <v>3813</v>
      </c>
      <c r="F4171" t="s">
        <v>3329</v>
      </c>
      <c r="G4171" t="s">
        <v>1525</v>
      </c>
      <c r="H4171" t="s">
        <v>1526</v>
      </c>
      <c r="I4171" t="s">
        <v>86</v>
      </c>
      <c r="J4171">
        <v>32</v>
      </c>
      <c r="K4171" t="s">
        <v>81</v>
      </c>
      <c r="L4171" t="s">
        <v>99</v>
      </c>
      <c r="M4171" t="s">
        <v>58</v>
      </c>
      <c r="N4171" t="s">
        <v>2606</v>
      </c>
      <c r="O4171" t="s">
        <v>120</v>
      </c>
      <c r="P4171" t="s">
        <v>49</v>
      </c>
      <c r="Q4171" t="s">
        <v>140</v>
      </c>
      <c r="R4171">
        <v>2</v>
      </c>
      <c r="S4171">
        <v>2799</v>
      </c>
      <c r="T4171">
        <v>0.1</v>
      </c>
      <c r="U4171">
        <v>5038.2</v>
      </c>
      <c r="V4171">
        <v>3300</v>
      </c>
      <c r="W4171">
        <v>1738.2</v>
      </c>
      <c r="X4171" t="s">
        <v>74</v>
      </c>
      <c r="Y4171" t="s">
        <v>68</v>
      </c>
      <c r="Z4171" t="s">
        <v>162</v>
      </c>
      <c r="AA4171" t="s">
        <v>166</v>
      </c>
      <c r="AB4171">
        <v>4.0999999999999996</v>
      </c>
      <c r="AC4171">
        <v>80</v>
      </c>
      <c r="AD4171">
        <v>180.84</v>
      </c>
      <c r="AE4171">
        <f t="shared" si="130"/>
        <v>1477.3600000000001</v>
      </c>
      <c r="AF4171" t="str">
        <f t="shared" si="131"/>
        <v>2026-06</v>
      </c>
      <c r="AG4171">
        <f>SUBTOTAL(103,A4171)</f>
        <v>1</v>
      </c>
    </row>
    <row r="4172" spans="1:33" x14ac:dyDescent="0.3">
      <c r="A4172" t="s">
        <v>6795</v>
      </c>
      <c r="B4172" s="13">
        <v>46193</v>
      </c>
      <c r="C4172">
        <v>2026</v>
      </c>
      <c r="D4172">
        <v>6</v>
      </c>
      <c r="E4172" t="s">
        <v>3813</v>
      </c>
      <c r="F4172" t="s">
        <v>3329</v>
      </c>
      <c r="G4172" t="s">
        <v>1305</v>
      </c>
      <c r="H4172" t="s">
        <v>1306</v>
      </c>
      <c r="I4172" t="s">
        <v>86</v>
      </c>
      <c r="J4172">
        <v>57</v>
      </c>
      <c r="K4172" t="s">
        <v>83</v>
      </c>
      <c r="L4172" t="s">
        <v>2599</v>
      </c>
      <c r="M4172" t="s">
        <v>62</v>
      </c>
      <c r="N4172" t="s">
        <v>2647</v>
      </c>
      <c r="O4172" t="s">
        <v>133</v>
      </c>
      <c r="P4172" t="s">
        <v>50</v>
      </c>
      <c r="Q4172" t="s">
        <v>145</v>
      </c>
      <c r="R4172">
        <v>5</v>
      </c>
      <c r="S4172">
        <v>799</v>
      </c>
      <c r="T4172">
        <v>0.15</v>
      </c>
      <c r="U4172">
        <v>3395.75</v>
      </c>
      <c r="V4172">
        <v>1950</v>
      </c>
      <c r="W4172">
        <v>1445.75</v>
      </c>
      <c r="X4172" t="s">
        <v>73</v>
      </c>
      <c r="Y4172" t="s">
        <v>68</v>
      </c>
      <c r="Z4172" t="s">
        <v>159</v>
      </c>
      <c r="AA4172" t="s">
        <v>169</v>
      </c>
      <c r="AB4172">
        <v>4.7</v>
      </c>
      <c r="AC4172">
        <v>60</v>
      </c>
      <c r="AD4172">
        <v>236.91</v>
      </c>
      <c r="AE4172">
        <f t="shared" si="130"/>
        <v>1148.8399999999999</v>
      </c>
      <c r="AF4172" t="str">
        <f t="shared" si="131"/>
        <v>2026-06</v>
      </c>
      <c r="AG4172">
        <f>SUBTOTAL(103,A4172)</f>
        <v>1</v>
      </c>
    </row>
    <row r="4173" spans="1:33" x14ac:dyDescent="0.3">
      <c r="A4173" t="s">
        <v>6796</v>
      </c>
      <c r="B4173" s="13">
        <v>46193</v>
      </c>
      <c r="C4173">
        <v>2026</v>
      </c>
      <c r="D4173">
        <v>6</v>
      </c>
      <c r="E4173" t="s">
        <v>3813</v>
      </c>
      <c r="F4173" t="s">
        <v>3329</v>
      </c>
      <c r="G4173" t="s">
        <v>2395</v>
      </c>
      <c r="H4173" t="s">
        <v>2396</v>
      </c>
      <c r="I4173" t="s">
        <v>85</v>
      </c>
      <c r="J4173">
        <v>40</v>
      </c>
      <c r="K4173" t="s">
        <v>82</v>
      </c>
      <c r="L4173" t="s">
        <v>92</v>
      </c>
      <c r="M4173" t="s">
        <v>59</v>
      </c>
      <c r="N4173" t="s">
        <v>2657</v>
      </c>
      <c r="O4173" t="s">
        <v>134</v>
      </c>
      <c r="P4173" t="s">
        <v>49</v>
      </c>
      <c r="Q4173" t="s">
        <v>140</v>
      </c>
      <c r="R4173">
        <v>1</v>
      </c>
      <c r="S4173">
        <v>599</v>
      </c>
      <c r="T4173">
        <v>0</v>
      </c>
      <c r="U4173">
        <v>599</v>
      </c>
      <c r="V4173">
        <v>250</v>
      </c>
      <c r="W4173">
        <v>349</v>
      </c>
      <c r="X4173" t="s">
        <v>74</v>
      </c>
      <c r="Y4173" t="s">
        <v>69</v>
      </c>
      <c r="Z4173" t="s">
        <v>162</v>
      </c>
      <c r="AA4173" t="s">
        <v>169</v>
      </c>
      <c r="AB4173">
        <v>3.1</v>
      </c>
      <c r="AC4173">
        <v>50</v>
      </c>
      <c r="AD4173">
        <v>32.549999999999997</v>
      </c>
      <c r="AE4173">
        <f t="shared" si="130"/>
        <v>266.45</v>
      </c>
      <c r="AF4173" t="str">
        <f t="shared" si="131"/>
        <v>2026-06</v>
      </c>
      <c r="AG4173">
        <f>SUBTOTAL(103,A4173)</f>
        <v>1</v>
      </c>
    </row>
    <row r="4174" spans="1:33" x14ac:dyDescent="0.3">
      <c r="A4174" t="s">
        <v>6797</v>
      </c>
      <c r="B4174" s="13">
        <v>46193</v>
      </c>
      <c r="C4174">
        <v>2026</v>
      </c>
      <c r="D4174">
        <v>6</v>
      </c>
      <c r="E4174" t="s">
        <v>3813</v>
      </c>
      <c r="F4174" t="s">
        <v>3329</v>
      </c>
      <c r="G4174" t="s">
        <v>803</v>
      </c>
      <c r="H4174" t="s">
        <v>804</v>
      </c>
      <c r="I4174" t="s">
        <v>86</v>
      </c>
      <c r="J4174">
        <v>38</v>
      </c>
      <c r="K4174" t="s">
        <v>82</v>
      </c>
      <c r="L4174" t="s">
        <v>100</v>
      </c>
      <c r="M4174" t="s">
        <v>56</v>
      </c>
      <c r="N4174" t="s">
        <v>2584</v>
      </c>
      <c r="O4174" t="s">
        <v>121</v>
      </c>
      <c r="P4174" t="s">
        <v>50</v>
      </c>
      <c r="Q4174" t="s">
        <v>144</v>
      </c>
      <c r="R4174">
        <v>1</v>
      </c>
      <c r="S4174">
        <v>2999</v>
      </c>
      <c r="T4174">
        <v>0.15</v>
      </c>
      <c r="U4174">
        <v>2549.15</v>
      </c>
      <c r="V4174">
        <v>1700</v>
      </c>
      <c r="W4174">
        <v>849.15</v>
      </c>
      <c r="X4174" t="s">
        <v>73</v>
      </c>
      <c r="Y4174" t="s">
        <v>68</v>
      </c>
      <c r="Z4174" t="s">
        <v>163</v>
      </c>
      <c r="AA4174" t="s">
        <v>166</v>
      </c>
      <c r="AB4174">
        <v>3.2</v>
      </c>
      <c r="AC4174">
        <v>40</v>
      </c>
      <c r="AD4174">
        <v>206.69</v>
      </c>
      <c r="AE4174">
        <f t="shared" si="130"/>
        <v>602.46</v>
      </c>
      <c r="AF4174" t="str">
        <f t="shared" si="131"/>
        <v>2026-06</v>
      </c>
      <c r="AG4174">
        <f>SUBTOTAL(103,A4174)</f>
        <v>1</v>
      </c>
    </row>
    <row r="4175" spans="1:33" x14ac:dyDescent="0.3">
      <c r="A4175" t="s">
        <v>6798</v>
      </c>
      <c r="B4175" s="13">
        <v>46193</v>
      </c>
      <c r="C4175">
        <v>2026</v>
      </c>
      <c r="D4175">
        <v>6</v>
      </c>
      <c r="E4175" t="s">
        <v>3813</v>
      </c>
      <c r="F4175" t="s">
        <v>3329</v>
      </c>
      <c r="G4175" t="s">
        <v>913</v>
      </c>
      <c r="H4175" t="s">
        <v>914</v>
      </c>
      <c r="I4175" t="s">
        <v>85</v>
      </c>
      <c r="J4175">
        <v>46</v>
      </c>
      <c r="K4175" t="s">
        <v>83</v>
      </c>
      <c r="L4175" t="s">
        <v>2612</v>
      </c>
      <c r="M4175" t="s">
        <v>64</v>
      </c>
      <c r="N4175" t="s">
        <v>2584</v>
      </c>
      <c r="O4175" t="s">
        <v>121</v>
      </c>
      <c r="P4175" t="s">
        <v>50</v>
      </c>
      <c r="Q4175" t="s">
        <v>144</v>
      </c>
      <c r="R4175">
        <v>1</v>
      </c>
      <c r="S4175">
        <v>2999</v>
      </c>
      <c r="T4175">
        <v>0.1</v>
      </c>
      <c r="U4175">
        <v>2699.1</v>
      </c>
      <c r="V4175">
        <v>1700</v>
      </c>
      <c r="W4175">
        <v>999.1</v>
      </c>
      <c r="X4175" t="s">
        <v>76</v>
      </c>
      <c r="Y4175" t="s">
        <v>68</v>
      </c>
      <c r="Z4175" t="s">
        <v>158</v>
      </c>
      <c r="AA4175" t="s">
        <v>166</v>
      </c>
      <c r="AB4175">
        <v>5</v>
      </c>
      <c r="AC4175">
        <v>40</v>
      </c>
      <c r="AD4175">
        <v>308.87</v>
      </c>
      <c r="AE4175">
        <f t="shared" si="130"/>
        <v>650.23</v>
      </c>
      <c r="AF4175" t="str">
        <f t="shared" si="131"/>
        <v>2026-06</v>
      </c>
      <c r="AG4175">
        <f>SUBTOTAL(103,A4175)</f>
        <v>1</v>
      </c>
    </row>
    <row r="4176" spans="1:33" x14ac:dyDescent="0.3">
      <c r="A4176" t="s">
        <v>6799</v>
      </c>
      <c r="B4176" s="13">
        <v>46193</v>
      </c>
      <c r="C4176">
        <v>2026</v>
      </c>
      <c r="D4176">
        <v>6</v>
      </c>
      <c r="E4176" t="s">
        <v>3813</v>
      </c>
      <c r="F4176" t="s">
        <v>3329</v>
      </c>
      <c r="G4176" t="s">
        <v>1127</v>
      </c>
      <c r="H4176" t="s">
        <v>1128</v>
      </c>
      <c r="I4176" t="s">
        <v>85</v>
      </c>
      <c r="J4176">
        <v>25</v>
      </c>
      <c r="K4176" t="s">
        <v>80</v>
      </c>
      <c r="L4176" t="s">
        <v>94</v>
      </c>
      <c r="M4176" t="s">
        <v>57</v>
      </c>
      <c r="N4176" t="s">
        <v>2592</v>
      </c>
      <c r="O4176" t="s">
        <v>115</v>
      </c>
      <c r="P4176" t="s">
        <v>48</v>
      </c>
      <c r="Q4176" t="s">
        <v>137</v>
      </c>
      <c r="R4176">
        <v>1</v>
      </c>
      <c r="S4176">
        <v>12999</v>
      </c>
      <c r="T4176">
        <v>0.15</v>
      </c>
      <c r="U4176">
        <v>11049.15</v>
      </c>
      <c r="V4176">
        <v>9000</v>
      </c>
      <c r="W4176">
        <v>2049.15</v>
      </c>
      <c r="X4176" t="s">
        <v>74</v>
      </c>
      <c r="Y4176" t="s">
        <v>68</v>
      </c>
      <c r="Z4176" t="s">
        <v>162</v>
      </c>
      <c r="AA4176" t="s">
        <v>170</v>
      </c>
      <c r="AB4176">
        <v>4</v>
      </c>
      <c r="AC4176">
        <v>120</v>
      </c>
      <c r="AD4176">
        <v>957.12</v>
      </c>
      <c r="AE4176">
        <f t="shared" si="130"/>
        <v>972.03000000000009</v>
      </c>
      <c r="AF4176" t="str">
        <f t="shared" si="131"/>
        <v>2026-06</v>
      </c>
      <c r="AG4176">
        <f>SUBTOTAL(103,A4176)</f>
        <v>1</v>
      </c>
    </row>
    <row r="4177" spans="1:33" x14ac:dyDescent="0.3">
      <c r="A4177" t="s">
        <v>6800</v>
      </c>
      <c r="B4177" s="13">
        <v>46194</v>
      </c>
      <c r="C4177">
        <v>2026</v>
      </c>
      <c r="D4177">
        <v>6</v>
      </c>
      <c r="E4177" t="s">
        <v>3813</v>
      </c>
      <c r="F4177" t="s">
        <v>3329</v>
      </c>
      <c r="G4177" t="s">
        <v>925</v>
      </c>
      <c r="H4177" t="s">
        <v>926</v>
      </c>
      <c r="I4177" t="s">
        <v>85</v>
      </c>
      <c r="J4177">
        <v>34</v>
      </c>
      <c r="K4177" t="s">
        <v>81</v>
      </c>
      <c r="L4177" t="s">
        <v>2616</v>
      </c>
      <c r="M4177" t="s">
        <v>62</v>
      </c>
      <c r="N4177" t="s">
        <v>2603</v>
      </c>
      <c r="O4177" t="s">
        <v>122</v>
      </c>
      <c r="P4177" t="s">
        <v>48</v>
      </c>
      <c r="Q4177" t="s">
        <v>141</v>
      </c>
      <c r="R4177">
        <v>5</v>
      </c>
      <c r="S4177">
        <v>2499</v>
      </c>
      <c r="T4177">
        <v>0.05</v>
      </c>
      <c r="U4177">
        <v>11870.25</v>
      </c>
      <c r="V4177">
        <v>7250</v>
      </c>
      <c r="W4177">
        <v>4620.25</v>
      </c>
      <c r="X4177" t="s">
        <v>73</v>
      </c>
      <c r="Y4177" t="s">
        <v>70</v>
      </c>
      <c r="Z4177" t="s">
        <v>161</v>
      </c>
      <c r="AA4177" t="s">
        <v>169</v>
      </c>
      <c r="AB4177">
        <v>2.8</v>
      </c>
      <c r="AC4177">
        <v>80</v>
      </c>
      <c r="AD4177">
        <v>1391.26</v>
      </c>
      <c r="AE4177">
        <f t="shared" si="130"/>
        <v>3148.99</v>
      </c>
      <c r="AF4177" t="str">
        <f t="shared" si="131"/>
        <v>2026-06</v>
      </c>
      <c r="AG4177">
        <f>SUBTOTAL(103,A4177)</f>
        <v>1</v>
      </c>
    </row>
    <row r="4178" spans="1:33" x14ac:dyDescent="0.3">
      <c r="A4178" t="s">
        <v>6801</v>
      </c>
      <c r="B4178" s="13">
        <v>46194</v>
      </c>
      <c r="C4178">
        <v>2026</v>
      </c>
      <c r="D4178">
        <v>6</v>
      </c>
      <c r="E4178" t="s">
        <v>3813</v>
      </c>
      <c r="F4178" t="s">
        <v>3329</v>
      </c>
      <c r="G4178" t="s">
        <v>1211</v>
      </c>
      <c r="H4178" t="s">
        <v>1212</v>
      </c>
      <c r="I4178" t="s">
        <v>86</v>
      </c>
      <c r="J4178">
        <v>48</v>
      </c>
      <c r="K4178" t="s">
        <v>83</v>
      </c>
      <c r="L4178" t="s">
        <v>98</v>
      </c>
      <c r="M4178" t="s">
        <v>55</v>
      </c>
      <c r="N4178" t="s">
        <v>2653</v>
      </c>
      <c r="O4178" t="s">
        <v>132</v>
      </c>
      <c r="P4178" t="s">
        <v>52</v>
      </c>
      <c r="Q4178" t="s">
        <v>150</v>
      </c>
      <c r="R4178">
        <v>3</v>
      </c>
      <c r="S4178">
        <v>899</v>
      </c>
      <c r="T4178">
        <v>0</v>
      </c>
      <c r="U4178">
        <v>2697</v>
      </c>
      <c r="V4178">
        <v>1260</v>
      </c>
      <c r="W4178">
        <v>1437</v>
      </c>
      <c r="X4178" t="s">
        <v>73</v>
      </c>
      <c r="Y4178" t="s">
        <v>68</v>
      </c>
      <c r="Z4178" t="s">
        <v>161</v>
      </c>
      <c r="AA4178" t="s">
        <v>166</v>
      </c>
      <c r="AB4178">
        <v>4.0999999999999996</v>
      </c>
      <c r="AC4178">
        <v>60</v>
      </c>
      <c r="AD4178">
        <v>111.2</v>
      </c>
      <c r="AE4178">
        <f t="shared" si="130"/>
        <v>1265.8</v>
      </c>
      <c r="AF4178" t="str">
        <f t="shared" si="131"/>
        <v>2026-06</v>
      </c>
      <c r="AG4178">
        <f>SUBTOTAL(103,A4178)</f>
        <v>1</v>
      </c>
    </row>
    <row r="4179" spans="1:33" x14ac:dyDescent="0.3">
      <c r="A4179" t="s">
        <v>6802</v>
      </c>
      <c r="B4179" s="13">
        <v>46194</v>
      </c>
      <c r="C4179">
        <v>2026</v>
      </c>
      <c r="D4179">
        <v>6</v>
      </c>
      <c r="E4179" t="s">
        <v>3813</v>
      </c>
      <c r="F4179" t="s">
        <v>3329</v>
      </c>
      <c r="G4179" t="s">
        <v>1429</v>
      </c>
      <c r="H4179" t="s">
        <v>1430</v>
      </c>
      <c r="I4179" t="s">
        <v>86</v>
      </c>
      <c r="J4179">
        <v>45</v>
      </c>
      <c r="K4179" t="s">
        <v>82</v>
      </c>
      <c r="L4179" t="s">
        <v>2605</v>
      </c>
      <c r="M4179" t="s">
        <v>60</v>
      </c>
      <c r="N4179" t="s">
        <v>2596</v>
      </c>
      <c r="O4179" t="s">
        <v>124</v>
      </c>
      <c r="P4179" t="s">
        <v>51</v>
      </c>
      <c r="Q4179" t="s">
        <v>147</v>
      </c>
      <c r="R4179">
        <v>2</v>
      </c>
      <c r="S4179">
        <v>2299</v>
      </c>
      <c r="T4179">
        <v>0.15</v>
      </c>
      <c r="U4179">
        <v>3908.3</v>
      </c>
      <c r="V4179">
        <v>2400</v>
      </c>
      <c r="W4179">
        <v>1508.3</v>
      </c>
      <c r="X4179" t="s">
        <v>75</v>
      </c>
      <c r="Y4179" t="s">
        <v>68</v>
      </c>
      <c r="Z4179" t="s">
        <v>158</v>
      </c>
      <c r="AA4179" t="s">
        <v>169</v>
      </c>
      <c r="AB4179">
        <v>4.3</v>
      </c>
      <c r="AC4179">
        <v>50</v>
      </c>
      <c r="AD4179">
        <v>113.01</v>
      </c>
      <c r="AE4179">
        <f t="shared" si="130"/>
        <v>1345.29</v>
      </c>
      <c r="AF4179" t="str">
        <f t="shared" si="131"/>
        <v>2026-06</v>
      </c>
      <c r="AG4179">
        <f>SUBTOTAL(103,A4179)</f>
        <v>1</v>
      </c>
    </row>
    <row r="4180" spans="1:33" x14ac:dyDescent="0.3">
      <c r="A4180" t="s">
        <v>6803</v>
      </c>
      <c r="B4180" s="13">
        <v>46194</v>
      </c>
      <c r="C4180">
        <v>2026</v>
      </c>
      <c r="D4180">
        <v>6</v>
      </c>
      <c r="E4180" t="s">
        <v>3813</v>
      </c>
      <c r="F4180" t="s">
        <v>3329</v>
      </c>
      <c r="G4180" t="s">
        <v>635</v>
      </c>
      <c r="H4180" t="s">
        <v>636</v>
      </c>
      <c r="I4180" t="s">
        <v>86</v>
      </c>
      <c r="J4180">
        <v>21</v>
      </c>
      <c r="K4180" t="s">
        <v>80</v>
      </c>
      <c r="L4180" t="s">
        <v>90</v>
      </c>
      <c r="M4180" t="s">
        <v>55</v>
      </c>
      <c r="N4180" t="s">
        <v>2594</v>
      </c>
      <c r="O4180" t="s">
        <v>131</v>
      </c>
      <c r="P4180" t="s">
        <v>53</v>
      </c>
      <c r="Q4180" t="s">
        <v>143</v>
      </c>
      <c r="R4180">
        <v>3</v>
      </c>
      <c r="S4180">
        <v>999</v>
      </c>
      <c r="T4180">
        <v>0.15</v>
      </c>
      <c r="U4180">
        <v>2547.4499999999998</v>
      </c>
      <c r="V4180">
        <v>1560</v>
      </c>
      <c r="W4180">
        <v>987.45</v>
      </c>
      <c r="X4180" t="s">
        <v>76</v>
      </c>
      <c r="Y4180" t="s">
        <v>68</v>
      </c>
      <c r="Z4180" t="s">
        <v>160</v>
      </c>
      <c r="AA4180" t="s">
        <v>167</v>
      </c>
      <c r="AB4180">
        <v>3.4</v>
      </c>
      <c r="AC4180">
        <v>80</v>
      </c>
      <c r="AD4180">
        <v>176.04</v>
      </c>
      <c r="AE4180">
        <f t="shared" si="130"/>
        <v>731.41000000000008</v>
      </c>
      <c r="AF4180" t="str">
        <f t="shared" si="131"/>
        <v>2026-06</v>
      </c>
      <c r="AG4180">
        <f>SUBTOTAL(103,A4180)</f>
        <v>1</v>
      </c>
    </row>
    <row r="4181" spans="1:33" x14ac:dyDescent="0.3">
      <c r="A4181" t="s">
        <v>6804</v>
      </c>
      <c r="B4181" s="13">
        <v>46194</v>
      </c>
      <c r="C4181">
        <v>2026</v>
      </c>
      <c r="D4181">
        <v>6</v>
      </c>
      <c r="E4181" t="s">
        <v>3813</v>
      </c>
      <c r="F4181" t="s">
        <v>3329</v>
      </c>
      <c r="G4181" t="s">
        <v>1277</v>
      </c>
      <c r="H4181" t="s">
        <v>1278</v>
      </c>
      <c r="I4181" t="s">
        <v>85</v>
      </c>
      <c r="J4181">
        <v>34</v>
      </c>
      <c r="K4181" t="s">
        <v>81</v>
      </c>
      <c r="L4181" t="s">
        <v>90</v>
      </c>
      <c r="M4181" t="s">
        <v>55</v>
      </c>
      <c r="N4181" t="s">
        <v>2603</v>
      </c>
      <c r="O4181" t="s">
        <v>122</v>
      </c>
      <c r="P4181" t="s">
        <v>48</v>
      </c>
      <c r="Q4181" t="s">
        <v>141</v>
      </c>
      <c r="R4181">
        <v>4</v>
      </c>
      <c r="S4181">
        <v>2499</v>
      </c>
      <c r="T4181">
        <v>0.15</v>
      </c>
      <c r="U4181">
        <v>8496.6</v>
      </c>
      <c r="V4181">
        <v>5800</v>
      </c>
      <c r="W4181">
        <v>2696.6</v>
      </c>
      <c r="X4181" t="s">
        <v>73</v>
      </c>
      <c r="Y4181" t="s">
        <v>68</v>
      </c>
      <c r="Z4181" t="s">
        <v>160</v>
      </c>
      <c r="AA4181" t="s">
        <v>166</v>
      </c>
      <c r="AB4181">
        <v>2.9</v>
      </c>
      <c r="AC4181">
        <v>60</v>
      </c>
      <c r="AD4181">
        <v>564.33000000000004</v>
      </c>
      <c r="AE4181">
        <f t="shared" si="130"/>
        <v>2072.27</v>
      </c>
      <c r="AF4181" t="str">
        <f t="shared" si="131"/>
        <v>2026-06</v>
      </c>
      <c r="AG4181">
        <f>SUBTOTAL(103,A4181)</f>
        <v>1</v>
      </c>
    </row>
    <row r="4182" spans="1:33" x14ac:dyDescent="0.3">
      <c r="A4182" t="s">
        <v>6805</v>
      </c>
      <c r="B4182" s="13">
        <v>46194</v>
      </c>
      <c r="C4182">
        <v>2026</v>
      </c>
      <c r="D4182">
        <v>6</v>
      </c>
      <c r="E4182" t="s">
        <v>3813</v>
      </c>
      <c r="F4182" t="s">
        <v>3329</v>
      </c>
      <c r="G4182" t="s">
        <v>185</v>
      </c>
      <c r="H4182" t="s">
        <v>186</v>
      </c>
      <c r="I4182" t="s">
        <v>86</v>
      </c>
      <c r="J4182">
        <v>19</v>
      </c>
      <c r="K4182" t="s">
        <v>80</v>
      </c>
      <c r="L4182" t="s">
        <v>96</v>
      </c>
      <c r="M4182" t="s">
        <v>55</v>
      </c>
      <c r="N4182" t="s">
        <v>2592</v>
      </c>
      <c r="O4182" t="s">
        <v>115</v>
      </c>
      <c r="P4182" t="s">
        <v>48</v>
      </c>
      <c r="Q4182" t="s">
        <v>137</v>
      </c>
      <c r="R4182">
        <v>1</v>
      </c>
      <c r="S4182">
        <v>12999</v>
      </c>
      <c r="T4182">
        <v>0.05</v>
      </c>
      <c r="U4182">
        <v>12349.05</v>
      </c>
      <c r="V4182">
        <v>9000</v>
      </c>
      <c r="W4182">
        <v>3349.05</v>
      </c>
      <c r="X4182" t="s">
        <v>73</v>
      </c>
      <c r="Y4182" t="s">
        <v>68</v>
      </c>
      <c r="Z4182" t="s">
        <v>163</v>
      </c>
      <c r="AA4182" t="s">
        <v>170</v>
      </c>
      <c r="AB4182">
        <v>4.5</v>
      </c>
      <c r="AC4182">
        <v>50</v>
      </c>
      <c r="AD4182">
        <v>1320.98</v>
      </c>
      <c r="AE4182">
        <f t="shared" si="130"/>
        <v>1978.0700000000002</v>
      </c>
      <c r="AF4182" t="str">
        <f t="shared" si="131"/>
        <v>2026-06</v>
      </c>
      <c r="AG4182">
        <f>SUBTOTAL(103,A4182)</f>
        <v>1</v>
      </c>
    </row>
    <row r="4183" spans="1:33" x14ac:dyDescent="0.3">
      <c r="A4183" t="s">
        <v>6806</v>
      </c>
      <c r="B4183" s="13">
        <v>46194</v>
      </c>
      <c r="C4183">
        <v>2026</v>
      </c>
      <c r="D4183">
        <v>6</v>
      </c>
      <c r="E4183" t="s">
        <v>3813</v>
      </c>
      <c r="F4183" t="s">
        <v>3329</v>
      </c>
      <c r="G4183" t="s">
        <v>1313</v>
      </c>
      <c r="H4183" t="s">
        <v>1314</v>
      </c>
      <c r="I4183" t="s">
        <v>85</v>
      </c>
      <c r="J4183">
        <v>48</v>
      </c>
      <c r="K4183" t="s">
        <v>83</v>
      </c>
      <c r="L4183" t="s">
        <v>2687</v>
      </c>
      <c r="M4183" t="s">
        <v>57</v>
      </c>
      <c r="N4183" t="s">
        <v>2606</v>
      </c>
      <c r="O4183" t="s">
        <v>120</v>
      </c>
      <c r="P4183" t="s">
        <v>49</v>
      </c>
      <c r="Q4183" t="s">
        <v>140</v>
      </c>
      <c r="R4183">
        <v>2</v>
      </c>
      <c r="S4183">
        <v>2799</v>
      </c>
      <c r="T4183">
        <v>0.25</v>
      </c>
      <c r="U4183">
        <v>4198.5</v>
      </c>
      <c r="V4183">
        <v>3300</v>
      </c>
      <c r="W4183">
        <v>898.5</v>
      </c>
      <c r="X4183" t="s">
        <v>75</v>
      </c>
      <c r="Y4183" t="s">
        <v>69</v>
      </c>
      <c r="Z4183" t="s">
        <v>163</v>
      </c>
      <c r="AA4183" t="s">
        <v>166</v>
      </c>
      <c r="AB4183">
        <v>3.5</v>
      </c>
      <c r="AC4183">
        <v>80</v>
      </c>
      <c r="AD4183">
        <v>388.24</v>
      </c>
      <c r="AE4183">
        <f t="shared" si="130"/>
        <v>430.26</v>
      </c>
      <c r="AF4183" t="str">
        <f t="shared" si="131"/>
        <v>2026-06</v>
      </c>
      <c r="AG4183">
        <f>SUBTOTAL(103,A4183)</f>
        <v>1</v>
      </c>
    </row>
    <row r="4184" spans="1:33" x14ac:dyDescent="0.3">
      <c r="A4184" t="s">
        <v>6807</v>
      </c>
      <c r="B4184" s="13">
        <v>46194</v>
      </c>
      <c r="C4184">
        <v>2026</v>
      </c>
      <c r="D4184">
        <v>6</v>
      </c>
      <c r="E4184" t="s">
        <v>3813</v>
      </c>
      <c r="F4184" t="s">
        <v>3329</v>
      </c>
      <c r="G4184" t="s">
        <v>1763</v>
      </c>
      <c r="H4184" t="s">
        <v>1764</v>
      </c>
      <c r="I4184" t="s">
        <v>85</v>
      </c>
      <c r="J4184">
        <v>24</v>
      </c>
      <c r="K4184" t="s">
        <v>80</v>
      </c>
      <c r="L4184" t="s">
        <v>90</v>
      </c>
      <c r="M4184" t="s">
        <v>55</v>
      </c>
      <c r="N4184" t="s">
        <v>2665</v>
      </c>
      <c r="O4184" t="s">
        <v>128</v>
      </c>
      <c r="P4184" t="s">
        <v>53</v>
      </c>
      <c r="Q4184" t="s">
        <v>143</v>
      </c>
      <c r="R4184">
        <v>3</v>
      </c>
      <c r="S4184">
        <v>1499</v>
      </c>
      <c r="T4184">
        <v>0.1</v>
      </c>
      <c r="U4184">
        <v>4047.3</v>
      </c>
      <c r="V4184">
        <v>2400</v>
      </c>
      <c r="W4184">
        <v>1647.3</v>
      </c>
      <c r="X4184" t="s">
        <v>73</v>
      </c>
      <c r="Y4184" t="s">
        <v>68</v>
      </c>
      <c r="Z4184" t="s">
        <v>159</v>
      </c>
      <c r="AA4184" t="s">
        <v>169</v>
      </c>
      <c r="AB4184">
        <v>4</v>
      </c>
      <c r="AC4184">
        <v>60</v>
      </c>
      <c r="AD4184">
        <v>143.97</v>
      </c>
      <c r="AE4184">
        <f t="shared" si="130"/>
        <v>1443.33</v>
      </c>
      <c r="AF4184" t="str">
        <f t="shared" si="131"/>
        <v>2026-06</v>
      </c>
      <c r="AG4184">
        <f>SUBTOTAL(103,A4184)</f>
        <v>1</v>
      </c>
    </row>
    <row r="4185" spans="1:33" x14ac:dyDescent="0.3">
      <c r="A4185" t="s">
        <v>6808</v>
      </c>
      <c r="B4185" s="13">
        <v>46194</v>
      </c>
      <c r="C4185">
        <v>2026</v>
      </c>
      <c r="D4185">
        <v>6</v>
      </c>
      <c r="E4185" t="s">
        <v>3813</v>
      </c>
      <c r="F4185" t="s">
        <v>3329</v>
      </c>
      <c r="G4185" t="s">
        <v>1425</v>
      </c>
      <c r="H4185" t="s">
        <v>1426</v>
      </c>
      <c r="I4185" t="s">
        <v>86</v>
      </c>
      <c r="J4185">
        <v>19</v>
      </c>
      <c r="K4185" t="s">
        <v>80</v>
      </c>
      <c r="L4185" t="s">
        <v>2573</v>
      </c>
      <c r="M4185" t="s">
        <v>63</v>
      </c>
      <c r="N4185" t="s">
        <v>2606</v>
      </c>
      <c r="O4185" t="s">
        <v>120</v>
      </c>
      <c r="P4185" t="s">
        <v>49</v>
      </c>
      <c r="Q4185" t="s">
        <v>140</v>
      </c>
      <c r="R4185">
        <v>2</v>
      </c>
      <c r="S4185">
        <v>2799</v>
      </c>
      <c r="T4185">
        <v>0.15</v>
      </c>
      <c r="U4185">
        <v>4758.3</v>
      </c>
      <c r="V4185">
        <v>3300</v>
      </c>
      <c r="W4185">
        <v>1458.3</v>
      </c>
      <c r="X4185" t="s">
        <v>76</v>
      </c>
      <c r="Y4185" t="s">
        <v>68</v>
      </c>
      <c r="Z4185" t="s">
        <v>158</v>
      </c>
      <c r="AA4185" t="s">
        <v>168</v>
      </c>
      <c r="AB4185">
        <v>4.3</v>
      </c>
      <c r="AC4185">
        <v>100</v>
      </c>
      <c r="AD4185">
        <v>437.25</v>
      </c>
      <c r="AE4185">
        <f t="shared" si="130"/>
        <v>921.05</v>
      </c>
      <c r="AF4185" t="str">
        <f t="shared" si="131"/>
        <v>2026-06</v>
      </c>
      <c r="AG4185">
        <f>SUBTOTAL(103,A4185)</f>
        <v>1</v>
      </c>
    </row>
    <row r="4186" spans="1:33" x14ac:dyDescent="0.3">
      <c r="A4186" t="s">
        <v>6809</v>
      </c>
      <c r="B4186" s="13">
        <v>46195</v>
      </c>
      <c r="C4186">
        <v>2026</v>
      </c>
      <c r="D4186">
        <v>6</v>
      </c>
      <c r="E4186" t="s">
        <v>3813</v>
      </c>
      <c r="F4186" t="s">
        <v>3329</v>
      </c>
      <c r="G4186" t="s">
        <v>1727</v>
      </c>
      <c r="H4186" t="s">
        <v>1728</v>
      </c>
      <c r="I4186" t="s">
        <v>86</v>
      </c>
      <c r="J4186">
        <v>41</v>
      </c>
      <c r="K4186" t="s">
        <v>82</v>
      </c>
      <c r="L4186" t="s">
        <v>100</v>
      </c>
      <c r="M4186" t="s">
        <v>56</v>
      </c>
      <c r="N4186" t="s">
        <v>2577</v>
      </c>
      <c r="O4186" t="s">
        <v>129</v>
      </c>
      <c r="P4186" t="s">
        <v>49</v>
      </c>
      <c r="Q4186" t="s">
        <v>149</v>
      </c>
      <c r="R4186">
        <v>4</v>
      </c>
      <c r="S4186">
        <v>1299</v>
      </c>
      <c r="T4186">
        <v>0.05</v>
      </c>
      <c r="U4186">
        <v>4936.2</v>
      </c>
      <c r="V4186">
        <v>2600</v>
      </c>
      <c r="W4186">
        <v>2336.1999999999998</v>
      </c>
      <c r="X4186" t="s">
        <v>76</v>
      </c>
      <c r="Y4186" t="s">
        <v>68</v>
      </c>
      <c r="Z4186" t="s">
        <v>159</v>
      </c>
      <c r="AA4186" t="s">
        <v>166</v>
      </c>
      <c r="AB4186">
        <v>4.7</v>
      </c>
      <c r="AC4186">
        <v>80</v>
      </c>
      <c r="AD4186">
        <v>156.83000000000001</v>
      </c>
      <c r="AE4186">
        <f t="shared" si="130"/>
        <v>2099.37</v>
      </c>
      <c r="AF4186" t="str">
        <f t="shared" si="131"/>
        <v>2026-06</v>
      </c>
      <c r="AG4186">
        <f>SUBTOTAL(103,A4186)</f>
        <v>1</v>
      </c>
    </row>
    <row r="4187" spans="1:33" x14ac:dyDescent="0.3">
      <c r="A4187" t="s">
        <v>6810</v>
      </c>
      <c r="B4187" s="13">
        <v>46195</v>
      </c>
      <c r="C4187">
        <v>2026</v>
      </c>
      <c r="D4187">
        <v>6</v>
      </c>
      <c r="E4187" t="s">
        <v>3813</v>
      </c>
      <c r="F4187" t="s">
        <v>3329</v>
      </c>
      <c r="G4187" t="s">
        <v>739</v>
      </c>
      <c r="H4187" t="s">
        <v>740</v>
      </c>
      <c r="I4187" t="s">
        <v>86</v>
      </c>
      <c r="J4187">
        <v>21</v>
      </c>
      <c r="K4187" t="s">
        <v>80</v>
      </c>
      <c r="L4187" t="s">
        <v>96</v>
      </c>
      <c r="M4187" t="s">
        <v>55</v>
      </c>
      <c r="N4187" t="s">
        <v>2647</v>
      </c>
      <c r="O4187" t="s">
        <v>133</v>
      </c>
      <c r="P4187" t="s">
        <v>50</v>
      </c>
      <c r="Q4187" t="s">
        <v>145</v>
      </c>
      <c r="R4187">
        <v>1</v>
      </c>
      <c r="S4187">
        <v>799</v>
      </c>
      <c r="T4187">
        <v>0.1</v>
      </c>
      <c r="U4187">
        <v>719.1</v>
      </c>
      <c r="V4187">
        <v>390</v>
      </c>
      <c r="W4187">
        <v>329.1</v>
      </c>
      <c r="X4187" t="s">
        <v>74</v>
      </c>
      <c r="Y4187" t="s">
        <v>68</v>
      </c>
      <c r="Z4187" t="s">
        <v>158</v>
      </c>
      <c r="AA4187" t="s">
        <v>171</v>
      </c>
      <c r="AB4187">
        <v>4.9000000000000004</v>
      </c>
      <c r="AC4187">
        <v>40</v>
      </c>
      <c r="AD4187">
        <v>75.88</v>
      </c>
      <c r="AE4187">
        <f t="shared" si="130"/>
        <v>213.22000000000003</v>
      </c>
      <c r="AF4187" t="str">
        <f t="shared" si="131"/>
        <v>2026-06</v>
      </c>
      <c r="AG4187">
        <f>SUBTOTAL(103,A4187)</f>
        <v>1</v>
      </c>
    </row>
    <row r="4188" spans="1:33" x14ac:dyDescent="0.3">
      <c r="A4188" t="s">
        <v>6811</v>
      </c>
      <c r="B4188" s="13">
        <v>46195</v>
      </c>
      <c r="C4188">
        <v>2026</v>
      </c>
      <c r="D4188">
        <v>6</v>
      </c>
      <c r="E4188" t="s">
        <v>3813</v>
      </c>
      <c r="F4188" t="s">
        <v>3329</v>
      </c>
      <c r="G4188" t="s">
        <v>295</v>
      </c>
      <c r="H4188" t="s">
        <v>296</v>
      </c>
      <c r="I4188" t="s">
        <v>85</v>
      </c>
      <c r="J4188">
        <v>34</v>
      </c>
      <c r="K4188" t="s">
        <v>81</v>
      </c>
      <c r="L4188" t="s">
        <v>2674</v>
      </c>
      <c r="M4188" t="s">
        <v>58</v>
      </c>
      <c r="N4188" t="s">
        <v>2590</v>
      </c>
      <c r="O4188" t="s">
        <v>127</v>
      </c>
      <c r="P4188" t="s">
        <v>51</v>
      </c>
      <c r="Q4188" t="s">
        <v>148</v>
      </c>
      <c r="R4188">
        <v>2</v>
      </c>
      <c r="S4188">
        <v>1599</v>
      </c>
      <c r="T4188">
        <v>0.05</v>
      </c>
      <c r="U4188">
        <v>3038.1</v>
      </c>
      <c r="V4188">
        <v>1600</v>
      </c>
      <c r="W4188">
        <v>1438.1</v>
      </c>
      <c r="X4188" t="s">
        <v>73</v>
      </c>
      <c r="Y4188" t="s">
        <v>68</v>
      </c>
      <c r="Z4188" t="s">
        <v>158</v>
      </c>
      <c r="AA4188" t="s">
        <v>166</v>
      </c>
      <c r="AB4188">
        <v>4</v>
      </c>
      <c r="AC4188">
        <v>50</v>
      </c>
      <c r="AD4188">
        <v>108.8</v>
      </c>
      <c r="AE4188">
        <f t="shared" si="130"/>
        <v>1279.3</v>
      </c>
      <c r="AF4188" t="str">
        <f t="shared" si="131"/>
        <v>2026-06</v>
      </c>
      <c r="AG4188">
        <f>SUBTOTAL(103,A4188)</f>
        <v>1</v>
      </c>
    </row>
    <row r="4189" spans="1:33" x14ac:dyDescent="0.3">
      <c r="A4189" t="s">
        <v>6812</v>
      </c>
      <c r="B4189" s="13">
        <v>46195</v>
      </c>
      <c r="C4189">
        <v>2026</v>
      </c>
      <c r="D4189">
        <v>6</v>
      </c>
      <c r="E4189" t="s">
        <v>3813</v>
      </c>
      <c r="F4189" t="s">
        <v>3329</v>
      </c>
      <c r="G4189" t="s">
        <v>2095</v>
      </c>
      <c r="H4189" t="s">
        <v>2096</v>
      </c>
      <c r="I4189" t="s">
        <v>85</v>
      </c>
      <c r="J4189">
        <v>38</v>
      </c>
      <c r="K4189" t="s">
        <v>82</v>
      </c>
      <c r="L4189" t="s">
        <v>91</v>
      </c>
      <c r="M4189" t="s">
        <v>55</v>
      </c>
      <c r="N4189" t="s">
        <v>2596</v>
      </c>
      <c r="O4189" t="s">
        <v>124</v>
      </c>
      <c r="P4189" t="s">
        <v>51</v>
      </c>
      <c r="Q4189" t="s">
        <v>147</v>
      </c>
      <c r="R4189">
        <v>5</v>
      </c>
      <c r="S4189">
        <v>2299</v>
      </c>
      <c r="T4189">
        <v>0.05</v>
      </c>
      <c r="U4189">
        <v>0</v>
      </c>
      <c r="V4189">
        <v>0</v>
      </c>
      <c r="W4189">
        <v>0</v>
      </c>
      <c r="X4189" t="s">
        <v>77</v>
      </c>
      <c r="Y4189" t="s">
        <v>71</v>
      </c>
      <c r="Z4189" t="s">
        <v>159</v>
      </c>
      <c r="AA4189" t="s">
        <v>170</v>
      </c>
      <c r="AB4189">
        <v>4.0999999999999996</v>
      </c>
      <c r="AC4189">
        <v>50</v>
      </c>
      <c r="AD4189">
        <v>1076.97</v>
      </c>
      <c r="AE4189">
        <f t="shared" si="130"/>
        <v>-1126.97</v>
      </c>
      <c r="AF4189" t="str">
        <f t="shared" si="131"/>
        <v>2026-06</v>
      </c>
      <c r="AG4189">
        <f>SUBTOTAL(103,A4189)</f>
        <v>1</v>
      </c>
    </row>
    <row r="4190" spans="1:33" x14ac:dyDescent="0.3">
      <c r="A4190" t="s">
        <v>6813</v>
      </c>
      <c r="B4190" s="13">
        <v>46195</v>
      </c>
      <c r="C4190">
        <v>2026</v>
      </c>
      <c r="D4190">
        <v>6</v>
      </c>
      <c r="E4190" t="s">
        <v>3813</v>
      </c>
      <c r="F4190" t="s">
        <v>3329</v>
      </c>
      <c r="G4190" t="s">
        <v>475</v>
      </c>
      <c r="H4190" t="s">
        <v>476</v>
      </c>
      <c r="I4190" t="s">
        <v>86</v>
      </c>
      <c r="J4190">
        <v>26</v>
      </c>
      <c r="K4190" t="s">
        <v>81</v>
      </c>
      <c r="L4190" t="s">
        <v>100</v>
      </c>
      <c r="M4190" t="s">
        <v>56</v>
      </c>
      <c r="N4190" t="s">
        <v>2665</v>
      </c>
      <c r="O4190" t="s">
        <v>128</v>
      </c>
      <c r="P4190" t="s">
        <v>53</v>
      </c>
      <c r="Q4190" t="s">
        <v>143</v>
      </c>
      <c r="R4190">
        <v>1</v>
      </c>
      <c r="S4190">
        <v>1499</v>
      </c>
      <c r="T4190">
        <v>0.15</v>
      </c>
      <c r="U4190">
        <v>0</v>
      </c>
      <c r="V4190">
        <v>0</v>
      </c>
      <c r="W4190">
        <v>0</v>
      </c>
      <c r="X4190" t="s">
        <v>73</v>
      </c>
      <c r="Y4190" t="s">
        <v>71</v>
      </c>
      <c r="Z4190" t="s">
        <v>159</v>
      </c>
      <c r="AA4190" t="s">
        <v>168</v>
      </c>
      <c r="AB4190">
        <v>2.4</v>
      </c>
      <c r="AC4190">
        <v>50</v>
      </c>
      <c r="AD4190">
        <v>36.04</v>
      </c>
      <c r="AE4190">
        <f t="shared" si="130"/>
        <v>-86.039999999999992</v>
      </c>
      <c r="AF4190" t="str">
        <f t="shared" si="131"/>
        <v>2026-06</v>
      </c>
      <c r="AG4190">
        <f>SUBTOTAL(103,A4190)</f>
        <v>1</v>
      </c>
    </row>
    <row r="4191" spans="1:33" x14ac:dyDescent="0.3">
      <c r="A4191" t="s">
        <v>6814</v>
      </c>
      <c r="B4191" s="13">
        <v>46195</v>
      </c>
      <c r="C4191">
        <v>2026</v>
      </c>
      <c r="D4191">
        <v>6</v>
      </c>
      <c r="E4191" t="s">
        <v>3813</v>
      </c>
      <c r="F4191" t="s">
        <v>3329</v>
      </c>
      <c r="G4191" t="s">
        <v>617</v>
      </c>
      <c r="H4191" t="s">
        <v>618</v>
      </c>
      <c r="I4191" t="s">
        <v>85</v>
      </c>
      <c r="J4191">
        <v>45</v>
      </c>
      <c r="K4191" t="s">
        <v>82</v>
      </c>
      <c r="L4191" t="s">
        <v>90</v>
      </c>
      <c r="M4191" t="s">
        <v>55</v>
      </c>
      <c r="N4191" t="s">
        <v>2577</v>
      </c>
      <c r="O4191" t="s">
        <v>129</v>
      </c>
      <c r="P4191" t="s">
        <v>49</v>
      </c>
      <c r="Q4191" t="s">
        <v>149</v>
      </c>
      <c r="R4191">
        <v>2</v>
      </c>
      <c r="S4191">
        <v>1299</v>
      </c>
      <c r="T4191">
        <v>0.15</v>
      </c>
      <c r="U4191">
        <v>2208.3000000000002</v>
      </c>
      <c r="V4191">
        <v>1300</v>
      </c>
      <c r="W4191">
        <v>908.3</v>
      </c>
      <c r="X4191" t="s">
        <v>75</v>
      </c>
      <c r="Y4191" t="s">
        <v>68</v>
      </c>
      <c r="Z4191" t="s">
        <v>161</v>
      </c>
      <c r="AA4191" t="s">
        <v>168</v>
      </c>
      <c r="AB4191">
        <v>3.5</v>
      </c>
      <c r="AC4191">
        <v>60</v>
      </c>
      <c r="AD4191">
        <v>76.59</v>
      </c>
      <c r="AE4191">
        <f t="shared" si="130"/>
        <v>771.70999999999992</v>
      </c>
      <c r="AF4191" t="str">
        <f t="shared" si="131"/>
        <v>2026-06</v>
      </c>
      <c r="AG4191">
        <f>SUBTOTAL(103,A4191)</f>
        <v>1</v>
      </c>
    </row>
    <row r="4192" spans="1:33" x14ac:dyDescent="0.3">
      <c r="A4192" t="s">
        <v>6815</v>
      </c>
      <c r="B4192" s="13">
        <v>46195</v>
      </c>
      <c r="C4192">
        <v>2026</v>
      </c>
      <c r="D4192">
        <v>6</v>
      </c>
      <c r="E4192" t="s">
        <v>3813</v>
      </c>
      <c r="F4192" t="s">
        <v>3329</v>
      </c>
      <c r="G4192" t="s">
        <v>981</v>
      </c>
      <c r="H4192" t="s">
        <v>982</v>
      </c>
      <c r="I4192" t="s">
        <v>86</v>
      </c>
      <c r="J4192">
        <v>47</v>
      </c>
      <c r="K4192" t="s">
        <v>83</v>
      </c>
      <c r="L4192" t="s">
        <v>95</v>
      </c>
      <c r="M4192" t="s">
        <v>56</v>
      </c>
      <c r="N4192" t="s">
        <v>2644</v>
      </c>
      <c r="O4192" t="s">
        <v>126</v>
      </c>
      <c r="P4192" t="s">
        <v>50</v>
      </c>
      <c r="Q4192" t="s">
        <v>145</v>
      </c>
      <c r="R4192">
        <v>4</v>
      </c>
      <c r="S4192">
        <v>1799</v>
      </c>
      <c r="T4192">
        <v>0.15</v>
      </c>
      <c r="U4192">
        <v>6116.6</v>
      </c>
      <c r="V4192">
        <v>3800</v>
      </c>
      <c r="W4192">
        <v>2316.6</v>
      </c>
      <c r="X4192" t="s">
        <v>73</v>
      </c>
      <c r="Y4192" t="s">
        <v>68</v>
      </c>
      <c r="Z4192" t="s">
        <v>159</v>
      </c>
      <c r="AA4192" t="s">
        <v>171</v>
      </c>
      <c r="AB4192">
        <v>4.5999999999999996</v>
      </c>
      <c r="AC4192">
        <v>120</v>
      </c>
      <c r="AD4192">
        <v>217.81</v>
      </c>
      <c r="AE4192">
        <f t="shared" si="130"/>
        <v>1978.79</v>
      </c>
      <c r="AF4192" t="str">
        <f t="shared" si="131"/>
        <v>2026-06</v>
      </c>
      <c r="AG4192">
        <f>SUBTOTAL(103,A4192)</f>
        <v>1</v>
      </c>
    </row>
    <row r="4193" spans="1:33" x14ac:dyDescent="0.3">
      <c r="A4193" t="s">
        <v>6816</v>
      </c>
      <c r="B4193" s="13">
        <v>46195</v>
      </c>
      <c r="C4193">
        <v>2026</v>
      </c>
      <c r="D4193">
        <v>6</v>
      </c>
      <c r="E4193" t="s">
        <v>3813</v>
      </c>
      <c r="F4193" t="s">
        <v>3329</v>
      </c>
      <c r="G4193" t="s">
        <v>931</v>
      </c>
      <c r="H4193" t="s">
        <v>932</v>
      </c>
      <c r="I4193" t="s">
        <v>86</v>
      </c>
      <c r="J4193">
        <v>39</v>
      </c>
      <c r="K4193" t="s">
        <v>82</v>
      </c>
      <c r="L4193" t="s">
        <v>2579</v>
      </c>
      <c r="M4193" t="s">
        <v>56</v>
      </c>
      <c r="N4193" t="s">
        <v>2626</v>
      </c>
      <c r="O4193" t="s">
        <v>125</v>
      </c>
      <c r="P4193" t="s">
        <v>48</v>
      </c>
      <c r="Q4193" t="s">
        <v>141</v>
      </c>
      <c r="R4193">
        <v>5</v>
      </c>
      <c r="S4193">
        <v>1999</v>
      </c>
      <c r="T4193">
        <v>0.15</v>
      </c>
      <c r="U4193">
        <v>8495.75</v>
      </c>
      <c r="V4193">
        <v>5750</v>
      </c>
      <c r="W4193">
        <v>2745.75</v>
      </c>
      <c r="X4193" t="s">
        <v>76</v>
      </c>
      <c r="Y4193" t="s">
        <v>68</v>
      </c>
      <c r="Z4193" t="s">
        <v>163</v>
      </c>
      <c r="AA4193" t="s">
        <v>166</v>
      </c>
      <c r="AB4193">
        <v>4.4000000000000004</v>
      </c>
      <c r="AC4193">
        <v>50</v>
      </c>
      <c r="AD4193">
        <v>886.92</v>
      </c>
      <c r="AE4193">
        <f t="shared" si="130"/>
        <v>1808.83</v>
      </c>
      <c r="AF4193" t="str">
        <f t="shared" si="131"/>
        <v>2026-06</v>
      </c>
      <c r="AG4193">
        <f>SUBTOTAL(103,A4193)</f>
        <v>1</v>
      </c>
    </row>
    <row r="4194" spans="1:33" x14ac:dyDescent="0.3">
      <c r="A4194" t="s">
        <v>6817</v>
      </c>
      <c r="B4194" s="13">
        <v>46195</v>
      </c>
      <c r="C4194">
        <v>2026</v>
      </c>
      <c r="D4194">
        <v>6</v>
      </c>
      <c r="E4194" t="s">
        <v>3813</v>
      </c>
      <c r="F4194" t="s">
        <v>3329</v>
      </c>
      <c r="G4194" t="s">
        <v>1079</v>
      </c>
      <c r="H4194" t="s">
        <v>1080</v>
      </c>
      <c r="I4194" t="s">
        <v>85</v>
      </c>
      <c r="J4194">
        <v>52</v>
      </c>
      <c r="K4194" t="s">
        <v>83</v>
      </c>
      <c r="L4194" t="s">
        <v>92</v>
      </c>
      <c r="M4194" t="s">
        <v>59</v>
      </c>
      <c r="N4194" t="s">
        <v>2574</v>
      </c>
      <c r="O4194" t="s">
        <v>130</v>
      </c>
      <c r="P4194" t="s">
        <v>50</v>
      </c>
      <c r="Q4194" t="s">
        <v>53</v>
      </c>
      <c r="R4194">
        <v>1</v>
      </c>
      <c r="S4194">
        <v>1199</v>
      </c>
      <c r="T4194">
        <v>0.25</v>
      </c>
      <c r="U4194">
        <v>899.25</v>
      </c>
      <c r="V4194">
        <v>550</v>
      </c>
      <c r="W4194">
        <v>349.25</v>
      </c>
      <c r="X4194" t="s">
        <v>77</v>
      </c>
      <c r="Y4194" t="s">
        <v>68</v>
      </c>
      <c r="Z4194" t="s">
        <v>158</v>
      </c>
      <c r="AA4194" t="s">
        <v>171</v>
      </c>
      <c r="AB4194">
        <v>3.8</v>
      </c>
      <c r="AC4194">
        <v>50</v>
      </c>
      <c r="AD4194">
        <v>61.61</v>
      </c>
      <c r="AE4194">
        <f t="shared" si="130"/>
        <v>237.64</v>
      </c>
      <c r="AF4194" t="str">
        <f t="shared" si="131"/>
        <v>2026-06</v>
      </c>
      <c r="AG4194">
        <f>SUBTOTAL(103,A4194)</f>
        <v>1</v>
      </c>
    </row>
    <row r="4195" spans="1:33" x14ac:dyDescent="0.3">
      <c r="A4195" t="s">
        <v>6818</v>
      </c>
      <c r="B4195" s="13">
        <v>46195</v>
      </c>
      <c r="C4195">
        <v>2026</v>
      </c>
      <c r="D4195">
        <v>6</v>
      </c>
      <c r="E4195" t="s">
        <v>3813</v>
      </c>
      <c r="F4195" t="s">
        <v>3329</v>
      </c>
      <c r="G4195" t="s">
        <v>863</v>
      </c>
      <c r="H4195" t="s">
        <v>864</v>
      </c>
      <c r="I4195" t="s">
        <v>86</v>
      </c>
      <c r="J4195">
        <v>38</v>
      </c>
      <c r="K4195" t="s">
        <v>82</v>
      </c>
      <c r="L4195" t="s">
        <v>2634</v>
      </c>
      <c r="M4195" t="s">
        <v>56</v>
      </c>
      <c r="N4195" t="s">
        <v>2584</v>
      </c>
      <c r="O4195" t="s">
        <v>121</v>
      </c>
      <c r="P4195" t="s">
        <v>50</v>
      </c>
      <c r="Q4195" t="s">
        <v>144</v>
      </c>
      <c r="R4195">
        <v>1</v>
      </c>
      <c r="S4195">
        <v>2999</v>
      </c>
      <c r="T4195">
        <v>0.1</v>
      </c>
      <c r="U4195">
        <v>2699.1</v>
      </c>
      <c r="V4195">
        <v>1700</v>
      </c>
      <c r="W4195">
        <v>999.1</v>
      </c>
      <c r="X4195" t="s">
        <v>75</v>
      </c>
      <c r="Y4195" t="s">
        <v>68</v>
      </c>
      <c r="Z4195" t="s">
        <v>158</v>
      </c>
      <c r="AA4195" t="s">
        <v>169</v>
      </c>
      <c r="AB4195">
        <v>2.4</v>
      </c>
      <c r="AC4195">
        <v>50</v>
      </c>
      <c r="AD4195">
        <v>317.73</v>
      </c>
      <c r="AE4195">
        <f t="shared" si="130"/>
        <v>631.37</v>
      </c>
      <c r="AF4195" t="str">
        <f t="shared" si="131"/>
        <v>2026-06</v>
      </c>
      <c r="AG4195">
        <f>SUBTOTAL(103,A4195)</f>
        <v>1</v>
      </c>
    </row>
    <row r="4196" spans="1:33" x14ac:dyDescent="0.3">
      <c r="A4196" t="s">
        <v>6819</v>
      </c>
      <c r="B4196" s="13">
        <v>46195</v>
      </c>
      <c r="C4196">
        <v>2026</v>
      </c>
      <c r="D4196">
        <v>6</v>
      </c>
      <c r="E4196" t="s">
        <v>3813</v>
      </c>
      <c r="F4196" t="s">
        <v>3329</v>
      </c>
      <c r="G4196" t="s">
        <v>1291</v>
      </c>
      <c r="H4196" t="s">
        <v>1292</v>
      </c>
      <c r="I4196" t="s">
        <v>85</v>
      </c>
      <c r="J4196">
        <v>42</v>
      </c>
      <c r="K4196" t="s">
        <v>82</v>
      </c>
      <c r="L4196" t="s">
        <v>98</v>
      </c>
      <c r="M4196" t="s">
        <v>55</v>
      </c>
      <c r="N4196" t="s">
        <v>2647</v>
      </c>
      <c r="O4196" t="s">
        <v>133</v>
      </c>
      <c r="P4196" t="s">
        <v>50</v>
      </c>
      <c r="Q4196" t="s">
        <v>145</v>
      </c>
      <c r="R4196">
        <v>3</v>
      </c>
      <c r="S4196">
        <v>799</v>
      </c>
      <c r="T4196">
        <v>0.1</v>
      </c>
      <c r="U4196">
        <v>2157.3000000000002</v>
      </c>
      <c r="V4196">
        <v>1170</v>
      </c>
      <c r="W4196">
        <v>987.3</v>
      </c>
      <c r="X4196" t="s">
        <v>74</v>
      </c>
      <c r="Y4196" t="s">
        <v>68</v>
      </c>
      <c r="Z4196" t="s">
        <v>160</v>
      </c>
      <c r="AA4196" t="s">
        <v>167</v>
      </c>
      <c r="AB4196">
        <v>3.7</v>
      </c>
      <c r="AC4196">
        <v>40</v>
      </c>
      <c r="AD4196">
        <v>111.62</v>
      </c>
      <c r="AE4196">
        <f t="shared" si="130"/>
        <v>835.68</v>
      </c>
      <c r="AF4196" t="str">
        <f t="shared" si="131"/>
        <v>2026-06</v>
      </c>
      <c r="AG4196">
        <f>SUBTOTAL(103,A4196)</f>
        <v>1</v>
      </c>
    </row>
    <row r="4197" spans="1:33" x14ac:dyDescent="0.3">
      <c r="A4197" t="s">
        <v>6820</v>
      </c>
      <c r="B4197" s="13">
        <v>46195</v>
      </c>
      <c r="C4197">
        <v>2026</v>
      </c>
      <c r="D4197">
        <v>6</v>
      </c>
      <c r="E4197" t="s">
        <v>3813</v>
      </c>
      <c r="F4197" t="s">
        <v>3329</v>
      </c>
      <c r="G4197" t="s">
        <v>1507</v>
      </c>
      <c r="H4197" t="s">
        <v>1508</v>
      </c>
      <c r="I4197" t="s">
        <v>86</v>
      </c>
      <c r="J4197">
        <v>59</v>
      </c>
      <c r="K4197" t="s">
        <v>83</v>
      </c>
      <c r="L4197" t="s">
        <v>98</v>
      </c>
      <c r="M4197" t="s">
        <v>55</v>
      </c>
      <c r="N4197" t="s">
        <v>2665</v>
      </c>
      <c r="O4197" t="s">
        <v>128</v>
      </c>
      <c r="P4197" t="s">
        <v>53</v>
      </c>
      <c r="Q4197" t="s">
        <v>143</v>
      </c>
      <c r="R4197">
        <v>1</v>
      </c>
      <c r="S4197">
        <v>1499</v>
      </c>
      <c r="T4197">
        <v>0.25</v>
      </c>
      <c r="U4197">
        <v>1124.25</v>
      </c>
      <c r="V4197">
        <v>800</v>
      </c>
      <c r="W4197">
        <v>324.25</v>
      </c>
      <c r="X4197" t="s">
        <v>73</v>
      </c>
      <c r="Y4197" t="s">
        <v>68</v>
      </c>
      <c r="Z4197" t="s">
        <v>163</v>
      </c>
      <c r="AA4197" t="s">
        <v>166</v>
      </c>
      <c r="AB4197">
        <v>4.8</v>
      </c>
      <c r="AC4197">
        <v>50</v>
      </c>
      <c r="AD4197">
        <v>42.83</v>
      </c>
      <c r="AE4197">
        <f t="shared" si="130"/>
        <v>231.42000000000002</v>
      </c>
      <c r="AF4197" t="str">
        <f t="shared" si="131"/>
        <v>2026-06</v>
      </c>
      <c r="AG4197">
        <f>SUBTOTAL(103,A4197)</f>
        <v>1</v>
      </c>
    </row>
    <row r="4198" spans="1:33" x14ac:dyDescent="0.3">
      <c r="A4198" t="s">
        <v>6821</v>
      </c>
      <c r="B4198" s="13">
        <v>46195</v>
      </c>
      <c r="C4198">
        <v>2026</v>
      </c>
      <c r="D4198">
        <v>6</v>
      </c>
      <c r="E4198" t="s">
        <v>3813</v>
      </c>
      <c r="F4198" t="s">
        <v>3329</v>
      </c>
      <c r="G4198" t="s">
        <v>451</v>
      </c>
      <c r="H4198" t="s">
        <v>452</v>
      </c>
      <c r="I4198" t="s">
        <v>86</v>
      </c>
      <c r="J4198">
        <v>30</v>
      </c>
      <c r="K4198" t="s">
        <v>81</v>
      </c>
      <c r="L4198" t="s">
        <v>2661</v>
      </c>
      <c r="M4198" t="s">
        <v>58</v>
      </c>
      <c r="N4198" t="s">
        <v>2582</v>
      </c>
      <c r="O4198" t="s">
        <v>119</v>
      </c>
      <c r="P4198" t="s">
        <v>49</v>
      </c>
      <c r="Q4198" t="s">
        <v>140</v>
      </c>
      <c r="R4198">
        <v>3</v>
      </c>
      <c r="S4198">
        <v>3499</v>
      </c>
      <c r="T4198">
        <v>0.05</v>
      </c>
      <c r="U4198">
        <v>9972.15</v>
      </c>
      <c r="V4198">
        <v>6300</v>
      </c>
      <c r="W4198">
        <v>3672.15</v>
      </c>
      <c r="X4198" t="s">
        <v>76</v>
      </c>
      <c r="Y4198" t="s">
        <v>70</v>
      </c>
      <c r="Z4198" t="s">
        <v>161</v>
      </c>
      <c r="AA4198" t="s">
        <v>167</v>
      </c>
      <c r="AB4198">
        <v>3.4</v>
      </c>
      <c r="AC4198">
        <v>60</v>
      </c>
      <c r="AD4198">
        <v>1041.79</v>
      </c>
      <c r="AE4198">
        <f t="shared" si="130"/>
        <v>2570.36</v>
      </c>
      <c r="AF4198" t="str">
        <f t="shared" si="131"/>
        <v>2026-06</v>
      </c>
      <c r="AG4198">
        <f>SUBTOTAL(103,A4198)</f>
        <v>1</v>
      </c>
    </row>
    <row r="4199" spans="1:33" x14ac:dyDescent="0.3">
      <c r="A4199" t="s">
        <v>6822</v>
      </c>
      <c r="B4199" s="13">
        <v>46195</v>
      </c>
      <c r="C4199">
        <v>2026</v>
      </c>
      <c r="D4199">
        <v>6</v>
      </c>
      <c r="E4199" t="s">
        <v>3813</v>
      </c>
      <c r="F4199" t="s">
        <v>3329</v>
      </c>
      <c r="G4199" t="s">
        <v>1289</v>
      </c>
      <c r="H4199" t="s">
        <v>1290</v>
      </c>
      <c r="I4199" t="s">
        <v>85</v>
      </c>
      <c r="J4199">
        <v>49</v>
      </c>
      <c r="K4199" t="s">
        <v>83</v>
      </c>
      <c r="L4199" t="s">
        <v>94</v>
      </c>
      <c r="M4199" t="s">
        <v>57</v>
      </c>
      <c r="N4199" t="s">
        <v>2606</v>
      </c>
      <c r="O4199" t="s">
        <v>120</v>
      </c>
      <c r="P4199" t="s">
        <v>49</v>
      </c>
      <c r="Q4199" t="s">
        <v>140</v>
      </c>
      <c r="R4199">
        <v>1</v>
      </c>
      <c r="S4199">
        <v>2799</v>
      </c>
      <c r="T4199">
        <v>0.1</v>
      </c>
      <c r="U4199">
        <v>2519.1</v>
      </c>
      <c r="V4199">
        <v>1650</v>
      </c>
      <c r="W4199">
        <v>869.1</v>
      </c>
      <c r="X4199" t="s">
        <v>77</v>
      </c>
      <c r="Y4199" t="s">
        <v>68</v>
      </c>
      <c r="Z4199" t="s">
        <v>160</v>
      </c>
      <c r="AA4199" t="s">
        <v>171</v>
      </c>
      <c r="AB4199">
        <v>4.5</v>
      </c>
      <c r="AC4199">
        <v>80</v>
      </c>
      <c r="AD4199">
        <v>110.87</v>
      </c>
      <c r="AE4199">
        <f t="shared" si="130"/>
        <v>678.23</v>
      </c>
      <c r="AF4199" t="str">
        <f t="shared" si="131"/>
        <v>2026-06</v>
      </c>
      <c r="AG4199">
        <f>SUBTOTAL(103,A4199)</f>
        <v>1</v>
      </c>
    </row>
    <row r="4200" spans="1:33" x14ac:dyDescent="0.3">
      <c r="A4200" t="s">
        <v>6823</v>
      </c>
      <c r="B4200" s="13">
        <v>46195</v>
      </c>
      <c r="C4200">
        <v>2026</v>
      </c>
      <c r="D4200">
        <v>6</v>
      </c>
      <c r="E4200" t="s">
        <v>3813</v>
      </c>
      <c r="F4200" t="s">
        <v>3329</v>
      </c>
      <c r="G4200" t="s">
        <v>943</v>
      </c>
      <c r="H4200" t="s">
        <v>944</v>
      </c>
      <c r="I4200" t="s">
        <v>85</v>
      </c>
      <c r="J4200">
        <v>29</v>
      </c>
      <c r="K4200" t="s">
        <v>81</v>
      </c>
      <c r="L4200" t="s">
        <v>2661</v>
      </c>
      <c r="M4200" t="s">
        <v>58</v>
      </c>
      <c r="N4200" t="s">
        <v>2601</v>
      </c>
      <c r="O4200" t="s">
        <v>117</v>
      </c>
      <c r="P4200" t="s">
        <v>49</v>
      </c>
      <c r="Q4200" t="s">
        <v>139</v>
      </c>
      <c r="R4200">
        <v>1</v>
      </c>
      <c r="S4200">
        <v>6999</v>
      </c>
      <c r="T4200">
        <v>0.2</v>
      </c>
      <c r="U4200">
        <v>5599.2</v>
      </c>
      <c r="V4200">
        <v>4300</v>
      </c>
      <c r="W4200">
        <v>1299.2</v>
      </c>
      <c r="X4200" t="s">
        <v>75</v>
      </c>
      <c r="Y4200" t="s">
        <v>68</v>
      </c>
      <c r="Z4200" t="s">
        <v>160</v>
      </c>
      <c r="AA4200" t="s">
        <v>168</v>
      </c>
      <c r="AB4200">
        <v>3.9</v>
      </c>
      <c r="AC4200">
        <v>100</v>
      </c>
      <c r="AD4200">
        <v>573.96</v>
      </c>
      <c r="AE4200">
        <f t="shared" si="130"/>
        <v>625.24</v>
      </c>
      <c r="AF4200" t="str">
        <f t="shared" si="131"/>
        <v>2026-06</v>
      </c>
      <c r="AG4200">
        <f>SUBTOTAL(103,A4200)</f>
        <v>1</v>
      </c>
    </row>
    <row r="4201" spans="1:33" x14ac:dyDescent="0.3">
      <c r="A4201" t="s">
        <v>6824</v>
      </c>
      <c r="B4201" s="13">
        <v>46196</v>
      </c>
      <c r="C4201">
        <v>2026</v>
      </c>
      <c r="D4201">
        <v>6</v>
      </c>
      <c r="E4201" t="s">
        <v>3813</v>
      </c>
      <c r="F4201" t="s">
        <v>3329</v>
      </c>
      <c r="G4201" t="s">
        <v>299</v>
      </c>
      <c r="H4201" t="s">
        <v>300</v>
      </c>
      <c r="I4201" t="s">
        <v>85</v>
      </c>
      <c r="J4201">
        <v>21</v>
      </c>
      <c r="K4201" t="s">
        <v>80</v>
      </c>
      <c r="L4201" t="s">
        <v>2687</v>
      </c>
      <c r="M4201" t="s">
        <v>57</v>
      </c>
      <c r="N4201" t="s">
        <v>2582</v>
      </c>
      <c r="O4201" t="s">
        <v>119</v>
      </c>
      <c r="P4201" t="s">
        <v>49</v>
      </c>
      <c r="Q4201" t="s">
        <v>140</v>
      </c>
      <c r="R4201">
        <v>1</v>
      </c>
      <c r="S4201">
        <v>3499</v>
      </c>
      <c r="T4201">
        <v>0.05</v>
      </c>
      <c r="U4201">
        <v>3324.05</v>
      </c>
      <c r="V4201">
        <v>2100</v>
      </c>
      <c r="W4201">
        <v>1224.05</v>
      </c>
      <c r="X4201" t="s">
        <v>74</v>
      </c>
      <c r="Y4201" t="s">
        <v>68</v>
      </c>
      <c r="Z4201" t="s">
        <v>162</v>
      </c>
      <c r="AA4201" t="s">
        <v>167</v>
      </c>
      <c r="AB4201">
        <v>4</v>
      </c>
      <c r="AC4201">
        <v>40</v>
      </c>
      <c r="AD4201">
        <v>388.18</v>
      </c>
      <c r="AE4201">
        <f t="shared" si="130"/>
        <v>795.86999999999989</v>
      </c>
      <c r="AF4201" t="str">
        <f t="shared" si="131"/>
        <v>2026-06</v>
      </c>
      <c r="AG4201">
        <f>SUBTOTAL(103,A4201)</f>
        <v>1</v>
      </c>
    </row>
    <row r="4202" spans="1:33" x14ac:dyDescent="0.3">
      <c r="A4202" t="s">
        <v>6825</v>
      </c>
      <c r="B4202" s="13">
        <v>46196</v>
      </c>
      <c r="C4202">
        <v>2026</v>
      </c>
      <c r="D4202">
        <v>6</v>
      </c>
      <c r="E4202" t="s">
        <v>3813</v>
      </c>
      <c r="F4202" t="s">
        <v>3329</v>
      </c>
      <c r="G4202" t="s">
        <v>1407</v>
      </c>
      <c r="H4202" t="s">
        <v>1408</v>
      </c>
      <c r="I4202" t="s">
        <v>85</v>
      </c>
      <c r="J4202">
        <v>43</v>
      </c>
      <c r="K4202" t="s">
        <v>82</v>
      </c>
      <c r="L4202" t="s">
        <v>2674</v>
      </c>
      <c r="M4202" t="s">
        <v>58</v>
      </c>
      <c r="N4202" t="s">
        <v>2603</v>
      </c>
      <c r="O4202" t="s">
        <v>122</v>
      </c>
      <c r="P4202" t="s">
        <v>48</v>
      </c>
      <c r="Q4202" t="s">
        <v>141</v>
      </c>
      <c r="R4202">
        <v>1</v>
      </c>
      <c r="S4202">
        <v>2499</v>
      </c>
      <c r="T4202">
        <v>0.1</v>
      </c>
      <c r="U4202">
        <v>2249.1</v>
      </c>
      <c r="V4202">
        <v>1450</v>
      </c>
      <c r="W4202">
        <v>799.1</v>
      </c>
      <c r="X4202" t="s">
        <v>74</v>
      </c>
      <c r="Y4202" t="s">
        <v>69</v>
      </c>
      <c r="Z4202" t="s">
        <v>160</v>
      </c>
      <c r="AA4202" t="s">
        <v>170</v>
      </c>
      <c r="AB4202">
        <v>4.3</v>
      </c>
      <c r="AC4202">
        <v>80</v>
      </c>
      <c r="AD4202">
        <v>262.31</v>
      </c>
      <c r="AE4202">
        <f t="shared" si="130"/>
        <v>456.79</v>
      </c>
      <c r="AF4202" t="str">
        <f t="shared" si="131"/>
        <v>2026-06</v>
      </c>
      <c r="AG4202">
        <f>SUBTOTAL(103,A4202)</f>
        <v>1</v>
      </c>
    </row>
    <row r="4203" spans="1:33" x14ac:dyDescent="0.3">
      <c r="A4203" t="s">
        <v>6826</v>
      </c>
      <c r="B4203" s="13">
        <v>46196</v>
      </c>
      <c r="C4203">
        <v>2026</v>
      </c>
      <c r="D4203">
        <v>6</v>
      </c>
      <c r="E4203" t="s">
        <v>3813</v>
      </c>
      <c r="F4203" t="s">
        <v>3329</v>
      </c>
      <c r="G4203" t="s">
        <v>909</v>
      </c>
      <c r="H4203" t="s">
        <v>910</v>
      </c>
      <c r="I4203" t="s">
        <v>86</v>
      </c>
      <c r="J4203">
        <v>55</v>
      </c>
      <c r="K4203" t="s">
        <v>83</v>
      </c>
      <c r="L4203" t="s">
        <v>94</v>
      </c>
      <c r="M4203" t="s">
        <v>57</v>
      </c>
      <c r="N4203" t="s">
        <v>2603</v>
      </c>
      <c r="O4203" t="s">
        <v>122</v>
      </c>
      <c r="P4203" t="s">
        <v>48</v>
      </c>
      <c r="Q4203" t="s">
        <v>141</v>
      </c>
      <c r="R4203">
        <v>1</v>
      </c>
      <c r="S4203">
        <v>2499</v>
      </c>
      <c r="T4203">
        <v>0</v>
      </c>
      <c r="U4203">
        <v>2499</v>
      </c>
      <c r="V4203">
        <v>1450</v>
      </c>
      <c r="W4203">
        <v>1049</v>
      </c>
      <c r="X4203" t="s">
        <v>74</v>
      </c>
      <c r="Y4203" t="s">
        <v>68</v>
      </c>
      <c r="Z4203" t="s">
        <v>159</v>
      </c>
      <c r="AA4203" t="s">
        <v>167</v>
      </c>
      <c r="AB4203">
        <v>3.2</v>
      </c>
      <c r="AC4203">
        <v>60</v>
      </c>
      <c r="AD4203">
        <v>144.61000000000001</v>
      </c>
      <c r="AE4203">
        <f t="shared" si="130"/>
        <v>844.39</v>
      </c>
      <c r="AF4203" t="str">
        <f t="shared" si="131"/>
        <v>2026-06</v>
      </c>
      <c r="AG4203">
        <f>SUBTOTAL(103,A4203)</f>
        <v>1</v>
      </c>
    </row>
    <row r="4204" spans="1:33" x14ac:dyDescent="0.3">
      <c r="A4204" t="s">
        <v>6827</v>
      </c>
      <c r="B4204" s="13">
        <v>46196</v>
      </c>
      <c r="C4204">
        <v>2026</v>
      </c>
      <c r="D4204">
        <v>6</v>
      </c>
      <c r="E4204" t="s">
        <v>3813</v>
      </c>
      <c r="F4204" t="s">
        <v>3329</v>
      </c>
      <c r="G4204" t="s">
        <v>1719</v>
      </c>
      <c r="H4204" t="s">
        <v>1720</v>
      </c>
      <c r="I4204" t="s">
        <v>86</v>
      </c>
      <c r="J4204">
        <v>44</v>
      </c>
      <c r="K4204" t="s">
        <v>82</v>
      </c>
      <c r="L4204" t="s">
        <v>2616</v>
      </c>
      <c r="M4204" t="s">
        <v>62</v>
      </c>
      <c r="N4204" t="s">
        <v>2603</v>
      </c>
      <c r="O4204" t="s">
        <v>122</v>
      </c>
      <c r="P4204" t="s">
        <v>48</v>
      </c>
      <c r="Q4204" t="s">
        <v>141</v>
      </c>
      <c r="R4204">
        <v>3</v>
      </c>
      <c r="S4204">
        <v>2499</v>
      </c>
      <c r="T4204">
        <v>0.15</v>
      </c>
      <c r="U4204">
        <v>6372.45</v>
      </c>
      <c r="V4204">
        <v>4350</v>
      </c>
      <c r="W4204">
        <v>2022.45</v>
      </c>
      <c r="X4204" t="s">
        <v>73</v>
      </c>
      <c r="Y4204" t="s">
        <v>68</v>
      </c>
      <c r="Z4204" t="s">
        <v>158</v>
      </c>
      <c r="AA4204" t="s">
        <v>167</v>
      </c>
      <c r="AB4204">
        <v>3.7</v>
      </c>
      <c r="AC4204">
        <v>60</v>
      </c>
      <c r="AD4204">
        <v>248.66</v>
      </c>
      <c r="AE4204">
        <f t="shared" si="130"/>
        <v>1713.79</v>
      </c>
      <c r="AF4204" t="str">
        <f t="shared" si="131"/>
        <v>2026-06</v>
      </c>
      <c r="AG4204">
        <f>SUBTOTAL(103,A4204)</f>
        <v>1</v>
      </c>
    </row>
    <row r="4205" spans="1:33" x14ac:dyDescent="0.3">
      <c r="A4205" t="s">
        <v>6828</v>
      </c>
      <c r="B4205" s="13">
        <v>46196</v>
      </c>
      <c r="C4205">
        <v>2026</v>
      </c>
      <c r="D4205">
        <v>6</v>
      </c>
      <c r="E4205" t="s">
        <v>3813</v>
      </c>
      <c r="F4205" t="s">
        <v>3329</v>
      </c>
      <c r="G4205" t="s">
        <v>1095</v>
      </c>
      <c r="H4205" t="s">
        <v>1096</v>
      </c>
      <c r="I4205" t="s">
        <v>86</v>
      </c>
      <c r="J4205">
        <v>34</v>
      </c>
      <c r="K4205" t="s">
        <v>81</v>
      </c>
      <c r="L4205" t="s">
        <v>2674</v>
      </c>
      <c r="M4205" t="s">
        <v>58</v>
      </c>
      <c r="N4205" t="s">
        <v>2584</v>
      </c>
      <c r="O4205" t="s">
        <v>121</v>
      </c>
      <c r="P4205" t="s">
        <v>50</v>
      </c>
      <c r="Q4205" t="s">
        <v>144</v>
      </c>
      <c r="R4205">
        <v>1</v>
      </c>
      <c r="S4205">
        <v>2999</v>
      </c>
      <c r="T4205">
        <v>0.05</v>
      </c>
      <c r="U4205">
        <v>2849.05</v>
      </c>
      <c r="V4205">
        <v>1700</v>
      </c>
      <c r="W4205">
        <v>1149.05</v>
      </c>
      <c r="X4205" t="s">
        <v>73</v>
      </c>
      <c r="Y4205" t="s">
        <v>68</v>
      </c>
      <c r="Z4205" t="s">
        <v>159</v>
      </c>
      <c r="AA4205" t="s">
        <v>170</v>
      </c>
      <c r="AB4205">
        <v>4.3</v>
      </c>
      <c r="AC4205">
        <v>50</v>
      </c>
      <c r="AD4205">
        <v>57.8</v>
      </c>
      <c r="AE4205">
        <f t="shared" si="130"/>
        <v>1041.25</v>
      </c>
      <c r="AF4205" t="str">
        <f t="shared" si="131"/>
        <v>2026-06</v>
      </c>
      <c r="AG4205">
        <f>SUBTOTAL(103,A4205)</f>
        <v>1</v>
      </c>
    </row>
    <row r="4206" spans="1:33" x14ac:dyDescent="0.3">
      <c r="A4206" t="s">
        <v>6829</v>
      </c>
      <c r="B4206" s="13">
        <v>46197</v>
      </c>
      <c r="C4206">
        <v>2026</v>
      </c>
      <c r="D4206">
        <v>6</v>
      </c>
      <c r="E4206" t="s">
        <v>3813</v>
      </c>
      <c r="F4206" t="s">
        <v>3329</v>
      </c>
      <c r="G4206" t="s">
        <v>601</v>
      </c>
      <c r="H4206" t="s">
        <v>602</v>
      </c>
      <c r="I4206" t="s">
        <v>86</v>
      </c>
      <c r="J4206">
        <v>18</v>
      </c>
      <c r="K4206" t="s">
        <v>80</v>
      </c>
      <c r="L4206" t="s">
        <v>2661</v>
      </c>
      <c r="M4206" t="s">
        <v>58</v>
      </c>
      <c r="N4206" t="s">
        <v>2580</v>
      </c>
      <c r="O4206" t="s">
        <v>118</v>
      </c>
      <c r="P4206" t="s">
        <v>48</v>
      </c>
      <c r="Q4206" t="s">
        <v>142</v>
      </c>
      <c r="R4206">
        <v>5</v>
      </c>
      <c r="S4206">
        <v>3999</v>
      </c>
      <c r="T4206">
        <v>0.05</v>
      </c>
      <c r="U4206">
        <v>18995.25</v>
      </c>
      <c r="V4206">
        <v>12000</v>
      </c>
      <c r="W4206">
        <v>6995.25</v>
      </c>
      <c r="X4206" t="s">
        <v>73</v>
      </c>
      <c r="Y4206" t="s">
        <v>68</v>
      </c>
      <c r="Z4206" t="s">
        <v>158</v>
      </c>
      <c r="AA4206" t="s">
        <v>167</v>
      </c>
      <c r="AB4206">
        <v>3.9</v>
      </c>
      <c r="AC4206">
        <v>40</v>
      </c>
      <c r="AD4206">
        <v>590.74</v>
      </c>
      <c r="AE4206">
        <f t="shared" si="130"/>
        <v>6364.51</v>
      </c>
      <c r="AF4206" t="str">
        <f t="shared" si="131"/>
        <v>2026-06</v>
      </c>
      <c r="AG4206">
        <f>SUBTOTAL(103,A4206)</f>
        <v>1</v>
      </c>
    </row>
    <row r="4207" spans="1:33" x14ac:dyDescent="0.3">
      <c r="A4207" t="s">
        <v>6830</v>
      </c>
      <c r="B4207" s="13">
        <v>46197</v>
      </c>
      <c r="C4207">
        <v>2026</v>
      </c>
      <c r="D4207">
        <v>6</v>
      </c>
      <c r="E4207" t="s">
        <v>3813</v>
      </c>
      <c r="F4207" t="s">
        <v>3329</v>
      </c>
      <c r="G4207" t="s">
        <v>487</v>
      </c>
      <c r="H4207" t="s">
        <v>488</v>
      </c>
      <c r="I4207" t="s">
        <v>86</v>
      </c>
      <c r="J4207">
        <v>53</v>
      </c>
      <c r="K4207" t="s">
        <v>83</v>
      </c>
      <c r="L4207" t="s">
        <v>59</v>
      </c>
      <c r="M4207" t="s">
        <v>59</v>
      </c>
      <c r="N4207" t="s">
        <v>2580</v>
      </c>
      <c r="O4207" t="s">
        <v>118</v>
      </c>
      <c r="P4207" t="s">
        <v>48</v>
      </c>
      <c r="Q4207" t="s">
        <v>142</v>
      </c>
      <c r="R4207">
        <v>1</v>
      </c>
      <c r="S4207">
        <v>3999</v>
      </c>
      <c r="T4207">
        <v>0.15</v>
      </c>
      <c r="U4207">
        <v>3399.15</v>
      </c>
      <c r="V4207">
        <v>2400</v>
      </c>
      <c r="W4207">
        <v>999.15</v>
      </c>
      <c r="X4207" t="s">
        <v>73</v>
      </c>
      <c r="Y4207" t="s">
        <v>68</v>
      </c>
      <c r="Z4207" t="s">
        <v>158</v>
      </c>
      <c r="AA4207" t="s">
        <v>167</v>
      </c>
      <c r="AB4207">
        <v>4.0999999999999996</v>
      </c>
      <c r="AC4207">
        <v>80</v>
      </c>
      <c r="AD4207">
        <v>172.77</v>
      </c>
      <c r="AE4207">
        <f t="shared" si="130"/>
        <v>746.38</v>
      </c>
      <c r="AF4207" t="str">
        <f t="shared" si="131"/>
        <v>2026-06</v>
      </c>
      <c r="AG4207">
        <f>SUBTOTAL(103,A4207)</f>
        <v>1</v>
      </c>
    </row>
    <row r="4208" spans="1:33" x14ac:dyDescent="0.3">
      <c r="A4208" t="s">
        <v>6831</v>
      </c>
      <c r="B4208" s="13">
        <v>46197</v>
      </c>
      <c r="C4208">
        <v>2026</v>
      </c>
      <c r="D4208">
        <v>6</v>
      </c>
      <c r="E4208" t="s">
        <v>3813</v>
      </c>
      <c r="F4208" t="s">
        <v>3329</v>
      </c>
      <c r="G4208" t="s">
        <v>1265</v>
      </c>
      <c r="H4208" t="s">
        <v>1266</v>
      </c>
      <c r="I4208" t="s">
        <v>85</v>
      </c>
      <c r="J4208">
        <v>27</v>
      </c>
      <c r="K4208" t="s">
        <v>81</v>
      </c>
      <c r="L4208" t="s">
        <v>2637</v>
      </c>
      <c r="M4208" t="s">
        <v>64</v>
      </c>
      <c r="N4208" t="s">
        <v>2626</v>
      </c>
      <c r="O4208" t="s">
        <v>125</v>
      </c>
      <c r="P4208" t="s">
        <v>48</v>
      </c>
      <c r="Q4208" t="s">
        <v>141</v>
      </c>
      <c r="R4208">
        <v>1</v>
      </c>
      <c r="S4208">
        <v>1999</v>
      </c>
      <c r="T4208">
        <v>0.2</v>
      </c>
      <c r="U4208">
        <v>1599.2</v>
      </c>
      <c r="V4208">
        <v>1150</v>
      </c>
      <c r="W4208">
        <v>449.2</v>
      </c>
      <c r="X4208" t="s">
        <v>73</v>
      </c>
      <c r="Y4208" t="s">
        <v>68</v>
      </c>
      <c r="Z4208" t="s">
        <v>163</v>
      </c>
      <c r="AA4208" t="s">
        <v>166</v>
      </c>
      <c r="AB4208">
        <v>5</v>
      </c>
      <c r="AC4208">
        <v>100</v>
      </c>
      <c r="AD4208">
        <v>49.9</v>
      </c>
      <c r="AE4208">
        <f t="shared" si="130"/>
        <v>299.3</v>
      </c>
      <c r="AF4208" t="str">
        <f t="shared" si="131"/>
        <v>2026-06</v>
      </c>
      <c r="AG4208">
        <f>SUBTOTAL(103,A4208)</f>
        <v>1</v>
      </c>
    </row>
    <row r="4209" spans="1:33" x14ac:dyDescent="0.3">
      <c r="A4209" t="s">
        <v>6832</v>
      </c>
      <c r="B4209" s="13">
        <v>46197</v>
      </c>
      <c r="C4209">
        <v>2026</v>
      </c>
      <c r="D4209">
        <v>6</v>
      </c>
      <c r="E4209" t="s">
        <v>3813</v>
      </c>
      <c r="F4209" t="s">
        <v>3329</v>
      </c>
      <c r="G4209" t="s">
        <v>1063</v>
      </c>
      <c r="H4209" t="s">
        <v>1064</v>
      </c>
      <c r="I4209" t="s">
        <v>85</v>
      </c>
      <c r="J4209">
        <v>59</v>
      </c>
      <c r="K4209" t="s">
        <v>83</v>
      </c>
      <c r="L4209" t="s">
        <v>2634</v>
      </c>
      <c r="M4209" t="s">
        <v>56</v>
      </c>
      <c r="N4209" t="s">
        <v>2592</v>
      </c>
      <c r="O4209" t="s">
        <v>115</v>
      </c>
      <c r="P4209" t="s">
        <v>48</v>
      </c>
      <c r="Q4209" t="s">
        <v>137</v>
      </c>
      <c r="R4209">
        <v>1</v>
      </c>
      <c r="S4209">
        <v>12999</v>
      </c>
      <c r="T4209">
        <v>0</v>
      </c>
      <c r="U4209">
        <v>12999</v>
      </c>
      <c r="V4209">
        <v>9000</v>
      </c>
      <c r="W4209">
        <v>3999</v>
      </c>
      <c r="X4209" t="s">
        <v>73</v>
      </c>
      <c r="Y4209" t="s">
        <v>68</v>
      </c>
      <c r="Z4209" t="s">
        <v>163</v>
      </c>
      <c r="AA4209" t="s">
        <v>171</v>
      </c>
      <c r="AB4209">
        <v>4.8</v>
      </c>
      <c r="AC4209">
        <v>50</v>
      </c>
      <c r="AD4209">
        <v>1269.05</v>
      </c>
      <c r="AE4209">
        <f t="shared" si="130"/>
        <v>2679.95</v>
      </c>
      <c r="AF4209" t="str">
        <f t="shared" si="131"/>
        <v>2026-06</v>
      </c>
      <c r="AG4209">
        <f>SUBTOTAL(103,A4209)</f>
        <v>1</v>
      </c>
    </row>
    <row r="4210" spans="1:33" x14ac:dyDescent="0.3">
      <c r="A4210" t="s">
        <v>6833</v>
      </c>
      <c r="B4210" s="13">
        <v>46197</v>
      </c>
      <c r="C4210">
        <v>2026</v>
      </c>
      <c r="D4210">
        <v>6</v>
      </c>
      <c r="E4210" t="s">
        <v>3813</v>
      </c>
      <c r="F4210" t="s">
        <v>3329</v>
      </c>
      <c r="G4210" t="s">
        <v>2199</v>
      </c>
      <c r="H4210" t="s">
        <v>2200</v>
      </c>
      <c r="I4210" t="s">
        <v>86</v>
      </c>
      <c r="J4210">
        <v>39</v>
      </c>
      <c r="K4210" t="s">
        <v>82</v>
      </c>
      <c r="L4210" t="s">
        <v>2573</v>
      </c>
      <c r="M4210" t="s">
        <v>63</v>
      </c>
      <c r="N4210" t="s">
        <v>2647</v>
      </c>
      <c r="O4210" t="s">
        <v>133</v>
      </c>
      <c r="P4210" t="s">
        <v>50</v>
      </c>
      <c r="Q4210" t="s">
        <v>145</v>
      </c>
      <c r="R4210">
        <v>2</v>
      </c>
      <c r="S4210">
        <v>799</v>
      </c>
      <c r="T4210">
        <v>0.05</v>
      </c>
      <c r="U4210">
        <v>1518.1</v>
      </c>
      <c r="V4210">
        <v>780</v>
      </c>
      <c r="W4210">
        <v>738.1</v>
      </c>
      <c r="X4210" t="s">
        <v>75</v>
      </c>
      <c r="Y4210" t="s">
        <v>68</v>
      </c>
      <c r="Z4210" t="s">
        <v>158</v>
      </c>
      <c r="AA4210" t="s">
        <v>166</v>
      </c>
      <c r="AB4210">
        <v>3.5</v>
      </c>
      <c r="AC4210">
        <v>50</v>
      </c>
      <c r="AD4210">
        <v>100.75</v>
      </c>
      <c r="AE4210">
        <f t="shared" si="130"/>
        <v>587.35</v>
      </c>
      <c r="AF4210" t="str">
        <f t="shared" si="131"/>
        <v>2026-06</v>
      </c>
      <c r="AG4210">
        <f>SUBTOTAL(103,A4210)</f>
        <v>1</v>
      </c>
    </row>
    <row r="4211" spans="1:33" x14ac:dyDescent="0.3">
      <c r="A4211" t="s">
        <v>6834</v>
      </c>
      <c r="B4211" s="13">
        <v>46197</v>
      </c>
      <c r="C4211">
        <v>2026</v>
      </c>
      <c r="D4211">
        <v>6</v>
      </c>
      <c r="E4211" t="s">
        <v>3813</v>
      </c>
      <c r="F4211" t="s">
        <v>3329</v>
      </c>
      <c r="G4211" t="s">
        <v>1927</v>
      </c>
      <c r="H4211" t="s">
        <v>1928</v>
      </c>
      <c r="I4211" t="s">
        <v>85</v>
      </c>
      <c r="J4211">
        <v>36</v>
      </c>
      <c r="K4211" t="s">
        <v>82</v>
      </c>
      <c r="L4211" t="s">
        <v>2687</v>
      </c>
      <c r="M4211" t="s">
        <v>57</v>
      </c>
      <c r="N4211" t="s">
        <v>2647</v>
      </c>
      <c r="O4211" t="s">
        <v>133</v>
      </c>
      <c r="P4211" t="s">
        <v>50</v>
      </c>
      <c r="Q4211" t="s">
        <v>145</v>
      </c>
      <c r="R4211">
        <v>1</v>
      </c>
      <c r="S4211">
        <v>799</v>
      </c>
      <c r="T4211">
        <v>0.15</v>
      </c>
      <c r="U4211">
        <v>679.15</v>
      </c>
      <c r="V4211">
        <v>390</v>
      </c>
      <c r="W4211">
        <v>289.14999999999998</v>
      </c>
      <c r="X4211" t="s">
        <v>76</v>
      </c>
      <c r="Y4211" t="s">
        <v>68</v>
      </c>
      <c r="Z4211" t="s">
        <v>158</v>
      </c>
      <c r="AA4211" t="s">
        <v>166</v>
      </c>
      <c r="AB4211">
        <v>4.5999999999999996</v>
      </c>
      <c r="AC4211">
        <v>60</v>
      </c>
      <c r="AD4211">
        <v>27.9</v>
      </c>
      <c r="AE4211">
        <f t="shared" si="130"/>
        <v>201.24999999999997</v>
      </c>
      <c r="AF4211" t="str">
        <f t="shared" si="131"/>
        <v>2026-06</v>
      </c>
      <c r="AG4211">
        <f>SUBTOTAL(103,A4211)</f>
        <v>1</v>
      </c>
    </row>
    <row r="4212" spans="1:33" x14ac:dyDescent="0.3">
      <c r="A4212" t="s">
        <v>6835</v>
      </c>
      <c r="B4212" s="13">
        <v>46197</v>
      </c>
      <c r="C4212">
        <v>2026</v>
      </c>
      <c r="D4212">
        <v>6</v>
      </c>
      <c r="E4212" t="s">
        <v>3813</v>
      </c>
      <c r="F4212" t="s">
        <v>3329</v>
      </c>
      <c r="G4212" t="s">
        <v>279</v>
      </c>
      <c r="H4212" t="s">
        <v>280</v>
      </c>
      <c r="I4212" t="s">
        <v>85</v>
      </c>
      <c r="J4212">
        <v>40</v>
      </c>
      <c r="K4212" t="s">
        <v>82</v>
      </c>
      <c r="L4212" t="s">
        <v>2674</v>
      </c>
      <c r="M4212" t="s">
        <v>58</v>
      </c>
      <c r="N4212" t="s">
        <v>2603</v>
      </c>
      <c r="O4212" t="s">
        <v>122</v>
      </c>
      <c r="P4212" t="s">
        <v>48</v>
      </c>
      <c r="Q4212" t="s">
        <v>141</v>
      </c>
      <c r="R4212">
        <v>2</v>
      </c>
      <c r="S4212">
        <v>2499</v>
      </c>
      <c r="T4212">
        <v>0.1</v>
      </c>
      <c r="U4212">
        <v>4498.2</v>
      </c>
      <c r="V4212">
        <v>2900</v>
      </c>
      <c r="W4212">
        <v>1598.2</v>
      </c>
      <c r="X4212" t="s">
        <v>75</v>
      </c>
      <c r="Y4212" t="s">
        <v>68</v>
      </c>
      <c r="Z4212" t="s">
        <v>162</v>
      </c>
      <c r="AA4212" t="s">
        <v>168</v>
      </c>
      <c r="AB4212">
        <v>4.3</v>
      </c>
      <c r="AC4212">
        <v>80</v>
      </c>
      <c r="AD4212">
        <v>298.97000000000003</v>
      </c>
      <c r="AE4212">
        <f t="shared" si="130"/>
        <v>1219.23</v>
      </c>
      <c r="AF4212" t="str">
        <f t="shared" si="131"/>
        <v>2026-06</v>
      </c>
      <c r="AG4212">
        <f>SUBTOTAL(103,A4212)</f>
        <v>1</v>
      </c>
    </row>
    <row r="4213" spans="1:33" x14ac:dyDescent="0.3">
      <c r="A4213" t="s">
        <v>6836</v>
      </c>
      <c r="B4213" s="13">
        <v>46197</v>
      </c>
      <c r="C4213">
        <v>2026</v>
      </c>
      <c r="D4213">
        <v>6</v>
      </c>
      <c r="E4213" t="s">
        <v>3813</v>
      </c>
      <c r="F4213" t="s">
        <v>3329</v>
      </c>
      <c r="G4213" t="s">
        <v>727</v>
      </c>
      <c r="H4213" t="s">
        <v>728</v>
      </c>
      <c r="I4213" t="s">
        <v>86</v>
      </c>
      <c r="J4213">
        <v>57</v>
      </c>
      <c r="K4213" t="s">
        <v>83</v>
      </c>
      <c r="L4213" t="s">
        <v>2661</v>
      </c>
      <c r="M4213" t="s">
        <v>58</v>
      </c>
      <c r="N4213" t="s">
        <v>2630</v>
      </c>
      <c r="O4213" t="s">
        <v>123</v>
      </c>
      <c r="P4213" t="s">
        <v>52</v>
      </c>
      <c r="Q4213" t="s">
        <v>146</v>
      </c>
      <c r="R4213">
        <v>1</v>
      </c>
      <c r="S4213">
        <v>2499</v>
      </c>
      <c r="T4213">
        <v>0.05</v>
      </c>
      <c r="U4213">
        <v>2374.0500000000002</v>
      </c>
      <c r="V4213">
        <v>1400</v>
      </c>
      <c r="W4213">
        <v>974.05</v>
      </c>
      <c r="X4213" t="s">
        <v>76</v>
      </c>
      <c r="Y4213" t="s">
        <v>68</v>
      </c>
      <c r="Z4213" t="s">
        <v>160</v>
      </c>
      <c r="AA4213" t="s">
        <v>169</v>
      </c>
      <c r="AB4213">
        <v>4.4000000000000004</v>
      </c>
      <c r="AC4213">
        <v>80</v>
      </c>
      <c r="AD4213">
        <v>122.36</v>
      </c>
      <c r="AE4213">
        <f t="shared" si="130"/>
        <v>771.68999999999994</v>
      </c>
      <c r="AF4213" t="str">
        <f t="shared" si="131"/>
        <v>2026-06</v>
      </c>
      <c r="AG4213">
        <f>SUBTOTAL(103,A4213)</f>
        <v>1</v>
      </c>
    </row>
    <row r="4214" spans="1:33" x14ac:dyDescent="0.3">
      <c r="A4214" t="s">
        <v>6837</v>
      </c>
      <c r="B4214" s="13">
        <v>46197</v>
      </c>
      <c r="C4214">
        <v>2026</v>
      </c>
      <c r="D4214">
        <v>6</v>
      </c>
      <c r="E4214" t="s">
        <v>3813</v>
      </c>
      <c r="F4214" t="s">
        <v>3329</v>
      </c>
      <c r="G4214" t="s">
        <v>1529</v>
      </c>
      <c r="H4214" t="s">
        <v>1530</v>
      </c>
      <c r="I4214" t="s">
        <v>85</v>
      </c>
      <c r="J4214">
        <v>55</v>
      </c>
      <c r="K4214" t="s">
        <v>83</v>
      </c>
      <c r="L4214" t="s">
        <v>2586</v>
      </c>
      <c r="M4214" t="s">
        <v>62</v>
      </c>
      <c r="N4214" t="s">
        <v>2647</v>
      </c>
      <c r="O4214" t="s">
        <v>133</v>
      </c>
      <c r="P4214" t="s">
        <v>50</v>
      </c>
      <c r="Q4214" t="s">
        <v>145</v>
      </c>
      <c r="R4214">
        <v>1</v>
      </c>
      <c r="S4214">
        <v>799</v>
      </c>
      <c r="T4214">
        <v>0.1</v>
      </c>
      <c r="U4214">
        <v>719.1</v>
      </c>
      <c r="V4214">
        <v>390</v>
      </c>
      <c r="W4214">
        <v>329.1</v>
      </c>
      <c r="X4214" t="s">
        <v>73</v>
      </c>
      <c r="Y4214" t="s">
        <v>69</v>
      </c>
      <c r="Z4214" t="s">
        <v>160</v>
      </c>
      <c r="AA4214" t="s">
        <v>171</v>
      </c>
      <c r="AB4214">
        <v>4</v>
      </c>
      <c r="AC4214">
        <v>60</v>
      </c>
      <c r="AD4214">
        <v>26.7</v>
      </c>
      <c r="AE4214">
        <f t="shared" si="130"/>
        <v>242.40000000000003</v>
      </c>
      <c r="AF4214" t="str">
        <f t="shared" si="131"/>
        <v>2026-06</v>
      </c>
      <c r="AG4214">
        <f>SUBTOTAL(103,A4214)</f>
        <v>1</v>
      </c>
    </row>
    <row r="4215" spans="1:33" x14ac:dyDescent="0.3">
      <c r="A4215" t="s">
        <v>6838</v>
      </c>
      <c r="B4215" s="13">
        <v>46198</v>
      </c>
      <c r="C4215">
        <v>2026</v>
      </c>
      <c r="D4215">
        <v>6</v>
      </c>
      <c r="E4215" t="s">
        <v>3813</v>
      </c>
      <c r="F4215" t="s">
        <v>3329</v>
      </c>
      <c r="G4215" t="s">
        <v>1809</v>
      </c>
      <c r="H4215" t="s">
        <v>1810</v>
      </c>
      <c r="I4215" t="s">
        <v>85</v>
      </c>
      <c r="J4215">
        <v>49</v>
      </c>
      <c r="K4215" t="s">
        <v>83</v>
      </c>
      <c r="L4215" t="s">
        <v>93</v>
      </c>
      <c r="M4215" t="s">
        <v>55</v>
      </c>
      <c r="N4215" t="s">
        <v>2594</v>
      </c>
      <c r="O4215" t="s">
        <v>131</v>
      </c>
      <c r="P4215" t="s">
        <v>53</v>
      </c>
      <c r="Q4215" t="s">
        <v>143</v>
      </c>
      <c r="R4215">
        <v>1</v>
      </c>
      <c r="S4215">
        <v>999</v>
      </c>
      <c r="T4215">
        <v>0.05</v>
      </c>
      <c r="U4215">
        <v>949.05</v>
      </c>
      <c r="V4215">
        <v>520</v>
      </c>
      <c r="W4215">
        <v>429.05</v>
      </c>
      <c r="X4215" t="s">
        <v>77</v>
      </c>
      <c r="Y4215" t="s">
        <v>70</v>
      </c>
      <c r="Z4215" t="s">
        <v>160</v>
      </c>
      <c r="AA4215" t="s">
        <v>169</v>
      </c>
      <c r="AB4215">
        <v>5</v>
      </c>
      <c r="AC4215">
        <v>50</v>
      </c>
      <c r="AD4215">
        <v>69.39</v>
      </c>
      <c r="AE4215">
        <f t="shared" si="130"/>
        <v>309.66000000000003</v>
      </c>
      <c r="AF4215" t="str">
        <f t="shared" si="131"/>
        <v>2026-06</v>
      </c>
      <c r="AG4215">
        <f>SUBTOTAL(103,A4215)</f>
        <v>1</v>
      </c>
    </row>
    <row r="4216" spans="1:33" x14ac:dyDescent="0.3">
      <c r="A4216" t="s">
        <v>6839</v>
      </c>
      <c r="B4216" s="13">
        <v>46198</v>
      </c>
      <c r="C4216">
        <v>2026</v>
      </c>
      <c r="D4216">
        <v>6</v>
      </c>
      <c r="E4216" t="s">
        <v>3813</v>
      </c>
      <c r="F4216" t="s">
        <v>3329</v>
      </c>
      <c r="G4216" t="s">
        <v>695</v>
      </c>
      <c r="H4216" t="s">
        <v>696</v>
      </c>
      <c r="I4216" t="s">
        <v>85</v>
      </c>
      <c r="J4216">
        <v>43</v>
      </c>
      <c r="K4216" t="s">
        <v>82</v>
      </c>
      <c r="L4216" t="s">
        <v>100</v>
      </c>
      <c r="M4216" t="s">
        <v>56</v>
      </c>
      <c r="N4216" t="s">
        <v>2582</v>
      </c>
      <c r="O4216" t="s">
        <v>119</v>
      </c>
      <c r="P4216" t="s">
        <v>49</v>
      </c>
      <c r="Q4216" t="s">
        <v>140</v>
      </c>
      <c r="R4216">
        <v>4</v>
      </c>
      <c r="S4216">
        <v>3499</v>
      </c>
      <c r="T4216">
        <v>0.05</v>
      </c>
      <c r="U4216">
        <v>13296.2</v>
      </c>
      <c r="V4216">
        <v>8400</v>
      </c>
      <c r="W4216">
        <v>4896.2</v>
      </c>
      <c r="X4216" t="s">
        <v>74</v>
      </c>
      <c r="Y4216" t="s">
        <v>70</v>
      </c>
      <c r="Z4216" t="s">
        <v>158</v>
      </c>
      <c r="AA4216" t="s">
        <v>167</v>
      </c>
      <c r="AB4216">
        <v>4.5</v>
      </c>
      <c r="AC4216">
        <v>60</v>
      </c>
      <c r="AD4216">
        <v>1306.5899999999999</v>
      </c>
      <c r="AE4216">
        <f t="shared" si="130"/>
        <v>3529.6099999999997</v>
      </c>
      <c r="AF4216" t="str">
        <f t="shared" si="131"/>
        <v>2026-06</v>
      </c>
      <c r="AG4216">
        <f>SUBTOTAL(103,A4216)</f>
        <v>1</v>
      </c>
    </row>
    <row r="4217" spans="1:33" x14ac:dyDescent="0.3">
      <c r="A4217" t="s">
        <v>6840</v>
      </c>
      <c r="B4217" s="13">
        <v>46198</v>
      </c>
      <c r="C4217">
        <v>2026</v>
      </c>
      <c r="D4217">
        <v>6</v>
      </c>
      <c r="E4217" t="s">
        <v>3813</v>
      </c>
      <c r="F4217" t="s">
        <v>3329</v>
      </c>
      <c r="G4217" t="s">
        <v>577</v>
      </c>
      <c r="H4217" t="s">
        <v>578</v>
      </c>
      <c r="I4217" t="s">
        <v>85</v>
      </c>
      <c r="J4217">
        <v>41</v>
      </c>
      <c r="K4217" t="s">
        <v>82</v>
      </c>
      <c r="L4217" t="s">
        <v>100</v>
      </c>
      <c r="M4217" t="s">
        <v>56</v>
      </c>
      <c r="N4217" t="s">
        <v>2580</v>
      </c>
      <c r="O4217" t="s">
        <v>118</v>
      </c>
      <c r="P4217" t="s">
        <v>48</v>
      </c>
      <c r="Q4217" t="s">
        <v>142</v>
      </c>
      <c r="R4217">
        <v>4</v>
      </c>
      <c r="S4217">
        <v>3999</v>
      </c>
      <c r="T4217">
        <v>0.2</v>
      </c>
      <c r="U4217">
        <v>12796.8</v>
      </c>
      <c r="V4217">
        <v>9600</v>
      </c>
      <c r="W4217">
        <v>3196.8</v>
      </c>
      <c r="X4217" t="s">
        <v>74</v>
      </c>
      <c r="Y4217" t="s">
        <v>68</v>
      </c>
      <c r="Z4217" t="s">
        <v>159</v>
      </c>
      <c r="AA4217" t="s">
        <v>167</v>
      </c>
      <c r="AB4217">
        <v>3.7</v>
      </c>
      <c r="AC4217">
        <v>60</v>
      </c>
      <c r="AD4217">
        <v>1475.92</v>
      </c>
      <c r="AE4217">
        <f t="shared" si="130"/>
        <v>1660.88</v>
      </c>
      <c r="AF4217" t="str">
        <f t="shared" si="131"/>
        <v>2026-06</v>
      </c>
      <c r="AG4217">
        <f>SUBTOTAL(103,A4217)</f>
        <v>1</v>
      </c>
    </row>
    <row r="4218" spans="1:33" x14ac:dyDescent="0.3">
      <c r="A4218" t="s">
        <v>6841</v>
      </c>
      <c r="B4218" s="13">
        <v>46198</v>
      </c>
      <c r="C4218">
        <v>2026</v>
      </c>
      <c r="D4218">
        <v>6</v>
      </c>
      <c r="E4218" t="s">
        <v>3813</v>
      </c>
      <c r="F4218" t="s">
        <v>3329</v>
      </c>
      <c r="G4218" t="s">
        <v>471</v>
      </c>
      <c r="H4218" t="s">
        <v>472</v>
      </c>
      <c r="I4218" t="s">
        <v>85</v>
      </c>
      <c r="J4218">
        <v>45</v>
      </c>
      <c r="K4218" t="s">
        <v>82</v>
      </c>
      <c r="L4218" t="s">
        <v>2599</v>
      </c>
      <c r="M4218" t="s">
        <v>62</v>
      </c>
      <c r="N4218" t="s">
        <v>2653</v>
      </c>
      <c r="O4218" t="s">
        <v>132</v>
      </c>
      <c r="P4218" t="s">
        <v>52</v>
      </c>
      <c r="Q4218" t="s">
        <v>150</v>
      </c>
      <c r="R4218">
        <v>3</v>
      </c>
      <c r="S4218">
        <v>899</v>
      </c>
      <c r="T4218">
        <v>0.05</v>
      </c>
      <c r="U4218">
        <v>2562.15</v>
      </c>
      <c r="V4218">
        <v>1260</v>
      </c>
      <c r="W4218">
        <v>1302.1500000000001</v>
      </c>
      <c r="X4218" t="s">
        <v>76</v>
      </c>
      <c r="Y4218" t="s">
        <v>68</v>
      </c>
      <c r="Z4218" t="s">
        <v>160</v>
      </c>
      <c r="AA4218" t="s">
        <v>166</v>
      </c>
      <c r="AB4218">
        <v>4.4000000000000004</v>
      </c>
      <c r="AC4218">
        <v>40</v>
      </c>
      <c r="AD4218">
        <v>52.84</v>
      </c>
      <c r="AE4218">
        <f t="shared" si="130"/>
        <v>1209.3100000000002</v>
      </c>
      <c r="AF4218" t="str">
        <f t="shared" si="131"/>
        <v>2026-06</v>
      </c>
      <c r="AG4218">
        <f>SUBTOTAL(103,A4218)</f>
        <v>1</v>
      </c>
    </row>
    <row r="4219" spans="1:33" x14ac:dyDescent="0.3">
      <c r="A4219" t="s">
        <v>6842</v>
      </c>
      <c r="B4219" s="13">
        <v>46198</v>
      </c>
      <c r="C4219">
        <v>2026</v>
      </c>
      <c r="D4219">
        <v>6</v>
      </c>
      <c r="E4219" t="s">
        <v>3813</v>
      </c>
      <c r="F4219" t="s">
        <v>3329</v>
      </c>
      <c r="G4219" t="s">
        <v>453</v>
      </c>
      <c r="H4219" t="s">
        <v>454</v>
      </c>
      <c r="I4219" t="s">
        <v>85</v>
      </c>
      <c r="J4219">
        <v>35</v>
      </c>
      <c r="K4219" t="s">
        <v>81</v>
      </c>
      <c r="L4219" t="s">
        <v>59</v>
      </c>
      <c r="M4219" t="s">
        <v>59</v>
      </c>
      <c r="N4219" t="s">
        <v>2630</v>
      </c>
      <c r="O4219" t="s">
        <v>123</v>
      </c>
      <c r="P4219" t="s">
        <v>52</v>
      </c>
      <c r="Q4219" t="s">
        <v>146</v>
      </c>
      <c r="R4219">
        <v>2</v>
      </c>
      <c r="S4219">
        <v>2499</v>
      </c>
      <c r="T4219">
        <v>0.2</v>
      </c>
      <c r="U4219">
        <v>3998.4</v>
      </c>
      <c r="V4219">
        <v>2800</v>
      </c>
      <c r="W4219">
        <v>1198.4000000000001</v>
      </c>
      <c r="X4219" t="s">
        <v>73</v>
      </c>
      <c r="Y4219" t="s">
        <v>68</v>
      </c>
      <c r="Z4219" t="s">
        <v>160</v>
      </c>
      <c r="AA4219" t="s">
        <v>167</v>
      </c>
      <c r="AB4219">
        <v>4.3</v>
      </c>
      <c r="AC4219">
        <v>60</v>
      </c>
      <c r="AD4219">
        <v>408.81</v>
      </c>
      <c r="AE4219">
        <f t="shared" si="130"/>
        <v>729.59000000000015</v>
      </c>
      <c r="AF4219" t="str">
        <f t="shared" si="131"/>
        <v>2026-06</v>
      </c>
      <c r="AG4219">
        <f>SUBTOTAL(103,A4219)</f>
        <v>1</v>
      </c>
    </row>
    <row r="4220" spans="1:33" x14ac:dyDescent="0.3">
      <c r="A4220" t="s">
        <v>6843</v>
      </c>
      <c r="B4220" s="13">
        <v>46198</v>
      </c>
      <c r="C4220">
        <v>2026</v>
      </c>
      <c r="D4220">
        <v>6</v>
      </c>
      <c r="E4220" t="s">
        <v>3813</v>
      </c>
      <c r="F4220" t="s">
        <v>3329</v>
      </c>
      <c r="G4220" t="s">
        <v>813</v>
      </c>
      <c r="H4220" t="s">
        <v>814</v>
      </c>
      <c r="I4220" t="s">
        <v>86</v>
      </c>
      <c r="J4220">
        <v>60</v>
      </c>
      <c r="K4220" t="s">
        <v>83</v>
      </c>
      <c r="L4220" t="s">
        <v>99</v>
      </c>
      <c r="M4220" t="s">
        <v>58</v>
      </c>
      <c r="N4220" t="s">
        <v>2665</v>
      </c>
      <c r="O4220" t="s">
        <v>128</v>
      </c>
      <c r="P4220" t="s">
        <v>53</v>
      </c>
      <c r="Q4220" t="s">
        <v>143</v>
      </c>
      <c r="R4220">
        <v>2</v>
      </c>
      <c r="S4220">
        <v>1499</v>
      </c>
      <c r="T4220">
        <v>0.05</v>
      </c>
      <c r="U4220">
        <v>2848.1</v>
      </c>
      <c r="V4220">
        <v>1600</v>
      </c>
      <c r="W4220">
        <v>1248.0999999999999</v>
      </c>
      <c r="X4220" t="s">
        <v>76</v>
      </c>
      <c r="Y4220" t="s">
        <v>68</v>
      </c>
      <c r="Z4220" t="s">
        <v>160</v>
      </c>
      <c r="AA4220" t="s">
        <v>167</v>
      </c>
      <c r="AB4220">
        <v>3.5</v>
      </c>
      <c r="AC4220">
        <v>40</v>
      </c>
      <c r="AD4220">
        <v>132.56</v>
      </c>
      <c r="AE4220">
        <f t="shared" si="130"/>
        <v>1075.54</v>
      </c>
      <c r="AF4220" t="str">
        <f t="shared" si="131"/>
        <v>2026-06</v>
      </c>
      <c r="AG4220">
        <f>SUBTOTAL(103,A4220)</f>
        <v>1</v>
      </c>
    </row>
    <row r="4221" spans="1:33" x14ac:dyDescent="0.3">
      <c r="A4221" t="s">
        <v>6844</v>
      </c>
      <c r="B4221" s="13">
        <v>46198</v>
      </c>
      <c r="C4221">
        <v>2026</v>
      </c>
      <c r="D4221">
        <v>6</v>
      </c>
      <c r="E4221" t="s">
        <v>3813</v>
      </c>
      <c r="F4221" t="s">
        <v>3329</v>
      </c>
      <c r="G4221" t="s">
        <v>243</v>
      </c>
      <c r="H4221" t="s">
        <v>244</v>
      </c>
      <c r="I4221" t="s">
        <v>85</v>
      </c>
      <c r="J4221">
        <v>56</v>
      </c>
      <c r="K4221" t="s">
        <v>83</v>
      </c>
      <c r="L4221" t="s">
        <v>2576</v>
      </c>
      <c r="M4221" t="s">
        <v>60</v>
      </c>
      <c r="N4221" t="s">
        <v>2603</v>
      </c>
      <c r="O4221" t="s">
        <v>122</v>
      </c>
      <c r="P4221" t="s">
        <v>48</v>
      </c>
      <c r="Q4221" t="s">
        <v>141</v>
      </c>
      <c r="R4221">
        <v>3</v>
      </c>
      <c r="S4221">
        <v>2499</v>
      </c>
      <c r="T4221">
        <v>0.15</v>
      </c>
      <c r="U4221">
        <v>6372.45</v>
      </c>
      <c r="V4221">
        <v>4350</v>
      </c>
      <c r="W4221">
        <v>2022.45</v>
      </c>
      <c r="X4221" t="s">
        <v>75</v>
      </c>
      <c r="Y4221" t="s">
        <v>68</v>
      </c>
      <c r="Z4221" t="s">
        <v>161</v>
      </c>
      <c r="AA4221" t="s">
        <v>166</v>
      </c>
      <c r="AB4221">
        <v>4.2</v>
      </c>
      <c r="AC4221">
        <v>120</v>
      </c>
      <c r="AD4221">
        <v>375.72</v>
      </c>
      <c r="AE4221">
        <f t="shared" si="130"/>
        <v>1526.73</v>
      </c>
      <c r="AF4221" t="str">
        <f t="shared" si="131"/>
        <v>2026-06</v>
      </c>
      <c r="AG4221">
        <f>SUBTOTAL(103,A4221)</f>
        <v>1</v>
      </c>
    </row>
    <row r="4222" spans="1:33" x14ac:dyDescent="0.3">
      <c r="A4222" t="s">
        <v>6845</v>
      </c>
      <c r="B4222" s="13">
        <v>46198</v>
      </c>
      <c r="C4222">
        <v>2026</v>
      </c>
      <c r="D4222">
        <v>6</v>
      </c>
      <c r="E4222" t="s">
        <v>3813</v>
      </c>
      <c r="F4222" t="s">
        <v>3329</v>
      </c>
      <c r="G4222" t="s">
        <v>1779</v>
      </c>
      <c r="H4222" t="s">
        <v>1780</v>
      </c>
      <c r="I4222" t="s">
        <v>85</v>
      </c>
      <c r="J4222">
        <v>20</v>
      </c>
      <c r="K4222" t="s">
        <v>80</v>
      </c>
      <c r="L4222" t="s">
        <v>92</v>
      </c>
      <c r="M4222" t="s">
        <v>59</v>
      </c>
      <c r="N4222" t="s">
        <v>2601</v>
      </c>
      <c r="O4222" t="s">
        <v>117</v>
      </c>
      <c r="P4222" t="s">
        <v>49</v>
      </c>
      <c r="Q4222" t="s">
        <v>139</v>
      </c>
      <c r="R4222">
        <v>2</v>
      </c>
      <c r="S4222">
        <v>6999</v>
      </c>
      <c r="T4222">
        <v>0.2</v>
      </c>
      <c r="U4222">
        <v>11198.4</v>
      </c>
      <c r="V4222">
        <v>8600</v>
      </c>
      <c r="W4222">
        <v>2598.4</v>
      </c>
      <c r="X4222" t="s">
        <v>74</v>
      </c>
      <c r="Y4222" t="s">
        <v>68</v>
      </c>
      <c r="Z4222" t="s">
        <v>162</v>
      </c>
      <c r="AA4222" t="s">
        <v>169</v>
      </c>
      <c r="AB4222">
        <v>3.8</v>
      </c>
      <c r="AC4222">
        <v>50</v>
      </c>
      <c r="AD4222">
        <v>945.79</v>
      </c>
      <c r="AE4222">
        <f t="shared" si="130"/>
        <v>1602.6100000000001</v>
      </c>
      <c r="AF4222" t="str">
        <f t="shared" si="131"/>
        <v>2026-06</v>
      </c>
      <c r="AG4222">
        <f>SUBTOTAL(103,A4222)</f>
        <v>1</v>
      </c>
    </row>
    <row r="4223" spans="1:33" x14ac:dyDescent="0.3">
      <c r="A4223" t="s">
        <v>6846</v>
      </c>
      <c r="B4223" s="13">
        <v>46198</v>
      </c>
      <c r="C4223">
        <v>2026</v>
      </c>
      <c r="D4223">
        <v>6</v>
      </c>
      <c r="E4223" t="s">
        <v>3813</v>
      </c>
      <c r="F4223" t="s">
        <v>3329</v>
      </c>
      <c r="G4223" t="s">
        <v>733</v>
      </c>
      <c r="H4223" t="s">
        <v>734</v>
      </c>
      <c r="I4223" t="s">
        <v>85</v>
      </c>
      <c r="J4223">
        <v>57</v>
      </c>
      <c r="K4223" t="s">
        <v>83</v>
      </c>
      <c r="L4223" t="s">
        <v>2687</v>
      </c>
      <c r="M4223" t="s">
        <v>57</v>
      </c>
      <c r="N4223" t="s">
        <v>2665</v>
      </c>
      <c r="O4223" t="s">
        <v>128</v>
      </c>
      <c r="P4223" t="s">
        <v>53</v>
      </c>
      <c r="Q4223" t="s">
        <v>143</v>
      </c>
      <c r="R4223">
        <v>3</v>
      </c>
      <c r="S4223">
        <v>1499</v>
      </c>
      <c r="T4223">
        <v>0.05</v>
      </c>
      <c r="U4223">
        <v>4272.1499999999996</v>
      </c>
      <c r="V4223">
        <v>2400</v>
      </c>
      <c r="W4223">
        <v>1872.15</v>
      </c>
      <c r="X4223" t="s">
        <v>73</v>
      </c>
      <c r="Y4223" t="s">
        <v>68</v>
      </c>
      <c r="Z4223" t="s">
        <v>160</v>
      </c>
      <c r="AA4223" t="s">
        <v>166</v>
      </c>
      <c r="AB4223">
        <v>4.0999999999999996</v>
      </c>
      <c r="AC4223">
        <v>80</v>
      </c>
      <c r="AD4223">
        <v>324.33</v>
      </c>
      <c r="AE4223">
        <f t="shared" si="130"/>
        <v>1467.8200000000002</v>
      </c>
      <c r="AF4223" t="str">
        <f t="shared" si="131"/>
        <v>2026-06</v>
      </c>
      <c r="AG4223">
        <f>SUBTOTAL(103,A4223)</f>
        <v>1</v>
      </c>
    </row>
    <row r="4224" spans="1:33" x14ac:dyDescent="0.3">
      <c r="A4224" t="s">
        <v>6847</v>
      </c>
      <c r="B4224" s="13">
        <v>46198</v>
      </c>
      <c r="C4224">
        <v>2026</v>
      </c>
      <c r="D4224">
        <v>6</v>
      </c>
      <c r="E4224" t="s">
        <v>3813</v>
      </c>
      <c r="F4224" t="s">
        <v>3329</v>
      </c>
      <c r="G4224" t="s">
        <v>2053</v>
      </c>
      <c r="H4224" t="s">
        <v>2054</v>
      </c>
      <c r="I4224" t="s">
        <v>86</v>
      </c>
      <c r="J4224">
        <v>51</v>
      </c>
      <c r="K4224" t="s">
        <v>83</v>
      </c>
      <c r="L4224" t="s">
        <v>95</v>
      </c>
      <c r="M4224" t="s">
        <v>56</v>
      </c>
      <c r="N4224" t="s">
        <v>2626</v>
      </c>
      <c r="O4224" t="s">
        <v>125</v>
      </c>
      <c r="P4224" t="s">
        <v>48</v>
      </c>
      <c r="Q4224" t="s">
        <v>141</v>
      </c>
      <c r="R4224">
        <v>2</v>
      </c>
      <c r="S4224">
        <v>1999</v>
      </c>
      <c r="T4224">
        <v>0</v>
      </c>
      <c r="U4224">
        <v>3998</v>
      </c>
      <c r="V4224">
        <v>2300</v>
      </c>
      <c r="W4224">
        <v>1698</v>
      </c>
      <c r="X4224" t="s">
        <v>74</v>
      </c>
      <c r="Y4224" t="s">
        <v>68</v>
      </c>
      <c r="Z4224" t="s">
        <v>161</v>
      </c>
      <c r="AA4224" t="s">
        <v>166</v>
      </c>
      <c r="AB4224">
        <v>4.7</v>
      </c>
      <c r="AC4224">
        <v>60</v>
      </c>
      <c r="AD4224">
        <v>460.33</v>
      </c>
      <c r="AE4224">
        <f t="shared" si="130"/>
        <v>1177.67</v>
      </c>
      <c r="AF4224" t="str">
        <f t="shared" si="131"/>
        <v>2026-06</v>
      </c>
      <c r="AG4224">
        <f>SUBTOTAL(103,A4224)</f>
        <v>1</v>
      </c>
    </row>
    <row r="4225" spans="1:33" x14ac:dyDescent="0.3">
      <c r="A4225" t="s">
        <v>6848</v>
      </c>
      <c r="B4225" s="13">
        <v>46198</v>
      </c>
      <c r="C4225">
        <v>2026</v>
      </c>
      <c r="D4225">
        <v>6</v>
      </c>
      <c r="E4225" t="s">
        <v>3813</v>
      </c>
      <c r="F4225" t="s">
        <v>3329</v>
      </c>
      <c r="G4225" t="s">
        <v>655</v>
      </c>
      <c r="H4225" t="s">
        <v>656</v>
      </c>
      <c r="I4225" t="s">
        <v>85</v>
      </c>
      <c r="J4225">
        <v>28</v>
      </c>
      <c r="K4225" t="s">
        <v>81</v>
      </c>
      <c r="L4225" t="s">
        <v>99</v>
      </c>
      <c r="M4225" t="s">
        <v>58</v>
      </c>
      <c r="N4225" t="s">
        <v>2587</v>
      </c>
      <c r="O4225" t="s">
        <v>116</v>
      </c>
      <c r="P4225" t="s">
        <v>48</v>
      </c>
      <c r="Q4225" t="s">
        <v>138</v>
      </c>
      <c r="R4225">
        <v>2</v>
      </c>
      <c r="S4225">
        <v>14999</v>
      </c>
      <c r="T4225">
        <v>0.15</v>
      </c>
      <c r="U4225">
        <v>25498.3</v>
      </c>
      <c r="V4225">
        <v>22400</v>
      </c>
      <c r="W4225">
        <v>3098.3</v>
      </c>
      <c r="X4225" t="s">
        <v>73</v>
      </c>
      <c r="Y4225" t="s">
        <v>68</v>
      </c>
      <c r="Z4225" t="s">
        <v>158</v>
      </c>
      <c r="AA4225" t="s">
        <v>171</v>
      </c>
      <c r="AB4225">
        <v>3.8</v>
      </c>
      <c r="AC4225">
        <v>40</v>
      </c>
      <c r="AD4225">
        <v>1845.6</v>
      </c>
      <c r="AE4225">
        <f t="shared" si="130"/>
        <v>1212.7000000000003</v>
      </c>
      <c r="AF4225" t="str">
        <f t="shared" si="131"/>
        <v>2026-06</v>
      </c>
      <c r="AG4225">
        <f>SUBTOTAL(103,A4225)</f>
        <v>1</v>
      </c>
    </row>
    <row r="4226" spans="1:33" x14ac:dyDescent="0.3">
      <c r="A4226" t="s">
        <v>6849</v>
      </c>
      <c r="B4226" s="13">
        <v>46198</v>
      </c>
      <c r="C4226">
        <v>2026</v>
      </c>
      <c r="D4226">
        <v>6</v>
      </c>
      <c r="E4226" t="s">
        <v>3813</v>
      </c>
      <c r="F4226" t="s">
        <v>3329</v>
      </c>
      <c r="G4226" t="s">
        <v>555</v>
      </c>
      <c r="H4226" t="s">
        <v>556</v>
      </c>
      <c r="I4226" t="s">
        <v>85</v>
      </c>
      <c r="J4226">
        <v>47</v>
      </c>
      <c r="K4226" t="s">
        <v>83</v>
      </c>
      <c r="L4226" t="s">
        <v>2576</v>
      </c>
      <c r="M4226" t="s">
        <v>60</v>
      </c>
      <c r="N4226" t="s">
        <v>2577</v>
      </c>
      <c r="O4226" t="s">
        <v>129</v>
      </c>
      <c r="P4226" t="s">
        <v>49</v>
      </c>
      <c r="Q4226" t="s">
        <v>149</v>
      </c>
      <c r="R4226">
        <v>2</v>
      </c>
      <c r="S4226">
        <v>1299</v>
      </c>
      <c r="T4226">
        <v>0.1</v>
      </c>
      <c r="U4226">
        <v>2338.1999999999998</v>
      </c>
      <c r="V4226">
        <v>1300</v>
      </c>
      <c r="W4226">
        <v>1038.2</v>
      </c>
      <c r="X4226" t="s">
        <v>73</v>
      </c>
      <c r="Y4226" t="s">
        <v>68</v>
      </c>
      <c r="Z4226" t="s">
        <v>158</v>
      </c>
      <c r="AA4226" t="s">
        <v>168</v>
      </c>
      <c r="AB4226">
        <v>3.9</v>
      </c>
      <c r="AC4226">
        <v>80</v>
      </c>
      <c r="AD4226">
        <v>112.97</v>
      </c>
      <c r="AE4226">
        <f t="shared" ref="AE4226:AE4289" si="132">W4226-AC4226-AD4226</f>
        <v>845.23</v>
      </c>
      <c r="AF4226" t="str">
        <f t="shared" ref="AF4226:AF4289" si="133">C4226&amp;"-"&amp;TEXT(D4226,"00")</f>
        <v>2026-06</v>
      </c>
      <c r="AG4226">
        <f>SUBTOTAL(103,A4226)</f>
        <v>1</v>
      </c>
    </row>
    <row r="4227" spans="1:33" x14ac:dyDescent="0.3">
      <c r="A4227" t="s">
        <v>6850</v>
      </c>
      <c r="B4227" s="13">
        <v>46198</v>
      </c>
      <c r="C4227">
        <v>2026</v>
      </c>
      <c r="D4227">
        <v>6</v>
      </c>
      <c r="E4227" t="s">
        <v>3813</v>
      </c>
      <c r="F4227" t="s">
        <v>3329</v>
      </c>
      <c r="G4227" t="s">
        <v>1251</v>
      </c>
      <c r="H4227" t="s">
        <v>1252</v>
      </c>
      <c r="I4227" t="s">
        <v>86</v>
      </c>
      <c r="J4227">
        <v>35</v>
      </c>
      <c r="K4227" t="s">
        <v>81</v>
      </c>
      <c r="L4227" t="s">
        <v>94</v>
      </c>
      <c r="M4227" t="s">
        <v>57</v>
      </c>
      <c r="N4227" t="s">
        <v>2587</v>
      </c>
      <c r="O4227" t="s">
        <v>116</v>
      </c>
      <c r="P4227" t="s">
        <v>48</v>
      </c>
      <c r="Q4227" t="s">
        <v>138</v>
      </c>
      <c r="R4227">
        <v>1</v>
      </c>
      <c r="S4227">
        <v>14999</v>
      </c>
      <c r="T4227">
        <v>0.1</v>
      </c>
      <c r="U4227">
        <v>13499.1</v>
      </c>
      <c r="V4227">
        <v>11200</v>
      </c>
      <c r="W4227">
        <v>2299.1</v>
      </c>
      <c r="X4227" t="s">
        <v>74</v>
      </c>
      <c r="Y4227" t="s">
        <v>68</v>
      </c>
      <c r="Z4227" t="s">
        <v>163</v>
      </c>
      <c r="AA4227" t="s">
        <v>171</v>
      </c>
      <c r="AB4227">
        <v>4.4000000000000004</v>
      </c>
      <c r="AC4227">
        <v>60</v>
      </c>
      <c r="AD4227">
        <v>970.65</v>
      </c>
      <c r="AE4227">
        <f t="shared" si="132"/>
        <v>1268.4499999999998</v>
      </c>
      <c r="AF4227" t="str">
        <f t="shared" si="133"/>
        <v>2026-06</v>
      </c>
      <c r="AG4227">
        <f>SUBTOTAL(103,A4227)</f>
        <v>1</v>
      </c>
    </row>
    <row r="4228" spans="1:33" x14ac:dyDescent="0.3">
      <c r="A4228" t="s">
        <v>6851</v>
      </c>
      <c r="B4228" s="13">
        <v>46199</v>
      </c>
      <c r="C4228">
        <v>2026</v>
      </c>
      <c r="D4228">
        <v>6</v>
      </c>
      <c r="E4228" t="s">
        <v>3813</v>
      </c>
      <c r="F4228" t="s">
        <v>3329</v>
      </c>
      <c r="G4228" t="s">
        <v>2529</v>
      </c>
      <c r="H4228" t="s">
        <v>2530</v>
      </c>
      <c r="I4228" t="s">
        <v>86</v>
      </c>
      <c r="J4228">
        <v>38</v>
      </c>
      <c r="K4228" t="s">
        <v>82</v>
      </c>
      <c r="L4228" t="s">
        <v>2690</v>
      </c>
      <c r="M4228" t="s">
        <v>63</v>
      </c>
      <c r="N4228" t="s">
        <v>2594</v>
      </c>
      <c r="O4228" t="s">
        <v>131</v>
      </c>
      <c r="P4228" t="s">
        <v>53</v>
      </c>
      <c r="Q4228" t="s">
        <v>143</v>
      </c>
      <c r="R4228">
        <v>1</v>
      </c>
      <c r="S4228">
        <v>999</v>
      </c>
      <c r="T4228">
        <v>0.05</v>
      </c>
      <c r="U4228">
        <v>949.05</v>
      </c>
      <c r="V4228">
        <v>520</v>
      </c>
      <c r="W4228">
        <v>429.05</v>
      </c>
      <c r="X4228" t="s">
        <v>75</v>
      </c>
      <c r="Y4228" t="s">
        <v>68</v>
      </c>
      <c r="Z4228" t="s">
        <v>159</v>
      </c>
      <c r="AA4228" t="s">
        <v>169</v>
      </c>
      <c r="AB4228">
        <v>3.7</v>
      </c>
      <c r="AC4228">
        <v>60</v>
      </c>
      <c r="AD4228">
        <v>97.5</v>
      </c>
      <c r="AE4228">
        <f t="shared" si="132"/>
        <v>271.55</v>
      </c>
      <c r="AF4228" t="str">
        <f t="shared" si="133"/>
        <v>2026-06</v>
      </c>
      <c r="AG4228">
        <f>SUBTOTAL(103,A4228)</f>
        <v>1</v>
      </c>
    </row>
    <row r="4229" spans="1:33" x14ac:dyDescent="0.3">
      <c r="A4229" t="s">
        <v>6852</v>
      </c>
      <c r="B4229" s="13">
        <v>46199</v>
      </c>
      <c r="C4229">
        <v>2026</v>
      </c>
      <c r="D4229">
        <v>6</v>
      </c>
      <c r="E4229" t="s">
        <v>3813</v>
      </c>
      <c r="F4229" t="s">
        <v>3329</v>
      </c>
      <c r="G4229" t="s">
        <v>1661</v>
      </c>
      <c r="H4229" t="s">
        <v>1662</v>
      </c>
      <c r="I4229" t="s">
        <v>86</v>
      </c>
      <c r="J4229">
        <v>26</v>
      </c>
      <c r="K4229" t="s">
        <v>81</v>
      </c>
      <c r="L4229" t="s">
        <v>2623</v>
      </c>
      <c r="M4229" t="s">
        <v>61</v>
      </c>
      <c r="N4229" t="s">
        <v>2647</v>
      </c>
      <c r="O4229" t="s">
        <v>133</v>
      </c>
      <c r="P4229" t="s">
        <v>50</v>
      </c>
      <c r="Q4229" t="s">
        <v>145</v>
      </c>
      <c r="R4229">
        <v>1</v>
      </c>
      <c r="S4229">
        <v>799</v>
      </c>
      <c r="T4229">
        <v>0.1</v>
      </c>
      <c r="U4229">
        <v>0</v>
      </c>
      <c r="V4229">
        <v>0</v>
      </c>
      <c r="W4229">
        <v>0</v>
      </c>
      <c r="X4229" t="s">
        <v>73</v>
      </c>
      <c r="Y4229" t="s">
        <v>71</v>
      </c>
      <c r="Z4229" t="s">
        <v>159</v>
      </c>
      <c r="AA4229" t="s">
        <v>167</v>
      </c>
      <c r="AB4229">
        <v>4.0999999999999996</v>
      </c>
      <c r="AC4229">
        <v>50</v>
      </c>
      <c r="AD4229">
        <v>20.86</v>
      </c>
      <c r="AE4229">
        <f t="shared" si="132"/>
        <v>-70.86</v>
      </c>
      <c r="AF4229" t="str">
        <f t="shared" si="133"/>
        <v>2026-06</v>
      </c>
      <c r="AG4229">
        <f>SUBTOTAL(103,A4229)</f>
        <v>1</v>
      </c>
    </row>
    <row r="4230" spans="1:33" x14ac:dyDescent="0.3">
      <c r="A4230" t="s">
        <v>6853</v>
      </c>
      <c r="B4230" s="13">
        <v>46199</v>
      </c>
      <c r="C4230">
        <v>2026</v>
      </c>
      <c r="D4230">
        <v>6</v>
      </c>
      <c r="E4230" t="s">
        <v>3813</v>
      </c>
      <c r="F4230" t="s">
        <v>3329</v>
      </c>
      <c r="G4230" t="s">
        <v>2221</v>
      </c>
      <c r="H4230" t="s">
        <v>2222</v>
      </c>
      <c r="I4230" t="s">
        <v>85</v>
      </c>
      <c r="J4230">
        <v>52</v>
      </c>
      <c r="K4230" t="s">
        <v>83</v>
      </c>
      <c r="L4230" t="s">
        <v>2579</v>
      </c>
      <c r="M4230" t="s">
        <v>56</v>
      </c>
      <c r="N4230" t="s">
        <v>2665</v>
      </c>
      <c r="O4230" t="s">
        <v>128</v>
      </c>
      <c r="P4230" t="s">
        <v>53</v>
      </c>
      <c r="Q4230" t="s">
        <v>143</v>
      </c>
      <c r="R4230">
        <v>1</v>
      </c>
      <c r="S4230">
        <v>1499</v>
      </c>
      <c r="T4230">
        <v>0</v>
      </c>
      <c r="U4230">
        <v>1499</v>
      </c>
      <c r="V4230">
        <v>800</v>
      </c>
      <c r="W4230">
        <v>699</v>
      </c>
      <c r="X4230" t="s">
        <v>74</v>
      </c>
      <c r="Y4230" t="s">
        <v>68</v>
      </c>
      <c r="Z4230" t="s">
        <v>161</v>
      </c>
      <c r="AA4230" t="s">
        <v>166</v>
      </c>
      <c r="AB4230">
        <v>3</v>
      </c>
      <c r="AC4230">
        <v>60</v>
      </c>
      <c r="AD4230">
        <v>134.21</v>
      </c>
      <c r="AE4230">
        <f t="shared" si="132"/>
        <v>504.78999999999996</v>
      </c>
      <c r="AF4230" t="str">
        <f t="shared" si="133"/>
        <v>2026-06</v>
      </c>
      <c r="AG4230">
        <f>SUBTOTAL(103,A4230)</f>
        <v>1</v>
      </c>
    </row>
    <row r="4231" spans="1:33" x14ac:dyDescent="0.3">
      <c r="A4231" t="s">
        <v>6854</v>
      </c>
      <c r="B4231" s="13">
        <v>46199</v>
      </c>
      <c r="C4231">
        <v>2026</v>
      </c>
      <c r="D4231">
        <v>6</v>
      </c>
      <c r="E4231" t="s">
        <v>3813</v>
      </c>
      <c r="F4231" t="s">
        <v>3329</v>
      </c>
      <c r="G4231" t="s">
        <v>927</v>
      </c>
      <c r="H4231" t="s">
        <v>928</v>
      </c>
      <c r="I4231" t="s">
        <v>86</v>
      </c>
      <c r="J4231">
        <v>49</v>
      </c>
      <c r="K4231" t="s">
        <v>83</v>
      </c>
      <c r="L4231" t="s">
        <v>2674</v>
      </c>
      <c r="M4231" t="s">
        <v>58</v>
      </c>
      <c r="N4231" t="s">
        <v>2653</v>
      </c>
      <c r="O4231" t="s">
        <v>132</v>
      </c>
      <c r="P4231" t="s">
        <v>52</v>
      </c>
      <c r="Q4231" t="s">
        <v>150</v>
      </c>
      <c r="R4231">
        <v>1</v>
      </c>
      <c r="S4231">
        <v>899</v>
      </c>
      <c r="T4231">
        <v>0.1</v>
      </c>
      <c r="U4231">
        <v>809.1</v>
      </c>
      <c r="V4231">
        <v>420</v>
      </c>
      <c r="W4231">
        <v>389.1</v>
      </c>
      <c r="X4231" t="s">
        <v>76</v>
      </c>
      <c r="Y4231" t="s">
        <v>68</v>
      </c>
      <c r="Z4231" t="s">
        <v>161</v>
      </c>
      <c r="AA4231" t="s">
        <v>170</v>
      </c>
      <c r="AB4231">
        <v>5</v>
      </c>
      <c r="AC4231">
        <v>120</v>
      </c>
      <c r="AD4231">
        <v>62.61</v>
      </c>
      <c r="AE4231">
        <f t="shared" si="132"/>
        <v>206.49</v>
      </c>
      <c r="AF4231" t="str">
        <f t="shared" si="133"/>
        <v>2026-06</v>
      </c>
      <c r="AG4231">
        <f>SUBTOTAL(103,A4231)</f>
        <v>1</v>
      </c>
    </row>
    <row r="4232" spans="1:33" x14ac:dyDescent="0.3">
      <c r="A4232" t="s">
        <v>6855</v>
      </c>
      <c r="B4232" s="13">
        <v>46199</v>
      </c>
      <c r="C4232">
        <v>2026</v>
      </c>
      <c r="D4232">
        <v>6</v>
      </c>
      <c r="E4232" t="s">
        <v>3813</v>
      </c>
      <c r="F4232" t="s">
        <v>3329</v>
      </c>
      <c r="G4232" t="s">
        <v>1689</v>
      </c>
      <c r="H4232" t="s">
        <v>1690</v>
      </c>
      <c r="I4232" t="s">
        <v>85</v>
      </c>
      <c r="J4232">
        <v>54</v>
      </c>
      <c r="K4232" t="s">
        <v>83</v>
      </c>
      <c r="L4232" t="s">
        <v>93</v>
      </c>
      <c r="M4232" t="s">
        <v>55</v>
      </c>
      <c r="N4232" t="s">
        <v>2592</v>
      </c>
      <c r="O4232" t="s">
        <v>115</v>
      </c>
      <c r="P4232" t="s">
        <v>48</v>
      </c>
      <c r="Q4232" t="s">
        <v>137</v>
      </c>
      <c r="R4232">
        <v>1</v>
      </c>
      <c r="S4232">
        <v>12999</v>
      </c>
      <c r="T4232">
        <v>0.1</v>
      </c>
      <c r="U4232">
        <v>11699.1</v>
      </c>
      <c r="V4232">
        <v>9000</v>
      </c>
      <c r="W4232">
        <v>2699.1</v>
      </c>
      <c r="X4232" t="s">
        <v>73</v>
      </c>
      <c r="Y4232" t="s">
        <v>68</v>
      </c>
      <c r="Z4232" t="s">
        <v>161</v>
      </c>
      <c r="AA4232" t="s">
        <v>167</v>
      </c>
      <c r="AB4232">
        <v>3.8</v>
      </c>
      <c r="AC4232">
        <v>50</v>
      </c>
      <c r="AD4232">
        <v>442.73</v>
      </c>
      <c r="AE4232">
        <f t="shared" si="132"/>
        <v>2206.37</v>
      </c>
      <c r="AF4232" t="str">
        <f t="shared" si="133"/>
        <v>2026-06</v>
      </c>
      <c r="AG4232">
        <f>SUBTOTAL(103,A4232)</f>
        <v>1</v>
      </c>
    </row>
    <row r="4233" spans="1:33" x14ac:dyDescent="0.3">
      <c r="A4233" t="s">
        <v>6856</v>
      </c>
      <c r="B4233" s="13">
        <v>46199</v>
      </c>
      <c r="C4233">
        <v>2026</v>
      </c>
      <c r="D4233">
        <v>6</v>
      </c>
      <c r="E4233" t="s">
        <v>3813</v>
      </c>
      <c r="F4233" t="s">
        <v>3329</v>
      </c>
      <c r="G4233" t="s">
        <v>1343</v>
      </c>
      <c r="H4233" t="s">
        <v>1344</v>
      </c>
      <c r="I4233" t="s">
        <v>86</v>
      </c>
      <c r="J4233">
        <v>52</v>
      </c>
      <c r="K4233" t="s">
        <v>83</v>
      </c>
      <c r="L4233" t="s">
        <v>90</v>
      </c>
      <c r="M4233" t="s">
        <v>55</v>
      </c>
      <c r="N4233" t="s">
        <v>2592</v>
      </c>
      <c r="O4233" t="s">
        <v>115</v>
      </c>
      <c r="P4233" t="s">
        <v>48</v>
      </c>
      <c r="Q4233" t="s">
        <v>137</v>
      </c>
      <c r="R4233">
        <v>1</v>
      </c>
      <c r="S4233">
        <v>12999</v>
      </c>
      <c r="T4233">
        <v>0.05</v>
      </c>
      <c r="U4233">
        <v>12349.05</v>
      </c>
      <c r="V4233">
        <v>9000</v>
      </c>
      <c r="W4233">
        <v>3349.05</v>
      </c>
      <c r="X4233" t="s">
        <v>74</v>
      </c>
      <c r="Y4233" t="s">
        <v>68</v>
      </c>
      <c r="Z4233" t="s">
        <v>160</v>
      </c>
      <c r="AA4233" t="s">
        <v>167</v>
      </c>
      <c r="AB4233">
        <v>4.0999999999999996</v>
      </c>
      <c r="AC4233">
        <v>100</v>
      </c>
      <c r="AD4233">
        <v>919.53</v>
      </c>
      <c r="AE4233">
        <f t="shared" si="132"/>
        <v>2329.5200000000004</v>
      </c>
      <c r="AF4233" t="str">
        <f t="shared" si="133"/>
        <v>2026-06</v>
      </c>
      <c r="AG4233">
        <f>SUBTOTAL(103,A4233)</f>
        <v>1</v>
      </c>
    </row>
    <row r="4234" spans="1:33" x14ac:dyDescent="0.3">
      <c r="A4234" t="s">
        <v>6857</v>
      </c>
      <c r="B4234" s="13">
        <v>46199</v>
      </c>
      <c r="C4234">
        <v>2026</v>
      </c>
      <c r="D4234">
        <v>6</v>
      </c>
      <c r="E4234" t="s">
        <v>3813</v>
      </c>
      <c r="F4234" t="s">
        <v>3329</v>
      </c>
      <c r="G4234" t="s">
        <v>1239</v>
      </c>
      <c r="H4234" t="s">
        <v>1240</v>
      </c>
      <c r="I4234" t="s">
        <v>85</v>
      </c>
      <c r="J4234">
        <v>26</v>
      </c>
      <c r="K4234" t="s">
        <v>81</v>
      </c>
      <c r="L4234" t="s">
        <v>2623</v>
      </c>
      <c r="M4234" t="s">
        <v>61</v>
      </c>
      <c r="N4234" t="s">
        <v>2647</v>
      </c>
      <c r="O4234" t="s">
        <v>133</v>
      </c>
      <c r="P4234" t="s">
        <v>50</v>
      </c>
      <c r="Q4234" t="s">
        <v>145</v>
      </c>
      <c r="R4234">
        <v>5</v>
      </c>
      <c r="S4234">
        <v>799</v>
      </c>
      <c r="T4234">
        <v>0.15</v>
      </c>
      <c r="U4234">
        <v>3395.75</v>
      </c>
      <c r="V4234">
        <v>1950</v>
      </c>
      <c r="W4234">
        <v>1445.75</v>
      </c>
      <c r="X4234" t="s">
        <v>73</v>
      </c>
      <c r="Y4234" t="s">
        <v>68</v>
      </c>
      <c r="Z4234" t="s">
        <v>159</v>
      </c>
      <c r="AA4234" t="s">
        <v>168</v>
      </c>
      <c r="AB4234">
        <v>2</v>
      </c>
      <c r="AC4234">
        <v>40</v>
      </c>
      <c r="AD4234">
        <v>284.91000000000003</v>
      </c>
      <c r="AE4234">
        <f t="shared" si="132"/>
        <v>1120.8399999999999</v>
      </c>
      <c r="AF4234" t="str">
        <f t="shared" si="133"/>
        <v>2026-06</v>
      </c>
      <c r="AG4234">
        <f>SUBTOTAL(103,A4234)</f>
        <v>1</v>
      </c>
    </row>
    <row r="4235" spans="1:33" x14ac:dyDescent="0.3">
      <c r="A4235" t="s">
        <v>6858</v>
      </c>
      <c r="B4235" s="13">
        <v>46199</v>
      </c>
      <c r="C4235">
        <v>2026</v>
      </c>
      <c r="D4235">
        <v>6</v>
      </c>
      <c r="E4235" t="s">
        <v>3813</v>
      </c>
      <c r="F4235" t="s">
        <v>3329</v>
      </c>
      <c r="G4235" t="s">
        <v>827</v>
      </c>
      <c r="H4235" t="s">
        <v>828</v>
      </c>
      <c r="I4235" t="s">
        <v>85</v>
      </c>
      <c r="J4235">
        <v>30</v>
      </c>
      <c r="K4235" t="s">
        <v>81</v>
      </c>
      <c r="L4235" t="s">
        <v>99</v>
      </c>
      <c r="M4235" t="s">
        <v>58</v>
      </c>
      <c r="N4235" t="s">
        <v>2580</v>
      </c>
      <c r="O4235" t="s">
        <v>118</v>
      </c>
      <c r="P4235" t="s">
        <v>48</v>
      </c>
      <c r="Q4235" t="s">
        <v>142</v>
      </c>
      <c r="R4235">
        <v>4</v>
      </c>
      <c r="S4235">
        <v>3999</v>
      </c>
      <c r="T4235">
        <v>0.1</v>
      </c>
      <c r="U4235">
        <v>14396.4</v>
      </c>
      <c r="V4235">
        <v>9600</v>
      </c>
      <c r="W4235">
        <v>4796.3999999999996</v>
      </c>
      <c r="X4235" t="s">
        <v>76</v>
      </c>
      <c r="Y4235" t="s">
        <v>68</v>
      </c>
      <c r="Z4235" t="s">
        <v>158</v>
      </c>
      <c r="AA4235" t="s">
        <v>166</v>
      </c>
      <c r="AB4235">
        <v>3.6</v>
      </c>
      <c r="AC4235">
        <v>50</v>
      </c>
      <c r="AD4235">
        <v>293.58</v>
      </c>
      <c r="AE4235">
        <f t="shared" si="132"/>
        <v>4452.82</v>
      </c>
      <c r="AF4235" t="str">
        <f t="shared" si="133"/>
        <v>2026-06</v>
      </c>
      <c r="AG4235">
        <f>SUBTOTAL(103,A4235)</f>
        <v>1</v>
      </c>
    </row>
    <row r="4236" spans="1:33" x14ac:dyDescent="0.3">
      <c r="A4236" t="s">
        <v>6859</v>
      </c>
      <c r="B4236" s="13">
        <v>46199</v>
      </c>
      <c r="C4236">
        <v>2026</v>
      </c>
      <c r="D4236">
        <v>6</v>
      </c>
      <c r="E4236" t="s">
        <v>3813</v>
      </c>
      <c r="F4236" t="s">
        <v>3329</v>
      </c>
      <c r="G4236" t="s">
        <v>1255</v>
      </c>
      <c r="H4236" t="s">
        <v>1256</v>
      </c>
      <c r="I4236" t="s">
        <v>85</v>
      </c>
      <c r="J4236">
        <v>47</v>
      </c>
      <c r="K4236" t="s">
        <v>83</v>
      </c>
      <c r="L4236" t="s">
        <v>2623</v>
      </c>
      <c r="M4236" t="s">
        <v>61</v>
      </c>
      <c r="N4236" t="s">
        <v>2653</v>
      </c>
      <c r="O4236" t="s">
        <v>132</v>
      </c>
      <c r="P4236" t="s">
        <v>52</v>
      </c>
      <c r="Q4236" t="s">
        <v>150</v>
      </c>
      <c r="R4236">
        <v>3</v>
      </c>
      <c r="S4236">
        <v>899</v>
      </c>
      <c r="T4236">
        <v>0.25</v>
      </c>
      <c r="U4236">
        <v>2022.75</v>
      </c>
      <c r="V4236">
        <v>1260</v>
      </c>
      <c r="W4236">
        <v>762.75</v>
      </c>
      <c r="X4236" t="s">
        <v>76</v>
      </c>
      <c r="Y4236" t="s">
        <v>68</v>
      </c>
      <c r="Z4236" t="s">
        <v>158</v>
      </c>
      <c r="AA4236" t="s">
        <v>171</v>
      </c>
      <c r="AB4236">
        <v>4.3</v>
      </c>
      <c r="AC4236">
        <v>100</v>
      </c>
      <c r="AD4236">
        <v>127.83</v>
      </c>
      <c r="AE4236">
        <f t="shared" si="132"/>
        <v>534.91999999999996</v>
      </c>
      <c r="AF4236" t="str">
        <f t="shared" si="133"/>
        <v>2026-06</v>
      </c>
      <c r="AG4236">
        <f>SUBTOTAL(103,A4236)</f>
        <v>1</v>
      </c>
    </row>
    <row r="4237" spans="1:33" x14ac:dyDescent="0.3">
      <c r="A4237" t="s">
        <v>6860</v>
      </c>
      <c r="B4237" s="13">
        <v>46199</v>
      </c>
      <c r="C4237">
        <v>2026</v>
      </c>
      <c r="D4237">
        <v>6</v>
      </c>
      <c r="E4237" t="s">
        <v>3813</v>
      </c>
      <c r="F4237" t="s">
        <v>3329</v>
      </c>
      <c r="G4237" t="s">
        <v>1585</v>
      </c>
      <c r="H4237" t="s">
        <v>1586</v>
      </c>
      <c r="I4237" t="s">
        <v>85</v>
      </c>
      <c r="J4237">
        <v>34</v>
      </c>
      <c r="K4237" t="s">
        <v>81</v>
      </c>
      <c r="L4237" t="s">
        <v>100</v>
      </c>
      <c r="M4237" t="s">
        <v>56</v>
      </c>
      <c r="N4237" t="s">
        <v>2665</v>
      </c>
      <c r="O4237" t="s">
        <v>128</v>
      </c>
      <c r="P4237" t="s">
        <v>53</v>
      </c>
      <c r="Q4237" t="s">
        <v>143</v>
      </c>
      <c r="R4237">
        <v>2</v>
      </c>
      <c r="S4237">
        <v>1499</v>
      </c>
      <c r="T4237">
        <v>0.05</v>
      </c>
      <c r="U4237">
        <v>2848.1</v>
      </c>
      <c r="V4237">
        <v>1600</v>
      </c>
      <c r="W4237">
        <v>1248.0999999999999</v>
      </c>
      <c r="X4237" t="s">
        <v>74</v>
      </c>
      <c r="Y4237" t="s">
        <v>68</v>
      </c>
      <c r="Z4237" t="s">
        <v>163</v>
      </c>
      <c r="AA4237" t="s">
        <v>168</v>
      </c>
      <c r="AB4237">
        <v>4</v>
      </c>
      <c r="AC4237">
        <v>60</v>
      </c>
      <c r="AD4237">
        <v>107.28</v>
      </c>
      <c r="AE4237">
        <f t="shared" si="132"/>
        <v>1080.82</v>
      </c>
      <c r="AF4237" t="str">
        <f t="shared" si="133"/>
        <v>2026-06</v>
      </c>
      <c r="AG4237">
        <f>SUBTOTAL(103,A4237)</f>
        <v>1</v>
      </c>
    </row>
    <row r="4238" spans="1:33" x14ac:dyDescent="0.3">
      <c r="A4238" t="s">
        <v>6861</v>
      </c>
      <c r="B4238" s="13">
        <v>46200</v>
      </c>
      <c r="C4238">
        <v>2026</v>
      </c>
      <c r="D4238">
        <v>6</v>
      </c>
      <c r="E4238" t="s">
        <v>3813</v>
      </c>
      <c r="F4238" t="s">
        <v>3329</v>
      </c>
      <c r="G4238" t="s">
        <v>1757</v>
      </c>
      <c r="H4238" t="s">
        <v>1758</v>
      </c>
      <c r="I4238" t="s">
        <v>85</v>
      </c>
      <c r="J4238">
        <v>22</v>
      </c>
      <c r="K4238" t="s">
        <v>80</v>
      </c>
      <c r="L4238" t="s">
        <v>2687</v>
      </c>
      <c r="M4238" t="s">
        <v>57</v>
      </c>
      <c r="N4238" t="s">
        <v>2596</v>
      </c>
      <c r="O4238" t="s">
        <v>124</v>
      </c>
      <c r="P4238" t="s">
        <v>51</v>
      </c>
      <c r="Q4238" t="s">
        <v>147</v>
      </c>
      <c r="R4238">
        <v>1</v>
      </c>
      <c r="S4238">
        <v>2299</v>
      </c>
      <c r="T4238">
        <v>0</v>
      </c>
      <c r="U4238">
        <v>2299</v>
      </c>
      <c r="V4238">
        <v>1200</v>
      </c>
      <c r="W4238">
        <v>1099</v>
      </c>
      <c r="X4238" t="s">
        <v>77</v>
      </c>
      <c r="Y4238" t="s">
        <v>68</v>
      </c>
      <c r="Z4238" t="s">
        <v>162</v>
      </c>
      <c r="AA4238" t="s">
        <v>167</v>
      </c>
      <c r="AB4238">
        <v>4.5</v>
      </c>
      <c r="AC4238">
        <v>50</v>
      </c>
      <c r="AD4238">
        <v>99.62</v>
      </c>
      <c r="AE4238">
        <f t="shared" si="132"/>
        <v>949.38</v>
      </c>
      <c r="AF4238" t="str">
        <f t="shared" si="133"/>
        <v>2026-06</v>
      </c>
      <c r="AG4238">
        <f>SUBTOTAL(103,A4238)</f>
        <v>1</v>
      </c>
    </row>
    <row r="4239" spans="1:33" x14ac:dyDescent="0.3">
      <c r="A4239" t="s">
        <v>6862</v>
      </c>
      <c r="B4239" s="13">
        <v>46200</v>
      </c>
      <c r="C4239">
        <v>2026</v>
      </c>
      <c r="D4239">
        <v>6</v>
      </c>
      <c r="E4239" t="s">
        <v>3813</v>
      </c>
      <c r="F4239" t="s">
        <v>3329</v>
      </c>
      <c r="G4239" t="s">
        <v>1017</v>
      </c>
      <c r="H4239" t="s">
        <v>1018</v>
      </c>
      <c r="I4239" t="s">
        <v>87</v>
      </c>
      <c r="J4239">
        <v>60</v>
      </c>
      <c r="K4239" t="s">
        <v>83</v>
      </c>
      <c r="L4239" t="s">
        <v>93</v>
      </c>
      <c r="M4239" t="s">
        <v>55</v>
      </c>
      <c r="N4239" t="s">
        <v>2647</v>
      </c>
      <c r="O4239" t="s">
        <v>133</v>
      </c>
      <c r="P4239" t="s">
        <v>50</v>
      </c>
      <c r="Q4239" t="s">
        <v>145</v>
      </c>
      <c r="R4239">
        <v>3</v>
      </c>
      <c r="S4239">
        <v>799</v>
      </c>
      <c r="T4239">
        <v>0.1</v>
      </c>
      <c r="U4239">
        <v>2157.3000000000002</v>
      </c>
      <c r="V4239">
        <v>1170</v>
      </c>
      <c r="W4239">
        <v>987.3</v>
      </c>
      <c r="X4239" t="s">
        <v>73</v>
      </c>
      <c r="Y4239" t="s">
        <v>68</v>
      </c>
      <c r="Z4239" t="s">
        <v>162</v>
      </c>
      <c r="AA4239" t="s">
        <v>166</v>
      </c>
      <c r="AB4239">
        <v>3.4</v>
      </c>
      <c r="AC4239">
        <v>80</v>
      </c>
      <c r="AD4239">
        <v>253.76</v>
      </c>
      <c r="AE4239">
        <f t="shared" si="132"/>
        <v>653.54</v>
      </c>
      <c r="AF4239" t="str">
        <f t="shared" si="133"/>
        <v>2026-06</v>
      </c>
      <c r="AG4239">
        <f>SUBTOTAL(103,A4239)</f>
        <v>1</v>
      </c>
    </row>
    <row r="4240" spans="1:33" x14ac:dyDescent="0.3">
      <c r="A4240" t="s">
        <v>6863</v>
      </c>
      <c r="B4240" s="13">
        <v>46200</v>
      </c>
      <c r="C4240">
        <v>2026</v>
      </c>
      <c r="D4240">
        <v>6</v>
      </c>
      <c r="E4240" t="s">
        <v>3813</v>
      </c>
      <c r="F4240" t="s">
        <v>3329</v>
      </c>
      <c r="G4240" t="s">
        <v>585</v>
      </c>
      <c r="H4240" t="s">
        <v>586</v>
      </c>
      <c r="I4240" t="s">
        <v>86</v>
      </c>
      <c r="J4240">
        <v>48</v>
      </c>
      <c r="K4240" t="s">
        <v>83</v>
      </c>
      <c r="L4240" t="s">
        <v>99</v>
      </c>
      <c r="M4240" t="s">
        <v>58</v>
      </c>
      <c r="N4240" t="s">
        <v>2653</v>
      </c>
      <c r="O4240" t="s">
        <v>132</v>
      </c>
      <c r="P4240" t="s">
        <v>52</v>
      </c>
      <c r="Q4240" t="s">
        <v>150</v>
      </c>
      <c r="R4240">
        <v>2</v>
      </c>
      <c r="S4240">
        <v>899</v>
      </c>
      <c r="T4240">
        <v>0.05</v>
      </c>
      <c r="U4240">
        <v>1708.1</v>
      </c>
      <c r="V4240">
        <v>840</v>
      </c>
      <c r="W4240">
        <v>868.1</v>
      </c>
      <c r="X4240" t="s">
        <v>74</v>
      </c>
      <c r="Y4240" t="s">
        <v>68</v>
      </c>
      <c r="Z4240" t="s">
        <v>158</v>
      </c>
      <c r="AA4240" t="s">
        <v>167</v>
      </c>
      <c r="AB4240">
        <v>3.8</v>
      </c>
      <c r="AC4240">
        <v>120</v>
      </c>
      <c r="AD4240">
        <v>181.5</v>
      </c>
      <c r="AE4240">
        <f t="shared" si="132"/>
        <v>566.6</v>
      </c>
      <c r="AF4240" t="str">
        <f t="shared" si="133"/>
        <v>2026-06</v>
      </c>
      <c r="AG4240">
        <f>SUBTOTAL(103,A4240)</f>
        <v>1</v>
      </c>
    </row>
    <row r="4241" spans="1:33" x14ac:dyDescent="0.3">
      <c r="A4241" t="s">
        <v>6864</v>
      </c>
      <c r="B4241" s="13">
        <v>46200</v>
      </c>
      <c r="C4241">
        <v>2026</v>
      </c>
      <c r="D4241">
        <v>6</v>
      </c>
      <c r="E4241" t="s">
        <v>3813</v>
      </c>
      <c r="F4241" t="s">
        <v>3329</v>
      </c>
      <c r="G4241" t="s">
        <v>959</v>
      </c>
      <c r="H4241" t="s">
        <v>960</v>
      </c>
      <c r="I4241" t="s">
        <v>86</v>
      </c>
      <c r="J4241">
        <v>26</v>
      </c>
      <c r="K4241" t="s">
        <v>81</v>
      </c>
      <c r="L4241" t="s">
        <v>2679</v>
      </c>
      <c r="M4241" t="s">
        <v>60</v>
      </c>
      <c r="N4241" t="s">
        <v>2594</v>
      </c>
      <c r="O4241" t="s">
        <v>131</v>
      </c>
      <c r="P4241" t="s">
        <v>53</v>
      </c>
      <c r="Q4241" t="s">
        <v>143</v>
      </c>
      <c r="R4241">
        <v>3</v>
      </c>
      <c r="S4241">
        <v>999</v>
      </c>
      <c r="T4241">
        <v>0.2</v>
      </c>
      <c r="U4241">
        <v>2397.6</v>
      </c>
      <c r="V4241">
        <v>1560</v>
      </c>
      <c r="W4241">
        <v>837.6</v>
      </c>
      <c r="X4241" t="s">
        <v>76</v>
      </c>
      <c r="Y4241" t="s">
        <v>68</v>
      </c>
      <c r="Z4241" t="s">
        <v>159</v>
      </c>
      <c r="AA4241" t="s">
        <v>166</v>
      </c>
      <c r="AB4241">
        <v>4.9000000000000004</v>
      </c>
      <c r="AC4241">
        <v>50</v>
      </c>
      <c r="AD4241">
        <v>220.81</v>
      </c>
      <c r="AE4241">
        <f t="shared" si="132"/>
        <v>566.79</v>
      </c>
      <c r="AF4241" t="str">
        <f t="shared" si="133"/>
        <v>2026-06</v>
      </c>
      <c r="AG4241">
        <f>SUBTOTAL(103,A4241)</f>
        <v>1</v>
      </c>
    </row>
    <row r="4242" spans="1:33" x14ac:dyDescent="0.3">
      <c r="A4242" t="s">
        <v>6865</v>
      </c>
      <c r="B4242" s="13">
        <v>46200</v>
      </c>
      <c r="C4242">
        <v>2026</v>
      </c>
      <c r="D4242">
        <v>6</v>
      </c>
      <c r="E4242" t="s">
        <v>3813</v>
      </c>
      <c r="F4242" t="s">
        <v>3329</v>
      </c>
      <c r="G4242" t="s">
        <v>923</v>
      </c>
      <c r="H4242" t="s">
        <v>924</v>
      </c>
      <c r="I4242" t="s">
        <v>86</v>
      </c>
      <c r="J4242">
        <v>53</v>
      </c>
      <c r="K4242" t="s">
        <v>83</v>
      </c>
      <c r="L4242" t="s">
        <v>2605</v>
      </c>
      <c r="M4242" t="s">
        <v>60</v>
      </c>
      <c r="N4242" t="s">
        <v>2587</v>
      </c>
      <c r="O4242" t="s">
        <v>116</v>
      </c>
      <c r="P4242" t="s">
        <v>48</v>
      </c>
      <c r="Q4242" t="s">
        <v>138</v>
      </c>
      <c r="R4242">
        <v>1</v>
      </c>
      <c r="S4242">
        <v>14999</v>
      </c>
      <c r="T4242">
        <v>0.05</v>
      </c>
      <c r="U4242">
        <v>14249.05</v>
      </c>
      <c r="V4242">
        <v>11200</v>
      </c>
      <c r="W4242">
        <v>3049.05</v>
      </c>
      <c r="X4242" t="s">
        <v>73</v>
      </c>
      <c r="Y4242" t="s">
        <v>68</v>
      </c>
      <c r="Z4242" t="s">
        <v>161</v>
      </c>
      <c r="AA4242" t="s">
        <v>169</v>
      </c>
      <c r="AB4242">
        <v>4.2</v>
      </c>
      <c r="AC4242">
        <v>100</v>
      </c>
      <c r="AD4242">
        <v>1649.1</v>
      </c>
      <c r="AE4242">
        <f t="shared" si="132"/>
        <v>1299.9500000000003</v>
      </c>
      <c r="AF4242" t="str">
        <f t="shared" si="133"/>
        <v>2026-06</v>
      </c>
      <c r="AG4242">
        <f>SUBTOTAL(103,A4242)</f>
        <v>1</v>
      </c>
    </row>
    <row r="4243" spans="1:33" x14ac:dyDescent="0.3">
      <c r="A4243" t="s">
        <v>6866</v>
      </c>
      <c r="B4243" s="13">
        <v>46200</v>
      </c>
      <c r="C4243">
        <v>2026</v>
      </c>
      <c r="D4243">
        <v>6</v>
      </c>
      <c r="E4243" t="s">
        <v>3813</v>
      </c>
      <c r="F4243" t="s">
        <v>3329</v>
      </c>
      <c r="G4243" t="s">
        <v>1225</v>
      </c>
      <c r="H4243" t="s">
        <v>1226</v>
      </c>
      <c r="I4243" t="s">
        <v>85</v>
      </c>
      <c r="J4243">
        <v>54</v>
      </c>
      <c r="K4243" t="s">
        <v>83</v>
      </c>
      <c r="L4243" t="s">
        <v>59</v>
      </c>
      <c r="M4243" t="s">
        <v>59</v>
      </c>
      <c r="N4243" t="s">
        <v>2606</v>
      </c>
      <c r="O4243" t="s">
        <v>120</v>
      </c>
      <c r="P4243" t="s">
        <v>49</v>
      </c>
      <c r="Q4243" t="s">
        <v>140</v>
      </c>
      <c r="R4243">
        <v>3</v>
      </c>
      <c r="S4243">
        <v>2799</v>
      </c>
      <c r="T4243">
        <v>0.1</v>
      </c>
      <c r="U4243">
        <v>7557.3</v>
      </c>
      <c r="V4243">
        <v>4950</v>
      </c>
      <c r="W4243">
        <v>2607.3000000000002</v>
      </c>
      <c r="X4243" t="s">
        <v>77</v>
      </c>
      <c r="Y4243" t="s">
        <v>68</v>
      </c>
      <c r="Z4243" t="s">
        <v>163</v>
      </c>
      <c r="AA4243" t="s">
        <v>170</v>
      </c>
      <c r="AB4243">
        <v>3.3</v>
      </c>
      <c r="AC4243">
        <v>50</v>
      </c>
      <c r="AD4243">
        <v>527.59</v>
      </c>
      <c r="AE4243">
        <f t="shared" si="132"/>
        <v>2029.71</v>
      </c>
      <c r="AF4243" t="str">
        <f t="shared" si="133"/>
        <v>2026-06</v>
      </c>
      <c r="AG4243">
        <f>SUBTOTAL(103,A4243)</f>
        <v>1</v>
      </c>
    </row>
    <row r="4244" spans="1:33" x14ac:dyDescent="0.3">
      <c r="A4244" t="s">
        <v>6867</v>
      </c>
      <c r="B4244" s="13">
        <v>46200</v>
      </c>
      <c r="C4244">
        <v>2026</v>
      </c>
      <c r="D4244">
        <v>6</v>
      </c>
      <c r="E4244" t="s">
        <v>3813</v>
      </c>
      <c r="F4244" t="s">
        <v>3329</v>
      </c>
      <c r="G4244" t="s">
        <v>1895</v>
      </c>
      <c r="H4244" t="s">
        <v>1896</v>
      </c>
      <c r="I4244" t="s">
        <v>86</v>
      </c>
      <c r="J4244">
        <v>33</v>
      </c>
      <c r="K4244" t="s">
        <v>81</v>
      </c>
      <c r="L4244" t="s">
        <v>2579</v>
      </c>
      <c r="M4244" t="s">
        <v>56</v>
      </c>
      <c r="N4244" t="s">
        <v>2653</v>
      </c>
      <c r="O4244" t="s">
        <v>132</v>
      </c>
      <c r="P4244" t="s">
        <v>52</v>
      </c>
      <c r="Q4244" t="s">
        <v>150</v>
      </c>
      <c r="R4244">
        <v>4</v>
      </c>
      <c r="S4244">
        <v>899</v>
      </c>
      <c r="T4244">
        <v>0.05</v>
      </c>
      <c r="U4244">
        <v>3416.2</v>
      </c>
      <c r="V4244">
        <v>1680</v>
      </c>
      <c r="W4244">
        <v>1736.2</v>
      </c>
      <c r="X4244" t="s">
        <v>73</v>
      </c>
      <c r="Y4244" t="s">
        <v>68</v>
      </c>
      <c r="Z4244" t="s">
        <v>161</v>
      </c>
      <c r="AA4244" t="s">
        <v>166</v>
      </c>
      <c r="AB4244">
        <v>4.5</v>
      </c>
      <c r="AC4244">
        <v>60</v>
      </c>
      <c r="AD4244">
        <v>230.2</v>
      </c>
      <c r="AE4244">
        <f t="shared" si="132"/>
        <v>1446</v>
      </c>
      <c r="AF4244" t="str">
        <f t="shared" si="133"/>
        <v>2026-06</v>
      </c>
      <c r="AG4244">
        <f>SUBTOTAL(103,A4244)</f>
        <v>1</v>
      </c>
    </row>
    <row r="4245" spans="1:33" x14ac:dyDescent="0.3">
      <c r="A4245" t="s">
        <v>6868</v>
      </c>
      <c r="B4245" s="13">
        <v>46200</v>
      </c>
      <c r="C4245">
        <v>2026</v>
      </c>
      <c r="D4245">
        <v>6</v>
      </c>
      <c r="E4245" t="s">
        <v>3813</v>
      </c>
      <c r="F4245" t="s">
        <v>3329</v>
      </c>
      <c r="G4245" t="s">
        <v>897</v>
      </c>
      <c r="H4245" t="s">
        <v>898</v>
      </c>
      <c r="I4245" t="s">
        <v>85</v>
      </c>
      <c r="J4245">
        <v>43</v>
      </c>
      <c r="K4245" t="s">
        <v>82</v>
      </c>
      <c r="L4245" t="s">
        <v>59</v>
      </c>
      <c r="M4245" t="s">
        <v>59</v>
      </c>
      <c r="N4245" t="s">
        <v>2584</v>
      </c>
      <c r="O4245" t="s">
        <v>121</v>
      </c>
      <c r="P4245" t="s">
        <v>50</v>
      </c>
      <c r="Q4245" t="s">
        <v>144</v>
      </c>
      <c r="R4245">
        <v>2</v>
      </c>
      <c r="S4245">
        <v>2999</v>
      </c>
      <c r="T4245">
        <v>0.05</v>
      </c>
      <c r="U4245">
        <v>0</v>
      </c>
      <c r="V4245">
        <v>0</v>
      </c>
      <c r="W4245">
        <v>0</v>
      </c>
      <c r="X4245" t="s">
        <v>76</v>
      </c>
      <c r="Y4245" t="s">
        <v>71</v>
      </c>
      <c r="Z4245" t="s">
        <v>160</v>
      </c>
      <c r="AA4245" t="s">
        <v>170</v>
      </c>
      <c r="AB4245">
        <v>4.0999999999999996</v>
      </c>
      <c r="AC4245">
        <v>80</v>
      </c>
      <c r="AD4245">
        <v>604.89</v>
      </c>
      <c r="AE4245">
        <f t="shared" si="132"/>
        <v>-684.89</v>
      </c>
      <c r="AF4245" t="str">
        <f t="shared" si="133"/>
        <v>2026-06</v>
      </c>
      <c r="AG4245">
        <f>SUBTOTAL(103,A4245)</f>
        <v>1</v>
      </c>
    </row>
    <row r="4246" spans="1:33" x14ac:dyDescent="0.3">
      <c r="A4246" t="s">
        <v>6869</v>
      </c>
      <c r="B4246" s="13">
        <v>46200</v>
      </c>
      <c r="C4246">
        <v>2026</v>
      </c>
      <c r="D4246">
        <v>6</v>
      </c>
      <c r="E4246" t="s">
        <v>3813</v>
      </c>
      <c r="F4246" t="s">
        <v>3329</v>
      </c>
      <c r="G4246" t="s">
        <v>1945</v>
      </c>
      <c r="H4246" t="s">
        <v>1946</v>
      </c>
      <c r="I4246" t="s">
        <v>85</v>
      </c>
      <c r="J4246">
        <v>57</v>
      </c>
      <c r="K4246" t="s">
        <v>83</v>
      </c>
      <c r="L4246" t="s">
        <v>90</v>
      </c>
      <c r="M4246" t="s">
        <v>55</v>
      </c>
      <c r="N4246" t="s">
        <v>2657</v>
      </c>
      <c r="O4246" t="s">
        <v>134</v>
      </c>
      <c r="P4246" t="s">
        <v>49</v>
      </c>
      <c r="Q4246" t="s">
        <v>140</v>
      </c>
      <c r="R4246">
        <v>3</v>
      </c>
      <c r="S4246">
        <v>599</v>
      </c>
      <c r="T4246">
        <v>0</v>
      </c>
      <c r="U4246">
        <v>1797</v>
      </c>
      <c r="V4246">
        <v>750</v>
      </c>
      <c r="W4246">
        <v>1047</v>
      </c>
      <c r="X4246" t="s">
        <v>73</v>
      </c>
      <c r="Y4246" t="s">
        <v>68</v>
      </c>
      <c r="Z4246" t="s">
        <v>161</v>
      </c>
      <c r="AA4246" t="s">
        <v>170</v>
      </c>
      <c r="AB4246">
        <v>4.4000000000000004</v>
      </c>
      <c r="AC4246">
        <v>40</v>
      </c>
      <c r="AD4246">
        <v>83.09</v>
      </c>
      <c r="AE4246">
        <f t="shared" si="132"/>
        <v>923.91</v>
      </c>
      <c r="AF4246" t="str">
        <f t="shared" si="133"/>
        <v>2026-06</v>
      </c>
      <c r="AG4246">
        <f>SUBTOTAL(103,A4246)</f>
        <v>1</v>
      </c>
    </row>
    <row r="4247" spans="1:33" x14ac:dyDescent="0.3">
      <c r="A4247" t="s">
        <v>6870</v>
      </c>
      <c r="B4247" s="13">
        <v>46200</v>
      </c>
      <c r="C4247">
        <v>2026</v>
      </c>
      <c r="D4247">
        <v>6</v>
      </c>
      <c r="E4247" t="s">
        <v>3813</v>
      </c>
      <c r="F4247" t="s">
        <v>3329</v>
      </c>
      <c r="G4247" t="s">
        <v>713</v>
      </c>
      <c r="H4247" t="s">
        <v>714</v>
      </c>
      <c r="I4247" t="s">
        <v>86</v>
      </c>
      <c r="J4247">
        <v>56</v>
      </c>
      <c r="K4247" t="s">
        <v>83</v>
      </c>
      <c r="L4247" t="s">
        <v>2589</v>
      </c>
      <c r="M4247" t="s">
        <v>61</v>
      </c>
      <c r="N4247" t="s">
        <v>2630</v>
      </c>
      <c r="O4247" t="s">
        <v>123</v>
      </c>
      <c r="P4247" t="s">
        <v>52</v>
      </c>
      <c r="Q4247" t="s">
        <v>146</v>
      </c>
      <c r="R4247">
        <v>2</v>
      </c>
      <c r="S4247">
        <v>2499</v>
      </c>
      <c r="T4247">
        <v>0.2</v>
      </c>
      <c r="U4247">
        <v>3998.4</v>
      </c>
      <c r="V4247">
        <v>2800</v>
      </c>
      <c r="W4247">
        <v>1198.4000000000001</v>
      </c>
      <c r="X4247" t="s">
        <v>75</v>
      </c>
      <c r="Y4247" t="s">
        <v>68</v>
      </c>
      <c r="Z4247" t="s">
        <v>158</v>
      </c>
      <c r="AA4247" t="s">
        <v>170</v>
      </c>
      <c r="AB4247">
        <v>5</v>
      </c>
      <c r="AC4247">
        <v>60</v>
      </c>
      <c r="AD4247">
        <v>315.37</v>
      </c>
      <c r="AE4247">
        <f t="shared" si="132"/>
        <v>823.03000000000009</v>
      </c>
      <c r="AF4247" t="str">
        <f t="shared" si="133"/>
        <v>2026-06</v>
      </c>
      <c r="AG4247">
        <f>SUBTOTAL(103,A4247)</f>
        <v>1</v>
      </c>
    </row>
    <row r="4248" spans="1:33" x14ac:dyDescent="0.3">
      <c r="A4248" t="s">
        <v>6871</v>
      </c>
      <c r="B4248" s="13">
        <v>46201</v>
      </c>
      <c r="C4248">
        <v>2026</v>
      </c>
      <c r="D4248">
        <v>6</v>
      </c>
      <c r="E4248" t="s">
        <v>3813</v>
      </c>
      <c r="F4248" t="s">
        <v>3329</v>
      </c>
      <c r="G4248" t="s">
        <v>1205</v>
      </c>
      <c r="H4248" t="s">
        <v>1206</v>
      </c>
      <c r="I4248" t="s">
        <v>86</v>
      </c>
      <c r="J4248">
        <v>39</v>
      </c>
      <c r="K4248" t="s">
        <v>82</v>
      </c>
      <c r="L4248" t="s">
        <v>93</v>
      </c>
      <c r="M4248" t="s">
        <v>55</v>
      </c>
      <c r="N4248" t="s">
        <v>2594</v>
      </c>
      <c r="O4248" t="s">
        <v>131</v>
      </c>
      <c r="P4248" t="s">
        <v>53</v>
      </c>
      <c r="Q4248" t="s">
        <v>143</v>
      </c>
      <c r="R4248">
        <v>2</v>
      </c>
      <c r="S4248">
        <v>999</v>
      </c>
      <c r="T4248">
        <v>0.1</v>
      </c>
      <c r="U4248">
        <v>1798.2</v>
      </c>
      <c r="V4248">
        <v>1040</v>
      </c>
      <c r="W4248">
        <v>758.2</v>
      </c>
      <c r="X4248" t="s">
        <v>73</v>
      </c>
      <c r="Y4248" t="s">
        <v>68</v>
      </c>
      <c r="Z4248" t="s">
        <v>159</v>
      </c>
      <c r="AA4248" t="s">
        <v>168</v>
      </c>
      <c r="AB4248">
        <v>3.5</v>
      </c>
      <c r="AC4248">
        <v>40</v>
      </c>
      <c r="AD4248">
        <v>87.75</v>
      </c>
      <c r="AE4248">
        <f t="shared" si="132"/>
        <v>630.45000000000005</v>
      </c>
      <c r="AF4248" t="str">
        <f t="shared" si="133"/>
        <v>2026-06</v>
      </c>
      <c r="AG4248">
        <f>SUBTOTAL(103,A4248)</f>
        <v>1</v>
      </c>
    </row>
    <row r="4249" spans="1:33" x14ac:dyDescent="0.3">
      <c r="A4249" t="s">
        <v>6872</v>
      </c>
      <c r="B4249" s="13">
        <v>46201</v>
      </c>
      <c r="C4249">
        <v>2026</v>
      </c>
      <c r="D4249">
        <v>6</v>
      </c>
      <c r="E4249" t="s">
        <v>3813</v>
      </c>
      <c r="F4249" t="s">
        <v>3329</v>
      </c>
      <c r="G4249" t="s">
        <v>1723</v>
      </c>
      <c r="H4249" t="s">
        <v>1724</v>
      </c>
      <c r="I4249" t="s">
        <v>85</v>
      </c>
      <c r="J4249">
        <v>22</v>
      </c>
      <c r="K4249" t="s">
        <v>80</v>
      </c>
      <c r="L4249" t="s">
        <v>2674</v>
      </c>
      <c r="M4249" t="s">
        <v>58</v>
      </c>
      <c r="N4249" t="s">
        <v>2577</v>
      </c>
      <c r="O4249" t="s">
        <v>129</v>
      </c>
      <c r="P4249" t="s">
        <v>49</v>
      </c>
      <c r="Q4249" t="s">
        <v>149</v>
      </c>
      <c r="R4249">
        <v>1</v>
      </c>
      <c r="S4249">
        <v>1299</v>
      </c>
      <c r="T4249">
        <v>0</v>
      </c>
      <c r="U4249">
        <v>1299</v>
      </c>
      <c r="V4249">
        <v>650</v>
      </c>
      <c r="W4249">
        <v>649</v>
      </c>
      <c r="X4249" t="s">
        <v>77</v>
      </c>
      <c r="Y4249" t="s">
        <v>68</v>
      </c>
      <c r="Z4249" t="s">
        <v>159</v>
      </c>
      <c r="AA4249" t="s">
        <v>166</v>
      </c>
      <c r="AB4249">
        <v>3.9</v>
      </c>
      <c r="AC4249">
        <v>80</v>
      </c>
      <c r="AD4249">
        <v>104.95</v>
      </c>
      <c r="AE4249">
        <f t="shared" si="132"/>
        <v>464.05</v>
      </c>
      <c r="AF4249" t="str">
        <f t="shared" si="133"/>
        <v>2026-06</v>
      </c>
      <c r="AG4249">
        <f>SUBTOTAL(103,A4249)</f>
        <v>1</v>
      </c>
    </row>
    <row r="4250" spans="1:33" x14ac:dyDescent="0.3">
      <c r="A4250" t="s">
        <v>6873</v>
      </c>
      <c r="B4250" s="13">
        <v>46201</v>
      </c>
      <c r="C4250">
        <v>2026</v>
      </c>
      <c r="D4250">
        <v>6</v>
      </c>
      <c r="E4250" t="s">
        <v>3813</v>
      </c>
      <c r="F4250" t="s">
        <v>3329</v>
      </c>
      <c r="G4250" t="s">
        <v>2049</v>
      </c>
      <c r="H4250" t="s">
        <v>2050</v>
      </c>
      <c r="I4250" t="s">
        <v>86</v>
      </c>
      <c r="J4250">
        <v>35</v>
      </c>
      <c r="K4250" t="s">
        <v>81</v>
      </c>
      <c r="L4250" t="s">
        <v>93</v>
      </c>
      <c r="M4250" t="s">
        <v>55</v>
      </c>
      <c r="N4250" t="s">
        <v>2601</v>
      </c>
      <c r="O4250" t="s">
        <v>117</v>
      </c>
      <c r="P4250" t="s">
        <v>49</v>
      </c>
      <c r="Q4250" t="s">
        <v>139</v>
      </c>
      <c r="R4250">
        <v>1</v>
      </c>
      <c r="S4250">
        <v>6999</v>
      </c>
      <c r="T4250">
        <v>0.1</v>
      </c>
      <c r="U4250">
        <v>6299.1</v>
      </c>
      <c r="V4250">
        <v>4300</v>
      </c>
      <c r="W4250">
        <v>1999.1</v>
      </c>
      <c r="X4250" t="s">
        <v>73</v>
      </c>
      <c r="Y4250" t="s">
        <v>69</v>
      </c>
      <c r="Z4250" t="s">
        <v>158</v>
      </c>
      <c r="AA4250" t="s">
        <v>166</v>
      </c>
      <c r="AB4250">
        <v>4.9000000000000004</v>
      </c>
      <c r="AC4250">
        <v>50</v>
      </c>
      <c r="AD4250">
        <v>691.69</v>
      </c>
      <c r="AE4250">
        <f t="shared" si="132"/>
        <v>1257.4099999999999</v>
      </c>
      <c r="AF4250" t="str">
        <f t="shared" si="133"/>
        <v>2026-06</v>
      </c>
      <c r="AG4250">
        <f>SUBTOTAL(103,A4250)</f>
        <v>1</v>
      </c>
    </row>
    <row r="4251" spans="1:33" x14ac:dyDescent="0.3">
      <c r="A4251" t="s">
        <v>6874</v>
      </c>
      <c r="B4251" s="13">
        <v>46201</v>
      </c>
      <c r="C4251">
        <v>2026</v>
      </c>
      <c r="D4251">
        <v>6</v>
      </c>
      <c r="E4251" t="s">
        <v>3813</v>
      </c>
      <c r="F4251" t="s">
        <v>3329</v>
      </c>
      <c r="G4251" t="s">
        <v>2521</v>
      </c>
      <c r="H4251" t="s">
        <v>2522</v>
      </c>
      <c r="I4251" t="s">
        <v>85</v>
      </c>
      <c r="J4251">
        <v>33</v>
      </c>
      <c r="K4251" t="s">
        <v>81</v>
      </c>
      <c r="L4251" t="s">
        <v>92</v>
      </c>
      <c r="M4251" t="s">
        <v>59</v>
      </c>
      <c r="N4251" t="s">
        <v>2577</v>
      </c>
      <c r="O4251" t="s">
        <v>129</v>
      </c>
      <c r="P4251" t="s">
        <v>49</v>
      </c>
      <c r="Q4251" t="s">
        <v>149</v>
      </c>
      <c r="R4251">
        <v>1</v>
      </c>
      <c r="S4251">
        <v>1299</v>
      </c>
      <c r="T4251">
        <v>0.15</v>
      </c>
      <c r="U4251">
        <v>1104.1500000000001</v>
      </c>
      <c r="V4251">
        <v>650</v>
      </c>
      <c r="W4251">
        <v>454.15</v>
      </c>
      <c r="X4251" t="s">
        <v>73</v>
      </c>
      <c r="Y4251" t="s">
        <v>68</v>
      </c>
      <c r="Z4251" t="s">
        <v>158</v>
      </c>
      <c r="AA4251" t="s">
        <v>167</v>
      </c>
      <c r="AB4251">
        <v>4.8</v>
      </c>
      <c r="AC4251">
        <v>60</v>
      </c>
      <c r="AD4251">
        <v>107.92</v>
      </c>
      <c r="AE4251">
        <f t="shared" si="132"/>
        <v>286.22999999999996</v>
      </c>
      <c r="AF4251" t="str">
        <f t="shared" si="133"/>
        <v>2026-06</v>
      </c>
      <c r="AG4251">
        <f>SUBTOTAL(103,A4251)</f>
        <v>1</v>
      </c>
    </row>
    <row r="4252" spans="1:33" x14ac:dyDescent="0.3">
      <c r="A4252" t="s">
        <v>6875</v>
      </c>
      <c r="B4252" s="13">
        <v>46201</v>
      </c>
      <c r="C4252">
        <v>2026</v>
      </c>
      <c r="D4252">
        <v>6</v>
      </c>
      <c r="E4252" t="s">
        <v>3813</v>
      </c>
      <c r="F4252" t="s">
        <v>3329</v>
      </c>
      <c r="G4252" t="s">
        <v>1771</v>
      </c>
      <c r="H4252" t="s">
        <v>1772</v>
      </c>
      <c r="I4252" t="s">
        <v>86</v>
      </c>
      <c r="J4252">
        <v>59</v>
      </c>
      <c r="K4252" t="s">
        <v>83</v>
      </c>
      <c r="L4252" t="s">
        <v>91</v>
      </c>
      <c r="M4252" t="s">
        <v>55</v>
      </c>
      <c r="N4252" t="s">
        <v>2626</v>
      </c>
      <c r="O4252" t="s">
        <v>125</v>
      </c>
      <c r="P4252" t="s">
        <v>48</v>
      </c>
      <c r="Q4252" t="s">
        <v>141</v>
      </c>
      <c r="R4252">
        <v>1</v>
      </c>
      <c r="S4252">
        <v>1999</v>
      </c>
      <c r="T4252">
        <v>0.05</v>
      </c>
      <c r="U4252">
        <v>1899.05</v>
      </c>
      <c r="V4252">
        <v>1150</v>
      </c>
      <c r="W4252">
        <v>749.05</v>
      </c>
      <c r="X4252" t="s">
        <v>73</v>
      </c>
      <c r="Y4252" t="s">
        <v>68</v>
      </c>
      <c r="Z4252" t="s">
        <v>159</v>
      </c>
      <c r="AA4252" t="s">
        <v>166</v>
      </c>
      <c r="AB4252">
        <v>5</v>
      </c>
      <c r="AC4252">
        <v>50</v>
      </c>
      <c r="AD4252">
        <v>189.71</v>
      </c>
      <c r="AE4252">
        <f t="shared" si="132"/>
        <v>509.33999999999992</v>
      </c>
      <c r="AF4252" t="str">
        <f t="shared" si="133"/>
        <v>2026-06</v>
      </c>
      <c r="AG4252">
        <f>SUBTOTAL(103,A4252)</f>
        <v>1</v>
      </c>
    </row>
    <row r="4253" spans="1:33" x14ac:dyDescent="0.3">
      <c r="A4253" t="s">
        <v>6876</v>
      </c>
      <c r="B4253" s="13">
        <v>46201</v>
      </c>
      <c r="C4253">
        <v>2026</v>
      </c>
      <c r="D4253">
        <v>6</v>
      </c>
      <c r="E4253" t="s">
        <v>3813</v>
      </c>
      <c r="F4253" t="s">
        <v>3329</v>
      </c>
      <c r="G4253" t="s">
        <v>319</v>
      </c>
      <c r="H4253" t="s">
        <v>320</v>
      </c>
      <c r="I4253" t="s">
        <v>85</v>
      </c>
      <c r="J4253">
        <v>31</v>
      </c>
      <c r="K4253" t="s">
        <v>81</v>
      </c>
      <c r="L4253" t="s">
        <v>96</v>
      </c>
      <c r="M4253" t="s">
        <v>55</v>
      </c>
      <c r="N4253" t="s">
        <v>2577</v>
      </c>
      <c r="O4253" t="s">
        <v>129</v>
      </c>
      <c r="P4253" t="s">
        <v>49</v>
      </c>
      <c r="Q4253" t="s">
        <v>149</v>
      </c>
      <c r="R4253">
        <v>2</v>
      </c>
      <c r="S4253">
        <v>1299</v>
      </c>
      <c r="T4253">
        <v>0.15</v>
      </c>
      <c r="U4253">
        <v>2208.3000000000002</v>
      </c>
      <c r="V4253">
        <v>1300</v>
      </c>
      <c r="W4253">
        <v>908.3</v>
      </c>
      <c r="X4253" t="s">
        <v>73</v>
      </c>
      <c r="Y4253" t="s">
        <v>68</v>
      </c>
      <c r="Z4253" t="s">
        <v>158</v>
      </c>
      <c r="AA4253" t="s">
        <v>166</v>
      </c>
      <c r="AB4253">
        <v>3.1</v>
      </c>
      <c r="AC4253">
        <v>80</v>
      </c>
      <c r="AD4253">
        <v>98.5</v>
      </c>
      <c r="AE4253">
        <f t="shared" si="132"/>
        <v>729.8</v>
      </c>
      <c r="AF4253" t="str">
        <f t="shared" si="133"/>
        <v>2026-06</v>
      </c>
      <c r="AG4253">
        <f>SUBTOTAL(103,A4253)</f>
        <v>1</v>
      </c>
    </row>
    <row r="4254" spans="1:33" x14ac:dyDescent="0.3">
      <c r="A4254" t="s">
        <v>6877</v>
      </c>
      <c r="B4254" s="13">
        <v>46201</v>
      </c>
      <c r="C4254">
        <v>2026</v>
      </c>
      <c r="D4254">
        <v>6</v>
      </c>
      <c r="E4254" t="s">
        <v>3813</v>
      </c>
      <c r="F4254" t="s">
        <v>3329</v>
      </c>
      <c r="G4254" t="s">
        <v>661</v>
      </c>
      <c r="H4254" t="s">
        <v>662</v>
      </c>
      <c r="I4254" t="s">
        <v>85</v>
      </c>
      <c r="J4254">
        <v>46</v>
      </c>
      <c r="K4254" t="s">
        <v>83</v>
      </c>
      <c r="L4254" t="s">
        <v>2589</v>
      </c>
      <c r="M4254" t="s">
        <v>61</v>
      </c>
      <c r="N4254" t="s">
        <v>2630</v>
      </c>
      <c r="O4254" t="s">
        <v>123</v>
      </c>
      <c r="P4254" t="s">
        <v>52</v>
      </c>
      <c r="Q4254" t="s">
        <v>146</v>
      </c>
      <c r="R4254">
        <v>1</v>
      </c>
      <c r="S4254">
        <v>2499</v>
      </c>
      <c r="T4254">
        <v>0.05</v>
      </c>
      <c r="U4254">
        <v>2374.0500000000002</v>
      </c>
      <c r="V4254">
        <v>1400</v>
      </c>
      <c r="W4254">
        <v>974.05</v>
      </c>
      <c r="X4254" t="s">
        <v>74</v>
      </c>
      <c r="Y4254" t="s">
        <v>68</v>
      </c>
      <c r="Z4254" t="s">
        <v>161</v>
      </c>
      <c r="AA4254" t="s">
        <v>170</v>
      </c>
      <c r="AB4254">
        <v>3.7</v>
      </c>
      <c r="AC4254">
        <v>60</v>
      </c>
      <c r="AD4254">
        <v>57.34</v>
      </c>
      <c r="AE4254">
        <f t="shared" si="132"/>
        <v>856.70999999999992</v>
      </c>
      <c r="AF4254" t="str">
        <f t="shared" si="133"/>
        <v>2026-06</v>
      </c>
      <c r="AG4254">
        <f>SUBTOTAL(103,A4254)</f>
        <v>1</v>
      </c>
    </row>
    <row r="4255" spans="1:33" x14ac:dyDescent="0.3">
      <c r="A4255" t="s">
        <v>6878</v>
      </c>
      <c r="B4255" s="13">
        <v>46202</v>
      </c>
      <c r="C4255">
        <v>2026</v>
      </c>
      <c r="D4255">
        <v>6</v>
      </c>
      <c r="E4255" t="s">
        <v>3813</v>
      </c>
      <c r="F4255" t="s">
        <v>3329</v>
      </c>
      <c r="G4255" t="s">
        <v>1693</v>
      </c>
      <c r="H4255" t="s">
        <v>1694</v>
      </c>
      <c r="I4255" t="s">
        <v>85</v>
      </c>
      <c r="J4255">
        <v>21</v>
      </c>
      <c r="K4255" t="s">
        <v>80</v>
      </c>
      <c r="L4255" t="s">
        <v>93</v>
      </c>
      <c r="M4255" t="s">
        <v>55</v>
      </c>
      <c r="N4255" t="s">
        <v>2665</v>
      </c>
      <c r="O4255" t="s">
        <v>128</v>
      </c>
      <c r="P4255" t="s">
        <v>53</v>
      </c>
      <c r="Q4255" t="s">
        <v>143</v>
      </c>
      <c r="R4255">
        <v>4</v>
      </c>
      <c r="S4255">
        <v>1499</v>
      </c>
      <c r="T4255">
        <v>0.05</v>
      </c>
      <c r="U4255">
        <v>5696.2</v>
      </c>
      <c r="V4255">
        <v>3200</v>
      </c>
      <c r="W4255">
        <v>2496.1999999999998</v>
      </c>
      <c r="X4255" t="s">
        <v>74</v>
      </c>
      <c r="Y4255" t="s">
        <v>68</v>
      </c>
      <c r="Z4255" t="s">
        <v>158</v>
      </c>
      <c r="AA4255" t="s">
        <v>168</v>
      </c>
      <c r="AB4255">
        <v>3.6</v>
      </c>
      <c r="AC4255">
        <v>60</v>
      </c>
      <c r="AD4255">
        <v>263.72000000000003</v>
      </c>
      <c r="AE4255">
        <f t="shared" si="132"/>
        <v>2172.4799999999996</v>
      </c>
      <c r="AF4255" t="str">
        <f t="shared" si="133"/>
        <v>2026-06</v>
      </c>
      <c r="AG4255">
        <f>SUBTOTAL(103,A4255)</f>
        <v>1</v>
      </c>
    </row>
    <row r="4256" spans="1:33" x14ac:dyDescent="0.3">
      <c r="A4256" t="s">
        <v>6879</v>
      </c>
      <c r="B4256" s="13">
        <v>46202</v>
      </c>
      <c r="C4256">
        <v>2026</v>
      </c>
      <c r="D4256">
        <v>6</v>
      </c>
      <c r="E4256" t="s">
        <v>3813</v>
      </c>
      <c r="F4256" t="s">
        <v>3329</v>
      </c>
      <c r="G4256" t="s">
        <v>629</v>
      </c>
      <c r="H4256" t="s">
        <v>630</v>
      </c>
      <c r="I4256" t="s">
        <v>86</v>
      </c>
      <c r="J4256">
        <v>60</v>
      </c>
      <c r="K4256" t="s">
        <v>83</v>
      </c>
      <c r="L4256" t="s">
        <v>97</v>
      </c>
      <c r="M4256" t="s">
        <v>57</v>
      </c>
      <c r="N4256" t="s">
        <v>2574</v>
      </c>
      <c r="O4256" t="s">
        <v>130</v>
      </c>
      <c r="P4256" t="s">
        <v>50</v>
      </c>
      <c r="Q4256" t="s">
        <v>53</v>
      </c>
      <c r="R4256">
        <v>1</v>
      </c>
      <c r="S4256">
        <v>1199</v>
      </c>
      <c r="T4256">
        <v>0</v>
      </c>
      <c r="U4256">
        <v>1199</v>
      </c>
      <c r="V4256">
        <v>550</v>
      </c>
      <c r="W4256">
        <v>649</v>
      </c>
      <c r="X4256" t="s">
        <v>77</v>
      </c>
      <c r="Y4256" t="s">
        <v>68</v>
      </c>
      <c r="Z4256" t="s">
        <v>163</v>
      </c>
      <c r="AA4256" t="s">
        <v>166</v>
      </c>
      <c r="AB4256">
        <v>4.9000000000000004</v>
      </c>
      <c r="AC4256">
        <v>50</v>
      </c>
      <c r="AD4256">
        <v>106.01</v>
      </c>
      <c r="AE4256">
        <f t="shared" si="132"/>
        <v>492.99</v>
      </c>
      <c r="AF4256" t="str">
        <f t="shared" si="133"/>
        <v>2026-06</v>
      </c>
      <c r="AG4256">
        <f>SUBTOTAL(103,A4256)</f>
        <v>1</v>
      </c>
    </row>
    <row r="4257" spans="1:33" x14ac:dyDescent="0.3">
      <c r="A4257" t="s">
        <v>6880</v>
      </c>
      <c r="B4257" s="13">
        <v>46202</v>
      </c>
      <c r="C4257">
        <v>2026</v>
      </c>
      <c r="D4257">
        <v>6</v>
      </c>
      <c r="E4257" t="s">
        <v>3813</v>
      </c>
      <c r="F4257" t="s">
        <v>3329</v>
      </c>
      <c r="G4257" t="s">
        <v>385</v>
      </c>
      <c r="H4257" t="s">
        <v>386</v>
      </c>
      <c r="I4257" t="s">
        <v>85</v>
      </c>
      <c r="J4257">
        <v>56</v>
      </c>
      <c r="K4257" t="s">
        <v>83</v>
      </c>
      <c r="L4257" t="s">
        <v>2646</v>
      </c>
      <c r="M4257" t="s">
        <v>63</v>
      </c>
      <c r="N4257" t="s">
        <v>2644</v>
      </c>
      <c r="O4257" t="s">
        <v>126</v>
      </c>
      <c r="P4257" t="s">
        <v>50</v>
      </c>
      <c r="Q4257" t="s">
        <v>145</v>
      </c>
      <c r="R4257">
        <v>2</v>
      </c>
      <c r="S4257">
        <v>1799</v>
      </c>
      <c r="T4257">
        <v>0.15</v>
      </c>
      <c r="U4257">
        <v>3058.3</v>
      </c>
      <c r="V4257">
        <v>1900</v>
      </c>
      <c r="W4257">
        <v>1158.3</v>
      </c>
      <c r="X4257" t="s">
        <v>73</v>
      </c>
      <c r="Y4257" t="s">
        <v>68</v>
      </c>
      <c r="Z4257" t="s">
        <v>161</v>
      </c>
      <c r="AA4257" t="s">
        <v>166</v>
      </c>
      <c r="AB4257">
        <v>3.1</v>
      </c>
      <c r="AC4257">
        <v>80</v>
      </c>
      <c r="AD4257">
        <v>94.18</v>
      </c>
      <c r="AE4257">
        <f t="shared" si="132"/>
        <v>984.11999999999989</v>
      </c>
      <c r="AF4257" t="str">
        <f t="shared" si="133"/>
        <v>2026-06</v>
      </c>
      <c r="AG4257">
        <f>SUBTOTAL(103,A4257)</f>
        <v>1</v>
      </c>
    </row>
    <row r="4258" spans="1:33" x14ac:dyDescent="0.3">
      <c r="A4258" t="s">
        <v>6881</v>
      </c>
      <c r="B4258" s="13">
        <v>46202</v>
      </c>
      <c r="C4258">
        <v>2026</v>
      </c>
      <c r="D4258">
        <v>6</v>
      </c>
      <c r="E4258" t="s">
        <v>3813</v>
      </c>
      <c r="F4258" t="s">
        <v>3329</v>
      </c>
      <c r="G4258" t="s">
        <v>397</v>
      </c>
      <c r="H4258" t="s">
        <v>398</v>
      </c>
      <c r="I4258" t="s">
        <v>86</v>
      </c>
      <c r="J4258">
        <v>55</v>
      </c>
      <c r="K4258" t="s">
        <v>83</v>
      </c>
      <c r="L4258" t="s">
        <v>2637</v>
      </c>
      <c r="M4258" t="s">
        <v>64</v>
      </c>
      <c r="N4258" t="s">
        <v>2587</v>
      </c>
      <c r="O4258" t="s">
        <v>116</v>
      </c>
      <c r="P4258" t="s">
        <v>48</v>
      </c>
      <c r="Q4258" t="s">
        <v>138</v>
      </c>
      <c r="R4258">
        <v>1</v>
      </c>
      <c r="S4258">
        <v>14999</v>
      </c>
      <c r="T4258">
        <v>0</v>
      </c>
      <c r="U4258">
        <v>14999</v>
      </c>
      <c r="V4258">
        <v>11200</v>
      </c>
      <c r="W4258">
        <v>3799</v>
      </c>
      <c r="X4258" t="s">
        <v>73</v>
      </c>
      <c r="Y4258" t="s">
        <v>68</v>
      </c>
      <c r="Z4258" t="s">
        <v>158</v>
      </c>
      <c r="AA4258" t="s">
        <v>168</v>
      </c>
      <c r="AB4258">
        <v>3.5</v>
      </c>
      <c r="AC4258">
        <v>40</v>
      </c>
      <c r="AD4258">
        <v>1014.49</v>
      </c>
      <c r="AE4258">
        <f t="shared" si="132"/>
        <v>2744.51</v>
      </c>
      <c r="AF4258" t="str">
        <f t="shared" si="133"/>
        <v>2026-06</v>
      </c>
      <c r="AG4258">
        <f>SUBTOTAL(103,A4258)</f>
        <v>1</v>
      </c>
    </row>
    <row r="4259" spans="1:33" x14ac:dyDescent="0.3">
      <c r="A4259" t="s">
        <v>6882</v>
      </c>
      <c r="B4259" s="13">
        <v>46202</v>
      </c>
      <c r="C4259">
        <v>2026</v>
      </c>
      <c r="D4259">
        <v>6</v>
      </c>
      <c r="E4259" t="s">
        <v>3813</v>
      </c>
      <c r="F4259" t="s">
        <v>3329</v>
      </c>
      <c r="G4259" t="s">
        <v>2199</v>
      </c>
      <c r="H4259" t="s">
        <v>2200</v>
      </c>
      <c r="I4259" t="s">
        <v>86</v>
      </c>
      <c r="J4259">
        <v>39</v>
      </c>
      <c r="K4259" t="s">
        <v>82</v>
      </c>
      <c r="L4259" t="s">
        <v>2573</v>
      </c>
      <c r="M4259" t="s">
        <v>63</v>
      </c>
      <c r="N4259" t="s">
        <v>2653</v>
      </c>
      <c r="O4259" t="s">
        <v>132</v>
      </c>
      <c r="P4259" t="s">
        <v>52</v>
      </c>
      <c r="Q4259" t="s">
        <v>150</v>
      </c>
      <c r="R4259">
        <v>2</v>
      </c>
      <c r="S4259">
        <v>899</v>
      </c>
      <c r="T4259">
        <v>0.1</v>
      </c>
      <c r="U4259">
        <v>1618.2</v>
      </c>
      <c r="V4259">
        <v>840</v>
      </c>
      <c r="W4259">
        <v>778.2</v>
      </c>
      <c r="X4259" t="s">
        <v>74</v>
      </c>
      <c r="Y4259" t="s">
        <v>68</v>
      </c>
      <c r="Z4259" t="s">
        <v>163</v>
      </c>
      <c r="AA4259" t="s">
        <v>169</v>
      </c>
      <c r="AB4259">
        <v>3.6</v>
      </c>
      <c r="AC4259">
        <v>50</v>
      </c>
      <c r="AD4259">
        <v>180.61</v>
      </c>
      <c r="AE4259">
        <f t="shared" si="132"/>
        <v>547.59</v>
      </c>
      <c r="AF4259" t="str">
        <f t="shared" si="133"/>
        <v>2026-06</v>
      </c>
      <c r="AG4259">
        <f>SUBTOTAL(103,A4259)</f>
        <v>1</v>
      </c>
    </row>
    <row r="4260" spans="1:33" x14ac:dyDescent="0.3">
      <c r="A4260" t="s">
        <v>6883</v>
      </c>
      <c r="B4260" s="13">
        <v>46202</v>
      </c>
      <c r="C4260">
        <v>2026</v>
      </c>
      <c r="D4260">
        <v>6</v>
      </c>
      <c r="E4260" t="s">
        <v>3813</v>
      </c>
      <c r="F4260" t="s">
        <v>3329</v>
      </c>
      <c r="G4260" t="s">
        <v>1161</v>
      </c>
      <c r="H4260" t="s">
        <v>1162</v>
      </c>
      <c r="I4260" t="s">
        <v>86</v>
      </c>
      <c r="J4260">
        <v>38</v>
      </c>
      <c r="K4260" t="s">
        <v>82</v>
      </c>
      <c r="L4260" t="s">
        <v>2661</v>
      </c>
      <c r="M4260" t="s">
        <v>58</v>
      </c>
      <c r="N4260" t="s">
        <v>2644</v>
      </c>
      <c r="O4260" t="s">
        <v>126</v>
      </c>
      <c r="P4260" t="s">
        <v>50</v>
      </c>
      <c r="Q4260" t="s">
        <v>145</v>
      </c>
      <c r="R4260">
        <v>2</v>
      </c>
      <c r="S4260">
        <v>1799</v>
      </c>
      <c r="T4260">
        <v>0.05</v>
      </c>
      <c r="U4260">
        <v>3418.1</v>
      </c>
      <c r="V4260">
        <v>1900</v>
      </c>
      <c r="W4260">
        <v>1518.1</v>
      </c>
      <c r="X4260" t="s">
        <v>76</v>
      </c>
      <c r="Y4260" t="s">
        <v>68</v>
      </c>
      <c r="Z4260" t="s">
        <v>159</v>
      </c>
      <c r="AA4260" t="s">
        <v>169</v>
      </c>
      <c r="AB4260">
        <v>2.9</v>
      </c>
      <c r="AC4260">
        <v>80</v>
      </c>
      <c r="AD4260">
        <v>323.10000000000002</v>
      </c>
      <c r="AE4260">
        <f t="shared" si="132"/>
        <v>1115</v>
      </c>
      <c r="AF4260" t="str">
        <f t="shared" si="133"/>
        <v>2026-06</v>
      </c>
      <c r="AG4260">
        <f>SUBTOTAL(103,A4260)</f>
        <v>1</v>
      </c>
    </row>
    <row r="4261" spans="1:33" x14ac:dyDescent="0.3">
      <c r="A4261" t="s">
        <v>6884</v>
      </c>
      <c r="B4261" s="13">
        <v>46202</v>
      </c>
      <c r="C4261">
        <v>2026</v>
      </c>
      <c r="D4261">
        <v>6</v>
      </c>
      <c r="E4261" t="s">
        <v>3813</v>
      </c>
      <c r="F4261" t="s">
        <v>3329</v>
      </c>
      <c r="G4261" t="s">
        <v>195</v>
      </c>
      <c r="H4261" t="s">
        <v>196</v>
      </c>
      <c r="I4261" t="s">
        <v>87</v>
      </c>
      <c r="J4261">
        <v>41</v>
      </c>
      <c r="K4261" t="s">
        <v>82</v>
      </c>
      <c r="L4261" t="s">
        <v>99</v>
      </c>
      <c r="M4261" t="s">
        <v>58</v>
      </c>
      <c r="N4261" t="s">
        <v>2630</v>
      </c>
      <c r="O4261" t="s">
        <v>123</v>
      </c>
      <c r="P4261" t="s">
        <v>52</v>
      </c>
      <c r="Q4261" t="s">
        <v>146</v>
      </c>
      <c r="R4261">
        <v>4</v>
      </c>
      <c r="S4261">
        <v>2499</v>
      </c>
      <c r="T4261">
        <v>0.15</v>
      </c>
      <c r="U4261">
        <v>8496.6</v>
      </c>
      <c r="V4261">
        <v>5600</v>
      </c>
      <c r="W4261">
        <v>2896.6</v>
      </c>
      <c r="X4261" t="s">
        <v>73</v>
      </c>
      <c r="Y4261" t="s">
        <v>68</v>
      </c>
      <c r="Z4261" t="s">
        <v>158</v>
      </c>
      <c r="AA4261" t="s">
        <v>171</v>
      </c>
      <c r="AB4261">
        <v>3.7</v>
      </c>
      <c r="AC4261">
        <v>50</v>
      </c>
      <c r="AD4261">
        <v>472.79</v>
      </c>
      <c r="AE4261">
        <f t="shared" si="132"/>
        <v>2373.81</v>
      </c>
      <c r="AF4261" t="str">
        <f t="shared" si="133"/>
        <v>2026-06</v>
      </c>
      <c r="AG4261">
        <f>SUBTOTAL(103,A4261)</f>
        <v>1</v>
      </c>
    </row>
    <row r="4262" spans="1:33" x14ac:dyDescent="0.3">
      <c r="A4262" t="s">
        <v>6885</v>
      </c>
      <c r="B4262" s="13">
        <v>46202</v>
      </c>
      <c r="C4262">
        <v>2026</v>
      </c>
      <c r="D4262">
        <v>6</v>
      </c>
      <c r="E4262" t="s">
        <v>3813</v>
      </c>
      <c r="F4262" t="s">
        <v>3329</v>
      </c>
      <c r="G4262" t="s">
        <v>429</v>
      </c>
      <c r="H4262" t="s">
        <v>430</v>
      </c>
      <c r="I4262" t="s">
        <v>86</v>
      </c>
      <c r="J4262">
        <v>50</v>
      </c>
      <c r="K4262" t="s">
        <v>83</v>
      </c>
      <c r="L4262" t="s">
        <v>93</v>
      </c>
      <c r="M4262" t="s">
        <v>55</v>
      </c>
      <c r="N4262" t="s">
        <v>2582</v>
      </c>
      <c r="O4262" t="s">
        <v>119</v>
      </c>
      <c r="P4262" t="s">
        <v>49</v>
      </c>
      <c r="Q4262" t="s">
        <v>140</v>
      </c>
      <c r="R4262">
        <v>3</v>
      </c>
      <c r="S4262">
        <v>3499</v>
      </c>
      <c r="T4262">
        <v>0.05</v>
      </c>
      <c r="U4262">
        <v>9972.15</v>
      </c>
      <c r="V4262">
        <v>6300</v>
      </c>
      <c r="W4262">
        <v>3672.15</v>
      </c>
      <c r="X4262" t="s">
        <v>74</v>
      </c>
      <c r="Y4262" t="s">
        <v>68</v>
      </c>
      <c r="Z4262" t="s">
        <v>160</v>
      </c>
      <c r="AA4262" t="s">
        <v>169</v>
      </c>
      <c r="AB4262">
        <v>5</v>
      </c>
      <c r="AC4262">
        <v>80</v>
      </c>
      <c r="AD4262">
        <v>659.38</v>
      </c>
      <c r="AE4262">
        <f t="shared" si="132"/>
        <v>2932.77</v>
      </c>
      <c r="AF4262" t="str">
        <f t="shared" si="133"/>
        <v>2026-06</v>
      </c>
      <c r="AG4262">
        <f>SUBTOTAL(103,A4262)</f>
        <v>1</v>
      </c>
    </row>
    <row r="4263" spans="1:33" x14ac:dyDescent="0.3">
      <c r="A4263" t="s">
        <v>6886</v>
      </c>
      <c r="B4263" s="13">
        <v>46203</v>
      </c>
      <c r="C4263">
        <v>2026</v>
      </c>
      <c r="D4263">
        <v>6</v>
      </c>
      <c r="E4263" t="s">
        <v>3813</v>
      </c>
      <c r="F4263" t="s">
        <v>3329</v>
      </c>
      <c r="G4263" t="s">
        <v>225</v>
      </c>
      <c r="H4263" t="s">
        <v>226</v>
      </c>
      <c r="I4263" t="s">
        <v>86</v>
      </c>
      <c r="J4263">
        <v>38</v>
      </c>
      <c r="K4263" t="s">
        <v>82</v>
      </c>
      <c r="L4263" t="s">
        <v>59</v>
      </c>
      <c r="M4263" t="s">
        <v>59</v>
      </c>
      <c r="N4263" t="s">
        <v>2630</v>
      </c>
      <c r="O4263" t="s">
        <v>123</v>
      </c>
      <c r="P4263" t="s">
        <v>52</v>
      </c>
      <c r="Q4263" t="s">
        <v>146</v>
      </c>
      <c r="R4263">
        <v>3</v>
      </c>
      <c r="S4263">
        <v>2499</v>
      </c>
      <c r="T4263">
        <v>0.2</v>
      </c>
      <c r="U4263">
        <v>5997.6</v>
      </c>
      <c r="V4263">
        <v>4200</v>
      </c>
      <c r="W4263">
        <v>1797.6</v>
      </c>
      <c r="X4263" t="s">
        <v>73</v>
      </c>
      <c r="Y4263" t="s">
        <v>68</v>
      </c>
      <c r="Z4263" t="s">
        <v>158</v>
      </c>
      <c r="AA4263" t="s">
        <v>166</v>
      </c>
      <c r="AB4263">
        <v>3.5</v>
      </c>
      <c r="AC4263">
        <v>100</v>
      </c>
      <c r="AD4263">
        <v>472.06</v>
      </c>
      <c r="AE4263">
        <f t="shared" si="132"/>
        <v>1225.54</v>
      </c>
      <c r="AF4263" t="str">
        <f t="shared" si="133"/>
        <v>2026-06</v>
      </c>
      <c r="AG4263">
        <f>SUBTOTAL(103,A4263)</f>
        <v>1</v>
      </c>
    </row>
    <row r="4264" spans="1:33" x14ac:dyDescent="0.3">
      <c r="A4264" t="s">
        <v>6887</v>
      </c>
      <c r="B4264" s="13">
        <v>46203</v>
      </c>
      <c r="C4264">
        <v>2026</v>
      </c>
      <c r="D4264">
        <v>6</v>
      </c>
      <c r="E4264" t="s">
        <v>3813</v>
      </c>
      <c r="F4264" t="s">
        <v>3329</v>
      </c>
      <c r="G4264" t="s">
        <v>253</v>
      </c>
      <c r="H4264" t="s">
        <v>254</v>
      </c>
      <c r="I4264" t="s">
        <v>86</v>
      </c>
      <c r="J4264">
        <v>42</v>
      </c>
      <c r="K4264" t="s">
        <v>82</v>
      </c>
      <c r="L4264" t="s">
        <v>2661</v>
      </c>
      <c r="M4264" t="s">
        <v>58</v>
      </c>
      <c r="N4264" t="s">
        <v>2647</v>
      </c>
      <c r="O4264" t="s">
        <v>133</v>
      </c>
      <c r="P4264" t="s">
        <v>50</v>
      </c>
      <c r="Q4264" t="s">
        <v>145</v>
      </c>
      <c r="R4264">
        <v>4</v>
      </c>
      <c r="S4264">
        <v>799</v>
      </c>
      <c r="T4264">
        <v>0.05</v>
      </c>
      <c r="U4264">
        <v>3036.2</v>
      </c>
      <c r="V4264">
        <v>1560</v>
      </c>
      <c r="W4264">
        <v>1476.2</v>
      </c>
      <c r="X4264" t="s">
        <v>74</v>
      </c>
      <c r="Y4264" t="s">
        <v>68</v>
      </c>
      <c r="Z4264" t="s">
        <v>159</v>
      </c>
      <c r="AA4264" t="s">
        <v>166</v>
      </c>
      <c r="AB4264">
        <v>5</v>
      </c>
      <c r="AC4264">
        <v>50</v>
      </c>
      <c r="AD4264">
        <v>278.94</v>
      </c>
      <c r="AE4264">
        <f t="shared" si="132"/>
        <v>1147.26</v>
      </c>
      <c r="AF4264" t="str">
        <f t="shared" si="133"/>
        <v>2026-06</v>
      </c>
      <c r="AG4264">
        <f>SUBTOTAL(103,A4264)</f>
        <v>1</v>
      </c>
    </row>
    <row r="4265" spans="1:33" x14ac:dyDescent="0.3">
      <c r="A4265" t="s">
        <v>6888</v>
      </c>
      <c r="B4265" s="13">
        <v>46203</v>
      </c>
      <c r="C4265">
        <v>2026</v>
      </c>
      <c r="D4265">
        <v>6</v>
      </c>
      <c r="E4265" t="s">
        <v>3813</v>
      </c>
      <c r="F4265" t="s">
        <v>3329</v>
      </c>
      <c r="G4265" t="s">
        <v>891</v>
      </c>
      <c r="H4265" t="s">
        <v>892</v>
      </c>
      <c r="I4265" t="s">
        <v>85</v>
      </c>
      <c r="J4265">
        <v>49</v>
      </c>
      <c r="K4265" t="s">
        <v>83</v>
      </c>
      <c r="L4265" t="s">
        <v>2690</v>
      </c>
      <c r="M4265" t="s">
        <v>63</v>
      </c>
      <c r="N4265" t="s">
        <v>2644</v>
      </c>
      <c r="O4265" t="s">
        <v>126</v>
      </c>
      <c r="P4265" t="s">
        <v>50</v>
      </c>
      <c r="Q4265" t="s">
        <v>145</v>
      </c>
      <c r="R4265">
        <v>1</v>
      </c>
      <c r="S4265">
        <v>1799</v>
      </c>
      <c r="T4265">
        <v>0.2</v>
      </c>
      <c r="U4265">
        <v>1439.2</v>
      </c>
      <c r="V4265">
        <v>950</v>
      </c>
      <c r="W4265">
        <v>489.2</v>
      </c>
      <c r="X4265" t="s">
        <v>74</v>
      </c>
      <c r="Y4265" t="s">
        <v>68</v>
      </c>
      <c r="Z4265" t="s">
        <v>159</v>
      </c>
      <c r="AA4265" t="s">
        <v>168</v>
      </c>
      <c r="AB4265">
        <v>3.9</v>
      </c>
      <c r="AC4265">
        <v>100</v>
      </c>
      <c r="AD4265">
        <v>100.02</v>
      </c>
      <c r="AE4265">
        <f t="shared" si="132"/>
        <v>289.18</v>
      </c>
      <c r="AF4265" t="str">
        <f t="shared" si="133"/>
        <v>2026-06</v>
      </c>
      <c r="AG4265">
        <f>SUBTOTAL(103,A4265)</f>
        <v>1</v>
      </c>
    </row>
    <row r="4266" spans="1:33" x14ac:dyDescent="0.3">
      <c r="A4266" t="s">
        <v>6889</v>
      </c>
      <c r="B4266" s="13">
        <v>46203</v>
      </c>
      <c r="C4266">
        <v>2026</v>
      </c>
      <c r="D4266">
        <v>6</v>
      </c>
      <c r="E4266" t="s">
        <v>3813</v>
      </c>
      <c r="F4266" t="s">
        <v>3329</v>
      </c>
      <c r="G4266" t="s">
        <v>309</v>
      </c>
      <c r="H4266" t="s">
        <v>310</v>
      </c>
      <c r="I4266" t="s">
        <v>86</v>
      </c>
      <c r="J4266">
        <v>22</v>
      </c>
      <c r="K4266" t="s">
        <v>80</v>
      </c>
      <c r="L4266" t="s">
        <v>2573</v>
      </c>
      <c r="M4266" t="s">
        <v>63</v>
      </c>
      <c r="N4266" t="s">
        <v>2584</v>
      </c>
      <c r="O4266" t="s">
        <v>121</v>
      </c>
      <c r="P4266" t="s">
        <v>50</v>
      </c>
      <c r="Q4266" t="s">
        <v>144</v>
      </c>
      <c r="R4266">
        <v>1</v>
      </c>
      <c r="S4266">
        <v>2999</v>
      </c>
      <c r="T4266">
        <v>0.1</v>
      </c>
      <c r="U4266">
        <v>2699.1</v>
      </c>
      <c r="V4266">
        <v>1700</v>
      </c>
      <c r="W4266">
        <v>999.1</v>
      </c>
      <c r="X4266" t="s">
        <v>75</v>
      </c>
      <c r="Y4266" t="s">
        <v>69</v>
      </c>
      <c r="Z4266" t="s">
        <v>163</v>
      </c>
      <c r="AA4266" t="s">
        <v>170</v>
      </c>
      <c r="AB4266">
        <v>3.4</v>
      </c>
      <c r="AC4266">
        <v>60</v>
      </c>
      <c r="AD4266">
        <v>264.10000000000002</v>
      </c>
      <c r="AE4266">
        <f t="shared" si="132"/>
        <v>675</v>
      </c>
      <c r="AF4266" t="str">
        <f t="shared" si="133"/>
        <v>2026-06</v>
      </c>
      <c r="AG4266">
        <f>SUBTOTAL(103,A4266)</f>
        <v>1</v>
      </c>
    </row>
    <row r="4267" spans="1:33" x14ac:dyDescent="0.3">
      <c r="A4267" t="s">
        <v>6890</v>
      </c>
      <c r="B4267" s="13">
        <v>46203</v>
      </c>
      <c r="C4267">
        <v>2026</v>
      </c>
      <c r="D4267">
        <v>6</v>
      </c>
      <c r="E4267" t="s">
        <v>3813</v>
      </c>
      <c r="F4267" t="s">
        <v>3329</v>
      </c>
      <c r="G4267" t="s">
        <v>487</v>
      </c>
      <c r="H4267" t="s">
        <v>488</v>
      </c>
      <c r="I4267" t="s">
        <v>86</v>
      </c>
      <c r="J4267">
        <v>53</v>
      </c>
      <c r="K4267" t="s">
        <v>83</v>
      </c>
      <c r="L4267" t="s">
        <v>59</v>
      </c>
      <c r="M4267" t="s">
        <v>59</v>
      </c>
      <c r="N4267" t="s">
        <v>2603</v>
      </c>
      <c r="O4267" t="s">
        <v>122</v>
      </c>
      <c r="P4267" t="s">
        <v>48</v>
      </c>
      <c r="Q4267" t="s">
        <v>141</v>
      </c>
      <c r="R4267">
        <v>1</v>
      </c>
      <c r="S4267">
        <v>2499</v>
      </c>
      <c r="T4267">
        <v>0.05</v>
      </c>
      <c r="U4267">
        <v>2374.0500000000002</v>
      </c>
      <c r="V4267">
        <v>1450</v>
      </c>
      <c r="W4267">
        <v>924.05</v>
      </c>
      <c r="X4267" t="s">
        <v>74</v>
      </c>
      <c r="Y4267" t="s">
        <v>68</v>
      </c>
      <c r="Z4267" t="s">
        <v>159</v>
      </c>
      <c r="AA4267" t="s">
        <v>170</v>
      </c>
      <c r="AB4267">
        <v>4.2</v>
      </c>
      <c r="AC4267">
        <v>60</v>
      </c>
      <c r="AD4267">
        <v>134.05000000000001</v>
      </c>
      <c r="AE4267">
        <f t="shared" si="132"/>
        <v>730</v>
      </c>
      <c r="AF4267" t="str">
        <f t="shared" si="133"/>
        <v>2026-06</v>
      </c>
      <c r="AG4267">
        <f>SUBTOTAL(103,A4267)</f>
        <v>1</v>
      </c>
    </row>
    <row r="4268" spans="1:33" x14ac:dyDescent="0.3">
      <c r="A4268" t="s">
        <v>6891</v>
      </c>
      <c r="B4268" s="13">
        <v>46203</v>
      </c>
      <c r="C4268">
        <v>2026</v>
      </c>
      <c r="D4268">
        <v>6</v>
      </c>
      <c r="E4268" t="s">
        <v>3813</v>
      </c>
      <c r="F4268" t="s">
        <v>3329</v>
      </c>
      <c r="G4268" t="s">
        <v>1369</v>
      </c>
      <c r="H4268" t="s">
        <v>1370</v>
      </c>
      <c r="I4268" t="s">
        <v>86</v>
      </c>
      <c r="J4268">
        <v>23</v>
      </c>
      <c r="K4268" t="s">
        <v>80</v>
      </c>
      <c r="L4268" t="s">
        <v>59</v>
      </c>
      <c r="M4268" t="s">
        <v>59</v>
      </c>
      <c r="N4268" t="s">
        <v>2594</v>
      </c>
      <c r="O4268" t="s">
        <v>131</v>
      </c>
      <c r="P4268" t="s">
        <v>53</v>
      </c>
      <c r="Q4268" t="s">
        <v>143</v>
      </c>
      <c r="R4268">
        <v>1</v>
      </c>
      <c r="S4268">
        <v>999</v>
      </c>
      <c r="T4268">
        <v>0.2</v>
      </c>
      <c r="U4268">
        <v>799.2</v>
      </c>
      <c r="V4268">
        <v>520</v>
      </c>
      <c r="W4268">
        <v>279.2</v>
      </c>
      <c r="X4268" t="s">
        <v>73</v>
      </c>
      <c r="Y4268" t="s">
        <v>68</v>
      </c>
      <c r="Z4268" t="s">
        <v>162</v>
      </c>
      <c r="AA4268" t="s">
        <v>170</v>
      </c>
      <c r="AB4268">
        <v>5</v>
      </c>
      <c r="AC4268">
        <v>60</v>
      </c>
      <c r="AD4268">
        <v>70.06</v>
      </c>
      <c r="AE4268">
        <f t="shared" si="132"/>
        <v>149.13999999999999</v>
      </c>
      <c r="AF4268" t="str">
        <f t="shared" si="133"/>
        <v>2026-06</v>
      </c>
      <c r="AG4268">
        <f>SUBTOTAL(103,A4268)</f>
        <v>1</v>
      </c>
    </row>
    <row r="4269" spans="1:33" x14ac:dyDescent="0.3">
      <c r="A4269" t="s">
        <v>6892</v>
      </c>
      <c r="B4269" s="13">
        <v>46203</v>
      </c>
      <c r="C4269">
        <v>2026</v>
      </c>
      <c r="D4269">
        <v>6</v>
      </c>
      <c r="E4269" t="s">
        <v>3813</v>
      </c>
      <c r="F4269" t="s">
        <v>3329</v>
      </c>
      <c r="G4269" t="s">
        <v>377</v>
      </c>
      <c r="H4269" t="s">
        <v>378</v>
      </c>
      <c r="I4269" t="s">
        <v>85</v>
      </c>
      <c r="J4269">
        <v>23</v>
      </c>
      <c r="K4269" t="s">
        <v>80</v>
      </c>
      <c r="L4269" t="s">
        <v>2674</v>
      </c>
      <c r="M4269" t="s">
        <v>58</v>
      </c>
      <c r="N4269" t="s">
        <v>2626</v>
      </c>
      <c r="O4269" t="s">
        <v>125</v>
      </c>
      <c r="P4269" t="s">
        <v>48</v>
      </c>
      <c r="Q4269" t="s">
        <v>141</v>
      </c>
      <c r="R4269">
        <v>5</v>
      </c>
      <c r="S4269">
        <v>1999</v>
      </c>
      <c r="T4269">
        <v>0.1</v>
      </c>
      <c r="U4269">
        <v>8995.5</v>
      </c>
      <c r="V4269">
        <v>5750</v>
      </c>
      <c r="W4269">
        <v>3245.5</v>
      </c>
      <c r="X4269" t="s">
        <v>73</v>
      </c>
      <c r="Y4269" t="s">
        <v>69</v>
      </c>
      <c r="Z4269" t="s">
        <v>158</v>
      </c>
      <c r="AA4269" t="s">
        <v>168</v>
      </c>
      <c r="AB4269">
        <v>4.5</v>
      </c>
      <c r="AC4269">
        <v>80</v>
      </c>
      <c r="AD4269">
        <v>999.44</v>
      </c>
      <c r="AE4269">
        <f t="shared" si="132"/>
        <v>2166.06</v>
      </c>
      <c r="AF4269" t="str">
        <f t="shared" si="133"/>
        <v>2026-06</v>
      </c>
      <c r="AG4269">
        <f>SUBTOTAL(103,A4269)</f>
        <v>1</v>
      </c>
    </row>
    <row r="4270" spans="1:33" x14ac:dyDescent="0.3">
      <c r="A4270" t="s">
        <v>6893</v>
      </c>
      <c r="B4270" s="13">
        <v>46203</v>
      </c>
      <c r="C4270">
        <v>2026</v>
      </c>
      <c r="D4270">
        <v>6</v>
      </c>
      <c r="E4270" t="s">
        <v>3813</v>
      </c>
      <c r="F4270" t="s">
        <v>3329</v>
      </c>
      <c r="G4270" t="s">
        <v>1157</v>
      </c>
      <c r="H4270" t="s">
        <v>1158</v>
      </c>
      <c r="I4270" t="s">
        <v>85</v>
      </c>
      <c r="J4270">
        <v>60</v>
      </c>
      <c r="K4270" t="s">
        <v>83</v>
      </c>
      <c r="L4270" t="s">
        <v>2674</v>
      </c>
      <c r="M4270" t="s">
        <v>58</v>
      </c>
      <c r="N4270" t="s">
        <v>2644</v>
      </c>
      <c r="O4270" t="s">
        <v>126</v>
      </c>
      <c r="P4270" t="s">
        <v>50</v>
      </c>
      <c r="Q4270" t="s">
        <v>145</v>
      </c>
      <c r="R4270">
        <v>5</v>
      </c>
      <c r="S4270">
        <v>1799</v>
      </c>
      <c r="T4270">
        <v>0.05</v>
      </c>
      <c r="U4270">
        <v>8545.25</v>
      </c>
      <c r="V4270">
        <v>4750</v>
      </c>
      <c r="W4270">
        <v>3795.25</v>
      </c>
      <c r="X4270" t="s">
        <v>75</v>
      </c>
      <c r="Y4270" t="s">
        <v>68</v>
      </c>
      <c r="Z4270" t="s">
        <v>161</v>
      </c>
      <c r="AA4270" t="s">
        <v>166</v>
      </c>
      <c r="AB4270">
        <v>5</v>
      </c>
      <c r="AC4270">
        <v>60</v>
      </c>
      <c r="AD4270">
        <v>898.68</v>
      </c>
      <c r="AE4270">
        <f t="shared" si="132"/>
        <v>2836.57</v>
      </c>
      <c r="AF4270" t="str">
        <f t="shared" si="133"/>
        <v>2026-06</v>
      </c>
      <c r="AG4270">
        <f>SUBTOTAL(103,A4270)</f>
        <v>1</v>
      </c>
    </row>
    <row r="4271" spans="1:33" x14ac:dyDescent="0.3">
      <c r="A4271" t="s">
        <v>6894</v>
      </c>
      <c r="B4271" s="13">
        <v>46203</v>
      </c>
      <c r="C4271">
        <v>2026</v>
      </c>
      <c r="D4271">
        <v>6</v>
      </c>
      <c r="E4271" t="s">
        <v>3813</v>
      </c>
      <c r="F4271" t="s">
        <v>3329</v>
      </c>
      <c r="G4271" t="s">
        <v>227</v>
      </c>
      <c r="H4271" t="s">
        <v>228</v>
      </c>
      <c r="I4271" t="s">
        <v>87</v>
      </c>
      <c r="J4271">
        <v>38</v>
      </c>
      <c r="K4271" t="s">
        <v>82</v>
      </c>
      <c r="L4271" t="s">
        <v>2634</v>
      </c>
      <c r="M4271" t="s">
        <v>56</v>
      </c>
      <c r="N4271" t="s">
        <v>2584</v>
      </c>
      <c r="O4271" t="s">
        <v>121</v>
      </c>
      <c r="P4271" t="s">
        <v>50</v>
      </c>
      <c r="Q4271" t="s">
        <v>144</v>
      </c>
      <c r="R4271">
        <v>1</v>
      </c>
      <c r="S4271">
        <v>2999</v>
      </c>
      <c r="T4271">
        <v>0.15</v>
      </c>
      <c r="U4271">
        <v>2549.15</v>
      </c>
      <c r="V4271">
        <v>1700</v>
      </c>
      <c r="W4271">
        <v>849.15</v>
      </c>
      <c r="X4271" t="s">
        <v>77</v>
      </c>
      <c r="Y4271" t="s">
        <v>68</v>
      </c>
      <c r="Z4271" t="s">
        <v>163</v>
      </c>
      <c r="AA4271" t="s">
        <v>166</v>
      </c>
      <c r="AB4271">
        <v>3.7</v>
      </c>
      <c r="AC4271">
        <v>80</v>
      </c>
      <c r="AD4271">
        <v>92.78</v>
      </c>
      <c r="AE4271">
        <f t="shared" si="132"/>
        <v>676.37</v>
      </c>
      <c r="AF4271" t="str">
        <f t="shared" si="133"/>
        <v>2026-06</v>
      </c>
      <c r="AG4271">
        <f>SUBTOTAL(103,A4271)</f>
        <v>1</v>
      </c>
    </row>
    <row r="4272" spans="1:33" x14ac:dyDescent="0.3">
      <c r="A4272" t="s">
        <v>6895</v>
      </c>
      <c r="B4272" s="13">
        <v>46203</v>
      </c>
      <c r="C4272">
        <v>2026</v>
      </c>
      <c r="D4272">
        <v>6</v>
      </c>
      <c r="E4272" t="s">
        <v>3813</v>
      </c>
      <c r="F4272" t="s">
        <v>3329</v>
      </c>
      <c r="G4272" t="s">
        <v>845</v>
      </c>
      <c r="H4272" t="s">
        <v>846</v>
      </c>
      <c r="I4272" t="s">
        <v>86</v>
      </c>
      <c r="J4272">
        <v>51</v>
      </c>
      <c r="K4272" t="s">
        <v>83</v>
      </c>
      <c r="L4272" t="s">
        <v>2576</v>
      </c>
      <c r="M4272" t="s">
        <v>60</v>
      </c>
      <c r="N4272" t="s">
        <v>2577</v>
      </c>
      <c r="O4272" t="s">
        <v>129</v>
      </c>
      <c r="P4272" t="s">
        <v>49</v>
      </c>
      <c r="Q4272" t="s">
        <v>149</v>
      </c>
      <c r="R4272">
        <v>1</v>
      </c>
      <c r="S4272">
        <v>1299</v>
      </c>
      <c r="T4272">
        <v>0.1</v>
      </c>
      <c r="U4272">
        <v>1169.0999999999999</v>
      </c>
      <c r="V4272">
        <v>650</v>
      </c>
      <c r="W4272">
        <v>519.1</v>
      </c>
      <c r="X4272" t="s">
        <v>74</v>
      </c>
      <c r="Y4272" t="s">
        <v>70</v>
      </c>
      <c r="Z4272" t="s">
        <v>160</v>
      </c>
      <c r="AA4272" t="s">
        <v>171</v>
      </c>
      <c r="AB4272">
        <v>3.7</v>
      </c>
      <c r="AC4272">
        <v>60</v>
      </c>
      <c r="AD4272">
        <v>123.63</v>
      </c>
      <c r="AE4272">
        <f t="shared" si="132"/>
        <v>335.47</v>
      </c>
      <c r="AF4272" t="str">
        <f t="shared" si="133"/>
        <v>2026-06</v>
      </c>
      <c r="AG4272">
        <f>SUBTOTAL(103,A4272)</f>
        <v>1</v>
      </c>
    </row>
    <row r="4273" spans="1:33" x14ac:dyDescent="0.3">
      <c r="A4273" t="s">
        <v>6896</v>
      </c>
      <c r="B4273" s="13">
        <v>46203</v>
      </c>
      <c r="C4273">
        <v>2026</v>
      </c>
      <c r="D4273">
        <v>6</v>
      </c>
      <c r="E4273" t="s">
        <v>3813</v>
      </c>
      <c r="F4273" t="s">
        <v>3329</v>
      </c>
      <c r="G4273" t="s">
        <v>761</v>
      </c>
      <c r="H4273" t="s">
        <v>762</v>
      </c>
      <c r="I4273" t="s">
        <v>86</v>
      </c>
      <c r="J4273">
        <v>34</v>
      </c>
      <c r="K4273" t="s">
        <v>81</v>
      </c>
      <c r="L4273" t="s">
        <v>90</v>
      </c>
      <c r="M4273" t="s">
        <v>55</v>
      </c>
      <c r="N4273" t="s">
        <v>2592</v>
      </c>
      <c r="O4273" t="s">
        <v>115</v>
      </c>
      <c r="P4273" t="s">
        <v>48</v>
      </c>
      <c r="Q4273" t="s">
        <v>137</v>
      </c>
      <c r="R4273">
        <v>1</v>
      </c>
      <c r="S4273">
        <v>12999</v>
      </c>
      <c r="T4273">
        <v>0.05</v>
      </c>
      <c r="U4273">
        <v>12349.05</v>
      </c>
      <c r="V4273">
        <v>9000</v>
      </c>
      <c r="W4273">
        <v>3349.05</v>
      </c>
      <c r="X4273" t="s">
        <v>76</v>
      </c>
      <c r="Y4273" t="s">
        <v>68</v>
      </c>
      <c r="Z4273" t="s">
        <v>160</v>
      </c>
      <c r="AA4273" t="s">
        <v>167</v>
      </c>
      <c r="AB4273">
        <v>4.0999999999999996</v>
      </c>
      <c r="AC4273">
        <v>60</v>
      </c>
      <c r="AD4273">
        <v>259.52</v>
      </c>
      <c r="AE4273">
        <f t="shared" si="132"/>
        <v>3029.53</v>
      </c>
      <c r="AF4273" t="str">
        <f t="shared" si="133"/>
        <v>2026-06</v>
      </c>
      <c r="AG4273">
        <f>SUBTOTAL(103,A4273)</f>
        <v>1</v>
      </c>
    </row>
    <row r="4274" spans="1:33" x14ac:dyDescent="0.3">
      <c r="A4274" t="s">
        <v>6897</v>
      </c>
      <c r="B4274" s="13">
        <v>46204</v>
      </c>
      <c r="C4274">
        <v>2026</v>
      </c>
      <c r="D4274">
        <v>7</v>
      </c>
      <c r="E4274" t="s">
        <v>4046</v>
      </c>
      <c r="F4274" t="s">
        <v>4047</v>
      </c>
      <c r="G4274" t="s">
        <v>465</v>
      </c>
      <c r="H4274" t="s">
        <v>466</v>
      </c>
      <c r="I4274" t="s">
        <v>86</v>
      </c>
      <c r="J4274">
        <v>53</v>
      </c>
      <c r="K4274" t="s">
        <v>83</v>
      </c>
      <c r="L4274" t="s">
        <v>94</v>
      </c>
      <c r="M4274" t="s">
        <v>57</v>
      </c>
      <c r="N4274" t="s">
        <v>2647</v>
      </c>
      <c r="O4274" t="s">
        <v>133</v>
      </c>
      <c r="P4274" t="s">
        <v>50</v>
      </c>
      <c r="Q4274" t="s">
        <v>145</v>
      </c>
      <c r="R4274">
        <v>2</v>
      </c>
      <c r="S4274">
        <v>799</v>
      </c>
      <c r="T4274">
        <v>0.05</v>
      </c>
      <c r="U4274">
        <v>1518.1</v>
      </c>
      <c r="V4274">
        <v>780</v>
      </c>
      <c r="W4274">
        <v>738.1</v>
      </c>
      <c r="X4274" t="s">
        <v>73</v>
      </c>
      <c r="Y4274" t="s">
        <v>69</v>
      </c>
      <c r="Z4274" t="s">
        <v>158</v>
      </c>
      <c r="AA4274" t="s">
        <v>168</v>
      </c>
      <c r="AB4274">
        <v>5</v>
      </c>
      <c r="AC4274">
        <v>100</v>
      </c>
      <c r="AD4274">
        <v>139.6</v>
      </c>
      <c r="AE4274">
        <f t="shared" si="132"/>
        <v>498.5</v>
      </c>
      <c r="AF4274" t="str">
        <f t="shared" si="133"/>
        <v>2026-07</v>
      </c>
      <c r="AG4274">
        <f>SUBTOTAL(103,A4274)</f>
        <v>1</v>
      </c>
    </row>
    <row r="4275" spans="1:33" x14ac:dyDescent="0.3">
      <c r="A4275" t="s">
        <v>6898</v>
      </c>
      <c r="B4275" s="13">
        <v>46204</v>
      </c>
      <c r="C4275">
        <v>2026</v>
      </c>
      <c r="D4275">
        <v>7</v>
      </c>
      <c r="E4275" t="s">
        <v>4046</v>
      </c>
      <c r="F4275" t="s">
        <v>4047</v>
      </c>
      <c r="G4275" t="s">
        <v>269</v>
      </c>
      <c r="H4275" t="s">
        <v>270</v>
      </c>
      <c r="I4275" t="s">
        <v>85</v>
      </c>
      <c r="J4275">
        <v>35</v>
      </c>
      <c r="K4275" t="s">
        <v>81</v>
      </c>
      <c r="L4275" t="s">
        <v>97</v>
      </c>
      <c r="M4275" t="s">
        <v>57</v>
      </c>
      <c r="N4275" t="s">
        <v>2587</v>
      </c>
      <c r="O4275" t="s">
        <v>116</v>
      </c>
      <c r="P4275" t="s">
        <v>48</v>
      </c>
      <c r="Q4275" t="s">
        <v>138</v>
      </c>
      <c r="R4275">
        <v>1</v>
      </c>
      <c r="S4275">
        <v>14999</v>
      </c>
      <c r="T4275">
        <v>0</v>
      </c>
      <c r="U4275">
        <v>14999</v>
      </c>
      <c r="V4275">
        <v>11200</v>
      </c>
      <c r="W4275">
        <v>3799</v>
      </c>
      <c r="X4275" t="s">
        <v>73</v>
      </c>
      <c r="Y4275" t="s">
        <v>69</v>
      </c>
      <c r="Z4275" t="s">
        <v>159</v>
      </c>
      <c r="AA4275" t="s">
        <v>169</v>
      </c>
      <c r="AB4275">
        <v>3.7</v>
      </c>
      <c r="AC4275">
        <v>60</v>
      </c>
      <c r="AD4275">
        <v>1518.98</v>
      </c>
      <c r="AE4275">
        <f t="shared" si="132"/>
        <v>2220.02</v>
      </c>
      <c r="AF4275" t="str">
        <f t="shared" si="133"/>
        <v>2026-07</v>
      </c>
      <c r="AG4275">
        <f>SUBTOTAL(103,A4275)</f>
        <v>1</v>
      </c>
    </row>
    <row r="4276" spans="1:33" x14ac:dyDescent="0.3">
      <c r="A4276" t="s">
        <v>6899</v>
      </c>
      <c r="B4276" s="13">
        <v>46204</v>
      </c>
      <c r="C4276">
        <v>2026</v>
      </c>
      <c r="D4276">
        <v>7</v>
      </c>
      <c r="E4276" t="s">
        <v>4046</v>
      </c>
      <c r="F4276" t="s">
        <v>4047</v>
      </c>
      <c r="G4276" t="s">
        <v>1091</v>
      </c>
      <c r="H4276" t="s">
        <v>1092</v>
      </c>
      <c r="I4276" t="s">
        <v>86</v>
      </c>
      <c r="J4276">
        <v>48</v>
      </c>
      <c r="K4276" t="s">
        <v>83</v>
      </c>
      <c r="L4276" t="s">
        <v>2599</v>
      </c>
      <c r="M4276" t="s">
        <v>62</v>
      </c>
      <c r="N4276" t="s">
        <v>2574</v>
      </c>
      <c r="O4276" t="s">
        <v>130</v>
      </c>
      <c r="P4276" t="s">
        <v>50</v>
      </c>
      <c r="Q4276" t="s">
        <v>53</v>
      </c>
      <c r="R4276">
        <v>2</v>
      </c>
      <c r="S4276">
        <v>1199</v>
      </c>
      <c r="T4276">
        <v>0.15</v>
      </c>
      <c r="U4276">
        <v>2038.3</v>
      </c>
      <c r="V4276">
        <v>1100</v>
      </c>
      <c r="W4276">
        <v>938.3</v>
      </c>
      <c r="X4276" t="s">
        <v>73</v>
      </c>
      <c r="Y4276" t="s">
        <v>68</v>
      </c>
      <c r="Z4276" t="s">
        <v>159</v>
      </c>
      <c r="AA4276" t="s">
        <v>169</v>
      </c>
      <c r="AB4276">
        <v>4.3</v>
      </c>
      <c r="AC4276">
        <v>80</v>
      </c>
      <c r="AD4276">
        <v>101.37</v>
      </c>
      <c r="AE4276">
        <f t="shared" si="132"/>
        <v>756.93</v>
      </c>
      <c r="AF4276" t="str">
        <f t="shared" si="133"/>
        <v>2026-07</v>
      </c>
      <c r="AG4276">
        <f>SUBTOTAL(103,A4276)</f>
        <v>1</v>
      </c>
    </row>
    <row r="4277" spans="1:33" x14ac:dyDescent="0.3">
      <c r="A4277" t="s">
        <v>6900</v>
      </c>
      <c r="B4277" s="13">
        <v>46204</v>
      </c>
      <c r="C4277">
        <v>2026</v>
      </c>
      <c r="D4277">
        <v>7</v>
      </c>
      <c r="E4277" t="s">
        <v>4046</v>
      </c>
      <c r="F4277" t="s">
        <v>4047</v>
      </c>
      <c r="G4277" t="s">
        <v>971</v>
      </c>
      <c r="H4277" t="s">
        <v>972</v>
      </c>
      <c r="I4277" t="s">
        <v>85</v>
      </c>
      <c r="J4277">
        <v>59</v>
      </c>
      <c r="K4277" t="s">
        <v>83</v>
      </c>
      <c r="L4277" t="s">
        <v>2674</v>
      </c>
      <c r="M4277" t="s">
        <v>58</v>
      </c>
      <c r="N4277" t="s">
        <v>2657</v>
      </c>
      <c r="O4277" t="s">
        <v>134</v>
      </c>
      <c r="P4277" t="s">
        <v>49</v>
      </c>
      <c r="Q4277" t="s">
        <v>140</v>
      </c>
      <c r="R4277">
        <v>5</v>
      </c>
      <c r="S4277">
        <v>599</v>
      </c>
      <c r="T4277">
        <v>0.05</v>
      </c>
      <c r="U4277">
        <v>2845.25</v>
      </c>
      <c r="V4277">
        <v>1250</v>
      </c>
      <c r="W4277">
        <v>1595.25</v>
      </c>
      <c r="X4277" t="s">
        <v>76</v>
      </c>
      <c r="Y4277" t="s">
        <v>68</v>
      </c>
      <c r="Z4277" t="s">
        <v>161</v>
      </c>
      <c r="AA4277" t="s">
        <v>171</v>
      </c>
      <c r="AB4277">
        <v>3</v>
      </c>
      <c r="AC4277">
        <v>50</v>
      </c>
      <c r="AD4277">
        <v>298.47000000000003</v>
      </c>
      <c r="AE4277">
        <f t="shared" si="132"/>
        <v>1246.78</v>
      </c>
      <c r="AF4277" t="str">
        <f t="shared" si="133"/>
        <v>2026-07</v>
      </c>
      <c r="AG4277">
        <f>SUBTOTAL(103,A4277)</f>
        <v>1</v>
      </c>
    </row>
    <row r="4278" spans="1:33" x14ac:dyDescent="0.3">
      <c r="A4278" t="s">
        <v>6901</v>
      </c>
      <c r="B4278" s="13">
        <v>46204</v>
      </c>
      <c r="C4278">
        <v>2026</v>
      </c>
      <c r="D4278">
        <v>7</v>
      </c>
      <c r="E4278" t="s">
        <v>4046</v>
      </c>
      <c r="F4278" t="s">
        <v>4047</v>
      </c>
      <c r="G4278" t="s">
        <v>2501</v>
      </c>
      <c r="H4278" t="s">
        <v>2502</v>
      </c>
      <c r="I4278" t="s">
        <v>87</v>
      </c>
      <c r="J4278">
        <v>25</v>
      </c>
      <c r="K4278" t="s">
        <v>80</v>
      </c>
      <c r="L4278" t="s">
        <v>59</v>
      </c>
      <c r="M4278" t="s">
        <v>59</v>
      </c>
      <c r="N4278" t="s">
        <v>2582</v>
      </c>
      <c r="O4278" t="s">
        <v>119</v>
      </c>
      <c r="P4278" t="s">
        <v>49</v>
      </c>
      <c r="Q4278" t="s">
        <v>140</v>
      </c>
      <c r="R4278">
        <v>1</v>
      </c>
      <c r="S4278">
        <v>3499</v>
      </c>
      <c r="T4278">
        <v>0.05</v>
      </c>
      <c r="U4278">
        <v>0</v>
      </c>
      <c r="V4278">
        <v>0</v>
      </c>
      <c r="W4278">
        <v>0</v>
      </c>
      <c r="X4278" t="s">
        <v>73</v>
      </c>
      <c r="Y4278" t="s">
        <v>71</v>
      </c>
      <c r="Z4278" t="s">
        <v>162</v>
      </c>
      <c r="AA4278" t="s">
        <v>167</v>
      </c>
      <c r="AB4278">
        <v>4.5</v>
      </c>
      <c r="AC4278">
        <v>60</v>
      </c>
      <c r="AD4278">
        <v>125.1</v>
      </c>
      <c r="AE4278">
        <f t="shared" si="132"/>
        <v>-185.1</v>
      </c>
      <c r="AF4278" t="str">
        <f t="shared" si="133"/>
        <v>2026-07</v>
      </c>
      <c r="AG4278">
        <f>SUBTOTAL(103,A4278)</f>
        <v>1</v>
      </c>
    </row>
    <row r="4279" spans="1:33" x14ac:dyDescent="0.3">
      <c r="A4279" t="s">
        <v>6902</v>
      </c>
      <c r="B4279" s="13">
        <v>46204</v>
      </c>
      <c r="C4279">
        <v>2026</v>
      </c>
      <c r="D4279">
        <v>7</v>
      </c>
      <c r="E4279" t="s">
        <v>4046</v>
      </c>
      <c r="F4279" t="s">
        <v>4047</v>
      </c>
      <c r="G4279" t="s">
        <v>639</v>
      </c>
      <c r="H4279" t="s">
        <v>640</v>
      </c>
      <c r="I4279" t="s">
        <v>85</v>
      </c>
      <c r="J4279">
        <v>59</v>
      </c>
      <c r="K4279" t="s">
        <v>83</v>
      </c>
      <c r="L4279" t="s">
        <v>2605</v>
      </c>
      <c r="M4279" t="s">
        <v>60</v>
      </c>
      <c r="N4279" t="s">
        <v>2580</v>
      </c>
      <c r="O4279" t="s">
        <v>118</v>
      </c>
      <c r="P4279" t="s">
        <v>48</v>
      </c>
      <c r="Q4279" t="s">
        <v>142</v>
      </c>
      <c r="R4279">
        <v>2</v>
      </c>
      <c r="S4279">
        <v>3999</v>
      </c>
      <c r="T4279">
        <v>0</v>
      </c>
      <c r="U4279">
        <v>7998</v>
      </c>
      <c r="V4279">
        <v>4800</v>
      </c>
      <c r="W4279">
        <v>3198</v>
      </c>
      <c r="X4279" t="s">
        <v>77</v>
      </c>
      <c r="Y4279" t="s">
        <v>68</v>
      </c>
      <c r="Z4279" t="s">
        <v>159</v>
      </c>
      <c r="AA4279" t="s">
        <v>166</v>
      </c>
      <c r="AB4279">
        <v>3.1</v>
      </c>
      <c r="AC4279">
        <v>80</v>
      </c>
      <c r="AD4279">
        <v>377.73</v>
      </c>
      <c r="AE4279">
        <f t="shared" si="132"/>
        <v>2740.27</v>
      </c>
      <c r="AF4279" t="str">
        <f t="shared" si="133"/>
        <v>2026-07</v>
      </c>
      <c r="AG4279">
        <f>SUBTOTAL(103,A4279)</f>
        <v>1</v>
      </c>
    </row>
    <row r="4280" spans="1:33" x14ac:dyDescent="0.3">
      <c r="A4280" t="s">
        <v>6903</v>
      </c>
      <c r="B4280" s="13">
        <v>46204</v>
      </c>
      <c r="C4280">
        <v>2026</v>
      </c>
      <c r="D4280">
        <v>7</v>
      </c>
      <c r="E4280" t="s">
        <v>4046</v>
      </c>
      <c r="F4280" t="s">
        <v>4047</v>
      </c>
      <c r="G4280" t="s">
        <v>631</v>
      </c>
      <c r="H4280" t="s">
        <v>632</v>
      </c>
      <c r="I4280" t="s">
        <v>85</v>
      </c>
      <c r="J4280">
        <v>22</v>
      </c>
      <c r="K4280" t="s">
        <v>80</v>
      </c>
      <c r="L4280" t="s">
        <v>92</v>
      </c>
      <c r="M4280" t="s">
        <v>59</v>
      </c>
      <c r="N4280" t="s">
        <v>2584</v>
      </c>
      <c r="O4280" t="s">
        <v>121</v>
      </c>
      <c r="P4280" t="s">
        <v>50</v>
      </c>
      <c r="Q4280" t="s">
        <v>144</v>
      </c>
      <c r="R4280">
        <v>1</v>
      </c>
      <c r="S4280">
        <v>2999</v>
      </c>
      <c r="T4280">
        <v>0.15</v>
      </c>
      <c r="U4280">
        <v>2549.15</v>
      </c>
      <c r="V4280">
        <v>1700</v>
      </c>
      <c r="W4280">
        <v>849.15</v>
      </c>
      <c r="X4280" t="s">
        <v>74</v>
      </c>
      <c r="Y4280" t="s">
        <v>68</v>
      </c>
      <c r="Z4280" t="s">
        <v>163</v>
      </c>
      <c r="AA4280" t="s">
        <v>169</v>
      </c>
      <c r="AB4280">
        <v>4.9000000000000004</v>
      </c>
      <c r="AC4280">
        <v>40</v>
      </c>
      <c r="AD4280">
        <v>165.98</v>
      </c>
      <c r="AE4280">
        <f t="shared" si="132"/>
        <v>643.16999999999996</v>
      </c>
      <c r="AF4280" t="str">
        <f t="shared" si="133"/>
        <v>2026-07</v>
      </c>
      <c r="AG4280">
        <f>SUBTOTAL(103,A4280)</f>
        <v>1</v>
      </c>
    </row>
    <row r="4281" spans="1:33" x14ac:dyDescent="0.3">
      <c r="A4281" t="s">
        <v>6904</v>
      </c>
      <c r="B4281" s="13">
        <v>46204</v>
      </c>
      <c r="C4281">
        <v>2026</v>
      </c>
      <c r="D4281">
        <v>7</v>
      </c>
      <c r="E4281" t="s">
        <v>4046</v>
      </c>
      <c r="F4281" t="s">
        <v>4047</v>
      </c>
      <c r="G4281" t="s">
        <v>1621</v>
      </c>
      <c r="H4281" t="s">
        <v>1622</v>
      </c>
      <c r="I4281" t="s">
        <v>85</v>
      </c>
      <c r="J4281">
        <v>56</v>
      </c>
      <c r="K4281" t="s">
        <v>83</v>
      </c>
      <c r="L4281" t="s">
        <v>93</v>
      </c>
      <c r="M4281" t="s">
        <v>55</v>
      </c>
      <c r="N4281" t="s">
        <v>2584</v>
      </c>
      <c r="O4281" t="s">
        <v>121</v>
      </c>
      <c r="P4281" t="s">
        <v>50</v>
      </c>
      <c r="Q4281" t="s">
        <v>144</v>
      </c>
      <c r="R4281">
        <v>3</v>
      </c>
      <c r="S4281">
        <v>2999</v>
      </c>
      <c r="T4281">
        <v>0.05</v>
      </c>
      <c r="U4281">
        <v>8547.15</v>
      </c>
      <c r="V4281">
        <v>5100</v>
      </c>
      <c r="W4281">
        <v>3447.15</v>
      </c>
      <c r="X4281" t="s">
        <v>75</v>
      </c>
      <c r="Y4281" t="s">
        <v>68</v>
      </c>
      <c r="Z4281" t="s">
        <v>158</v>
      </c>
      <c r="AA4281" t="s">
        <v>168</v>
      </c>
      <c r="AB4281">
        <v>3.6</v>
      </c>
      <c r="AC4281">
        <v>50</v>
      </c>
      <c r="AD4281">
        <v>925.89</v>
      </c>
      <c r="AE4281">
        <f t="shared" si="132"/>
        <v>2471.2600000000002</v>
      </c>
      <c r="AF4281" t="str">
        <f t="shared" si="133"/>
        <v>2026-07</v>
      </c>
      <c r="AG4281">
        <f>SUBTOTAL(103,A4281)</f>
        <v>1</v>
      </c>
    </row>
    <row r="4282" spans="1:33" x14ac:dyDescent="0.3">
      <c r="A4282" t="s">
        <v>6905</v>
      </c>
      <c r="B4282" s="13">
        <v>46204</v>
      </c>
      <c r="C4282">
        <v>2026</v>
      </c>
      <c r="D4282">
        <v>7</v>
      </c>
      <c r="E4282" t="s">
        <v>4046</v>
      </c>
      <c r="F4282" t="s">
        <v>4047</v>
      </c>
      <c r="G4282" t="s">
        <v>2195</v>
      </c>
      <c r="H4282" t="s">
        <v>2196</v>
      </c>
      <c r="I4282" t="s">
        <v>86</v>
      </c>
      <c r="J4282">
        <v>31</v>
      </c>
      <c r="K4282" t="s">
        <v>81</v>
      </c>
      <c r="L4282" t="s">
        <v>2687</v>
      </c>
      <c r="M4282" t="s">
        <v>57</v>
      </c>
      <c r="N4282" t="s">
        <v>2577</v>
      </c>
      <c r="O4282" t="s">
        <v>129</v>
      </c>
      <c r="P4282" t="s">
        <v>49</v>
      </c>
      <c r="Q4282" t="s">
        <v>149</v>
      </c>
      <c r="R4282">
        <v>4</v>
      </c>
      <c r="S4282">
        <v>1299</v>
      </c>
      <c r="T4282">
        <v>0.05</v>
      </c>
      <c r="U4282">
        <v>4936.2</v>
      </c>
      <c r="V4282">
        <v>2600</v>
      </c>
      <c r="W4282">
        <v>2336.1999999999998</v>
      </c>
      <c r="X4282" t="s">
        <v>76</v>
      </c>
      <c r="Y4282" t="s">
        <v>68</v>
      </c>
      <c r="Z4282" t="s">
        <v>159</v>
      </c>
      <c r="AA4282" t="s">
        <v>170</v>
      </c>
      <c r="AB4282">
        <v>4.2</v>
      </c>
      <c r="AC4282">
        <v>60</v>
      </c>
      <c r="AD4282">
        <v>228.13</v>
      </c>
      <c r="AE4282">
        <f t="shared" si="132"/>
        <v>2048.0699999999997</v>
      </c>
      <c r="AF4282" t="str">
        <f t="shared" si="133"/>
        <v>2026-07</v>
      </c>
      <c r="AG4282">
        <f>SUBTOTAL(103,A4282)</f>
        <v>1</v>
      </c>
    </row>
    <row r="4283" spans="1:33" x14ac:dyDescent="0.3">
      <c r="A4283" t="s">
        <v>6906</v>
      </c>
      <c r="B4283" s="13">
        <v>46204</v>
      </c>
      <c r="C4283">
        <v>2026</v>
      </c>
      <c r="D4283">
        <v>7</v>
      </c>
      <c r="E4283" t="s">
        <v>4046</v>
      </c>
      <c r="F4283" t="s">
        <v>4047</v>
      </c>
      <c r="G4283" t="s">
        <v>1191</v>
      </c>
      <c r="H4283" t="s">
        <v>1192</v>
      </c>
      <c r="I4283" t="s">
        <v>86</v>
      </c>
      <c r="J4283">
        <v>32</v>
      </c>
      <c r="K4283" t="s">
        <v>81</v>
      </c>
      <c r="L4283" t="s">
        <v>2576</v>
      </c>
      <c r="M4283" t="s">
        <v>60</v>
      </c>
      <c r="N4283" t="s">
        <v>2596</v>
      </c>
      <c r="O4283" t="s">
        <v>124</v>
      </c>
      <c r="P4283" t="s">
        <v>51</v>
      </c>
      <c r="Q4283" t="s">
        <v>147</v>
      </c>
      <c r="R4283">
        <v>3</v>
      </c>
      <c r="S4283">
        <v>2299</v>
      </c>
      <c r="T4283">
        <v>0.2</v>
      </c>
      <c r="U4283">
        <v>5517.6</v>
      </c>
      <c r="V4283">
        <v>3600</v>
      </c>
      <c r="W4283">
        <v>1917.6</v>
      </c>
      <c r="X4283" t="s">
        <v>77</v>
      </c>
      <c r="Y4283" t="s">
        <v>68</v>
      </c>
      <c r="Z4283" t="s">
        <v>158</v>
      </c>
      <c r="AA4283" t="s">
        <v>169</v>
      </c>
      <c r="AB4283">
        <v>3.6</v>
      </c>
      <c r="AC4283">
        <v>120</v>
      </c>
      <c r="AD4283">
        <v>550.07000000000005</v>
      </c>
      <c r="AE4283">
        <f t="shared" si="132"/>
        <v>1247.5299999999997</v>
      </c>
      <c r="AF4283" t="str">
        <f t="shared" si="133"/>
        <v>2026-07</v>
      </c>
      <c r="AG4283">
        <f>SUBTOTAL(103,A4283)</f>
        <v>1</v>
      </c>
    </row>
    <row r="4284" spans="1:33" x14ac:dyDescent="0.3">
      <c r="A4284" t="s">
        <v>6907</v>
      </c>
      <c r="B4284" s="13">
        <v>46204</v>
      </c>
      <c r="C4284">
        <v>2026</v>
      </c>
      <c r="D4284">
        <v>7</v>
      </c>
      <c r="E4284" t="s">
        <v>4046</v>
      </c>
      <c r="F4284" t="s">
        <v>4047</v>
      </c>
      <c r="G4284" t="s">
        <v>1025</v>
      </c>
      <c r="H4284" t="s">
        <v>1026</v>
      </c>
      <c r="I4284" t="s">
        <v>86</v>
      </c>
      <c r="J4284">
        <v>23</v>
      </c>
      <c r="K4284" t="s">
        <v>80</v>
      </c>
      <c r="L4284" t="s">
        <v>59</v>
      </c>
      <c r="M4284" t="s">
        <v>59</v>
      </c>
      <c r="N4284" t="s">
        <v>2580</v>
      </c>
      <c r="O4284" t="s">
        <v>118</v>
      </c>
      <c r="P4284" t="s">
        <v>48</v>
      </c>
      <c r="Q4284" t="s">
        <v>142</v>
      </c>
      <c r="R4284">
        <v>3</v>
      </c>
      <c r="S4284">
        <v>3999</v>
      </c>
      <c r="T4284">
        <v>0.15</v>
      </c>
      <c r="U4284">
        <v>10197.450000000001</v>
      </c>
      <c r="V4284">
        <v>7200</v>
      </c>
      <c r="W4284">
        <v>2997.45</v>
      </c>
      <c r="X4284" t="s">
        <v>75</v>
      </c>
      <c r="Y4284" t="s">
        <v>68</v>
      </c>
      <c r="Z4284" t="s">
        <v>158</v>
      </c>
      <c r="AA4284" t="s">
        <v>171</v>
      </c>
      <c r="AB4284">
        <v>3.9</v>
      </c>
      <c r="AC4284">
        <v>60</v>
      </c>
      <c r="AD4284">
        <v>382.91</v>
      </c>
      <c r="AE4284">
        <f t="shared" si="132"/>
        <v>2554.54</v>
      </c>
      <c r="AF4284" t="str">
        <f t="shared" si="133"/>
        <v>2026-07</v>
      </c>
      <c r="AG4284">
        <f>SUBTOTAL(103,A4284)</f>
        <v>1</v>
      </c>
    </row>
    <row r="4285" spans="1:33" x14ac:dyDescent="0.3">
      <c r="A4285" t="s">
        <v>6908</v>
      </c>
      <c r="B4285" s="13">
        <v>46204</v>
      </c>
      <c r="C4285">
        <v>2026</v>
      </c>
      <c r="D4285">
        <v>7</v>
      </c>
      <c r="E4285" t="s">
        <v>4046</v>
      </c>
      <c r="F4285" t="s">
        <v>4047</v>
      </c>
      <c r="G4285" t="s">
        <v>1183</v>
      </c>
      <c r="H4285" t="s">
        <v>1184</v>
      </c>
      <c r="I4285" t="s">
        <v>86</v>
      </c>
      <c r="J4285">
        <v>48</v>
      </c>
      <c r="K4285" t="s">
        <v>83</v>
      </c>
      <c r="L4285" t="s">
        <v>90</v>
      </c>
      <c r="M4285" t="s">
        <v>55</v>
      </c>
      <c r="N4285" t="s">
        <v>2574</v>
      </c>
      <c r="O4285" t="s">
        <v>130</v>
      </c>
      <c r="P4285" t="s">
        <v>50</v>
      </c>
      <c r="Q4285" t="s">
        <v>53</v>
      </c>
      <c r="R4285">
        <v>1</v>
      </c>
      <c r="S4285">
        <v>1199</v>
      </c>
      <c r="T4285">
        <v>0.1</v>
      </c>
      <c r="U4285">
        <v>1079.0999999999999</v>
      </c>
      <c r="V4285">
        <v>550</v>
      </c>
      <c r="W4285">
        <v>529.1</v>
      </c>
      <c r="X4285" t="s">
        <v>76</v>
      </c>
      <c r="Y4285" t="s">
        <v>69</v>
      </c>
      <c r="Z4285" t="s">
        <v>158</v>
      </c>
      <c r="AA4285" t="s">
        <v>170</v>
      </c>
      <c r="AB4285">
        <v>3</v>
      </c>
      <c r="AC4285">
        <v>60</v>
      </c>
      <c r="AD4285">
        <v>75.510000000000005</v>
      </c>
      <c r="AE4285">
        <f t="shared" si="132"/>
        <v>393.59000000000003</v>
      </c>
      <c r="AF4285" t="str">
        <f t="shared" si="133"/>
        <v>2026-07</v>
      </c>
      <c r="AG4285">
        <f>SUBTOTAL(103,A4285)</f>
        <v>1</v>
      </c>
    </row>
    <row r="4286" spans="1:33" x14ac:dyDescent="0.3">
      <c r="A4286" t="s">
        <v>6909</v>
      </c>
      <c r="B4286" s="13">
        <v>46205</v>
      </c>
      <c r="C4286">
        <v>2026</v>
      </c>
      <c r="D4286">
        <v>7</v>
      </c>
      <c r="E4286" t="s">
        <v>4046</v>
      </c>
      <c r="F4286" t="s">
        <v>4047</v>
      </c>
      <c r="G4286" t="s">
        <v>1557</v>
      </c>
      <c r="H4286" t="s">
        <v>1558</v>
      </c>
      <c r="I4286" t="s">
        <v>86</v>
      </c>
      <c r="J4286">
        <v>56</v>
      </c>
      <c r="K4286" t="s">
        <v>83</v>
      </c>
      <c r="L4286" t="s">
        <v>90</v>
      </c>
      <c r="M4286" t="s">
        <v>55</v>
      </c>
      <c r="N4286" t="s">
        <v>2644</v>
      </c>
      <c r="O4286" t="s">
        <v>126</v>
      </c>
      <c r="P4286" t="s">
        <v>50</v>
      </c>
      <c r="Q4286" t="s">
        <v>145</v>
      </c>
      <c r="R4286">
        <v>2</v>
      </c>
      <c r="S4286">
        <v>1799</v>
      </c>
      <c r="T4286">
        <v>0.1</v>
      </c>
      <c r="U4286">
        <v>3238.2</v>
      </c>
      <c r="V4286">
        <v>1900</v>
      </c>
      <c r="W4286">
        <v>1338.2</v>
      </c>
      <c r="X4286" t="s">
        <v>73</v>
      </c>
      <c r="Y4286" t="s">
        <v>68</v>
      </c>
      <c r="Z4286" t="s">
        <v>162</v>
      </c>
      <c r="AA4286" t="s">
        <v>169</v>
      </c>
      <c r="AB4286">
        <v>4.3</v>
      </c>
      <c r="AC4286">
        <v>40</v>
      </c>
      <c r="AD4286">
        <v>147.84</v>
      </c>
      <c r="AE4286">
        <f t="shared" si="132"/>
        <v>1150.3600000000001</v>
      </c>
      <c r="AF4286" t="str">
        <f t="shared" si="133"/>
        <v>2026-07</v>
      </c>
      <c r="AG4286">
        <f>SUBTOTAL(103,A4286)</f>
        <v>1</v>
      </c>
    </row>
    <row r="4287" spans="1:33" x14ac:dyDescent="0.3">
      <c r="A4287" t="s">
        <v>6910</v>
      </c>
      <c r="B4287" s="13">
        <v>46205</v>
      </c>
      <c r="C4287">
        <v>2026</v>
      </c>
      <c r="D4287">
        <v>7</v>
      </c>
      <c r="E4287" t="s">
        <v>4046</v>
      </c>
      <c r="F4287" t="s">
        <v>4047</v>
      </c>
      <c r="G4287" t="s">
        <v>979</v>
      </c>
      <c r="H4287" t="s">
        <v>980</v>
      </c>
      <c r="I4287" t="s">
        <v>85</v>
      </c>
      <c r="J4287">
        <v>58</v>
      </c>
      <c r="K4287" t="s">
        <v>83</v>
      </c>
      <c r="L4287" t="s">
        <v>90</v>
      </c>
      <c r="M4287" t="s">
        <v>55</v>
      </c>
      <c r="N4287" t="s">
        <v>2594</v>
      </c>
      <c r="O4287" t="s">
        <v>131</v>
      </c>
      <c r="P4287" t="s">
        <v>53</v>
      </c>
      <c r="Q4287" t="s">
        <v>143</v>
      </c>
      <c r="R4287">
        <v>2</v>
      </c>
      <c r="S4287">
        <v>999</v>
      </c>
      <c r="T4287">
        <v>0.05</v>
      </c>
      <c r="U4287">
        <v>1898.1</v>
      </c>
      <c r="V4287">
        <v>1040</v>
      </c>
      <c r="W4287">
        <v>858.1</v>
      </c>
      <c r="X4287" t="s">
        <v>75</v>
      </c>
      <c r="Y4287" t="s">
        <v>68</v>
      </c>
      <c r="Z4287" t="s">
        <v>159</v>
      </c>
      <c r="AA4287" t="s">
        <v>166</v>
      </c>
      <c r="AB4287">
        <v>3.9</v>
      </c>
      <c r="AC4287">
        <v>50</v>
      </c>
      <c r="AD4287">
        <v>109.68</v>
      </c>
      <c r="AE4287">
        <f t="shared" si="132"/>
        <v>698.42000000000007</v>
      </c>
      <c r="AF4287" t="str">
        <f t="shared" si="133"/>
        <v>2026-07</v>
      </c>
      <c r="AG4287">
        <f>SUBTOTAL(103,A4287)</f>
        <v>1</v>
      </c>
    </row>
    <row r="4288" spans="1:33" x14ac:dyDescent="0.3">
      <c r="A4288" t="s">
        <v>6911</v>
      </c>
      <c r="B4288" s="13">
        <v>46205</v>
      </c>
      <c r="C4288">
        <v>2026</v>
      </c>
      <c r="D4288">
        <v>7</v>
      </c>
      <c r="E4288" t="s">
        <v>4046</v>
      </c>
      <c r="F4288" t="s">
        <v>4047</v>
      </c>
      <c r="G4288" t="s">
        <v>1245</v>
      </c>
      <c r="H4288" t="s">
        <v>1246</v>
      </c>
      <c r="I4288" t="s">
        <v>86</v>
      </c>
      <c r="J4288">
        <v>43</v>
      </c>
      <c r="K4288" t="s">
        <v>82</v>
      </c>
      <c r="L4288" t="s">
        <v>2589</v>
      </c>
      <c r="M4288" t="s">
        <v>61</v>
      </c>
      <c r="N4288" t="s">
        <v>2590</v>
      </c>
      <c r="O4288" t="s">
        <v>127</v>
      </c>
      <c r="P4288" t="s">
        <v>51</v>
      </c>
      <c r="Q4288" t="s">
        <v>148</v>
      </c>
      <c r="R4288">
        <v>1</v>
      </c>
      <c r="S4288">
        <v>1599</v>
      </c>
      <c r="T4288">
        <v>0.05</v>
      </c>
      <c r="U4288">
        <v>1519.05</v>
      </c>
      <c r="V4288">
        <v>800</v>
      </c>
      <c r="W4288">
        <v>719.05</v>
      </c>
      <c r="X4288" t="s">
        <v>75</v>
      </c>
      <c r="Y4288" t="s">
        <v>68</v>
      </c>
      <c r="Z4288" t="s">
        <v>163</v>
      </c>
      <c r="AA4288" t="s">
        <v>167</v>
      </c>
      <c r="AB4288">
        <v>3.9</v>
      </c>
      <c r="AC4288">
        <v>50</v>
      </c>
      <c r="AD4288">
        <v>121.27</v>
      </c>
      <c r="AE4288">
        <f t="shared" si="132"/>
        <v>547.78</v>
      </c>
      <c r="AF4288" t="str">
        <f t="shared" si="133"/>
        <v>2026-07</v>
      </c>
      <c r="AG4288">
        <f>SUBTOTAL(103,A4288)</f>
        <v>1</v>
      </c>
    </row>
    <row r="4289" spans="1:33" x14ac:dyDescent="0.3">
      <c r="A4289" t="s">
        <v>6912</v>
      </c>
      <c r="B4289" s="13">
        <v>46205</v>
      </c>
      <c r="C4289">
        <v>2026</v>
      </c>
      <c r="D4289">
        <v>7</v>
      </c>
      <c r="E4289" t="s">
        <v>4046</v>
      </c>
      <c r="F4289" t="s">
        <v>4047</v>
      </c>
      <c r="G4289" t="s">
        <v>975</v>
      </c>
      <c r="H4289" t="s">
        <v>976</v>
      </c>
      <c r="I4289" t="s">
        <v>85</v>
      </c>
      <c r="J4289">
        <v>28</v>
      </c>
      <c r="K4289" t="s">
        <v>81</v>
      </c>
      <c r="L4289" t="s">
        <v>2661</v>
      </c>
      <c r="M4289" t="s">
        <v>58</v>
      </c>
      <c r="N4289" t="s">
        <v>2603</v>
      </c>
      <c r="O4289" t="s">
        <v>122</v>
      </c>
      <c r="P4289" t="s">
        <v>48</v>
      </c>
      <c r="Q4289" t="s">
        <v>141</v>
      </c>
      <c r="R4289">
        <v>1</v>
      </c>
      <c r="S4289">
        <v>2499</v>
      </c>
      <c r="T4289">
        <v>0.05</v>
      </c>
      <c r="U4289">
        <v>2374.0500000000002</v>
      </c>
      <c r="V4289">
        <v>1450</v>
      </c>
      <c r="W4289">
        <v>924.05</v>
      </c>
      <c r="X4289" t="s">
        <v>76</v>
      </c>
      <c r="Y4289" t="s">
        <v>68</v>
      </c>
      <c r="Z4289" t="s">
        <v>158</v>
      </c>
      <c r="AA4289" t="s">
        <v>168</v>
      </c>
      <c r="AB4289">
        <v>4.7</v>
      </c>
      <c r="AC4289">
        <v>50</v>
      </c>
      <c r="AD4289">
        <v>156.41999999999999</v>
      </c>
      <c r="AE4289">
        <f t="shared" si="132"/>
        <v>717.63</v>
      </c>
      <c r="AF4289" t="str">
        <f t="shared" si="133"/>
        <v>2026-07</v>
      </c>
      <c r="AG4289">
        <f>SUBTOTAL(103,A4289)</f>
        <v>1</v>
      </c>
    </row>
    <row r="4290" spans="1:33" x14ac:dyDescent="0.3">
      <c r="A4290" t="s">
        <v>6913</v>
      </c>
      <c r="B4290" s="13">
        <v>46205</v>
      </c>
      <c r="C4290">
        <v>2026</v>
      </c>
      <c r="D4290">
        <v>7</v>
      </c>
      <c r="E4290" t="s">
        <v>4046</v>
      </c>
      <c r="F4290" t="s">
        <v>4047</v>
      </c>
      <c r="G4290" t="s">
        <v>1737</v>
      </c>
      <c r="H4290" t="s">
        <v>1738</v>
      </c>
      <c r="I4290" t="s">
        <v>86</v>
      </c>
      <c r="J4290">
        <v>52</v>
      </c>
      <c r="K4290" t="s">
        <v>83</v>
      </c>
      <c r="L4290" t="s">
        <v>2610</v>
      </c>
      <c r="M4290" t="s">
        <v>64</v>
      </c>
      <c r="N4290" t="s">
        <v>2590</v>
      </c>
      <c r="O4290" t="s">
        <v>127</v>
      </c>
      <c r="P4290" t="s">
        <v>51</v>
      </c>
      <c r="Q4290" t="s">
        <v>148</v>
      </c>
      <c r="R4290">
        <v>2</v>
      </c>
      <c r="S4290">
        <v>1599</v>
      </c>
      <c r="T4290">
        <v>0.05</v>
      </c>
      <c r="U4290">
        <v>3038.1</v>
      </c>
      <c r="V4290">
        <v>1600</v>
      </c>
      <c r="W4290">
        <v>1438.1</v>
      </c>
      <c r="X4290" t="s">
        <v>74</v>
      </c>
      <c r="Y4290" t="s">
        <v>68</v>
      </c>
      <c r="Z4290" t="s">
        <v>158</v>
      </c>
      <c r="AA4290" t="s">
        <v>171</v>
      </c>
      <c r="AB4290">
        <v>4.9000000000000004</v>
      </c>
      <c r="AC4290">
        <v>50</v>
      </c>
      <c r="AD4290">
        <v>285.45</v>
      </c>
      <c r="AE4290">
        <f t="shared" ref="AE4290:AE4353" si="134">W4290-AC4290-AD4290</f>
        <v>1102.6499999999999</v>
      </c>
      <c r="AF4290" t="str">
        <f t="shared" ref="AF4290:AF4353" si="135">C4290&amp;"-"&amp;TEXT(D4290,"00")</f>
        <v>2026-07</v>
      </c>
      <c r="AG4290">
        <f>SUBTOTAL(103,A4290)</f>
        <v>1</v>
      </c>
    </row>
    <row r="4291" spans="1:33" x14ac:dyDescent="0.3">
      <c r="A4291" t="s">
        <v>6914</v>
      </c>
      <c r="B4291" s="13">
        <v>46206</v>
      </c>
      <c r="C4291">
        <v>2026</v>
      </c>
      <c r="D4291">
        <v>7</v>
      </c>
      <c r="E4291" t="s">
        <v>4046</v>
      </c>
      <c r="F4291" t="s">
        <v>4047</v>
      </c>
      <c r="G4291" t="s">
        <v>619</v>
      </c>
      <c r="H4291" t="s">
        <v>620</v>
      </c>
      <c r="I4291" t="s">
        <v>85</v>
      </c>
      <c r="J4291">
        <v>32</v>
      </c>
      <c r="K4291" t="s">
        <v>81</v>
      </c>
      <c r="L4291" t="s">
        <v>90</v>
      </c>
      <c r="M4291" t="s">
        <v>55</v>
      </c>
      <c r="N4291" t="s">
        <v>2657</v>
      </c>
      <c r="O4291" t="s">
        <v>134</v>
      </c>
      <c r="P4291" t="s">
        <v>49</v>
      </c>
      <c r="Q4291" t="s">
        <v>140</v>
      </c>
      <c r="R4291">
        <v>2</v>
      </c>
      <c r="S4291">
        <v>599</v>
      </c>
      <c r="T4291">
        <v>0.25</v>
      </c>
      <c r="U4291">
        <v>898.5</v>
      </c>
      <c r="V4291">
        <v>500</v>
      </c>
      <c r="W4291">
        <v>398.5</v>
      </c>
      <c r="X4291" t="s">
        <v>76</v>
      </c>
      <c r="Y4291" t="s">
        <v>68</v>
      </c>
      <c r="Z4291" t="s">
        <v>161</v>
      </c>
      <c r="AA4291" t="s">
        <v>166</v>
      </c>
      <c r="AB4291">
        <v>5</v>
      </c>
      <c r="AC4291">
        <v>60</v>
      </c>
      <c r="AD4291">
        <v>102.09</v>
      </c>
      <c r="AE4291">
        <f t="shared" si="134"/>
        <v>236.41</v>
      </c>
      <c r="AF4291" t="str">
        <f t="shared" si="135"/>
        <v>2026-07</v>
      </c>
      <c r="AG4291">
        <f>SUBTOTAL(103,A4291)</f>
        <v>1</v>
      </c>
    </row>
    <row r="4292" spans="1:33" x14ac:dyDescent="0.3">
      <c r="A4292" t="s">
        <v>6915</v>
      </c>
      <c r="B4292" s="13">
        <v>46206</v>
      </c>
      <c r="C4292">
        <v>2026</v>
      </c>
      <c r="D4292">
        <v>7</v>
      </c>
      <c r="E4292" t="s">
        <v>4046</v>
      </c>
      <c r="F4292" t="s">
        <v>4047</v>
      </c>
      <c r="G4292" t="s">
        <v>199</v>
      </c>
      <c r="H4292" t="s">
        <v>200</v>
      </c>
      <c r="I4292" t="s">
        <v>86</v>
      </c>
      <c r="J4292">
        <v>52</v>
      </c>
      <c r="K4292" t="s">
        <v>83</v>
      </c>
      <c r="L4292" t="s">
        <v>96</v>
      </c>
      <c r="M4292" t="s">
        <v>55</v>
      </c>
      <c r="N4292" t="s">
        <v>2587</v>
      </c>
      <c r="O4292" t="s">
        <v>116</v>
      </c>
      <c r="P4292" t="s">
        <v>48</v>
      </c>
      <c r="Q4292" t="s">
        <v>138</v>
      </c>
      <c r="R4292">
        <v>3</v>
      </c>
      <c r="S4292">
        <v>14999</v>
      </c>
      <c r="T4292">
        <v>0.15</v>
      </c>
      <c r="U4292">
        <v>38247.449999999997</v>
      </c>
      <c r="V4292">
        <v>33600</v>
      </c>
      <c r="W4292">
        <v>4647.45</v>
      </c>
      <c r="X4292" t="s">
        <v>73</v>
      </c>
      <c r="Y4292" t="s">
        <v>68</v>
      </c>
      <c r="Z4292" t="s">
        <v>158</v>
      </c>
      <c r="AA4292" t="s">
        <v>166</v>
      </c>
      <c r="AB4292">
        <v>5</v>
      </c>
      <c r="AC4292">
        <v>40</v>
      </c>
      <c r="AD4292">
        <v>3633.38</v>
      </c>
      <c r="AE4292">
        <f t="shared" si="134"/>
        <v>974.06999999999971</v>
      </c>
      <c r="AF4292" t="str">
        <f t="shared" si="135"/>
        <v>2026-07</v>
      </c>
      <c r="AG4292">
        <f>SUBTOTAL(103,A4292)</f>
        <v>1</v>
      </c>
    </row>
    <row r="4293" spans="1:33" x14ac:dyDescent="0.3">
      <c r="A4293" t="s">
        <v>6916</v>
      </c>
      <c r="B4293" s="13">
        <v>46206</v>
      </c>
      <c r="C4293">
        <v>2026</v>
      </c>
      <c r="D4293">
        <v>7</v>
      </c>
      <c r="E4293" t="s">
        <v>4046</v>
      </c>
      <c r="F4293" t="s">
        <v>4047</v>
      </c>
      <c r="G4293" t="s">
        <v>761</v>
      </c>
      <c r="H4293" t="s">
        <v>762</v>
      </c>
      <c r="I4293" t="s">
        <v>86</v>
      </c>
      <c r="J4293">
        <v>34</v>
      </c>
      <c r="K4293" t="s">
        <v>81</v>
      </c>
      <c r="L4293" t="s">
        <v>90</v>
      </c>
      <c r="M4293" t="s">
        <v>55</v>
      </c>
      <c r="N4293" t="s">
        <v>2577</v>
      </c>
      <c r="O4293" t="s">
        <v>129</v>
      </c>
      <c r="P4293" t="s">
        <v>49</v>
      </c>
      <c r="Q4293" t="s">
        <v>149</v>
      </c>
      <c r="R4293">
        <v>5</v>
      </c>
      <c r="S4293">
        <v>1299</v>
      </c>
      <c r="T4293">
        <v>0.15</v>
      </c>
      <c r="U4293">
        <v>5520.75</v>
      </c>
      <c r="V4293">
        <v>3250</v>
      </c>
      <c r="W4293">
        <v>2270.75</v>
      </c>
      <c r="X4293" t="s">
        <v>73</v>
      </c>
      <c r="Y4293" t="s">
        <v>68</v>
      </c>
      <c r="Z4293" t="s">
        <v>158</v>
      </c>
      <c r="AA4293" t="s">
        <v>166</v>
      </c>
      <c r="AB4293">
        <v>4</v>
      </c>
      <c r="AC4293">
        <v>80</v>
      </c>
      <c r="AD4293">
        <v>535.35</v>
      </c>
      <c r="AE4293">
        <f t="shared" si="134"/>
        <v>1655.4</v>
      </c>
      <c r="AF4293" t="str">
        <f t="shared" si="135"/>
        <v>2026-07</v>
      </c>
      <c r="AG4293">
        <f>SUBTOTAL(103,A4293)</f>
        <v>1</v>
      </c>
    </row>
    <row r="4294" spans="1:33" x14ac:dyDescent="0.3">
      <c r="A4294" t="s">
        <v>6917</v>
      </c>
      <c r="B4294" s="13">
        <v>46206</v>
      </c>
      <c r="C4294">
        <v>2026</v>
      </c>
      <c r="D4294">
        <v>7</v>
      </c>
      <c r="E4294" t="s">
        <v>4046</v>
      </c>
      <c r="F4294" t="s">
        <v>4047</v>
      </c>
      <c r="G4294" t="s">
        <v>2027</v>
      </c>
      <c r="H4294" t="s">
        <v>2028</v>
      </c>
      <c r="I4294" t="s">
        <v>87</v>
      </c>
      <c r="J4294">
        <v>20</v>
      </c>
      <c r="K4294" t="s">
        <v>80</v>
      </c>
      <c r="L4294" t="s">
        <v>2589</v>
      </c>
      <c r="M4294" t="s">
        <v>61</v>
      </c>
      <c r="N4294" t="s">
        <v>2626</v>
      </c>
      <c r="O4294" t="s">
        <v>125</v>
      </c>
      <c r="P4294" t="s">
        <v>48</v>
      </c>
      <c r="Q4294" t="s">
        <v>141</v>
      </c>
      <c r="R4294">
        <v>2</v>
      </c>
      <c r="S4294">
        <v>1999</v>
      </c>
      <c r="T4294">
        <v>0.2</v>
      </c>
      <c r="U4294">
        <v>3198.4</v>
      </c>
      <c r="V4294">
        <v>2300</v>
      </c>
      <c r="W4294">
        <v>898.4</v>
      </c>
      <c r="X4294" t="s">
        <v>74</v>
      </c>
      <c r="Y4294" t="s">
        <v>68</v>
      </c>
      <c r="Z4294" t="s">
        <v>159</v>
      </c>
      <c r="AA4294" t="s">
        <v>170</v>
      </c>
      <c r="AB4294">
        <v>5</v>
      </c>
      <c r="AC4294">
        <v>80</v>
      </c>
      <c r="AD4294">
        <v>157.4</v>
      </c>
      <c r="AE4294">
        <f t="shared" si="134"/>
        <v>661</v>
      </c>
      <c r="AF4294" t="str">
        <f t="shared" si="135"/>
        <v>2026-07</v>
      </c>
      <c r="AG4294">
        <f>SUBTOTAL(103,A4294)</f>
        <v>1</v>
      </c>
    </row>
    <row r="4295" spans="1:33" x14ac:dyDescent="0.3">
      <c r="A4295" t="s">
        <v>6918</v>
      </c>
      <c r="B4295" s="13">
        <v>46206</v>
      </c>
      <c r="C4295">
        <v>2026</v>
      </c>
      <c r="D4295">
        <v>7</v>
      </c>
      <c r="E4295" t="s">
        <v>4046</v>
      </c>
      <c r="F4295" t="s">
        <v>4047</v>
      </c>
      <c r="G4295" t="s">
        <v>2333</v>
      </c>
      <c r="H4295" t="s">
        <v>2334</v>
      </c>
      <c r="I4295" t="s">
        <v>86</v>
      </c>
      <c r="J4295">
        <v>26</v>
      </c>
      <c r="K4295" t="s">
        <v>81</v>
      </c>
      <c r="L4295" t="s">
        <v>94</v>
      </c>
      <c r="M4295" t="s">
        <v>57</v>
      </c>
      <c r="N4295" t="s">
        <v>2665</v>
      </c>
      <c r="O4295" t="s">
        <v>128</v>
      </c>
      <c r="P4295" t="s">
        <v>53</v>
      </c>
      <c r="Q4295" t="s">
        <v>143</v>
      </c>
      <c r="R4295">
        <v>1</v>
      </c>
      <c r="S4295">
        <v>1499</v>
      </c>
      <c r="T4295">
        <v>0</v>
      </c>
      <c r="U4295">
        <v>1499</v>
      </c>
      <c r="V4295">
        <v>800</v>
      </c>
      <c r="W4295">
        <v>699</v>
      </c>
      <c r="X4295" t="s">
        <v>77</v>
      </c>
      <c r="Y4295" t="s">
        <v>68</v>
      </c>
      <c r="Z4295" t="s">
        <v>163</v>
      </c>
      <c r="AA4295" t="s">
        <v>171</v>
      </c>
      <c r="AB4295">
        <v>4.4000000000000004</v>
      </c>
      <c r="AC4295">
        <v>80</v>
      </c>
      <c r="AD4295">
        <v>117.39</v>
      </c>
      <c r="AE4295">
        <f t="shared" si="134"/>
        <v>501.61</v>
      </c>
      <c r="AF4295" t="str">
        <f t="shared" si="135"/>
        <v>2026-07</v>
      </c>
      <c r="AG4295">
        <f>SUBTOTAL(103,A4295)</f>
        <v>1</v>
      </c>
    </row>
    <row r="4296" spans="1:33" x14ac:dyDescent="0.3">
      <c r="A4296" t="s">
        <v>6919</v>
      </c>
      <c r="B4296" s="13">
        <v>46206</v>
      </c>
      <c r="C4296">
        <v>2026</v>
      </c>
      <c r="D4296">
        <v>7</v>
      </c>
      <c r="E4296" t="s">
        <v>4046</v>
      </c>
      <c r="F4296" t="s">
        <v>4047</v>
      </c>
      <c r="G4296" t="s">
        <v>1367</v>
      </c>
      <c r="H4296" t="s">
        <v>1368</v>
      </c>
      <c r="I4296" t="s">
        <v>86</v>
      </c>
      <c r="J4296">
        <v>33</v>
      </c>
      <c r="K4296" t="s">
        <v>81</v>
      </c>
      <c r="L4296" t="s">
        <v>2690</v>
      </c>
      <c r="M4296" t="s">
        <v>63</v>
      </c>
      <c r="N4296" t="s">
        <v>2603</v>
      </c>
      <c r="O4296" t="s">
        <v>122</v>
      </c>
      <c r="P4296" t="s">
        <v>48</v>
      </c>
      <c r="Q4296" t="s">
        <v>141</v>
      </c>
      <c r="R4296">
        <v>1</v>
      </c>
      <c r="S4296">
        <v>2499</v>
      </c>
      <c r="T4296">
        <v>0.05</v>
      </c>
      <c r="U4296">
        <v>2374.0500000000002</v>
      </c>
      <c r="V4296">
        <v>1450</v>
      </c>
      <c r="W4296">
        <v>924.05</v>
      </c>
      <c r="X4296" t="s">
        <v>76</v>
      </c>
      <c r="Y4296" t="s">
        <v>68</v>
      </c>
      <c r="Z4296" t="s">
        <v>159</v>
      </c>
      <c r="AA4296" t="s">
        <v>170</v>
      </c>
      <c r="AB4296">
        <v>3</v>
      </c>
      <c r="AC4296">
        <v>50</v>
      </c>
      <c r="AD4296">
        <v>139.44</v>
      </c>
      <c r="AE4296">
        <f t="shared" si="134"/>
        <v>734.6099999999999</v>
      </c>
      <c r="AF4296" t="str">
        <f t="shared" si="135"/>
        <v>2026-07</v>
      </c>
      <c r="AG4296">
        <f>SUBTOTAL(103,A4296)</f>
        <v>1</v>
      </c>
    </row>
    <row r="4297" spans="1:33" x14ac:dyDescent="0.3">
      <c r="A4297" t="s">
        <v>6920</v>
      </c>
      <c r="B4297" s="13">
        <v>46207</v>
      </c>
      <c r="C4297">
        <v>2026</v>
      </c>
      <c r="D4297">
        <v>7</v>
      </c>
      <c r="E4297" t="s">
        <v>4046</v>
      </c>
      <c r="F4297" t="s">
        <v>4047</v>
      </c>
      <c r="G4297" t="s">
        <v>1529</v>
      </c>
      <c r="H4297" t="s">
        <v>1530</v>
      </c>
      <c r="I4297" t="s">
        <v>85</v>
      </c>
      <c r="J4297">
        <v>55</v>
      </c>
      <c r="K4297" t="s">
        <v>83</v>
      </c>
      <c r="L4297" t="s">
        <v>2586</v>
      </c>
      <c r="M4297" t="s">
        <v>62</v>
      </c>
      <c r="N4297" t="s">
        <v>2592</v>
      </c>
      <c r="O4297" t="s">
        <v>115</v>
      </c>
      <c r="P4297" t="s">
        <v>48</v>
      </c>
      <c r="Q4297" t="s">
        <v>137</v>
      </c>
      <c r="R4297">
        <v>1</v>
      </c>
      <c r="S4297">
        <v>12999</v>
      </c>
      <c r="T4297">
        <v>0.05</v>
      </c>
      <c r="U4297">
        <v>12349.05</v>
      </c>
      <c r="V4297">
        <v>9000</v>
      </c>
      <c r="W4297">
        <v>3349.05</v>
      </c>
      <c r="X4297" t="s">
        <v>74</v>
      </c>
      <c r="Y4297" t="s">
        <v>68</v>
      </c>
      <c r="Z4297" t="s">
        <v>159</v>
      </c>
      <c r="AA4297" t="s">
        <v>166</v>
      </c>
      <c r="AB4297">
        <v>4.7</v>
      </c>
      <c r="AC4297">
        <v>60</v>
      </c>
      <c r="AD4297">
        <v>574.33000000000004</v>
      </c>
      <c r="AE4297">
        <f t="shared" si="134"/>
        <v>2714.7200000000003</v>
      </c>
      <c r="AF4297" t="str">
        <f t="shared" si="135"/>
        <v>2026-07</v>
      </c>
      <c r="AG4297">
        <f>SUBTOTAL(103,A4297)</f>
        <v>1</v>
      </c>
    </row>
    <row r="4298" spans="1:33" x14ac:dyDescent="0.3">
      <c r="A4298" t="s">
        <v>6921</v>
      </c>
      <c r="B4298" s="13">
        <v>46207</v>
      </c>
      <c r="C4298">
        <v>2026</v>
      </c>
      <c r="D4298">
        <v>7</v>
      </c>
      <c r="E4298" t="s">
        <v>4046</v>
      </c>
      <c r="F4298" t="s">
        <v>4047</v>
      </c>
      <c r="G4298" t="s">
        <v>249</v>
      </c>
      <c r="H4298" t="s">
        <v>250</v>
      </c>
      <c r="I4298" t="s">
        <v>86</v>
      </c>
      <c r="J4298">
        <v>41</v>
      </c>
      <c r="K4298" t="s">
        <v>82</v>
      </c>
      <c r="L4298" t="s">
        <v>2674</v>
      </c>
      <c r="M4298" t="s">
        <v>58</v>
      </c>
      <c r="N4298" t="s">
        <v>2644</v>
      </c>
      <c r="O4298" t="s">
        <v>126</v>
      </c>
      <c r="P4298" t="s">
        <v>50</v>
      </c>
      <c r="Q4298" t="s">
        <v>145</v>
      </c>
      <c r="R4298">
        <v>3</v>
      </c>
      <c r="S4298">
        <v>1799</v>
      </c>
      <c r="T4298">
        <v>0.1</v>
      </c>
      <c r="U4298">
        <v>4857.3</v>
      </c>
      <c r="V4298">
        <v>2850</v>
      </c>
      <c r="W4298">
        <v>2007.3</v>
      </c>
      <c r="X4298" t="s">
        <v>73</v>
      </c>
      <c r="Y4298" t="s">
        <v>68</v>
      </c>
      <c r="Z4298" t="s">
        <v>160</v>
      </c>
      <c r="AA4298" t="s">
        <v>171</v>
      </c>
      <c r="AB4298">
        <v>4.5</v>
      </c>
      <c r="AC4298">
        <v>80</v>
      </c>
      <c r="AD4298">
        <v>274.74</v>
      </c>
      <c r="AE4298">
        <f t="shared" si="134"/>
        <v>1652.56</v>
      </c>
      <c r="AF4298" t="str">
        <f t="shared" si="135"/>
        <v>2026-07</v>
      </c>
      <c r="AG4298">
        <f>SUBTOTAL(103,A4298)</f>
        <v>1</v>
      </c>
    </row>
    <row r="4299" spans="1:33" x14ac:dyDescent="0.3">
      <c r="A4299" t="s">
        <v>6922</v>
      </c>
      <c r="B4299" s="13">
        <v>46207</v>
      </c>
      <c r="C4299">
        <v>2026</v>
      </c>
      <c r="D4299">
        <v>7</v>
      </c>
      <c r="E4299" t="s">
        <v>4046</v>
      </c>
      <c r="F4299" t="s">
        <v>4047</v>
      </c>
      <c r="G4299" t="s">
        <v>877</v>
      </c>
      <c r="H4299" t="s">
        <v>878</v>
      </c>
      <c r="I4299" t="s">
        <v>85</v>
      </c>
      <c r="J4299">
        <v>21</v>
      </c>
      <c r="K4299" t="s">
        <v>80</v>
      </c>
      <c r="L4299" t="s">
        <v>59</v>
      </c>
      <c r="M4299" t="s">
        <v>59</v>
      </c>
      <c r="N4299" t="s">
        <v>2647</v>
      </c>
      <c r="O4299" t="s">
        <v>133</v>
      </c>
      <c r="P4299" t="s">
        <v>50</v>
      </c>
      <c r="Q4299" t="s">
        <v>145</v>
      </c>
      <c r="R4299">
        <v>4</v>
      </c>
      <c r="S4299">
        <v>799</v>
      </c>
      <c r="T4299">
        <v>0.05</v>
      </c>
      <c r="U4299">
        <v>3036.2</v>
      </c>
      <c r="V4299">
        <v>1560</v>
      </c>
      <c r="W4299">
        <v>1476.2</v>
      </c>
      <c r="X4299" t="s">
        <v>77</v>
      </c>
      <c r="Y4299" t="s">
        <v>68</v>
      </c>
      <c r="Z4299" t="s">
        <v>159</v>
      </c>
      <c r="AA4299" t="s">
        <v>166</v>
      </c>
      <c r="AB4299">
        <v>3.9</v>
      </c>
      <c r="AC4299">
        <v>60</v>
      </c>
      <c r="AD4299">
        <v>140.31</v>
      </c>
      <c r="AE4299">
        <f t="shared" si="134"/>
        <v>1275.8900000000001</v>
      </c>
      <c r="AF4299" t="str">
        <f t="shared" si="135"/>
        <v>2026-07</v>
      </c>
      <c r="AG4299">
        <f>SUBTOTAL(103,A4299)</f>
        <v>1</v>
      </c>
    </row>
    <row r="4300" spans="1:33" x14ac:dyDescent="0.3">
      <c r="A4300" t="s">
        <v>6923</v>
      </c>
      <c r="B4300" s="13">
        <v>46207</v>
      </c>
      <c r="C4300">
        <v>2026</v>
      </c>
      <c r="D4300">
        <v>7</v>
      </c>
      <c r="E4300" t="s">
        <v>4046</v>
      </c>
      <c r="F4300" t="s">
        <v>4047</v>
      </c>
      <c r="G4300" t="s">
        <v>807</v>
      </c>
      <c r="H4300" t="s">
        <v>808</v>
      </c>
      <c r="I4300" t="s">
        <v>85</v>
      </c>
      <c r="J4300">
        <v>21</v>
      </c>
      <c r="K4300" t="s">
        <v>80</v>
      </c>
      <c r="L4300" t="s">
        <v>90</v>
      </c>
      <c r="M4300" t="s">
        <v>55</v>
      </c>
      <c r="N4300" t="s">
        <v>2665</v>
      </c>
      <c r="O4300" t="s">
        <v>128</v>
      </c>
      <c r="P4300" t="s">
        <v>53</v>
      </c>
      <c r="Q4300" t="s">
        <v>143</v>
      </c>
      <c r="R4300">
        <v>2</v>
      </c>
      <c r="S4300">
        <v>1499</v>
      </c>
      <c r="T4300">
        <v>0</v>
      </c>
      <c r="U4300">
        <v>2998</v>
      </c>
      <c r="V4300">
        <v>1600</v>
      </c>
      <c r="W4300">
        <v>1398</v>
      </c>
      <c r="X4300" t="s">
        <v>73</v>
      </c>
      <c r="Y4300" t="s">
        <v>68</v>
      </c>
      <c r="Z4300" t="s">
        <v>160</v>
      </c>
      <c r="AA4300" t="s">
        <v>168</v>
      </c>
      <c r="AB4300">
        <v>3.9</v>
      </c>
      <c r="AC4300">
        <v>50</v>
      </c>
      <c r="AD4300">
        <v>310.43</v>
      </c>
      <c r="AE4300">
        <f t="shared" si="134"/>
        <v>1037.57</v>
      </c>
      <c r="AF4300" t="str">
        <f t="shared" si="135"/>
        <v>2026-07</v>
      </c>
      <c r="AG4300">
        <f>SUBTOTAL(103,A4300)</f>
        <v>1</v>
      </c>
    </row>
    <row r="4301" spans="1:33" x14ac:dyDescent="0.3">
      <c r="A4301" t="s">
        <v>6924</v>
      </c>
      <c r="B4301" s="13">
        <v>46207</v>
      </c>
      <c r="C4301">
        <v>2026</v>
      </c>
      <c r="D4301">
        <v>7</v>
      </c>
      <c r="E4301" t="s">
        <v>4046</v>
      </c>
      <c r="F4301" t="s">
        <v>4047</v>
      </c>
      <c r="G4301" t="s">
        <v>1627</v>
      </c>
      <c r="H4301" t="s">
        <v>1628</v>
      </c>
      <c r="I4301" t="s">
        <v>86</v>
      </c>
      <c r="J4301">
        <v>22</v>
      </c>
      <c r="K4301" t="s">
        <v>80</v>
      </c>
      <c r="L4301" t="s">
        <v>2661</v>
      </c>
      <c r="M4301" t="s">
        <v>58</v>
      </c>
      <c r="N4301" t="s">
        <v>2596</v>
      </c>
      <c r="O4301" t="s">
        <v>124</v>
      </c>
      <c r="P4301" t="s">
        <v>51</v>
      </c>
      <c r="Q4301" t="s">
        <v>147</v>
      </c>
      <c r="R4301">
        <v>1</v>
      </c>
      <c r="S4301">
        <v>2299</v>
      </c>
      <c r="T4301">
        <v>0</v>
      </c>
      <c r="U4301">
        <v>2299</v>
      </c>
      <c r="V4301">
        <v>1200</v>
      </c>
      <c r="W4301">
        <v>1099</v>
      </c>
      <c r="X4301" t="s">
        <v>76</v>
      </c>
      <c r="Y4301" t="s">
        <v>68</v>
      </c>
      <c r="Z4301" t="s">
        <v>162</v>
      </c>
      <c r="AA4301" t="s">
        <v>168</v>
      </c>
      <c r="AB4301">
        <v>4.5</v>
      </c>
      <c r="AC4301">
        <v>40</v>
      </c>
      <c r="AD4301">
        <v>150.63999999999999</v>
      </c>
      <c r="AE4301">
        <f t="shared" si="134"/>
        <v>908.36</v>
      </c>
      <c r="AF4301" t="str">
        <f t="shared" si="135"/>
        <v>2026-07</v>
      </c>
      <c r="AG4301">
        <f>SUBTOTAL(103,A4301)</f>
        <v>1</v>
      </c>
    </row>
    <row r="4302" spans="1:33" x14ac:dyDescent="0.3">
      <c r="A4302" t="s">
        <v>6925</v>
      </c>
      <c r="B4302" s="13">
        <v>46207</v>
      </c>
      <c r="C4302">
        <v>2026</v>
      </c>
      <c r="D4302">
        <v>7</v>
      </c>
      <c r="E4302" t="s">
        <v>4046</v>
      </c>
      <c r="F4302" t="s">
        <v>4047</v>
      </c>
      <c r="G4302" t="s">
        <v>319</v>
      </c>
      <c r="H4302" t="s">
        <v>320</v>
      </c>
      <c r="I4302" t="s">
        <v>85</v>
      </c>
      <c r="J4302">
        <v>31</v>
      </c>
      <c r="K4302" t="s">
        <v>81</v>
      </c>
      <c r="L4302" t="s">
        <v>96</v>
      </c>
      <c r="M4302" t="s">
        <v>55</v>
      </c>
      <c r="N4302" t="s">
        <v>2647</v>
      </c>
      <c r="O4302" t="s">
        <v>133</v>
      </c>
      <c r="P4302" t="s">
        <v>50</v>
      </c>
      <c r="Q4302" t="s">
        <v>145</v>
      </c>
      <c r="R4302">
        <v>1</v>
      </c>
      <c r="S4302">
        <v>799</v>
      </c>
      <c r="T4302">
        <v>0</v>
      </c>
      <c r="U4302">
        <v>799</v>
      </c>
      <c r="V4302">
        <v>390</v>
      </c>
      <c r="W4302">
        <v>409</v>
      </c>
      <c r="X4302" t="s">
        <v>74</v>
      </c>
      <c r="Y4302" t="s">
        <v>68</v>
      </c>
      <c r="Z4302" t="s">
        <v>161</v>
      </c>
      <c r="AA4302" t="s">
        <v>166</v>
      </c>
      <c r="AB4302">
        <v>4.2</v>
      </c>
      <c r="AC4302">
        <v>120</v>
      </c>
      <c r="AD4302">
        <v>51.41</v>
      </c>
      <c r="AE4302">
        <f t="shared" si="134"/>
        <v>237.59</v>
      </c>
      <c r="AF4302" t="str">
        <f t="shared" si="135"/>
        <v>2026-07</v>
      </c>
      <c r="AG4302">
        <f>SUBTOTAL(103,A4302)</f>
        <v>1</v>
      </c>
    </row>
    <row r="4303" spans="1:33" x14ac:dyDescent="0.3">
      <c r="A4303" t="s">
        <v>6926</v>
      </c>
      <c r="B4303" s="13">
        <v>46207</v>
      </c>
      <c r="C4303">
        <v>2026</v>
      </c>
      <c r="D4303">
        <v>7</v>
      </c>
      <c r="E4303" t="s">
        <v>4046</v>
      </c>
      <c r="F4303" t="s">
        <v>4047</v>
      </c>
      <c r="G4303" t="s">
        <v>1487</v>
      </c>
      <c r="H4303" t="s">
        <v>1488</v>
      </c>
      <c r="I4303" t="s">
        <v>86</v>
      </c>
      <c r="J4303">
        <v>24</v>
      </c>
      <c r="K4303" t="s">
        <v>80</v>
      </c>
      <c r="L4303" t="s">
        <v>93</v>
      </c>
      <c r="M4303" t="s">
        <v>55</v>
      </c>
      <c r="N4303" t="s">
        <v>2582</v>
      </c>
      <c r="O4303" t="s">
        <v>119</v>
      </c>
      <c r="P4303" t="s">
        <v>49</v>
      </c>
      <c r="Q4303" t="s">
        <v>140</v>
      </c>
      <c r="R4303">
        <v>1</v>
      </c>
      <c r="S4303">
        <v>3499</v>
      </c>
      <c r="T4303">
        <v>0.15</v>
      </c>
      <c r="U4303">
        <v>0</v>
      </c>
      <c r="V4303">
        <v>0</v>
      </c>
      <c r="W4303">
        <v>0</v>
      </c>
      <c r="X4303" t="s">
        <v>74</v>
      </c>
      <c r="Y4303" t="s">
        <v>71</v>
      </c>
      <c r="Z4303" t="s">
        <v>158</v>
      </c>
      <c r="AA4303" t="s">
        <v>168</v>
      </c>
      <c r="AB4303">
        <v>4.2</v>
      </c>
      <c r="AC4303">
        <v>80</v>
      </c>
      <c r="AD4303">
        <v>261.81</v>
      </c>
      <c r="AE4303">
        <f t="shared" si="134"/>
        <v>-341.81</v>
      </c>
      <c r="AF4303" t="str">
        <f t="shared" si="135"/>
        <v>2026-07</v>
      </c>
      <c r="AG4303">
        <f>SUBTOTAL(103,A4303)</f>
        <v>1</v>
      </c>
    </row>
    <row r="4304" spans="1:33" x14ac:dyDescent="0.3">
      <c r="A4304" t="s">
        <v>6927</v>
      </c>
      <c r="B4304" s="13">
        <v>46207</v>
      </c>
      <c r="C4304">
        <v>2026</v>
      </c>
      <c r="D4304">
        <v>7</v>
      </c>
      <c r="E4304" t="s">
        <v>4046</v>
      </c>
      <c r="F4304" t="s">
        <v>4047</v>
      </c>
      <c r="G4304" t="s">
        <v>2277</v>
      </c>
      <c r="H4304" t="s">
        <v>2278</v>
      </c>
      <c r="I4304" t="s">
        <v>86</v>
      </c>
      <c r="J4304">
        <v>47</v>
      </c>
      <c r="K4304" t="s">
        <v>83</v>
      </c>
      <c r="L4304" t="s">
        <v>94</v>
      </c>
      <c r="M4304" t="s">
        <v>57</v>
      </c>
      <c r="N4304" t="s">
        <v>2626</v>
      </c>
      <c r="O4304" t="s">
        <v>125</v>
      </c>
      <c r="P4304" t="s">
        <v>48</v>
      </c>
      <c r="Q4304" t="s">
        <v>141</v>
      </c>
      <c r="R4304">
        <v>2</v>
      </c>
      <c r="S4304">
        <v>1999</v>
      </c>
      <c r="T4304">
        <v>0.15</v>
      </c>
      <c r="U4304">
        <v>3398.3</v>
      </c>
      <c r="V4304">
        <v>2300</v>
      </c>
      <c r="W4304">
        <v>1098.3</v>
      </c>
      <c r="X4304" t="s">
        <v>73</v>
      </c>
      <c r="Y4304" t="s">
        <v>69</v>
      </c>
      <c r="Z4304" t="s">
        <v>160</v>
      </c>
      <c r="AA4304" t="s">
        <v>169</v>
      </c>
      <c r="AB4304">
        <v>3.1</v>
      </c>
      <c r="AC4304">
        <v>50</v>
      </c>
      <c r="AD4304">
        <v>283.35000000000002</v>
      </c>
      <c r="AE4304">
        <f t="shared" si="134"/>
        <v>764.94999999999993</v>
      </c>
      <c r="AF4304" t="str">
        <f t="shared" si="135"/>
        <v>2026-07</v>
      </c>
      <c r="AG4304">
        <f>SUBTOTAL(103,A4304)</f>
        <v>1</v>
      </c>
    </row>
    <row r="4305" spans="1:33" x14ac:dyDescent="0.3">
      <c r="A4305" t="s">
        <v>6928</v>
      </c>
      <c r="B4305" s="13">
        <v>46207</v>
      </c>
      <c r="C4305">
        <v>2026</v>
      </c>
      <c r="D4305">
        <v>7</v>
      </c>
      <c r="E4305" t="s">
        <v>4046</v>
      </c>
      <c r="F4305" t="s">
        <v>4047</v>
      </c>
      <c r="G4305" t="s">
        <v>309</v>
      </c>
      <c r="H4305" t="s">
        <v>310</v>
      </c>
      <c r="I4305" t="s">
        <v>86</v>
      </c>
      <c r="J4305">
        <v>22</v>
      </c>
      <c r="K4305" t="s">
        <v>80</v>
      </c>
      <c r="L4305" t="s">
        <v>2573</v>
      </c>
      <c r="M4305" t="s">
        <v>63</v>
      </c>
      <c r="N4305" t="s">
        <v>2577</v>
      </c>
      <c r="O4305" t="s">
        <v>129</v>
      </c>
      <c r="P4305" t="s">
        <v>49</v>
      </c>
      <c r="Q4305" t="s">
        <v>149</v>
      </c>
      <c r="R4305">
        <v>2</v>
      </c>
      <c r="S4305">
        <v>1299</v>
      </c>
      <c r="T4305">
        <v>0</v>
      </c>
      <c r="U4305">
        <v>2598</v>
      </c>
      <c r="V4305">
        <v>1300</v>
      </c>
      <c r="W4305">
        <v>1298</v>
      </c>
      <c r="X4305" t="s">
        <v>77</v>
      </c>
      <c r="Y4305" t="s">
        <v>68</v>
      </c>
      <c r="Z4305" t="s">
        <v>160</v>
      </c>
      <c r="AA4305" t="s">
        <v>171</v>
      </c>
      <c r="AB4305">
        <v>3.1</v>
      </c>
      <c r="AC4305">
        <v>60</v>
      </c>
      <c r="AD4305">
        <v>156.09</v>
      </c>
      <c r="AE4305">
        <f t="shared" si="134"/>
        <v>1081.9100000000001</v>
      </c>
      <c r="AF4305" t="str">
        <f t="shared" si="135"/>
        <v>2026-07</v>
      </c>
      <c r="AG4305">
        <f>SUBTOTAL(103,A4305)</f>
        <v>1</v>
      </c>
    </row>
    <row r="4306" spans="1:33" x14ac:dyDescent="0.3">
      <c r="A4306" t="s">
        <v>6929</v>
      </c>
      <c r="B4306" s="13">
        <v>46207</v>
      </c>
      <c r="C4306">
        <v>2026</v>
      </c>
      <c r="D4306">
        <v>7</v>
      </c>
      <c r="E4306" t="s">
        <v>4046</v>
      </c>
      <c r="F4306" t="s">
        <v>4047</v>
      </c>
      <c r="G4306" t="s">
        <v>1497</v>
      </c>
      <c r="H4306" t="s">
        <v>1498</v>
      </c>
      <c r="I4306" t="s">
        <v>85</v>
      </c>
      <c r="J4306">
        <v>57</v>
      </c>
      <c r="K4306" t="s">
        <v>83</v>
      </c>
      <c r="L4306" t="s">
        <v>95</v>
      </c>
      <c r="M4306" t="s">
        <v>56</v>
      </c>
      <c r="N4306" t="s">
        <v>2630</v>
      </c>
      <c r="O4306" t="s">
        <v>123</v>
      </c>
      <c r="P4306" t="s">
        <v>52</v>
      </c>
      <c r="Q4306" t="s">
        <v>146</v>
      </c>
      <c r="R4306">
        <v>4</v>
      </c>
      <c r="S4306">
        <v>2499</v>
      </c>
      <c r="T4306">
        <v>0.2</v>
      </c>
      <c r="U4306">
        <v>7996.8</v>
      </c>
      <c r="V4306">
        <v>5600</v>
      </c>
      <c r="W4306">
        <v>2396.8000000000002</v>
      </c>
      <c r="X4306" t="s">
        <v>73</v>
      </c>
      <c r="Y4306" t="s">
        <v>68</v>
      </c>
      <c r="Z4306" t="s">
        <v>161</v>
      </c>
      <c r="AA4306" t="s">
        <v>169</v>
      </c>
      <c r="AB4306">
        <v>4</v>
      </c>
      <c r="AC4306">
        <v>50</v>
      </c>
      <c r="AD4306">
        <v>942.74</v>
      </c>
      <c r="AE4306">
        <f t="shared" si="134"/>
        <v>1404.0600000000002</v>
      </c>
      <c r="AF4306" t="str">
        <f t="shared" si="135"/>
        <v>2026-07</v>
      </c>
      <c r="AG4306">
        <f>SUBTOTAL(103,A4306)</f>
        <v>1</v>
      </c>
    </row>
    <row r="4307" spans="1:33" x14ac:dyDescent="0.3">
      <c r="A4307" t="s">
        <v>6930</v>
      </c>
      <c r="B4307" s="13">
        <v>46207</v>
      </c>
      <c r="C4307">
        <v>2026</v>
      </c>
      <c r="D4307">
        <v>7</v>
      </c>
      <c r="E4307" t="s">
        <v>4046</v>
      </c>
      <c r="F4307" t="s">
        <v>4047</v>
      </c>
      <c r="G4307" t="s">
        <v>1645</v>
      </c>
      <c r="H4307" t="s">
        <v>1646</v>
      </c>
      <c r="I4307" t="s">
        <v>86</v>
      </c>
      <c r="J4307">
        <v>56</v>
      </c>
      <c r="K4307" t="s">
        <v>83</v>
      </c>
      <c r="L4307" t="s">
        <v>94</v>
      </c>
      <c r="M4307" t="s">
        <v>57</v>
      </c>
      <c r="N4307" t="s">
        <v>2601</v>
      </c>
      <c r="O4307" t="s">
        <v>117</v>
      </c>
      <c r="P4307" t="s">
        <v>49</v>
      </c>
      <c r="Q4307" t="s">
        <v>139</v>
      </c>
      <c r="R4307">
        <v>1</v>
      </c>
      <c r="S4307">
        <v>6999</v>
      </c>
      <c r="T4307">
        <v>0.2</v>
      </c>
      <c r="U4307">
        <v>5599.2</v>
      </c>
      <c r="V4307">
        <v>4300</v>
      </c>
      <c r="W4307">
        <v>1299.2</v>
      </c>
      <c r="X4307" t="s">
        <v>74</v>
      </c>
      <c r="Y4307" t="s">
        <v>68</v>
      </c>
      <c r="Z4307" t="s">
        <v>158</v>
      </c>
      <c r="AA4307" t="s">
        <v>169</v>
      </c>
      <c r="AB4307">
        <v>4.0999999999999996</v>
      </c>
      <c r="AC4307">
        <v>60</v>
      </c>
      <c r="AD4307">
        <v>255.44</v>
      </c>
      <c r="AE4307">
        <f t="shared" si="134"/>
        <v>983.76</v>
      </c>
      <c r="AF4307" t="str">
        <f t="shared" si="135"/>
        <v>2026-07</v>
      </c>
      <c r="AG4307">
        <f>SUBTOTAL(103,A4307)</f>
        <v>1</v>
      </c>
    </row>
    <row r="4308" spans="1:33" x14ac:dyDescent="0.3">
      <c r="A4308" t="s">
        <v>6931</v>
      </c>
      <c r="B4308" s="13">
        <v>46208</v>
      </c>
      <c r="C4308">
        <v>2026</v>
      </c>
      <c r="D4308">
        <v>7</v>
      </c>
      <c r="E4308" t="s">
        <v>4046</v>
      </c>
      <c r="F4308" t="s">
        <v>4047</v>
      </c>
      <c r="G4308" t="s">
        <v>2135</v>
      </c>
      <c r="H4308" t="s">
        <v>2136</v>
      </c>
      <c r="I4308" t="s">
        <v>86</v>
      </c>
      <c r="J4308">
        <v>20</v>
      </c>
      <c r="K4308" t="s">
        <v>80</v>
      </c>
      <c r="L4308" t="s">
        <v>95</v>
      </c>
      <c r="M4308" t="s">
        <v>56</v>
      </c>
      <c r="N4308" t="s">
        <v>2580</v>
      </c>
      <c r="O4308" t="s">
        <v>118</v>
      </c>
      <c r="P4308" t="s">
        <v>48</v>
      </c>
      <c r="Q4308" t="s">
        <v>142</v>
      </c>
      <c r="R4308">
        <v>1</v>
      </c>
      <c r="S4308">
        <v>3999</v>
      </c>
      <c r="T4308">
        <v>0</v>
      </c>
      <c r="U4308">
        <v>3999</v>
      </c>
      <c r="V4308">
        <v>2400</v>
      </c>
      <c r="W4308">
        <v>1599</v>
      </c>
      <c r="X4308" t="s">
        <v>77</v>
      </c>
      <c r="Y4308" t="s">
        <v>68</v>
      </c>
      <c r="Z4308" t="s">
        <v>159</v>
      </c>
      <c r="AA4308" t="s">
        <v>169</v>
      </c>
      <c r="AB4308">
        <v>5</v>
      </c>
      <c r="AC4308">
        <v>40</v>
      </c>
      <c r="AD4308">
        <v>170.27</v>
      </c>
      <c r="AE4308">
        <f t="shared" si="134"/>
        <v>1388.73</v>
      </c>
      <c r="AF4308" t="str">
        <f t="shared" si="135"/>
        <v>2026-07</v>
      </c>
      <c r="AG4308">
        <f>SUBTOTAL(103,A4308)</f>
        <v>1</v>
      </c>
    </row>
    <row r="4309" spans="1:33" x14ac:dyDescent="0.3">
      <c r="A4309" t="s">
        <v>6932</v>
      </c>
      <c r="B4309" s="13">
        <v>46208</v>
      </c>
      <c r="C4309">
        <v>2026</v>
      </c>
      <c r="D4309">
        <v>7</v>
      </c>
      <c r="E4309" t="s">
        <v>4046</v>
      </c>
      <c r="F4309" t="s">
        <v>4047</v>
      </c>
      <c r="G4309" t="s">
        <v>1253</v>
      </c>
      <c r="H4309" t="s">
        <v>1254</v>
      </c>
      <c r="I4309" t="s">
        <v>86</v>
      </c>
      <c r="J4309">
        <v>26</v>
      </c>
      <c r="K4309" t="s">
        <v>81</v>
      </c>
      <c r="L4309" t="s">
        <v>97</v>
      </c>
      <c r="M4309" t="s">
        <v>57</v>
      </c>
      <c r="N4309" t="s">
        <v>2601</v>
      </c>
      <c r="O4309" t="s">
        <v>117</v>
      </c>
      <c r="P4309" t="s">
        <v>49</v>
      </c>
      <c r="Q4309" t="s">
        <v>139</v>
      </c>
      <c r="R4309">
        <v>2</v>
      </c>
      <c r="S4309">
        <v>6999</v>
      </c>
      <c r="T4309">
        <v>0.15</v>
      </c>
      <c r="U4309">
        <v>11898.3</v>
      </c>
      <c r="V4309">
        <v>8600</v>
      </c>
      <c r="W4309">
        <v>3298.3</v>
      </c>
      <c r="X4309" t="s">
        <v>73</v>
      </c>
      <c r="Y4309" t="s">
        <v>68</v>
      </c>
      <c r="Z4309" t="s">
        <v>161</v>
      </c>
      <c r="AA4309" t="s">
        <v>166</v>
      </c>
      <c r="AB4309">
        <v>3.5</v>
      </c>
      <c r="AC4309">
        <v>40</v>
      </c>
      <c r="AD4309">
        <v>483.95</v>
      </c>
      <c r="AE4309">
        <f t="shared" si="134"/>
        <v>2774.3500000000004</v>
      </c>
      <c r="AF4309" t="str">
        <f t="shared" si="135"/>
        <v>2026-07</v>
      </c>
      <c r="AG4309">
        <f>SUBTOTAL(103,A4309)</f>
        <v>1</v>
      </c>
    </row>
    <row r="4310" spans="1:33" x14ac:dyDescent="0.3">
      <c r="A4310" t="s">
        <v>6933</v>
      </c>
      <c r="B4310" s="13">
        <v>46208</v>
      </c>
      <c r="C4310">
        <v>2026</v>
      </c>
      <c r="D4310">
        <v>7</v>
      </c>
      <c r="E4310" t="s">
        <v>4046</v>
      </c>
      <c r="F4310" t="s">
        <v>4047</v>
      </c>
      <c r="G4310" t="s">
        <v>1283</v>
      </c>
      <c r="H4310" t="s">
        <v>1284</v>
      </c>
      <c r="I4310" t="s">
        <v>86</v>
      </c>
      <c r="J4310">
        <v>59</v>
      </c>
      <c r="K4310" t="s">
        <v>83</v>
      </c>
      <c r="L4310" t="s">
        <v>2589</v>
      </c>
      <c r="M4310" t="s">
        <v>61</v>
      </c>
      <c r="N4310" t="s">
        <v>2601</v>
      </c>
      <c r="O4310" t="s">
        <v>117</v>
      </c>
      <c r="P4310" t="s">
        <v>49</v>
      </c>
      <c r="Q4310" t="s">
        <v>139</v>
      </c>
      <c r="R4310">
        <v>3</v>
      </c>
      <c r="S4310">
        <v>6999</v>
      </c>
      <c r="T4310">
        <v>0</v>
      </c>
      <c r="U4310">
        <v>20997</v>
      </c>
      <c r="V4310">
        <v>12900</v>
      </c>
      <c r="W4310">
        <v>8097</v>
      </c>
      <c r="X4310" t="s">
        <v>73</v>
      </c>
      <c r="Y4310" t="s">
        <v>68</v>
      </c>
      <c r="Z4310" t="s">
        <v>161</v>
      </c>
      <c r="AA4310" t="s">
        <v>167</v>
      </c>
      <c r="AB4310">
        <v>4.5999999999999996</v>
      </c>
      <c r="AC4310">
        <v>50</v>
      </c>
      <c r="AD4310">
        <v>456.04</v>
      </c>
      <c r="AE4310">
        <f t="shared" si="134"/>
        <v>7590.96</v>
      </c>
      <c r="AF4310" t="str">
        <f t="shared" si="135"/>
        <v>2026-07</v>
      </c>
      <c r="AG4310">
        <f>SUBTOTAL(103,A4310)</f>
        <v>1</v>
      </c>
    </row>
    <row r="4311" spans="1:33" x14ac:dyDescent="0.3">
      <c r="A4311" t="s">
        <v>6934</v>
      </c>
      <c r="B4311" s="13">
        <v>46208</v>
      </c>
      <c r="C4311">
        <v>2026</v>
      </c>
      <c r="D4311">
        <v>7</v>
      </c>
      <c r="E4311" t="s">
        <v>4046</v>
      </c>
      <c r="F4311" t="s">
        <v>4047</v>
      </c>
      <c r="G4311" t="s">
        <v>629</v>
      </c>
      <c r="H4311" t="s">
        <v>630</v>
      </c>
      <c r="I4311" t="s">
        <v>86</v>
      </c>
      <c r="J4311">
        <v>60</v>
      </c>
      <c r="K4311" t="s">
        <v>83</v>
      </c>
      <c r="L4311" t="s">
        <v>97</v>
      </c>
      <c r="M4311" t="s">
        <v>57</v>
      </c>
      <c r="N4311" t="s">
        <v>2592</v>
      </c>
      <c r="O4311" t="s">
        <v>115</v>
      </c>
      <c r="P4311" t="s">
        <v>48</v>
      </c>
      <c r="Q4311" t="s">
        <v>137</v>
      </c>
      <c r="R4311">
        <v>2</v>
      </c>
      <c r="S4311">
        <v>12999</v>
      </c>
      <c r="T4311">
        <v>0</v>
      </c>
      <c r="U4311">
        <v>25998</v>
      </c>
      <c r="V4311">
        <v>18000</v>
      </c>
      <c r="W4311">
        <v>7998</v>
      </c>
      <c r="X4311" t="s">
        <v>73</v>
      </c>
      <c r="Y4311" t="s">
        <v>68</v>
      </c>
      <c r="Z4311" t="s">
        <v>159</v>
      </c>
      <c r="AA4311" t="s">
        <v>170</v>
      </c>
      <c r="AB4311">
        <v>4.2</v>
      </c>
      <c r="AC4311">
        <v>60</v>
      </c>
      <c r="AD4311">
        <v>1113.31</v>
      </c>
      <c r="AE4311">
        <f t="shared" si="134"/>
        <v>6824.6900000000005</v>
      </c>
      <c r="AF4311" t="str">
        <f t="shared" si="135"/>
        <v>2026-07</v>
      </c>
      <c r="AG4311">
        <f>SUBTOTAL(103,A4311)</f>
        <v>1</v>
      </c>
    </row>
    <row r="4312" spans="1:33" x14ac:dyDescent="0.3">
      <c r="A4312" t="s">
        <v>6935</v>
      </c>
      <c r="B4312" s="13">
        <v>46208</v>
      </c>
      <c r="C4312">
        <v>2026</v>
      </c>
      <c r="D4312">
        <v>7</v>
      </c>
      <c r="E4312" t="s">
        <v>4046</v>
      </c>
      <c r="F4312" t="s">
        <v>4047</v>
      </c>
      <c r="G4312" t="s">
        <v>1683</v>
      </c>
      <c r="H4312" t="s">
        <v>1684</v>
      </c>
      <c r="I4312" t="s">
        <v>86</v>
      </c>
      <c r="J4312">
        <v>45</v>
      </c>
      <c r="K4312" t="s">
        <v>82</v>
      </c>
      <c r="L4312" t="s">
        <v>94</v>
      </c>
      <c r="M4312" t="s">
        <v>57</v>
      </c>
      <c r="N4312" t="s">
        <v>2653</v>
      </c>
      <c r="O4312" t="s">
        <v>132</v>
      </c>
      <c r="P4312" t="s">
        <v>52</v>
      </c>
      <c r="Q4312" t="s">
        <v>150</v>
      </c>
      <c r="R4312">
        <v>4</v>
      </c>
      <c r="S4312">
        <v>899</v>
      </c>
      <c r="T4312">
        <v>0</v>
      </c>
      <c r="U4312">
        <v>3596</v>
      </c>
      <c r="V4312">
        <v>1680</v>
      </c>
      <c r="W4312">
        <v>1916</v>
      </c>
      <c r="X4312" t="s">
        <v>74</v>
      </c>
      <c r="Y4312" t="s">
        <v>68</v>
      </c>
      <c r="Z4312" t="s">
        <v>158</v>
      </c>
      <c r="AA4312" t="s">
        <v>167</v>
      </c>
      <c r="AB4312">
        <v>4.3</v>
      </c>
      <c r="AC4312">
        <v>100</v>
      </c>
      <c r="AD4312">
        <v>295.93</v>
      </c>
      <c r="AE4312">
        <f t="shared" si="134"/>
        <v>1520.07</v>
      </c>
      <c r="AF4312" t="str">
        <f t="shared" si="135"/>
        <v>2026-07</v>
      </c>
      <c r="AG4312">
        <f>SUBTOTAL(103,A4312)</f>
        <v>1</v>
      </c>
    </row>
    <row r="4313" spans="1:33" x14ac:dyDescent="0.3">
      <c r="A4313" t="s">
        <v>6936</v>
      </c>
      <c r="B4313" s="13">
        <v>46208</v>
      </c>
      <c r="C4313">
        <v>2026</v>
      </c>
      <c r="D4313">
        <v>7</v>
      </c>
      <c r="E4313" t="s">
        <v>4046</v>
      </c>
      <c r="F4313" t="s">
        <v>4047</v>
      </c>
      <c r="G4313" t="s">
        <v>413</v>
      </c>
      <c r="H4313" t="s">
        <v>414</v>
      </c>
      <c r="I4313" t="s">
        <v>85</v>
      </c>
      <c r="J4313">
        <v>20</v>
      </c>
      <c r="K4313" t="s">
        <v>80</v>
      </c>
      <c r="L4313" t="s">
        <v>2573</v>
      </c>
      <c r="M4313" t="s">
        <v>63</v>
      </c>
      <c r="N4313" t="s">
        <v>2606</v>
      </c>
      <c r="O4313" t="s">
        <v>120</v>
      </c>
      <c r="P4313" t="s">
        <v>49</v>
      </c>
      <c r="Q4313" t="s">
        <v>140</v>
      </c>
      <c r="R4313">
        <v>2</v>
      </c>
      <c r="S4313">
        <v>2799</v>
      </c>
      <c r="T4313">
        <v>0</v>
      </c>
      <c r="U4313">
        <v>5598</v>
      </c>
      <c r="V4313">
        <v>3300</v>
      </c>
      <c r="W4313">
        <v>2298</v>
      </c>
      <c r="X4313" t="s">
        <v>73</v>
      </c>
      <c r="Y4313" t="s">
        <v>68</v>
      </c>
      <c r="Z4313" t="s">
        <v>159</v>
      </c>
      <c r="AA4313" t="s">
        <v>168</v>
      </c>
      <c r="AB4313">
        <v>3.9</v>
      </c>
      <c r="AC4313">
        <v>50</v>
      </c>
      <c r="AD4313">
        <v>389.68</v>
      </c>
      <c r="AE4313">
        <f t="shared" si="134"/>
        <v>1858.32</v>
      </c>
      <c r="AF4313" t="str">
        <f t="shared" si="135"/>
        <v>2026-07</v>
      </c>
      <c r="AG4313">
        <f>SUBTOTAL(103,A4313)</f>
        <v>1</v>
      </c>
    </row>
    <row r="4314" spans="1:33" x14ac:dyDescent="0.3">
      <c r="A4314" t="s">
        <v>6937</v>
      </c>
      <c r="B4314" s="13">
        <v>46208</v>
      </c>
      <c r="C4314">
        <v>2026</v>
      </c>
      <c r="D4314">
        <v>7</v>
      </c>
      <c r="E4314" t="s">
        <v>4046</v>
      </c>
      <c r="F4314" t="s">
        <v>4047</v>
      </c>
      <c r="G4314" t="s">
        <v>299</v>
      </c>
      <c r="H4314" t="s">
        <v>300</v>
      </c>
      <c r="I4314" t="s">
        <v>85</v>
      </c>
      <c r="J4314">
        <v>21</v>
      </c>
      <c r="K4314" t="s">
        <v>80</v>
      </c>
      <c r="L4314" t="s">
        <v>2687</v>
      </c>
      <c r="M4314" t="s">
        <v>57</v>
      </c>
      <c r="N4314" t="s">
        <v>2587</v>
      </c>
      <c r="O4314" t="s">
        <v>116</v>
      </c>
      <c r="P4314" t="s">
        <v>48</v>
      </c>
      <c r="Q4314" t="s">
        <v>138</v>
      </c>
      <c r="R4314">
        <v>1</v>
      </c>
      <c r="S4314">
        <v>14999</v>
      </c>
      <c r="T4314">
        <v>0.05</v>
      </c>
      <c r="U4314">
        <v>14249.05</v>
      </c>
      <c r="V4314">
        <v>11200</v>
      </c>
      <c r="W4314">
        <v>3049.05</v>
      </c>
      <c r="X4314" t="s">
        <v>74</v>
      </c>
      <c r="Y4314" t="s">
        <v>68</v>
      </c>
      <c r="Z4314" t="s">
        <v>158</v>
      </c>
      <c r="AA4314" t="s">
        <v>166</v>
      </c>
      <c r="AB4314">
        <v>4.7</v>
      </c>
      <c r="AC4314">
        <v>100</v>
      </c>
      <c r="AD4314">
        <v>937.22</v>
      </c>
      <c r="AE4314">
        <f t="shared" si="134"/>
        <v>2011.8300000000002</v>
      </c>
      <c r="AF4314" t="str">
        <f t="shared" si="135"/>
        <v>2026-07</v>
      </c>
      <c r="AG4314">
        <f>SUBTOTAL(103,A4314)</f>
        <v>1</v>
      </c>
    </row>
    <row r="4315" spans="1:33" x14ac:dyDescent="0.3">
      <c r="A4315" t="s">
        <v>6938</v>
      </c>
      <c r="B4315" s="13">
        <v>46208</v>
      </c>
      <c r="C4315">
        <v>2026</v>
      </c>
      <c r="D4315">
        <v>7</v>
      </c>
      <c r="E4315" t="s">
        <v>4046</v>
      </c>
      <c r="F4315" t="s">
        <v>4047</v>
      </c>
      <c r="G4315" t="s">
        <v>1593</v>
      </c>
      <c r="H4315" t="s">
        <v>1594</v>
      </c>
      <c r="I4315" t="s">
        <v>86</v>
      </c>
      <c r="J4315">
        <v>33</v>
      </c>
      <c r="K4315" t="s">
        <v>81</v>
      </c>
      <c r="L4315" t="s">
        <v>2674</v>
      </c>
      <c r="M4315" t="s">
        <v>58</v>
      </c>
      <c r="N4315" t="s">
        <v>2647</v>
      </c>
      <c r="O4315" t="s">
        <v>133</v>
      </c>
      <c r="P4315" t="s">
        <v>50</v>
      </c>
      <c r="Q4315" t="s">
        <v>145</v>
      </c>
      <c r="R4315">
        <v>3</v>
      </c>
      <c r="S4315">
        <v>799</v>
      </c>
      <c r="T4315">
        <v>0.05</v>
      </c>
      <c r="U4315">
        <v>2277.15</v>
      </c>
      <c r="V4315">
        <v>1170</v>
      </c>
      <c r="W4315">
        <v>1107.1500000000001</v>
      </c>
      <c r="X4315" t="s">
        <v>77</v>
      </c>
      <c r="Y4315" t="s">
        <v>68</v>
      </c>
      <c r="Z4315" t="s">
        <v>162</v>
      </c>
      <c r="AA4315" t="s">
        <v>168</v>
      </c>
      <c r="AB4315">
        <v>4.9000000000000004</v>
      </c>
      <c r="AC4315">
        <v>100</v>
      </c>
      <c r="AD4315">
        <v>61.03</v>
      </c>
      <c r="AE4315">
        <f t="shared" si="134"/>
        <v>946.12000000000012</v>
      </c>
      <c r="AF4315" t="str">
        <f t="shared" si="135"/>
        <v>2026-07</v>
      </c>
      <c r="AG4315">
        <f>SUBTOTAL(103,A4315)</f>
        <v>1</v>
      </c>
    </row>
    <row r="4316" spans="1:33" x14ac:dyDescent="0.3">
      <c r="A4316" t="s">
        <v>6939</v>
      </c>
      <c r="B4316" s="13">
        <v>46208</v>
      </c>
      <c r="C4316">
        <v>2026</v>
      </c>
      <c r="D4316">
        <v>7</v>
      </c>
      <c r="E4316" t="s">
        <v>4046</v>
      </c>
      <c r="F4316" t="s">
        <v>4047</v>
      </c>
      <c r="G4316" t="s">
        <v>1925</v>
      </c>
      <c r="H4316" t="s">
        <v>1926</v>
      </c>
      <c r="I4316" t="s">
        <v>85</v>
      </c>
      <c r="J4316">
        <v>57</v>
      </c>
      <c r="K4316" t="s">
        <v>83</v>
      </c>
      <c r="L4316" t="s">
        <v>100</v>
      </c>
      <c r="M4316" t="s">
        <v>56</v>
      </c>
      <c r="N4316" t="s">
        <v>2577</v>
      </c>
      <c r="O4316" t="s">
        <v>129</v>
      </c>
      <c r="P4316" t="s">
        <v>49</v>
      </c>
      <c r="Q4316" t="s">
        <v>149</v>
      </c>
      <c r="R4316">
        <v>5</v>
      </c>
      <c r="S4316">
        <v>1299</v>
      </c>
      <c r="T4316">
        <v>0.15</v>
      </c>
      <c r="U4316">
        <v>5520.75</v>
      </c>
      <c r="V4316">
        <v>3250</v>
      </c>
      <c r="W4316">
        <v>2270.75</v>
      </c>
      <c r="X4316" t="s">
        <v>74</v>
      </c>
      <c r="Y4316" t="s">
        <v>68</v>
      </c>
      <c r="Z4316" t="s">
        <v>161</v>
      </c>
      <c r="AA4316" t="s">
        <v>168</v>
      </c>
      <c r="AB4316">
        <v>3.9</v>
      </c>
      <c r="AC4316">
        <v>80</v>
      </c>
      <c r="AD4316">
        <v>496.66</v>
      </c>
      <c r="AE4316">
        <f t="shared" si="134"/>
        <v>1694.09</v>
      </c>
      <c r="AF4316" t="str">
        <f t="shared" si="135"/>
        <v>2026-07</v>
      </c>
      <c r="AG4316">
        <f>SUBTOTAL(103,A4316)</f>
        <v>1</v>
      </c>
    </row>
    <row r="4317" spans="1:33" x14ac:dyDescent="0.3">
      <c r="A4317" t="s">
        <v>6940</v>
      </c>
      <c r="B4317" s="13">
        <v>46208</v>
      </c>
      <c r="C4317">
        <v>2026</v>
      </c>
      <c r="D4317">
        <v>7</v>
      </c>
      <c r="E4317" t="s">
        <v>4046</v>
      </c>
      <c r="F4317" t="s">
        <v>4047</v>
      </c>
      <c r="G4317" t="s">
        <v>357</v>
      </c>
      <c r="H4317" t="s">
        <v>358</v>
      </c>
      <c r="I4317" t="s">
        <v>85</v>
      </c>
      <c r="J4317">
        <v>34</v>
      </c>
      <c r="K4317" t="s">
        <v>81</v>
      </c>
      <c r="L4317" t="s">
        <v>92</v>
      </c>
      <c r="M4317" t="s">
        <v>59</v>
      </c>
      <c r="N4317" t="s">
        <v>2630</v>
      </c>
      <c r="O4317" t="s">
        <v>123</v>
      </c>
      <c r="P4317" t="s">
        <v>52</v>
      </c>
      <c r="Q4317" t="s">
        <v>146</v>
      </c>
      <c r="R4317">
        <v>1</v>
      </c>
      <c r="S4317">
        <v>2499</v>
      </c>
      <c r="T4317">
        <v>0.15</v>
      </c>
      <c r="U4317">
        <v>2124.15</v>
      </c>
      <c r="V4317">
        <v>1400</v>
      </c>
      <c r="W4317">
        <v>724.15</v>
      </c>
      <c r="X4317" t="s">
        <v>76</v>
      </c>
      <c r="Y4317" t="s">
        <v>68</v>
      </c>
      <c r="Z4317" t="s">
        <v>159</v>
      </c>
      <c r="AA4317" t="s">
        <v>166</v>
      </c>
      <c r="AB4317">
        <v>3.2</v>
      </c>
      <c r="AC4317">
        <v>120</v>
      </c>
      <c r="AD4317">
        <v>176.34</v>
      </c>
      <c r="AE4317">
        <f t="shared" si="134"/>
        <v>427.80999999999995</v>
      </c>
      <c r="AF4317" t="str">
        <f t="shared" si="135"/>
        <v>2026-07</v>
      </c>
      <c r="AG4317">
        <f>SUBTOTAL(103,A4317)</f>
        <v>1</v>
      </c>
    </row>
    <row r="4318" spans="1:33" x14ac:dyDescent="0.3">
      <c r="A4318" t="s">
        <v>6941</v>
      </c>
      <c r="B4318" s="13">
        <v>46208</v>
      </c>
      <c r="C4318">
        <v>2026</v>
      </c>
      <c r="D4318">
        <v>7</v>
      </c>
      <c r="E4318" t="s">
        <v>4046</v>
      </c>
      <c r="F4318" t="s">
        <v>4047</v>
      </c>
      <c r="G4318" t="s">
        <v>1051</v>
      </c>
      <c r="H4318" t="s">
        <v>1052</v>
      </c>
      <c r="I4318" t="s">
        <v>85</v>
      </c>
      <c r="J4318">
        <v>25</v>
      </c>
      <c r="K4318" t="s">
        <v>80</v>
      </c>
      <c r="L4318" t="s">
        <v>2579</v>
      </c>
      <c r="M4318" t="s">
        <v>56</v>
      </c>
      <c r="N4318" t="s">
        <v>2657</v>
      </c>
      <c r="O4318" t="s">
        <v>134</v>
      </c>
      <c r="P4318" t="s">
        <v>49</v>
      </c>
      <c r="Q4318" t="s">
        <v>140</v>
      </c>
      <c r="R4318">
        <v>1</v>
      </c>
      <c r="S4318">
        <v>599</v>
      </c>
      <c r="T4318">
        <v>0.1</v>
      </c>
      <c r="U4318">
        <v>539.1</v>
      </c>
      <c r="V4318">
        <v>250</v>
      </c>
      <c r="W4318">
        <v>289.10000000000002</v>
      </c>
      <c r="X4318" t="s">
        <v>76</v>
      </c>
      <c r="Y4318" t="s">
        <v>68</v>
      </c>
      <c r="Z4318" t="s">
        <v>161</v>
      </c>
      <c r="AA4318" t="s">
        <v>166</v>
      </c>
      <c r="AB4318">
        <v>3.6</v>
      </c>
      <c r="AC4318">
        <v>100</v>
      </c>
      <c r="AD4318">
        <v>20.27</v>
      </c>
      <c r="AE4318">
        <f t="shared" si="134"/>
        <v>168.83</v>
      </c>
      <c r="AF4318" t="str">
        <f t="shared" si="135"/>
        <v>2026-07</v>
      </c>
      <c r="AG4318">
        <f>SUBTOTAL(103,A4318)</f>
        <v>1</v>
      </c>
    </row>
    <row r="4319" spans="1:33" x14ac:dyDescent="0.3">
      <c r="A4319" t="s">
        <v>6942</v>
      </c>
      <c r="B4319" s="13">
        <v>46208</v>
      </c>
      <c r="C4319">
        <v>2026</v>
      </c>
      <c r="D4319">
        <v>7</v>
      </c>
      <c r="E4319" t="s">
        <v>4046</v>
      </c>
      <c r="F4319" t="s">
        <v>4047</v>
      </c>
      <c r="G4319" t="s">
        <v>1615</v>
      </c>
      <c r="H4319" t="s">
        <v>1616</v>
      </c>
      <c r="I4319" t="s">
        <v>86</v>
      </c>
      <c r="J4319">
        <v>47</v>
      </c>
      <c r="K4319" t="s">
        <v>83</v>
      </c>
      <c r="L4319" t="s">
        <v>95</v>
      </c>
      <c r="M4319" t="s">
        <v>56</v>
      </c>
      <c r="N4319" t="s">
        <v>2594</v>
      </c>
      <c r="O4319" t="s">
        <v>131</v>
      </c>
      <c r="P4319" t="s">
        <v>53</v>
      </c>
      <c r="Q4319" t="s">
        <v>143</v>
      </c>
      <c r="R4319">
        <v>2</v>
      </c>
      <c r="S4319">
        <v>999</v>
      </c>
      <c r="T4319">
        <v>0.25</v>
      </c>
      <c r="U4319">
        <v>1498.5</v>
      </c>
      <c r="V4319">
        <v>1040</v>
      </c>
      <c r="W4319">
        <v>458.5</v>
      </c>
      <c r="X4319" t="s">
        <v>73</v>
      </c>
      <c r="Y4319" t="s">
        <v>68</v>
      </c>
      <c r="Z4319" t="s">
        <v>160</v>
      </c>
      <c r="AA4319" t="s">
        <v>170</v>
      </c>
      <c r="AB4319">
        <v>3.6</v>
      </c>
      <c r="AC4319">
        <v>100</v>
      </c>
      <c r="AD4319">
        <v>143.74</v>
      </c>
      <c r="AE4319">
        <f t="shared" si="134"/>
        <v>214.76</v>
      </c>
      <c r="AF4319" t="str">
        <f t="shared" si="135"/>
        <v>2026-07</v>
      </c>
      <c r="AG4319">
        <f>SUBTOTAL(103,A4319)</f>
        <v>1</v>
      </c>
    </row>
    <row r="4320" spans="1:33" x14ac:dyDescent="0.3">
      <c r="A4320" t="s">
        <v>6943</v>
      </c>
      <c r="B4320" s="13">
        <v>46209</v>
      </c>
      <c r="C4320">
        <v>2026</v>
      </c>
      <c r="D4320">
        <v>7</v>
      </c>
      <c r="E4320" t="s">
        <v>4046</v>
      </c>
      <c r="F4320" t="s">
        <v>4047</v>
      </c>
      <c r="G4320" t="s">
        <v>1205</v>
      </c>
      <c r="H4320" t="s">
        <v>1206</v>
      </c>
      <c r="I4320" t="s">
        <v>86</v>
      </c>
      <c r="J4320">
        <v>39</v>
      </c>
      <c r="K4320" t="s">
        <v>82</v>
      </c>
      <c r="L4320" t="s">
        <v>93</v>
      </c>
      <c r="M4320" t="s">
        <v>55</v>
      </c>
      <c r="N4320" t="s">
        <v>2665</v>
      </c>
      <c r="O4320" t="s">
        <v>128</v>
      </c>
      <c r="P4320" t="s">
        <v>53</v>
      </c>
      <c r="Q4320" t="s">
        <v>143</v>
      </c>
      <c r="R4320">
        <v>1</v>
      </c>
      <c r="S4320">
        <v>1499</v>
      </c>
      <c r="T4320">
        <v>0</v>
      </c>
      <c r="U4320">
        <v>1499</v>
      </c>
      <c r="V4320">
        <v>800</v>
      </c>
      <c r="W4320">
        <v>699</v>
      </c>
      <c r="X4320" t="s">
        <v>76</v>
      </c>
      <c r="Y4320" t="s">
        <v>68</v>
      </c>
      <c r="Z4320" t="s">
        <v>158</v>
      </c>
      <c r="AA4320" t="s">
        <v>168</v>
      </c>
      <c r="AB4320">
        <v>5</v>
      </c>
      <c r="AC4320">
        <v>50</v>
      </c>
      <c r="AD4320">
        <v>87.18</v>
      </c>
      <c r="AE4320">
        <f t="shared" si="134"/>
        <v>561.81999999999994</v>
      </c>
      <c r="AF4320" t="str">
        <f t="shared" si="135"/>
        <v>2026-07</v>
      </c>
      <c r="AG4320">
        <f>SUBTOTAL(103,A4320)</f>
        <v>1</v>
      </c>
    </row>
    <row r="4321" spans="1:33" x14ac:dyDescent="0.3">
      <c r="A4321" t="s">
        <v>6944</v>
      </c>
      <c r="B4321" s="13">
        <v>46209</v>
      </c>
      <c r="C4321">
        <v>2026</v>
      </c>
      <c r="D4321">
        <v>7</v>
      </c>
      <c r="E4321" t="s">
        <v>4046</v>
      </c>
      <c r="F4321" t="s">
        <v>4047</v>
      </c>
      <c r="G4321" t="s">
        <v>723</v>
      </c>
      <c r="H4321" t="s">
        <v>724</v>
      </c>
      <c r="I4321" t="s">
        <v>85</v>
      </c>
      <c r="J4321">
        <v>28</v>
      </c>
      <c r="K4321" t="s">
        <v>81</v>
      </c>
      <c r="L4321" t="s">
        <v>2610</v>
      </c>
      <c r="M4321" t="s">
        <v>64</v>
      </c>
      <c r="N4321" t="s">
        <v>2580</v>
      </c>
      <c r="O4321" t="s">
        <v>118</v>
      </c>
      <c r="P4321" t="s">
        <v>48</v>
      </c>
      <c r="Q4321" t="s">
        <v>142</v>
      </c>
      <c r="R4321">
        <v>1</v>
      </c>
      <c r="S4321">
        <v>3999</v>
      </c>
      <c r="T4321">
        <v>0.05</v>
      </c>
      <c r="U4321">
        <v>3799.05</v>
      </c>
      <c r="V4321">
        <v>2400</v>
      </c>
      <c r="W4321">
        <v>1399.05</v>
      </c>
      <c r="X4321" t="s">
        <v>73</v>
      </c>
      <c r="Y4321" t="s">
        <v>68</v>
      </c>
      <c r="Z4321" t="s">
        <v>160</v>
      </c>
      <c r="AA4321" t="s">
        <v>166</v>
      </c>
      <c r="AB4321">
        <v>4.2</v>
      </c>
      <c r="AC4321">
        <v>50</v>
      </c>
      <c r="AD4321">
        <v>442.54</v>
      </c>
      <c r="AE4321">
        <f t="shared" si="134"/>
        <v>906.51</v>
      </c>
      <c r="AF4321" t="str">
        <f t="shared" si="135"/>
        <v>2026-07</v>
      </c>
      <c r="AG4321">
        <f>SUBTOTAL(103,A4321)</f>
        <v>1</v>
      </c>
    </row>
    <row r="4322" spans="1:33" x14ac:dyDescent="0.3">
      <c r="A4322" t="s">
        <v>6945</v>
      </c>
      <c r="B4322" s="13">
        <v>46209</v>
      </c>
      <c r="C4322">
        <v>2026</v>
      </c>
      <c r="D4322">
        <v>7</v>
      </c>
      <c r="E4322" t="s">
        <v>4046</v>
      </c>
      <c r="F4322" t="s">
        <v>4047</v>
      </c>
      <c r="G4322" t="s">
        <v>613</v>
      </c>
      <c r="H4322" t="s">
        <v>614</v>
      </c>
      <c r="I4322" t="s">
        <v>85</v>
      </c>
      <c r="J4322">
        <v>55</v>
      </c>
      <c r="K4322" t="s">
        <v>83</v>
      </c>
      <c r="L4322" t="s">
        <v>93</v>
      </c>
      <c r="M4322" t="s">
        <v>55</v>
      </c>
      <c r="N4322" t="s">
        <v>2574</v>
      </c>
      <c r="O4322" t="s">
        <v>130</v>
      </c>
      <c r="P4322" t="s">
        <v>50</v>
      </c>
      <c r="Q4322" t="s">
        <v>53</v>
      </c>
      <c r="R4322">
        <v>2</v>
      </c>
      <c r="S4322">
        <v>1199</v>
      </c>
      <c r="T4322">
        <v>0.05</v>
      </c>
      <c r="U4322">
        <v>0</v>
      </c>
      <c r="V4322">
        <v>0</v>
      </c>
      <c r="W4322">
        <v>0</v>
      </c>
      <c r="X4322" t="s">
        <v>73</v>
      </c>
      <c r="Y4322" t="s">
        <v>71</v>
      </c>
      <c r="Z4322" t="s">
        <v>160</v>
      </c>
      <c r="AA4322" t="s">
        <v>167</v>
      </c>
      <c r="AB4322">
        <v>4.4000000000000004</v>
      </c>
      <c r="AC4322">
        <v>40</v>
      </c>
      <c r="AD4322">
        <v>118.95</v>
      </c>
      <c r="AE4322">
        <f t="shared" si="134"/>
        <v>-158.94999999999999</v>
      </c>
      <c r="AF4322" t="str">
        <f t="shared" si="135"/>
        <v>2026-07</v>
      </c>
      <c r="AG4322">
        <f>SUBTOTAL(103,A4322)</f>
        <v>1</v>
      </c>
    </row>
    <row r="4323" spans="1:33" x14ac:dyDescent="0.3">
      <c r="A4323" t="s">
        <v>6946</v>
      </c>
      <c r="B4323" s="13">
        <v>46209</v>
      </c>
      <c r="C4323">
        <v>2026</v>
      </c>
      <c r="D4323">
        <v>7</v>
      </c>
      <c r="E4323" t="s">
        <v>4046</v>
      </c>
      <c r="F4323" t="s">
        <v>4047</v>
      </c>
      <c r="G4323" t="s">
        <v>1285</v>
      </c>
      <c r="H4323" t="s">
        <v>1286</v>
      </c>
      <c r="I4323" t="s">
        <v>86</v>
      </c>
      <c r="J4323">
        <v>47</v>
      </c>
      <c r="K4323" t="s">
        <v>83</v>
      </c>
      <c r="L4323" t="s">
        <v>2679</v>
      </c>
      <c r="M4323" t="s">
        <v>60</v>
      </c>
      <c r="N4323" t="s">
        <v>2601</v>
      </c>
      <c r="O4323" t="s">
        <v>117</v>
      </c>
      <c r="P4323" t="s">
        <v>49</v>
      </c>
      <c r="Q4323" t="s">
        <v>139</v>
      </c>
      <c r="R4323">
        <v>3</v>
      </c>
      <c r="S4323">
        <v>6999</v>
      </c>
      <c r="T4323">
        <v>0.15</v>
      </c>
      <c r="U4323">
        <v>17847.45</v>
      </c>
      <c r="V4323">
        <v>12900</v>
      </c>
      <c r="W4323">
        <v>4947.45</v>
      </c>
      <c r="X4323" t="s">
        <v>74</v>
      </c>
      <c r="Y4323" t="s">
        <v>69</v>
      </c>
      <c r="Z4323" t="s">
        <v>161</v>
      </c>
      <c r="AA4323" t="s">
        <v>167</v>
      </c>
      <c r="AB4323">
        <v>4.3</v>
      </c>
      <c r="AC4323">
        <v>80</v>
      </c>
      <c r="AD4323">
        <v>1722.02</v>
      </c>
      <c r="AE4323">
        <f t="shared" si="134"/>
        <v>3145.43</v>
      </c>
      <c r="AF4323" t="str">
        <f t="shared" si="135"/>
        <v>2026-07</v>
      </c>
      <c r="AG4323">
        <f>SUBTOTAL(103,A4323)</f>
        <v>1</v>
      </c>
    </row>
    <row r="4324" spans="1:33" x14ac:dyDescent="0.3">
      <c r="A4324" t="s">
        <v>6947</v>
      </c>
      <c r="B4324" s="13">
        <v>46209</v>
      </c>
      <c r="C4324">
        <v>2026</v>
      </c>
      <c r="D4324">
        <v>7</v>
      </c>
      <c r="E4324" t="s">
        <v>4046</v>
      </c>
      <c r="F4324" t="s">
        <v>4047</v>
      </c>
      <c r="G4324" t="s">
        <v>1411</v>
      </c>
      <c r="H4324" t="s">
        <v>1412</v>
      </c>
      <c r="I4324" t="s">
        <v>86</v>
      </c>
      <c r="J4324">
        <v>60</v>
      </c>
      <c r="K4324" t="s">
        <v>83</v>
      </c>
      <c r="L4324" t="s">
        <v>2576</v>
      </c>
      <c r="M4324" t="s">
        <v>60</v>
      </c>
      <c r="N4324" t="s">
        <v>2584</v>
      </c>
      <c r="O4324" t="s">
        <v>121</v>
      </c>
      <c r="P4324" t="s">
        <v>50</v>
      </c>
      <c r="Q4324" t="s">
        <v>144</v>
      </c>
      <c r="R4324">
        <v>3</v>
      </c>
      <c r="S4324">
        <v>2999</v>
      </c>
      <c r="T4324">
        <v>0.25</v>
      </c>
      <c r="U4324">
        <v>6747.75</v>
      </c>
      <c r="V4324">
        <v>5100</v>
      </c>
      <c r="W4324">
        <v>1647.75</v>
      </c>
      <c r="X4324" t="s">
        <v>74</v>
      </c>
      <c r="Y4324" t="s">
        <v>68</v>
      </c>
      <c r="Z4324" t="s">
        <v>160</v>
      </c>
      <c r="AA4324" t="s">
        <v>166</v>
      </c>
      <c r="AB4324">
        <v>4.3</v>
      </c>
      <c r="AC4324">
        <v>60</v>
      </c>
      <c r="AD4324">
        <v>156.21</v>
      </c>
      <c r="AE4324">
        <f t="shared" si="134"/>
        <v>1431.54</v>
      </c>
      <c r="AF4324" t="str">
        <f t="shared" si="135"/>
        <v>2026-07</v>
      </c>
      <c r="AG4324">
        <f>SUBTOTAL(103,A4324)</f>
        <v>1</v>
      </c>
    </row>
    <row r="4325" spans="1:33" x14ac:dyDescent="0.3">
      <c r="A4325" t="s">
        <v>6948</v>
      </c>
      <c r="B4325" s="13">
        <v>46210</v>
      </c>
      <c r="C4325">
        <v>2026</v>
      </c>
      <c r="D4325">
        <v>7</v>
      </c>
      <c r="E4325" t="s">
        <v>4046</v>
      </c>
      <c r="F4325" t="s">
        <v>4047</v>
      </c>
      <c r="G4325" t="s">
        <v>535</v>
      </c>
      <c r="H4325" t="s">
        <v>536</v>
      </c>
      <c r="I4325" t="s">
        <v>85</v>
      </c>
      <c r="J4325">
        <v>52</v>
      </c>
      <c r="K4325" t="s">
        <v>83</v>
      </c>
      <c r="L4325" t="s">
        <v>2661</v>
      </c>
      <c r="M4325" t="s">
        <v>58</v>
      </c>
      <c r="N4325" t="s">
        <v>2584</v>
      </c>
      <c r="O4325" t="s">
        <v>121</v>
      </c>
      <c r="P4325" t="s">
        <v>50</v>
      </c>
      <c r="Q4325" t="s">
        <v>144</v>
      </c>
      <c r="R4325">
        <v>1</v>
      </c>
      <c r="S4325">
        <v>2999</v>
      </c>
      <c r="T4325">
        <v>0.05</v>
      </c>
      <c r="U4325">
        <v>2849.05</v>
      </c>
      <c r="V4325">
        <v>1700</v>
      </c>
      <c r="W4325">
        <v>1149.05</v>
      </c>
      <c r="X4325" t="s">
        <v>73</v>
      </c>
      <c r="Y4325" t="s">
        <v>68</v>
      </c>
      <c r="Z4325" t="s">
        <v>162</v>
      </c>
      <c r="AA4325" t="s">
        <v>167</v>
      </c>
      <c r="AB4325">
        <v>3.3</v>
      </c>
      <c r="AC4325">
        <v>120</v>
      </c>
      <c r="AD4325">
        <v>190.37</v>
      </c>
      <c r="AE4325">
        <f t="shared" si="134"/>
        <v>838.68</v>
      </c>
      <c r="AF4325" t="str">
        <f t="shared" si="135"/>
        <v>2026-07</v>
      </c>
      <c r="AG4325">
        <f>SUBTOTAL(103,A4325)</f>
        <v>1</v>
      </c>
    </row>
    <row r="4326" spans="1:33" x14ac:dyDescent="0.3">
      <c r="A4326" t="s">
        <v>6949</v>
      </c>
      <c r="B4326" s="13">
        <v>46210</v>
      </c>
      <c r="C4326">
        <v>2026</v>
      </c>
      <c r="D4326">
        <v>7</v>
      </c>
      <c r="E4326" t="s">
        <v>4046</v>
      </c>
      <c r="F4326" t="s">
        <v>4047</v>
      </c>
      <c r="G4326" t="s">
        <v>471</v>
      </c>
      <c r="H4326" t="s">
        <v>472</v>
      </c>
      <c r="I4326" t="s">
        <v>85</v>
      </c>
      <c r="J4326">
        <v>45</v>
      </c>
      <c r="K4326" t="s">
        <v>82</v>
      </c>
      <c r="L4326" t="s">
        <v>2599</v>
      </c>
      <c r="M4326" t="s">
        <v>62</v>
      </c>
      <c r="N4326" t="s">
        <v>2665</v>
      </c>
      <c r="O4326" t="s">
        <v>128</v>
      </c>
      <c r="P4326" t="s">
        <v>53</v>
      </c>
      <c r="Q4326" t="s">
        <v>143</v>
      </c>
      <c r="R4326">
        <v>2</v>
      </c>
      <c r="S4326">
        <v>1499</v>
      </c>
      <c r="T4326">
        <v>0.05</v>
      </c>
      <c r="U4326">
        <v>2848.1</v>
      </c>
      <c r="V4326">
        <v>1600</v>
      </c>
      <c r="W4326">
        <v>1248.0999999999999</v>
      </c>
      <c r="X4326" t="s">
        <v>74</v>
      </c>
      <c r="Y4326" t="s">
        <v>68</v>
      </c>
      <c r="Z4326" t="s">
        <v>158</v>
      </c>
      <c r="AA4326" t="s">
        <v>166</v>
      </c>
      <c r="AB4326">
        <v>3.7</v>
      </c>
      <c r="AC4326">
        <v>80</v>
      </c>
      <c r="AD4326">
        <v>277.76</v>
      </c>
      <c r="AE4326">
        <f t="shared" si="134"/>
        <v>890.33999999999992</v>
      </c>
      <c r="AF4326" t="str">
        <f t="shared" si="135"/>
        <v>2026-07</v>
      </c>
      <c r="AG4326">
        <f>SUBTOTAL(103,A4326)</f>
        <v>1</v>
      </c>
    </row>
    <row r="4327" spans="1:33" x14ac:dyDescent="0.3">
      <c r="A4327" t="s">
        <v>6950</v>
      </c>
      <c r="B4327" s="13">
        <v>46210</v>
      </c>
      <c r="C4327">
        <v>2026</v>
      </c>
      <c r="D4327">
        <v>7</v>
      </c>
      <c r="E4327" t="s">
        <v>4046</v>
      </c>
      <c r="F4327" t="s">
        <v>4047</v>
      </c>
      <c r="G4327" t="s">
        <v>2085</v>
      </c>
      <c r="H4327" t="s">
        <v>2086</v>
      </c>
      <c r="I4327" t="s">
        <v>85</v>
      </c>
      <c r="J4327">
        <v>60</v>
      </c>
      <c r="K4327" t="s">
        <v>83</v>
      </c>
      <c r="L4327" t="s">
        <v>92</v>
      </c>
      <c r="M4327" t="s">
        <v>59</v>
      </c>
      <c r="N4327" t="s">
        <v>2657</v>
      </c>
      <c r="O4327" t="s">
        <v>134</v>
      </c>
      <c r="P4327" t="s">
        <v>49</v>
      </c>
      <c r="Q4327" t="s">
        <v>140</v>
      </c>
      <c r="R4327">
        <v>3</v>
      </c>
      <c r="S4327">
        <v>599</v>
      </c>
      <c r="T4327">
        <v>0.15</v>
      </c>
      <c r="U4327">
        <v>1527.45</v>
      </c>
      <c r="V4327">
        <v>750</v>
      </c>
      <c r="W4327">
        <v>777.45</v>
      </c>
      <c r="X4327" t="s">
        <v>76</v>
      </c>
      <c r="Y4327" t="s">
        <v>68</v>
      </c>
      <c r="Z4327" t="s">
        <v>161</v>
      </c>
      <c r="AA4327" t="s">
        <v>170</v>
      </c>
      <c r="AB4327">
        <v>3.2</v>
      </c>
      <c r="AC4327">
        <v>100</v>
      </c>
      <c r="AD4327">
        <v>91.4</v>
      </c>
      <c r="AE4327">
        <f t="shared" si="134"/>
        <v>586.05000000000007</v>
      </c>
      <c r="AF4327" t="str">
        <f t="shared" si="135"/>
        <v>2026-07</v>
      </c>
      <c r="AG4327">
        <f>SUBTOTAL(103,A4327)</f>
        <v>1</v>
      </c>
    </row>
    <row r="4328" spans="1:33" x14ac:dyDescent="0.3">
      <c r="A4328" t="s">
        <v>6951</v>
      </c>
      <c r="B4328" s="13">
        <v>46210</v>
      </c>
      <c r="C4328">
        <v>2026</v>
      </c>
      <c r="D4328">
        <v>7</v>
      </c>
      <c r="E4328" t="s">
        <v>4046</v>
      </c>
      <c r="F4328" t="s">
        <v>4047</v>
      </c>
      <c r="G4328" t="s">
        <v>1643</v>
      </c>
      <c r="H4328" t="s">
        <v>1644</v>
      </c>
      <c r="I4328" t="s">
        <v>85</v>
      </c>
      <c r="J4328">
        <v>59</v>
      </c>
      <c r="K4328" t="s">
        <v>83</v>
      </c>
      <c r="L4328" t="s">
        <v>2687</v>
      </c>
      <c r="M4328" t="s">
        <v>57</v>
      </c>
      <c r="N4328" t="s">
        <v>2657</v>
      </c>
      <c r="O4328" t="s">
        <v>134</v>
      </c>
      <c r="P4328" t="s">
        <v>49</v>
      </c>
      <c r="Q4328" t="s">
        <v>140</v>
      </c>
      <c r="R4328">
        <v>1</v>
      </c>
      <c r="S4328">
        <v>599</v>
      </c>
      <c r="T4328">
        <v>0.2</v>
      </c>
      <c r="U4328">
        <v>479.2</v>
      </c>
      <c r="V4328">
        <v>250</v>
      </c>
      <c r="W4328">
        <v>229.2</v>
      </c>
      <c r="X4328" t="s">
        <v>75</v>
      </c>
      <c r="Y4328" t="s">
        <v>68</v>
      </c>
      <c r="Z4328" t="s">
        <v>159</v>
      </c>
      <c r="AA4328" t="s">
        <v>168</v>
      </c>
      <c r="AB4328">
        <v>5</v>
      </c>
      <c r="AC4328">
        <v>40</v>
      </c>
      <c r="AD4328">
        <v>43.57</v>
      </c>
      <c r="AE4328">
        <f t="shared" si="134"/>
        <v>145.63</v>
      </c>
      <c r="AF4328" t="str">
        <f t="shared" si="135"/>
        <v>2026-07</v>
      </c>
      <c r="AG4328">
        <f>SUBTOTAL(103,A4328)</f>
        <v>1</v>
      </c>
    </row>
    <row r="4329" spans="1:33" x14ac:dyDescent="0.3">
      <c r="A4329" t="s">
        <v>6952</v>
      </c>
      <c r="B4329" s="13">
        <v>46210</v>
      </c>
      <c r="C4329">
        <v>2026</v>
      </c>
      <c r="D4329">
        <v>7</v>
      </c>
      <c r="E4329" t="s">
        <v>4046</v>
      </c>
      <c r="F4329" t="s">
        <v>4047</v>
      </c>
      <c r="G4329" t="s">
        <v>1751</v>
      </c>
      <c r="H4329" t="s">
        <v>1752</v>
      </c>
      <c r="I4329" t="s">
        <v>86</v>
      </c>
      <c r="J4329">
        <v>29</v>
      </c>
      <c r="K4329" t="s">
        <v>81</v>
      </c>
      <c r="L4329" t="s">
        <v>94</v>
      </c>
      <c r="M4329" t="s">
        <v>57</v>
      </c>
      <c r="N4329" t="s">
        <v>2657</v>
      </c>
      <c r="O4329" t="s">
        <v>134</v>
      </c>
      <c r="P4329" t="s">
        <v>49</v>
      </c>
      <c r="Q4329" t="s">
        <v>140</v>
      </c>
      <c r="R4329">
        <v>1</v>
      </c>
      <c r="S4329">
        <v>599</v>
      </c>
      <c r="T4329">
        <v>0.15</v>
      </c>
      <c r="U4329">
        <v>509.15</v>
      </c>
      <c r="V4329">
        <v>250</v>
      </c>
      <c r="W4329">
        <v>259.14999999999998</v>
      </c>
      <c r="X4329" t="s">
        <v>73</v>
      </c>
      <c r="Y4329" t="s">
        <v>69</v>
      </c>
      <c r="Z4329" t="s">
        <v>162</v>
      </c>
      <c r="AA4329" t="s">
        <v>170</v>
      </c>
      <c r="AB4329">
        <v>3.6</v>
      </c>
      <c r="AC4329">
        <v>50</v>
      </c>
      <c r="AD4329">
        <v>30.26</v>
      </c>
      <c r="AE4329">
        <f t="shared" si="134"/>
        <v>178.89</v>
      </c>
      <c r="AF4329" t="str">
        <f t="shared" si="135"/>
        <v>2026-07</v>
      </c>
      <c r="AG4329">
        <f>SUBTOTAL(103,A4329)</f>
        <v>1</v>
      </c>
    </row>
    <row r="4330" spans="1:33" x14ac:dyDescent="0.3">
      <c r="A4330" t="s">
        <v>6953</v>
      </c>
      <c r="B4330" s="13">
        <v>46210</v>
      </c>
      <c r="C4330">
        <v>2026</v>
      </c>
      <c r="D4330">
        <v>7</v>
      </c>
      <c r="E4330" t="s">
        <v>4046</v>
      </c>
      <c r="F4330" t="s">
        <v>4047</v>
      </c>
      <c r="G4330" t="s">
        <v>649</v>
      </c>
      <c r="H4330" t="s">
        <v>650</v>
      </c>
      <c r="I4330" t="s">
        <v>86</v>
      </c>
      <c r="J4330">
        <v>47</v>
      </c>
      <c r="K4330" t="s">
        <v>83</v>
      </c>
      <c r="L4330" t="s">
        <v>2687</v>
      </c>
      <c r="M4330" t="s">
        <v>57</v>
      </c>
      <c r="N4330" t="s">
        <v>2580</v>
      </c>
      <c r="O4330" t="s">
        <v>118</v>
      </c>
      <c r="P4330" t="s">
        <v>48</v>
      </c>
      <c r="Q4330" t="s">
        <v>142</v>
      </c>
      <c r="R4330">
        <v>3</v>
      </c>
      <c r="S4330">
        <v>3999</v>
      </c>
      <c r="T4330">
        <v>0</v>
      </c>
      <c r="U4330">
        <v>11997</v>
      </c>
      <c r="V4330">
        <v>7200</v>
      </c>
      <c r="W4330">
        <v>4797</v>
      </c>
      <c r="X4330" t="s">
        <v>76</v>
      </c>
      <c r="Y4330" t="s">
        <v>68</v>
      </c>
      <c r="Z4330" t="s">
        <v>160</v>
      </c>
      <c r="AA4330" t="s">
        <v>167</v>
      </c>
      <c r="AB4330">
        <v>3.8</v>
      </c>
      <c r="AC4330">
        <v>80</v>
      </c>
      <c r="AD4330">
        <v>620.64</v>
      </c>
      <c r="AE4330">
        <f t="shared" si="134"/>
        <v>4096.3599999999997</v>
      </c>
      <c r="AF4330" t="str">
        <f t="shared" si="135"/>
        <v>2026-07</v>
      </c>
      <c r="AG4330">
        <f>SUBTOTAL(103,A4330)</f>
        <v>1</v>
      </c>
    </row>
    <row r="4331" spans="1:33" x14ac:dyDescent="0.3">
      <c r="A4331" t="s">
        <v>6954</v>
      </c>
      <c r="B4331" s="13">
        <v>46210</v>
      </c>
      <c r="C4331">
        <v>2026</v>
      </c>
      <c r="D4331">
        <v>7</v>
      </c>
      <c r="E4331" t="s">
        <v>4046</v>
      </c>
      <c r="F4331" t="s">
        <v>4047</v>
      </c>
      <c r="G4331" t="s">
        <v>965</v>
      </c>
      <c r="H4331" t="s">
        <v>966</v>
      </c>
      <c r="I4331" t="s">
        <v>85</v>
      </c>
      <c r="J4331">
        <v>40</v>
      </c>
      <c r="K4331" t="s">
        <v>82</v>
      </c>
      <c r="L4331" t="s">
        <v>93</v>
      </c>
      <c r="M4331" t="s">
        <v>55</v>
      </c>
      <c r="N4331" t="s">
        <v>2594</v>
      </c>
      <c r="O4331" t="s">
        <v>131</v>
      </c>
      <c r="P4331" t="s">
        <v>53</v>
      </c>
      <c r="Q4331" t="s">
        <v>143</v>
      </c>
      <c r="R4331">
        <v>2</v>
      </c>
      <c r="S4331">
        <v>999</v>
      </c>
      <c r="T4331">
        <v>0.2</v>
      </c>
      <c r="U4331">
        <v>1598.4</v>
      </c>
      <c r="V4331">
        <v>1040</v>
      </c>
      <c r="W4331">
        <v>558.4</v>
      </c>
      <c r="X4331" t="s">
        <v>76</v>
      </c>
      <c r="Y4331" t="s">
        <v>68</v>
      </c>
      <c r="Z4331" t="s">
        <v>159</v>
      </c>
      <c r="AA4331" t="s">
        <v>166</v>
      </c>
      <c r="AB4331">
        <v>3.6</v>
      </c>
      <c r="AC4331">
        <v>60</v>
      </c>
      <c r="AD4331">
        <v>84.87</v>
      </c>
      <c r="AE4331">
        <f t="shared" si="134"/>
        <v>413.53</v>
      </c>
      <c r="AF4331" t="str">
        <f t="shared" si="135"/>
        <v>2026-07</v>
      </c>
      <c r="AG4331">
        <f>SUBTOTAL(103,A4331)</f>
        <v>1</v>
      </c>
    </row>
    <row r="4332" spans="1:33" x14ac:dyDescent="0.3">
      <c r="A4332" t="s">
        <v>6955</v>
      </c>
      <c r="B4332" s="13">
        <v>46211</v>
      </c>
      <c r="C4332">
        <v>2026</v>
      </c>
      <c r="D4332">
        <v>7</v>
      </c>
      <c r="E4332" t="s">
        <v>4046</v>
      </c>
      <c r="F4332" t="s">
        <v>4047</v>
      </c>
      <c r="G4332" t="s">
        <v>335</v>
      </c>
      <c r="H4332" t="s">
        <v>336</v>
      </c>
      <c r="I4332" t="s">
        <v>86</v>
      </c>
      <c r="J4332">
        <v>26</v>
      </c>
      <c r="K4332" t="s">
        <v>81</v>
      </c>
      <c r="L4332" t="s">
        <v>2605</v>
      </c>
      <c r="M4332" t="s">
        <v>60</v>
      </c>
      <c r="N4332" t="s">
        <v>2580</v>
      </c>
      <c r="O4332" t="s">
        <v>118</v>
      </c>
      <c r="P4332" t="s">
        <v>48</v>
      </c>
      <c r="Q4332" t="s">
        <v>142</v>
      </c>
      <c r="R4332">
        <v>3</v>
      </c>
      <c r="S4332">
        <v>3999</v>
      </c>
      <c r="T4332">
        <v>0.1</v>
      </c>
      <c r="U4332">
        <v>10797.3</v>
      </c>
      <c r="V4332">
        <v>7200</v>
      </c>
      <c r="W4332">
        <v>3597.3</v>
      </c>
      <c r="X4332" t="s">
        <v>73</v>
      </c>
      <c r="Y4332" t="s">
        <v>68</v>
      </c>
      <c r="Z4332" t="s">
        <v>161</v>
      </c>
      <c r="AA4332" t="s">
        <v>168</v>
      </c>
      <c r="AB4332">
        <v>4.4000000000000004</v>
      </c>
      <c r="AC4332">
        <v>50</v>
      </c>
      <c r="AD4332">
        <v>761.99</v>
      </c>
      <c r="AE4332">
        <f t="shared" si="134"/>
        <v>2785.3100000000004</v>
      </c>
      <c r="AF4332" t="str">
        <f t="shared" si="135"/>
        <v>2026-07</v>
      </c>
      <c r="AG4332">
        <f>SUBTOTAL(103,A4332)</f>
        <v>1</v>
      </c>
    </row>
    <row r="4333" spans="1:33" x14ac:dyDescent="0.3">
      <c r="A4333" t="s">
        <v>6956</v>
      </c>
      <c r="B4333" s="13">
        <v>46211</v>
      </c>
      <c r="C4333">
        <v>2026</v>
      </c>
      <c r="D4333">
        <v>7</v>
      </c>
      <c r="E4333" t="s">
        <v>4046</v>
      </c>
      <c r="F4333" t="s">
        <v>4047</v>
      </c>
      <c r="G4333" t="s">
        <v>2479</v>
      </c>
      <c r="H4333" t="s">
        <v>2480</v>
      </c>
      <c r="I4333" t="s">
        <v>86</v>
      </c>
      <c r="J4333">
        <v>36</v>
      </c>
      <c r="K4333" t="s">
        <v>82</v>
      </c>
      <c r="L4333" t="s">
        <v>2605</v>
      </c>
      <c r="M4333" t="s">
        <v>60</v>
      </c>
      <c r="N4333" t="s">
        <v>2594</v>
      </c>
      <c r="O4333" t="s">
        <v>131</v>
      </c>
      <c r="P4333" t="s">
        <v>53</v>
      </c>
      <c r="Q4333" t="s">
        <v>143</v>
      </c>
      <c r="R4333">
        <v>1</v>
      </c>
      <c r="S4333">
        <v>999</v>
      </c>
      <c r="T4333">
        <v>0.05</v>
      </c>
      <c r="U4333">
        <v>949.05</v>
      </c>
      <c r="V4333">
        <v>520</v>
      </c>
      <c r="W4333">
        <v>429.05</v>
      </c>
      <c r="X4333" t="s">
        <v>74</v>
      </c>
      <c r="Y4333" t="s">
        <v>68</v>
      </c>
      <c r="Z4333" t="s">
        <v>159</v>
      </c>
      <c r="AA4333" t="s">
        <v>167</v>
      </c>
      <c r="AB4333">
        <v>4.9000000000000004</v>
      </c>
      <c r="AC4333">
        <v>40</v>
      </c>
      <c r="AD4333">
        <v>107.59</v>
      </c>
      <c r="AE4333">
        <f t="shared" si="134"/>
        <v>281.46000000000004</v>
      </c>
      <c r="AF4333" t="str">
        <f t="shared" si="135"/>
        <v>2026-07</v>
      </c>
      <c r="AG4333">
        <f>SUBTOTAL(103,A4333)</f>
        <v>1</v>
      </c>
    </row>
    <row r="4334" spans="1:33" x14ac:dyDescent="0.3">
      <c r="A4334" t="s">
        <v>6957</v>
      </c>
      <c r="B4334" s="13">
        <v>46211</v>
      </c>
      <c r="C4334">
        <v>2026</v>
      </c>
      <c r="D4334">
        <v>7</v>
      </c>
      <c r="E4334" t="s">
        <v>4046</v>
      </c>
      <c r="F4334" t="s">
        <v>4047</v>
      </c>
      <c r="G4334" t="s">
        <v>901</v>
      </c>
      <c r="H4334" t="s">
        <v>902</v>
      </c>
      <c r="I4334" t="s">
        <v>86</v>
      </c>
      <c r="J4334">
        <v>44</v>
      </c>
      <c r="K4334" t="s">
        <v>82</v>
      </c>
      <c r="L4334" t="s">
        <v>2687</v>
      </c>
      <c r="M4334" t="s">
        <v>57</v>
      </c>
      <c r="N4334" t="s">
        <v>2603</v>
      </c>
      <c r="O4334" t="s">
        <v>122</v>
      </c>
      <c r="P4334" t="s">
        <v>48</v>
      </c>
      <c r="Q4334" t="s">
        <v>141</v>
      </c>
      <c r="R4334">
        <v>5</v>
      </c>
      <c r="S4334">
        <v>2499</v>
      </c>
      <c r="T4334">
        <v>0.2</v>
      </c>
      <c r="U4334">
        <v>9996</v>
      </c>
      <c r="V4334">
        <v>7250</v>
      </c>
      <c r="W4334">
        <v>2746</v>
      </c>
      <c r="X4334" t="s">
        <v>73</v>
      </c>
      <c r="Y4334" t="s">
        <v>68</v>
      </c>
      <c r="Z4334" t="s">
        <v>163</v>
      </c>
      <c r="AA4334" t="s">
        <v>166</v>
      </c>
      <c r="AB4334">
        <v>4.8</v>
      </c>
      <c r="AC4334">
        <v>60</v>
      </c>
      <c r="AD4334">
        <v>676.09</v>
      </c>
      <c r="AE4334">
        <f t="shared" si="134"/>
        <v>2009.9099999999999</v>
      </c>
      <c r="AF4334" t="str">
        <f t="shared" si="135"/>
        <v>2026-07</v>
      </c>
      <c r="AG4334">
        <f>SUBTOTAL(103,A4334)</f>
        <v>1</v>
      </c>
    </row>
    <row r="4335" spans="1:33" x14ac:dyDescent="0.3">
      <c r="A4335" t="s">
        <v>6958</v>
      </c>
      <c r="B4335" s="13">
        <v>46211</v>
      </c>
      <c r="C4335">
        <v>2026</v>
      </c>
      <c r="D4335">
        <v>7</v>
      </c>
      <c r="E4335" t="s">
        <v>4046</v>
      </c>
      <c r="F4335" t="s">
        <v>4047</v>
      </c>
      <c r="G4335" t="s">
        <v>2147</v>
      </c>
      <c r="H4335" t="s">
        <v>2148</v>
      </c>
      <c r="I4335" t="s">
        <v>86</v>
      </c>
      <c r="J4335">
        <v>59</v>
      </c>
      <c r="K4335" t="s">
        <v>83</v>
      </c>
      <c r="L4335" t="s">
        <v>100</v>
      </c>
      <c r="M4335" t="s">
        <v>56</v>
      </c>
      <c r="N4335" t="s">
        <v>2657</v>
      </c>
      <c r="O4335" t="s">
        <v>134</v>
      </c>
      <c r="P4335" t="s">
        <v>49</v>
      </c>
      <c r="Q4335" t="s">
        <v>140</v>
      </c>
      <c r="R4335">
        <v>1</v>
      </c>
      <c r="S4335">
        <v>599</v>
      </c>
      <c r="T4335">
        <v>0.05</v>
      </c>
      <c r="U4335">
        <v>569.04999999999995</v>
      </c>
      <c r="V4335">
        <v>250</v>
      </c>
      <c r="W4335">
        <v>319.05</v>
      </c>
      <c r="X4335" t="s">
        <v>74</v>
      </c>
      <c r="Y4335" t="s">
        <v>68</v>
      </c>
      <c r="Z4335" t="s">
        <v>160</v>
      </c>
      <c r="AA4335" t="s">
        <v>166</v>
      </c>
      <c r="AB4335">
        <v>4.2</v>
      </c>
      <c r="AC4335">
        <v>80</v>
      </c>
      <c r="AD4335">
        <v>44.79</v>
      </c>
      <c r="AE4335">
        <f t="shared" si="134"/>
        <v>194.26000000000002</v>
      </c>
      <c r="AF4335" t="str">
        <f t="shared" si="135"/>
        <v>2026-07</v>
      </c>
      <c r="AG4335">
        <f>SUBTOTAL(103,A4335)</f>
        <v>1</v>
      </c>
    </row>
    <row r="4336" spans="1:33" x14ac:dyDescent="0.3">
      <c r="A4336" t="s">
        <v>6959</v>
      </c>
      <c r="B4336" s="13">
        <v>46211</v>
      </c>
      <c r="C4336">
        <v>2026</v>
      </c>
      <c r="D4336">
        <v>7</v>
      </c>
      <c r="E4336" t="s">
        <v>4046</v>
      </c>
      <c r="F4336" t="s">
        <v>4047</v>
      </c>
      <c r="G4336" t="s">
        <v>1337</v>
      </c>
      <c r="H4336" t="s">
        <v>1338</v>
      </c>
      <c r="I4336" t="s">
        <v>86</v>
      </c>
      <c r="J4336">
        <v>44</v>
      </c>
      <c r="K4336" t="s">
        <v>82</v>
      </c>
      <c r="L4336" t="s">
        <v>91</v>
      </c>
      <c r="M4336" t="s">
        <v>55</v>
      </c>
      <c r="N4336" t="s">
        <v>2582</v>
      </c>
      <c r="O4336" t="s">
        <v>119</v>
      </c>
      <c r="P4336" t="s">
        <v>49</v>
      </c>
      <c r="Q4336" t="s">
        <v>140</v>
      </c>
      <c r="R4336">
        <v>4</v>
      </c>
      <c r="S4336">
        <v>3499</v>
      </c>
      <c r="T4336">
        <v>0.1</v>
      </c>
      <c r="U4336">
        <v>12596.4</v>
      </c>
      <c r="V4336">
        <v>8400</v>
      </c>
      <c r="W4336">
        <v>4196.3999999999996</v>
      </c>
      <c r="X4336" t="s">
        <v>74</v>
      </c>
      <c r="Y4336" t="s">
        <v>68</v>
      </c>
      <c r="Z4336" t="s">
        <v>162</v>
      </c>
      <c r="AA4336" t="s">
        <v>168</v>
      </c>
      <c r="AB4336">
        <v>2.6</v>
      </c>
      <c r="AC4336">
        <v>60</v>
      </c>
      <c r="AD4336">
        <v>891.47</v>
      </c>
      <c r="AE4336">
        <f t="shared" si="134"/>
        <v>3244.9299999999994</v>
      </c>
      <c r="AF4336" t="str">
        <f t="shared" si="135"/>
        <v>2026-07</v>
      </c>
      <c r="AG4336">
        <f>SUBTOTAL(103,A4336)</f>
        <v>1</v>
      </c>
    </row>
    <row r="4337" spans="1:33" x14ac:dyDescent="0.3">
      <c r="A4337" t="s">
        <v>6960</v>
      </c>
      <c r="B4337" s="13">
        <v>46211</v>
      </c>
      <c r="C4337">
        <v>2026</v>
      </c>
      <c r="D4337">
        <v>7</v>
      </c>
      <c r="E4337" t="s">
        <v>4046</v>
      </c>
      <c r="F4337" t="s">
        <v>4047</v>
      </c>
      <c r="G4337" t="s">
        <v>957</v>
      </c>
      <c r="H4337" t="s">
        <v>958</v>
      </c>
      <c r="I4337" t="s">
        <v>86</v>
      </c>
      <c r="J4337">
        <v>60</v>
      </c>
      <c r="K4337" t="s">
        <v>83</v>
      </c>
      <c r="L4337" t="s">
        <v>2687</v>
      </c>
      <c r="M4337" t="s">
        <v>57</v>
      </c>
      <c r="N4337" t="s">
        <v>2582</v>
      </c>
      <c r="O4337" t="s">
        <v>119</v>
      </c>
      <c r="P4337" t="s">
        <v>49</v>
      </c>
      <c r="Q4337" t="s">
        <v>140</v>
      </c>
      <c r="R4337">
        <v>1</v>
      </c>
      <c r="S4337">
        <v>3499</v>
      </c>
      <c r="T4337">
        <v>0.05</v>
      </c>
      <c r="U4337">
        <v>3324.05</v>
      </c>
      <c r="V4337">
        <v>2100</v>
      </c>
      <c r="W4337">
        <v>1224.05</v>
      </c>
      <c r="X4337" t="s">
        <v>73</v>
      </c>
      <c r="Y4337" t="s">
        <v>68</v>
      </c>
      <c r="Z4337" t="s">
        <v>161</v>
      </c>
      <c r="AA4337" t="s">
        <v>166</v>
      </c>
      <c r="AB4337">
        <v>4.3</v>
      </c>
      <c r="AC4337">
        <v>50</v>
      </c>
      <c r="AD4337">
        <v>120.22</v>
      </c>
      <c r="AE4337">
        <f t="shared" si="134"/>
        <v>1053.83</v>
      </c>
      <c r="AF4337" t="str">
        <f t="shared" si="135"/>
        <v>2026-07</v>
      </c>
      <c r="AG4337">
        <f>SUBTOTAL(103,A4337)</f>
        <v>1</v>
      </c>
    </row>
    <row r="4338" spans="1:33" x14ac:dyDescent="0.3">
      <c r="A4338" t="s">
        <v>6961</v>
      </c>
      <c r="B4338" s="13">
        <v>46211</v>
      </c>
      <c r="C4338">
        <v>2026</v>
      </c>
      <c r="D4338">
        <v>7</v>
      </c>
      <c r="E4338" t="s">
        <v>4046</v>
      </c>
      <c r="F4338" t="s">
        <v>4047</v>
      </c>
      <c r="G4338" t="s">
        <v>1347</v>
      </c>
      <c r="H4338" t="s">
        <v>1348</v>
      </c>
      <c r="I4338" t="s">
        <v>85</v>
      </c>
      <c r="J4338">
        <v>39</v>
      </c>
      <c r="K4338" t="s">
        <v>82</v>
      </c>
      <c r="L4338" t="s">
        <v>2616</v>
      </c>
      <c r="M4338" t="s">
        <v>62</v>
      </c>
      <c r="N4338" t="s">
        <v>2644</v>
      </c>
      <c r="O4338" t="s">
        <v>126</v>
      </c>
      <c r="P4338" t="s">
        <v>50</v>
      </c>
      <c r="Q4338" t="s">
        <v>145</v>
      </c>
      <c r="R4338">
        <v>1</v>
      </c>
      <c r="S4338">
        <v>1799</v>
      </c>
      <c r="T4338">
        <v>0.05</v>
      </c>
      <c r="U4338">
        <v>1709.05</v>
      </c>
      <c r="V4338">
        <v>950</v>
      </c>
      <c r="W4338">
        <v>759.05</v>
      </c>
      <c r="X4338" t="s">
        <v>76</v>
      </c>
      <c r="Y4338" t="s">
        <v>68</v>
      </c>
      <c r="Z4338" t="s">
        <v>158</v>
      </c>
      <c r="AA4338" t="s">
        <v>166</v>
      </c>
      <c r="AB4338">
        <v>4.3</v>
      </c>
      <c r="AC4338">
        <v>120</v>
      </c>
      <c r="AD4338">
        <v>121.3</v>
      </c>
      <c r="AE4338">
        <f t="shared" si="134"/>
        <v>517.75</v>
      </c>
      <c r="AF4338" t="str">
        <f t="shared" si="135"/>
        <v>2026-07</v>
      </c>
      <c r="AG4338">
        <f>SUBTOTAL(103,A4338)</f>
        <v>1</v>
      </c>
    </row>
    <row r="4339" spans="1:33" x14ac:dyDescent="0.3">
      <c r="A4339" t="s">
        <v>6962</v>
      </c>
      <c r="B4339" s="13">
        <v>46211</v>
      </c>
      <c r="C4339">
        <v>2026</v>
      </c>
      <c r="D4339">
        <v>7</v>
      </c>
      <c r="E4339" t="s">
        <v>4046</v>
      </c>
      <c r="F4339" t="s">
        <v>4047</v>
      </c>
      <c r="G4339" t="s">
        <v>571</v>
      </c>
      <c r="H4339" t="s">
        <v>572</v>
      </c>
      <c r="I4339" t="s">
        <v>85</v>
      </c>
      <c r="J4339">
        <v>60</v>
      </c>
      <c r="K4339" t="s">
        <v>83</v>
      </c>
      <c r="L4339" t="s">
        <v>95</v>
      </c>
      <c r="M4339" t="s">
        <v>56</v>
      </c>
      <c r="N4339" t="s">
        <v>2580</v>
      </c>
      <c r="O4339" t="s">
        <v>118</v>
      </c>
      <c r="P4339" t="s">
        <v>48</v>
      </c>
      <c r="Q4339" t="s">
        <v>142</v>
      </c>
      <c r="R4339">
        <v>4</v>
      </c>
      <c r="S4339">
        <v>3999</v>
      </c>
      <c r="T4339">
        <v>0.1</v>
      </c>
      <c r="U4339">
        <v>14396.4</v>
      </c>
      <c r="V4339">
        <v>9600</v>
      </c>
      <c r="W4339">
        <v>4796.3999999999996</v>
      </c>
      <c r="X4339" t="s">
        <v>75</v>
      </c>
      <c r="Y4339" t="s">
        <v>68</v>
      </c>
      <c r="Z4339" t="s">
        <v>161</v>
      </c>
      <c r="AA4339" t="s">
        <v>168</v>
      </c>
      <c r="AB4339">
        <v>4</v>
      </c>
      <c r="AC4339">
        <v>100</v>
      </c>
      <c r="AD4339">
        <v>379.24</v>
      </c>
      <c r="AE4339">
        <f t="shared" si="134"/>
        <v>4317.16</v>
      </c>
      <c r="AF4339" t="str">
        <f t="shared" si="135"/>
        <v>2026-07</v>
      </c>
      <c r="AG4339">
        <f>SUBTOTAL(103,A4339)</f>
        <v>1</v>
      </c>
    </row>
    <row r="4340" spans="1:33" x14ac:dyDescent="0.3">
      <c r="A4340" t="s">
        <v>6963</v>
      </c>
      <c r="B4340" s="13">
        <v>46211</v>
      </c>
      <c r="C4340">
        <v>2026</v>
      </c>
      <c r="D4340">
        <v>7</v>
      </c>
      <c r="E4340" t="s">
        <v>4046</v>
      </c>
      <c r="F4340" t="s">
        <v>4047</v>
      </c>
      <c r="G4340" t="s">
        <v>569</v>
      </c>
      <c r="H4340" t="s">
        <v>570</v>
      </c>
      <c r="I4340" t="s">
        <v>85</v>
      </c>
      <c r="J4340">
        <v>29</v>
      </c>
      <c r="K4340" t="s">
        <v>81</v>
      </c>
      <c r="L4340" t="s">
        <v>2616</v>
      </c>
      <c r="M4340" t="s">
        <v>62</v>
      </c>
      <c r="N4340" t="s">
        <v>2594</v>
      </c>
      <c r="O4340" t="s">
        <v>131</v>
      </c>
      <c r="P4340" t="s">
        <v>53</v>
      </c>
      <c r="Q4340" t="s">
        <v>143</v>
      </c>
      <c r="R4340">
        <v>2</v>
      </c>
      <c r="S4340">
        <v>999</v>
      </c>
      <c r="T4340">
        <v>0</v>
      </c>
      <c r="U4340">
        <v>1998</v>
      </c>
      <c r="V4340">
        <v>1040</v>
      </c>
      <c r="W4340">
        <v>958</v>
      </c>
      <c r="X4340" t="s">
        <v>77</v>
      </c>
      <c r="Y4340" t="s">
        <v>68</v>
      </c>
      <c r="Z4340" t="s">
        <v>161</v>
      </c>
      <c r="AA4340" t="s">
        <v>170</v>
      </c>
      <c r="AB4340">
        <v>4</v>
      </c>
      <c r="AC4340">
        <v>100</v>
      </c>
      <c r="AD4340">
        <v>211.68</v>
      </c>
      <c r="AE4340">
        <f t="shared" si="134"/>
        <v>646.31999999999994</v>
      </c>
      <c r="AF4340" t="str">
        <f t="shared" si="135"/>
        <v>2026-07</v>
      </c>
      <c r="AG4340">
        <f>SUBTOTAL(103,A4340)</f>
        <v>1</v>
      </c>
    </row>
    <row r="4341" spans="1:33" x14ac:dyDescent="0.3">
      <c r="A4341" t="s">
        <v>6964</v>
      </c>
      <c r="B4341" s="13">
        <v>46212</v>
      </c>
      <c r="C4341">
        <v>2026</v>
      </c>
      <c r="D4341">
        <v>7</v>
      </c>
      <c r="E4341" t="s">
        <v>4046</v>
      </c>
      <c r="F4341" t="s">
        <v>4047</v>
      </c>
      <c r="G4341" t="s">
        <v>1147</v>
      </c>
      <c r="H4341" t="s">
        <v>1148</v>
      </c>
      <c r="I4341" t="s">
        <v>85</v>
      </c>
      <c r="J4341">
        <v>55</v>
      </c>
      <c r="K4341" t="s">
        <v>83</v>
      </c>
      <c r="L4341" t="s">
        <v>97</v>
      </c>
      <c r="M4341" t="s">
        <v>57</v>
      </c>
      <c r="N4341" t="s">
        <v>2594</v>
      </c>
      <c r="O4341" t="s">
        <v>131</v>
      </c>
      <c r="P4341" t="s">
        <v>53</v>
      </c>
      <c r="Q4341" t="s">
        <v>143</v>
      </c>
      <c r="R4341">
        <v>2</v>
      </c>
      <c r="S4341">
        <v>999</v>
      </c>
      <c r="T4341">
        <v>0.1</v>
      </c>
      <c r="U4341">
        <v>1798.2</v>
      </c>
      <c r="V4341">
        <v>1040</v>
      </c>
      <c r="W4341">
        <v>758.2</v>
      </c>
      <c r="X4341" t="s">
        <v>74</v>
      </c>
      <c r="Y4341" t="s">
        <v>68</v>
      </c>
      <c r="Z4341" t="s">
        <v>161</v>
      </c>
      <c r="AA4341" t="s">
        <v>171</v>
      </c>
      <c r="AB4341">
        <v>4.8</v>
      </c>
      <c r="AC4341">
        <v>40</v>
      </c>
      <c r="AD4341">
        <v>158.05000000000001</v>
      </c>
      <c r="AE4341">
        <f t="shared" si="134"/>
        <v>560.15000000000009</v>
      </c>
      <c r="AF4341" t="str">
        <f t="shared" si="135"/>
        <v>2026-07</v>
      </c>
      <c r="AG4341">
        <f>SUBTOTAL(103,A4341)</f>
        <v>1</v>
      </c>
    </row>
    <row r="4342" spans="1:33" x14ac:dyDescent="0.3">
      <c r="A4342" t="s">
        <v>6965</v>
      </c>
      <c r="B4342" s="13">
        <v>46212</v>
      </c>
      <c r="C4342">
        <v>2026</v>
      </c>
      <c r="D4342">
        <v>7</v>
      </c>
      <c r="E4342" t="s">
        <v>4046</v>
      </c>
      <c r="F4342" t="s">
        <v>4047</v>
      </c>
      <c r="G4342" t="s">
        <v>387</v>
      </c>
      <c r="H4342" t="s">
        <v>388</v>
      </c>
      <c r="I4342" t="s">
        <v>86</v>
      </c>
      <c r="J4342">
        <v>30</v>
      </c>
      <c r="K4342" t="s">
        <v>81</v>
      </c>
      <c r="L4342" t="s">
        <v>2579</v>
      </c>
      <c r="M4342" t="s">
        <v>56</v>
      </c>
      <c r="N4342" t="s">
        <v>2594</v>
      </c>
      <c r="O4342" t="s">
        <v>131</v>
      </c>
      <c r="P4342" t="s">
        <v>53</v>
      </c>
      <c r="Q4342" t="s">
        <v>143</v>
      </c>
      <c r="R4342">
        <v>4</v>
      </c>
      <c r="S4342">
        <v>999</v>
      </c>
      <c r="T4342">
        <v>0.1</v>
      </c>
      <c r="U4342">
        <v>3596.4</v>
      </c>
      <c r="V4342">
        <v>2080</v>
      </c>
      <c r="W4342">
        <v>1516.4</v>
      </c>
      <c r="X4342" t="s">
        <v>74</v>
      </c>
      <c r="Y4342" t="s">
        <v>68</v>
      </c>
      <c r="Z4342" t="s">
        <v>160</v>
      </c>
      <c r="AA4342" t="s">
        <v>167</v>
      </c>
      <c r="AB4342">
        <v>3.7</v>
      </c>
      <c r="AC4342">
        <v>120</v>
      </c>
      <c r="AD4342">
        <v>413.66</v>
      </c>
      <c r="AE4342">
        <f t="shared" si="134"/>
        <v>982.74</v>
      </c>
      <c r="AF4342" t="str">
        <f t="shared" si="135"/>
        <v>2026-07</v>
      </c>
      <c r="AG4342">
        <f>SUBTOTAL(103,A4342)</f>
        <v>1</v>
      </c>
    </row>
    <row r="4343" spans="1:33" x14ac:dyDescent="0.3">
      <c r="A4343" t="s">
        <v>6966</v>
      </c>
      <c r="B4343" s="13">
        <v>46212</v>
      </c>
      <c r="C4343">
        <v>2026</v>
      </c>
      <c r="D4343">
        <v>7</v>
      </c>
      <c r="E4343" t="s">
        <v>4046</v>
      </c>
      <c r="F4343" t="s">
        <v>4047</v>
      </c>
      <c r="G4343" t="s">
        <v>2061</v>
      </c>
      <c r="H4343" t="s">
        <v>2062</v>
      </c>
      <c r="I4343" t="s">
        <v>85</v>
      </c>
      <c r="J4343">
        <v>18</v>
      </c>
      <c r="K4343" t="s">
        <v>80</v>
      </c>
      <c r="L4343" t="s">
        <v>98</v>
      </c>
      <c r="M4343" t="s">
        <v>55</v>
      </c>
      <c r="N4343" t="s">
        <v>2657</v>
      </c>
      <c r="O4343" t="s">
        <v>134</v>
      </c>
      <c r="P4343" t="s">
        <v>49</v>
      </c>
      <c r="Q4343" t="s">
        <v>140</v>
      </c>
      <c r="R4343">
        <v>2</v>
      </c>
      <c r="S4343">
        <v>599</v>
      </c>
      <c r="T4343">
        <v>0</v>
      </c>
      <c r="U4343">
        <v>1198</v>
      </c>
      <c r="V4343">
        <v>500</v>
      </c>
      <c r="W4343">
        <v>698</v>
      </c>
      <c r="X4343" t="s">
        <v>75</v>
      </c>
      <c r="Y4343" t="s">
        <v>68</v>
      </c>
      <c r="Z4343" t="s">
        <v>160</v>
      </c>
      <c r="AA4343" t="s">
        <v>169</v>
      </c>
      <c r="AB4343">
        <v>4.8</v>
      </c>
      <c r="AC4343">
        <v>100</v>
      </c>
      <c r="AD4343">
        <v>66.709999999999994</v>
      </c>
      <c r="AE4343">
        <f t="shared" si="134"/>
        <v>531.29</v>
      </c>
      <c r="AF4343" t="str">
        <f t="shared" si="135"/>
        <v>2026-07</v>
      </c>
      <c r="AG4343">
        <f>SUBTOTAL(103,A4343)</f>
        <v>1</v>
      </c>
    </row>
    <row r="4344" spans="1:33" x14ac:dyDescent="0.3">
      <c r="A4344" t="s">
        <v>6967</v>
      </c>
      <c r="B4344" s="13">
        <v>46212</v>
      </c>
      <c r="C4344">
        <v>2026</v>
      </c>
      <c r="D4344">
        <v>7</v>
      </c>
      <c r="E4344" t="s">
        <v>4046</v>
      </c>
      <c r="F4344" t="s">
        <v>4047</v>
      </c>
      <c r="G4344" t="s">
        <v>339</v>
      </c>
      <c r="H4344" t="s">
        <v>340</v>
      </c>
      <c r="I4344" t="s">
        <v>86</v>
      </c>
      <c r="J4344">
        <v>32</v>
      </c>
      <c r="K4344" t="s">
        <v>81</v>
      </c>
      <c r="L4344" t="s">
        <v>59</v>
      </c>
      <c r="M4344" t="s">
        <v>59</v>
      </c>
      <c r="N4344" t="s">
        <v>2653</v>
      </c>
      <c r="O4344" t="s">
        <v>132</v>
      </c>
      <c r="P4344" t="s">
        <v>52</v>
      </c>
      <c r="Q4344" t="s">
        <v>150</v>
      </c>
      <c r="R4344">
        <v>2</v>
      </c>
      <c r="S4344">
        <v>899</v>
      </c>
      <c r="T4344">
        <v>0.05</v>
      </c>
      <c r="U4344">
        <v>1708.1</v>
      </c>
      <c r="V4344">
        <v>840</v>
      </c>
      <c r="W4344">
        <v>868.1</v>
      </c>
      <c r="X4344" t="s">
        <v>73</v>
      </c>
      <c r="Y4344" t="s">
        <v>68</v>
      </c>
      <c r="Z4344" t="s">
        <v>161</v>
      </c>
      <c r="AA4344" t="s">
        <v>166</v>
      </c>
      <c r="AB4344">
        <v>4.2</v>
      </c>
      <c r="AC4344">
        <v>80</v>
      </c>
      <c r="AD4344">
        <v>38.17</v>
      </c>
      <c r="AE4344">
        <f t="shared" si="134"/>
        <v>749.93000000000006</v>
      </c>
      <c r="AF4344" t="str">
        <f t="shared" si="135"/>
        <v>2026-07</v>
      </c>
      <c r="AG4344">
        <f>SUBTOTAL(103,A4344)</f>
        <v>1</v>
      </c>
    </row>
    <row r="4345" spans="1:33" x14ac:dyDescent="0.3">
      <c r="A4345" t="s">
        <v>6968</v>
      </c>
      <c r="B4345" s="13">
        <v>46212</v>
      </c>
      <c r="C4345">
        <v>2026</v>
      </c>
      <c r="D4345">
        <v>7</v>
      </c>
      <c r="E4345" t="s">
        <v>4046</v>
      </c>
      <c r="F4345" t="s">
        <v>4047</v>
      </c>
      <c r="G4345" t="s">
        <v>1013</v>
      </c>
      <c r="H4345" t="s">
        <v>1014</v>
      </c>
      <c r="I4345" t="s">
        <v>85</v>
      </c>
      <c r="J4345">
        <v>29</v>
      </c>
      <c r="K4345" t="s">
        <v>81</v>
      </c>
      <c r="L4345" t="s">
        <v>2637</v>
      </c>
      <c r="M4345" t="s">
        <v>64</v>
      </c>
      <c r="N4345" t="s">
        <v>2592</v>
      </c>
      <c r="O4345" t="s">
        <v>115</v>
      </c>
      <c r="P4345" t="s">
        <v>48</v>
      </c>
      <c r="Q4345" t="s">
        <v>137</v>
      </c>
      <c r="R4345">
        <v>2</v>
      </c>
      <c r="S4345">
        <v>12999</v>
      </c>
      <c r="T4345">
        <v>0.05</v>
      </c>
      <c r="U4345">
        <v>24698.1</v>
      </c>
      <c r="V4345">
        <v>18000</v>
      </c>
      <c r="W4345">
        <v>6698.1</v>
      </c>
      <c r="X4345" t="s">
        <v>74</v>
      </c>
      <c r="Y4345" t="s">
        <v>68</v>
      </c>
      <c r="Z4345" t="s">
        <v>158</v>
      </c>
      <c r="AA4345" t="s">
        <v>168</v>
      </c>
      <c r="AB4345">
        <v>3.8</v>
      </c>
      <c r="AC4345">
        <v>50</v>
      </c>
      <c r="AD4345">
        <v>724.62</v>
      </c>
      <c r="AE4345">
        <f t="shared" si="134"/>
        <v>5923.4800000000005</v>
      </c>
      <c r="AF4345" t="str">
        <f t="shared" si="135"/>
        <v>2026-07</v>
      </c>
      <c r="AG4345">
        <f>SUBTOTAL(103,A4345)</f>
        <v>1</v>
      </c>
    </row>
    <row r="4346" spans="1:33" x14ac:dyDescent="0.3">
      <c r="A4346" t="s">
        <v>6969</v>
      </c>
      <c r="B4346" s="13">
        <v>46212</v>
      </c>
      <c r="C4346">
        <v>2026</v>
      </c>
      <c r="D4346">
        <v>7</v>
      </c>
      <c r="E4346" t="s">
        <v>4046</v>
      </c>
      <c r="F4346" t="s">
        <v>4047</v>
      </c>
      <c r="G4346" t="s">
        <v>2129</v>
      </c>
      <c r="H4346" t="s">
        <v>2130</v>
      </c>
      <c r="I4346" t="s">
        <v>85</v>
      </c>
      <c r="J4346">
        <v>44</v>
      </c>
      <c r="K4346" t="s">
        <v>82</v>
      </c>
      <c r="L4346" t="s">
        <v>2674</v>
      </c>
      <c r="M4346" t="s">
        <v>58</v>
      </c>
      <c r="N4346" t="s">
        <v>2596</v>
      </c>
      <c r="O4346" t="s">
        <v>124</v>
      </c>
      <c r="P4346" t="s">
        <v>51</v>
      </c>
      <c r="Q4346" t="s">
        <v>147</v>
      </c>
      <c r="R4346">
        <v>2</v>
      </c>
      <c r="S4346">
        <v>2299</v>
      </c>
      <c r="T4346">
        <v>0.05</v>
      </c>
      <c r="U4346">
        <v>4368.1000000000004</v>
      </c>
      <c r="V4346">
        <v>2400</v>
      </c>
      <c r="W4346">
        <v>1968.1</v>
      </c>
      <c r="X4346" t="s">
        <v>76</v>
      </c>
      <c r="Y4346" t="s">
        <v>68</v>
      </c>
      <c r="Z4346" t="s">
        <v>158</v>
      </c>
      <c r="AA4346" t="s">
        <v>166</v>
      </c>
      <c r="AB4346">
        <v>4.9000000000000004</v>
      </c>
      <c r="AC4346">
        <v>60</v>
      </c>
      <c r="AD4346">
        <v>183.54</v>
      </c>
      <c r="AE4346">
        <f t="shared" si="134"/>
        <v>1724.56</v>
      </c>
      <c r="AF4346" t="str">
        <f t="shared" si="135"/>
        <v>2026-07</v>
      </c>
      <c r="AG4346">
        <f>SUBTOTAL(103,A4346)</f>
        <v>1</v>
      </c>
    </row>
    <row r="4347" spans="1:33" x14ac:dyDescent="0.3">
      <c r="A4347" t="s">
        <v>6970</v>
      </c>
      <c r="B4347" s="13">
        <v>46212</v>
      </c>
      <c r="C4347">
        <v>2026</v>
      </c>
      <c r="D4347">
        <v>7</v>
      </c>
      <c r="E4347" t="s">
        <v>4046</v>
      </c>
      <c r="F4347" t="s">
        <v>4047</v>
      </c>
      <c r="G4347" t="s">
        <v>1311</v>
      </c>
      <c r="H4347" t="s">
        <v>1312</v>
      </c>
      <c r="I4347" t="s">
        <v>85</v>
      </c>
      <c r="J4347">
        <v>49</v>
      </c>
      <c r="K4347" t="s">
        <v>83</v>
      </c>
      <c r="L4347" t="s">
        <v>90</v>
      </c>
      <c r="M4347" t="s">
        <v>55</v>
      </c>
      <c r="N4347" t="s">
        <v>2630</v>
      </c>
      <c r="O4347" t="s">
        <v>123</v>
      </c>
      <c r="P4347" t="s">
        <v>52</v>
      </c>
      <c r="Q4347" t="s">
        <v>146</v>
      </c>
      <c r="R4347">
        <v>4</v>
      </c>
      <c r="S4347">
        <v>2499</v>
      </c>
      <c r="T4347">
        <v>0.05</v>
      </c>
      <c r="U4347">
        <v>9496.2000000000007</v>
      </c>
      <c r="V4347">
        <v>5600</v>
      </c>
      <c r="W4347">
        <v>3896.2</v>
      </c>
      <c r="X4347" t="s">
        <v>73</v>
      </c>
      <c r="Y4347" t="s">
        <v>68</v>
      </c>
      <c r="Z4347" t="s">
        <v>160</v>
      </c>
      <c r="AA4347" t="s">
        <v>170</v>
      </c>
      <c r="AB4347">
        <v>3.1</v>
      </c>
      <c r="AC4347">
        <v>60</v>
      </c>
      <c r="AD4347">
        <v>902.96</v>
      </c>
      <c r="AE4347">
        <f t="shared" si="134"/>
        <v>2933.24</v>
      </c>
      <c r="AF4347" t="str">
        <f t="shared" si="135"/>
        <v>2026-07</v>
      </c>
      <c r="AG4347">
        <f>SUBTOTAL(103,A4347)</f>
        <v>1</v>
      </c>
    </row>
    <row r="4348" spans="1:33" x14ac:dyDescent="0.3">
      <c r="A4348" t="s">
        <v>6971</v>
      </c>
      <c r="B4348" s="13">
        <v>46212</v>
      </c>
      <c r="C4348">
        <v>2026</v>
      </c>
      <c r="D4348">
        <v>7</v>
      </c>
      <c r="E4348" t="s">
        <v>4046</v>
      </c>
      <c r="F4348" t="s">
        <v>4047</v>
      </c>
      <c r="G4348" t="s">
        <v>715</v>
      </c>
      <c r="H4348" t="s">
        <v>716</v>
      </c>
      <c r="I4348" t="s">
        <v>85</v>
      </c>
      <c r="J4348">
        <v>28</v>
      </c>
      <c r="K4348" t="s">
        <v>81</v>
      </c>
      <c r="L4348" t="s">
        <v>2605</v>
      </c>
      <c r="M4348" t="s">
        <v>60</v>
      </c>
      <c r="N4348" t="s">
        <v>2653</v>
      </c>
      <c r="O4348" t="s">
        <v>132</v>
      </c>
      <c r="P4348" t="s">
        <v>52</v>
      </c>
      <c r="Q4348" t="s">
        <v>150</v>
      </c>
      <c r="R4348">
        <v>1</v>
      </c>
      <c r="S4348">
        <v>899</v>
      </c>
      <c r="T4348">
        <v>0</v>
      </c>
      <c r="U4348">
        <v>899</v>
      </c>
      <c r="V4348">
        <v>420</v>
      </c>
      <c r="W4348">
        <v>479</v>
      </c>
      <c r="X4348" t="s">
        <v>73</v>
      </c>
      <c r="Y4348" t="s">
        <v>68</v>
      </c>
      <c r="Z4348" t="s">
        <v>159</v>
      </c>
      <c r="AA4348" t="s">
        <v>170</v>
      </c>
      <c r="AB4348">
        <v>4.5999999999999996</v>
      </c>
      <c r="AC4348">
        <v>40</v>
      </c>
      <c r="AD4348">
        <v>72.97</v>
      </c>
      <c r="AE4348">
        <f t="shared" si="134"/>
        <v>366.03</v>
      </c>
      <c r="AF4348" t="str">
        <f t="shared" si="135"/>
        <v>2026-07</v>
      </c>
      <c r="AG4348">
        <f>SUBTOTAL(103,A4348)</f>
        <v>1</v>
      </c>
    </row>
    <row r="4349" spans="1:33" x14ac:dyDescent="0.3">
      <c r="A4349" t="s">
        <v>6972</v>
      </c>
      <c r="B4349" s="13">
        <v>46213</v>
      </c>
      <c r="C4349">
        <v>2026</v>
      </c>
      <c r="D4349">
        <v>7</v>
      </c>
      <c r="E4349" t="s">
        <v>4046</v>
      </c>
      <c r="F4349" t="s">
        <v>4047</v>
      </c>
      <c r="G4349" t="s">
        <v>229</v>
      </c>
      <c r="H4349" t="s">
        <v>230</v>
      </c>
      <c r="I4349" t="s">
        <v>86</v>
      </c>
      <c r="J4349">
        <v>21</v>
      </c>
      <c r="K4349" t="s">
        <v>80</v>
      </c>
      <c r="L4349" t="s">
        <v>98</v>
      </c>
      <c r="M4349" t="s">
        <v>55</v>
      </c>
      <c r="N4349" t="s">
        <v>2587</v>
      </c>
      <c r="O4349" t="s">
        <v>116</v>
      </c>
      <c r="P4349" t="s">
        <v>48</v>
      </c>
      <c r="Q4349" t="s">
        <v>138</v>
      </c>
      <c r="R4349">
        <v>2</v>
      </c>
      <c r="S4349">
        <v>14999</v>
      </c>
      <c r="T4349">
        <v>0.1</v>
      </c>
      <c r="U4349">
        <v>26998.2</v>
      </c>
      <c r="V4349">
        <v>22400</v>
      </c>
      <c r="W4349">
        <v>4598.2</v>
      </c>
      <c r="X4349" t="s">
        <v>74</v>
      </c>
      <c r="Y4349" t="s">
        <v>68</v>
      </c>
      <c r="Z4349" t="s">
        <v>159</v>
      </c>
      <c r="AA4349" t="s">
        <v>166</v>
      </c>
      <c r="AB4349">
        <v>4.4000000000000004</v>
      </c>
      <c r="AC4349">
        <v>60</v>
      </c>
      <c r="AD4349">
        <v>1231.6400000000001</v>
      </c>
      <c r="AE4349">
        <f t="shared" si="134"/>
        <v>3306.5599999999995</v>
      </c>
      <c r="AF4349" t="str">
        <f t="shared" si="135"/>
        <v>2026-07</v>
      </c>
      <c r="AG4349">
        <f>SUBTOTAL(103,A4349)</f>
        <v>1</v>
      </c>
    </row>
    <row r="4350" spans="1:33" x14ac:dyDescent="0.3">
      <c r="A4350" t="s">
        <v>6973</v>
      </c>
      <c r="B4350" s="13">
        <v>46213</v>
      </c>
      <c r="C4350">
        <v>2026</v>
      </c>
      <c r="D4350">
        <v>7</v>
      </c>
      <c r="E4350" t="s">
        <v>4046</v>
      </c>
      <c r="F4350" t="s">
        <v>4047</v>
      </c>
      <c r="G4350" t="s">
        <v>1213</v>
      </c>
      <c r="H4350" t="s">
        <v>1214</v>
      </c>
      <c r="I4350" t="s">
        <v>86</v>
      </c>
      <c r="J4350">
        <v>25</v>
      </c>
      <c r="K4350" t="s">
        <v>80</v>
      </c>
      <c r="L4350" t="s">
        <v>92</v>
      </c>
      <c r="M4350" t="s">
        <v>59</v>
      </c>
      <c r="N4350" t="s">
        <v>2603</v>
      </c>
      <c r="O4350" t="s">
        <v>122</v>
      </c>
      <c r="P4350" t="s">
        <v>48</v>
      </c>
      <c r="Q4350" t="s">
        <v>141</v>
      </c>
      <c r="R4350">
        <v>2</v>
      </c>
      <c r="S4350">
        <v>2499</v>
      </c>
      <c r="T4350">
        <v>0</v>
      </c>
      <c r="U4350">
        <v>4998</v>
      </c>
      <c r="V4350">
        <v>2900</v>
      </c>
      <c r="W4350">
        <v>2098</v>
      </c>
      <c r="X4350" t="s">
        <v>76</v>
      </c>
      <c r="Y4350" t="s">
        <v>68</v>
      </c>
      <c r="Z4350" t="s">
        <v>163</v>
      </c>
      <c r="AA4350" t="s">
        <v>170</v>
      </c>
      <c r="AB4350">
        <v>3</v>
      </c>
      <c r="AC4350">
        <v>80</v>
      </c>
      <c r="AD4350">
        <v>193.88</v>
      </c>
      <c r="AE4350">
        <f t="shared" si="134"/>
        <v>1824.12</v>
      </c>
      <c r="AF4350" t="str">
        <f t="shared" si="135"/>
        <v>2026-07</v>
      </c>
      <c r="AG4350">
        <f>SUBTOTAL(103,A4350)</f>
        <v>1</v>
      </c>
    </row>
    <row r="4351" spans="1:33" x14ac:dyDescent="0.3">
      <c r="A4351" t="s">
        <v>6974</v>
      </c>
      <c r="B4351" s="13">
        <v>46213</v>
      </c>
      <c r="C4351">
        <v>2026</v>
      </c>
      <c r="D4351">
        <v>7</v>
      </c>
      <c r="E4351" t="s">
        <v>4046</v>
      </c>
      <c r="F4351" t="s">
        <v>4047</v>
      </c>
      <c r="G4351" t="s">
        <v>307</v>
      </c>
      <c r="H4351" t="s">
        <v>308</v>
      </c>
      <c r="I4351" t="s">
        <v>86</v>
      </c>
      <c r="J4351">
        <v>54</v>
      </c>
      <c r="K4351" t="s">
        <v>83</v>
      </c>
      <c r="L4351" t="s">
        <v>2646</v>
      </c>
      <c r="M4351" t="s">
        <v>63</v>
      </c>
      <c r="N4351" t="s">
        <v>2594</v>
      </c>
      <c r="O4351" t="s">
        <v>131</v>
      </c>
      <c r="P4351" t="s">
        <v>53</v>
      </c>
      <c r="Q4351" t="s">
        <v>143</v>
      </c>
      <c r="R4351">
        <v>2</v>
      </c>
      <c r="S4351">
        <v>999</v>
      </c>
      <c r="T4351">
        <v>0.2</v>
      </c>
      <c r="U4351">
        <v>1598.4</v>
      </c>
      <c r="V4351">
        <v>1040</v>
      </c>
      <c r="W4351">
        <v>558.4</v>
      </c>
      <c r="X4351" t="s">
        <v>74</v>
      </c>
      <c r="Y4351" t="s">
        <v>68</v>
      </c>
      <c r="Z4351" t="s">
        <v>159</v>
      </c>
      <c r="AA4351" t="s">
        <v>168</v>
      </c>
      <c r="AB4351">
        <v>4.2</v>
      </c>
      <c r="AC4351">
        <v>80</v>
      </c>
      <c r="AD4351">
        <v>186.32</v>
      </c>
      <c r="AE4351">
        <f t="shared" si="134"/>
        <v>292.08</v>
      </c>
      <c r="AF4351" t="str">
        <f t="shared" si="135"/>
        <v>2026-07</v>
      </c>
      <c r="AG4351">
        <f>SUBTOTAL(103,A4351)</f>
        <v>1</v>
      </c>
    </row>
    <row r="4352" spans="1:33" x14ac:dyDescent="0.3">
      <c r="A4352" t="s">
        <v>6975</v>
      </c>
      <c r="B4352" s="13">
        <v>46213</v>
      </c>
      <c r="C4352">
        <v>2026</v>
      </c>
      <c r="D4352">
        <v>7</v>
      </c>
      <c r="E4352" t="s">
        <v>4046</v>
      </c>
      <c r="F4352" t="s">
        <v>4047</v>
      </c>
      <c r="G4352" t="s">
        <v>419</v>
      </c>
      <c r="H4352" t="s">
        <v>420</v>
      </c>
      <c r="I4352" t="s">
        <v>87</v>
      </c>
      <c r="J4352">
        <v>55</v>
      </c>
      <c r="K4352" t="s">
        <v>83</v>
      </c>
      <c r="L4352" t="s">
        <v>2679</v>
      </c>
      <c r="M4352" t="s">
        <v>60</v>
      </c>
      <c r="N4352" t="s">
        <v>2603</v>
      </c>
      <c r="O4352" t="s">
        <v>122</v>
      </c>
      <c r="P4352" t="s">
        <v>48</v>
      </c>
      <c r="Q4352" t="s">
        <v>141</v>
      </c>
      <c r="R4352">
        <v>1</v>
      </c>
      <c r="S4352">
        <v>2499</v>
      </c>
      <c r="T4352">
        <v>0.1</v>
      </c>
      <c r="U4352">
        <v>2249.1</v>
      </c>
      <c r="V4352">
        <v>1450</v>
      </c>
      <c r="W4352">
        <v>799.1</v>
      </c>
      <c r="X4352" t="s">
        <v>76</v>
      </c>
      <c r="Y4352" t="s">
        <v>68</v>
      </c>
      <c r="Z4352" t="s">
        <v>162</v>
      </c>
      <c r="AA4352" t="s">
        <v>167</v>
      </c>
      <c r="AB4352">
        <v>5</v>
      </c>
      <c r="AC4352">
        <v>100</v>
      </c>
      <c r="AD4352">
        <v>165.64</v>
      </c>
      <c r="AE4352">
        <f t="shared" si="134"/>
        <v>533.46</v>
      </c>
      <c r="AF4352" t="str">
        <f t="shared" si="135"/>
        <v>2026-07</v>
      </c>
      <c r="AG4352">
        <f>SUBTOTAL(103,A4352)</f>
        <v>1</v>
      </c>
    </row>
    <row r="4353" spans="1:33" x14ac:dyDescent="0.3">
      <c r="A4353" t="s">
        <v>6976</v>
      </c>
      <c r="B4353" s="13">
        <v>46213</v>
      </c>
      <c r="C4353">
        <v>2026</v>
      </c>
      <c r="D4353">
        <v>7</v>
      </c>
      <c r="E4353" t="s">
        <v>4046</v>
      </c>
      <c r="F4353" t="s">
        <v>4047</v>
      </c>
      <c r="G4353" t="s">
        <v>461</v>
      </c>
      <c r="H4353" t="s">
        <v>462</v>
      </c>
      <c r="I4353" t="s">
        <v>85</v>
      </c>
      <c r="J4353">
        <v>56</v>
      </c>
      <c r="K4353" t="s">
        <v>83</v>
      </c>
      <c r="L4353" t="s">
        <v>99</v>
      </c>
      <c r="M4353" t="s">
        <v>58</v>
      </c>
      <c r="N4353" t="s">
        <v>2592</v>
      </c>
      <c r="O4353" t="s">
        <v>115</v>
      </c>
      <c r="P4353" t="s">
        <v>48</v>
      </c>
      <c r="Q4353" t="s">
        <v>137</v>
      </c>
      <c r="R4353">
        <v>3</v>
      </c>
      <c r="S4353">
        <v>12999</v>
      </c>
      <c r="T4353">
        <v>0.15</v>
      </c>
      <c r="U4353">
        <v>33147.449999999997</v>
      </c>
      <c r="V4353">
        <v>27000</v>
      </c>
      <c r="W4353">
        <v>6147.45</v>
      </c>
      <c r="X4353" t="s">
        <v>74</v>
      </c>
      <c r="Y4353" t="s">
        <v>68</v>
      </c>
      <c r="Z4353" t="s">
        <v>163</v>
      </c>
      <c r="AA4353" t="s">
        <v>171</v>
      </c>
      <c r="AB4353">
        <v>4</v>
      </c>
      <c r="AC4353">
        <v>40</v>
      </c>
      <c r="AD4353">
        <v>1457.57</v>
      </c>
      <c r="AE4353">
        <f t="shared" si="134"/>
        <v>4649.88</v>
      </c>
      <c r="AF4353" t="str">
        <f t="shared" si="135"/>
        <v>2026-07</v>
      </c>
      <c r="AG4353">
        <f>SUBTOTAL(103,A4353)</f>
        <v>1</v>
      </c>
    </row>
    <row r="4354" spans="1:33" x14ac:dyDescent="0.3">
      <c r="A4354" t="s">
        <v>6977</v>
      </c>
      <c r="B4354" s="13">
        <v>46213</v>
      </c>
      <c r="C4354">
        <v>2026</v>
      </c>
      <c r="D4354">
        <v>7</v>
      </c>
      <c r="E4354" t="s">
        <v>4046</v>
      </c>
      <c r="F4354" t="s">
        <v>4047</v>
      </c>
      <c r="G4354" t="s">
        <v>557</v>
      </c>
      <c r="H4354" t="s">
        <v>558</v>
      </c>
      <c r="I4354" t="s">
        <v>86</v>
      </c>
      <c r="J4354">
        <v>59</v>
      </c>
      <c r="K4354" t="s">
        <v>83</v>
      </c>
      <c r="L4354" t="s">
        <v>2661</v>
      </c>
      <c r="M4354" t="s">
        <v>58</v>
      </c>
      <c r="N4354" t="s">
        <v>2665</v>
      </c>
      <c r="O4354" t="s">
        <v>128</v>
      </c>
      <c r="P4354" t="s">
        <v>53</v>
      </c>
      <c r="Q4354" t="s">
        <v>143</v>
      </c>
      <c r="R4354">
        <v>2</v>
      </c>
      <c r="S4354">
        <v>1499</v>
      </c>
      <c r="T4354">
        <v>0.15</v>
      </c>
      <c r="U4354">
        <v>2548.3000000000002</v>
      </c>
      <c r="V4354">
        <v>1600</v>
      </c>
      <c r="W4354">
        <v>948.3</v>
      </c>
      <c r="X4354" t="s">
        <v>73</v>
      </c>
      <c r="Y4354" t="s">
        <v>68</v>
      </c>
      <c r="Z4354" t="s">
        <v>160</v>
      </c>
      <c r="AA4354" t="s">
        <v>170</v>
      </c>
      <c r="AB4354">
        <v>4.7</v>
      </c>
      <c r="AC4354">
        <v>50</v>
      </c>
      <c r="AD4354">
        <v>207.42</v>
      </c>
      <c r="AE4354">
        <f t="shared" ref="AE4354:AE4417" si="136">W4354-AC4354-AD4354</f>
        <v>690.88</v>
      </c>
      <c r="AF4354" t="str">
        <f t="shared" ref="AF4354:AF4417" si="137">C4354&amp;"-"&amp;TEXT(D4354,"00")</f>
        <v>2026-07</v>
      </c>
      <c r="AG4354">
        <f>SUBTOTAL(103,A4354)</f>
        <v>1</v>
      </c>
    </row>
    <row r="4355" spans="1:33" x14ac:dyDescent="0.3">
      <c r="A4355" t="s">
        <v>6978</v>
      </c>
      <c r="B4355" s="13">
        <v>46213</v>
      </c>
      <c r="C4355">
        <v>2026</v>
      </c>
      <c r="D4355">
        <v>7</v>
      </c>
      <c r="E4355" t="s">
        <v>4046</v>
      </c>
      <c r="F4355" t="s">
        <v>4047</v>
      </c>
      <c r="G4355" t="s">
        <v>2113</v>
      </c>
      <c r="H4355" t="s">
        <v>2114</v>
      </c>
      <c r="I4355" t="s">
        <v>86</v>
      </c>
      <c r="J4355">
        <v>39</v>
      </c>
      <c r="K4355" t="s">
        <v>82</v>
      </c>
      <c r="L4355" t="s">
        <v>92</v>
      </c>
      <c r="M4355" t="s">
        <v>59</v>
      </c>
      <c r="N4355" t="s">
        <v>2630</v>
      </c>
      <c r="O4355" t="s">
        <v>123</v>
      </c>
      <c r="P4355" t="s">
        <v>52</v>
      </c>
      <c r="Q4355" t="s">
        <v>146</v>
      </c>
      <c r="R4355">
        <v>3</v>
      </c>
      <c r="S4355">
        <v>2499</v>
      </c>
      <c r="T4355">
        <v>0.05</v>
      </c>
      <c r="U4355">
        <v>7122.15</v>
      </c>
      <c r="V4355">
        <v>4200</v>
      </c>
      <c r="W4355">
        <v>2922.15</v>
      </c>
      <c r="X4355" t="s">
        <v>74</v>
      </c>
      <c r="Y4355" t="s">
        <v>68</v>
      </c>
      <c r="Z4355" t="s">
        <v>161</v>
      </c>
      <c r="AA4355" t="s">
        <v>170</v>
      </c>
      <c r="AB4355">
        <v>3.6</v>
      </c>
      <c r="AC4355">
        <v>50</v>
      </c>
      <c r="AD4355">
        <v>213.75</v>
      </c>
      <c r="AE4355">
        <f t="shared" si="136"/>
        <v>2658.4</v>
      </c>
      <c r="AF4355" t="str">
        <f t="shared" si="137"/>
        <v>2026-07</v>
      </c>
      <c r="AG4355">
        <f>SUBTOTAL(103,A4355)</f>
        <v>1</v>
      </c>
    </row>
    <row r="4356" spans="1:33" x14ac:dyDescent="0.3">
      <c r="A4356" t="s">
        <v>6979</v>
      </c>
      <c r="B4356" s="13">
        <v>46213</v>
      </c>
      <c r="C4356">
        <v>2026</v>
      </c>
      <c r="D4356">
        <v>7</v>
      </c>
      <c r="E4356" t="s">
        <v>4046</v>
      </c>
      <c r="F4356" t="s">
        <v>4047</v>
      </c>
      <c r="G4356" t="s">
        <v>2281</v>
      </c>
      <c r="H4356" t="s">
        <v>2282</v>
      </c>
      <c r="I4356" t="s">
        <v>86</v>
      </c>
      <c r="J4356">
        <v>23</v>
      </c>
      <c r="K4356" t="s">
        <v>80</v>
      </c>
      <c r="L4356" t="s">
        <v>2586</v>
      </c>
      <c r="M4356" t="s">
        <v>62</v>
      </c>
      <c r="N4356" t="s">
        <v>2647</v>
      </c>
      <c r="O4356" t="s">
        <v>133</v>
      </c>
      <c r="P4356" t="s">
        <v>50</v>
      </c>
      <c r="Q4356" t="s">
        <v>145</v>
      </c>
      <c r="R4356">
        <v>3</v>
      </c>
      <c r="S4356">
        <v>799</v>
      </c>
      <c r="T4356">
        <v>0</v>
      </c>
      <c r="U4356">
        <v>2397</v>
      </c>
      <c r="V4356">
        <v>1170</v>
      </c>
      <c r="W4356">
        <v>1227</v>
      </c>
      <c r="X4356" t="s">
        <v>73</v>
      </c>
      <c r="Y4356" t="s">
        <v>68</v>
      </c>
      <c r="Z4356" t="s">
        <v>162</v>
      </c>
      <c r="AA4356" t="s">
        <v>167</v>
      </c>
      <c r="AB4356">
        <v>4</v>
      </c>
      <c r="AC4356">
        <v>40</v>
      </c>
      <c r="AD4356">
        <v>279.02999999999997</v>
      </c>
      <c r="AE4356">
        <f t="shared" si="136"/>
        <v>907.97</v>
      </c>
      <c r="AF4356" t="str">
        <f t="shared" si="137"/>
        <v>2026-07</v>
      </c>
      <c r="AG4356">
        <f>SUBTOTAL(103,A4356)</f>
        <v>1</v>
      </c>
    </row>
    <row r="4357" spans="1:33" x14ac:dyDescent="0.3">
      <c r="A4357" t="s">
        <v>6980</v>
      </c>
      <c r="B4357" s="13">
        <v>46213</v>
      </c>
      <c r="C4357">
        <v>2026</v>
      </c>
      <c r="D4357">
        <v>7</v>
      </c>
      <c r="E4357" t="s">
        <v>4046</v>
      </c>
      <c r="F4357" t="s">
        <v>4047</v>
      </c>
      <c r="G4357" t="s">
        <v>2083</v>
      </c>
      <c r="H4357" t="s">
        <v>2084</v>
      </c>
      <c r="I4357" t="s">
        <v>85</v>
      </c>
      <c r="J4357">
        <v>40</v>
      </c>
      <c r="K4357" t="s">
        <v>82</v>
      </c>
      <c r="L4357" t="s">
        <v>92</v>
      </c>
      <c r="M4357" t="s">
        <v>59</v>
      </c>
      <c r="N4357" t="s">
        <v>2574</v>
      </c>
      <c r="O4357" t="s">
        <v>130</v>
      </c>
      <c r="P4357" t="s">
        <v>50</v>
      </c>
      <c r="Q4357" t="s">
        <v>53</v>
      </c>
      <c r="R4357">
        <v>2</v>
      </c>
      <c r="S4357">
        <v>1199</v>
      </c>
      <c r="T4357">
        <v>0.05</v>
      </c>
      <c r="U4357">
        <v>2278.1</v>
      </c>
      <c r="V4357">
        <v>1100</v>
      </c>
      <c r="W4357">
        <v>1178.0999999999999</v>
      </c>
      <c r="X4357" t="s">
        <v>75</v>
      </c>
      <c r="Y4357" t="s">
        <v>68</v>
      </c>
      <c r="Z4357" t="s">
        <v>159</v>
      </c>
      <c r="AA4357" t="s">
        <v>170</v>
      </c>
      <c r="AB4357">
        <v>3.4</v>
      </c>
      <c r="AC4357">
        <v>40</v>
      </c>
      <c r="AD4357">
        <v>206.57</v>
      </c>
      <c r="AE4357">
        <f t="shared" si="136"/>
        <v>931.53</v>
      </c>
      <c r="AF4357" t="str">
        <f t="shared" si="137"/>
        <v>2026-07</v>
      </c>
      <c r="AG4357">
        <f>SUBTOTAL(103,A4357)</f>
        <v>1</v>
      </c>
    </row>
    <row r="4358" spans="1:33" x14ac:dyDescent="0.3">
      <c r="A4358" t="s">
        <v>6981</v>
      </c>
      <c r="B4358" s="13">
        <v>46213</v>
      </c>
      <c r="C4358">
        <v>2026</v>
      </c>
      <c r="D4358">
        <v>7</v>
      </c>
      <c r="E4358" t="s">
        <v>4046</v>
      </c>
      <c r="F4358" t="s">
        <v>4047</v>
      </c>
      <c r="G4358" t="s">
        <v>615</v>
      </c>
      <c r="H4358" t="s">
        <v>616</v>
      </c>
      <c r="I4358" t="s">
        <v>86</v>
      </c>
      <c r="J4358">
        <v>51</v>
      </c>
      <c r="K4358" t="s">
        <v>83</v>
      </c>
      <c r="L4358" t="s">
        <v>97</v>
      </c>
      <c r="M4358" t="s">
        <v>57</v>
      </c>
      <c r="N4358" t="s">
        <v>2574</v>
      </c>
      <c r="O4358" t="s">
        <v>130</v>
      </c>
      <c r="P4358" t="s">
        <v>50</v>
      </c>
      <c r="Q4358" t="s">
        <v>53</v>
      </c>
      <c r="R4358">
        <v>3</v>
      </c>
      <c r="S4358">
        <v>1199</v>
      </c>
      <c r="T4358">
        <v>0.05</v>
      </c>
      <c r="U4358">
        <v>3417.15</v>
      </c>
      <c r="V4358">
        <v>1650</v>
      </c>
      <c r="W4358">
        <v>1767.15</v>
      </c>
      <c r="X4358" t="s">
        <v>73</v>
      </c>
      <c r="Y4358" t="s">
        <v>69</v>
      </c>
      <c r="Z4358" t="s">
        <v>158</v>
      </c>
      <c r="AA4358" t="s">
        <v>166</v>
      </c>
      <c r="AB4358">
        <v>4.4000000000000004</v>
      </c>
      <c r="AC4358">
        <v>80</v>
      </c>
      <c r="AD4358">
        <v>212.66</v>
      </c>
      <c r="AE4358">
        <f t="shared" si="136"/>
        <v>1474.49</v>
      </c>
      <c r="AF4358" t="str">
        <f t="shared" si="137"/>
        <v>2026-07</v>
      </c>
      <c r="AG4358">
        <f>SUBTOTAL(103,A4358)</f>
        <v>1</v>
      </c>
    </row>
    <row r="4359" spans="1:33" x14ac:dyDescent="0.3">
      <c r="A4359" t="s">
        <v>6982</v>
      </c>
      <c r="B4359" s="13">
        <v>46214</v>
      </c>
      <c r="C4359">
        <v>2026</v>
      </c>
      <c r="D4359">
        <v>7</v>
      </c>
      <c r="E4359" t="s">
        <v>4046</v>
      </c>
      <c r="F4359" t="s">
        <v>4047</v>
      </c>
      <c r="G4359" t="s">
        <v>513</v>
      </c>
      <c r="H4359" t="s">
        <v>514</v>
      </c>
      <c r="I4359" t="s">
        <v>85</v>
      </c>
      <c r="J4359">
        <v>48</v>
      </c>
      <c r="K4359" t="s">
        <v>83</v>
      </c>
      <c r="L4359" t="s">
        <v>2616</v>
      </c>
      <c r="M4359" t="s">
        <v>62</v>
      </c>
      <c r="N4359" t="s">
        <v>2647</v>
      </c>
      <c r="O4359" t="s">
        <v>133</v>
      </c>
      <c r="P4359" t="s">
        <v>50</v>
      </c>
      <c r="Q4359" t="s">
        <v>145</v>
      </c>
      <c r="R4359">
        <v>4</v>
      </c>
      <c r="S4359">
        <v>799</v>
      </c>
      <c r="T4359">
        <v>0.1</v>
      </c>
      <c r="U4359">
        <v>2876.4</v>
      </c>
      <c r="V4359">
        <v>1560</v>
      </c>
      <c r="W4359">
        <v>1316.4</v>
      </c>
      <c r="X4359" t="s">
        <v>75</v>
      </c>
      <c r="Y4359" t="s">
        <v>68</v>
      </c>
      <c r="Z4359" t="s">
        <v>158</v>
      </c>
      <c r="AA4359" t="s">
        <v>168</v>
      </c>
      <c r="AB4359">
        <v>4</v>
      </c>
      <c r="AC4359">
        <v>60</v>
      </c>
      <c r="AD4359">
        <v>291.54000000000002</v>
      </c>
      <c r="AE4359">
        <f t="shared" si="136"/>
        <v>964.86000000000013</v>
      </c>
      <c r="AF4359" t="str">
        <f t="shared" si="137"/>
        <v>2026-07</v>
      </c>
      <c r="AG4359">
        <f>SUBTOTAL(103,A4359)</f>
        <v>1</v>
      </c>
    </row>
    <row r="4360" spans="1:33" x14ac:dyDescent="0.3">
      <c r="A4360" t="s">
        <v>6983</v>
      </c>
      <c r="B4360" s="13">
        <v>46214</v>
      </c>
      <c r="C4360">
        <v>2026</v>
      </c>
      <c r="D4360">
        <v>7</v>
      </c>
      <c r="E4360" t="s">
        <v>4046</v>
      </c>
      <c r="F4360" t="s">
        <v>4047</v>
      </c>
      <c r="G4360" t="s">
        <v>1903</v>
      </c>
      <c r="H4360" t="s">
        <v>1904</v>
      </c>
      <c r="I4360" t="s">
        <v>85</v>
      </c>
      <c r="J4360">
        <v>20</v>
      </c>
      <c r="K4360" t="s">
        <v>80</v>
      </c>
      <c r="L4360" t="s">
        <v>96</v>
      </c>
      <c r="M4360" t="s">
        <v>55</v>
      </c>
      <c r="N4360" t="s">
        <v>2644</v>
      </c>
      <c r="O4360" t="s">
        <v>126</v>
      </c>
      <c r="P4360" t="s">
        <v>50</v>
      </c>
      <c r="Q4360" t="s">
        <v>145</v>
      </c>
      <c r="R4360">
        <v>3</v>
      </c>
      <c r="S4360">
        <v>1799</v>
      </c>
      <c r="T4360">
        <v>0.1</v>
      </c>
      <c r="U4360">
        <v>4857.3</v>
      </c>
      <c r="V4360">
        <v>2850</v>
      </c>
      <c r="W4360">
        <v>2007.3</v>
      </c>
      <c r="X4360" t="s">
        <v>74</v>
      </c>
      <c r="Y4360" t="s">
        <v>68</v>
      </c>
      <c r="Z4360" t="s">
        <v>161</v>
      </c>
      <c r="AA4360" t="s">
        <v>168</v>
      </c>
      <c r="AB4360">
        <v>3.3</v>
      </c>
      <c r="AC4360">
        <v>60</v>
      </c>
      <c r="AD4360">
        <v>576.69000000000005</v>
      </c>
      <c r="AE4360">
        <f t="shared" si="136"/>
        <v>1370.61</v>
      </c>
      <c r="AF4360" t="str">
        <f t="shared" si="137"/>
        <v>2026-07</v>
      </c>
      <c r="AG4360">
        <f>SUBTOTAL(103,A4360)</f>
        <v>1</v>
      </c>
    </row>
    <row r="4361" spans="1:33" x14ac:dyDescent="0.3">
      <c r="A4361" t="s">
        <v>6984</v>
      </c>
      <c r="B4361" s="13">
        <v>46214</v>
      </c>
      <c r="C4361">
        <v>2026</v>
      </c>
      <c r="D4361">
        <v>7</v>
      </c>
      <c r="E4361" t="s">
        <v>4046</v>
      </c>
      <c r="F4361" t="s">
        <v>4047</v>
      </c>
      <c r="G4361" t="s">
        <v>931</v>
      </c>
      <c r="H4361" t="s">
        <v>932</v>
      </c>
      <c r="I4361" t="s">
        <v>86</v>
      </c>
      <c r="J4361">
        <v>39</v>
      </c>
      <c r="K4361" t="s">
        <v>82</v>
      </c>
      <c r="L4361" t="s">
        <v>2579</v>
      </c>
      <c r="M4361" t="s">
        <v>56</v>
      </c>
      <c r="N4361" t="s">
        <v>2596</v>
      </c>
      <c r="O4361" t="s">
        <v>124</v>
      </c>
      <c r="P4361" t="s">
        <v>51</v>
      </c>
      <c r="Q4361" t="s">
        <v>147</v>
      </c>
      <c r="R4361">
        <v>4</v>
      </c>
      <c r="S4361">
        <v>2299</v>
      </c>
      <c r="T4361">
        <v>0</v>
      </c>
      <c r="U4361">
        <v>9196</v>
      </c>
      <c r="V4361">
        <v>4800</v>
      </c>
      <c r="W4361">
        <v>4396</v>
      </c>
      <c r="X4361" t="s">
        <v>73</v>
      </c>
      <c r="Y4361" t="s">
        <v>70</v>
      </c>
      <c r="Z4361" t="s">
        <v>158</v>
      </c>
      <c r="AA4361" t="s">
        <v>166</v>
      </c>
      <c r="AB4361">
        <v>3.7</v>
      </c>
      <c r="AC4361">
        <v>50</v>
      </c>
      <c r="AD4361">
        <v>471.4</v>
      </c>
      <c r="AE4361">
        <f t="shared" si="136"/>
        <v>3874.6</v>
      </c>
      <c r="AF4361" t="str">
        <f t="shared" si="137"/>
        <v>2026-07</v>
      </c>
      <c r="AG4361">
        <f>SUBTOTAL(103,A4361)</f>
        <v>1</v>
      </c>
    </row>
    <row r="4362" spans="1:33" x14ac:dyDescent="0.3">
      <c r="A4362" t="s">
        <v>6985</v>
      </c>
      <c r="B4362" s="13">
        <v>46214</v>
      </c>
      <c r="C4362">
        <v>2026</v>
      </c>
      <c r="D4362">
        <v>7</v>
      </c>
      <c r="E4362" t="s">
        <v>4046</v>
      </c>
      <c r="F4362" t="s">
        <v>4047</v>
      </c>
      <c r="G4362" t="s">
        <v>699</v>
      </c>
      <c r="H4362" t="s">
        <v>700</v>
      </c>
      <c r="I4362" t="s">
        <v>85</v>
      </c>
      <c r="J4362">
        <v>42</v>
      </c>
      <c r="K4362" t="s">
        <v>82</v>
      </c>
      <c r="L4362" t="s">
        <v>2634</v>
      </c>
      <c r="M4362" t="s">
        <v>56</v>
      </c>
      <c r="N4362" t="s">
        <v>2592</v>
      </c>
      <c r="O4362" t="s">
        <v>115</v>
      </c>
      <c r="P4362" t="s">
        <v>48</v>
      </c>
      <c r="Q4362" t="s">
        <v>137</v>
      </c>
      <c r="R4362">
        <v>2</v>
      </c>
      <c r="S4362">
        <v>12999</v>
      </c>
      <c r="T4362">
        <v>0.2</v>
      </c>
      <c r="U4362">
        <v>20798.400000000001</v>
      </c>
      <c r="V4362">
        <v>18000</v>
      </c>
      <c r="W4362">
        <v>2798.4</v>
      </c>
      <c r="X4362" t="s">
        <v>73</v>
      </c>
      <c r="Y4362" t="s">
        <v>68</v>
      </c>
      <c r="Z4362" t="s">
        <v>159</v>
      </c>
      <c r="AA4362" t="s">
        <v>171</v>
      </c>
      <c r="AB4362">
        <v>4</v>
      </c>
      <c r="AC4362">
        <v>100</v>
      </c>
      <c r="AD4362">
        <v>1406.68</v>
      </c>
      <c r="AE4362">
        <f t="shared" si="136"/>
        <v>1291.72</v>
      </c>
      <c r="AF4362" t="str">
        <f t="shared" si="137"/>
        <v>2026-07</v>
      </c>
      <c r="AG4362">
        <f>SUBTOTAL(103,A4362)</f>
        <v>1</v>
      </c>
    </row>
    <row r="4363" spans="1:33" x14ac:dyDescent="0.3">
      <c r="A4363" t="s">
        <v>6986</v>
      </c>
      <c r="B4363" s="13">
        <v>46214</v>
      </c>
      <c r="C4363">
        <v>2026</v>
      </c>
      <c r="D4363">
        <v>7</v>
      </c>
      <c r="E4363" t="s">
        <v>4046</v>
      </c>
      <c r="F4363" t="s">
        <v>4047</v>
      </c>
      <c r="G4363" t="s">
        <v>1565</v>
      </c>
      <c r="H4363" t="s">
        <v>1566</v>
      </c>
      <c r="I4363" t="s">
        <v>85</v>
      </c>
      <c r="J4363">
        <v>38</v>
      </c>
      <c r="K4363" t="s">
        <v>82</v>
      </c>
      <c r="L4363" t="s">
        <v>2605</v>
      </c>
      <c r="M4363" t="s">
        <v>60</v>
      </c>
      <c r="N4363" t="s">
        <v>2653</v>
      </c>
      <c r="O4363" t="s">
        <v>132</v>
      </c>
      <c r="P4363" t="s">
        <v>52</v>
      </c>
      <c r="Q4363" t="s">
        <v>150</v>
      </c>
      <c r="R4363">
        <v>1</v>
      </c>
      <c r="S4363">
        <v>899</v>
      </c>
      <c r="T4363">
        <v>0.1</v>
      </c>
      <c r="U4363">
        <v>809.1</v>
      </c>
      <c r="V4363">
        <v>420</v>
      </c>
      <c r="W4363">
        <v>389.1</v>
      </c>
      <c r="X4363" t="s">
        <v>74</v>
      </c>
      <c r="Y4363" t="s">
        <v>68</v>
      </c>
      <c r="Z4363" t="s">
        <v>162</v>
      </c>
      <c r="AA4363" t="s">
        <v>169</v>
      </c>
      <c r="AB4363">
        <v>4.7</v>
      </c>
      <c r="AC4363">
        <v>50</v>
      </c>
      <c r="AD4363">
        <v>35.130000000000003</v>
      </c>
      <c r="AE4363">
        <f t="shared" si="136"/>
        <v>303.97000000000003</v>
      </c>
      <c r="AF4363" t="str">
        <f t="shared" si="137"/>
        <v>2026-07</v>
      </c>
      <c r="AG4363">
        <f>SUBTOTAL(103,A4363)</f>
        <v>1</v>
      </c>
    </row>
    <row r="4364" spans="1:33" x14ac:dyDescent="0.3">
      <c r="A4364" t="s">
        <v>6987</v>
      </c>
      <c r="B4364" s="13">
        <v>46214</v>
      </c>
      <c r="C4364">
        <v>2026</v>
      </c>
      <c r="D4364">
        <v>7</v>
      </c>
      <c r="E4364" t="s">
        <v>4046</v>
      </c>
      <c r="F4364" t="s">
        <v>4047</v>
      </c>
      <c r="G4364" t="s">
        <v>709</v>
      </c>
      <c r="H4364" t="s">
        <v>710</v>
      </c>
      <c r="I4364" t="s">
        <v>85</v>
      </c>
      <c r="J4364">
        <v>18</v>
      </c>
      <c r="K4364" t="s">
        <v>80</v>
      </c>
      <c r="L4364" t="s">
        <v>92</v>
      </c>
      <c r="M4364" t="s">
        <v>59</v>
      </c>
      <c r="N4364" t="s">
        <v>2626</v>
      </c>
      <c r="O4364" t="s">
        <v>125</v>
      </c>
      <c r="P4364" t="s">
        <v>48</v>
      </c>
      <c r="Q4364" t="s">
        <v>141</v>
      </c>
      <c r="R4364">
        <v>3</v>
      </c>
      <c r="S4364">
        <v>1999</v>
      </c>
      <c r="T4364">
        <v>0.2</v>
      </c>
      <c r="U4364">
        <v>0</v>
      </c>
      <c r="V4364">
        <v>0</v>
      </c>
      <c r="W4364">
        <v>0</v>
      </c>
      <c r="X4364" t="s">
        <v>73</v>
      </c>
      <c r="Y4364" t="s">
        <v>71</v>
      </c>
      <c r="Z4364" t="s">
        <v>163</v>
      </c>
      <c r="AA4364" t="s">
        <v>170</v>
      </c>
      <c r="AB4364">
        <v>4.5</v>
      </c>
      <c r="AC4364">
        <v>60</v>
      </c>
      <c r="AD4364">
        <v>475.65</v>
      </c>
      <c r="AE4364">
        <f t="shared" si="136"/>
        <v>-535.65</v>
      </c>
      <c r="AF4364" t="str">
        <f t="shared" si="137"/>
        <v>2026-07</v>
      </c>
      <c r="AG4364">
        <f>SUBTOTAL(103,A4364)</f>
        <v>1</v>
      </c>
    </row>
    <row r="4365" spans="1:33" x14ac:dyDescent="0.3">
      <c r="A4365" t="s">
        <v>6988</v>
      </c>
      <c r="B4365" s="13">
        <v>46214</v>
      </c>
      <c r="C4365">
        <v>2026</v>
      </c>
      <c r="D4365">
        <v>7</v>
      </c>
      <c r="E4365" t="s">
        <v>4046</v>
      </c>
      <c r="F4365" t="s">
        <v>4047</v>
      </c>
      <c r="G4365" t="s">
        <v>825</v>
      </c>
      <c r="H4365" t="s">
        <v>826</v>
      </c>
      <c r="I4365" t="s">
        <v>85</v>
      </c>
      <c r="J4365">
        <v>39</v>
      </c>
      <c r="K4365" t="s">
        <v>82</v>
      </c>
      <c r="L4365" t="s">
        <v>2646</v>
      </c>
      <c r="M4365" t="s">
        <v>63</v>
      </c>
      <c r="N4365" t="s">
        <v>2653</v>
      </c>
      <c r="O4365" t="s">
        <v>132</v>
      </c>
      <c r="P4365" t="s">
        <v>52</v>
      </c>
      <c r="Q4365" t="s">
        <v>150</v>
      </c>
      <c r="R4365">
        <v>2</v>
      </c>
      <c r="S4365">
        <v>899</v>
      </c>
      <c r="T4365">
        <v>0.25</v>
      </c>
      <c r="U4365">
        <v>1348.5</v>
      </c>
      <c r="V4365">
        <v>840</v>
      </c>
      <c r="W4365">
        <v>508.5</v>
      </c>
      <c r="X4365" t="s">
        <v>74</v>
      </c>
      <c r="Y4365" t="s">
        <v>68</v>
      </c>
      <c r="Z4365" t="s">
        <v>162</v>
      </c>
      <c r="AA4365" t="s">
        <v>167</v>
      </c>
      <c r="AB4365">
        <v>3.7</v>
      </c>
      <c r="AC4365">
        <v>60</v>
      </c>
      <c r="AD4365">
        <v>136.97</v>
      </c>
      <c r="AE4365">
        <f t="shared" si="136"/>
        <v>311.52999999999997</v>
      </c>
      <c r="AF4365" t="str">
        <f t="shared" si="137"/>
        <v>2026-07</v>
      </c>
      <c r="AG4365">
        <f>SUBTOTAL(103,A4365)</f>
        <v>1</v>
      </c>
    </row>
    <row r="4366" spans="1:33" x14ac:dyDescent="0.3">
      <c r="A4366" t="s">
        <v>6989</v>
      </c>
      <c r="B4366" s="13">
        <v>46214</v>
      </c>
      <c r="C4366">
        <v>2026</v>
      </c>
      <c r="D4366">
        <v>7</v>
      </c>
      <c r="E4366" t="s">
        <v>4046</v>
      </c>
      <c r="F4366" t="s">
        <v>4047</v>
      </c>
      <c r="G4366" t="s">
        <v>1309</v>
      </c>
      <c r="H4366" t="s">
        <v>1310</v>
      </c>
      <c r="I4366" t="s">
        <v>85</v>
      </c>
      <c r="J4366">
        <v>23</v>
      </c>
      <c r="K4366" t="s">
        <v>80</v>
      </c>
      <c r="L4366" t="s">
        <v>2679</v>
      </c>
      <c r="M4366" t="s">
        <v>60</v>
      </c>
      <c r="N4366" t="s">
        <v>2644</v>
      </c>
      <c r="O4366" t="s">
        <v>126</v>
      </c>
      <c r="P4366" t="s">
        <v>50</v>
      </c>
      <c r="Q4366" t="s">
        <v>145</v>
      </c>
      <c r="R4366">
        <v>3</v>
      </c>
      <c r="S4366">
        <v>1799</v>
      </c>
      <c r="T4366">
        <v>0.1</v>
      </c>
      <c r="U4366">
        <v>4857.3</v>
      </c>
      <c r="V4366">
        <v>2850</v>
      </c>
      <c r="W4366">
        <v>2007.3</v>
      </c>
      <c r="X4366" t="s">
        <v>73</v>
      </c>
      <c r="Y4366" t="s">
        <v>68</v>
      </c>
      <c r="Z4366" t="s">
        <v>160</v>
      </c>
      <c r="AA4366" t="s">
        <v>169</v>
      </c>
      <c r="AB4366">
        <v>4.2</v>
      </c>
      <c r="AC4366">
        <v>40</v>
      </c>
      <c r="AD4366">
        <v>381.71</v>
      </c>
      <c r="AE4366">
        <f t="shared" si="136"/>
        <v>1585.59</v>
      </c>
      <c r="AF4366" t="str">
        <f t="shared" si="137"/>
        <v>2026-07</v>
      </c>
      <c r="AG4366">
        <f>SUBTOTAL(103,A4366)</f>
        <v>1</v>
      </c>
    </row>
    <row r="4367" spans="1:33" x14ac:dyDescent="0.3">
      <c r="A4367" t="s">
        <v>6990</v>
      </c>
      <c r="B4367" s="13">
        <v>46215</v>
      </c>
      <c r="C4367">
        <v>2026</v>
      </c>
      <c r="D4367">
        <v>7</v>
      </c>
      <c r="E4367" t="s">
        <v>4046</v>
      </c>
      <c r="F4367" t="s">
        <v>4047</v>
      </c>
      <c r="G4367" t="s">
        <v>2509</v>
      </c>
      <c r="H4367" t="s">
        <v>2510</v>
      </c>
      <c r="I4367" t="s">
        <v>85</v>
      </c>
      <c r="J4367">
        <v>32</v>
      </c>
      <c r="K4367" t="s">
        <v>81</v>
      </c>
      <c r="L4367" t="s">
        <v>100</v>
      </c>
      <c r="M4367" t="s">
        <v>56</v>
      </c>
      <c r="N4367" t="s">
        <v>2665</v>
      </c>
      <c r="O4367" t="s">
        <v>128</v>
      </c>
      <c r="P4367" t="s">
        <v>53</v>
      </c>
      <c r="Q4367" t="s">
        <v>143</v>
      </c>
      <c r="R4367">
        <v>1</v>
      </c>
      <c r="S4367">
        <v>1499</v>
      </c>
      <c r="T4367">
        <v>0</v>
      </c>
      <c r="U4367">
        <v>1499</v>
      </c>
      <c r="V4367">
        <v>800</v>
      </c>
      <c r="W4367">
        <v>699</v>
      </c>
      <c r="X4367" t="s">
        <v>76</v>
      </c>
      <c r="Y4367" t="s">
        <v>70</v>
      </c>
      <c r="Z4367" t="s">
        <v>159</v>
      </c>
      <c r="AA4367" t="s">
        <v>166</v>
      </c>
      <c r="AB4367">
        <v>3.9</v>
      </c>
      <c r="AC4367">
        <v>80</v>
      </c>
      <c r="AD4367">
        <v>66.540000000000006</v>
      </c>
      <c r="AE4367">
        <f t="shared" si="136"/>
        <v>552.46</v>
      </c>
      <c r="AF4367" t="str">
        <f t="shared" si="137"/>
        <v>2026-07</v>
      </c>
      <c r="AG4367">
        <f>SUBTOTAL(103,A4367)</f>
        <v>1</v>
      </c>
    </row>
    <row r="4368" spans="1:33" x14ac:dyDescent="0.3">
      <c r="A4368" t="s">
        <v>6991</v>
      </c>
      <c r="B4368" s="13">
        <v>46215</v>
      </c>
      <c r="C4368">
        <v>2026</v>
      </c>
      <c r="D4368">
        <v>7</v>
      </c>
      <c r="E4368" t="s">
        <v>4046</v>
      </c>
      <c r="F4368" t="s">
        <v>4047</v>
      </c>
      <c r="G4368" t="s">
        <v>1345</v>
      </c>
      <c r="H4368" t="s">
        <v>1346</v>
      </c>
      <c r="I4368" t="s">
        <v>85</v>
      </c>
      <c r="J4368">
        <v>28</v>
      </c>
      <c r="K4368" t="s">
        <v>81</v>
      </c>
      <c r="L4368" t="s">
        <v>2646</v>
      </c>
      <c r="M4368" t="s">
        <v>63</v>
      </c>
      <c r="N4368" t="s">
        <v>2582</v>
      </c>
      <c r="O4368" t="s">
        <v>119</v>
      </c>
      <c r="P4368" t="s">
        <v>49</v>
      </c>
      <c r="Q4368" t="s">
        <v>140</v>
      </c>
      <c r="R4368">
        <v>2</v>
      </c>
      <c r="S4368">
        <v>3499</v>
      </c>
      <c r="T4368">
        <v>0.1</v>
      </c>
      <c r="U4368">
        <v>6298.2</v>
      </c>
      <c r="V4368">
        <v>4200</v>
      </c>
      <c r="W4368">
        <v>2098.1999999999998</v>
      </c>
      <c r="X4368" t="s">
        <v>77</v>
      </c>
      <c r="Y4368" t="s">
        <v>68</v>
      </c>
      <c r="Z4368" t="s">
        <v>162</v>
      </c>
      <c r="AA4368" t="s">
        <v>169</v>
      </c>
      <c r="AB4368">
        <v>4.0999999999999996</v>
      </c>
      <c r="AC4368">
        <v>40</v>
      </c>
      <c r="AD4368">
        <v>402.55</v>
      </c>
      <c r="AE4368">
        <f t="shared" si="136"/>
        <v>1655.6499999999999</v>
      </c>
      <c r="AF4368" t="str">
        <f t="shared" si="137"/>
        <v>2026-07</v>
      </c>
      <c r="AG4368">
        <f>SUBTOTAL(103,A4368)</f>
        <v>1</v>
      </c>
    </row>
    <row r="4369" spans="1:33" x14ac:dyDescent="0.3">
      <c r="A4369" t="s">
        <v>6992</v>
      </c>
      <c r="B4369" s="13">
        <v>46215</v>
      </c>
      <c r="C4369">
        <v>2026</v>
      </c>
      <c r="D4369">
        <v>7</v>
      </c>
      <c r="E4369" t="s">
        <v>4046</v>
      </c>
      <c r="F4369" t="s">
        <v>4047</v>
      </c>
      <c r="G4369" t="s">
        <v>1391</v>
      </c>
      <c r="H4369" t="s">
        <v>1392</v>
      </c>
      <c r="I4369" t="s">
        <v>85</v>
      </c>
      <c r="J4369">
        <v>28</v>
      </c>
      <c r="K4369" t="s">
        <v>81</v>
      </c>
      <c r="L4369" t="s">
        <v>92</v>
      </c>
      <c r="M4369" t="s">
        <v>59</v>
      </c>
      <c r="N4369" t="s">
        <v>2580</v>
      </c>
      <c r="O4369" t="s">
        <v>118</v>
      </c>
      <c r="P4369" t="s">
        <v>48</v>
      </c>
      <c r="Q4369" t="s">
        <v>142</v>
      </c>
      <c r="R4369">
        <v>1</v>
      </c>
      <c r="S4369">
        <v>3999</v>
      </c>
      <c r="T4369">
        <v>0.2</v>
      </c>
      <c r="U4369">
        <v>3199.2</v>
      </c>
      <c r="V4369">
        <v>2400</v>
      </c>
      <c r="W4369">
        <v>799.2</v>
      </c>
      <c r="X4369" t="s">
        <v>77</v>
      </c>
      <c r="Y4369" t="s">
        <v>69</v>
      </c>
      <c r="Z4369" t="s">
        <v>158</v>
      </c>
      <c r="AA4369" t="s">
        <v>167</v>
      </c>
      <c r="AB4369">
        <v>4.7</v>
      </c>
      <c r="AC4369">
        <v>80</v>
      </c>
      <c r="AD4369">
        <v>220.1</v>
      </c>
      <c r="AE4369">
        <f t="shared" si="136"/>
        <v>499.1</v>
      </c>
      <c r="AF4369" t="str">
        <f t="shared" si="137"/>
        <v>2026-07</v>
      </c>
      <c r="AG4369">
        <f>SUBTOTAL(103,A4369)</f>
        <v>1</v>
      </c>
    </row>
    <row r="4370" spans="1:33" x14ac:dyDescent="0.3">
      <c r="A4370" t="s">
        <v>6993</v>
      </c>
      <c r="B4370" s="13">
        <v>46215</v>
      </c>
      <c r="C4370">
        <v>2026</v>
      </c>
      <c r="D4370">
        <v>7</v>
      </c>
      <c r="E4370" t="s">
        <v>4046</v>
      </c>
      <c r="F4370" t="s">
        <v>4047</v>
      </c>
      <c r="G4370" t="s">
        <v>1465</v>
      </c>
      <c r="H4370" t="s">
        <v>1466</v>
      </c>
      <c r="I4370" t="s">
        <v>85</v>
      </c>
      <c r="J4370">
        <v>53</v>
      </c>
      <c r="K4370" t="s">
        <v>83</v>
      </c>
      <c r="L4370" t="s">
        <v>2637</v>
      </c>
      <c r="M4370" t="s">
        <v>64</v>
      </c>
      <c r="N4370" t="s">
        <v>2644</v>
      </c>
      <c r="O4370" t="s">
        <v>126</v>
      </c>
      <c r="P4370" t="s">
        <v>50</v>
      </c>
      <c r="Q4370" t="s">
        <v>145</v>
      </c>
      <c r="R4370">
        <v>1</v>
      </c>
      <c r="S4370">
        <v>1799</v>
      </c>
      <c r="T4370">
        <v>0.15</v>
      </c>
      <c r="U4370">
        <v>1529.15</v>
      </c>
      <c r="V4370">
        <v>950</v>
      </c>
      <c r="W4370">
        <v>579.15</v>
      </c>
      <c r="X4370" t="s">
        <v>75</v>
      </c>
      <c r="Y4370" t="s">
        <v>68</v>
      </c>
      <c r="Z4370" t="s">
        <v>158</v>
      </c>
      <c r="AA4370" t="s">
        <v>169</v>
      </c>
      <c r="AB4370">
        <v>4.2</v>
      </c>
      <c r="AC4370">
        <v>50</v>
      </c>
      <c r="AD4370">
        <v>64.39</v>
      </c>
      <c r="AE4370">
        <f t="shared" si="136"/>
        <v>464.76</v>
      </c>
      <c r="AF4370" t="str">
        <f t="shared" si="137"/>
        <v>2026-07</v>
      </c>
      <c r="AG4370">
        <f>SUBTOTAL(103,A4370)</f>
        <v>1</v>
      </c>
    </row>
    <row r="4371" spans="1:33" x14ac:dyDescent="0.3">
      <c r="A4371" t="s">
        <v>6994</v>
      </c>
      <c r="B4371" s="13">
        <v>46215</v>
      </c>
      <c r="C4371">
        <v>2026</v>
      </c>
      <c r="D4371">
        <v>7</v>
      </c>
      <c r="E4371" t="s">
        <v>4046</v>
      </c>
      <c r="F4371" t="s">
        <v>4047</v>
      </c>
      <c r="G4371" t="s">
        <v>1109</v>
      </c>
      <c r="H4371" t="s">
        <v>1110</v>
      </c>
      <c r="I4371" t="s">
        <v>86</v>
      </c>
      <c r="J4371">
        <v>32</v>
      </c>
      <c r="K4371" t="s">
        <v>81</v>
      </c>
      <c r="L4371" t="s">
        <v>2661</v>
      </c>
      <c r="M4371" t="s">
        <v>58</v>
      </c>
      <c r="N4371" t="s">
        <v>2577</v>
      </c>
      <c r="O4371" t="s">
        <v>129</v>
      </c>
      <c r="P4371" t="s">
        <v>49</v>
      </c>
      <c r="Q4371" t="s">
        <v>149</v>
      </c>
      <c r="R4371">
        <v>3</v>
      </c>
      <c r="S4371">
        <v>1299</v>
      </c>
      <c r="T4371">
        <v>0</v>
      </c>
      <c r="U4371">
        <v>3897</v>
      </c>
      <c r="V4371">
        <v>1950</v>
      </c>
      <c r="W4371">
        <v>1947</v>
      </c>
      <c r="X4371" t="s">
        <v>73</v>
      </c>
      <c r="Y4371" t="s">
        <v>68</v>
      </c>
      <c r="Z4371" t="s">
        <v>161</v>
      </c>
      <c r="AA4371" t="s">
        <v>169</v>
      </c>
      <c r="AB4371">
        <v>4.9000000000000004</v>
      </c>
      <c r="AC4371">
        <v>60</v>
      </c>
      <c r="AD4371">
        <v>390.96</v>
      </c>
      <c r="AE4371">
        <f t="shared" si="136"/>
        <v>1496.04</v>
      </c>
      <c r="AF4371" t="str">
        <f t="shared" si="137"/>
        <v>2026-07</v>
      </c>
      <c r="AG4371">
        <f>SUBTOTAL(103,A4371)</f>
        <v>1</v>
      </c>
    </row>
    <row r="4372" spans="1:33" x14ac:dyDescent="0.3">
      <c r="A4372" t="s">
        <v>6995</v>
      </c>
      <c r="B4372" s="13">
        <v>46215</v>
      </c>
      <c r="C4372">
        <v>2026</v>
      </c>
      <c r="D4372">
        <v>7</v>
      </c>
      <c r="E4372" t="s">
        <v>4046</v>
      </c>
      <c r="F4372" t="s">
        <v>4047</v>
      </c>
      <c r="G4372" t="s">
        <v>2023</v>
      </c>
      <c r="H4372" t="s">
        <v>2024</v>
      </c>
      <c r="I4372" t="s">
        <v>85</v>
      </c>
      <c r="J4372">
        <v>25</v>
      </c>
      <c r="K4372" t="s">
        <v>80</v>
      </c>
      <c r="L4372" t="s">
        <v>2573</v>
      </c>
      <c r="M4372" t="s">
        <v>63</v>
      </c>
      <c r="N4372" t="s">
        <v>2590</v>
      </c>
      <c r="O4372" t="s">
        <v>127</v>
      </c>
      <c r="P4372" t="s">
        <v>51</v>
      </c>
      <c r="Q4372" t="s">
        <v>148</v>
      </c>
      <c r="R4372">
        <v>1</v>
      </c>
      <c r="S4372">
        <v>1599</v>
      </c>
      <c r="T4372">
        <v>0</v>
      </c>
      <c r="U4372">
        <v>1599</v>
      </c>
      <c r="V4372">
        <v>800</v>
      </c>
      <c r="W4372">
        <v>799</v>
      </c>
      <c r="X4372" t="s">
        <v>73</v>
      </c>
      <c r="Y4372" t="s">
        <v>68</v>
      </c>
      <c r="Z4372" t="s">
        <v>158</v>
      </c>
      <c r="AA4372" t="s">
        <v>170</v>
      </c>
      <c r="AB4372">
        <v>3.8</v>
      </c>
      <c r="AC4372">
        <v>40</v>
      </c>
      <c r="AD4372">
        <v>143.03</v>
      </c>
      <c r="AE4372">
        <f t="shared" si="136"/>
        <v>615.97</v>
      </c>
      <c r="AF4372" t="str">
        <f t="shared" si="137"/>
        <v>2026-07</v>
      </c>
      <c r="AG4372">
        <f>SUBTOTAL(103,A4372)</f>
        <v>1</v>
      </c>
    </row>
    <row r="4373" spans="1:33" x14ac:dyDescent="0.3">
      <c r="A4373" t="s">
        <v>6996</v>
      </c>
      <c r="B4373" s="13">
        <v>46215</v>
      </c>
      <c r="C4373">
        <v>2026</v>
      </c>
      <c r="D4373">
        <v>7</v>
      </c>
      <c r="E4373" t="s">
        <v>4046</v>
      </c>
      <c r="F4373" t="s">
        <v>4047</v>
      </c>
      <c r="G4373" t="s">
        <v>1485</v>
      </c>
      <c r="H4373" t="s">
        <v>1486</v>
      </c>
      <c r="I4373" t="s">
        <v>85</v>
      </c>
      <c r="J4373">
        <v>38</v>
      </c>
      <c r="K4373" t="s">
        <v>82</v>
      </c>
      <c r="L4373" t="s">
        <v>2610</v>
      </c>
      <c r="M4373" t="s">
        <v>64</v>
      </c>
      <c r="N4373" t="s">
        <v>2582</v>
      </c>
      <c r="O4373" t="s">
        <v>119</v>
      </c>
      <c r="P4373" t="s">
        <v>49</v>
      </c>
      <c r="Q4373" t="s">
        <v>140</v>
      </c>
      <c r="R4373">
        <v>1</v>
      </c>
      <c r="S4373">
        <v>3499</v>
      </c>
      <c r="T4373">
        <v>0.1</v>
      </c>
      <c r="U4373">
        <v>3149.1</v>
      </c>
      <c r="V4373">
        <v>2100</v>
      </c>
      <c r="W4373">
        <v>1049.0999999999999</v>
      </c>
      <c r="X4373" t="s">
        <v>74</v>
      </c>
      <c r="Y4373" t="s">
        <v>69</v>
      </c>
      <c r="Z4373" t="s">
        <v>161</v>
      </c>
      <c r="AA4373" t="s">
        <v>167</v>
      </c>
      <c r="AB4373">
        <v>4.4000000000000004</v>
      </c>
      <c r="AC4373">
        <v>80</v>
      </c>
      <c r="AD4373">
        <v>342.28</v>
      </c>
      <c r="AE4373">
        <f t="shared" si="136"/>
        <v>626.81999999999994</v>
      </c>
      <c r="AF4373" t="str">
        <f t="shared" si="137"/>
        <v>2026-07</v>
      </c>
      <c r="AG4373">
        <f>SUBTOTAL(103,A4373)</f>
        <v>1</v>
      </c>
    </row>
    <row r="4374" spans="1:33" x14ac:dyDescent="0.3">
      <c r="A4374" t="s">
        <v>6997</v>
      </c>
      <c r="B4374" s="13">
        <v>46215</v>
      </c>
      <c r="C4374">
        <v>2026</v>
      </c>
      <c r="D4374">
        <v>7</v>
      </c>
      <c r="E4374" t="s">
        <v>4046</v>
      </c>
      <c r="F4374" t="s">
        <v>4047</v>
      </c>
      <c r="G4374" t="s">
        <v>1493</v>
      </c>
      <c r="H4374" t="s">
        <v>1494</v>
      </c>
      <c r="I4374" t="s">
        <v>86</v>
      </c>
      <c r="J4374">
        <v>34</v>
      </c>
      <c r="K4374" t="s">
        <v>81</v>
      </c>
      <c r="L4374" t="s">
        <v>2589</v>
      </c>
      <c r="M4374" t="s">
        <v>61</v>
      </c>
      <c r="N4374" t="s">
        <v>2644</v>
      </c>
      <c r="O4374" t="s">
        <v>126</v>
      </c>
      <c r="P4374" t="s">
        <v>50</v>
      </c>
      <c r="Q4374" t="s">
        <v>145</v>
      </c>
      <c r="R4374">
        <v>3</v>
      </c>
      <c r="S4374">
        <v>1799</v>
      </c>
      <c r="T4374">
        <v>0</v>
      </c>
      <c r="U4374">
        <v>5397</v>
      </c>
      <c r="V4374">
        <v>2850</v>
      </c>
      <c r="W4374">
        <v>2547</v>
      </c>
      <c r="X4374" t="s">
        <v>73</v>
      </c>
      <c r="Y4374" t="s">
        <v>68</v>
      </c>
      <c r="Z4374" t="s">
        <v>159</v>
      </c>
      <c r="AA4374" t="s">
        <v>167</v>
      </c>
      <c r="AB4374">
        <v>4</v>
      </c>
      <c r="AC4374">
        <v>40</v>
      </c>
      <c r="AD4374">
        <v>228.22</v>
      </c>
      <c r="AE4374">
        <f t="shared" si="136"/>
        <v>2278.7800000000002</v>
      </c>
      <c r="AF4374" t="str">
        <f t="shared" si="137"/>
        <v>2026-07</v>
      </c>
      <c r="AG4374">
        <f>SUBTOTAL(103,A4374)</f>
        <v>1</v>
      </c>
    </row>
    <row r="4375" spans="1:33" x14ac:dyDescent="0.3">
      <c r="A4375" t="s">
        <v>6998</v>
      </c>
      <c r="B4375" s="13">
        <v>46215</v>
      </c>
      <c r="C4375">
        <v>2026</v>
      </c>
      <c r="D4375">
        <v>7</v>
      </c>
      <c r="E4375" t="s">
        <v>4046</v>
      </c>
      <c r="F4375" t="s">
        <v>4047</v>
      </c>
      <c r="G4375" t="s">
        <v>531</v>
      </c>
      <c r="H4375" t="s">
        <v>532</v>
      </c>
      <c r="I4375" t="s">
        <v>85</v>
      </c>
      <c r="J4375">
        <v>32</v>
      </c>
      <c r="K4375" t="s">
        <v>81</v>
      </c>
      <c r="L4375" t="s">
        <v>2612</v>
      </c>
      <c r="M4375" t="s">
        <v>64</v>
      </c>
      <c r="N4375" t="s">
        <v>2592</v>
      </c>
      <c r="O4375" t="s">
        <v>115</v>
      </c>
      <c r="P4375" t="s">
        <v>48</v>
      </c>
      <c r="Q4375" t="s">
        <v>137</v>
      </c>
      <c r="R4375">
        <v>4</v>
      </c>
      <c r="S4375">
        <v>12999</v>
      </c>
      <c r="T4375">
        <v>0.1</v>
      </c>
      <c r="U4375">
        <v>46796.4</v>
      </c>
      <c r="V4375">
        <v>36000</v>
      </c>
      <c r="W4375">
        <v>10796.4</v>
      </c>
      <c r="X4375" t="s">
        <v>77</v>
      </c>
      <c r="Y4375" t="s">
        <v>68</v>
      </c>
      <c r="Z4375" t="s">
        <v>158</v>
      </c>
      <c r="AA4375" t="s">
        <v>170</v>
      </c>
      <c r="AB4375">
        <v>3.8</v>
      </c>
      <c r="AC4375">
        <v>50</v>
      </c>
      <c r="AD4375">
        <v>3161.17</v>
      </c>
      <c r="AE4375">
        <f t="shared" si="136"/>
        <v>7585.23</v>
      </c>
      <c r="AF4375" t="str">
        <f t="shared" si="137"/>
        <v>2026-07</v>
      </c>
      <c r="AG4375">
        <f>SUBTOTAL(103,A4375)</f>
        <v>1</v>
      </c>
    </row>
    <row r="4376" spans="1:33" x14ac:dyDescent="0.3">
      <c r="A4376" t="s">
        <v>6999</v>
      </c>
      <c r="B4376" s="13">
        <v>46215</v>
      </c>
      <c r="C4376">
        <v>2026</v>
      </c>
      <c r="D4376">
        <v>7</v>
      </c>
      <c r="E4376" t="s">
        <v>4046</v>
      </c>
      <c r="F4376" t="s">
        <v>4047</v>
      </c>
      <c r="G4376" t="s">
        <v>995</v>
      </c>
      <c r="H4376" t="s">
        <v>996</v>
      </c>
      <c r="I4376" t="s">
        <v>86</v>
      </c>
      <c r="J4376">
        <v>27</v>
      </c>
      <c r="K4376" t="s">
        <v>81</v>
      </c>
      <c r="L4376" t="s">
        <v>2623</v>
      </c>
      <c r="M4376" t="s">
        <v>61</v>
      </c>
      <c r="N4376" t="s">
        <v>2584</v>
      </c>
      <c r="O4376" t="s">
        <v>121</v>
      </c>
      <c r="P4376" t="s">
        <v>50</v>
      </c>
      <c r="Q4376" t="s">
        <v>144</v>
      </c>
      <c r="R4376">
        <v>2</v>
      </c>
      <c r="S4376">
        <v>2999</v>
      </c>
      <c r="T4376">
        <v>0.15</v>
      </c>
      <c r="U4376">
        <v>0</v>
      </c>
      <c r="V4376">
        <v>0</v>
      </c>
      <c r="W4376">
        <v>0</v>
      </c>
      <c r="X4376" t="s">
        <v>76</v>
      </c>
      <c r="Y4376" t="s">
        <v>71</v>
      </c>
      <c r="Z4376" t="s">
        <v>159</v>
      </c>
      <c r="AA4376" t="s">
        <v>167</v>
      </c>
      <c r="AB4376">
        <v>5</v>
      </c>
      <c r="AC4376">
        <v>60</v>
      </c>
      <c r="AD4376">
        <v>507.99</v>
      </c>
      <c r="AE4376">
        <f t="shared" si="136"/>
        <v>-567.99</v>
      </c>
      <c r="AF4376" t="str">
        <f t="shared" si="137"/>
        <v>2026-07</v>
      </c>
      <c r="AG4376">
        <f>SUBTOTAL(103,A4376)</f>
        <v>1</v>
      </c>
    </row>
    <row r="4377" spans="1:33" x14ac:dyDescent="0.3">
      <c r="A4377" t="s">
        <v>7000</v>
      </c>
      <c r="B4377" s="13">
        <v>46215</v>
      </c>
      <c r="C4377">
        <v>2026</v>
      </c>
      <c r="D4377">
        <v>7</v>
      </c>
      <c r="E4377" t="s">
        <v>4046</v>
      </c>
      <c r="F4377" t="s">
        <v>4047</v>
      </c>
      <c r="G4377" t="s">
        <v>777</v>
      </c>
      <c r="H4377" t="s">
        <v>778</v>
      </c>
      <c r="I4377" t="s">
        <v>85</v>
      </c>
      <c r="J4377">
        <v>49</v>
      </c>
      <c r="K4377" t="s">
        <v>83</v>
      </c>
      <c r="L4377" t="s">
        <v>2687</v>
      </c>
      <c r="M4377" t="s">
        <v>57</v>
      </c>
      <c r="N4377" t="s">
        <v>2596</v>
      </c>
      <c r="O4377" t="s">
        <v>124</v>
      </c>
      <c r="P4377" t="s">
        <v>51</v>
      </c>
      <c r="Q4377" t="s">
        <v>147</v>
      </c>
      <c r="R4377">
        <v>2</v>
      </c>
      <c r="S4377">
        <v>2299</v>
      </c>
      <c r="T4377">
        <v>0.05</v>
      </c>
      <c r="U4377">
        <v>4368.1000000000004</v>
      </c>
      <c r="V4377">
        <v>2400</v>
      </c>
      <c r="W4377">
        <v>1968.1</v>
      </c>
      <c r="X4377" t="s">
        <v>75</v>
      </c>
      <c r="Y4377" t="s">
        <v>68</v>
      </c>
      <c r="Z4377" t="s">
        <v>161</v>
      </c>
      <c r="AA4377" t="s">
        <v>166</v>
      </c>
      <c r="AB4377">
        <v>3.8</v>
      </c>
      <c r="AC4377">
        <v>50</v>
      </c>
      <c r="AD4377">
        <v>197.81</v>
      </c>
      <c r="AE4377">
        <f t="shared" si="136"/>
        <v>1720.29</v>
      </c>
      <c r="AF4377" t="str">
        <f t="shared" si="137"/>
        <v>2026-07</v>
      </c>
      <c r="AG4377">
        <f>SUBTOTAL(103,A4377)</f>
        <v>1</v>
      </c>
    </row>
    <row r="4378" spans="1:33" x14ac:dyDescent="0.3">
      <c r="A4378" t="s">
        <v>7001</v>
      </c>
      <c r="B4378" s="13">
        <v>46215</v>
      </c>
      <c r="C4378">
        <v>2026</v>
      </c>
      <c r="D4378">
        <v>7</v>
      </c>
      <c r="E4378" t="s">
        <v>4046</v>
      </c>
      <c r="F4378" t="s">
        <v>4047</v>
      </c>
      <c r="G4378" t="s">
        <v>1991</v>
      </c>
      <c r="H4378" t="s">
        <v>1992</v>
      </c>
      <c r="I4378" t="s">
        <v>86</v>
      </c>
      <c r="J4378">
        <v>52</v>
      </c>
      <c r="K4378" t="s">
        <v>83</v>
      </c>
      <c r="L4378" t="s">
        <v>2589</v>
      </c>
      <c r="M4378" t="s">
        <v>61</v>
      </c>
      <c r="N4378" t="s">
        <v>2590</v>
      </c>
      <c r="O4378" t="s">
        <v>127</v>
      </c>
      <c r="P4378" t="s">
        <v>51</v>
      </c>
      <c r="Q4378" t="s">
        <v>148</v>
      </c>
      <c r="R4378">
        <v>1</v>
      </c>
      <c r="S4378">
        <v>1599</v>
      </c>
      <c r="T4378">
        <v>0</v>
      </c>
      <c r="U4378">
        <v>1599</v>
      </c>
      <c r="V4378">
        <v>800</v>
      </c>
      <c r="W4378">
        <v>799</v>
      </c>
      <c r="X4378" t="s">
        <v>74</v>
      </c>
      <c r="Y4378" t="s">
        <v>68</v>
      </c>
      <c r="Z4378" t="s">
        <v>163</v>
      </c>
      <c r="AA4378" t="s">
        <v>166</v>
      </c>
      <c r="AB4378">
        <v>3.4</v>
      </c>
      <c r="AC4378">
        <v>40</v>
      </c>
      <c r="AD4378">
        <v>174.64</v>
      </c>
      <c r="AE4378">
        <f t="shared" si="136"/>
        <v>584.36</v>
      </c>
      <c r="AF4378" t="str">
        <f t="shared" si="137"/>
        <v>2026-07</v>
      </c>
      <c r="AG4378">
        <f>SUBTOTAL(103,A4378)</f>
        <v>1</v>
      </c>
    </row>
    <row r="4379" spans="1:33" x14ac:dyDescent="0.3">
      <c r="A4379" t="s">
        <v>7002</v>
      </c>
      <c r="B4379" s="13">
        <v>46215</v>
      </c>
      <c r="C4379">
        <v>2026</v>
      </c>
      <c r="D4379">
        <v>7</v>
      </c>
      <c r="E4379" t="s">
        <v>4046</v>
      </c>
      <c r="F4379" t="s">
        <v>4047</v>
      </c>
      <c r="G4379" t="s">
        <v>1891</v>
      </c>
      <c r="H4379" t="s">
        <v>1892</v>
      </c>
      <c r="I4379" t="s">
        <v>85</v>
      </c>
      <c r="J4379">
        <v>35</v>
      </c>
      <c r="K4379" t="s">
        <v>81</v>
      </c>
      <c r="L4379" t="s">
        <v>2573</v>
      </c>
      <c r="M4379" t="s">
        <v>63</v>
      </c>
      <c r="N4379" t="s">
        <v>2594</v>
      </c>
      <c r="O4379" t="s">
        <v>131</v>
      </c>
      <c r="P4379" t="s">
        <v>53</v>
      </c>
      <c r="Q4379" t="s">
        <v>143</v>
      </c>
      <c r="R4379">
        <v>3</v>
      </c>
      <c r="S4379">
        <v>999</v>
      </c>
      <c r="T4379">
        <v>0.15</v>
      </c>
      <c r="U4379">
        <v>2547.4499999999998</v>
      </c>
      <c r="V4379">
        <v>1560</v>
      </c>
      <c r="W4379">
        <v>987.45</v>
      </c>
      <c r="X4379" t="s">
        <v>73</v>
      </c>
      <c r="Y4379" t="s">
        <v>68</v>
      </c>
      <c r="Z4379" t="s">
        <v>162</v>
      </c>
      <c r="AA4379" t="s">
        <v>170</v>
      </c>
      <c r="AB4379">
        <v>4</v>
      </c>
      <c r="AC4379">
        <v>60</v>
      </c>
      <c r="AD4379">
        <v>126.94</v>
      </c>
      <c r="AE4379">
        <f t="shared" si="136"/>
        <v>800.51</v>
      </c>
      <c r="AF4379" t="str">
        <f t="shared" si="137"/>
        <v>2026-07</v>
      </c>
      <c r="AG4379">
        <f>SUBTOTAL(103,A4379)</f>
        <v>1</v>
      </c>
    </row>
    <row r="4380" spans="1:33" x14ac:dyDescent="0.3">
      <c r="A4380" t="s">
        <v>7003</v>
      </c>
      <c r="B4380" s="13">
        <v>46215</v>
      </c>
      <c r="C4380">
        <v>2026</v>
      </c>
      <c r="D4380">
        <v>7</v>
      </c>
      <c r="E4380" t="s">
        <v>4046</v>
      </c>
      <c r="F4380" t="s">
        <v>4047</v>
      </c>
      <c r="G4380" t="s">
        <v>1333</v>
      </c>
      <c r="H4380" t="s">
        <v>1334</v>
      </c>
      <c r="I4380" t="s">
        <v>85</v>
      </c>
      <c r="J4380">
        <v>57</v>
      </c>
      <c r="K4380" t="s">
        <v>83</v>
      </c>
      <c r="L4380" t="s">
        <v>2610</v>
      </c>
      <c r="M4380" t="s">
        <v>64</v>
      </c>
      <c r="N4380" t="s">
        <v>2590</v>
      </c>
      <c r="O4380" t="s">
        <v>127</v>
      </c>
      <c r="P4380" t="s">
        <v>51</v>
      </c>
      <c r="Q4380" t="s">
        <v>148</v>
      </c>
      <c r="R4380">
        <v>1</v>
      </c>
      <c r="S4380">
        <v>1599</v>
      </c>
      <c r="T4380">
        <v>0.25</v>
      </c>
      <c r="U4380">
        <v>1199.25</v>
      </c>
      <c r="V4380">
        <v>800</v>
      </c>
      <c r="W4380">
        <v>399.25</v>
      </c>
      <c r="X4380" t="s">
        <v>77</v>
      </c>
      <c r="Y4380" t="s">
        <v>70</v>
      </c>
      <c r="Z4380" t="s">
        <v>160</v>
      </c>
      <c r="AA4380" t="s">
        <v>170</v>
      </c>
      <c r="AB4380">
        <v>3.5</v>
      </c>
      <c r="AC4380">
        <v>40</v>
      </c>
      <c r="AD4380">
        <v>32.01</v>
      </c>
      <c r="AE4380">
        <f t="shared" si="136"/>
        <v>327.24</v>
      </c>
      <c r="AF4380" t="str">
        <f t="shared" si="137"/>
        <v>2026-07</v>
      </c>
      <c r="AG4380">
        <f>SUBTOTAL(103,A4380)</f>
        <v>1</v>
      </c>
    </row>
    <row r="4381" spans="1:33" x14ac:dyDescent="0.3">
      <c r="A4381" t="s">
        <v>7004</v>
      </c>
      <c r="B4381" s="13">
        <v>46216</v>
      </c>
      <c r="C4381">
        <v>2026</v>
      </c>
      <c r="D4381">
        <v>7</v>
      </c>
      <c r="E4381" t="s">
        <v>4046</v>
      </c>
      <c r="F4381" t="s">
        <v>4047</v>
      </c>
      <c r="G4381" t="s">
        <v>1365</v>
      </c>
      <c r="H4381" t="s">
        <v>1366</v>
      </c>
      <c r="I4381" t="s">
        <v>85</v>
      </c>
      <c r="J4381">
        <v>45</v>
      </c>
      <c r="K4381" t="s">
        <v>82</v>
      </c>
      <c r="L4381" t="s">
        <v>2646</v>
      </c>
      <c r="M4381" t="s">
        <v>63</v>
      </c>
      <c r="N4381" t="s">
        <v>2580</v>
      </c>
      <c r="O4381" t="s">
        <v>118</v>
      </c>
      <c r="P4381" t="s">
        <v>48</v>
      </c>
      <c r="Q4381" t="s">
        <v>142</v>
      </c>
      <c r="R4381">
        <v>3</v>
      </c>
      <c r="S4381">
        <v>3999</v>
      </c>
      <c r="T4381">
        <v>0.1</v>
      </c>
      <c r="U4381">
        <v>10797.3</v>
      </c>
      <c r="V4381">
        <v>7200</v>
      </c>
      <c r="W4381">
        <v>3597.3</v>
      </c>
      <c r="X4381" t="s">
        <v>73</v>
      </c>
      <c r="Y4381" t="s">
        <v>68</v>
      </c>
      <c r="Z4381" t="s">
        <v>159</v>
      </c>
      <c r="AA4381" t="s">
        <v>169</v>
      </c>
      <c r="AB4381">
        <v>4.9000000000000004</v>
      </c>
      <c r="AC4381">
        <v>60</v>
      </c>
      <c r="AD4381">
        <v>980.92</v>
      </c>
      <c r="AE4381">
        <f t="shared" si="136"/>
        <v>2556.38</v>
      </c>
      <c r="AF4381" t="str">
        <f t="shared" si="137"/>
        <v>2026-07</v>
      </c>
      <c r="AG4381">
        <f>SUBTOTAL(103,A4381)</f>
        <v>1</v>
      </c>
    </row>
    <row r="4382" spans="1:33" x14ac:dyDescent="0.3">
      <c r="A4382" t="s">
        <v>7005</v>
      </c>
      <c r="B4382" s="13">
        <v>46216</v>
      </c>
      <c r="C4382">
        <v>2026</v>
      </c>
      <c r="D4382">
        <v>7</v>
      </c>
      <c r="E4382" t="s">
        <v>4046</v>
      </c>
      <c r="F4382" t="s">
        <v>4047</v>
      </c>
      <c r="G4382" t="s">
        <v>1357</v>
      </c>
      <c r="H4382" t="s">
        <v>1358</v>
      </c>
      <c r="I4382" t="s">
        <v>85</v>
      </c>
      <c r="J4382">
        <v>41</v>
      </c>
      <c r="K4382" t="s">
        <v>82</v>
      </c>
      <c r="L4382" t="s">
        <v>2634</v>
      </c>
      <c r="M4382" t="s">
        <v>56</v>
      </c>
      <c r="N4382" t="s">
        <v>2657</v>
      </c>
      <c r="O4382" t="s">
        <v>134</v>
      </c>
      <c r="P4382" t="s">
        <v>49</v>
      </c>
      <c r="Q4382" t="s">
        <v>140</v>
      </c>
      <c r="R4382">
        <v>2</v>
      </c>
      <c r="S4382">
        <v>599</v>
      </c>
      <c r="T4382">
        <v>0.05</v>
      </c>
      <c r="U4382">
        <v>1138.0999999999999</v>
      </c>
      <c r="V4382">
        <v>500</v>
      </c>
      <c r="W4382">
        <v>638.1</v>
      </c>
      <c r="X4382" t="s">
        <v>73</v>
      </c>
      <c r="Y4382" t="s">
        <v>68</v>
      </c>
      <c r="Z4382" t="s">
        <v>158</v>
      </c>
      <c r="AA4382" t="s">
        <v>167</v>
      </c>
      <c r="AB4382">
        <v>3.3</v>
      </c>
      <c r="AC4382">
        <v>60</v>
      </c>
      <c r="AD4382">
        <v>124.11</v>
      </c>
      <c r="AE4382">
        <f t="shared" si="136"/>
        <v>453.99</v>
      </c>
      <c r="AF4382" t="str">
        <f t="shared" si="137"/>
        <v>2026-07</v>
      </c>
      <c r="AG4382">
        <f>SUBTOTAL(103,A4382)</f>
        <v>1</v>
      </c>
    </row>
    <row r="4383" spans="1:33" x14ac:dyDescent="0.3">
      <c r="A4383" t="s">
        <v>7006</v>
      </c>
      <c r="B4383" s="13">
        <v>46216</v>
      </c>
      <c r="C4383">
        <v>2026</v>
      </c>
      <c r="D4383">
        <v>7</v>
      </c>
      <c r="E4383" t="s">
        <v>4046</v>
      </c>
      <c r="F4383" t="s">
        <v>4047</v>
      </c>
      <c r="G4383" t="s">
        <v>731</v>
      </c>
      <c r="H4383" t="s">
        <v>732</v>
      </c>
      <c r="I4383" t="s">
        <v>85</v>
      </c>
      <c r="J4383">
        <v>31</v>
      </c>
      <c r="K4383" t="s">
        <v>81</v>
      </c>
      <c r="L4383" t="s">
        <v>93</v>
      </c>
      <c r="M4383" t="s">
        <v>55</v>
      </c>
      <c r="N4383" t="s">
        <v>2603</v>
      </c>
      <c r="O4383" t="s">
        <v>122</v>
      </c>
      <c r="P4383" t="s">
        <v>48</v>
      </c>
      <c r="Q4383" t="s">
        <v>141</v>
      </c>
      <c r="R4383">
        <v>1</v>
      </c>
      <c r="S4383">
        <v>2499</v>
      </c>
      <c r="T4383">
        <v>0</v>
      </c>
      <c r="U4383">
        <v>2499</v>
      </c>
      <c r="V4383">
        <v>1450</v>
      </c>
      <c r="W4383">
        <v>1049</v>
      </c>
      <c r="X4383" t="s">
        <v>73</v>
      </c>
      <c r="Y4383" t="s">
        <v>68</v>
      </c>
      <c r="Z4383" t="s">
        <v>161</v>
      </c>
      <c r="AA4383" t="s">
        <v>169</v>
      </c>
      <c r="AB4383">
        <v>4.0999999999999996</v>
      </c>
      <c r="AC4383">
        <v>50</v>
      </c>
      <c r="AD4383">
        <v>100.03</v>
      </c>
      <c r="AE4383">
        <f t="shared" si="136"/>
        <v>898.97</v>
      </c>
      <c r="AF4383" t="str">
        <f t="shared" si="137"/>
        <v>2026-07</v>
      </c>
      <c r="AG4383">
        <f>SUBTOTAL(103,A4383)</f>
        <v>1</v>
      </c>
    </row>
    <row r="4384" spans="1:33" x14ac:dyDescent="0.3">
      <c r="A4384" t="s">
        <v>7007</v>
      </c>
      <c r="B4384" s="13">
        <v>46216</v>
      </c>
      <c r="C4384">
        <v>2026</v>
      </c>
      <c r="D4384">
        <v>7</v>
      </c>
      <c r="E4384" t="s">
        <v>4046</v>
      </c>
      <c r="F4384" t="s">
        <v>4047</v>
      </c>
      <c r="G4384" t="s">
        <v>235</v>
      </c>
      <c r="H4384" t="s">
        <v>236</v>
      </c>
      <c r="I4384" t="s">
        <v>85</v>
      </c>
      <c r="J4384">
        <v>27</v>
      </c>
      <c r="K4384" t="s">
        <v>81</v>
      </c>
      <c r="L4384" t="s">
        <v>59</v>
      </c>
      <c r="M4384" t="s">
        <v>59</v>
      </c>
      <c r="N4384" t="s">
        <v>2653</v>
      </c>
      <c r="O4384" t="s">
        <v>132</v>
      </c>
      <c r="P4384" t="s">
        <v>52</v>
      </c>
      <c r="Q4384" t="s">
        <v>150</v>
      </c>
      <c r="R4384">
        <v>1</v>
      </c>
      <c r="S4384">
        <v>899</v>
      </c>
      <c r="T4384">
        <v>0.2</v>
      </c>
      <c r="U4384">
        <v>719.2</v>
      </c>
      <c r="V4384">
        <v>420</v>
      </c>
      <c r="W4384">
        <v>299.2</v>
      </c>
      <c r="X4384" t="s">
        <v>73</v>
      </c>
      <c r="Y4384" t="s">
        <v>69</v>
      </c>
      <c r="Z4384" t="s">
        <v>159</v>
      </c>
      <c r="AA4384" t="s">
        <v>168</v>
      </c>
      <c r="AB4384">
        <v>4</v>
      </c>
      <c r="AC4384">
        <v>120</v>
      </c>
      <c r="AD4384">
        <v>39.97</v>
      </c>
      <c r="AE4384">
        <f t="shared" si="136"/>
        <v>139.22999999999999</v>
      </c>
      <c r="AF4384" t="str">
        <f t="shared" si="137"/>
        <v>2026-07</v>
      </c>
      <c r="AG4384">
        <f>SUBTOTAL(103,A4384)</f>
        <v>1</v>
      </c>
    </row>
    <row r="4385" spans="1:33" x14ac:dyDescent="0.3">
      <c r="A4385" t="s">
        <v>7008</v>
      </c>
      <c r="B4385" s="13">
        <v>46216</v>
      </c>
      <c r="C4385">
        <v>2026</v>
      </c>
      <c r="D4385">
        <v>7</v>
      </c>
      <c r="E4385" t="s">
        <v>4046</v>
      </c>
      <c r="F4385" t="s">
        <v>4047</v>
      </c>
      <c r="G4385" t="s">
        <v>653</v>
      </c>
      <c r="H4385" t="s">
        <v>654</v>
      </c>
      <c r="I4385" t="s">
        <v>85</v>
      </c>
      <c r="J4385">
        <v>32</v>
      </c>
      <c r="K4385" t="s">
        <v>81</v>
      </c>
      <c r="L4385" t="s">
        <v>2605</v>
      </c>
      <c r="M4385" t="s">
        <v>60</v>
      </c>
      <c r="N4385" t="s">
        <v>2630</v>
      </c>
      <c r="O4385" t="s">
        <v>123</v>
      </c>
      <c r="P4385" t="s">
        <v>52</v>
      </c>
      <c r="Q4385" t="s">
        <v>146</v>
      </c>
      <c r="R4385">
        <v>1</v>
      </c>
      <c r="S4385">
        <v>2499</v>
      </c>
      <c r="T4385">
        <v>0.1</v>
      </c>
      <c r="U4385">
        <v>2249.1</v>
      </c>
      <c r="V4385">
        <v>1400</v>
      </c>
      <c r="W4385">
        <v>849.1</v>
      </c>
      <c r="X4385" t="s">
        <v>74</v>
      </c>
      <c r="Y4385" t="s">
        <v>68</v>
      </c>
      <c r="Z4385" t="s">
        <v>160</v>
      </c>
      <c r="AA4385" t="s">
        <v>166</v>
      </c>
      <c r="AB4385">
        <v>4.2</v>
      </c>
      <c r="AC4385">
        <v>60</v>
      </c>
      <c r="AD4385">
        <v>78.61</v>
      </c>
      <c r="AE4385">
        <f t="shared" si="136"/>
        <v>710.49</v>
      </c>
      <c r="AF4385" t="str">
        <f t="shared" si="137"/>
        <v>2026-07</v>
      </c>
      <c r="AG4385">
        <f>SUBTOTAL(103,A4385)</f>
        <v>1</v>
      </c>
    </row>
    <row r="4386" spans="1:33" x14ac:dyDescent="0.3">
      <c r="A4386" t="s">
        <v>7009</v>
      </c>
      <c r="B4386" s="13">
        <v>46216</v>
      </c>
      <c r="C4386">
        <v>2026</v>
      </c>
      <c r="D4386">
        <v>7</v>
      </c>
      <c r="E4386" t="s">
        <v>4046</v>
      </c>
      <c r="F4386" t="s">
        <v>4047</v>
      </c>
      <c r="G4386" t="s">
        <v>1537</v>
      </c>
      <c r="H4386" t="s">
        <v>1538</v>
      </c>
      <c r="I4386" t="s">
        <v>85</v>
      </c>
      <c r="J4386">
        <v>18</v>
      </c>
      <c r="K4386" t="s">
        <v>80</v>
      </c>
      <c r="L4386" t="s">
        <v>2579</v>
      </c>
      <c r="M4386" t="s">
        <v>56</v>
      </c>
      <c r="N4386" t="s">
        <v>2590</v>
      </c>
      <c r="O4386" t="s">
        <v>127</v>
      </c>
      <c r="P4386" t="s">
        <v>51</v>
      </c>
      <c r="Q4386" t="s">
        <v>148</v>
      </c>
      <c r="R4386">
        <v>2</v>
      </c>
      <c r="S4386">
        <v>1599</v>
      </c>
      <c r="T4386">
        <v>0.2</v>
      </c>
      <c r="U4386">
        <v>2558.4</v>
      </c>
      <c r="V4386">
        <v>1600</v>
      </c>
      <c r="W4386">
        <v>958.4</v>
      </c>
      <c r="X4386" t="s">
        <v>75</v>
      </c>
      <c r="Y4386" t="s">
        <v>68</v>
      </c>
      <c r="Z4386" t="s">
        <v>158</v>
      </c>
      <c r="AA4386" t="s">
        <v>169</v>
      </c>
      <c r="AB4386">
        <v>3.8</v>
      </c>
      <c r="AC4386">
        <v>60</v>
      </c>
      <c r="AD4386">
        <v>163.08000000000001</v>
      </c>
      <c r="AE4386">
        <f t="shared" si="136"/>
        <v>735.31999999999994</v>
      </c>
      <c r="AF4386" t="str">
        <f t="shared" si="137"/>
        <v>2026-07</v>
      </c>
      <c r="AG4386">
        <f>SUBTOTAL(103,A4386)</f>
        <v>1</v>
      </c>
    </row>
    <row r="4387" spans="1:33" x14ac:dyDescent="0.3">
      <c r="A4387" t="s">
        <v>7010</v>
      </c>
      <c r="B4387" s="13">
        <v>46217</v>
      </c>
      <c r="C4387">
        <v>2026</v>
      </c>
      <c r="D4387">
        <v>7</v>
      </c>
      <c r="E4387" t="s">
        <v>4046</v>
      </c>
      <c r="F4387" t="s">
        <v>4047</v>
      </c>
      <c r="G4387" t="s">
        <v>1441</v>
      </c>
      <c r="H4387" t="s">
        <v>1442</v>
      </c>
      <c r="I4387" t="s">
        <v>86</v>
      </c>
      <c r="J4387">
        <v>40</v>
      </c>
      <c r="K4387" t="s">
        <v>82</v>
      </c>
      <c r="L4387" t="s">
        <v>91</v>
      </c>
      <c r="M4387" t="s">
        <v>55</v>
      </c>
      <c r="N4387" t="s">
        <v>2580</v>
      </c>
      <c r="O4387" t="s">
        <v>118</v>
      </c>
      <c r="P4387" t="s">
        <v>48</v>
      </c>
      <c r="Q4387" t="s">
        <v>142</v>
      </c>
      <c r="R4387">
        <v>3</v>
      </c>
      <c r="S4387">
        <v>3999</v>
      </c>
      <c r="T4387">
        <v>0</v>
      </c>
      <c r="U4387">
        <v>11997</v>
      </c>
      <c r="V4387">
        <v>7200</v>
      </c>
      <c r="W4387">
        <v>4797</v>
      </c>
      <c r="X4387" t="s">
        <v>76</v>
      </c>
      <c r="Y4387" t="s">
        <v>68</v>
      </c>
      <c r="Z4387" t="s">
        <v>158</v>
      </c>
      <c r="AA4387" t="s">
        <v>166</v>
      </c>
      <c r="AB4387">
        <v>5</v>
      </c>
      <c r="AC4387">
        <v>50</v>
      </c>
      <c r="AD4387">
        <v>1127.1300000000001</v>
      </c>
      <c r="AE4387">
        <f t="shared" si="136"/>
        <v>3619.87</v>
      </c>
      <c r="AF4387" t="str">
        <f t="shared" si="137"/>
        <v>2026-07</v>
      </c>
      <c r="AG4387">
        <f>SUBTOTAL(103,A4387)</f>
        <v>1</v>
      </c>
    </row>
    <row r="4388" spans="1:33" x14ac:dyDescent="0.3">
      <c r="A4388" t="s">
        <v>7011</v>
      </c>
      <c r="B4388" s="13">
        <v>46217</v>
      </c>
      <c r="C4388">
        <v>2026</v>
      </c>
      <c r="D4388">
        <v>7</v>
      </c>
      <c r="E4388" t="s">
        <v>4046</v>
      </c>
      <c r="F4388" t="s">
        <v>4047</v>
      </c>
      <c r="G4388" t="s">
        <v>2471</v>
      </c>
      <c r="H4388" t="s">
        <v>2472</v>
      </c>
      <c r="I4388" t="s">
        <v>85</v>
      </c>
      <c r="J4388">
        <v>48</v>
      </c>
      <c r="K4388" t="s">
        <v>83</v>
      </c>
      <c r="L4388" t="s">
        <v>2674</v>
      </c>
      <c r="M4388" t="s">
        <v>58</v>
      </c>
      <c r="N4388" t="s">
        <v>2596</v>
      </c>
      <c r="O4388" t="s">
        <v>124</v>
      </c>
      <c r="P4388" t="s">
        <v>51</v>
      </c>
      <c r="Q4388" t="s">
        <v>147</v>
      </c>
      <c r="R4388">
        <v>1</v>
      </c>
      <c r="S4388">
        <v>2299</v>
      </c>
      <c r="T4388">
        <v>0.15</v>
      </c>
      <c r="U4388">
        <v>1954.15</v>
      </c>
      <c r="V4388">
        <v>1200</v>
      </c>
      <c r="W4388">
        <v>754.15</v>
      </c>
      <c r="X4388" t="s">
        <v>75</v>
      </c>
      <c r="Y4388" t="s">
        <v>68</v>
      </c>
      <c r="Z4388" t="s">
        <v>163</v>
      </c>
      <c r="AA4388" t="s">
        <v>166</v>
      </c>
      <c r="AB4388">
        <v>3.5</v>
      </c>
      <c r="AC4388">
        <v>50</v>
      </c>
      <c r="AD4388">
        <v>155.09</v>
      </c>
      <c r="AE4388">
        <f t="shared" si="136"/>
        <v>549.05999999999995</v>
      </c>
      <c r="AF4388" t="str">
        <f t="shared" si="137"/>
        <v>2026-07</v>
      </c>
      <c r="AG4388">
        <f>SUBTOTAL(103,A4388)</f>
        <v>1</v>
      </c>
    </row>
    <row r="4389" spans="1:33" x14ac:dyDescent="0.3">
      <c r="A4389" t="s">
        <v>7012</v>
      </c>
      <c r="B4389" s="13">
        <v>46217</v>
      </c>
      <c r="C4389">
        <v>2026</v>
      </c>
      <c r="D4389">
        <v>7</v>
      </c>
      <c r="E4389" t="s">
        <v>4046</v>
      </c>
      <c r="F4389" t="s">
        <v>4047</v>
      </c>
      <c r="G4389" t="s">
        <v>1151</v>
      </c>
      <c r="H4389" t="s">
        <v>1152</v>
      </c>
      <c r="I4389" t="s">
        <v>85</v>
      </c>
      <c r="J4389">
        <v>44</v>
      </c>
      <c r="K4389" t="s">
        <v>82</v>
      </c>
      <c r="L4389" t="s">
        <v>94</v>
      </c>
      <c r="M4389" t="s">
        <v>57</v>
      </c>
      <c r="N4389" t="s">
        <v>2594</v>
      </c>
      <c r="O4389" t="s">
        <v>131</v>
      </c>
      <c r="P4389" t="s">
        <v>53</v>
      </c>
      <c r="Q4389" t="s">
        <v>143</v>
      </c>
      <c r="R4389">
        <v>5</v>
      </c>
      <c r="S4389">
        <v>999</v>
      </c>
      <c r="T4389">
        <v>0.1</v>
      </c>
      <c r="U4389">
        <v>4495.5</v>
      </c>
      <c r="V4389">
        <v>2600</v>
      </c>
      <c r="W4389">
        <v>1895.5</v>
      </c>
      <c r="X4389" t="s">
        <v>75</v>
      </c>
      <c r="Y4389" t="s">
        <v>68</v>
      </c>
      <c r="Z4389" t="s">
        <v>160</v>
      </c>
      <c r="AA4389" t="s">
        <v>169</v>
      </c>
      <c r="AB4389">
        <v>3.8</v>
      </c>
      <c r="AC4389">
        <v>50</v>
      </c>
      <c r="AD4389">
        <v>416.99</v>
      </c>
      <c r="AE4389">
        <f t="shared" si="136"/>
        <v>1428.51</v>
      </c>
      <c r="AF4389" t="str">
        <f t="shared" si="137"/>
        <v>2026-07</v>
      </c>
      <c r="AG4389">
        <f>SUBTOTAL(103,A4389)</f>
        <v>1</v>
      </c>
    </row>
    <row r="4390" spans="1:33" x14ac:dyDescent="0.3">
      <c r="A4390" t="s">
        <v>7013</v>
      </c>
      <c r="B4390" s="13">
        <v>46217</v>
      </c>
      <c r="C4390">
        <v>2026</v>
      </c>
      <c r="D4390">
        <v>7</v>
      </c>
      <c r="E4390" t="s">
        <v>4046</v>
      </c>
      <c r="F4390" t="s">
        <v>4047</v>
      </c>
      <c r="G4390" t="s">
        <v>1435</v>
      </c>
      <c r="H4390" t="s">
        <v>1436</v>
      </c>
      <c r="I4390" t="s">
        <v>86</v>
      </c>
      <c r="J4390">
        <v>53</v>
      </c>
      <c r="K4390" t="s">
        <v>83</v>
      </c>
      <c r="L4390" t="s">
        <v>2687</v>
      </c>
      <c r="M4390" t="s">
        <v>57</v>
      </c>
      <c r="N4390" t="s">
        <v>2594</v>
      </c>
      <c r="O4390" t="s">
        <v>131</v>
      </c>
      <c r="P4390" t="s">
        <v>53</v>
      </c>
      <c r="Q4390" t="s">
        <v>143</v>
      </c>
      <c r="R4390">
        <v>1</v>
      </c>
      <c r="S4390">
        <v>999</v>
      </c>
      <c r="T4390">
        <v>0.05</v>
      </c>
      <c r="U4390">
        <v>949.05</v>
      </c>
      <c r="V4390">
        <v>520</v>
      </c>
      <c r="W4390">
        <v>429.05</v>
      </c>
      <c r="X4390" t="s">
        <v>76</v>
      </c>
      <c r="Y4390" t="s">
        <v>68</v>
      </c>
      <c r="Z4390" t="s">
        <v>159</v>
      </c>
      <c r="AA4390" t="s">
        <v>168</v>
      </c>
      <c r="AB4390">
        <v>4.7</v>
      </c>
      <c r="AC4390">
        <v>100</v>
      </c>
      <c r="AD4390">
        <v>69.010000000000005</v>
      </c>
      <c r="AE4390">
        <f t="shared" si="136"/>
        <v>260.04000000000002</v>
      </c>
      <c r="AF4390" t="str">
        <f t="shared" si="137"/>
        <v>2026-07</v>
      </c>
      <c r="AG4390">
        <f>SUBTOTAL(103,A4390)</f>
        <v>1</v>
      </c>
    </row>
    <row r="4391" spans="1:33" x14ac:dyDescent="0.3">
      <c r="A4391" t="s">
        <v>7014</v>
      </c>
      <c r="B4391" s="13">
        <v>46217</v>
      </c>
      <c r="C4391">
        <v>2026</v>
      </c>
      <c r="D4391">
        <v>7</v>
      </c>
      <c r="E4391" t="s">
        <v>4046</v>
      </c>
      <c r="F4391" t="s">
        <v>4047</v>
      </c>
      <c r="G4391" t="s">
        <v>869</v>
      </c>
      <c r="H4391" t="s">
        <v>870</v>
      </c>
      <c r="I4391" t="s">
        <v>86</v>
      </c>
      <c r="J4391">
        <v>28</v>
      </c>
      <c r="K4391" t="s">
        <v>81</v>
      </c>
      <c r="L4391" t="s">
        <v>95</v>
      </c>
      <c r="M4391" t="s">
        <v>56</v>
      </c>
      <c r="N4391" t="s">
        <v>2603</v>
      </c>
      <c r="O4391" t="s">
        <v>122</v>
      </c>
      <c r="P4391" t="s">
        <v>48</v>
      </c>
      <c r="Q4391" t="s">
        <v>141</v>
      </c>
      <c r="R4391">
        <v>1</v>
      </c>
      <c r="S4391">
        <v>2499</v>
      </c>
      <c r="T4391">
        <v>0.15</v>
      </c>
      <c r="U4391">
        <v>2124.15</v>
      </c>
      <c r="V4391">
        <v>1450</v>
      </c>
      <c r="W4391">
        <v>674.15</v>
      </c>
      <c r="X4391" t="s">
        <v>75</v>
      </c>
      <c r="Y4391" t="s">
        <v>70</v>
      </c>
      <c r="Z4391" t="s">
        <v>163</v>
      </c>
      <c r="AA4391" t="s">
        <v>166</v>
      </c>
      <c r="AB4391">
        <v>2.9</v>
      </c>
      <c r="AC4391">
        <v>60</v>
      </c>
      <c r="AD4391">
        <v>94.6</v>
      </c>
      <c r="AE4391">
        <f t="shared" si="136"/>
        <v>519.54999999999995</v>
      </c>
      <c r="AF4391" t="str">
        <f t="shared" si="137"/>
        <v>2026-07</v>
      </c>
      <c r="AG4391">
        <f>SUBTOTAL(103,A4391)</f>
        <v>1</v>
      </c>
    </row>
    <row r="4392" spans="1:33" x14ac:dyDescent="0.3">
      <c r="A4392" t="s">
        <v>7015</v>
      </c>
      <c r="B4392" s="13">
        <v>46217</v>
      </c>
      <c r="C4392">
        <v>2026</v>
      </c>
      <c r="D4392">
        <v>7</v>
      </c>
      <c r="E4392" t="s">
        <v>4046</v>
      </c>
      <c r="F4392" t="s">
        <v>4047</v>
      </c>
      <c r="G4392" t="s">
        <v>1793</v>
      </c>
      <c r="H4392" t="s">
        <v>1794</v>
      </c>
      <c r="I4392" t="s">
        <v>86</v>
      </c>
      <c r="J4392">
        <v>28</v>
      </c>
      <c r="K4392" t="s">
        <v>81</v>
      </c>
      <c r="L4392" t="s">
        <v>2612</v>
      </c>
      <c r="M4392" t="s">
        <v>64</v>
      </c>
      <c r="N4392" t="s">
        <v>2594</v>
      </c>
      <c r="O4392" t="s">
        <v>131</v>
      </c>
      <c r="P4392" t="s">
        <v>53</v>
      </c>
      <c r="Q4392" t="s">
        <v>143</v>
      </c>
      <c r="R4392">
        <v>2</v>
      </c>
      <c r="S4392">
        <v>999</v>
      </c>
      <c r="T4392">
        <v>0</v>
      </c>
      <c r="U4392">
        <v>1998</v>
      </c>
      <c r="V4392">
        <v>1040</v>
      </c>
      <c r="W4392">
        <v>958</v>
      </c>
      <c r="X4392" t="s">
        <v>75</v>
      </c>
      <c r="Y4392" t="s">
        <v>68</v>
      </c>
      <c r="Z4392" t="s">
        <v>161</v>
      </c>
      <c r="AA4392" t="s">
        <v>168</v>
      </c>
      <c r="AB4392">
        <v>3.5</v>
      </c>
      <c r="AC4392">
        <v>80</v>
      </c>
      <c r="AD4392">
        <v>119.17</v>
      </c>
      <c r="AE4392">
        <f t="shared" si="136"/>
        <v>758.83</v>
      </c>
      <c r="AF4392" t="str">
        <f t="shared" si="137"/>
        <v>2026-07</v>
      </c>
      <c r="AG4392">
        <f>SUBTOTAL(103,A4392)</f>
        <v>1</v>
      </c>
    </row>
    <row r="4393" spans="1:33" x14ac:dyDescent="0.3">
      <c r="A4393" t="s">
        <v>7016</v>
      </c>
      <c r="B4393" s="13">
        <v>46217</v>
      </c>
      <c r="C4393">
        <v>2026</v>
      </c>
      <c r="D4393">
        <v>7</v>
      </c>
      <c r="E4393" t="s">
        <v>4046</v>
      </c>
      <c r="F4393" t="s">
        <v>4047</v>
      </c>
      <c r="G4393" t="s">
        <v>597</v>
      </c>
      <c r="H4393" t="s">
        <v>598</v>
      </c>
      <c r="I4393" t="s">
        <v>86</v>
      </c>
      <c r="J4393">
        <v>59</v>
      </c>
      <c r="K4393" t="s">
        <v>83</v>
      </c>
      <c r="L4393" t="s">
        <v>2586</v>
      </c>
      <c r="M4393" t="s">
        <v>62</v>
      </c>
      <c r="N4393" t="s">
        <v>2601</v>
      </c>
      <c r="O4393" t="s">
        <v>117</v>
      </c>
      <c r="P4393" t="s">
        <v>49</v>
      </c>
      <c r="Q4393" t="s">
        <v>139</v>
      </c>
      <c r="R4393">
        <v>5</v>
      </c>
      <c r="S4393">
        <v>6999</v>
      </c>
      <c r="T4393">
        <v>0</v>
      </c>
      <c r="U4393">
        <v>34995</v>
      </c>
      <c r="V4393">
        <v>21500</v>
      </c>
      <c r="W4393">
        <v>13495</v>
      </c>
      <c r="X4393" t="s">
        <v>74</v>
      </c>
      <c r="Y4393" t="s">
        <v>68</v>
      </c>
      <c r="Z4393" t="s">
        <v>158</v>
      </c>
      <c r="AA4393" t="s">
        <v>168</v>
      </c>
      <c r="AB4393">
        <v>4.9000000000000004</v>
      </c>
      <c r="AC4393">
        <v>80</v>
      </c>
      <c r="AD4393">
        <v>1295.6400000000001</v>
      </c>
      <c r="AE4393">
        <f t="shared" si="136"/>
        <v>12119.36</v>
      </c>
      <c r="AF4393" t="str">
        <f t="shared" si="137"/>
        <v>2026-07</v>
      </c>
      <c r="AG4393">
        <f>SUBTOTAL(103,A4393)</f>
        <v>1</v>
      </c>
    </row>
    <row r="4394" spans="1:33" x14ac:dyDescent="0.3">
      <c r="A4394" t="s">
        <v>7017</v>
      </c>
      <c r="B4394" s="13">
        <v>46217</v>
      </c>
      <c r="C4394">
        <v>2026</v>
      </c>
      <c r="D4394">
        <v>7</v>
      </c>
      <c r="E4394" t="s">
        <v>4046</v>
      </c>
      <c r="F4394" t="s">
        <v>4047</v>
      </c>
      <c r="G4394" t="s">
        <v>1101</v>
      </c>
      <c r="H4394" t="s">
        <v>1102</v>
      </c>
      <c r="I4394" t="s">
        <v>85</v>
      </c>
      <c r="J4394">
        <v>55</v>
      </c>
      <c r="K4394" t="s">
        <v>83</v>
      </c>
      <c r="L4394" t="s">
        <v>2579</v>
      </c>
      <c r="M4394" t="s">
        <v>56</v>
      </c>
      <c r="N4394" t="s">
        <v>2606</v>
      </c>
      <c r="O4394" t="s">
        <v>120</v>
      </c>
      <c r="P4394" t="s">
        <v>49</v>
      </c>
      <c r="Q4394" t="s">
        <v>140</v>
      </c>
      <c r="R4394">
        <v>2</v>
      </c>
      <c r="S4394">
        <v>2799</v>
      </c>
      <c r="T4394">
        <v>0.1</v>
      </c>
      <c r="U4394">
        <v>5038.2</v>
      </c>
      <c r="V4394">
        <v>3300</v>
      </c>
      <c r="W4394">
        <v>1738.2</v>
      </c>
      <c r="X4394" t="s">
        <v>73</v>
      </c>
      <c r="Y4394" t="s">
        <v>68</v>
      </c>
      <c r="Z4394" t="s">
        <v>158</v>
      </c>
      <c r="AA4394" t="s">
        <v>166</v>
      </c>
      <c r="AB4394">
        <v>2.9</v>
      </c>
      <c r="AC4394">
        <v>100</v>
      </c>
      <c r="AD4394">
        <v>381.19</v>
      </c>
      <c r="AE4394">
        <f t="shared" si="136"/>
        <v>1257.01</v>
      </c>
      <c r="AF4394" t="str">
        <f t="shared" si="137"/>
        <v>2026-07</v>
      </c>
      <c r="AG4394">
        <f>SUBTOTAL(103,A4394)</f>
        <v>1</v>
      </c>
    </row>
    <row r="4395" spans="1:33" x14ac:dyDescent="0.3">
      <c r="A4395" t="s">
        <v>7018</v>
      </c>
      <c r="B4395" s="13">
        <v>46217</v>
      </c>
      <c r="C4395">
        <v>2026</v>
      </c>
      <c r="D4395">
        <v>7</v>
      </c>
      <c r="E4395" t="s">
        <v>4046</v>
      </c>
      <c r="F4395" t="s">
        <v>4047</v>
      </c>
      <c r="G4395" t="s">
        <v>2189</v>
      </c>
      <c r="H4395" t="s">
        <v>2190</v>
      </c>
      <c r="I4395" t="s">
        <v>86</v>
      </c>
      <c r="J4395">
        <v>48</v>
      </c>
      <c r="K4395" t="s">
        <v>83</v>
      </c>
      <c r="L4395" t="s">
        <v>99</v>
      </c>
      <c r="M4395" t="s">
        <v>58</v>
      </c>
      <c r="N4395" t="s">
        <v>2665</v>
      </c>
      <c r="O4395" t="s">
        <v>128</v>
      </c>
      <c r="P4395" t="s">
        <v>53</v>
      </c>
      <c r="Q4395" t="s">
        <v>143</v>
      </c>
      <c r="R4395">
        <v>2</v>
      </c>
      <c r="S4395">
        <v>1499</v>
      </c>
      <c r="T4395">
        <v>0.2</v>
      </c>
      <c r="U4395">
        <v>2398.4</v>
      </c>
      <c r="V4395">
        <v>1600</v>
      </c>
      <c r="W4395">
        <v>798.4</v>
      </c>
      <c r="X4395" t="s">
        <v>76</v>
      </c>
      <c r="Y4395" t="s">
        <v>68</v>
      </c>
      <c r="Z4395" t="s">
        <v>159</v>
      </c>
      <c r="AA4395" t="s">
        <v>167</v>
      </c>
      <c r="AB4395">
        <v>4.2</v>
      </c>
      <c r="AC4395">
        <v>60</v>
      </c>
      <c r="AD4395">
        <v>65.88</v>
      </c>
      <c r="AE4395">
        <f t="shared" si="136"/>
        <v>672.52</v>
      </c>
      <c r="AF4395" t="str">
        <f t="shared" si="137"/>
        <v>2026-07</v>
      </c>
      <c r="AG4395">
        <f>SUBTOTAL(103,A4395)</f>
        <v>1</v>
      </c>
    </row>
    <row r="4396" spans="1:33" x14ac:dyDescent="0.3">
      <c r="A4396" t="s">
        <v>7019</v>
      </c>
      <c r="B4396" s="13">
        <v>46217</v>
      </c>
      <c r="C4396">
        <v>2026</v>
      </c>
      <c r="D4396">
        <v>7</v>
      </c>
      <c r="E4396" t="s">
        <v>4046</v>
      </c>
      <c r="F4396" t="s">
        <v>4047</v>
      </c>
      <c r="G4396" t="s">
        <v>1329</v>
      </c>
      <c r="H4396" t="s">
        <v>1330</v>
      </c>
      <c r="I4396" t="s">
        <v>85</v>
      </c>
      <c r="J4396">
        <v>51</v>
      </c>
      <c r="K4396" t="s">
        <v>83</v>
      </c>
      <c r="L4396" t="s">
        <v>93</v>
      </c>
      <c r="M4396" t="s">
        <v>55</v>
      </c>
      <c r="N4396" t="s">
        <v>2606</v>
      </c>
      <c r="O4396" t="s">
        <v>120</v>
      </c>
      <c r="P4396" t="s">
        <v>49</v>
      </c>
      <c r="Q4396" t="s">
        <v>140</v>
      </c>
      <c r="R4396">
        <v>5</v>
      </c>
      <c r="S4396">
        <v>2799</v>
      </c>
      <c r="T4396">
        <v>0.05</v>
      </c>
      <c r="U4396">
        <v>13295.25</v>
      </c>
      <c r="V4396">
        <v>8250</v>
      </c>
      <c r="W4396">
        <v>5045.25</v>
      </c>
      <c r="X4396" t="s">
        <v>77</v>
      </c>
      <c r="Y4396" t="s">
        <v>68</v>
      </c>
      <c r="Z4396" t="s">
        <v>160</v>
      </c>
      <c r="AA4396" t="s">
        <v>166</v>
      </c>
      <c r="AB4396">
        <v>3.7</v>
      </c>
      <c r="AC4396">
        <v>40</v>
      </c>
      <c r="AD4396">
        <v>1217.42</v>
      </c>
      <c r="AE4396">
        <f t="shared" si="136"/>
        <v>3787.83</v>
      </c>
      <c r="AF4396" t="str">
        <f t="shared" si="137"/>
        <v>2026-07</v>
      </c>
      <c r="AG4396">
        <f>SUBTOTAL(103,A4396)</f>
        <v>1</v>
      </c>
    </row>
    <row r="4397" spans="1:33" x14ac:dyDescent="0.3">
      <c r="A4397" t="s">
        <v>7020</v>
      </c>
      <c r="B4397" s="13">
        <v>46217</v>
      </c>
      <c r="C4397">
        <v>2026</v>
      </c>
      <c r="D4397">
        <v>7</v>
      </c>
      <c r="E4397" t="s">
        <v>4046</v>
      </c>
      <c r="F4397" t="s">
        <v>4047</v>
      </c>
      <c r="G4397" t="s">
        <v>1967</v>
      </c>
      <c r="H4397" t="s">
        <v>1968</v>
      </c>
      <c r="I4397" t="s">
        <v>85</v>
      </c>
      <c r="J4397">
        <v>23</v>
      </c>
      <c r="K4397" t="s">
        <v>80</v>
      </c>
      <c r="L4397" t="s">
        <v>93</v>
      </c>
      <c r="M4397" t="s">
        <v>55</v>
      </c>
      <c r="N4397" t="s">
        <v>2603</v>
      </c>
      <c r="O4397" t="s">
        <v>122</v>
      </c>
      <c r="P4397" t="s">
        <v>48</v>
      </c>
      <c r="Q4397" t="s">
        <v>141</v>
      </c>
      <c r="R4397">
        <v>1</v>
      </c>
      <c r="S4397">
        <v>2499</v>
      </c>
      <c r="T4397">
        <v>0</v>
      </c>
      <c r="U4397">
        <v>2499</v>
      </c>
      <c r="V4397">
        <v>1450</v>
      </c>
      <c r="W4397">
        <v>1049</v>
      </c>
      <c r="X4397" t="s">
        <v>75</v>
      </c>
      <c r="Y4397" t="s">
        <v>68</v>
      </c>
      <c r="Z4397" t="s">
        <v>160</v>
      </c>
      <c r="AA4397" t="s">
        <v>169</v>
      </c>
      <c r="AB4397">
        <v>3.7</v>
      </c>
      <c r="AC4397">
        <v>80</v>
      </c>
      <c r="AD4397">
        <v>80.650000000000006</v>
      </c>
      <c r="AE4397">
        <f t="shared" si="136"/>
        <v>888.35</v>
      </c>
      <c r="AF4397" t="str">
        <f t="shared" si="137"/>
        <v>2026-07</v>
      </c>
      <c r="AG4397">
        <f>SUBTOTAL(103,A4397)</f>
        <v>1</v>
      </c>
    </row>
    <row r="4398" spans="1:33" x14ac:dyDescent="0.3">
      <c r="A4398" t="s">
        <v>7021</v>
      </c>
      <c r="B4398" s="13">
        <v>46217</v>
      </c>
      <c r="C4398">
        <v>2026</v>
      </c>
      <c r="D4398">
        <v>7</v>
      </c>
      <c r="E4398" t="s">
        <v>4046</v>
      </c>
      <c r="F4398" t="s">
        <v>4047</v>
      </c>
      <c r="G4398" t="s">
        <v>2047</v>
      </c>
      <c r="H4398" t="s">
        <v>2048</v>
      </c>
      <c r="I4398" t="s">
        <v>85</v>
      </c>
      <c r="J4398">
        <v>18</v>
      </c>
      <c r="K4398" t="s">
        <v>80</v>
      </c>
      <c r="L4398" t="s">
        <v>2690</v>
      </c>
      <c r="M4398" t="s">
        <v>63</v>
      </c>
      <c r="N4398" t="s">
        <v>2606</v>
      </c>
      <c r="O4398" t="s">
        <v>120</v>
      </c>
      <c r="P4398" t="s">
        <v>49</v>
      </c>
      <c r="Q4398" t="s">
        <v>140</v>
      </c>
      <c r="R4398">
        <v>1</v>
      </c>
      <c r="S4398">
        <v>2799</v>
      </c>
      <c r="T4398">
        <v>0.05</v>
      </c>
      <c r="U4398">
        <v>2659.05</v>
      </c>
      <c r="V4398">
        <v>1650</v>
      </c>
      <c r="W4398">
        <v>1009.05</v>
      </c>
      <c r="X4398" t="s">
        <v>74</v>
      </c>
      <c r="Y4398" t="s">
        <v>68</v>
      </c>
      <c r="Z4398" t="s">
        <v>162</v>
      </c>
      <c r="AA4398" t="s">
        <v>168</v>
      </c>
      <c r="AB4398">
        <v>4.3</v>
      </c>
      <c r="AC4398">
        <v>80</v>
      </c>
      <c r="AD4398">
        <v>289.41000000000003</v>
      </c>
      <c r="AE4398">
        <f t="shared" si="136"/>
        <v>639.63999999999987</v>
      </c>
      <c r="AF4398" t="str">
        <f t="shared" si="137"/>
        <v>2026-07</v>
      </c>
      <c r="AG4398">
        <f>SUBTOTAL(103,A4398)</f>
        <v>1</v>
      </c>
    </row>
    <row r="4399" spans="1:33" x14ac:dyDescent="0.3">
      <c r="A4399" t="s">
        <v>7022</v>
      </c>
      <c r="B4399" s="13">
        <v>46217</v>
      </c>
      <c r="C4399">
        <v>2026</v>
      </c>
      <c r="D4399">
        <v>7</v>
      </c>
      <c r="E4399" t="s">
        <v>4046</v>
      </c>
      <c r="F4399" t="s">
        <v>4047</v>
      </c>
      <c r="G4399" t="s">
        <v>277</v>
      </c>
      <c r="H4399" t="s">
        <v>278</v>
      </c>
      <c r="I4399" t="s">
        <v>85</v>
      </c>
      <c r="J4399">
        <v>59</v>
      </c>
      <c r="K4399" t="s">
        <v>83</v>
      </c>
      <c r="L4399" t="s">
        <v>2576</v>
      </c>
      <c r="M4399" t="s">
        <v>60</v>
      </c>
      <c r="N4399" t="s">
        <v>2580</v>
      </c>
      <c r="O4399" t="s">
        <v>118</v>
      </c>
      <c r="P4399" t="s">
        <v>48</v>
      </c>
      <c r="Q4399" t="s">
        <v>142</v>
      </c>
      <c r="R4399">
        <v>1</v>
      </c>
      <c r="S4399">
        <v>3999</v>
      </c>
      <c r="T4399">
        <v>0</v>
      </c>
      <c r="U4399">
        <v>3999</v>
      </c>
      <c r="V4399">
        <v>2400</v>
      </c>
      <c r="W4399">
        <v>1599</v>
      </c>
      <c r="X4399" t="s">
        <v>73</v>
      </c>
      <c r="Y4399" t="s">
        <v>68</v>
      </c>
      <c r="Z4399" t="s">
        <v>163</v>
      </c>
      <c r="AA4399" t="s">
        <v>167</v>
      </c>
      <c r="AB4399">
        <v>4.2</v>
      </c>
      <c r="AC4399">
        <v>80</v>
      </c>
      <c r="AD4399">
        <v>302.43</v>
      </c>
      <c r="AE4399">
        <f t="shared" si="136"/>
        <v>1216.57</v>
      </c>
      <c r="AF4399" t="str">
        <f t="shared" si="137"/>
        <v>2026-07</v>
      </c>
      <c r="AG4399">
        <f>SUBTOTAL(103,A4399)</f>
        <v>1</v>
      </c>
    </row>
    <row r="4400" spans="1:33" x14ac:dyDescent="0.3">
      <c r="A4400" t="s">
        <v>7023</v>
      </c>
      <c r="B4400" s="13">
        <v>46217</v>
      </c>
      <c r="C4400">
        <v>2026</v>
      </c>
      <c r="D4400">
        <v>7</v>
      </c>
      <c r="E4400" t="s">
        <v>4046</v>
      </c>
      <c r="F4400" t="s">
        <v>4047</v>
      </c>
      <c r="G4400" t="s">
        <v>1263</v>
      </c>
      <c r="H4400" t="s">
        <v>1264</v>
      </c>
      <c r="I4400" t="s">
        <v>85</v>
      </c>
      <c r="J4400">
        <v>30</v>
      </c>
      <c r="K4400" t="s">
        <v>81</v>
      </c>
      <c r="L4400" t="s">
        <v>93</v>
      </c>
      <c r="M4400" t="s">
        <v>55</v>
      </c>
      <c r="N4400" t="s">
        <v>2584</v>
      </c>
      <c r="O4400" t="s">
        <v>121</v>
      </c>
      <c r="P4400" t="s">
        <v>50</v>
      </c>
      <c r="Q4400" t="s">
        <v>144</v>
      </c>
      <c r="R4400">
        <v>2</v>
      </c>
      <c r="S4400">
        <v>2999</v>
      </c>
      <c r="T4400">
        <v>0.15</v>
      </c>
      <c r="U4400">
        <v>5098.3</v>
      </c>
      <c r="V4400">
        <v>3400</v>
      </c>
      <c r="W4400">
        <v>1698.3</v>
      </c>
      <c r="X4400" t="s">
        <v>77</v>
      </c>
      <c r="Y4400" t="s">
        <v>68</v>
      </c>
      <c r="Z4400" t="s">
        <v>161</v>
      </c>
      <c r="AA4400" t="s">
        <v>169</v>
      </c>
      <c r="AB4400">
        <v>4</v>
      </c>
      <c r="AC4400">
        <v>60</v>
      </c>
      <c r="AD4400">
        <v>395.02</v>
      </c>
      <c r="AE4400">
        <f t="shared" si="136"/>
        <v>1243.28</v>
      </c>
      <c r="AF4400" t="str">
        <f t="shared" si="137"/>
        <v>2026-07</v>
      </c>
      <c r="AG4400">
        <f>SUBTOTAL(103,A4400)</f>
        <v>1</v>
      </c>
    </row>
    <row r="4401" spans="1:33" x14ac:dyDescent="0.3">
      <c r="A4401" t="s">
        <v>7024</v>
      </c>
      <c r="B4401" s="13">
        <v>46218</v>
      </c>
      <c r="C4401">
        <v>2026</v>
      </c>
      <c r="D4401">
        <v>7</v>
      </c>
      <c r="E4401" t="s">
        <v>4046</v>
      </c>
      <c r="F4401" t="s">
        <v>4047</v>
      </c>
      <c r="G4401" t="s">
        <v>2371</v>
      </c>
      <c r="H4401" t="s">
        <v>2372</v>
      </c>
      <c r="I4401" t="s">
        <v>86</v>
      </c>
      <c r="J4401">
        <v>28</v>
      </c>
      <c r="K4401" t="s">
        <v>81</v>
      </c>
      <c r="L4401" t="s">
        <v>2623</v>
      </c>
      <c r="M4401" t="s">
        <v>61</v>
      </c>
      <c r="N4401" t="s">
        <v>2665</v>
      </c>
      <c r="O4401" t="s">
        <v>128</v>
      </c>
      <c r="P4401" t="s">
        <v>53</v>
      </c>
      <c r="Q4401" t="s">
        <v>143</v>
      </c>
      <c r="R4401">
        <v>2</v>
      </c>
      <c r="S4401">
        <v>1499</v>
      </c>
      <c r="T4401">
        <v>0.05</v>
      </c>
      <c r="U4401">
        <v>2848.1</v>
      </c>
      <c r="V4401">
        <v>1600</v>
      </c>
      <c r="W4401">
        <v>1248.0999999999999</v>
      </c>
      <c r="X4401" t="s">
        <v>74</v>
      </c>
      <c r="Y4401" t="s">
        <v>68</v>
      </c>
      <c r="Z4401" t="s">
        <v>160</v>
      </c>
      <c r="AA4401" t="s">
        <v>166</v>
      </c>
      <c r="AB4401">
        <v>3.7</v>
      </c>
      <c r="AC4401">
        <v>100</v>
      </c>
      <c r="AD4401">
        <v>208.91</v>
      </c>
      <c r="AE4401">
        <f t="shared" si="136"/>
        <v>939.18999999999994</v>
      </c>
      <c r="AF4401" t="str">
        <f t="shared" si="137"/>
        <v>2026-07</v>
      </c>
      <c r="AG4401">
        <f>SUBTOTAL(103,A4401)</f>
        <v>1</v>
      </c>
    </row>
    <row r="4402" spans="1:33" x14ac:dyDescent="0.3">
      <c r="A4402" t="s">
        <v>7025</v>
      </c>
      <c r="B4402" s="13">
        <v>46218</v>
      </c>
      <c r="C4402">
        <v>2026</v>
      </c>
      <c r="D4402">
        <v>7</v>
      </c>
      <c r="E4402" t="s">
        <v>4046</v>
      </c>
      <c r="F4402" t="s">
        <v>4047</v>
      </c>
      <c r="G4402" t="s">
        <v>1799</v>
      </c>
      <c r="H4402" t="s">
        <v>1800</v>
      </c>
      <c r="I4402" t="s">
        <v>85</v>
      </c>
      <c r="J4402">
        <v>25</v>
      </c>
      <c r="K4402" t="s">
        <v>80</v>
      </c>
      <c r="L4402" t="s">
        <v>99</v>
      </c>
      <c r="M4402" t="s">
        <v>58</v>
      </c>
      <c r="N4402" t="s">
        <v>2653</v>
      </c>
      <c r="O4402" t="s">
        <v>132</v>
      </c>
      <c r="P4402" t="s">
        <v>52</v>
      </c>
      <c r="Q4402" t="s">
        <v>150</v>
      </c>
      <c r="R4402">
        <v>1</v>
      </c>
      <c r="S4402">
        <v>899</v>
      </c>
      <c r="T4402">
        <v>0</v>
      </c>
      <c r="U4402">
        <v>899</v>
      </c>
      <c r="V4402">
        <v>420</v>
      </c>
      <c r="W4402">
        <v>479</v>
      </c>
      <c r="X4402" t="s">
        <v>73</v>
      </c>
      <c r="Y4402" t="s">
        <v>68</v>
      </c>
      <c r="Z4402" t="s">
        <v>158</v>
      </c>
      <c r="AA4402" t="s">
        <v>166</v>
      </c>
      <c r="AB4402">
        <v>4</v>
      </c>
      <c r="AC4402">
        <v>60</v>
      </c>
      <c r="AD4402">
        <v>54.76</v>
      </c>
      <c r="AE4402">
        <f t="shared" si="136"/>
        <v>364.24</v>
      </c>
      <c r="AF4402" t="str">
        <f t="shared" si="137"/>
        <v>2026-07</v>
      </c>
      <c r="AG4402">
        <f>SUBTOTAL(103,A4402)</f>
        <v>1</v>
      </c>
    </row>
    <row r="4403" spans="1:33" x14ac:dyDescent="0.3">
      <c r="A4403" t="s">
        <v>7026</v>
      </c>
      <c r="B4403" s="13">
        <v>46218</v>
      </c>
      <c r="C4403">
        <v>2026</v>
      </c>
      <c r="D4403">
        <v>7</v>
      </c>
      <c r="E4403" t="s">
        <v>4046</v>
      </c>
      <c r="F4403" t="s">
        <v>4047</v>
      </c>
      <c r="G4403" t="s">
        <v>2351</v>
      </c>
      <c r="H4403" t="s">
        <v>2352</v>
      </c>
      <c r="I4403" t="s">
        <v>85</v>
      </c>
      <c r="J4403">
        <v>24</v>
      </c>
      <c r="K4403" t="s">
        <v>80</v>
      </c>
      <c r="L4403" t="s">
        <v>98</v>
      </c>
      <c r="M4403" t="s">
        <v>55</v>
      </c>
      <c r="N4403" t="s">
        <v>2653</v>
      </c>
      <c r="O4403" t="s">
        <v>132</v>
      </c>
      <c r="P4403" t="s">
        <v>52</v>
      </c>
      <c r="Q4403" t="s">
        <v>150</v>
      </c>
      <c r="R4403">
        <v>1</v>
      </c>
      <c r="S4403">
        <v>899</v>
      </c>
      <c r="T4403">
        <v>0.05</v>
      </c>
      <c r="U4403">
        <v>854.05</v>
      </c>
      <c r="V4403">
        <v>420</v>
      </c>
      <c r="W4403">
        <v>434.05</v>
      </c>
      <c r="X4403" t="s">
        <v>73</v>
      </c>
      <c r="Y4403" t="s">
        <v>68</v>
      </c>
      <c r="Z4403" t="s">
        <v>159</v>
      </c>
      <c r="AA4403" t="s">
        <v>169</v>
      </c>
      <c r="AB4403">
        <v>5</v>
      </c>
      <c r="AC4403">
        <v>80</v>
      </c>
      <c r="AD4403">
        <v>96.1</v>
      </c>
      <c r="AE4403">
        <f t="shared" si="136"/>
        <v>257.95000000000005</v>
      </c>
      <c r="AF4403" t="str">
        <f t="shared" si="137"/>
        <v>2026-07</v>
      </c>
      <c r="AG4403">
        <f>SUBTOTAL(103,A4403)</f>
        <v>1</v>
      </c>
    </row>
    <row r="4404" spans="1:33" x14ac:dyDescent="0.3">
      <c r="A4404" t="s">
        <v>7027</v>
      </c>
      <c r="B4404" s="13">
        <v>46218</v>
      </c>
      <c r="C4404">
        <v>2026</v>
      </c>
      <c r="D4404">
        <v>7</v>
      </c>
      <c r="E4404" t="s">
        <v>4046</v>
      </c>
      <c r="F4404" t="s">
        <v>4047</v>
      </c>
      <c r="G4404" t="s">
        <v>391</v>
      </c>
      <c r="H4404" t="s">
        <v>392</v>
      </c>
      <c r="I4404" t="s">
        <v>85</v>
      </c>
      <c r="J4404">
        <v>40</v>
      </c>
      <c r="K4404" t="s">
        <v>82</v>
      </c>
      <c r="L4404" t="s">
        <v>2589</v>
      </c>
      <c r="M4404" t="s">
        <v>61</v>
      </c>
      <c r="N4404" t="s">
        <v>2630</v>
      </c>
      <c r="O4404" t="s">
        <v>123</v>
      </c>
      <c r="P4404" t="s">
        <v>52</v>
      </c>
      <c r="Q4404" t="s">
        <v>146</v>
      </c>
      <c r="R4404">
        <v>1</v>
      </c>
      <c r="S4404">
        <v>2499</v>
      </c>
      <c r="T4404">
        <v>0.05</v>
      </c>
      <c r="U4404">
        <v>0</v>
      </c>
      <c r="V4404">
        <v>0</v>
      </c>
      <c r="W4404">
        <v>0</v>
      </c>
      <c r="X4404" t="s">
        <v>75</v>
      </c>
      <c r="Y4404" t="s">
        <v>71</v>
      </c>
      <c r="Z4404" t="s">
        <v>163</v>
      </c>
      <c r="AA4404" t="s">
        <v>170</v>
      </c>
      <c r="AB4404">
        <v>4.4000000000000004</v>
      </c>
      <c r="AC4404">
        <v>50</v>
      </c>
      <c r="AD4404">
        <v>226.06</v>
      </c>
      <c r="AE4404">
        <f t="shared" si="136"/>
        <v>-276.06</v>
      </c>
      <c r="AF4404" t="str">
        <f t="shared" si="137"/>
        <v>2026-07</v>
      </c>
      <c r="AG4404">
        <f>SUBTOTAL(103,A4404)</f>
        <v>1</v>
      </c>
    </row>
    <row r="4405" spans="1:33" x14ac:dyDescent="0.3">
      <c r="A4405" t="s">
        <v>7028</v>
      </c>
      <c r="B4405" s="13">
        <v>46218</v>
      </c>
      <c r="C4405">
        <v>2026</v>
      </c>
      <c r="D4405">
        <v>7</v>
      </c>
      <c r="E4405" t="s">
        <v>4046</v>
      </c>
      <c r="F4405" t="s">
        <v>4047</v>
      </c>
      <c r="G4405" t="s">
        <v>797</v>
      </c>
      <c r="H4405" t="s">
        <v>798</v>
      </c>
      <c r="I4405" t="s">
        <v>85</v>
      </c>
      <c r="J4405">
        <v>32</v>
      </c>
      <c r="K4405" t="s">
        <v>81</v>
      </c>
      <c r="L4405" t="s">
        <v>2661</v>
      </c>
      <c r="M4405" t="s">
        <v>58</v>
      </c>
      <c r="N4405" t="s">
        <v>2601</v>
      </c>
      <c r="O4405" t="s">
        <v>117</v>
      </c>
      <c r="P4405" t="s">
        <v>49</v>
      </c>
      <c r="Q4405" t="s">
        <v>139</v>
      </c>
      <c r="R4405">
        <v>5</v>
      </c>
      <c r="S4405">
        <v>6999</v>
      </c>
      <c r="T4405">
        <v>0</v>
      </c>
      <c r="U4405">
        <v>34995</v>
      </c>
      <c r="V4405">
        <v>21500</v>
      </c>
      <c r="W4405">
        <v>13495</v>
      </c>
      <c r="X4405" t="s">
        <v>76</v>
      </c>
      <c r="Y4405" t="s">
        <v>68</v>
      </c>
      <c r="Z4405" t="s">
        <v>160</v>
      </c>
      <c r="AA4405" t="s">
        <v>167</v>
      </c>
      <c r="AB4405">
        <v>3.8</v>
      </c>
      <c r="AC4405">
        <v>100</v>
      </c>
      <c r="AD4405">
        <v>1745.51</v>
      </c>
      <c r="AE4405">
        <f t="shared" si="136"/>
        <v>11649.49</v>
      </c>
      <c r="AF4405" t="str">
        <f t="shared" si="137"/>
        <v>2026-07</v>
      </c>
      <c r="AG4405">
        <f>SUBTOTAL(103,A4405)</f>
        <v>1</v>
      </c>
    </row>
    <row r="4406" spans="1:33" x14ac:dyDescent="0.3">
      <c r="A4406" t="s">
        <v>7029</v>
      </c>
      <c r="B4406" s="13">
        <v>46218</v>
      </c>
      <c r="C4406">
        <v>2026</v>
      </c>
      <c r="D4406">
        <v>7</v>
      </c>
      <c r="E4406" t="s">
        <v>4046</v>
      </c>
      <c r="F4406" t="s">
        <v>4047</v>
      </c>
      <c r="G4406" t="s">
        <v>329</v>
      </c>
      <c r="H4406" t="s">
        <v>330</v>
      </c>
      <c r="I4406" t="s">
        <v>86</v>
      </c>
      <c r="J4406">
        <v>18</v>
      </c>
      <c r="K4406" t="s">
        <v>80</v>
      </c>
      <c r="L4406" t="s">
        <v>90</v>
      </c>
      <c r="M4406" t="s">
        <v>55</v>
      </c>
      <c r="N4406" t="s">
        <v>2587</v>
      </c>
      <c r="O4406" t="s">
        <v>116</v>
      </c>
      <c r="P4406" t="s">
        <v>48</v>
      </c>
      <c r="Q4406" t="s">
        <v>138</v>
      </c>
      <c r="R4406">
        <v>2</v>
      </c>
      <c r="S4406">
        <v>14999</v>
      </c>
      <c r="T4406">
        <v>0.1</v>
      </c>
      <c r="U4406">
        <v>26998.2</v>
      </c>
      <c r="V4406">
        <v>22400</v>
      </c>
      <c r="W4406">
        <v>4598.2</v>
      </c>
      <c r="X4406" t="s">
        <v>73</v>
      </c>
      <c r="Y4406" t="s">
        <v>68</v>
      </c>
      <c r="Z4406" t="s">
        <v>158</v>
      </c>
      <c r="AA4406" t="s">
        <v>166</v>
      </c>
      <c r="AB4406">
        <v>3.5</v>
      </c>
      <c r="AC4406">
        <v>50</v>
      </c>
      <c r="AD4406">
        <v>2417.25</v>
      </c>
      <c r="AE4406">
        <f t="shared" si="136"/>
        <v>2130.9499999999998</v>
      </c>
      <c r="AF4406" t="str">
        <f t="shared" si="137"/>
        <v>2026-07</v>
      </c>
      <c r="AG4406">
        <f>SUBTOTAL(103,A4406)</f>
        <v>1</v>
      </c>
    </row>
    <row r="4407" spans="1:33" x14ac:dyDescent="0.3">
      <c r="A4407" t="s">
        <v>7030</v>
      </c>
      <c r="B4407" s="13">
        <v>46218</v>
      </c>
      <c r="C4407">
        <v>2026</v>
      </c>
      <c r="D4407">
        <v>7</v>
      </c>
      <c r="E4407" t="s">
        <v>4046</v>
      </c>
      <c r="F4407" t="s">
        <v>4047</v>
      </c>
      <c r="G4407" t="s">
        <v>2285</v>
      </c>
      <c r="H4407" t="s">
        <v>2286</v>
      </c>
      <c r="I4407" t="s">
        <v>85</v>
      </c>
      <c r="J4407">
        <v>59</v>
      </c>
      <c r="K4407" t="s">
        <v>83</v>
      </c>
      <c r="L4407" t="s">
        <v>2679</v>
      </c>
      <c r="M4407" t="s">
        <v>60</v>
      </c>
      <c r="N4407" t="s">
        <v>2626</v>
      </c>
      <c r="O4407" t="s">
        <v>125</v>
      </c>
      <c r="P4407" t="s">
        <v>48</v>
      </c>
      <c r="Q4407" t="s">
        <v>141</v>
      </c>
      <c r="R4407">
        <v>2</v>
      </c>
      <c r="S4407">
        <v>1999</v>
      </c>
      <c r="T4407">
        <v>0</v>
      </c>
      <c r="U4407">
        <v>0</v>
      </c>
      <c r="V4407">
        <v>0</v>
      </c>
      <c r="W4407">
        <v>0</v>
      </c>
      <c r="X4407" t="s">
        <v>73</v>
      </c>
      <c r="Y4407" t="s">
        <v>71</v>
      </c>
      <c r="Z4407" t="s">
        <v>158</v>
      </c>
      <c r="AA4407" t="s">
        <v>167</v>
      </c>
      <c r="AB4407">
        <v>3.8</v>
      </c>
      <c r="AC4407">
        <v>40</v>
      </c>
      <c r="AD4407">
        <v>362.9</v>
      </c>
      <c r="AE4407">
        <f t="shared" si="136"/>
        <v>-402.9</v>
      </c>
      <c r="AF4407" t="str">
        <f t="shared" si="137"/>
        <v>2026-07</v>
      </c>
      <c r="AG4407">
        <f>SUBTOTAL(103,A4407)</f>
        <v>1</v>
      </c>
    </row>
    <row r="4408" spans="1:33" x14ac:dyDescent="0.3">
      <c r="A4408" t="s">
        <v>7031</v>
      </c>
      <c r="B4408" s="13">
        <v>46218</v>
      </c>
      <c r="C4408">
        <v>2026</v>
      </c>
      <c r="D4408">
        <v>7</v>
      </c>
      <c r="E4408" t="s">
        <v>4046</v>
      </c>
      <c r="F4408" t="s">
        <v>4047</v>
      </c>
      <c r="G4408" t="s">
        <v>1213</v>
      </c>
      <c r="H4408" t="s">
        <v>1214</v>
      </c>
      <c r="I4408" t="s">
        <v>86</v>
      </c>
      <c r="J4408">
        <v>25</v>
      </c>
      <c r="K4408" t="s">
        <v>80</v>
      </c>
      <c r="L4408" t="s">
        <v>92</v>
      </c>
      <c r="M4408" t="s">
        <v>59</v>
      </c>
      <c r="N4408" t="s">
        <v>2665</v>
      </c>
      <c r="O4408" t="s">
        <v>128</v>
      </c>
      <c r="P4408" t="s">
        <v>53</v>
      </c>
      <c r="Q4408" t="s">
        <v>143</v>
      </c>
      <c r="R4408">
        <v>2</v>
      </c>
      <c r="S4408">
        <v>1499</v>
      </c>
      <c r="T4408">
        <v>0.1</v>
      </c>
      <c r="U4408">
        <v>2698.2</v>
      </c>
      <c r="V4408">
        <v>1600</v>
      </c>
      <c r="W4408">
        <v>1098.2</v>
      </c>
      <c r="X4408" t="s">
        <v>73</v>
      </c>
      <c r="Y4408" t="s">
        <v>68</v>
      </c>
      <c r="Z4408" t="s">
        <v>160</v>
      </c>
      <c r="AA4408" t="s">
        <v>166</v>
      </c>
      <c r="AB4408">
        <v>5</v>
      </c>
      <c r="AC4408">
        <v>50</v>
      </c>
      <c r="AD4408">
        <v>120.88</v>
      </c>
      <c r="AE4408">
        <f t="shared" si="136"/>
        <v>927.32</v>
      </c>
      <c r="AF4408" t="str">
        <f t="shared" si="137"/>
        <v>2026-07</v>
      </c>
      <c r="AG4408">
        <f>SUBTOTAL(103,A4408)</f>
        <v>1</v>
      </c>
    </row>
    <row r="4409" spans="1:33" x14ac:dyDescent="0.3">
      <c r="A4409" t="s">
        <v>7032</v>
      </c>
      <c r="B4409" s="13">
        <v>46218</v>
      </c>
      <c r="C4409">
        <v>2026</v>
      </c>
      <c r="D4409">
        <v>7</v>
      </c>
      <c r="E4409" t="s">
        <v>4046</v>
      </c>
      <c r="F4409" t="s">
        <v>4047</v>
      </c>
      <c r="G4409" t="s">
        <v>1771</v>
      </c>
      <c r="H4409" t="s">
        <v>1772</v>
      </c>
      <c r="I4409" t="s">
        <v>86</v>
      </c>
      <c r="J4409">
        <v>59</v>
      </c>
      <c r="K4409" t="s">
        <v>83</v>
      </c>
      <c r="L4409" t="s">
        <v>91</v>
      </c>
      <c r="M4409" t="s">
        <v>55</v>
      </c>
      <c r="N4409" t="s">
        <v>2653</v>
      </c>
      <c r="O4409" t="s">
        <v>132</v>
      </c>
      <c r="P4409" t="s">
        <v>52</v>
      </c>
      <c r="Q4409" t="s">
        <v>150</v>
      </c>
      <c r="R4409">
        <v>2</v>
      </c>
      <c r="S4409">
        <v>899</v>
      </c>
      <c r="T4409">
        <v>0.05</v>
      </c>
      <c r="U4409">
        <v>0</v>
      </c>
      <c r="V4409">
        <v>0</v>
      </c>
      <c r="W4409">
        <v>0</v>
      </c>
      <c r="X4409" t="s">
        <v>76</v>
      </c>
      <c r="Y4409" t="s">
        <v>71</v>
      </c>
      <c r="Z4409" t="s">
        <v>158</v>
      </c>
      <c r="AA4409" t="s">
        <v>168</v>
      </c>
      <c r="AB4409">
        <v>4.2</v>
      </c>
      <c r="AC4409">
        <v>50</v>
      </c>
      <c r="AD4409">
        <v>173.58</v>
      </c>
      <c r="AE4409">
        <f t="shared" si="136"/>
        <v>-223.58</v>
      </c>
      <c r="AF4409" t="str">
        <f t="shared" si="137"/>
        <v>2026-07</v>
      </c>
      <c r="AG4409">
        <f>SUBTOTAL(103,A4409)</f>
        <v>1</v>
      </c>
    </row>
    <row r="4410" spans="1:33" x14ac:dyDescent="0.3">
      <c r="A4410" t="s">
        <v>7033</v>
      </c>
      <c r="B4410" s="13">
        <v>46218</v>
      </c>
      <c r="C4410">
        <v>2026</v>
      </c>
      <c r="D4410">
        <v>7</v>
      </c>
      <c r="E4410" t="s">
        <v>4046</v>
      </c>
      <c r="F4410" t="s">
        <v>4047</v>
      </c>
      <c r="G4410" t="s">
        <v>1507</v>
      </c>
      <c r="H4410" t="s">
        <v>1508</v>
      </c>
      <c r="I4410" t="s">
        <v>86</v>
      </c>
      <c r="J4410">
        <v>59</v>
      </c>
      <c r="K4410" t="s">
        <v>83</v>
      </c>
      <c r="L4410" t="s">
        <v>98</v>
      </c>
      <c r="M4410" t="s">
        <v>55</v>
      </c>
      <c r="N4410" t="s">
        <v>2630</v>
      </c>
      <c r="O4410" t="s">
        <v>123</v>
      </c>
      <c r="P4410" t="s">
        <v>52</v>
      </c>
      <c r="Q4410" t="s">
        <v>146</v>
      </c>
      <c r="R4410">
        <v>3</v>
      </c>
      <c r="S4410">
        <v>2499</v>
      </c>
      <c r="T4410">
        <v>0</v>
      </c>
      <c r="U4410">
        <v>7497</v>
      </c>
      <c r="V4410">
        <v>4200</v>
      </c>
      <c r="W4410">
        <v>3297</v>
      </c>
      <c r="X4410" t="s">
        <v>73</v>
      </c>
      <c r="Y4410" t="s">
        <v>68</v>
      </c>
      <c r="Z4410" t="s">
        <v>159</v>
      </c>
      <c r="AA4410" t="s">
        <v>169</v>
      </c>
      <c r="AB4410">
        <v>4.7</v>
      </c>
      <c r="AC4410">
        <v>60</v>
      </c>
      <c r="AD4410">
        <v>486.46</v>
      </c>
      <c r="AE4410">
        <f t="shared" si="136"/>
        <v>2750.54</v>
      </c>
      <c r="AF4410" t="str">
        <f t="shared" si="137"/>
        <v>2026-07</v>
      </c>
      <c r="AG4410">
        <f>SUBTOTAL(103,A4410)</f>
        <v>1</v>
      </c>
    </row>
    <row r="4411" spans="1:33" x14ac:dyDescent="0.3">
      <c r="A4411" t="s">
        <v>7034</v>
      </c>
      <c r="B4411" s="13">
        <v>46218</v>
      </c>
      <c r="C4411">
        <v>2026</v>
      </c>
      <c r="D4411">
        <v>7</v>
      </c>
      <c r="E4411" t="s">
        <v>4046</v>
      </c>
      <c r="F4411" t="s">
        <v>4047</v>
      </c>
      <c r="G4411" t="s">
        <v>1015</v>
      </c>
      <c r="H4411" t="s">
        <v>1016</v>
      </c>
      <c r="I4411" t="s">
        <v>85</v>
      </c>
      <c r="J4411">
        <v>37</v>
      </c>
      <c r="K4411" t="s">
        <v>82</v>
      </c>
      <c r="L4411" t="s">
        <v>94</v>
      </c>
      <c r="M4411" t="s">
        <v>57</v>
      </c>
      <c r="N4411" t="s">
        <v>2596</v>
      </c>
      <c r="O4411" t="s">
        <v>124</v>
      </c>
      <c r="P4411" t="s">
        <v>51</v>
      </c>
      <c r="Q4411" t="s">
        <v>147</v>
      </c>
      <c r="R4411">
        <v>2</v>
      </c>
      <c r="S4411">
        <v>2299</v>
      </c>
      <c r="T4411">
        <v>0.1</v>
      </c>
      <c r="U4411">
        <v>4138.2</v>
      </c>
      <c r="V4411">
        <v>2400</v>
      </c>
      <c r="W4411">
        <v>1738.2</v>
      </c>
      <c r="X4411" t="s">
        <v>75</v>
      </c>
      <c r="Y4411" t="s">
        <v>68</v>
      </c>
      <c r="Z4411" t="s">
        <v>161</v>
      </c>
      <c r="AA4411" t="s">
        <v>168</v>
      </c>
      <c r="AB4411">
        <v>3.9</v>
      </c>
      <c r="AC4411">
        <v>60</v>
      </c>
      <c r="AD4411">
        <v>259.33</v>
      </c>
      <c r="AE4411">
        <f t="shared" si="136"/>
        <v>1418.8700000000001</v>
      </c>
      <c r="AF4411" t="str">
        <f t="shared" si="137"/>
        <v>2026-07</v>
      </c>
      <c r="AG4411">
        <f>SUBTOTAL(103,A4411)</f>
        <v>1</v>
      </c>
    </row>
    <row r="4412" spans="1:33" x14ac:dyDescent="0.3">
      <c r="A4412" t="s">
        <v>7035</v>
      </c>
      <c r="B4412" s="13">
        <v>46218</v>
      </c>
      <c r="C4412">
        <v>2026</v>
      </c>
      <c r="D4412">
        <v>7</v>
      </c>
      <c r="E4412" t="s">
        <v>4046</v>
      </c>
      <c r="F4412" t="s">
        <v>4047</v>
      </c>
      <c r="G4412" t="s">
        <v>239</v>
      </c>
      <c r="H4412" t="s">
        <v>240</v>
      </c>
      <c r="I4412" t="s">
        <v>85</v>
      </c>
      <c r="J4412">
        <v>43</v>
      </c>
      <c r="K4412" t="s">
        <v>82</v>
      </c>
      <c r="L4412" t="s">
        <v>2579</v>
      </c>
      <c r="M4412" t="s">
        <v>56</v>
      </c>
      <c r="N4412" t="s">
        <v>2592</v>
      </c>
      <c r="O4412" t="s">
        <v>115</v>
      </c>
      <c r="P4412" t="s">
        <v>48</v>
      </c>
      <c r="Q4412" t="s">
        <v>137</v>
      </c>
      <c r="R4412">
        <v>2</v>
      </c>
      <c r="S4412">
        <v>12999</v>
      </c>
      <c r="T4412">
        <v>0</v>
      </c>
      <c r="U4412">
        <v>25998</v>
      </c>
      <c r="V4412">
        <v>18000</v>
      </c>
      <c r="W4412">
        <v>7998</v>
      </c>
      <c r="X4412" t="s">
        <v>73</v>
      </c>
      <c r="Y4412" t="s">
        <v>68</v>
      </c>
      <c r="Z4412" t="s">
        <v>159</v>
      </c>
      <c r="AA4412" t="s">
        <v>171</v>
      </c>
      <c r="AB4412">
        <v>4.0999999999999996</v>
      </c>
      <c r="AC4412">
        <v>50</v>
      </c>
      <c r="AD4412">
        <v>1883.32</v>
      </c>
      <c r="AE4412">
        <f t="shared" si="136"/>
        <v>6064.68</v>
      </c>
      <c r="AF4412" t="str">
        <f t="shared" si="137"/>
        <v>2026-07</v>
      </c>
      <c r="AG4412">
        <f>SUBTOTAL(103,A4412)</f>
        <v>1</v>
      </c>
    </row>
    <row r="4413" spans="1:33" x14ac:dyDescent="0.3">
      <c r="A4413" t="s">
        <v>7036</v>
      </c>
      <c r="B4413" s="13">
        <v>46219</v>
      </c>
      <c r="C4413">
        <v>2026</v>
      </c>
      <c r="D4413">
        <v>7</v>
      </c>
      <c r="E4413" t="s">
        <v>4046</v>
      </c>
      <c r="F4413" t="s">
        <v>4047</v>
      </c>
      <c r="G4413" t="s">
        <v>2183</v>
      </c>
      <c r="H4413" t="s">
        <v>2184</v>
      </c>
      <c r="I4413" t="s">
        <v>85</v>
      </c>
      <c r="J4413">
        <v>57</v>
      </c>
      <c r="K4413" t="s">
        <v>83</v>
      </c>
      <c r="L4413" t="s">
        <v>93</v>
      </c>
      <c r="M4413" t="s">
        <v>55</v>
      </c>
      <c r="N4413" t="s">
        <v>2580</v>
      </c>
      <c r="O4413" t="s">
        <v>118</v>
      </c>
      <c r="P4413" t="s">
        <v>48</v>
      </c>
      <c r="Q4413" t="s">
        <v>142</v>
      </c>
      <c r="R4413">
        <v>1</v>
      </c>
      <c r="S4413">
        <v>3999</v>
      </c>
      <c r="T4413">
        <v>0.05</v>
      </c>
      <c r="U4413">
        <v>3799.05</v>
      </c>
      <c r="V4413">
        <v>2400</v>
      </c>
      <c r="W4413">
        <v>1399.05</v>
      </c>
      <c r="X4413" t="s">
        <v>73</v>
      </c>
      <c r="Y4413" t="s">
        <v>68</v>
      </c>
      <c r="Z4413" t="s">
        <v>162</v>
      </c>
      <c r="AA4413" t="s">
        <v>171</v>
      </c>
      <c r="AB4413">
        <v>3.6</v>
      </c>
      <c r="AC4413">
        <v>50</v>
      </c>
      <c r="AD4413">
        <v>376.46</v>
      </c>
      <c r="AE4413">
        <f t="shared" si="136"/>
        <v>972.58999999999992</v>
      </c>
      <c r="AF4413" t="str">
        <f t="shared" si="137"/>
        <v>2026-07</v>
      </c>
      <c r="AG4413">
        <f>SUBTOTAL(103,A4413)</f>
        <v>1</v>
      </c>
    </row>
    <row r="4414" spans="1:33" x14ac:dyDescent="0.3">
      <c r="A4414" t="s">
        <v>7037</v>
      </c>
      <c r="B4414" s="13">
        <v>46219</v>
      </c>
      <c r="C4414">
        <v>2026</v>
      </c>
      <c r="D4414">
        <v>7</v>
      </c>
      <c r="E4414" t="s">
        <v>4046</v>
      </c>
      <c r="F4414" t="s">
        <v>4047</v>
      </c>
      <c r="G4414" t="s">
        <v>245</v>
      </c>
      <c r="H4414" t="s">
        <v>246</v>
      </c>
      <c r="I4414" t="s">
        <v>85</v>
      </c>
      <c r="J4414">
        <v>53</v>
      </c>
      <c r="K4414" t="s">
        <v>83</v>
      </c>
      <c r="L4414" t="s">
        <v>90</v>
      </c>
      <c r="M4414" t="s">
        <v>55</v>
      </c>
      <c r="N4414" t="s">
        <v>2601</v>
      </c>
      <c r="O4414" t="s">
        <v>117</v>
      </c>
      <c r="P4414" t="s">
        <v>49</v>
      </c>
      <c r="Q4414" t="s">
        <v>139</v>
      </c>
      <c r="R4414">
        <v>2</v>
      </c>
      <c r="S4414">
        <v>6999</v>
      </c>
      <c r="T4414">
        <v>0.15</v>
      </c>
      <c r="U4414">
        <v>11898.3</v>
      </c>
      <c r="V4414">
        <v>8600</v>
      </c>
      <c r="W4414">
        <v>3298.3</v>
      </c>
      <c r="X4414" t="s">
        <v>74</v>
      </c>
      <c r="Y4414" t="s">
        <v>68</v>
      </c>
      <c r="Z4414" t="s">
        <v>161</v>
      </c>
      <c r="AA4414" t="s">
        <v>169</v>
      </c>
      <c r="AB4414">
        <v>2.9</v>
      </c>
      <c r="AC4414">
        <v>80</v>
      </c>
      <c r="AD4414">
        <v>1157.29</v>
      </c>
      <c r="AE4414">
        <f t="shared" si="136"/>
        <v>2061.0100000000002</v>
      </c>
      <c r="AF4414" t="str">
        <f t="shared" si="137"/>
        <v>2026-07</v>
      </c>
      <c r="AG4414">
        <f>SUBTOTAL(103,A4414)</f>
        <v>1</v>
      </c>
    </row>
    <row r="4415" spans="1:33" x14ac:dyDescent="0.3">
      <c r="A4415" t="s">
        <v>7038</v>
      </c>
      <c r="B4415" s="13">
        <v>46219</v>
      </c>
      <c r="C4415">
        <v>2026</v>
      </c>
      <c r="D4415">
        <v>7</v>
      </c>
      <c r="E4415" t="s">
        <v>4046</v>
      </c>
      <c r="F4415" t="s">
        <v>4047</v>
      </c>
      <c r="G4415" t="s">
        <v>1029</v>
      </c>
      <c r="H4415" t="s">
        <v>1030</v>
      </c>
      <c r="I4415" t="s">
        <v>85</v>
      </c>
      <c r="J4415">
        <v>22</v>
      </c>
      <c r="K4415" t="s">
        <v>80</v>
      </c>
      <c r="L4415" t="s">
        <v>2637</v>
      </c>
      <c r="M4415" t="s">
        <v>64</v>
      </c>
      <c r="N4415" t="s">
        <v>2594</v>
      </c>
      <c r="O4415" t="s">
        <v>131</v>
      </c>
      <c r="P4415" t="s">
        <v>53</v>
      </c>
      <c r="Q4415" t="s">
        <v>143</v>
      </c>
      <c r="R4415">
        <v>2</v>
      </c>
      <c r="S4415">
        <v>999</v>
      </c>
      <c r="T4415">
        <v>0.05</v>
      </c>
      <c r="U4415">
        <v>1898.1</v>
      </c>
      <c r="V4415">
        <v>1040</v>
      </c>
      <c r="W4415">
        <v>858.1</v>
      </c>
      <c r="X4415" t="s">
        <v>73</v>
      </c>
      <c r="Y4415" t="s">
        <v>68</v>
      </c>
      <c r="Z4415" t="s">
        <v>159</v>
      </c>
      <c r="AA4415" t="s">
        <v>166</v>
      </c>
      <c r="AB4415">
        <v>3.2</v>
      </c>
      <c r="AC4415">
        <v>50</v>
      </c>
      <c r="AD4415">
        <v>79.53</v>
      </c>
      <c r="AE4415">
        <f t="shared" si="136"/>
        <v>728.57</v>
      </c>
      <c r="AF4415" t="str">
        <f t="shared" si="137"/>
        <v>2026-07</v>
      </c>
      <c r="AG4415">
        <f>SUBTOTAL(103,A4415)</f>
        <v>1</v>
      </c>
    </row>
    <row r="4416" spans="1:33" x14ac:dyDescent="0.3">
      <c r="A4416" t="s">
        <v>7039</v>
      </c>
      <c r="B4416" s="13">
        <v>46219</v>
      </c>
      <c r="C4416">
        <v>2026</v>
      </c>
      <c r="D4416">
        <v>7</v>
      </c>
      <c r="E4416" t="s">
        <v>4046</v>
      </c>
      <c r="F4416" t="s">
        <v>4047</v>
      </c>
      <c r="G4416" t="s">
        <v>1393</v>
      </c>
      <c r="H4416" t="s">
        <v>1394</v>
      </c>
      <c r="I4416" t="s">
        <v>85</v>
      </c>
      <c r="J4416">
        <v>40</v>
      </c>
      <c r="K4416" t="s">
        <v>82</v>
      </c>
      <c r="L4416" t="s">
        <v>97</v>
      </c>
      <c r="M4416" t="s">
        <v>57</v>
      </c>
      <c r="N4416" t="s">
        <v>2606</v>
      </c>
      <c r="O4416" t="s">
        <v>120</v>
      </c>
      <c r="P4416" t="s">
        <v>49</v>
      </c>
      <c r="Q4416" t="s">
        <v>140</v>
      </c>
      <c r="R4416">
        <v>1</v>
      </c>
      <c r="S4416">
        <v>2799</v>
      </c>
      <c r="T4416">
        <v>0.25</v>
      </c>
      <c r="U4416">
        <v>2099.25</v>
      </c>
      <c r="V4416">
        <v>1650</v>
      </c>
      <c r="W4416">
        <v>449.25</v>
      </c>
      <c r="X4416" t="s">
        <v>77</v>
      </c>
      <c r="Y4416" t="s">
        <v>68</v>
      </c>
      <c r="Z4416" t="s">
        <v>162</v>
      </c>
      <c r="AA4416" t="s">
        <v>167</v>
      </c>
      <c r="AB4416">
        <v>4.9000000000000004</v>
      </c>
      <c r="AC4416">
        <v>80</v>
      </c>
      <c r="AD4416">
        <v>239.16</v>
      </c>
      <c r="AE4416">
        <f t="shared" si="136"/>
        <v>130.09</v>
      </c>
      <c r="AF4416" t="str">
        <f t="shared" si="137"/>
        <v>2026-07</v>
      </c>
      <c r="AG4416">
        <f>SUBTOTAL(103,A4416)</f>
        <v>1</v>
      </c>
    </row>
    <row r="4417" spans="1:33" x14ac:dyDescent="0.3">
      <c r="A4417" t="s">
        <v>7040</v>
      </c>
      <c r="B4417" s="13">
        <v>46219</v>
      </c>
      <c r="C4417">
        <v>2026</v>
      </c>
      <c r="D4417">
        <v>7</v>
      </c>
      <c r="E4417" t="s">
        <v>4046</v>
      </c>
      <c r="F4417" t="s">
        <v>4047</v>
      </c>
      <c r="G4417" t="s">
        <v>1839</v>
      </c>
      <c r="H4417" t="s">
        <v>1840</v>
      </c>
      <c r="I4417" t="s">
        <v>85</v>
      </c>
      <c r="J4417">
        <v>34</v>
      </c>
      <c r="K4417" t="s">
        <v>81</v>
      </c>
      <c r="L4417" t="s">
        <v>90</v>
      </c>
      <c r="M4417" t="s">
        <v>55</v>
      </c>
      <c r="N4417" t="s">
        <v>2577</v>
      </c>
      <c r="O4417" t="s">
        <v>129</v>
      </c>
      <c r="P4417" t="s">
        <v>49</v>
      </c>
      <c r="Q4417" t="s">
        <v>149</v>
      </c>
      <c r="R4417">
        <v>1</v>
      </c>
      <c r="S4417">
        <v>1299</v>
      </c>
      <c r="T4417">
        <v>0</v>
      </c>
      <c r="U4417">
        <v>1299</v>
      </c>
      <c r="V4417">
        <v>650</v>
      </c>
      <c r="W4417">
        <v>649</v>
      </c>
      <c r="X4417" t="s">
        <v>74</v>
      </c>
      <c r="Y4417" t="s">
        <v>68</v>
      </c>
      <c r="Z4417" t="s">
        <v>163</v>
      </c>
      <c r="AA4417" t="s">
        <v>166</v>
      </c>
      <c r="AB4417">
        <v>3.3</v>
      </c>
      <c r="AC4417">
        <v>80</v>
      </c>
      <c r="AD4417">
        <v>26.33</v>
      </c>
      <c r="AE4417">
        <f t="shared" si="136"/>
        <v>542.66999999999996</v>
      </c>
      <c r="AF4417" t="str">
        <f t="shared" si="137"/>
        <v>2026-07</v>
      </c>
      <c r="AG4417">
        <f>SUBTOTAL(103,A4417)</f>
        <v>1</v>
      </c>
    </row>
    <row r="4418" spans="1:33" x14ac:dyDescent="0.3">
      <c r="A4418" t="s">
        <v>7041</v>
      </c>
      <c r="B4418" s="13">
        <v>46219</v>
      </c>
      <c r="C4418">
        <v>2026</v>
      </c>
      <c r="D4418">
        <v>7</v>
      </c>
      <c r="E4418" t="s">
        <v>4046</v>
      </c>
      <c r="F4418" t="s">
        <v>4047</v>
      </c>
      <c r="G4418" t="s">
        <v>807</v>
      </c>
      <c r="H4418" t="s">
        <v>808</v>
      </c>
      <c r="I4418" t="s">
        <v>85</v>
      </c>
      <c r="J4418">
        <v>21</v>
      </c>
      <c r="K4418" t="s">
        <v>80</v>
      </c>
      <c r="L4418" t="s">
        <v>90</v>
      </c>
      <c r="M4418" t="s">
        <v>55</v>
      </c>
      <c r="N4418" t="s">
        <v>2630</v>
      </c>
      <c r="O4418" t="s">
        <v>123</v>
      </c>
      <c r="P4418" t="s">
        <v>52</v>
      </c>
      <c r="Q4418" t="s">
        <v>146</v>
      </c>
      <c r="R4418">
        <v>2</v>
      </c>
      <c r="S4418">
        <v>2499</v>
      </c>
      <c r="T4418">
        <v>0.05</v>
      </c>
      <c r="U4418">
        <v>4748.1000000000004</v>
      </c>
      <c r="V4418">
        <v>2800</v>
      </c>
      <c r="W4418">
        <v>1948.1</v>
      </c>
      <c r="X4418" t="s">
        <v>73</v>
      </c>
      <c r="Y4418" t="s">
        <v>70</v>
      </c>
      <c r="Z4418" t="s">
        <v>159</v>
      </c>
      <c r="AA4418" t="s">
        <v>170</v>
      </c>
      <c r="AB4418">
        <v>4.0999999999999996</v>
      </c>
      <c r="AC4418">
        <v>40</v>
      </c>
      <c r="AD4418">
        <v>548.45000000000005</v>
      </c>
      <c r="AE4418">
        <f t="shared" ref="AE4418:AE4481" si="138">W4418-AC4418-AD4418</f>
        <v>1359.6499999999999</v>
      </c>
      <c r="AF4418" t="str">
        <f t="shared" ref="AF4418:AF4481" si="139">C4418&amp;"-"&amp;TEXT(D4418,"00")</f>
        <v>2026-07</v>
      </c>
      <c r="AG4418">
        <f>SUBTOTAL(103,A4418)</f>
        <v>1</v>
      </c>
    </row>
    <row r="4419" spans="1:33" x14ac:dyDescent="0.3">
      <c r="A4419" t="s">
        <v>7042</v>
      </c>
      <c r="B4419" s="13">
        <v>46220</v>
      </c>
      <c r="C4419">
        <v>2026</v>
      </c>
      <c r="D4419">
        <v>7</v>
      </c>
      <c r="E4419" t="s">
        <v>4046</v>
      </c>
      <c r="F4419" t="s">
        <v>4047</v>
      </c>
      <c r="G4419" t="s">
        <v>1275</v>
      </c>
      <c r="H4419" t="s">
        <v>1276</v>
      </c>
      <c r="I4419" t="s">
        <v>85</v>
      </c>
      <c r="J4419">
        <v>56</v>
      </c>
      <c r="K4419" t="s">
        <v>83</v>
      </c>
      <c r="L4419" t="s">
        <v>2634</v>
      </c>
      <c r="M4419" t="s">
        <v>56</v>
      </c>
      <c r="N4419" t="s">
        <v>2580</v>
      </c>
      <c r="O4419" t="s">
        <v>118</v>
      </c>
      <c r="P4419" t="s">
        <v>48</v>
      </c>
      <c r="Q4419" t="s">
        <v>142</v>
      </c>
      <c r="R4419">
        <v>3</v>
      </c>
      <c r="S4419">
        <v>3999</v>
      </c>
      <c r="T4419">
        <v>0.15</v>
      </c>
      <c r="U4419">
        <v>10197.450000000001</v>
      </c>
      <c r="V4419">
        <v>7200</v>
      </c>
      <c r="W4419">
        <v>2997.45</v>
      </c>
      <c r="X4419" t="s">
        <v>74</v>
      </c>
      <c r="Y4419" t="s">
        <v>68</v>
      </c>
      <c r="Z4419" t="s">
        <v>160</v>
      </c>
      <c r="AA4419" t="s">
        <v>167</v>
      </c>
      <c r="AB4419">
        <v>4.3</v>
      </c>
      <c r="AC4419">
        <v>80</v>
      </c>
      <c r="AD4419">
        <v>1032.98</v>
      </c>
      <c r="AE4419">
        <f t="shared" si="138"/>
        <v>1884.4699999999998</v>
      </c>
      <c r="AF4419" t="str">
        <f t="shared" si="139"/>
        <v>2026-07</v>
      </c>
      <c r="AG4419">
        <f>SUBTOTAL(103,A4419)</f>
        <v>1</v>
      </c>
    </row>
    <row r="4420" spans="1:33" x14ac:dyDescent="0.3">
      <c r="A4420" t="s">
        <v>7043</v>
      </c>
      <c r="B4420" s="13">
        <v>46220</v>
      </c>
      <c r="C4420">
        <v>2026</v>
      </c>
      <c r="D4420">
        <v>7</v>
      </c>
      <c r="E4420" t="s">
        <v>4046</v>
      </c>
      <c r="F4420" t="s">
        <v>4047</v>
      </c>
      <c r="G4420" t="s">
        <v>1445</v>
      </c>
      <c r="H4420" t="s">
        <v>1446</v>
      </c>
      <c r="I4420" t="s">
        <v>85</v>
      </c>
      <c r="J4420">
        <v>34</v>
      </c>
      <c r="K4420" t="s">
        <v>81</v>
      </c>
      <c r="L4420" t="s">
        <v>97</v>
      </c>
      <c r="M4420" t="s">
        <v>57</v>
      </c>
      <c r="N4420" t="s">
        <v>2603</v>
      </c>
      <c r="O4420" t="s">
        <v>122</v>
      </c>
      <c r="P4420" t="s">
        <v>48</v>
      </c>
      <c r="Q4420" t="s">
        <v>141</v>
      </c>
      <c r="R4420">
        <v>2</v>
      </c>
      <c r="S4420">
        <v>2499</v>
      </c>
      <c r="T4420">
        <v>0.05</v>
      </c>
      <c r="U4420">
        <v>4748.1000000000004</v>
      </c>
      <c r="V4420">
        <v>2900</v>
      </c>
      <c r="W4420">
        <v>1848.1</v>
      </c>
      <c r="X4420" t="s">
        <v>76</v>
      </c>
      <c r="Y4420" t="s">
        <v>68</v>
      </c>
      <c r="Z4420" t="s">
        <v>160</v>
      </c>
      <c r="AA4420" t="s">
        <v>171</v>
      </c>
      <c r="AB4420">
        <v>2.9</v>
      </c>
      <c r="AC4420">
        <v>50</v>
      </c>
      <c r="AD4420">
        <v>295.94</v>
      </c>
      <c r="AE4420">
        <f t="shared" si="138"/>
        <v>1502.1599999999999</v>
      </c>
      <c r="AF4420" t="str">
        <f t="shared" si="139"/>
        <v>2026-07</v>
      </c>
      <c r="AG4420">
        <f>SUBTOTAL(103,A4420)</f>
        <v>1</v>
      </c>
    </row>
    <row r="4421" spans="1:33" x14ac:dyDescent="0.3">
      <c r="A4421" t="s">
        <v>7044</v>
      </c>
      <c r="B4421" s="13">
        <v>46220</v>
      </c>
      <c r="C4421">
        <v>2026</v>
      </c>
      <c r="D4421">
        <v>7</v>
      </c>
      <c r="E4421" t="s">
        <v>4046</v>
      </c>
      <c r="F4421" t="s">
        <v>4047</v>
      </c>
      <c r="G4421" t="s">
        <v>213</v>
      </c>
      <c r="H4421" t="s">
        <v>214</v>
      </c>
      <c r="I4421" t="s">
        <v>85</v>
      </c>
      <c r="J4421">
        <v>38</v>
      </c>
      <c r="K4421" t="s">
        <v>82</v>
      </c>
      <c r="L4421" t="s">
        <v>97</v>
      </c>
      <c r="M4421" t="s">
        <v>57</v>
      </c>
      <c r="N4421" t="s">
        <v>2580</v>
      </c>
      <c r="O4421" t="s">
        <v>118</v>
      </c>
      <c r="P4421" t="s">
        <v>48</v>
      </c>
      <c r="Q4421" t="s">
        <v>142</v>
      </c>
      <c r="R4421">
        <v>4</v>
      </c>
      <c r="S4421">
        <v>3999</v>
      </c>
      <c r="T4421">
        <v>0</v>
      </c>
      <c r="U4421">
        <v>15996</v>
      </c>
      <c r="V4421">
        <v>9600</v>
      </c>
      <c r="W4421">
        <v>6396</v>
      </c>
      <c r="X4421" t="s">
        <v>74</v>
      </c>
      <c r="Y4421" t="s">
        <v>68</v>
      </c>
      <c r="Z4421" t="s">
        <v>158</v>
      </c>
      <c r="AA4421" t="s">
        <v>168</v>
      </c>
      <c r="AB4421">
        <v>4.7</v>
      </c>
      <c r="AC4421">
        <v>80</v>
      </c>
      <c r="AD4421">
        <v>830.57</v>
      </c>
      <c r="AE4421">
        <f t="shared" si="138"/>
        <v>5485.43</v>
      </c>
      <c r="AF4421" t="str">
        <f t="shared" si="139"/>
        <v>2026-07</v>
      </c>
      <c r="AG4421">
        <f>SUBTOTAL(103,A4421)</f>
        <v>1</v>
      </c>
    </row>
    <row r="4422" spans="1:33" x14ac:dyDescent="0.3">
      <c r="A4422" t="s">
        <v>7045</v>
      </c>
      <c r="B4422" s="13">
        <v>46220</v>
      </c>
      <c r="C4422">
        <v>2026</v>
      </c>
      <c r="D4422">
        <v>7</v>
      </c>
      <c r="E4422" t="s">
        <v>4046</v>
      </c>
      <c r="F4422" t="s">
        <v>4047</v>
      </c>
      <c r="G4422" t="s">
        <v>817</v>
      </c>
      <c r="H4422" t="s">
        <v>818</v>
      </c>
      <c r="I4422" t="s">
        <v>86</v>
      </c>
      <c r="J4422">
        <v>49</v>
      </c>
      <c r="K4422" t="s">
        <v>83</v>
      </c>
      <c r="L4422" t="s">
        <v>90</v>
      </c>
      <c r="M4422" t="s">
        <v>55</v>
      </c>
      <c r="N4422" t="s">
        <v>2594</v>
      </c>
      <c r="O4422" t="s">
        <v>131</v>
      </c>
      <c r="P4422" t="s">
        <v>53</v>
      </c>
      <c r="Q4422" t="s">
        <v>143</v>
      </c>
      <c r="R4422">
        <v>2</v>
      </c>
      <c r="S4422">
        <v>999</v>
      </c>
      <c r="T4422">
        <v>0.05</v>
      </c>
      <c r="U4422">
        <v>1898.1</v>
      </c>
      <c r="V4422">
        <v>1040</v>
      </c>
      <c r="W4422">
        <v>858.1</v>
      </c>
      <c r="X4422" t="s">
        <v>73</v>
      </c>
      <c r="Y4422" t="s">
        <v>68</v>
      </c>
      <c r="Z4422" t="s">
        <v>158</v>
      </c>
      <c r="AA4422" t="s">
        <v>166</v>
      </c>
      <c r="AB4422">
        <v>4.8</v>
      </c>
      <c r="AC4422">
        <v>50</v>
      </c>
      <c r="AD4422">
        <v>60.21</v>
      </c>
      <c r="AE4422">
        <f t="shared" si="138"/>
        <v>747.89</v>
      </c>
      <c r="AF4422" t="str">
        <f t="shared" si="139"/>
        <v>2026-07</v>
      </c>
      <c r="AG4422">
        <f>SUBTOTAL(103,A4422)</f>
        <v>1</v>
      </c>
    </row>
    <row r="4423" spans="1:33" x14ac:dyDescent="0.3">
      <c r="A4423" t="s">
        <v>7046</v>
      </c>
      <c r="B4423" s="13">
        <v>46220</v>
      </c>
      <c r="C4423">
        <v>2026</v>
      </c>
      <c r="D4423">
        <v>7</v>
      </c>
      <c r="E4423" t="s">
        <v>4046</v>
      </c>
      <c r="F4423" t="s">
        <v>4047</v>
      </c>
      <c r="G4423" t="s">
        <v>1385</v>
      </c>
      <c r="H4423" t="s">
        <v>1386</v>
      </c>
      <c r="I4423" t="s">
        <v>86</v>
      </c>
      <c r="J4423">
        <v>39</v>
      </c>
      <c r="K4423" t="s">
        <v>82</v>
      </c>
      <c r="L4423" t="s">
        <v>91</v>
      </c>
      <c r="M4423" t="s">
        <v>55</v>
      </c>
      <c r="N4423" t="s">
        <v>2582</v>
      </c>
      <c r="O4423" t="s">
        <v>119</v>
      </c>
      <c r="P4423" t="s">
        <v>49</v>
      </c>
      <c r="Q4423" t="s">
        <v>140</v>
      </c>
      <c r="R4423">
        <v>1</v>
      </c>
      <c r="S4423">
        <v>3499</v>
      </c>
      <c r="T4423">
        <v>0</v>
      </c>
      <c r="U4423">
        <v>3499</v>
      </c>
      <c r="V4423">
        <v>2100</v>
      </c>
      <c r="W4423">
        <v>1399</v>
      </c>
      <c r="X4423" t="s">
        <v>75</v>
      </c>
      <c r="Y4423" t="s">
        <v>68</v>
      </c>
      <c r="Z4423" t="s">
        <v>162</v>
      </c>
      <c r="AA4423" t="s">
        <v>168</v>
      </c>
      <c r="AB4423">
        <v>3.3</v>
      </c>
      <c r="AC4423">
        <v>40</v>
      </c>
      <c r="AD4423">
        <v>71.900000000000006</v>
      </c>
      <c r="AE4423">
        <f t="shared" si="138"/>
        <v>1287.0999999999999</v>
      </c>
      <c r="AF4423" t="str">
        <f t="shared" si="139"/>
        <v>2026-07</v>
      </c>
      <c r="AG4423">
        <f>SUBTOTAL(103,A4423)</f>
        <v>1</v>
      </c>
    </row>
    <row r="4424" spans="1:33" x14ac:dyDescent="0.3">
      <c r="A4424" t="s">
        <v>7047</v>
      </c>
      <c r="B4424" s="13">
        <v>46221</v>
      </c>
      <c r="C4424">
        <v>2026</v>
      </c>
      <c r="D4424">
        <v>7</v>
      </c>
      <c r="E4424" t="s">
        <v>4046</v>
      </c>
      <c r="F4424" t="s">
        <v>4047</v>
      </c>
      <c r="G4424" t="s">
        <v>477</v>
      </c>
      <c r="H4424" t="s">
        <v>478</v>
      </c>
      <c r="I4424" t="s">
        <v>86</v>
      </c>
      <c r="J4424">
        <v>59</v>
      </c>
      <c r="K4424" t="s">
        <v>83</v>
      </c>
      <c r="L4424" t="s">
        <v>99</v>
      </c>
      <c r="M4424" t="s">
        <v>58</v>
      </c>
      <c r="N4424" t="s">
        <v>2584</v>
      </c>
      <c r="O4424" t="s">
        <v>121</v>
      </c>
      <c r="P4424" t="s">
        <v>50</v>
      </c>
      <c r="Q4424" t="s">
        <v>144</v>
      </c>
      <c r="R4424">
        <v>1</v>
      </c>
      <c r="S4424">
        <v>2999</v>
      </c>
      <c r="T4424">
        <v>0.15</v>
      </c>
      <c r="U4424">
        <v>2549.15</v>
      </c>
      <c r="V4424">
        <v>1700</v>
      </c>
      <c r="W4424">
        <v>849.15</v>
      </c>
      <c r="X4424" t="s">
        <v>76</v>
      </c>
      <c r="Y4424" t="s">
        <v>68</v>
      </c>
      <c r="Z4424" t="s">
        <v>160</v>
      </c>
      <c r="AA4424" t="s">
        <v>169</v>
      </c>
      <c r="AB4424">
        <v>4.7</v>
      </c>
      <c r="AC4424">
        <v>50</v>
      </c>
      <c r="AD4424">
        <v>270.94</v>
      </c>
      <c r="AE4424">
        <f t="shared" si="138"/>
        <v>528.21</v>
      </c>
      <c r="AF4424" t="str">
        <f t="shared" si="139"/>
        <v>2026-07</v>
      </c>
      <c r="AG4424">
        <f>SUBTOTAL(103,A4424)</f>
        <v>1</v>
      </c>
    </row>
    <row r="4425" spans="1:33" x14ac:dyDescent="0.3">
      <c r="A4425" t="s">
        <v>7048</v>
      </c>
      <c r="B4425" s="13">
        <v>46221</v>
      </c>
      <c r="C4425">
        <v>2026</v>
      </c>
      <c r="D4425">
        <v>7</v>
      </c>
      <c r="E4425" t="s">
        <v>4046</v>
      </c>
      <c r="F4425" t="s">
        <v>4047</v>
      </c>
      <c r="G4425" t="s">
        <v>635</v>
      </c>
      <c r="H4425" t="s">
        <v>636</v>
      </c>
      <c r="I4425" t="s">
        <v>86</v>
      </c>
      <c r="J4425">
        <v>21</v>
      </c>
      <c r="K4425" t="s">
        <v>80</v>
      </c>
      <c r="L4425" t="s">
        <v>90</v>
      </c>
      <c r="M4425" t="s">
        <v>55</v>
      </c>
      <c r="N4425" t="s">
        <v>2665</v>
      </c>
      <c r="O4425" t="s">
        <v>128</v>
      </c>
      <c r="P4425" t="s">
        <v>53</v>
      </c>
      <c r="Q4425" t="s">
        <v>143</v>
      </c>
      <c r="R4425">
        <v>4</v>
      </c>
      <c r="S4425">
        <v>1499</v>
      </c>
      <c r="T4425">
        <v>0</v>
      </c>
      <c r="U4425">
        <v>5996</v>
      </c>
      <c r="V4425">
        <v>3200</v>
      </c>
      <c r="W4425">
        <v>2796</v>
      </c>
      <c r="X4425" t="s">
        <v>74</v>
      </c>
      <c r="Y4425" t="s">
        <v>68</v>
      </c>
      <c r="Z4425" t="s">
        <v>160</v>
      </c>
      <c r="AA4425" t="s">
        <v>168</v>
      </c>
      <c r="AB4425">
        <v>2.9</v>
      </c>
      <c r="AC4425">
        <v>40</v>
      </c>
      <c r="AD4425">
        <v>408.05</v>
      </c>
      <c r="AE4425">
        <f t="shared" si="138"/>
        <v>2347.9499999999998</v>
      </c>
      <c r="AF4425" t="str">
        <f t="shared" si="139"/>
        <v>2026-07</v>
      </c>
      <c r="AG4425">
        <f>SUBTOTAL(103,A4425)</f>
        <v>1</v>
      </c>
    </row>
    <row r="4426" spans="1:33" x14ac:dyDescent="0.3">
      <c r="A4426" t="s">
        <v>7049</v>
      </c>
      <c r="B4426" s="13">
        <v>46221</v>
      </c>
      <c r="C4426">
        <v>2026</v>
      </c>
      <c r="D4426">
        <v>7</v>
      </c>
      <c r="E4426" t="s">
        <v>4046</v>
      </c>
      <c r="F4426" t="s">
        <v>4047</v>
      </c>
      <c r="G4426" t="s">
        <v>1255</v>
      </c>
      <c r="H4426" t="s">
        <v>1256</v>
      </c>
      <c r="I4426" t="s">
        <v>85</v>
      </c>
      <c r="J4426">
        <v>47</v>
      </c>
      <c r="K4426" t="s">
        <v>83</v>
      </c>
      <c r="L4426" t="s">
        <v>2623</v>
      </c>
      <c r="M4426" t="s">
        <v>61</v>
      </c>
      <c r="N4426" t="s">
        <v>2584</v>
      </c>
      <c r="O4426" t="s">
        <v>121</v>
      </c>
      <c r="P4426" t="s">
        <v>50</v>
      </c>
      <c r="Q4426" t="s">
        <v>144</v>
      </c>
      <c r="R4426">
        <v>2</v>
      </c>
      <c r="S4426">
        <v>2999</v>
      </c>
      <c r="T4426">
        <v>0</v>
      </c>
      <c r="U4426">
        <v>5998</v>
      </c>
      <c r="V4426">
        <v>3400</v>
      </c>
      <c r="W4426">
        <v>2598</v>
      </c>
      <c r="X4426" t="s">
        <v>74</v>
      </c>
      <c r="Y4426" t="s">
        <v>68</v>
      </c>
      <c r="Z4426" t="s">
        <v>158</v>
      </c>
      <c r="AA4426" t="s">
        <v>170</v>
      </c>
      <c r="AB4426">
        <v>3.4</v>
      </c>
      <c r="AC4426">
        <v>120</v>
      </c>
      <c r="AD4426">
        <v>523.9</v>
      </c>
      <c r="AE4426">
        <f t="shared" si="138"/>
        <v>1954.1</v>
      </c>
      <c r="AF4426" t="str">
        <f t="shared" si="139"/>
        <v>2026-07</v>
      </c>
      <c r="AG4426">
        <f>SUBTOTAL(103,A4426)</f>
        <v>1</v>
      </c>
    </row>
    <row r="4427" spans="1:33" x14ac:dyDescent="0.3">
      <c r="A4427" t="s">
        <v>7050</v>
      </c>
      <c r="B4427" s="13">
        <v>46221</v>
      </c>
      <c r="C4427">
        <v>2026</v>
      </c>
      <c r="D4427">
        <v>7</v>
      </c>
      <c r="E4427" t="s">
        <v>4046</v>
      </c>
      <c r="F4427" t="s">
        <v>4047</v>
      </c>
      <c r="G4427" t="s">
        <v>659</v>
      </c>
      <c r="H4427" t="s">
        <v>660</v>
      </c>
      <c r="I4427" t="s">
        <v>85</v>
      </c>
      <c r="J4427">
        <v>59</v>
      </c>
      <c r="K4427" t="s">
        <v>83</v>
      </c>
      <c r="L4427" t="s">
        <v>2674</v>
      </c>
      <c r="M4427" t="s">
        <v>58</v>
      </c>
      <c r="N4427" t="s">
        <v>2584</v>
      </c>
      <c r="O4427" t="s">
        <v>121</v>
      </c>
      <c r="P4427" t="s">
        <v>50</v>
      </c>
      <c r="Q4427" t="s">
        <v>144</v>
      </c>
      <c r="R4427">
        <v>1</v>
      </c>
      <c r="S4427">
        <v>2999</v>
      </c>
      <c r="T4427">
        <v>0</v>
      </c>
      <c r="U4427">
        <v>2999</v>
      </c>
      <c r="V4427">
        <v>1700</v>
      </c>
      <c r="W4427">
        <v>1299</v>
      </c>
      <c r="X4427" t="s">
        <v>74</v>
      </c>
      <c r="Y4427" t="s">
        <v>68</v>
      </c>
      <c r="Z4427" t="s">
        <v>162</v>
      </c>
      <c r="AA4427" t="s">
        <v>167</v>
      </c>
      <c r="AB4427">
        <v>4.9000000000000004</v>
      </c>
      <c r="AC4427">
        <v>80</v>
      </c>
      <c r="AD4427">
        <v>117.88</v>
      </c>
      <c r="AE4427">
        <f t="shared" si="138"/>
        <v>1101.1199999999999</v>
      </c>
      <c r="AF4427" t="str">
        <f t="shared" si="139"/>
        <v>2026-07</v>
      </c>
      <c r="AG4427">
        <f>SUBTOTAL(103,A4427)</f>
        <v>1</v>
      </c>
    </row>
    <row r="4428" spans="1:33" x14ac:dyDescent="0.3">
      <c r="A4428" t="s">
        <v>7051</v>
      </c>
      <c r="B4428" s="13">
        <v>46222</v>
      </c>
      <c r="C4428">
        <v>2026</v>
      </c>
      <c r="D4428">
        <v>7</v>
      </c>
      <c r="E4428" t="s">
        <v>4046</v>
      </c>
      <c r="F4428" t="s">
        <v>4047</v>
      </c>
      <c r="G4428" t="s">
        <v>1289</v>
      </c>
      <c r="H4428" t="s">
        <v>1290</v>
      </c>
      <c r="I4428" t="s">
        <v>85</v>
      </c>
      <c r="J4428">
        <v>49</v>
      </c>
      <c r="K4428" t="s">
        <v>83</v>
      </c>
      <c r="L4428" t="s">
        <v>94</v>
      </c>
      <c r="M4428" t="s">
        <v>57</v>
      </c>
      <c r="N4428" t="s">
        <v>2630</v>
      </c>
      <c r="O4428" t="s">
        <v>123</v>
      </c>
      <c r="P4428" t="s">
        <v>52</v>
      </c>
      <c r="Q4428" t="s">
        <v>146</v>
      </c>
      <c r="R4428">
        <v>2</v>
      </c>
      <c r="S4428">
        <v>2499</v>
      </c>
      <c r="T4428">
        <v>0.2</v>
      </c>
      <c r="U4428">
        <v>3998.4</v>
      </c>
      <c r="V4428">
        <v>2800</v>
      </c>
      <c r="W4428">
        <v>1198.4000000000001</v>
      </c>
      <c r="X4428" t="s">
        <v>76</v>
      </c>
      <c r="Y4428" t="s">
        <v>68</v>
      </c>
      <c r="Z4428" t="s">
        <v>161</v>
      </c>
      <c r="AA4428" t="s">
        <v>166</v>
      </c>
      <c r="AB4428">
        <v>4.3</v>
      </c>
      <c r="AC4428">
        <v>40</v>
      </c>
      <c r="AD4428">
        <v>267.01</v>
      </c>
      <c r="AE4428">
        <f t="shared" si="138"/>
        <v>891.3900000000001</v>
      </c>
      <c r="AF4428" t="str">
        <f t="shared" si="139"/>
        <v>2026-07</v>
      </c>
      <c r="AG4428">
        <f>SUBTOTAL(103,A4428)</f>
        <v>1</v>
      </c>
    </row>
    <row r="4429" spans="1:33" x14ac:dyDescent="0.3">
      <c r="A4429" t="s">
        <v>7052</v>
      </c>
      <c r="B4429" s="13">
        <v>46222</v>
      </c>
      <c r="C4429">
        <v>2026</v>
      </c>
      <c r="D4429">
        <v>7</v>
      </c>
      <c r="E4429" t="s">
        <v>4046</v>
      </c>
      <c r="F4429" t="s">
        <v>4047</v>
      </c>
      <c r="G4429" t="s">
        <v>739</v>
      </c>
      <c r="H4429" t="s">
        <v>740</v>
      </c>
      <c r="I4429" t="s">
        <v>86</v>
      </c>
      <c r="J4429">
        <v>21</v>
      </c>
      <c r="K4429" t="s">
        <v>80</v>
      </c>
      <c r="L4429" t="s">
        <v>96</v>
      </c>
      <c r="M4429" t="s">
        <v>55</v>
      </c>
      <c r="N4429" t="s">
        <v>2574</v>
      </c>
      <c r="O4429" t="s">
        <v>130</v>
      </c>
      <c r="P4429" t="s">
        <v>50</v>
      </c>
      <c r="Q4429" t="s">
        <v>53</v>
      </c>
      <c r="R4429">
        <v>1</v>
      </c>
      <c r="S4429">
        <v>1199</v>
      </c>
      <c r="T4429">
        <v>0.05</v>
      </c>
      <c r="U4429">
        <v>0</v>
      </c>
      <c r="V4429">
        <v>0</v>
      </c>
      <c r="W4429">
        <v>0</v>
      </c>
      <c r="X4429" t="s">
        <v>73</v>
      </c>
      <c r="Y4429" t="s">
        <v>71</v>
      </c>
      <c r="Z4429" t="s">
        <v>161</v>
      </c>
      <c r="AA4429" t="s">
        <v>166</v>
      </c>
      <c r="AB4429">
        <v>3.3</v>
      </c>
      <c r="AC4429">
        <v>50</v>
      </c>
      <c r="AD4429">
        <v>132.19</v>
      </c>
      <c r="AE4429">
        <f t="shared" si="138"/>
        <v>-182.19</v>
      </c>
      <c r="AF4429" t="str">
        <f t="shared" si="139"/>
        <v>2026-07</v>
      </c>
      <c r="AG4429">
        <f>SUBTOTAL(103,A4429)</f>
        <v>1</v>
      </c>
    </row>
    <row r="4430" spans="1:33" x14ac:dyDescent="0.3">
      <c r="A4430" t="s">
        <v>7053</v>
      </c>
      <c r="B4430" s="13">
        <v>46222</v>
      </c>
      <c r="C4430">
        <v>2026</v>
      </c>
      <c r="D4430">
        <v>7</v>
      </c>
      <c r="E4430" t="s">
        <v>4046</v>
      </c>
      <c r="F4430" t="s">
        <v>4047</v>
      </c>
      <c r="G4430" t="s">
        <v>989</v>
      </c>
      <c r="H4430" t="s">
        <v>990</v>
      </c>
      <c r="I4430" t="s">
        <v>86</v>
      </c>
      <c r="J4430">
        <v>20</v>
      </c>
      <c r="K4430" t="s">
        <v>80</v>
      </c>
      <c r="L4430" t="s">
        <v>59</v>
      </c>
      <c r="M4430" t="s">
        <v>59</v>
      </c>
      <c r="N4430" t="s">
        <v>2665</v>
      </c>
      <c r="O4430" t="s">
        <v>128</v>
      </c>
      <c r="P4430" t="s">
        <v>53</v>
      </c>
      <c r="Q4430" t="s">
        <v>143</v>
      </c>
      <c r="R4430">
        <v>2</v>
      </c>
      <c r="S4430">
        <v>1499</v>
      </c>
      <c r="T4430">
        <v>0.15</v>
      </c>
      <c r="U4430">
        <v>2548.3000000000002</v>
      </c>
      <c r="V4430">
        <v>1600</v>
      </c>
      <c r="W4430">
        <v>948.3</v>
      </c>
      <c r="X4430" t="s">
        <v>73</v>
      </c>
      <c r="Y4430" t="s">
        <v>68</v>
      </c>
      <c r="Z4430" t="s">
        <v>161</v>
      </c>
      <c r="AA4430" t="s">
        <v>166</v>
      </c>
      <c r="AB4430">
        <v>3.4</v>
      </c>
      <c r="AC4430">
        <v>60</v>
      </c>
      <c r="AD4430">
        <v>126.3</v>
      </c>
      <c r="AE4430">
        <f t="shared" si="138"/>
        <v>762</v>
      </c>
      <c r="AF4430" t="str">
        <f t="shared" si="139"/>
        <v>2026-07</v>
      </c>
      <c r="AG4430">
        <f>SUBTOTAL(103,A4430)</f>
        <v>1</v>
      </c>
    </row>
    <row r="4431" spans="1:33" x14ac:dyDescent="0.3">
      <c r="A4431" t="s">
        <v>7054</v>
      </c>
      <c r="B4431" s="13">
        <v>46222</v>
      </c>
      <c r="C4431">
        <v>2026</v>
      </c>
      <c r="D4431">
        <v>7</v>
      </c>
      <c r="E4431" t="s">
        <v>4046</v>
      </c>
      <c r="F4431" t="s">
        <v>4047</v>
      </c>
      <c r="G4431" t="s">
        <v>2261</v>
      </c>
      <c r="H4431" t="s">
        <v>2262</v>
      </c>
      <c r="I4431" t="s">
        <v>85</v>
      </c>
      <c r="J4431">
        <v>37</v>
      </c>
      <c r="K4431" t="s">
        <v>82</v>
      </c>
      <c r="L4431" t="s">
        <v>2623</v>
      </c>
      <c r="M4431" t="s">
        <v>61</v>
      </c>
      <c r="N4431" t="s">
        <v>2603</v>
      </c>
      <c r="O4431" t="s">
        <v>122</v>
      </c>
      <c r="P4431" t="s">
        <v>48</v>
      </c>
      <c r="Q4431" t="s">
        <v>141</v>
      </c>
      <c r="R4431">
        <v>1</v>
      </c>
      <c r="S4431">
        <v>2499</v>
      </c>
      <c r="T4431">
        <v>0.1</v>
      </c>
      <c r="U4431">
        <v>2249.1</v>
      </c>
      <c r="V4431">
        <v>1450</v>
      </c>
      <c r="W4431">
        <v>799.1</v>
      </c>
      <c r="X4431" t="s">
        <v>74</v>
      </c>
      <c r="Y4431" t="s">
        <v>70</v>
      </c>
      <c r="Z4431" t="s">
        <v>159</v>
      </c>
      <c r="AA4431" t="s">
        <v>169</v>
      </c>
      <c r="AB4431">
        <v>4.0999999999999996</v>
      </c>
      <c r="AC4431">
        <v>50</v>
      </c>
      <c r="AD4431">
        <v>199.75</v>
      </c>
      <c r="AE4431">
        <f t="shared" si="138"/>
        <v>549.35</v>
      </c>
      <c r="AF4431" t="str">
        <f t="shared" si="139"/>
        <v>2026-07</v>
      </c>
      <c r="AG4431">
        <f>SUBTOTAL(103,A4431)</f>
        <v>1</v>
      </c>
    </row>
    <row r="4432" spans="1:33" x14ac:dyDescent="0.3">
      <c r="A4432" t="s">
        <v>7055</v>
      </c>
      <c r="B4432" s="13">
        <v>46222</v>
      </c>
      <c r="C4432">
        <v>2026</v>
      </c>
      <c r="D4432">
        <v>7</v>
      </c>
      <c r="E4432" t="s">
        <v>4046</v>
      </c>
      <c r="F4432" t="s">
        <v>4047</v>
      </c>
      <c r="G4432" t="s">
        <v>699</v>
      </c>
      <c r="H4432" t="s">
        <v>700</v>
      </c>
      <c r="I4432" t="s">
        <v>85</v>
      </c>
      <c r="J4432">
        <v>42</v>
      </c>
      <c r="K4432" t="s">
        <v>82</v>
      </c>
      <c r="L4432" t="s">
        <v>2634</v>
      </c>
      <c r="M4432" t="s">
        <v>56</v>
      </c>
      <c r="N4432" t="s">
        <v>2630</v>
      </c>
      <c r="O4432" t="s">
        <v>123</v>
      </c>
      <c r="P4432" t="s">
        <v>52</v>
      </c>
      <c r="Q4432" t="s">
        <v>146</v>
      </c>
      <c r="R4432">
        <v>3</v>
      </c>
      <c r="S4432">
        <v>2499</v>
      </c>
      <c r="T4432">
        <v>0.05</v>
      </c>
      <c r="U4432">
        <v>7122.15</v>
      </c>
      <c r="V4432">
        <v>4200</v>
      </c>
      <c r="W4432">
        <v>2922.15</v>
      </c>
      <c r="X4432" t="s">
        <v>73</v>
      </c>
      <c r="Y4432" t="s">
        <v>70</v>
      </c>
      <c r="Z4432" t="s">
        <v>161</v>
      </c>
      <c r="AA4432" t="s">
        <v>167</v>
      </c>
      <c r="AB4432">
        <v>4.2</v>
      </c>
      <c r="AC4432">
        <v>50</v>
      </c>
      <c r="AD4432">
        <v>758.47</v>
      </c>
      <c r="AE4432">
        <f t="shared" si="138"/>
        <v>2113.6800000000003</v>
      </c>
      <c r="AF4432" t="str">
        <f t="shared" si="139"/>
        <v>2026-07</v>
      </c>
      <c r="AG4432">
        <f>SUBTOTAL(103,A4432)</f>
        <v>1</v>
      </c>
    </row>
    <row r="4433" spans="1:33" x14ac:dyDescent="0.3">
      <c r="A4433" t="s">
        <v>7056</v>
      </c>
      <c r="B4433" s="13">
        <v>46222</v>
      </c>
      <c r="C4433">
        <v>2026</v>
      </c>
      <c r="D4433">
        <v>7</v>
      </c>
      <c r="E4433" t="s">
        <v>4046</v>
      </c>
      <c r="F4433" t="s">
        <v>4047</v>
      </c>
      <c r="G4433" t="s">
        <v>1817</v>
      </c>
      <c r="H4433" t="s">
        <v>1818</v>
      </c>
      <c r="I4433" t="s">
        <v>85</v>
      </c>
      <c r="J4433">
        <v>48</v>
      </c>
      <c r="K4433" t="s">
        <v>83</v>
      </c>
      <c r="L4433" t="s">
        <v>2679</v>
      </c>
      <c r="M4433" t="s">
        <v>60</v>
      </c>
      <c r="N4433" t="s">
        <v>2587</v>
      </c>
      <c r="O4433" t="s">
        <v>116</v>
      </c>
      <c r="P4433" t="s">
        <v>48</v>
      </c>
      <c r="Q4433" t="s">
        <v>138</v>
      </c>
      <c r="R4433">
        <v>1</v>
      </c>
      <c r="S4433">
        <v>14999</v>
      </c>
      <c r="T4433">
        <v>0.2</v>
      </c>
      <c r="U4433">
        <v>11999.2</v>
      </c>
      <c r="V4433">
        <v>11200</v>
      </c>
      <c r="W4433">
        <v>799.2</v>
      </c>
      <c r="X4433" t="s">
        <v>73</v>
      </c>
      <c r="Y4433" t="s">
        <v>68</v>
      </c>
      <c r="Z4433" t="s">
        <v>162</v>
      </c>
      <c r="AA4433" t="s">
        <v>168</v>
      </c>
      <c r="AB4433">
        <v>4.5</v>
      </c>
      <c r="AC4433">
        <v>40</v>
      </c>
      <c r="AD4433">
        <v>1355.89</v>
      </c>
      <c r="AE4433">
        <f t="shared" si="138"/>
        <v>-596.69000000000005</v>
      </c>
      <c r="AF4433" t="str">
        <f t="shared" si="139"/>
        <v>2026-07</v>
      </c>
      <c r="AG4433">
        <f>SUBTOTAL(103,A4433)</f>
        <v>1</v>
      </c>
    </row>
    <row r="4434" spans="1:33" x14ac:dyDescent="0.3">
      <c r="A4434" t="s">
        <v>7057</v>
      </c>
      <c r="B4434" s="13">
        <v>46223</v>
      </c>
      <c r="C4434">
        <v>2026</v>
      </c>
      <c r="D4434">
        <v>7</v>
      </c>
      <c r="E4434" t="s">
        <v>4046</v>
      </c>
      <c r="F4434" t="s">
        <v>4047</v>
      </c>
      <c r="G4434" t="s">
        <v>1003</v>
      </c>
      <c r="H4434" t="s">
        <v>1004</v>
      </c>
      <c r="I4434" t="s">
        <v>86</v>
      </c>
      <c r="J4434">
        <v>60</v>
      </c>
      <c r="K4434" t="s">
        <v>83</v>
      </c>
      <c r="L4434" t="s">
        <v>2576</v>
      </c>
      <c r="M4434" t="s">
        <v>60</v>
      </c>
      <c r="N4434" t="s">
        <v>2665</v>
      </c>
      <c r="O4434" t="s">
        <v>128</v>
      </c>
      <c r="P4434" t="s">
        <v>53</v>
      </c>
      <c r="Q4434" t="s">
        <v>143</v>
      </c>
      <c r="R4434">
        <v>2</v>
      </c>
      <c r="S4434">
        <v>1499</v>
      </c>
      <c r="T4434">
        <v>0.1</v>
      </c>
      <c r="U4434">
        <v>2698.2</v>
      </c>
      <c r="V4434">
        <v>1600</v>
      </c>
      <c r="W4434">
        <v>1098.2</v>
      </c>
      <c r="X4434" t="s">
        <v>74</v>
      </c>
      <c r="Y4434" t="s">
        <v>68</v>
      </c>
      <c r="Z4434" t="s">
        <v>162</v>
      </c>
      <c r="AA4434" t="s">
        <v>166</v>
      </c>
      <c r="AB4434">
        <v>4.5</v>
      </c>
      <c r="AC4434">
        <v>80</v>
      </c>
      <c r="AD4434">
        <v>112.74</v>
      </c>
      <c r="AE4434">
        <f t="shared" si="138"/>
        <v>905.46</v>
      </c>
      <c r="AF4434" t="str">
        <f t="shared" si="139"/>
        <v>2026-07</v>
      </c>
      <c r="AG4434">
        <f>SUBTOTAL(103,A4434)</f>
        <v>1</v>
      </c>
    </row>
    <row r="4435" spans="1:33" x14ac:dyDescent="0.3">
      <c r="A4435" t="s">
        <v>7058</v>
      </c>
      <c r="B4435" s="13">
        <v>46223</v>
      </c>
      <c r="C4435">
        <v>2026</v>
      </c>
      <c r="D4435">
        <v>7</v>
      </c>
      <c r="E4435" t="s">
        <v>4046</v>
      </c>
      <c r="F4435" t="s">
        <v>4047</v>
      </c>
      <c r="G4435" t="s">
        <v>1275</v>
      </c>
      <c r="H4435" t="s">
        <v>1276</v>
      </c>
      <c r="I4435" t="s">
        <v>85</v>
      </c>
      <c r="J4435">
        <v>56</v>
      </c>
      <c r="K4435" t="s">
        <v>83</v>
      </c>
      <c r="L4435" t="s">
        <v>2634</v>
      </c>
      <c r="M4435" t="s">
        <v>56</v>
      </c>
      <c r="N4435" t="s">
        <v>2577</v>
      </c>
      <c r="O4435" t="s">
        <v>129</v>
      </c>
      <c r="P4435" t="s">
        <v>49</v>
      </c>
      <c r="Q4435" t="s">
        <v>149</v>
      </c>
      <c r="R4435">
        <v>1</v>
      </c>
      <c r="S4435">
        <v>1299</v>
      </c>
      <c r="T4435">
        <v>0.2</v>
      </c>
      <c r="U4435">
        <v>1039.2</v>
      </c>
      <c r="V4435">
        <v>650</v>
      </c>
      <c r="W4435">
        <v>389.2</v>
      </c>
      <c r="X4435" t="s">
        <v>76</v>
      </c>
      <c r="Y4435" t="s">
        <v>68</v>
      </c>
      <c r="Z4435" t="s">
        <v>160</v>
      </c>
      <c r="AA4435" t="s">
        <v>170</v>
      </c>
      <c r="AB4435">
        <v>4.3</v>
      </c>
      <c r="AC4435">
        <v>100</v>
      </c>
      <c r="AD4435">
        <v>67.680000000000007</v>
      </c>
      <c r="AE4435">
        <f t="shared" si="138"/>
        <v>221.51999999999998</v>
      </c>
      <c r="AF4435" t="str">
        <f t="shared" si="139"/>
        <v>2026-07</v>
      </c>
      <c r="AG4435">
        <f>SUBTOTAL(103,A4435)</f>
        <v>1</v>
      </c>
    </row>
    <row r="4436" spans="1:33" x14ac:dyDescent="0.3">
      <c r="A4436" t="s">
        <v>7059</v>
      </c>
      <c r="B4436" s="13">
        <v>46223</v>
      </c>
      <c r="C4436">
        <v>2026</v>
      </c>
      <c r="D4436">
        <v>7</v>
      </c>
      <c r="E4436" t="s">
        <v>4046</v>
      </c>
      <c r="F4436" t="s">
        <v>4047</v>
      </c>
      <c r="G4436" t="s">
        <v>2169</v>
      </c>
      <c r="H4436" t="s">
        <v>2170</v>
      </c>
      <c r="I4436" t="s">
        <v>86</v>
      </c>
      <c r="J4436">
        <v>32</v>
      </c>
      <c r="K4436" t="s">
        <v>81</v>
      </c>
      <c r="L4436" t="s">
        <v>99</v>
      </c>
      <c r="M4436" t="s">
        <v>58</v>
      </c>
      <c r="N4436" t="s">
        <v>2644</v>
      </c>
      <c r="O4436" t="s">
        <v>126</v>
      </c>
      <c r="P4436" t="s">
        <v>50</v>
      </c>
      <c r="Q4436" t="s">
        <v>145</v>
      </c>
      <c r="R4436">
        <v>2</v>
      </c>
      <c r="S4436">
        <v>1799</v>
      </c>
      <c r="T4436">
        <v>0</v>
      </c>
      <c r="U4436">
        <v>3598</v>
      </c>
      <c r="V4436">
        <v>1900</v>
      </c>
      <c r="W4436">
        <v>1698</v>
      </c>
      <c r="X4436" t="s">
        <v>73</v>
      </c>
      <c r="Y4436" t="s">
        <v>68</v>
      </c>
      <c r="Z4436" t="s">
        <v>161</v>
      </c>
      <c r="AA4436" t="s">
        <v>171</v>
      </c>
      <c r="AB4436">
        <v>5</v>
      </c>
      <c r="AC4436">
        <v>60</v>
      </c>
      <c r="AD4436">
        <v>229.47</v>
      </c>
      <c r="AE4436">
        <f t="shared" si="138"/>
        <v>1408.53</v>
      </c>
      <c r="AF4436" t="str">
        <f t="shared" si="139"/>
        <v>2026-07</v>
      </c>
      <c r="AG4436">
        <f>SUBTOTAL(103,A4436)</f>
        <v>1</v>
      </c>
    </row>
    <row r="4437" spans="1:33" x14ac:dyDescent="0.3">
      <c r="A4437" t="s">
        <v>7060</v>
      </c>
      <c r="B4437" s="13">
        <v>46223</v>
      </c>
      <c r="C4437">
        <v>2026</v>
      </c>
      <c r="D4437">
        <v>7</v>
      </c>
      <c r="E4437" t="s">
        <v>4046</v>
      </c>
      <c r="F4437" t="s">
        <v>4047</v>
      </c>
      <c r="G4437" t="s">
        <v>1267</v>
      </c>
      <c r="H4437" t="s">
        <v>1268</v>
      </c>
      <c r="I4437" t="s">
        <v>85</v>
      </c>
      <c r="J4437">
        <v>41</v>
      </c>
      <c r="K4437" t="s">
        <v>82</v>
      </c>
      <c r="L4437" t="s">
        <v>90</v>
      </c>
      <c r="M4437" t="s">
        <v>55</v>
      </c>
      <c r="N4437" t="s">
        <v>2603</v>
      </c>
      <c r="O4437" t="s">
        <v>122</v>
      </c>
      <c r="P4437" t="s">
        <v>48</v>
      </c>
      <c r="Q4437" t="s">
        <v>141</v>
      </c>
      <c r="R4437">
        <v>4</v>
      </c>
      <c r="S4437">
        <v>2499</v>
      </c>
      <c r="T4437">
        <v>0.15</v>
      </c>
      <c r="U4437">
        <v>8496.6</v>
      </c>
      <c r="V4437">
        <v>5800</v>
      </c>
      <c r="W4437">
        <v>2696.6</v>
      </c>
      <c r="X4437" t="s">
        <v>74</v>
      </c>
      <c r="Y4437" t="s">
        <v>68</v>
      </c>
      <c r="Z4437" t="s">
        <v>158</v>
      </c>
      <c r="AA4437" t="s">
        <v>166</v>
      </c>
      <c r="AB4437">
        <v>3.7</v>
      </c>
      <c r="AC4437">
        <v>50</v>
      </c>
      <c r="AD4437">
        <v>804.35</v>
      </c>
      <c r="AE4437">
        <f t="shared" si="138"/>
        <v>1842.25</v>
      </c>
      <c r="AF4437" t="str">
        <f t="shared" si="139"/>
        <v>2026-07</v>
      </c>
      <c r="AG4437">
        <f>SUBTOTAL(103,A4437)</f>
        <v>1</v>
      </c>
    </row>
    <row r="4438" spans="1:33" x14ac:dyDescent="0.3">
      <c r="A4438" t="s">
        <v>7061</v>
      </c>
      <c r="B4438" s="13">
        <v>46223</v>
      </c>
      <c r="C4438">
        <v>2026</v>
      </c>
      <c r="D4438">
        <v>7</v>
      </c>
      <c r="E4438" t="s">
        <v>4046</v>
      </c>
      <c r="F4438" t="s">
        <v>4047</v>
      </c>
      <c r="G4438" t="s">
        <v>1789</v>
      </c>
      <c r="H4438" t="s">
        <v>1790</v>
      </c>
      <c r="I4438" t="s">
        <v>86</v>
      </c>
      <c r="J4438">
        <v>54</v>
      </c>
      <c r="K4438" t="s">
        <v>83</v>
      </c>
      <c r="L4438" t="s">
        <v>100</v>
      </c>
      <c r="M4438" t="s">
        <v>56</v>
      </c>
      <c r="N4438" t="s">
        <v>2594</v>
      </c>
      <c r="O4438" t="s">
        <v>131</v>
      </c>
      <c r="P4438" t="s">
        <v>53</v>
      </c>
      <c r="Q4438" t="s">
        <v>143</v>
      </c>
      <c r="R4438">
        <v>2</v>
      </c>
      <c r="S4438">
        <v>999</v>
      </c>
      <c r="T4438">
        <v>0.05</v>
      </c>
      <c r="U4438">
        <v>1898.1</v>
      </c>
      <c r="V4438">
        <v>1040</v>
      </c>
      <c r="W4438">
        <v>858.1</v>
      </c>
      <c r="X4438" t="s">
        <v>73</v>
      </c>
      <c r="Y4438" t="s">
        <v>69</v>
      </c>
      <c r="Z4438" t="s">
        <v>162</v>
      </c>
      <c r="AA4438" t="s">
        <v>168</v>
      </c>
      <c r="AB4438">
        <v>4.5999999999999996</v>
      </c>
      <c r="AC4438">
        <v>40</v>
      </c>
      <c r="AD4438">
        <v>164.84</v>
      </c>
      <c r="AE4438">
        <f t="shared" si="138"/>
        <v>653.26</v>
      </c>
      <c r="AF4438" t="str">
        <f t="shared" si="139"/>
        <v>2026-07</v>
      </c>
      <c r="AG4438">
        <f>SUBTOTAL(103,A4438)</f>
        <v>1</v>
      </c>
    </row>
    <row r="4439" spans="1:33" x14ac:dyDescent="0.3">
      <c r="A4439" t="s">
        <v>7062</v>
      </c>
      <c r="B4439" s="13">
        <v>46223</v>
      </c>
      <c r="C4439">
        <v>2026</v>
      </c>
      <c r="D4439">
        <v>7</v>
      </c>
      <c r="E4439" t="s">
        <v>4046</v>
      </c>
      <c r="F4439" t="s">
        <v>4047</v>
      </c>
      <c r="G4439" t="s">
        <v>2493</v>
      </c>
      <c r="H4439" t="s">
        <v>2494</v>
      </c>
      <c r="I4439" t="s">
        <v>86</v>
      </c>
      <c r="J4439">
        <v>50</v>
      </c>
      <c r="K4439" t="s">
        <v>83</v>
      </c>
      <c r="L4439" t="s">
        <v>93</v>
      </c>
      <c r="M4439" t="s">
        <v>55</v>
      </c>
      <c r="N4439" t="s">
        <v>2601</v>
      </c>
      <c r="O4439" t="s">
        <v>117</v>
      </c>
      <c r="P4439" t="s">
        <v>49</v>
      </c>
      <c r="Q4439" t="s">
        <v>139</v>
      </c>
      <c r="R4439">
        <v>5</v>
      </c>
      <c r="S4439">
        <v>6999</v>
      </c>
      <c r="T4439">
        <v>0.1</v>
      </c>
      <c r="U4439">
        <v>0</v>
      </c>
      <c r="V4439">
        <v>0</v>
      </c>
      <c r="W4439">
        <v>0</v>
      </c>
      <c r="X4439" t="s">
        <v>73</v>
      </c>
      <c r="Y4439" t="s">
        <v>71</v>
      </c>
      <c r="Z4439" t="s">
        <v>160</v>
      </c>
      <c r="AA4439" t="s">
        <v>171</v>
      </c>
      <c r="AB4439">
        <v>4</v>
      </c>
      <c r="AC4439">
        <v>50</v>
      </c>
      <c r="AD4439">
        <v>2152.86</v>
      </c>
      <c r="AE4439">
        <f t="shared" si="138"/>
        <v>-2202.86</v>
      </c>
      <c r="AF4439" t="str">
        <f t="shared" si="139"/>
        <v>2026-07</v>
      </c>
      <c r="AG4439">
        <f>SUBTOTAL(103,A4439)</f>
        <v>1</v>
      </c>
    </row>
    <row r="4440" spans="1:33" x14ac:dyDescent="0.3">
      <c r="A4440" t="s">
        <v>7063</v>
      </c>
      <c r="B4440" s="13">
        <v>46223</v>
      </c>
      <c r="C4440">
        <v>2026</v>
      </c>
      <c r="D4440">
        <v>7</v>
      </c>
      <c r="E4440" t="s">
        <v>4046</v>
      </c>
      <c r="F4440" t="s">
        <v>4047</v>
      </c>
      <c r="G4440" t="s">
        <v>1465</v>
      </c>
      <c r="H4440" t="s">
        <v>1466</v>
      </c>
      <c r="I4440" t="s">
        <v>85</v>
      </c>
      <c r="J4440">
        <v>53</v>
      </c>
      <c r="K4440" t="s">
        <v>83</v>
      </c>
      <c r="L4440" t="s">
        <v>2637</v>
      </c>
      <c r="M4440" t="s">
        <v>64</v>
      </c>
      <c r="N4440" t="s">
        <v>2626</v>
      </c>
      <c r="O4440" t="s">
        <v>125</v>
      </c>
      <c r="P4440" t="s">
        <v>48</v>
      </c>
      <c r="Q4440" t="s">
        <v>141</v>
      </c>
      <c r="R4440">
        <v>3</v>
      </c>
      <c r="S4440">
        <v>1999</v>
      </c>
      <c r="T4440">
        <v>0.1</v>
      </c>
      <c r="U4440">
        <v>5397.3</v>
      </c>
      <c r="V4440">
        <v>3450</v>
      </c>
      <c r="W4440">
        <v>1947.3</v>
      </c>
      <c r="X4440" t="s">
        <v>73</v>
      </c>
      <c r="Y4440" t="s">
        <v>68</v>
      </c>
      <c r="Z4440" t="s">
        <v>161</v>
      </c>
      <c r="AA4440" t="s">
        <v>166</v>
      </c>
      <c r="AB4440">
        <v>5</v>
      </c>
      <c r="AC4440">
        <v>50</v>
      </c>
      <c r="AD4440">
        <v>477.07</v>
      </c>
      <c r="AE4440">
        <f t="shared" si="138"/>
        <v>1420.23</v>
      </c>
      <c r="AF4440" t="str">
        <f t="shared" si="139"/>
        <v>2026-07</v>
      </c>
      <c r="AG4440">
        <f>SUBTOTAL(103,A4440)</f>
        <v>1</v>
      </c>
    </row>
    <row r="4441" spans="1:33" x14ac:dyDescent="0.3">
      <c r="A4441" t="s">
        <v>7064</v>
      </c>
      <c r="B4441" s="13">
        <v>46223</v>
      </c>
      <c r="C4441">
        <v>2026</v>
      </c>
      <c r="D4441">
        <v>7</v>
      </c>
      <c r="E4441" t="s">
        <v>4046</v>
      </c>
      <c r="F4441" t="s">
        <v>4047</v>
      </c>
      <c r="G4441" t="s">
        <v>2439</v>
      </c>
      <c r="H4441" t="s">
        <v>2440</v>
      </c>
      <c r="I4441" t="s">
        <v>86</v>
      </c>
      <c r="J4441">
        <v>38</v>
      </c>
      <c r="K4441" t="s">
        <v>82</v>
      </c>
      <c r="L4441" t="s">
        <v>90</v>
      </c>
      <c r="M4441" t="s">
        <v>55</v>
      </c>
      <c r="N4441" t="s">
        <v>2594</v>
      </c>
      <c r="O4441" t="s">
        <v>131</v>
      </c>
      <c r="P4441" t="s">
        <v>53</v>
      </c>
      <c r="Q4441" t="s">
        <v>143</v>
      </c>
      <c r="R4441">
        <v>1</v>
      </c>
      <c r="S4441">
        <v>999</v>
      </c>
      <c r="T4441">
        <v>0.15</v>
      </c>
      <c r="U4441">
        <v>0</v>
      </c>
      <c r="V4441">
        <v>0</v>
      </c>
      <c r="W4441">
        <v>0</v>
      </c>
      <c r="X4441" t="s">
        <v>74</v>
      </c>
      <c r="Y4441" t="s">
        <v>71</v>
      </c>
      <c r="Z4441" t="s">
        <v>159</v>
      </c>
      <c r="AA4441" t="s">
        <v>167</v>
      </c>
      <c r="AB4441">
        <v>3.7</v>
      </c>
      <c r="AC4441">
        <v>40</v>
      </c>
      <c r="AD4441">
        <v>79.13</v>
      </c>
      <c r="AE4441">
        <f t="shared" si="138"/>
        <v>-119.13</v>
      </c>
      <c r="AF4441" t="str">
        <f t="shared" si="139"/>
        <v>2026-07</v>
      </c>
      <c r="AG4441">
        <f>SUBTOTAL(103,A4441)</f>
        <v>1</v>
      </c>
    </row>
    <row r="4442" spans="1:33" x14ac:dyDescent="0.3">
      <c r="A4442" t="s">
        <v>7065</v>
      </c>
      <c r="B4442" s="13">
        <v>46223</v>
      </c>
      <c r="C4442">
        <v>2026</v>
      </c>
      <c r="D4442">
        <v>7</v>
      </c>
      <c r="E4442" t="s">
        <v>4046</v>
      </c>
      <c r="F4442" t="s">
        <v>4047</v>
      </c>
      <c r="G4442" t="s">
        <v>701</v>
      </c>
      <c r="H4442" t="s">
        <v>702</v>
      </c>
      <c r="I4442" t="s">
        <v>86</v>
      </c>
      <c r="J4442">
        <v>45</v>
      </c>
      <c r="K4442" t="s">
        <v>82</v>
      </c>
      <c r="L4442" t="s">
        <v>2679</v>
      </c>
      <c r="M4442" t="s">
        <v>60</v>
      </c>
      <c r="N4442" t="s">
        <v>2647</v>
      </c>
      <c r="O4442" t="s">
        <v>133</v>
      </c>
      <c r="P4442" t="s">
        <v>50</v>
      </c>
      <c r="Q4442" t="s">
        <v>145</v>
      </c>
      <c r="R4442">
        <v>1</v>
      </c>
      <c r="S4442">
        <v>799</v>
      </c>
      <c r="T4442">
        <v>0.15</v>
      </c>
      <c r="U4442">
        <v>0</v>
      </c>
      <c r="V4442">
        <v>0</v>
      </c>
      <c r="W4442">
        <v>0</v>
      </c>
      <c r="X4442" t="s">
        <v>76</v>
      </c>
      <c r="Y4442" t="s">
        <v>71</v>
      </c>
      <c r="Z4442" t="s">
        <v>161</v>
      </c>
      <c r="AA4442" t="s">
        <v>166</v>
      </c>
      <c r="AB4442">
        <v>4.5999999999999996</v>
      </c>
      <c r="AC4442">
        <v>80</v>
      </c>
      <c r="AD4442">
        <v>36.159999999999997</v>
      </c>
      <c r="AE4442">
        <f t="shared" si="138"/>
        <v>-116.16</v>
      </c>
      <c r="AF4442" t="str">
        <f t="shared" si="139"/>
        <v>2026-07</v>
      </c>
      <c r="AG4442">
        <f>SUBTOTAL(103,A4442)</f>
        <v>1</v>
      </c>
    </row>
    <row r="4443" spans="1:33" x14ac:dyDescent="0.3">
      <c r="A4443" t="s">
        <v>7066</v>
      </c>
      <c r="B4443" s="13">
        <v>46223</v>
      </c>
      <c r="C4443">
        <v>2026</v>
      </c>
      <c r="D4443">
        <v>7</v>
      </c>
      <c r="E4443" t="s">
        <v>4046</v>
      </c>
      <c r="F4443" t="s">
        <v>4047</v>
      </c>
      <c r="G4443" t="s">
        <v>2207</v>
      </c>
      <c r="H4443" t="s">
        <v>2208</v>
      </c>
      <c r="I4443" t="s">
        <v>85</v>
      </c>
      <c r="J4443">
        <v>27</v>
      </c>
      <c r="K4443" t="s">
        <v>81</v>
      </c>
      <c r="L4443" t="s">
        <v>2674</v>
      </c>
      <c r="M4443" t="s">
        <v>58</v>
      </c>
      <c r="N4443" t="s">
        <v>2574</v>
      </c>
      <c r="O4443" t="s">
        <v>130</v>
      </c>
      <c r="P4443" t="s">
        <v>50</v>
      </c>
      <c r="Q4443" t="s">
        <v>53</v>
      </c>
      <c r="R4443">
        <v>1</v>
      </c>
      <c r="S4443">
        <v>1199</v>
      </c>
      <c r="T4443">
        <v>0</v>
      </c>
      <c r="U4443">
        <v>1199</v>
      </c>
      <c r="V4443">
        <v>550</v>
      </c>
      <c r="W4443">
        <v>649</v>
      </c>
      <c r="X4443" t="s">
        <v>73</v>
      </c>
      <c r="Y4443" t="s">
        <v>68</v>
      </c>
      <c r="Z4443" t="s">
        <v>160</v>
      </c>
      <c r="AA4443" t="s">
        <v>171</v>
      </c>
      <c r="AB4443">
        <v>4.2</v>
      </c>
      <c r="AC4443">
        <v>100</v>
      </c>
      <c r="AD4443">
        <v>119.59</v>
      </c>
      <c r="AE4443">
        <f t="shared" si="138"/>
        <v>429.40999999999997</v>
      </c>
      <c r="AF4443" t="str">
        <f t="shared" si="139"/>
        <v>2026-07</v>
      </c>
      <c r="AG4443">
        <f>SUBTOTAL(103,A4443)</f>
        <v>1</v>
      </c>
    </row>
    <row r="4444" spans="1:33" x14ac:dyDescent="0.3">
      <c r="A4444" t="s">
        <v>7067</v>
      </c>
      <c r="B4444" s="13">
        <v>46224</v>
      </c>
      <c r="C4444">
        <v>2026</v>
      </c>
      <c r="D4444">
        <v>7</v>
      </c>
      <c r="E4444" t="s">
        <v>4046</v>
      </c>
      <c r="F4444" t="s">
        <v>4047</v>
      </c>
      <c r="G4444" t="s">
        <v>1169</v>
      </c>
      <c r="H4444" t="s">
        <v>1170</v>
      </c>
      <c r="I4444" t="s">
        <v>85</v>
      </c>
      <c r="J4444">
        <v>47</v>
      </c>
      <c r="K4444" t="s">
        <v>83</v>
      </c>
      <c r="L4444" t="s">
        <v>2634</v>
      </c>
      <c r="M4444" t="s">
        <v>56</v>
      </c>
      <c r="N4444" t="s">
        <v>2665</v>
      </c>
      <c r="O4444" t="s">
        <v>128</v>
      </c>
      <c r="P4444" t="s">
        <v>53</v>
      </c>
      <c r="Q4444" t="s">
        <v>143</v>
      </c>
      <c r="R4444">
        <v>5</v>
      </c>
      <c r="S4444">
        <v>1499</v>
      </c>
      <c r="T4444">
        <v>0.05</v>
      </c>
      <c r="U4444">
        <v>7120.25</v>
      </c>
      <c r="V4444">
        <v>4000</v>
      </c>
      <c r="W4444">
        <v>3120.25</v>
      </c>
      <c r="X4444" t="s">
        <v>73</v>
      </c>
      <c r="Y4444" t="s">
        <v>69</v>
      </c>
      <c r="Z4444" t="s">
        <v>159</v>
      </c>
      <c r="AA4444" t="s">
        <v>171</v>
      </c>
      <c r="AB4444">
        <v>4.4000000000000004</v>
      </c>
      <c r="AC4444">
        <v>50</v>
      </c>
      <c r="AD4444">
        <v>334.73</v>
      </c>
      <c r="AE4444">
        <f t="shared" si="138"/>
        <v>2735.52</v>
      </c>
      <c r="AF4444" t="str">
        <f t="shared" si="139"/>
        <v>2026-07</v>
      </c>
      <c r="AG4444">
        <f>SUBTOTAL(103,A4444)</f>
        <v>1</v>
      </c>
    </row>
    <row r="4445" spans="1:33" x14ac:dyDescent="0.3">
      <c r="A4445" t="s">
        <v>7068</v>
      </c>
      <c r="B4445" s="13">
        <v>46224</v>
      </c>
      <c r="C4445">
        <v>2026</v>
      </c>
      <c r="D4445">
        <v>7</v>
      </c>
      <c r="E4445" t="s">
        <v>4046</v>
      </c>
      <c r="F4445" t="s">
        <v>4047</v>
      </c>
      <c r="G4445" t="s">
        <v>499</v>
      </c>
      <c r="H4445" t="s">
        <v>500</v>
      </c>
      <c r="I4445" t="s">
        <v>86</v>
      </c>
      <c r="J4445">
        <v>45</v>
      </c>
      <c r="K4445" t="s">
        <v>82</v>
      </c>
      <c r="L4445" t="s">
        <v>2576</v>
      </c>
      <c r="M4445" t="s">
        <v>60</v>
      </c>
      <c r="N4445" t="s">
        <v>2592</v>
      </c>
      <c r="O4445" t="s">
        <v>115</v>
      </c>
      <c r="P4445" t="s">
        <v>48</v>
      </c>
      <c r="Q4445" t="s">
        <v>137</v>
      </c>
      <c r="R4445">
        <v>3</v>
      </c>
      <c r="S4445">
        <v>12999</v>
      </c>
      <c r="T4445">
        <v>0.15</v>
      </c>
      <c r="U4445">
        <v>33147.449999999997</v>
      </c>
      <c r="V4445">
        <v>27000</v>
      </c>
      <c r="W4445">
        <v>6147.45</v>
      </c>
      <c r="X4445" t="s">
        <v>75</v>
      </c>
      <c r="Y4445" t="s">
        <v>69</v>
      </c>
      <c r="Z4445" t="s">
        <v>159</v>
      </c>
      <c r="AA4445" t="s">
        <v>166</v>
      </c>
      <c r="AB4445">
        <v>4.2</v>
      </c>
      <c r="AC4445">
        <v>60</v>
      </c>
      <c r="AD4445">
        <v>1275.46</v>
      </c>
      <c r="AE4445">
        <f t="shared" si="138"/>
        <v>4811.99</v>
      </c>
      <c r="AF4445" t="str">
        <f t="shared" si="139"/>
        <v>2026-07</v>
      </c>
      <c r="AG4445">
        <f>SUBTOTAL(103,A4445)</f>
        <v>1</v>
      </c>
    </row>
    <row r="4446" spans="1:33" x14ac:dyDescent="0.3">
      <c r="A4446" t="s">
        <v>7069</v>
      </c>
      <c r="B4446" s="13">
        <v>46224</v>
      </c>
      <c r="C4446">
        <v>2026</v>
      </c>
      <c r="D4446">
        <v>7</v>
      </c>
      <c r="E4446" t="s">
        <v>4046</v>
      </c>
      <c r="F4446" t="s">
        <v>4047</v>
      </c>
      <c r="G4446" t="s">
        <v>2253</v>
      </c>
      <c r="H4446" t="s">
        <v>2254</v>
      </c>
      <c r="I4446" t="s">
        <v>85</v>
      </c>
      <c r="J4446">
        <v>38</v>
      </c>
      <c r="K4446" t="s">
        <v>82</v>
      </c>
      <c r="L4446" t="s">
        <v>99</v>
      </c>
      <c r="M4446" t="s">
        <v>58</v>
      </c>
      <c r="N4446" t="s">
        <v>2653</v>
      </c>
      <c r="O4446" t="s">
        <v>132</v>
      </c>
      <c r="P4446" t="s">
        <v>52</v>
      </c>
      <c r="Q4446" t="s">
        <v>150</v>
      </c>
      <c r="R4446">
        <v>1</v>
      </c>
      <c r="S4446">
        <v>899</v>
      </c>
      <c r="T4446">
        <v>0.1</v>
      </c>
      <c r="U4446">
        <v>809.1</v>
      </c>
      <c r="V4446">
        <v>420</v>
      </c>
      <c r="W4446">
        <v>389.1</v>
      </c>
      <c r="X4446" t="s">
        <v>75</v>
      </c>
      <c r="Y4446" t="s">
        <v>68</v>
      </c>
      <c r="Z4446" t="s">
        <v>162</v>
      </c>
      <c r="AA4446" t="s">
        <v>169</v>
      </c>
      <c r="AB4446">
        <v>4</v>
      </c>
      <c r="AC4446">
        <v>60</v>
      </c>
      <c r="AD4446">
        <v>33.49</v>
      </c>
      <c r="AE4446">
        <f t="shared" si="138"/>
        <v>295.61</v>
      </c>
      <c r="AF4446" t="str">
        <f t="shared" si="139"/>
        <v>2026-07</v>
      </c>
      <c r="AG4446">
        <f>SUBTOTAL(103,A4446)</f>
        <v>1</v>
      </c>
    </row>
    <row r="4447" spans="1:33" x14ac:dyDescent="0.3">
      <c r="A4447" t="s">
        <v>7070</v>
      </c>
      <c r="B4447" s="13">
        <v>46224</v>
      </c>
      <c r="C4447">
        <v>2026</v>
      </c>
      <c r="D4447">
        <v>7</v>
      </c>
      <c r="E4447" t="s">
        <v>4046</v>
      </c>
      <c r="F4447" t="s">
        <v>4047</v>
      </c>
      <c r="G4447" t="s">
        <v>1957</v>
      </c>
      <c r="H4447" t="s">
        <v>1958</v>
      </c>
      <c r="I4447" t="s">
        <v>85</v>
      </c>
      <c r="J4447">
        <v>30</v>
      </c>
      <c r="K4447" t="s">
        <v>81</v>
      </c>
      <c r="L4447" t="s">
        <v>98</v>
      </c>
      <c r="M4447" t="s">
        <v>55</v>
      </c>
      <c r="N4447" t="s">
        <v>2584</v>
      </c>
      <c r="O4447" t="s">
        <v>121</v>
      </c>
      <c r="P4447" t="s">
        <v>50</v>
      </c>
      <c r="Q4447" t="s">
        <v>144</v>
      </c>
      <c r="R4447">
        <v>3</v>
      </c>
      <c r="S4447">
        <v>2999</v>
      </c>
      <c r="T4447">
        <v>0.1</v>
      </c>
      <c r="U4447">
        <v>8097.3</v>
      </c>
      <c r="V4447">
        <v>5100</v>
      </c>
      <c r="W4447">
        <v>2997.3</v>
      </c>
      <c r="X4447" t="s">
        <v>75</v>
      </c>
      <c r="Y4447" t="s">
        <v>68</v>
      </c>
      <c r="Z4447" t="s">
        <v>159</v>
      </c>
      <c r="AA4447" t="s">
        <v>166</v>
      </c>
      <c r="AB4447">
        <v>3.3</v>
      </c>
      <c r="AC4447">
        <v>60</v>
      </c>
      <c r="AD4447">
        <v>677.06</v>
      </c>
      <c r="AE4447">
        <f t="shared" si="138"/>
        <v>2260.2400000000002</v>
      </c>
      <c r="AF4447" t="str">
        <f t="shared" si="139"/>
        <v>2026-07</v>
      </c>
      <c r="AG4447">
        <f>SUBTOTAL(103,A4447)</f>
        <v>1</v>
      </c>
    </row>
    <row r="4448" spans="1:33" x14ac:dyDescent="0.3">
      <c r="A4448" t="s">
        <v>7071</v>
      </c>
      <c r="B4448" s="13">
        <v>46224</v>
      </c>
      <c r="C4448">
        <v>2026</v>
      </c>
      <c r="D4448">
        <v>7</v>
      </c>
      <c r="E4448" t="s">
        <v>4046</v>
      </c>
      <c r="F4448" t="s">
        <v>4047</v>
      </c>
      <c r="G4448" t="s">
        <v>583</v>
      </c>
      <c r="H4448" t="s">
        <v>584</v>
      </c>
      <c r="I4448" t="s">
        <v>86</v>
      </c>
      <c r="J4448">
        <v>56</v>
      </c>
      <c r="K4448" t="s">
        <v>83</v>
      </c>
      <c r="L4448" t="s">
        <v>93</v>
      </c>
      <c r="M4448" t="s">
        <v>55</v>
      </c>
      <c r="N4448" t="s">
        <v>2592</v>
      </c>
      <c r="O4448" t="s">
        <v>115</v>
      </c>
      <c r="P4448" t="s">
        <v>48</v>
      </c>
      <c r="Q4448" t="s">
        <v>137</v>
      </c>
      <c r="R4448">
        <v>3</v>
      </c>
      <c r="S4448">
        <v>12999</v>
      </c>
      <c r="T4448">
        <v>0.1</v>
      </c>
      <c r="U4448">
        <v>35097.300000000003</v>
      </c>
      <c r="V4448">
        <v>27000</v>
      </c>
      <c r="W4448">
        <v>8097.3</v>
      </c>
      <c r="X4448" t="s">
        <v>77</v>
      </c>
      <c r="Y4448" t="s">
        <v>68</v>
      </c>
      <c r="Z4448" t="s">
        <v>158</v>
      </c>
      <c r="AA4448" t="s">
        <v>168</v>
      </c>
      <c r="AB4448">
        <v>3.7</v>
      </c>
      <c r="AC4448">
        <v>60</v>
      </c>
      <c r="AD4448">
        <v>2650.56</v>
      </c>
      <c r="AE4448">
        <f t="shared" si="138"/>
        <v>5386.74</v>
      </c>
      <c r="AF4448" t="str">
        <f t="shared" si="139"/>
        <v>2026-07</v>
      </c>
      <c r="AG4448">
        <f>SUBTOTAL(103,A4448)</f>
        <v>1</v>
      </c>
    </row>
    <row r="4449" spans="1:33" x14ac:dyDescent="0.3">
      <c r="A4449" t="s">
        <v>7072</v>
      </c>
      <c r="B4449" s="13">
        <v>46224</v>
      </c>
      <c r="C4449">
        <v>2026</v>
      </c>
      <c r="D4449">
        <v>7</v>
      </c>
      <c r="E4449" t="s">
        <v>4046</v>
      </c>
      <c r="F4449" t="s">
        <v>4047</v>
      </c>
      <c r="G4449" t="s">
        <v>625</v>
      </c>
      <c r="H4449" t="s">
        <v>626</v>
      </c>
      <c r="I4449" t="s">
        <v>86</v>
      </c>
      <c r="J4449">
        <v>32</v>
      </c>
      <c r="K4449" t="s">
        <v>81</v>
      </c>
      <c r="L4449" t="s">
        <v>2586</v>
      </c>
      <c r="M4449" t="s">
        <v>62</v>
      </c>
      <c r="N4449" t="s">
        <v>2587</v>
      </c>
      <c r="O4449" t="s">
        <v>116</v>
      </c>
      <c r="P4449" t="s">
        <v>48</v>
      </c>
      <c r="Q4449" t="s">
        <v>138</v>
      </c>
      <c r="R4449">
        <v>3</v>
      </c>
      <c r="S4449">
        <v>14999</v>
      </c>
      <c r="T4449">
        <v>0.05</v>
      </c>
      <c r="U4449">
        <v>42747.15</v>
      </c>
      <c r="V4449">
        <v>33600</v>
      </c>
      <c r="W4449">
        <v>9147.15</v>
      </c>
      <c r="X4449" t="s">
        <v>74</v>
      </c>
      <c r="Y4449" t="s">
        <v>68</v>
      </c>
      <c r="Z4449" t="s">
        <v>161</v>
      </c>
      <c r="AA4449" t="s">
        <v>170</v>
      </c>
      <c r="AB4449">
        <v>3.8</v>
      </c>
      <c r="AC4449">
        <v>80</v>
      </c>
      <c r="AD4449">
        <v>1597.03</v>
      </c>
      <c r="AE4449">
        <f t="shared" si="138"/>
        <v>7470.12</v>
      </c>
      <c r="AF4449" t="str">
        <f t="shared" si="139"/>
        <v>2026-07</v>
      </c>
      <c r="AG4449">
        <f>SUBTOTAL(103,A4449)</f>
        <v>1</v>
      </c>
    </row>
    <row r="4450" spans="1:33" x14ac:dyDescent="0.3">
      <c r="A4450" t="s">
        <v>7073</v>
      </c>
      <c r="B4450" s="13">
        <v>46224</v>
      </c>
      <c r="C4450">
        <v>2026</v>
      </c>
      <c r="D4450">
        <v>7</v>
      </c>
      <c r="E4450" t="s">
        <v>4046</v>
      </c>
      <c r="F4450" t="s">
        <v>4047</v>
      </c>
      <c r="G4450" t="s">
        <v>2421</v>
      </c>
      <c r="H4450" t="s">
        <v>2422</v>
      </c>
      <c r="I4450" t="s">
        <v>86</v>
      </c>
      <c r="J4450">
        <v>58</v>
      </c>
      <c r="K4450" t="s">
        <v>83</v>
      </c>
      <c r="L4450" t="s">
        <v>100</v>
      </c>
      <c r="M4450" t="s">
        <v>56</v>
      </c>
      <c r="N4450" t="s">
        <v>2647</v>
      </c>
      <c r="O4450" t="s">
        <v>133</v>
      </c>
      <c r="P4450" t="s">
        <v>50</v>
      </c>
      <c r="Q4450" t="s">
        <v>145</v>
      </c>
      <c r="R4450">
        <v>1</v>
      </c>
      <c r="S4450">
        <v>799</v>
      </c>
      <c r="T4450">
        <v>0.1</v>
      </c>
      <c r="U4450">
        <v>719.1</v>
      </c>
      <c r="V4450">
        <v>390</v>
      </c>
      <c r="W4450">
        <v>329.1</v>
      </c>
      <c r="X4450" t="s">
        <v>73</v>
      </c>
      <c r="Y4450" t="s">
        <v>68</v>
      </c>
      <c r="Z4450" t="s">
        <v>158</v>
      </c>
      <c r="AA4450" t="s">
        <v>166</v>
      </c>
      <c r="AB4450">
        <v>3.6</v>
      </c>
      <c r="AC4450">
        <v>60</v>
      </c>
      <c r="AD4450">
        <v>65.87</v>
      </c>
      <c r="AE4450">
        <f t="shared" si="138"/>
        <v>203.23000000000002</v>
      </c>
      <c r="AF4450" t="str">
        <f t="shared" si="139"/>
        <v>2026-07</v>
      </c>
      <c r="AG4450">
        <f>SUBTOTAL(103,A4450)</f>
        <v>1</v>
      </c>
    </row>
    <row r="4451" spans="1:33" x14ac:dyDescent="0.3">
      <c r="A4451" t="s">
        <v>7074</v>
      </c>
      <c r="B4451" s="13">
        <v>46224</v>
      </c>
      <c r="C4451">
        <v>2026</v>
      </c>
      <c r="D4451">
        <v>7</v>
      </c>
      <c r="E4451" t="s">
        <v>4046</v>
      </c>
      <c r="F4451" t="s">
        <v>4047</v>
      </c>
      <c r="G4451" t="s">
        <v>1495</v>
      </c>
      <c r="H4451" t="s">
        <v>1496</v>
      </c>
      <c r="I4451" t="s">
        <v>86</v>
      </c>
      <c r="J4451">
        <v>59</v>
      </c>
      <c r="K4451" t="s">
        <v>83</v>
      </c>
      <c r="L4451" t="s">
        <v>2589</v>
      </c>
      <c r="M4451" t="s">
        <v>61</v>
      </c>
      <c r="N4451" t="s">
        <v>2606</v>
      </c>
      <c r="O4451" t="s">
        <v>120</v>
      </c>
      <c r="P4451" t="s">
        <v>49</v>
      </c>
      <c r="Q4451" t="s">
        <v>140</v>
      </c>
      <c r="R4451">
        <v>5</v>
      </c>
      <c r="S4451">
        <v>2799</v>
      </c>
      <c r="T4451">
        <v>0.15</v>
      </c>
      <c r="U4451">
        <v>11895.75</v>
      </c>
      <c r="V4451">
        <v>8250</v>
      </c>
      <c r="W4451">
        <v>3645.75</v>
      </c>
      <c r="X4451" t="s">
        <v>77</v>
      </c>
      <c r="Y4451" t="s">
        <v>68</v>
      </c>
      <c r="Z4451" t="s">
        <v>160</v>
      </c>
      <c r="AA4451" t="s">
        <v>167</v>
      </c>
      <c r="AB4451">
        <v>2.4</v>
      </c>
      <c r="AC4451">
        <v>40</v>
      </c>
      <c r="AD4451">
        <v>1423.07</v>
      </c>
      <c r="AE4451">
        <f t="shared" si="138"/>
        <v>2182.6800000000003</v>
      </c>
      <c r="AF4451" t="str">
        <f t="shared" si="139"/>
        <v>2026-07</v>
      </c>
      <c r="AG4451">
        <f>SUBTOTAL(103,A4451)</f>
        <v>1</v>
      </c>
    </row>
    <row r="4452" spans="1:33" x14ac:dyDescent="0.3">
      <c r="A4452" t="s">
        <v>7075</v>
      </c>
      <c r="B4452" s="13">
        <v>46225</v>
      </c>
      <c r="C4452">
        <v>2026</v>
      </c>
      <c r="D4452">
        <v>7</v>
      </c>
      <c r="E4452" t="s">
        <v>4046</v>
      </c>
      <c r="F4452" t="s">
        <v>4047</v>
      </c>
      <c r="G4452" t="s">
        <v>1973</v>
      </c>
      <c r="H4452" t="s">
        <v>1974</v>
      </c>
      <c r="I4452" t="s">
        <v>85</v>
      </c>
      <c r="J4452">
        <v>19</v>
      </c>
      <c r="K4452" t="s">
        <v>80</v>
      </c>
      <c r="L4452" t="s">
        <v>59</v>
      </c>
      <c r="M4452" t="s">
        <v>59</v>
      </c>
      <c r="N4452" t="s">
        <v>2606</v>
      </c>
      <c r="O4452" t="s">
        <v>120</v>
      </c>
      <c r="P4452" t="s">
        <v>49</v>
      </c>
      <c r="Q4452" t="s">
        <v>140</v>
      </c>
      <c r="R4452">
        <v>1</v>
      </c>
      <c r="S4452">
        <v>2799</v>
      </c>
      <c r="T4452">
        <v>0</v>
      </c>
      <c r="U4452">
        <v>0</v>
      </c>
      <c r="V4452">
        <v>0</v>
      </c>
      <c r="W4452">
        <v>0</v>
      </c>
      <c r="X4452" t="s">
        <v>76</v>
      </c>
      <c r="Y4452" t="s">
        <v>71</v>
      </c>
      <c r="Z4452" t="s">
        <v>162</v>
      </c>
      <c r="AA4452" t="s">
        <v>167</v>
      </c>
      <c r="AB4452">
        <v>4.5</v>
      </c>
      <c r="AC4452">
        <v>80</v>
      </c>
      <c r="AD4452">
        <v>269.95999999999998</v>
      </c>
      <c r="AE4452">
        <f t="shared" si="138"/>
        <v>-349.96</v>
      </c>
      <c r="AF4452" t="str">
        <f t="shared" si="139"/>
        <v>2026-07</v>
      </c>
      <c r="AG4452">
        <f>SUBTOTAL(103,A4452)</f>
        <v>1</v>
      </c>
    </row>
    <row r="4453" spans="1:33" x14ac:dyDescent="0.3">
      <c r="A4453" t="s">
        <v>7076</v>
      </c>
      <c r="B4453" s="13">
        <v>46225</v>
      </c>
      <c r="C4453">
        <v>2026</v>
      </c>
      <c r="D4453">
        <v>7</v>
      </c>
      <c r="E4453" t="s">
        <v>4046</v>
      </c>
      <c r="F4453" t="s">
        <v>4047</v>
      </c>
      <c r="G4453" t="s">
        <v>1523</v>
      </c>
      <c r="H4453" t="s">
        <v>1524</v>
      </c>
      <c r="I4453" t="s">
        <v>86</v>
      </c>
      <c r="J4453">
        <v>38</v>
      </c>
      <c r="K4453" t="s">
        <v>82</v>
      </c>
      <c r="L4453" t="s">
        <v>2616</v>
      </c>
      <c r="M4453" t="s">
        <v>62</v>
      </c>
      <c r="N4453" t="s">
        <v>2644</v>
      </c>
      <c r="O4453" t="s">
        <v>126</v>
      </c>
      <c r="P4453" t="s">
        <v>50</v>
      </c>
      <c r="Q4453" t="s">
        <v>145</v>
      </c>
      <c r="R4453">
        <v>3</v>
      </c>
      <c r="S4453">
        <v>1799</v>
      </c>
      <c r="T4453">
        <v>0.1</v>
      </c>
      <c r="U4453">
        <v>4857.3</v>
      </c>
      <c r="V4453">
        <v>2850</v>
      </c>
      <c r="W4453">
        <v>2007.3</v>
      </c>
      <c r="X4453" t="s">
        <v>73</v>
      </c>
      <c r="Y4453" t="s">
        <v>70</v>
      </c>
      <c r="Z4453" t="s">
        <v>158</v>
      </c>
      <c r="AA4453" t="s">
        <v>166</v>
      </c>
      <c r="AB4453">
        <v>4.0999999999999996</v>
      </c>
      <c r="AC4453">
        <v>80</v>
      </c>
      <c r="AD4453">
        <v>313.26</v>
      </c>
      <c r="AE4453">
        <f t="shared" si="138"/>
        <v>1614.04</v>
      </c>
      <c r="AF4453" t="str">
        <f t="shared" si="139"/>
        <v>2026-07</v>
      </c>
      <c r="AG4453">
        <f>SUBTOTAL(103,A4453)</f>
        <v>1</v>
      </c>
    </row>
    <row r="4454" spans="1:33" x14ac:dyDescent="0.3">
      <c r="A4454" t="s">
        <v>7077</v>
      </c>
      <c r="B4454" s="13">
        <v>46225</v>
      </c>
      <c r="C4454">
        <v>2026</v>
      </c>
      <c r="D4454">
        <v>7</v>
      </c>
      <c r="E4454" t="s">
        <v>4046</v>
      </c>
      <c r="F4454" t="s">
        <v>4047</v>
      </c>
      <c r="G4454" t="s">
        <v>1173</v>
      </c>
      <c r="H4454" t="s">
        <v>1174</v>
      </c>
      <c r="I4454" t="s">
        <v>86</v>
      </c>
      <c r="J4454">
        <v>43</v>
      </c>
      <c r="K4454" t="s">
        <v>82</v>
      </c>
      <c r="L4454" t="s">
        <v>2576</v>
      </c>
      <c r="M4454" t="s">
        <v>60</v>
      </c>
      <c r="N4454" t="s">
        <v>2601</v>
      </c>
      <c r="O4454" t="s">
        <v>117</v>
      </c>
      <c r="P4454" t="s">
        <v>49</v>
      </c>
      <c r="Q4454" t="s">
        <v>139</v>
      </c>
      <c r="R4454">
        <v>1</v>
      </c>
      <c r="S4454">
        <v>6999</v>
      </c>
      <c r="T4454">
        <v>0.05</v>
      </c>
      <c r="U4454">
        <v>6649.05</v>
      </c>
      <c r="V4454">
        <v>4300</v>
      </c>
      <c r="W4454">
        <v>2349.0500000000002</v>
      </c>
      <c r="X4454" t="s">
        <v>77</v>
      </c>
      <c r="Y4454" t="s">
        <v>68</v>
      </c>
      <c r="Z4454" t="s">
        <v>161</v>
      </c>
      <c r="AA4454" t="s">
        <v>166</v>
      </c>
      <c r="AB4454">
        <v>4.5</v>
      </c>
      <c r="AC4454">
        <v>50</v>
      </c>
      <c r="AD4454">
        <v>377.53</v>
      </c>
      <c r="AE4454">
        <f t="shared" si="138"/>
        <v>1921.5200000000002</v>
      </c>
      <c r="AF4454" t="str">
        <f t="shared" si="139"/>
        <v>2026-07</v>
      </c>
      <c r="AG4454">
        <f>SUBTOTAL(103,A4454)</f>
        <v>1</v>
      </c>
    </row>
    <row r="4455" spans="1:33" x14ac:dyDescent="0.3">
      <c r="A4455" t="s">
        <v>7078</v>
      </c>
      <c r="B4455" s="13">
        <v>46225</v>
      </c>
      <c r="C4455">
        <v>2026</v>
      </c>
      <c r="D4455">
        <v>7</v>
      </c>
      <c r="E4455" t="s">
        <v>4046</v>
      </c>
      <c r="F4455" t="s">
        <v>4047</v>
      </c>
      <c r="G4455" t="s">
        <v>1593</v>
      </c>
      <c r="H4455" t="s">
        <v>1594</v>
      </c>
      <c r="I4455" t="s">
        <v>86</v>
      </c>
      <c r="J4455">
        <v>33</v>
      </c>
      <c r="K4455" t="s">
        <v>81</v>
      </c>
      <c r="L4455" t="s">
        <v>2674</v>
      </c>
      <c r="M4455" t="s">
        <v>58</v>
      </c>
      <c r="N4455" t="s">
        <v>2577</v>
      </c>
      <c r="O4455" t="s">
        <v>129</v>
      </c>
      <c r="P4455" t="s">
        <v>49</v>
      </c>
      <c r="Q4455" t="s">
        <v>149</v>
      </c>
      <c r="R4455">
        <v>2</v>
      </c>
      <c r="S4455">
        <v>1299</v>
      </c>
      <c r="T4455">
        <v>0.05</v>
      </c>
      <c r="U4455">
        <v>2468.1</v>
      </c>
      <c r="V4455">
        <v>1300</v>
      </c>
      <c r="W4455">
        <v>1168.0999999999999</v>
      </c>
      <c r="X4455" t="s">
        <v>77</v>
      </c>
      <c r="Y4455" t="s">
        <v>68</v>
      </c>
      <c r="Z4455" t="s">
        <v>161</v>
      </c>
      <c r="AA4455" t="s">
        <v>166</v>
      </c>
      <c r="AB4455">
        <v>4.8</v>
      </c>
      <c r="AC4455">
        <v>60</v>
      </c>
      <c r="AD4455">
        <v>156.79</v>
      </c>
      <c r="AE4455">
        <f t="shared" si="138"/>
        <v>951.31</v>
      </c>
      <c r="AF4455" t="str">
        <f t="shared" si="139"/>
        <v>2026-07</v>
      </c>
      <c r="AG4455">
        <f>SUBTOTAL(103,A4455)</f>
        <v>1</v>
      </c>
    </row>
    <row r="4456" spans="1:33" x14ac:dyDescent="0.3">
      <c r="A4456" t="s">
        <v>7079</v>
      </c>
      <c r="B4456" s="13">
        <v>46225</v>
      </c>
      <c r="C4456">
        <v>2026</v>
      </c>
      <c r="D4456">
        <v>7</v>
      </c>
      <c r="E4456" t="s">
        <v>4046</v>
      </c>
      <c r="F4456" t="s">
        <v>4047</v>
      </c>
      <c r="G4456" t="s">
        <v>1147</v>
      </c>
      <c r="H4456" t="s">
        <v>1148</v>
      </c>
      <c r="I4456" t="s">
        <v>85</v>
      </c>
      <c r="J4456">
        <v>55</v>
      </c>
      <c r="K4456" t="s">
        <v>83</v>
      </c>
      <c r="L4456" t="s">
        <v>97</v>
      </c>
      <c r="M4456" t="s">
        <v>57</v>
      </c>
      <c r="N4456" t="s">
        <v>2596</v>
      </c>
      <c r="O4456" t="s">
        <v>124</v>
      </c>
      <c r="P4456" t="s">
        <v>51</v>
      </c>
      <c r="Q4456" t="s">
        <v>147</v>
      </c>
      <c r="R4456">
        <v>1</v>
      </c>
      <c r="S4456">
        <v>2299</v>
      </c>
      <c r="T4456">
        <v>0.05</v>
      </c>
      <c r="U4456">
        <v>2184.0500000000002</v>
      </c>
      <c r="V4456">
        <v>1200</v>
      </c>
      <c r="W4456">
        <v>984.05</v>
      </c>
      <c r="X4456" t="s">
        <v>73</v>
      </c>
      <c r="Y4456" t="s">
        <v>69</v>
      </c>
      <c r="Z4456" t="s">
        <v>160</v>
      </c>
      <c r="AA4456" t="s">
        <v>168</v>
      </c>
      <c r="AB4456">
        <v>4</v>
      </c>
      <c r="AC4456">
        <v>60</v>
      </c>
      <c r="AD4456">
        <v>105.21</v>
      </c>
      <c r="AE4456">
        <f t="shared" si="138"/>
        <v>818.83999999999992</v>
      </c>
      <c r="AF4456" t="str">
        <f t="shared" si="139"/>
        <v>2026-07</v>
      </c>
      <c r="AG4456">
        <f>SUBTOTAL(103,A4456)</f>
        <v>1</v>
      </c>
    </row>
    <row r="4457" spans="1:33" x14ac:dyDescent="0.3">
      <c r="A4457" t="s">
        <v>7080</v>
      </c>
      <c r="B4457" s="13">
        <v>46225</v>
      </c>
      <c r="C4457">
        <v>2026</v>
      </c>
      <c r="D4457">
        <v>7</v>
      </c>
      <c r="E4457" t="s">
        <v>4046</v>
      </c>
      <c r="F4457" t="s">
        <v>4047</v>
      </c>
      <c r="G4457" t="s">
        <v>1523</v>
      </c>
      <c r="H4457" t="s">
        <v>1524</v>
      </c>
      <c r="I4457" t="s">
        <v>86</v>
      </c>
      <c r="J4457">
        <v>38</v>
      </c>
      <c r="K4457" t="s">
        <v>82</v>
      </c>
      <c r="L4457" t="s">
        <v>2616</v>
      </c>
      <c r="M4457" t="s">
        <v>62</v>
      </c>
      <c r="N4457" t="s">
        <v>2590</v>
      </c>
      <c r="O4457" t="s">
        <v>127</v>
      </c>
      <c r="P4457" t="s">
        <v>51</v>
      </c>
      <c r="Q4457" t="s">
        <v>148</v>
      </c>
      <c r="R4457">
        <v>1</v>
      </c>
      <c r="S4457">
        <v>1599</v>
      </c>
      <c r="T4457">
        <v>0.05</v>
      </c>
      <c r="U4457">
        <v>1519.05</v>
      </c>
      <c r="V4457">
        <v>800</v>
      </c>
      <c r="W4457">
        <v>719.05</v>
      </c>
      <c r="X4457" t="s">
        <v>73</v>
      </c>
      <c r="Y4457" t="s">
        <v>68</v>
      </c>
      <c r="Z4457" t="s">
        <v>161</v>
      </c>
      <c r="AA4457" t="s">
        <v>169</v>
      </c>
      <c r="AB4457">
        <v>3.7</v>
      </c>
      <c r="AC4457">
        <v>50</v>
      </c>
      <c r="AD4457">
        <v>82.95</v>
      </c>
      <c r="AE4457">
        <f t="shared" si="138"/>
        <v>586.09999999999991</v>
      </c>
      <c r="AF4457" t="str">
        <f t="shared" si="139"/>
        <v>2026-07</v>
      </c>
      <c r="AG4457">
        <f>SUBTOTAL(103,A4457)</f>
        <v>1</v>
      </c>
    </row>
    <row r="4458" spans="1:33" x14ac:dyDescent="0.3">
      <c r="A4458" t="s">
        <v>7081</v>
      </c>
      <c r="B4458" s="13">
        <v>46225</v>
      </c>
      <c r="C4458">
        <v>2026</v>
      </c>
      <c r="D4458">
        <v>7</v>
      </c>
      <c r="E4458" t="s">
        <v>4046</v>
      </c>
      <c r="F4458" t="s">
        <v>4047</v>
      </c>
      <c r="G4458" t="s">
        <v>1735</v>
      </c>
      <c r="H4458" t="s">
        <v>1736</v>
      </c>
      <c r="I4458" t="s">
        <v>86</v>
      </c>
      <c r="J4458">
        <v>23</v>
      </c>
      <c r="K4458" t="s">
        <v>80</v>
      </c>
      <c r="L4458" t="s">
        <v>2637</v>
      </c>
      <c r="M4458" t="s">
        <v>64</v>
      </c>
      <c r="N4458" t="s">
        <v>2644</v>
      </c>
      <c r="O4458" t="s">
        <v>126</v>
      </c>
      <c r="P4458" t="s">
        <v>50</v>
      </c>
      <c r="Q4458" t="s">
        <v>145</v>
      </c>
      <c r="R4458">
        <v>2</v>
      </c>
      <c r="S4458">
        <v>1799</v>
      </c>
      <c r="T4458">
        <v>0.1</v>
      </c>
      <c r="U4458">
        <v>0</v>
      </c>
      <c r="V4458">
        <v>0</v>
      </c>
      <c r="W4458">
        <v>0</v>
      </c>
      <c r="X4458" t="s">
        <v>73</v>
      </c>
      <c r="Y4458" t="s">
        <v>71</v>
      </c>
      <c r="Z4458" t="s">
        <v>161</v>
      </c>
      <c r="AA4458" t="s">
        <v>166</v>
      </c>
      <c r="AB4458">
        <v>3.4</v>
      </c>
      <c r="AC4458">
        <v>60</v>
      </c>
      <c r="AD4458">
        <v>249.4</v>
      </c>
      <c r="AE4458">
        <f t="shared" si="138"/>
        <v>-309.39999999999998</v>
      </c>
      <c r="AF4458" t="str">
        <f t="shared" si="139"/>
        <v>2026-07</v>
      </c>
      <c r="AG4458">
        <f>SUBTOTAL(103,A4458)</f>
        <v>1</v>
      </c>
    </row>
    <row r="4459" spans="1:33" x14ac:dyDescent="0.3">
      <c r="A4459" t="s">
        <v>7082</v>
      </c>
      <c r="B4459" s="13">
        <v>46225</v>
      </c>
      <c r="C4459">
        <v>2026</v>
      </c>
      <c r="D4459">
        <v>7</v>
      </c>
      <c r="E4459" t="s">
        <v>4046</v>
      </c>
      <c r="F4459" t="s">
        <v>4047</v>
      </c>
      <c r="G4459" t="s">
        <v>1169</v>
      </c>
      <c r="H4459" t="s">
        <v>1170</v>
      </c>
      <c r="I4459" t="s">
        <v>85</v>
      </c>
      <c r="J4459">
        <v>47</v>
      </c>
      <c r="K4459" t="s">
        <v>83</v>
      </c>
      <c r="L4459" t="s">
        <v>2634</v>
      </c>
      <c r="M4459" t="s">
        <v>56</v>
      </c>
      <c r="N4459" t="s">
        <v>2584</v>
      </c>
      <c r="O4459" t="s">
        <v>121</v>
      </c>
      <c r="P4459" t="s">
        <v>50</v>
      </c>
      <c r="Q4459" t="s">
        <v>144</v>
      </c>
      <c r="R4459">
        <v>3</v>
      </c>
      <c r="S4459">
        <v>2999</v>
      </c>
      <c r="T4459">
        <v>0.15</v>
      </c>
      <c r="U4459">
        <v>7647.45</v>
      </c>
      <c r="V4459">
        <v>5100</v>
      </c>
      <c r="W4459">
        <v>2547.4499999999998</v>
      </c>
      <c r="X4459" t="s">
        <v>73</v>
      </c>
      <c r="Y4459" t="s">
        <v>68</v>
      </c>
      <c r="Z4459" t="s">
        <v>159</v>
      </c>
      <c r="AA4459" t="s">
        <v>168</v>
      </c>
      <c r="AB4459">
        <v>3.5</v>
      </c>
      <c r="AC4459">
        <v>50</v>
      </c>
      <c r="AD4459">
        <v>810.73</v>
      </c>
      <c r="AE4459">
        <f t="shared" si="138"/>
        <v>1686.7199999999998</v>
      </c>
      <c r="AF4459" t="str">
        <f t="shared" si="139"/>
        <v>2026-07</v>
      </c>
      <c r="AG4459">
        <f>SUBTOTAL(103,A4459)</f>
        <v>1</v>
      </c>
    </row>
    <row r="4460" spans="1:33" x14ac:dyDescent="0.3">
      <c r="A4460" t="s">
        <v>7083</v>
      </c>
      <c r="B4460" s="13">
        <v>46225</v>
      </c>
      <c r="C4460">
        <v>2026</v>
      </c>
      <c r="D4460">
        <v>7</v>
      </c>
      <c r="E4460" t="s">
        <v>4046</v>
      </c>
      <c r="F4460" t="s">
        <v>4047</v>
      </c>
      <c r="G4460" t="s">
        <v>707</v>
      </c>
      <c r="H4460" t="s">
        <v>708</v>
      </c>
      <c r="I4460" t="s">
        <v>85</v>
      </c>
      <c r="J4460">
        <v>24</v>
      </c>
      <c r="K4460" t="s">
        <v>80</v>
      </c>
      <c r="L4460" t="s">
        <v>90</v>
      </c>
      <c r="M4460" t="s">
        <v>55</v>
      </c>
      <c r="N4460" t="s">
        <v>2606</v>
      </c>
      <c r="O4460" t="s">
        <v>120</v>
      </c>
      <c r="P4460" t="s">
        <v>49</v>
      </c>
      <c r="Q4460" t="s">
        <v>140</v>
      </c>
      <c r="R4460">
        <v>2</v>
      </c>
      <c r="S4460">
        <v>2799</v>
      </c>
      <c r="T4460">
        <v>0.05</v>
      </c>
      <c r="U4460">
        <v>5318.1</v>
      </c>
      <c r="V4460">
        <v>3300</v>
      </c>
      <c r="W4460">
        <v>2018.1</v>
      </c>
      <c r="X4460" t="s">
        <v>77</v>
      </c>
      <c r="Y4460" t="s">
        <v>68</v>
      </c>
      <c r="Z4460" t="s">
        <v>158</v>
      </c>
      <c r="AA4460" t="s">
        <v>168</v>
      </c>
      <c r="AB4460">
        <v>4.8</v>
      </c>
      <c r="AC4460">
        <v>80</v>
      </c>
      <c r="AD4460">
        <v>106.39</v>
      </c>
      <c r="AE4460">
        <f t="shared" si="138"/>
        <v>1831.7099999999998</v>
      </c>
      <c r="AF4460" t="str">
        <f t="shared" si="139"/>
        <v>2026-07</v>
      </c>
      <c r="AG4460">
        <f>SUBTOTAL(103,A4460)</f>
        <v>1</v>
      </c>
    </row>
    <row r="4461" spans="1:33" x14ac:dyDescent="0.3">
      <c r="A4461" t="s">
        <v>7084</v>
      </c>
      <c r="B4461" s="13">
        <v>46226</v>
      </c>
      <c r="C4461">
        <v>2026</v>
      </c>
      <c r="D4461">
        <v>7</v>
      </c>
      <c r="E4461" t="s">
        <v>4046</v>
      </c>
      <c r="F4461" t="s">
        <v>4047</v>
      </c>
      <c r="G4461" t="s">
        <v>1525</v>
      </c>
      <c r="H4461" t="s">
        <v>1526</v>
      </c>
      <c r="I4461" t="s">
        <v>86</v>
      </c>
      <c r="J4461">
        <v>32</v>
      </c>
      <c r="K4461" t="s">
        <v>81</v>
      </c>
      <c r="L4461" t="s">
        <v>99</v>
      </c>
      <c r="M4461" t="s">
        <v>58</v>
      </c>
      <c r="N4461" t="s">
        <v>2574</v>
      </c>
      <c r="O4461" t="s">
        <v>130</v>
      </c>
      <c r="P4461" t="s">
        <v>50</v>
      </c>
      <c r="Q4461" t="s">
        <v>53</v>
      </c>
      <c r="R4461">
        <v>1</v>
      </c>
      <c r="S4461">
        <v>1199</v>
      </c>
      <c r="T4461">
        <v>0.05</v>
      </c>
      <c r="U4461">
        <v>1139.05</v>
      </c>
      <c r="V4461">
        <v>550</v>
      </c>
      <c r="W4461">
        <v>589.04999999999995</v>
      </c>
      <c r="X4461" t="s">
        <v>73</v>
      </c>
      <c r="Y4461" t="s">
        <v>68</v>
      </c>
      <c r="Z4461" t="s">
        <v>159</v>
      </c>
      <c r="AA4461" t="s">
        <v>169</v>
      </c>
      <c r="AB4461">
        <v>3.3</v>
      </c>
      <c r="AC4461">
        <v>40</v>
      </c>
      <c r="AD4461">
        <v>89.49</v>
      </c>
      <c r="AE4461">
        <f t="shared" si="138"/>
        <v>459.55999999999995</v>
      </c>
      <c r="AF4461" t="str">
        <f t="shared" si="139"/>
        <v>2026-07</v>
      </c>
      <c r="AG4461">
        <f>SUBTOTAL(103,A4461)</f>
        <v>1</v>
      </c>
    </row>
    <row r="4462" spans="1:33" x14ac:dyDescent="0.3">
      <c r="A4462" t="s">
        <v>7085</v>
      </c>
      <c r="B4462" s="13">
        <v>46226</v>
      </c>
      <c r="C4462">
        <v>2026</v>
      </c>
      <c r="D4462">
        <v>7</v>
      </c>
      <c r="E4462" t="s">
        <v>4046</v>
      </c>
      <c r="F4462" t="s">
        <v>4047</v>
      </c>
      <c r="G4462" t="s">
        <v>1699</v>
      </c>
      <c r="H4462" t="s">
        <v>1700</v>
      </c>
      <c r="I4462" t="s">
        <v>86</v>
      </c>
      <c r="J4462">
        <v>36</v>
      </c>
      <c r="K4462" t="s">
        <v>82</v>
      </c>
      <c r="L4462" t="s">
        <v>93</v>
      </c>
      <c r="M4462" t="s">
        <v>55</v>
      </c>
      <c r="N4462" t="s">
        <v>2606</v>
      </c>
      <c r="O4462" t="s">
        <v>120</v>
      </c>
      <c r="P4462" t="s">
        <v>49</v>
      </c>
      <c r="Q4462" t="s">
        <v>140</v>
      </c>
      <c r="R4462">
        <v>1</v>
      </c>
      <c r="S4462">
        <v>2799</v>
      </c>
      <c r="T4462">
        <v>0.1</v>
      </c>
      <c r="U4462">
        <v>2519.1</v>
      </c>
      <c r="V4462">
        <v>1650</v>
      </c>
      <c r="W4462">
        <v>869.1</v>
      </c>
      <c r="X4462" t="s">
        <v>75</v>
      </c>
      <c r="Y4462" t="s">
        <v>68</v>
      </c>
      <c r="Z4462" t="s">
        <v>160</v>
      </c>
      <c r="AA4462" t="s">
        <v>168</v>
      </c>
      <c r="AB4462">
        <v>4.7</v>
      </c>
      <c r="AC4462">
        <v>50</v>
      </c>
      <c r="AD4462">
        <v>160.41999999999999</v>
      </c>
      <c r="AE4462">
        <f t="shared" si="138"/>
        <v>658.68000000000006</v>
      </c>
      <c r="AF4462" t="str">
        <f t="shared" si="139"/>
        <v>2026-07</v>
      </c>
      <c r="AG4462">
        <f>SUBTOTAL(103,A4462)</f>
        <v>1</v>
      </c>
    </row>
    <row r="4463" spans="1:33" x14ac:dyDescent="0.3">
      <c r="A4463" t="s">
        <v>7086</v>
      </c>
      <c r="B4463" s="13">
        <v>46226</v>
      </c>
      <c r="C4463">
        <v>2026</v>
      </c>
      <c r="D4463">
        <v>7</v>
      </c>
      <c r="E4463" t="s">
        <v>4046</v>
      </c>
      <c r="F4463" t="s">
        <v>4047</v>
      </c>
      <c r="G4463" t="s">
        <v>1927</v>
      </c>
      <c r="H4463" t="s">
        <v>1928</v>
      </c>
      <c r="I4463" t="s">
        <v>85</v>
      </c>
      <c r="J4463">
        <v>36</v>
      </c>
      <c r="K4463" t="s">
        <v>82</v>
      </c>
      <c r="L4463" t="s">
        <v>2687</v>
      </c>
      <c r="M4463" t="s">
        <v>57</v>
      </c>
      <c r="N4463" t="s">
        <v>2665</v>
      </c>
      <c r="O4463" t="s">
        <v>128</v>
      </c>
      <c r="P4463" t="s">
        <v>53</v>
      </c>
      <c r="Q4463" t="s">
        <v>143</v>
      </c>
      <c r="R4463">
        <v>2</v>
      </c>
      <c r="S4463">
        <v>1499</v>
      </c>
      <c r="T4463">
        <v>0.1</v>
      </c>
      <c r="U4463">
        <v>2698.2</v>
      </c>
      <c r="V4463">
        <v>1600</v>
      </c>
      <c r="W4463">
        <v>1098.2</v>
      </c>
      <c r="X4463" t="s">
        <v>77</v>
      </c>
      <c r="Y4463" t="s">
        <v>68</v>
      </c>
      <c r="Z4463" t="s">
        <v>158</v>
      </c>
      <c r="AA4463" t="s">
        <v>171</v>
      </c>
      <c r="AB4463">
        <v>3.2</v>
      </c>
      <c r="AC4463">
        <v>50</v>
      </c>
      <c r="AD4463">
        <v>188.92</v>
      </c>
      <c r="AE4463">
        <f t="shared" si="138"/>
        <v>859.28000000000009</v>
      </c>
      <c r="AF4463" t="str">
        <f t="shared" si="139"/>
        <v>2026-07</v>
      </c>
      <c r="AG4463">
        <f>SUBTOTAL(103,A4463)</f>
        <v>1</v>
      </c>
    </row>
    <row r="4464" spans="1:33" x14ac:dyDescent="0.3">
      <c r="A4464" t="s">
        <v>7087</v>
      </c>
      <c r="B4464" s="13">
        <v>46226</v>
      </c>
      <c r="C4464">
        <v>2026</v>
      </c>
      <c r="D4464">
        <v>7</v>
      </c>
      <c r="E4464" t="s">
        <v>4046</v>
      </c>
      <c r="F4464" t="s">
        <v>4047</v>
      </c>
      <c r="G4464" t="s">
        <v>853</v>
      </c>
      <c r="H4464" t="s">
        <v>854</v>
      </c>
      <c r="I4464" t="s">
        <v>86</v>
      </c>
      <c r="J4464">
        <v>38</v>
      </c>
      <c r="K4464" t="s">
        <v>82</v>
      </c>
      <c r="L4464" t="s">
        <v>2634</v>
      </c>
      <c r="M4464" t="s">
        <v>56</v>
      </c>
      <c r="N4464" t="s">
        <v>2665</v>
      </c>
      <c r="O4464" t="s">
        <v>128</v>
      </c>
      <c r="P4464" t="s">
        <v>53</v>
      </c>
      <c r="Q4464" t="s">
        <v>143</v>
      </c>
      <c r="R4464">
        <v>5</v>
      </c>
      <c r="S4464">
        <v>1499</v>
      </c>
      <c r="T4464">
        <v>0.2</v>
      </c>
      <c r="U4464">
        <v>5996</v>
      </c>
      <c r="V4464">
        <v>4000</v>
      </c>
      <c r="W4464">
        <v>1996</v>
      </c>
      <c r="X4464" t="s">
        <v>75</v>
      </c>
      <c r="Y4464" t="s">
        <v>68</v>
      </c>
      <c r="Z4464" t="s">
        <v>161</v>
      </c>
      <c r="AA4464" t="s">
        <v>169</v>
      </c>
      <c r="AB4464">
        <v>4.3</v>
      </c>
      <c r="AC4464">
        <v>50</v>
      </c>
      <c r="AD4464">
        <v>286.64</v>
      </c>
      <c r="AE4464">
        <f t="shared" si="138"/>
        <v>1659.3600000000001</v>
      </c>
      <c r="AF4464" t="str">
        <f t="shared" si="139"/>
        <v>2026-07</v>
      </c>
      <c r="AG4464">
        <f>SUBTOTAL(103,A4464)</f>
        <v>1</v>
      </c>
    </row>
    <row r="4465" spans="1:33" x14ac:dyDescent="0.3">
      <c r="A4465" t="s">
        <v>7088</v>
      </c>
      <c r="B4465" s="13">
        <v>46226</v>
      </c>
      <c r="C4465">
        <v>2026</v>
      </c>
      <c r="D4465">
        <v>7</v>
      </c>
      <c r="E4465" t="s">
        <v>4046</v>
      </c>
      <c r="F4465" t="s">
        <v>4047</v>
      </c>
      <c r="G4465" t="s">
        <v>725</v>
      </c>
      <c r="H4465" t="s">
        <v>726</v>
      </c>
      <c r="I4465" t="s">
        <v>85</v>
      </c>
      <c r="J4465">
        <v>22</v>
      </c>
      <c r="K4465" t="s">
        <v>80</v>
      </c>
      <c r="L4465" t="s">
        <v>2612</v>
      </c>
      <c r="M4465" t="s">
        <v>64</v>
      </c>
      <c r="N4465" t="s">
        <v>2574</v>
      </c>
      <c r="O4465" t="s">
        <v>130</v>
      </c>
      <c r="P4465" t="s">
        <v>50</v>
      </c>
      <c r="Q4465" t="s">
        <v>53</v>
      </c>
      <c r="R4465">
        <v>3</v>
      </c>
      <c r="S4465">
        <v>1199</v>
      </c>
      <c r="T4465">
        <v>0.15</v>
      </c>
      <c r="U4465">
        <v>3057.45</v>
      </c>
      <c r="V4465">
        <v>1650</v>
      </c>
      <c r="W4465">
        <v>1407.45</v>
      </c>
      <c r="X4465" t="s">
        <v>73</v>
      </c>
      <c r="Y4465" t="s">
        <v>68</v>
      </c>
      <c r="Z4465" t="s">
        <v>162</v>
      </c>
      <c r="AA4465" t="s">
        <v>166</v>
      </c>
      <c r="AB4465">
        <v>3.7</v>
      </c>
      <c r="AC4465">
        <v>100</v>
      </c>
      <c r="AD4465">
        <v>182.22</v>
      </c>
      <c r="AE4465">
        <f t="shared" si="138"/>
        <v>1125.23</v>
      </c>
      <c r="AF4465" t="str">
        <f t="shared" si="139"/>
        <v>2026-07</v>
      </c>
      <c r="AG4465">
        <f>SUBTOTAL(103,A4465)</f>
        <v>1</v>
      </c>
    </row>
    <row r="4466" spans="1:33" x14ac:dyDescent="0.3">
      <c r="A4466" t="s">
        <v>7089</v>
      </c>
      <c r="B4466" s="13">
        <v>46226</v>
      </c>
      <c r="C4466">
        <v>2026</v>
      </c>
      <c r="D4466">
        <v>7</v>
      </c>
      <c r="E4466" t="s">
        <v>4046</v>
      </c>
      <c r="F4466" t="s">
        <v>4047</v>
      </c>
      <c r="G4466" t="s">
        <v>883</v>
      </c>
      <c r="H4466" t="s">
        <v>884</v>
      </c>
      <c r="I4466" t="s">
        <v>85</v>
      </c>
      <c r="J4466">
        <v>57</v>
      </c>
      <c r="K4466" t="s">
        <v>83</v>
      </c>
      <c r="L4466" t="s">
        <v>92</v>
      </c>
      <c r="M4466" t="s">
        <v>59</v>
      </c>
      <c r="N4466" t="s">
        <v>2606</v>
      </c>
      <c r="O4466" t="s">
        <v>120</v>
      </c>
      <c r="P4466" t="s">
        <v>49</v>
      </c>
      <c r="Q4466" t="s">
        <v>140</v>
      </c>
      <c r="R4466">
        <v>2</v>
      </c>
      <c r="S4466">
        <v>2799</v>
      </c>
      <c r="T4466">
        <v>0.15</v>
      </c>
      <c r="U4466">
        <v>4758.3</v>
      </c>
      <c r="V4466">
        <v>3300</v>
      </c>
      <c r="W4466">
        <v>1458.3</v>
      </c>
      <c r="X4466" t="s">
        <v>73</v>
      </c>
      <c r="Y4466" t="s">
        <v>68</v>
      </c>
      <c r="Z4466" t="s">
        <v>163</v>
      </c>
      <c r="AA4466" t="s">
        <v>170</v>
      </c>
      <c r="AB4466">
        <v>3.9</v>
      </c>
      <c r="AC4466">
        <v>80</v>
      </c>
      <c r="AD4466">
        <v>197.17</v>
      </c>
      <c r="AE4466">
        <f t="shared" si="138"/>
        <v>1181.1299999999999</v>
      </c>
      <c r="AF4466" t="str">
        <f t="shared" si="139"/>
        <v>2026-07</v>
      </c>
      <c r="AG4466">
        <f>SUBTOTAL(103,A4466)</f>
        <v>1</v>
      </c>
    </row>
    <row r="4467" spans="1:33" x14ac:dyDescent="0.3">
      <c r="A4467" t="s">
        <v>7090</v>
      </c>
      <c r="B4467" s="13">
        <v>46226</v>
      </c>
      <c r="C4467">
        <v>2026</v>
      </c>
      <c r="D4467">
        <v>7</v>
      </c>
      <c r="E4467" t="s">
        <v>4046</v>
      </c>
      <c r="F4467" t="s">
        <v>4047</v>
      </c>
      <c r="G4467" t="s">
        <v>1689</v>
      </c>
      <c r="H4467" t="s">
        <v>1690</v>
      </c>
      <c r="I4467" t="s">
        <v>85</v>
      </c>
      <c r="J4467">
        <v>54</v>
      </c>
      <c r="K4467" t="s">
        <v>83</v>
      </c>
      <c r="L4467" t="s">
        <v>93</v>
      </c>
      <c r="M4467" t="s">
        <v>55</v>
      </c>
      <c r="N4467" t="s">
        <v>2574</v>
      </c>
      <c r="O4467" t="s">
        <v>130</v>
      </c>
      <c r="P4467" t="s">
        <v>50</v>
      </c>
      <c r="Q4467" t="s">
        <v>53</v>
      </c>
      <c r="R4467">
        <v>1</v>
      </c>
      <c r="S4467">
        <v>1199</v>
      </c>
      <c r="T4467">
        <v>0.1</v>
      </c>
      <c r="U4467">
        <v>1079.0999999999999</v>
      </c>
      <c r="V4467">
        <v>550</v>
      </c>
      <c r="W4467">
        <v>529.1</v>
      </c>
      <c r="X4467" t="s">
        <v>76</v>
      </c>
      <c r="Y4467" t="s">
        <v>70</v>
      </c>
      <c r="Z4467" t="s">
        <v>163</v>
      </c>
      <c r="AA4467" t="s">
        <v>167</v>
      </c>
      <c r="AB4467">
        <v>4</v>
      </c>
      <c r="AC4467">
        <v>50</v>
      </c>
      <c r="AD4467">
        <v>89.2</v>
      </c>
      <c r="AE4467">
        <f t="shared" si="138"/>
        <v>389.90000000000003</v>
      </c>
      <c r="AF4467" t="str">
        <f t="shared" si="139"/>
        <v>2026-07</v>
      </c>
      <c r="AG4467">
        <f>SUBTOTAL(103,A4467)</f>
        <v>1</v>
      </c>
    </row>
    <row r="4468" spans="1:33" x14ac:dyDescent="0.3">
      <c r="A4468" t="s">
        <v>7091</v>
      </c>
      <c r="B4468" s="13">
        <v>46226</v>
      </c>
      <c r="C4468">
        <v>2026</v>
      </c>
      <c r="D4468">
        <v>7</v>
      </c>
      <c r="E4468" t="s">
        <v>4046</v>
      </c>
      <c r="F4468" t="s">
        <v>4047</v>
      </c>
      <c r="G4468" t="s">
        <v>815</v>
      </c>
      <c r="H4468" t="s">
        <v>816</v>
      </c>
      <c r="I4468" t="s">
        <v>85</v>
      </c>
      <c r="J4468">
        <v>47</v>
      </c>
      <c r="K4468" t="s">
        <v>83</v>
      </c>
      <c r="L4468" t="s">
        <v>95</v>
      </c>
      <c r="M4468" t="s">
        <v>56</v>
      </c>
      <c r="N4468" t="s">
        <v>2603</v>
      </c>
      <c r="O4468" t="s">
        <v>122</v>
      </c>
      <c r="P4468" t="s">
        <v>48</v>
      </c>
      <c r="Q4468" t="s">
        <v>141</v>
      </c>
      <c r="R4468">
        <v>3</v>
      </c>
      <c r="S4468">
        <v>2499</v>
      </c>
      <c r="T4468">
        <v>0</v>
      </c>
      <c r="U4468">
        <v>7497</v>
      </c>
      <c r="V4468">
        <v>4350</v>
      </c>
      <c r="W4468">
        <v>3147</v>
      </c>
      <c r="X4468" t="s">
        <v>73</v>
      </c>
      <c r="Y4468" t="s">
        <v>68</v>
      </c>
      <c r="Z4468" t="s">
        <v>159</v>
      </c>
      <c r="AA4468" t="s">
        <v>166</v>
      </c>
      <c r="AB4468">
        <v>4</v>
      </c>
      <c r="AC4468">
        <v>40</v>
      </c>
      <c r="AD4468">
        <v>154.91</v>
      </c>
      <c r="AE4468">
        <f t="shared" si="138"/>
        <v>2952.09</v>
      </c>
      <c r="AF4468" t="str">
        <f t="shared" si="139"/>
        <v>2026-07</v>
      </c>
      <c r="AG4468">
        <f>SUBTOTAL(103,A4468)</f>
        <v>1</v>
      </c>
    </row>
    <row r="4469" spans="1:33" x14ac:dyDescent="0.3">
      <c r="A4469" t="s">
        <v>7092</v>
      </c>
      <c r="B4469" s="13">
        <v>46226</v>
      </c>
      <c r="C4469">
        <v>2026</v>
      </c>
      <c r="D4469">
        <v>7</v>
      </c>
      <c r="E4469" t="s">
        <v>4046</v>
      </c>
      <c r="F4469" t="s">
        <v>4047</v>
      </c>
      <c r="G4469" t="s">
        <v>1111</v>
      </c>
      <c r="H4469" t="s">
        <v>1112</v>
      </c>
      <c r="I4469" t="s">
        <v>85</v>
      </c>
      <c r="J4469">
        <v>36</v>
      </c>
      <c r="K4469" t="s">
        <v>82</v>
      </c>
      <c r="L4469" t="s">
        <v>96</v>
      </c>
      <c r="M4469" t="s">
        <v>55</v>
      </c>
      <c r="N4469" t="s">
        <v>2590</v>
      </c>
      <c r="O4469" t="s">
        <v>127</v>
      </c>
      <c r="P4469" t="s">
        <v>51</v>
      </c>
      <c r="Q4469" t="s">
        <v>148</v>
      </c>
      <c r="R4469">
        <v>3</v>
      </c>
      <c r="S4469">
        <v>1599</v>
      </c>
      <c r="T4469">
        <v>0</v>
      </c>
      <c r="U4469">
        <v>4797</v>
      </c>
      <c r="V4469">
        <v>2400</v>
      </c>
      <c r="W4469">
        <v>2397</v>
      </c>
      <c r="X4469" t="s">
        <v>75</v>
      </c>
      <c r="Y4469" t="s">
        <v>68</v>
      </c>
      <c r="Z4469" t="s">
        <v>158</v>
      </c>
      <c r="AA4469" t="s">
        <v>166</v>
      </c>
      <c r="AB4469">
        <v>2.9</v>
      </c>
      <c r="AC4469">
        <v>60</v>
      </c>
      <c r="AD4469">
        <v>403.73</v>
      </c>
      <c r="AE4469">
        <f t="shared" si="138"/>
        <v>1933.27</v>
      </c>
      <c r="AF4469" t="str">
        <f t="shared" si="139"/>
        <v>2026-07</v>
      </c>
      <c r="AG4469">
        <f>SUBTOTAL(103,A4469)</f>
        <v>1</v>
      </c>
    </row>
    <row r="4470" spans="1:33" x14ac:dyDescent="0.3">
      <c r="A4470" t="s">
        <v>7093</v>
      </c>
      <c r="B4470" s="13">
        <v>46226</v>
      </c>
      <c r="C4470">
        <v>2026</v>
      </c>
      <c r="D4470">
        <v>7</v>
      </c>
      <c r="E4470" t="s">
        <v>4046</v>
      </c>
      <c r="F4470" t="s">
        <v>4047</v>
      </c>
      <c r="G4470" t="s">
        <v>733</v>
      </c>
      <c r="H4470" t="s">
        <v>734</v>
      </c>
      <c r="I4470" t="s">
        <v>85</v>
      </c>
      <c r="J4470">
        <v>57</v>
      </c>
      <c r="K4470" t="s">
        <v>83</v>
      </c>
      <c r="L4470" t="s">
        <v>2687</v>
      </c>
      <c r="M4470" t="s">
        <v>57</v>
      </c>
      <c r="N4470" t="s">
        <v>2592</v>
      </c>
      <c r="O4470" t="s">
        <v>115</v>
      </c>
      <c r="P4470" t="s">
        <v>48</v>
      </c>
      <c r="Q4470" t="s">
        <v>137</v>
      </c>
      <c r="R4470">
        <v>2</v>
      </c>
      <c r="S4470">
        <v>12999</v>
      </c>
      <c r="T4470">
        <v>0.05</v>
      </c>
      <c r="U4470">
        <v>24698.1</v>
      </c>
      <c r="V4470">
        <v>18000</v>
      </c>
      <c r="W4470">
        <v>6698.1</v>
      </c>
      <c r="X4470" t="s">
        <v>73</v>
      </c>
      <c r="Y4470" t="s">
        <v>68</v>
      </c>
      <c r="Z4470" t="s">
        <v>159</v>
      </c>
      <c r="AA4470" t="s">
        <v>166</v>
      </c>
      <c r="AB4470">
        <v>4.5999999999999996</v>
      </c>
      <c r="AC4470">
        <v>40</v>
      </c>
      <c r="AD4470">
        <v>2463.27</v>
      </c>
      <c r="AE4470">
        <f t="shared" si="138"/>
        <v>4194.83</v>
      </c>
      <c r="AF4470" t="str">
        <f t="shared" si="139"/>
        <v>2026-07</v>
      </c>
      <c r="AG4470">
        <f>SUBTOTAL(103,A4470)</f>
        <v>1</v>
      </c>
    </row>
    <row r="4471" spans="1:33" x14ac:dyDescent="0.3">
      <c r="A4471" t="s">
        <v>7094</v>
      </c>
      <c r="B4471" s="13">
        <v>46227</v>
      </c>
      <c r="C4471">
        <v>2026</v>
      </c>
      <c r="D4471">
        <v>7</v>
      </c>
      <c r="E4471" t="s">
        <v>4046</v>
      </c>
      <c r="F4471" t="s">
        <v>4047</v>
      </c>
      <c r="G4471" t="s">
        <v>461</v>
      </c>
      <c r="H4471" t="s">
        <v>462</v>
      </c>
      <c r="I4471" t="s">
        <v>85</v>
      </c>
      <c r="J4471">
        <v>56</v>
      </c>
      <c r="K4471" t="s">
        <v>83</v>
      </c>
      <c r="L4471" t="s">
        <v>99</v>
      </c>
      <c r="M4471" t="s">
        <v>58</v>
      </c>
      <c r="N4471" t="s">
        <v>2590</v>
      </c>
      <c r="O4471" t="s">
        <v>127</v>
      </c>
      <c r="P4471" t="s">
        <v>51</v>
      </c>
      <c r="Q4471" t="s">
        <v>148</v>
      </c>
      <c r="R4471">
        <v>4</v>
      </c>
      <c r="S4471">
        <v>1599</v>
      </c>
      <c r="T4471">
        <v>0</v>
      </c>
      <c r="U4471">
        <v>6396</v>
      </c>
      <c r="V4471">
        <v>3200</v>
      </c>
      <c r="W4471">
        <v>3196</v>
      </c>
      <c r="X4471" t="s">
        <v>73</v>
      </c>
      <c r="Y4471" t="s">
        <v>68</v>
      </c>
      <c r="Z4471" t="s">
        <v>158</v>
      </c>
      <c r="AA4471" t="s">
        <v>167</v>
      </c>
      <c r="AB4471">
        <v>4</v>
      </c>
      <c r="AC4471">
        <v>60</v>
      </c>
      <c r="AD4471">
        <v>234.04</v>
      </c>
      <c r="AE4471">
        <f t="shared" si="138"/>
        <v>2901.96</v>
      </c>
      <c r="AF4471" t="str">
        <f t="shared" si="139"/>
        <v>2026-07</v>
      </c>
      <c r="AG4471">
        <f>SUBTOTAL(103,A4471)</f>
        <v>1</v>
      </c>
    </row>
    <row r="4472" spans="1:33" x14ac:dyDescent="0.3">
      <c r="A4472" t="s">
        <v>7095</v>
      </c>
      <c r="B4472" s="13">
        <v>46227</v>
      </c>
      <c r="C4472">
        <v>2026</v>
      </c>
      <c r="D4472">
        <v>7</v>
      </c>
      <c r="E4472" t="s">
        <v>4046</v>
      </c>
      <c r="F4472" t="s">
        <v>4047</v>
      </c>
      <c r="G4472" t="s">
        <v>1173</v>
      </c>
      <c r="H4472" t="s">
        <v>1174</v>
      </c>
      <c r="I4472" t="s">
        <v>86</v>
      </c>
      <c r="J4472">
        <v>43</v>
      </c>
      <c r="K4472" t="s">
        <v>82</v>
      </c>
      <c r="L4472" t="s">
        <v>2576</v>
      </c>
      <c r="M4472" t="s">
        <v>60</v>
      </c>
      <c r="N4472" t="s">
        <v>2644</v>
      </c>
      <c r="O4472" t="s">
        <v>126</v>
      </c>
      <c r="P4472" t="s">
        <v>50</v>
      </c>
      <c r="Q4472" t="s">
        <v>145</v>
      </c>
      <c r="R4472">
        <v>3</v>
      </c>
      <c r="S4472">
        <v>1799</v>
      </c>
      <c r="T4472">
        <v>0.05</v>
      </c>
      <c r="U4472">
        <v>5127.1499999999996</v>
      </c>
      <c r="V4472">
        <v>2850</v>
      </c>
      <c r="W4472">
        <v>2277.15</v>
      </c>
      <c r="X4472" t="s">
        <v>73</v>
      </c>
      <c r="Y4472" t="s">
        <v>68</v>
      </c>
      <c r="Z4472" t="s">
        <v>160</v>
      </c>
      <c r="AA4472" t="s">
        <v>168</v>
      </c>
      <c r="AB4472">
        <v>4</v>
      </c>
      <c r="AC4472">
        <v>50</v>
      </c>
      <c r="AD4472">
        <v>606.05999999999995</v>
      </c>
      <c r="AE4472">
        <f t="shared" si="138"/>
        <v>1621.0900000000001</v>
      </c>
      <c r="AF4472" t="str">
        <f t="shared" si="139"/>
        <v>2026-07</v>
      </c>
      <c r="AG4472">
        <f>SUBTOTAL(103,A4472)</f>
        <v>1</v>
      </c>
    </row>
    <row r="4473" spans="1:33" x14ac:dyDescent="0.3">
      <c r="A4473" t="s">
        <v>7096</v>
      </c>
      <c r="B4473" s="13">
        <v>46227</v>
      </c>
      <c r="C4473">
        <v>2026</v>
      </c>
      <c r="D4473">
        <v>7</v>
      </c>
      <c r="E4473" t="s">
        <v>4046</v>
      </c>
      <c r="F4473" t="s">
        <v>4047</v>
      </c>
      <c r="G4473" t="s">
        <v>2143</v>
      </c>
      <c r="H4473" t="s">
        <v>2144</v>
      </c>
      <c r="I4473" t="s">
        <v>86</v>
      </c>
      <c r="J4473">
        <v>29</v>
      </c>
      <c r="K4473" t="s">
        <v>81</v>
      </c>
      <c r="L4473" t="s">
        <v>2616</v>
      </c>
      <c r="M4473" t="s">
        <v>62</v>
      </c>
      <c r="N4473" t="s">
        <v>2653</v>
      </c>
      <c r="O4473" t="s">
        <v>132</v>
      </c>
      <c r="P4473" t="s">
        <v>52</v>
      </c>
      <c r="Q4473" t="s">
        <v>150</v>
      </c>
      <c r="R4473">
        <v>4</v>
      </c>
      <c r="S4473">
        <v>899</v>
      </c>
      <c r="T4473">
        <v>0.15</v>
      </c>
      <c r="U4473">
        <v>3056.6</v>
      </c>
      <c r="V4473">
        <v>1680</v>
      </c>
      <c r="W4473">
        <v>1376.6</v>
      </c>
      <c r="X4473" t="s">
        <v>73</v>
      </c>
      <c r="Y4473" t="s">
        <v>68</v>
      </c>
      <c r="Z4473" t="s">
        <v>161</v>
      </c>
      <c r="AA4473" t="s">
        <v>167</v>
      </c>
      <c r="AB4473">
        <v>4.2</v>
      </c>
      <c r="AC4473">
        <v>80</v>
      </c>
      <c r="AD4473">
        <v>320.86</v>
      </c>
      <c r="AE4473">
        <f t="shared" si="138"/>
        <v>975.7399999999999</v>
      </c>
      <c r="AF4473" t="str">
        <f t="shared" si="139"/>
        <v>2026-07</v>
      </c>
      <c r="AG4473">
        <f>SUBTOTAL(103,A4473)</f>
        <v>1</v>
      </c>
    </row>
    <row r="4474" spans="1:33" x14ac:dyDescent="0.3">
      <c r="A4474" t="s">
        <v>7097</v>
      </c>
      <c r="B4474" s="13">
        <v>46227</v>
      </c>
      <c r="C4474">
        <v>2026</v>
      </c>
      <c r="D4474">
        <v>7</v>
      </c>
      <c r="E4474" t="s">
        <v>4046</v>
      </c>
      <c r="F4474" t="s">
        <v>4047</v>
      </c>
      <c r="G4474" t="s">
        <v>235</v>
      </c>
      <c r="H4474" t="s">
        <v>236</v>
      </c>
      <c r="I4474" t="s">
        <v>85</v>
      </c>
      <c r="J4474">
        <v>27</v>
      </c>
      <c r="K4474" t="s">
        <v>81</v>
      </c>
      <c r="L4474" t="s">
        <v>59</v>
      </c>
      <c r="M4474" t="s">
        <v>59</v>
      </c>
      <c r="N4474" t="s">
        <v>2657</v>
      </c>
      <c r="O4474" t="s">
        <v>134</v>
      </c>
      <c r="P4474" t="s">
        <v>49</v>
      </c>
      <c r="Q4474" t="s">
        <v>140</v>
      </c>
      <c r="R4474">
        <v>3</v>
      </c>
      <c r="S4474">
        <v>599</v>
      </c>
      <c r="T4474">
        <v>0.25</v>
      </c>
      <c r="U4474">
        <v>1347.75</v>
      </c>
      <c r="V4474">
        <v>750</v>
      </c>
      <c r="W4474">
        <v>597.75</v>
      </c>
      <c r="X4474" t="s">
        <v>73</v>
      </c>
      <c r="Y4474" t="s">
        <v>68</v>
      </c>
      <c r="Z4474" t="s">
        <v>160</v>
      </c>
      <c r="AA4474" t="s">
        <v>168</v>
      </c>
      <c r="AB4474">
        <v>5</v>
      </c>
      <c r="AC4474">
        <v>60</v>
      </c>
      <c r="AD4474">
        <v>72.23</v>
      </c>
      <c r="AE4474">
        <f t="shared" si="138"/>
        <v>465.52</v>
      </c>
      <c r="AF4474" t="str">
        <f t="shared" si="139"/>
        <v>2026-07</v>
      </c>
      <c r="AG4474">
        <f>SUBTOTAL(103,A4474)</f>
        <v>1</v>
      </c>
    </row>
    <row r="4475" spans="1:33" x14ac:dyDescent="0.3">
      <c r="A4475" t="s">
        <v>7098</v>
      </c>
      <c r="B4475" s="13">
        <v>46227</v>
      </c>
      <c r="C4475">
        <v>2026</v>
      </c>
      <c r="D4475">
        <v>7</v>
      </c>
      <c r="E4475" t="s">
        <v>4046</v>
      </c>
      <c r="F4475" t="s">
        <v>4047</v>
      </c>
      <c r="G4475" t="s">
        <v>1083</v>
      </c>
      <c r="H4475" t="s">
        <v>1084</v>
      </c>
      <c r="I4475" t="s">
        <v>86</v>
      </c>
      <c r="J4475">
        <v>39</v>
      </c>
      <c r="K4475" t="s">
        <v>82</v>
      </c>
      <c r="L4475" t="s">
        <v>99</v>
      </c>
      <c r="M4475" t="s">
        <v>58</v>
      </c>
      <c r="N4475" t="s">
        <v>2606</v>
      </c>
      <c r="O4475" t="s">
        <v>120</v>
      </c>
      <c r="P4475" t="s">
        <v>49</v>
      </c>
      <c r="Q4475" t="s">
        <v>140</v>
      </c>
      <c r="R4475">
        <v>3</v>
      </c>
      <c r="S4475">
        <v>2799</v>
      </c>
      <c r="T4475">
        <v>0.1</v>
      </c>
      <c r="U4475">
        <v>7557.3</v>
      </c>
      <c r="V4475">
        <v>4950</v>
      </c>
      <c r="W4475">
        <v>2607.3000000000002</v>
      </c>
      <c r="X4475" t="s">
        <v>74</v>
      </c>
      <c r="Y4475" t="s">
        <v>68</v>
      </c>
      <c r="Z4475" t="s">
        <v>160</v>
      </c>
      <c r="AA4475" t="s">
        <v>166</v>
      </c>
      <c r="AB4475">
        <v>3.7</v>
      </c>
      <c r="AC4475">
        <v>60</v>
      </c>
      <c r="AD4475">
        <v>692.56</v>
      </c>
      <c r="AE4475">
        <f t="shared" si="138"/>
        <v>1854.7400000000002</v>
      </c>
      <c r="AF4475" t="str">
        <f t="shared" si="139"/>
        <v>2026-07</v>
      </c>
      <c r="AG4475">
        <f>SUBTOTAL(103,A4475)</f>
        <v>1</v>
      </c>
    </row>
    <row r="4476" spans="1:33" x14ac:dyDescent="0.3">
      <c r="A4476" t="s">
        <v>7099</v>
      </c>
      <c r="B4476" s="13">
        <v>46227</v>
      </c>
      <c r="C4476">
        <v>2026</v>
      </c>
      <c r="D4476">
        <v>7</v>
      </c>
      <c r="E4476" t="s">
        <v>4046</v>
      </c>
      <c r="F4476" t="s">
        <v>4047</v>
      </c>
      <c r="G4476" t="s">
        <v>395</v>
      </c>
      <c r="H4476" t="s">
        <v>396</v>
      </c>
      <c r="I4476" t="s">
        <v>85</v>
      </c>
      <c r="J4476">
        <v>60</v>
      </c>
      <c r="K4476" t="s">
        <v>83</v>
      </c>
      <c r="L4476" t="s">
        <v>98</v>
      </c>
      <c r="M4476" t="s">
        <v>55</v>
      </c>
      <c r="N4476" t="s">
        <v>2587</v>
      </c>
      <c r="O4476" t="s">
        <v>116</v>
      </c>
      <c r="P4476" t="s">
        <v>48</v>
      </c>
      <c r="Q4476" t="s">
        <v>138</v>
      </c>
      <c r="R4476">
        <v>4</v>
      </c>
      <c r="S4476">
        <v>14999</v>
      </c>
      <c r="T4476">
        <v>0.1</v>
      </c>
      <c r="U4476">
        <v>53996.4</v>
      </c>
      <c r="V4476">
        <v>44800</v>
      </c>
      <c r="W4476">
        <v>9196.4</v>
      </c>
      <c r="X4476" t="s">
        <v>74</v>
      </c>
      <c r="Y4476" t="s">
        <v>69</v>
      </c>
      <c r="Z4476" t="s">
        <v>162</v>
      </c>
      <c r="AA4476" t="s">
        <v>168</v>
      </c>
      <c r="AB4476">
        <v>3.6</v>
      </c>
      <c r="AC4476">
        <v>100</v>
      </c>
      <c r="AD4476">
        <v>4452.13</v>
      </c>
      <c r="AE4476">
        <f t="shared" si="138"/>
        <v>4644.2699999999995</v>
      </c>
      <c r="AF4476" t="str">
        <f t="shared" si="139"/>
        <v>2026-07</v>
      </c>
      <c r="AG4476">
        <f>SUBTOTAL(103,A4476)</f>
        <v>1</v>
      </c>
    </row>
    <row r="4477" spans="1:33" x14ac:dyDescent="0.3">
      <c r="A4477" t="s">
        <v>7100</v>
      </c>
      <c r="B4477" s="13">
        <v>46228</v>
      </c>
      <c r="C4477">
        <v>2026</v>
      </c>
      <c r="D4477">
        <v>7</v>
      </c>
      <c r="E4477" t="s">
        <v>4046</v>
      </c>
      <c r="F4477" t="s">
        <v>4047</v>
      </c>
      <c r="G4477" t="s">
        <v>379</v>
      </c>
      <c r="H4477" t="s">
        <v>380</v>
      </c>
      <c r="I4477" t="s">
        <v>86</v>
      </c>
      <c r="J4477">
        <v>42</v>
      </c>
      <c r="K4477" t="s">
        <v>82</v>
      </c>
      <c r="L4477" t="s">
        <v>91</v>
      </c>
      <c r="M4477" t="s">
        <v>55</v>
      </c>
      <c r="N4477" t="s">
        <v>2626</v>
      </c>
      <c r="O4477" t="s">
        <v>125</v>
      </c>
      <c r="P4477" t="s">
        <v>48</v>
      </c>
      <c r="Q4477" t="s">
        <v>141</v>
      </c>
      <c r="R4477">
        <v>2</v>
      </c>
      <c r="S4477">
        <v>1999</v>
      </c>
      <c r="T4477">
        <v>0.1</v>
      </c>
      <c r="U4477">
        <v>3598.2</v>
      </c>
      <c r="V4477">
        <v>2300</v>
      </c>
      <c r="W4477">
        <v>1298.2</v>
      </c>
      <c r="X4477" t="s">
        <v>73</v>
      </c>
      <c r="Y4477" t="s">
        <v>70</v>
      </c>
      <c r="Z4477" t="s">
        <v>162</v>
      </c>
      <c r="AA4477" t="s">
        <v>166</v>
      </c>
      <c r="AB4477">
        <v>3.9</v>
      </c>
      <c r="AC4477">
        <v>40</v>
      </c>
      <c r="AD4477">
        <v>292.91000000000003</v>
      </c>
      <c r="AE4477">
        <f t="shared" si="138"/>
        <v>965.29</v>
      </c>
      <c r="AF4477" t="str">
        <f t="shared" si="139"/>
        <v>2026-07</v>
      </c>
      <c r="AG4477">
        <f>SUBTOTAL(103,A4477)</f>
        <v>1</v>
      </c>
    </row>
    <row r="4478" spans="1:33" x14ac:dyDescent="0.3">
      <c r="A4478" t="s">
        <v>7101</v>
      </c>
      <c r="B4478" s="13">
        <v>46228</v>
      </c>
      <c r="C4478">
        <v>2026</v>
      </c>
      <c r="D4478">
        <v>7</v>
      </c>
      <c r="E4478" t="s">
        <v>4046</v>
      </c>
      <c r="F4478" t="s">
        <v>4047</v>
      </c>
      <c r="G4478" t="s">
        <v>303</v>
      </c>
      <c r="H4478" t="s">
        <v>304</v>
      </c>
      <c r="I4478" t="s">
        <v>85</v>
      </c>
      <c r="J4478">
        <v>29</v>
      </c>
      <c r="K4478" t="s">
        <v>81</v>
      </c>
      <c r="L4478" t="s">
        <v>90</v>
      </c>
      <c r="M4478" t="s">
        <v>55</v>
      </c>
      <c r="N4478" t="s">
        <v>2592</v>
      </c>
      <c r="O4478" t="s">
        <v>115</v>
      </c>
      <c r="P4478" t="s">
        <v>48</v>
      </c>
      <c r="Q4478" t="s">
        <v>137</v>
      </c>
      <c r="R4478">
        <v>4</v>
      </c>
      <c r="S4478">
        <v>12999</v>
      </c>
      <c r="T4478">
        <v>0</v>
      </c>
      <c r="U4478">
        <v>51996</v>
      </c>
      <c r="V4478">
        <v>36000</v>
      </c>
      <c r="W4478">
        <v>15996</v>
      </c>
      <c r="X4478" t="s">
        <v>76</v>
      </c>
      <c r="Y4478" t="s">
        <v>68</v>
      </c>
      <c r="Z4478" t="s">
        <v>160</v>
      </c>
      <c r="AA4478" t="s">
        <v>169</v>
      </c>
      <c r="AB4478">
        <v>4.7</v>
      </c>
      <c r="AC4478">
        <v>80</v>
      </c>
      <c r="AD4478">
        <v>5218.68</v>
      </c>
      <c r="AE4478">
        <f t="shared" si="138"/>
        <v>10697.32</v>
      </c>
      <c r="AF4478" t="str">
        <f t="shared" si="139"/>
        <v>2026-07</v>
      </c>
      <c r="AG4478">
        <f>SUBTOTAL(103,A4478)</f>
        <v>1</v>
      </c>
    </row>
    <row r="4479" spans="1:33" x14ac:dyDescent="0.3">
      <c r="A4479" t="s">
        <v>7102</v>
      </c>
      <c r="B4479" s="13">
        <v>46228</v>
      </c>
      <c r="C4479">
        <v>2026</v>
      </c>
      <c r="D4479">
        <v>7</v>
      </c>
      <c r="E4479" t="s">
        <v>4046</v>
      </c>
      <c r="F4479" t="s">
        <v>4047</v>
      </c>
      <c r="G4479" t="s">
        <v>2431</v>
      </c>
      <c r="H4479" t="s">
        <v>2432</v>
      </c>
      <c r="I4479" t="s">
        <v>86</v>
      </c>
      <c r="J4479">
        <v>34</v>
      </c>
      <c r="K4479" t="s">
        <v>81</v>
      </c>
      <c r="L4479" t="s">
        <v>97</v>
      </c>
      <c r="M4479" t="s">
        <v>57</v>
      </c>
      <c r="N4479" t="s">
        <v>2577</v>
      </c>
      <c r="O4479" t="s">
        <v>129</v>
      </c>
      <c r="P4479" t="s">
        <v>49</v>
      </c>
      <c r="Q4479" t="s">
        <v>149</v>
      </c>
      <c r="R4479">
        <v>2</v>
      </c>
      <c r="S4479">
        <v>1299</v>
      </c>
      <c r="T4479">
        <v>0</v>
      </c>
      <c r="U4479">
        <v>2598</v>
      </c>
      <c r="V4479">
        <v>1300</v>
      </c>
      <c r="W4479">
        <v>1298</v>
      </c>
      <c r="X4479" t="s">
        <v>75</v>
      </c>
      <c r="Y4479" t="s">
        <v>68</v>
      </c>
      <c r="Z4479" t="s">
        <v>159</v>
      </c>
      <c r="AA4479" t="s">
        <v>171</v>
      </c>
      <c r="AB4479">
        <v>4.3</v>
      </c>
      <c r="AC4479">
        <v>100</v>
      </c>
      <c r="AD4479">
        <v>68.760000000000005</v>
      </c>
      <c r="AE4479">
        <f t="shared" si="138"/>
        <v>1129.24</v>
      </c>
      <c r="AF4479" t="str">
        <f t="shared" si="139"/>
        <v>2026-07</v>
      </c>
      <c r="AG4479">
        <f>SUBTOTAL(103,A4479)</f>
        <v>1</v>
      </c>
    </row>
    <row r="4480" spans="1:33" x14ac:dyDescent="0.3">
      <c r="A4480" t="s">
        <v>7103</v>
      </c>
      <c r="B4480" s="13">
        <v>46228</v>
      </c>
      <c r="C4480">
        <v>2026</v>
      </c>
      <c r="D4480">
        <v>7</v>
      </c>
      <c r="E4480" t="s">
        <v>4046</v>
      </c>
      <c r="F4480" t="s">
        <v>4047</v>
      </c>
      <c r="G4480" t="s">
        <v>1863</v>
      </c>
      <c r="H4480" t="s">
        <v>1864</v>
      </c>
      <c r="I4480" t="s">
        <v>85</v>
      </c>
      <c r="J4480">
        <v>37</v>
      </c>
      <c r="K4480" t="s">
        <v>82</v>
      </c>
      <c r="L4480" t="s">
        <v>95</v>
      </c>
      <c r="M4480" t="s">
        <v>56</v>
      </c>
      <c r="N4480" t="s">
        <v>2574</v>
      </c>
      <c r="O4480" t="s">
        <v>130</v>
      </c>
      <c r="P4480" t="s">
        <v>50</v>
      </c>
      <c r="Q4480" t="s">
        <v>53</v>
      </c>
      <c r="R4480">
        <v>2</v>
      </c>
      <c r="S4480">
        <v>1199</v>
      </c>
      <c r="T4480">
        <v>0.05</v>
      </c>
      <c r="U4480">
        <v>2278.1</v>
      </c>
      <c r="V4480">
        <v>1100</v>
      </c>
      <c r="W4480">
        <v>1178.0999999999999</v>
      </c>
      <c r="X4480" t="s">
        <v>74</v>
      </c>
      <c r="Y4480" t="s">
        <v>68</v>
      </c>
      <c r="Z4480" t="s">
        <v>159</v>
      </c>
      <c r="AA4480" t="s">
        <v>166</v>
      </c>
      <c r="AB4480">
        <v>3.8</v>
      </c>
      <c r="AC4480">
        <v>80</v>
      </c>
      <c r="AD4480">
        <v>104.25</v>
      </c>
      <c r="AE4480">
        <f t="shared" si="138"/>
        <v>993.84999999999991</v>
      </c>
      <c r="AF4480" t="str">
        <f t="shared" si="139"/>
        <v>2026-07</v>
      </c>
      <c r="AG4480">
        <f>SUBTOTAL(103,A4480)</f>
        <v>1</v>
      </c>
    </row>
    <row r="4481" spans="1:33" x14ac:dyDescent="0.3">
      <c r="A4481" t="s">
        <v>7104</v>
      </c>
      <c r="B4481" s="13">
        <v>46229</v>
      </c>
      <c r="C4481">
        <v>2026</v>
      </c>
      <c r="D4481">
        <v>7</v>
      </c>
      <c r="E4481" t="s">
        <v>4046</v>
      </c>
      <c r="F4481" t="s">
        <v>4047</v>
      </c>
      <c r="G4481" t="s">
        <v>637</v>
      </c>
      <c r="H4481" t="s">
        <v>638</v>
      </c>
      <c r="I4481" t="s">
        <v>86</v>
      </c>
      <c r="J4481">
        <v>57</v>
      </c>
      <c r="K4481" t="s">
        <v>83</v>
      </c>
      <c r="L4481" t="s">
        <v>91</v>
      </c>
      <c r="M4481" t="s">
        <v>55</v>
      </c>
      <c r="N4481" t="s">
        <v>2592</v>
      </c>
      <c r="O4481" t="s">
        <v>115</v>
      </c>
      <c r="P4481" t="s">
        <v>48</v>
      </c>
      <c r="Q4481" t="s">
        <v>137</v>
      </c>
      <c r="R4481">
        <v>2</v>
      </c>
      <c r="S4481">
        <v>12999</v>
      </c>
      <c r="T4481">
        <v>0</v>
      </c>
      <c r="U4481">
        <v>25998</v>
      </c>
      <c r="V4481">
        <v>18000</v>
      </c>
      <c r="W4481">
        <v>7998</v>
      </c>
      <c r="X4481" t="s">
        <v>74</v>
      </c>
      <c r="Y4481" t="s">
        <v>68</v>
      </c>
      <c r="Z4481" t="s">
        <v>163</v>
      </c>
      <c r="AA4481" t="s">
        <v>167</v>
      </c>
      <c r="AB4481">
        <v>4.9000000000000004</v>
      </c>
      <c r="AC4481">
        <v>40</v>
      </c>
      <c r="AD4481">
        <v>3019.86</v>
      </c>
      <c r="AE4481">
        <f t="shared" si="138"/>
        <v>4938.1399999999994</v>
      </c>
      <c r="AF4481" t="str">
        <f t="shared" si="139"/>
        <v>2026-07</v>
      </c>
      <c r="AG4481">
        <f>SUBTOTAL(103,A4481)</f>
        <v>1</v>
      </c>
    </row>
    <row r="4482" spans="1:33" x14ac:dyDescent="0.3">
      <c r="A4482" t="s">
        <v>7105</v>
      </c>
      <c r="B4482" s="13">
        <v>46230</v>
      </c>
      <c r="C4482">
        <v>2026</v>
      </c>
      <c r="D4482">
        <v>7</v>
      </c>
      <c r="E4482" t="s">
        <v>4046</v>
      </c>
      <c r="F4482" t="s">
        <v>4047</v>
      </c>
      <c r="G4482" t="s">
        <v>713</v>
      </c>
      <c r="H4482" t="s">
        <v>714</v>
      </c>
      <c r="I4482" t="s">
        <v>86</v>
      </c>
      <c r="J4482">
        <v>56</v>
      </c>
      <c r="K4482" t="s">
        <v>83</v>
      </c>
      <c r="L4482" t="s">
        <v>2589</v>
      </c>
      <c r="M4482" t="s">
        <v>61</v>
      </c>
      <c r="N4482" t="s">
        <v>2582</v>
      </c>
      <c r="O4482" t="s">
        <v>119</v>
      </c>
      <c r="P4482" t="s">
        <v>49</v>
      </c>
      <c r="Q4482" t="s">
        <v>140</v>
      </c>
      <c r="R4482">
        <v>1</v>
      </c>
      <c r="S4482">
        <v>3499</v>
      </c>
      <c r="T4482">
        <v>0.2</v>
      </c>
      <c r="U4482">
        <v>2799.2</v>
      </c>
      <c r="V4482">
        <v>2100</v>
      </c>
      <c r="W4482">
        <v>699.2</v>
      </c>
      <c r="X4482" t="s">
        <v>73</v>
      </c>
      <c r="Y4482" t="s">
        <v>68</v>
      </c>
      <c r="Z4482" t="s">
        <v>163</v>
      </c>
      <c r="AA4482" t="s">
        <v>166</v>
      </c>
      <c r="AB4482">
        <v>5</v>
      </c>
      <c r="AC4482">
        <v>60</v>
      </c>
      <c r="AD4482">
        <v>328.22</v>
      </c>
      <c r="AE4482">
        <f t="shared" ref="AE4482:AE4545" si="140">W4482-AC4482-AD4482</f>
        <v>310.98</v>
      </c>
      <c r="AF4482" t="str">
        <f t="shared" ref="AF4482:AF4545" si="141">C4482&amp;"-"&amp;TEXT(D4482,"00")</f>
        <v>2026-07</v>
      </c>
      <c r="AG4482">
        <f>SUBTOTAL(103,A4482)</f>
        <v>1</v>
      </c>
    </row>
    <row r="4483" spans="1:33" x14ac:dyDescent="0.3">
      <c r="A4483" t="s">
        <v>7106</v>
      </c>
      <c r="B4483" s="13">
        <v>46230</v>
      </c>
      <c r="C4483">
        <v>2026</v>
      </c>
      <c r="D4483">
        <v>7</v>
      </c>
      <c r="E4483" t="s">
        <v>4046</v>
      </c>
      <c r="F4483" t="s">
        <v>4047</v>
      </c>
      <c r="G4483" t="s">
        <v>603</v>
      </c>
      <c r="H4483" t="s">
        <v>604</v>
      </c>
      <c r="I4483" t="s">
        <v>86</v>
      </c>
      <c r="J4483">
        <v>47</v>
      </c>
      <c r="K4483" t="s">
        <v>83</v>
      </c>
      <c r="L4483" t="s">
        <v>92</v>
      </c>
      <c r="M4483" t="s">
        <v>59</v>
      </c>
      <c r="N4483" t="s">
        <v>2577</v>
      </c>
      <c r="O4483" t="s">
        <v>129</v>
      </c>
      <c r="P4483" t="s">
        <v>49</v>
      </c>
      <c r="Q4483" t="s">
        <v>149</v>
      </c>
      <c r="R4483">
        <v>2</v>
      </c>
      <c r="S4483">
        <v>1299</v>
      </c>
      <c r="T4483">
        <v>0</v>
      </c>
      <c r="U4483">
        <v>2598</v>
      </c>
      <c r="V4483">
        <v>1300</v>
      </c>
      <c r="W4483">
        <v>1298</v>
      </c>
      <c r="X4483" t="s">
        <v>76</v>
      </c>
      <c r="Y4483" t="s">
        <v>68</v>
      </c>
      <c r="Z4483" t="s">
        <v>158</v>
      </c>
      <c r="AA4483" t="s">
        <v>166</v>
      </c>
      <c r="AB4483">
        <v>3.8</v>
      </c>
      <c r="AC4483">
        <v>50</v>
      </c>
      <c r="AD4483">
        <v>230.09</v>
      </c>
      <c r="AE4483">
        <f t="shared" si="140"/>
        <v>1017.91</v>
      </c>
      <c r="AF4483" t="str">
        <f t="shared" si="141"/>
        <v>2026-07</v>
      </c>
      <c r="AG4483">
        <f>SUBTOTAL(103,A4483)</f>
        <v>1</v>
      </c>
    </row>
    <row r="4484" spans="1:33" x14ac:dyDescent="0.3">
      <c r="A4484" t="s">
        <v>7107</v>
      </c>
      <c r="B4484" s="13">
        <v>46230</v>
      </c>
      <c r="C4484">
        <v>2026</v>
      </c>
      <c r="D4484">
        <v>7</v>
      </c>
      <c r="E4484" t="s">
        <v>4046</v>
      </c>
      <c r="F4484" t="s">
        <v>4047</v>
      </c>
      <c r="G4484" t="s">
        <v>601</v>
      </c>
      <c r="H4484" t="s">
        <v>602</v>
      </c>
      <c r="I4484" t="s">
        <v>86</v>
      </c>
      <c r="J4484">
        <v>18</v>
      </c>
      <c r="K4484" t="s">
        <v>80</v>
      </c>
      <c r="L4484" t="s">
        <v>2661</v>
      </c>
      <c r="M4484" t="s">
        <v>58</v>
      </c>
      <c r="N4484" t="s">
        <v>2574</v>
      </c>
      <c r="O4484" t="s">
        <v>130</v>
      </c>
      <c r="P4484" t="s">
        <v>50</v>
      </c>
      <c r="Q4484" t="s">
        <v>53</v>
      </c>
      <c r="R4484">
        <v>3</v>
      </c>
      <c r="S4484">
        <v>1199</v>
      </c>
      <c r="T4484">
        <v>0.25</v>
      </c>
      <c r="U4484">
        <v>2697.75</v>
      </c>
      <c r="V4484">
        <v>1650</v>
      </c>
      <c r="W4484">
        <v>1047.75</v>
      </c>
      <c r="X4484" t="s">
        <v>75</v>
      </c>
      <c r="Y4484" t="s">
        <v>68</v>
      </c>
      <c r="Z4484" t="s">
        <v>159</v>
      </c>
      <c r="AA4484" t="s">
        <v>170</v>
      </c>
      <c r="AB4484">
        <v>4.0999999999999996</v>
      </c>
      <c r="AC4484">
        <v>40</v>
      </c>
      <c r="AD4484">
        <v>114.14</v>
      </c>
      <c r="AE4484">
        <f t="shared" si="140"/>
        <v>893.61</v>
      </c>
      <c r="AF4484" t="str">
        <f t="shared" si="141"/>
        <v>2026-07</v>
      </c>
      <c r="AG4484">
        <f>SUBTOTAL(103,A4484)</f>
        <v>1</v>
      </c>
    </row>
    <row r="4485" spans="1:33" x14ac:dyDescent="0.3">
      <c r="A4485" t="s">
        <v>7108</v>
      </c>
      <c r="B4485" s="13">
        <v>46230</v>
      </c>
      <c r="C4485">
        <v>2026</v>
      </c>
      <c r="D4485">
        <v>7</v>
      </c>
      <c r="E4485" t="s">
        <v>4046</v>
      </c>
      <c r="F4485" t="s">
        <v>4047</v>
      </c>
      <c r="G4485" t="s">
        <v>1269</v>
      </c>
      <c r="H4485" t="s">
        <v>1270</v>
      </c>
      <c r="I4485" t="s">
        <v>85</v>
      </c>
      <c r="J4485">
        <v>58</v>
      </c>
      <c r="K4485" t="s">
        <v>83</v>
      </c>
      <c r="L4485" t="s">
        <v>2599</v>
      </c>
      <c r="M4485" t="s">
        <v>62</v>
      </c>
      <c r="N4485" t="s">
        <v>2603</v>
      </c>
      <c r="O4485" t="s">
        <v>122</v>
      </c>
      <c r="P4485" t="s">
        <v>48</v>
      </c>
      <c r="Q4485" t="s">
        <v>141</v>
      </c>
      <c r="R4485">
        <v>2</v>
      </c>
      <c r="S4485">
        <v>2499</v>
      </c>
      <c r="T4485">
        <v>0.15</v>
      </c>
      <c r="U4485">
        <v>4248.3</v>
      </c>
      <c r="V4485">
        <v>2900</v>
      </c>
      <c r="W4485">
        <v>1348.3</v>
      </c>
      <c r="X4485" t="s">
        <v>74</v>
      </c>
      <c r="Y4485" t="s">
        <v>69</v>
      </c>
      <c r="Z4485" t="s">
        <v>158</v>
      </c>
      <c r="AA4485" t="s">
        <v>169</v>
      </c>
      <c r="AB4485">
        <v>3.7</v>
      </c>
      <c r="AC4485">
        <v>50</v>
      </c>
      <c r="AD4485">
        <v>508.12</v>
      </c>
      <c r="AE4485">
        <f t="shared" si="140"/>
        <v>790.18</v>
      </c>
      <c r="AF4485" t="str">
        <f t="shared" si="141"/>
        <v>2026-07</v>
      </c>
      <c r="AG4485">
        <f>SUBTOTAL(103,A4485)</f>
        <v>1</v>
      </c>
    </row>
    <row r="4486" spans="1:33" x14ac:dyDescent="0.3">
      <c r="A4486" t="s">
        <v>7109</v>
      </c>
      <c r="B4486" s="13">
        <v>46230</v>
      </c>
      <c r="C4486">
        <v>2026</v>
      </c>
      <c r="D4486">
        <v>7</v>
      </c>
      <c r="E4486" t="s">
        <v>4046</v>
      </c>
      <c r="F4486" t="s">
        <v>4047</v>
      </c>
      <c r="G4486" t="s">
        <v>663</v>
      </c>
      <c r="H4486" t="s">
        <v>664</v>
      </c>
      <c r="I4486" t="s">
        <v>86</v>
      </c>
      <c r="J4486">
        <v>49</v>
      </c>
      <c r="K4486" t="s">
        <v>83</v>
      </c>
      <c r="L4486" t="s">
        <v>98</v>
      </c>
      <c r="M4486" t="s">
        <v>55</v>
      </c>
      <c r="N4486" t="s">
        <v>2580</v>
      </c>
      <c r="O4486" t="s">
        <v>118</v>
      </c>
      <c r="P4486" t="s">
        <v>48</v>
      </c>
      <c r="Q4486" t="s">
        <v>142</v>
      </c>
      <c r="R4486">
        <v>5</v>
      </c>
      <c r="S4486">
        <v>3999</v>
      </c>
      <c r="T4486">
        <v>0.2</v>
      </c>
      <c r="U4486">
        <v>15996</v>
      </c>
      <c r="V4486">
        <v>12000</v>
      </c>
      <c r="W4486">
        <v>3996</v>
      </c>
      <c r="X4486" t="s">
        <v>73</v>
      </c>
      <c r="Y4486" t="s">
        <v>68</v>
      </c>
      <c r="Z4486" t="s">
        <v>162</v>
      </c>
      <c r="AA4486" t="s">
        <v>166</v>
      </c>
      <c r="AB4486">
        <v>4.2</v>
      </c>
      <c r="AC4486">
        <v>50</v>
      </c>
      <c r="AD4486">
        <v>1756.76</v>
      </c>
      <c r="AE4486">
        <f t="shared" si="140"/>
        <v>2189.2399999999998</v>
      </c>
      <c r="AF4486" t="str">
        <f t="shared" si="141"/>
        <v>2026-07</v>
      </c>
      <c r="AG4486">
        <f>SUBTOTAL(103,A4486)</f>
        <v>1</v>
      </c>
    </row>
    <row r="4487" spans="1:33" x14ac:dyDescent="0.3">
      <c r="A4487" t="s">
        <v>7110</v>
      </c>
      <c r="B4487" s="13">
        <v>46230</v>
      </c>
      <c r="C4487">
        <v>2026</v>
      </c>
      <c r="D4487">
        <v>7</v>
      </c>
      <c r="E4487" t="s">
        <v>4046</v>
      </c>
      <c r="F4487" t="s">
        <v>4047</v>
      </c>
      <c r="G4487" t="s">
        <v>901</v>
      </c>
      <c r="H4487" t="s">
        <v>902</v>
      </c>
      <c r="I4487" t="s">
        <v>86</v>
      </c>
      <c r="J4487">
        <v>44</v>
      </c>
      <c r="K4487" t="s">
        <v>82</v>
      </c>
      <c r="L4487" t="s">
        <v>2687</v>
      </c>
      <c r="M4487" t="s">
        <v>57</v>
      </c>
      <c r="N4487" t="s">
        <v>2584</v>
      </c>
      <c r="O4487" t="s">
        <v>121</v>
      </c>
      <c r="P4487" t="s">
        <v>50</v>
      </c>
      <c r="Q4487" t="s">
        <v>144</v>
      </c>
      <c r="R4487">
        <v>3</v>
      </c>
      <c r="S4487">
        <v>2999</v>
      </c>
      <c r="T4487">
        <v>0.05</v>
      </c>
      <c r="U4487">
        <v>8547.15</v>
      </c>
      <c r="V4487">
        <v>5100</v>
      </c>
      <c r="W4487">
        <v>3447.15</v>
      </c>
      <c r="X4487" t="s">
        <v>74</v>
      </c>
      <c r="Y4487" t="s">
        <v>68</v>
      </c>
      <c r="Z4487" t="s">
        <v>162</v>
      </c>
      <c r="AA4487" t="s">
        <v>171</v>
      </c>
      <c r="AB4487">
        <v>4.9000000000000004</v>
      </c>
      <c r="AC4487">
        <v>80</v>
      </c>
      <c r="AD4487">
        <v>423.9</v>
      </c>
      <c r="AE4487">
        <f t="shared" si="140"/>
        <v>2943.25</v>
      </c>
      <c r="AF4487" t="str">
        <f t="shared" si="141"/>
        <v>2026-07</v>
      </c>
      <c r="AG4487">
        <f>SUBTOTAL(103,A4487)</f>
        <v>1</v>
      </c>
    </row>
    <row r="4488" spans="1:33" x14ac:dyDescent="0.3">
      <c r="A4488" t="s">
        <v>7111</v>
      </c>
      <c r="B4488" s="13">
        <v>46230</v>
      </c>
      <c r="C4488">
        <v>2026</v>
      </c>
      <c r="D4488">
        <v>7</v>
      </c>
      <c r="E4488" t="s">
        <v>4046</v>
      </c>
      <c r="F4488" t="s">
        <v>4047</v>
      </c>
      <c r="G4488" t="s">
        <v>439</v>
      </c>
      <c r="H4488" t="s">
        <v>440</v>
      </c>
      <c r="I4488" t="s">
        <v>85</v>
      </c>
      <c r="J4488">
        <v>58</v>
      </c>
      <c r="K4488" t="s">
        <v>83</v>
      </c>
      <c r="L4488" t="s">
        <v>2599</v>
      </c>
      <c r="M4488" t="s">
        <v>62</v>
      </c>
      <c r="N4488" t="s">
        <v>2587</v>
      </c>
      <c r="O4488" t="s">
        <v>116</v>
      </c>
      <c r="P4488" t="s">
        <v>48</v>
      </c>
      <c r="Q4488" t="s">
        <v>138</v>
      </c>
      <c r="R4488">
        <v>3</v>
      </c>
      <c r="S4488">
        <v>14999</v>
      </c>
      <c r="T4488">
        <v>0</v>
      </c>
      <c r="U4488">
        <v>44997</v>
      </c>
      <c r="V4488">
        <v>33600</v>
      </c>
      <c r="W4488">
        <v>11397</v>
      </c>
      <c r="X4488" t="s">
        <v>74</v>
      </c>
      <c r="Y4488" t="s">
        <v>68</v>
      </c>
      <c r="Z4488" t="s">
        <v>161</v>
      </c>
      <c r="AA4488" t="s">
        <v>170</v>
      </c>
      <c r="AB4488">
        <v>4.5999999999999996</v>
      </c>
      <c r="AC4488">
        <v>60</v>
      </c>
      <c r="AD4488">
        <v>4062.03</v>
      </c>
      <c r="AE4488">
        <f t="shared" si="140"/>
        <v>7274.9699999999993</v>
      </c>
      <c r="AF4488" t="str">
        <f t="shared" si="141"/>
        <v>2026-07</v>
      </c>
      <c r="AG4488">
        <f>SUBTOTAL(103,A4488)</f>
        <v>1</v>
      </c>
    </row>
    <row r="4489" spans="1:33" x14ac:dyDescent="0.3">
      <c r="A4489" t="s">
        <v>7112</v>
      </c>
      <c r="B4489" s="13">
        <v>46230</v>
      </c>
      <c r="C4489">
        <v>2026</v>
      </c>
      <c r="D4489">
        <v>7</v>
      </c>
      <c r="E4489" t="s">
        <v>4046</v>
      </c>
      <c r="F4489" t="s">
        <v>4047</v>
      </c>
      <c r="G4489" t="s">
        <v>1061</v>
      </c>
      <c r="H4489" t="s">
        <v>1062</v>
      </c>
      <c r="I4489" t="s">
        <v>85</v>
      </c>
      <c r="J4489">
        <v>44</v>
      </c>
      <c r="K4489" t="s">
        <v>82</v>
      </c>
      <c r="L4489" t="s">
        <v>100</v>
      </c>
      <c r="M4489" t="s">
        <v>56</v>
      </c>
      <c r="N4489" t="s">
        <v>2596</v>
      </c>
      <c r="O4489" t="s">
        <v>124</v>
      </c>
      <c r="P4489" t="s">
        <v>51</v>
      </c>
      <c r="Q4489" t="s">
        <v>147</v>
      </c>
      <c r="R4489">
        <v>1</v>
      </c>
      <c r="S4489">
        <v>2299</v>
      </c>
      <c r="T4489">
        <v>0.1</v>
      </c>
      <c r="U4489">
        <v>2069.1</v>
      </c>
      <c r="V4489">
        <v>1200</v>
      </c>
      <c r="W4489">
        <v>869.1</v>
      </c>
      <c r="X4489" t="s">
        <v>76</v>
      </c>
      <c r="Y4489" t="s">
        <v>68</v>
      </c>
      <c r="Z4489" t="s">
        <v>161</v>
      </c>
      <c r="AA4489" t="s">
        <v>169</v>
      </c>
      <c r="AB4489">
        <v>3.4</v>
      </c>
      <c r="AC4489">
        <v>120</v>
      </c>
      <c r="AD4489">
        <v>92.27</v>
      </c>
      <c r="AE4489">
        <f t="shared" si="140"/>
        <v>656.83</v>
      </c>
      <c r="AF4489" t="str">
        <f t="shared" si="141"/>
        <v>2026-07</v>
      </c>
      <c r="AG4489">
        <f>SUBTOTAL(103,A4489)</f>
        <v>1</v>
      </c>
    </row>
    <row r="4490" spans="1:33" x14ac:dyDescent="0.3">
      <c r="A4490" t="s">
        <v>7113</v>
      </c>
      <c r="B4490" s="13">
        <v>46230</v>
      </c>
      <c r="C4490">
        <v>2026</v>
      </c>
      <c r="D4490">
        <v>7</v>
      </c>
      <c r="E4490" t="s">
        <v>4046</v>
      </c>
      <c r="F4490" t="s">
        <v>4047</v>
      </c>
      <c r="G4490" t="s">
        <v>535</v>
      </c>
      <c r="H4490" t="s">
        <v>536</v>
      </c>
      <c r="I4490" t="s">
        <v>85</v>
      </c>
      <c r="J4490">
        <v>52</v>
      </c>
      <c r="K4490" t="s">
        <v>83</v>
      </c>
      <c r="L4490" t="s">
        <v>2661</v>
      </c>
      <c r="M4490" t="s">
        <v>58</v>
      </c>
      <c r="N4490" t="s">
        <v>2603</v>
      </c>
      <c r="O4490" t="s">
        <v>122</v>
      </c>
      <c r="P4490" t="s">
        <v>48</v>
      </c>
      <c r="Q4490" t="s">
        <v>141</v>
      </c>
      <c r="R4490">
        <v>1</v>
      </c>
      <c r="S4490">
        <v>2499</v>
      </c>
      <c r="T4490">
        <v>0.15</v>
      </c>
      <c r="U4490">
        <v>2124.15</v>
      </c>
      <c r="V4490">
        <v>1450</v>
      </c>
      <c r="W4490">
        <v>674.15</v>
      </c>
      <c r="X4490" t="s">
        <v>76</v>
      </c>
      <c r="Y4490" t="s">
        <v>68</v>
      </c>
      <c r="Z4490" t="s">
        <v>158</v>
      </c>
      <c r="AA4490" t="s">
        <v>170</v>
      </c>
      <c r="AB4490">
        <v>3.6</v>
      </c>
      <c r="AC4490">
        <v>80</v>
      </c>
      <c r="AD4490">
        <v>159.12</v>
      </c>
      <c r="AE4490">
        <f t="shared" si="140"/>
        <v>435.03</v>
      </c>
      <c r="AF4490" t="str">
        <f t="shared" si="141"/>
        <v>2026-07</v>
      </c>
      <c r="AG4490">
        <f>SUBTOTAL(103,A4490)</f>
        <v>1</v>
      </c>
    </row>
    <row r="4491" spans="1:33" x14ac:dyDescent="0.3">
      <c r="A4491" t="s">
        <v>7114</v>
      </c>
      <c r="B4491" s="13">
        <v>46230</v>
      </c>
      <c r="C4491">
        <v>2026</v>
      </c>
      <c r="D4491">
        <v>7</v>
      </c>
      <c r="E4491" t="s">
        <v>4046</v>
      </c>
      <c r="F4491" t="s">
        <v>4047</v>
      </c>
      <c r="G4491" t="s">
        <v>691</v>
      </c>
      <c r="H4491" t="s">
        <v>692</v>
      </c>
      <c r="I4491" t="s">
        <v>86</v>
      </c>
      <c r="J4491">
        <v>32</v>
      </c>
      <c r="K4491" t="s">
        <v>81</v>
      </c>
      <c r="L4491" t="s">
        <v>59</v>
      </c>
      <c r="M4491" t="s">
        <v>59</v>
      </c>
      <c r="N4491" t="s">
        <v>2653</v>
      </c>
      <c r="O4491" t="s">
        <v>132</v>
      </c>
      <c r="P4491" t="s">
        <v>52</v>
      </c>
      <c r="Q4491" t="s">
        <v>150</v>
      </c>
      <c r="R4491">
        <v>2</v>
      </c>
      <c r="S4491">
        <v>899</v>
      </c>
      <c r="T4491">
        <v>0.05</v>
      </c>
      <c r="U4491">
        <v>1708.1</v>
      </c>
      <c r="V4491">
        <v>840</v>
      </c>
      <c r="W4491">
        <v>868.1</v>
      </c>
      <c r="X4491" t="s">
        <v>76</v>
      </c>
      <c r="Y4491" t="s">
        <v>68</v>
      </c>
      <c r="Z4491" t="s">
        <v>161</v>
      </c>
      <c r="AA4491" t="s">
        <v>167</v>
      </c>
      <c r="AB4491">
        <v>3.1</v>
      </c>
      <c r="AC4491">
        <v>80</v>
      </c>
      <c r="AD4491">
        <v>129.63999999999999</v>
      </c>
      <c r="AE4491">
        <f t="shared" si="140"/>
        <v>658.46</v>
      </c>
      <c r="AF4491" t="str">
        <f t="shared" si="141"/>
        <v>2026-07</v>
      </c>
      <c r="AG4491">
        <f>SUBTOTAL(103,A4491)</f>
        <v>1</v>
      </c>
    </row>
    <row r="4492" spans="1:33" x14ac:dyDescent="0.3">
      <c r="A4492" t="s">
        <v>7115</v>
      </c>
      <c r="B4492" s="13">
        <v>46231</v>
      </c>
      <c r="C4492">
        <v>2026</v>
      </c>
      <c r="D4492">
        <v>7</v>
      </c>
      <c r="E4492" t="s">
        <v>4046</v>
      </c>
      <c r="F4492" t="s">
        <v>4047</v>
      </c>
      <c r="G4492" t="s">
        <v>791</v>
      </c>
      <c r="H4492" t="s">
        <v>792</v>
      </c>
      <c r="I4492" t="s">
        <v>86</v>
      </c>
      <c r="J4492">
        <v>28</v>
      </c>
      <c r="K4492" t="s">
        <v>81</v>
      </c>
      <c r="L4492" t="s">
        <v>2579</v>
      </c>
      <c r="M4492" t="s">
        <v>56</v>
      </c>
      <c r="N4492" t="s">
        <v>2592</v>
      </c>
      <c r="O4492" t="s">
        <v>115</v>
      </c>
      <c r="P4492" t="s">
        <v>48</v>
      </c>
      <c r="Q4492" t="s">
        <v>137</v>
      </c>
      <c r="R4492">
        <v>1</v>
      </c>
      <c r="S4492">
        <v>12999</v>
      </c>
      <c r="T4492">
        <v>0.1</v>
      </c>
      <c r="U4492">
        <v>11699.1</v>
      </c>
      <c r="V4492">
        <v>9000</v>
      </c>
      <c r="W4492">
        <v>2699.1</v>
      </c>
      <c r="X4492" t="s">
        <v>77</v>
      </c>
      <c r="Y4492" t="s">
        <v>68</v>
      </c>
      <c r="Z4492" t="s">
        <v>160</v>
      </c>
      <c r="AA4492" t="s">
        <v>168</v>
      </c>
      <c r="AB4492">
        <v>3.5</v>
      </c>
      <c r="AC4492">
        <v>40</v>
      </c>
      <c r="AD4492">
        <v>275.82</v>
      </c>
      <c r="AE4492">
        <f t="shared" si="140"/>
        <v>2383.2799999999997</v>
      </c>
      <c r="AF4492" t="str">
        <f t="shared" si="141"/>
        <v>2026-07</v>
      </c>
      <c r="AG4492">
        <f>SUBTOTAL(103,A4492)</f>
        <v>1</v>
      </c>
    </row>
    <row r="4493" spans="1:33" x14ac:dyDescent="0.3">
      <c r="A4493" t="s">
        <v>7116</v>
      </c>
      <c r="B4493" s="13">
        <v>46231</v>
      </c>
      <c r="C4493">
        <v>2026</v>
      </c>
      <c r="D4493">
        <v>7</v>
      </c>
      <c r="E4493" t="s">
        <v>4046</v>
      </c>
      <c r="F4493" t="s">
        <v>4047</v>
      </c>
      <c r="G4493" t="s">
        <v>1017</v>
      </c>
      <c r="H4493" t="s">
        <v>1018</v>
      </c>
      <c r="I4493" t="s">
        <v>87</v>
      </c>
      <c r="J4493">
        <v>60</v>
      </c>
      <c r="K4493" t="s">
        <v>83</v>
      </c>
      <c r="L4493" t="s">
        <v>93</v>
      </c>
      <c r="M4493" t="s">
        <v>55</v>
      </c>
      <c r="N4493" t="s">
        <v>2594</v>
      </c>
      <c r="O4493" t="s">
        <v>131</v>
      </c>
      <c r="P4493" t="s">
        <v>53</v>
      </c>
      <c r="Q4493" t="s">
        <v>143</v>
      </c>
      <c r="R4493">
        <v>1</v>
      </c>
      <c r="S4493">
        <v>999</v>
      </c>
      <c r="T4493">
        <v>0.1</v>
      </c>
      <c r="U4493">
        <v>899.1</v>
      </c>
      <c r="V4493">
        <v>520</v>
      </c>
      <c r="W4493">
        <v>379.1</v>
      </c>
      <c r="X4493" t="s">
        <v>74</v>
      </c>
      <c r="Y4493" t="s">
        <v>68</v>
      </c>
      <c r="Z4493" t="s">
        <v>160</v>
      </c>
      <c r="AA4493" t="s">
        <v>171</v>
      </c>
      <c r="AB4493">
        <v>4.5999999999999996</v>
      </c>
      <c r="AC4493">
        <v>120</v>
      </c>
      <c r="AD4493">
        <v>38.32</v>
      </c>
      <c r="AE4493">
        <f t="shared" si="140"/>
        <v>220.78000000000003</v>
      </c>
      <c r="AF4493" t="str">
        <f t="shared" si="141"/>
        <v>2026-07</v>
      </c>
      <c r="AG4493">
        <f>SUBTOTAL(103,A4493)</f>
        <v>1</v>
      </c>
    </row>
    <row r="4494" spans="1:33" x14ac:dyDescent="0.3">
      <c r="A4494" t="s">
        <v>7117</v>
      </c>
      <c r="B4494" s="13">
        <v>46231</v>
      </c>
      <c r="C4494">
        <v>2026</v>
      </c>
      <c r="D4494">
        <v>7</v>
      </c>
      <c r="E4494" t="s">
        <v>4046</v>
      </c>
      <c r="F4494" t="s">
        <v>4047</v>
      </c>
      <c r="G4494" t="s">
        <v>795</v>
      </c>
      <c r="H4494" t="s">
        <v>796</v>
      </c>
      <c r="I4494" t="s">
        <v>85</v>
      </c>
      <c r="J4494">
        <v>33</v>
      </c>
      <c r="K4494" t="s">
        <v>81</v>
      </c>
      <c r="L4494" t="s">
        <v>93</v>
      </c>
      <c r="M4494" t="s">
        <v>55</v>
      </c>
      <c r="N4494" t="s">
        <v>2582</v>
      </c>
      <c r="O4494" t="s">
        <v>119</v>
      </c>
      <c r="P4494" t="s">
        <v>49</v>
      </c>
      <c r="Q4494" t="s">
        <v>140</v>
      </c>
      <c r="R4494">
        <v>1</v>
      </c>
      <c r="S4494">
        <v>3499</v>
      </c>
      <c r="T4494">
        <v>0.15</v>
      </c>
      <c r="U4494">
        <v>2974.15</v>
      </c>
      <c r="V4494">
        <v>2100</v>
      </c>
      <c r="W4494">
        <v>874.15</v>
      </c>
      <c r="X4494" t="s">
        <v>76</v>
      </c>
      <c r="Y4494" t="s">
        <v>68</v>
      </c>
      <c r="Z4494" t="s">
        <v>161</v>
      </c>
      <c r="AA4494" t="s">
        <v>170</v>
      </c>
      <c r="AB4494">
        <v>3.6</v>
      </c>
      <c r="AC4494">
        <v>120</v>
      </c>
      <c r="AD4494">
        <v>263.72000000000003</v>
      </c>
      <c r="AE4494">
        <f t="shared" si="140"/>
        <v>490.42999999999995</v>
      </c>
      <c r="AF4494" t="str">
        <f t="shared" si="141"/>
        <v>2026-07</v>
      </c>
      <c r="AG4494">
        <f>SUBTOTAL(103,A4494)</f>
        <v>1</v>
      </c>
    </row>
    <row r="4495" spans="1:33" x14ac:dyDescent="0.3">
      <c r="A4495" t="s">
        <v>7118</v>
      </c>
      <c r="B4495" s="13">
        <v>46231</v>
      </c>
      <c r="C4495">
        <v>2026</v>
      </c>
      <c r="D4495">
        <v>7</v>
      </c>
      <c r="E4495" t="s">
        <v>4046</v>
      </c>
      <c r="F4495" t="s">
        <v>4047</v>
      </c>
      <c r="G4495" t="s">
        <v>1527</v>
      </c>
      <c r="H4495" t="s">
        <v>1528</v>
      </c>
      <c r="I4495" t="s">
        <v>87</v>
      </c>
      <c r="J4495">
        <v>53</v>
      </c>
      <c r="K4495" t="s">
        <v>83</v>
      </c>
      <c r="L4495" t="s">
        <v>2612</v>
      </c>
      <c r="M4495" t="s">
        <v>64</v>
      </c>
      <c r="N4495" t="s">
        <v>2582</v>
      </c>
      <c r="O4495" t="s">
        <v>119</v>
      </c>
      <c r="P4495" t="s">
        <v>49</v>
      </c>
      <c r="Q4495" t="s">
        <v>140</v>
      </c>
      <c r="R4495">
        <v>2</v>
      </c>
      <c r="S4495">
        <v>3499</v>
      </c>
      <c r="T4495">
        <v>0</v>
      </c>
      <c r="U4495">
        <v>6998</v>
      </c>
      <c r="V4495">
        <v>4200</v>
      </c>
      <c r="W4495">
        <v>2798</v>
      </c>
      <c r="X4495" t="s">
        <v>73</v>
      </c>
      <c r="Y4495" t="s">
        <v>68</v>
      </c>
      <c r="Z4495" t="s">
        <v>158</v>
      </c>
      <c r="AA4495" t="s">
        <v>167</v>
      </c>
      <c r="AB4495">
        <v>4.4000000000000004</v>
      </c>
      <c r="AC4495">
        <v>60</v>
      </c>
      <c r="AD4495">
        <v>689.06</v>
      </c>
      <c r="AE4495">
        <f t="shared" si="140"/>
        <v>2048.94</v>
      </c>
      <c r="AF4495" t="str">
        <f t="shared" si="141"/>
        <v>2026-07</v>
      </c>
      <c r="AG4495">
        <f>SUBTOTAL(103,A4495)</f>
        <v>1</v>
      </c>
    </row>
    <row r="4496" spans="1:33" x14ac:dyDescent="0.3">
      <c r="A4496" t="s">
        <v>7119</v>
      </c>
      <c r="B4496" s="13">
        <v>46231</v>
      </c>
      <c r="C4496">
        <v>2026</v>
      </c>
      <c r="D4496">
        <v>7</v>
      </c>
      <c r="E4496" t="s">
        <v>4046</v>
      </c>
      <c r="F4496" t="s">
        <v>4047</v>
      </c>
      <c r="G4496" t="s">
        <v>411</v>
      </c>
      <c r="H4496" t="s">
        <v>412</v>
      </c>
      <c r="I4496" t="s">
        <v>86</v>
      </c>
      <c r="J4496">
        <v>39</v>
      </c>
      <c r="K4496" t="s">
        <v>82</v>
      </c>
      <c r="L4496" t="s">
        <v>2586</v>
      </c>
      <c r="M4496" t="s">
        <v>62</v>
      </c>
      <c r="N4496" t="s">
        <v>2630</v>
      </c>
      <c r="O4496" t="s">
        <v>123</v>
      </c>
      <c r="P4496" t="s">
        <v>52</v>
      </c>
      <c r="Q4496" t="s">
        <v>146</v>
      </c>
      <c r="R4496">
        <v>4</v>
      </c>
      <c r="S4496">
        <v>2499</v>
      </c>
      <c r="T4496">
        <v>0.1</v>
      </c>
      <c r="U4496">
        <v>8996.4</v>
      </c>
      <c r="V4496">
        <v>5600</v>
      </c>
      <c r="W4496">
        <v>3396.4</v>
      </c>
      <c r="X4496" t="s">
        <v>77</v>
      </c>
      <c r="Y4496" t="s">
        <v>68</v>
      </c>
      <c r="Z4496" t="s">
        <v>163</v>
      </c>
      <c r="AA4496" t="s">
        <v>170</v>
      </c>
      <c r="AB4496">
        <v>4.5</v>
      </c>
      <c r="AC4496">
        <v>100</v>
      </c>
      <c r="AD4496">
        <v>518.78</v>
      </c>
      <c r="AE4496">
        <f t="shared" si="140"/>
        <v>2777.62</v>
      </c>
      <c r="AF4496" t="str">
        <f t="shared" si="141"/>
        <v>2026-07</v>
      </c>
      <c r="AG4496">
        <f>SUBTOTAL(103,A4496)</f>
        <v>1</v>
      </c>
    </row>
    <row r="4497" spans="1:33" x14ac:dyDescent="0.3">
      <c r="A4497" t="s">
        <v>7120</v>
      </c>
      <c r="B4497" s="13">
        <v>46231</v>
      </c>
      <c r="C4497">
        <v>2026</v>
      </c>
      <c r="D4497">
        <v>7</v>
      </c>
      <c r="E4497" t="s">
        <v>4046</v>
      </c>
      <c r="F4497" t="s">
        <v>4047</v>
      </c>
      <c r="G4497" t="s">
        <v>2265</v>
      </c>
      <c r="H4497" t="s">
        <v>2266</v>
      </c>
      <c r="I4497" t="s">
        <v>85</v>
      </c>
      <c r="J4497">
        <v>39</v>
      </c>
      <c r="K4497" t="s">
        <v>82</v>
      </c>
      <c r="L4497" t="s">
        <v>2674</v>
      </c>
      <c r="M4497" t="s">
        <v>58</v>
      </c>
      <c r="N4497" t="s">
        <v>2594</v>
      </c>
      <c r="O4497" t="s">
        <v>131</v>
      </c>
      <c r="P4497" t="s">
        <v>53</v>
      </c>
      <c r="Q4497" t="s">
        <v>143</v>
      </c>
      <c r="R4497">
        <v>2</v>
      </c>
      <c r="S4497">
        <v>999</v>
      </c>
      <c r="T4497">
        <v>0.15</v>
      </c>
      <c r="U4497">
        <v>1698.3</v>
      </c>
      <c r="V4497">
        <v>1040</v>
      </c>
      <c r="W4497">
        <v>658.3</v>
      </c>
      <c r="X4497" t="s">
        <v>75</v>
      </c>
      <c r="Y4497" t="s">
        <v>68</v>
      </c>
      <c r="Z4497" t="s">
        <v>160</v>
      </c>
      <c r="AA4497" t="s">
        <v>169</v>
      </c>
      <c r="AB4497">
        <v>4.9000000000000004</v>
      </c>
      <c r="AC4497">
        <v>60</v>
      </c>
      <c r="AD4497">
        <v>175.51</v>
      </c>
      <c r="AE4497">
        <f t="shared" si="140"/>
        <v>422.78999999999996</v>
      </c>
      <c r="AF4497" t="str">
        <f t="shared" si="141"/>
        <v>2026-07</v>
      </c>
      <c r="AG4497">
        <f>SUBTOTAL(103,A4497)</f>
        <v>1</v>
      </c>
    </row>
    <row r="4498" spans="1:33" x14ac:dyDescent="0.3">
      <c r="A4498" t="s">
        <v>7121</v>
      </c>
      <c r="B4498" s="13">
        <v>46231</v>
      </c>
      <c r="C4498">
        <v>2026</v>
      </c>
      <c r="D4498">
        <v>7</v>
      </c>
      <c r="E4498" t="s">
        <v>4046</v>
      </c>
      <c r="F4498" t="s">
        <v>4047</v>
      </c>
      <c r="G4498" t="s">
        <v>1933</v>
      </c>
      <c r="H4498" t="s">
        <v>1934</v>
      </c>
      <c r="I4498" t="s">
        <v>86</v>
      </c>
      <c r="J4498">
        <v>29</v>
      </c>
      <c r="K4498" t="s">
        <v>81</v>
      </c>
      <c r="L4498" t="s">
        <v>59</v>
      </c>
      <c r="M4498" t="s">
        <v>59</v>
      </c>
      <c r="N4498" t="s">
        <v>2647</v>
      </c>
      <c r="O4498" t="s">
        <v>133</v>
      </c>
      <c r="P4498" t="s">
        <v>50</v>
      </c>
      <c r="Q4498" t="s">
        <v>145</v>
      </c>
      <c r="R4498">
        <v>1</v>
      </c>
      <c r="S4498">
        <v>799</v>
      </c>
      <c r="T4498">
        <v>0.1</v>
      </c>
      <c r="U4498">
        <v>0</v>
      </c>
      <c r="V4498">
        <v>0</v>
      </c>
      <c r="W4498">
        <v>0</v>
      </c>
      <c r="X4498" t="s">
        <v>73</v>
      </c>
      <c r="Y4498" t="s">
        <v>71</v>
      </c>
      <c r="Z4498" t="s">
        <v>162</v>
      </c>
      <c r="AA4498" t="s">
        <v>166</v>
      </c>
      <c r="AB4498">
        <v>4.5</v>
      </c>
      <c r="AC4498">
        <v>60</v>
      </c>
      <c r="AD4498">
        <v>49.84</v>
      </c>
      <c r="AE4498">
        <f t="shared" si="140"/>
        <v>-109.84</v>
      </c>
      <c r="AF4498" t="str">
        <f t="shared" si="141"/>
        <v>2026-07</v>
      </c>
      <c r="AG4498">
        <f>SUBTOTAL(103,A4498)</f>
        <v>1</v>
      </c>
    </row>
    <row r="4499" spans="1:33" x14ac:dyDescent="0.3">
      <c r="A4499" t="s">
        <v>7122</v>
      </c>
      <c r="B4499" s="13">
        <v>46231</v>
      </c>
      <c r="C4499">
        <v>2026</v>
      </c>
      <c r="D4499">
        <v>7</v>
      </c>
      <c r="E4499" t="s">
        <v>4046</v>
      </c>
      <c r="F4499" t="s">
        <v>4047</v>
      </c>
      <c r="G4499" t="s">
        <v>201</v>
      </c>
      <c r="H4499" t="s">
        <v>202</v>
      </c>
      <c r="I4499" t="s">
        <v>86</v>
      </c>
      <c r="J4499">
        <v>47</v>
      </c>
      <c r="K4499" t="s">
        <v>83</v>
      </c>
      <c r="L4499" t="s">
        <v>100</v>
      </c>
      <c r="M4499" t="s">
        <v>56</v>
      </c>
      <c r="N4499" t="s">
        <v>2587</v>
      </c>
      <c r="O4499" t="s">
        <v>116</v>
      </c>
      <c r="P4499" t="s">
        <v>48</v>
      </c>
      <c r="Q4499" t="s">
        <v>138</v>
      </c>
      <c r="R4499">
        <v>2</v>
      </c>
      <c r="S4499">
        <v>14999</v>
      </c>
      <c r="T4499">
        <v>0.2</v>
      </c>
      <c r="U4499">
        <v>23998.400000000001</v>
      </c>
      <c r="V4499">
        <v>22400</v>
      </c>
      <c r="W4499">
        <v>1598.4</v>
      </c>
      <c r="X4499" t="s">
        <v>73</v>
      </c>
      <c r="Y4499" t="s">
        <v>69</v>
      </c>
      <c r="Z4499" t="s">
        <v>158</v>
      </c>
      <c r="AA4499" t="s">
        <v>171</v>
      </c>
      <c r="AB4499">
        <v>3.6</v>
      </c>
      <c r="AC4499">
        <v>50</v>
      </c>
      <c r="AD4499">
        <v>913.18</v>
      </c>
      <c r="AE4499">
        <f t="shared" si="140"/>
        <v>635.22000000000014</v>
      </c>
      <c r="AF4499" t="str">
        <f t="shared" si="141"/>
        <v>2026-07</v>
      </c>
      <c r="AG4499">
        <f>SUBTOTAL(103,A4499)</f>
        <v>1</v>
      </c>
    </row>
    <row r="4500" spans="1:33" x14ac:dyDescent="0.3">
      <c r="A4500" t="s">
        <v>7123</v>
      </c>
      <c r="B4500" s="13">
        <v>46231</v>
      </c>
      <c r="C4500">
        <v>2026</v>
      </c>
      <c r="D4500">
        <v>7</v>
      </c>
      <c r="E4500" t="s">
        <v>4046</v>
      </c>
      <c r="F4500" t="s">
        <v>4047</v>
      </c>
      <c r="G4500" t="s">
        <v>719</v>
      </c>
      <c r="H4500" t="s">
        <v>720</v>
      </c>
      <c r="I4500" t="s">
        <v>86</v>
      </c>
      <c r="J4500">
        <v>21</v>
      </c>
      <c r="K4500" t="s">
        <v>80</v>
      </c>
      <c r="L4500" t="s">
        <v>94</v>
      </c>
      <c r="M4500" t="s">
        <v>57</v>
      </c>
      <c r="N4500" t="s">
        <v>2592</v>
      </c>
      <c r="O4500" t="s">
        <v>115</v>
      </c>
      <c r="P4500" t="s">
        <v>48</v>
      </c>
      <c r="Q4500" t="s">
        <v>137</v>
      </c>
      <c r="R4500">
        <v>3</v>
      </c>
      <c r="S4500">
        <v>12999</v>
      </c>
      <c r="T4500">
        <v>0.05</v>
      </c>
      <c r="U4500">
        <v>37047.15</v>
      </c>
      <c r="V4500">
        <v>27000</v>
      </c>
      <c r="W4500">
        <v>10047.15</v>
      </c>
      <c r="X4500" t="s">
        <v>76</v>
      </c>
      <c r="Y4500" t="s">
        <v>68</v>
      </c>
      <c r="Z4500" t="s">
        <v>160</v>
      </c>
      <c r="AA4500" t="s">
        <v>169</v>
      </c>
      <c r="AB4500">
        <v>4.7</v>
      </c>
      <c r="AC4500">
        <v>80</v>
      </c>
      <c r="AD4500">
        <v>4206.83</v>
      </c>
      <c r="AE4500">
        <f t="shared" si="140"/>
        <v>5760.32</v>
      </c>
      <c r="AF4500" t="str">
        <f t="shared" si="141"/>
        <v>2026-07</v>
      </c>
      <c r="AG4500">
        <f>SUBTOTAL(103,A4500)</f>
        <v>1</v>
      </c>
    </row>
    <row r="4501" spans="1:33" x14ac:dyDescent="0.3">
      <c r="A4501" t="s">
        <v>7124</v>
      </c>
      <c r="B4501" s="13">
        <v>46231</v>
      </c>
      <c r="C4501">
        <v>2026</v>
      </c>
      <c r="D4501">
        <v>7</v>
      </c>
      <c r="E4501" t="s">
        <v>4046</v>
      </c>
      <c r="F4501" t="s">
        <v>4047</v>
      </c>
      <c r="G4501" t="s">
        <v>1733</v>
      </c>
      <c r="H4501" t="s">
        <v>1734</v>
      </c>
      <c r="I4501" t="s">
        <v>85</v>
      </c>
      <c r="J4501">
        <v>23</v>
      </c>
      <c r="K4501" t="s">
        <v>80</v>
      </c>
      <c r="L4501" t="s">
        <v>90</v>
      </c>
      <c r="M4501" t="s">
        <v>55</v>
      </c>
      <c r="N4501" t="s">
        <v>2596</v>
      </c>
      <c r="O4501" t="s">
        <v>124</v>
      </c>
      <c r="P4501" t="s">
        <v>51</v>
      </c>
      <c r="Q4501" t="s">
        <v>147</v>
      </c>
      <c r="R4501">
        <v>2</v>
      </c>
      <c r="S4501">
        <v>2299</v>
      </c>
      <c r="T4501">
        <v>0.15</v>
      </c>
      <c r="U4501">
        <v>0</v>
      </c>
      <c r="V4501">
        <v>0</v>
      </c>
      <c r="W4501">
        <v>0</v>
      </c>
      <c r="X4501" t="s">
        <v>73</v>
      </c>
      <c r="Y4501" t="s">
        <v>71</v>
      </c>
      <c r="Z4501" t="s">
        <v>159</v>
      </c>
      <c r="AA4501" t="s">
        <v>169</v>
      </c>
      <c r="AB4501">
        <v>3.8</v>
      </c>
      <c r="AC4501">
        <v>80</v>
      </c>
      <c r="AD4501">
        <v>343.2</v>
      </c>
      <c r="AE4501">
        <f t="shared" si="140"/>
        <v>-423.2</v>
      </c>
      <c r="AF4501" t="str">
        <f t="shared" si="141"/>
        <v>2026-07</v>
      </c>
      <c r="AG4501">
        <f>SUBTOTAL(103,A4501)</f>
        <v>1</v>
      </c>
    </row>
    <row r="4502" spans="1:33" x14ac:dyDescent="0.3">
      <c r="A4502" t="s">
        <v>7125</v>
      </c>
      <c r="B4502" s="13">
        <v>46232</v>
      </c>
      <c r="C4502">
        <v>2026</v>
      </c>
      <c r="D4502">
        <v>7</v>
      </c>
      <c r="E4502" t="s">
        <v>4046</v>
      </c>
      <c r="F4502" t="s">
        <v>4047</v>
      </c>
      <c r="G4502" t="s">
        <v>2287</v>
      </c>
      <c r="H4502" t="s">
        <v>2288</v>
      </c>
      <c r="I4502" t="s">
        <v>85</v>
      </c>
      <c r="J4502">
        <v>45</v>
      </c>
      <c r="K4502" t="s">
        <v>82</v>
      </c>
      <c r="L4502" t="s">
        <v>2637</v>
      </c>
      <c r="M4502" t="s">
        <v>64</v>
      </c>
      <c r="N4502" t="s">
        <v>2587</v>
      </c>
      <c r="O4502" t="s">
        <v>116</v>
      </c>
      <c r="P4502" t="s">
        <v>48</v>
      </c>
      <c r="Q4502" t="s">
        <v>138</v>
      </c>
      <c r="R4502">
        <v>1</v>
      </c>
      <c r="S4502">
        <v>14999</v>
      </c>
      <c r="T4502">
        <v>0</v>
      </c>
      <c r="U4502">
        <v>0</v>
      </c>
      <c r="V4502">
        <v>0</v>
      </c>
      <c r="W4502">
        <v>0</v>
      </c>
      <c r="X4502" t="s">
        <v>77</v>
      </c>
      <c r="Y4502" t="s">
        <v>71</v>
      </c>
      <c r="Z4502" t="s">
        <v>159</v>
      </c>
      <c r="AA4502" t="s">
        <v>168</v>
      </c>
      <c r="AB4502">
        <v>2.8</v>
      </c>
      <c r="AC4502">
        <v>40</v>
      </c>
      <c r="AD4502">
        <v>1361.55</v>
      </c>
      <c r="AE4502">
        <f t="shared" si="140"/>
        <v>-1401.55</v>
      </c>
      <c r="AF4502" t="str">
        <f t="shared" si="141"/>
        <v>2026-07</v>
      </c>
      <c r="AG4502">
        <f>SUBTOTAL(103,A4502)</f>
        <v>1</v>
      </c>
    </row>
    <row r="4503" spans="1:33" x14ac:dyDescent="0.3">
      <c r="A4503" t="s">
        <v>7126</v>
      </c>
      <c r="B4503" s="13">
        <v>46232</v>
      </c>
      <c r="C4503">
        <v>2026</v>
      </c>
      <c r="D4503">
        <v>7</v>
      </c>
      <c r="E4503" t="s">
        <v>4046</v>
      </c>
      <c r="F4503" t="s">
        <v>4047</v>
      </c>
      <c r="G4503" t="s">
        <v>1589</v>
      </c>
      <c r="H4503" t="s">
        <v>1590</v>
      </c>
      <c r="I4503" t="s">
        <v>85</v>
      </c>
      <c r="J4503">
        <v>35</v>
      </c>
      <c r="K4503" t="s">
        <v>81</v>
      </c>
      <c r="L4503" t="s">
        <v>2661</v>
      </c>
      <c r="M4503" t="s">
        <v>58</v>
      </c>
      <c r="N4503" t="s">
        <v>2626</v>
      </c>
      <c r="O4503" t="s">
        <v>125</v>
      </c>
      <c r="P4503" t="s">
        <v>48</v>
      </c>
      <c r="Q4503" t="s">
        <v>141</v>
      </c>
      <c r="R4503">
        <v>3</v>
      </c>
      <c r="S4503">
        <v>1999</v>
      </c>
      <c r="T4503">
        <v>0.2</v>
      </c>
      <c r="U4503">
        <v>4797.6000000000004</v>
      </c>
      <c r="V4503">
        <v>3450</v>
      </c>
      <c r="W4503">
        <v>1347.6</v>
      </c>
      <c r="X4503" t="s">
        <v>76</v>
      </c>
      <c r="Y4503" t="s">
        <v>68</v>
      </c>
      <c r="Z4503" t="s">
        <v>159</v>
      </c>
      <c r="AA4503" t="s">
        <v>166</v>
      </c>
      <c r="AB4503">
        <v>4.0999999999999996</v>
      </c>
      <c r="AC4503">
        <v>50</v>
      </c>
      <c r="AD4503">
        <v>264.44</v>
      </c>
      <c r="AE4503">
        <f t="shared" si="140"/>
        <v>1033.1599999999999</v>
      </c>
      <c r="AF4503" t="str">
        <f t="shared" si="141"/>
        <v>2026-07</v>
      </c>
      <c r="AG4503">
        <f>SUBTOTAL(103,A4503)</f>
        <v>1</v>
      </c>
    </row>
    <row r="4504" spans="1:33" x14ac:dyDescent="0.3">
      <c r="A4504" t="s">
        <v>7127</v>
      </c>
      <c r="B4504" s="13">
        <v>46232</v>
      </c>
      <c r="C4504">
        <v>2026</v>
      </c>
      <c r="D4504">
        <v>7</v>
      </c>
      <c r="E4504" t="s">
        <v>4046</v>
      </c>
      <c r="F4504" t="s">
        <v>4047</v>
      </c>
      <c r="G4504" t="s">
        <v>1473</v>
      </c>
      <c r="H4504" t="s">
        <v>1474</v>
      </c>
      <c r="I4504" t="s">
        <v>85</v>
      </c>
      <c r="J4504">
        <v>21</v>
      </c>
      <c r="K4504" t="s">
        <v>80</v>
      </c>
      <c r="L4504" t="s">
        <v>2610</v>
      </c>
      <c r="M4504" t="s">
        <v>64</v>
      </c>
      <c r="N4504" t="s">
        <v>2577</v>
      </c>
      <c r="O4504" t="s">
        <v>129</v>
      </c>
      <c r="P4504" t="s">
        <v>49</v>
      </c>
      <c r="Q4504" t="s">
        <v>149</v>
      </c>
      <c r="R4504">
        <v>3</v>
      </c>
      <c r="S4504">
        <v>1299</v>
      </c>
      <c r="T4504">
        <v>0</v>
      </c>
      <c r="U4504">
        <v>3897</v>
      </c>
      <c r="V4504">
        <v>1950</v>
      </c>
      <c r="W4504">
        <v>1947</v>
      </c>
      <c r="X4504" t="s">
        <v>76</v>
      </c>
      <c r="Y4504" t="s">
        <v>70</v>
      </c>
      <c r="Z4504" t="s">
        <v>159</v>
      </c>
      <c r="AA4504" t="s">
        <v>169</v>
      </c>
      <c r="AB4504">
        <v>3.8</v>
      </c>
      <c r="AC4504">
        <v>50</v>
      </c>
      <c r="AD4504">
        <v>177.78</v>
      </c>
      <c r="AE4504">
        <f t="shared" si="140"/>
        <v>1719.22</v>
      </c>
      <c r="AF4504" t="str">
        <f t="shared" si="141"/>
        <v>2026-07</v>
      </c>
      <c r="AG4504">
        <f>SUBTOTAL(103,A4504)</f>
        <v>1</v>
      </c>
    </row>
    <row r="4505" spans="1:33" x14ac:dyDescent="0.3">
      <c r="A4505" t="s">
        <v>7128</v>
      </c>
      <c r="B4505" s="13">
        <v>46232</v>
      </c>
      <c r="C4505">
        <v>2026</v>
      </c>
      <c r="D4505">
        <v>7</v>
      </c>
      <c r="E4505" t="s">
        <v>4046</v>
      </c>
      <c r="F4505" t="s">
        <v>4047</v>
      </c>
      <c r="G4505" t="s">
        <v>1845</v>
      </c>
      <c r="H4505" t="s">
        <v>1846</v>
      </c>
      <c r="I4505" t="s">
        <v>85</v>
      </c>
      <c r="J4505">
        <v>42</v>
      </c>
      <c r="K4505" t="s">
        <v>82</v>
      </c>
      <c r="L4505" t="s">
        <v>2589</v>
      </c>
      <c r="M4505" t="s">
        <v>61</v>
      </c>
      <c r="N4505" t="s">
        <v>2665</v>
      </c>
      <c r="O4505" t="s">
        <v>128</v>
      </c>
      <c r="P4505" t="s">
        <v>53</v>
      </c>
      <c r="Q4505" t="s">
        <v>143</v>
      </c>
      <c r="R4505">
        <v>2</v>
      </c>
      <c r="S4505">
        <v>1499</v>
      </c>
      <c r="T4505">
        <v>0.15</v>
      </c>
      <c r="U4505">
        <v>2548.3000000000002</v>
      </c>
      <c r="V4505">
        <v>1600</v>
      </c>
      <c r="W4505">
        <v>948.3</v>
      </c>
      <c r="X4505" t="s">
        <v>74</v>
      </c>
      <c r="Y4505" t="s">
        <v>70</v>
      </c>
      <c r="Z4505" t="s">
        <v>158</v>
      </c>
      <c r="AA4505" t="s">
        <v>169</v>
      </c>
      <c r="AB4505">
        <v>3.1</v>
      </c>
      <c r="AC4505">
        <v>80</v>
      </c>
      <c r="AD4505">
        <v>188.73</v>
      </c>
      <c r="AE4505">
        <f t="shared" si="140"/>
        <v>679.56999999999994</v>
      </c>
      <c r="AF4505" t="str">
        <f t="shared" si="141"/>
        <v>2026-07</v>
      </c>
      <c r="AG4505">
        <f>SUBTOTAL(103,A4505)</f>
        <v>1</v>
      </c>
    </row>
    <row r="4506" spans="1:33" x14ac:dyDescent="0.3">
      <c r="A4506" t="s">
        <v>7129</v>
      </c>
      <c r="B4506" s="13">
        <v>46232</v>
      </c>
      <c r="C4506">
        <v>2026</v>
      </c>
      <c r="D4506">
        <v>7</v>
      </c>
      <c r="E4506" t="s">
        <v>4046</v>
      </c>
      <c r="F4506" t="s">
        <v>4047</v>
      </c>
      <c r="G4506" t="s">
        <v>1893</v>
      </c>
      <c r="H4506" t="s">
        <v>1894</v>
      </c>
      <c r="I4506" t="s">
        <v>86</v>
      </c>
      <c r="J4506">
        <v>21</v>
      </c>
      <c r="K4506" t="s">
        <v>80</v>
      </c>
      <c r="L4506" t="s">
        <v>2690</v>
      </c>
      <c r="M4506" t="s">
        <v>63</v>
      </c>
      <c r="N4506" t="s">
        <v>2582</v>
      </c>
      <c r="O4506" t="s">
        <v>119</v>
      </c>
      <c r="P4506" t="s">
        <v>49</v>
      </c>
      <c r="Q4506" t="s">
        <v>140</v>
      </c>
      <c r="R4506">
        <v>1</v>
      </c>
      <c r="S4506">
        <v>3499</v>
      </c>
      <c r="T4506">
        <v>0.05</v>
      </c>
      <c r="U4506">
        <v>3324.05</v>
      </c>
      <c r="V4506">
        <v>2100</v>
      </c>
      <c r="W4506">
        <v>1224.05</v>
      </c>
      <c r="X4506" t="s">
        <v>74</v>
      </c>
      <c r="Y4506" t="s">
        <v>68</v>
      </c>
      <c r="Z4506" t="s">
        <v>161</v>
      </c>
      <c r="AA4506" t="s">
        <v>166</v>
      </c>
      <c r="AB4506">
        <v>4.5999999999999996</v>
      </c>
      <c r="AC4506">
        <v>80</v>
      </c>
      <c r="AD4506">
        <v>329.89</v>
      </c>
      <c r="AE4506">
        <f t="shared" si="140"/>
        <v>814.16</v>
      </c>
      <c r="AF4506" t="str">
        <f t="shared" si="141"/>
        <v>2026-07</v>
      </c>
      <c r="AG4506">
        <f>SUBTOTAL(103,A4506)</f>
        <v>1</v>
      </c>
    </row>
    <row r="4507" spans="1:33" x14ac:dyDescent="0.3">
      <c r="A4507" t="s">
        <v>7130</v>
      </c>
      <c r="B4507" s="13">
        <v>46232</v>
      </c>
      <c r="C4507">
        <v>2026</v>
      </c>
      <c r="D4507">
        <v>7</v>
      </c>
      <c r="E4507" t="s">
        <v>4046</v>
      </c>
      <c r="F4507" t="s">
        <v>4047</v>
      </c>
      <c r="G4507" t="s">
        <v>1317</v>
      </c>
      <c r="H4507" t="s">
        <v>1318</v>
      </c>
      <c r="I4507" t="s">
        <v>86</v>
      </c>
      <c r="J4507">
        <v>18</v>
      </c>
      <c r="K4507" t="s">
        <v>80</v>
      </c>
      <c r="L4507" t="s">
        <v>96</v>
      </c>
      <c r="M4507" t="s">
        <v>55</v>
      </c>
      <c r="N4507" t="s">
        <v>2665</v>
      </c>
      <c r="O4507" t="s">
        <v>128</v>
      </c>
      <c r="P4507" t="s">
        <v>53</v>
      </c>
      <c r="Q4507" t="s">
        <v>143</v>
      </c>
      <c r="R4507">
        <v>1</v>
      </c>
      <c r="S4507">
        <v>1499</v>
      </c>
      <c r="T4507">
        <v>0.2</v>
      </c>
      <c r="U4507">
        <v>1199.2</v>
      </c>
      <c r="V4507">
        <v>800</v>
      </c>
      <c r="W4507">
        <v>399.2</v>
      </c>
      <c r="X4507" t="s">
        <v>75</v>
      </c>
      <c r="Y4507" t="s">
        <v>68</v>
      </c>
      <c r="Z4507" t="s">
        <v>160</v>
      </c>
      <c r="AA4507" t="s">
        <v>168</v>
      </c>
      <c r="AB4507">
        <v>3.4</v>
      </c>
      <c r="AC4507">
        <v>60</v>
      </c>
      <c r="AD4507">
        <v>113.18</v>
      </c>
      <c r="AE4507">
        <f t="shared" si="140"/>
        <v>226.01999999999998</v>
      </c>
      <c r="AF4507" t="str">
        <f t="shared" si="141"/>
        <v>2026-07</v>
      </c>
      <c r="AG4507">
        <f>SUBTOTAL(103,A4507)</f>
        <v>1</v>
      </c>
    </row>
    <row r="4508" spans="1:33" x14ac:dyDescent="0.3">
      <c r="A4508" t="s">
        <v>7131</v>
      </c>
      <c r="B4508" s="13">
        <v>46232</v>
      </c>
      <c r="C4508">
        <v>2026</v>
      </c>
      <c r="D4508">
        <v>7</v>
      </c>
      <c r="E4508" t="s">
        <v>4046</v>
      </c>
      <c r="F4508" t="s">
        <v>4047</v>
      </c>
      <c r="G4508" t="s">
        <v>1165</v>
      </c>
      <c r="H4508" t="s">
        <v>1166</v>
      </c>
      <c r="I4508" t="s">
        <v>86</v>
      </c>
      <c r="J4508">
        <v>21</v>
      </c>
      <c r="K4508" t="s">
        <v>80</v>
      </c>
      <c r="L4508" t="s">
        <v>93</v>
      </c>
      <c r="M4508" t="s">
        <v>55</v>
      </c>
      <c r="N4508" t="s">
        <v>2580</v>
      </c>
      <c r="O4508" t="s">
        <v>118</v>
      </c>
      <c r="P4508" t="s">
        <v>48</v>
      </c>
      <c r="Q4508" t="s">
        <v>142</v>
      </c>
      <c r="R4508">
        <v>1</v>
      </c>
      <c r="S4508">
        <v>3999</v>
      </c>
      <c r="T4508">
        <v>0.25</v>
      </c>
      <c r="U4508">
        <v>2999.25</v>
      </c>
      <c r="V4508">
        <v>2400</v>
      </c>
      <c r="W4508">
        <v>599.25</v>
      </c>
      <c r="X4508" t="s">
        <v>74</v>
      </c>
      <c r="Y4508" t="s">
        <v>68</v>
      </c>
      <c r="Z4508" t="s">
        <v>161</v>
      </c>
      <c r="AA4508" t="s">
        <v>166</v>
      </c>
      <c r="AB4508">
        <v>3.8</v>
      </c>
      <c r="AC4508">
        <v>80</v>
      </c>
      <c r="AD4508">
        <v>350.91</v>
      </c>
      <c r="AE4508">
        <f t="shared" si="140"/>
        <v>168.33999999999997</v>
      </c>
      <c r="AF4508" t="str">
        <f t="shared" si="141"/>
        <v>2026-07</v>
      </c>
      <c r="AG4508">
        <f>SUBTOTAL(103,A4508)</f>
        <v>1</v>
      </c>
    </row>
    <row r="4509" spans="1:33" x14ac:dyDescent="0.3">
      <c r="A4509" t="s">
        <v>7132</v>
      </c>
      <c r="B4509" s="13">
        <v>46233</v>
      </c>
      <c r="C4509">
        <v>2026</v>
      </c>
      <c r="D4509">
        <v>7</v>
      </c>
      <c r="E4509" t="s">
        <v>4046</v>
      </c>
      <c r="F4509" t="s">
        <v>4047</v>
      </c>
      <c r="G4509" t="s">
        <v>867</v>
      </c>
      <c r="H4509" t="s">
        <v>868</v>
      </c>
      <c r="I4509" t="s">
        <v>86</v>
      </c>
      <c r="J4509">
        <v>34</v>
      </c>
      <c r="K4509" t="s">
        <v>81</v>
      </c>
      <c r="L4509" t="s">
        <v>98</v>
      </c>
      <c r="M4509" t="s">
        <v>55</v>
      </c>
      <c r="N4509" t="s">
        <v>2584</v>
      </c>
      <c r="O4509" t="s">
        <v>121</v>
      </c>
      <c r="P4509" t="s">
        <v>50</v>
      </c>
      <c r="Q4509" t="s">
        <v>144</v>
      </c>
      <c r="R4509">
        <v>3</v>
      </c>
      <c r="S4509">
        <v>2999</v>
      </c>
      <c r="T4509">
        <v>0.1</v>
      </c>
      <c r="U4509">
        <v>8097.3</v>
      </c>
      <c r="V4509">
        <v>5100</v>
      </c>
      <c r="W4509">
        <v>2997.3</v>
      </c>
      <c r="X4509" t="s">
        <v>74</v>
      </c>
      <c r="Y4509" t="s">
        <v>68</v>
      </c>
      <c r="Z4509" t="s">
        <v>159</v>
      </c>
      <c r="AA4509" t="s">
        <v>169</v>
      </c>
      <c r="AB4509">
        <v>4.9000000000000004</v>
      </c>
      <c r="AC4509">
        <v>50</v>
      </c>
      <c r="AD4509">
        <v>706.68</v>
      </c>
      <c r="AE4509">
        <f t="shared" si="140"/>
        <v>2240.6200000000003</v>
      </c>
      <c r="AF4509" t="str">
        <f t="shared" si="141"/>
        <v>2026-07</v>
      </c>
      <c r="AG4509">
        <f>SUBTOTAL(103,A4509)</f>
        <v>1</v>
      </c>
    </row>
    <row r="4510" spans="1:33" x14ac:dyDescent="0.3">
      <c r="A4510" t="s">
        <v>7133</v>
      </c>
      <c r="B4510" s="13">
        <v>46233</v>
      </c>
      <c r="C4510">
        <v>2026</v>
      </c>
      <c r="D4510">
        <v>7</v>
      </c>
      <c r="E4510" t="s">
        <v>4046</v>
      </c>
      <c r="F4510" t="s">
        <v>4047</v>
      </c>
      <c r="G4510" t="s">
        <v>1777</v>
      </c>
      <c r="H4510" t="s">
        <v>1778</v>
      </c>
      <c r="I4510" t="s">
        <v>86</v>
      </c>
      <c r="J4510">
        <v>34</v>
      </c>
      <c r="K4510" t="s">
        <v>81</v>
      </c>
      <c r="L4510" t="s">
        <v>2589</v>
      </c>
      <c r="M4510" t="s">
        <v>61</v>
      </c>
      <c r="N4510" t="s">
        <v>2603</v>
      </c>
      <c r="O4510" t="s">
        <v>122</v>
      </c>
      <c r="P4510" t="s">
        <v>48</v>
      </c>
      <c r="Q4510" t="s">
        <v>141</v>
      </c>
      <c r="R4510">
        <v>1</v>
      </c>
      <c r="S4510">
        <v>2499</v>
      </c>
      <c r="T4510">
        <v>0.05</v>
      </c>
      <c r="U4510">
        <v>2374.0500000000002</v>
      </c>
      <c r="V4510">
        <v>1450</v>
      </c>
      <c r="W4510">
        <v>924.05</v>
      </c>
      <c r="X4510" t="s">
        <v>74</v>
      </c>
      <c r="Y4510" t="s">
        <v>68</v>
      </c>
      <c r="Z4510" t="s">
        <v>161</v>
      </c>
      <c r="AA4510" t="s">
        <v>170</v>
      </c>
      <c r="AB4510">
        <v>4.3</v>
      </c>
      <c r="AC4510">
        <v>60</v>
      </c>
      <c r="AD4510">
        <v>73.33</v>
      </c>
      <c r="AE4510">
        <f t="shared" si="140"/>
        <v>790.71999999999991</v>
      </c>
      <c r="AF4510" t="str">
        <f t="shared" si="141"/>
        <v>2026-07</v>
      </c>
      <c r="AG4510">
        <f>SUBTOTAL(103,A4510)</f>
        <v>1</v>
      </c>
    </row>
    <row r="4511" spans="1:33" x14ac:dyDescent="0.3">
      <c r="A4511" t="s">
        <v>7134</v>
      </c>
      <c r="B4511" s="13">
        <v>46233</v>
      </c>
      <c r="C4511">
        <v>2026</v>
      </c>
      <c r="D4511">
        <v>7</v>
      </c>
      <c r="E4511" t="s">
        <v>4046</v>
      </c>
      <c r="F4511" t="s">
        <v>4047</v>
      </c>
      <c r="G4511" t="s">
        <v>2317</v>
      </c>
      <c r="H4511" t="s">
        <v>2318</v>
      </c>
      <c r="I4511" t="s">
        <v>86</v>
      </c>
      <c r="J4511">
        <v>22</v>
      </c>
      <c r="K4511" t="s">
        <v>80</v>
      </c>
      <c r="L4511" t="s">
        <v>2586</v>
      </c>
      <c r="M4511" t="s">
        <v>62</v>
      </c>
      <c r="N4511" t="s">
        <v>2574</v>
      </c>
      <c r="O4511" t="s">
        <v>130</v>
      </c>
      <c r="P4511" t="s">
        <v>50</v>
      </c>
      <c r="Q4511" t="s">
        <v>53</v>
      </c>
      <c r="R4511">
        <v>1</v>
      </c>
      <c r="S4511">
        <v>1199</v>
      </c>
      <c r="T4511">
        <v>0.15</v>
      </c>
      <c r="U4511">
        <v>1019.15</v>
      </c>
      <c r="V4511">
        <v>550</v>
      </c>
      <c r="W4511">
        <v>469.15</v>
      </c>
      <c r="X4511" t="s">
        <v>73</v>
      </c>
      <c r="Y4511" t="s">
        <v>68</v>
      </c>
      <c r="Z4511" t="s">
        <v>161</v>
      </c>
      <c r="AA4511" t="s">
        <v>166</v>
      </c>
      <c r="AB4511">
        <v>4.4000000000000004</v>
      </c>
      <c r="AC4511">
        <v>40</v>
      </c>
      <c r="AD4511">
        <v>38.99</v>
      </c>
      <c r="AE4511">
        <f t="shared" si="140"/>
        <v>390.15999999999997</v>
      </c>
      <c r="AF4511" t="str">
        <f t="shared" si="141"/>
        <v>2026-07</v>
      </c>
      <c r="AG4511">
        <f>SUBTOTAL(103,A4511)</f>
        <v>1</v>
      </c>
    </row>
    <row r="4512" spans="1:33" x14ac:dyDescent="0.3">
      <c r="A4512" t="s">
        <v>7135</v>
      </c>
      <c r="B4512" s="13">
        <v>46233</v>
      </c>
      <c r="C4512">
        <v>2026</v>
      </c>
      <c r="D4512">
        <v>7</v>
      </c>
      <c r="E4512" t="s">
        <v>4046</v>
      </c>
      <c r="F4512" t="s">
        <v>4047</v>
      </c>
      <c r="G4512" t="s">
        <v>335</v>
      </c>
      <c r="H4512" t="s">
        <v>336</v>
      </c>
      <c r="I4512" t="s">
        <v>86</v>
      </c>
      <c r="J4512">
        <v>26</v>
      </c>
      <c r="K4512" t="s">
        <v>81</v>
      </c>
      <c r="L4512" t="s">
        <v>2605</v>
      </c>
      <c r="M4512" t="s">
        <v>60</v>
      </c>
      <c r="N4512" t="s">
        <v>2653</v>
      </c>
      <c r="O4512" t="s">
        <v>132</v>
      </c>
      <c r="P4512" t="s">
        <v>52</v>
      </c>
      <c r="Q4512" t="s">
        <v>150</v>
      </c>
      <c r="R4512">
        <v>4</v>
      </c>
      <c r="S4512">
        <v>899</v>
      </c>
      <c r="T4512">
        <v>0.2</v>
      </c>
      <c r="U4512">
        <v>2876.8</v>
      </c>
      <c r="V4512">
        <v>1680</v>
      </c>
      <c r="W4512">
        <v>1196.8</v>
      </c>
      <c r="X4512" t="s">
        <v>76</v>
      </c>
      <c r="Y4512" t="s">
        <v>68</v>
      </c>
      <c r="Z4512" t="s">
        <v>159</v>
      </c>
      <c r="AA4512" t="s">
        <v>166</v>
      </c>
      <c r="AB4512">
        <v>4.0999999999999996</v>
      </c>
      <c r="AC4512">
        <v>50</v>
      </c>
      <c r="AD4512">
        <v>203.66</v>
      </c>
      <c r="AE4512">
        <f t="shared" si="140"/>
        <v>943.14</v>
      </c>
      <c r="AF4512" t="str">
        <f t="shared" si="141"/>
        <v>2026-07</v>
      </c>
      <c r="AG4512">
        <f>SUBTOTAL(103,A4512)</f>
        <v>1</v>
      </c>
    </row>
    <row r="4513" spans="1:33" x14ac:dyDescent="0.3">
      <c r="A4513" t="s">
        <v>7136</v>
      </c>
      <c r="B4513" s="13">
        <v>46233</v>
      </c>
      <c r="C4513">
        <v>2026</v>
      </c>
      <c r="D4513">
        <v>7</v>
      </c>
      <c r="E4513" t="s">
        <v>4046</v>
      </c>
      <c r="F4513" t="s">
        <v>4047</v>
      </c>
      <c r="G4513" t="s">
        <v>935</v>
      </c>
      <c r="H4513" t="s">
        <v>936</v>
      </c>
      <c r="I4513" t="s">
        <v>86</v>
      </c>
      <c r="J4513">
        <v>27</v>
      </c>
      <c r="K4513" t="s">
        <v>81</v>
      </c>
      <c r="L4513" t="s">
        <v>2589</v>
      </c>
      <c r="M4513" t="s">
        <v>61</v>
      </c>
      <c r="N4513" t="s">
        <v>2592</v>
      </c>
      <c r="O4513" t="s">
        <v>115</v>
      </c>
      <c r="P4513" t="s">
        <v>48</v>
      </c>
      <c r="Q4513" t="s">
        <v>137</v>
      </c>
      <c r="R4513">
        <v>1</v>
      </c>
      <c r="S4513">
        <v>12999</v>
      </c>
      <c r="T4513">
        <v>0.05</v>
      </c>
      <c r="U4513">
        <v>12349.05</v>
      </c>
      <c r="V4513">
        <v>9000</v>
      </c>
      <c r="W4513">
        <v>3349.05</v>
      </c>
      <c r="X4513" t="s">
        <v>73</v>
      </c>
      <c r="Y4513" t="s">
        <v>68</v>
      </c>
      <c r="Z4513" t="s">
        <v>162</v>
      </c>
      <c r="AA4513" t="s">
        <v>167</v>
      </c>
      <c r="AB4513">
        <v>4.8</v>
      </c>
      <c r="AC4513">
        <v>50</v>
      </c>
      <c r="AD4513">
        <v>1288.22</v>
      </c>
      <c r="AE4513">
        <f t="shared" si="140"/>
        <v>2010.8300000000002</v>
      </c>
      <c r="AF4513" t="str">
        <f t="shared" si="141"/>
        <v>2026-07</v>
      </c>
      <c r="AG4513">
        <f>SUBTOTAL(103,A4513)</f>
        <v>1</v>
      </c>
    </row>
    <row r="4514" spans="1:33" x14ac:dyDescent="0.3">
      <c r="A4514" t="s">
        <v>7137</v>
      </c>
      <c r="B4514" s="13">
        <v>46233</v>
      </c>
      <c r="C4514">
        <v>2026</v>
      </c>
      <c r="D4514">
        <v>7</v>
      </c>
      <c r="E4514" t="s">
        <v>4046</v>
      </c>
      <c r="F4514" t="s">
        <v>4047</v>
      </c>
      <c r="G4514" t="s">
        <v>1421</v>
      </c>
      <c r="H4514" t="s">
        <v>1422</v>
      </c>
      <c r="I4514" t="s">
        <v>86</v>
      </c>
      <c r="J4514">
        <v>57</v>
      </c>
      <c r="K4514" t="s">
        <v>83</v>
      </c>
      <c r="L4514" t="s">
        <v>91</v>
      </c>
      <c r="M4514" t="s">
        <v>55</v>
      </c>
      <c r="N4514" t="s">
        <v>2574</v>
      </c>
      <c r="O4514" t="s">
        <v>130</v>
      </c>
      <c r="P4514" t="s">
        <v>50</v>
      </c>
      <c r="Q4514" t="s">
        <v>53</v>
      </c>
      <c r="R4514">
        <v>2</v>
      </c>
      <c r="S4514">
        <v>1199</v>
      </c>
      <c r="T4514">
        <v>0.1</v>
      </c>
      <c r="U4514">
        <v>2158.1999999999998</v>
      </c>
      <c r="V4514">
        <v>1100</v>
      </c>
      <c r="W4514">
        <v>1058.2</v>
      </c>
      <c r="X4514" t="s">
        <v>76</v>
      </c>
      <c r="Y4514" t="s">
        <v>68</v>
      </c>
      <c r="Z4514" t="s">
        <v>163</v>
      </c>
      <c r="AA4514" t="s">
        <v>166</v>
      </c>
      <c r="AB4514">
        <v>3.2</v>
      </c>
      <c r="AC4514">
        <v>100</v>
      </c>
      <c r="AD4514">
        <v>184.19</v>
      </c>
      <c r="AE4514">
        <f t="shared" si="140"/>
        <v>774.01</v>
      </c>
      <c r="AF4514" t="str">
        <f t="shared" si="141"/>
        <v>2026-07</v>
      </c>
      <c r="AG4514">
        <f>SUBTOTAL(103,A4514)</f>
        <v>1</v>
      </c>
    </row>
    <row r="4515" spans="1:33" x14ac:dyDescent="0.3">
      <c r="A4515" t="s">
        <v>7138</v>
      </c>
      <c r="B4515" s="13">
        <v>46234</v>
      </c>
      <c r="C4515">
        <v>2026</v>
      </c>
      <c r="D4515">
        <v>7</v>
      </c>
      <c r="E4515" t="s">
        <v>4046</v>
      </c>
      <c r="F4515" t="s">
        <v>4047</v>
      </c>
      <c r="G4515" t="s">
        <v>1853</v>
      </c>
      <c r="H4515" t="s">
        <v>1854</v>
      </c>
      <c r="I4515" t="s">
        <v>85</v>
      </c>
      <c r="J4515">
        <v>27</v>
      </c>
      <c r="K4515" t="s">
        <v>81</v>
      </c>
      <c r="L4515" t="s">
        <v>2573</v>
      </c>
      <c r="M4515" t="s">
        <v>63</v>
      </c>
      <c r="N4515" t="s">
        <v>2603</v>
      </c>
      <c r="O4515" t="s">
        <v>122</v>
      </c>
      <c r="P4515" t="s">
        <v>48</v>
      </c>
      <c r="Q4515" t="s">
        <v>141</v>
      </c>
      <c r="R4515">
        <v>5</v>
      </c>
      <c r="S4515">
        <v>2499</v>
      </c>
      <c r="T4515">
        <v>0.1</v>
      </c>
      <c r="U4515">
        <v>11245.5</v>
      </c>
      <c r="V4515">
        <v>7250</v>
      </c>
      <c r="W4515">
        <v>3995.5</v>
      </c>
      <c r="X4515" t="s">
        <v>75</v>
      </c>
      <c r="Y4515" t="s">
        <v>68</v>
      </c>
      <c r="Z4515" t="s">
        <v>159</v>
      </c>
      <c r="AA4515" t="s">
        <v>171</v>
      </c>
      <c r="AB4515">
        <v>5</v>
      </c>
      <c r="AC4515">
        <v>80</v>
      </c>
      <c r="AD4515">
        <v>579.39</v>
      </c>
      <c r="AE4515">
        <f t="shared" si="140"/>
        <v>3336.11</v>
      </c>
      <c r="AF4515" t="str">
        <f t="shared" si="141"/>
        <v>2026-07</v>
      </c>
      <c r="AG4515">
        <f>SUBTOTAL(103,A4515)</f>
        <v>1</v>
      </c>
    </row>
    <row r="4516" spans="1:33" x14ac:dyDescent="0.3">
      <c r="A4516" t="s">
        <v>7139</v>
      </c>
      <c r="B4516" s="13">
        <v>46234</v>
      </c>
      <c r="C4516">
        <v>2026</v>
      </c>
      <c r="D4516">
        <v>7</v>
      </c>
      <c r="E4516" t="s">
        <v>4046</v>
      </c>
      <c r="F4516" t="s">
        <v>4047</v>
      </c>
      <c r="G4516" t="s">
        <v>2339</v>
      </c>
      <c r="H4516" t="s">
        <v>2340</v>
      </c>
      <c r="I4516" t="s">
        <v>85</v>
      </c>
      <c r="J4516">
        <v>59</v>
      </c>
      <c r="K4516" t="s">
        <v>83</v>
      </c>
      <c r="L4516" t="s">
        <v>2586</v>
      </c>
      <c r="M4516" t="s">
        <v>62</v>
      </c>
      <c r="N4516" t="s">
        <v>2665</v>
      </c>
      <c r="O4516" t="s">
        <v>128</v>
      </c>
      <c r="P4516" t="s">
        <v>53</v>
      </c>
      <c r="Q4516" t="s">
        <v>143</v>
      </c>
      <c r="R4516">
        <v>2</v>
      </c>
      <c r="S4516">
        <v>1499</v>
      </c>
      <c r="T4516">
        <v>0.15</v>
      </c>
      <c r="U4516">
        <v>2548.3000000000002</v>
      </c>
      <c r="V4516">
        <v>1600</v>
      </c>
      <c r="W4516">
        <v>948.3</v>
      </c>
      <c r="X4516" t="s">
        <v>74</v>
      </c>
      <c r="Y4516" t="s">
        <v>68</v>
      </c>
      <c r="Z4516" t="s">
        <v>162</v>
      </c>
      <c r="AA4516" t="s">
        <v>166</v>
      </c>
      <c r="AB4516">
        <v>3.8</v>
      </c>
      <c r="AC4516">
        <v>40</v>
      </c>
      <c r="AD4516">
        <v>70.94</v>
      </c>
      <c r="AE4516">
        <f t="shared" si="140"/>
        <v>837.3599999999999</v>
      </c>
      <c r="AF4516" t="str">
        <f t="shared" si="141"/>
        <v>2026-07</v>
      </c>
      <c r="AG4516">
        <f>SUBTOTAL(103,A4516)</f>
        <v>1</v>
      </c>
    </row>
    <row r="4517" spans="1:33" x14ac:dyDescent="0.3">
      <c r="A4517" t="s">
        <v>7140</v>
      </c>
      <c r="B4517" s="13">
        <v>46234</v>
      </c>
      <c r="C4517">
        <v>2026</v>
      </c>
      <c r="D4517">
        <v>7</v>
      </c>
      <c r="E4517" t="s">
        <v>4046</v>
      </c>
      <c r="F4517" t="s">
        <v>4047</v>
      </c>
      <c r="G4517" t="s">
        <v>551</v>
      </c>
      <c r="H4517" t="s">
        <v>552</v>
      </c>
      <c r="I4517" t="s">
        <v>86</v>
      </c>
      <c r="J4517">
        <v>46</v>
      </c>
      <c r="K4517" t="s">
        <v>83</v>
      </c>
      <c r="L4517" t="s">
        <v>59</v>
      </c>
      <c r="M4517" t="s">
        <v>59</v>
      </c>
      <c r="N4517" t="s">
        <v>2606</v>
      </c>
      <c r="O4517" t="s">
        <v>120</v>
      </c>
      <c r="P4517" t="s">
        <v>49</v>
      </c>
      <c r="Q4517" t="s">
        <v>140</v>
      </c>
      <c r="R4517">
        <v>2</v>
      </c>
      <c r="S4517">
        <v>2799</v>
      </c>
      <c r="T4517">
        <v>0</v>
      </c>
      <c r="U4517">
        <v>5598</v>
      </c>
      <c r="V4517">
        <v>3300</v>
      </c>
      <c r="W4517">
        <v>2298</v>
      </c>
      <c r="X4517" t="s">
        <v>74</v>
      </c>
      <c r="Y4517" t="s">
        <v>68</v>
      </c>
      <c r="Z4517" t="s">
        <v>160</v>
      </c>
      <c r="AA4517" t="s">
        <v>170</v>
      </c>
      <c r="AB4517">
        <v>5</v>
      </c>
      <c r="AC4517">
        <v>100</v>
      </c>
      <c r="AD4517">
        <v>599.72</v>
      </c>
      <c r="AE4517">
        <f t="shared" si="140"/>
        <v>1598.28</v>
      </c>
      <c r="AF4517" t="str">
        <f t="shared" si="141"/>
        <v>2026-07</v>
      </c>
      <c r="AG4517">
        <f>SUBTOTAL(103,A4517)</f>
        <v>1</v>
      </c>
    </row>
    <row r="4518" spans="1:33" x14ac:dyDescent="0.3">
      <c r="A4518" t="s">
        <v>7141</v>
      </c>
      <c r="B4518" s="13">
        <v>46234</v>
      </c>
      <c r="C4518">
        <v>2026</v>
      </c>
      <c r="D4518">
        <v>7</v>
      </c>
      <c r="E4518" t="s">
        <v>4046</v>
      </c>
      <c r="F4518" t="s">
        <v>4047</v>
      </c>
      <c r="G4518" t="s">
        <v>1487</v>
      </c>
      <c r="H4518" t="s">
        <v>1488</v>
      </c>
      <c r="I4518" t="s">
        <v>86</v>
      </c>
      <c r="J4518">
        <v>24</v>
      </c>
      <c r="K4518" t="s">
        <v>80</v>
      </c>
      <c r="L4518" t="s">
        <v>93</v>
      </c>
      <c r="M4518" t="s">
        <v>55</v>
      </c>
      <c r="N4518" t="s">
        <v>2577</v>
      </c>
      <c r="O4518" t="s">
        <v>129</v>
      </c>
      <c r="P4518" t="s">
        <v>49</v>
      </c>
      <c r="Q4518" t="s">
        <v>149</v>
      </c>
      <c r="R4518">
        <v>1</v>
      </c>
      <c r="S4518">
        <v>1299</v>
      </c>
      <c r="T4518">
        <v>0.15</v>
      </c>
      <c r="U4518">
        <v>1104.1500000000001</v>
      </c>
      <c r="V4518">
        <v>650</v>
      </c>
      <c r="W4518">
        <v>454.15</v>
      </c>
      <c r="X4518" t="s">
        <v>76</v>
      </c>
      <c r="Y4518" t="s">
        <v>68</v>
      </c>
      <c r="Z4518" t="s">
        <v>158</v>
      </c>
      <c r="AA4518" t="s">
        <v>167</v>
      </c>
      <c r="AB4518">
        <v>3.5</v>
      </c>
      <c r="AC4518">
        <v>100</v>
      </c>
      <c r="AD4518">
        <v>61.28</v>
      </c>
      <c r="AE4518">
        <f t="shared" si="140"/>
        <v>292.87</v>
      </c>
      <c r="AF4518" t="str">
        <f t="shared" si="141"/>
        <v>2026-07</v>
      </c>
      <c r="AG4518">
        <f>SUBTOTAL(103,A4518)</f>
        <v>1</v>
      </c>
    </row>
    <row r="4519" spans="1:33" x14ac:dyDescent="0.3">
      <c r="A4519" t="s">
        <v>7142</v>
      </c>
      <c r="B4519" s="13">
        <v>46234</v>
      </c>
      <c r="C4519">
        <v>2026</v>
      </c>
      <c r="D4519">
        <v>7</v>
      </c>
      <c r="E4519" t="s">
        <v>4046</v>
      </c>
      <c r="F4519" t="s">
        <v>4047</v>
      </c>
      <c r="G4519" t="s">
        <v>581</v>
      </c>
      <c r="H4519" t="s">
        <v>582</v>
      </c>
      <c r="I4519" t="s">
        <v>86</v>
      </c>
      <c r="J4519">
        <v>57</v>
      </c>
      <c r="K4519" t="s">
        <v>83</v>
      </c>
      <c r="L4519" t="s">
        <v>2610</v>
      </c>
      <c r="M4519" t="s">
        <v>64</v>
      </c>
      <c r="N4519" t="s">
        <v>2596</v>
      </c>
      <c r="O4519" t="s">
        <v>124</v>
      </c>
      <c r="P4519" t="s">
        <v>51</v>
      </c>
      <c r="Q4519" t="s">
        <v>147</v>
      </c>
      <c r="R4519">
        <v>2</v>
      </c>
      <c r="S4519">
        <v>2299</v>
      </c>
      <c r="T4519">
        <v>0.15</v>
      </c>
      <c r="U4519">
        <v>3908.3</v>
      </c>
      <c r="V4519">
        <v>2400</v>
      </c>
      <c r="W4519">
        <v>1508.3</v>
      </c>
      <c r="X4519" t="s">
        <v>73</v>
      </c>
      <c r="Y4519" t="s">
        <v>68</v>
      </c>
      <c r="Z4519" t="s">
        <v>163</v>
      </c>
      <c r="AA4519" t="s">
        <v>169</v>
      </c>
      <c r="AB4519">
        <v>4.8</v>
      </c>
      <c r="AC4519">
        <v>100</v>
      </c>
      <c r="AD4519">
        <v>427.78</v>
      </c>
      <c r="AE4519">
        <f t="shared" si="140"/>
        <v>980.52</v>
      </c>
      <c r="AF4519" t="str">
        <f t="shared" si="141"/>
        <v>2026-07</v>
      </c>
      <c r="AG4519">
        <f>SUBTOTAL(103,A4519)</f>
        <v>1</v>
      </c>
    </row>
    <row r="4520" spans="1:33" x14ac:dyDescent="0.3">
      <c r="A4520" t="s">
        <v>7143</v>
      </c>
      <c r="B4520" s="13">
        <v>46234</v>
      </c>
      <c r="C4520">
        <v>2026</v>
      </c>
      <c r="D4520">
        <v>7</v>
      </c>
      <c r="E4520" t="s">
        <v>4046</v>
      </c>
      <c r="F4520" t="s">
        <v>4047</v>
      </c>
      <c r="G4520" t="s">
        <v>2171</v>
      </c>
      <c r="H4520" t="s">
        <v>2172</v>
      </c>
      <c r="I4520" t="s">
        <v>86</v>
      </c>
      <c r="J4520">
        <v>53</v>
      </c>
      <c r="K4520" t="s">
        <v>83</v>
      </c>
      <c r="L4520" t="s">
        <v>2589</v>
      </c>
      <c r="M4520" t="s">
        <v>61</v>
      </c>
      <c r="N4520" t="s">
        <v>2584</v>
      </c>
      <c r="O4520" t="s">
        <v>121</v>
      </c>
      <c r="P4520" t="s">
        <v>50</v>
      </c>
      <c r="Q4520" t="s">
        <v>144</v>
      </c>
      <c r="R4520">
        <v>1</v>
      </c>
      <c r="S4520">
        <v>2999</v>
      </c>
      <c r="T4520">
        <v>0</v>
      </c>
      <c r="U4520">
        <v>2999</v>
      </c>
      <c r="V4520">
        <v>1700</v>
      </c>
      <c r="W4520">
        <v>1299</v>
      </c>
      <c r="X4520" t="s">
        <v>75</v>
      </c>
      <c r="Y4520" t="s">
        <v>68</v>
      </c>
      <c r="Z4520" t="s">
        <v>160</v>
      </c>
      <c r="AA4520" t="s">
        <v>171</v>
      </c>
      <c r="AB4520">
        <v>4.4000000000000004</v>
      </c>
      <c r="AC4520">
        <v>50</v>
      </c>
      <c r="AD4520">
        <v>262.49</v>
      </c>
      <c r="AE4520">
        <f t="shared" si="140"/>
        <v>986.51</v>
      </c>
      <c r="AF4520" t="str">
        <f t="shared" si="141"/>
        <v>2026-07</v>
      </c>
      <c r="AG4520">
        <f>SUBTOTAL(103,A4520)</f>
        <v>1</v>
      </c>
    </row>
    <row r="4521" spans="1:33" x14ac:dyDescent="0.3">
      <c r="A4521" t="s">
        <v>7144</v>
      </c>
      <c r="B4521" s="13">
        <v>46234</v>
      </c>
      <c r="C4521">
        <v>2026</v>
      </c>
      <c r="D4521">
        <v>7</v>
      </c>
      <c r="E4521" t="s">
        <v>4046</v>
      </c>
      <c r="F4521" t="s">
        <v>4047</v>
      </c>
      <c r="G4521" t="s">
        <v>1009</v>
      </c>
      <c r="H4521" t="s">
        <v>1010</v>
      </c>
      <c r="I4521" t="s">
        <v>86</v>
      </c>
      <c r="J4521">
        <v>41</v>
      </c>
      <c r="K4521" t="s">
        <v>82</v>
      </c>
      <c r="L4521" t="s">
        <v>100</v>
      </c>
      <c r="M4521" t="s">
        <v>56</v>
      </c>
      <c r="N4521" t="s">
        <v>2594</v>
      </c>
      <c r="O4521" t="s">
        <v>131</v>
      </c>
      <c r="P4521" t="s">
        <v>53</v>
      </c>
      <c r="Q4521" t="s">
        <v>143</v>
      </c>
      <c r="R4521">
        <v>4</v>
      </c>
      <c r="S4521">
        <v>999</v>
      </c>
      <c r="T4521">
        <v>0.1</v>
      </c>
      <c r="U4521">
        <v>3596.4</v>
      </c>
      <c r="V4521">
        <v>2080</v>
      </c>
      <c r="W4521">
        <v>1516.4</v>
      </c>
      <c r="X4521" t="s">
        <v>73</v>
      </c>
      <c r="Y4521" t="s">
        <v>68</v>
      </c>
      <c r="Z4521" t="s">
        <v>158</v>
      </c>
      <c r="AA4521" t="s">
        <v>167</v>
      </c>
      <c r="AB4521">
        <v>5</v>
      </c>
      <c r="AC4521">
        <v>60</v>
      </c>
      <c r="AD4521">
        <v>289.81</v>
      </c>
      <c r="AE4521">
        <f t="shared" si="140"/>
        <v>1166.5900000000001</v>
      </c>
      <c r="AF4521" t="str">
        <f t="shared" si="141"/>
        <v>2026-07</v>
      </c>
      <c r="AG4521">
        <f>SUBTOTAL(103,A4521)</f>
        <v>1</v>
      </c>
    </row>
    <row r="4522" spans="1:33" x14ac:dyDescent="0.3">
      <c r="A4522" t="s">
        <v>7145</v>
      </c>
      <c r="B4522" s="13">
        <v>46235</v>
      </c>
      <c r="C4522">
        <v>2026</v>
      </c>
      <c r="D4522">
        <v>8</v>
      </c>
      <c r="E4522" t="s">
        <v>4301</v>
      </c>
      <c r="F4522" t="s">
        <v>4047</v>
      </c>
      <c r="G4522" t="s">
        <v>1403</v>
      </c>
      <c r="H4522" t="s">
        <v>1404</v>
      </c>
      <c r="I4522" t="s">
        <v>86</v>
      </c>
      <c r="J4522">
        <v>43</v>
      </c>
      <c r="K4522" t="s">
        <v>82</v>
      </c>
      <c r="L4522" t="s">
        <v>95</v>
      </c>
      <c r="M4522" t="s">
        <v>56</v>
      </c>
      <c r="N4522" t="s">
        <v>2647</v>
      </c>
      <c r="O4522" t="s">
        <v>133</v>
      </c>
      <c r="P4522" t="s">
        <v>50</v>
      </c>
      <c r="Q4522" t="s">
        <v>145</v>
      </c>
      <c r="R4522">
        <v>2</v>
      </c>
      <c r="S4522">
        <v>799</v>
      </c>
      <c r="T4522">
        <v>0.05</v>
      </c>
      <c r="U4522">
        <v>1518.1</v>
      </c>
      <c r="V4522">
        <v>780</v>
      </c>
      <c r="W4522">
        <v>738.1</v>
      </c>
      <c r="X4522" t="s">
        <v>77</v>
      </c>
      <c r="Y4522" t="s">
        <v>68</v>
      </c>
      <c r="Z4522" t="s">
        <v>160</v>
      </c>
      <c r="AA4522" t="s">
        <v>168</v>
      </c>
      <c r="AB4522">
        <v>3.7</v>
      </c>
      <c r="AC4522">
        <v>50</v>
      </c>
      <c r="AD4522">
        <v>92.1</v>
      </c>
      <c r="AE4522">
        <f t="shared" si="140"/>
        <v>596</v>
      </c>
      <c r="AF4522" t="str">
        <f t="shared" si="141"/>
        <v>2026-08</v>
      </c>
      <c r="AG4522">
        <f>SUBTOTAL(103,A4522)</f>
        <v>1</v>
      </c>
    </row>
    <row r="4523" spans="1:33" x14ac:dyDescent="0.3">
      <c r="A4523" t="s">
        <v>7146</v>
      </c>
      <c r="B4523" s="13">
        <v>46235</v>
      </c>
      <c r="C4523">
        <v>2026</v>
      </c>
      <c r="D4523">
        <v>8</v>
      </c>
      <c r="E4523" t="s">
        <v>4301</v>
      </c>
      <c r="F4523" t="s">
        <v>4047</v>
      </c>
      <c r="G4523" t="s">
        <v>569</v>
      </c>
      <c r="H4523" t="s">
        <v>570</v>
      </c>
      <c r="I4523" t="s">
        <v>85</v>
      </c>
      <c r="J4523">
        <v>29</v>
      </c>
      <c r="K4523" t="s">
        <v>81</v>
      </c>
      <c r="L4523" t="s">
        <v>2616</v>
      </c>
      <c r="M4523" t="s">
        <v>62</v>
      </c>
      <c r="N4523" t="s">
        <v>2606</v>
      </c>
      <c r="O4523" t="s">
        <v>120</v>
      </c>
      <c r="P4523" t="s">
        <v>49</v>
      </c>
      <c r="Q4523" t="s">
        <v>140</v>
      </c>
      <c r="R4523">
        <v>1</v>
      </c>
      <c r="S4523">
        <v>2799</v>
      </c>
      <c r="T4523">
        <v>0.05</v>
      </c>
      <c r="U4523">
        <v>2659.05</v>
      </c>
      <c r="V4523">
        <v>1650</v>
      </c>
      <c r="W4523">
        <v>1009.05</v>
      </c>
      <c r="X4523" t="s">
        <v>73</v>
      </c>
      <c r="Y4523" t="s">
        <v>68</v>
      </c>
      <c r="Z4523" t="s">
        <v>161</v>
      </c>
      <c r="AA4523" t="s">
        <v>166</v>
      </c>
      <c r="AB4523">
        <v>4.8</v>
      </c>
      <c r="AC4523">
        <v>120</v>
      </c>
      <c r="AD4523">
        <v>66.17</v>
      </c>
      <c r="AE4523">
        <f t="shared" si="140"/>
        <v>822.88</v>
      </c>
      <c r="AF4523" t="str">
        <f t="shared" si="141"/>
        <v>2026-08</v>
      </c>
      <c r="AG4523">
        <f>SUBTOTAL(103,A4523)</f>
        <v>1</v>
      </c>
    </row>
    <row r="4524" spans="1:33" x14ac:dyDescent="0.3">
      <c r="A4524" t="s">
        <v>7147</v>
      </c>
      <c r="B4524" s="13">
        <v>46235</v>
      </c>
      <c r="C4524">
        <v>2026</v>
      </c>
      <c r="D4524">
        <v>8</v>
      </c>
      <c r="E4524" t="s">
        <v>4301</v>
      </c>
      <c r="F4524" t="s">
        <v>4047</v>
      </c>
      <c r="G4524" t="s">
        <v>607</v>
      </c>
      <c r="H4524" t="s">
        <v>608</v>
      </c>
      <c r="I4524" t="s">
        <v>85</v>
      </c>
      <c r="J4524">
        <v>32</v>
      </c>
      <c r="K4524" t="s">
        <v>81</v>
      </c>
      <c r="L4524" t="s">
        <v>2637</v>
      </c>
      <c r="M4524" t="s">
        <v>64</v>
      </c>
      <c r="N4524" t="s">
        <v>2580</v>
      </c>
      <c r="O4524" t="s">
        <v>118</v>
      </c>
      <c r="P4524" t="s">
        <v>48</v>
      </c>
      <c r="Q4524" t="s">
        <v>142</v>
      </c>
      <c r="R4524">
        <v>2</v>
      </c>
      <c r="S4524">
        <v>3999</v>
      </c>
      <c r="T4524">
        <v>0.05</v>
      </c>
      <c r="U4524">
        <v>7598.1</v>
      </c>
      <c r="V4524">
        <v>4800</v>
      </c>
      <c r="W4524">
        <v>2798.1</v>
      </c>
      <c r="X4524" t="s">
        <v>73</v>
      </c>
      <c r="Y4524" t="s">
        <v>68</v>
      </c>
      <c r="Z4524" t="s">
        <v>160</v>
      </c>
      <c r="AA4524" t="s">
        <v>170</v>
      </c>
      <c r="AB4524">
        <v>4</v>
      </c>
      <c r="AC4524">
        <v>80</v>
      </c>
      <c r="AD4524">
        <v>819.67</v>
      </c>
      <c r="AE4524">
        <f t="shared" si="140"/>
        <v>1898.4299999999998</v>
      </c>
      <c r="AF4524" t="str">
        <f t="shared" si="141"/>
        <v>2026-08</v>
      </c>
      <c r="AG4524">
        <f>SUBTOTAL(103,A4524)</f>
        <v>1</v>
      </c>
    </row>
    <row r="4525" spans="1:33" x14ac:dyDescent="0.3">
      <c r="A4525" t="s">
        <v>7148</v>
      </c>
      <c r="B4525" s="13">
        <v>46235</v>
      </c>
      <c r="C4525">
        <v>2026</v>
      </c>
      <c r="D4525">
        <v>8</v>
      </c>
      <c r="E4525" t="s">
        <v>4301</v>
      </c>
      <c r="F4525" t="s">
        <v>4047</v>
      </c>
      <c r="G4525" t="s">
        <v>1209</v>
      </c>
      <c r="H4525" t="s">
        <v>1210</v>
      </c>
      <c r="I4525" t="s">
        <v>85</v>
      </c>
      <c r="J4525">
        <v>32</v>
      </c>
      <c r="K4525" t="s">
        <v>81</v>
      </c>
      <c r="L4525" t="s">
        <v>99</v>
      </c>
      <c r="M4525" t="s">
        <v>58</v>
      </c>
      <c r="N4525" t="s">
        <v>2665</v>
      </c>
      <c r="O4525" t="s">
        <v>128</v>
      </c>
      <c r="P4525" t="s">
        <v>53</v>
      </c>
      <c r="Q4525" t="s">
        <v>143</v>
      </c>
      <c r="R4525">
        <v>2</v>
      </c>
      <c r="S4525">
        <v>1499</v>
      </c>
      <c r="T4525">
        <v>0.05</v>
      </c>
      <c r="U4525">
        <v>2848.1</v>
      </c>
      <c r="V4525">
        <v>1600</v>
      </c>
      <c r="W4525">
        <v>1248.0999999999999</v>
      </c>
      <c r="X4525" t="s">
        <v>73</v>
      </c>
      <c r="Y4525" t="s">
        <v>68</v>
      </c>
      <c r="Z4525" t="s">
        <v>159</v>
      </c>
      <c r="AA4525" t="s">
        <v>166</v>
      </c>
      <c r="AB4525">
        <v>3.3</v>
      </c>
      <c r="AC4525">
        <v>100</v>
      </c>
      <c r="AD4525">
        <v>137.32</v>
      </c>
      <c r="AE4525">
        <f t="shared" si="140"/>
        <v>1010.78</v>
      </c>
      <c r="AF4525" t="str">
        <f t="shared" si="141"/>
        <v>2026-08</v>
      </c>
      <c r="AG4525">
        <f>SUBTOTAL(103,A4525)</f>
        <v>1</v>
      </c>
    </row>
    <row r="4526" spans="1:33" x14ac:dyDescent="0.3">
      <c r="A4526" t="s">
        <v>7149</v>
      </c>
      <c r="B4526" s="13">
        <v>46235</v>
      </c>
      <c r="C4526">
        <v>2026</v>
      </c>
      <c r="D4526">
        <v>8</v>
      </c>
      <c r="E4526" t="s">
        <v>4301</v>
      </c>
      <c r="F4526" t="s">
        <v>4047</v>
      </c>
      <c r="G4526" t="s">
        <v>333</v>
      </c>
      <c r="H4526" t="s">
        <v>334</v>
      </c>
      <c r="I4526" t="s">
        <v>85</v>
      </c>
      <c r="J4526">
        <v>52</v>
      </c>
      <c r="K4526" t="s">
        <v>83</v>
      </c>
      <c r="L4526" t="s">
        <v>94</v>
      </c>
      <c r="M4526" t="s">
        <v>57</v>
      </c>
      <c r="N4526" t="s">
        <v>2592</v>
      </c>
      <c r="O4526" t="s">
        <v>115</v>
      </c>
      <c r="P4526" t="s">
        <v>48</v>
      </c>
      <c r="Q4526" t="s">
        <v>137</v>
      </c>
      <c r="R4526">
        <v>2</v>
      </c>
      <c r="S4526">
        <v>12999</v>
      </c>
      <c r="T4526">
        <v>0</v>
      </c>
      <c r="U4526">
        <v>25998</v>
      </c>
      <c r="V4526">
        <v>18000</v>
      </c>
      <c r="W4526">
        <v>7998</v>
      </c>
      <c r="X4526" t="s">
        <v>76</v>
      </c>
      <c r="Y4526" t="s">
        <v>68</v>
      </c>
      <c r="Z4526" t="s">
        <v>159</v>
      </c>
      <c r="AA4526" t="s">
        <v>166</v>
      </c>
      <c r="AB4526">
        <v>4.3</v>
      </c>
      <c r="AC4526">
        <v>80</v>
      </c>
      <c r="AD4526">
        <v>1461.91</v>
      </c>
      <c r="AE4526">
        <f t="shared" si="140"/>
        <v>6456.09</v>
      </c>
      <c r="AF4526" t="str">
        <f t="shared" si="141"/>
        <v>2026-08</v>
      </c>
      <c r="AG4526">
        <f>SUBTOTAL(103,A4526)</f>
        <v>1</v>
      </c>
    </row>
    <row r="4527" spans="1:33" x14ac:dyDescent="0.3">
      <c r="A4527" t="s">
        <v>7150</v>
      </c>
      <c r="B4527" s="13">
        <v>46235</v>
      </c>
      <c r="C4527">
        <v>2026</v>
      </c>
      <c r="D4527">
        <v>8</v>
      </c>
      <c r="E4527" t="s">
        <v>4301</v>
      </c>
      <c r="F4527" t="s">
        <v>4047</v>
      </c>
      <c r="G4527" t="s">
        <v>2111</v>
      </c>
      <c r="H4527" t="s">
        <v>2112</v>
      </c>
      <c r="I4527" t="s">
        <v>86</v>
      </c>
      <c r="J4527">
        <v>27</v>
      </c>
      <c r="K4527" t="s">
        <v>81</v>
      </c>
      <c r="L4527" t="s">
        <v>96</v>
      </c>
      <c r="M4527" t="s">
        <v>55</v>
      </c>
      <c r="N4527" t="s">
        <v>2577</v>
      </c>
      <c r="O4527" t="s">
        <v>129</v>
      </c>
      <c r="P4527" t="s">
        <v>49</v>
      </c>
      <c r="Q4527" t="s">
        <v>149</v>
      </c>
      <c r="R4527">
        <v>2</v>
      </c>
      <c r="S4527">
        <v>1299</v>
      </c>
      <c r="T4527">
        <v>0.05</v>
      </c>
      <c r="U4527">
        <v>2468.1</v>
      </c>
      <c r="V4527">
        <v>1300</v>
      </c>
      <c r="W4527">
        <v>1168.0999999999999</v>
      </c>
      <c r="X4527" t="s">
        <v>73</v>
      </c>
      <c r="Y4527" t="s">
        <v>68</v>
      </c>
      <c r="Z4527" t="s">
        <v>161</v>
      </c>
      <c r="AA4527" t="s">
        <v>170</v>
      </c>
      <c r="AB4527">
        <v>4.7</v>
      </c>
      <c r="AC4527">
        <v>60</v>
      </c>
      <c r="AD4527">
        <v>233.87</v>
      </c>
      <c r="AE4527">
        <f t="shared" si="140"/>
        <v>874.2299999999999</v>
      </c>
      <c r="AF4527" t="str">
        <f t="shared" si="141"/>
        <v>2026-08</v>
      </c>
      <c r="AG4527">
        <f>SUBTOTAL(103,A4527)</f>
        <v>1</v>
      </c>
    </row>
    <row r="4528" spans="1:33" x14ac:dyDescent="0.3">
      <c r="A4528" t="s">
        <v>7151</v>
      </c>
      <c r="B4528" s="13">
        <v>46235</v>
      </c>
      <c r="C4528">
        <v>2026</v>
      </c>
      <c r="D4528">
        <v>8</v>
      </c>
      <c r="E4528" t="s">
        <v>4301</v>
      </c>
      <c r="F4528" t="s">
        <v>4047</v>
      </c>
      <c r="G4528" t="s">
        <v>1663</v>
      </c>
      <c r="H4528" t="s">
        <v>1664</v>
      </c>
      <c r="I4528" t="s">
        <v>86</v>
      </c>
      <c r="J4528">
        <v>25</v>
      </c>
      <c r="K4528" t="s">
        <v>80</v>
      </c>
      <c r="L4528" t="s">
        <v>2661</v>
      </c>
      <c r="M4528" t="s">
        <v>58</v>
      </c>
      <c r="N4528" t="s">
        <v>2665</v>
      </c>
      <c r="O4528" t="s">
        <v>128</v>
      </c>
      <c r="P4528" t="s">
        <v>53</v>
      </c>
      <c r="Q4528" t="s">
        <v>143</v>
      </c>
      <c r="R4528">
        <v>1</v>
      </c>
      <c r="S4528">
        <v>1499</v>
      </c>
      <c r="T4528">
        <v>0.1</v>
      </c>
      <c r="U4528">
        <v>1349.1</v>
      </c>
      <c r="V4528">
        <v>800</v>
      </c>
      <c r="W4528">
        <v>549.1</v>
      </c>
      <c r="X4528" t="s">
        <v>75</v>
      </c>
      <c r="Y4528" t="s">
        <v>68</v>
      </c>
      <c r="Z4528" t="s">
        <v>160</v>
      </c>
      <c r="AA4528" t="s">
        <v>167</v>
      </c>
      <c r="AB4528">
        <v>2.8</v>
      </c>
      <c r="AC4528">
        <v>100</v>
      </c>
      <c r="AD4528">
        <v>98.92</v>
      </c>
      <c r="AE4528">
        <f t="shared" si="140"/>
        <v>350.18</v>
      </c>
      <c r="AF4528" t="str">
        <f t="shared" si="141"/>
        <v>2026-08</v>
      </c>
      <c r="AG4528">
        <f>SUBTOTAL(103,A4528)</f>
        <v>1</v>
      </c>
    </row>
    <row r="4529" spans="1:33" x14ac:dyDescent="0.3">
      <c r="A4529" t="s">
        <v>7152</v>
      </c>
      <c r="B4529" s="13">
        <v>46235</v>
      </c>
      <c r="C4529">
        <v>2026</v>
      </c>
      <c r="D4529">
        <v>8</v>
      </c>
      <c r="E4529" t="s">
        <v>4301</v>
      </c>
      <c r="F4529" t="s">
        <v>4047</v>
      </c>
      <c r="G4529" t="s">
        <v>1585</v>
      </c>
      <c r="H4529" t="s">
        <v>1586</v>
      </c>
      <c r="I4529" t="s">
        <v>85</v>
      </c>
      <c r="J4529">
        <v>34</v>
      </c>
      <c r="K4529" t="s">
        <v>81</v>
      </c>
      <c r="L4529" t="s">
        <v>100</v>
      </c>
      <c r="M4529" t="s">
        <v>56</v>
      </c>
      <c r="N4529" t="s">
        <v>2630</v>
      </c>
      <c r="O4529" t="s">
        <v>123</v>
      </c>
      <c r="P4529" t="s">
        <v>52</v>
      </c>
      <c r="Q4529" t="s">
        <v>146</v>
      </c>
      <c r="R4529">
        <v>1</v>
      </c>
      <c r="S4529">
        <v>2499</v>
      </c>
      <c r="T4529">
        <v>0.15</v>
      </c>
      <c r="U4529">
        <v>2124.15</v>
      </c>
      <c r="V4529">
        <v>1400</v>
      </c>
      <c r="W4529">
        <v>724.15</v>
      </c>
      <c r="X4529" t="s">
        <v>75</v>
      </c>
      <c r="Y4529" t="s">
        <v>69</v>
      </c>
      <c r="Z4529" t="s">
        <v>159</v>
      </c>
      <c r="AA4529" t="s">
        <v>169</v>
      </c>
      <c r="AB4529">
        <v>4.7</v>
      </c>
      <c r="AC4529">
        <v>50</v>
      </c>
      <c r="AD4529">
        <v>139.80000000000001</v>
      </c>
      <c r="AE4529">
        <f t="shared" si="140"/>
        <v>534.34999999999991</v>
      </c>
      <c r="AF4529" t="str">
        <f t="shared" si="141"/>
        <v>2026-08</v>
      </c>
      <c r="AG4529">
        <f>SUBTOTAL(103,A4529)</f>
        <v>1</v>
      </c>
    </row>
    <row r="4530" spans="1:33" x14ac:dyDescent="0.3">
      <c r="A4530" t="s">
        <v>7153</v>
      </c>
      <c r="B4530" s="13">
        <v>46235</v>
      </c>
      <c r="C4530">
        <v>2026</v>
      </c>
      <c r="D4530">
        <v>8</v>
      </c>
      <c r="E4530" t="s">
        <v>4301</v>
      </c>
      <c r="F4530" t="s">
        <v>4047</v>
      </c>
      <c r="G4530" t="s">
        <v>451</v>
      </c>
      <c r="H4530" t="s">
        <v>452</v>
      </c>
      <c r="I4530" t="s">
        <v>86</v>
      </c>
      <c r="J4530">
        <v>30</v>
      </c>
      <c r="K4530" t="s">
        <v>81</v>
      </c>
      <c r="L4530" t="s">
        <v>2661</v>
      </c>
      <c r="M4530" t="s">
        <v>58</v>
      </c>
      <c r="N4530" t="s">
        <v>2587</v>
      </c>
      <c r="O4530" t="s">
        <v>116</v>
      </c>
      <c r="P4530" t="s">
        <v>48</v>
      </c>
      <c r="Q4530" t="s">
        <v>138</v>
      </c>
      <c r="R4530">
        <v>1</v>
      </c>
      <c r="S4530">
        <v>14999</v>
      </c>
      <c r="T4530">
        <v>0.05</v>
      </c>
      <c r="U4530">
        <v>14249.05</v>
      </c>
      <c r="V4530">
        <v>11200</v>
      </c>
      <c r="W4530">
        <v>3049.05</v>
      </c>
      <c r="X4530" t="s">
        <v>75</v>
      </c>
      <c r="Y4530" t="s">
        <v>69</v>
      </c>
      <c r="Z4530" t="s">
        <v>158</v>
      </c>
      <c r="AA4530" t="s">
        <v>168</v>
      </c>
      <c r="AB4530">
        <v>3.6</v>
      </c>
      <c r="AC4530">
        <v>60</v>
      </c>
      <c r="AD4530">
        <v>462.17</v>
      </c>
      <c r="AE4530">
        <f t="shared" si="140"/>
        <v>2526.88</v>
      </c>
      <c r="AF4530" t="str">
        <f t="shared" si="141"/>
        <v>2026-08</v>
      </c>
      <c r="AG4530">
        <f>SUBTOTAL(103,A4530)</f>
        <v>1</v>
      </c>
    </row>
    <row r="4531" spans="1:33" x14ac:dyDescent="0.3">
      <c r="A4531" t="s">
        <v>7154</v>
      </c>
      <c r="B4531" s="13">
        <v>46236</v>
      </c>
      <c r="C4531">
        <v>2026</v>
      </c>
      <c r="D4531">
        <v>8</v>
      </c>
      <c r="E4531" t="s">
        <v>4301</v>
      </c>
      <c r="F4531" t="s">
        <v>4047</v>
      </c>
      <c r="G4531" t="s">
        <v>1223</v>
      </c>
      <c r="H4531" t="s">
        <v>1224</v>
      </c>
      <c r="I4531" t="s">
        <v>86</v>
      </c>
      <c r="J4531">
        <v>43</v>
      </c>
      <c r="K4531" t="s">
        <v>82</v>
      </c>
      <c r="L4531" t="s">
        <v>94</v>
      </c>
      <c r="M4531" t="s">
        <v>57</v>
      </c>
      <c r="N4531" t="s">
        <v>2626</v>
      </c>
      <c r="O4531" t="s">
        <v>125</v>
      </c>
      <c r="P4531" t="s">
        <v>48</v>
      </c>
      <c r="Q4531" t="s">
        <v>141</v>
      </c>
      <c r="R4531">
        <v>5</v>
      </c>
      <c r="S4531">
        <v>1999</v>
      </c>
      <c r="T4531">
        <v>0.1</v>
      </c>
      <c r="U4531">
        <v>8995.5</v>
      </c>
      <c r="V4531">
        <v>5750</v>
      </c>
      <c r="W4531">
        <v>3245.5</v>
      </c>
      <c r="X4531" t="s">
        <v>73</v>
      </c>
      <c r="Y4531" t="s">
        <v>68</v>
      </c>
      <c r="Z4531" t="s">
        <v>161</v>
      </c>
      <c r="AA4531" t="s">
        <v>166</v>
      </c>
      <c r="AB4531">
        <v>3</v>
      </c>
      <c r="AC4531">
        <v>50</v>
      </c>
      <c r="AD4531">
        <v>345.85</v>
      </c>
      <c r="AE4531">
        <f t="shared" si="140"/>
        <v>2849.65</v>
      </c>
      <c r="AF4531" t="str">
        <f t="shared" si="141"/>
        <v>2026-08</v>
      </c>
      <c r="AG4531">
        <f>SUBTOTAL(103,A4531)</f>
        <v>1</v>
      </c>
    </row>
    <row r="4532" spans="1:33" x14ac:dyDescent="0.3">
      <c r="A4532" t="s">
        <v>7155</v>
      </c>
      <c r="B4532" s="13">
        <v>46236</v>
      </c>
      <c r="C4532">
        <v>2026</v>
      </c>
      <c r="D4532">
        <v>8</v>
      </c>
      <c r="E4532" t="s">
        <v>4301</v>
      </c>
      <c r="F4532" t="s">
        <v>4047</v>
      </c>
      <c r="G4532" t="s">
        <v>1055</v>
      </c>
      <c r="H4532" t="s">
        <v>1056</v>
      </c>
      <c r="I4532" t="s">
        <v>86</v>
      </c>
      <c r="J4532">
        <v>52</v>
      </c>
      <c r="K4532" t="s">
        <v>83</v>
      </c>
      <c r="L4532" t="s">
        <v>2612</v>
      </c>
      <c r="M4532" t="s">
        <v>64</v>
      </c>
      <c r="N4532" t="s">
        <v>2574</v>
      </c>
      <c r="O4532" t="s">
        <v>130</v>
      </c>
      <c r="P4532" t="s">
        <v>50</v>
      </c>
      <c r="Q4532" t="s">
        <v>53</v>
      </c>
      <c r="R4532">
        <v>3</v>
      </c>
      <c r="S4532">
        <v>1199</v>
      </c>
      <c r="T4532">
        <v>0.05</v>
      </c>
      <c r="U4532">
        <v>3417.15</v>
      </c>
      <c r="V4532">
        <v>1650</v>
      </c>
      <c r="W4532">
        <v>1767.15</v>
      </c>
      <c r="X4532" t="s">
        <v>77</v>
      </c>
      <c r="Y4532" t="s">
        <v>68</v>
      </c>
      <c r="Z4532" t="s">
        <v>163</v>
      </c>
      <c r="AA4532" t="s">
        <v>166</v>
      </c>
      <c r="AB4532">
        <v>4.9000000000000004</v>
      </c>
      <c r="AC4532">
        <v>50</v>
      </c>
      <c r="AD4532">
        <v>118.45</v>
      </c>
      <c r="AE4532">
        <f t="shared" si="140"/>
        <v>1598.7</v>
      </c>
      <c r="AF4532" t="str">
        <f t="shared" si="141"/>
        <v>2026-08</v>
      </c>
      <c r="AG4532">
        <f>SUBTOTAL(103,A4532)</f>
        <v>1</v>
      </c>
    </row>
    <row r="4533" spans="1:33" x14ac:dyDescent="0.3">
      <c r="A4533" t="s">
        <v>7156</v>
      </c>
      <c r="B4533" s="13">
        <v>46236</v>
      </c>
      <c r="C4533">
        <v>2026</v>
      </c>
      <c r="D4533">
        <v>8</v>
      </c>
      <c r="E4533" t="s">
        <v>4301</v>
      </c>
      <c r="F4533" t="s">
        <v>4047</v>
      </c>
      <c r="G4533" t="s">
        <v>1215</v>
      </c>
      <c r="H4533" t="s">
        <v>1216</v>
      </c>
      <c r="I4533" t="s">
        <v>86</v>
      </c>
      <c r="J4533">
        <v>39</v>
      </c>
      <c r="K4533" t="s">
        <v>82</v>
      </c>
      <c r="L4533" t="s">
        <v>92</v>
      </c>
      <c r="M4533" t="s">
        <v>59</v>
      </c>
      <c r="N4533" t="s">
        <v>2587</v>
      </c>
      <c r="O4533" t="s">
        <v>116</v>
      </c>
      <c r="P4533" t="s">
        <v>48</v>
      </c>
      <c r="Q4533" t="s">
        <v>138</v>
      </c>
      <c r="R4533">
        <v>1</v>
      </c>
      <c r="S4533">
        <v>14999</v>
      </c>
      <c r="T4533">
        <v>0.05</v>
      </c>
      <c r="U4533">
        <v>0</v>
      </c>
      <c r="V4533">
        <v>0</v>
      </c>
      <c r="W4533">
        <v>0</v>
      </c>
      <c r="X4533" t="s">
        <v>73</v>
      </c>
      <c r="Y4533" t="s">
        <v>71</v>
      </c>
      <c r="Z4533" t="s">
        <v>161</v>
      </c>
      <c r="AA4533" t="s">
        <v>167</v>
      </c>
      <c r="AB4533">
        <v>4.7</v>
      </c>
      <c r="AC4533">
        <v>60</v>
      </c>
      <c r="AD4533">
        <v>1478.88</v>
      </c>
      <c r="AE4533">
        <f t="shared" si="140"/>
        <v>-1538.88</v>
      </c>
      <c r="AF4533" t="str">
        <f t="shared" si="141"/>
        <v>2026-08</v>
      </c>
      <c r="AG4533">
        <f>SUBTOTAL(103,A4533)</f>
        <v>1</v>
      </c>
    </row>
    <row r="4534" spans="1:33" x14ac:dyDescent="0.3">
      <c r="A4534" t="s">
        <v>7157</v>
      </c>
      <c r="B4534" s="13">
        <v>46236</v>
      </c>
      <c r="C4534">
        <v>2026</v>
      </c>
      <c r="D4534">
        <v>8</v>
      </c>
      <c r="E4534" t="s">
        <v>4301</v>
      </c>
      <c r="F4534" t="s">
        <v>4047</v>
      </c>
      <c r="G4534" t="s">
        <v>1357</v>
      </c>
      <c r="H4534" t="s">
        <v>1358</v>
      </c>
      <c r="I4534" t="s">
        <v>85</v>
      </c>
      <c r="J4534">
        <v>41</v>
      </c>
      <c r="K4534" t="s">
        <v>82</v>
      </c>
      <c r="L4534" t="s">
        <v>2634</v>
      </c>
      <c r="M4534" t="s">
        <v>56</v>
      </c>
      <c r="N4534" t="s">
        <v>2626</v>
      </c>
      <c r="O4534" t="s">
        <v>125</v>
      </c>
      <c r="P4534" t="s">
        <v>48</v>
      </c>
      <c r="Q4534" t="s">
        <v>141</v>
      </c>
      <c r="R4534">
        <v>1</v>
      </c>
      <c r="S4534">
        <v>1999</v>
      </c>
      <c r="T4534">
        <v>0</v>
      </c>
      <c r="U4534">
        <v>1999</v>
      </c>
      <c r="V4534">
        <v>1150</v>
      </c>
      <c r="W4534">
        <v>849</v>
      </c>
      <c r="X4534" t="s">
        <v>76</v>
      </c>
      <c r="Y4534" t="s">
        <v>68</v>
      </c>
      <c r="Z4534" t="s">
        <v>158</v>
      </c>
      <c r="AA4534" t="s">
        <v>168</v>
      </c>
      <c r="AB4534">
        <v>3.8</v>
      </c>
      <c r="AC4534">
        <v>40</v>
      </c>
      <c r="AD4534">
        <v>169.1</v>
      </c>
      <c r="AE4534">
        <f t="shared" si="140"/>
        <v>639.9</v>
      </c>
      <c r="AF4534" t="str">
        <f t="shared" si="141"/>
        <v>2026-08</v>
      </c>
      <c r="AG4534">
        <f>SUBTOTAL(103,A4534)</f>
        <v>1</v>
      </c>
    </row>
    <row r="4535" spans="1:33" x14ac:dyDescent="0.3">
      <c r="A4535" t="s">
        <v>7158</v>
      </c>
      <c r="B4535" s="13">
        <v>46236</v>
      </c>
      <c r="C4535">
        <v>2026</v>
      </c>
      <c r="D4535">
        <v>8</v>
      </c>
      <c r="E4535" t="s">
        <v>4301</v>
      </c>
      <c r="F4535" t="s">
        <v>4047</v>
      </c>
      <c r="G4535" t="s">
        <v>565</v>
      </c>
      <c r="H4535" t="s">
        <v>566</v>
      </c>
      <c r="I4535" t="s">
        <v>86</v>
      </c>
      <c r="J4535">
        <v>29</v>
      </c>
      <c r="K4535" t="s">
        <v>81</v>
      </c>
      <c r="L4535" t="s">
        <v>2610</v>
      </c>
      <c r="M4535" t="s">
        <v>64</v>
      </c>
      <c r="N4535" t="s">
        <v>2644</v>
      </c>
      <c r="O4535" t="s">
        <v>126</v>
      </c>
      <c r="P4535" t="s">
        <v>50</v>
      </c>
      <c r="Q4535" t="s">
        <v>145</v>
      </c>
      <c r="R4535">
        <v>3</v>
      </c>
      <c r="S4535">
        <v>1799</v>
      </c>
      <c r="T4535">
        <v>0.1</v>
      </c>
      <c r="U4535">
        <v>4857.3</v>
      </c>
      <c r="V4535">
        <v>2850</v>
      </c>
      <c r="W4535">
        <v>2007.3</v>
      </c>
      <c r="X4535" t="s">
        <v>74</v>
      </c>
      <c r="Y4535" t="s">
        <v>68</v>
      </c>
      <c r="Z4535" t="s">
        <v>162</v>
      </c>
      <c r="AA4535" t="s">
        <v>168</v>
      </c>
      <c r="AB4535">
        <v>5</v>
      </c>
      <c r="AC4535">
        <v>80</v>
      </c>
      <c r="AD4535">
        <v>213.83</v>
      </c>
      <c r="AE4535">
        <f t="shared" si="140"/>
        <v>1713.47</v>
      </c>
      <c r="AF4535" t="str">
        <f t="shared" si="141"/>
        <v>2026-08</v>
      </c>
      <c r="AG4535">
        <f>SUBTOTAL(103,A4535)</f>
        <v>1</v>
      </c>
    </row>
    <row r="4536" spans="1:33" x14ac:dyDescent="0.3">
      <c r="A4536" t="s">
        <v>7159</v>
      </c>
      <c r="B4536" s="13">
        <v>46236</v>
      </c>
      <c r="C4536">
        <v>2026</v>
      </c>
      <c r="D4536">
        <v>8</v>
      </c>
      <c r="E4536" t="s">
        <v>4301</v>
      </c>
      <c r="F4536" t="s">
        <v>4047</v>
      </c>
      <c r="G4536" t="s">
        <v>1303</v>
      </c>
      <c r="H4536" t="s">
        <v>1304</v>
      </c>
      <c r="I4536" t="s">
        <v>86</v>
      </c>
      <c r="J4536">
        <v>21</v>
      </c>
      <c r="K4536" t="s">
        <v>80</v>
      </c>
      <c r="L4536" t="s">
        <v>94</v>
      </c>
      <c r="M4536" t="s">
        <v>57</v>
      </c>
      <c r="N4536" t="s">
        <v>2626</v>
      </c>
      <c r="O4536" t="s">
        <v>125</v>
      </c>
      <c r="P4536" t="s">
        <v>48</v>
      </c>
      <c r="Q4536" t="s">
        <v>141</v>
      </c>
      <c r="R4536">
        <v>1</v>
      </c>
      <c r="S4536">
        <v>1999</v>
      </c>
      <c r="T4536">
        <v>0.05</v>
      </c>
      <c r="U4536">
        <v>1899.05</v>
      </c>
      <c r="V4536">
        <v>1150</v>
      </c>
      <c r="W4536">
        <v>749.05</v>
      </c>
      <c r="X4536" t="s">
        <v>74</v>
      </c>
      <c r="Y4536" t="s">
        <v>68</v>
      </c>
      <c r="Z4536" t="s">
        <v>162</v>
      </c>
      <c r="AA4536" t="s">
        <v>171</v>
      </c>
      <c r="AB4536">
        <v>4.5</v>
      </c>
      <c r="AC4536">
        <v>50</v>
      </c>
      <c r="AD4536">
        <v>224.4</v>
      </c>
      <c r="AE4536">
        <f t="shared" si="140"/>
        <v>474.65</v>
      </c>
      <c r="AF4536" t="str">
        <f t="shared" si="141"/>
        <v>2026-08</v>
      </c>
      <c r="AG4536">
        <f>SUBTOTAL(103,A4536)</f>
        <v>1</v>
      </c>
    </row>
    <row r="4537" spans="1:33" x14ac:dyDescent="0.3">
      <c r="A4537" t="s">
        <v>7160</v>
      </c>
      <c r="B4537" s="13">
        <v>46236</v>
      </c>
      <c r="C4537">
        <v>2026</v>
      </c>
      <c r="D4537">
        <v>8</v>
      </c>
      <c r="E4537" t="s">
        <v>4301</v>
      </c>
      <c r="F4537" t="s">
        <v>4047</v>
      </c>
      <c r="G4537" t="s">
        <v>1387</v>
      </c>
      <c r="H4537" t="s">
        <v>1388</v>
      </c>
      <c r="I4537" t="s">
        <v>86</v>
      </c>
      <c r="J4537">
        <v>27</v>
      </c>
      <c r="K4537" t="s">
        <v>81</v>
      </c>
      <c r="L4537" t="s">
        <v>2599</v>
      </c>
      <c r="M4537" t="s">
        <v>62</v>
      </c>
      <c r="N4537" t="s">
        <v>2574</v>
      </c>
      <c r="O4537" t="s">
        <v>130</v>
      </c>
      <c r="P4537" t="s">
        <v>50</v>
      </c>
      <c r="Q4537" t="s">
        <v>53</v>
      </c>
      <c r="R4537">
        <v>1</v>
      </c>
      <c r="S4537">
        <v>1199</v>
      </c>
      <c r="T4537">
        <v>0.1</v>
      </c>
      <c r="U4537">
        <v>1079.0999999999999</v>
      </c>
      <c r="V4537">
        <v>550</v>
      </c>
      <c r="W4537">
        <v>529.1</v>
      </c>
      <c r="X4537" t="s">
        <v>74</v>
      </c>
      <c r="Y4537" t="s">
        <v>68</v>
      </c>
      <c r="Z4537" t="s">
        <v>159</v>
      </c>
      <c r="AA4537" t="s">
        <v>166</v>
      </c>
      <c r="AB4537">
        <v>3.8</v>
      </c>
      <c r="AC4537">
        <v>100</v>
      </c>
      <c r="AD4537">
        <v>39.85</v>
      </c>
      <c r="AE4537">
        <f t="shared" si="140"/>
        <v>389.25</v>
      </c>
      <c r="AF4537" t="str">
        <f t="shared" si="141"/>
        <v>2026-08</v>
      </c>
      <c r="AG4537">
        <f>SUBTOTAL(103,A4537)</f>
        <v>1</v>
      </c>
    </row>
    <row r="4538" spans="1:33" x14ac:dyDescent="0.3">
      <c r="A4538" t="s">
        <v>7161</v>
      </c>
      <c r="B4538" s="13">
        <v>46237</v>
      </c>
      <c r="C4538">
        <v>2026</v>
      </c>
      <c r="D4538">
        <v>8</v>
      </c>
      <c r="E4538" t="s">
        <v>4301</v>
      </c>
      <c r="F4538" t="s">
        <v>4047</v>
      </c>
      <c r="G4538" t="s">
        <v>1183</v>
      </c>
      <c r="H4538" t="s">
        <v>1184</v>
      </c>
      <c r="I4538" t="s">
        <v>86</v>
      </c>
      <c r="J4538">
        <v>48</v>
      </c>
      <c r="K4538" t="s">
        <v>83</v>
      </c>
      <c r="L4538" t="s">
        <v>90</v>
      </c>
      <c r="M4538" t="s">
        <v>55</v>
      </c>
      <c r="N4538" t="s">
        <v>2592</v>
      </c>
      <c r="O4538" t="s">
        <v>115</v>
      </c>
      <c r="P4538" t="s">
        <v>48</v>
      </c>
      <c r="Q4538" t="s">
        <v>137</v>
      </c>
      <c r="R4538">
        <v>1</v>
      </c>
      <c r="S4538">
        <v>12999</v>
      </c>
      <c r="T4538">
        <v>0.05</v>
      </c>
      <c r="U4538">
        <v>12349.05</v>
      </c>
      <c r="V4538">
        <v>9000</v>
      </c>
      <c r="W4538">
        <v>3349.05</v>
      </c>
      <c r="X4538" t="s">
        <v>73</v>
      </c>
      <c r="Y4538" t="s">
        <v>68</v>
      </c>
      <c r="Z4538" t="s">
        <v>162</v>
      </c>
      <c r="AA4538" t="s">
        <v>170</v>
      </c>
      <c r="AB4538">
        <v>3.1</v>
      </c>
      <c r="AC4538">
        <v>100</v>
      </c>
      <c r="AD4538">
        <v>358.31</v>
      </c>
      <c r="AE4538">
        <f t="shared" si="140"/>
        <v>2890.7400000000002</v>
      </c>
      <c r="AF4538" t="str">
        <f t="shared" si="141"/>
        <v>2026-08</v>
      </c>
      <c r="AG4538">
        <f>SUBTOTAL(103,A4538)</f>
        <v>1</v>
      </c>
    </row>
    <row r="4539" spans="1:33" x14ac:dyDescent="0.3">
      <c r="A4539" t="s">
        <v>7162</v>
      </c>
      <c r="B4539" s="13">
        <v>46237</v>
      </c>
      <c r="C4539">
        <v>2026</v>
      </c>
      <c r="D4539">
        <v>8</v>
      </c>
      <c r="E4539" t="s">
        <v>4301</v>
      </c>
      <c r="F4539" t="s">
        <v>4047</v>
      </c>
      <c r="G4539" t="s">
        <v>951</v>
      </c>
      <c r="H4539" t="s">
        <v>952</v>
      </c>
      <c r="I4539" t="s">
        <v>85</v>
      </c>
      <c r="J4539">
        <v>49</v>
      </c>
      <c r="K4539" t="s">
        <v>83</v>
      </c>
      <c r="L4539" t="s">
        <v>90</v>
      </c>
      <c r="M4539" t="s">
        <v>55</v>
      </c>
      <c r="N4539" t="s">
        <v>2657</v>
      </c>
      <c r="O4539" t="s">
        <v>134</v>
      </c>
      <c r="P4539" t="s">
        <v>49</v>
      </c>
      <c r="Q4539" t="s">
        <v>140</v>
      </c>
      <c r="R4539">
        <v>4</v>
      </c>
      <c r="S4539">
        <v>599</v>
      </c>
      <c r="T4539">
        <v>0.1</v>
      </c>
      <c r="U4539">
        <v>2156.4</v>
      </c>
      <c r="V4539">
        <v>1000</v>
      </c>
      <c r="W4539">
        <v>1156.4000000000001</v>
      </c>
      <c r="X4539" t="s">
        <v>73</v>
      </c>
      <c r="Y4539" t="s">
        <v>68</v>
      </c>
      <c r="Z4539" t="s">
        <v>158</v>
      </c>
      <c r="AA4539" t="s">
        <v>169</v>
      </c>
      <c r="AB4539">
        <v>3</v>
      </c>
      <c r="AC4539">
        <v>100</v>
      </c>
      <c r="AD4539">
        <v>174.17</v>
      </c>
      <c r="AE4539">
        <f t="shared" si="140"/>
        <v>882.23000000000013</v>
      </c>
      <c r="AF4539" t="str">
        <f t="shared" si="141"/>
        <v>2026-08</v>
      </c>
      <c r="AG4539">
        <f>SUBTOTAL(103,A4539)</f>
        <v>1</v>
      </c>
    </row>
    <row r="4540" spans="1:33" x14ac:dyDescent="0.3">
      <c r="A4540" t="s">
        <v>7163</v>
      </c>
      <c r="B4540" s="13">
        <v>46237</v>
      </c>
      <c r="C4540">
        <v>2026</v>
      </c>
      <c r="D4540">
        <v>8</v>
      </c>
      <c r="E4540" t="s">
        <v>4301</v>
      </c>
      <c r="F4540" t="s">
        <v>4047</v>
      </c>
      <c r="G4540" t="s">
        <v>507</v>
      </c>
      <c r="H4540" t="s">
        <v>508</v>
      </c>
      <c r="I4540" t="s">
        <v>86</v>
      </c>
      <c r="J4540">
        <v>31</v>
      </c>
      <c r="K4540" t="s">
        <v>81</v>
      </c>
      <c r="L4540" t="s">
        <v>2576</v>
      </c>
      <c r="M4540" t="s">
        <v>60</v>
      </c>
      <c r="N4540" t="s">
        <v>2653</v>
      </c>
      <c r="O4540" t="s">
        <v>132</v>
      </c>
      <c r="P4540" t="s">
        <v>52</v>
      </c>
      <c r="Q4540" t="s">
        <v>150</v>
      </c>
      <c r="R4540">
        <v>3</v>
      </c>
      <c r="S4540">
        <v>899</v>
      </c>
      <c r="T4540">
        <v>0.05</v>
      </c>
      <c r="U4540">
        <v>2562.15</v>
      </c>
      <c r="V4540">
        <v>1260</v>
      </c>
      <c r="W4540">
        <v>1302.1500000000001</v>
      </c>
      <c r="X4540" t="s">
        <v>73</v>
      </c>
      <c r="Y4540" t="s">
        <v>68</v>
      </c>
      <c r="Z4540" t="s">
        <v>159</v>
      </c>
      <c r="AA4540" t="s">
        <v>168</v>
      </c>
      <c r="AB4540">
        <v>3.6</v>
      </c>
      <c r="AC4540">
        <v>60</v>
      </c>
      <c r="AD4540">
        <v>108.98</v>
      </c>
      <c r="AE4540">
        <f t="shared" si="140"/>
        <v>1133.17</v>
      </c>
      <c r="AF4540" t="str">
        <f t="shared" si="141"/>
        <v>2026-08</v>
      </c>
      <c r="AG4540">
        <f>SUBTOTAL(103,A4540)</f>
        <v>1</v>
      </c>
    </row>
    <row r="4541" spans="1:33" x14ac:dyDescent="0.3">
      <c r="A4541" t="s">
        <v>7164</v>
      </c>
      <c r="B4541" s="13">
        <v>46237</v>
      </c>
      <c r="C4541">
        <v>2026</v>
      </c>
      <c r="D4541">
        <v>8</v>
      </c>
      <c r="E4541" t="s">
        <v>4301</v>
      </c>
      <c r="F4541" t="s">
        <v>4047</v>
      </c>
      <c r="G4541" t="s">
        <v>1973</v>
      </c>
      <c r="H4541" t="s">
        <v>1974</v>
      </c>
      <c r="I4541" t="s">
        <v>85</v>
      </c>
      <c r="J4541">
        <v>19</v>
      </c>
      <c r="K4541" t="s">
        <v>80</v>
      </c>
      <c r="L4541" t="s">
        <v>59</v>
      </c>
      <c r="M4541" t="s">
        <v>59</v>
      </c>
      <c r="N4541" t="s">
        <v>2630</v>
      </c>
      <c r="O4541" t="s">
        <v>123</v>
      </c>
      <c r="P4541" t="s">
        <v>52</v>
      </c>
      <c r="Q4541" t="s">
        <v>146</v>
      </c>
      <c r="R4541">
        <v>3</v>
      </c>
      <c r="S4541">
        <v>2499</v>
      </c>
      <c r="T4541">
        <v>0.1</v>
      </c>
      <c r="U4541">
        <v>6747.3</v>
      </c>
      <c r="V4541">
        <v>4200</v>
      </c>
      <c r="W4541">
        <v>2547.3000000000002</v>
      </c>
      <c r="X4541" t="s">
        <v>73</v>
      </c>
      <c r="Y4541" t="s">
        <v>69</v>
      </c>
      <c r="Z4541" t="s">
        <v>159</v>
      </c>
      <c r="AA4541" t="s">
        <v>170</v>
      </c>
      <c r="AB4541">
        <v>4.9000000000000004</v>
      </c>
      <c r="AC4541">
        <v>80</v>
      </c>
      <c r="AD4541">
        <v>382.81</v>
      </c>
      <c r="AE4541">
        <f t="shared" si="140"/>
        <v>2084.4900000000002</v>
      </c>
      <c r="AF4541" t="str">
        <f t="shared" si="141"/>
        <v>2026-08</v>
      </c>
      <c r="AG4541">
        <f>SUBTOTAL(103,A4541)</f>
        <v>1</v>
      </c>
    </row>
    <row r="4542" spans="1:33" x14ac:dyDescent="0.3">
      <c r="A4542" t="s">
        <v>7165</v>
      </c>
      <c r="B4542" s="13">
        <v>46237</v>
      </c>
      <c r="C4542">
        <v>2026</v>
      </c>
      <c r="D4542">
        <v>8</v>
      </c>
      <c r="E4542" t="s">
        <v>4301</v>
      </c>
      <c r="F4542" t="s">
        <v>4047</v>
      </c>
      <c r="G4542" t="s">
        <v>365</v>
      </c>
      <c r="H4542" t="s">
        <v>366</v>
      </c>
      <c r="I4542" t="s">
        <v>86</v>
      </c>
      <c r="J4542">
        <v>22</v>
      </c>
      <c r="K4542" t="s">
        <v>80</v>
      </c>
      <c r="L4542" t="s">
        <v>91</v>
      </c>
      <c r="M4542" t="s">
        <v>55</v>
      </c>
      <c r="N4542" t="s">
        <v>2644</v>
      </c>
      <c r="O4542" t="s">
        <v>126</v>
      </c>
      <c r="P4542" t="s">
        <v>50</v>
      </c>
      <c r="Q4542" t="s">
        <v>145</v>
      </c>
      <c r="R4542">
        <v>2</v>
      </c>
      <c r="S4542">
        <v>1799</v>
      </c>
      <c r="T4542">
        <v>0.2</v>
      </c>
      <c r="U4542">
        <v>2878.4</v>
      </c>
      <c r="V4542">
        <v>1900</v>
      </c>
      <c r="W4542">
        <v>978.4</v>
      </c>
      <c r="X4542" t="s">
        <v>77</v>
      </c>
      <c r="Y4542" t="s">
        <v>68</v>
      </c>
      <c r="Z4542" t="s">
        <v>158</v>
      </c>
      <c r="AA4542" t="s">
        <v>170</v>
      </c>
      <c r="AB4542">
        <v>4</v>
      </c>
      <c r="AC4542">
        <v>80</v>
      </c>
      <c r="AD4542">
        <v>226.49</v>
      </c>
      <c r="AE4542">
        <f t="shared" si="140"/>
        <v>671.91</v>
      </c>
      <c r="AF4542" t="str">
        <f t="shared" si="141"/>
        <v>2026-08</v>
      </c>
      <c r="AG4542">
        <f>SUBTOTAL(103,A4542)</f>
        <v>1</v>
      </c>
    </row>
    <row r="4543" spans="1:33" x14ac:dyDescent="0.3">
      <c r="A4543" t="s">
        <v>7166</v>
      </c>
      <c r="B4543" s="13">
        <v>46237</v>
      </c>
      <c r="C4543">
        <v>2026</v>
      </c>
      <c r="D4543">
        <v>8</v>
      </c>
      <c r="E4543" t="s">
        <v>4301</v>
      </c>
      <c r="F4543" t="s">
        <v>4047</v>
      </c>
      <c r="G4543" t="s">
        <v>393</v>
      </c>
      <c r="H4543" t="s">
        <v>394</v>
      </c>
      <c r="I4543" t="s">
        <v>85</v>
      </c>
      <c r="J4543">
        <v>33</v>
      </c>
      <c r="K4543" t="s">
        <v>81</v>
      </c>
      <c r="L4543" t="s">
        <v>99</v>
      </c>
      <c r="M4543" t="s">
        <v>58</v>
      </c>
      <c r="N4543" t="s">
        <v>2601</v>
      </c>
      <c r="O4543" t="s">
        <v>117</v>
      </c>
      <c r="P4543" t="s">
        <v>49</v>
      </c>
      <c r="Q4543" t="s">
        <v>139</v>
      </c>
      <c r="R4543">
        <v>1</v>
      </c>
      <c r="S4543">
        <v>6999</v>
      </c>
      <c r="T4543">
        <v>0.15</v>
      </c>
      <c r="U4543">
        <v>5949.15</v>
      </c>
      <c r="V4543">
        <v>4300</v>
      </c>
      <c r="W4543">
        <v>1649.15</v>
      </c>
      <c r="X4543" t="s">
        <v>76</v>
      </c>
      <c r="Y4543" t="s">
        <v>68</v>
      </c>
      <c r="Z4543" t="s">
        <v>161</v>
      </c>
      <c r="AA4543" t="s">
        <v>169</v>
      </c>
      <c r="AB4543">
        <v>3</v>
      </c>
      <c r="AC4543">
        <v>80</v>
      </c>
      <c r="AD4543">
        <v>176.88</v>
      </c>
      <c r="AE4543">
        <f t="shared" si="140"/>
        <v>1392.27</v>
      </c>
      <c r="AF4543" t="str">
        <f t="shared" si="141"/>
        <v>2026-08</v>
      </c>
      <c r="AG4543">
        <f>SUBTOTAL(103,A4543)</f>
        <v>1</v>
      </c>
    </row>
    <row r="4544" spans="1:33" x14ac:dyDescent="0.3">
      <c r="A4544" t="s">
        <v>7167</v>
      </c>
      <c r="B4544" s="13">
        <v>46237</v>
      </c>
      <c r="C4544">
        <v>2026</v>
      </c>
      <c r="D4544">
        <v>8</v>
      </c>
      <c r="E4544" t="s">
        <v>4301</v>
      </c>
      <c r="F4544" t="s">
        <v>4047</v>
      </c>
      <c r="G4544" t="s">
        <v>245</v>
      </c>
      <c r="H4544" t="s">
        <v>246</v>
      </c>
      <c r="I4544" t="s">
        <v>85</v>
      </c>
      <c r="J4544">
        <v>53</v>
      </c>
      <c r="K4544" t="s">
        <v>83</v>
      </c>
      <c r="L4544" t="s">
        <v>90</v>
      </c>
      <c r="M4544" t="s">
        <v>55</v>
      </c>
      <c r="N4544" t="s">
        <v>2582</v>
      </c>
      <c r="O4544" t="s">
        <v>119</v>
      </c>
      <c r="P4544" t="s">
        <v>49</v>
      </c>
      <c r="Q4544" t="s">
        <v>140</v>
      </c>
      <c r="R4544">
        <v>3</v>
      </c>
      <c r="S4544">
        <v>3499</v>
      </c>
      <c r="T4544">
        <v>0.1</v>
      </c>
      <c r="U4544">
        <v>9447.2999999999993</v>
      </c>
      <c r="V4544">
        <v>6300</v>
      </c>
      <c r="W4544">
        <v>3147.3</v>
      </c>
      <c r="X4544" t="s">
        <v>73</v>
      </c>
      <c r="Y4544" t="s">
        <v>68</v>
      </c>
      <c r="Z4544" t="s">
        <v>160</v>
      </c>
      <c r="AA4544" t="s">
        <v>166</v>
      </c>
      <c r="AB4544">
        <v>3.6</v>
      </c>
      <c r="AC4544">
        <v>50</v>
      </c>
      <c r="AD4544">
        <v>419.96</v>
      </c>
      <c r="AE4544">
        <f t="shared" si="140"/>
        <v>2677.34</v>
      </c>
      <c r="AF4544" t="str">
        <f t="shared" si="141"/>
        <v>2026-08</v>
      </c>
      <c r="AG4544">
        <f>SUBTOTAL(103,A4544)</f>
        <v>1</v>
      </c>
    </row>
    <row r="4545" spans="1:33" x14ac:dyDescent="0.3">
      <c r="A4545" t="s">
        <v>7168</v>
      </c>
      <c r="B4545" s="13">
        <v>46238</v>
      </c>
      <c r="C4545">
        <v>2026</v>
      </c>
      <c r="D4545">
        <v>8</v>
      </c>
      <c r="E4545" t="s">
        <v>4301</v>
      </c>
      <c r="F4545" t="s">
        <v>4047</v>
      </c>
      <c r="G4545" t="s">
        <v>1145</v>
      </c>
      <c r="H4545" t="s">
        <v>1146</v>
      </c>
      <c r="I4545" t="s">
        <v>85</v>
      </c>
      <c r="J4545">
        <v>52</v>
      </c>
      <c r="K4545" t="s">
        <v>83</v>
      </c>
      <c r="L4545" t="s">
        <v>2634</v>
      </c>
      <c r="M4545" t="s">
        <v>56</v>
      </c>
      <c r="N4545" t="s">
        <v>2644</v>
      </c>
      <c r="O4545" t="s">
        <v>126</v>
      </c>
      <c r="P4545" t="s">
        <v>50</v>
      </c>
      <c r="Q4545" t="s">
        <v>145</v>
      </c>
      <c r="R4545">
        <v>2</v>
      </c>
      <c r="S4545">
        <v>1799</v>
      </c>
      <c r="T4545">
        <v>0.2</v>
      </c>
      <c r="U4545">
        <v>2878.4</v>
      </c>
      <c r="V4545">
        <v>1900</v>
      </c>
      <c r="W4545">
        <v>978.4</v>
      </c>
      <c r="X4545" t="s">
        <v>76</v>
      </c>
      <c r="Y4545" t="s">
        <v>68</v>
      </c>
      <c r="Z4545" t="s">
        <v>159</v>
      </c>
      <c r="AA4545" t="s">
        <v>170</v>
      </c>
      <c r="AB4545">
        <v>3.5</v>
      </c>
      <c r="AC4545">
        <v>100</v>
      </c>
      <c r="AD4545">
        <v>234.16</v>
      </c>
      <c r="AE4545">
        <f t="shared" si="140"/>
        <v>644.24</v>
      </c>
      <c r="AF4545" t="str">
        <f t="shared" si="141"/>
        <v>2026-08</v>
      </c>
      <c r="AG4545">
        <f>SUBTOTAL(103,A4545)</f>
        <v>1</v>
      </c>
    </row>
    <row r="4546" spans="1:33" x14ac:dyDescent="0.3">
      <c r="A4546" t="s">
        <v>7169</v>
      </c>
      <c r="B4546" s="13">
        <v>46238</v>
      </c>
      <c r="C4546">
        <v>2026</v>
      </c>
      <c r="D4546">
        <v>8</v>
      </c>
      <c r="E4546" t="s">
        <v>4301</v>
      </c>
      <c r="F4546" t="s">
        <v>4047</v>
      </c>
      <c r="G4546" t="s">
        <v>1621</v>
      </c>
      <c r="H4546" t="s">
        <v>1622</v>
      </c>
      <c r="I4546" t="s">
        <v>85</v>
      </c>
      <c r="J4546">
        <v>56</v>
      </c>
      <c r="K4546" t="s">
        <v>83</v>
      </c>
      <c r="L4546" t="s">
        <v>93</v>
      </c>
      <c r="M4546" t="s">
        <v>55</v>
      </c>
      <c r="N4546" t="s">
        <v>2626</v>
      </c>
      <c r="O4546" t="s">
        <v>125</v>
      </c>
      <c r="P4546" t="s">
        <v>48</v>
      </c>
      <c r="Q4546" t="s">
        <v>141</v>
      </c>
      <c r="R4546">
        <v>1</v>
      </c>
      <c r="S4546">
        <v>1999</v>
      </c>
      <c r="T4546">
        <v>0</v>
      </c>
      <c r="U4546">
        <v>1999</v>
      </c>
      <c r="V4546">
        <v>1150</v>
      </c>
      <c r="W4546">
        <v>849</v>
      </c>
      <c r="X4546" t="s">
        <v>75</v>
      </c>
      <c r="Y4546" t="s">
        <v>68</v>
      </c>
      <c r="Z4546" t="s">
        <v>158</v>
      </c>
      <c r="AA4546" t="s">
        <v>167</v>
      </c>
      <c r="AB4546">
        <v>5</v>
      </c>
      <c r="AC4546">
        <v>60</v>
      </c>
      <c r="AD4546">
        <v>106.85</v>
      </c>
      <c r="AE4546">
        <f t="shared" ref="AE4546:AE4609" si="142">W4546-AC4546-AD4546</f>
        <v>682.15</v>
      </c>
      <c r="AF4546" t="str">
        <f t="shared" ref="AF4546:AF4609" si="143">C4546&amp;"-"&amp;TEXT(D4546,"00")</f>
        <v>2026-08</v>
      </c>
      <c r="AG4546">
        <f>SUBTOTAL(103,A4546)</f>
        <v>1</v>
      </c>
    </row>
    <row r="4547" spans="1:33" x14ac:dyDescent="0.3">
      <c r="A4547" t="s">
        <v>7170</v>
      </c>
      <c r="B4547" s="13">
        <v>46238</v>
      </c>
      <c r="C4547">
        <v>2026</v>
      </c>
      <c r="D4547">
        <v>8</v>
      </c>
      <c r="E4547" t="s">
        <v>4301</v>
      </c>
      <c r="F4547" t="s">
        <v>4047</v>
      </c>
      <c r="G4547" t="s">
        <v>1905</v>
      </c>
      <c r="H4547" t="s">
        <v>1906</v>
      </c>
      <c r="I4547" t="s">
        <v>86</v>
      </c>
      <c r="J4547">
        <v>33</v>
      </c>
      <c r="K4547" t="s">
        <v>81</v>
      </c>
      <c r="L4547" t="s">
        <v>59</v>
      </c>
      <c r="M4547" t="s">
        <v>59</v>
      </c>
      <c r="N4547" t="s">
        <v>2584</v>
      </c>
      <c r="O4547" t="s">
        <v>121</v>
      </c>
      <c r="P4547" t="s">
        <v>50</v>
      </c>
      <c r="Q4547" t="s">
        <v>144</v>
      </c>
      <c r="R4547">
        <v>1</v>
      </c>
      <c r="S4547">
        <v>2999</v>
      </c>
      <c r="T4547">
        <v>0.15</v>
      </c>
      <c r="U4547">
        <v>2549.15</v>
      </c>
      <c r="V4547">
        <v>1700</v>
      </c>
      <c r="W4547">
        <v>849.15</v>
      </c>
      <c r="X4547" t="s">
        <v>76</v>
      </c>
      <c r="Y4547" t="s">
        <v>68</v>
      </c>
      <c r="Z4547" t="s">
        <v>158</v>
      </c>
      <c r="AA4547" t="s">
        <v>166</v>
      </c>
      <c r="AB4547">
        <v>3.9</v>
      </c>
      <c r="AC4547">
        <v>60</v>
      </c>
      <c r="AD4547">
        <v>150.80000000000001</v>
      </c>
      <c r="AE4547">
        <f t="shared" si="142"/>
        <v>638.34999999999991</v>
      </c>
      <c r="AF4547" t="str">
        <f t="shared" si="143"/>
        <v>2026-08</v>
      </c>
      <c r="AG4547">
        <f>SUBTOTAL(103,A4547)</f>
        <v>1</v>
      </c>
    </row>
    <row r="4548" spans="1:33" x14ac:dyDescent="0.3">
      <c r="A4548" t="s">
        <v>7171</v>
      </c>
      <c r="B4548" s="13">
        <v>46238</v>
      </c>
      <c r="C4548">
        <v>2026</v>
      </c>
      <c r="D4548">
        <v>8</v>
      </c>
      <c r="E4548" t="s">
        <v>4301</v>
      </c>
      <c r="F4548" t="s">
        <v>4047</v>
      </c>
      <c r="G4548" t="s">
        <v>289</v>
      </c>
      <c r="H4548" t="s">
        <v>290</v>
      </c>
      <c r="I4548" t="s">
        <v>86</v>
      </c>
      <c r="J4548">
        <v>24</v>
      </c>
      <c r="K4548" t="s">
        <v>80</v>
      </c>
      <c r="L4548" t="s">
        <v>2579</v>
      </c>
      <c r="M4548" t="s">
        <v>56</v>
      </c>
      <c r="N4548" t="s">
        <v>2596</v>
      </c>
      <c r="O4548" t="s">
        <v>124</v>
      </c>
      <c r="P4548" t="s">
        <v>51</v>
      </c>
      <c r="Q4548" t="s">
        <v>147</v>
      </c>
      <c r="R4548">
        <v>1</v>
      </c>
      <c r="S4548">
        <v>2299</v>
      </c>
      <c r="T4548">
        <v>0.1</v>
      </c>
      <c r="U4548">
        <v>2069.1</v>
      </c>
      <c r="V4548">
        <v>1200</v>
      </c>
      <c r="W4548">
        <v>869.1</v>
      </c>
      <c r="X4548" t="s">
        <v>73</v>
      </c>
      <c r="Y4548" t="s">
        <v>68</v>
      </c>
      <c r="Z4548" t="s">
        <v>160</v>
      </c>
      <c r="AA4548" t="s">
        <v>166</v>
      </c>
      <c r="AB4548">
        <v>4.8</v>
      </c>
      <c r="AC4548">
        <v>40</v>
      </c>
      <c r="AD4548">
        <v>244.24</v>
      </c>
      <c r="AE4548">
        <f t="shared" si="142"/>
        <v>584.86</v>
      </c>
      <c r="AF4548" t="str">
        <f t="shared" si="143"/>
        <v>2026-08</v>
      </c>
      <c r="AG4548">
        <f>SUBTOTAL(103,A4548)</f>
        <v>1</v>
      </c>
    </row>
    <row r="4549" spans="1:33" x14ac:dyDescent="0.3">
      <c r="A4549" t="s">
        <v>7172</v>
      </c>
      <c r="B4549" s="13">
        <v>46238</v>
      </c>
      <c r="C4549">
        <v>2026</v>
      </c>
      <c r="D4549">
        <v>8</v>
      </c>
      <c r="E4549" t="s">
        <v>4301</v>
      </c>
      <c r="F4549" t="s">
        <v>4047</v>
      </c>
      <c r="G4549" t="s">
        <v>1167</v>
      </c>
      <c r="H4549" t="s">
        <v>1168</v>
      </c>
      <c r="I4549" t="s">
        <v>85</v>
      </c>
      <c r="J4549">
        <v>48</v>
      </c>
      <c r="K4549" t="s">
        <v>83</v>
      </c>
      <c r="L4549" t="s">
        <v>2661</v>
      </c>
      <c r="M4549" t="s">
        <v>58</v>
      </c>
      <c r="N4549" t="s">
        <v>2603</v>
      </c>
      <c r="O4549" t="s">
        <v>122</v>
      </c>
      <c r="P4549" t="s">
        <v>48</v>
      </c>
      <c r="Q4549" t="s">
        <v>141</v>
      </c>
      <c r="R4549">
        <v>2</v>
      </c>
      <c r="S4549">
        <v>2499</v>
      </c>
      <c r="T4549">
        <v>0.05</v>
      </c>
      <c r="U4549">
        <v>4748.1000000000004</v>
      </c>
      <c r="V4549">
        <v>2900</v>
      </c>
      <c r="W4549">
        <v>1848.1</v>
      </c>
      <c r="X4549" t="s">
        <v>73</v>
      </c>
      <c r="Y4549" t="s">
        <v>69</v>
      </c>
      <c r="Z4549" t="s">
        <v>159</v>
      </c>
      <c r="AA4549" t="s">
        <v>167</v>
      </c>
      <c r="AB4549">
        <v>3.7</v>
      </c>
      <c r="AC4549">
        <v>60</v>
      </c>
      <c r="AD4549">
        <v>173.67</v>
      </c>
      <c r="AE4549">
        <f t="shared" si="142"/>
        <v>1614.4299999999998</v>
      </c>
      <c r="AF4549" t="str">
        <f t="shared" si="143"/>
        <v>2026-08</v>
      </c>
      <c r="AG4549">
        <f>SUBTOTAL(103,A4549)</f>
        <v>1</v>
      </c>
    </row>
    <row r="4550" spans="1:33" x14ac:dyDescent="0.3">
      <c r="A4550" t="s">
        <v>7173</v>
      </c>
      <c r="B4550" s="13">
        <v>46238</v>
      </c>
      <c r="C4550">
        <v>2026</v>
      </c>
      <c r="D4550">
        <v>8</v>
      </c>
      <c r="E4550" t="s">
        <v>4301</v>
      </c>
      <c r="F4550" t="s">
        <v>4047</v>
      </c>
      <c r="G4550" t="s">
        <v>1253</v>
      </c>
      <c r="H4550" t="s">
        <v>1254</v>
      </c>
      <c r="I4550" t="s">
        <v>86</v>
      </c>
      <c r="J4550">
        <v>26</v>
      </c>
      <c r="K4550" t="s">
        <v>81</v>
      </c>
      <c r="L4550" t="s">
        <v>97</v>
      </c>
      <c r="M4550" t="s">
        <v>57</v>
      </c>
      <c r="N4550" t="s">
        <v>2596</v>
      </c>
      <c r="O4550" t="s">
        <v>124</v>
      </c>
      <c r="P4550" t="s">
        <v>51</v>
      </c>
      <c r="Q4550" t="s">
        <v>147</v>
      </c>
      <c r="R4550">
        <v>1</v>
      </c>
      <c r="S4550">
        <v>2299</v>
      </c>
      <c r="T4550">
        <v>0.15</v>
      </c>
      <c r="U4550">
        <v>1954.15</v>
      </c>
      <c r="V4550">
        <v>1200</v>
      </c>
      <c r="W4550">
        <v>754.15</v>
      </c>
      <c r="X4550" t="s">
        <v>75</v>
      </c>
      <c r="Y4550" t="s">
        <v>68</v>
      </c>
      <c r="Z4550" t="s">
        <v>158</v>
      </c>
      <c r="AA4550" t="s">
        <v>171</v>
      </c>
      <c r="AB4550">
        <v>4.0999999999999996</v>
      </c>
      <c r="AC4550">
        <v>50</v>
      </c>
      <c r="AD4550">
        <v>104.38</v>
      </c>
      <c r="AE4550">
        <f t="shared" si="142"/>
        <v>599.77</v>
      </c>
      <c r="AF4550" t="str">
        <f t="shared" si="143"/>
        <v>2026-08</v>
      </c>
      <c r="AG4550">
        <f>SUBTOTAL(103,A4550)</f>
        <v>1</v>
      </c>
    </row>
    <row r="4551" spans="1:33" x14ac:dyDescent="0.3">
      <c r="A4551" t="s">
        <v>7174</v>
      </c>
      <c r="B4551" s="13">
        <v>46238</v>
      </c>
      <c r="C4551">
        <v>2026</v>
      </c>
      <c r="D4551">
        <v>8</v>
      </c>
      <c r="E4551" t="s">
        <v>4301</v>
      </c>
      <c r="F4551" t="s">
        <v>4047</v>
      </c>
      <c r="G4551" t="s">
        <v>863</v>
      </c>
      <c r="H4551" t="s">
        <v>864</v>
      </c>
      <c r="I4551" t="s">
        <v>86</v>
      </c>
      <c r="J4551">
        <v>38</v>
      </c>
      <c r="K4551" t="s">
        <v>82</v>
      </c>
      <c r="L4551" t="s">
        <v>2634</v>
      </c>
      <c r="M4551" t="s">
        <v>56</v>
      </c>
      <c r="N4551" t="s">
        <v>2644</v>
      </c>
      <c r="O4551" t="s">
        <v>126</v>
      </c>
      <c r="P4551" t="s">
        <v>50</v>
      </c>
      <c r="Q4551" t="s">
        <v>145</v>
      </c>
      <c r="R4551">
        <v>3</v>
      </c>
      <c r="S4551">
        <v>1799</v>
      </c>
      <c r="T4551">
        <v>0.2</v>
      </c>
      <c r="U4551">
        <v>4317.6000000000004</v>
      </c>
      <c r="V4551">
        <v>2850</v>
      </c>
      <c r="W4551">
        <v>1467.6</v>
      </c>
      <c r="X4551" t="s">
        <v>76</v>
      </c>
      <c r="Y4551" t="s">
        <v>68</v>
      </c>
      <c r="Z4551" t="s">
        <v>161</v>
      </c>
      <c r="AA4551" t="s">
        <v>171</v>
      </c>
      <c r="AB4551">
        <v>4.0999999999999996</v>
      </c>
      <c r="AC4551">
        <v>60</v>
      </c>
      <c r="AD4551">
        <v>390.86</v>
      </c>
      <c r="AE4551">
        <f t="shared" si="142"/>
        <v>1016.7399999999999</v>
      </c>
      <c r="AF4551" t="str">
        <f t="shared" si="143"/>
        <v>2026-08</v>
      </c>
      <c r="AG4551">
        <f>SUBTOTAL(103,A4551)</f>
        <v>1</v>
      </c>
    </row>
    <row r="4552" spans="1:33" x14ac:dyDescent="0.3">
      <c r="A4552" t="s">
        <v>7175</v>
      </c>
      <c r="B4552" s="13">
        <v>46239</v>
      </c>
      <c r="C4552">
        <v>2026</v>
      </c>
      <c r="D4552">
        <v>8</v>
      </c>
      <c r="E4552" t="s">
        <v>4301</v>
      </c>
      <c r="F4552" t="s">
        <v>4047</v>
      </c>
      <c r="G4552" t="s">
        <v>2007</v>
      </c>
      <c r="H4552" t="s">
        <v>2008</v>
      </c>
      <c r="I4552" t="s">
        <v>85</v>
      </c>
      <c r="J4552">
        <v>52</v>
      </c>
      <c r="K4552" t="s">
        <v>83</v>
      </c>
      <c r="L4552" t="s">
        <v>2679</v>
      </c>
      <c r="M4552" t="s">
        <v>60</v>
      </c>
      <c r="N4552" t="s">
        <v>2577</v>
      </c>
      <c r="O4552" t="s">
        <v>129</v>
      </c>
      <c r="P4552" t="s">
        <v>49</v>
      </c>
      <c r="Q4552" t="s">
        <v>149</v>
      </c>
      <c r="R4552">
        <v>1</v>
      </c>
      <c r="S4552">
        <v>1299</v>
      </c>
      <c r="T4552">
        <v>0</v>
      </c>
      <c r="U4552">
        <v>1299</v>
      </c>
      <c r="V4552">
        <v>650</v>
      </c>
      <c r="W4552">
        <v>649</v>
      </c>
      <c r="X4552" t="s">
        <v>76</v>
      </c>
      <c r="Y4552" t="s">
        <v>68</v>
      </c>
      <c r="Z4552" t="s">
        <v>160</v>
      </c>
      <c r="AA4552" t="s">
        <v>171</v>
      </c>
      <c r="AB4552">
        <v>4.5</v>
      </c>
      <c r="AC4552">
        <v>50</v>
      </c>
      <c r="AD4552">
        <v>105.68</v>
      </c>
      <c r="AE4552">
        <f t="shared" si="142"/>
        <v>493.32</v>
      </c>
      <c r="AF4552" t="str">
        <f t="shared" si="143"/>
        <v>2026-08</v>
      </c>
      <c r="AG4552">
        <f>SUBTOTAL(103,A4552)</f>
        <v>1</v>
      </c>
    </row>
    <row r="4553" spans="1:33" x14ac:dyDescent="0.3">
      <c r="A4553" t="s">
        <v>7176</v>
      </c>
      <c r="B4553" s="13">
        <v>46239</v>
      </c>
      <c r="C4553">
        <v>2026</v>
      </c>
      <c r="D4553">
        <v>8</v>
      </c>
      <c r="E4553" t="s">
        <v>4301</v>
      </c>
      <c r="F4553" t="s">
        <v>4047</v>
      </c>
      <c r="G4553" t="s">
        <v>1819</v>
      </c>
      <c r="H4553" t="s">
        <v>1820</v>
      </c>
      <c r="I4553" t="s">
        <v>86</v>
      </c>
      <c r="J4553">
        <v>43</v>
      </c>
      <c r="K4553" t="s">
        <v>82</v>
      </c>
      <c r="L4553" t="s">
        <v>94</v>
      </c>
      <c r="M4553" t="s">
        <v>57</v>
      </c>
      <c r="N4553" t="s">
        <v>2653</v>
      </c>
      <c r="O4553" t="s">
        <v>132</v>
      </c>
      <c r="P4553" t="s">
        <v>52</v>
      </c>
      <c r="Q4553" t="s">
        <v>150</v>
      </c>
      <c r="R4553">
        <v>2</v>
      </c>
      <c r="S4553">
        <v>899</v>
      </c>
      <c r="T4553">
        <v>0.15</v>
      </c>
      <c r="U4553">
        <v>1528.3</v>
      </c>
      <c r="V4553">
        <v>840</v>
      </c>
      <c r="W4553">
        <v>688.3</v>
      </c>
      <c r="X4553" t="s">
        <v>73</v>
      </c>
      <c r="Y4553" t="s">
        <v>68</v>
      </c>
      <c r="Z4553" t="s">
        <v>158</v>
      </c>
      <c r="AA4553" t="s">
        <v>167</v>
      </c>
      <c r="AB4553">
        <v>4.3</v>
      </c>
      <c r="AC4553">
        <v>100</v>
      </c>
      <c r="AD4553">
        <v>159.96</v>
      </c>
      <c r="AE4553">
        <f t="shared" si="142"/>
        <v>428.33999999999992</v>
      </c>
      <c r="AF4553" t="str">
        <f t="shared" si="143"/>
        <v>2026-08</v>
      </c>
      <c r="AG4553">
        <f>SUBTOTAL(103,A4553)</f>
        <v>1</v>
      </c>
    </row>
    <row r="4554" spans="1:33" x14ac:dyDescent="0.3">
      <c r="A4554" t="s">
        <v>7177</v>
      </c>
      <c r="B4554" s="13">
        <v>46239</v>
      </c>
      <c r="C4554">
        <v>2026</v>
      </c>
      <c r="D4554">
        <v>8</v>
      </c>
      <c r="E4554" t="s">
        <v>4301</v>
      </c>
      <c r="F4554" t="s">
        <v>4047</v>
      </c>
      <c r="G4554" t="s">
        <v>1899</v>
      </c>
      <c r="H4554" t="s">
        <v>1900</v>
      </c>
      <c r="I4554" t="s">
        <v>86</v>
      </c>
      <c r="J4554">
        <v>30</v>
      </c>
      <c r="K4554" t="s">
        <v>81</v>
      </c>
      <c r="L4554" t="s">
        <v>2646</v>
      </c>
      <c r="M4554" t="s">
        <v>63</v>
      </c>
      <c r="N4554" t="s">
        <v>2644</v>
      </c>
      <c r="O4554" t="s">
        <v>126</v>
      </c>
      <c r="P4554" t="s">
        <v>50</v>
      </c>
      <c r="Q4554" t="s">
        <v>145</v>
      </c>
      <c r="R4554">
        <v>1</v>
      </c>
      <c r="S4554">
        <v>1799</v>
      </c>
      <c r="T4554">
        <v>0.1</v>
      </c>
      <c r="U4554">
        <v>1619.1</v>
      </c>
      <c r="V4554">
        <v>950</v>
      </c>
      <c r="W4554">
        <v>669.1</v>
      </c>
      <c r="X4554" t="s">
        <v>73</v>
      </c>
      <c r="Y4554" t="s">
        <v>68</v>
      </c>
      <c r="Z4554" t="s">
        <v>162</v>
      </c>
      <c r="AA4554" t="s">
        <v>167</v>
      </c>
      <c r="AB4554">
        <v>4</v>
      </c>
      <c r="AC4554">
        <v>60</v>
      </c>
      <c r="AD4554">
        <v>142.36000000000001</v>
      </c>
      <c r="AE4554">
        <f t="shared" si="142"/>
        <v>466.74</v>
      </c>
      <c r="AF4554" t="str">
        <f t="shared" si="143"/>
        <v>2026-08</v>
      </c>
      <c r="AG4554">
        <f>SUBTOTAL(103,A4554)</f>
        <v>1</v>
      </c>
    </row>
    <row r="4555" spans="1:33" x14ac:dyDescent="0.3">
      <c r="A4555" t="s">
        <v>7178</v>
      </c>
      <c r="B4555" s="13">
        <v>46239</v>
      </c>
      <c r="C4555">
        <v>2026</v>
      </c>
      <c r="D4555">
        <v>8</v>
      </c>
      <c r="E4555" t="s">
        <v>4301</v>
      </c>
      <c r="F4555" t="s">
        <v>4047</v>
      </c>
      <c r="G4555" t="s">
        <v>1213</v>
      </c>
      <c r="H4555" t="s">
        <v>1214</v>
      </c>
      <c r="I4555" t="s">
        <v>86</v>
      </c>
      <c r="J4555">
        <v>25</v>
      </c>
      <c r="K4555" t="s">
        <v>80</v>
      </c>
      <c r="L4555" t="s">
        <v>92</v>
      </c>
      <c r="M4555" t="s">
        <v>59</v>
      </c>
      <c r="N4555" t="s">
        <v>2601</v>
      </c>
      <c r="O4555" t="s">
        <v>117</v>
      </c>
      <c r="P4555" t="s">
        <v>49</v>
      </c>
      <c r="Q4555" t="s">
        <v>139</v>
      </c>
      <c r="R4555">
        <v>1</v>
      </c>
      <c r="S4555">
        <v>6999</v>
      </c>
      <c r="T4555">
        <v>0.1</v>
      </c>
      <c r="U4555">
        <v>6299.1</v>
      </c>
      <c r="V4555">
        <v>4300</v>
      </c>
      <c r="W4555">
        <v>1999.1</v>
      </c>
      <c r="X4555" t="s">
        <v>73</v>
      </c>
      <c r="Y4555" t="s">
        <v>68</v>
      </c>
      <c r="Z4555" t="s">
        <v>159</v>
      </c>
      <c r="AA4555" t="s">
        <v>170</v>
      </c>
      <c r="AB4555">
        <v>4.2</v>
      </c>
      <c r="AC4555">
        <v>100</v>
      </c>
      <c r="AD4555">
        <v>680.74</v>
      </c>
      <c r="AE4555">
        <f t="shared" si="142"/>
        <v>1218.3599999999999</v>
      </c>
      <c r="AF4555" t="str">
        <f t="shared" si="143"/>
        <v>2026-08</v>
      </c>
      <c r="AG4555">
        <f>SUBTOTAL(103,A4555)</f>
        <v>1</v>
      </c>
    </row>
    <row r="4556" spans="1:33" x14ac:dyDescent="0.3">
      <c r="A4556" t="s">
        <v>7179</v>
      </c>
      <c r="B4556" s="13">
        <v>46239</v>
      </c>
      <c r="C4556">
        <v>2026</v>
      </c>
      <c r="D4556">
        <v>8</v>
      </c>
      <c r="E4556" t="s">
        <v>4301</v>
      </c>
      <c r="F4556" t="s">
        <v>4047</v>
      </c>
      <c r="G4556" t="s">
        <v>349</v>
      </c>
      <c r="H4556" t="s">
        <v>350</v>
      </c>
      <c r="I4556" t="s">
        <v>85</v>
      </c>
      <c r="J4556">
        <v>39</v>
      </c>
      <c r="K4556" t="s">
        <v>82</v>
      </c>
      <c r="L4556" t="s">
        <v>91</v>
      </c>
      <c r="M4556" t="s">
        <v>55</v>
      </c>
      <c r="N4556" t="s">
        <v>2584</v>
      </c>
      <c r="O4556" t="s">
        <v>121</v>
      </c>
      <c r="P4556" t="s">
        <v>50</v>
      </c>
      <c r="Q4556" t="s">
        <v>144</v>
      </c>
      <c r="R4556">
        <v>5</v>
      </c>
      <c r="S4556">
        <v>2999</v>
      </c>
      <c r="T4556">
        <v>0.1</v>
      </c>
      <c r="U4556">
        <v>13495.5</v>
      </c>
      <c r="V4556">
        <v>8500</v>
      </c>
      <c r="W4556">
        <v>4995.5</v>
      </c>
      <c r="X4556" t="s">
        <v>73</v>
      </c>
      <c r="Y4556" t="s">
        <v>68</v>
      </c>
      <c r="Z4556" t="s">
        <v>161</v>
      </c>
      <c r="AA4556" t="s">
        <v>171</v>
      </c>
      <c r="AB4556">
        <v>3.5</v>
      </c>
      <c r="AC4556">
        <v>60</v>
      </c>
      <c r="AD4556">
        <v>936.62</v>
      </c>
      <c r="AE4556">
        <f t="shared" si="142"/>
        <v>3998.88</v>
      </c>
      <c r="AF4556" t="str">
        <f t="shared" si="143"/>
        <v>2026-08</v>
      </c>
      <c r="AG4556">
        <f>SUBTOTAL(103,A4556)</f>
        <v>1</v>
      </c>
    </row>
    <row r="4557" spans="1:33" x14ac:dyDescent="0.3">
      <c r="A4557" t="s">
        <v>7180</v>
      </c>
      <c r="B4557" s="13">
        <v>46239</v>
      </c>
      <c r="C4557">
        <v>2026</v>
      </c>
      <c r="D4557">
        <v>8</v>
      </c>
      <c r="E4557" t="s">
        <v>4301</v>
      </c>
      <c r="F4557" t="s">
        <v>4047</v>
      </c>
      <c r="G4557" t="s">
        <v>711</v>
      </c>
      <c r="H4557" t="s">
        <v>712</v>
      </c>
      <c r="I4557" t="s">
        <v>85</v>
      </c>
      <c r="J4557">
        <v>40</v>
      </c>
      <c r="K4557" t="s">
        <v>82</v>
      </c>
      <c r="L4557" t="s">
        <v>97</v>
      </c>
      <c r="M4557" t="s">
        <v>57</v>
      </c>
      <c r="N4557" t="s">
        <v>2647</v>
      </c>
      <c r="O4557" t="s">
        <v>133</v>
      </c>
      <c r="P4557" t="s">
        <v>50</v>
      </c>
      <c r="Q4557" t="s">
        <v>145</v>
      </c>
      <c r="R4557">
        <v>2</v>
      </c>
      <c r="S4557">
        <v>799</v>
      </c>
      <c r="T4557">
        <v>0.1</v>
      </c>
      <c r="U4557">
        <v>1438.2</v>
      </c>
      <c r="V4557">
        <v>780</v>
      </c>
      <c r="W4557">
        <v>658.2</v>
      </c>
      <c r="X4557" t="s">
        <v>76</v>
      </c>
      <c r="Y4557" t="s">
        <v>68</v>
      </c>
      <c r="Z4557" t="s">
        <v>161</v>
      </c>
      <c r="AA4557" t="s">
        <v>166</v>
      </c>
      <c r="AB4557">
        <v>3.3</v>
      </c>
      <c r="AC4557">
        <v>50</v>
      </c>
      <c r="AD4557">
        <v>101.79</v>
      </c>
      <c r="AE4557">
        <f t="shared" si="142"/>
        <v>506.41</v>
      </c>
      <c r="AF4557" t="str">
        <f t="shared" si="143"/>
        <v>2026-08</v>
      </c>
      <c r="AG4557">
        <f>SUBTOTAL(103,A4557)</f>
        <v>1</v>
      </c>
    </row>
    <row r="4558" spans="1:33" x14ac:dyDescent="0.3">
      <c r="A4558" t="s">
        <v>7181</v>
      </c>
      <c r="B4558" s="13">
        <v>46239</v>
      </c>
      <c r="C4558">
        <v>2026</v>
      </c>
      <c r="D4558">
        <v>8</v>
      </c>
      <c r="E4558" t="s">
        <v>4301</v>
      </c>
      <c r="F4558" t="s">
        <v>4047</v>
      </c>
      <c r="G4558" t="s">
        <v>849</v>
      </c>
      <c r="H4558" t="s">
        <v>850</v>
      </c>
      <c r="I4558" t="s">
        <v>85</v>
      </c>
      <c r="J4558">
        <v>33</v>
      </c>
      <c r="K4558" t="s">
        <v>81</v>
      </c>
      <c r="L4558" t="s">
        <v>2605</v>
      </c>
      <c r="M4558" t="s">
        <v>60</v>
      </c>
      <c r="N4558" t="s">
        <v>2647</v>
      </c>
      <c r="O4558" t="s">
        <v>133</v>
      </c>
      <c r="P4558" t="s">
        <v>50</v>
      </c>
      <c r="Q4558" t="s">
        <v>145</v>
      </c>
      <c r="R4558">
        <v>1</v>
      </c>
      <c r="S4558">
        <v>799</v>
      </c>
      <c r="T4558">
        <v>0.15</v>
      </c>
      <c r="U4558">
        <v>679.15</v>
      </c>
      <c r="V4558">
        <v>390</v>
      </c>
      <c r="W4558">
        <v>289.14999999999998</v>
      </c>
      <c r="X4558" t="s">
        <v>76</v>
      </c>
      <c r="Y4558" t="s">
        <v>68</v>
      </c>
      <c r="Z4558" t="s">
        <v>158</v>
      </c>
      <c r="AA4558" t="s">
        <v>171</v>
      </c>
      <c r="AB4558">
        <v>3.5</v>
      </c>
      <c r="AC4558">
        <v>60</v>
      </c>
      <c r="AD4558">
        <v>43.8</v>
      </c>
      <c r="AE4558">
        <f t="shared" si="142"/>
        <v>185.34999999999997</v>
      </c>
      <c r="AF4558" t="str">
        <f t="shared" si="143"/>
        <v>2026-08</v>
      </c>
      <c r="AG4558">
        <f>SUBTOTAL(103,A4558)</f>
        <v>1</v>
      </c>
    </row>
    <row r="4559" spans="1:33" x14ac:dyDescent="0.3">
      <c r="A4559" t="s">
        <v>7182</v>
      </c>
      <c r="B4559" s="13">
        <v>46239</v>
      </c>
      <c r="C4559">
        <v>2026</v>
      </c>
      <c r="D4559">
        <v>8</v>
      </c>
      <c r="E4559" t="s">
        <v>4301</v>
      </c>
      <c r="F4559" t="s">
        <v>4047</v>
      </c>
      <c r="G4559" t="s">
        <v>757</v>
      </c>
      <c r="H4559" t="s">
        <v>758</v>
      </c>
      <c r="I4559" t="s">
        <v>86</v>
      </c>
      <c r="J4559">
        <v>55</v>
      </c>
      <c r="K4559" t="s">
        <v>83</v>
      </c>
      <c r="L4559" t="s">
        <v>2690</v>
      </c>
      <c r="M4559" t="s">
        <v>63</v>
      </c>
      <c r="N4559" t="s">
        <v>2606</v>
      </c>
      <c r="O4559" t="s">
        <v>120</v>
      </c>
      <c r="P4559" t="s">
        <v>49</v>
      </c>
      <c r="Q4559" t="s">
        <v>140</v>
      </c>
      <c r="R4559">
        <v>4</v>
      </c>
      <c r="S4559">
        <v>2799</v>
      </c>
      <c r="T4559">
        <v>0.05</v>
      </c>
      <c r="U4559">
        <v>10636.2</v>
      </c>
      <c r="V4559">
        <v>6600</v>
      </c>
      <c r="W4559">
        <v>4036.2</v>
      </c>
      <c r="X4559" t="s">
        <v>76</v>
      </c>
      <c r="Y4559" t="s">
        <v>68</v>
      </c>
      <c r="Z4559" t="s">
        <v>158</v>
      </c>
      <c r="AA4559" t="s">
        <v>171</v>
      </c>
      <c r="AB4559">
        <v>4.0999999999999996</v>
      </c>
      <c r="AC4559">
        <v>60</v>
      </c>
      <c r="AD4559">
        <v>341.96</v>
      </c>
      <c r="AE4559">
        <f t="shared" si="142"/>
        <v>3634.24</v>
      </c>
      <c r="AF4559" t="str">
        <f t="shared" si="143"/>
        <v>2026-08</v>
      </c>
      <c r="AG4559">
        <f>SUBTOTAL(103,A4559)</f>
        <v>1</v>
      </c>
    </row>
    <row r="4560" spans="1:33" x14ac:dyDescent="0.3">
      <c r="A4560" t="s">
        <v>7183</v>
      </c>
      <c r="B4560" s="13">
        <v>46240</v>
      </c>
      <c r="C4560">
        <v>2026</v>
      </c>
      <c r="D4560">
        <v>8</v>
      </c>
      <c r="E4560" t="s">
        <v>4301</v>
      </c>
      <c r="F4560" t="s">
        <v>4047</v>
      </c>
      <c r="G4560" t="s">
        <v>1359</v>
      </c>
      <c r="H4560" t="s">
        <v>1360</v>
      </c>
      <c r="I4560" t="s">
        <v>86</v>
      </c>
      <c r="J4560">
        <v>48</v>
      </c>
      <c r="K4560" t="s">
        <v>83</v>
      </c>
      <c r="L4560" t="s">
        <v>2623</v>
      </c>
      <c r="M4560" t="s">
        <v>61</v>
      </c>
      <c r="N4560" t="s">
        <v>2592</v>
      </c>
      <c r="O4560" t="s">
        <v>115</v>
      </c>
      <c r="P4560" t="s">
        <v>48</v>
      </c>
      <c r="Q4560" t="s">
        <v>137</v>
      </c>
      <c r="R4560">
        <v>2</v>
      </c>
      <c r="S4560">
        <v>12999</v>
      </c>
      <c r="T4560">
        <v>0.25</v>
      </c>
      <c r="U4560">
        <v>19498.5</v>
      </c>
      <c r="V4560">
        <v>18000</v>
      </c>
      <c r="W4560">
        <v>1498.5</v>
      </c>
      <c r="X4560" t="s">
        <v>73</v>
      </c>
      <c r="Y4560" t="s">
        <v>68</v>
      </c>
      <c r="Z4560" t="s">
        <v>159</v>
      </c>
      <c r="AA4560" t="s">
        <v>166</v>
      </c>
      <c r="AB4560">
        <v>3.5</v>
      </c>
      <c r="AC4560">
        <v>40</v>
      </c>
      <c r="AD4560">
        <v>1022.02</v>
      </c>
      <c r="AE4560">
        <f t="shared" si="142"/>
        <v>436.48</v>
      </c>
      <c r="AF4560" t="str">
        <f t="shared" si="143"/>
        <v>2026-08</v>
      </c>
      <c r="AG4560">
        <f>SUBTOTAL(103,A4560)</f>
        <v>1</v>
      </c>
    </row>
    <row r="4561" spans="1:33" x14ac:dyDescent="0.3">
      <c r="A4561" t="s">
        <v>7184</v>
      </c>
      <c r="B4561" s="13">
        <v>46240</v>
      </c>
      <c r="C4561">
        <v>2026</v>
      </c>
      <c r="D4561">
        <v>8</v>
      </c>
      <c r="E4561" t="s">
        <v>4301</v>
      </c>
      <c r="F4561" t="s">
        <v>4047</v>
      </c>
      <c r="G4561" t="s">
        <v>691</v>
      </c>
      <c r="H4561" t="s">
        <v>692</v>
      </c>
      <c r="I4561" t="s">
        <v>86</v>
      </c>
      <c r="J4561">
        <v>32</v>
      </c>
      <c r="K4561" t="s">
        <v>81</v>
      </c>
      <c r="L4561" t="s">
        <v>59</v>
      </c>
      <c r="M4561" t="s">
        <v>59</v>
      </c>
      <c r="N4561" t="s">
        <v>2592</v>
      </c>
      <c r="O4561" t="s">
        <v>115</v>
      </c>
      <c r="P4561" t="s">
        <v>48</v>
      </c>
      <c r="Q4561" t="s">
        <v>137</v>
      </c>
      <c r="R4561">
        <v>2</v>
      </c>
      <c r="S4561">
        <v>12999</v>
      </c>
      <c r="T4561">
        <v>0</v>
      </c>
      <c r="U4561">
        <v>25998</v>
      </c>
      <c r="V4561">
        <v>18000</v>
      </c>
      <c r="W4561">
        <v>7998</v>
      </c>
      <c r="X4561" t="s">
        <v>74</v>
      </c>
      <c r="Y4561" t="s">
        <v>68</v>
      </c>
      <c r="Z4561" t="s">
        <v>161</v>
      </c>
      <c r="AA4561" t="s">
        <v>168</v>
      </c>
      <c r="AB4561">
        <v>4.5999999999999996</v>
      </c>
      <c r="AC4561">
        <v>80</v>
      </c>
      <c r="AD4561">
        <v>1838.19</v>
      </c>
      <c r="AE4561">
        <f t="shared" si="142"/>
        <v>6079.8099999999995</v>
      </c>
      <c r="AF4561" t="str">
        <f t="shared" si="143"/>
        <v>2026-08</v>
      </c>
      <c r="AG4561">
        <f>SUBTOTAL(103,A4561)</f>
        <v>1</v>
      </c>
    </row>
    <row r="4562" spans="1:33" x14ac:dyDescent="0.3">
      <c r="A4562" t="s">
        <v>7185</v>
      </c>
      <c r="B4562" s="13">
        <v>46240</v>
      </c>
      <c r="C4562">
        <v>2026</v>
      </c>
      <c r="D4562">
        <v>8</v>
      </c>
      <c r="E4562" t="s">
        <v>4301</v>
      </c>
      <c r="F4562" t="s">
        <v>4047</v>
      </c>
      <c r="G4562" t="s">
        <v>1197</v>
      </c>
      <c r="H4562" t="s">
        <v>1198</v>
      </c>
      <c r="I4562" t="s">
        <v>86</v>
      </c>
      <c r="J4562">
        <v>45</v>
      </c>
      <c r="K4562" t="s">
        <v>82</v>
      </c>
      <c r="L4562" t="s">
        <v>93</v>
      </c>
      <c r="M4562" t="s">
        <v>55</v>
      </c>
      <c r="N4562" t="s">
        <v>2592</v>
      </c>
      <c r="O4562" t="s">
        <v>115</v>
      </c>
      <c r="P4562" t="s">
        <v>48</v>
      </c>
      <c r="Q4562" t="s">
        <v>137</v>
      </c>
      <c r="R4562">
        <v>1</v>
      </c>
      <c r="S4562">
        <v>12999</v>
      </c>
      <c r="T4562">
        <v>0.05</v>
      </c>
      <c r="U4562">
        <v>12349.05</v>
      </c>
      <c r="V4562">
        <v>9000</v>
      </c>
      <c r="W4562">
        <v>3349.05</v>
      </c>
      <c r="X4562" t="s">
        <v>75</v>
      </c>
      <c r="Y4562" t="s">
        <v>68</v>
      </c>
      <c r="Z4562" t="s">
        <v>159</v>
      </c>
      <c r="AA4562" t="s">
        <v>171</v>
      </c>
      <c r="AB4562">
        <v>4.2</v>
      </c>
      <c r="AC4562">
        <v>60</v>
      </c>
      <c r="AD4562">
        <v>831.32</v>
      </c>
      <c r="AE4562">
        <f t="shared" si="142"/>
        <v>2457.73</v>
      </c>
      <c r="AF4562" t="str">
        <f t="shared" si="143"/>
        <v>2026-08</v>
      </c>
      <c r="AG4562">
        <f>SUBTOTAL(103,A4562)</f>
        <v>1</v>
      </c>
    </row>
    <row r="4563" spans="1:33" x14ac:dyDescent="0.3">
      <c r="A4563" t="s">
        <v>7186</v>
      </c>
      <c r="B4563" s="13">
        <v>46240</v>
      </c>
      <c r="C4563">
        <v>2026</v>
      </c>
      <c r="D4563">
        <v>8</v>
      </c>
      <c r="E4563" t="s">
        <v>4301</v>
      </c>
      <c r="F4563" t="s">
        <v>4047</v>
      </c>
      <c r="G4563" t="s">
        <v>1269</v>
      </c>
      <c r="H4563" t="s">
        <v>1270</v>
      </c>
      <c r="I4563" t="s">
        <v>85</v>
      </c>
      <c r="J4563">
        <v>58</v>
      </c>
      <c r="K4563" t="s">
        <v>83</v>
      </c>
      <c r="L4563" t="s">
        <v>2599</v>
      </c>
      <c r="M4563" t="s">
        <v>62</v>
      </c>
      <c r="N4563" t="s">
        <v>2584</v>
      </c>
      <c r="O4563" t="s">
        <v>121</v>
      </c>
      <c r="P4563" t="s">
        <v>50</v>
      </c>
      <c r="Q4563" t="s">
        <v>144</v>
      </c>
      <c r="R4563">
        <v>2</v>
      </c>
      <c r="S4563">
        <v>2999</v>
      </c>
      <c r="T4563">
        <v>0.05</v>
      </c>
      <c r="U4563">
        <v>0</v>
      </c>
      <c r="V4563">
        <v>0</v>
      </c>
      <c r="W4563">
        <v>0</v>
      </c>
      <c r="X4563" t="s">
        <v>73</v>
      </c>
      <c r="Y4563" t="s">
        <v>71</v>
      </c>
      <c r="Z4563" t="s">
        <v>160</v>
      </c>
      <c r="AA4563" t="s">
        <v>166</v>
      </c>
      <c r="AB4563">
        <v>4</v>
      </c>
      <c r="AC4563">
        <v>50</v>
      </c>
      <c r="AD4563">
        <v>312.22000000000003</v>
      </c>
      <c r="AE4563">
        <f t="shared" si="142"/>
        <v>-362.22</v>
      </c>
      <c r="AF4563" t="str">
        <f t="shared" si="143"/>
        <v>2026-08</v>
      </c>
      <c r="AG4563">
        <f>SUBTOTAL(103,A4563)</f>
        <v>1</v>
      </c>
    </row>
    <row r="4564" spans="1:33" x14ac:dyDescent="0.3">
      <c r="A4564" t="s">
        <v>7187</v>
      </c>
      <c r="B4564" s="13">
        <v>46240</v>
      </c>
      <c r="C4564">
        <v>2026</v>
      </c>
      <c r="D4564">
        <v>8</v>
      </c>
      <c r="E4564" t="s">
        <v>4301</v>
      </c>
      <c r="F4564" t="s">
        <v>4047</v>
      </c>
      <c r="G4564" t="s">
        <v>2279</v>
      </c>
      <c r="H4564" t="s">
        <v>2280</v>
      </c>
      <c r="I4564" t="s">
        <v>85</v>
      </c>
      <c r="J4564">
        <v>18</v>
      </c>
      <c r="K4564" t="s">
        <v>80</v>
      </c>
      <c r="L4564" t="s">
        <v>59</v>
      </c>
      <c r="M4564" t="s">
        <v>59</v>
      </c>
      <c r="N4564" t="s">
        <v>2582</v>
      </c>
      <c r="O4564" t="s">
        <v>119</v>
      </c>
      <c r="P4564" t="s">
        <v>49</v>
      </c>
      <c r="Q4564" t="s">
        <v>140</v>
      </c>
      <c r="R4564">
        <v>2</v>
      </c>
      <c r="S4564">
        <v>3499</v>
      </c>
      <c r="T4564">
        <v>0.2</v>
      </c>
      <c r="U4564">
        <v>5598.4</v>
      </c>
      <c r="V4564">
        <v>4200</v>
      </c>
      <c r="W4564">
        <v>1398.4</v>
      </c>
      <c r="X4564" t="s">
        <v>76</v>
      </c>
      <c r="Y4564" t="s">
        <v>68</v>
      </c>
      <c r="Z4564" t="s">
        <v>160</v>
      </c>
      <c r="AA4564" t="s">
        <v>168</v>
      </c>
      <c r="AB4564">
        <v>4.5999999999999996</v>
      </c>
      <c r="AC4564">
        <v>120</v>
      </c>
      <c r="AD4564">
        <v>597.66</v>
      </c>
      <c r="AE4564">
        <f t="shared" si="142"/>
        <v>680.74000000000012</v>
      </c>
      <c r="AF4564" t="str">
        <f t="shared" si="143"/>
        <v>2026-08</v>
      </c>
      <c r="AG4564">
        <f>SUBTOTAL(103,A4564)</f>
        <v>1</v>
      </c>
    </row>
    <row r="4565" spans="1:33" x14ac:dyDescent="0.3">
      <c r="A4565" t="s">
        <v>7188</v>
      </c>
      <c r="B4565" s="13">
        <v>46240</v>
      </c>
      <c r="C4565">
        <v>2026</v>
      </c>
      <c r="D4565">
        <v>8</v>
      </c>
      <c r="E4565" t="s">
        <v>4301</v>
      </c>
      <c r="F4565" t="s">
        <v>4047</v>
      </c>
      <c r="G4565" t="s">
        <v>2051</v>
      </c>
      <c r="H4565" t="s">
        <v>2052</v>
      </c>
      <c r="I4565" t="s">
        <v>86</v>
      </c>
      <c r="J4565">
        <v>24</v>
      </c>
      <c r="K4565" t="s">
        <v>80</v>
      </c>
      <c r="L4565" t="s">
        <v>2646</v>
      </c>
      <c r="M4565" t="s">
        <v>63</v>
      </c>
      <c r="N4565" t="s">
        <v>2653</v>
      </c>
      <c r="O4565" t="s">
        <v>132</v>
      </c>
      <c r="P4565" t="s">
        <v>52</v>
      </c>
      <c r="Q4565" t="s">
        <v>150</v>
      </c>
      <c r="R4565">
        <v>1</v>
      </c>
      <c r="S4565">
        <v>899</v>
      </c>
      <c r="T4565">
        <v>0.15</v>
      </c>
      <c r="U4565">
        <v>764.15</v>
      </c>
      <c r="V4565">
        <v>420</v>
      </c>
      <c r="W4565">
        <v>344.15</v>
      </c>
      <c r="X4565" t="s">
        <v>73</v>
      </c>
      <c r="Y4565" t="s">
        <v>68</v>
      </c>
      <c r="Z4565" t="s">
        <v>161</v>
      </c>
      <c r="AA4565" t="s">
        <v>170</v>
      </c>
      <c r="AB4565">
        <v>4.7</v>
      </c>
      <c r="AC4565">
        <v>50</v>
      </c>
      <c r="AD4565">
        <v>81.510000000000005</v>
      </c>
      <c r="AE4565">
        <f t="shared" si="142"/>
        <v>212.64</v>
      </c>
      <c r="AF4565" t="str">
        <f t="shared" si="143"/>
        <v>2026-08</v>
      </c>
      <c r="AG4565">
        <f>SUBTOTAL(103,A4565)</f>
        <v>1</v>
      </c>
    </row>
    <row r="4566" spans="1:33" x14ac:dyDescent="0.3">
      <c r="A4566" t="s">
        <v>7189</v>
      </c>
      <c r="B4566" s="13">
        <v>46240</v>
      </c>
      <c r="C4566">
        <v>2026</v>
      </c>
      <c r="D4566">
        <v>8</v>
      </c>
      <c r="E4566" t="s">
        <v>4301</v>
      </c>
      <c r="F4566" t="s">
        <v>4047</v>
      </c>
      <c r="G4566" t="s">
        <v>639</v>
      </c>
      <c r="H4566" t="s">
        <v>640</v>
      </c>
      <c r="I4566" t="s">
        <v>85</v>
      </c>
      <c r="J4566">
        <v>59</v>
      </c>
      <c r="K4566" t="s">
        <v>83</v>
      </c>
      <c r="L4566" t="s">
        <v>2605</v>
      </c>
      <c r="M4566" t="s">
        <v>60</v>
      </c>
      <c r="N4566" t="s">
        <v>2630</v>
      </c>
      <c r="O4566" t="s">
        <v>123</v>
      </c>
      <c r="P4566" t="s">
        <v>52</v>
      </c>
      <c r="Q4566" t="s">
        <v>146</v>
      </c>
      <c r="R4566">
        <v>1</v>
      </c>
      <c r="S4566">
        <v>2499</v>
      </c>
      <c r="T4566">
        <v>0.05</v>
      </c>
      <c r="U4566">
        <v>2374.0500000000002</v>
      </c>
      <c r="V4566">
        <v>1400</v>
      </c>
      <c r="W4566">
        <v>974.05</v>
      </c>
      <c r="X4566" t="s">
        <v>76</v>
      </c>
      <c r="Y4566" t="s">
        <v>68</v>
      </c>
      <c r="Z4566" t="s">
        <v>162</v>
      </c>
      <c r="AA4566" t="s">
        <v>170</v>
      </c>
      <c r="AB4566">
        <v>3.6</v>
      </c>
      <c r="AC4566">
        <v>60</v>
      </c>
      <c r="AD4566">
        <v>189.81</v>
      </c>
      <c r="AE4566">
        <f t="shared" si="142"/>
        <v>724.24</v>
      </c>
      <c r="AF4566" t="str">
        <f t="shared" si="143"/>
        <v>2026-08</v>
      </c>
      <c r="AG4566">
        <f>SUBTOTAL(103,A4566)</f>
        <v>1</v>
      </c>
    </row>
    <row r="4567" spans="1:33" x14ac:dyDescent="0.3">
      <c r="A4567" t="s">
        <v>7190</v>
      </c>
      <c r="B4567" s="13">
        <v>46241</v>
      </c>
      <c r="C4567">
        <v>2026</v>
      </c>
      <c r="D4567">
        <v>8</v>
      </c>
      <c r="E4567" t="s">
        <v>4301</v>
      </c>
      <c r="F4567" t="s">
        <v>4047</v>
      </c>
      <c r="G4567" t="s">
        <v>1259</v>
      </c>
      <c r="H4567" t="s">
        <v>1260</v>
      </c>
      <c r="I4567" t="s">
        <v>86</v>
      </c>
      <c r="J4567">
        <v>29</v>
      </c>
      <c r="K4567" t="s">
        <v>81</v>
      </c>
      <c r="L4567" t="s">
        <v>99</v>
      </c>
      <c r="M4567" t="s">
        <v>58</v>
      </c>
      <c r="N4567" t="s">
        <v>2574</v>
      </c>
      <c r="O4567" t="s">
        <v>130</v>
      </c>
      <c r="P4567" t="s">
        <v>50</v>
      </c>
      <c r="Q4567" t="s">
        <v>53</v>
      </c>
      <c r="R4567">
        <v>1</v>
      </c>
      <c r="S4567">
        <v>1199</v>
      </c>
      <c r="T4567">
        <v>0</v>
      </c>
      <c r="U4567">
        <v>1199</v>
      </c>
      <c r="V4567">
        <v>550</v>
      </c>
      <c r="W4567">
        <v>649</v>
      </c>
      <c r="X4567" t="s">
        <v>75</v>
      </c>
      <c r="Y4567" t="s">
        <v>68</v>
      </c>
      <c r="Z4567" t="s">
        <v>158</v>
      </c>
      <c r="AA4567" t="s">
        <v>166</v>
      </c>
      <c r="AB4567">
        <v>4.5999999999999996</v>
      </c>
      <c r="AC4567">
        <v>120</v>
      </c>
      <c r="AD4567">
        <v>62.51</v>
      </c>
      <c r="AE4567">
        <f t="shared" si="142"/>
        <v>466.49</v>
      </c>
      <c r="AF4567" t="str">
        <f t="shared" si="143"/>
        <v>2026-08</v>
      </c>
      <c r="AG4567">
        <f>SUBTOTAL(103,A4567)</f>
        <v>1</v>
      </c>
    </row>
    <row r="4568" spans="1:33" x14ac:dyDescent="0.3">
      <c r="A4568" t="s">
        <v>7191</v>
      </c>
      <c r="B4568" s="13">
        <v>46241</v>
      </c>
      <c r="C4568">
        <v>2026</v>
      </c>
      <c r="D4568">
        <v>8</v>
      </c>
      <c r="E4568" t="s">
        <v>4301</v>
      </c>
      <c r="F4568" t="s">
        <v>4047</v>
      </c>
      <c r="G4568" t="s">
        <v>1509</v>
      </c>
      <c r="H4568" t="s">
        <v>1510</v>
      </c>
      <c r="I4568" t="s">
        <v>85</v>
      </c>
      <c r="J4568">
        <v>42</v>
      </c>
      <c r="K4568" t="s">
        <v>82</v>
      </c>
      <c r="L4568" t="s">
        <v>2576</v>
      </c>
      <c r="M4568" t="s">
        <v>60</v>
      </c>
      <c r="N4568" t="s">
        <v>2601</v>
      </c>
      <c r="O4568" t="s">
        <v>117</v>
      </c>
      <c r="P4568" t="s">
        <v>49</v>
      </c>
      <c r="Q4568" t="s">
        <v>139</v>
      </c>
      <c r="R4568">
        <v>1</v>
      </c>
      <c r="S4568">
        <v>6999</v>
      </c>
      <c r="T4568">
        <v>0</v>
      </c>
      <c r="U4568">
        <v>6999</v>
      </c>
      <c r="V4568">
        <v>4300</v>
      </c>
      <c r="W4568">
        <v>2699</v>
      </c>
      <c r="X4568" t="s">
        <v>75</v>
      </c>
      <c r="Y4568" t="s">
        <v>68</v>
      </c>
      <c r="Z4568" t="s">
        <v>160</v>
      </c>
      <c r="AA4568" t="s">
        <v>166</v>
      </c>
      <c r="AB4568">
        <v>3.7</v>
      </c>
      <c r="AC4568">
        <v>100</v>
      </c>
      <c r="AD4568">
        <v>771.27</v>
      </c>
      <c r="AE4568">
        <f t="shared" si="142"/>
        <v>1827.73</v>
      </c>
      <c r="AF4568" t="str">
        <f t="shared" si="143"/>
        <v>2026-08</v>
      </c>
      <c r="AG4568">
        <f>SUBTOTAL(103,A4568)</f>
        <v>1</v>
      </c>
    </row>
    <row r="4569" spans="1:33" x14ac:dyDescent="0.3">
      <c r="A4569" t="s">
        <v>7192</v>
      </c>
      <c r="B4569" s="13">
        <v>46241</v>
      </c>
      <c r="C4569">
        <v>2026</v>
      </c>
      <c r="D4569">
        <v>8</v>
      </c>
      <c r="E4569" t="s">
        <v>4301</v>
      </c>
      <c r="F4569" t="s">
        <v>4047</v>
      </c>
      <c r="G4569" t="s">
        <v>2135</v>
      </c>
      <c r="H4569" t="s">
        <v>2136</v>
      </c>
      <c r="I4569" t="s">
        <v>86</v>
      </c>
      <c r="J4569">
        <v>20</v>
      </c>
      <c r="K4569" t="s">
        <v>80</v>
      </c>
      <c r="L4569" t="s">
        <v>95</v>
      </c>
      <c r="M4569" t="s">
        <v>56</v>
      </c>
      <c r="N4569" t="s">
        <v>2577</v>
      </c>
      <c r="O4569" t="s">
        <v>129</v>
      </c>
      <c r="P4569" t="s">
        <v>49</v>
      </c>
      <c r="Q4569" t="s">
        <v>149</v>
      </c>
      <c r="R4569">
        <v>1</v>
      </c>
      <c r="S4569">
        <v>1299</v>
      </c>
      <c r="T4569">
        <v>0</v>
      </c>
      <c r="U4569">
        <v>1299</v>
      </c>
      <c r="V4569">
        <v>650</v>
      </c>
      <c r="W4569">
        <v>649</v>
      </c>
      <c r="X4569" t="s">
        <v>77</v>
      </c>
      <c r="Y4569" t="s">
        <v>69</v>
      </c>
      <c r="Z4569" t="s">
        <v>159</v>
      </c>
      <c r="AA4569" t="s">
        <v>170</v>
      </c>
      <c r="AB4569">
        <v>4.9000000000000004</v>
      </c>
      <c r="AC4569">
        <v>100</v>
      </c>
      <c r="AD4569">
        <v>78.650000000000006</v>
      </c>
      <c r="AE4569">
        <f t="shared" si="142"/>
        <v>470.35</v>
      </c>
      <c r="AF4569" t="str">
        <f t="shared" si="143"/>
        <v>2026-08</v>
      </c>
      <c r="AG4569">
        <f>SUBTOTAL(103,A4569)</f>
        <v>1</v>
      </c>
    </row>
    <row r="4570" spans="1:33" x14ac:dyDescent="0.3">
      <c r="A4570" t="s">
        <v>7193</v>
      </c>
      <c r="B4570" s="13">
        <v>46241</v>
      </c>
      <c r="C4570">
        <v>2026</v>
      </c>
      <c r="D4570">
        <v>8</v>
      </c>
      <c r="E4570" t="s">
        <v>4301</v>
      </c>
      <c r="F4570" t="s">
        <v>4047</v>
      </c>
      <c r="G4570" t="s">
        <v>971</v>
      </c>
      <c r="H4570" t="s">
        <v>972</v>
      </c>
      <c r="I4570" t="s">
        <v>85</v>
      </c>
      <c r="J4570">
        <v>59</v>
      </c>
      <c r="K4570" t="s">
        <v>83</v>
      </c>
      <c r="L4570" t="s">
        <v>2674</v>
      </c>
      <c r="M4570" t="s">
        <v>58</v>
      </c>
      <c r="N4570" t="s">
        <v>2580</v>
      </c>
      <c r="O4570" t="s">
        <v>118</v>
      </c>
      <c r="P4570" t="s">
        <v>48</v>
      </c>
      <c r="Q4570" t="s">
        <v>142</v>
      </c>
      <c r="R4570">
        <v>2</v>
      </c>
      <c r="S4570">
        <v>3999</v>
      </c>
      <c r="T4570">
        <v>0.15</v>
      </c>
      <c r="U4570">
        <v>6798.3</v>
      </c>
      <c r="V4570">
        <v>4800</v>
      </c>
      <c r="W4570">
        <v>1998.3</v>
      </c>
      <c r="X4570" t="s">
        <v>75</v>
      </c>
      <c r="Y4570" t="s">
        <v>68</v>
      </c>
      <c r="Z4570" t="s">
        <v>158</v>
      </c>
      <c r="AA4570" t="s">
        <v>166</v>
      </c>
      <c r="AB4570">
        <v>3.7</v>
      </c>
      <c r="AC4570">
        <v>80</v>
      </c>
      <c r="AD4570">
        <v>656.48</v>
      </c>
      <c r="AE4570">
        <f t="shared" si="142"/>
        <v>1261.82</v>
      </c>
      <c r="AF4570" t="str">
        <f t="shared" si="143"/>
        <v>2026-08</v>
      </c>
      <c r="AG4570">
        <f>SUBTOTAL(103,A4570)</f>
        <v>1</v>
      </c>
    </row>
    <row r="4571" spans="1:33" x14ac:dyDescent="0.3">
      <c r="A4571" t="s">
        <v>7194</v>
      </c>
      <c r="B4571" s="13">
        <v>46241</v>
      </c>
      <c r="C4571">
        <v>2026</v>
      </c>
      <c r="D4571">
        <v>8</v>
      </c>
      <c r="E4571" t="s">
        <v>4301</v>
      </c>
      <c r="F4571" t="s">
        <v>4047</v>
      </c>
      <c r="G4571" t="s">
        <v>1159</v>
      </c>
      <c r="H4571" t="s">
        <v>1160</v>
      </c>
      <c r="I4571" t="s">
        <v>86</v>
      </c>
      <c r="J4571">
        <v>37</v>
      </c>
      <c r="K4571" t="s">
        <v>82</v>
      </c>
      <c r="L4571" t="s">
        <v>2605</v>
      </c>
      <c r="M4571" t="s">
        <v>60</v>
      </c>
      <c r="N4571" t="s">
        <v>2657</v>
      </c>
      <c r="O4571" t="s">
        <v>134</v>
      </c>
      <c r="P4571" t="s">
        <v>49</v>
      </c>
      <c r="Q4571" t="s">
        <v>140</v>
      </c>
      <c r="R4571">
        <v>3</v>
      </c>
      <c r="S4571">
        <v>599</v>
      </c>
      <c r="T4571">
        <v>0.15</v>
      </c>
      <c r="U4571">
        <v>1527.45</v>
      </c>
      <c r="V4571">
        <v>750</v>
      </c>
      <c r="W4571">
        <v>777.45</v>
      </c>
      <c r="X4571" t="s">
        <v>73</v>
      </c>
      <c r="Y4571" t="s">
        <v>68</v>
      </c>
      <c r="Z4571" t="s">
        <v>159</v>
      </c>
      <c r="AA4571" t="s">
        <v>166</v>
      </c>
      <c r="AB4571">
        <v>5</v>
      </c>
      <c r="AC4571">
        <v>50</v>
      </c>
      <c r="AD4571">
        <v>180.24</v>
      </c>
      <c r="AE4571">
        <f t="shared" si="142"/>
        <v>547.21</v>
      </c>
      <c r="AF4571" t="str">
        <f t="shared" si="143"/>
        <v>2026-08</v>
      </c>
      <c r="AG4571">
        <f>SUBTOTAL(103,A4571)</f>
        <v>1</v>
      </c>
    </row>
    <row r="4572" spans="1:33" x14ac:dyDescent="0.3">
      <c r="A4572" t="s">
        <v>7195</v>
      </c>
      <c r="B4572" s="13">
        <v>46241</v>
      </c>
      <c r="C4572">
        <v>2026</v>
      </c>
      <c r="D4572">
        <v>8</v>
      </c>
      <c r="E4572" t="s">
        <v>4301</v>
      </c>
      <c r="F4572" t="s">
        <v>4047</v>
      </c>
      <c r="G4572" t="s">
        <v>1219</v>
      </c>
      <c r="H4572" t="s">
        <v>1220</v>
      </c>
      <c r="I4572" t="s">
        <v>86</v>
      </c>
      <c r="J4572">
        <v>58</v>
      </c>
      <c r="K4572" t="s">
        <v>83</v>
      </c>
      <c r="L4572" t="s">
        <v>2589</v>
      </c>
      <c r="M4572" t="s">
        <v>61</v>
      </c>
      <c r="N4572" t="s">
        <v>2577</v>
      </c>
      <c r="O4572" t="s">
        <v>129</v>
      </c>
      <c r="P4572" t="s">
        <v>49</v>
      </c>
      <c r="Q4572" t="s">
        <v>149</v>
      </c>
      <c r="R4572">
        <v>4</v>
      </c>
      <c r="S4572">
        <v>1299</v>
      </c>
      <c r="T4572">
        <v>0</v>
      </c>
      <c r="U4572">
        <v>5196</v>
      </c>
      <c r="V4572">
        <v>2600</v>
      </c>
      <c r="W4572">
        <v>2596</v>
      </c>
      <c r="X4572" t="s">
        <v>74</v>
      </c>
      <c r="Y4572" t="s">
        <v>68</v>
      </c>
      <c r="Z4572" t="s">
        <v>158</v>
      </c>
      <c r="AA4572" t="s">
        <v>169</v>
      </c>
      <c r="AB4572">
        <v>4.3</v>
      </c>
      <c r="AC4572">
        <v>100</v>
      </c>
      <c r="AD4572">
        <v>179.02</v>
      </c>
      <c r="AE4572">
        <f t="shared" si="142"/>
        <v>2316.98</v>
      </c>
      <c r="AF4572" t="str">
        <f t="shared" si="143"/>
        <v>2026-08</v>
      </c>
      <c r="AG4572">
        <f>SUBTOTAL(103,A4572)</f>
        <v>1</v>
      </c>
    </row>
    <row r="4573" spans="1:33" x14ac:dyDescent="0.3">
      <c r="A4573" t="s">
        <v>7196</v>
      </c>
      <c r="B4573" s="13">
        <v>46241</v>
      </c>
      <c r="C4573">
        <v>2026</v>
      </c>
      <c r="D4573">
        <v>8</v>
      </c>
      <c r="E4573" t="s">
        <v>4301</v>
      </c>
      <c r="F4573" t="s">
        <v>4047</v>
      </c>
      <c r="G4573" t="s">
        <v>1315</v>
      </c>
      <c r="H4573" t="s">
        <v>1316</v>
      </c>
      <c r="I4573" t="s">
        <v>85</v>
      </c>
      <c r="J4573">
        <v>30</v>
      </c>
      <c r="K4573" t="s">
        <v>81</v>
      </c>
      <c r="L4573" t="s">
        <v>2690</v>
      </c>
      <c r="M4573" t="s">
        <v>63</v>
      </c>
      <c r="N4573" t="s">
        <v>2653</v>
      </c>
      <c r="O4573" t="s">
        <v>132</v>
      </c>
      <c r="P4573" t="s">
        <v>52</v>
      </c>
      <c r="Q4573" t="s">
        <v>150</v>
      </c>
      <c r="R4573">
        <v>2</v>
      </c>
      <c r="S4573">
        <v>899</v>
      </c>
      <c r="T4573">
        <v>0.1</v>
      </c>
      <c r="U4573">
        <v>1618.2</v>
      </c>
      <c r="V4573">
        <v>840</v>
      </c>
      <c r="W4573">
        <v>778.2</v>
      </c>
      <c r="X4573" t="s">
        <v>76</v>
      </c>
      <c r="Y4573" t="s">
        <v>68</v>
      </c>
      <c r="Z4573" t="s">
        <v>163</v>
      </c>
      <c r="AA4573" t="s">
        <v>166</v>
      </c>
      <c r="AB4573">
        <v>3.7</v>
      </c>
      <c r="AC4573">
        <v>50</v>
      </c>
      <c r="AD4573">
        <v>166.34</v>
      </c>
      <c r="AE4573">
        <f t="shared" si="142"/>
        <v>561.86</v>
      </c>
      <c r="AF4573" t="str">
        <f t="shared" si="143"/>
        <v>2026-08</v>
      </c>
      <c r="AG4573">
        <f>SUBTOTAL(103,A4573)</f>
        <v>1</v>
      </c>
    </row>
    <row r="4574" spans="1:33" x14ac:dyDescent="0.3">
      <c r="A4574" t="s">
        <v>7197</v>
      </c>
      <c r="B4574" s="13">
        <v>46242</v>
      </c>
      <c r="C4574">
        <v>2026</v>
      </c>
      <c r="D4574">
        <v>8</v>
      </c>
      <c r="E4574" t="s">
        <v>4301</v>
      </c>
      <c r="F4574" t="s">
        <v>4047</v>
      </c>
      <c r="G4574" t="s">
        <v>1595</v>
      </c>
      <c r="H4574" t="s">
        <v>1596</v>
      </c>
      <c r="I4574" t="s">
        <v>85</v>
      </c>
      <c r="J4574">
        <v>49</v>
      </c>
      <c r="K4574" t="s">
        <v>83</v>
      </c>
      <c r="L4574" t="s">
        <v>92</v>
      </c>
      <c r="M4574" t="s">
        <v>59</v>
      </c>
      <c r="N4574" t="s">
        <v>2590</v>
      </c>
      <c r="O4574" t="s">
        <v>127</v>
      </c>
      <c r="P4574" t="s">
        <v>51</v>
      </c>
      <c r="Q4574" t="s">
        <v>148</v>
      </c>
      <c r="R4574">
        <v>3</v>
      </c>
      <c r="S4574">
        <v>1599</v>
      </c>
      <c r="T4574">
        <v>0</v>
      </c>
      <c r="U4574">
        <v>0</v>
      </c>
      <c r="V4574">
        <v>0</v>
      </c>
      <c r="W4574">
        <v>0</v>
      </c>
      <c r="X4574" t="s">
        <v>73</v>
      </c>
      <c r="Y4574" t="s">
        <v>71</v>
      </c>
      <c r="Z4574" t="s">
        <v>161</v>
      </c>
      <c r="AA4574" t="s">
        <v>168</v>
      </c>
      <c r="AB4574">
        <v>5</v>
      </c>
      <c r="AC4574">
        <v>60</v>
      </c>
      <c r="AD4574">
        <v>562.12</v>
      </c>
      <c r="AE4574">
        <f t="shared" si="142"/>
        <v>-622.12</v>
      </c>
      <c r="AF4574" t="str">
        <f t="shared" si="143"/>
        <v>2026-08</v>
      </c>
      <c r="AG4574">
        <f>SUBTOTAL(103,A4574)</f>
        <v>1</v>
      </c>
    </row>
    <row r="4575" spans="1:33" x14ac:dyDescent="0.3">
      <c r="A4575" t="s">
        <v>7198</v>
      </c>
      <c r="B4575" s="13">
        <v>46242</v>
      </c>
      <c r="C4575">
        <v>2026</v>
      </c>
      <c r="D4575">
        <v>8</v>
      </c>
      <c r="E4575" t="s">
        <v>4301</v>
      </c>
      <c r="F4575" t="s">
        <v>4047</v>
      </c>
      <c r="G4575" t="s">
        <v>2289</v>
      </c>
      <c r="H4575" t="s">
        <v>2290</v>
      </c>
      <c r="I4575" t="s">
        <v>86</v>
      </c>
      <c r="J4575">
        <v>52</v>
      </c>
      <c r="K4575" t="s">
        <v>83</v>
      </c>
      <c r="L4575" t="s">
        <v>97</v>
      </c>
      <c r="M4575" t="s">
        <v>57</v>
      </c>
      <c r="N4575" t="s">
        <v>2577</v>
      </c>
      <c r="O4575" t="s">
        <v>129</v>
      </c>
      <c r="P4575" t="s">
        <v>49</v>
      </c>
      <c r="Q4575" t="s">
        <v>149</v>
      </c>
      <c r="R4575">
        <v>4</v>
      </c>
      <c r="S4575">
        <v>1299</v>
      </c>
      <c r="T4575">
        <v>0.2</v>
      </c>
      <c r="U4575">
        <v>4156.8</v>
      </c>
      <c r="V4575">
        <v>2600</v>
      </c>
      <c r="W4575">
        <v>1556.8</v>
      </c>
      <c r="X4575" t="s">
        <v>74</v>
      </c>
      <c r="Y4575" t="s">
        <v>68</v>
      </c>
      <c r="Z4575" t="s">
        <v>162</v>
      </c>
      <c r="AA4575" t="s">
        <v>170</v>
      </c>
      <c r="AB4575">
        <v>3.9</v>
      </c>
      <c r="AC4575">
        <v>60</v>
      </c>
      <c r="AD4575">
        <v>319.37</v>
      </c>
      <c r="AE4575">
        <f t="shared" si="142"/>
        <v>1177.4299999999998</v>
      </c>
      <c r="AF4575" t="str">
        <f t="shared" si="143"/>
        <v>2026-08</v>
      </c>
      <c r="AG4575">
        <f>SUBTOTAL(103,A4575)</f>
        <v>1</v>
      </c>
    </row>
    <row r="4576" spans="1:33" x14ac:dyDescent="0.3">
      <c r="A4576" t="s">
        <v>7199</v>
      </c>
      <c r="B4576" s="13">
        <v>46242</v>
      </c>
      <c r="C4576">
        <v>2026</v>
      </c>
      <c r="D4576">
        <v>8</v>
      </c>
      <c r="E4576" t="s">
        <v>4301</v>
      </c>
      <c r="F4576" t="s">
        <v>4047</v>
      </c>
      <c r="G4576" t="s">
        <v>389</v>
      </c>
      <c r="H4576" t="s">
        <v>390</v>
      </c>
      <c r="I4576" t="s">
        <v>85</v>
      </c>
      <c r="J4576">
        <v>33</v>
      </c>
      <c r="K4576" t="s">
        <v>81</v>
      </c>
      <c r="L4576" t="s">
        <v>2623</v>
      </c>
      <c r="M4576" t="s">
        <v>61</v>
      </c>
      <c r="N4576" t="s">
        <v>2584</v>
      </c>
      <c r="O4576" t="s">
        <v>121</v>
      </c>
      <c r="P4576" t="s">
        <v>50</v>
      </c>
      <c r="Q4576" t="s">
        <v>144</v>
      </c>
      <c r="R4576">
        <v>1</v>
      </c>
      <c r="S4576">
        <v>2999</v>
      </c>
      <c r="T4576">
        <v>0</v>
      </c>
      <c r="U4576">
        <v>2999</v>
      </c>
      <c r="V4576">
        <v>1700</v>
      </c>
      <c r="W4576">
        <v>1299</v>
      </c>
      <c r="X4576" t="s">
        <v>74</v>
      </c>
      <c r="Y4576" t="s">
        <v>70</v>
      </c>
      <c r="Z4576" t="s">
        <v>161</v>
      </c>
      <c r="AA4576" t="s">
        <v>166</v>
      </c>
      <c r="AB4576">
        <v>4.3</v>
      </c>
      <c r="AC4576">
        <v>60</v>
      </c>
      <c r="AD4576">
        <v>102.7</v>
      </c>
      <c r="AE4576">
        <f t="shared" si="142"/>
        <v>1136.3</v>
      </c>
      <c r="AF4576" t="str">
        <f t="shared" si="143"/>
        <v>2026-08</v>
      </c>
      <c r="AG4576">
        <f>SUBTOTAL(103,A4576)</f>
        <v>1</v>
      </c>
    </row>
    <row r="4577" spans="1:33" x14ac:dyDescent="0.3">
      <c r="A4577" t="s">
        <v>7200</v>
      </c>
      <c r="B4577" s="13">
        <v>46242</v>
      </c>
      <c r="C4577">
        <v>2026</v>
      </c>
      <c r="D4577">
        <v>8</v>
      </c>
      <c r="E4577" t="s">
        <v>4301</v>
      </c>
      <c r="F4577" t="s">
        <v>4047</v>
      </c>
      <c r="G4577" t="s">
        <v>593</v>
      </c>
      <c r="H4577" t="s">
        <v>594</v>
      </c>
      <c r="I4577" t="s">
        <v>86</v>
      </c>
      <c r="J4577">
        <v>36</v>
      </c>
      <c r="K4577" t="s">
        <v>82</v>
      </c>
      <c r="L4577" t="s">
        <v>93</v>
      </c>
      <c r="M4577" t="s">
        <v>55</v>
      </c>
      <c r="N4577" t="s">
        <v>2647</v>
      </c>
      <c r="O4577" t="s">
        <v>133</v>
      </c>
      <c r="P4577" t="s">
        <v>50</v>
      </c>
      <c r="Q4577" t="s">
        <v>145</v>
      </c>
      <c r="R4577">
        <v>1</v>
      </c>
      <c r="S4577">
        <v>799</v>
      </c>
      <c r="T4577">
        <v>0.2</v>
      </c>
      <c r="U4577">
        <v>639.20000000000005</v>
      </c>
      <c r="V4577">
        <v>390</v>
      </c>
      <c r="W4577">
        <v>249.2</v>
      </c>
      <c r="X4577" t="s">
        <v>73</v>
      </c>
      <c r="Y4577" t="s">
        <v>68</v>
      </c>
      <c r="Z4577" t="s">
        <v>159</v>
      </c>
      <c r="AA4577" t="s">
        <v>168</v>
      </c>
      <c r="AB4577">
        <v>4.2</v>
      </c>
      <c r="AC4577">
        <v>80</v>
      </c>
      <c r="AD4577">
        <v>74.790000000000006</v>
      </c>
      <c r="AE4577">
        <f t="shared" si="142"/>
        <v>94.409999999999982</v>
      </c>
      <c r="AF4577" t="str">
        <f t="shared" si="143"/>
        <v>2026-08</v>
      </c>
      <c r="AG4577">
        <f>SUBTOTAL(103,A4577)</f>
        <v>1</v>
      </c>
    </row>
    <row r="4578" spans="1:33" x14ac:dyDescent="0.3">
      <c r="A4578" t="s">
        <v>7201</v>
      </c>
      <c r="B4578" s="13">
        <v>46242</v>
      </c>
      <c r="C4578">
        <v>2026</v>
      </c>
      <c r="D4578">
        <v>8</v>
      </c>
      <c r="E4578" t="s">
        <v>4301</v>
      </c>
      <c r="F4578" t="s">
        <v>4047</v>
      </c>
      <c r="G4578" t="s">
        <v>1889</v>
      </c>
      <c r="H4578" t="s">
        <v>1890</v>
      </c>
      <c r="I4578" t="s">
        <v>85</v>
      </c>
      <c r="J4578">
        <v>29</v>
      </c>
      <c r="K4578" t="s">
        <v>81</v>
      </c>
      <c r="L4578" t="s">
        <v>2637</v>
      </c>
      <c r="M4578" t="s">
        <v>64</v>
      </c>
      <c r="N4578" t="s">
        <v>2665</v>
      </c>
      <c r="O4578" t="s">
        <v>128</v>
      </c>
      <c r="P4578" t="s">
        <v>53</v>
      </c>
      <c r="Q4578" t="s">
        <v>143</v>
      </c>
      <c r="R4578">
        <v>4</v>
      </c>
      <c r="S4578">
        <v>1499</v>
      </c>
      <c r="T4578">
        <v>0.1</v>
      </c>
      <c r="U4578">
        <v>5396.4</v>
      </c>
      <c r="V4578">
        <v>3200</v>
      </c>
      <c r="W4578">
        <v>2196.4</v>
      </c>
      <c r="X4578" t="s">
        <v>73</v>
      </c>
      <c r="Y4578" t="s">
        <v>68</v>
      </c>
      <c r="Z4578" t="s">
        <v>161</v>
      </c>
      <c r="AA4578" t="s">
        <v>169</v>
      </c>
      <c r="AB4578">
        <v>3.4</v>
      </c>
      <c r="AC4578">
        <v>60</v>
      </c>
      <c r="AD4578">
        <v>312.81</v>
      </c>
      <c r="AE4578">
        <f t="shared" si="142"/>
        <v>1823.5900000000001</v>
      </c>
      <c r="AF4578" t="str">
        <f t="shared" si="143"/>
        <v>2026-08</v>
      </c>
      <c r="AG4578">
        <f>SUBTOTAL(103,A4578)</f>
        <v>1</v>
      </c>
    </row>
    <row r="4579" spans="1:33" x14ac:dyDescent="0.3">
      <c r="A4579" t="s">
        <v>7202</v>
      </c>
      <c r="B4579" s="13">
        <v>46242</v>
      </c>
      <c r="C4579">
        <v>2026</v>
      </c>
      <c r="D4579">
        <v>8</v>
      </c>
      <c r="E4579" t="s">
        <v>4301</v>
      </c>
      <c r="F4579" t="s">
        <v>4047</v>
      </c>
      <c r="G4579" t="s">
        <v>685</v>
      </c>
      <c r="H4579" t="s">
        <v>686</v>
      </c>
      <c r="I4579" t="s">
        <v>85</v>
      </c>
      <c r="J4579">
        <v>35</v>
      </c>
      <c r="K4579" t="s">
        <v>81</v>
      </c>
      <c r="L4579" t="s">
        <v>92</v>
      </c>
      <c r="M4579" t="s">
        <v>59</v>
      </c>
      <c r="N4579" t="s">
        <v>2584</v>
      </c>
      <c r="O4579" t="s">
        <v>121</v>
      </c>
      <c r="P4579" t="s">
        <v>50</v>
      </c>
      <c r="Q4579" t="s">
        <v>144</v>
      </c>
      <c r="R4579">
        <v>1</v>
      </c>
      <c r="S4579">
        <v>2999</v>
      </c>
      <c r="T4579">
        <v>0</v>
      </c>
      <c r="U4579">
        <v>2999</v>
      </c>
      <c r="V4579">
        <v>1700</v>
      </c>
      <c r="W4579">
        <v>1299</v>
      </c>
      <c r="X4579" t="s">
        <v>74</v>
      </c>
      <c r="Y4579" t="s">
        <v>68</v>
      </c>
      <c r="Z4579" t="s">
        <v>161</v>
      </c>
      <c r="AA4579" t="s">
        <v>168</v>
      </c>
      <c r="AB4579">
        <v>4.5</v>
      </c>
      <c r="AC4579">
        <v>50</v>
      </c>
      <c r="AD4579">
        <v>88.15</v>
      </c>
      <c r="AE4579">
        <f t="shared" si="142"/>
        <v>1160.8499999999999</v>
      </c>
      <c r="AF4579" t="str">
        <f t="shared" si="143"/>
        <v>2026-08</v>
      </c>
      <c r="AG4579">
        <f>SUBTOTAL(103,A4579)</f>
        <v>1</v>
      </c>
    </row>
    <row r="4580" spans="1:33" x14ac:dyDescent="0.3">
      <c r="A4580" t="s">
        <v>7203</v>
      </c>
      <c r="B4580" s="13">
        <v>46243</v>
      </c>
      <c r="C4580">
        <v>2026</v>
      </c>
      <c r="D4580">
        <v>8</v>
      </c>
      <c r="E4580" t="s">
        <v>4301</v>
      </c>
      <c r="F4580" t="s">
        <v>4047</v>
      </c>
      <c r="G4580" t="s">
        <v>289</v>
      </c>
      <c r="H4580" t="s">
        <v>290</v>
      </c>
      <c r="I4580" t="s">
        <v>86</v>
      </c>
      <c r="J4580">
        <v>24</v>
      </c>
      <c r="K4580" t="s">
        <v>80</v>
      </c>
      <c r="L4580" t="s">
        <v>2579</v>
      </c>
      <c r="M4580" t="s">
        <v>56</v>
      </c>
      <c r="N4580" t="s">
        <v>2582</v>
      </c>
      <c r="O4580" t="s">
        <v>119</v>
      </c>
      <c r="P4580" t="s">
        <v>49</v>
      </c>
      <c r="Q4580" t="s">
        <v>140</v>
      </c>
      <c r="R4580">
        <v>4</v>
      </c>
      <c r="S4580">
        <v>3499</v>
      </c>
      <c r="T4580">
        <v>0.1</v>
      </c>
      <c r="U4580">
        <v>12596.4</v>
      </c>
      <c r="V4580">
        <v>8400</v>
      </c>
      <c r="W4580">
        <v>4196.3999999999996</v>
      </c>
      <c r="X4580" t="s">
        <v>76</v>
      </c>
      <c r="Y4580" t="s">
        <v>68</v>
      </c>
      <c r="Z4580" t="s">
        <v>159</v>
      </c>
      <c r="AA4580" t="s">
        <v>166</v>
      </c>
      <c r="AB4580">
        <v>4.5999999999999996</v>
      </c>
      <c r="AC4580">
        <v>50</v>
      </c>
      <c r="AD4580">
        <v>825.14</v>
      </c>
      <c r="AE4580">
        <f t="shared" si="142"/>
        <v>3321.2599999999998</v>
      </c>
      <c r="AF4580" t="str">
        <f t="shared" si="143"/>
        <v>2026-08</v>
      </c>
      <c r="AG4580">
        <f>SUBTOTAL(103,A4580)</f>
        <v>1</v>
      </c>
    </row>
    <row r="4581" spans="1:33" x14ac:dyDescent="0.3">
      <c r="A4581" t="s">
        <v>7204</v>
      </c>
      <c r="B4581" s="13">
        <v>46243</v>
      </c>
      <c r="C4581">
        <v>2026</v>
      </c>
      <c r="D4581">
        <v>8</v>
      </c>
      <c r="E4581" t="s">
        <v>4301</v>
      </c>
      <c r="F4581" t="s">
        <v>4047</v>
      </c>
      <c r="G4581" t="s">
        <v>217</v>
      </c>
      <c r="H4581" t="s">
        <v>218</v>
      </c>
      <c r="I4581" t="s">
        <v>85</v>
      </c>
      <c r="J4581">
        <v>42</v>
      </c>
      <c r="K4581" t="s">
        <v>82</v>
      </c>
      <c r="L4581" t="s">
        <v>94</v>
      </c>
      <c r="M4581" t="s">
        <v>57</v>
      </c>
      <c r="N4581" t="s">
        <v>2580</v>
      </c>
      <c r="O4581" t="s">
        <v>118</v>
      </c>
      <c r="P4581" t="s">
        <v>48</v>
      </c>
      <c r="Q4581" t="s">
        <v>142</v>
      </c>
      <c r="R4581">
        <v>1</v>
      </c>
      <c r="S4581">
        <v>3999</v>
      </c>
      <c r="T4581">
        <v>0.1</v>
      </c>
      <c r="U4581">
        <v>3599.1</v>
      </c>
      <c r="V4581">
        <v>2400</v>
      </c>
      <c r="W4581">
        <v>1199.0999999999999</v>
      </c>
      <c r="X4581" t="s">
        <v>74</v>
      </c>
      <c r="Y4581" t="s">
        <v>68</v>
      </c>
      <c r="Z4581" t="s">
        <v>160</v>
      </c>
      <c r="AA4581" t="s">
        <v>166</v>
      </c>
      <c r="AB4581">
        <v>3.3</v>
      </c>
      <c r="AC4581">
        <v>50</v>
      </c>
      <c r="AD4581">
        <v>287.27999999999997</v>
      </c>
      <c r="AE4581">
        <f t="shared" si="142"/>
        <v>861.81999999999994</v>
      </c>
      <c r="AF4581" t="str">
        <f t="shared" si="143"/>
        <v>2026-08</v>
      </c>
      <c r="AG4581">
        <f>SUBTOTAL(103,A4581)</f>
        <v>1</v>
      </c>
    </row>
    <row r="4582" spans="1:33" x14ac:dyDescent="0.3">
      <c r="A4582" t="s">
        <v>7205</v>
      </c>
      <c r="B4582" s="13">
        <v>46243</v>
      </c>
      <c r="C4582">
        <v>2026</v>
      </c>
      <c r="D4582">
        <v>8</v>
      </c>
      <c r="E4582" t="s">
        <v>4301</v>
      </c>
      <c r="F4582" t="s">
        <v>4047</v>
      </c>
      <c r="G4582" t="s">
        <v>2253</v>
      </c>
      <c r="H4582" t="s">
        <v>2254</v>
      </c>
      <c r="I4582" t="s">
        <v>85</v>
      </c>
      <c r="J4582">
        <v>38</v>
      </c>
      <c r="K4582" t="s">
        <v>82</v>
      </c>
      <c r="L4582" t="s">
        <v>99</v>
      </c>
      <c r="M4582" t="s">
        <v>58</v>
      </c>
      <c r="N4582" t="s">
        <v>2590</v>
      </c>
      <c r="O4582" t="s">
        <v>127</v>
      </c>
      <c r="P4582" t="s">
        <v>51</v>
      </c>
      <c r="Q4582" t="s">
        <v>148</v>
      </c>
      <c r="R4582">
        <v>1</v>
      </c>
      <c r="S4582">
        <v>1599</v>
      </c>
      <c r="T4582">
        <v>0</v>
      </c>
      <c r="U4582">
        <v>1599</v>
      </c>
      <c r="V4582">
        <v>800</v>
      </c>
      <c r="W4582">
        <v>799</v>
      </c>
      <c r="X4582" t="s">
        <v>73</v>
      </c>
      <c r="Y4582" t="s">
        <v>68</v>
      </c>
      <c r="Z4582" t="s">
        <v>162</v>
      </c>
      <c r="AA4582" t="s">
        <v>169</v>
      </c>
      <c r="AB4582">
        <v>5</v>
      </c>
      <c r="AC4582">
        <v>60</v>
      </c>
      <c r="AD4582">
        <v>146.66</v>
      </c>
      <c r="AE4582">
        <f t="shared" si="142"/>
        <v>592.34</v>
      </c>
      <c r="AF4582" t="str">
        <f t="shared" si="143"/>
        <v>2026-08</v>
      </c>
      <c r="AG4582">
        <f>SUBTOTAL(103,A4582)</f>
        <v>1</v>
      </c>
    </row>
    <row r="4583" spans="1:33" x14ac:dyDescent="0.3">
      <c r="A4583" t="s">
        <v>7206</v>
      </c>
      <c r="B4583" s="13">
        <v>46243</v>
      </c>
      <c r="C4583">
        <v>2026</v>
      </c>
      <c r="D4583">
        <v>8</v>
      </c>
      <c r="E4583" t="s">
        <v>4301</v>
      </c>
      <c r="F4583" t="s">
        <v>4047</v>
      </c>
      <c r="G4583" t="s">
        <v>1419</v>
      </c>
      <c r="H4583" t="s">
        <v>1420</v>
      </c>
      <c r="I4583" t="s">
        <v>85</v>
      </c>
      <c r="J4583">
        <v>60</v>
      </c>
      <c r="K4583" t="s">
        <v>83</v>
      </c>
      <c r="L4583" t="s">
        <v>97</v>
      </c>
      <c r="M4583" t="s">
        <v>57</v>
      </c>
      <c r="N4583" t="s">
        <v>2592</v>
      </c>
      <c r="O4583" t="s">
        <v>115</v>
      </c>
      <c r="P4583" t="s">
        <v>48</v>
      </c>
      <c r="Q4583" t="s">
        <v>137</v>
      </c>
      <c r="R4583">
        <v>1</v>
      </c>
      <c r="S4583">
        <v>12999</v>
      </c>
      <c r="T4583">
        <v>0</v>
      </c>
      <c r="U4583">
        <v>12999</v>
      </c>
      <c r="V4583">
        <v>9000</v>
      </c>
      <c r="W4583">
        <v>3999</v>
      </c>
      <c r="X4583" t="s">
        <v>73</v>
      </c>
      <c r="Y4583" t="s">
        <v>68</v>
      </c>
      <c r="Z4583" t="s">
        <v>158</v>
      </c>
      <c r="AA4583" t="s">
        <v>171</v>
      </c>
      <c r="AB4583">
        <v>4.2</v>
      </c>
      <c r="AC4583">
        <v>60</v>
      </c>
      <c r="AD4583">
        <v>866.9</v>
      </c>
      <c r="AE4583">
        <f t="shared" si="142"/>
        <v>3072.1</v>
      </c>
      <c r="AF4583" t="str">
        <f t="shared" si="143"/>
        <v>2026-08</v>
      </c>
      <c r="AG4583">
        <f>SUBTOTAL(103,A4583)</f>
        <v>1</v>
      </c>
    </row>
    <row r="4584" spans="1:33" x14ac:dyDescent="0.3">
      <c r="A4584" t="s">
        <v>7207</v>
      </c>
      <c r="B4584" s="13">
        <v>46243</v>
      </c>
      <c r="C4584">
        <v>2026</v>
      </c>
      <c r="D4584">
        <v>8</v>
      </c>
      <c r="E4584" t="s">
        <v>4301</v>
      </c>
      <c r="F4584" t="s">
        <v>4047</v>
      </c>
      <c r="G4584" t="s">
        <v>1573</v>
      </c>
      <c r="H4584" t="s">
        <v>1574</v>
      </c>
      <c r="I4584" t="s">
        <v>85</v>
      </c>
      <c r="J4584">
        <v>52</v>
      </c>
      <c r="K4584" t="s">
        <v>83</v>
      </c>
      <c r="L4584" t="s">
        <v>2605</v>
      </c>
      <c r="M4584" t="s">
        <v>60</v>
      </c>
      <c r="N4584" t="s">
        <v>2590</v>
      </c>
      <c r="O4584" t="s">
        <v>127</v>
      </c>
      <c r="P4584" t="s">
        <v>51</v>
      </c>
      <c r="Q4584" t="s">
        <v>148</v>
      </c>
      <c r="R4584">
        <v>2</v>
      </c>
      <c r="S4584">
        <v>1599</v>
      </c>
      <c r="T4584">
        <v>0</v>
      </c>
      <c r="U4584">
        <v>0</v>
      </c>
      <c r="V4584">
        <v>0</v>
      </c>
      <c r="W4584">
        <v>0</v>
      </c>
      <c r="X4584" t="s">
        <v>73</v>
      </c>
      <c r="Y4584" t="s">
        <v>71</v>
      </c>
      <c r="Z4584" t="s">
        <v>161</v>
      </c>
      <c r="AA4584" t="s">
        <v>171</v>
      </c>
      <c r="AB4584">
        <v>3.8</v>
      </c>
      <c r="AC4584">
        <v>50</v>
      </c>
      <c r="AD4584">
        <v>258.11</v>
      </c>
      <c r="AE4584">
        <f t="shared" si="142"/>
        <v>-308.11</v>
      </c>
      <c r="AF4584" t="str">
        <f t="shared" si="143"/>
        <v>2026-08</v>
      </c>
      <c r="AG4584">
        <f>SUBTOTAL(103,A4584)</f>
        <v>1</v>
      </c>
    </row>
    <row r="4585" spans="1:33" x14ac:dyDescent="0.3">
      <c r="A4585" t="s">
        <v>7208</v>
      </c>
      <c r="B4585" s="13">
        <v>46243</v>
      </c>
      <c r="C4585">
        <v>2026</v>
      </c>
      <c r="D4585">
        <v>8</v>
      </c>
      <c r="E4585" t="s">
        <v>4301</v>
      </c>
      <c r="F4585" t="s">
        <v>4047</v>
      </c>
      <c r="G4585" t="s">
        <v>1857</v>
      </c>
      <c r="H4585" t="s">
        <v>1858</v>
      </c>
      <c r="I4585" t="s">
        <v>86</v>
      </c>
      <c r="J4585">
        <v>32</v>
      </c>
      <c r="K4585" t="s">
        <v>81</v>
      </c>
      <c r="L4585" t="s">
        <v>2599</v>
      </c>
      <c r="M4585" t="s">
        <v>62</v>
      </c>
      <c r="N4585" t="s">
        <v>2596</v>
      </c>
      <c r="O4585" t="s">
        <v>124</v>
      </c>
      <c r="P4585" t="s">
        <v>51</v>
      </c>
      <c r="Q4585" t="s">
        <v>147</v>
      </c>
      <c r="R4585">
        <v>3</v>
      </c>
      <c r="S4585">
        <v>2299</v>
      </c>
      <c r="T4585">
        <v>0.25</v>
      </c>
      <c r="U4585">
        <v>5172.75</v>
      </c>
      <c r="V4585">
        <v>3600</v>
      </c>
      <c r="W4585">
        <v>1572.75</v>
      </c>
      <c r="X4585" t="s">
        <v>76</v>
      </c>
      <c r="Y4585" t="s">
        <v>68</v>
      </c>
      <c r="Z4585" t="s">
        <v>161</v>
      </c>
      <c r="AA4585" t="s">
        <v>167</v>
      </c>
      <c r="AB4585">
        <v>3.5</v>
      </c>
      <c r="AC4585">
        <v>50</v>
      </c>
      <c r="AD4585">
        <v>600.42999999999995</v>
      </c>
      <c r="AE4585">
        <f t="shared" si="142"/>
        <v>922.32</v>
      </c>
      <c r="AF4585" t="str">
        <f t="shared" si="143"/>
        <v>2026-08</v>
      </c>
      <c r="AG4585">
        <f>SUBTOTAL(103,A4585)</f>
        <v>1</v>
      </c>
    </row>
    <row r="4586" spans="1:33" x14ac:dyDescent="0.3">
      <c r="A4586" t="s">
        <v>7209</v>
      </c>
      <c r="B4586" s="13">
        <v>46243</v>
      </c>
      <c r="C4586">
        <v>2026</v>
      </c>
      <c r="D4586">
        <v>8</v>
      </c>
      <c r="E4586" t="s">
        <v>4301</v>
      </c>
      <c r="F4586" t="s">
        <v>4047</v>
      </c>
      <c r="G4586" t="s">
        <v>1751</v>
      </c>
      <c r="H4586" t="s">
        <v>1752</v>
      </c>
      <c r="I4586" t="s">
        <v>86</v>
      </c>
      <c r="J4586">
        <v>29</v>
      </c>
      <c r="K4586" t="s">
        <v>81</v>
      </c>
      <c r="L4586" t="s">
        <v>94</v>
      </c>
      <c r="M4586" t="s">
        <v>57</v>
      </c>
      <c r="N4586" t="s">
        <v>2590</v>
      </c>
      <c r="O4586" t="s">
        <v>127</v>
      </c>
      <c r="P4586" t="s">
        <v>51</v>
      </c>
      <c r="Q4586" t="s">
        <v>148</v>
      </c>
      <c r="R4586">
        <v>4</v>
      </c>
      <c r="S4586">
        <v>1599</v>
      </c>
      <c r="T4586">
        <v>0</v>
      </c>
      <c r="U4586">
        <v>6396</v>
      </c>
      <c r="V4586">
        <v>3200</v>
      </c>
      <c r="W4586">
        <v>3196</v>
      </c>
      <c r="X4586" t="s">
        <v>74</v>
      </c>
      <c r="Y4586" t="s">
        <v>70</v>
      </c>
      <c r="Z4586" t="s">
        <v>158</v>
      </c>
      <c r="AA4586" t="s">
        <v>166</v>
      </c>
      <c r="AB4586">
        <v>4.2</v>
      </c>
      <c r="AC4586">
        <v>60</v>
      </c>
      <c r="AD4586">
        <v>622.04999999999995</v>
      </c>
      <c r="AE4586">
        <f t="shared" si="142"/>
        <v>2513.9499999999998</v>
      </c>
      <c r="AF4586" t="str">
        <f t="shared" si="143"/>
        <v>2026-08</v>
      </c>
      <c r="AG4586">
        <f>SUBTOTAL(103,A4586)</f>
        <v>1</v>
      </c>
    </row>
    <row r="4587" spans="1:33" x14ac:dyDescent="0.3">
      <c r="A4587" t="s">
        <v>7210</v>
      </c>
      <c r="B4587" s="13">
        <v>46244</v>
      </c>
      <c r="C4587">
        <v>2026</v>
      </c>
      <c r="D4587">
        <v>8</v>
      </c>
      <c r="E4587" t="s">
        <v>4301</v>
      </c>
      <c r="F4587" t="s">
        <v>4047</v>
      </c>
      <c r="G4587" t="s">
        <v>317</v>
      </c>
      <c r="H4587" t="s">
        <v>318</v>
      </c>
      <c r="I4587" t="s">
        <v>85</v>
      </c>
      <c r="J4587">
        <v>56</v>
      </c>
      <c r="K4587" t="s">
        <v>83</v>
      </c>
      <c r="L4587" t="s">
        <v>97</v>
      </c>
      <c r="M4587" t="s">
        <v>57</v>
      </c>
      <c r="N4587" t="s">
        <v>2606</v>
      </c>
      <c r="O4587" t="s">
        <v>120</v>
      </c>
      <c r="P4587" t="s">
        <v>49</v>
      </c>
      <c r="Q4587" t="s">
        <v>140</v>
      </c>
      <c r="R4587">
        <v>1</v>
      </c>
      <c r="S4587">
        <v>2799</v>
      </c>
      <c r="T4587">
        <v>0.05</v>
      </c>
      <c r="U4587">
        <v>2659.05</v>
      </c>
      <c r="V4587">
        <v>1650</v>
      </c>
      <c r="W4587">
        <v>1009.05</v>
      </c>
      <c r="X4587" t="s">
        <v>75</v>
      </c>
      <c r="Y4587" t="s">
        <v>68</v>
      </c>
      <c r="Z4587" t="s">
        <v>161</v>
      </c>
      <c r="AA4587" t="s">
        <v>168</v>
      </c>
      <c r="AB4587">
        <v>4.7</v>
      </c>
      <c r="AC4587">
        <v>100</v>
      </c>
      <c r="AD4587">
        <v>183.59</v>
      </c>
      <c r="AE4587">
        <f t="shared" si="142"/>
        <v>725.45999999999992</v>
      </c>
      <c r="AF4587" t="str">
        <f t="shared" si="143"/>
        <v>2026-08</v>
      </c>
      <c r="AG4587">
        <f>SUBTOTAL(103,A4587)</f>
        <v>1</v>
      </c>
    </row>
    <row r="4588" spans="1:33" x14ac:dyDescent="0.3">
      <c r="A4588" t="s">
        <v>7211</v>
      </c>
      <c r="B4588" s="13">
        <v>46244</v>
      </c>
      <c r="C4588">
        <v>2026</v>
      </c>
      <c r="D4588">
        <v>8</v>
      </c>
      <c r="E4588" t="s">
        <v>4301</v>
      </c>
      <c r="F4588" t="s">
        <v>4047</v>
      </c>
      <c r="G4588" t="s">
        <v>421</v>
      </c>
      <c r="H4588" t="s">
        <v>422</v>
      </c>
      <c r="I4588" t="s">
        <v>86</v>
      </c>
      <c r="J4588">
        <v>47</v>
      </c>
      <c r="K4588" t="s">
        <v>83</v>
      </c>
      <c r="L4588" t="s">
        <v>2589</v>
      </c>
      <c r="M4588" t="s">
        <v>61</v>
      </c>
      <c r="N4588" t="s">
        <v>2601</v>
      </c>
      <c r="O4588" t="s">
        <v>117</v>
      </c>
      <c r="P4588" t="s">
        <v>49</v>
      </c>
      <c r="Q4588" t="s">
        <v>139</v>
      </c>
      <c r="R4588">
        <v>2</v>
      </c>
      <c r="S4588">
        <v>6999</v>
      </c>
      <c r="T4588">
        <v>0.1</v>
      </c>
      <c r="U4588">
        <v>12598.2</v>
      </c>
      <c r="V4588">
        <v>8600</v>
      </c>
      <c r="W4588">
        <v>3998.2</v>
      </c>
      <c r="X4588" t="s">
        <v>73</v>
      </c>
      <c r="Y4588" t="s">
        <v>68</v>
      </c>
      <c r="Z4588" t="s">
        <v>159</v>
      </c>
      <c r="AA4588" t="s">
        <v>169</v>
      </c>
      <c r="AB4588">
        <v>3.1</v>
      </c>
      <c r="AC4588">
        <v>40</v>
      </c>
      <c r="AD4588">
        <v>750.57</v>
      </c>
      <c r="AE4588">
        <f t="shared" si="142"/>
        <v>3207.6299999999997</v>
      </c>
      <c r="AF4588" t="str">
        <f t="shared" si="143"/>
        <v>2026-08</v>
      </c>
      <c r="AG4588">
        <f>SUBTOTAL(103,A4588)</f>
        <v>1</v>
      </c>
    </row>
    <row r="4589" spans="1:33" x14ac:dyDescent="0.3">
      <c r="A4589" t="s">
        <v>7212</v>
      </c>
      <c r="B4589" s="13">
        <v>46244</v>
      </c>
      <c r="C4589">
        <v>2026</v>
      </c>
      <c r="D4589">
        <v>8</v>
      </c>
      <c r="E4589" t="s">
        <v>4301</v>
      </c>
      <c r="F4589" t="s">
        <v>4047</v>
      </c>
      <c r="G4589" t="s">
        <v>1047</v>
      </c>
      <c r="H4589" t="s">
        <v>1048</v>
      </c>
      <c r="I4589" t="s">
        <v>85</v>
      </c>
      <c r="J4589">
        <v>40</v>
      </c>
      <c r="K4589" t="s">
        <v>82</v>
      </c>
      <c r="L4589" t="s">
        <v>96</v>
      </c>
      <c r="M4589" t="s">
        <v>55</v>
      </c>
      <c r="N4589" t="s">
        <v>2601</v>
      </c>
      <c r="O4589" t="s">
        <v>117</v>
      </c>
      <c r="P4589" t="s">
        <v>49</v>
      </c>
      <c r="Q4589" t="s">
        <v>139</v>
      </c>
      <c r="R4589">
        <v>2</v>
      </c>
      <c r="S4589">
        <v>6999</v>
      </c>
      <c r="T4589">
        <v>0</v>
      </c>
      <c r="U4589">
        <v>13998</v>
      </c>
      <c r="V4589">
        <v>8600</v>
      </c>
      <c r="W4589">
        <v>5398</v>
      </c>
      <c r="X4589" t="s">
        <v>76</v>
      </c>
      <c r="Y4589" t="s">
        <v>68</v>
      </c>
      <c r="Z4589" t="s">
        <v>159</v>
      </c>
      <c r="AA4589" t="s">
        <v>166</v>
      </c>
      <c r="AB4589">
        <v>3.9</v>
      </c>
      <c r="AC4589">
        <v>80</v>
      </c>
      <c r="AD4589">
        <v>1111.1400000000001</v>
      </c>
      <c r="AE4589">
        <f t="shared" si="142"/>
        <v>4206.8599999999997</v>
      </c>
      <c r="AF4589" t="str">
        <f t="shared" si="143"/>
        <v>2026-08</v>
      </c>
      <c r="AG4589">
        <f>SUBTOTAL(103,A4589)</f>
        <v>1</v>
      </c>
    </row>
    <row r="4590" spans="1:33" x14ac:dyDescent="0.3">
      <c r="A4590" t="s">
        <v>7213</v>
      </c>
      <c r="B4590" s="13">
        <v>46244</v>
      </c>
      <c r="C4590">
        <v>2026</v>
      </c>
      <c r="D4590">
        <v>8</v>
      </c>
      <c r="E4590" t="s">
        <v>4301</v>
      </c>
      <c r="F4590" t="s">
        <v>4047</v>
      </c>
      <c r="G4590" t="s">
        <v>483</v>
      </c>
      <c r="H4590" t="s">
        <v>484</v>
      </c>
      <c r="I4590" t="s">
        <v>85</v>
      </c>
      <c r="J4590">
        <v>32</v>
      </c>
      <c r="K4590" t="s">
        <v>81</v>
      </c>
      <c r="L4590" t="s">
        <v>2605</v>
      </c>
      <c r="M4590" t="s">
        <v>60</v>
      </c>
      <c r="N4590" t="s">
        <v>2590</v>
      </c>
      <c r="O4590" t="s">
        <v>127</v>
      </c>
      <c r="P4590" t="s">
        <v>51</v>
      </c>
      <c r="Q4590" t="s">
        <v>148</v>
      </c>
      <c r="R4590">
        <v>2</v>
      </c>
      <c r="S4590">
        <v>1599</v>
      </c>
      <c r="T4590">
        <v>0.05</v>
      </c>
      <c r="U4590">
        <v>3038.1</v>
      </c>
      <c r="V4590">
        <v>1600</v>
      </c>
      <c r="W4590">
        <v>1438.1</v>
      </c>
      <c r="X4590" t="s">
        <v>73</v>
      </c>
      <c r="Y4590" t="s">
        <v>70</v>
      </c>
      <c r="Z4590" t="s">
        <v>158</v>
      </c>
      <c r="AA4590" t="s">
        <v>170</v>
      </c>
      <c r="AB4590">
        <v>4.5</v>
      </c>
      <c r="AC4590">
        <v>50</v>
      </c>
      <c r="AD4590">
        <v>180.42</v>
      </c>
      <c r="AE4590">
        <f t="shared" si="142"/>
        <v>1207.6799999999998</v>
      </c>
      <c r="AF4590" t="str">
        <f t="shared" si="143"/>
        <v>2026-08</v>
      </c>
      <c r="AG4590">
        <f>SUBTOTAL(103,A4590)</f>
        <v>1</v>
      </c>
    </row>
    <row r="4591" spans="1:33" x14ac:dyDescent="0.3">
      <c r="A4591" t="s">
        <v>7214</v>
      </c>
      <c r="B4591" s="13">
        <v>46244</v>
      </c>
      <c r="C4591">
        <v>2026</v>
      </c>
      <c r="D4591">
        <v>8</v>
      </c>
      <c r="E4591" t="s">
        <v>4301</v>
      </c>
      <c r="F4591" t="s">
        <v>4047</v>
      </c>
      <c r="G4591" t="s">
        <v>1033</v>
      </c>
      <c r="H4591" t="s">
        <v>1034</v>
      </c>
      <c r="I4591" t="s">
        <v>86</v>
      </c>
      <c r="J4591">
        <v>19</v>
      </c>
      <c r="K4591" t="s">
        <v>80</v>
      </c>
      <c r="L4591" t="s">
        <v>2586</v>
      </c>
      <c r="M4591" t="s">
        <v>62</v>
      </c>
      <c r="N4591" t="s">
        <v>2594</v>
      </c>
      <c r="O4591" t="s">
        <v>131</v>
      </c>
      <c r="P4591" t="s">
        <v>53</v>
      </c>
      <c r="Q4591" t="s">
        <v>143</v>
      </c>
      <c r="R4591">
        <v>1</v>
      </c>
      <c r="S4591">
        <v>999</v>
      </c>
      <c r="T4591">
        <v>0</v>
      </c>
      <c r="U4591">
        <v>999</v>
      </c>
      <c r="V4591">
        <v>520</v>
      </c>
      <c r="W4591">
        <v>479</v>
      </c>
      <c r="X4591" t="s">
        <v>77</v>
      </c>
      <c r="Y4591" t="s">
        <v>68</v>
      </c>
      <c r="Z4591" t="s">
        <v>160</v>
      </c>
      <c r="AA4591" t="s">
        <v>168</v>
      </c>
      <c r="AB4591">
        <v>3.8</v>
      </c>
      <c r="AC4591">
        <v>80</v>
      </c>
      <c r="AD4591">
        <v>101.73</v>
      </c>
      <c r="AE4591">
        <f t="shared" si="142"/>
        <v>297.27</v>
      </c>
      <c r="AF4591" t="str">
        <f t="shared" si="143"/>
        <v>2026-08</v>
      </c>
      <c r="AG4591">
        <f>SUBTOTAL(103,A4591)</f>
        <v>1</v>
      </c>
    </row>
    <row r="4592" spans="1:33" x14ac:dyDescent="0.3">
      <c r="A4592" t="s">
        <v>7215</v>
      </c>
      <c r="B4592" s="13">
        <v>46244</v>
      </c>
      <c r="C4592">
        <v>2026</v>
      </c>
      <c r="D4592">
        <v>8</v>
      </c>
      <c r="E4592" t="s">
        <v>4301</v>
      </c>
      <c r="F4592" t="s">
        <v>4047</v>
      </c>
      <c r="G4592" t="s">
        <v>1637</v>
      </c>
      <c r="H4592" t="s">
        <v>1638</v>
      </c>
      <c r="I4592" t="s">
        <v>86</v>
      </c>
      <c r="J4592">
        <v>48</v>
      </c>
      <c r="K4592" t="s">
        <v>83</v>
      </c>
      <c r="L4592" t="s">
        <v>2661</v>
      </c>
      <c r="M4592" t="s">
        <v>58</v>
      </c>
      <c r="N4592" t="s">
        <v>2665</v>
      </c>
      <c r="O4592" t="s">
        <v>128</v>
      </c>
      <c r="P4592" t="s">
        <v>53</v>
      </c>
      <c r="Q4592" t="s">
        <v>143</v>
      </c>
      <c r="R4592">
        <v>1</v>
      </c>
      <c r="S4592">
        <v>1499</v>
      </c>
      <c r="T4592">
        <v>0</v>
      </c>
      <c r="U4592">
        <v>1499</v>
      </c>
      <c r="V4592">
        <v>800</v>
      </c>
      <c r="W4592">
        <v>699</v>
      </c>
      <c r="X4592" t="s">
        <v>77</v>
      </c>
      <c r="Y4592" t="s">
        <v>68</v>
      </c>
      <c r="Z4592" t="s">
        <v>162</v>
      </c>
      <c r="AA4592" t="s">
        <v>166</v>
      </c>
      <c r="AB4592">
        <v>5</v>
      </c>
      <c r="AC4592">
        <v>80</v>
      </c>
      <c r="AD4592">
        <v>156.30000000000001</v>
      </c>
      <c r="AE4592">
        <f t="shared" si="142"/>
        <v>462.7</v>
      </c>
      <c r="AF4592" t="str">
        <f t="shared" si="143"/>
        <v>2026-08</v>
      </c>
      <c r="AG4592">
        <f>SUBTOTAL(103,A4592)</f>
        <v>1</v>
      </c>
    </row>
    <row r="4593" spans="1:33" x14ac:dyDescent="0.3">
      <c r="A4593" t="s">
        <v>7216</v>
      </c>
      <c r="B4593" s="13">
        <v>46245</v>
      </c>
      <c r="C4593">
        <v>2026</v>
      </c>
      <c r="D4593">
        <v>8</v>
      </c>
      <c r="E4593" t="s">
        <v>4301</v>
      </c>
      <c r="F4593" t="s">
        <v>4047</v>
      </c>
      <c r="G4593" t="s">
        <v>2337</v>
      </c>
      <c r="H4593" t="s">
        <v>2338</v>
      </c>
      <c r="I4593" t="s">
        <v>85</v>
      </c>
      <c r="J4593">
        <v>21</v>
      </c>
      <c r="K4593" t="s">
        <v>80</v>
      </c>
      <c r="L4593" t="s">
        <v>97</v>
      </c>
      <c r="M4593" t="s">
        <v>57</v>
      </c>
      <c r="N4593" t="s">
        <v>2653</v>
      </c>
      <c r="O4593" t="s">
        <v>132</v>
      </c>
      <c r="P4593" t="s">
        <v>52</v>
      </c>
      <c r="Q4593" t="s">
        <v>150</v>
      </c>
      <c r="R4593">
        <v>1</v>
      </c>
      <c r="S4593">
        <v>899</v>
      </c>
      <c r="T4593">
        <v>0.05</v>
      </c>
      <c r="U4593">
        <v>854.05</v>
      </c>
      <c r="V4593">
        <v>420</v>
      </c>
      <c r="W4593">
        <v>434.05</v>
      </c>
      <c r="X4593" t="s">
        <v>73</v>
      </c>
      <c r="Y4593" t="s">
        <v>68</v>
      </c>
      <c r="Z4593" t="s">
        <v>163</v>
      </c>
      <c r="AA4593" t="s">
        <v>169</v>
      </c>
      <c r="AB4593">
        <v>4.5</v>
      </c>
      <c r="AC4593">
        <v>40</v>
      </c>
      <c r="AD4593">
        <v>99.6</v>
      </c>
      <c r="AE4593">
        <f t="shared" si="142"/>
        <v>294.45000000000005</v>
      </c>
      <c r="AF4593" t="str">
        <f t="shared" si="143"/>
        <v>2026-08</v>
      </c>
      <c r="AG4593">
        <f>SUBTOTAL(103,A4593)</f>
        <v>1</v>
      </c>
    </row>
    <row r="4594" spans="1:33" x14ac:dyDescent="0.3">
      <c r="A4594" t="s">
        <v>7217</v>
      </c>
      <c r="B4594" s="13">
        <v>46245</v>
      </c>
      <c r="C4594">
        <v>2026</v>
      </c>
      <c r="D4594">
        <v>8</v>
      </c>
      <c r="E4594" t="s">
        <v>4301</v>
      </c>
      <c r="F4594" t="s">
        <v>4047</v>
      </c>
      <c r="G4594" t="s">
        <v>455</v>
      </c>
      <c r="H4594" t="s">
        <v>456</v>
      </c>
      <c r="I4594" t="s">
        <v>86</v>
      </c>
      <c r="J4594">
        <v>18</v>
      </c>
      <c r="K4594" t="s">
        <v>80</v>
      </c>
      <c r="L4594" t="s">
        <v>97</v>
      </c>
      <c r="M4594" t="s">
        <v>57</v>
      </c>
      <c r="N4594" t="s">
        <v>2601</v>
      </c>
      <c r="O4594" t="s">
        <v>117</v>
      </c>
      <c r="P4594" t="s">
        <v>49</v>
      </c>
      <c r="Q4594" t="s">
        <v>139</v>
      </c>
      <c r="R4594">
        <v>5</v>
      </c>
      <c r="S4594">
        <v>6999</v>
      </c>
      <c r="T4594">
        <v>0.15</v>
      </c>
      <c r="U4594">
        <v>29745.75</v>
      </c>
      <c r="V4594">
        <v>21500</v>
      </c>
      <c r="W4594">
        <v>8245.75</v>
      </c>
      <c r="X4594" t="s">
        <v>73</v>
      </c>
      <c r="Y4594" t="s">
        <v>68</v>
      </c>
      <c r="Z4594" t="s">
        <v>162</v>
      </c>
      <c r="AA4594" t="s">
        <v>166</v>
      </c>
      <c r="AB4594">
        <v>4.7</v>
      </c>
      <c r="AC4594">
        <v>60</v>
      </c>
      <c r="AD4594">
        <v>2846.31</v>
      </c>
      <c r="AE4594">
        <f t="shared" si="142"/>
        <v>5339.4400000000005</v>
      </c>
      <c r="AF4594" t="str">
        <f t="shared" si="143"/>
        <v>2026-08</v>
      </c>
      <c r="AG4594">
        <f>SUBTOTAL(103,A4594)</f>
        <v>1</v>
      </c>
    </row>
    <row r="4595" spans="1:33" x14ac:dyDescent="0.3">
      <c r="A4595" t="s">
        <v>7218</v>
      </c>
      <c r="B4595" s="13">
        <v>46245</v>
      </c>
      <c r="C4595">
        <v>2026</v>
      </c>
      <c r="D4595">
        <v>8</v>
      </c>
      <c r="E4595" t="s">
        <v>4301</v>
      </c>
      <c r="F4595" t="s">
        <v>4047</v>
      </c>
      <c r="G4595" t="s">
        <v>1239</v>
      </c>
      <c r="H4595" t="s">
        <v>1240</v>
      </c>
      <c r="I4595" t="s">
        <v>85</v>
      </c>
      <c r="J4595">
        <v>26</v>
      </c>
      <c r="K4595" t="s">
        <v>81</v>
      </c>
      <c r="L4595" t="s">
        <v>2623</v>
      </c>
      <c r="M4595" t="s">
        <v>61</v>
      </c>
      <c r="N4595" t="s">
        <v>2657</v>
      </c>
      <c r="O4595" t="s">
        <v>134</v>
      </c>
      <c r="P4595" t="s">
        <v>49</v>
      </c>
      <c r="Q4595" t="s">
        <v>140</v>
      </c>
      <c r="R4595">
        <v>2</v>
      </c>
      <c r="S4595">
        <v>599</v>
      </c>
      <c r="T4595">
        <v>0.05</v>
      </c>
      <c r="U4595">
        <v>1138.0999999999999</v>
      </c>
      <c r="V4595">
        <v>500</v>
      </c>
      <c r="W4595">
        <v>638.1</v>
      </c>
      <c r="X4595" t="s">
        <v>73</v>
      </c>
      <c r="Y4595" t="s">
        <v>68</v>
      </c>
      <c r="Z4595" t="s">
        <v>161</v>
      </c>
      <c r="AA4595" t="s">
        <v>166</v>
      </c>
      <c r="AB4595">
        <v>4</v>
      </c>
      <c r="AC4595">
        <v>50</v>
      </c>
      <c r="AD4595">
        <v>136</v>
      </c>
      <c r="AE4595">
        <f t="shared" si="142"/>
        <v>452.1</v>
      </c>
      <c r="AF4595" t="str">
        <f t="shared" si="143"/>
        <v>2026-08</v>
      </c>
      <c r="AG4595">
        <f>SUBTOTAL(103,A4595)</f>
        <v>1</v>
      </c>
    </row>
    <row r="4596" spans="1:33" x14ac:dyDescent="0.3">
      <c r="A4596" t="s">
        <v>7219</v>
      </c>
      <c r="B4596" s="13">
        <v>46245</v>
      </c>
      <c r="C4596">
        <v>2026</v>
      </c>
      <c r="D4596">
        <v>8</v>
      </c>
      <c r="E4596" t="s">
        <v>4301</v>
      </c>
      <c r="F4596" t="s">
        <v>4047</v>
      </c>
      <c r="G4596" t="s">
        <v>2375</v>
      </c>
      <c r="H4596" t="s">
        <v>2376</v>
      </c>
      <c r="I4596" t="s">
        <v>86</v>
      </c>
      <c r="J4596">
        <v>49</v>
      </c>
      <c r="K4596" t="s">
        <v>83</v>
      </c>
      <c r="L4596" t="s">
        <v>2586</v>
      </c>
      <c r="M4596" t="s">
        <v>62</v>
      </c>
      <c r="N4596" t="s">
        <v>2657</v>
      </c>
      <c r="O4596" t="s">
        <v>134</v>
      </c>
      <c r="P4596" t="s">
        <v>49</v>
      </c>
      <c r="Q4596" t="s">
        <v>140</v>
      </c>
      <c r="R4596">
        <v>1</v>
      </c>
      <c r="S4596">
        <v>599</v>
      </c>
      <c r="T4596">
        <v>0.15</v>
      </c>
      <c r="U4596">
        <v>509.15</v>
      </c>
      <c r="V4596">
        <v>250</v>
      </c>
      <c r="W4596">
        <v>259.14999999999998</v>
      </c>
      <c r="X4596" t="s">
        <v>73</v>
      </c>
      <c r="Y4596" t="s">
        <v>68</v>
      </c>
      <c r="Z4596" t="s">
        <v>161</v>
      </c>
      <c r="AA4596" t="s">
        <v>169</v>
      </c>
      <c r="AB4596">
        <v>4.3</v>
      </c>
      <c r="AC4596">
        <v>40</v>
      </c>
      <c r="AD4596">
        <v>36.770000000000003</v>
      </c>
      <c r="AE4596">
        <f t="shared" si="142"/>
        <v>182.37999999999997</v>
      </c>
      <c r="AF4596" t="str">
        <f t="shared" si="143"/>
        <v>2026-08</v>
      </c>
      <c r="AG4596">
        <f>SUBTOTAL(103,A4596)</f>
        <v>1</v>
      </c>
    </row>
    <row r="4597" spans="1:33" x14ac:dyDescent="0.3">
      <c r="A4597" t="s">
        <v>7220</v>
      </c>
      <c r="B4597" s="13">
        <v>46245</v>
      </c>
      <c r="C4597">
        <v>2026</v>
      </c>
      <c r="D4597">
        <v>8</v>
      </c>
      <c r="E4597" t="s">
        <v>4301</v>
      </c>
      <c r="F4597" t="s">
        <v>4047</v>
      </c>
      <c r="G4597" t="s">
        <v>1433</v>
      </c>
      <c r="H4597" t="s">
        <v>1434</v>
      </c>
      <c r="I4597" t="s">
        <v>85</v>
      </c>
      <c r="J4597">
        <v>53</v>
      </c>
      <c r="K4597" t="s">
        <v>83</v>
      </c>
      <c r="L4597" t="s">
        <v>91</v>
      </c>
      <c r="M4597" t="s">
        <v>55</v>
      </c>
      <c r="N4597" t="s">
        <v>2630</v>
      </c>
      <c r="O4597" t="s">
        <v>123</v>
      </c>
      <c r="P4597" t="s">
        <v>52</v>
      </c>
      <c r="Q4597" t="s">
        <v>146</v>
      </c>
      <c r="R4597">
        <v>2</v>
      </c>
      <c r="S4597">
        <v>2499</v>
      </c>
      <c r="T4597">
        <v>0.2</v>
      </c>
      <c r="U4597">
        <v>3998.4</v>
      </c>
      <c r="V4597">
        <v>2800</v>
      </c>
      <c r="W4597">
        <v>1198.4000000000001</v>
      </c>
      <c r="X4597" t="s">
        <v>73</v>
      </c>
      <c r="Y4597" t="s">
        <v>68</v>
      </c>
      <c r="Z4597" t="s">
        <v>159</v>
      </c>
      <c r="AA4597" t="s">
        <v>171</v>
      </c>
      <c r="AB4597">
        <v>3.7</v>
      </c>
      <c r="AC4597">
        <v>100</v>
      </c>
      <c r="AD4597">
        <v>99.56</v>
      </c>
      <c r="AE4597">
        <f t="shared" si="142"/>
        <v>998.84000000000015</v>
      </c>
      <c r="AF4597" t="str">
        <f t="shared" si="143"/>
        <v>2026-08</v>
      </c>
      <c r="AG4597">
        <f>SUBTOTAL(103,A4597)</f>
        <v>1</v>
      </c>
    </row>
    <row r="4598" spans="1:33" x14ac:dyDescent="0.3">
      <c r="A4598" t="s">
        <v>7221</v>
      </c>
      <c r="B4598" s="13">
        <v>46245</v>
      </c>
      <c r="C4598">
        <v>2026</v>
      </c>
      <c r="D4598">
        <v>8</v>
      </c>
      <c r="E4598" t="s">
        <v>4301</v>
      </c>
      <c r="F4598" t="s">
        <v>4047</v>
      </c>
      <c r="G4598" t="s">
        <v>1681</v>
      </c>
      <c r="H4598" t="s">
        <v>1682</v>
      </c>
      <c r="I4598" t="s">
        <v>85</v>
      </c>
      <c r="J4598">
        <v>35</v>
      </c>
      <c r="K4598" t="s">
        <v>81</v>
      </c>
      <c r="L4598" t="s">
        <v>2586</v>
      </c>
      <c r="M4598" t="s">
        <v>62</v>
      </c>
      <c r="N4598" t="s">
        <v>2577</v>
      </c>
      <c r="O4598" t="s">
        <v>129</v>
      </c>
      <c r="P4598" t="s">
        <v>49</v>
      </c>
      <c r="Q4598" t="s">
        <v>149</v>
      </c>
      <c r="R4598">
        <v>2</v>
      </c>
      <c r="S4598">
        <v>1299</v>
      </c>
      <c r="T4598">
        <v>0</v>
      </c>
      <c r="U4598">
        <v>2598</v>
      </c>
      <c r="V4598">
        <v>1300</v>
      </c>
      <c r="W4598">
        <v>1298</v>
      </c>
      <c r="X4598" t="s">
        <v>73</v>
      </c>
      <c r="Y4598" t="s">
        <v>68</v>
      </c>
      <c r="Z4598" t="s">
        <v>158</v>
      </c>
      <c r="AA4598" t="s">
        <v>169</v>
      </c>
      <c r="AB4598">
        <v>5</v>
      </c>
      <c r="AC4598">
        <v>80</v>
      </c>
      <c r="AD4598">
        <v>156.30000000000001</v>
      </c>
      <c r="AE4598">
        <f t="shared" si="142"/>
        <v>1061.7</v>
      </c>
      <c r="AF4598" t="str">
        <f t="shared" si="143"/>
        <v>2026-08</v>
      </c>
      <c r="AG4598">
        <f>SUBTOTAL(103,A4598)</f>
        <v>1</v>
      </c>
    </row>
    <row r="4599" spans="1:33" x14ac:dyDescent="0.3">
      <c r="A4599" t="s">
        <v>7222</v>
      </c>
      <c r="B4599" s="13">
        <v>46245</v>
      </c>
      <c r="C4599">
        <v>2026</v>
      </c>
      <c r="D4599">
        <v>8</v>
      </c>
      <c r="E4599" t="s">
        <v>4301</v>
      </c>
      <c r="F4599" t="s">
        <v>4047</v>
      </c>
      <c r="G4599" t="s">
        <v>2487</v>
      </c>
      <c r="H4599" t="s">
        <v>2488</v>
      </c>
      <c r="I4599" t="s">
        <v>85</v>
      </c>
      <c r="J4599">
        <v>47</v>
      </c>
      <c r="K4599" t="s">
        <v>83</v>
      </c>
      <c r="L4599" t="s">
        <v>90</v>
      </c>
      <c r="M4599" t="s">
        <v>55</v>
      </c>
      <c r="N4599" t="s">
        <v>2644</v>
      </c>
      <c r="O4599" t="s">
        <v>126</v>
      </c>
      <c r="P4599" t="s">
        <v>50</v>
      </c>
      <c r="Q4599" t="s">
        <v>145</v>
      </c>
      <c r="R4599">
        <v>1</v>
      </c>
      <c r="S4599">
        <v>1799</v>
      </c>
      <c r="T4599">
        <v>0.1</v>
      </c>
      <c r="U4599">
        <v>1619.1</v>
      </c>
      <c r="V4599">
        <v>950</v>
      </c>
      <c r="W4599">
        <v>669.1</v>
      </c>
      <c r="X4599" t="s">
        <v>76</v>
      </c>
      <c r="Y4599" t="s">
        <v>68</v>
      </c>
      <c r="Z4599" t="s">
        <v>161</v>
      </c>
      <c r="AA4599" t="s">
        <v>166</v>
      </c>
      <c r="AB4599">
        <v>4</v>
      </c>
      <c r="AC4599">
        <v>100</v>
      </c>
      <c r="AD4599">
        <v>32.9</v>
      </c>
      <c r="AE4599">
        <f t="shared" si="142"/>
        <v>536.20000000000005</v>
      </c>
      <c r="AF4599" t="str">
        <f t="shared" si="143"/>
        <v>2026-08</v>
      </c>
      <c r="AG4599">
        <f>SUBTOTAL(103,A4599)</f>
        <v>1</v>
      </c>
    </row>
    <row r="4600" spans="1:33" x14ac:dyDescent="0.3">
      <c r="A4600" t="s">
        <v>7223</v>
      </c>
      <c r="B4600" s="13">
        <v>46245</v>
      </c>
      <c r="C4600">
        <v>2026</v>
      </c>
      <c r="D4600">
        <v>8</v>
      </c>
      <c r="E4600" t="s">
        <v>4301</v>
      </c>
      <c r="F4600" t="s">
        <v>4047</v>
      </c>
      <c r="G4600" t="s">
        <v>1433</v>
      </c>
      <c r="H4600" t="s">
        <v>1434</v>
      </c>
      <c r="I4600" t="s">
        <v>85</v>
      </c>
      <c r="J4600">
        <v>53</v>
      </c>
      <c r="K4600" t="s">
        <v>83</v>
      </c>
      <c r="L4600" t="s">
        <v>91</v>
      </c>
      <c r="M4600" t="s">
        <v>55</v>
      </c>
      <c r="N4600" t="s">
        <v>2647</v>
      </c>
      <c r="O4600" t="s">
        <v>133</v>
      </c>
      <c r="P4600" t="s">
        <v>50</v>
      </c>
      <c r="Q4600" t="s">
        <v>145</v>
      </c>
      <c r="R4600">
        <v>2</v>
      </c>
      <c r="S4600">
        <v>799</v>
      </c>
      <c r="T4600">
        <v>0.05</v>
      </c>
      <c r="U4600">
        <v>1518.1</v>
      </c>
      <c r="V4600">
        <v>780</v>
      </c>
      <c r="W4600">
        <v>738.1</v>
      </c>
      <c r="X4600" t="s">
        <v>77</v>
      </c>
      <c r="Y4600" t="s">
        <v>68</v>
      </c>
      <c r="Z4600" t="s">
        <v>160</v>
      </c>
      <c r="AA4600" t="s">
        <v>170</v>
      </c>
      <c r="AB4600">
        <v>2.2000000000000002</v>
      </c>
      <c r="AC4600">
        <v>50</v>
      </c>
      <c r="AD4600">
        <v>120.75</v>
      </c>
      <c r="AE4600">
        <f t="shared" si="142"/>
        <v>567.35</v>
      </c>
      <c r="AF4600" t="str">
        <f t="shared" si="143"/>
        <v>2026-08</v>
      </c>
      <c r="AG4600">
        <f>SUBTOTAL(103,A4600)</f>
        <v>1</v>
      </c>
    </row>
    <row r="4601" spans="1:33" x14ac:dyDescent="0.3">
      <c r="A4601" t="s">
        <v>7224</v>
      </c>
      <c r="B4601" s="13">
        <v>46245</v>
      </c>
      <c r="C4601">
        <v>2026</v>
      </c>
      <c r="D4601">
        <v>8</v>
      </c>
      <c r="E4601" t="s">
        <v>4301</v>
      </c>
      <c r="F4601" t="s">
        <v>4047</v>
      </c>
      <c r="G4601" t="s">
        <v>1575</v>
      </c>
      <c r="H4601" t="s">
        <v>1576</v>
      </c>
      <c r="I4601" t="s">
        <v>86</v>
      </c>
      <c r="J4601">
        <v>30</v>
      </c>
      <c r="K4601" t="s">
        <v>81</v>
      </c>
      <c r="L4601" t="s">
        <v>2599</v>
      </c>
      <c r="M4601" t="s">
        <v>62</v>
      </c>
      <c r="N4601" t="s">
        <v>2592</v>
      </c>
      <c r="O4601" t="s">
        <v>115</v>
      </c>
      <c r="P4601" t="s">
        <v>48</v>
      </c>
      <c r="Q4601" t="s">
        <v>137</v>
      </c>
      <c r="R4601">
        <v>1</v>
      </c>
      <c r="S4601">
        <v>12999</v>
      </c>
      <c r="T4601">
        <v>0</v>
      </c>
      <c r="U4601">
        <v>12999</v>
      </c>
      <c r="V4601">
        <v>9000</v>
      </c>
      <c r="W4601">
        <v>3999</v>
      </c>
      <c r="X4601" t="s">
        <v>73</v>
      </c>
      <c r="Y4601" t="s">
        <v>68</v>
      </c>
      <c r="Z4601" t="s">
        <v>159</v>
      </c>
      <c r="AA4601" t="s">
        <v>169</v>
      </c>
      <c r="AB4601">
        <v>3.4</v>
      </c>
      <c r="AC4601">
        <v>40</v>
      </c>
      <c r="AD4601">
        <v>1412.89</v>
      </c>
      <c r="AE4601">
        <f t="shared" si="142"/>
        <v>2546.1099999999997</v>
      </c>
      <c r="AF4601" t="str">
        <f t="shared" si="143"/>
        <v>2026-08</v>
      </c>
      <c r="AG4601">
        <f>SUBTOTAL(103,A4601)</f>
        <v>1</v>
      </c>
    </row>
    <row r="4602" spans="1:33" x14ac:dyDescent="0.3">
      <c r="A4602" t="s">
        <v>7225</v>
      </c>
      <c r="B4602" s="13">
        <v>46246</v>
      </c>
      <c r="C4602">
        <v>2026</v>
      </c>
      <c r="D4602">
        <v>8</v>
      </c>
      <c r="E4602" t="s">
        <v>4301</v>
      </c>
      <c r="F4602" t="s">
        <v>4047</v>
      </c>
      <c r="G4602" t="s">
        <v>1407</v>
      </c>
      <c r="H4602" t="s">
        <v>1408</v>
      </c>
      <c r="I4602" t="s">
        <v>85</v>
      </c>
      <c r="J4602">
        <v>43</v>
      </c>
      <c r="K4602" t="s">
        <v>82</v>
      </c>
      <c r="L4602" t="s">
        <v>2674</v>
      </c>
      <c r="M4602" t="s">
        <v>58</v>
      </c>
      <c r="N4602" t="s">
        <v>2603</v>
      </c>
      <c r="O4602" t="s">
        <v>122</v>
      </c>
      <c r="P4602" t="s">
        <v>48</v>
      </c>
      <c r="Q4602" t="s">
        <v>141</v>
      </c>
      <c r="R4602">
        <v>3</v>
      </c>
      <c r="S4602">
        <v>2499</v>
      </c>
      <c r="T4602">
        <v>0.05</v>
      </c>
      <c r="U4602">
        <v>7122.15</v>
      </c>
      <c r="V4602">
        <v>4350</v>
      </c>
      <c r="W4602">
        <v>2772.15</v>
      </c>
      <c r="X4602" t="s">
        <v>73</v>
      </c>
      <c r="Y4602" t="s">
        <v>68</v>
      </c>
      <c r="Z4602" t="s">
        <v>161</v>
      </c>
      <c r="AA4602" t="s">
        <v>166</v>
      </c>
      <c r="AB4602">
        <v>4.2</v>
      </c>
      <c r="AC4602">
        <v>60</v>
      </c>
      <c r="AD4602">
        <v>532.16</v>
      </c>
      <c r="AE4602">
        <f t="shared" si="142"/>
        <v>2179.9900000000002</v>
      </c>
      <c r="AF4602" t="str">
        <f t="shared" si="143"/>
        <v>2026-08</v>
      </c>
      <c r="AG4602">
        <f>SUBTOTAL(103,A4602)</f>
        <v>1</v>
      </c>
    </row>
    <row r="4603" spans="1:33" x14ac:dyDescent="0.3">
      <c r="A4603" t="s">
        <v>7226</v>
      </c>
      <c r="B4603" s="13">
        <v>46246</v>
      </c>
      <c r="C4603">
        <v>2026</v>
      </c>
      <c r="D4603">
        <v>8</v>
      </c>
      <c r="E4603" t="s">
        <v>4301</v>
      </c>
      <c r="F4603" t="s">
        <v>4047</v>
      </c>
      <c r="G4603" t="s">
        <v>1039</v>
      </c>
      <c r="H4603" t="s">
        <v>1040</v>
      </c>
      <c r="I4603" t="s">
        <v>85</v>
      </c>
      <c r="J4603">
        <v>37</v>
      </c>
      <c r="K4603" t="s">
        <v>82</v>
      </c>
      <c r="L4603" t="s">
        <v>99</v>
      </c>
      <c r="M4603" t="s">
        <v>58</v>
      </c>
      <c r="N4603" t="s">
        <v>2577</v>
      </c>
      <c r="O4603" t="s">
        <v>129</v>
      </c>
      <c r="P4603" t="s">
        <v>49</v>
      </c>
      <c r="Q4603" t="s">
        <v>149</v>
      </c>
      <c r="R4603">
        <v>2</v>
      </c>
      <c r="S4603">
        <v>1299</v>
      </c>
      <c r="T4603">
        <v>0.1</v>
      </c>
      <c r="U4603">
        <v>2338.1999999999998</v>
      </c>
      <c r="V4603">
        <v>1300</v>
      </c>
      <c r="W4603">
        <v>1038.2</v>
      </c>
      <c r="X4603" t="s">
        <v>75</v>
      </c>
      <c r="Y4603" t="s">
        <v>68</v>
      </c>
      <c r="Z4603" t="s">
        <v>163</v>
      </c>
      <c r="AA4603" t="s">
        <v>168</v>
      </c>
      <c r="AB4603">
        <v>3.7</v>
      </c>
      <c r="AC4603">
        <v>50</v>
      </c>
      <c r="AD4603">
        <v>55.27</v>
      </c>
      <c r="AE4603">
        <f t="shared" si="142"/>
        <v>932.93000000000006</v>
      </c>
      <c r="AF4603" t="str">
        <f t="shared" si="143"/>
        <v>2026-08</v>
      </c>
      <c r="AG4603">
        <f>SUBTOTAL(103,A4603)</f>
        <v>1</v>
      </c>
    </row>
    <row r="4604" spans="1:33" x14ac:dyDescent="0.3">
      <c r="A4604" t="s">
        <v>7227</v>
      </c>
      <c r="B4604" s="13">
        <v>46246</v>
      </c>
      <c r="C4604">
        <v>2026</v>
      </c>
      <c r="D4604">
        <v>8</v>
      </c>
      <c r="E4604" t="s">
        <v>4301</v>
      </c>
      <c r="F4604" t="s">
        <v>4047</v>
      </c>
      <c r="G4604" t="s">
        <v>833</v>
      </c>
      <c r="H4604" t="s">
        <v>834</v>
      </c>
      <c r="I4604" t="s">
        <v>85</v>
      </c>
      <c r="J4604">
        <v>30</v>
      </c>
      <c r="K4604" t="s">
        <v>81</v>
      </c>
      <c r="L4604" t="s">
        <v>2623</v>
      </c>
      <c r="M4604" t="s">
        <v>61</v>
      </c>
      <c r="N4604" t="s">
        <v>2582</v>
      </c>
      <c r="O4604" t="s">
        <v>119</v>
      </c>
      <c r="P4604" t="s">
        <v>49</v>
      </c>
      <c r="Q4604" t="s">
        <v>140</v>
      </c>
      <c r="R4604">
        <v>2</v>
      </c>
      <c r="S4604">
        <v>3499</v>
      </c>
      <c r="T4604">
        <v>0.1</v>
      </c>
      <c r="U4604">
        <v>6298.2</v>
      </c>
      <c r="V4604">
        <v>4200</v>
      </c>
      <c r="W4604">
        <v>2098.1999999999998</v>
      </c>
      <c r="X4604" t="s">
        <v>74</v>
      </c>
      <c r="Y4604" t="s">
        <v>68</v>
      </c>
      <c r="Z4604" t="s">
        <v>161</v>
      </c>
      <c r="AA4604" t="s">
        <v>167</v>
      </c>
      <c r="AB4604">
        <v>4.0999999999999996</v>
      </c>
      <c r="AC4604">
        <v>50</v>
      </c>
      <c r="AD4604">
        <v>266.70999999999998</v>
      </c>
      <c r="AE4604">
        <f t="shared" si="142"/>
        <v>1781.4899999999998</v>
      </c>
      <c r="AF4604" t="str">
        <f t="shared" si="143"/>
        <v>2026-08</v>
      </c>
      <c r="AG4604">
        <f>SUBTOTAL(103,A4604)</f>
        <v>1</v>
      </c>
    </row>
    <row r="4605" spans="1:33" x14ac:dyDescent="0.3">
      <c r="A4605" t="s">
        <v>7228</v>
      </c>
      <c r="B4605" s="13">
        <v>46246</v>
      </c>
      <c r="C4605">
        <v>2026</v>
      </c>
      <c r="D4605">
        <v>8</v>
      </c>
      <c r="E4605" t="s">
        <v>4301</v>
      </c>
      <c r="F4605" t="s">
        <v>4047</v>
      </c>
      <c r="G4605" t="s">
        <v>633</v>
      </c>
      <c r="H4605" t="s">
        <v>634</v>
      </c>
      <c r="I4605" t="s">
        <v>85</v>
      </c>
      <c r="J4605">
        <v>25</v>
      </c>
      <c r="K4605" t="s">
        <v>80</v>
      </c>
      <c r="L4605" t="s">
        <v>2661</v>
      </c>
      <c r="M4605" t="s">
        <v>58</v>
      </c>
      <c r="N4605" t="s">
        <v>2587</v>
      </c>
      <c r="O4605" t="s">
        <v>116</v>
      </c>
      <c r="P4605" t="s">
        <v>48</v>
      </c>
      <c r="Q4605" t="s">
        <v>138</v>
      </c>
      <c r="R4605">
        <v>1</v>
      </c>
      <c r="S4605">
        <v>14999</v>
      </c>
      <c r="T4605">
        <v>0.1</v>
      </c>
      <c r="U4605">
        <v>13499.1</v>
      </c>
      <c r="V4605">
        <v>11200</v>
      </c>
      <c r="W4605">
        <v>2299.1</v>
      </c>
      <c r="X4605" t="s">
        <v>74</v>
      </c>
      <c r="Y4605" t="s">
        <v>69</v>
      </c>
      <c r="Z4605" t="s">
        <v>161</v>
      </c>
      <c r="AA4605" t="s">
        <v>170</v>
      </c>
      <c r="AB4605">
        <v>2.9</v>
      </c>
      <c r="AC4605">
        <v>60</v>
      </c>
      <c r="AD4605">
        <v>568.96</v>
      </c>
      <c r="AE4605">
        <f t="shared" si="142"/>
        <v>1670.1399999999999</v>
      </c>
      <c r="AF4605" t="str">
        <f t="shared" si="143"/>
        <v>2026-08</v>
      </c>
      <c r="AG4605">
        <f>SUBTOTAL(103,A4605)</f>
        <v>1</v>
      </c>
    </row>
    <row r="4606" spans="1:33" x14ac:dyDescent="0.3">
      <c r="A4606" t="s">
        <v>7229</v>
      </c>
      <c r="B4606" s="13">
        <v>46246</v>
      </c>
      <c r="C4606">
        <v>2026</v>
      </c>
      <c r="D4606">
        <v>8</v>
      </c>
      <c r="E4606" t="s">
        <v>4301</v>
      </c>
      <c r="F4606" t="s">
        <v>4047</v>
      </c>
      <c r="G4606" t="s">
        <v>2255</v>
      </c>
      <c r="H4606" t="s">
        <v>2256</v>
      </c>
      <c r="I4606" t="s">
        <v>86</v>
      </c>
      <c r="J4606">
        <v>31</v>
      </c>
      <c r="K4606" t="s">
        <v>81</v>
      </c>
      <c r="L4606" t="s">
        <v>2661</v>
      </c>
      <c r="M4606" t="s">
        <v>58</v>
      </c>
      <c r="N4606" t="s">
        <v>2657</v>
      </c>
      <c r="O4606" t="s">
        <v>134</v>
      </c>
      <c r="P4606" t="s">
        <v>49</v>
      </c>
      <c r="Q4606" t="s">
        <v>140</v>
      </c>
      <c r="R4606">
        <v>4</v>
      </c>
      <c r="S4606">
        <v>599</v>
      </c>
      <c r="T4606">
        <v>0.1</v>
      </c>
      <c r="U4606">
        <v>2156.4</v>
      </c>
      <c r="V4606">
        <v>1000</v>
      </c>
      <c r="W4606">
        <v>1156.4000000000001</v>
      </c>
      <c r="X4606" t="s">
        <v>74</v>
      </c>
      <c r="Y4606" t="s">
        <v>68</v>
      </c>
      <c r="Z4606" t="s">
        <v>159</v>
      </c>
      <c r="AA4606" t="s">
        <v>170</v>
      </c>
      <c r="AB4606">
        <v>3.7</v>
      </c>
      <c r="AC4606">
        <v>80</v>
      </c>
      <c r="AD4606">
        <v>165.17</v>
      </c>
      <c r="AE4606">
        <f t="shared" si="142"/>
        <v>911.23000000000013</v>
      </c>
      <c r="AF4606" t="str">
        <f t="shared" si="143"/>
        <v>2026-08</v>
      </c>
      <c r="AG4606">
        <f>SUBTOTAL(103,A4606)</f>
        <v>1</v>
      </c>
    </row>
    <row r="4607" spans="1:33" x14ac:dyDescent="0.3">
      <c r="A4607" t="s">
        <v>7230</v>
      </c>
      <c r="B4607" s="13">
        <v>46246</v>
      </c>
      <c r="C4607">
        <v>2026</v>
      </c>
      <c r="D4607">
        <v>8</v>
      </c>
      <c r="E4607" t="s">
        <v>4301</v>
      </c>
      <c r="F4607" t="s">
        <v>4047</v>
      </c>
      <c r="G4607" t="s">
        <v>2531</v>
      </c>
      <c r="H4607" t="s">
        <v>2532</v>
      </c>
      <c r="I4607" t="s">
        <v>85</v>
      </c>
      <c r="J4607">
        <v>23</v>
      </c>
      <c r="K4607" t="s">
        <v>80</v>
      </c>
      <c r="L4607" t="s">
        <v>59</v>
      </c>
      <c r="M4607" t="s">
        <v>59</v>
      </c>
      <c r="N4607" t="s">
        <v>2653</v>
      </c>
      <c r="O4607" t="s">
        <v>132</v>
      </c>
      <c r="P4607" t="s">
        <v>52</v>
      </c>
      <c r="Q4607" t="s">
        <v>150</v>
      </c>
      <c r="R4607">
        <v>1</v>
      </c>
      <c r="S4607">
        <v>899</v>
      </c>
      <c r="T4607">
        <v>0</v>
      </c>
      <c r="U4607">
        <v>899</v>
      </c>
      <c r="V4607">
        <v>420</v>
      </c>
      <c r="W4607">
        <v>479</v>
      </c>
      <c r="X4607" t="s">
        <v>74</v>
      </c>
      <c r="Y4607" t="s">
        <v>68</v>
      </c>
      <c r="Z4607" t="s">
        <v>163</v>
      </c>
      <c r="AA4607" t="s">
        <v>171</v>
      </c>
      <c r="AB4607">
        <v>4.3</v>
      </c>
      <c r="AC4607">
        <v>60</v>
      </c>
      <c r="AD4607">
        <v>58.54</v>
      </c>
      <c r="AE4607">
        <f t="shared" si="142"/>
        <v>360.46</v>
      </c>
      <c r="AF4607" t="str">
        <f t="shared" si="143"/>
        <v>2026-08</v>
      </c>
      <c r="AG4607">
        <f>SUBTOTAL(103,A4607)</f>
        <v>1</v>
      </c>
    </row>
    <row r="4608" spans="1:33" x14ac:dyDescent="0.3">
      <c r="A4608" t="s">
        <v>7231</v>
      </c>
      <c r="B4608" s="13">
        <v>46246</v>
      </c>
      <c r="C4608">
        <v>2026</v>
      </c>
      <c r="D4608">
        <v>8</v>
      </c>
      <c r="E4608" t="s">
        <v>4301</v>
      </c>
      <c r="F4608" t="s">
        <v>4047</v>
      </c>
      <c r="G4608" t="s">
        <v>1303</v>
      </c>
      <c r="H4608" t="s">
        <v>1304</v>
      </c>
      <c r="I4608" t="s">
        <v>86</v>
      </c>
      <c r="J4608">
        <v>21</v>
      </c>
      <c r="K4608" t="s">
        <v>80</v>
      </c>
      <c r="L4608" t="s">
        <v>94</v>
      </c>
      <c r="M4608" t="s">
        <v>57</v>
      </c>
      <c r="N4608" t="s">
        <v>2606</v>
      </c>
      <c r="O4608" t="s">
        <v>120</v>
      </c>
      <c r="P4608" t="s">
        <v>49</v>
      </c>
      <c r="Q4608" t="s">
        <v>140</v>
      </c>
      <c r="R4608">
        <v>1</v>
      </c>
      <c r="S4608">
        <v>2799</v>
      </c>
      <c r="T4608">
        <v>0.1</v>
      </c>
      <c r="U4608">
        <v>2519.1</v>
      </c>
      <c r="V4608">
        <v>1650</v>
      </c>
      <c r="W4608">
        <v>869.1</v>
      </c>
      <c r="X4608" t="s">
        <v>74</v>
      </c>
      <c r="Y4608" t="s">
        <v>68</v>
      </c>
      <c r="Z4608" t="s">
        <v>160</v>
      </c>
      <c r="AA4608" t="s">
        <v>166</v>
      </c>
      <c r="AB4608">
        <v>4.7</v>
      </c>
      <c r="AC4608">
        <v>60</v>
      </c>
      <c r="AD4608">
        <v>158.15</v>
      </c>
      <c r="AE4608">
        <f t="shared" si="142"/>
        <v>650.95000000000005</v>
      </c>
      <c r="AF4608" t="str">
        <f t="shared" si="143"/>
        <v>2026-08</v>
      </c>
      <c r="AG4608">
        <f>SUBTOTAL(103,A4608)</f>
        <v>1</v>
      </c>
    </row>
    <row r="4609" spans="1:33" x14ac:dyDescent="0.3">
      <c r="A4609" t="s">
        <v>7232</v>
      </c>
      <c r="B4609" s="13">
        <v>46246</v>
      </c>
      <c r="C4609">
        <v>2026</v>
      </c>
      <c r="D4609">
        <v>8</v>
      </c>
      <c r="E4609" t="s">
        <v>4301</v>
      </c>
      <c r="F4609" t="s">
        <v>4047</v>
      </c>
      <c r="G4609" t="s">
        <v>1471</v>
      </c>
      <c r="H4609" t="s">
        <v>1472</v>
      </c>
      <c r="I4609" t="s">
        <v>86</v>
      </c>
      <c r="J4609">
        <v>45</v>
      </c>
      <c r="K4609" t="s">
        <v>82</v>
      </c>
      <c r="L4609" t="s">
        <v>2661</v>
      </c>
      <c r="M4609" t="s">
        <v>58</v>
      </c>
      <c r="N4609" t="s">
        <v>2606</v>
      </c>
      <c r="O4609" t="s">
        <v>120</v>
      </c>
      <c r="P4609" t="s">
        <v>49</v>
      </c>
      <c r="Q4609" t="s">
        <v>140</v>
      </c>
      <c r="R4609">
        <v>4</v>
      </c>
      <c r="S4609">
        <v>2799</v>
      </c>
      <c r="T4609">
        <v>0.1</v>
      </c>
      <c r="U4609">
        <v>10076.4</v>
      </c>
      <c r="V4609">
        <v>6600</v>
      </c>
      <c r="W4609">
        <v>3476.4</v>
      </c>
      <c r="X4609" t="s">
        <v>73</v>
      </c>
      <c r="Y4609" t="s">
        <v>68</v>
      </c>
      <c r="Z4609" t="s">
        <v>159</v>
      </c>
      <c r="AA4609" t="s">
        <v>167</v>
      </c>
      <c r="AB4609">
        <v>4.3</v>
      </c>
      <c r="AC4609">
        <v>60</v>
      </c>
      <c r="AD4609">
        <v>1042.82</v>
      </c>
      <c r="AE4609">
        <f t="shared" si="142"/>
        <v>2373.58</v>
      </c>
      <c r="AF4609" t="str">
        <f t="shared" si="143"/>
        <v>2026-08</v>
      </c>
      <c r="AG4609">
        <f>SUBTOTAL(103,A4609)</f>
        <v>1</v>
      </c>
    </row>
    <row r="4610" spans="1:33" x14ac:dyDescent="0.3">
      <c r="A4610" t="s">
        <v>7233</v>
      </c>
      <c r="B4610" s="13">
        <v>46246</v>
      </c>
      <c r="C4610">
        <v>2026</v>
      </c>
      <c r="D4610">
        <v>8</v>
      </c>
      <c r="E4610" t="s">
        <v>4301</v>
      </c>
      <c r="F4610" t="s">
        <v>4047</v>
      </c>
      <c r="G4610" t="s">
        <v>383</v>
      </c>
      <c r="H4610" t="s">
        <v>384</v>
      </c>
      <c r="I4610" t="s">
        <v>86</v>
      </c>
      <c r="J4610">
        <v>36</v>
      </c>
      <c r="K4610" t="s">
        <v>82</v>
      </c>
      <c r="L4610" t="s">
        <v>2634</v>
      </c>
      <c r="M4610" t="s">
        <v>56</v>
      </c>
      <c r="N4610" t="s">
        <v>2596</v>
      </c>
      <c r="O4610" t="s">
        <v>124</v>
      </c>
      <c r="P4610" t="s">
        <v>51</v>
      </c>
      <c r="Q4610" t="s">
        <v>147</v>
      </c>
      <c r="R4610">
        <v>3</v>
      </c>
      <c r="S4610">
        <v>2299</v>
      </c>
      <c r="T4610">
        <v>0.05</v>
      </c>
      <c r="U4610">
        <v>6552.15</v>
      </c>
      <c r="V4610">
        <v>3600</v>
      </c>
      <c r="W4610">
        <v>2952.15</v>
      </c>
      <c r="X4610" t="s">
        <v>73</v>
      </c>
      <c r="Y4610" t="s">
        <v>68</v>
      </c>
      <c r="Z4610" t="s">
        <v>161</v>
      </c>
      <c r="AA4610" t="s">
        <v>167</v>
      </c>
      <c r="AB4610">
        <v>5</v>
      </c>
      <c r="AC4610">
        <v>80</v>
      </c>
      <c r="AD4610">
        <v>776.02</v>
      </c>
      <c r="AE4610">
        <f t="shared" ref="AE4610:AE4673" si="144">W4610-AC4610-AD4610</f>
        <v>2096.13</v>
      </c>
      <c r="AF4610" t="str">
        <f t="shared" ref="AF4610:AF4673" si="145">C4610&amp;"-"&amp;TEXT(D4610,"00")</f>
        <v>2026-08</v>
      </c>
      <c r="AG4610">
        <f>SUBTOTAL(103,A4610)</f>
        <v>1</v>
      </c>
    </row>
    <row r="4611" spans="1:33" x14ac:dyDescent="0.3">
      <c r="A4611" t="s">
        <v>7234</v>
      </c>
      <c r="B4611" s="13">
        <v>46246</v>
      </c>
      <c r="C4611">
        <v>2026</v>
      </c>
      <c r="D4611">
        <v>8</v>
      </c>
      <c r="E4611" t="s">
        <v>4301</v>
      </c>
      <c r="F4611" t="s">
        <v>4047</v>
      </c>
      <c r="G4611" t="s">
        <v>2335</v>
      </c>
      <c r="H4611" t="s">
        <v>2336</v>
      </c>
      <c r="I4611" t="s">
        <v>85</v>
      </c>
      <c r="J4611">
        <v>19</v>
      </c>
      <c r="K4611" t="s">
        <v>80</v>
      </c>
      <c r="L4611" t="s">
        <v>2623</v>
      </c>
      <c r="M4611" t="s">
        <v>61</v>
      </c>
      <c r="N4611" t="s">
        <v>2647</v>
      </c>
      <c r="O4611" t="s">
        <v>133</v>
      </c>
      <c r="P4611" t="s">
        <v>50</v>
      </c>
      <c r="Q4611" t="s">
        <v>145</v>
      </c>
      <c r="R4611">
        <v>1</v>
      </c>
      <c r="S4611">
        <v>799</v>
      </c>
      <c r="T4611">
        <v>0</v>
      </c>
      <c r="U4611">
        <v>799</v>
      </c>
      <c r="V4611">
        <v>390</v>
      </c>
      <c r="W4611">
        <v>409</v>
      </c>
      <c r="X4611" t="s">
        <v>75</v>
      </c>
      <c r="Y4611" t="s">
        <v>68</v>
      </c>
      <c r="Z4611" t="s">
        <v>161</v>
      </c>
      <c r="AA4611" t="s">
        <v>169</v>
      </c>
      <c r="AB4611">
        <v>4.4000000000000004</v>
      </c>
      <c r="AC4611">
        <v>60</v>
      </c>
      <c r="AD4611">
        <v>74.489999999999995</v>
      </c>
      <c r="AE4611">
        <f t="shared" si="144"/>
        <v>274.51</v>
      </c>
      <c r="AF4611" t="str">
        <f t="shared" si="145"/>
        <v>2026-08</v>
      </c>
      <c r="AG4611">
        <f>SUBTOTAL(103,A4611)</f>
        <v>1</v>
      </c>
    </row>
    <row r="4612" spans="1:33" x14ac:dyDescent="0.3">
      <c r="A4612" t="s">
        <v>7235</v>
      </c>
      <c r="B4612" s="13">
        <v>46246</v>
      </c>
      <c r="C4612">
        <v>2026</v>
      </c>
      <c r="D4612">
        <v>8</v>
      </c>
      <c r="E4612" t="s">
        <v>4301</v>
      </c>
      <c r="F4612" t="s">
        <v>4047</v>
      </c>
      <c r="G4612" t="s">
        <v>575</v>
      </c>
      <c r="H4612" t="s">
        <v>576</v>
      </c>
      <c r="I4612" t="s">
        <v>86</v>
      </c>
      <c r="J4612">
        <v>40</v>
      </c>
      <c r="K4612" t="s">
        <v>82</v>
      </c>
      <c r="L4612" t="s">
        <v>100</v>
      </c>
      <c r="M4612" t="s">
        <v>56</v>
      </c>
      <c r="N4612" t="s">
        <v>2644</v>
      </c>
      <c r="O4612" t="s">
        <v>126</v>
      </c>
      <c r="P4612" t="s">
        <v>50</v>
      </c>
      <c r="Q4612" t="s">
        <v>145</v>
      </c>
      <c r="R4612">
        <v>2</v>
      </c>
      <c r="S4612">
        <v>1799</v>
      </c>
      <c r="T4612">
        <v>0.15</v>
      </c>
      <c r="U4612">
        <v>3058.3</v>
      </c>
      <c r="V4612">
        <v>1900</v>
      </c>
      <c r="W4612">
        <v>1158.3</v>
      </c>
      <c r="X4612" t="s">
        <v>73</v>
      </c>
      <c r="Y4612" t="s">
        <v>68</v>
      </c>
      <c r="Z4612" t="s">
        <v>158</v>
      </c>
      <c r="AA4612" t="s">
        <v>170</v>
      </c>
      <c r="AB4612">
        <v>4.7</v>
      </c>
      <c r="AC4612">
        <v>60</v>
      </c>
      <c r="AD4612">
        <v>91.05</v>
      </c>
      <c r="AE4612">
        <f t="shared" si="144"/>
        <v>1007.25</v>
      </c>
      <c r="AF4612" t="str">
        <f t="shared" si="145"/>
        <v>2026-08</v>
      </c>
      <c r="AG4612">
        <f>SUBTOTAL(103,A4612)</f>
        <v>1</v>
      </c>
    </row>
    <row r="4613" spans="1:33" x14ac:dyDescent="0.3">
      <c r="A4613" t="s">
        <v>7236</v>
      </c>
      <c r="B4613" s="13">
        <v>46246</v>
      </c>
      <c r="C4613">
        <v>2026</v>
      </c>
      <c r="D4613">
        <v>8</v>
      </c>
      <c r="E4613" t="s">
        <v>4301</v>
      </c>
      <c r="F4613" t="s">
        <v>4047</v>
      </c>
      <c r="G4613" t="s">
        <v>1297</v>
      </c>
      <c r="H4613" t="s">
        <v>1298</v>
      </c>
      <c r="I4613" t="s">
        <v>85</v>
      </c>
      <c r="J4613">
        <v>43</v>
      </c>
      <c r="K4613" t="s">
        <v>82</v>
      </c>
      <c r="L4613" t="s">
        <v>2690</v>
      </c>
      <c r="M4613" t="s">
        <v>63</v>
      </c>
      <c r="N4613" t="s">
        <v>2630</v>
      </c>
      <c r="O4613" t="s">
        <v>123</v>
      </c>
      <c r="P4613" t="s">
        <v>52</v>
      </c>
      <c r="Q4613" t="s">
        <v>146</v>
      </c>
      <c r="R4613">
        <v>3</v>
      </c>
      <c r="S4613">
        <v>2499</v>
      </c>
      <c r="T4613">
        <v>0.15</v>
      </c>
      <c r="U4613">
        <v>0</v>
      </c>
      <c r="V4613">
        <v>0</v>
      </c>
      <c r="W4613">
        <v>0</v>
      </c>
      <c r="X4613" t="s">
        <v>73</v>
      </c>
      <c r="Y4613" t="s">
        <v>71</v>
      </c>
      <c r="Z4613" t="s">
        <v>159</v>
      </c>
      <c r="AA4613" t="s">
        <v>170</v>
      </c>
      <c r="AB4613">
        <v>3.6</v>
      </c>
      <c r="AC4613">
        <v>60</v>
      </c>
      <c r="AD4613">
        <v>185.63</v>
      </c>
      <c r="AE4613">
        <f t="shared" si="144"/>
        <v>-245.63</v>
      </c>
      <c r="AF4613" t="str">
        <f t="shared" si="145"/>
        <v>2026-08</v>
      </c>
      <c r="AG4613">
        <f>SUBTOTAL(103,A4613)</f>
        <v>1</v>
      </c>
    </row>
    <row r="4614" spans="1:33" x14ac:dyDescent="0.3">
      <c r="A4614" t="s">
        <v>7237</v>
      </c>
      <c r="B4614" s="13">
        <v>46246</v>
      </c>
      <c r="C4614">
        <v>2026</v>
      </c>
      <c r="D4614">
        <v>8</v>
      </c>
      <c r="E4614" t="s">
        <v>4301</v>
      </c>
      <c r="F4614" t="s">
        <v>4047</v>
      </c>
      <c r="G4614" t="s">
        <v>1841</v>
      </c>
      <c r="H4614" t="s">
        <v>1842</v>
      </c>
      <c r="I4614" t="s">
        <v>87</v>
      </c>
      <c r="J4614">
        <v>59</v>
      </c>
      <c r="K4614" t="s">
        <v>83</v>
      </c>
      <c r="L4614" t="s">
        <v>2679</v>
      </c>
      <c r="M4614" t="s">
        <v>60</v>
      </c>
      <c r="N4614" t="s">
        <v>2630</v>
      </c>
      <c r="O4614" t="s">
        <v>123</v>
      </c>
      <c r="P4614" t="s">
        <v>52</v>
      </c>
      <c r="Q4614" t="s">
        <v>146</v>
      </c>
      <c r="R4614">
        <v>2</v>
      </c>
      <c r="S4614">
        <v>2499</v>
      </c>
      <c r="T4614">
        <v>0.15</v>
      </c>
      <c r="U4614">
        <v>4248.3</v>
      </c>
      <c r="V4614">
        <v>2800</v>
      </c>
      <c r="W4614">
        <v>1448.3</v>
      </c>
      <c r="X4614" t="s">
        <v>73</v>
      </c>
      <c r="Y4614" t="s">
        <v>68</v>
      </c>
      <c r="Z4614" t="s">
        <v>159</v>
      </c>
      <c r="AA4614" t="s">
        <v>168</v>
      </c>
      <c r="AB4614">
        <v>3.4</v>
      </c>
      <c r="AC4614">
        <v>50</v>
      </c>
      <c r="AD4614">
        <v>220.64</v>
      </c>
      <c r="AE4614">
        <f t="shared" si="144"/>
        <v>1177.6599999999999</v>
      </c>
      <c r="AF4614" t="str">
        <f t="shared" si="145"/>
        <v>2026-08</v>
      </c>
      <c r="AG4614">
        <f>SUBTOTAL(103,A4614)</f>
        <v>1</v>
      </c>
    </row>
    <row r="4615" spans="1:33" x14ac:dyDescent="0.3">
      <c r="A4615" t="s">
        <v>7238</v>
      </c>
      <c r="B4615" s="13">
        <v>46247</v>
      </c>
      <c r="C4615">
        <v>2026</v>
      </c>
      <c r="D4615">
        <v>8</v>
      </c>
      <c r="E4615" t="s">
        <v>4301</v>
      </c>
      <c r="F4615" t="s">
        <v>4047</v>
      </c>
      <c r="G4615" t="s">
        <v>1449</v>
      </c>
      <c r="H4615" t="s">
        <v>1450</v>
      </c>
      <c r="I4615" t="s">
        <v>87</v>
      </c>
      <c r="J4615">
        <v>52</v>
      </c>
      <c r="K4615" t="s">
        <v>83</v>
      </c>
      <c r="L4615" t="s">
        <v>93</v>
      </c>
      <c r="M4615" t="s">
        <v>55</v>
      </c>
      <c r="N4615" t="s">
        <v>2657</v>
      </c>
      <c r="O4615" t="s">
        <v>134</v>
      </c>
      <c r="P4615" t="s">
        <v>49</v>
      </c>
      <c r="Q4615" t="s">
        <v>140</v>
      </c>
      <c r="R4615">
        <v>1</v>
      </c>
      <c r="S4615">
        <v>599</v>
      </c>
      <c r="T4615">
        <v>0.05</v>
      </c>
      <c r="U4615">
        <v>569.04999999999995</v>
      </c>
      <c r="V4615">
        <v>250</v>
      </c>
      <c r="W4615">
        <v>319.05</v>
      </c>
      <c r="X4615" t="s">
        <v>73</v>
      </c>
      <c r="Y4615" t="s">
        <v>68</v>
      </c>
      <c r="Z4615" t="s">
        <v>158</v>
      </c>
      <c r="AA4615" t="s">
        <v>168</v>
      </c>
      <c r="AB4615">
        <v>5</v>
      </c>
      <c r="AC4615">
        <v>40</v>
      </c>
      <c r="AD4615">
        <v>20</v>
      </c>
      <c r="AE4615">
        <f t="shared" si="144"/>
        <v>259.05</v>
      </c>
      <c r="AF4615" t="str">
        <f t="shared" si="145"/>
        <v>2026-08</v>
      </c>
      <c r="AG4615">
        <f>SUBTOTAL(103,A4615)</f>
        <v>1</v>
      </c>
    </row>
    <row r="4616" spans="1:33" x14ac:dyDescent="0.3">
      <c r="A4616" t="s">
        <v>7239</v>
      </c>
      <c r="B4616" s="13">
        <v>46247</v>
      </c>
      <c r="C4616">
        <v>2026</v>
      </c>
      <c r="D4616">
        <v>8</v>
      </c>
      <c r="E4616" t="s">
        <v>4301</v>
      </c>
      <c r="F4616" t="s">
        <v>4047</v>
      </c>
      <c r="G4616" t="s">
        <v>327</v>
      </c>
      <c r="H4616" t="s">
        <v>328</v>
      </c>
      <c r="I4616" t="s">
        <v>86</v>
      </c>
      <c r="J4616">
        <v>29</v>
      </c>
      <c r="K4616" t="s">
        <v>81</v>
      </c>
      <c r="L4616" t="s">
        <v>93</v>
      </c>
      <c r="M4616" t="s">
        <v>55</v>
      </c>
      <c r="N4616" t="s">
        <v>2644</v>
      </c>
      <c r="O4616" t="s">
        <v>126</v>
      </c>
      <c r="P4616" t="s">
        <v>50</v>
      </c>
      <c r="Q4616" t="s">
        <v>145</v>
      </c>
      <c r="R4616">
        <v>3</v>
      </c>
      <c r="S4616">
        <v>1799</v>
      </c>
      <c r="T4616">
        <v>0</v>
      </c>
      <c r="U4616">
        <v>5397</v>
      </c>
      <c r="V4616">
        <v>2850</v>
      </c>
      <c r="W4616">
        <v>2547</v>
      </c>
      <c r="X4616" t="s">
        <v>74</v>
      </c>
      <c r="Y4616" t="s">
        <v>68</v>
      </c>
      <c r="Z4616" t="s">
        <v>161</v>
      </c>
      <c r="AA4616" t="s">
        <v>170</v>
      </c>
      <c r="AB4616">
        <v>4.5</v>
      </c>
      <c r="AC4616">
        <v>50</v>
      </c>
      <c r="AD4616">
        <v>360.98</v>
      </c>
      <c r="AE4616">
        <f t="shared" si="144"/>
        <v>2136.02</v>
      </c>
      <c r="AF4616" t="str">
        <f t="shared" si="145"/>
        <v>2026-08</v>
      </c>
      <c r="AG4616">
        <f>SUBTOTAL(103,A4616)</f>
        <v>1</v>
      </c>
    </row>
    <row r="4617" spans="1:33" x14ac:dyDescent="0.3">
      <c r="A4617" t="s">
        <v>7240</v>
      </c>
      <c r="B4617" s="13">
        <v>46247</v>
      </c>
      <c r="C4617">
        <v>2026</v>
      </c>
      <c r="D4617">
        <v>8</v>
      </c>
      <c r="E4617" t="s">
        <v>4301</v>
      </c>
      <c r="F4617" t="s">
        <v>4047</v>
      </c>
      <c r="G4617" t="s">
        <v>233</v>
      </c>
      <c r="H4617" t="s">
        <v>234</v>
      </c>
      <c r="I4617" t="s">
        <v>86</v>
      </c>
      <c r="J4617">
        <v>55</v>
      </c>
      <c r="K4617" t="s">
        <v>83</v>
      </c>
      <c r="L4617" t="s">
        <v>90</v>
      </c>
      <c r="M4617" t="s">
        <v>55</v>
      </c>
      <c r="N4617" t="s">
        <v>2584</v>
      </c>
      <c r="O4617" t="s">
        <v>121</v>
      </c>
      <c r="P4617" t="s">
        <v>50</v>
      </c>
      <c r="Q4617" t="s">
        <v>144</v>
      </c>
      <c r="R4617">
        <v>4</v>
      </c>
      <c r="S4617">
        <v>2999</v>
      </c>
      <c r="T4617">
        <v>0.1</v>
      </c>
      <c r="U4617">
        <v>10796.4</v>
      </c>
      <c r="V4617">
        <v>6800</v>
      </c>
      <c r="W4617">
        <v>3996.4</v>
      </c>
      <c r="X4617" t="s">
        <v>73</v>
      </c>
      <c r="Y4617" t="s">
        <v>68</v>
      </c>
      <c r="Z4617" t="s">
        <v>162</v>
      </c>
      <c r="AA4617" t="s">
        <v>167</v>
      </c>
      <c r="AB4617">
        <v>3.1</v>
      </c>
      <c r="AC4617">
        <v>80</v>
      </c>
      <c r="AD4617">
        <v>365.27</v>
      </c>
      <c r="AE4617">
        <f t="shared" si="144"/>
        <v>3551.13</v>
      </c>
      <c r="AF4617" t="str">
        <f t="shared" si="145"/>
        <v>2026-08</v>
      </c>
      <c r="AG4617">
        <f>SUBTOTAL(103,A4617)</f>
        <v>1</v>
      </c>
    </row>
    <row r="4618" spans="1:33" x14ac:dyDescent="0.3">
      <c r="A4618" t="s">
        <v>7241</v>
      </c>
      <c r="B4618" s="13">
        <v>46247</v>
      </c>
      <c r="C4618">
        <v>2026</v>
      </c>
      <c r="D4618">
        <v>8</v>
      </c>
      <c r="E4618" t="s">
        <v>4301</v>
      </c>
      <c r="F4618" t="s">
        <v>4047</v>
      </c>
      <c r="G4618" t="s">
        <v>1149</v>
      </c>
      <c r="H4618" t="s">
        <v>1150</v>
      </c>
      <c r="I4618" t="s">
        <v>85</v>
      </c>
      <c r="J4618">
        <v>23</v>
      </c>
      <c r="K4618" t="s">
        <v>80</v>
      </c>
      <c r="L4618" t="s">
        <v>2634</v>
      </c>
      <c r="M4618" t="s">
        <v>56</v>
      </c>
      <c r="N4618" t="s">
        <v>2592</v>
      </c>
      <c r="O4618" t="s">
        <v>115</v>
      </c>
      <c r="P4618" t="s">
        <v>48</v>
      </c>
      <c r="Q4618" t="s">
        <v>137</v>
      </c>
      <c r="R4618">
        <v>2</v>
      </c>
      <c r="S4618">
        <v>12999</v>
      </c>
      <c r="T4618">
        <v>0.15</v>
      </c>
      <c r="U4618">
        <v>22098.3</v>
      </c>
      <c r="V4618">
        <v>18000</v>
      </c>
      <c r="W4618">
        <v>4098.3</v>
      </c>
      <c r="X4618" t="s">
        <v>73</v>
      </c>
      <c r="Y4618" t="s">
        <v>68</v>
      </c>
      <c r="Z4618" t="s">
        <v>158</v>
      </c>
      <c r="AA4618" t="s">
        <v>168</v>
      </c>
      <c r="AB4618">
        <v>3.9</v>
      </c>
      <c r="AC4618">
        <v>100</v>
      </c>
      <c r="AD4618">
        <v>1076.3</v>
      </c>
      <c r="AE4618">
        <f t="shared" si="144"/>
        <v>2922</v>
      </c>
      <c r="AF4618" t="str">
        <f t="shared" si="145"/>
        <v>2026-08</v>
      </c>
      <c r="AG4618">
        <f>SUBTOTAL(103,A4618)</f>
        <v>1</v>
      </c>
    </row>
    <row r="4619" spans="1:33" x14ac:dyDescent="0.3">
      <c r="A4619" t="s">
        <v>7242</v>
      </c>
      <c r="B4619" s="13">
        <v>46247</v>
      </c>
      <c r="C4619">
        <v>2026</v>
      </c>
      <c r="D4619">
        <v>8</v>
      </c>
      <c r="E4619" t="s">
        <v>4301</v>
      </c>
      <c r="F4619" t="s">
        <v>4047</v>
      </c>
      <c r="G4619" t="s">
        <v>2117</v>
      </c>
      <c r="H4619" t="s">
        <v>2118</v>
      </c>
      <c r="I4619" t="s">
        <v>85</v>
      </c>
      <c r="J4619">
        <v>39</v>
      </c>
      <c r="K4619" t="s">
        <v>82</v>
      </c>
      <c r="L4619" t="s">
        <v>2579</v>
      </c>
      <c r="M4619" t="s">
        <v>56</v>
      </c>
      <c r="N4619" t="s">
        <v>2590</v>
      </c>
      <c r="O4619" t="s">
        <v>127</v>
      </c>
      <c r="P4619" t="s">
        <v>51</v>
      </c>
      <c r="Q4619" t="s">
        <v>148</v>
      </c>
      <c r="R4619">
        <v>4</v>
      </c>
      <c r="S4619">
        <v>1599</v>
      </c>
      <c r="T4619">
        <v>0.05</v>
      </c>
      <c r="U4619">
        <v>6076.2</v>
      </c>
      <c r="V4619">
        <v>3200</v>
      </c>
      <c r="W4619">
        <v>2876.2</v>
      </c>
      <c r="X4619" t="s">
        <v>73</v>
      </c>
      <c r="Y4619" t="s">
        <v>68</v>
      </c>
      <c r="Z4619" t="s">
        <v>160</v>
      </c>
      <c r="AA4619" t="s">
        <v>166</v>
      </c>
      <c r="AB4619">
        <v>4.2</v>
      </c>
      <c r="AC4619">
        <v>60</v>
      </c>
      <c r="AD4619">
        <v>515.75</v>
      </c>
      <c r="AE4619">
        <f t="shared" si="144"/>
        <v>2300.4499999999998</v>
      </c>
      <c r="AF4619" t="str">
        <f t="shared" si="145"/>
        <v>2026-08</v>
      </c>
      <c r="AG4619">
        <f>SUBTOTAL(103,A4619)</f>
        <v>1</v>
      </c>
    </row>
    <row r="4620" spans="1:33" x14ac:dyDescent="0.3">
      <c r="A4620" t="s">
        <v>7243</v>
      </c>
      <c r="B4620" s="13">
        <v>46247</v>
      </c>
      <c r="C4620">
        <v>2026</v>
      </c>
      <c r="D4620">
        <v>8</v>
      </c>
      <c r="E4620" t="s">
        <v>4301</v>
      </c>
      <c r="F4620" t="s">
        <v>4047</v>
      </c>
      <c r="G4620" t="s">
        <v>845</v>
      </c>
      <c r="H4620" t="s">
        <v>846</v>
      </c>
      <c r="I4620" t="s">
        <v>86</v>
      </c>
      <c r="J4620">
        <v>51</v>
      </c>
      <c r="K4620" t="s">
        <v>83</v>
      </c>
      <c r="L4620" t="s">
        <v>2576</v>
      </c>
      <c r="M4620" t="s">
        <v>60</v>
      </c>
      <c r="N4620" t="s">
        <v>2653</v>
      </c>
      <c r="O4620" t="s">
        <v>132</v>
      </c>
      <c r="P4620" t="s">
        <v>52</v>
      </c>
      <c r="Q4620" t="s">
        <v>150</v>
      </c>
      <c r="R4620">
        <v>5</v>
      </c>
      <c r="S4620">
        <v>899</v>
      </c>
      <c r="T4620">
        <v>0.15</v>
      </c>
      <c r="U4620">
        <v>3820.75</v>
      </c>
      <c r="V4620">
        <v>2100</v>
      </c>
      <c r="W4620">
        <v>1720.75</v>
      </c>
      <c r="X4620" t="s">
        <v>73</v>
      </c>
      <c r="Y4620" t="s">
        <v>68</v>
      </c>
      <c r="Z4620" t="s">
        <v>161</v>
      </c>
      <c r="AA4620" t="s">
        <v>171</v>
      </c>
      <c r="AB4620">
        <v>3.2</v>
      </c>
      <c r="AC4620">
        <v>60</v>
      </c>
      <c r="AD4620">
        <v>393.24</v>
      </c>
      <c r="AE4620">
        <f t="shared" si="144"/>
        <v>1267.51</v>
      </c>
      <c r="AF4620" t="str">
        <f t="shared" si="145"/>
        <v>2026-08</v>
      </c>
      <c r="AG4620">
        <f>SUBTOTAL(103,A4620)</f>
        <v>1</v>
      </c>
    </row>
    <row r="4621" spans="1:33" x14ac:dyDescent="0.3">
      <c r="A4621" t="s">
        <v>7244</v>
      </c>
      <c r="B4621" s="13">
        <v>46247</v>
      </c>
      <c r="C4621">
        <v>2026</v>
      </c>
      <c r="D4621">
        <v>8</v>
      </c>
      <c r="E4621" t="s">
        <v>4301</v>
      </c>
      <c r="F4621" t="s">
        <v>4047</v>
      </c>
      <c r="G4621" t="s">
        <v>2099</v>
      </c>
      <c r="H4621" t="s">
        <v>2100</v>
      </c>
      <c r="I4621" t="s">
        <v>85</v>
      </c>
      <c r="J4621">
        <v>30</v>
      </c>
      <c r="K4621" t="s">
        <v>81</v>
      </c>
      <c r="L4621" t="s">
        <v>2605</v>
      </c>
      <c r="M4621" t="s">
        <v>60</v>
      </c>
      <c r="N4621" t="s">
        <v>2584</v>
      </c>
      <c r="O4621" t="s">
        <v>121</v>
      </c>
      <c r="P4621" t="s">
        <v>50</v>
      </c>
      <c r="Q4621" t="s">
        <v>144</v>
      </c>
      <c r="R4621">
        <v>2</v>
      </c>
      <c r="S4621">
        <v>2999</v>
      </c>
      <c r="T4621">
        <v>0</v>
      </c>
      <c r="U4621">
        <v>0</v>
      </c>
      <c r="V4621">
        <v>0</v>
      </c>
      <c r="W4621">
        <v>0</v>
      </c>
      <c r="X4621" t="s">
        <v>75</v>
      </c>
      <c r="Y4621" t="s">
        <v>71</v>
      </c>
      <c r="Z4621" t="s">
        <v>160</v>
      </c>
      <c r="AA4621" t="s">
        <v>166</v>
      </c>
      <c r="AB4621">
        <v>4.0999999999999996</v>
      </c>
      <c r="AC4621">
        <v>40</v>
      </c>
      <c r="AD4621">
        <v>327.72</v>
      </c>
      <c r="AE4621">
        <f t="shared" si="144"/>
        <v>-367.72</v>
      </c>
      <c r="AF4621" t="str">
        <f t="shared" si="145"/>
        <v>2026-08</v>
      </c>
      <c r="AG4621">
        <f>SUBTOTAL(103,A4621)</f>
        <v>1</v>
      </c>
    </row>
    <row r="4622" spans="1:33" x14ac:dyDescent="0.3">
      <c r="A4622" t="s">
        <v>7245</v>
      </c>
      <c r="B4622" s="13">
        <v>46247</v>
      </c>
      <c r="C4622">
        <v>2026</v>
      </c>
      <c r="D4622">
        <v>8</v>
      </c>
      <c r="E4622" t="s">
        <v>4301</v>
      </c>
      <c r="F4622" t="s">
        <v>4047</v>
      </c>
      <c r="G4622" t="s">
        <v>1201</v>
      </c>
      <c r="H4622" t="s">
        <v>1202</v>
      </c>
      <c r="I4622" t="s">
        <v>86</v>
      </c>
      <c r="J4622">
        <v>35</v>
      </c>
      <c r="K4622" t="s">
        <v>81</v>
      </c>
      <c r="L4622" t="s">
        <v>94</v>
      </c>
      <c r="M4622" t="s">
        <v>57</v>
      </c>
      <c r="N4622" t="s">
        <v>2574</v>
      </c>
      <c r="O4622" t="s">
        <v>130</v>
      </c>
      <c r="P4622" t="s">
        <v>50</v>
      </c>
      <c r="Q4622" t="s">
        <v>53</v>
      </c>
      <c r="R4622">
        <v>1</v>
      </c>
      <c r="S4622">
        <v>1199</v>
      </c>
      <c r="T4622">
        <v>0.2</v>
      </c>
      <c r="U4622">
        <v>959.2</v>
      </c>
      <c r="V4622">
        <v>550</v>
      </c>
      <c r="W4622">
        <v>409.2</v>
      </c>
      <c r="X4622" t="s">
        <v>76</v>
      </c>
      <c r="Y4622" t="s">
        <v>69</v>
      </c>
      <c r="Z4622" t="s">
        <v>160</v>
      </c>
      <c r="AA4622" t="s">
        <v>166</v>
      </c>
      <c r="AB4622">
        <v>5</v>
      </c>
      <c r="AC4622">
        <v>100</v>
      </c>
      <c r="AD4622">
        <v>85.29</v>
      </c>
      <c r="AE4622">
        <f t="shared" si="144"/>
        <v>223.90999999999997</v>
      </c>
      <c r="AF4622" t="str">
        <f t="shared" si="145"/>
        <v>2026-08</v>
      </c>
      <c r="AG4622">
        <f>SUBTOTAL(103,A4622)</f>
        <v>1</v>
      </c>
    </row>
    <row r="4623" spans="1:33" x14ac:dyDescent="0.3">
      <c r="A4623" t="s">
        <v>7246</v>
      </c>
      <c r="B4623" s="13">
        <v>46248</v>
      </c>
      <c r="C4623">
        <v>2026</v>
      </c>
      <c r="D4623">
        <v>8</v>
      </c>
      <c r="E4623" t="s">
        <v>4301</v>
      </c>
      <c r="F4623" t="s">
        <v>4047</v>
      </c>
      <c r="G4623" t="s">
        <v>1685</v>
      </c>
      <c r="H4623" t="s">
        <v>1686</v>
      </c>
      <c r="I4623" t="s">
        <v>86</v>
      </c>
      <c r="J4623">
        <v>37</v>
      </c>
      <c r="K4623" t="s">
        <v>82</v>
      </c>
      <c r="L4623" t="s">
        <v>2586</v>
      </c>
      <c r="M4623" t="s">
        <v>62</v>
      </c>
      <c r="N4623" t="s">
        <v>2594</v>
      </c>
      <c r="O4623" t="s">
        <v>131</v>
      </c>
      <c r="P4623" t="s">
        <v>53</v>
      </c>
      <c r="Q4623" t="s">
        <v>143</v>
      </c>
      <c r="R4623">
        <v>1</v>
      </c>
      <c r="S4623">
        <v>999</v>
      </c>
      <c r="T4623">
        <v>0.05</v>
      </c>
      <c r="U4623">
        <v>949.05</v>
      </c>
      <c r="V4623">
        <v>520</v>
      </c>
      <c r="W4623">
        <v>429.05</v>
      </c>
      <c r="X4623" t="s">
        <v>73</v>
      </c>
      <c r="Y4623" t="s">
        <v>68</v>
      </c>
      <c r="Z4623" t="s">
        <v>159</v>
      </c>
      <c r="AA4623" t="s">
        <v>167</v>
      </c>
      <c r="AB4623">
        <v>4</v>
      </c>
      <c r="AC4623">
        <v>80</v>
      </c>
      <c r="AD4623">
        <v>59.55</v>
      </c>
      <c r="AE4623">
        <f t="shared" si="144"/>
        <v>289.5</v>
      </c>
      <c r="AF4623" t="str">
        <f t="shared" si="145"/>
        <v>2026-08</v>
      </c>
      <c r="AG4623">
        <f>SUBTOTAL(103,A4623)</f>
        <v>1</v>
      </c>
    </row>
    <row r="4624" spans="1:33" x14ac:dyDescent="0.3">
      <c r="A4624" t="s">
        <v>7247</v>
      </c>
      <c r="B4624" s="13">
        <v>46248</v>
      </c>
      <c r="C4624">
        <v>2026</v>
      </c>
      <c r="D4624">
        <v>8</v>
      </c>
      <c r="E4624" t="s">
        <v>4301</v>
      </c>
      <c r="F4624" t="s">
        <v>4047</v>
      </c>
      <c r="G4624" t="s">
        <v>485</v>
      </c>
      <c r="H4624" t="s">
        <v>486</v>
      </c>
      <c r="I4624" t="s">
        <v>86</v>
      </c>
      <c r="J4624">
        <v>49</v>
      </c>
      <c r="K4624" t="s">
        <v>83</v>
      </c>
      <c r="L4624" t="s">
        <v>90</v>
      </c>
      <c r="M4624" t="s">
        <v>55</v>
      </c>
      <c r="N4624" t="s">
        <v>2594</v>
      </c>
      <c r="O4624" t="s">
        <v>131</v>
      </c>
      <c r="P4624" t="s">
        <v>53</v>
      </c>
      <c r="Q4624" t="s">
        <v>143</v>
      </c>
      <c r="R4624">
        <v>3</v>
      </c>
      <c r="S4624">
        <v>999</v>
      </c>
      <c r="T4624">
        <v>0.15</v>
      </c>
      <c r="U4624">
        <v>2547.4499999999998</v>
      </c>
      <c r="V4624">
        <v>1560</v>
      </c>
      <c r="W4624">
        <v>987.45</v>
      </c>
      <c r="X4624" t="s">
        <v>74</v>
      </c>
      <c r="Y4624" t="s">
        <v>68</v>
      </c>
      <c r="Z4624" t="s">
        <v>158</v>
      </c>
      <c r="AA4624" t="s">
        <v>166</v>
      </c>
      <c r="AB4624">
        <v>4.5999999999999996</v>
      </c>
      <c r="AC4624">
        <v>60</v>
      </c>
      <c r="AD4624">
        <v>200.04</v>
      </c>
      <c r="AE4624">
        <f t="shared" si="144"/>
        <v>727.41000000000008</v>
      </c>
      <c r="AF4624" t="str">
        <f t="shared" si="145"/>
        <v>2026-08</v>
      </c>
      <c r="AG4624">
        <f>SUBTOTAL(103,A4624)</f>
        <v>1</v>
      </c>
    </row>
    <row r="4625" spans="1:33" x14ac:dyDescent="0.3">
      <c r="A4625" t="s">
        <v>7248</v>
      </c>
      <c r="B4625" s="13">
        <v>46248</v>
      </c>
      <c r="C4625">
        <v>2026</v>
      </c>
      <c r="D4625">
        <v>8</v>
      </c>
      <c r="E4625" t="s">
        <v>4301</v>
      </c>
      <c r="F4625" t="s">
        <v>4047</v>
      </c>
      <c r="G4625" t="s">
        <v>191</v>
      </c>
      <c r="H4625" t="s">
        <v>192</v>
      </c>
      <c r="I4625" t="s">
        <v>85</v>
      </c>
      <c r="J4625">
        <v>22</v>
      </c>
      <c r="K4625" t="s">
        <v>80</v>
      </c>
      <c r="L4625" t="s">
        <v>2687</v>
      </c>
      <c r="M4625" t="s">
        <v>57</v>
      </c>
      <c r="N4625" t="s">
        <v>2626</v>
      </c>
      <c r="O4625" t="s">
        <v>125</v>
      </c>
      <c r="P4625" t="s">
        <v>48</v>
      </c>
      <c r="Q4625" t="s">
        <v>141</v>
      </c>
      <c r="R4625">
        <v>2</v>
      </c>
      <c r="S4625">
        <v>1999</v>
      </c>
      <c r="T4625">
        <v>0.15</v>
      </c>
      <c r="U4625">
        <v>3398.3</v>
      </c>
      <c r="V4625">
        <v>2300</v>
      </c>
      <c r="W4625">
        <v>1098.3</v>
      </c>
      <c r="X4625" t="s">
        <v>77</v>
      </c>
      <c r="Y4625" t="s">
        <v>68</v>
      </c>
      <c r="Z4625" t="s">
        <v>162</v>
      </c>
      <c r="AA4625" t="s">
        <v>171</v>
      </c>
      <c r="AB4625">
        <v>3.9</v>
      </c>
      <c r="AC4625">
        <v>100</v>
      </c>
      <c r="AD4625">
        <v>383.08</v>
      </c>
      <c r="AE4625">
        <f t="shared" si="144"/>
        <v>615.22</v>
      </c>
      <c r="AF4625" t="str">
        <f t="shared" si="145"/>
        <v>2026-08</v>
      </c>
      <c r="AG4625">
        <f>SUBTOTAL(103,A4625)</f>
        <v>1</v>
      </c>
    </row>
    <row r="4626" spans="1:33" x14ac:dyDescent="0.3">
      <c r="A4626" t="s">
        <v>7249</v>
      </c>
      <c r="B4626" s="13">
        <v>46248</v>
      </c>
      <c r="C4626">
        <v>2026</v>
      </c>
      <c r="D4626">
        <v>8</v>
      </c>
      <c r="E4626" t="s">
        <v>4301</v>
      </c>
      <c r="F4626" t="s">
        <v>4047</v>
      </c>
      <c r="G4626" t="s">
        <v>879</v>
      </c>
      <c r="H4626" t="s">
        <v>880</v>
      </c>
      <c r="I4626" t="s">
        <v>85</v>
      </c>
      <c r="J4626">
        <v>42</v>
      </c>
      <c r="K4626" t="s">
        <v>82</v>
      </c>
      <c r="L4626" t="s">
        <v>92</v>
      </c>
      <c r="M4626" t="s">
        <v>59</v>
      </c>
      <c r="N4626" t="s">
        <v>2653</v>
      </c>
      <c r="O4626" t="s">
        <v>132</v>
      </c>
      <c r="P4626" t="s">
        <v>52</v>
      </c>
      <c r="Q4626" t="s">
        <v>150</v>
      </c>
      <c r="R4626">
        <v>2</v>
      </c>
      <c r="S4626">
        <v>899</v>
      </c>
      <c r="T4626">
        <v>0</v>
      </c>
      <c r="U4626">
        <v>1798</v>
      </c>
      <c r="V4626">
        <v>840</v>
      </c>
      <c r="W4626">
        <v>958</v>
      </c>
      <c r="X4626" t="s">
        <v>76</v>
      </c>
      <c r="Y4626" t="s">
        <v>69</v>
      </c>
      <c r="Z4626" t="s">
        <v>160</v>
      </c>
      <c r="AA4626" t="s">
        <v>166</v>
      </c>
      <c r="AB4626">
        <v>3.9</v>
      </c>
      <c r="AC4626">
        <v>50</v>
      </c>
      <c r="AD4626">
        <v>204.01</v>
      </c>
      <c r="AE4626">
        <f t="shared" si="144"/>
        <v>703.99</v>
      </c>
      <c r="AF4626" t="str">
        <f t="shared" si="145"/>
        <v>2026-08</v>
      </c>
      <c r="AG4626">
        <f>SUBTOTAL(103,A4626)</f>
        <v>1</v>
      </c>
    </row>
    <row r="4627" spans="1:33" x14ac:dyDescent="0.3">
      <c r="A4627" t="s">
        <v>7250</v>
      </c>
      <c r="B4627" s="13">
        <v>46248</v>
      </c>
      <c r="C4627">
        <v>2026</v>
      </c>
      <c r="D4627">
        <v>8</v>
      </c>
      <c r="E4627" t="s">
        <v>4301</v>
      </c>
      <c r="F4627" t="s">
        <v>4047</v>
      </c>
      <c r="G4627" t="s">
        <v>1609</v>
      </c>
      <c r="H4627" t="s">
        <v>1610</v>
      </c>
      <c r="I4627" t="s">
        <v>86</v>
      </c>
      <c r="J4627">
        <v>36</v>
      </c>
      <c r="K4627" t="s">
        <v>82</v>
      </c>
      <c r="L4627" t="s">
        <v>2674</v>
      </c>
      <c r="M4627" t="s">
        <v>58</v>
      </c>
      <c r="N4627" t="s">
        <v>2644</v>
      </c>
      <c r="O4627" t="s">
        <v>126</v>
      </c>
      <c r="P4627" t="s">
        <v>50</v>
      </c>
      <c r="Q4627" t="s">
        <v>145</v>
      </c>
      <c r="R4627">
        <v>2</v>
      </c>
      <c r="S4627">
        <v>1799</v>
      </c>
      <c r="T4627">
        <v>0.15</v>
      </c>
      <c r="U4627">
        <v>3058.3</v>
      </c>
      <c r="V4627">
        <v>1900</v>
      </c>
      <c r="W4627">
        <v>1158.3</v>
      </c>
      <c r="X4627" t="s">
        <v>73</v>
      </c>
      <c r="Y4627" t="s">
        <v>68</v>
      </c>
      <c r="Z4627" t="s">
        <v>160</v>
      </c>
      <c r="AA4627" t="s">
        <v>171</v>
      </c>
      <c r="AB4627">
        <v>5</v>
      </c>
      <c r="AC4627">
        <v>40</v>
      </c>
      <c r="AD4627">
        <v>287.66000000000003</v>
      </c>
      <c r="AE4627">
        <f t="shared" si="144"/>
        <v>830.63999999999987</v>
      </c>
      <c r="AF4627" t="str">
        <f t="shared" si="145"/>
        <v>2026-08</v>
      </c>
      <c r="AG4627">
        <f>SUBTOTAL(103,A4627)</f>
        <v>1</v>
      </c>
    </row>
    <row r="4628" spans="1:33" x14ac:dyDescent="0.3">
      <c r="A4628" t="s">
        <v>7251</v>
      </c>
      <c r="B4628" s="13">
        <v>46248</v>
      </c>
      <c r="C4628">
        <v>2026</v>
      </c>
      <c r="D4628">
        <v>8</v>
      </c>
      <c r="E4628" t="s">
        <v>4301</v>
      </c>
      <c r="F4628" t="s">
        <v>4047</v>
      </c>
      <c r="G4628" t="s">
        <v>849</v>
      </c>
      <c r="H4628" t="s">
        <v>850</v>
      </c>
      <c r="I4628" t="s">
        <v>85</v>
      </c>
      <c r="J4628">
        <v>33</v>
      </c>
      <c r="K4628" t="s">
        <v>81</v>
      </c>
      <c r="L4628" t="s">
        <v>2605</v>
      </c>
      <c r="M4628" t="s">
        <v>60</v>
      </c>
      <c r="N4628" t="s">
        <v>2582</v>
      </c>
      <c r="O4628" t="s">
        <v>119</v>
      </c>
      <c r="P4628" t="s">
        <v>49</v>
      </c>
      <c r="Q4628" t="s">
        <v>140</v>
      </c>
      <c r="R4628">
        <v>2</v>
      </c>
      <c r="S4628">
        <v>3499</v>
      </c>
      <c r="T4628">
        <v>0.15</v>
      </c>
      <c r="U4628">
        <v>5948.3</v>
      </c>
      <c r="V4628">
        <v>4200</v>
      </c>
      <c r="W4628">
        <v>1748.3</v>
      </c>
      <c r="X4628" t="s">
        <v>76</v>
      </c>
      <c r="Y4628" t="s">
        <v>68</v>
      </c>
      <c r="Z4628" t="s">
        <v>159</v>
      </c>
      <c r="AA4628" t="s">
        <v>171</v>
      </c>
      <c r="AB4628">
        <v>3.5</v>
      </c>
      <c r="AC4628">
        <v>60</v>
      </c>
      <c r="AD4628">
        <v>215.83</v>
      </c>
      <c r="AE4628">
        <f t="shared" si="144"/>
        <v>1472.47</v>
      </c>
      <c r="AF4628" t="str">
        <f t="shared" si="145"/>
        <v>2026-08</v>
      </c>
      <c r="AG4628">
        <f>SUBTOTAL(103,A4628)</f>
        <v>1</v>
      </c>
    </row>
    <row r="4629" spans="1:33" x14ac:dyDescent="0.3">
      <c r="A4629" t="s">
        <v>7252</v>
      </c>
      <c r="B4629" s="13">
        <v>46248</v>
      </c>
      <c r="C4629">
        <v>2026</v>
      </c>
      <c r="D4629">
        <v>8</v>
      </c>
      <c r="E4629" t="s">
        <v>4301</v>
      </c>
      <c r="F4629" t="s">
        <v>4047</v>
      </c>
      <c r="G4629" t="s">
        <v>1163</v>
      </c>
      <c r="H4629" t="s">
        <v>1164</v>
      </c>
      <c r="I4629" t="s">
        <v>87</v>
      </c>
      <c r="J4629">
        <v>53</v>
      </c>
      <c r="K4629" t="s">
        <v>83</v>
      </c>
      <c r="L4629" t="s">
        <v>92</v>
      </c>
      <c r="M4629" t="s">
        <v>59</v>
      </c>
      <c r="N4629" t="s">
        <v>2590</v>
      </c>
      <c r="O4629" t="s">
        <v>127</v>
      </c>
      <c r="P4629" t="s">
        <v>51</v>
      </c>
      <c r="Q4629" t="s">
        <v>148</v>
      </c>
      <c r="R4629">
        <v>3</v>
      </c>
      <c r="S4629">
        <v>1599</v>
      </c>
      <c r="T4629">
        <v>0.15</v>
      </c>
      <c r="U4629">
        <v>4077.45</v>
      </c>
      <c r="V4629">
        <v>2400</v>
      </c>
      <c r="W4629">
        <v>1677.45</v>
      </c>
      <c r="X4629" t="s">
        <v>73</v>
      </c>
      <c r="Y4629" t="s">
        <v>68</v>
      </c>
      <c r="Z4629" t="s">
        <v>160</v>
      </c>
      <c r="AA4629" t="s">
        <v>170</v>
      </c>
      <c r="AB4629">
        <v>4.4000000000000004</v>
      </c>
      <c r="AC4629">
        <v>50</v>
      </c>
      <c r="AD4629">
        <v>217.12</v>
      </c>
      <c r="AE4629">
        <f t="shared" si="144"/>
        <v>1410.33</v>
      </c>
      <c r="AF4629" t="str">
        <f t="shared" si="145"/>
        <v>2026-08</v>
      </c>
      <c r="AG4629">
        <f>SUBTOTAL(103,A4629)</f>
        <v>1</v>
      </c>
    </row>
    <row r="4630" spans="1:33" x14ac:dyDescent="0.3">
      <c r="A4630" t="s">
        <v>7253</v>
      </c>
      <c r="B4630" s="13">
        <v>46249</v>
      </c>
      <c r="C4630">
        <v>2026</v>
      </c>
      <c r="D4630">
        <v>8</v>
      </c>
      <c r="E4630" t="s">
        <v>4301</v>
      </c>
      <c r="F4630" t="s">
        <v>4047</v>
      </c>
      <c r="G4630" t="s">
        <v>2107</v>
      </c>
      <c r="H4630" t="s">
        <v>2108</v>
      </c>
      <c r="I4630" t="s">
        <v>86</v>
      </c>
      <c r="J4630">
        <v>28</v>
      </c>
      <c r="K4630" t="s">
        <v>81</v>
      </c>
      <c r="L4630" t="s">
        <v>2610</v>
      </c>
      <c r="M4630" t="s">
        <v>64</v>
      </c>
      <c r="N4630" t="s">
        <v>2594</v>
      </c>
      <c r="O4630" t="s">
        <v>131</v>
      </c>
      <c r="P4630" t="s">
        <v>53</v>
      </c>
      <c r="Q4630" t="s">
        <v>143</v>
      </c>
      <c r="R4630">
        <v>2</v>
      </c>
      <c r="S4630">
        <v>999</v>
      </c>
      <c r="T4630">
        <v>0.1</v>
      </c>
      <c r="U4630">
        <v>1798.2</v>
      </c>
      <c r="V4630">
        <v>1040</v>
      </c>
      <c r="W4630">
        <v>758.2</v>
      </c>
      <c r="X4630" t="s">
        <v>73</v>
      </c>
      <c r="Y4630" t="s">
        <v>68</v>
      </c>
      <c r="Z4630" t="s">
        <v>161</v>
      </c>
      <c r="AA4630" t="s">
        <v>169</v>
      </c>
      <c r="AB4630">
        <v>3.5</v>
      </c>
      <c r="AC4630">
        <v>40</v>
      </c>
      <c r="AD4630">
        <v>205.36</v>
      </c>
      <c r="AE4630">
        <f t="shared" si="144"/>
        <v>512.84</v>
      </c>
      <c r="AF4630" t="str">
        <f t="shared" si="145"/>
        <v>2026-08</v>
      </c>
      <c r="AG4630">
        <f>SUBTOTAL(103,A4630)</f>
        <v>1</v>
      </c>
    </row>
    <row r="4631" spans="1:33" x14ac:dyDescent="0.3">
      <c r="A4631" t="s">
        <v>7254</v>
      </c>
      <c r="B4631" s="13">
        <v>46249</v>
      </c>
      <c r="C4631">
        <v>2026</v>
      </c>
      <c r="D4631">
        <v>8</v>
      </c>
      <c r="E4631" t="s">
        <v>4301</v>
      </c>
      <c r="F4631" t="s">
        <v>4047</v>
      </c>
      <c r="G4631" t="s">
        <v>1129</v>
      </c>
      <c r="H4631" t="s">
        <v>1130</v>
      </c>
      <c r="I4631" t="s">
        <v>86</v>
      </c>
      <c r="J4631">
        <v>37</v>
      </c>
      <c r="K4631" t="s">
        <v>82</v>
      </c>
      <c r="L4631" t="s">
        <v>91</v>
      </c>
      <c r="M4631" t="s">
        <v>55</v>
      </c>
      <c r="N4631" t="s">
        <v>2580</v>
      </c>
      <c r="O4631" t="s">
        <v>118</v>
      </c>
      <c r="P4631" t="s">
        <v>48</v>
      </c>
      <c r="Q4631" t="s">
        <v>142</v>
      </c>
      <c r="R4631">
        <v>1</v>
      </c>
      <c r="S4631">
        <v>3999</v>
      </c>
      <c r="T4631">
        <v>0.1</v>
      </c>
      <c r="U4631">
        <v>3599.1</v>
      </c>
      <c r="V4631">
        <v>2400</v>
      </c>
      <c r="W4631">
        <v>1199.0999999999999</v>
      </c>
      <c r="X4631" t="s">
        <v>75</v>
      </c>
      <c r="Y4631" t="s">
        <v>68</v>
      </c>
      <c r="Z4631" t="s">
        <v>161</v>
      </c>
      <c r="AA4631" t="s">
        <v>166</v>
      </c>
      <c r="AB4631">
        <v>3.9</v>
      </c>
      <c r="AC4631">
        <v>40</v>
      </c>
      <c r="AD4631">
        <v>330.39</v>
      </c>
      <c r="AE4631">
        <f t="shared" si="144"/>
        <v>828.70999999999992</v>
      </c>
      <c r="AF4631" t="str">
        <f t="shared" si="145"/>
        <v>2026-08</v>
      </c>
      <c r="AG4631">
        <f>SUBTOTAL(103,A4631)</f>
        <v>1</v>
      </c>
    </row>
    <row r="4632" spans="1:33" x14ac:dyDescent="0.3">
      <c r="A4632" t="s">
        <v>7255</v>
      </c>
      <c r="B4632" s="13">
        <v>46249</v>
      </c>
      <c r="C4632">
        <v>2026</v>
      </c>
      <c r="D4632">
        <v>8</v>
      </c>
      <c r="E4632" t="s">
        <v>4301</v>
      </c>
      <c r="F4632" t="s">
        <v>4047</v>
      </c>
      <c r="G4632" t="s">
        <v>1863</v>
      </c>
      <c r="H4632" t="s">
        <v>1864</v>
      </c>
      <c r="I4632" t="s">
        <v>85</v>
      </c>
      <c r="J4632">
        <v>37</v>
      </c>
      <c r="K4632" t="s">
        <v>82</v>
      </c>
      <c r="L4632" t="s">
        <v>95</v>
      </c>
      <c r="M4632" t="s">
        <v>56</v>
      </c>
      <c r="N4632" t="s">
        <v>2594</v>
      </c>
      <c r="O4632" t="s">
        <v>131</v>
      </c>
      <c r="P4632" t="s">
        <v>53</v>
      </c>
      <c r="Q4632" t="s">
        <v>143</v>
      </c>
      <c r="R4632">
        <v>2</v>
      </c>
      <c r="S4632">
        <v>999</v>
      </c>
      <c r="T4632">
        <v>0</v>
      </c>
      <c r="U4632">
        <v>1998</v>
      </c>
      <c r="V4632">
        <v>1040</v>
      </c>
      <c r="W4632">
        <v>958</v>
      </c>
      <c r="X4632" t="s">
        <v>75</v>
      </c>
      <c r="Y4632" t="s">
        <v>69</v>
      </c>
      <c r="Z4632" t="s">
        <v>160</v>
      </c>
      <c r="AA4632" t="s">
        <v>171</v>
      </c>
      <c r="AB4632">
        <v>4.5999999999999996</v>
      </c>
      <c r="AC4632">
        <v>60</v>
      </c>
      <c r="AD4632">
        <v>144.63</v>
      </c>
      <c r="AE4632">
        <f t="shared" si="144"/>
        <v>753.37</v>
      </c>
      <c r="AF4632" t="str">
        <f t="shared" si="145"/>
        <v>2026-08</v>
      </c>
      <c r="AG4632">
        <f>SUBTOTAL(103,A4632)</f>
        <v>1</v>
      </c>
    </row>
    <row r="4633" spans="1:33" x14ac:dyDescent="0.3">
      <c r="A4633" t="s">
        <v>7256</v>
      </c>
      <c r="B4633" s="13">
        <v>46249</v>
      </c>
      <c r="C4633">
        <v>2026</v>
      </c>
      <c r="D4633">
        <v>8</v>
      </c>
      <c r="E4633" t="s">
        <v>4301</v>
      </c>
      <c r="F4633" t="s">
        <v>4047</v>
      </c>
      <c r="G4633" t="s">
        <v>1043</v>
      </c>
      <c r="H4633" t="s">
        <v>1044</v>
      </c>
      <c r="I4633" t="s">
        <v>85</v>
      </c>
      <c r="J4633">
        <v>25</v>
      </c>
      <c r="K4633" t="s">
        <v>80</v>
      </c>
      <c r="L4633" t="s">
        <v>94</v>
      </c>
      <c r="M4633" t="s">
        <v>57</v>
      </c>
      <c r="N4633" t="s">
        <v>2580</v>
      </c>
      <c r="O4633" t="s">
        <v>118</v>
      </c>
      <c r="P4633" t="s">
        <v>48</v>
      </c>
      <c r="Q4633" t="s">
        <v>142</v>
      </c>
      <c r="R4633">
        <v>3</v>
      </c>
      <c r="S4633">
        <v>3999</v>
      </c>
      <c r="T4633">
        <v>0</v>
      </c>
      <c r="U4633">
        <v>11997</v>
      </c>
      <c r="V4633">
        <v>7200</v>
      </c>
      <c r="W4633">
        <v>4797</v>
      </c>
      <c r="X4633" t="s">
        <v>74</v>
      </c>
      <c r="Y4633" t="s">
        <v>68</v>
      </c>
      <c r="Z4633" t="s">
        <v>161</v>
      </c>
      <c r="AA4633" t="s">
        <v>168</v>
      </c>
      <c r="AB4633">
        <v>3.2</v>
      </c>
      <c r="AC4633">
        <v>80</v>
      </c>
      <c r="AD4633">
        <v>246.47</v>
      </c>
      <c r="AE4633">
        <f t="shared" si="144"/>
        <v>4470.53</v>
      </c>
      <c r="AF4633" t="str">
        <f t="shared" si="145"/>
        <v>2026-08</v>
      </c>
      <c r="AG4633">
        <f>SUBTOTAL(103,A4633)</f>
        <v>1</v>
      </c>
    </row>
    <row r="4634" spans="1:33" x14ac:dyDescent="0.3">
      <c r="A4634" t="s">
        <v>7257</v>
      </c>
      <c r="B4634" s="13">
        <v>46249</v>
      </c>
      <c r="C4634">
        <v>2026</v>
      </c>
      <c r="D4634">
        <v>8</v>
      </c>
      <c r="E4634" t="s">
        <v>4301</v>
      </c>
      <c r="F4634" t="s">
        <v>4047</v>
      </c>
      <c r="G4634" t="s">
        <v>1039</v>
      </c>
      <c r="H4634" t="s">
        <v>1040</v>
      </c>
      <c r="I4634" t="s">
        <v>85</v>
      </c>
      <c r="J4634">
        <v>37</v>
      </c>
      <c r="K4634" t="s">
        <v>82</v>
      </c>
      <c r="L4634" t="s">
        <v>99</v>
      </c>
      <c r="M4634" t="s">
        <v>58</v>
      </c>
      <c r="N4634" t="s">
        <v>2584</v>
      </c>
      <c r="O4634" t="s">
        <v>121</v>
      </c>
      <c r="P4634" t="s">
        <v>50</v>
      </c>
      <c r="Q4634" t="s">
        <v>144</v>
      </c>
      <c r="R4634">
        <v>1</v>
      </c>
      <c r="S4634">
        <v>2999</v>
      </c>
      <c r="T4634">
        <v>0.1</v>
      </c>
      <c r="U4634">
        <v>2699.1</v>
      </c>
      <c r="V4634">
        <v>1700</v>
      </c>
      <c r="W4634">
        <v>999.1</v>
      </c>
      <c r="X4634" t="s">
        <v>73</v>
      </c>
      <c r="Y4634" t="s">
        <v>68</v>
      </c>
      <c r="Z4634" t="s">
        <v>163</v>
      </c>
      <c r="AA4634" t="s">
        <v>166</v>
      </c>
      <c r="AB4634">
        <v>4</v>
      </c>
      <c r="AC4634">
        <v>60</v>
      </c>
      <c r="AD4634">
        <v>146.41</v>
      </c>
      <c r="AE4634">
        <f t="shared" si="144"/>
        <v>792.69</v>
      </c>
      <c r="AF4634" t="str">
        <f t="shared" si="145"/>
        <v>2026-08</v>
      </c>
      <c r="AG4634">
        <f>SUBTOTAL(103,A4634)</f>
        <v>1</v>
      </c>
    </row>
    <row r="4635" spans="1:33" x14ac:dyDescent="0.3">
      <c r="A4635" t="s">
        <v>7258</v>
      </c>
      <c r="B4635" s="13">
        <v>46249</v>
      </c>
      <c r="C4635">
        <v>2026</v>
      </c>
      <c r="D4635">
        <v>8</v>
      </c>
      <c r="E4635" t="s">
        <v>4301</v>
      </c>
      <c r="F4635" t="s">
        <v>4047</v>
      </c>
      <c r="G4635" t="s">
        <v>827</v>
      </c>
      <c r="H4635" t="s">
        <v>828</v>
      </c>
      <c r="I4635" t="s">
        <v>85</v>
      </c>
      <c r="J4635">
        <v>30</v>
      </c>
      <c r="K4635" t="s">
        <v>81</v>
      </c>
      <c r="L4635" t="s">
        <v>99</v>
      </c>
      <c r="M4635" t="s">
        <v>58</v>
      </c>
      <c r="N4635" t="s">
        <v>2626</v>
      </c>
      <c r="O4635" t="s">
        <v>125</v>
      </c>
      <c r="P4635" t="s">
        <v>48</v>
      </c>
      <c r="Q4635" t="s">
        <v>141</v>
      </c>
      <c r="R4635">
        <v>2</v>
      </c>
      <c r="S4635">
        <v>1999</v>
      </c>
      <c r="T4635">
        <v>0.15</v>
      </c>
      <c r="U4635">
        <v>3398.3</v>
      </c>
      <c r="V4635">
        <v>2300</v>
      </c>
      <c r="W4635">
        <v>1098.3</v>
      </c>
      <c r="X4635" t="s">
        <v>75</v>
      </c>
      <c r="Y4635" t="s">
        <v>68</v>
      </c>
      <c r="Z4635" t="s">
        <v>159</v>
      </c>
      <c r="AA4635" t="s">
        <v>167</v>
      </c>
      <c r="AB4635">
        <v>3.7</v>
      </c>
      <c r="AC4635">
        <v>60</v>
      </c>
      <c r="AD4635">
        <v>380.65</v>
      </c>
      <c r="AE4635">
        <f t="shared" si="144"/>
        <v>657.65</v>
      </c>
      <c r="AF4635" t="str">
        <f t="shared" si="145"/>
        <v>2026-08</v>
      </c>
      <c r="AG4635">
        <f>SUBTOTAL(103,A4635)</f>
        <v>1</v>
      </c>
    </row>
    <row r="4636" spans="1:33" x14ac:dyDescent="0.3">
      <c r="A4636" t="s">
        <v>7259</v>
      </c>
      <c r="B4636" s="13">
        <v>46249</v>
      </c>
      <c r="C4636">
        <v>2026</v>
      </c>
      <c r="D4636">
        <v>8</v>
      </c>
      <c r="E4636" t="s">
        <v>4301</v>
      </c>
      <c r="F4636" t="s">
        <v>4047</v>
      </c>
      <c r="G4636" t="s">
        <v>481</v>
      </c>
      <c r="H4636" t="s">
        <v>482</v>
      </c>
      <c r="I4636" t="s">
        <v>85</v>
      </c>
      <c r="J4636">
        <v>52</v>
      </c>
      <c r="K4636" t="s">
        <v>83</v>
      </c>
      <c r="L4636" t="s">
        <v>99</v>
      </c>
      <c r="M4636" t="s">
        <v>58</v>
      </c>
      <c r="N4636" t="s">
        <v>2580</v>
      </c>
      <c r="O4636" t="s">
        <v>118</v>
      </c>
      <c r="P4636" t="s">
        <v>48</v>
      </c>
      <c r="Q4636" t="s">
        <v>142</v>
      </c>
      <c r="R4636">
        <v>1</v>
      </c>
      <c r="S4636">
        <v>3999</v>
      </c>
      <c r="T4636">
        <v>0</v>
      </c>
      <c r="U4636">
        <v>3999</v>
      </c>
      <c r="V4636">
        <v>2400</v>
      </c>
      <c r="W4636">
        <v>1599</v>
      </c>
      <c r="X4636" t="s">
        <v>77</v>
      </c>
      <c r="Y4636" t="s">
        <v>68</v>
      </c>
      <c r="Z4636" t="s">
        <v>160</v>
      </c>
      <c r="AA4636" t="s">
        <v>168</v>
      </c>
      <c r="AB4636">
        <v>4.4000000000000004</v>
      </c>
      <c r="AC4636">
        <v>40</v>
      </c>
      <c r="AD4636">
        <v>81.93</v>
      </c>
      <c r="AE4636">
        <f t="shared" si="144"/>
        <v>1477.07</v>
      </c>
      <c r="AF4636" t="str">
        <f t="shared" si="145"/>
        <v>2026-08</v>
      </c>
      <c r="AG4636">
        <f>SUBTOTAL(103,A4636)</f>
        <v>1</v>
      </c>
    </row>
    <row r="4637" spans="1:33" x14ac:dyDescent="0.3">
      <c r="A4637" t="s">
        <v>7260</v>
      </c>
      <c r="B4637" s="13">
        <v>46249</v>
      </c>
      <c r="C4637">
        <v>2026</v>
      </c>
      <c r="D4637">
        <v>8</v>
      </c>
      <c r="E4637" t="s">
        <v>4301</v>
      </c>
      <c r="F4637" t="s">
        <v>4047</v>
      </c>
      <c r="G4637" t="s">
        <v>811</v>
      </c>
      <c r="H4637" t="s">
        <v>812</v>
      </c>
      <c r="I4637" t="s">
        <v>85</v>
      </c>
      <c r="J4637">
        <v>47</v>
      </c>
      <c r="K4637" t="s">
        <v>83</v>
      </c>
      <c r="L4637" t="s">
        <v>92</v>
      </c>
      <c r="M4637" t="s">
        <v>59</v>
      </c>
      <c r="N4637" t="s">
        <v>2644</v>
      </c>
      <c r="O4637" t="s">
        <v>126</v>
      </c>
      <c r="P4637" t="s">
        <v>50</v>
      </c>
      <c r="Q4637" t="s">
        <v>145</v>
      </c>
      <c r="R4637">
        <v>1</v>
      </c>
      <c r="S4637">
        <v>1799</v>
      </c>
      <c r="T4637">
        <v>0.05</v>
      </c>
      <c r="U4637">
        <v>1709.05</v>
      </c>
      <c r="V4637">
        <v>950</v>
      </c>
      <c r="W4637">
        <v>759.05</v>
      </c>
      <c r="X4637" t="s">
        <v>73</v>
      </c>
      <c r="Y4637" t="s">
        <v>68</v>
      </c>
      <c r="Z4637" t="s">
        <v>159</v>
      </c>
      <c r="AA4637" t="s">
        <v>166</v>
      </c>
      <c r="AB4637">
        <v>3.4</v>
      </c>
      <c r="AC4637">
        <v>60</v>
      </c>
      <c r="AD4637">
        <v>59.4</v>
      </c>
      <c r="AE4637">
        <f t="shared" si="144"/>
        <v>639.65</v>
      </c>
      <c r="AF4637" t="str">
        <f t="shared" si="145"/>
        <v>2026-08</v>
      </c>
      <c r="AG4637">
        <f>SUBTOTAL(103,A4637)</f>
        <v>1</v>
      </c>
    </row>
    <row r="4638" spans="1:33" x14ac:dyDescent="0.3">
      <c r="A4638" t="s">
        <v>7261</v>
      </c>
      <c r="B4638" s="13">
        <v>46249</v>
      </c>
      <c r="C4638">
        <v>2026</v>
      </c>
      <c r="D4638">
        <v>8</v>
      </c>
      <c r="E4638" t="s">
        <v>4301</v>
      </c>
      <c r="F4638" t="s">
        <v>4047</v>
      </c>
      <c r="G4638" t="s">
        <v>1603</v>
      </c>
      <c r="H4638" t="s">
        <v>1604</v>
      </c>
      <c r="I4638" t="s">
        <v>85</v>
      </c>
      <c r="J4638">
        <v>24</v>
      </c>
      <c r="K4638" t="s">
        <v>80</v>
      </c>
      <c r="L4638" t="s">
        <v>2589</v>
      </c>
      <c r="M4638" t="s">
        <v>61</v>
      </c>
      <c r="N4638" t="s">
        <v>2582</v>
      </c>
      <c r="O4638" t="s">
        <v>119</v>
      </c>
      <c r="P4638" t="s">
        <v>49</v>
      </c>
      <c r="Q4638" t="s">
        <v>140</v>
      </c>
      <c r="R4638">
        <v>2</v>
      </c>
      <c r="S4638">
        <v>3499</v>
      </c>
      <c r="T4638">
        <v>0.15</v>
      </c>
      <c r="U4638">
        <v>5948.3</v>
      </c>
      <c r="V4638">
        <v>4200</v>
      </c>
      <c r="W4638">
        <v>1748.3</v>
      </c>
      <c r="X4638" t="s">
        <v>73</v>
      </c>
      <c r="Y4638" t="s">
        <v>68</v>
      </c>
      <c r="Z4638" t="s">
        <v>160</v>
      </c>
      <c r="AA4638" t="s">
        <v>166</v>
      </c>
      <c r="AB4638">
        <v>4.5999999999999996</v>
      </c>
      <c r="AC4638">
        <v>40</v>
      </c>
      <c r="AD4638">
        <v>642.80999999999995</v>
      </c>
      <c r="AE4638">
        <f t="shared" si="144"/>
        <v>1065.49</v>
      </c>
      <c r="AF4638" t="str">
        <f t="shared" si="145"/>
        <v>2026-08</v>
      </c>
      <c r="AG4638">
        <f>SUBTOTAL(103,A4638)</f>
        <v>1</v>
      </c>
    </row>
    <row r="4639" spans="1:33" x14ac:dyDescent="0.3">
      <c r="A4639" t="s">
        <v>7262</v>
      </c>
      <c r="B4639" s="13">
        <v>46249</v>
      </c>
      <c r="C4639">
        <v>2026</v>
      </c>
      <c r="D4639">
        <v>8</v>
      </c>
      <c r="E4639" t="s">
        <v>4301</v>
      </c>
      <c r="F4639" t="s">
        <v>4047</v>
      </c>
      <c r="G4639" t="s">
        <v>1181</v>
      </c>
      <c r="H4639" t="s">
        <v>1182</v>
      </c>
      <c r="I4639" t="s">
        <v>85</v>
      </c>
      <c r="J4639">
        <v>57</v>
      </c>
      <c r="K4639" t="s">
        <v>83</v>
      </c>
      <c r="L4639" t="s">
        <v>2623</v>
      </c>
      <c r="M4639" t="s">
        <v>61</v>
      </c>
      <c r="N4639" t="s">
        <v>2630</v>
      </c>
      <c r="O4639" t="s">
        <v>123</v>
      </c>
      <c r="P4639" t="s">
        <v>52</v>
      </c>
      <c r="Q4639" t="s">
        <v>146</v>
      </c>
      <c r="R4639">
        <v>1</v>
      </c>
      <c r="S4639">
        <v>2499</v>
      </c>
      <c r="T4639">
        <v>0.05</v>
      </c>
      <c r="U4639">
        <v>2374.0500000000002</v>
      </c>
      <c r="V4639">
        <v>1400</v>
      </c>
      <c r="W4639">
        <v>974.05</v>
      </c>
      <c r="X4639" t="s">
        <v>74</v>
      </c>
      <c r="Y4639" t="s">
        <v>68</v>
      </c>
      <c r="Z4639" t="s">
        <v>159</v>
      </c>
      <c r="AA4639" t="s">
        <v>168</v>
      </c>
      <c r="AB4639">
        <v>4.3</v>
      </c>
      <c r="AC4639">
        <v>50</v>
      </c>
      <c r="AD4639">
        <v>188.15</v>
      </c>
      <c r="AE4639">
        <f t="shared" si="144"/>
        <v>735.9</v>
      </c>
      <c r="AF4639" t="str">
        <f t="shared" si="145"/>
        <v>2026-08</v>
      </c>
      <c r="AG4639">
        <f>SUBTOTAL(103,A4639)</f>
        <v>1</v>
      </c>
    </row>
    <row r="4640" spans="1:33" x14ac:dyDescent="0.3">
      <c r="A4640" t="s">
        <v>7263</v>
      </c>
      <c r="B4640" s="13">
        <v>46250</v>
      </c>
      <c r="C4640">
        <v>2026</v>
      </c>
      <c r="D4640">
        <v>8</v>
      </c>
      <c r="E4640" t="s">
        <v>4301</v>
      </c>
      <c r="F4640" t="s">
        <v>4047</v>
      </c>
      <c r="G4640" t="s">
        <v>1519</v>
      </c>
      <c r="H4640" t="s">
        <v>1520</v>
      </c>
      <c r="I4640" t="s">
        <v>86</v>
      </c>
      <c r="J4640">
        <v>57</v>
      </c>
      <c r="K4640" t="s">
        <v>83</v>
      </c>
      <c r="L4640" t="s">
        <v>95</v>
      </c>
      <c r="M4640" t="s">
        <v>56</v>
      </c>
      <c r="N4640" t="s">
        <v>2594</v>
      </c>
      <c r="O4640" t="s">
        <v>131</v>
      </c>
      <c r="P4640" t="s">
        <v>53</v>
      </c>
      <c r="Q4640" t="s">
        <v>143</v>
      </c>
      <c r="R4640">
        <v>3</v>
      </c>
      <c r="S4640">
        <v>999</v>
      </c>
      <c r="T4640">
        <v>0.1</v>
      </c>
      <c r="U4640">
        <v>2697.3</v>
      </c>
      <c r="V4640">
        <v>1560</v>
      </c>
      <c r="W4640">
        <v>1137.3</v>
      </c>
      <c r="X4640" t="s">
        <v>73</v>
      </c>
      <c r="Y4640" t="s">
        <v>68</v>
      </c>
      <c r="Z4640" t="s">
        <v>158</v>
      </c>
      <c r="AA4640" t="s">
        <v>169</v>
      </c>
      <c r="AB4640">
        <v>3.8</v>
      </c>
      <c r="AC4640">
        <v>40</v>
      </c>
      <c r="AD4640">
        <v>263.93</v>
      </c>
      <c r="AE4640">
        <f t="shared" si="144"/>
        <v>833.36999999999989</v>
      </c>
      <c r="AF4640" t="str">
        <f t="shared" si="145"/>
        <v>2026-08</v>
      </c>
      <c r="AG4640">
        <f>SUBTOTAL(103,A4640)</f>
        <v>1</v>
      </c>
    </row>
    <row r="4641" spans="1:33" x14ac:dyDescent="0.3">
      <c r="A4641" t="s">
        <v>7264</v>
      </c>
      <c r="B4641" s="13">
        <v>46250</v>
      </c>
      <c r="C4641">
        <v>2026</v>
      </c>
      <c r="D4641">
        <v>8</v>
      </c>
      <c r="E4641" t="s">
        <v>4301</v>
      </c>
      <c r="F4641" t="s">
        <v>4047</v>
      </c>
      <c r="G4641" t="s">
        <v>2373</v>
      </c>
      <c r="H4641" t="s">
        <v>2374</v>
      </c>
      <c r="I4641" t="s">
        <v>85</v>
      </c>
      <c r="J4641">
        <v>46</v>
      </c>
      <c r="K4641" t="s">
        <v>83</v>
      </c>
      <c r="L4641" t="s">
        <v>2679</v>
      </c>
      <c r="M4641" t="s">
        <v>60</v>
      </c>
      <c r="N4641" t="s">
        <v>2653</v>
      </c>
      <c r="O4641" t="s">
        <v>132</v>
      </c>
      <c r="P4641" t="s">
        <v>52</v>
      </c>
      <c r="Q4641" t="s">
        <v>150</v>
      </c>
      <c r="R4641">
        <v>1</v>
      </c>
      <c r="S4641">
        <v>899</v>
      </c>
      <c r="T4641">
        <v>0.15</v>
      </c>
      <c r="U4641">
        <v>764.15</v>
      </c>
      <c r="V4641">
        <v>420</v>
      </c>
      <c r="W4641">
        <v>344.15</v>
      </c>
      <c r="X4641" t="s">
        <v>75</v>
      </c>
      <c r="Y4641" t="s">
        <v>68</v>
      </c>
      <c r="Z4641" t="s">
        <v>161</v>
      </c>
      <c r="AA4641" t="s">
        <v>168</v>
      </c>
      <c r="AB4641">
        <v>3.6</v>
      </c>
      <c r="AC4641">
        <v>60</v>
      </c>
      <c r="AD4641">
        <v>76.22</v>
      </c>
      <c r="AE4641">
        <f t="shared" si="144"/>
        <v>207.92999999999998</v>
      </c>
      <c r="AF4641" t="str">
        <f t="shared" si="145"/>
        <v>2026-08</v>
      </c>
      <c r="AG4641">
        <f>SUBTOTAL(103,A4641)</f>
        <v>1</v>
      </c>
    </row>
    <row r="4642" spans="1:33" x14ac:dyDescent="0.3">
      <c r="A4642" t="s">
        <v>7265</v>
      </c>
      <c r="B4642" s="13">
        <v>46250</v>
      </c>
      <c r="C4642">
        <v>2026</v>
      </c>
      <c r="D4642">
        <v>8</v>
      </c>
      <c r="E4642" t="s">
        <v>4301</v>
      </c>
      <c r="F4642" t="s">
        <v>4047</v>
      </c>
      <c r="G4642" t="s">
        <v>499</v>
      </c>
      <c r="H4642" t="s">
        <v>500</v>
      </c>
      <c r="I4642" t="s">
        <v>86</v>
      </c>
      <c r="J4642">
        <v>45</v>
      </c>
      <c r="K4642" t="s">
        <v>82</v>
      </c>
      <c r="L4642" t="s">
        <v>2576</v>
      </c>
      <c r="M4642" t="s">
        <v>60</v>
      </c>
      <c r="N4642" t="s">
        <v>2594</v>
      </c>
      <c r="O4642" t="s">
        <v>131</v>
      </c>
      <c r="P4642" t="s">
        <v>53</v>
      </c>
      <c r="Q4642" t="s">
        <v>143</v>
      </c>
      <c r="R4642">
        <v>2</v>
      </c>
      <c r="S4642">
        <v>999</v>
      </c>
      <c r="T4642">
        <v>0.05</v>
      </c>
      <c r="U4642">
        <v>1898.1</v>
      </c>
      <c r="V4642">
        <v>1040</v>
      </c>
      <c r="W4642">
        <v>858.1</v>
      </c>
      <c r="X4642" t="s">
        <v>73</v>
      </c>
      <c r="Y4642" t="s">
        <v>68</v>
      </c>
      <c r="Z4642" t="s">
        <v>161</v>
      </c>
      <c r="AA4642" t="s">
        <v>167</v>
      </c>
      <c r="AB4642">
        <v>4.0999999999999996</v>
      </c>
      <c r="AC4642">
        <v>50</v>
      </c>
      <c r="AD4642">
        <v>54.73</v>
      </c>
      <c r="AE4642">
        <f t="shared" si="144"/>
        <v>753.37</v>
      </c>
      <c r="AF4642" t="str">
        <f t="shared" si="145"/>
        <v>2026-08</v>
      </c>
      <c r="AG4642">
        <f>SUBTOTAL(103,A4642)</f>
        <v>1</v>
      </c>
    </row>
    <row r="4643" spans="1:33" x14ac:dyDescent="0.3">
      <c r="A4643" t="s">
        <v>7266</v>
      </c>
      <c r="B4643" s="13">
        <v>46251</v>
      </c>
      <c r="C4643">
        <v>2026</v>
      </c>
      <c r="D4643">
        <v>8</v>
      </c>
      <c r="E4643" t="s">
        <v>4301</v>
      </c>
      <c r="F4643" t="s">
        <v>4047</v>
      </c>
      <c r="G4643" t="s">
        <v>213</v>
      </c>
      <c r="H4643" t="s">
        <v>214</v>
      </c>
      <c r="I4643" t="s">
        <v>85</v>
      </c>
      <c r="J4643">
        <v>38</v>
      </c>
      <c r="K4643" t="s">
        <v>82</v>
      </c>
      <c r="L4643" t="s">
        <v>97</v>
      </c>
      <c r="M4643" t="s">
        <v>57</v>
      </c>
      <c r="N4643" t="s">
        <v>2594</v>
      </c>
      <c r="O4643" t="s">
        <v>131</v>
      </c>
      <c r="P4643" t="s">
        <v>53</v>
      </c>
      <c r="Q4643" t="s">
        <v>143</v>
      </c>
      <c r="R4643">
        <v>1</v>
      </c>
      <c r="S4643">
        <v>999</v>
      </c>
      <c r="T4643">
        <v>0.05</v>
      </c>
      <c r="U4643">
        <v>949.05</v>
      </c>
      <c r="V4643">
        <v>520</v>
      </c>
      <c r="W4643">
        <v>429.05</v>
      </c>
      <c r="X4643" t="s">
        <v>75</v>
      </c>
      <c r="Y4643" t="s">
        <v>68</v>
      </c>
      <c r="Z4643" t="s">
        <v>159</v>
      </c>
      <c r="AA4643" t="s">
        <v>167</v>
      </c>
      <c r="AB4643">
        <v>4.5999999999999996</v>
      </c>
      <c r="AC4643">
        <v>50</v>
      </c>
      <c r="AD4643">
        <v>61.71</v>
      </c>
      <c r="AE4643">
        <f t="shared" si="144"/>
        <v>317.34000000000003</v>
      </c>
      <c r="AF4643" t="str">
        <f t="shared" si="145"/>
        <v>2026-08</v>
      </c>
      <c r="AG4643">
        <f>SUBTOTAL(103,A4643)</f>
        <v>1</v>
      </c>
    </row>
    <row r="4644" spans="1:33" x14ac:dyDescent="0.3">
      <c r="A4644" t="s">
        <v>7267</v>
      </c>
      <c r="B4644" s="13">
        <v>46251</v>
      </c>
      <c r="C4644">
        <v>2026</v>
      </c>
      <c r="D4644">
        <v>8</v>
      </c>
      <c r="E4644" t="s">
        <v>4301</v>
      </c>
      <c r="F4644" t="s">
        <v>4047</v>
      </c>
      <c r="G4644" t="s">
        <v>1131</v>
      </c>
      <c r="H4644" t="s">
        <v>1132</v>
      </c>
      <c r="I4644" t="s">
        <v>86</v>
      </c>
      <c r="J4644">
        <v>55</v>
      </c>
      <c r="K4644" t="s">
        <v>83</v>
      </c>
      <c r="L4644" t="s">
        <v>96</v>
      </c>
      <c r="M4644" t="s">
        <v>55</v>
      </c>
      <c r="N4644" t="s">
        <v>2665</v>
      </c>
      <c r="O4644" t="s">
        <v>128</v>
      </c>
      <c r="P4644" t="s">
        <v>53</v>
      </c>
      <c r="Q4644" t="s">
        <v>143</v>
      </c>
      <c r="R4644">
        <v>5</v>
      </c>
      <c r="S4644">
        <v>1499</v>
      </c>
      <c r="T4644">
        <v>0</v>
      </c>
      <c r="U4644">
        <v>7495</v>
      </c>
      <c r="V4644">
        <v>4000</v>
      </c>
      <c r="W4644">
        <v>3495</v>
      </c>
      <c r="X4644" t="s">
        <v>73</v>
      </c>
      <c r="Y4644" t="s">
        <v>68</v>
      </c>
      <c r="Z4644" t="s">
        <v>160</v>
      </c>
      <c r="AA4644" t="s">
        <v>170</v>
      </c>
      <c r="AB4644">
        <v>4.5</v>
      </c>
      <c r="AC4644">
        <v>50</v>
      </c>
      <c r="AD4644">
        <v>271.26</v>
      </c>
      <c r="AE4644">
        <f t="shared" si="144"/>
        <v>3173.74</v>
      </c>
      <c r="AF4644" t="str">
        <f t="shared" si="145"/>
        <v>2026-08</v>
      </c>
      <c r="AG4644">
        <f>SUBTOTAL(103,A4644)</f>
        <v>1</v>
      </c>
    </row>
    <row r="4645" spans="1:33" x14ac:dyDescent="0.3">
      <c r="A4645" t="s">
        <v>7268</v>
      </c>
      <c r="B4645" s="13">
        <v>46251</v>
      </c>
      <c r="C4645">
        <v>2026</v>
      </c>
      <c r="D4645">
        <v>8</v>
      </c>
      <c r="E4645" t="s">
        <v>4301</v>
      </c>
      <c r="F4645" t="s">
        <v>4047</v>
      </c>
      <c r="G4645" t="s">
        <v>1623</v>
      </c>
      <c r="H4645" t="s">
        <v>1624</v>
      </c>
      <c r="I4645" t="s">
        <v>86</v>
      </c>
      <c r="J4645">
        <v>50</v>
      </c>
      <c r="K4645" t="s">
        <v>83</v>
      </c>
      <c r="L4645" t="s">
        <v>2605</v>
      </c>
      <c r="M4645" t="s">
        <v>60</v>
      </c>
      <c r="N4645" t="s">
        <v>2587</v>
      </c>
      <c r="O4645" t="s">
        <v>116</v>
      </c>
      <c r="P4645" t="s">
        <v>48</v>
      </c>
      <c r="Q4645" t="s">
        <v>138</v>
      </c>
      <c r="R4645">
        <v>1</v>
      </c>
      <c r="S4645">
        <v>14999</v>
      </c>
      <c r="T4645">
        <v>0.15</v>
      </c>
      <c r="U4645">
        <v>12749.15</v>
      </c>
      <c r="V4645">
        <v>11200</v>
      </c>
      <c r="W4645">
        <v>1549.15</v>
      </c>
      <c r="X4645" t="s">
        <v>76</v>
      </c>
      <c r="Y4645" t="s">
        <v>68</v>
      </c>
      <c r="Z4645" t="s">
        <v>160</v>
      </c>
      <c r="AA4645" t="s">
        <v>168</v>
      </c>
      <c r="AB4645">
        <v>4.5</v>
      </c>
      <c r="AC4645">
        <v>80</v>
      </c>
      <c r="AD4645">
        <v>396.79</v>
      </c>
      <c r="AE4645">
        <f t="shared" si="144"/>
        <v>1072.3600000000001</v>
      </c>
      <c r="AF4645" t="str">
        <f t="shared" si="145"/>
        <v>2026-08</v>
      </c>
      <c r="AG4645">
        <f>SUBTOTAL(103,A4645)</f>
        <v>1</v>
      </c>
    </row>
    <row r="4646" spans="1:33" x14ac:dyDescent="0.3">
      <c r="A4646" t="s">
        <v>7269</v>
      </c>
      <c r="B4646" s="13">
        <v>46251</v>
      </c>
      <c r="C4646">
        <v>2026</v>
      </c>
      <c r="D4646">
        <v>8</v>
      </c>
      <c r="E4646" t="s">
        <v>4301</v>
      </c>
      <c r="F4646" t="s">
        <v>4047</v>
      </c>
      <c r="G4646" t="s">
        <v>977</v>
      </c>
      <c r="H4646" t="s">
        <v>978</v>
      </c>
      <c r="I4646" t="s">
        <v>85</v>
      </c>
      <c r="J4646">
        <v>23</v>
      </c>
      <c r="K4646" t="s">
        <v>80</v>
      </c>
      <c r="L4646" t="s">
        <v>2679</v>
      </c>
      <c r="M4646" t="s">
        <v>60</v>
      </c>
      <c r="N4646" t="s">
        <v>2630</v>
      </c>
      <c r="O4646" t="s">
        <v>123</v>
      </c>
      <c r="P4646" t="s">
        <v>52</v>
      </c>
      <c r="Q4646" t="s">
        <v>146</v>
      </c>
      <c r="R4646">
        <v>4</v>
      </c>
      <c r="S4646">
        <v>2499</v>
      </c>
      <c r="T4646">
        <v>0.15</v>
      </c>
      <c r="U4646">
        <v>8496.6</v>
      </c>
      <c r="V4646">
        <v>5600</v>
      </c>
      <c r="W4646">
        <v>2896.6</v>
      </c>
      <c r="X4646" t="s">
        <v>73</v>
      </c>
      <c r="Y4646" t="s">
        <v>68</v>
      </c>
      <c r="Z4646" t="s">
        <v>160</v>
      </c>
      <c r="AA4646" t="s">
        <v>167</v>
      </c>
      <c r="AB4646">
        <v>3.6</v>
      </c>
      <c r="AC4646">
        <v>80</v>
      </c>
      <c r="AD4646">
        <v>753</v>
      </c>
      <c r="AE4646">
        <f t="shared" si="144"/>
        <v>2063.6</v>
      </c>
      <c r="AF4646" t="str">
        <f t="shared" si="145"/>
        <v>2026-08</v>
      </c>
      <c r="AG4646">
        <f>SUBTOTAL(103,A4646)</f>
        <v>1</v>
      </c>
    </row>
    <row r="4647" spans="1:33" x14ac:dyDescent="0.3">
      <c r="A4647" t="s">
        <v>7270</v>
      </c>
      <c r="B4647" s="13">
        <v>46251</v>
      </c>
      <c r="C4647">
        <v>2026</v>
      </c>
      <c r="D4647">
        <v>8</v>
      </c>
      <c r="E4647" t="s">
        <v>4301</v>
      </c>
      <c r="F4647" t="s">
        <v>4047</v>
      </c>
      <c r="G4647" t="s">
        <v>1383</v>
      </c>
      <c r="H4647" t="s">
        <v>1384</v>
      </c>
      <c r="I4647" t="s">
        <v>86</v>
      </c>
      <c r="J4647">
        <v>57</v>
      </c>
      <c r="K4647" t="s">
        <v>83</v>
      </c>
      <c r="L4647" t="s">
        <v>96</v>
      </c>
      <c r="M4647" t="s">
        <v>55</v>
      </c>
      <c r="N4647" t="s">
        <v>2630</v>
      </c>
      <c r="O4647" t="s">
        <v>123</v>
      </c>
      <c r="P4647" t="s">
        <v>52</v>
      </c>
      <c r="Q4647" t="s">
        <v>146</v>
      </c>
      <c r="R4647">
        <v>5</v>
      </c>
      <c r="S4647">
        <v>2499</v>
      </c>
      <c r="T4647">
        <v>0.2</v>
      </c>
      <c r="U4647">
        <v>9996</v>
      </c>
      <c r="V4647">
        <v>7000</v>
      </c>
      <c r="W4647">
        <v>2996</v>
      </c>
      <c r="X4647" t="s">
        <v>73</v>
      </c>
      <c r="Y4647" t="s">
        <v>68</v>
      </c>
      <c r="Z4647" t="s">
        <v>158</v>
      </c>
      <c r="AA4647" t="s">
        <v>170</v>
      </c>
      <c r="AB4647">
        <v>4.5999999999999996</v>
      </c>
      <c r="AC4647">
        <v>60</v>
      </c>
      <c r="AD4647">
        <v>910.17</v>
      </c>
      <c r="AE4647">
        <f t="shared" si="144"/>
        <v>2025.83</v>
      </c>
      <c r="AF4647" t="str">
        <f t="shared" si="145"/>
        <v>2026-08</v>
      </c>
      <c r="AG4647">
        <f>SUBTOTAL(103,A4647)</f>
        <v>1</v>
      </c>
    </row>
    <row r="4648" spans="1:33" x14ac:dyDescent="0.3">
      <c r="A4648" t="s">
        <v>7271</v>
      </c>
      <c r="B4648" s="13">
        <v>46251</v>
      </c>
      <c r="C4648">
        <v>2026</v>
      </c>
      <c r="D4648">
        <v>8</v>
      </c>
      <c r="E4648" t="s">
        <v>4301</v>
      </c>
      <c r="F4648" t="s">
        <v>4047</v>
      </c>
      <c r="G4648" t="s">
        <v>227</v>
      </c>
      <c r="H4648" t="s">
        <v>228</v>
      </c>
      <c r="I4648" t="s">
        <v>87</v>
      </c>
      <c r="J4648">
        <v>38</v>
      </c>
      <c r="K4648" t="s">
        <v>82</v>
      </c>
      <c r="L4648" t="s">
        <v>2634</v>
      </c>
      <c r="M4648" t="s">
        <v>56</v>
      </c>
      <c r="N4648" t="s">
        <v>2644</v>
      </c>
      <c r="O4648" t="s">
        <v>126</v>
      </c>
      <c r="P4648" t="s">
        <v>50</v>
      </c>
      <c r="Q4648" t="s">
        <v>145</v>
      </c>
      <c r="R4648">
        <v>3</v>
      </c>
      <c r="S4648">
        <v>1799</v>
      </c>
      <c r="T4648">
        <v>0.05</v>
      </c>
      <c r="U4648">
        <v>5127.1499999999996</v>
      </c>
      <c r="V4648">
        <v>2850</v>
      </c>
      <c r="W4648">
        <v>2277.15</v>
      </c>
      <c r="X4648" t="s">
        <v>73</v>
      </c>
      <c r="Y4648" t="s">
        <v>68</v>
      </c>
      <c r="Z4648" t="s">
        <v>159</v>
      </c>
      <c r="AA4648" t="s">
        <v>169</v>
      </c>
      <c r="AB4648">
        <v>4.2</v>
      </c>
      <c r="AC4648">
        <v>100</v>
      </c>
      <c r="AD4648">
        <v>131.74</v>
      </c>
      <c r="AE4648">
        <f t="shared" si="144"/>
        <v>2045.41</v>
      </c>
      <c r="AF4648" t="str">
        <f t="shared" si="145"/>
        <v>2026-08</v>
      </c>
      <c r="AG4648">
        <f>SUBTOTAL(103,A4648)</f>
        <v>1</v>
      </c>
    </row>
    <row r="4649" spans="1:33" x14ac:dyDescent="0.3">
      <c r="A4649" t="s">
        <v>7272</v>
      </c>
      <c r="B4649" s="13">
        <v>46251</v>
      </c>
      <c r="C4649">
        <v>2026</v>
      </c>
      <c r="D4649">
        <v>8</v>
      </c>
      <c r="E4649" t="s">
        <v>4301</v>
      </c>
      <c r="F4649" t="s">
        <v>4047</v>
      </c>
      <c r="G4649" t="s">
        <v>1279</v>
      </c>
      <c r="H4649" t="s">
        <v>1280</v>
      </c>
      <c r="I4649" t="s">
        <v>85</v>
      </c>
      <c r="J4649">
        <v>52</v>
      </c>
      <c r="K4649" t="s">
        <v>83</v>
      </c>
      <c r="L4649" t="s">
        <v>100</v>
      </c>
      <c r="M4649" t="s">
        <v>56</v>
      </c>
      <c r="N4649" t="s">
        <v>2574</v>
      </c>
      <c r="O4649" t="s">
        <v>130</v>
      </c>
      <c r="P4649" t="s">
        <v>50</v>
      </c>
      <c r="Q4649" t="s">
        <v>53</v>
      </c>
      <c r="R4649">
        <v>3</v>
      </c>
      <c r="S4649">
        <v>1199</v>
      </c>
      <c r="T4649">
        <v>0</v>
      </c>
      <c r="U4649">
        <v>3597</v>
      </c>
      <c r="V4649">
        <v>1650</v>
      </c>
      <c r="W4649">
        <v>1947</v>
      </c>
      <c r="X4649" t="s">
        <v>74</v>
      </c>
      <c r="Y4649" t="s">
        <v>68</v>
      </c>
      <c r="Z4649" t="s">
        <v>161</v>
      </c>
      <c r="AA4649" t="s">
        <v>168</v>
      </c>
      <c r="AB4649">
        <v>4.3</v>
      </c>
      <c r="AC4649">
        <v>50</v>
      </c>
      <c r="AD4649">
        <v>380.12</v>
      </c>
      <c r="AE4649">
        <f t="shared" si="144"/>
        <v>1516.88</v>
      </c>
      <c r="AF4649" t="str">
        <f t="shared" si="145"/>
        <v>2026-08</v>
      </c>
      <c r="AG4649">
        <f>SUBTOTAL(103,A4649)</f>
        <v>1</v>
      </c>
    </row>
    <row r="4650" spans="1:33" x14ac:dyDescent="0.3">
      <c r="A4650" t="s">
        <v>7273</v>
      </c>
      <c r="B4650" s="13">
        <v>46252</v>
      </c>
      <c r="C4650">
        <v>2026</v>
      </c>
      <c r="D4650">
        <v>8</v>
      </c>
      <c r="E4650" t="s">
        <v>4301</v>
      </c>
      <c r="F4650" t="s">
        <v>4047</v>
      </c>
      <c r="G4650" t="s">
        <v>499</v>
      </c>
      <c r="H4650" t="s">
        <v>500</v>
      </c>
      <c r="I4650" t="s">
        <v>86</v>
      </c>
      <c r="J4650">
        <v>45</v>
      </c>
      <c r="K4650" t="s">
        <v>82</v>
      </c>
      <c r="L4650" t="s">
        <v>2576</v>
      </c>
      <c r="M4650" t="s">
        <v>60</v>
      </c>
      <c r="N4650" t="s">
        <v>2594</v>
      </c>
      <c r="O4650" t="s">
        <v>131</v>
      </c>
      <c r="P4650" t="s">
        <v>53</v>
      </c>
      <c r="Q4650" t="s">
        <v>143</v>
      </c>
      <c r="R4650">
        <v>4</v>
      </c>
      <c r="S4650">
        <v>999</v>
      </c>
      <c r="T4650">
        <v>0.15</v>
      </c>
      <c r="U4650">
        <v>3396.6</v>
      </c>
      <c r="V4650">
        <v>2080</v>
      </c>
      <c r="W4650">
        <v>1316.6</v>
      </c>
      <c r="X4650" t="s">
        <v>73</v>
      </c>
      <c r="Y4650" t="s">
        <v>68</v>
      </c>
      <c r="Z4650" t="s">
        <v>159</v>
      </c>
      <c r="AA4650" t="s">
        <v>170</v>
      </c>
      <c r="AB4650">
        <v>4.3</v>
      </c>
      <c r="AC4650">
        <v>80</v>
      </c>
      <c r="AD4650">
        <v>238.29</v>
      </c>
      <c r="AE4650">
        <f t="shared" si="144"/>
        <v>998.31</v>
      </c>
      <c r="AF4650" t="str">
        <f t="shared" si="145"/>
        <v>2026-08</v>
      </c>
      <c r="AG4650">
        <f>SUBTOTAL(103,A4650)</f>
        <v>1</v>
      </c>
    </row>
    <row r="4651" spans="1:33" x14ac:dyDescent="0.3">
      <c r="A4651" t="s">
        <v>7274</v>
      </c>
      <c r="B4651" s="13">
        <v>46252</v>
      </c>
      <c r="C4651">
        <v>2026</v>
      </c>
      <c r="D4651">
        <v>8</v>
      </c>
      <c r="E4651" t="s">
        <v>4301</v>
      </c>
      <c r="F4651" t="s">
        <v>4047</v>
      </c>
      <c r="G4651" t="s">
        <v>2061</v>
      </c>
      <c r="H4651" t="s">
        <v>2062</v>
      </c>
      <c r="I4651" t="s">
        <v>85</v>
      </c>
      <c r="J4651">
        <v>18</v>
      </c>
      <c r="K4651" t="s">
        <v>80</v>
      </c>
      <c r="L4651" t="s">
        <v>98</v>
      </c>
      <c r="M4651" t="s">
        <v>55</v>
      </c>
      <c r="N4651" t="s">
        <v>2603</v>
      </c>
      <c r="O4651" t="s">
        <v>122</v>
      </c>
      <c r="P4651" t="s">
        <v>48</v>
      </c>
      <c r="Q4651" t="s">
        <v>141</v>
      </c>
      <c r="R4651">
        <v>1</v>
      </c>
      <c r="S4651">
        <v>2499</v>
      </c>
      <c r="T4651">
        <v>0.05</v>
      </c>
      <c r="U4651">
        <v>2374.0500000000002</v>
      </c>
      <c r="V4651">
        <v>1450</v>
      </c>
      <c r="W4651">
        <v>924.05</v>
      </c>
      <c r="X4651" t="s">
        <v>73</v>
      </c>
      <c r="Y4651" t="s">
        <v>69</v>
      </c>
      <c r="Z4651" t="s">
        <v>158</v>
      </c>
      <c r="AA4651" t="s">
        <v>167</v>
      </c>
      <c r="AB4651">
        <v>3.5</v>
      </c>
      <c r="AC4651">
        <v>120</v>
      </c>
      <c r="AD4651">
        <v>275.52999999999997</v>
      </c>
      <c r="AE4651">
        <f t="shared" si="144"/>
        <v>528.52</v>
      </c>
      <c r="AF4651" t="str">
        <f t="shared" si="145"/>
        <v>2026-08</v>
      </c>
      <c r="AG4651">
        <f>SUBTOTAL(103,A4651)</f>
        <v>1</v>
      </c>
    </row>
    <row r="4652" spans="1:33" x14ac:dyDescent="0.3">
      <c r="A4652" t="s">
        <v>7275</v>
      </c>
      <c r="B4652" s="13">
        <v>46252</v>
      </c>
      <c r="C4652">
        <v>2026</v>
      </c>
      <c r="D4652">
        <v>8</v>
      </c>
      <c r="E4652" t="s">
        <v>4301</v>
      </c>
      <c r="F4652" t="s">
        <v>4047</v>
      </c>
      <c r="G4652" t="s">
        <v>423</v>
      </c>
      <c r="H4652" t="s">
        <v>424</v>
      </c>
      <c r="I4652" t="s">
        <v>85</v>
      </c>
      <c r="J4652">
        <v>30</v>
      </c>
      <c r="K4652" t="s">
        <v>81</v>
      </c>
      <c r="L4652" t="s">
        <v>2623</v>
      </c>
      <c r="M4652" t="s">
        <v>61</v>
      </c>
      <c r="N4652" t="s">
        <v>2587</v>
      </c>
      <c r="O4652" t="s">
        <v>116</v>
      </c>
      <c r="P4652" t="s">
        <v>48</v>
      </c>
      <c r="Q4652" t="s">
        <v>138</v>
      </c>
      <c r="R4652">
        <v>4</v>
      </c>
      <c r="S4652">
        <v>14999</v>
      </c>
      <c r="T4652">
        <v>0.2</v>
      </c>
      <c r="U4652">
        <v>47996.800000000003</v>
      </c>
      <c r="V4652">
        <v>44800</v>
      </c>
      <c r="W4652">
        <v>3196.8</v>
      </c>
      <c r="X4652" t="s">
        <v>75</v>
      </c>
      <c r="Y4652" t="s">
        <v>68</v>
      </c>
      <c r="Z4652" t="s">
        <v>162</v>
      </c>
      <c r="AA4652" t="s">
        <v>170</v>
      </c>
      <c r="AB4652">
        <v>3.6</v>
      </c>
      <c r="AC4652">
        <v>50</v>
      </c>
      <c r="AD4652">
        <v>3857.65</v>
      </c>
      <c r="AE4652">
        <f t="shared" si="144"/>
        <v>-710.84999999999991</v>
      </c>
      <c r="AF4652" t="str">
        <f t="shared" si="145"/>
        <v>2026-08</v>
      </c>
      <c r="AG4652">
        <f>SUBTOTAL(103,A4652)</f>
        <v>1</v>
      </c>
    </row>
    <row r="4653" spans="1:33" x14ac:dyDescent="0.3">
      <c r="A4653" t="s">
        <v>7276</v>
      </c>
      <c r="B4653" s="13">
        <v>46252</v>
      </c>
      <c r="C4653">
        <v>2026</v>
      </c>
      <c r="D4653">
        <v>8</v>
      </c>
      <c r="E4653" t="s">
        <v>4301</v>
      </c>
      <c r="F4653" t="s">
        <v>4047</v>
      </c>
      <c r="G4653" t="s">
        <v>931</v>
      </c>
      <c r="H4653" t="s">
        <v>932</v>
      </c>
      <c r="I4653" t="s">
        <v>86</v>
      </c>
      <c r="J4653">
        <v>39</v>
      </c>
      <c r="K4653" t="s">
        <v>82</v>
      </c>
      <c r="L4653" t="s">
        <v>2579</v>
      </c>
      <c r="M4653" t="s">
        <v>56</v>
      </c>
      <c r="N4653" t="s">
        <v>2644</v>
      </c>
      <c r="O4653" t="s">
        <v>126</v>
      </c>
      <c r="P4653" t="s">
        <v>50</v>
      </c>
      <c r="Q4653" t="s">
        <v>145</v>
      </c>
      <c r="R4653">
        <v>1</v>
      </c>
      <c r="S4653">
        <v>1799</v>
      </c>
      <c r="T4653">
        <v>0.15</v>
      </c>
      <c r="U4653">
        <v>1529.15</v>
      </c>
      <c r="V4653">
        <v>950</v>
      </c>
      <c r="W4653">
        <v>579.15</v>
      </c>
      <c r="X4653" t="s">
        <v>74</v>
      </c>
      <c r="Y4653" t="s">
        <v>69</v>
      </c>
      <c r="Z4653" t="s">
        <v>158</v>
      </c>
      <c r="AA4653" t="s">
        <v>171</v>
      </c>
      <c r="AB4653">
        <v>4.2</v>
      </c>
      <c r="AC4653">
        <v>100</v>
      </c>
      <c r="AD4653">
        <v>123.65</v>
      </c>
      <c r="AE4653">
        <f t="shared" si="144"/>
        <v>355.5</v>
      </c>
      <c r="AF4653" t="str">
        <f t="shared" si="145"/>
        <v>2026-08</v>
      </c>
      <c r="AG4653">
        <f>SUBTOTAL(103,A4653)</f>
        <v>1</v>
      </c>
    </row>
    <row r="4654" spans="1:33" x14ac:dyDescent="0.3">
      <c r="A4654" t="s">
        <v>7277</v>
      </c>
      <c r="B4654" s="13">
        <v>46252</v>
      </c>
      <c r="C4654">
        <v>2026</v>
      </c>
      <c r="D4654">
        <v>8</v>
      </c>
      <c r="E4654" t="s">
        <v>4301</v>
      </c>
      <c r="F4654" t="s">
        <v>4047</v>
      </c>
      <c r="G4654" t="s">
        <v>1113</v>
      </c>
      <c r="H4654" t="s">
        <v>1114</v>
      </c>
      <c r="I4654" t="s">
        <v>86</v>
      </c>
      <c r="J4654">
        <v>19</v>
      </c>
      <c r="K4654" t="s">
        <v>80</v>
      </c>
      <c r="L4654" t="s">
        <v>2634</v>
      </c>
      <c r="M4654" t="s">
        <v>56</v>
      </c>
      <c r="N4654" t="s">
        <v>2630</v>
      </c>
      <c r="O4654" t="s">
        <v>123</v>
      </c>
      <c r="P4654" t="s">
        <v>52</v>
      </c>
      <c r="Q4654" t="s">
        <v>146</v>
      </c>
      <c r="R4654">
        <v>3</v>
      </c>
      <c r="S4654">
        <v>2499</v>
      </c>
      <c r="T4654">
        <v>0.05</v>
      </c>
      <c r="U4654">
        <v>7122.15</v>
      </c>
      <c r="V4654">
        <v>4200</v>
      </c>
      <c r="W4654">
        <v>2922.15</v>
      </c>
      <c r="X4654" t="s">
        <v>75</v>
      </c>
      <c r="Y4654" t="s">
        <v>68</v>
      </c>
      <c r="Z4654" t="s">
        <v>159</v>
      </c>
      <c r="AA4654" t="s">
        <v>167</v>
      </c>
      <c r="AB4654">
        <v>3.3</v>
      </c>
      <c r="AC4654">
        <v>60</v>
      </c>
      <c r="AD4654">
        <v>770.81</v>
      </c>
      <c r="AE4654">
        <f t="shared" si="144"/>
        <v>2091.34</v>
      </c>
      <c r="AF4654" t="str">
        <f t="shared" si="145"/>
        <v>2026-08</v>
      </c>
      <c r="AG4654">
        <f>SUBTOTAL(103,A4654)</f>
        <v>1</v>
      </c>
    </row>
    <row r="4655" spans="1:33" x14ac:dyDescent="0.3">
      <c r="A4655" t="s">
        <v>7278</v>
      </c>
      <c r="B4655" s="13">
        <v>46252</v>
      </c>
      <c r="C4655">
        <v>2026</v>
      </c>
      <c r="D4655">
        <v>8</v>
      </c>
      <c r="E4655" t="s">
        <v>4301</v>
      </c>
      <c r="F4655" t="s">
        <v>4047</v>
      </c>
      <c r="G4655" t="s">
        <v>899</v>
      </c>
      <c r="H4655" t="s">
        <v>900</v>
      </c>
      <c r="I4655" t="s">
        <v>86</v>
      </c>
      <c r="J4655">
        <v>29</v>
      </c>
      <c r="K4655" t="s">
        <v>81</v>
      </c>
      <c r="L4655" t="s">
        <v>2623</v>
      </c>
      <c r="M4655" t="s">
        <v>61</v>
      </c>
      <c r="N4655" t="s">
        <v>2601</v>
      </c>
      <c r="O4655" t="s">
        <v>117</v>
      </c>
      <c r="P4655" t="s">
        <v>49</v>
      </c>
      <c r="Q4655" t="s">
        <v>139</v>
      </c>
      <c r="R4655">
        <v>3</v>
      </c>
      <c r="S4655">
        <v>6999</v>
      </c>
      <c r="T4655">
        <v>0.1</v>
      </c>
      <c r="U4655">
        <v>18897.3</v>
      </c>
      <c r="V4655">
        <v>12900</v>
      </c>
      <c r="W4655">
        <v>5997.3</v>
      </c>
      <c r="X4655" t="s">
        <v>73</v>
      </c>
      <c r="Y4655" t="s">
        <v>68</v>
      </c>
      <c r="Z4655" t="s">
        <v>161</v>
      </c>
      <c r="AA4655" t="s">
        <v>167</v>
      </c>
      <c r="AB4655">
        <v>5</v>
      </c>
      <c r="AC4655">
        <v>50</v>
      </c>
      <c r="AD4655">
        <v>388.92</v>
      </c>
      <c r="AE4655">
        <f t="shared" si="144"/>
        <v>5558.38</v>
      </c>
      <c r="AF4655" t="str">
        <f t="shared" si="145"/>
        <v>2026-08</v>
      </c>
      <c r="AG4655">
        <f>SUBTOTAL(103,A4655)</f>
        <v>1</v>
      </c>
    </row>
    <row r="4656" spans="1:33" x14ac:dyDescent="0.3">
      <c r="A4656" t="s">
        <v>7279</v>
      </c>
      <c r="B4656" s="13">
        <v>46253</v>
      </c>
      <c r="C4656">
        <v>2026</v>
      </c>
      <c r="D4656">
        <v>8</v>
      </c>
      <c r="E4656" t="s">
        <v>4301</v>
      </c>
      <c r="F4656" t="s">
        <v>4047</v>
      </c>
      <c r="G4656" t="s">
        <v>1977</v>
      </c>
      <c r="H4656" t="s">
        <v>1978</v>
      </c>
      <c r="I4656" t="s">
        <v>86</v>
      </c>
      <c r="J4656">
        <v>51</v>
      </c>
      <c r="K4656" t="s">
        <v>83</v>
      </c>
      <c r="L4656" t="s">
        <v>2623</v>
      </c>
      <c r="M4656" t="s">
        <v>61</v>
      </c>
      <c r="N4656" t="s">
        <v>2574</v>
      </c>
      <c r="O4656" t="s">
        <v>130</v>
      </c>
      <c r="P4656" t="s">
        <v>50</v>
      </c>
      <c r="Q4656" t="s">
        <v>53</v>
      </c>
      <c r="R4656">
        <v>2</v>
      </c>
      <c r="S4656">
        <v>1199</v>
      </c>
      <c r="T4656">
        <v>0.05</v>
      </c>
      <c r="U4656">
        <v>2278.1</v>
      </c>
      <c r="V4656">
        <v>1100</v>
      </c>
      <c r="W4656">
        <v>1178.0999999999999</v>
      </c>
      <c r="X4656" t="s">
        <v>76</v>
      </c>
      <c r="Y4656" t="s">
        <v>69</v>
      </c>
      <c r="Z4656" t="s">
        <v>158</v>
      </c>
      <c r="AA4656" t="s">
        <v>168</v>
      </c>
      <c r="AB4656">
        <v>3.4</v>
      </c>
      <c r="AC4656">
        <v>40</v>
      </c>
      <c r="AD4656">
        <v>57.17</v>
      </c>
      <c r="AE4656">
        <f t="shared" si="144"/>
        <v>1080.9299999999998</v>
      </c>
      <c r="AF4656" t="str">
        <f t="shared" si="145"/>
        <v>2026-08</v>
      </c>
      <c r="AG4656">
        <f>SUBTOTAL(103,A4656)</f>
        <v>1</v>
      </c>
    </row>
    <row r="4657" spans="1:33" x14ac:dyDescent="0.3">
      <c r="A4657" t="s">
        <v>7280</v>
      </c>
      <c r="B4657" s="13">
        <v>46253</v>
      </c>
      <c r="C4657">
        <v>2026</v>
      </c>
      <c r="D4657">
        <v>8</v>
      </c>
      <c r="E4657" t="s">
        <v>4301</v>
      </c>
      <c r="F4657" t="s">
        <v>4047</v>
      </c>
      <c r="G4657" t="s">
        <v>859</v>
      </c>
      <c r="H4657" t="s">
        <v>860</v>
      </c>
      <c r="I4657" t="s">
        <v>86</v>
      </c>
      <c r="J4657">
        <v>45</v>
      </c>
      <c r="K4657" t="s">
        <v>82</v>
      </c>
      <c r="L4657" t="s">
        <v>99</v>
      </c>
      <c r="M4657" t="s">
        <v>58</v>
      </c>
      <c r="N4657" t="s">
        <v>2647</v>
      </c>
      <c r="O4657" t="s">
        <v>133</v>
      </c>
      <c r="P4657" t="s">
        <v>50</v>
      </c>
      <c r="Q4657" t="s">
        <v>145</v>
      </c>
      <c r="R4657">
        <v>1</v>
      </c>
      <c r="S4657">
        <v>799</v>
      </c>
      <c r="T4657">
        <v>0.1</v>
      </c>
      <c r="U4657">
        <v>719.1</v>
      </c>
      <c r="V4657">
        <v>390</v>
      </c>
      <c r="W4657">
        <v>329.1</v>
      </c>
      <c r="X4657" t="s">
        <v>73</v>
      </c>
      <c r="Y4657" t="s">
        <v>68</v>
      </c>
      <c r="Z4657" t="s">
        <v>163</v>
      </c>
      <c r="AA4657" t="s">
        <v>169</v>
      </c>
      <c r="AB4657">
        <v>4.5999999999999996</v>
      </c>
      <c r="AC4657">
        <v>60</v>
      </c>
      <c r="AD4657">
        <v>45.2</v>
      </c>
      <c r="AE4657">
        <f t="shared" si="144"/>
        <v>223.90000000000003</v>
      </c>
      <c r="AF4657" t="str">
        <f t="shared" si="145"/>
        <v>2026-08</v>
      </c>
      <c r="AG4657">
        <f>SUBTOTAL(103,A4657)</f>
        <v>1</v>
      </c>
    </row>
    <row r="4658" spans="1:33" x14ac:dyDescent="0.3">
      <c r="A4658" t="s">
        <v>7281</v>
      </c>
      <c r="B4658" s="13">
        <v>46253</v>
      </c>
      <c r="C4658">
        <v>2026</v>
      </c>
      <c r="D4658">
        <v>8</v>
      </c>
      <c r="E4658" t="s">
        <v>4301</v>
      </c>
      <c r="F4658" t="s">
        <v>4047</v>
      </c>
      <c r="G4658" t="s">
        <v>283</v>
      </c>
      <c r="H4658" t="s">
        <v>284</v>
      </c>
      <c r="I4658" t="s">
        <v>85</v>
      </c>
      <c r="J4658">
        <v>20</v>
      </c>
      <c r="K4658" t="s">
        <v>80</v>
      </c>
      <c r="L4658" t="s">
        <v>2687</v>
      </c>
      <c r="M4658" t="s">
        <v>57</v>
      </c>
      <c r="N4658" t="s">
        <v>2587</v>
      </c>
      <c r="O4658" t="s">
        <v>116</v>
      </c>
      <c r="P4658" t="s">
        <v>48</v>
      </c>
      <c r="Q4658" t="s">
        <v>138</v>
      </c>
      <c r="R4658">
        <v>4</v>
      </c>
      <c r="S4658">
        <v>14999</v>
      </c>
      <c r="T4658">
        <v>0.1</v>
      </c>
      <c r="U4658">
        <v>53996.4</v>
      </c>
      <c r="V4658">
        <v>44800</v>
      </c>
      <c r="W4658">
        <v>9196.4</v>
      </c>
      <c r="X4658" t="s">
        <v>74</v>
      </c>
      <c r="Y4658" t="s">
        <v>68</v>
      </c>
      <c r="Z4658" t="s">
        <v>162</v>
      </c>
      <c r="AA4658" t="s">
        <v>167</v>
      </c>
      <c r="AB4658">
        <v>4</v>
      </c>
      <c r="AC4658">
        <v>50</v>
      </c>
      <c r="AD4658">
        <v>5111.16</v>
      </c>
      <c r="AE4658">
        <f t="shared" si="144"/>
        <v>4035.24</v>
      </c>
      <c r="AF4658" t="str">
        <f t="shared" si="145"/>
        <v>2026-08</v>
      </c>
      <c r="AG4658">
        <f>SUBTOTAL(103,A4658)</f>
        <v>1</v>
      </c>
    </row>
    <row r="4659" spans="1:33" x14ac:dyDescent="0.3">
      <c r="A4659" t="s">
        <v>7282</v>
      </c>
      <c r="B4659" s="13">
        <v>46253</v>
      </c>
      <c r="C4659">
        <v>2026</v>
      </c>
      <c r="D4659">
        <v>8</v>
      </c>
      <c r="E4659" t="s">
        <v>4301</v>
      </c>
      <c r="F4659" t="s">
        <v>4047</v>
      </c>
      <c r="G4659" t="s">
        <v>517</v>
      </c>
      <c r="H4659" t="s">
        <v>518</v>
      </c>
      <c r="I4659" t="s">
        <v>85</v>
      </c>
      <c r="J4659">
        <v>27</v>
      </c>
      <c r="K4659" t="s">
        <v>81</v>
      </c>
      <c r="L4659" t="s">
        <v>96</v>
      </c>
      <c r="M4659" t="s">
        <v>55</v>
      </c>
      <c r="N4659" t="s">
        <v>2594</v>
      </c>
      <c r="O4659" t="s">
        <v>131</v>
      </c>
      <c r="P4659" t="s">
        <v>53</v>
      </c>
      <c r="Q4659" t="s">
        <v>143</v>
      </c>
      <c r="R4659">
        <v>4</v>
      </c>
      <c r="S4659">
        <v>999</v>
      </c>
      <c r="T4659">
        <v>0.05</v>
      </c>
      <c r="U4659">
        <v>3796.2</v>
      </c>
      <c r="V4659">
        <v>2080</v>
      </c>
      <c r="W4659">
        <v>1716.2</v>
      </c>
      <c r="X4659" t="s">
        <v>73</v>
      </c>
      <c r="Y4659" t="s">
        <v>68</v>
      </c>
      <c r="Z4659" t="s">
        <v>159</v>
      </c>
      <c r="AA4659" t="s">
        <v>167</v>
      </c>
      <c r="AB4659">
        <v>4.5</v>
      </c>
      <c r="AC4659">
        <v>80</v>
      </c>
      <c r="AD4659">
        <v>169.16</v>
      </c>
      <c r="AE4659">
        <f t="shared" si="144"/>
        <v>1467.04</v>
      </c>
      <c r="AF4659" t="str">
        <f t="shared" si="145"/>
        <v>2026-08</v>
      </c>
      <c r="AG4659">
        <f>SUBTOTAL(103,A4659)</f>
        <v>1</v>
      </c>
    </row>
    <row r="4660" spans="1:33" x14ac:dyDescent="0.3">
      <c r="A4660" t="s">
        <v>7283</v>
      </c>
      <c r="B4660" s="13">
        <v>46253</v>
      </c>
      <c r="C4660">
        <v>2026</v>
      </c>
      <c r="D4660">
        <v>8</v>
      </c>
      <c r="E4660" t="s">
        <v>4301</v>
      </c>
      <c r="F4660" t="s">
        <v>4047</v>
      </c>
      <c r="G4660" t="s">
        <v>237</v>
      </c>
      <c r="H4660" t="s">
        <v>238</v>
      </c>
      <c r="I4660" t="s">
        <v>85</v>
      </c>
      <c r="J4660">
        <v>37</v>
      </c>
      <c r="K4660" t="s">
        <v>82</v>
      </c>
      <c r="L4660" t="s">
        <v>91</v>
      </c>
      <c r="M4660" t="s">
        <v>55</v>
      </c>
      <c r="N4660" t="s">
        <v>2587</v>
      </c>
      <c r="O4660" t="s">
        <v>116</v>
      </c>
      <c r="P4660" t="s">
        <v>48</v>
      </c>
      <c r="Q4660" t="s">
        <v>138</v>
      </c>
      <c r="R4660">
        <v>5</v>
      </c>
      <c r="S4660">
        <v>14999</v>
      </c>
      <c r="T4660">
        <v>0.05</v>
      </c>
      <c r="U4660">
        <v>71245.25</v>
      </c>
      <c r="V4660">
        <v>56000</v>
      </c>
      <c r="W4660">
        <v>15245.25</v>
      </c>
      <c r="X4660" t="s">
        <v>73</v>
      </c>
      <c r="Y4660" t="s">
        <v>68</v>
      </c>
      <c r="Z4660" t="s">
        <v>160</v>
      </c>
      <c r="AA4660" t="s">
        <v>166</v>
      </c>
      <c r="AB4660">
        <v>4.0999999999999996</v>
      </c>
      <c r="AC4660">
        <v>60</v>
      </c>
      <c r="AD4660">
        <v>7816.98</v>
      </c>
      <c r="AE4660">
        <f t="shared" si="144"/>
        <v>7368.27</v>
      </c>
      <c r="AF4660" t="str">
        <f t="shared" si="145"/>
        <v>2026-08</v>
      </c>
      <c r="AG4660">
        <f>SUBTOTAL(103,A4660)</f>
        <v>1</v>
      </c>
    </row>
    <row r="4661" spans="1:33" x14ac:dyDescent="0.3">
      <c r="A4661" t="s">
        <v>7284</v>
      </c>
      <c r="B4661" s="13">
        <v>46253</v>
      </c>
      <c r="C4661">
        <v>2026</v>
      </c>
      <c r="D4661">
        <v>8</v>
      </c>
      <c r="E4661" t="s">
        <v>4301</v>
      </c>
      <c r="F4661" t="s">
        <v>4047</v>
      </c>
      <c r="G4661" t="s">
        <v>735</v>
      </c>
      <c r="H4661" t="s">
        <v>736</v>
      </c>
      <c r="I4661" t="s">
        <v>85</v>
      </c>
      <c r="J4661">
        <v>60</v>
      </c>
      <c r="K4661" t="s">
        <v>83</v>
      </c>
      <c r="L4661" t="s">
        <v>2634</v>
      </c>
      <c r="M4661" t="s">
        <v>56</v>
      </c>
      <c r="N4661" t="s">
        <v>2587</v>
      </c>
      <c r="O4661" t="s">
        <v>116</v>
      </c>
      <c r="P4661" t="s">
        <v>48</v>
      </c>
      <c r="Q4661" t="s">
        <v>138</v>
      </c>
      <c r="R4661">
        <v>2</v>
      </c>
      <c r="S4661">
        <v>14999</v>
      </c>
      <c r="T4661">
        <v>0.1</v>
      </c>
      <c r="U4661">
        <v>26998.2</v>
      </c>
      <c r="V4661">
        <v>22400</v>
      </c>
      <c r="W4661">
        <v>4598.2</v>
      </c>
      <c r="X4661" t="s">
        <v>77</v>
      </c>
      <c r="Y4661" t="s">
        <v>68</v>
      </c>
      <c r="Z4661" t="s">
        <v>162</v>
      </c>
      <c r="AA4661" t="s">
        <v>168</v>
      </c>
      <c r="AB4661">
        <v>4.5999999999999996</v>
      </c>
      <c r="AC4661">
        <v>80</v>
      </c>
      <c r="AD4661">
        <v>2150.7399999999998</v>
      </c>
      <c r="AE4661">
        <f t="shared" si="144"/>
        <v>2367.46</v>
      </c>
      <c r="AF4661" t="str">
        <f t="shared" si="145"/>
        <v>2026-08</v>
      </c>
      <c r="AG4661">
        <f>SUBTOTAL(103,A4661)</f>
        <v>1</v>
      </c>
    </row>
    <row r="4662" spans="1:33" x14ac:dyDescent="0.3">
      <c r="A4662" t="s">
        <v>7285</v>
      </c>
      <c r="B4662" s="13">
        <v>46253</v>
      </c>
      <c r="C4662">
        <v>2026</v>
      </c>
      <c r="D4662">
        <v>8</v>
      </c>
      <c r="E4662" t="s">
        <v>4301</v>
      </c>
      <c r="F4662" t="s">
        <v>4047</v>
      </c>
      <c r="G4662" t="s">
        <v>1619</v>
      </c>
      <c r="H4662" t="s">
        <v>1620</v>
      </c>
      <c r="I4662" t="s">
        <v>86</v>
      </c>
      <c r="J4662">
        <v>38</v>
      </c>
      <c r="K4662" t="s">
        <v>82</v>
      </c>
      <c r="L4662" t="s">
        <v>2687</v>
      </c>
      <c r="M4662" t="s">
        <v>57</v>
      </c>
      <c r="N4662" t="s">
        <v>2584</v>
      </c>
      <c r="O4662" t="s">
        <v>121</v>
      </c>
      <c r="P4662" t="s">
        <v>50</v>
      </c>
      <c r="Q4662" t="s">
        <v>144</v>
      </c>
      <c r="R4662">
        <v>1</v>
      </c>
      <c r="S4662">
        <v>2999</v>
      </c>
      <c r="T4662">
        <v>0.05</v>
      </c>
      <c r="U4662">
        <v>2849.05</v>
      </c>
      <c r="V4662">
        <v>1700</v>
      </c>
      <c r="W4662">
        <v>1149.05</v>
      </c>
      <c r="X4662" t="s">
        <v>76</v>
      </c>
      <c r="Y4662" t="s">
        <v>68</v>
      </c>
      <c r="Z4662" t="s">
        <v>163</v>
      </c>
      <c r="AA4662" t="s">
        <v>170</v>
      </c>
      <c r="AB4662">
        <v>3.7</v>
      </c>
      <c r="AC4662">
        <v>80</v>
      </c>
      <c r="AD4662">
        <v>142.41</v>
      </c>
      <c r="AE4662">
        <f t="shared" si="144"/>
        <v>926.64</v>
      </c>
      <c r="AF4662" t="str">
        <f t="shared" si="145"/>
        <v>2026-08</v>
      </c>
      <c r="AG4662">
        <f>SUBTOTAL(103,A4662)</f>
        <v>1</v>
      </c>
    </row>
    <row r="4663" spans="1:33" x14ac:dyDescent="0.3">
      <c r="A4663" t="s">
        <v>7286</v>
      </c>
      <c r="B4663" s="13">
        <v>46254</v>
      </c>
      <c r="C4663">
        <v>2026</v>
      </c>
      <c r="D4663">
        <v>8</v>
      </c>
      <c r="E4663" t="s">
        <v>4301</v>
      </c>
      <c r="F4663" t="s">
        <v>4047</v>
      </c>
      <c r="G4663" t="s">
        <v>2297</v>
      </c>
      <c r="H4663" t="s">
        <v>2298</v>
      </c>
      <c r="I4663" t="s">
        <v>86</v>
      </c>
      <c r="J4663">
        <v>31</v>
      </c>
      <c r="K4663" t="s">
        <v>81</v>
      </c>
      <c r="L4663" t="s">
        <v>98</v>
      </c>
      <c r="M4663" t="s">
        <v>55</v>
      </c>
      <c r="N4663" t="s">
        <v>2603</v>
      </c>
      <c r="O4663" t="s">
        <v>122</v>
      </c>
      <c r="P4663" t="s">
        <v>48</v>
      </c>
      <c r="Q4663" t="s">
        <v>141</v>
      </c>
      <c r="R4663">
        <v>1</v>
      </c>
      <c r="S4663">
        <v>2499</v>
      </c>
      <c r="T4663">
        <v>0.25</v>
      </c>
      <c r="U4663">
        <v>1874.25</v>
      </c>
      <c r="V4663">
        <v>1450</v>
      </c>
      <c r="W4663">
        <v>424.25</v>
      </c>
      <c r="X4663" t="s">
        <v>75</v>
      </c>
      <c r="Y4663" t="s">
        <v>68</v>
      </c>
      <c r="Z4663" t="s">
        <v>161</v>
      </c>
      <c r="AA4663" t="s">
        <v>167</v>
      </c>
      <c r="AB4663">
        <v>4</v>
      </c>
      <c r="AC4663">
        <v>40</v>
      </c>
      <c r="AD4663">
        <v>213.77</v>
      </c>
      <c r="AE4663">
        <f t="shared" si="144"/>
        <v>170.48</v>
      </c>
      <c r="AF4663" t="str">
        <f t="shared" si="145"/>
        <v>2026-08</v>
      </c>
      <c r="AG4663">
        <f>SUBTOTAL(103,A4663)</f>
        <v>1</v>
      </c>
    </row>
    <row r="4664" spans="1:33" x14ac:dyDescent="0.3">
      <c r="A4664" t="s">
        <v>7287</v>
      </c>
      <c r="B4664" s="13">
        <v>46254</v>
      </c>
      <c r="C4664">
        <v>2026</v>
      </c>
      <c r="D4664">
        <v>8</v>
      </c>
      <c r="E4664" t="s">
        <v>4301</v>
      </c>
      <c r="F4664" t="s">
        <v>4047</v>
      </c>
      <c r="G4664" t="s">
        <v>1891</v>
      </c>
      <c r="H4664" t="s">
        <v>1892</v>
      </c>
      <c r="I4664" t="s">
        <v>85</v>
      </c>
      <c r="J4664">
        <v>35</v>
      </c>
      <c r="K4664" t="s">
        <v>81</v>
      </c>
      <c r="L4664" t="s">
        <v>2573</v>
      </c>
      <c r="M4664" t="s">
        <v>63</v>
      </c>
      <c r="N4664" t="s">
        <v>2577</v>
      </c>
      <c r="O4664" t="s">
        <v>129</v>
      </c>
      <c r="P4664" t="s">
        <v>49</v>
      </c>
      <c r="Q4664" t="s">
        <v>149</v>
      </c>
      <c r="R4664">
        <v>3</v>
      </c>
      <c r="S4664">
        <v>1299</v>
      </c>
      <c r="T4664">
        <v>0.25</v>
      </c>
      <c r="U4664">
        <v>2922.75</v>
      </c>
      <c r="V4664">
        <v>1950</v>
      </c>
      <c r="W4664">
        <v>972.75</v>
      </c>
      <c r="X4664" t="s">
        <v>74</v>
      </c>
      <c r="Y4664" t="s">
        <v>68</v>
      </c>
      <c r="Z4664" t="s">
        <v>161</v>
      </c>
      <c r="AA4664" t="s">
        <v>171</v>
      </c>
      <c r="AB4664">
        <v>4.7</v>
      </c>
      <c r="AC4664">
        <v>120</v>
      </c>
      <c r="AD4664">
        <v>327.5</v>
      </c>
      <c r="AE4664">
        <f t="shared" si="144"/>
        <v>525.25</v>
      </c>
      <c r="AF4664" t="str">
        <f t="shared" si="145"/>
        <v>2026-08</v>
      </c>
      <c r="AG4664">
        <f>SUBTOTAL(103,A4664)</f>
        <v>1</v>
      </c>
    </row>
    <row r="4665" spans="1:33" x14ac:dyDescent="0.3">
      <c r="A4665" t="s">
        <v>7288</v>
      </c>
      <c r="B4665" s="13">
        <v>46254</v>
      </c>
      <c r="C4665">
        <v>2026</v>
      </c>
      <c r="D4665">
        <v>8</v>
      </c>
      <c r="E4665" t="s">
        <v>4301</v>
      </c>
      <c r="F4665" t="s">
        <v>4047</v>
      </c>
      <c r="G4665" t="s">
        <v>2275</v>
      </c>
      <c r="H4665" t="s">
        <v>2276</v>
      </c>
      <c r="I4665" t="s">
        <v>86</v>
      </c>
      <c r="J4665">
        <v>39</v>
      </c>
      <c r="K4665" t="s">
        <v>82</v>
      </c>
      <c r="L4665" t="s">
        <v>2573</v>
      </c>
      <c r="M4665" t="s">
        <v>63</v>
      </c>
      <c r="N4665" t="s">
        <v>2644</v>
      </c>
      <c r="O4665" t="s">
        <v>126</v>
      </c>
      <c r="P4665" t="s">
        <v>50</v>
      </c>
      <c r="Q4665" t="s">
        <v>145</v>
      </c>
      <c r="R4665">
        <v>1</v>
      </c>
      <c r="S4665">
        <v>1799</v>
      </c>
      <c r="T4665">
        <v>0</v>
      </c>
      <c r="U4665">
        <v>1799</v>
      </c>
      <c r="V4665">
        <v>950</v>
      </c>
      <c r="W4665">
        <v>849</v>
      </c>
      <c r="X4665" t="s">
        <v>73</v>
      </c>
      <c r="Y4665" t="s">
        <v>68</v>
      </c>
      <c r="Z4665" t="s">
        <v>163</v>
      </c>
      <c r="AA4665" t="s">
        <v>167</v>
      </c>
      <c r="AB4665">
        <v>4.8</v>
      </c>
      <c r="AC4665">
        <v>60</v>
      </c>
      <c r="AD4665">
        <v>43.25</v>
      </c>
      <c r="AE4665">
        <f t="shared" si="144"/>
        <v>745.75</v>
      </c>
      <c r="AF4665" t="str">
        <f t="shared" si="145"/>
        <v>2026-08</v>
      </c>
      <c r="AG4665">
        <f>SUBTOTAL(103,A4665)</f>
        <v>1</v>
      </c>
    </row>
    <row r="4666" spans="1:33" x14ac:dyDescent="0.3">
      <c r="A4666" t="s">
        <v>7289</v>
      </c>
      <c r="B4666" s="13">
        <v>46254</v>
      </c>
      <c r="C4666">
        <v>2026</v>
      </c>
      <c r="D4666">
        <v>8</v>
      </c>
      <c r="E4666" t="s">
        <v>4301</v>
      </c>
      <c r="F4666" t="s">
        <v>4047</v>
      </c>
      <c r="G4666" t="s">
        <v>1751</v>
      </c>
      <c r="H4666" t="s">
        <v>1752</v>
      </c>
      <c r="I4666" t="s">
        <v>86</v>
      </c>
      <c r="J4666">
        <v>29</v>
      </c>
      <c r="K4666" t="s">
        <v>81</v>
      </c>
      <c r="L4666" t="s">
        <v>94</v>
      </c>
      <c r="M4666" t="s">
        <v>57</v>
      </c>
      <c r="N4666" t="s">
        <v>2630</v>
      </c>
      <c r="O4666" t="s">
        <v>123</v>
      </c>
      <c r="P4666" t="s">
        <v>52</v>
      </c>
      <c r="Q4666" t="s">
        <v>146</v>
      </c>
      <c r="R4666">
        <v>1</v>
      </c>
      <c r="S4666">
        <v>2499</v>
      </c>
      <c r="T4666">
        <v>0</v>
      </c>
      <c r="U4666">
        <v>2499</v>
      </c>
      <c r="V4666">
        <v>1400</v>
      </c>
      <c r="W4666">
        <v>1099</v>
      </c>
      <c r="X4666" t="s">
        <v>73</v>
      </c>
      <c r="Y4666" t="s">
        <v>68</v>
      </c>
      <c r="Z4666" t="s">
        <v>163</v>
      </c>
      <c r="AA4666" t="s">
        <v>171</v>
      </c>
      <c r="AB4666">
        <v>3.8</v>
      </c>
      <c r="AC4666">
        <v>60</v>
      </c>
      <c r="AD4666">
        <v>184.96</v>
      </c>
      <c r="AE4666">
        <f t="shared" si="144"/>
        <v>854.04</v>
      </c>
      <c r="AF4666" t="str">
        <f t="shared" si="145"/>
        <v>2026-08</v>
      </c>
      <c r="AG4666">
        <f>SUBTOTAL(103,A4666)</f>
        <v>1</v>
      </c>
    </row>
    <row r="4667" spans="1:33" x14ac:dyDescent="0.3">
      <c r="A4667" t="s">
        <v>7290</v>
      </c>
      <c r="B4667" s="13">
        <v>46254</v>
      </c>
      <c r="C4667">
        <v>2026</v>
      </c>
      <c r="D4667">
        <v>8</v>
      </c>
      <c r="E4667" t="s">
        <v>4301</v>
      </c>
      <c r="F4667" t="s">
        <v>4047</v>
      </c>
      <c r="G4667" t="s">
        <v>959</v>
      </c>
      <c r="H4667" t="s">
        <v>960</v>
      </c>
      <c r="I4667" t="s">
        <v>86</v>
      </c>
      <c r="J4667">
        <v>26</v>
      </c>
      <c r="K4667" t="s">
        <v>81</v>
      </c>
      <c r="L4667" t="s">
        <v>2679</v>
      </c>
      <c r="M4667" t="s">
        <v>60</v>
      </c>
      <c r="N4667" t="s">
        <v>2653</v>
      </c>
      <c r="O4667" t="s">
        <v>132</v>
      </c>
      <c r="P4667" t="s">
        <v>52</v>
      </c>
      <c r="Q4667" t="s">
        <v>150</v>
      </c>
      <c r="R4667">
        <v>1</v>
      </c>
      <c r="S4667">
        <v>899</v>
      </c>
      <c r="T4667">
        <v>0.2</v>
      </c>
      <c r="U4667">
        <v>719.2</v>
      </c>
      <c r="V4667">
        <v>420</v>
      </c>
      <c r="W4667">
        <v>299.2</v>
      </c>
      <c r="X4667" t="s">
        <v>73</v>
      </c>
      <c r="Y4667" t="s">
        <v>68</v>
      </c>
      <c r="Z4667" t="s">
        <v>162</v>
      </c>
      <c r="AA4667" t="s">
        <v>166</v>
      </c>
      <c r="AB4667">
        <v>4.2</v>
      </c>
      <c r="AC4667">
        <v>60</v>
      </c>
      <c r="AD4667">
        <v>20</v>
      </c>
      <c r="AE4667">
        <f t="shared" si="144"/>
        <v>219.2</v>
      </c>
      <c r="AF4667" t="str">
        <f t="shared" si="145"/>
        <v>2026-08</v>
      </c>
      <c r="AG4667">
        <f>SUBTOTAL(103,A4667)</f>
        <v>1</v>
      </c>
    </row>
    <row r="4668" spans="1:33" x14ac:dyDescent="0.3">
      <c r="A4668" t="s">
        <v>7291</v>
      </c>
      <c r="B4668" s="13">
        <v>46254</v>
      </c>
      <c r="C4668">
        <v>2026</v>
      </c>
      <c r="D4668">
        <v>8</v>
      </c>
      <c r="E4668" t="s">
        <v>4301</v>
      </c>
      <c r="F4668" t="s">
        <v>4047</v>
      </c>
      <c r="G4668" t="s">
        <v>227</v>
      </c>
      <c r="H4668" t="s">
        <v>228</v>
      </c>
      <c r="I4668" t="s">
        <v>87</v>
      </c>
      <c r="J4668">
        <v>38</v>
      </c>
      <c r="K4668" t="s">
        <v>82</v>
      </c>
      <c r="L4668" t="s">
        <v>2634</v>
      </c>
      <c r="M4668" t="s">
        <v>56</v>
      </c>
      <c r="N4668" t="s">
        <v>2606</v>
      </c>
      <c r="O4668" t="s">
        <v>120</v>
      </c>
      <c r="P4668" t="s">
        <v>49</v>
      </c>
      <c r="Q4668" t="s">
        <v>140</v>
      </c>
      <c r="R4668">
        <v>5</v>
      </c>
      <c r="S4668">
        <v>2799</v>
      </c>
      <c r="T4668">
        <v>0</v>
      </c>
      <c r="U4668">
        <v>13995</v>
      </c>
      <c r="V4668">
        <v>8250</v>
      </c>
      <c r="W4668">
        <v>5745</v>
      </c>
      <c r="X4668" t="s">
        <v>75</v>
      </c>
      <c r="Y4668" t="s">
        <v>70</v>
      </c>
      <c r="Z4668" t="s">
        <v>160</v>
      </c>
      <c r="AA4668" t="s">
        <v>167</v>
      </c>
      <c r="AB4668">
        <v>4.4000000000000004</v>
      </c>
      <c r="AC4668">
        <v>50</v>
      </c>
      <c r="AD4668">
        <v>297.64</v>
      </c>
      <c r="AE4668">
        <f t="shared" si="144"/>
        <v>5397.36</v>
      </c>
      <c r="AF4668" t="str">
        <f t="shared" si="145"/>
        <v>2026-08</v>
      </c>
      <c r="AG4668">
        <f>SUBTOTAL(103,A4668)</f>
        <v>1</v>
      </c>
    </row>
    <row r="4669" spans="1:33" x14ac:dyDescent="0.3">
      <c r="A4669" t="s">
        <v>7292</v>
      </c>
      <c r="B4669" s="13">
        <v>46254</v>
      </c>
      <c r="C4669">
        <v>2026</v>
      </c>
      <c r="D4669">
        <v>8</v>
      </c>
      <c r="E4669" t="s">
        <v>4301</v>
      </c>
      <c r="F4669" t="s">
        <v>4047</v>
      </c>
      <c r="G4669" t="s">
        <v>967</v>
      </c>
      <c r="H4669" t="s">
        <v>968</v>
      </c>
      <c r="I4669" t="s">
        <v>86</v>
      </c>
      <c r="J4669">
        <v>59</v>
      </c>
      <c r="K4669" t="s">
        <v>83</v>
      </c>
      <c r="L4669" t="s">
        <v>2576</v>
      </c>
      <c r="M4669" t="s">
        <v>60</v>
      </c>
      <c r="N4669" t="s">
        <v>2644</v>
      </c>
      <c r="O4669" t="s">
        <v>126</v>
      </c>
      <c r="P4669" t="s">
        <v>50</v>
      </c>
      <c r="Q4669" t="s">
        <v>145</v>
      </c>
      <c r="R4669">
        <v>2</v>
      </c>
      <c r="S4669">
        <v>1799</v>
      </c>
      <c r="T4669">
        <v>0.2</v>
      </c>
      <c r="U4669">
        <v>2878.4</v>
      </c>
      <c r="V4669">
        <v>1900</v>
      </c>
      <c r="W4669">
        <v>978.4</v>
      </c>
      <c r="X4669" t="s">
        <v>76</v>
      </c>
      <c r="Y4669" t="s">
        <v>68</v>
      </c>
      <c r="Z4669" t="s">
        <v>161</v>
      </c>
      <c r="AA4669" t="s">
        <v>170</v>
      </c>
      <c r="AB4669">
        <v>3.5</v>
      </c>
      <c r="AC4669">
        <v>60</v>
      </c>
      <c r="AD4669">
        <v>303.49</v>
      </c>
      <c r="AE4669">
        <f t="shared" si="144"/>
        <v>614.91</v>
      </c>
      <c r="AF4669" t="str">
        <f t="shared" si="145"/>
        <v>2026-08</v>
      </c>
      <c r="AG4669">
        <f>SUBTOTAL(103,A4669)</f>
        <v>1</v>
      </c>
    </row>
    <row r="4670" spans="1:33" x14ac:dyDescent="0.3">
      <c r="A4670" t="s">
        <v>7293</v>
      </c>
      <c r="B4670" s="13">
        <v>46254</v>
      </c>
      <c r="C4670">
        <v>2026</v>
      </c>
      <c r="D4670">
        <v>8</v>
      </c>
      <c r="E4670" t="s">
        <v>4301</v>
      </c>
      <c r="F4670" t="s">
        <v>4047</v>
      </c>
      <c r="G4670" t="s">
        <v>1805</v>
      </c>
      <c r="H4670" t="s">
        <v>1806</v>
      </c>
      <c r="I4670" t="s">
        <v>85</v>
      </c>
      <c r="J4670">
        <v>29</v>
      </c>
      <c r="K4670" t="s">
        <v>81</v>
      </c>
      <c r="L4670" t="s">
        <v>91</v>
      </c>
      <c r="M4670" t="s">
        <v>55</v>
      </c>
      <c r="N4670" t="s">
        <v>2657</v>
      </c>
      <c r="O4670" t="s">
        <v>134</v>
      </c>
      <c r="P4670" t="s">
        <v>49</v>
      </c>
      <c r="Q4670" t="s">
        <v>140</v>
      </c>
      <c r="R4670">
        <v>1</v>
      </c>
      <c r="S4670">
        <v>599</v>
      </c>
      <c r="T4670">
        <v>0</v>
      </c>
      <c r="U4670">
        <v>599</v>
      </c>
      <c r="V4670">
        <v>250</v>
      </c>
      <c r="W4670">
        <v>349</v>
      </c>
      <c r="X4670" t="s">
        <v>76</v>
      </c>
      <c r="Y4670" t="s">
        <v>68</v>
      </c>
      <c r="Z4670" t="s">
        <v>163</v>
      </c>
      <c r="AA4670" t="s">
        <v>169</v>
      </c>
      <c r="AB4670">
        <v>4.2</v>
      </c>
      <c r="AC4670">
        <v>120</v>
      </c>
      <c r="AD4670">
        <v>21.98</v>
      </c>
      <c r="AE4670">
        <f t="shared" si="144"/>
        <v>207.02</v>
      </c>
      <c r="AF4670" t="str">
        <f t="shared" si="145"/>
        <v>2026-08</v>
      </c>
      <c r="AG4670">
        <f>SUBTOTAL(103,A4670)</f>
        <v>1</v>
      </c>
    </row>
    <row r="4671" spans="1:33" x14ac:dyDescent="0.3">
      <c r="A4671" t="s">
        <v>7294</v>
      </c>
      <c r="B4671" s="13">
        <v>46255</v>
      </c>
      <c r="C4671">
        <v>2026</v>
      </c>
      <c r="D4671">
        <v>8</v>
      </c>
      <c r="E4671" t="s">
        <v>4301</v>
      </c>
      <c r="F4671" t="s">
        <v>4047</v>
      </c>
      <c r="G4671" t="s">
        <v>2115</v>
      </c>
      <c r="H4671" t="s">
        <v>2116</v>
      </c>
      <c r="I4671" t="s">
        <v>85</v>
      </c>
      <c r="J4671">
        <v>19</v>
      </c>
      <c r="K4671" t="s">
        <v>80</v>
      </c>
      <c r="L4671" t="s">
        <v>2579</v>
      </c>
      <c r="M4671" t="s">
        <v>56</v>
      </c>
      <c r="N4671" t="s">
        <v>2574</v>
      </c>
      <c r="O4671" t="s">
        <v>130</v>
      </c>
      <c r="P4671" t="s">
        <v>50</v>
      </c>
      <c r="Q4671" t="s">
        <v>53</v>
      </c>
      <c r="R4671">
        <v>1</v>
      </c>
      <c r="S4671">
        <v>1199</v>
      </c>
      <c r="T4671">
        <v>0.05</v>
      </c>
      <c r="U4671">
        <v>1139.05</v>
      </c>
      <c r="V4671">
        <v>550</v>
      </c>
      <c r="W4671">
        <v>589.04999999999995</v>
      </c>
      <c r="X4671" t="s">
        <v>76</v>
      </c>
      <c r="Y4671" t="s">
        <v>68</v>
      </c>
      <c r="Z4671" t="s">
        <v>159</v>
      </c>
      <c r="AA4671" t="s">
        <v>168</v>
      </c>
      <c r="AB4671">
        <v>4.3</v>
      </c>
      <c r="AC4671">
        <v>60</v>
      </c>
      <c r="AD4671">
        <v>125.25</v>
      </c>
      <c r="AE4671">
        <f t="shared" si="144"/>
        <v>403.79999999999995</v>
      </c>
      <c r="AF4671" t="str">
        <f t="shared" si="145"/>
        <v>2026-08</v>
      </c>
      <c r="AG4671">
        <f>SUBTOTAL(103,A4671)</f>
        <v>1</v>
      </c>
    </row>
    <row r="4672" spans="1:33" x14ac:dyDescent="0.3">
      <c r="A4672" t="s">
        <v>7295</v>
      </c>
      <c r="B4672" s="13">
        <v>46255</v>
      </c>
      <c r="C4672">
        <v>2026</v>
      </c>
      <c r="D4672">
        <v>8</v>
      </c>
      <c r="E4672" t="s">
        <v>4301</v>
      </c>
      <c r="F4672" t="s">
        <v>4047</v>
      </c>
      <c r="G4672" t="s">
        <v>1469</v>
      </c>
      <c r="H4672" t="s">
        <v>1470</v>
      </c>
      <c r="I4672" t="s">
        <v>86</v>
      </c>
      <c r="J4672">
        <v>41</v>
      </c>
      <c r="K4672" t="s">
        <v>82</v>
      </c>
      <c r="L4672" t="s">
        <v>2687</v>
      </c>
      <c r="M4672" t="s">
        <v>57</v>
      </c>
      <c r="N4672" t="s">
        <v>2657</v>
      </c>
      <c r="O4672" t="s">
        <v>134</v>
      </c>
      <c r="P4672" t="s">
        <v>49</v>
      </c>
      <c r="Q4672" t="s">
        <v>140</v>
      </c>
      <c r="R4672">
        <v>4</v>
      </c>
      <c r="S4672">
        <v>599</v>
      </c>
      <c r="T4672">
        <v>0.05</v>
      </c>
      <c r="U4672">
        <v>2276.1999999999998</v>
      </c>
      <c r="V4672">
        <v>1000</v>
      </c>
      <c r="W4672">
        <v>1276.2</v>
      </c>
      <c r="X4672" t="s">
        <v>76</v>
      </c>
      <c r="Y4672" t="s">
        <v>68</v>
      </c>
      <c r="Z4672" t="s">
        <v>158</v>
      </c>
      <c r="AA4672" t="s">
        <v>166</v>
      </c>
      <c r="AB4672">
        <v>4</v>
      </c>
      <c r="AC4672">
        <v>40</v>
      </c>
      <c r="AD4672">
        <v>103.9</v>
      </c>
      <c r="AE4672">
        <f t="shared" si="144"/>
        <v>1132.3</v>
      </c>
      <c r="AF4672" t="str">
        <f t="shared" si="145"/>
        <v>2026-08</v>
      </c>
      <c r="AG4672">
        <f>SUBTOTAL(103,A4672)</f>
        <v>1</v>
      </c>
    </row>
    <row r="4673" spans="1:33" x14ac:dyDescent="0.3">
      <c r="A4673" t="s">
        <v>7296</v>
      </c>
      <c r="B4673" s="13">
        <v>46255</v>
      </c>
      <c r="C4673">
        <v>2026</v>
      </c>
      <c r="D4673">
        <v>8</v>
      </c>
      <c r="E4673" t="s">
        <v>4301</v>
      </c>
      <c r="F4673" t="s">
        <v>4047</v>
      </c>
      <c r="G4673" t="s">
        <v>681</v>
      </c>
      <c r="H4673" t="s">
        <v>682</v>
      </c>
      <c r="I4673" t="s">
        <v>86</v>
      </c>
      <c r="J4673">
        <v>30</v>
      </c>
      <c r="K4673" t="s">
        <v>81</v>
      </c>
      <c r="L4673" t="s">
        <v>2589</v>
      </c>
      <c r="M4673" t="s">
        <v>61</v>
      </c>
      <c r="N4673" t="s">
        <v>2657</v>
      </c>
      <c r="O4673" t="s">
        <v>134</v>
      </c>
      <c r="P4673" t="s">
        <v>49</v>
      </c>
      <c r="Q4673" t="s">
        <v>140</v>
      </c>
      <c r="R4673">
        <v>5</v>
      </c>
      <c r="S4673">
        <v>599</v>
      </c>
      <c r="T4673">
        <v>0.05</v>
      </c>
      <c r="U4673">
        <v>2845.25</v>
      </c>
      <c r="V4673">
        <v>1250</v>
      </c>
      <c r="W4673">
        <v>1595.25</v>
      </c>
      <c r="X4673" t="s">
        <v>73</v>
      </c>
      <c r="Y4673" t="s">
        <v>68</v>
      </c>
      <c r="Z4673" t="s">
        <v>159</v>
      </c>
      <c r="AA4673" t="s">
        <v>169</v>
      </c>
      <c r="AB4673">
        <v>5</v>
      </c>
      <c r="AC4673">
        <v>60</v>
      </c>
      <c r="AD4673">
        <v>272.82</v>
      </c>
      <c r="AE4673">
        <f t="shared" si="144"/>
        <v>1262.43</v>
      </c>
      <c r="AF4673" t="str">
        <f t="shared" si="145"/>
        <v>2026-08</v>
      </c>
      <c r="AG4673">
        <f>SUBTOTAL(103,A4673)</f>
        <v>1</v>
      </c>
    </row>
    <row r="4674" spans="1:33" x14ac:dyDescent="0.3">
      <c r="A4674" t="s">
        <v>7297</v>
      </c>
      <c r="B4674" s="13">
        <v>46255</v>
      </c>
      <c r="C4674">
        <v>2026</v>
      </c>
      <c r="D4674">
        <v>8</v>
      </c>
      <c r="E4674" t="s">
        <v>4301</v>
      </c>
      <c r="F4674" t="s">
        <v>4047</v>
      </c>
      <c r="G4674" t="s">
        <v>1371</v>
      </c>
      <c r="H4674" t="s">
        <v>1372</v>
      </c>
      <c r="I4674" t="s">
        <v>87</v>
      </c>
      <c r="J4674">
        <v>31</v>
      </c>
      <c r="K4674" t="s">
        <v>81</v>
      </c>
      <c r="L4674" t="s">
        <v>2612</v>
      </c>
      <c r="M4674" t="s">
        <v>64</v>
      </c>
      <c r="N4674" t="s">
        <v>2644</v>
      </c>
      <c r="O4674" t="s">
        <v>126</v>
      </c>
      <c r="P4674" t="s">
        <v>50</v>
      </c>
      <c r="Q4674" t="s">
        <v>145</v>
      </c>
      <c r="R4674">
        <v>3</v>
      </c>
      <c r="S4674">
        <v>1799</v>
      </c>
      <c r="T4674">
        <v>0.25</v>
      </c>
      <c r="U4674">
        <v>4047.75</v>
      </c>
      <c r="V4674">
        <v>2850</v>
      </c>
      <c r="W4674">
        <v>1197.75</v>
      </c>
      <c r="X4674" t="s">
        <v>75</v>
      </c>
      <c r="Y4674" t="s">
        <v>68</v>
      </c>
      <c r="Z4674" t="s">
        <v>163</v>
      </c>
      <c r="AA4674" t="s">
        <v>168</v>
      </c>
      <c r="AB4674">
        <v>3.1</v>
      </c>
      <c r="AC4674">
        <v>100</v>
      </c>
      <c r="AD4674">
        <v>163.16999999999999</v>
      </c>
      <c r="AE4674">
        <f t="shared" ref="AE4674:AE4737" si="146">W4674-AC4674-AD4674</f>
        <v>934.58</v>
      </c>
      <c r="AF4674" t="str">
        <f t="shared" ref="AF4674:AF4737" si="147">C4674&amp;"-"&amp;TEXT(D4674,"00")</f>
        <v>2026-08</v>
      </c>
      <c r="AG4674">
        <f>SUBTOTAL(103,A4674)</f>
        <v>1</v>
      </c>
    </row>
    <row r="4675" spans="1:33" x14ac:dyDescent="0.3">
      <c r="A4675" t="s">
        <v>7298</v>
      </c>
      <c r="B4675" s="13">
        <v>46255</v>
      </c>
      <c r="C4675">
        <v>2026</v>
      </c>
      <c r="D4675">
        <v>8</v>
      </c>
      <c r="E4675" t="s">
        <v>4301</v>
      </c>
      <c r="F4675" t="s">
        <v>4047</v>
      </c>
      <c r="G4675" t="s">
        <v>1245</v>
      </c>
      <c r="H4675" t="s">
        <v>1246</v>
      </c>
      <c r="I4675" t="s">
        <v>86</v>
      </c>
      <c r="J4675">
        <v>43</v>
      </c>
      <c r="K4675" t="s">
        <v>82</v>
      </c>
      <c r="L4675" t="s">
        <v>2589</v>
      </c>
      <c r="M4675" t="s">
        <v>61</v>
      </c>
      <c r="N4675" t="s">
        <v>2644</v>
      </c>
      <c r="O4675" t="s">
        <v>126</v>
      </c>
      <c r="P4675" t="s">
        <v>50</v>
      </c>
      <c r="Q4675" t="s">
        <v>145</v>
      </c>
      <c r="R4675">
        <v>3</v>
      </c>
      <c r="S4675">
        <v>1799</v>
      </c>
      <c r="T4675">
        <v>0.05</v>
      </c>
      <c r="U4675">
        <v>5127.1499999999996</v>
      </c>
      <c r="V4675">
        <v>2850</v>
      </c>
      <c r="W4675">
        <v>2277.15</v>
      </c>
      <c r="X4675" t="s">
        <v>77</v>
      </c>
      <c r="Y4675" t="s">
        <v>68</v>
      </c>
      <c r="Z4675" t="s">
        <v>162</v>
      </c>
      <c r="AA4675" t="s">
        <v>168</v>
      </c>
      <c r="AB4675">
        <v>4</v>
      </c>
      <c r="AC4675">
        <v>80</v>
      </c>
      <c r="AD4675">
        <v>474.01</v>
      </c>
      <c r="AE4675">
        <f t="shared" si="146"/>
        <v>1723.14</v>
      </c>
      <c r="AF4675" t="str">
        <f t="shared" si="147"/>
        <v>2026-08</v>
      </c>
      <c r="AG4675">
        <f>SUBTOTAL(103,A4675)</f>
        <v>1</v>
      </c>
    </row>
    <row r="4676" spans="1:33" x14ac:dyDescent="0.3">
      <c r="A4676" t="s">
        <v>7299</v>
      </c>
      <c r="B4676" s="13">
        <v>46256</v>
      </c>
      <c r="C4676">
        <v>2026</v>
      </c>
      <c r="D4676">
        <v>8</v>
      </c>
      <c r="E4676" t="s">
        <v>4301</v>
      </c>
      <c r="F4676" t="s">
        <v>4047</v>
      </c>
      <c r="G4676" t="s">
        <v>363</v>
      </c>
      <c r="H4676" t="s">
        <v>364</v>
      </c>
      <c r="I4676" t="s">
        <v>85</v>
      </c>
      <c r="J4676">
        <v>43</v>
      </c>
      <c r="K4676" t="s">
        <v>82</v>
      </c>
      <c r="L4676" t="s">
        <v>93</v>
      </c>
      <c r="M4676" t="s">
        <v>55</v>
      </c>
      <c r="N4676" t="s">
        <v>2577</v>
      </c>
      <c r="O4676" t="s">
        <v>129</v>
      </c>
      <c r="P4676" t="s">
        <v>49</v>
      </c>
      <c r="Q4676" t="s">
        <v>149</v>
      </c>
      <c r="R4676">
        <v>2</v>
      </c>
      <c r="S4676">
        <v>1299</v>
      </c>
      <c r="T4676">
        <v>0.2</v>
      </c>
      <c r="U4676">
        <v>2078.4</v>
      </c>
      <c r="V4676">
        <v>1300</v>
      </c>
      <c r="W4676">
        <v>778.4</v>
      </c>
      <c r="X4676" t="s">
        <v>73</v>
      </c>
      <c r="Y4676" t="s">
        <v>69</v>
      </c>
      <c r="Z4676" t="s">
        <v>160</v>
      </c>
      <c r="AA4676" t="s">
        <v>167</v>
      </c>
      <c r="AB4676">
        <v>5</v>
      </c>
      <c r="AC4676">
        <v>100</v>
      </c>
      <c r="AD4676">
        <v>233.63</v>
      </c>
      <c r="AE4676">
        <f t="shared" si="146"/>
        <v>444.77</v>
      </c>
      <c r="AF4676" t="str">
        <f t="shared" si="147"/>
        <v>2026-08</v>
      </c>
      <c r="AG4676">
        <f>SUBTOTAL(103,A4676)</f>
        <v>1</v>
      </c>
    </row>
    <row r="4677" spans="1:33" x14ac:dyDescent="0.3">
      <c r="A4677" t="s">
        <v>7300</v>
      </c>
      <c r="B4677" s="13">
        <v>46256</v>
      </c>
      <c r="C4677">
        <v>2026</v>
      </c>
      <c r="D4677">
        <v>8</v>
      </c>
      <c r="E4677" t="s">
        <v>4301</v>
      </c>
      <c r="F4677" t="s">
        <v>4047</v>
      </c>
      <c r="G4677" t="s">
        <v>1329</v>
      </c>
      <c r="H4677" t="s">
        <v>1330</v>
      </c>
      <c r="I4677" t="s">
        <v>85</v>
      </c>
      <c r="J4677">
        <v>51</v>
      </c>
      <c r="K4677" t="s">
        <v>83</v>
      </c>
      <c r="L4677" t="s">
        <v>93</v>
      </c>
      <c r="M4677" t="s">
        <v>55</v>
      </c>
      <c r="N4677" t="s">
        <v>2606</v>
      </c>
      <c r="O4677" t="s">
        <v>120</v>
      </c>
      <c r="P4677" t="s">
        <v>49</v>
      </c>
      <c r="Q4677" t="s">
        <v>140</v>
      </c>
      <c r="R4677">
        <v>2</v>
      </c>
      <c r="S4677">
        <v>2799</v>
      </c>
      <c r="T4677">
        <v>0.1</v>
      </c>
      <c r="U4677">
        <v>5038.2</v>
      </c>
      <c r="V4677">
        <v>3300</v>
      </c>
      <c r="W4677">
        <v>1738.2</v>
      </c>
      <c r="X4677" t="s">
        <v>74</v>
      </c>
      <c r="Y4677" t="s">
        <v>68</v>
      </c>
      <c r="Z4677" t="s">
        <v>159</v>
      </c>
      <c r="AA4677" t="s">
        <v>166</v>
      </c>
      <c r="AB4677">
        <v>4.3</v>
      </c>
      <c r="AC4677">
        <v>40</v>
      </c>
      <c r="AD4677">
        <v>171.97</v>
      </c>
      <c r="AE4677">
        <f t="shared" si="146"/>
        <v>1526.23</v>
      </c>
      <c r="AF4677" t="str">
        <f t="shared" si="147"/>
        <v>2026-08</v>
      </c>
      <c r="AG4677">
        <f>SUBTOTAL(103,A4677)</f>
        <v>1</v>
      </c>
    </row>
    <row r="4678" spans="1:33" x14ac:dyDescent="0.3">
      <c r="A4678" t="s">
        <v>7301</v>
      </c>
      <c r="B4678" s="13">
        <v>46256</v>
      </c>
      <c r="C4678">
        <v>2026</v>
      </c>
      <c r="D4678">
        <v>8</v>
      </c>
      <c r="E4678" t="s">
        <v>4301</v>
      </c>
      <c r="F4678" t="s">
        <v>4047</v>
      </c>
      <c r="G4678" t="s">
        <v>1969</v>
      </c>
      <c r="H4678" t="s">
        <v>1970</v>
      </c>
      <c r="I4678" t="s">
        <v>85</v>
      </c>
      <c r="J4678">
        <v>31</v>
      </c>
      <c r="K4678" t="s">
        <v>81</v>
      </c>
      <c r="L4678" t="s">
        <v>90</v>
      </c>
      <c r="M4678" t="s">
        <v>55</v>
      </c>
      <c r="N4678" t="s">
        <v>2603</v>
      </c>
      <c r="O4678" t="s">
        <v>122</v>
      </c>
      <c r="P4678" t="s">
        <v>48</v>
      </c>
      <c r="Q4678" t="s">
        <v>141</v>
      </c>
      <c r="R4678">
        <v>1</v>
      </c>
      <c r="S4678">
        <v>2499</v>
      </c>
      <c r="T4678">
        <v>0.05</v>
      </c>
      <c r="U4678">
        <v>2374.0500000000002</v>
      </c>
      <c r="V4678">
        <v>1450</v>
      </c>
      <c r="W4678">
        <v>924.05</v>
      </c>
      <c r="X4678" t="s">
        <v>77</v>
      </c>
      <c r="Y4678" t="s">
        <v>68</v>
      </c>
      <c r="Z4678" t="s">
        <v>159</v>
      </c>
      <c r="AA4678" t="s">
        <v>166</v>
      </c>
      <c r="AB4678">
        <v>4.2</v>
      </c>
      <c r="AC4678">
        <v>40</v>
      </c>
      <c r="AD4678">
        <v>100.83</v>
      </c>
      <c r="AE4678">
        <f t="shared" si="146"/>
        <v>783.21999999999991</v>
      </c>
      <c r="AF4678" t="str">
        <f t="shared" si="147"/>
        <v>2026-08</v>
      </c>
      <c r="AG4678">
        <f>SUBTOTAL(103,A4678)</f>
        <v>1</v>
      </c>
    </row>
    <row r="4679" spans="1:33" x14ac:dyDescent="0.3">
      <c r="A4679" t="s">
        <v>7302</v>
      </c>
      <c r="B4679" s="13">
        <v>46256</v>
      </c>
      <c r="C4679">
        <v>2026</v>
      </c>
      <c r="D4679">
        <v>8</v>
      </c>
      <c r="E4679" t="s">
        <v>4301</v>
      </c>
      <c r="F4679" t="s">
        <v>4047</v>
      </c>
      <c r="G4679" t="s">
        <v>617</v>
      </c>
      <c r="H4679" t="s">
        <v>618</v>
      </c>
      <c r="I4679" t="s">
        <v>85</v>
      </c>
      <c r="J4679">
        <v>45</v>
      </c>
      <c r="K4679" t="s">
        <v>82</v>
      </c>
      <c r="L4679" t="s">
        <v>90</v>
      </c>
      <c r="M4679" t="s">
        <v>55</v>
      </c>
      <c r="N4679" t="s">
        <v>2594</v>
      </c>
      <c r="O4679" t="s">
        <v>131</v>
      </c>
      <c r="P4679" t="s">
        <v>53</v>
      </c>
      <c r="Q4679" t="s">
        <v>143</v>
      </c>
      <c r="R4679">
        <v>4</v>
      </c>
      <c r="S4679">
        <v>999</v>
      </c>
      <c r="T4679">
        <v>0.15</v>
      </c>
      <c r="U4679">
        <v>3396.6</v>
      </c>
      <c r="V4679">
        <v>2080</v>
      </c>
      <c r="W4679">
        <v>1316.6</v>
      </c>
      <c r="X4679" t="s">
        <v>76</v>
      </c>
      <c r="Y4679" t="s">
        <v>68</v>
      </c>
      <c r="Z4679" t="s">
        <v>160</v>
      </c>
      <c r="AA4679" t="s">
        <v>171</v>
      </c>
      <c r="AB4679">
        <v>5</v>
      </c>
      <c r="AC4679">
        <v>40</v>
      </c>
      <c r="AD4679">
        <v>391.62</v>
      </c>
      <c r="AE4679">
        <f t="shared" si="146"/>
        <v>884.9799999999999</v>
      </c>
      <c r="AF4679" t="str">
        <f t="shared" si="147"/>
        <v>2026-08</v>
      </c>
      <c r="AG4679">
        <f>SUBTOTAL(103,A4679)</f>
        <v>1</v>
      </c>
    </row>
    <row r="4680" spans="1:33" x14ac:dyDescent="0.3">
      <c r="A4680" t="s">
        <v>7303</v>
      </c>
      <c r="B4680" s="13">
        <v>46256</v>
      </c>
      <c r="C4680">
        <v>2026</v>
      </c>
      <c r="D4680">
        <v>8</v>
      </c>
      <c r="E4680" t="s">
        <v>4301</v>
      </c>
      <c r="F4680" t="s">
        <v>4047</v>
      </c>
      <c r="G4680" t="s">
        <v>279</v>
      </c>
      <c r="H4680" t="s">
        <v>280</v>
      </c>
      <c r="I4680" t="s">
        <v>85</v>
      </c>
      <c r="J4680">
        <v>40</v>
      </c>
      <c r="K4680" t="s">
        <v>82</v>
      </c>
      <c r="L4680" t="s">
        <v>2674</v>
      </c>
      <c r="M4680" t="s">
        <v>58</v>
      </c>
      <c r="N4680" t="s">
        <v>2665</v>
      </c>
      <c r="O4680" t="s">
        <v>128</v>
      </c>
      <c r="P4680" t="s">
        <v>53</v>
      </c>
      <c r="Q4680" t="s">
        <v>143</v>
      </c>
      <c r="R4680">
        <v>1</v>
      </c>
      <c r="S4680">
        <v>1499</v>
      </c>
      <c r="T4680">
        <v>0.1</v>
      </c>
      <c r="U4680">
        <v>0</v>
      </c>
      <c r="V4680">
        <v>0</v>
      </c>
      <c r="W4680">
        <v>0</v>
      </c>
      <c r="X4680" t="s">
        <v>73</v>
      </c>
      <c r="Y4680" t="s">
        <v>71</v>
      </c>
      <c r="Z4680" t="s">
        <v>163</v>
      </c>
      <c r="AA4680" t="s">
        <v>166</v>
      </c>
      <c r="AB4680">
        <v>3.8</v>
      </c>
      <c r="AC4680">
        <v>80</v>
      </c>
      <c r="AD4680">
        <v>115.25</v>
      </c>
      <c r="AE4680">
        <f t="shared" si="146"/>
        <v>-195.25</v>
      </c>
      <c r="AF4680" t="str">
        <f t="shared" si="147"/>
        <v>2026-08</v>
      </c>
      <c r="AG4680">
        <f>SUBTOTAL(103,A4680)</f>
        <v>1</v>
      </c>
    </row>
    <row r="4681" spans="1:33" x14ac:dyDescent="0.3">
      <c r="A4681" t="s">
        <v>7304</v>
      </c>
      <c r="B4681" s="13">
        <v>46256</v>
      </c>
      <c r="C4681">
        <v>2026</v>
      </c>
      <c r="D4681">
        <v>8</v>
      </c>
      <c r="E4681" t="s">
        <v>4301</v>
      </c>
      <c r="F4681" t="s">
        <v>4047</v>
      </c>
      <c r="G4681" t="s">
        <v>561</v>
      </c>
      <c r="H4681" t="s">
        <v>562</v>
      </c>
      <c r="I4681" t="s">
        <v>85</v>
      </c>
      <c r="J4681">
        <v>56</v>
      </c>
      <c r="K4681" t="s">
        <v>83</v>
      </c>
      <c r="L4681" t="s">
        <v>93</v>
      </c>
      <c r="M4681" t="s">
        <v>55</v>
      </c>
      <c r="N4681" t="s">
        <v>2592</v>
      </c>
      <c r="O4681" t="s">
        <v>115</v>
      </c>
      <c r="P4681" t="s">
        <v>48</v>
      </c>
      <c r="Q4681" t="s">
        <v>137</v>
      </c>
      <c r="R4681">
        <v>3</v>
      </c>
      <c r="S4681">
        <v>12999</v>
      </c>
      <c r="T4681">
        <v>0.2</v>
      </c>
      <c r="U4681">
        <v>31197.599999999999</v>
      </c>
      <c r="V4681">
        <v>27000</v>
      </c>
      <c r="W4681">
        <v>4197.6000000000004</v>
      </c>
      <c r="X4681" t="s">
        <v>73</v>
      </c>
      <c r="Y4681" t="s">
        <v>68</v>
      </c>
      <c r="Z4681" t="s">
        <v>163</v>
      </c>
      <c r="AA4681" t="s">
        <v>166</v>
      </c>
      <c r="AB4681">
        <v>3.4</v>
      </c>
      <c r="AC4681">
        <v>80</v>
      </c>
      <c r="AD4681">
        <v>1291.26</v>
      </c>
      <c r="AE4681">
        <f t="shared" si="146"/>
        <v>2826.34</v>
      </c>
      <c r="AF4681" t="str">
        <f t="shared" si="147"/>
        <v>2026-08</v>
      </c>
      <c r="AG4681">
        <f>SUBTOTAL(103,A4681)</f>
        <v>1</v>
      </c>
    </row>
    <row r="4682" spans="1:33" x14ac:dyDescent="0.3">
      <c r="A4682" t="s">
        <v>7305</v>
      </c>
      <c r="B4682" s="13">
        <v>46256</v>
      </c>
      <c r="C4682">
        <v>2026</v>
      </c>
      <c r="D4682">
        <v>8</v>
      </c>
      <c r="E4682" t="s">
        <v>4301</v>
      </c>
      <c r="F4682" t="s">
        <v>4047</v>
      </c>
      <c r="G4682" t="s">
        <v>877</v>
      </c>
      <c r="H4682" t="s">
        <v>878</v>
      </c>
      <c r="I4682" t="s">
        <v>85</v>
      </c>
      <c r="J4682">
        <v>21</v>
      </c>
      <c r="K4682" t="s">
        <v>80</v>
      </c>
      <c r="L4682" t="s">
        <v>59</v>
      </c>
      <c r="M4682" t="s">
        <v>59</v>
      </c>
      <c r="N4682" t="s">
        <v>2603</v>
      </c>
      <c r="O4682" t="s">
        <v>122</v>
      </c>
      <c r="P4682" t="s">
        <v>48</v>
      </c>
      <c r="Q4682" t="s">
        <v>141</v>
      </c>
      <c r="R4682">
        <v>2</v>
      </c>
      <c r="S4682">
        <v>2499</v>
      </c>
      <c r="T4682">
        <v>0.1</v>
      </c>
      <c r="U4682">
        <v>4498.2</v>
      </c>
      <c r="V4682">
        <v>2900</v>
      </c>
      <c r="W4682">
        <v>1598.2</v>
      </c>
      <c r="X4682" t="s">
        <v>74</v>
      </c>
      <c r="Y4682" t="s">
        <v>68</v>
      </c>
      <c r="Z4682" t="s">
        <v>159</v>
      </c>
      <c r="AA4682" t="s">
        <v>166</v>
      </c>
      <c r="AB4682">
        <v>3.8</v>
      </c>
      <c r="AC4682">
        <v>80</v>
      </c>
      <c r="AD4682">
        <v>315.95999999999998</v>
      </c>
      <c r="AE4682">
        <f t="shared" si="146"/>
        <v>1202.24</v>
      </c>
      <c r="AF4682" t="str">
        <f t="shared" si="147"/>
        <v>2026-08</v>
      </c>
      <c r="AG4682">
        <f>SUBTOTAL(103,A4682)</f>
        <v>1</v>
      </c>
    </row>
    <row r="4683" spans="1:33" x14ac:dyDescent="0.3">
      <c r="A4683" t="s">
        <v>7306</v>
      </c>
      <c r="B4683" s="13">
        <v>46256</v>
      </c>
      <c r="C4683">
        <v>2026</v>
      </c>
      <c r="D4683">
        <v>8</v>
      </c>
      <c r="E4683" t="s">
        <v>4301</v>
      </c>
      <c r="F4683" t="s">
        <v>4047</v>
      </c>
      <c r="G4683" t="s">
        <v>1321</v>
      </c>
      <c r="H4683" t="s">
        <v>1322</v>
      </c>
      <c r="I4683" t="s">
        <v>86</v>
      </c>
      <c r="J4683">
        <v>19</v>
      </c>
      <c r="K4683" t="s">
        <v>80</v>
      </c>
      <c r="L4683" t="s">
        <v>2589</v>
      </c>
      <c r="M4683" t="s">
        <v>61</v>
      </c>
      <c r="N4683" t="s">
        <v>2603</v>
      </c>
      <c r="O4683" t="s">
        <v>122</v>
      </c>
      <c r="P4683" t="s">
        <v>48</v>
      </c>
      <c r="Q4683" t="s">
        <v>141</v>
      </c>
      <c r="R4683">
        <v>5</v>
      </c>
      <c r="S4683">
        <v>2499</v>
      </c>
      <c r="T4683">
        <v>0</v>
      </c>
      <c r="U4683">
        <v>12495</v>
      </c>
      <c r="V4683">
        <v>7250</v>
      </c>
      <c r="W4683">
        <v>5245</v>
      </c>
      <c r="X4683" t="s">
        <v>77</v>
      </c>
      <c r="Y4683" t="s">
        <v>68</v>
      </c>
      <c r="Z4683" t="s">
        <v>162</v>
      </c>
      <c r="AA4683" t="s">
        <v>170</v>
      </c>
      <c r="AB4683">
        <v>3.9</v>
      </c>
      <c r="AC4683">
        <v>80</v>
      </c>
      <c r="AD4683">
        <v>490.89</v>
      </c>
      <c r="AE4683">
        <f t="shared" si="146"/>
        <v>4674.1099999999997</v>
      </c>
      <c r="AF4683" t="str">
        <f t="shared" si="147"/>
        <v>2026-08</v>
      </c>
      <c r="AG4683">
        <f>SUBTOTAL(103,A4683)</f>
        <v>1</v>
      </c>
    </row>
    <row r="4684" spans="1:33" x14ac:dyDescent="0.3">
      <c r="A4684" t="s">
        <v>7307</v>
      </c>
      <c r="B4684" s="13">
        <v>46256</v>
      </c>
      <c r="C4684">
        <v>2026</v>
      </c>
      <c r="D4684">
        <v>8</v>
      </c>
      <c r="E4684" t="s">
        <v>4301</v>
      </c>
      <c r="F4684" t="s">
        <v>4047</v>
      </c>
      <c r="G4684" t="s">
        <v>2029</v>
      </c>
      <c r="H4684" t="s">
        <v>2030</v>
      </c>
      <c r="I4684" t="s">
        <v>86</v>
      </c>
      <c r="J4684">
        <v>40</v>
      </c>
      <c r="K4684" t="s">
        <v>82</v>
      </c>
      <c r="L4684" t="s">
        <v>2674</v>
      </c>
      <c r="M4684" t="s">
        <v>58</v>
      </c>
      <c r="N4684" t="s">
        <v>2601</v>
      </c>
      <c r="O4684" t="s">
        <v>117</v>
      </c>
      <c r="P4684" t="s">
        <v>49</v>
      </c>
      <c r="Q4684" t="s">
        <v>139</v>
      </c>
      <c r="R4684">
        <v>1</v>
      </c>
      <c r="S4684">
        <v>6999</v>
      </c>
      <c r="T4684">
        <v>0.05</v>
      </c>
      <c r="U4684">
        <v>6649.05</v>
      </c>
      <c r="V4684">
        <v>4300</v>
      </c>
      <c r="W4684">
        <v>2349.0500000000002</v>
      </c>
      <c r="X4684" t="s">
        <v>73</v>
      </c>
      <c r="Y4684" t="s">
        <v>68</v>
      </c>
      <c r="Z4684" t="s">
        <v>159</v>
      </c>
      <c r="AA4684" t="s">
        <v>167</v>
      </c>
      <c r="AB4684">
        <v>4.8</v>
      </c>
      <c r="AC4684">
        <v>50</v>
      </c>
      <c r="AD4684">
        <v>278.83999999999997</v>
      </c>
      <c r="AE4684">
        <f t="shared" si="146"/>
        <v>2020.2100000000003</v>
      </c>
      <c r="AF4684" t="str">
        <f t="shared" si="147"/>
        <v>2026-08</v>
      </c>
      <c r="AG4684">
        <f>SUBTOTAL(103,A4684)</f>
        <v>1</v>
      </c>
    </row>
    <row r="4685" spans="1:33" x14ac:dyDescent="0.3">
      <c r="A4685" t="s">
        <v>7308</v>
      </c>
      <c r="B4685" s="13">
        <v>46256</v>
      </c>
      <c r="C4685">
        <v>2026</v>
      </c>
      <c r="D4685">
        <v>8</v>
      </c>
      <c r="E4685" t="s">
        <v>4301</v>
      </c>
      <c r="F4685" t="s">
        <v>4047</v>
      </c>
      <c r="G4685" t="s">
        <v>1045</v>
      </c>
      <c r="H4685" t="s">
        <v>1046</v>
      </c>
      <c r="I4685" t="s">
        <v>86</v>
      </c>
      <c r="J4685">
        <v>33</v>
      </c>
      <c r="K4685" t="s">
        <v>81</v>
      </c>
      <c r="L4685" t="s">
        <v>96</v>
      </c>
      <c r="M4685" t="s">
        <v>55</v>
      </c>
      <c r="N4685" t="s">
        <v>2577</v>
      </c>
      <c r="O4685" t="s">
        <v>129</v>
      </c>
      <c r="P4685" t="s">
        <v>49</v>
      </c>
      <c r="Q4685" t="s">
        <v>149</v>
      </c>
      <c r="R4685">
        <v>1</v>
      </c>
      <c r="S4685">
        <v>1299</v>
      </c>
      <c r="T4685">
        <v>0.1</v>
      </c>
      <c r="U4685">
        <v>1169.0999999999999</v>
      </c>
      <c r="V4685">
        <v>650</v>
      </c>
      <c r="W4685">
        <v>519.1</v>
      </c>
      <c r="X4685" t="s">
        <v>74</v>
      </c>
      <c r="Y4685" t="s">
        <v>69</v>
      </c>
      <c r="Z4685" t="s">
        <v>160</v>
      </c>
      <c r="AA4685" t="s">
        <v>166</v>
      </c>
      <c r="AB4685">
        <v>4.9000000000000004</v>
      </c>
      <c r="AC4685">
        <v>50</v>
      </c>
      <c r="AD4685">
        <v>103.27</v>
      </c>
      <c r="AE4685">
        <f t="shared" si="146"/>
        <v>365.83000000000004</v>
      </c>
      <c r="AF4685" t="str">
        <f t="shared" si="147"/>
        <v>2026-08</v>
      </c>
      <c r="AG4685">
        <f>SUBTOTAL(103,A4685)</f>
        <v>1</v>
      </c>
    </row>
    <row r="4686" spans="1:33" x14ac:dyDescent="0.3">
      <c r="A4686" t="s">
        <v>7309</v>
      </c>
      <c r="B4686" s="13">
        <v>46256</v>
      </c>
      <c r="C4686">
        <v>2026</v>
      </c>
      <c r="D4686">
        <v>8</v>
      </c>
      <c r="E4686" t="s">
        <v>4301</v>
      </c>
      <c r="F4686" t="s">
        <v>4047</v>
      </c>
      <c r="G4686" t="s">
        <v>2155</v>
      </c>
      <c r="H4686" t="s">
        <v>2156</v>
      </c>
      <c r="I4686" t="s">
        <v>85</v>
      </c>
      <c r="J4686">
        <v>57</v>
      </c>
      <c r="K4686" t="s">
        <v>83</v>
      </c>
      <c r="L4686" t="s">
        <v>2579</v>
      </c>
      <c r="M4686" t="s">
        <v>56</v>
      </c>
      <c r="N4686" t="s">
        <v>2577</v>
      </c>
      <c r="O4686" t="s">
        <v>129</v>
      </c>
      <c r="P4686" t="s">
        <v>49</v>
      </c>
      <c r="Q4686" t="s">
        <v>149</v>
      </c>
      <c r="R4686">
        <v>3</v>
      </c>
      <c r="S4686">
        <v>1299</v>
      </c>
      <c r="T4686">
        <v>0</v>
      </c>
      <c r="U4686">
        <v>3897</v>
      </c>
      <c r="V4686">
        <v>1950</v>
      </c>
      <c r="W4686">
        <v>1947</v>
      </c>
      <c r="X4686" t="s">
        <v>74</v>
      </c>
      <c r="Y4686" t="s">
        <v>68</v>
      </c>
      <c r="Z4686" t="s">
        <v>162</v>
      </c>
      <c r="AA4686" t="s">
        <v>170</v>
      </c>
      <c r="AB4686">
        <v>4.3</v>
      </c>
      <c r="AC4686">
        <v>60</v>
      </c>
      <c r="AD4686">
        <v>296.56</v>
      </c>
      <c r="AE4686">
        <f t="shared" si="146"/>
        <v>1590.44</v>
      </c>
      <c r="AF4686" t="str">
        <f t="shared" si="147"/>
        <v>2026-08</v>
      </c>
      <c r="AG4686">
        <f>SUBTOTAL(103,A4686)</f>
        <v>1</v>
      </c>
    </row>
    <row r="4687" spans="1:33" x14ac:dyDescent="0.3">
      <c r="A4687" t="s">
        <v>7310</v>
      </c>
      <c r="B4687" s="13">
        <v>46256</v>
      </c>
      <c r="C4687">
        <v>2026</v>
      </c>
      <c r="D4687">
        <v>8</v>
      </c>
      <c r="E4687" t="s">
        <v>4301</v>
      </c>
      <c r="F4687" t="s">
        <v>4047</v>
      </c>
      <c r="G4687" t="s">
        <v>421</v>
      </c>
      <c r="H4687" t="s">
        <v>422</v>
      </c>
      <c r="I4687" t="s">
        <v>86</v>
      </c>
      <c r="J4687">
        <v>47</v>
      </c>
      <c r="K4687" t="s">
        <v>83</v>
      </c>
      <c r="L4687" t="s">
        <v>2589</v>
      </c>
      <c r="M4687" t="s">
        <v>61</v>
      </c>
      <c r="N4687" t="s">
        <v>2594</v>
      </c>
      <c r="O4687" t="s">
        <v>131</v>
      </c>
      <c r="P4687" t="s">
        <v>53</v>
      </c>
      <c r="Q4687" t="s">
        <v>143</v>
      </c>
      <c r="R4687">
        <v>1</v>
      </c>
      <c r="S4687">
        <v>999</v>
      </c>
      <c r="T4687">
        <v>0.25</v>
      </c>
      <c r="U4687">
        <v>749.25</v>
      </c>
      <c r="V4687">
        <v>520</v>
      </c>
      <c r="W4687">
        <v>229.25</v>
      </c>
      <c r="X4687" t="s">
        <v>76</v>
      </c>
      <c r="Y4687" t="s">
        <v>68</v>
      </c>
      <c r="Z4687" t="s">
        <v>158</v>
      </c>
      <c r="AA4687" t="s">
        <v>167</v>
      </c>
      <c r="AB4687">
        <v>4</v>
      </c>
      <c r="AC4687">
        <v>50</v>
      </c>
      <c r="AD4687">
        <v>24.13</v>
      </c>
      <c r="AE4687">
        <f t="shared" si="146"/>
        <v>155.12</v>
      </c>
      <c r="AF4687" t="str">
        <f t="shared" si="147"/>
        <v>2026-08</v>
      </c>
      <c r="AG4687">
        <f>SUBTOTAL(103,A4687)</f>
        <v>1</v>
      </c>
    </row>
    <row r="4688" spans="1:33" x14ac:dyDescent="0.3">
      <c r="A4688" t="s">
        <v>7311</v>
      </c>
      <c r="B4688" s="13">
        <v>46257</v>
      </c>
      <c r="C4688">
        <v>2026</v>
      </c>
      <c r="D4688">
        <v>8</v>
      </c>
      <c r="E4688" t="s">
        <v>4301</v>
      </c>
      <c r="F4688" t="s">
        <v>4047</v>
      </c>
      <c r="G4688" t="s">
        <v>2293</v>
      </c>
      <c r="H4688" t="s">
        <v>2294</v>
      </c>
      <c r="I4688" t="s">
        <v>85</v>
      </c>
      <c r="J4688">
        <v>18</v>
      </c>
      <c r="K4688" t="s">
        <v>80</v>
      </c>
      <c r="L4688" t="s">
        <v>2573</v>
      </c>
      <c r="M4688" t="s">
        <v>63</v>
      </c>
      <c r="N4688" t="s">
        <v>2647</v>
      </c>
      <c r="O4688" t="s">
        <v>133</v>
      </c>
      <c r="P4688" t="s">
        <v>50</v>
      </c>
      <c r="Q4688" t="s">
        <v>145</v>
      </c>
      <c r="R4688">
        <v>2</v>
      </c>
      <c r="S4688">
        <v>799</v>
      </c>
      <c r="T4688">
        <v>0.15</v>
      </c>
      <c r="U4688">
        <v>1358.3</v>
      </c>
      <c r="V4688">
        <v>780</v>
      </c>
      <c r="W4688">
        <v>578.29999999999995</v>
      </c>
      <c r="X4688" t="s">
        <v>76</v>
      </c>
      <c r="Y4688" t="s">
        <v>68</v>
      </c>
      <c r="Z4688" t="s">
        <v>158</v>
      </c>
      <c r="AA4688" t="s">
        <v>167</v>
      </c>
      <c r="AB4688">
        <v>3.5</v>
      </c>
      <c r="AC4688">
        <v>50</v>
      </c>
      <c r="AD4688">
        <v>98.47</v>
      </c>
      <c r="AE4688">
        <f t="shared" si="146"/>
        <v>429.82999999999993</v>
      </c>
      <c r="AF4688" t="str">
        <f t="shared" si="147"/>
        <v>2026-08</v>
      </c>
      <c r="AG4688">
        <f>SUBTOTAL(103,A4688)</f>
        <v>1</v>
      </c>
    </row>
    <row r="4689" spans="1:33" x14ac:dyDescent="0.3">
      <c r="A4689" t="s">
        <v>7312</v>
      </c>
      <c r="B4689" s="13">
        <v>46257</v>
      </c>
      <c r="C4689">
        <v>2026</v>
      </c>
      <c r="D4689">
        <v>8</v>
      </c>
      <c r="E4689" t="s">
        <v>4301</v>
      </c>
      <c r="F4689" t="s">
        <v>4047</v>
      </c>
      <c r="G4689" t="s">
        <v>1567</v>
      </c>
      <c r="H4689" t="s">
        <v>1568</v>
      </c>
      <c r="I4689" t="s">
        <v>85</v>
      </c>
      <c r="J4689">
        <v>33</v>
      </c>
      <c r="K4689" t="s">
        <v>81</v>
      </c>
      <c r="L4689" t="s">
        <v>90</v>
      </c>
      <c r="M4689" t="s">
        <v>55</v>
      </c>
      <c r="N4689" t="s">
        <v>2630</v>
      </c>
      <c r="O4689" t="s">
        <v>123</v>
      </c>
      <c r="P4689" t="s">
        <v>52</v>
      </c>
      <c r="Q4689" t="s">
        <v>146</v>
      </c>
      <c r="R4689">
        <v>3</v>
      </c>
      <c r="S4689">
        <v>2499</v>
      </c>
      <c r="T4689">
        <v>0.15</v>
      </c>
      <c r="U4689">
        <v>6372.45</v>
      </c>
      <c r="V4689">
        <v>4200</v>
      </c>
      <c r="W4689">
        <v>2172.4499999999998</v>
      </c>
      <c r="X4689" t="s">
        <v>76</v>
      </c>
      <c r="Y4689" t="s">
        <v>68</v>
      </c>
      <c r="Z4689" t="s">
        <v>163</v>
      </c>
      <c r="AA4689" t="s">
        <v>168</v>
      </c>
      <c r="AB4689">
        <v>3.6</v>
      </c>
      <c r="AC4689">
        <v>50</v>
      </c>
      <c r="AD4689">
        <v>539.70000000000005</v>
      </c>
      <c r="AE4689">
        <f t="shared" si="146"/>
        <v>1582.7499999999998</v>
      </c>
      <c r="AF4689" t="str">
        <f t="shared" si="147"/>
        <v>2026-08</v>
      </c>
      <c r="AG4689">
        <f>SUBTOTAL(103,A4689)</f>
        <v>1</v>
      </c>
    </row>
    <row r="4690" spans="1:33" x14ac:dyDescent="0.3">
      <c r="A4690" t="s">
        <v>7313</v>
      </c>
      <c r="B4690" s="13">
        <v>46257</v>
      </c>
      <c r="C4690">
        <v>2026</v>
      </c>
      <c r="D4690">
        <v>8</v>
      </c>
      <c r="E4690" t="s">
        <v>4301</v>
      </c>
      <c r="F4690" t="s">
        <v>4047</v>
      </c>
      <c r="G4690" t="s">
        <v>2247</v>
      </c>
      <c r="H4690" t="s">
        <v>2248</v>
      </c>
      <c r="I4690" t="s">
        <v>86</v>
      </c>
      <c r="J4690">
        <v>45</v>
      </c>
      <c r="K4690" t="s">
        <v>82</v>
      </c>
      <c r="L4690" t="s">
        <v>97</v>
      </c>
      <c r="M4690" t="s">
        <v>57</v>
      </c>
      <c r="N4690" t="s">
        <v>2657</v>
      </c>
      <c r="O4690" t="s">
        <v>134</v>
      </c>
      <c r="P4690" t="s">
        <v>49</v>
      </c>
      <c r="Q4690" t="s">
        <v>140</v>
      </c>
      <c r="R4690">
        <v>1</v>
      </c>
      <c r="S4690">
        <v>599</v>
      </c>
      <c r="T4690">
        <v>0.2</v>
      </c>
      <c r="U4690">
        <v>479.2</v>
      </c>
      <c r="V4690">
        <v>250</v>
      </c>
      <c r="W4690">
        <v>229.2</v>
      </c>
      <c r="X4690" t="s">
        <v>75</v>
      </c>
      <c r="Y4690" t="s">
        <v>69</v>
      </c>
      <c r="Z4690" t="s">
        <v>160</v>
      </c>
      <c r="AA4690" t="s">
        <v>166</v>
      </c>
      <c r="AB4690">
        <v>4.8</v>
      </c>
      <c r="AC4690">
        <v>50</v>
      </c>
      <c r="AD4690">
        <v>31.13</v>
      </c>
      <c r="AE4690">
        <f t="shared" si="146"/>
        <v>148.07</v>
      </c>
      <c r="AF4690" t="str">
        <f t="shared" si="147"/>
        <v>2026-08</v>
      </c>
      <c r="AG4690">
        <f>SUBTOTAL(103,A4690)</f>
        <v>1</v>
      </c>
    </row>
    <row r="4691" spans="1:33" x14ac:dyDescent="0.3">
      <c r="A4691" t="s">
        <v>7314</v>
      </c>
      <c r="B4691" s="13">
        <v>46257</v>
      </c>
      <c r="C4691">
        <v>2026</v>
      </c>
      <c r="D4691">
        <v>8</v>
      </c>
      <c r="E4691" t="s">
        <v>4301</v>
      </c>
      <c r="F4691" t="s">
        <v>4047</v>
      </c>
      <c r="G4691" t="s">
        <v>1049</v>
      </c>
      <c r="H4691" t="s">
        <v>1050</v>
      </c>
      <c r="I4691" t="s">
        <v>86</v>
      </c>
      <c r="J4691">
        <v>41</v>
      </c>
      <c r="K4691" t="s">
        <v>82</v>
      </c>
      <c r="L4691" t="s">
        <v>2690</v>
      </c>
      <c r="M4691" t="s">
        <v>63</v>
      </c>
      <c r="N4691" t="s">
        <v>2582</v>
      </c>
      <c r="O4691" t="s">
        <v>119</v>
      </c>
      <c r="P4691" t="s">
        <v>49</v>
      </c>
      <c r="Q4691" t="s">
        <v>140</v>
      </c>
      <c r="R4691">
        <v>2</v>
      </c>
      <c r="S4691">
        <v>3499</v>
      </c>
      <c r="T4691">
        <v>0.1</v>
      </c>
      <c r="U4691">
        <v>6298.2</v>
      </c>
      <c r="V4691">
        <v>4200</v>
      </c>
      <c r="W4691">
        <v>2098.1999999999998</v>
      </c>
      <c r="X4691" t="s">
        <v>75</v>
      </c>
      <c r="Y4691" t="s">
        <v>69</v>
      </c>
      <c r="Z4691" t="s">
        <v>161</v>
      </c>
      <c r="AA4691" t="s">
        <v>169</v>
      </c>
      <c r="AB4691">
        <v>3.5</v>
      </c>
      <c r="AC4691">
        <v>50</v>
      </c>
      <c r="AD4691">
        <v>636.96</v>
      </c>
      <c r="AE4691">
        <f t="shared" si="146"/>
        <v>1411.2399999999998</v>
      </c>
      <c r="AF4691" t="str">
        <f t="shared" si="147"/>
        <v>2026-08</v>
      </c>
      <c r="AG4691">
        <f>SUBTOTAL(103,A4691)</f>
        <v>1</v>
      </c>
    </row>
    <row r="4692" spans="1:33" x14ac:dyDescent="0.3">
      <c r="A4692" t="s">
        <v>7315</v>
      </c>
      <c r="B4692" s="13">
        <v>46257</v>
      </c>
      <c r="C4692">
        <v>2026</v>
      </c>
      <c r="D4692">
        <v>8</v>
      </c>
      <c r="E4692" t="s">
        <v>4301</v>
      </c>
      <c r="F4692" t="s">
        <v>4047</v>
      </c>
      <c r="G4692" t="s">
        <v>475</v>
      </c>
      <c r="H4692" t="s">
        <v>476</v>
      </c>
      <c r="I4692" t="s">
        <v>86</v>
      </c>
      <c r="J4692">
        <v>26</v>
      </c>
      <c r="K4692" t="s">
        <v>81</v>
      </c>
      <c r="L4692" t="s">
        <v>100</v>
      </c>
      <c r="M4692" t="s">
        <v>56</v>
      </c>
      <c r="N4692" t="s">
        <v>2584</v>
      </c>
      <c r="O4692" t="s">
        <v>121</v>
      </c>
      <c r="P4692" t="s">
        <v>50</v>
      </c>
      <c r="Q4692" t="s">
        <v>144</v>
      </c>
      <c r="R4692">
        <v>3</v>
      </c>
      <c r="S4692">
        <v>2999</v>
      </c>
      <c r="T4692">
        <v>0</v>
      </c>
      <c r="U4692">
        <v>0</v>
      </c>
      <c r="V4692">
        <v>0</v>
      </c>
      <c r="W4692">
        <v>0</v>
      </c>
      <c r="X4692" t="s">
        <v>74</v>
      </c>
      <c r="Y4692" t="s">
        <v>71</v>
      </c>
      <c r="Z4692" t="s">
        <v>158</v>
      </c>
      <c r="AA4692" t="s">
        <v>171</v>
      </c>
      <c r="AB4692">
        <v>4.4000000000000004</v>
      </c>
      <c r="AC4692">
        <v>80</v>
      </c>
      <c r="AD4692">
        <v>779.05</v>
      </c>
      <c r="AE4692">
        <f t="shared" si="146"/>
        <v>-859.05</v>
      </c>
      <c r="AF4692" t="str">
        <f t="shared" si="147"/>
        <v>2026-08</v>
      </c>
      <c r="AG4692">
        <f>SUBTOTAL(103,A4692)</f>
        <v>1</v>
      </c>
    </row>
    <row r="4693" spans="1:33" x14ac:dyDescent="0.3">
      <c r="A4693" t="s">
        <v>7316</v>
      </c>
      <c r="B4693" s="13">
        <v>46257</v>
      </c>
      <c r="C4693">
        <v>2026</v>
      </c>
      <c r="D4693">
        <v>8</v>
      </c>
      <c r="E4693" t="s">
        <v>4301</v>
      </c>
      <c r="F4693" t="s">
        <v>4047</v>
      </c>
      <c r="G4693" t="s">
        <v>1109</v>
      </c>
      <c r="H4693" t="s">
        <v>1110</v>
      </c>
      <c r="I4693" t="s">
        <v>86</v>
      </c>
      <c r="J4693">
        <v>32</v>
      </c>
      <c r="K4693" t="s">
        <v>81</v>
      </c>
      <c r="L4693" t="s">
        <v>2661</v>
      </c>
      <c r="M4693" t="s">
        <v>58</v>
      </c>
      <c r="N4693" t="s">
        <v>2590</v>
      </c>
      <c r="O4693" t="s">
        <v>127</v>
      </c>
      <c r="P4693" t="s">
        <v>51</v>
      </c>
      <c r="Q4693" t="s">
        <v>148</v>
      </c>
      <c r="R4693">
        <v>1</v>
      </c>
      <c r="S4693">
        <v>1599</v>
      </c>
      <c r="T4693">
        <v>0.15</v>
      </c>
      <c r="U4693">
        <v>1359.15</v>
      </c>
      <c r="V4693">
        <v>800</v>
      </c>
      <c r="W4693">
        <v>559.15</v>
      </c>
      <c r="X4693" t="s">
        <v>77</v>
      </c>
      <c r="Y4693" t="s">
        <v>68</v>
      </c>
      <c r="Z4693" t="s">
        <v>162</v>
      </c>
      <c r="AA4693" t="s">
        <v>168</v>
      </c>
      <c r="AB4693">
        <v>4.9000000000000004</v>
      </c>
      <c r="AC4693">
        <v>80</v>
      </c>
      <c r="AD4693">
        <v>122.67</v>
      </c>
      <c r="AE4693">
        <f t="shared" si="146"/>
        <v>356.47999999999996</v>
      </c>
      <c r="AF4693" t="str">
        <f t="shared" si="147"/>
        <v>2026-08</v>
      </c>
      <c r="AG4693">
        <f>SUBTOTAL(103,A4693)</f>
        <v>1</v>
      </c>
    </row>
    <row r="4694" spans="1:33" x14ac:dyDescent="0.3">
      <c r="A4694" t="s">
        <v>7317</v>
      </c>
      <c r="B4694" s="13">
        <v>46257</v>
      </c>
      <c r="C4694">
        <v>2026</v>
      </c>
      <c r="D4694">
        <v>8</v>
      </c>
      <c r="E4694" t="s">
        <v>4301</v>
      </c>
      <c r="F4694" t="s">
        <v>4047</v>
      </c>
      <c r="G4694" t="s">
        <v>361</v>
      </c>
      <c r="H4694" t="s">
        <v>362</v>
      </c>
      <c r="I4694" t="s">
        <v>86</v>
      </c>
      <c r="J4694">
        <v>23</v>
      </c>
      <c r="K4694" t="s">
        <v>80</v>
      </c>
      <c r="L4694" t="s">
        <v>95</v>
      </c>
      <c r="M4694" t="s">
        <v>56</v>
      </c>
      <c r="N4694" t="s">
        <v>2630</v>
      </c>
      <c r="O4694" t="s">
        <v>123</v>
      </c>
      <c r="P4694" t="s">
        <v>52</v>
      </c>
      <c r="Q4694" t="s">
        <v>146</v>
      </c>
      <c r="R4694">
        <v>1</v>
      </c>
      <c r="S4694">
        <v>2499</v>
      </c>
      <c r="T4694">
        <v>0</v>
      </c>
      <c r="U4694">
        <v>2499</v>
      </c>
      <c r="V4694">
        <v>1400</v>
      </c>
      <c r="W4694">
        <v>1099</v>
      </c>
      <c r="X4694" t="s">
        <v>75</v>
      </c>
      <c r="Y4694" t="s">
        <v>68</v>
      </c>
      <c r="Z4694" t="s">
        <v>158</v>
      </c>
      <c r="AA4694" t="s">
        <v>166</v>
      </c>
      <c r="AB4694">
        <v>4.5999999999999996</v>
      </c>
      <c r="AC4694">
        <v>40</v>
      </c>
      <c r="AD4694">
        <v>237.64</v>
      </c>
      <c r="AE4694">
        <f t="shared" si="146"/>
        <v>821.36</v>
      </c>
      <c r="AF4694" t="str">
        <f t="shared" si="147"/>
        <v>2026-08</v>
      </c>
      <c r="AG4694">
        <f>SUBTOTAL(103,A4694)</f>
        <v>1</v>
      </c>
    </row>
    <row r="4695" spans="1:33" x14ac:dyDescent="0.3">
      <c r="A4695" t="s">
        <v>7318</v>
      </c>
      <c r="B4695" s="13">
        <v>46257</v>
      </c>
      <c r="C4695">
        <v>2026</v>
      </c>
      <c r="D4695">
        <v>8</v>
      </c>
      <c r="E4695" t="s">
        <v>4301</v>
      </c>
      <c r="F4695" t="s">
        <v>4047</v>
      </c>
      <c r="G4695" t="s">
        <v>1551</v>
      </c>
      <c r="H4695" t="s">
        <v>1552</v>
      </c>
      <c r="I4695" t="s">
        <v>86</v>
      </c>
      <c r="J4695">
        <v>55</v>
      </c>
      <c r="K4695" t="s">
        <v>83</v>
      </c>
      <c r="L4695" t="s">
        <v>93</v>
      </c>
      <c r="M4695" t="s">
        <v>55</v>
      </c>
      <c r="N4695" t="s">
        <v>2594</v>
      </c>
      <c r="O4695" t="s">
        <v>131</v>
      </c>
      <c r="P4695" t="s">
        <v>53</v>
      </c>
      <c r="Q4695" t="s">
        <v>143</v>
      </c>
      <c r="R4695">
        <v>1</v>
      </c>
      <c r="S4695">
        <v>999</v>
      </c>
      <c r="T4695">
        <v>0.05</v>
      </c>
      <c r="U4695">
        <v>0</v>
      </c>
      <c r="V4695">
        <v>0</v>
      </c>
      <c r="W4695">
        <v>0</v>
      </c>
      <c r="X4695" t="s">
        <v>73</v>
      </c>
      <c r="Y4695" t="s">
        <v>71</v>
      </c>
      <c r="Z4695" t="s">
        <v>158</v>
      </c>
      <c r="AA4695" t="s">
        <v>166</v>
      </c>
      <c r="AB4695">
        <v>4.4000000000000004</v>
      </c>
      <c r="AC4695">
        <v>50</v>
      </c>
      <c r="AD4695">
        <v>79.16</v>
      </c>
      <c r="AE4695">
        <f t="shared" si="146"/>
        <v>-129.16</v>
      </c>
      <c r="AF4695" t="str">
        <f t="shared" si="147"/>
        <v>2026-08</v>
      </c>
      <c r="AG4695">
        <f>SUBTOTAL(103,A4695)</f>
        <v>1</v>
      </c>
    </row>
    <row r="4696" spans="1:33" x14ac:dyDescent="0.3">
      <c r="A4696" t="s">
        <v>7319</v>
      </c>
      <c r="B4696" s="13">
        <v>46258</v>
      </c>
      <c r="C4696">
        <v>2026</v>
      </c>
      <c r="D4696">
        <v>8</v>
      </c>
      <c r="E4696" t="s">
        <v>4301</v>
      </c>
      <c r="F4696" t="s">
        <v>4047</v>
      </c>
      <c r="G4696" t="s">
        <v>269</v>
      </c>
      <c r="H4696" t="s">
        <v>270</v>
      </c>
      <c r="I4696" t="s">
        <v>85</v>
      </c>
      <c r="J4696">
        <v>35</v>
      </c>
      <c r="K4696" t="s">
        <v>81</v>
      </c>
      <c r="L4696" t="s">
        <v>97</v>
      </c>
      <c r="M4696" t="s">
        <v>57</v>
      </c>
      <c r="N4696" t="s">
        <v>2584</v>
      </c>
      <c r="O4696" t="s">
        <v>121</v>
      </c>
      <c r="P4696" t="s">
        <v>50</v>
      </c>
      <c r="Q4696" t="s">
        <v>144</v>
      </c>
      <c r="R4696">
        <v>1</v>
      </c>
      <c r="S4696">
        <v>2999</v>
      </c>
      <c r="T4696">
        <v>0.25</v>
      </c>
      <c r="U4696">
        <v>2249.25</v>
      </c>
      <c r="V4696">
        <v>1700</v>
      </c>
      <c r="W4696">
        <v>549.25</v>
      </c>
      <c r="X4696" t="s">
        <v>73</v>
      </c>
      <c r="Y4696" t="s">
        <v>68</v>
      </c>
      <c r="Z4696" t="s">
        <v>159</v>
      </c>
      <c r="AA4696" t="s">
        <v>166</v>
      </c>
      <c r="AB4696">
        <v>3.5</v>
      </c>
      <c r="AC4696">
        <v>80</v>
      </c>
      <c r="AD4696">
        <v>260.02999999999997</v>
      </c>
      <c r="AE4696">
        <f t="shared" si="146"/>
        <v>209.22000000000003</v>
      </c>
      <c r="AF4696" t="str">
        <f t="shared" si="147"/>
        <v>2026-08</v>
      </c>
      <c r="AG4696">
        <f>SUBTOTAL(103,A4696)</f>
        <v>1</v>
      </c>
    </row>
    <row r="4697" spans="1:33" x14ac:dyDescent="0.3">
      <c r="A4697" t="s">
        <v>7320</v>
      </c>
      <c r="B4697" s="13">
        <v>46258</v>
      </c>
      <c r="C4697">
        <v>2026</v>
      </c>
      <c r="D4697">
        <v>8</v>
      </c>
      <c r="E4697" t="s">
        <v>4301</v>
      </c>
      <c r="F4697" t="s">
        <v>4047</v>
      </c>
      <c r="G4697" t="s">
        <v>429</v>
      </c>
      <c r="H4697" t="s">
        <v>430</v>
      </c>
      <c r="I4697" t="s">
        <v>86</v>
      </c>
      <c r="J4697">
        <v>50</v>
      </c>
      <c r="K4697" t="s">
        <v>83</v>
      </c>
      <c r="L4697" t="s">
        <v>93</v>
      </c>
      <c r="M4697" t="s">
        <v>55</v>
      </c>
      <c r="N4697" t="s">
        <v>2630</v>
      </c>
      <c r="O4697" t="s">
        <v>123</v>
      </c>
      <c r="P4697" t="s">
        <v>52</v>
      </c>
      <c r="Q4697" t="s">
        <v>146</v>
      </c>
      <c r="R4697">
        <v>1</v>
      </c>
      <c r="S4697">
        <v>2499</v>
      </c>
      <c r="T4697">
        <v>0</v>
      </c>
      <c r="U4697">
        <v>2499</v>
      </c>
      <c r="V4697">
        <v>1400</v>
      </c>
      <c r="W4697">
        <v>1099</v>
      </c>
      <c r="X4697" t="s">
        <v>74</v>
      </c>
      <c r="Y4697" t="s">
        <v>68</v>
      </c>
      <c r="Z4697" t="s">
        <v>162</v>
      </c>
      <c r="AA4697" t="s">
        <v>171</v>
      </c>
      <c r="AB4697">
        <v>3.3</v>
      </c>
      <c r="AC4697">
        <v>60</v>
      </c>
      <c r="AD4697">
        <v>156.44999999999999</v>
      </c>
      <c r="AE4697">
        <f t="shared" si="146"/>
        <v>882.55</v>
      </c>
      <c r="AF4697" t="str">
        <f t="shared" si="147"/>
        <v>2026-08</v>
      </c>
      <c r="AG4697">
        <f>SUBTOTAL(103,A4697)</f>
        <v>1</v>
      </c>
    </row>
    <row r="4698" spans="1:33" x14ac:dyDescent="0.3">
      <c r="A4698" t="s">
        <v>7321</v>
      </c>
      <c r="B4698" s="13">
        <v>46258</v>
      </c>
      <c r="C4698">
        <v>2026</v>
      </c>
      <c r="D4698">
        <v>8</v>
      </c>
      <c r="E4698" t="s">
        <v>4301</v>
      </c>
      <c r="F4698" t="s">
        <v>4047</v>
      </c>
      <c r="G4698" t="s">
        <v>2225</v>
      </c>
      <c r="H4698" t="s">
        <v>2226</v>
      </c>
      <c r="I4698" t="s">
        <v>86</v>
      </c>
      <c r="J4698">
        <v>52</v>
      </c>
      <c r="K4698" t="s">
        <v>83</v>
      </c>
      <c r="L4698" t="s">
        <v>90</v>
      </c>
      <c r="M4698" t="s">
        <v>55</v>
      </c>
      <c r="N4698" t="s">
        <v>2606</v>
      </c>
      <c r="O4698" t="s">
        <v>120</v>
      </c>
      <c r="P4698" t="s">
        <v>49</v>
      </c>
      <c r="Q4698" t="s">
        <v>140</v>
      </c>
      <c r="R4698">
        <v>2</v>
      </c>
      <c r="S4698">
        <v>2799</v>
      </c>
      <c r="T4698">
        <v>0.1</v>
      </c>
      <c r="U4698">
        <v>5038.2</v>
      </c>
      <c r="V4698">
        <v>3300</v>
      </c>
      <c r="W4698">
        <v>1738.2</v>
      </c>
      <c r="X4698" t="s">
        <v>77</v>
      </c>
      <c r="Y4698" t="s">
        <v>68</v>
      </c>
      <c r="Z4698" t="s">
        <v>161</v>
      </c>
      <c r="AA4698" t="s">
        <v>166</v>
      </c>
      <c r="AB4698">
        <v>5</v>
      </c>
      <c r="AC4698">
        <v>60</v>
      </c>
      <c r="AD4698">
        <v>314.68</v>
      </c>
      <c r="AE4698">
        <f t="shared" si="146"/>
        <v>1363.52</v>
      </c>
      <c r="AF4698" t="str">
        <f t="shared" si="147"/>
        <v>2026-08</v>
      </c>
      <c r="AG4698">
        <f>SUBTOTAL(103,A4698)</f>
        <v>1</v>
      </c>
    </row>
    <row r="4699" spans="1:33" x14ac:dyDescent="0.3">
      <c r="A4699" t="s">
        <v>7322</v>
      </c>
      <c r="B4699" s="13">
        <v>46258</v>
      </c>
      <c r="C4699">
        <v>2026</v>
      </c>
      <c r="D4699">
        <v>8</v>
      </c>
      <c r="E4699" t="s">
        <v>4301</v>
      </c>
      <c r="F4699" t="s">
        <v>4047</v>
      </c>
      <c r="G4699" t="s">
        <v>1573</v>
      </c>
      <c r="H4699" t="s">
        <v>1574</v>
      </c>
      <c r="I4699" t="s">
        <v>85</v>
      </c>
      <c r="J4699">
        <v>52</v>
      </c>
      <c r="K4699" t="s">
        <v>83</v>
      </c>
      <c r="L4699" t="s">
        <v>2605</v>
      </c>
      <c r="M4699" t="s">
        <v>60</v>
      </c>
      <c r="N4699" t="s">
        <v>2665</v>
      </c>
      <c r="O4699" t="s">
        <v>128</v>
      </c>
      <c r="P4699" t="s">
        <v>53</v>
      </c>
      <c r="Q4699" t="s">
        <v>143</v>
      </c>
      <c r="R4699">
        <v>1</v>
      </c>
      <c r="S4699">
        <v>1499</v>
      </c>
      <c r="T4699">
        <v>0.1</v>
      </c>
      <c r="U4699">
        <v>1349.1</v>
      </c>
      <c r="V4699">
        <v>800</v>
      </c>
      <c r="W4699">
        <v>549.1</v>
      </c>
      <c r="X4699" t="s">
        <v>73</v>
      </c>
      <c r="Y4699" t="s">
        <v>69</v>
      </c>
      <c r="Z4699" t="s">
        <v>160</v>
      </c>
      <c r="AA4699" t="s">
        <v>166</v>
      </c>
      <c r="AB4699">
        <v>3.6</v>
      </c>
      <c r="AC4699">
        <v>40</v>
      </c>
      <c r="AD4699">
        <v>120.46</v>
      </c>
      <c r="AE4699">
        <f t="shared" si="146"/>
        <v>388.64000000000004</v>
      </c>
      <c r="AF4699" t="str">
        <f t="shared" si="147"/>
        <v>2026-08</v>
      </c>
      <c r="AG4699">
        <f>SUBTOTAL(103,A4699)</f>
        <v>1</v>
      </c>
    </row>
    <row r="4700" spans="1:33" x14ac:dyDescent="0.3">
      <c r="A4700" t="s">
        <v>7323</v>
      </c>
      <c r="B4700" s="13">
        <v>46258</v>
      </c>
      <c r="C4700">
        <v>2026</v>
      </c>
      <c r="D4700">
        <v>8</v>
      </c>
      <c r="E4700" t="s">
        <v>4301</v>
      </c>
      <c r="F4700" t="s">
        <v>4047</v>
      </c>
      <c r="G4700" t="s">
        <v>2247</v>
      </c>
      <c r="H4700" t="s">
        <v>2248</v>
      </c>
      <c r="I4700" t="s">
        <v>86</v>
      </c>
      <c r="J4700">
        <v>45</v>
      </c>
      <c r="K4700" t="s">
        <v>82</v>
      </c>
      <c r="L4700" t="s">
        <v>97</v>
      </c>
      <c r="M4700" t="s">
        <v>57</v>
      </c>
      <c r="N4700" t="s">
        <v>2626</v>
      </c>
      <c r="O4700" t="s">
        <v>125</v>
      </c>
      <c r="P4700" t="s">
        <v>48</v>
      </c>
      <c r="Q4700" t="s">
        <v>141</v>
      </c>
      <c r="R4700">
        <v>3</v>
      </c>
      <c r="S4700">
        <v>1999</v>
      </c>
      <c r="T4700">
        <v>0.15</v>
      </c>
      <c r="U4700">
        <v>5097.45</v>
      </c>
      <c r="V4700">
        <v>3450</v>
      </c>
      <c r="W4700">
        <v>1647.45</v>
      </c>
      <c r="X4700" t="s">
        <v>75</v>
      </c>
      <c r="Y4700" t="s">
        <v>68</v>
      </c>
      <c r="Z4700" t="s">
        <v>158</v>
      </c>
      <c r="AA4700" t="s">
        <v>169</v>
      </c>
      <c r="AB4700">
        <v>2.2999999999999998</v>
      </c>
      <c r="AC4700">
        <v>60</v>
      </c>
      <c r="AD4700">
        <v>407.06</v>
      </c>
      <c r="AE4700">
        <f t="shared" si="146"/>
        <v>1180.3900000000001</v>
      </c>
      <c r="AF4700" t="str">
        <f t="shared" si="147"/>
        <v>2026-08</v>
      </c>
      <c r="AG4700">
        <f>SUBTOTAL(103,A4700)</f>
        <v>1</v>
      </c>
    </row>
    <row r="4701" spans="1:33" x14ac:dyDescent="0.3">
      <c r="A4701" t="s">
        <v>7324</v>
      </c>
      <c r="B4701" s="13">
        <v>46258</v>
      </c>
      <c r="C4701">
        <v>2026</v>
      </c>
      <c r="D4701">
        <v>8</v>
      </c>
      <c r="E4701" t="s">
        <v>4301</v>
      </c>
      <c r="F4701" t="s">
        <v>4047</v>
      </c>
      <c r="G4701" t="s">
        <v>431</v>
      </c>
      <c r="H4701" t="s">
        <v>432</v>
      </c>
      <c r="I4701" t="s">
        <v>86</v>
      </c>
      <c r="J4701">
        <v>19</v>
      </c>
      <c r="K4701" t="s">
        <v>80</v>
      </c>
      <c r="L4701" t="s">
        <v>99</v>
      </c>
      <c r="M4701" t="s">
        <v>58</v>
      </c>
      <c r="N4701" t="s">
        <v>2603</v>
      </c>
      <c r="O4701" t="s">
        <v>122</v>
      </c>
      <c r="P4701" t="s">
        <v>48</v>
      </c>
      <c r="Q4701" t="s">
        <v>141</v>
      </c>
      <c r="R4701">
        <v>2</v>
      </c>
      <c r="S4701">
        <v>2499</v>
      </c>
      <c r="T4701">
        <v>0.05</v>
      </c>
      <c r="U4701">
        <v>4748.1000000000004</v>
      </c>
      <c r="V4701">
        <v>2900</v>
      </c>
      <c r="W4701">
        <v>1848.1</v>
      </c>
      <c r="X4701" t="s">
        <v>77</v>
      </c>
      <c r="Y4701" t="s">
        <v>68</v>
      </c>
      <c r="Z4701" t="s">
        <v>161</v>
      </c>
      <c r="AA4701" t="s">
        <v>171</v>
      </c>
      <c r="AB4701">
        <v>3.7</v>
      </c>
      <c r="AC4701">
        <v>60</v>
      </c>
      <c r="AD4701">
        <v>510.7</v>
      </c>
      <c r="AE4701">
        <f t="shared" si="146"/>
        <v>1277.3999999999999</v>
      </c>
      <c r="AF4701" t="str">
        <f t="shared" si="147"/>
        <v>2026-08</v>
      </c>
      <c r="AG4701">
        <f>SUBTOTAL(103,A4701)</f>
        <v>1</v>
      </c>
    </row>
    <row r="4702" spans="1:33" x14ac:dyDescent="0.3">
      <c r="A4702" t="s">
        <v>7325</v>
      </c>
      <c r="B4702" s="13">
        <v>46258</v>
      </c>
      <c r="C4702">
        <v>2026</v>
      </c>
      <c r="D4702">
        <v>8</v>
      </c>
      <c r="E4702" t="s">
        <v>4301</v>
      </c>
      <c r="F4702" t="s">
        <v>4047</v>
      </c>
      <c r="G4702" t="s">
        <v>729</v>
      </c>
      <c r="H4702" t="s">
        <v>730</v>
      </c>
      <c r="I4702" t="s">
        <v>85</v>
      </c>
      <c r="J4702">
        <v>38</v>
      </c>
      <c r="K4702" t="s">
        <v>82</v>
      </c>
      <c r="L4702" t="s">
        <v>90</v>
      </c>
      <c r="M4702" t="s">
        <v>55</v>
      </c>
      <c r="N4702" t="s">
        <v>2584</v>
      </c>
      <c r="O4702" t="s">
        <v>121</v>
      </c>
      <c r="P4702" t="s">
        <v>50</v>
      </c>
      <c r="Q4702" t="s">
        <v>144</v>
      </c>
      <c r="R4702">
        <v>1</v>
      </c>
      <c r="S4702">
        <v>2999</v>
      </c>
      <c r="T4702">
        <v>0</v>
      </c>
      <c r="U4702">
        <v>2999</v>
      </c>
      <c r="V4702">
        <v>1700</v>
      </c>
      <c r="W4702">
        <v>1299</v>
      </c>
      <c r="X4702" t="s">
        <v>73</v>
      </c>
      <c r="Y4702" t="s">
        <v>68</v>
      </c>
      <c r="Z4702" t="s">
        <v>160</v>
      </c>
      <c r="AA4702" t="s">
        <v>171</v>
      </c>
      <c r="AB4702">
        <v>4.3</v>
      </c>
      <c r="AC4702">
        <v>60</v>
      </c>
      <c r="AD4702">
        <v>292.36</v>
      </c>
      <c r="AE4702">
        <f t="shared" si="146"/>
        <v>946.64</v>
      </c>
      <c r="AF4702" t="str">
        <f t="shared" si="147"/>
        <v>2026-08</v>
      </c>
      <c r="AG4702">
        <f>SUBTOTAL(103,A4702)</f>
        <v>1</v>
      </c>
    </row>
    <row r="4703" spans="1:33" x14ac:dyDescent="0.3">
      <c r="A4703" t="s">
        <v>7326</v>
      </c>
      <c r="B4703" s="13">
        <v>46258</v>
      </c>
      <c r="C4703">
        <v>2026</v>
      </c>
      <c r="D4703">
        <v>8</v>
      </c>
      <c r="E4703" t="s">
        <v>4301</v>
      </c>
      <c r="F4703" t="s">
        <v>4047</v>
      </c>
      <c r="G4703" t="s">
        <v>2061</v>
      </c>
      <c r="H4703" t="s">
        <v>2062</v>
      </c>
      <c r="I4703" t="s">
        <v>85</v>
      </c>
      <c r="J4703">
        <v>18</v>
      </c>
      <c r="K4703" t="s">
        <v>80</v>
      </c>
      <c r="L4703" t="s">
        <v>98</v>
      </c>
      <c r="M4703" t="s">
        <v>55</v>
      </c>
      <c r="N4703" t="s">
        <v>2596</v>
      </c>
      <c r="O4703" t="s">
        <v>124</v>
      </c>
      <c r="P4703" t="s">
        <v>51</v>
      </c>
      <c r="Q4703" t="s">
        <v>147</v>
      </c>
      <c r="R4703">
        <v>1</v>
      </c>
      <c r="S4703">
        <v>2299</v>
      </c>
      <c r="T4703">
        <v>0.15</v>
      </c>
      <c r="U4703">
        <v>1954.15</v>
      </c>
      <c r="V4703">
        <v>1200</v>
      </c>
      <c r="W4703">
        <v>754.15</v>
      </c>
      <c r="X4703" t="s">
        <v>73</v>
      </c>
      <c r="Y4703" t="s">
        <v>68</v>
      </c>
      <c r="Z4703" t="s">
        <v>159</v>
      </c>
      <c r="AA4703" t="s">
        <v>166</v>
      </c>
      <c r="AB4703">
        <v>5</v>
      </c>
      <c r="AC4703">
        <v>80</v>
      </c>
      <c r="AD4703">
        <v>134.15</v>
      </c>
      <c r="AE4703">
        <f t="shared" si="146"/>
        <v>540</v>
      </c>
      <c r="AF4703" t="str">
        <f t="shared" si="147"/>
        <v>2026-08</v>
      </c>
      <c r="AG4703">
        <f>SUBTOTAL(103,A4703)</f>
        <v>1</v>
      </c>
    </row>
    <row r="4704" spans="1:33" x14ac:dyDescent="0.3">
      <c r="A4704" t="s">
        <v>7327</v>
      </c>
      <c r="B4704" s="13">
        <v>46258</v>
      </c>
      <c r="C4704">
        <v>2026</v>
      </c>
      <c r="D4704">
        <v>8</v>
      </c>
      <c r="E4704" t="s">
        <v>4301</v>
      </c>
      <c r="F4704" t="s">
        <v>4047</v>
      </c>
      <c r="G4704" t="s">
        <v>875</v>
      </c>
      <c r="H4704" t="s">
        <v>876</v>
      </c>
      <c r="I4704" t="s">
        <v>85</v>
      </c>
      <c r="J4704">
        <v>45</v>
      </c>
      <c r="K4704" t="s">
        <v>82</v>
      </c>
      <c r="L4704" t="s">
        <v>2674</v>
      </c>
      <c r="M4704" t="s">
        <v>58</v>
      </c>
      <c r="N4704" t="s">
        <v>2582</v>
      </c>
      <c r="O4704" t="s">
        <v>119</v>
      </c>
      <c r="P4704" t="s">
        <v>49</v>
      </c>
      <c r="Q4704" t="s">
        <v>140</v>
      </c>
      <c r="R4704">
        <v>3</v>
      </c>
      <c r="S4704">
        <v>3499</v>
      </c>
      <c r="T4704">
        <v>0.15</v>
      </c>
      <c r="U4704">
        <v>8922.4500000000007</v>
      </c>
      <c r="V4704">
        <v>6300</v>
      </c>
      <c r="W4704">
        <v>2622.45</v>
      </c>
      <c r="X4704" t="s">
        <v>73</v>
      </c>
      <c r="Y4704" t="s">
        <v>68</v>
      </c>
      <c r="Z4704" t="s">
        <v>159</v>
      </c>
      <c r="AA4704" t="s">
        <v>168</v>
      </c>
      <c r="AB4704">
        <v>3.6</v>
      </c>
      <c r="AC4704">
        <v>40</v>
      </c>
      <c r="AD4704">
        <v>1017.78</v>
      </c>
      <c r="AE4704">
        <f t="shared" si="146"/>
        <v>1564.6699999999998</v>
      </c>
      <c r="AF4704" t="str">
        <f t="shared" si="147"/>
        <v>2026-08</v>
      </c>
      <c r="AG4704">
        <f>SUBTOTAL(103,A4704)</f>
        <v>1</v>
      </c>
    </row>
    <row r="4705" spans="1:33" x14ac:dyDescent="0.3">
      <c r="A4705" t="s">
        <v>7328</v>
      </c>
      <c r="B4705" s="13">
        <v>46258</v>
      </c>
      <c r="C4705">
        <v>2026</v>
      </c>
      <c r="D4705">
        <v>8</v>
      </c>
      <c r="E4705" t="s">
        <v>4301</v>
      </c>
      <c r="F4705" t="s">
        <v>4047</v>
      </c>
      <c r="G4705" t="s">
        <v>609</v>
      </c>
      <c r="H4705" t="s">
        <v>610</v>
      </c>
      <c r="I4705" t="s">
        <v>86</v>
      </c>
      <c r="J4705">
        <v>29</v>
      </c>
      <c r="K4705" t="s">
        <v>81</v>
      </c>
      <c r="L4705" t="s">
        <v>97</v>
      </c>
      <c r="M4705" t="s">
        <v>57</v>
      </c>
      <c r="N4705" t="s">
        <v>2653</v>
      </c>
      <c r="O4705" t="s">
        <v>132</v>
      </c>
      <c r="P4705" t="s">
        <v>52</v>
      </c>
      <c r="Q4705" t="s">
        <v>150</v>
      </c>
      <c r="R4705">
        <v>3</v>
      </c>
      <c r="S4705">
        <v>899</v>
      </c>
      <c r="T4705">
        <v>0.05</v>
      </c>
      <c r="U4705">
        <v>2562.15</v>
      </c>
      <c r="V4705">
        <v>1260</v>
      </c>
      <c r="W4705">
        <v>1302.1500000000001</v>
      </c>
      <c r="X4705" t="s">
        <v>73</v>
      </c>
      <c r="Y4705" t="s">
        <v>68</v>
      </c>
      <c r="Z4705" t="s">
        <v>159</v>
      </c>
      <c r="AA4705" t="s">
        <v>170</v>
      </c>
      <c r="AB4705">
        <v>3</v>
      </c>
      <c r="AC4705">
        <v>100</v>
      </c>
      <c r="AD4705">
        <v>166.15</v>
      </c>
      <c r="AE4705">
        <f t="shared" si="146"/>
        <v>1036</v>
      </c>
      <c r="AF4705" t="str">
        <f t="shared" si="147"/>
        <v>2026-08</v>
      </c>
      <c r="AG4705">
        <f>SUBTOTAL(103,A4705)</f>
        <v>1</v>
      </c>
    </row>
    <row r="4706" spans="1:33" x14ac:dyDescent="0.3">
      <c r="A4706" t="s">
        <v>7329</v>
      </c>
      <c r="B4706" s="13">
        <v>46258</v>
      </c>
      <c r="C4706">
        <v>2026</v>
      </c>
      <c r="D4706">
        <v>8</v>
      </c>
      <c r="E4706" t="s">
        <v>4301</v>
      </c>
      <c r="F4706" t="s">
        <v>4047</v>
      </c>
      <c r="G4706" t="s">
        <v>1121</v>
      </c>
      <c r="H4706" t="s">
        <v>1122</v>
      </c>
      <c r="I4706" t="s">
        <v>85</v>
      </c>
      <c r="J4706">
        <v>38</v>
      </c>
      <c r="K4706" t="s">
        <v>82</v>
      </c>
      <c r="L4706" t="s">
        <v>100</v>
      </c>
      <c r="M4706" t="s">
        <v>56</v>
      </c>
      <c r="N4706" t="s">
        <v>2590</v>
      </c>
      <c r="O4706" t="s">
        <v>127</v>
      </c>
      <c r="P4706" t="s">
        <v>51</v>
      </c>
      <c r="Q4706" t="s">
        <v>148</v>
      </c>
      <c r="R4706">
        <v>3</v>
      </c>
      <c r="S4706">
        <v>1599</v>
      </c>
      <c r="T4706">
        <v>0.1</v>
      </c>
      <c r="U4706">
        <v>4317.3</v>
      </c>
      <c r="V4706">
        <v>2400</v>
      </c>
      <c r="W4706">
        <v>1917.3</v>
      </c>
      <c r="X4706" t="s">
        <v>75</v>
      </c>
      <c r="Y4706" t="s">
        <v>68</v>
      </c>
      <c r="Z4706" t="s">
        <v>158</v>
      </c>
      <c r="AA4706" t="s">
        <v>166</v>
      </c>
      <c r="AB4706">
        <v>4.0999999999999996</v>
      </c>
      <c r="AC4706">
        <v>120</v>
      </c>
      <c r="AD4706">
        <v>100.34</v>
      </c>
      <c r="AE4706">
        <f t="shared" si="146"/>
        <v>1696.96</v>
      </c>
      <c r="AF4706" t="str">
        <f t="shared" si="147"/>
        <v>2026-08</v>
      </c>
      <c r="AG4706">
        <f>SUBTOTAL(103,A4706)</f>
        <v>1</v>
      </c>
    </row>
    <row r="4707" spans="1:33" x14ac:dyDescent="0.3">
      <c r="A4707" t="s">
        <v>7330</v>
      </c>
      <c r="B4707" s="13">
        <v>46258</v>
      </c>
      <c r="C4707">
        <v>2026</v>
      </c>
      <c r="D4707">
        <v>8</v>
      </c>
      <c r="E4707" t="s">
        <v>4301</v>
      </c>
      <c r="F4707" t="s">
        <v>4047</v>
      </c>
      <c r="G4707" t="s">
        <v>1479</v>
      </c>
      <c r="H4707" t="s">
        <v>1480</v>
      </c>
      <c r="I4707" t="s">
        <v>86</v>
      </c>
      <c r="J4707">
        <v>54</v>
      </c>
      <c r="K4707" t="s">
        <v>83</v>
      </c>
      <c r="L4707" t="s">
        <v>93</v>
      </c>
      <c r="M4707" t="s">
        <v>55</v>
      </c>
      <c r="N4707" t="s">
        <v>2630</v>
      </c>
      <c r="O4707" t="s">
        <v>123</v>
      </c>
      <c r="P4707" t="s">
        <v>52</v>
      </c>
      <c r="Q4707" t="s">
        <v>146</v>
      </c>
      <c r="R4707">
        <v>2</v>
      </c>
      <c r="S4707">
        <v>2499</v>
      </c>
      <c r="T4707">
        <v>0</v>
      </c>
      <c r="U4707">
        <v>4998</v>
      </c>
      <c r="V4707">
        <v>2800</v>
      </c>
      <c r="W4707">
        <v>2198</v>
      </c>
      <c r="X4707" t="s">
        <v>74</v>
      </c>
      <c r="Y4707" t="s">
        <v>69</v>
      </c>
      <c r="Z4707" t="s">
        <v>161</v>
      </c>
      <c r="AA4707" t="s">
        <v>167</v>
      </c>
      <c r="AB4707">
        <v>3.6</v>
      </c>
      <c r="AC4707">
        <v>60</v>
      </c>
      <c r="AD4707">
        <v>152.76</v>
      </c>
      <c r="AE4707">
        <f t="shared" si="146"/>
        <v>1985.24</v>
      </c>
      <c r="AF4707" t="str">
        <f t="shared" si="147"/>
        <v>2026-08</v>
      </c>
      <c r="AG4707">
        <f>SUBTOTAL(103,A4707)</f>
        <v>1</v>
      </c>
    </row>
    <row r="4708" spans="1:33" x14ac:dyDescent="0.3">
      <c r="A4708" t="s">
        <v>7331</v>
      </c>
      <c r="B4708" s="13">
        <v>46258</v>
      </c>
      <c r="C4708">
        <v>2026</v>
      </c>
      <c r="D4708">
        <v>8</v>
      </c>
      <c r="E4708" t="s">
        <v>4301</v>
      </c>
      <c r="F4708" t="s">
        <v>4047</v>
      </c>
      <c r="G4708" t="s">
        <v>1107</v>
      </c>
      <c r="H4708" t="s">
        <v>1108</v>
      </c>
      <c r="I4708" t="s">
        <v>85</v>
      </c>
      <c r="J4708">
        <v>54</v>
      </c>
      <c r="K4708" t="s">
        <v>83</v>
      </c>
      <c r="L4708" t="s">
        <v>2661</v>
      </c>
      <c r="M4708" t="s">
        <v>58</v>
      </c>
      <c r="N4708" t="s">
        <v>2574</v>
      </c>
      <c r="O4708" t="s">
        <v>130</v>
      </c>
      <c r="P4708" t="s">
        <v>50</v>
      </c>
      <c r="Q4708" t="s">
        <v>53</v>
      </c>
      <c r="R4708">
        <v>1</v>
      </c>
      <c r="S4708">
        <v>1199</v>
      </c>
      <c r="T4708">
        <v>0</v>
      </c>
      <c r="U4708">
        <v>1199</v>
      </c>
      <c r="V4708">
        <v>550</v>
      </c>
      <c r="W4708">
        <v>649</v>
      </c>
      <c r="X4708" t="s">
        <v>73</v>
      </c>
      <c r="Y4708" t="s">
        <v>68</v>
      </c>
      <c r="Z4708" t="s">
        <v>162</v>
      </c>
      <c r="AA4708" t="s">
        <v>167</v>
      </c>
      <c r="AB4708">
        <v>4.5</v>
      </c>
      <c r="AC4708">
        <v>50</v>
      </c>
      <c r="AD4708">
        <v>43.82</v>
      </c>
      <c r="AE4708">
        <f t="shared" si="146"/>
        <v>555.17999999999995</v>
      </c>
      <c r="AF4708" t="str">
        <f t="shared" si="147"/>
        <v>2026-08</v>
      </c>
      <c r="AG4708">
        <f>SUBTOTAL(103,A4708)</f>
        <v>1</v>
      </c>
    </row>
    <row r="4709" spans="1:33" x14ac:dyDescent="0.3">
      <c r="A4709" t="s">
        <v>7332</v>
      </c>
      <c r="B4709" s="13">
        <v>46258</v>
      </c>
      <c r="C4709">
        <v>2026</v>
      </c>
      <c r="D4709">
        <v>8</v>
      </c>
      <c r="E4709" t="s">
        <v>4301</v>
      </c>
      <c r="F4709" t="s">
        <v>4047</v>
      </c>
      <c r="G4709" t="s">
        <v>1851</v>
      </c>
      <c r="H4709" t="s">
        <v>1852</v>
      </c>
      <c r="I4709" t="s">
        <v>86</v>
      </c>
      <c r="J4709">
        <v>29</v>
      </c>
      <c r="K4709" t="s">
        <v>81</v>
      </c>
      <c r="L4709" t="s">
        <v>95</v>
      </c>
      <c r="M4709" t="s">
        <v>56</v>
      </c>
      <c r="N4709" t="s">
        <v>2582</v>
      </c>
      <c r="O4709" t="s">
        <v>119</v>
      </c>
      <c r="P4709" t="s">
        <v>49</v>
      </c>
      <c r="Q4709" t="s">
        <v>140</v>
      </c>
      <c r="R4709">
        <v>3</v>
      </c>
      <c r="S4709">
        <v>3499</v>
      </c>
      <c r="T4709">
        <v>0.1</v>
      </c>
      <c r="U4709">
        <v>9447.2999999999993</v>
      </c>
      <c r="V4709">
        <v>6300</v>
      </c>
      <c r="W4709">
        <v>3147.3</v>
      </c>
      <c r="X4709" t="s">
        <v>73</v>
      </c>
      <c r="Y4709" t="s">
        <v>68</v>
      </c>
      <c r="Z4709" t="s">
        <v>158</v>
      </c>
      <c r="AA4709" t="s">
        <v>169</v>
      </c>
      <c r="AB4709">
        <v>4.7</v>
      </c>
      <c r="AC4709">
        <v>100</v>
      </c>
      <c r="AD4709">
        <v>633.12</v>
      </c>
      <c r="AE4709">
        <f t="shared" si="146"/>
        <v>2414.1800000000003</v>
      </c>
      <c r="AF4709" t="str">
        <f t="shared" si="147"/>
        <v>2026-08</v>
      </c>
      <c r="AG4709">
        <f>SUBTOTAL(103,A4709)</f>
        <v>1</v>
      </c>
    </row>
    <row r="4710" spans="1:33" x14ac:dyDescent="0.3">
      <c r="A4710" t="s">
        <v>7333</v>
      </c>
      <c r="B4710" s="13">
        <v>46258</v>
      </c>
      <c r="C4710">
        <v>2026</v>
      </c>
      <c r="D4710">
        <v>8</v>
      </c>
      <c r="E4710" t="s">
        <v>4301</v>
      </c>
      <c r="F4710" t="s">
        <v>4047</v>
      </c>
      <c r="G4710" t="s">
        <v>1359</v>
      </c>
      <c r="H4710" t="s">
        <v>1360</v>
      </c>
      <c r="I4710" t="s">
        <v>86</v>
      </c>
      <c r="J4710">
        <v>48</v>
      </c>
      <c r="K4710" t="s">
        <v>83</v>
      </c>
      <c r="L4710" t="s">
        <v>2623</v>
      </c>
      <c r="M4710" t="s">
        <v>61</v>
      </c>
      <c r="N4710" t="s">
        <v>2657</v>
      </c>
      <c r="O4710" t="s">
        <v>134</v>
      </c>
      <c r="P4710" t="s">
        <v>49</v>
      </c>
      <c r="Q4710" t="s">
        <v>140</v>
      </c>
      <c r="R4710">
        <v>2</v>
      </c>
      <c r="S4710">
        <v>599</v>
      </c>
      <c r="T4710">
        <v>0</v>
      </c>
      <c r="U4710">
        <v>1198</v>
      </c>
      <c r="V4710">
        <v>500</v>
      </c>
      <c r="W4710">
        <v>698</v>
      </c>
      <c r="X4710" t="s">
        <v>73</v>
      </c>
      <c r="Y4710" t="s">
        <v>68</v>
      </c>
      <c r="Z4710" t="s">
        <v>159</v>
      </c>
      <c r="AA4710" t="s">
        <v>167</v>
      </c>
      <c r="AB4710">
        <v>4.0999999999999996</v>
      </c>
      <c r="AC4710">
        <v>80</v>
      </c>
      <c r="AD4710">
        <v>136.41</v>
      </c>
      <c r="AE4710">
        <f t="shared" si="146"/>
        <v>481.59000000000003</v>
      </c>
      <c r="AF4710" t="str">
        <f t="shared" si="147"/>
        <v>2026-08</v>
      </c>
      <c r="AG4710">
        <f>SUBTOTAL(103,A4710)</f>
        <v>1</v>
      </c>
    </row>
    <row r="4711" spans="1:33" x14ac:dyDescent="0.3">
      <c r="A4711" t="s">
        <v>7334</v>
      </c>
      <c r="B4711" s="13">
        <v>46259</v>
      </c>
      <c r="C4711">
        <v>2026</v>
      </c>
      <c r="D4711">
        <v>8</v>
      </c>
      <c r="E4711" t="s">
        <v>4301</v>
      </c>
      <c r="F4711" t="s">
        <v>4047</v>
      </c>
      <c r="G4711" t="s">
        <v>861</v>
      </c>
      <c r="H4711" t="s">
        <v>862</v>
      </c>
      <c r="I4711" t="s">
        <v>85</v>
      </c>
      <c r="J4711">
        <v>39</v>
      </c>
      <c r="K4711" t="s">
        <v>82</v>
      </c>
      <c r="L4711" t="s">
        <v>59</v>
      </c>
      <c r="M4711" t="s">
        <v>59</v>
      </c>
      <c r="N4711" t="s">
        <v>2665</v>
      </c>
      <c r="O4711" t="s">
        <v>128</v>
      </c>
      <c r="P4711" t="s">
        <v>53</v>
      </c>
      <c r="Q4711" t="s">
        <v>143</v>
      </c>
      <c r="R4711">
        <v>1</v>
      </c>
      <c r="S4711">
        <v>1499</v>
      </c>
      <c r="T4711">
        <v>0.05</v>
      </c>
      <c r="U4711">
        <v>1424.05</v>
      </c>
      <c r="V4711">
        <v>800</v>
      </c>
      <c r="W4711">
        <v>624.04999999999995</v>
      </c>
      <c r="X4711" t="s">
        <v>74</v>
      </c>
      <c r="Y4711" t="s">
        <v>68</v>
      </c>
      <c r="Z4711" t="s">
        <v>160</v>
      </c>
      <c r="AA4711" t="s">
        <v>166</v>
      </c>
      <c r="AB4711">
        <v>3.8</v>
      </c>
      <c r="AC4711">
        <v>80</v>
      </c>
      <c r="AD4711">
        <v>98.31</v>
      </c>
      <c r="AE4711">
        <f t="shared" si="146"/>
        <v>445.73999999999995</v>
      </c>
      <c r="AF4711" t="str">
        <f t="shared" si="147"/>
        <v>2026-08</v>
      </c>
      <c r="AG4711">
        <f>SUBTOTAL(103,A4711)</f>
        <v>1</v>
      </c>
    </row>
    <row r="4712" spans="1:33" x14ac:dyDescent="0.3">
      <c r="A4712" t="s">
        <v>7335</v>
      </c>
      <c r="B4712" s="13">
        <v>46259</v>
      </c>
      <c r="C4712">
        <v>2026</v>
      </c>
      <c r="D4712">
        <v>8</v>
      </c>
      <c r="E4712" t="s">
        <v>4301</v>
      </c>
      <c r="F4712" t="s">
        <v>4047</v>
      </c>
      <c r="G4712" t="s">
        <v>1079</v>
      </c>
      <c r="H4712" t="s">
        <v>1080</v>
      </c>
      <c r="I4712" t="s">
        <v>85</v>
      </c>
      <c r="J4712">
        <v>52</v>
      </c>
      <c r="K4712" t="s">
        <v>83</v>
      </c>
      <c r="L4712" t="s">
        <v>92</v>
      </c>
      <c r="M4712" t="s">
        <v>59</v>
      </c>
      <c r="N4712" t="s">
        <v>2657</v>
      </c>
      <c r="O4712" t="s">
        <v>134</v>
      </c>
      <c r="P4712" t="s">
        <v>49</v>
      </c>
      <c r="Q4712" t="s">
        <v>140</v>
      </c>
      <c r="R4712">
        <v>1</v>
      </c>
      <c r="S4712">
        <v>599</v>
      </c>
      <c r="T4712">
        <v>0.1</v>
      </c>
      <c r="U4712">
        <v>539.1</v>
      </c>
      <c r="V4712">
        <v>250</v>
      </c>
      <c r="W4712">
        <v>289.10000000000002</v>
      </c>
      <c r="X4712" t="s">
        <v>73</v>
      </c>
      <c r="Y4712" t="s">
        <v>68</v>
      </c>
      <c r="Z4712" t="s">
        <v>161</v>
      </c>
      <c r="AA4712" t="s">
        <v>169</v>
      </c>
      <c r="AB4712">
        <v>3.4</v>
      </c>
      <c r="AC4712">
        <v>80</v>
      </c>
      <c r="AD4712">
        <v>20</v>
      </c>
      <c r="AE4712">
        <f t="shared" si="146"/>
        <v>189.10000000000002</v>
      </c>
      <c r="AF4712" t="str">
        <f t="shared" si="147"/>
        <v>2026-08</v>
      </c>
      <c r="AG4712">
        <f>SUBTOTAL(103,A4712)</f>
        <v>1</v>
      </c>
    </row>
    <row r="4713" spans="1:33" x14ac:dyDescent="0.3">
      <c r="A4713" t="s">
        <v>7336</v>
      </c>
      <c r="B4713" s="13">
        <v>46259</v>
      </c>
      <c r="C4713">
        <v>2026</v>
      </c>
      <c r="D4713">
        <v>8</v>
      </c>
      <c r="E4713" t="s">
        <v>4301</v>
      </c>
      <c r="F4713" t="s">
        <v>4047</v>
      </c>
      <c r="G4713" t="s">
        <v>655</v>
      </c>
      <c r="H4713" t="s">
        <v>656</v>
      </c>
      <c r="I4713" t="s">
        <v>85</v>
      </c>
      <c r="J4713">
        <v>28</v>
      </c>
      <c r="K4713" t="s">
        <v>81</v>
      </c>
      <c r="L4713" t="s">
        <v>99</v>
      </c>
      <c r="M4713" t="s">
        <v>58</v>
      </c>
      <c r="N4713" t="s">
        <v>2653</v>
      </c>
      <c r="O4713" t="s">
        <v>132</v>
      </c>
      <c r="P4713" t="s">
        <v>52</v>
      </c>
      <c r="Q4713" t="s">
        <v>150</v>
      </c>
      <c r="R4713">
        <v>4</v>
      </c>
      <c r="S4713">
        <v>899</v>
      </c>
      <c r="T4713">
        <v>0.1</v>
      </c>
      <c r="U4713">
        <v>3236.4</v>
      </c>
      <c r="V4713">
        <v>1680</v>
      </c>
      <c r="W4713">
        <v>1556.4</v>
      </c>
      <c r="X4713" t="s">
        <v>74</v>
      </c>
      <c r="Y4713" t="s">
        <v>68</v>
      </c>
      <c r="Z4713" t="s">
        <v>162</v>
      </c>
      <c r="AA4713" t="s">
        <v>170</v>
      </c>
      <c r="AB4713">
        <v>4.4000000000000004</v>
      </c>
      <c r="AC4713">
        <v>100</v>
      </c>
      <c r="AD4713">
        <v>141.30000000000001</v>
      </c>
      <c r="AE4713">
        <f t="shared" si="146"/>
        <v>1315.1000000000001</v>
      </c>
      <c r="AF4713" t="str">
        <f t="shared" si="147"/>
        <v>2026-08</v>
      </c>
      <c r="AG4713">
        <f>SUBTOTAL(103,A4713)</f>
        <v>1</v>
      </c>
    </row>
    <row r="4714" spans="1:33" x14ac:dyDescent="0.3">
      <c r="A4714" t="s">
        <v>7337</v>
      </c>
      <c r="B4714" s="13">
        <v>46259</v>
      </c>
      <c r="C4714">
        <v>2026</v>
      </c>
      <c r="D4714">
        <v>8</v>
      </c>
      <c r="E4714" t="s">
        <v>4301</v>
      </c>
      <c r="F4714" t="s">
        <v>4047</v>
      </c>
      <c r="G4714" t="s">
        <v>1455</v>
      </c>
      <c r="H4714" t="s">
        <v>1456</v>
      </c>
      <c r="I4714" t="s">
        <v>86</v>
      </c>
      <c r="J4714">
        <v>58</v>
      </c>
      <c r="K4714" t="s">
        <v>83</v>
      </c>
      <c r="L4714" t="s">
        <v>2634</v>
      </c>
      <c r="M4714" t="s">
        <v>56</v>
      </c>
      <c r="N4714" t="s">
        <v>2590</v>
      </c>
      <c r="O4714" t="s">
        <v>127</v>
      </c>
      <c r="P4714" t="s">
        <v>51</v>
      </c>
      <c r="Q4714" t="s">
        <v>148</v>
      </c>
      <c r="R4714">
        <v>1</v>
      </c>
      <c r="S4714">
        <v>1599</v>
      </c>
      <c r="T4714">
        <v>0</v>
      </c>
      <c r="U4714">
        <v>1599</v>
      </c>
      <c r="V4714">
        <v>800</v>
      </c>
      <c r="W4714">
        <v>799</v>
      </c>
      <c r="X4714" t="s">
        <v>73</v>
      </c>
      <c r="Y4714" t="s">
        <v>68</v>
      </c>
      <c r="Z4714" t="s">
        <v>159</v>
      </c>
      <c r="AA4714" t="s">
        <v>166</v>
      </c>
      <c r="AB4714">
        <v>3.2</v>
      </c>
      <c r="AC4714">
        <v>80</v>
      </c>
      <c r="AD4714">
        <v>152.68</v>
      </c>
      <c r="AE4714">
        <f t="shared" si="146"/>
        <v>566.31999999999994</v>
      </c>
      <c r="AF4714" t="str">
        <f t="shared" si="147"/>
        <v>2026-08</v>
      </c>
      <c r="AG4714">
        <f>SUBTOTAL(103,A4714)</f>
        <v>1</v>
      </c>
    </row>
    <row r="4715" spans="1:33" x14ac:dyDescent="0.3">
      <c r="A4715" t="s">
        <v>7338</v>
      </c>
      <c r="B4715" s="13">
        <v>46259</v>
      </c>
      <c r="C4715">
        <v>2026</v>
      </c>
      <c r="D4715">
        <v>8</v>
      </c>
      <c r="E4715" t="s">
        <v>4301</v>
      </c>
      <c r="F4715" t="s">
        <v>4047</v>
      </c>
      <c r="G4715" t="s">
        <v>2367</v>
      </c>
      <c r="H4715" t="s">
        <v>2368</v>
      </c>
      <c r="I4715" t="s">
        <v>85</v>
      </c>
      <c r="J4715">
        <v>49</v>
      </c>
      <c r="K4715" t="s">
        <v>83</v>
      </c>
      <c r="L4715" t="s">
        <v>99</v>
      </c>
      <c r="M4715" t="s">
        <v>58</v>
      </c>
      <c r="N4715" t="s">
        <v>2577</v>
      </c>
      <c r="O4715" t="s">
        <v>129</v>
      </c>
      <c r="P4715" t="s">
        <v>49</v>
      </c>
      <c r="Q4715" t="s">
        <v>149</v>
      </c>
      <c r="R4715">
        <v>1</v>
      </c>
      <c r="S4715">
        <v>1299</v>
      </c>
      <c r="T4715">
        <v>0</v>
      </c>
      <c r="U4715">
        <v>1299</v>
      </c>
      <c r="V4715">
        <v>650</v>
      </c>
      <c r="W4715">
        <v>649</v>
      </c>
      <c r="X4715" t="s">
        <v>77</v>
      </c>
      <c r="Y4715" t="s">
        <v>68</v>
      </c>
      <c r="Z4715" t="s">
        <v>163</v>
      </c>
      <c r="AA4715" t="s">
        <v>166</v>
      </c>
      <c r="AB4715">
        <v>4</v>
      </c>
      <c r="AC4715">
        <v>60</v>
      </c>
      <c r="AD4715">
        <v>148.27000000000001</v>
      </c>
      <c r="AE4715">
        <f t="shared" si="146"/>
        <v>440.73</v>
      </c>
      <c r="AF4715" t="str">
        <f t="shared" si="147"/>
        <v>2026-08</v>
      </c>
      <c r="AG4715">
        <f>SUBTOTAL(103,A4715)</f>
        <v>1</v>
      </c>
    </row>
    <row r="4716" spans="1:33" x14ac:dyDescent="0.3">
      <c r="A4716" t="s">
        <v>7339</v>
      </c>
      <c r="B4716" s="13">
        <v>46259</v>
      </c>
      <c r="C4716">
        <v>2026</v>
      </c>
      <c r="D4716">
        <v>8</v>
      </c>
      <c r="E4716" t="s">
        <v>4301</v>
      </c>
      <c r="F4716" t="s">
        <v>4047</v>
      </c>
      <c r="G4716" t="s">
        <v>975</v>
      </c>
      <c r="H4716" t="s">
        <v>976</v>
      </c>
      <c r="I4716" t="s">
        <v>85</v>
      </c>
      <c r="J4716">
        <v>28</v>
      </c>
      <c r="K4716" t="s">
        <v>81</v>
      </c>
      <c r="L4716" t="s">
        <v>2661</v>
      </c>
      <c r="M4716" t="s">
        <v>58</v>
      </c>
      <c r="N4716" t="s">
        <v>2665</v>
      </c>
      <c r="O4716" t="s">
        <v>128</v>
      </c>
      <c r="P4716" t="s">
        <v>53</v>
      </c>
      <c r="Q4716" t="s">
        <v>143</v>
      </c>
      <c r="R4716">
        <v>1</v>
      </c>
      <c r="S4716">
        <v>1499</v>
      </c>
      <c r="T4716">
        <v>0.05</v>
      </c>
      <c r="U4716">
        <v>0</v>
      </c>
      <c r="V4716">
        <v>0</v>
      </c>
      <c r="W4716">
        <v>0</v>
      </c>
      <c r="X4716" t="s">
        <v>75</v>
      </c>
      <c r="Y4716" t="s">
        <v>71</v>
      </c>
      <c r="Z4716" t="s">
        <v>161</v>
      </c>
      <c r="AA4716" t="s">
        <v>166</v>
      </c>
      <c r="AB4716">
        <v>4.8</v>
      </c>
      <c r="AC4716">
        <v>60</v>
      </c>
      <c r="AD4716">
        <v>112.94</v>
      </c>
      <c r="AE4716">
        <f t="shared" si="146"/>
        <v>-172.94</v>
      </c>
      <c r="AF4716" t="str">
        <f t="shared" si="147"/>
        <v>2026-08</v>
      </c>
      <c r="AG4716">
        <f>SUBTOTAL(103,A4716)</f>
        <v>1</v>
      </c>
    </row>
    <row r="4717" spans="1:33" x14ac:dyDescent="0.3">
      <c r="A4717" t="s">
        <v>7340</v>
      </c>
      <c r="B4717" s="13">
        <v>46259</v>
      </c>
      <c r="C4717">
        <v>2026</v>
      </c>
      <c r="D4717">
        <v>8</v>
      </c>
      <c r="E4717" t="s">
        <v>4301</v>
      </c>
      <c r="F4717" t="s">
        <v>4047</v>
      </c>
      <c r="G4717" t="s">
        <v>1441</v>
      </c>
      <c r="H4717" t="s">
        <v>1442</v>
      </c>
      <c r="I4717" t="s">
        <v>86</v>
      </c>
      <c r="J4717">
        <v>40</v>
      </c>
      <c r="K4717" t="s">
        <v>82</v>
      </c>
      <c r="L4717" t="s">
        <v>91</v>
      </c>
      <c r="M4717" t="s">
        <v>55</v>
      </c>
      <c r="N4717" t="s">
        <v>2596</v>
      </c>
      <c r="O4717" t="s">
        <v>124</v>
      </c>
      <c r="P4717" t="s">
        <v>51</v>
      </c>
      <c r="Q4717" t="s">
        <v>147</v>
      </c>
      <c r="R4717">
        <v>2</v>
      </c>
      <c r="S4717">
        <v>2299</v>
      </c>
      <c r="T4717">
        <v>0</v>
      </c>
      <c r="U4717">
        <v>4598</v>
      </c>
      <c r="V4717">
        <v>2400</v>
      </c>
      <c r="W4717">
        <v>2198</v>
      </c>
      <c r="X4717" t="s">
        <v>73</v>
      </c>
      <c r="Y4717" t="s">
        <v>68</v>
      </c>
      <c r="Z4717" t="s">
        <v>162</v>
      </c>
      <c r="AA4717" t="s">
        <v>166</v>
      </c>
      <c r="AB4717">
        <v>3.9</v>
      </c>
      <c r="AC4717">
        <v>40</v>
      </c>
      <c r="AD4717">
        <v>404.29</v>
      </c>
      <c r="AE4717">
        <f t="shared" si="146"/>
        <v>1753.71</v>
      </c>
      <c r="AF4717" t="str">
        <f t="shared" si="147"/>
        <v>2026-08</v>
      </c>
      <c r="AG4717">
        <f>SUBTOTAL(103,A4717)</f>
        <v>1</v>
      </c>
    </row>
    <row r="4718" spans="1:33" x14ac:dyDescent="0.3">
      <c r="A4718" t="s">
        <v>7341</v>
      </c>
      <c r="B4718" s="13">
        <v>46259</v>
      </c>
      <c r="C4718">
        <v>2026</v>
      </c>
      <c r="D4718">
        <v>8</v>
      </c>
      <c r="E4718" t="s">
        <v>4301</v>
      </c>
      <c r="F4718" t="s">
        <v>4047</v>
      </c>
      <c r="G4718" t="s">
        <v>1407</v>
      </c>
      <c r="H4718" t="s">
        <v>1408</v>
      </c>
      <c r="I4718" t="s">
        <v>85</v>
      </c>
      <c r="J4718">
        <v>43</v>
      </c>
      <c r="K4718" t="s">
        <v>82</v>
      </c>
      <c r="L4718" t="s">
        <v>2674</v>
      </c>
      <c r="M4718" t="s">
        <v>58</v>
      </c>
      <c r="N4718" t="s">
        <v>2596</v>
      </c>
      <c r="O4718" t="s">
        <v>124</v>
      </c>
      <c r="P4718" t="s">
        <v>51</v>
      </c>
      <c r="Q4718" t="s">
        <v>147</v>
      </c>
      <c r="R4718">
        <v>2</v>
      </c>
      <c r="S4718">
        <v>2299</v>
      </c>
      <c r="T4718">
        <v>0.1</v>
      </c>
      <c r="U4718">
        <v>4138.2</v>
      </c>
      <c r="V4718">
        <v>2400</v>
      </c>
      <c r="W4718">
        <v>1738.2</v>
      </c>
      <c r="X4718" t="s">
        <v>73</v>
      </c>
      <c r="Y4718" t="s">
        <v>68</v>
      </c>
      <c r="Z4718" t="s">
        <v>160</v>
      </c>
      <c r="AA4718" t="s">
        <v>166</v>
      </c>
      <c r="AB4718">
        <v>5</v>
      </c>
      <c r="AC4718">
        <v>60</v>
      </c>
      <c r="AD4718">
        <v>219.98</v>
      </c>
      <c r="AE4718">
        <f t="shared" si="146"/>
        <v>1458.22</v>
      </c>
      <c r="AF4718" t="str">
        <f t="shared" si="147"/>
        <v>2026-08</v>
      </c>
      <c r="AG4718">
        <f>SUBTOTAL(103,A4718)</f>
        <v>1</v>
      </c>
    </row>
    <row r="4719" spans="1:33" x14ac:dyDescent="0.3">
      <c r="A4719" t="s">
        <v>7342</v>
      </c>
      <c r="B4719" s="13">
        <v>46259</v>
      </c>
      <c r="C4719">
        <v>2026</v>
      </c>
      <c r="D4719">
        <v>8</v>
      </c>
      <c r="E4719" t="s">
        <v>4301</v>
      </c>
      <c r="F4719" t="s">
        <v>4047</v>
      </c>
      <c r="G4719" t="s">
        <v>715</v>
      </c>
      <c r="H4719" t="s">
        <v>716</v>
      </c>
      <c r="I4719" t="s">
        <v>85</v>
      </c>
      <c r="J4719">
        <v>28</v>
      </c>
      <c r="K4719" t="s">
        <v>81</v>
      </c>
      <c r="L4719" t="s">
        <v>2605</v>
      </c>
      <c r="M4719" t="s">
        <v>60</v>
      </c>
      <c r="N4719" t="s">
        <v>2601</v>
      </c>
      <c r="O4719" t="s">
        <v>117</v>
      </c>
      <c r="P4719" t="s">
        <v>49</v>
      </c>
      <c r="Q4719" t="s">
        <v>139</v>
      </c>
      <c r="R4719">
        <v>4</v>
      </c>
      <c r="S4719">
        <v>6999</v>
      </c>
      <c r="T4719">
        <v>0</v>
      </c>
      <c r="U4719">
        <v>27996</v>
      </c>
      <c r="V4719">
        <v>17200</v>
      </c>
      <c r="W4719">
        <v>10796</v>
      </c>
      <c r="X4719" t="s">
        <v>73</v>
      </c>
      <c r="Y4719" t="s">
        <v>68</v>
      </c>
      <c r="Z4719" t="s">
        <v>160</v>
      </c>
      <c r="AA4719" t="s">
        <v>168</v>
      </c>
      <c r="AB4719">
        <v>4.2</v>
      </c>
      <c r="AC4719">
        <v>50</v>
      </c>
      <c r="AD4719">
        <v>1629.98</v>
      </c>
      <c r="AE4719">
        <f t="shared" si="146"/>
        <v>9116.02</v>
      </c>
      <c r="AF4719" t="str">
        <f t="shared" si="147"/>
        <v>2026-08</v>
      </c>
      <c r="AG4719">
        <f>SUBTOTAL(103,A4719)</f>
        <v>1</v>
      </c>
    </row>
    <row r="4720" spans="1:33" x14ac:dyDescent="0.3">
      <c r="A4720" t="s">
        <v>7343</v>
      </c>
      <c r="B4720" s="13">
        <v>46259</v>
      </c>
      <c r="C4720">
        <v>2026</v>
      </c>
      <c r="D4720">
        <v>8</v>
      </c>
      <c r="E4720" t="s">
        <v>4301</v>
      </c>
      <c r="F4720" t="s">
        <v>4047</v>
      </c>
      <c r="G4720" t="s">
        <v>705</v>
      </c>
      <c r="H4720" t="s">
        <v>706</v>
      </c>
      <c r="I4720" t="s">
        <v>85</v>
      </c>
      <c r="J4720">
        <v>31</v>
      </c>
      <c r="K4720" t="s">
        <v>81</v>
      </c>
      <c r="L4720" t="s">
        <v>2573</v>
      </c>
      <c r="M4720" t="s">
        <v>63</v>
      </c>
      <c r="N4720" t="s">
        <v>2630</v>
      </c>
      <c r="O4720" t="s">
        <v>123</v>
      </c>
      <c r="P4720" t="s">
        <v>52</v>
      </c>
      <c r="Q4720" t="s">
        <v>146</v>
      </c>
      <c r="R4720">
        <v>2</v>
      </c>
      <c r="S4720">
        <v>2499</v>
      </c>
      <c r="T4720">
        <v>0.15</v>
      </c>
      <c r="U4720">
        <v>4248.3</v>
      </c>
      <c r="V4720">
        <v>2800</v>
      </c>
      <c r="W4720">
        <v>1448.3</v>
      </c>
      <c r="X4720" t="s">
        <v>75</v>
      </c>
      <c r="Y4720" t="s">
        <v>68</v>
      </c>
      <c r="Z4720" t="s">
        <v>160</v>
      </c>
      <c r="AA4720" t="s">
        <v>166</v>
      </c>
      <c r="AB4720">
        <v>3.2</v>
      </c>
      <c r="AC4720">
        <v>100</v>
      </c>
      <c r="AD4720">
        <v>286.5</v>
      </c>
      <c r="AE4720">
        <f t="shared" si="146"/>
        <v>1061.8</v>
      </c>
      <c r="AF4720" t="str">
        <f t="shared" si="147"/>
        <v>2026-08</v>
      </c>
      <c r="AG4720">
        <f>SUBTOTAL(103,A4720)</f>
        <v>1</v>
      </c>
    </row>
    <row r="4721" spans="1:33" x14ac:dyDescent="0.3">
      <c r="A4721" t="s">
        <v>7344</v>
      </c>
      <c r="B4721" s="13">
        <v>46260</v>
      </c>
      <c r="C4721">
        <v>2026</v>
      </c>
      <c r="D4721">
        <v>8</v>
      </c>
      <c r="E4721" t="s">
        <v>4301</v>
      </c>
      <c r="F4721" t="s">
        <v>4047</v>
      </c>
      <c r="G4721" t="s">
        <v>1791</v>
      </c>
      <c r="H4721" t="s">
        <v>1792</v>
      </c>
      <c r="I4721" t="s">
        <v>85</v>
      </c>
      <c r="J4721">
        <v>26</v>
      </c>
      <c r="K4721" t="s">
        <v>81</v>
      </c>
      <c r="L4721" t="s">
        <v>2579</v>
      </c>
      <c r="M4721" t="s">
        <v>56</v>
      </c>
      <c r="N4721" t="s">
        <v>2584</v>
      </c>
      <c r="O4721" t="s">
        <v>121</v>
      </c>
      <c r="P4721" t="s">
        <v>50</v>
      </c>
      <c r="Q4721" t="s">
        <v>144</v>
      </c>
      <c r="R4721">
        <v>3</v>
      </c>
      <c r="S4721">
        <v>2999</v>
      </c>
      <c r="T4721">
        <v>0.1</v>
      </c>
      <c r="U4721">
        <v>8097.3</v>
      </c>
      <c r="V4721">
        <v>5100</v>
      </c>
      <c r="W4721">
        <v>2997.3</v>
      </c>
      <c r="X4721" t="s">
        <v>73</v>
      </c>
      <c r="Y4721" t="s">
        <v>68</v>
      </c>
      <c r="Z4721" t="s">
        <v>163</v>
      </c>
      <c r="AA4721" t="s">
        <v>170</v>
      </c>
      <c r="AB4721">
        <v>4.7</v>
      </c>
      <c r="AC4721">
        <v>100</v>
      </c>
      <c r="AD4721">
        <v>256.44</v>
      </c>
      <c r="AE4721">
        <f t="shared" si="146"/>
        <v>2640.86</v>
      </c>
      <c r="AF4721" t="str">
        <f t="shared" si="147"/>
        <v>2026-08</v>
      </c>
      <c r="AG4721">
        <f>SUBTOTAL(103,A4721)</f>
        <v>1</v>
      </c>
    </row>
    <row r="4722" spans="1:33" x14ac:dyDescent="0.3">
      <c r="A4722" t="s">
        <v>7345</v>
      </c>
      <c r="B4722" s="13">
        <v>46260</v>
      </c>
      <c r="C4722">
        <v>2026</v>
      </c>
      <c r="D4722">
        <v>8</v>
      </c>
      <c r="E4722" t="s">
        <v>4301</v>
      </c>
      <c r="F4722" t="s">
        <v>4047</v>
      </c>
      <c r="G4722" t="s">
        <v>533</v>
      </c>
      <c r="H4722" t="s">
        <v>534</v>
      </c>
      <c r="I4722" t="s">
        <v>85</v>
      </c>
      <c r="J4722">
        <v>27</v>
      </c>
      <c r="K4722" t="s">
        <v>81</v>
      </c>
      <c r="L4722" t="s">
        <v>2605</v>
      </c>
      <c r="M4722" t="s">
        <v>60</v>
      </c>
      <c r="N4722" t="s">
        <v>2584</v>
      </c>
      <c r="O4722" t="s">
        <v>121</v>
      </c>
      <c r="P4722" t="s">
        <v>50</v>
      </c>
      <c r="Q4722" t="s">
        <v>144</v>
      </c>
      <c r="R4722">
        <v>1</v>
      </c>
      <c r="S4722">
        <v>2999</v>
      </c>
      <c r="T4722">
        <v>0</v>
      </c>
      <c r="U4722">
        <v>2999</v>
      </c>
      <c r="V4722">
        <v>1700</v>
      </c>
      <c r="W4722">
        <v>1299</v>
      </c>
      <c r="X4722" t="s">
        <v>73</v>
      </c>
      <c r="Y4722" t="s">
        <v>68</v>
      </c>
      <c r="Z4722" t="s">
        <v>162</v>
      </c>
      <c r="AA4722" t="s">
        <v>171</v>
      </c>
      <c r="AB4722">
        <v>4.2</v>
      </c>
      <c r="AC4722">
        <v>60</v>
      </c>
      <c r="AD4722">
        <v>94.33</v>
      </c>
      <c r="AE4722">
        <f t="shared" si="146"/>
        <v>1144.67</v>
      </c>
      <c r="AF4722" t="str">
        <f t="shared" si="147"/>
        <v>2026-08</v>
      </c>
      <c r="AG4722">
        <f>SUBTOTAL(103,A4722)</f>
        <v>1</v>
      </c>
    </row>
    <row r="4723" spans="1:33" x14ac:dyDescent="0.3">
      <c r="A4723" t="s">
        <v>7346</v>
      </c>
      <c r="B4723" s="13">
        <v>46260</v>
      </c>
      <c r="C4723">
        <v>2026</v>
      </c>
      <c r="D4723">
        <v>8</v>
      </c>
      <c r="E4723" t="s">
        <v>4301</v>
      </c>
      <c r="F4723" t="s">
        <v>4047</v>
      </c>
      <c r="G4723" t="s">
        <v>895</v>
      </c>
      <c r="H4723" t="s">
        <v>896</v>
      </c>
      <c r="I4723" t="s">
        <v>86</v>
      </c>
      <c r="J4723">
        <v>24</v>
      </c>
      <c r="K4723" t="s">
        <v>80</v>
      </c>
      <c r="L4723" t="s">
        <v>95</v>
      </c>
      <c r="M4723" t="s">
        <v>56</v>
      </c>
      <c r="N4723" t="s">
        <v>2587</v>
      </c>
      <c r="O4723" t="s">
        <v>116</v>
      </c>
      <c r="P4723" t="s">
        <v>48</v>
      </c>
      <c r="Q4723" t="s">
        <v>138</v>
      </c>
      <c r="R4723">
        <v>1</v>
      </c>
      <c r="S4723">
        <v>14999</v>
      </c>
      <c r="T4723">
        <v>0</v>
      </c>
      <c r="U4723">
        <v>14999</v>
      </c>
      <c r="V4723">
        <v>11200</v>
      </c>
      <c r="W4723">
        <v>3799</v>
      </c>
      <c r="X4723" t="s">
        <v>73</v>
      </c>
      <c r="Y4723" t="s">
        <v>68</v>
      </c>
      <c r="Z4723" t="s">
        <v>161</v>
      </c>
      <c r="AA4723" t="s">
        <v>169</v>
      </c>
      <c r="AB4723">
        <v>4.3</v>
      </c>
      <c r="AC4723">
        <v>60</v>
      </c>
      <c r="AD4723">
        <v>1501.88</v>
      </c>
      <c r="AE4723">
        <f t="shared" si="146"/>
        <v>2237.12</v>
      </c>
      <c r="AF4723" t="str">
        <f t="shared" si="147"/>
        <v>2026-08</v>
      </c>
      <c r="AG4723">
        <f>SUBTOTAL(103,A4723)</f>
        <v>1</v>
      </c>
    </row>
    <row r="4724" spans="1:33" x14ac:dyDescent="0.3">
      <c r="A4724" t="s">
        <v>7347</v>
      </c>
      <c r="B4724" s="13">
        <v>46260</v>
      </c>
      <c r="C4724">
        <v>2026</v>
      </c>
      <c r="D4724">
        <v>8</v>
      </c>
      <c r="E4724" t="s">
        <v>4301</v>
      </c>
      <c r="F4724" t="s">
        <v>4047</v>
      </c>
      <c r="G4724" t="s">
        <v>437</v>
      </c>
      <c r="H4724" t="s">
        <v>438</v>
      </c>
      <c r="I4724" t="s">
        <v>86</v>
      </c>
      <c r="J4724">
        <v>55</v>
      </c>
      <c r="K4724" t="s">
        <v>83</v>
      </c>
      <c r="L4724" t="s">
        <v>94</v>
      </c>
      <c r="M4724" t="s">
        <v>57</v>
      </c>
      <c r="N4724" t="s">
        <v>2653</v>
      </c>
      <c r="O4724" t="s">
        <v>132</v>
      </c>
      <c r="P4724" t="s">
        <v>52</v>
      </c>
      <c r="Q4724" t="s">
        <v>150</v>
      </c>
      <c r="R4724">
        <v>1</v>
      </c>
      <c r="S4724">
        <v>899</v>
      </c>
      <c r="T4724">
        <v>0.1</v>
      </c>
      <c r="U4724">
        <v>809.1</v>
      </c>
      <c r="V4724">
        <v>420</v>
      </c>
      <c r="W4724">
        <v>389.1</v>
      </c>
      <c r="X4724" t="s">
        <v>76</v>
      </c>
      <c r="Y4724" t="s">
        <v>68</v>
      </c>
      <c r="Z4724" t="s">
        <v>160</v>
      </c>
      <c r="AA4724" t="s">
        <v>171</v>
      </c>
      <c r="AB4724">
        <v>3.9</v>
      </c>
      <c r="AC4724">
        <v>50</v>
      </c>
      <c r="AD4724">
        <v>75.72</v>
      </c>
      <c r="AE4724">
        <f t="shared" si="146"/>
        <v>263.38</v>
      </c>
      <c r="AF4724" t="str">
        <f t="shared" si="147"/>
        <v>2026-08</v>
      </c>
      <c r="AG4724">
        <f>SUBTOTAL(103,A4724)</f>
        <v>1</v>
      </c>
    </row>
    <row r="4725" spans="1:33" x14ac:dyDescent="0.3">
      <c r="A4725" t="s">
        <v>7348</v>
      </c>
      <c r="B4725" s="13">
        <v>46261</v>
      </c>
      <c r="C4725">
        <v>2026</v>
      </c>
      <c r="D4725">
        <v>8</v>
      </c>
      <c r="E4725" t="s">
        <v>4301</v>
      </c>
      <c r="F4725" t="s">
        <v>4047</v>
      </c>
      <c r="G4725" t="s">
        <v>1641</v>
      </c>
      <c r="H4725" t="s">
        <v>1642</v>
      </c>
      <c r="I4725" t="s">
        <v>85</v>
      </c>
      <c r="J4725">
        <v>19</v>
      </c>
      <c r="K4725" t="s">
        <v>80</v>
      </c>
      <c r="L4725" t="s">
        <v>2589</v>
      </c>
      <c r="M4725" t="s">
        <v>61</v>
      </c>
      <c r="N4725" t="s">
        <v>2590</v>
      </c>
      <c r="O4725" t="s">
        <v>127</v>
      </c>
      <c r="P4725" t="s">
        <v>51</v>
      </c>
      <c r="Q4725" t="s">
        <v>148</v>
      </c>
      <c r="R4725">
        <v>4</v>
      </c>
      <c r="S4725">
        <v>1599</v>
      </c>
      <c r="T4725">
        <v>0.05</v>
      </c>
      <c r="U4725">
        <v>0</v>
      </c>
      <c r="V4725">
        <v>0</v>
      </c>
      <c r="W4725">
        <v>0</v>
      </c>
      <c r="X4725" t="s">
        <v>74</v>
      </c>
      <c r="Y4725" t="s">
        <v>71</v>
      </c>
      <c r="Z4725" t="s">
        <v>161</v>
      </c>
      <c r="AA4725" t="s">
        <v>171</v>
      </c>
      <c r="AB4725">
        <v>4.7</v>
      </c>
      <c r="AC4725">
        <v>120</v>
      </c>
      <c r="AD4725">
        <v>340.03</v>
      </c>
      <c r="AE4725">
        <f t="shared" si="146"/>
        <v>-460.03</v>
      </c>
      <c r="AF4725" t="str">
        <f t="shared" si="147"/>
        <v>2026-08</v>
      </c>
      <c r="AG4725">
        <f>SUBTOTAL(103,A4725)</f>
        <v>1</v>
      </c>
    </row>
    <row r="4726" spans="1:33" x14ac:dyDescent="0.3">
      <c r="A4726" t="s">
        <v>7349</v>
      </c>
      <c r="B4726" s="13">
        <v>46261</v>
      </c>
      <c r="C4726">
        <v>2026</v>
      </c>
      <c r="D4726">
        <v>8</v>
      </c>
      <c r="E4726" t="s">
        <v>4301</v>
      </c>
      <c r="F4726" t="s">
        <v>4047</v>
      </c>
      <c r="G4726" t="s">
        <v>1721</v>
      </c>
      <c r="H4726" t="s">
        <v>1722</v>
      </c>
      <c r="I4726" t="s">
        <v>86</v>
      </c>
      <c r="J4726">
        <v>30</v>
      </c>
      <c r="K4726" t="s">
        <v>81</v>
      </c>
      <c r="L4726" t="s">
        <v>90</v>
      </c>
      <c r="M4726" t="s">
        <v>55</v>
      </c>
      <c r="N4726" t="s">
        <v>2577</v>
      </c>
      <c r="O4726" t="s">
        <v>129</v>
      </c>
      <c r="P4726" t="s">
        <v>49</v>
      </c>
      <c r="Q4726" t="s">
        <v>149</v>
      </c>
      <c r="R4726">
        <v>1</v>
      </c>
      <c r="S4726">
        <v>1299</v>
      </c>
      <c r="T4726">
        <v>0</v>
      </c>
      <c r="U4726">
        <v>1299</v>
      </c>
      <c r="V4726">
        <v>650</v>
      </c>
      <c r="W4726">
        <v>649</v>
      </c>
      <c r="X4726" t="s">
        <v>73</v>
      </c>
      <c r="Y4726" t="s">
        <v>68</v>
      </c>
      <c r="Z4726" t="s">
        <v>158</v>
      </c>
      <c r="AA4726" t="s">
        <v>166</v>
      </c>
      <c r="AB4726">
        <v>3.7</v>
      </c>
      <c r="AC4726">
        <v>50</v>
      </c>
      <c r="AD4726">
        <v>58.35</v>
      </c>
      <c r="AE4726">
        <f t="shared" si="146"/>
        <v>540.65</v>
      </c>
      <c r="AF4726" t="str">
        <f t="shared" si="147"/>
        <v>2026-08</v>
      </c>
      <c r="AG4726">
        <f>SUBTOTAL(103,A4726)</f>
        <v>1</v>
      </c>
    </row>
    <row r="4727" spans="1:33" x14ac:dyDescent="0.3">
      <c r="A4727" t="s">
        <v>7350</v>
      </c>
      <c r="B4727" s="13">
        <v>46261</v>
      </c>
      <c r="C4727">
        <v>2026</v>
      </c>
      <c r="D4727">
        <v>8</v>
      </c>
      <c r="E4727" t="s">
        <v>4301</v>
      </c>
      <c r="F4727" t="s">
        <v>4047</v>
      </c>
      <c r="G4727" t="s">
        <v>1023</v>
      </c>
      <c r="H4727" t="s">
        <v>1024</v>
      </c>
      <c r="I4727" t="s">
        <v>86</v>
      </c>
      <c r="J4727">
        <v>54</v>
      </c>
      <c r="K4727" t="s">
        <v>83</v>
      </c>
      <c r="L4727" t="s">
        <v>98</v>
      </c>
      <c r="M4727" t="s">
        <v>55</v>
      </c>
      <c r="N4727" t="s">
        <v>2580</v>
      </c>
      <c r="O4727" t="s">
        <v>118</v>
      </c>
      <c r="P4727" t="s">
        <v>48</v>
      </c>
      <c r="Q4727" t="s">
        <v>142</v>
      </c>
      <c r="R4727">
        <v>5</v>
      </c>
      <c r="S4727">
        <v>3999</v>
      </c>
      <c r="T4727">
        <v>0.1</v>
      </c>
      <c r="U4727">
        <v>17995.5</v>
      </c>
      <c r="V4727">
        <v>12000</v>
      </c>
      <c r="W4727">
        <v>5995.5</v>
      </c>
      <c r="X4727" t="s">
        <v>73</v>
      </c>
      <c r="Y4727" t="s">
        <v>68</v>
      </c>
      <c r="Z4727" t="s">
        <v>161</v>
      </c>
      <c r="AA4727" t="s">
        <v>168</v>
      </c>
      <c r="AB4727">
        <v>4.5</v>
      </c>
      <c r="AC4727">
        <v>40</v>
      </c>
      <c r="AD4727">
        <v>1309.79</v>
      </c>
      <c r="AE4727">
        <f t="shared" si="146"/>
        <v>4645.71</v>
      </c>
      <c r="AF4727" t="str">
        <f t="shared" si="147"/>
        <v>2026-08</v>
      </c>
      <c r="AG4727">
        <f>SUBTOTAL(103,A4727)</f>
        <v>1</v>
      </c>
    </row>
    <row r="4728" spans="1:33" x14ac:dyDescent="0.3">
      <c r="A4728" t="s">
        <v>7351</v>
      </c>
      <c r="B4728" s="13">
        <v>46261</v>
      </c>
      <c r="C4728">
        <v>2026</v>
      </c>
      <c r="D4728">
        <v>8</v>
      </c>
      <c r="E4728" t="s">
        <v>4301</v>
      </c>
      <c r="F4728" t="s">
        <v>4047</v>
      </c>
      <c r="G4728" t="s">
        <v>601</v>
      </c>
      <c r="H4728" t="s">
        <v>602</v>
      </c>
      <c r="I4728" t="s">
        <v>86</v>
      </c>
      <c r="J4728">
        <v>18</v>
      </c>
      <c r="K4728" t="s">
        <v>80</v>
      </c>
      <c r="L4728" t="s">
        <v>2661</v>
      </c>
      <c r="M4728" t="s">
        <v>58</v>
      </c>
      <c r="N4728" t="s">
        <v>2601</v>
      </c>
      <c r="O4728" t="s">
        <v>117</v>
      </c>
      <c r="P4728" t="s">
        <v>49</v>
      </c>
      <c r="Q4728" t="s">
        <v>139</v>
      </c>
      <c r="R4728">
        <v>2</v>
      </c>
      <c r="S4728">
        <v>6999</v>
      </c>
      <c r="T4728">
        <v>0.1</v>
      </c>
      <c r="U4728">
        <v>12598.2</v>
      </c>
      <c r="V4728">
        <v>8600</v>
      </c>
      <c r="W4728">
        <v>3998.2</v>
      </c>
      <c r="X4728" t="s">
        <v>73</v>
      </c>
      <c r="Y4728" t="s">
        <v>70</v>
      </c>
      <c r="Z4728" t="s">
        <v>160</v>
      </c>
      <c r="AA4728" t="s">
        <v>166</v>
      </c>
      <c r="AB4728">
        <v>3.9</v>
      </c>
      <c r="AC4728">
        <v>60</v>
      </c>
      <c r="AD4728">
        <v>1485.05</v>
      </c>
      <c r="AE4728">
        <f t="shared" si="146"/>
        <v>2453.1499999999996</v>
      </c>
      <c r="AF4728" t="str">
        <f t="shared" si="147"/>
        <v>2026-08</v>
      </c>
      <c r="AG4728">
        <f>SUBTOTAL(103,A4728)</f>
        <v>1</v>
      </c>
    </row>
    <row r="4729" spans="1:33" x14ac:dyDescent="0.3">
      <c r="A4729" t="s">
        <v>7352</v>
      </c>
      <c r="B4729" s="13">
        <v>46261</v>
      </c>
      <c r="C4729">
        <v>2026</v>
      </c>
      <c r="D4729">
        <v>8</v>
      </c>
      <c r="E4729" t="s">
        <v>4301</v>
      </c>
      <c r="F4729" t="s">
        <v>4047</v>
      </c>
      <c r="G4729" t="s">
        <v>1587</v>
      </c>
      <c r="H4729" t="s">
        <v>1588</v>
      </c>
      <c r="I4729" t="s">
        <v>86</v>
      </c>
      <c r="J4729">
        <v>49</v>
      </c>
      <c r="K4729" t="s">
        <v>83</v>
      </c>
      <c r="L4729" t="s">
        <v>2623</v>
      </c>
      <c r="M4729" t="s">
        <v>61</v>
      </c>
      <c r="N4729" t="s">
        <v>2580</v>
      </c>
      <c r="O4729" t="s">
        <v>118</v>
      </c>
      <c r="P4729" t="s">
        <v>48</v>
      </c>
      <c r="Q4729" t="s">
        <v>142</v>
      </c>
      <c r="R4729">
        <v>2</v>
      </c>
      <c r="S4729">
        <v>3999</v>
      </c>
      <c r="T4729">
        <v>0.05</v>
      </c>
      <c r="U4729">
        <v>7598.1</v>
      </c>
      <c r="V4729">
        <v>4800</v>
      </c>
      <c r="W4729">
        <v>2798.1</v>
      </c>
      <c r="X4729" t="s">
        <v>76</v>
      </c>
      <c r="Y4729" t="s">
        <v>68</v>
      </c>
      <c r="Z4729" t="s">
        <v>161</v>
      </c>
      <c r="AA4729" t="s">
        <v>171</v>
      </c>
      <c r="AB4729">
        <v>4.0999999999999996</v>
      </c>
      <c r="AC4729">
        <v>80</v>
      </c>
      <c r="AD4729">
        <v>858.85</v>
      </c>
      <c r="AE4729">
        <f t="shared" si="146"/>
        <v>1859.25</v>
      </c>
      <c r="AF4729" t="str">
        <f t="shared" si="147"/>
        <v>2026-08</v>
      </c>
      <c r="AG4729">
        <f>SUBTOTAL(103,A4729)</f>
        <v>1</v>
      </c>
    </row>
    <row r="4730" spans="1:33" x14ac:dyDescent="0.3">
      <c r="A4730" t="s">
        <v>7353</v>
      </c>
      <c r="B4730" s="13">
        <v>46261</v>
      </c>
      <c r="C4730">
        <v>2026</v>
      </c>
      <c r="D4730">
        <v>8</v>
      </c>
      <c r="E4730" t="s">
        <v>4301</v>
      </c>
      <c r="F4730" t="s">
        <v>4047</v>
      </c>
      <c r="G4730" t="s">
        <v>1593</v>
      </c>
      <c r="H4730" t="s">
        <v>1594</v>
      </c>
      <c r="I4730" t="s">
        <v>86</v>
      </c>
      <c r="J4730">
        <v>33</v>
      </c>
      <c r="K4730" t="s">
        <v>81</v>
      </c>
      <c r="L4730" t="s">
        <v>2674</v>
      </c>
      <c r="M4730" t="s">
        <v>58</v>
      </c>
      <c r="N4730" t="s">
        <v>2626</v>
      </c>
      <c r="O4730" t="s">
        <v>125</v>
      </c>
      <c r="P4730" t="s">
        <v>48</v>
      </c>
      <c r="Q4730" t="s">
        <v>141</v>
      </c>
      <c r="R4730">
        <v>2</v>
      </c>
      <c r="S4730">
        <v>1999</v>
      </c>
      <c r="T4730">
        <v>0.05</v>
      </c>
      <c r="U4730">
        <v>3798.1</v>
      </c>
      <c r="V4730">
        <v>2300</v>
      </c>
      <c r="W4730">
        <v>1498.1</v>
      </c>
      <c r="X4730" t="s">
        <v>73</v>
      </c>
      <c r="Y4730" t="s">
        <v>68</v>
      </c>
      <c r="Z4730" t="s">
        <v>160</v>
      </c>
      <c r="AA4730" t="s">
        <v>167</v>
      </c>
      <c r="AB4730">
        <v>3.8</v>
      </c>
      <c r="AC4730">
        <v>80</v>
      </c>
      <c r="AD4730">
        <v>450.77</v>
      </c>
      <c r="AE4730">
        <f t="shared" si="146"/>
        <v>967.32999999999993</v>
      </c>
      <c r="AF4730" t="str">
        <f t="shared" si="147"/>
        <v>2026-08</v>
      </c>
      <c r="AG4730">
        <f>SUBTOTAL(103,A4730)</f>
        <v>1</v>
      </c>
    </row>
    <row r="4731" spans="1:33" x14ac:dyDescent="0.3">
      <c r="A4731" t="s">
        <v>7354</v>
      </c>
      <c r="B4731" s="13">
        <v>46261</v>
      </c>
      <c r="C4731">
        <v>2026</v>
      </c>
      <c r="D4731">
        <v>8</v>
      </c>
      <c r="E4731" t="s">
        <v>4301</v>
      </c>
      <c r="F4731" t="s">
        <v>4047</v>
      </c>
      <c r="G4731" t="s">
        <v>1399</v>
      </c>
      <c r="H4731" t="s">
        <v>1400</v>
      </c>
      <c r="I4731" t="s">
        <v>85</v>
      </c>
      <c r="J4731">
        <v>34</v>
      </c>
      <c r="K4731" t="s">
        <v>81</v>
      </c>
      <c r="L4731" t="s">
        <v>93</v>
      </c>
      <c r="M4731" t="s">
        <v>55</v>
      </c>
      <c r="N4731" t="s">
        <v>2644</v>
      </c>
      <c r="O4731" t="s">
        <v>126</v>
      </c>
      <c r="P4731" t="s">
        <v>50</v>
      </c>
      <c r="Q4731" t="s">
        <v>145</v>
      </c>
      <c r="R4731">
        <v>1</v>
      </c>
      <c r="S4731">
        <v>1799</v>
      </c>
      <c r="T4731">
        <v>0.05</v>
      </c>
      <c r="U4731">
        <v>1709.05</v>
      </c>
      <c r="V4731">
        <v>950</v>
      </c>
      <c r="W4731">
        <v>759.05</v>
      </c>
      <c r="X4731" t="s">
        <v>76</v>
      </c>
      <c r="Y4731" t="s">
        <v>68</v>
      </c>
      <c r="Z4731" t="s">
        <v>160</v>
      </c>
      <c r="AA4731" t="s">
        <v>168</v>
      </c>
      <c r="AB4731">
        <v>3.6</v>
      </c>
      <c r="AC4731">
        <v>60</v>
      </c>
      <c r="AD4731">
        <v>80.540000000000006</v>
      </c>
      <c r="AE4731">
        <f t="shared" si="146"/>
        <v>618.51</v>
      </c>
      <c r="AF4731" t="str">
        <f t="shared" si="147"/>
        <v>2026-08</v>
      </c>
      <c r="AG4731">
        <f>SUBTOTAL(103,A4731)</f>
        <v>1</v>
      </c>
    </row>
    <row r="4732" spans="1:33" x14ac:dyDescent="0.3">
      <c r="A4732" t="s">
        <v>7355</v>
      </c>
      <c r="B4732" s="13">
        <v>46261</v>
      </c>
      <c r="C4732">
        <v>2026</v>
      </c>
      <c r="D4732">
        <v>8</v>
      </c>
      <c r="E4732" t="s">
        <v>4301</v>
      </c>
      <c r="F4732" t="s">
        <v>4047</v>
      </c>
      <c r="G4732" t="s">
        <v>331</v>
      </c>
      <c r="H4732" t="s">
        <v>332</v>
      </c>
      <c r="I4732" t="s">
        <v>86</v>
      </c>
      <c r="J4732">
        <v>32</v>
      </c>
      <c r="K4732" t="s">
        <v>81</v>
      </c>
      <c r="L4732" t="s">
        <v>2674</v>
      </c>
      <c r="M4732" t="s">
        <v>58</v>
      </c>
      <c r="N4732" t="s">
        <v>2592</v>
      </c>
      <c r="O4732" t="s">
        <v>115</v>
      </c>
      <c r="P4732" t="s">
        <v>48</v>
      </c>
      <c r="Q4732" t="s">
        <v>137</v>
      </c>
      <c r="R4732">
        <v>3</v>
      </c>
      <c r="S4732">
        <v>12999</v>
      </c>
      <c r="T4732">
        <v>0.05</v>
      </c>
      <c r="U4732">
        <v>37047.15</v>
      </c>
      <c r="V4732">
        <v>27000</v>
      </c>
      <c r="W4732">
        <v>10047.15</v>
      </c>
      <c r="X4732" t="s">
        <v>73</v>
      </c>
      <c r="Y4732" t="s">
        <v>68</v>
      </c>
      <c r="Z4732" t="s">
        <v>162</v>
      </c>
      <c r="AA4732" t="s">
        <v>169</v>
      </c>
      <c r="AB4732">
        <v>3</v>
      </c>
      <c r="AC4732">
        <v>80</v>
      </c>
      <c r="AD4732">
        <v>1109.93</v>
      </c>
      <c r="AE4732">
        <f t="shared" si="146"/>
        <v>8857.2199999999993</v>
      </c>
      <c r="AF4732" t="str">
        <f t="shared" si="147"/>
        <v>2026-08</v>
      </c>
      <c r="AG4732">
        <f>SUBTOTAL(103,A4732)</f>
        <v>1</v>
      </c>
    </row>
    <row r="4733" spans="1:33" x14ac:dyDescent="0.3">
      <c r="A4733" t="s">
        <v>7356</v>
      </c>
      <c r="B4733" s="13">
        <v>46261</v>
      </c>
      <c r="C4733">
        <v>2026</v>
      </c>
      <c r="D4733">
        <v>8</v>
      </c>
      <c r="E4733" t="s">
        <v>4301</v>
      </c>
      <c r="F4733" t="s">
        <v>4047</v>
      </c>
      <c r="G4733" t="s">
        <v>669</v>
      </c>
      <c r="H4733" t="s">
        <v>670</v>
      </c>
      <c r="I4733" t="s">
        <v>86</v>
      </c>
      <c r="J4733">
        <v>58</v>
      </c>
      <c r="K4733" t="s">
        <v>83</v>
      </c>
      <c r="L4733" t="s">
        <v>92</v>
      </c>
      <c r="M4733" t="s">
        <v>59</v>
      </c>
      <c r="N4733" t="s">
        <v>2657</v>
      </c>
      <c r="O4733" t="s">
        <v>134</v>
      </c>
      <c r="P4733" t="s">
        <v>49</v>
      </c>
      <c r="Q4733" t="s">
        <v>140</v>
      </c>
      <c r="R4733">
        <v>3</v>
      </c>
      <c r="S4733">
        <v>599</v>
      </c>
      <c r="T4733">
        <v>0</v>
      </c>
      <c r="U4733">
        <v>1797</v>
      </c>
      <c r="V4733">
        <v>750</v>
      </c>
      <c r="W4733">
        <v>1047</v>
      </c>
      <c r="X4733" t="s">
        <v>74</v>
      </c>
      <c r="Y4733" t="s">
        <v>68</v>
      </c>
      <c r="Z4733" t="s">
        <v>158</v>
      </c>
      <c r="AA4733" t="s">
        <v>166</v>
      </c>
      <c r="AB4733">
        <v>4.9000000000000004</v>
      </c>
      <c r="AC4733">
        <v>50</v>
      </c>
      <c r="AD4733">
        <v>134.80000000000001</v>
      </c>
      <c r="AE4733">
        <f t="shared" si="146"/>
        <v>862.2</v>
      </c>
      <c r="AF4733" t="str">
        <f t="shared" si="147"/>
        <v>2026-08</v>
      </c>
      <c r="AG4733">
        <f>SUBTOTAL(103,A4733)</f>
        <v>1</v>
      </c>
    </row>
    <row r="4734" spans="1:33" x14ac:dyDescent="0.3">
      <c r="A4734" t="s">
        <v>7357</v>
      </c>
      <c r="B4734" s="13">
        <v>46261</v>
      </c>
      <c r="C4734">
        <v>2026</v>
      </c>
      <c r="D4734">
        <v>8</v>
      </c>
      <c r="E4734" t="s">
        <v>4301</v>
      </c>
      <c r="F4734" t="s">
        <v>4047</v>
      </c>
      <c r="G4734" t="s">
        <v>1769</v>
      </c>
      <c r="H4734" t="s">
        <v>1770</v>
      </c>
      <c r="I4734" t="s">
        <v>85</v>
      </c>
      <c r="J4734">
        <v>35</v>
      </c>
      <c r="K4734" t="s">
        <v>81</v>
      </c>
      <c r="L4734" t="s">
        <v>96</v>
      </c>
      <c r="M4734" t="s">
        <v>55</v>
      </c>
      <c r="N4734" t="s">
        <v>2653</v>
      </c>
      <c r="O4734" t="s">
        <v>132</v>
      </c>
      <c r="P4734" t="s">
        <v>52</v>
      </c>
      <c r="Q4734" t="s">
        <v>150</v>
      </c>
      <c r="R4734">
        <v>4</v>
      </c>
      <c r="S4734">
        <v>899</v>
      </c>
      <c r="T4734">
        <v>0.2</v>
      </c>
      <c r="U4734">
        <v>2876.8</v>
      </c>
      <c r="V4734">
        <v>1680</v>
      </c>
      <c r="W4734">
        <v>1196.8</v>
      </c>
      <c r="X4734" t="s">
        <v>73</v>
      </c>
      <c r="Y4734" t="s">
        <v>68</v>
      </c>
      <c r="Z4734" t="s">
        <v>162</v>
      </c>
      <c r="AA4734" t="s">
        <v>166</v>
      </c>
      <c r="AB4734">
        <v>4.5</v>
      </c>
      <c r="AC4734">
        <v>120</v>
      </c>
      <c r="AD4734">
        <v>106.3</v>
      </c>
      <c r="AE4734">
        <f t="shared" si="146"/>
        <v>970.5</v>
      </c>
      <c r="AF4734" t="str">
        <f t="shared" si="147"/>
        <v>2026-08</v>
      </c>
      <c r="AG4734">
        <f>SUBTOTAL(103,A4734)</f>
        <v>1</v>
      </c>
    </row>
    <row r="4735" spans="1:33" x14ac:dyDescent="0.3">
      <c r="A4735" t="s">
        <v>7358</v>
      </c>
      <c r="B4735" s="13">
        <v>46261</v>
      </c>
      <c r="C4735">
        <v>2026</v>
      </c>
      <c r="D4735">
        <v>8</v>
      </c>
      <c r="E4735" t="s">
        <v>4301</v>
      </c>
      <c r="F4735" t="s">
        <v>4047</v>
      </c>
      <c r="G4735" t="s">
        <v>1041</v>
      </c>
      <c r="H4735" t="s">
        <v>1042</v>
      </c>
      <c r="I4735" t="s">
        <v>85</v>
      </c>
      <c r="J4735">
        <v>39</v>
      </c>
      <c r="K4735" t="s">
        <v>82</v>
      </c>
      <c r="L4735" t="s">
        <v>2687</v>
      </c>
      <c r="M4735" t="s">
        <v>57</v>
      </c>
      <c r="N4735" t="s">
        <v>2592</v>
      </c>
      <c r="O4735" t="s">
        <v>115</v>
      </c>
      <c r="P4735" t="s">
        <v>48</v>
      </c>
      <c r="Q4735" t="s">
        <v>137</v>
      </c>
      <c r="R4735">
        <v>2</v>
      </c>
      <c r="S4735">
        <v>12999</v>
      </c>
      <c r="T4735">
        <v>0.15</v>
      </c>
      <c r="U4735">
        <v>22098.3</v>
      </c>
      <c r="V4735">
        <v>18000</v>
      </c>
      <c r="W4735">
        <v>4098.3</v>
      </c>
      <c r="X4735" t="s">
        <v>75</v>
      </c>
      <c r="Y4735" t="s">
        <v>70</v>
      </c>
      <c r="Z4735" t="s">
        <v>160</v>
      </c>
      <c r="AA4735" t="s">
        <v>169</v>
      </c>
      <c r="AB4735">
        <v>4.3</v>
      </c>
      <c r="AC4735">
        <v>60</v>
      </c>
      <c r="AD4735">
        <v>1565.42</v>
      </c>
      <c r="AE4735">
        <f t="shared" si="146"/>
        <v>2472.88</v>
      </c>
      <c r="AF4735" t="str">
        <f t="shared" si="147"/>
        <v>2026-08</v>
      </c>
      <c r="AG4735">
        <f>SUBTOTAL(103,A4735)</f>
        <v>1</v>
      </c>
    </row>
    <row r="4736" spans="1:33" x14ac:dyDescent="0.3">
      <c r="A4736" t="s">
        <v>7359</v>
      </c>
      <c r="B4736" s="13">
        <v>46262</v>
      </c>
      <c r="C4736">
        <v>2026</v>
      </c>
      <c r="D4736">
        <v>8</v>
      </c>
      <c r="E4736" t="s">
        <v>4301</v>
      </c>
      <c r="F4736" t="s">
        <v>4047</v>
      </c>
      <c r="G4736" t="s">
        <v>543</v>
      </c>
      <c r="H4736" t="s">
        <v>544</v>
      </c>
      <c r="I4736" t="s">
        <v>86</v>
      </c>
      <c r="J4736">
        <v>37</v>
      </c>
      <c r="K4736" t="s">
        <v>82</v>
      </c>
      <c r="L4736" t="s">
        <v>2690</v>
      </c>
      <c r="M4736" t="s">
        <v>63</v>
      </c>
      <c r="N4736" t="s">
        <v>2601</v>
      </c>
      <c r="O4736" t="s">
        <v>117</v>
      </c>
      <c r="P4736" t="s">
        <v>49</v>
      </c>
      <c r="Q4736" t="s">
        <v>139</v>
      </c>
      <c r="R4736">
        <v>3</v>
      </c>
      <c r="S4736">
        <v>6999</v>
      </c>
      <c r="T4736">
        <v>0.15</v>
      </c>
      <c r="U4736">
        <v>17847.45</v>
      </c>
      <c r="V4736">
        <v>12900</v>
      </c>
      <c r="W4736">
        <v>4947.45</v>
      </c>
      <c r="X4736" t="s">
        <v>75</v>
      </c>
      <c r="Y4736" t="s">
        <v>68</v>
      </c>
      <c r="Z4736" t="s">
        <v>158</v>
      </c>
      <c r="AA4736" t="s">
        <v>168</v>
      </c>
      <c r="AB4736">
        <v>3.4</v>
      </c>
      <c r="AC4736">
        <v>50</v>
      </c>
      <c r="AD4736">
        <v>1667.72</v>
      </c>
      <c r="AE4736">
        <f t="shared" si="146"/>
        <v>3229.7299999999996</v>
      </c>
      <c r="AF4736" t="str">
        <f t="shared" si="147"/>
        <v>2026-08</v>
      </c>
      <c r="AG4736">
        <f>SUBTOTAL(103,A4736)</f>
        <v>1</v>
      </c>
    </row>
    <row r="4737" spans="1:33" x14ac:dyDescent="0.3">
      <c r="A4737" t="s">
        <v>7360</v>
      </c>
      <c r="B4737" s="13">
        <v>46262</v>
      </c>
      <c r="C4737">
        <v>2026</v>
      </c>
      <c r="D4737">
        <v>8</v>
      </c>
      <c r="E4737" t="s">
        <v>4301</v>
      </c>
      <c r="F4737" t="s">
        <v>4047</v>
      </c>
      <c r="G4737" t="s">
        <v>1325</v>
      </c>
      <c r="H4737" t="s">
        <v>1326</v>
      </c>
      <c r="I4737" t="s">
        <v>86</v>
      </c>
      <c r="J4737">
        <v>47</v>
      </c>
      <c r="K4737" t="s">
        <v>83</v>
      </c>
      <c r="L4737" t="s">
        <v>98</v>
      </c>
      <c r="M4737" t="s">
        <v>55</v>
      </c>
      <c r="N4737" t="s">
        <v>2594</v>
      </c>
      <c r="O4737" t="s">
        <v>131</v>
      </c>
      <c r="P4737" t="s">
        <v>53</v>
      </c>
      <c r="Q4737" t="s">
        <v>143</v>
      </c>
      <c r="R4737">
        <v>1</v>
      </c>
      <c r="S4737">
        <v>999</v>
      </c>
      <c r="T4737">
        <v>0.05</v>
      </c>
      <c r="U4737">
        <v>949.05</v>
      </c>
      <c r="V4737">
        <v>520</v>
      </c>
      <c r="W4737">
        <v>429.05</v>
      </c>
      <c r="X4737" t="s">
        <v>76</v>
      </c>
      <c r="Y4737" t="s">
        <v>68</v>
      </c>
      <c r="Z4737" t="s">
        <v>158</v>
      </c>
      <c r="AA4737" t="s">
        <v>170</v>
      </c>
      <c r="AB4737">
        <v>4.2</v>
      </c>
      <c r="AC4737">
        <v>40</v>
      </c>
      <c r="AD4737">
        <v>100.65</v>
      </c>
      <c r="AE4737">
        <f t="shared" si="146"/>
        <v>288.39999999999998</v>
      </c>
      <c r="AF4737" t="str">
        <f t="shared" si="147"/>
        <v>2026-08</v>
      </c>
      <c r="AG4737">
        <f>SUBTOTAL(103,A4737)</f>
        <v>1</v>
      </c>
    </row>
    <row r="4738" spans="1:33" x14ac:dyDescent="0.3">
      <c r="A4738" t="s">
        <v>7361</v>
      </c>
      <c r="B4738" s="13">
        <v>46262</v>
      </c>
      <c r="C4738">
        <v>2026</v>
      </c>
      <c r="D4738">
        <v>8</v>
      </c>
      <c r="E4738" t="s">
        <v>4301</v>
      </c>
      <c r="F4738" t="s">
        <v>4047</v>
      </c>
      <c r="G4738" t="s">
        <v>1681</v>
      </c>
      <c r="H4738" t="s">
        <v>1682</v>
      </c>
      <c r="I4738" t="s">
        <v>85</v>
      </c>
      <c r="J4738">
        <v>35</v>
      </c>
      <c r="K4738" t="s">
        <v>81</v>
      </c>
      <c r="L4738" t="s">
        <v>2586</v>
      </c>
      <c r="M4738" t="s">
        <v>62</v>
      </c>
      <c r="N4738" t="s">
        <v>2601</v>
      </c>
      <c r="O4738" t="s">
        <v>117</v>
      </c>
      <c r="P4738" t="s">
        <v>49</v>
      </c>
      <c r="Q4738" t="s">
        <v>139</v>
      </c>
      <c r="R4738">
        <v>2</v>
      </c>
      <c r="S4738">
        <v>6999</v>
      </c>
      <c r="T4738">
        <v>0.15</v>
      </c>
      <c r="U4738">
        <v>11898.3</v>
      </c>
      <c r="V4738">
        <v>8600</v>
      </c>
      <c r="W4738">
        <v>3298.3</v>
      </c>
      <c r="X4738" t="s">
        <v>74</v>
      </c>
      <c r="Y4738" t="s">
        <v>68</v>
      </c>
      <c r="Z4738" t="s">
        <v>158</v>
      </c>
      <c r="AA4738" t="s">
        <v>170</v>
      </c>
      <c r="AB4738">
        <v>4</v>
      </c>
      <c r="AC4738">
        <v>80</v>
      </c>
      <c r="AD4738">
        <v>369.5</v>
      </c>
      <c r="AE4738">
        <f t="shared" ref="AE4738:AE4801" si="148">W4738-AC4738-AD4738</f>
        <v>2848.8</v>
      </c>
      <c r="AF4738" t="str">
        <f t="shared" ref="AF4738:AF4801" si="149">C4738&amp;"-"&amp;TEXT(D4738,"00")</f>
        <v>2026-08</v>
      </c>
      <c r="AG4738">
        <f>SUBTOTAL(103,A4738)</f>
        <v>1</v>
      </c>
    </row>
    <row r="4739" spans="1:33" x14ac:dyDescent="0.3">
      <c r="A4739" t="s">
        <v>7362</v>
      </c>
      <c r="B4739" s="13">
        <v>46262</v>
      </c>
      <c r="C4739">
        <v>2026</v>
      </c>
      <c r="D4739">
        <v>8</v>
      </c>
      <c r="E4739" t="s">
        <v>4301</v>
      </c>
      <c r="F4739" t="s">
        <v>4047</v>
      </c>
      <c r="G4739" t="s">
        <v>187</v>
      </c>
      <c r="H4739" t="s">
        <v>188</v>
      </c>
      <c r="I4739" t="s">
        <v>85</v>
      </c>
      <c r="J4739">
        <v>30</v>
      </c>
      <c r="K4739" t="s">
        <v>81</v>
      </c>
      <c r="L4739" t="s">
        <v>95</v>
      </c>
      <c r="M4739" t="s">
        <v>56</v>
      </c>
      <c r="N4739" t="s">
        <v>2653</v>
      </c>
      <c r="O4739" t="s">
        <v>132</v>
      </c>
      <c r="P4739" t="s">
        <v>52</v>
      </c>
      <c r="Q4739" t="s">
        <v>150</v>
      </c>
      <c r="R4739">
        <v>2</v>
      </c>
      <c r="S4739">
        <v>899</v>
      </c>
      <c r="T4739">
        <v>0</v>
      </c>
      <c r="U4739">
        <v>1798</v>
      </c>
      <c r="V4739">
        <v>840</v>
      </c>
      <c r="W4739">
        <v>958</v>
      </c>
      <c r="X4739" t="s">
        <v>75</v>
      </c>
      <c r="Y4739" t="s">
        <v>68</v>
      </c>
      <c r="Z4739" t="s">
        <v>160</v>
      </c>
      <c r="AA4739" t="s">
        <v>171</v>
      </c>
      <c r="AB4739">
        <v>4.3</v>
      </c>
      <c r="AC4739">
        <v>60</v>
      </c>
      <c r="AD4739">
        <v>57.73</v>
      </c>
      <c r="AE4739">
        <f t="shared" si="148"/>
        <v>840.27</v>
      </c>
      <c r="AF4739" t="str">
        <f t="shared" si="149"/>
        <v>2026-08</v>
      </c>
      <c r="AG4739">
        <f>SUBTOTAL(103,A4739)</f>
        <v>1</v>
      </c>
    </row>
    <row r="4740" spans="1:33" x14ac:dyDescent="0.3">
      <c r="A4740" t="s">
        <v>7363</v>
      </c>
      <c r="B4740" s="13">
        <v>46262</v>
      </c>
      <c r="C4740">
        <v>2026</v>
      </c>
      <c r="D4740">
        <v>8</v>
      </c>
      <c r="E4740" t="s">
        <v>4301</v>
      </c>
      <c r="F4740" t="s">
        <v>4047</v>
      </c>
      <c r="G4740" t="s">
        <v>1929</v>
      </c>
      <c r="H4740" t="s">
        <v>1930</v>
      </c>
      <c r="I4740" t="s">
        <v>85</v>
      </c>
      <c r="J4740">
        <v>38</v>
      </c>
      <c r="K4740" t="s">
        <v>82</v>
      </c>
      <c r="L4740" t="s">
        <v>100</v>
      </c>
      <c r="M4740" t="s">
        <v>56</v>
      </c>
      <c r="N4740" t="s">
        <v>2584</v>
      </c>
      <c r="O4740" t="s">
        <v>121</v>
      </c>
      <c r="P4740" t="s">
        <v>50</v>
      </c>
      <c r="Q4740" t="s">
        <v>144</v>
      </c>
      <c r="R4740">
        <v>2</v>
      </c>
      <c r="S4740">
        <v>2999</v>
      </c>
      <c r="T4740">
        <v>0.05</v>
      </c>
      <c r="U4740">
        <v>5698.1</v>
      </c>
      <c r="V4740">
        <v>3400</v>
      </c>
      <c r="W4740">
        <v>2298.1</v>
      </c>
      <c r="X4740" t="s">
        <v>74</v>
      </c>
      <c r="Y4740" t="s">
        <v>68</v>
      </c>
      <c r="Z4740" t="s">
        <v>158</v>
      </c>
      <c r="AA4740" t="s">
        <v>169</v>
      </c>
      <c r="AB4740">
        <v>5</v>
      </c>
      <c r="AC4740">
        <v>50</v>
      </c>
      <c r="AD4740">
        <v>511.53</v>
      </c>
      <c r="AE4740">
        <f t="shared" si="148"/>
        <v>1736.57</v>
      </c>
      <c r="AF4740" t="str">
        <f t="shared" si="149"/>
        <v>2026-08</v>
      </c>
      <c r="AG4740">
        <f>SUBTOTAL(103,A4740)</f>
        <v>1</v>
      </c>
    </row>
    <row r="4741" spans="1:33" x14ac:dyDescent="0.3">
      <c r="A4741" t="s">
        <v>7364</v>
      </c>
      <c r="B4741" s="13">
        <v>46262</v>
      </c>
      <c r="C4741">
        <v>2026</v>
      </c>
      <c r="D4741">
        <v>8</v>
      </c>
      <c r="E4741" t="s">
        <v>4301</v>
      </c>
      <c r="F4741" t="s">
        <v>4047</v>
      </c>
      <c r="G4741" t="s">
        <v>1155</v>
      </c>
      <c r="H4741" t="s">
        <v>1156</v>
      </c>
      <c r="I4741" t="s">
        <v>85</v>
      </c>
      <c r="J4741">
        <v>18</v>
      </c>
      <c r="K4741" t="s">
        <v>80</v>
      </c>
      <c r="L4741" t="s">
        <v>2579</v>
      </c>
      <c r="M4741" t="s">
        <v>56</v>
      </c>
      <c r="N4741" t="s">
        <v>2580</v>
      </c>
      <c r="O4741" t="s">
        <v>118</v>
      </c>
      <c r="P4741" t="s">
        <v>48</v>
      </c>
      <c r="Q4741" t="s">
        <v>142</v>
      </c>
      <c r="R4741">
        <v>1</v>
      </c>
      <c r="S4741">
        <v>3999</v>
      </c>
      <c r="T4741">
        <v>0.05</v>
      </c>
      <c r="U4741">
        <v>3799.05</v>
      </c>
      <c r="V4741">
        <v>2400</v>
      </c>
      <c r="W4741">
        <v>1399.05</v>
      </c>
      <c r="X4741" t="s">
        <v>73</v>
      </c>
      <c r="Y4741" t="s">
        <v>68</v>
      </c>
      <c r="Z4741" t="s">
        <v>158</v>
      </c>
      <c r="AA4741" t="s">
        <v>170</v>
      </c>
      <c r="AB4741">
        <v>4.5999999999999996</v>
      </c>
      <c r="AC4741">
        <v>40</v>
      </c>
      <c r="AD4741">
        <v>435.1</v>
      </c>
      <c r="AE4741">
        <f t="shared" si="148"/>
        <v>923.94999999999993</v>
      </c>
      <c r="AF4741" t="str">
        <f t="shared" si="149"/>
        <v>2026-08</v>
      </c>
      <c r="AG4741">
        <f>SUBTOTAL(103,A4741)</f>
        <v>1</v>
      </c>
    </row>
    <row r="4742" spans="1:33" x14ac:dyDescent="0.3">
      <c r="A4742" t="s">
        <v>7365</v>
      </c>
      <c r="B4742" s="13">
        <v>46262</v>
      </c>
      <c r="C4742">
        <v>2026</v>
      </c>
      <c r="D4742">
        <v>8</v>
      </c>
      <c r="E4742" t="s">
        <v>4301</v>
      </c>
      <c r="F4742" t="s">
        <v>4047</v>
      </c>
      <c r="G4742" t="s">
        <v>1923</v>
      </c>
      <c r="H4742" t="s">
        <v>1924</v>
      </c>
      <c r="I4742" t="s">
        <v>85</v>
      </c>
      <c r="J4742">
        <v>43</v>
      </c>
      <c r="K4742" t="s">
        <v>82</v>
      </c>
      <c r="L4742" t="s">
        <v>98</v>
      </c>
      <c r="M4742" t="s">
        <v>55</v>
      </c>
      <c r="N4742" t="s">
        <v>2665</v>
      </c>
      <c r="O4742" t="s">
        <v>128</v>
      </c>
      <c r="P4742" t="s">
        <v>53</v>
      </c>
      <c r="Q4742" t="s">
        <v>143</v>
      </c>
      <c r="R4742">
        <v>1</v>
      </c>
      <c r="S4742">
        <v>1499</v>
      </c>
      <c r="T4742">
        <v>0.15</v>
      </c>
      <c r="U4742">
        <v>1274.1500000000001</v>
      </c>
      <c r="V4742">
        <v>800</v>
      </c>
      <c r="W4742">
        <v>474.15</v>
      </c>
      <c r="X4742" t="s">
        <v>73</v>
      </c>
      <c r="Y4742" t="s">
        <v>68</v>
      </c>
      <c r="Z4742" t="s">
        <v>158</v>
      </c>
      <c r="AA4742" t="s">
        <v>171</v>
      </c>
      <c r="AB4742">
        <v>2.7</v>
      </c>
      <c r="AC4742">
        <v>120</v>
      </c>
      <c r="AD4742">
        <v>60.35</v>
      </c>
      <c r="AE4742">
        <f t="shared" si="148"/>
        <v>293.79999999999995</v>
      </c>
      <c r="AF4742" t="str">
        <f t="shared" si="149"/>
        <v>2026-08</v>
      </c>
      <c r="AG4742">
        <f>SUBTOTAL(103,A4742)</f>
        <v>1</v>
      </c>
    </row>
    <row r="4743" spans="1:33" x14ac:dyDescent="0.3">
      <c r="A4743" t="s">
        <v>7366</v>
      </c>
      <c r="B4743" s="13">
        <v>46262</v>
      </c>
      <c r="C4743">
        <v>2026</v>
      </c>
      <c r="D4743">
        <v>8</v>
      </c>
      <c r="E4743" t="s">
        <v>4301</v>
      </c>
      <c r="F4743" t="s">
        <v>4047</v>
      </c>
      <c r="G4743" t="s">
        <v>929</v>
      </c>
      <c r="H4743" t="s">
        <v>930</v>
      </c>
      <c r="I4743" t="s">
        <v>85</v>
      </c>
      <c r="J4743">
        <v>18</v>
      </c>
      <c r="K4743" t="s">
        <v>80</v>
      </c>
      <c r="L4743" t="s">
        <v>2605</v>
      </c>
      <c r="M4743" t="s">
        <v>60</v>
      </c>
      <c r="N4743" t="s">
        <v>2582</v>
      </c>
      <c r="O4743" t="s">
        <v>119</v>
      </c>
      <c r="P4743" t="s">
        <v>49</v>
      </c>
      <c r="Q4743" t="s">
        <v>140</v>
      </c>
      <c r="R4743">
        <v>1</v>
      </c>
      <c r="S4743">
        <v>3499</v>
      </c>
      <c r="T4743">
        <v>0.05</v>
      </c>
      <c r="U4743">
        <v>3324.05</v>
      </c>
      <c r="V4743">
        <v>2100</v>
      </c>
      <c r="W4743">
        <v>1224.05</v>
      </c>
      <c r="X4743" t="s">
        <v>74</v>
      </c>
      <c r="Y4743" t="s">
        <v>68</v>
      </c>
      <c r="Z4743" t="s">
        <v>158</v>
      </c>
      <c r="AA4743" t="s">
        <v>169</v>
      </c>
      <c r="AB4743">
        <v>3.7</v>
      </c>
      <c r="AC4743">
        <v>120</v>
      </c>
      <c r="AD4743">
        <v>355.37</v>
      </c>
      <c r="AE4743">
        <f t="shared" si="148"/>
        <v>748.68</v>
      </c>
      <c r="AF4743" t="str">
        <f t="shared" si="149"/>
        <v>2026-08</v>
      </c>
      <c r="AG4743">
        <f>SUBTOTAL(103,A4743)</f>
        <v>1</v>
      </c>
    </row>
    <row r="4744" spans="1:33" x14ac:dyDescent="0.3">
      <c r="A4744" t="s">
        <v>7367</v>
      </c>
      <c r="B4744" s="13">
        <v>46262</v>
      </c>
      <c r="C4744">
        <v>2026</v>
      </c>
      <c r="D4744">
        <v>8</v>
      </c>
      <c r="E4744" t="s">
        <v>4301</v>
      </c>
      <c r="F4744" t="s">
        <v>4047</v>
      </c>
      <c r="G4744" t="s">
        <v>365</v>
      </c>
      <c r="H4744" t="s">
        <v>366</v>
      </c>
      <c r="I4744" t="s">
        <v>86</v>
      </c>
      <c r="J4744">
        <v>22</v>
      </c>
      <c r="K4744" t="s">
        <v>80</v>
      </c>
      <c r="L4744" t="s">
        <v>91</v>
      </c>
      <c r="M4744" t="s">
        <v>55</v>
      </c>
      <c r="N4744" t="s">
        <v>2630</v>
      </c>
      <c r="O4744" t="s">
        <v>123</v>
      </c>
      <c r="P4744" t="s">
        <v>52</v>
      </c>
      <c r="Q4744" t="s">
        <v>146</v>
      </c>
      <c r="R4744">
        <v>2</v>
      </c>
      <c r="S4744">
        <v>2499</v>
      </c>
      <c r="T4744">
        <v>0.15</v>
      </c>
      <c r="U4744">
        <v>4248.3</v>
      </c>
      <c r="V4744">
        <v>2800</v>
      </c>
      <c r="W4744">
        <v>1448.3</v>
      </c>
      <c r="X4744" t="s">
        <v>74</v>
      </c>
      <c r="Y4744" t="s">
        <v>68</v>
      </c>
      <c r="Z4744" t="s">
        <v>163</v>
      </c>
      <c r="AA4744" t="s">
        <v>166</v>
      </c>
      <c r="AB4744">
        <v>5</v>
      </c>
      <c r="AC4744">
        <v>80</v>
      </c>
      <c r="AD4744">
        <v>223.95</v>
      </c>
      <c r="AE4744">
        <f t="shared" si="148"/>
        <v>1144.3499999999999</v>
      </c>
      <c r="AF4744" t="str">
        <f t="shared" si="149"/>
        <v>2026-08</v>
      </c>
      <c r="AG4744">
        <f>SUBTOTAL(103,A4744)</f>
        <v>1</v>
      </c>
    </row>
    <row r="4745" spans="1:33" x14ac:dyDescent="0.3">
      <c r="A4745" t="s">
        <v>7368</v>
      </c>
      <c r="B4745" s="13">
        <v>46263</v>
      </c>
      <c r="C4745">
        <v>2026</v>
      </c>
      <c r="D4745">
        <v>8</v>
      </c>
      <c r="E4745" t="s">
        <v>4301</v>
      </c>
      <c r="F4745" t="s">
        <v>4047</v>
      </c>
      <c r="G4745" t="s">
        <v>441</v>
      </c>
      <c r="H4745" t="s">
        <v>442</v>
      </c>
      <c r="I4745" t="s">
        <v>85</v>
      </c>
      <c r="J4745">
        <v>49</v>
      </c>
      <c r="K4745" t="s">
        <v>83</v>
      </c>
      <c r="L4745" t="s">
        <v>100</v>
      </c>
      <c r="M4745" t="s">
        <v>56</v>
      </c>
      <c r="N4745" t="s">
        <v>2592</v>
      </c>
      <c r="O4745" t="s">
        <v>115</v>
      </c>
      <c r="P4745" t="s">
        <v>48</v>
      </c>
      <c r="Q4745" t="s">
        <v>137</v>
      </c>
      <c r="R4745">
        <v>1</v>
      </c>
      <c r="S4745">
        <v>12999</v>
      </c>
      <c r="T4745">
        <v>0.05</v>
      </c>
      <c r="U4745">
        <v>12349.05</v>
      </c>
      <c r="V4745">
        <v>9000</v>
      </c>
      <c r="W4745">
        <v>3349.05</v>
      </c>
      <c r="X4745" t="s">
        <v>76</v>
      </c>
      <c r="Y4745" t="s">
        <v>68</v>
      </c>
      <c r="Z4745" t="s">
        <v>158</v>
      </c>
      <c r="AA4745" t="s">
        <v>169</v>
      </c>
      <c r="AB4745">
        <v>3.9</v>
      </c>
      <c r="AC4745">
        <v>40</v>
      </c>
      <c r="AD4745">
        <v>1158.03</v>
      </c>
      <c r="AE4745">
        <f t="shared" si="148"/>
        <v>2151.0200000000004</v>
      </c>
      <c r="AF4745" t="str">
        <f t="shared" si="149"/>
        <v>2026-08</v>
      </c>
      <c r="AG4745">
        <f>SUBTOTAL(103,A4745)</f>
        <v>1</v>
      </c>
    </row>
    <row r="4746" spans="1:33" x14ac:dyDescent="0.3">
      <c r="A4746" t="s">
        <v>7369</v>
      </c>
      <c r="B4746" s="13">
        <v>46263</v>
      </c>
      <c r="C4746">
        <v>2026</v>
      </c>
      <c r="D4746">
        <v>8</v>
      </c>
      <c r="E4746" t="s">
        <v>4301</v>
      </c>
      <c r="F4746" t="s">
        <v>4047</v>
      </c>
      <c r="G4746" t="s">
        <v>583</v>
      </c>
      <c r="H4746" t="s">
        <v>584</v>
      </c>
      <c r="I4746" t="s">
        <v>86</v>
      </c>
      <c r="J4746">
        <v>56</v>
      </c>
      <c r="K4746" t="s">
        <v>83</v>
      </c>
      <c r="L4746" t="s">
        <v>93</v>
      </c>
      <c r="M4746" t="s">
        <v>55</v>
      </c>
      <c r="N4746" t="s">
        <v>2603</v>
      </c>
      <c r="O4746" t="s">
        <v>122</v>
      </c>
      <c r="P4746" t="s">
        <v>48</v>
      </c>
      <c r="Q4746" t="s">
        <v>141</v>
      </c>
      <c r="R4746">
        <v>1</v>
      </c>
      <c r="S4746">
        <v>2499</v>
      </c>
      <c r="T4746">
        <v>0.05</v>
      </c>
      <c r="U4746">
        <v>2374.0500000000002</v>
      </c>
      <c r="V4746">
        <v>1450</v>
      </c>
      <c r="W4746">
        <v>924.05</v>
      </c>
      <c r="X4746" t="s">
        <v>74</v>
      </c>
      <c r="Y4746" t="s">
        <v>68</v>
      </c>
      <c r="Z4746" t="s">
        <v>158</v>
      </c>
      <c r="AA4746" t="s">
        <v>168</v>
      </c>
      <c r="AB4746">
        <v>3.6</v>
      </c>
      <c r="AC4746">
        <v>60</v>
      </c>
      <c r="AD4746">
        <v>101.35</v>
      </c>
      <c r="AE4746">
        <f t="shared" si="148"/>
        <v>762.69999999999993</v>
      </c>
      <c r="AF4746" t="str">
        <f t="shared" si="149"/>
        <v>2026-08</v>
      </c>
      <c r="AG4746">
        <f>SUBTOTAL(103,A4746)</f>
        <v>1</v>
      </c>
    </row>
    <row r="4747" spans="1:33" x14ac:dyDescent="0.3">
      <c r="A4747" t="s">
        <v>7370</v>
      </c>
      <c r="B4747" s="13">
        <v>46263</v>
      </c>
      <c r="C4747">
        <v>2026</v>
      </c>
      <c r="D4747">
        <v>8</v>
      </c>
      <c r="E4747" t="s">
        <v>4301</v>
      </c>
      <c r="F4747" t="s">
        <v>4047</v>
      </c>
      <c r="G4747" t="s">
        <v>1255</v>
      </c>
      <c r="H4747" t="s">
        <v>1256</v>
      </c>
      <c r="I4747" t="s">
        <v>85</v>
      </c>
      <c r="J4747">
        <v>47</v>
      </c>
      <c r="K4747" t="s">
        <v>83</v>
      </c>
      <c r="L4747" t="s">
        <v>2623</v>
      </c>
      <c r="M4747" t="s">
        <v>61</v>
      </c>
      <c r="N4747" t="s">
        <v>2665</v>
      </c>
      <c r="O4747" t="s">
        <v>128</v>
      </c>
      <c r="P4747" t="s">
        <v>53</v>
      </c>
      <c r="Q4747" t="s">
        <v>143</v>
      </c>
      <c r="R4747">
        <v>1</v>
      </c>
      <c r="S4747">
        <v>1499</v>
      </c>
      <c r="T4747">
        <v>0</v>
      </c>
      <c r="U4747">
        <v>1499</v>
      </c>
      <c r="V4747">
        <v>800</v>
      </c>
      <c r="W4747">
        <v>699</v>
      </c>
      <c r="X4747" t="s">
        <v>74</v>
      </c>
      <c r="Y4747" t="s">
        <v>68</v>
      </c>
      <c r="Z4747" t="s">
        <v>163</v>
      </c>
      <c r="AA4747" t="s">
        <v>166</v>
      </c>
      <c r="AB4747">
        <v>3.4</v>
      </c>
      <c r="AC4747">
        <v>60</v>
      </c>
      <c r="AD4747">
        <v>77.31</v>
      </c>
      <c r="AE4747">
        <f t="shared" si="148"/>
        <v>561.69000000000005</v>
      </c>
      <c r="AF4747" t="str">
        <f t="shared" si="149"/>
        <v>2026-08</v>
      </c>
      <c r="AG4747">
        <f>SUBTOTAL(103,A4747)</f>
        <v>1</v>
      </c>
    </row>
    <row r="4748" spans="1:33" x14ac:dyDescent="0.3">
      <c r="A4748" t="s">
        <v>7371</v>
      </c>
      <c r="B4748" s="13">
        <v>46263</v>
      </c>
      <c r="C4748">
        <v>2026</v>
      </c>
      <c r="D4748">
        <v>8</v>
      </c>
      <c r="E4748" t="s">
        <v>4301</v>
      </c>
      <c r="F4748" t="s">
        <v>4047</v>
      </c>
      <c r="G4748" t="s">
        <v>1329</v>
      </c>
      <c r="H4748" t="s">
        <v>1330</v>
      </c>
      <c r="I4748" t="s">
        <v>85</v>
      </c>
      <c r="J4748">
        <v>51</v>
      </c>
      <c r="K4748" t="s">
        <v>83</v>
      </c>
      <c r="L4748" t="s">
        <v>93</v>
      </c>
      <c r="M4748" t="s">
        <v>55</v>
      </c>
      <c r="N4748" t="s">
        <v>2577</v>
      </c>
      <c r="O4748" t="s">
        <v>129</v>
      </c>
      <c r="P4748" t="s">
        <v>49</v>
      </c>
      <c r="Q4748" t="s">
        <v>149</v>
      </c>
      <c r="R4748">
        <v>1</v>
      </c>
      <c r="S4748">
        <v>1299</v>
      </c>
      <c r="T4748">
        <v>0.05</v>
      </c>
      <c r="U4748">
        <v>1234.05</v>
      </c>
      <c r="V4748">
        <v>650</v>
      </c>
      <c r="W4748">
        <v>584.04999999999995</v>
      </c>
      <c r="X4748" t="s">
        <v>73</v>
      </c>
      <c r="Y4748" t="s">
        <v>68</v>
      </c>
      <c r="Z4748" t="s">
        <v>158</v>
      </c>
      <c r="AA4748" t="s">
        <v>168</v>
      </c>
      <c r="AB4748">
        <v>3.2</v>
      </c>
      <c r="AC4748">
        <v>40</v>
      </c>
      <c r="AD4748">
        <v>70.45</v>
      </c>
      <c r="AE4748">
        <f t="shared" si="148"/>
        <v>473.59999999999997</v>
      </c>
      <c r="AF4748" t="str">
        <f t="shared" si="149"/>
        <v>2026-08</v>
      </c>
      <c r="AG4748">
        <f>SUBTOTAL(103,A4748)</f>
        <v>1</v>
      </c>
    </row>
    <row r="4749" spans="1:33" x14ac:dyDescent="0.3">
      <c r="A4749" t="s">
        <v>7372</v>
      </c>
      <c r="B4749" s="13">
        <v>46263</v>
      </c>
      <c r="C4749">
        <v>2026</v>
      </c>
      <c r="D4749">
        <v>8</v>
      </c>
      <c r="E4749" t="s">
        <v>4301</v>
      </c>
      <c r="F4749" t="s">
        <v>4047</v>
      </c>
      <c r="G4749" t="s">
        <v>1521</v>
      </c>
      <c r="H4749" t="s">
        <v>1522</v>
      </c>
      <c r="I4749" t="s">
        <v>85</v>
      </c>
      <c r="J4749">
        <v>34</v>
      </c>
      <c r="K4749" t="s">
        <v>81</v>
      </c>
      <c r="L4749" t="s">
        <v>2589</v>
      </c>
      <c r="M4749" t="s">
        <v>61</v>
      </c>
      <c r="N4749" t="s">
        <v>2653</v>
      </c>
      <c r="O4749" t="s">
        <v>132</v>
      </c>
      <c r="P4749" t="s">
        <v>52</v>
      </c>
      <c r="Q4749" t="s">
        <v>150</v>
      </c>
      <c r="R4749">
        <v>1</v>
      </c>
      <c r="S4749">
        <v>899</v>
      </c>
      <c r="T4749">
        <v>0</v>
      </c>
      <c r="U4749">
        <v>899</v>
      </c>
      <c r="V4749">
        <v>420</v>
      </c>
      <c r="W4749">
        <v>479</v>
      </c>
      <c r="X4749" t="s">
        <v>77</v>
      </c>
      <c r="Y4749" t="s">
        <v>69</v>
      </c>
      <c r="Z4749" t="s">
        <v>162</v>
      </c>
      <c r="AA4749" t="s">
        <v>169</v>
      </c>
      <c r="AB4749">
        <v>4.2</v>
      </c>
      <c r="AC4749">
        <v>80</v>
      </c>
      <c r="AD4749">
        <v>26.94</v>
      </c>
      <c r="AE4749">
        <f t="shared" si="148"/>
        <v>372.06</v>
      </c>
      <c r="AF4749" t="str">
        <f t="shared" si="149"/>
        <v>2026-08</v>
      </c>
      <c r="AG4749">
        <f>SUBTOTAL(103,A4749)</f>
        <v>1</v>
      </c>
    </row>
    <row r="4750" spans="1:33" x14ac:dyDescent="0.3">
      <c r="A4750" t="s">
        <v>7373</v>
      </c>
      <c r="B4750" s="13">
        <v>46263</v>
      </c>
      <c r="C4750">
        <v>2026</v>
      </c>
      <c r="D4750">
        <v>8</v>
      </c>
      <c r="E4750" t="s">
        <v>4301</v>
      </c>
      <c r="F4750" t="s">
        <v>4047</v>
      </c>
      <c r="G4750" t="s">
        <v>733</v>
      </c>
      <c r="H4750" t="s">
        <v>734</v>
      </c>
      <c r="I4750" t="s">
        <v>85</v>
      </c>
      <c r="J4750">
        <v>57</v>
      </c>
      <c r="K4750" t="s">
        <v>83</v>
      </c>
      <c r="L4750" t="s">
        <v>2687</v>
      </c>
      <c r="M4750" t="s">
        <v>57</v>
      </c>
      <c r="N4750" t="s">
        <v>2594</v>
      </c>
      <c r="O4750" t="s">
        <v>131</v>
      </c>
      <c r="P4750" t="s">
        <v>53</v>
      </c>
      <c r="Q4750" t="s">
        <v>143</v>
      </c>
      <c r="R4750">
        <v>1</v>
      </c>
      <c r="S4750">
        <v>999</v>
      </c>
      <c r="T4750">
        <v>0.05</v>
      </c>
      <c r="U4750">
        <v>949.05</v>
      </c>
      <c r="V4750">
        <v>520</v>
      </c>
      <c r="W4750">
        <v>429.05</v>
      </c>
      <c r="X4750" t="s">
        <v>76</v>
      </c>
      <c r="Y4750" t="s">
        <v>68</v>
      </c>
      <c r="Z4750" t="s">
        <v>160</v>
      </c>
      <c r="AA4750" t="s">
        <v>167</v>
      </c>
      <c r="AB4750">
        <v>4.9000000000000004</v>
      </c>
      <c r="AC4750">
        <v>60</v>
      </c>
      <c r="AD4750">
        <v>47.44</v>
      </c>
      <c r="AE4750">
        <f t="shared" si="148"/>
        <v>321.61</v>
      </c>
      <c r="AF4750" t="str">
        <f t="shared" si="149"/>
        <v>2026-08</v>
      </c>
      <c r="AG4750">
        <f>SUBTOTAL(103,A4750)</f>
        <v>1</v>
      </c>
    </row>
    <row r="4751" spans="1:33" x14ac:dyDescent="0.3">
      <c r="A4751" t="s">
        <v>7374</v>
      </c>
      <c r="B4751" s="13">
        <v>46263</v>
      </c>
      <c r="C4751">
        <v>2026</v>
      </c>
      <c r="D4751">
        <v>8</v>
      </c>
      <c r="E4751" t="s">
        <v>4301</v>
      </c>
      <c r="F4751" t="s">
        <v>4047</v>
      </c>
      <c r="G4751" t="s">
        <v>583</v>
      </c>
      <c r="H4751" t="s">
        <v>584</v>
      </c>
      <c r="I4751" t="s">
        <v>86</v>
      </c>
      <c r="J4751">
        <v>56</v>
      </c>
      <c r="K4751" t="s">
        <v>83</v>
      </c>
      <c r="L4751" t="s">
        <v>93</v>
      </c>
      <c r="M4751" t="s">
        <v>55</v>
      </c>
      <c r="N4751" t="s">
        <v>2601</v>
      </c>
      <c r="O4751" t="s">
        <v>117</v>
      </c>
      <c r="P4751" t="s">
        <v>49</v>
      </c>
      <c r="Q4751" t="s">
        <v>139</v>
      </c>
      <c r="R4751">
        <v>5</v>
      </c>
      <c r="S4751">
        <v>6999</v>
      </c>
      <c r="T4751">
        <v>0.15</v>
      </c>
      <c r="U4751">
        <v>0</v>
      </c>
      <c r="V4751">
        <v>0</v>
      </c>
      <c r="W4751">
        <v>0</v>
      </c>
      <c r="X4751" t="s">
        <v>73</v>
      </c>
      <c r="Y4751" t="s">
        <v>71</v>
      </c>
      <c r="Z4751" t="s">
        <v>162</v>
      </c>
      <c r="AA4751" t="s">
        <v>166</v>
      </c>
      <c r="AB4751">
        <v>4.2</v>
      </c>
      <c r="AC4751">
        <v>50</v>
      </c>
      <c r="AD4751">
        <v>1748.04</v>
      </c>
      <c r="AE4751">
        <f t="shared" si="148"/>
        <v>-1798.04</v>
      </c>
      <c r="AF4751" t="str">
        <f t="shared" si="149"/>
        <v>2026-08</v>
      </c>
      <c r="AG4751">
        <f>SUBTOTAL(103,A4751)</f>
        <v>1</v>
      </c>
    </row>
    <row r="4752" spans="1:33" x14ac:dyDescent="0.3">
      <c r="A4752" t="s">
        <v>7375</v>
      </c>
      <c r="B4752" s="13">
        <v>46263</v>
      </c>
      <c r="C4752">
        <v>2026</v>
      </c>
      <c r="D4752">
        <v>8</v>
      </c>
      <c r="E4752" t="s">
        <v>4301</v>
      </c>
      <c r="F4752" t="s">
        <v>4047</v>
      </c>
      <c r="G4752" t="s">
        <v>2123</v>
      </c>
      <c r="H4752" t="s">
        <v>2124</v>
      </c>
      <c r="I4752" t="s">
        <v>85</v>
      </c>
      <c r="J4752">
        <v>39</v>
      </c>
      <c r="K4752" t="s">
        <v>82</v>
      </c>
      <c r="L4752" t="s">
        <v>2610</v>
      </c>
      <c r="M4752" t="s">
        <v>64</v>
      </c>
      <c r="N4752" t="s">
        <v>2665</v>
      </c>
      <c r="O4752" t="s">
        <v>128</v>
      </c>
      <c r="P4752" t="s">
        <v>53</v>
      </c>
      <c r="Q4752" t="s">
        <v>143</v>
      </c>
      <c r="R4752">
        <v>1</v>
      </c>
      <c r="S4752">
        <v>1499</v>
      </c>
      <c r="T4752">
        <v>0</v>
      </c>
      <c r="U4752">
        <v>1499</v>
      </c>
      <c r="V4752">
        <v>800</v>
      </c>
      <c r="W4752">
        <v>699</v>
      </c>
      <c r="X4752" t="s">
        <v>76</v>
      </c>
      <c r="Y4752" t="s">
        <v>68</v>
      </c>
      <c r="Z4752" t="s">
        <v>163</v>
      </c>
      <c r="AA4752" t="s">
        <v>167</v>
      </c>
      <c r="AB4752">
        <v>4.3</v>
      </c>
      <c r="AC4752">
        <v>60</v>
      </c>
      <c r="AD4752">
        <v>100.83</v>
      </c>
      <c r="AE4752">
        <f t="shared" si="148"/>
        <v>538.16999999999996</v>
      </c>
      <c r="AF4752" t="str">
        <f t="shared" si="149"/>
        <v>2026-08</v>
      </c>
      <c r="AG4752">
        <f>SUBTOTAL(103,A4752)</f>
        <v>1</v>
      </c>
    </row>
    <row r="4753" spans="1:33" x14ac:dyDescent="0.3">
      <c r="A4753" t="s">
        <v>7376</v>
      </c>
      <c r="B4753" s="13">
        <v>46263</v>
      </c>
      <c r="C4753">
        <v>2026</v>
      </c>
      <c r="D4753">
        <v>8</v>
      </c>
      <c r="E4753" t="s">
        <v>4301</v>
      </c>
      <c r="F4753" t="s">
        <v>4047</v>
      </c>
      <c r="G4753" t="s">
        <v>919</v>
      </c>
      <c r="H4753" t="s">
        <v>920</v>
      </c>
      <c r="I4753" t="s">
        <v>86</v>
      </c>
      <c r="J4753">
        <v>54</v>
      </c>
      <c r="K4753" t="s">
        <v>83</v>
      </c>
      <c r="L4753" t="s">
        <v>2576</v>
      </c>
      <c r="M4753" t="s">
        <v>60</v>
      </c>
      <c r="N4753" t="s">
        <v>2626</v>
      </c>
      <c r="O4753" t="s">
        <v>125</v>
      </c>
      <c r="P4753" t="s">
        <v>48</v>
      </c>
      <c r="Q4753" t="s">
        <v>141</v>
      </c>
      <c r="R4753">
        <v>5</v>
      </c>
      <c r="S4753">
        <v>1999</v>
      </c>
      <c r="T4753">
        <v>0</v>
      </c>
      <c r="U4753">
        <v>9995</v>
      </c>
      <c r="V4753">
        <v>5750</v>
      </c>
      <c r="W4753">
        <v>4245</v>
      </c>
      <c r="X4753" t="s">
        <v>74</v>
      </c>
      <c r="Y4753" t="s">
        <v>68</v>
      </c>
      <c r="Z4753" t="s">
        <v>158</v>
      </c>
      <c r="AA4753" t="s">
        <v>168</v>
      </c>
      <c r="AB4753">
        <v>3.7</v>
      </c>
      <c r="AC4753">
        <v>60</v>
      </c>
      <c r="AD4753">
        <v>920.38</v>
      </c>
      <c r="AE4753">
        <f t="shared" si="148"/>
        <v>3264.62</v>
      </c>
      <c r="AF4753" t="str">
        <f t="shared" si="149"/>
        <v>2026-08</v>
      </c>
      <c r="AG4753">
        <f>SUBTOTAL(103,A4753)</f>
        <v>1</v>
      </c>
    </row>
    <row r="4754" spans="1:33" x14ac:dyDescent="0.3">
      <c r="A4754" t="s">
        <v>7377</v>
      </c>
      <c r="B4754" s="13">
        <v>46263</v>
      </c>
      <c r="C4754">
        <v>2026</v>
      </c>
      <c r="D4754">
        <v>8</v>
      </c>
      <c r="E4754" t="s">
        <v>4301</v>
      </c>
      <c r="F4754" t="s">
        <v>4047</v>
      </c>
      <c r="G4754" t="s">
        <v>1987</v>
      </c>
      <c r="H4754" t="s">
        <v>1988</v>
      </c>
      <c r="I4754" t="s">
        <v>86</v>
      </c>
      <c r="J4754">
        <v>26</v>
      </c>
      <c r="K4754" t="s">
        <v>81</v>
      </c>
      <c r="L4754" t="s">
        <v>90</v>
      </c>
      <c r="M4754" t="s">
        <v>55</v>
      </c>
      <c r="N4754" t="s">
        <v>2582</v>
      </c>
      <c r="O4754" t="s">
        <v>119</v>
      </c>
      <c r="P4754" t="s">
        <v>49</v>
      </c>
      <c r="Q4754" t="s">
        <v>140</v>
      </c>
      <c r="R4754">
        <v>1</v>
      </c>
      <c r="S4754">
        <v>3499</v>
      </c>
      <c r="T4754">
        <v>0.1</v>
      </c>
      <c r="U4754">
        <v>3149.1</v>
      </c>
      <c r="V4754">
        <v>2100</v>
      </c>
      <c r="W4754">
        <v>1049.0999999999999</v>
      </c>
      <c r="X4754" t="s">
        <v>74</v>
      </c>
      <c r="Y4754" t="s">
        <v>68</v>
      </c>
      <c r="Z4754" t="s">
        <v>158</v>
      </c>
      <c r="AA4754" t="s">
        <v>170</v>
      </c>
      <c r="AB4754">
        <v>4.2</v>
      </c>
      <c r="AC4754">
        <v>80</v>
      </c>
      <c r="AD4754">
        <v>299.48</v>
      </c>
      <c r="AE4754">
        <f t="shared" si="148"/>
        <v>669.61999999999989</v>
      </c>
      <c r="AF4754" t="str">
        <f t="shared" si="149"/>
        <v>2026-08</v>
      </c>
      <c r="AG4754">
        <f>SUBTOTAL(103,A4754)</f>
        <v>1</v>
      </c>
    </row>
    <row r="4755" spans="1:33" x14ac:dyDescent="0.3">
      <c r="A4755" t="s">
        <v>7378</v>
      </c>
      <c r="B4755" s="13">
        <v>46263</v>
      </c>
      <c r="C4755">
        <v>2026</v>
      </c>
      <c r="D4755">
        <v>8</v>
      </c>
      <c r="E4755" t="s">
        <v>4301</v>
      </c>
      <c r="F4755" t="s">
        <v>4047</v>
      </c>
      <c r="G4755" t="s">
        <v>191</v>
      </c>
      <c r="H4755" t="s">
        <v>192</v>
      </c>
      <c r="I4755" t="s">
        <v>85</v>
      </c>
      <c r="J4755">
        <v>22</v>
      </c>
      <c r="K4755" t="s">
        <v>80</v>
      </c>
      <c r="L4755" t="s">
        <v>2687</v>
      </c>
      <c r="M4755" t="s">
        <v>57</v>
      </c>
      <c r="N4755" t="s">
        <v>2587</v>
      </c>
      <c r="O4755" t="s">
        <v>116</v>
      </c>
      <c r="P4755" t="s">
        <v>48</v>
      </c>
      <c r="Q4755" t="s">
        <v>138</v>
      </c>
      <c r="R4755">
        <v>4</v>
      </c>
      <c r="S4755">
        <v>14999</v>
      </c>
      <c r="T4755">
        <v>0.1</v>
      </c>
      <c r="U4755">
        <v>53996.4</v>
      </c>
      <c r="V4755">
        <v>44800</v>
      </c>
      <c r="W4755">
        <v>9196.4</v>
      </c>
      <c r="X4755" t="s">
        <v>77</v>
      </c>
      <c r="Y4755" t="s">
        <v>68</v>
      </c>
      <c r="Z4755" t="s">
        <v>160</v>
      </c>
      <c r="AA4755" t="s">
        <v>169</v>
      </c>
      <c r="AB4755">
        <v>4.9000000000000004</v>
      </c>
      <c r="AC4755">
        <v>80</v>
      </c>
      <c r="AD4755">
        <v>1413.03</v>
      </c>
      <c r="AE4755">
        <f t="shared" si="148"/>
        <v>7703.37</v>
      </c>
      <c r="AF4755" t="str">
        <f t="shared" si="149"/>
        <v>2026-08</v>
      </c>
      <c r="AG4755">
        <f>SUBTOTAL(103,A4755)</f>
        <v>1</v>
      </c>
    </row>
    <row r="4756" spans="1:33" x14ac:dyDescent="0.3">
      <c r="A4756" t="s">
        <v>7379</v>
      </c>
      <c r="B4756" s="13">
        <v>46263</v>
      </c>
      <c r="C4756">
        <v>2026</v>
      </c>
      <c r="D4756">
        <v>8</v>
      </c>
      <c r="E4756" t="s">
        <v>4301</v>
      </c>
      <c r="F4756" t="s">
        <v>4047</v>
      </c>
      <c r="G4756" t="s">
        <v>817</v>
      </c>
      <c r="H4756" t="s">
        <v>818</v>
      </c>
      <c r="I4756" t="s">
        <v>86</v>
      </c>
      <c r="J4756">
        <v>49</v>
      </c>
      <c r="K4756" t="s">
        <v>83</v>
      </c>
      <c r="L4756" t="s">
        <v>90</v>
      </c>
      <c r="M4756" t="s">
        <v>55</v>
      </c>
      <c r="N4756" t="s">
        <v>2592</v>
      </c>
      <c r="O4756" t="s">
        <v>115</v>
      </c>
      <c r="P4756" t="s">
        <v>48</v>
      </c>
      <c r="Q4756" t="s">
        <v>137</v>
      </c>
      <c r="R4756">
        <v>1</v>
      </c>
      <c r="S4756">
        <v>12999</v>
      </c>
      <c r="T4756">
        <v>0.15</v>
      </c>
      <c r="U4756">
        <v>11049.15</v>
      </c>
      <c r="V4756">
        <v>9000</v>
      </c>
      <c r="W4756">
        <v>2049.15</v>
      </c>
      <c r="X4756" t="s">
        <v>77</v>
      </c>
      <c r="Y4756" t="s">
        <v>68</v>
      </c>
      <c r="Z4756" t="s">
        <v>163</v>
      </c>
      <c r="AA4756" t="s">
        <v>166</v>
      </c>
      <c r="AB4756">
        <v>4.8</v>
      </c>
      <c r="AC4756">
        <v>60</v>
      </c>
      <c r="AD4756">
        <v>1212.51</v>
      </c>
      <c r="AE4756">
        <f t="shared" si="148"/>
        <v>776.6400000000001</v>
      </c>
      <c r="AF4756" t="str">
        <f t="shared" si="149"/>
        <v>2026-08</v>
      </c>
      <c r="AG4756">
        <f>SUBTOTAL(103,A4756)</f>
        <v>1</v>
      </c>
    </row>
    <row r="4757" spans="1:33" x14ac:dyDescent="0.3">
      <c r="A4757" t="s">
        <v>7380</v>
      </c>
      <c r="B4757" s="13">
        <v>46263</v>
      </c>
      <c r="C4757">
        <v>2026</v>
      </c>
      <c r="D4757">
        <v>8</v>
      </c>
      <c r="E4757" t="s">
        <v>4301</v>
      </c>
      <c r="F4757" t="s">
        <v>4047</v>
      </c>
      <c r="G4757" t="s">
        <v>2427</v>
      </c>
      <c r="H4757" t="s">
        <v>2428</v>
      </c>
      <c r="I4757" t="s">
        <v>86</v>
      </c>
      <c r="J4757">
        <v>48</v>
      </c>
      <c r="K4757" t="s">
        <v>83</v>
      </c>
      <c r="L4757" t="s">
        <v>100</v>
      </c>
      <c r="M4757" t="s">
        <v>56</v>
      </c>
      <c r="N4757" t="s">
        <v>2606</v>
      </c>
      <c r="O4757" t="s">
        <v>120</v>
      </c>
      <c r="P4757" t="s">
        <v>49</v>
      </c>
      <c r="Q4757" t="s">
        <v>140</v>
      </c>
      <c r="R4757">
        <v>1</v>
      </c>
      <c r="S4757">
        <v>2799</v>
      </c>
      <c r="T4757">
        <v>0</v>
      </c>
      <c r="U4757">
        <v>2799</v>
      </c>
      <c r="V4757">
        <v>1650</v>
      </c>
      <c r="W4757">
        <v>1149</v>
      </c>
      <c r="X4757" t="s">
        <v>76</v>
      </c>
      <c r="Y4757" t="s">
        <v>68</v>
      </c>
      <c r="Z4757" t="s">
        <v>163</v>
      </c>
      <c r="AA4757" t="s">
        <v>166</v>
      </c>
      <c r="AB4757">
        <v>3.4</v>
      </c>
      <c r="AC4757">
        <v>120</v>
      </c>
      <c r="AD4757">
        <v>203.09</v>
      </c>
      <c r="AE4757">
        <f t="shared" si="148"/>
        <v>825.91</v>
      </c>
      <c r="AF4757" t="str">
        <f t="shared" si="149"/>
        <v>2026-08</v>
      </c>
      <c r="AG4757">
        <f>SUBTOTAL(103,A4757)</f>
        <v>1</v>
      </c>
    </row>
    <row r="4758" spans="1:33" x14ac:dyDescent="0.3">
      <c r="A4758" t="s">
        <v>7381</v>
      </c>
      <c r="B4758" s="13">
        <v>46264</v>
      </c>
      <c r="C4758">
        <v>2026</v>
      </c>
      <c r="D4758">
        <v>8</v>
      </c>
      <c r="E4758" t="s">
        <v>4301</v>
      </c>
      <c r="F4758" t="s">
        <v>4047</v>
      </c>
      <c r="G4758" t="s">
        <v>727</v>
      </c>
      <c r="H4758" t="s">
        <v>728</v>
      </c>
      <c r="I4758" t="s">
        <v>86</v>
      </c>
      <c r="J4758">
        <v>57</v>
      </c>
      <c r="K4758" t="s">
        <v>83</v>
      </c>
      <c r="L4758" t="s">
        <v>2661</v>
      </c>
      <c r="M4758" t="s">
        <v>58</v>
      </c>
      <c r="N4758" t="s">
        <v>2606</v>
      </c>
      <c r="O4758" t="s">
        <v>120</v>
      </c>
      <c r="P4758" t="s">
        <v>49</v>
      </c>
      <c r="Q4758" t="s">
        <v>140</v>
      </c>
      <c r="R4758">
        <v>1</v>
      </c>
      <c r="S4758">
        <v>2799</v>
      </c>
      <c r="T4758">
        <v>0.05</v>
      </c>
      <c r="U4758">
        <v>2659.05</v>
      </c>
      <c r="V4758">
        <v>1650</v>
      </c>
      <c r="W4758">
        <v>1009.05</v>
      </c>
      <c r="X4758" t="s">
        <v>73</v>
      </c>
      <c r="Y4758" t="s">
        <v>68</v>
      </c>
      <c r="Z4758" t="s">
        <v>159</v>
      </c>
      <c r="AA4758" t="s">
        <v>167</v>
      </c>
      <c r="AB4758">
        <v>4.3</v>
      </c>
      <c r="AC4758">
        <v>50</v>
      </c>
      <c r="AD4758">
        <v>145</v>
      </c>
      <c r="AE4758">
        <f t="shared" si="148"/>
        <v>814.05</v>
      </c>
      <c r="AF4758" t="str">
        <f t="shared" si="149"/>
        <v>2026-08</v>
      </c>
      <c r="AG4758">
        <f>SUBTOTAL(103,A4758)</f>
        <v>1</v>
      </c>
    </row>
    <row r="4759" spans="1:33" x14ac:dyDescent="0.3">
      <c r="A4759" t="s">
        <v>7382</v>
      </c>
      <c r="B4759" s="13">
        <v>46264</v>
      </c>
      <c r="C4759">
        <v>2026</v>
      </c>
      <c r="D4759">
        <v>8</v>
      </c>
      <c r="E4759" t="s">
        <v>4301</v>
      </c>
      <c r="F4759" t="s">
        <v>4047</v>
      </c>
      <c r="G4759" t="s">
        <v>1673</v>
      </c>
      <c r="H4759" t="s">
        <v>1674</v>
      </c>
      <c r="I4759" t="s">
        <v>86</v>
      </c>
      <c r="J4759">
        <v>34</v>
      </c>
      <c r="K4759" t="s">
        <v>81</v>
      </c>
      <c r="L4759" t="s">
        <v>2679</v>
      </c>
      <c r="M4759" t="s">
        <v>60</v>
      </c>
      <c r="N4759" t="s">
        <v>2626</v>
      </c>
      <c r="O4759" t="s">
        <v>125</v>
      </c>
      <c r="P4759" t="s">
        <v>48</v>
      </c>
      <c r="Q4759" t="s">
        <v>141</v>
      </c>
      <c r="R4759">
        <v>5</v>
      </c>
      <c r="S4759">
        <v>1999</v>
      </c>
      <c r="T4759">
        <v>0.05</v>
      </c>
      <c r="U4759">
        <v>9495.25</v>
      </c>
      <c r="V4759">
        <v>5750</v>
      </c>
      <c r="W4759">
        <v>3745.25</v>
      </c>
      <c r="X4759" t="s">
        <v>73</v>
      </c>
      <c r="Y4759" t="s">
        <v>68</v>
      </c>
      <c r="Z4759" t="s">
        <v>158</v>
      </c>
      <c r="AA4759" t="s">
        <v>171</v>
      </c>
      <c r="AB4759">
        <v>4.5999999999999996</v>
      </c>
      <c r="AC4759">
        <v>50</v>
      </c>
      <c r="AD4759">
        <v>948.53</v>
      </c>
      <c r="AE4759">
        <f t="shared" si="148"/>
        <v>2746.7200000000003</v>
      </c>
      <c r="AF4759" t="str">
        <f t="shared" si="149"/>
        <v>2026-08</v>
      </c>
      <c r="AG4759">
        <f>SUBTOTAL(103,A4759)</f>
        <v>1</v>
      </c>
    </row>
    <row r="4760" spans="1:33" x14ac:dyDescent="0.3">
      <c r="A4760" t="s">
        <v>7383</v>
      </c>
      <c r="B4760" s="13">
        <v>46264</v>
      </c>
      <c r="C4760">
        <v>2026</v>
      </c>
      <c r="D4760">
        <v>8</v>
      </c>
      <c r="E4760" t="s">
        <v>4301</v>
      </c>
      <c r="F4760" t="s">
        <v>4047</v>
      </c>
      <c r="G4760" t="s">
        <v>1709</v>
      </c>
      <c r="H4760" t="s">
        <v>1710</v>
      </c>
      <c r="I4760" t="s">
        <v>86</v>
      </c>
      <c r="J4760">
        <v>54</v>
      </c>
      <c r="K4760" t="s">
        <v>83</v>
      </c>
      <c r="L4760" t="s">
        <v>99</v>
      </c>
      <c r="M4760" t="s">
        <v>58</v>
      </c>
      <c r="N4760" t="s">
        <v>2653</v>
      </c>
      <c r="O4760" t="s">
        <v>132</v>
      </c>
      <c r="P4760" t="s">
        <v>52</v>
      </c>
      <c r="Q4760" t="s">
        <v>150</v>
      </c>
      <c r="R4760">
        <v>2</v>
      </c>
      <c r="S4760">
        <v>899</v>
      </c>
      <c r="T4760">
        <v>0.1</v>
      </c>
      <c r="U4760">
        <v>1618.2</v>
      </c>
      <c r="V4760">
        <v>840</v>
      </c>
      <c r="W4760">
        <v>778.2</v>
      </c>
      <c r="X4760" t="s">
        <v>73</v>
      </c>
      <c r="Y4760" t="s">
        <v>68</v>
      </c>
      <c r="Z4760" t="s">
        <v>160</v>
      </c>
      <c r="AA4760" t="s">
        <v>166</v>
      </c>
      <c r="AB4760">
        <v>4.8</v>
      </c>
      <c r="AC4760">
        <v>60</v>
      </c>
      <c r="AD4760">
        <v>148.37</v>
      </c>
      <c r="AE4760">
        <f t="shared" si="148"/>
        <v>569.83000000000004</v>
      </c>
      <c r="AF4760" t="str">
        <f t="shared" si="149"/>
        <v>2026-08</v>
      </c>
      <c r="AG4760">
        <f>SUBTOTAL(103,A4760)</f>
        <v>1</v>
      </c>
    </row>
    <row r="4761" spans="1:33" x14ac:dyDescent="0.3">
      <c r="A4761" t="s">
        <v>7384</v>
      </c>
      <c r="B4761" s="13">
        <v>46264</v>
      </c>
      <c r="C4761">
        <v>2026</v>
      </c>
      <c r="D4761">
        <v>8</v>
      </c>
      <c r="E4761" t="s">
        <v>4301</v>
      </c>
      <c r="F4761" t="s">
        <v>4047</v>
      </c>
      <c r="G4761" t="s">
        <v>2179</v>
      </c>
      <c r="H4761" t="s">
        <v>2180</v>
      </c>
      <c r="I4761" t="s">
        <v>86</v>
      </c>
      <c r="J4761">
        <v>22</v>
      </c>
      <c r="K4761" t="s">
        <v>80</v>
      </c>
      <c r="L4761" t="s">
        <v>100</v>
      </c>
      <c r="M4761" t="s">
        <v>56</v>
      </c>
      <c r="N4761" t="s">
        <v>2630</v>
      </c>
      <c r="O4761" t="s">
        <v>123</v>
      </c>
      <c r="P4761" t="s">
        <v>52</v>
      </c>
      <c r="Q4761" t="s">
        <v>146</v>
      </c>
      <c r="R4761">
        <v>1</v>
      </c>
      <c r="S4761">
        <v>2499</v>
      </c>
      <c r="T4761">
        <v>0.15</v>
      </c>
      <c r="U4761">
        <v>2124.15</v>
      </c>
      <c r="V4761">
        <v>1400</v>
      </c>
      <c r="W4761">
        <v>724.15</v>
      </c>
      <c r="X4761" t="s">
        <v>75</v>
      </c>
      <c r="Y4761" t="s">
        <v>68</v>
      </c>
      <c r="Z4761" t="s">
        <v>162</v>
      </c>
      <c r="AA4761" t="s">
        <v>169</v>
      </c>
      <c r="AB4761">
        <v>5</v>
      </c>
      <c r="AC4761">
        <v>120</v>
      </c>
      <c r="AD4761">
        <v>105.1</v>
      </c>
      <c r="AE4761">
        <f t="shared" si="148"/>
        <v>499.04999999999995</v>
      </c>
      <c r="AF4761" t="str">
        <f t="shared" si="149"/>
        <v>2026-08</v>
      </c>
      <c r="AG4761">
        <f>SUBTOTAL(103,A4761)</f>
        <v>1</v>
      </c>
    </row>
    <row r="4762" spans="1:33" x14ac:dyDescent="0.3">
      <c r="A4762" t="s">
        <v>7385</v>
      </c>
      <c r="B4762" s="13">
        <v>46264</v>
      </c>
      <c r="C4762">
        <v>2026</v>
      </c>
      <c r="D4762">
        <v>8</v>
      </c>
      <c r="E4762" t="s">
        <v>4301</v>
      </c>
      <c r="F4762" t="s">
        <v>4047</v>
      </c>
      <c r="G4762" t="s">
        <v>1503</v>
      </c>
      <c r="H4762" t="s">
        <v>1504</v>
      </c>
      <c r="I4762" t="s">
        <v>86</v>
      </c>
      <c r="J4762">
        <v>34</v>
      </c>
      <c r="K4762" t="s">
        <v>81</v>
      </c>
      <c r="L4762" t="s">
        <v>2576</v>
      </c>
      <c r="M4762" t="s">
        <v>60</v>
      </c>
      <c r="N4762" t="s">
        <v>2657</v>
      </c>
      <c r="O4762" t="s">
        <v>134</v>
      </c>
      <c r="P4762" t="s">
        <v>49</v>
      </c>
      <c r="Q4762" t="s">
        <v>140</v>
      </c>
      <c r="R4762">
        <v>4</v>
      </c>
      <c r="S4762">
        <v>599</v>
      </c>
      <c r="T4762">
        <v>0</v>
      </c>
      <c r="U4762">
        <v>2396</v>
      </c>
      <c r="V4762">
        <v>1000</v>
      </c>
      <c r="W4762">
        <v>1396</v>
      </c>
      <c r="X4762" t="s">
        <v>75</v>
      </c>
      <c r="Y4762" t="s">
        <v>68</v>
      </c>
      <c r="Z4762" t="s">
        <v>162</v>
      </c>
      <c r="AA4762" t="s">
        <v>166</v>
      </c>
      <c r="AB4762">
        <v>4</v>
      </c>
      <c r="AC4762">
        <v>80</v>
      </c>
      <c r="AD4762">
        <v>267.66000000000003</v>
      </c>
      <c r="AE4762">
        <f t="shared" si="148"/>
        <v>1048.3399999999999</v>
      </c>
      <c r="AF4762" t="str">
        <f t="shared" si="149"/>
        <v>2026-08</v>
      </c>
      <c r="AG4762">
        <f>SUBTOTAL(103,A4762)</f>
        <v>1</v>
      </c>
    </row>
    <row r="4763" spans="1:33" x14ac:dyDescent="0.3">
      <c r="A4763" t="s">
        <v>7386</v>
      </c>
      <c r="B4763" s="13">
        <v>46264</v>
      </c>
      <c r="C4763">
        <v>2026</v>
      </c>
      <c r="D4763">
        <v>8</v>
      </c>
      <c r="E4763" t="s">
        <v>4301</v>
      </c>
      <c r="F4763" t="s">
        <v>4047</v>
      </c>
      <c r="G4763" t="s">
        <v>805</v>
      </c>
      <c r="H4763" t="s">
        <v>806</v>
      </c>
      <c r="I4763" t="s">
        <v>86</v>
      </c>
      <c r="J4763">
        <v>37</v>
      </c>
      <c r="K4763" t="s">
        <v>82</v>
      </c>
      <c r="L4763" t="s">
        <v>91</v>
      </c>
      <c r="M4763" t="s">
        <v>55</v>
      </c>
      <c r="N4763" t="s">
        <v>2590</v>
      </c>
      <c r="O4763" t="s">
        <v>127</v>
      </c>
      <c r="P4763" t="s">
        <v>51</v>
      </c>
      <c r="Q4763" t="s">
        <v>148</v>
      </c>
      <c r="R4763">
        <v>5</v>
      </c>
      <c r="S4763">
        <v>1599</v>
      </c>
      <c r="T4763">
        <v>0</v>
      </c>
      <c r="U4763">
        <v>7995</v>
      </c>
      <c r="V4763">
        <v>4000</v>
      </c>
      <c r="W4763">
        <v>3995</v>
      </c>
      <c r="X4763" t="s">
        <v>73</v>
      </c>
      <c r="Y4763" t="s">
        <v>68</v>
      </c>
      <c r="Z4763" t="s">
        <v>158</v>
      </c>
      <c r="AA4763" t="s">
        <v>166</v>
      </c>
      <c r="AB4763">
        <v>5</v>
      </c>
      <c r="AC4763">
        <v>50</v>
      </c>
      <c r="AD4763">
        <v>444.44</v>
      </c>
      <c r="AE4763">
        <f t="shared" si="148"/>
        <v>3500.56</v>
      </c>
      <c r="AF4763" t="str">
        <f t="shared" si="149"/>
        <v>2026-08</v>
      </c>
      <c r="AG4763">
        <f>SUBTOTAL(103,A4763)</f>
        <v>1</v>
      </c>
    </row>
    <row r="4764" spans="1:33" x14ac:dyDescent="0.3">
      <c r="A4764" t="s">
        <v>7387</v>
      </c>
      <c r="B4764" s="13">
        <v>46264</v>
      </c>
      <c r="C4764">
        <v>2026</v>
      </c>
      <c r="D4764">
        <v>8</v>
      </c>
      <c r="E4764" t="s">
        <v>4301</v>
      </c>
      <c r="F4764" t="s">
        <v>4047</v>
      </c>
      <c r="G4764" t="s">
        <v>2519</v>
      </c>
      <c r="H4764" t="s">
        <v>2520</v>
      </c>
      <c r="I4764" t="s">
        <v>85</v>
      </c>
      <c r="J4764">
        <v>34</v>
      </c>
      <c r="K4764" t="s">
        <v>81</v>
      </c>
      <c r="L4764" t="s">
        <v>2573</v>
      </c>
      <c r="M4764" t="s">
        <v>63</v>
      </c>
      <c r="N4764" t="s">
        <v>2574</v>
      </c>
      <c r="O4764" t="s">
        <v>130</v>
      </c>
      <c r="P4764" t="s">
        <v>50</v>
      </c>
      <c r="Q4764" t="s">
        <v>53</v>
      </c>
      <c r="R4764">
        <v>5</v>
      </c>
      <c r="S4764">
        <v>1199</v>
      </c>
      <c r="T4764">
        <v>0.05</v>
      </c>
      <c r="U4764">
        <v>0</v>
      </c>
      <c r="V4764">
        <v>0</v>
      </c>
      <c r="W4764">
        <v>0</v>
      </c>
      <c r="X4764" t="s">
        <v>73</v>
      </c>
      <c r="Y4764" t="s">
        <v>71</v>
      </c>
      <c r="Z4764" t="s">
        <v>158</v>
      </c>
      <c r="AA4764" t="s">
        <v>168</v>
      </c>
      <c r="AB4764">
        <v>5</v>
      </c>
      <c r="AC4764">
        <v>100</v>
      </c>
      <c r="AD4764">
        <v>176.97</v>
      </c>
      <c r="AE4764">
        <f t="shared" si="148"/>
        <v>-276.97000000000003</v>
      </c>
      <c r="AF4764" t="str">
        <f t="shared" si="149"/>
        <v>2026-08</v>
      </c>
      <c r="AG4764">
        <f>SUBTOTAL(103,A4764)</f>
        <v>1</v>
      </c>
    </row>
    <row r="4765" spans="1:33" x14ac:dyDescent="0.3">
      <c r="A4765" t="s">
        <v>7388</v>
      </c>
      <c r="B4765" s="13">
        <v>46265</v>
      </c>
      <c r="C4765">
        <v>2026</v>
      </c>
      <c r="D4765">
        <v>8</v>
      </c>
      <c r="E4765" t="s">
        <v>4301</v>
      </c>
      <c r="F4765" t="s">
        <v>4047</v>
      </c>
      <c r="G4765" t="s">
        <v>1379</v>
      </c>
      <c r="H4765" t="s">
        <v>1380</v>
      </c>
      <c r="I4765" t="s">
        <v>85</v>
      </c>
      <c r="J4765">
        <v>28</v>
      </c>
      <c r="K4765" t="s">
        <v>81</v>
      </c>
      <c r="L4765" t="s">
        <v>2616</v>
      </c>
      <c r="M4765" t="s">
        <v>62</v>
      </c>
      <c r="N4765" t="s">
        <v>2653</v>
      </c>
      <c r="O4765" t="s">
        <v>132</v>
      </c>
      <c r="P4765" t="s">
        <v>52</v>
      </c>
      <c r="Q4765" t="s">
        <v>150</v>
      </c>
      <c r="R4765">
        <v>1</v>
      </c>
      <c r="S4765">
        <v>899</v>
      </c>
      <c r="T4765">
        <v>0.05</v>
      </c>
      <c r="U4765">
        <v>854.05</v>
      </c>
      <c r="V4765">
        <v>420</v>
      </c>
      <c r="W4765">
        <v>434.05</v>
      </c>
      <c r="X4765" t="s">
        <v>76</v>
      </c>
      <c r="Y4765" t="s">
        <v>68</v>
      </c>
      <c r="Z4765" t="s">
        <v>160</v>
      </c>
      <c r="AA4765" t="s">
        <v>166</v>
      </c>
      <c r="AB4765">
        <v>4.2</v>
      </c>
      <c r="AC4765">
        <v>60</v>
      </c>
      <c r="AD4765">
        <v>76.11</v>
      </c>
      <c r="AE4765">
        <f t="shared" si="148"/>
        <v>297.94</v>
      </c>
      <c r="AF4765" t="str">
        <f t="shared" si="149"/>
        <v>2026-08</v>
      </c>
      <c r="AG4765">
        <f>SUBTOTAL(103,A4765)</f>
        <v>1</v>
      </c>
    </row>
    <row r="4766" spans="1:33" x14ac:dyDescent="0.3">
      <c r="A4766" t="s">
        <v>7389</v>
      </c>
      <c r="B4766" s="13">
        <v>46265</v>
      </c>
      <c r="C4766">
        <v>2026</v>
      </c>
      <c r="D4766">
        <v>8</v>
      </c>
      <c r="E4766" t="s">
        <v>4301</v>
      </c>
      <c r="F4766" t="s">
        <v>4047</v>
      </c>
      <c r="G4766" t="s">
        <v>1811</v>
      </c>
      <c r="H4766" t="s">
        <v>1812</v>
      </c>
      <c r="I4766" t="s">
        <v>85</v>
      </c>
      <c r="J4766">
        <v>44</v>
      </c>
      <c r="K4766" t="s">
        <v>82</v>
      </c>
      <c r="L4766" t="s">
        <v>99</v>
      </c>
      <c r="M4766" t="s">
        <v>58</v>
      </c>
      <c r="N4766" t="s">
        <v>2594</v>
      </c>
      <c r="O4766" t="s">
        <v>131</v>
      </c>
      <c r="P4766" t="s">
        <v>53</v>
      </c>
      <c r="Q4766" t="s">
        <v>143</v>
      </c>
      <c r="R4766">
        <v>1</v>
      </c>
      <c r="S4766">
        <v>999</v>
      </c>
      <c r="T4766">
        <v>0.05</v>
      </c>
      <c r="U4766">
        <v>949.05</v>
      </c>
      <c r="V4766">
        <v>520</v>
      </c>
      <c r="W4766">
        <v>429.05</v>
      </c>
      <c r="X4766" t="s">
        <v>73</v>
      </c>
      <c r="Y4766" t="s">
        <v>68</v>
      </c>
      <c r="Z4766" t="s">
        <v>159</v>
      </c>
      <c r="AA4766" t="s">
        <v>169</v>
      </c>
      <c r="AB4766">
        <v>3.1</v>
      </c>
      <c r="AC4766">
        <v>80</v>
      </c>
      <c r="AD4766">
        <v>96.31</v>
      </c>
      <c r="AE4766">
        <f t="shared" si="148"/>
        <v>252.74</v>
      </c>
      <c r="AF4766" t="str">
        <f t="shared" si="149"/>
        <v>2026-08</v>
      </c>
      <c r="AG4766">
        <f>SUBTOTAL(103,A4766)</f>
        <v>1</v>
      </c>
    </row>
    <row r="4767" spans="1:33" x14ac:dyDescent="0.3">
      <c r="A4767" t="s">
        <v>7390</v>
      </c>
      <c r="B4767" s="13">
        <v>46265</v>
      </c>
      <c r="C4767">
        <v>2026</v>
      </c>
      <c r="D4767">
        <v>8</v>
      </c>
      <c r="E4767" t="s">
        <v>4301</v>
      </c>
      <c r="F4767" t="s">
        <v>4047</v>
      </c>
      <c r="G4767" t="s">
        <v>429</v>
      </c>
      <c r="H4767" t="s">
        <v>430</v>
      </c>
      <c r="I4767" t="s">
        <v>86</v>
      </c>
      <c r="J4767">
        <v>50</v>
      </c>
      <c r="K4767" t="s">
        <v>83</v>
      </c>
      <c r="L4767" t="s">
        <v>93</v>
      </c>
      <c r="M4767" t="s">
        <v>55</v>
      </c>
      <c r="N4767" t="s">
        <v>2601</v>
      </c>
      <c r="O4767" t="s">
        <v>117</v>
      </c>
      <c r="P4767" t="s">
        <v>49</v>
      </c>
      <c r="Q4767" t="s">
        <v>139</v>
      </c>
      <c r="R4767">
        <v>2</v>
      </c>
      <c r="S4767">
        <v>6999</v>
      </c>
      <c r="T4767">
        <v>0.1</v>
      </c>
      <c r="U4767">
        <v>12598.2</v>
      </c>
      <c r="V4767">
        <v>8600</v>
      </c>
      <c r="W4767">
        <v>3998.2</v>
      </c>
      <c r="X4767" t="s">
        <v>73</v>
      </c>
      <c r="Y4767" t="s">
        <v>68</v>
      </c>
      <c r="Z4767" t="s">
        <v>158</v>
      </c>
      <c r="AA4767" t="s">
        <v>171</v>
      </c>
      <c r="AB4767">
        <v>4.9000000000000004</v>
      </c>
      <c r="AC4767">
        <v>50</v>
      </c>
      <c r="AD4767">
        <v>574.98</v>
      </c>
      <c r="AE4767">
        <f t="shared" si="148"/>
        <v>3373.22</v>
      </c>
      <c r="AF4767" t="str">
        <f t="shared" si="149"/>
        <v>2026-08</v>
      </c>
      <c r="AG4767">
        <f>SUBTOTAL(103,A4767)</f>
        <v>1</v>
      </c>
    </row>
    <row r="4768" spans="1:33" x14ac:dyDescent="0.3">
      <c r="A4768" t="s">
        <v>7391</v>
      </c>
      <c r="B4768" s="13">
        <v>46265</v>
      </c>
      <c r="C4768">
        <v>2026</v>
      </c>
      <c r="D4768">
        <v>8</v>
      </c>
      <c r="E4768" t="s">
        <v>4301</v>
      </c>
      <c r="F4768" t="s">
        <v>4047</v>
      </c>
      <c r="G4768" t="s">
        <v>975</v>
      </c>
      <c r="H4768" t="s">
        <v>976</v>
      </c>
      <c r="I4768" t="s">
        <v>85</v>
      </c>
      <c r="J4768">
        <v>28</v>
      </c>
      <c r="K4768" t="s">
        <v>81</v>
      </c>
      <c r="L4768" t="s">
        <v>2661</v>
      </c>
      <c r="M4768" t="s">
        <v>58</v>
      </c>
      <c r="N4768" t="s">
        <v>2603</v>
      </c>
      <c r="O4768" t="s">
        <v>122</v>
      </c>
      <c r="P4768" t="s">
        <v>48</v>
      </c>
      <c r="Q4768" t="s">
        <v>141</v>
      </c>
      <c r="R4768">
        <v>1</v>
      </c>
      <c r="S4768">
        <v>2499</v>
      </c>
      <c r="T4768">
        <v>0.25</v>
      </c>
      <c r="U4768">
        <v>1874.25</v>
      </c>
      <c r="V4768">
        <v>1450</v>
      </c>
      <c r="W4768">
        <v>424.25</v>
      </c>
      <c r="X4768" t="s">
        <v>73</v>
      </c>
      <c r="Y4768" t="s">
        <v>68</v>
      </c>
      <c r="Z4768" t="s">
        <v>158</v>
      </c>
      <c r="AA4768" t="s">
        <v>166</v>
      </c>
      <c r="AB4768">
        <v>3.2</v>
      </c>
      <c r="AC4768">
        <v>60</v>
      </c>
      <c r="AD4768">
        <v>130.27000000000001</v>
      </c>
      <c r="AE4768">
        <f t="shared" si="148"/>
        <v>233.98</v>
      </c>
      <c r="AF4768" t="str">
        <f t="shared" si="149"/>
        <v>2026-08</v>
      </c>
      <c r="AG4768">
        <f>SUBTOTAL(103,A4768)</f>
        <v>1</v>
      </c>
    </row>
    <row r="4769" spans="1:33" x14ac:dyDescent="0.3">
      <c r="A4769" t="s">
        <v>7392</v>
      </c>
      <c r="B4769" s="13">
        <v>46266</v>
      </c>
      <c r="C4769">
        <v>2026</v>
      </c>
      <c r="D4769">
        <v>9</v>
      </c>
      <c r="E4769" t="s">
        <v>4552</v>
      </c>
      <c r="F4769" t="s">
        <v>4047</v>
      </c>
      <c r="G4769" t="s">
        <v>983</v>
      </c>
      <c r="H4769" t="s">
        <v>984</v>
      </c>
      <c r="I4769" t="s">
        <v>86</v>
      </c>
      <c r="J4769">
        <v>48</v>
      </c>
      <c r="K4769" t="s">
        <v>83</v>
      </c>
      <c r="L4769" t="s">
        <v>92</v>
      </c>
      <c r="M4769" t="s">
        <v>59</v>
      </c>
      <c r="N4769" t="s">
        <v>2577</v>
      </c>
      <c r="O4769" t="s">
        <v>129</v>
      </c>
      <c r="P4769" t="s">
        <v>49</v>
      </c>
      <c r="Q4769" t="s">
        <v>149</v>
      </c>
      <c r="R4769">
        <v>2</v>
      </c>
      <c r="S4769">
        <v>1299</v>
      </c>
      <c r="T4769">
        <v>0</v>
      </c>
      <c r="U4769">
        <v>2598</v>
      </c>
      <c r="V4769">
        <v>1300</v>
      </c>
      <c r="W4769">
        <v>1298</v>
      </c>
      <c r="X4769" t="s">
        <v>76</v>
      </c>
      <c r="Y4769" t="s">
        <v>68</v>
      </c>
      <c r="Z4769" t="s">
        <v>159</v>
      </c>
      <c r="AA4769" t="s">
        <v>171</v>
      </c>
      <c r="AB4769">
        <v>3.5</v>
      </c>
      <c r="AC4769">
        <v>50</v>
      </c>
      <c r="AD4769">
        <v>268.38</v>
      </c>
      <c r="AE4769">
        <f t="shared" si="148"/>
        <v>979.62</v>
      </c>
      <c r="AF4769" t="str">
        <f t="shared" si="149"/>
        <v>2026-09</v>
      </c>
      <c r="AG4769">
        <f>SUBTOTAL(103,A4769)</f>
        <v>1</v>
      </c>
    </row>
    <row r="4770" spans="1:33" x14ac:dyDescent="0.3">
      <c r="A4770" t="s">
        <v>7393</v>
      </c>
      <c r="B4770" s="13">
        <v>46266</v>
      </c>
      <c r="C4770">
        <v>2026</v>
      </c>
      <c r="D4770">
        <v>9</v>
      </c>
      <c r="E4770" t="s">
        <v>4552</v>
      </c>
      <c r="F4770" t="s">
        <v>4047</v>
      </c>
      <c r="G4770" t="s">
        <v>407</v>
      </c>
      <c r="H4770" t="s">
        <v>408</v>
      </c>
      <c r="I4770" t="s">
        <v>85</v>
      </c>
      <c r="J4770">
        <v>44</v>
      </c>
      <c r="K4770" t="s">
        <v>82</v>
      </c>
      <c r="L4770" t="s">
        <v>2573</v>
      </c>
      <c r="M4770" t="s">
        <v>63</v>
      </c>
      <c r="N4770" t="s">
        <v>2665</v>
      </c>
      <c r="O4770" t="s">
        <v>128</v>
      </c>
      <c r="P4770" t="s">
        <v>53</v>
      </c>
      <c r="Q4770" t="s">
        <v>143</v>
      </c>
      <c r="R4770">
        <v>5</v>
      </c>
      <c r="S4770">
        <v>1499</v>
      </c>
      <c r="T4770">
        <v>0</v>
      </c>
      <c r="U4770">
        <v>7495</v>
      </c>
      <c r="V4770">
        <v>4000</v>
      </c>
      <c r="W4770">
        <v>3495</v>
      </c>
      <c r="X4770" t="s">
        <v>74</v>
      </c>
      <c r="Y4770" t="s">
        <v>68</v>
      </c>
      <c r="Z4770" t="s">
        <v>159</v>
      </c>
      <c r="AA4770" t="s">
        <v>168</v>
      </c>
      <c r="AB4770">
        <v>5</v>
      </c>
      <c r="AC4770">
        <v>80</v>
      </c>
      <c r="AD4770">
        <v>414.67</v>
      </c>
      <c r="AE4770">
        <f t="shared" si="148"/>
        <v>3000.33</v>
      </c>
      <c r="AF4770" t="str">
        <f t="shared" si="149"/>
        <v>2026-09</v>
      </c>
      <c r="AG4770">
        <f>SUBTOTAL(103,A4770)</f>
        <v>1</v>
      </c>
    </row>
    <row r="4771" spans="1:33" x14ac:dyDescent="0.3">
      <c r="A4771" t="s">
        <v>7394</v>
      </c>
      <c r="B4771" s="13">
        <v>46266</v>
      </c>
      <c r="C4771">
        <v>2026</v>
      </c>
      <c r="D4771">
        <v>9</v>
      </c>
      <c r="E4771" t="s">
        <v>4552</v>
      </c>
      <c r="F4771" t="s">
        <v>4047</v>
      </c>
      <c r="G4771" t="s">
        <v>377</v>
      </c>
      <c r="H4771" t="s">
        <v>378</v>
      </c>
      <c r="I4771" t="s">
        <v>85</v>
      </c>
      <c r="J4771">
        <v>23</v>
      </c>
      <c r="K4771" t="s">
        <v>80</v>
      </c>
      <c r="L4771" t="s">
        <v>2674</v>
      </c>
      <c r="M4771" t="s">
        <v>58</v>
      </c>
      <c r="N4771" t="s">
        <v>2574</v>
      </c>
      <c r="O4771" t="s">
        <v>130</v>
      </c>
      <c r="P4771" t="s">
        <v>50</v>
      </c>
      <c r="Q4771" t="s">
        <v>53</v>
      </c>
      <c r="R4771">
        <v>5</v>
      </c>
      <c r="S4771">
        <v>1199</v>
      </c>
      <c r="T4771">
        <v>0.1</v>
      </c>
      <c r="U4771">
        <v>5395.5</v>
      </c>
      <c r="V4771">
        <v>2750</v>
      </c>
      <c r="W4771">
        <v>2645.5</v>
      </c>
      <c r="X4771" t="s">
        <v>73</v>
      </c>
      <c r="Y4771" t="s">
        <v>68</v>
      </c>
      <c r="Z4771" t="s">
        <v>158</v>
      </c>
      <c r="AA4771" t="s">
        <v>170</v>
      </c>
      <c r="AB4771">
        <v>5</v>
      </c>
      <c r="AC4771">
        <v>80</v>
      </c>
      <c r="AD4771">
        <v>381.82</v>
      </c>
      <c r="AE4771">
        <f t="shared" si="148"/>
        <v>2183.6799999999998</v>
      </c>
      <c r="AF4771" t="str">
        <f t="shared" si="149"/>
        <v>2026-09</v>
      </c>
      <c r="AG4771">
        <f>SUBTOTAL(103,A4771)</f>
        <v>1</v>
      </c>
    </row>
    <row r="4772" spans="1:33" x14ac:dyDescent="0.3">
      <c r="A4772" t="s">
        <v>7395</v>
      </c>
      <c r="B4772" s="13">
        <v>46266</v>
      </c>
      <c r="C4772">
        <v>2026</v>
      </c>
      <c r="D4772">
        <v>9</v>
      </c>
      <c r="E4772" t="s">
        <v>4552</v>
      </c>
      <c r="F4772" t="s">
        <v>4047</v>
      </c>
      <c r="G4772" t="s">
        <v>1667</v>
      </c>
      <c r="H4772" t="s">
        <v>1668</v>
      </c>
      <c r="I4772" t="s">
        <v>85</v>
      </c>
      <c r="J4772">
        <v>41</v>
      </c>
      <c r="K4772" t="s">
        <v>82</v>
      </c>
      <c r="L4772" t="s">
        <v>2623</v>
      </c>
      <c r="M4772" t="s">
        <v>61</v>
      </c>
      <c r="N4772" t="s">
        <v>2665</v>
      </c>
      <c r="O4772" t="s">
        <v>128</v>
      </c>
      <c r="P4772" t="s">
        <v>53</v>
      </c>
      <c r="Q4772" t="s">
        <v>143</v>
      </c>
      <c r="R4772">
        <v>2</v>
      </c>
      <c r="S4772">
        <v>1499</v>
      </c>
      <c r="T4772">
        <v>0.05</v>
      </c>
      <c r="U4772">
        <v>2848.1</v>
      </c>
      <c r="V4772">
        <v>1600</v>
      </c>
      <c r="W4772">
        <v>1248.0999999999999</v>
      </c>
      <c r="X4772" t="s">
        <v>76</v>
      </c>
      <c r="Y4772" t="s">
        <v>68</v>
      </c>
      <c r="Z4772" t="s">
        <v>158</v>
      </c>
      <c r="AA4772" t="s">
        <v>167</v>
      </c>
      <c r="AB4772">
        <v>3.9</v>
      </c>
      <c r="AC4772">
        <v>80</v>
      </c>
      <c r="AD4772">
        <v>228.11</v>
      </c>
      <c r="AE4772">
        <f t="shared" si="148"/>
        <v>939.9899999999999</v>
      </c>
      <c r="AF4772" t="str">
        <f t="shared" si="149"/>
        <v>2026-09</v>
      </c>
      <c r="AG4772">
        <f>SUBTOTAL(103,A4772)</f>
        <v>1</v>
      </c>
    </row>
    <row r="4773" spans="1:33" x14ac:dyDescent="0.3">
      <c r="A4773" t="s">
        <v>7396</v>
      </c>
      <c r="B4773" s="13">
        <v>46266</v>
      </c>
      <c r="C4773">
        <v>2026</v>
      </c>
      <c r="D4773">
        <v>9</v>
      </c>
      <c r="E4773" t="s">
        <v>4552</v>
      </c>
      <c r="F4773" t="s">
        <v>4047</v>
      </c>
      <c r="G4773" t="s">
        <v>1303</v>
      </c>
      <c r="H4773" t="s">
        <v>1304</v>
      </c>
      <c r="I4773" t="s">
        <v>86</v>
      </c>
      <c r="J4773">
        <v>21</v>
      </c>
      <c r="K4773" t="s">
        <v>80</v>
      </c>
      <c r="L4773" t="s">
        <v>94</v>
      </c>
      <c r="M4773" t="s">
        <v>57</v>
      </c>
      <c r="N4773" t="s">
        <v>2630</v>
      </c>
      <c r="O4773" t="s">
        <v>123</v>
      </c>
      <c r="P4773" t="s">
        <v>52</v>
      </c>
      <c r="Q4773" t="s">
        <v>146</v>
      </c>
      <c r="R4773">
        <v>1</v>
      </c>
      <c r="S4773">
        <v>2499</v>
      </c>
      <c r="T4773">
        <v>0.15</v>
      </c>
      <c r="U4773">
        <v>2124.15</v>
      </c>
      <c r="V4773">
        <v>1400</v>
      </c>
      <c r="W4773">
        <v>724.15</v>
      </c>
      <c r="X4773" t="s">
        <v>73</v>
      </c>
      <c r="Y4773" t="s">
        <v>68</v>
      </c>
      <c r="Z4773" t="s">
        <v>160</v>
      </c>
      <c r="AA4773" t="s">
        <v>169</v>
      </c>
      <c r="AB4773">
        <v>4.0999999999999996</v>
      </c>
      <c r="AC4773">
        <v>80</v>
      </c>
      <c r="AD4773">
        <v>206.64</v>
      </c>
      <c r="AE4773">
        <f t="shared" si="148"/>
        <v>437.51</v>
      </c>
      <c r="AF4773" t="str">
        <f t="shared" si="149"/>
        <v>2026-09</v>
      </c>
      <c r="AG4773">
        <f>SUBTOTAL(103,A4773)</f>
        <v>1</v>
      </c>
    </row>
    <row r="4774" spans="1:33" x14ac:dyDescent="0.3">
      <c r="A4774" t="s">
        <v>7397</v>
      </c>
      <c r="B4774" s="13">
        <v>46266</v>
      </c>
      <c r="C4774">
        <v>2026</v>
      </c>
      <c r="D4774">
        <v>9</v>
      </c>
      <c r="E4774" t="s">
        <v>4552</v>
      </c>
      <c r="F4774" t="s">
        <v>4047</v>
      </c>
      <c r="G4774" t="s">
        <v>1965</v>
      </c>
      <c r="H4774" t="s">
        <v>1966</v>
      </c>
      <c r="I4774" t="s">
        <v>86</v>
      </c>
      <c r="J4774">
        <v>59</v>
      </c>
      <c r="K4774" t="s">
        <v>83</v>
      </c>
      <c r="L4774" t="s">
        <v>2674</v>
      </c>
      <c r="M4774" t="s">
        <v>58</v>
      </c>
      <c r="N4774" t="s">
        <v>2590</v>
      </c>
      <c r="O4774" t="s">
        <v>127</v>
      </c>
      <c r="P4774" t="s">
        <v>51</v>
      </c>
      <c r="Q4774" t="s">
        <v>148</v>
      </c>
      <c r="R4774">
        <v>1</v>
      </c>
      <c r="S4774">
        <v>1599</v>
      </c>
      <c r="T4774">
        <v>0.05</v>
      </c>
      <c r="U4774">
        <v>1519.05</v>
      </c>
      <c r="V4774">
        <v>800</v>
      </c>
      <c r="W4774">
        <v>719.05</v>
      </c>
      <c r="X4774" t="s">
        <v>75</v>
      </c>
      <c r="Y4774" t="s">
        <v>68</v>
      </c>
      <c r="Z4774" t="s">
        <v>160</v>
      </c>
      <c r="AA4774" t="s">
        <v>168</v>
      </c>
      <c r="AB4774">
        <v>3.8</v>
      </c>
      <c r="AC4774">
        <v>40</v>
      </c>
      <c r="AD4774">
        <v>87.95</v>
      </c>
      <c r="AE4774">
        <f t="shared" si="148"/>
        <v>591.09999999999991</v>
      </c>
      <c r="AF4774" t="str">
        <f t="shared" si="149"/>
        <v>2026-09</v>
      </c>
      <c r="AG4774">
        <f>SUBTOTAL(103,A4774)</f>
        <v>1</v>
      </c>
    </row>
    <row r="4775" spans="1:33" x14ac:dyDescent="0.3">
      <c r="A4775" t="s">
        <v>7398</v>
      </c>
      <c r="B4775" s="13">
        <v>46266</v>
      </c>
      <c r="C4775">
        <v>2026</v>
      </c>
      <c r="D4775">
        <v>9</v>
      </c>
      <c r="E4775" t="s">
        <v>4552</v>
      </c>
      <c r="F4775" t="s">
        <v>4047</v>
      </c>
      <c r="G4775" t="s">
        <v>1927</v>
      </c>
      <c r="H4775" t="s">
        <v>1928</v>
      </c>
      <c r="I4775" t="s">
        <v>85</v>
      </c>
      <c r="J4775">
        <v>36</v>
      </c>
      <c r="K4775" t="s">
        <v>82</v>
      </c>
      <c r="L4775" t="s">
        <v>2687</v>
      </c>
      <c r="M4775" t="s">
        <v>57</v>
      </c>
      <c r="N4775" t="s">
        <v>2657</v>
      </c>
      <c r="O4775" t="s">
        <v>134</v>
      </c>
      <c r="P4775" t="s">
        <v>49</v>
      </c>
      <c r="Q4775" t="s">
        <v>140</v>
      </c>
      <c r="R4775">
        <v>1</v>
      </c>
      <c r="S4775">
        <v>599</v>
      </c>
      <c r="T4775">
        <v>0.15</v>
      </c>
      <c r="U4775">
        <v>509.15</v>
      </c>
      <c r="V4775">
        <v>250</v>
      </c>
      <c r="W4775">
        <v>259.14999999999998</v>
      </c>
      <c r="X4775" t="s">
        <v>73</v>
      </c>
      <c r="Y4775" t="s">
        <v>68</v>
      </c>
      <c r="Z4775" t="s">
        <v>158</v>
      </c>
      <c r="AA4775" t="s">
        <v>169</v>
      </c>
      <c r="AB4775">
        <v>3.3</v>
      </c>
      <c r="AC4775">
        <v>80</v>
      </c>
      <c r="AD4775">
        <v>55.52</v>
      </c>
      <c r="AE4775">
        <f t="shared" si="148"/>
        <v>123.62999999999997</v>
      </c>
      <c r="AF4775" t="str">
        <f t="shared" si="149"/>
        <v>2026-09</v>
      </c>
      <c r="AG4775">
        <f>SUBTOTAL(103,A4775)</f>
        <v>1</v>
      </c>
    </row>
    <row r="4776" spans="1:33" x14ac:dyDescent="0.3">
      <c r="A4776" t="s">
        <v>7399</v>
      </c>
      <c r="B4776" s="13">
        <v>46266</v>
      </c>
      <c r="C4776">
        <v>2026</v>
      </c>
      <c r="D4776">
        <v>9</v>
      </c>
      <c r="E4776" t="s">
        <v>4552</v>
      </c>
      <c r="F4776" t="s">
        <v>4047</v>
      </c>
      <c r="G4776" t="s">
        <v>1381</v>
      </c>
      <c r="H4776" t="s">
        <v>1382</v>
      </c>
      <c r="I4776" t="s">
        <v>85</v>
      </c>
      <c r="J4776">
        <v>25</v>
      </c>
      <c r="K4776" t="s">
        <v>80</v>
      </c>
      <c r="L4776" t="s">
        <v>92</v>
      </c>
      <c r="M4776" t="s">
        <v>59</v>
      </c>
      <c r="N4776" t="s">
        <v>2647</v>
      </c>
      <c r="O4776" t="s">
        <v>133</v>
      </c>
      <c r="P4776" t="s">
        <v>50</v>
      </c>
      <c r="Q4776" t="s">
        <v>145</v>
      </c>
      <c r="R4776">
        <v>4</v>
      </c>
      <c r="S4776">
        <v>799</v>
      </c>
      <c r="T4776">
        <v>0</v>
      </c>
      <c r="U4776">
        <v>3196</v>
      </c>
      <c r="V4776">
        <v>1560</v>
      </c>
      <c r="W4776">
        <v>1636</v>
      </c>
      <c r="X4776" t="s">
        <v>73</v>
      </c>
      <c r="Y4776" t="s">
        <v>69</v>
      </c>
      <c r="Z4776" t="s">
        <v>161</v>
      </c>
      <c r="AA4776" t="s">
        <v>167</v>
      </c>
      <c r="AB4776">
        <v>4.8</v>
      </c>
      <c r="AC4776">
        <v>40</v>
      </c>
      <c r="AD4776">
        <v>277.92</v>
      </c>
      <c r="AE4776">
        <f t="shared" si="148"/>
        <v>1318.08</v>
      </c>
      <c r="AF4776" t="str">
        <f t="shared" si="149"/>
        <v>2026-09</v>
      </c>
      <c r="AG4776">
        <f>SUBTOTAL(103,A4776)</f>
        <v>1</v>
      </c>
    </row>
    <row r="4777" spans="1:33" x14ac:dyDescent="0.3">
      <c r="A4777" t="s">
        <v>7400</v>
      </c>
      <c r="B4777" s="13">
        <v>46267</v>
      </c>
      <c r="C4777">
        <v>2026</v>
      </c>
      <c r="D4777">
        <v>9</v>
      </c>
      <c r="E4777" t="s">
        <v>4552</v>
      </c>
      <c r="F4777" t="s">
        <v>4047</v>
      </c>
      <c r="G4777" t="s">
        <v>501</v>
      </c>
      <c r="H4777" t="s">
        <v>502</v>
      </c>
      <c r="I4777" t="s">
        <v>86</v>
      </c>
      <c r="J4777">
        <v>43</v>
      </c>
      <c r="K4777" t="s">
        <v>82</v>
      </c>
      <c r="L4777" t="s">
        <v>2573</v>
      </c>
      <c r="M4777" t="s">
        <v>63</v>
      </c>
      <c r="N4777" t="s">
        <v>2594</v>
      </c>
      <c r="O4777" t="s">
        <v>131</v>
      </c>
      <c r="P4777" t="s">
        <v>53</v>
      </c>
      <c r="Q4777" t="s">
        <v>143</v>
      </c>
      <c r="R4777">
        <v>2</v>
      </c>
      <c r="S4777">
        <v>999</v>
      </c>
      <c r="T4777">
        <v>0.1</v>
      </c>
      <c r="U4777">
        <v>1798.2</v>
      </c>
      <c r="V4777">
        <v>1040</v>
      </c>
      <c r="W4777">
        <v>758.2</v>
      </c>
      <c r="X4777" t="s">
        <v>73</v>
      </c>
      <c r="Y4777" t="s">
        <v>68</v>
      </c>
      <c r="Z4777" t="s">
        <v>160</v>
      </c>
      <c r="AA4777" t="s">
        <v>166</v>
      </c>
      <c r="AB4777">
        <v>3.3</v>
      </c>
      <c r="AC4777">
        <v>50</v>
      </c>
      <c r="AD4777">
        <v>87.4</v>
      </c>
      <c r="AE4777">
        <f t="shared" si="148"/>
        <v>620.80000000000007</v>
      </c>
      <c r="AF4777" t="str">
        <f t="shared" si="149"/>
        <v>2026-09</v>
      </c>
      <c r="AG4777">
        <f>SUBTOTAL(103,A4777)</f>
        <v>1</v>
      </c>
    </row>
    <row r="4778" spans="1:33" x14ac:dyDescent="0.3">
      <c r="A4778" t="s">
        <v>7401</v>
      </c>
      <c r="B4778" s="13">
        <v>46267</v>
      </c>
      <c r="C4778">
        <v>2026</v>
      </c>
      <c r="D4778">
        <v>9</v>
      </c>
      <c r="E4778" t="s">
        <v>4552</v>
      </c>
      <c r="F4778" t="s">
        <v>4047</v>
      </c>
      <c r="G4778" t="s">
        <v>2377</v>
      </c>
      <c r="H4778" t="s">
        <v>2378</v>
      </c>
      <c r="I4778" t="s">
        <v>85</v>
      </c>
      <c r="J4778">
        <v>33</v>
      </c>
      <c r="K4778" t="s">
        <v>81</v>
      </c>
      <c r="L4778" t="s">
        <v>2616</v>
      </c>
      <c r="M4778" t="s">
        <v>62</v>
      </c>
      <c r="N4778" t="s">
        <v>2577</v>
      </c>
      <c r="O4778" t="s">
        <v>129</v>
      </c>
      <c r="P4778" t="s">
        <v>49</v>
      </c>
      <c r="Q4778" t="s">
        <v>149</v>
      </c>
      <c r="R4778">
        <v>3</v>
      </c>
      <c r="S4778">
        <v>1299</v>
      </c>
      <c r="T4778">
        <v>0.1</v>
      </c>
      <c r="U4778">
        <v>3507.3</v>
      </c>
      <c r="V4778">
        <v>1950</v>
      </c>
      <c r="W4778">
        <v>1557.3</v>
      </c>
      <c r="X4778" t="s">
        <v>74</v>
      </c>
      <c r="Y4778" t="s">
        <v>68</v>
      </c>
      <c r="Z4778" t="s">
        <v>162</v>
      </c>
      <c r="AA4778" t="s">
        <v>170</v>
      </c>
      <c r="AB4778">
        <v>5</v>
      </c>
      <c r="AC4778">
        <v>80</v>
      </c>
      <c r="AD4778">
        <v>188.51</v>
      </c>
      <c r="AE4778">
        <f t="shared" si="148"/>
        <v>1288.79</v>
      </c>
      <c r="AF4778" t="str">
        <f t="shared" si="149"/>
        <v>2026-09</v>
      </c>
      <c r="AG4778">
        <f>SUBTOTAL(103,A4778)</f>
        <v>1</v>
      </c>
    </row>
    <row r="4779" spans="1:33" x14ac:dyDescent="0.3">
      <c r="A4779" t="s">
        <v>7402</v>
      </c>
      <c r="B4779" s="13">
        <v>46267</v>
      </c>
      <c r="C4779">
        <v>2026</v>
      </c>
      <c r="D4779">
        <v>9</v>
      </c>
      <c r="E4779" t="s">
        <v>4552</v>
      </c>
      <c r="F4779" t="s">
        <v>4047</v>
      </c>
      <c r="G4779" t="s">
        <v>205</v>
      </c>
      <c r="H4779" t="s">
        <v>206</v>
      </c>
      <c r="I4779" t="s">
        <v>86</v>
      </c>
      <c r="J4779">
        <v>39</v>
      </c>
      <c r="K4779" t="s">
        <v>82</v>
      </c>
      <c r="L4779" t="s">
        <v>92</v>
      </c>
      <c r="M4779" t="s">
        <v>59</v>
      </c>
      <c r="N4779" t="s">
        <v>2592</v>
      </c>
      <c r="O4779" t="s">
        <v>115</v>
      </c>
      <c r="P4779" t="s">
        <v>48</v>
      </c>
      <c r="Q4779" t="s">
        <v>137</v>
      </c>
      <c r="R4779">
        <v>5</v>
      </c>
      <c r="S4779">
        <v>12999</v>
      </c>
      <c r="T4779">
        <v>0.05</v>
      </c>
      <c r="U4779">
        <v>61745.25</v>
      </c>
      <c r="V4779">
        <v>45000</v>
      </c>
      <c r="W4779">
        <v>16745.25</v>
      </c>
      <c r="X4779" t="s">
        <v>73</v>
      </c>
      <c r="Y4779" t="s">
        <v>68</v>
      </c>
      <c r="Z4779" t="s">
        <v>160</v>
      </c>
      <c r="AA4779" t="s">
        <v>166</v>
      </c>
      <c r="AB4779">
        <v>5</v>
      </c>
      <c r="AC4779">
        <v>60</v>
      </c>
      <c r="AD4779">
        <v>4139.55</v>
      </c>
      <c r="AE4779">
        <f t="shared" si="148"/>
        <v>12545.7</v>
      </c>
      <c r="AF4779" t="str">
        <f t="shared" si="149"/>
        <v>2026-09</v>
      </c>
      <c r="AG4779">
        <f>SUBTOTAL(103,A4779)</f>
        <v>1</v>
      </c>
    </row>
    <row r="4780" spans="1:33" x14ac:dyDescent="0.3">
      <c r="A4780" t="s">
        <v>7403</v>
      </c>
      <c r="B4780" s="13">
        <v>46267</v>
      </c>
      <c r="C4780">
        <v>2026</v>
      </c>
      <c r="D4780">
        <v>9</v>
      </c>
      <c r="E4780" t="s">
        <v>4552</v>
      </c>
      <c r="F4780" t="s">
        <v>4047</v>
      </c>
      <c r="G4780" t="s">
        <v>1319</v>
      </c>
      <c r="H4780" t="s">
        <v>1320</v>
      </c>
      <c r="I4780" t="s">
        <v>85</v>
      </c>
      <c r="J4780">
        <v>42</v>
      </c>
      <c r="K4780" t="s">
        <v>82</v>
      </c>
      <c r="L4780" t="s">
        <v>2623</v>
      </c>
      <c r="M4780" t="s">
        <v>61</v>
      </c>
      <c r="N4780" t="s">
        <v>2653</v>
      </c>
      <c r="O4780" t="s">
        <v>132</v>
      </c>
      <c r="P4780" t="s">
        <v>52</v>
      </c>
      <c r="Q4780" t="s">
        <v>150</v>
      </c>
      <c r="R4780">
        <v>2</v>
      </c>
      <c r="S4780">
        <v>899</v>
      </c>
      <c r="T4780">
        <v>0.05</v>
      </c>
      <c r="U4780">
        <v>1708.1</v>
      </c>
      <c r="V4780">
        <v>840</v>
      </c>
      <c r="W4780">
        <v>868.1</v>
      </c>
      <c r="X4780" t="s">
        <v>75</v>
      </c>
      <c r="Y4780" t="s">
        <v>68</v>
      </c>
      <c r="Z4780" t="s">
        <v>158</v>
      </c>
      <c r="AA4780" t="s">
        <v>167</v>
      </c>
      <c r="AB4780">
        <v>4.0999999999999996</v>
      </c>
      <c r="AC4780">
        <v>50</v>
      </c>
      <c r="AD4780">
        <v>95</v>
      </c>
      <c r="AE4780">
        <f t="shared" si="148"/>
        <v>723.1</v>
      </c>
      <c r="AF4780" t="str">
        <f t="shared" si="149"/>
        <v>2026-09</v>
      </c>
      <c r="AG4780">
        <f>SUBTOTAL(103,A4780)</f>
        <v>1</v>
      </c>
    </row>
    <row r="4781" spans="1:33" x14ac:dyDescent="0.3">
      <c r="A4781" t="s">
        <v>7404</v>
      </c>
      <c r="B4781" s="13">
        <v>46267</v>
      </c>
      <c r="C4781">
        <v>2026</v>
      </c>
      <c r="D4781">
        <v>9</v>
      </c>
      <c r="E4781" t="s">
        <v>4552</v>
      </c>
      <c r="F4781" t="s">
        <v>4047</v>
      </c>
      <c r="G4781" t="s">
        <v>1419</v>
      </c>
      <c r="H4781" t="s">
        <v>1420</v>
      </c>
      <c r="I4781" t="s">
        <v>85</v>
      </c>
      <c r="J4781">
        <v>60</v>
      </c>
      <c r="K4781" t="s">
        <v>83</v>
      </c>
      <c r="L4781" t="s">
        <v>97</v>
      </c>
      <c r="M4781" t="s">
        <v>57</v>
      </c>
      <c r="N4781" t="s">
        <v>2580</v>
      </c>
      <c r="O4781" t="s">
        <v>118</v>
      </c>
      <c r="P4781" t="s">
        <v>48</v>
      </c>
      <c r="Q4781" t="s">
        <v>142</v>
      </c>
      <c r="R4781">
        <v>3</v>
      </c>
      <c r="S4781">
        <v>3999</v>
      </c>
      <c r="T4781">
        <v>0.15</v>
      </c>
      <c r="U4781">
        <v>0</v>
      </c>
      <c r="V4781">
        <v>0</v>
      </c>
      <c r="W4781">
        <v>0</v>
      </c>
      <c r="X4781" t="s">
        <v>76</v>
      </c>
      <c r="Y4781" t="s">
        <v>71</v>
      </c>
      <c r="Z4781" t="s">
        <v>158</v>
      </c>
      <c r="AA4781" t="s">
        <v>169</v>
      </c>
      <c r="AB4781">
        <v>3.5</v>
      </c>
      <c r="AC4781">
        <v>80</v>
      </c>
      <c r="AD4781">
        <v>1104.6400000000001</v>
      </c>
      <c r="AE4781">
        <f t="shared" si="148"/>
        <v>-1184.6400000000001</v>
      </c>
      <c r="AF4781" t="str">
        <f t="shared" si="149"/>
        <v>2026-09</v>
      </c>
      <c r="AG4781">
        <f>SUBTOTAL(103,A4781)</f>
        <v>1</v>
      </c>
    </row>
    <row r="4782" spans="1:33" x14ac:dyDescent="0.3">
      <c r="A4782" t="s">
        <v>7405</v>
      </c>
      <c r="B4782" s="13">
        <v>46267</v>
      </c>
      <c r="C4782">
        <v>2026</v>
      </c>
      <c r="D4782">
        <v>9</v>
      </c>
      <c r="E4782" t="s">
        <v>4552</v>
      </c>
      <c r="F4782" t="s">
        <v>4047</v>
      </c>
      <c r="G4782" t="s">
        <v>673</v>
      </c>
      <c r="H4782" t="s">
        <v>674</v>
      </c>
      <c r="I4782" t="s">
        <v>86</v>
      </c>
      <c r="J4782">
        <v>43</v>
      </c>
      <c r="K4782" t="s">
        <v>82</v>
      </c>
      <c r="L4782" t="s">
        <v>97</v>
      </c>
      <c r="M4782" t="s">
        <v>57</v>
      </c>
      <c r="N4782" t="s">
        <v>2580</v>
      </c>
      <c r="O4782" t="s">
        <v>118</v>
      </c>
      <c r="P4782" t="s">
        <v>48</v>
      </c>
      <c r="Q4782" t="s">
        <v>142</v>
      </c>
      <c r="R4782">
        <v>1</v>
      </c>
      <c r="S4782">
        <v>3999</v>
      </c>
      <c r="T4782">
        <v>0.05</v>
      </c>
      <c r="U4782">
        <v>3799.05</v>
      </c>
      <c r="V4782">
        <v>2400</v>
      </c>
      <c r="W4782">
        <v>1399.05</v>
      </c>
      <c r="X4782" t="s">
        <v>75</v>
      </c>
      <c r="Y4782" t="s">
        <v>68</v>
      </c>
      <c r="Z4782" t="s">
        <v>163</v>
      </c>
      <c r="AA4782" t="s">
        <v>167</v>
      </c>
      <c r="AB4782">
        <v>3.8</v>
      </c>
      <c r="AC4782">
        <v>40</v>
      </c>
      <c r="AD4782">
        <v>454.42</v>
      </c>
      <c r="AE4782">
        <f t="shared" si="148"/>
        <v>904.62999999999988</v>
      </c>
      <c r="AF4782" t="str">
        <f t="shared" si="149"/>
        <v>2026-09</v>
      </c>
      <c r="AG4782">
        <f>SUBTOTAL(103,A4782)</f>
        <v>1</v>
      </c>
    </row>
    <row r="4783" spans="1:33" x14ac:dyDescent="0.3">
      <c r="A4783" t="s">
        <v>7406</v>
      </c>
      <c r="B4783" s="13">
        <v>46267</v>
      </c>
      <c r="C4783">
        <v>2026</v>
      </c>
      <c r="D4783">
        <v>9</v>
      </c>
      <c r="E4783" t="s">
        <v>4552</v>
      </c>
      <c r="F4783" t="s">
        <v>4047</v>
      </c>
      <c r="G4783" t="s">
        <v>575</v>
      </c>
      <c r="H4783" t="s">
        <v>576</v>
      </c>
      <c r="I4783" t="s">
        <v>86</v>
      </c>
      <c r="J4783">
        <v>40</v>
      </c>
      <c r="K4783" t="s">
        <v>82</v>
      </c>
      <c r="L4783" t="s">
        <v>100</v>
      </c>
      <c r="M4783" t="s">
        <v>56</v>
      </c>
      <c r="N4783" t="s">
        <v>2606</v>
      </c>
      <c r="O4783" t="s">
        <v>120</v>
      </c>
      <c r="P4783" t="s">
        <v>49</v>
      </c>
      <c r="Q4783" t="s">
        <v>140</v>
      </c>
      <c r="R4783">
        <v>2</v>
      </c>
      <c r="S4783">
        <v>2799</v>
      </c>
      <c r="T4783">
        <v>0.2</v>
      </c>
      <c r="U4783">
        <v>0</v>
      </c>
      <c r="V4783">
        <v>0</v>
      </c>
      <c r="W4783">
        <v>0</v>
      </c>
      <c r="X4783" t="s">
        <v>73</v>
      </c>
      <c r="Y4783" t="s">
        <v>71</v>
      </c>
      <c r="Z4783" t="s">
        <v>161</v>
      </c>
      <c r="AA4783" t="s">
        <v>168</v>
      </c>
      <c r="AB4783">
        <v>5</v>
      </c>
      <c r="AC4783">
        <v>100</v>
      </c>
      <c r="AD4783">
        <v>154.51</v>
      </c>
      <c r="AE4783">
        <f t="shared" si="148"/>
        <v>-254.51</v>
      </c>
      <c r="AF4783" t="str">
        <f t="shared" si="149"/>
        <v>2026-09</v>
      </c>
      <c r="AG4783">
        <f>SUBTOTAL(103,A4783)</f>
        <v>1</v>
      </c>
    </row>
    <row r="4784" spans="1:33" x14ac:dyDescent="0.3">
      <c r="A4784" t="s">
        <v>7407</v>
      </c>
      <c r="B4784" s="13">
        <v>46267</v>
      </c>
      <c r="C4784">
        <v>2026</v>
      </c>
      <c r="D4784">
        <v>9</v>
      </c>
      <c r="E4784" t="s">
        <v>4552</v>
      </c>
      <c r="F4784" t="s">
        <v>4047</v>
      </c>
      <c r="G4784" t="s">
        <v>711</v>
      </c>
      <c r="H4784" t="s">
        <v>712</v>
      </c>
      <c r="I4784" t="s">
        <v>85</v>
      </c>
      <c r="J4784">
        <v>40</v>
      </c>
      <c r="K4784" t="s">
        <v>82</v>
      </c>
      <c r="L4784" t="s">
        <v>97</v>
      </c>
      <c r="M4784" t="s">
        <v>57</v>
      </c>
      <c r="N4784" t="s">
        <v>2587</v>
      </c>
      <c r="O4784" t="s">
        <v>116</v>
      </c>
      <c r="P4784" t="s">
        <v>48</v>
      </c>
      <c r="Q4784" t="s">
        <v>138</v>
      </c>
      <c r="R4784">
        <v>2</v>
      </c>
      <c r="S4784">
        <v>14999</v>
      </c>
      <c r="T4784">
        <v>0.1</v>
      </c>
      <c r="U4784">
        <v>26998.2</v>
      </c>
      <c r="V4784">
        <v>22400</v>
      </c>
      <c r="W4784">
        <v>4598.2</v>
      </c>
      <c r="X4784" t="s">
        <v>73</v>
      </c>
      <c r="Y4784" t="s">
        <v>68</v>
      </c>
      <c r="Z4784" t="s">
        <v>158</v>
      </c>
      <c r="AA4784" t="s">
        <v>168</v>
      </c>
      <c r="AB4784">
        <v>3.9</v>
      </c>
      <c r="AC4784">
        <v>40</v>
      </c>
      <c r="AD4784">
        <v>2540.12</v>
      </c>
      <c r="AE4784">
        <f t="shared" si="148"/>
        <v>2018.08</v>
      </c>
      <c r="AF4784" t="str">
        <f t="shared" si="149"/>
        <v>2026-09</v>
      </c>
      <c r="AG4784">
        <f>SUBTOTAL(103,A4784)</f>
        <v>1</v>
      </c>
    </row>
    <row r="4785" spans="1:33" x14ac:dyDescent="0.3">
      <c r="A4785" t="s">
        <v>7408</v>
      </c>
      <c r="B4785" s="13">
        <v>46267</v>
      </c>
      <c r="C4785">
        <v>2026</v>
      </c>
      <c r="D4785">
        <v>9</v>
      </c>
      <c r="E4785" t="s">
        <v>4552</v>
      </c>
      <c r="F4785" t="s">
        <v>4047</v>
      </c>
      <c r="G4785" t="s">
        <v>261</v>
      </c>
      <c r="H4785" t="s">
        <v>262</v>
      </c>
      <c r="I4785" t="s">
        <v>85</v>
      </c>
      <c r="J4785">
        <v>29</v>
      </c>
      <c r="K4785" t="s">
        <v>81</v>
      </c>
      <c r="L4785" t="s">
        <v>98</v>
      </c>
      <c r="M4785" t="s">
        <v>55</v>
      </c>
      <c r="N4785" t="s">
        <v>2587</v>
      </c>
      <c r="O4785" t="s">
        <v>116</v>
      </c>
      <c r="P4785" t="s">
        <v>48</v>
      </c>
      <c r="Q4785" t="s">
        <v>138</v>
      </c>
      <c r="R4785">
        <v>3</v>
      </c>
      <c r="S4785">
        <v>14999</v>
      </c>
      <c r="T4785">
        <v>0.05</v>
      </c>
      <c r="U4785">
        <v>42747.15</v>
      </c>
      <c r="V4785">
        <v>33600</v>
      </c>
      <c r="W4785">
        <v>9147.15</v>
      </c>
      <c r="X4785" t="s">
        <v>73</v>
      </c>
      <c r="Y4785" t="s">
        <v>68</v>
      </c>
      <c r="Z4785" t="s">
        <v>160</v>
      </c>
      <c r="AA4785" t="s">
        <v>167</v>
      </c>
      <c r="AB4785">
        <v>4.3</v>
      </c>
      <c r="AC4785">
        <v>80</v>
      </c>
      <c r="AD4785">
        <v>2580.12</v>
      </c>
      <c r="AE4785">
        <f t="shared" si="148"/>
        <v>6487.03</v>
      </c>
      <c r="AF4785" t="str">
        <f t="shared" si="149"/>
        <v>2026-09</v>
      </c>
      <c r="AG4785">
        <f>SUBTOTAL(103,A4785)</f>
        <v>1</v>
      </c>
    </row>
    <row r="4786" spans="1:33" x14ac:dyDescent="0.3">
      <c r="A4786" t="s">
        <v>7409</v>
      </c>
      <c r="B4786" s="13">
        <v>46267</v>
      </c>
      <c r="C4786">
        <v>2026</v>
      </c>
      <c r="D4786">
        <v>9</v>
      </c>
      <c r="E4786" t="s">
        <v>4552</v>
      </c>
      <c r="F4786" t="s">
        <v>4047</v>
      </c>
      <c r="G4786" t="s">
        <v>339</v>
      </c>
      <c r="H4786" t="s">
        <v>340</v>
      </c>
      <c r="I4786" t="s">
        <v>86</v>
      </c>
      <c r="J4786">
        <v>32</v>
      </c>
      <c r="K4786" t="s">
        <v>81</v>
      </c>
      <c r="L4786" t="s">
        <v>59</v>
      </c>
      <c r="M4786" t="s">
        <v>59</v>
      </c>
      <c r="N4786" t="s">
        <v>2580</v>
      </c>
      <c r="O4786" t="s">
        <v>118</v>
      </c>
      <c r="P4786" t="s">
        <v>48</v>
      </c>
      <c r="Q4786" t="s">
        <v>142</v>
      </c>
      <c r="R4786">
        <v>2</v>
      </c>
      <c r="S4786">
        <v>3999</v>
      </c>
      <c r="T4786">
        <v>0</v>
      </c>
      <c r="U4786">
        <v>7998</v>
      </c>
      <c r="V4786">
        <v>4800</v>
      </c>
      <c r="W4786">
        <v>3198</v>
      </c>
      <c r="X4786" t="s">
        <v>76</v>
      </c>
      <c r="Y4786" t="s">
        <v>68</v>
      </c>
      <c r="Z4786" t="s">
        <v>163</v>
      </c>
      <c r="AA4786" t="s">
        <v>168</v>
      </c>
      <c r="AB4786">
        <v>3.8</v>
      </c>
      <c r="AC4786">
        <v>80</v>
      </c>
      <c r="AD4786">
        <v>590</v>
      </c>
      <c r="AE4786">
        <f t="shared" si="148"/>
        <v>2528</v>
      </c>
      <c r="AF4786" t="str">
        <f t="shared" si="149"/>
        <v>2026-09</v>
      </c>
      <c r="AG4786">
        <f>SUBTOTAL(103,A4786)</f>
        <v>1</v>
      </c>
    </row>
    <row r="4787" spans="1:33" x14ac:dyDescent="0.3">
      <c r="A4787" t="s">
        <v>7410</v>
      </c>
      <c r="B4787" s="13">
        <v>46267</v>
      </c>
      <c r="C4787">
        <v>2026</v>
      </c>
      <c r="D4787">
        <v>9</v>
      </c>
      <c r="E4787" t="s">
        <v>4552</v>
      </c>
      <c r="F4787" t="s">
        <v>4047</v>
      </c>
      <c r="G4787" t="s">
        <v>1533</v>
      </c>
      <c r="H4787" t="s">
        <v>1534</v>
      </c>
      <c r="I4787" t="s">
        <v>86</v>
      </c>
      <c r="J4787">
        <v>19</v>
      </c>
      <c r="K4787" t="s">
        <v>80</v>
      </c>
      <c r="L4787" t="s">
        <v>2599</v>
      </c>
      <c r="M4787" t="s">
        <v>62</v>
      </c>
      <c r="N4787" t="s">
        <v>2626</v>
      </c>
      <c r="O4787" t="s">
        <v>125</v>
      </c>
      <c r="P4787" t="s">
        <v>48</v>
      </c>
      <c r="Q4787" t="s">
        <v>141</v>
      </c>
      <c r="R4787">
        <v>3</v>
      </c>
      <c r="S4787">
        <v>1999</v>
      </c>
      <c r="T4787">
        <v>0</v>
      </c>
      <c r="U4787">
        <v>5997</v>
      </c>
      <c r="V4787">
        <v>3450</v>
      </c>
      <c r="W4787">
        <v>2547</v>
      </c>
      <c r="X4787" t="s">
        <v>76</v>
      </c>
      <c r="Y4787" t="s">
        <v>68</v>
      </c>
      <c r="Z4787" t="s">
        <v>158</v>
      </c>
      <c r="AA4787" t="s">
        <v>168</v>
      </c>
      <c r="AB4787">
        <v>5</v>
      </c>
      <c r="AC4787">
        <v>80</v>
      </c>
      <c r="AD4787">
        <v>222.69</v>
      </c>
      <c r="AE4787">
        <f t="shared" si="148"/>
        <v>2244.31</v>
      </c>
      <c r="AF4787" t="str">
        <f t="shared" si="149"/>
        <v>2026-09</v>
      </c>
      <c r="AG4787">
        <f>SUBTOTAL(103,A4787)</f>
        <v>1</v>
      </c>
    </row>
    <row r="4788" spans="1:33" x14ac:dyDescent="0.3">
      <c r="A4788" t="s">
        <v>7411</v>
      </c>
      <c r="B4788" s="13">
        <v>46268</v>
      </c>
      <c r="C4788">
        <v>2026</v>
      </c>
      <c r="D4788">
        <v>9</v>
      </c>
      <c r="E4788" t="s">
        <v>4552</v>
      </c>
      <c r="F4788" t="s">
        <v>4047</v>
      </c>
      <c r="G4788" t="s">
        <v>1219</v>
      </c>
      <c r="H4788" t="s">
        <v>1220</v>
      </c>
      <c r="I4788" t="s">
        <v>86</v>
      </c>
      <c r="J4788">
        <v>58</v>
      </c>
      <c r="K4788" t="s">
        <v>83</v>
      </c>
      <c r="L4788" t="s">
        <v>2589</v>
      </c>
      <c r="M4788" t="s">
        <v>61</v>
      </c>
      <c r="N4788" t="s">
        <v>2606</v>
      </c>
      <c r="O4788" t="s">
        <v>120</v>
      </c>
      <c r="P4788" t="s">
        <v>49</v>
      </c>
      <c r="Q4788" t="s">
        <v>140</v>
      </c>
      <c r="R4788">
        <v>3</v>
      </c>
      <c r="S4788">
        <v>2799</v>
      </c>
      <c r="T4788">
        <v>0.15</v>
      </c>
      <c r="U4788">
        <v>7137.45</v>
      </c>
      <c r="V4788">
        <v>4950</v>
      </c>
      <c r="W4788">
        <v>2187.4499999999998</v>
      </c>
      <c r="X4788" t="s">
        <v>76</v>
      </c>
      <c r="Y4788" t="s">
        <v>68</v>
      </c>
      <c r="Z4788" t="s">
        <v>160</v>
      </c>
      <c r="AA4788" t="s">
        <v>166</v>
      </c>
      <c r="AB4788">
        <v>3.2</v>
      </c>
      <c r="AC4788">
        <v>60</v>
      </c>
      <c r="AD4788">
        <v>714.54</v>
      </c>
      <c r="AE4788">
        <f t="shared" si="148"/>
        <v>1412.9099999999999</v>
      </c>
      <c r="AF4788" t="str">
        <f t="shared" si="149"/>
        <v>2026-09</v>
      </c>
      <c r="AG4788">
        <f>SUBTOTAL(103,A4788)</f>
        <v>1</v>
      </c>
    </row>
    <row r="4789" spans="1:33" x14ac:dyDescent="0.3">
      <c r="A4789" t="s">
        <v>7412</v>
      </c>
      <c r="B4789" s="13">
        <v>46268</v>
      </c>
      <c r="C4789">
        <v>2026</v>
      </c>
      <c r="D4789">
        <v>9</v>
      </c>
      <c r="E4789" t="s">
        <v>4552</v>
      </c>
      <c r="F4789" t="s">
        <v>4047</v>
      </c>
      <c r="G4789" t="s">
        <v>331</v>
      </c>
      <c r="H4789" t="s">
        <v>332</v>
      </c>
      <c r="I4789" t="s">
        <v>86</v>
      </c>
      <c r="J4789">
        <v>32</v>
      </c>
      <c r="K4789" t="s">
        <v>81</v>
      </c>
      <c r="L4789" t="s">
        <v>2674</v>
      </c>
      <c r="M4789" t="s">
        <v>58</v>
      </c>
      <c r="N4789" t="s">
        <v>2596</v>
      </c>
      <c r="O4789" t="s">
        <v>124</v>
      </c>
      <c r="P4789" t="s">
        <v>51</v>
      </c>
      <c r="Q4789" t="s">
        <v>147</v>
      </c>
      <c r="R4789">
        <v>2</v>
      </c>
      <c r="S4789">
        <v>2299</v>
      </c>
      <c r="T4789">
        <v>0.1</v>
      </c>
      <c r="U4789">
        <v>4138.2</v>
      </c>
      <c r="V4789">
        <v>2400</v>
      </c>
      <c r="W4789">
        <v>1738.2</v>
      </c>
      <c r="X4789" t="s">
        <v>74</v>
      </c>
      <c r="Y4789" t="s">
        <v>69</v>
      </c>
      <c r="Z4789" t="s">
        <v>163</v>
      </c>
      <c r="AA4789" t="s">
        <v>171</v>
      </c>
      <c r="AB4789">
        <v>4</v>
      </c>
      <c r="AC4789">
        <v>50</v>
      </c>
      <c r="AD4789">
        <v>115.72</v>
      </c>
      <c r="AE4789">
        <f t="shared" si="148"/>
        <v>1572.48</v>
      </c>
      <c r="AF4789" t="str">
        <f t="shared" si="149"/>
        <v>2026-09</v>
      </c>
      <c r="AG4789">
        <f>SUBTOTAL(103,A4789)</f>
        <v>1</v>
      </c>
    </row>
    <row r="4790" spans="1:33" x14ac:dyDescent="0.3">
      <c r="A4790" t="s">
        <v>7413</v>
      </c>
      <c r="B4790" s="13">
        <v>46268</v>
      </c>
      <c r="C4790">
        <v>2026</v>
      </c>
      <c r="D4790">
        <v>9</v>
      </c>
      <c r="E4790" t="s">
        <v>4552</v>
      </c>
      <c r="F4790" t="s">
        <v>4047</v>
      </c>
      <c r="G4790" t="s">
        <v>521</v>
      </c>
      <c r="H4790" t="s">
        <v>522</v>
      </c>
      <c r="I4790" t="s">
        <v>85</v>
      </c>
      <c r="J4790">
        <v>36</v>
      </c>
      <c r="K4790" t="s">
        <v>82</v>
      </c>
      <c r="L4790" t="s">
        <v>96</v>
      </c>
      <c r="M4790" t="s">
        <v>55</v>
      </c>
      <c r="N4790" t="s">
        <v>2574</v>
      </c>
      <c r="O4790" t="s">
        <v>130</v>
      </c>
      <c r="P4790" t="s">
        <v>50</v>
      </c>
      <c r="Q4790" t="s">
        <v>53</v>
      </c>
      <c r="R4790">
        <v>3</v>
      </c>
      <c r="S4790">
        <v>1199</v>
      </c>
      <c r="T4790">
        <v>0</v>
      </c>
      <c r="U4790">
        <v>3597</v>
      </c>
      <c r="V4790">
        <v>1650</v>
      </c>
      <c r="W4790">
        <v>1947</v>
      </c>
      <c r="X4790" t="s">
        <v>77</v>
      </c>
      <c r="Y4790" t="s">
        <v>69</v>
      </c>
      <c r="Z4790" t="s">
        <v>160</v>
      </c>
      <c r="AA4790" t="s">
        <v>166</v>
      </c>
      <c r="AB4790">
        <v>4.9000000000000004</v>
      </c>
      <c r="AC4790">
        <v>60</v>
      </c>
      <c r="AD4790">
        <v>286.10000000000002</v>
      </c>
      <c r="AE4790">
        <f t="shared" si="148"/>
        <v>1600.9</v>
      </c>
      <c r="AF4790" t="str">
        <f t="shared" si="149"/>
        <v>2026-09</v>
      </c>
      <c r="AG4790">
        <f>SUBTOTAL(103,A4790)</f>
        <v>1</v>
      </c>
    </row>
    <row r="4791" spans="1:33" x14ac:dyDescent="0.3">
      <c r="A4791" t="s">
        <v>7414</v>
      </c>
      <c r="B4791" s="13">
        <v>46268</v>
      </c>
      <c r="C4791">
        <v>2026</v>
      </c>
      <c r="D4791">
        <v>9</v>
      </c>
      <c r="E4791" t="s">
        <v>4552</v>
      </c>
      <c r="F4791" t="s">
        <v>4047</v>
      </c>
      <c r="G4791" t="s">
        <v>1509</v>
      </c>
      <c r="H4791" t="s">
        <v>1510</v>
      </c>
      <c r="I4791" t="s">
        <v>85</v>
      </c>
      <c r="J4791">
        <v>42</v>
      </c>
      <c r="K4791" t="s">
        <v>82</v>
      </c>
      <c r="L4791" t="s">
        <v>2576</v>
      </c>
      <c r="M4791" t="s">
        <v>60</v>
      </c>
      <c r="N4791" t="s">
        <v>2606</v>
      </c>
      <c r="O4791" t="s">
        <v>120</v>
      </c>
      <c r="P4791" t="s">
        <v>49</v>
      </c>
      <c r="Q4791" t="s">
        <v>140</v>
      </c>
      <c r="R4791">
        <v>2</v>
      </c>
      <c r="S4791">
        <v>2799</v>
      </c>
      <c r="T4791">
        <v>0.05</v>
      </c>
      <c r="U4791">
        <v>5318.1</v>
      </c>
      <c r="V4791">
        <v>3300</v>
      </c>
      <c r="W4791">
        <v>2018.1</v>
      </c>
      <c r="X4791" t="s">
        <v>76</v>
      </c>
      <c r="Y4791" t="s">
        <v>69</v>
      </c>
      <c r="Z4791" t="s">
        <v>159</v>
      </c>
      <c r="AA4791" t="s">
        <v>168</v>
      </c>
      <c r="AB4791">
        <v>3.7</v>
      </c>
      <c r="AC4791">
        <v>100</v>
      </c>
      <c r="AD4791">
        <v>528.79</v>
      </c>
      <c r="AE4791">
        <f t="shared" si="148"/>
        <v>1389.31</v>
      </c>
      <c r="AF4791" t="str">
        <f t="shared" si="149"/>
        <v>2026-09</v>
      </c>
      <c r="AG4791">
        <f>SUBTOTAL(103,A4791)</f>
        <v>1</v>
      </c>
    </row>
    <row r="4792" spans="1:33" x14ac:dyDescent="0.3">
      <c r="A4792" t="s">
        <v>7415</v>
      </c>
      <c r="B4792" s="13">
        <v>46268</v>
      </c>
      <c r="C4792">
        <v>2026</v>
      </c>
      <c r="D4792">
        <v>9</v>
      </c>
      <c r="E4792" t="s">
        <v>4552</v>
      </c>
      <c r="F4792" t="s">
        <v>4047</v>
      </c>
      <c r="G4792" t="s">
        <v>443</v>
      </c>
      <c r="H4792" t="s">
        <v>444</v>
      </c>
      <c r="I4792" t="s">
        <v>86</v>
      </c>
      <c r="J4792">
        <v>25</v>
      </c>
      <c r="K4792" t="s">
        <v>80</v>
      </c>
      <c r="L4792" t="s">
        <v>2637</v>
      </c>
      <c r="M4792" t="s">
        <v>64</v>
      </c>
      <c r="N4792" t="s">
        <v>2584</v>
      </c>
      <c r="O4792" t="s">
        <v>121</v>
      </c>
      <c r="P4792" t="s">
        <v>50</v>
      </c>
      <c r="Q4792" t="s">
        <v>144</v>
      </c>
      <c r="R4792">
        <v>3</v>
      </c>
      <c r="S4792">
        <v>2999</v>
      </c>
      <c r="T4792">
        <v>0.1</v>
      </c>
      <c r="U4792">
        <v>8097.3</v>
      </c>
      <c r="V4792">
        <v>5100</v>
      </c>
      <c r="W4792">
        <v>2997.3</v>
      </c>
      <c r="X4792" t="s">
        <v>74</v>
      </c>
      <c r="Y4792" t="s">
        <v>69</v>
      </c>
      <c r="Z4792" t="s">
        <v>159</v>
      </c>
      <c r="AA4792" t="s">
        <v>166</v>
      </c>
      <c r="AB4792">
        <v>5</v>
      </c>
      <c r="AC4792">
        <v>60</v>
      </c>
      <c r="AD4792">
        <v>395.87</v>
      </c>
      <c r="AE4792">
        <f t="shared" si="148"/>
        <v>2541.4300000000003</v>
      </c>
      <c r="AF4792" t="str">
        <f t="shared" si="149"/>
        <v>2026-09</v>
      </c>
      <c r="AG4792">
        <f>SUBTOTAL(103,A4792)</f>
        <v>1</v>
      </c>
    </row>
    <row r="4793" spans="1:33" x14ac:dyDescent="0.3">
      <c r="A4793" t="s">
        <v>7416</v>
      </c>
      <c r="B4793" s="13">
        <v>46268</v>
      </c>
      <c r="C4793">
        <v>2026</v>
      </c>
      <c r="D4793">
        <v>9</v>
      </c>
      <c r="E4793" t="s">
        <v>4552</v>
      </c>
      <c r="F4793" t="s">
        <v>4047</v>
      </c>
      <c r="G4793" t="s">
        <v>407</v>
      </c>
      <c r="H4793" t="s">
        <v>408</v>
      </c>
      <c r="I4793" t="s">
        <v>85</v>
      </c>
      <c r="J4793">
        <v>44</v>
      </c>
      <c r="K4793" t="s">
        <v>82</v>
      </c>
      <c r="L4793" t="s">
        <v>2573</v>
      </c>
      <c r="M4793" t="s">
        <v>63</v>
      </c>
      <c r="N4793" t="s">
        <v>2587</v>
      </c>
      <c r="O4793" t="s">
        <v>116</v>
      </c>
      <c r="P4793" t="s">
        <v>48</v>
      </c>
      <c r="Q4793" t="s">
        <v>138</v>
      </c>
      <c r="R4793">
        <v>3</v>
      </c>
      <c r="S4793">
        <v>14999</v>
      </c>
      <c r="T4793">
        <v>0</v>
      </c>
      <c r="U4793">
        <v>44997</v>
      </c>
      <c r="V4793">
        <v>33600</v>
      </c>
      <c r="W4793">
        <v>11397</v>
      </c>
      <c r="X4793" t="s">
        <v>73</v>
      </c>
      <c r="Y4793" t="s">
        <v>68</v>
      </c>
      <c r="Z4793" t="s">
        <v>162</v>
      </c>
      <c r="AA4793" t="s">
        <v>168</v>
      </c>
      <c r="AB4793">
        <v>4.2</v>
      </c>
      <c r="AC4793">
        <v>50</v>
      </c>
      <c r="AD4793">
        <v>2890.57</v>
      </c>
      <c r="AE4793">
        <f t="shared" si="148"/>
        <v>8456.43</v>
      </c>
      <c r="AF4793" t="str">
        <f t="shared" si="149"/>
        <v>2026-09</v>
      </c>
      <c r="AG4793">
        <f>SUBTOTAL(103,A4793)</f>
        <v>1</v>
      </c>
    </row>
    <row r="4794" spans="1:33" x14ac:dyDescent="0.3">
      <c r="A4794" t="s">
        <v>7417</v>
      </c>
      <c r="B4794" s="13">
        <v>46268</v>
      </c>
      <c r="C4794">
        <v>2026</v>
      </c>
      <c r="D4794">
        <v>9</v>
      </c>
      <c r="E4794" t="s">
        <v>4552</v>
      </c>
      <c r="F4794" t="s">
        <v>4047</v>
      </c>
      <c r="G4794" t="s">
        <v>555</v>
      </c>
      <c r="H4794" t="s">
        <v>556</v>
      </c>
      <c r="I4794" t="s">
        <v>85</v>
      </c>
      <c r="J4794">
        <v>47</v>
      </c>
      <c r="K4794" t="s">
        <v>83</v>
      </c>
      <c r="L4794" t="s">
        <v>2576</v>
      </c>
      <c r="M4794" t="s">
        <v>60</v>
      </c>
      <c r="N4794" t="s">
        <v>2596</v>
      </c>
      <c r="O4794" t="s">
        <v>124</v>
      </c>
      <c r="P4794" t="s">
        <v>51</v>
      </c>
      <c r="Q4794" t="s">
        <v>147</v>
      </c>
      <c r="R4794">
        <v>1</v>
      </c>
      <c r="S4794">
        <v>2299</v>
      </c>
      <c r="T4794">
        <v>0.05</v>
      </c>
      <c r="U4794">
        <v>2184.0500000000002</v>
      </c>
      <c r="V4794">
        <v>1200</v>
      </c>
      <c r="W4794">
        <v>984.05</v>
      </c>
      <c r="X4794" t="s">
        <v>75</v>
      </c>
      <c r="Y4794" t="s">
        <v>69</v>
      </c>
      <c r="Z4794" t="s">
        <v>158</v>
      </c>
      <c r="AA4794" t="s">
        <v>166</v>
      </c>
      <c r="AB4794">
        <v>4.4000000000000004</v>
      </c>
      <c r="AC4794">
        <v>60</v>
      </c>
      <c r="AD4794">
        <v>180.65</v>
      </c>
      <c r="AE4794">
        <f t="shared" si="148"/>
        <v>743.4</v>
      </c>
      <c r="AF4794" t="str">
        <f t="shared" si="149"/>
        <v>2026-09</v>
      </c>
      <c r="AG4794">
        <f>SUBTOTAL(103,A4794)</f>
        <v>1</v>
      </c>
    </row>
    <row r="4795" spans="1:33" x14ac:dyDescent="0.3">
      <c r="A4795" t="s">
        <v>7418</v>
      </c>
      <c r="B4795" s="13">
        <v>46268</v>
      </c>
      <c r="C4795">
        <v>2026</v>
      </c>
      <c r="D4795">
        <v>9</v>
      </c>
      <c r="E4795" t="s">
        <v>4552</v>
      </c>
      <c r="F4795" t="s">
        <v>4047</v>
      </c>
      <c r="G4795" t="s">
        <v>1331</v>
      </c>
      <c r="H4795" t="s">
        <v>1332</v>
      </c>
      <c r="I4795" t="s">
        <v>85</v>
      </c>
      <c r="J4795">
        <v>45</v>
      </c>
      <c r="K4795" t="s">
        <v>82</v>
      </c>
      <c r="L4795" t="s">
        <v>93</v>
      </c>
      <c r="M4795" t="s">
        <v>55</v>
      </c>
      <c r="N4795" t="s">
        <v>2601</v>
      </c>
      <c r="O4795" t="s">
        <v>117</v>
      </c>
      <c r="P4795" t="s">
        <v>49</v>
      </c>
      <c r="Q4795" t="s">
        <v>139</v>
      </c>
      <c r="R4795">
        <v>2</v>
      </c>
      <c r="S4795">
        <v>6999</v>
      </c>
      <c r="T4795">
        <v>0.1</v>
      </c>
      <c r="U4795">
        <v>12598.2</v>
      </c>
      <c r="V4795">
        <v>8600</v>
      </c>
      <c r="W4795">
        <v>3998.2</v>
      </c>
      <c r="X4795" t="s">
        <v>73</v>
      </c>
      <c r="Y4795" t="s">
        <v>68</v>
      </c>
      <c r="Z4795" t="s">
        <v>158</v>
      </c>
      <c r="AA4795" t="s">
        <v>169</v>
      </c>
      <c r="AB4795">
        <v>4.4000000000000004</v>
      </c>
      <c r="AC4795">
        <v>80</v>
      </c>
      <c r="AD4795">
        <v>1376.35</v>
      </c>
      <c r="AE4795">
        <f t="shared" si="148"/>
        <v>2541.85</v>
      </c>
      <c r="AF4795" t="str">
        <f t="shared" si="149"/>
        <v>2026-09</v>
      </c>
      <c r="AG4795">
        <f>SUBTOTAL(103,A4795)</f>
        <v>1</v>
      </c>
    </row>
    <row r="4796" spans="1:33" x14ac:dyDescent="0.3">
      <c r="A4796" t="s">
        <v>7419</v>
      </c>
      <c r="B4796" s="13">
        <v>46268</v>
      </c>
      <c r="C4796">
        <v>2026</v>
      </c>
      <c r="D4796">
        <v>9</v>
      </c>
      <c r="E4796" t="s">
        <v>4552</v>
      </c>
      <c r="F4796" t="s">
        <v>4047</v>
      </c>
      <c r="G4796" t="s">
        <v>1217</v>
      </c>
      <c r="H4796" t="s">
        <v>1218</v>
      </c>
      <c r="I4796" t="s">
        <v>85</v>
      </c>
      <c r="J4796">
        <v>46</v>
      </c>
      <c r="K4796" t="s">
        <v>83</v>
      </c>
      <c r="L4796" t="s">
        <v>95</v>
      </c>
      <c r="M4796" t="s">
        <v>56</v>
      </c>
      <c r="N4796" t="s">
        <v>2596</v>
      </c>
      <c r="O4796" t="s">
        <v>124</v>
      </c>
      <c r="P4796" t="s">
        <v>51</v>
      </c>
      <c r="Q4796" t="s">
        <v>147</v>
      </c>
      <c r="R4796">
        <v>2</v>
      </c>
      <c r="S4796">
        <v>2299</v>
      </c>
      <c r="T4796">
        <v>0.1</v>
      </c>
      <c r="U4796">
        <v>0</v>
      </c>
      <c r="V4796">
        <v>0</v>
      </c>
      <c r="W4796">
        <v>0</v>
      </c>
      <c r="X4796" t="s">
        <v>73</v>
      </c>
      <c r="Y4796" t="s">
        <v>71</v>
      </c>
      <c r="Z4796" t="s">
        <v>161</v>
      </c>
      <c r="AA4796" t="s">
        <v>166</v>
      </c>
      <c r="AB4796">
        <v>5</v>
      </c>
      <c r="AC4796">
        <v>80</v>
      </c>
      <c r="AD4796">
        <v>195.11</v>
      </c>
      <c r="AE4796">
        <f t="shared" si="148"/>
        <v>-275.11</v>
      </c>
      <c r="AF4796" t="str">
        <f t="shared" si="149"/>
        <v>2026-09</v>
      </c>
      <c r="AG4796">
        <f>SUBTOTAL(103,A4796)</f>
        <v>1</v>
      </c>
    </row>
    <row r="4797" spans="1:33" x14ac:dyDescent="0.3">
      <c r="A4797" t="s">
        <v>7420</v>
      </c>
      <c r="B4797" s="13">
        <v>46269</v>
      </c>
      <c r="C4797">
        <v>2026</v>
      </c>
      <c r="D4797">
        <v>9</v>
      </c>
      <c r="E4797" t="s">
        <v>4552</v>
      </c>
      <c r="F4797" t="s">
        <v>4047</v>
      </c>
      <c r="G4797" t="s">
        <v>1997</v>
      </c>
      <c r="H4797" t="s">
        <v>1998</v>
      </c>
      <c r="I4797" t="s">
        <v>86</v>
      </c>
      <c r="J4797">
        <v>49</v>
      </c>
      <c r="K4797" t="s">
        <v>83</v>
      </c>
      <c r="L4797" t="s">
        <v>2634</v>
      </c>
      <c r="M4797" t="s">
        <v>56</v>
      </c>
      <c r="N4797" t="s">
        <v>2594</v>
      </c>
      <c r="O4797" t="s">
        <v>131</v>
      </c>
      <c r="P4797" t="s">
        <v>53</v>
      </c>
      <c r="Q4797" t="s">
        <v>143</v>
      </c>
      <c r="R4797">
        <v>1</v>
      </c>
      <c r="S4797">
        <v>999</v>
      </c>
      <c r="T4797">
        <v>0.05</v>
      </c>
      <c r="U4797">
        <v>949.05</v>
      </c>
      <c r="V4797">
        <v>520</v>
      </c>
      <c r="W4797">
        <v>429.05</v>
      </c>
      <c r="X4797" t="s">
        <v>76</v>
      </c>
      <c r="Y4797" t="s">
        <v>68</v>
      </c>
      <c r="Z4797" t="s">
        <v>159</v>
      </c>
      <c r="AA4797" t="s">
        <v>166</v>
      </c>
      <c r="AB4797">
        <v>3.7</v>
      </c>
      <c r="AC4797">
        <v>50</v>
      </c>
      <c r="AD4797">
        <v>80.64</v>
      </c>
      <c r="AE4797">
        <f t="shared" si="148"/>
        <v>298.41000000000003</v>
      </c>
      <c r="AF4797" t="str">
        <f t="shared" si="149"/>
        <v>2026-09</v>
      </c>
      <c r="AG4797">
        <f>SUBTOTAL(103,A4797)</f>
        <v>1</v>
      </c>
    </row>
    <row r="4798" spans="1:33" x14ac:dyDescent="0.3">
      <c r="A4798" t="s">
        <v>7421</v>
      </c>
      <c r="B4798" s="13">
        <v>46269</v>
      </c>
      <c r="C4798">
        <v>2026</v>
      </c>
      <c r="D4798">
        <v>9</v>
      </c>
      <c r="E4798" t="s">
        <v>4552</v>
      </c>
      <c r="F4798" t="s">
        <v>4047</v>
      </c>
      <c r="G4798" t="s">
        <v>2181</v>
      </c>
      <c r="H4798" t="s">
        <v>2182</v>
      </c>
      <c r="I4798" t="s">
        <v>85</v>
      </c>
      <c r="J4798">
        <v>59</v>
      </c>
      <c r="K4798" t="s">
        <v>83</v>
      </c>
      <c r="L4798" t="s">
        <v>2579</v>
      </c>
      <c r="M4798" t="s">
        <v>56</v>
      </c>
      <c r="N4798" t="s">
        <v>2580</v>
      </c>
      <c r="O4798" t="s">
        <v>118</v>
      </c>
      <c r="P4798" t="s">
        <v>48</v>
      </c>
      <c r="Q4798" t="s">
        <v>142</v>
      </c>
      <c r="R4798">
        <v>1</v>
      </c>
      <c r="S4798">
        <v>3999</v>
      </c>
      <c r="T4798">
        <v>0.05</v>
      </c>
      <c r="U4798">
        <v>3799.05</v>
      </c>
      <c r="V4798">
        <v>2400</v>
      </c>
      <c r="W4798">
        <v>1399.05</v>
      </c>
      <c r="X4798" t="s">
        <v>73</v>
      </c>
      <c r="Y4798" t="s">
        <v>68</v>
      </c>
      <c r="Z4798" t="s">
        <v>162</v>
      </c>
      <c r="AA4798" t="s">
        <v>167</v>
      </c>
      <c r="AB4798">
        <v>3.8</v>
      </c>
      <c r="AC4798">
        <v>50</v>
      </c>
      <c r="AD4798">
        <v>392.72</v>
      </c>
      <c r="AE4798">
        <f t="shared" si="148"/>
        <v>956.32999999999993</v>
      </c>
      <c r="AF4798" t="str">
        <f t="shared" si="149"/>
        <v>2026-09</v>
      </c>
      <c r="AG4798">
        <f>SUBTOTAL(103,A4798)</f>
        <v>1</v>
      </c>
    </row>
    <row r="4799" spans="1:33" x14ac:dyDescent="0.3">
      <c r="A4799" t="s">
        <v>7422</v>
      </c>
      <c r="B4799" s="13">
        <v>46269</v>
      </c>
      <c r="C4799">
        <v>2026</v>
      </c>
      <c r="D4799">
        <v>9</v>
      </c>
      <c r="E4799" t="s">
        <v>4552</v>
      </c>
      <c r="F4799" t="s">
        <v>4047</v>
      </c>
      <c r="G4799" t="s">
        <v>1579</v>
      </c>
      <c r="H4799" t="s">
        <v>1580</v>
      </c>
      <c r="I4799" t="s">
        <v>86</v>
      </c>
      <c r="J4799">
        <v>50</v>
      </c>
      <c r="K4799" t="s">
        <v>83</v>
      </c>
      <c r="L4799" t="s">
        <v>97</v>
      </c>
      <c r="M4799" t="s">
        <v>57</v>
      </c>
      <c r="N4799" t="s">
        <v>2584</v>
      </c>
      <c r="O4799" t="s">
        <v>121</v>
      </c>
      <c r="P4799" t="s">
        <v>50</v>
      </c>
      <c r="Q4799" t="s">
        <v>144</v>
      </c>
      <c r="R4799">
        <v>1</v>
      </c>
      <c r="S4799">
        <v>2999</v>
      </c>
      <c r="T4799">
        <v>0.2</v>
      </c>
      <c r="U4799">
        <v>2399.1999999999998</v>
      </c>
      <c r="V4799">
        <v>1700</v>
      </c>
      <c r="W4799">
        <v>699.2</v>
      </c>
      <c r="X4799" t="s">
        <v>73</v>
      </c>
      <c r="Y4799" t="s">
        <v>68</v>
      </c>
      <c r="Z4799" t="s">
        <v>163</v>
      </c>
      <c r="AA4799" t="s">
        <v>168</v>
      </c>
      <c r="AB4799">
        <v>4.5999999999999996</v>
      </c>
      <c r="AC4799">
        <v>50</v>
      </c>
      <c r="AD4799">
        <v>95.59</v>
      </c>
      <c r="AE4799">
        <f t="shared" si="148"/>
        <v>553.61</v>
      </c>
      <c r="AF4799" t="str">
        <f t="shared" si="149"/>
        <v>2026-09</v>
      </c>
      <c r="AG4799">
        <f>SUBTOTAL(103,A4799)</f>
        <v>1</v>
      </c>
    </row>
    <row r="4800" spans="1:33" x14ac:dyDescent="0.3">
      <c r="A4800" t="s">
        <v>7423</v>
      </c>
      <c r="B4800" s="13">
        <v>46269</v>
      </c>
      <c r="C4800">
        <v>2026</v>
      </c>
      <c r="D4800">
        <v>9</v>
      </c>
      <c r="E4800" t="s">
        <v>4552</v>
      </c>
      <c r="F4800" t="s">
        <v>4047</v>
      </c>
      <c r="G4800" t="s">
        <v>1671</v>
      </c>
      <c r="H4800" t="s">
        <v>1672</v>
      </c>
      <c r="I4800" t="s">
        <v>85</v>
      </c>
      <c r="J4800">
        <v>47</v>
      </c>
      <c r="K4800" t="s">
        <v>83</v>
      </c>
      <c r="L4800" t="s">
        <v>94</v>
      </c>
      <c r="M4800" t="s">
        <v>57</v>
      </c>
      <c r="N4800" t="s">
        <v>2657</v>
      </c>
      <c r="O4800" t="s">
        <v>134</v>
      </c>
      <c r="P4800" t="s">
        <v>49</v>
      </c>
      <c r="Q4800" t="s">
        <v>140</v>
      </c>
      <c r="R4800">
        <v>5</v>
      </c>
      <c r="S4800">
        <v>599</v>
      </c>
      <c r="T4800">
        <v>0.1</v>
      </c>
      <c r="U4800">
        <v>2695.5</v>
      </c>
      <c r="V4800">
        <v>1250</v>
      </c>
      <c r="W4800">
        <v>1445.5</v>
      </c>
      <c r="X4800" t="s">
        <v>76</v>
      </c>
      <c r="Y4800" t="s">
        <v>68</v>
      </c>
      <c r="Z4800" t="s">
        <v>162</v>
      </c>
      <c r="AA4800" t="s">
        <v>167</v>
      </c>
      <c r="AB4800">
        <v>3.7</v>
      </c>
      <c r="AC4800">
        <v>100</v>
      </c>
      <c r="AD4800">
        <v>86.4</v>
      </c>
      <c r="AE4800">
        <f t="shared" si="148"/>
        <v>1259.0999999999999</v>
      </c>
      <c r="AF4800" t="str">
        <f t="shared" si="149"/>
        <v>2026-09</v>
      </c>
      <c r="AG4800">
        <f>SUBTOTAL(103,A4800)</f>
        <v>1</v>
      </c>
    </row>
    <row r="4801" spans="1:33" x14ac:dyDescent="0.3">
      <c r="A4801" t="s">
        <v>7424</v>
      </c>
      <c r="B4801" s="13">
        <v>46269</v>
      </c>
      <c r="C4801">
        <v>2026</v>
      </c>
      <c r="D4801">
        <v>9</v>
      </c>
      <c r="E4801" t="s">
        <v>4552</v>
      </c>
      <c r="F4801" t="s">
        <v>4047</v>
      </c>
      <c r="G4801" t="s">
        <v>905</v>
      </c>
      <c r="H4801" t="s">
        <v>906</v>
      </c>
      <c r="I4801" t="s">
        <v>85</v>
      </c>
      <c r="J4801">
        <v>40</v>
      </c>
      <c r="K4801" t="s">
        <v>82</v>
      </c>
      <c r="L4801" t="s">
        <v>2616</v>
      </c>
      <c r="M4801" t="s">
        <v>62</v>
      </c>
      <c r="N4801" t="s">
        <v>2596</v>
      </c>
      <c r="O4801" t="s">
        <v>124</v>
      </c>
      <c r="P4801" t="s">
        <v>51</v>
      </c>
      <c r="Q4801" t="s">
        <v>147</v>
      </c>
      <c r="R4801">
        <v>3</v>
      </c>
      <c r="S4801">
        <v>2299</v>
      </c>
      <c r="T4801">
        <v>0.15</v>
      </c>
      <c r="U4801">
        <v>5862.45</v>
      </c>
      <c r="V4801">
        <v>3600</v>
      </c>
      <c r="W4801">
        <v>2262.4499999999998</v>
      </c>
      <c r="X4801" t="s">
        <v>77</v>
      </c>
      <c r="Y4801" t="s">
        <v>68</v>
      </c>
      <c r="Z4801" t="s">
        <v>160</v>
      </c>
      <c r="AA4801" t="s">
        <v>171</v>
      </c>
      <c r="AB4801">
        <v>3.8</v>
      </c>
      <c r="AC4801">
        <v>40</v>
      </c>
      <c r="AD4801">
        <v>383.62</v>
      </c>
      <c r="AE4801">
        <f t="shared" si="148"/>
        <v>1838.83</v>
      </c>
      <c r="AF4801" t="str">
        <f t="shared" si="149"/>
        <v>2026-09</v>
      </c>
      <c r="AG4801">
        <f>SUBTOTAL(103,A4801)</f>
        <v>1</v>
      </c>
    </row>
    <row r="4802" spans="1:33" x14ac:dyDescent="0.3">
      <c r="A4802" t="s">
        <v>7425</v>
      </c>
      <c r="B4802" s="13">
        <v>46269</v>
      </c>
      <c r="C4802">
        <v>2026</v>
      </c>
      <c r="D4802">
        <v>9</v>
      </c>
      <c r="E4802" t="s">
        <v>4552</v>
      </c>
      <c r="F4802" t="s">
        <v>4047</v>
      </c>
      <c r="G4802" t="s">
        <v>1039</v>
      </c>
      <c r="H4802" t="s">
        <v>1040</v>
      </c>
      <c r="I4802" t="s">
        <v>85</v>
      </c>
      <c r="J4802">
        <v>37</v>
      </c>
      <c r="K4802" t="s">
        <v>82</v>
      </c>
      <c r="L4802" t="s">
        <v>99</v>
      </c>
      <c r="M4802" t="s">
        <v>58</v>
      </c>
      <c r="N4802" t="s">
        <v>2603</v>
      </c>
      <c r="O4802" t="s">
        <v>122</v>
      </c>
      <c r="P4802" t="s">
        <v>48</v>
      </c>
      <c r="Q4802" t="s">
        <v>141</v>
      </c>
      <c r="R4802">
        <v>1</v>
      </c>
      <c r="S4802">
        <v>2499</v>
      </c>
      <c r="T4802">
        <v>0</v>
      </c>
      <c r="U4802">
        <v>2499</v>
      </c>
      <c r="V4802">
        <v>1450</v>
      </c>
      <c r="W4802">
        <v>1049</v>
      </c>
      <c r="X4802" t="s">
        <v>75</v>
      </c>
      <c r="Y4802" t="s">
        <v>68</v>
      </c>
      <c r="Z4802" t="s">
        <v>161</v>
      </c>
      <c r="AA4802" t="s">
        <v>168</v>
      </c>
      <c r="AB4802">
        <v>5</v>
      </c>
      <c r="AC4802">
        <v>40</v>
      </c>
      <c r="AD4802">
        <v>237.13</v>
      </c>
      <c r="AE4802">
        <f t="shared" ref="AE4802:AE4865" si="150">W4802-AC4802-AD4802</f>
        <v>771.87</v>
      </c>
      <c r="AF4802" t="str">
        <f t="shared" ref="AF4802:AF4865" si="151">C4802&amp;"-"&amp;TEXT(D4802,"00")</f>
        <v>2026-09</v>
      </c>
      <c r="AG4802">
        <f>SUBTOTAL(103,A4802)</f>
        <v>1</v>
      </c>
    </row>
    <row r="4803" spans="1:33" x14ac:dyDescent="0.3">
      <c r="A4803" t="s">
        <v>7426</v>
      </c>
      <c r="B4803" s="13">
        <v>46269</v>
      </c>
      <c r="C4803">
        <v>2026</v>
      </c>
      <c r="D4803">
        <v>9</v>
      </c>
      <c r="E4803" t="s">
        <v>4552</v>
      </c>
      <c r="F4803" t="s">
        <v>4047</v>
      </c>
      <c r="G4803" t="s">
        <v>1935</v>
      </c>
      <c r="H4803" t="s">
        <v>1936</v>
      </c>
      <c r="I4803" t="s">
        <v>86</v>
      </c>
      <c r="J4803">
        <v>59</v>
      </c>
      <c r="K4803" t="s">
        <v>83</v>
      </c>
      <c r="L4803" t="s">
        <v>100</v>
      </c>
      <c r="M4803" t="s">
        <v>56</v>
      </c>
      <c r="N4803" t="s">
        <v>2603</v>
      </c>
      <c r="O4803" t="s">
        <v>122</v>
      </c>
      <c r="P4803" t="s">
        <v>48</v>
      </c>
      <c r="Q4803" t="s">
        <v>141</v>
      </c>
      <c r="R4803">
        <v>2</v>
      </c>
      <c r="S4803">
        <v>2499</v>
      </c>
      <c r="T4803">
        <v>0.1</v>
      </c>
      <c r="U4803">
        <v>4498.2</v>
      </c>
      <c r="V4803">
        <v>2900</v>
      </c>
      <c r="W4803">
        <v>1598.2</v>
      </c>
      <c r="X4803" t="s">
        <v>74</v>
      </c>
      <c r="Y4803" t="s">
        <v>68</v>
      </c>
      <c r="Z4803" t="s">
        <v>159</v>
      </c>
      <c r="AA4803" t="s">
        <v>167</v>
      </c>
      <c r="AB4803">
        <v>4.9000000000000004</v>
      </c>
      <c r="AC4803">
        <v>100</v>
      </c>
      <c r="AD4803">
        <v>338.71</v>
      </c>
      <c r="AE4803">
        <f t="shared" si="150"/>
        <v>1159.49</v>
      </c>
      <c r="AF4803" t="str">
        <f t="shared" si="151"/>
        <v>2026-09</v>
      </c>
      <c r="AG4803">
        <f>SUBTOTAL(103,A4803)</f>
        <v>1</v>
      </c>
    </row>
    <row r="4804" spans="1:33" x14ac:dyDescent="0.3">
      <c r="A4804" t="s">
        <v>7427</v>
      </c>
      <c r="B4804" s="13">
        <v>46269</v>
      </c>
      <c r="C4804">
        <v>2026</v>
      </c>
      <c r="D4804">
        <v>9</v>
      </c>
      <c r="E4804" t="s">
        <v>4552</v>
      </c>
      <c r="F4804" t="s">
        <v>4047</v>
      </c>
      <c r="G4804" t="s">
        <v>205</v>
      </c>
      <c r="H4804" t="s">
        <v>206</v>
      </c>
      <c r="I4804" t="s">
        <v>86</v>
      </c>
      <c r="J4804">
        <v>39</v>
      </c>
      <c r="K4804" t="s">
        <v>82</v>
      </c>
      <c r="L4804" t="s">
        <v>92</v>
      </c>
      <c r="M4804" t="s">
        <v>59</v>
      </c>
      <c r="N4804" t="s">
        <v>2647</v>
      </c>
      <c r="O4804" t="s">
        <v>133</v>
      </c>
      <c r="P4804" t="s">
        <v>50</v>
      </c>
      <c r="Q4804" t="s">
        <v>145</v>
      </c>
      <c r="R4804">
        <v>2</v>
      </c>
      <c r="S4804">
        <v>799</v>
      </c>
      <c r="T4804">
        <v>0.1</v>
      </c>
      <c r="U4804">
        <v>1438.2</v>
      </c>
      <c r="V4804">
        <v>780</v>
      </c>
      <c r="W4804">
        <v>658.2</v>
      </c>
      <c r="X4804" t="s">
        <v>73</v>
      </c>
      <c r="Y4804" t="s">
        <v>68</v>
      </c>
      <c r="Z4804" t="s">
        <v>163</v>
      </c>
      <c r="AA4804" t="s">
        <v>171</v>
      </c>
      <c r="AB4804">
        <v>3.5</v>
      </c>
      <c r="AC4804">
        <v>60</v>
      </c>
      <c r="AD4804">
        <v>77</v>
      </c>
      <c r="AE4804">
        <f t="shared" si="150"/>
        <v>521.20000000000005</v>
      </c>
      <c r="AF4804" t="str">
        <f t="shared" si="151"/>
        <v>2026-09</v>
      </c>
      <c r="AG4804">
        <f>SUBTOTAL(103,A4804)</f>
        <v>1</v>
      </c>
    </row>
    <row r="4805" spans="1:33" x14ac:dyDescent="0.3">
      <c r="A4805" t="s">
        <v>7428</v>
      </c>
      <c r="B4805" s="13">
        <v>46269</v>
      </c>
      <c r="C4805">
        <v>2026</v>
      </c>
      <c r="D4805">
        <v>9</v>
      </c>
      <c r="E4805" t="s">
        <v>4552</v>
      </c>
      <c r="F4805" t="s">
        <v>4047</v>
      </c>
      <c r="G4805" t="s">
        <v>2159</v>
      </c>
      <c r="H4805" t="s">
        <v>2160</v>
      </c>
      <c r="I4805" t="s">
        <v>86</v>
      </c>
      <c r="J4805">
        <v>60</v>
      </c>
      <c r="K4805" t="s">
        <v>83</v>
      </c>
      <c r="L4805" t="s">
        <v>2579</v>
      </c>
      <c r="M4805" t="s">
        <v>56</v>
      </c>
      <c r="N4805" t="s">
        <v>2665</v>
      </c>
      <c r="O4805" t="s">
        <v>128</v>
      </c>
      <c r="P4805" t="s">
        <v>53</v>
      </c>
      <c r="Q4805" t="s">
        <v>143</v>
      </c>
      <c r="R4805">
        <v>4</v>
      </c>
      <c r="S4805">
        <v>1499</v>
      </c>
      <c r="T4805">
        <v>0.1</v>
      </c>
      <c r="U4805">
        <v>5396.4</v>
      </c>
      <c r="V4805">
        <v>3200</v>
      </c>
      <c r="W4805">
        <v>2196.4</v>
      </c>
      <c r="X4805" t="s">
        <v>73</v>
      </c>
      <c r="Y4805" t="s">
        <v>70</v>
      </c>
      <c r="Z4805" t="s">
        <v>162</v>
      </c>
      <c r="AA4805" t="s">
        <v>167</v>
      </c>
      <c r="AB4805">
        <v>3.6</v>
      </c>
      <c r="AC4805">
        <v>80</v>
      </c>
      <c r="AD4805">
        <v>271.32</v>
      </c>
      <c r="AE4805">
        <f t="shared" si="150"/>
        <v>1845.0800000000002</v>
      </c>
      <c r="AF4805" t="str">
        <f t="shared" si="151"/>
        <v>2026-09</v>
      </c>
      <c r="AG4805">
        <f>SUBTOTAL(103,A4805)</f>
        <v>1</v>
      </c>
    </row>
    <row r="4806" spans="1:33" x14ac:dyDescent="0.3">
      <c r="A4806" t="s">
        <v>7429</v>
      </c>
      <c r="B4806" s="13">
        <v>46269</v>
      </c>
      <c r="C4806">
        <v>2026</v>
      </c>
      <c r="D4806">
        <v>9</v>
      </c>
      <c r="E4806" t="s">
        <v>4552</v>
      </c>
      <c r="F4806" t="s">
        <v>4047</v>
      </c>
      <c r="G4806" t="s">
        <v>1065</v>
      </c>
      <c r="H4806" t="s">
        <v>1066</v>
      </c>
      <c r="I4806" t="s">
        <v>85</v>
      </c>
      <c r="J4806">
        <v>57</v>
      </c>
      <c r="K4806" t="s">
        <v>83</v>
      </c>
      <c r="L4806" t="s">
        <v>96</v>
      </c>
      <c r="M4806" t="s">
        <v>55</v>
      </c>
      <c r="N4806" t="s">
        <v>2603</v>
      </c>
      <c r="O4806" t="s">
        <v>122</v>
      </c>
      <c r="P4806" t="s">
        <v>48</v>
      </c>
      <c r="Q4806" t="s">
        <v>141</v>
      </c>
      <c r="R4806">
        <v>1</v>
      </c>
      <c r="S4806">
        <v>2499</v>
      </c>
      <c r="T4806">
        <v>0.15</v>
      </c>
      <c r="U4806">
        <v>2124.15</v>
      </c>
      <c r="V4806">
        <v>1450</v>
      </c>
      <c r="W4806">
        <v>674.15</v>
      </c>
      <c r="X4806" t="s">
        <v>73</v>
      </c>
      <c r="Y4806" t="s">
        <v>69</v>
      </c>
      <c r="Z4806" t="s">
        <v>161</v>
      </c>
      <c r="AA4806" t="s">
        <v>171</v>
      </c>
      <c r="AB4806">
        <v>3.9</v>
      </c>
      <c r="AC4806">
        <v>50</v>
      </c>
      <c r="AD4806">
        <v>82.44</v>
      </c>
      <c r="AE4806">
        <f t="shared" si="150"/>
        <v>541.71</v>
      </c>
      <c r="AF4806" t="str">
        <f t="shared" si="151"/>
        <v>2026-09</v>
      </c>
      <c r="AG4806">
        <f>SUBTOTAL(103,A4806)</f>
        <v>1</v>
      </c>
    </row>
    <row r="4807" spans="1:33" x14ac:dyDescent="0.3">
      <c r="A4807" t="s">
        <v>7430</v>
      </c>
      <c r="B4807" s="13">
        <v>46269</v>
      </c>
      <c r="C4807">
        <v>2026</v>
      </c>
      <c r="D4807">
        <v>9</v>
      </c>
      <c r="E4807" t="s">
        <v>4552</v>
      </c>
      <c r="F4807" t="s">
        <v>4047</v>
      </c>
      <c r="G4807" t="s">
        <v>1919</v>
      </c>
      <c r="H4807" t="s">
        <v>1920</v>
      </c>
      <c r="I4807" t="s">
        <v>86</v>
      </c>
      <c r="J4807">
        <v>52</v>
      </c>
      <c r="K4807" t="s">
        <v>83</v>
      </c>
      <c r="L4807" t="s">
        <v>2589</v>
      </c>
      <c r="M4807" t="s">
        <v>61</v>
      </c>
      <c r="N4807" t="s">
        <v>2630</v>
      </c>
      <c r="O4807" t="s">
        <v>123</v>
      </c>
      <c r="P4807" t="s">
        <v>52</v>
      </c>
      <c r="Q4807" t="s">
        <v>146</v>
      </c>
      <c r="R4807">
        <v>1</v>
      </c>
      <c r="S4807">
        <v>2499</v>
      </c>
      <c r="T4807">
        <v>0.05</v>
      </c>
      <c r="U4807">
        <v>2374.0500000000002</v>
      </c>
      <c r="V4807">
        <v>1400</v>
      </c>
      <c r="W4807">
        <v>974.05</v>
      </c>
      <c r="X4807" t="s">
        <v>73</v>
      </c>
      <c r="Y4807" t="s">
        <v>68</v>
      </c>
      <c r="Z4807" t="s">
        <v>161</v>
      </c>
      <c r="AA4807" t="s">
        <v>167</v>
      </c>
      <c r="AB4807">
        <v>3.3</v>
      </c>
      <c r="AC4807">
        <v>50</v>
      </c>
      <c r="AD4807">
        <v>217.18</v>
      </c>
      <c r="AE4807">
        <f t="shared" si="150"/>
        <v>706.86999999999989</v>
      </c>
      <c r="AF4807" t="str">
        <f t="shared" si="151"/>
        <v>2026-09</v>
      </c>
      <c r="AG4807">
        <f>SUBTOTAL(103,A4807)</f>
        <v>1</v>
      </c>
    </row>
    <row r="4808" spans="1:33" x14ac:dyDescent="0.3">
      <c r="A4808" t="s">
        <v>7431</v>
      </c>
      <c r="B4808" s="13">
        <v>46270</v>
      </c>
      <c r="C4808">
        <v>2026</v>
      </c>
      <c r="D4808">
        <v>9</v>
      </c>
      <c r="E4808" t="s">
        <v>4552</v>
      </c>
      <c r="F4808" t="s">
        <v>4047</v>
      </c>
      <c r="G4808" t="s">
        <v>1679</v>
      </c>
      <c r="H4808" t="s">
        <v>1680</v>
      </c>
      <c r="I4808" t="s">
        <v>85</v>
      </c>
      <c r="J4808">
        <v>54</v>
      </c>
      <c r="K4808" t="s">
        <v>83</v>
      </c>
      <c r="L4808" t="s">
        <v>97</v>
      </c>
      <c r="M4808" t="s">
        <v>57</v>
      </c>
      <c r="N4808" t="s">
        <v>2596</v>
      </c>
      <c r="O4808" t="s">
        <v>124</v>
      </c>
      <c r="P4808" t="s">
        <v>51</v>
      </c>
      <c r="Q4808" t="s">
        <v>147</v>
      </c>
      <c r="R4808">
        <v>2</v>
      </c>
      <c r="S4808">
        <v>2299</v>
      </c>
      <c r="T4808">
        <v>0.15</v>
      </c>
      <c r="U4808">
        <v>3908.3</v>
      </c>
      <c r="V4808">
        <v>2400</v>
      </c>
      <c r="W4808">
        <v>1508.3</v>
      </c>
      <c r="X4808" t="s">
        <v>73</v>
      </c>
      <c r="Y4808" t="s">
        <v>68</v>
      </c>
      <c r="Z4808" t="s">
        <v>160</v>
      </c>
      <c r="AA4808" t="s">
        <v>169</v>
      </c>
      <c r="AB4808">
        <v>4</v>
      </c>
      <c r="AC4808">
        <v>50</v>
      </c>
      <c r="AD4808">
        <v>251.85</v>
      </c>
      <c r="AE4808">
        <f t="shared" si="150"/>
        <v>1206.45</v>
      </c>
      <c r="AF4808" t="str">
        <f t="shared" si="151"/>
        <v>2026-09</v>
      </c>
      <c r="AG4808">
        <f>SUBTOTAL(103,A4808)</f>
        <v>1</v>
      </c>
    </row>
    <row r="4809" spans="1:33" x14ac:dyDescent="0.3">
      <c r="A4809" t="s">
        <v>7432</v>
      </c>
      <c r="B4809" s="13">
        <v>46270</v>
      </c>
      <c r="C4809">
        <v>2026</v>
      </c>
      <c r="D4809">
        <v>9</v>
      </c>
      <c r="E4809" t="s">
        <v>4552</v>
      </c>
      <c r="F4809" t="s">
        <v>4047</v>
      </c>
      <c r="G4809" t="s">
        <v>1413</v>
      </c>
      <c r="H4809" t="s">
        <v>1414</v>
      </c>
      <c r="I4809" t="s">
        <v>86</v>
      </c>
      <c r="J4809">
        <v>53</v>
      </c>
      <c r="K4809" t="s">
        <v>83</v>
      </c>
      <c r="L4809" t="s">
        <v>2623</v>
      </c>
      <c r="M4809" t="s">
        <v>61</v>
      </c>
      <c r="N4809" t="s">
        <v>2587</v>
      </c>
      <c r="O4809" t="s">
        <v>116</v>
      </c>
      <c r="P4809" t="s">
        <v>48</v>
      </c>
      <c r="Q4809" t="s">
        <v>138</v>
      </c>
      <c r="R4809">
        <v>1</v>
      </c>
      <c r="S4809">
        <v>14999</v>
      </c>
      <c r="T4809">
        <v>0</v>
      </c>
      <c r="U4809">
        <v>14999</v>
      </c>
      <c r="V4809">
        <v>11200</v>
      </c>
      <c r="W4809">
        <v>3799</v>
      </c>
      <c r="X4809" t="s">
        <v>73</v>
      </c>
      <c r="Y4809" t="s">
        <v>68</v>
      </c>
      <c r="Z4809" t="s">
        <v>161</v>
      </c>
      <c r="AA4809" t="s">
        <v>169</v>
      </c>
      <c r="AB4809">
        <v>3.5</v>
      </c>
      <c r="AC4809">
        <v>40</v>
      </c>
      <c r="AD4809">
        <v>793.74</v>
      </c>
      <c r="AE4809">
        <f t="shared" si="150"/>
        <v>2965.26</v>
      </c>
      <c r="AF4809" t="str">
        <f t="shared" si="151"/>
        <v>2026-09</v>
      </c>
      <c r="AG4809">
        <f>SUBTOTAL(103,A4809)</f>
        <v>1</v>
      </c>
    </row>
    <row r="4810" spans="1:33" x14ac:dyDescent="0.3">
      <c r="A4810" t="s">
        <v>7433</v>
      </c>
      <c r="B4810" s="13">
        <v>46270</v>
      </c>
      <c r="C4810">
        <v>2026</v>
      </c>
      <c r="D4810">
        <v>9</v>
      </c>
      <c r="E4810" t="s">
        <v>4552</v>
      </c>
      <c r="F4810" t="s">
        <v>4047</v>
      </c>
      <c r="G4810" t="s">
        <v>343</v>
      </c>
      <c r="H4810" t="s">
        <v>344</v>
      </c>
      <c r="I4810" t="s">
        <v>86</v>
      </c>
      <c r="J4810">
        <v>55</v>
      </c>
      <c r="K4810" t="s">
        <v>83</v>
      </c>
      <c r="L4810" t="s">
        <v>91</v>
      </c>
      <c r="M4810" t="s">
        <v>55</v>
      </c>
      <c r="N4810" t="s">
        <v>2606</v>
      </c>
      <c r="O4810" t="s">
        <v>120</v>
      </c>
      <c r="P4810" t="s">
        <v>49</v>
      </c>
      <c r="Q4810" t="s">
        <v>140</v>
      </c>
      <c r="R4810">
        <v>1</v>
      </c>
      <c r="S4810">
        <v>2799</v>
      </c>
      <c r="T4810">
        <v>0.1</v>
      </c>
      <c r="U4810">
        <v>2519.1</v>
      </c>
      <c r="V4810">
        <v>1650</v>
      </c>
      <c r="W4810">
        <v>869.1</v>
      </c>
      <c r="X4810" t="s">
        <v>73</v>
      </c>
      <c r="Y4810" t="s">
        <v>68</v>
      </c>
      <c r="Z4810" t="s">
        <v>161</v>
      </c>
      <c r="AA4810" t="s">
        <v>171</v>
      </c>
      <c r="AB4810">
        <v>4.0999999999999996</v>
      </c>
      <c r="AC4810">
        <v>50</v>
      </c>
      <c r="AD4810">
        <v>134</v>
      </c>
      <c r="AE4810">
        <f t="shared" si="150"/>
        <v>685.1</v>
      </c>
      <c r="AF4810" t="str">
        <f t="shared" si="151"/>
        <v>2026-09</v>
      </c>
      <c r="AG4810">
        <f>SUBTOTAL(103,A4810)</f>
        <v>1</v>
      </c>
    </row>
    <row r="4811" spans="1:33" x14ac:dyDescent="0.3">
      <c r="A4811" t="s">
        <v>7434</v>
      </c>
      <c r="B4811" s="13">
        <v>46271</v>
      </c>
      <c r="C4811">
        <v>2026</v>
      </c>
      <c r="D4811">
        <v>9</v>
      </c>
      <c r="E4811" t="s">
        <v>4552</v>
      </c>
      <c r="F4811" t="s">
        <v>4047</v>
      </c>
      <c r="G4811" t="s">
        <v>361</v>
      </c>
      <c r="H4811" t="s">
        <v>362</v>
      </c>
      <c r="I4811" t="s">
        <v>86</v>
      </c>
      <c r="J4811">
        <v>23</v>
      </c>
      <c r="K4811" t="s">
        <v>80</v>
      </c>
      <c r="L4811" t="s">
        <v>95</v>
      </c>
      <c r="M4811" t="s">
        <v>56</v>
      </c>
      <c r="N4811" t="s">
        <v>2657</v>
      </c>
      <c r="O4811" t="s">
        <v>134</v>
      </c>
      <c r="P4811" t="s">
        <v>49</v>
      </c>
      <c r="Q4811" t="s">
        <v>140</v>
      </c>
      <c r="R4811">
        <v>5</v>
      </c>
      <c r="S4811">
        <v>599</v>
      </c>
      <c r="T4811">
        <v>0.1</v>
      </c>
      <c r="U4811">
        <v>2695.5</v>
      </c>
      <c r="V4811">
        <v>1250</v>
      </c>
      <c r="W4811">
        <v>1445.5</v>
      </c>
      <c r="X4811" t="s">
        <v>74</v>
      </c>
      <c r="Y4811" t="s">
        <v>68</v>
      </c>
      <c r="Z4811" t="s">
        <v>160</v>
      </c>
      <c r="AA4811" t="s">
        <v>170</v>
      </c>
      <c r="AB4811">
        <v>3.6</v>
      </c>
      <c r="AC4811">
        <v>40</v>
      </c>
      <c r="AD4811">
        <v>143.25</v>
      </c>
      <c r="AE4811">
        <f t="shared" si="150"/>
        <v>1262.25</v>
      </c>
      <c r="AF4811" t="str">
        <f t="shared" si="151"/>
        <v>2026-09</v>
      </c>
      <c r="AG4811">
        <f>SUBTOTAL(103,A4811)</f>
        <v>1</v>
      </c>
    </row>
    <row r="4812" spans="1:33" x14ac:dyDescent="0.3">
      <c r="A4812" t="s">
        <v>7435</v>
      </c>
      <c r="B4812" s="13">
        <v>46271</v>
      </c>
      <c r="C4812">
        <v>2026</v>
      </c>
      <c r="D4812">
        <v>9</v>
      </c>
      <c r="E4812" t="s">
        <v>4552</v>
      </c>
      <c r="F4812" t="s">
        <v>4047</v>
      </c>
      <c r="G4812" t="s">
        <v>1291</v>
      </c>
      <c r="H4812" t="s">
        <v>1292</v>
      </c>
      <c r="I4812" t="s">
        <v>85</v>
      </c>
      <c r="J4812">
        <v>42</v>
      </c>
      <c r="K4812" t="s">
        <v>82</v>
      </c>
      <c r="L4812" t="s">
        <v>98</v>
      </c>
      <c r="M4812" t="s">
        <v>55</v>
      </c>
      <c r="N4812" t="s">
        <v>2594</v>
      </c>
      <c r="O4812" t="s">
        <v>131</v>
      </c>
      <c r="P4812" t="s">
        <v>53</v>
      </c>
      <c r="Q4812" t="s">
        <v>143</v>
      </c>
      <c r="R4812">
        <v>2</v>
      </c>
      <c r="S4812">
        <v>999</v>
      </c>
      <c r="T4812">
        <v>0.25</v>
      </c>
      <c r="U4812">
        <v>0</v>
      </c>
      <c r="V4812">
        <v>0</v>
      </c>
      <c r="W4812">
        <v>0</v>
      </c>
      <c r="X4812" t="s">
        <v>77</v>
      </c>
      <c r="Y4812" t="s">
        <v>71</v>
      </c>
      <c r="Z4812" t="s">
        <v>163</v>
      </c>
      <c r="AA4812" t="s">
        <v>169</v>
      </c>
      <c r="AB4812">
        <v>3.8</v>
      </c>
      <c r="AC4812">
        <v>80</v>
      </c>
      <c r="AD4812">
        <v>54.58</v>
      </c>
      <c r="AE4812">
        <f t="shared" si="150"/>
        <v>-134.57999999999998</v>
      </c>
      <c r="AF4812" t="str">
        <f t="shared" si="151"/>
        <v>2026-09</v>
      </c>
      <c r="AG4812">
        <f>SUBTOTAL(103,A4812)</f>
        <v>1</v>
      </c>
    </row>
    <row r="4813" spans="1:33" x14ac:dyDescent="0.3">
      <c r="A4813" t="s">
        <v>7436</v>
      </c>
      <c r="B4813" s="13">
        <v>46271</v>
      </c>
      <c r="C4813">
        <v>2026</v>
      </c>
      <c r="D4813">
        <v>9</v>
      </c>
      <c r="E4813" t="s">
        <v>4552</v>
      </c>
      <c r="F4813" t="s">
        <v>4047</v>
      </c>
      <c r="G4813" t="s">
        <v>445</v>
      </c>
      <c r="H4813" t="s">
        <v>446</v>
      </c>
      <c r="I4813" t="s">
        <v>86</v>
      </c>
      <c r="J4813">
        <v>30</v>
      </c>
      <c r="K4813" t="s">
        <v>81</v>
      </c>
      <c r="L4813" t="s">
        <v>2616</v>
      </c>
      <c r="M4813" t="s">
        <v>62</v>
      </c>
      <c r="N4813" t="s">
        <v>2596</v>
      </c>
      <c r="O4813" t="s">
        <v>124</v>
      </c>
      <c r="P4813" t="s">
        <v>51</v>
      </c>
      <c r="Q4813" t="s">
        <v>147</v>
      </c>
      <c r="R4813">
        <v>2</v>
      </c>
      <c r="S4813">
        <v>2299</v>
      </c>
      <c r="T4813">
        <v>0</v>
      </c>
      <c r="U4813">
        <v>4598</v>
      </c>
      <c r="V4813">
        <v>2400</v>
      </c>
      <c r="W4813">
        <v>2198</v>
      </c>
      <c r="X4813" t="s">
        <v>73</v>
      </c>
      <c r="Y4813" t="s">
        <v>68</v>
      </c>
      <c r="Z4813" t="s">
        <v>158</v>
      </c>
      <c r="AA4813" t="s">
        <v>168</v>
      </c>
      <c r="AB4813">
        <v>4.7</v>
      </c>
      <c r="AC4813">
        <v>80</v>
      </c>
      <c r="AD4813">
        <v>254.22</v>
      </c>
      <c r="AE4813">
        <f t="shared" si="150"/>
        <v>1863.78</v>
      </c>
      <c r="AF4813" t="str">
        <f t="shared" si="151"/>
        <v>2026-09</v>
      </c>
      <c r="AG4813">
        <f>SUBTOTAL(103,A4813)</f>
        <v>1</v>
      </c>
    </row>
    <row r="4814" spans="1:33" x14ac:dyDescent="0.3">
      <c r="A4814" t="s">
        <v>7437</v>
      </c>
      <c r="B4814" s="13">
        <v>46271</v>
      </c>
      <c r="C4814">
        <v>2026</v>
      </c>
      <c r="D4814">
        <v>9</v>
      </c>
      <c r="E4814" t="s">
        <v>4552</v>
      </c>
      <c r="F4814" t="s">
        <v>4047</v>
      </c>
      <c r="G4814" t="s">
        <v>307</v>
      </c>
      <c r="H4814" t="s">
        <v>308</v>
      </c>
      <c r="I4814" t="s">
        <v>86</v>
      </c>
      <c r="J4814">
        <v>54</v>
      </c>
      <c r="K4814" t="s">
        <v>83</v>
      </c>
      <c r="L4814" t="s">
        <v>2646</v>
      </c>
      <c r="M4814" t="s">
        <v>63</v>
      </c>
      <c r="N4814" t="s">
        <v>2580</v>
      </c>
      <c r="O4814" t="s">
        <v>118</v>
      </c>
      <c r="P4814" t="s">
        <v>48</v>
      </c>
      <c r="Q4814" t="s">
        <v>142</v>
      </c>
      <c r="R4814">
        <v>3</v>
      </c>
      <c r="S4814">
        <v>3999</v>
      </c>
      <c r="T4814">
        <v>0.1</v>
      </c>
      <c r="U4814">
        <v>10797.3</v>
      </c>
      <c r="V4814">
        <v>7200</v>
      </c>
      <c r="W4814">
        <v>3597.3</v>
      </c>
      <c r="X4814" t="s">
        <v>73</v>
      </c>
      <c r="Y4814" t="s">
        <v>68</v>
      </c>
      <c r="Z4814" t="s">
        <v>158</v>
      </c>
      <c r="AA4814" t="s">
        <v>169</v>
      </c>
      <c r="AB4814">
        <v>3.6</v>
      </c>
      <c r="AC4814">
        <v>120</v>
      </c>
      <c r="AD4814">
        <v>915.55</v>
      </c>
      <c r="AE4814">
        <f t="shared" si="150"/>
        <v>2561.75</v>
      </c>
      <c r="AF4814" t="str">
        <f t="shared" si="151"/>
        <v>2026-09</v>
      </c>
      <c r="AG4814">
        <f>SUBTOTAL(103,A4814)</f>
        <v>1</v>
      </c>
    </row>
    <row r="4815" spans="1:33" x14ac:dyDescent="0.3">
      <c r="A4815" t="s">
        <v>7438</v>
      </c>
      <c r="B4815" s="13">
        <v>46271</v>
      </c>
      <c r="C4815">
        <v>2026</v>
      </c>
      <c r="D4815">
        <v>9</v>
      </c>
      <c r="E4815" t="s">
        <v>4552</v>
      </c>
      <c r="F4815" t="s">
        <v>4047</v>
      </c>
      <c r="G4815" t="s">
        <v>1883</v>
      </c>
      <c r="H4815" t="s">
        <v>1884</v>
      </c>
      <c r="I4815" t="s">
        <v>85</v>
      </c>
      <c r="J4815">
        <v>19</v>
      </c>
      <c r="K4815" t="s">
        <v>80</v>
      </c>
      <c r="L4815" t="s">
        <v>92</v>
      </c>
      <c r="M4815" t="s">
        <v>59</v>
      </c>
      <c r="N4815" t="s">
        <v>2644</v>
      </c>
      <c r="O4815" t="s">
        <v>126</v>
      </c>
      <c r="P4815" t="s">
        <v>50</v>
      </c>
      <c r="Q4815" t="s">
        <v>145</v>
      </c>
      <c r="R4815">
        <v>4</v>
      </c>
      <c r="S4815">
        <v>1799</v>
      </c>
      <c r="T4815">
        <v>0.1</v>
      </c>
      <c r="U4815">
        <v>6476.4</v>
      </c>
      <c r="V4815">
        <v>3800</v>
      </c>
      <c r="W4815">
        <v>2676.4</v>
      </c>
      <c r="X4815" t="s">
        <v>74</v>
      </c>
      <c r="Y4815" t="s">
        <v>68</v>
      </c>
      <c r="Z4815" t="s">
        <v>158</v>
      </c>
      <c r="AA4815" t="s">
        <v>167</v>
      </c>
      <c r="AB4815">
        <v>4</v>
      </c>
      <c r="AC4815">
        <v>50</v>
      </c>
      <c r="AD4815">
        <v>340.37</v>
      </c>
      <c r="AE4815">
        <f t="shared" si="150"/>
        <v>2286.0300000000002</v>
      </c>
      <c r="AF4815" t="str">
        <f t="shared" si="151"/>
        <v>2026-09</v>
      </c>
      <c r="AG4815">
        <f>SUBTOTAL(103,A4815)</f>
        <v>1</v>
      </c>
    </row>
    <row r="4816" spans="1:33" x14ac:dyDescent="0.3">
      <c r="A4816" t="s">
        <v>7439</v>
      </c>
      <c r="B4816" s="13">
        <v>46272</v>
      </c>
      <c r="C4816">
        <v>2026</v>
      </c>
      <c r="D4816">
        <v>9</v>
      </c>
      <c r="E4816" t="s">
        <v>4552</v>
      </c>
      <c r="F4816" t="s">
        <v>4047</v>
      </c>
      <c r="G4816" t="s">
        <v>1141</v>
      </c>
      <c r="H4816" t="s">
        <v>1142</v>
      </c>
      <c r="I4816" t="s">
        <v>85</v>
      </c>
      <c r="J4816">
        <v>53</v>
      </c>
      <c r="K4816" t="s">
        <v>83</v>
      </c>
      <c r="L4816" t="s">
        <v>90</v>
      </c>
      <c r="M4816" t="s">
        <v>55</v>
      </c>
      <c r="N4816" t="s">
        <v>2644</v>
      </c>
      <c r="O4816" t="s">
        <v>126</v>
      </c>
      <c r="P4816" t="s">
        <v>50</v>
      </c>
      <c r="Q4816" t="s">
        <v>145</v>
      </c>
      <c r="R4816">
        <v>5</v>
      </c>
      <c r="S4816">
        <v>1799</v>
      </c>
      <c r="T4816">
        <v>0</v>
      </c>
      <c r="U4816">
        <v>8995</v>
      </c>
      <c r="V4816">
        <v>4750</v>
      </c>
      <c r="W4816">
        <v>4245</v>
      </c>
      <c r="X4816" t="s">
        <v>74</v>
      </c>
      <c r="Y4816" t="s">
        <v>68</v>
      </c>
      <c r="Z4816" t="s">
        <v>161</v>
      </c>
      <c r="AA4816" t="s">
        <v>166</v>
      </c>
      <c r="AB4816">
        <v>3.7</v>
      </c>
      <c r="AC4816">
        <v>60</v>
      </c>
      <c r="AD4816">
        <v>390.89</v>
      </c>
      <c r="AE4816">
        <f t="shared" si="150"/>
        <v>3794.11</v>
      </c>
      <c r="AF4816" t="str">
        <f t="shared" si="151"/>
        <v>2026-09</v>
      </c>
      <c r="AG4816">
        <f>SUBTOTAL(103,A4816)</f>
        <v>1</v>
      </c>
    </row>
    <row r="4817" spans="1:33" x14ac:dyDescent="0.3">
      <c r="A4817" t="s">
        <v>7440</v>
      </c>
      <c r="B4817" s="13">
        <v>46272</v>
      </c>
      <c r="C4817">
        <v>2026</v>
      </c>
      <c r="D4817">
        <v>9</v>
      </c>
      <c r="E4817" t="s">
        <v>4552</v>
      </c>
      <c r="F4817" t="s">
        <v>4047</v>
      </c>
      <c r="G4817" t="s">
        <v>1055</v>
      </c>
      <c r="H4817" t="s">
        <v>1056</v>
      </c>
      <c r="I4817" t="s">
        <v>86</v>
      </c>
      <c r="J4817">
        <v>52</v>
      </c>
      <c r="K4817" t="s">
        <v>83</v>
      </c>
      <c r="L4817" t="s">
        <v>2612</v>
      </c>
      <c r="M4817" t="s">
        <v>64</v>
      </c>
      <c r="N4817" t="s">
        <v>2647</v>
      </c>
      <c r="O4817" t="s">
        <v>133</v>
      </c>
      <c r="P4817" t="s">
        <v>50</v>
      </c>
      <c r="Q4817" t="s">
        <v>145</v>
      </c>
      <c r="R4817">
        <v>2</v>
      </c>
      <c r="S4817">
        <v>799</v>
      </c>
      <c r="T4817">
        <v>0.1</v>
      </c>
      <c r="U4817">
        <v>1438.2</v>
      </c>
      <c r="V4817">
        <v>780</v>
      </c>
      <c r="W4817">
        <v>658.2</v>
      </c>
      <c r="X4817" t="s">
        <v>73</v>
      </c>
      <c r="Y4817" t="s">
        <v>68</v>
      </c>
      <c r="Z4817" t="s">
        <v>159</v>
      </c>
      <c r="AA4817" t="s">
        <v>166</v>
      </c>
      <c r="AB4817">
        <v>4.7</v>
      </c>
      <c r="AC4817">
        <v>50</v>
      </c>
      <c r="AD4817">
        <v>66.260000000000005</v>
      </c>
      <c r="AE4817">
        <f t="shared" si="150"/>
        <v>541.94000000000005</v>
      </c>
      <c r="AF4817" t="str">
        <f t="shared" si="151"/>
        <v>2026-09</v>
      </c>
      <c r="AG4817">
        <f>SUBTOTAL(103,A4817)</f>
        <v>1</v>
      </c>
    </row>
    <row r="4818" spans="1:33" x14ac:dyDescent="0.3">
      <c r="A4818" t="s">
        <v>7441</v>
      </c>
      <c r="B4818" s="13">
        <v>46272</v>
      </c>
      <c r="C4818">
        <v>2026</v>
      </c>
      <c r="D4818">
        <v>9</v>
      </c>
      <c r="E4818" t="s">
        <v>4552</v>
      </c>
      <c r="F4818" t="s">
        <v>4047</v>
      </c>
      <c r="G4818" t="s">
        <v>333</v>
      </c>
      <c r="H4818" t="s">
        <v>334</v>
      </c>
      <c r="I4818" t="s">
        <v>85</v>
      </c>
      <c r="J4818">
        <v>52</v>
      </c>
      <c r="K4818" t="s">
        <v>83</v>
      </c>
      <c r="L4818" t="s">
        <v>94</v>
      </c>
      <c r="M4818" t="s">
        <v>57</v>
      </c>
      <c r="N4818" t="s">
        <v>2665</v>
      </c>
      <c r="O4818" t="s">
        <v>128</v>
      </c>
      <c r="P4818" t="s">
        <v>53</v>
      </c>
      <c r="Q4818" t="s">
        <v>143</v>
      </c>
      <c r="R4818">
        <v>4</v>
      </c>
      <c r="S4818">
        <v>1499</v>
      </c>
      <c r="T4818">
        <v>0.1</v>
      </c>
      <c r="U4818">
        <v>5396.4</v>
      </c>
      <c r="V4818">
        <v>3200</v>
      </c>
      <c r="W4818">
        <v>2196.4</v>
      </c>
      <c r="X4818" t="s">
        <v>75</v>
      </c>
      <c r="Y4818" t="s">
        <v>68</v>
      </c>
      <c r="Z4818" t="s">
        <v>159</v>
      </c>
      <c r="AA4818" t="s">
        <v>168</v>
      </c>
      <c r="AB4818">
        <v>3.5</v>
      </c>
      <c r="AC4818">
        <v>60</v>
      </c>
      <c r="AD4818">
        <v>521.01</v>
      </c>
      <c r="AE4818">
        <f t="shared" si="150"/>
        <v>1615.39</v>
      </c>
      <c r="AF4818" t="str">
        <f t="shared" si="151"/>
        <v>2026-09</v>
      </c>
      <c r="AG4818">
        <f>SUBTOTAL(103,A4818)</f>
        <v>1</v>
      </c>
    </row>
    <row r="4819" spans="1:33" x14ac:dyDescent="0.3">
      <c r="A4819" t="s">
        <v>7442</v>
      </c>
      <c r="B4819" s="13">
        <v>46272</v>
      </c>
      <c r="C4819">
        <v>2026</v>
      </c>
      <c r="D4819">
        <v>9</v>
      </c>
      <c r="E4819" t="s">
        <v>4552</v>
      </c>
      <c r="F4819" t="s">
        <v>4047</v>
      </c>
      <c r="G4819" t="s">
        <v>2519</v>
      </c>
      <c r="H4819" t="s">
        <v>2520</v>
      </c>
      <c r="I4819" t="s">
        <v>85</v>
      </c>
      <c r="J4819">
        <v>34</v>
      </c>
      <c r="K4819" t="s">
        <v>81</v>
      </c>
      <c r="L4819" t="s">
        <v>2573</v>
      </c>
      <c r="M4819" t="s">
        <v>63</v>
      </c>
      <c r="N4819" t="s">
        <v>2584</v>
      </c>
      <c r="O4819" t="s">
        <v>121</v>
      </c>
      <c r="P4819" t="s">
        <v>50</v>
      </c>
      <c r="Q4819" t="s">
        <v>144</v>
      </c>
      <c r="R4819">
        <v>1</v>
      </c>
      <c r="S4819">
        <v>2999</v>
      </c>
      <c r="T4819">
        <v>0.15</v>
      </c>
      <c r="U4819">
        <v>0</v>
      </c>
      <c r="V4819">
        <v>0</v>
      </c>
      <c r="W4819">
        <v>0</v>
      </c>
      <c r="X4819" t="s">
        <v>76</v>
      </c>
      <c r="Y4819" t="s">
        <v>71</v>
      </c>
      <c r="Z4819" t="s">
        <v>158</v>
      </c>
      <c r="AA4819" t="s">
        <v>167</v>
      </c>
      <c r="AB4819">
        <v>4.5</v>
      </c>
      <c r="AC4819">
        <v>40</v>
      </c>
      <c r="AD4819">
        <v>248.75</v>
      </c>
      <c r="AE4819">
        <f t="shared" si="150"/>
        <v>-288.75</v>
      </c>
      <c r="AF4819" t="str">
        <f t="shared" si="151"/>
        <v>2026-09</v>
      </c>
      <c r="AG4819">
        <f>SUBTOTAL(103,A4819)</f>
        <v>1</v>
      </c>
    </row>
    <row r="4820" spans="1:33" x14ac:dyDescent="0.3">
      <c r="A4820" t="s">
        <v>7443</v>
      </c>
      <c r="B4820" s="13">
        <v>46272</v>
      </c>
      <c r="C4820">
        <v>2026</v>
      </c>
      <c r="D4820">
        <v>9</v>
      </c>
      <c r="E4820" t="s">
        <v>4552</v>
      </c>
      <c r="F4820" t="s">
        <v>4047</v>
      </c>
      <c r="G4820" t="s">
        <v>2429</v>
      </c>
      <c r="H4820" t="s">
        <v>2430</v>
      </c>
      <c r="I4820" t="s">
        <v>86</v>
      </c>
      <c r="J4820">
        <v>36</v>
      </c>
      <c r="K4820" t="s">
        <v>82</v>
      </c>
      <c r="L4820" t="s">
        <v>2586</v>
      </c>
      <c r="M4820" t="s">
        <v>62</v>
      </c>
      <c r="N4820" t="s">
        <v>2594</v>
      </c>
      <c r="O4820" t="s">
        <v>131</v>
      </c>
      <c r="P4820" t="s">
        <v>53</v>
      </c>
      <c r="Q4820" t="s">
        <v>143</v>
      </c>
      <c r="R4820">
        <v>2</v>
      </c>
      <c r="S4820">
        <v>999</v>
      </c>
      <c r="T4820">
        <v>0</v>
      </c>
      <c r="U4820">
        <v>0</v>
      </c>
      <c r="V4820">
        <v>0</v>
      </c>
      <c r="W4820">
        <v>0</v>
      </c>
      <c r="X4820" t="s">
        <v>73</v>
      </c>
      <c r="Y4820" t="s">
        <v>71</v>
      </c>
      <c r="Z4820" t="s">
        <v>161</v>
      </c>
      <c r="AA4820" t="s">
        <v>169</v>
      </c>
      <c r="AB4820">
        <v>3</v>
      </c>
      <c r="AC4820">
        <v>60</v>
      </c>
      <c r="AD4820">
        <v>224.18</v>
      </c>
      <c r="AE4820">
        <f t="shared" si="150"/>
        <v>-284.18</v>
      </c>
      <c r="AF4820" t="str">
        <f t="shared" si="151"/>
        <v>2026-09</v>
      </c>
      <c r="AG4820">
        <f>SUBTOTAL(103,A4820)</f>
        <v>1</v>
      </c>
    </row>
    <row r="4821" spans="1:33" x14ac:dyDescent="0.3">
      <c r="A4821" t="s">
        <v>7444</v>
      </c>
      <c r="B4821" s="13">
        <v>46272</v>
      </c>
      <c r="C4821">
        <v>2026</v>
      </c>
      <c r="D4821">
        <v>9</v>
      </c>
      <c r="E4821" t="s">
        <v>4552</v>
      </c>
      <c r="F4821" t="s">
        <v>4047</v>
      </c>
      <c r="G4821" t="s">
        <v>1243</v>
      </c>
      <c r="H4821" t="s">
        <v>1244</v>
      </c>
      <c r="I4821" t="s">
        <v>86</v>
      </c>
      <c r="J4821">
        <v>51</v>
      </c>
      <c r="K4821" t="s">
        <v>83</v>
      </c>
      <c r="L4821" t="s">
        <v>2610</v>
      </c>
      <c r="M4821" t="s">
        <v>64</v>
      </c>
      <c r="N4821" t="s">
        <v>2592</v>
      </c>
      <c r="O4821" t="s">
        <v>115</v>
      </c>
      <c r="P4821" t="s">
        <v>48</v>
      </c>
      <c r="Q4821" t="s">
        <v>137</v>
      </c>
      <c r="R4821">
        <v>1</v>
      </c>
      <c r="S4821">
        <v>12999</v>
      </c>
      <c r="T4821">
        <v>0.1</v>
      </c>
      <c r="U4821">
        <v>11699.1</v>
      </c>
      <c r="V4821">
        <v>9000</v>
      </c>
      <c r="W4821">
        <v>2699.1</v>
      </c>
      <c r="X4821" t="s">
        <v>74</v>
      </c>
      <c r="Y4821" t="s">
        <v>68</v>
      </c>
      <c r="Z4821" t="s">
        <v>158</v>
      </c>
      <c r="AA4821" t="s">
        <v>169</v>
      </c>
      <c r="AB4821">
        <v>4.7</v>
      </c>
      <c r="AC4821">
        <v>50</v>
      </c>
      <c r="AD4821">
        <v>1218.07</v>
      </c>
      <c r="AE4821">
        <f t="shared" si="150"/>
        <v>1431.03</v>
      </c>
      <c r="AF4821" t="str">
        <f t="shared" si="151"/>
        <v>2026-09</v>
      </c>
      <c r="AG4821">
        <f>SUBTOTAL(103,A4821)</f>
        <v>1</v>
      </c>
    </row>
    <row r="4822" spans="1:33" x14ac:dyDescent="0.3">
      <c r="A4822" t="s">
        <v>7445</v>
      </c>
      <c r="B4822" s="13">
        <v>46272</v>
      </c>
      <c r="C4822">
        <v>2026</v>
      </c>
      <c r="D4822">
        <v>9</v>
      </c>
      <c r="E4822" t="s">
        <v>4552</v>
      </c>
      <c r="F4822" t="s">
        <v>4047</v>
      </c>
      <c r="G4822" t="s">
        <v>791</v>
      </c>
      <c r="H4822" t="s">
        <v>792</v>
      </c>
      <c r="I4822" t="s">
        <v>86</v>
      </c>
      <c r="J4822">
        <v>28</v>
      </c>
      <c r="K4822" t="s">
        <v>81</v>
      </c>
      <c r="L4822" t="s">
        <v>2579</v>
      </c>
      <c r="M4822" t="s">
        <v>56</v>
      </c>
      <c r="N4822" t="s">
        <v>2590</v>
      </c>
      <c r="O4822" t="s">
        <v>127</v>
      </c>
      <c r="P4822" t="s">
        <v>51</v>
      </c>
      <c r="Q4822" t="s">
        <v>148</v>
      </c>
      <c r="R4822">
        <v>1</v>
      </c>
      <c r="S4822">
        <v>1599</v>
      </c>
      <c r="T4822">
        <v>0</v>
      </c>
      <c r="U4822">
        <v>1599</v>
      </c>
      <c r="V4822">
        <v>800</v>
      </c>
      <c r="W4822">
        <v>799</v>
      </c>
      <c r="X4822" t="s">
        <v>73</v>
      </c>
      <c r="Y4822" t="s">
        <v>68</v>
      </c>
      <c r="Z4822" t="s">
        <v>161</v>
      </c>
      <c r="AA4822" t="s">
        <v>170</v>
      </c>
      <c r="AB4822">
        <v>4.4000000000000004</v>
      </c>
      <c r="AC4822">
        <v>60</v>
      </c>
      <c r="AD4822">
        <v>138.28</v>
      </c>
      <c r="AE4822">
        <f t="shared" si="150"/>
        <v>600.72</v>
      </c>
      <c r="AF4822" t="str">
        <f t="shared" si="151"/>
        <v>2026-09</v>
      </c>
      <c r="AG4822">
        <f>SUBTOTAL(103,A4822)</f>
        <v>1</v>
      </c>
    </row>
    <row r="4823" spans="1:33" x14ac:dyDescent="0.3">
      <c r="A4823" t="s">
        <v>7446</v>
      </c>
      <c r="B4823" s="13">
        <v>46272</v>
      </c>
      <c r="C4823">
        <v>2026</v>
      </c>
      <c r="D4823">
        <v>9</v>
      </c>
      <c r="E4823" t="s">
        <v>4552</v>
      </c>
      <c r="F4823" t="s">
        <v>4047</v>
      </c>
      <c r="G4823" t="s">
        <v>309</v>
      </c>
      <c r="H4823" t="s">
        <v>310</v>
      </c>
      <c r="I4823" t="s">
        <v>86</v>
      </c>
      <c r="J4823">
        <v>22</v>
      </c>
      <c r="K4823" t="s">
        <v>80</v>
      </c>
      <c r="L4823" t="s">
        <v>2573</v>
      </c>
      <c r="M4823" t="s">
        <v>63</v>
      </c>
      <c r="N4823" t="s">
        <v>2574</v>
      </c>
      <c r="O4823" t="s">
        <v>130</v>
      </c>
      <c r="P4823" t="s">
        <v>50</v>
      </c>
      <c r="Q4823" t="s">
        <v>53</v>
      </c>
      <c r="R4823">
        <v>3</v>
      </c>
      <c r="S4823">
        <v>1199</v>
      </c>
      <c r="T4823">
        <v>0.15</v>
      </c>
      <c r="U4823">
        <v>3057.45</v>
      </c>
      <c r="V4823">
        <v>1650</v>
      </c>
      <c r="W4823">
        <v>1407.45</v>
      </c>
      <c r="X4823" t="s">
        <v>74</v>
      </c>
      <c r="Y4823" t="s">
        <v>68</v>
      </c>
      <c r="Z4823" t="s">
        <v>160</v>
      </c>
      <c r="AA4823" t="s">
        <v>167</v>
      </c>
      <c r="AB4823">
        <v>4.5999999999999996</v>
      </c>
      <c r="AC4823">
        <v>80</v>
      </c>
      <c r="AD4823">
        <v>145.03</v>
      </c>
      <c r="AE4823">
        <f t="shared" si="150"/>
        <v>1182.42</v>
      </c>
      <c r="AF4823" t="str">
        <f t="shared" si="151"/>
        <v>2026-09</v>
      </c>
      <c r="AG4823">
        <f>SUBTOTAL(103,A4823)</f>
        <v>1</v>
      </c>
    </row>
    <row r="4824" spans="1:33" x14ac:dyDescent="0.3">
      <c r="A4824" t="s">
        <v>7447</v>
      </c>
      <c r="B4824" s="13">
        <v>46272</v>
      </c>
      <c r="C4824">
        <v>2026</v>
      </c>
      <c r="D4824">
        <v>9</v>
      </c>
      <c r="E4824" t="s">
        <v>4552</v>
      </c>
      <c r="F4824" t="s">
        <v>4047</v>
      </c>
      <c r="G4824" t="s">
        <v>1959</v>
      </c>
      <c r="H4824" t="s">
        <v>1960</v>
      </c>
      <c r="I4824" t="s">
        <v>85</v>
      </c>
      <c r="J4824">
        <v>22</v>
      </c>
      <c r="K4824" t="s">
        <v>80</v>
      </c>
      <c r="L4824" t="s">
        <v>95</v>
      </c>
      <c r="M4824" t="s">
        <v>56</v>
      </c>
      <c r="N4824" t="s">
        <v>2657</v>
      </c>
      <c r="O4824" t="s">
        <v>134</v>
      </c>
      <c r="P4824" t="s">
        <v>49</v>
      </c>
      <c r="Q4824" t="s">
        <v>140</v>
      </c>
      <c r="R4824">
        <v>3</v>
      </c>
      <c r="S4824">
        <v>599</v>
      </c>
      <c r="T4824">
        <v>0.15</v>
      </c>
      <c r="U4824">
        <v>1527.45</v>
      </c>
      <c r="V4824">
        <v>750</v>
      </c>
      <c r="W4824">
        <v>777.45</v>
      </c>
      <c r="X4824" t="s">
        <v>77</v>
      </c>
      <c r="Y4824" t="s">
        <v>68</v>
      </c>
      <c r="Z4824" t="s">
        <v>161</v>
      </c>
      <c r="AA4824" t="s">
        <v>167</v>
      </c>
      <c r="AB4824">
        <v>2.9</v>
      </c>
      <c r="AC4824">
        <v>120</v>
      </c>
      <c r="AD4824">
        <v>133.38</v>
      </c>
      <c r="AE4824">
        <f t="shared" si="150"/>
        <v>524.07000000000005</v>
      </c>
      <c r="AF4824" t="str">
        <f t="shared" si="151"/>
        <v>2026-09</v>
      </c>
      <c r="AG4824">
        <f>SUBTOTAL(103,A4824)</f>
        <v>1</v>
      </c>
    </row>
    <row r="4825" spans="1:33" x14ac:dyDescent="0.3">
      <c r="A4825" t="s">
        <v>7448</v>
      </c>
      <c r="B4825" s="13">
        <v>46273</v>
      </c>
      <c r="C4825">
        <v>2026</v>
      </c>
      <c r="D4825">
        <v>9</v>
      </c>
      <c r="E4825" t="s">
        <v>4552</v>
      </c>
      <c r="F4825" t="s">
        <v>4047</v>
      </c>
      <c r="G4825" t="s">
        <v>1111</v>
      </c>
      <c r="H4825" t="s">
        <v>1112</v>
      </c>
      <c r="I4825" t="s">
        <v>85</v>
      </c>
      <c r="J4825">
        <v>36</v>
      </c>
      <c r="K4825" t="s">
        <v>82</v>
      </c>
      <c r="L4825" t="s">
        <v>96</v>
      </c>
      <c r="M4825" t="s">
        <v>55</v>
      </c>
      <c r="N4825" t="s">
        <v>2587</v>
      </c>
      <c r="O4825" t="s">
        <v>116</v>
      </c>
      <c r="P4825" t="s">
        <v>48</v>
      </c>
      <c r="Q4825" t="s">
        <v>138</v>
      </c>
      <c r="R4825">
        <v>1</v>
      </c>
      <c r="S4825">
        <v>14999</v>
      </c>
      <c r="T4825">
        <v>0.15</v>
      </c>
      <c r="U4825">
        <v>12749.15</v>
      </c>
      <c r="V4825">
        <v>11200</v>
      </c>
      <c r="W4825">
        <v>1549.15</v>
      </c>
      <c r="X4825" t="s">
        <v>75</v>
      </c>
      <c r="Y4825" t="s">
        <v>69</v>
      </c>
      <c r="Z4825" t="s">
        <v>161</v>
      </c>
      <c r="AA4825" t="s">
        <v>167</v>
      </c>
      <c r="AB4825">
        <v>3.9</v>
      </c>
      <c r="AC4825">
        <v>80</v>
      </c>
      <c r="AD4825">
        <v>1406.22</v>
      </c>
      <c r="AE4825">
        <f t="shared" si="150"/>
        <v>62.930000000000064</v>
      </c>
      <c r="AF4825" t="str">
        <f t="shared" si="151"/>
        <v>2026-09</v>
      </c>
      <c r="AG4825">
        <f>SUBTOTAL(103,A4825)</f>
        <v>1</v>
      </c>
    </row>
    <row r="4826" spans="1:33" x14ac:dyDescent="0.3">
      <c r="A4826" t="s">
        <v>7449</v>
      </c>
      <c r="B4826" s="13">
        <v>46273</v>
      </c>
      <c r="C4826">
        <v>2026</v>
      </c>
      <c r="D4826">
        <v>9</v>
      </c>
      <c r="E4826" t="s">
        <v>4552</v>
      </c>
      <c r="F4826" t="s">
        <v>4047</v>
      </c>
      <c r="G4826" t="s">
        <v>1097</v>
      </c>
      <c r="H4826" t="s">
        <v>1098</v>
      </c>
      <c r="I4826" t="s">
        <v>86</v>
      </c>
      <c r="J4826">
        <v>59</v>
      </c>
      <c r="K4826" t="s">
        <v>83</v>
      </c>
      <c r="L4826" t="s">
        <v>2674</v>
      </c>
      <c r="M4826" t="s">
        <v>58</v>
      </c>
      <c r="N4826" t="s">
        <v>2594</v>
      </c>
      <c r="O4826" t="s">
        <v>131</v>
      </c>
      <c r="P4826" t="s">
        <v>53</v>
      </c>
      <c r="Q4826" t="s">
        <v>143</v>
      </c>
      <c r="R4826">
        <v>2</v>
      </c>
      <c r="S4826">
        <v>999</v>
      </c>
      <c r="T4826">
        <v>0.05</v>
      </c>
      <c r="U4826">
        <v>1898.1</v>
      </c>
      <c r="V4826">
        <v>1040</v>
      </c>
      <c r="W4826">
        <v>858.1</v>
      </c>
      <c r="X4826" t="s">
        <v>74</v>
      </c>
      <c r="Y4826" t="s">
        <v>68</v>
      </c>
      <c r="Z4826" t="s">
        <v>159</v>
      </c>
      <c r="AA4826" t="s">
        <v>168</v>
      </c>
      <c r="AB4826">
        <v>4.4000000000000004</v>
      </c>
      <c r="AC4826">
        <v>50</v>
      </c>
      <c r="AD4826">
        <v>180.71</v>
      </c>
      <c r="AE4826">
        <f t="shared" si="150"/>
        <v>627.39</v>
      </c>
      <c r="AF4826" t="str">
        <f t="shared" si="151"/>
        <v>2026-09</v>
      </c>
      <c r="AG4826">
        <f>SUBTOTAL(103,A4826)</f>
        <v>1</v>
      </c>
    </row>
    <row r="4827" spans="1:33" x14ac:dyDescent="0.3">
      <c r="A4827" t="s">
        <v>7450</v>
      </c>
      <c r="B4827" s="13">
        <v>46273</v>
      </c>
      <c r="C4827">
        <v>2026</v>
      </c>
      <c r="D4827">
        <v>9</v>
      </c>
      <c r="E4827" t="s">
        <v>4552</v>
      </c>
      <c r="F4827" t="s">
        <v>4047</v>
      </c>
      <c r="G4827" t="s">
        <v>1023</v>
      </c>
      <c r="H4827" t="s">
        <v>1024</v>
      </c>
      <c r="I4827" t="s">
        <v>86</v>
      </c>
      <c r="J4827">
        <v>54</v>
      </c>
      <c r="K4827" t="s">
        <v>83</v>
      </c>
      <c r="L4827" t="s">
        <v>98</v>
      </c>
      <c r="M4827" t="s">
        <v>55</v>
      </c>
      <c r="N4827" t="s">
        <v>2644</v>
      </c>
      <c r="O4827" t="s">
        <v>126</v>
      </c>
      <c r="P4827" t="s">
        <v>50</v>
      </c>
      <c r="Q4827" t="s">
        <v>145</v>
      </c>
      <c r="R4827">
        <v>2</v>
      </c>
      <c r="S4827">
        <v>1799</v>
      </c>
      <c r="T4827">
        <v>0.25</v>
      </c>
      <c r="U4827">
        <v>2698.5</v>
      </c>
      <c r="V4827">
        <v>1900</v>
      </c>
      <c r="W4827">
        <v>798.5</v>
      </c>
      <c r="X4827" t="s">
        <v>74</v>
      </c>
      <c r="Y4827" t="s">
        <v>68</v>
      </c>
      <c r="Z4827" t="s">
        <v>161</v>
      </c>
      <c r="AA4827" t="s">
        <v>171</v>
      </c>
      <c r="AB4827">
        <v>3.4</v>
      </c>
      <c r="AC4827">
        <v>40</v>
      </c>
      <c r="AD4827">
        <v>305.79000000000002</v>
      </c>
      <c r="AE4827">
        <f t="shared" si="150"/>
        <v>452.71</v>
      </c>
      <c r="AF4827" t="str">
        <f t="shared" si="151"/>
        <v>2026-09</v>
      </c>
      <c r="AG4827">
        <f>SUBTOTAL(103,A4827)</f>
        <v>1</v>
      </c>
    </row>
    <row r="4828" spans="1:33" x14ac:dyDescent="0.3">
      <c r="A4828" t="s">
        <v>7451</v>
      </c>
      <c r="B4828" s="13">
        <v>46273</v>
      </c>
      <c r="C4828">
        <v>2026</v>
      </c>
      <c r="D4828">
        <v>9</v>
      </c>
      <c r="E4828" t="s">
        <v>4552</v>
      </c>
      <c r="F4828" t="s">
        <v>4047</v>
      </c>
      <c r="G4828" t="s">
        <v>1549</v>
      </c>
      <c r="H4828" t="s">
        <v>1550</v>
      </c>
      <c r="I4828" t="s">
        <v>86</v>
      </c>
      <c r="J4828">
        <v>45</v>
      </c>
      <c r="K4828" t="s">
        <v>82</v>
      </c>
      <c r="L4828" t="s">
        <v>95</v>
      </c>
      <c r="M4828" t="s">
        <v>56</v>
      </c>
      <c r="N4828" t="s">
        <v>2665</v>
      </c>
      <c r="O4828" t="s">
        <v>128</v>
      </c>
      <c r="P4828" t="s">
        <v>53</v>
      </c>
      <c r="Q4828" t="s">
        <v>143</v>
      </c>
      <c r="R4828">
        <v>1</v>
      </c>
      <c r="S4828">
        <v>1499</v>
      </c>
      <c r="T4828">
        <v>0.05</v>
      </c>
      <c r="U4828">
        <v>1424.05</v>
      </c>
      <c r="V4828">
        <v>800</v>
      </c>
      <c r="W4828">
        <v>624.04999999999995</v>
      </c>
      <c r="X4828" t="s">
        <v>73</v>
      </c>
      <c r="Y4828" t="s">
        <v>68</v>
      </c>
      <c r="Z4828" t="s">
        <v>158</v>
      </c>
      <c r="AA4828" t="s">
        <v>167</v>
      </c>
      <c r="AB4828">
        <v>4</v>
      </c>
      <c r="AC4828">
        <v>120</v>
      </c>
      <c r="AD4828">
        <v>87.8</v>
      </c>
      <c r="AE4828">
        <f t="shared" si="150"/>
        <v>416.24999999999994</v>
      </c>
      <c r="AF4828" t="str">
        <f t="shared" si="151"/>
        <v>2026-09</v>
      </c>
      <c r="AG4828">
        <f>SUBTOTAL(103,A4828)</f>
        <v>1</v>
      </c>
    </row>
    <row r="4829" spans="1:33" x14ac:dyDescent="0.3">
      <c r="A4829" t="s">
        <v>7452</v>
      </c>
      <c r="B4829" s="13">
        <v>46273</v>
      </c>
      <c r="C4829">
        <v>2026</v>
      </c>
      <c r="D4829">
        <v>9</v>
      </c>
      <c r="E4829" t="s">
        <v>4552</v>
      </c>
      <c r="F4829" t="s">
        <v>4047</v>
      </c>
      <c r="G4829" t="s">
        <v>263</v>
      </c>
      <c r="H4829" t="s">
        <v>264</v>
      </c>
      <c r="I4829" t="s">
        <v>86</v>
      </c>
      <c r="J4829">
        <v>27</v>
      </c>
      <c r="K4829" t="s">
        <v>81</v>
      </c>
      <c r="L4829" t="s">
        <v>93</v>
      </c>
      <c r="M4829" t="s">
        <v>55</v>
      </c>
      <c r="N4829" t="s">
        <v>2626</v>
      </c>
      <c r="O4829" t="s">
        <v>125</v>
      </c>
      <c r="P4829" t="s">
        <v>48</v>
      </c>
      <c r="Q4829" t="s">
        <v>141</v>
      </c>
      <c r="R4829">
        <v>2</v>
      </c>
      <c r="S4829">
        <v>1999</v>
      </c>
      <c r="T4829">
        <v>0.2</v>
      </c>
      <c r="U4829">
        <v>3198.4</v>
      </c>
      <c r="V4829">
        <v>2300</v>
      </c>
      <c r="W4829">
        <v>898.4</v>
      </c>
      <c r="X4829" t="s">
        <v>76</v>
      </c>
      <c r="Y4829" t="s">
        <v>68</v>
      </c>
      <c r="Z4829" t="s">
        <v>162</v>
      </c>
      <c r="AA4829" t="s">
        <v>171</v>
      </c>
      <c r="AB4829">
        <v>4.5</v>
      </c>
      <c r="AC4829">
        <v>60</v>
      </c>
      <c r="AD4829">
        <v>357.98</v>
      </c>
      <c r="AE4829">
        <f t="shared" si="150"/>
        <v>480.41999999999996</v>
      </c>
      <c r="AF4829" t="str">
        <f t="shared" si="151"/>
        <v>2026-09</v>
      </c>
      <c r="AG4829">
        <f>SUBTOTAL(103,A4829)</f>
        <v>1</v>
      </c>
    </row>
    <row r="4830" spans="1:33" x14ac:dyDescent="0.3">
      <c r="A4830" t="s">
        <v>7453</v>
      </c>
      <c r="B4830" s="13">
        <v>46273</v>
      </c>
      <c r="C4830">
        <v>2026</v>
      </c>
      <c r="D4830">
        <v>9</v>
      </c>
      <c r="E4830" t="s">
        <v>4552</v>
      </c>
      <c r="F4830" t="s">
        <v>4047</v>
      </c>
      <c r="G4830" t="s">
        <v>1625</v>
      </c>
      <c r="H4830" t="s">
        <v>1626</v>
      </c>
      <c r="I4830" t="s">
        <v>87</v>
      </c>
      <c r="J4830">
        <v>60</v>
      </c>
      <c r="K4830" t="s">
        <v>83</v>
      </c>
      <c r="L4830" t="s">
        <v>2623</v>
      </c>
      <c r="M4830" t="s">
        <v>61</v>
      </c>
      <c r="N4830" t="s">
        <v>2603</v>
      </c>
      <c r="O4830" t="s">
        <v>122</v>
      </c>
      <c r="P4830" t="s">
        <v>48</v>
      </c>
      <c r="Q4830" t="s">
        <v>141</v>
      </c>
      <c r="R4830">
        <v>1</v>
      </c>
      <c r="S4830">
        <v>2499</v>
      </c>
      <c r="T4830">
        <v>0</v>
      </c>
      <c r="U4830">
        <v>2499</v>
      </c>
      <c r="V4830">
        <v>1450</v>
      </c>
      <c r="W4830">
        <v>1049</v>
      </c>
      <c r="X4830" t="s">
        <v>77</v>
      </c>
      <c r="Y4830" t="s">
        <v>68</v>
      </c>
      <c r="Z4830" t="s">
        <v>159</v>
      </c>
      <c r="AA4830" t="s">
        <v>168</v>
      </c>
      <c r="AB4830">
        <v>4.7</v>
      </c>
      <c r="AC4830">
        <v>100</v>
      </c>
      <c r="AD4830">
        <v>95.8</v>
      </c>
      <c r="AE4830">
        <f t="shared" si="150"/>
        <v>853.2</v>
      </c>
      <c r="AF4830" t="str">
        <f t="shared" si="151"/>
        <v>2026-09</v>
      </c>
      <c r="AG4830">
        <f>SUBTOTAL(103,A4830)</f>
        <v>1</v>
      </c>
    </row>
    <row r="4831" spans="1:33" x14ac:dyDescent="0.3">
      <c r="A4831" t="s">
        <v>7454</v>
      </c>
      <c r="B4831" s="13">
        <v>46273</v>
      </c>
      <c r="C4831">
        <v>2026</v>
      </c>
      <c r="D4831">
        <v>9</v>
      </c>
      <c r="E4831" t="s">
        <v>4552</v>
      </c>
      <c r="F4831" t="s">
        <v>4047</v>
      </c>
      <c r="G4831" t="s">
        <v>301</v>
      </c>
      <c r="H4831" t="s">
        <v>302</v>
      </c>
      <c r="I4831" t="s">
        <v>86</v>
      </c>
      <c r="J4831">
        <v>18</v>
      </c>
      <c r="K4831" t="s">
        <v>80</v>
      </c>
      <c r="L4831" t="s">
        <v>2610</v>
      </c>
      <c r="M4831" t="s">
        <v>64</v>
      </c>
      <c r="N4831" t="s">
        <v>2580</v>
      </c>
      <c r="O4831" t="s">
        <v>118</v>
      </c>
      <c r="P4831" t="s">
        <v>48</v>
      </c>
      <c r="Q4831" t="s">
        <v>142</v>
      </c>
      <c r="R4831">
        <v>5</v>
      </c>
      <c r="S4831">
        <v>3999</v>
      </c>
      <c r="T4831">
        <v>0.25</v>
      </c>
      <c r="U4831">
        <v>14996.25</v>
      </c>
      <c r="V4831">
        <v>12000</v>
      </c>
      <c r="W4831">
        <v>2996.25</v>
      </c>
      <c r="X4831" t="s">
        <v>73</v>
      </c>
      <c r="Y4831" t="s">
        <v>68</v>
      </c>
      <c r="Z4831" t="s">
        <v>160</v>
      </c>
      <c r="AA4831" t="s">
        <v>168</v>
      </c>
      <c r="AB4831">
        <v>3.3</v>
      </c>
      <c r="AC4831">
        <v>40</v>
      </c>
      <c r="AD4831">
        <v>1415.64</v>
      </c>
      <c r="AE4831">
        <f t="shared" si="150"/>
        <v>1540.61</v>
      </c>
      <c r="AF4831" t="str">
        <f t="shared" si="151"/>
        <v>2026-09</v>
      </c>
      <c r="AG4831">
        <f>SUBTOTAL(103,A4831)</f>
        <v>1</v>
      </c>
    </row>
    <row r="4832" spans="1:33" x14ac:dyDescent="0.3">
      <c r="A4832" t="s">
        <v>7455</v>
      </c>
      <c r="B4832" s="13">
        <v>46274</v>
      </c>
      <c r="C4832">
        <v>2026</v>
      </c>
      <c r="D4832">
        <v>9</v>
      </c>
      <c r="E4832" t="s">
        <v>4552</v>
      </c>
      <c r="F4832" t="s">
        <v>4047</v>
      </c>
      <c r="G4832" t="s">
        <v>1869</v>
      </c>
      <c r="H4832" t="s">
        <v>1870</v>
      </c>
      <c r="I4832" t="s">
        <v>85</v>
      </c>
      <c r="J4832">
        <v>60</v>
      </c>
      <c r="K4832" t="s">
        <v>83</v>
      </c>
      <c r="L4832" t="s">
        <v>2610</v>
      </c>
      <c r="M4832" t="s">
        <v>64</v>
      </c>
      <c r="N4832" t="s">
        <v>2601</v>
      </c>
      <c r="O4832" t="s">
        <v>117</v>
      </c>
      <c r="P4832" t="s">
        <v>49</v>
      </c>
      <c r="Q4832" t="s">
        <v>139</v>
      </c>
      <c r="R4832">
        <v>1</v>
      </c>
      <c r="S4832">
        <v>6999</v>
      </c>
      <c r="T4832">
        <v>0.25</v>
      </c>
      <c r="U4832">
        <v>5249.25</v>
      </c>
      <c r="V4832">
        <v>4300</v>
      </c>
      <c r="W4832">
        <v>949.25</v>
      </c>
      <c r="X4832" t="s">
        <v>73</v>
      </c>
      <c r="Y4832" t="s">
        <v>68</v>
      </c>
      <c r="Z4832" t="s">
        <v>159</v>
      </c>
      <c r="AA4832" t="s">
        <v>170</v>
      </c>
      <c r="AB4832">
        <v>4.8</v>
      </c>
      <c r="AC4832">
        <v>100</v>
      </c>
      <c r="AD4832">
        <v>478.32</v>
      </c>
      <c r="AE4832">
        <f t="shared" si="150"/>
        <v>370.93</v>
      </c>
      <c r="AF4832" t="str">
        <f t="shared" si="151"/>
        <v>2026-09</v>
      </c>
      <c r="AG4832">
        <f>SUBTOTAL(103,A4832)</f>
        <v>1</v>
      </c>
    </row>
    <row r="4833" spans="1:33" x14ac:dyDescent="0.3">
      <c r="A4833" t="s">
        <v>7456</v>
      </c>
      <c r="B4833" s="13">
        <v>46274</v>
      </c>
      <c r="C4833">
        <v>2026</v>
      </c>
      <c r="D4833">
        <v>9</v>
      </c>
      <c r="E4833" t="s">
        <v>4552</v>
      </c>
      <c r="F4833" t="s">
        <v>4047</v>
      </c>
      <c r="G4833" t="s">
        <v>741</v>
      </c>
      <c r="H4833" t="s">
        <v>742</v>
      </c>
      <c r="I4833" t="s">
        <v>85</v>
      </c>
      <c r="J4833">
        <v>30</v>
      </c>
      <c r="K4833" t="s">
        <v>81</v>
      </c>
      <c r="L4833" t="s">
        <v>2579</v>
      </c>
      <c r="M4833" t="s">
        <v>56</v>
      </c>
      <c r="N4833" t="s">
        <v>2603</v>
      </c>
      <c r="O4833" t="s">
        <v>122</v>
      </c>
      <c r="P4833" t="s">
        <v>48</v>
      </c>
      <c r="Q4833" t="s">
        <v>141</v>
      </c>
      <c r="R4833">
        <v>2</v>
      </c>
      <c r="S4833">
        <v>2499</v>
      </c>
      <c r="T4833">
        <v>0.2</v>
      </c>
      <c r="U4833">
        <v>3998.4</v>
      </c>
      <c r="V4833">
        <v>2900</v>
      </c>
      <c r="W4833">
        <v>1098.4000000000001</v>
      </c>
      <c r="X4833" t="s">
        <v>74</v>
      </c>
      <c r="Y4833" t="s">
        <v>68</v>
      </c>
      <c r="Z4833" t="s">
        <v>158</v>
      </c>
      <c r="AA4833" t="s">
        <v>167</v>
      </c>
      <c r="AB4833">
        <v>3.7</v>
      </c>
      <c r="AC4833">
        <v>40</v>
      </c>
      <c r="AD4833">
        <v>153.07</v>
      </c>
      <c r="AE4833">
        <f t="shared" si="150"/>
        <v>905.33000000000015</v>
      </c>
      <c r="AF4833" t="str">
        <f t="shared" si="151"/>
        <v>2026-09</v>
      </c>
      <c r="AG4833">
        <f>SUBTOTAL(103,A4833)</f>
        <v>1</v>
      </c>
    </row>
    <row r="4834" spans="1:33" x14ac:dyDescent="0.3">
      <c r="A4834" t="s">
        <v>7457</v>
      </c>
      <c r="B4834" s="13">
        <v>46274</v>
      </c>
      <c r="C4834">
        <v>2026</v>
      </c>
      <c r="D4834">
        <v>9</v>
      </c>
      <c r="E4834" t="s">
        <v>4552</v>
      </c>
      <c r="F4834" t="s">
        <v>4047</v>
      </c>
      <c r="G4834" t="s">
        <v>2355</v>
      </c>
      <c r="H4834" t="s">
        <v>2356</v>
      </c>
      <c r="I4834" t="s">
        <v>85</v>
      </c>
      <c r="J4834">
        <v>56</v>
      </c>
      <c r="K4834" t="s">
        <v>83</v>
      </c>
      <c r="L4834" t="s">
        <v>97</v>
      </c>
      <c r="M4834" t="s">
        <v>57</v>
      </c>
      <c r="N4834" t="s">
        <v>2596</v>
      </c>
      <c r="O4834" t="s">
        <v>124</v>
      </c>
      <c r="P4834" t="s">
        <v>51</v>
      </c>
      <c r="Q4834" t="s">
        <v>147</v>
      </c>
      <c r="R4834">
        <v>1</v>
      </c>
      <c r="S4834">
        <v>2299</v>
      </c>
      <c r="T4834">
        <v>0</v>
      </c>
      <c r="U4834">
        <v>2299</v>
      </c>
      <c r="V4834">
        <v>1200</v>
      </c>
      <c r="W4834">
        <v>1099</v>
      </c>
      <c r="X4834" t="s">
        <v>73</v>
      </c>
      <c r="Y4834" t="s">
        <v>68</v>
      </c>
      <c r="Z4834" t="s">
        <v>159</v>
      </c>
      <c r="AA4834" t="s">
        <v>170</v>
      </c>
      <c r="AB4834">
        <v>4.4000000000000004</v>
      </c>
      <c r="AC4834">
        <v>50</v>
      </c>
      <c r="AD4834">
        <v>198.05</v>
      </c>
      <c r="AE4834">
        <f t="shared" si="150"/>
        <v>850.95</v>
      </c>
      <c r="AF4834" t="str">
        <f t="shared" si="151"/>
        <v>2026-09</v>
      </c>
      <c r="AG4834">
        <f>SUBTOTAL(103,A4834)</f>
        <v>1</v>
      </c>
    </row>
    <row r="4835" spans="1:33" x14ac:dyDescent="0.3">
      <c r="A4835" t="s">
        <v>7458</v>
      </c>
      <c r="B4835" s="13">
        <v>46274</v>
      </c>
      <c r="C4835">
        <v>2026</v>
      </c>
      <c r="D4835">
        <v>9</v>
      </c>
      <c r="E4835" t="s">
        <v>4552</v>
      </c>
      <c r="F4835" t="s">
        <v>4047</v>
      </c>
      <c r="G4835" t="s">
        <v>1709</v>
      </c>
      <c r="H4835" t="s">
        <v>1710</v>
      </c>
      <c r="I4835" t="s">
        <v>86</v>
      </c>
      <c r="J4835">
        <v>54</v>
      </c>
      <c r="K4835" t="s">
        <v>83</v>
      </c>
      <c r="L4835" t="s">
        <v>99</v>
      </c>
      <c r="M4835" t="s">
        <v>58</v>
      </c>
      <c r="N4835" t="s">
        <v>2574</v>
      </c>
      <c r="O4835" t="s">
        <v>130</v>
      </c>
      <c r="P4835" t="s">
        <v>50</v>
      </c>
      <c r="Q4835" t="s">
        <v>53</v>
      </c>
      <c r="R4835">
        <v>2</v>
      </c>
      <c r="S4835">
        <v>1199</v>
      </c>
      <c r="T4835">
        <v>0.05</v>
      </c>
      <c r="U4835">
        <v>2278.1</v>
      </c>
      <c r="V4835">
        <v>1100</v>
      </c>
      <c r="W4835">
        <v>1178.0999999999999</v>
      </c>
      <c r="X4835" t="s">
        <v>76</v>
      </c>
      <c r="Y4835" t="s">
        <v>68</v>
      </c>
      <c r="Z4835" t="s">
        <v>163</v>
      </c>
      <c r="AA4835" t="s">
        <v>167</v>
      </c>
      <c r="AB4835">
        <v>4.3</v>
      </c>
      <c r="AC4835">
        <v>80</v>
      </c>
      <c r="AD4835">
        <v>234.3</v>
      </c>
      <c r="AE4835">
        <f t="shared" si="150"/>
        <v>863.8</v>
      </c>
      <c r="AF4835" t="str">
        <f t="shared" si="151"/>
        <v>2026-09</v>
      </c>
      <c r="AG4835">
        <f>SUBTOTAL(103,A4835)</f>
        <v>1</v>
      </c>
    </row>
    <row r="4836" spans="1:33" x14ac:dyDescent="0.3">
      <c r="A4836" t="s">
        <v>7459</v>
      </c>
      <c r="B4836" s="13">
        <v>46274</v>
      </c>
      <c r="C4836">
        <v>2026</v>
      </c>
      <c r="D4836">
        <v>9</v>
      </c>
      <c r="E4836" t="s">
        <v>4552</v>
      </c>
      <c r="F4836" t="s">
        <v>4047</v>
      </c>
      <c r="G4836" t="s">
        <v>259</v>
      </c>
      <c r="H4836" t="s">
        <v>260</v>
      </c>
      <c r="I4836" t="s">
        <v>86</v>
      </c>
      <c r="J4836">
        <v>31</v>
      </c>
      <c r="K4836" t="s">
        <v>81</v>
      </c>
      <c r="L4836" t="s">
        <v>2661</v>
      </c>
      <c r="M4836" t="s">
        <v>58</v>
      </c>
      <c r="N4836" t="s">
        <v>2590</v>
      </c>
      <c r="O4836" t="s">
        <v>127</v>
      </c>
      <c r="P4836" t="s">
        <v>51</v>
      </c>
      <c r="Q4836" t="s">
        <v>148</v>
      </c>
      <c r="R4836">
        <v>1</v>
      </c>
      <c r="S4836">
        <v>1599</v>
      </c>
      <c r="T4836">
        <v>0.1</v>
      </c>
      <c r="U4836">
        <v>1439.1</v>
      </c>
      <c r="V4836">
        <v>800</v>
      </c>
      <c r="W4836">
        <v>639.1</v>
      </c>
      <c r="X4836" t="s">
        <v>74</v>
      </c>
      <c r="Y4836" t="s">
        <v>69</v>
      </c>
      <c r="Z4836" t="s">
        <v>160</v>
      </c>
      <c r="AA4836" t="s">
        <v>171</v>
      </c>
      <c r="AB4836">
        <v>4.3</v>
      </c>
      <c r="AC4836">
        <v>100</v>
      </c>
      <c r="AD4836">
        <v>130.29</v>
      </c>
      <c r="AE4836">
        <f t="shared" si="150"/>
        <v>408.81000000000006</v>
      </c>
      <c r="AF4836" t="str">
        <f t="shared" si="151"/>
        <v>2026-09</v>
      </c>
      <c r="AG4836">
        <f>SUBTOTAL(103,A4836)</f>
        <v>1</v>
      </c>
    </row>
    <row r="4837" spans="1:33" x14ac:dyDescent="0.3">
      <c r="A4837" t="s">
        <v>7460</v>
      </c>
      <c r="B4837" s="13">
        <v>46274</v>
      </c>
      <c r="C4837">
        <v>2026</v>
      </c>
      <c r="D4837">
        <v>9</v>
      </c>
      <c r="E4837" t="s">
        <v>4552</v>
      </c>
      <c r="F4837" t="s">
        <v>4047</v>
      </c>
      <c r="G4837" t="s">
        <v>2303</v>
      </c>
      <c r="H4837" t="s">
        <v>2304</v>
      </c>
      <c r="I4837" t="s">
        <v>85</v>
      </c>
      <c r="J4837">
        <v>51</v>
      </c>
      <c r="K4837" t="s">
        <v>83</v>
      </c>
      <c r="L4837" t="s">
        <v>2646</v>
      </c>
      <c r="M4837" t="s">
        <v>63</v>
      </c>
      <c r="N4837" t="s">
        <v>2644</v>
      </c>
      <c r="O4837" t="s">
        <v>126</v>
      </c>
      <c r="P4837" t="s">
        <v>50</v>
      </c>
      <c r="Q4837" t="s">
        <v>145</v>
      </c>
      <c r="R4837">
        <v>2</v>
      </c>
      <c r="S4837">
        <v>1799</v>
      </c>
      <c r="T4837">
        <v>0.15</v>
      </c>
      <c r="U4837">
        <v>3058.3</v>
      </c>
      <c r="V4837">
        <v>1900</v>
      </c>
      <c r="W4837">
        <v>1158.3</v>
      </c>
      <c r="X4837" t="s">
        <v>74</v>
      </c>
      <c r="Y4837" t="s">
        <v>68</v>
      </c>
      <c r="Z4837" t="s">
        <v>161</v>
      </c>
      <c r="AA4837" t="s">
        <v>169</v>
      </c>
      <c r="AB4837">
        <v>3.6</v>
      </c>
      <c r="AC4837">
        <v>80</v>
      </c>
      <c r="AD4837">
        <v>119.03</v>
      </c>
      <c r="AE4837">
        <f t="shared" si="150"/>
        <v>959.27</v>
      </c>
      <c r="AF4837" t="str">
        <f t="shared" si="151"/>
        <v>2026-09</v>
      </c>
      <c r="AG4837">
        <f>SUBTOTAL(103,A4837)</f>
        <v>1</v>
      </c>
    </row>
    <row r="4838" spans="1:33" x14ac:dyDescent="0.3">
      <c r="A4838" t="s">
        <v>7461</v>
      </c>
      <c r="B4838" s="13">
        <v>46274</v>
      </c>
      <c r="C4838">
        <v>2026</v>
      </c>
      <c r="D4838">
        <v>9</v>
      </c>
      <c r="E4838" t="s">
        <v>4552</v>
      </c>
      <c r="F4838" t="s">
        <v>4047</v>
      </c>
      <c r="G4838" t="s">
        <v>1257</v>
      </c>
      <c r="H4838" t="s">
        <v>1258</v>
      </c>
      <c r="I4838" t="s">
        <v>85</v>
      </c>
      <c r="J4838">
        <v>46</v>
      </c>
      <c r="K4838" t="s">
        <v>83</v>
      </c>
      <c r="L4838" t="s">
        <v>100</v>
      </c>
      <c r="M4838" t="s">
        <v>56</v>
      </c>
      <c r="N4838" t="s">
        <v>2580</v>
      </c>
      <c r="O4838" t="s">
        <v>118</v>
      </c>
      <c r="P4838" t="s">
        <v>48</v>
      </c>
      <c r="Q4838" t="s">
        <v>142</v>
      </c>
      <c r="R4838">
        <v>2</v>
      </c>
      <c r="S4838">
        <v>3999</v>
      </c>
      <c r="T4838">
        <v>0</v>
      </c>
      <c r="U4838">
        <v>7998</v>
      </c>
      <c r="V4838">
        <v>4800</v>
      </c>
      <c r="W4838">
        <v>3198</v>
      </c>
      <c r="X4838" t="s">
        <v>75</v>
      </c>
      <c r="Y4838" t="s">
        <v>68</v>
      </c>
      <c r="Z4838" t="s">
        <v>161</v>
      </c>
      <c r="AA4838" t="s">
        <v>169</v>
      </c>
      <c r="AB4838">
        <v>3.9</v>
      </c>
      <c r="AC4838">
        <v>80</v>
      </c>
      <c r="AD4838">
        <v>308.04000000000002</v>
      </c>
      <c r="AE4838">
        <f t="shared" si="150"/>
        <v>2809.96</v>
      </c>
      <c r="AF4838" t="str">
        <f t="shared" si="151"/>
        <v>2026-09</v>
      </c>
      <c r="AG4838">
        <f>SUBTOTAL(103,A4838)</f>
        <v>1</v>
      </c>
    </row>
    <row r="4839" spans="1:33" x14ac:dyDescent="0.3">
      <c r="A4839" t="s">
        <v>7462</v>
      </c>
      <c r="B4839" s="13">
        <v>46274</v>
      </c>
      <c r="C4839">
        <v>2026</v>
      </c>
      <c r="D4839">
        <v>9</v>
      </c>
      <c r="E4839" t="s">
        <v>4552</v>
      </c>
      <c r="F4839" t="s">
        <v>4047</v>
      </c>
      <c r="G4839" t="s">
        <v>661</v>
      </c>
      <c r="H4839" t="s">
        <v>662</v>
      </c>
      <c r="I4839" t="s">
        <v>85</v>
      </c>
      <c r="J4839">
        <v>46</v>
      </c>
      <c r="K4839" t="s">
        <v>83</v>
      </c>
      <c r="L4839" t="s">
        <v>2589</v>
      </c>
      <c r="M4839" t="s">
        <v>61</v>
      </c>
      <c r="N4839" t="s">
        <v>2665</v>
      </c>
      <c r="O4839" t="s">
        <v>128</v>
      </c>
      <c r="P4839" t="s">
        <v>53</v>
      </c>
      <c r="Q4839" t="s">
        <v>143</v>
      </c>
      <c r="R4839">
        <v>2</v>
      </c>
      <c r="S4839">
        <v>1499</v>
      </c>
      <c r="T4839">
        <v>0.1</v>
      </c>
      <c r="U4839">
        <v>2698.2</v>
      </c>
      <c r="V4839">
        <v>1600</v>
      </c>
      <c r="W4839">
        <v>1098.2</v>
      </c>
      <c r="X4839" t="s">
        <v>76</v>
      </c>
      <c r="Y4839" t="s">
        <v>68</v>
      </c>
      <c r="Z4839" t="s">
        <v>159</v>
      </c>
      <c r="AA4839" t="s">
        <v>166</v>
      </c>
      <c r="AB4839">
        <v>4.8</v>
      </c>
      <c r="AC4839">
        <v>80</v>
      </c>
      <c r="AD4839">
        <v>254.89</v>
      </c>
      <c r="AE4839">
        <f t="shared" si="150"/>
        <v>763.31000000000006</v>
      </c>
      <c r="AF4839" t="str">
        <f t="shared" si="151"/>
        <v>2026-09</v>
      </c>
      <c r="AG4839">
        <f>SUBTOTAL(103,A4839)</f>
        <v>1</v>
      </c>
    </row>
    <row r="4840" spans="1:33" x14ac:dyDescent="0.3">
      <c r="A4840" t="s">
        <v>7463</v>
      </c>
      <c r="B4840" s="13">
        <v>46274</v>
      </c>
      <c r="C4840">
        <v>2026</v>
      </c>
      <c r="D4840">
        <v>9</v>
      </c>
      <c r="E4840" t="s">
        <v>4552</v>
      </c>
      <c r="F4840" t="s">
        <v>4047</v>
      </c>
      <c r="G4840" t="s">
        <v>533</v>
      </c>
      <c r="H4840" t="s">
        <v>534</v>
      </c>
      <c r="I4840" t="s">
        <v>85</v>
      </c>
      <c r="J4840">
        <v>27</v>
      </c>
      <c r="K4840" t="s">
        <v>81</v>
      </c>
      <c r="L4840" t="s">
        <v>2605</v>
      </c>
      <c r="M4840" t="s">
        <v>60</v>
      </c>
      <c r="N4840" t="s">
        <v>2587</v>
      </c>
      <c r="O4840" t="s">
        <v>116</v>
      </c>
      <c r="P4840" t="s">
        <v>48</v>
      </c>
      <c r="Q4840" t="s">
        <v>138</v>
      </c>
      <c r="R4840">
        <v>2</v>
      </c>
      <c r="S4840">
        <v>14999</v>
      </c>
      <c r="T4840">
        <v>0.1</v>
      </c>
      <c r="U4840">
        <v>26998.2</v>
      </c>
      <c r="V4840">
        <v>22400</v>
      </c>
      <c r="W4840">
        <v>4598.2</v>
      </c>
      <c r="X4840" t="s">
        <v>73</v>
      </c>
      <c r="Y4840" t="s">
        <v>68</v>
      </c>
      <c r="Z4840" t="s">
        <v>161</v>
      </c>
      <c r="AA4840" t="s">
        <v>168</v>
      </c>
      <c r="AB4840">
        <v>3.5</v>
      </c>
      <c r="AC4840">
        <v>50</v>
      </c>
      <c r="AD4840">
        <v>1076.51</v>
      </c>
      <c r="AE4840">
        <f t="shared" si="150"/>
        <v>3471.6899999999996</v>
      </c>
      <c r="AF4840" t="str">
        <f t="shared" si="151"/>
        <v>2026-09</v>
      </c>
      <c r="AG4840">
        <f>SUBTOTAL(103,A4840)</f>
        <v>1</v>
      </c>
    </row>
    <row r="4841" spans="1:33" x14ac:dyDescent="0.3">
      <c r="A4841" t="s">
        <v>7464</v>
      </c>
      <c r="B4841" s="13">
        <v>46274</v>
      </c>
      <c r="C4841">
        <v>2026</v>
      </c>
      <c r="D4841">
        <v>9</v>
      </c>
      <c r="E4841" t="s">
        <v>4552</v>
      </c>
      <c r="F4841" t="s">
        <v>4047</v>
      </c>
      <c r="G4841" t="s">
        <v>527</v>
      </c>
      <c r="H4841" t="s">
        <v>528</v>
      </c>
      <c r="I4841" t="s">
        <v>86</v>
      </c>
      <c r="J4841">
        <v>39</v>
      </c>
      <c r="K4841" t="s">
        <v>82</v>
      </c>
      <c r="L4841" t="s">
        <v>100</v>
      </c>
      <c r="M4841" t="s">
        <v>56</v>
      </c>
      <c r="N4841" t="s">
        <v>2603</v>
      </c>
      <c r="O4841" t="s">
        <v>122</v>
      </c>
      <c r="P4841" t="s">
        <v>48</v>
      </c>
      <c r="Q4841" t="s">
        <v>141</v>
      </c>
      <c r="R4841">
        <v>1</v>
      </c>
      <c r="S4841">
        <v>2499</v>
      </c>
      <c r="T4841">
        <v>0.25</v>
      </c>
      <c r="U4841">
        <v>1874.25</v>
      </c>
      <c r="V4841">
        <v>1450</v>
      </c>
      <c r="W4841">
        <v>424.25</v>
      </c>
      <c r="X4841" t="s">
        <v>73</v>
      </c>
      <c r="Y4841" t="s">
        <v>68</v>
      </c>
      <c r="Z4841" t="s">
        <v>158</v>
      </c>
      <c r="AA4841" t="s">
        <v>170</v>
      </c>
      <c r="AB4841">
        <v>4</v>
      </c>
      <c r="AC4841">
        <v>80</v>
      </c>
      <c r="AD4841">
        <v>85.24</v>
      </c>
      <c r="AE4841">
        <f t="shared" si="150"/>
        <v>259.01</v>
      </c>
      <c r="AF4841" t="str">
        <f t="shared" si="151"/>
        <v>2026-09</v>
      </c>
      <c r="AG4841">
        <f>SUBTOTAL(103,A4841)</f>
        <v>1</v>
      </c>
    </row>
    <row r="4842" spans="1:33" x14ac:dyDescent="0.3">
      <c r="A4842" t="s">
        <v>7465</v>
      </c>
      <c r="B4842" s="13">
        <v>46274</v>
      </c>
      <c r="C4842">
        <v>2026</v>
      </c>
      <c r="D4842">
        <v>9</v>
      </c>
      <c r="E4842" t="s">
        <v>4552</v>
      </c>
      <c r="F4842" t="s">
        <v>4047</v>
      </c>
      <c r="G4842" t="s">
        <v>1719</v>
      </c>
      <c r="H4842" t="s">
        <v>1720</v>
      </c>
      <c r="I4842" t="s">
        <v>86</v>
      </c>
      <c r="J4842">
        <v>44</v>
      </c>
      <c r="K4842" t="s">
        <v>82</v>
      </c>
      <c r="L4842" t="s">
        <v>2616</v>
      </c>
      <c r="M4842" t="s">
        <v>62</v>
      </c>
      <c r="N4842" t="s">
        <v>2630</v>
      </c>
      <c r="O4842" t="s">
        <v>123</v>
      </c>
      <c r="P4842" t="s">
        <v>52</v>
      </c>
      <c r="Q4842" t="s">
        <v>146</v>
      </c>
      <c r="R4842">
        <v>3</v>
      </c>
      <c r="S4842">
        <v>2499</v>
      </c>
      <c r="T4842">
        <v>0.05</v>
      </c>
      <c r="U4842">
        <v>7122.15</v>
      </c>
      <c r="V4842">
        <v>4200</v>
      </c>
      <c r="W4842">
        <v>2922.15</v>
      </c>
      <c r="X4842" t="s">
        <v>73</v>
      </c>
      <c r="Y4842" t="s">
        <v>68</v>
      </c>
      <c r="Z4842" t="s">
        <v>161</v>
      </c>
      <c r="AA4842" t="s">
        <v>170</v>
      </c>
      <c r="AB4842">
        <v>3.7</v>
      </c>
      <c r="AC4842">
        <v>100</v>
      </c>
      <c r="AD4842">
        <v>279.64</v>
      </c>
      <c r="AE4842">
        <f t="shared" si="150"/>
        <v>2542.5100000000002</v>
      </c>
      <c r="AF4842" t="str">
        <f t="shared" si="151"/>
        <v>2026-09</v>
      </c>
      <c r="AG4842">
        <f>SUBTOTAL(103,A4842)</f>
        <v>1</v>
      </c>
    </row>
    <row r="4843" spans="1:33" x14ac:dyDescent="0.3">
      <c r="A4843" t="s">
        <v>7466</v>
      </c>
      <c r="B4843" s="13">
        <v>46275</v>
      </c>
      <c r="C4843">
        <v>2026</v>
      </c>
      <c r="D4843">
        <v>9</v>
      </c>
      <c r="E4843" t="s">
        <v>4552</v>
      </c>
      <c r="F4843" t="s">
        <v>4047</v>
      </c>
      <c r="G4843" t="s">
        <v>795</v>
      </c>
      <c r="H4843" t="s">
        <v>796</v>
      </c>
      <c r="I4843" t="s">
        <v>85</v>
      </c>
      <c r="J4843">
        <v>33</v>
      </c>
      <c r="K4843" t="s">
        <v>81</v>
      </c>
      <c r="L4843" t="s">
        <v>93</v>
      </c>
      <c r="M4843" t="s">
        <v>55</v>
      </c>
      <c r="N4843" t="s">
        <v>2626</v>
      </c>
      <c r="O4843" t="s">
        <v>125</v>
      </c>
      <c r="P4843" t="s">
        <v>48</v>
      </c>
      <c r="Q4843" t="s">
        <v>141</v>
      </c>
      <c r="R4843">
        <v>1</v>
      </c>
      <c r="S4843">
        <v>1999</v>
      </c>
      <c r="T4843">
        <v>0.05</v>
      </c>
      <c r="U4843">
        <v>1899.05</v>
      </c>
      <c r="V4843">
        <v>1150</v>
      </c>
      <c r="W4843">
        <v>749.05</v>
      </c>
      <c r="X4843" t="s">
        <v>74</v>
      </c>
      <c r="Y4843" t="s">
        <v>68</v>
      </c>
      <c r="Z4843" t="s">
        <v>158</v>
      </c>
      <c r="AA4843" t="s">
        <v>168</v>
      </c>
      <c r="AB4843">
        <v>3.6</v>
      </c>
      <c r="AC4843">
        <v>50</v>
      </c>
      <c r="AD4843">
        <v>141.54</v>
      </c>
      <c r="AE4843">
        <f t="shared" si="150"/>
        <v>557.51</v>
      </c>
      <c r="AF4843" t="str">
        <f t="shared" si="151"/>
        <v>2026-09</v>
      </c>
      <c r="AG4843">
        <f>SUBTOTAL(103,A4843)</f>
        <v>1</v>
      </c>
    </row>
    <row r="4844" spans="1:33" x14ac:dyDescent="0.3">
      <c r="A4844" t="s">
        <v>7467</v>
      </c>
      <c r="B4844" s="13">
        <v>46275</v>
      </c>
      <c r="C4844">
        <v>2026</v>
      </c>
      <c r="D4844">
        <v>9</v>
      </c>
      <c r="E4844" t="s">
        <v>4552</v>
      </c>
      <c r="F4844" t="s">
        <v>4047</v>
      </c>
      <c r="G4844" t="s">
        <v>1885</v>
      </c>
      <c r="H4844" t="s">
        <v>1886</v>
      </c>
      <c r="I4844" t="s">
        <v>86</v>
      </c>
      <c r="J4844">
        <v>49</v>
      </c>
      <c r="K4844" t="s">
        <v>83</v>
      </c>
      <c r="L4844" t="s">
        <v>2610</v>
      </c>
      <c r="M4844" t="s">
        <v>64</v>
      </c>
      <c r="N4844" t="s">
        <v>2590</v>
      </c>
      <c r="O4844" t="s">
        <v>127</v>
      </c>
      <c r="P4844" t="s">
        <v>51</v>
      </c>
      <c r="Q4844" t="s">
        <v>148</v>
      </c>
      <c r="R4844">
        <v>5</v>
      </c>
      <c r="S4844">
        <v>1599</v>
      </c>
      <c r="T4844">
        <v>0.05</v>
      </c>
      <c r="U4844">
        <v>7595.25</v>
      </c>
      <c r="V4844">
        <v>4000</v>
      </c>
      <c r="W4844">
        <v>3595.25</v>
      </c>
      <c r="X4844" t="s">
        <v>74</v>
      </c>
      <c r="Y4844" t="s">
        <v>68</v>
      </c>
      <c r="Z4844" t="s">
        <v>159</v>
      </c>
      <c r="AA4844" t="s">
        <v>167</v>
      </c>
      <c r="AB4844">
        <v>3.4</v>
      </c>
      <c r="AC4844">
        <v>60</v>
      </c>
      <c r="AD4844">
        <v>180.93</v>
      </c>
      <c r="AE4844">
        <f t="shared" si="150"/>
        <v>3354.32</v>
      </c>
      <c r="AF4844" t="str">
        <f t="shared" si="151"/>
        <v>2026-09</v>
      </c>
      <c r="AG4844">
        <f>SUBTOTAL(103,A4844)</f>
        <v>1</v>
      </c>
    </row>
    <row r="4845" spans="1:33" x14ac:dyDescent="0.3">
      <c r="A4845" t="s">
        <v>7468</v>
      </c>
      <c r="B4845" s="13">
        <v>46275</v>
      </c>
      <c r="C4845">
        <v>2026</v>
      </c>
      <c r="D4845">
        <v>9</v>
      </c>
      <c r="E4845" t="s">
        <v>4552</v>
      </c>
      <c r="F4845" t="s">
        <v>4047</v>
      </c>
      <c r="G4845" t="s">
        <v>197</v>
      </c>
      <c r="H4845" t="s">
        <v>198</v>
      </c>
      <c r="I4845" t="s">
        <v>86</v>
      </c>
      <c r="J4845">
        <v>57</v>
      </c>
      <c r="K4845" t="s">
        <v>83</v>
      </c>
      <c r="L4845" t="s">
        <v>2690</v>
      </c>
      <c r="M4845" t="s">
        <v>63</v>
      </c>
      <c r="N4845" t="s">
        <v>2653</v>
      </c>
      <c r="O4845" t="s">
        <v>132</v>
      </c>
      <c r="P4845" t="s">
        <v>52</v>
      </c>
      <c r="Q4845" t="s">
        <v>150</v>
      </c>
      <c r="R4845">
        <v>1</v>
      </c>
      <c r="S4845">
        <v>899</v>
      </c>
      <c r="T4845">
        <v>0.2</v>
      </c>
      <c r="U4845">
        <v>719.2</v>
      </c>
      <c r="V4845">
        <v>420</v>
      </c>
      <c r="W4845">
        <v>299.2</v>
      </c>
      <c r="X4845" t="s">
        <v>73</v>
      </c>
      <c r="Y4845" t="s">
        <v>68</v>
      </c>
      <c r="Z4845" t="s">
        <v>159</v>
      </c>
      <c r="AA4845" t="s">
        <v>170</v>
      </c>
      <c r="AB4845">
        <v>3.1</v>
      </c>
      <c r="AC4845">
        <v>80</v>
      </c>
      <c r="AD4845">
        <v>50.97</v>
      </c>
      <c r="AE4845">
        <f t="shared" si="150"/>
        <v>168.23</v>
      </c>
      <c r="AF4845" t="str">
        <f t="shared" si="151"/>
        <v>2026-09</v>
      </c>
      <c r="AG4845">
        <f>SUBTOTAL(103,A4845)</f>
        <v>1</v>
      </c>
    </row>
    <row r="4846" spans="1:33" x14ac:dyDescent="0.3">
      <c r="A4846" t="s">
        <v>7469</v>
      </c>
      <c r="B4846" s="13">
        <v>46275</v>
      </c>
      <c r="C4846">
        <v>2026</v>
      </c>
      <c r="D4846">
        <v>9</v>
      </c>
      <c r="E4846" t="s">
        <v>4552</v>
      </c>
      <c r="F4846" t="s">
        <v>4047</v>
      </c>
      <c r="G4846" t="s">
        <v>803</v>
      </c>
      <c r="H4846" t="s">
        <v>804</v>
      </c>
      <c r="I4846" t="s">
        <v>86</v>
      </c>
      <c r="J4846">
        <v>38</v>
      </c>
      <c r="K4846" t="s">
        <v>82</v>
      </c>
      <c r="L4846" t="s">
        <v>100</v>
      </c>
      <c r="M4846" t="s">
        <v>56</v>
      </c>
      <c r="N4846" t="s">
        <v>2647</v>
      </c>
      <c r="O4846" t="s">
        <v>133</v>
      </c>
      <c r="P4846" t="s">
        <v>50</v>
      </c>
      <c r="Q4846" t="s">
        <v>145</v>
      </c>
      <c r="R4846">
        <v>1</v>
      </c>
      <c r="S4846">
        <v>799</v>
      </c>
      <c r="T4846">
        <v>0.25</v>
      </c>
      <c r="U4846">
        <v>599.25</v>
      </c>
      <c r="V4846">
        <v>390</v>
      </c>
      <c r="W4846">
        <v>209.25</v>
      </c>
      <c r="X4846" t="s">
        <v>73</v>
      </c>
      <c r="Y4846" t="s">
        <v>69</v>
      </c>
      <c r="Z4846" t="s">
        <v>162</v>
      </c>
      <c r="AA4846" t="s">
        <v>167</v>
      </c>
      <c r="AB4846">
        <v>3.7</v>
      </c>
      <c r="AC4846">
        <v>60</v>
      </c>
      <c r="AD4846">
        <v>51.26</v>
      </c>
      <c r="AE4846">
        <f t="shared" si="150"/>
        <v>97.990000000000009</v>
      </c>
      <c r="AF4846" t="str">
        <f t="shared" si="151"/>
        <v>2026-09</v>
      </c>
      <c r="AG4846">
        <f>SUBTOTAL(103,A4846)</f>
        <v>1</v>
      </c>
    </row>
    <row r="4847" spans="1:33" x14ac:dyDescent="0.3">
      <c r="A4847" t="s">
        <v>7470</v>
      </c>
      <c r="B4847" s="13">
        <v>46275</v>
      </c>
      <c r="C4847">
        <v>2026</v>
      </c>
      <c r="D4847">
        <v>9</v>
      </c>
      <c r="E4847" t="s">
        <v>4552</v>
      </c>
      <c r="F4847" t="s">
        <v>4047</v>
      </c>
      <c r="G4847" t="s">
        <v>1541</v>
      </c>
      <c r="H4847" t="s">
        <v>1542</v>
      </c>
      <c r="I4847" t="s">
        <v>86</v>
      </c>
      <c r="J4847">
        <v>31</v>
      </c>
      <c r="K4847" t="s">
        <v>81</v>
      </c>
      <c r="L4847" t="s">
        <v>91</v>
      </c>
      <c r="M4847" t="s">
        <v>55</v>
      </c>
      <c r="N4847" t="s">
        <v>2601</v>
      </c>
      <c r="O4847" t="s">
        <v>117</v>
      </c>
      <c r="P4847" t="s">
        <v>49</v>
      </c>
      <c r="Q4847" t="s">
        <v>139</v>
      </c>
      <c r="R4847">
        <v>1</v>
      </c>
      <c r="S4847">
        <v>6999</v>
      </c>
      <c r="T4847">
        <v>0.05</v>
      </c>
      <c r="U4847">
        <v>6649.05</v>
      </c>
      <c r="V4847">
        <v>4300</v>
      </c>
      <c r="W4847">
        <v>2349.0500000000002</v>
      </c>
      <c r="X4847" t="s">
        <v>75</v>
      </c>
      <c r="Y4847" t="s">
        <v>70</v>
      </c>
      <c r="Z4847" t="s">
        <v>160</v>
      </c>
      <c r="AA4847" t="s">
        <v>166</v>
      </c>
      <c r="AB4847">
        <v>4.8</v>
      </c>
      <c r="AC4847">
        <v>60</v>
      </c>
      <c r="AD4847">
        <v>718.51</v>
      </c>
      <c r="AE4847">
        <f t="shared" si="150"/>
        <v>1570.5400000000002</v>
      </c>
      <c r="AF4847" t="str">
        <f t="shared" si="151"/>
        <v>2026-09</v>
      </c>
      <c r="AG4847">
        <f>SUBTOTAL(103,A4847)</f>
        <v>1</v>
      </c>
    </row>
    <row r="4848" spans="1:33" x14ac:dyDescent="0.3">
      <c r="A4848" t="s">
        <v>7471</v>
      </c>
      <c r="B4848" s="13">
        <v>46275</v>
      </c>
      <c r="C4848">
        <v>2026</v>
      </c>
      <c r="D4848">
        <v>9</v>
      </c>
      <c r="E4848" t="s">
        <v>4552</v>
      </c>
      <c r="F4848" t="s">
        <v>4047</v>
      </c>
      <c r="G4848" t="s">
        <v>973</v>
      </c>
      <c r="H4848" t="s">
        <v>974</v>
      </c>
      <c r="I4848" t="s">
        <v>85</v>
      </c>
      <c r="J4848">
        <v>39</v>
      </c>
      <c r="K4848" t="s">
        <v>82</v>
      </c>
      <c r="L4848" t="s">
        <v>2612</v>
      </c>
      <c r="M4848" t="s">
        <v>64</v>
      </c>
      <c r="N4848" t="s">
        <v>2574</v>
      </c>
      <c r="O4848" t="s">
        <v>130</v>
      </c>
      <c r="P4848" t="s">
        <v>50</v>
      </c>
      <c r="Q4848" t="s">
        <v>53</v>
      </c>
      <c r="R4848">
        <v>1</v>
      </c>
      <c r="S4848">
        <v>1199</v>
      </c>
      <c r="T4848">
        <v>0.1</v>
      </c>
      <c r="U4848">
        <v>1079.0999999999999</v>
      </c>
      <c r="V4848">
        <v>550</v>
      </c>
      <c r="W4848">
        <v>529.1</v>
      </c>
      <c r="X4848" t="s">
        <v>73</v>
      </c>
      <c r="Y4848" t="s">
        <v>68</v>
      </c>
      <c r="Z4848" t="s">
        <v>159</v>
      </c>
      <c r="AA4848" t="s">
        <v>167</v>
      </c>
      <c r="AB4848">
        <v>4.0999999999999996</v>
      </c>
      <c r="AC4848">
        <v>40</v>
      </c>
      <c r="AD4848">
        <v>26.78</v>
      </c>
      <c r="AE4848">
        <f t="shared" si="150"/>
        <v>462.32000000000005</v>
      </c>
      <c r="AF4848" t="str">
        <f t="shared" si="151"/>
        <v>2026-09</v>
      </c>
      <c r="AG4848">
        <f>SUBTOTAL(103,A4848)</f>
        <v>1</v>
      </c>
    </row>
    <row r="4849" spans="1:33" x14ac:dyDescent="0.3">
      <c r="A4849" t="s">
        <v>7472</v>
      </c>
      <c r="B4849" s="13">
        <v>46275</v>
      </c>
      <c r="C4849">
        <v>2026</v>
      </c>
      <c r="D4849">
        <v>9</v>
      </c>
      <c r="E4849" t="s">
        <v>4552</v>
      </c>
      <c r="F4849" t="s">
        <v>4047</v>
      </c>
      <c r="G4849" t="s">
        <v>2305</v>
      </c>
      <c r="H4849" t="s">
        <v>2306</v>
      </c>
      <c r="I4849" t="s">
        <v>86</v>
      </c>
      <c r="J4849">
        <v>19</v>
      </c>
      <c r="K4849" t="s">
        <v>80</v>
      </c>
      <c r="L4849" t="s">
        <v>90</v>
      </c>
      <c r="M4849" t="s">
        <v>55</v>
      </c>
      <c r="N4849" t="s">
        <v>2574</v>
      </c>
      <c r="O4849" t="s">
        <v>130</v>
      </c>
      <c r="P4849" t="s">
        <v>50</v>
      </c>
      <c r="Q4849" t="s">
        <v>53</v>
      </c>
      <c r="R4849">
        <v>2</v>
      </c>
      <c r="S4849">
        <v>1199</v>
      </c>
      <c r="T4849">
        <v>0.1</v>
      </c>
      <c r="U4849">
        <v>2158.1999999999998</v>
      </c>
      <c r="V4849">
        <v>1100</v>
      </c>
      <c r="W4849">
        <v>1058.2</v>
      </c>
      <c r="X4849" t="s">
        <v>73</v>
      </c>
      <c r="Y4849" t="s">
        <v>68</v>
      </c>
      <c r="Z4849" t="s">
        <v>163</v>
      </c>
      <c r="AA4849" t="s">
        <v>171</v>
      </c>
      <c r="AB4849">
        <v>5</v>
      </c>
      <c r="AC4849">
        <v>40</v>
      </c>
      <c r="AD4849">
        <v>55.88</v>
      </c>
      <c r="AE4849">
        <f t="shared" si="150"/>
        <v>962.32</v>
      </c>
      <c r="AF4849" t="str">
        <f t="shared" si="151"/>
        <v>2026-09</v>
      </c>
      <c r="AG4849">
        <f>SUBTOTAL(103,A4849)</f>
        <v>1</v>
      </c>
    </row>
    <row r="4850" spans="1:33" x14ac:dyDescent="0.3">
      <c r="A4850" t="s">
        <v>7473</v>
      </c>
      <c r="B4850" s="13">
        <v>46275</v>
      </c>
      <c r="C4850">
        <v>2026</v>
      </c>
      <c r="D4850">
        <v>9</v>
      </c>
      <c r="E4850" t="s">
        <v>4552</v>
      </c>
      <c r="F4850" t="s">
        <v>4047</v>
      </c>
      <c r="G4850" t="s">
        <v>751</v>
      </c>
      <c r="H4850" t="s">
        <v>752</v>
      </c>
      <c r="I4850" t="s">
        <v>85</v>
      </c>
      <c r="J4850">
        <v>25</v>
      </c>
      <c r="K4850" t="s">
        <v>80</v>
      </c>
      <c r="L4850" t="s">
        <v>94</v>
      </c>
      <c r="M4850" t="s">
        <v>57</v>
      </c>
      <c r="N4850" t="s">
        <v>2653</v>
      </c>
      <c r="O4850" t="s">
        <v>132</v>
      </c>
      <c r="P4850" t="s">
        <v>52</v>
      </c>
      <c r="Q4850" t="s">
        <v>150</v>
      </c>
      <c r="R4850">
        <v>3</v>
      </c>
      <c r="S4850">
        <v>899</v>
      </c>
      <c r="T4850">
        <v>0.2</v>
      </c>
      <c r="U4850">
        <v>2157.6</v>
      </c>
      <c r="V4850">
        <v>1260</v>
      </c>
      <c r="W4850">
        <v>897.6</v>
      </c>
      <c r="X4850" t="s">
        <v>76</v>
      </c>
      <c r="Y4850" t="s">
        <v>68</v>
      </c>
      <c r="Z4850" t="s">
        <v>159</v>
      </c>
      <c r="AA4850" t="s">
        <v>166</v>
      </c>
      <c r="AB4850">
        <v>4.7</v>
      </c>
      <c r="AC4850">
        <v>60</v>
      </c>
      <c r="AD4850">
        <v>171.47</v>
      </c>
      <c r="AE4850">
        <f t="shared" si="150"/>
        <v>666.13</v>
      </c>
      <c r="AF4850" t="str">
        <f t="shared" si="151"/>
        <v>2026-09</v>
      </c>
      <c r="AG4850">
        <f>SUBTOTAL(103,A4850)</f>
        <v>1</v>
      </c>
    </row>
    <row r="4851" spans="1:33" x14ac:dyDescent="0.3">
      <c r="A4851" t="s">
        <v>7474</v>
      </c>
      <c r="B4851" s="13">
        <v>46276</v>
      </c>
      <c r="C4851">
        <v>2026</v>
      </c>
      <c r="D4851">
        <v>9</v>
      </c>
      <c r="E4851" t="s">
        <v>4552</v>
      </c>
      <c r="F4851" t="s">
        <v>4047</v>
      </c>
      <c r="G4851" t="s">
        <v>1243</v>
      </c>
      <c r="H4851" t="s">
        <v>1244</v>
      </c>
      <c r="I4851" t="s">
        <v>86</v>
      </c>
      <c r="J4851">
        <v>51</v>
      </c>
      <c r="K4851" t="s">
        <v>83</v>
      </c>
      <c r="L4851" t="s">
        <v>2610</v>
      </c>
      <c r="M4851" t="s">
        <v>64</v>
      </c>
      <c r="N4851" t="s">
        <v>2582</v>
      </c>
      <c r="O4851" t="s">
        <v>119</v>
      </c>
      <c r="P4851" t="s">
        <v>49</v>
      </c>
      <c r="Q4851" t="s">
        <v>140</v>
      </c>
      <c r="R4851">
        <v>3</v>
      </c>
      <c r="S4851">
        <v>3499</v>
      </c>
      <c r="T4851">
        <v>0.1</v>
      </c>
      <c r="U4851">
        <v>9447.2999999999993</v>
      </c>
      <c r="V4851">
        <v>6300</v>
      </c>
      <c r="W4851">
        <v>3147.3</v>
      </c>
      <c r="X4851" t="s">
        <v>76</v>
      </c>
      <c r="Y4851" t="s">
        <v>68</v>
      </c>
      <c r="Z4851" t="s">
        <v>161</v>
      </c>
      <c r="AA4851" t="s">
        <v>171</v>
      </c>
      <c r="AB4851">
        <v>4.5999999999999996</v>
      </c>
      <c r="AC4851">
        <v>50</v>
      </c>
      <c r="AD4851">
        <v>405.88</v>
      </c>
      <c r="AE4851">
        <f t="shared" si="150"/>
        <v>2691.42</v>
      </c>
      <c r="AF4851" t="str">
        <f t="shared" si="151"/>
        <v>2026-09</v>
      </c>
      <c r="AG4851">
        <f>SUBTOTAL(103,A4851)</f>
        <v>1</v>
      </c>
    </row>
    <row r="4852" spans="1:33" x14ac:dyDescent="0.3">
      <c r="A4852" t="s">
        <v>7475</v>
      </c>
      <c r="B4852" s="13">
        <v>46276</v>
      </c>
      <c r="C4852">
        <v>2026</v>
      </c>
      <c r="D4852">
        <v>9</v>
      </c>
      <c r="E4852" t="s">
        <v>4552</v>
      </c>
      <c r="F4852" t="s">
        <v>4047</v>
      </c>
      <c r="G4852" t="s">
        <v>297</v>
      </c>
      <c r="H4852" t="s">
        <v>298</v>
      </c>
      <c r="I4852" t="s">
        <v>86</v>
      </c>
      <c r="J4852">
        <v>33</v>
      </c>
      <c r="K4852" t="s">
        <v>81</v>
      </c>
      <c r="L4852" t="s">
        <v>90</v>
      </c>
      <c r="M4852" t="s">
        <v>55</v>
      </c>
      <c r="N4852" t="s">
        <v>2596</v>
      </c>
      <c r="O4852" t="s">
        <v>124</v>
      </c>
      <c r="P4852" t="s">
        <v>51</v>
      </c>
      <c r="Q4852" t="s">
        <v>147</v>
      </c>
      <c r="R4852">
        <v>3</v>
      </c>
      <c r="S4852">
        <v>2299</v>
      </c>
      <c r="T4852">
        <v>0.1</v>
      </c>
      <c r="U4852">
        <v>6207.3</v>
      </c>
      <c r="V4852">
        <v>3600</v>
      </c>
      <c r="W4852">
        <v>2607.3000000000002</v>
      </c>
      <c r="X4852" t="s">
        <v>74</v>
      </c>
      <c r="Y4852" t="s">
        <v>68</v>
      </c>
      <c r="Z4852" t="s">
        <v>159</v>
      </c>
      <c r="AA4852" t="s">
        <v>168</v>
      </c>
      <c r="AB4852">
        <v>4.5</v>
      </c>
      <c r="AC4852">
        <v>80</v>
      </c>
      <c r="AD4852">
        <v>143.6</v>
      </c>
      <c r="AE4852">
        <f t="shared" si="150"/>
        <v>2383.7000000000003</v>
      </c>
      <c r="AF4852" t="str">
        <f t="shared" si="151"/>
        <v>2026-09</v>
      </c>
      <c r="AG4852">
        <f>SUBTOTAL(103,A4852)</f>
        <v>1</v>
      </c>
    </row>
    <row r="4853" spans="1:33" x14ac:dyDescent="0.3">
      <c r="A4853" t="s">
        <v>7476</v>
      </c>
      <c r="B4853" s="13">
        <v>46276</v>
      </c>
      <c r="C4853">
        <v>2026</v>
      </c>
      <c r="D4853">
        <v>9</v>
      </c>
      <c r="E4853" t="s">
        <v>4552</v>
      </c>
      <c r="F4853" t="s">
        <v>4047</v>
      </c>
      <c r="G4853" t="s">
        <v>1081</v>
      </c>
      <c r="H4853" t="s">
        <v>1082</v>
      </c>
      <c r="I4853" t="s">
        <v>85</v>
      </c>
      <c r="J4853">
        <v>50</v>
      </c>
      <c r="K4853" t="s">
        <v>83</v>
      </c>
      <c r="L4853" t="s">
        <v>92</v>
      </c>
      <c r="M4853" t="s">
        <v>59</v>
      </c>
      <c r="N4853" t="s">
        <v>2630</v>
      </c>
      <c r="O4853" t="s">
        <v>123</v>
      </c>
      <c r="P4853" t="s">
        <v>52</v>
      </c>
      <c r="Q4853" t="s">
        <v>146</v>
      </c>
      <c r="R4853">
        <v>1</v>
      </c>
      <c r="S4853">
        <v>2499</v>
      </c>
      <c r="T4853">
        <v>0.1</v>
      </c>
      <c r="U4853">
        <v>2249.1</v>
      </c>
      <c r="V4853">
        <v>1400</v>
      </c>
      <c r="W4853">
        <v>849.1</v>
      </c>
      <c r="X4853" t="s">
        <v>74</v>
      </c>
      <c r="Y4853" t="s">
        <v>68</v>
      </c>
      <c r="Z4853" t="s">
        <v>162</v>
      </c>
      <c r="AA4853" t="s">
        <v>168</v>
      </c>
      <c r="AB4853">
        <v>3.8</v>
      </c>
      <c r="AC4853">
        <v>40</v>
      </c>
      <c r="AD4853">
        <v>100.54</v>
      </c>
      <c r="AE4853">
        <f t="shared" si="150"/>
        <v>708.56000000000006</v>
      </c>
      <c r="AF4853" t="str">
        <f t="shared" si="151"/>
        <v>2026-09</v>
      </c>
      <c r="AG4853">
        <f>SUBTOTAL(103,A4853)</f>
        <v>1</v>
      </c>
    </row>
    <row r="4854" spans="1:33" x14ac:dyDescent="0.3">
      <c r="A4854" t="s">
        <v>7477</v>
      </c>
      <c r="B4854" s="13">
        <v>46276</v>
      </c>
      <c r="C4854">
        <v>2026</v>
      </c>
      <c r="D4854">
        <v>9</v>
      </c>
      <c r="E4854" t="s">
        <v>4552</v>
      </c>
      <c r="F4854" t="s">
        <v>4047</v>
      </c>
      <c r="G4854" t="s">
        <v>463</v>
      </c>
      <c r="H4854" t="s">
        <v>464</v>
      </c>
      <c r="I4854" t="s">
        <v>86</v>
      </c>
      <c r="J4854">
        <v>40</v>
      </c>
      <c r="K4854" t="s">
        <v>82</v>
      </c>
      <c r="L4854" t="s">
        <v>100</v>
      </c>
      <c r="M4854" t="s">
        <v>56</v>
      </c>
      <c r="N4854" t="s">
        <v>2592</v>
      </c>
      <c r="O4854" t="s">
        <v>115</v>
      </c>
      <c r="P4854" t="s">
        <v>48</v>
      </c>
      <c r="Q4854" t="s">
        <v>137</v>
      </c>
      <c r="R4854">
        <v>3</v>
      </c>
      <c r="S4854">
        <v>12999</v>
      </c>
      <c r="T4854">
        <v>0.1</v>
      </c>
      <c r="U4854">
        <v>35097.300000000003</v>
      </c>
      <c r="V4854">
        <v>27000</v>
      </c>
      <c r="W4854">
        <v>8097.3</v>
      </c>
      <c r="X4854" t="s">
        <v>73</v>
      </c>
      <c r="Y4854" t="s">
        <v>68</v>
      </c>
      <c r="Z4854" t="s">
        <v>158</v>
      </c>
      <c r="AA4854" t="s">
        <v>169</v>
      </c>
      <c r="AB4854">
        <v>4</v>
      </c>
      <c r="AC4854">
        <v>80</v>
      </c>
      <c r="AD4854">
        <v>3191.91</v>
      </c>
      <c r="AE4854">
        <f t="shared" si="150"/>
        <v>4825.3900000000003</v>
      </c>
      <c r="AF4854" t="str">
        <f t="shared" si="151"/>
        <v>2026-09</v>
      </c>
      <c r="AG4854">
        <f>SUBTOTAL(103,A4854)</f>
        <v>1</v>
      </c>
    </row>
    <row r="4855" spans="1:33" x14ac:dyDescent="0.3">
      <c r="A4855" t="s">
        <v>7478</v>
      </c>
      <c r="B4855" s="13">
        <v>46276</v>
      </c>
      <c r="C4855">
        <v>2026</v>
      </c>
      <c r="D4855">
        <v>9</v>
      </c>
      <c r="E4855" t="s">
        <v>4552</v>
      </c>
      <c r="F4855" t="s">
        <v>4047</v>
      </c>
      <c r="G4855" t="s">
        <v>2153</v>
      </c>
      <c r="H4855" t="s">
        <v>2154</v>
      </c>
      <c r="I4855" t="s">
        <v>85</v>
      </c>
      <c r="J4855">
        <v>21</v>
      </c>
      <c r="K4855" t="s">
        <v>80</v>
      </c>
      <c r="L4855" t="s">
        <v>91</v>
      </c>
      <c r="M4855" t="s">
        <v>55</v>
      </c>
      <c r="N4855" t="s">
        <v>2665</v>
      </c>
      <c r="O4855" t="s">
        <v>128</v>
      </c>
      <c r="P4855" t="s">
        <v>53</v>
      </c>
      <c r="Q4855" t="s">
        <v>143</v>
      </c>
      <c r="R4855">
        <v>2</v>
      </c>
      <c r="S4855">
        <v>1499</v>
      </c>
      <c r="T4855">
        <v>0.05</v>
      </c>
      <c r="U4855">
        <v>2848.1</v>
      </c>
      <c r="V4855">
        <v>1600</v>
      </c>
      <c r="W4855">
        <v>1248.0999999999999</v>
      </c>
      <c r="X4855" t="s">
        <v>75</v>
      </c>
      <c r="Y4855" t="s">
        <v>68</v>
      </c>
      <c r="Z4855" t="s">
        <v>158</v>
      </c>
      <c r="AA4855" t="s">
        <v>166</v>
      </c>
      <c r="AB4855">
        <v>3.9</v>
      </c>
      <c r="AC4855">
        <v>80</v>
      </c>
      <c r="AD4855">
        <v>240.42</v>
      </c>
      <c r="AE4855">
        <f t="shared" si="150"/>
        <v>927.68</v>
      </c>
      <c r="AF4855" t="str">
        <f t="shared" si="151"/>
        <v>2026-09</v>
      </c>
      <c r="AG4855">
        <f>SUBTOTAL(103,A4855)</f>
        <v>1</v>
      </c>
    </row>
    <row r="4856" spans="1:33" x14ac:dyDescent="0.3">
      <c r="A4856" t="s">
        <v>7479</v>
      </c>
      <c r="B4856" s="13">
        <v>46276</v>
      </c>
      <c r="C4856">
        <v>2026</v>
      </c>
      <c r="D4856">
        <v>9</v>
      </c>
      <c r="E4856" t="s">
        <v>4552</v>
      </c>
      <c r="F4856" t="s">
        <v>4047</v>
      </c>
      <c r="G4856" t="s">
        <v>1613</v>
      </c>
      <c r="H4856" t="s">
        <v>1614</v>
      </c>
      <c r="I4856" t="s">
        <v>86</v>
      </c>
      <c r="J4856">
        <v>44</v>
      </c>
      <c r="K4856" t="s">
        <v>82</v>
      </c>
      <c r="L4856" t="s">
        <v>2616</v>
      </c>
      <c r="M4856" t="s">
        <v>62</v>
      </c>
      <c r="N4856" t="s">
        <v>2665</v>
      </c>
      <c r="O4856" t="s">
        <v>128</v>
      </c>
      <c r="P4856" t="s">
        <v>53</v>
      </c>
      <c r="Q4856" t="s">
        <v>143</v>
      </c>
      <c r="R4856">
        <v>1</v>
      </c>
      <c r="S4856">
        <v>1499</v>
      </c>
      <c r="T4856">
        <v>0.1</v>
      </c>
      <c r="U4856">
        <v>1349.1</v>
      </c>
      <c r="V4856">
        <v>800</v>
      </c>
      <c r="W4856">
        <v>549.1</v>
      </c>
      <c r="X4856" t="s">
        <v>73</v>
      </c>
      <c r="Y4856" t="s">
        <v>68</v>
      </c>
      <c r="Z4856" t="s">
        <v>163</v>
      </c>
      <c r="AA4856" t="s">
        <v>169</v>
      </c>
      <c r="AB4856">
        <v>2.2999999999999998</v>
      </c>
      <c r="AC4856">
        <v>50</v>
      </c>
      <c r="AD4856">
        <v>65.27</v>
      </c>
      <c r="AE4856">
        <f t="shared" si="150"/>
        <v>433.83000000000004</v>
      </c>
      <c r="AF4856" t="str">
        <f t="shared" si="151"/>
        <v>2026-09</v>
      </c>
      <c r="AG4856">
        <f>SUBTOTAL(103,A4856)</f>
        <v>1</v>
      </c>
    </row>
    <row r="4857" spans="1:33" x14ac:dyDescent="0.3">
      <c r="A4857" t="s">
        <v>7480</v>
      </c>
      <c r="B4857" s="13">
        <v>46276</v>
      </c>
      <c r="C4857">
        <v>2026</v>
      </c>
      <c r="D4857">
        <v>9</v>
      </c>
      <c r="E4857" t="s">
        <v>4552</v>
      </c>
      <c r="F4857" t="s">
        <v>4047</v>
      </c>
      <c r="G4857" t="s">
        <v>1877</v>
      </c>
      <c r="H4857" t="s">
        <v>1878</v>
      </c>
      <c r="I4857" t="s">
        <v>86</v>
      </c>
      <c r="J4857">
        <v>57</v>
      </c>
      <c r="K4857" t="s">
        <v>83</v>
      </c>
      <c r="L4857" t="s">
        <v>2661</v>
      </c>
      <c r="M4857" t="s">
        <v>58</v>
      </c>
      <c r="N4857" t="s">
        <v>2574</v>
      </c>
      <c r="O4857" t="s">
        <v>130</v>
      </c>
      <c r="P4857" t="s">
        <v>50</v>
      </c>
      <c r="Q4857" t="s">
        <v>53</v>
      </c>
      <c r="R4857">
        <v>1</v>
      </c>
      <c r="S4857">
        <v>1199</v>
      </c>
      <c r="T4857">
        <v>0</v>
      </c>
      <c r="U4857">
        <v>1199</v>
      </c>
      <c r="V4857">
        <v>550</v>
      </c>
      <c r="W4857">
        <v>649</v>
      </c>
      <c r="X4857" t="s">
        <v>73</v>
      </c>
      <c r="Y4857" t="s">
        <v>68</v>
      </c>
      <c r="Z4857" t="s">
        <v>161</v>
      </c>
      <c r="AA4857" t="s">
        <v>166</v>
      </c>
      <c r="AB4857">
        <v>4.5999999999999996</v>
      </c>
      <c r="AC4857">
        <v>80</v>
      </c>
      <c r="AD4857">
        <v>70.77</v>
      </c>
      <c r="AE4857">
        <f t="shared" si="150"/>
        <v>498.23</v>
      </c>
      <c r="AF4857" t="str">
        <f t="shared" si="151"/>
        <v>2026-09</v>
      </c>
      <c r="AG4857">
        <f>SUBTOTAL(103,A4857)</f>
        <v>1</v>
      </c>
    </row>
    <row r="4858" spans="1:33" x14ac:dyDescent="0.3">
      <c r="A4858" t="s">
        <v>7481</v>
      </c>
      <c r="B4858" s="13">
        <v>46276</v>
      </c>
      <c r="C4858">
        <v>2026</v>
      </c>
      <c r="D4858">
        <v>9</v>
      </c>
      <c r="E4858" t="s">
        <v>4552</v>
      </c>
      <c r="F4858" t="s">
        <v>4047</v>
      </c>
      <c r="G4858" t="s">
        <v>1619</v>
      </c>
      <c r="H4858" t="s">
        <v>1620</v>
      </c>
      <c r="I4858" t="s">
        <v>86</v>
      </c>
      <c r="J4858">
        <v>38</v>
      </c>
      <c r="K4858" t="s">
        <v>82</v>
      </c>
      <c r="L4858" t="s">
        <v>2687</v>
      </c>
      <c r="M4858" t="s">
        <v>57</v>
      </c>
      <c r="N4858" t="s">
        <v>2665</v>
      </c>
      <c r="O4858" t="s">
        <v>128</v>
      </c>
      <c r="P4858" t="s">
        <v>53</v>
      </c>
      <c r="Q4858" t="s">
        <v>143</v>
      </c>
      <c r="R4858">
        <v>2</v>
      </c>
      <c r="S4858">
        <v>1499</v>
      </c>
      <c r="T4858">
        <v>0.1</v>
      </c>
      <c r="U4858">
        <v>2698.2</v>
      </c>
      <c r="V4858">
        <v>1600</v>
      </c>
      <c r="W4858">
        <v>1098.2</v>
      </c>
      <c r="X4858" t="s">
        <v>73</v>
      </c>
      <c r="Y4858" t="s">
        <v>68</v>
      </c>
      <c r="Z4858" t="s">
        <v>158</v>
      </c>
      <c r="AA4858" t="s">
        <v>169</v>
      </c>
      <c r="AB4858">
        <v>4.5999999999999996</v>
      </c>
      <c r="AC4858">
        <v>80</v>
      </c>
      <c r="AD4858">
        <v>124.26</v>
      </c>
      <c r="AE4858">
        <f t="shared" si="150"/>
        <v>893.94</v>
      </c>
      <c r="AF4858" t="str">
        <f t="shared" si="151"/>
        <v>2026-09</v>
      </c>
      <c r="AG4858">
        <f>SUBTOTAL(103,A4858)</f>
        <v>1</v>
      </c>
    </row>
    <row r="4859" spans="1:33" x14ac:dyDescent="0.3">
      <c r="A4859" t="s">
        <v>7482</v>
      </c>
      <c r="B4859" s="13">
        <v>46276</v>
      </c>
      <c r="C4859">
        <v>2026</v>
      </c>
      <c r="D4859">
        <v>9</v>
      </c>
      <c r="E4859" t="s">
        <v>4552</v>
      </c>
      <c r="F4859" t="s">
        <v>4047</v>
      </c>
      <c r="G4859" t="s">
        <v>287</v>
      </c>
      <c r="H4859" t="s">
        <v>288</v>
      </c>
      <c r="I4859" t="s">
        <v>86</v>
      </c>
      <c r="J4859">
        <v>56</v>
      </c>
      <c r="K4859" t="s">
        <v>83</v>
      </c>
      <c r="L4859" t="s">
        <v>2616</v>
      </c>
      <c r="M4859" t="s">
        <v>62</v>
      </c>
      <c r="N4859" t="s">
        <v>2587</v>
      </c>
      <c r="O4859" t="s">
        <v>116</v>
      </c>
      <c r="P4859" t="s">
        <v>48</v>
      </c>
      <c r="Q4859" t="s">
        <v>138</v>
      </c>
      <c r="R4859">
        <v>1</v>
      </c>
      <c r="S4859">
        <v>14999</v>
      </c>
      <c r="T4859">
        <v>0.15</v>
      </c>
      <c r="U4859">
        <v>12749.15</v>
      </c>
      <c r="V4859">
        <v>11200</v>
      </c>
      <c r="W4859">
        <v>1549.15</v>
      </c>
      <c r="X4859" t="s">
        <v>75</v>
      </c>
      <c r="Y4859" t="s">
        <v>68</v>
      </c>
      <c r="Z4859" t="s">
        <v>158</v>
      </c>
      <c r="AA4859" t="s">
        <v>169</v>
      </c>
      <c r="AB4859">
        <v>5</v>
      </c>
      <c r="AC4859">
        <v>60</v>
      </c>
      <c r="AD4859">
        <v>729.18</v>
      </c>
      <c r="AE4859">
        <f t="shared" si="150"/>
        <v>759.97000000000014</v>
      </c>
      <c r="AF4859" t="str">
        <f t="shared" si="151"/>
        <v>2026-09</v>
      </c>
      <c r="AG4859">
        <f>SUBTOTAL(103,A4859)</f>
        <v>1</v>
      </c>
    </row>
    <row r="4860" spans="1:33" x14ac:dyDescent="0.3">
      <c r="A4860" t="s">
        <v>7483</v>
      </c>
      <c r="B4860" s="13">
        <v>46276</v>
      </c>
      <c r="C4860">
        <v>2026</v>
      </c>
      <c r="D4860">
        <v>9</v>
      </c>
      <c r="E4860" t="s">
        <v>4552</v>
      </c>
      <c r="F4860" t="s">
        <v>4047</v>
      </c>
      <c r="G4860" t="s">
        <v>1791</v>
      </c>
      <c r="H4860" t="s">
        <v>1792</v>
      </c>
      <c r="I4860" t="s">
        <v>85</v>
      </c>
      <c r="J4860">
        <v>26</v>
      </c>
      <c r="K4860" t="s">
        <v>81</v>
      </c>
      <c r="L4860" t="s">
        <v>2579</v>
      </c>
      <c r="M4860" t="s">
        <v>56</v>
      </c>
      <c r="N4860" t="s">
        <v>2665</v>
      </c>
      <c r="O4860" t="s">
        <v>128</v>
      </c>
      <c r="P4860" t="s">
        <v>53</v>
      </c>
      <c r="Q4860" t="s">
        <v>143</v>
      </c>
      <c r="R4860">
        <v>2</v>
      </c>
      <c r="S4860">
        <v>1499</v>
      </c>
      <c r="T4860">
        <v>0.1</v>
      </c>
      <c r="U4860">
        <v>2698.2</v>
      </c>
      <c r="V4860">
        <v>1600</v>
      </c>
      <c r="W4860">
        <v>1098.2</v>
      </c>
      <c r="X4860" t="s">
        <v>75</v>
      </c>
      <c r="Y4860" t="s">
        <v>68</v>
      </c>
      <c r="Z4860" t="s">
        <v>162</v>
      </c>
      <c r="AA4860" t="s">
        <v>166</v>
      </c>
      <c r="AB4860">
        <v>3.8</v>
      </c>
      <c r="AC4860">
        <v>60</v>
      </c>
      <c r="AD4860">
        <v>75.34</v>
      </c>
      <c r="AE4860">
        <f t="shared" si="150"/>
        <v>962.86</v>
      </c>
      <c r="AF4860" t="str">
        <f t="shared" si="151"/>
        <v>2026-09</v>
      </c>
      <c r="AG4860">
        <f>SUBTOTAL(103,A4860)</f>
        <v>1</v>
      </c>
    </row>
    <row r="4861" spans="1:33" x14ac:dyDescent="0.3">
      <c r="A4861" t="s">
        <v>7484</v>
      </c>
      <c r="B4861" s="13">
        <v>46277</v>
      </c>
      <c r="C4861">
        <v>2026</v>
      </c>
      <c r="D4861">
        <v>9</v>
      </c>
      <c r="E4861" t="s">
        <v>4552</v>
      </c>
      <c r="F4861" t="s">
        <v>4047</v>
      </c>
      <c r="G4861" t="s">
        <v>711</v>
      </c>
      <c r="H4861" t="s">
        <v>712</v>
      </c>
      <c r="I4861" t="s">
        <v>85</v>
      </c>
      <c r="J4861">
        <v>40</v>
      </c>
      <c r="K4861" t="s">
        <v>82</v>
      </c>
      <c r="L4861" t="s">
        <v>97</v>
      </c>
      <c r="M4861" t="s">
        <v>57</v>
      </c>
      <c r="N4861" t="s">
        <v>2580</v>
      </c>
      <c r="O4861" t="s">
        <v>118</v>
      </c>
      <c r="P4861" t="s">
        <v>48</v>
      </c>
      <c r="Q4861" t="s">
        <v>142</v>
      </c>
      <c r="R4861">
        <v>1</v>
      </c>
      <c r="S4861">
        <v>3999</v>
      </c>
      <c r="T4861">
        <v>0.1</v>
      </c>
      <c r="U4861">
        <v>3599.1</v>
      </c>
      <c r="V4861">
        <v>2400</v>
      </c>
      <c r="W4861">
        <v>1199.0999999999999</v>
      </c>
      <c r="X4861" t="s">
        <v>74</v>
      </c>
      <c r="Y4861" t="s">
        <v>68</v>
      </c>
      <c r="Z4861" t="s">
        <v>158</v>
      </c>
      <c r="AA4861" t="s">
        <v>168</v>
      </c>
      <c r="AB4861">
        <v>3.8</v>
      </c>
      <c r="AC4861">
        <v>50</v>
      </c>
      <c r="AD4861">
        <v>98.35</v>
      </c>
      <c r="AE4861">
        <f t="shared" si="150"/>
        <v>1050.75</v>
      </c>
      <c r="AF4861" t="str">
        <f t="shared" si="151"/>
        <v>2026-09</v>
      </c>
      <c r="AG4861">
        <f>SUBTOTAL(103,A4861)</f>
        <v>1</v>
      </c>
    </row>
    <row r="4862" spans="1:33" x14ac:dyDescent="0.3">
      <c r="A4862" t="s">
        <v>7485</v>
      </c>
      <c r="B4862" s="13">
        <v>46277</v>
      </c>
      <c r="C4862">
        <v>2026</v>
      </c>
      <c r="D4862">
        <v>9</v>
      </c>
      <c r="E4862" t="s">
        <v>4552</v>
      </c>
      <c r="F4862" t="s">
        <v>4047</v>
      </c>
      <c r="G4862" t="s">
        <v>237</v>
      </c>
      <c r="H4862" t="s">
        <v>238</v>
      </c>
      <c r="I4862" t="s">
        <v>85</v>
      </c>
      <c r="J4862">
        <v>37</v>
      </c>
      <c r="K4862" t="s">
        <v>82</v>
      </c>
      <c r="L4862" t="s">
        <v>91</v>
      </c>
      <c r="M4862" t="s">
        <v>55</v>
      </c>
      <c r="N4862" t="s">
        <v>2644</v>
      </c>
      <c r="O4862" t="s">
        <v>126</v>
      </c>
      <c r="P4862" t="s">
        <v>50</v>
      </c>
      <c r="Q4862" t="s">
        <v>145</v>
      </c>
      <c r="R4862">
        <v>3</v>
      </c>
      <c r="S4862">
        <v>1799</v>
      </c>
      <c r="T4862">
        <v>0.1</v>
      </c>
      <c r="U4862">
        <v>4857.3</v>
      </c>
      <c r="V4862">
        <v>2850</v>
      </c>
      <c r="W4862">
        <v>2007.3</v>
      </c>
      <c r="X4862" t="s">
        <v>74</v>
      </c>
      <c r="Y4862" t="s">
        <v>68</v>
      </c>
      <c r="Z4862" t="s">
        <v>160</v>
      </c>
      <c r="AA4862" t="s">
        <v>166</v>
      </c>
      <c r="AB4862">
        <v>4.9000000000000004</v>
      </c>
      <c r="AC4862">
        <v>60</v>
      </c>
      <c r="AD4862">
        <v>166.77</v>
      </c>
      <c r="AE4862">
        <f t="shared" si="150"/>
        <v>1780.53</v>
      </c>
      <c r="AF4862" t="str">
        <f t="shared" si="151"/>
        <v>2026-09</v>
      </c>
      <c r="AG4862">
        <f>SUBTOTAL(103,A4862)</f>
        <v>1</v>
      </c>
    </row>
    <row r="4863" spans="1:33" x14ac:dyDescent="0.3">
      <c r="A4863" t="s">
        <v>7486</v>
      </c>
      <c r="B4863" s="13">
        <v>46277</v>
      </c>
      <c r="C4863">
        <v>2026</v>
      </c>
      <c r="D4863">
        <v>9</v>
      </c>
      <c r="E4863" t="s">
        <v>4552</v>
      </c>
      <c r="F4863" t="s">
        <v>4047</v>
      </c>
      <c r="G4863" t="s">
        <v>781</v>
      </c>
      <c r="H4863" t="s">
        <v>782</v>
      </c>
      <c r="I4863" t="s">
        <v>85</v>
      </c>
      <c r="J4863">
        <v>37</v>
      </c>
      <c r="K4863" t="s">
        <v>82</v>
      </c>
      <c r="L4863" t="s">
        <v>2674</v>
      </c>
      <c r="M4863" t="s">
        <v>58</v>
      </c>
      <c r="N4863" t="s">
        <v>2647</v>
      </c>
      <c r="O4863" t="s">
        <v>133</v>
      </c>
      <c r="P4863" t="s">
        <v>50</v>
      </c>
      <c r="Q4863" t="s">
        <v>145</v>
      </c>
      <c r="R4863">
        <v>3</v>
      </c>
      <c r="S4863">
        <v>799</v>
      </c>
      <c r="T4863">
        <v>0.15</v>
      </c>
      <c r="U4863">
        <v>2037.45</v>
      </c>
      <c r="V4863">
        <v>1170</v>
      </c>
      <c r="W4863">
        <v>867.45</v>
      </c>
      <c r="X4863" t="s">
        <v>74</v>
      </c>
      <c r="Y4863" t="s">
        <v>68</v>
      </c>
      <c r="Z4863" t="s">
        <v>161</v>
      </c>
      <c r="AA4863" t="s">
        <v>168</v>
      </c>
      <c r="AB4863">
        <v>4.0999999999999996</v>
      </c>
      <c r="AC4863">
        <v>50</v>
      </c>
      <c r="AD4863">
        <v>238.72</v>
      </c>
      <c r="AE4863">
        <f t="shared" si="150"/>
        <v>578.73</v>
      </c>
      <c r="AF4863" t="str">
        <f t="shared" si="151"/>
        <v>2026-09</v>
      </c>
      <c r="AG4863">
        <f>SUBTOTAL(103,A4863)</f>
        <v>1</v>
      </c>
    </row>
    <row r="4864" spans="1:33" x14ac:dyDescent="0.3">
      <c r="A4864" t="s">
        <v>7487</v>
      </c>
      <c r="B4864" s="13">
        <v>46277</v>
      </c>
      <c r="C4864">
        <v>2026</v>
      </c>
      <c r="D4864">
        <v>9</v>
      </c>
      <c r="E4864" t="s">
        <v>4552</v>
      </c>
      <c r="F4864" t="s">
        <v>4047</v>
      </c>
      <c r="G4864" t="s">
        <v>2141</v>
      </c>
      <c r="H4864" t="s">
        <v>2142</v>
      </c>
      <c r="I4864" t="s">
        <v>85</v>
      </c>
      <c r="J4864">
        <v>40</v>
      </c>
      <c r="K4864" t="s">
        <v>82</v>
      </c>
      <c r="L4864" t="s">
        <v>2646</v>
      </c>
      <c r="M4864" t="s">
        <v>63</v>
      </c>
      <c r="N4864" t="s">
        <v>2665</v>
      </c>
      <c r="O4864" t="s">
        <v>128</v>
      </c>
      <c r="P4864" t="s">
        <v>53</v>
      </c>
      <c r="Q4864" t="s">
        <v>143</v>
      </c>
      <c r="R4864">
        <v>2</v>
      </c>
      <c r="S4864">
        <v>1499</v>
      </c>
      <c r="T4864">
        <v>0.1</v>
      </c>
      <c r="U4864">
        <v>2698.2</v>
      </c>
      <c r="V4864">
        <v>1600</v>
      </c>
      <c r="W4864">
        <v>1098.2</v>
      </c>
      <c r="X4864" t="s">
        <v>74</v>
      </c>
      <c r="Y4864" t="s">
        <v>68</v>
      </c>
      <c r="Z4864" t="s">
        <v>163</v>
      </c>
      <c r="AA4864" t="s">
        <v>166</v>
      </c>
      <c r="AB4864">
        <v>4</v>
      </c>
      <c r="AC4864">
        <v>60</v>
      </c>
      <c r="AD4864">
        <v>233.74</v>
      </c>
      <c r="AE4864">
        <f t="shared" si="150"/>
        <v>804.46</v>
      </c>
      <c r="AF4864" t="str">
        <f t="shared" si="151"/>
        <v>2026-09</v>
      </c>
      <c r="AG4864">
        <f>SUBTOTAL(103,A4864)</f>
        <v>1</v>
      </c>
    </row>
    <row r="4865" spans="1:33" x14ac:dyDescent="0.3">
      <c r="A4865" t="s">
        <v>7488</v>
      </c>
      <c r="B4865" s="13">
        <v>46277</v>
      </c>
      <c r="C4865">
        <v>2026</v>
      </c>
      <c r="D4865">
        <v>9</v>
      </c>
      <c r="E4865" t="s">
        <v>4552</v>
      </c>
      <c r="F4865" t="s">
        <v>4047</v>
      </c>
      <c r="G4865" t="s">
        <v>2437</v>
      </c>
      <c r="H4865" t="s">
        <v>2438</v>
      </c>
      <c r="I4865" t="s">
        <v>86</v>
      </c>
      <c r="J4865">
        <v>49</v>
      </c>
      <c r="K4865" t="s">
        <v>83</v>
      </c>
      <c r="L4865" t="s">
        <v>2599</v>
      </c>
      <c r="M4865" t="s">
        <v>62</v>
      </c>
      <c r="N4865" t="s">
        <v>2590</v>
      </c>
      <c r="O4865" t="s">
        <v>127</v>
      </c>
      <c r="P4865" t="s">
        <v>51</v>
      </c>
      <c r="Q4865" t="s">
        <v>148</v>
      </c>
      <c r="R4865">
        <v>1</v>
      </c>
      <c r="S4865">
        <v>1599</v>
      </c>
      <c r="T4865">
        <v>0</v>
      </c>
      <c r="U4865">
        <v>1599</v>
      </c>
      <c r="V4865">
        <v>800</v>
      </c>
      <c r="W4865">
        <v>799</v>
      </c>
      <c r="X4865" t="s">
        <v>74</v>
      </c>
      <c r="Y4865" t="s">
        <v>68</v>
      </c>
      <c r="Z4865" t="s">
        <v>162</v>
      </c>
      <c r="AA4865" t="s">
        <v>171</v>
      </c>
      <c r="AB4865">
        <v>3.6</v>
      </c>
      <c r="AC4865">
        <v>60</v>
      </c>
      <c r="AD4865">
        <v>144.97999999999999</v>
      </c>
      <c r="AE4865">
        <f t="shared" si="150"/>
        <v>594.02</v>
      </c>
      <c r="AF4865" t="str">
        <f t="shared" si="151"/>
        <v>2026-09</v>
      </c>
      <c r="AG4865">
        <f>SUBTOTAL(103,A4865)</f>
        <v>1</v>
      </c>
    </row>
    <row r="4866" spans="1:33" x14ac:dyDescent="0.3">
      <c r="A4866" t="s">
        <v>7489</v>
      </c>
      <c r="B4866" s="13">
        <v>46277</v>
      </c>
      <c r="C4866">
        <v>2026</v>
      </c>
      <c r="D4866">
        <v>9</v>
      </c>
      <c r="E4866" t="s">
        <v>4552</v>
      </c>
      <c r="F4866" t="s">
        <v>4047</v>
      </c>
      <c r="G4866" t="s">
        <v>303</v>
      </c>
      <c r="H4866" t="s">
        <v>304</v>
      </c>
      <c r="I4866" t="s">
        <v>85</v>
      </c>
      <c r="J4866">
        <v>29</v>
      </c>
      <c r="K4866" t="s">
        <v>81</v>
      </c>
      <c r="L4866" t="s">
        <v>90</v>
      </c>
      <c r="M4866" t="s">
        <v>55</v>
      </c>
      <c r="N4866" t="s">
        <v>2606</v>
      </c>
      <c r="O4866" t="s">
        <v>120</v>
      </c>
      <c r="P4866" t="s">
        <v>49</v>
      </c>
      <c r="Q4866" t="s">
        <v>140</v>
      </c>
      <c r="R4866">
        <v>1</v>
      </c>
      <c r="S4866">
        <v>2799</v>
      </c>
      <c r="T4866">
        <v>0.1</v>
      </c>
      <c r="U4866">
        <v>0</v>
      </c>
      <c r="V4866">
        <v>0</v>
      </c>
      <c r="W4866">
        <v>0</v>
      </c>
      <c r="X4866" t="s">
        <v>73</v>
      </c>
      <c r="Y4866" t="s">
        <v>71</v>
      </c>
      <c r="Z4866" t="s">
        <v>159</v>
      </c>
      <c r="AA4866" t="s">
        <v>167</v>
      </c>
      <c r="AB4866">
        <v>3.8</v>
      </c>
      <c r="AC4866">
        <v>80</v>
      </c>
      <c r="AD4866">
        <v>183.45</v>
      </c>
      <c r="AE4866">
        <f t="shared" ref="AE4866:AE4929" si="152">W4866-AC4866-AD4866</f>
        <v>-263.45</v>
      </c>
      <c r="AF4866" t="str">
        <f t="shared" ref="AF4866:AF4929" si="153">C4866&amp;"-"&amp;TEXT(D4866,"00")</f>
        <v>2026-09</v>
      </c>
      <c r="AG4866">
        <f>SUBTOTAL(103,A4866)</f>
        <v>1</v>
      </c>
    </row>
    <row r="4867" spans="1:33" x14ac:dyDescent="0.3">
      <c r="A4867" t="s">
        <v>7490</v>
      </c>
      <c r="B4867" s="13">
        <v>46277</v>
      </c>
      <c r="C4867">
        <v>2026</v>
      </c>
      <c r="D4867">
        <v>9</v>
      </c>
      <c r="E4867" t="s">
        <v>4552</v>
      </c>
      <c r="F4867" t="s">
        <v>4047</v>
      </c>
      <c r="G4867" t="s">
        <v>1479</v>
      </c>
      <c r="H4867" t="s">
        <v>1480</v>
      </c>
      <c r="I4867" t="s">
        <v>86</v>
      </c>
      <c r="J4867">
        <v>54</v>
      </c>
      <c r="K4867" t="s">
        <v>83</v>
      </c>
      <c r="L4867" t="s">
        <v>93</v>
      </c>
      <c r="M4867" t="s">
        <v>55</v>
      </c>
      <c r="N4867" t="s">
        <v>2647</v>
      </c>
      <c r="O4867" t="s">
        <v>133</v>
      </c>
      <c r="P4867" t="s">
        <v>50</v>
      </c>
      <c r="Q4867" t="s">
        <v>145</v>
      </c>
      <c r="R4867">
        <v>2</v>
      </c>
      <c r="S4867">
        <v>799</v>
      </c>
      <c r="T4867">
        <v>0.1</v>
      </c>
      <c r="U4867">
        <v>1438.2</v>
      </c>
      <c r="V4867">
        <v>780</v>
      </c>
      <c r="W4867">
        <v>658.2</v>
      </c>
      <c r="X4867" t="s">
        <v>75</v>
      </c>
      <c r="Y4867" t="s">
        <v>68</v>
      </c>
      <c r="Z4867" t="s">
        <v>160</v>
      </c>
      <c r="AA4867" t="s">
        <v>166</v>
      </c>
      <c r="AB4867">
        <v>4</v>
      </c>
      <c r="AC4867">
        <v>40</v>
      </c>
      <c r="AD4867">
        <v>79.790000000000006</v>
      </c>
      <c r="AE4867">
        <f t="shared" si="152"/>
        <v>538.41000000000008</v>
      </c>
      <c r="AF4867" t="str">
        <f t="shared" si="153"/>
        <v>2026-09</v>
      </c>
      <c r="AG4867">
        <f>SUBTOTAL(103,A4867)</f>
        <v>1</v>
      </c>
    </row>
    <row r="4868" spans="1:33" x14ac:dyDescent="0.3">
      <c r="A4868" t="s">
        <v>7491</v>
      </c>
      <c r="B4868" s="13">
        <v>46277</v>
      </c>
      <c r="C4868">
        <v>2026</v>
      </c>
      <c r="D4868">
        <v>9</v>
      </c>
      <c r="E4868" t="s">
        <v>4552</v>
      </c>
      <c r="F4868" t="s">
        <v>4047</v>
      </c>
      <c r="G4868" t="s">
        <v>2103</v>
      </c>
      <c r="H4868" t="s">
        <v>2104</v>
      </c>
      <c r="I4868" t="s">
        <v>85</v>
      </c>
      <c r="J4868">
        <v>20</v>
      </c>
      <c r="K4868" t="s">
        <v>80</v>
      </c>
      <c r="L4868" t="s">
        <v>2623</v>
      </c>
      <c r="M4868" t="s">
        <v>61</v>
      </c>
      <c r="N4868" t="s">
        <v>2580</v>
      </c>
      <c r="O4868" t="s">
        <v>118</v>
      </c>
      <c r="P4868" t="s">
        <v>48</v>
      </c>
      <c r="Q4868" t="s">
        <v>142</v>
      </c>
      <c r="R4868">
        <v>2</v>
      </c>
      <c r="S4868">
        <v>3999</v>
      </c>
      <c r="T4868">
        <v>0.15</v>
      </c>
      <c r="U4868">
        <v>6798.3</v>
      </c>
      <c r="V4868">
        <v>4800</v>
      </c>
      <c r="W4868">
        <v>1998.3</v>
      </c>
      <c r="X4868" t="s">
        <v>74</v>
      </c>
      <c r="Y4868" t="s">
        <v>68</v>
      </c>
      <c r="Z4868" t="s">
        <v>163</v>
      </c>
      <c r="AA4868" t="s">
        <v>168</v>
      </c>
      <c r="AB4868">
        <v>4.7</v>
      </c>
      <c r="AC4868">
        <v>60</v>
      </c>
      <c r="AD4868">
        <v>179.95</v>
      </c>
      <c r="AE4868">
        <f t="shared" si="152"/>
        <v>1758.35</v>
      </c>
      <c r="AF4868" t="str">
        <f t="shared" si="153"/>
        <v>2026-09</v>
      </c>
      <c r="AG4868">
        <f>SUBTOTAL(103,A4868)</f>
        <v>1</v>
      </c>
    </row>
    <row r="4869" spans="1:33" x14ac:dyDescent="0.3">
      <c r="A4869" t="s">
        <v>7492</v>
      </c>
      <c r="B4869" s="13">
        <v>46278</v>
      </c>
      <c r="C4869">
        <v>2026</v>
      </c>
      <c r="D4869">
        <v>9</v>
      </c>
      <c r="E4869" t="s">
        <v>4552</v>
      </c>
      <c r="F4869" t="s">
        <v>4047</v>
      </c>
      <c r="G4869" t="s">
        <v>635</v>
      </c>
      <c r="H4869" t="s">
        <v>636</v>
      </c>
      <c r="I4869" t="s">
        <v>86</v>
      </c>
      <c r="J4869">
        <v>21</v>
      </c>
      <c r="K4869" t="s">
        <v>80</v>
      </c>
      <c r="L4869" t="s">
        <v>90</v>
      </c>
      <c r="M4869" t="s">
        <v>55</v>
      </c>
      <c r="N4869" t="s">
        <v>2580</v>
      </c>
      <c r="O4869" t="s">
        <v>118</v>
      </c>
      <c r="P4869" t="s">
        <v>48</v>
      </c>
      <c r="Q4869" t="s">
        <v>142</v>
      </c>
      <c r="R4869">
        <v>2</v>
      </c>
      <c r="S4869">
        <v>3999</v>
      </c>
      <c r="T4869">
        <v>0.05</v>
      </c>
      <c r="U4869">
        <v>7598.1</v>
      </c>
      <c r="V4869">
        <v>4800</v>
      </c>
      <c r="W4869">
        <v>2798.1</v>
      </c>
      <c r="X4869" t="s">
        <v>75</v>
      </c>
      <c r="Y4869" t="s">
        <v>68</v>
      </c>
      <c r="Z4869" t="s">
        <v>163</v>
      </c>
      <c r="AA4869" t="s">
        <v>168</v>
      </c>
      <c r="AB4869">
        <v>4.8</v>
      </c>
      <c r="AC4869">
        <v>60</v>
      </c>
      <c r="AD4869">
        <v>310.97000000000003</v>
      </c>
      <c r="AE4869">
        <f t="shared" si="152"/>
        <v>2427.13</v>
      </c>
      <c r="AF4869" t="str">
        <f t="shared" si="153"/>
        <v>2026-09</v>
      </c>
      <c r="AG4869">
        <f>SUBTOTAL(103,A4869)</f>
        <v>1</v>
      </c>
    </row>
    <row r="4870" spans="1:33" x14ac:dyDescent="0.3">
      <c r="A4870" t="s">
        <v>7493</v>
      </c>
      <c r="B4870" s="13">
        <v>46278</v>
      </c>
      <c r="C4870">
        <v>2026</v>
      </c>
      <c r="D4870">
        <v>9</v>
      </c>
      <c r="E4870" t="s">
        <v>4552</v>
      </c>
      <c r="F4870" t="s">
        <v>4047</v>
      </c>
      <c r="G4870" t="s">
        <v>1961</v>
      </c>
      <c r="H4870" t="s">
        <v>1962</v>
      </c>
      <c r="I4870" t="s">
        <v>85</v>
      </c>
      <c r="J4870">
        <v>20</v>
      </c>
      <c r="K4870" t="s">
        <v>80</v>
      </c>
      <c r="L4870" t="s">
        <v>2579</v>
      </c>
      <c r="M4870" t="s">
        <v>56</v>
      </c>
      <c r="N4870" t="s">
        <v>2580</v>
      </c>
      <c r="O4870" t="s">
        <v>118</v>
      </c>
      <c r="P4870" t="s">
        <v>48</v>
      </c>
      <c r="Q4870" t="s">
        <v>142</v>
      </c>
      <c r="R4870">
        <v>2</v>
      </c>
      <c r="S4870">
        <v>3999</v>
      </c>
      <c r="T4870">
        <v>0.15</v>
      </c>
      <c r="U4870">
        <v>6798.3</v>
      </c>
      <c r="V4870">
        <v>4800</v>
      </c>
      <c r="W4870">
        <v>1998.3</v>
      </c>
      <c r="X4870" t="s">
        <v>76</v>
      </c>
      <c r="Y4870" t="s">
        <v>68</v>
      </c>
      <c r="Z4870" t="s">
        <v>159</v>
      </c>
      <c r="AA4870" t="s">
        <v>166</v>
      </c>
      <c r="AB4870">
        <v>2.2000000000000002</v>
      </c>
      <c r="AC4870">
        <v>100</v>
      </c>
      <c r="AD4870">
        <v>322.60000000000002</v>
      </c>
      <c r="AE4870">
        <f t="shared" si="152"/>
        <v>1575.6999999999998</v>
      </c>
      <c r="AF4870" t="str">
        <f t="shared" si="153"/>
        <v>2026-09</v>
      </c>
      <c r="AG4870">
        <f>SUBTOTAL(103,A4870)</f>
        <v>1</v>
      </c>
    </row>
    <row r="4871" spans="1:33" x14ac:dyDescent="0.3">
      <c r="A4871" t="s">
        <v>7494</v>
      </c>
      <c r="B4871" s="13">
        <v>46278</v>
      </c>
      <c r="C4871">
        <v>2026</v>
      </c>
      <c r="D4871">
        <v>9</v>
      </c>
      <c r="E4871" t="s">
        <v>4552</v>
      </c>
      <c r="F4871" t="s">
        <v>4047</v>
      </c>
      <c r="G4871" t="s">
        <v>1721</v>
      </c>
      <c r="H4871" t="s">
        <v>1722</v>
      </c>
      <c r="I4871" t="s">
        <v>86</v>
      </c>
      <c r="J4871">
        <v>30</v>
      </c>
      <c r="K4871" t="s">
        <v>81</v>
      </c>
      <c r="L4871" t="s">
        <v>90</v>
      </c>
      <c r="M4871" t="s">
        <v>55</v>
      </c>
      <c r="N4871" t="s">
        <v>2603</v>
      </c>
      <c r="O4871" t="s">
        <v>122</v>
      </c>
      <c r="P4871" t="s">
        <v>48</v>
      </c>
      <c r="Q4871" t="s">
        <v>141</v>
      </c>
      <c r="R4871">
        <v>2</v>
      </c>
      <c r="S4871">
        <v>2499</v>
      </c>
      <c r="T4871">
        <v>0</v>
      </c>
      <c r="U4871">
        <v>4998</v>
      </c>
      <c r="V4871">
        <v>2900</v>
      </c>
      <c r="W4871">
        <v>2098</v>
      </c>
      <c r="X4871" t="s">
        <v>76</v>
      </c>
      <c r="Y4871" t="s">
        <v>68</v>
      </c>
      <c r="Z4871" t="s">
        <v>158</v>
      </c>
      <c r="AA4871" t="s">
        <v>166</v>
      </c>
      <c r="AB4871">
        <v>5</v>
      </c>
      <c r="AC4871">
        <v>120</v>
      </c>
      <c r="AD4871">
        <v>156.69</v>
      </c>
      <c r="AE4871">
        <f t="shared" si="152"/>
        <v>1821.31</v>
      </c>
      <c r="AF4871" t="str">
        <f t="shared" si="153"/>
        <v>2026-09</v>
      </c>
      <c r="AG4871">
        <f>SUBTOTAL(103,A4871)</f>
        <v>1</v>
      </c>
    </row>
    <row r="4872" spans="1:33" x14ac:dyDescent="0.3">
      <c r="A4872" t="s">
        <v>7495</v>
      </c>
      <c r="B4872" s="13">
        <v>46278</v>
      </c>
      <c r="C4872">
        <v>2026</v>
      </c>
      <c r="D4872">
        <v>9</v>
      </c>
      <c r="E4872" t="s">
        <v>4552</v>
      </c>
      <c r="F4872" t="s">
        <v>4047</v>
      </c>
      <c r="G4872" t="s">
        <v>185</v>
      </c>
      <c r="H4872" t="s">
        <v>186</v>
      </c>
      <c r="I4872" t="s">
        <v>86</v>
      </c>
      <c r="J4872">
        <v>19</v>
      </c>
      <c r="K4872" t="s">
        <v>80</v>
      </c>
      <c r="L4872" t="s">
        <v>96</v>
      </c>
      <c r="M4872" t="s">
        <v>55</v>
      </c>
      <c r="N4872" t="s">
        <v>2587</v>
      </c>
      <c r="O4872" t="s">
        <v>116</v>
      </c>
      <c r="P4872" t="s">
        <v>48</v>
      </c>
      <c r="Q4872" t="s">
        <v>138</v>
      </c>
      <c r="R4872">
        <v>5</v>
      </c>
      <c r="S4872">
        <v>14999</v>
      </c>
      <c r="T4872">
        <v>0</v>
      </c>
      <c r="U4872">
        <v>74995</v>
      </c>
      <c r="V4872">
        <v>56000</v>
      </c>
      <c r="W4872">
        <v>18995</v>
      </c>
      <c r="X4872" t="s">
        <v>73</v>
      </c>
      <c r="Y4872" t="s">
        <v>68</v>
      </c>
      <c r="Z4872" t="s">
        <v>159</v>
      </c>
      <c r="AA4872" t="s">
        <v>166</v>
      </c>
      <c r="AB4872">
        <v>3.4</v>
      </c>
      <c r="AC4872">
        <v>60</v>
      </c>
      <c r="AD4872">
        <v>4812.99</v>
      </c>
      <c r="AE4872">
        <f t="shared" si="152"/>
        <v>14122.01</v>
      </c>
      <c r="AF4872" t="str">
        <f t="shared" si="153"/>
        <v>2026-09</v>
      </c>
      <c r="AG4872">
        <f>SUBTOTAL(103,A4872)</f>
        <v>1</v>
      </c>
    </row>
    <row r="4873" spans="1:33" x14ac:dyDescent="0.3">
      <c r="A4873" t="s">
        <v>7496</v>
      </c>
      <c r="B4873" s="13">
        <v>46278</v>
      </c>
      <c r="C4873">
        <v>2026</v>
      </c>
      <c r="D4873">
        <v>9</v>
      </c>
      <c r="E4873" t="s">
        <v>4552</v>
      </c>
      <c r="F4873" t="s">
        <v>4047</v>
      </c>
      <c r="G4873" t="s">
        <v>1305</v>
      </c>
      <c r="H4873" t="s">
        <v>1306</v>
      </c>
      <c r="I4873" t="s">
        <v>86</v>
      </c>
      <c r="J4873">
        <v>57</v>
      </c>
      <c r="K4873" t="s">
        <v>83</v>
      </c>
      <c r="L4873" t="s">
        <v>2599</v>
      </c>
      <c r="M4873" t="s">
        <v>62</v>
      </c>
      <c r="N4873" t="s">
        <v>2603</v>
      </c>
      <c r="O4873" t="s">
        <v>122</v>
      </c>
      <c r="P4873" t="s">
        <v>48</v>
      </c>
      <c r="Q4873" t="s">
        <v>141</v>
      </c>
      <c r="R4873">
        <v>2</v>
      </c>
      <c r="S4873">
        <v>2499</v>
      </c>
      <c r="T4873">
        <v>0.05</v>
      </c>
      <c r="U4873">
        <v>4748.1000000000004</v>
      </c>
      <c r="V4873">
        <v>2900</v>
      </c>
      <c r="W4873">
        <v>1848.1</v>
      </c>
      <c r="X4873" t="s">
        <v>73</v>
      </c>
      <c r="Y4873" t="s">
        <v>68</v>
      </c>
      <c r="Z4873" t="s">
        <v>160</v>
      </c>
      <c r="AA4873" t="s">
        <v>167</v>
      </c>
      <c r="AB4873">
        <v>3.5</v>
      </c>
      <c r="AC4873">
        <v>100</v>
      </c>
      <c r="AD4873">
        <v>282.64999999999998</v>
      </c>
      <c r="AE4873">
        <f t="shared" si="152"/>
        <v>1465.4499999999998</v>
      </c>
      <c r="AF4873" t="str">
        <f t="shared" si="153"/>
        <v>2026-09</v>
      </c>
      <c r="AG4873">
        <f>SUBTOTAL(103,A4873)</f>
        <v>1</v>
      </c>
    </row>
    <row r="4874" spans="1:33" x14ac:dyDescent="0.3">
      <c r="A4874" t="s">
        <v>7497</v>
      </c>
      <c r="B4874" s="13">
        <v>46278</v>
      </c>
      <c r="C4874">
        <v>2026</v>
      </c>
      <c r="D4874">
        <v>9</v>
      </c>
      <c r="E4874" t="s">
        <v>4552</v>
      </c>
      <c r="F4874" t="s">
        <v>4047</v>
      </c>
      <c r="G4874" t="s">
        <v>279</v>
      </c>
      <c r="H4874" t="s">
        <v>280</v>
      </c>
      <c r="I4874" t="s">
        <v>85</v>
      </c>
      <c r="J4874">
        <v>40</v>
      </c>
      <c r="K4874" t="s">
        <v>82</v>
      </c>
      <c r="L4874" t="s">
        <v>2674</v>
      </c>
      <c r="M4874" t="s">
        <v>58</v>
      </c>
      <c r="N4874" t="s">
        <v>2596</v>
      </c>
      <c r="O4874" t="s">
        <v>124</v>
      </c>
      <c r="P4874" t="s">
        <v>51</v>
      </c>
      <c r="Q4874" t="s">
        <v>147</v>
      </c>
      <c r="R4874">
        <v>3</v>
      </c>
      <c r="S4874">
        <v>2299</v>
      </c>
      <c r="T4874">
        <v>0.15</v>
      </c>
      <c r="U4874">
        <v>0</v>
      </c>
      <c r="V4874">
        <v>0</v>
      </c>
      <c r="W4874">
        <v>0</v>
      </c>
      <c r="X4874" t="s">
        <v>73</v>
      </c>
      <c r="Y4874" t="s">
        <v>71</v>
      </c>
      <c r="Z4874" t="s">
        <v>159</v>
      </c>
      <c r="AA4874" t="s">
        <v>166</v>
      </c>
      <c r="AB4874">
        <v>3</v>
      </c>
      <c r="AC4874">
        <v>100</v>
      </c>
      <c r="AD4874">
        <v>188.4</v>
      </c>
      <c r="AE4874">
        <f t="shared" si="152"/>
        <v>-288.39999999999998</v>
      </c>
      <c r="AF4874" t="str">
        <f t="shared" si="153"/>
        <v>2026-09</v>
      </c>
      <c r="AG4874">
        <f>SUBTOTAL(103,A4874)</f>
        <v>1</v>
      </c>
    </row>
    <row r="4875" spans="1:33" x14ac:dyDescent="0.3">
      <c r="A4875" t="s">
        <v>7498</v>
      </c>
      <c r="B4875" s="13">
        <v>46278</v>
      </c>
      <c r="C4875">
        <v>2026</v>
      </c>
      <c r="D4875">
        <v>9</v>
      </c>
      <c r="E4875" t="s">
        <v>4552</v>
      </c>
      <c r="F4875" t="s">
        <v>4047</v>
      </c>
      <c r="G4875" t="s">
        <v>617</v>
      </c>
      <c r="H4875" t="s">
        <v>618</v>
      </c>
      <c r="I4875" t="s">
        <v>85</v>
      </c>
      <c r="J4875">
        <v>45</v>
      </c>
      <c r="K4875" t="s">
        <v>82</v>
      </c>
      <c r="L4875" t="s">
        <v>90</v>
      </c>
      <c r="M4875" t="s">
        <v>55</v>
      </c>
      <c r="N4875" t="s">
        <v>2577</v>
      </c>
      <c r="O4875" t="s">
        <v>129</v>
      </c>
      <c r="P4875" t="s">
        <v>49</v>
      </c>
      <c r="Q4875" t="s">
        <v>149</v>
      </c>
      <c r="R4875">
        <v>1</v>
      </c>
      <c r="S4875">
        <v>1299</v>
      </c>
      <c r="T4875">
        <v>0.15</v>
      </c>
      <c r="U4875">
        <v>1104.1500000000001</v>
      </c>
      <c r="V4875">
        <v>650</v>
      </c>
      <c r="W4875">
        <v>454.15</v>
      </c>
      <c r="X4875" t="s">
        <v>73</v>
      </c>
      <c r="Y4875" t="s">
        <v>68</v>
      </c>
      <c r="Z4875" t="s">
        <v>158</v>
      </c>
      <c r="AA4875" t="s">
        <v>171</v>
      </c>
      <c r="AB4875">
        <v>4.5</v>
      </c>
      <c r="AC4875">
        <v>80</v>
      </c>
      <c r="AD4875">
        <v>102.83</v>
      </c>
      <c r="AE4875">
        <f t="shared" si="152"/>
        <v>271.32</v>
      </c>
      <c r="AF4875" t="str">
        <f t="shared" si="153"/>
        <v>2026-09</v>
      </c>
      <c r="AG4875">
        <f>SUBTOTAL(103,A4875)</f>
        <v>1</v>
      </c>
    </row>
    <row r="4876" spans="1:33" x14ac:dyDescent="0.3">
      <c r="A4876" t="s">
        <v>7499</v>
      </c>
      <c r="B4876" s="13">
        <v>46278</v>
      </c>
      <c r="C4876">
        <v>2026</v>
      </c>
      <c r="D4876">
        <v>9</v>
      </c>
      <c r="E4876" t="s">
        <v>4552</v>
      </c>
      <c r="F4876" t="s">
        <v>4047</v>
      </c>
      <c r="G4876" t="s">
        <v>569</v>
      </c>
      <c r="H4876" t="s">
        <v>570</v>
      </c>
      <c r="I4876" t="s">
        <v>85</v>
      </c>
      <c r="J4876">
        <v>29</v>
      </c>
      <c r="K4876" t="s">
        <v>81</v>
      </c>
      <c r="L4876" t="s">
        <v>2616</v>
      </c>
      <c r="M4876" t="s">
        <v>62</v>
      </c>
      <c r="N4876" t="s">
        <v>2596</v>
      </c>
      <c r="O4876" t="s">
        <v>124</v>
      </c>
      <c r="P4876" t="s">
        <v>51</v>
      </c>
      <c r="Q4876" t="s">
        <v>147</v>
      </c>
      <c r="R4876">
        <v>2</v>
      </c>
      <c r="S4876">
        <v>2299</v>
      </c>
      <c r="T4876">
        <v>0</v>
      </c>
      <c r="U4876">
        <v>4598</v>
      </c>
      <c r="V4876">
        <v>2400</v>
      </c>
      <c r="W4876">
        <v>2198</v>
      </c>
      <c r="X4876" t="s">
        <v>75</v>
      </c>
      <c r="Y4876" t="s">
        <v>68</v>
      </c>
      <c r="Z4876" t="s">
        <v>158</v>
      </c>
      <c r="AA4876" t="s">
        <v>166</v>
      </c>
      <c r="AB4876">
        <v>4.2</v>
      </c>
      <c r="AC4876">
        <v>60</v>
      </c>
      <c r="AD4876">
        <v>227.37</v>
      </c>
      <c r="AE4876">
        <f t="shared" si="152"/>
        <v>1910.63</v>
      </c>
      <c r="AF4876" t="str">
        <f t="shared" si="153"/>
        <v>2026-09</v>
      </c>
      <c r="AG4876">
        <f>SUBTOTAL(103,A4876)</f>
        <v>1</v>
      </c>
    </row>
    <row r="4877" spans="1:33" x14ac:dyDescent="0.3">
      <c r="A4877" t="s">
        <v>7500</v>
      </c>
      <c r="B4877" s="13">
        <v>46278</v>
      </c>
      <c r="C4877">
        <v>2026</v>
      </c>
      <c r="D4877">
        <v>9</v>
      </c>
      <c r="E4877" t="s">
        <v>4552</v>
      </c>
      <c r="F4877" t="s">
        <v>4047</v>
      </c>
      <c r="G4877" t="s">
        <v>1137</v>
      </c>
      <c r="H4877" t="s">
        <v>1138</v>
      </c>
      <c r="I4877" t="s">
        <v>86</v>
      </c>
      <c r="J4877">
        <v>44</v>
      </c>
      <c r="K4877" t="s">
        <v>82</v>
      </c>
      <c r="L4877" t="s">
        <v>100</v>
      </c>
      <c r="M4877" t="s">
        <v>56</v>
      </c>
      <c r="N4877" t="s">
        <v>2574</v>
      </c>
      <c r="O4877" t="s">
        <v>130</v>
      </c>
      <c r="P4877" t="s">
        <v>50</v>
      </c>
      <c r="Q4877" t="s">
        <v>53</v>
      </c>
      <c r="R4877">
        <v>2</v>
      </c>
      <c r="S4877">
        <v>1199</v>
      </c>
      <c r="T4877">
        <v>0</v>
      </c>
      <c r="U4877">
        <v>2398</v>
      </c>
      <c r="V4877">
        <v>1100</v>
      </c>
      <c r="W4877">
        <v>1298</v>
      </c>
      <c r="X4877" t="s">
        <v>73</v>
      </c>
      <c r="Y4877" t="s">
        <v>68</v>
      </c>
      <c r="Z4877" t="s">
        <v>160</v>
      </c>
      <c r="AA4877" t="s">
        <v>171</v>
      </c>
      <c r="AB4877">
        <v>5</v>
      </c>
      <c r="AC4877">
        <v>60</v>
      </c>
      <c r="AD4877">
        <v>79.819999999999993</v>
      </c>
      <c r="AE4877">
        <f t="shared" si="152"/>
        <v>1158.18</v>
      </c>
      <c r="AF4877" t="str">
        <f t="shared" si="153"/>
        <v>2026-09</v>
      </c>
      <c r="AG4877">
        <f>SUBTOTAL(103,A4877)</f>
        <v>1</v>
      </c>
    </row>
    <row r="4878" spans="1:33" x14ac:dyDescent="0.3">
      <c r="A4878" t="s">
        <v>7501</v>
      </c>
      <c r="B4878" s="13">
        <v>46278</v>
      </c>
      <c r="C4878">
        <v>2026</v>
      </c>
      <c r="D4878">
        <v>9</v>
      </c>
      <c r="E4878" t="s">
        <v>4552</v>
      </c>
      <c r="F4878" t="s">
        <v>4047</v>
      </c>
      <c r="G4878" t="s">
        <v>1337</v>
      </c>
      <c r="H4878" t="s">
        <v>1338</v>
      </c>
      <c r="I4878" t="s">
        <v>86</v>
      </c>
      <c r="J4878">
        <v>44</v>
      </c>
      <c r="K4878" t="s">
        <v>82</v>
      </c>
      <c r="L4878" t="s">
        <v>91</v>
      </c>
      <c r="M4878" t="s">
        <v>55</v>
      </c>
      <c r="N4878" t="s">
        <v>2594</v>
      </c>
      <c r="O4878" t="s">
        <v>131</v>
      </c>
      <c r="P4878" t="s">
        <v>53</v>
      </c>
      <c r="Q4878" t="s">
        <v>143</v>
      </c>
      <c r="R4878">
        <v>2</v>
      </c>
      <c r="S4878">
        <v>999</v>
      </c>
      <c r="T4878">
        <v>0</v>
      </c>
      <c r="U4878">
        <v>1998</v>
      </c>
      <c r="V4878">
        <v>1040</v>
      </c>
      <c r="W4878">
        <v>958</v>
      </c>
      <c r="X4878" t="s">
        <v>73</v>
      </c>
      <c r="Y4878" t="s">
        <v>68</v>
      </c>
      <c r="Z4878" t="s">
        <v>161</v>
      </c>
      <c r="AA4878" t="s">
        <v>170</v>
      </c>
      <c r="AB4878">
        <v>3.9</v>
      </c>
      <c r="AC4878">
        <v>50</v>
      </c>
      <c r="AD4878">
        <v>91.07</v>
      </c>
      <c r="AE4878">
        <f t="shared" si="152"/>
        <v>816.93000000000006</v>
      </c>
      <c r="AF4878" t="str">
        <f t="shared" si="153"/>
        <v>2026-09</v>
      </c>
      <c r="AG4878">
        <f>SUBTOTAL(103,A4878)</f>
        <v>1</v>
      </c>
    </row>
    <row r="4879" spans="1:33" x14ac:dyDescent="0.3">
      <c r="A4879" t="s">
        <v>7502</v>
      </c>
      <c r="B4879" s="13">
        <v>46278</v>
      </c>
      <c r="C4879">
        <v>2026</v>
      </c>
      <c r="D4879">
        <v>9</v>
      </c>
      <c r="E4879" t="s">
        <v>4552</v>
      </c>
      <c r="F4879" t="s">
        <v>4047</v>
      </c>
      <c r="G4879" t="s">
        <v>1865</v>
      </c>
      <c r="H4879" t="s">
        <v>1866</v>
      </c>
      <c r="I4879" t="s">
        <v>87</v>
      </c>
      <c r="J4879">
        <v>48</v>
      </c>
      <c r="K4879" t="s">
        <v>83</v>
      </c>
      <c r="L4879" t="s">
        <v>2616</v>
      </c>
      <c r="M4879" t="s">
        <v>62</v>
      </c>
      <c r="N4879" t="s">
        <v>2606</v>
      </c>
      <c r="O4879" t="s">
        <v>120</v>
      </c>
      <c r="P4879" t="s">
        <v>49</v>
      </c>
      <c r="Q4879" t="s">
        <v>140</v>
      </c>
      <c r="R4879">
        <v>1</v>
      </c>
      <c r="S4879">
        <v>2799</v>
      </c>
      <c r="T4879">
        <v>0.05</v>
      </c>
      <c r="U4879">
        <v>2659.05</v>
      </c>
      <c r="V4879">
        <v>1650</v>
      </c>
      <c r="W4879">
        <v>1009.05</v>
      </c>
      <c r="X4879" t="s">
        <v>76</v>
      </c>
      <c r="Y4879" t="s">
        <v>68</v>
      </c>
      <c r="Z4879" t="s">
        <v>162</v>
      </c>
      <c r="AA4879" t="s">
        <v>170</v>
      </c>
      <c r="AB4879">
        <v>4.2</v>
      </c>
      <c r="AC4879">
        <v>80</v>
      </c>
      <c r="AD4879">
        <v>251.37</v>
      </c>
      <c r="AE4879">
        <f t="shared" si="152"/>
        <v>677.68</v>
      </c>
      <c r="AF4879" t="str">
        <f t="shared" si="153"/>
        <v>2026-09</v>
      </c>
      <c r="AG4879">
        <f>SUBTOTAL(103,A4879)</f>
        <v>1</v>
      </c>
    </row>
    <row r="4880" spans="1:33" x14ac:dyDescent="0.3">
      <c r="A4880" t="s">
        <v>7503</v>
      </c>
      <c r="B4880" s="13">
        <v>46279</v>
      </c>
      <c r="C4880">
        <v>2026</v>
      </c>
      <c r="D4880">
        <v>9</v>
      </c>
      <c r="E4880" t="s">
        <v>4552</v>
      </c>
      <c r="F4880" t="s">
        <v>4047</v>
      </c>
      <c r="G4880" t="s">
        <v>221</v>
      </c>
      <c r="H4880" t="s">
        <v>222</v>
      </c>
      <c r="I4880" t="s">
        <v>85</v>
      </c>
      <c r="J4880">
        <v>26</v>
      </c>
      <c r="K4880" t="s">
        <v>81</v>
      </c>
      <c r="L4880" t="s">
        <v>59</v>
      </c>
      <c r="M4880" t="s">
        <v>59</v>
      </c>
      <c r="N4880" t="s">
        <v>2644</v>
      </c>
      <c r="O4880" t="s">
        <v>126</v>
      </c>
      <c r="P4880" t="s">
        <v>50</v>
      </c>
      <c r="Q4880" t="s">
        <v>145</v>
      </c>
      <c r="R4880">
        <v>1</v>
      </c>
      <c r="S4880">
        <v>1799</v>
      </c>
      <c r="T4880">
        <v>0</v>
      </c>
      <c r="U4880">
        <v>1799</v>
      </c>
      <c r="V4880">
        <v>950</v>
      </c>
      <c r="W4880">
        <v>849</v>
      </c>
      <c r="X4880" t="s">
        <v>73</v>
      </c>
      <c r="Y4880" t="s">
        <v>68</v>
      </c>
      <c r="Z4880" t="s">
        <v>158</v>
      </c>
      <c r="AA4880" t="s">
        <v>170</v>
      </c>
      <c r="AB4880">
        <v>4.0999999999999996</v>
      </c>
      <c r="AC4880">
        <v>120</v>
      </c>
      <c r="AD4880">
        <v>72.739999999999995</v>
      </c>
      <c r="AE4880">
        <f t="shared" si="152"/>
        <v>656.26</v>
      </c>
      <c r="AF4880" t="str">
        <f t="shared" si="153"/>
        <v>2026-09</v>
      </c>
      <c r="AG4880">
        <f>SUBTOTAL(103,A4880)</f>
        <v>1</v>
      </c>
    </row>
    <row r="4881" spans="1:33" x14ac:dyDescent="0.3">
      <c r="A4881" t="s">
        <v>7504</v>
      </c>
      <c r="B4881" s="13">
        <v>46279</v>
      </c>
      <c r="C4881">
        <v>2026</v>
      </c>
      <c r="D4881">
        <v>9</v>
      </c>
      <c r="E4881" t="s">
        <v>4552</v>
      </c>
      <c r="F4881" t="s">
        <v>4047</v>
      </c>
      <c r="G4881" t="s">
        <v>919</v>
      </c>
      <c r="H4881" t="s">
        <v>920</v>
      </c>
      <c r="I4881" t="s">
        <v>86</v>
      </c>
      <c r="J4881">
        <v>54</v>
      </c>
      <c r="K4881" t="s">
        <v>83</v>
      </c>
      <c r="L4881" t="s">
        <v>2576</v>
      </c>
      <c r="M4881" t="s">
        <v>60</v>
      </c>
      <c r="N4881" t="s">
        <v>2665</v>
      </c>
      <c r="O4881" t="s">
        <v>128</v>
      </c>
      <c r="P4881" t="s">
        <v>53</v>
      </c>
      <c r="Q4881" t="s">
        <v>143</v>
      </c>
      <c r="R4881">
        <v>3</v>
      </c>
      <c r="S4881">
        <v>1499</v>
      </c>
      <c r="T4881">
        <v>0.05</v>
      </c>
      <c r="U4881">
        <v>4272.1499999999996</v>
      </c>
      <c r="V4881">
        <v>2400</v>
      </c>
      <c r="W4881">
        <v>1872.15</v>
      </c>
      <c r="X4881" t="s">
        <v>76</v>
      </c>
      <c r="Y4881" t="s">
        <v>68</v>
      </c>
      <c r="Z4881" t="s">
        <v>161</v>
      </c>
      <c r="AA4881" t="s">
        <v>168</v>
      </c>
      <c r="AB4881">
        <v>5</v>
      </c>
      <c r="AC4881">
        <v>50</v>
      </c>
      <c r="AD4881">
        <v>365.54</v>
      </c>
      <c r="AE4881">
        <f t="shared" si="152"/>
        <v>1456.6100000000001</v>
      </c>
      <c r="AF4881" t="str">
        <f t="shared" si="153"/>
        <v>2026-09</v>
      </c>
      <c r="AG4881">
        <f>SUBTOTAL(103,A4881)</f>
        <v>1</v>
      </c>
    </row>
    <row r="4882" spans="1:33" x14ac:dyDescent="0.3">
      <c r="A4882" t="s">
        <v>7505</v>
      </c>
      <c r="B4882" s="13">
        <v>46279</v>
      </c>
      <c r="C4882">
        <v>2026</v>
      </c>
      <c r="D4882">
        <v>9</v>
      </c>
      <c r="E4882" t="s">
        <v>4552</v>
      </c>
      <c r="F4882" t="s">
        <v>4047</v>
      </c>
      <c r="G4882" t="s">
        <v>265</v>
      </c>
      <c r="H4882" t="s">
        <v>266</v>
      </c>
      <c r="I4882" t="s">
        <v>85</v>
      </c>
      <c r="J4882">
        <v>35</v>
      </c>
      <c r="K4882" t="s">
        <v>81</v>
      </c>
      <c r="L4882" t="s">
        <v>93</v>
      </c>
      <c r="M4882" t="s">
        <v>55</v>
      </c>
      <c r="N4882" t="s">
        <v>2657</v>
      </c>
      <c r="O4882" t="s">
        <v>134</v>
      </c>
      <c r="P4882" t="s">
        <v>49</v>
      </c>
      <c r="Q4882" t="s">
        <v>140</v>
      </c>
      <c r="R4882">
        <v>3</v>
      </c>
      <c r="S4882">
        <v>599</v>
      </c>
      <c r="T4882">
        <v>0.05</v>
      </c>
      <c r="U4882">
        <v>1707.15</v>
      </c>
      <c r="V4882">
        <v>750</v>
      </c>
      <c r="W4882">
        <v>957.15</v>
      </c>
      <c r="X4882" t="s">
        <v>76</v>
      </c>
      <c r="Y4882" t="s">
        <v>68</v>
      </c>
      <c r="Z4882" t="s">
        <v>159</v>
      </c>
      <c r="AA4882" t="s">
        <v>166</v>
      </c>
      <c r="AB4882">
        <v>5</v>
      </c>
      <c r="AC4882">
        <v>60</v>
      </c>
      <c r="AD4882">
        <v>175.32</v>
      </c>
      <c r="AE4882">
        <f t="shared" si="152"/>
        <v>721.82999999999993</v>
      </c>
      <c r="AF4882" t="str">
        <f t="shared" si="153"/>
        <v>2026-09</v>
      </c>
      <c r="AG4882">
        <f>SUBTOTAL(103,A4882)</f>
        <v>1</v>
      </c>
    </row>
    <row r="4883" spans="1:33" x14ac:dyDescent="0.3">
      <c r="A4883" t="s">
        <v>7506</v>
      </c>
      <c r="B4883" s="13">
        <v>46279</v>
      </c>
      <c r="C4883">
        <v>2026</v>
      </c>
      <c r="D4883">
        <v>9</v>
      </c>
      <c r="E4883" t="s">
        <v>4552</v>
      </c>
      <c r="F4883" t="s">
        <v>4047</v>
      </c>
      <c r="G4883" t="s">
        <v>589</v>
      </c>
      <c r="H4883" t="s">
        <v>590</v>
      </c>
      <c r="I4883" t="s">
        <v>85</v>
      </c>
      <c r="J4883">
        <v>23</v>
      </c>
      <c r="K4883" t="s">
        <v>80</v>
      </c>
      <c r="L4883" t="s">
        <v>98</v>
      </c>
      <c r="M4883" t="s">
        <v>55</v>
      </c>
      <c r="N4883" t="s">
        <v>2653</v>
      </c>
      <c r="O4883" t="s">
        <v>132</v>
      </c>
      <c r="P4883" t="s">
        <v>52</v>
      </c>
      <c r="Q4883" t="s">
        <v>150</v>
      </c>
      <c r="R4883">
        <v>2</v>
      </c>
      <c r="S4883">
        <v>899</v>
      </c>
      <c r="T4883">
        <v>0.05</v>
      </c>
      <c r="U4883">
        <v>1708.1</v>
      </c>
      <c r="V4883">
        <v>840</v>
      </c>
      <c r="W4883">
        <v>868.1</v>
      </c>
      <c r="X4883" t="s">
        <v>74</v>
      </c>
      <c r="Y4883" t="s">
        <v>68</v>
      </c>
      <c r="Z4883" t="s">
        <v>159</v>
      </c>
      <c r="AA4883" t="s">
        <v>170</v>
      </c>
      <c r="AB4883">
        <v>4</v>
      </c>
      <c r="AC4883">
        <v>50</v>
      </c>
      <c r="AD4883">
        <v>115.63</v>
      </c>
      <c r="AE4883">
        <f t="shared" si="152"/>
        <v>702.47</v>
      </c>
      <c r="AF4883" t="str">
        <f t="shared" si="153"/>
        <v>2026-09</v>
      </c>
      <c r="AG4883">
        <f>SUBTOTAL(103,A4883)</f>
        <v>1</v>
      </c>
    </row>
    <row r="4884" spans="1:33" x14ac:dyDescent="0.3">
      <c r="A4884" t="s">
        <v>7507</v>
      </c>
      <c r="B4884" s="13">
        <v>46279</v>
      </c>
      <c r="C4884">
        <v>2026</v>
      </c>
      <c r="D4884">
        <v>9</v>
      </c>
      <c r="E4884" t="s">
        <v>4552</v>
      </c>
      <c r="F4884" t="s">
        <v>4047</v>
      </c>
      <c r="G4884" t="s">
        <v>2235</v>
      </c>
      <c r="H4884" t="s">
        <v>2236</v>
      </c>
      <c r="I4884" t="s">
        <v>86</v>
      </c>
      <c r="J4884">
        <v>29</v>
      </c>
      <c r="K4884" t="s">
        <v>81</v>
      </c>
      <c r="L4884" t="s">
        <v>2634</v>
      </c>
      <c r="M4884" t="s">
        <v>56</v>
      </c>
      <c r="N4884" t="s">
        <v>2606</v>
      </c>
      <c r="O4884" t="s">
        <v>120</v>
      </c>
      <c r="P4884" t="s">
        <v>49</v>
      </c>
      <c r="Q4884" t="s">
        <v>140</v>
      </c>
      <c r="R4884">
        <v>2</v>
      </c>
      <c r="S4884">
        <v>2799</v>
      </c>
      <c r="T4884">
        <v>0.2</v>
      </c>
      <c r="U4884">
        <v>4478.3999999999996</v>
      </c>
      <c r="V4884">
        <v>3300</v>
      </c>
      <c r="W4884">
        <v>1178.4000000000001</v>
      </c>
      <c r="X4884" t="s">
        <v>76</v>
      </c>
      <c r="Y4884" t="s">
        <v>68</v>
      </c>
      <c r="Z4884" t="s">
        <v>161</v>
      </c>
      <c r="AA4884" t="s">
        <v>167</v>
      </c>
      <c r="AB4884">
        <v>4.7</v>
      </c>
      <c r="AC4884">
        <v>80</v>
      </c>
      <c r="AD4884">
        <v>518.66</v>
      </c>
      <c r="AE4884">
        <f t="shared" si="152"/>
        <v>579.74000000000012</v>
      </c>
      <c r="AF4884" t="str">
        <f t="shared" si="153"/>
        <v>2026-09</v>
      </c>
      <c r="AG4884">
        <f>SUBTOTAL(103,A4884)</f>
        <v>1</v>
      </c>
    </row>
    <row r="4885" spans="1:33" x14ac:dyDescent="0.3">
      <c r="A4885" t="s">
        <v>7508</v>
      </c>
      <c r="B4885" s="13">
        <v>46279</v>
      </c>
      <c r="C4885">
        <v>2026</v>
      </c>
      <c r="D4885">
        <v>9</v>
      </c>
      <c r="E4885" t="s">
        <v>4552</v>
      </c>
      <c r="F4885" t="s">
        <v>4047</v>
      </c>
      <c r="G4885" t="s">
        <v>657</v>
      </c>
      <c r="H4885" t="s">
        <v>658</v>
      </c>
      <c r="I4885" t="s">
        <v>86</v>
      </c>
      <c r="J4885">
        <v>33</v>
      </c>
      <c r="K4885" t="s">
        <v>81</v>
      </c>
      <c r="L4885" t="s">
        <v>96</v>
      </c>
      <c r="M4885" t="s">
        <v>55</v>
      </c>
      <c r="N4885" t="s">
        <v>2594</v>
      </c>
      <c r="O4885" t="s">
        <v>131</v>
      </c>
      <c r="P4885" t="s">
        <v>53</v>
      </c>
      <c r="Q4885" t="s">
        <v>143</v>
      </c>
      <c r="R4885">
        <v>3</v>
      </c>
      <c r="S4885">
        <v>999</v>
      </c>
      <c r="T4885">
        <v>0.05</v>
      </c>
      <c r="U4885">
        <v>2847.15</v>
      </c>
      <c r="V4885">
        <v>1560</v>
      </c>
      <c r="W4885">
        <v>1287.1500000000001</v>
      </c>
      <c r="X4885" t="s">
        <v>75</v>
      </c>
      <c r="Y4885" t="s">
        <v>69</v>
      </c>
      <c r="Z4885" t="s">
        <v>160</v>
      </c>
      <c r="AA4885" t="s">
        <v>166</v>
      </c>
      <c r="AB4885">
        <v>4.0999999999999996</v>
      </c>
      <c r="AC4885">
        <v>60</v>
      </c>
      <c r="AD4885">
        <v>234.2</v>
      </c>
      <c r="AE4885">
        <f t="shared" si="152"/>
        <v>992.95</v>
      </c>
      <c r="AF4885" t="str">
        <f t="shared" si="153"/>
        <v>2026-09</v>
      </c>
      <c r="AG4885">
        <f>SUBTOTAL(103,A4885)</f>
        <v>1</v>
      </c>
    </row>
    <row r="4886" spans="1:33" x14ac:dyDescent="0.3">
      <c r="A4886" t="s">
        <v>7509</v>
      </c>
      <c r="B4886" s="13">
        <v>46279</v>
      </c>
      <c r="C4886">
        <v>2026</v>
      </c>
      <c r="D4886">
        <v>9</v>
      </c>
      <c r="E4886" t="s">
        <v>4552</v>
      </c>
      <c r="F4886" t="s">
        <v>4047</v>
      </c>
      <c r="G4886" t="s">
        <v>563</v>
      </c>
      <c r="H4886" t="s">
        <v>564</v>
      </c>
      <c r="I4886" t="s">
        <v>85</v>
      </c>
      <c r="J4886">
        <v>22</v>
      </c>
      <c r="K4886" t="s">
        <v>80</v>
      </c>
      <c r="L4886" t="s">
        <v>2576</v>
      </c>
      <c r="M4886" t="s">
        <v>60</v>
      </c>
      <c r="N4886" t="s">
        <v>2665</v>
      </c>
      <c r="O4886" t="s">
        <v>128</v>
      </c>
      <c r="P4886" t="s">
        <v>53</v>
      </c>
      <c r="Q4886" t="s">
        <v>143</v>
      </c>
      <c r="R4886">
        <v>2</v>
      </c>
      <c r="S4886">
        <v>1499</v>
      </c>
      <c r="T4886">
        <v>0.05</v>
      </c>
      <c r="U4886">
        <v>2848.1</v>
      </c>
      <c r="V4886">
        <v>1600</v>
      </c>
      <c r="W4886">
        <v>1248.0999999999999</v>
      </c>
      <c r="X4886" t="s">
        <v>75</v>
      </c>
      <c r="Y4886" t="s">
        <v>68</v>
      </c>
      <c r="Z4886" t="s">
        <v>159</v>
      </c>
      <c r="AA4886" t="s">
        <v>168</v>
      </c>
      <c r="AB4886">
        <v>4.0999999999999996</v>
      </c>
      <c r="AC4886">
        <v>40</v>
      </c>
      <c r="AD4886">
        <v>89.74</v>
      </c>
      <c r="AE4886">
        <f t="shared" si="152"/>
        <v>1118.3599999999999</v>
      </c>
      <c r="AF4886" t="str">
        <f t="shared" si="153"/>
        <v>2026-09</v>
      </c>
      <c r="AG4886">
        <f>SUBTOTAL(103,A4886)</f>
        <v>1</v>
      </c>
    </row>
    <row r="4887" spans="1:33" x14ac:dyDescent="0.3">
      <c r="A4887" t="s">
        <v>7510</v>
      </c>
      <c r="B4887" s="13">
        <v>46279</v>
      </c>
      <c r="C4887">
        <v>2026</v>
      </c>
      <c r="D4887">
        <v>9</v>
      </c>
      <c r="E4887" t="s">
        <v>4552</v>
      </c>
      <c r="F4887" t="s">
        <v>4047</v>
      </c>
      <c r="G4887" t="s">
        <v>1195</v>
      </c>
      <c r="H4887" t="s">
        <v>1196</v>
      </c>
      <c r="I4887" t="s">
        <v>85</v>
      </c>
      <c r="J4887">
        <v>36</v>
      </c>
      <c r="K4887" t="s">
        <v>82</v>
      </c>
      <c r="L4887" t="s">
        <v>2679</v>
      </c>
      <c r="M4887" t="s">
        <v>60</v>
      </c>
      <c r="N4887" t="s">
        <v>2657</v>
      </c>
      <c r="O4887" t="s">
        <v>134</v>
      </c>
      <c r="P4887" t="s">
        <v>49</v>
      </c>
      <c r="Q4887" t="s">
        <v>140</v>
      </c>
      <c r="R4887">
        <v>3</v>
      </c>
      <c r="S4887">
        <v>599</v>
      </c>
      <c r="T4887">
        <v>0.15</v>
      </c>
      <c r="U4887">
        <v>1527.45</v>
      </c>
      <c r="V4887">
        <v>750</v>
      </c>
      <c r="W4887">
        <v>777.45</v>
      </c>
      <c r="X4887" t="s">
        <v>73</v>
      </c>
      <c r="Y4887" t="s">
        <v>68</v>
      </c>
      <c r="Z4887" t="s">
        <v>158</v>
      </c>
      <c r="AA4887" t="s">
        <v>168</v>
      </c>
      <c r="AB4887">
        <v>5</v>
      </c>
      <c r="AC4887">
        <v>50</v>
      </c>
      <c r="AD4887">
        <v>165.9</v>
      </c>
      <c r="AE4887">
        <f t="shared" si="152"/>
        <v>561.55000000000007</v>
      </c>
      <c r="AF4887" t="str">
        <f t="shared" si="153"/>
        <v>2026-09</v>
      </c>
      <c r="AG4887">
        <f>SUBTOTAL(103,A4887)</f>
        <v>1</v>
      </c>
    </row>
    <row r="4888" spans="1:33" x14ac:dyDescent="0.3">
      <c r="A4888" t="s">
        <v>7511</v>
      </c>
      <c r="B4888" s="13">
        <v>46280</v>
      </c>
      <c r="C4888">
        <v>2026</v>
      </c>
      <c r="D4888">
        <v>9</v>
      </c>
      <c r="E4888" t="s">
        <v>4552</v>
      </c>
      <c r="F4888" t="s">
        <v>4047</v>
      </c>
      <c r="G4888" t="s">
        <v>475</v>
      </c>
      <c r="H4888" t="s">
        <v>476</v>
      </c>
      <c r="I4888" t="s">
        <v>86</v>
      </c>
      <c r="J4888">
        <v>26</v>
      </c>
      <c r="K4888" t="s">
        <v>81</v>
      </c>
      <c r="L4888" t="s">
        <v>100</v>
      </c>
      <c r="M4888" t="s">
        <v>56</v>
      </c>
      <c r="N4888" t="s">
        <v>2582</v>
      </c>
      <c r="O4888" t="s">
        <v>119</v>
      </c>
      <c r="P4888" t="s">
        <v>49</v>
      </c>
      <c r="Q4888" t="s">
        <v>140</v>
      </c>
      <c r="R4888">
        <v>2</v>
      </c>
      <c r="S4888">
        <v>3499</v>
      </c>
      <c r="T4888">
        <v>0.15</v>
      </c>
      <c r="U4888">
        <v>5948.3</v>
      </c>
      <c r="V4888">
        <v>4200</v>
      </c>
      <c r="W4888">
        <v>1748.3</v>
      </c>
      <c r="X4888" t="s">
        <v>73</v>
      </c>
      <c r="Y4888" t="s">
        <v>68</v>
      </c>
      <c r="Z4888" t="s">
        <v>159</v>
      </c>
      <c r="AA4888" t="s">
        <v>167</v>
      </c>
      <c r="AB4888">
        <v>4.7</v>
      </c>
      <c r="AC4888">
        <v>100</v>
      </c>
      <c r="AD4888">
        <v>197.01</v>
      </c>
      <c r="AE4888">
        <f t="shared" si="152"/>
        <v>1451.29</v>
      </c>
      <c r="AF4888" t="str">
        <f t="shared" si="153"/>
        <v>2026-09</v>
      </c>
      <c r="AG4888">
        <f>SUBTOTAL(103,A4888)</f>
        <v>1</v>
      </c>
    </row>
    <row r="4889" spans="1:33" x14ac:dyDescent="0.3">
      <c r="A4889" t="s">
        <v>7512</v>
      </c>
      <c r="B4889" s="13">
        <v>46280</v>
      </c>
      <c r="C4889">
        <v>2026</v>
      </c>
      <c r="D4889">
        <v>9</v>
      </c>
      <c r="E4889" t="s">
        <v>4552</v>
      </c>
      <c r="F4889" t="s">
        <v>4047</v>
      </c>
      <c r="G4889" t="s">
        <v>767</v>
      </c>
      <c r="H4889" t="s">
        <v>768</v>
      </c>
      <c r="I4889" t="s">
        <v>85</v>
      </c>
      <c r="J4889">
        <v>47</v>
      </c>
      <c r="K4889" t="s">
        <v>83</v>
      </c>
      <c r="L4889" t="s">
        <v>91</v>
      </c>
      <c r="M4889" t="s">
        <v>55</v>
      </c>
      <c r="N4889" t="s">
        <v>2587</v>
      </c>
      <c r="O4889" t="s">
        <v>116</v>
      </c>
      <c r="P4889" t="s">
        <v>48</v>
      </c>
      <c r="Q4889" t="s">
        <v>138</v>
      </c>
      <c r="R4889">
        <v>2</v>
      </c>
      <c r="S4889">
        <v>14999</v>
      </c>
      <c r="T4889">
        <v>0.1</v>
      </c>
      <c r="U4889">
        <v>26998.2</v>
      </c>
      <c r="V4889">
        <v>22400</v>
      </c>
      <c r="W4889">
        <v>4598.2</v>
      </c>
      <c r="X4889" t="s">
        <v>74</v>
      </c>
      <c r="Y4889" t="s">
        <v>68</v>
      </c>
      <c r="Z4889" t="s">
        <v>161</v>
      </c>
      <c r="AA4889" t="s">
        <v>171</v>
      </c>
      <c r="AB4889">
        <v>5</v>
      </c>
      <c r="AC4889">
        <v>50</v>
      </c>
      <c r="AD4889">
        <v>1467.6</v>
      </c>
      <c r="AE4889">
        <f t="shared" si="152"/>
        <v>3080.6</v>
      </c>
      <c r="AF4889" t="str">
        <f t="shared" si="153"/>
        <v>2026-09</v>
      </c>
      <c r="AG4889">
        <f>SUBTOTAL(103,A4889)</f>
        <v>1</v>
      </c>
    </row>
    <row r="4890" spans="1:33" x14ac:dyDescent="0.3">
      <c r="A4890" t="s">
        <v>7513</v>
      </c>
      <c r="B4890" s="13">
        <v>46280</v>
      </c>
      <c r="C4890">
        <v>2026</v>
      </c>
      <c r="D4890">
        <v>9</v>
      </c>
      <c r="E4890" t="s">
        <v>4552</v>
      </c>
      <c r="F4890" t="s">
        <v>4047</v>
      </c>
      <c r="G4890" t="s">
        <v>1005</v>
      </c>
      <c r="H4890" t="s">
        <v>1006</v>
      </c>
      <c r="I4890" t="s">
        <v>85</v>
      </c>
      <c r="J4890">
        <v>47</v>
      </c>
      <c r="K4890" t="s">
        <v>83</v>
      </c>
      <c r="L4890" t="s">
        <v>97</v>
      </c>
      <c r="M4890" t="s">
        <v>57</v>
      </c>
      <c r="N4890" t="s">
        <v>2574</v>
      </c>
      <c r="O4890" t="s">
        <v>130</v>
      </c>
      <c r="P4890" t="s">
        <v>50</v>
      </c>
      <c r="Q4890" t="s">
        <v>53</v>
      </c>
      <c r="R4890">
        <v>1</v>
      </c>
      <c r="S4890">
        <v>1199</v>
      </c>
      <c r="T4890">
        <v>0</v>
      </c>
      <c r="U4890">
        <v>1199</v>
      </c>
      <c r="V4890">
        <v>550</v>
      </c>
      <c r="W4890">
        <v>649</v>
      </c>
      <c r="X4890" t="s">
        <v>75</v>
      </c>
      <c r="Y4890" t="s">
        <v>68</v>
      </c>
      <c r="Z4890" t="s">
        <v>161</v>
      </c>
      <c r="AA4890" t="s">
        <v>167</v>
      </c>
      <c r="AB4890">
        <v>4.5</v>
      </c>
      <c r="AC4890">
        <v>100</v>
      </c>
      <c r="AD4890">
        <v>141.24</v>
      </c>
      <c r="AE4890">
        <f t="shared" si="152"/>
        <v>407.76</v>
      </c>
      <c r="AF4890" t="str">
        <f t="shared" si="153"/>
        <v>2026-09</v>
      </c>
      <c r="AG4890">
        <f>SUBTOTAL(103,A4890)</f>
        <v>1</v>
      </c>
    </row>
    <row r="4891" spans="1:33" x14ac:dyDescent="0.3">
      <c r="A4891" t="s">
        <v>7514</v>
      </c>
      <c r="B4891" s="13">
        <v>46280</v>
      </c>
      <c r="C4891">
        <v>2026</v>
      </c>
      <c r="D4891">
        <v>9</v>
      </c>
      <c r="E4891" t="s">
        <v>4552</v>
      </c>
      <c r="F4891" t="s">
        <v>4047</v>
      </c>
      <c r="G4891" t="s">
        <v>2177</v>
      </c>
      <c r="H4891" t="s">
        <v>2178</v>
      </c>
      <c r="I4891" t="s">
        <v>86</v>
      </c>
      <c r="J4891">
        <v>43</v>
      </c>
      <c r="K4891" t="s">
        <v>82</v>
      </c>
      <c r="L4891" t="s">
        <v>93</v>
      </c>
      <c r="M4891" t="s">
        <v>55</v>
      </c>
      <c r="N4891" t="s">
        <v>2594</v>
      </c>
      <c r="O4891" t="s">
        <v>131</v>
      </c>
      <c r="P4891" t="s">
        <v>53</v>
      </c>
      <c r="Q4891" t="s">
        <v>143</v>
      </c>
      <c r="R4891">
        <v>1</v>
      </c>
      <c r="S4891">
        <v>999</v>
      </c>
      <c r="T4891">
        <v>0.1</v>
      </c>
      <c r="U4891">
        <v>899.1</v>
      </c>
      <c r="V4891">
        <v>520</v>
      </c>
      <c r="W4891">
        <v>379.1</v>
      </c>
      <c r="X4891" t="s">
        <v>73</v>
      </c>
      <c r="Y4891" t="s">
        <v>68</v>
      </c>
      <c r="Z4891" t="s">
        <v>158</v>
      </c>
      <c r="AA4891" t="s">
        <v>167</v>
      </c>
      <c r="AB4891">
        <v>3.9</v>
      </c>
      <c r="AC4891">
        <v>100</v>
      </c>
      <c r="AD4891">
        <v>39.840000000000003</v>
      </c>
      <c r="AE4891">
        <f t="shared" si="152"/>
        <v>239.26000000000002</v>
      </c>
      <c r="AF4891" t="str">
        <f t="shared" si="153"/>
        <v>2026-09</v>
      </c>
      <c r="AG4891">
        <f>SUBTOTAL(103,A4891)</f>
        <v>1</v>
      </c>
    </row>
    <row r="4892" spans="1:33" x14ac:dyDescent="0.3">
      <c r="A4892" t="s">
        <v>7515</v>
      </c>
      <c r="B4892" s="13">
        <v>46280</v>
      </c>
      <c r="C4892">
        <v>2026</v>
      </c>
      <c r="D4892">
        <v>9</v>
      </c>
      <c r="E4892" t="s">
        <v>4552</v>
      </c>
      <c r="F4892" t="s">
        <v>4047</v>
      </c>
      <c r="G4892" t="s">
        <v>1101</v>
      </c>
      <c r="H4892" t="s">
        <v>1102</v>
      </c>
      <c r="I4892" t="s">
        <v>85</v>
      </c>
      <c r="J4892">
        <v>55</v>
      </c>
      <c r="K4892" t="s">
        <v>83</v>
      </c>
      <c r="L4892" t="s">
        <v>2579</v>
      </c>
      <c r="M4892" t="s">
        <v>56</v>
      </c>
      <c r="N4892" t="s">
        <v>2630</v>
      </c>
      <c r="O4892" t="s">
        <v>123</v>
      </c>
      <c r="P4892" t="s">
        <v>52</v>
      </c>
      <c r="Q4892" t="s">
        <v>146</v>
      </c>
      <c r="R4892">
        <v>2</v>
      </c>
      <c r="S4892">
        <v>2499</v>
      </c>
      <c r="T4892">
        <v>0</v>
      </c>
      <c r="U4892">
        <v>4998</v>
      </c>
      <c r="V4892">
        <v>2800</v>
      </c>
      <c r="W4892">
        <v>2198</v>
      </c>
      <c r="X4892" t="s">
        <v>74</v>
      </c>
      <c r="Y4892" t="s">
        <v>68</v>
      </c>
      <c r="Z4892" t="s">
        <v>161</v>
      </c>
      <c r="AA4892" t="s">
        <v>166</v>
      </c>
      <c r="AB4892">
        <v>3.9</v>
      </c>
      <c r="AC4892">
        <v>60</v>
      </c>
      <c r="AD4892">
        <v>147.27000000000001</v>
      </c>
      <c r="AE4892">
        <f t="shared" si="152"/>
        <v>1990.73</v>
      </c>
      <c r="AF4892" t="str">
        <f t="shared" si="153"/>
        <v>2026-09</v>
      </c>
      <c r="AG4892">
        <f>SUBTOTAL(103,A4892)</f>
        <v>1</v>
      </c>
    </row>
    <row r="4893" spans="1:33" x14ac:dyDescent="0.3">
      <c r="A4893" t="s">
        <v>7516</v>
      </c>
      <c r="B4893" s="13">
        <v>46280</v>
      </c>
      <c r="C4893">
        <v>2026</v>
      </c>
      <c r="D4893">
        <v>9</v>
      </c>
      <c r="E4893" t="s">
        <v>4552</v>
      </c>
      <c r="F4893" t="s">
        <v>4047</v>
      </c>
      <c r="G4893" t="s">
        <v>1203</v>
      </c>
      <c r="H4893" t="s">
        <v>1204</v>
      </c>
      <c r="I4893" t="s">
        <v>85</v>
      </c>
      <c r="J4893">
        <v>43</v>
      </c>
      <c r="K4893" t="s">
        <v>82</v>
      </c>
      <c r="L4893" t="s">
        <v>2634</v>
      </c>
      <c r="M4893" t="s">
        <v>56</v>
      </c>
      <c r="N4893" t="s">
        <v>2577</v>
      </c>
      <c r="O4893" t="s">
        <v>129</v>
      </c>
      <c r="P4893" t="s">
        <v>49</v>
      </c>
      <c r="Q4893" t="s">
        <v>149</v>
      </c>
      <c r="R4893">
        <v>2</v>
      </c>
      <c r="S4893">
        <v>1299</v>
      </c>
      <c r="T4893">
        <v>0.1</v>
      </c>
      <c r="U4893">
        <v>2338.1999999999998</v>
      </c>
      <c r="V4893">
        <v>1300</v>
      </c>
      <c r="W4893">
        <v>1038.2</v>
      </c>
      <c r="X4893" t="s">
        <v>73</v>
      </c>
      <c r="Y4893" t="s">
        <v>69</v>
      </c>
      <c r="Z4893" t="s">
        <v>162</v>
      </c>
      <c r="AA4893" t="s">
        <v>169</v>
      </c>
      <c r="AB4893">
        <v>4</v>
      </c>
      <c r="AC4893">
        <v>50</v>
      </c>
      <c r="AD4893">
        <v>143.57</v>
      </c>
      <c r="AE4893">
        <f t="shared" si="152"/>
        <v>844.63000000000011</v>
      </c>
      <c r="AF4893" t="str">
        <f t="shared" si="153"/>
        <v>2026-09</v>
      </c>
      <c r="AG4893">
        <f>SUBTOTAL(103,A4893)</f>
        <v>1</v>
      </c>
    </row>
    <row r="4894" spans="1:33" x14ac:dyDescent="0.3">
      <c r="A4894" t="s">
        <v>7517</v>
      </c>
      <c r="B4894" s="13">
        <v>46280</v>
      </c>
      <c r="C4894">
        <v>2026</v>
      </c>
      <c r="D4894">
        <v>9</v>
      </c>
      <c r="E4894" t="s">
        <v>4552</v>
      </c>
      <c r="F4894" t="s">
        <v>4047</v>
      </c>
      <c r="G4894" t="s">
        <v>2115</v>
      </c>
      <c r="H4894" t="s">
        <v>2116</v>
      </c>
      <c r="I4894" t="s">
        <v>85</v>
      </c>
      <c r="J4894">
        <v>19</v>
      </c>
      <c r="K4894" t="s">
        <v>80</v>
      </c>
      <c r="L4894" t="s">
        <v>2579</v>
      </c>
      <c r="M4894" t="s">
        <v>56</v>
      </c>
      <c r="N4894" t="s">
        <v>2657</v>
      </c>
      <c r="O4894" t="s">
        <v>134</v>
      </c>
      <c r="P4894" t="s">
        <v>49</v>
      </c>
      <c r="Q4894" t="s">
        <v>140</v>
      </c>
      <c r="R4894">
        <v>2</v>
      </c>
      <c r="S4894">
        <v>599</v>
      </c>
      <c r="T4894">
        <v>0</v>
      </c>
      <c r="U4894">
        <v>1198</v>
      </c>
      <c r="V4894">
        <v>500</v>
      </c>
      <c r="W4894">
        <v>698</v>
      </c>
      <c r="X4894" t="s">
        <v>77</v>
      </c>
      <c r="Y4894" t="s">
        <v>68</v>
      </c>
      <c r="Z4894" t="s">
        <v>158</v>
      </c>
      <c r="AA4894" t="s">
        <v>167</v>
      </c>
      <c r="AB4894">
        <v>4.5999999999999996</v>
      </c>
      <c r="AC4894">
        <v>40</v>
      </c>
      <c r="AD4894">
        <v>35.14</v>
      </c>
      <c r="AE4894">
        <f t="shared" si="152"/>
        <v>622.86</v>
      </c>
      <c r="AF4894" t="str">
        <f t="shared" si="153"/>
        <v>2026-09</v>
      </c>
      <c r="AG4894">
        <f>SUBTOTAL(103,A4894)</f>
        <v>1</v>
      </c>
    </row>
    <row r="4895" spans="1:33" x14ac:dyDescent="0.3">
      <c r="A4895" t="s">
        <v>7518</v>
      </c>
      <c r="B4895" s="13">
        <v>46280</v>
      </c>
      <c r="C4895">
        <v>2026</v>
      </c>
      <c r="D4895">
        <v>9</v>
      </c>
      <c r="E4895" t="s">
        <v>4552</v>
      </c>
      <c r="F4895" t="s">
        <v>4047</v>
      </c>
      <c r="G4895" t="s">
        <v>1633</v>
      </c>
      <c r="H4895" t="s">
        <v>1634</v>
      </c>
      <c r="I4895" t="s">
        <v>85</v>
      </c>
      <c r="J4895">
        <v>53</v>
      </c>
      <c r="K4895" t="s">
        <v>83</v>
      </c>
      <c r="L4895" t="s">
        <v>2599</v>
      </c>
      <c r="M4895" t="s">
        <v>62</v>
      </c>
      <c r="N4895" t="s">
        <v>2653</v>
      </c>
      <c r="O4895" t="s">
        <v>132</v>
      </c>
      <c r="P4895" t="s">
        <v>52</v>
      </c>
      <c r="Q4895" t="s">
        <v>150</v>
      </c>
      <c r="R4895">
        <v>5</v>
      </c>
      <c r="S4895">
        <v>899</v>
      </c>
      <c r="T4895">
        <v>0.1</v>
      </c>
      <c r="U4895">
        <v>4045.5</v>
      </c>
      <c r="V4895">
        <v>2100</v>
      </c>
      <c r="W4895">
        <v>1945.5</v>
      </c>
      <c r="X4895" t="s">
        <v>75</v>
      </c>
      <c r="Y4895" t="s">
        <v>68</v>
      </c>
      <c r="Z4895" t="s">
        <v>158</v>
      </c>
      <c r="AA4895" t="s">
        <v>167</v>
      </c>
      <c r="AB4895">
        <v>3.6</v>
      </c>
      <c r="AC4895">
        <v>120</v>
      </c>
      <c r="AD4895">
        <v>91.18</v>
      </c>
      <c r="AE4895">
        <f t="shared" si="152"/>
        <v>1734.32</v>
      </c>
      <c r="AF4895" t="str">
        <f t="shared" si="153"/>
        <v>2026-09</v>
      </c>
      <c r="AG4895">
        <f>SUBTOTAL(103,A4895)</f>
        <v>1</v>
      </c>
    </row>
    <row r="4896" spans="1:33" x14ac:dyDescent="0.3">
      <c r="A4896" t="s">
        <v>7519</v>
      </c>
      <c r="B4896" s="13">
        <v>46280</v>
      </c>
      <c r="C4896">
        <v>2026</v>
      </c>
      <c r="D4896">
        <v>9</v>
      </c>
      <c r="E4896" t="s">
        <v>4552</v>
      </c>
      <c r="F4896" t="s">
        <v>4047</v>
      </c>
      <c r="G4896" t="s">
        <v>1519</v>
      </c>
      <c r="H4896" t="s">
        <v>1520</v>
      </c>
      <c r="I4896" t="s">
        <v>86</v>
      </c>
      <c r="J4896">
        <v>57</v>
      </c>
      <c r="K4896" t="s">
        <v>83</v>
      </c>
      <c r="L4896" t="s">
        <v>95</v>
      </c>
      <c r="M4896" t="s">
        <v>56</v>
      </c>
      <c r="N4896" t="s">
        <v>2603</v>
      </c>
      <c r="O4896" t="s">
        <v>122</v>
      </c>
      <c r="P4896" t="s">
        <v>48</v>
      </c>
      <c r="Q4896" t="s">
        <v>141</v>
      </c>
      <c r="R4896">
        <v>1</v>
      </c>
      <c r="S4896">
        <v>2499</v>
      </c>
      <c r="T4896">
        <v>0.1</v>
      </c>
      <c r="U4896">
        <v>2249.1</v>
      </c>
      <c r="V4896">
        <v>1450</v>
      </c>
      <c r="W4896">
        <v>799.1</v>
      </c>
      <c r="X4896" t="s">
        <v>76</v>
      </c>
      <c r="Y4896" t="s">
        <v>68</v>
      </c>
      <c r="Z4896" t="s">
        <v>159</v>
      </c>
      <c r="AA4896" t="s">
        <v>168</v>
      </c>
      <c r="AB4896">
        <v>3.6</v>
      </c>
      <c r="AC4896">
        <v>50</v>
      </c>
      <c r="AD4896">
        <v>219.72</v>
      </c>
      <c r="AE4896">
        <f t="shared" si="152"/>
        <v>529.38</v>
      </c>
      <c r="AF4896" t="str">
        <f t="shared" si="153"/>
        <v>2026-09</v>
      </c>
      <c r="AG4896">
        <f>SUBTOTAL(103,A4896)</f>
        <v>1</v>
      </c>
    </row>
    <row r="4897" spans="1:33" x14ac:dyDescent="0.3">
      <c r="A4897" t="s">
        <v>7520</v>
      </c>
      <c r="B4897" s="13">
        <v>46280</v>
      </c>
      <c r="C4897">
        <v>2026</v>
      </c>
      <c r="D4897">
        <v>9</v>
      </c>
      <c r="E4897" t="s">
        <v>4552</v>
      </c>
      <c r="F4897" t="s">
        <v>4047</v>
      </c>
      <c r="G4897" t="s">
        <v>979</v>
      </c>
      <c r="H4897" t="s">
        <v>980</v>
      </c>
      <c r="I4897" t="s">
        <v>85</v>
      </c>
      <c r="J4897">
        <v>58</v>
      </c>
      <c r="K4897" t="s">
        <v>83</v>
      </c>
      <c r="L4897" t="s">
        <v>90</v>
      </c>
      <c r="M4897" t="s">
        <v>55</v>
      </c>
      <c r="N4897" t="s">
        <v>2601</v>
      </c>
      <c r="O4897" t="s">
        <v>117</v>
      </c>
      <c r="P4897" t="s">
        <v>49</v>
      </c>
      <c r="Q4897" t="s">
        <v>139</v>
      </c>
      <c r="R4897">
        <v>2</v>
      </c>
      <c r="S4897">
        <v>6999</v>
      </c>
      <c r="T4897">
        <v>0.05</v>
      </c>
      <c r="U4897">
        <v>13298.1</v>
      </c>
      <c r="V4897">
        <v>8600</v>
      </c>
      <c r="W4897">
        <v>4698.1000000000004</v>
      </c>
      <c r="X4897" t="s">
        <v>76</v>
      </c>
      <c r="Y4897" t="s">
        <v>68</v>
      </c>
      <c r="Z4897" t="s">
        <v>158</v>
      </c>
      <c r="AA4897" t="s">
        <v>166</v>
      </c>
      <c r="AB4897">
        <v>3.7</v>
      </c>
      <c r="AC4897">
        <v>80</v>
      </c>
      <c r="AD4897">
        <v>1593.73</v>
      </c>
      <c r="AE4897">
        <f t="shared" si="152"/>
        <v>3024.3700000000003</v>
      </c>
      <c r="AF4897" t="str">
        <f t="shared" si="153"/>
        <v>2026-09</v>
      </c>
      <c r="AG4897">
        <f>SUBTOTAL(103,A4897)</f>
        <v>1</v>
      </c>
    </row>
    <row r="4898" spans="1:33" x14ac:dyDescent="0.3">
      <c r="A4898" t="s">
        <v>7521</v>
      </c>
      <c r="B4898" s="13">
        <v>46280</v>
      </c>
      <c r="C4898">
        <v>2026</v>
      </c>
      <c r="D4898">
        <v>9</v>
      </c>
      <c r="E4898" t="s">
        <v>4552</v>
      </c>
      <c r="F4898" t="s">
        <v>4047</v>
      </c>
      <c r="G4898" t="s">
        <v>2419</v>
      </c>
      <c r="H4898" t="s">
        <v>2420</v>
      </c>
      <c r="I4898" t="s">
        <v>86</v>
      </c>
      <c r="J4898">
        <v>60</v>
      </c>
      <c r="K4898" t="s">
        <v>83</v>
      </c>
      <c r="L4898" t="s">
        <v>2586</v>
      </c>
      <c r="M4898" t="s">
        <v>62</v>
      </c>
      <c r="N4898" t="s">
        <v>2647</v>
      </c>
      <c r="O4898" t="s">
        <v>133</v>
      </c>
      <c r="P4898" t="s">
        <v>50</v>
      </c>
      <c r="Q4898" t="s">
        <v>145</v>
      </c>
      <c r="R4898">
        <v>1</v>
      </c>
      <c r="S4898">
        <v>799</v>
      </c>
      <c r="T4898">
        <v>0</v>
      </c>
      <c r="U4898">
        <v>799</v>
      </c>
      <c r="V4898">
        <v>390</v>
      </c>
      <c r="W4898">
        <v>409</v>
      </c>
      <c r="X4898" t="s">
        <v>73</v>
      </c>
      <c r="Y4898" t="s">
        <v>68</v>
      </c>
      <c r="Z4898" t="s">
        <v>160</v>
      </c>
      <c r="AA4898" t="s">
        <v>166</v>
      </c>
      <c r="AB4898">
        <v>4.0999999999999996</v>
      </c>
      <c r="AC4898">
        <v>60</v>
      </c>
      <c r="AD4898">
        <v>61.68</v>
      </c>
      <c r="AE4898">
        <f t="shared" si="152"/>
        <v>287.32</v>
      </c>
      <c r="AF4898" t="str">
        <f t="shared" si="153"/>
        <v>2026-09</v>
      </c>
      <c r="AG4898">
        <f>SUBTOTAL(103,A4898)</f>
        <v>1</v>
      </c>
    </row>
    <row r="4899" spans="1:33" x14ac:dyDescent="0.3">
      <c r="A4899" t="s">
        <v>7522</v>
      </c>
      <c r="B4899" s="13">
        <v>46281</v>
      </c>
      <c r="C4899">
        <v>2026</v>
      </c>
      <c r="D4899">
        <v>9</v>
      </c>
      <c r="E4899" t="s">
        <v>4552</v>
      </c>
      <c r="F4899" t="s">
        <v>4047</v>
      </c>
      <c r="G4899" t="s">
        <v>1907</v>
      </c>
      <c r="H4899" t="s">
        <v>1908</v>
      </c>
      <c r="I4899" t="s">
        <v>87</v>
      </c>
      <c r="J4899">
        <v>20</v>
      </c>
      <c r="K4899" t="s">
        <v>80</v>
      </c>
      <c r="L4899" t="s">
        <v>93</v>
      </c>
      <c r="M4899" t="s">
        <v>55</v>
      </c>
      <c r="N4899" t="s">
        <v>2580</v>
      </c>
      <c r="O4899" t="s">
        <v>118</v>
      </c>
      <c r="P4899" t="s">
        <v>48</v>
      </c>
      <c r="Q4899" t="s">
        <v>142</v>
      </c>
      <c r="R4899">
        <v>2</v>
      </c>
      <c r="S4899">
        <v>3999</v>
      </c>
      <c r="T4899">
        <v>0.15</v>
      </c>
      <c r="U4899">
        <v>6798.3</v>
      </c>
      <c r="V4899">
        <v>4800</v>
      </c>
      <c r="W4899">
        <v>1998.3</v>
      </c>
      <c r="X4899" t="s">
        <v>76</v>
      </c>
      <c r="Y4899" t="s">
        <v>68</v>
      </c>
      <c r="Z4899" t="s">
        <v>161</v>
      </c>
      <c r="AA4899" t="s">
        <v>166</v>
      </c>
      <c r="AB4899">
        <v>5</v>
      </c>
      <c r="AC4899">
        <v>60</v>
      </c>
      <c r="AD4899">
        <v>161.12</v>
      </c>
      <c r="AE4899">
        <f t="shared" si="152"/>
        <v>1777.1799999999998</v>
      </c>
      <c r="AF4899" t="str">
        <f t="shared" si="153"/>
        <v>2026-09</v>
      </c>
      <c r="AG4899">
        <f>SUBTOTAL(103,A4899)</f>
        <v>1</v>
      </c>
    </row>
    <row r="4900" spans="1:33" x14ac:dyDescent="0.3">
      <c r="A4900" t="s">
        <v>7523</v>
      </c>
      <c r="B4900" s="13">
        <v>46281</v>
      </c>
      <c r="C4900">
        <v>2026</v>
      </c>
      <c r="D4900">
        <v>9</v>
      </c>
      <c r="E4900" t="s">
        <v>4552</v>
      </c>
      <c r="F4900" t="s">
        <v>4047</v>
      </c>
      <c r="G4900" t="s">
        <v>2121</v>
      </c>
      <c r="H4900" t="s">
        <v>2122</v>
      </c>
      <c r="I4900" t="s">
        <v>85</v>
      </c>
      <c r="J4900">
        <v>49</v>
      </c>
      <c r="K4900" t="s">
        <v>83</v>
      </c>
      <c r="L4900" t="s">
        <v>92</v>
      </c>
      <c r="M4900" t="s">
        <v>59</v>
      </c>
      <c r="N4900" t="s">
        <v>2574</v>
      </c>
      <c r="O4900" t="s">
        <v>130</v>
      </c>
      <c r="P4900" t="s">
        <v>50</v>
      </c>
      <c r="Q4900" t="s">
        <v>53</v>
      </c>
      <c r="R4900">
        <v>1</v>
      </c>
      <c r="S4900">
        <v>1199</v>
      </c>
      <c r="T4900">
        <v>0.05</v>
      </c>
      <c r="U4900">
        <v>1139.05</v>
      </c>
      <c r="V4900">
        <v>550</v>
      </c>
      <c r="W4900">
        <v>589.04999999999995</v>
      </c>
      <c r="X4900" t="s">
        <v>73</v>
      </c>
      <c r="Y4900" t="s">
        <v>68</v>
      </c>
      <c r="Z4900" t="s">
        <v>161</v>
      </c>
      <c r="AA4900" t="s">
        <v>169</v>
      </c>
      <c r="AB4900">
        <v>2.9</v>
      </c>
      <c r="AC4900">
        <v>60</v>
      </c>
      <c r="AD4900">
        <v>57.88</v>
      </c>
      <c r="AE4900">
        <f t="shared" si="152"/>
        <v>471.16999999999996</v>
      </c>
      <c r="AF4900" t="str">
        <f t="shared" si="153"/>
        <v>2026-09</v>
      </c>
      <c r="AG4900">
        <f>SUBTOTAL(103,A4900)</f>
        <v>1</v>
      </c>
    </row>
    <row r="4901" spans="1:33" x14ac:dyDescent="0.3">
      <c r="A4901" t="s">
        <v>7524</v>
      </c>
      <c r="B4901" s="13">
        <v>46281</v>
      </c>
      <c r="C4901">
        <v>2026</v>
      </c>
      <c r="D4901">
        <v>9</v>
      </c>
      <c r="E4901" t="s">
        <v>4552</v>
      </c>
      <c r="F4901" t="s">
        <v>4047</v>
      </c>
      <c r="G4901" t="s">
        <v>961</v>
      </c>
      <c r="H4901" t="s">
        <v>962</v>
      </c>
      <c r="I4901" t="s">
        <v>85</v>
      </c>
      <c r="J4901">
        <v>56</v>
      </c>
      <c r="K4901" t="s">
        <v>83</v>
      </c>
      <c r="L4901" t="s">
        <v>2605</v>
      </c>
      <c r="M4901" t="s">
        <v>60</v>
      </c>
      <c r="N4901" t="s">
        <v>2647</v>
      </c>
      <c r="O4901" t="s">
        <v>133</v>
      </c>
      <c r="P4901" t="s">
        <v>50</v>
      </c>
      <c r="Q4901" t="s">
        <v>145</v>
      </c>
      <c r="R4901">
        <v>1</v>
      </c>
      <c r="S4901">
        <v>799</v>
      </c>
      <c r="T4901">
        <v>0.05</v>
      </c>
      <c r="U4901">
        <v>759.05</v>
      </c>
      <c r="V4901">
        <v>390</v>
      </c>
      <c r="W4901">
        <v>369.05</v>
      </c>
      <c r="X4901" t="s">
        <v>73</v>
      </c>
      <c r="Y4901" t="s">
        <v>68</v>
      </c>
      <c r="Z4901" t="s">
        <v>158</v>
      </c>
      <c r="AA4901" t="s">
        <v>166</v>
      </c>
      <c r="AB4901">
        <v>4.3</v>
      </c>
      <c r="AC4901">
        <v>50</v>
      </c>
      <c r="AD4901">
        <v>20</v>
      </c>
      <c r="AE4901">
        <f t="shared" si="152"/>
        <v>299.05</v>
      </c>
      <c r="AF4901" t="str">
        <f t="shared" si="153"/>
        <v>2026-09</v>
      </c>
      <c r="AG4901">
        <f>SUBTOTAL(103,A4901)</f>
        <v>1</v>
      </c>
    </row>
    <row r="4902" spans="1:33" x14ac:dyDescent="0.3">
      <c r="A4902" t="s">
        <v>7525</v>
      </c>
      <c r="B4902" s="13">
        <v>46281</v>
      </c>
      <c r="C4902">
        <v>2026</v>
      </c>
      <c r="D4902">
        <v>9</v>
      </c>
      <c r="E4902" t="s">
        <v>4552</v>
      </c>
      <c r="F4902" t="s">
        <v>4047</v>
      </c>
      <c r="G4902" t="s">
        <v>1401</v>
      </c>
      <c r="H4902" t="s">
        <v>1402</v>
      </c>
      <c r="I4902" t="s">
        <v>86</v>
      </c>
      <c r="J4902">
        <v>22</v>
      </c>
      <c r="K4902" t="s">
        <v>80</v>
      </c>
      <c r="L4902" t="s">
        <v>2610</v>
      </c>
      <c r="M4902" t="s">
        <v>64</v>
      </c>
      <c r="N4902" t="s">
        <v>2606</v>
      </c>
      <c r="O4902" t="s">
        <v>120</v>
      </c>
      <c r="P4902" t="s">
        <v>49</v>
      </c>
      <c r="Q4902" t="s">
        <v>140</v>
      </c>
      <c r="R4902">
        <v>3</v>
      </c>
      <c r="S4902">
        <v>2799</v>
      </c>
      <c r="T4902">
        <v>0.15</v>
      </c>
      <c r="U4902">
        <v>7137.45</v>
      </c>
      <c r="V4902">
        <v>4950</v>
      </c>
      <c r="W4902">
        <v>2187.4499999999998</v>
      </c>
      <c r="X4902" t="s">
        <v>74</v>
      </c>
      <c r="Y4902" t="s">
        <v>68</v>
      </c>
      <c r="Z4902" t="s">
        <v>162</v>
      </c>
      <c r="AA4902" t="s">
        <v>169</v>
      </c>
      <c r="AB4902">
        <v>4.9000000000000004</v>
      </c>
      <c r="AC4902">
        <v>60</v>
      </c>
      <c r="AD4902">
        <v>667.06</v>
      </c>
      <c r="AE4902">
        <f t="shared" si="152"/>
        <v>1460.3899999999999</v>
      </c>
      <c r="AF4902" t="str">
        <f t="shared" si="153"/>
        <v>2026-09</v>
      </c>
      <c r="AG4902">
        <f>SUBTOTAL(103,A4902)</f>
        <v>1</v>
      </c>
    </row>
    <row r="4903" spans="1:33" x14ac:dyDescent="0.3">
      <c r="A4903" t="s">
        <v>7526</v>
      </c>
      <c r="B4903" s="13">
        <v>46282</v>
      </c>
      <c r="C4903">
        <v>2026</v>
      </c>
      <c r="D4903">
        <v>9</v>
      </c>
      <c r="E4903" t="s">
        <v>4552</v>
      </c>
      <c r="F4903" t="s">
        <v>4047</v>
      </c>
      <c r="G4903" t="s">
        <v>431</v>
      </c>
      <c r="H4903" t="s">
        <v>432</v>
      </c>
      <c r="I4903" t="s">
        <v>86</v>
      </c>
      <c r="J4903">
        <v>19</v>
      </c>
      <c r="K4903" t="s">
        <v>80</v>
      </c>
      <c r="L4903" t="s">
        <v>99</v>
      </c>
      <c r="M4903" t="s">
        <v>58</v>
      </c>
      <c r="N4903" t="s">
        <v>2657</v>
      </c>
      <c r="O4903" t="s">
        <v>134</v>
      </c>
      <c r="P4903" t="s">
        <v>49</v>
      </c>
      <c r="Q4903" t="s">
        <v>140</v>
      </c>
      <c r="R4903">
        <v>3</v>
      </c>
      <c r="S4903">
        <v>599</v>
      </c>
      <c r="T4903">
        <v>0.2</v>
      </c>
      <c r="U4903">
        <v>1437.6</v>
      </c>
      <c r="V4903">
        <v>750</v>
      </c>
      <c r="W4903">
        <v>687.6</v>
      </c>
      <c r="X4903" t="s">
        <v>74</v>
      </c>
      <c r="Y4903" t="s">
        <v>68</v>
      </c>
      <c r="Z4903" t="s">
        <v>159</v>
      </c>
      <c r="AA4903" t="s">
        <v>170</v>
      </c>
      <c r="AB4903">
        <v>3.6</v>
      </c>
      <c r="AC4903">
        <v>80</v>
      </c>
      <c r="AD4903">
        <v>148.04</v>
      </c>
      <c r="AE4903">
        <f t="shared" si="152"/>
        <v>459.56000000000006</v>
      </c>
      <c r="AF4903" t="str">
        <f t="shared" si="153"/>
        <v>2026-09</v>
      </c>
      <c r="AG4903">
        <f>SUBTOTAL(103,A4903)</f>
        <v>1</v>
      </c>
    </row>
    <row r="4904" spans="1:33" x14ac:dyDescent="0.3">
      <c r="A4904" t="s">
        <v>7527</v>
      </c>
      <c r="B4904" s="13">
        <v>46282</v>
      </c>
      <c r="C4904">
        <v>2026</v>
      </c>
      <c r="D4904">
        <v>9</v>
      </c>
      <c r="E4904" t="s">
        <v>4552</v>
      </c>
      <c r="F4904" t="s">
        <v>4047</v>
      </c>
      <c r="G4904" t="s">
        <v>905</v>
      </c>
      <c r="H4904" t="s">
        <v>906</v>
      </c>
      <c r="I4904" t="s">
        <v>85</v>
      </c>
      <c r="J4904">
        <v>40</v>
      </c>
      <c r="K4904" t="s">
        <v>82</v>
      </c>
      <c r="L4904" t="s">
        <v>2616</v>
      </c>
      <c r="M4904" t="s">
        <v>62</v>
      </c>
      <c r="N4904" t="s">
        <v>2665</v>
      </c>
      <c r="O4904" t="s">
        <v>128</v>
      </c>
      <c r="P4904" t="s">
        <v>53</v>
      </c>
      <c r="Q4904" t="s">
        <v>143</v>
      </c>
      <c r="R4904">
        <v>4</v>
      </c>
      <c r="S4904">
        <v>1499</v>
      </c>
      <c r="T4904">
        <v>0.1</v>
      </c>
      <c r="U4904">
        <v>5396.4</v>
      </c>
      <c r="V4904">
        <v>3200</v>
      </c>
      <c r="W4904">
        <v>2196.4</v>
      </c>
      <c r="X4904" t="s">
        <v>75</v>
      </c>
      <c r="Y4904" t="s">
        <v>68</v>
      </c>
      <c r="Z4904" t="s">
        <v>161</v>
      </c>
      <c r="AA4904" t="s">
        <v>166</v>
      </c>
      <c r="AB4904">
        <v>4.2</v>
      </c>
      <c r="AC4904">
        <v>80</v>
      </c>
      <c r="AD4904">
        <v>324.52999999999997</v>
      </c>
      <c r="AE4904">
        <f t="shared" si="152"/>
        <v>1791.8700000000001</v>
      </c>
      <c r="AF4904" t="str">
        <f t="shared" si="153"/>
        <v>2026-09</v>
      </c>
      <c r="AG4904">
        <f>SUBTOTAL(103,A4904)</f>
        <v>1</v>
      </c>
    </row>
    <row r="4905" spans="1:33" x14ac:dyDescent="0.3">
      <c r="A4905" t="s">
        <v>7528</v>
      </c>
      <c r="B4905" s="13">
        <v>46282</v>
      </c>
      <c r="C4905">
        <v>2026</v>
      </c>
      <c r="D4905">
        <v>9</v>
      </c>
      <c r="E4905" t="s">
        <v>4552</v>
      </c>
      <c r="F4905" t="s">
        <v>4047</v>
      </c>
      <c r="G4905" t="s">
        <v>707</v>
      </c>
      <c r="H4905" t="s">
        <v>708</v>
      </c>
      <c r="I4905" t="s">
        <v>85</v>
      </c>
      <c r="J4905">
        <v>24</v>
      </c>
      <c r="K4905" t="s">
        <v>80</v>
      </c>
      <c r="L4905" t="s">
        <v>90</v>
      </c>
      <c r="M4905" t="s">
        <v>55</v>
      </c>
      <c r="N4905" t="s">
        <v>2596</v>
      </c>
      <c r="O4905" t="s">
        <v>124</v>
      </c>
      <c r="P4905" t="s">
        <v>51</v>
      </c>
      <c r="Q4905" t="s">
        <v>147</v>
      </c>
      <c r="R4905">
        <v>1</v>
      </c>
      <c r="S4905">
        <v>2299</v>
      </c>
      <c r="T4905">
        <v>0.15</v>
      </c>
      <c r="U4905">
        <v>0</v>
      </c>
      <c r="V4905">
        <v>0</v>
      </c>
      <c r="W4905">
        <v>0</v>
      </c>
      <c r="X4905" t="s">
        <v>73</v>
      </c>
      <c r="Y4905" t="s">
        <v>71</v>
      </c>
      <c r="Z4905" t="s">
        <v>158</v>
      </c>
      <c r="AA4905" t="s">
        <v>167</v>
      </c>
      <c r="AB4905">
        <v>4.8</v>
      </c>
      <c r="AC4905">
        <v>60</v>
      </c>
      <c r="AD4905">
        <v>198.08</v>
      </c>
      <c r="AE4905">
        <f t="shared" si="152"/>
        <v>-258.08000000000004</v>
      </c>
      <c r="AF4905" t="str">
        <f t="shared" si="153"/>
        <v>2026-09</v>
      </c>
      <c r="AG4905">
        <f>SUBTOTAL(103,A4905)</f>
        <v>1</v>
      </c>
    </row>
    <row r="4906" spans="1:33" x14ac:dyDescent="0.3">
      <c r="A4906" t="s">
        <v>7529</v>
      </c>
      <c r="B4906" s="13">
        <v>46282</v>
      </c>
      <c r="C4906">
        <v>2026</v>
      </c>
      <c r="D4906">
        <v>9</v>
      </c>
      <c r="E4906" t="s">
        <v>4552</v>
      </c>
      <c r="F4906" t="s">
        <v>4047</v>
      </c>
      <c r="G4906" t="s">
        <v>341</v>
      </c>
      <c r="H4906" t="s">
        <v>342</v>
      </c>
      <c r="I4906" t="s">
        <v>85</v>
      </c>
      <c r="J4906">
        <v>34</v>
      </c>
      <c r="K4906" t="s">
        <v>81</v>
      </c>
      <c r="L4906" t="s">
        <v>2679</v>
      </c>
      <c r="M4906" t="s">
        <v>60</v>
      </c>
      <c r="N4906" t="s">
        <v>2592</v>
      </c>
      <c r="O4906" t="s">
        <v>115</v>
      </c>
      <c r="P4906" t="s">
        <v>48</v>
      </c>
      <c r="Q4906" t="s">
        <v>137</v>
      </c>
      <c r="R4906">
        <v>2</v>
      </c>
      <c r="S4906">
        <v>12999</v>
      </c>
      <c r="T4906">
        <v>0.25</v>
      </c>
      <c r="U4906">
        <v>19498.5</v>
      </c>
      <c r="V4906">
        <v>18000</v>
      </c>
      <c r="W4906">
        <v>1498.5</v>
      </c>
      <c r="X4906" t="s">
        <v>75</v>
      </c>
      <c r="Y4906" t="s">
        <v>68</v>
      </c>
      <c r="Z4906" t="s">
        <v>159</v>
      </c>
      <c r="AA4906" t="s">
        <v>169</v>
      </c>
      <c r="AB4906">
        <v>4</v>
      </c>
      <c r="AC4906">
        <v>80</v>
      </c>
      <c r="AD4906">
        <v>929.34</v>
      </c>
      <c r="AE4906">
        <f t="shared" si="152"/>
        <v>489.15999999999997</v>
      </c>
      <c r="AF4906" t="str">
        <f t="shared" si="153"/>
        <v>2026-09</v>
      </c>
      <c r="AG4906">
        <f>SUBTOTAL(103,A4906)</f>
        <v>1</v>
      </c>
    </row>
    <row r="4907" spans="1:33" x14ac:dyDescent="0.3">
      <c r="A4907" t="s">
        <v>7530</v>
      </c>
      <c r="B4907" s="13">
        <v>46282</v>
      </c>
      <c r="C4907">
        <v>2026</v>
      </c>
      <c r="D4907">
        <v>9</v>
      </c>
      <c r="E4907" t="s">
        <v>4552</v>
      </c>
      <c r="F4907" t="s">
        <v>4047</v>
      </c>
      <c r="G4907" t="s">
        <v>2115</v>
      </c>
      <c r="H4907" t="s">
        <v>2116</v>
      </c>
      <c r="I4907" t="s">
        <v>85</v>
      </c>
      <c r="J4907">
        <v>19</v>
      </c>
      <c r="K4907" t="s">
        <v>80</v>
      </c>
      <c r="L4907" t="s">
        <v>2579</v>
      </c>
      <c r="M4907" t="s">
        <v>56</v>
      </c>
      <c r="N4907" t="s">
        <v>2590</v>
      </c>
      <c r="O4907" t="s">
        <v>127</v>
      </c>
      <c r="P4907" t="s">
        <v>51</v>
      </c>
      <c r="Q4907" t="s">
        <v>148</v>
      </c>
      <c r="R4907">
        <v>2</v>
      </c>
      <c r="S4907">
        <v>1599</v>
      </c>
      <c r="T4907">
        <v>0.05</v>
      </c>
      <c r="U4907">
        <v>3038.1</v>
      </c>
      <c r="V4907">
        <v>1600</v>
      </c>
      <c r="W4907">
        <v>1438.1</v>
      </c>
      <c r="X4907" t="s">
        <v>75</v>
      </c>
      <c r="Y4907" t="s">
        <v>70</v>
      </c>
      <c r="Z4907" t="s">
        <v>161</v>
      </c>
      <c r="AA4907" t="s">
        <v>171</v>
      </c>
      <c r="AB4907">
        <v>4.5</v>
      </c>
      <c r="AC4907">
        <v>40</v>
      </c>
      <c r="AD4907">
        <v>105.25</v>
      </c>
      <c r="AE4907">
        <f t="shared" si="152"/>
        <v>1292.8499999999999</v>
      </c>
      <c r="AF4907" t="str">
        <f t="shared" si="153"/>
        <v>2026-09</v>
      </c>
      <c r="AG4907">
        <f>SUBTOTAL(103,A4907)</f>
        <v>1</v>
      </c>
    </row>
    <row r="4908" spans="1:33" x14ac:dyDescent="0.3">
      <c r="A4908" t="s">
        <v>7531</v>
      </c>
      <c r="B4908" s="13">
        <v>46282</v>
      </c>
      <c r="C4908">
        <v>2026</v>
      </c>
      <c r="D4908">
        <v>9</v>
      </c>
      <c r="E4908" t="s">
        <v>4552</v>
      </c>
      <c r="F4908" t="s">
        <v>4047</v>
      </c>
      <c r="G4908" t="s">
        <v>339</v>
      </c>
      <c r="H4908" t="s">
        <v>340</v>
      </c>
      <c r="I4908" t="s">
        <v>86</v>
      </c>
      <c r="J4908">
        <v>32</v>
      </c>
      <c r="K4908" t="s">
        <v>81</v>
      </c>
      <c r="L4908" t="s">
        <v>59</v>
      </c>
      <c r="M4908" t="s">
        <v>59</v>
      </c>
      <c r="N4908" t="s">
        <v>2653</v>
      </c>
      <c r="O4908" t="s">
        <v>132</v>
      </c>
      <c r="P4908" t="s">
        <v>52</v>
      </c>
      <c r="Q4908" t="s">
        <v>150</v>
      </c>
      <c r="R4908">
        <v>2</v>
      </c>
      <c r="S4908">
        <v>899</v>
      </c>
      <c r="T4908">
        <v>0</v>
      </c>
      <c r="U4908">
        <v>1798</v>
      </c>
      <c r="V4908">
        <v>840</v>
      </c>
      <c r="W4908">
        <v>958</v>
      </c>
      <c r="X4908" t="s">
        <v>76</v>
      </c>
      <c r="Y4908" t="s">
        <v>68</v>
      </c>
      <c r="Z4908" t="s">
        <v>162</v>
      </c>
      <c r="AA4908" t="s">
        <v>167</v>
      </c>
      <c r="AB4908">
        <v>3.9</v>
      </c>
      <c r="AC4908">
        <v>100</v>
      </c>
      <c r="AD4908">
        <v>164.1</v>
      </c>
      <c r="AE4908">
        <f t="shared" si="152"/>
        <v>693.9</v>
      </c>
      <c r="AF4908" t="str">
        <f t="shared" si="153"/>
        <v>2026-09</v>
      </c>
      <c r="AG4908">
        <f>SUBTOTAL(103,A4908)</f>
        <v>1</v>
      </c>
    </row>
    <row r="4909" spans="1:33" x14ac:dyDescent="0.3">
      <c r="A4909" t="s">
        <v>7532</v>
      </c>
      <c r="B4909" s="13">
        <v>46282</v>
      </c>
      <c r="C4909">
        <v>2026</v>
      </c>
      <c r="D4909">
        <v>9</v>
      </c>
      <c r="E4909" t="s">
        <v>4552</v>
      </c>
      <c r="F4909" t="s">
        <v>4047</v>
      </c>
      <c r="G4909" t="s">
        <v>227</v>
      </c>
      <c r="H4909" t="s">
        <v>228</v>
      </c>
      <c r="I4909" t="s">
        <v>87</v>
      </c>
      <c r="J4909">
        <v>38</v>
      </c>
      <c r="K4909" t="s">
        <v>82</v>
      </c>
      <c r="L4909" t="s">
        <v>2634</v>
      </c>
      <c r="M4909" t="s">
        <v>56</v>
      </c>
      <c r="N4909" t="s">
        <v>2580</v>
      </c>
      <c r="O4909" t="s">
        <v>118</v>
      </c>
      <c r="P4909" t="s">
        <v>48</v>
      </c>
      <c r="Q4909" t="s">
        <v>142</v>
      </c>
      <c r="R4909">
        <v>1</v>
      </c>
      <c r="S4909">
        <v>3999</v>
      </c>
      <c r="T4909">
        <v>0.05</v>
      </c>
      <c r="U4909">
        <v>3799.05</v>
      </c>
      <c r="V4909">
        <v>2400</v>
      </c>
      <c r="W4909">
        <v>1399.05</v>
      </c>
      <c r="X4909" t="s">
        <v>74</v>
      </c>
      <c r="Y4909" t="s">
        <v>68</v>
      </c>
      <c r="Z4909" t="s">
        <v>163</v>
      </c>
      <c r="AA4909" t="s">
        <v>169</v>
      </c>
      <c r="AB4909">
        <v>4</v>
      </c>
      <c r="AC4909">
        <v>80</v>
      </c>
      <c r="AD4909">
        <v>381.8</v>
      </c>
      <c r="AE4909">
        <f t="shared" si="152"/>
        <v>937.25</v>
      </c>
      <c r="AF4909" t="str">
        <f t="shared" si="153"/>
        <v>2026-09</v>
      </c>
      <c r="AG4909">
        <f>SUBTOTAL(103,A4909)</f>
        <v>1</v>
      </c>
    </row>
    <row r="4910" spans="1:33" x14ac:dyDescent="0.3">
      <c r="A4910" t="s">
        <v>7533</v>
      </c>
      <c r="B4910" s="13">
        <v>46283</v>
      </c>
      <c r="C4910">
        <v>2026</v>
      </c>
      <c r="D4910">
        <v>9</v>
      </c>
      <c r="E4910" t="s">
        <v>4552</v>
      </c>
      <c r="F4910" t="s">
        <v>4047</v>
      </c>
      <c r="G4910" t="s">
        <v>2043</v>
      </c>
      <c r="H4910" t="s">
        <v>2044</v>
      </c>
      <c r="I4910" t="s">
        <v>85</v>
      </c>
      <c r="J4910">
        <v>25</v>
      </c>
      <c r="K4910" t="s">
        <v>80</v>
      </c>
      <c r="L4910" t="s">
        <v>96</v>
      </c>
      <c r="M4910" t="s">
        <v>55</v>
      </c>
      <c r="N4910" t="s">
        <v>2584</v>
      </c>
      <c r="O4910" t="s">
        <v>121</v>
      </c>
      <c r="P4910" t="s">
        <v>50</v>
      </c>
      <c r="Q4910" t="s">
        <v>144</v>
      </c>
      <c r="R4910">
        <v>1</v>
      </c>
      <c r="S4910">
        <v>2999</v>
      </c>
      <c r="T4910">
        <v>0.05</v>
      </c>
      <c r="U4910">
        <v>2849.05</v>
      </c>
      <c r="V4910">
        <v>1700</v>
      </c>
      <c r="W4910">
        <v>1149.05</v>
      </c>
      <c r="X4910" t="s">
        <v>75</v>
      </c>
      <c r="Y4910" t="s">
        <v>69</v>
      </c>
      <c r="Z4910" t="s">
        <v>160</v>
      </c>
      <c r="AA4910" t="s">
        <v>166</v>
      </c>
      <c r="AB4910">
        <v>3.8</v>
      </c>
      <c r="AC4910">
        <v>120</v>
      </c>
      <c r="AD4910">
        <v>204.11</v>
      </c>
      <c r="AE4910">
        <f t="shared" si="152"/>
        <v>824.93999999999994</v>
      </c>
      <c r="AF4910" t="str">
        <f t="shared" si="153"/>
        <v>2026-09</v>
      </c>
      <c r="AG4910">
        <f>SUBTOTAL(103,A4910)</f>
        <v>1</v>
      </c>
    </row>
    <row r="4911" spans="1:33" x14ac:dyDescent="0.3">
      <c r="A4911" t="s">
        <v>7534</v>
      </c>
      <c r="B4911" s="13">
        <v>46283</v>
      </c>
      <c r="C4911">
        <v>2026</v>
      </c>
      <c r="D4911">
        <v>9</v>
      </c>
      <c r="E4911" t="s">
        <v>4552</v>
      </c>
      <c r="F4911" t="s">
        <v>4047</v>
      </c>
      <c r="G4911" t="s">
        <v>2285</v>
      </c>
      <c r="H4911" t="s">
        <v>2286</v>
      </c>
      <c r="I4911" t="s">
        <v>85</v>
      </c>
      <c r="J4911">
        <v>59</v>
      </c>
      <c r="K4911" t="s">
        <v>83</v>
      </c>
      <c r="L4911" t="s">
        <v>2679</v>
      </c>
      <c r="M4911" t="s">
        <v>60</v>
      </c>
      <c r="N4911" t="s">
        <v>2603</v>
      </c>
      <c r="O4911" t="s">
        <v>122</v>
      </c>
      <c r="P4911" t="s">
        <v>48</v>
      </c>
      <c r="Q4911" t="s">
        <v>141</v>
      </c>
      <c r="R4911">
        <v>1</v>
      </c>
      <c r="S4911">
        <v>2499</v>
      </c>
      <c r="T4911">
        <v>0</v>
      </c>
      <c r="U4911">
        <v>2499</v>
      </c>
      <c r="V4911">
        <v>1450</v>
      </c>
      <c r="W4911">
        <v>1049</v>
      </c>
      <c r="X4911" t="s">
        <v>77</v>
      </c>
      <c r="Y4911" t="s">
        <v>68</v>
      </c>
      <c r="Z4911" t="s">
        <v>158</v>
      </c>
      <c r="AA4911" t="s">
        <v>169</v>
      </c>
      <c r="AB4911">
        <v>4.3</v>
      </c>
      <c r="AC4911">
        <v>120</v>
      </c>
      <c r="AD4911">
        <v>71.92</v>
      </c>
      <c r="AE4911">
        <f t="shared" si="152"/>
        <v>857.08</v>
      </c>
      <c r="AF4911" t="str">
        <f t="shared" si="153"/>
        <v>2026-09</v>
      </c>
      <c r="AG4911">
        <f>SUBTOTAL(103,A4911)</f>
        <v>1</v>
      </c>
    </row>
    <row r="4912" spans="1:33" x14ac:dyDescent="0.3">
      <c r="A4912" t="s">
        <v>7535</v>
      </c>
      <c r="B4912" s="13">
        <v>46283</v>
      </c>
      <c r="C4912">
        <v>2026</v>
      </c>
      <c r="D4912">
        <v>9</v>
      </c>
      <c r="E4912" t="s">
        <v>4552</v>
      </c>
      <c r="F4912" t="s">
        <v>4047</v>
      </c>
      <c r="G4912" t="s">
        <v>1185</v>
      </c>
      <c r="H4912" t="s">
        <v>1186</v>
      </c>
      <c r="I4912" t="s">
        <v>86</v>
      </c>
      <c r="J4912">
        <v>52</v>
      </c>
      <c r="K4912" t="s">
        <v>83</v>
      </c>
      <c r="L4912" t="s">
        <v>99</v>
      </c>
      <c r="M4912" t="s">
        <v>58</v>
      </c>
      <c r="N4912" t="s">
        <v>2582</v>
      </c>
      <c r="O4912" t="s">
        <v>119</v>
      </c>
      <c r="P4912" t="s">
        <v>49</v>
      </c>
      <c r="Q4912" t="s">
        <v>140</v>
      </c>
      <c r="R4912">
        <v>3</v>
      </c>
      <c r="S4912">
        <v>3499</v>
      </c>
      <c r="T4912">
        <v>0</v>
      </c>
      <c r="U4912">
        <v>10497</v>
      </c>
      <c r="V4912">
        <v>6300</v>
      </c>
      <c r="W4912">
        <v>4197</v>
      </c>
      <c r="X4912" t="s">
        <v>74</v>
      </c>
      <c r="Y4912" t="s">
        <v>68</v>
      </c>
      <c r="Z4912" t="s">
        <v>162</v>
      </c>
      <c r="AA4912" t="s">
        <v>167</v>
      </c>
      <c r="AB4912">
        <v>5</v>
      </c>
      <c r="AC4912">
        <v>40</v>
      </c>
      <c r="AD4912">
        <v>529.02</v>
      </c>
      <c r="AE4912">
        <f t="shared" si="152"/>
        <v>3627.98</v>
      </c>
      <c r="AF4912" t="str">
        <f t="shared" si="153"/>
        <v>2026-09</v>
      </c>
      <c r="AG4912">
        <f>SUBTOTAL(103,A4912)</f>
        <v>1</v>
      </c>
    </row>
    <row r="4913" spans="1:33" x14ac:dyDescent="0.3">
      <c r="A4913" t="s">
        <v>7536</v>
      </c>
      <c r="B4913" s="13">
        <v>46283</v>
      </c>
      <c r="C4913">
        <v>2026</v>
      </c>
      <c r="D4913">
        <v>9</v>
      </c>
      <c r="E4913" t="s">
        <v>4552</v>
      </c>
      <c r="F4913" t="s">
        <v>4047</v>
      </c>
      <c r="G4913" t="s">
        <v>527</v>
      </c>
      <c r="H4913" t="s">
        <v>528</v>
      </c>
      <c r="I4913" t="s">
        <v>86</v>
      </c>
      <c r="J4913">
        <v>39</v>
      </c>
      <c r="K4913" t="s">
        <v>82</v>
      </c>
      <c r="L4913" t="s">
        <v>100</v>
      </c>
      <c r="M4913" t="s">
        <v>56</v>
      </c>
      <c r="N4913" t="s">
        <v>2630</v>
      </c>
      <c r="O4913" t="s">
        <v>123</v>
      </c>
      <c r="P4913" t="s">
        <v>52</v>
      </c>
      <c r="Q4913" t="s">
        <v>146</v>
      </c>
      <c r="R4913">
        <v>2</v>
      </c>
      <c r="S4913">
        <v>2499</v>
      </c>
      <c r="T4913">
        <v>0.05</v>
      </c>
      <c r="U4913">
        <v>4748.1000000000004</v>
      </c>
      <c r="V4913">
        <v>2800</v>
      </c>
      <c r="W4913">
        <v>1948.1</v>
      </c>
      <c r="X4913" t="s">
        <v>73</v>
      </c>
      <c r="Y4913" t="s">
        <v>68</v>
      </c>
      <c r="Z4913" t="s">
        <v>162</v>
      </c>
      <c r="AA4913" t="s">
        <v>166</v>
      </c>
      <c r="AB4913">
        <v>4</v>
      </c>
      <c r="AC4913">
        <v>50</v>
      </c>
      <c r="AD4913">
        <v>326.72000000000003</v>
      </c>
      <c r="AE4913">
        <f t="shared" si="152"/>
        <v>1571.3799999999999</v>
      </c>
      <c r="AF4913" t="str">
        <f t="shared" si="153"/>
        <v>2026-09</v>
      </c>
      <c r="AG4913">
        <f>SUBTOTAL(103,A4913)</f>
        <v>1</v>
      </c>
    </row>
    <row r="4914" spans="1:33" x14ac:dyDescent="0.3">
      <c r="A4914" t="s">
        <v>7537</v>
      </c>
      <c r="B4914" s="13">
        <v>46283</v>
      </c>
      <c r="C4914">
        <v>2026</v>
      </c>
      <c r="D4914">
        <v>9</v>
      </c>
      <c r="E4914" t="s">
        <v>4552</v>
      </c>
      <c r="F4914" t="s">
        <v>4047</v>
      </c>
      <c r="G4914" t="s">
        <v>1595</v>
      </c>
      <c r="H4914" t="s">
        <v>1596</v>
      </c>
      <c r="I4914" t="s">
        <v>85</v>
      </c>
      <c r="J4914">
        <v>49</v>
      </c>
      <c r="K4914" t="s">
        <v>83</v>
      </c>
      <c r="L4914" t="s">
        <v>92</v>
      </c>
      <c r="M4914" t="s">
        <v>59</v>
      </c>
      <c r="N4914" t="s">
        <v>2665</v>
      </c>
      <c r="O4914" t="s">
        <v>128</v>
      </c>
      <c r="P4914" t="s">
        <v>53</v>
      </c>
      <c r="Q4914" t="s">
        <v>143</v>
      </c>
      <c r="R4914">
        <v>1</v>
      </c>
      <c r="S4914">
        <v>1499</v>
      </c>
      <c r="T4914">
        <v>0</v>
      </c>
      <c r="U4914">
        <v>1499</v>
      </c>
      <c r="V4914">
        <v>800</v>
      </c>
      <c r="W4914">
        <v>699</v>
      </c>
      <c r="X4914" t="s">
        <v>75</v>
      </c>
      <c r="Y4914" t="s">
        <v>68</v>
      </c>
      <c r="Z4914" t="s">
        <v>163</v>
      </c>
      <c r="AA4914" t="s">
        <v>167</v>
      </c>
      <c r="AB4914">
        <v>3.9</v>
      </c>
      <c r="AC4914">
        <v>100</v>
      </c>
      <c r="AD4914">
        <v>136.76</v>
      </c>
      <c r="AE4914">
        <f t="shared" si="152"/>
        <v>462.24</v>
      </c>
      <c r="AF4914" t="str">
        <f t="shared" si="153"/>
        <v>2026-09</v>
      </c>
      <c r="AG4914">
        <f>SUBTOTAL(103,A4914)</f>
        <v>1</v>
      </c>
    </row>
    <row r="4915" spans="1:33" x14ac:dyDescent="0.3">
      <c r="A4915" t="s">
        <v>7538</v>
      </c>
      <c r="B4915" s="13">
        <v>46283</v>
      </c>
      <c r="C4915">
        <v>2026</v>
      </c>
      <c r="D4915">
        <v>9</v>
      </c>
      <c r="E4915" t="s">
        <v>4552</v>
      </c>
      <c r="F4915" t="s">
        <v>4047</v>
      </c>
      <c r="G4915" t="s">
        <v>1073</v>
      </c>
      <c r="H4915" t="s">
        <v>1074</v>
      </c>
      <c r="I4915" t="s">
        <v>87</v>
      </c>
      <c r="J4915">
        <v>30</v>
      </c>
      <c r="K4915" t="s">
        <v>81</v>
      </c>
      <c r="L4915" t="s">
        <v>90</v>
      </c>
      <c r="M4915" t="s">
        <v>55</v>
      </c>
      <c r="N4915" t="s">
        <v>2584</v>
      </c>
      <c r="O4915" t="s">
        <v>121</v>
      </c>
      <c r="P4915" t="s">
        <v>50</v>
      </c>
      <c r="Q4915" t="s">
        <v>144</v>
      </c>
      <c r="R4915">
        <v>3</v>
      </c>
      <c r="S4915">
        <v>2999</v>
      </c>
      <c r="T4915">
        <v>0.2</v>
      </c>
      <c r="U4915">
        <v>7197.6</v>
      </c>
      <c r="V4915">
        <v>5100</v>
      </c>
      <c r="W4915">
        <v>2097.6</v>
      </c>
      <c r="X4915" t="s">
        <v>75</v>
      </c>
      <c r="Y4915" t="s">
        <v>68</v>
      </c>
      <c r="Z4915" t="s">
        <v>163</v>
      </c>
      <c r="AA4915" t="s">
        <v>169</v>
      </c>
      <c r="AB4915">
        <v>4.9000000000000004</v>
      </c>
      <c r="AC4915">
        <v>40</v>
      </c>
      <c r="AD4915">
        <v>416.16</v>
      </c>
      <c r="AE4915">
        <f t="shared" si="152"/>
        <v>1641.4399999999998</v>
      </c>
      <c r="AF4915" t="str">
        <f t="shared" si="153"/>
        <v>2026-09</v>
      </c>
      <c r="AG4915">
        <f>SUBTOTAL(103,A4915)</f>
        <v>1</v>
      </c>
    </row>
    <row r="4916" spans="1:33" x14ac:dyDescent="0.3">
      <c r="A4916" t="s">
        <v>7539</v>
      </c>
      <c r="B4916" s="13">
        <v>46283</v>
      </c>
      <c r="C4916">
        <v>2026</v>
      </c>
      <c r="D4916">
        <v>9</v>
      </c>
      <c r="E4916" t="s">
        <v>4552</v>
      </c>
      <c r="F4916" t="s">
        <v>4047</v>
      </c>
      <c r="G4916" t="s">
        <v>379</v>
      </c>
      <c r="H4916" t="s">
        <v>380</v>
      </c>
      <c r="I4916" t="s">
        <v>86</v>
      </c>
      <c r="J4916">
        <v>42</v>
      </c>
      <c r="K4916" t="s">
        <v>82</v>
      </c>
      <c r="L4916" t="s">
        <v>91</v>
      </c>
      <c r="M4916" t="s">
        <v>55</v>
      </c>
      <c r="N4916" t="s">
        <v>2657</v>
      </c>
      <c r="O4916" t="s">
        <v>134</v>
      </c>
      <c r="P4916" t="s">
        <v>49</v>
      </c>
      <c r="Q4916" t="s">
        <v>140</v>
      </c>
      <c r="R4916">
        <v>1</v>
      </c>
      <c r="S4916">
        <v>599</v>
      </c>
      <c r="T4916">
        <v>0.2</v>
      </c>
      <c r="U4916">
        <v>479.2</v>
      </c>
      <c r="V4916">
        <v>250</v>
      </c>
      <c r="W4916">
        <v>229.2</v>
      </c>
      <c r="X4916" t="s">
        <v>73</v>
      </c>
      <c r="Y4916" t="s">
        <v>68</v>
      </c>
      <c r="Z4916" t="s">
        <v>159</v>
      </c>
      <c r="AA4916" t="s">
        <v>167</v>
      </c>
      <c r="AB4916">
        <v>3.5</v>
      </c>
      <c r="AC4916">
        <v>40</v>
      </c>
      <c r="AD4916">
        <v>20</v>
      </c>
      <c r="AE4916">
        <f t="shared" si="152"/>
        <v>169.2</v>
      </c>
      <c r="AF4916" t="str">
        <f t="shared" si="153"/>
        <v>2026-09</v>
      </c>
      <c r="AG4916">
        <f>SUBTOTAL(103,A4916)</f>
        <v>1</v>
      </c>
    </row>
    <row r="4917" spans="1:33" x14ac:dyDescent="0.3">
      <c r="A4917" t="s">
        <v>7540</v>
      </c>
      <c r="B4917" s="13">
        <v>46283</v>
      </c>
      <c r="C4917">
        <v>2026</v>
      </c>
      <c r="D4917">
        <v>9</v>
      </c>
      <c r="E4917" t="s">
        <v>4552</v>
      </c>
      <c r="F4917" t="s">
        <v>4047</v>
      </c>
      <c r="G4917" t="s">
        <v>411</v>
      </c>
      <c r="H4917" t="s">
        <v>412</v>
      </c>
      <c r="I4917" t="s">
        <v>86</v>
      </c>
      <c r="J4917">
        <v>39</v>
      </c>
      <c r="K4917" t="s">
        <v>82</v>
      </c>
      <c r="L4917" t="s">
        <v>2586</v>
      </c>
      <c r="M4917" t="s">
        <v>62</v>
      </c>
      <c r="N4917" t="s">
        <v>2601</v>
      </c>
      <c r="O4917" t="s">
        <v>117</v>
      </c>
      <c r="P4917" t="s">
        <v>49</v>
      </c>
      <c r="Q4917" t="s">
        <v>139</v>
      </c>
      <c r="R4917">
        <v>3</v>
      </c>
      <c r="S4917">
        <v>6999</v>
      </c>
      <c r="T4917">
        <v>0</v>
      </c>
      <c r="U4917">
        <v>20997</v>
      </c>
      <c r="V4917">
        <v>12900</v>
      </c>
      <c r="W4917">
        <v>8097</v>
      </c>
      <c r="X4917" t="s">
        <v>73</v>
      </c>
      <c r="Y4917" t="s">
        <v>68</v>
      </c>
      <c r="Z4917" t="s">
        <v>160</v>
      </c>
      <c r="AA4917" t="s">
        <v>167</v>
      </c>
      <c r="AB4917">
        <v>3.3</v>
      </c>
      <c r="AC4917">
        <v>50</v>
      </c>
      <c r="AD4917">
        <v>1015.91</v>
      </c>
      <c r="AE4917">
        <f t="shared" si="152"/>
        <v>7031.09</v>
      </c>
      <c r="AF4917" t="str">
        <f t="shared" si="153"/>
        <v>2026-09</v>
      </c>
      <c r="AG4917">
        <f>SUBTOTAL(103,A4917)</f>
        <v>1</v>
      </c>
    </row>
    <row r="4918" spans="1:33" x14ac:dyDescent="0.3">
      <c r="A4918" t="s">
        <v>7541</v>
      </c>
      <c r="B4918" s="13">
        <v>46284</v>
      </c>
      <c r="C4918">
        <v>2026</v>
      </c>
      <c r="D4918">
        <v>9</v>
      </c>
      <c r="E4918" t="s">
        <v>4552</v>
      </c>
      <c r="F4918" t="s">
        <v>4047</v>
      </c>
      <c r="G4918" t="s">
        <v>909</v>
      </c>
      <c r="H4918" t="s">
        <v>910</v>
      </c>
      <c r="I4918" t="s">
        <v>86</v>
      </c>
      <c r="J4918">
        <v>55</v>
      </c>
      <c r="K4918" t="s">
        <v>83</v>
      </c>
      <c r="L4918" t="s">
        <v>94</v>
      </c>
      <c r="M4918" t="s">
        <v>57</v>
      </c>
      <c r="N4918" t="s">
        <v>2665</v>
      </c>
      <c r="O4918" t="s">
        <v>128</v>
      </c>
      <c r="P4918" t="s">
        <v>53</v>
      </c>
      <c r="Q4918" t="s">
        <v>143</v>
      </c>
      <c r="R4918">
        <v>1</v>
      </c>
      <c r="S4918">
        <v>1499</v>
      </c>
      <c r="T4918">
        <v>0</v>
      </c>
      <c r="U4918">
        <v>1499</v>
      </c>
      <c r="V4918">
        <v>800</v>
      </c>
      <c r="W4918">
        <v>699</v>
      </c>
      <c r="X4918" t="s">
        <v>73</v>
      </c>
      <c r="Y4918" t="s">
        <v>68</v>
      </c>
      <c r="Z4918" t="s">
        <v>159</v>
      </c>
      <c r="AA4918" t="s">
        <v>167</v>
      </c>
      <c r="AB4918">
        <v>4</v>
      </c>
      <c r="AC4918">
        <v>50</v>
      </c>
      <c r="AD4918">
        <v>146.28</v>
      </c>
      <c r="AE4918">
        <f t="shared" si="152"/>
        <v>502.72</v>
      </c>
      <c r="AF4918" t="str">
        <f t="shared" si="153"/>
        <v>2026-09</v>
      </c>
      <c r="AG4918">
        <f>SUBTOTAL(103,A4918)</f>
        <v>1</v>
      </c>
    </row>
    <row r="4919" spans="1:33" x14ac:dyDescent="0.3">
      <c r="A4919" t="s">
        <v>7542</v>
      </c>
      <c r="B4919" s="13">
        <v>46284</v>
      </c>
      <c r="C4919">
        <v>2026</v>
      </c>
      <c r="D4919">
        <v>9</v>
      </c>
      <c r="E4919" t="s">
        <v>4552</v>
      </c>
      <c r="F4919" t="s">
        <v>4047</v>
      </c>
      <c r="G4919" t="s">
        <v>1603</v>
      </c>
      <c r="H4919" t="s">
        <v>1604</v>
      </c>
      <c r="I4919" t="s">
        <v>85</v>
      </c>
      <c r="J4919">
        <v>24</v>
      </c>
      <c r="K4919" t="s">
        <v>80</v>
      </c>
      <c r="L4919" t="s">
        <v>2589</v>
      </c>
      <c r="M4919" t="s">
        <v>61</v>
      </c>
      <c r="N4919" t="s">
        <v>2582</v>
      </c>
      <c r="O4919" t="s">
        <v>119</v>
      </c>
      <c r="P4919" t="s">
        <v>49</v>
      </c>
      <c r="Q4919" t="s">
        <v>140</v>
      </c>
      <c r="R4919">
        <v>1</v>
      </c>
      <c r="S4919">
        <v>3499</v>
      </c>
      <c r="T4919">
        <v>0.25</v>
      </c>
      <c r="U4919">
        <v>0</v>
      </c>
      <c r="V4919">
        <v>0</v>
      </c>
      <c r="W4919">
        <v>0</v>
      </c>
      <c r="X4919" t="s">
        <v>77</v>
      </c>
      <c r="Y4919" t="s">
        <v>71</v>
      </c>
      <c r="Z4919" t="s">
        <v>159</v>
      </c>
      <c r="AA4919" t="s">
        <v>166</v>
      </c>
      <c r="AB4919">
        <v>3.4</v>
      </c>
      <c r="AC4919">
        <v>40</v>
      </c>
      <c r="AD4919">
        <v>283.14999999999998</v>
      </c>
      <c r="AE4919">
        <f t="shared" si="152"/>
        <v>-323.14999999999998</v>
      </c>
      <c r="AF4919" t="str">
        <f t="shared" si="153"/>
        <v>2026-09</v>
      </c>
      <c r="AG4919">
        <f>SUBTOTAL(103,A4919)</f>
        <v>1</v>
      </c>
    </row>
    <row r="4920" spans="1:33" x14ac:dyDescent="0.3">
      <c r="A4920" t="s">
        <v>7543</v>
      </c>
      <c r="B4920" s="13">
        <v>46284</v>
      </c>
      <c r="C4920">
        <v>2026</v>
      </c>
      <c r="D4920">
        <v>9</v>
      </c>
      <c r="E4920" t="s">
        <v>4552</v>
      </c>
      <c r="F4920" t="s">
        <v>4047</v>
      </c>
      <c r="G4920" t="s">
        <v>529</v>
      </c>
      <c r="H4920" t="s">
        <v>530</v>
      </c>
      <c r="I4920" t="s">
        <v>85</v>
      </c>
      <c r="J4920">
        <v>33</v>
      </c>
      <c r="K4920" t="s">
        <v>81</v>
      </c>
      <c r="L4920" t="s">
        <v>94</v>
      </c>
      <c r="M4920" t="s">
        <v>57</v>
      </c>
      <c r="N4920" t="s">
        <v>2601</v>
      </c>
      <c r="O4920" t="s">
        <v>117</v>
      </c>
      <c r="P4920" t="s">
        <v>49</v>
      </c>
      <c r="Q4920" t="s">
        <v>139</v>
      </c>
      <c r="R4920">
        <v>1</v>
      </c>
      <c r="S4920">
        <v>6999</v>
      </c>
      <c r="T4920">
        <v>0.1</v>
      </c>
      <c r="U4920">
        <v>6299.1</v>
      </c>
      <c r="V4920">
        <v>4300</v>
      </c>
      <c r="W4920">
        <v>1999.1</v>
      </c>
      <c r="X4920" t="s">
        <v>77</v>
      </c>
      <c r="Y4920" t="s">
        <v>68</v>
      </c>
      <c r="Z4920" t="s">
        <v>159</v>
      </c>
      <c r="AA4920" t="s">
        <v>171</v>
      </c>
      <c r="AB4920">
        <v>4.2</v>
      </c>
      <c r="AC4920">
        <v>80</v>
      </c>
      <c r="AD4920">
        <v>357.34</v>
      </c>
      <c r="AE4920">
        <f t="shared" si="152"/>
        <v>1561.76</v>
      </c>
      <c r="AF4920" t="str">
        <f t="shared" si="153"/>
        <v>2026-09</v>
      </c>
      <c r="AG4920">
        <f>SUBTOTAL(103,A4920)</f>
        <v>1</v>
      </c>
    </row>
    <row r="4921" spans="1:33" x14ac:dyDescent="0.3">
      <c r="A4921" t="s">
        <v>7544</v>
      </c>
      <c r="B4921" s="13">
        <v>46284</v>
      </c>
      <c r="C4921">
        <v>2026</v>
      </c>
      <c r="D4921">
        <v>9</v>
      </c>
      <c r="E4921" t="s">
        <v>4552</v>
      </c>
      <c r="F4921" t="s">
        <v>4047</v>
      </c>
      <c r="G4921" t="s">
        <v>437</v>
      </c>
      <c r="H4921" t="s">
        <v>438</v>
      </c>
      <c r="I4921" t="s">
        <v>86</v>
      </c>
      <c r="J4921">
        <v>55</v>
      </c>
      <c r="K4921" t="s">
        <v>83</v>
      </c>
      <c r="L4921" t="s">
        <v>94</v>
      </c>
      <c r="M4921" t="s">
        <v>57</v>
      </c>
      <c r="N4921" t="s">
        <v>2653</v>
      </c>
      <c r="O4921" t="s">
        <v>132</v>
      </c>
      <c r="P4921" t="s">
        <v>52</v>
      </c>
      <c r="Q4921" t="s">
        <v>150</v>
      </c>
      <c r="R4921">
        <v>3</v>
      </c>
      <c r="S4921">
        <v>899</v>
      </c>
      <c r="T4921">
        <v>0.1</v>
      </c>
      <c r="U4921">
        <v>2427.3000000000002</v>
      </c>
      <c r="V4921">
        <v>1260</v>
      </c>
      <c r="W4921">
        <v>1167.3</v>
      </c>
      <c r="X4921" t="s">
        <v>74</v>
      </c>
      <c r="Y4921" t="s">
        <v>68</v>
      </c>
      <c r="Z4921" t="s">
        <v>161</v>
      </c>
      <c r="AA4921" t="s">
        <v>169</v>
      </c>
      <c r="AB4921">
        <v>4.5999999999999996</v>
      </c>
      <c r="AC4921">
        <v>80</v>
      </c>
      <c r="AD4921">
        <v>74.400000000000006</v>
      </c>
      <c r="AE4921">
        <f t="shared" si="152"/>
        <v>1012.9</v>
      </c>
      <c r="AF4921" t="str">
        <f t="shared" si="153"/>
        <v>2026-09</v>
      </c>
      <c r="AG4921">
        <f>SUBTOTAL(103,A4921)</f>
        <v>1</v>
      </c>
    </row>
    <row r="4922" spans="1:33" x14ac:dyDescent="0.3">
      <c r="A4922" t="s">
        <v>7545</v>
      </c>
      <c r="B4922" s="13">
        <v>46284</v>
      </c>
      <c r="C4922">
        <v>2026</v>
      </c>
      <c r="D4922">
        <v>9</v>
      </c>
      <c r="E4922" t="s">
        <v>4552</v>
      </c>
      <c r="F4922" t="s">
        <v>4047</v>
      </c>
      <c r="G4922" t="s">
        <v>2409</v>
      </c>
      <c r="H4922" t="s">
        <v>2410</v>
      </c>
      <c r="I4922" t="s">
        <v>86</v>
      </c>
      <c r="J4922">
        <v>37</v>
      </c>
      <c r="K4922" t="s">
        <v>82</v>
      </c>
      <c r="L4922" t="s">
        <v>2616</v>
      </c>
      <c r="M4922" t="s">
        <v>62</v>
      </c>
      <c r="N4922" t="s">
        <v>2647</v>
      </c>
      <c r="O4922" t="s">
        <v>133</v>
      </c>
      <c r="P4922" t="s">
        <v>50</v>
      </c>
      <c r="Q4922" t="s">
        <v>145</v>
      </c>
      <c r="R4922">
        <v>1</v>
      </c>
      <c r="S4922">
        <v>799</v>
      </c>
      <c r="T4922">
        <v>0.1</v>
      </c>
      <c r="U4922">
        <v>719.1</v>
      </c>
      <c r="V4922">
        <v>390</v>
      </c>
      <c r="W4922">
        <v>329.1</v>
      </c>
      <c r="X4922" t="s">
        <v>73</v>
      </c>
      <c r="Y4922" t="s">
        <v>68</v>
      </c>
      <c r="Z4922" t="s">
        <v>159</v>
      </c>
      <c r="AA4922" t="s">
        <v>171</v>
      </c>
      <c r="AB4922">
        <v>4.5</v>
      </c>
      <c r="AC4922">
        <v>80</v>
      </c>
      <c r="AD4922">
        <v>73.37</v>
      </c>
      <c r="AE4922">
        <f t="shared" si="152"/>
        <v>175.73000000000002</v>
      </c>
      <c r="AF4922" t="str">
        <f t="shared" si="153"/>
        <v>2026-09</v>
      </c>
      <c r="AG4922">
        <f>SUBTOTAL(103,A4922)</f>
        <v>1</v>
      </c>
    </row>
    <row r="4923" spans="1:33" x14ac:dyDescent="0.3">
      <c r="A4923" t="s">
        <v>7546</v>
      </c>
      <c r="B4923" s="13">
        <v>46284</v>
      </c>
      <c r="C4923">
        <v>2026</v>
      </c>
      <c r="D4923">
        <v>9</v>
      </c>
      <c r="E4923" t="s">
        <v>4552</v>
      </c>
      <c r="F4923" t="s">
        <v>4047</v>
      </c>
      <c r="G4923" t="s">
        <v>959</v>
      </c>
      <c r="H4923" t="s">
        <v>960</v>
      </c>
      <c r="I4923" t="s">
        <v>86</v>
      </c>
      <c r="J4923">
        <v>26</v>
      </c>
      <c r="K4923" t="s">
        <v>81</v>
      </c>
      <c r="L4923" t="s">
        <v>2679</v>
      </c>
      <c r="M4923" t="s">
        <v>60</v>
      </c>
      <c r="N4923" t="s">
        <v>2587</v>
      </c>
      <c r="O4923" t="s">
        <v>116</v>
      </c>
      <c r="P4923" t="s">
        <v>48</v>
      </c>
      <c r="Q4923" t="s">
        <v>138</v>
      </c>
      <c r="R4923">
        <v>1</v>
      </c>
      <c r="S4923">
        <v>14999</v>
      </c>
      <c r="T4923">
        <v>0</v>
      </c>
      <c r="U4923">
        <v>0</v>
      </c>
      <c r="V4923">
        <v>0</v>
      </c>
      <c r="W4923">
        <v>0</v>
      </c>
      <c r="X4923" t="s">
        <v>73</v>
      </c>
      <c r="Y4923" t="s">
        <v>71</v>
      </c>
      <c r="Z4923" t="s">
        <v>159</v>
      </c>
      <c r="AA4923" t="s">
        <v>169</v>
      </c>
      <c r="AB4923">
        <v>3</v>
      </c>
      <c r="AC4923">
        <v>60</v>
      </c>
      <c r="AD4923">
        <v>755.07</v>
      </c>
      <c r="AE4923">
        <f t="shared" si="152"/>
        <v>-815.07</v>
      </c>
      <c r="AF4923" t="str">
        <f t="shared" si="153"/>
        <v>2026-09</v>
      </c>
      <c r="AG4923">
        <f>SUBTOTAL(103,A4923)</f>
        <v>1</v>
      </c>
    </row>
    <row r="4924" spans="1:33" x14ac:dyDescent="0.3">
      <c r="A4924" t="s">
        <v>7547</v>
      </c>
      <c r="B4924" s="13">
        <v>46285</v>
      </c>
      <c r="C4924">
        <v>2026</v>
      </c>
      <c r="D4924">
        <v>9</v>
      </c>
      <c r="E4924" t="s">
        <v>4552</v>
      </c>
      <c r="F4924" t="s">
        <v>4047</v>
      </c>
      <c r="G4924" t="s">
        <v>1953</v>
      </c>
      <c r="H4924" t="s">
        <v>1954</v>
      </c>
      <c r="I4924" t="s">
        <v>86</v>
      </c>
      <c r="J4924">
        <v>30</v>
      </c>
      <c r="K4924" t="s">
        <v>81</v>
      </c>
      <c r="L4924" t="s">
        <v>91</v>
      </c>
      <c r="M4924" t="s">
        <v>55</v>
      </c>
      <c r="N4924" t="s">
        <v>2630</v>
      </c>
      <c r="O4924" t="s">
        <v>123</v>
      </c>
      <c r="P4924" t="s">
        <v>52</v>
      </c>
      <c r="Q4924" t="s">
        <v>146</v>
      </c>
      <c r="R4924">
        <v>2</v>
      </c>
      <c r="S4924">
        <v>2499</v>
      </c>
      <c r="T4924">
        <v>0.1</v>
      </c>
      <c r="U4924">
        <v>4498.2</v>
      </c>
      <c r="V4924">
        <v>2800</v>
      </c>
      <c r="W4924">
        <v>1698.2</v>
      </c>
      <c r="X4924" t="s">
        <v>74</v>
      </c>
      <c r="Y4924" t="s">
        <v>68</v>
      </c>
      <c r="Z4924" t="s">
        <v>162</v>
      </c>
      <c r="AA4924" t="s">
        <v>170</v>
      </c>
      <c r="AB4924">
        <v>4.5</v>
      </c>
      <c r="AC4924">
        <v>50</v>
      </c>
      <c r="AD4924">
        <v>274.14</v>
      </c>
      <c r="AE4924">
        <f t="shared" si="152"/>
        <v>1374.06</v>
      </c>
      <c r="AF4924" t="str">
        <f t="shared" si="153"/>
        <v>2026-09</v>
      </c>
      <c r="AG4924">
        <f>SUBTOTAL(103,A4924)</f>
        <v>1</v>
      </c>
    </row>
    <row r="4925" spans="1:33" x14ac:dyDescent="0.3">
      <c r="A4925" t="s">
        <v>7548</v>
      </c>
      <c r="B4925" s="13">
        <v>46285</v>
      </c>
      <c r="C4925">
        <v>2026</v>
      </c>
      <c r="D4925">
        <v>9</v>
      </c>
      <c r="E4925" t="s">
        <v>4552</v>
      </c>
      <c r="F4925" t="s">
        <v>4047</v>
      </c>
      <c r="G4925" t="s">
        <v>1465</v>
      </c>
      <c r="H4925" t="s">
        <v>1466</v>
      </c>
      <c r="I4925" t="s">
        <v>85</v>
      </c>
      <c r="J4925">
        <v>53</v>
      </c>
      <c r="K4925" t="s">
        <v>83</v>
      </c>
      <c r="L4925" t="s">
        <v>2637</v>
      </c>
      <c r="M4925" t="s">
        <v>64</v>
      </c>
      <c r="N4925" t="s">
        <v>2665</v>
      </c>
      <c r="O4925" t="s">
        <v>128</v>
      </c>
      <c r="P4925" t="s">
        <v>53</v>
      </c>
      <c r="Q4925" t="s">
        <v>143</v>
      </c>
      <c r="R4925">
        <v>4</v>
      </c>
      <c r="S4925">
        <v>1499</v>
      </c>
      <c r="T4925">
        <v>0.15</v>
      </c>
      <c r="U4925">
        <v>5096.6000000000004</v>
      </c>
      <c r="V4925">
        <v>3200</v>
      </c>
      <c r="W4925">
        <v>1896.6</v>
      </c>
      <c r="X4925" t="s">
        <v>74</v>
      </c>
      <c r="Y4925" t="s">
        <v>68</v>
      </c>
      <c r="Z4925" t="s">
        <v>158</v>
      </c>
      <c r="AA4925" t="s">
        <v>170</v>
      </c>
      <c r="AB4925">
        <v>5</v>
      </c>
      <c r="AC4925">
        <v>80</v>
      </c>
      <c r="AD4925">
        <v>376.58</v>
      </c>
      <c r="AE4925">
        <f t="shared" si="152"/>
        <v>1440.02</v>
      </c>
      <c r="AF4925" t="str">
        <f t="shared" si="153"/>
        <v>2026-09</v>
      </c>
      <c r="AG4925">
        <f>SUBTOTAL(103,A4925)</f>
        <v>1</v>
      </c>
    </row>
    <row r="4926" spans="1:33" x14ac:dyDescent="0.3">
      <c r="A4926" t="s">
        <v>7549</v>
      </c>
      <c r="B4926" s="13">
        <v>46285</v>
      </c>
      <c r="C4926">
        <v>2026</v>
      </c>
      <c r="D4926">
        <v>9</v>
      </c>
      <c r="E4926" t="s">
        <v>4552</v>
      </c>
      <c r="F4926" t="s">
        <v>4047</v>
      </c>
      <c r="G4926" t="s">
        <v>993</v>
      </c>
      <c r="H4926" t="s">
        <v>994</v>
      </c>
      <c r="I4926" t="s">
        <v>86</v>
      </c>
      <c r="J4926">
        <v>25</v>
      </c>
      <c r="K4926" t="s">
        <v>80</v>
      </c>
      <c r="L4926" t="s">
        <v>91</v>
      </c>
      <c r="M4926" t="s">
        <v>55</v>
      </c>
      <c r="N4926" t="s">
        <v>2580</v>
      </c>
      <c r="O4926" t="s">
        <v>118</v>
      </c>
      <c r="P4926" t="s">
        <v>48</v>
      </c>
      <c r="Q4926" t="s">
        <v>142</v>
      </c>
      <c r="R4926">
        <v>3</v>
      </c>
      <c r="S4926">
        <v>3999</v>
      </c>
      <c r="T4926">
        <v>0.15</v>
      </c>
      <c r="U4926">
        <v>10197.450000000001</v>
      </c>
      <c r="V4926">
        <v>7200</v>
      </c>
      <c r="W4926">
        <v>2997.45</v>
      </c>
      <c r="X4926" t="s">
        <v>74</v>
      </c>
      <c r="Y4926" t="s">
        <v>70</v>
      </c>
      <c r="Z4926" t="s">
        <v>161</v>
      </c>
      <c r="AA4926" t="s">
        <v>169</v>
      </c>
      <c r="AB4926">
        <v>4</v>
      </c>
      <c r="AC4926">
        <v>80</v>
      </c>
      <c r="AD4926">
        <v>407.64</v>
      </c>
      <c r="AE4926">
        <f t="shared" si="152"/>
        <v>2509.81</v>
      </c>
      <c r="AF4926" t="str">
        <f t="shared" si="153"/>
        <v>2026-09</v>
      </c>
      <c r="AG4926">
        <f>SUBTOTAL(103,A4926)</f>
        <v>1</v>
      </c>
    </row>
    <row r="4927" spans="1:33" x14ac:dyDescent="0.3">
      <c r="A4927" t="s">
        <v>7550</v>
      </c>
      <c r="B4927" s="13">
        <v>46285</v>
      </c>
      <c r="C4927">
        <v>2026</v>
      </c>
      <c r="D4927">
        <v>9</v>
      </c>
      <c r="E4927" t="s">
        <v>4552</v>
      </c>
      <c r="F4927" t="s">
        <v>4047</v>
      </c>
      <c r="G4927" t="s">
        <v>749</v>
      </c>
      <c r="H4927" t="s">
        <v>750</v>
      </c>
      <c r="I4927" t="s">
        <v>85</v>
      </c>
      <c r="J4927">
        <v>56</v>
      </c>
      <c r="K4927" t="s">
        <v>83</v>
      </c>
      <c r="L4927" t="s">
        <v>97</v>
      </c>
      <c r="M4927" t="s">
        <v>57</v>
      </c>
      <c r="N4927" t="s">
        <v>2653</v>
      </c>
      <c r="O4927" t="s">
        <v>132</v>
      </c>
      <c r="P4927" t="s">
        <v>52</v>
      </c>
      <c r="Q4927" t="s">
        <v>150</v>
      </c>
      <c r="R4927">
        <v>2</v>
      </c>
      <c r="S4927">
        <v>899</v>
      </c>
      <c r="T4927">
        <v>0.1</v>
      </c>
      <c r="U4927">
        <v>1618.2</v>
      </c>
      <c r="V4927">
        <v>840</v>
      </c>
      <c r="W4927">
        <v>778.2</v>
      </c>
      <c r="X4927" t="s">
        <v>74</v>
      </c>
      <c r="Y4927" t="s">
        <v>68</v>
      </c>
      <c r="Z4927" t="s">
        <v>161</v>
      </c>
      <c r="AA4927" t="s">
        <v>168</v>
      </c>
      <c r="AB4927">
        <v>4.8</v>
      </c>
      <c r="AC4927">
        <v>50</v>
      </c>
      <c r="AD4927">
        <v>51.08</v>
      </c>
      <c r="AE4927">
        <f t="shared" si="152"/>
        <v>677.12</v>
      </c>
      <c r="AF4927" t="str">
        <f t="shared" si="153"/>
        <v>2026-09</v>
      </c>
      <c r="AG4927">
        <f>SUBTOTAL(103,A4927)</f>
        <v>1</v>
      </c>
    </row>
    <row r="4928" spans="1:33" x14ac:dyDescent="0.3">
      <c r="A4928" t="s">
        <v>7551</v>
      </c>
      <c r="B4928" s="13">
        <v>46285</v>
      </c>
      <c r="C4928">
        <v>2026</v>
      </c>
      <c r="D4928">
        <v>9</v>
      </c>
      <c r="E4928" t="s">
        <v>4552</v>
      </c>
      <c r="F4928" t="s">
        <v>4047</v>
      </c>
      <c r="G4928" t="s">
        <v>1227</v>
      </c>
      <c r="H4928" t="s">
        <v>1228</v>
      </c>
      <c r="I4928" t="s">
        <v>86</v>
      </c>
      <c r="J4928">
        <v>55</v>
      </c>
      <c r="K4928" t="s">
        <v>83</v>
      </c>
      <c r="L4928" t="s">
        <v>2634</v>
      </c>
      <c r="M4928" t="s">
        <v>56</v>
      </c>
      <c r="N4928" t="s">
        <v>2657</v>
      </c>
      <c r="O4928" t="s">
        <v>134</v>
      </c>
      <c r="P4928" t="s">
        <v>49</v>
      </c>
      <c r="Q4928" t="s">
        <v>140</v>
      </c>
      <c r="R4928">
        <v>3</v>
      </c>
      <c r="S4928">
        <v>599</v>
      </c>
      <c r="T4928">
        <v>0.1</v>
      </c>
      <c r="U4928">
        <v>1617.3</v>
      </c>
      <c r="V4928">
        <v>750</v>
      </c>
      <c r="W4928">
        <v>867.3</v>
      </c>
      <c r="X4928" t="s">
        <v>76</v>
      </c>
      <c r="Y4928" t="s">
        <v>68</v>
      </c>
      <c r="Z4928" t="s">
        <v>158</v>
      </c>
      <c r="AA4928" t="s">
        <v>167</v>
      </c>
      <c r="AB4928">
        <v>3.9</v>
      </c>
      <c r="AC4928">
        <v>60</v>
      </c>
      <c r="AD4928">
        <v>148.30000000000001</v>
      </c>
      <c r="AE4928">
        <f t="shared" si="152"/>
        <v>659</v>
      </c>
      <c r="AF4928" t="str">
        <f t="shared" si="153"/>
        <v>2026-09</v>
      </c>
      <c r="AG4928">
        <f>SUBTOTAL(103,A4928)</f>
        <v>1</v>
      </c>
    </row>
    <row r="4929" spans="1:33" x14ac:dyDescent="0.3">
      <c r="A4929" t="s">
        <v>7552</v>
      </c>
      <c r="B4929" s="13">
        <v>46285</v>
      </c>
      <c r="C4929">
        <v>2026</v>
      </c>
      <c r="D4929">
        <v>9</v>
      </c>
      <c r="E4929" t="s">
        <v>4552</v>
      </c>
      <c r="F4929" t="s">
        <v>4047</v>
      </c>
      <c r="G4929" t="s">
        <v>2405</v>
      </c>
      <c r="H4929" t="s">
        <v>2406</v>
      </c>
      <c r="I4929" t="s">
        <v>85</v>
      </c>
      <c r="J4929">
        <v>32</v>
      </c>
      <c r="K4929" t="s">
        <v>81</v>
      </c>
      <c r="L4929" t="s">
        <v>2579</v>
      </c>
      <c r="M4929" t="s">
        <v>56</v>
      </c>
      <c r="N4929" t="s">
        <v>2653</v>
      </c>
      <c r="O4929" t="s">
        <v>132</v>
      </c>
      <c r="P4929" t="s">
        <v>52</v>
      </c>
      <c r="Q4929" t="s">
        <v>150</v>
      </c>
      <c r="R4929">
        <v>1</v>
      </c>
      <c r="S4929">
        <v>899</v>
      </c>
      <c r="T4929">
        <v>0.15</v>
      </c>
      <c r="U4929">
        <v>764.15</v>
      </c>
      <c r="V4929">
        <v>420</v>
      </c>
      <c r="W4929">
        <v>344.15</v>
      </c>
      <c r="X4929" t="s">
        <v>73</v>
      </c>
      <c r="Y4929" t="s">
        <v>68</v>
      </c>
      <c r="Z4929" t="s">
        <v>159</v>
      </c>
      <c r="AA4929" t="s">
        <v>166</v>
      </c>
      <c r="AB4929">
        <v>3.9</v>
      </c>
      <c r="AC4929">
        <v>40</v>
      </c>
      <c r="AD4929">
        <v>27.16</v>
      </c>
      <c r="AE4929">
        <f t="shared" si="152"/>
        <v>276.98999999999995</v>
      </c>
      <c r="AF4929" t="str">
        <f t="shared" si="153"/>
        <v>2026-09</v>
      </c>
      <c r="AG4929">
        <f>SUBTOTAL(103,A4929)</f>
        <v>1</v>
      </c>
    </row>
    <row r="4930" spans="1:33" x14ac:dyDescent="0.3">
      <c r="A4930" t="s">
        <v>7553</v>
      </c>
      <c r="B4930" s="13">
        <v>46285</v>
      </c>
      <c r="C4930">
        <v>2026</v>
      </c>
      <c r="D4930">
        <v>9</v>
      </c>
      <c r="E4930" t="s">
        <v>4552</v>
      </c>
      <c r="F4930" t="s">
        <v>4047</v>
      </c>
      <c r="G4930" t="s">
        <v>1271</v>
      </c>
      <c r="H4930" t="s">
        <v>1272</v>
      </c>
      <c r="I4930" t="s">
        <v>86</v>
      </c>
      <c r="J4930">
        <v>22</v>
      </c>
      <c r="K4930" t="s">
        <v>80</v>
      </c>
      <c r="L4930" t="s">
        <v>2579</v>
      </c>
      <c r="M4930" t="s">
        <v>56</v>
      </c>
      <c r="N4930" t="s">
        <v>2601</v>
      </c>
      <c r="O4930" t="s">
        <v>117</v>
      </c>
      <c r="P4930" t="s">
        <v>49</v>
      </c>
      <c r="Q4930" t="s">
        <v>139</v>
      </c>
      <c r="R4930">
        <v>1</v>
      </c>
      <c r="S4930">
        <v>6999</v>
      </c>
      <c r="T4930">
        <v>0.05</v>
      </c>
      <c r="U4930">
        <v>6649.05</v>
      </c>
      <c r="V4930">
        <v>4300</v>
      </c>
      <c r="W4930">
        <v>2349.0500000000002</v>
      </c>
      <c r="X4930" t="s">
        <v>76</v>
      </c>
      <c r="Y4930" t="s">
        <v>68</v>
      </c>
      <c r="Z4930" t="s">
        <v>160</v>
      </c>
      <c r="AA4930" t="s">
        <v>167</v>
      </c>
      <c r="AB4930">
        <v>4.2</v>
      </c>
      <c r="AC4930">
        <v>120</v>
      </c>
      <c r="AD4930">
        <v>734.64</v>
      </c>
      <c r="AE4930">
        <f t="shared" ref="AE4930:AE4993" si="154">W4930-AC4930-AD4930</f>
        <v>1494.4100000000003</v>
      </c>
      <c r="AF4930" t="str">
        <f t="shared" ref="AF4930:AF4993" si="155">C4930&amp;"-"&amp;TEXT(D4930,"00")</f>
        <v>2026-09</v>
      </c>
      <c r="AG4930">
        <f>SUBTOTAL(103,A4930)</f>
        <v>1</v>
      </c>
    </row>
    <row r="4931" spans="1:33" x14ac:dyDescent="0.3">
      <c r="A4931" t="s">
        <v>7554</v>
      </c>
      <c r="B4931" s="13">
        <v>46285</v>
      </c>
      <c r="C4931">
        <v>2026</v>
      </c>
      <c r="D4931">
        <v>9</v>
      </c>
      <c r="E4931" t="s">
        <v>4552</v>
      </c>
      <c r="F4931" t="s">
        <v>4047</v>
      </c>
      <c r="G4931" t="s">
        <v>811</v>
      </c>
      <c r="H4931" t="s">
        <v>812</v>
      </c>
      <c r="I4931" t="s">
        <v>85</v>
      </c>
      <c r="J4931">
        <v>47</v>
      </c>
      <c r="K4931" t="s">
        <v>83</v>
      </c>
      <c r="L4931" t="s">
        <v>92</v>
      </c>
      <c r="M4931" t="s">
        <v>59</v>
      </c>
      <c r="N4931" t="s">
        <v>2603</v>
      </c>
      <c r="O4931" t="s">
        <v>122</v>
      </c>
      <c r="P4931" t="s">
        <v>48</v>
      </c>
      <c r="Q4931" t="s">
        <v>141</v>
      </c>
      <c r="R4931">
        <v>1</v>
      </c>
      <c r="S4931">
        <v>2499</v>
      </c>
      <c r="T4931">
        <v>0.25</v>
      </c>
      <c r="U4931">
        <v>0</v>
      </c>
      <c r="V4931">
        <v>0</v>
      </c>
      <c r="W4931">
        <v>0</v>
      </c>
      <c r="X4931" t="s">
        <v>76</v>
      </c>
      <c r="Y4931" t="s">
        <v>71</v>
      </c>
      <c r="Z4931" t="s">
        <v>158</v>
      </c>
      <c r="AA4931" t="s">
        <v>170</v>
      </c>
      <c r="AB4931">
        <v>2.9</v>
      </c>
      <c r="AC4931">
        <v>50</v>
      </c>
      <c r="AD4931">
        <v>37.799999999999997</v>
      </c>
      <c r="AE4931">
        <f t="shared" si="154"/>
        <v>-87.8</v>
      </c>
      <c r="AF4931" t="str">
        <f t="shared" si="155"/>
        <v>2026-09</v>
      </c>
      <c r="AG4931">
        <f>SUBTOTAL(103,A4931)</f>
        <v>1</v>
      </c>
    </row>
    <row r="4932" spans="1:33" x14ac:dyDescent="0.3">
      <c r="A4932" t="s">
        <v>7555</v>
      </c>
      <c r="B4932" s="13">
        <v>46285</v>
      </c>
      <c r="C4932">
        <v>2026</v>
      </c>
      <c r="D4932">
        <v>9</v>
      </c>
      <c r="E4932" t="s">
        <v>4552</v>
      </c>
      <c r="F4932" t="s">
        <v>4047</v>
      </c>
      <c r="G4932" t="s">
        <v>349</v>
      </c>
      <c r="H4932" t="s">
        <v>350</v>
      </c>
      <c r="I4932" t="s">
        <v>85</v>
      </c>
      <c r="J4932">
        <v>39</v>
      </c>
      <c r="K4932" t="s">
        <v>82</v>
      </c>
      <c r="L4932" t="s">
        <v>91</v>
      </c>
      <c r="M4932" t="s">
        <v>55</v>
      </c>
      <c r="N4932" t="s">
        <v>2584</v>
      </c>
      <c r="O4932" t="s">
        <v>121</v>
      </c>
      <c r="P4932" t="s">
        <v>50</v>
      </c>
      <c r="Q4932" t="s">
        <v>144</v>
      </c>
      <c r="R4932">
        <v>3</v>
      </c>
      <c r="S4932">
        <v>2999</v>
      </c>
      <c r="T4932">
        <v>0.05</v>
      </c>
      <c r="U4932">
        <v>8547.15</v>
      </c>
      <c r="V4932">
        <v>5100</v>
      </c>
      <c r="W4932">
        <v>3447.15</v>
      </c>
      <c r="X4932" t="s">
        <v>76</v>
      </c>
      <c r="Y4932" t="s">
        <v>68</v>
      </c>
      <c r="Z4932" t="s">
        <v>159</v>
      </c>
      <c r="AA4932" t="s">
        <v>166</v>
      </c>
      <c r="AB4932">
        <v>2.5</v>
      </c>
      <c r="AC4932">
        <v>60</v>
      </c>
      <c r="AD4932">
        <v>576.92999999999995</v>
      </c>
      <c r="AE4932">
        <f t="shared" si="154"/>
        <v>2810.2200000000003</v>
      </c>
      <c r="AF4932" t="str">
        <f t="shared" si="155"/>
        <v>2026-09</v>
      </c>
      <c r="AG4932">
        <f>SUBTOTAL(103,A4932)</f>
        <v>1</v>
      </c>
    </row>
    <row r="4933" spans="1:33" x14ac:dyDescent="0.3">
      <c r="A4933" t="s">
        <v>7556</v>
      </c>
      <c r="B4933" s="13">
        <v>46285</v>
      </c>
      <c r="C4933">
        <v>2026</v>
      </c>
      <c r="D4933">
        <v>9</v>
      </c>
      <c r="E4933" t="s">
        <v>4552</v>
      </c>
      <c r="F4933" t="s">
        <v>4047</v>
      </c>
      <c r="G4933" t="s">
        <v>1307</v>
      </c>
      <c r="H4933" t="s">
        <v>1308</v>
      </c>
      <c r="I4933" t="s">
        <v>85</v>
      </c>
      <c r="J4933">
        <v>18</v>
      </c>
      <c r="K4933" t="s">
        <v>80</v>
      </c>
      <c r="L4933" t="s">
        <v>92</v>
      </c>
      <c r="M4933" t="s">
        <v>59</v>
      </c>
      <c r="N4933" t="s">
        <v>2574</v>
      </c>
      <c r="O4933" t="s">
        <v>130</v>
      </c>
      <c r="P4933" t="s">
        <v>50</v>
      </c>
      <c r="Q4933" t="s">
        <v>53</v>
      </c>
      <c r="R4933">
        <v>3</v>
      </c>
      <c r="S4933">
        <v>1199</v>
      </c>
      <c r="T4933">
        <v>0.05</v>
      </c>
      <c r="U4933">
        <v>3417.15</v>
      </c>
      <c r="V4933">
        <v>1650</v>
      </c>
      <c r="W4933">
        <v>1767.15</v>
      </c>
      <c r="X4933" t="s">
        <v>77</v>
      </c>
      <c r="Y4933" t="s">
        <v>68</v>
      </c>
      <c r="Z4933" t="s">
        <v>158</v>
      </c>
      <c r="AA4933" t="s">
        <v>168</v>
      </c>
      <c r="AB4933">
        <v>3.7</v>
      </c>
      <c r="AC4933">
        <v>40</v>
      </c>
      <c r="AD4933">
        <v>101.23</v>
      </c>
      <c r="AE4933">
        <f t="shared" si="154"/>
        <v>1625.92</v>
      </c>
      <c r="AF4933" t="str">
        <f t="shared" si="155"/>
        <v>2026-09</v>
      </c>
      <c r="AG4933">
        <f>SUBTOTAL(103,A4933)</f>
        <v>1</v>
      </c>
    </row>
    <row r="4934" spans="1:33" x14ac:dyDescent="0.3">
      <c r="A4934" t="s">
        <v>7557</v>
      </c>
      <c r="B4934" s="13">
        <v>46285</v>
      </c>
      <c r="C4934">
        <v>2026</v>
      </c>
      <c r="D4934">
        <v>9</v>
      </c>
      <c r="E4934" t="s">
        <v>4552</v>
      </c>
      <c r="F4934" t="s">
        <v>4047</v>
      </c>
      <c r="G4934" t="s">
        <v>1487</v>
      </c>
      <c r="H4934" t="s">
        <v>1488</v>
      </c>
      <c r="I4934" t="s">
        <v>86</v>
      </c>
      <c r="J4934">
        <v>24</v>
      </c>
      <c r="K4934" t="s">
        <v>80</v>
      </c>
      <c r="L4934" t="s">
        <v>93</v>
      </c>
      <c r="M4934" t="s">
        <v>55</v>
      </c>
      <c r="N4934" t="s">
        <v>2590</v>
      </c>
      <c r="O4934" t="s">
        <v>127</v>
      </c>
      <c r="P4934" t="s">
        <v>51</v>
      </c>
      <c r="Q4934" t="s">
        <v>148</v>
      </c>
      <c r="R4934">
        <v>1</v>
      </c>
      <c r="S4934">
        <v>1599</v>
      </c>
      <c r="T4934">
        <v>0.05</v>
      </c>
      <c r="U4934">
        <v>1519.05</v>
      </c>
      <c r="V4934">
        <v>800</v>
      </c>
      <c r="W4934">
        <v>719.05</v>
      </c>
      <c r="X4934" t="s">
        <v>75</v>
      </c>
      <c r="Y4934" t="s">
        <v>68</v>
      </c>
      <c r="Z4934" t="s">
        <v>162</v>
      </c>
      <c r="AA4934" t="s">
        <v>166</v>
      </c>
      <c r="AB4934">
        <v>4.7</v>
      </c>
      <c r="AC4934">
        <v>50</v>
      </c>
      <c r="AD4934">
        <v>119.8</v>
      </c>
      <c r="AE4934">
        <f t="shared" si="154"/>
        <v>549.25</v>
      </c>
      <c r="AF4934" t="str">
        <f t="shared" si="155"/>
        <v>2026-09</v>
      </c>
      <c r="AG4934">
        <f>SUBTOTAL(103,A4934)</f>
        <v>1</v>
      </c>
    </row>
    <row r="4935" spans="1:33" x14ac:dyDescent="0.3">
      <c r="A4935" t="s">
        <v>7558</v>
      </c>
      <c r="B4935" s="13">
        <v>46286</v>
      </c>
      <c r="C4935">
        <v>2026</v>
      </c>
      <c r="D4935">
        <v>9</v>
      </c>
      <c r="E4935" t="s">
        <v>4552</v>
      </c>
      <c r="F4935" t="s">
        <v>4047</v>
      </c>
      <c r="G4935" t="s">
        <v>563</v>
      </c>
      <c r="H4935" t="s">
        <v>564</v>
      </c>
      <c r="I4935" t="s">
        <v>85</v>
      </c>
      <c r="J4935">
        <v>22</v>
      </c>
      <c r="K4935" t="s">
        <v>80</v>
      </c>
      <c r="L4935" t="s">
        <v>2576</v>
      </c>
      <c r="M4935" t="s">
        <v>60</v>
      </c>
      <c r="N4935" t="s">
        <v>2630</v>
      </c>
      <c r="O4935" t="s">
        <v>123</v>
      </c>
      <c r="P4935" t="s">
        <v>52</v>
      </c>
      <c r="Q4935" t="s">
        <v>146</v>
      </c>
      <c r="R4935">
        <v>2</v>
      </c>
      <c r="S4935">
        <v>2499</v>
      </c>
      <c r="T4935">
        <v>0.05</v>
      </c>
      <c r="U4935">
        <v>4748.1000000000004</v>
      </c>
      <c r="V4935">
        <v>2800</v>
      </c>
      <c r="W4935">
        <v>1948.1</v>
      </c>
      <c r="X4935" t="s">
        <v>76</v>
      </c>
      <c r="Y4935" t="s">
        <v>68</v>
      </c>
      <c r="Z4935" t="s">
        <v>161</v>
      </c>
      <c r="AA4935" t="s">
        <v>167</v>
      </c>
      <c r="AB4935">
        <v>4</v>
      </c>
      <c r="AC4935">
        <v>60</v>
      </c>
      <c r="AD4935">
        <v>228.98</v>
      </c>
      <c r="AE4935">
        <f t="shared" si="154"/>
        <v>1659.12</v>
      </c>
      <c r="AF4935" t="str">
        <f t="shared" si="155"/>
        <v>2026-09</v>
      </c>
      <c r="AG4935">
        <f>SUBTOTAL(103,A4935)</f>
        <v>1</v>
      </c>
    </row>
    <row r="4936" spans="1:33" x14ac:dyDescent="0.3">
      <c r="A4936" t="s">
        <v>7559</v>
      </c>
      <c r="B4936" s="13">
        <v>46286</v>
      </c>
      <c r="C4936">
        <v>2026</v>
      </c>
      <c r="D4936">
        <v>9</v>
      </c>
      <c r="E4936" t="s">
        <v>4552</v>
      </c>
      <c r="F4936" t="s">
        <v>4047</v>
      </c>
      <c r="G4936" t="s">
        <v>587</v>
      </c>
      <c r="H4936" t="s">
        <v>588</v>
      </c>
      <c r="I4936" t="s">
        <v>86</v>
      </c>
      <c r="J4936">
        <v>43</v>
      </c>
      <c r="K4936" t="s">
        <v>82</v>
      </c>
      <c r="L4936" t="s">
        <v>95</v>
      </c>
      <c r="M4936" t="s">
        <v>56</v>
      </c>
      <c r="N4936" t="s">
        <v>2653</v>
      </c>
      <c r="O4936" t="s">
        <v>132</v>
      </c>
      <c r="P4936" t="s">
        <v>52</v>
      </c>
      <c r="Q4936" t="s">
        <v>150</v>
      </c>
      <c r="R4936">
        <v>2</v>
      </c>
      <c r="S4936">
        <v>899</v>
      </c>
      <c r="T4936">
        <v>0.05</v>
      </c>
      <c r="U4936">
        <v>1708.1</v>
      </c>
      <c r="V4936">
        <v>840</v>
      </c>
      <c r="W4936">
        <v>868.1</v>
      </c>
      <c r="X4936" t="s">
        <v>73</v>
      </c>
      <c r="Y4936" t="s">
        <v>68</v>
      </c>
      <c r="Z4936" t="s">
        <v>158</v>
      </c>
      <c r="AA4936" t="s">
        <v>167</v>
      </c>
      <c r="AB4936">
        <v>2.2999999999999998</v>
      </c>
      <c r="AC4936">
        <v>60</v>
      </c>
      <c r="AD4936">
        <v>108.41</v>
      </c>
      <c r="AE4936">
        <f t="shared" si="154"/>
        <v>699.69</v>
      </c>
      <c r="AF4936" t="str">
        <f t="shared" si="155"/>
        <v>2026-09</v>
      </c>
      <c r="AG4936">
        <f>SUBTOTAL(103,A4936)</f>
        <v>1</v>
      </c>
    </row>
    <row r="4937" spans="1:33" x14ac:dyDescent="0.3">
      <c r="A4937" t="s">
        <v>7560</v>
      </c>
      <c r="B4937" s="13">
        <v>46286</v>
      </c>
      <c r="C4937">
        <v>2026</v>
      </c>
      <c r="D4937">
        <v>9</v>
      </c>
      <c r="E4937" t="s">
        <v>4552</v>
      </c>
      <c r="F4937" t="s">
        <v>4047</v>
      </c>
      <c r="G4937" t="s">
        <v>2083</v>
      </c>
      <c r="H4937" t="s">
        <v>2084</v>
      </c>
      <c r="I4937" t="s">
        <v>85</v>
      </c>
      <c r="J4937">
        <v>40</v>
      </c>
      <c r="K4937" t="s">
        <v>82</v>
      </c>
      <c r="L4937" t="s">
        <v>92</v>
      </c>
      <c r="M4937" t="s">
        <v>59</v>
      </c>
      <c r="N4937" t="s">
        <v>2644</v>
      </c>
      <c r="O4937" t="s">
        <v>126</v>
      </c>
      <c r="P4937" t="s">
        <v>50</v>
      </c>
      <c r="Q4937" t="s">
        <v>145</v>
      </c>
      <c r="R4937">
        <v>1</v>
      </c>
      <c r="S4937">
        <v>1799</v>
      </c>
      <c r="T4937">
        <v>0.1</v>
      </c>
      <c r="U4937">
        <v>1619.1</v>
      </c>
      <c r="V4937">
        <v>950</v>
      </c>
      <c r="W4937">
        <v>669.1</v>
      </c>
      <c r="X4937" t="s">
        <v>76</v>
      </c>
      <c r="Y4937" t="s">
        <v>68</v>
      </c>
      <c r="Z4937" t="s">
        <v>160</v>
      </c>
      <c r="AA4937" t="s">
        <v>166</v>
      </c>
      <c r="AB4937">
        <v>4</v>
      </c>
      <c r="AC4937">
        <v>80</v>
      </c>
      <c r="AD4937">
        <v>170.86</v>
      </c>
      <c r="AE4937">
        <f t="shared" si="154"/>
        <v>418.24</v>
      </c>
      <c r="AF4937" t="str">
        <f t="shared" si="155"/>
        <v>2026-09</v>
      </c>
      <c r="AG4937">
        <f>SUBTOTAL(103,A4937)</f>
        <v>1</v>
      </c>
    </row>
    <row r="4938" spans="1:33" x14ac:dyDescent="0.3">
      <c r="A4938" t="s">
        <v>7561</v>
      </c>
      <c r="B4938" s="13">
        <v>46286</v>
      </c>
      <c r="C4938">
        <v>2026</v>
      </c>
      <c r="D4938">
        <v>9</v>
      </c>
      <c r="E4938" t="s">
        <v>4552</v>
      </c>
      <c r="F4938" t="s">
        <v>4047</v>
      </c>
      <c r="G4938" t="s">
        <v>831</v>
      </c>
      <c r="H4938" t="s">
        <v>832</v>
      </c>
      <c r="I4938" t="s">
        <v>85</v>
      </c>
      <c r="J4938">
        <v>40</v>
      </c>
      <c r="K4938" t="s">
        <v>82</v>
      </c>
      <c r="L4938" t="s">
        <v>93</v>
      </c>
      <c r="M4938" t="s">
        <v>55</v>
      </c>
      <c r="N4938" t="s">
        <v>2601</v>
      </c>
      <c r="O4938" t="s">
        <v>117</v>
      </c>
      <c r="P4938" t="s">
        <v>49</v>
      </c>
      <c r="Q4938" t="s">
        <v>139</v>
      </c>
      <c r="R4938">
        <v>2</v>
      </c>
      <c r="S4938">
        <v>6999</v>
      </c>
      <c r="T4938">
        <v>0</v>
      </c>
      <c r="U4938">
        <v>13998</v>
      </c>
      <c r="V4938">
        <v>8600</v>
      </c>
      <c r="W4938">
        <v>5398</v>
      </c>
      <c r="X4938" t="s">
        <v>73</v>
      </c>
      <c r="Y4938" t="s">
        <v>68</v>
      </c>
      <c r="Z4938" t="s">
        <v>163</v>
      </c>
      <c r="AA4938" t="s">
        <v>169</v>
      </c>
      <c r="AB4938">
        <v>3.6</v>
      </c>
      <c r="AC4938">
        <v>50</v>
      </c>
      <c r="AD4938">
        <v>475.31</v>
      </c>
      <c r="AE4938">
        <f t="shared" si="154"/>
        <v>4872.6899999999996</v>
      </c>
      <c r="AF4938" t="str">
        <f t="shared" si="155"/>
        <v>2026-09</v>
      </c>
      <c r="AG4938">
        <f>SUBTOTAL(103,A4938)</f>
        <v>1</v>
      </c>
    </row>
    <row r="4939" spans="1:33" x14ac:dyDescent="0.3">
      <c r="A4939" t="s">
        <v>7562</v>
      </c>
      <c r="B4939" s="13">
        <v>46286</v>
      </c>
      <c r="C4939">
        <v>2026</v>
      </c>
      <c r="D4939">
        <v>9</v>
      </c>
      <c r="E4939" t="s">
        <v>4552</v>
      </c>
      <c r="F4939" t="s">
        <v>4047</v>
      </c>
      <c r="G4939" t="s">
        <v>1455</v>
      </c>
      <c r="H4939" t="s">
        <v>1456</v>
      </c>
      <c r="I4939" t="s">
        <v>86</v>
      </c>
      <c r="J4939">
        <v>58</v>
      </c>
      <c r="K4939" t="s">
        <v>83</v>
      </c>
      <c r="L4939" t="s">
        <v>2634</v>
      </c>
      <c r="M4939" t="s">
        <v>56</v>
      </c>
      <c r="N4939" t="s">
        <v>2582</v>
      </c>
      <c r="O4939" t="s">
        <v>119</v>
      </c>
      <c r="P4939" t="s">
        <v>49</v>
      </c>
      <c r="Q4939" t="s">
        <v>140</v>
      </c>
      <c r="R4939">
        <v>1</v>
      </c>
      <c r="S4939">
        <v>3499</v>
      </c>
      <c r="T4939">
        <v>0.05</v>
      </c>
      <c r="U4939">
        <v>3324.05</v>
      </c>
      <c r="V4939">
        <v>2100</v>
      </c>
      <c r="W4939">
        <v>1224.05</v>
      </c>
      <c r="X4939" t="s">
        <v>77</v>
      </c>
      <c r="Y4939" t="s">
        <v>68</v>
      </c>
      <c r="Z4939" t="s">
        <v>162</v>
      </c>
      <c r="AA4939" t="s">
        <v>168</v>
      </c>
      <c r="AB4939">
        <v>4.2</v>
      </c>
      <c r="AC4939">
        <v>80</v>
      </c>
      <c r="AD4939">
        <v>181.23</v>
      </c>
      <c r="AE4939">
        <f t="shared" si="154"/>
        <v>962.81999999999994</v>
      </c>
      <c r="AF4939" t="str">
        <f t="shared" si="155"/>
        <v>2026-09</v>
      </c>
      <c r="AG4939">
        <f>SUBTOTAL(103,A4939)</f>
        <v>1</v>
      </c>
    </row>
    <row r="4940" spans="1:33" x14ac:dyDescent="0.3">
      <c r="A4940" t="s">
        <v>7563</v>
      </c>
      <c r="B4940" s="13">
        <v>46287</v>
      </c>
      <c r="C4940">
        <v>2026</v>
      </c>
      <c r="D4940">
        <v>9</v>
      </c>
      <c r="E4940" t="s">
        <v>4552</v>
      </c>
      <c r="F4940" t="s">
        <v>4047</v>
      </c>
      <c r="G4940" t="s">
        <v>391</v>
      </c>
      <c r="H4940" t="s">
        <v>392</v>
      </c>
      <c r="I4940" t="s">
        <v>85</v>
      </c>
      <c r="J4940">
        <v>40</v>
      </c>
      <c r="K4940" t="s">
        <v>82</v>
      </c>
      <c r="L4940" t="s">
        <v>2589</v>
      </c>
      <c r="M4940" t="s">
        <v>61</v>
      </c>
      <c r="N4940" t="s">
        <v>2601</v>
      </c>
      <c r="O4940" t="s">
        <v>117</v>
      </c>
      <c r="P4940" t="s">
        <v>49</v>
      </c>
      <c r="Q4940" t="s">
        <v>139</v>
      </c>
      <c r="R4940">
        <v>2</v>
      </c>
      <c r="S4940">
        <v>6999</v>
      </c>
      <c r="T4940">
        <v>0.05</v>
      </c>
      <c r="U4940">
        <v>13298.1</v>
      </c>
      <c r="V4940">
        <v>8600</v>
      </c>
      <c r="W4940">
        <v>4698.1000000000004</v>
      </c>
      <c r="X4940" t="s">
        <v>75</v>
      </c>
      <c r="Y4940" t="s">
        <v>68</v>
      </c>
      <c r="Z4940" t="s">
        <v>158</v>
      </c>
      <c r="AA4940" t="s">
        <v>166</v>
      </c>
      <c r="AB4940">
        <v>3.6</v>
      </c>
      <c r="AC4940">
        <v>50</v>
      </c>
      <c r="AD4940">
        <v>1060.68</v>
      </c>
      <c r="AE4940">
        <f t="shared" si="154"/>
        <v>3587.42</v>
      </c>
      <c r="AF4940" t="str">
        <f t="shared" si="155"/>
        <v>2026-09</v>
      </c>
      <c r="AG4940">
        <f>SUBTOTAL(103,A4940)</f>
        <v>1</v>
      </c>
    </row>
    <row r="4941" spans="1:33" x14ac:dyDescent="0.3">
      <c r="A4941" t="s">
        <v>7564</v>
      </c>
      <c r="B4941" s="13">
        <v>46287</v>
      </c>
      <c r="C4941">
        <v>2026</v>
      </c>
      <c r="D4941">
        <v>9</v>
      </c>
      <c r="E4941" t="s">
        <v>4552</v>
      </c>
      <c r="F4941" t="s">
        <v>4047</v>
      </c>
      <c r="G4941" t="s">
        <v>2213</v>
      </c>
      <c r="H4941" t="s">
        <v>2214</v>
      </c>
      <c r="I4941" t="s">
        <v>86</v>
      </c>
      <c r="J4941">
        <v>52</v>
      </c>
      <c r="K4941" t="s">
        <v>83</v>
      </c>
      <c r="L4941" t="s">
        <v>59</v>
      </c>
      <c r="M4941" t="s">
        <v>59</v>
      </c>
      <c r="N4941" t="s">
        <v>2626</v>
      </c>
      <c r="O4941" t="s">
        <v>125</v>
      </c>
      <c r="P4941" t="s">
        <v>48</v>
      </c>
      <c r="Q4941" t="s">
        <v>141</v>
      </c>
      <c r="R4941">
        <v>1</v>
      </c>
      <c r="S4941">
        <v>1999</v>
      </c>
      <c r="T4941">
        <v>0.15</v>
      </c>
      <c r="U4941">
        <v>1699.15</v>
      </c>
      <c r="V4941">
        <v>1150</v>
      </c>
      <c r="W4941">
        <v>549.15</v>
      </c>
      <c r="X4941" t="s">
        <v>74</v>
      </c>
      <c r="Y4941" t="s">
        <v>68</v>
      </c>
      <c r="Z4941" t="s">
        <v>159</v>
      </c>
      <c r="AA4941" t="s">
        <v>166</v>
      </c>
      <c r="AB4941">
        <v>3.8</v>
      </c>
      <c r="AC4941">
        <v>60</v>
      </c>
      <c r="AD4941">
        <v>85.2</v>
      </c>
      <c r="AE4941">
        <f t="shared" si="154"/>
        <v>403.95</v>
      </c>
      <c r="AF4941" t="str">
        <f t="shared" si="155"/>
        <v>2026-09</v>
      </c>
      <c r="AG4941">
        <f>SUBTOTAL(103,A4941)</f>
        <v>1</v>
      </c>
    </row>
    <row r="4942" spans="1:33" x14ac:dyDescent="0.3">
      <c r="A4942" t="s">
        <v>7565</v>
      </c>
      <c r="B4942" s="13">
        <v>46287</v>
      </c>
      <c r="C4942">
        <v>2026</v>
      </c>
      <c r="D4942">
        <v>9</v>
      </c>
      <c r="E4942" t="s">
        <v>4552</v>
      </c>
      <c r="F4942" t="s">
        <v>4047</v>
      </c>
      <c r="G4942" t="s">
        <v>1355</v>
      </c>
      <c r="H4942" t="s">
        <v>1356</v>
      </c>
      <c r="I4942" t="s">
        <v>86</v>
      </c>
      <c r="J4942">
        <v>41</v>
      </c>
      <c r="K4942" t="s">
        <v>82</v>
      </c>
      <c r="L4942" t="s">
        <v>2661</v>
      </c>
      <c r="M4942" t="s">
        <v>58</v>
      </c>
      <c r="N4942" t="s">
        <v>2590</v>
      </c>
      <c r="O4942" t="s">
        <v>127</v>
      </c>
      <c r="P4942" t="s">
        <v>51</v>
      </c>
      <c r="Q4942" t="s">
        <v>148</v>
      </c>
      <c r="R4942">
        <v>2</v>
      </c>
      <c r="S4942">
        <v>1599</v>
      </c>
      <c r="T4942">
        <v>0.05</v>
      </c>
      <c r="U4942">
        <v>3038.1</v>
      </c>
      <c r="V4942">
        <v>1600</v>
      </c>
      <c r="W4942">
        <v>1438.1</v>
      </c>
      <c r="X4942" t="s">
        <v>76</v>
      </c>
      <c r="Y4942" t="s">
        <v>68</v>
      </c>
      <c r="Z4942" t="s">
        <v>159</v>
      </c>
      <c r="AA4942" t="s">
        <v>168</v>
      </c>
      <c r="AB4942">
        <v>5</v>
      </c>
      <c r="AC4942">
        <v>50</v>
      </c>
      <c r="AD4942">
        <v>130.18</v>
      </c>
      <c r="AE4942">
        <f t="shared" si="154"/>
        <v>1257.9199999999998</v>
      </c>
      <c r="AF4942" t="str">
        <f t="shared" si="155"/>
        <v>2026-09</v>
      </c>
      <c r="AG4942">
        <f>SUBTOTAL(103,A4942)</f>
        <v>1</v>
      </c>
    </row>
    <row r="4943" spans="1:33" x14ac:dyDescent="0.3">
      <c r="A4943" t="s">
        <v>7566</v>
      </c>
      <c r="B4943" s="13">
        <v>46287</v>
      </c>
      <c r="C4943">
        <v>2026</v>
      </c>
      <c r="D4943">
        <v>9</v>
      </c>
      <c r="E4943" t="s">
        <v>4552</v>
      </c>
      <c r="F4943" t="s">
        <v>4047</v>
      </c>
      <c r="G4943" t="s">
        <v>2149</v>
      </c>
      <c r="H4943" t="s">
        <v>2150</v>
      </c>
      <c r="I4943" t="s">
        <v>85</v>
      </c>
      <c r="J4943">
        <v>27</v>
      </c>
      <c r="K4943" t="s">
        <v>81</v>
      </c>
      <c r="L4943" t="s">
        <v>2634</v>
      </c>
      <c r="M4943" t="s">
        <v>56</v>
      </c>
      <c r="N4943" t="s">
        <v>2657</v>
      </c>
      <c r="O4943" t="s">
        <v>134</v>
      </c>
      <c r="P4943" t="s">
        <v>49</v>
      </c>
      <c r="Q4943" t="s">
        <v>140</v>
      </c>
      <c r="R4943">
        <v>1</v>
      </c>
      <c r="S4943">
        <v>599</v>
      </c>
      <c r="T4943">
        <v>0.2</v>
      </c>
      <c r="U4943">
        <v>479.2</v>
      </c>
      <c r="V4943">
        <v>250</v>
      </c>
      <c r="W4943">
        <v>229.2</v>
      </c>
      <c r="X4943" t="s">
        <v>76</v>
      </c>
      <c r="Y4943" t="s">
        <v>68</v>
      </c>
      <c r="Z4943" t="s">
        <v>163</v>
      </c>
      <c r="AA4943" t="s">
        <v>167</v>
      </c>
      <c r="AB4943">
        <v>3.4</v>
      </c>
      <c r="AC4943">
        <v>50</v>
      </c>
      <c r="AD4943">
        <v>31.05</v>
      </c>
      <c r="AE4943">
        <f t="shared" si="154"/>
        <v>148.14999999999998</v>
      </c>
      <c r="AF4943" t="str">
        <f t="shared" si="155"/>
        <v>2026-09</v>
      </c>
      <c r="AG4943">
        <f>SUBTOTAL(103,A4943)</f>
        <v>1</v>
      </c>
    </row>
    <row r="4944" spans="1:33" x14ac:dyDescent="0.3">
      <c r="A4944" t="s">
        <v>7567</v>
      </c>
      <c r="B4944" s="13">
        <v>46287</v>
      </c>
      <c r="C4944">
        <v>2026</v>
      </c>
      <c r="D4944">
        <v>9</v>
      </c>
      <c r="E4944" t="s">
        <v>4552</v>
      </c>
      <c r="F4944" t="s">
        <v>4047</v>
      </c>
      <c r="G4944" t="s">
        <v>2445</v>
      </c>
      <c r="H4944" t="s">
        <v>2446</v>
      </c>
      <c r="I4944" t="s">
        <v>86</v>
      </c>
      <c r="J4944">
        <v>46</v>
      </c>
      <c r="K4944" t="s">
        <v>83</v>
      </c>
      <c r="L4944" t="s">
        <v>2661</v>
      </c>
      <c r="M4944" t="s">
        <v>58</v>
      </c>
      <c r="N4944" t="s">
        <v>2647</v>
      </c>
      <c r="O4944" t="s">
        <v>133</v>
      </c>
      <c r="P4944" t="s">
        <v>50</v>
      </c>
      <c r="Q4944" t="s">
        <v>145</v>
      </c>
      <c r="R4944">
        <v>3</v>
      </c>
      <c r="S4944">
        <v>799</v>
      </c>
      <c r="T4944">
        <v>0.05</v>
      </c>
      <c r="U4944">
        <v>2277.15</v>
      </c>
      <c r="V4944">
        <v>1170</v>
      </c>
      <c r="W4944">
        <v>1107.1500000000001</v>
      </c>
      <c r="X4944" t="s">
        <v>73</v>
      </c>
      <c r="Y4944" t="s">
        <v>68</v>
      </c>
      <c r="Z4944" t="s">
        <v>158</v>
      </c>
      <c r="AA4944" t="s">
        <v>167</v>
      </c>
      <c r="AB4944">
        <v>5</v>
      </c>
      <c r="AC4944">
        <v>60</v>
      </c>
      <c r="AD4944">
        <v>241.69</v>
      </c>
      <c r="AE4944">
        <f t="shared" si="154"/>
        <v>805.46</v>
      </c>
      <c r="AF4944" t="str">
        <f t="shared" si="155"/>
        <v>2026-09</v>
      </c>
      <c r="AG4944">
        <f>SUBTOTAL(103,A4944)</f>
        <v>1</v>
      </c>
    </row>
    <row r="4945" spans="1:33" x14ac:dyDescent="0.3">
      <c r="A4945" t="s">
        <v>7568</v>
      </c>
      <c r="B4945" s="13">
        <v>46287</v>
      </c>
      <c r="C4945">
        <v>2026</v>
      </c>
      <c r="D4945">
        <v>9</v>
      </c>
      <c r="E4945" t="s">
        <v>4552</v>
      </c>
      <c r="F4945" t="s">
        <v>4047</v>
      </c>
      <c r="G4945" t="s">
        <v>913</v>
      </c>
      <c r="H4945" t="s">
        <v>914</v>
      </c>
      <c r="I4945" t="s">
        <v>85</v>
      </c>
      <c r="J4945">
        <v>46</v>
      </c>
      <c r="K4945" t="s">
        <v>83</v>
      </c>
      <c r="L4945" t="s">
        <v>2612</v>
      </c>
      <c r="M4945" t="s">
        <v>64</v>
      </c>
      <c r="N4945" t="s">
        <v>2601</v>
      </c>
      <c r="O4945" t="s">
        <v>117</v>
      </c>
      <c r="P4945" t="s">
        <v>49</v>
      </c>
      <c r="Q4945" t="s">
        <v>139</v>
      </c>
      <c r="R4945">
        <v>2</v>
      </c>
      <c r="S4945">
        <v>6999</v>
      </c>
      <c r="T4945">
        <v>0.05</v>
      </c>
      <c r="U4945">
        <v>13298.1</v>
      </c>
      <c r="V4945">
        <v>8600</v>
      </c>
      <c r="W4945">
        <v>4698.1000000000004</v>
      </c>
      <c r="X4945" t="s">
        <v>77</v>
      </c>
      <c r="Y4945" t="s">
        <v>68</v>
      </c>
      <c r="Z4945" t="s">
        <v>163</v>
      </c>
      <c r="AA4945" t="s">
        <v>167</v>
      </c>
      <c r="AB4945">
        <v>4.5999999999999996</v>
      </c>
      <c r="AC4945">
        <v>80</v>
      </c>
      <c r="AD4945">
        <v>1545.11</v>
      </c>
      <c r="AE4945">
        <f t="shared" si="154"/>
        <v>3072.9900000000007</v>
      </c>
      <c r="AF4945" t="str">
        <f t="shared" si="155"/>
        <v>2026-09</v>
      </c>
      <c r="AG4945">
        <f>SUBTOTAL(103,A4945)</f>
        <v>1</v>
      </c>
    </row>
    <row r="4946" spans="1:33" x14ac:dyDescent="0.3">
      <c r="A4946" t="s">
        <v>7569</v>
      </c>
      <c r="B4946" s="13">
        <v>46288</v>
      </c>
      <c r="C4946">
        <v>2026</v>
      </c>
      <c r="D4946">
        <v>9</v>
      </c>
      <c r="E4946" t="s">
        <v>4552</v>
      </c>
      <c r="F4946" t="s">
        <v>4047</v>
      </c>
      <c r="G4946" t="s">
        <v>229</v>
      </c>
      <c r="H4946" t="s">
        <v>230</v>
      </c>
      <c r="I4946" t="s">
        <v>86</v>
      </c>
      <c r="J4946">
        <v>21</v>
      </c>
      <c r="K4946" t="s">
        <v>80</v>
      </c>
      <c r="L4946" t="s">
        <v>98</v>
      </c>
      <c r="M4946" t="s">
        <v>55</v>
      </c>
      <c r="N4946" t="s">
        <v>2601</v>
      </c>
      <c r="O4946" t="s">
        <v>117</v>
      </c>
      <c r="P4946" t="s">
        <v>49</v>
      </c>
      <c r="Q4946" t="s">
        <v>139</v>
      </c>
      <c r="R4946">
        <v>3</v>
      </c>
      <c r="S4946">
        <v>6999</v>
      </c>
      <c r="T4946">
        <v>0.1</v>
      </c>
      <c r="U4946">
        <v>18897.3</v>
      </c>
      <c r="V4946">
        <v>12900</v>
      </c>
      <c r="W4946">
        <v>5997.3</v>
      </c>
      <c r="X4946" t="s">
        <v>74</v>
      </c>
      <c r="Y4946" t="s">
        <v>68</v>
      </c>
      <c r="Z4946" t="s">
        <v>163</v>
      </c>
      <c r="AA4946" t="s">
        <v>167</v>
      </c>
      <c r="AB4946">
        <v>5</v>
      </c>
      <c r="AC4946">
        <v>80</v>
      </c>
      <c r="AD4946">
        <v>692.75</v>
      </c>
      <c r="AE4946">
        <f t="shared" si="154"/>
        <v>5224.55</v>
      </c>
      <c r="AF4946" t="str">
        <f t="shared" si="155"/>
        <v>2026-09</v>
      </c>
      <c r="AG4946">
        <f>SUBTOTAL(103,A4946)</f>
        <v>1</v>
      </c>
    </row>
    <row r="4947" spans="1:33" x14ac:dyDescent="0.3">
      <c r="A4947" t="s">
        <v>7570</v>
      </c>
      <c r="B4947" s="13">
        <v>46288</v>
      </c>
      <c r="C4947">
        <v>2026</v>
      </c>
      <c r="D4947">
        <v>9</v>
      </c>
      <c r="E4947" t="s">
        <v>4552</v>
      </c>
      <c r="F4947" t="s">
        <v>4047</v>
      </c>
      <c r="G4947" t="s">
        <v>2201</v>
      </c>
      <c r="H4947" t="s">
        <v>2202</v>
      </c>
      <c r="I4947" t="s">
        <v>85</v>
      </c>
      <c r="J4947">
        <v>46</v>
      </c>
      <c r="K4947" t="s">
        <v>83</v>
      </c>
      <c r="L4947" t="s">
        <v>2586</v>
      </c>
      <c r="M4947" t="s">
        <v>62</v>
      </c>
      <c r="N4947" t="s">
        <v>2574</v>
      </c>
      <c r="O4947" t="s">
        <v>130</v>
      </c>
      <c r="P4947" t="s">
        <v>50</v>
      </c>
      <c r="Q4947" t="s">
        <v>53</v>
      </c>
      <c r="R4947">
        <v>1</v>
      </c>
      <c r="S4947">
        <v>1199</v>
      </c>
      <c r="T4947">
        <v>0.05</v>
      </c>
      <c r="U4947">
        <v>1139.05</v>
      </c>
      <c r="V4947">
        <v>550</v>
      </c>
      <c r="W4947">
        <v>589.04999999999995</v>
      </c>
      <c r="X4947" t="s">
        <v>75</v>
      </c>
      <c r="Y4947" t="s">
        <v>70</v>
      </c>
      <c r="Z4947" t="s">
        <v>158</v>
      </c>
      <c r="AA4947" t="s">
        <v>169</v>
      </c>
      <c r="AB4947">
        <v>3.5</v>
      </c>
      <c r="AC4947">
        <v>80</v>
      </c>
      <c r="AD4947">
        <v>54.45</v>
      </c>
      <c r="AE4947">
        <f t="shared" si="154"/>
        <v>454.59999999999997</v>
      </c>
      <c r="AF4947" t="str">
        <f t="shared" si="155"/>
        <v>2026-09</v>
      </c>
      <c r="AG4947">
        <f>SUBTOTAL(103,A4947)</f>
        <v>1</v>
      </c>
    </row>
    <row r="4948" spans="1:33" x14ac:dyDescent="0.3">
      <c r="A4948" t="s">
        <v>7571</v>
      </c>
      <c r="B4948" s="13">
        <v>46288</v>
      </c>
      <c r="C4948">
        <v>2026</v>
      </c>
      <c r="D4948">
        <v>9</v>
      </c>
      <c r="E4948" t="s">
        <v>4552</v>
      </c>
      <c r="F4948" t="s">
        <v>4047</v>
      </c>
      <c r="G4948" t="s">
        <v>587</v>
      </c>
      <c r="H4948" t="s">
        <v>588</v>
      </c>
      <c r="I4948" t="s">
        <v>86</v>
      </c>
      <c r="J4948">
        <v>43</v>
      </c>
      <c r="K4948" t="s">
        <v>82</v>
      </c>
      <c r="L4948" t="s">
        <v>95</v>
      </c>
      <c r="M4948" t="s">
        <v>56</v>
      </c>
      <c r="N4948" t="s">
        <v>2647</v>
      </c>
      <c r="O4948" t="s">
        <v>133</v>
      </c>
      <c r="P4948" t="s">
        <v>50</v>
      </c>
      <c r="Q4948" t="s">
        <v>145</v>
      </c>
      <c r="R4948">
        <v>3</v>
      </c>
      <c r="S4948">
        <v>799</v>
      </c>
      <c r="T4948">
        <v>0</v>
      </c>
      <c r="U4948">
        <v>2397</v>
      </c>
      <c r="V4948">
        <v>1170</v>
      </c>
      <c r="W4948">
        <v>1227</v>
      </c>
      <c r="X4948" t="s">
        <v>76</v>
      </c>
      <c r="Y4948" t="s">
        <v>68</v>
      </c>
      <c r="Z4948" t="s">
        <v>158</v>
      </c>
      <c r="AA4948" t="s">
        <v>171</v>
      </c>
      <c r="AB4948">
        <v>3.1</v>
      </c>
      <c r="AC4948">
        <v>50</v>
      </c>
      <c r="AD4948">
        <v>188.04</v>
      </c>
      <c r="AE4948">
        <f t="shared" si="154"/>
        <v>988.96</v>
      </c>
      <c r="AF4948" t="str">
        <f t="shared" si="155"/>
        <v>2026-09</v>
      </c>
      <c r="AG4948">
        <f>SUBTOTAL(103,A4948)</f>
        <v>1</v>
      </c>
    </row>
    <row r="4949" spans="1:33" x14ac:dyDescent="0.3">
      <c r="A4949" t="s">
        <v>7572</v>
      </c>
      <c r="B4949" s="13">
        <v>46288</v>
      </c>
      <c r="C4949">
        <v>2026</v>
      </c>
      <c r="D4949">
        <v>9</v>
      </c>
      <c r="E4949" t="s">
        <v>4552</v>
      </c>
      <c r="F4949" t="s">
        <v>4047</v>
      </c>
      <c r="G4949" t="s">
        <v>1487</v>
      </c>
      <c r="H4949" t="s">
        <v>1488</v>
      </c>
      <c r="I4949" t="s">
        <v>86</v>
      </c>
      <c r="J4949">
        <v>24</v>
      </c>
      <c r="K4949" t="s">
        <v>80</v>
      </c>
      <c r="L4949" t="s">
        <v>93</v>
      </c>
      <c r="M4949" t="s">
        <v>55</v>
      </c>
      <c r="N4949" t="s">
        <v>2626</v>
      </c>
      <c r="O4949" t="s">
        <v>125</v>
      </c>
      <c r="P4949" t="s">
        <v>48</v>
      </c>
      <c r="Q4949" t="s">
        <v>141</v>
      </c>
      <c r="R4949">
        <v>2</v>
      </c>
      <c r="S4949">
        <v>1999</v>
      </c>
      <c r="T4949">
        <v>0</v>
      </c>
      <c r="U4949">
        <v>3998</v>
      </c>
      <c r="V4949">
        <v>2300</v>
      </c>
      <c r="W4949">
        <v>1698</v>
      </c>
      <c r="X4949" t="s">
        <v>74</v>
      </c>
      <c r="Y4949" t="s">
        <v>68</v>
      </c>
      <c r="Z4949" t="s">
        <v>160</v>
      </c>
      <c r="AA4949" t="s">
        <v>169</v>
      </c>
      <c r="AB4949">
        <v>4.5</v>
      </c>
      <c r="AC4949">
        <v>40</v>
      </c>
      <c r="AD4949">
        <v>297.36</v>
      </c>
      <c r="AE4949">
        <f t="shared" si="154"/>
        <v>1360.6399999999999</v>
      </c>
      <c r="AF4949" t="str">
        <f t="shared" si="155"/>
        <v>2026-09</v>
      </c>
      <c r="AG4949">
        <f>SUBTOTAL(103,A4949)</f>
        <v>1</v>
      </c>
    </row>
    <row r="4950" spans="1:33" x14ac:dyDescent="0.3">
      <c r="A4950" t="s">
        <v>7573</v>
      </c>
      <c r="B4950" s="13">
        <v>46288</v>
      </c>
      <c r="C4950">
        <v>2026</v>
      </c>
      <c r="D4950">
        <v>9</v>
      </c>
      <c r="E4950" t="s">
        <v>4552</v>
      </c>
      <c r="F4950" t="s">
        <v>4047</v>
      </c>
      <c r="G4950" t="s">
        <v>1499</v>
      </c>
      <c r="H4950" t="s">
        <v>1500</v>
      </c>
      <c r="I4950" t="s">
        <v>86</v>
      </c>
      <c r="J4950">
        <v>29</v>
      </c>
      <c r="K4950" t="s">
        <v>81</v>
      </c>
      <c r="L4950" t="s">
        <v>2589</v>
      </c>
      <c r="M4950" t="s">
        <v>61</v>
      </c>
      <c r="N4950" t="s">
        <v>2574</v>
      </c>
      <c r="O4950" t="s">
        <v>130</v>
      </c>
      <c r="P4950" t="s">
        <v>50</v>
      </c>
      <c r="Q4950" t="s">
        <v>53</v>
      </c>
      <c r="R4950">
        <v>3</v>
      </c>
      <c r="S4950">
        <v>1199</v>
      </c>
      <c r="T4950">
        <v>0.05</v>
      </c>
      <c r="U4950">
        <v>3417.15</v>
      </c>
      <c r="V4950">
        <v>1650</v>
      </c>
      <c r="W4950">
        <v>1767.15</v>
      </c>
      <c r="X4950" t="s">
        <v>73</v>
      </c>
      <c r="Y4950" t="s">
        <v>68</v>
      </c>
      <c r="Z4950" t="s">
        <v>161</v>
      </c>
      <c r="AA4950" t="s">
        <v>170</v>
      </c>
      <c r="AB4950">
        <v>5</v>
      </c>
      <c r="AC4950">
        <v>60</v>
      </c>
      <c r="AD4950">
        <v>165.01</v>
      </c>
      <c r="AE4950">
        <f t="shared" si="154"/>
        <v>1542.14</v>
      </c>
      <c r="AF4950" t="str">
        <f t="shared" si="155"/>
        <v>2026-09</v>
      </c>
      <c r="AG4950">
        <f>SUBTOTAL(103,A4950)</f>
        <v>1</v>
      </c>
    </row>
    <row r="4951" spans="1:33" x14ac:dyDescent="0.3">
      <c r="A4951" t="s">
        <v>7574</v>
      </c>
      <c r="B4951" s="13">
        <v>46288</v>
      </c>
      <c r="C4951">
        <v>2026</v>
      </c>
      <c r="D4951">
        <v>9</v>
      </c>
      <c r="E4951" t="s">
        <v>4552</v>
      </c>
      <c r="F4951" t="s">
        <v>4047</v>
      </c>
      <c r="G4951" t="s">
        <v>303</v>
      </c>
      <c r="H4951" t="s">
        <v>304</v>
      </c>
      <c r="I4951" t="s">
        <v>85</v>
      </c>
      <c r="J4951">
        <v>29</v>
      </c>
      <c r="K4951" t="s">
        <v>81</v>
      </c>
      <c r="L4951" t="s">
        <v>90</v>
      </c>
      <c r="M4951" t="s">
        <v>55</v>
      </c>
      <c r="N4951" t="s">
        <v>2603</v>
      </c>
      <c r="O4951" t="s">
        <v>122</v>
      </c>
      <c r="P4951" t="s">
        <v>48</v>
      </c>
      <c r="Q4951" t="s">
        <v>141</v>
      </c>
      <c r="R4951">
        <v>5</v>
      </c>
      <c r="S4951">
        <v>2499</v>
      </c>
      <c r="T4951">
        <v>0</v>
      </c>
      <c r="U4951">
        <v>12495</v>
      </c>
      <c r="V4951">
        <v>7250</v>
      </c>
      <c r="W4951">
        <v>5245</v>
      </c>
      <c r="X4951" t="s">
        <v>76</v>
      </c>
      <c r="Y4951" t="s">
        <v>69</v>
      </c>
      <c r="Z4951" t="s">
        <v>159</v>
      </c>
      <c r="AA4951" t="s">
        <v>166</v>
      </c>
      <c r="AB4951">
        <v>5</v>
      </c>
      <c r="AC4951">
        <v>50</v>
      </c>
      <c r="AD4951">
        <v>356.4</v>
      </c>
      <c r="AE4951">
        <f t="shared" si="154"/>
        <v>4838.6000000000004</v>
      </c>
      <c r="AF4951" t="str">
        <f t="shared" si="155"/>
        <v>2026-09</v>
      </c>
      <c r="AG4951">
        <f>SUBTOTAL(103,A4951)</f>
        <v>1</v>
      </c>
    </row>
    <row r="4952" spans="1:33" x14ac:dyDescent="0.3">
      <c r="A4952" t="s">
        <v>7575</v>
      </c>
      <c r="B4952" s="13">
        <v>46289</v>
      </c>
      <c r="C4952">
        <v>2026</v>
      </c>
      <c r="D4952">
        <v>9</v>
      </c>
      <c r="E4952" t="s">
        <v>4552</v>
      </c>
      <c r="F4952" t="s">
        <v>4047</v>
      </c>
      <c r="G4952" t="s">
        <v>751</v>
      </c>
      <c r="H4952" t="s">
        <v>752</v>
      </c>
      <c r="I4952" t="s">
        <v>85</v>
      </c>
      <c r="J4952">
        <v>25</v>
      </c>
      <c r="K4952" t="s">
        <v>80</v>
      </c>
      <c r="L4952" t="s">
        <v>94</v>
      </c>
      <c r="M4952" t="s">
        <v>57</v>
      </c>
      <c r="N4952" t="s">
        <v>2587</v>
      </c>
      <c r="O4952" t="s">
        <v>116</v>
      </c>
      <c r="P4952" t="s">
        <v>48</v>
      </c>
      <c r="Q4952" t="s">
        <v>138</v>
      </c>
      <c r="R4952">
        <v>2</v>
      </c>
      <c r="S4952">
        <v>14999</v>
      </c>
      <c r="T4952">
        <v>0</v>
      </c>
      <c r="U4952">
        <v>29998</v>
      </c>
      <c r="V4952">
        <v>22400</v>
      </c>
      <c r="W4952">
        <v>7598</v>
      </c>
      <c r="X4952" t="s">
        <v>74</v>
      </c>
      <c r="Y4952" t="s">
        <v>68</v>
      </c>
      <c r="Z4952" t="s">
        <v>161</v>
      </c>
      <c r="AA4952" t="s">
        <v>171</v>
      </c>
      <c r="AB4952">
        <v>3.1</v>
      </c>
      <c r="AC4952">
        <v>50</v>
      </c>
      <c r="AD4952">
        <v>2834.03</v>
      </c>
      <c r="AE4952">
        <f t="shared" si="154"/>
        <v>4713.9699999999993</v>
      </c>
      <c r="AF4952" t="str">
        <f t="shared" si="155"/>
        <v>2026-09</v>
      </c>
      <c r="AG4952">
        <f>SUBTOTAL(103,A4952)</f>
        <v>1</v>
      </c>
    </row>
    <row r="4953" spans="1:33" x14ac:dyDescent="0.3">
      <c r="A4953" t="s">
        <v>7576</v>
      </c>
      <c r="B4953" s="13">
        <v>46289</v>
      </c>
      <c r="C4953">
        <v>2026</v>
      </c>
      <c r="D4953">
        <v>9</v>
      </c>
      <c r="E4953" t="s">
        <v>4552</v>
      </c>
      <c r="F4953" t="s">
        <v>4047</v>
      </c>
      <c r="G4953" t="s">
        <v>871</v>
      </c>
      <c r="H4953" t="s">
        <v>872</v>
      </c>
      <c r="I4953" t="s">
        <v>85</v>
      </c>
      <c r="J4953">
        <v>45</v>
      </c>
      <c r="K4953" t="s">
        <v>82</v>
      </c>
      <c r="L4953" t="s">
        <v>2646</v>
      </c>
      <c r="M4953" t="s">
        <v>63</v>
      </c>
      <c r="N4953" t="s">
        <v>2626</v>
      </c>
      <c r="O4953" t="s">
        <v>125</v>
      </c>
      <c r="P4953" t="s">
        <v>48</v>
      </c>
      <c r="Q4953" t="s">
        <v>141</v>
      </c>
      <c r="R4953">
        <v>2</v>
      </c>
      <c r="S4953">
        <v>1999</v>
      </c>
      <c r="T4953">
        <v>0.05</v>
      </c>
      <c r="U4953">
        <v>3798.1</v>
      </c>
      <c r="V4953">
        <v>2300</v>
      </c>
      <c r="W4953">
        <v>1498.1</v>
      </c>
      <c r="X4953" t="s">
        <v>73</v>
      </c>
      <c r="Y4953" t="s">
        <v>70</v>
      </c>
      <c r="Z4953" t="s">
        <v>162</v>
      </c>
      <c r="AA4953" t="s">
        <v>170</v>
      </c>
      <c r="AB4953">
        <v>4.4000000000000004</v>
      </c>
      <c r="AC4953">
        <v>40</v>
      </c>
      <c r="AD4953">
        <v>265.33</v>
      </c>
      <c r="AE4953">
        <f t="shared" si="154"/>
        <v>1192.77</v>
      </c>
      <c r="AF4953" t="str">
        <f t="shared" si="155"/>
        <v>2026-09</v>
      </c>
      <c r="AG4953">
        <f>SUBTOTAL(103,A4953)</f>
        <v>1</v>
      </c>
    </row>
    <row r="4954" spans="1:33" x14ac:dyDescent="0.3">
      <c r="A4954" t="s">
        <v>7577</v>
      </c>
      <c r="B4954" s="13">
        <v>46289</v>
      </c>
      <c r="C4954">
        <v>2026</v>
      </c>
      <c r="D4954">
        <v>9</v>
      </c>
      <c r="E4954" t="s">
        <v>4552</v>
      </c>
      <c r="F4954" t="s">
        <v>4047</v>
      </c>
      <c r="G4954" t="s">
        <v>763</v>
      </c>
      <c r="H4954" t="s">
        <v>764</v>
      </c>
      <c r="I4954" t="s">
        <v>85</v>
      </c>
      <c r="J4954">
        <v>58</v>
      </c>
      <c r="K4954" t="s">
        <v>83</v>
      </c>
      <c r="L4954" t="s">
        <v>2634</v>
      </c>
      <c r="M4954" t="s">
        <v>56</v>
      </c>
      <c r="N4954" t="s">
        <v>2574</v>
      </c>
      <c r="O4954" t="s">
        <v>130</v>
      </c>
      <c r="P4954" t="s">
        <v>50</v>
      </c>
      <c r="Q4954" t="s">
        <v>53</v>
      </c>
      <c r="R4954">
        <v>3</v>
      </c>
      <c r="S4954">
        <v>1199</v>
      </c>
      <c r="T4954">
        <v>0</v>
      </c>
      <c r="U4954">
        <v>3597</v>
      </c>
      <c r="V4954">
        <v>1650</v>
      </c>
      <c r="W4954">
        <v>1947</v>
      </c>
      <c r="X4954" t="s">
        <v>73</v>
      </c>
      <c r="Y4954" t="s">
        <v>68</v>
      </c>
      <c r="Z4954" t="s">
        <v>161</v>
      </c>
      <c r="AA4954" t="s">
        <v>170</v>
      </c>
      <c r="AB4954">
        <v>4.3</v>
      </c>
      <c r="AC4954">
        <v>100</v>
      </c>
      <c r="AD4954">
        <v>281.45</v>
      </c>
      <c r="AE4954">
        <f t="shared" si="154"/>
        <v>1565.55</v>
      </c>
      <c r="AF4954" t="str">
        <f t="shared" si="155"/>
        <v>2026-09</v>
      </c>
      <c r="AG4954">
        <f>SUBTOTAL(103,A4954)</f>
        <v>1</v>
      </c>
    </row>
    <row r="4955" spans="1:33" x14ac:dyDescent="0.3">
      <c r="A4955" t="s">
        <v>7578</v>
      </c>
      <c r="B4955" s="13">
        <v>46289</v>
      </c>
      <c r="C4955">
        <v>2026</v>
      </c>
      <c r="D4955">
        <v>9</v>
      </c>
      <c r="E4955" t="s">
        <v>4552</v>
      </c>
      <c r="F4955" t="s">
        <v>4047</v>
      </c>
      <c r="G4955" t="s">
        <v>1391</v>
      </c>
      <c r="H4955" t="s">
        <v>1392</v>
      </c>
      <c r="I4955" t="s">
        <v>85</v>
      </c>
      <c r="J4955">
        <v>28</v>
      </c>
      <c r="K4955" t="s">
        <v>81</v>
      </c>
      <c r="L4955" t="s">
        <v>92</v>
      </c>
      <c r="M4955" t="s">
        <v>59</v>
      </c>
      <c r="N4955" t="s">
        <v>2626</v>
      </c>
      <c r="O4955" t="s">
        <v>125</v>
      </c>
      <c r="P4955" t="s">
        <v>48</v>
      </c>
      <c r="Q4955" t="s">
        <v>141</v>
      </c>
      <c r="R4955">
        <v>2</v>
      </c>
      <c r="S4955">
        <v>1999</v>
      </c>
      <c r="T4955">
        <v>0</v>
      </c>
      <c r="U4955">
        <v>3998</v>
      </c>
      <c r="V4955">
        <v>2300</v>
      </c>
      <c r="W4955">
        <v>1698</v>
      </c>
      <c r="X4955" t="s">
        <v>76</v>
      </c>
      <c r="Y4955" t="s">
        <v>68</v>
      </c>
      <c r="Z4955" t="s">
        <v>163</v>
      </c>
      <c r="AA4955" t="s">
        <v>168</v>
      </c>
      <c r="AB4955">
        <v>2.9</v>
      </c>
      <c r="AC4955">
        <v>80</v>
      </c>
      <c r="AD4955">
        <v>317.66000000000003</v>
      </c>
      <c r="AE4955">
        <f t="shared" si="154"/>
        <v>1300.3399999999999</v>
      </c>
      <c r="AF4955" t="str">
        <f t="shared" si="155"/>
        <v>2026-09</v>
      </c>
      <c r="AG4955">
        <f>SUBTOTAL(103,A4955)</f>
        <v>1</v>
      </c>
    </row>
    <row r="4956" spans="1:33" x14ac:dyDescent="0.3">
      <c r="A4956" t="s">
        <v>7579</v>
      </c>
      <c r="B4956" s="13">
        <v>46289</v>
      </c>
      <c r="C4956">
        <v>2026</v>
      </c>
      <c r="D4956">
        <v>9</v>
      </c>
      <c r="E4956" t="s">
        <v>4552</v>
      </c>
      <c r="F4956" t="s">
        <v>4047</v>
      </c>
      <c r="G4956" t="s">
        <v>1835</v>
      </c>
      <c r="H4956" t="s">
        <v>1836</v>
      </c>
      <c r="I4956" t="s">
        <v>85</v>
      </c>
      <c r="J4956">
        <v>49</v>
      </c>
      <c r="K4956" t="s">
        <v>83</v>
      </c>
      <c r="L4956" t="s">
        <v>99</v>
      </c>
      <c r="M4956" t="s">
        <v>58</v>
      </c>
      <c r="N4956" t="s">
        <v>2630</v>
      </c>
      <c r="O4956" t="s">
        <v>123</v>
      </c>
      <c r="P4956" t="s">
        <v>52</v>
      </c>
      <c r="Q4956" t="s">
        <v>146</v>
      </c>
      <c r="R4956">
        <v>4</v>
      </c>
      <c r="S4956">
        <v>2499</v>
      </c>
      <c r="T4956">
        <v>0.15</v>
      </c>
      <c r="U4956">
        <v>8496.6</v>
      </c>
      <c r="V4956">
        <v>5600</v>
      </c>
      <c r="W4956">
        <v>2896.6</v>
      </c>
      <c r="X4956" t="s">
        <v>73</v>
      </c>
      <c r="Y4956" t="s">
        <v>68</v>
      </c>
      <c r="Z4956" t="s">
        <v>163</v>
      </c>
      <c r="AA4956" t="s">
        <v>170</v>
      </c>
      <c r="AB4956">
        <v>3.8</v>
      </c>
      <c r="AC4956">
        <v>40</v>
      </c>
      <c r="AD4956">
        <v>611.21</v>
      </c>
      <c r="AE4956">
        <f t="shared" si="154"/>
        <v>2245.39</v>
      </c>
      <c r="AF4956" t="str">
        <f t="shared" si="155"/>
        <v>2026-09</v>
      </c>
      <c r="AG4956">
        <f>SUBTOTAL(103,A4956)</f>
        <v>1</v>
      </c>
    </row>
    <row r="4957" spans="1:33" x14ac:dyDescent="0.3">
      <c r="A4957" t="s">
        <v>7580</v>
      </c>
      <c r="B4957" s="13">
        <v>46289</v>
      </c>
      <c r="C4957">
        <v>2026</v>
      </c>
      <c r="D4957">
        <v>9</v>
      </c>
      <c r="E4957" t="s">
        <v>4552</v>
      </c>
      <c r="F4957" t="s">
        <v>4047</v>
      </c>
      <c r="G4957" t="s">
        <v>639</v>
      </c>
      <c r="H4957" t="s">
        <v>640</v>
      </c>
      <c r="I4957" t="s">
        <v>85</v>
      </c>
      <c r="J4957">
        <v>59</v>
      </c>
      <c r="K4957" t="s">
        <v>83</v>
      </c>
      <c r="L4957" t="s">
        <v>2605</v>
      </c>
      <c r="M4957" t="s">
        <v>60</v>
      </c>
      <c r="N4957" t="s">
        <v>2626</v>
      </c>
      <c r="O4957" t="s">
        <v>125</v>
      </c>
      <c r="P4957" t="s">
        <v>48</v>
      </c>
      <c r="Q4957" t="s">
        <v>141</v>
      </c>
      <c r="R4957">
        <v>5</v>
      </c>
      <c r="S4957">
        <v>1999</v>
      </c>
      <c r="T4957">
        <v>0.05</v>
      </c>
      <c r="U4957">
        <v>9495.25</v>
      </c>
      <c r="V4957">
        <v>5750</v>
      </c>
      <c r="W4957">
        <v>3745.25</v>
      </c>
      <c r="X4957" t="s">
        <v>75</v>
      </c>
      <c r="Y4957" t="s">
        <v>69</v>
      </c>
      <c r="Z4957" t="s">
        <v>160</v>
      </c>
      <c r="AA4957" t="s">
        <v>167</v>
      </c>
      <c r="AB4957">
        <v>3.4</v>
      </c>
      <c r="AC4957">
        <v>60</v>
      </c>
      <c r="AD4957">
        <v>1076.81</v>
      </c>
      <c r="AE4957">
        <f t="shared" si="154"/>
        <v>2608.44</v>
      </c>
      <c r="AF4957" t="str">
        <f t="shared" si="155"/>
        <v>2026-09</v>
      </c>
      <c r="AG4957">
        <f>SUBTOTAL(103,A4957)</f>
        <v>1</v>
      </c>
    </row>
    <row r="4958" spans="1:33" x14ac:dyDescent="0.3">
      <c r="A4958" t="s">
        <v>7581</v>
      </c>
      <c r="B4958" s="13">
        <v>46290</v>
      </c>
      <c r="C4958">
        <v>2026</v>
      </c>
      <c r="D4958">
        <v>9</v>
      </c>
      <c r="E4958" t="s">
        <v>4552</v>
      </c>
      <c r="F4958" t="s">
        <v>4047</v>
      </c>
      <c r="G4958" t="s">
        <v>1045</v>
      </c>
      <c r="H4958" t="s">
        <v>1046</v>
      </c>
      <c r="I4958" t="s">
        <v>86</v>
      </c>
      <c r="J4958">
        <v>33</v>
      </c>
      <c r="K4958" t="s">
        <v>81</v>
      </c>
      <c r="L4958" t="s">
        <v>96</v>
      </c>
      <c r="M4958" t="s">
        <v>55</v>
      </c>
      <c r="N4958" t="s">
        <v>2626</v>
      </c>
      <c r="O4958" t="s">
        <v>125</v>
      </c>
      <c r="P4958" t="s">
        <v>48</v>
      </c>
      <c r="Q4958" t="s">
        <v>141</v>
      </c>
      <c r="R4958">
        <v>2</v>
      </c>
      <c r="S4958">
        <v>1999</v>
      </c>
      <c r="T4958">
        <v>0.25</v>
      </c>
      <c r="U4958">
        <v>2998.5</v>
      </c>
      <c r="V4958">
        <v>2300</v>
      </c>
      <c r="W4958">
        <v>698.5</v>
      </c>
      <c r="X4958" t="s">
        <v>73</v>
      </c>
      <c r="Y4958" t="s">
        <v>68</v>
      </c>
      <c r="Z4958" t="s">
        <v>158</v>
      </c>
      <c r="AA4958" t="s">
        <v>166</v>
      </c>
      <c r="AB4958">
        <v>4.9000000000000004</v>
      </c>
      <c r="AC4958">
        <v>100</v>
      </c>
      <c r="AD4958">
        <v>261.83999999999997</v>
      </c>
      <c r="AE4958">
        <f t="shared" si="154"/>
        <v>336.66</v>
      </c>
      <c r="AF4958" t="str">
        <f t="shared" si="155"/>
        <v>2026-09</v>
      </c>
      <c r="AG4958">
        <f>SUBTOTAL(103,A4958)</f>
        <v>1</v>
      </c>
    </row>
    <row r="4959" spans="1:33" x14ac:dyDescent="0.3">
      <c r="A4959" t="s">
        <v>7582</v>
      </c>
      <c r="B4959" s="13">
        <v>46290</v>
      </c>
      <c r="C4959">
        <v>2026</v>
      </c>
      <c r="D4959">
        <v>9</v>
      </c>
      <c r="E4959" t="s">
        <v>4552</v>
      </c>
      <c r="F4959" t="s">
        <v>4047</v>
      </c>
      <c r="G4959" t="s">
        <v>1989</v>
      </c>
      <c r="H4959" t="s">
        <v>1990</v>
      </c>
      <c r="I4959" t="s">
        <v>85</v>
      </c>
      <c r="J4959">
        <v>57</v>
      </c>
      <c r="K4959" t="s">
        <v>83</v>
      </c>
      <c r="L4959" t="s">
        <v>92</v>
      </c>
      <c r="M4959" t="s">
        <v>59</v>
      </c>
      <c r="N4959" t="s">
        <v>2580</v>
      </c>
      <c r="O4959" t="s">
        <v>118</v>
      </c>
      <c r="P4959" t="s">
        <v>48</v>
      </c>
      <c r="Q4959" t="s">
        <v>142</v>
      </c>
      <c r="R4959">
        <v>1</v>
      </c>
      <c r="S4959">
        <v>3999</v>
      </c>
      <c r="T4959">
        <v>0</v>
      </c>
      <c r="U4959">
        <v>3999</v>
      </c>
      <c r="V4959">
        <v>2400</v>
      </c>
      <c r="W4959">
        <v>1599</v>
      </c>
      <c r="X4959" t="s">
        <v>73</v>
      </c>
      <c r="Y4959" t="s">
        <v>69</v>
      </c>
      <c r="Z4959" t="s">
        <v>161</v>
      </c>
      <c r="AA4959" t="s">
        <v>166</v>
      </c>
      <c r="AB4959">
        <v>4</v>
      </c>
      <c r="AC4959">
        <v>40</v>
      </c>
      <c r="AD4959">
        <v>80.83</v>
      </c>
      <c r="AE4959">
        <f t="shared" si="154"/>
        <v>1478.17</v>
      </c>
      <c r="AF4959" t="str">
        <f t="shared" si="155"/>
        <v>2026-09</v>
      </c>
      <c r="AG4959">
        <f>SUBTOTAL(103,A4959)</f>
        <v>1</v>
      </c>
    </row>
    <row r="4960" spans="1:33" x14ac:dyDescent="0.3">
      <c r="A4960" t="s">
        <v>7583</v>
      </c>
      <c r="B4960" s="13">
        <v>46290</v>
      </c>
      <c r="C4960">
        <v>2026</v>
      </c>
      <c r="D4960">
        <v>9</v>
      </c>
      <c r="E4960" t="s">
        <v>4552</v>
      </c>
      <c r="F4960" t="s">
        <v>4047</v>
      </c>
      <c r="G4960" t="s">
        <v>341</v>
      </c>
      <c r="H4960" t="s">
        <v>342</v>
      </c>
      <c r="I4960" t="s">
        <v>85</v>
      </c>
      <c r="J4960">
        <v>34</v>
      </c>
      <c r="K4960" t="s">
        <v>81</v>
      </c>
      <c r="L4960" t="s">
        <v>2679</v>
      </c>
      <c r="M4960" t="s">
        <v>60</v>
      </c>
      <c r="N4960" t="s">
        <v>2574</v>
      </c>
      <c r="O4960" t="s">
        <v>130</v>
      </c>
      <c r="P4960" t="s">
        <v>50</v>
      </c>
      <c r="Q4960" t="s">
        <v>53</v>
      </c>
      <c r="R4960">
        <v>1</v>
      </c>
      <c r="S4960">
        <v>1199</v>
      </c>
      <c r="T4960">
        <v>0.1</v>
      </c>
      <c r="U4960">
        <v>1079.0999999999999</v>
      </c>
      <c r="V4960">
        <v>550</v>
      </c>
      <c r="W4960">
        <v>529.1</v>
      </c>
      <c r="X4960" t="s">
        <v>73</v>
      </c>
      <c r="Y4960" t="s">
        <v>68</v>
      </c>
      <c r="Z4960" t="s">
        <v>158</v>
      </c>
      <c r="AA4960" t="s">
        <v>167</v>
      </c>
      <c r="AB4960">
        <v>3.9</v>
      </c>
      <c r="AC4960">
        <v>50</v>
      </c>
      <c r="AD4960">
        <v>29.34</v>
      </c>
      <c r="AE4960">
        <f t="shared" si="154"/>
        <v>449.76000000000005</v>
      </c>
      <c r="AF4960" t="str">
        <f t="shared" si="155"/>
        <v>2026-09</v>
      </c>
      <c r="AG4960">
        <f>SUBTOTAL(103,A4960)</f>
        <v>1</v>
      </c>
    </row>
    <row r="4961" spans="1:33" x14ac:dyDescent="0.3">
      <c r="A4961" t="s">
        <v>7584</v>
      </c>
      <c r="B4961" s="13">
        <v>46290</v>
      </c>
      <c r="C4961">
        <v>2026</v>
      </c>
      <c r="D4961">
        <v>9</v>
      </c>
      <c r="E4961" t="s">
        <v>4552</v>
      </c>
      <c r="F4961" t="s">
        <v>4047</v>
      </c>
      <c r="G4961" t="s">
        <v>557</v>
      </c>
      <c r="H4961" t="s">
        <v>558</v>
      </c>
      <c r="I4961" t="s">
        <v>86</v>
      </c>
      <c r="J4961">
        <v>59</v>
      </c>
      <c r="K4961" t="s">
        <v>83</v>
      </c>
      <c r="L4961" t="s">
        <v>2661</v>
      </c>
      <c r="M4961" t="s">
        <v>58</v>
      </c>
      <c r="N4961" t="s">
        <v>2580</v>
      </c>
      <c r="O4961" t="s">
        <v>118</v>
      </c>
      <c r="P4961" t="s">
        <v>48</v>
      </c>
      <c r="Q4961" t="s">
        <v>142</v>
      </c>
      <c r="R4961">
        <v>5</v>
      </c>
      <c r="S4961">
        <v>3999</v>
      </c>
      <c r="T4961">
        <v>0.15</v>
      </c>
      <c r="U4961">
        <v>16995.75</v>
      </c>
      <c r="V4961">
        <v>12000</v>
      </c>
      <c r="W4961">
        <v>4995.75</v>
      </c>
      <c r="X4961" t="s">
        <v>74</v>
      </c>
      <c r="Y4961" t="s">
        <v>68</v>
      </c>
      <c r="Z4961" t="s">
        <v>161</v>
      </c>
      <c r="AA4961" t="s">
        <v>166</v>
      </c>
      <c r="AB4961">
        <v>3.6</v>
      </c>
      <c r="AC4961">
        <v>120</v>
      </c>
      <c r="AD4961">
        <v>1180.3800000000001</v>
      </c>
      <c r="AE4961">
        <f t="shared" si="154"/>
        <v>3695.37</v>
      </c>
      <c r="AF4961" t="str">
        <f t="shared" si="155"/>
        <v>2026-09</v>
      </c>
      <c r="AG4961">
        <f>SUBTOTAL(103,A4961)</f>
        <v>1</v>
      </c>
    </row>
    <row r="4962" spans="1:33" x14ac:dyDescent="0.3">
      <c r="A4962" t="s">
        <v>7585</v>
      </c>
      <c r="B4962" s="13">
        <v>46290</v>
      </c>
      <c r="C4962">
        <v>2026</v>
      </c>
      <c r="D4962">
        <v>9</v>
      </c>
      <c r="E4962" t="s">
        <v>4552</v>
      </c>
      <c r="F4962" t="s">
        <v>4047</v>
      </c>
      <c r="G4962" t="s">
        <v>1967</v>
      </c>
      <c r="H4962" t="s">
        <v>1968</v>
      </c>
      <c r="I4962" t="s">
        <v>85</v>
      </c>
      <c r="J4962">
        <v>23</v>
      </c>
      <c r="K4962" t="s">
        <v>80</v>
      </c>
      <c r="L4962" t="s">
        <v>93</v>
      </c>
      <c r="M4962" t="s">
        <v>55</v>
      </c>
      <c r="N4962" t="s">
        <v>2653</v>
      </c>
      <c r="O4962" t="s">
        <v>132</v>
      </c>
      <c r="P4962" t="s">
        <v>52</v>
      </c>
      <c r="Q4962" t="s">
        <v>150</v>
      </c>
      <c r="R4962">
        <v>1</v>
      </c>
      <c r="S4962">
        <v>899</v>
      </c>
      <c r="T4962">
        <v>0.05</v>
      </c>
      <c r="U4962">
        <v>854.05</v>
      </c>
      <c r="V4962">
        <v>420</v>
      </c>
      <c r="W4962">
        <v>434.05</v>
      </c>
      <c r="X4962" t="s">
        <v>77</v>
      </c>
      <c r="Y4962" t="s">
        <v>68</v>
      </c>
      <c r="Z4962" t="s">
        <v>161</v>
      </c>
      <c r="AA4962" t="s">
        <v>169</v>
      </c>
      <c r="AB4962">
        <v>4.3</v>
      </c>
      <c r="AC4962">
        <v>60</v>
      </c>
      <c r="AD4962">
        <v>89.86</v>
      </c>
      <c r="AE4962">
        <f t="shared" si="154"/>
        <v>284.19</v>
      </c>
      <c r="AF4962" t="str">
        <f t="shared" si="155"/>
        <v>2026-09</v>
      </c>
      <c r="AG4962">
        <f>SUBTOTAL(103,A4962)</f>
        <v>1</v>
      </c>
    </row>
    <row r="4963" spans="1:33" x14ac:dyDescent="0.3">
      <c r="A4963" t="s">
        <v>7586</v>
      </c>
      <c r="B4963" s="13">
        <v>46290</v>
      </c>
      <c r="C4963">
        <v>2026</v>
      </c>
      <c r="D4963">
        <v>9</v>
      </c>
      <c r="E4963" t="s">
        <v>4552</v>
      </c>
      <c r="F4963" t="s">
        <v>4047</v>
      </c>
      <c r="G4963" t="s">
        <v>1249</v>
      </c>
      <c r="H4963" t="s">
        <v>1250</v>
      </c>
      <c r="I4963" t="s">
        <v>85</v>
      </c>
      <c r="J4963">
        <v>18</v>
      </c>
      <c r="K4963" t="s">
        <v>80</v>
      </c>
      <c r="L4963" t="s">
        <v>91</v>
      </c>
      <c r="M4963" t="s">
        <v>55</v>
      </c>
      <c r="N4963" t="s">
        <v>2657</v>
      </c>
      <c r="O4963" t="s">
        <v>134</v>
      </c>
      <c r="P4963" t="s">
        <v>49</v>
      </c>
      <c r="Q4963" t="s">
        <v>140</v>
      </c>
      <c r="R4963">
        <v>1</v>
      </c>
      <c r="S4963">
        <v>599</v>
      </c>
      <c r="T4963">
        <v>0</v>
      </c>
      <c r="U4963">
        <v>599</v>
      </c>
      <c r="V4963">
        <v>250</v>
      </c>
      <c r="W4963">
        <v>349</v>
      </c>
      <c r="X4963" t="s">
        <v>76</v>
      </c>
      <c r="Y4963" t="s">
        <v>68</v>
      </c>
      <c r="Z4963" t="s">
        <v>159</v>
      </c>
      <c r="AA4963" t="s">
        <v>166</v>
      </c>
      <c r="AB4963">
        <v>4.5999999999999996</v>
      </c>
      <c r="AC4963">
        <v>100</v>
      </c>
      <c r="AD4963">
        <v>70.209999999999994</v>
      </c>
      <c r="AE4963">
        <f t="shared" si="154"/>
        <v>178.79000000000002</v>
      </c>
      <c r="AF4963" t="str">
        <f t="shared" si="155"/>
        <v>2026-09</v>
      </c>
      <c r="AG4963">
        <f>SUBTOTAL(103,A4963)</f>
        <v>1</v>
      </c>
    </row>
    <row r="4964" spans="1:33" x14ac:dyDescent="0.3">
      <c r="A4964" t="s">
        <v>7587</v>
      </c>
      <c r="B4964" s="13">
        <v>46291</v>
      </c>
      <c r="C4964">
        <v>2026</v>
      </c>
      <c r="D4964">
        <v>9</v>
      </c>
      <c r="E4964" t="s">
        <v>4552</v>
      </c>
      <c r="F4964" t="s">
        <v>4047</v>
      </c>
      <c r="G4964" t="s">
        <v>2455</v>
      </c>
      <c r="H4964" t="s">
        <v>2456</v>
      </c>
      <c r="I4964" t="s">
        <v>85</v>
      </c>
      <c r="J4964">
        <v>40</v>
      </c>
      <c r="K4964" t="s">
        <v>82</v>
      </c>
      <c r="L4964" t="s">
        <v>2674</v>
      </c>
      <c r="M4964" t="s">
        <v>58</v>
      </c>
      <c r="N4964" t="s">
        <v>2657</v>
      </c>
      <c r="O4964" t="s">
        <v>134</v>
      </c>
      <c r="P4964" t="s">
        <v>49</v>
      </c>
      <c r="Q4964" t="s">
        <v>140</v>
      </c>
      <c r="R4964">
        <v>4</v>
      </c>
      <c r="S4964">
        <v>599</v>
      </c>
      <c r="T4964">
        <v>0.1</v>
      </c>
      <c r="U4964">
        <v>2156.4</v>
      </c>
      <c r="V4964">
        <v>1000</v>
      </c>
      <c r="W4964">
        <v>1156.4000000000001</v>
      </c>
      <c r="X4964" t="s">
        <v>74</v>
      </c>
      <c r="Y4964" t="s">
        <v>68</v>
      </c>
      <c r="Z4964" t="s">
        <v>162</v>
      </c>
      <c r="AA4964" t="s">
        <v>170</v>
      </c>
      <c r="AB4964">
        <v>4.7</v>
      </c>
      <c r="AC4964">
        <v>50</v>
      </c>
      <c r="AD4964">
        <v>130.19999999999999</v>
      </c>
      <c r="AE4964">
        <f t="shared" si="154"/>
        <v>976.2</v>
      </c>
      <c r="AF4964" t="str">
        <f t="shared" si="155"/>
        <v>2026-09</v>
      </c>
      <c r="AG4964">
        <f>SUBTOTAL(103,A4964)</f>
        <v>1</v>
      </c>
    </row>
    <row r="4965" spans="1:33" x14ac:dyDescent="0.3">
      <c r="A4965" t="s">
        <v>7588</v>
      </c>
      <c r="B4965" s="13">
        <v>46291</v>
      </c>
      <c r="C4965">
        <v>2026</v>
      </c>
      <c r="D4965">
        <v>9</v>
      </c>
      <c r="E4965" t="s">
        <v>4552</v>
      </c>
      <c r="F4965" t="s">
        <v>4047</v>
      </c>
      <c r="G4965" t="s">
        <v>1585</v>
      </c>
      <c r="H4965" t="s">
        <v>1586</v>
      </c>
      <c r="I4965" t="s">
        <v>85</v>
      </c>
      <c r="J4965">
        <v>34</v>
      </c>
      <c r="K4965" t="s">
        <v>81</v>
      </c>
      <c r="L4965" t="s">
        <v>100</v>
      </c>
      <c r="M4965" t="s">
        <v>56</v>
      </c>
      <c r="N4965" t="s">
        <v>2580</v>
      </c>
      <c r="O4965" t="s">
        <v>118</v>
      </c>
      <c r="P4965" t="s">
        <v>48</v>
      </c>
      <c r="Q4965" t="s">
        <v>142</v>
      </c>
      <c r="R4965">
        <v>3</v>
      </c>
      <c r="S4965">
        <v>3999</v>
      </c>
      <c r="T4965">
        <v>0.1</v>
      </c>
      <c r="U4965">
        <v>0</v>
      </c>
      <c r="V4965">
        <v>0</v>
      </c>
      <c r="W4965">
        <v>0</v>
      </c>
      <c r="X4965" t="s">
        <v>73</v>
      </c>
      <c r="Y4965" t="s">
        <v>71</v>
      </c>
      <c r="Z4965" t="s">
        <v>161</v>
      </c>
      <c r="AA4965" t="s">
        <v>169</v>
      </c>
      <c r="AB4965">
        <v>5</v>
      </c>
      <c r="AC4965">
        <v>50</v>
      </c>
      <c r="AD4965">
        <v>315.77</v>
      </c>
      <c r="AE4965">
        <f t="shared" si="154"/>
        <v>-365.77</v>
      </c>
      <c r="AF4965" t="str">
        <f t="shared" si="155"/>
        <v>2026-09</v>
      </c>
      <c r="AG4965">
        <f>SUBTOTAL(103,A4965)</f>
        <v>1</v>
      </c>
    </row>
    <row r="4966" spans="1:33" x14ac:dyDescent="0.3">
      <c r="A4966" t="s">
        <v>7589</v>
      </c>
      <c r="B4966" s="13">
        <v>46291</v>
      </c>
      <c r="C4966">
        <v>2026</v>
      </c>
      <c r="D4966">
        <v>9</v>
      </c>
      <c r="E4966" t="s">
        <v>4552</v>
      </c>
      <c r="F4966" t="s">
        <v>4047</v>
      </c>
      <c r="G4966" t="s">
        <v>2055</v>
      </c>
      <c r="H4966" t="s">
        <v>2056</v>
      </c>
      <c r="I4966" t="s">
        <v>86</v>
      </c>
      <c r="J4966">
        <v>42</v>
      </c>
      <c r="K4966" t="s">
        <v>82</v>
      </c>
      <c r="L4966" t="s">
        <v>2674</v>
      </c>
      <c r="M4966" t="s">
        <v>58</v>
      </c>
      <c r="N4966" t="s">
        <v>2606</v>
      </c>
      <c r="O4966" t="s">
        <v>120</v>
      </c>
      <c r="P4966" t="s">
        <v>49</v>
      </c>
      <c r="Q4966" t="s">
        <v>140</v>
      </c>
      <c r="R4966">
        <v>3</v>
      </c>
      <c r="S4966">
        <v>2799</v>
      </c>
      <c r="T4966">
        <v>0.05</v>
      </c>
      <c r="U4966">
        <v>7977.15</v>
      </c>
      <c r="V4966">
        <v>4950</v>
      </c>
      <c r="W4966">
        <v>3027.15</v>
      </c>
      <c r="X4966" t="s">
        <v>73</v>
      </c>
      <c r="Y4966" t="s">
        <v>68</v>
      </c>
      <c r="Z4966" t="s">
        <v>158</v>
      </c>
      <c r="AA4966" t="s">
        <v>168</v>
      </c>
      <c r="AB4966">
        <v>2.9</v>
      </c>
      <c r="AC4966">
        <v>100</v>
      </c>
      <c r="AD4966">
        <v>339.44</v>
      </c>
      <c r="AE4966">
        <f t="shared" si="154"/>
        <v>2587.71</v>
      </c>
      <c r="AF4966" t="str">
        <f t="shared" si="155"/>
        <v>2026-09</v>
      </c>
      <c r="AG4966">
        <f>SUBTOTAL(103,A4966)</f>
        <v>1</v>
      </c>
    </row>
    <row r="4967" spans="1:33" x14ac:dyDescent="0.3">
      <c r="A4967" t="s">
        <v>7590</v>
      </c>
      <c r="B4967" s="13">
        <v>46291</v>
      </c>
      <c r="C4967">
        <v>2026</v>
      </c>
      <c r="D4967">
        <v>9</v>
      </c>
      <c r="E4967" t="s">
        <v>4552</v>
      </c>
      <c r="F4967" t="s">
        <v>4047</v>
      </c>
      <c r="G4967" t="s">
        <v>2007</v>
      </c>
      <c r="H4967" t="s">
        <v>2008</v>
      </c>
      <c r="I4967" t="s">
        <v>85</v>
      </c>
      <c r="J4967">
        <v>52</v>
      </c>
      <c r="K4967" t="s">
        <v>83</v>
      </c>
      <c r="L4967" t="s">
        <v>2679</v>
      </c>
      <c r="M4967" t="s">
        <v>60</v>
      </c>
      <c r="N4967" t="s">
        <v>2647</v>
      </c>
      <c r="O4967" t="s">
        <v>133</v>
      </c>
      <c r="P4967" t="s">
        <v>50</v>
      </c>
      <c r="Q4967" t="s">
        <v>145</v>
      </c>
      <c r="R4967">
        <v>3</v>
      </c>
      <c r="S4967">
        <v>799</v>
      </c>
      <c r="T4967">
        <v>0.1</v>
      </c>
      <c r="U4967">
        <v>2157.3000000000002</v>
      </c>
      <c r="V4967">
        <v>1170</v>
      </c>
      <c r="W4967">
        <v>987.3</v>
      </c>
      <c r="X4967" t="s">
        <v>73</v>
      </c>
      <c r="Y4967" t="s">
        <v>68</v>
      </c>
      <c r="Z4967" t="s">
        <v>158</v>
      </c>
      <c r="AA4967" t="s">
        <v>169</v>
      </c>
      <c r="AB4967">
        <v>3.8</v>
      </c>
      <c r="AC4967">
        <v>60</v>
      </c>
      <c r="AD4967">
        <v>169.93</v>
      </c>
      <c r="AE4967">
        <f t="shared" si="154"/>
        <v>757.36999999999989</v>
      </c>
      <c r="AF4967" t="str">
        <f t="shared" si="155"/>
        <v>2026-09</v>
      </c>
      <c r="AG4967">
        <f>SUBTOTAL(103,A4967)</f>
        <v>1</v>
      </c>
    </row>
    <row r="4968" spans="1:33" x14ac:dyDescent="0.3">
      <c r="A4968" t="s">
        <v>7591</v>
      </c>
      <c r="B4968" s="13">
        <v>46291</v>
      </c>
      <c r="C4968">
        <v>2026</v>
      </c>
      <c r="D4968">
        <v>9</v>
      </c>
      <c r="E4968" t="s">
        <v>4552</v>
      </c>
      <c r="F4968" t="s">
        <v>4047</v>
      </c>
      <c r="G4968" t="s">
        <v>2275</v>
      </c>
      <c r="H4968" t="s">
        <v>2276</v>
      </c>
      <c r="I4968" t="s">
        <v>86</v>
      </c>
      <c r="J4968">
        <v>39</v>
      </c>
      <c r="K4968" t="s">
        <v>82</v>
      </c>
      <c r="L4968" t="s">
        <v>2573</v>
      </c>
      <c r="M4968" t="s">
        <v>63</v>
      </c>
      <c r="N4968" t="s">
        <v>2647</v>
      </c>
      <c r="O4968" t="s">
        <v>133</v>
      </c>
      <c r="P4968" t="s">
        <v>50</v>
      </c>
      <c r="Q4968" t="s">
        <v>145</v>
      </c>
      <c r="R4968">
        <v>2</v>
      </c>
      <c r="S4968">
        <v>799</v>
      </c>
      <c r="T4968">
        <v>0.25</v>
      </c>
      <c r="U4968">
        <v>1198.5</v>
      </c>
      <c r="V4968">
        <v>780</v>
      </c>
      <c r="W4968">
        <v>418.5</v>
      </c>
      <c r="X4968" t="s">
        <v>75</v>
      </c>
      <c r="Y4968" t="s">
        <v>70</v>
      </c>
      <c r="Z4968" t="s">
        <v>160</v>
      </c>
      <c r="AA4968" t="s">
        <v>168</v>
      </c>
      <c r="AB4968">
        <v>4.0999999999999996</v>
      </c>
      <c r="AC4968">
        <v>60</v>
      </c>
      <c r="AD4968">
        <v>126.29</v>
      </c>
      <c r="AE4968">
        <f t="shared" si="154"/>
        <v>232.20999999999998</v>
      </c>
      <c r="AF4968" t="str">
        <f t="shared" si="155"/>
        <v>2026-09</v>
      </c>
      <c r="AG4968">
        <f>SUBTOTAL(103,A4968)</f>
        <v>1</v>
      </c>
    </row>
    <row r="4969" spans="1:33" x14ac:dyDescent="0.3">
      <c r="A4969" t="s">
        <v>7592</v>
      </c>
      <c r="B4969" s="13">
        <v>46291</v>
      </c>
      <c r="C4969">
        <v>2026</v>
      </c>
      <c r="D4969">
        <v>9</v>
      </c>
      <c r="E4969" t="s">
        <v>4552</v>
      </c>
      <c r="F4969" t="s">
        <v>4047</v>
      </c>
      <c r="G4969" t="s">
        <v>879</v>
      </c>
      <c r="H4969" t="s">
        <v>880</v>
      </c>
      <c r="I4969" t="s">
        <v>85</v>
      </c>
      <c r="J4969">
        <v>42</v>
      </c>
      <c r="K4969" t="s">
        <v>82</v>
      </c>
      <c r="L4969" t="s">
        <v>92</v>
      </c>
      <c r="M4969" t="s">
        <v>59</v>
      </c>
      <c r="N4969" t="s">
        <v>2653</v>
      </c>
      <c r="O4969" t="s">
        <v>132</v>
      </c>
      <c r="P4969" t="s">
        <v>52</v>
      </c>
      <c r="Q4969" t="s">
        <v>150</v>
      </c>
      <c r="R4969">
        <v>1</v>
      </c>
      <c r="S4969">
        <v>899</v>
      </c>
      <c r="T4969">
        <v>0.1</v>
      </c>
      <c r="U4969">
        <v>809.1</v>
      </c>
      <c r="V4969">
        <v>420</v>
      </c>
      <c r="W4969">
        <v>389.1</v>
      </c>
      <c r="X4969" t="s">
        <v>74</v>
      </c>
      <c r="Y4969" t="s">
        <v>68</v>
      </c>
      <c r="Z4969" t="s">
        <v>162</v>
      </c>
      <c r="AA4969" t="s">
        <v>168</v>
      </c>
      <c r="AB4969">
        <v>3.6</v>
      </c>
      <c r="AC4969">
        <v>40</v>
      </c>
      <c r="AD4969">
        <v>54.11</v>
      </c>
      <c r="AE4969">
        <f t="shared" si="154"/>
        <v>294.99</v>
      </c>
      <c r="AF4969" t="str">
        <f t="shared" si="155"/>
        <v>2026-09</v>
      </c>
      <c r="AG4969">
        <f>SUBTOTAL(103,A4969)</f>
        <v>1</v>
      </c>
    </row>
    <row r="4970" spans="1:33" x14ac:dyDescent="0.3">
      <c r="A4970" t="s">
        <v>7593</v>
      </c>
      <c r="B4970" s="13">
        <v>46291</v>
      </c>
      <c r="C4970">
        <v>2026</v>
      </c>
      <c r="D4970">
        <v>9</v>
      </c>
      <c r="E4970" t="s">
        <v>4552</v>
      </c>
      <c r="F4970" t="s">
        <v>4047</v>
      </c>
      <c r="G4970" t="s">
        <v>1313</v>
      </c>
      <c r="H4970" t="s">
        <v>1314</v>
      </c>
      <c r="I4970" t="s">
        <v>85</v>
      </c>
      <c r="J4970">
        <v>48</v>
      </c>
      <c r="K4970" t="s">
        <v>83</v>
      </c>
      <c r="L4970" t="s">
        <v>2687</v>
      </c>
      <c r="M4970" t="s">
        <v>57</v>
      </c>
      <c r="N4970" t="s">
        <v>2603</v>
      </c>
      <c r="O4970" t="s">
        <v>122</v>
      </c>
      <c r="P4970" t="s">
        <v>48</v>
      </c>
      <c r="Q4970" t="s">
        <v>141</v>
      </c>
      <c r="R4970">
        <v>4</v>
      </c>
      <c r="S4970">
        <v>2499</v>
      </c>
      <c r="T4970">
        <v>0.05</v>
      </c>
      <c r="U4970">
        <v>9496.2000000000007</v>
      </c>
      <c r="V4970">
        <v>5800</v>
      </c>
      <c r="W4970">
        <v>3696.2</v>
      </c>
      <c r="X4970" t="s">
        <v>75</v>
      </c>
      <c r="Y4970" t="s">
        <v>68</v>
      </c>
      <c r="Z4970" t="s">
        <v>161</v>
      </c>
      <c r="AA4970" t="s">
        <v>166</v>
      </c>
      <c r="AB4970">
        <v>4.2</v>
      </c>
      <c r="AC4970">
        <v>120</v>
      </c>
      <c r="AD4970">
        <v>901.52</v>
      </c>
      <c r="AE4970">
        <f t="shared" si="154"/>
        <v>2674.68</v>
      </c>
      <c r="AF4970" t="str">
        <f t="shared" si="155"/>
        <v>2026-09</v>
      </c>
      <c r="AG4970">
        <f>SUBTOTAL(103,A4970)</f>
        <v>1</v>
      </c>
    </row>
    <row r="4971" spans="1:33" x14ac:dyDescent="0.3">
      <c r="A4971" t="s">
        <v>7594</v>
      </c>
      <c r="B4971" s="13">
        <v>46291</v>
      </c>
      <c r="C4971">
        <v>2026</v>
      </c>
      <c r="D4971">
        <v>9</v>
      </c>
      <c r="E4971" t="s">
        <v>4552</v>
      </c>
      <c r="F4971" t="s">
        <v>4047</v>
      </c>
      <c r="G4971" t="s">
        <v>403</v>
      </c>
      <c r="H4971" t="s">
        <v>404</v>
      </c>
      <c r="I4971" t="s">
        <v>85</v>
      </c>
      <c r="J4971">
        <v>29</v>
      </c>
      <c r="K4971" t="s">
        <v>81</v>
      </c>
      <c r="L4971" t="s">
        <v>90</v>
      </c>
      <c r="M4971" t="s">
        <v>55</v>
      </c>
      <c r="N4971" t="s">
        <v>2574</v>
      </c>
      <c r="O4971" t="s">
        <v>130</v>
      </c>
      <c r="P4971" t="s">
        <v>50</v>
      </c>
      <c r="Q4971" t="s">
        <v>53</v>
      </c>
      <c r="R4971">
        <v>2</v>
      </c>
      <c r="S4971">
        <v>1199</v>
      </c>
      <c r="T4971">
        <v>0.1</v>
      </c>
      <c r="U4971">
        <v>2158.1999999999998</v>
      </c>
      <c r="V4971">
        <v>1100</v>
      </c>
      <c r="W4971">
        <v>1058.2</v>
      </c>
      <c r="X4971" t="s">
        <v>73</v>
      </c>
      <c r="Y4971" t="s">
        <v>68</v>
      </c>
      <c r="Z4971" t="s">
        <v>163</v>
      </c>
      <c r="AA4971" t="s">
        <v>166</v>
      </c>
      <c r="AB4971">
        <v>4.8</v>
      </c>
      <c r="AC4971">
        <v>60</v>
      </c>
      <c r="AD4971">
        <v>194.05</v>
      </c>
      <c r="AE4971">
        <f t="shared" si="154"/>
        <v>804.15000000000009</v>
      </c>
      <c r="AF4971" t="str">
        <f t="shared" si="155"/>
        <v>2026-09</v>
      </c>
      <c r="AG4971">
        <f>SUBTOTAL(103,A4971)</f>
        <v>1</v>
      </c>
    </row>
    <row r="4972" spans="1:33" x14ac:dyDescent="0.3">
      <c r="A4972" t="s">
        <v>7595</v>
      </c>
      <c r="B4972" s="13">
        <v>46291</v>
      </c>
      <c r="C4972">
        <v>2026</v>
      </c>
      <c r="D4972">
        <v>9</v>
      </c>
      <c r="E4972" t="s">
        <v>4552</v>
      </c>
      <c r="F4972" t="s">
        <v>4047</v>
      </c>
      <c r="G4972" t="s">
        <v>545</v>
      </c>
      <c r="H4972" t="s">
        <v>546</v>
      </c>
      <c r="I4972" t="s">
        <v>86</v>
      </c>
      <c r="J4972">
        <v>25</v>
      </c>
      <c r="K4972" t="s">
        <v>80</v>
      </c>
      <c r="L4972" t="s">
        <v>2634</v>
      </c>
      <c r="M4972" t="s">
        <v>56</v>
      </c>
      <c r="N4972" t="s">
        <v>2577</v>
      </c>
      <c r="O4972" t="s">
        <v>129</v>
      </c>
      <c r="P4972" t="s">
        <v>49</v>
      </c>
      <c r="Q4972" t="s">
        <v>149</v>
      </c>
      <c r="R4972">
        <v>3</v>
      </c>
      <c r="S4972">
        <v>1299</v>
      </c>
      <c r="T4972">
        <v>0.05</v>
      </c>
      <c r="U4972">
        <v>0</v>
      </c>
      <c r="V4972">
        <v>0</v>
      </c>
      <c r="W4972">
        <v>0</v>
      </c>
      <c r="X4972" t="s">
        <v>74</v>
      </c>
      <c r="Y4972" t="s">
        <v>71</v>
      </c>
      <c r="Z4972" t="s">
        <v>159</v>
      </c>
      <c r="AA4972" t="s">
        <v>168</v>
      </c>
      <c r="AB4972">
        <v>5</v>
      </c>
      <c r="AC4972">
        <v>100</v>
      </c>
      <c r="AD4972">
        <v>437.96</v>
      </c>
      <c r="AE4972">
        <f t="shared" si="154"/>
        <v>-537.96</v>
      </c>
      <c r="AF4972" t="str">
        <f t="shared" si="155"/>
        <v>2026-09</v>
      </c>
      <c r="AG4972">
        <f>SUBTOTAL(103,A4972)</f>
        <v>1</v>
      </c>
    </row>
    <row r="4973" spans="1:33" x14ac:dyDescent="0.3">
      <c r="A4973" t="s">
        <v>7596</v>
      </c>
      <c r="B4973" s="13">
        <v>46292</v>
      </c>
      <c r="C4973">
        <v>2026</v>
      </c>
      <c r="D4973">
        <v>9</v>
      </c>
      <c r="E4973" t="s">
        <v>4552</v>
      </c>
      <c r="F4973" t="s">
        <v>4047</v>
      </c>
      <c r="G4973" t="s">
        <v>519</v>
      </c>
      <c r="H4973" t="s">
        <v>520</v>
      </c>
      <c r="I4973" t="s">
        <v>86</v>
      </c>
      <c r="J4973">
        <v>37</v>
      </c>
      <c r="K4973" t="s">
        <v>82</v>
      </c>
      <c r="L4973" t="s">
        <v>93</v>
      </c>
      <c r="M4973" t="s">
        <v>55</v>
      </c>
      <c r="N4973" t="s">
        <v>2601</v>
      </c>
      <c r="O4973" t="s">
        <v>117</v>
      </c>
      <c r="P4973" t="s">
        <v>49</v>
      </c>
      <c r="Q4973" t="s">
        <v>139</v>
      </c>
      <c r="R4973">
        <v>5</v>
      </c>
      <c r="S4973">
        <v>6999</v>
      </c>
      <c r="T4973">
        <v>0</v>
      </c>
      <c r="U4973">
        <v>34995</v>
      </c>
      <c r="V4973">
        <v>21500</v>
      </c>
      <c r="W4973">
        <v>13495</v>
      </c>
      <c r="X4973" t="s">
        <v>73</v>
      </c>
      <c r="Y4973" t="s">
        <v>68</v>
      </c>
      <c r="Z4973" t="s">
        <v>158</v>
      </c>
      <c r="AA4973" t="s">
        <v>171</v>
      </c>
      <c r="AB4973">
        <v>4.7</v>
      </c>
      <c r="AC4973">
        <v>120</v>
      </c>
      <c r="AD4973">
        <v>1035.3</v>
      </c>
      <c r="AE4973">
        <f t="shared" si="154"/>
        <v>12339.7</v>
      </c>
      <c r="AF4973" t="str">
        <f t="shared" si="155"/>
        <v>2026-09</v>
      </c>
      <c r="AG4973">
        <f>SUBTOTAL(103,A4973)</f>
        <v>1</v>
      </c>
    </row>
    <row r="4974" spans="1:33" x14ac:dyDescent="0.3">
      <c r="A4974" t="s">
        <v>7597</v>
      </c>
      <c r="B4974" s="13">
        <v>46292</v>
      </c>
      <c r="C4974">
        <v>2026</v>
      </c>
      <c r="D4974">
        <v>9</v>
      </c>
      <c r="E4974" t="s">
        <v>4552</v>
      </c>
      <c r="F4974" t="s">
        <v>4047</v>
      </c>
      <c r="G4974" t="s">
        <v>1823</v>
      </c>
      <c r="H4974" t="s">
        <v>1824</v>
      </c>
      <c r="I4974" t="s">
        <v>86</v>
      </c>
      <c r="J4974">
        <v>47</v>
      </c>
      <c r="K4974" t="s">
        <v>83</v>
      </c>
      <c r="L4974" t="s">
        <v>96</v>
      </c>
      <c r="M4974" t="s">
        <v>55</v>
      </c>
      <c r="N4974" t="s">
        <v>2590</v>
      </c>
      <c r="O4974" t="s">
        <v>127</v>
      </c>
      <c r="P4974" t="s">
        <v>51</v>
      </c>
      <c r="Q4974" t="s">
        <v>148</v>
      </c>
      <c r="R4974">
        <v>5</v>
      </c>
      <c r="S4974">
        <v>1599</v>
      </c>
      <c r="T4974">
        <v>0.15</v>
      </c>
      <c r="U4974">
        <v>6795.75</v>
      </c>
      <c r="V4974">
        <v>4000</v>
      </c>
      <c r="W4974">
        <v>2795.75</v>
      </c>
      <c r="X4974" t="s">
        <v>73</v>
      </c>
      <c r="Y4974" t="s">
        <v>68</v>
      </c>
      <c r="Z4974" t="s">
        <v>160</v>
      </c>
      <c r="AA4974" t="s">
        <v>166</v>
      </c>
      <c r="AB4974">
        <v>4.7</v>
      </c>
      <c r="AC4974">
        <v>60</v>
      </c>
      <c r="AD4974">
        <v>705.61</v>
      </c>
      <c r="AE4974">
        <f t="shared" si="154"/>
        <v>2030.1399999999999</v>
      </c>
      <c r="AF4974" t="str">
        <f t="shared" si="155"/>
        <v>2026-09</v>
      </c>
      <c r="AG4974">
        <f>SUBTOTAL(103,A4974)</f>
        <v>1</v>
      </c>
    </row>
    <row r="4975" spans="1:33" x14ac:dyDescent="0.3">
      <c r="A4975" t="s">
        <v>7598</v>
      </c>
      <c r="B4975" s="13">
        <v>46292</v>
      </c>
      <c r="C4975">
        <v>2026</v>
      </c>
      <c r="D4975">
        <v>9</v>
      </c>
      <c r="E4975" t="s">
        <v>4552</v>
      </c>
      <c r="F4975" t="s">
        <v>4047</v>
      </c>
      <c r="G4975" t="s">
        <v>1159</v>
      </c>
      <c r="H4975" t="s">
        <v>1160</v>
      </c>
      <c r="I4975" t="s">
        <v>86</v>
      </c>
      <c r="J4975">
        <v>37</v>
      </c>
      <c r="K4975" t="s">
        <v>82</v>
      </c>
      <c r="L4975" t="s">
        <v>2605</v>
      </c>
      <c r="M4975" t="s">
        <v>60</v>
      </c>
      <c r="N4975" t="s">
        <v>2592</v>
      </c>
      <c r="O4975" t="s">
        <v>115</v>
      </c>
      <c r="P4975" t="s">
        <v>48</v>
      </c>
      <c r="Q4975" t="s">
        <v>137</v>
      </c>
      <c r="R4975">
        <v>1</v>
      </c>
      <c r="S4975">
        <v>12999</v>
      </c>
      <c r="T4975">
        <v>0.05</v>
      </c>
      <c r="U4975">
        <v>12349.05</v>
      </c>
      <c r="V4975">
        <v>9000</v>
      </c>
      <c r="W4975">
        <v>3349.05</v>
      </c>
      <c r="X4975" t="s">
        <v>76</v>
      </c>
      <c r="Y4975" t="s">
        <v>68</v>
      </c>
      <c r="Z4975" t="s">
        <v>158</v>
      </c>
      <c r="AA4975" t="s">
        <v>170</v>
      </c>
      <c r="AB4975">
        <v>2.6</v>
      </c>
      <c r="AC4975">
        <v>50</v>
      </c>
      <c r="AD4975">
        <v>564.04999999999995</v>
      </c>
      <c r="AE4975">
        <f t="shared" si="154"/>
        <v>2735</v>
      </c>
      <c r="AF4975" t="str">
        <f t="shared" si="155"/>
        <v>2026-09</v>
      </c>
      <c r="AG4975">
        <f>SUBTOTAL(103,A4975)</f>
        <v>1</v>
      </c>
    </row>
    <row r="4976" spans="1:33" x14ac:dyDescent="0.3">
      <c r="A4976" t="s">
        <v>7599</v>
      </c>
      <c r="B4976" s="13">
        <v>46292</v>
      </c>
      <c r="C4976">
        <v>2026</v>
      </c>
      <c r="D4976">
        <v>9</v>
      </c>
      <c r="E4976" t="s">
        <v>4552</v>
      </c>
      <c r="F4976" t="s">
        <v>4047</v>
      </c>
      <c r="G4976" t="s">
        <v>1833</v>
      </c>
      <c r="H4976" t="s">
        <v>1834</v>
      </c>
      <c r="I4976" t="s">
        <v>85</v>
      </c>
      <c r="J4976">
        <v>30</v>
      </c>
      <c r="K4976" t="s">
        <v>81</v>
      </c>
      <c r="L4976" t="s">
        <v>94</v>
      </c>
      <c r="M4976" t="s">
        <v>57</v>
      </c>
      <c r="N4976" t="s">
        <v>2665</v>
      </c>
      <c r="O4976" t="s">
        <v>128</v>
      </c>
      <c r="P4976" t="s">
        <v>53</v>
      </c>
      <c r="Q4976" t="s">
        <v>143</v>
      </c>
      <c r="R4976">
        <v>1</v>
      </c>
      <c r="S4976">
        <v>1499</v>
      </c>
      <c r="T4976">
        <v>0.1</v>
      </c>
      <c r="U4976">
        <v>1349.1</v>
      </c>
      <c r="V4976">
        <v>800</v>
      </c>
      <c r="W4976">
        <v>549.1</v>
      </c>
      <c r="X4976" t="s">
        <v>76</v>
      </c>
      <c r="Y4976" t="s">
        <v>70</v>
      </c>
      <c r="Z4976" t="s">
        <v>158</v>
      </c>
      <c r="AA4976" t="s">
        <v>170</v>
      </c>
      <c r="AB4976">
        <v>3.4</v>
      </c>
      <c r="AC4976">
        <v>40</v>
      </c>
      <c r="AD4976">
        <v>30.51</v>
      </c>
      <c r="AE4976">
        <f t="shared" si="154"/>
        <v>478.59000000000003</v>
      </c>
      <c r="AF4976" t="str">
        <f t="shared" si="155"/>
        <v>2026-09</v>
      </c>
      <c r="AG4976">
        <f>SUBTOTAL(103,A4976)</f>
        <v>1</v>
      </c>
    </row>
    <row r="4977" spans="1:33" x14ac:dyDescent="0.3">
      <c r="A4977" t="s">
        <v>7600</v>
      </c>
      <c r="B4977" s="13">
        <v>46292</v>
      </c>
      <c r="C4977">
        <v>2026</v>
      </c>
      <c r="D4977">
        <v>9</v>
      </c>
      <c r="E4977" t="s">
        <v>4552</v>
      </c>
      <c r="F4977" t="s">
        <v>4047</v>
      </c>
      <c r="G4977" t="s">
        <v>573</v>
      </c>
      <c r="H4977" t="s">
        <v>574</v>
      </c>
      <c r="I4977" t="s">
        <v>85</v>
      </c>
      <c r="J4977">
        <v>57</v>
      </c>
      <c r="K4977" t="s">
        <v>83</v>
      </c>
      <c r="L4977" t="s">
        <v>2623</v>
      </c>
      <c r="M4977" t="s">
        <v>61</v>
      </c>
      <c r="N4977" t="s">
        <v>2582</v>
      </c>
      <c r="O4977" t="s">
        <v>119</v>
      </c>
      <c r="P4977" t="s">
        <v>49</v>
      </c>
      <c r="Q4977" t="s">
        <v>140</v>
      </c>
      <c r="R4977">
        <v>2</v>
      </c>
      <c r="S4977">
        <v>3499</v>
      </c>
      <c r="T4977">
        <v>0</v>
      </c>
      <c r="U4977">
        <v>6998</v>
      </c>
      <c r="V4977">
        <v>4200</v>
      </c>
      <c r="W4977">
        <v>2798</v>
      </c>
      <c r="X4977" t="s">
        <v>73</v>
      </c>
      <c r="Y4977" t="s">
        <v>68</v>
      </c>
      <c r="Z4977" t="s">
        <v>160</v>
      </c>
      <c r="AA4977" t="s">
        <v>166</v>
      </c>
      <c r="AB4977">
        <v>4.2</v>
      </c>
      <c r="AC4977">
        <v>80</v>
      </c>
      <c r="AD4977">
        <v>625.65</v>
      </c>
      <c r="AE4977">
        <f t="shared" si="154"/>
        <v>2092.35</v>
      </c>
      <c r="AF4977" t="str">
        <f t="shared" si="155"/>
        <v>2026-09</v>
      </c>
      <c r="AG4977">
        <f>SUBTOTAL(103,A4977)</f>
        <v>1</v>
      </c>
    </row>
    <row r="4978" spans="1:33" x14ac:dyDescent="0.3">
      <c r="A4978" t="s">
        <v>7601</v>
      </c>
      <c r="B4978" s="13">
        <v>46292</v>
      </c>
      <c r="C4978">
        <v>2026</v>
      </c>
      <c r="D4978">
        <v>9</v>
      </c>
      <c r="E4978" t="s">
        <v>4552</v>
      </c>
      <c r="F4978" t="s">
        <v>4047</v>
      </c>
      <c r="G4978" t="s">
        <v>1267</v>
      </c>
      <c r="H4978" t="s">
        <v>1268</v>
      </c>
      <c r="I4978" t="s">
        <v>85</v>
      </c>
      <c r="J4978">
        <v>41</v>
      </c>
      <c r="K4978" t="s">
        <v>82</v>
      </c>
      <c r="L4978" t="s">
        <v>90</v>
      </c>
      <c r="M4978" t="s">
        <v>55</v>
      </c>
      <c r="N4978" t="s">
        <v>2630</v>
      </c>
      <c r="O4978" t="s">
        <v>123</v>
      </c>
      <c r="P4978" t="s">
        <v>52</v>
      </c>
      <c r="Q4978" t="s">
        <v>146</v>
      </c>
      <c r="R4978">
        <v>3</v>
      </c>
      <c r="S4978">
        <v>2499</v>
      </c>
      <c r="T4978">
        <v>0.1</v>
      </c>
      <c r="U4978">
        <v>6747.3</v>
      </c>
      <c r="V4978">
        <v>4200</v>
      </c>
      <c r="W4978">
        <v>2547.3000000000002</v>
      </c>
      <c r="X4978" t="s">
        <v>75</v>
      </c>
      <c r="Y4978" t="s">
        <v>68</v>
      </c>
      <c r="Z4978" t="s">
        <v>163</v>
      </c>
      <c r="AA4978" t="s">
        <v>168</v>
      </c>
      <c r="AB4978">
        <v>5</v>
      </c>
      <c r="AC4978">
        <v>50</v>
      </c>
      <c r="AD4978">
        <v>198.64</v>
      </c>
      <c r="AE4978">
        <f t="shared" si="154"/>
        <v>2298.6600000000003</v>
      </c>
      <c r="AF4978" t="str">
        <f t="shared" si="155"/>
        <v>2026-09</v>
      </c>
      <c r="AG4978">
        <f>SUBTOTAL(103,A4978)</f>
        <v>1</v>
      </c>
    </row>
    <row r="4979" spans="1:33" x14ac:dyDescent="0.3">
      <c r="A4979" t="s">
        <v>7602</v>
      </c>
      <c r="B4979" s="13">
        <v>46292</v>
      </c>
      <c r="C4979">
        <v>2026</v>
      </c>
      <c r="D4979">
        <v>9</v>
      </c>
      <c r="E4979" t="s">
        <v>4552</v>
      </c>
      <c r="F4979" t="s">
        <v>4047</v>
      </c>
      <c r="G4979" t="s">
        <v>2131</v>
      </c>
      <c r="H4979" t="s">
        <v>2132</v>
      </c>
      <c r="I4979" t="s">
        <v>85</v>
      </c>
      <c r="J4979">
        <v>21</v>
      </c>
      <c r="K4979" t="s">
        <v>80</v>
      </c>
      <c r="L4979" t="s">
        <v>2687</v>
      </c>
      <c r="M4979" t="s">
        <v>57</v>
      </c>
      <c r="N4979" t="s">
        <v>2657</v>
      </c>
      <c r="O4979" t="s">
        <v>134</v>
      </c>
      <c r="P4979" t="s">
        <v>49</v>
      </c>
      <c r="Q4979" t="s">
        <v>140</v>
      </c>
      <c r="R4979">
        <v>1</v>
      </c>
      <c r="S4979">
        <v>599</v>
      </c>
      <c r="T4979">
        <v>0</v>
      </c>
      <c r="U4979">
        <v>599</v>
      </c>
      <c r="V4979">
        <v>250</v>
      </c>
      <c r="W4979">
        <v>349</v>
      </c>
      <c r="X4979" t="s">
        <v>77</v>
      </c>
      <c r="Y4979" t="s">
        <v>68</v>
      </c>
      <c r="Z4979" t="s">
        <v>158</v>
      </c>
      <c r="AA4979" t="s">
        <v>166</v>
      </c>
      <c r="AB4979">
        <v>3.9</v>
      </c>
      <c r="AC4979">
        <v>40</v>
      </c>
      <c r="AD4979">
        <v>25.88</v>
      </c>
      <c r="AE4979">
        <f t="shared" si="154"/>
        <v>283.12</v>
      </c>
      <c r="AF4979" t="str">
        <f t="shared" si="155"/>
        <v>2026-09</v>
      </c>
      <c r="AG4979">
        <f>SUBTOTAL(103,A4979)</f>
        <v>1</v>
      </c>
    </row>
    <row r="4980" spans="1:33" x14ac:dyDescent="0.3">
      <c r="A4980" t="s">
        <v>7603</v>
      </c>
      <c r="B4980" s="13">
        <v>46293</v>
      </c>
      <c r="C4980">
        <v>2026</v>
      </c>
      <c r="D4980">
        <v>9</v>
      </c>
      <c r="E4980" t="s">
        <v>4552</v>
      </c>
      <c r="F4980" t="s">
        <v>4047</v>
      </c>
      <c r="G4980" t="s">
        <v>1827</v>
      </c>
      <c r="H4980" t="s">
        <v>1828</v>
      </c>
      <c r="I4980" t="s">
        <v>86</v>
      </c>
      <c r="J4980">
        <v>48</v>
      </c>
      <c r="K4980" t="s">
        <v>83</v>
      </c>
      <c r="L4980" t="s">
        <v>2646</v>
      </c>
      <c r="M4980" t="s">
        <v>63</v>
      </c>
      <c r="N4980" t="s">
        <v>2582</v>
      </c>
      <c r="O4980" t="s">
        <v>119</v>
      </c>
      <c r="P4980" t="s">
        <v>49</v>
      </c>
      <c r="Q4980" t="s">
        <v>140</v>
      </c>
      <c r="R4980">
        <v>1</v>
      </c>
      <c r="S4980">
        <v>3499</v>
      </c>
      <c r="T4980">
        <v>0.15</v>
      </c>
      <c r="U4980">
        <v>2974.15</v>
      </c>
      <c r="V4980">
        <v>2100</v>
      </c>
      <c r="W4980">
        <v>874.15</v>
      </c>
      <c r="X4980" t="s">
        <v>75</v>
      </c>
      <c r="Y4980" t="s">
        <v>68</v>
      </c>
      <c r="Z4980" t="s">
        <v>159</v>
      </c>
      <c r="AA4980" t="s">
        <v>167</v>
      </c>
      <c r="AB4980">
        <v>5</v>
      </c>
      <c r="AC4980">
        <v>40</v>
      </c>
      <c r="AD4980">
        <v>180.22</v>
      </c>
      <c r="AE4980">
        <f t="shared" si="154"/>
        <v>653.92999999999995</v>
      </c>
      <c r="AF4980" t="str">
        <f t="shared" si="155"/>
        <v>2026-09</v>
      </c>
      <c r="AG4980">
        <f>SUBTOTAL(103,A4980)</f>
        <v>1</v>
      </c>
    </row>
    <row r="4981" spans="1:33" x14ac:dyDescent="0.3">
      <c r="A4981" t="s">
        <v>7604</v>
      </c>
      <c r="B4981" s="13">
        <v>46293</v>
      </c>
      <c r="C4981">
        <v>2026</v>
      </c>
      <c r="D4981">
        <v>9</v>
      </c>
      <c r="E4981" t="s">
        <v>4552</v>
      </c>
      <c r="F4981" t="s">
        <v>4047</v>
      </c>
      <c r="G4981" t="s">
        <v>1217</v>
      </c>
      <c r="H4981" t="s">
        <v>1218</v>
      </c>
      <c r="I4981" t="s">
        <v>85</v>
      </c>
      <c r="J4981">
        <v>46</v>
      </c>
      <c r="K4981" t="s">
        <v>83</v>
      </c>
      <c r="L4981" t="s">
        <v>95</v>
      </c>
      <c r="M4981" t="s">
        <v>56</v>
      </c>
      <c r="N4981" t="s">
        <v>2626</v>
      </c>
      <c r="O4981" t="s">
        <v>125</v>
      </c>
      <c r="P4981" t="s">
        <v>48</v>
      </c>
      <c r="Q4981" t="s">
        <v>141</v>
      </c>
      <c r="R4981">
        <v>1</v>
      </c>
      <c r="S4981">
        <v>1999</v>
      </c>
      <c r="T4981">
        <v>0.1</v>
      </c>
      <c r="U4981">
        <v>1799.1</v>
      </c>
      <c r="V4981">
        <v>1150</v>
      </c>
      <c r="W4981">
        <v>649.1</v>
      </c>
      <c r="X4981" t="s">
        <v>77</v>
      </c>
      <c r="Y4981" t="s">
        <v>68</v>
      </c>
      <c r="Z4981" t="s">
        <v>158</v>
      </c>
      <c r="AA4981" t="s">
        <v>170</v>
      </c>
      <c r="AB4981">
        <v>5</v>
      </c>
      <c r="AC4981">
        <v>50</v>
      </c>
      <c r="AD4981">
        <v>51.12</v>
      </c>
      <c r="AE4981">
        <f t="shared" si="154"/>
        <v>547.98</v>
      </c>
      <c r="AF4981" t="str">
        <f t="shared" si="155"/>
        <v>2026-09</v>
      </c>
      <c r="AG4981">
        <f>SUBTOTAL(103,A4981)</f>
        <v>1</v>
      </c>
    </row>
    <row r="4982" spans="1:33" x14ac:dyDescent="0.3">
      <c r="A4982" t="s">
        <v>7605</v>
      </c>
      <c r="B4982" s="13">
        <v>46293</v>
      </c>
      <c r="C4982">
        <v>2026</v>
      </c>
      <c r="D4982">
        <v>9</v>
      </c>
      <c r="E4982" t="s">
        <v>4552</v>
      </c>
      <c r="F4982" t="s">
        <v>4047</v>
      </c>
      <c r="G4982" t="s">
        <v>1363</v>
      </c>
      <c r="H4982" t="s">
        <v>1364</v>
      </c>
      <c r="I4982" t="s">
        <v>85</v>
      </c>
      <c r="J4982">
        <v>41</v>
      </c>
      <c r="K4982" t="s">
        <v>82</v>
      </c>
      <c r="L4982" t="s">
        <v>2634</v>
      </c>
      <c r="M4982" t="s">
        <v>56</v>
      </c>
      <c r="N4982" t="s">
        <v>2596</v>
      </c>
      <c r="O4982" t="s">
        <v>124</v>
      </c>
      <c r="P4982" t="s">
        <v>51</v>
      </c>
      <c r="Q4982" t="s">
        <v>147</v>
      </c>
      <c r="R4982">
        <v>1</v>
      </c>
      <c r="S4982">
        <v>2299</v>
      </c>
      <c r="T4982">
        <v>0.05</v>
      </c>
      <c r="U4982">
        <v>2184.0500000000002</v>
      </c>
      <c r="V4982">
        <v>1200</v>
      </c>
      <c r="W4982">
        <v>984.05</v>
      </c>
      <c r="X4982" t="s">
        <v>73</v>
      </c>
      <c r="Y4982" t="s">
        <v>68</v>
      </c>
      <c r="Z4982" t="s">
        <v>160</v>
      </c>
      <c r="AA4982" t="s">
        <v>167</v>
      </c>
      <c r="AB4982">
        <v>2.7</v>
      </c>
      <c r="AC4982">
        <v>80</v>
      </c>
      <c r="AD4982">
        <v>133.51</v>
      </c>
      <c r="AE4982">
        <f t="shared" si="154"/>
        <v>770.54</v>
      </c>
      <c r="AF4982" t="str">
        <f t="shared" si="155"/>
        <v>2026-09</v>
      </c>
      <c r="AG4982">
        <f>SUBTOTAL(103,A4982)</f>
        <v>1</v>
      </c>
    </row>
    <row r="4983" spans="1:33" x14ac:dyDescent="0.3">
      <c r="A4983" t="s">
        <v>7606</v>
      </c>
      <c r="B4983" s="13">
        <v>46293</v>
      </c>
      <c r="C4983">
        <v>2026</v>
      </c>
      <c r="D4983">
        <v>9</v>
      </c>
      <c r="E4983" t="s">
        <v>4552</v>
      </c>
      <c r="F4983" t="s">
        <v>4047</v>
      </c>
      <c r="G4983" t="s">
        <v>613</v>
      </c>
      <c r="H4983" t="s">
        <v>614</v>
      </c>
      <c r="I4983" t="s">
        <v>85</v>
      </c>
      <c r="J4983">
        <v>55</v>
      </c>
      <c r="K4983" t="s">
        <v>83</v>
      </c>
      <c r="L4983" t="s">
        <v>93</v>
      </c>
      <c r="M4983" t="s">
        <v>55</v>
      </c>
      <c r="N4983" t="s">
        <v>2601</v>
      </c>
      <c r="O4983" t="s">
        <v>117</v>
      </c>
      <c r="P4983" t="s">
        <v>49</v>
      </c>
      <c r="Q4983" t="s">
        <v>139</v>
      </c>
      <c r="R4983">
        <v>5</v>
      </c>
      <c r="S4983">
        <v>6999</v>
      </c>
      <c r="T4983">
        <v>0</v>
      </c>
      <c r="U4983">
        <v>34995</v>
      </c>
      <c r="V4983">
        <v>21500</v>
      </c>
      <c r="W4983">
        <v>13495</v>
      </c>
      <c r="X4983" t="s">
        <v>74</v>
      </c>
      <c r="Y4983" t="s">
        <v>68</v>
      </c>
      <c r="Z4983" t="s">
        <v>159</v>
      </c>
      <c r="AA4983" t="s">
        <v>168</v>
      </c>
      <c r="AB4983">
        <v>3.7</v>
      </c>
      <c r="AC4983">
        <v>50</v>
      </c>
      <c r="AD4983">
        <v>3584.13</v>
      </c>
      <c r="AE4983">
        <f t="shared" si="154"/>
        <v>9860.869999999999</v>
      </c>
      <c r="AF4983" t="str">
        <f t="shared" si="155"/>
        <v>2026-09</v>
      </c>
      <c r="AG4983">
        <f>SUBTOTAL(103,A4983)</f>
        <v>1</v>
      </c>
    </row>
    <row r="4984" spans="1:33" x14ac:dyDescent="0.3">
      <c r="A4984" t="s">
        <v>7607</v>
      </c>
      <c r="B4984" s="13">
        <v>46293</v>
      </c>
      <c r="C4984">
        <v>2026</v>
      </c>
      <c r="D4984">
        <v>9</v>
      </c>
      <c r="E4984" t="s">
        <v>4552</v>
      </c>
      <c r="F4984" t="s">
        <v>4047</v>
      </c>
      <c r="G4984" t="s">
        <v>2397</v>
      </c>
      <c r="H4984" t="s">
        <v>2398</v>
      </c>
      <c r="I4984" t="s">
        <v>85</v>
      </c>
      <c r="J4984">
        <v>24</v>
      </c>
      <c r="K4984" t="s">
        <v>80</v>
      </c>
      <c r="L4984" t="s">
        <v>2623</v>
      </c>
      <c r="M4984" t="s">
        <v>61</v>
      </c>
      <c r="N4984" t="s">
        <v>2653</v>
      </c>
      <c r="O4984" t="s">
        <v>132</v>
      </c>
      <c r="P4984" t="s">
        <v>52</v>
      </c>
      <c r="Q4984" t="s">
        <v>150</v>
      </c>
      <c r="R4984">
        <v>5</v>
      </c>
      <c r="S4984">
        <v>899</v>
      </c>
      <c r="T4984">
        <v>0.25</v>
      </c>
      <c r="U4984">
        <v>3371.25</v>
      </c>
      <c r="V4984">
        <v>2100</v>
      </c>
      <c r="W4984">
        <v>1271.25</v>
      </c>
      <c r="X4984" t="s">
        <v>77</v>
      </c>
      <c r="Y4984" t="s">
        <v>68</v>
      </c>
      <c r="Z4984" t="s">
        <v>158</v>
      </c>
      <c r="AA4984" t="s">
        <v>167</v>
      </c>
      <c r="AB4984">
        <v>4.4000000000000004</v>
      </c>
      <c r="AC4984">
        <v>80</v>
      </c>
      <c r="AD4984">
        <v>310.01</v>
      </c>
      <c r="AE4984">
        <f t="shared" si="154"/>
        <v>881.24</v>
      </c>
      <c r="AF4984" t="str">
        <f t="shared" si="155"/>
        <v>2026-09</v>
      </c>
      <c r="AG4984">
        <f>SUBTOTAL(103,A4984)</f>
        <v>1</v>
      </c>
    </row>
    <row r="4985" spans="1:33" x14ac:dyDescent="0.3">
      <c r="A4985" t="s">
        <v>7608</v>
      </c>
      <c r="B4985" s="13">
        <v>46294</v>
      </c>
      <c r="C4985">
        <v>2026</v>
      </c>
      <c r="D4985">
        <v>9</v>
      </c>
      <c r="E4985" t="s">
        <v>4552</v>
      </c>
      <c r="F4985" t="s">
        <v>4047</v>
      </c>
      <c r="G4985" t="s">
        <v>599</v>
      </c>
      <c r="H4985" t="s">
        <v>600</v>
      </c>
      <c r="I4985" t="s">
        <v>86</v>
      </c>
      <c r="J4985">
        <v>20</v>
      </c>
      <c r="K4985" t="s">
        <v>80</v>
      </c>
      <c r="L4985" t="s">
        <v>2674</v>
      </c>
      <c r="M4985" t="s">
        <v>58</v>
      </c>
      <c r="N4985" t="s">
        <v>2630</v>
      </c>
      <c r="O4985" t="s">
        <v>123</v>
      </c>
      <c r="P4985" t="s">
        <v>52</v>
      </c>
      <c r="Q4985" t="s">
        <v>146</v>
      </c>
      <c r="R4985">
        <v>2</v>
      </c>
      <c r="S4985">
        <v>2499</v>
      </c>
      <c r="T4985">
        <v>0</v>
      </c>
      <c r="U4985">
        <v>4998</v>
      </c>
      <c r="V4985">
        <v>2800</v>
      </c>
      <c r="W4985">
        <v>2198</v>
      </c>
      <c r="X4985" t="s">
        <v>76</v>
      </c>
      <c r="Y4985" t="s">
        <v>68</v>
      </c>
      <c r="Z4985" t="s">
        <v>162</v>
      </c>
      <c r="AA4985" t="s">
        <v>171</v>
      </c>
      <c r="AB4985">
        <v>3.6</v>
      </c>
      <c r="AC4985">
        <v>60</v>
      </c>
      <c r="AD4985">
        <v>437.53</v>
      </c>
      <c r="AE4985">
        <f t="shared" si="154"/>
        <v>1700.47</v>
      </c>
      <c r="AF4985" t="str">
        <f t="shared" si="155"/>
        <v>2026-09</v>
      </c>
      <c r="AG4985">
        <f>SUBTOTAL(103,A4985)</f>
        <v>1</v>
      </c>
    </row>
    <row r="4986" spans="1:33" x14ac:dyDescent="0.3">
      <c r="A4986" t="s">
        <v>7609</v>
      </c>
      <c r="B4986" s="13">
        <v>46294</v>
      </c>
      <c r="C4986">
        <v>2026</v>
      </c>
      <c r="D4986">
        <v>9</v>
      </c>
      <c r="E4986" t="s">
        <v>4552</v>
      </c>
      <c r="F4986" t="s">
        <v>4047</v>
      </c>
      <c r="G4986" t="s">
        <v>991</v>
      </c>
      <c r="H4986" t="s">
        <v>992</v>
      </c>
      <c r="I4986" t="s">
        <v>85</v>
      </c>
      <c r="J4986">
        <v>41</v>
      </c>
      <c r="K4986" t="s">
        <v>82</v>
      </c>
      <c r="L4986" t="s">
        <v>90</v>
      </c>
      <c r="M4986" t="s">
        <v>55</v>
      </c>
      <c r="N4986" t="s">
        <v>2603</v>
      </c>
      <c r="O4986" t="s">
        <v>122</v>
      </c>
      <c r="P4986" t="s">
        <v>48</v>
      </c>
      <c r="Q4986" t="s">
        <v>141</v>
      </c>
      <c r="R4986">
        <v>2</v>
      </c>
      <c r="S4986">
        <v>2499</v>
      </c>
      <c r="T4986">
        <v>0.1</v>
      </c>
      <c r="U4986">
        <v>4498.2</v>
      </c>
      <c r="V4986">
        <v>2900</v>
      </c>
      <c r="W4986">
        <v>1598.2</v>
      </c>
      <c r="X4986" t="s">
        <v>73</v>
      </c>
      <c r="Y4986" t="s">
        <v>68</v>
      </c>
      <c r="Z4986" t="s">
        <v>162</v>
      </c>
      <c r="AA4986" t="s">
        <v>167</v>
      </c>
      <c r="AB4986">
        <v>3.7</v>
      </c>
      <c r="AC4986">
        <v>50</v>
      </c>
      <c r="AD4986">
        <v>507.39</v>
      </c>
      <c r="AE4986">
        <f t="shared" si="154"/>
        <v>1040.81</v>
      </c>
      <c r="AF4986" t="str">
        <f t="shared" si="155"/>
        <v>2026-09</v>
      </c>
      <c r="AG4986">
        <f>SUBTOTAL(103,A4986)</f>
        <v>1</v>
      </c>
    </row>
    <row r="4987" spans="1:33" x14ac:dyDescent="0.3">
      <c r="A4987" t="s">
        <v>7610</v>
      </c>
      <c r="B4987" s="13">
        <v>46294</v>
      </c>
      <c r="C4987">
        <v>2026</v>
      </c>
      <c r="D4987">
        <v>9</v>
      </c>
      <c r="E4987" t="s">
        <v>4552</v>
      </c>
      <c r="F4987" t="s">
        <v>4047</v>
      </c>
      <c r="G4987" t="s">
        <v>1145</v>
      </c>
      <c r="H4987" t="s">
        <v>1146</v>
      </c>
      <c r="I4987" t="s">
        <v>85</v>
      </c>
      <c r="J4987">
        <v>52</v>
      </c>
      <c r="K4987" t="s">
        <v>83</v>
      </c>
      <c r="L4987" t="s">
        <v>2634</v>
      </c>
      <c r="M4987" t="s">
        <v>56</v>
      </c>
      <c r="N4987" t="s">
        <v>2653</v>
      </c>
      <c r="O4987" t="s">
        <v>132</v>
      </c>
      <c r="P4987" t="s">
        <v>52</v>
      </c>
      <c r="Q4987" t="s">
        <v>150</v>
      </c>
      <c r="R4987">
        <v>2</v>
      </c>
      <c r="S4987">
        <v>899</v>
      </c>
      <c r="T4987">
        <v>0.15</v>
      </c>
      <c r="U4987">
        <v>1528.3</v>
      </c>
      <c r="V4987">
        <v>840</v>
      </c>
      <c r="W4987">
        <v>688.3</v>
      </c>
      <c r="X4987" t="s">
        <v>75</v>
      </c>
      <c r="Y4987" t="s">
        <v>70</v>
      </c>
      <c r="Z4987" t="s">
        <v>159</v>
      </c>
      <c r="AA4987" t="s">
        <v>171</v>
      </c>
      <c r="AB4987">
        <v>4.5999999999999996</v>
      </c>
      <c r="AC4987">
        <v>100</v>
      </c>
      <c r="AD4987">
        <v>40.92</v>
      </c>
      <c r="AE4987">
        <f t="shared" si="154"/>
        <v>547.38</v>
      </c>
      <c r="AF4987" t="str">
        <f t="shared" si="155"/>
        <v>2026-09</v>
      </c>
      <c r="AG4987">
        <f>SUBTOTAL(103,A4987)</f>
        <v>1</v>
      </c>
    </row>
    <row r="4988" spans="1:33" x14ac:dyDescent="0.3">
      <c r="A4988" t="s">
        <v>7611</v>
      </c>
      <c r="B4988" s="13">
        <v>46294</v>
      </c>
      <c r="C4988">
        <v>2026</v>
      </c>
      <c r="D4988">
        <v>9</v>
      </c>
      <c r="E4988" t="s">
        <v>4552</v>
      </c>
      <c r="F4988" t="s">
        <v>4047</v>
      </c>
      <c r="G4988" t="s">
        <v>535</v>
      </c>
      <c r="H4988" t="s">
        <v>536</v>
      </c>
      <c r="I4988" t="s">
        <v>85</v>
      </c>
      <c r="J4988">
        <v>52</v>
      </c>
      <c r="K4988" t="s">
        <v>83</v>
      </c>
      <c r="L4988" t="s">
        <v>2661</v>
      </c>
      <c r="M4988" t="s">
        <v>58</v>
      </c>
      <c r="N4988" t="s">
        <v>2653</v>
      </c>
      <c r="O4988" t="s">
        <v>132</v>
      </c>
      <c r="P4988" t="s">
        <v>52</v>
      </c>
      <c r="Q4988" t="s">
        <v>150</v>
      </c>
      <c r="R4988">
        <v>1</v>
      </c>
      <c r="S4988">
        <v>899</v>
      </c>
      <c r="T4988">
        <v>0.1</v>
      </c>
      <c r="U4988">
        <v>809.1</v>
      </c>
      <c r="V4988">
        <v>420</v>
      </c>
      <c r="W4988">
        <v>389.1</v>
      </c>
      <c r="X4988" t="s">
        <v>73</v>
      </c>
      <c r="Y4988" t="s">
        <v>68</v>
      </c>
      <c r="Z4988" t="s">
        <v>161</v>
      </c>
      <c r="AA4988" t="s">
        <v>170</v>
      </c>
      <c r="AB4988">
        <v>3.3</v>
      </c>
      <c r="AC4988">
        <v>50</v>
      </c>
      <c r="AD4988">
        <v>40.380000000000003</v>
      </c>
      <c r="AE4988">
        <f t="shared" si="154"/>
        <v>298.72000000000003</v>
      </c>
      <c r="AF4988" t="str">
        <f t="shared" si="155"/>
        <v>2026-09</v>
      </c>
      <c r="AG4988">
        <f>SUBTOTAL(103,A4988)</f>
        <v>1</v>
      </c>
    </row>
    <row r="4989" spans="1:33" x14ac:dyDescent="0.3">
      <c r="A4989" t="s">
        <v>7612</v>
      </c>
      <c r="B4989" s="13">
        <v>46294</v>
      </c>
      <c r="C4989">
        <v>2026</v>
      </c>
      <c r="D4989">
        <v>9</v>
      </c>
      <c r="E4989" t="s">
        <v>4552</v>
      </c>
      <c r="F4989" t="s">
        <v>4047</v>
      </c>
      <c r="G4989" t="s">
        <v>1207</v>
      </c>
      <c r="H4989" t="s">
        <v>1208</v>
      </c>
      <c r="I4989" t="s">
        <v>85</v>
      </c>
      <c r="J4989">
        <v>35</v>
      </c>
      <c r="K4989" t="s">
        <v>81</v>
      </c>
      <c r="L4989" t="s">
        <v>91</v>
      </c>
      <c r="M4989" t="s">
        <v>55</v>
      </c>
      <c r="N4989" t="s">
        <v>2657</v>
      </c>
      <c r="O4989" t="s">
        <v>134</v>
      </c>
      <c r="P4989" t="s">
        <v>49</v>
      </c>
      <c r="Q4989" t="s">
        <v>140</v>
      </c>
      <c r="R4989">
        <v>2</v>
      </c>
      <c r="S4989">
        <v>599</v>
      </c>
      <c r="T4989">
        <v>0.15</v>
      </c>
      <c r="U4989">
        <v>1018.3</v>
      </c>
      <c r="V4989">
        <v>500</v>
      </c>
      <c r="W4989">
        <v>518.29999999999995</v>
      </c>
      <c r="X4989" t="s">
        <v>74</v>
      </c>
      <c r="Y4989" t="s">
        <v>68</v>
      </c>
      <c r="Z4989" t="s">
        <v>159</v>
      </c>
      <c r="AA4989" t="s">
        <v>170</v>
      </c>
      <c r="AB4989">
        <v>4.5999999999999996</v>
      </c>
      <c r="AC4989">
        <v>60</v>
      </c>
      <c r="AD4989">
        <v>96.56</v>
      </c>
      <c r="AE4989">
        <f t="shared" si="154"/>
        <v>361.73999999999995</v>
      </c>
      <c r="AF4989" t="str">
        <f t="shared" si="155"/>
        <v>2026-09</v>
      </c>
      <c r="AG4989">
        <f>SUBTOTAL(103,A4989)</f>
        <v>1</v>
      </c>
    </row>
    <row r="4990" spans="1:33" x14ac:dyDescent="0.3">
      <c r="A4990" t="s">
        <v>7613</v>
      </c>
      <c r="B4990" s="13">
        <v>46294</v>
      </c>
      <c r="C4990">
        <v>2026</v>
      </c>
      <c r="D4990">
        <v>9</v>
      </c>
      <c r="E4990" t="s">
        <v>4552</v>
      </c>
      <c r="F4990" t="s">
        <v>4047</v>
      </c>
      <c r="G4990" t="s">
        <v>851</v>
      </c>
      <c r="H4990" t="s">
        <v>852</v>
      </c>
      <c r="I4990" t="s">
        <v>86</v>
      </c>
      <c r="J4990">
        <v>23</v>
      </c>
      <c r="K4990" t="s">
        <v>80</v>
      </c>
      <c r="L4990" t="s">
        <v>59</v>
      </c>
      <c r="M4990" t="s">
        <v>59</v>
      </c>
      <c r="N4990" t="s">
        <v>2601</v>
      </c>
      <c r="O4990" t="s">
        <v>117</v>
      </c>
      <c r="P4990" t="s">
        <v>49</v>
      </c>
      <c r="Q4990" t="s">
        <v>139</v>
      </c>
      <c r="R4990">
        <v>1</v>
      </c>
      <c r="S4990">
        <v>6999</v>
      </c>
      <c r="T4990">
        <v>0</v>
      </c>
      <c r="U4990">
        <v>6999</v>
      </c>
      <c r="V4990">
        <v>4300</v>
      </c>
      <c r="W4990">
        <v>2699</v>
      </c>
      <c r="X4990" t="s">
        <v>73</v>
      </c>
      <c r="Y4990" t="s">
        <v>68</v>
      </c>
      <c r="Z4990" t="s">
        <v>159</v>
      </c>
      <c r="AA4990" t="s">
        <v>171</v>
      </c>
      <c r="AB4990">
        <v>4.8</v>
      </c>
      <c r="AC4990">
        <v>80</v>
      </c>
      <c r="AD4990">
        <v>719.84</v>
      </c>
      <c r="AE4990">
        <f t="shared" si="154"/>
        <v>1899.1599999999999</v>
      </c>
      <c r="AF4990" t="str">
        <f t="shared" si="155"/>
        <v>2026-09</v>
      </c>
      <c r="AG4990">
        <f>SUBTOTAL(103,A4990)</f>
        <v>1</v>
      </c>
    </row>
    <row r="4991" spans="1:33" x14ac:dyDescent="0.3">
      <c r="A4991" t="s">
        <v>7614</v>
      </c>
      <c r="B4991" s="13">
        <v>46294</v>
      </c>
      <c r="C4991">
        <v>2026</v>
      </c>
      <c r="D4991">
        <v>9</v>
      </c>
      <c r="E4991" t="s">
        <v>4552</v>
      </c>
      <c r="F4991" t="s">
        <v>4047</v>
      </c>
      <c r="G4991" t="s">
        <v>1765</v>
      </c>
      <c r="H4991" t="s">
        <v>1766</v>
      </c>
      <c r="I4991" t="s">
        <v>86</v>
      </c>
      <c r="J4991">
        <v>56</v>
      </c>
      <c r="K4991" t="s">
        <v>83</v>
      </c>
      <c r="L4991" t="s">
        <v>2679</v>
      </c>
      <c r="M4991" t="s">
        <v>60</v>
      </c>
      <c r="N4991" t="s">
        <v>2657</v>
      </c>
      <c r="O4991" t="s">
        <v>134</v>
      </c>
      <c r="P4991" t="s">
        <v>49</v>
      </c>
      <c r="Q4991" t="s">
        <v>140</v>
      </c>
      <c r="R4991">
        <v>4</v>
      </c>
      <c r="S4991">
        <v>599</v>
      </c>
      <c r="T4991">
        <v>0.15</v>
      </c>
      <c r="U4991">
        <v>2036.6</v>
      </c>
      <c r="V4991">
        <v>1000</v>
      </c>
      <c r="W4991">
        <v>1036.5999999999999</v>
      </c>
      <c r="X4991" t="s">
        <v>77</v>
      </c>
      <c r="Y4991" t="s">
        <v>68</v>
      </c>
      <c r="Z4991" t="s">
        <v>163</v>
      </c>
      <c r="AA4991" t="s">
        <v>169</v>
      </c>
      <c r="AB4991">
        <v>3.8</v>
      </c>
      <c r="AC4991">
        <v>60</v>
      </c>
      <c r="AD4991">
        <v>51.88</v>
      </c>
      <c r="AE4991">
        <f t="shared" si="154"/>
        <v>924.71999999999991</v>
      </c>
      <c r="AF4991" t="str">
        <f t="shared" si="155"/>
        <v>2026-09</v>
      </c>
      <c r="AG4991">
        <f>SUBTOTAL(103,A4991)</f>
        <v>1</v>
      </c>
    </row>
    <row r="4992" spans="1:33" x14ac:dyDescent="0.3">
      <c r="A4992" t="s">
        <v>7615</v>
      </c>
      <c r="B4992" s="13">
        <v>46294</v>
      </c>
      <c r="C4992">
        <v>2026</v>
      </c>
      <c r="D4992">
        <v>9</v>
      </c>
      <c r="E4992" t="s">
        <v>4552</v>
      </c>
      <c r="F4992" t="s">
        <v>4047</v>
      </c>
      <c r="G4992" t="s">
        <v>1117</v>
      </c>
      <c r="H4992" t="s">
        <v>1118</v>
      </c>
      <c r="I4992" t="s">
        <v>86</v>
      </c>
      <c r="J4992">
        <v>24</v>
      </c>
      <c r="K4992" t="s">
        <v>80</v>
      </c>
      <c r="L4992" t="s">
        <v>92</v>
      </c>
      <c r="M4992" t="s">
        <v>59</v>
      </c>
      <c r="N4992" t="s">
        <v>2592</v>
      </c>
      <c r="O4992" t="s">
        <v>115</v>
      </c>
      <c r="P4992" t="s">
        <v>48</v>
      </c>
      <c r="Q4992" t="s">
        <v>137</v>
      </c>
      <c r="R4992">
        <v>2</v>
      </c>
      <c r="S4992">
        <v>12999</v>
      </c>
      <c r="T4992">
        <v>0.05</v>
      </c>
      <c r="U4992">
        <v>24698.1</v>
      </c>
      <c r="V4992">
        <v>18000</v>
      </c>
      <c r="W4992">
        <v>6698.1</v>
      </c>
      <c r="X4992" t="s">
        <v>74</v>
      </c>
      <c r="Y4992" t="s">
        <v>68</v>
      </c>
      <c r="Z4992" t="s">
        <v>158</v>
      </c>
      <c r="AA4992" t="s">
        <v>168</v>
      </c>
      <c r="AB4992">
        <v>4</v>
      </c>
      <c r="AC4992">
        <v>120</v>
      </c>
      <c r="AD4992">
        <v>725.57</v>
      </c>
      <c r="AE4992">
        <f t="shared" si="154"/>
        <v>5852.5300000000007</v>
      </c>
      <c r="AF4992" t="str">
        <f t="shared" si="155"/>
        <v>2026-09</v>
      </c>
      <c r="AG4992">
        <f>SUBTOTAL(103,A4992)</f>
        <v>1</v>
      </c>
    </row>
    <row r="4993" spans="1:33" x14ac:dyDescent="0.3">
      <c r="A4993" t="s">
        <v>7616</v>
      </c>
      <c r="B4993" s="13">
        <v>46294</v>
      </c>
      <c r="C4993">
        <v>2026</v>
      </c>
      <c r="D4993">
        <v>9</v>
      </c>
      <c r="E4993" t="s">
        <v>4552</v>
      </c>
      <c r="F4993" t="s">
        <v>4047</v>
      </c>
      <c r="G4993" t="s">
        <v>1993</v>
      </c>
      <c r="H4993" t="s">
        <v>1994</v>
      </c>
      <c r="I4993" t="s">
        <v>85</v>
      </c>
      <c r="J4993">
        <v>42</v>
      </c>
      <c r="K4993" t="s">
        <v>82</v>
      </c>
      <c r="L4993" t="s">
        <v>94</v>
      </c>
      <c r="M4993" t="s">
        <v>57</v>
      </c>
      <c r="N4993" t="s">
        <v>2665</v>
      </c>
      <c r="O4993" t="s">
        <v>128</v>
      </c>
      <c r="P4993" t="s">
        <v>53</v>
      </c>
      <c r="Q4993" t="s">
        <v>143</v>
      </c>
      <c r="R4993">
        <v>3</v>
      </c>
      <c r="S4993">
        <v>1499</v>
      </c>
      <c r="T4993">
        <v>0.15</v>
      </c>
      <c r="U4993">
        <v>3822.45</v>
      </c>
      <c r="V4993">
        <v>2400</v>
      </c>
      <c r="W4993">
        <v>1422.45</v>
      </c>
      <c r="X4993" t="s">
        <v>76</v>
      </c>
      <c r="Y4993" t="s">
        <v>68</v>
      </c>
      <c r="Z4993" t="s">
        <v>161</v>
      </c>
      <c r="AA4993" t="s">
        <v>166</v>
      </c>
      <c r="AB4993">
        <v>3.9</v>
      </c>
      <c r="AC4993">
        <v>60</v>
      </c>
      <c r="AD4993">
        <v>128.65</v>
      </c>
      <c r="AE4993">
        <f t="shared" si="154"/>
        <v>1233.8</v>
      </c>
      <c r="AF4993" t="str">
        <f t="shared" si="155"/>
        <v>2026-09</v>
      </c>
      <c r="AG4993">
        <f>SUBTOTAL(103,A4993)</f>
        <v>1</v>
      </c>
    </row>
    <row r="4994" spans="1:33" x14ac:dyDescent="0.3">
      <c r="A4994" t="s">
        <v>7617</v>
      </c>
      <c r="B4994" s="13">
        <v>46294</v>
      </c>
      <c r="C4994">
        <v>2026</v>
      </c>
      <c r="D4994">
        <v>9</v>
      </c>
      <c r="E4994" t="s">
        <v>4552</v>
      </c>
      <c r="F4994" t="s">
        <v>4047</v>
      </c>
      <c r="G4994" t="s">
        <v>653</v>
      </c>
      <c r="H4994" t="s">
        <v>654</v>
      </c>
      <c r="I4994" t="s">
        <v>85</v>
      </c>
      <c r="J4994">
        <v>32</v>
      </c>
      <c r="K4994" t="s">
        <v>81</v>
      </c>
      <c r="L4994" t="s">
        <v>2605</v>
      </c>
      <c r="M4994" t="s">
        <v>60</v>
      </c>
      <c r="N4994" t="s">
        <v>2592</v>
      </c>
      <c r="O4994" t="s">
        <v>115</v>
      </c>
      <c r="P4994" t="s">
        <v>48</v>
      </c>
      <c r="Q4994" t="s">
        <v>137</v>
      </c>
      <c r="R4994">
        <v>1</v>
      </c>
      <c r="S4994">
        <v>12999</v>
      </c>
      <c r="T4994">
        <v>0.1</v>
      </c>
      <c r="U4994">
        <v>11699.1</v>
      </c>
      <c r="V4994">
        <v>9000</v>
      </c>
      <c r="W4994">
        <v>2699.1</v>
      </c>
      <c r="X4994" t="s">
        <v>76</v>
      </c>
      <c r="Y4994" t="s">
        <v>68</v>
      </c>
      <c r="Z4994" t="s">
        <v>158</v>
      </c>
      <c r="AA4994" t="s">
        <v>169</v>
      </c>
      <c r="AB4994">
        <v>2.8</v>
      </c>
      <c r="AC4994">
        <v>60</v>
      </c>
      <c r="AD4994">
        <v>667.65</v>
      </c>
      <c r="AE4994">
        <f t="shared" ref="AE4994:AE5001" si="156">W4994-AC4994-AD4994</f>
        <v>1971.4499999999998</v>
      </c>
      <c r="AF4994" t="str">
        <f t="shared" ref="AF4994:AF5001" si="157">C4994&amp;"-"&amp;TEXT(D4994,"00")</f>
        <v>2026-09</v>
      </c>
      <c r="AG4994">
        <f>SUBTOTAL(103,A4994)</f>
        <v>1</v>
      </c>
    </row>
    <row r="4995" spans="1:33" x14ac:dyDescent="0.3">
      <c r="A4995" t="s">
        <v>7618</v>
      </c>
      <c r="B4995" s="13">
        <v>46294</v>
      </c>
      <c r="C4995">
        <v>2026</v>
      </c>
      <c r="D4995">
        <v>9</v>
      </c>
      <c r="E4995" t="s">
        <v>4552</v>
      </c>
      <c r="F4995" t="s">
        <v>4047</v>
      </c>
      <c r="G4995" t="s">
        <v>1639</v>
      </c>
      <c r="H4995" t="s">
        <v>1640</v>
      </c>
      <c r="I4995" t="s">
        <v>85</v>
      </c>
      <c r="J4995">
        <v>32</v>
      </c>
      <c r="K4995" t="s">
        <v>81</v>
      </c>
      <c r="L4995" t="s">
        <v>95</v>
      </c>
      <c r="M4995" t="s">
        <v>56</v>
      </c>
      <c r="N4995" t="s">
        <v>2606</v>
      </c>
      <c r="O4995" t="s">
        <v>120</v>
      </c>
      <c r="P4995" t="s">
        <v>49</v>
      </c>
      <c r="Q4995" t="s">
        <v>140</v>
      </c>
      <c r="R4995">
        <v>1</v>
      </c>
      <c r="S4995">
        <v>2799</v>
      </c>
      <c r="T4995">
        <v>0.25</v>
      </c>
      <c r="U4995">
        <v>2099.25</v>
      </c>
      <c r="V4995">
        <v>1650</v>
      </c>
      <c r="W4995">
        <v>449.25</v>
      </c>
      <c r="X4995" t="s">
        <v>74</v>
      </c>
      <c r="Y4995" t="s">
        <v>68</v>
      </c>
      <c r="Z4995" t="s">
        <v>161</v>
      </c>
      <c r="AA4995" t="s">
        <v>169</v>
      </c>
      <c r="AB4995">
        <v>5</v>
      </c>
      <c r="AC4995">
        <v>60</v>
      </c>
      <c r="AD4995">
        <v>100.73</v>
      </c>
      <c r="AE4995">
        <f t="shared" si="156"/>
        <v>288.52</v>
      </c>
      <c r="AF4995" t="str">
        <f t="shared" si="157"/>
        <v>2026-09</v>
      </c>
      <c r="AG4995">
        <f>SUBTOTAL(103,A4995)</f>
        <v>1</v>
      </c>
    </row>
    <row r="4996" spans="1:33" x14ac:dyDescent="0.3">
      <c r="A4996" t="s">
        <v>7619</v>
      </c>
      <c r="B4996" s="13">
        <v>46294</v>
      </c>
      <c r="C4996">
        <v>2026</v>
      </c>
      <c r="D4996">
        <v>9</v>
      </c>
      <c r="E4996" t="s">
        <v>4552</v>
      </c>
      <c r="F4996" t="s">
        <v>4047</v>
      </c>
      <c r="G4996" t="s">
        <v>1187</v>
      </c>
      <c r="H4996" t="s">
        <v>1188</v>
      </c>
      <c r="I4996" t="s">
        <v>86</v>
      </c>
      <c r="J4996">
        <v>40</v>
      </c>
      <c r="K4996" t="s">
        <v>82</v>
      </c>
      <c r="L4996" t="s">
        <v>99</v>
      </c>
      <c r="M4996" t="s">
        <v>58</v>
      </c>
      <c r="N4996" t="s">
        <v>2590</v>
      </c>
      <c r="O4996" t="s">
        <v>127</v>
      </c>
      <c r="P4996" t="s">
        <v>51</v>
      </c>
      <c r="Q4996" t="s">
        <v>148</v>
      </c>
      <c r="R4996">
        <v>3</v>
      </c>
      <c r="S4996">
        <v>1599</v>
      </c>
      <c r="T4996">
        <v>0.1</v>
      </c>
      <c r="U4996">
        <v>0</v>
      </c>
      <c r="V4996">
        <v>0</v>
      </c>
      <c r="W4996">
        <v>0</v>
      </c>
      <c r="X4996" t="s">
        <v>75</v>
      </c>
      <c r="Y4996" t="s">
        <v>71</v>
      </c>
      <c r="Z4996" t="s">
        <v>158</v>
      </c>
      <c r="AA4996" t="s">
        <v>169</v>
      </c>
      <c r="AB4996">
        <v>4.7</v>
      </c>
      <c r="AC4996">
        <v>50</v>
      </c>
      <c r="AD4996">
        <v>227.95</v>
      </c>
      <c r="AE4996">
        <f t="shared" si="156"/>
        <v>-277.95</v>
      </c>
      <c r="AF4996" t="str">
        <f t="shared" si="157"/>
        <v>2026-09</v>
      </c>
      <c r="AG4996">
        <f>SUBTOTAL(103,A4996)</f>
        <v>1</v>
      </c>
    </row>
    <row r="4997" spans="1:33" x14ac:dyDescent="0.3">
      <c r="A4997" t="s">
        <v>7620</v>
      </c>
      <c r="B4997" s="13">
        <v>46295</v>
      </c>
      <c r="C4997">
        <v>2026</v>
      </c>
      <c r="D4997">
        <v>9</v>
      </c>
      <c r="E4997" t="s">
        <v>4552</v>
      </c>
      <c r="F4997" t="s">
        <v>4047</v>
      </c>
      <c r="G4997" t="s">
        <v>991</v>
      </c>
      <c r="H4997" t="s">
        <v>992</v>
      </c>
      <c r="I4997" t="s">
        <v>85</v>
      </c>
      <c r="J4997">
        <v>41</v>
      </c>
      <c r="K4997" t="s">
        <v>82</v>
      </c>
      <c r="L4997" t="s">
        <v>90</v>
      </c>
      <c r="M4997" t="s">
        <v>55</v>
      </c>
      <c r="N4997" t="s">
        <v>2665</v>
      </c>
      <c r="O4997" t="s">
        <v>128</v>
      </c>
      <c r="P4997" t="s">
        <v>53</v>
      </c>
      <c r="Q4997" t="s">
        <v>143</v>
      </c>
      <c r="R4997">
        <v>3</v>
      </c>
      <c r="S4997">
        <v>1499</v>
      </c>
      <c r="T4997">
        <v>0.05</v>
      </c>
      <c r="U4997">
        <v>4272.1499999999996</v>
      </c>
      <c r="V4997">
        <v>2400</v>
      </c>
      <c r="W4997">
        <v>1872.15</v>
      </c>
      <c r="X4997" t="s">
        <v>73</v>
      </c>
      <c r="Y4997" t="s">
        <v>68</v>
      </c>
      <c r="Z4997" t="s">
        <v>158</v>
      </c>
      <c r="AA4997" t="s">
        <v>167</v>
      </c>
      <c r="AB4997">
        <v>3.6</v>
      </c>
      <c r="AC4997">
        <v>100</v>
      </c>
      <c r="AD4997">
        <v>326.02999999999997</v>
      </c>
      <c r="AE4997">
        <f t="shared" si="156"/>
        <v>1446.1200000000001</v>
      </c>
      <c r="AF4997" t="str">
        <f t="shared" si="157"/>
        <v>2026-09</v>
      </c>
      <c r="AG4997">
        <f>SUBTOTAL(103,A4997)</f>
        <v>1</v>
      </c>
    </row>
    <row r="4998" spans="1:33" x14ac:dyDescent="0.3">
      <c r="A4998" t="s">
        <v>7621</v>
      </c>
      <c r="B4998" s="13">
        <v>46295</v>
      </c>
      <c r="C4998">
        <v>2026</v>
      </c>
      <c r="D4998">
        <v>9</v>
      </c>
      <c r="E4998" t="s">
        <v>4552</v>
      </c>
      <c r="F4998" t="s">
        <v>4047</v>
      </c>
      <c r="G4998" t="s">
        <v>903</v>
      </c>
      <c r="H4998" t="s">
        <v>904</v>
      </c>
      <c r="I4998" t="s">
        <v>86</v>
      </c>
      <c r="J4998">
        <v>59</v>
      </c>
      <c r="K4998" t="s">
        <v>83</v>
      </c>
      <c r="L4998" t="s">
        <v>93</v>
      </c>
      <c r="M4998" t="s">
        <v>55</v>
      </c>
      <c r="N4998" t="s">
        <v>2653</v>
      </c>
      <c r="O4998" t="s">
        <v>132</v>
      </c>
      <c r="P4998" t="s">
        <v>52</v>
      </c>
      <c r="Q4998" t="s">
        <v>150</v>
      </c>
      <c r="R4998">
        <v>2</v>
      </c>
      <c r="S4998">
        <v>899</v>
      </c>
      <c r="T4998">
        <v>0</v>
      </c>
      <c r="U4998">
        <v>1798</v>
      </c>
      <c r="V4998">
        <v>840</v>
      </c>
      <c r="W4998">
        <v>958</v>
      </c>
      <c r="X4998" t="s">
        <v>74</v>
      </c>
      <c r="Y4998" t="s">
        <v>68</v>
      </c>
      <c r="Z4998" t="s">
        <v>163</v>
      </c>
      <c r="AA4998" t="s">
        <v>166</v>
      </c>
      <c r="AB4998">
        <v>3.5</v>
      </c>
      <c r="AC4998">
        <v>60</v>
      </c>
      <c r="AD4998">
        <v>132.44</v>
      </c>
      <c r="AE4998">
        <f t="shared" si="156"/>
        <v>765.56</v>
      </c>
      <c r="AF4998" t="str">
        <f t="shared" si="157"/>
        <v>2026-09</v>
      </c>
      <c r="AG4998">
        <f>SUBTOTAL(103,A4998)</f>
        <v>1</v>
      </c>
    </row>
    <row r="4999" spans="1:33" x14ac:dyDescent="0.3">
      <c r="A4999" t="s">
        <v>7622</v>
      </c>
      <c r="B4999" s="13">
        <v>46295</v>
      </c>
      <c r="C4999">
        <v>2026</v>
      </c>
      <c r="D4999">
        <v>9</v>
      </c>
      <c r="E4999" t="s">
        <v>4552</v>
      </c>
      <c r="F4999" t="s">
        <v>4047</v>
      </c>
      <c r="G4999" t="s">
        <v>895</v>
      </c>
      <c r="H4999" t="s">
        <v>896</v>
      </c>
      <c r="I4999" t="s">
        <v>86</v>
      </c>
      <c r="J4999">
        <v>24</v>
      </c>
      <c r="K4999" t="s">
        <v>80</v>
      </c>
      <c r="L4999" t="s">
        <v>95</v>
      </c>
      <c r="M4999" t="s">
        <v>56</v>
      </c>
      <c r="N4999" t="s">
        <v>2590</v>
      </c>
      <c r="O4999" t="s">
        <v>127</v>
      </c>
      <c r="P4999" t="s">
        <v>51</v>
      </c>
      <c r="Q4999" t="s">
        <v>148</v>
      </c>
      <c r="R4999">
        <v>4</v>
      </c>
      <c r="S4999">
        <v>1599</v>
      </c>
      <c r="T4999">
        <v>0.1</v>
      </c>
      <c r="U4999">
        <v>5756.4</v>
      </c>
      <c r="V4999">
        <v>3200</v>
      </c>
      <c r="W4999">
        <v>2556.4</v>
      </c>
      <c r="X4999" t="s">
        <v>74</v>
      </c>
      <c r="Y4999" t="s">
        <v>68</v>
      </c>
      <c r="Z4999" t="s">
        <v>160</v>
      </c>
      <c r="AA4999" t="s">
        <v>169</v>
      </c>
      <c r="AB4999">
        <v>4</v>
      </c>
      <c r="AC4999">
        <v>80</v>
      </c>
      <c r="AD4999">
        <v>293.93</v>
      </c>
      <c r="AE4999">
        <f t="shared" si="156"/>
        <v>2182.4700000000003</v>
      </c>
      <c r="AF4999" t="str">
        <f t="shared" si="157"/>
        <v>2026-09</v>
      </c>
      <c r="AG4999">
        <f>SUBTOTAL(103,A4999)</f>
        <v>1</v>
      </c>
    </row>
    <row r="5000" spans="1:33" x14ac:dyDescent="0.3">
      <c r="A5000" t="s">
        <v>7623</v>
      </c>
      <c r="B5000" s="13">
        <v>46295</v>
      </c>
      <c r="C5000">
        <v>2026</v>
      </c>
      <c r="D5000">
        <v>9</v>
      </c>
      <c r="E5000" t="s">
        <v>4552</v>
      </c>
      <c r="F5000" t="s">
        <v>4047</v>
      </c>
      <c r="G5000" t="s">
        <v>2155</v>
      </c>
      <c r="H5000" t="s">
        <v>2156</v>
      </c>
      <c r="I5000" t="s">
        <v>85</v>
      </c>
      <c r="J5000">
        <v>57</v>
      </c>
      <c r="K5000" t="s">
        <v>83</v>
      </c>
      <c r="L5000" t="s">
        <v>2579</v>
      </c>
      <c r="M5000" t="s">
        <v>56</v>
      </c>
      <c r="N5000" t="s">
        <v>2653</v>
      </c>
      <c r="O5000" t="s">
        <v>132</v>
      </c>
      <c r="P5000" t="s">
        <v>52</v>
      </c>
      <c r="Q5000" t="s">
        <v>150</v>
      </c>
      <c r="R5000">
        <v>2</v>
      </c>
      <c r="S5000">
        <v>899</v>
      </c>
      <c r="T5000">
        <v>0.05</v>
      </c>
      <c r="U5000">
        <v>1708.1</v>
      </c>
      <c r="V5000">
        <v>840</v>
      </c>
      <c r="W5000">
        <v>868.1</v>
      </c>
      <c r="X5000" t="s">
        <v>73</v>
      </c>
      <c r="Y5000" t="s">
        <v>68</v>
      </c>
      <c r="Z5000" t="s">
        <v>160</v>
      </c>
      <c r="AA5000" t="s">
        <v>170</v>
      </c>
      <c r="AB5000">
        <v>3.6</v>
      </c>
      <c r="AC5000">
        <v>60</v>
      </c>
      <c r="AD5000">
        <v>83.46</v>
      </c>
      <c r="AE5000">
        <f t="shared" si="156"/>
        <v>724.64</v>
      </c>
      <c r="AF5000" t="str">
        <f t="shared" si="157"/>
        <v>2026-09</v>
      </c>
      <c r="AG5000">
        <f>SUBTOTAL(103,A5000)</f>
        <v>1</v>
      </c>
    </row>
    <row r="5001" spans="1:33" x14ac:dyDescent="0.3">
      <c r="A5001" t="s">
        <v>7624</v>
      </c>
      <c r="B5001" s="13">
        <v>46295</v>
      </c>
      <c r="C5001">
        <v>2026</v>
      </c>
      <c r="D5001">
        <v>9</v>
      </c>
      <c r="E5001" t="s">
        <v>4552</v>
      </c>
      <c r="F5001" t="s">
        <v>4047</v>
      </c>
      <c r="G5001" t="s">
        <v>1787</v>
      </c>
      <c r="H5001" t="s">
        <v>1788</v>
      </c>
      <c r="I5001" t="s">
        <v>85</v>
      </c>
      <c r="J5001">
        <v>55</v>
      </c>
      <c r="K5001" t="s">
        <v>83</v>
      </c>
      <c r="L5001" t="s">
        <v>59</v>
      </c>
      <c r="M5001" t="s">
        <v>59</v>
      </c>
      <c r="N5001" t="s">
        <v>2647</v>
      </c>
      <c r="O5001" t="s">
        <v>133</v>
      </c>
      <c r="P5001" t="s">
        <v>50</v>
      </c>
      <c r="Q5001" t="s">
        <v>145</v>
      </c>
      <c r="R5001">
        <v>1</v>
      </c>
      <c r="S5001">
        <v>799</v>
      </c>
      <c r="T5001">
        <v>0</v>
      </c>
      <c r="U5001">
        <v>799</v>
      </c>
      <c r="V5001">
        <v>390</v>
      </c>
      <c r="W5001">
        <v>409</v>
      </c>
      <c r="X5001" t="s">
        <v>74</v>
      </c>
      <c r="Y5001" t="s">
        <v>68</v>
      </c>
      <c r="Z5001" t="s">
        <v>158</v>
      </c>
      <c r="AA5001" t="s">
        <v>166</v>
      </c>
      <c r="AB5001">
        <v>4.0999999999999996</v>
      </c>
      <c r="AC5001">
        <v>80</v>
      </c>
      <c r="AD5001">
        <v>72.930000000000007</v>
      </c>
      <c r="AE5001">
        <f t="shared" si="156"/>
        <v>256.07</v>
      </c>
      <c r="AF5001" t="str">
        <f t="shared" si="157"/>
        <v>2026-09</v>
      </c>
      <c r="AG5001">
        <f>SUBTOTAL(103,A5001)</f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26</vt:i4>
      </vt:variant>
    </vt:vector>
  </HeadingPairs>
  <TitlesOfParts>
    <vt:vector size="34" baseType="lpstr">
      <vt:lpstr>Dashboard</vt:lpstr>
      <vt:lpstr>Sales</vt:lpstr>
      <vt:lpstr>Customers</vt:lpstr>
      <vt:lpstr>Products</vt:lpstr>
      <vt:lpstr>Marketing</vt:lpstr>
      <vt:lpstr>Profitability</vt:lpstr>
      <vt:lpstr>Customer_List</vt:lpstr>
      <vt:lpstr>Data</vt:lpstr>
      <vt:lpstr>dAge</vt:lpstr>
      <vt:lpstr>dCamp</vt:lpstr>
      <vt:lpstr>dCat</vt:lpstr>
      <vt:lpstr>dChan</vt:lpstr>
      <vt:lpstr>dCity</vt:lpstr>
      <vt:lpstr>dCost</vt:lpstr>
      <vt:lpstr>dCust</vt:lpstr>
      <vt:lpstr>dDisc</vt:lpstr>
      <vt:lpstr>dGen</vt:lpstr>
      <vt:lpstr>dMkt</vt:lpstr>
      <vt:lpstr>dMon</vt:lpstr>
      <vt:lpstr>dNet</vt:lpstr>
      <vt:lpstr>dPay</vt:lpstr>
      <vt:lpstr>dProd</vt:lpstr>
      <vt:lpstr>dProfit</vt:lpstr>
      <vt:lpstr>dQty</vt:lpstr>
      <vt:lpstr>dRate</vt:lpstr>
      <vt:lpstr>dSales</vt:lpstr>
      <vt:lpstr>dShip</vt:lpstr>
      <vt:lpstr>dState</vt:lpstr>
      <vt:lpstr>dStatus</vt:lpstr>
      <vt:lpstr>dSub</vt:lpstr>
      <vt:lpstr>dYear</vt:lpstr>
      <vt:lpstr>selCat</vt:lpstr>
      <vt:lpstr>selState</vt:lpstr>
      <vt:lpstr>selYear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Raj</cp:lastModifiedBy>
  <dcterms:created xsi:type="dcterms:W3CDTF">2026-10-01T08:27:55Z</dcterms:created>
  <dcterms:modified xsi:type="dcterms:W3CDTF">2026-10-01T09:29:45Z</dcterms:modified>
</cp:coreProperties>
</file>